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C\EXCELCNV\acdb31dd-c3ee-4417-bfd8-cfabb4003077\"/>
    </mc:Choice>
  </mc:AlternateContent>
  <xr:revisionPtr revIDLastSave="3749" documentId="8_{12039247-93EF-47F9-B842-2C836DC9D22E}" xr6:coauthVersionLast="47" xr6:coauthVersionMax="47" xr10:uidLastSave="{C5EF56BE-9CDD-4E40-AE33-5B2C86228C95}"/>
  <bookViews>
    <workbookView xWindow="-60" yWindow="-60" windowWidth="15480" windowHeight="11640" firstSheet="5" activeTab="5" xr2:uid="{57C6350C-A226-46B6-A7CA-4A82451D83AC}"/>
  </bookViews>
  <sheets>
    <sheet name="Product_Master" sheetId="2" r:id="rId1"/>
    <sheet name="Stock_Avalilability" sheetId="3" r:id="rId2"/>
    <sheet name="Sales_Entry" sheetId="4" r:id="rId3"/>
    <sheet name="Bill_Summary" sheetId="5" r:id="rId4"/>
    <sheet name="Exchange_Return" sheetId="7" r:id="rId5"/>
    <sheet name="Sales_Overview" sheetId="8" r:id="rId6"/>
    <sheet name="Helper" sheetId="9" state="hidden" r:id="rId7"/>
  </sheets>
  <definedNames>
    <definedName name="_xlnm._FilterDatabase" localSheetId="5" hidden="1">Sales_Overview!$B$3:$B$3</definedName>
  </definedNames>
  <calcPr calcId="191028"/>
  <pivotCaches>
    <pivotCache cacheId="2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4" i="5"/>
  <c r="L1201" i="5"/>
  <c r="K1201" i="5"/>
  <c r="J1201" i="5"/>
  <c r="H1201" i="5"/>
  <c r="G1201" i="5"/>
  <c r="L1200" i="5"/>
  <c r="K1200" i="5"/>
  <c r="J1200" i="5"/>
  <c r="H1200" i="5"/>
  <c r="G1200" i="5"/>
  <c r="L1199" i="5"/>
  <c r="K1199" i="5"/>
  <c r="J1199" i="5"/>
  <c r="H1199" i="5"/>
  <c r="G1199" i="5"/>
  <c r="L1198" i="5"/>
  <c r="K1198" i="5"/>
  <c r="J1198" i="5"/>
  <c r="H1198" i="5"/>
  <c r="G1198" i="5"/>
  <c r="L1197" i="5"/>
  <c r="K1197" i="5"/>
  <c r="J1197" i="5"/>
  <c r="H1197" i="5"/>
  <c r="G1197" i="5"/>
  <c r="L1196" i="5"/>
  <c r="K1196" i="5"/>
  <c r="J1196" i="5"/>
  <c r="H1196" i="5"/>
  <c r="G1196" i="5"/>
  <c r="L1195" i="5"/>
  <c r="K1195" i="5"/>
  <c r="J1195" i="5"/>
  <c r="H1195" i="5"/>
  <c r="G1195" i="5"/>
  <c r="L1194" i="5"/>
  <c r="K1194" i="5"/>
  <c r="J1194" i="5"/>
  <c r="H1194" i="5"/>
  <c r="G1194" i="5"/>
  <c r="L1193" i="5"/>
  <c r="K1193" i="5"/>
  <c r="J1193" i="5"/>
  <c r="H1193" i="5"/>
  <c r="G1193" i="5"/>
  <c r="L1192" i="5"/>
  <c r="K1192" i="5"/>
  <c r="J1192" i="5"/>
  <c r="H1192" i="5"/>
  <c r="G1192" i="5"/>
  <c r="L1191" i="5"/>
  <c r="K1191" i="5"/>
  <c r="J1191" i="5"/>
  <c r="H1191" i="5"/>
  <c r="G1191" i="5"/>
  <c r="L1190" i="5"/>
  <c r="K1190" i="5"/>
  <c r="J1190" i="5"/>
  <c r="H1190" i="5"/>
  <c r="G1190" i="5"/>
  <c r="L1189" i="5"/>
  <c r="K1189" i="5"/>
  <c r="J1189" i="5"/>
  <c r="H1189" i="5"/>
  <c r="G1189" i="5"/>
  <c r="L1188" i="5"/>
  <c r="K1188" i="5"/>
  <c r="J1188" i="5"/>
  <c r="H1188" i="5"/>
  <c r="G1188" i="5"/>
  <c r="L1187" i="5"/>
  <c r="K1187" i="5"/>
  <c r="J1187" i="5"/>
  <c r="H1187" i="5"/>
  <c r="G1187" i="5"/>
  <c r="L1186" i="5"/>
  <c r="K1186" i="5"/>
  <c r="J1186" i="5"/>
  <c r="H1186" i="5"/>
  <c r="G1186" i="5"/>
  <c r="L1185" i="5"/>
  <c r="K1185" i="5"/>
  <c r="J1185" i="5"/>
  <c r="H1185" i="5"/>
  <c r="G1185" i="5"/>
  <c r="L1184" i="5"/>
  <c r="K1184" i="5"/>
  <c r="J1184" i="5"/>
  <c r="H1184" i="5"/>
  <c r="G1184" i="5"/>
  <c r="L1183" i="5"/>
  <c r="K1183" i="5"/>
  <c r="J1183" i="5"/>
  <c r="H1183" i="5"/>
  <c r="G1183" i="5"/>
  <c r="L1182" i="5"/>
  <c r="K1182" i="5"/>
  <c r="J1182" i="5"/>
  <c r="H1182" i="5"/>
  <c r="G1182" i="5"/>
  <c r="L1181" i="5"/>
  <c r="K1181" i="5"/>
  <c r="J1181" i="5"/>
  <c r="H1181" i="5"/>
  <c r="G1181" i="5"/>
  <c r="L1180" i="5"/>
  <c r="K1180" i="5"/>
  <c r="J1180" i="5"/>
  <c r="H1180" i="5"/>
  <c r="G1180" i="5"/>
  <c r="L1179" i="5"/>
  <c r="K1179" i="5"/>
  <c r="J1179" i="5"/>
  <c r="H1179" i="5"/>
  <c r="G1179" i="5"/>
  <c r="L1178" i="5"/>
  <c r="K1178" i="5"/>
  <c r="J1178" i="5"/>
  <c r="H1178" i="5"/>
  <c r="G1178" i="5"/>
  <c r="L1177" i="5"/>
  <c r="K1177" i="5"/>
  <c r="J1177" i="5"/>
  <c r="H1177" i="5"/>
  <c r="G1177" i="5"/>
  <c r="L1176" i="5"/>
  <c r="K1176" i="5"/>
  <c r="J1176" i="5"/>
  <c r="H1176" i="5"/>
  <c r="G1176" i="5"/>
  <c r="L1175" i="5"/>
  <c r="K1175" i="5"/>
  <c r="J1175" i="5"/>
  <c r="H1175" i="5"/>
  <c r="G1175" i="5"/>
  <c r="L1174" i="5"/>
  <c r="K1174" i="5"/>
  <c r="J1174" i="5"/>
  <c r="H1174" i="5"/>
  <c r="G1174" i="5"/>
  <c r="L1173" i="5"/>
  <c r="K1173" i="5"/>
  <c r="J1173" i="5"/>
  <c r="H1173" i="5"/>
  <c r="G1173" i="5"/>
  <c r="L1172" i="5"/>
  <c r="K1172" i="5"/>
  <c r="J1172" i="5"/>
  <c r="H1172" i="5"/>
  <c r="G1172" i="5"/>
  <c r="L1171" i="5"/>
  <c r="K1171" i="5"/>
  <c r="J1171" i="5"/>
  <c r="H1171" i="5"/>
  <c r="G1171" i="5"/>
  <c r="L1170" i="5"/>
  <c r="K1170" i="5"/>
  <c r="J1170" i="5"/>
  <c r="H1170" i="5"/>
  <c r="G1170" i="5"/>
  <c r="L1169" i="5"/>
  <c r="K1169" i="5"/>
  <c r="J1169" i="5"/>
  <c r="H1169" i="5"/>
  <c r="G1169" i="5"/>
  <c r="L1168" i="5"/>
  <c r="K1168" i="5"/>
  <c r="J1168" i="5"/>
  <c r="H1168" i="5"/>
  <c r="G1168" i="5"/>
  <c r="L1167" i="5"/>
  <c r="K1167" i="5"/>
  <c r="J1167" i="5"/>
  <c r="H1167" i="5"/>
  <c r="G1167" i="5"/>
  <c r="L1166" i="5"/>
  <c r="K1166" i="5"/>
  <c r="J1166" i="5"/>
  <c r="H1166" i="5"/>
  <c r="G1166" i="5"/>
  <c r="L1165" i="5"/>
  <c r="K1165" i="5"/>
  <c r="J1165" i="5"/>
  <c r="H1165" i="5"/>
  <c r="G1165" i="5"/>
  <c r="L1164" i="5"/>
  <c r="K1164" i="5"/>
  <c r="J1164" i="5"/>
  <c r="H1164" i="5"/>
  <c r="G1164" i="5"/>
  <c r="L1163" i="5"/>
  <c r="K1163" i="5"/>
  <c r="J1163" i="5"/>
  <c r="H1163" i="5"/>
  <c r="G1163" i="5"/>
  <c r="L1162" i="5"/>
  <c r="K1162" i="5"/>
  <c r="J1162" i="5"/>
  <c r="H1162" i="5"/>
  <c r="G1162" i="5"/>
  <c r="L1161" i="5"/>
  <c r="K1161" i="5"/>
  <c r="J1161" i="5"/>
  <c r="H1161" i="5"/>
  <c r="G1161" i="5"/>
  <c r="L1160" i="5"/>
  <c r="K1160" i="5"/>
  <c r="J1160" i="5"/>
  <c r="H1160" i="5"/>
  <c r="G1160" i="5"/>
  <c r="L1159" i="5"/>
  <c r="K1159" i="5"/>
  <c r="J1159" i="5"/>
  <c r="H1159" i="5"/>
  <c r="G1159" i="5"/>
  <c r="L1158" i="5"/>
  <c r="K1158" i="5"/>
  <c r="J1158" i="5"/>
  <c r="H1158" i="5"/>
  <c r="G1158" i="5"/>
  <c r="K1157" i="5"/>
  <c r="J1157" i="5"/>
  <c r="L1156" i="5"/>
  <c r="K1156" i="5"/>
  <c r="J1156" i="5"/>
  <c r="H1156" i="5"/>
  <c r="G1156" i="5"/>
  <c r="L1155" i="5"/>
  <c r="K1155" i="5"/>
  <c r="J1155" i="5"/>
  <c r="H1155" i="5"/>
  <c r="G1155" i="5"/>
  <c r="L1154" i="5"/>
  <c r="K1154" i="5"/>
  <c r="J1154" i="5"/>
  <c r="H1154" i="5"/>
  <c r="G1154" i="5"/>
  <c r="K1153" i="5"/>
  <c r="H1153" i="5"/>
  <c r="G1153" i="5"/>
  <c r="L1153" i="5" s="1"/>
  <c r="K1152" i="5"/>
  <c r="H1152" i="5"/>
  <c r="G1152" i="5"/>
  <c r="L1152" i="5" s="1"/>
  <c r="K1151" i="5"/>
  <c r="H1151" i="5"/>
  <c r="G1151" i="5"/>
  <c r="L1151" i="5" s="1"/>
  <c r="J1150" i="5"/>
  <c r="H1150" i="5"/>
  <c r="G1150" i="5"/>
  <c r="L1150" i="5" s="1"/>
  <c r="K1149" i="5"/>
  <c r="H1149" i="5"/>
  <c r="G1149" i="5"/>
  <c r="L1149" i="5" s="1"/>
  <c r="K1148" i="5"/>
  <c r="H1148" i="5"/>
  <c r="G1148" i="5"/>
  <c r="L1148" i="5" s="1"/>
  <c r="K1147" i="5"/>
  <c r="H1147" i="5"/>
  <c r="G1147" i="5"/>
  <c r="L1147" i="5" s="1"/>
  <c r="J1146" i="5"/>
  <c r="H1146" i="5"/>
  <c r="G1146" i="5"/>
  <c r="L1146" i="5" s="1"/>
  <c r="K1145" i="5"/>
  <c r="H1145" i="5"/>
  <c r="G1145" i="5"/>
  <c r="L1145" i="5" s="1"/>
  <c r="K1144" i="5"/>
  <c r="H1144" i="5"/>
  <c r="G1144" i="5"/>
  <c r="L1144" i="5" s="1"/>
  <c r="J1143" i="5"/>
  <c r="H1143" i="5"/>
  <c r="G1143" i="5"/>
  <c r="L1143" i="5" s="1"/>
  <c r="J1142" i="5"/>
  <c r="H1142" i="5"/>
  <c r="G1142" i="5"/>
  <c r="L1142" i="5" s="1"/>
  <c r="K1141" i="5"/>
  <c r="H1141" i="5"/>
  <c r="G1141" i="5"/>
  <c r="L1141" i="5" s="1"/>
  <c r="J1140" i="5"/>
  <c r="H1140" i="5"/>
  <c r="G1140" i="5"/>
  <c r="L1140" i="5" s="1"/>
  <c r="K1139" i="5"/>
  <c r="H1139" i="5"/>
  <c r="G1139" i="5"/>
  <c r="L1139" i="5" s="1"/>
  <c r="K1138" i="5"/>
  <c r="H1138" i="5"/>
  <c r="G1138" i="5"/>
  <c r="L1138" i="5" s="1"/>
  <c r="K1137" i="5"/>
  <c r="H1137" i="5"/>
  <c r="G1137" i="5"/>
  <c r="L1137" i="5" s="1"/>
  <c r="J1136" i="5"/>
  <c r="H1136" i="5"/>
  <c r="G1136" i="5"/>
  <c r="L1136" i="5" s="1"/>
  <c r="K1135" i="5"/>
  <c r="H1135" i="5"/>
  <c r="G1135" i="5"/>
  <c r="L1135" i="5" s="1"/>
  <c r="J1134" i="5"/>
  <c r="H1134" i="5"/>
  <c r="G1134" i="5"/>
  <c r="L1134" i="5" s="1"/>
  <c r="J1133" i="5"/>
  <c r="H1133" i="5"/>
  <c r="G1133" i="5"/>
  <c r="L1133" i="5" s="1"/>
  <c r="J1132" i="5"/>
  <c r="H1132" i="5"/>
  <c r="G1132" i="5"/>
  <c r="L1132" i="5" s="1"/>
  <c r="J1131" i="5"/>
  <c r="H1131" i="5"/>
  <c r="G1131" i="5"/>
  <c r="L1131" i="5" s="1"/>
  <c r="J1130" i="5"/>
  <c r="H1130" i="5"/>
  <c r="G1130" i="5"/>
  <c r="L1130" i="5" s="1"/>
  <c r="J1129" i="5"/>
  <c r="H1129" i="5"/>
  <c r="G1129" i="5"/>
  <c r="L1129" i="5" s="1"/>
  <c r="J1128" i="5"/>
  <c r="H1128" i="5"/>
  <c r="G1128" i="5"/>
  <c r="L1128" i="5" s="1"/>
  <c r="K1127" i="5"/>
  <c r="H1127" i="5"/>
  <c r="G1127" i="5"/>
  <c r="L1127" i="5" s="1"/>
  <c r="J1126" i="5"/>
  <c r="H1126" i="5"/>
  <c r="G1126" i="5"/>
  <c r="L1126" i="5" s="1"/>
  <c r="J1125" i="5"/>
  <c r="H1125" i="5"/>
  <c r="G1125" i="5"/>
  <c r="L1125" i="5" s="1"/>
  <c r="K1124" i="5"/>
  <c r="H1124" i="5"/>
  <c r="G1124" i="5"/>
  <c r="L1124" i="5" s="1"/>
  <c r="J1123" i="5"/>
  <c r="H1123" i="5"/>
  <c r="G1123" i="5"/>
  <c r="L1123" i="5" s="1"/>
  <c r="J1122" i="5"/>
  <c r="H1122" i="5"/>
  <c r="G1122" i="5"/>
  <c r="L1122" i="5" s="1"/>
  <c r="J1121" i="5"/>
  <c r="H1121" i="5"/>
  <c r="G1121" i="5"/>
  <c r="L1121" i="5" s="1"/>
  <c r="K1120" i="5"/>
  <c r="H1120" i="5"/>
  <c r="G1120" i="5"/>
  <c r="L1120" i="5" s="1"/>
  <c r="J1119" i="5"/>
  <c r="H1119" i="5"/>
  <c r="G1119" i="5"/>
  <c r="L1119" i="5" s="1"/>
  <c r="J1118" i="5"/>
  <c r="H1118" i="5"/>
  <c r="G1118" i="5"/>
  <c r="L1118" i="5" s="1"/>
  <c r="K1117" i="5"/>
  <c r="H1117" i="5"/>
  <c r="G1117" i="5"/>
  <c r="L1117" i="5" s="1"/>
  <c r="J1116" i="5"/>
  <c r="H1116" i="5"/>
  <c r="G1116" i="5"/>
  <c r="L1116" i="5" s="1"/>
  <c r="J1115" i="5"/>
  <c r="H1115" i="5"/>
  <c r="G1115" i="5"/>
  <c r="L1115" i="5" s="1"/>
  <c r="J1114" i="5"/>
  <c r="H1114" i="5"/>
  <c r="G1114" i="5"/>
  <c r="L1114" i="5" s="1"/>
  <c r="J1113" i="5"/>
  <c r="H1113" i="5"/>
  <c r="G1113" i="5"/>
  <c r="L1113" i="5" s="1"/>
  <c r="H1112" i="5"/>
  <c r="G1112" i="5"/>
  <c r="L1112" i="5" s="1"/>
  <c r="J1111" i="5"/>
  <c r="H1111" i="5"/>
  <c r="G1111" i="5"/>
  <c r="L1111" i="5" s="1"/>
  <c r="K1110" i="5"/>
  <c r="H1110" i="5"/>
  <c r="G1110" i="5"/>
  <c r="L1110" i="5" s="1"/>
  <c r="J1109" i="5"/>
  <c r="H1109" i="5"/>
  <c r="G1109" i="5"/>
  <c r="L1109" i="5" s="1"/>
  <c r="J1108" i="5"/>
  <c r="H1108" i="5"/>
  <c r="G1108" i="5"/>
  <c r="L1108" i="5" s="1"/>
  <c r="K1107" i="5"/>
  <c r="H1107" i="5"/>
  <c r="G1107" i="5"/>
  <c r="L1107" i="5" s="1"/>
  <c r="J1106" i="5"/>
  <c r="H1106" i="5"/>
  <c r="G1106" i="5"/>
  <c r="L1106" i="5" s="1"/>
  <c r="J1105" i="5"/>
  <c r="H1105" i="5"/>
  <c r="G1105" i="5"/>
  <c r="L1105" i="5" s="1"/>
  <c r="K1104" i="5"/>
  <c r="H1104" i="5"/>
  <c r="G1104" i="5"/>
  <c r="L1104" i="5" s="1"/>
  <c r="J1103" i="5"/>
  <c r="H1103" i="5"/>
  <c r="G1103" i="5"/>
  <c r="L1103" i="5" s="1"/>
  <c r="J1102" i="5"/>
  <c r="H1102" i="5"/>
  <c r="G1102" i="5"/>
  <c r="L1102" i="5" s="1"/>
  <c r="K1101" i="5"/>
  <c r="H1101" i="5"/>
  <c r="G1101" i="5"/>
  <c r="L1101" i="5" s="1"/>
  <c r="H1100" i="5"/>
  <c r="G1100" i="5"/>
  <c r="L1100" i="5" s="1"/>
  <c r="K1099" i="5"/>
  <c r="H1099" i="5"/>
  <c r="G1099" i="5"/>
  <c r="L1099" i="5" s="1"/>
  <c r="J1098" i="5"/>
  <c r="H1098" i="5"/>
  <c r="G1098" i="5"/>
  <c r="L1098" i="5" s="1"/>
  <c r="K1097" i="5"/>
  <c r="H1097" i="5"/>
  <c r="G1097" i="5"/>
  <c r="L1097" i="5" s="1"/>
  <c r="J1096" i="5"/>
  <c r="H1096" i="5"/>
  <c r="G1096" i="5"/>
  <c r="L1096" i="5" s="1"/>
  <c r="K1095" i="5"/>
  <c r="H1095" i="5"/>
  <c r="G1095" i="5"/>
  <c r="L1095" i="5" s="1"/>
  <c r="J1094" i="5"/>
  <c r="H1094" i="5"/>
  <c r="G1094" i="5"/>
  <c r="L1094" i="5" s="1"/>
  <c r="K1093" i="5"/>
  <c r="H1093" i="5"/>
  <c r="G1093" i="5"/>
  <c r="L1093" i="5" s="1"/>
  <c r="J1092" i="5"/>
  <c r="H1092" i="5"/>
  <c r="G1092" i="5"/>
  <c r="L1092" i="5" s="1"/>
  <c r="J1091" i="5"/>
  <c r="H1091" i="5"/>
  <c r="G1091" i="5"/>
  <c r="L1091" i="5" s="1"/>
  <c r="K1090" i="5"/>
  <c r="H1090" i="5"/>
  <c r="G1090" i="5"/>
  <c r="L1090" i="5" s="1"/>
  <c r="K1089" i="5"/>
  <c r="H1089" i="5"/>
  <c r="G1089" i="5"/>
  <c r="L1089" i="5" s="1"/>
  <c r="K1088" i="5"/>
  <c r="H1088" i="5"/>
  <c r="G1088" i="5"/>
  <c r="L1088" i="5" s="1"/>
  <c r="J1087" i="5"/>
  <c r="H1087" i="5"/>
  <c r="G1087" i="5"/>
  <c r="L1087" i="5" s="1"/>
  <c r="J1086" i="5"/>
  <c r="H1086" i="5"/>
  <c r="G1086" i="5"/>
  <c r="L1086" i="5" s="1"/>
  <c r="J1085" i="5"/>
  <c r="H1085" i="5"/>
  <c r="G1085" i="5"/>
  <c r="L1085" i="5" s="1"/>
  <c r="H1084" i="5"/>
  <c r="G1084" i="5"/>
  <c r="L1084" i="5" s="1"/>
  <c r="J1083" i="5"/>
  <c r="H1083" i="5"/>
  <c r="G1083" i="5"/>
  <c r="L1083" i="5" s="1"/>
  <c r="K1082" i="5"/>
  <c r="H1082" i="5"/>
  <c r="G1082" i="5"/>
  <c r="L1082" i="5" s="1"/>
  <c r="J1081" i="5"/>
  <c r="H1081" i="5"/>
  <c r="G1081" i="5"/>
  <c r="L1081" i="5" s="1"/>
  <c r="J1080" i="5"/>
  <c r="H1080" i="5"/>
  <c r="G1080" i="5"/>
  <c r="L1080" i="5" s="1"/>
  <c r="H1079" i="5"/>
  <c r="G1079" i="5"/>
  <c r="L1079" i="5" s="1"/>
  <c r="J1078" i="5"/>
  <c r="H1078" i="5"/>
  <c r="G1078" i="5"/>
  <c r="L1078" i="5" s="1"/>
  <c r="J1077" i="5"/>
  <c r="H1077" i="5"/>
  <c r="G1077" i="5"/>
  <c r="L1077" i="5" s="1"/>
  <c r="J1076" i="5"/>
  <c r="H1076" i="5"/>
  <c r="G1076" i="5"/>
  <c r="L1076" i="5" s="1"/>
  <c r="K1075" i="5"/>
  <c r="H1075" i="5"/>
  <c r="G1075" i="5"/>
  <c r="L1075" i="5" s="1"/>
  <c r="J1074" i="5"/>
  <c r="H1074" i="5"/>
  <c r="G1074" i="5"/>
  <c r="L1074" i="5" s="1"/>
  <c r="J1073" i="5"/>
  <c r="H1073" i="5"/>
  <c r="G1073" i="5"/>
  <c r="L1073" i="5" s="1"/>
  <c r="J1072" i="5"/>
  <c r="H1072" i="5"/>
  <c r="G1072" i="5"/>
  <c r="L1072" i="5" s="1"/>
  <c r="K1071" i="5"/>
  <c r="H1071" i="5"/>
  <c r="G1071" i="5"/>
  <c r="L1071" i="5" s="1"/>
  <c r="J1070" i="5"/>
  <c r="H1070" i="5"/>
  <c r="G1070" i="5"/>
  <c r="L1070" i="5" s="1"/>
  <c r="J1069" i="5"/>
  <c r="H1069" i="5"/>
  <c r="G1069" i="5"/>
  <c r="L1069" i="5" s="1"/>
  <c r="J1068" i="5"/>
  <c r="H1068" i="5"/>
  <c r="G1068" i="5"/>
  <c r="L1068" i="5" s="1"/>
  <c r="K1067" i="5"/>
  <c r="H1067" i="5"/>
  <c r="G1067" i="5"/>
  <c r="L1067" i="5" s="1"/>
  <c r="J1066" i="5"/>
  <c r="H1066" i="5"/>
  <c r="G1066" i="5"/>
  <c r="L1066" i="5" s="1"/>
  <c r="J1065" i="5"/>
  <c r="H1065" i="5"/>
  <c r="G1065" i="5"/>
  <c r="L1065" i="5" s="1"/>
  <c r="J1064" i="5"/>
  <c r="H1064" i="5"/>
  <c r="G1064" i="5"/>
  <c r="L1064" i="5" s="1"/>
  <c r="J1063" i="5"/>
  <c r="H1063" i="5"/>
  <c r="G1063" i="5"/>
  <c r="L1063" i="5" s="1"/>
  <c r="J1062" i="5"/>
  <c r="H1062" i="5"/>
  <c r="G1062" i="5"/>
  <c r="L1062" i="5" s="1"/>
  <c r="J1061" i="5"/>
  <c r="H1061" i="5"/>
  <c r="G1061" i="5"/>
  <c r="L1061" i="5" s="1"/>
  <c r="K1060" i="5"/>
  <c r="H1060" i="5"/>
  <c r="G1060" i="5"/>
  <c r="L1060" i="5" s="1"/>
  <c r="K1059" i="5"/>
  <c r="H1059" i="5"/>
  <c r="G1059" i="5"/>
  <c r="L1059" i="5" s="1"/>
  <c r="K1058" i="5"/>
  <c r="H1058" i="5"/>
  <c r="G1058" i="5"/>
  <c r="L1058" i="5" s="1"/>
  <c r="J1057" i="5"/>
  <c r="H1057" i="5"/>
  <c r="G1057" i="5"/>
  <c r="L1057" i="5" s="1"/>
  <c r="J1056" i="5"/>
  <c r="H1056" i="5"/>
  <c r="G1056" i="5"/>
  <c r="L1056" i="5" s="1"/>
  <c r="K1055" i="5"/>
  <c r="H1055" i="5"/>
  <c r="G1055" i="5"/>
  <c r="L1055" i="5" s="1"/>
  <c r="K1054" i="5"/>
  <c r="H1054" i="5"/>
  <c r="G1054" i="5"/>
  <c r="L1054" i="5" s="1"/>
  <c r="J1053" i="5"/>
  <c r="H1053" i="5"/>
  <c r="G1053" i="5"/>
  <c r="L1053" i="5" s="1"/>
  <c r="K1052" i="5"/>
  <c r="H1052" i="5"/>
  <c r="G1052" i="5"/>
  <c r="L1052" i="5" s="1"/>
  <c r="J1051" i="5"/>
  <c r="H1051" i="5"/>
  <c r="G1051" i="5"/>
  <c r="L1051" i="5" s="1"/>
  <c r="K1050" i="5"/>
  <c r="H1050" i="5"/>
  <c r="G1050" i="5"/>
  <c r="L1050" i="5" s="1"/>
  <c r="H1049" i="5"/>
  <c r="G1049" i="5"/>
  <c r="L1049" i="5" s="1"/>
  <c r="J1048" i="5"/>
  <c r="H1048" i="5"/>
  <c r="G1048" i="5"/>
  <c r="L1048" i="5" s="1"/>
  <c r="J1047" i="5"/>
  <c r="H1047" i="5"/>
  <c r="G1047" i="5"/>
  <c r="L1047" i="5" s="1"/>
  <c r="J1046" i="5"/>
  <c r="H1046" i="5"/>
  <c r="G1046" i="5"/>
  <c r="L1046" i="5" s="1"/>
  <c r="J1045" i="5"/>
  <c r="H1045" i="5"/>
  <c r="G1045" i="5"/>
  <c r="L1045" i="5" s="1"/>
  <c r="K1044" i="5"/>
  <c r="H1044" i="5"/>
  <c r="G1044" i="5"/>
  <c r="L1044" i="5" s="1"/>
  <c r="K1043" i="5"/>
  <c r="H1043" i="5"/>
  <c r="G1043" i="5"/>
  <c r="L1043" i="5" s="1"/>
  <c r="J1042" i="5"/>
  <c r="H1042" i="5"/>
  <c r="G1042" i="5"/>
  <c r="L1042" i="5" s="1"/>
  <c r="K1041" i="5"/>
  <c r="H1041" i="5"/>
  <c r="G1041" i="5"/>
  <c r="L1041" i="5" s="1"/>
  <c r="J1040" i="5"/>
  <c r="H1040" i="5"/>
  <c r="G1040" i="5"/>
  <c r="L1040" i="5" s="1"/>
  <c r="K1039" i="5"/>
  <c r="H1039" i="5"/>
  <c r="G1039" i="5"/>
  <c r="L1039" i="5" s="1"/>
  <c r="J1038" i="5"/>
  <c r="H1038" i="5"/>
  <c r="G1038" i="5"/>
  <c r="L1038" i="5" s="1"/>
  <c r="K1037" i="5"/>
  <c r="H1037" i="5"/>
  <c r="G1037" i="5"/>
  <c r="L1037" i="5" s="1"/>
  <c r="J1036" i="5"/>
  <c r="H1036" i="5"/>
  <c r="G1036" i="5"/>
  <c r="L1036" i="5" s="1"/>
  <c r="J1035" i="5"/>
  <c r="H1035" i="5"/>
  <c r="G1035" i="5"/>
  <c r="L1035" i="5" s="1"/>
  <c r="J1034" i="5"/>
  <c r="H1034" i="5"/>
  <c r="G1034" i="5"/>
  <c r="L1034" i="5" s="1"/>
  <c r="J1033" i="5"/>
  <c r="H1033" i="5"/>
  <c r="G1033" i="5"/>
  <c r="L1033" i="5" s="1"/>
  <c r="J1032" i="5"/>
  <c r="H1032" i="5"/>
  <c r="G1032" i="5"/>
  <c r="L1032" i="5" s="1"/>
  <c r="J1031" i="5"/>
  <c r="H1031" i="5"/>
  <c r="G1031" i="5"/>
  <c r="L1031" i="5" s="1"/>
  <c r="J1030" i="5"/>
  <c r="H1030" i="5"/>
  <c r="G1030" i="5"/>
  <c r="L1030" i="5" s="1"/>
  <c r="K1029" i="5"/>
  <c r="H1029" i="5"/>
  <c r="G1029" i="5"/>
  <c r="L1029" i="5" s="1"/>
  <c r="K1028" i="5"/>
  <c r="H1028" i="5"/>
  <c r="G1028" i="5"/>
  <c r="L1028" i="5" s="1"/>
  <c r="J1027" i="5"/>
  <c r="H1027" i="5"/>
  <c r="G1027" i="5"/>
  <c r="L1027" i="5" s="1"/>
  <c r="J1026" i="5"/>
  <c r="H1026" i="5"/>
  <c r="G1026" i="5"/>
  <c r="L1026" i="5" s="1"/>
  <c r="J1025" i="5"/>
  <c r="H1025" i="5"/>
  <c r="G1025" i="5"/>
  <c r="L1025" i="5" s="1"/>
  <c r="K1024" i="5"/>
  <c r="H1024" i="5"/>
  <c r="G1024" i="5"/>
  <c r="L1024" i="5" s="1"/>
  <c r="J1023" i="5"/>
  <c r="H1023" i="5"/>
  <c r="G1023" i="5"/>
  <c r="L1023" i="5" s="1"/>
  <c r="H1022" i="5"/>
  <c r="G1022" i="5"/>
  <c r="L1022" i="5" s="1"/>
  <c r="J1021" i="5"/>
  <c r="H1021" i="5"/>
  <c r="G1021" i="5"/>
  <c r="L1021" i="5" s="1"/>
  <c r="K1020" i="5"/>
  <c r="H1020" i="5"/>
  <c r="G1020" i="5"/>
  <c r="L1020" i="5" s="1"/>
  <c r="J1019" i="5"/>
  <c r="H1019" i="5"/>
  <c r="G1019" i="5"/>
  <c r="L1019" i="5" s="1"/>
  <c r="J1018" i="5"/>
  <c r="H1018" i="5"/>
  <c r="G1018" i="5"/>
  <c r="L1018" i="5" s="1"/>
  <c r="H1017" i="5"/>
  <c r="G1017" i="5"/>
  <c r="L1017" i="5" s="1"/>
  <c r="J1016" i="5"/>
  <c r="H1016" i="5"/>
  <c r="G1016" i="5"/>
  <c r="L1016" i="5" s="1"/>
  <c r="K1015" i="5"/>
  <c r="H1015" i="5"/>
  <c r="G1015" i="5"/>
  <c r="L1015" i="5" s="1"/>
  <c r="J1014" i="5"/>
  <c r="H1014" i="5"/>
  <c r="G1014" i="5"/>
  <c r="L1014" i="5" s="1"/>
  <c r="J1013" i="5"/>
  <c r="H1013" i="5"/>
  <c r="G1013" i="5"/>
  <c r="L1013" i="5" s="1"/>
  <c r="K1012" i="5"/>
  <c r="H1012" i="5"/>
  <c r="G1012" i="5"/>
  <c r="L1012" i="5" s="1"/>
  <c r="K1011" i="5"/>
  <c r="H1011" i="5"/>
  <c r="G1011" i="5"/>
  <c r="L1011" i="5" s="1"/>
  <c r="J1010" i="5"/>
  <c r="H1010" i="5"/>
  <c r="G1010" i="5"/>
  <c r="L1010" i="5" s="1"/>
  <c r="K1009" i="5"/>
  <c r="H1009" i="5"/>
  <c r="G1009" i="5"/>
  <c r="L1009" i="5" s="1"/>
  <c r="K1008" i="5"/>
  <c r="H1008" i="5"/>
  <c r="G1008" i="5"/>
  <c r="L1008" i="5" s="1"/>
  <c r="J1007" i="5"/>
  <c r="H1007" i="5"/>
  <c r="G1007" i="5"/>
  <c r="L1007" i="5" s="1"/>
  <c r="J1006" i="5"/>
  <c r="H1006" i="5"/>
  <c r="G1006" i="5"/>
  <c r="L1006" i="5" s="1"/>
  <c r="J1005" i="5"/>
  <c r="H1005" i="5"/>
  <c r="G1005" i="5"/>
  <c r="L1005" i="5" s="1"/>
  <c r="J1004" i="5"/>
  <c r="H1004" i="5"/>
  <c r="G1004" i="5"/>
  <c r="L1004" i="5" s="1"/>
  <c r="K1003" i="5"/>
  <c r="H1003" i="5"/>
  <c r="G1003" i="5"/>
  <c r="L1003" i="5" s="1"/>
  <c r="J1002" i="5"/>
  <c r="H1002" i="5"/>
  <c r="G1002" i="5"/>
  <c r="L1002" i="5" s="1"/>
  <c r="J1001" i="5"/>
  <c r="H1001" i="5"/>
  <c r="G1001" i="5"/>
  <c r="L1001" i="5" s="1"/>
  <c r="J1000" i="5"/>
  <c r="H1000" i="5"/>
  <c r="G1000" i="5"/>
  <c r="L1000" i="5" s="1"/>
  <c r="H999" i="5"/>
  <c r="G999" i="5"/>
  <c r="L999" i="5" s="1"/>
  <c r="J998" i="5"/>
  <c r="H998" i="5"/>
  <c r="G998" i="5"/>
  <c r="L998" i="5" s="1"/>
  <c r="K997" i="5"/>
  <c r="H997" i="5"/>
  <c r="G997" i="5"/>
  <c r="L997" i="5" s="1"/>
  <c r="J996" i="5"/>
  <c r="H996" i="5"/>
  <c r="G996" i="5"/>
  <c r="L996" i="5" s="1"/>
  <c r="K995" i="5"/>
  <c r="H995" i="5"/>
  <c r="G995" i="5"/>
  <c r="L995" i="5" s="1"/>
  <c r="K994" i="5"/>
  <c r="H994" i="5"/>
  <c r="G994" i="5"/>
  <c r="L994" i="5" s="1"/>
  <c r="J993" i="5"/>
  <c r="H993" i="5"/>
  <c r="G993" i="5"/>
  <c r="L993" i="5" s="1"/>
  <c r="K992" i="5"/>
  <c r="H992" i="5"/>
  <c r="G992" i="5"/>
  <c r="L992" i="5" s="1"/>
  <c r="K991" i="5"/>
  <c r="H991" i="5"/>
  <c r="G991" i="5"/>
  <c r="L991" i="5" s="1"/>
  <c r="J990" i="5"/>
  <c r="H990" i="5"/>
  <c r="G990" i="5"/>
  <c r="L990" i="5" s="1"/>
  <c r="J989" i="5"/>
  <c r="H989" i="5"/>
  <c r="G989" i="5"/>
  <c r="L989" i="5" s="1"/>
  <c r="J988" i="5"/>
  <c r="H988" i="5"/>
  <c r="G988" i="5"/>
  <c r="L988" i="5" s="1"/>
  <c r="J987" i="5"/>
  <c r="H987" i="5"/>
  <c r="G987" i="5"/>
  <c r="L987" i="5" s="1"/>
  <c r="K986" i="5"/>
  <c r="H986" i="5"/>
  <c r="G986" i="5"/>
  <c r="L986" i="5" s="1"/>
  <c r="J985" i="5"/>
  <c r="H985" i="5"/>
  <c r="G985" i="5"/>
  <c r="L985" i="5" s="1"/>
  <c r="K984" i="5"/>
  <c r="H984" i="5"/>
  <c r="G984" i="5"/>
  <c r="L984" i="5" s="1"/>
  <c r="J983" i="5"/>
  <c r="H983" i="5"/>
  <c r="G983" i="5"/>
  <c r="L983" i="5" s="1"/>
  <c r="J982" i="5"/>
  <c r="H982" i="5"/>
  <c r="G982" i="5"/>
  <c r="L982" i="5" s="1"/>
  <c r="K981" i="5"/>
  <c r="H981" i="5"/>
  <c r="G981" i="5"/>
  <c r="L981" i="5" s="1"/>
  <c r="J980" i="5"/>
  <c r="H980" i="5"/>
  <c r="G980" i="5"/>
  <c r="L980" i="5" s="1"/>
  <c r="J979" i="5"/>
  <c r="H979" i="5"/>
  <c r="G979" i="5"/>
  <c r="L979" i="5" s="1"/>
  <c r="K978" i="5"/>
  <c r="H978" i="5"/>
  <c r="G978" i="5"/>
  <c r="L978" i="5" s="1"/>
  <c r="J977" i="5"/>
  <c r="H977" i="5"/>
  <c r="G977" i="5"/>
  <c r="L977" i="5" s="1"/>
  <c r="K976" i="5"/>
  <c r="H976" i="5"/>
  <c r="G976" i="5"/>
  <c r="L976" i="5" s="1"/>
  <c r="J975" i="5"/>
  <c r="H975" i="5"/>
  <c r="G975" i="5"/>
  <c r="L975" i="5" s="1"/>
  <c r="J974" i="5"/>
  <c r="H974" i="5"/>
  <c r="G974" i="5"/>
  <c r="L974" i="5" s="1"/>
  <c r="J973" i="5"/>
  <c r="H973" i="5"/>
  <c r="G973" i="5"/>
  <c r="L973" i="5" s="1"/>
  <c r="J972" i="5"/>
  <c r="H972" i="5"/>
  <c r="G972" i="5"/>
  <c r="L972" i="5" s="1"/>
  <c r="J971" i="5"/>
  <c r="H971" i="5"/>
  <c r="G971" i="5"/>
  <c r="L971" i="5" s="1"/>
  <c r="K970" i="5"/>
  <c r="H970" i="5"/>
  <c r="G970" i="5"/>
  <c r="L970" i="5" s="1"/>
  <c r="J969" i="5"/>
  <c r="H969" i="5"/>
  <c r="G969" i="5"/>
  <c r="L969" i="5" s="1"/>
  <c r="J968" i="5"/>
  <c r="H968" i="5"/>
  <c r="G968" i="5"/>
  <c r="L968" i="5" s="1"/>
  <c r="K967" i="5"/>
  <c r="H967" i="5"/>
  <c r="G967" i="5"/>
  <c r="L967" i="5" s="1"/>
  <c r="K966" i="5"/>
  <c r="H966" i="5"/>
  <c r="G966" i="5"/>
  <c r="L966" i="5" s="1"/>
  <c r="J965" i="5"/>
  <c r="H965" i="5"/>
  <c r="G965" i="5"/>
  <c r="L965" i="5" s="1"/>
  <c r="J964" i="5"/>
  <c r="H964" i="5"/>
  <c r="G964" i="5"/>
  <c r="L964" i="5" s="1"/>
  <c r="K963" i="5"/>
  <c r="H963" i="5"/>
  <c r="G963" i="5"/>
  <c r="L963" i="5" s="1"/>
  <c r="H962" i="5"/>
  <c r="G962" i="5"/>
  <c r="L962" i="5" s="1"/>
  <c r="J961" i="5"/>
  <c r="H961" i="5"/>
  <c r="G961" i="5"/>
  <c r="L961" i="5" s="1"/>
  <c r="J960" i="5"/>
  <c r="H960" i="5"/>
  <c r="G960" i="5"/>
  <c r="L960" i="5" s="1"/>
  <c r="J959" i="5"/>
  <c r="H959" i="5"/>
  <c r="G959" i="5"/>
  <c r="L959" i="5" s="1"/>
  <c r="J958" i="5"/>
  <c r="H958" i="5"/>
  <c r="G958" i="5"/>
  <c r="L958" i="5" s="1"/>
  <c r="J957" i="5"/>
  <c r="H957" i="5"/>
  <c r="G957" i="5"/>
  <c r="L957" i="5" s="1"/>
  <c r="K956" i="5"/>
  <c r="H956" i="5"/>
  <c r="G956" i="5"/>
  <c r="L956" i="5" s="1"/>
  <c r="K955" i="5"/>
  <c r="H955" i="5"/>
  <c r="G955" i="5"/>
  <c r="L955" i="5" s="1"/>
  <c r="K954" i="5"/>
  <c r="H954" i="5"/>
  <c r="G954" i="5"/>
  <c r="L954" i="5" s="1"/>
  <c r="J953" i="5"/>
  <c r="H953" i="5"/>
  <c r="G953" i="5"/>
  <c r="L953" i="5" s="1"/>
  <c r="K952" i="5"/>
  <c r="H952" i="5"/>
  <c r="G952" i="5"/>
  <c r="L952" i="5" s="1"/>
  <c r="K951" i="5"/>
  <c r="H951" i="5"/>
  <c r="G951" i="5"/>
  <c r="L951" i="5" s="1"/>
  <c r="J950" i="5"/>
  <c r="H950" i="5"/>
  <c r="G950" i="5"/>
  <c r="L950" i="5" s="1"/>
  <c r="H949" i="5"/>
  <c r="G949" i="5"/>
  <c r="L949" i="5" s="1"/>
  <c r="K948" i="5"/>
  <c r="H948" i="5"/>
  <c r="G948" i="5"/>
  <c r="L948" i="5" s="1"/>
  <c r="K947" i="5"/>
  <c r="H947" i="5"/>
  <c r="G947" i="5"/>
  <c r="L947" i="5" s="1"/>
  <c r="K946" i="5"/>
  <c r="H946" i="5"/>
  <c r="G946" i="5"/>
  <c r="L946" i="5" s="1"/>
  <c r="J945" i="5"/>
  <c r="H945" i="5"/>
  <c r="G945" i="5"/>
  <c r="L945" i="5" s="1"/>
  <c r="J944" i="5"/>
  <c r="H944" i="5"/>
  <c r="G944" i="5"/>
  <c r="L944" i="5" s="1"/>
  <c r="J943" i="5"/>
  <c r="H943" i="5"/>
  <c r="G943" i="5"/>
  <c r="L943" i="5" s="1"/>
  <c r="J942" i="5"/>
  <c r="H942" i="5"/>
  <c r="G942" i="5"/>
  <c r="L942" i="5" s="1"/>
  <c r="J941" i="5"/>
  <c r="H941" i="5"/>
  <c r="G941" i="5"/>
  <c r="L941" i="5" s="1"/>
  <c r="K940" i="5"/>
  <c r="H940" i="5"/>
  <c r="G940" i="5"/>
  <c r="L940" i="5" s="1"/>
  <c r="K939" i="5"/>
  <c r="H939" i="5"/>
  <c r="G939" i="5"/>
  <c r="L939" i="5" s="1"/>
  <c r="J938" i="5"/>
  <c r="H938" i="5"/>
  <c r="G938" i="5"/>
  <c r="L938" i="5" s="1"/>
  <c r="J937" i="5"/>
  <c r="H937" i="5"/>
  <c r="G937" i="5"/>
  <c r="L937" i="5" s="1"/>
  <c r="H936" i="5"/>
  <c r="G936" i="5"/>
  <c r="L936" i="5" s="1"/>
  <c r="J935" i="5"/>
  <c r="H935" i="5"/>
  <c r="G935" i="5"/>
  <c r="L935" i="5" s="1"/>
  <c r="J934" i="5"/>
  <c r="H934" i="5"/>
  <c r="G934" i="5"/>
  <c r="L934" i="5" s="1"/>
  <c r="J933" i="5"/>
  <c r="H933" i="5"/>
  <c r="G933" i="5"/>
  <c r="L933" i="5" s="1"/>
  <c r="J932" i="5"/>
  <c r="H932" i="5"/>
  <c r="G932" i="5"/>
  <c r="L932" i="5" s="1"/>
  <c r="K931" i="5"/>
  <c r="H931" i="5"/>
  <c r="G931" i="5"/>
  <c r="L931" i="5" s="1"/>
  <c r="J930" i="5"/>
  <c r="H930" i="5"/>
  <c r="G930" i="5"/>
  <c r="L930" i="5" s="1"/>
  <c r="J929" i="5"/>
  <c r="H929" i="5"/>
  <c r="G929" i="5"/>
  <c r="L929" i="5" s="1"/>
  <c r="K928" i="5"/>
  <c r="H928" i="5"/>
  <c r="G928" i="5"/>
  <c r="L928" i="5" s="1"/>
  <c r="J927" i="5"/>
  <c r="H927" i="5"/>
  <c r="G927" i="5"/>
  <c r="L927" i="5" s="1"/>
  <c r="J926" i="5"/>
  <c r="H926" i="5"/>
  <c r="G926" i="5"/>
  <c r="L926" i="5" s="1"/>
  <c r="J925" i="5"/>
  <c r="H925" i="5"/>
  <c r="G925" i="5"/>
  <c r="L925" i="5" s="1"/>
  <c r="K924" i="5"/>
  <c r="H924" i="5"/>
  <c r="G924" i="5"/>
  <c r="L924" i="5" s="1"/>
  <c r="H923" i="5"/>
  <c r="G923" i="5"/>
  <c r="L923" i="5" s="1"/>
  <c r="J922" i="5"/>
  <c r="H922" i="5"/>
  <c r="G922" i="5"/>
  <c r="L922" i="5" s="1"/>
  <c r="K921" i="5"/>
  <c r="H921" i="5"/>
  <c r="G921" i="5"/>
  <c r="L921" i="5" s="1"/>
  <c r="J920" i="5"/>
  <c r="H920" i="5"/>
  <c r="G920" i="5"/>
  <c r="L920" i="5" s="1"/>
  <c r="J919" i="5"/>
  <c r="H919" i="5"/>
  <c r="G919" i="5"/>
  <c r="L919" i="5" s="1"/>
  <c r="J918" i="5"/>
  <c r="H918" i="5"/>
  <c r="G918" i="5"/>
  <c r="L918" i="5" s="1"/>
  <c r="K917" i="5"/>
  <c r="H917" i="5"/>
  <c r="G917" i="5"/>
  <c r="L917" i="5" s="1"/>
  <c r="J916" i="5"/>
  <c r="H916" i="5"/>
  <c r="G916" i="5"/>
  <c r="L916" i="5" s="1"/>
  <c r="H915" i="5"/>
  <c r="G915" i="5"/>
  <c r="L915" i="5" s="1"/>
  <c r="J914" i="5"/>
  <c r="H914" i="5"/>
  <c r="G914" i="5"/>
  <c r="L914" i="5" s="1"/>
  <c r="J913" i="5"/>
  <c r="H913" i="5"/>
  <c r="G913" i="5"/>
  <c r="L913" i="5" s="1"/>
  <c r="J912" i="5"/>
  <c r="H912" i="5"/>
  <c r="G912" i="5"/>
  <c r="L912" i="5" s="1"/>
  <c r="K911" i="5"/>
  <c r="H911" i="5"/>
  <c r="G911" i="5"/>
  <c r="L911" i="5" s="1"/>
  <c r="H910" i="5"/>
  <c r="G910" i="5"/>
  <c r="L910" i="5" s="1"/>
  <c r="H909" i="5"/>
  <c r="G909" i="5"/>
  <c r="L909" i="5" s="1"/>
  <c r="J908" i="5"/>
  <c r="H908" i="5"/>
  <c r="G908" i="5"/>
  <c r="L908" i="5" s="1"/>
  <c r="J907" i="5"/>
  <c r="H907" i="5"/>
  <c r="G907" i="5"/>
  <c r="L907" i="5" s="1"/>
  <c r="J906" i="5"/>
  <c r="H906" i="5"/>
  <c r="G906" i="5"/>
  <c r="L906" i="5" s="1"/>
  <c r="J905" i="5"/>
  <c r="H905" i="5"/>
  <c r="G905" i="5"/>
  <c r="L905" i="5" s="1"/>
  <c r="J904" i="5"/>
  <c r="H904" i="5"/>
  <c r="G904" i="5"/>
  <c r="L904" i="5" s="1"/>
  <c r="J903" i="5"/>
  <c r="H903" i="5"/>
  <c r="G903" i="5"/>
  <c r="L903" i="5" s="1"/>
  <c r="J902" i="5"/>
  <c r="H902" i="5"/>
  <c r="G902" i="5"/>
  <c r="L902" i="5" s="1"/>
  <c r="J901" i="5"/>
  <c r="H901" i="5"/>
  <c r="G901" i="5"/>
  <c r="L901" i="5" s="1"/>
  <c r="K900" i="5"/>
  <c r="H900" i="5"/>
  <c r="G900" i="5"/>
  <c r="L900" i="5" s="1"/>
  <c r="K899" i="5"/>
  <c r="H899" i="5"/>
  <c r="G899" i="5"/>
  <c r="L899" i="5" s="1"/>
  <c r="K898" i="5"/>
  <c r="H898" i="5"/>
  <c r="G898" i="5"/>
  <c r="L898" i="5" s="1"/>
  <c r="K897" i="5"/>
  <c r="H897" i="5"/>
  <c r="G897" i="5"/>
  <c r="L897" i="5" s="1"/>
  <c r="J896" i="5"/>
  <c r="H896" i="5"/>
  <c r="G896" i="5"/>
  <c r="L896" i="5" s="1"/>
  <c r="J895" i="5"/>
  <c r="H895" i="5"/>
  <c r="G895" i="5"/>
  <c r="L895" i="5" s="1"/>
  <c r="J894" i="5"/>
  <c r="H894" i="5"/>
  <c r="G894" i="5"/>
  <c r="L894" i="5" s="1"/>
  <c r="J893" i="5"/>
  <c r="H893" i="5"/>
  <c r="G893" i="5"/>
  <c r="L893" i="5" s="1"/>
  <c r="J892" i="5"/>
  <c r="H892" i="5"/>
  <c r="G892" i="5"/>
  <c r="L892" i="5" s="1"/>
  <c r="H891" i="5"/>
  <c r="G891" i="5"/>
  <c r="L891" i="5" s="1"/>
  <c r="K890" i="5"/>
  <c r="H890" i="5"/>
  <c r="G890" i="5"/>
  <c r="L890" i="5" s="1"/>
  <c r="J889" i="5"/>
  <c r="H889" i="5"/>
  <c r="G889" i="5"/>
  <c r="L889" i="5" s="1"/>
  <c r="K888" i="5"/>
  <c r="H888" i="5"/>
  <c r="G888" i="5"/>
  <c r="L888" i="5" s="1"/>
  <c r="J887" i="5"/>
  <c r="H887" i="5"/>
  <c r="G887" i="5"/>
  <c r="L887" i="5" s="1"/>
  <c r="J886" i="5"/>
  <c r="H886" i="5"/>
  <c r="G886" i="5"/>
  <c r="L886" i="5" s="1"/>
  <c r="J885" i="5"/>
  <c r="H885" i="5"/>
  <c r="G885" i="5"/>
  <c r="L885" i="5" s="1"/>
  <c r="K884" i="5"/>
  <c r="H884" i="5"/>
  <c r="G884" i="5"/>
  <c r="L884" i="5" s="1"/>
  <c r="K883" i="5"/>
  <c r="H883" i="5"/>
  <c r="G883" i="5"/>
  <c r="L883" i="5" s="1"/>
  <c r="J882" i="5"/>
  <c r="H882" i="5"/>
  <c r="G882" i="5"/>
  <c r="L882" i="5" s="1"/>
  <c r="J881" i="5"/>
  <c r="H881" i="5"/>
  <c r="G881" i="5"/>
  <c r="L881" i="5" s="1"/>
  <c r="J880" i="5"/>
  <c r="H880" i="5"/>
  <c r="G880" i="5"/>
  <c r="L880" i="5" s="1"/>
  <c r="J879" i="5"/>
  <c r="H879" i="5"/>
  <c r="G879" i="5"/>
  <c r="L879" i="5" s="1"/>
  <c r="H878" i="5"/>
  <c r="G878" i="5"/>
  <c r="L878" i="5" s="1"/>
  <c r="H877" i="5"/>
  <c r="G877" i="5"/>
  <c r="L877" i="5" s="1"/>
  <c r="J876" i="5"/>
  <c r="H876" i="5"/>
  <c r="G876" i="5"/>
  <c r="L876" i="5" s="1"/>
  <c r="J875" i="5"/>
  <c r="H875" i="5"/>
  <c r="G875" i="5"/>
  <c r="L875" i="5" s="1"/>
  <c r="J874" i="5"/>
  <c r="H874" i="5"/>
  <c r="G874" i="5"/>
  <c r="L874" i="5" s="1"/>
  <c r="J873" i="5"/>
  <c r="H873" i="5"/>
  <c r="G873" i="5"/>
  <c r="L873" i="5" s="1"/>
  <c r="J872" i="5"/>
  <c r="H872" i="5"/>
  <c r="G872" i="5"/>
  <c r="L872" i="5" s="1"/>
  <c r="H871" i="5"/>
  <c r="G871" i="5"/>
  <c r="L871" i="5" s="1"/>
  <c r="H870" i="5"/>
  <c r="G870" i="5"/>
  <c r="L870" i="5" s="1"/>
  <c r="J869" i="5"/>
  <c r="H869" i="5"/>
  <c r="G869" i="5"/>
  <c r="L869" i="5" s="1"/>
  <c r="J868" i="5"/>
  <c r="H868" i="5"/>
  <c r="G868" i="5"/>
  <c r="L868" i="5" s="1"/>
  <c r="K867" i="5"/>
  <c r="H867" i="5"/>
  <c r="G867" i="5"/>
  <c r="L867" i="5" s="1"/>
  <c r="J866" i="5"/>
  <c r="H866" i="5"/>
  <c r="G866" i="5"/>
  <c r="L866" i="5" s="1"/>
  <c r="J865" i="5"/>
  <c r="H865" i="5"/>
  <c r="G865" i="5"/>
  <c r="L865" i="5" s="1"/>
  <c r="J864" i="5"/>
  <c r="H864" i="5"/>
  <c r="G864" i="5"/>
  <c r="L864" i="5" s="1"/>
  <c r="J863" i="5"/>
  <c r="H863" i="5"/>
  <c r="G863" i="5"/>
  <c r="L863" i="5" s="1"/>
  <c r="K862" i="5"/>
  <c r="H862" i="5"/>
  <c r="G862" i="5"/>
  <c r="L862" i="5" s="1"/>
  <c r="K861" i="5"/>
  <c r="H861" i="5"/>
  <c r="G861" i="5"/>
  <c r="L861" i="5" s="1"/>
  <c r="J860" i="5"/>
  <c r="H860" i="5"/>
  <c r="G860" i="5"/>
  <c r="L860" i="5" s="1"/>
  <c r="H859" i="5"/>
  <c r="G859" i="5"/>
  <c r="L859" i="5" s="1"/>
  <c r="J858" i="5"/>
  <c r="H858" i="5"/>
  <c r="G858" i="5"/>
  <c r="L858" i="5" s="1"/>
  <c r="K857" i="5"/>
  <c r="H857" i="5"/>
  <c r="G857" i="5"/>
  <c r="L857" i="5" s="1"/>
  <c r="J856" i="5"/>
  <c r="H856" i="5"/>
  <c r="G856" i="5"/>
  <c r="L856" i="5" s="1"/>
  <c r="J855" i="5"/>
  <c r="H855" i="5"/>
  <c r="G855" i="5"/>
  <c r="L855" i="5" s="1"/>
  <c r="H854" i="5"/>
  <c r="G854" i="5"/>
  <c r="L854" i="5" s="1"/>
  <c r="J853" i="5"/>
  <c r="H853" i="5"/>
  <c r="G853" i="5"/>
  <c r="L853" i="5" s="1"/>
  <c r="J852" i="5"/>
  <c r="H852" i="5"/>
  <c r="G852" i="5"/>
  <c r="L852" i="5" s="1"/>
  <c r="J851" i="5"/>
  <c r="H851" i="5"/>
  <c r="G851" i="5"/>
  <c r="L851" i="5" s="1"/>
  <c r="J850" i="5"/>
  <c r="H850" i="5"/>
  <c r="G850" i="5"/>
  <c r="L850" i="5" s="1"/>
  <c r="J849" i="5"/>
  <c r="H849" i="5"/>
  <c r="G849" i="5"/>
  <c r="L849" i="5" s="1"/>
  <c r="K848" i="5"/>
  <c r="H848" i="5"/>
  <c r="G848" i="5"/>
  <c r="L848" i="5" s="1"/>
  <c r="J847" i="5"/>
  <c r="H847" i="5"/>
  <c r="G847" i="5"/>
  <c r="L847" i="5" s="1"/>
  <c r="J846" i="5"/>
  <c r="H846" i="5"/>
  <c r="G846" i="5"/>
  <c r="L846" i="5" s="1"/>
  <c r="J845" i="5"/>
  <c r="H845" i="5"/>
  <c r="G845" i="5"/>
  <c r="L845" i="5" s="1"/>
  <c r="J844" i="5"/>
  <c r="H844" i="5"/>
  <c r="G844" i="5"/>
  <c r="L844" i="5" s="1"/>
  <c r="J843" i="5"/>
  <c r="H843" i="5"/>
  <c r="G843" i="5"/>
  <c r="L843" i="5" s="1"/>
  <c r="J842" i="5"/>
  <c r="H842" i="5"/>
  <c r="G842" i="5"/>
  <c r="L842" i="5" s="1"/>
  <c r="J841" i="5"/>
  <c r="H841" i="5"/>
  <c r="G841" i="5"/>
  <c r="L841" i="5" s="1"/>
  <c r="K840" i="5"/>
  <c r="H840" i="5"/>
  <c r="G840" i="5"/>
  <c r="L840" i="5" s="1"/>
  <c r="J839" i="5"/>
  <c r="H839" i="5"/>
  <c r="G839" i="5"/>
  <c r="L839" i="5" s="1"/>
  <c r="J838" i="5"/>
  <c r="H838" i="5"/>
  <c r="G838" i="5"/>
  <c r="L838" i="5" s="1"/>
  <c r="K837" i="5"/>
  <c r="H837" i="5"/>
  <c r="G837" i="5"/>
  <c r="L837" i="5" s="1"/>
  <c r="J836" i="5"/>
  <c r="H836" i="5"/>
  <c r="G836" i="5"/>
  <c r="L836" i="5" s="1"/>
  <c r="K835" i="5"/>
  <c r="H835" i="5"/>
  <c r="G835" i="5"/>
  <c r="L835" i="5" s="1"/>
  <c r="K834" i="5"/>
  <c r="H834" i="5"/>
  <c r="G834" i="5"/>
  <c r="L834" i="5" s="1"/>
  <c r="J833" i="5"/>
  <c r="H833" i="5"/>
  <c r="G833" i="5"/>
  <c r="L833" i="5" s="1"/>
  <c r="J832" i="5"/>
  <c r="H832" i="5"/>
  <c r="G832" i="5"/>
  <c r="L832" i="5" s="1"/>
  <c r="K831" i="5"/>
  <c r="H831" i="5"/>
  <c r="G831" i="5"/>
  <c r="L831" i="5" s="1"/>
  <c r="K830" i="5"/>
  <c r="H830" i="5"/>
  <c r="G830" i="5"/>
  <c r="L830" i="5" s="1"/>
  <c r="J829" i="5"/>
  <c r="H829" i="5"/>
  <c r="G829" i="5"/>
  <c r="L829" i="5" s="1"/>
  <c r="K828" i="5"/>
  <c r="H828" i="5"/>
  <c r="G828" i="5"/>
  <c r="L828" i="5" s="1"/>
  <c r="J827" i="5"/>
  <c r="H827" i="5"/>
  <c r="G827" i="5"/>
  <c r="L827" i="5" s="1"/>
  <c r="H826" i="5"/>
  <c r="G826" i="5"/>
  <c r="L826" i="5" s="1"/>
  <c r="K825" i="5"/>
  <c r="H825" i="5"/>
  <c r="G825" i="5"/>
  <c r="L825" i="5" s="1"/>
  <c r="K824" i="5"/>
  <c r="H824" i="5"/>
  <c r="G824" i="5"/>
  <c r="L824" i="5" s="1"/>
  <c r="J823" i="5"/>
  <c r="H823" i="5"/>
  <c r="G823" i="5"/>
  <c r="L823" i="5" s="1"/>
  <c r="J822" i="5"/>
  <c r="H822" i="5"/>
  <c r="G822" i="5"/>
  <c r="L822" i="5" s="1"/>
  <c r="J821" i="5"/>
  <c r="H821" i="5"/>
  <c r="G821" i="5"/>
  <c r="L821" i="5" s="1"/>
  <c r="J820" i="5"/>
  <c r="H820" i="5"/>
  <c r="G820" i="5"/>
  <c r="L820" i="5" s="1"/>
  <c r="J819" i="5"/>
  <c r="H819" i="5"/>
  <c r="G819" i="5"/>
  <c r="L819" i="5" s="1"/>
  <c r="H818" i="5"/>
  <c r="G818" i="5"/>
  <c r="L818" i="5" s="1"/>
  <c r="J817" i="5"/>
  <c r="H817" i="5"/>
  <c r="G817" i="5"/>
  <c r="L817" i="5" s="1"/>
  <c r="J816" i="5"/>
  <c r="H816" i="5"/>
  <c r="G816" i="5"/>
  <c r="L816" i="5" s="1"/>
  <c r="K815" i="5"/>
  <c r="H815" i="5"/>
  <c r="G815" i="5"/>
  <c r="L815" i="5" s="1"/>
  <c r="K814" i="5"/>
  <c r="H814" i="5"/>
  <c r="G814" i="5"/>
  <c r="L814" i="5" s="1"/>
  <c r="J813" i="5"/>
  <c r="H813" i="5"/>
  <c r="G813" i="5"/>
  <c r="L813" i="5" s="1"/>
  <c r="J812" i="5"/>
  <c r="H812" i="5"/>
  <c r="G812" i="5"/>
  <c r="L812" i="5" s="1"/>
  <c r="K811" i="5"/>
  <c r="H811" i="5"/>
  <c r="G811" i="5"/>
  <c r="L811" i="5" s="1"/>
  <c r="K810" i="5"/>
  <c r="H810" i="5"/>
  <c r="G810" i="5"/>
  <c r="L810" i="5" s="1"/>
  <c r="J809" i="5"/>
  <c r="H809" i="5"/>
  <c r="G809" i="5"/>
  <c r="L809" i="5" s="1"/>
  <c r="K808" i="5"/>
  <c r="H808" i="5"/>
  <c r="G808" i="5"/>
  <c r="L808" i="5" s="1"/>
  <c r="J807" i="5"/>
  <c r="H807" i="5"/>
  <c r="G807" i="5"/>
  <c r="L807" i="5" s="1"/>
  <c r="K806" i="5"/>
  <c r="H806" i="5"/>
  <c r="G806" i="5"/>
  <c r="L806" i="5" s="1"/>
  <c r="J805" i="5"/>
  <c r="H805" i="5"/>
  <c r="G805" i="5"/>
  <c r="L805" i="5" s="1"/>
  <c r="J804" i="5"/>
  <c r="H804" i="5"/>
  <c r="G804" i="5"/>
  <c r="L804" i="5" s="1"/>
  <c r="J803" i="5"/>
  <c r="H803" i="5"/>
  <c r="G803" i="5"/>
  <c r="L803" i="5" s="1"/>
  <c r="K802" i="5"/>
  <c r="H802" i="5"/>
  <c r="G802" i="5"/>
  <c r="L802" i="5" s="1"/>
  <c r="K801" i="5"/>
  <c r="H801" i="5"/>
  <c r="G801" i="5"/>
  <c r="L801" i="5" s="1"/>
  <c r="J800" i="5"/>
  <c r="H800" i="5"/>
  <c r="G800" i="5"/>
  <c r="L800" i="5" s="1"/>
  <c r="K799" i="5"/>
  <c r="H799" i="5"/>
  <c r="G799" i="5"/>
  <c r="L799" i="5" s="1"/>
  <c r="J798" i="5"/>
  <c r="H798" i="5"/>
  <c r="G798" i="5"/>
  <c r="L798" i="5" s="1"/>
  <c r="K797" i="5"/>
  <c r="H797" i="5"/>
  <c r="G797" i="5"/>
  <c r="L797" i="5" s="1"/>
  <c r="K796" i="5"/>
  <c r="H796" i="5"/>
  <c r="G796" i="5"/>
  <c r="L796" i="5" s="1"/>
  <c r="K795" i="5"/>
  <c r="H795" i="5"/>
  <c r="G795" i="5"/>
  <c r="L795" i="5" s="1"/>
  <c r="J794" i="5"/>
  <c r="H794" i="5"/>
  <c r="G794" i="5"/>
  <c r="L794" i="5" s="1"/>
  <c r="J793" i="5"/>
  <c r="H793" i="5"/>
  <c r="G793" i="5"/>
  <c r="L793" i="5" s="1"/>
  <c r="J792" i="5"/>
  <c r="H792" i="5"/>
  <c r="G792" i="5"/>
  <c r="L792" i="5" s="1"/>
  <c r="J791" i="5"/>
  <c r="H791" i="5"/>
  <c r="G791" i="5"/>
  <c r="L791" i="5" s="1"/>
  <c r="J790" i="5"/>
  <c r="H790" i="5"/>
  <c r="G790" i="5"/>
  <c r="L790" i="5" s="1"/>
  <c r="K789" i="5"/>
  <c r="H789" i="5"/>
  <c r="G789" i="5"/>
  <c r="L789" i="5" s="1"/>
  <c r="H788" i="5"/>
  <c r="G788" i="5"/>
  <c r="L788" i="5" s="1"/>
  <c r="J787" i="5"/>
  <c r="H787" i="5"/>
  <c r="G787" i="5"/>
  <c r="L787" i="5" s="1"/>
  <c r="J786" i="5"/>
  <c r="H786" i="5"/>
  <c r="G786" i="5"/>
  <c r="L786" i="5" s="1"/>
  <c r="J785" i="5"/>
  <c r="H785" i="5"/>
  <c r="G785" i="5"/>
  <c r="L785" i="5" s="1"/>
  <c r="K784" i="5"/>
  <c r="H784" i="5"/>
  <c r="G784" i="5"/>
  <c r="L784" i="5" s="1"/>
  <c r="J783" i="5"/>
  <c r="H783" i="5"/>
  <c r="G783" i="5"/>
  <c r="L783" i="5" s="1"/>
  <c r="J782" i="5"/>
  <c r="H782" i="5"/>
  <c r="G782" i="5"/>
  <c r="L782" i="5" s="1"/>
  <c r="K781" i="5"/>
  <c r="H781" i="5"/>
  <c r="G781" i="5"/>
  <c r="L781" i="5" s="1"/>
  <c r="K780" i="5"/>
  <c r="H780" i="5"/>
  <c r="G780" i="5"/>
  <c r="L780" i="5" s="1"/>
  <c r="J779" i="5"/>
  <c r="H779" i="5"/>
  <c r="G779" i="5"/>
  <c r="L779" i="5" s="1"/>
  <c r="J778" i="5"/>
  <c r="H778" i="5"/>
  <c r="G778" i="5"/>
  <c r="L778" i="5" s="1"/>
  <c r="J777" i="5"/>
  <c r="H777" i="5"/>
  <c r="G777" i="5"/>
  <c r="L777" i="5" s="1"/>
  <c r="J776" i="5"/>
  <c r="H776" i="5"/>
  <c r="G776" i="5"/>
  <c r="L776" i="5" s="1"/>
  <c r="K775" i="5"/>
  <c r="H775" i="5"/>
  <c r="G775" i="5"/>
  <c r="L775" i="5" s="1"/>
  <c r="K774" i="5"/>
  <c r="H774" i="5"/>
  <c r="G774" i="5"/>
  <c r="L774" i="5" s="1"/>
  <c r="K773" i="5"/>
  <c r="H773" i="5"/>
  <c r="G773" i="5"/>
  <c r="L773" i="5" s="1"/>
  <c r="J772" i="5"/>
  <c r="H772" i="5"/>
  <c r="G772" i="5"/>
  <c r="L772" i="5" s="1"/>
  <c r="J771" i="5"/>
  <c r="H771" i="5"/>
  <c r="G771" i="5"/>
  <c r="L771" i="5" s="1"/>
  <c r="J770" i="5"/>
  <c r="H770" i="5"/>
  <c r="G770" i="5"/>
  <c r="L770" i="5" s="1"/>
  <c r="J769" i="5"/>
  <c r="H769" i="5"/>
  <c r="G769" i="5"/>
  <c r="L769" i="5" s="1"/>
  <c r="K768" i="5"/>
  <c r="H768" i="5"/>
  <c r="G768" i="5"/>
  <c r="L768" i="5" s="1"/>
  <c r="J767" i="5"/>
  <c r="H767" i="5"/>
  <c r="G767" i="5"/>
  <c r="L767" i="5" s="1"/>
  <c r="J766" i="5"/>
  <c r="H766" i="5"/>
  <c r="G766" i="5"/>
  <c r="L766" i="5" s="1"/>
  <c r="J765" i="5"/>
  <c r="H765" i="5"/>
  <c r="G765" i="5"/>
  <c r="L765" i="5" s="1"/>
  <c r="J764" i="5"/>
  <c r="H764" i="5"/>
  <c r="G764" i="5"/>
  <c r="L764" i="5" s="1"/>
  <c r="J763" i="5"/>
  <c r="H763" i="5"/>
  <c r="G763" i="5"/>
  <c r="L763" i="5" s="1"/>
  <c r="J762" i="5"/>
  <c r="H762" i="5"/>
  <c r="G762" i="5"/>
  <c r="L762" i="5" s="1"/>
  <c r="J761" i="5"/>
  <c r="H761" i="5"/>
  <c r="G761" i="5"/>
  <c r="L761" i="5" s="1"/>
  <c r="J760" i="5"/>
  <c r="H760" i="5"/>
  <c r="G760" i="5"/>
  <c r="L760" i="5" s="1"/>
  <c r="J759" i="5"/>
  <c r="H759" i="5"/>
  <c r="G759" i="5"/>
  <c r="L759" i="5" s="1"/>
  <c r="J758" i="5"/>
  <c r="H758" i="5"/>
  <c r="G758" i="5"/>
  <c r="L758" i="5" s="1"/>
  <c r="J757" i="5"/>
  <c r="H757" i="5"/>
  <c r="G757" i="5"/>
  <c r="L757" i="5" s="1"/>
  <c r="H756" i="5"/>
  <c r="G756" i="5"/>
  <c r="L756" i="5" s="1"/>
  <c r="K755" i="5"/>
  <c r="H755" i="5"/>
  <c r="G755" i="5"/>
  <c r="L755" i="5" s="1"/>
  <c r="J754" i="5"/>
  <c r="H754" i="5"/>
  <c r="G754" i="5"/>
  <c r="L754" i="5" s="1"/>
  <c r="J753" i="5"/>
  <c r="H753" i="5"/>
  <c r="G753" i="5"/>
  <c r="L753" i="5" s="1"/>
  <c r="J752" i="5"/>
  <c r="H752" i="5"/>
  <c r="G752" i="5"/>
  <c r="L752" i="5" s="1"/>
  <c r="K751" i="5"/>
  <c r="H751" i="5"/>
  <c r="G751" i="5"/>
  <c r="L751" i="5" s="1"/>
  <c r="J750" i="5"/>
  <c r="H750" i="5"/>
  <c r="G750" i="5"/>
  <c r="L750" i="5" s="1"/>
  <c r="J749" i="5"/>
  <c r="H749" i="5"/>
  <c r="G749" i="5"/>
  <c r="L749" i="5" s="1"/>
  <c r="J748" i="5"/>
  <c r="H748" i="5"/>
  <c r="G748" i="5"/>
  <c r="L748" i="5" s="1"/>
  <c r="J747" i="5"/>
  <c r="H747" i="5"/>
  <c r="G747" i="5"/>
  <c r="L747" i="5" s="1"/>
  <c r="K746" i="5"/>
  <c r="H746" i="5"/>
  <c r="G746" i="5"/>
  <c r="L746" i="5" s="1"/>
  <c r="J745" i="5"/>
  <c r="H745" i="5"/>
  <c r="G745" i="5"/>
  <c r="L745" i="5" s="1"/>
  <c r="J744" i="5"/>
  <c r="H744" i="5"/>
  <c r="G744" i="5"/>
  <c r="L744" i="5" s="1"/>
  <c r="J743" i="5"/>
  <c r="H743" i="5"/>
  <c r="G743" i="5"/>
  <c r="L743" i="5" s="1"/>
  <c r="J742" i="5"/>
  <c r="H742" i="5"/>
  <c r="G742" i="5"/>
  <c r="L742" i="5" s="1"/>
  <c r="K741" i="5"/>
  <c r="H741" i="5"/>
  <c r="G741" i="5"/>
  <c r="L741" i="5" s="1"/>
  <c r="J740" i="5"/>
  <c r="H740" i="5"/>
  <c r="G740" i="5"/>
  <c r="L740" i="5" s="1"/>
  <c r="K739" i="5"/>
  <c r="H739" i="5"/>
  <c r="G739" i="5"/>
  <c r="L739" i="5" s="1"/>
  <c r="K738" i="5"/>
  <c r="H738" i="5"/>
  <c r="G738" i="5"/>
  <c r="L738" i="5" s="1"/>
  <c r="J737" i="5"/>
  <c r="H737" i="5"/>
  <c r="G737" i="5"/>
  <c r="L737" i="5" s="1"/>
  <c r="J736" i="5"/>
  <c r="H736" i="5"/>
  <c r="G736" i="5"/>
  <c r="L736" i="5" s="1"/>
  <c r="K735" i="5"/>
  <c r="H735" i="5"/>
  <c r="G735" i="5"/>
  <c r="L735" i="5" s="1"/>
  <c r="K734" i="5"/>
  <c r="H734" i="5"/>
  <c r="G734" i="5"/>
  <c r="L734" i="5" s="1"/>
  <c r="J733" i="5"/>
  <c r="H733" i="5"/>
  <c r="G733" i="5"/>
  <c r="L733" i="5" s="1"/>
  <c r="J732" i="5"/>
  <c r="H732" i="5"/>
  <c r="G732" i="5"/>
  <c r="L732" i="5" s="1"/>
  <c r="J731" i="5"/>
  <c r="H731" i="5"/>
  <c r="G731" i="5"/>
  <c r="L731" i="5" s="1"/>
  <c r="K730" i="5"/>
  <c r="H730" i="5"/>
  <c r="G730" i="5"/>
  <c r="L730" i="5" s="1"/>
  <c r="J729" i="5"/>
  <c r="H729" i="5"/>
  <c r="G729" i="5"/>
  <c r="L729" i="5" s="1"/>
  <c r="J728" i="5"/>
  <c r="H728" i="5"/>
  <c r="G728" i="5"/>
  <c r="L728" i="5" s="1"/>
  <c r="J727" i="5"/>
  <c r="H727" i="5"/>
  <c r="G727" i="5"/>
  <c r="L727" i="5" s="1"/>
  <c r="J726" i="5"/>
  <c r="H726" i="5"/>
  <c r="G726" i="5"/>
  <c r="L726" i="5" s="1"/>
  <c r="J725" i="5"/>
  <c r="H725" i="5"/>
  <c r="G725" i="5"/>
  <c r="L725" i="5" s="1"/>
  <c r="K724" i="5"/>
  <c r="H724" i="5"/>
  <c r="G724" i="5"/>
  <c r="L724" i="5" s="1"/>
  <c r="K723" i="5"/>
  <c r="H723" i="5"/>
  <c r="G723" i="5"/>
  <c r="L723" i="5" s="1"/>
  <c r="J722" i="5"/>
  <c r="H722" i="5"/>
  <c r="G722" i="5"/>
  <c r="L722" i="5" s="1"/>
  <c r="J721" i="5"/>
  <c r="H721" i="5"/>
  <c r="G721" i="5"/>
  <c r="L721" i="5" s="1"/>
  <c r="J720" i="5"/>
  <c r="H720" i="5"/>
  <c r="G720" i="5"/>
  <c r="L720" i="5" s="1"/>
  <c r="K719" i="5"/>
  <c r="H719" i="5"/>
  <c r="G719" i="5"/>
  <c r="L719" i="5" s="1"/>
  <c r="K718" i="5"/>
  <c r="H718" i="5"/>
  <c r="G718" i="5"/>
  <c r="L718" i="5" s="1"/>
  <c r="J717" i="5"/>
  <c r="H717" i="5"/>
  <c r="G717" i="5"/>
  <c r="L717" i="5" s="1"/>
  <c r="J716" i="5"/>
  <c r="H716" i="5"/>
  <c r="G716" i="5"/>
  <c r="L716" i="5" s="1"/>
  <c r="K715" i="5"/>
  <c r="H715" i="5"/>
  <c r="G715" i="5"/>
  <c r="L715" i="5" s="1"/>
  <c r="J714" i="5"/>
  <c r="H714" i="5"/>
  <c r="G714" i="5"/>
  <c r="L714" i="5" s="1"/>
  <c r="J713" i="5"/>
  <c r="H713" i="5"/>
  <c r="G713" i="5"/>
  <c r="L713" i="5" s="1"/>
  <c r="K712" i="5"/>
  <c r="H712" i="5"/>
  <c r="G712" i="5"/>
  <c r="L712" i="5" s="1"/>
  <c r="J711" i="5"/>
  <c r="H711" i="5"/>
  <c r="G711" i="5"/>
  <c r="L711" i="5" s="1"/>
  <c r="J710" i="5"/>
  <c r="H710" i="5"/>
  <c r="G710" i="5"/>
  <c r="L710" i="5" s="1"/>
  <c r="J709" i="5"/>
  <c r="H709" i="5"/>
  <c r="G709" i="5"/>
  <c r="L709" i="5" s="1"/>
  <c r="J708" i="5"/>
  <c r="H708" i="5"/>
  <c r="G708" i="5"/>
  <c r="L708" i="5" s="1"/>
  <c r="K707" i="5"/>
  <c r="H707" i="5"/>
  <c r="G707" i="5"/>
  <c r="L707" i="5" s="1"/>
  <c r="J706" i="5"/>
  <c r="H706" i="5"/>
  <c r="G706" i="5"/>
  <c r="L706" i="5" s="1"/>
  <c r="J705" i="5"/>
  <c r="H705" i="5"/>
  <c r="G705" i="5"/>
  <c r="L705" i="5" s="1"/>
  <c r="J704" i="5"/>
  <c r="H704" i="5"/>
  <c r="G704" i="5"/>
  <c r="L704" i="5" s="1"/>
  <c r="J703" i="5"/>
  <c r="H703" i="5"/>
  <c r="G703" i="5"/>
  <c r="L703" i="5" s="1"/>
  <c r="J702" i="5"/>
  <c r="H702" i="5"/>
  <c r="G702" i="5"/>
  <c r="L702" i="5" s="1"/>
  <c r="J701" i="5"/>
  <c r="H701" i="5"/>
  <c r="G701" i="5"/>
  <c r="L701" i="5" s="1"/>
  <c r="J700" i="5"/>
  <c r="H700" i="5"/>
  <c r="G700" i="5"/>
  <c r="L700" i="5" s="1"/>
  <c r="J699" i="5"/>
  <c r="H699" i="5"/>
  <c r="G699" i="5"/>
  <c r="L699" i="5" s="1"/>
  <c r="K698" i="5"/>
  <c r="H698" i="5"/>
  <c r="G698" i="5"/>
  <c r="L698" i="5" s="1"/>
  <c r="J697" i="5"/>
  <c r="H697" i="5"/>
  <c r="G697" i="5"/>
  <c r="L697" i="5" s="1"/>
  <c r="J696" i="5"/>
  <c r="H696" i="5"/>
  <c r="G696" i="5"/>
  <c r="L696" i="5" s="1"/>
  <c r="J695" i="5"/>
  <c r="H695" i="5"/>
  <c r="G695" i="5"/>
  <c r="L695" i="5" s="1"/>
  <c r="J694" i="5"/>
  <c r="H694" i="5"/>
  <c r="G694" i="5"/>
  <c r="L694" i="5" s="1"/>
  <c r="J693" i="5"/>
  <c r="H693" i="5"/>
  <c r="G693" i="5"/>
  <c r="L693" i="5" s="1"/>
  <c r="J692" i="5"/>
  <c r="H692" i="5"/>
  <c r="G692" i="5"/>
  <c r="L692" i="5" s="1"/>
  <c r="K691" i="5"/>
  <c r="H691" i="5"/>
  <c r="G691" i="5"/>
  <c r="L691" i="5" s="1"/>
  <c r="J690" i="5"/>
  <c r="H690" i="5"/>
  <c r="G690" i="5"/>
  <c r="L690" i="5" s="1"/>
  <c r="J689" i="5"/>
  <c r="H689" i="5"/>
  <c r="G689" i="5"/>
  <c r="L689" i="5" s="1"/>
  <c r="K688" i="5"/>
  <c r="H688" i="5"/>
  <c r="G688" i="5"/>
  <c r="L688" i="5" s="1"/>
  <c r="K687" i="5"/>
  <c r="H687" i="5"/>
  <c r="G687" i="5"/>
  <c r="L687" i="5" s="1"/>
  <c r="J686" i="5"/>
  <c r="H686" i="5"/>
  <c r="G686" i="5"/>
  <c r="L686" i="5" s="1"/>
  <c r="K685" i="5"/>
  <c r="H685" i="5"/>
  <c r="G685" i="5"/>
  <c r="L685" i="5" s="1"/>
  <c r="J684" i="5"/>
  <c r="H684" i="5"/>
  <c r="G684" i="5"/>
  <c r="L684" i="5" s="1"/>
  <c r="H683" i="5"/>
  <c r="G683" i="5"/>
  <c r="L683" i="5" s="1"/>
  <c r="K682" i="5"/>
  <c r="H682" i="5"/>
  <c r="G682" i="5"/>
  <c r="L682" i="5" s="1"/>
  <c r="K681" i="5"/>
  <c r="H681" i="5"/>
  <c r="G681" i="5"/>
  <c r="L681" i="5" s="1"/>
  <c r="H680" i="5"/>
  <c r="G680" i="5"/>
  <c r="L680" i="5" s="1"/>
  <c r="J679" i="5"/>
  <c r="H679" i="5"/>
  <c r="G679" i="5"/>
  <c r="L679" i="5" s="1"/>
  <c r="K678" i="5"/>
  <c r="H678" i="5"/>
  <c r="G678" i="5"/>
  <c r="L678" i="5" s="1"/>
  <c r="J677" i="5"/>
  <c r="H677" i="5"/>
  <c r="G677" i="5"/>
  <c r="L677" i="5" s="1"/>
  <c r="J676" i="5"/>
  <c r="H676" i="5"/>
  <c r="G676" i="5"/>
  <c r="L676" i="5" s="1"/>
  <c r="J675" i="5"/>
  <c r="H675" i="5"/>
  <c r="G675" i="5"/>
  <c r="L675" i="5" s="1"/>
  <c r="K674" i="5"/>
  <c r="H674" i="5"/>
  <c r="G674" i="5"/>
  <c r="L674" i="5" s="1"/>
  <c r="J673" i="5"/>
  <c r="H673" i="5"/>
  <c r="G673" i="5"/>
  <c r="L673" i="5" s="1"/>
  <c r="J672" i="5"/>
  <c r="H672" i="5"/>
  <c r="G672" i="5"/>
  <c r="L672" i="5" s="1"/>
  <c r="K671" i="5"/>
  <c r="H671" i="5"/>
  <c r="G671" i="5"/>
  <c r="L671" i="5" s="1"/>
  <c r="J670" i="5"/>
  <c r="H670" i="5"/>
  <c r="G670" i="5"/>
  <c r="L670" i="5" s="1"/>
  <c r="J669" i="5"/>
  <c r="H669" i="5"/>
  <c r="G669" i="5"/>
  <c r="L669" i="5" s="1"/>
  <c r="J668" i="5"/>
  <c r="H668" i="5"/>
  <c r="G668" i="5"/>
  <c r="L668" i="5" s="1"/>
  <c r="K667" i="5"/>
  <c r="H667" i="5"/>
  <c r="G667" i="5"/>
  <c r="L667" i="5" s="1"/>
  <c r="J666" i="5"/>
  <c r="H666" i="5"/>
  <c r="G666" i="5"/>
  <c r="L666" i="5" s="1"/>
  <c r="J665" i="5"/>
  <c r="H665" i="5"/>
  <c r="G665" i="5"/>
  <c r="L665" i="5" s="1"/>
  <c r="J664" i="5"/>
  <c r="H664" i="5"/>
  <c r="G664" i="5"/>
  <c r="L664" i="5" s="1"/>
  <c r="J663" i="5"/>
  <c r="H663" i="5"/>
  <c r="G663" i="5"/>
  <c r="L663" i="5" s="1"/>
  <c r="J662" i="5"/>
  <c r="H662" i="5"/>
  <c r="G662" i="5"/>
  <c r="L662" i="5" s="1"/>
  <c r="K661" i="5"/>
  <c r="H661" i="5"/>
  <c r="G661" i="5"/>
  <c r="L661" i="5" s="1"/>
  <c r="J660" i="5"/>
  <c r="H660" i="5"/>
  <c r="G660" i="5"/>
  <c r="L660" i="5" s="1"/>
  <c r="J659" i="5"/>
  <c r="H659" i="5"/>
  <c r="G659" i="5"/>
  <c r="L659" i="5" s="1"/>
  <c r="J658" i="5"/>
  <c r="H658" i="5"/>
  <c r="G658" i="5"/>
  <c r="L658" i="5" s="1"/>
  <c r="J657" i="5"/>
  <c r="H657" i="5"/>
  <c r="G657" i="5"/>
  <c r="L657" i="5" s="1"/>
  <c r="K656" i="5"/>
  <c r="H656" i="5"/>
  <c r="G656" i="5"/>
  <c r="L656" i="5" s="1"/>
  <c r="K655" i="5"/>
  <c r="H655" i="5"/>
  <c r="G655" i="5"/>
  <c r="L655" i="5" s="1"/>
  <c r="J654" i="5"/>
  <c r="H654" i="5"/>
  <c r="G654" i="5"/>
  <c r="L654" i="5" s="1"/>
  <c r="K653" i="5"/>
  <c r="H653" i="5"/>
  <c r="G653" i="5"/>
  <c r="L653" i="5" s="1"/>
  <c r="K652" i="5"/>
  <c r="H652" i="5"/>
  <c r="G652" i="5"/>
  <c r="L652" i="5" s="1"/>
  <c r="J651" i="5"/>
  <c r="H651" i="5"/>
  <c r="G651" i="5"/>
  <c r="L651" i="5" s="1"/>
  <c r="J650" i="5"/>
  <c r="H650" i="5"/>
  <c r="G650" i="5"/>
  <c r="L650" i="5" s="1"/>
  <c r="J649" i="5"/>
  <c r="H649" i="5"/>
  <c r="G649" i="5"/>
  <c r="L649" i="5" s="1"/>
  <c r="J648" i="5"/>
  <c r="H648" i="5"/>
  <c r="G648" i="5"/>
  <c r="L648" i="5" s="1"/>
  <c r="J647" i="5"/>
  <c r="H647" i="5"/>
  <c r="G647" i="5"/>
  <c r="L647" i="5" s="1"/>
  <c r="J646" i="5"/>
  <c r="H646" i="5"/>
  <c r="G646" i="5"/>
  <c r="L646" i="5" s="1"/>
  <c r="J645" i="5"/>
  <c r="H645" i="5"/>
  <c r="G645" i="5"/>
  <c r="L645" i="5" s="1"/>
  <c r="K644" i="5"/>
  <c r="H644" i="5"/>
  <c r="G644" i="5"/>
  <c r="L644" i="5" s="1"/>
  <c r="K643" i="5"/>
  <c r="H643" i="5"/>
  <c r="G643" i="5"/>
  <c r="L643" i="5" s="1"/>
  <c r="K642" i="5"/>
  <c r="H642" i="5"/>
  <c r="G642" i="5"/>
  <c r="L642" i="5" s="1"/>
  <c r="H641" i="5"/>
  <c r="G641" i="5"/>
  <c r="L641" i="5" s="1"/>
  <c r="K640" i="5"/>
  <c r="H640" i="5"/>
  <c r="G640" i="5"/>
  <c r="L640" i="5" s="1"/>
  <c r="K639" i="5"/>
  <c r="H639" i="5"/>
  <c r="G639" i="5"/>
  <c r="L639" i="5" s="1"/>
  <c r="H638" i="5"/>
  <c r="G638" i="5"/>
  <c r="L638" i="5" s="1"/>
  <c r="K637" i="5"/>
  <c r="H637" i="5"/>
  <c r="G637" i="5"/>
  <c r="L637" i="5" s="1"/>
  <c r="H636" i="5"/>
  <c r="G636" i="5"/>
  <c r="L636" i="5" s="1"/>
  <c r="J635" i="5"/>
  <c r="H635" i="5"/>
  <c r="G635" i="5"/>
  <c r="L635" i="5" s="1"/>
  <c r="K634" i="5"/>
  <c r="H634" i="5"/>
  <c r="G634" i="5"/>
  <c r="L634" i="5" s="1"/>
  <c r="K633" i="5"/>
  <c r="H633" i="5"/>
  <c r="G633" i="5"/>
  <c r="L633" i="5" s="1"/>
  <c r="J632" i="5"/>
  <c r="H632" i="5"/>
  <c r="G632" i="5"/>
  <c r="L632" i="5" s="1"/>
  <c r="K631" i="5"/>
  <c r="H631" i="5"/>
  <c r="G631" i="5"/>
  <c r="L631" i="5" s="1"/>
  <c r="J630" i="5"/>
  <c r="H630" i="5"/>
  <c r="G630" i="5"/>
  <c r="L630" i="5" s="1"/>
  <c r="J629" i="5"/>
  <c r="H629" i="5"/>
  <c r="G629" i="5"/>
  <c r="L629" i="5" s="1"/>
  <c r="J628" i="5"/>
  <c r="H628" i="5"/>
  <c r="G628" i="5"/>
  <c r="L628" i="5" s="1"/>
  <c r="J627" i="5"/>
  <c r="H627" i="5"/>
  <c r="G627" i="5"/>
  <c r="L627" i="5" s="1"/>
  <c r="K626" i="5"/>
  <c r="H626" i="5"/>
  <c r="G626" i="5"/>
  <c r="L626" i="5" s="1"/>
  <c r="J625" i="5"/>
  <c r="H625" i="5"/>
  <c r="G625" i="5"/>
  <c r="L625" i="5" s="1"/>
  <c r="J624" i="5"/>
  <c r="H624" i="5"/>
  <c r="G624" i="5"/>
  <c r="L624" i="5" s="1"/>
  <c r="K623" i="5"/>
  <c r="H623" i="5"/>
  <c r="G623" i="5"/>
  <c r="L623" i="5" s="1"/>
  <c r="K622" i="5"/>
  <c r="H622" i="5"/>
  <c r="G622" i="5"/>
  <c r="L622" i="5" s="1"/>
  <c r="J621" i="5"/>
  <c r="H621" i="5"/>
  <c r="G621" i="5"/>
  <c r="L621" i="5" s="1"/>
  <c r="J620" i="5"/>
  <c r="H620" i="5"/>
  <c r="G620" i="5"/>
  <c r="L620" i="5" s="1"/>
  <c r="J619" i="5"/>
  <c r="H619" i="5"/>
  <c r="G619" i="5"/>
  <c r="L619" i="5" s="1"/>
  <c r="J618" i="5"/>
  <c r="H618" i="5"/>
  <c r="G618" i="5"/>
  <c r="L618" i="5" s="1"/>
  <c r="J617" i="5"/>
  <c r="H617" i="5"/>
  <c r="G617" i="5"/>
  <c r="L617" i="5" s="1"/>
  <c r="J616" i="5"/>
  <c r="H616" i="5"/>
  <c r="G616" i="5"/>
  <c r="L616" i="5" s="1"/>
  <c r="J615" i="5"/>
  <c r="H615" i="5"/>
  <c r="G615" i="5"/>
  <c r="L615" i="5" s="1"/>
  <c r="J614" i="5"/>
  <c r="H614" i="5"/>
  <c r="G614" i="5"/>
  <c r="L614" i="5" s="1"/>
  <c r="H613" i="5"/>
  <c r="G613" i="5"/>
  <c r="L613" i="5" s="1"/>
  <c r="J612" i="5"/>
  <c r="H612" i="5"/>
  <c r="G612" i="5"/>
  <c r="L612" i="5" s="1"/>
  <c r="K611" i="5"/>
  <c r="H611" i="5"/>
  <c r="G611" i="5"/>
  <c r="L611" i="5" s="1"/>
  <c r="J610" i="5"/>
  <c r="H610" i="5"/>
  <c r="G610" i="5"/>
  <c r="L610" i="5" s="1"/>
  <c r="J609" i="5"/>
  <c r="H609" i="5"/>
  <c r="G609" i="5"/>
  <c r="L609" i="5" s="1"/>
  <c r="H608" i="5"/>
  <c r="G608" i="5"/>
  <c r="L608" i="5" s="1"/>
  <c r="J607" i="5"/>
  <c r="H607" i="5"/>
  <c r="G607" i="5"/>
  <c r="L607" i="5" s="1"/>
  <c r="J606" i="5"/>
  <c r="H606" i="5"/>
  <c r="G606" i="5"/>
  <c r="L606" i="5" s="1"/>
  <c r="J605" i="5"/>
  <c r="H605" i="5"/>
  <c r="G605" i="5"/>
  <c r="L605" i="5" s="1"/>
  <c r="J604" i="5"/>
  <c r="H604" i="5"/>
  <c r="G604" i="5"/>
  <c r="L604" i="5" s="1"/>
  <c r="J603" i="5"/>
  <c r="H603" i="5"/>
  <c r="G603" i="5"/>
  <c r="L603" i="5" s="1"/>
  <c r="J602" i="5"/>
  <c r="H602" i="5"/>
  <c r="G602" i="5"/>
  <c r="L602" i="5" s="1"/>
  <c r="J601" i="5"/>
  <c r="H601" i="5"/>
  <c r="G601" i="5"/>
  <c r="L601" i="5" s="1"/>
  <c r="J600" i="5"/>
  <c r="H600" i="5"/>
  <c r="G600" i="5"/>
  <c r="L600" i="5" s="1"/>
  <c r="J599" i="5"/>
  <c r="H599" i="5"/>
  <c r="G599" i="5"/>
  <c r="L599" i="5" s="1"/>
  <c r="J598" i="5"/>
  <c r="H598" i="5"/>
  <c r="G598" i="5"/>
  <c r="L598" i="5" s="1"/>
  <c r="J597" i="5"/>
  <c r="H597" i="5"/>
  <c r="G597" i="5"/>
  <c r="L597" i="5" s="1"/>
  <c r="J596" i="5"/>
  <c r="H596" i="5"/>
  <c r="G596" i="5"/>
  <c r="L596" i="5" s="1"/>
  <c r="K595" i="5"/>
  <c r="H595" i="5"/>
  <c r="G595" i="5"/>
  <c r="L595" i="5" s="1"/>
  <c r="J594" i="5"/>
  <c r="H594" i="5"/>
  <c r="G594" i="5"/>
  <c r="L594" i="5" s="1"/>
  <c r="K593" i="5"/>
  <c r="H593" i="5"/>
  <c r="G593" i="5"/>
  <c r="L593" i="5" s="1"/>
  <c r="J592" i="5"/>
  <c r="H592" i="5"/>
  <c r="G592" i="5"/>
  <c r="L592" i="5" s="1"/>
  <c r="K591" i="5"/>
  <c r="H591" i="5"/>
  <c r="G591" i="5"/>
  <c r="L591" i="5" s="1"/>
  <c r="H590" i="5"/>
  <c r="G590" i="5"/>
  <c r="L590" i="5" s="1"/>
  <c r="J589" i="5"/>
  <c r="H589" i="5"/>
  <c r="G589" i="5"/>
  <c r="L589" i="5" s="1"/>
  <c r="J588" i="5"/>
  <c r="H588" i="5"/>
  <c r="G588" i="5"/>
  <c r="L588" i="5" s="1"/>
  <c r="J587" i="5"/>
  <c r="H587" i="5"/>
  <c r="G587" i="5"/>
  <c r="L587" i="5" s="1"/>
  <c r="J586" i="5"/>
  <c r="H586" i="5"/>
  <c r="G586" i="5"/>
  <c r="L586" i="5" s="1"/>
  <c r="K585" i="5"/>
  <c r="H585" i="5"/>
  <c r="G585" i="5"/>
  <c r="L585" i="5" s="1"/>
  <c r="J584" i="5"/>
  <c r="H584" i="5"/>
  <c r="G584" i="5"/>
  <c r="L584" i="5" s="1"/>
  <c r="J583" i="5"/>
  <c r="H583" i="5"/>
  <c r="G583" i="5"/>
  <c r="L583" i="5" s="1"/>
  <c r="J582" i="5"/>
  <c r="H582" i="5"/>
  <c r="G582" i="5"/>
  <c r="L582" i="5" s="1"/>
  <c r="H581" i="5"/>
  <c r="G581" i="5"/>
  <c r="L581" i="5" s="1"/>
  <c r="J580" i="5"/>
  <c r="H580" i="5"/>
  <c r="G580" i="5"/>
  <c r="L580" i="5" s="1"/>
  <c r="K579" i="5"/>
  <c r="H579" i="5"/>
  <c r="G579" i="5"/>
  <c r="L579" i="5" s="1"/>
  <c r="K578" i="5"/>
  <c r="H578" i="5"/>
  <c r="G578" i="5"/>
  <c r="L578" i="5" s="1"/>
  <c r="J577" i="5"/>
  <c r="H577" i="5"/>
  <c r="G577" i="5"/>
  <c r="L577" i="5" s="1"/>
  <c r="J576" i="5"/>
  <c r="H576" i="5"/>
  <c r="G576" i="5"/>
  <c r="L576" i="5" s="1"/>
  <c r="J575" i="5"/>
  <c r="H575" i="5"/>
  <c r="G575" i="5"/>
  <c r="L575" i="5" s="1"/>
  <c r="K574" i="5"/>
  <c r="H574" i="5"/>
  <c r="G574" i="5"/>
  <c r="L574" i="5" s="1"/>
  <c r="K573" i="5"/>
  <c r="H573" i="5"/>
  <c r="G573" i="5"/>
  <c r="L573" i="5" s="1"/>
  <c r="J572" i="5"/>
  <c r="H572" i="5"/>
  <c r="G572" i="5"/>
  <c r="L572" i="5" s="1"/>
  <c r="K571" i="5"/>
  <c r="H571" i="5"/>
  <c r="G571" i="5"/>
  <c r="L571" i="5" s="1"/>
  <c r="K570" i="5"/>
  <c r="H570" i="5"/>
  <c r="G570" i="5"/>
  <c r="L570" i="5" s="1"/>
  <c r="J569" i="5"/>
  <c r="H569" i="5"/>
  <c r="G569" i="5"/>
  <c r="L569" i="5" s="1"/>
  <c r="J568" i="5"/>
  <c r="H568" i="5"/>
  <c r="G568" i="5"/>
  <c r="L568" i="5" s="1"/>
  <c r="J567" i="5"/>
  <c r="H567" i="5"/>
  <c r="G567" i="5"/>
  <c r="L567" i="5" s="1"/>
  <c r="J566" i="5"/>
  <c r="H566" i="5"/>
  <c r="G566" i="5"/>
  <c r="L566" i="5" s="1"/>
  <c r="K565" i="5"/>
  <c r="H565" i="5"/>
  <c r="G565" i="5"/>
  <c r="L565" i="5" s="1"/>
  <c r="K564" i="5"/>
  <c r="H564" i="5"/>
  <c r="G564" i="5"/>
  <c r="L564" i="5" s="1"/>
  <c r="J563" i="5"/>
  <c r="H563" i="5"/>
  <c r="G563" i="5"/>
  <c r="L563" i="5" s="1"/>
  <c r="J562" i="5"/>
  <c r="H562" i="5"/>
  <c r="G562" i="5"/>
  <c r="L562" i="5" s="1"/>
  <c r="J561" i="5"/>
  <c r="H561" i="5"/>
  <c r="G561" i="5"/>
  <c r="L561" i="5" s="1"/>
  <c r="J560" i="5"/>
  <c r="H560" i="5"/>
  <c r="G560" i="5"/>
  <c r="L560" i="5" s="1"/>
  <c r="J559" i="5"/>
  <c r="H559" i="5"/>
  <c r="G559" i="5"/>
  <c r="L559" i="5" s="1"/>
  <c r="J558" i="5"/>
  <c r="H558" i="5"/>
  <c r="G558" i="5"/>
  <c r="L558" i="5" s="1"/>
  <c r="K557" i="5"/>
  <c r="H557" i="5"/>
  <c r="G557" i="5"/>
  <c r="L557" i="5" s="1"/>
  <c r="H556" i="5"/>
  <c r="G556" i="5"/>
  <c r="L556" i="5" s="1"/>
  <c r="J555" i="5"/>
  <c r="H555" i="5"/>
  <c r="G555" i="5"/>
  <c r="L555" i="5" s="1"/>
  <c r="J554" i="5"/>
  <c r="H554" i="5"/>
  <c r="G554" i="5"/>
  <c r="L554" i="5" s="1"/>
  <c r="H553" i="5"/>
  <c r="G553" i="5"/>
  <c r="L553" i="5" s="1"/>
  <c r="J552" i="5"/>
  <c r="H552" i="5"/>
  <c r="G552" i="5"/>
  <c r="L552" i="5" s="1"/>
  <c r="K551" i="5"/>
  <c r="H551" i="5"/>
  <c r="G551" i="5"/>
  <c r="L551" i="5" s="1"/>
  <c r="K550" i="5"/>
  <c r="H550" i="5"/>
  <c r="G550" i="5"/>
  <c r="L550" i="5" s="1"/>
  <c r="K549" i="5"/>
  <c r="H549" i="5"/>
  <c r="G549" i="5"/>
  <c r="L549" i="5" s="1"/>
  <c r="J548" i="5"/>
  <c r="H548" i="5"/>
  <c r="G548" i="5"/>
  <c r="L548" i="5" s="1"/>
  <c r="K547" i="5"/>
  <c r="H547" i="5"/>
  <c r="G547" i="5"/>
  <c r="L547" i="5" s="1"/>
  <c r="J546" i="5"/>
  <c r="H546" i="5"/>
  <c r="G546" i="5"/>
  <c r="L546" i="5" s="1"/>
  <c r="H545" i="5"/>
  <c r="G545" i="5"/>
  <c r="L545" i="5" s="1"/>
  <c r="K544" i="5"/>
  <c r="H544" i="5"/>
  <c r="G544" i="5"/>
  <c r="L544" i="5" s="1"/>
  <c r="J543" i="5"/>
  <c r="H543" i="5"/>
  <c r="G543" i="5"/>
  <c r="L543" i="5" s="1"/>
  <c r="J542" i="5"/>
  <c r="H542" i="5"/>
  <c r="G542" i="5"/>
  <c r="L542" i="5" s="1"/>
  <c r="H541" i="5"/>
  <c r="G541" i="5"/>
  <c r="L541" i="5" s="1"/>
  <c r="J540" i="5"/>
  <c r="H540" i="5"/>
  <c r="G540" i="5"/>
  <c r="L540" i="5" s="1"/>
  <c r="K539" i="5"/>
  <c r="H539" i="5"/>
  <c r="G539" i="5"/>
  <c r="L539" i="5" s="1"/>
  <c r="K538" i="5"/>
  <c r="H538" i="5"/>
  <c r="G538" i="5"/>
  <c r="L538" i="5" s="1"/>
  <c r="K537" i="5"/>
  <c r="H537" i="5"/>
  <c r="G537" i="5"/>
  <c r="L537" i="5" s="1"/>
  <c r="J536" i="5"/>
  <c r="H536" i="5"/>
  <c r="G536" i="5"/>
  <c r="L536" i="5" s="1"/>
  <c r="J535" i="5"/>
  <c r="H535" i="5"/>
  <c r="G535" i="5"/>
  <c r="L535" i="5" s="1"/>
  <c r="J534" i="5"/>
  <c r="H534" i="5"/>
  <c r="G534" i="5"/>
  <c r="L534" i="5" s="1"/>
  <c r="J533" i="5"/>
  <c r="H533" i="5"/>
  <c r="G533" i="5"/>
  <c r="L533" i="5" s="1"/>
  <c r="K532" i="5"/>
  <c r="H532" i="5"/>
  <c r="G532" i="5"/>
  <c r="L532" i="5" s="1"/>
  <c r="K531" i="5"/>
  <c r="H531" i="5"/>
  <c r="G531" i="5"/>
  <c r="L531" i="5" s="1"/>
  <c r="K530" i="5"/>
  <c r="H530" i="5"/>
  <c r="G530" i="5"/>
  <c r="L530" i="5" s="1"/>
  <c r="J529" i="5"/>
  <c r="H529" i="5"/>
  <c r="G529" i="5"/>
  <c r="L529" i="5" s="1"/>
  <c r="J528" i="5"/>
  <c r="H528" i="5"/>
  <c r="G528" i="5"/>
  <c r="L528" i="5" s="1"/>
  <c r="J527" i="5"/>
  <c r="H527" i="5"/>
  <c r="G527" i="5"/>
  <c r="L527" i="5" s="1"/>
  <c r="K526" i="5"/>
  <c r="H526" i="5"/>
  <c r="G526" i="5"/>
  <c r="L526" i="5" s="1"/>
  <c r="K525" i="5"/>
  <c r="H525" i="5"/>
  <c r="G525" i="5"/>
  <c r="L525" i="5" s="1"/>
  <c r="J524" i="5"/>
  <c r="H524" i="5"/>
  <c r="G524" i="5"/>
  <c r="L524" i="5" s="1"/>
  <c r="K523" i="5"/>
  <c r="H523" i="5"/>
  <c r="G523" i="5"/>
  <c r="L523" i="5" s="1"/>
  <c r="J522" i="5"/>
  <c r="H522" i="5"/>
  <c r="G522" i="5"/>
  <c r="L522" i="5" s="1"/>
  <c r="J521" i="5"/>
  <c r="H521" i="5"/>
  <c r="G521" i="5"/>
  <c r="L521" i="5" s="1"/>
  <c r="J520" i="5"/>
  <c r="H520" i="5"/>
  <c r="G520" i="5"/>
  <c r="L520" i="5" s="1"/>
  <c r="J519" i="5"/>
  <c r="H519" i="5"/>
  <c r="G519" i="5"/>
  <c r="L519" i="5" s="1"/>
  <c r="J518" i="5"/>
  <c r="H518" i="5"/>
  <c r="G518" i="5"/>
  <c r="L518" i="5" s="1"/>
  <c r="J517" i="5"/>
  <c r="H517" i="5"/>
  <c r="G517" i="5"/>
  <c r="L517" i="5" s="1"/>
  <c r="H516" i="5"/>
  <c r="G516" i="5"/>
  <c r="L516" i="5" s="1"/>
  <c r="K515" i="5"/>
  <c r="H515" i="5"/>
  <c r="G515" i="5"/>
  <c r="L515" i="5" s="1"/>
  <c r="K514" i="5"/>
  <c r="H514" i="5"/>
  <c r="G514" i="5"/>
  <c r="L514" i="5" s="1"/>
  <c r="J513" i="5"/>
  <c r="H513" i="5"/>
  <c r="G513" i="5"/>
  <c r="L513" i="5" s="1"/>
  <c r="K512" i="5"/>
  <c r="H512" i="5"/>
  <c r="G512" i="5"/>
  <c r="L512" i="5" s="1"/>
  <c r="J511" i="5"/>
  <c r="H511" i="5"/>
  <c r="G511" i="5"/>
  <c r="L511" i="5" s="1"/>
  <c r="H510" i="5"/>
  <c r="G510" i="5"/>
  <c r="L510" i="5" s="1"/>
  <c r="J509" i="5"/>
  <c r="H509" i="5"/>
  <c r="G509" i="5"/>
  <c r="L509" i="5" s="1"/>
  <c r="H508" i="5"/>
  <c r="G508" i="5"/>
  <c r="L508" i="5" s="1"/>
  <c r="J507" i="5"/>
  <c r="H507" i="5"/>
  <c r="G507" i="5"/>
  <c r="L507" i="5" s="1"/>
  <c r="K506" i="5"/>
  <c r="H506" i="5"/>
  <c r="G506" i="5"/>
  <c r="L506" i="5" s="1"/>
  <c r="J505" i="5"/>
  <c r="H505" i="5"/>
  <c r="G505" i="5"/>
  <c r="L505" i="5" s="1"/>
  <c r="J504" i="5"/>
  <c r="H504" i="5"/>
  <c r="G504" i="5"/>
  <c r="L504" i="5" s="1"/>
  <c r="J503" i="5"/>
  <c r="H503" i="5"/>
  <c r="G503" i="5"/>
  <c r="L503" i="5" s="1"/>
  <c r="J502" i="5"/>
  <c r="H502" i="5"/>
  <c r="G502" i="5"/>
  <c r="L502" i="5" s="1"/>
  <c r="J501" i="5"/>
  <c r="H501" i="5"/>
  <c r="G501" i="5"/>
  <c r="L501" i="5" s="1"/>
  <c r="J500" i="5"/>
  <c r="H500" i="5"/>
  <c r="G500" i="5"/>
  <c r="L500" i="5" s="1"/>
  <c r="K499" i="5"/>
  <c r="H499" i="5"/>
  <c r="G499" i="5"/>
  <c r="L499" i="5" s="1"/>
  <c r="K498" i="5"/>
  <c r="H498" i="5"/>
  <c r="G498" i="5"/>
  <c r="L498" i="5" s="1"/>
  <c r="K497" i="5"/>
  <c r="H497" i="5"/>
  <c r="G497" i="5"/>
  <c r="L497" i="5" s="1"/>
  <c r="J496" i="5"/>
  <c r="H496" i="5"/>
  <c r="G496" i="5"/>
  <c r="L496" i="5" s="1"/>
  <c r="J495" i="5"/>
  <c r="H495" i="5"/>
  <c r="G495" i="5"/>
  <c r="L495" i="5" s="1"/>
  <c r="K494" i="5"/>
  <c r="H494" i="5"/>
  <c r="G494" i="5"/>
  <c r="L494" i="5" s="1"/>
  <c r="J493" i="5"/>
  <c r="H493" i="5"/>
  <c r="G493" i="5"/>
  <c r="L493" i="5" s="1"/>
  <c r="J492" i="5"/>
  <c r="H492" i="5"/>
  <c r="G492" i="5"/>
  <c r="L492" i="5" s="1"/>
  <c r="J491" i="5"/>
  <c r="H491" i="5"/>
  <c r="G491" i="5"/>
  <c r="L491" i="5" s="1"/>
  <c r="J490" i="5"/>
  <c r="H490" i="5"/>
  <c r="G490" i="5"/>
  <c r="L490" i="5" s="1"/>
  <c r="J489" i="5"/>
  <c r="H489" i="5"/>
  <c r="G489" i="5"/>
  <c r="L489" i="5" s="1"/>
  <c r="J488" i="5"/>
  <c r="H488" i="5"/>
  <c r="G488" i="5"/>
  <c r="L488" i="5" s="1"/>
  <c r="J487" i="5"/>
  <c r="H487" i="5"/>
  <c r="G487" i="5"/>
  <c r="L487" i="5" s="1"/>
  <c r="J486" i="5"/>
  <c r="H486" i="5"/>
  <c r="G486" i="5"/>
  <c r="L486" i="5" s="1"/>
  <c r="J485" i="5"/>
  <c r="H485" i="5"/>
  <c r="G485" i="5"/>
  <c r="L485" i="5" s="1"/>
  <c r="J484" i="5"/>
  <c r="H484" i="5"/>
  <c r="G484" i="5"/>
  <c r="L484" i="5" s="1"/>
  <c r="K483" i="5"/>
  <c r="H483" i="5"/>
  <c r="G483" i="5"/>
  <c r="L483" i="5" s="1"/>
  <c r="K482" i="5"/>
  <c r="H482" i="5"/>
  <c r="G482" i="5"/>
  <c r="L482" i="5" s="1"/>
  <c r="J481" i="5"/>
  <c r="H481" i="5"/>
  <c r="G481" i="5"/>
  <c r="L481" i="5" s="1"/>
  <c r="J480" i="5"/>
  <c r="H480" i="5"/>
  <c r="G480" i="5"/>
  <c r="L480" i="5" s="1"/>
  <c r="J479" i="5"/>
  <c r="H479" i="5"/>
  <c r="G479" i="5"/>
  <c r="L479" i="5" s="1"/>
  <c r="H478" i="5"/>
  <c r="G478" i="5"/>
  <c r="L478" i="5" s="1"/>
  <c r="K477" i="5"/>
  <c r="H477" i="5"/>
  <c r="G477" i="5"/>
  <c r="L477" i="5" s="1"/>
  <c r="K476" i="5"/>
  <c r="H476" i="5"/>
  <c r="G476" i="5"/>
  <c r="L476" i="5" s="1"/>
  <c r="H475" i="5"/>
  <c r="G475" i="5"/>
  <c r="L475" i="5" s="1"/>
  <c r="K474" i="5"/>
  <c r="H474" i="5"/>
  <c r="G474" i="5"/>
  <c r="L474" i="5" s="1"/>
  <c r="J473" i="5"/>
  <c r="H473" i="5"/>
  <c r="G473" i="5"/>
  <c r="L473" i="5" s="1"/>
  <c r="J472" i="5"/>
  <c r="H472" i="5"/>
  <c r="G472" i="5"/>
  <c r="L472" i="5" s="1"/>
  <c r="H471" i="5"/>
  <c r="G471" i="5"/>
  <c r="L471" i="5" s="1"/>
  <c r="J470" i="5"/>
  <c r="H470" i="5"/>
  <c r="G470" i="5"/>
  <c r="L470" i="5" s="1"/>
  <c r="J469" i="5"/>
  <c r="H469" i="5"/>
  <c r="G469" i="5"/>
  <c r="L469" i="5" s="1"/>
  <c r="J468" i="5"/>
  <c r="H468" i="5"/>
  <c r="G468" i="5"/>
  <c r="L468" i="5" s="1"/>
  <c r="J467" i="5"/>
  <c r="H467" i="5"/>
  <c r="G467" i="5"/>
  <c r="L467" i="5" s="1"/>
  <c r="H466" i="5"/>
  <c r="G466" i="5"/>
  <c r="L466" i="5" s="1"/>
  <c r="K465" i="5"/>
  <c r="H465" i="5"/>
  <c r="G465" i="5"/>
  <c r="L465" i="5" s="1"/>
  <c r="J464" i="5"/>
  <c r="H464" i="5"/>
  <c r="G464" i="5"/>
  <c r="L464" i="5" s="1"/>
  <c r="K463" i="5"/>
  <c r="H463" i="5"/>
  <c r="G463" i="5"/>
  <c r="L463" i="5" s="1"/>
  <c r="H462" i="5"/>
  <c r="G462" i="5"/>
  <c r="L462" i="5" s="1"/>
  <c r="J461" i="5"/>
  <c r="H461" i="5"/>
  <c r="G461" i="5"/>
  <c r="L461" i="5" s="1"/>
  <c r="J460" i="5"/>
  <c r="H460" i="5"/>
  <c r="G460" i="5"/>
  <c r="L460" i="5" s="1"/>
  <c r="H459" i="5"/>
  <c r="G459" i="5"/>
  <c r="L459" i="5" s="1"/>
  <c r="J458" i="5"/>
  <c r="H458" i="5"/>
  <c r="G458" i="5"/>
  <c r="L458" i="5" s="1"/>
  <c r="J457" i="5"/>
  <c r="H457" i="5"/>
  <c r="G457" i="5"/>
  <c r="L457" i="5" s="1"/>
  <c r="K456" i="5"/>
  <c r="H456" i="5"/>
  <c r="G456" i="5"/>
  <c r="L456" i="5" s="1"/>
  <c r="H455" i="5"/>
  <c r="G455" i="5"/>
  <c r="L455" i="5" s="1"/>
  <c r="J454" i="5"/>
  <c r="H454" i="5"/>
  <c r="G454" i="5"/>
  <c r="L454" i="5" s="1"/>
  <c r="J453" i="5"/>
  <c r="H453" i="5"/>
  <c r="G453" i="5"/>
  <c r="L453" i="5" s="1"/>
  <c r="K452" i="5"/>
  <c r="H452" i="5"/>
  <c r="G452" i="5"/>
  <c r="L452" i="5" s="1"/>
  <c r="J451" i="5"/>
  <c r="H451" i="5"/>
  <c r="G451" i="5"/>
  <c r="L451" i="5" s="1"/>
  <c r="J450" i="5"/>
  <c r="H450" i="5"/>
  <c r="G450" i="5"/>
  <c r="L450" i="5" s="1"/>
  <c r="J449" i="5"/>
  <c r="H449" i="5"/>
  <c r="G449" i="5"/>
  <c r="L449" i="5" s="1"/>
  <c r="J448" i="5"/>
  <c r="H448" i="5"/>
  <c r="G448" i="5"/>
  <c r="L448" i="5" s="1"/>
  <c r="J447" i="5"/>
  <c r="H447" i="5"/>
  <c r="G447" i="5"/>
  <c r="L447" i="5" s="1"/>
  <c r="J446" i="5"/>
  <c r="H446" i="5"/>
  <c r="G446" i="5"/>
  <c r="L446" i="5" s="1"/>
  <c r="J445" i="5"/>
  <c r="H445" i="5"/>
  <c r="G445" i="5"/>
  <c r="L445" i="5" s="1"/>
  <c r="J444" i="5"/>
  <c r="H444" i="5"/>
  <c r="G444" i="5"/>
  <c r="L444" i="5" s="1"/>
  <c r="J443" i="5"/>
  <c r="H443" i="5"/>
  <c r="G443" i="5"/>
  <c r="L443" i="5" s="1"/>
  <c r="J442" i="5"/>
  <c r="H442" i="5"/>
  <c r="G442" i="5"/>
  <c r="L442" i="5" s="1"/>
  <c r="K441" i="5"/>
  <c r="H441" i="5"/>
  <c r="G441" i="5"/>
  <c r="L441" i="5" s="1"/>
  <c r="K440" i="5"/>
  <c r="H440" i="5"/>
  <c r="G440" i="5"/>
  <c r="L440" i="5" s="1"/>
  <c r="J439" i="5"/>
  <c r="H439" i="5"/>
  <c r="G439" i="5"/>
  <c r="L439" i="5" s="1"/>
  <c r="K438" i="5"/>
  <c r="H438" i="5"/>
  <c r="G438" i="5"/>
  <c r="L438" i="5" s="1"/>
  <c r="H437" i="5"/>
  <c r="G437" i="5"/>
  <c r="L437" i="5" s="1"/>
  <c r="J436" i="5"/>
  <c r="H436" i="5"/>
  <c r="G436" i="5"/>
  <c r="L436" i="5" s="1"/>
  <c r="K435" i="5"/>
  <c r="H435" i="5"/>
  <c r="G435" i="5"/>
  <c r="L435" i="5" s="1"/>
  <c r="J434" i="5"/>
  <c r="H434" i="5"/>
  <c r="G434" i="5"/>
  <c r="L434" i="5" s="1"/>
  <c r="J433" i="5"/>
  <c r="H433" i="5"/>
  <c r="G433" i="5"/>
  <c r="L433" i="5" s="1"/>
  <c r="K432" i="5"/>
  <c r="H432" i="5"/>
  <c r="G432" i="5"/>
  <c r="L432" i="5" s="1"/>
  <c r="K431" i="5"/>
  <c r="H431" i="5"/>
  <c r="G431" i="5"/>
  <c r="L431" i="5" s="1"/>
  <c r="K430" i="5"/>
  <c r="H430" i="5"/>
  <c r="G430" i="5"/>
  <c r="L430" i="5" s="1"/>
  <c r="K429" i="5"/>
  <c r="H429" i="5"/>
  <c r="G429" i="5"/>
  <c r="L429" i="5" s="1"/>
  <c r="K428" i="5"/>
  <c r="H428" i="5"/>
  <c r="G428" i="5"/>
  <c r="L428" i="5" s="1"/>
  <c r="K427" i="5"/>
  <c r="H427" i="5"/>
  <c r="G427" i="5"/>
  <c r="L427" i="5" s="1"/>
  <c r="K426" i="5"/>
  <c r="H426" i="5"/>
  <c r="G426" i="5"/>
  <c r="L426" i="5" s="1"/>
  <c r="K425" i="5"/>
  <c r="H425" i="5"/>
  <c r="G425" i="5"/>
  <c r="L425" i="5" s="1"/>
  <c r="J424" i="5"/>
  <c r="H424" i="5"/>
  <c r="G424" i="5"/>
  <c r="L424" i="5" s="1"/>
  <c r="K423" i="5"/>
  <c r="H423" i="5"/>
  <c r="G423" i="5"/>
  <c r="L423" i="5" s="1"/>
  <c r="J422" i="5"/>
  <c r="H422" i="5"/>
  <c r="G422" i="5"/>
  <c r="L422" i="5" s="1"/>
  <c r="K421" i="5"/>
  <c r="H421" i="5"/>
  <c r="G421" i="5"/>
  <c r="L421" i="5" s="1"/>
  <c r="K420" i="5"/>
  <c r="H420" i="5"/>
  <c r="G420" i="5"/>
  <c r="L420" i="5" s="1"/>
  <c r="J419" i="5"/>
  <c r="H419" i="5"/>
  <c r="G419" i="5"/>
  <c r="L419" i="5" s="1"/>
  <c r="K418" i="5"/>
  <c r="H418" i="5"/>
  <c r="G418" i="5"/>
  <c r="L418" i="5" s="1"/>
  <c r="J417" i="5"/>
  <c r="H417" i="5"/>
  <c r="G417" i="5"/>
  <c r="L417" i="5" s="1"/>
  <c r="J416" i="5"/>
  <c r="H416" i="5"/>
  <c r="G416" i="5"/>
  <c r="L416" i="5" s="1"/>
  <c r="J415" i="5"/>
  <c r="H415" i="5"/>
  <c r="G415" i="5"/>
  <c r="L415" i="5" s="1"/>
  <c r="K414" i="5"/>
  <c r="H414" i="5"/>
  <c r="G414" i="5"/>
  <c r="L414" i="5" s="1"/>
  <c r="K413" i="5"/>
  <c r="H413" i="5"/>
  <c r="G413" i="5"/>
  <c r="L413" i="5" s="1"/>
  <c r="J412" i="5"/>
  <c r="H412" i="5"/>
  <c r="G412" i="5"/>
  <c r="L412" i="5" s="1"/>
  <c r="J411" i="5"/>
  <c r="H411" i="5"/>
  <c r="G411" i="5"/>
  <c r="L411" i="5" s="1"/>
  <c r="J410" i="5"/>
  <c r="H410" i="5"/>
  <c r="G410" i="5"/>
  <c r="L410" i="5" s="1"/>
  <c r="K409" i="5"/>
  <c r="H409" i="5"/>
  <c r="G409" i="5"/>
  <c r="L409" i="5" s="1"/>
  <c r="K408" i="5"/>
  <c r="H408" i="5"/>
  <c r="G408" i="5"/>
  <c r="L408" i="5" s="1"/>
  <c r="J407" i="5"/>
  <c r="H407" i="5"/>
  <c r="G407" i="5"/>
  <c r="L407" i="5" s="1"/>
  <c r="J406" i="5"/>
  <c r="H406" i="5"/>
  <c r="G406" i="5"/>
  <c r="L406" i="5" s="1"/>
  <c r="K405" i="5"/>
  <c r="H405" i="5"/>
  <c r="G405" i="5"/>
  <c r="L405" i="5" s="1"/>
  <c r="J404" i="5"/>
  <c r="H404" i="5"/>
  <c r="G404" i="5"/>
  <c r="L404" i="5" s="1"/>
  <c r="H403" i="5"/>
  <c r="G403" i="5"/>
  <c r="L403" i="5" s="1"/>
  <c r="J402" i="5"/>
  <c r="H402" i="5"/>
  <c r="G402" i="5"/>
  <c r="L402" i="5" s="1"/>
  <c r="K401" i="5"/>
  <c r="H401" i="5"/>
  <c r="G401" i="5"/>
  <c r="L401" i="5" s="1"/>
  <c r="J400" i="5"/>
  <c r="H400" i="5"/>
  <c r="G400" i="5"/>
  <c r="L400" i="5" s="1"/>
  <c r="J399" i="5"/>
  <c r="H399" i="5"/>
  <c r="G399" i="5"/>
  <c r="L399" i="5" s="1"/>
  <c r="K398" i="5"/>
  <c r="H398" i="5"/>
  <c r="G398" i="5"/>
  <c r="L398" i="5" s="1"/>
  <c r="H397" i="5"/>
  <c r="G397" i="5"/>
  <c r="L397" i="5" s="1"/>
  <c r="J396" i="5"/>
  <c r="H396" i="5"/>
  <c r="G396" i="5"/>
  <c r="L396" i="5" s="1"/>
  <c r="J395" i="5"/>
  <c r="H395" i="5"/>
  <c r="G395" i="5"/>
  <c r="L395" i="5" s="1"/>
  <c r="J394" i="5"/>
  <c r="H394" i="5"/>
  <c r="G394" i="5"/>
  <c r="L394" i="5" s="1"/>
  <c r="J393" i="5"/>
  <c r="H393" i="5"/>
  <c r="G393" i="5"/>
  <c r="L393" i="5" s="1"/>
  <c r="J392" i="5"/>
  <c r="H392" i="5"/>
  <c r="G392" i="5"/>
  <c r="L392" i="5" s="1"/>
  <c r="K391" i="5"/>
  <c r="H391" i="5"/>
  <c r="G391" i="5"/>
  <c r="L391" i="5" s="1"/>
  <c r="K390" i="5"/>
  <c r="H390" i="5"/>
  <c r="G390" i="5"/>
  <c r="L390" i="5" s="1"/>
  <c r="J389" i="5"/>
  <c r="H389" i="5"/>
  <c r="G389" i="5"/>
  <c r="L389" i="5" s="1"/>
  <c r="K388" i="5"/>
  <c r="H388" i="5"/>
  <c r="G388" i="5"/>
  <c r="L388" i="5" s="1"/>
  <c r="J387" i="5"/>
  <c r="H387" i="5"/>
  <c r="G387" i="5"/>
  <c r="L387" i="5" s="1"/>
  <c r="H386" i="5"/>
  <c r="G386" i="5"/>
  <c r="L386" i="5" s="1"/>
  <c r="J385" i="5"/>
  <c r="H385" i="5"/>
  <c r="G385" i="5"/>
  <c r="L385" i="5" s="1"/>
  <c r="J384" i="5"/>
  <c r="H384" i="5"/>
  <c r="G384" i="5"/>
  <c r="L384" i="5" s="1"/>
  <c r="J383" i="5"/>
  <c r="H383" i="5"/>
  <c r="G383" i="5"/>
  <c r="L383" i="5" s="1"/>
  <c r="J382" i="5"/>
  <c r="H382" i="5"/>
  <c r="G382" i="5"/>
  <c r="L382" i="5" s="1"/>
  <c r="K381" i="5"/>
  <c r="H381" i="5"/>
  <c r="G381" i="5"/>
  <c r="L381" i="5" s="1"/>
  <c r="K380" i="5"/>
  <c r="H380" i="5"/>
  <c r="G380" i="5"/>
  <c r="L380" i="5" s="1"/>
  <c r="K379" i="5"/>
  <c r="H379" i="5"/>
  <c r="G379" i="5"/>
  <c r="L379" i="5" s="1"/>
  <c r="J378" i="5"/>
  <c r="H378" i="5"/>
  <c r="G378" i="5"/>
  <c r="L378" i="5" s="1"/>
  <c r="K377" i="5"/>
  <c r="H377" i="5"/>
  <c r="G377" i="5"/>
  <c r="L377" i="5" s="1"/>
  <c r="J376" i="5"/>
  <c r="H376" i="5"/>
  <c r="G376" i="5"/>
  <c r="L376" i="5" s="1"/>
  <c r="J375" i="5"/>
  <c r="H375" i="5"/>
  <c r="G375" i="5"/>
  <c r="L375" i="5" s="1"/>
  <c r="J374" i="5"/>
  <c r="H374" i="5"/>
  <c r="G374" i="5"/>
  <c r="L374" i="5" s="1"/>
  <c r="J373" i="5"/>
  <c r="H373" i="5"/>
  <c r="G373" i="5"/>
  <c r="L373" i="5" s="1"/>
  <c r="K372" i="5"/>
  <c r="H372" i="5"/>
  <c r="G372" i="5"/>
  <c r="L372" i="5" s="1"/>
  <c r="J371" i="5"/>
  <c r="H371" i="5"/>
  <c r="G371" i="5"/>
  <c r="L371" i="5" s="1"/>
  <c r="J370" i="5"/>
  <c r="H370" i="5"/>
  <c r="G370" i="5"/>
  <c r="L370" i="5" s="1"/>
  <c r="K369" i="5"/>
  <c r="H369" i="5"/>
  <c r="G369" i="5"/>
  <c r="L369" i="5" s="1"/>
  <c r="J368" i="5"/>
  <c r="H368" i="5"/>
  <c r="G368" i="5"/>
  <c r="L368" i="5" s="1"/>
  <c r="K367" i="5"/>
  <c r="H367" i="5"/>
  <c r="G367" i="5"/>
  <c r="L367" i="5" s="1"/>
  <c r="K366" i="5"/>
  <c r="H366" i="5"/>
  <c r="G366" i="5"/>
  <c r="L366" i="5" s="1"/>
  <c r="H365" i="5"/>
  <c r="G365" i="5"/>
  <c r="L365" i="5" s="1"/>
  <c r="J364" i="5"/>
  <c r="H364" i="5"/>
  <c r="G364" i="5"/>
  <c r="L364" i="5" s="1"/>
  <c r="K363" i="5"/>
  <c r="H363" i="5"/>
  <c r="G363" i="5"/>
  <c r="L363" i="5" s="1"/>
  <c r="J362" i="5"/>
  <c r="H362" i="5"/>
  <c r="G362" i="5"/>
  <c r="L362" i="5" s="1"/>
  <c r="H361" i="5"/>
  <c r="G361" i="5"/>
  <c r="L361" i="5" s="1"/>
  <c r="J360" i="5"/>
  <c r="H360" i="5"/>
  <c r="G360" i="5"/>
  <c r="L360" i="5" s="1"/>
  <c r="K359" i="5"/>
  <c r="H359" i="5"/>
  <c r="G359" i="5"/>
  <c r="L359" i="5" s="1"/>
  <c r="K358" i="5"/>
  <c r="H358" i="5"/>
  <c r="G358" i="5"/>
  <c r="L358" i="5" s="1"/>
  <c r="K357" i="5"/>
  <c r="H357" i="5"/>
  <c r="G357" i="5"/>
  <c r="L357" i="5" s="1"/>
  <c r="J356" i="5"/>
  <c r="H356" i="5"/>
  <c r="G356" i="5"/>
  <c r="L356" i="5" s="1"/>
  <c r="K355" i="5"/>
  <c r="H355" i="5"/>
  <c r="G355" i="5"/>
  <c r="L355" i="5" s="1"/>
  <c r="K354" i="5"/>
  <c r="H354" i="5"/>
  <c r="G354" i="5"/>
  <c r="L354" i="5" s="1"/>
  <c r="J353" i="5"/>
  <c r="H353" i="5"/>
  <c r="G353" i="5"/>
  <c r="L353" i="5" s="1"/>
  <c r="J352" i="5"/>
  <c r="H352" i="5"/>
  <c r="G352" i="5"/>
  <c r="L352" i="5" s="1"/>
  <c r="J351" i="5"/>
  <c r="H351" i="5"/>
  <c r="G351" i="5"/>
  <c r="L351" i="5" s="1"/>
  <c r="J350" i="5"/>
  <c r="H350" i="5"/>
  <c r="G350" i="5"/>
  <c r="L350" i="5" s="1"/>
  <c r="J349" i="5"/>
  <c r="H349" i="5"/>
  <c r="G349" i="5"/>
  <c r="L349" i="5" s="1"/>
  <c r="J348" i="5"/>
  <c r="H348" i="5"/>
  <c r="G348" i="5"/>
  <c r="L348" i="5" s="1"/>
  <c r="J347" i="5"/>
  <c r="H347" i="5"/>
  <c r="G347" i="5"/>
  <c r="L347" i="5" s="1"/>
  <c r="H346" i="5"/>
  <c r="G346" i="5"/>
  <c r="L346" i="5" s="1"/>
  <c r="J345" i="5"/>
  <c r="H345" i="5"/>
  <c r="G345" i="5"/>
  <c r="L345" i="5" s="1"/>
  <c r="J344" i="5"/>
  <c r="H344" i="5"/>
  <c r="G344" i="5"/>
  <c r="L344" i="5" s="1"/>
  <c r="J343" i="5"/>
  <c r="H343" i="5"/>
  <c r="G343" i="5"/>
  <c r="L343" i="5" s="1"/>
  <c r="K342" i="5"/>
  <c r="H342" i="5"/>
  <c r="G342" i="5"/>
  <c r="L342" i="5" s="1"/>
  <c r="J341" i="5"/>
  <c r="H341" i="5"/>
  <c r="G341" i="5"/>
  <c r="L341" i="5" s="1"/>
  <c r="K340" i="5"/>
  <c r="H340" i="5"/>
  <c r="G340" i="5"/>
  <c r="L340" i="5" s="1"/>
  <c r="H339" i="5"/>
  <c r="G339" i="5"/>
  <c r="L339" i="5" s="1"/>
  <c r="J338" i="5"/>
  <c r="H338" i="5"/>
  <c r="G338" i="5"/>
  <c r="L338" i="5" s="1"/>
  <c r="H337" i="5"/>
  <c r="G337" i="5"/>
  <c r="L337" i="5" s="1"/>
  <c r="K336" i="5"/>
  <c r="H336" i="5"/>
  <c r="G336" i="5"/>
  <c r="L336" i="5" s="1"/>
  <c r="K335" i="5"/>
  <c r="H335" i="5"/>
  <c r="G335" i="5"/>
  <c r="L335" i="5" s="1"/>
  <c r="J334" i="5"/>
  <c r="H334" i="5"/>
  <c r="G334" i="5"/>
  <c r="L334" i="5" s="1"/>
  <c r="J333" i="5"/>
  <c r="H333" i="5"/>
  <c r="G333" i="5"/>
  <c r="L333" i="5" s="1"/>
  <c r="J332" i="5"/>
  <c r="H332" i="5"/>
  <c r="G332" i="5"/>
  <c r="L332" i="5" s="1"/>
  <c r="J331" i="5"/>
  <c r="H331" i="5"/>
  <c r="G331" i="5"/>
  <c r="L331" i="5" s="1"/>
  <c r="J330" i="5"/>
  <c r="H330" i="5"/>
  <c r="G330" i="5"/>
  <c r="L330" i="5" s="1"/>
  <c r="J329" i="5"/>
  <c r="H329" i="5"/>
  <c r="G329" i="5"/>
  <c r="L329" i="5" s="1"/>
  <c r="K328" i="5"/>
  <c r="H328" i="5"/>
  <c r="G328" i="5"/>
  <c r="L328" i="5" s="1"/>
  <c r="K327" i="5"/>
  <c r="H327" i="5"/>
  <c r="G327" i="5"/>
  <c r="L327" i="5" s="1"/>
  <c r="J326" i="5"/>
  <c r="H326" i="5"/>
  <c r="G326" i="5"/>
  <c r="L326" i="5" s="1"/>
  <c r="K325" i="5"/>
  <c r="H325" i="5"/>
  <c r="G325" i="5"/>
  <c r="L325" i="5" s="1"/>
  <c r="J324" i="5"/>
  <c r="H324" i="5"/>
  <c r="G324" i="5"/>
  <c r="L324" i="5" s="1"/>
  <c r="J323" i="5"/>
  <c r="H323" i="5"/>
  <c r="G323" i="5"/>
  <c r="L323" i="5" s="1"/>
  <c r="K322" i="5"/>
  <c r="H322" i="5"/>
  <c r="G322" i="5"/>
  <c r="L322" i="5" s="1"/>
  <c r="J321" i="5"/>
  <c r="H321" i="5"/>
  <c r="G321" i="5"/>
  <c r="L321" i="5" s="1"/>
  <c r="J320" i="5"/>
  <c r="H320" i="5"/>
  <c r="G320" i="5"/>
  <c r="L320" i="5" s="1"/>
  <c r="J319" i="5"/>
  <c r="H319" i="5"/>
  <c r="G319" i="5"/>
  <c r="L319" i="5" s="1"/>
  <c r="K318" i="5"/>
  <c r="H318" i="5"/>
  <c r="G318" i="5"/>
  <c r="L318" i="5" s="1"/>
  <c r="J317" i="5"/>
  <c r="H317" i="5"/>
  <c r="G317" i="5"/>
  <c r="L317" i="5" s="1"/>
  <c r="K316" i="5"/>
  <c r="H316" i="5"/>
  <c r="G316" i="5"/>
  <c r="L316" i="5" s="1"/>
  <c r="J315" i="5"/>
  <c r="H315" i="5"/>
  <c r="G315" i="5"/>
  <c r="L315" i="5" s="1"/>
  <c r="J314" i="5"/>
  <c r="H314" i="5"/>
  <c r="G314" i="5"/>
  <c r="L314" i="5" s="1"/>
  <c r="K313" i="5"/>
  <c r="H313" i="5"/>
  <c r="G313" i="5"/>
  <c r="L313" i="5" s="1"/>
  <c r="K312" i="5"/>
  <c r="H312" i="5"/>
  <c r="G312" i="5"/>
  <c r="L312" i="5" s="1"/>
  <c r="J311" i="5"/>
  <c r="H311" i="5"/>
  <c r="G311" i="5"/>
  <c r="L311" i="5" s="1"/>
  <c r="J310" i="5"/>
  <c r="H310" i="5"/>
  <c r="G310" i="5"/>
  <c r="L310" i="5" s="1"/>
  <c r="J309" i="5"/>
  <c r="H309" i="5"/>
  <c r="G309" i="5"/>
  <c r="L309" i="5" s="1"/>
  <c r="K308" i="5"/>
  <c r="H308" i="5"/>
  <c r="G308" i="5"/>
  <c r="L308" i="5" s="1"/>
  <c r="J307" i="5"/>
  <c r="H307" i="5"/>
  <c r="G307" i="5"/>
  <c r="L307" i="5" s="1"/>
  <c r="J306" i="5"/>
  <c r="H306" i="5"/>
  <c r="G306" i="5"/>
  <c r="L306" i="5" s="1"/>
  <c r="K305" i="5"/>
  <c r="H305" i="5"/>
  <c r="G305" i="5"/>
  <c r="L305" i="5" s="1"/>
  <c r="J304" i="5"/>
  <c r="H304" i="5"/>
  <c r="G304" i="5"/>
  <c r="L304" i="5" s="1"/>
  <c r="J303" i="5"/>
  <c r="H303" i="5"/>
  <c r="G303" i="5"/>
  <c r="L303" i="5" s="1"/>
  <c r="J302" i="5"/>
  <c r="H302" i="5"/>
  <c r="G302" i="5"/>
  <c r="L302" i="5" s="1"/>
  <c r="K301" i="5"/>
  <c r="H301" i="5"/>
  <c r="G301" i="5"/>
  <c r="L301" i="5" s="1"/>
  <c r="K300" i="5"/>
  <c r="H300" i="5"/>
  <c r="G300" i="5"/>
  <c r="L300" i="5" s="1"/>
  <c r="J299" i="5"/>
  <c r="H299" i="5"/>
  <c r="G299" i="5"/>
  <c r="L299" i="5" s="1"/>
  <c r="H298" i="5"/>
  <c r="G298" i="5"/>
  <c r="L298" i="5" s="1"/>
  <c r="K297" i="5"/>
  <c r="H297" i="5"/>
  <c r="G297" i="5"/>
  <c r="L297" i="5" s="1"/>
  <c r="J296" i="5"/>
  <c r="H296" i="5"/>
  <c r="G296" i="5"/>
  <c r="L296" i="5" s="1"/>
  <c r="K295" i="5"/>
  <c r="H295" i="5"/>
  <c r="G295" i="5"/>
  <c r="L295" i="5" s="1"/>
  <c r="K294" i="5"/>
  <c r="H294" i="5"/>
  <c r="G294" i="5"/>
  <c r="L294" i="5" s="1"/>
  <c r="H293" i="5"/>
  <c r="G293" i="5"/>
  <c r="L293" i="5" s="1"/>
  <c r="K292" i="5"/>
  <c r="H292" i="5"/>
  <c r="G292" i="5"/>
  <c r="L292" i="5" s="1"/>
  <c r="J291" i="5"/>
  <c r="H291" i="5"/>
  <c r="G291" i="5"/>
  <c r="L291" i="5" s="1"/>
  <c r="K290" i="5"/>
  <c r="H290" i="5"/>
  <c r="G290" i="5"/>
  <c r="L290" i="5" s="1"/>
  <c r="J289" i="5"/>
  <c r="H289" i="5"/>
  <c r="G289" i="5"/>
  <c r="L289" i="5" s="1"/>
  <c r="K288" i="5"/>
  <c r="H288" i="5"/>
  <c r="G288" i="5"/>
  <c r="L288" i="5" s="1"/>
  <c r="J287" i="5"/>
  <c r="H287" i="5"/>
  <c r="G287" i="5"/>
  <c r="L287" i="5" s="1"/>
  <c r="J286" i="5"/>
  <c r="H286" i="5"/>
  <c r="G286" i="5"/>
  <c r="L286" i="5" s="1"/>
  <c r="K285" i="5"/>
  <c r="H285" i="5"/>
  <c r="G285" i="5"/>
  <c r="L285" i="5" s="1"/>
  <c r="J284" i="5"/>
  <c r="H284" i="5"/>
  <c r="G284" i="5"/>
  <c r="L284" i="5" s="1"/>
  <c r="K283" i="5"/>
  <c r="H283" i="5"/>
  <c r="G283" i="5"/>
  <c r="L283" i="5" s="1"/>
  <c r="J282" i="5"/>
  <c r="H282" i="5"/>
  <c r="G282" i="5"/>
  <c r="L282" i="5" s="1"/>
  <c r="J281" i="5"/>
  <c r="H281" i="5"/>
  <c r="G281" i="5"/>
  <c r="L281" i="5" s="1"/>
  <c r="K280" i="5"/>
  <c r="H280" i="5"/>
  <c r="G280" i="5"/>
  <c r="L280" i="5" s="1"/>
  <c r="K279" i="5"/>
  <c r="H279" i="5"/>
  <c r="G279" i="5"/>
  <c r="L279" i="5" s="1"/>
  <c r="J278" i="5"/>
  <c r="H278" i="5"/>
  <c r="G278" i="5"/>
  <c r="L278" i="5" s="1"/>
  <c r="K277" i="5"/>
  <c r="H277" i="5"/>
  <c r="G277" i="5"/>
  <c r="L277" i="5" s="1"/>
  <c r="K276" i="5"/>
  <c r="H276" i="5"/>
  <c r="G276" i="5"/>
  <c r="L276" i="5" s="1"/>
  <c r="J275" i="5"/>
  <c r="H275" i="5"/>
  <c r="G275" i="5"/>
  <c r="L275" i="5" s="1"/>
  <c r="H274" i="5"/>
  <c r="G274" i="5"/>
  <c r="L274" i="5" s="1"/>
  <c r="K273" i="5"/>
  <c r="H273" i="5"/>
  <c r="G273" i="5"/>
  <c r="L273" i="5" s="1"/>
  <c r="J272" i="5"/>
  <c r="H272" i="5"/>
  <c r="G272" i="5"/>
  <c r="L272" i="5" s="1"/>
  <c r="K271" i="5"/>
  <c r="H271" i="5"/>
  <c r="G271" i="5"/>
  <c r="L271" i="5" s="1"/>
  <c r="K270" i="5"/>
  <c r="H270" i="5"/>
  <c r="G270" i="5"/>
  <c r="L270" i="5" s="1"/>
  <c r="J269" i="5"/>
  <c r="H269" i="5"/>
  <c r="G269" i="5"/>
  <c r="L269" i="5" s="1"/>
  <c r="K268" i="5"/>
  <c r="H268" i="5"/>
  <c r="G268" i="5"/>
  <c r="L268" i="5" s="1"/>
  <c r="K267" i="5"/>
  <c r="H267" i="5"/>
  <c r="G267" i="5"/>
  <c r="L267" i="5" s="1"/>
  <c r="K266" i="5"/>
  <c r="H266" i="5"/>
  <c r="G266" i="5"/>
  <c r="L266" i="5" s="1"/>
  <c r="J265" i="5"/>
  <c r="H265" i="5"/>
  <c r="G265" i="5"/>
  <c r="L265" i="5" s="1"/>
  <c r="J264" i="5"/>
  <c r="H264" i="5"/>
  <c r="G264" i="5"/>
  <c r="L264" i="5" s="1"/>
  <c r="K263" i="5"/>
  <c r="H263" i="5"/>
  <c r="G263" i="5"/>
  <c r="L263" i="5" s="1"/>
  <c r="J262" i="5"/>
  <c r="H262" i="5"/>
  <c r="G262" i="5"/>
  <c r="L262" i="5" s="1"/>
  <c r="J261" i="5"/>
  <c r="H261" i="5"/>
  <c r="G261" i="5"/>
  <c r="L261" i="5" s="1"/>
  <c r="J260" i="5"/>
  <c r="H260" i="5"/>
  <c r="G260" i="5"/>
  <c r="L260" i="5" s="1"/>
  <c r="J259" i="5"/>
  <c r="H259" i="5"/>
  <c r="G259" i="5"/>
  <c r="L259" i="5" s="1"/>
  <c r="J258" i="5"/>
  <c r="H258" i="5"/>
  <c r="G258" i="5"/>
  <c r="L258" i="5" s="1"/>
  <c r="K257" i="5"/>
  <c r="H257" i="5"/>
  <c r="G257" i="5"/>
  <c r="L257" i="5" s="1"/>
  <c r="K256" i="5"/>
  <c r="H256" i="5"/>
  <c r="G256" i="5"/>
  <c r="L256" i="5" s="1"/>
  <c r="H255" i="5"/>
  <c r="G255" i="5"/>
  <c r="L255" i="5" s="1"/>
  <c r="H254" i="5"/>
  <c r="G254" i="5"/>
  <c r="L254" i="5" s="1"/>
  <c r="H253" i="5"/>
  <c r="G253" i="5"/>
  <c r="L253" i="5" s="1"/>
  <c r="J252" i="5"/>
  <c r="H252" i="5"/>
  <c r="G252" i="5"/>
  <c r="L252" i="5" s="1"/>
  <c r="J251" i="5"/>
  <c r="H251" i="5"/>
  <c r="G251" i="5"/>
  <c r="L251" i="5" s="1"/>
  <c r="K250" i="5"/>
  <c r="H250" i="5"/>
  <c r="G250" i="5"/>
  <c r="L250" i="5" s="1"/>
  <c r="J249" i="5"/>
  <c r="H249" i="5"/>
  <c r="G249" i="5"/>
  <c r="L249" i="5" s="1"/>
  <c r="J248" i="5"/>
  <c r="H248" i="5"/>
  <c r="G248" i="5"/>
  <c r="L248" i="5" s="1"/>
  <c r="J247" i="5"/>
  <c r="H247" i="5"/>
  <c r="G247" i="5"/>
  <c r="L247" i="5" s="1"/>
  <c r="K246" i="5"/>
  <c r="H246" i="5"/>
  <c r="G246" i="5"/>
  <c r="L246" i="5" s="1"/>
  <c r="K245" i="5"/>
  <c r="H245" i="5"/>
  <c r="G245" i="5"/>
  <c r="L245" i="5" s="1"/>
  <c r="J244" i="5"/>
  <c r="H244" i="5"/>
  <c r="G244" i="5"/>
  <c r="L244" i="5" s="1"/>
  <c r="J243" i="5"/>
  <c r="H243" i="5"/>
  <c r="G243" i="5"/>
  <c r="L243" i="5" s="1"/>
  <c r="J242" i="5"/>
  <c r="H242" i="5"/>
  <c r="G242" i="5"/>
  <c r="L242" i="5" s="1"/>
  <c r="J241" i="5"/>
  <c r="H241" i="5"/>
  <c r="G241" i="5"/>
  <c r="L241" i="5" s="1"/>
  <c r="J240" i="5"/>
  <c r="H240" i="5"/>
  <c r="G240" i="5"/>
  <c r="L240" i="5" s="1"/>
  <c r="J239" i="5"/>
  <c r="H239" i="5"/>
  <c r="G239" i="5"/>
  <c r="L239" i="5" s="1"/>
  <c r="H238" i="5"/>
  <c r="G238" i="5"/>
  <c r="L238" i="5" s="1"/>
  <c r="J237" i="5"/>
  <c r="H237" i="5"/>
  <c r="G237" i="5"/>
  <c r="L237" i="5" s="1"/>
  <c r="K236" i="5"/>
  <c r="H236" i="5"/>
  <c r="G236" i="5"/>
  <c r="L236" i="5" s="1"/>
  <c r="J235" i="5"/>
  <c r="H235" i="5"/>
  <c r="G235" i="5"/>
  <c r="L235" i="5" s="1"/>
  <c r="J234" i="5"/>
  <c r="H234" i="5"/>
  <c r="G234" i="5"/>
  <c r="L234" i="5" s="1"/>
  <c r="J233" i="5"/>
  <c r="H233" i="5"/>
  <c r="G233" i="5"/>
  <c r="L233" i="5" s="1"/>
  <c r="K232" i="5"/>
  <c r="H232" i="5"/>
  <c r="G232" i="5"/>
  <c r="L232" i="5" s="1"/>
  <c r="J231" i="5"/>
  <c r="H231" i="5"/>
  <c r="G231" i="5"/>
  <c r="L231" i="5" s="1"/>
  <c r="K230" i="5"/>
  <c r="H230" i="5"/>
  <c r="G230" i="5"/>
  <c r="L230" i="5" s="1"/>
  <c r="K229" i="5"/>
  <c r="H229" i="5"/>
  <c r="G229" i="5"/>
  <c r="L229" i="5" s="1"/>
  <c r="J228" i="5"/>
  <c r="H228" i="5"/>
  <c r="G228" i="5"/>
  <c r="L228" i="5" s="1"/>
  <c r="J227" i="5"/>
  <c r="H227" i="5"/>
  <c r="G227" i="5"/>
  <c r="L227" i="5" s="1"/>
  <c r="K226" i="5"/>
  <c r="H226" i="5"/>
  <c r="G226" i="5"/>
  <c r="L226" i="5" s="1"/>
  <c r="J225" i="5"/>
  <c r="H225" i="5"/>
  <c r="G225" i="5"/>
  <c r="L225" i="5" s="1"/>
  <c r="K224" i="5"/>
  <c r="H224" i="5"/>
  <c r="G224" i="5"/>
  <c r="L224" i="5" s="1"/>
  <c r="J223" i="5"/>
  <c r="H223" i="5"/>
  <c r="G223" i="5"/>
  <c r="L223" i="5" s="1"/>
  <c r="J222" i="5"/>
  <c r="H222" i="5"/>
  <c r="G222" i="5"/>
  <c r="L222" i="5" s="1"/>
  <c r="K221" i="5"/>
  <c r="H221" i="5"/>
  <c r="G221" i="5"/>
  <c r="L221" i="5" s="1"/>
  <c r="J220" i="5"/>
  <c r="H220" i="5"/>
  <c r="G220" i="5"/>
  <c r="L220" i="5" s="1"/>
  <c r="K219" i="5"/>
  <c r="H219" i="5"/>
  <c r="G219" i="5"/>
  <c r="L219" i="5" s="1"/>
  <c r="K218" i="5"/>
  <c r="H218" i="5"/>
  <c r="G218" i="5"/>
  <c r="L218" i="5" s="1"/>
  <c r="K217" i="5"/>
  <c r="H217" i="5"/>
  <c r="G217" i="5"/>
  <c r="L217" i="5" s="1"/>
  <c r="K216" i="5"/>
  <c r="H216" i="5"/>
  <c r="G216" i="5"/>
  <c r="L216" i="5" s="1"/>
  <c r="J215" i="5"/>
  <c r="H215" i="5"/>
  <c r="G215" i="5"/>
  <c r="L215" i="5" s="1"/>
  <c r="H214" i="5"/>
  <c r="G214" i="5"/>
  <c r="L214" i="5" s="1"/>
  <c r="J213" i="5"/>
  <c r="H213" i="5"/>
  <c r="G213" i="5"/>
  <c r="L213" i="5" s="1"/>
  <c r="H212" i="5"/>
  <c r="G212" i="5"/>
  <c r="L212" i="5" s="1"/>
  <c r="J211" i="5"/>
  <c r="H211" i="5"/>
  <c r="G211" i="5"/>
  <c r="L211" i="5" s="1"/>
  <c r="K210" i="5"/>
  <c r="H210" i="5"/>
  <c r="G210" i="5"/>
  <c r="L210" i="5" s="1"/>
  <c r="H209" i="5"/>
  <c r="G209" i="5"/>
  <c r="L209" i="5" s="1"/>
  <c r="K208" i="5"/>
  <c r="H208" i="5"/>
  <c r="G208" i="5"/>
  <c r="L208" i="5" s="1"/>
  <c r="J207" i="5"/>
  <c r="H207" i="5"/>
  <c r="G207" i="5"/>
  <c r="L207" i="5" s="1"/>
  <c r="K206" i="5"/>
  <c r="H206" i="5"/>
  <c r="G206" i="5"/>
  <c r="L206" i="5" s="1"/>
  <c r="J205" i="5"/>
  <c r="H205" i="5"/>
  <c r="G205" i="5"/>
  <c r="L205" i="5" s="1"/>
  <c r="J204" i="5"/>
  <c r="H204" i="5"/>
  <c r="G204" i="5"/>
  <c r="L204" i="5" s="1"/>
  <c r="K203" i="5"/>
  <c r="H203" i="5"/>
  <c r="G203" i="5"/>
  <c r="L203" i="5" s="1"/>
  <c r="J202" i="5"/>
  <c r="H202" i="5"/>
  <c r="G202" i="5"/>
  <c r="L202" i="5" s="1"/>
  <c r="J201" i="5"/>
  <c r="H201" i="5"/>
  <c r="G201" i="5"/>
  <c r="L201" i="5" s="1"/>
  <c r="K200" i="5"/>
  <c r="H200" i="5"/>
  <c r="G200" i="5"/>
  <c r="L200" i="5" s="1"/>
  <c r="J199" i="5"/>
  <c r="H199" i="5"/>
  <c r="G199" i="5"/>
  <c r="L199" i="5" s="1"/>
  <c r="K198" i="5"/>
  <c r="H198" i="5"/>
  <c r="G198" i="5"/>
  <c r="L198" i="5" s="1"/>
  <c r="K197" i="5"/>
  <c r="H197" i="5"/>
  <c r="G197" i="5"/>
  <c r="L197" i="5" s="1"/>
  <c r="H196" i="5"/>
  <c r="G196" i="5"/>
  <c r="L196" i="5" s="1"/>
  <c r="J195" i="5"/>
  <c r="H195" i="5"/>
  <c r="G195" i="5"/>
  <c r="L195" i="5" s="1"/>
  <c r="J194" i="5"/>
  <c r="H194" i="5"/>
  <c r="G194" i="5"/>
  <c r="L194" i="5" s="1"/>
  <c r="K193" i="5"/>
  <c r="H193" i="5"/>
  <c r="G193" i="5"/>
  <c r="L193" i="5" s="1"/>
  <c r="J192" i="5"/>
  <c r="H192" i="5"/>
  <c r="G192" i="5"/>
  <c r="L192" i="5" s="1"/>
  <c r="K191" i="5"/>
  <c r="H191" i="5"/>
  <c r="G191" i="5"/>
  <c r="L191" i="5" s="1"/>
  <c r="H190" i="5"/>
  <c r="G190" i="5"/>
  <c r="L190" i="5" s="1"/>
  <c r="K189" i="5"/>
  <c r="H189" i="5"/>
  <c r="G189" i="5"/>
  <c r="L189" i="5" s="1"/>
  <c r="J188" i="5"/>
  <c r="H188" i="5"/>
  <c r="G188" i="5"/>
  <c r="L188" i="5" s="1"/>
  <c r="J187" i="5"/>
  <c r="H187" i="5"/>
  <c r="G187" i="5"/>
  <c r="L187" i="5" s="1"/>
  <c r="H186" i="5"/>
  <c r="G186" i="5"/>
  <c r="L186" i="5" s="1"/>
  <c r="K185" i="5"/>
  <c r="H185" i="5"/>
  <c r="G185" i="5"/>
  <c r="L185" i="5" s="1"/>
  <c r="J184" i="5"/>
  <c r="H184" i="5"/>
  <c r="G184" i="5"/>
  <c r="L184" i="5" s="1"/>
  <c r="K183" i="5"/>
  <c r="H183" i="5"/>
  <c r="G183" i="5"/>
  <c r="L183" i="5" s="1"/>
  <c r="J182" i="5"/>
  <c r="H182" i="5"/>
  <c r="G182" i="5"/>
  <c r="L182" i="5" s="1"/>
  <c r="K181" i="5"/>
  <c r="H181" i="5"/>
  <c r="G181" i="5"/>
  <c r="L181" i="5" s="1"/>
  <c r="J180" i="5"/>
  <c r="H180" i="5"/>
  <c r="G180" i="5"/>
  <c r="L180" i="5" s="1"/>
  <c r="J179" i="5"/>
  <c r="H179" i="5"/>
  <c r="G179" i="5"/>
  <c r="L179" i="5" s="1"/>
  <c r="J178" i="5"/>
  <c r="H178" i="5"/>
  <c r="G178" i="5"/>
  <c r="L178" i="5" s="1"/>
  <c r="J177" i="5"/>
  <c r="H177" i="5"/>
  <c r="G177" i="5"/>
  <c r="L177" i="5" s="1"/>
  <c r="J176" i="5"/>
  <c r="H176" i="5"/>
  <c r="G176" i="5"/>
  <c r="L176" i="5" s="1"/>
  <c r="K175" i="5"/>
  <c r="H175" i="5"/>
  <c r="G175" i="5"/>
  <c r="L175" i="5" s="1"/>
  <c r="K174" i="5"/>
  <c r="H174" i="5"/>
  <c r="G174" i="5"/>
  <c r="L174" i="5" s="1"/>
  <c r="J173" i="5"/>
  <c r="H173" i="5"/>
  <c r="G173" i="5"/>
  <c r="L173" i="5" s="1"/>
  <c r="K172" i="5"/>
  <c r="H172" i="5"/>
  <c r="G172" i="5"/>
  <c r="L172" i="5" s="1"/>
  <c r="J171" i="5"/>
  <c r="H171" i="5"/>
  <c r="G171" i="5"/>
  <c r="L171" i="5" s="1"/>
  <c r="K170" i="5"/>
  <c r="H170" i="5"/>
  <c r="G170" i="5"/>
  <c r="L170" i="5" s="1"/>
  <c r="K169" i="5"/>
  <c r="H169" i="5"/>
  <c r="G169" i="5"/>
  <c r="L169" i="5" s="1"/>
  <c r="J168" i="5"/>
  <c r="H168" i="5"/>
  <c r="G168" i="5"/>
  <c r="L168" i="5" s="1"/>
  <c r="K167" i="5"/>
  <c r="H167" i="5"/>
  <c r="G167" i="5"/>
  <c r="L167" i="5" s="1"/>
  <c r="J166" i="5"/>
  <c r="H166" i="5"/>
  <c r="G166" i="5"/>
  <c r="L166" i="5" s="1"/>
  <c r="H165" i="5"/>
  <c r="G165" i="5"/>
  <c r="L165" i="5" s="1"/>
  <c r="K164" i="5"/>
  <c r="H164" i="5"/>
  <c r="G164" i="5"/>
  <c r="L164" i="5" s="1"/>
  <c r="J163" i="5"/>
  <c r="H163" i="5"/>
  <c r="G163" i="5"/>
  <c r="L163" i="5" s="1"/>
  <c r="K162" i="5"/>
  <c r="H162" i="5"/>
  <c r="G162" i="5"/>
  <c r="L162" i="5" s="1"/>
  <c r="J161" i="5"/>
  <c r="H161" i="5"/>
  <c r="G161" i="5"/>
  <c r="L161" i="5" s="1"/>
  <c r="J160" i="5"/>
  <c r="H160" i="5"/>
  <c r="G160" i="5"/>
  <c r="L160" i="5" s="1"/>
  <c r="J159" i="5"/>
  <c r="H159" i="5"/>
  <c r="G159" i="5"/>
  <c r="L159" i="5" s="1"/>
  <c r="J158" i="5"/>
  <c r="H158" i="5"/>
  <c r="G158" i="5"/>
  <c r="L158" i="5" s="1"/>
  <c r="J157" i="5"/>
  <c r="H157" i="5"/>
  <c r="G157" i="5"/>
  <c r="L157" i="5" s="1"/>
  <c r="K156" i="5"/>
  <c r="H156" i="5"/>
  <c r="G156" i="5"/>
  <c r="L156" i="5" s="1"/>
  <c r="J155" i="5"/>
  <c r="H155" i="5"/>
  <c r="G155" i="5"/>
  <c r="L155" i="5" s="1"/>
  <c r="J154" i="5"/>
  <c r="H154" i="5"/>
  <c r="G154" i="5"/>
  <c r="L154" i="5" s="1"/>
  <c r="J153" i="5"/>
  <c r="H153" i="5"/>
  <c r="G153" i="5"/>
  <c r="L153" i="5" s="1"/>
  <c r="J152" i="5"/>
  <c r="H152" i="5"/>
  <c r="G152" i="5"/>
  <c r="L152" i="5" s="1"/>
  <c r="K151" i="5"/>
  <c r="H151" i="5"/>
  <c r="G151" i="5"/>
  <c r="L151" i="5" s="1"/>
  <c r="K150" i="5"/>
  <c r="H150" i="5"/>
  <c r="G150" i="5"/>
  <c r="L150" i="5" s="1"/>
  <c r="J149" i="5"/>
  <c r="H149" i="5"/>
  <c r="G149" i="5"/>
  <c r="L149" i="5" s="1"/>
  <c r="J148" i="5"/>
  <c r="H148" i="5"/>
  <c r="G148" i="5"/>
  <c r="L148" i="5" s="1"/>
  <c r="J147" i="5"/>
  <c r="H147" i="5"/>
  <c r="G147" i="5"/>
  <c r="L147" i="5" s="1"/>
  <c r="J146" i="5"/>
  <c r="H146" i="5"/>
  <c r="G146" i="5"/>
  <c r="L146" i="5" s="1"/>
  <c r="J145" i="5"/>
  <c r="H145" i="5"/>
  <c r="G145" i="5"/>
  <c r="L145" i="5" s="1"/>
  <c r="H144" i="5"/>
  <c r="G144" i="5"/>
  <c r="L144" i="5" s="1"/>
  <c r="K143" i="5"/>
  <c r="H143" i="5"/>
  <c r="G143" i="5"/>
  <c r="L143" i="5" s="1"/>
  <c r="J142" i="5"/>
  <c r="H142" i="5"/>
  <c r="G142" i="5"/>
  <c r="L142" i="5" s="1"/>
  <c r="J141" i="5"/>
  <c r="H141" i="5"/>
  <c r="G141" i="5"/>
  <c r="L141" i="5" s="1"/>
  <c r="J140" i="5"/>
  <c r="H140" i="5"/>
  <c r="G140" i="5"/>
  <c r="L140" i="5" s="1"/>
  <c r="K139" i="5"/>
  <c r="H139" i="5"/>
  <c r="G139" i="5"/>
  <c r="L139" i="5" s="1"/>
  <c r="K138" i="5"/>
  <c r="H138" i="5"/>
  <c r="G138" i="5"/>
  <c r="L138" i="5" s="1"/>
  <c r="J137" i="5"/>
  <c r="H137" i="5"/>
  <c r="G137" i="5"/>
  <c r="L137" i="5" s="1"/>
  <c r="K136" i="5"/>
  <c r="H136" i="5"/>
  <c r="G136" i="5"/>
  <c r="L136" i="5" s="1"/>
  <c r="J135" i="5"/>
  <c r="H135" i="5"/>
  <c r="G135" i="5"/>
  <c r="L135" i="5" s="1"/>
  <c r="J134" i="5"/>
  <c r="H134" i="5"/>
  <c r="G134" i="5"/>
  <c r="L134" i="5" s="1"/>
  <c r="J133" i="5"/>
  <c r="H133" i="5"/>
  <c r="G133" i="5"/>
  <c r="L133" i="5" s="1"/>
  <c r="J132" i="5"/>
  <c r="H132" i="5"/>
  <c r="G132" i="5"/>
  <c r="L132" i="5" s="1"/>
  <c r="J131" i="5"/>
  <c r="H131" i="5"/>
  <c r="G131" i="5"/>
  <c r="L131" i="5" s="1"/>
  <c r="H130" i="5"/>
  <c r="G130" i="5"/>
  <c r="L130" i="5" s="1"/>
  <c r="K129" i="5"/>
  <c r="H129" i="5"/>
  <c r="G129" i="5"/>
  <c r="L129" i="5" s="1"/>
  <c r="K128" i="5"/>
  <c r="H128" i="5"/>
  <c r="G128" i="5"/>
  <c r="L128" i="5" s="1"/>
  <c r="J127" i="5"/>
  <c r="H127" i="5"/>
  <c r="G127" i="5"/>
  <c r="L127" i="5" s="1"/>
  <c r="K126" i="5"/>
  <c r="H126" i="5"/>
  <c r="G126" i="5"/>
  <c r="L126" i="5" s="1"/>
  <c r="J125" i="5"/>
  <c r="H125" i="5"/>
  <c r="G125" i="5"/>
  <c r="L125" i="5" s="1"/>
  <c r="H124" i="5"/>
  <c r="G124" i="5"/>
  <c r="L124" i="5" s="1"/>
  <c r="J123" i="5"/>
  <c r="H123" i="5"/>
  <c r="G123" i="5"/>
  <c r="L123" i="5" s="1"/>
  <c r="K122" i="5"/>
  <c r="H122" i="5"/>
  <c r="G122" i="5"/>
  <c r="L122" i="5" s="1"/>
  <c r="J121" i="5"/>
  <c r="H121" i="5"/>
  <c r="G121" i="5"/>
  <c r="L121" i="5" s="1"/>
  <c r="J120" i="5"/>
  <c r="H120" i="5"/>
  <c r="G120" i="5"/>
  <c r="L120" i="5" s="1"/>
  <c r="K119" i="5"/>
  <c r="H119" i="5"/>
  <c r="G119" i="5"/>
  <c r="L119" i="5" s="1"/>
  <c r="J118" i="5"/>
  <c r="H118" i="5"/>
  <c r="G118" i="5"/>
  <c r="L118" i="5" s="1"/>
  <c r="K117" i="5"/>
  <c r="H117" i="5"/>
  <c r="G117" i="5"/>
  <c r="L117" i="5" s="1"/>
  <c r="J116" i="5"/>
  <c r="H116" i="5"/>
  <c r="G116" i="5"/>
  <c r="L116" i="5" s="1"/>
  <c r="J115" i="5"/>
  <c r="H115" i="5"/>
  <c r="G115" i="5"/>
  <c r="L115" i="5" s="1"/>
  <c r="K114" i="5"/>
  <c r="H114" i="5"/>
  <c r="G114" i="5"/>
  <c r="L114" i="5" s="1"/>
  <c r="J113" i="5"/>
  <c r="H113" i="5"/>
  <c r="G113" i="5"/>
  <c r="L113" i="5" s="1"/>
  <c r="J112" i="5"/>
  <c r="H112" i="5"/>
  <c r="G112" i="5"/>
  <c r="L112" i="5" s="1"/>
  <c r="J111" i="5"/>
  <c r="H111" i="5"/>
  <c r="G111" i="5"/>
  <c r="L111" i="5" s="1"/>
  <c r="K110" i="5"/>
  <c r="H110" i="5"/>
  <c r="G110" i="5"/>
  <c r="L110" i="5" s="1"/>
  <c r="J109" i="5"/>
  <c r="H109" i="5"/>
  <c r="G109" i="5"/>
  <c r="L109" i="5" s="1"/>
  <c r="J108" i="5"/>
  <c r="H108" i="5"/>
  <c r="G108" i="5"/>
  <c r="L108" i="5" s="1"/>
  <c r="J107" i="5"/>
  <c r="H107" i="5"/>
  <c r="G107" i="5"/>
  <c r="L107" i="5" s="1"/>
  <c r="J106" i="5"/>
  <c r="H106" i="5"/>
  <c r="G106" i="5"/>
  <c r="L106" i="5" s="1"/>
  <c r="J105" i="5"/>
  <c r="H105" i="5"/>
  <c r="G105" i="5"/>
  <c r="L105" i="5" s="1"/>
  <c r="H104" i="5"/>
  <c r="G104" i="5"/>
  <c r="L104" i="5" s="1"/>
  <c r="J103" i="5"/>
  <c r="H103" i="5"/>
  <c r="G103" i="5"/>
  <c r="L103" i="5" s="1"/>
  <c r="J102" i="5"/>
  <c r="H102" i="5"/>
  <c r="G102" i="5"/>
  <c r="L102" i="5" s="1"/>
  <c r="H101" i="5"/>
  <c r="G101" i="5"/>
  <c r="L101" i="5" s="1"/>
  <c r="J100" i="5"/>
  <c r="H100" i="5"/>
  <c r="G100" i="5"/>
  <c r="L100" i="5" s="1"/>
  <c r="J99" i="5"/>
  <c r="H99" i="5"/>
  <c r="G99" i="5"/>
  <c r="L99" i="5" s="1"/>
  <c r="K98" i="5"/>
  <c r="H98" i="5"/>
  <c r="G98" i="5"/>
  <c r="L98" i="5" s="1"/>
  <c r="J97" i="5"/>
  <c r="H97" i="5"/>
  <c r="G97" i="5"/>
  <c r="L97" i="5" s="1"/>
  <c r="K96" i="5"/>
  <c r="H96" i="5"/>
  <c r="G96" i="5"/>
  <c r="L96" i="5" s="1"/>
  <c r="J95" i="5"/>
  <c r="H95" i="5"/>
  <c r="G95" i="5"/>
  <c r="L95" i="5" s="1"/>
  <c r="K94" i="5"/>
  <c r="H94" i="5"/>
  <c r="G94" i="5"/>
  <c r="L94" i="5" s="1"/>
  <c r="K93" i="5"/>
  <c r="H93" i="5"/>
  <c r="G93" i="5"/>
  <c r="L93" i="5" s="1"/>
  <c r="H92" i="5"/>
  <c r="G92" i="5"/>
  <c r="L92" i="5" s="1"/>
  <c r="J91" i="5"/>
  <c r="H91" i="5"/>
  <c r="G91" i="5"/>
  <c r="L91" i="5" s="1"/>
  <c r="J90" i="5"/>
  <c r="H90" i="5"/>
  <c r="G90" i="5"/>
  <c r="L90" i="5" s="1"/>
  <c r="K89" i="5"/>
  <c r="H89" i="5"/>
  <c r="G89" i="5"/>
  <c r="L89" i="5" s="1"/>
  <c r="K88" i="5"/>
  <c r="H88" i="5"/>
  <c r="G88" i="5"/>
  <c r="L88" i="5" s="1"/>
  <c r="K87" i="5"/>
  <c r="H87" i="5"/>
  <c r="G87" i="5"/>
  <c r="L87" i="5" s="1"/>
  <c r="J86" i="5"/>
  <c r="H86" i="5"/>
  <c r="G86" i="5"/>
  <c r="L86" i="5" s="1"/>
  <c r="J85" i="5"/>
  <c r="H85" i="5"/>
  <c r="G85" i="5"/>
  <c r="L85" i="5" s="1"/>
  <c r="J84" i="5"/>
  <c r="H84" i="5"/>
  <c r="G84" i="5"/>
  <c r="L84" i="5" s="1"/>
  <c r="J83" i="5"/>
  <c r="H83" i="5"/>
  <c r="G83" i="5"/>
  <c r="L83" i="5" s="1"/>
  <c r="J82" i="5"/>
  <c r="H82" i="5"/>
  <c r="G82" i="5"/>
  <c r="L82" i="5" s="1"/>
  <c r="K81" i="5"/>
  <c r="H81" i="5"/>
  <c r="G81" i="5"/>
  <c r="L81" i="5" s="1"/>
  <c r="K80" i="5"/>
  <c r="H80" i="5"/>
  <c r="G80" i="5"/>
  <c r="L80" i="5" s="1"/>
  <c r="J79" i="5"/>
  <c r="H79" i="5"/>
  <c r="G79" i="5"/>
  <c r="L79" i="5" s="1"/>
  <c r="K78" i="5"/>
  <c r="H78" i="5"/>
  <c r="G78" i="5"/>
  <c r="L78" i="5" s="1"/>
  <c r="K77" i="5"/>
  <c r="H77" i="5"/>
  <c r="G77" i="5"/>
  <c r="L77" i="5" s="1"/>
  <c r="J76" i="5"/>
  <c r="H76" i="5"/>
  <c r="G76" i="5"/>
  <c r="L76" i="5" s="1"/>
  <c r="J75" i="5"/>
  <c r="H75" i="5"/>
  <c r="G75" i="5"/>
  <c r="L75" i="5" s="1"/>
  <c r="J74" i="5"/>
  <c r="H74" i="5"/>
  <c r="G74" i="5"/>
  <c r="L74" i="5" s="1"/>
  <c r="K73" i="5"/>
  <c r="H73" i="5"/>
  <c r="G73" i="5"/>
  <c r="L73" i="5" s="1"/>
  <c r="J72" i="5"/>
  <c r="H72" i="5"/>
  <c r="G72" i="5"/>
  <c r="L72" i="5" s="1"/>
  <c r="J71" i="5"/>
  <c r="H71" i="5"/>
  <c r="G71" i="5"/>
  <c r="L71" i="5" s="1"/>
  <c r="K70" i="5"/>
  <c r="H70" i="5"/>
  <c r="G70" i="5"/>
  <c r="L70" i="5" s="1"/>
  <c r="K69" i="5"/>
  <c r="H69" i="5"/>
  <c r="G69" i="5"/>
  <c r="L69" i="5" s="1"/>
  <c r="J68" i="5"/>
  <c r="H68" i="5"/>
  <c r="G68" i="5"/>
  <c r="L68" i="5" s="1"/>
  <c r="K67" i="5"/>
  <c r="H67" i="5"/>
  <c r="G67" i="5"/>
  <c r="L67" i="5" s="1"/>
  <c r="J66" i="5"/>
  <c r="H66" i="5"/>
  <c r="G66" i="5"/>
  <c r="L66" i="5" s="1"/>
  <c r="J65" i="5"/>
  <c r="H65" i="5"/>
  <c r="G65" i="5"/>
  <c r="L65" i="5" s="1"/>
  <c r="J64" i="5"/>
  <c r="H64" i="5"/>
  <c r="G64" i="5"/>
  <c r="L64" i="5" s="1"/>
  <c r="J63" i="5"/>
  <c r="H63" i="5"/>
  <c r="G63" i="5"/>
  <c r="L63" i="5" s="1"/>
  <c r="J62" i="5"/>
  <c r="H62" i="5"/>
  <c r="G62" i="5"/>
  <c r="L62" i="5" s="1"/>
  <c r="K61" i="5"/>
  <c r="H61" i="5"/>
  <c r="G61" i="5"/>
  <c r="L61" i="5" s="1"/>
  <c r="J60" i="5"/>
  <c r="H60" i="5"/>
  <c r="G60" i="5"/>
  <c r="L60" i="5" s="1"/>
  <c r="K59" i="5"/>
  <c r="H59" i="5"/>
  <c r="G59" i="5"/>
  <c r="L59" i="5" s="1"/>
  <c r="J58" i="5"/>
  <c r="H58" i="5"/>
  <c r="G58" i="5"/>
  <c r="L58" i="5" s="1"/>
  <c r="J57" i="5"/>
  <c r="H57" i="5"/>
  <c r="G57" i="5"/>
  <c r="L57" i="5" s="1"/>
  <c r="J56" i="5"/>
  <c r="H56" i="5"/>
  <c r="G56" i="5"/>
  <c r="L56" i="5" s="1"/>
  <c r="K55" i="5"/>
  <c r="H55" i="5"/>
  <c r="G55" i="5"/>
  <c r="L55" i="5" s="1"/>
  <c r="J54" i="5"/>
  <c r="H54" i="5"/>
  <c r="G54" i="5"/>
  <c r="L54" i="5" s="1"/>
  <c r="K53" i="5"/>
  <c r="H53" i="5"/>
  <c r="G53" i="5"/>
  <c r="L53" i="5" s="1"/>
  <c r="J52" i="5"/>
  <c r="H52" i="5"/>
  <c r="G52" i="5"/>
  <c r="L52" i="5" s="1"/>
  <c r="J51" i="5"/>
  <c r="H51" i="5"/>
  <c r="G51" i="5"/>
  <c r="L51" i="5" s="1"/>
  <c r="K50" i="5"/>
  <c r="H50" i="5"/>
  <c r="G50" i="5"/>
  <c r="L50" i="5" s="1"/>
  <c r="J49" i="5"/>
  <c r="H49" i="5"/>
  <c r="G49" i="5"/>
  <c r="L49" i="5" s="1"/>
  <c r="K48" i="5"/>
  <c r="H48" i="5"/>
  <c r="G48" i="5"/>
  <c r="L48" i="5" s="1"/>
  <c r="K47" i="5"/>
  <c r="H47" i="5"/>
  <c r="G47" i="5"/>
  <c r="L47" i="5" s="1"/>
  <c r="K46" i="5"/>
  <c r="H46" i="5"/>
  <c r="G46" i="5"/>
  <c r="L46" i="5" s="1"/>
  <c r="J45" i="5"/>
  <c r="H45" i="5"/>
  <c r="G45" i="5"/>
  <c r="L45" i="5" s="1"/>
  <c r="J44" i="5"/>
  <c r="H44" i="5"/>
  <c r="G44" i="5"/>
  <c r="L44" i="5" s="1"/>
  <c r="J43" i="5"/>
  <c r="H43" i="5"/>
  <c r="G43" i="5"/>
  <c r="L43" i="5" s="1"/>
  <c r="J42" i="5"/>
  <c r="H42" i="5"/>
  <c r="G42" i="5"/>
  <c r="L42" i="5" s="1"/>
  <c r="K41" i="5"/>
  <c r="H41" i="5"/>
  <c r="G41" i="5"/>
  <c r="L41" i="5" s="1"/>
  <c r="J40" i="5"/>
  <c r="H40" i="5"/>
  <c r="G40" i="5"/>
  <c r="L40" i="5" s="1"/>
  <c r="K39" i="5"/>
  <c r="H39" i="5"/>
  <c r="G39" i="5"/>
  <c r="L39" i="5" s="1"/>
  <c r="J38" i="5"/>
  <c r="H38" i="5"/>
  <c r="G38" i="5"/>
  <c r="L38" i="5" s="1"/>
  <c r="J37" i="5"/>
  <c r="H37" i="5"/>
  <c r="G37" i="5"/>
  <c r="L37" i="5" s="1"/>
  <c r="J36" i="5"/>
  <c r="H36" i="5"/>
  <c r="G36" i="5"/>
  <c r="L36" i="5" s="1"/>
  <c r="K35" i="5"/>
  <c r="H35" i="5"/>
  <c r="G35" i="5"/>
  <c r="L35" i="5" s="1"/>
  <c r="H34" i="5"/>
  <c r="G34" i="5"/>
  <c r="L34" i="5" s="1"/>
  <c r="J33" i="5"/>
  <c r="H33" i="5"/>
  <c r="G33" i="5"/>
  <c r="L33" i="5" s="1"/>
  <c r="K32" i="5"/>
  <c r="H32" i="5"/>
  <c r="G32" i="5"/>
  <c r="L32" i="5" s="1"/>
  <c r="J31" i="5"/>
  <c r="H31" i="5"/>
  <c r="G31" i="5"/>
  <c r="L31" i="5" s="1"/>
  <c r="K30" i="5"/>
  <c r="H30" i="5"/>
  <c r="G30" i="5"/>
  <c r="L30" i="5" s="1"/>
  <c r="K29" i="5"/>
  <c r="H29" i="5"/>
  <c r="G29" i="5"/>
  <c r="L29" i="5" s="1"/>
  <c r="J28" i="5"/>
  <c r="H28" i="5"/>
  <c r="G28" i="5"/>
  <c r="L28" i="5" s="1"/>
  <c r="J27" i="5"/>
  <c r="H27" i="5"/>
  <c r="G27" i="5"/>
  <c r="L27" i="5" s="1"/>
  <c r="K26" i="5"/>
  <c r="H26" i="5"/>
  <c r="G26" i="5"/>
  <c r="L26" i="5" s="1"/>
  <c r="K25" i="5"/>
  <c r="H25" i="5"/>
  <c r="G25" i="5"/>
  <c r="L25" i="5" s="1"/>
  <c r="J24" i="5"/>
  <c r="H24" i="5"/>
  <c r="G24" i="5"/>
  <c r="L24" i="5" s="1"/>
  <c r="J23" i="5"/>
  <c r="H23" i="5"/>
  <c r="G23" i="5"/>
  <c r="L23" i="5" s="1"/>
  <c r="K22" i="5"/>
  <c r="H22" i="5"/>
  <c r="G22" i="5"/>
  <c r="L22" i="5" s="1"/>
  <c r="J21" i="5"/>
  <c r="H21" i="5"/>
  <c r="G21" i="5"/>
  <c r="L21" i="5" s="1"/>
  <c r="K20" i="5"/>
  <c r="H20" i="5"/>
  <c r="G20" i="5"/>
  <c r="L20" i="5" s="1"/>
  <c r="K19" i="5"/>
  <c r="H19" i="5"/>
  <c r="G19" i="5"/>
  <c r="L19" i="5" s="1"/>
  <c r="K18" i="5"/>
  <c r="H18" i="5"/>
  <c r="G18" i="5"/>
  <c r="L18" i="5" s="1"/>
  <c r="H17" i="5"/>
  <c r="G17" i="5"/>
  <c r="L17" i="5" s="1"/>
  <c r="J16" i="5"/>
  <c r="H16" i="5"/>
  <c r="G16" i="5"/>
  <c r="L16" i="5" s="1"/>
  <c r="J15" i="5"/>
  <c r="H15" i="5"/>
  <c r="G15" i="5"/>
  <c r="L15" i="5" s="1"/>
  <c r="J14" i="5"/>
  <c r="H14" i="5"/>
  <c r="G14" i="5"/>
  <c r="L14" i="5" s="1"/>
  <c r="K13" i="5"/>
  <c r="H13" i="5"/>
  <c r="G13" i="5"/>
  <c r="L13" i="5" s="1"/>
  <c r="J12" i="5"/>
  <c r="H12" i="5"/>
  <c r="G12" i="5"/>
  <c r="L12" i="5" s="1"/>
  <c r="K11" i="5"/>
  <c r="H11" i="5"/>
  <c r="G11" i="5"/>
  <c r="L11" i="5" s="1"/>
  <c r="J10" i="5"/>
  <c r="H10" i="5"/>
  <c r="G10" i="5"/>
  <c r="L10" i="5" s="1"/>
  <c r="K9" i="5"/>
  <c r="H9" i="5"/>
  <c r="G9" i="5"/>
  <c r="L9" i="5" s="1"/>
  <c r="J8" i="5"/>
  <c r="H8" i="5"/>
  <c r="G8" i="5"/>
  <c r="L8" i="5" s="1"/>
  <c r="H7" i="5"/>
  <c r="G7" i="5"/>
  <c r="L7" i="5" s="1"/>
  <c r="H6" i="5"/>
  <c r="G6" i="5"/>
  <c r="L6" i="5" s="1"/>
  <c r="J5" i="5"/>
  <c r="H5" i="5"/>
  <c r="G5" i="5"/>
  <c r="L5" i="5" s="1"/>
  <c r="J4" i="5"/>
  <c r="H4" i="5"/>
  <c r="G4" i="5"/>
  <c r="L4" i="5" s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C4" i="8" a="1"/>
  <c r="C4" i="8"/>
  <c r="C5" i="8" a="1"/>
  <c r="C5" i="8"/>
  <c r="D43" i="3"/>
  <c r="F2778" i="4"/>
  <c r="G2778" i="4"/>
  <c r="H2778" i="4"/>
  <c r="I2778" i="4"/>
  <c r="J2778" i="4"/>
  <c r="K2778" i="4"/>
  <c r="H50" i="4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K2313" i="4"/>
  <c r="I2316" i="4"/>
  <c r="G8" i="4"/>
  <c r="H44" i="7" a="1"/>
  <c r="H44" i="7" s="1"/>
  <c r="I44" i="7" s="1"/>
  <c r="H38" i="7" a="1"/>
  <c r="H38" i="7" s="1"/>
  <c r="I38" i="7" s="1"/>
  <c r="H18" i="7" a="1"/>
  <c r="H18" i="7" s="1"/>
  <c r="I18" i="7" s="1"/>
  <c r="H8" i="7" a="1"/>
  <c r="H8" i="7" s="1"/>
  <c r="I8" i="7" s="1"/>
  <c r="H9" i="7" a="1"/>
  <c r="H9" i="7" s="1"/>
  <c r="I9" i="7" s="1"/>
  <c r="H22" i="7" a="1"/>
  <c r="H22" i="7" s="1"/>
  <c r="I22" i="7" s="1"/>
  <c r="H26" i="7" a="1"/>
  <c r="H26" i="7" s="1"/>
  <c r="I26" i="7" s="1"/>
  <c r="H35" i="7" a="1"/>
  <c r="H35" i="7" s="1"/>
  <c r="I35" i="7" s="1"/>
  <c r="H41" i="7" a="1"/>
  <c r="H41" i="7" s="1"/>
  <c r="I41" i="7" s="1"/>
  <c r="H20" i="7" a="1"/>
  <c r="H20" i="7" s="1"/>
  <c r="I20" i="7" s="1"/>
  <c r="H6" i="7" a="1"/>
  <c r="H6" i="7" s="1"/>
  <c r="I6" i="7" s="1"/>
  <c r="H40" i="7" a="1"/>
  <c r="H40" i="7" s="1"/>
  <c r="I40" i="7" s="1"/>
  <c r="H34" i="7" a="1"/>
  <c r="H34" i="7" s="1"/>
  <c r="I34" i="7" s="1"/>
  <c r="H30" i="7" a="1"/>
  <c r="H30" i="7" s="1"/>
  <c r="I30" i="7" s="1"/>
  <c r="H19" i="7" a="1"/>
  <c r="H19" i="7" s="1"/>
  <c r="I19" i="7" s="1"/>
  <c r="H21" i="7" a="1"/>
  <c r="H21" i="7" s="1"/>
  <c r="I21" i="7" s="1"/>
  <c r="H15" i="7" a="1"/>
  <c r="H15" i="7" s="1"/>
  <c r="I15" i="7" s="1"/>
  <c r="H33" i="7" a="1"/>
  <c r="H33" i="7" s="1"/>
  <c r="I33" i="7" s="1"/>
  <c r="H17" i="7" a="1"/>
  <c r="H17" i="7" s="1"/>
  <c r="I17" i="7" s="1"/>
  <c r="H4" i="7" a="1"/>
  <c r="H4" i="7" s="1"/>
  <c r="H28" i="7" a="1"/>
  <c r="H28" i="7" s="1"/>
  <c r="I28" i="7" s="1"/>
  <c r="H7" i="7" a="1"/>
  <c r="H7" i="7" s="1"/>
  <c r="I7" i="7" s="1"/>
  <c r="H5" i="7" a="1"/>
  <c r="H5" i="7" s="1"/>
  <c r="I5" i="7" s="1"/>
  <c r="H31" i="7" a="1"/>
  <c r="H31" i="7" s="1"/>
  <c r="I31" i="7" s="1"/>
  <c r="H37" i="7" a="1"/>
  <c r="H37" i="7" s="1"/>
  <c r="I37" i="7" s="1"/>
  <c r="H32" i="7" a="1"/>
  <c r="H32" i="7" s="1"/>
  <c r="I32" i="7" s="1"/>
  <c r="H36" i="7" a="1"/>
  <c r="H36" i="7" s="1"/>
  <c r="I36" i="7" s="1"/>
  <c r="H42" i="7" a="1"/>
  <c r="H42" i="7" s="1"/>
  <c r="I42" i="7" s="1"/>
  <c r="H24" i="7" a="1"/>
  <c r="H24" i="7" s="1"/>
  <c r="I24" i="7" s="1"/>
  <c r="H43" i="7" a="1"/>
  <c r="H43" i="7" s="1"/>
  <c r="I43" i="7" s="1"/>
  <c r="H25" i="7" a="1"/>
  <c r="H25" i="7" s="1"/>
  <c r="I25" i="7" s="1"/>
  <c r="H29" i="7" a="1"/>
  <c r="H29" i="7" s="1"/>
  <c r="I29" i="7" s="1"/>
  <c r="H23" i="7" a="1"/>
  <c r="H23" i="7" s="1"/>
  <c r="I23" i="7" s="1"/>
  <c r="H10" i="7" a="1"/>
  <c r="H10" i="7" s="1"/>
  <c r="I10" i="7" s="1"/>
  <c r="H12" i="7" a="1"/>
  <c r="H12" i="7" s="1"/>
  <c r="I12" i="7" s="1"/>
  <c r="H39" i="7" a="1"/>
  <c r="H39" i="7" s="1"/>
  <c r="I39" i="7" s="1"/>
  <c r="H11" i="7" a="1"/>
  <c r="H11" i="7" s="1"/>
  <c r="I11" i="7" s="1"/>
  <c r="H14" i="7" a="1"/>
  <c r="H14" i="7" s="1"/>
  <c r="I14" i="7" s="1"/>
  <c r="H13" i="7" a="1"/>
  <c r="H13" i="7" s="1"/>
  <c r="I13" i="7" s="1"/>
  <c r="H16" i="7" a="1"/>
  <c r="H16" i="7" s="1"/>
  <c r="I16" i="7" s="1"/>
  <c r="H27" i="7" a="1"/>
  <c r="H27" i="7" s="1"/>
  <c r="I27" i="7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1619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1619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1619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1619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G5" i="4"/>
  <c r="G6" i="4"/>
  <c r="G7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1619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1619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H4" i="4"/>
  <c r="K4" i="4"/>
  <c r="J4" i="4"/>
  <c r="I4" i="4"/>
  <c r="G4" i="4"/>
  <c r="F4" i="4"/>
  <c r="C891" i="3"/>
  <c r="K4" i="5" l="1"/>
  <c r="K5" i="5"/>
  <c r="K8" i="5"/>
  <c r="J9" i="5"/>
  <c r="K10" i="5"/>
  <c r="J11" i="5"/>
  <c r="K12" i="5"/>
  <c r="J13" i="5"/>
  <c r="K14" i="5"/>
  <c r="K15" i="5"/>
  <c r="K16" i="5"/>
  <c r="J18" i="5"/>
  <c r="J19" i="5"/>
  <c r="J20" i="5"/>
  <c r="K21" i="5"/>
  <c r="J22" i="5"/>
  <c r="K23" i="5"/>
  <c r="K24" i="5"/>
  <c r="J25" i="5"/>
  <c r="J26" i="5"/>
  <c r="K27" i="5"/>
  <c r="K28" i="5"/>
  <c r="J29" i="5"/>
  <c r="J30" i="5"/>
  <c r="K31" i="5"/>
  <c r="J32" i="5"/>
  <c r="K33" i="5"/>
  <c r="J35" i="5"/>
  <c r="K36" i="5"/>
  <c r="K37" i="5"/>
  <c r="K38" i="5"/>
  <c r="J39" i="5"/>
  <c r="K40" i="5"/>
  <c r="J41" i="5"/>
  <c r="K42" i="5"/>
  <c r="K43" i="5"/>
  <c r="K44" i="5"/>
  <c r="K45" i="5"/>
  <c r="J46" i="5"/>
  <c r="J47" i="5"/>
  <c r="J48" i="5"/>
  <c r="K49" i="5"/>
  <c r="J50" i="5"/>
  <c r="K51" i="5"/>
  <c r="K52" i="5"/>
  <c r="J53" i="5"/>
  <c r="K54" i="5"/>
  <c r="J55" i="5"/>
  <c r="K56" i="5"/>
  <c r="K57" i="5"/>
  <c r="K58" i="5"/>
  <c r="J59" i="5"/>
  <c r="K60" i="5"/>
  <c r="J61" i="5"/>
  <c r="K62" i="5"/>
  <c r="K63" i="5"/>
  <c r="K64" i="5"/>
  <c r="K65" i="5"/>
  <c r="K66" i="5"/>
  <c r="J67" i="5"/>
  <c r="K68" i="5"/>
  <c r="J69" i="5"/>
  <c r="J70" i="5"/>
  <c r="K71" i="5"/>
  <c r="K72" i="5"/>
  <c r="J73" i="5"/>
  <c r="K74" i="5"/>
  <c r="K75" i="5"/>
  <c r="K76" i="5"/>
  <c r="J77" i="5"/>
  <c r="J78" i="5"/>
  <c r="K79" i="5"/>
  <c r="J80" i="5"/>
  <c r="J81" i="5"/>
  <c r="K82" i="5"/>
  <c r="K83" i="5"/>
  <c r="K84" i="5"/>
  <c r="K85" i="5"/>
  <c r="K86" i="5"/>
  <c r="J87" i="5"/>
  <c r="J88" i="5"/>
  <c r="J89" i="5"/>
  <c r="K90" i="5"/>
  <c r="K91" i="5"/>
  <c r="J93" i="5"/>
  <c r="J94" i="5"/>
  <c r="K95" i="5"/>
  <c r="J96" i="5"/>
  <c r="K97" i="5"/>
  <c r="J98" i="5"/>
  <c r="K99" i="5"/>
  <c r="K100" i="5"/>
  <c r="K102" i="5"/>
  <c r="K103" i="5"/>
  <c r="K105" i="5"/>
  <c r="K106" i="5"/>
  <c r="K107" i="5"/>
  <c r="K108" i="5"/>
  <c r="K109" i="5"/>
  <c r="J110" i="5"/>
  <c r="K111" i="5"/>
  <c r="K112" i="5"/>
  <c r="K113" i="5"/>
  <c r="J114" i="5"/>
  <c r="K115" i="5"/>
  <c r="K116" i="5"/>
  <c r="J117" i="5"/>
  <c r="K118" i="5"/>
  <c r="J119" i="5"/>
  <c r="K120" i="5"/>
  <c r="K121" i="5"/>
  <c r="J122" i="5"/>
  <c r="K123" i="5"/>
  <c r="K125" i="5"/>
  <c r="J126" i="5"/>
  <c r="K127" i="5"/>
  <c r="J128" i="5"/>
  <c r="J129" i="5"/>
  <c r="K131" i="5"/>
  <c r="K132" i="5"/>
  <c r="K133" i="5"/>
  <c r="K134" i="5"/>
  <c r="K135" i="5"/>
  <c r="J136" i="5"/>
  <c r="K137" i="5"/>
  <c r="J138" i="5"/>
  <c r="J139" i="5"/>
  <c r="K140" i="5"/>
  <c r="K141" i="5"/>
  <c r="K142" i="5"/>
  <c r="J143" i="5"/>
  <c r="K145" i="5"/>
  <c r="K146" i="5"/>
  <c r="K147" i="5"/>
  <c r="K148" i="5"/>
  <c r="K149" i="5"/>
  <c r="J150" i="5"/>
  <c r="J151" i="5"/>
  <c r="K152" i="5"/>
  <c r="K153" i="5"/>
  <c r="K154" i="5"/>
  <c r="K155" i="5"/>
  <c r="J156" i="5"/>
  <c r="K157" i="5"/>
  <c r="K158" i="5"/>
  <c r="K159" i="5"/>
  <c r="K160" i="5"/>
  <c r="K161" i="5"/>
  <c r="J162" i="5"/>
  <c r="K163" i="5"/>
  <c r="J164" i="5"/>
  <c r="K166" i="5"/>
  <c r="J167" i="5"/>
  <c r="K168" i="5"/>
  <c r="J169" i="5"/>
  <c r="J170" i="5"/>
  <c r="K171" i="5"/>
  <c r="J172" i="5"/>
  <c r="K173" i="5"/>
  <c r="J174" i="5"/>
  <c r="J175" i="5"/>
  <c r="K176" i="5"/>
  <c r="K177" i="5"/>
  <c r="K178" i="5"/>
  <c r="K179" i="5"/>
  <c r="K180" i="5"/>
  <c r="J181" i="5"/>
  <c r="K182" i="5"/>
  <c r="J183" i="5"/>
  <c r="K184" i="5"/>
  <c r="J185" i="5"/>
  <c r="K187" i="5"/>
  <c r="K188" i="5"/>
  <c r="J189" i="5"/>
  <c r="J191" i="5"/>
  <c r="K192" i="5"/>
  <c r="J193" i="5"/>
  <c r="K194" i="5"/>
  <c r="K195" i="5"/>
  <c r="J197" i="5"/>
  <c r="J198" i="5"/>
  <c r="K199" i="5"/>
  <c r="J200" i="5"/>
  <c r="K201" i="5"/>
  <c r="K202" i="5"/>
  <c r="J203" i="5"/>
  <c r="K204" i="5"/>
  <c r="K205" i="5"/>
  <c r="J206" i="5"/>
  <c r="K207" i="5"/>
  <c r="J208" i="5"/>
  <c r="J210" i="5"/>
  <c r="K211" i="5"/>
  <c r="K213" i="5"/>
  <c r="K215" i="5"/>
  <c r="J216" i="5"/>
  <c r="J217" i="5"/>
  <c r="J218" i="5"/>
  <c r="J219" i="5"/>
  <c r="K220" i="5"/>
  <c r="J221" i="5"/>
  <c r="K222" i="5"/>
  <c r="K223" i="5"/>
  <c r="J224" i="5"/>
  <c r="K225" i="5"/>
  <c r="J226" i="5"/>
  <c r="K227" i="5"/>
  <c r="K228" i="5"/>
  <c r="J229" i="5"/>
  <c r="J230" i="5"/>
  <c r="K231" i="5"/>
  <c r="J232" i="5"/>
  <c r="K233" i="5"/>
  <c r="K234" i="5"/>
  <c r="K235" i="5"/>
  <c r="J236" i="5"/>
  <c r="K237" i="5"/>
  <c r="K239" i="5"/>
  <c r="K240" i="5"/>
  <c r="K241" i="5"/>
  <c r="K242" i="5"/>
  <c r="K243" i="5"/>
  <c r="K244" i="5"/>
  <c r="J245" i="5"/>
  <c r="J246" i="5"/>
  <c r="K247" i="5"/>
  <c r="K248" i="5"/>
  <c r="K249" i="5"/>
  <c r="J250" i="5"/>
  <c r="K251" i="5"/>
  <c r="K252" i="5"/>
  <c r="J256" i="5"/>
  <c r="J257" i="5"/>
  <c r="K258" i="5"/>
  <c r="K259" i="5"/>
  <c r="K260" i="5"/>
  <c r="K261" i="5"/>
  <c r="K262" i="5"/>
  <c r="J263" i="5"/>
  <c r="K264" i="5"/>
  <c r="K265" i="5"/>
  <c r="J266" i="5"/>
  <c r="J267" i="5"/>
  <c r="J268" i="5"/>
  <c r="K269" i="5"/>
  <c r="J270" i="5"/>
  <c r="J271" i="5"/>
  <c r="K272" i="5"/>
  <c r="J273" i="5"/>
  <c r="K275" i="5"/>
  <c r="J276" i="5"/>
  <c r="J277" i="5"/>
  <c r="K278" i="5"/>
  <c r="J279" i="5"/>
  <c r="J280" i="5"/>
  <c r="K281" i="5"/>
  <c r="K282" i="5"/>
  <c r="J283" i="5"/>
  <c r="K284" i="5"/>
  <c r="J285" i="5"/>
  <c r="K286" i="5"/>
  <c r="K287" i="5"/>
  <c r="J288" i="5"/>
  <c r="K289" i="5"/>
  <c r="J290" i="5"/>
  <c r="K291" i="5"/>
  <c r="J292" i="5"/>
  <c r="J294" i="5"/>
  <c r="J295" i="5"/>
  <c r="K296" i="5"/>
  <c r="J297" i="5"/>
  <c r="K299" i="5"/>
  <c r="J300" i="5"/>
  <c r="J301" i="5"/>
  <c r="K302" i="5"/>
  <c r="K303" i="5"/>
  <c r="K304" i="5"/>
  <c r="J305" i="5"/>
  <c r="K306" i="5"/>
  <c r="K307" i="5"/>
  <c r="J308" i="5"/>
  <c r="K309" i="5"/>
  <c r="K310" i="5"/>
  <c r="K311" i="5"/>
  <c r="J312" i="5"/>
  <c r="J313" i="5"/>
  <c r="K314" i="5"/>
  <c r="K315" i="5"/>
  <c r="J316" i="5"/>
  <c r="K317" i="5"/>
  <c r="J318" i="5"/>
  <c r="K319" i="5"/>
  <c r="K320" i="5"/>
  <c r="K321" i="5"/>
  <c r="J322" i="5"/>
  <c r="K323" i="5"/>
  <c r="K324" i="5"/>
  <c r="J325" i="5"/>
  <c r="K326" i="5"/>
  <c r="J327" i="5"/>
  <c r="J328" i="5"/>
  <c r="K329" i="5"/>
  <c r="K330" i="5"/>
  <c r="K331" i="5"/>
  <c r="K332" i="5"/>
  <c r="K333" i="5"/>
  <c r="K334" i="5"/>
  <c r="J335" i="5"/>
  <c r="J336" i="5"/>
  <c r="K338" i="5"/>
  <c r="J340" i="5"/>
  <c r="K341" i="5"/>
  <c r="J342" i="5"/>
  <c r="K343" i="5"/>
  <c r="K344" i="5"/>
  <c r="K345" i="5"/>
  <c r="K347" i="5"/>
  <c r="K348" i="5"/>
  <c r="K349" i="5"/>
  <c r="K350" i="5"/>
  <c r="K351" i="5"/>
  <c r="K352" i="5"/>
  <c r="K353" i="5"/>
  <c r="J354" i="5"/>
  <c r="J355" i="5"/>
  <c r="K356" i="5"/>
  <c r="J357" i="5"/>
  <c r="J358" i="5"/>
  <c r="J359" i="5"/>
  <c r="K360" i="5"/>
  <c r="K362" i="5"/>
  <c r="J363" i="5"/>
  <c r="K364" i="5"/>
  <c r="J366" i="5"/>
  <c r="J367" i="5"/>
  <c r="K368" i="5"/>
  <c r="J369" i="5"/>
  <c r="K370" i="5"/>
  <c r="K371" i="5"/>
  <c r="J372" i="5"/>
  <c r="K373" i="5"/>
  <c r="K374" i="5"/>
  <c r="K375" i="5"/>
  <c r="K376" i="5"/>
  <c r="J377" i="5"/>
  <c r="K378" i="5"/>
  <c r="J379" i="5"/>
  <c r="J380" i="5"/>
  <c r="J381" i="5"/>
  <c r="K382" i="5"/>
  <c r="K383" i="5"/>
  <c r="K384" i="5"/>
  <c r="K385" i="5"/>
  <c r="K387" i="5"/>
  <c r="J388" i="5"/>
  <c r="K389" i="5"/>
  <c r="J390" i="5"/>
  <c r="J391" i="5"/>
  <c r="K392" i="5"/>
  <c r="K393" i="5"/>
  <c r="K394" i="5"/>
  <c r="K395" i="5"/>
  <c r="K396" i="5"/>
  <c r="J398" i="5"/>
  <c r="K399" i="5"/>
  <c r="K400" i="5"/>
  <c r="J401" i="5"/>
  <c r="K402" i="5"/>
  <c r="K404" i="5"/>
  <c r="J405" i="5"/>
  <c r="K406" i="5"/>
  <c r="K407" i="5"/>
  <c r="J408" i="5"/>
  <c r="J409" i="5"/>
  <c r="K410" i="5"/>
  <c r="K411" i="5"/>
  <c r="K412" i="5"/>
  <c r="J413" i="5"/>
  <c r="J414" i="5"/>
  <c r="K415" i="5"/>
  <c r="K416" i="5"/>
  <c r="K417" i="5"/>
  <c r="J418" i="5"/>
  <c r="K419" i="5"/>
  <c r="J420" i="5"/>
  <c r="J421" i="5"/>
  <c r="K422" i="5"/>
  <c r="J423" i="5"/>
  <c r="K424" i="5"/>
  <c r="J425" i="5"/>
  <c r="J426" i="5"/>
  <c r="J427" i="5"/>
  <c r="J428" i="5"/>
  <c r="J429" i="5"/>
  <c r="J430" i="5"/>
  <c r="J431" i="5"/>
  <c r="J432" i="5"/>
  <c r="K433" i="5"/>
  <c r="K434" i="5"/>
  <c r="J435" i="5"/>
  <c r="K436" i="5"/>
  <c r="J438" i="5"/>
  <c r="K439" i="5"/>
  <c r="J440" i="5"/>
  <c r="J441" i="5"/>
  <c r="K442" i="5"/>
  <c r="K443" i="5"/>
  <c r="K444" i="5"/>
  <c r="K445" i="5"/>
  <c r="K446" i="5"/>
  <c r="K447" i="5"/>
  <c r="K448" i="5"/>
  <c r="K449" i="5"/>
  <c r="K450" i="5"/>
  <c r="K451" i="5"/>
  <c r="J452" i="5"/>
  <c r="K453" i="5"/>
  <c r="K454" i="5"/>
  <c r="J456" i="5"/>
  <c r="K457" i="5"/>
  <c r="K458" i="5"/>
  <c r="K460" i="5"/>
  <c r="K461" i="5"/>
  <c r="J463" i="5"/>
  <c r="K464" i="5"/>
  <c r="J465" i="5"/>
  <c r="K467" i="5"/>
  <c r="K468" i="5"/>
  <c r="K469" i="5"/>
  <c r="K470" i="5"/>
  <c r="K472" i="5"/>
  <c r="K473" i="5"/>
  <c r="J474" i="5"/>
  <c r="J476" i="5"/>
  <c r="J477" i="5"/>
  <c r="K479" i="5"/>
  <c r="K480" i="5"/>
  <c r="K481" i="5"/>
  <c r="J482" i="5"/>
  <c r="J483" i="5"/>
  <c r="K484" i="5"/>
  <c r="K485" i="5"/>
  <c r="K486" i="5"/>
  <c r="K487" i="5"/>
  <c r="K488" i="5"/>
  <c r="K489" i="5"/>
  <c r="K490" i="5"/>
  <c r="K491" i="5"/>
  <c r="K492" i="5"/>
  <c r="K493" i="5"/>
  <c r="J494" i="5"/>
  <c r="K495" i="5"/>
  <c r="K496" i="5"/>
  <c r="J497" i="5"/>
  <c r="J498" i="5"/>
  <c r="J499" i="5"/>
  <c r="K500" i="5"/>
  <c r="K501" i="5"/>
  <c r="K502" i="5"/>
  <c r="K503" i="5"/>
  <c r="K504" i="5"/>
  <c r="K505" i="5"/>
  <c r="J506" i="5"/>
  <c r="K507" i="5"/>
  <c r="K509" i="5"/>
  <c r="K511" i="5"/>
  <c r="J512" i="5"/>
  <c r="K513" i="5"/>
  <c r="J514" i="5"/>
  <c r="J515" i="5"/>
  <c r="K517" i="5"/>
  <c r="K518" i="5"/>
  <c r="K519" i="5"/>
  <c r="K520" i="5"/>
  <c r="K521" i="5"/>
  <c r="K522" i="5"/>
  <c r="J523" i="5"/>
  <c r="K524" i="5"/>
  <c r="J525" i="5"/>
  <c r="J526" i="5"/>
  <c r="K527" i="5"/>
  <c r="K528" i="5"/>
  <c r="K529" i="5"/>
  <c r="J530" i="5"/>
  <c r="J531" i="5"/>
  <c r="J532" i="5"/>
  <c r="K533" i="5"/>
  <c r="K534" i="5"/>
  <c r="K535" i="5"/>
  <c r="K536" i="5"/>
  <c r="J537" i="5"/>
  <c r="J538" i="5"/>
  <c r="J539" i="5"/>
  <c r="K540" i="5"/>
  <c r="K542" i="5"/>
  <c r="K543" i="5"/>
  <c r="J544" i="5"/>
  <c r="K546" i="5"/>
  <c r="J547" i="5"/>
  <c r="K548" i="5"/>
  <c r="J549" i="5"/>
  <c r="J550" i="5"/>
  <c r="J551" i="5"/>
  <c r="K552" i="5"/>
  <c r="K554" i="5"/>
  <c r="K555" i="5"/>
  <c r="J557" i="5"/>
  <c r="K558" i="5"/>
  <c r="K559" i="5"/>
  <c r="K560" i="5"/>
  <c r="K561" i="5"/>
  <c r="K562" i="5"/>
  <c r="K563" i="5"/>
  <c r="J564" i="5"/>
  <c r="J565" i="5"/>
  <c r="K566" i="5"/>
  <c r="K567" i="5"/>
  <c r="K568" i="5"/>
  <c r="K569" i="5"/>
  <c r="J570" i="5"/>
  <c r="J571" i="5"/>
  <c r="K572" i="5"/>
  <c r="J573" i="5"/>
  <c r="J574" i="5"/>
  <c r="K575" i="5"/>
  <c r="K576" i="5"/>
  <c r="K577" i="5"/>
  <c r="J578" i="5"/>
  <c r="J579" i="5"/>
  <c r="K580" i="5"/>
  <c r="K582" i="5"/>
  <c r="K583" i="5"/>
  <c r="K584" i="5"/>
  <c r="J585" i="5"/>
  <c r="K586" i="5"/>
  <c r="K587" i="5"/>
  <c r="K588" i="5"/>
  <c r="K589" i="5"/>
  <c r="J591" i="5"/>
  <c r="K592" i="5"/>
  <c r="J593" i="5"/>
  <c r="K594" i="5"/>
  <c r="J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9" i="5"/>
  <c r="K610" i="5"/>
  <c r="J611" i="5"/>
  <c r="K612" i="5"/>
  <c r="K614" i="5"/>
  <c r="K615" i="5"/>
  <c r="K616" i="5"/>
  <c r="K617" i="5"/>
  <c r="K618" i="5"/>
  <c r="K619" i="5"/>
  <c r="K620" i="5"/>
  <c r="K621" i="5"/>
  <c r="J622" i="5"/>
  <c r="J623" i="5"/>
  <c r="K624" i="5"/>
  <c r="K625" i="5"/>
  <c r="J626" i="5"/>
  <c r="K627" i="5"/>
  <c r="K628" i="5"/>
  <c r="K629" i="5"/>
  <c r="K630" i="5"/>
  <c r="J631" i="5"/>
  <c r="K632" i="5"/>
  <c r="J633" i="5"/>
  <c r="J634" i="5"/>
  <c r="K635" i="5"/>
  <c r="J637" i="5"/>
  <c r="J639" i="5"/>
  <c r="J640" i="5"/>
  <c r="J642" i="5"/>
  <c r="J643" i="5"/>
  <c r="J644" i="5"/>
  <c r="K645" i="5"/>
  <c r="K646" i="5"/>
  <c r="K647" i="5"/>
  <c r="K648" i="5"/>
  <c r="K649" i="5"/>
  <c r="K650" i="5"/>
  <c r="K651" i="5"/>
  <c r="J652" i="5"/>
  <c r="J653" i="5"/>
  <c r="K654" i="5"/>
  <c r="J655" i="5"/>
  <c r="J656" i="5"/>
  <c r="K657" i="5"/>
  <c r="K658" i="5"/>
  <c r="K659" i="5"/>
  <c r="K660" i="5"/>
  <c r="J661" i="5"/>
  <c r="K662" i="5"/>
  <c r="K663" i="5"/>
  <c r="K664" i="5"/>
  <c r="K665" i="5"/>
  <c r="K666" i="5"/>
  <c r="J667" i="5"/>
  <c r="K668" i="5"/>
  <c r="K669" i="5"/>
  <c r="K670" i="5"/>
  <c r="J671" i="5"/>
  <c r="K672" i="5"/>
  <c r="K673" i="5"/>
  <c r="J674" i="5"/>
  <c r="K675" i="5"/>
  <c r="K676" i="5"/>
  <c r="K677" i="5"/>
  <c r="J678" i="5"/>
  <c r="K679" i="5"/>
  <c r="J681" i="5"/>
  <c r="J682" i="5"/>
  <c r="K684" i="5"/>
  <c r="J685" i="5"/>
  <c r="K686" i="5"/>
  <c r="J687" i="5"/>
  <c r="J688" i="5"/>
  <c r="K689" i="5"/>
  <c r="K690" i="5"/>
  <c r="J691" i="5"/>
  <c r="K692" i="5"/>
  <c r="K693" i="5"/>
  <c r="K694" i="5"/>
  <c r="K695" i="5"/>
  <c r="K696" i="5"/>
  <c r="K697" i="5"/>
  <c r="J698" i="5"/>
  <c r="K699" i="5"/>
  <c r="K700" i="5"/>
  <c r="K701" i="5"/>
  <c r="K702" i="5"/>
  <c r="K703" i="5"/>
  <c r="K704" i="5"/>
  <c r="K705" i="5"/>
  <c r="K706" i="5"/>
  <c r="J707" i="5"/>
  <c r="K708" i="5"/>
  <c r="K709" i="5"/>
  <c r="K710" i="5"/>
  <c r="K711" i="5"/>
  <c r="J712" i="5"/>
  <c r="K713" i="5"/>
  <c r="K714" i="5"/>
  <c r="J715" i="5"/>
  <c r="K716" i="5"/>
  <c r="K717" i="5"/>
  <c r="J718" i="5"/>
  <c r="J719" i="5"/>
  <c r="K720" i="5"/>
  <c r="K721" i="5"/>
  <c r="K722" i="5"/>
  <c r="J723" i="5"/>
  <c r="J724" i="5"/>
  <c r="K725" i="5"/>
  <c r="K726" i="5"/>
  <c r="K727" i="5"/>
  <c r="K728" i="5"/>
  <c r="K729" i="5"/>
  <c r="J730" i="5"/>
  <c r="K731" i="5"/>
  <c r="K732" i="5"/>
  <c r="K733" i="5"/>
  <c r="J734" i="5"/>
  <c r="J735" i="5"/>
  <c r="K736" i="5"/>
  <c r="K737" i="5"/>
  <c r="J738" i="5"/>
  <c r="J739" i="5"/>
  <c r="K740" i="5"/>
  <c r="J741" i="5"/>
  <c r="K742" i="5"/>
  <c r="K743" i="5"/>
  <c r="K744" i="5"/>
  <c r="K745" i="5"/>
  <c r="J746" i="5"/>
  <c r="K747" i="5"/>
  <c r="K748" i="5"/>
  <c r="K749" i="5"/>
  <c r="K750" i="5"/>
  <c r="J751" i="5"/>
  <c r="K752" i="5"/>
  <c r="K753" i="5"/>
  <c r="K754" i="5"/>
  <c r="J755" i="5"/>
  <c r="K757" i="5"/>
  <c r="K758" i="5"/>
  <c r="K759" i="5"/>
  <c r="K760" i="5"/>
  <c r="K761" i="5"/>
  <c r="K762" i="5"/>
  <c r="K763" i="5"/>
  <c r="K764" i="5"/>
  <c r="K765" i="5"/>
  <c r="K766" i="5"/>
  <c r="K767" i="5"/>
  <c r="J768" i="5"/>
  <c r="K769" i="5"/>
  <c r="K770" i="5"/>
  <c r="K771" i="5"/>
  <c r="K772" i="5"/>
  <c r="J773" i="5"/>
  <c r="J774" i="5"/>
  <c r="J775" i="5"/>
  <c r="K776" i="5"/>
  <c r="K777" i="5"/>
  <c r="K778" i="5"/>
  <c r="K779" i="5"/>
  <c r="J780" i="5"/>
  <c r="J781" i="5"/>
  <c r="K782" i="5"/>
  <c r="K783" i="5"/>
  <c r="J784" i="5"/>
  <c r="K785" i="5"/>
  <c r="K786" i="5"/>
  <c r="K787" i="5"/>
  <c r="J789" i="5"/>
  <c r="K790" i="5"/>
  <c r="K791" i="5"/>
  <c r="K792" i="5"/>
  <c r="K793" i="5"/>
  <c r="K794" i="5"/>
  <c r="J795" i="5"/>
  <c r="J796" i="5"/>
  <c r="J797" i="5"/>
  <c r="K798" i="5"/>
  <c r="J799" i="5"/>
  <c r="K800" i="5"/>
  <c r="J801" i="5"/>
  <c r="J802" i="5"/>
  <c r="K803" i="5"/>
  <c r="K804" i="5"/>
  <c r="K805" i="5"/>
  <c r="J806" i="5"/>
  <c r="K807" i="5"/>
  <c r="J808" i="5"/>
  <c r="K809" i="5"/>
  <c r="J810" i="5"/>
  <c r="J811" i="5"/>
  <c r="K812" i="5"/>
  <c r="K813" i="5"/>
  <c r="J814" i="5"/>
  <c r="J815" i="5"/>
  <c r="K816" i="5"/>
  <c r="K817" i="5"/>
  <c r="K819" i="5"/>
  <c r="K820" i="5"/>
  <c r="K821" i="5"/>
  <c r="K822" i="5"/>
  <c r="K823" i="5"/>
  <c r="J824" i="5"/>
  <c r="J825" i="5"/>
  <c r="K827" i="5"/>
  <c r="J828" i="5"/>
  <c r="K829" i="5"/>
  <c r="J830" i="5"/>
  <c r="J831" i="5"/>
  <c r="K832" i="5"/>
  <c r="K833" i="5"/>
  <c r="J834" i="5"/>
  <c r="J835" i="5"/>
  <c r="K836" i="5"/>
  <c r="J837" i="5"/>
  <c r="K838" i="5"/>
  <c r="K839" i="5"/>
  <c r="J840" i="5"/>
  <c r="K841" i="5"/>
  <c r="K842" i="5"/>
  <c r="K843" i="5"/>
  <c r="K844" i="5"/>
  <c r="K845" i="5"/>
  <c r="K846" i="5"/>
  <c r="K847" i="5"/>
  <c r="J848" i="5"/>
  <c r="K849" i="5"/>
  <c r="K850" i="5"/>
  <c r="K851" i="5"/>
  <c r="K852" i="5"/>
  <c r="K853" i="5"/>
  <c r="K855" i="5"/>
  <c r="K856" i="5"/>
  <c r="J857" i="5"/>
  <c r="K858" i="5"/>
  <c r="K860" i="5"/>
  <c r="J861" i="5"/>
  <c r="J862" i="5"/>
  <c r="K863" i="5"/>
  <c r="K864" i="5"/>
  <c r="K865" i="5"/>
  <c r="K866" i="5"/>
  <c r="J867" i="5"/>
  <c r="K868" i="5"/>
  <c r="K869" i="5"/>
  <c r="K872" i="5"/>
  <c r="K873" i="5"/>
  <c r="K874" i="5"/>
  <c r="K875" i="5"/>
  <c r="K876" i="5"/>
  <c r="K879" i="5"/>
  <c r="K880" i="5"/>
  <c r="K881" i="5"/>
  <c r="K882" i="5"/>
  <c r="J883" i="5"/>
  <c r="J884" i="5"/>
  <c r="K885" i="5"/>
  <c r="K886" i="5"/>
  <c r="K887" i="5"/>
  <c r="J888" i="5"/>
  <c r="K889" i="5"/>
  <c r="J890" i="5"/>
  <c r="K892" i="5"/>
  <c r="K893" i="5"/>
  <c r="K894" i="5"/>
  <c r="K895" i="5"/>
  <c r="K896" i="5"/>
  <c r="J897" i="5"/>
  <c r="J898" i="5"/>
  <c r="J899" i="5"/>
  <c r="J900" i="5"/>
  <c r="K901" i="5"/>
  <c r="K902" i="5"/>
  <c r="K903" i="5"/>
  <c r="K904" i="5"/>
  <c r="K905" i="5"/>
  <c r="K906" i="5"/>
  <c r="K907" i="5"/>
  <c r="K908" i="5"/>
  <c r="J911" i="5"/>
  <c r="K912" i="5"/>
  <c r="K913" i="5"/>
  <c r="K914" i="5"/>
  <c r="K916" i="5"/>
  <c r="J917" i="5"/>
  <c r="K918" i="5"/>
  <c r="K919" i="5"/>
  <c r="K920" i="5"/>
  <c r="J921" i="5"/>
  <c r="K922" i="5"/>
  <c r="J924" i="5"/>
  <c r="K925" i="5"/>
  <c r="K926" i="5"/>
  <c r="K927" i="5"/>
  <c r="J928" i="5"/>
  <c r="K929" i="5"/>
  <c r="K930" i="5"/>
  <c r="J931" i="5"/>
  <c r="K932" i="5"/>
  <c r="K933" i="5"/>
  <c r="K934" i="5"/>
  <c r="K935" i="5"/>
  <c r="K937" i="5"/>
  <c r="K938" i="5"/>
  <c r="J939" i="5"/>
  <c r="J940" i="5"/>
  <c r="K941" i="5"/>
  <c r="K942" i="5"/>
  <c r="K943" i="5"/>
  <c r="K944" i="5"/>
  <c r="K945" i="5"/>
  <c r="J946" i="5"/>
  <c r="J947" i="5"/>
  <c r="J948" i="5"/>
  <c r="K950" i="5"/>
  <c r="J951" i="5"/>
  <c r="J952" i="5"/>
  <c r="K953" i="5"/>
  <c r="J954" i="5"/>
  <c r="J955" i="5"/>
  <c r="J956" i="5"/>
  <c r="K957" i="5"/>
  <c r="K958" i="5"/>
  <c r="K959" i="5"/>
  <c r="K960" i="5"/>
  <c r="K961" i="5"/>
  <c r="J963" i="5"/>
  <c r="K964" i="5"/>
  <c r="K965" i="5"/>
  <c r="J966" i="5"/>
  <c r="J967" i="5"/>
  <c r="K968" i="5"/>
  <c r="K969" i="5"/>
  <c r="J970" i="5"/>
  <c r="K971" i="5"/>
  <c r="K972" i="5"/>
  <c r="K973" i="5"/>
  <c r="K974" i="5"/>
  <c r="K975" i="5"/>
  <c r="J976" i="5"/>
  <c r="K977" i="5"/>
  <c r="J978" i="5"/>
  <c r="K979" i="5"/>
  <c r="K980" i="5"/>
  <c r="J981" i="5"/>
  <c r="K982" i="5"/>
  <c r="K983" i="5"/>
  <c r="J984" i="5"/>
  <c r="K985" i="5"/>
  <c r="J986" i="5"/>
  <c r="K987" i="5"/>
  <c r="K988" i="5"/>
  <c r="K989" i="5"/>
  <c r="K990" i="5"/>
  <c r="J991" i="5"/>
  <c r="J992" i="5"/>
  <c r="K993" i="5"/>
  <c r="J994" i="5"/>
  <c r="J995" i="5"/>
  <c r="K996" i="5"/>
  <c r="J997" i="5"/>
  <c r="K998" i="5"/>
  <c r="K1000" i="5"/>
  <c r="K1001" i="5"/>
  <c r="K1002" i="5"/>
  <c r="J1003" i="5"/>
  <c r="K1004" i="5"/>
  <c r="K1005" i="5"/>
  <c r="K1006" i="5"/>
  <c r="K1007" i="5"/>
  <c r="J1008" i="5"/>
  <c r="J1009" i="5"/>
  <c r="K1010" i="5"/>
  <c r="J1011" i="5"/>
  <c r="J1012" i="5"/>
  <c r="K1013" i="5"/>
  <c r="K1014" i="5"/>
  <c r="J1015" i="5"/>
  <c r="K1016" i="5"/>
  <c r="K1018" i="5"/>
  <c r="K1019" i="5"/>
  <c r="J1020" i="5"/>
  <c r="K1021" i="5"/>
  <c r="K1023" i="5"/>
  <c r="J1024" i="5"/>
  <c r="K1025" i="5"/>
  <c r="K1026" i="5"/>
  <c r="K1027" i="5"/>
  <c r="J1028" i="5"/>
  <c r="J1029" i="5"/>
  <c r="K1030" i="5"/>
  <c r="K1031" i="5"/>
  <c r="K1032" i="5"/>
  <c r="K1033" i="5"/>
  <c r="K1034" i="5"/>
  <c r="K1035" i="5"/>
  <c r="K1036" i="5"/>
  <c r="J1037" i="5"/>
  <c r="K1038" i="5"/>
  <c r="J1039" i="5"/>
  <c r="K1040" i="5"/>
  <c r="J1041" i="5"/>
  <c r="K1042" i="5"/>
  <c r="J1043" i="5"/>
  <c r="J1044" i="5"/>
  <c r="K1045" i="5"/>
  <c r="K1046" i="5"/>
  <c r="K1047" i="5"/>
  <c r="K1048" i="5"/>
  <c r="J1050" i="5"/>
  <c r="K1051" i="5"/>
  <c r="J1052" i="5"/>
  <c r="K1053" i="5"/>
  <c r="J1054" i="5"/>
  <c r="J1055" i="5"/>
  <c r="K1056" i="5"/>
  <c r="K1057" i="5"/>
  <c r="J1058" i="5"/>
  <c r="J1059" i="5"/>
  <c r="J1060" i="5"/>
  <c r="K1061" i="5"/>
  <c r="K1062" i="5"/>
  <c r="K1063" i="5"/>
  <c r="K1064" i="5"/>
  <c r="K1065" i="5"/>
  <c r="K1066" i="5"/>
  <c r="J1067" i="5"/>
  <c r="K1068" i="5"/>
  <c r="K1069" i="5"/>
  <c r="K1070" i="5"/>
  <c r="J1071" i="5"/>
  <c r="K1072" i="5"/>
  <c r="K1073" i="5"/>
  <c r="K1074" i="5"/>
  <c r="J1075" i="5"/>
  <c r="K1076" i="5"/>
  <c r="K1077" i="5"/>
  <c r="K1078" i="5"/>
  <c r="K1080" i="5"/>
  <c r="K1081" i="5"/>
  <c r="J1082" i="5"/>
  <c r="K1083" i="5"/>
  <c r="K1085" i="5"/>
  <c r="K1086" i="5"/>
  <c r="K1087" i="5"/>
  <c r="J1088" i="5"/>
  <c r="J1089" i="5"/>
  <c r="J1090" i="5"/>
  <c r="K1091" i="5"/>
  <c r="K1092" i="5"/>
  <c r="J1093" i="5"/>
  <c r="K1094" i="5"/>
  <c r="J1095" i="5"/>
  <c r="K1096" i="5"/>
  <c r="J1097" i="5"/>
  <c r="K1098" i="5"/>
  <c r="J1099" i="5"/>
  <c r="J1101" i="5"/>
  <c r="K1102" i="5"/>
  <c r="K1103" i="5"/>
  <c r="J1104" i="5"/>
  <c r="K1105" i="5"/>
  <c r="K1106" i="5"/>
  <c r="J1107" i="5"/>
  <c r="K1108" i="5"/>
  <c r="K1109" i="5"/>
  <c r="J1110" i="5"/>
  <c r="K1111" i="5"/>
  <c r="K1113" i="5"/>
  <c r="K1114" i="5"/>
  <c r="K1115" i="5"/>
  <c r="K1116" i="5"/>
  <c r="J1117" i="5"/>
  <c r="K1118" i="5"/>
  <c r="K1119" i="5"/>
  <c r="J1120" i="5"/>
  <c r="K1121" i="5"/>
  <c r="K1122" i="5"/>
  <c r="K1123" i="5"/>
  <c r="J1124" i="5"/>
  <c r="K1125" i="5"/>
  <c r="K1126" i="5"/>
  <c r="J1127" i="5"/>
  <c r="K1128" i="5"/>
  <c r="K1129" i="5"/>
  <c r="K1130" i="5"/>
  <c r="K1131" i="5"/>
  <c r="K1132" i="5"/>
  <c r="K1133" i="5"/>
  <c r="K1134" i="5"/>
  <c r="J1135" i="5"/>
  <c r="K1136" i="5"/>
  <c r="J1137" i="5"/>
  <c r="J1138" i="5"/>
  <c r="J1139" i="5"/>
  <c r="K1140" i="5"/>
  <c r="J1141" i="5"/>
  <c r="K1142" i="5"/>
  <c r="K1143" i="5"/>
  <c r="J1144" i="5"/>
  <c r="J1145" i="5"/>
  <c r="K1146" i="5"/>
  <c r="J1147" i="5"/>
  <c r="J1148" i="5"/>
  <c r="J1149" i="5"/>
  <c r="K1150" i="5"/>
  <c r="J1151" i="5"/>
  <c r="J1152" i="5"/>
  <c r="J1153" i="5"/>
  <c r="C11" i="8"/>
  <c r="C9" i="8"/>
  <c r="C6" i="8"/>
  <c r="C7" i="8" a="1"/>
  <c r="C7" i="8" s="1"/>
  <c r="I4" i="7"/>
  <c r="I891" i="3"/>
  <c r="H891" i="3"/>
  <c r="G891" i="3"/>
  <c r="F891" i="3"/>
  <c r="E891" i="3"/>
  <c r="D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K290" i="3"/>
  <c r="L290" i="3" s="1"/>
  <c r="M290" i="3" s="1" a="1"/>
  <c r="M290" i="3" s="1"/>
  <c r="K289" i="3"/>
  <c r="L289" i="3" s="1"/>
  <c r="M289" i="3" s="1" a="1"/>
  <c r="M289" i="3" s="1"/>
  <c r="K288" i="3"/>
  <c r="L288" i="3" s="1"/>
  <c r="M288" i="3" s="1" a="1"/>
  <c r="M288" i="3" s="1"/>
  <c r="K287" i="3"/>
  <c r="L287" i="3" s="1"/>
  <c r="M287" i="3" s="1" a="1"/>
  <c r="M287" i="3" s="1"/>
  <c r="K286" i="3"/>
  <c r="L286" i="3" s="1"/>
  <c r="M286" i="3" s="1" a="1"/>
  <c r="M286" i="3" s="1"/>
  <c r="K285" i="3"/>
  <c r="L285" i="3" s="1"/>
  <c r="M285" i="3" s="1" a="1"/>
  <c r="M285" i="3" s="1"/>
  <c r="K284" i="3"/>
  <c r="L284" i="3" s="1"/>
  <c r="M284" i="3" s="1" a="1"/>
  <c r="M284" i="3" s="1"/>
  <c r="K283" i="3"/>
  <c r="L283" i="3" s="1"/>
  <c r="M283" i="3" s="1" a="1"/>
  <c r="M283" i="3" s="1"/>
  <c r="K282" i="3"/>
  <c r="L282" i="3" s="1"/>
  <c r="M282" i="3" s="1" a="1"/>
  <c r="M282" i="3" s="1"/>
  <c r="K281" i="3"/>
  <c r="L281" i="3" s="1"/>
  <c r="M281" i="3" s="1" a="1"/>
  <c r="M281" i="3" s="1"/>
  <c r="K280" i="3"/>
  <c r="L280" i="3" s="1"/>
  <c r="M280" i="3" s="1" a="1"/>
  <c r="M280" i="3" s="1"/>
  <c r="K279" i="3"/>
  <c r="L279" i="3" s="1"/>
  <c r="M279" i="3" s="1" a="1"/>
  <c r="M279" i="3" s="1"/>
  <c r="K278" i="3"/>
  <c r="L278" i="3" s="1"/>
  <c r="M278" i="3" s="1" a="1"/>
  <c r="M278" i="3" s="1"/>
  <c r="K277" i="3"/>
  <c r="L277" i="3" s="1"/>
  <c r="M277" i="3" s="1" a="1"/>
  <c r="M277" i="3" s="1"/>
  <c r="K276" i="3"/>
  <c r="L276" i="3" s="1"/>
  <c r="M276" i="3" s="1" a="1"/>
  <c r="M276" i="3" s="1"/>
  <c r="K275" i="3"/>
  <c r="L275" i="3" s="1"/>
  <c r="M275" i="3" s="1" a="1"/>
  <c r="M275" i="3" s="1"/>
  <c r="K274" i="3"/>
  <c r="L274" i="3" s="1"/>
  <c r="M274" i="3" s="1" a="1"/>
  <c r="M274" i="3" s="1"/>
  <c r="K273" i="3"/>
  <c r="L273" i="3" s="1"/>
  <c r="M273" i="3" s="1" a="1"/>
  <c r="M273" i="3" s="1"/>
  <c r="K272" i="3"/>
  <c r="L272" i="3" s="1"/>
  <c r="M272" i="3" s="1" a="1"/>
  <c r="M272" i="3" s="1"/>
  <c r="K271" i="3"/>
  <c r="L271" i="3" s="1"/>
  <c r="M271" i="3" s="1" a="1"/>
  <c r="M271" i="3" s="1"/>
  <c r="K270" i="3"/>
  <c r="L270" i="3" s="1"/>
  <c r="M270" i="3" s="1" a="1"/>
  <c r="M270" i="3" s="1"/>
  <c r="K269" i="3"/>
  <c r="L269" i="3" s="1"/>
  <c r="M269" i="3" s="1" a="1"/>
  <c r="M269" i="3" s="1"/>
  <c r="K268" i="3"/>
  <c r="L268" i="3" s="1"/>
  <c r="M268" i="3" s="1" a="1"/>
  <c r="M268" i="3" s="1"/>
  <c r="K267" i="3"/>
  <c r="L267" i="3" s="1"/>
  <c r="M267" i="3" s="1" a="1"/>
  <c r="M267" i="3" s="1"/>
  <c r="K266" i="3"/>
  <c r="L266" i="3" s="1"/>
  <c r="M266" i="3" s="1" a="1"/>
  <c r="M266" i="3" s="1"/>
  <c r="K265" i="3"/>
  <c r="L265" i="3" s="1"/>
  <c r="M265" i="3" s="1" a="1"/>
  <c r="M265" i="3" s="1"/>
  <c r="K264" i="3"/>
  <c r="L264" i="3" s="1"/>
  <c r="M264" i="3" s="1" a="1"/>
  <c r="M264" i="3" s="1"/>
  <c r="K263" i="3"/>
  <c r="L263" i="3" s="1"/>
  <c r="M263" i="3" s="1" a="1"/>
  <c r="M263" i="3" s="1"/>
  <c r="K262" i="3"/>
  <c r="L262" i="3" s="1"/>
  <c r="M262" i="3" s="1" a="1"/>
  <c r="M262" i="3" s="1"/>
  <c r="K261" i="3"/>
  <c r="L261" i="3" s="1"/>
  <c r="M261" i="3" s="1" a="1"/>
  <c r="M261" i="3" s="1"/>
  <c r="K260" i="3"/>
  <c r="L260" i="3" s="1"/>
  <c r="M260" i="3" s="1" a="1"/>
  <c r="M260" i="3" s="1"/>
  <c r="K259" i="3"/>
  <c r="L259" i="3" s="1"/>
  <c r="M259" i="3" s="1" a="1"/>
  <c r="M259" i="3" s="1"/>
  <c r="K258" i="3"/>
  <c r="L258" i="3" s="1"/>
  <c r="M258" i="3" s="1" a="1"/>
  <c r="M258" i="3" s="1"/>
  <c r="K257" i="3"/>
  <c r="L257" i="3" s="1"/>
  <c r="M257" i="3" s="1" a="1"/>
  <c r="M257" i="3" s="1"/>
  <c r="K256" i="3"/>
  <c r="L256" i="3" s="1"/>
  <c r="M256" i="3" s="1" a="1"/>
  <c r="M256" i="3" s="1"/>
  <c r="K255" i="3"/>
  <c r="L255" i="3" s="1"/>
  <c r="M255" i="3" s="1" a="1"/>
  <c r="M255" i="3" s="1"/>
  <c r="K254" i="3"/>
  <c r="L254" i="3" s="1"/>
  <c r="M254" i="3" s="1" a="1"/>
  <c r="M254" i="3" s="1"/>
  <c r="K253" i="3"/>
  <c r="L253" i="3" s="1"/>
  <c r="M253" i="3" s="1" a="1"/>
  <c r="M253" i="3" s="1"/>
  <c r="K252" i="3"/>
  <c r="L252" i="3" s="1"/>
  <c r="M252" i="3" s="1" a="1"/>
  <c r="M252" i="3" s="1"/>
  <c r="K251" i="3"/>
  <c r="L251" i="3" s="1"/>
  <c r="M251" i="3" s="1" a="1"/>
  <c r="M251" i="3" s="1"/>
  <c r="K250" i="3"/>
  <c r="L250" i="3" s="1"/>
  <c r="M250" i="3" s="1" a="1"/>
  <c r="M250" i="3" s="1"/>
  <c r="K249" i="3"/>
  <c r="L249" i="3" s="1"/>
  <c r="M249" i="3" s="1" a="1"/>
  <c r="M249" i="3" s="1"/>
  <c r="K248" i="3"/>
  <c r="L248" i="3" s="1"/>
  <c r="M248" i="3" s="1" a="1"/>
  <c r="M248" i="3" s="1"/>
  <c r="K247" i="3"/>
  <c r="L247" i="3" s="1"/>
  <c r="M247" i="3" s="1" a="1"/>
  <c r="M247" i="3" s="1"/>
  <c r="K246" i="3"/>
  <c r="L246" i="3" s="1"/>
  <c r="M246" i="3" s="1" a="1"/>
  <c r="M246" i="3" s="1"/>
  <c r="K245" i="3"/>
  <c r="L245" i="3" s="1"/>
  <c r="M245" i="3" s="1" a="1"/>
  <c r="M245" i="3" s="1"/>
  <c r="K244" i="3"/>
  <c r="L244" i="3" s="1"/>
  <c r="M244" i="3" s="1" a="1"/>
  <c r="M244" i="3" s="1"/>
  <c r="K243" i="3"/>
  <c r="L243" i="3" s="1"/>
  <c r="M243" i="3" s="1" a="1"/>
  <c r="M243" i="3" s="1"/>
  <c r="K242" i="3"/>
  <c r="L242" i="3" s="1"/>
  <c r="M242" i="3" s="1" a="1"/>
  <c r="M242" i="3" s="1"/>
  <c r="K241" i="3"/>
  <c r="L241" i="3" s="1"/>
  <c r="M241" i="3" s="1" a="1"/>
  <c r="M241" i="3" s="1"/>
  <c r="K240" i="3"/>
  <c r="L240" i="3" s="1"/>
  <c r="M240" i="3" s="1" a="1"/>
  <c r="M240" i="3" s="1"/>
  <c r="K239" i="3"/>
  <c r="L239" i="3" s="1"/>
  <c r="M239" i="3" s="1" a="1"/>
  <c r="M239" i="3" s="1"/>
  <c r="K238" i="3"/>
  <c r="L238" i="3" s="1"/>
  <c r="M238" i="3" s="1" a="1"/>
  <c r="M238" i="3" s="1"/>
  <c r="K237" i="3"/>
  <c r="L237" i="3" s="1"/>
  <c r="M237" i="3" s="1" a="1"/>
  <c r="M237" i="3" s="1"/>
  <c r="K236" i="3"/>
  <c r="L236" i="3" s="1"/>
  <c r="M236" i="3" s="1" a="1"/>
  <c r="M236" i="3" s="1"/>
  <c r="K235" i="3"/>
  <c r="L235" i="3" s="1"/>
  <c r="M235" i="3" s="1" a="1"/>
  <c r="M235" i="3" s="1"/>
  <c r="K234" i="3"/>
  <c r="L234" i="3" s="1"/>
  <c r="M234" i="3" s="1" a="1"/>
  <c r="M234" i="3" s="1"/>
  <c r="K233" i="3"/>
  <c r="L233" i="3" s="1"/>
  <c r="M233" i="3" s="1" a="1"/>
  <c r="M233" i="3" s="1"/>
  <c r="K232" i="3"/>
  <c r="L232" i="3" s="1"/>
  <c r="M232" i="3" s="1" a="1"/>
  <c r="M232" i="3" s="1"/>
  <c r="K231" i="3"/>
  <c r="L231" i="3" s="1"/>
  <c r="M231" i="3" s="1" a="1"/>
  <c r="M231" i="3" s="1"/>
  <c r="K230" i="3"/>
  <c r="L230" i="3" s="1"/>
  <c r="M230" i="3" s="1" a="1"/>
  <c r="M230" i="3" s="1"/>
  <c r="K229" i="3"/>
  <c r="L229" i="3" s="1"/>
  <c r="M229" i="3" s="1" a="1"/>
  <c r="M229" i="3" s="1"/>
  <c r="K228" i="3"/>
  <c r="L228" i="3" s="1"/>
  <c r="M228" i="3" s="1" a="1"/>
  <c r="M228" i="3" s="1"/>
  <c r="K227" i="3"/>
  <c r="L227" i="3" s="1"/>
  <c r="M227" i="3" s="1" a="1"/>
  <c r="M227" i="3" s="1"/>
  <c r="K226" i="3"/>
  <c r="L226" i="3" s="1"/>
  <c r="M226" i="3" s="1" a="1"/>
  <c r="M226" i="3" s="1"/>
  <c r="K225" i="3"/>
  <c r="L225" i="3" s="1"/>
  <c r="M225" i="3" s="1" a="1"/>
  <c r="M225" i="3" s="1"/>
  <c r="K224" i="3"/>
  <c r="L224" i="3" s="1"/>
  <c r="M224" i="3" s="1" a="1"/>
  <c r="M224" i="3" s="1"/>
  <c r="K223" i="3"/>
  <c r="L223" i="3" s="1"/>
  <c r="M223" i="3" s="1" a="1"/>
  <c r="M223" i="3" s="1"/>
  <c r="K222" i="3"/>
  <c r="L222" i="3" s="1"/>
  <c r="M222" i="3" s="1" a="1"/>
  <c r="M222" i="3" s="1"/>
  <c r="K221" i="3"/>
  <c r="L221" i="3" s="1"/>
  <c r="M221" i="3" s="1" a="1"/>
  <c r="M221" i="3" s="1"/>
  <c r="K220" i="3"/>
  <c r="L220" i="3" s="1"/>
  <c r="M220" i="3" s="1" a="1"/>
  <c r="M220" i="3" s="1"/>
  <c r="K219" i="3"/>
  <c r="L219" i="3" s="1"/>
  <c r="M219" i="3" s="1" a="1"/>
  <c r="M219" i="3" s="1"/>
  <c r="K218" i="3"/>
  <c r="L218" i="3" s="1"/>
  <c r="M218" i="3" s="1" a="1"/>
  <c r="M218" i="3" s="1"/>
  <c r="K217" i="3"/>
  <c r="L217" i="3" s="1"/>
  <c r="M217" i="3" s="1" a="1"/>
  <c r="M217" i="3" s="1"/>
  <c r="K216" i="3"/>
  <c r="L216" i="3" s="1"/>
  <c r="M216" i="3" s="1" a="1"/>
  <c r="M216" i="3" s="1"/>
  <c r="K215" i="3"/>
  <c r="L215" i="3" s="1"/>
  <c r="M215" i="3" s="1" a="1"/>
  <c r="M215" i="3" s="1"/>
  <c r="K214" i="3"/>
  <c r="L214" i="3" s="1"/>
  <c r="M214" i="3" s="1" a="1"/>
  <c r="M214" i="3" s="1"/>
  <c r="K213" i="3"/>
  <c r="L213" i="3" s="1"/>
  <c r="M213" i="3" s="1" a="1"/>
  <c r="M213" i="3" s="1"/>
  <c r="K212" i="3"/>
  <c r="L212" i="3" s="1"/>
  <c r="M212" i="3" s="1" a="1"/>
  <c r="M212" i="3" s="1"/>
  <c r="K211" i="3"/>
  <c r="L211" i="3" s="1"/>
  <c r="M211" i="3" s="1" a="1"/>
  <c r="M211" i="3" s="1"/>
  <c r="K210" i="3"/>
  <c r="L210" i="3" s="1"/>
  <c r="M210" i="3" s="1" a="1"/>
  <c r="M210" i="3" s="1"/>
  <c r="K209" i="3"/>
  <c r="L209" i="3" s="1"/>
  <c r="M209" i="3" s="1" a="1"/>
  <c r="M209" i="3" s="1"/>
  <c r="K208" i="3"/>
  <c r="L208" i="3" s="1"/>
  <c r="M208" i="3" s="1" a="1"/>
  <c r="M208" i="3" s="1"/>
  <c r="K207" i="3"/>
  <c r="L207" i="3" s="1"/>
  <c r="M207" i="3" s="1" a="1"/>
  <c r="M207" i="3" s="1"/>
  <c r="K206" i="3"/>
  <c r="L206" i="3" s="1"/>
  <c r="M206" i="3" s="1" a="1"/>
  <c r="M206" i="3" s="1"/>
  <c r="K205" i="3"/>
  <c r="L205" i="3" s="1"/>
  <c r="M205" i="3" s="1" a="1"/>
  <c r="M205" i="3" s="1"/>
  <c r="K204" i="3"/>
  <c r="L204" i="3" s="1"/>
  <c r="M204" i="3" s="1" a="1"/>
  <c r="M204" i="3" s="1"/>
  <c r="K203" i="3"/>
  <c r="L203" i="3" s="1"/>
  <c r="M203" i="3" s="1" a="1"/>
  <c r="M203" i="3" s="1"/>
  <c r="K202" i="3"/>
  <c r="L202" i="3" s="1"/>
  <c r="M202" i="3" s="1" a="1"/>
  <c r="M202" i="3" s="1"/>
  <c r="K201" i="3"/>
  <c r="L201" i="3" s="1"/>
  <c r="M201" i="3" s="1" a="1"/>
  <c r="M201" i="3" s="1"/>
  <c r="K200" i="3"/>
  <c r="L200" i="3" s="1"/>
  <c r="M200" i="3" s="1" a="1"/>
  <c r="M200" i="3" s="1"/>
  <c r="K199" i="3"/>
  <c r="L199" i="3" s="1"/>
  <c r="M199" i="3" s="1" a="1"/>
  <c r="M199" i="3" s="1"/>
  <c r="K198" i="3"/>
  <c r="L198" i="3" s="1"/>
  <c r="M198" i="3" s="1" a="1"/>
  <c r="M198" i="3" s="1"/>
  <c r="K197" i="3"/>
  <c r="L197" i="3" s="1"/>
  <c r="M197" i="3" s="1" a="1"/>
  <c r="M197" i="3" s="1"/>
  <c r="K196" i="3"/>
  <c r="L196" i="3" s="1"/>
  <c r="M196" i="3" s="1" a="1"/>
  <c r="M196" i="3" s="1"/>
  <c r="K195" i="3"/>
  <c r="L195" i="3" s="1"/>
  <c r="M195" i="3" s="1" a="1"/>
  <c r="M195" i="3" s="1"/>
  <c r="K194" i="3"/>
  <c r="L194" i="3" s="1"/>
  <c r="M194" i="3" s="1" a="1"/>
  <c r="M194" i="3" s="1"/>
  <c r="K193" i="3"/>
  <c r="L193" i="3" s="1"/>
  <c r="M193" i="3" s="1" a="1"/>
  <c r="M193" i="3" s="1"/>
  <c r="K192" i="3"/>
  <c r="L192" i="3" s="1"/>
  <c r="M192" i="3" s="1" a="1"/>
  <c r="M192" i="3" s="1"/>
  <c r="K191" i="3"/>
  <c r="L191" i="3" s="1"/>
  <c r="M191" i="3" s="1" a="1"/>
  <c r="M191" i="3" s="1"/>
  <c r="K190" i="3"/>
  <c r="L190" i="3" s="1"/>
  <c r="M190" i="3" s="1" a="1"/>
  <c r="M190" i="3" s="1"/>
  <c r="K189" i="3"/>
  <c r="L189" i="3" s="1"/>
  <c r="M189" i="3" s="1" a="1"/>
  <c r="M189" i="3" s="1"/>
  <c r="K188" i="3"/>
  <c r="L188" i="3" s="1"/>
  <c r="M188" i="3" s="1" a="1"/>
  <c r="M188" i="3" s="1"/>
  <c r="K187" i="3"/>
  <c r="L187" i="3" s="1"/>
  <c r="M187" i="3" s="1" a="1"/>
  <c r="M187" i="3" s="1"/>
  <c r="K186" i="3"/>
  <c r="L186" i="3" s="1"/>
  <c r="M186" i="3" s="1" a="1"/>
  <c r="M186" i="3" s="1"/>
  <c r="K185" i="3"/>
  <c r="L185" i="3" s="1"/>
  <c r="M185" i="3" s="1" a="1"/>
  <c r="M185" i="3" s="1"/>
  <c r="K184" i="3"/>
  <c r="L184" i="3" s="1"/>
  <c r="M184" i="3" s="1" a="1"/>
  <c r="M184" i="3" s="1"/>
  <c r="K183" i="3"/>
  <c r="L183" i="3" s="1"/>
  <c r="M183" i="3" s="1" a="1"/>
  <c r="M183" i="3" s="1"/>
  <c r="K182" i="3"/>
  <c r="L182" i="3" s="1"/>
  <c r="M182" i="3" s="1" a="1"/>
  <c r="M182" i="3" s="1"/>
  <c r="K181" i="3"/>
  <c r="L181" i="3" s="1"/>
  <c r="M181" i="3" s="1" a="1"/>
  <c r="M181" i="3" s="1"/>
  <c r="K180" i="3"/>
  <c r="L180" i="3" s="1"/>
  <c r="M180" i="3" s="1" a="1"/>
  <c r="M180" i="3" s="1"/>
  <c r="K179" i="3"/>
  <c r="L179" i="3" s="1"/>
  <c r="M179" i="3" s="1" a="1"/>
  <c r="M179" i="3" s="1"/>
  <c r="K178" i="3"/>
  <c r="L178" i="3" s="1"/>
  <c r="M178" i="3" s="1" a="1"/>
  <c r="M178" i="3" s="1"/>
  <c r="K177" i="3"/>
  <c r="L177" i="3" s="1"/>
  <c r="M177" i="3" s="1" a="1"/>
  <c r="M177" i="3" s="1"/>
  <c r="K176" i="3"/>
  <c r="L176" i="3" s="1"/>
  <c r="M176" i="3" s="1" a="1"/>
  <c r="M176" i="3" s="1"/>
  <c r="K175" i="3"/>
  <c r="L175" i="3" s="1"/>
  <c r="M175" i="3" s="1" a="1"/>
  <c r="M175" i="3" s="1"/>
  <c r="K174" i="3"/>
  <c r="L174" i="3" s="1"/>
  <c r="M174" i="3" s="1" a="1"/>
  <c r="M174" i="3" s="1"/>
  <c r="K173" i="3"/>
  <c r="L173" i="3" s="1"/>
  <c r="M173" i="3" s="1" a="1"/>
  <c r="M173" i="3" s="1"/>
  <c r="K172" i="3"/>
  <c r="L172" i="3" s="1"/>
  <c r="M172" i="3" s="1" a="1"/>
  <c r="M172" i="3" s="1"/>
  <c r="K171" i="3"/>
  <c r="L171" i="3" s="1"/>
  <c r="M171" i="3" s="1" a="1"/>
  <c r="M171" i="3" s="1"/>
  <c r="K170" i="3"/>
  <c r="L170" i="3" s="1"/>
  <c r="M170" i="3" s="1" a="1"/>
  <c r="M170" i="3" s="1"/>
  <c r="K169" i="3"/>
  <c r="L169" i="3" s="1"/>
  <c r="M169" i="3" s="1" a="1"/>
  <c r="M169" i="3" s="1"/>
  <c r="K168" i="3"/>
  <c r="L168" i="3" s="1"/>
  <c r="M168" i="3" s="1" a="1"/>
  <c r="M168" i="3" s="1"/>
  <c r="K167" i="3"/>
  <c r="L167" i="3" s="1"/>
  <c r="M167" i="3" s="1" a="1"/>
  <c r="M167" i="3" s="1"/>
  <c r="K166" i="3"/>
  <c r="L166" i="3" s="1"/>
  <c r="M166" i="3" s="1" a="1"/>
  <c r="M166" i="3" s="1"/>
  <c r="K165" i="3"/>
  <c r="L165" i="3" s="1"/>
  <c r="M165" i="3" s="1" a="1"/>
  <c r="M165" i="3" s="1"/>
  <c r="K164" i="3"/>
  <c r="L164" i="3" s="1"/>
  <c r="M164" i="3" s="1" a="1"/>
  <c r="M164" i="3" s="1"/>
  <c r="K163" i="3"/>
  <c r="L163" i="3" s="1"/>
  <c r="M163" i="3" s="1" a="1"/>
  <c r="M163" i="3" s="1"/>
  <c r="K162" i="3"/>
  <c r="L162" i="3" s="1"/>
  <c r="M162" i="3" s="1" a="1"/>
  <c r="M162" i="3" s="1"/>
  <c r="K161" i="3"/>
  <c r="L161" i="3" s="1"/>
  <c r="M161" i="3" s="1" a="1"/>
  <c r="M161" i="3" s="1"/>
  <c r="K160" i="3"/>
  <c r="L160" i="3" s="1"/>
  <c r="M160" i="3" s="1" a="1"/>
  <c r="M160" i="3" s="1"/>
  <c r="K159" i="3"/>
  <c r="L159" i="3" s="1"/>
  <c r="M159" i="3" s="1" a="1"/>
  <c r="M159" i="3" s="1"/>
  <c r="K158" i="3"/>
  <c r="L158" i="3" s="1"/>
  <c r="M158" i="3" s="1" a="1"/>
  <c r="M158" i="3" s="1"/>
  <c r="K157" i="3"/>
  <c r="L157" i="3" s="1"/>
  <c r="M157" i="3" s="1" a="1"/>
  <c r="M157" i="3" s="1"/>
  <c r="K156" i="3"/>
  <c r="L156" i="3" s="1"/>
  <c r="M156" i="3" s="1" a="1"/>
  <c r="M156" i="3" s="1"/>
  <c r="K155" i="3"/>
  <c r="L155" i="3" s="1"/>
  <c r="M155" i="3" s="1" a="1"/>
  <c r="M155" i="3" s="1"/>
  <c r="K154" i="3"/>
  <c r="L154" i="3" s="1"/>
  <c r="M154" i="3" s="1" a="1"/>
  <c r="M154" i="3" s="1"/>
  <c r="K153" i="3"/>
  <c r="L153" i="3" s="1"/>
  <c r="M153" i="3" s="1" a="1"/>
  <c r="M153" i="3" s="1"/>
  <c r="K152" i="3"/>
  <c r="L152" i="3" s="1"/>
  <c r="M152" i="3" s="1" a="1"/>
  <c r="M152" i="3" s="1"/>
  <c r="K151" i="3"/>
  <c r="L151" i="3" s="1"/>
  <c r="M151" i="3" s="1" a="1"/>
  <c r="M151" i="3" s="1"/>
  <c r="K150" i="3"/>
  <c r="L150" i="3" s="1"/>
  <c r="M150" i="3" s="1" a="1"/>
  <c r="M150" i="3" s="1"/>
  <c r="K149" i="3"/>
  <c r="L149" i="3" s="1"/>
  <c r="M149" i="3" s="1" a="1"/>
  <c r="M149" i="3" s="1"/>
  <c r="K148" i="3"/>
  <c r="L148" i="3" s="1"/>
  <c r="M148" i="3" s="1" a="1"/>
  <c r="M148" i="3" s="1"/>
  <c r="K147" i="3"/>
  <c r="L147" i="3" s="1"/>
  <c r="M147" i="3" s="1" a="1"/>
  <c r="M147" i="3" s="1"/>
  <c r="K146" i="3"/>
  <c r="L146" i="3" s="1"/>
  <c r="M146" i="3" s="1" a="1"/>
  <c r="M146" i="3" s="1"/>
  <c r="K145" i="3"/>
  <c r="L145" i="3" s="1"/>
  <c r="M145" i="3" s="1" a="1"/>
  <c r="M145" i="3" s="1"/>
  <c r="K144" i="3"/>
  <c r="L144" i="3" s="1"/>
  <c r="M144" i="3" s="1" a="1"/>
  <c r="M144" i="3" s="1"/>
  <c r="K143" i="3"/>
  <c r="L143" i="3" s="1"/>
  <c r="M143" i="3" s="1" a="1"/>
  <c r="M143" i="3" s="1"/>
  <c r="K142" i="3"/>
  <c r="L142" i="3" s="1"/>
  <c r="M142" i="3" s="1" a="1"/>
  <c r="M142" i="3" s="1"/>
  <c r="K141" i="3"/>
  <c r="L141" i="3" s="1"/>
  <c r="M141" i="3" s="1" a="1"/>
  <c r="M141" i="3" s="1"/>
  <c r="K140" i="3"/>
  <c r="L140" i="3" s="1"/>
  <c r="M140" i="3" s="1" a="1"/>
  <c r="M140" i="3" s="1"/>
  <c r="K139" i="3"/>
  <c r="L139" i="3" s="1"/>
  <c r="M139" i="3" s="1" a="1"/>
  <c r="M139" i="3" s="1"/>
  <c r="K138" i="3"/>
  <c r="L138" i="3" s="1"/>
  <c r="M138" i="3" s="1" a="1"/>
  <c r="M138" i="3" s="1"/>
  <c r="K137" i="3"/>
  <c r="L137" i="3" s="1"/>
  <c r="M137" i="3" s="1" a="1"/>
  <c r="M137" i="3" s="1"/>
  <c r="K136" i="3"/>
  <c r="L136" i="3" s="1"/>
  <c r="M136" i="3" s="1" a="1"/>
  <c r="M136" i="3" s="1"/>
  <c r="K135" i="3"/>
  <c r="L135" i="3" s="1"/>
  <c r="M135" i="3" s="1" a="1"/>
  <c r="M135" i="3" s="1"/>
  <c r="K134" i="3"/>
  <c r="L134" i="3" s="1"/>
  <c r="M134" i="3" s="1" a="1"/>
  <c r="M134" i="3" s="1"/>
  <c r="K133" i="3"/>
  <c r="L133" i="3" s="1"/>
  <c r="M133" i="3" s="1" a="1"/>
  <c r="M133" i="3" s="1"/>
  <c r="K132" i="3"/>
  <c r="L132" i="3" s="1"/>
  <c r="M132" i="3" s="1" a="1"/>
  <c r="M132" i="3" s="1"/>
  <c r="K131" i="3"/>
  <c r="L131" i="3" s="1"/>
  <c r="M131" i="3" s="1" a="1"/>
  <c r="M131" i="3" s="1"/>
  <c r="K130" i="3"/>
  <c r="L130" i="3" s="1"/>
  <c r="M130" i="3" s="1" a="1"/>
  <c r="M130" i="3" s="1"/>
  <c r="K129" i="3"/>
  <c r="L129" i="3" s="1"/>
  <c r="M129" i="3" s="1" a="1"/>
  <c r="M129" i="3" s="1"/>
  <c r="K128" i="3"/>
  <c r="L128" i="3" s="1"/>
  <c r="M128" i="3" s="1" a="1"/>
  <c r="M128" i="3" s="1"/>
  <c r="K127" i="3"/>
  <c r="L127" i="3" s="1"/>
  <c r="M127" i="3" s="1" a="1"/>
  <c r="M127" i="3" s="1"/>
  <c r="K126" i="3"/>
  <c r="L126" i="3" s="1"/>
  <c r="M126" i="3" s="1" a="1"/>
  <c r="M126" i="3" s="1"/>
  <c r="K125" i="3"/>
  <c r="L125" i="3" s="1"/>
  <c r="M125" i="3" s="1" a="1"/>
  <c r="M125" i="3" s="1"/>
  <c r="K124" i="3"/>
  <c r="L124" i="3" s="1"/>
  <c r="M124" i="3" s="1" a="1"/>
  <c r="M124" i="3" s="1"/>
  <c r="K123" i="3"/>
  <c r="L123" i="3" s="1"/>
  <c r="M123" i="3" s="1" a="1"/>
  <c r="M123" i="3" s="1"/>
  <c r="K122" i="3"/>
  <c r="L122" i="3" s="1"/>
  <c r="M122" i="3" s="1" a="1"/>
  <c r="M122" i="3" s="1"/>
  <c r="K121" i="3"/>
  <c r="L121" i="3" s="1"/>
  <c r="M121" i="3" s="1" a="1"/>
  <c r="M121" i="3" s="1"/>
  <c r="K120" i="3"/>
  <c r="L120" i="3" s="1"/>
  <c r="M120" i="3" s="1" a="1"/>
  <c r="M120" i="3" s="1"/>
  <c r="K119" i="3"/>
  <c r="L119" i="3" s="1"/>
  <c r="M119" i="3" s="1" a="1"/>
  <c r="M119" i="3" s="1"/>
  <c r="K118" i="3"/>
  <c r="L118" i="3" s="1"/>
  <c r="M118" i="3" s="1" a="1"/>
  <c r="M118" i="3" s="1"/>
  <c r="K117" i="3"/>
  <c r="L117" i="3" s="1"/>
  <c r="M117" i="3" s="1" a="1"/>
  <c r="M117" i="3" s="1"/>
  <c r="K116" i="3"/>
  <c r="L116" i="3" s="1"/>
  <c r="M116" i="3" s="1" a="1"/>
  <c r="M116" i="3" s="1"/>
  <c r="K115" i="3"/>
  <c r="L115" i="3" s="1"/>
  <c r="M115" i="3" s="1" a="1"/>
  <c r="M115" i="3" s="1"/>
  <c r="K114" i="3"/>
  <c r="L114" i="3" s="1"/>
  <c r="M114" i="3" s="1" a="1"/>
  <c r="M114" i="3" s="1"/>
  <c r="K113" i="3"/>
  <c r="L113" i="3" s="1"/>
  <c r="M113" i="3" s="1" a="1"/>
  <c r="M113" i="3" s="1"/>
  <c r="K112" i="3"/>
  <c r="L112" i="3" s="1"/>
  <c r="M112" i="3" s="1" a="1"/>
  <c r="M112" i="3" s="1"/>
  <c r="K111" i="3"/>
  <c r="L111" i="3" s="1"/>
  <c r="M111" i="3" s="1" a="1"/>
  <c r="M111" i="3" s="1"/>
  <c r="K110" i="3"/>
  <c r="L110" i="3" s="1"/>
  <c r="M110" i="3" s="1" a="1"/>
  <c r="M110" i="3" s="1"/>
  <c r="K109" i="3"/>
  <c r="L109" i="3" s="1"/>
  <c r="M109" i="3" s="1" a="1"/>
  <c r="M109" i="3" s="1"/>
  <c r="K108" i="3"/>
  <c r="L108" i="3" s="1"/>
  <c r="M108" i="3" s="1" a="1"/>
  <c r="M108" i="3" s="1"/>
  <c r="K107" i="3"/>
  <c r="L107" i="3" s="1"/>
  <c r="M107" i="3" s="1" a="1"/>
  <c r="M107" i="3" s="1"/>
  <c r="K106" i="3"/>
  <c r="L106" i="3" s="1"/>
  <c r="M106" i="3" s="1" a="1"/>
  <c r="M106" i="3" s="1"/>
  <c r="K105" i="3"/>
  <c r="L105" i="3" s="1"/>
  <c r="M105" i="3" s="1" a="1"/>
  <c r="M105" i="3" s="1"/>
  <c r="K104" i="3"/>
  <c r="L104" i="3" s="1"/>
  <c r="M104" i="3" s="1" a="1"/>
  <c r="M104" i="3" s="1"/>
  <c r="K103" i="3"/>
  <c r="L103" i="3" s="1"/>
  <c r="M103" i="3" s="1" a="1"/>
  <c r="M103" i="3" s="1"/>
  <c r="K102" i="3"/>
  <c r="L102" i="3" s="1"/>
  <c r="M102" i="3" s="1" a="1"/>
  <c r="M102" i="3" s="1"/>
  <c r="K101" i="3"/>
  <c r="L101" i="3" s="1"/>
  <c r="M101" i="3" s="1" a="1"/>
  <c r="M101" i="3" s="1"/>
  <c r="K100" i="3"/>
  <c r="L100" i="3" s="1"/>
  <c r="M100" i="3" s="1" a="1"/>
  <c r="M100" i="3" s="1"/>
  <c r="K99" i="3"/>
  <c r="L99" i="3" s="1"/>
  <c r="M99" i="3" s="1" a="1"/>
  <c r="M99" i="3" s="1"/>
  <c r="K98" i="3"/>
  <c r="L98" i="3" s="1"/>
  <c r="M98" i="3" s="1" a="1"/>
  <c r="M98" i="3" s="1"/>
  <c r="K97" i="3"/>
  <c r="L97" i="3" s="1"/>
  <c r="M97" i="3" s="1" a="1"/>
  <c r="M97" i="3" s="1"/>
  <c r="K96" i="3"/>
  <c r="L96" i="3" s="1"/>
  <c r="M96" i="3" s="1" a="1"/>
  <c r="M96" i="3" s="1"/>
  <c r="K95" i="3"/>
  <c r="L95" i="3" s="1"/>
  <c r="M95" i="3" s="1" a="1"/>
  <c r="M95" i="3" s="1"/>
  <c r="K94" i="3"/>
  <c r="L94" i="3" s="1"/>
  <c r="M94" i="3" s="1" a="1"/>
  <c r="M94" i="3" s="1"/>
  <c r="K93" i="3"/>
  <c r="L93" i="3" s="1"/>
  <c r="M93" i="3" s="1" a="1"/>
  <c r="M93" i="3" s="1"/>
  <c r="K92" i="3"/>
  <c r="L92" i="3" s="1"/>
  <c r="M92" i="3" s="1" a="1"/>
  <c r="M92" i="3" s="1"/>
  <c r="K91" i="3"/>
  <c r="L91" i="3" s="1"/>
  <c r="M91" i="3" s="1" a="1"/>
  <c r="M91" i="3" s="1"/>
  <c r="K90" i="3"/>
  <c r="L90" i="3" s="1"/>
  <c r="M90" i="3" s="1" a="1"/>
  <c r="M90" i="3" s="1"/>
  <c r="K89" i="3"/>
  <c r="L89" i="3" s="1"/>
  <c r="M89" i="3" s="1" a="1"/>
  <c r="M89" i="3" s="1"/>
  <c r="K88" i="3"/>
  <c r="L88" i="3" s="1"/>
  <c r="M88" i="3" s="1" a="1"/>
  <c r="M88" i="3" s="1"/>
  <c r="K87" i="3"/>
  <c r="L87" i="3" s="1"/>
  <c r="M87" i="3" s="1" a="1"/>
  <c r="M87" i="3" s="1"/>
  <c r="K86" i="3"/>
  <c r="L86" i="3" s="1"/>
  <c r="M86" i="3" s="1" a="1"/>
  <c r="M86" i="3" s="1"/>
  <c r="K85" i="3"/>
  <c r="L85" i="3" s="1"/>
  <c r="M85" i="3" s="1" a="1"/>
  <c r="M85" i="3" s="1"/>
  <c r="K84" i="3"/>
  <c r="L84" i="3" s="1"/>
  <c r="M84" i="3" s="1" a="1"/>
  <c r="M84" i="3" s="1"/>
  <c r="K83" i="3"/>
  <c r="L83" i="3" s="1"/>
  <c r="M83" i="3" s="1" a="1"/>
  <c r="M83" i="3" s="1"/>
  <c r="K82" i="3"/>
  <c r="L82" i="3" s="1"/>
  <c r="M82" i="3" s="1" a="1"/>
  <c r="M82" i="3" s="1"/>
  <c r="K81" i="3"/>
  <c r="L81" i="3" s="1"/>
  <c r="M81" i="3" s="1" a="1"/>
  <c r="M81" i="3" s="1"/>
  <c r="K80" i="3"/>
  <c r="L80" i="3" s="1"/>
  <c r="M80" i="3" s="1" a="1"/>
  <c r="M80" i="3" s="1"/>
  <c r="K79" i="3"/>
  <c r="L79" i="3" s="1"/>
  <c r="M79" i="3" s="1" a="1"/>
  <c r="M79" i="3" s="1"/>
  <c r="K78" i="3"/>
  <c r="L78" i="3" s="1"/>
  <c r="M78" i="3" s="1" a="1"/>
  <c r="M78" i="3" s="1"/>
  <c r="K77" i="3"/>
  <c r="L77" i="3" s="1"/>
  <c r="M77" i="3" s="1" a="1"/>
  <c r="M77" i="3" s="1"/>
  <c r="K76" i="3"/>
  <c r="L76" i="3" s="1"/>
  <c r="M76" i="3" s="1" a="1"/>
  <c r="M76" i="3" s="1"/>
  <c r="K75" i="3"/>
  <c r="L75" i="3" s="1"/>
  <c r="M75" i="3" s="1" a="1"/>
  <c r="M75" i="3" s="1"/>
  <c r="K74" i="3"/>
  <c r="L74" i="3" s="1"/>
  <c r="M74" i="3" s="1" a="1"/>
  <c r="M74" i="3" s="1"/>
  <c r="K73" i="3"/>
  <c r="L73" i="3" s="1"/>
  <c r="M73" i="3" s="1" a="1"/>
  <c r="M73" i="3" s="1"/>
  <c r="K72" i="3"/>
  <c r="L72" i="3" s="1"/>
  <c r="M72" i="3" s="1" a="1"/>
  <c r="M72" i="3" s="1"/>
  <c r="K71" i="3"/>
  <c r="L71" i="3" s="1"/>
  <c r="M71" i="3" s="1" a="1"/>
  <c r="M71" i="3" s="1"/>
  <c r="K70" i="3"/>
  <c r="L70" i="3" s="1"/>
  <c r="M70" i="3" s="1" a="1"/>
  <c r="M70" i="3" s="1"/>
  <c r="K69" i="3"/>
  <c r="L69" i="3" s="1"/>
  <c r="M69" i="3" s="1" a="1"/>
  <c r="M69" i="3" s="1"/>
  <c r="K68" i="3"/>
  <c r="L68" i="3" s="1"/>
  <c r="M68" i="3" s="1" a="1"/>
  <c r="M68" i="3" s="1"/>
  <c r="K67" i="3"/>
  <c r="L67" i="3" s="1"/>
  <c r="M67" i="3" s="1" a="1"/>
  <c r="M67" i="3" s="1"/>
  <c r="K66" i="3"/>
  <c r="L66" i="3" s="1"/>
  <c r="M66" i="3" s="1" a="1"/>
  <c r="M66" i="3" s="1"/>
  <c r="K65" i="3"/>
  <c r="L65" i="3" s="1"/>
  <c r="M65" i="3" s="1" a="1"/>
  <c r="M65" i="3" s="1"/>
  <c r="K64" i="3"/>
  <c r="L64" i="3" s="1"/>
  <c r="M64" i="3" s="1" a="1"/>
  <c r="M64" i="3" s="1"/>
  <c r="K63" i="3"/>
  <c r="L63" i="3" s="1"/>
  <c r="M63" i="3" s="1" a="1"/>
  <c r="M63" i="3" s="1"/>
  <c r="K62" i="3"/>
  <c r="L62" i="3" s="1"/>
  <c r="M62" i="3" s="1" a="1"/>
  <c r="M62" i="3" s="1"/>
  <c r="K61" i="3"/>
  <c r="L61" i="3" s="1"/>
  <c r="M61" i="3" s="1" a="1"/>
  <c r="M61" i="3" s="1"/>
  <c r="K60" i="3"/>
  <c r="L60" i="3" s="1"/>
  <c r="M60" i="3" s="1" a="1"/>
  <c r="M60" i="3" s="1"/>
  <c r="K59" i="3"/>
  <c r="L59" i="3" s="1"/>
  <c r="M59" i="3" s="1" a="1"/>
  <c r="M59" i="3" s="1"/>
  <c r="K58" i="3"/>
  <c r="L58" i="3" s="1"/>
  <c r="M58" i="3" s="1" a="1"/>
  <c r="M58" i="3" s="1"/>
  <c r="K57" i="3"/>
  <c r="L57" i="3" s="1"/>
  <c r="M57" i="3" s="1" a="1"/>
  <c r="M57" i="3" s="1"/>
  <c r="K56" i="3"/>
  <c r="L56" i="3" s="1"/>
  <c r="M56" i="3" s="1" a="1"/>
  <c r="M56" i="3" s="1"/>
  <c r="K55" i="3"/>
  <c r="L55" i="3" s="1"/>
  <c r="M55" i="3" s="1" a="1"/>
  <c r="M55" i="3" s="1"/>
  <c r="K54" i="3"/>
  <c r="L54" i="3" s="1"/>
  <c r="M54" i="3" s="1" a="1"/>
  <c r="M54" i="3" s="1"/>
  <c r="K53" i="3"/>
  <c r="L53" i="3" s="1"/>
  <c r="M53" i="3" s="1" a="1"/>
  <c r="M53" i="3" s="1"/>
  <c r="K52" i="3"/>
  <c r="L52" i="3" s="1"/>
  <c r="M52" i="3" s="1" a="1"/>
  <c r="M52" i="3" s="1"/>
  <c r="K51" i="3"/>
  <c r="L51" i="3" s="1"/>
  <c r="M51" i="3" s="1" a="1"/>
  <c r="M51" i="3" s="1"/>
  <c r="K50" i="3"/>
  <c r="L50" i="3" s="1"/>
  <c r="M50" i="3" s="1" a="1"/>
  <c r="M50" i="3" s="1"/>
  <c r="K49" i="3"/>
  <c r="L49" i="3" s="1"/>
  <c r="M49" i="3" s="1" a="1"/>
  <c r="M49" i="3" s="1"/>
  <c r="K48" i="3"/>
  <c r="L48" i="3" s="1"/>
  <c r="M48" i="3" s="1" a="1"/>
  <c r="M48" i="3" s="1"/>
  <c r="K47" i="3"/>
  <c r="L47" i="3" s="1"/>
  <c r="M47" i="3" s="1" a="1"/>
  <c r="M47" i="3" s="1"/>
  <c r="K46" i="3"/>
  <c r="L46" i="3" s="1"/>
  <c r="M46" i="3" s="1" a="1"/>
  <c r="M46" i="3" s="1"/>
  <c r="K45" i="3"/>
  <c r="L45" i="3" s="1"/>
  <c r="M45" i="3" s="1" a="1"/>
  <c r="M45" i="3" s="1"/>
  <c r="K44" i="3"/>
  <c r="L44" i="3" s="1"/>
  <c r="M44" i="3" s="1" a="1"/>
  <c r="M44" i="3" s="1"/>
  <c r="K43" i="3"/>
  <c r="L43" i="3" s="1"/>
  <c r="M43" i="3" s="1" a="1"/>
  <c r="M43" i="3" s="1"/>
  <c r="K42" i="3"/>
  <c r="L42" i="3" s="1"/>
  <c r="M42" i="3" s="1" a="1"/>
  <c r="M42" i="3" s="1"/>
  <c r="K41" i="3"/>
  <c r="L41" i="3" s="1"/>
  <c r="M41" i="3" s="1" a="1"/>
  <c r="M41" i="3" s="1"/>
  <c r="K40" i="3"/>
  <c r="L40" i="3" s="1"/>
  <c r="M40" i="3" s="1" a="1"/>
  <c r="M40" i="3" s="1"/>
  <c r="K39" i="3"/>
  <c r="L39" i="3" s="1"/>
  <c r="M39" i="3" s="1" a="1"/>
  <c r="M39" i="3" s="1"/>
  <c r="K38" i="3"/>
  <c r="L38" i="3" s="1"/>
  <c r="M38" i="3" s="1" a="1"/>
  <c r="M38" i="3" s="1"/>
  <c r="K37" i="3"/>
  <c r="L37" i="3" s="1"/>
  <c r="M37" i="3" s="1" a="1"/>
  <c r="M37" i="3" s="1"/>
  <c r="K36" i="3"/>
  <c r="L36" i="3" s="1"/>
  <c r="M36" i="3" s="1" a="1"/>
  <c r="M36" i="3" s="1"/>
  <c r="K35" i="3"/>
  <c r="L35" i="3" s="1"/>
  <c r="M35" i="3" s="1" a="1"/>
  <c r="M35" i="3" s="1"/>
  <c r="K34" i="3"/>
  <c r="L34" i="3" s="1"/>
  <c r="M34" i="3" s="1" a="1"/>
  <c r="M34" i="3" s="1"/>
  <c r="K33" i="3"/>
  <c r="L33" i="3" s="1"/>
  <c r="M33" i="3" s="1" a="1"/>
  <c r="M33" i="3" s="1"/>
  <c r="K32" i="3"/>
  <c r="L32" i="3" s="1"/>
  <c r="M32" i="3" s="1" a="1"/>
  <c r="M32" i="3" s="1"/>
  <c r="K31" i="3"/>
  <c r="L31" i="3" s="1"/>
  <c r="M31" i="3" s="1" a="1"/>
  <c r="M31" i="3" s="1"/>
  <c r="K30" i="3"/>
  <c r="L30" i="3" s="1"/>
  <c r="M30" i="3" s="1" a="1"/>
  <c r="M30" i="3" s="1"/>
  <c r="K29" i="3"/>
  <c r="L29" i="3" s="1"/>
  <c r="M29" i="3" s="1" a="1"/>
  <c r="M29" i="3" s="1"/>
  <c r="K28" i="3"/>
  <c r="L28" i="3" s="1"/>
  <c r="M28" i="3" s="1" a="1"/>
  <c r="M28" i="3" s="1"/>
  <c r="K27" i="3"/>
  <c r="L27" i="3" s="1"/>
  <c r="M27" i="3" s="1" a="1"/>
  <c r="M27" i="3" s="1"/>
  <c r="K26" i="3"/>
  <c r="L26" i="3" s="1"/>
  <c r="M26" i="3" s="1" a="1"/>
  <c r="M26" i="3" s="1"/>
  <c r="K25" i="3"/>
  <c r="L25" i="3" s="1"/>
  <c r="M25" i="3" s="1" a="1"/>
  <c r="M25" i="3" s="1"/>
  <c r="K24" i="3"/>
  <c r="L24" i="3" s="1"/>
  <c r="M24" i="3" s="1" a="1"/>
  <c r="M24" i="3" s="1"/>
  <c r="K23" i="3"/>
  <c r="L23" i="3" s="1"/>
  <c r="M23" i="3" s="1" a="1"/>
  <c r="M23" i="3" s="1"/>
  <c r="K22" i="3"/>
  <c r="L22" i="3" s="1"/>
  <c r="M22" i="3" s="1" a="1"/>
  <c r="M22" i="3" s="1"/>
  <c r="K21" i="3"/>
  <c r="L21" i="3" s="1"/>
  <c r="M21" i="3" s="1" a="1"/>
  <c r="M21" i="3" s="1"/>
  <c r="K20" i="3"/>
  <c r="L20" i="3" s="1"/>
  <c r="M20" i="3" s="1" a="1"/>
  <c r="M20" i="3" s="1"/>
  <c r="K19" i="3"/>
  <c r="L19" i="3" s="1"/>
  <c r="M19" i="3" s="1" a="1"/>
  <c r="M19" i="3" s="1"/>
  <c r="K18" i="3"/>
  <c r="L18" i="3" s="1"/>
  <c r="M18" i="3" s="1" a="1"/>
  <c r="M18" i="3" s="1"/>
  <c r="K17" i="3"/>
  <c r="L17" i="3" s="1"/>
  <c r="M17" i="3" s="1" a="1"/>
  <c r="M17" i="3" s="1"/>
  <c r="K16" i="3"/>
  <c r="L16" i="3" s="1"/>
  <c r="M16" i="3" s="1" a="1"/>
  <c r="M16" i="3" s="1"/>
  <c r="K15" i="3"/>
  <c r="L15" i="3" s="1"/>
  <c r="M15" i="3" s="1" a="1"/>
  <c r="M15" i="3" s="1"/>
  <c r="K14" i="3"/>
  <c r="L14" i="3" s="1"/>
  <c r="M14" i="3" s="1" a="1"/>
  <c r="M14" i="3" s="1"/>
  <c r="K13" i="3"/>
  <c r="L13" i="3" s="1"/>
  <c r="M13" i="3" s="1" a="1"/>
  <c r="M13" i="3" s="1"/>
  <c r="K12" i="3"/>
  <c r="L12" i="3" s="1"/>
  <c r="M12" i="3" s="1" a="1"/>
  <c r="M12" i="3" s="1"/>
  <c r="K11" i="3"/>
  <c r="L11" i="3" s="1"/>
  <c r="M11" i="3" s="1" a="1"/>
  <c r="M11" i="3" s="1"/>
  <c r="K10" i="3"/>
  <c r="L10" i="3" s="1"/>
  <c r="M10" i="3" s="1" a="1"/>
  <c r="M10" i="3" s="1"/>
  <c r="K9" i="3"/>
  <c r="L9" i="3" s="1"/>
  <c r="M9" i="3" s="1" a="1"/>
  <c r="M9" i="3" s="1"/>
  <c r="K8" i="3"/>
  <c r="L8" i="3" s="1"/>
  <c r="M8" i="3" s="1" a="1"/>
  <c r="M8" i="3" s="1"/>
  <c r="K7" i="3"/>
  <c r="L7" i="3" s="1"/>
  <c r="M7" i="3" s="1" a="1"/>
  <c r="M7" i="3" s="1"/>
  <c r="K6" i="3"/>
  <c r="L6" i="3" s="1"/>
  <c r="M6" i="3" s="1" a="1"/>
  <c r="M6" i="3" s="1"/>
  <c r="K5" i="3"/>
  <c r="L5" i="3" s="1"/>
  <c r="M5" i="3" s="1" a="1"/>
  <c r="M5" i="3" s="1"/>
  <c r="K4" i="3"/>
  <c r="L4" i="3" s="1"/>
  <c r="M4" i="3" s="1" a="1"/>
  <c r="M4" i="3" s="1"/>
  <c r="K890" i="3"/>
  <c r="L890" i="3" s="1"/>
  <c r="M890" i="3" s="1" a="1"/>
  <c r="M890" i="3" s="1"/>
  <c r="K889" i="3"/>
  <c r="L889" i="3" s="1"/>
  <c r="M889" i="3" s="1" a="1"/>
  <c r="M889" i="3" s="1"/>
  <c r="K888" i="3"/>
  <c r="L888" i="3" s="1"/>
  <c r="M888" i="3" s="1" a="1"/>
  <c r="M888" i="3" s="1"/>
  <c r="K887" i="3"/>
  <c r="L887" i="3" s="1"/>
  <c r="M887" i="3" s="1" a="1"/>
  <c r="M887" i="3" s="1"/>
  <c r="K886" i="3"/>
  <c r="L886" i="3" s="1"/>
  <c r="M886" i="3" s="1" a="1"/>
  <c r="M886" i="3" s="1"/>
  <c r="K885" i="3"/>
  <c r="L885" i="3" s="1"/>
  <c r="M885" i="3" s="1" a="1"/>
  <c r="M885" i="3" s="1"/>
  <c r="K884" i="3"/>
  <c r="L884" i="3" s="1"/>
  <c r="M884" i="3" s="1" a="1"/>
  <c r="M884" i="3" s="1"/>
  <c r="K883" i="3"/>
  <c r="L883" i="3" s="1"/>
  <c r="M883" i="3" s="1" a="1"/>
  <c r="M883" i="3" s="1"/>
  <c r="K882" i="3"/>
  <c r="L882" i="3" s="1"/>
  <c r="M882" i="3" s="1" a="1"/>
  <c r="M882" i="3" s="1"/>
  <c r="K881" i="3"/>
  <c r="L881" i="3" s="1"/>
  <c r="M881" i="3" s="1" a="1"/>
  <c r="M881" i="3" s="1"/>
  <c r="K880" i="3"/>
  <c r="L880" i="3" s="1"/>
  <c r="M880" i="3" s="1" a="1"/>
  <c r="M880" i="3" s="1"/>
  <c r="K879" i="3"/>
  <c r="L879" i="3" s="1"/>
  <c r="M879" i="3" s="1" a="1"/>
  <c r="M879" i="3" s="1"/>
  <c r="K878" i="3"/>
  <c r="L878" i="3" s="1"/>
  <c r="M878" i="3" s="1" a="1"/>
  <c r="M878" i="3" s="1"/>
  <c r="K877" i="3"/>
  <c r="L877" i="3" s="1"/>
  <c r="M877" i="3" s="1" a="1"/>
  <c r="M877" i="3" s="1"/>
  <c r="K876" i="3"/>
  <c r="L876" i="3" s="1"/>
  <c r="M876" i="3" s="1" a="1"/>
  <c r="M876" i="3" s="1"/>
  <c r="K875" i="3"/>
  <c r="L875" i="3" s="1"/>
  <c r="M875" i="3" s="1" a="1"/>
  <c r="M875" i="3" s="1"/>
  <c r="K874" i="3"/>
  <c r="L874" i="3" s="1"/>
  <c r="M874" i="3" s="1" a="1"/>
  <c r="M874" i="3" s="1"/>
  <c r="K873" i="3"/>
  <c r="L873" i="3" s="1"/>
  <c r="M873" i="3" s="1" a="1"/>
  <c r="M873" i="3" s="1"/>
  <c r="K872" i="3"/>
  <c r="L872" i="3" s="1"/>
  <c r="M872" i="3" s="1" a="1"/>
  <c r="M872" i="3" s="1"/>
  <c r="K871" i="3"/>
  <c r="L871" i="3" s="1"/>
  <c r="M871" i="3" s="1" a="1"/>
  <c r="M871" i="3" s="1"/>
  <c r="K870" i="3"/>
  <c r="L870" i="3" s="1"/>
  <c r="M870" i="3" s="1" a="1"/>
  <c r="M870" i="3" s="1"/>
  <c r="K869" i="3"/>
  <c r="L869" i="3" s="1"/>
  <c r="M869" i="3" s="1" a="1"/>
  <c r="M869" i="3" s="1"/>
  <c r="K868" i="3"/>
  <c r="L868" i="3" s="1"/>
  <c r="M868" i="3" s="1" a="1"/>
  <c r="M868" i="3" s="1"/>
  <c r="K867" i="3"/>
  <c r="L867" i="3" s="1"/>
  <c r="M867" i="3" s="1" a="1"/>
  <c r="M867" i="3" s="1"/>
  <c r="K866" i="3"/>
  <c r="L866" i="3" s="1"/>
  <c r="M866" i="3" s="1" a="1"/>
  <c r="M866" i="3" s="1"/>
  <c r="K865" i="3"/>
  <c r="L865" i="3" s="1"/>
  <c r="M865" i="3" s="1" a="1"/>
  <c r="M865" i="3" s="1"/>
  <c r="K864" i="3"/>
  <c r="L864" i="3" s="1"/>
  <c r="M864" i="3" s="1" a="1"/>
  <c r="M864" i="3" s="1"/>
  <c r="K863" i="3"/>
  <c r="L863" i="3" s="1"/>
  <c r="M863" i="3" s="1" a="1"/>
  <c r="M863" i="3" s="1"/>
  <c r="K862" i="3"/>
  <c r="L862" i="3" s="1"/>
  <c r="M862" i="3" s="1" a="1"/>
  <c r="M862" i="3" s="1"/>
  <c r="K861" i="3"/>
  <c r="L861" i="3" s="1"/>
  <c r="M861" i="3" s="1" a="1"/>
  <c r="M861" i="3" s="1"/>
  <c r="K860" i="3"/>
  <c r="L860" i="3" s="1"/>
  <c r="M860" i="3" s="1" a="1"/>
  <c r="M860" i="3" s="1"/>
  <c r="K859" i="3"/>
  <c r="L859" i="3" s="1"/>
  <c r="M859" i="3" s="1" a="1"/>
  <c r="M859" i="3" s="1"/>
  <c r="K858" i="3"/>
  <c r="L858" i="3" s="1"/>
  <c r="M858" i="3" s="1" a="1"/>
  <c r="M858" i="3" s="1"/>
  <c r="K857" i="3"/>
  <c r="L857" i="3" s="1"/>
  <c r="M857" i="3" s="1" a="1"/>
  <c r="M857" i="3" s="1"/>
  <c r="K856" i="3"/>
  <c r="L856" i="3" s="1"/>
  <c r="M856" i="3" s="1" a="1"/>
  <c r="M856" i="3" s="1"/>
  <c r="K855" i="3"/>
  <c r="L855" i="3" s="1"/>
  <c r="M855" i="3" s="1" a="1"/>
  <c r="M855" i="3" s="1"/>
  <c r="K854" i="3"/>
  <c r="L854" i="3" s="1"/>
  <c r="M854" i="3" s="1" a="1"/>
  <c r="M854" i="3" s="1"/>
  <c r="K853" i="3"/>
  <c r="L853" i="3" s="1"/>
  <c r="M853" i="3" s="1" a="1"/>
  <c r="M853" i="3" s="1"/>
  <c r="K852" i="3"/>
  <c r="L852" i="3" s="1"/>
  <c r="M852" i="3" s="1" a="1"/>
  <c r="M852" i="3" s="1"/>
  <c r="K851" i="3"/>
  <c r="L851" i="3" s="1"/>
  <c r="M851" i="3" s="1" a="1"/>
  <c r="M851" i="3" s="1"/>
  <c r="K850" i="3"/>
  <c r="L850" i="3" s="1"/>
  <c r="M850" i="3" s="1" a="1"/>
  <c r="M850" i="3" s="1"/>
  <c r="K849" i="3"/>
  <c r="L849" i="3" s="1"/>
  <c r="M849" i="3" s="1" a="1"/>
  <c r="M849" i="3" s="1"/>
  <c r="K848" i="3"/>
  <c r="L848" i="3" s="1"/>
  <c r="M848" i="3" s="1" a="1"/>
  <c r="M848" i="3" s="1"/>
  <c r="K847" i="3"/>
  <c r="L847" i="3" s="1"/>
  <c r="M847" i="3" s="1" a="1"/>
  <c r="M847" i="3" s="1"/>
  <c r="K846" i="3"/>
  <c r="L846" i="3" s="1"/>
  <c r="M846" i="3" s="1" a="1"/>
  <c r="M846" i="3" s="1"/>
  <c r="K845" i="3"/>
  <c r="L845" i="3" s="1"/>
  <c r="M845" i="3" s="1" a="1"/>
  <c r="M845" i="3" s="1"/>
  <c r="K844" i="3"/>
  <c r="L844" i="3" s="1"/>
  <c r="M844" i="3" s="1" a="1"/>
  <c r="M844" i="3" s="1"/>
  <c r="K843" i="3"/>
  <c r="L843" i="3" s="1"/>
  <c r="M843" i="3" s="1" a="1"/>
  <c r="M843" i="3" s="1"/>
  <c r="K842" i="3"/>
  <c r="L842" i="3" s="1"/>
  <c r="M842" i="3" s="1" a="1"/>
  <c r="M842" i="3" s="1"/>
  <c r="K841" i="3"/>
  <c r="L841" i="3" s="1"/>
  <c r="M841" i="3" s="1" a="1"/>
  <c r="M841" i="3" s="1"/>
  <c r="K840" i="3"/>
  <c r="L840" i="3" s="1"/>
  <c r="M840" i="3" s="1" a="1"/>
  <c r="M840" i="3" s="1"/>
  <c r="K839" i="3"/>
  <c r="L839" i="3" s="1"/>
  <c r="M839" i="3" s="1" a="1"/>
  <c r="M839" i="3" s="1"/>
  <c r="K838" i="3"/>
  <c r="L838" i="3" s="1"/>
  <c r="M838" i="3" s="1" a="1"/>
  <c r="M838" i="3" s="1"/>
  <c r="K837" i="3"/>
  <c r="L837" i="3" s="1"/>
  <c r="M837" i="3" s="1" a="1"/>
  <c r="M837" i="3" s="1"/>
  <c r="K836" i="3"/>
  <c r="L836" i="3" s="1"/>
  <c r="M836" i="3" s="1" a="1"/>
  <c r="M836" i="3" s="1"/>
  <c r="K835" i="3"/>
  <c r="L835" i="3" s="1"/>
  <c r="M835" i="3" s="1" a="1"/>
  <c r="M835" i="3" s="1"/>
  <c r="K834" i="3"/>
  <c r="L834" i="3" s="1"/>
  <c r="M834" i="3" s="1" a="1"/>
  <c r="M834" i="3" s="1"/>
  <c r="K833" i="3"/>
  <c r="L833" i="3" s="1"/>
  <c r="M833" i="3" s="1" a="1"/>
  <c r="M833" i="3" s="1"/>
  <c r="K832" i="3"/>
  <c r="L832" i="3" s="1"/>
  <c r="M832" i="3" s="1" a="1"/>
  <c r="M832" i="3" s="1"/>
  <c r="K831" i="3"/>
  <c r="L831" i="3" s="1"/>
  <c r="M831" i="3" s="1" a="1"/>
  <c r="M831" i="3" s="1"/>
  <c r="K830" i="3"/>
  <c r="L830" i="3" s="1"/>
  <c r="M830" i="3" s="1" a="1"/>
  <c r="M830" i="3" s="1"/>
  <c r="K829" i="3"/>
  <c r="L829" i="3" s="1"/>
  <c r="M829" i="3" s="1" a="1"/>
  <c r="M829" i="3" s="1"/>
  <c r="K828" i="3"/>
  <c r="L828" i="3" s="1"/>
  <c r="M828" i="3" s="1" a="1"/>
  <c r="M828" i="3" s="1"/>
  <c r="K827" i="3"/>
  <c r="L827" i="3" s="1"/>
  <c r="M827" i="3" s="1" a="1"/>
  <c r="M827" i="3" s="1"/>
  <c r="K826" i="3"/>
  <c r="L826" i="3" s="1"/>
  <c r="M826" i="3" s="1" a="1"/>
  <c r="M826" i="3" s="1"/>
  <c r="K825" i="3"/>
  <c r="L825" i="3" s="1"/>
  <c r="M825" i="3" s="1" a="1"/>
  <c r="M825" i="3" s="1"/>
  <c r="K824" i="3"/>
  <c r="L824" i="3" s="1"/>
  <c r="M824" i="3" s="1" a="1"/>
  <c r="M824" i="3" s="1"/>
  <c r="K823" i="3"/>
  <c r="L823" i="3" s="1"/>
  <c r="M823" i="3" s="1" a="1"/>
  <c r="M823" i="3" s="1"/>
  <c r="K822" i="3"/>
  <c r="L822" i="3" s="1"/>
  <c r="M822" i="3" s="1" a="1"/>
  <c r="M822" i="3" s="1"/>
  <c r="K821" i="3"/>
  <c r="L821" i="3" s="1"/>
  <c r="M821" i="3" s="1" a="1"/>
  <c r="M821" i="3" s="1"/>
  <c r="K820" i="3"/>
  <c r="L820" i="3" s="1"/>
  <c r="M820" i="3" s="1" a="1"/>
  <c r="M820" i="3" s="1"/>
  <c r="K819" i="3"/>
  <c r="L819" i="3" s="1"/>
  <c r="M819" i="3" s="1" a="1"/>
  <c r="M819" i="3" s="1"/>
  <c r="K818" i="3"/>
  <c r="L818" i="3" s="1"/>
  <c r="M818" i="3" s="1" a="1"/>
  <c r="M818" i="3" s="1"/>
  <c r="K817" i="3"/>
  <c r="L817" i="3" s="1"/>
  <c r="M817" i="3" s="1" a="1"/>
  <c r="M817" i="3" s="1"/>
  <c r="K816" i="3"/>
  <c r="L816" i="3" s="1"/>
  <c r="M816" i="3" s="1" a="1"/>
  <c r="M816" i="3" s="1"/>
  <c r="K815" i="3"/>
  <c r="L815" i="3" s="1"/>
  <c r="M815" i="3" s="1" a="1"/>
  <c r="M815" i="3" s="1"/>
  <c r="K814" i="3"/>
  <c r="L814" i="3" s="1"/>
  <c r="M814" i="3" s="1" a="1"/>
  <c r="M814" i="3" s="1"/>
  <c r="K813" i="3"/>
  <c r="L813" i="3" s="1"/>
  <c r="M813" i="3" s="1" a="1"/>
  <c r="M813" i="3" s="1"/>
  <c r="K812" i="3"/>
  <c r="L812" i="3" s="1"/>
  <c r="M812" i="3" s="1" a="1"/>
  <c r="M812" i="3" s="1"/>
  <c r="K811" i="3"/>
  <c r="L811" i="3" s="1"/>
  <c r="M811" i="3" s="1" a="1"/>
  <c r="M811" i="3" s="1"/>
  <c r="K810" i="3"/>
  <c r="L810" i="3" s="1"/>
  <c r="M810" i="3" s="1" a="1"/>
  <c r="M810" i="3" s="1"/>
  <c r="K809" i="3"/>
  <c r="L809" i="3" s="1"/>
  <c r="M809" i="3" s="1" a="1"/>
  <c r="M809" i="3" s="1"/>
  <c r="K808" i="3"/>
  <c r="L808" i="3" s="1"/>
  <c r="M808" i="3" s="1" a="1"/>
  <c r="M808" i="3" s="1"/>
  <c r="K807" i="3"/>
  <c r="L807" i="3" s="1"/>
  <c r="M807" i="3" s="1" a="1"/>
  <c r="M807" i="3" s="1"/>
  <c r="K806" i="3"/>
  <c r="L806" i="3" s="1"/>
  <c r="M806" i="3" s="1" a="1"/>
  <c r="M806" i="3" s="1"/>
  <c r="K805" i="3"/>
  <c r="L805" i="3" s="1"/>
  <c r="M805" i="3" s="1" a="1"/>
  <c r="M805" i="3" s="1"/>
  <c r="K804" i="3"/>
  <c r="L804" i="3" s="1"/>
  <c r="M804" i="3" s="1" a="1"/>
  <c r="M804" i="3" s="1"/>
  <c r="K803" i="3"/>
  <c r="L803" i="3" s="1"/>
  <c r="M803" i="3" s="1" a="1"/>
  <c r="M803" i="3" s="1"/>
  <c r="K802" i="3"/>
  <c r="L802" i="3" s="1"/>
  <c r="M802" i="3" s="1" a="1"/>
  <c r="M802" i="3" s="1"/>
  <c r="K801" i="3"/>
  <c r="L801" i="3" s="1"/>
  <c r="M801" i="3" s="1" a="1"/>
  <c r="M801" i="3" s="1"/>
  <c r="K800" i="3"/>
  <c r="L800" i="3" s="1"/>
  <c r="M800" i="3" s="1" a="1"/>
  <c r="M800" i="3" s="1"/>
  <c r="K799" i="3"/>
  <c r="L799" i="3" s="1"/>
  <c r="M799" i="3" s="1" a="1"/>
  <c r="M799" i="3" s="1"/>
  <c r="K798" i="3"/>
  <c r="L798" i="3" s="1"/>
  <c r="M798" i="3" s="1" a="1"/>
  <c r="M798" i="3" s="1"/>
  <c r="K797" i="3"/>
  <c r="L797" i="3" s="1"/>
  <c r="M797" i="3" s="1" a="1"/>
  <c r="M797" i="3" s="1"/>
  <c r="K796" i="3"/>
  <c r="L796" i="3" s="1"/>
  <c r="M796" i="3" s="1" a="1"/>
  <c r="M796" i="3" s="1"/>
  <c r="K795" i="3"/>
  <c r="L795" i="3" s="1"/>
  <c r="M795" i="3" s="1" a="1"/>
  <c r="M795" i="3" s="1"/>
  <c r="K794" i="3"/>
  <c r="L794" i="3" s="1"/>
  <c r="M794" i="3" s="1" a="1"/>
  <c r="M794" i="3" s="1"/>
  <c r="K793" i="3"/>
  <c r="L793" i="3" s="1"/>
  <c r="M793" i="3" s="1" a="1"/>
  <c r="M793" i="3" s="1"/>
  <c r="K792" i="3"/>
  <c r="L792" i="3" s="1"/>
  <c r="M792" i="3" s="1" a="1"/>
  <c r="M792" i="3" s="1"/>
  <c r="K791" i="3"/>
  <c r="L791" i="3" s="1"/>
  <c r="M791" i="3" s="1" a="1"/>
  <c r="M791" i="3" s="1"/>
  <c r="K790" i="3"/>
  <c r="L790" i="3" s="1"/>
  <c r="M790" i="3" s="1" a="1"/>
  <c r="M790" i="3" s="1"/>
  <c r="K789" i="3"/>
  <c r="L789" i="3" s="1"/>
  <c r="M789" i="3" s="1" a="1"/>
  <c r="M789" i="3" s="1"/>
  <c r="K788" i="3"/>
  <c r="L788" i="3" s="1"/>
  <c r="M788" i="3" s="1" a="1"/>
  <c r="M788" i="3" s="1"/>
  <c r="K787" i="3"/>
  <c r="L787" i="3" s="1"/>
  <c r="M787" i="3" s="1" a="1"/>
  <c r="M787" i="3" s="1"/>
  <c r="K786" i="3"/>
  <c r="L786" i="3" s="1"/>
  <c r="M786" i="3" s="1" a="1"/>
  <c r="M786" i="3" s="1"/>
  <c r="K785" i="3"/>
  <c r="L785" i="3" s="1"/>
  <c r="M785" i="3" s="1" a="1"/>
  <c r="M785" i="3" s="1"/>
  <c r="K784" i="3"/>
  <c r="L784" i="3" s="1"/>
  <c r="M784" i="3" s="1" a="1"/>
  <c r="M784" i="3" s="1"/>
  <c r="K783" i="3"/>
  <c r="L783" i="3" s="1"/>
  <c r="M783" i="3" s="1" a="1"/>
  <c r="M783" i="3" s="1"/>
  <c r="K782" i="3"/>
  <c r="L782" i="3" s="1"/>
  <c r="M782" i="3" s="1" a="1"/>
  <c r="M782" i="3" s="1"/>
  <c r="K781" i="3"/>
  <c r="L781" i="3" s="1"/>
  <c r="M781" i="3" s="1" a="1"/>
  <c r="M781" i="3" s="1"/>
  <c r="K780" i="3"/>
  <c r="L780" i="3" s="1"/>
  <c r="M780" i="3" s="1" a="1"/>
  <c r="M780" i="3" s="1"/>
  <c r="K779" i="3"/>
  <c r="L779" i="3" s="1"/>
  <c r="M779" i="3" s="1" a="1"/>
  <c r="M779" i="3" s="1"/>
  <c r="K778" i="3"/>
  <c r="L778" i="3" s="1"/>
  <c r="M778" i="3" s="1" a="1"/>
  <c r="M778" i="3" s="1"/>
  <c r="K777" i="3"/>
  <c r="L777" i="3" s="1"/>
  <c r="M777" i="3" s="1" a="1"/>
  <c r="M777" i="3" s="1"/>
  <c r="K776" i="3"/>
  <c r="L776" i="3" s="1"/>
  <c r="M776" i="3" s="1" a="1"/>
  <c r="M776" i="3" s="1"/>
  <c r="K775" i="3"/>
  <c r="L775" i="3" s="1"/>
  <c r="M775" i="3" s="1" a="1"/>
  <c r="M775" i="3" s="1"/>
  <c r="K774" i="3"/>
  <c r="L774" i="3" s="1"/>
  <c r="M774" i="3" s="1" a="1"/>
  <c r="M774" i="3" s="1"/>
  <c r="K773" i="3"/>
  <c r="L773" i="3" s="1"/>
  <c r="M773" i="3" s="1" a="1"/>
  <c r="M773" i="3" s="1"/>
  <c r="K772" i="3"/>
  <c r="L772" i="3" s="1"/>
  <c r="M772" i="3" s="1" a="1"/>
  <c r="M772" i="3" s="1"/>
  <c r="K771" i="3"/>
  <c r="L771" i="3" s="1"/>
  <c r="M771" i="3" s="1" a="1"/>
  <c r="M771" i="3" s="1"/>
  <c r="K770" i="3"/>
  <c r="L770" i="3" s="1"/>
  <c r="M770" i="3" s="1" a="1"/>
  <c r="M770" i="3" s="1"/>
  <c r="K769" i="3"/>
  <c r="L769" i="3" s="1"/>
  <c r="M769" i="3" s="1" a="1"/>
  <c r="M769" i="3" s="1"/>
  <c r="K768" i="3"/>
  <c r="L768" i="3" s="1"/>
  <c r="M768" i="3" s="1" a="1"/>
  <c r="M768" i="3" s="1"/>
  <c r="K767" i="3"/>
  <c r="L767" i="3" s="1"/>
  <c r="M767" i="3" s="1" a="1"/>
  <c r="M767" i="3" s="1"/>
  <c r="K766" i="3"/>
  <c r="L766" i="3" s="1"/>
  <c r="M766" i="3" s="1" a="1"/>
  <c r="M766" i="3" s="1"/>
  <c r="K765" i="3"/>
  <c r="L765" i="3" s="1"/>
  <c r="M765" i="3" s="1" a="1"/>
  <c r="M765" i="3" s="1"/>
  <c r="K764" i="3"/>
  <c r="L764" i="3" s="1"/>
  <c r="M764" i="3" s="1" a="1"/>
  <c r="M764" i="3" s="1"/>
  <c r="K763" i="3"/>
  <c r="L763" i="3" s="1"/>
  <c r="M763" i="3" s="1" a="1"/>
  <c r="M763" i="3" s="1"/>
  <c r="K762" i="3"/>
  <c r="L762" i="3" s="1"/>
  <c r="M762" i="3" s="1" a="1"/>
  <c r="M762" i="3" s="1"/>
  <c r="K761" i="3"/>
  <c r="L761" i="3" s="1"/>
  <c r="M761" i="3" s="1" a="1"/>
  <c r="M761" i="3" s="1"/>
  <c r="K760" i="3"/>
  <c r="L760" i="3" s="1"/>
  <c r="M760" i="3" s="1" a="1"/>
  <c r="M760" i="3" s="1"/>
  <c r="K759" i="3"/>
  <c r="L759" i="3" s="1"/>
  <c r="M759" i="3" s="1" a="1"/>
  <c r="M759" i="3" s="1"/>
  <c r="K758" i="3"/>
  <c r="L758" i="3" s="1"/>
  <c r="M758" i="3" s="1" a="1"/>
  <c r="M758" i="3" s="1"/>
  <c r="K757" i="3"/>
  <c r="L757" i="3" s="1"/>
  <c r="M757" i="3" s="1" a="1"/>
  <c r="M757" i="3" s="1"/>
  <c r="K756" i="3"/>
  <c r="L756" i="3" s="1"/>
  <c r="M756" i="3" s="1" a="1"/>
  <c r="M756" i="3" s="1"/>
  <c r="K755" i="3"/>
  <c r="L755" i="3" s="1"/>
  <c r="M755" i="3" s="1" a="1"/>
  <c r="M755" i="3" s="1"/>
  <c r="K754" i="3"/>
  <c r="L754" i="3" s="1"/>
  <c r="M754" i="3" s="1" a="1"/>
  <c r="M754" i="3" s="1"/>
  <c r="K753" i="3"/>
  <c r="L753" i="3" s="1"/>
  <c r="M753" i="3" s="1" a="1"/>
  <c r="M753" i="3" s="1"/>
  <c r="K752" i="3"/>
  <c r="L752" i="3" s="1"/>
  <c r="M752" i="3" s="1" a="1"/>
  <c r="M752" i="3" s="1"/>
  <c r="K751" i="3"/>
  <c r="L751" i="3" s="1"/>
  <c r="M751" i="3" s="1" a="1"/>
  <c r="M751" i="3" s="1"/>
  <c r="K750" i="3"/>
  <c r="L750" i="3" s="1"/>
  <c r="M750" i="3" s="1" a="1"/>
  <c r="M750" i="3" s="1"/>
  <c r="K749" i="3"/>
  <c r="L749" i="3" s="1"/>
  <c r="M749" i="3" s="1" a="1"/>
  <c r="M749" i="3" s="1"/>
  <c r="K748" i="3"/>
  <c r="L748" i="3" s="1"/>
  <c r="M748" i="3" s="1" a="1"/>
  <c r="M748" i="3" s="1"/>
  <c r="K747" i="3"/>
  <c r="L747" i="3" s="1"/>
  <c r="M747" i="3" s="1" a="1"/>
  <c r="M747" i="3" s="1"/>
  <c r="K746" i="3"/>
  <c r="L746" i="3" s="1"/>
  <c r="M746" i="3" s="1" a="1"/>
  <c r="M746" i="3" s="1"/>
  <c r="K745" i="3"/>
  <c r="L745" i="3" s="1"/>
  <c r="M745" i="3" s="1" a="1"/>
  <c r="M745" i="3" s="1"/>
  <c r="K744" i="3"/>
  <c r="L744" i="3" s="1"/>
  <c r="M744" i="3" s="1" a="1"/>
  <c r="M744" i="3" s="1"/>
  <c r="K743" i="3"/>
  <c r="L743" i="3" s="1"/>
  <c r="M743" i="3" s="1" a="1"/>
  <c r="M743" i="3" s="1"/>
  <c r="K742" i="3"/>
  <c r="L742" i="3" s="1"/>
  <c r="M742" i="3" s="1" a="1"/>
  <c r="M742" i="3" s="1"/>
  <c r="K741" i="3"/>
  <c r="L741" i="3" s="1"/>
  <c r="M741" i="3" s="1" a="1"/>
  <c r="M741" i="3" s="1"/>
  <c r="K740" i="3"/>
  <c r="L740" i="3" s="1"/>
  <c r="M740" i="3" s="1" a="1"/>
  <c r="M740" i="3" s="1"/>
  <c r="K739" i="3"/>
  <c r="L739" i="3" s="1"/>
  <c r="M739" i="3" s="1" a="1"/>
  <c r="M739" i="3" s="1"/>
  <c r="K738" i="3"/>
  <c r="L738" i="3" s="1"/>
  <c r="M738" i="3" s="1" a="1"/>
  <c r="M738" i="3" s="1"/>
  <c r="K737" i="3"/>
  <c r="L737" i="3" s="1"/>
  <c r="M737" i="3" s="1" a="1"/>
  <c r="M737" i="3" s="1"/>
  <c r="K736" i="3"/>
  <c r="L736" i="3" s="1"/>
  <c r="M736" i="3" s="1" a="1"/>
  <c r="M736" i="3" s="1"/>
  <c r="K735" i="3"/>
  <c r="L735" i="3" s="1"/>
  <c r="M735" i="3" s="1" a="1"/>
  <c r="M735" i="3" s="1"/>
  <c r="K734" i="3"/>
  <c r="L734" i="3" s="1"/>
  <c r="M734" i="3" s="1" a="1"/>
  <c r="M734" i="3" s="1"/>
  <c r="K733" i="3"/>
  <c r="L733" i="3" s="1"/>
  <c r="M733" i="3" s="1" a="1"/>
  <c r="M733" i="3" s="1"/>
  <c r="K732" i="3"/>
  <c r="L732" i="3" s="1"/>
  <c r="M732" i="3" s="1" a="1"/>
  <c r="M732" i="3" s="1"/>
  <c r="K731" i="3"/>
  <c r="L731" i="3" s="1"/>
  <c r="M731" i="3" s="1" a="1"/>
  <c r="M731" i="3" s="1"/>
  <c r="K730" i="3"/>
  <c r="L730" i="3" s="1"/>
  <c r="M730" i="3" s="1" a="1"/>
  <c r="M730" i="3" s="1"/>
  <c r="K729" i="3"/>
  <c r="L729" i="3" s="1"/>
  <c r="M729" i="3" s="1" a="1"/>
  <c r="M729" i="3" s="1"/>
  <c r="K728" i="3"/>
  <c r="L728" i="3" s="1"/>
  <c r="M728" i="3" s="1" a="1"/>
  <c r="M728" i="3" s="1"/>
  <c r="K727" i="3"/>
  <c r="L727" i="3" s="1"/>
  <c r="M727" i="3" s="1" a="1"/>
  <c r="M727" i="3" s="1"/>
  <c r="K726" i="3"/>
  <c r="L726" i="3" s="1"/>
  <c r="M726" i="3" s="1" a="1"/>
  <c r="M726" i="3" s="1"/>
  <c r="K725" i="3"/>
  <c r="L725" i="3" s="1"/>
  <c r="M725" i="3" s="1" a="1"/>
  <c r="M725" i="3" s="1"/>
  <c r="K724" i="3"/>
  <c r="L724" i="3" s="1"/>
  <c r="M724" i="3" s="1" a="1"/>
  <c r="M724" i="3" s="1"/>
  <c r="K723" i="3"/>
  <c r="L723" i="3" s="1"/>
  <c r="M723" i="3" s="1" a="1"/>
  <c r="M723" i="3" s="1"/>
  <c r="K722" i="3"/>
  <c r="L722" i="3" s="1"/>
  <c r="M722" i="3" s="1" a="1"/>
  <c r="M722" i="3" s="1"/>
  <c r="K721" i="3"/>
  <c r="L721" i="3" s="1"/>
  <c r="M721" i="3" s="1" a="1"/>
  <c r="M721" i="3" s="1"/>
  <c r="K720" i="3"/>
  <c r="L720" i="3" s="1"/>
  <c r="M720" i="3" s="1" a="1"/>
  <c r="M720" i="3" s="1"/>
  <c r="K719" i="3"/>
  <c r="L719" i="3" s="1"/>
  <c r="M719" i="3" s="1" a="1"/>
  <c r="M719" i="3" s="1"/>
  <c r="K718" i="3"/>
  <c r="L718" i="3" s="1"/>
  <c r="M718" i="3" s="1" a="1"/>
  <c r="M718" i="3" s="1"/>
  <c r="K717" i="3"/>
  <c r="L717" i="3" s="1"/>
  <c r="M717" i="3" s="1" a="1"/>
  <c r="M717" i="3" s="1"/>
  <c r="K716" i="3"/>
  <c r="L716" i="3" s="1"/>
  <c r="M716" i="3" s="1" a="1"/>
  <c r="M716" i="3" s="1"/>
  <c r="K715" i="3"/>
  <c r="L715" i="3" s="1"/>
  <c r="M715" i="3" s="1" a="1"/>
  <c r="M715" i="3" s="1"/>
  <c r="K714" i="3"/>
  <c r="L714" i="3" s="1"/>
  <c r="M714" i="3" s="1" a="1"/>
  <c r="M714" i="3" s="1"/>
  <c r="K713" i="3"/>
  <c r="L713" i="3" s="1"/>
  <c r="M713" i="3" s="1" a="1"/>
  <c r="M713" i="3" s="1"/>
  <c r="K712" i="3"/>
  <c r="L712" i="3" s="1"/>
  <c r="M712" i="3" s="1" a="1"/>
  <c r="M712" i="3" s="1"/>
  <c r="K711" i="3"/>
  <c r="L711" i="3" s="1"/>
  <c r="M711" i="3" s="1" a="1"/>
  <c r="M711" i="3" s="1"/>
  <c r="K710" i="3"/>
  <c r="L710" i="3" s="1"/>
  <c r="M710" i="3" s="1" a="1"/>
  <c r="M710" i="3" s="1"/>
  <c r="K709" i="3"/>
  <c r="L709" i="3" s="1"/>
  <c r="M709" i="3" s="1" a="1"/>
  <c r="M709" i="3" s="1"/>
  <c r="K708" i="3"/>
  <c r="L708" i="3" s="1"/>
  <c r="M708" i="3" s="1" a="1"/>
  <c r="M708" i="3" s="1"/>
  <c r="K707" i="3"/>
  <c r="L707" i="3" s="1"/>
  <c r="M707" i="3" s="1" a="1"/>
  <c r="M707" i="3" s="1"/>
  <c r="K706" i="3"/>
  <c r="L706" i="3" s="1"/>
  <c r="M706" i="3" s="1" a="1"/>
  <c r="M706" i="3" s="1"/>
  <c r="K705" i="3"/>
  <c r="L705" i="3" s="1"/>
  <c r="M705" i="3" s="1" a="1"/>
  <c r="M705" i="3" s="1"/>
  <c r="K704" i="3"/>
  <c r="L704" i="3" s="1"/>
  <c r="M704" i="3" s="1" a="1"/>
  <c r="M704" i="3" s="1"/>
  <c r="K703" i="3"/>
  <c r="L703" i="3" s="1"/>
  <c r="M703" i="3" s="1" a="1"/>
  <c r="M703" i="3" s="1"/>
  <c r="K702" i="3"/>
  <c r="L702" i="3" s="1"/>
  <c r="M702" i="3" s="1" a="1"/>
  <c r="M702" i="3" s="1"/>
  <c r="K701" i="3"/>
  <c r="L701" i="3" s="1"/>
  <c r="M701" i="3" s="1" a="1"/>
  <c r="M701" i="3" s="1"/>
  <c r="K700" i="3"/>
  <c r="L700" i="3" s="1"/>
  <c r="M700" i="3" s="1" a="1"/>
  <c r="M700" i="3" s="1"/>
  <c r="K699" i="3"/>
  <c r="L699" i="3" s="1"/>
  <c r="M699" i="3" s="1" a="1"/>
  <c r="M699" i="3" s="1"/>
  <c r="K698" i="3"/>
  <c r="L698" i="3" s="1"/>
  <c r="M698" i="3" s="1" a="1"/>
  <c r="M698" i="3" s="1"/>
  <c r="K697" i="3"/>
  <c r="L697" i="3" s="1"/>
  <c r="M697" i="3" s="1" a="1"/>
  <c r="M697" i="3" s="1"/>
  <c r="K696" i="3"/>
  <c r="L696" i="3" s="1"/>
  <c r="M696" i="3" s="1" a="1"/>
  <c r="M696" i="3" s="1"/>
  <c r="K695" i="3"/>
  <c r="L695" i="3" s="1"/>
  <c r="M695" i="3" s="1" a="1"/>
  <c r="M695" i="3" s="1"/>
  <c r="K694" i="3"/>
  <c r="L694" i="3" s="1"/>
  <c r="M694" i="3" s="1" a="1"/>
  <c r="M694" i="3" s="1"/>
  <c r="K693" i="3"/>
  <c r="L693" i="3" s="1"/>
  <c r="M693" i="3" s="1" a="1"/>
  <c r="M693" i="3" s="1"/>
  <c r="K692" i="3"/>
  <c r="L692" i="3" s="1"/>
  <c r="M692" i="3" s="1" a="1"/>
  <c r="M692" i="3" s="1"/>
  <c r="K691" i="3"/>
  <c r="L691" i="3" s="1"/>
  <c r="M691" i="3" s="1" a="1"/>
  <c r="M691" i="3" s="1"/>
  <c r="K690" i="3"/>
  <c r="L690" i="3" s="1"/>
  <c r="M690" i="3" s="1" a="1"/>
  <c r="M690" i="3" s="1"/>
  <c r="K689" i="3"/>
  <c r="L689" i="3" s="1"/>
  <c r="M689" i="3" s="1" a="1"/>
  <c r="M689" i="3" s="1"/>
  <c r="K688" i="3"/>
  <c r="L688" i="3" s="1"/>
  <c r="M688" i="3" s="1" a="1"/>
  <c r="M688" i="3" s="1"/>
  <c r="K687" i="3"/>
  <c r="L687" i="3" s="1"/>
  <c r="M687" i="3" s="1" a="1"/>
  <c r="M687" i="3" s="1"/>
  <c r="K686" i="3"/>
  <c r="L686" i="3" s="1"/>
  <c r="M686" i="3" s="1" a="1"/>
  <c r="M686" i="3" s="1"/>
  <c r="K685" i="3"/>
  <c r="L685" i="3" s="1"/>
  <c r="M685" i="3" s="1" a="1"/>
  <c r="M685" i="3" s="1"/>
  <c r="K684" i="3"/>
  <c r="L684" i="3" s="1"/>
  <c r="M684" i="3" s="1" a="1"/>
  <c r="M684" i="3" s="1"/>
  <c r="K683" i="3"/>
  <c r="L683" i="3" s="1"/>
  <c r="M683" i="3" s="1" a="1"/>
  <c r="M683" i="3" s="1"/>
  <c r="K682" i="3"/>
  <c r="L682" i="3" s="1"/>
  <c r="M682" i="3" s="1" a="1"/>
  <c r="M682" i="3" s="1"/>
  <c r="K681" i="3"/>
  <c r="L681" i="3" s="1"/>
  <c r="M681" i="3" s="1" a="1"/>
  <c r="M681" i="3" s="1"/>
  <c r="K680" i="3"/>
  <c r="L680" i="3" s="1"/>
  <c r="M680" i="3" s="1" a="1"/>
  <c r="M680" i="3" s="1"/>
  <c r="K679" i="3"/>
  <c r="L679" i="3" s="1"/>
  <c r="M679" i="3" s="1" a="1"/>
  <c r="M679" i="3" s="1"/>
  <c r="K678" i="3"/>
  <c r="L678" i="3" s="1"/>
  <c r="M678" i="3" s="1" a="1"/>
  <c r="M678" i="3" s="1"/>
  <c r="K677" i="3"/>
  <c r="L677" i="3" s="1"/>
  <c r="M677" i="3" s="1" a="1"/>
  <c r="M677" i="3" s="1"/>
  <c r="K676" i="3"/>
  <c r="L676" i="3" s="1"/>
  <c r="M676" i="3" s="1" a="1"/>
  <c r="M676" i="3" s="1"/>
  <c r="K675" i="3"/>
  <c r="L675" i="3" s="1"/>
  <c r="M675" i="3" s="1" a="1"/>
  <c r="M675" i="3" s="1"/>
  <c r="K674" i="3"/>
  <c r="L674" i="3" s="1"/>
  <c r="M674" i="3" s="1" a="1"/>
  <c r="M674" i="3" s="1"/>
  <c r="K673" i="3"/>
  <c r="L673" i="3" s="1"/>
  <c r="M673" i="3" s="1" a="1"/>
  <c r="M673" i="3" s="1"/>
  <c r="K672" i="3"/>
  <c r="L672" i="3" s="1"/>
  <c r="M672" i="3" s="1" a="1"/>
  <c r="M672" i="3" s="1"/>
  <c r="K671" i="3"/>
  <c r="L671" i="3" s="1"/>
  <c r="M671" i="3" s="1" a="1"/>
  <c r="M671" i="3" s="1"/>
  <c r="K670" i="3"/>
  <c r="L670" i="3" s="1"/>
  <c r="M670" i="3" s="1" a="1"/>
  <c r="M670" i="3" s="1"/>
  <c r="K669" i="3"/>
  <c r="L669" i="3" s="1"/>
  <c r="M669" i="3" s="1" a="1"/>
  <c r="M669" i="3" s="1"/>
  <c r="K668" i="3"/>
  <c r="L668" i="3" s="1"/>
  <c r="M668" i="3" s="1" a="1"/>
  <c r="M668" i="3" s="1"/>
  <c r="K667" i="3"/>
  <c r="L667" i="3" s="1"/>
  <c r="M667" i="3" s="1" a="1"/>
  <c r="M667" i="3" s="1"/>
  <c r="K666" i="3"/>
  <c r="L666" i="3" s="1"/>
  <c r="M666" i="3" s="1" a="1"/>
  <c r="M666" i="3" s="1"/>
  <c r="K665" i="3"/>
  <c r="L665" i="3" s="1"/>
  <c r="M665" i="3" s="1" a="1"/>
  <c r="M665" i="3" s="1"/>
  <c r="K664" i="3"/>
  <c r="L664" i="3" s="1"/>
  <c r="M664" i="3" s="1" a="1"/>
  <c r="M664" i="3" s="1"/>
  <c r="K663" i="3"/>
  <c r="L663" i="3" s="1"/>
  <c r="M663" i="3" s="1" a="1"/>
  <c r="M663" i="3" s="1"/>
  <c r="K662" i="3"/>
  <c r="L662" i="3" s="1"/>
  <c r="M662" i="3" s="1" a="1"/>
  <c r="M662" i="3" s="1"/>
  <c r="K661" i="3"/>
  <c r="L661" i="3" s="1"/>
  <c r="M661" i="3" s="1" a="1"/>
  <c r="M661" i="3" s="1"/>
  <c r="K660" i="3"/>
  <c r="L660" i="3" s="1"/>
  <c r="M660" i="3" s="1" a="1"/>
  <c r="M660" i="3" s="1"/>
  <c r="K659" i="3"/>
  <c r="L659" i="3" s="1"/>
  <c r="M659" i="3" s="1" a="1"/>
  <c r="M659" i="3" s="1"/>
  <c r="K658" i="3"/>
  <c r="L658" i="3" s="1"/>
  <c r="M658" i="3" s="1" a="1"/>
  <c r="M658" i="3" s="1"/>
  <c r="K657" i="3"/>
  <c r="L657" i="3" s="1"/>
  <c r="M657" i="3" s="1" a="1"/>
  <c r="M657" i="3" s="1"/>
  <c r="K656" i="3"/>
  <c r="L656" i="3" s="1"/>
  <c r="M656" i="3" s="1" a="1"/>
  <c r="M656" i="3" s="1"/>
  <c r="K655" i="3"/>
  <c r="L655" i="3" s="1"/>
  <c r="M655" i="3" s="1" a="1"/>
  <c r="M655" i="3" s="1"/>
  <c r="K654" i="3"/>
  <c r="L654" i="3" s="1"/>
  <c r="M654" i="3" s="1" a="1"/>
  <c r="M654" i="3" s="1"/>
  <c r="K653" i="3"/>
  <c r="L653" i="3" s="1"/>
  <c r="M653" i="3" s="1" a="1"/>
  <c r="M653" i="3" s="1"/>
  <c r="K652" i="3"/>
  <c r="L652" i="3" s="1"/>
  <c r="M652" i="3" s="1" a="1"/>
  <c r="M652" i="3" s="1"/>
  <c r="K651" i="3"/>
  <c r="L651" i="3" s="1"/>
  <c r="M651" i="3" s="1" a="1"/>
  <c r="M651" i="3" s="1"/>
  <c r="K650" i="3"/>
  <c r="L650" i="3" s="1"/>
  <c r="M650" i="3" s="1" a="1"/>
  <c r="M650" i="3" s="1"/>
  <c r="K649" i="3"/>
  <c r="L649" i="3" s="1"/>
  <c r="M649" i="3" s="1" a="1"/>
  <c r="M649" i="3" s="1"/>
  <c r="K648" i="3"/>
  <c r="L648" i="3" s="1"/>
  <c r="M648" i="3" s="1" a="1"/>
  <c r="M648" i="3" s="1"/>
  <c r="K647" i="3"/>
  <c r="L647" i="3" s="1"/>
  <c r="M647" i="3" s="1" a="1"/>
  <c r="M647" i="3" s="1"/>
  <c r="K646" i="3"/>
  <c r="L646" i="3" s="1"/>
  <c r="M646" i="3" s="1" a="1"/>
  <c r="M646" i="3" s="1"/>
  <c r="K645" i="3"/>
  <c r="L645" i="3" s="1"/>
  <c r="M645" i="3" s="1" a="1"/>
  <c r="M645" i="3" s="1"/>
  <c r="K644" i="3"/>
  <c r="L644" i="3" s="1"/>
  <c r="M644" i="3" s="1" a="1"/>
  <c r="M644" i="3" s="1"/>
  <c r="K643" i="3"/>
  <c r="L643" i="3" s="1"/>
  <c r="M643" i="3" s="1" a="1"/>
  <c r="M643" i="3" s="1"/>
  <c r="K642" i="3"/>
  <c r="L642" i="3" s="1"/>
  <c r="M642" i="3" s="1" a="1"/>
  <c r="M642" i="3" s="1"/>
  <c r="K641" i="3"/>
  <c r="L641" i="3" s="1"/>
  <c r="M641" i="3" s="1" a="1"/>
  <c r="M641" i="3" s="1"/>
  <c r="K640" i="3"/>
  <c r="L640" i="3" s="1"/>
  <c r="M640" i="3" s="1" a="1"/>
  <c r="M640" i="3" s="1"/>
  <c r="K639" i="3"/>
  <c r="L639" i="3" s="1"/>
  <c r="M639" i="3" s="1" a="1"/>
  <c r="M639" i="3" s="1"/>
  <c r="K638" i="3"/>
  <c r="L638" i="3" s="1"/>
  <c r="M638" i="3" s="1" a="1"/>
  <c r="M638" i="3" s="1"/>
  <c r="K637" i="3"/>
  <c r="L637" i="3" s="1"/>
  <c r="M637" i="3" s="1" a="1"/>
  <c r="M637" i="3" s="1"/>
  <c r="K636" i="3"/>
  <c r="L636" i="3" s="1"/>
  <c r="M636" i="3" s="1" a="1"/>
  <c r="M636" i="3" s="1"/>
  <c r="K635" i="3"/>
  <c r="L635" i="3" s="1"/>
  <c r="M635" i="3" s="1" a="1"/>
  <c r="M635" i="3" s="1"/>
  <c r="K634" i="3"/>
  <c r="L634" i="3" s="1"/>
  <c r="M634" i="3" s="1" a="1"/>
  <c r="M634" i="3" s="1"/>
  <c r="K633" i="3"/>
  <c r="L633" i="3" s="1"/>
  <c r="M633" i="3" s="1" a="1"/>
  <c r="M633" i="3" s="1"/>
  <c r="K632" i="3"/>
  <c r="L632" i="3" s="1"/>
  <c r="M632" i="3" s="1" a="1"/>
  <c r="M632" i="3" s="1"/>
  <c r="K631" i="3"/>
  <c r="L631" i="3" s="1"/>
  <c r="M631" i="3" s="1" a="1"/>
  <c r="M631" i="3" s="1"/>
  <c r="K630" i="3"/>
  <c r="L630" i="3" s="1"/>
  <c r="M630" i="3" s="1" a="1"/>
  <c r="M630" i="3" s="1"/>
  <c r="K629" i="3"/>
  <c r="L629" i="3" s="1"/>
  <c r="M629" i="3" s="1" a="1"/>
  <c r="M629" i="3" s="1"/>
  <c r="K628" i="3"/>
  <c r="L628" i="3" s="1"/>
  <c r="M628" i="3" s="1" a="1"/>
  <c r="M628" i="3" s="1"/>
  <c r="K627" i="3"/>
  <c r="L627" i="3" s="1"/>
  <c r="M627" i="3" s="1" a="1"/>
  <c r="M627" i="3" s="1"/>
  <c r="K626" i="3"/>
  <c r="L626" i="3" s="1"/>
  <c r="M626" i="3" s="1" a="1"/>
  <c r="M626" i="3" s="1"/>
  <c r="K625" i="3"/>
  <c r="L625" i="3" s="1"/>
  <c r="M625" i="3" s="1" a="1"/>
  <c r="M625" i="3" s="1"/>
  <c r="K624" i="3"/>
  <c r="L624" i="3" s="1"/>
  <c r="M624" i="3" s="1" a="1"/>
  <c r="M624" i="3" s="1"/>
  <c r="K623" i="3"/>
  <c r="L623" i="3" s="1"/>
  <c r="M623" i="3" s="1" a="1"/>
  <c r="M623" i="3" s="1"/>
  <c r="K622" i="3"/>
  <c r="L622" i="3" s="1"/>
  <c r="M622" i="3" s="1" a="1"/>
  <c r="M622" i="3" s="1"/>
  <c r="K621" i="3"/>
  <c r="L621" i="3" s="1"/>
  <c r="M621" i="3" s="1" a="1"/>
  <c r="M621" i="3" s="1"/>
  <c r="K620" i="3"/>
  <c r="L620" i="3" s="1"/>
  <c r="M620" i="3" s="1" a="1"/>
  <c r="M620" i="3" s="1"/>
  <c r="K619" i="3"/>
  <c r="L619" i="3" s="1"/>
  <c r="M619" i="3" s="1" a="1"/>
  <c r="M619" i="3" s="1"/>
  <c r="K618" i="3"/>
  <c r="L618" i="3" s="1"/>
  <c r="M618" i="3" s="1" a="1"/>
  <c r="M618" i="3" s="1"/>
  <c r="K617" i="3"/>
  <c r="L617" i="3" s="1"/>
  <c r="M617" i="3" s="1" a="1"/>
  <c r="M617" i="3" s="1"/>
  <c r="K616" i="3"/>
  <c r="L616" i="3" s="1"/>
  <c r="M616" i="3" s="1" a="1"/>
  <c r="M616" i="3" s="1"/>
  <c r="K615" i="3"/>
  <c r="L615" i="3" s="1"/>
  <c r="M615" i="3" s="1" a="1"/>
  <c r="M615" i="3" s="1"/>
  <c r="K614" i="3"/>
  <c r="L614" i="3" s="1"/>
  <c r="M614" i="3" s="1" a="1"/>
  <c r="M614" i="3" s="1"/>
  <c r="K613" i="3"/>
  <c r="L613" i="3" s="1"/>
  <c r="M613" i="3" s="1" a="1"/>
  <c r="M613" i="3" s="1"/>
  <c r="K612" i="3"/>
  <c r="L612" i="3" s="1"/>
  <c r="M612" i="3" s="1" a="1"/>
  <c r="M612" i="3" s="1"/>
  <c r="K611" i="3"/>
  <c r="L611" i="3" s="1"/>
  <c r="M611" i="3" s="1" a="1"/>
  <c r="M611" i="3" s="1"/>
  <c r="K610" i="3"/>
  <c r="L610" i="3" s="1"/>
  <c r="M610" i="3" s="1" a="1"/>
  <c r="M610" i="3" s="1"/>
  <c r="K609" i="3"/>
  <c r="L609" i="3" s="1"/>
  <c r="M609" i="3" s="1" a="1"/>
  <c r="M609" i="3" s="1"/>
  <c r="K608" i="3"/>
  <c r="L608" i="3" s="1"/>
  <c r="M608" i="3" s="1" a="1"/>
  <c r="M608" i="3" s="1"/>
  <c r="K607" i="3"/>
  <c r="L607" i="3" s="1"/>
  <c r="M607" i="3" s="1" a="1"/>
  <c r="M607" i="3" s="1"/>
  <c r="K606" i="3"/>
  <c r="L606" i="3" s="1"/>
  <c r="M606" i="3" s="1" a="1"/>
  <c r="M606" i="3" s="1"/>
  <c r="K605" i="3"/>
  <c r="L605" i="3" s="1"/>
  <c r="M605" i="3" s="1" a="1"/>
  <c r="M605" i="3" s="1"/>
  <c r="K604" i="3"/>
  <c r="L604" i="3" s="1"/>
  <c r="M604" i="3" s="1" a="1"/>
  <c r="M604" i="3" s="1"/>
  <c r="K603" i="3"/>
  <c r="L603" i="3" s="1"/>
  <c r="M603" i="3" s="1" a="1"/>
  <c r="M603" i="3" s="1"/>
  <c r="K602" i="3"/>
  <c r="L602" i="3" s="1"/>
  <c r="M602" i="3" s="1" a="1"/>
  <c r="M602" i="3" s="1"/>
  <c r="K601" i="3"/>
  <c r="L601" i="3" s="1"/>
  <c r="M601" i="3" s="1" a="1"/>
  <c r="M601" i="3" s="1"/>
  <c r="K600" i="3"/>
  <c r="L600" i="3" s="1"/>
  <c r="M600" i="3" s="1" a="1"/>
  <c r="M600" i="3" s="1"/>
  <c r="K599" i="3"/>
  <c r="L599" i="3" s="1"/>
  <c r="M599" i="3" s="1" a="1"/>
  <c r="M599" i="3" s="1"/>
  <c r="K598" i="3"/>
  <c r="L598" i="3" s="1"/>
  <c r="M598" i="3" s="1" a="1"/>
  <c r="M598" i="3" s="1"/>
  <c r="K597" i="3"/>
  <c r="L597" i="3" s="1"/>
  <c r="M597" i="3" s="1" a="1"/>
  <c r="M597" i="3" s="1"/>
  <c r="K596" i="3"/>
  <c r="L596" i="3" s="1"/>
  <c r="M596" i="3" s="1" a="1"/>
  <c r="M596" i="3" s="1"/>
  <c r="K595" i="3"/>
  <c r="L595" i="3" s="1"/>
  <c r="M595" i="3" s="1" a="1"/>
  <c r="M595" i="3" s="1"/>
  <c r="K594" i="3"/>
  <c r="L594" i="3" s="1"/>
  <c r="M594" i="3" s="1" a="1"/>
  <c r="M594" i="3" s="1"/>
  <c r="K593" i="3"/>
  <c r="L593" i="3" s="1"/>
  <c r="M593" i="3" s="1" a="1"/>
  <c r="M593" i="3" s="1"/>
  <c r="K592" i="3"/>
  <c r="L592" i="3" s="1"/>
  <c r="M592" i="3" s="1" a="1"/>
  <c r="M592" i="3" s="1"/>
  <c r="K591" i="3"/>
  <c r="L591" i="3" s="1"/>
  <c r="M591" i="3" s="1" a="1"/>
  <c r="M591" i="3" s="1"/>
  <c r="K590" i="3"/>
  <c r="L590" i="3" s="1"/>
  <c r="M590" i="3" s="1" a="1"/>
  <c r="M590" i="3" s="1"/>
  <c r="K589" i="3"/>
  <c r="L589" i="3" s="1"/>
  <c r="M589" i="3" s="1" a="1"/>
  <c r="M589" i="3" s="1"/>
  <c r="K588" i="3"/>
  <c r="L588" i="3" s="1"/>
  <c r="M588" i="3" s="1" a="1"/>
  <c r="M588" i="3" s="1"/>
  <c r="K587" i="3"/>
  <c r="L587" i="3" s="1"/>
  <c r="M587" i="3" s="1" a="1"/>
  <c r="M587" i="3" s="1"/>
  <c r="K586" i="3"/>
  <c r="L586" i="3" s="1"/>
  <c r="M586" i="3" s="1" a="1"/>
  <c r="M586" i="3" s="1"/>
  <c r="K585" i="3"/>
  <c r="L585" i="3" s="1"/>
  <c r="M585" i="3" s="1" a="1"/>
  <c r="M585" i="3" s="1"/>
  <c r="K584" i="3"/>
  <c r="L584" i="3" s="1"/>
  <c r="M584" i="3" s="1" a="1"/>
  <c r="M584" i="3" s="1"/>
  <c r="K583" i="3"/>
  <c r="L583" i="3" s="1"/>
  <c r="M583" i="3" s="1" a="1"/>
  <c r="M583" i="3" s="1"/>
  <c r="K582" i="3"/>
  <c r="L582" i="3" s="1"/>
  <c r="M582" i="3" s="1" a="1"/>
  <c r="M582" i="3" s="1"/>
  <c r="K581" i="3"/>
  <c r="L581" i="3" s="1"/>
  <c r="M581" i="3" s="1" a="1"/>
  <c r="M581" i="3" s="1"/>
  <c r="K580" i="3"/>
  <c r="L580" i="3" s="1"/>
  <c r="M580" i="3" s="1" a="1"/>
  <c r="M580" i="3" s="1"/>
  <c r="K579" i="3"/>
  <c r="L579" i="3" s="1"/>
  <c r="M579" i="3" s="1" a="1"/>
  <c r="M579" i="3" s="1"/>
  <c r="K578" i="3"/>
  <c r="L578" i="3" s="1"/>
  <c r="M578" i="3" s="1" a="1"/>
  <c r="M578" i="3" s="1"/>
  <c r="K577" i="3"/>
  <c r="L577" i="3" s="1"/>
  <c r="M577" i="3" s="1" a="1"/>
  <c r="M577" i="3" s="1"/>
  <c r="K576" i="3"/>
  <c r="L576" i="3" s="1"/>
  <c r="M576" i="3" s="1" a="1"/>
  <c r="M576" i="3" s="1"/>
  <c r="K575" i="3"/>
  <c r="L575" i="3" s="1"/>
  <c r="M575" i="3" s="1" a="1"/>
  <c r="M575" i="3" s="1"/>
  <c r="K574" i="3"/>
  <c r="L574" i="3" s="1"/>
  <c r="M574" i="3" s="1" a="1"/>
  <c r="M574" i="3" s="1"/>
  <c r="K573" i="3"/>
  <c r="L573" i="3" s="1"/>
  <c r="M573" i="3" s="1" a="1"/>
  <c r="M573" i="3" s="1"/>
  <c r="K572" i="3"/>
  <c r="L572" i="3" s="1"/>
  <c r="M572" i="3" s="1" a="1"/>
  <c r="M572" i="3" s="1"/>
  <c r="K571" i="3"/>
  <c r="L571" i="3" s="1"/>
  <c r="M571" i="3" s="1" a="1"/>
  <c r="M571" i="3" s="1"/>
  <c r="K570" i="3"/>
  <c r="L570" i="3" s="1"/>
  <c r="M570" i="3" s="1" a="1"/>
  <c r="M570" i="3" s="1"/>
  <c r="K569" i="3"/>
  <c r="L569" i="3" s="1"/>
  <c r="M569" i="3" s="1" a="1"/>
  <c r="M569" i="3" s="1"/>
  <c r="K568" i="3"/>
  <c r="L568" i="3" s="1"/>
  <c r="M568" i="3" s="1" a="1"/>
  <c r="M568" i="3" s="1"/>
  <c r="K567" i="3"/>
  <c r="L567" i="3" s="1"/>
  <c r="M567" i="3" s="1" a="1"/>
  <c r="M567" i="3" s="1"/>
  <c r="K566" i="3"/>
  <c r="L566" i="3" s="1"/>
  <c r="M566" i="3" s="1" a="1"/>
  <c r="M566" i="3" s="1"/>
  <c r="K565" i="3"/>
  <c r="L565" i="3" s="1"/>
  <c r="M565" i="3" s="1" a="1"/>
  <c r="M565" i="3" s="1"/>
  <c r="K564" i="3"/>
  <c r="L564" i="3" s="1"/>
  <c r="M564" i="3" s="1" a="1"/>
  <c r="M564" i="3" s="1"/>
  <c r="K563" i="3"/>
  <c r="L563" i="3" s="1"/>
  <c r="M563" i="3" s="1" a="1"/>
  <c r="M563" i="3" s="1"/>
  <c r="K562" i="3"/>
  <c r="L562" i="3" s="1"/>
  <c r="M562" i="3" s="1" a="1"/>
  <c r="M562" i="3" s="1"/>
  <c r="K561" i="3"/>
  <c r="L561" i="3" s="1"/>
  <c r="M561" i="3" s="1" a="1"/>
  <c r="M561" i="3" s="1"/>
  <c r="K560" i="3"/>
  <c r="L560" i="3" s="1"/>
  <c r="M560" i="3" s="1" a="1"/>
  <c r="M560" i="3" s="1"/>
  <c r="K559" i="3"/>
  <c r="L559" i="3" s="1"/>
  <c r="M559" i="3" s="1" a="1"/>
  <c r="M559" i="3" s="1"/>
  <c r="K558" i="3"/>
  <c r="L558" i="3" s="1"/>
  <c r="M558" i="3" s="1" a="1"/>
  <c r="M558" i="3" s="1"/>
  <c r="K557" i="3"/>
  <c r="L557" i="3" s="1"/>
  <c r="M557" i="3" s="1" a="1"/>
  <c r="M557" i="3" s="1"/>
  <c r="K556" i="3"/>
  <c r="L556" i="3" s="1"/>
  <c r="M556" i="3" s="1" a="1"/>
  <c r="M556" i="3" s="1"/>
  <c r="K555" i="3"/>
  <c r="L555" i="3" s="1"/>
  <c r="M555" i="3" s="1" a="1"/>
  <c r="M555" i="3" s="1"/>
  <c r="K554" i="3"/>
  <c r="L554" i="3" s="1"/>
  <c r="M554" i="3" s="1" a="1"/>
  <c r="M554" i="3" s="1"/>
  <c r="K553" i="3"/>
  <c r="L553" i="3" s="1"/>
  <c r="M553" i="3" s="1" a="1"/>
  <c r="M553" i="3" s="1"/>
  <c r="K552" i="3"/>
  <c r="L552" i="3" s="1"/>
  <c r="M552" i="3" s="1" a="1"/>
  <c r="M552" i="3" s="1"/>
  <c r="K551" i="3"/>
  <c r="L551" i="3" s="1"/>
  <c r="M551" i="3" s="1" a="1"/>
  <c r="M551" i="3" s="1"/>
  <c r="K550" i="3"/>
  <c r="L550" i="3" s="1"/>
  <c r="M550" i="3" s="1" a="1"/>
  <c r="M550" i="3" s="1"/>
  <c r="K549" i="3"/>
  <c r="L549" i="3" s="1"/>
  <c r="M549" i="3" s="1" a="1"/>
  <c r="M549" i="3" s="1"/>
  <c r="K548" i="3"/>
  <c r="L548" i="3" s="1"/>
  <c r="M548" i="3" s="1" a="1"/>
  <c r="M548" i="3" s="1"/>
  <c r="K547" i="3"/>
  <c r="L547" i="3" s="1"/>
  <c r="M547" i="3" s="1" a="1"/>
  <c r="M547" i="3" s="1"/>
  <c r="K546" i="3"/>
  <c r="L546" i="3" s="1"/>
  <c r="M546" i="3" s="1" a="1"/>
  <c r="M546" i="3" s="1"/>
  <c r="K545" i="3"/>
  <c r="L545" i="3" s="1"/>
  <c r="M545" i="3" s="1" a="1"/>
  <c r="M545" i="3" s="1"/>
  <c r="K544" i="3"/>
  <c r="L544" i="3" s="1"/>
  <c r="M544" i="3" s="1" a="1"/>
  <c r="M544" i="3" s="1"/>
  <c r="K543" i="3"/>
  <c r="L543" i="3" s="1"/>
  <c r="M543" i="3" s="1" a="1"/>
  <c r="M543" i="3" s="1"/>
  <c r="K542" i="3"/>
  <c r="L542" i="3" s="1"/>
  <c r="M542" i="3" s="1" a="1"/>
  <c r="M542" i="3" s="1"/>
  <c r="K541" i="3"/>
  <c r="L541" i="3" s="1"/>
  <c r="M541" i="3" s="1" a="1"/>
  <c r="M541" i="3" s="1"/>
  <c r="K540" i="3"/>
  <c r="L540" i="3" s="1"/>
  <c r="M540" i="3" s="1" a="1"/>
  <c r="M540" i="3" s="1"/>
  <c r="K539" i="3"/>
  <c r="L539" i="3" s="1"/>
  <c r="M539" i="3" s="1" a="1"/>
  <c r="M539" i="3" s="1"/>
  <c r="K538" i="3"/>
  <c r="L538" i="3" s="1"/>
  <c r="M538" i="3" s="1" a="1"/>
  <c r="M538" i="3" s="1"/>
  <c r="K537" i="3"/>
  <c r="L537" i="3" s="1"/>
  <c r="M537" i="3" s="1" a="1"/>
  <c r="M537" i="3" s="1"/>
  <c r="K536" i="3"/>
  <c r="L536" i="3" s="1"/>
  <c r="M536" i="3" s="1" a="1"/>
  <c r="M536" i="3" s="1"/>
  <c r="K535" i="3"/>
  <c r="L535" i="3" s="1"/>
  <c r="M535" i="3" s="1" a="1"/>
  <c r="M535" i="3" s="1"/>
  <c r="K534" i="3"/>
  <c r="L534" i="3" s="1"/>
  <c r="M534" i="3" s="1" a="1"/>
  <c r="M534" i="3" s="1"/>
  <c r="K533" i="3"/>
  <c r="L533" i="3" s="1"/>
  <c r="M533" i="3" s="1" a="1"/>
  <c r="M533" i="3" s="1"/>
  <c r="K532" i="3"/>
  <c r="L532" i="3" s="1"/>
  <c r="M532" i="3" s="1" a="1"/>
  <c r="M532" i="3" s="1"/>
  <c r="K531" i="3"/>
  <c r="L531" i="3" s="1"/>
  <c r="M531" i="3" s="1" a="1"/>
  <c r="M531" i="3" s="1"/>
  <c r="K530" i="3"/>
  <c r="L530" i="3" s="1"/>
  <c r="M530" i="3" s="1" a="1"/>
  <c r="M530" i="3" s="1"/>
  <c r="K529" i="3"/>
  <c r="L529" i="3" s="1"/>
  <c r="M529" i="3" s="1" a="1"/>
  <c r="M529" i="3" s="1"/>
  <c r="K528" i="3"/>
  <c r="L528" i="3" s="1"/>
  <c r="M528" i="3" s="1" a="1"/>
  <c r="M528" i="3" s="1"/>
  <c r="K527" i="3"/>
  <c r="L527" i="3" s="1"/>
  <c r="M527" i="3" s="1" a="1"/>
  <c r="M527" i="3" s="1"/>
  <c r="K526" i="3"/>
  <c r="L526" i="3" s="1"/>
  <c r="M526" i="3" s="1" a="1"/>
  <c r="M526" i="3" s="1"/>
  <c r="K525" i="3"/>
  <c r="L525" i="3" s="1"/>
  <c r="M525" i="3" s="1" a="1"/>
  <c r="M525" i="3" s="1"/>
  <c r="K524" i="3"/>
  <c r="L524" i="3" s="1"/>
  <c r="M524" i="3" s="1" a="1"/>
  <c r="M524" i="3" s="1"/>
  <c r="K523" i="3"/>
  <c r="L523" i="3" s="1"/>
  <c r="M523" i="3" s="1" a="1"/>
  <c r="M523" i="3" s="1"/>
  <c r="K522" i="3"/>
  <c r="L522" i="3" s="1"/>
  <c r="M522" i="3" s="1" a="1"/>
  <c r="M522" i="3" s="1"/>
  <c r="K521" i="3"/>
  <c r="L521" i="3" s="1"/>
  <c r="M521" i="3" s="1" a="1"/>
  <c r="M521" i="3" s="1"/>
  <c r="K520" i="3"/>
  <c r="L520" i="3" s="1"/>
  <c r="M520" i="3" s="1" a="1"/>
  <c r="M520" i="3" s="1"/>
  <c r="K519" i="3"/>
  <c r="L519" i="3" s="1"/>
  <c r="M519" i="3" s="1" a="1"/>
  <c r="M519" i="3" s="1"/>
  <c r="K518" i="3"/>
  <c r="L518" i="3" s="1"/>
  <c r="M518" i="3" s="1" a="1"/>
  <c r="M518" i="3" s="1"/>
  <c r="K517" i="3"/>
  <c r="L517" i="3" s="1"/>
  <c r="M517" i="3" s="1" a="1"/>
  <c r="M517" i="3" s="1"/>
  <c r="K516" i="3"/>
  <c r="L516" i="3" s="1"/>
  <c r="M516" i="3" s="1" a="1"/>
  <c r="M516" i="3" s="1"/>
  <c r="K515" i="3"/>
  <c r="L515" i="3" s="1"/>
  <c r="M515" i="3" s="1" a="1"/>
  <c r="M515" i="3" s="1"/>
  <c r="K514" i="3"/>
  <c r="L514" i="3" s="1"/>
  <c r="M514" i="3" s="1" a="1"/>
  <c r="M514" i="3" s="1"/>
  <c r="K513" i="3"/>
  <c r="L513" i="3" s="1"/>
  <c r="M513" i="3" s="1" a="1"/>
  <c r="M513" i="3" s="1"/>
  <c r="K512" i="3"/>
  <c r="L512" i="3" s="1"/>
  <c r="M512" i="3" s="1" a="1"/>
  <c r="M512" i="3" s="1"/>
  <c r="K511" i="3"/>
  <c r="L511" i="3" s="1"/>
  <c r="M511" i="3" s="1" a="1"/>
  <c r="M511" i="3" s="1"/>
  <c r="K510" i="3"/>
  <c r="L510" i="3" s="1"/>
  <c r="M510" i="3" s="1" a="1"/>
  <c r="M510" i="3" s="1"/>
  <c r="K509" i="3"/>
  <c r="L509" i="3" s="1"/>
  <c r="M509" i="3" s="1" a="1"/>
  <c r="M509" i="3" s="1"/>
  <c r="K508" i="3"/>
  <c r="L508" i="3" s="1"/>
  <c r="M508" i="3" s="1" a="1"/>
  <c r="M508" i="3" s="1"/>
  <c r="K507" i="3"/>
  <c r="L507" i="3" s="1"/>
  <c r="M507" i="3" s="1" a="1"/>
  <c r="M507" i="3" s="1"/>
  <c r="K506" i="3"/>
  <c r="L506" i="3" s="1"/>
  <c r="M506" i="3" s="1" a="1"/>
  <c r="M506" i="3" s="1"/>
  <c r="K505" i="3"/>
  <c r="L505" i="3" s="1"/>
  <c r="M505" i="3" s="1" a="1"/>
  <c r="M505" i="3" s="1"/>
  <c r="K504" i="3"/>
  <c r="L504" i="3" s="1"/>
  <c r="M504" i="3" s="1" a="1"/>
  <c r="M504" i="3" s="1"/>
  <c r="K503" i="3"/>
  <c r="L503" i="3" s="1"/>
  <c r="M503" i="3" s="1" a="1"/>
  <c r="M503" i="3" s="1"/>
  <c r="K502" i="3"/>
  <c r="L502" i="3" s="1"/>
  <c r="M502" i="3" s="1" a="1"/>
  <c r="M502" i="3" s="1"/>
  <c r="K501" i="3"/>
  <c r="L501" i="3" s="1"/>
  <c r="M501" i="3" s="1" a="1"/>
  <c r="M501" i="3" s="1"/>
  <c r="K500" i="3"/>
  <c r="L500" i="3" s="1"/>
  <c r="M500" i="3" s="1" a="1"/>
  <c r="M500" i="3" s="1"/>
  <c r="K499" i="3"/>
  <c r="L499" i="3" s="1"/>
  <c r="M499" i="3" s="1" a="1"/>
  <c r="M499" i="3" s="1"/>
  <c r="K498" i="3"/>
  <c r="L498" i="3" s="1"/>
  <c r="M498" i="3" s="1" a="1"/>
  <c r="M498" i="3" s="1"/>
  <c r="K497" i="3"/>
  <c r="L497" i="3" s="1"/>
  <c r="M497" i="3" s="1" a="1"/>
  <c r="M497" i="3" s="1"/>
  <c r="K496" i="3"/>
  <c r="L496" i="3" s="1"/>
  <c r="M496" i="3" s="1" a="1"/>
  <c r="M496" i="3" s="1"/>
  <c r="K495" i="3"/>
  <c r="L495" i="3" s="1"/>
  <c r="M495" i="3" s="1" a="1"/>
  <c r="M495" i="3" s="1"/>
  <c r="K494" i="3"/>
  <c r="L494" i="3" s="1"/>
  <c r="M494" i="3" s="1" a="1"/>
  <c r="M494" i="3" s="1"/>
  <c r="K493" i="3"/>
  <c r="L493" i="3" s="1"/>
  <c r="M493" i="3" s="1" a="1"/>
  <c r="M493" i="3" s="1"/>
  <c r="K492" i="3"/>
  <c r="L492" i="3" s="1"/>
  <c r="M492" i="3" s="1" a="1"/>
  <c r="M492" i="3" s="1"/>
  <c r="K491" i="3"/>
  <c r="L491" i="3" s="1"/>
  <c r="M491" i="3" s="1" a="1"/>
  <c r="M491" i="3" s="1"/>
  <c r="K490" i="3"/>
  <c r="L490" i="3" s="1"/>
  <c r="M490" i="3" s="1" a="1"/>
  <c r="M490" i="3" s="1"/>
  <c r="K489" i="3"/>
  <c r="L489" i="3" s="1"/>
  <c r="M489" i="3" s="1" a="1"/>
  <c r="M489" i="3" s="1"/>
  <c r="K488" i="3"/>
  <c r="L488" i="3" s="1"/>
  <c r="M488" i="3" s="1" a="1"/>
  <c r="M488" i="3" s="1"/>
  <c r="K487" i="3"/>
  <c r="L487" i="3" s="1"/>
  <c r="M487" i="3" s="1" a="1"/>
  <c r="M487" i="3" s="1"/>
  <c r="K486" i="3"/>
  <c r="L486" i="3" s="1"/>
  <c r="M486" i="3" s="1" a="1"/>
  <c r="M486" i="3" s="1"/>
  <c r="K485" i="3"/>
  <c r="L485" i="3" s="1"/>
  <c r="M485" i="3" s="1" a="1"/>
  <c r="M485" i="3" s="1"/>
  <c r="K484" i="3"/>
  <c r="L484" i="3" s="1"/>
  <c r="M484" i="3" s="1" a="1"/>
  <c r="M484" i="3" s="1"/>
  <c r="K483" i="3"/>
  <c r="L483" i="3" s="1"/>
  <c r="M483" i="3" s="1" a="1"/>
  <c r="M483" i="3" s="1"/>
  <c r="K482" i="3"/>
  <c r="L482" i="3" s="1"/>
  <c r="M482" i="3" s="1" a="1"/>
  <c r="M482" i="3" s="1"/>
  <c r="K481" i="3"/>
  <c r="L481" i="3" s="1"/>
  <c r="M481" i="3" s="1" a="1"/>
  <c r="M481" i="3" s="1"/>
  <c r="K480" i="3"/>
  <c r="L480" i="3" s="1"/>
  <c r="M480" i="3" s="1" a="1"/>
  <c r="M480" i="3" s="1"/>
  <c r="K479" i="3"/>
  <c r="L479" i="3" s="1"/>
  <c r="M479" i="3" s="1" a="1"/>
  <c r="M479" i="3" s="1"/>
  <c r="K478" i="3"/>
  <c r="L478" i="3" s="1"/>
  <c r="M478" i="3" s="1" a="1"/>
  <c r="M478" i="3" s="1"/>
  <c r="K477" i="3"/>
  <c r="L477" i="3" s="1"/>
  <c r="M477" i="3" s="1" a="1"/>
  <c r="M477" i="3" s="1"/>
  <c r="K476" i="3"/>
  <c r="L476" i="3" s="1"/>
  <c r="M476" i="3" s="1" a="1"/>
  <c r="M476" i="3" s="1"/>
  <c r="K475" i="3"/>
  <c r="L475" i="3" s="1"/>
  <c r="M475" i="3" s="1" a="1"/>
  <c r="M475" i="3" s="1"/>
  <c r="K474" i="3"/>
  <c r="L474" i="3" s="1"/>
  <c r="M474" i="3" s="1" a="1"/>
  <c r="M474" i="3" s="1"/>
  <c r="K473" i="3"/>
  <c r="L473" i="3" s="1"/>
  <c r="M473" i="3" s="1" a="1"/>
  <c r="M473" i="3" s="1"/>
  <c r="K472" i="3"/>
  <c r="L472" i="3" s="1"/>
  <c r="M472" i="3" s="1" a="1"/>
  <c r="M472" i="3" s="1"/>
  <c r="K471" i="3"/>
  <c r="L471" i="3" s="1"/>
  <c r="M471" i="3" s="1" a="1"/>
  <c r="M471" i="3" s="1"/>
  <c r="K470" i="3"/>
  <c r="L470" i="3" s="1"/>
  <c r="M470" i="3" s="1" a="1"/>
  <c r="M470" i="3" s="1"/>
  <c r="K469" i="3"/>
  <c r="L469" i="3" s="1"/>
  <c r="M469" i="3" s="1" a="1"/>
  <c r="M469" i="3" s="1"/>
  <c r="K468" i="3"/>
  <c r="L468" i="3" s="1"/>
  <c r="M468" i="3" s="1" a="1"/>
  <c r="M468" i="3" s="1"/>
  <c r="K467" i="3"/>
  <c r="L467" i="3" s="1"/>
  <c r="M467" i="3" s="1" a="1"/>
  <c r="M467" i="3" s="1"/>
  <c r="K466" i="3"/>
  <c r="L466" i="3" s="1"/>
  <c r="M466" i="3" s="1" a="1"/>
  <c r="M466" i="3" s="1"/>
  <c r="K465" i="3"/>
  <c r="L465" i="3" s="1"/>
  <c r="M465" i="3" s="1" a="1"/>
  <c r="M465" i="3" s="1"/>
  <c r="K464" i="3"/>
  <c r="L464" i="3" s="1"/>
  <c r="M464" i="3" s="1" a="1"/>
  <c r="M464" i="3" s="1"/>
  <c r="K463" i="3"/>
  <c r="L463" i="3" s="1"/>
  <c r="M463" i="3" s="1" a="1"/>
  <c r="M463" i="3" s="1"/>
  <c r="K462" i="3"/>
  <c r="L462" i="3" s="1"/>
  <c r="M462" i="3" s="1" a="1"/>
  <c r="M462" i="3" s="1"/>
  <c r="K461" i="3"/>
  <c r="L461" i="3" s="1"/>
  <c r="M461" i="3" s="1" a="1"/>
  <c r="M461" i="3" s="1"/>
  <c r="K460" i="3"/>
  <c r="L460" i="3" s="1"/>
  <c r="M460" i="3" s="1" a="1"/>
  <c r="M460" i="3" s="1"/>
  <c r="K459" i="3"/>
  <c r="L459" i="3" s="1"/>
  <c r="M459" i="3" s="1" a="1"/>
  <c r="M459" i="3" s="1"/>
  <c r="K458" i="3"/>
  <c r="L458" i="3" s="1"/>
  <c r="M458" i="3" s="1" a="1"/>
  <c r="M458" i="3" s="1"/>
  <c r="K457" i="3"/>
  <c r="L457" i="3" s="1"/>
  <c r="M457" i="3" s="1" a="1"/>
  <c r="M457" i="3" s="1"/>
  <c r="K456" i="3"/>
  <c r="L456" i="3" s="1"/>
  <c r="M456" i="3" s="1" a="1"/>
  <c r="M456" i="3" s="1"/>
  <c r="K455" i="3"/>
  <c r="L455" i="3" s="1"/>
  <c r="M455" i="3" s="1" a="1"/>
  <c r="M455" i="3" s="1"/>
  <c r="K454" i="3"/>
  <c r="L454" i="3" s="1"/>
  <c r="M454" i="3" s="1" a="1"/>
  <c r="M454" i="3" s="1"/>
  <c r="K453" i="3"/>
  <c r="L453" i="3" s="1"/>
  <c r="M453" i="3" s="1" a="1"/>
  <c r="M453" i="3" s="1"/>
  <c r="K452" i="3"/>
  <c r="L452" i="3" s="1"/>
  <c r="M452" i="3" s="1" a="1"/>
  <c r="M452" i="3" s="1"/>
  <c r="K451" i="3"/>
  <c r="L451" i="3" s="1"/>
  <c r="M451" i="3" s="1" a="1"/>
  <c r="M451" i="3" s="1"/>
  <c r="K450" i="3"/>
  <c r="L450" i="3" s="1"/>
  <c r="M450" i="3" s="1" a="1"/>
  <c r="M450" i="3" s="1"/>
  <c r="K449" i="3"/>
  <c r="L449" i="3" s="1"/>
  <c r="M449" i="3" s="1" a="1"/>
  <c r="M449" i="3" s="1"/>
  <c r="K448" i="3"/>
  <c r="L448" i="3" s="1"/>
  <c r="M448" i="3" s="1" a="1"/>
  <c r="M448" i="3" s="1"/>
  <c r="K447" i="3"/>
  <c r="L447" i="3" s="1"/>
  <c r="M447" i="3" s="1" a="1"/>
  <c r="M447" i="3" s="1"/>
  <c r="K446" i="3"/>
  <c r="L446" i="3" s="1"/>
  <c r="M446" i="3" s="1" a="1"/>
  <c r="M446" i="3" s="1"/>
  <c r="K445" i="3"/>
  <c r="L445" i="3" s="1"/>
  <c r="M445" i="3" s="1" a="1"/>
  <c r="M445" i="3" s="1"/>
  <c r="K444" i="3"/>
  <c r="L444" i="3" s="1"/>
  <c r="M444" i="3" s="1" a="1"/>
  <c r="M444" i="3" s="1"/>
  <c r="K443" i="3"/>
  <c r="L443" i="3" s="1"/>
  <c r="M443" i="3" s="1" a="1"/>
  <c r="M443" i="3" s="1"/>
  <c r="K442" i="3"/>
  <c r="L442" i="3" s="1"/>
  <c r="M442" i="3" s="1" a="1"/>
  <c r="M442" i="3" s="1"/>
  <c r="K441" i="3"/>
  <c r="L441" i="3" s="1"/>
  <c r="M441" i="3" s="1" a="1"/>
  <c r="M441" i="3" s="1"/>
  <c r="K440" i="3"/>
  <c r="L440" i="3" s="1"/>
  <c r="M440" i="3" s="1" a="1"/>
  <c r="M440" i="3" s="1"/>
  <c r="K439" i="3"/>
  <c r="L439" i="3" s="1"/>
  <c r="M439" i="3" s="1" a="1"/>
  <c r="M439" i="3" s="1"/>
  <c r="K438" i="3"/>
  <c r="L438" i="3" s="1"/>
  <c r="M438" i="3" s="1" a="1"/>
  <c r="M438" i="3" s="1"/>
  <c r="K437" i="3"/>
  <c r="L437" i="3" s="1"/>
  <c r="M437" i="3" s="1" a="1"/>
  <c r="M437" i="3" s="1"/>
  <c r="K436" i="3"/>
  <c r="L436" i="3" s="1"/>
  <c r="M436" i="3" s="1" a="1"/>
  <c r="M436" i="3" s="1"/>
  <c r="K435" i="3"/>
  <c r="L435" i="3" s="1"/>
  <c r="M435" i="3" s="1" a="1"/>
  <c r="M435" i="3" s="1"/>
  <c r="K434" i="3"/>
  <c r="L434" i="3" s="1"/>
  <c r="M434" i="3" s="1" a="1"/>
  <c r="M434" i="3" s="1"/>
  <c r="K433" i="3"/>
  <c r="L433" i="3" s="1"/>
  <c r="M433" i="3" s="1" a="1"/>
  <c r="M433" i="3" s="1"/>
  <c r="K432" i="3"/>
  <c r="L432" i="3" s="1"/>
  <c r="M432" i="3" s="1" a="1"/>
  <c r="M432" i="3" s="1"/>
  <c r="K431" i="3"/>
  <c r="L431" i="3" s="1"/>
  <c r="M431" i="3" s="1" a="1"/>
  <c r="M431" i="3" s="1"/>
  <c r="K430" i="3"/>
  <c r="L430" i="3" s="1"/>
  <c r="M430" i="3" s="1" a="1"/>
  <c r="M430" i="3" s="1"/>
  <c r="K429" i="3"/>
  <c r="L429" i="3" s="1"/>
  <c r="M429" i="3" s="1" a="1"/>
  <c r="M429" i="3" s="1"/>
  <c r="K428" i="3"/>
  <c r="L428" i="3" s="1"/>
  <c r="M428" i="3" s="1" a="1"/>
  <c r="M428" i="3" s="1"/>
  <c r="K427" i="3"/>
  <c r="L427" i="3" s="1"/>
  <c r="M427" i="3" s="1" a="1"/>
  <c r="M427" i="3" s="1"/>
  <c r="K426" i="3"/>
  <c r="L426" i="3" s="1"/>
  <c r="M426" i="3" s="1" a="1"/>
  <c r="M426" i="3" s="1"/>
  <c r="K425" i="3"/>
  <c r="L425" i="3" s="1"/>
  <c r="M425" i="3" s="1" a="1"/>
  <c r="M425" i="3" s="1"/>
  <c r="K424" i="3"/>
  <c r="L424" i="3" s="1"/>
  <c r="M424" i="3" s="1" a="1"/>
  <c r="M424" i="3" s="1"/>
  <c r="K423" i="3"/>
  <c r="L423" i="3" s="1"/>
  <c r="M423" i="3" s="1" a="1"/>
  <c r="M423" i="3" s="1"/>
  <c r="K422" i="3"/>
  <c r="L422" i="3" s="1"/>
  <c r="M422" i="3" s="1" a="1"/>
  <c r="M422" i="3" s="1"/>
  <c r="K421" i="3"/>
  <c r="L421" i="3" s="1"/>
  <c r="M421" i="3" s="1" a="1"/>
  <c r="M421" i="3" s="1"/>
  <c r="K420" i="3"/>
  <c r="L420" i="3" s="1"/>
  <c r="M420" i="3" s="1" a="1"/>
  <c r="M420" i="3" s="1"/>
  <c r="K419" i="3"/>
  <c r="L419" i="3" s="1"/>
  <c r="M419" i="3" s="1" a="1"/>
  <c r="M419" i="3" s="1"/>
  <c r="K418" i="3"/>
  <c r="L418" i="3" s="1"/>
  <c r="M418" i="3" s="1" a="1"/>
  <c r="M418" i="3" s="1"/>
  <c r="K417" i="3"/>
  <c r="L417" i="3" s="1"/>
  <c r="M417" i="3" s="1" a="1"/>
  <c r="M417" i="3" s="1"/>
  <c r="K416" i="3"/>
  <c r="L416" i="3" s="1"/>
  <c r="M416" i="3" s="1" a="1"/>
  <c r="M416" i="3" s="1"/>
  <c r="K415" i="3"/>
  <c r="L415" i="3" s="1"/>
  <c r="M415" i="3" s="1" a="1"/>
  <c r="M415" i="3" s="1"/>
  <c r="K414" i="3"/>
  <c r="L414" i="3" s="1"/>
  <c r="M414" i="3" s="1" a="1"/>
  <c r="M414" i="3" s="1"/>
  <c r="K413" i="3"/>
  <c r="L413" i="3" s="1"/>
  <c r="M413" i="3" s="1" a="1"/>
  <c r="M413" i="3" s="1"/>
  <c r="K412" i="3"/>
  <c r="L412" i="3" s="1"/>
  <c r="M412" i="3" s="1" a="1"/>
  <c r="M412" i="3" s="1"/>
  <c r="K411" i="3"/>
  <c r="L411" i="3" s="1"/>
  <c r="M411" i="3" s="1" a="1"/>
  <c r="M411" i="3" s="1"/>
  <c r="K410" i="3"/>
  <c r="L410" i="3" s="1"/>
  <c r="M410" i="3" s="1" a="1"/>
  <c r="M410" i="3" s="1"/>
  <c r="K409" i="3"/>
  <c r="L409" i="3" s="1"/>
  <c r="M409" i="3" s="1" a="1"/>
  <c r="M409" i="3" s="1"/>
  <c r="K408" i="3"/>
  <c r="L408" i="3" s="1"/>
  <c r="M408" i="3" s="1" a="1"/>
  <c r="M408" i="3" s="1"/>
  <c r="K407" i="3"/>
  <c r="L407" i="3" s="1"/>
  <c r="M407" i="3" s="1" a="1"/>
  <c r="M407" i="3" s="1"/>
  <c r="K406" i="3"/>
  <c r="L406" i="3" s="1"/>
  <c r="M406" i="3" s="1" a="1"/>
  <c r="M406" i="3" s="1"/>
  <c r="K405" i="3"/>
  <c r="L405" i="3" s="1"/>
  <c r="M405" i="3" s="1" a="1"/>
  <c r="M405" i="3" s="1"/>
  <c r="K404" i="3"/>
  <c r="L404" i="3" s="1"/>
  <c r="M404" i="3" s="1" a="1"/>
  <c r="M404" i="3" s="1"/>
  <c r="K403" i="3"/>
  <c r="L403" i="3" s="1"/>
  <c r="M403" i="3" s="1" a="1"/>
  <c r="M403" i="3" s="1"/>
  <c r="K402" i="3"/>
  <c r="L402" i="3" s="1"/>
  <c r="M402" i="3" s="1" a="1"/>
  <c r="M402" i="3" s="1"/>
  <c r="K401" i="3"/>
  <c r="L401" i="3" s="1"/>
  <c r="M401" i="3" s="1" a="1"/>
  <c r="M401" i="3" s="1"/>
  <c r="K400" i="3"/>
  <c r="L400" i="3" s="1"/>
  <c r="M400" i="3" s="1" a="1"/>
  <c r="M400" i="3" s="1"/>
  <c r="K399" i="3"/>
  <c r="L399" i="3" s="1"/>
  <c r="M399" i="3" s="1" a="1"/>
  <c r="M399" i="3" s="1"/>
  <c r="K398" i="3"/>
  <c r="L398" i="3" s="1"/>
  <c r="M398" i="3" s="1" a="1"/>
  <c r="M398" i="3" s="1"/>
  <c r="K397" i="3"/>
  <c r="L397" i="3" s="1"/>
  <c r="M397" i="3" s="1" a="1"/>
  <c r="M397" i="3" s="1"/>
  <c r="K396" i="3"/>
  <c r="L396" i="3" s="1"/>
  <c r="M396" i="3" s="1" a="1"/>
  <c r="M396" i="3" s="1"/>
  <c r="K395" i="3"/>
  <c r="L395" i="3" s="1"/>
  <c r="M395" i="3" s="1" a="1"/>
  <c r="M395" i="3" s="1"/>
  <c r="K394" i="3"/>
  <c r="L394" i="3" s="1"/>
  <c r="M394" i="3" s="1" a="1"/>
  <c r="M394" i="3" s="1"/>
  <c r="K393" i="3"/>
  <c r="L393" i="3" s="1"/>
  <c r="M393" i="3" s="1" a="1"/>
  <c r="M393" i="3" s="1"/>
  <c r="K392" i="3"/>
  <c r="L392" i="3" s="1"/>
  <c r="M392" i="3" s="1" a="1"/>
  <c r="M392" i="3" s="1"/>
  <c r="K391" i="3"/>
  <c r="L391" i="3" s="1"/>
  <c r="M391" i="3" s="1" a="1"/>
  <c r="M391" i="3" s="1"/>
  <c r="K390" i="3"/>
  <c r="L390" i="3" s="1"/>
  <c r="M390" i="3" s="1" a="1"/>
  <c r="M390" i="3" s="1"/>
  <c r="K389" i="3"/>
  <c r="L389" i="3" s="1"/>
  <c r="M389" i="3" s="1" a="1"/>
  <c r="M389" i="3" s="1"/>
  <c r="K388" i="3"/>
  <c r="L388" i="3" s="1"/>
  <c r="M388" i="3" s="1" a="1"/>
  <c r="M388" i="3" s="1"/>
  <c r="K387" i="3"/>
  <c r="L387" i="3" s="1"/>
  <c r="M387" i="3" s="1" a="1"/>
  <c r="M387" i="3" s="1"/>
  <c r="K386" i="3"/>
  <c r="L386" i="3" s="1"/>
  <c r="M386" i="3" s="1" a="1"/>
  <c r="M386" i="3" s="1"/>
  <c r="K385" i="3"/>
  <c r="L385" i="3" s="1"/>
  <c r="M385" i="3" s="1" a="1"/>
  <c r="M385" i="3" s="1"/>
  <c r="K384" i="3"/>
  <c r="L384" i="3" s="1"/>
  <c r="M384" i="3" s="1" a="1"/>
  <c r="M384" i="3" s="1"/>
  <c r="K383" i="3"/>
  <c r="L383" i="3" s="1"/>
  <c r="M383" i="3" s="1" a="1"/>
  <c r="M383" i="3" s="1"/>
  <c r="K382" i="3"/>
  <c r="L382" i="3" s="1"/>
  <c r="M382" i="3" s="1" a="1"/>
  <c r="M382" i="3" s="1"/>
  <c r="K381" i="3"/>
  <c r="L381" i="3" s="1"/>
  <c r="M381" i="3" s="1" a="1"/>
  <c r="M381" i="3" s="1"/>
  <c r="K380" i="3"/>
  <c r="L380" i="3" s="1"/>
  <c r="M380" i="3" s="1" a="1"/>
  <c r="M380" i="3" s="1"/>
  <c r="K379" i="3"/>
  <c r="L379" i="3" s="1"/>
  <c r="M379" i="3" s="1" a="1"/>
  <c r="M379" i="3" s="1"/>
  <c r="K378" i="3"/>
  <c r="L378" i="3" s="1"/>
  <c r="M378" i="3" s="1" a="1"/>
  <c r="M378" i="3" s="1"/>
  <c r="K377" i="3"/>
  <c r="L377" i="3" s="1"/>
  <c r="M377" i="3" s="1" a="1"/>
  <c r="M377" i="3" s="1"/>
  <c r="K376" i="3"/>
  <c r="L376" i="3" s="1"/>
  <c r="M376" i="3" s="1" a="1"/>
  <c r="M376" i="3" s="1"/>
  <c r="K375" i="3"/>
  <c r="L375" i="3" s="1"/>
  <c r="M375" i="3" s="1" a="1"/>
  <c r="M375" i="3" s="1"/>
  <c r="K374" i="3"/>
  <c r="L374" i="3" s="1"/>
  <c r="M374" i="3" s="1" a="1"/>
  <c r="M374" i="3" s="1"/>
  <c r="K373" i="3"/>
  <c r="L373" i="3" s="1"/>
  <c r="M373" i="3" s="1" a="1"/>
  <c r="M373" i="3" s="1"/>
  <c r="K372" i="3"/>
  <c r="L372" i="3" s="1"/>
  <c r="M372" i="3" s="1" a="1"/>
  <c r="M372" i="3" s="1"/>
  <c r="K371" i="3"/>
  <c r="L371" i="3" s="1"/>
  <c r="M371" i="3" s="1" a="1"/>
  <c r="M371" i="3" s="1"/>
  <c r="K370" i="3"/>
  <c r="L370" i="3" s="1"/>
  <c r="M370" i="3" s="1" a="1"/>
  <c r="M370" i="3" s="1"/>
  <c r="K369" i="3"/>
  <c r="L369" i="3" s="1"/>
  <c r="M369" i="3" s="1" a="1"/>
  <c r="M369" i="3" s="1"/>
  <c r="K368" i="3"/>
  <c r="L368" i="3" s="1"/>
  <c r="M368" i="3" s="1" a="1"/>
  <c r="M368" i="3" s="1"/>
  <c r="K367" i="3"/>
  <c r="L367" i="3" s="1"/>
  <c r="M367" i="3" s="1" a="1"/>
  <c r="M367" i="3" s="1"/>
  <c r="K366" i="3"/>
  <c r="L366" i="3" s="1"/>
  <c r="M366" i="3" s="1" a="1"/>
  <c r="M366" i="3" s="1"/>
  <c r="K365" i="3"/>
  <c r="L365" i="3" s="1"/>
  <c r="M365" i="3" s="1" a="1"/>
  <c r="M365" i="3" s="1"/>
  <c r="K364" i="3"/>
  <c r="L364" i="3" s="1"/>
  <c r="M364" i="3" s="1" a="1"/>
  <c r="M364" i="3" s="1"/>
  <c r="K363" i="3"/>
  <c r="L363" i="3" s="1"/>
  <c r="M363" i="3" s="1" a="1"/>
  <c r="M363" i="3" s="1"/>
  <c r="K362" i="3"/>
  <c r="L362" i="3" s="1"/>
  <c r="M362" i="3" s="1" a="1"/>
  <c r="M362" i="3" s="1"/>
  <c r="K361" i="3"/>
  <c r="L361" i="3" s="1"/>
  <c r="M361" i="3" s="1" a="1"/>
  <c r="M361" i="3" s="1"/>
  <c r="K360" i="3"/>
  <c r="L360" i="3" s="1"/>
  <c r="M360" i="3" s="1" a="1"/>
  <c r="M360" i="3" s="1"/>
  <c r="K359" i="3"/>
  <c r="L359" i="3" s="1"/>
  <c r="M359" i="3" s="1" a="1"/>
  <c r="M359" i="3" s="1"/>
  <c r="K358" i="3"/>
  <c r="L358" i="3" s="1"/>
  <c r="M358" i="3" s="1" a="1"/>
  <c r="M358" i="3" s="1"/>
  <c r="K357" i="3"/>
  <c r="L357" i="3" s="1"/>
  <c r="M357" i="3" s="1" a="1"/>
  <c r="M357" i="3" s="1"/>
  <c r="K356" i="3"/>
  <c r="L356" i="3" s="1"/>
  <c r="M356" i="3" s="1" a="1"/>
  <c r="M356" i="3" s="1"/>
  <c r="K355" i="3"/>
  <c r="L355" i="3" s="1"/>
  <c r="M355" i="3" s="1" a="1"/>
  <c r="M355" i="3" s="1"/>
  <c r="K354" i="3"/>
  <c r="L354" i="3" s="1"/>
  <c r="M354" i="3" s="1" a="1"/>
  <c r="M354" i="3" s="1"/>
  <c r="K353" i="3"/>
  <c r="L353" i="3" s="1"/>
  <c r="M353" i="3" s="1" a="1"/>
  <c r="M353" i="3" s="1"/>
  <c r="K352" i="3"/>
  <c r="L352" i="3" s="1"/>
  <c r="M352" i="3" s="1" a="1"/>
  <c r="M352" i="3" s="1"/>
  <c r="K351" i="3"/>
  <c r="L351" i="3" s="1"/>
  <c r="M351" i="3" s="1" a="1"/>
  <c r="M351" i="3" s="1"/>
  <c r="K350" i="3"/>
  <c r="L350" i="3" s="1"/>
  <c r="M350" i="3" s="1" a="1"/>
  <c r="M350" i="3" s="1"/>
  <c r="K349" i="3"/>
  <c r="L349" i="3" s="1"/>
  <c r="M349" i="3" s="1" a="1"/>
  <c r="M349" i="3" s="1"/>
  <c r="K348" i="3"/>
  <c r="L348" i="3" s="1"/>
  <c r="M348" i="3" s="1" a="1"/>
  <c r="M348" i="3" s="1"/>
  <c r="K347" i="3"/>
  <c r="L347" i="3" s="1"/>
  <c r="M347" i="3" s="1" a="1"/>
  <c r="M347" i="3" s="1"/>
  <c r="K346" i="3"/>
  <c r="L346" i="3" s="1"/>
  <c r="M346" i="3" s="1" a="1"/>
  <c r="M346" i="3" s="1"/>
  <c r="K345" i="3"/>
  <c r="L345" i="3" s="1"/>
  <c r="M345" i="3" s="1" a="1"/>
  <c r="M345" i="3" s="1"/>
  <c r="K344" i="3"/>
  <c r="L344" i="3" s="1"/>
  <c r="M344" i="3" s="1" a="1"/>
  <c r="M344" i="3" s="1"/>
  <c r="K343" i="3"/>
  <c r="L343" i="3" s="1"/>
  <c r="M343" i="3" s="1" a="1"/>
  <c r="M343" i="3" s="1"/>
  <c r="K342" i="3"/>
  <c r="L342" i="3" s="1"/>
  <c r="M342" i="3" s="1" a="1"/>
  <c r="M342" i="3" s="1"/>
  <c r="K341" i="3"/>
  <c r="L341" i="3" s="1"/>
  <c r="M341" i="3" s="1" a="1"/>
  <c r="M341" i="3" s="1"/>
  <c r="K340" i="3"/>
  <c r="L340" i="3" s="1"/>
  <c r="M340" i="3" s="1" a="1"/>
  <c r="M340" i="3" s="1"/>
  <c r="K339" i="3"/>
  <c r="L339" i="3" s="1"/>
  <c r="M339" i="3" s="1" a="1"/>
  <c r="M339" i="3" s="1"/>
  <c r="K338" i="3"/>
  <c r="L338" i="3" s="1"/>
  <c r="M338" i="3" s="1" a="1"/>
  <c r="M338" i="3" s="1"/>
  <c r="K337" i="3"/>
  <c r="L337" i="3" s="1"/>
  <c r="M337" i="3" s="1" a="1"/>
  <c r="M337" i="3" s="1"/>
  <c r="K336" i="3"/>
  <c r="L336" i="3" s="1"/>
  <c r="M336" i="3" s="1" a="1"/>
  <c r="M336" i="3" s="1"/>
  <c r="K335" i="3"/>
  <c r="L335" i="3" s="1"/>
  <c r="M335" i="3" s="1" a="1"/>
  <c r="M335" i="3" s="1"/>
  <c r="K334" i="3"/>
  <c r="L334" i="3" s="1"/>
  <c r="M334" i="3" s="1" a="1"/>
  <c r="M334" i="3" s="1"/>
  <c r="K333" i="3"/>
  <c r="L333" i="3" s="1"/>
  <c r="M333" i="3" s="1" a="1"/>
  <c r="M333" i="3" s="1"/>
  <c r="K332" i="3"/>
  <c r="L332" i="3" s="1"/>
  <c r="M332" i="3" s="1" a="1"/>
  <c r="M332" i="3" s="1"/>
  <c r="K331" i="3"/>
  <c r="L331" i="3" s="1"/>
  <c r="M331" i="3" s="1" a="1"/>
  <c r="M331" i="3" s="1"/>
  <c r="K330" i="3"/>
  <c r="L330" i="3" s="1"/>
  <c r="M330" i="3" s="1" a="1"/>
  <c r="M330" i="3" s="1"/>
  <c r="K329" i="3"/>
  <c r="L329" i="3" s="1"/>
  <c r="M329" i="3" s="1" a="1"/>
  <c r="M329" i="3" s="1"/>
  <c r="K328" i="3"/>
  <c r="L328" i="3" s="1"/>
  <c r="M328" i="3" s="1" a="1"/>
  <c r="M328" i="3" s="1"/>
  <c r="K327" i="3"/>
  <c r="L327" i="3" s="1"/>
  <c r="M327" i="3" s="1" a="1"/>
  <c r="M327" i="3" s="1"/>
  <c r="K326" i="3"/>
  <c r="L326" i="3" s="1"/>
  <c r="M326" i="3" s="1" a="1"/>
  <c r="M326" i="3" s="1"/>
  <c r="K325" i="3"/>
  <c r="L325" i="3" s="1"/>
  <c r="M325" i="3" s="1" a="1"/>
  <c r="M325" i="3" s="1"/>
  <c r="K324" i="3"/>
  <c r="L324" i="3" s="1"/>
  <c r="M324" i="3" s="1" a="1"/>
  <c r="M324" i="3" s="1"/>
  <c r="K323" i="3"/>
  <c r="L323" i="3" s="1"/>
  <c r="M323" i="3" s="1" a="1"/>
  <c r="M323" i="3" s="1"/>
  <c r="K322" i="3"/>
  <c r="L322" i="3" s="1"/>
  <c r="M322" i="3" s="1" a="1"/>
  <c r="M322" i="3" s="1"/>
  <c r="K321" i="3"/>
  <c r="L321" i="3" s="1"/>
  <c r="M321" i="3" s="1" a="1"/>
  <c r="M321" i="3" s="1"/>
  <c r="K320" i="3"/>
  <c r="L320" i="3" s="1"/>
  <c r="M320" i="3" s="1" a="1"/>
  <c r="M320" i="3" s="1"/>
  <c r="K319" i="3"/>
  <c r="L319" i="3" s="1"/>
  <c r="M319" i="3" s="1" a="1"/>
  <c r="M319" i="3" s="1"/>
  <c r="K318" i="3"/>
  <c r="L318" i="3" s="1"/>
  <c r="M318" i="3" s="1" a="1"/>
  <c r="M318" i="3" s="1"/>
  <c r="K317" i="3"/>
  <c r="L317" i="3" s="1"/>
  <c r="M317" i="3" s="1" a="1"/>
  <c r="M317" i="3" s="1"/>
  <c r="K316" i="3"/>
  <c r="L316" i="3" s="1"/>
  <c r="M316" i="3" s="1" a="1"/>
  <c r="M316" i="3" s="1"/>
  <c r="K315" i="3"/>
  <c r="L315" i="3" s="1"/>
  <c r="M315" i="3" s="1" a="1"/>
  <c r="M315" i="3" s="1"/>
  <c r="K314" i="3"/>
  <c r="L314" i="3" s="1"/>
  <c r="M314" i="3" s="1" a="1"/>
  <c r="M314" i="3" s="1"/>
  <c r="K313" i="3"/>
  <c r="L313" i="3" s="1"/>
  <c r="M313" i="3" s="1" a="1"/>
  <c r="M313" i="3" s="1"/>
  <c r="K312" i="3"/>
  <c r="L312" i="3" s="1"/>
  <c r="M312" i="3" s="1" a="1"/>
  <c r="M312" i="3" s="1"/>
  <c r="K311" i="3"/>
  <c r="L311" i="3" s="1"/>
  <c r="M311" i="3" s="1" a="1"/>
  <c r="M311" i="3" s="1"/>
  <c r="K310" i="3"/>
  <c r="L310" i="3" s="1"/>
  <c r="M310" i="3" s="1" a="1"/>
  <c r="M310" i="3" s="1"/>
  <c r="K309" i="3"/>
  <c r="L309" i="3" s="1"/>
  <c r="M309" i="3" s="1" a="1"/>
  <c r="M309" i="3" s="1"/>
  <c r="K308" i="3"/>
  <c r="L308" i="3" s="1"/>
  <c r="M308" i="3" s="1" a="1"/>
  <c r="M308" i="3" s="1"/>
  <c r="K307" i="3"/>
  <c r="L307" i="3" s="1"/>
  <c r="M307" i="3" s="1" a="1"/>
  <c r="M307" i="3" s="1"/>
  <c r="K306" i="3"/>
  <c r="L306" i="3" s="1"/>
  <c r="M306" i="3" s="1" a="1"/>
  <c r="M306" i="3" s="1"/>
  <c r="K305" i="3"/>
  <c r="L305" i="3" s="1"/>
  <c r="M305" i="3" s="1" a="1"/>
  <c r="M305" i="3" s="1"/>
  <c r="K304" i="3"/>
  <c r="L304" i="3" s="1"/>
  <c r="M304" i="3" s="1" a="1"/>
  <c r="M304" i="3" s="1"/>
  <c r="K303" i="3"/>
  <c r="L303" i="3" s="1"/>
  <c r="M303" i="3" s="1" a="1"/>
  <c r="M303" i="3" s="1"/>
  <c r="K302" i="3"/>
  <c r="L302" i="3" s="1"/>
  <c r="M302" i="3" s="1" a="1"/>
  <c r="M302" i="3" s="1"/>
  <c r="K301" i="3"/>
  <c r="L301" i="3" s="1"/>
  <c r="M301" i="3" s="1" a="1"/>
  <c r="M301" i="3" s="1"/>
  <c r="K300" i="3"/>
  <c r="L300" i="3" s="1"/>
  <c r="M300" i="3" s="1" a="1"/>
  <c r="M300" i="3" s="1"/>
  <c r="K299" i="3"/>
  <c r="L299" i="3" s="1"/>
  <c r="M299" i="3" s="1" a="1"/>
  <c r="M299" i="3" s="1"/>
  <c r="K298" i="3"/>
  <c r="L298" i="3" s="1"/>
  <c r="M298" i="3" s="1" a="1"/>
  <c r="M298" i="3" s="1"/>
  <c r="K297" i="3"/>
  <c r="L297" i="3" s="1"/>
  <c r="M297" i="3" s="1" a="1"/>
  <c r="M297" i="3" s="1"/>
  <c r="K296" i="3"/>
  <c r="L296" i="3" s="1"/>
  <c r="M296" i="3" s="1" a="1"/>
  <c r="M296" i="3" s="1"/>
  <c r="K295" i="3"/>
  <c r="L295" i="3" s="1"/>
  <c r="M295" i="3" s="1" a="1"/>
  <c r="M295" i="3" s="1"/>
  <c r="K294" i="3"/>
  <c r="L294" i="3" s="1"/>
  <c r="M294" i="3" s="1" a="1"/>
  <c r="M294" i="3" s="1"/>
  <c r="K293" i="3"/>
  <c r="L293" i="3" s="1"/>
  <c r="M293" i="3" s="1" a="1"/>
  <c r="M293" i="3" s="1"/>
  <c r="K292" i="3"/>
  <c r="L292" i="3" s="1"/>
  <c r="M292" i="3" s="1" a="1"/>
  <c r="M292" i="3" s="1"/>
  <c r="K291" i="3"/>
  <c r="L291" i="3" s="1"/>
  <c r="M291" i="3" s="1" a="1"/>
  <c r="M291" i="3" s="1"/>
  <c r="K1660" i="3"/>
  <c r="L1660" i="3" s="1"/>
  <c r="M1660" i="3" s="1" a="1"/>
  <c r="M1660" i="3" s="1"/>
  <c r="K1659" i="3"/>
  <c r="L1659" i="3" s="1"/>
  <c r="M1659" i="3" s="1" a="1"/>
  <c r="M1659" i="3" s="1"/>
  <c r="K1658" i="3"/>
  <c r="L1658" i="3" s="1"/>
  <c r="M1658" i="3" s="1" a="1"/>
  <c r="M1658" i="3" s="1"/>
  <c r="K1657" i="3"/>
  <c r="L1657" i="3" s="1"/>
  <c r="M1657" i="3" s="1" a="1"/>
  <c r="M1657" i="3" s="1"/>
  <c r="K1656" i="3"/>
  <c r="L1656" i="3" s="1"/>
  <c r="M1656" i="3" s="1" a="1"/>
  <c r="M1656" i="3" s="1"/>
  <c r="K1655" i="3"/>
  <c r="L1655" i="3" s="1"/>
  <c r="M1655" i="3" s="1" a="1"/>
  <c r="M1655" i="3" s="1"/>
  <c r="K1654" i="3"/>
  <c r="L1654" i="3" s="1"/>
  <c r="M1654" i="3" s="1" a="1"/>
  <c r="M1654" i="3" s="1"/>
  <c r="K1653" i="3"/>
  <c r="L1653" i="3" s="1"/>
  <c r="M1653" i="3" s="1" a="1"/>
  <c r="M1653" i="3" s="1"/>
  <c r="K1652" i="3"/>
  <c r="L1652" i="3" s="1"/>
  <c r="M1652" i="3" s="1" a="1"/>
  <c r="M1652" i="3" s="1"/>
  <c r="K1651" i="3"/>
  <c r="L1651" i="3" s="1"/>
  <c r="M1651" i="3" s="1" a="1"/>
  <c r="M1651" i="3" s="1"/>
  <c r="K1650" i="3"/>
  <c r="L1650" i="3" s="1"/>
  <c r="M1650" i="3" s="1" a="1"/>
  <c r="M1650" i="3" s="1"/>
  <c r="K1649" i="3"/>
  <c r="L1649" i="3" s="1"/>
  <c r="M1649" i="3" s="1" a="1"/>
  <c r="M1649" i="3" s="1"/>
  <c r="K1648" i="3"/>
  <c r="L1648" i="3" s="1"/>
  <c r="M1648" i="3" s="1" a="1"/>
  <c r="M1648" i="3" s="1"/>
  <c r="K1647" i="3"/>
  <c r="L1647" i="3" s="1"/>
  <c r="M1647" i="3" s="1" a="1"/>
  <c r="M1647" i="3" s="1"/>
  <c r="K1646" i="3"/>
  <c r="L1646" i="3" s="1"/>
  <c r="M1646" i="3" s="1" a="1"/>
  <c r="M1646" i="3" s="1"/>
  <c r="K1645" i="3"/>
  <c r="L1645" i="3" s="1"/>
  <c r="M1645" i="3" s="1" a="1"/>
  <c r="M1645" i="3" s="1"/>
  <c r="K1644" i="3"/>
  <c r="L1644" i="3" s="1"/>
  <c r="M1644" i="3" s="1" a="1"/>
  <c r="M1644" i="3" s="1"/>
  <c r="K1643" i="3"/>
  <c r="L1643" i="3" s="1"/>
  <c r="M1643" i="3" s="1" a="1"/>
  <c r="M1643" i="3" s="1"/>
  <c r="K1642" i="3"/>
  <c r="L1642" i="3" s="1"/>
  <c r="M1642" i="3" s="1" a="1"/>
  <c r="M1642" i="3" s="1"/>
  <c r="K1641" i="3"/>
  <c r="L1641" i="3" s="1"/>
  <c r="M1641" i="3" s="1" a="1"/>
  <c r="M1641" i="3" s="1"/>
  <c r="K1640" i="3"/>
  <c r="L1640" i="3" s="1"/>
  <c r="M1640" i="3" s="1" a="1"/>
  <c r="M1640" i="3" s="1"/>
  <c r="K1639" i="3"/>
  <c r="L1639" i="3" s="1"/>
  <c r="M1639" i="3" s="1" a="1"/>
  <c r="M1639" i="3" s="1"/>
  <c r="K1638" i="3"/>
  <c r="L1638" i="3" s="1"/>
  <c r="M1638" i="3" s="1" a="1"/>
  <c r="M1638" i="3" s="1"/>
  <c r="K1637" i="3"/>
  <c r="L1637" i="3" s="1"/>
  <c r="M1637" i="3" s="1" a="1"/>
  <c r="M1637" i="3" s="1"/>
  <c r="K1636" i="3"/>
  <c r="L1636" i="3" s="1"/>
  <c r="M1636" i="3" s="1" a="1"/>
  <c r="M1636" i="3" s="1"/>
  <c r="K1635" i="3"/>
  <c r="L1635" i="3" s="1"/>
  <c r="M1635" i="3" s="1" a="1"/>
  <c r="M1635" i="3" s="1"/>
  <c r="K1634" i="3"/>
  <c r="L1634" i="3" s="1"/>
  <c r="M1634" i="3" s="1" a="1"/>
  <c r="M1634" i="3" s="1"/>
  <c r="K1633" i="3"/>
  <c r="L1633" i="3" s="1"/>
  <c r="M1633" i="3" s="1" a="1"/>
  <c r="M1633" i="3" s="1"/>
  <c r="K1632" i="3"/>
  <c r="L1632" i="3" s="1"/>
  <c r="M1632" i="3" s="1" a="1"/>
  <c r="M1632" i="3" s="1"/>
  <c r="K1631" i="3"/>
  <c r="L1631" i="3" s="1"/>
  <c r="M1631" i="3" s="1" a="1"/>
  <c r="M1631" i="3" s="1"/>
  <c r="K1630" i="3"/>
  <c r="L1630" i="3" s="1"/>
  <c r="M1630" i="3" s="1" a="1"/>
  <c r="M1630" i="3" s="1"/>
  <c r="K1629" i="3"/>
  <c r="L1629" i="3" s="1"/>
  <c r="M1629" i="3" s="1" a="1"/>
  <c r="M1629" i="3" s="1"/>
  <c r="K1628" i="3"/>
  <c r="L1628" i="3" s="1"/>
  <c r="M1628" i="3" s="1" a="1"/>
  <c r="M1628" i="3" s="1"/>
  <c r="K1627" i="3"/>
  <c r="L1627" i="3" s="1"/>
  <c r="M1627" i="3" s="1" a="1"/>
  <c r="M1627" i="3" s="1"/>
  <c r="K1626" i="3"/>
  <c r="L1626" i="3" s="1"/>
  <c r="M1626" i="3" s="1" a="1"/>
  <c r="M1626" i="3" s="1"/>
  <c r="K1625" i="3"/>
  <c r="L1625" i="3" s="1"/>
  <c r="M1625" i="3" s="1" a="1"/>
  <c r="M1625" i="3" s="1"/>
  <c r="K1624" i="3"/>
  <c r="L1624" i="3" s="1"/>
  <c r="M1624" i="3" s="1" a="1"/>
  <c r="M1624" i="3" s="1"/>
  <c r="K1623" i="3"/>
  <c r="L1623" i="3" s="1"/>
  <c r="M1623" i="3" s="1" a="1"/>
  <c r="M1623" i="3" s="1"/>
  <c r="K1622" i="3"/>
  <c r="L1622" i="3" s="1"/>
  <c r="M1622" i="3" s="1" a="1"/>
  <c r="M1622" i="3" s="1"/>
  <c r="K1621" i="3"/>
  <c r="L1621" i="3" s="1"/>
  <c r="M1621" i="3" s="1" a="1"/>
  <c r="M1621" i="3" s="1"/>
  <c r="K1620" i="3"/>
  <c r="L1620" i="3" s="1"/>
  <c r="M1620" i="3" s="1" a="1"/>
  <c r="M1620" i="3" s="1"/>
  <c r="K1619" i="3"/>
  <c r="L1619" i="3" s="1"/>
  <c r="M1619" i="3" s="1" a="1"/>
  <c r="M1619" i="3" s="1"/>
  <c r="K1618" i="3"/>
  <c r="L1618" i="3" s="1"/>
  <c r="M1618" i="3" s="1" a="1"/>
  <c r="M1618" i="3" s="1"/>
  <c r="K1617" i="3"/>
  <c r="L1617" i="3" s="1"/>
  <c r="M1617" i="3" s="1" a="1"/>
  <c r="M1617" i="3" s="1"/>
  <c r="K1616" i="3"/>
  <c r="L1616" i="3" s="1"/>
  <c r="M1616" i="3" s="1" a="1"/>
  <c r="M1616" i="3" s="1"/>
  <c r="K1615" i="3"/>
  <c r="L1615" i="3" s="1"/>
  <c r="M1615" i="3" s="1" a="1"/>
  <c r="M1615" i="3" s="1"/>
  <c r="K1614" i="3"/>
  <c r="L1614" i="3" s="1"/>
  <c r="M1614" i="3" s="1" a="1"/>
  <c r="M1614" i="3" s="1"/>
  <c r="K1613" i="3"/>
  <c r="L1613" i="3" s="1"/>
  <c r="M1613" i="3" s="1" a="1"/>
  <c r="M1613" i="3" s="1"/>
  <c r="K1612" i="3"/>
  <c r="L1612" i="3" s="1"/>
  <c r="M1612" i="3" s="1" a="1"/>
  <c r="M1612" i="3" s="1"/>
  <c r="K1611" i="3"/>
  <c r="L1611" i="3" s="1"/>
  <c r="M1611" i="3" s="1" a="1"/>
  <c r="M1611" i="3" s="1"/>
  <c r="K1610" i="3"/>
  <c r="L1610" i="3" s="1"/>
  <c r="M1610" i="3" s="1" a="1"/>
  <c r="M1610" i="3" s="1"/>
  <c r="K1609" i="3"/>
  <c r="L1609" i="3" s="1"/>
  <c r="M1609" i="3" s="1" a="1"/>
  <c r="M1609" i="3" s="1"/>
  <c r="K1608" i="3"/>
  <c r="L1608" i="3" s="1"/>
  <c r="M1608" i="3" s="1" a="1"/>
  <c r="M1608" i="3" s="1"/>
  <c r="K1607" i="3"/>
  <c r="L1607" i="3" s="1"/>
  <c r="M1607" i="3" s="1" a="1"/>
  <c r="M1607" i="3" s="1"/>
  <c r="K1606" i="3"/>
  <c r="L1606" i="3" s="1"/>
  <c r="M1606" i="3" s="1" a="1"/>
  <c r="M1606" i="3" s="1"/>
  <c r="K1605" i="3"/>
  <c r="L1605" i="3" s="1"/>
  <c r="M1605" i="3" s="1" a="1"/>
  <c r="M1605" i="3" s="1"/>
  <c r="K1604" i="3"/>
  <c r="L1604" i="3" s="1"/>
  <c r="M1604" i="3" s="1" a="1"/>
  <c r="M1604" i="3" s="1"/>
  <c r="K1603" i="3"/>
  <c r="L1603" i="3" s="1"/>
  <c r="M1603" i="3" s="1" a="1"/>
  <c r="M1603" i="3" s="1"/>
  <c r="K1602" i="3"/>
  <c r="L1602" i="3" s="1"/>
  <c r="M1602" i="3" s="1" a="1"/>
  <c r="M1602" i="3" s="1"/>
  <c r="K1601" i="3"/>
  <c r="L1601" i="3" s="1"/>
  <c r="M1601" i="3" s="1" a="1"/>
  <c r="M1601" i="3" s="1"/>
  <c r="K1600" i="3"/>
  <c r="L1600" i="3" s="1"/>
  <c r="M1600" i="3" s="1" a="1"/>
  <c r="M1600" i="3" s="1"/>
  <c r="K1599" i="3"/>
  <c r="L1599" i="3" s="1"/>
  <c r="M1599" i="3" s="1" a="1"/>
  <c r="M1599" i="3" s="1"/>
  <c r="K1598" i="3"/>
  <c r="L1598" i="3" s="1"/>
  <c r="M1598" i="3" s="1" a="1"/>
  <c r="M1598" i="3" s="1"/>
  <c r="K1597" i="3"/>
  <c r="L1597" i="3" s="1"/>
  <c r="M1597" i="3" s="1" a="1"/>
  <c r="M1597" i="3" s="1"/>
  <c r="K1596" i="3"/>
  <c r="L1596" i="3" s="1"/>
  <c r="M1596" i="3" s="1" a="1"/>
  <c r="M1596" i="3" s="1"/>
  <c r="K1595" i="3"/>
  <c r="L1595" i="3" s="1"/>
  <c r="M1595" i="3" s="1" a="1"/>
  <c r="M1595" i="3" s="1"/>
  <c r="K1594" i="3"/>
  <c r="L1594" i="3" s="1"/>
  <c r="M1594" i="3" s="1" a="1"/>
  <c r="M1594" i="3" s="1"/>
  <c r="K1593" i="3"/>
  <c r="L1593" i="3" s="1"/>
  <c r="M1593" i="3" s="1" a="1"/>
  <c r="M1593" i="3" s="1"/>
  <c r="K1592" i="3"/>
  <c r="L1592" i="3" s="1"/>
  <c r="M1592" i="3" s="1" a="1"/>
  <c r="M1592" i="3" s="1"/>
  <c r="K1591" i="3"/>
  <c r="L1591" i="3" s="1"/>
  <c r="M1591" i="3" s="1" a="1"/>
  <c r="M1591" i="3" s="1"/>
  <c r="K1590" i="3"/>
  <c r="L1590" i="3" s="1"/>
  <c r="M1590" i="3" s="1" a="1"/>
  <c r="M1590" i="3" s="1"/>
  <c r="K1589" i="3"/>
  <c r="L1589" i="3" s="1"/>
  <c r="M1589" i="3" s="1" a="1"/>
  <c r="M1589" i="3" s="1"/>
  <c r="K1588" i="3"/>
  <c r="L1588" i="3" s="1"/>
  <c r="M1588" i="3" s="1" a="1"/>
  <c r="M1588" i="3" s="1"/>
  <c r="K1587" i="3"/>
  <c r="L1587" i="3" s="1"/>
  <c r="M1587" i="3" s="1" a="1"/>
  <c r="M1587" i="3" s="1"/>
  <c r="K1586" i="3"/>
  <c r="L1586" i="3" s="1"/>
  <c r="M1586" i="3" s="1" a="1"/>
  <c r="M1586" i="3" s="1"/>
  <c r="K1585" i="3"/>
  <c r="L1585" i="3" s="1"/>
  <c r="M1585" i="3" s="1" a="1"/>
  <c r="M1585" i="3" s="1"/>
  <c r="K1584" i="3"/>
  <c r="L1584" i="3" s="1"/>
  <c r="M1584" i="3" s="1" a="1"/>
  <c r="M1584" i="3" s="1"/>
  <c r="K1583" i="3"/>
  <c r="L1583" i="3" s="1"/>
  <c r="M1583" i="3" s="1" a="1"/>
  <c r="M1583" i="3" s="1"/>
  <c r="K1582" i="3"/>
  <c r="L1582" i="3" s="1"/>
  <c r="M1582" i="3" s="1" a="1"/>
  <c r="M1582" i="3" s="1"/>
  <c r="K1581" i="3"/>
  <c r="L1581" i="3" s="1"/>
  <c r="M1581" i="3" s="1" a="1"/>
  <c r="M1581" i="3" s="1"/>
  <c r="K1580" i="3"/>
  <c r="L1580" i="3" s="1"/>
  <c r="M1580" i="3" s="1" a="1"/>
  <c r="M1580" i="3" s="1"/>
  <c r="K1579" i="3"/>
  <c r="L1579" i="3" s="1"/>
  <c r="M1579" i="3" s="1" a="1"/>
  <c r="M1579" i="3" s="1"/>
  <c r="K1578" i="3"/>
  <c r="L1578" i="3" s="1"/>
  <c r="M1578" i="3" s="1" a="1"/>
  <c r="M1578" i="3" s="1"/>
  <c r="K1577" i="3"/>
  <c r="L1577" i="3" s="1"/>
  <c r="M1577" i="3" s="1" a="1"/>
  <c r="M1577" i="3" s="1"/>
  <c r="K1576" i="3"/>
  <c r="L1576" i="3" s="1"/>
  <c r="M1576" i="3" s="1" a="1"/>
  <c r="M1576" i="3" s="1"/>
  <c r="K1575" i="3"/>
  <c r="L1575" i="3" s="1"/>
  <c r="M1575" i="3" s="1" a="1"/>
  <c r="M1575" i="3" s="1"/>
  <c r="K1574" i="3"/>
  <c r="L1574" i="3" s="1"/>
  <c r="M1574" i="3" s="1" a="1"/>
  <c r="M1574" i="3" s="1"/>
  <c r="K1573" i="3"/>
  <c r="L1573" i="3" s="1"/>
  <c r="M1573" i="3" s="1" a="1"/>
  <c r="M1573" i="3" s="1"/>
  <c r="K1572" i="3"/>
  <c r="L1572" i="3" s="1"/>
  <c r="M1572" i="3" s="1" a="1"/>
  <c r="M1572" i="3" s="1"/>
  <c r="K1571" i="3"/>
  <c r="L1571" i="3" s="1"/>
  <c r="M1571" i="3" s="1" a="1"/>
  <c r="M1571" i="3" s="1"/>
  <c r="K1570" i="3"/>
  <c r="L1570" i="3" s="1"/>
  <c r="M1570" i="3" s="1" a="1"/>
  <c r="M1570" i="3" s="1"/>
  <c r="K1569" i="3"/>
  <c r="L1569" i="3" s="1"/>
  <c r="M1569" i="3" s="1" a="1"/>
  <c r="M1569" i="3" s="1"/>
  <c r="K1568" i="3"/>
  <c r="L1568" i="3" s="1"/>
  <c r="M1568" i="3" s="1" a="1"/>
  <c r="M1568" i="3" s="1"/>
  <c r="K1567" i="3"/>
  <c r="L1567" i="3" s="1"/>
  <c r="M1567" i="3" s="1" a="1"/>
  <c r="M1567" i="3" s="1"/>
  <c r="K1566" i="3"/>
  <c r="L1566" i="3" s="1"/>
  <c r="M1566" i="3" s="1" a="1"/>
  <c r="M1566" i="3" s="1"/>
  <c r="K1565" i="3"/>
  <c r="L1565" i="3" s="1"/>
  <c r="M1565" i="3" s="1" a="1"/>
  <c r="M1565" i="3" s="1"/>
  <c r="K1564" i="3"/>
  <c r="L1564" i="3" s="1"/>
  <c r="M1564" i="3" s="1" a="1"/>
  <c r="M1564" i="3" s="1"/>
  <c r="K1563" i="3"/>
  <c r="L1563" i="3" s="1"/>
  <c r="M1563" i="3" s="1" a="1"/>
  <c r="M1563" i="3" s="1"/>
  <c r="K1562" i="3"/>
  <c r="L1562" i="3" s="1"/>
  <c r="M1562" i="3" s="1" a="1"/>
  <c r="M1562" i="3" s="1"/>
  <c r="K1561" i="3"/>
  <c r="L1561" i="3" s="1"/>
  <c r="M1561" i="3" s="1" a="1"/>
  <c r="M1561" i="3" s="1"/>
  <c r="K1560" i="3"/>
  <c r="L1560" i="3" s="1"/>
  <c r="M1560" i="3" s="1" a="1"/>
  <c r="M1560" i="3" s="1"/>
  <c r="K1559" i="3"/>
  <c r="L1559" i="3" s="1"/>
  <c r="M1559" i="3" s="1" a="1"/>
  <c r="M1559" i="3" s="1"/>
  <c r="K1558" i="3"/>
  <c r="L1558" i="3" s="1"/>
  <c r="M1558" i="3" s="1" a="1"/>
  <c r="M1558" i="3" s="1"/>
  <c r="K1557" i="3"/>
  <c r="L1557" i="3" s="1"/>
  <c r="M1557" i="3" s="1" a="1"/>
  <c r="M1557" i="3" s="1"/>
  <c r="K1556" i="3"/>
  <c r="L1556" i="3" s="1"/>
  <c r="M1556" i="3" s="1" a="1"/>
  <c r="M1556" i="3" s="1"/>
  <c r="K1555" i="3"/>
  <c r="L1555" i="3" s="1"/>
  <c r="M1555" i="3" s="1" a="1"/>
  <c r="M1555" i="3" s="1"/>
  <c r="K1554" i="3"/>
  <c r="L1554" i="3" s="1"/>
  <c r="M1554" i="3" s="1" a="1"/>
  <c r="M1554" i="3" s="1"/>
  <c r="K1553" i="3"/>
  <c r="L1553" i="3" s="1"/>
  <c r="M1553" i="3" s="1" a="1"/>
  <c r="M1553" i="3" s="1"/>
  <c r="K1552" i="3"/>
  <c r="L1552" i="3" s="1"/>
  <c r="M1552" i="3" s="1" a="1"/>
  <c r="M1552" i="3" s="1"/>
  <c r="K1551" i="3"/>
  <c r="L1551" i="3" s="1"/>
  <c r="M1551" i="3" s="1" a="1"/>
  <c r="M1551" i="3" s="1"/>
  <c r="K1550" i="3"/>
  <c r="L1550" i="3" s="1"/>
  <c r="M1550" i="3" s="1" a="1"/>
  <c r="M1550" i="3" s="1"/>
  <c r="K1549" i="3"/>
  <c r="L1549" i="3" s="1"/>
  <c r="M1549" i="3" s="1" a="1"/>
  <c r="M1549" i="3" s="1"/>
  <c r="K1548" i="3"/>
  <c r="L1548" i="3" s="1"/>
  <c r="M1548" i="3" s="1" a="1"/>
  <c r="M1548" i="3" s="1"/>
  <c r="K1547" i="3"/>
  <c r="L1547" i="3" s="1"/>
  <c r="M1547" i="3" s="1" a="1"/>
  <c r="M1547" i="3" s="1"/>
  <c r="K1546" i="3"/>
  <c r="L1546" i="3" s="1"/>
  <c r="M1546" i="3" s="1" a="1"/>
  <c r="M1546" i="3" s="1"/>
  <c r="K1545" i="3"/>
  <c r="L1545" i="3" s="1"/>
  <c r="M1545" i="3" s="1" a="1"/>
  <c r="M1545" i="3" s="1"/>
  <c r="K1544" i="3"/>
  <c r="L1544" i="3" s="1"/>
  <c r="M1544" i="3" s="1" a="1"/>
  <c r="M1544" i="3" s="1"/>
  <c r="K1543" i="3"/>
  <c r="L1543" i="3" s="1"/>
  <c r="M1543" i="3" s="1" a="1"/>
  <c r="M1543" i="3" s="1"/>
  <c r="K1542" i="3"/>
  <c r="L1542" i="3" s="1"/>
  <c r="M1542" i="3" s="1" a="1"/>
  <c r="M1542" i="3" s="1"/>
  <c r="K1541" i="3"/>
  <c r="L1541" i="3" s="1"/>
  <c r="M1541" i="3" s="1" a="1"/>
  <c r="M1541" i="3" s="1"/>
  <c r="K1540" i="3"/>
  <c r="L1540" i="3" s="1"/>
  <c r="M1540" i="3" s="1" a="1"/>
  <c r="M1540" i="3" s="1"/>
  <c r="K1539" i="3"/>
  <c r="L1539" i="3" s="1"/>
  <c r="M1539" i="3" s="1" a="1"/>
  <c r="M1539" i="3" s="1"/>
  <c r="K1538" i="3"/>
  <c r="L1538" i="3" s="1"/>
  <c r="M1538" i="3" s="1" a="1"/>
  <c r="M1538" i="3" s="1"/>
  <c r="K1537" i="3"/>
  <c r="L1537" i="3" s="1"/>
  <c r="M1537" i="3" s="1" a="1"/>
  <c r="M1537" i="3" s="1"/>
  <c r="K1536" i="3"/>
  <c r="L1536" i="3" s="1"/>
  <c r="M1536" i="3" s="1" a="1"/>
  <c r="M1536" i="3" s="1"/>
  <c r="K1535" i="3"/>
  <c r="L1535" i="3" s="1"/>
  <c r="M1535" i="3" s="1" a="1"/>
  <c r="M1535" i="3" s="1"/>
  <c r="K1534" i="3"/>
  <c r="L1534" i="3" s="1"/>
  <c r="M1534" i="3" s="1" a="1"/>
  <c r="M1534" i="3" s="1"/>
  <c r="K1533" i="3"/>
  <c r="L1533" i="3" s="1"/>
  <c r="M1533" i="3" s="1" a="1"/>
  <c r="M1533" i="3" s="1"/>
  <c r="K1532" i="3"/>
  <c r="L1532" i="3" s="1"/>
  <c r="M1532" i="3" s="1" a="1"/>
  <c r="M1532" i="3" s="1"/>
  <c r="K1531" i="3"/>
  <c r="L1531" i="3" s="1"/>
  <c r="M1531" i="3" s="1" a="1"/>
  <c r="M1531" i="3" s="1"/>
  <c r="K1530" i="3"/>
  <c r="L1530" i="3" s="1"/>
  <c r="M1530" i="3" s="1" a="1"/>
  <c r="M1530" i="3" s="1"/>
  <c r="K1529" i="3"/>
  <c r="L1529" i="3" s="1"/>
  <c r="M1529" i="3" s="1" a="1"/>
  <c r="M1529" i="3" s="1"/>
  <c r="K1528" i="3"/>
  <c r="L1528" i="3" s="1"/>
  <c r="M1528" i="3" s="1" a="1"/>
  <c r="M1528" i="3" s="1"/>
  <c r="K1527" i="3"/>
  <c r="L1527" i="3" s="1"/>
  <c r="M1527" i="3" s="1" a="1"/>
  <c r="M1527" i="3" s="1"/>
  <c r="K1526" i="3"/>
  <c r="L1526" i="3" s="1"/>
  <c r="M1526" i="3" s="1" a="1"/>
  <c r="M1526" i="3" s="1"/>
  <c r="K1525" i="3"/>
  <c r="L1525" i="3" s="1"/>
  <c r="M1525" i="3" s="1" a="1"/>
  <c r="M1525" i="3" s="1"/>
  <c r="K1524" i="3"/>
  <c r="L1524" i="3" s="1"/>
  <c r="M1524" i="3" s="1" a="1"/>
  <c r="M1524" i="3" s="1"/>
  <c r="K1523" i="3"/>
  <c r="L1523" i="3" s="1"/>
  <c r="M1523" i="3" s="1" a="1"/>
  <c r="M1523" i="3" s="1"/>
  <c r="K1522" i="3"/>
  <c r="L1522" i="3" s="1"/>
  <c r="M1522" i="3" s="1" a="1"/>
  <c r="M1522" i="3" s="1"/>
  <c r="K1521" i="3"/>
  <c r="L1521" i="3" s="1"/>
  <c r="M1521" i="3" s="1" a="1"/>
  <c r="M1521" i="3" s="1"/>
  <c r="K1520" i="3"/>
  <c r="L1520" i="3" s="1"/>
  <c r="M1520" i="3" s="1" a="1"/>
  <c r="M1520" i="3" s="1"/>
  <c r="K1519" i="3"/>
  <c r="L1519" i="3" s="1"/>
  <c r="M1519" i="3" s="1" a="1"/>
  <c r="M1519" i="3" s="1"/>
  <c r="K1518" i="3"/>
  <c r="L1518" i="3" s="1"/>
  <c r="M1518" i="3" s="1" a="1"/>
  <c r="M1518" i="3" s="1"/>
  <c r="K1517" i="3"/>
  <c r="L1517" i="3" s="1"/>
  <c r="M1517" i="3" s="1" a="1"/>
  <c r="M1517" i="3" s="1"/>
  <c r="K1516" i="3"/>
  <c r="L1516" i="3" s="1"/>
  <c r="M1516" i="3" s="1" a="1"/>
  <c r="M1516" i="3" s="1"/>
  <c r="K1515" i="3"/>
  <c r="L1515" i="3" s="1"/>
  <c r="M1515" i="3" s="1" a="1"/>
  <c r="M1515" i="3" s="1"/>
  <c r="K1514" i="3"/>
  <c r="L1514" i="3" s="1"/>
  <c r="M1514" i="3" s="1" a="1"/>
  <c r="M1514" i="3" s="1"/>
  <c r="K1513" i="3"/>
  <c r="L1513" i="3" s="1"/>
  <c r="M1513" i="3" s="1" a="1"/>
  <c r="M1513" i="3" s="1"/>
  <c r="K1512" i="3"/>
  <c r="L1512" i="3" s="1"/>
  <c r="M1512" i="3" s="1" a="1"/>
  <c r="M1512" i="3" s="1"/>
  <c r="K1511" i="3"/>
  <c r="L1511" i="3" s="1"/>
  <c r="M1511" i="3" s="1" a="1"/>
  <c r="M1511" i="3" s="1"/>
  <c r="K1510" i="3"/>
  <c r="L1510" i="3" s="1"/>
  <c r="M1510" i="3" s="1" a="1"/>
  <c r="M1510" i="3" s="1"/>
  <c r="K1509" i="3"/>
  <c r="L1509" i="3" s="1"/>
  <c r="M1509" i="3" s="1" a="1"/>
  <c r="M1509" i="3" s="1"/>
  <c r="K1508" i="3"/>
  <c r="L1508" i="3" s="1"/>
  <c r="M1508" i="3" s="1" a="1"/>
  <c r="M1508" i="3" s="1"/>
  <c r="K1507" i="3"/>
  <c r="L1507" i="3" s="1"/>
  <c r="M1507" i="3" s="1" a="1"/>
  <c r="M1507" i="3" s="1"/>
  <c r="K1506" i="3"/>
  <c r="L1506" i="3" s="1"/>
  <c r="M1506" i="3" s="1" a="1"/>
  <c r="M1506" i="3" s="1"/>
  <c r="K1505" i="3"/>
  <c r="L1505" i="3" s="1"/>
  <c r="M1505" i="3" s="1" a="1"/>
  <c r="M1505" i="3" s="1"/>
  <c r="K1504" i="3"/>
  <c r="L1504" i="3" s="1"/>
  <c r="M1504" i="3" s="1" a="1"/>
  <c r="M1504" i="3" s="1"/>
  <c r="K1503" i="3"/>
  <c r="L1503" i="3" s="1"/>
  <c r="M1503" i="3" s="1" a="1"/>
  <c r="M1503" i="3" s="1"/>
  <c r="K1502" i="3"/>
  <c r="L1502" i="3" s="1"/>
  <c r="M1502" i="3" s="1" a="1"/>
  <c r="M1502" i="3" s="1"/>
  <c r="K1501" i="3"/>
  <c r="L1501" i="3" s="1"/>
  <c r="M1501" i="3" s="1" a="1"/>
  <c r="M1501" i="3" s="1"/>
  <c r="K1500" i="3"/>
  <c r="L1500" i="3" s="1"/>
  <c r="M1500" i="3" s="1" a="1"/>
  <c r="M1500" i="3" s="1"/>
  <c r="K1499" i="3"/>
  <c r="L1499" i="3" s="1"/>
  <c r="M1499" i="3" s="1" a="1"/>
  <c r="M1499" i="3" s="1"/>
  <c r="K1498" i="3"/>
  <c r="L1498" i="3" s="1"/>
  <c r="M1498" i="3" s="1" a="1"/>
  <c r="M1498" i="3" s="1"/>
  <c r="K1497" i="3"/>
  <c r="L1497" i="3" s="1"/>
  <c r="M1497" i="3" s="1" a="1"/>
  <c r="M1497" i="3" s="1"/>
  <c r="K1496" i="3"/>
  <c r="L1496" i="3" s="1"/>
  <c r="M1496" i="3" s="1" a="1"/>
  <c r="M1496" i="3" s="1"/>
  <c r="K1495" i="3"/>
  <c r="L1495" i="3" s="1"/>
  <c r="M1495" i="3" s="1" a="1"/>
  <c r="M1495" i="3" s="1"/>
  <c r="K1494" i="3"/>
  <c r="L1494" i="3" s="1"/>
  <c r="M1494" i="3" s="1" a="1"/>
  <c r="M1494" i="3" s="1"/>
  <c r="K1493" i="3"/>
  <c r="L1493" i="3" s="1"/>
  <c r="M1493" i="3" s="1" a="1"/>
  <c r="M1493" i="3" s="1"/>
  <c r="K1492" i="3"/>
  <c r="L1492" i="3" s="1"/>
  <c r="M1492" i="3" s="1" a="1"/>
  <c r="M1492" i="3" s="1"/>
  <c r="K1491" i="3"/>
  <c r="L1491" i="3" s="1"/>
  <c r="M1491" i="3" s="1" a="1"/>
  <c r="M1491" i="3" s="1"/>
  <c r="K1490" i="3"/>
  <c r="L1490" i="3" s="1"/>
  <c r="M1490" i="3" s="1" a="1"/>
  <c r="M1490" i="3" s="1"/>
  <c r="K1489" i="3"/>
  <c r="L1489" i="3" s="1"/>
  <c r="M1489" i="3" s="1" a="1"/>
  <c r="M1489" i="3" s="1"/>
  <c r="K1488" i="3"/>
  <c r="L1488" i="3" s="1"/>
  <c r="M1488" i="3" s="1" a="1"/>
  <c r="M1488" i="3" s="1"/>
  <c r="K1487" i="3"/>
  <c r="L1487" i="3" s="1"/>
  <c r="M1487" i="3" s="1" a="1"/>
  <c r="M1487" i="3" s="1"/>
  <c r="K1486" i="3"/>
  <c r="L1486" i="3" s="1"/>
  <c r="M1486" i="3" s="1" a="1"/>
  <c r="M1486" i="3" s="1"/>
  <c r="K1485" i="3"/>
  <c r="L1485" i="3" s="1"/>
  <c r="M1485" i="3" s="1" a="1"/>
  <c r="M1485" i="3" s="1"/>
  <c r="K1484" i="3"/>
  <c r="L1484" i="3" s="1"/>
  <c r="M1484" i="3" s="1" a="1"/>
  <c r="M1484" i="3" s="1"/>
  <c r="K1483" i="3"/>
  <c r="L1483" i="3" s="1"/>
  <c r="M1483" i="3" s="1" a="1"/>
  <c r="M1483" i="3" s="1"/>
  <c r="K1482" i="3"/>
  <c r="L1482" i="3" s="1"/>
  <c r="M1482" i="3" s="1" a="1"/>
  <c r="M1482" i="3" s="1"/>
  <c r="K1481" i="3"/>
  <c r="L1481" i="3" s="1"/>
  <c r="M1481" i="3" s="1" a="1"/>
  <c r="M1481" i="3" s="1"/>
  <c r="K1480" i="3"/>
  <c r="L1480" i="3" s="1"/>
  <c r="M1480" i="3" s="1" a="1"/>
  <c r="M1480" i="3" s="1"/>
  <c r="K1479" i="3"/>
  <c r="L1479" i="3" s="1"/>
  <c r="M1479" i="3" s="1" a="1"/>
  <c r="M1479" i="3" s="1"/>
  <c r="K1478" i="3"/>
  <c r="L1478" i="3" s="1"/>
  <c r="M1478" i="3" s="1" a="1"/>
  <c r="M1478" i="3" s="1"/>
  <c r="K1477" i="3"/>
  <c r="L1477" i="3" s="1"/>
  <c r="M1477" i="3" s="1" a="1"/>
  <c r="M1477" i="3" s="1"/>
  <c r="K1476" i="3"/>
  <c r="L1476" i="3" s="1"/>
  <c r="M1476" i="3" s="1" a="1"/>
  <c r="M1476" i="3" s="1"/>
  <c r="K1475" i="3"/>
  <c r="L1475" i="3" s="1"/>
  <c r="M1475" i="3" s="1" a="1"/>
  <c r="M1475" i="3" s="1"/>
  <c r="K1474" i="3"/>
  <c r="L1474" i="3" s="1"/>
  <c r="M1474" i="3" s="1" a="1"/>
  <c r="M1474" i="3" s="1"/>
  <c r="K1473" i="3"/>
  <c r="L1473" i="3" s="1"/>
  <c r="M1473" i="3" s="1" a="1"/>
  <c r="M1473" i="3" s="1"/>
  <c r="K1472" i="3"/>
  <c r="L1472" i="3" s="1"/>
  <c r="M1472" i="3" s="1" a="1"/>
  <c r="M1472" i="3" s="1"/>
  <c r="K1471" i="3"/>
  <c r="L1471" i="3" s="1"/>
  <c r="M1471" i="3" s="1" a="1"/>
  <c r="M1471" i="3" s="1"/>
  <c r="K1470" i="3"/>
  <c r="L1470" i="3" s="1"/>
  <c r="M1470" i="3" s="1" a="1"/>
  <c r="M1470" i="3" s="1"/>
  <c r="K1469" i="3"/>
  <c r="L1469" i="3" s="1"/>
  <c r="M1469" i="3" s="1" a="1"/>
  <c r="M1469" i="3" s="1"/>
  <c r="K1468" i="3"/>
  <c r="L1468" i="3" s="1"/>
  <c r="M1468" i="3" s="1" a="1"/>
  <c r="M1468" i="3" s="1"/>
  <c r="K1467" i="3"/>
  <c r="L1467" i="3" s="1"/>
  <c r="M1467" i="3" s="1" a="1"/>
  <c r="M1467" i="3" s="1"/>
  <c r="K1466" i="3"/>
  <c r="L1466" i="3" s="1"/>
  <c r="M1466" i="3" s="1" a="1"/>
  <c r="M1466" i="3" s="1"/>
  <c r="K1465" i="3"/>
  <c r="L1465" i="3" s="1"/>
  <c r="M1465" i="3" s="1" a="1"/>
  <c r="M1465" i="3" s="1"/>
  <c r="K1464" i="3"/>
  <c r="L1464" i="3" s="1"/>
  <c r="M1464" i="3" s="1" a="1"/>
  <c r="M1464" i="3" s="1"/>
  <c r="K1463" i="3"/>
  <c r="L1463" i="3" s="1"/>
  <c r="M1463" i="3" s="1" a="1"/>
  <c r="M1463" i="3" s="1"/>
  <c r="K1462" i="3"/>
  <c r="L1462" i="3" s="1"/>
  <c r="M1462" i="3" s="1" a="1"/>
  <c r="M1462" i="3" s="1"/>
  <c r="K1461" i="3"/>
  <c r="L1461" i="3" s="1"/>
  <c r="M1461" i="3" s="1" a="1"/>
  <c r="M1461" i="3" s="1"/>
  <c r="K1460" i="3"/>
  <c r="L1460" i="3" s="1"/>
  <c r="M1460" i="3" s="1" a="1"/>
  <c r="M1460" i="3" s="1"/>
  <c r="K1459" i="3"/>
  <c r="L1459" i="3" s="1"/>
  <c r="M1459" i="3" s="1" a="1"/>
  <c r="M1459" i="3" s="1"/>
  <c r="K1458" i="3"/>
  <c r="L1458" i="3" s="1"/>
  <c r="M1458" i="3" s="1" a="1"/>
  <c r="M1458" i="3" s="1"/>
  <c r="K1457" i="3"/>
  <c r="L1457" i="3" s="1"/>
  <c r="M1457" i="3" s="1" a="1"/>
  <c r="M1457" i="3" s="1"/>
  <c r="K1456" i="3"/>
  <c r="L1456" i="3" s="1"/>
  <c r="M1456" i="3" s="1" a="1"/>
  <c r="M1456" i="3" s="1"/>
  <c r="K1455" i="3"/>
  <c r="L1455" i="3" s="1"/>
  <c r="M1455" i="3" s="1" a="1"/>
  <c r="M1455" i="3" s="1"/>
  <c r="K1454" i="3"/>
  <c r="L1454" i="3" s="1"/>
  <c r="M1454" i="3" s="1" a="1"/>
  <c r="M1454" i="3" s="1"/>
  <c r="K1453" i="3"/>
  <c r="L1453" i="3" s="1"/>
  <c r="M1453" i="3" s="1" a="1"/>
  <c r="M1453" i="3" s="1"/>
  <c r="K1452" i="3"/>
  <c r="L1452" i="3" s="1"/>
  <c r="M1452" i="3" s="1" a="1"/>
  <c r="M1452" i="3" s="1"/>
  <c r="K1451" i="3"/>
  <c r="L1451" i="3" s="1"/>
  <c r="M1451" i="3" s="1" a="1"/>
  <c r="M1451" i="3" s="1"/>
  <c r="K1450" i="3"/>
  <c r="L1450" i="3" s="1"/>
  <c r="M1450" i="3" s="1" a="1"/>
  <c r="M1450" i="3" s="1"/>
  <c r="K1449" i="3"/>
  <c r="L1449" i="3" s="1"/>
  <c r="M1449" i="3" s="1" a="1"/>
  <c r="M1449" i="3" s="1"/>
  <c r="K1448" i="3"/>
  <c r="L1448" i="3" s="1"/>
  <c r="M1448" i="3" s="1" a="1"/>
  <c r="M1448" i="3" s="1"/>
  <c r="K1447" i="3"/>
  <c r="L1447" i="3" s="1"/>
  <c r="M1447" i="3" s="1" a="1"/>
  <c r="M1447" i="3" s="1"/>
  <c r="K1446" i="3"/>
  <c r="L1446" i="3" s="1"/>
  <c r="M1446" i="3" s="1" a="1"/>
  <c r="M1446" i="3" s="1"/>
  <c r="K1445" i="3"/>
  <c r="L1445" i="3" s="1"/>
  <c r="M1445" i="3" s="1" a="1"/>
  <c r="M1445" i="3" s="1"/>
  <c r="K1444" i="3"/>
  <c r="L1444" i="3" s="1"/>
  <c r="M1444" i="3" s="1" a="1"/>
  <c r="M1444" i="3" s="1"/>
  <c r="K1443" i="3"/>
  <c r="L1443" i="3" s="1"/>
  <c r="M1443" i="3" s="1" a="1"/>
  <c r="M1443" i="3" s="1"/>
  <c r="K1442" i="3"/>
  <c r="L1442" i="3" s="1"/>
  <c r="M1442" i="3" s="1" a="1"/>
  <c r="M1442" i="3" s="1"/>
  <c r="K1441" i="3"/>
  <c r="L1441" i="3" s="1"/>
  <c r="M1441" i="3" s="1" a="1"/>
  <c r="M1441" i="3" s="1"/>
  <c r="K1440" i="3"/>
  <c r="L1440" i="3" s="1"/>
  <c r="M1440" i="3" s="1" a="1"/>
  <c r="M1440" i="3" s="1"/>
  <c r="K1439" i="3"/>
  <c r="L1439" i="3" s="1"/>
  <c r="M1439" i="3" s="1" a="1"/>
  <c r="M1439" i="3" s="1"/>
  <c r="K1438" i="3"/>
  <c r="L1438" i="3" s="1"/>
  <c r="M1438" i="3" s="1" a="1"/>
  <c r="M1438" i="3" s="1"/>
  <c r="K1437" i="3"/>
  <c r="L1437" i="3" s="1"/>
  <c r="M1437" i="3" s="1" a="1"/>
  <c r="M1437" i="3" s="1"/>
  <c r="K1436" i="3"/>
  <c r="L1436" i="3" s="1"/>
  <c r="M1436" i="3" s="1" a="1"/>
  <c r="M1436" i="3" s="1"/>
  <c r="K1435" i="3"/>
  <c r="L1435" i="3" s="1"/>
  <c r="M1435" i="3" s="1" a="1"/>
  <c r="M1435" i="3" s="1"/>
  <c r="K1434" i="3"/>
  <c r="L1434" i="3" s="1"/>
  <c r="M1434" i="3" s="1" a="1"/>
  <c r="M1434" i="3" s="1"/>
  <c r="K1433" i="3"/>
  <c r="L1433" i="3" s="1"/>
  <c r="M1433" i="3" s="1" a="1"/>
  <c r="M1433" i="3" s="1"/>
  <c r="K1432" i="3"/>
  <c r="L1432" i="3" s="1"/>
  <c r="M1432" i="3" s="1" a="1"/>
  <c r="M1432" i="3" s="1"/>
  <c r="K1431" i="3"/>
  <c r="L1431" i="3" s="1"/>
  <c r="M1431" i="3" s="1" a="1"/>
  <c r="M1431" i="3" s="1"/>
  <c r="K1430" i="3"/>
  <c r="L1430" i="3" s="1"/>
  <c r="M1430" i="3" s="1" a="1"/>
  <c r="M1430" i="3" s="1"/>
  <c r="K1429" i="3"/>
  <c r="L1429" i="3" s="1"/>
  <c r="M1429" i="3" s="1" a="1"/>
  <c r="M1429" i="3" s="1"/>
  <c r="K1428" i="3"/>
  <c r="L1428" i="3" s="1"/>
  <c r="M1428" i="3" s="1" a="1"/>
  <c r="M1428" i="3" s="1"/>
  <c r="K1427" i="3"/>
  <c r="L1427" i="3" s="1"/>
  <c r="M1427" i="3" s="1" a="1"/>
  <c r="M1427" i="3" s="1"/>
  <c r="K1426" i="3"/>
  <c r="L1426" i="3" s="1"/>
  <c r="M1426" i="3" s="1" a="1"/>
  <c r="M1426" i="3" s="1"/>
  <c r="K1425" i="3"/>
  <c r="L1425" i="3" s="1"/>
  <c r="M1425" i="3" s="1" a="1"/>
  <c r="M1425" i="3" s="1"/>
  <c r="K1424" i="3"/>
  <c r="L1424" i="3" s="1"/>
  <c r="M1424" i="3" s="1" a="1"/>
  <c r="M1424" i="3" s="1"/>
  <c r="K1423" i="3"/>
  <c r="L1423" i="3" s="1"/>
  <c r="M1423" i="3" s="1" a="1"/>
  <c r="M1423" i="3" s="1"/>
  <c r="K1422" i="3"/>
  <c r="L1422" i="3" s="1"/>
  <c r="M1422" i="3" s="1" a="1"/>
  <c r="M1422" i="3" s="1"/>
  <c r="K1421" i="3"/>
  <c r="L1421" i="3" s="1"/>
  <c r="M1421" i="3" s="1" a="1"/>
  <c r="M1421" i="3" s="1"/>
  <c r="K1420" i="3"/>
  <c r="L1420" i="3" s="1"/>
  <c r="M1420" i="3" s="1" a="1"/>
  <c r="M1420" i="3" s="1"/>
  <c r="K1419" i="3"/>
  <c r="L1419" i="3" s="1"/>
  <c r="M1419" i="3" s="1" a="1"/>
  <c r="M1419" i="3" s="1"/>
  <c r="K1418" i="3"/>
  <c r="L1418" i="3" s="1"/>
  <c r="M1418" i="3" s="1" a="1"/>
  <c r="M1418" i="3" s="1"/>
  <c r="K1417" i="3"/>
  <c r="L1417" i="3" s="1"/>
  <c r="M1417" i="3" s="1" a="1"/>
  <c r="M1417" i="3" s="1"/>
  <c r="K1416" i="3"/>
  <c r="L1416" i="3" s="1"/>
  <c r="M1416" i="3" s="1" a="1"/>
  <c r="M1416" i="3" s="1"/>
  <c r="K1415" i="3"/>
  <c r="L1415" i="3" s="1"/>
  <c r="M1415" i="3" s="1" a="1"/>
  <c r="M1415" i="3" s="1"/>
  <c r="K1414" i="3"/>
  <c r="L1414" i="3" s="1"/>
  <c r="M1414" i="3" s="1" a="1"/>
  <c r="M1414" i="3" s="1"/>
  <c r="K1413" i="3"/>
  <c r="L1413" i="3" s="1"/>
  <c r="M1413" i="3" s="1" a="1"/>
  <c r="M1413" i="3" s="1"/>
  <c r="K1412" i="3"/>
  <c r="L1412" i="3" s="1"/>
  <c r="M1412" i="3" s="1" a="1"/>
  <c r="M1412" i="3" s="1"/>
  <c r="K1411" i="3"/>
  <c r="L1411" i="3" s="1"/>
  <c r="M1411" i="3" s="1" a="1"/>
  <c r="M1411" i="3" s="1"/>
  <c r="K1410" i="3"/>
  <c r="L1410" i="3" s="1"/>
  <c r="M1410" i="3" s="1" a="1"/>
  <c r="M1410" i="3" s="1"/>
  <c r="K1409" i="3"/>
  <c r="L1409" i="3" s="1"/>
  <c r="M1409" i="3" s="1" a="1"/>
  <c r="M1409" i="3" s="1"/>
  <c r="K1408" i="3"/>
  <c r="L1408" i="3" s="1"/>
  <c r="M1408" i="3" s="1" a="1"/>
  <c r="M1408" i="3" s="1"/>
  <c r="K1407" i="3"/>
  <c r="L1407" i="3" s="1"/>
  <c r="M1407" i="3" s="1" a="1"/>
  <c r="M1407" i="3" s="1"/>
  <c r="K1406" i="3"/>
  <c r="L1406" i="3" s="1"/>
  <c r="M1406" i="3" s="1" a="1"/>
  <c r="M1406" i="3" s="1"/>
  <c r="K1405" i="3"/>
  <c r="L1405" i="3" s="1"/>
  <c r="M1405" i="3" s="1" a="1"/>
  <c r="M1405" i="3" s="1"/>
  <c r="K1404" i="3"/>
  <c r="L1404" i="3" s="1"/>
  <c r="M1404" i="3" s="1" a="1"/>
  <c r="M1404" i="3" s="1"/>
  <c r="K1403" i="3"/>
  <c r="L1403" i="3" s="1"/>
  <c r="M1403" i="3" s="1" a="1"/>
  <c r="M1403" i="3" s="1"/>
  <c r="K1402" i="3"/>
  <c r="L1402" i="3" s="1"/>
  <c r="M1402" i="3" s="1" a="1"/>
  <c r="M1402" i="3" s="1"/>
  <c r="K1401" i="3"/>
  <c r="L1401" i="3" s="1"/>
  <c r="M1401" i="3" s="1" a="1"/>
  <c r="M1401" i="3" s="1"/>
  <c r="K1400" i="3"/>
  <c r="L1400" i="3" s="1"/>
  <c r="M1400" i="3" s="1" a="1"/>
  <c r="M1400" i="3" s="1"/>
  <c r="K1399" i="3"/>
  <c r="L1399" i="3" s="1"/>
  <c r="M1399" i="3" s="1" a="1"/>
  <c r="M1399" i="3" s="1"/>
  <c r="K1398" i="3"/>
  <c r="L1398" i="3" s="1"/>
  <c r="M1398" i="3" s="1" a="1"/>
  <c r="M1398" i="3" s="1"/>
  <c r="K1397" i="3"/>
  <c r="L1397" i="3" s="1"/>
  <c r="M1397" i="3" s="1" a="1"/>
  <c r="M1397" i="3" s="1"/>
  <c r="K1396" i="3"/>
  <c r="L1396" i="3" s="1"/>
  <c r="M1396" i="3" s="1" a="1"/>
  <c r="M1396" i="3" s="1"/>
  <c r="K1395" i="3"/>
  <c r="L1395" i="3" s="1"/>
  <c r="M1395" i="3" s="1" a="1"/>
  <c r="M1395" i="3" s="1"/>
  <c r="K1394" i="3"/>
  <c r="L1394" i="3" s="1"/>
  <c r="M1394" i="3" s="1" a="1"/>
  <c r="M1394" i="3" s="1"/>
  <c r="K1393" i="3"/>
  <c r="L1393" i="3" s="1"/>
  <c r="M1393" i="3" s="1" a="1"/>
  <c r="M1393" i="3" s="1"/>
  <c r="K1392" i="3"/>
  <c r="L1392" i="3" s="1"/>
  <c r="M1392" i="3" s="1" a="1"/>
  <c r="M1392" i="3" s="1"/>
  <c r="K1391" i="3"/>
  <c r="L1391" i="3" s="1"/>
  <c r="M1391" i="3" s="1" a="1"/>
  <c r="M1391" i="3" s="1"/>
  <c r="K1390" i="3"/>
  <c r="L1390" i="3" s="1"/>
  <c r="M1390" i="3" s="1" a="1"/>
  <c r="M1390" i="3" s="1"/>
  <c r="K1389" i="3"/>
  <c r="L1389" i="3" s="1"/>
  <c r="M1389" i="3" s="1" a="1"/>
  <c r="M1389" i="3" s="1"/>
  <c r="K1388" i="3"/>
  <c r="L1388" i="3" s="1"/>
  <c r="M1388" i="3" s="1" a="1"/>
  <c r="M1388" i="3" s="1"/>
  <c r="K1387" i="3"/>
  <c r="L1387" i="3" s="1"/>
  <c r="M1387" i="3" s="1" a="1"/>
  <c r="M1387" i="3" s="1"/>
  <c r="K1386" i="3"/>
  <c r="L1386" i="3" s="1"/>
  <c r="M1386" i="3" s="1" a="1"/>
  <c r="M1386" i="3" s="1"/>
  <c r="K1385" i="3"/>
  <c r="L1385" i="3" s="1"/>
  <c r="M1385" i="3" s="1" a="1"/>
  <c r="M1385" i="3" s="1"/>
  <c r="K1384" i="3"/>
  <c r="L1384" i="3" s="1"/>
  <c r="M1384" i="3" s="1" a="1"/>
  <c r="M1384" i="3" s="1"/>
  <c r="K1383" i="3"/>
  <c r="L1383" i="3" s="1"/>
  <c r="M1383" i="3" s="1" a="1"/>
  <c r="M1383" i="3" s="1"/>
  <c r="K1382" i="3"/>
  <c r="L1382" i="3" s="1"/>
  <c r="M1382" i="3" s="1" a="1"/>
  <c r="M1382" i="3" s="1"/>
  <c r="K1381" i="3"/>
  <c r="L1381" i="3" s="1"/>
  <c r="M1381" i="3" s="1" a="1"/>
  <c r="M1381" i="3" s="1"/>
  <c r="K1380" i="3"/>
  <c r="L1380" i="3" s="1"/>
  <c r="M1380" i="3" s="1" a="1"/>
  <c r="M1380" i="3" s="1"/>
  <c r="K1379" i="3"/>
  <c r="L1379" i="3" s="1"/>
  <c r="M1379" i="3" s="1" a="1"/>
  <c r="M1379" i="3" s="1"/>
  <c r="K1378" i="3"/>
  <c r="L1378" i="3" s="1"/>
  <c r="M1378" i="3" s="1" a="1"/>
  <c r="M1378" i="3" s="1"/>
  <c r="K1377" i="3"/>
  <c r="L1377" i="3" s="1"/>
  <c r="M1377" i="3" s="1" a="1"/>
  <c r="M1377" i="3" s="1"/>
  <c r="K1376" i="3"/>
  <c r="L1376" i="3" s="1"/>
  <c r="M1376" i="3" s="1" a="1"/>
  <c r="M1376" i="3" s="1"/>
  <c r="K1375" i="3"/>
  <c r="L1375" i="3" s="1"/>
  <c r="M1375" i="3" s="1" a="1"/>
  <c r="M1375" i="3" s="1"/>
  <c r="K1374" i="3"/>
  <c r="L1374" i="3" s="1"/>
  <c r="M1374" i="3" s="1" a="1"/>
  <c r="M1374" i="3" s="1"/>
  <c r="K1373" i="3"/>
  <c r="L1373" i="3" s="1"/>
  <c r="M1373" i="3" s="1" a="1"/>
  <c r="M1373" i="3" s="1"/>
  <c r="K1372" i="3"/>
  <c r="L1372" i="3" s="1"/>
  <c r="M1372" i="3" s="1" a="1"/>
  <c r="M1372" i="3" s="1"/>
  <c r="K1371" i="3"/>
  <c r="L1371" i="3" s="1"/>
  <c r="M1371" i="3" s="1" a="1"/>
  <c r="M1371" i="3" s="1"/>
  <c r="K1370" i="3"/>
  <c r="L1370" i="3" s="1"/>
  <c r="M1370" i="3" s="1" a="1"/>
  <c r="M1370" i="3" s="1"/>
  <c r="K1369" i="3"/>
  <c r="L1369" i="3" s="1"/>
  <c r="M1369" i="3" s="1" a="1"/>
  <c r="M1369" i="3" s="1"/>
  <c r="K1368" i="3"/>
  <c r="L1368" i="3" s="1"/>
  <c r="M1368" i="3" s="1" a="1"/>
  <c r="M1368" i="3" s="1"/>
  <c r="K1367" i="3"/>
  <c r="L1367" i="3" s="1"/>
  <c r="M1367" i="3" s="1" a="1"/>
  <c r="M1367" i="3" s="1"/>
  <c r="K1366" i="3"/>
  <c r="L1366" i="3" s="1"/>
  <c r="M1366" i="3" s="1" a="1"/>
  <c r="M1366" i="3" s="1"/>
  <c r="K1365" i="3"/>
  <c r="L1365" i="3" s="1"/>
  <c r="M1365" i="3" s="1" a="1"/>
  <c r="M1365" i="3" s="1"/>
  <c r="K1364" i="3"/>
  <c r="L1364" i="3" s="1"/>
  <c r="M1364" i="3" s="1" a="1"/>
  <c r="M1364" i="3" s="1"/>
  <c r="K1363" i="3"/>
  <c r="L1363" i="3" s="1"/>
  <c r="M1363" i="3" s="1" a="1"/>
  <c r="M1363" i="3" s="1"/>
  <c r="K1362" i="3"/>
  <c r="L1362" i="3" s="1"/>
  <c r="M1362" i="3" s="1" a="1"/>
  <c r="M1362" i="3" s="1"/>
  <c r="K1361" i="3"/>
  <c r="L1361" i="3" s="1"/>
  <c r="M1361" i="3" s="1" a="1"/>
  <c r="M1361" i="3" s="1"/>
  <c r="K1360" i="3"/>
  <c r="L1360" i="3" s="1"/>
  <c r="M1360" i="3" s="1" a="1"/>
  <c r="M1360" i="3" s="1"/>
  <c r="K1359" i="3"/>
  <c r="L1359" i="3" s="1"/>
  <c r="M1359" i="3" s="1" a="1"/>
  <c r="M1359" i="3" s="1"/>
  <c r="K1358" i="3"/>
  <c r="L1358" i="3" s="1"/>
  <c r="M1358" i="3" s="1" a="1"/>
  <c r="M1358" i="3" s="1"/>
  <c r="K1357" i="3"/>
  <c r="L1357" i="3" s="1"/>
  <c r="M1357" i="3" s="1" a="1"/>
  <c r="M1357" i="3" s="1"/>
  <c r="K1356" i="3"/>
  <c r="L1356" i="3" s="1"/>
  <c r="M1356" i="3" s="1" a="1"/>
  <c r="M1356" i="3" s="1"/>
  <c r="K1355" i="3"/>
  <c r="L1355" i="3" s="1"/>
  <c r="M1355" i="3" s="1" a="1"/>
  <c r="M1355" i="3" s="1"/>
  <c r="K1354" i="3"/>
  <c r="L1354" i="3" s="1"/>
  <c r="M1354" i="3" s="1" a="1"/>
  <c r="M1354" i="3" s="1"/>
  <c r="K1353" i="3"/>
  <c r="L1353" i="3" s="1"/>
  <c r="M1353" i="3" s="1" a="1"/>
  <c r="M1353" i="3" s="1"/>
  <c r="K1352" i="3"/>
  <c r="L1352" i="3" s="1"/>
  <c r="M1352" i="3" s="1" a="1"/>
  <c r="M1352" i="3" s="1"/>
  <c r="K1351" i="3"/>
  <c r="L1351" i="3" s="1"/>
  <c r="M1351" i="3" s="1" a="1"/>
  <c r="M1351" i="3" s="1"/>
  <c r="K1350" i="3"/>
  <c r="L1350" i="3" s="1"/>
  <c r="M1350" i="3" s="1" a="1"/>
  <c r="M1350" i="3" s="1"/>
  <c r="K1349" i="3"/>
  <c r="L1349" i="3" s="1"/>
  <c r="M1349" i="3" s="1" a="1"/>
  <c r="M1349" i="3" s="1"/>
  <c r="K1348" i="3"/>
  <c r="L1348" i="3" s="1"/>
  <c r="M1348" i="3" s="1" a="1"/>
  <c r="M1348" i="3" s="1"/>
  <c r="K1347" i="3"/>
  <c r="L1347" i="3" s="1"/>
  <c r="M1347" i="3" s="1" a="1"/>
  <c r="M1347" i="3" s="1"/>
  <c r="K1346" i="3"/>
  <c r="L1346" i="3" s="1"/>
  <c r="M1346" i="3" s="1" a="1"/>
  <c r="M1346" i="3" s="1"/>
  <c r="K1345" i="3"/>
  <c r="L1345" i="3" s="1"/>
  <c r="M1345" i="3" s="1" a="1"/>
  <c r="M1345" i="3" s="1"/>
  <c r="K1344" i="3"/>
  <c r="L1344" i="3" s="1"/>
  <c r="M1344" i="3" s="1" a="1"/>
  <c r="M1344" i="3" s="1"/>
  <c r="K1343" i="3"/>
  <c r="L1343" i="3" s="1"/>
  <c r="M1343" i="3" s="1" a="1"/>
  <c r="M1343" i="3" s="1"/>
  <c r="K1342" i="3"/>
  <c r="L1342" i="3" s="1"/>
  <c r="M1342" i="3" s="1" a="1"/>
  <c r="M1342" i="3" s="1"/>
  <c r="K1341" i="3"/>
  <c r="L1341" i="3" s="1"/>
  <c r="M1341" i="3" s="1" a="1"/>
  <c r="M1341" i="3" s="1"/>
  <c r="K1340" i="3"/>
  <c r="L1340" i="3" s="1"/>
  <c r="M1340" i="3" s="1" a="1"/>
  <c r="M1340" i="3" s="1"/>
  <c r="K1339" i="3"/>
  <c r="L1339" i="3" s="1"/>
  <c r="M1339" i="3" s="1" a="1"/>
  <c r="M1339" i="3" s="1"/>
  <c r="K1338" i="3"/>
  <c r="L1338" i="3" s="1"/>
  <c r="M1338" i="3" s="1" a="1"/>
  <c r="M1338" i="3" s="1"/>
  <c r="K1337" i="3"/>
  <c r="L1337" i="3" s="1"/>
  <c r="M1337" i="3" s="1" a="1"/>
  <c r="M1337" i="3" s="1"/>
  <c r="K1336" i="3"/>
  <c r="L1336" i="3" s="1"/>
  <c r="M1336" i="3" s="1" a="1"/>
  <c r="M1336" i="3" s="1"/>
  <c r="K1335" i="3"/>
  <c r="L1335" i="3" s="1"/>
  <c r="M1335" i="3" s="1" a="1"/>
  <c r="M1335" i="3" s="1"/>
  <c r="K1334" i="3"/>
  <c r="L1334" i="3" s="1"/>
  <c r="M1334" i="3" s="1" a="1"/>
  <c r="M1334" i="3" s="1"/>
  <c r="K1333" i="3"/>
  <c r="L1333" i="3" s="1"/>
  <c r="M1333" i="3" s="1" a="1"/>
  <c r="M1333" i="3" s="1"/>
  <c r="K1332" i="3"/>
  <c r="L1332" i="3" s="1"/>
  <c r="M1332" i="3" s="1" a="1"/>
  <c r="M1332" i="3" s="1"/>
  <c r="K1331" i="3"/>
  <c r="L1331" i="3" s="1"/>
  <c r="M1331" i="3" s="1" a="1"/>
  <c r="M1331" i="3" s="1"/>
  <c r="K1330" i="3"/>
  <c r="L1330" i="3" s="1"/>
  <c r="M1330" i="3" s="1" a="1"/>
  <c r="M1330" i="3" s="1"/>
  <c r="K1329" i="3"/>
  <c r="L1329" i="3" s="1"/>
  <c r="M1329" i="3" s="1" a="1"/>
  <c r="M1329" i="3" s="1"/>
  <c r="K1328" i="3"/>
  <c r="L1328" i="3" s="1"/>
  <c r="M1328" i="3" s="1" a="1"/>
  <c r="M1328" i="3" s="1"/>
  <c r="K1327" i="3"/>
  <c r="L1327" i="3" s="1"/>
  <c r="M1327" i="3" s="1" a="1"/>
  <c r="M1327" i="3" s="1"/>
  <c r="K1326" i="3"/>
  <c r="L1326" i="3" s="1"/>
  <c r="M1326" i="3" s="1" a="1"/>
  <c r="M1326" i="3" s="1"/>
  <c r="K1325" i="3"/>
  <c r="L1325" i="3" s="1"/>
  <c r="M1325" i="3" s="1" a="1"/>
  <c r="M1325" i="3" s="1"/>
  <c r="K1324" i="3"/>
  <c r="L1324" i="3" s="1"/>
  <c r="M1324" i="3" s="1" a="1"/>
  <c r="M1324" i="3" s="1"/>
  <c r="K1323" i="3"/>
  <c r="L1323" i="3" s="1"/>
  <c r="M1323" i="3" s="1" a="1"/>
  <c r="M1323" i="3" s="1"/>
  <c r="K1322" i="3"/>
  <c r="L1322" i="3" s="1"/>
  <c r="M1322" i="3" s="1" a="1"/>
  <c r="M1322" i="3" s="1"/>
  <c r="K1321" i="3"/>
  <c r="L1321" i="3" s="1"/>
  <c r="M1321" i="3" s="1" a="1"/>
  <c r="M1321" i="3" s="1"/>
  <c r="K1320" i="3"/>
  <c r="L1320" i="3" s="1"/>
  <c r="M1320" i="3" s="1" a="1"/>
  <c r="M1320" i="3" s="1"/>
  <c r="K1319" i="3"/>
  <c r="L1319" i="3" s="1"/>
  <c r="M1319" i="3" s="1" a="1"/>
  <c r="M1319" i="3" s="1"/>
  <c r="K1318" i="3"/>
  <c r="L1318" i="3" s="1"/>
  <c r="M1318" i="3" s="1" a="1"/>
  <c r="M1318" i="3" s="1"/>
  <c r="K1317" i="3"/>
  <c r="L1317" i="3" s="1"/>
  <c r="M1317" i="3" s="1" a="1"/>
  <c r="M1317" i="3" s="1"/>
  <c r="K1316" i="3"/>
  <c r="L1316" i="3" s="1"/>
  <c r="M1316" i="3" s="1" a="1"/>
  <c r="M1316" i="3" s="1"/>
  <c r="K1315" i="3"/>
  <c r="L1315" i="3" s="1"/>
  <c r="M1315" i="3" s="1" a="1"/>
  <c r="M1315" i="3" s="1"/>
  <c r="K1314" i="3"/>
  <c r="L1314" i="3" s="1"/>
  <c r="M1314" i="3" s="1" a="1"/>
  <c r="M1314" i="3" s="1"/>
  <c r="K1313" i="3"/>
  <c r="L1313" i="3" s="1"/>
  <c r="M1313" i="3" s="1" a="1"/>
  <c r="M1313" i="3" s="1"/>
  <c r="K1312" i="3"/>
  <c r="L1312" i="3" s="1"/>
  <c r="M1312" i="3" s="1" a="1"/>
  <c r="M1312" i="3" s="1"/>
  <c r="K1311" i="3"/>
  <c r="L1311" i="3" s="1"/>
  <c r="M1311" i="3" s="1" a="1"/>
  <c r="M1311" i="3" s="1"/>
  <c r="K1310" i="3"/>
  <c r="L1310" i="3" s="1"/>
  <c r="M1310" i="3" s="1" a="1"/>
  <c r="M1310" i="3" s="1"/>
  <c r="K1309" i="3"/>
  <c r="L1309" i="3" s="1"/>
  <c r="M1309" i="3" s="1" a="1"/>
  <c r="M1309" i="3" s="1"/>
  <c r="K1308" i="3"/>
  <c r="L1308" i="3" s="1"/>
  <c r="M1308" i="3" s="1" a="1"/>
  <c r="M1308" i="3" s="1"/>
  <c r="K1307" i="3"/>
  <c r="L1307" i="3" s="1"/>
  <c r="M1307" i="3" s="1" a="1"/>
  <c r="M1307" i="3" s="1"/>
  <c r="K1306" i="3"/>
  <c r="L1306" i="3" s="1"/>
  <c r="M1306" i="3" s="1" a="1"/>
  <c r="M1306" i="3" s="1"/>
  <c r="K1305" i="3"/>
  <c r="L1305" i="3" s="1"/>
  <c r="M1305" i="3" s="1" a="1"/>
  <c r="M1305" i="3" s="1"/>
  <c r="K1304" i="3"/>
  <c r="L1304" i="3" s="1"/>
  <c r="M1304" i="3" s="1" a="1"/>
  <c r="M1304" i="3" s="1"/>
  <c r="K1303" i="3"/>
  <c r="L1303" i="3" s="1"/>
  <c r="M1303" i="3" s="1" a="1"/>
  <c r="M1303" i="3" s="1"/>
  <c r="K1302" i="3"/>
  <c r="L1302" i="3" s="1"/>
  <c r="M1302" i="3" s="1" a="1"/>
  <c r="M1302" i="3" s="1"/>
  <c r="K1301" i="3"/>
  <c r="L1301" i="3" s="1"/>
  <c r="M1301" i="3" s="1" a="1"/>
  <c r="M1301" i="3" s="1"/>
  <c r="K1300" i="3"/>
  <c r="L1300" i="3" s="1"/>
  <c r="M1300" i="3" s="1" a="1"/>
  <c r="M1300" i="3" s="1"/>
  <c r="K1299" i="3"/>
  <c r="L1299" i="3" s="1"/>
  <c r="M1299" i="3" s="1" a="1"/>
  <c r="M1299" i="3" s="1"/>
  <c r="K1298" i="3"/>
  <c r="L1298" i="3" s="1"/>
  <c r="M1298" i="3" s="1" a="1"/>
  <c r="M1298" i="3" s="1"/>
  <c r="K1297" i="3"/>
  <c r="L1297" i="3" s="1"/>
  <c r="M1297" i="3" s="1" a="1"/>
  <c r="M1297" i="3" s="1"/>
  <c r="K1296" i="3"/>
  <c r="L1296" i="3" s="1"/>
  <c r="M1296" i="3" s="1" a="1"/>
  <c r="M1296" i="3" s="1"/>
  <c r="K1295" i="3"/>
  <c r="L1295" i="3" s="1"/>
  <c r="M1295" i="3" s="1" a="1"/>
  <c r="M1295" i="3" s="1"/>
  <c r="K1294" i="3"/>
  <c r="L1294" i="3" s="1"/>
  <c r="M1294" i="3" s="1" a="1"/>
  <c r="M1294" i="3" s="1"/>
  <c r="K1293" i="3"/>
  <c r="L1293" i="3" s="1"/>
  <c r="M1293" i="3" s="1" a="1"/>
  <c r="M1293" i="3" s="1"/>
  <c r="K1292" i="3"/>
  <c r="L1292" i="3" s="1"/>
  <c r="M1292" i="3" s="1" a="1"/>
  <c r="M1292" i="3" s="1"/>
  <c r="K1291" i="3"/>
  <c r="L1291" i="3" s="1"/>
  <c r="M1291" i="3" s="1" a="1"/>
  <c r="M1291" i="3" s="1"/>
  <c r="K1290" i="3"/>
  <c r="L1290" i="3" s="1"/>
  <c r="M1290" i="3" s="1" a="1"/>
  <c r="M1290" i="3" s="1"/>
  <c r="K1289" i="3"/>
  <c r="L1289" i="3" s="1"/>
  <c r="M1289" i="3" s="1" a="1"/>
  <c r="M1289" i="3" s="1"/>
  <c r="K1288" i="3"/>
  <c r="L1288" i="3" s="1"/>
  <c r="M1288" i="3" s="1" a="1"/>
  <c r="M1288" i="3" s="1"/>
  <c r="K1287" i="3"/>
  <c r="L1287" i="3" s="1"/>
  <c r="M1287" i="3" s="1" a="1"/>
  <c r="M1287" i="3" s="1"/>
  <c r="K1286" i="3"/>
  <c r="L1286" i="3" s="1"/>
  <c r="M1286" i="3" s="1" a="1"/>
  <c r="M1286" i="3" s="1"/>
  <c r="K1285" i="3"/>
  <c r="L1285" i="3" s="1"/>
  <c r="M1285" i="3" s="1" a="1"/>
  <c r="M1285" i="3" s="1"/>
  <c r="K1284" i="3"/>
  <c r="L1284" i="3" s="1"/>
  <c r="M1284" i="3" s="1" a="1"/>
  <c r="M1284" i="3" s="1"/>
  <c r="K1283" i="3"/>
  <c r="L1283" i="3" s="1"/>
  <c r="M1283" i="3" s="1" a="1"/>
  <c r="M1283" i="3" s="1"/>
  <c r="K1282" i="3"/>
  <c r="L1282" i="3" s="1"/>
  <c r="M1282" i="3" s="1" a="1"/>
  <c r="M1282" i="3" s="1"/>
  <c r="K1281" i="3"/>
  <c r="L1281" i="3" s="1"/>
  <c r="M1281" i="3" s="1" a="1"/>
  <c r="M1281" i="3" s="1"/>
  <c r="K1280" i="3"/>
  <c r="L1280" i="3" s="1"/>
  <c r="M1280" i="3" s="1" a="1"/>
  <c r="M1280" i="3" s="1"/>
  <c r="K1279" i="3"/>
  <c r="L1279" i="3" s="1"/>
  <c r="M1279" i="3" s="1" a="1"/>
  <c r="M1279" i="3" s="1"/>
  <c r="K1278" i="3"/>
  <c r="L1278" i="3" s="1"/>
  <c r="M1278" i="3" s="1" a="1"/>
  <c r="M1278" i="3" s="1"/>
  <c r="K1277" i="3"/>
  <c r="L1277" i="3" s="1"/>
  <c r="M1277" i="3" s="1" a="1"/>
  <c r="M1277" i="3" s="1"/>
  <c r="K1276" i="3"/>
  <c r="L1276" i="3" s="1"/>
  <c r="M1276" i="3" s="1" a="1"/>
  <c r="M1276" i="3" s="1"/>
  <c r="K1275" i="3"/>
  <c r="L1275" i="3" s="1"/>
  <c r="M1275" i="3" s="1" a="1"/>
  <c r="M1275" i="3" s="1"/>
  <c r="K1274" i="3"/>
  <c r="L1274" i="3" s="1"/>
  <c r="M1274" i="3" s="1" a="1"/>
  <c r="M1274" i="3" s="1"/>
  <c r="K1273" i="3"/>
  <c r="L1273" i="3" s="1"/>
  <c r="M1273" i="3" s="1" a="1"/>
  <c r="M1273" i="3" s="1"/>
  <c r="K1272" i="3"/>
  <c r="L1272" i="3" s="1"/>
  <c r="M1272" i="3" s="1" a="1"/>
  <c r="M1272" i="3" s="1"/>
  <c r="K1271" i="3"/>
  <c r="L1271" i="3" s="1"/>
  <c r="M1271" i="3" s="1" a="1"/>
  <c r="M1271" i="3" s="1"/>
  <c r="K1270" i="3"/>
  <c r="L1270" i="3" s="1"/>
  <c r="M1270" i="3" s="1" a="1"/>
  <c r="M1270" i="3" s="1"/>
  <c r="K1269" i="3"/>
  <c r="L1269" i="3" s="1"/>
  <c r="M1269" i="3" s="1" a="1"/>
  <c r="M1269" i="3" s="1"/>
  <c r="K1268" i="3"/>
  <c r="L1268" i="3" s="1"/>
  <c r="M1268" i="3" s="1" a="1"/>
  <c r="M1268" i="3" s="1"/>
  <c r="K1267" i="3"/>
  <c r="L1267" i="3" s="1"/>
  <c r="M1267" i="3" s="1" a="1"/>
  <c r="M1267" i="3" s="1"/>
  <c r="K1266" i="3"/>
  <c r="L1266" i="3" s="1"/>
  <c r="M1266" i="3" s="1" a="1"/>
  <c r="M1266" i="3" s="1"/>
  <c r="K1265" i="3"/>
  <c r="L1265" i="3" s="1"/>
  <c r="M1265" i="3" s="1" a="1"/>
  <c r="M1265" i="3" s="1"/>
  <c r="K1264" i="3"/>
  <c r="L1264" i="3" s="1"/>
  <c r="M1264" i="3" s="1" a="1"/>
  <c r="M1264" i="3" s="1"/>
  <c r="K1263" i="3"/>
  <c r="L1263" i="3" s="1"/>
  <c r="M1263" i="3" s="1" a="1"/>
  <c r="M1263" i="3" s="1"/>
  <c r="K1262" i="3"/>
  <c r="L1262" i="3" s="1"/>
  <c r="M1262" i="3" s="1" a="1"/>
  <c r="M1262" i="3" s="1"/>
  <c r="K1261" i="3"/>
  <c r="L1261" i="3" s="1"/>
  <c r="M1261" i="3" s="1" a="1"/>
  <c r="M1261" i="3" s="1"/>
  <c r="K1260" i="3"/>
  <c r="L1260" i="3" s="1"/>
  <c r="M1260" i="3" s="1" a="1"/>
  <c r="M1260" i="3" s="1"/>
  <c r="K1259" i="3"/>
  <c r="L1259" i="3" s="1"/>
  <c r="M1259" i="3" s="1" a="1"/>
  <c r="M1259" i="3" s="1"/>
  <c r="K1258" i="3"/>
  <c r="L1258" i="3" s="1"/>
  <c r="M1258" i="3" s="1" a="1"/>
  <c r="M1258" i="3" s="1"/>
  <c r="K1257" i="3"/>
  <c r="L1257" i="3" s="1"/>
  <c r="M1257" i="3" s="1" a="1"/>
  <c r="M1257" i="3" s="1"/>
  <c r="K1256" i="3"/>
  <c r="L1256" i="3" s="1"/>
  <c r="M1256" i="3" s="1" a="1"/>
  <c r="M1256" i="3" s="1"/>
  <c r="K1255" i="3"/>
  <c r="L1255" i="3" s="1"/>
  <c r="M1255" i="3" s="1" a="1"/>
  <c r="M1255" i="3" s="1"/>
  <c r="K1254" i="3"/>
  <c r="L1254" i="3" s="1"/>
  <c r="M1254" i="3" s="1" a="1"/>
  <c r="M1254" i="3" s="1"/>
  <c r="K1253" i="3"/>
  <c r="L1253" i="3" s="1"/>
  <c r="M1253" i="3" s="1" a="1"/>
  <c r="M1253" i="3" s="1"/>
  <c r="K1252" i="3"/>
  <c r="L1252" i="3" s="1"/>
  <c r="M1252" i="3" s="1" a="1"/>
  <c r="M1252" i="3" s="1"/>
  <c r="K1251" i="3"/>
  <c r="L1251" i="3" s="1"/>
  <c r="M1251" i="3" s="1" a="1"/>
  <c r="M1251" i="3" s="1"/>
  <c r="K1250" i="3"/>
  <c r="L1250" i="3" s="1"/>
  <c r="M1250" i="3" s="1" a="1"/>
  <c r="M1250" i="3" s="1"/>
  <c r="K1249" i="3"/>
  <c r="L1249" i="3" s="1"/>
  <c r="M1249" i="3" s="1" a="1"/>
  <c r="M1249" i="3" s="1"/>
  <c r="K1248" i="3"/>
  <c r="L1248" i="3" s="1"/>
  <c r="M1248" i="3" s="1" a="1"/>
  <c r="M1248" i="3" s="1"/>
  <c r="K1247" i="3"/>
  <c r="L1247" i="3" s="1"/>
  <c r="M1247" i="3" s="1" a="1"/>
  <c r="M1247" i="3" s="1"/>
  <c r="K1246" i="3"/>
  <c r="L1246" i="3" s="1"/>
  <c r="M1246" i="3" s="1" a="1"/>
  <c r="M1246" i="3" s="1"/>
  <c r="K1245" i="3"/>
  <c r="L1245" i="3" s="1"/>
  <c r="M1245" i="3" s="1" a="1"/>
  <c r="M1245" i="3" s="1"/>
  <c r="K1244" i="3"/>
  <c r="L1244" i="3" s="1"/>
  <c r="M1244" i="3" s="1" a="1"/>
  <c r="M1244" i="3" s="1"/>
  <c r="K1243" i="3"/>
  <c r="L1243" i="3" s="1"/>
  <c r="M1243" i="3" s="1" a="1"/>
  <c r="M1243" i="3" s="1"/>
  <c r="K1242" i="3"/>
  <c r="L1242" i="3" s="1"/>
  <c r="M1242" i="3" s="1" a="1"/>
  <c r="M1242" i="3" s="1"/>
  <c r="K1241" i="3"/>
  <c r="L1241" i="3" s="1"/>
  <c r="M1241" i="3" s="1" a="1"/>
  <c r="M1241" i="3" s="1"/>
  <c r="K1240" i="3"/>
  <c r="L1240" i="3" s="1"/>
  <c r="M1240" i="3" s="1" a="1"/>
  <c r="M1240" i="3" s="1"/>
  <c r="K1239" i="3"/>
  <c r="L1239" i="3" s="1"/>
  <c r="M1239" i="3" s="1" a="1"/>
  <c r="M1239" i="3" s="1"/>
  <c r="K1238" i="3"/>
  <c r="L1238" i="3" s="1"/>
  <c r="M1238" i="3" s="1" a="1"/>
  <c r="M1238" i="3" s="1"/>
  <c r="K1237" i="3"/>
  <c r="L1237" i="3" s="1"/>
  <c r="M1237" i="3" s="1" a="1"/>
  <c r="M1237" i="3" s="1"/>
  <c r="K1236" i="3"/>
  <c r="L1236" i="3" s="1"/>
  <c r="M1236" i="3" s="1" a="1"/>
  <c r="M1236" i="3" s="1"/>
  <c r="K1235" i="3"/>
  <c r="L1235" i="3" s="1"/>
  <c r="M1235" i="3" s="1" a="1"/>
  <c r="M1235" i="3" s="1"/>
  <c r="K1234" i="3"/>
  <c r="L1234" i="3" s="1"/>
  <c r="M1234" i="3" s="1" a="1"/>
  <c r="M1234" i="3" s="1"/>
  <c r="K1233" i="3"/>
  <c r="L1233" i="3" s="1"/>
  <c r="M1233" i="3" s="1" a="1"/>
  <c r="M1233" i="3" s="1"/>
  <c r="K1232" i="3"/>
  <c r="L1232" i="3" s="1"/>
  <c r="M1232" i="3" s="1" a="1"/>
  <c r="M1232" i="3" s="1"/>
  <c r="K1231" i="3"/>
  <c r="L1231" i="3" s="1"/>
  <c r="M1231" i="3" s="1" a="1"/>
  <c r="M1231" i="3" s="1"/>
  <c r="K1230" i="3"/>
  <c r="L1230" i="3" s="1"/>
  <c r="M1230" i="3" s="1" a="1"/>
  <c r="M1230" i="3" s="1"/>
  <c r="K1229" i="3"/>
  <c r="L1229" i="3" s="1"/>
  <c r="M1229" i="3" s="1" a="1"/>
  <c r="M1229" i="3" s="1"/>
  <c r="K1228" i="3"/>
  <c r="L1228" i="3" s="1"/>
  <c r="M1228" i="3" s="1" a="1"/>
  <c r="M1228" i="3" s="1"/>
  <c r="K1227" i="3"/>
  <c r="L1227" i="3" s="1"/>
  <c r="M1227" i="3" s="1" a="1"/>
  <c r="M1227" i="3" s="1"/>
  <c r="K1226" i="3"/>
  <c r="L1226" i="3" s="1"/>
  <c r="M1226" i="3" s="1" a="1"/>
  <c r="M1226" i="3" s="1"/>
  <c r="K1225" i="3"/>
  <c r="L1225" i="3" s="1"/>
  <c r="M1225" i="3" s="1" a="1"/>
  <c r="M1225" i="3" s="1"/>
  <c r="K1224" i="3"/>
  <c r="L1224" i="3" s="1"/>
  <c r="M1224" i="3" s="1" a="1"/>
  <c r="M1224" i="3" s="1"/>
  <c r="K1223" i="3"/>
  <c r="L1223" i="3" s="1"/>
  <c r="M1223" i="3" s="1" a="1"/>
  <c r="M1223" i="3" s="1"/>
  <c r="K1222" i="3"/>
  <c r="L1222" i="3" s="1"/>
  <c r="M1222" i="3" s="1" a="1"/>
  <c r="M1222" i="3" s="1"/>
  <c r="K1221" i="3"/>
  <c r="L1221" i="3" s="1"/>
  <c r="M1221" i="3" s="1" a="1"/>
  <c r="M1221" i="3" s="1"/>
  <c r="K1220" i="3"/>
  <c r="L1220" i="3" s="1"/>
  <c r="M1220" i="3" s="1" a="1"/>
  <c r="M1220" i="3" s="1"/>
  <c r="K1219" i="3"/>
  <c r="L1219" i="3" s="1"/>
  <c r="M1219" i="3" s="1" a="1"/>
  <c r="M1219" i="3" s="1"/>
  <c r="K1218" i="3"/>
  <c r="L1218" i="3" s="1"/>
  <c r="M1218" i="3" s="1" a="1"/>
  <c r="M1218" i="3" s="1"/>
  <c r="K1217" i="3"/>
  <c r="L1217" i="3" s="1"/>
  <c r="M1217" i="3" s="1" a="1"/>
  <c r="M1217" i="3" s="1"/>
  <c r="K1216" i="3"/>
  <c r="L1216" i="3" s="1"/>
  <c r="M1216" i="3" s="1" a="1"/>
  <c r="M1216" i="3" s="1"/>
  <c r="K1215" i="3"/>
  <c r="L1215" i="3" s="1"/>
  <c r="M1215" i="3" s="1" a="1"/>
  <c r="M1215" i="3" s="1"/>
  <c r="K1214" i="3"/>
  <c r="L1214" i="3" s="1"/>
  <c r="M1214" i="3" s="1" a="1"/>
  <c r="M1214" i="3" s="1"/>
  <c r="K1213" i="3"/>
  <c r="L1213" i="3" s="1"/>
  <c r="M1213" i="3" s="1" a="1"/>
  <c r="M1213" i="3" s="1"/>
  <c r="K1212" i="3"/>
  <c r="L1212" i="3" s="1"/>
  <c r="M1212" i="3" s="1" a="1"/>
  <c r="M1212" i="3" s="1"/>
  <c r="K1211" i="3"/>
  <c r="L1211" i="3" s="1"/>
  <c r="M1211" i="3" s="1" a="1"/>
  <c r="M1211" i="3" s="1"/>
  <c r="K1210" i="3"/>
  <c r="L1210" i="3" s="1"/>
  <c r="M1210" i="3" s="1" a="1"/>
  <c r="M1210" i="3" s="1"/>
  <c r="K1209" i="3"/>
  <c r="L1209" i="3" s="1"/>
  <c r="M1209" i="3" s="1" a="1"/>
  <c r="M1209" i="3" s="1"/>
  <c r="K1208" i="3"/>
  <c r="L1208" i="3" s="1"/>
  <c r="M1208" i="3" s="1" a="1"/>
  <c r="M1208" i="3" s="1"/>
  <c r="K1207" i="3"/>
  <c r="L1207" i="3" s="1"/>
  <c r="M1207" i="3" s="1" a="1"/>
  <c r="M1207" i="3" s="1"/>
  <c r="K1206" i="3"/>
  <c r="L1206" i="3" s="1"/>
  <c r="M1206" i="3" s="1" a="1"/>
  <c r="M1206" i="3" s="1"/>
  <c r="K1205" i="3"/>
  <c r="L1205" i="3" s="1"/>
  <c r="M1205" i="3" s="1" a="1"/>
  <c r="M1205" i="3" s="1"/>
  <c r="K1204" i="3"/>
  <c r="L1204" i="3" s="1"/>
  <c r="M1204" i="3" s="1" a="1"/>
  <c r="M1204" i="3" s="1"/>
  <c r="K1203" i="3"/>
  <c r="L1203" i="3" s="1"/>
  <c r="M1203" i="3" s="1" a="1"/>
  <c r="M1203" i="3" s="1"/>
  <c r="K1202" i="3"/>
  <c r="L1202" i="3" s="1"/>
  <c r="M1202" i="3" s="1" a="1"/>
  <c r="M1202" i="3" s="1"/>
  <c r="K1201" i="3"/>
  <c r="L1201" i="3" s="1"/>
  <c r="M1201" i="3" s="1" a="1"/>
  <c r="M1201" i="3" s="1"/>
  <c r="K1200" i="3"/>
  <c r="L1200" i="3" s="1"/>
  <c r="M1200" i="3" s="1" a="1"/>
  <c r="M1200" i="3" s="1"/>
  <c r="K1199" i="3"/>
  <c r="L1199" i="3" s="1"/>
  <c r="M1199" i="3" s="1" a="1"/>
  <c r="M1199" i="3" s="1"/>
  <c r="K1198" i="3"/>
  <c r="L1198" i="3" s="1"/>
  <c r="M1198" i="3" s="1" a="1"/>
  <c r="M1198" i="3" s="1"/>
  <c r="K1197" i="3"/>
  <c r="L1197" i="3" s="1"/>
  <c r="M1197" i="3" s="1" a="1"/>
  <c r="M1197" i="3" s="1"/>
  <c r="K1196" i="3"/>
  <c r="L1196" i="3" s="1"/>
  <c r="M1196" i="3" s="1" a="1"/>
  <c r="M1196" i="3" s="1"/>
  <c r="K1195" i="3"/>
  <c r="L1195" i="3" s="1"/>
  <c r="M1195" i="3" s="1" a="1"/>
  <c r="M1195" i="3" s="1"/>
  <c r="K1194" i="3"/>
  <c r="L1194" i="3" s="1"/>
  <c r="M1194" i="3" s="1" a="1"/>
  <c r="M1194" i="3" s="1"/>
  <c r="K1193" i="3"/>
  <c r="L1193" i="3" s="1"/>
  <c r="M1193" i="3" s="1" a="1"/>
  <c r="M1193" i="3" s="1"/>
  <c r="K1192" i="3"/>
  <c r="L1192" i="3" s="1"/>
  <c r="M1192" i="3" s="1" a="1"/>
  <c r="M1192" i="3" s="1"/>
  <c r="K1191" i="3"/>
  <c r="L1191" i="3" s="1"/>
  <c r="M1191" i="3" s="1" a="1"/>
  <c r="M1191" i="3" s="1"/>
  <c r="K1190" i="3"/>
  <c r="L1190" i="3" s="1"/>
  <c r="M1190" i="3" s="1" a="1"/>
  <c r="M1190" i="3" s="1"/>
  <c r="K1189" i="3"/>
  <c r="L1189" i="3" s="1"/>
  <c r="M1189" i="3" s="1" a="1"/>
  <c r="M1189" i="3" s="1"/>
  <c r="K1188" i="3"/>
  <c r="L1188" i="3" s="1"/>
  <c r="M1188" i="3" s="1" a="1"/>
  <c r="M1188" i="3" s="1"/>
  <c r="K1187" i="3"/>
  <c r="L1187" i="3" s="1"/>
  <c r="M1187" i="3" s="1" a="1"/>
  <c r="M1187" i="3" s="1"/>
  <c r="K1186" i="3"/>
  <c r="L1186" i="3" s="1"/>
  <c r="M1186" i="3" s="1" a="1"/>
  <c r="M1186" i="3" s="1"/>
  <c r="K1185" i="3"/>
  <c r="L1185" i="3" s="1"/>
  <c r="M1185" i="3" s="1" a="1"/>
  <c r="M1185" i="3" s="1"/>
  <c r="K1184" i="3"/>
  <c r="L1184" i="3" s="1"/>
  <c r="M1184" i="3" s="1" a="1"/>
  <c r="M1184" i="3" s="1"/>
  <c r="K1183" i="3"/>
  <c r="L1183" i="3" s="1"/>
  <c r="M1183" i="3" s="1" a="1"/>
  <c r="M1183" i="3" s="1"/>
  <c r="K1182" i="3"/>
  <c r="L1182" i="3" s="1"/>
  <c r="M1182" i="3" s="1" a="1"/>
  <c r="M1182" i="3" s="1"/>
  <c r="K1181" i="3"/>
  <c r="L1181" i="3" s="1"/>
  <c r="M1181" i="3" s="1" a="1"/>
  <c r="M1181" i="3" s="1"/>
  <c r="K1180" i="3"/>
  <c r="L1180" i="3" s="1"/>
  <c r="M1180" i="3" s="1" a="1"/>
  <c r="M1180" i="3" s="1"/>
  <c r="K1179" i="3"/>
  <c r="L1179" i="3" s="1"/>
  <c r="M1179" i="3" s="1" a="1"/>
  <c r="M1179" i="3" s="1"/>
  <c r="K1178" i="3"/>
  <c r="L1178" i="3" s="1"/>
  <c r="M1178" i="3" s="1" a="1"/>
  <c r="M1178" i="3" s="1"/>
  <c r="K1177" i="3"/>
  <c r="L1177" i="3" s="1"/>
  <c r="M1177" i="3" s="1" a="1"/>
  <c r="M1177" i="3" s="1"/>
  <c r="K1176" i="3"/>
  <c r="L1176" i="3" s="1"/>
  <c r="M1176" i="3" s="1" a="1"/>
  <c r="M1176" i="3" s="1"/>
  <c r="K1175" i="3"/>
  <c r="L1175" i="3" s="1"/>
  <c r="M1175" i="3" s="1" a="1"/>
  <c r="M1175" i="3" s="1"/>
  <c r="K1174" i="3"/>
  <c r="L1174" i="3" s="1"/>
  <c r="M1174" i="3" s="1" a="1"/>
  <c r="M1174" i="3" s="1"/>
  <c r="K1173" i="3"/>
  <c r="L1173" i="3" s="1"/>
  <c r="M1173" i="3" s="1" a="1"/>
  <c r="M1173" i="3" s="1"/>
  <c r="K1172" i="3"/>
  <c r="L1172" i="3" s="1"/>
  <c r="M1172" i="3" s="1" a="1"/>
  <c r="M1172" i="3" s="1"/>
  <c r="K1171" i="3"/>
  <c r="L1171" i="3" s="1"/>
  <c r="M1171" i="3" s="1" a="1"/>
  <c r="M1171" i="3" s="1"/>
  <c r="K1170" i="3"/>
  <c r="L1170" i="3" s="1"/>
  <c r="M1170" i="3" s="1" a="1"/>
  <c r="M1170" i="3" s="1"/>
  <c r="K1169" i="3"/>
  <c r="L1169" i="3" s="1"/>
  <c r="M1169" i="3" s="1" a="1"/>
  <c r="M1169" i="3" s="1"/>
  <c r="K1168" i="3"/>
  <c r="L1168" i="3" s="1"/>
  <c r="M1168" i="3" s="1" a="1"/>
  <c r="M1168" i="3" s="1"/>
  <c r="K1167" i="3"/>
  <c r="L1167" i="3" s="1"/>
  <c r="M1167" i="3" s="1" a="1"/>
  <c r="M1167" i="3" s="1"/>
  <c r="K1166" i="3"/>
  <c r="L1166" i="3" s="1"/>
  <c r="M1166" i="3" s="1" a="1"/>
  <c r="M1166" i="3" s="1"/>
  <c r="K1165" i="3"/>
  <c r="L1165" i="3" s="1"/>
  <c r="M1165" i="3" s="1" a="1"/>
  <c r="M1165" i="3" s="1"/>
  <c r="K1164" i="3"/>
  <c r="L1164" i="3" s="1"/>
  <c r="M1164" i="3" s="1" a="1"/>
  <c r="M1164" i="3" s="1"/>
  <c r="K1163" i="3"/>
  <c r="L1163" i="3" s="1"/>
  <c r="M1163" i="3" s="1" a="1"/>
  <c r="M1163" i="3" s="1"/>
  <c r="K1162" i="3"/>
  <c r="L1162" i="3" s="1"/>
  <c r="M1162" i="3" s="1" a="1"/>
  <c r="M1162" i="3" s="1"/>
  <c r="K1161" i="3"/>
  <c r="L1161" i="3" s="1"/>
  <c r="M1161" i="3" s="1" a="1"/>
  <c r="M1161" i="3" s="1"/>
  <c r="K1160" i="3"/>
  <c r="L1160" i="3" s="1"/>
  <c r="M1160" i="3" s="1" a="1"/>
  <c r="M1160" i="3" s="1"/>
  <c r="K1159" i="3"/>
  <c r="L1159" i="3" s="1"/>
  <c r="M1159" i="3" s="1" a="1"/>
  <c r="M1159" i="3" s="1"/>
  <c r="K1158" i="3"/>
  <c r="L1158" i="3" s="1"/>
  <c r="M1158" i="3" s="1" a="1"/>
  <c r="M1158" i="3" s="1"/>
  <c r="K1157" i="3"/>
  <c r="L1157" i="3" s="1"/>
  <c r="M1157" i="3" s="1" a="1"/>
  <c r="M1157" i="3" s="1"/>
  <c r="K1156" i="3"/>
  <c r="L1156" i="3" s="1"/>
  <c r="M1156" i="3" s="1" a="1"/>
  <c r="M1156" i="3" s="1"/>
  <c r="K1155" i="3"/>
  <c r="L1155" i="3" s="1"/>
  <c r="M1155" i="3" s="1" a="1"/>
  <c r="M1155" i="3" s="1"/>
  <c r="K1154" i="3"/>
  <c r="L1154" i="3" s="1"/>
  <c r="M1154" i="3" s="1" a="1"/>
  <c r="M1154" i="3" s="1"/>
  <c r="K1153" i="3"/>
  <c r="L1153" i="3" s="1"/>
  <c r="M1153" i="3" s="1" a="1"/>
  <c r="M1153" i="3" s="1"/>
  <c r="K1152" i="3"/>
  <c r="L1152" i="3" s="1"/>
  <c r="M1152" i="3" s="1" a="1"/>
  <c r="M1152" i="3" s="1"/>
  <c r="K1151" i="3"/>
  <c r="L1151" i="3" s="1"/>
  <c r="M1151" i="3" s="1" a="1"/>
  <c r="M1151" i="3" s="1"/>
  <c r="K1150" i="3"/>
  <c r="L1150" i="3" s="1"/>
  <c r="M1150" i="3" s="1" a="1"/>
  <c r="M1150" i="3" s="1"/>
  <c r="K1149" i="3"/>
  <c r="L1149" i="3" s="1"/>
  <c r="M1149" i="3" s="1" a="1"/>
  <c r="M1149" i="3" s="1"/>
  <c r="K1148" i="3"/>
  <c r="L1148" i="3" s="1"/>
  <c r="M1148" i="3" s="1" a="1"/>
  <c r="M1148" i="3" s="1"/>
  <c r="K1147" i="3"/>
  <c r="L1147" i="3" s="1"/>
  <c r="M1147" i="3" s="1" a="1"/>
  <c r="M1147" i="3" s="1"/>
  <c r="K1146" i="3"/>
  <c r="L1146" i="3" s="1"/>
  <c r="M1146" i="3" s="1" a="1"/>
  <c r="M1146" i="3" s="1"/>
  <c r="K1145" i="3"/>
  <c r="L1145" i="3" s="1"/>
  <c r="M1145" i="3" s="1" a="1"/>
  <c r="M1145" i="3" s="1"/>
  <c r="K1144" i="3"/>
  <c r="L1144" i="3" s="1"/>
  <c r="M1144" i="3" s="1" a="1"/>
  <c r="M1144" i="3" s="1"/>
  <c r="K1143" i="3"/>
  <c r="L1143" i="3" s="1"/>
  <c r="M1143" i="3" s="1" a="1"/>
  <c r="M1143" i="3" s="1"/>
  <c r="K1142" i="3"/>
  <c r="L1142" i="3" s="1"/>
  <c r="M1142" i="3" s="1" a="1"/>
  <c r="M1142" i="3" s="1"/>
  <c r="K1141" i="3"/>
  <c r="L1141" i="3" s="1"/>
  <c r="M1141" i="3" s="1" a="1"/>
  <c r="M1141" i="3" s="1"/>
  <c r="K1140" i="3"/>
  <c r="L1140" i="3" s="1"/>
  <c r="M1140" i="3" s="1" a="1"/>
  <c r="M1140" i="3" s="1"/>
  <c r="K1139" i="3"/>
  <c r="L1139" i="3" s="1"/>
  <c r="M1139" i="3" s="1" a="1"/>
  <c r="M1139" i="3" s="1"/>
  <c r="K1138" i="3"/>
  <c r="L1138" i="3" s="1"/>
  <c r="M1138" i="3" s="1" a="1"/>
  <c r="M1138" i="3" s="1"/>
  <c r="K1137" i="3"/>
  <c r="L1137" i="3" s="1"/>
  <c r="M1137" i="3" s="1" a="1"/>
  <c r="M1137" i="3" s="1"/>
  <c r="K1136" i="3"/>
  <c r="L1136" i="3" s="1"/>
  <c r="M1136" i="3" s="1" a="1"/>
  <c r="M1136" i="3" s="1"/>
  <c r="K1135" i="3"/>
  <c r="L1135" i="3" s="1"/>
  <c r="M1135" i="3" s="1" a="1"/>
  <c r="M1135" i="3" s="1"/>
  <c r="K1134" i="3"/>
  <c r="L1134" i="3" s="1"/>
  <c r="M1134" i="3" s="1" a="1"/>
  <c r="M1134" i="3" s="1"/>
  <c r="K1133" i="3"/>
  <c r="L1133" i="3" s="1"/>
  <c r="M1133" i="3" s="1" a="1"/>
  <c r="M1133" i="3" s="1"/>
  <c r="K1132" i="3"/>
  <c r="L1132" i="3" s="1"/>
  <c r="M1132" i="3" s="1" a="1"/>
  <c r="M1132" i="3" s="1"/>
  <c r="K1131" i="3"/>
  <c r="L1131" i="3" s="1"/>
  <c r="M1131" i="3" s="1" a="1"/>
  <c r="M1131" i="3" s="1"/>
  <c r="K1130" i="3"/>
  <c r="L1130" i="3" s="1"/>
  <c r="M1130" i="3" s="1" a="1"/>
  <c r="M1130" i="3" s="1"/>
  <c r="K1129" i="3"/>
  <c r="L1129" i="3" s="1"/>
  <c r="M1129" i="3" s="1" a="1"/>
  <c r="M1129" i="3" s="1"/>
  <c r="K1128" i="3"/>
  <c r="L1128" i="3" s="1"/>
  <c r="M1128" i="3" s="1" a="1"/>
  <c r="M1128" i="3" s="1"/>
  <c r="K1127" i="3"/>
  <c r="L1127" i="3" s="1"/>
  <c r="M1127" i="3" s="1" a="1"/>
  <c r="M1127" i="3" s="1"/>
  <c r="K1126" i="3"/>
  <c r="L1126" i="3" s="1"/>
  <c r="M1126" i="3" s="1" a="1"/>
  <c r="M1126" i="3" s="1"/>
  <c r="K1125" i="3"/>
  <c r="L1125" i="3" s="1"/>
  <c r="M1125" i="3" s="1" a="1"/>
  <c r="M1125" i="3" s="1"/>
  <c r="K1124" i="3"/>
  <c r="L1124" i="3" s="1"/>
  <c r="M1124" i="3" s="1" a="1"/>
  <c r="M1124" i="3" s="1"/>
  <c r="K1123" i="3"/>
  <c r="L1123" i="3" s="1"/>
  <c r="M1123" i="3" s="1" a="1"/>
  <c r="M1123" i="3" s="1"/>
  <c r="K1122" i="3"/>
  <c r="L1122" i="3" s="1"/>
  <c r="M1122" i="3" s="1" a="1"/>
  <c r="M1122" i="3" s="1"/>
  <c r="K1121" i="3"/>
  <c r="L1121" i="3" s="1"/>
  <c r="M1121" i="3" s="1" a="1"/>
  <c r="M1121" i="3" s="1"/>
  <c r="K1120" i="3"/>
  <c r="L1120" i="3" s="1"/>
  <c r="M1120" i="3" s="1" a="1"/>
  <c r="M1120" i="3" s="1"/>
  <c r="K1119" i="3"/>
  <c r="L1119" i="3" s="1"/>
  <c r="M1119" i="3" s="1" a="1"/>
  <c r="M1119" i="3" s="1"/>
  <c r="K1118" i="3"/>
  <c r="L1118" i="3" s="1"/>
  <c r="M1118" i="3" s="1" a="1"/>
  <c r="M1118" i="3" s="1"/>
  <c r="K1117" i="3"/>
  <c r="L1117" i="3" s="1"/>
  <c r="M1117" i="3" s="1" a="1"/>
  <c r="M1117" i="3" s="1"/>
  <c r="K1116" i="3"/>
  <c r="L1116" i="3" s="1"/>
  <c r="M1116" i="3" s="1" a="1"/>
  <c r="M1116" i="3" s="1"/>
  <c r="K1115" i="3"/>
  <c r="L1115" i="3" s="1"/>
  <c r="M1115" i="3" s="1" a="1"/>
  <c r="M1115" i="3" s="1"/>
  <c r="K1114" i="3"/>
  <c r="L1114" i="3" s="1"/>
  <c r="M1114" i="3" s="1" a="1"/>
  <c r="M1114" i="3" s="1"/>
  <c r="K1113" i="3"/>
  <c r="L1113" i="3" s="1"/>
  <c r="M1113" i="3" s="1" a="1"/>
  <c r="M1113" i="3" s="1"/>
  <c r="K1112" i="3"/>
  <c r="L1112" i="3" s="1"/>
  <c r="M1112" i="3" s="1" a="1"/>
  <c r="M1112" i="3" s="1"/>
  <c r="K1111" i="3"/>
  <c r="L1111" i="3" s="1"/>
  <c r="M1111" i="3" s="1" a="1"/>
  <c r="M1111" i="3" s="1"/>
  <c r="K1110" i="3"/>
  <c r="L1110" i="3" s="1"/>
  <c r="M1110" i="3" s="1" a="1"/>
  <c r="M1110" i="3" s="1"/>
  <c r="K1109" i="3"/>
  <c r="L1109" i="3" s="1"/>
  <c r="M1109" i="3" s="1" a="1"/>
  <c r="M1109" i="3" s="1"/>
  <c r="K1108" i="3"/>
  <c r="L1108" i="3" s="1"/>
  <c r="M1108" i="3" s="1" a="1"/>
  <c r="M1108" i="3" s="1"/>
  <c r="K1107" i="3"/>
  <c r="L1107" i="3" s="1"/>
  <c r="M1107" i="3" s="1" a="1"/>
  <c r="M1107" i="3" s="1"/>
  <c r="K1106" i="3"/>
  <c r="L1106" i="3" s="1"/>
  <c r="M1106" i="3" s="1" a="1"/>
  <c r="M1106" i="3" s="1"/>
  <c r="K1105" i="3"/>
  <c r="L1105" i="3" s="1"/>
  <c r="M1105" i="3" s="1" a="1"/>
  <c r="M1105" i="3" s="1"/>
  <c r="K1104" i="3"/>
  <c r="L1104" i="3" s="1"/>
  <c r="M1104" i="3" s="1" a="1"/>
  <c r="M1104" i="3" s="1"/>
  <c r="K1103" i="3"/>
  <c r="L1103" i="3" s="1"/>
  <c r="M1103" i="3" s="1" a="1"/>
  <c r="M1103" i="3" s="1"/>
  <c r="K1102" i="3"/>
  <c r="L1102" i="3" s="1"/>
  <c r="M1102" i="3" s="1" a="1"/>
  <c r="M1102" i="3" s="1"/>
  <c r="K1101" i="3"/>
  <c r="L1101" i="3" s="1"/>
  <c r="M1101" i="3" s="1" a="1"/>
  <c r="M1101" i="3" s="1"/>
  <c r="K1100" i="3"/>
  <c r="L1100" i="3" s="1"/>
  <c r="M1100" i="3" s="1" a="1"/>
  <c r="M1100" i="3" s="1"/>
  <c r="K1099" i="3"/>
  <c r="L1099" i="3" s="1"/>
  <c r="M1099" i="3" s="1" a="1"/>
  <c r="M1099" i="3" s="1"/>
  <c r="K1098" i="3"/>
  <c r="L1098" i="3" s="1"/>
  <c r="M1098" i="3" s="1" a="1"/>
  <c r="M1098" i="3" s="1"/>
  <c r="K1097" i="3"/>
  <c r="L1097" i="3" s="1"/>
  <c r="M1097" i="3" s="1" a="1"/>
  <c r="M1097" i="3" s="1"/>
  <c r="K1096" i="3"/>
  <c r="L1096" i="3" s="1"/>
  <c r="M1096" i="3" s="1" a="1"/>
  <c r="M1096" i="3" s="1"/>
  <c r="K1095" i="3"/>
  <c r="L1095" i="3" s="1"/>
  <c r="M1095" i="3" s="1" a="1"/>
  <c r="M1095" i="3" s="1"/>
  <c r="K1094" i="3"/>
  <c r="L1094" i="3" s="1"/>
  <c r="M1094" i="3" s="1" a="1"/>
  <c r="M1094" i="3" s="1"/>
  <c r="K1093" i="3"/>
  <c r="L1093" i="3" s="1"/>
  <c r="M1093" i="3" s="1" a="1"/>
  <c r="M1093" i="3" s="1"/>
  <c r="K1092" i="3"/>
  <c r="L1092" i="3" s="1"/>
  <c r="M1092" i="3" s="1" a="1"/>
  <c r="M1092" i="3" s="1"/>
  <c r="K1091" i="3"/>
  <c r="L1091" i="3" s="1"/>
  <c r="M1091" i="3" s="1" a="1"/>
  <c r="M1091" i="3" s="1"/>
  <c r="K1090" i="3"/>
  <c r="L1090" i="3" s="1"/>
  <c r="M1090" i="3" s="1" a="1"/>
  <c r="M1090" i="3" s="1"/>
  <c r="K1089" i="3"/>
  <c r="L1089" i="3" s="1"/>
  <c r="M1089" i="3" s="1" a="1"/>
  <c r="M1089" i="3" s="1"/>
  <c r="K1088" i="3"/>
  <c r="L1088" i="3" s="1"/>
  <c r="M1088" i="3" s="1" a="1"/>
  <c r="M1088" i="3" s="1"/>
  <c r="K1087" i="3"/>
  <c r="L1087" i="3" s="1"/>
  <c r="M1087" i="3" s="1" a="1"/>
  <c r="M1087" i="3" s="1"/>
  <c r="K1086" i="3"/>
  <c r="L1086" i="3" s="1"/>
  <c r="M1086" i="3" s="1" a="1"/>
  <c r="M1086" i="3" s="1"/>
  <c r="K1085" i="3"/>
  <c r="L1085" i="3" s="1"/>
  <c r="M1085" i="3" s="1" a="1"/>
  <c r="M1085" i="3" s="1"/>
  <c r="K1084" i="3"/>
  <c r="L1084" i="3" s="1"/>
  <c r="M1084" i="3" s="1" a="1"/>
  <c r="M1084" i="3" s="1"/>
  <c r="K1083" i="3"/>
  <c r="L1083" i="3" s="1"/>
  <c r="M1083" i="3" s="1" a="1"/>
  <c r="M1083" i="3" s="1"/>
  <c r="K1082" i="3"/>
  <c r="L1082" i="3" s="1"/>
  <c r="M1082" i="3" s="1" a="1"/>
  <c r="M1082" i="3" s="1"/>
  <c r="K1081" i="3"/>
  <c r="L1081" i="3" s="1"/>
  <c r="M1081" i="3" s="1" a="1"/>
  <c r="M1081" i="3" s="1"/>
  <c r="K1080" i="3"/>
  <c r="L1080" i="3" s="1"/>
  <c r="M1080" i="3" s="1" a="1"/>
  <c r="M1080" i="3" s="1"/>
  <c r="K1079" i="3"/>
  <c r="L1079" i="3" s="1"/>
  <c r="M1079" i="3" s="1" a="1"/>
  <c r="M1079" i="3" s="1"/>
  <c r="K1078" i="3"/>
  <c r="L1078" i="3" s="1"/>
  <c r="M1078" i="3" s="1" a="1"/>
  <c r="M1078" i="3" s="1"/>
  <c r="K1077" i="3"/>
  <c r="L1077" i="3" s="1"/>
  <c r="M1077" i="3" s="1" a="1"/>
  <c r="M1077" i="3" s="1"/>
  <c r="K1076" i="3"/>
  <c r="L1076" i="3" s="1"/>
  <c r="M1076" i="3" s="1" a="1"/>
  <c r="M1076" i="3" s="1"/>
  <c r="K1075" i="3"/>
  <c r="L1075" i="3" s="1"/>
  <c r="M1075" i="3" s="1" a="1"/>
  <c r="M1075" i="3" s="1"/>
  <c r="K1074" i="3"/>
  <c r="L1074" i="3" s="1"/>
  <c r="M1074" i="3" s="1" a="1"/>
  <c r="M1074" i="3" s="1"/>
  <c r="K1073" i="3"/>
  <c r="L1073" i="3" s="1"/>
  <c r="M1073" i="3" s="1" a="1"/>
  <c r="M1073" i="3" s="1"/>
  <c r="K1072" i="3"/>
  <c r="L1072" i="3" s="1"/>
  <c r="M1072" i="3" s="1" a="1"/>
  <c r="M1072" i="3" s="1"/>
  <c r="K1071" i="3"/>
  <c r="L1071" i="3" s="1"/>
  <c r="M1071" i="3" s="1" a="1"/>
  <c r="M1071" i="3" s="1"/>
  <c r="K1070" i="3"/>
  <c r="L1070" i="3" s="1"/>
  <c r="M1070" i="3" s="1" a="1"/>
  <c r="M1070" i="3" s="1"/>
  <c r="K1069" i="3"/>
  <c r="L1069" i="3" s="1"/>
  <c r="M1069" i="3" s="1" a="1"/>
  <c r="M1069" i="3" s="1"/>
  <c r="K1068" i="3"/>
  <c r="L1068" i="3" s="1"/>
  <c r="M1068" i="3" s="1" a="1"/>
  <c r="M1068" i="3" s="1"/>
  <c r="K1067" i="3"/>
  <c r="L1067" i="3" s="1"/>
  <c r="M1067" i="3" s="1" a="1"/>
  <c r="M1067" i="3" s="1"/>
  <c r="K1066" i="3"/>
  <c r="L1066" i="3" s="1"/>
  <c r="M1066" i="3" s="1" a="1"/>
  <c r="M1066" i="3" s="1"/>
  <c r="K1065" i="3"/>
  <c r="L1065" i="3" s="1"/>
  <c r="M1065" i="3" s="1" a="1"/>
  <c r="M1065" i="3" s="1"/>
  <c r="K1064" i="3"/>
  <c r="L1064" i="3" s="1"/>
  <c r="M1064" i="3" s="1" a="1"/>
  <c r="M1064" i="3" s="1"/>
  <c r="K1063" i="3"/>
  <c r="L1063" i="3" s="1"/>
  <c r="M1063" i="3" s="1" a="1"/>
  <c r="M1063" i="3" s="1"/>
  <c r="K1062" i="3"/>
  <c r="L1062" i="3" s="1"/>
  <c r="M1062" i="3" s="1" a="1"/>
  <c r="M1062" i="3" s="1"/>
  <c r="K1061" i="3"/>
  <c r="L1061" i="3" s="1"/>
  <c r="M1061" i="3" s="1" a="1"/>
  <c r="M1061" i="3" s="1"/>
  <c r="K1060" i="3"/>
  <c r="L1060" i="3" s="1"/>
  <c r="M1060" i="3" s="1" a="1"/>
  <c r="M1060" i="3" s="1"/>
  <c r="K1059" i="3"/>
  <c r="L1059" i="3" s="1"/>
  <c r="M1059" i="3" s="1" a="1"/>
  <c r="M1059" i="3" s="1"/>
  <c r="K1058" i="3"/>
  <c r="L1058" i="3" s="1"/>
  <c r="M1058" i="3" s="1" a="1"/>
  <c r="M1058" i="3" s="1"/>
  <c r="K1057" i="3"/>
  <c r="L1057" i="3" s="1"/>
  <c r="M1057" i="3" s="1" a="1"/>
  <c r="M1057" i="3" s="1"/>
  <c r="K1056" i="3"/>
  <c r="L1056" i="3" s="1"/>
  <c r="M1056" i="3" s="1" a="1"/>
  <c r="M1056" i="3" s="1"/>
  <c r="K1055" i="3"/>
  <c r="L1055" i="3" s="1"/>
  <c r="M1055" i="3" s="1" a="1"/>
  <c r="M1055" i="3" s="1"/>
  <c r="K1054" i="3"/>
  <c r="L1054" i="3" s="1"/>
  <c r="M1054" i="3" s="1" a="1"/>
  <c r="M1054" i="3" s="1"/>
  <c r="K1053" i="3"/>
  <c r="L1053" i="3" s="1"/>
  <c r="M1053" i="3" s="1" a="1"/>
  <c r="M1053" i="3" s="1"/>
  <c r="K1052" i="3"/>
  <c r="L1052" i="3" s="1"/>
  <c r="M1052" i="3" s="1" a="1"/>
  <c r="M1052" i="3" s="1"/>
  <c r="K1051" i="3"/>
  <c r="L1051" i="3" s="1"/>
  <c r="M1051" i="3" s="1" a="1"/>
  <c r="M1051" i="3" s="1"/>
  <c r="K1050" i="3"/>
  <c r="L1050" i="3" s="1"/>
  <c r="M1050" i="3" s="1" a="1"/>
  <c r="M1050" i="3" s="1"/>
  <c r="K1049" i="3"/>
  <c r="L1049" i="3" s="1"/>
  <c r="M1049" i="3" s="1" a="1"/>
  <c r="M1049" i="3" s="1"/>
  <c r="K1048" i="3"/>
  <c r="L1048" i="3" s="1"/>
  <c r="M1048" i="3" s="1" a="1"/>
  <c r="M1048" i="3" s="1"/>
  <c r="K1047" i="3"/>
  <c r="L1047" i="3" s="1"/>
  <c r="M1047" i="3" s="1" a="1"/>
  <c r="M1047" i="3" s="1"/>
  <c r="K1046" i="3"/>
  <c r="L1046" i="3" s="1"/>
  <c r="M1046" i="3" s="1" a="1"/>
  <c r="M1046" i="3" s="1"/>
  <c r="K1045" i="3"/>
  <c r="L1045" i="3" s="1"/>
  <c r="M1045" i="3" s="1" a="1"/>
  <c r="M1045" i="3" s="1"/>
  <c r="K1044" i="3"/>
  <c r="L1044" i="3" s="1"/>
  <c r="M1044" i="3" s="1" a="1"/>
  <c r="M1044" i="3" s="1"/>
  <c r="K1043" i="3"/>
  <c r="L1043" i="3" s="1"/>
  <c r="M1043" i="3" s="1" a="1"/>
  <c r="M1043" i="3" s="1"/>
  <c r="K1042" i="3"/>
  <c r="L1042" i="3" s="1"/>
  <c r="M1042" i="3" s="1" a="1"/>
  <c r="M1042" i="3" s="1"/>
  <c r="K1041" i="3"/>
  <c r="L1041" i="3" s="1"/>
  <c r="M1041" i="3" s="1" a="1"/>
  <c r="M1041" i="3" s="1"/>
  <c r="K1040" i="3"/>
  <c r="L1040" i="3" s="1"/>
  <c r="M1040" i="3" s="1" a="1"/>
  <c r="M1040" i="3" s="1"/>
  <c r="K1039" i="3"/>
  <c r="L1039" i="3" s="1"/>
  <c r="M1039" i="3" s="1" a="1"/>
  <c r="M1039" i="3" s="1"/>
  <c r="K1038" i="3"/>
  <c r="L1038" i="3" s="1"/>
  <c r="M1038" i="3" s="1" a="1"/>
  <c r="M1038" i="3" s="1"/>
  <c r="K1037" i="3"/>
  <c r="L1037" i="3" s="1"/>
  <c r="M1037" i="3" s="1" a="1"/>
  <c r="M1037" i="3" s="1"/>
  <c r="K1036" i="3"/>
  <c r="L1036" i="3" s="1"/>
  <c r="M1036" i="3" s="1" a="1"/>
  <c r="M1036" i="3" s="1"/>
  <c r="K1035" i="3"/>
  <c r="L1035" i="3" s="1"/>
  <c r="M1035" i="3" s="1" a="1"/>
  <c r="M1035" i="3" s="1"/>
  <c r="K1034" i="3"/>
  <c r="L1034" i="3" s="1"/>
  <c r="M1034" i="3" s="1" a="1"/>
  <c r="M1034" i="3" s="1"/>
  <c r="K1033" i="3"/>
  <c r="L1033" i="3" s="1"/>
  <c r="M1033" i="3" s="1" a="1"/>
  <c r="M1033" i="3" s="1"/>
  <c r="K1032" i="3"/>
  <c r="L1032" i="3" s="1"/>
  <c r="M1032" i="3" s="1" a="1"/>
  <c r="M1032" i="3" s="1"/>
  <c r="K1031" i="3"/>
  <c r="L1031" i="3" s="1"/>
  <c r="M1031" i="3" s="1" a="1"/>
  <c r="M1031" i="3" s="1"/>
  <c r="K1030" i="3"/>
  <c r="L1030" i="3" s="1"/>
  <c r="M1030" i="3" s="1" a="1"/>
  <c r="M1030" i="3" s="1"/>
  <c r="K1029" i="3"/>
  <c r="L1029" i="3" s="1"/>
  <c r="M1029" i="3" s="1" a="1"/>
  <c r="M1029" i="3" s="1"/>
  <c r="K1028" i="3"/>
  <c r="L1028" i="3" s="1"/>
  <c r="M1028" i="3" s="1" a="1"/>
  <c r="M1028" i="3" s="1"/>
  <c r="K1027" i="3"/>
  <c r="L1027" i="3" s="1"/>
  <c r="M1027" i="3" s="1" a="1"/>
  <c r="M1027" i="3" s="1"/>
  <c r="K1026" i="3"/>
  <c r="L1026" i="3" s="1"/>
  <c r="M1026" i="3" s="1" a="1"/>
  <c r="M1026" i="3" s="1"/>
  <c r="K1025" i="3"/>
  <c r="L1025" i="3" s="1"/>
  <c r="M1025" i="3" s="1" a="1"/>
  <c r="M1025" i="3" s="1"/>
  <c r="K1024" i="3"/>
  <c r="L1024" i="3" s="1"/>
  <c r="M1024" i="3" s="1" a="1"/>
  <c r="M1024" i="3" s="1"/>
  <c r="K1023" i="3"/>
  <c r="L1023" i="3" s="1"/>
  <c r="M1023" i="3" s="1" a="1"/>
  <c r="M1023" i="3" s="1"/>
  <c r="K1022" i="3"/>
  <c r="L1022" i="3" s="1"/>
  <c r="M1022" i="3" s="1" a="1"/>
  <c r="M1022" i="3" s="1"/>
  <c r="K1021" i="3"/>
  <c r="L1021" i="3" s="1"/>
  <c r="M1021" i="3" s="1" a="1"/>
  <c r="M1021" i="3" s="1"/>
  <c r="K1020" i="3"/>
  <c r="L1020" i="3" s="1"/>
  <c r="M1020" i="3" s="1" a="1"/>
  <c r="M1020" i="3" s="1"/>
  <c r="K1019" i="3"/>
  <c r="L1019" i="3" s="1"/>
  <c r="M1019" i="3" s="1" a="1"/>
  <c r="M1019" i="3" s="1"/>
  <c r="K1018" i="3"/>
  <c r="L1018" i="3" s="1"/>
  <c r="M1018" i="3" s="1" a="1"/>
  <c r="M1018" i="3" s="1"/>
  <c r="K1017" i="3"/>
  <c r="L1017" i="3" s="1"/>
  <c r="M1017" i="3" s="1" a="1"/>
  <c r="M1017" i="3" s="1"/>
  <c r="K1016" i="3"/>
  <c r="L1016" i="3" s="1"/>
  <c r="M1016" i="3" s="1" a="1"/>
  <c r="M1016" i="3" s="1"/>
  <c r="K1015" i="3"/>
  <c r="L1015" i="3" s="1"/>
  <c r="M1015" i="3" s="1" a="1"/>
  <c r="M1015" i="3" s="1"/>
  <c r="K1014" i="3"/>
  <c r="L1014" i="3" s="1"/>
  <c r="M1014" i="3" s="1" a="1"/>
  <c r="M1014" i="3" s="1"/>
  <c r="K1013" i="3"/>
  <c r="L1013" i="3" s="1"/>
  <c r="M1013" i="3" s="1" a="1"/>
  <c r="M1013" i="3" s="1"/>
  <c r="K1012" i="3"/>
  <c r="L1012" i="3" s="1"/>
  <c r="M1012" i="3" s="1" a="1"/>
  <c r="M1012" i="3" s="1"/>
  <c r="K1011" i="3"/>
  <c r="L1011" i="3" s="1"/>
  <c r="M1011" i="3" s="1" a="1"/>
  <c r="M1011" i="3" s="1"/>
  <c r="K1010" i="3"/>
  <c r="L1010" i="3" s="1"/>
  <c r="M1010" i="3" s="1" a="1"/>
  <c r="M1010" i="3" s="1"/>
  <c r="K1009" i="3"/>
  <c r="L1009" i="3" s="1"/>
  <c r="M1009" i="3" s="1" a="1"/>
  <c r="M1009" i="3" s="1"/>
  <c r="K1008" i="3"/>
  <c r="L1008" i="3" s="1"/>
  <c r="M1008" i="3" s="1" a="1"/>
  <c r="M1008" i="3" s="1"/>
  <c r="K1007" i="3"/>
  <c r="L1007" i="3" s="1"/>
  <c r="M1007" i="3" s="1" a="1"/>
  <c r="M1007" i="3" s="1"/>
  <c r="K1006" i="3"/>
  <c r="L1006" i="3" s="1"/>
  <c r="M1006" i="3" s="1" a="1"/>
  <c r="M1006" i="3" s="1"/>
  <c r="K1005" i="3"/>
  <c r="L1005" i="3" s="1"/>
  <c r="M1005" i="3" s="1" a="1"/>
  <c r="M1005" i="3" s="1"/>
  <c r="K1004" i="3"/>
  <c r="L1004" i="3" s="1"/>
  <c r="M1004" i="3" s="1" a="1"/>
  <c r="M1004" i="3" s="1"/>
  <c r="K1003" i="3"/>
  <c r="L1003" i="3" s="1"/>
  <c r="M1003" i="3" s="1" a="1"/>
  <c r="M1003" i="3" s="1"/>
  <c r="K1002" i="3"/>
  <c r="L1002" i="3" s="1"/>
  <c r="M1002" i="3" s="1" a="1"/>
  <c r="M1002" i="3" s="1"/>
  <c r="K1001" i="3"/>
  <c r="L1001" i="3" s="1"/>
  <c r="M1001" i="3" s="1" a="1"/>
  <c r="M1001" i="3" s="1"/>
  <c r="K1000" i="3"/>
  <c r="L1000" i="3" s="1"/>
  <c r="M1000" i="3" s="1" a="1"/>
  <c r="M1000" i="3" s="1"/>
  <c r="K999" i="3"/>
  <c r="L999" i="3" s="1"/>
  <c r="M999" i="3" s="1" a="1"/>
  <c r="M999" i="3" s="1"/>
  <c r="K998" i="3"/>
  <c r="L998" i="3" s="1"/>
  <c r="M998" i="3" s="1" a="1"/>
  <c r="M998" i="3" s="1"/>
  <c r="K997" i="3"/>
  <c r="L997" i="3" s="1"/>
  <c r="M997" i="3" s="1" a="1"/>
  <c r="M997" i="3" s="1"/>
  <c r="K996" i="3"/>
  <c r="L996" i="3" s="1"/>
  <c r="M996" i="3" s="1" a="1"/>
  <c r="M996" i="3" s="1"/>
  <c r="K995" i="3"/>
  <c r="L995" i="3" s="1"/>
  <c r="M995" i="3" s="1" a="1"/>
  <c r="M995" i="3" s="1"/>
  <c r="K994" i="3"/>
  <c r="L994" i="3" s="1"/>
  <c r="M994" i="3" s="1" a="1"/>
  <c r="M994" i="3" s="1"/>
  <c r="K993" i="3"/>
  <c r="L993" i="3" s="1"/>
  <c r="M993" i="3" s="1" a="1"/>
  <c r="M993" i="3" s="1"/>
  <c r="K992" i="3"/>
  <c r="L992" i="3" s="1"/>
  <c r="M992" i="3" s="1" a="1"/>
  <c r="M992" i="3" s="1"/>
  <c r="K991" i="3"/>
  <c r="L991" i="3" s="1"/>
  <c r="M991" i="3" s="1" a="1"/>
  <c r="M991" i="3" s="1"/>
  <c r="K990" i="3"/>
  <c r="L990" i="3" s="1"/>
  <c r="M990" i="3" s="1" a="1"/>
  <c r="M990" i="3" s="1"/>
  <c r="K989" i="3"/>
  <c r="L989" i="3" s="1"/>
  <c r="M989" i="3" s="1" a="1"/>
  <c r="M989" i="3" s="1"/>
  <c r="K988" i="3"/>
  <c r="L988" i="3" s="1"/>
  <c r="M988" i="3" s="1" a="1"/>
  <c r="M988" i="3" s="1"/>
  <c r="K987" i="3"/>
  <c r="L987" i="3" s="1"/>
  <c r="M987" i="3" s="1" a="1"/>
  <c r="M987" i="3" s="1"/>
  <c r="K986" i="3"/>
  <c r="L986" i="3" s="1"/>
  <c r="M986" i="3" s="1" a="1"/>
  <c r="M986" i="3" s="1"/>
  <c r="K985" i="3"/>
  <c r="L985" i="3" s="1"/>
  <c r="M985" i="3" s="1" a="1"/>
  <c r="M985" i="3" s="1"/>
  <c r="K984" i="3"/>
  <c r="L984" i="3" s="1"/>
  <c r="M984" i="3" s="1" a="1"/>
  <c r="M984" i="3" s="1"/>
  <c r="K983" i="3"/>
  <c r="L983" i="3" s="1"/>
  <c r="M983" i="3" s="1" a="1"/>
  <c r="M983" i="3" s="1"/>
  <c r="K982" i="3"/>
  <c r="L982" i="3" s="1"/>
  <c r="M982" i="3" s="1" a="1"/>
  <c r="M982" i="3" s="1"/>
  <c r="K981" i="3"/>
  <c r="L981" i="3" s="1"/>
  <c r="M981" i="3" s="1" a="1"/>
  <c r="M981" i="3" s="1"/>
  <c r="K980" i="3"/>
  <c r="L980" i="3" s="1"/>
  <c r="M980" i="3" s="1" a="1"/>
  <c r="M980" i="3" s="1"/>
  <c r="K979" i="3"/>
  <c r="L979" i="3" s="1"/>
  <c r="M979" i="3" s="1" a="1"/>
  <c r="M979" i="3" s="1"/>
  <c r="K978" i="3"/>
  <c r="L978" i="3" s="1"/>
  <c r="M978" i="3" s="1" a="1"/>
  <c r="M978" i="3" s="1"/>
  <c r="K977" i="3"/>
  <c r="L977" i="3" s="1"/>
  <c r="M977" i="3" s="1" a="1"/>
  <c r="M977" i="3" s="1"/>
  <c r="K976" i="3"/>
  <c r="L976" i="3" s="1"/>
  <c r="M976" i="3" s="1" a="1"/>
  <c r="M976" i="3" s="1"/>
  <c r="K975" i="3"/>
  <c r="L975" i="3" s="1"/>
  <c r="M975" i="3" s="1" a="1"/>
  <c r="M975" i="3" s="1"/>
  <c r="K974" i="3"/>
  <c r="L974" i="3" s="1"/>
  <c r="M974" i="3" s="1" a="1"/>
  <c r="M974" i="3" s="1"/>
  <c r="K973" i="3"/>
  <c r="L973" i="3" s="1"/>
  <c r="M973" i="3" s="1" a="1"/>
  <c r="M973" i="3" s="1"/>
  <c r="K972" i="3"/>
  <c r="L972" i="3" s="1"/>
  <c r="M972" i="3" s="1" a="1"/>
  <c r="M972" i="3" s="1"/>
  <c r="K971" i="3"/>
  <c r="L971" i="3" s="1"/>
  <c r="M971" i="3" s="1" a="1"/>
  <c r="M971" i="3" s="1"/>
  <c r="K970" i="3"/>
  <c r="L970" i="3" s="1"/>
  <c r="M970" i="3" s="1" a="1"/>
  <c r="M970" i="3" s="1"/>
  <c r="K969" i="3"/>
  <c r="L969" i="3" s="1"/>
  <c r="M969" i="3" s="1" a="1"/>
  <c r="M969" i="3" s="1"/>
  <c r="K968" i="3"/>
  <c r="L968" i="3" s="1"/>
  <c r="M968" i="3" s="1" a="1"/>
  <c r="M968" i="3" s="1"/>
  <c r="K967" i="3"/>
  <c r="L967" i="3" s="1"/>
  <c r="M967" i="3" s="1" a="1"/>
  <c r="M967" i="3" s="1"/>
  <c r="K966" i="3"/>
  <c r="L966" i="3" s="1"/>
  <c r="M966" i="3" s="1" a="1"/>
  <c r="M966" i="3" s="1"/>
  <c r="K965" i="3"/>
  <c r="L965" i="3" s="1"/>
  <c r="M965" i="3" s="1" a="1"/>
  <c r="M965" i="3" s="1"/>
  <c r="K964" i="3"/>
  <c r="L964" i="3" s="1"/>
  <c r="M964" i="3" s="1" a="1"/>
  <c r="M964" i="3" s="1"/>
  <c r="K963" i="3"/>
  <c r="L963" i="3" s="1"/>
  <c r="M963" i="3" s="1" a="1"/>
  <c r="M963" i="3" s="1"/>
  <c r="K962" i="3"/>
  <c r="L962" i="3" s="1"/>
  <c r="M962" i="3" s="1" a="1"/>
  <c r="M962" i="3" s="1"/>
  <c r="K961" i="3"/>
  <c r="L961" i="3" s="1"/>
  <c r="M961" i="3" s="1" a="1"/>
  <c r="M961" i="3" s="1"/>
  <c r="K960" i="3"/>
  <c r="L960" i="3" s="1"/>
  <c r="M960" i="3" s="1" a="1"/>
  <c r="M960" i="3" s="1"/>
  <c r="K959" i="3"/>
  <c r="L959" i="3" s="1"/>
  <c r="M959" i="3" s="1" a="1"/>
  <c r="M959" i="3" s="1"/>
  <c r="K958" i="3"/>
  <c r="L958" i="3" s="1"/>
  <c r="M958" i="3" s="1" a="1"/>
  <c r="M958" i="3" s="1"/>
  <c r="K957" i="3"/>
  <c r="L957" i="3" s="1"/>
  <c r="M957" i="3" s="1" a="1"/>
  <c r="M957" i="3" s="1"/>
  <c r="K956" i="3"/>
  <c r="L956" i="3" s="1"/>
  <c r="M956" i="3" s="1" a="1"/>
  <c r="M956" i="3" s="1"/>
  <c r="K955" i="3"/>
  <c r="L955" i="3" s="1"/>
  <c r="M955" i="3" s="1" a="1"/>
  <c r="M955" i="3" s="1"/>
  <c r="K954" i="3"/>
  <c r="L954" i="3" s="1"/>
  <c r="M954" i="3" s="1" a="1"/>
  <c r="M954" i="3" s="1"/>
  <c r="K953" i="3"/>
  <c r="L953" i="3" s="1"/>
  <c r="M953" i="3" s="1" a="1"/>
  <c r="M953" i="3" s="1"/>
  <c r="K952" i="3"/>
  <c r="L952" i="3" s="1"/>
  <c r="M952" i="3" s="1" a="1"/>
  <c r="M952" i="3" s="1"/>
  <c r="K951" i="3"/>
  <c r="L951" i="3" s="1"/>
  <c r="M951" i="3" s="1" a="1"/>
  <c r="M951" i="3" s="1"/>
  <c r="K950" i="3"/>
  <c r="L950" i="3" s="1"/>
  <c r="M950" i="3" s="1" a="1"/>
  <c r="M950" i="3" s="1"/>
  <c r="K949" i="3"/>
  <c r="L949" i="3" s="1"/>
  <c r="M949" i="3" s="1" a="1"/>
  <c r="M949" i="3" s="1"/>
  <c r="K948" i="3"/>
  <c r="L948" i="3" s="1"/>
  <c r="M948" i="3" s="1" a="1"/>
  <c r="M948" i="3" s="1"/>
  <c r="K947" i="3"/>
  <c r="L947" i="3" s="1"/>
  <c r="M947" i="3" s="1" a="1"/>
  <c r="M947" i="3" s="1"/>
  <c r="K946" i="3"/>
  <c r="L946" i="3" s="1"/>
  <c r="M946" i="3" s="1" a="1"/>
  <c r="M946" i="3" s="1"/>
  <c r="K945" i="3"/>
  <c r="L945" i="3" s="1"/>
  <c r="M945" i="3" s="1" a="1"/>
  <c r="M945" i="3" s="1"/>
  <c r="K944" i="3"/>
  <c r="L944" i="3" s="1"/>
  <c r="M944" i="3" s="1" a="1"/>
  <c r="M944" i="3" s="1"/>
  <c r="K943" i="3"/>
  <c r="L943" i="3" s="1"/>
  <c r="M943" i="3" s="1" a="1"/>
  <c r="M943" i="3" s="1"/>
  <c r="K942" i="3"/>
  <c r="L942" i="3" s="1"/>
  <c r="M942" i="3" s="1" a="1"/>
  <c r="M942" i="3" s="1"/>
  <c r="K941" i="3"/>
  <c r="L941" i="3" s="1"/>
  <c r="M941" i="3" s="1" a="1"/>
  <c r="M941" i="3" s="1"/>
  <c r="K940" i="3"/>
  <c r="L940" i="3" s="1"/>
  <c r="M940" i="3" s="1" a="1"/>
  <c r="M940" i="3" s="1"/>
  <c r="K939" i="3"/>
  <c r="L939" i="3" s="1"/>
  <c r="M939" i="3" s="1" a="1"/>
  <c r="M939" i="3" s="1"/>
  <c r="K938" i="3"/>
  <c r="L938" i="3" s="1"/>
  <c r="M938" i="3" s="1" a="1"/>
  <c r="M938" i="3" s="1"/>
  <c r="K937" i="3"/>
  <c r="L937" i="3" s="1"/>
  <c r="M937" i="3" s="1" a="1"/>
  <c r="M937" i="3" s="1"/>
  <c r="K936" i="3"/>
  <c r="L936" i="3" s="1"/>
  <c r="M936" i="3" s="1" a="1"/>
  <c r="M936" i="3" s="1"/>
  <c r="K935" i="3"/>
  <c r="L935" i="3" s="1"/>
  <c r="M935" i="3" s="1" a="1"/>
  <c r="M935" i="3" s="1"/>
  <c r="K934" i="3"/>
  <c r="L934" i="3" s="1"/>
  <c r="M934" i="3" s="1" a="1"/>
  <c r="M934" i="3" s="1"/>
  <c r="K933" i="3"/>
  <c r="L933" i="3" s="1"/>
  <c r="M933" i="3" s="1" a="1"/>
  <c r="M933" i="3" s="1"/>
  <c r="K932" i="3"/>
  <c r="L932" i="3" s="1"/>
  <c r="M932" i="3" s="1" a="1"/>
  <c r="M932" i="3" s="1"/>
  <c r="K931" i="3"/>
  <c r="L931" i="3" s="1"/>
  <c r="M931" i="3" s="1" a="1"/>
  <c r="M931" i="3" s="1"/>
  <c r="K930" i="3"/>
  <c r="L930" i="3" s="1"/>
  <c r="M930" i="3" s="1" a="1"/>
  <c r="M930" i="3" s="1"/>
  <c r="K929" i="3"/>
  <c r="L929" i="3" s="1"/>
  <c r="M929" i="3" s="1" a="1"/>
  <c r="M929" i="3" s="1"/>
  <c r="K928" i="3"/>
  <c r="L928" i="3" s="1"/>
  <c r="M928" i="3" s="1" a="1"/>
  <c r="M928" i="3" s="1"/>
  <c r="K927" i="3"/>
  <c r="L927" i="3" s="1"/>
  <c r="M927" i="3" s="1" a="1"/>
  <c r="M927" i="3" s="1"/>
  <c r="K926" i="3"/>
  <c r="L926" i="3" s="1"/>
  <c r="M926" i="3" s="1" a="1"/>
  <c r="M926" i="3" s="1"/>
  <c r="K925" i="3"/>
  <c r="L925" i="3" s="1"/>
  <c r="M925" i="3" s="1" a="1"/>
  <c r="M925" i="3" s="1"/>
  <c r="K924" i="3"/>
  <c r="L924" i="3" s="1"/>
  <c r="M924" i="3" s="1" a="1"/>
  <c r="M924" i="3" s="1"/>
  <c r="K923" i="3"/>
  <c r="L923" i="3" s="1"/>
  <c r="M923" i="3" s="1" a="1"/>
  <c r="M923" i="3" s="1"/>
  <c r="K922" i="3"/>
  <c r="L922" i="3" s="1"/>
  <c r="M922" i="3" s="1" a="1"/>
  <c r="M922" i="3" s="1"/>
  <c r="K921" i="3"/>
  <c r="L921" i="3" s="1"/>
  <c r="M921" i="3" s="1" a="1"/>
  <c r="M921" i="3" s="1"/>
  <c r="K920" i="3"/>
  <c r="L920" i="3" s="1"/>
  <c r="M920" i="3" s="1" a="1"/>
  <c r="M920" i="3" s="1"/>
  <c r="K919" i="3"/>
  <c r="L919" i="3" s="1"/>
  <c r="M919" i="3" s="1" a="1"/>
  <c r="M919" i="3" s="1"/>
  <c r="K918" i="3"/>
  <c r="L918" i="3" s="1"/>
  <c r="M918" i="3" s="1" a="1"/>
  <c r="M918" i="3" s="1"/>
  <c r="K917" i="3"/>
  <c r="L917" i="3" s="1"/>
  <c r="M917" i="3" s="1" a="1"/>
  <c r="M917" i="3" s="1"/>
  <c r="K916" i="3"/>
  <c r="L916" i="3" s="1"/>
  <c r="M916" i="3" s="1" a="1"/>
  <c r="M916" i="3" s="1"/>
  <c r="K915" i="3"/>
  <c r="L915" i="3" s="1"/>
  <c r="M915" i="3" s="1" a="1"/>
  <c r="M915" i="3" s="1"/>
  <c r="K914" i="3"/>
  <c r="L914" i="3" s="1"/>
  <c r="M914" i="3" s="1" a="1"/>
  <c r="M914" i="3" s="1"/>
  <c r="K913" i="3"/>
  <c r="L913" i="3" s="1"/>
  <c r="M913" i="3" s="1" a="1"/>
  <c r="M913" i="3" s="1"/>
  <c r="K912" i="3"/>
  <c r="L912" i="3" s="1"/>
  <c r="M912" i="3" s="1" a="1"/>
  <c r="M912" i="3" s="1"/>
  <c r="K911" i="3"/>
  <c r="L911" i="3" s="1"/>
  <c r="M911" i="3" s="1" a="1"/>
  <c r="M911" i="3" s="1"/>
  <c r="K910" i="3"/>
  <c r="L910" i="3" s="1"/>
  <c r="M910" i="3" s="1" a="1"/>
  <c r="M910" i="3" s="1"/>
  <c r="K909" i="3"/>
  <c r="L909" i="3" s="1"/>
  <c r="M909" i="3" s="1" a="1"/>
  <c r="M909" i="3" s="1"/>
  <c r="K908" i="3"/>
  <c r="L908" i="3" s="1"/>
  <c r="M908" i="3" s="1" a="1"/>
  <c r="M908" i="3" s="1"/>
  <c r="K907" i="3"/>
  <c r="L907" i="3" s="1"/>
  <c r="M907" i="3" s="1" a="1"/>
  <c r="M907" i="3" s="1"/>
  <c r="K906" i="3"/>
  <c r="L906" i="3" s="1"/>
  <c r="M906" i="3" s="1" a="1"/>
  <c r="M906" i="3" s="1"/>
  <c r="K905" i="3"/>
  <c r="L905" i="3" s="1"/>
  <c r="M905" i="3" s="1" a="1"/>
  <c r="M905" i="3" s="1"/>
  <c r="K904" i="3"/>
  <c r="L904" i="3" s="1"/>
  <c r="M904" i="3" s="1" a="1"/>
  <c r="M904" i="3" s="1"/>
  <c r="K903" i="3"/>
  <c r="L903" i="3" s="1"/>
  <c r="M903" i="3" s="1" a="1"/>
  <c r="M903" i="3" s="1"/>
  <c r="K902" i="3"/>
  <c r="L902" i="3" s="1"/>
  <c r="M902" i="3" s="1" a="1"/>
  <c r="M902" i="3" s="1"/>
  <c r="K901" i="3"/>
  <c r="L901" i="3" s="1"/>
  <c r="M901" i="3" s="1" a="1"/>
  <c r="M901" i="3" s="1"/>
  <c r="K900" i="3"/>
  <c r="L900" i="3" s="1"/>
  <c r="M900" i="3" s="1" a="1"/>
  <c r="M900" i="3" s="1"/>
  <c r="K899" i="3"/>
  <c r="L899" i="3" s="1"/>
  <c r="M899" i="3" s="1" a="1"/>
  <c r="M899" i="3" s="1"/>
  <c r="K898" i="3"/>
  <c r="L898" i="3" s="1"/>
  <c r="M898" i="3" s="1" a="1"/>
  <c r="M898" i="3" s="1"/>
  <c r="K897" i="3"/>
  <c r="L897" i="3" s="1"/>
  <c r="M897" i="3" s="1" a="1"/>
  <c r="M897" i="3" s="1"/>
  <c r="K896" i="3"/>
  <c r="L896" i="3" s="1"/>
  <c r="M896" i="3" s="1" a="1"/>
  <c r="M896" i="3" s="1"/>
  <c r="K895" i="3"/>
  <c r="L895" i="3" s="1"/>
  <c r="M895" i="3" s="1" a="1"/>
  <c r="M895" i="3" s="1"/>
  <c r="K894" i="3"/>
  <c r="L894" i="3" s="1"/>
  <c r="M894" i="3" s="1" a="1"/>
  <c r="M894" i="3" s="1"/>
  <c r="K893" i="3"/>
  <c r="L893" i="3" s="1"/>
  <c r="M893" i="3" s="1" a="1"/>
  <c r="M893" i="3" s="1"/>
  <c r="K892" i="3"/>
  <c r="L892" i="3" s="1"/>
  <c r="M892" i="3" s="1" a="1"/>
  <c r="M892" i="3" s="1"/>
  <c r="K891" i="3"/>
  <c r="L891" i="3" s="1"/>
  <c r="M891" i="3" s="1" a="1"/>
  <c r="M891" i="3" s="1"/>
  <c r="C8" i="8" l="1"/>
  <c r="C1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<sst xmlns="http://schemas.openxmlformats.org/spreadsheetml/2006/main" count="20744" uniqueCount="2988">
  <si>
    <t xml:space="preserve">Jackdaniel's Men's Wear Collection </t>
  </si>
  <si>
    <t>Product_Code</t>
  </si>
  <si>
    <t>Category</t>
  </si>
  <si>
    <t>Brand</t>
  </si>
  <si>
    <t>Style</t>
  </si>
  <si>
    <t>Fabric</t>
  </si>
  <si>
    <t>Size</t>
  </si>
  <si>
    <t>Color</t>
  </si>
  <si>
    <t>Buying_Price</t>
  </si>
  <si>
    <t>Selling_Price</t>
  </si>
  <si>
    <t>Stock_Qty</t>
  </si>
  <si>
    <t>SHT0001</t>
  </si>
  <si>
    <t>Shirt</t>
  </si>
  <si>
    <t>L7</t>
  </si>
  <si>
    <t>Formal</t>
  </si>
  <si>
    <t>Cotton Blend</t>
  </si>
  <si>
    <t>M</t>
  </si>
  <si>
    <t>Charcoal</t>
  </si>
  <si>
    <t>SHT0002</t>
  </si>
  <si>
    <t>Partywear</t>
  </si>
  <si>
    <t>Cotton</t>
  </si>
  <si>
    <t>XXL</t>
  </si>
  <si>
    <t>Bottle Green</t>
  </si>
  <si>
    <t>SHT0003</t>
  </si>
  <si>
    <t>Lycra</t>
  </si>
  <si>
    <t>Royal Blue</t>
  </si>
  <si>
    <t>SHT0004</t>
  </si>
  <si>
    <t>G Studio</t>
  </si>
  <si>
    <t>Polyester</t>
  </si>
  <si>
    <t>Cream</t>
  </si>
  <si>
    <t>SHT0005</t>
  </si>
  <si>
    <t>Zara</t>
  </si>
  <si>
    <t>L</t>
  </si>
  <si>
    <t>Beige</t>
  </si>
  <si>
    <t>SHT0006</t>
  </si>
  <si>
    <t>British</t>
  </si>
  <si>
    <t>XL</t>
  </si>
  <si>
    <t>Sky Blue</t>
  </si>
  <si>
    <t>SHT0007</t>
  </si>
  <si>
    <t>S</t>
  </si>
  <si>
    <t>SHT0008</t>
  </si>
  <si>
    <t>Teal</t>
  </si>
  <si>
    <t>SHT0009</t>
  </si>
  <si>
    <t>Navy Blue</t>
  </si>
  <si>
    <t>SHT0010</t>
  </si>
  <si>
    <t>Casual</t>
  </si>
  <si>
    <t>SHT0011</t>
  </si>
  <si>
    <t>SHT0012</t>
  </si>
  <si>
    <t>SHT0013</t>
  </si>
  <si>
    <t>Mustard</t>
  </si>
  <si>
    <t>SHT0014</t>
  </si>
  <si>
    <t>Peach</t>
  </si>
  <si>
    <t>SHT0015</t>
  </si>
  <si>
    <t>Max</t>
  </si>
  <si>
    <t>SHT0016</t>
  </si>
  <si>
    <t>Luke &amp; Burg</t>
  </si>
  <si>
    <t>SHT0017</t>
  </si>
  <si>
    <t>Maroon</t>
  </si>
  <si>
    <t>SHT0018</t>
  </si>
  <si>
    <t>Rust</t>
  </si>
  <si>
    <t>SHT0019</t>
  </si>
  <si>
    <t>Thailand</t>
  </si>
  <si>
    <t>Dark Green</t>
  </si>
  <si>
    <t>SHT0020</t>
  </si>
  <si>
    <t>Olive</t>
  </si>
  <si>
    <t>SHT0021</t>
  </si>
  <si>
    <t>SHT0022</t>
  </si>
  <si>
    <t>H&amp;M</t>
  </si>
  <si>
    <t>SHT0023</t>
  </si>
  <si>
    <t>Black</t>
  </si>
  <si>
    <t>SHT0024</t>
  </si>
  <si>
    <t>Light Grey</t>
  </si>
  <si>
    <t>SHT0025</t>
  </si>
  <si>
    <t>SHT0026</t>
  </si>
  <si>
    <t>SHT0027</t>
  </si>
  <si>
    <t>Wine</t>
  </si>
  <si>
    <t>SHT0028</t>
  </si>
  <si>
    <t>SHT0029</t>
  </si>
  <si>
    <t>SHT0030</t>
  </si>
  <si>
    <t>SHT0031</t>
  </si>
  <si>
    <t>USD</t>
  </si>
  <si>
    <t>SHT0032</t>
  </si>
  <si>
    <t>SHT0033</t>
  </si>
  <si>
    <t>SHT0034</t>
  </si>
  <si>
    <t>SHT0035</t>
  </si>
  <si>
    <t>SHT0036</t>
  </si>
  <si>
    <t>SHT0037</t>
  </si>
  <si>
    <t>SHT0038</t>
  </si>
  <si>
    <t>SHT0039</t>
  </si>
  <si>
    <t>SHT0040</t>
  </si>
  <si>
    <t>SHT0041</t>
  </si>
  <si>
    <t>SHT0042</t>
  </si>
  <si>
    <t>SHT0043</t>
  </si>
  <si>
    <t>SHT0044</t>
  </si>
  <si>
    <t>Grey</t>
  </si>
  <si>
    <t>SHT0045</t>
  </si>
  <si>
    <t>SHT0046</t>
  </si>
  <si>
    <t>SHT0047</t>
  </si>
  <si>
    <t>SHT0048</t>
  </si>
  <si>
    <t>SHT0049</t>
  </si>
  <si>
    <t>SHT0050</t>
  </si>
  <si>
    <t>Brown</t>
  </si>
  <si>
    <t>SHT0051</t>
  </si>
  <si>
    <t>SHT0052</t>
  </si>
  <si>
    <t>White</t>
  </si>
  <si>
    <t>SHT0053</t>
  </si>
  <si>
    <t>SHT0054</t>
  </si>
  <si>
    <t>SHT0055</t>
  </si>
  <si>
    <t>SHT0056</t>
  </si>
  <si>
    <t>SHT0057</t>
  </si>
  <si>
    <t>SHT0058</t>
  </si>
  <si>
    <t>SHT0059</t>
  </si>
  <si>
    <t>SHT0060</t>
  </si>
  <si>
    <t>SHT0061</t>
  </si>
  <si>
    <t>SHT0062</t>
  </si>
  <si>
    <t>SHT0063</t>
  </si>
  <si>
    <t>SHT0064</t>
  </si>
  <si>
    <t>SHT0065</t>
  </si>
  <si>
    <t>SHT0066</t>
  </si>
  <si>
    <t>SHT0067</t>
  </si>
  <si>
    <t>SHT0068</t>
  </si>
  <si>
    <t>SHT0069</t>
  </si>
  <si>
    <t>SHT0070</t>
  </si>
  <si>
    <t>SHT0071</t>
  </si>
  <si>
    <t>SHT0072</t>
  </si>
  <si>
    <t>SHT0073</t>
  </si>
  <si>
    <t>SHT0074</t>
  </si>
  <si>
    <t>SHT0075</t>
  </si>
  <si>
    <t>SHT0076</t>
  </si>
  <si>
    <t>SHT0077</t>
  </si>
  <si>
    <t>SHT0078</t>
  </si>
  <si>
    <t>SHT0079</t>
  </si>
  <si>
    <t>SHT0080</t>
  </si>
  <si>
    <t>SHT0081</t>
  </si>
  <si>
    <t>SHT0082</t>
  </si>
  <si>
    <t>SHT0083</t>
  </si>
  <si>
    <t>SHT0084</t>
  </si>
  <si>
    <t>SHT0085</t>
  </si>
  <si>
    <t>SHT0086</t>
  </si>
  <si>
    <t>SHT0087</t>
  </si>
  <si>
    <t>SHT0088</t>
  </si>
  <si>
    <t>SHT0089</t>
  </si>
  <si>
    <t>SHT0090</t>
  </si>
  <si>
    <t>SHT0091</t>
  </si>
  <si>
    <t>SHT0092</t>
  </si>
  <si>
    <t>SHT0093</t>
  </si>
  <si>
    <t>SHT0094</t>
  </si>
  <si>
    <t>SHT0095</t>
  </si>
  <si>
    <t>SHT0096</t>
  </si>
  <si>
    <t>SHT0097</t>
  </si>
  <si>
    <t>SHT0098</t>
  </si>
  <si>
    <t>SHT0099</t>
  </si>
  <si>
    <t>SHT0100</t>
  </si>
  <si>
    <t>SHT0101</t>
  </si>
  <si>
    <t>SHT0102</t>
  </si>
  <si>
    <t>SHT0103</t>
  </si>
  <si>
    <t>SHT0104</t>
  </si>
  <si>
    <t>SHT0105</t>
  </si>
  <si>
    <t>SHT0106</t>
  </si>
  <si>
    <t>SHT0107</t>
  </si>
  <si>
    <t>SHT0108</t>
  </si>
  <si>
    <t>SHT0109</t>
  </si>
  <si>
    <t>SHT0110</t>
  </si>
  <si>
    <t>SHT0111</t>
  </si>
  <si>
    <t>SHT0112</t>
  </si>
  <si>
    <t>SHT0113</t>
  </si>
  <si>
    <t>SHT0114</t>
  </si>
  <si>
    <t>SHT0115</t>
  </si>
  <si>
    <t>SHT0116</t>
  </si>
  <si>
    <t>SHT0117</t>
  </si>
  <si>
    <t>SHT0118</t>
  </si>
  <si>
    <t>SHT0119</t>
  </si>
  <si>
    <t>SHT0120</t>
  </si>
  <si>
    <t>SHT0121</t>
  </si>
  <si>
    <t>SHT0122</t>
  </si>
  <si>
    <t>SHT0123</t>
  </si>
  <si>
    <t>SHT0124</t>
  </si>
  <si>
    <t>SHT0125</t>
  </si>
  <si>
    <t>SHT0126</t>
  </si>
  <si>
    <t>SHT0127</t>
  </si>
  <si>
    <t>SHT0128</t>
  </si>
  <si>
    <t>SHT0129</t>
  </si>
  <si>
    <t>SHT0130</t>
  </si>
  <si>
    <t>SHT0131</t>
  </si>
  <si>
    <t>SHT0132</t>
  </si>
  <si>
    <t>SHT0133</t>
  </si>
  <si>
    <t>SHT0134</t>
  </si>
  <si>
    <t>SHT0135</t>
  </si>
  <si>
    <t>SHT0136</t>
  </si>
  <si>
    <t>SHT0137</t>
  </si>
  <si>
    <t>SHT0138</t>
  </si>
  <si>
    <t>SHT0139</t>
  </si>
  <si>
    <t>SHT0140</t>
  </si>
  <si>
    <t>SHT0141</t>
  </si>
  <si>
    <t>SHT0142</t>
  </si>
  <si>
    <t>SHT0143</t>
  </si>
  <si>
    <t>SHT0144</t>
  </si>
  <si>
    <t>SHT0145</t>
  </si>
  <si>
    <t>SHT0146</t>
  </si>
  <si>
    <t>SHT0147</t>
  </si>
  <si>
    <t>SHT0148</t>
  </si>
  <si>
    <t>SHT0149</t>
  </si>
  <si>
    <t>SHT0150</t>
  </si>
  <si>
    <t>SHT0151</t>
  </si>
  <si>
    <t>SHT0152</t>
  </si>
  <si>
    <t>SHT0153</t>
  </si>
  <si>
    <t>SHT0154</t>
  </si>
  <si>
    <t>SHT0155</t>
  </si>
  <si>
    <t>SHT0156</t>
  </si>
  <si>
    <t>SHT0157</t>
  </si>
  <si>
    <t>SHT0158</t>
  </si>
  <si>
    <t>SHT0159</t>
  </si>
  <si>
    <t>SHT0160</t>
  </si>
  <si>
    <t>SHT0161</t>
  </si>
  <si>
    <t>SHT0162</t>
  </si>
  <si>
    <t>SHT0163</t>
  </si>
  <si>
    <t>SHT0164</t>
  </si>
  <si>
    <t>SHT0165</t>
  </si>
  <si>
    <t>SHT0166</t>
  </si>
  <si>
    <t>SHT0167</t>
  </si>
  <si>
    <t>SHT0168</t>
  </si>
  <si>
    <t>SHT0169</t>
  </si>
  <si>
    <t>SHT0170</t>
  </si>
  <si>
    <t>SHT0171</t>
  </si>
  <si>
    <t>SHT0172</t>
  </si>
  <si>
    <t>SHT0173</t>
  </si>
  <si>
    <t>SHT0174</t>
  </si>
  <si>
    <t>SHT0175</t>
  </si>
  <si>
    <t>SHT0176</t>
  </si>
  <si>
    <t>SHT0177</t>
  </si>
  <si>
    <t>SHT0178</t>
  </si>
  <si>
    <t>SHT0179</t>
  </si>
  <si>
    <t>SHT0180</t>
  </si>
  <si>
    <t>SHT0181</t>
  </si>
  <si>
    <t>SHT0182</t>
  </si>
  <si>
    <t>SHT0183</t>
  </si>
  <si>
    <t>SHT0184</t>
  </si>
  <si>
    <t>SHT0185</t>
  </si>
  <si>
    <t>SHT0186</t>
  </si>
  <si>
    <t>SHT0187</t>
  </si>
  <si>
    <t>SHT0188</t>
  </si>
  <si>
    <t>SHT0189</t>
  </si>
  <si>
    <t>SHT0190</t>
  </si>
  <si>
    <t>SHT0191</t>
  </si>
  <si>
    <t>SHT0192</t>
  </si>
  <si>
    <t>SHT0193</t>
  </si>
  <si>
    <t>SHT0194</t>
  </si>
  <si>
    <t>SHT0195</t>
  </si>
  <si>
    <t>SHT0196</t>
  </si>
  <si>
    <t>SHT0197</t>
  </si>
  <si>
    <t>SHT0198</t>
  </si>
  <si>
    <t>SHT0199</t>
  </si>
  <si>
    <t>SHT0200</t>
  </si>
  <si>
    <t>SHT0201</t>
  </si>
  <si>
    <t>SHT0202</t>
  </si>
  <si>
    <t>SHT0203</t>
  </si>
  <si>
    <t>SHT0204</t>
  </si>
  <si>
    <t>SHT0205</t>
  </si>
  <si>
    <t>SHT0206</t>
  </si>
  <si>
    <t>SHT0207</t>
  </si>
  <si>
    <t>SHT0208</t>
  </si>
  <si>
    <t>SHT0209</t>
  </si>
  <si>
    <t>SHT0210</t>
  </si>
  <si>
    <t>SHT0211</t>
  </si>
  <si>
    <t>SHT0212</t>
  </si>
  <si>
    <t>SHT0213</t>
  </si>
  <si>
    <t>SHT0214</t>
  </si>
  <si>
    <t>SHT0215</t>
  </si>
  <si>
    <t>SHT0216</t>
  </si>
  <si>
    <t>SHT0217</t>
  </si>
  <si>
    <t>SHT0218</t>
  </si>
  <si>
    <t>SHT0219</t>
  </si>
  <si>
    <t>SHT0220</t>
  </si>
  <si>
    <t>SHT0221</t>
  </si>
  <si>
    <t>SHT0222</t>
  </si>
  <si>
    <t>SHT0223</t>
  </si>
  <si>
    <t>SHT0224</t>
  </si>
  <si>
    <t>SHT0225</t>
  </si>
  <si>
    <t>SHT0226</t>
  </si>
  <si>
    <t>SHT0227</t>
  </si>
  <si>
    <t>SHT0228</t>
  </si>
  <si>
    <t>SHT0229</t>
  </si>
  <si>
    <t>SHT0230</t>
  </si>
  <si>
    <t>SHT0231</t>
  </si>
  <si>
    <t>SHT0232</t>
  </si>
  <si>
    <t>SHT0233</t>
  </si>
  <si>
    <t>SHT0234</t>
  </si>
  <si>
    <t>SHT0235</t>
  </si>
  <si>
    <t>SHT0236</t>
  </si>
  <si>
    <t>SHT0237</t>
  </si>
  <si>
    <t>SHT0238</t>
  </si>
  <si>
    <t>SHT0239</t>
  </si>
  <si>
    <t>SHT0240</t>
  </si>
  <si>
    <t>SHT0241</t>
  </si>
  <si>
    <t>SHT0242</t>
  </si>
  <si>
    <t>SHT0243</t>
  </si>
  <si>
    <t>SHT0244</t>
  </si>
  <si>
    <t>SHT0245</t>
  </si>
  <si>
    <t>SHT0246</t>
  </si>
  <si>
    <t>SHT0247</t>
  </si>
  <si>
    <t>SHT0248</t>
  </si>
  <si>
    <t>SHT0249</t>
  </si>
  <si>
    <t>SHT0250</t>
  </si>
  <si>
    <t>SHT0251</t>
  </si>
  <si>
    <t>SHT0252</t>
  </si>
  <si>
    <t>SHT0253</t>
  </si>
  <si>
    <t>SHT0254</t>
  </si>
  <si>
    <t>SHT0255</t>
  </si>
  <si>
    <t>SHT0256</t>
  </si>
  <si>
    <t>SHT0257</t>
  </si>
  <si>
    <t>SHT0258</t>
  </si>
  <si>
    <t>SHT0259</t>
  </si>
  <si>
    <t>SHT0260</t>
  </si>
  <si>
    <t>SHT0261</t>
  </si>
  <si>
    <t>SHT0262</t>
  </si>
  <si>
    <t>SHT0263</t>
  </si>
  <si>
    <t>SHT0264</t>
  </si>
  <si>
    <t>SHT0265</t>
  </si>
  <si>
    <t>SHT0266</t>
  </si>
  <si>
    <t>SHT0267</t>
  </si>
  <si>
    <t>SHT0268</t>
  </si>
  <si>
    <t>SHT0269</t>
  </si>
  <si>
    <t>SHT0270</t>
  </si>
  <si>
    <t>SHT0271</t>
  </si>
  <si>
    <t>SHT0272</t>
  </si>
  <si>
    <t>SHT0273</t>
  </si>
  <si>
    <t>SHT0274</t>
  </si>
  <si>
    <t>SHT0275</t>
  </si>
  <si>
    <t>SHT0276</t>
  </si>
  <si>
    <t>SHT0277</t>
  </si>
  <si>
    <t>SHT0278</t>
  </si>
  <si>
    <t>SHT0279</t>
  </si>
  <si>
    <t>SHT0280</t>
  </si>
  <si>
    <t>SHT0281</t>
  </si>
  <si>
    <t>SHT0282</t>
  </si>
  <si>
    <t>SHT0283</t>
  </si>
  <si>
    <t>SHT0284</t>
  </si>
  <si>
    <t>SHT0285</t>
  </si>
  <si>
    <t>SHT0286</t>
  </si>
  <si>
    <t>SHT0287</t>
  </si>
  <si>
    <t>SHT0288</t>
  </si>
  <si>
    <t>SHT0289</t>
  </si>
  <si>
    <t>SHT0290</t>
  </si>
  <si>
    <t>SHT0291</t>
  </si>
  <si>
    <t>SHT0292</t>
  </si>
  <si>
    <t>SHT0293</t>
  </si>
  <si>
    <t>SHT0294</t>
  </si>
  <si>
    <t>SHT0295</t>
  </si>
  <si>
    <t>SHT0296</t>
  </si>
  <si>
    <t>SHT0297</t>
  </si>
  <si>
    <t>SHT0298</t>
  </si>
  <si>
    <t>SHT0299</t>
  </si>
  <si>
    <t>SHT0300</t>
  </si>
  <si>
    <t>SHT0301</t>
  </si>
  <si>
    <t>SHT0302</t>
  </si>
  <si>
    <t>SHT0303</t>
  </si>
  <si>
    <t>SHT0304</t>
  </si>
  <si>
    <t>SHT0305</t>
  </si>
  <si>
    <t>SHT0306</t>
  </si>
  <si>
    <t>SHT0307</t>
  </si>
  <si>
    <t>SHT0308</t>
  </si>
  <si>
    <t>SHT0309</t>
  </si>
  <si>
    <t>SHT0310</t>
  </si>
  <si>
    <t>SHT0311</t>
  </si>
  <si>
    <t>SHT0312</t>
  </si>
  <si>
    <t>SHT0313</t>
  </si>
  <si>
    <t>SHT0314</t>
  </si>
  <si>
    <t>SHT0315</t>
  </si>
  <si>
    <t>SHT0316</t>
  </si>
  <si>
    <t>SHT0317</t>
  </si>
  <si>
    <t>SHT0318</t>
  </si>
  <si>
    <t>SHT0319</t>
  </si>
  <si>
    <t>SHT0320</t>
  </si>
  <si>
    <t>SHT0321</t>
  </si>
  <si>
    <t>SHT0322</t>
  </si>
  <si>
    <t>SHT0323</t>
  </si>
  <si>
    <t>SHT0324</t>
  </si>
  <si>
    <t>SHT0325</t>
  </si>
  <si>
    <t>SHT0326</t>
  </si>
  <si>
    <t>SHT0327</t>
  </si>
  <si>
    <t>SHT0328</t>
  </si>
  <si>
    <t>SHT0329</t>
  </si>
  <si>
    <t>SHT0330</t>
  </si>
  <si>
    <t>SHT0331</t>
  </si>
  <si>
    <t>SHT0332</t>
  </si>
  <si>
    <t>SHT0333</t>
  </si>
  <si>
    <t>SHT0334</t>
  </si>
  <si>
    <t>SHT0335</t>
  </si>
  <si>
    <t>SHT0336</t>
  </si>
  <si>
    <t>SHT0337</t>
  </si>
  <si>
    <t>SHT0338</t>
  </si>
  <si>
    <t>SHT0339</t>
  </si>
  <si>
    <t>SHT0340</t>
  </si>
  <si>
    <t>SHT0341</t>
  </si>
  <si>
    <t>SHT0342</t>
  </si>
  <si>
    <t>SHT0343</t>
  </si>
  <si>
    <t>SHT0344</t>
  </si>
  <si>
    <t>SHT0345</t>
  </si>
  <si>
    <t>SHT0346</t>
  </si>
  <si>
    <t>SHT0347</t>
  </si>
  <si>
    <t>SHT0348</t>
  </si>
  <si>
    <t>SHT0349</t>
  </si>
  <si>
    <t>SHT0350</t>
  </si>
  <si>
    <t>TSH0351</t>
  </si>
  <si>
    <t>T-Shirt</t>
  </si>
  <si>
    <t>Roadster</t>
  </si>
  <si>
    <t>Full Sleeve</t>
  </si>
  <si>
    <t>TSH0352</t>
  </si>
  <si>
    <t>Campus</t>
  </si>
  <si>
    <t>Half Sleeve</t>
  </si>
  <si>
    <t>TSH0353</t>
  </si>
  <si>
    <t>Sleeveless</t>
  </si>
  <si>
    <t>Poly Cotton</t>
  </si>
  <si>
    <t>TSH0354</t>
  </si>
  <si>
    <t>Turkey</t>
  </si>
  <si>
    <t>Hoodie</t>
  </si>
  <si>
    <t>TSH0355</t>
  </si>
  <si>
    <t>Urban Monkey</t>
  </si>
  <si>
    <t>3/4 Sleeve</t>
  </si>
  <si>
    <t>TSH0356</t>
  </si>
  <si>
    <t>TSH0357</t>
  </si>
  <si>
    <t>TSH0358</t>
  </si>
  <si>
    <t>TSH0359</t>
  </si>
  <si>
    <t>TSH0360</t>
  </si>
  <si>
    <t>TSH0361</t>
  </si>
  <si>
    <t>TSH0362</t>
  </si>
  <si>
    <t>TSH0363</t>
  </si>
  <si>
    <t>TSH0364</t>
  </si>
  <si>
    <t>TSH0365</t>
  </si>
  <si>
    <t>TSH0366</t>
  </si>
  <si>
    <t>TSH0367</t>
  </si>
  <si>
    <t>TSH0368</t>
  </si>
  <si>
    <t>TSH0369</t>
  </si>
  <si>
    <t>TSH0370</t>
  </si>
  <si>
    <t>TSH0371</t>
  </si>
  <si>
    <t>TSH0372</t>
  </si>
  <si>
    <t>TSH0373</t>
  </si>
  <si>
    <t>TSH0374</t>
  </si>
  <si>
    <t>TSH0375</t>
  </si>
  <si>
    <t>TSH0376</t>
  </si>
  <si>
    <t>TSH0377</t>
  </si>
  <si>
    <t>TSH0378</t>
  </si>
  <si>
    <t>TSH0379</t>
  </si>
  <si>
    <t>TSH0380</t>
  </si>
  <si>
    <t>TSH0381</t>
  </si>
  <si>
    <t>TSH0382</t>
  </si>
  <si>
    <t>TSH0383</t>
  </si>
  <si>
    <t>TSH0384</t>
  </si>
  <si>
    <t>TSH0385</t>
  </si>
  <si>
    <t>TSH0386</t>
  </si>
  <si>
    <t>TSH0387</t>
  </si>
  <si>
    <t>TSH0388</t>
  </si>
  <si>
    <t>TSH0389</t>
  </si>
  <si>
    <t>TSH0390</t>
  </si>
  <si>
    <t>TSH0391</t>
  </si>
  <si>
    <t>TSH0392</t>
  </si>
  <si>
    <t>TSH0393</t>
  </si>
  <si>
    <t>TSH0394</t>
  </si>
  <si>
    <t>TSH0395</t>
  </si>
  <si>
    <t>TSH0396</t>
  </si>
  <si>
    <t>TSH0397</t>
  </si>
  <si>
    <t>TSH0398</t>
  </si>
  <si>
    <t>TSH0399</t>
  </si>
  <si>
    <t>TSH0400</t>
  </si>
  <si>
    <t>TSH0401</t>
  </si>
  <si>
    <t>TSH0402</t>
  </si>
  <si>
    <t>TSH0403</t>
  </si>
  <si>
    <t>TSH0404</t>
  </si>
  <si>
    <t>TSH0405</t>
  </si>
  <si>
    <t>TSH0406</t>
  </si>
  <si>
    <t>TSH0407</t>
  </si>
  <si>
    <t>TSH0408</t>
  </si>
  <si>
    <t>TSH0409</t>
  </si>
  <si>
    <t>TSH0410</t>
  </si>
  <si>
    <t>TSH0411</t>
  </si>
  <si>
    <t>TSH0412</t>
  </si>
  <si>
    <t>TSH0413</t>
  </si>
  <si>
    <t>TSH0414</t>
  </si>
  <si>
    <t>TSH0415</t>
  </si>
  <si>
    <t>TSH0416</t>
  </si>
  <si>
    <t>TSH0417</t>
  </si>
  <si>
    <t>TSH0418</t>
  </si>
  <si>
    <t>TSH0419</t>
  </si>
  <si>
    <t>TSH0420</t>
  </si>
  <si>
    <t>TSH0421</t>
  </si>
  <si>
    <t>TSH0422</t>
  </si>
  <si>
    <t>TSH0423</t>
  </si>
  <si>
    <t>TSH0424</t>
  </si>
  <si>
    <t>TSH0425</t>
  </si>
  <si>
    <t>TSH0426</t>
  </si>
  <si>
    <t>TSH0427</t>
  </si>
  <si>
    <t>TSH0428</t>
  </si>
  <si>
    <t>TSH0429</t>
  </si>
  <si>
    <t>TSH0430</t>
  </si>
  <si>
    <t>TSH0431</t>
  </si>
  <si>
    <t>TSH0432</t>
  </si>
  <si>
    <t>TSH0433</t>
  </si>
  <si>
    <t>TSH0434</t>
  </si>
  <si>
    <t>TSH0435</t>
  </si>
  <si>
    <t>TSH0436</t>
  </si>
  <si>
    <t>TSH0437</t>
  </si>
  <si>
    <t>TSH0438</t>
  </si>
  <si>
    <t>TSH0439</t>
  </si>
  <si>
    <t>TSH0440</t>
  </si>
  <si>
    <t>TSH0441</t>
  </si>
  <si>
    <t>TSH0442</t>
  </si>
  <si>
    <t>TSH0443</t>
  </si>
  <si>
    <t>TSH0444</t>
  </si>
  <si>
    <t>TSH0445</t>
  </si>
  <si>
    <t>TSH0446</t>
  </si>
  <si>
    <t>TSH0447</t>
  </si>
  <si>
    <t>TSH0448</t>
  </si>
  <si>
    <t>TSH0449</t>
  </si>
  <si>
    <t>TSH0450</t>
  </si>
  <si>
    <t>TSH0451</t>
  </si>
  <si>
    <t>TSH0452</t>
  </si>
  <si>
    <t>TSH0453</t>
  </si>
  <si>
    <t>TSH0454</t>
  </si>
  <si>
    <t>TSH0455</t>
  </si>
  <si>
    <t>TSH0456</t>
  </si>
  <si>
    <t>TSH0457</t>
  </si>
  <si>
    <t>TSH0458</t>
  </si>
  <si>
    <t>TSH0459</t>
  </si>
  <si>
    <t>TSH0460</t>
  </si>
  <si>
    <t>TSH0461</t>
  </si>
  <si>
    <t>TSH0462</t>
  </si>
  <si>
    <t>TSH0463</t>
  </si>
  <si>
    <t>TSH0464</t>
  </si>
  <si>
    <t>TSH0465</t>
  </si>
  <si>
    <t>TSH0466</t>
  </si>
  <si>
    <t>TSH0467</t>
  </si>
  <si>
    <t>TSH0468</t>
  </si>
  <si>
    <t>TSH0469</t>
  </si>
  <si>
    <t>TSH0470</t>
  </si>
  <si>
    <t>TSH0471</t>
  </si>
  <si>
    <t>TSH0472</t>
  </si>
  <si>
    <t>TSH0473</t>
  </si>
  <si>
    <t>TSH0474</t>
  </si>
  <si>
    <t>TSH0475</t>
  </si>
  <si>
    <t>TSH0476</t>
  </si>
  <si>
    <t>TSH0477</t>
  </si>
  <si>
    <t>TSH0478</t>
  </si>
  <si>
    <t>TSH0479</t>
  </si>
  <si>
    <t>TSH0480</t>
  </si>
  <si>
    <t>TSH0481</t>
  </si>
  <si>
    <t>TSH0482</t>
  </si>
  <si>
    <t>TSH0483</t>
  </si>
  <si>
    <t>TSH0484</t>
  </si>
  <si>
    <t>TSH0485</t>
  </si>
  <si>
    <t>TSH0486</t>
  </si>
  <si>
    <t>TSH0487</t>
  </si>
  <si>
    <t>TSH0488</t>
  </si>
  <si>
    <t>TSH0489</t>
  </si>
  <si>
    <t>TSH0490</t>
  </si>
  <si>
    <t>TSH0491</t>
  </si>
  <si>
    <t>TSH0492</t>
  </si>
  <si>
    <t>TSH0493</t>
  </si>
  <si>
    <t>TSH0494</t>
  </si>
  <si>
    <t>TSH0495</t>
  </si>
  <si>
    <t>TSH0496</t>
  </si>
  <si>
    <t>TSH0497</t>
  </si>
  <si>
    <t>TSH0498</t>
  </si>
  <si>
    <t>TSH0499</t>
  </si>
  <si>
    <t>TSH0500</t>
  </si>
  <si>
    <t>TSH0501</t>
  </si>
  <si>
    <t>TSH0502</t>
  </si>
  <si>
    <t>TSH0503</t>
  </si>
  <si>
    <t>TSH0504</t>
  </si>
  <si>
    <t>TSH0505</t>
  </si>
  <si>
    <t>TSH0506</t>
  </si>
  <si>
    <t>TSH0507</t>
  </si>
  <si>
    <t>TSH0508</t>
  </si>
  <si>
    <t>TSH0509</t>
  </si>
  <si>
    <t>TSH0510</t>
  </si>
  <si>
    <t>TSH0511</t>
  </si>
  <si>
    <t>TSH0512</t>
  </si>
  <si>
    <t>TSH0513</t>
  </si>
  <si>
    <t>TSH0514</t>
  </si>
  <si>
    <t>TSH0515</t>
  </si>
  <si>
    <t>TSH0516</t>
  </si>
  <si>
    <t>TSH0517</t>
  </si>
  <si>
    <t>TSH0518</t>
  </si>
  <si>
    <t>TSH0519</t>
  </si>
  <si>
    <t>TSH0520</t>
  </si>
  <si>
    <t>TSH0521</t>
  </si>
  <si>
    <t>TSH0522</t>
  </si>
  <si>
    <t>TSH0523</t>
  </si>
  <si>
    <t>TSH0524</t>
  </si>
  <si>
    <t>TSH0525</t>
  </si>
  <si>
    <t>TSH0526</t>
  </si>
  <si>
    <t>TSH0527</t>
  </si>
  <si>
    <t>TSH0528</t>
  </si>
  <si>
    <t>TSH0529</t>
  </si>
  <si>
    <t>TSH0530</t>
  </si>
  <si>
    <t>TSH0531</t>
  </si>
  <si>
    <t>TSH0532</t>
  </si>
  <si>
    <t>TSH0533</t>
  </si>
  <si>
    <t>TSH0534</t>
  </si>
  <si>
    <t>TSH0535</t>
  </si>
  <si>
    <t>TSH0536</t>
  </si>
  <si>
    <t>TSH0537</t>
  </si>
  <si>
    <t>TSH0538</t>
  </si>
  <si>
    <t>TSH0539</t>
  </si>
  <si>
    <t>TSH0540</t>
  </si>
  <si>
    <t>TSH0541</t>
  </si>
  <si>
    <t>TSH0542</t>
  </si>
  <si>
    <t>TSH0543</t>
  </si>
  <si>
    <t>TSH0544</t>
  </si>
  <si>
    <t>TSH0545</t>
  </si>
  <si>
    <t>TSH0546</t>
  </si>
  <si>
    <t>TSH0547</t>
  </si>
  <si>
    <t>TSH0548</t>
  </si>
  <si>
    <t>TSH0549</t>
  </si>
  <si>
    <t>TSH0550</t>
  </si>
  <si>
    <t>TSH0551</t>
  </si>
  <si>
    <t>TSH0552</t>
  </si>
  <si>
    <t>TSH0553</t>
  </si>
  <si>
    <t>TSH0554</t>
  </si>
  <si>
    <t>TSH0555</t>
  </si>
  <si>
    <t>TSH0556</t>
  </si>
  <si>
    <t>TSH0557</t>
  </si>
  <si>
    <t>TSH0558</t>
  </si>
  <si>
    <t>TSH0559</t>
  </si>
  <si>
    <t>TSH0560</t>
  </si>
  <si>
    <t>TSH0561</t>
  </si>
  <si>
    <t>TSH0562</t>
  </si>
  <si>
    <t>TSH0563</t>
  </si>
  <si>
    <t>TSH0564</t>
  </si>
  <si>
    <t>TSH0565</t>
  </si>
  <si>
    <t>TSH0566</t>
  </si>
  <si>
    <t>TSH0567</t>
  </si>
  <si>
    <t>TSH0568</t>
  </si>
  <si>
    <t>TSH0569</t>
  </si>
  <si>
    <t>TSH0570</t>
  </si>
  <si>
    <t>TSH0571</t>
  </si>
  <si>
    <t>TSH0572</t>
  </si>
  <si>
    <t>TSH0573</t>
  </si>
  <si>
    <t>TSH0574</t>
  </si>
  <si>
    <t>TSH0575</t>
  </si>
  <si>
    <t>TSH0576</t>
  </si>
  <si>
    <t>TSH0577</t>
  </si>
  <si>
    <t>TSH0578</t>
  </si>
  <si>
    <t>TSH0579</t>
  </si>
  <si>
    <t>TSH0580</t>
  </si>
  <si>
    <t>TSH0581</t>
  </si>
  <si>
    <t>TSH0582</t>
  </si>
  <si>
    <t>TSH0583</t>
  </si>
  <si>
    <t>TSH0584</t>
  </si>
  <si>
    <t>TSH0585</t>
  </si>
  <si>
    <t>TSH0586</t>
  </si>
  <si>
    <t>TSH0587</t>
  </si>
  <si>
    <t>TSH0588</t>
  </si>
  <si>
    <t>TSH0589</t>
  </si>
  <si>
    <t>TSH0590</t>
  </si>
  <si>
    <t>TSH0591</t>
  </si>
  <si>
    <t>TSH0592</t>
  </si>
  <si>
    <t>TSH0593</t>
  </si>
  <si>
    <t>TSH0594</t>
  </si>
  <si>
    <t>TSH0595</t>
  </si>
  <si>
    <t>TSH0596</t>
  </si>
  <si>
    <t>TSH0597</t>
  </si>
  <si>
    <t>TSH0598</t>
  </si>
  <si>
    <t>TSH0599</t>
  </si>
  <si>
    <t>TSH0600</t>
  </si>
  <si>
    <t>TSH0601</t>
  </si>
  <si>
    <t>TSH0602</t>
  </si>
  <si>
    <t>TSH0603</t>
  </si>
  <si>
    <t>TSH0604</t>
  </si>
  <si>
    <t>TSH0605</t>
  </si>
  <si>
    <t>TSH0606</t>
  </si>
  <si>
    <t>TSH0607</t>
  </si>
  <si>
    <t>TSH0608</t>
  </si>
  <si>
    <t>TSH0609</t>
  </si>
  <si>
    <t>TSH0610</t>
  </si>
  <si>
    <t>TSH0611</t>
  </si>
  <si>
    <t>TSH0612</t>
  </si>
  <si>
    <t>TSH0613</t>
  </si>
  <si>
    <t>TSH0614</t>
  </si>
  <si>
    <t>TSH0615</t>
  </si>
  <si>
    <t>TSH0616</t>
  </si>
  <si>
    <t>TSH0617</t>
  </si>
  <si>
    <t>TSH0618</t>
  </si>
  <si>
    <t>TSH0619</t>
  </si>
  <si>
    <t>TSH0620</t>
  </si>
  <si>
    <t>TSH0621</t>
  </si>
  <si>
    <t>TSH0622</t>
  </si>
  <si>
    <t>TSH0623</t>
  </si>
  <si>
    <t>TSH0624</t>
  </si>
  <si>
    <t>TSH0625</t>
  </si>
  <si>
    <t>TSH0626</t>
  </si>
  <si>
    <t>TSH0627</t>
  </si>
  <si>
    <t>TSH0628</t>
  </si>
  <si>
    <t>TSH0629</t>
  </si>
  <si>
    <t>TSH0630</t>
  </si>
  <si>
    <t>TSH0631</t>
  </si>
  <si>
    <t>TSH0632</t>
  </si>
  <si>
    <t>TSH0633</t>
  </si>
  <si>
    <t>TSH0634</t>
  </si>
  <si>
    <t>TSH0635</t>
  </si>
  <si>
    <t>TSH0636</t>
  </si>
  <si>
    <t>TSH0637</t>
  </si>
  <si>
    <t>TSH0638</t>
  </si>
  <si>
    <t>TSH0639</t>
  </si>
  <si>
    <t>TSH0640</t>
  </si>
  <si>
    <t>TSH0641</t>
  </si>
  <si>
    <t>TSH0642</t>
  </si>
  <si>
    <t>TSH0643</t>
  </si>
  <si>
    <t>TSH0644</t>
  </si>
  <si>
    <t>TSH0645</t>
  </si>
  <si>
    <t>TSH0646</t>
  </si>
  <si>
    <t>TSH0647</t>
  </si>
  <si>
    <t>TSH0648</t>
  </si>
  <si>
    <t>TSH0649</t>
  </si>
  <si>
    <t>TSH0650</t>
  </si>
  <si>
    <t>TSH0651</t>
  </si>
  <si>
    <t>TSH0652</t>
  </si>
  <si>
    <t>TSH0653</t>
  </si>
  <si>
    <t>TSH0654</t>
  </si>
  <si>
    <t>TSH0655</t>
  </si>
  <si>
    <t>TSH0656</t>
  </si>
  <si>
    <t>TSH0657</t>
  </si>
  <si>
    <t>TSH0658</t>
  </si>
  <si>
    <t>TSH0659</t>
  </si>
  <si>
    <t>TSH0660</t>
  </si>
  <si>
    <t>TSH0661</t>
  </si>
  <si>
    <t>TSH0662</t>
  </si>
  <si>
    <t>TSH0663</t>
  </si>
  <si>
    <t>TSH0664</t>
  </si>
  <si>
    <t>TSH0665</t>
  </si>
  <si>
    <t>TSH0666</t>
  </si>
  <si>
    <t>TSH0667</t>
  </si>
  <si>
    <t>TSH0668</t>
  </si>
  <si>
    <t>TSH0669</t>
  </si>
  <si>
    <t>TSH0670</t>
  </si>
  <si>
    <t>TSH0671</t>
  </si>
  <si>
    <t>TSH0672</t>
  </si>
  <si>
    <t>TSH0673</t>
  </si>
  <si>
    <t>TSH0674</t>
  </si>
  <si>
    <t>TSH0675</t>
  </si>
  <si>
    <t>TSH0676</t>
  </si>
  <si>
    <t>TSH0677</t>
  </si>
  <si>
    <t>TSH0678</t>
  </si>
  <si>
    <t>TSH0679</t>
  </si>
  <si>
    <t>TSH0680</t>
  </si>
  <si>
    <t>TSH0681</t>
  </si>
  <si>
    <t>TSH0682</t>
  </si>
  <si>
    <t>TSH0683</t>
  </si>
  <si>
    <t>TSH0684</t>
  </si>
  <si>
    <t>TSH0685</t>
  </si>
  <si>
    <t>TSH0686</t>
  </si>
  <si>
    <t>TSH0687</t>
  </si>
  <si>
    <t>TSH0688</t>
  </si>
  <si>
    <t>TSH0689</t>
  </si>
  <si>
    <t>TSH0690</t>
  </si>
  <si>
    <t>TSH0691</t>
  </si>
  <si>
    <t>TSH0692</t>
  </si>
  <si>
    <t>TSH0693</t>
  </si>
  <si>
    <t>TSH0694</t>
  </si>
  <si>
    <t>TSH0695</t>
  </si>
  <si>
    <t>TSH0696</t>
  </si>
  <si>
    <t>TSH0697</t>
  </si>
  <si>
    <t>TSH0698</t>
  </si>
  <si>
    <t>TSH0699</t>
  </si>
  <si>
    <t>TSH0700</t>
  </si>
  <si>
    <t>TSH0701</t>
  </si>
  <si>
    <t>TSH0702</t>
  </si>
  <si>
    <t>TSH0703</t>
  </si>
  <si>
    <t>TSH0704</t>
  </si>
  <si>
    <t>TSH0705</t>
  </si>
  <si>
    <t>TSH0706</t>
  </si>
  <si>
    <t>TSH0707</t>
  </si>
  <si>
    <t>TSH0708</t>
  </si>
  <si>
    <t>TSH0709</t>
  </si>
  <si>
    <t>TSH0710</t>
  </si>
  <si>
    <t>TSH0711</t>
  </si>
  <si>
    <t>TSH0712</t>
  </si>
  <si>
    <t>TSH0713</t>
  </si>
  <si>
    <t>TSH0714</t>
  </si>
  <si>
    <t>TSH0715</t>
  </si>
  <si>
    <t>TSH0716</t>
  </si>
  <si>
    <t>TSH0717</t>
  </si>
  <si>
    <t>TSH0718</t>
  </si>
  <si>
    <t>TSH0719</t>
  </si>
  <si>
    <t>TSH0720</t>
  </si>
  <si>
    <t>TSH0721</t>
  </si>
  <si>
    <t>TSH0722</t>
  </si>
  <si>
    <t>TSH0723</t>
  </si>
  <si>
    <t>TSH0724</t>
  </si>
  <si>
    <t>TSH0725</t>
  </si>
  <si>
    <t>TSH0726</t>
  </si>
  <si>
    <t>TSH0727</t>
  </si>
  <si>
    <t>TSH0728</t>
  </si>
  <si>
    <t>TSH0729</t>
  </si>
  <si>
    <t>TSH0730</t>
  </si>
  <si>
    <t>TSH0731</t>
  </si>
  <si>
    <t>TSH0732</t>
  </si>
  <si>
    <t>TSH0733</t>
  </si>
  <si>
    <t>TSH0734</t>
  </si>
  <si>
    <t>TSH0735</t>
  </si>
  <si>
    <t>TSH0736</t>
  </si>
  <si>
    <t>TSH0737</t>
  </si>
  <si>
    <t>TSH0738</t>
  </si>
  <si>
    <t>TSH0739</t>
  </si>
  <si>
    <t>TSH0740</t>
  </si>
  <si>
    <t>TSH0741</t>
  </si>
  <si>
    <t>TSH0742</t>
  </si>
  <si>
    <t>TSH0743</t>
  </si>
  <si>
    <t>TSH0744</t>
  </si>
  <si>
    <t>TSH0745</t>
  </si>
  <si>
    <t>TSH0746</t>
  </si>
  <si>
    <t>TSH0747</t>
  </si>
  <si>
    <t>TSH0748</t>
  </si>
  <si>
    <t>TSH0749</t>
  </si>
  <si>
    <t>TSH0750</t>
  </si>
  <si>
    <t>TSH0751</t>
  </si>
  <si>
    <t>TSH0752</t>
  </si>
  <si>
    <t>TSH0753</t>
  </si>
  <si>
    <t>TSH0754</t>
  </si>
  <si>
    <t>TSH0755</t>
  </si>
  <si>
    <t>TSH0756</t>
  </si>
  <si>
    <t>TSH0757</t>
  </si>
  <si>
    <t>TSH0758</t>
  </si>
  <si>
    <t>TSH0759</t>
  </si>
  <si>
    <t>TSH0760</t>
  </si>
  <si>
    <t>TSH0761</t>
  </si>
  <si>
    <t>TSH0762</t>
  </si>
  <si>
    <t>TSH0763</t>
  </si>
  <si>
    <t>TSH0764</t>
  </si>
  <si>
    <t>TSH0765</t>
  </si>
  <si>
    <t>TSH0766</t>
  </si>
  <si>
    <t>TSH0767</t>
  </si>
  <si>
    <t>TSH0768</t>
  </si>
  <si>
    <t>TSH0769</t>
  </si>
  <si>
    <t>TSH0770</t>
  </si>
  <si>
    <t>JNS0771</t>
  </si>
  <si>
    <t>Jeans</t>
  </si>
  <si>
    <t>Wrangler</t>
  </si>
  <si>
    <t>Baggy</t>
  </si>
  <si>
    <t>Denim</t>
  </si>
  <si>
    <t>JNS0772</t>
  </si>
  <si>
    <t>Pepe</t>
  </si>
  <si>
    <t>JNS0773</t>
  </si>
  <si>
    <t>JNS0774</t>
  </si>
  <si>
    <t>Spykar</t>
  </si>
  <si>
    <t>JNS0775</t>
  </si>
  <si>
    <t>Levis</t>
  </si>
  <si>
    <t>JNS0776</t>
  </si>
  <si>
    <t>Mom Fit</t>
  </si>
  <si>
    <t>JNS0777</t>
  </si>
  <si>
    <t>JNS0778</t>
  </si>
  <si>
    <t>Jogger</t>
  </si>
  <si>
    <t>JNS0779</t>
  </si>
  <si>
    <t>Denim Pro</t>
  </si>
  <si>
    <t>JNS0780</t>
  </si>
  <si>
    <t>JNS0781</t>
  </si>
  <si>
    <t>JNS0782</t>
  </si>
  <si>
    <t>JNS0783</t>
  </si>
  <si>
    <t>JNS0784</t>
  </si>
  <si>
    <t>JNS0785</t>
  </si>
  <si>
    <t>JNS0786</t>
  </si>
  <si>
    <t>JNS0787</t>
  </si>
  <si>
    <t>JNS0788</t>
  </si>
  <si>
    <t>JNS0789</t>
  </si>
  <si>
    <t>JNS0790</t>
  </si>
  <si>
    <t>JNS0791</t>
  </si>
  <si>
    <t>JNS0792</t>
  </si>
  <si>
    <t>JNS0793</t>
  </si>
  <si>
    <t>JNS0794</t>
  </si>
  <si>
    <t>JNS0795</t>
  </si>
  <si>
    <t>JNS0796</t>
  </si>
  <si>
    <t>JNS0797</t>
  </si>
  <si>
    <t>JNS0798</t>
  </si>
  <si>
    <t>JNS0799</t>
  </si>
  <si>
    <t>JNS0800</t>
  </si>
  <si>
    <t>JNS0801</t>
  </si>
  <si>
    <t>JNS0802</t>
  </si>
  <si>
    <t>JNS0803</t>
  </si>
  <si>
    <t>JNS0804</t>
  </si>
  <si>
    <t>JNS0805</t>
  </si>
  <si>
    <t>JNS0806</t>
  </si>
  <si>
    <t>Locomotive</t>
  </si>
  <si>
    <t>JNS0807</t>
  </si>
  <si>
    <t>JNS0808</t>
  </si>
  <si>
    <t>JNS0809</t>
  </si>
  <si>
    <t>JNS0810</t>
  </si>
  <si>
    <t>JNS0811</t>
  </si>
  <si>
    <t>JNS0812</t>
  </si>
  <si>
    <t>JNS0813</t>
  </si>
  <si>
    <t>JNS0814</t>
  </si>
  <si>
    <t>JNS0815</t>
  </si>
  <si>
    <t>JNS0816</t>
  </si>
  <si>
    <t>JNS0817</t>
  </si>
  <si>
    <t>JNS0818</t>
  </si>
  <si>
    <t>JNS0819</t>
  </si>
  <si>
    <t>JNS0820</t>
  </si>
  <si>
    <t>JNS0821</t>
  </si>
  <si>
    <t>JNS0822</t>
  </si>
  <si>
    <t>JNS0823</t>
  </si>
  <si>
    <t>JNS0824</t>
  </si>
  <si>
    <t>JNS0825</t>
  </si>
  <si>
    <t>JNS0826</t>
  </si>
  <si>
    <t>JNS0827</t>
  </si>
  <si>
    <t>JNS0828</t>
  </si>
  <si>
    <t>JNS0829</t>
  </si>
  <si>
    <t>JNS0830</t>
  </si>
  <si>
    <t>JNS0831</t>
  </si>
  <si>
    <t>JNS0832</t>
  </si>
  <si>
    <t>JNS0833</t>
  </si>
  <si>
    <t>JNS0834</t>
  </si>
  <si>
    <t>JNS0835</t>
  </si>
  <si>
    <t>JNS0836</t>
  </si>
  <si>
    <t>JNS0837</t>
  </si>
  <si>
    <t>JNS0838</t>
  </si>
  <si>
    <t>JNS0839</t>
  </si>
  <si>
    <t>JNS0840</t>
  </si>
  <si>
    <t>JNS0841</t>
  </si>
  <si>
    <t>JNS0842</t>
  </si>
  <si>
    <t>JNS0843</t>
  </si>
  <si>
    <t>JNS0844</t>
  </si>
  <si>
    <t>JNS0845</t>
  </si>
  <si>
    <t>JNS0846</t>
  </si>
  <si>
    <t>JNS0847</t>
  </si>
  <si>
    <t>JNS0848</t>
  </si>
  <si>
    <t>JNS0849</t>
  </si>
  <si>
    <t>JNS0850</t>
  </si>
  <si>
    <t>JNS0851</t>
  </si>
  <si>
    <t>JNS0852</t>
  </si>
  <si>
    <t>JNS0853</t>
  </si>
  <si>
    <t>JNS0854</t>
  </si>
  <si>
    <t>JNS0855</t>
  </si>
  <si>
    <t>JNS0856</t>
  </si>
  <si>
    <t>JNS0857</t>
  </si>
  <si>
    <t>JNS0858</t>
  </si>
  <si>
    <t>JNS0859</t>
  </si>
  <si>
    <t>JNS0860</t>
  </si>
  <si>
    <t>JNS0861</t>
  </si>
  <si>
    <t>JNS0862</t>
  </si>
  <si>
    <t>JNS0863</t>
  </si>
  <si>
    <t>JNS0864</t>
  </si>
  <si>
    <t>JNS0865</t>
  </si>
  <si>
    <t>JNS0866</t>
  </si>
  <si>
    <t>JNS0867</t>
  </si>
  <si>
    <t>JNS0868</t>
  </si>
  <si>
    <t>JNS0869</t>
  </si>
  <si>
    <t>JNS0870</t>
  </si>
  <si>
    <t>JNS0871</t>
  </si>
  <si>
    <t>JNS0872</t>
  </si>
  <si>
    <t>JNS0873</t>
  </si>
  <si>
    <t>JNS0874</t>
  </si>
  <si>
    <t>JNS0875</t>
  </si>
  <si>
    <t>JNS0876</t>
  </si>
  <si>
    <t>JNS0877</t>
  </si>
  <si>
    <t>JNS0878</t>
  </si>
  <si>
    <t>JNS0879</t>
  </si>
  <si>
    <t>JNS0880</t>
  </si>
  <si>
    <t>JNS0881</t>
  </si>
  <si>
    <t>JNS0882</t>
  </si>
  <si>
    <t>JNS0883</t>
  </si>
  <si>
    <t>JNS0884</t>
  </si>
  <si>
    <t>JNS0885</t>
  </si>
  <si>
    <t>JNS0886</t>
  </si>
  <si>
    <t>JNS0887</t>
  </si>
  <si>
    <t>JNS0888</t>
  </si>
  <si>
    <t>JNS0889</t>
  </si>
  <si>
    <t>JNS0890</t>
  </si>
  <si>
    <t>JNS0891</t>
  </si>
  <si>
    <t>JNS0892</t>
  </si>
  <si>
    <t>JNS0893</t>
  </si>
  <si>
    <t>JNS0894</t>
  </si>
  <si>
    <t>JNS0895</t>
  </si>
  <si>
    <t>JNS0896</t>
  </si>
  <si>
    <t>JNS0897</t>
  </si>
  <si>
    <t>JNS0898</t>
  </si>
  <si>
    <t>JNS0899</t>
  </si>
  <si>
    <t>JNS0900</t>
  </si>
  <si>
    <t>JNS0901</t>
  </si>
  <si>
    <t>JNS0902</t>
  </si>
  <si>
    <t>JNS0903</t>
  </si>
  <si>
    <t>JNS0904</t>
  </si>
  <si>
    <t>JNS0905</t>
  </si>
  <si>
    <t>JNS0906</t>
  </si>
  <si>
    <t>JNS0907</t>
  </si>
  <si>
    <t>JNS0908</t>
  </si>
  <si>
    <t>JNS0909</t>
  </si>
  <si>
    <t>JNS0910</t>
  </si>
  <si>
    <t>JNS0911</t>
  </si>
  <si>
    <t>JNS0912</t>
  </si>
  <si>
    <t>JNS0913</t>
  </si>
  <si>
    <t>JNS0914</t>
  </si>
  <si>
    <t>JNS0915</t>
  </si>
  <si>
    <t>JNS0916</t>
  </si>
  <si>
    <t>JNS0917</t>
  </si>
  <si>
    <t>JNS0918</t>
  </si>
  <si>
    <t>JNS0919</t>
  </si>
  <si>
    <t>JNS0920</t>
  </si>
  <si>
    <t>JNS0921</t>
  </si>
  <si>
    <t>JNS0922</t>
  </si>
  <si>
    <t>JNS0923</t>
  </si>
  <si>
    <t>JNS0924</t>
  </si>
  <si>
    <t>JNS0925</t>
  </si>
  <si>
    <t>JNS0926</t>
  </si>
  <si>
    <t>JNS0927</t>
  </si>
  <si>
    <t>JNS0928</t>
  </si>
  <si>
    <t>JNS0929</t>
  </si>
  <si>
    <t>JNS0930</t>
  </si>
  <si>
    <t>JNS0931</t>
  </si>
  <si>
    <t>JNS0932</t>
  </si>
  <si>
    <t>JNS0933</t>
  </si>
  <si>
    <t>JNS0934</t>
  </si>
  <si>
    <t>JNS0935</t>
  </si>
  <si>
    <t>JNS0936</t>
  </si>
  <si>
    <t>JNS0937</t>
  </si>
  <si>
    <t>JNS0938</t>
  </si>
  <si>
    <t>JNS0939</t>
  </si>
  <si>
    <t>JNS0940</t>
  </si>
  <si>
    <t>JNS0941</t>
  </si>
  <si>
    <t>JNS0942</t>
  </si>
  <si>
    <t>JNS0943</t>
  </si>
  <si>
    <t>JNS0944</t>
  </si>
  <si>
    <t>JNS0945</t>
  </si>
  <si>
    <t>JNS0946</t>
  </si>
  <si>
    <t>JNS0947</t>
  </si>
  <si>
    <t>JNS0948</t>
  </si>
  <si>
    <t>JNS0949</t>
  </si>
  <si>
    <t>JNS0950</t>
  </si>
  <si>
    <t>JNS0951</t>
  </si>
  <si>
    <t>JNS0952</t>
  </si>
  <si>
    <t>JNS0953</t>
  </si>
  <si>
    <t>JNS0954</t>
  </si>
  <si>
    <t>JNS0955</t>
  </si>
  <si>
    <t>JNS0956</t>
  </si>
  <si>
    <t>JNS0957</t>
  </si>
  <si>
    <t>JNS0958</t>
  </si>
  <si>
    <t>JNS0959</t>
  </si>
  <si>
    <t>JNS0960</t>
  </si>
  <si>
    <t>JNS0961</t>
  </si>
  <si>
    <t>JNS0962</t>
  </si>
  <si>
    <t>JNS0963</t>
  </si>
  <si>
    <t>JNS0964</t>
  </si>
  <si>
    <t>JNS0965</t>
  </si>
  <si>
    <t>JNS0966</t>
  </si>
  <si>
    <t>JNS0967</t>
  </si>
  <si>
    <t>JNS0968</t>
  </si>
  <si>
    <t>JNS0969</t>
  </si>
  <si>
    <t>JNS0970</t>
  </si>
  <si>
    <t>JNS0971</t>
  </si>
  <si>
    <t>JNS0972</t>
  </si>
  <si>
    <t>JNS0973</t>
  </si>
  <si>
    <t>JNS0974</t>
  </si>
  <si>
    <t>JNS0975</t>
  </si>
  <si>
    <t>JNS0976</t>
  </si>
  <si>
    <t>JNS0977</t>
  </si>
  <si>
    <t>JNS0978</t>
  </si>
  <si>
    <t>JNS0979</t>
  </si>
  <si>
    <t>JNS0980</t>
  </si>
  <si>
    <t>JNS0981</t>
  </si>
  <si>
    <t>JNS0982</t>
  </si>
  <si>
    <t>JNS0983</t>
  </si>
  <si>
    <t>JNS0984</t>
  </si>
  <si>
    <t>JNS0985</t>
  </si>
  <si>
    <t>JNS0986</t>
  </si>
  <si>
    <t>JNS0987</t>
  </si>
  <si>
    <t>JNS0988</t>
  </si>
  <si>
    <t>JNS0989</t>
  </si>
  <si>
    <t>JNS0990</t>
  </si>
  <si>
    <t>JNS0991</t>
  </si>
  <si>
    <t>JNS0992</t>
  </si>
  <si>
    <t>JNS0993</t>
  </si>
  <si>
    <t>JNS0994</t>
  </si>
  <si>
    <t>JNS0995</t>
  </si>
  <si>
    <t>JNS0996</t>
  </si>
  <si>
    <t>JNS0997</t>
  </si>
  <si>
    <t>JNS0998</t>
  </si>
  <si>
    <t>JNS0999</t>
  </si>
  <si>
    <t>JNS1000</t>
  </si>
  <si>
    <t>JNS1001</t>
  </si>
  <si>
    <t>JNS1002</t>
  </si>
  <si>
    <t>JNS1003</t>
  </si>
  <si>
    <t>JNS1004</t>
  </si>
  <si>
    <t>JNS1005</t>
  </si>
  <si>
    <t>JNS1006</t>
  </si>
  <si>
    <t>JNS1007</t>
  </si>
  <si>
    <t>JNS1008</t>
  </si>
  <si>
    <t>JNS1009</t>
  </si>
  <si>
    <t>JNS1010</t>
  </si>
  <si>
    <t>JNS1011</t>
  </si>
  <si>
    <t>JNS1012</t>
  </si>
  <si>
    <t>JNS1013</t>
  </si>
  <si>
    <t>JNS1014</t>
  </si>
  <si>
    <t>JNS1015</t>
  </si>
  <si>
    <t>JNS1016</t>
  </si>
  <si>
    <t>JNS1017</t>
  </si>
  <si>
    <t>JNS1018</t>
  </si>
  <si>
    <t>JNS1019</t>
  </si>
  <si>
    <t>JNS1020</t>
  </si>
  <si>
    <t>JNS1021</t>
  </si>
  <si>
    <t>JNS1022</t>
  </si>
  <si>
    <t>JNS1023</t>
  </si>
  <si>
    <t>JNS1024</t>
  </si>
  <si>
    <t>JNS1025</t>
  </si>
  <si>
    <t>JNS1026</t>
  </si>
  <si>
    <t>JNS1027</t>
  </si>
  <si>
    <t>JNS1028</t>
  </si>
  <si>
    <t>JNS1029</t>
  </si>
  <si>
    <t>JNS1030</t>
  </si>
  <si>
    <t>JNS1031</t>
  </si>
  <si>
    <t>JNS1032</t>
  </si>
  <si>
    <t>JNS1033</t>
  </si>
  <si>
    <t>JNS1034</t>
  </si>
  <si>
    <t>JNS1035</t>
  </si>
  <si>
    <t>JNS1036</t>
  </si>
  <si>
    <t>JNS1037</t>
  </si>
  <si>
    <t>JNS1038</t>
  </si>
  <si>
    <t>JNS1039</t>
  </si>
  <si>
    <t>JNS1040</t>
  </si>
  <si>
    <t>JNS1041</t>
  </si>
  <si>
    <t>JNS1042</t>
  </si>
  <si>
    <t>JNS1043</t>
  </si>
  <si>
    <t>JNS1044</t>
  </si>
  <si>
    <t>JNS1045</t>
  </si>
  <si>
    <t>JNS1046</t>
  </si>
  <si>
    <t>JNS1047</t>
  </si>
  <si>
    <t>JNS1048</t>
  </si>
  <si>
    <t>JNS1049</t>
  </si>
  <si>
    <t>JNS1050</t>
  </si>
  <si>
    <t>JNS1051</t>
  </si>
  <si>
    <t>JNS1052</t>
  </si>
  <si>
    <t>JNS1053</t>
  </si>
  <si>
    <t>JNS1054</t>
  </si>
  <si>
    <t>JNS1055</t>
  </si>
  <si>
    <t>JNS1056</t>
  </si>
  <si>
    <t>JNS1057</t>
  </si>
  <si>
    <t>JNS1058</t>
  </si>
  <si>
    <t>JNS1059</t>
  </si>
  <si>
    <t>JNS1060</t>
  </si>
  <si>
    <t>JNS1061</t>
  </si>
  <si>
    <t>JNS1062</t>
  </si>
  <si>
    <t>JNS1063</t>
  </si>
  <si>
    <t>JNS1064</t>
  </si>
  <si>
    <t>JNS1065</t>
  </si>
  <si>
    <t>JNS1066</t>
  </si>
  <si>
    <t>JNS1067</t>
  </si>
  <si>
    <t>JNS1068</t>
  </si>
  <si>
    <t>JNS1069</t>
  </si>
  <si>
    <t>JNS1070</t>
  </si>
  <si>
    <t>PNT1071</t>
  </si>
  <si>
    <t>Pants</t>
  </si>
  <si>
    <t>Raymond</t>
  </si>
  <si>
    <t>PNT1072</t>
  </si>
  <si>
    <t>Peter England</t>
  </si>
  <si>
    <t>Polofit</t>
  </si>
  <si>
    <t>PNT1073</t>
  </si>
  <si>
    <t>Louis Philippe</t>
  </si>
  <si>
    <t>Kurka</t>
  </si>
  <si>
    <t>PNT1074</t>
  </si>
  <si>
    <t>Van Heusen</t>
  </si>
  <si>
    <t>Boot Cut</t>
  </si>
  <si>
    <t>PNT1075</t>
  </si>
  <si>
    <t>Korean</t>
  </si>
  <si>
    <t>PNT1076</t>
  </si>
  <si>
    <t>PNT1077</t>
  </si>
  <si>
    <t>PNT1078</t>
  </si>
  <si>
    <t>PNT1079</t>
  </si>
  <si>
    <t>PNT1080</t>
  </si>
  <si>
    <t>Park Avenue</t>
  </si>
  <si>
    <t>PNT1081</t>
  </si>
  <si>
    <t>Poly Viscose</t>
  </si>
  <si>
    <t>PNT1082</t>
  </si>
  <si>
    <t>PNT1083</t>
  </si>
  <si>
    <t>PNT1084</t>
  </si>
  <si>
    <t>PNT1085</t>
  </si>
  <si>
    <t>PNT1086</t>
  </si>
  <si>
    <t>PNT1087</t>
  </si>
  <si>
    <t>PNT1088</t>
  </si>
  <si>
    <t>PNT1089</t>
  </si>
  <si>
    <t>PNT1090</t>
  </si>
  <si>
    <t>PNT1091</t>
  </si>
  <si>
    <t>PNT1092</t>
  </si>
  <si>
    <t>PNT1093</t>
  </si>
  <si>
    <t>PNT1094</t>
  </si>
  <si>
    <t>PNT1095</t>
  </si>
  <si>
    <t>PNT1096</t>
  </si>
  <si>
    <t>PNT1097</t>
  </si>
  <si>
    <t>PNT1098</t>
  </si>
  <si>
    <t>PNT1099</t>
  </si>
  <si>
    <t>PNT1100</t>
  </si>
  <si>
    <t>PNT1101</t>
  </si>
  <si>
    <t>PNT1102</t>
  </si>
  <si>
    <t>PNT1103</t>
  </si>
  <si>
    <t>PNT1104</t>
  </si>
  <si>
    <t>PNT1105</t>
  </si>
  <si>
    <t>PNT1106</t>
  </si>
  <si>
    <t>PNT1107</t>
  </si>
  <si>
    <t>PNT1108</t>
  </si>
  <si>
    <t>PNT1109</t>
  </si>
  <si>
    <t>PNT1110</t>
  </si>
  <si>
    <t>PNT1111</t>
  </si>
  <si>
    <t>PNT1112</t>
  </si>
  <si>
    <t>PNT1113</t>
  </si>
  <si>
    <t>PNT1114</t>
  </si>
  <si>
    <t>PNT1115</t>
  </si>
  <si>
    <t>PNT1116</t>
  </si>
  <si>
    <t>PNT1117</t>
  </si>
  <si>
    <t>PNT1118</t>
  </si>
  <si>
    <t>PNT1119</t>
  </si>
  <si>
    <t>PNT1120</t>
  </si>
  <si>
    <t>PNT1121</t>
  </si>
  <si>
    <t>PNT1122</t>
  </si>
  <si>
    <t>PNT1123</t>
  </si>
  <si>
    <t>PNT1124</t>
  </si>
  <si>
    <t>PNT1125</t>
  </si>
  <si>
    <t>PNT1126</t>
  </si>
  <si>
    <t>PNT1127</t>
  </si>
  <si>
    <t>PNT1128</t>
  </si>
  <si>
    <t>PNT1129</t>
  </si>
  <si>
    <t>PNT1130</t>
  </si>
  <si>
    <t>PNT1131</t>
  </si>
  <si>
    <t>PNT1132</t>
  </si>
  <si>
    <t>PNT1133</t>
  </si>
  <si>
    <t>PNT1134</t>
  </si>
  <si>
    <t>PNT1135</t>
  </si>
  <si>
    <t>PNT1136</t>
  </si>
  <si>
    <t>PNT1137</t>
  </si>
  <si>
    <t>PNT1138</t>
  </si>
  <si>
    <t>PNT1139</t>
  </si>
  <si>
    <t>PNT1140</t>
  </si>
  <si>
    <t>PNT1141</t>
  </si>
  <si>
    <t>PNT1142</t>
  </si>
  <si>
    <t>PNT1143</t>
  </si>
  <si>
    <t>PNT1144</t>
  </si>
  <si>
    <t>PNT1145</t>
  </si>
  <si>
    <t>PNT1146</t>
  </si>
  <si>
    <t>PNT1147</t>
  </si>
  <si>
    <t>PNT1148</t>
  </si>
  <si>
    <t>PNT1149</t>
  </si>
  <si>
    <t>PNT1150</t>
  </si>
  <si>
    <t>PNT1151</t>
  </si>
  <si>
    <t>PNT1152</t>
  </si>
  <si>
    <t>PNT1153</t>
  </si>
  <si>
    <t>PNT1154</t>
  </si>
  <si>
    <t>PNT1155</t>
  </si>
  <si>
    <t>PNT1156</t>
  </si>
  <si>
    <t>PNT1157</t>
  </si>
  <si>
    <t>PNT1158</t>
  </si>
  <si>
    <t>PNT1159</t>
  </si>
  <si>
    <t>PNT1160</t>
  </si>
  <si>
    <t>PNT1161</t>
  </si>
  <si>
    <t>PNT1162</t>
  </si>
  <si>
    <t>PNT1163</t>
  </si>
  <si>
    <t>PNT1164</t>
  </si>
  <si>
    <t>PNT1165</t>
  </si>
  <si>
    <t>PNT1166</t>
  </si>
  <si>
    <t>PNT1167</t>
  </si>
  <si>
    <t>PNT1168</t>
  </si>
  <si>
    <t>PNT1169</t>
  </si>
  <si>
    <t>PNT1170</t>
  </si>
  <si>
    <t>PNT1171</t>
  </si>
  <si>
    <t>PNT1172</t>
  </si>
  <si>
    <t>PNT1173</t>
  </si>
  <si>
    <t>PNT1174</t>
  </si>
  <si>
    <t>PNT1175</t>
  </si>
  <si>
    <t>PNT1176</t>
  </si>
  <si>
    <t>PNT1177</t>
  </si>
  <si>
    <t>PNT1178</t>
  </si>
  <si>
    <t>PNT1179</t>
  </si>
  <si>
    <t>PNT1180</t>
  </si>
  <si>
    <t>PNT1181</t>
  </si>
  <si>
    <t>PNT1182</t>
  </si>
  <si>
    <t>PNT1183</t>
  </si>
  <si>
    <t>PNT1184</t>
  </si>
  <si>
    <t>PNT1185</t>
  </si>
  <si>
    <t>PNT1186</t>
  </si>
  <si>
    <t>PNT1187</t>
  </si>
  <si>
    <t>PNT1188</t>
  </si>
  <si>
    <t>PNT1189</t>
  </si>
  <si>
    <t>PNT1190</t>
  </si>
  <si>
    <t>PNT1191</t>
  </si>
  <si>
    <t>PNT1192</t>
  </si>
  <si>
    <t>PNT1193</t>
  </si>
  <si>
    <t>PNT1194</t>
  </si>
  <si>
    <t>PNT1195</t>
  </si>
  <si>
    <t>PNT1196</t>
  </si>
  <si>
    <t>PNT1197</t>
  </si>
  <si>
    <t>PNT1198</t>
  </si>
  <si>
    <t>PNT1199</t>
  </si>
  <si>
    <t>PNT1200</t>
  </si>
  <si>
    <t>PNT1201</t>
  </si>
  <si>
    <t>PNT1202</t>
  </si>
  <si>
    <t>PNT1203</t>
  </si>
  <si>
    <t>PNT1204</t>
  </si>
  <si>
    <t>PNT1205</t>
  </si>
  <si>
    <t>PNT1206</t>
  </si>
  <si>
    <t>PNT1207</t>
  </si>
  <si>
    <t>PNT1208</t>
  </si>
  <si>
    <t>PNT1209</t>
  </si>
  <si>
    <t>PNT1210</t>
  </si>
  <si>
    <t>PNT1211</t>
  </si>
  <si>
    <t>PNT1212</t>
  </si>
  <si>
    <t>PNT1213</t>
  </si>
  <si>
    <t>PNT1214</t>
  </si>
  <si>
    <t>PNT1215</t>
  </si>
  <si>
    <t>PNT1216</t>
  </si>
  <si>
    <t>PNT1217</t>
  </si>
  <si>
    <t>PNT1218</t>
  </si>
  <si>
    <t>PNT1219</t>
  </si>
  <si>
    <t>PNT1220</t>
  </si>
  <si>
    <t>PNT1221</t>
  </si>
  <si>
    <t>PNT1222</t>
  </si>
  <si>
    <t>PNT1223</t>
  </si>
  <si>
    <t>PNT1224</t>
  </si>
  <si>
    <t>PNT1225</t>
  </si>
  <si>
    <t>PNT1226</t>
  </si>
  <si>
    <t>PNT1227</t>
  </si>
  <si>
    <t>PNT1228</t>
  </si>
  <si>
    <t>PNT1229</t>
  </si>
  <si>
    <t>PNT1230</t>
  </si>
  <si>
    <t>PNT1231</t>
  </si>
  <si>
    <t>PNT1232</t>
  </si>
  <si>
    <t>PNT1233</t>
  </si>
  <si>
    <t>PNT1234</t>
  </si>
  <si>
    <t>PNT1235</t>
  </si>
  <si>
    <t>PNT1236</t>
  </si>
  <si>
    <t>PNT1237</t>
  </si>
  <si>
    <t>PNT1238</t>
  </si>
  <si>
    <t>PNT1239</t>
  </si>
  <si>
    <t>PNT1240</t>
  </si>
  <si>
    <t>PNT1241</t>
  </si>
  <si>
    <t>PNT1242</t>
  </si>
  <si>
    <t>PNT1243</t>
  </si>
  <si>
    <t>PNT1244</t>
  </si>
  <si>
    <t>PNT1245</t>
  </si>
  <si>
    <t>PNT1246</t>
  </si>
  <si>
    <t>PNT1247</t>
  </si>
  <si>
    <t>PNT1248</t>
  </si>
  <si>
    <t>PNT1249</t>
  </si>
  <si>
    <t>PNT1250</t>
  </si>
  <si>
    <t>PNT1251</t>
  </si>
  <si>
    <t>PNT1252</t>
  </si>
  <si>
    <t>PNT1253</t>
  </si>
  <si>
    <t>PNT1254</t>
  </si>
  <si>
    <t>PNT1255</t>
  </si>
  <si>
    <t>PNT1256</t>
  </si>
  <si>
    <t>PNT1257</t>
  </si>
  <si>
    <t>PNT1258</t>
  </si>
  <si>
    <t>PNT1259</t>
  </si>
  <si>
    <t>PNT1260</t>
  </si>
  <si>
    <t>PNT1261</t>
  </si>
  <si>
    <t>PNT1262</t>
  </si>
  <si>
    <t>PNT1263</t>
  </si>
  <si>
    <t>PNT1264</t>
  </si>
  <si>
    <t>PNT1265</t>
  </si>
  <si>
    <t>PNT1266</t>
  </si>
  <si>
    <t>PNT1267</t>
  </si>
  <si>
    <t>PNT1268</t>
  </si>
  <si>
    <t>PNT1269</t>
  </si>
  <si>
    <t>PNT1270</t>
  </si>
  <si>
    <t>PNT1271</t>
  </si>
  <si>
    <t>PNT1272</t>
  </si>
  <si>
    <t>PNT1273</t>
  </si>
  <si>
    <t>PNT1274</t>
  </si>
  <si>
    <t>PNT1275</t>
  </si>
  <si>
    <t>PNT1276</t>
  </si>
  <si>
    <t>PNT1277</t>
  </si>
  <si>
    <t>PNT1278</t>
  </si>
  <si>
    <t>PNT1279</t>
  </si>
  <si>
    <t>PNT1280</t>
  </si>
  <si>
    <t>PNT1281</t>
  </si>
  <si>
    <t>PNT1282</t>
  </si>
  <si>
    <t>PNT1283</t>
  </si>
  <si>
    <t>PNT1284</t>
  </si>
  <si>
    <t>PNT1285</t>
  </si>
  <si>
    <t>PNT1286</t>
  </si>
  <si>
    <t>PNT1287</t>
  </si>
  <si>
    <t>PNT1288</t>
  </si>
  <si>
    <t>PNT1289</t>
  </si>
  <si>
    <t>PNT1290</t>
  </si>
  <si>
    <t>PNT1291</t>
  </si>
  <si>
    <t>PNT1292</t>
  </si>
  <si>
    <t>PNT1293</t>
  </si>
  <si>
    <t>PNT1294</t>
  </si>
  <si>
    <t>PNT1295</t>
  </si>
  <si>
    <t>PNT1296</t>
  </si>
  <si>
    <t>PNT1297</t>
  </si>
  <si>
    <t>PNT1298</t>
  </si>
  <si>
    <t>PNT1299</t>
  </si>
  <si>
    <t>PNT1300</t>
  </si>
  <si>
    <t>PNT1301</t>
  </si>
  <si>
    <t>PNT1302</t>
  </si>
  <si>
    <t>PNT1303</t>
  </si>
  <si>
    <t>PNT1304</t>
  </si>
  <si>
    <t>PNT1305</t>
  </si>
  <si>
    <t>PNT1306</t>
  </si>
  <si>
    <t>PNT1307</t>
  </si>
  <si>
    <t>PNT1308</t>
  </si>
  <si>
    <t>PNT1309</t>
  </si>
  <si>
    <t>PNT1310</t>
  </si>
  <si>
    <t>PNT1311</t>
  </si>
  <si>
    <t>PNT1312</t>
  </si>
  <si>
    <t>PNT1313</t>
  </si>
  <si>
    <t>PNT1314</t>
  </si>
  <si>
    <t>PNT1315</t>
  </si>
  <si>
    <t>PNT1316</t>
  </si>
  <si>
    <t>PNT1317</t>
  </si>
  <si>
    <t>PNT1318</t>
  </si>
  <si>
    <t>PNT1319</t>
  </si>
  <si>
    <t>PNT1320</t>
  </si>
  <si>
    <t>PNT1321</t>
  </si>
  <si>
    <t>PNT1322</t>
  </si>
  <si>
    <t>PNT1323</t>
  </si>
  <si>
    <t>PNT1324</t>
  </si>
  <si>
    <t>PNT1325</t>
  </si>
  <si>
    <t>PNT1326</t>
  </si>
  <si>
    <t>PNT1327</t>
  </si>
  <si>
    <t>PNT1328</t>
  </si>
  <si>
    <t>PNT1329</t>
  </si>
  <si>
    <t>PNT1330</t>
  </si>
  <si>
    <t>PNT1331</t>
  </si>
  <si>
    <t>PNT1332</t>
  </si>
  <si>
    <t>PNT1333</t>
  </si>
  <si>
    <t>PNT1334</t>
  </si>
  <si>
    <t>PNT1335</t>
  </si>
  <si>
    <t>PNT1336</t>
  </si>
  <si>
    <t>PNT1337</t>
  </si>
  <si>
    <t>PNT1338</t>
  </si>
  <si>
    <t>PNT1339</t>
  </si>
  <si>
    <t>PNT1340</t>
  </si>
  <si>
    <t>PNT1341</t>
  </si>
  <si>
    <t>PNT1342</t>
  </si>
  <si>
    <t>PNT1343</t>
  </si>
  <si>
    <t>PNT1344</t>
  </si>
  <si>
    <t>PNT1345</t>
  </si>
  <si>
    <t>PNT1346</t>
  </si>
  <si>
    <t>PNT1347</t>
  </si>
  <si>
    <t>PNT1348</t>
  </si>
  <si>
    <t>PNT1349</t>
  </si>
  <si>
    <t>PNT1350</t>
  </si>
  <si>
    <t>PNT1351</t>
  </si>
  <si>
    <t>PNT1352</t>
  </si>
  <si>
    <t>PNT1353</t>
  </si>
  <si>
    <t>PNT1354</t>
  </si>
  <si>
    <t>PNT1355</t>
  </si>
  <si>
    <t>PNT1356</t>
  </si>
  <si>
    <t>PNT1357</t>
  </si>
  <si>
    <t>PNT1358</t>
  </si>
  <si>
    <t>PNT1359</t>
  </si>
  <si>
    <t>PNT1360</t>
  </si>
  <si>
    <t>PNT1361</t>
  </si>
  <si>
    <t>PNT1362</t>
  </si>
  <si>
    <t>PNT1363</t>
  </si>
  <si>
    <t>PNT1364</t>
  </si>
  <si>
    <t>PNT1365</t>
  </si>
  <si>
    <t>PNT1366</t>
  </si>
  <si>
    <t>PNT1367</t>
  </si>
  <si>
    <t>PNT1368</t>
  </si>
  <si>
    <t>PNT1369</t>
  </si>
  <si>
    <t>PNT1370</t>
  </si>
  <si>
    <t>INW1371</t>
  </si>
  <si>
    <t>Innerwear</t>
  </si>
  <si>
    <t>V Star</t>
  </si>
  <si>
    <t>V-Cut</t>
  </si>
  <si>
    <t>80-85</t>
  </si>
  <si>
    <t>INW1372</t>
  </si>
  <si>
    <t>Rupa</t>
  </si>
  <si>
    <t>Boxer</t>
  </si>
  <si>
    <t>100-105</t>
  </si>
  <si>
    <t>INW1373</t>
  </si>
  <si>
    <t>Lux</t>
  </si>
  <si>
    <t>105-110</t>
  </si>
  <si>
    <t>INW1374</t>
  </si>
  <si>
    <t>INW1375</t>
  </si>
  <si>
    <t>90-100</t>
  </si>
  <si>
    <t>INW1376</t>
  </si>
  <si>
    <t>Dollar</t>
  </si>
  <si>
    <t>75-80</t>
  </si>
  <si>
    <t>INW1377</t>
  </si>
  <si>
    <t>INW1378</t>
  </si>
  <si>
    <t>Jockey</t>
  </si>
  <si>
    <t>INW1379</t>
  </si>
  <si>
    <t>INW1380</t>
  </si>
  <si>
    <t>INW1381</t>
  </si>
  <si>
    <t>INW1382</t>
  </si>
  <si>
    <t>85-90</t>
  </si>
  <si>
    <t>INW1383</t>
  </si>
  <si>
    <t>INW1384</t>
  </si>
  <si>
    <t>INW1385</t>
  </si>
  <si>
    <t>INW1386</t>
  </si>
  <si>
    <t>INW1387</t>
  </si>
  <si>
    <t>INW1388</t>
  </si>
  <si>
    <t>INW1389</t>
  </si>
  <si>
    <t>INW1390</t>
  </si>
  <si>
    <t>INW1391</t>
  </si>
  <si>
    <t>INW1392</t>
  </si>
  <si>
    <t>INW1393</t>
  </si>
  <si>
    <t>INW1394</t>
  </si>
  <si>
    <t>INW1395</t>
  </si>
  <si>
    <t>INW1396</t>
  </si>
  <si>
    <t>INW1397</t>
  </si>
  <si>
    <t>INW1398</t>
  </si>
  <si>
    <t>INW1399</t>
  </si>
  <si>
    <t>INW1400</t>
  </si>
  <si>
    <t>INW1401</t>
  </si>
  <si>
    <t>INW1402</t>
  </si>
  <si>
    <t>INW1403</t>
  </si>
  <si>
    <t>INW1404</t>
  </si>
  <si>
    <t>INW1405</t>
  </si>
  <si>
    <t>INW1406</t>
  </si>
  <si>
    <t>INW1407</t>
  </si>
  <si>
    <t>INW1408</t>
  </si>
  <si>
    <t>INW1409</t>
  </si>
  <si>
    <t>INW1410</t>
  </si>
  <si>
    <t>INW1411</t>
  </si>
  <si>
    <t>INW1412</t>
  </si>
  <si>
    <t>INW1413</t>
  </si>
  <si>
    <t>INW1414</t>
  </si>
  <si>
    <t>INW1415</t>
  </si>
  <si>
    <t>INW1416</t>
  </si>
  <si>
    <t>INW1417</t>
  </si>
  <si>
    <t>INW1418</t>
  </si>
  <si>
    <t>INW1419</t>
  </si>
  <si>
    <t>INW1420</t>
  </si>
  <si>
    <t>INW1421</t>
  </si>
  <si>
    <t>INW1422</t>
  </si>
  <si>
    <t>INW1423</t>
  </si>
  <si>
    <t>INW1424</t>
  </si>
  <si>
    <t>INW1425</t>
  </si>
  <si>
    <t>INW1426</t>
  </si>
  <si>
    <t>INW1427</t>
  </si>
  <si>
    <t>INW1428</t>
  </si>
  <si>
    <t>INW1429</t>
  </si>
  <si>
    <t>INW1430</t>
  </si>
  <si>
    <t>INW1431</t>
  </si>
  <si>
    <t>INW1432</t>
  </si>
  <si>
    <t>INW1433</t>
  </si>
  <si>
    <t>INW1434</t>
  </si>
  <si>
    <t>INW1435</t>
  </si>
  <si>
    <t>INW1436</t>
  </si>
  <si>
    <t>INW1437</t>
  </si>
  <si>
    <t>INW1438</t>
  </si>
  <si>
    <t>INW1439</t>
  </si>
  <si>
    <t>INW1440</t>
  </si>
  <si>
    <t>INW1441</t>
  </si>
  <si>
    <t>INW1442</t>
  </si>
  <si>
    <t>INW1443</t>
  </si>
  <si>
    <t>INW1444</t>
  </si>
  <si>
    <t>INW1445</t>
  </si>
  <si>
    <t>INW1446</t>
  </si>
  <si>
    <t>INW1447</t>
  </si>
  <si>
    <t>INW1448</t>
  </si>
  <si>
    <t>INW1449</t>
  </si>
  <si>
    <t>INW1450</t>
  </si>
  <si>
    <t>INW1451</t>
  </si>
  <si>
    <t>INW1452</t>
  </si>
  <si>
    <t>INW1453</t>
  </si>
  <si>
    <t>INW1454</t>
  </si>
  <si>
    <t>INW1455</t>
  </si>
  <si>
    <t>INW1456</t>
  </si>
  <si>
    <t>INW1457</t>
  </si>
  <si>
    <t>INW1458</t>
  </si>
  <si>
    <t>INW1459</t>
  </si>
  <si>
    <t>INW1460</t>
  </si>
  <si>
    <t>INW1461</t>
  </si>
  <si>
    <t>INW1462</t>
  </si>
  <si>
    <t>INW1463</t>
  </si>
  <si>
    <t>INW1464</t>
  </si>
  <si>
    <t>INW1465</t>
  </si>
  <si>
    <t>INW1466</t>
  </si>
  <si>
    <t>INW1467</t>
  </si>
  <si>
    <t>INW1468</t>
  </si>
  <si>
    <t>INW1469</t>
  </si>
  <si>
    <t>INW1470</t>
  </si>
  <si>
    <t>INW1471</t>
  </si>
  <si>
    <t>INW1472</t>
  </si>
  <si>
    <t>INW1473</t>
  </si>
  <si>
    <t>INW1474</t>
  </si>
  <si>
    <t>INW1475</t>
  </si>
  <si>
    <t>INW1476</t>
  </si>
  <si>
    <t>INW1477</t>
  </si>
  <si>
    <t>INW1478</t>
  </si>
  <si>
    <t>INW1479</t>
  </si>
  <si>
    <t>INW1480</t>
  </si>
  <si>
    <t>INW1481</t>
  </si>
  <si>
    <t>INW1482</t>
  </si>
  <si>
    <t>INW1483</t>
  </si>
  <si>
    <t>INW1484</t>
  </si>
  <si>
    <t>INW1485</t>
  </si>
  <si>
    <t>INW1486</t>
  </si>
  <si>
    <t>INW1487</t>
  </si>
  <si>
    <t>INW1488</t>
  </si>
  <si>
    <t>INW1489</t>
  </si>
  <si>
    <t>INW1490</t>
  </si>
  <si>
    <t>INW1491</t>
  </si>
  <si>
    <t>INW1492</t>
  </si>
  <si>
    <t>INW1493</t>
  </si>
  <si>
    <t>INW1494</t>
  </si>
  <si>
    <t>INW1495</t>
  </si>
  <si>
    <t>INW1496</t>
  </si>
  <si>
    <t>INW1497</t>
  </si>
  <si>
    <t>INW1498</t>
  </si>
  <si>
    <t>INW1499</t>
  </si>
  <si>
    <t>INW1500</t>
  </si>
  <si>
    <t>INW1501</t>
  </si>
  <si>
    <t>INW1502</t>
  </si>
  <si>
    <t>INW1503</t>
  </si>
  <si>
    <t>INW1504</t>
  </si>
  <si>
    <t>INW1505</t>
  </si>
  <si>
    <t>INW1506</t>
  </si>
  <si>
    <t>INW1507</t>
  </si>
  <si>
    <t>INW1508</t>
  </si>
  <si>
    <t>INW1509</t>
  </si>
  <si>
    <t>INW1510</t>
  </si>
  <si>
    <t>INW1511</t>
  </si>
  <si>
    <t>INW1512</t>
  </si>
  <si>
    <t>INW1513</t>
  </si>
  <si>
    <t>INW1514</t>
  </si>
  <si>
    <t>INW1515</t>
  </si>
  <si>
    <t>INW1516</t>
  </si>
  <si>
    <t>INW1517</t>
  </si>
  <si>
    <t>INW1518</t>
  </si>
  <si>
    <t>INW1519</t>
  </si>
  <si>
    <t>INW1520</t>
  </si>
  <si>
    <t>INW1521</t>
  </si>
  <si>
    <t>INW1522</t>
  </si>
  <si>
    <t>INW1523</t>
  </si>
  <si>
    <t>INW1524</t>
  </si>
  <si>
    <t>INW1525</t>
  </si>
  <si>
    <t>INW1526</t>
  </si>
  <si>
    <t>INW1527</t>
  </si>
  <si>
    <t>INW1528</t>
  </si>
  <si>
    <t>INW1529</t>
  </si>
  <si>
    <t>INW1530</t>
  </si>
  <si>
    <t>INW1531</t>
  </si>
  <si>
    <t>INW1532</t>
  </si>
  <si>
    <t>INW1533</t>
  </si>
  <si>
    <t>INW1534</t>
  </si>
  <si>
    <t>INW1535</t>
  </si>
  <si>
    <t>INW1536</t>
  </si>
  <si>
    <t>INW1537</t>
  </si>
  <si>
    <t>INW1538</t>
  </si>
  <si>
    <t>INW1539</t>
  </si>
  <si>
    <t>INW1540</t>
  </si>
  <si>
    <t>INW1541</t>
  </si>
  <si>
    <t>INW1542</t>
  </si>
  <si>
    <t>INW1543</t>
  </si>
  <si>
    <t>INW1544</t>
  </si>
  <si>
    <t>INW1545</t>
  </si>
  <si>
    <t>INW1546</t>
  </si>
  <si>
    <t>INW1547</t>
  </si>
  <si>
    <t>INW1548</t>
  </si>
  <si>
    <t>INW1549</t>
  </si>
  <si>
    <t>INW1550</t>
  </si>
  <si>
    <t>INW1551</t>
  </si>
  <si>
    <t>INW1552</t>
  </si>
  <si>
    <t>INW1553</t>
  </si>
  <si>
    <t>INW1554</t>
  </si>
  <si>
    <t>INW1555</t>
  </si>
  <si>
    <t>INW1556</t>
  </si>
  <si>
    <t>INW1557</t>
  </si>
  <si>
    <t>INW1558</t>
  </si>
  <si>
    <t>INW1559</t>
  </si>
  <si>
    <t>INW1560</t>
  </si>
  <si>
    <t>INW1561</t>
  </si>
  <si>
    <t>INW1562</t>
  </si>
  <si>
    <t>INW1563</t>
  </si>
  <si>
    <t>INW1564</t>
  </si>
  <si>
    <t>INW1565</t>
  </si>
  <si>
    <t>INW1566</t>
  </si>
  <si>
    <t>INW1567</t>
  </si>
  <si>
    <t>INW1568</t>
  </si>
  <si>
    <t>INW1569</t>
  </si>
  <si>
    <t>INW1570</t>
  </si>
  <si>
    <t>INW1571</t>
  </si>
  <si>
    <t>INW1572</t>
  </si>
  <si>
    <t>INW1573</t>
  </si>
  <si>
    <t>INW1574</t>
  </si>
  <si>
    <t>INW1575</t>
  </si>
  <si>
    <t>INW1576</t>
  </si>
  <si>
    <t>INW1577</t>
  </si>
  <si>
    <t>INW1578</t>
  </si>
  <si>
    <t>INW1579</t>
  </si>
  <si>
    <t>INW1580</t>
  </si>
  <si>
    <t>INW1581</t>
  </si>
  <si>
    <t>INW1582</t>
  </si>
  <si>
    <t>INW1583</t>
  </si>
  <si>
    <t>INW1584</t>
  </si>
  <si>
    <t>INW1585</t>
  </si>
  <si>
    <t>INW1586</t>
  </si>
  <si>
    <t>INW1587</t>
  </si>
  <si>
    <t>INW1588</t>
  </si>
  <si>
    <t>INW1589</t>
  </si>
  <si>
    <t>INW1590</t>
  </si>
  <si>
    <t>INW1591</t>
  </si>
  <si>
    <t>INW1592</t>
  </si>
  <si>
    <t>INW1593</t>
  </si>
  <si>
    <t>INW1594</t>
  </si>
  <si>
    <t>INW1595</t>
  </si>
  <si>
    <t>INW1596</t>
  </si>
  <si>
    <t>INW1597</t>
  </si>
  <si>
    <t>INW1598</t>
  </si>
  <si>
    <t>INW1599</t>
  </si>
  <si>
    <t>INW1600</t>
  </si>
  <si>
    <t>INW1601</t>
  </si>
  <si>
    <t>INW1602</t>
  </si>
  <si>
    <t>INW1603</t>
  </si>
  <si>
    <t>INW1604</t>
  </si>
  <si>
    <t>INW1605</t>
  </si>
  <si>
    <t>INW1606</t>
  </si>
  <si>
    <t>INW1607</t>
  </si>
  <si>
    <t>INW1608</t>
  </si>
  <si>
    <t>INW1609</t>
  </si>
  <si>
    <t>INW1610</t>
  </si>
  <si>
    <t>INW1611</t>
  </si>
  <si>
    <t>INW1612</t>
  </si>
  <si>
    <t>INW1613</t>
  </si>
  <si>
    <t>INW1614</t>
  </si>
  <si>
    <t>INW1615</t>
  </si>
  <si>
    <t>INW1616</t>
  </si>
  <si>
    <t>INW1617</t>
  </si>
  <si>
    <t>INW1618</t>
  </si>
  <si>
    <t>INW1619</t>
  </si>
  <si>
    <t>INW1620</t>
  </si>
  <si>
    <t>INW1621</t>
  </si>
  <si>
    <t>INW1622</t>
  </si>
  <si>
    <t>INW1623</t>
  </si>
  <si>
    <t>INW1624</t>
  </si>
  <si>
    <t>INW1625</t>
  </si>
  <si>
    <t>INW1626</t>
  </si>
  <si>
    <t>INW1627</t>
  </si>
  <si>
    <t>INW1628</t>
  </si>
  <si>
    <t>INW1629</t>
  </si>
  <si>
    <t>INW1630</t>
  </si>
  <si>
    <t>INW1631</t>
  </si>
  <si>
    <t>INW1632</t>
  </si>
  <si>
    <t>INW1633</t>
  </si>
  <si>
    <t>INW1634</t>
  </si>
  <si>
    <t>INW1635</t>
  </si>
  <si>
    <t>INW1636</t>
  </si>
  <si>
    <t>INW1637</t>
  </si>
  <si>
    <t>INW1638</t>
  </si>
  <si>
    <t>INW1639</t>
  </si>
  <si>
    <t>INW1640</t>
  </si>
  <si>
    <t>INW1641</t>
  </si>
  <si>
    <t>INW1642</t>
  </si>
  <si>
    <t>INW1643</t>
  </si>
  <si>
    <t>INW1644</t>
  </si>
  <si>
    <t>INW1645</t>
  </si>
  <si>
    <t>INW1646</t>
  </si>
  <si>
    <t>INW1647</t>
  </si>
  <si>
    <t>INW1648</t>
  </si>
  <si>
    <t>INW1649</t>
  </si>
  <si>
    <t>INW1650</t>
  </si>
  <si>
    <t>INW1651</t>
  </si>
  <si>
    <t>INW1652</t>
  </si>
  <si>
    <t>INW1653</t>
  </si>
  <si>
    <t>INW1654</t>
  </si>
  <si>
    <t>INW1655</t>
  </si>
  <si>
    <t>INW1656</t>
  </si>
  <si>
    <t>INW1657</t>
  </si>
  <si>
    <t>Stock Avalilable</t>
  </si>
  <si>
    <t>Opening_Stock</t>
  </si>
  <si>
    <t>Sold_Qty</t>
  </si>
  <si>
    <t>Returned_Qty</t>
  </si>
  <si>
    <t>Available_Stock</t>
  </si>
  <si>
    <t>Stock_Status</t>
  </si>
  <si>
    <t>Sales Entry</t>
  </si>
  <si>
    <t>Bill_No</t>
  </si>
  <si>
    <t>Bill_Date</t>
  </si>
  <si>
    <t>Qty</t>
  </si>
  <si>
    <t>Price</t>
  </si>
  <si>
    <t>B00001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</si>
  <si>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</si>
  <si>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</si>
  <si>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</si>
  <si>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</si>
  <si>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</si>
  <si>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</si>
  <si>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</si>
  <si>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</si>
  <si>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</si>
  <si>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</si>
  <si>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</si>
  <si>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</si>
  <si>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</si>
  <si>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</si>
  <si>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</si>
  <si>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</si>
  <si>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</si>
  <si>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</si>
  <si>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</si>
  <si>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</si>
  <si>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</si>
  <si>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</si>
  <si>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</si>
  <si>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</si>
  <si>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</si>
  <si>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</si>
  <si>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</si>
  <si>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</si>
  <si>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</si>
  <si>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</si>
  <si>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</si>
  <si>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</si>
  <si>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</si>
  <si>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</si>
  <si>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</si>
  <si>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</si>
  <si>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</si>
  <si>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</si>
  <si>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</si>
  <si>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</si>
  <si>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</si>
  <si>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</si>
  <si>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</si>
  <si>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</si>
  <si>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</si>
  <si>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</si>
  <si>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</si>
  <si>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</si>
  <si>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</si>
  <si>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</si>
  <si>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</si>
  <si>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</si>
  <si>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</si>
  <si>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</si>
  <si>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</si>
  <si>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</si>
  <si>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</si>
  <si>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</si>
  <si>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</si>
  <si>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</si>
  <si>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</si>
  <si>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</si>
  <si>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</si>
  <si>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</si>
  <si>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</si>
  <si>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</si>
  <si>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</si>
  <si>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</si>
  <si>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</si>
  <si>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</si>
  <si>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</si>
  <si>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</si>
  <si>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</si>
  <si>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</si>
  <si>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</si>
  <si>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</si>
  <si>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</si>
  <si>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</si>
  <si>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</si>
  <si>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</si>
  <si>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</si>
  <si>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</si>
  <si>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</si>
  <si>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</si>
  <si>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</si>
  <si>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</si>
  <si>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</si>
  <si>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</si>
  <si>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</si>
  <si>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</si>
  <si>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</si>
  <si>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</si>
  <si>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</si>
  <si>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</si>
  <si>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</si>
  <si>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</si>
  <si>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</si>
  <si>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</si>
  <si>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</si>
  <si>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</si>
  <si>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</si>
  <si>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</si>
  <si>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</si>
  <si>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</si>
  <si>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</si>
  <si>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</si>
  <si>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</si>
  <si>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</si>
  <si>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</si>
  <si>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</si>
  <si>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</si>
  <si>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</si>
  <si>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</si>
  <si>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</si>
  <si>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</si>
  <si>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</si>
  <si>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</si>
  <si>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</si>
  <si>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</si>
  <si>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</si>
  <si>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</si>
  <si>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</si>
  <si>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</si>
  <si>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</si>
  <si>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</si>
  <si>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</si>
  <si>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</si>
  <si>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</si>
  <si>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</si>
  <si>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</si>
  <si>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</si>
  <si>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</si>
  <si>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</si>
  <si>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</si>
  <si>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</si>
  <si>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</si>
  <si>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</si>
  <si>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</si>
  <si>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</si>
  <si>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</si>
  <si>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</si>
  <si>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</si>
  <si>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</si>
  <si>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</si>
  <si>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</si>
  <si>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</si>
  <si>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</si>
  <si>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</si>
  <si>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</si>
  <si>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</si>
  <si>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</si>
  <si>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</si>
  <si>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</si>
  <si>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</si>
  <si>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</si>
  <si>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</si>
  <si>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</si>
  <si>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</si>
  <si>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</si>
  <si>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</si>
  <si>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</si>
  <si>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</si>
  <si>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</si>
  <si>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</si>
  <si>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</si>
  <si>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</si>
  <si>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</si>
  <si>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</si>
  <si>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</si>
  <si>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</si>
  <si>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</si>
  <si>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</si>
  <si>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</si>
  <si>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</si>
  <si>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</si>
  <si>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</si>
  <si>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</si>
  <si>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</si>
  <si>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</si>
  <si>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</si>
  <si>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</si>
  <si>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</si>
  <si>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</si>
  <si>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</si>
  <si>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</si>
  <si>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</si>
  <si>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</si>
  <si>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</si>
  <si>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</si>
  <si>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</si>
  <si>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</si>
  <si>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</si>
  <si>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</si>
  <si>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</si>
  <si>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</si>
  <si>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</si>
  <si>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</si>
  <si>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</si>
  <si>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</si>
  <si>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</si>
  <si>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</si>
  <si>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</si>
  <si>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</si>
  <si>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</si>
  <si>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</si>
  <si>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</si>
  <si>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</si>
  <si>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</si>
  <si>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</si>
  <si>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</si>
  <si>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</si>
  <si>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</si>
  <si>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</si>
  <si>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</si>
  <si>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</si>
  <si>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</si>
  <si>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</si>
  <si>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</si>
  <si>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</si>
  <si>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</si>
  <si>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</si>
  <si>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</si>
  <si>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</si>
  <si>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</si>
  <si>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</si>
  <si>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</si>
  <si>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</si>
  <si>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</si>
  <si>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</si>
  <si>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</si>
  <si>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</si>
  <si>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</si>
  <si>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</si>
  <si>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</si>
  <si>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</si>
  <si>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</si>
  <si>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</si>
  <si>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</si>
  <si>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</si>
  <si>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</si>
  <si>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</si>
  <si>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</si>
  <si>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</si>
  <si>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</si>
  <si>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</si>
  <si>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</si>
  <si>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</si>
  <si>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</si>
  <si>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</si>
  <si>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</si>
  <si>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</si>
  <si>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</si>
  <si>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</si>
  <si>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</si>
  <si>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</si>
  <si>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</si>
  <si>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</si>
  <si>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</si>
  <si>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</si>
  <si>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</si>
  <si>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</si>
  <si>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</si>
  <si>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</si>
  <si>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</si>
  <si>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</si>
  <si>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</si>
  <si>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</si>
  <si>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</si>
  <si>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</si>
  <si>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</si>
  <si>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</si>
  <si>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</si>
  <si>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</si>
  <si>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</si>
  <si>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</si>
  <si>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</si>
  <si>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</si>
  <si>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</si>
  <si>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</si>
  <si>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</si>
  <si>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</si>
  <si>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</si>
  <si>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</si>
  <si>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</si>
  <si>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</si>
  <si>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</si>
  <si>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</si>
  <si>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</si>
  <si>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</si>
  <si>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</si>
  <si>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</si>
  <si>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</si>
  <si>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</si>
  <si>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</si>
  <si>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</si>
  <si>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</si>
  <si>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</si>
  <si>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</si>
  <si>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</si>
  <si>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</si>
  <si>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</si>
  <si>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</si>
  <si>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</si>
  <si>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</si>
  <si>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</si>
  <si>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</si>
  <si>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</si>
  <si>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</si>
  <si>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</si>
  <si>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</si>
  <si>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</si>
  <si>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</si>
  <si>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</si>
  <si>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</si>
  <si>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</si>
  <si>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</si>
  <si>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</si>
  <si>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</si>
  <si>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</si>
  <si>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</si>
  <si>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</si>
  <si>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</si>
  <si>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</si>
  <si>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</si>
  <si>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</si>
  <si>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</si>
  <si>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</si>
  <si>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</si>
  <si>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</si>
  <si>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</si>
  <si>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</si>
  <si>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</si>
  <si>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</si>
  <si>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</si>
  <si>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</si>
  <si>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</si>
  <si>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</si>
  <si>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</si>
  <si>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</si>
  <si>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</si>
  <si>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</si>
  <si>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</si>
  <si>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</si>
  <si>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</si>
  <si>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</si>
  <si>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</si>
  <si>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</si>
  <si>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</si>
  <si>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</si>
  <si>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</si>
  <si>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</si>
  <si>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</si>
  <si>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</si>
  <si>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</si>
  <si>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</si>
  <si>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</si>
  <si>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</si>
  <si>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</si>
  <si>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</si>
  <si>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</si>
  <si>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</si>
  <si>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</si>
  <si>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</si>
  <si>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</si>
  <si>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</si>
  <si>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</si>
  <si>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</si>
  <si>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</si>
  <si>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</si>
  <si>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</si>
  <si>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</si>
  <si>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</si>
  <si>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</si>
  <si>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</si>
  <si>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</si>
  <si>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</si>
  <si>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</si>
  <si>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</si>
  <si>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</si>
  <si>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</si>
  <si>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</si>
  <si>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</si>
  <si>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</si>
  <si>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</si>
  <si>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</si>
  <si>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</si>
  <si>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</si>
  <si>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</si>
  <si>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</si>
  <si>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</si>
  <si>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</si>
  <si>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</si>
  <si>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</si>
  <si>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</si>
  <si>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</si>
  <si>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</si>
  <si>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</si>
  <si>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</si>
  <si>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</si>
  <si>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</si>
  <si>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</si>
  <si>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</si>
  <si>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</si>
  <si>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</si>
  <si>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</si>
  <si>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</si>
  <si>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</si>
  <si>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</si>
  <si>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</si>
  <si>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</si>
  <si>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</si>
  <si>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</si>
  <si>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</si>
  <si>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</si>
  <si>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</si>
  <si>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</si>
  <si>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</si>
  <si>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</si>
  <si>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</si>
  <si>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</si>
  <si>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</si>
  <si>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</si>
  <si>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</si>
  <si>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</si>
  <si>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</si>
  <si>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</si>
  <si>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</si>
  <si>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</si>
  <si>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</si>
  <si>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</si>
  <si>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</si>
  <si>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</si>
  <si>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</si>
  <si>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</si>
  <si>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</si>
  <si>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</si>
  <si>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</si>
  <si>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</si>
  <si>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</si>
  <si>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</si>
  <si>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</si>
  <si>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</si>
  <si>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</si>
  <si>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</si>
  <si>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</si>
  <si>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</si>
  <si>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</si>
  <si>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</si>
  <si>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</si>
  <si>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</si>
  <si>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</si>
  <si>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</si>
  <si>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</si>
  <si>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</si>
  <si>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</si>
  <si>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</si>
  <si>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</si>
  <si>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</si>
  <si>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</si>
  <si>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</si>
  <si>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</si>
  <si>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</si>
  <si>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</si>
  <si>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</si>
  <si>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</si>
  <si>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</si>
  <si>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</si>
  <si>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</si>
  <si>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</si>
  <si>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</si>
  <si>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</si>
  <si>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</si>
  <si>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</si>
  <si>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</si>
  <si>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</si>
  <si>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</si>
  <si>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</si>
  <si>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</si>
  <si>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</si>
  <si>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</si>
  <si>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</si>
  <si>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</si>
  <si>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</si>
  <si>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</si>
  <si>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</si>
  <si>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</si>
  <si>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</si>
  <si>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</si>
  <si>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</si>
  <si>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</si>
  <si>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</si>
  <si>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</si>
  <si>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</si>
  <si>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</si>
  <si>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</si>
  <si>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</si>
  <si>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</si>
  <si>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</si>
  <si>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</si>
  <si>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</si>
  <si>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</si>
  <si>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</si>
  <si>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</si>
  <si>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</si>
  <si>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</si>
  <si>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</si>
  <si>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</si>
  <si>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</si>
  <si>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</si>
  <si>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</si>
  <si>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</si>
  <si>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</si>
  <si>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</si>
  <si>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</si>
  <si>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</si>
  <si>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</si>
  <si>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</si>
  <si>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</si>
  <si>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</si>
  <si>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</si>
  <si>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</si>
  <si>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</si>
  <si>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</si>
  <si>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</si>
  <si>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</si>
  <si>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</si>
  <si>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</si>
  <si>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</si>
  <si>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</si>
  <si>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</si>
  <si>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</si>
  <si>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</si>
  <si>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</si>
  <si>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</si>
  <si>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</si>
  <si>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</si>
  <si>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</si>
  <si>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</si>
  <si>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</si>
  <si>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</si>
  <si>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</si>
  <si>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</si>
  <si>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</si>
  <si>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</si>
  <si>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</si>
  <si>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</si>
  <si>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</si>
  <si>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</si>
  <si>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</si>
  <si>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</si>
  <si>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</si>
  <si>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</si>
  <si>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</si>
  <si>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</si>
  <si>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</si>
  <si>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</si>
  <si>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</si>
  <si>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</si>
  <si>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</si>
  <si>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</si>
  <si>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</si>
  <si>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</si>
  <si>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</si>
  <si>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</si>
  <si>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</si>
  <si>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</si>
  <si>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</si>
  <si>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</si>
  <si>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</si>
  <si>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</si>
  <si>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</si>
  <si>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</si>
  <si>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</si>
  <si>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</si>
  <si>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</si>
  <si>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</si>
  <si>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</si>
  <si>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</si>
  <si>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</si>
  <si>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</si>
  <si>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</si>
  <si>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</si>
  <si>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</si>
  <si>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</si>
  <si>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</si>
  <si>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</si>
  <si>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</si>
  <si>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</si>
  <si>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</si>
  <si>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</si>
  <si>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</si>
  <si>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</si>
  <si>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</si>
  <si>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</si>
  <si>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</si>
  <si>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</si>
  <si>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</si>
  <si>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</si>
  <si>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</si>
  <si>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</si>
  <si>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</si>
  <si>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</si>
  <si>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</si>
  <si>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</si>
  <si>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</si>
  <si>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</si>
  <si>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</si>
  <si>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</si>
  <si>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</si>
  <si>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</si>
  <si>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</si>
  <si>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</si>
  <si>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</si>
  <si>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</si>
  <si>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</si>
  <si>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</si>
  <si>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</si>
  <si>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</si>
  <si>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</si>
  <si>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</si>
  <si>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</si>
  <si>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</si>
  <si>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</si>
  <si>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</si>
  <si>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</si>
  <si>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</si>
  <si>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</si>
  <si>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</si>
  <si>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</si>
  <si>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</si>
  <si>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</si>
  <si>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</si>
  <si>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</si>
  <si>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</si>
  <si>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</si>
  <si>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</si>
  <si>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</si>
  <si>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</si>
  <si>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</si>
  <si>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</si>
  <si>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</si>
  <si>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</si>
  <si>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</si>
  <si>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</si>
  <si>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</si>
  <si>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</si>
  <si>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</si>
  <si>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</si>
  <si>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</si>
  <si>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</si>
  <si>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</si>
  <si>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</si>
  <si>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</si>
  <si>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</si>
  <si>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</si>
  <si>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</si>
  <si>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</si>
  <si>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</si>
  <si>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</si>
  <si>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</si>
  <si>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</si>
  <si>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</si>
  <si>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</si>
  <si>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</si>
  <si>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</si>
  <si>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</si>
  <si>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</si>
  <si>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</si>
  <si>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</si>
  <si>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</si>
  <si>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</si>
  <si>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</si>
  <si>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</si>
  <si>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</si>
  <si>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</si>
  <si>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</si>
  <si>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</si>
  <si>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</si>
  <si>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</si>
  <si>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</si>
  <si>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</si>
  <si>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</si>
  <si>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</si>
  <si>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</si>
  <si>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</si>
  <si>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</si>
  <si>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</si>
  <si>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</si>
  <si>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</si>
  <si>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</si>
  <si>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</si>
  <si>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</si>
  <si>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</si>
  <si>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</si>
  <si>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</si>
  <si>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</si>
  <si>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</si>
  <si>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</si>
  <si>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</si>
  <si>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</si>
  <si>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</si>
  <si>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</si>
  <si>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</si>
  <si>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</si>
  <si>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</si>
  <si>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</si>
  <si>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</si>
  <si>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</si>
  <si>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</si>
  <si>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</si>
  <si>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</si>
  <si>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</si>
  <si>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</si>
  <si>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</si>
  <si>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</si>
  <si>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</si>
  <si>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</si>
  <si>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</si>
  <si>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</si>
  <si>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</si>
  <si>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</si>
  <si>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</si>
  <si>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</si>
  <si>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</si>
  <si>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</si>
  <si>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</si>
  <si>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</si>
  <si>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</si>
  <si>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</si>
  <si>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</si>
  <si>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</si>
  <si>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</si>
  <si>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</si>
  <si>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</si>
  <si>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</si>
  <si>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</si>
  <si>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</si>
  <si>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</si>
  <si>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</si>
  <si>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</si>
  <si>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</si>
  <si>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</si>
  <si>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</si>
  <si>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</si>
  <si>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</si>
  <si>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</si>
  <si>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</si>
  <si>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</si>
  <si>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</si>
  <si>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</si>
  <si>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</si>
  <si>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</si>
  <si>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</si>
  <si>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</si>
  <si>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</si>
  <si>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</si>
  <si>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</si>
  <si>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</si>
  <si>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</si>
  <si>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</si>
  <si>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</si>
  <si>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</si>
  <si>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</si>
  <si>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</si>
  <si>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</si>
  <si>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</si>
  <si>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</si>
  <si>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</si>
  <si>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</si>
  <si>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</si>
  <si>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</si>
  <si>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</si>
  <si>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</si>
  <si>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</si>
  <si>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</si>
  <si>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</si>
  <si>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</si>
  <si>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</si>
  <si>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</si>
  <si>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</si>
  <si>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</si>
  <si>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</si>
  <si>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</si>
  <si>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</si>
  <si>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</si>
  <si>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</si>
  <si>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</si>
  <si>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</si>
  <si>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</si>
  <si>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</si>
  <si>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</si>
  <si>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</si>
  <si>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</si>
  <si>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</si>
  <si>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</si>
  <si>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</si>
  <si>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</si>
  <si>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</si>
  <si>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</si>
  <si>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</si>
  <si>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</si>
  <si>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</si>
  <si>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</si>
  <si>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</si>
  <si>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</si>
  <si>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</si>
  <si>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</si>
  <si>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</si>
  <si>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</si>
  <si>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</si>
  <si>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</si>
  <si>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</si>
  <si>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</si>
  <si>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</si>
  <si>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</si>
  <si>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</si>
  <si>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</si>
  <si>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</si>
  <si>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</si>
  <si>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</si>
  <si>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</si>
  <si>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</si>
  <si>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</si>
  <si>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</si>
  <si>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</si>
  <si>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</si>
  <si>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</si>
  <si>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</si>
  <si>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</si>
  <si>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</si>
  <si>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</si>
  <si>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</si>
  <si>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</si>
  <si>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</si>
  <si>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</si>
  <si>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</si>
  <si>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</si>
  <si>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</si>
  <si>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</si>
  <si>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</si>
  <si>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</si>
  <si>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</si>
  <si>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</si>
  <si>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</si>
  <si>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</si>
  <si>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</si>
  <si>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</si>
  <si>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</si>
  <si>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</si>
  <si>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</si>
  <si>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</si>
  <si>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</si>
  <si>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</si>
  <si>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</si>
  <si>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</si>
  <si>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</si>
  <si>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</si>
  <si>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</si>
  <si>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</si>
  <si>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</si>
  <si>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</si>
  <si>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</si>
  <si>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</si>
  <si>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</si>
  <si>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</si>
  <si>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</si>
  <si>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</si>
  <si>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</si>
  <si>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</si>
  <si>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</si>
  <si>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</si>
  <si>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</si>
  <si>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</si>
  <si>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</si>
  <si>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</si>
  <si>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</si>
  <si>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</si>
  <si>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</si>
  <si>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</si>
  <si>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</si>
  <si>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</si>
  <si>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</si>
  <si>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</si>
  <si>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</si>
  <si>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</si>
  <si>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</si>
  <si>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</si>
  <si>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</si>
  <si>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</si>
  <si>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</si>
  <si>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</si>
  <si>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</si>
  <si>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</si>
  <si>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</si>
  <si>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</si>
  <si>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</si>
  <si>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</si>
  <si>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</si>
  <si>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</si>
  <si>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</si>
  <si>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</si>
  <si>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</si>
  <si>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</si>
  <si>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</si>
  <si>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</si>
  <si>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</si>
  <si>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</si>
  <si>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</si>
  <si>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</si>
  <si>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</si>
  <si>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</si>
  <si>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</si>
  <si>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</si>
  <si>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</si>
  <si>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</si>
  <si>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</si>
  <si>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</si>
  <si>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</si>
  <si>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</si>
  <si>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</si>
  <si>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</si>
  <si>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</si>
  <si>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</si>
  <si>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</si>
  <si>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</si>
  <si>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</si>
  <si>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</si>
  <si>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</si>
  <si>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</si>
  <si>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</si>
  <si>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</si>
  <si>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</si>
  <si>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</si>
  <si>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</si>
  <si>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</si>
  <si>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</si>
  <si>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</si>
  <si>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</si>
  <si>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</si>
  <si>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</si>
  <si>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</si>
  <si>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</si>
  <si>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</si>
  <si>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</si>
  <si>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</si>
  <si>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</si>
  <si>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</si>
  <si>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</si>
  <si>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</si>
  <si>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</si>
  <si>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</si>
  <si>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</si>
  <si>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</si>
  <si>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</si>
  <si>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</si>
  <si>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</si>
  <si>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</si>
  <si>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</si>
  <si>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</si>
  <si>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</si>
  <si>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</si>
  <si>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</si>
  <si>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</si>
  <si>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</si>
  <si>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</si>
  <si>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</si>
  <si>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</si>
  <si>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</si>
  <si>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</si>
  <si>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</si>
  <si>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</si>
  <si>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</si>
  <si>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</si>
  <si>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</si>
  <si>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</si>
  <si>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</si>
  <si>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</si>
  <si>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</si>
  <si>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</si>
  <si>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</si>
  <si>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</si>
  <si>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</si>
  <si>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</si>
  <si>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</si>
  <si>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</si>
  <si>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</si>
  <si>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</si>
  <si>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</si>
  <si>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</si>
  <si>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</si>
  <si>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</si>
  <si>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</si>
  <si>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</si>
  <si>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</si>
  <si>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</si>
  <si>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</si>
  <si>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</si>
  <si>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</si>
  <si>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</si>
  <si>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</si>
  <si>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</si>
  <si>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</si>
  <si>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</si>
  <si>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</si>
  <si>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</si>
  <si>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</si>
  <si>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</si>
  <si>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</si>
  <si>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</si>
  <si>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</si>
  <si>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</si>
  <si>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</si>
  <si>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</si>
  <si>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</si>
  <si>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</si>
  <si>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</si>
  <si>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</si>
  <si>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</si>
  <si>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</si>
  <si>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</si>
  <si>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</si>
  <si>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</si>
  <si>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</si>
  <si>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</si>
  <si>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</si>
  <si>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</si>
  <si>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</si>
  <si>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</si>
  <si>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</si>
  <si>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</si>
  <si>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</si>
  <si>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</si>
  <si>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</si>
  <si>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</si>
  <si>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</si>
  <si>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</si>
  <si>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</si>
  <si>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</si>
  <si>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</si>
  <si>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</si>
  <si>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</si>
  <si>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</si>
  <si>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</si>
  <si>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</si>
  <si>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</si>
  <si>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</si>
  <si>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</si>
  <si>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</si>
  <si>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</si>
  <si>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</si>
  <si>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</si>
  <si>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</si>
  <si>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</si>
  <si>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</si>
  <si>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</si>
  <si>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</si>
  <si>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</si>
  <si>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</si>
  <si>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</si>
  <si>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</si>
  <si>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</si>
  <si>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</si>
  <si>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</si>
  <si>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</si>
  <si>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</si>
  <si>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</si>
  <si>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</si>
  <si>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</si>
  <si>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</si>
  <si>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</si>
  <si>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</si>
  <si>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</si>
  <si>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</si>
  <si>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</si>
  <si>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</si>
  <si>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</si>
  <si>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</si>
  <si>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</si>
  <si>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</si>
  <si>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</si>
  <si>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</si>
  <si>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</si>
  <si>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</si>
  <si>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</si>
  <si>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</si>
  <si>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</si>
  <si>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</si>
  <si>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</si>
  <si>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</si>
  <si>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</si>
  <si>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</si>
  <si>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</si>
  <si>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</si>
  <si>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</si>
  <si>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</si>
  <si>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</si>
  <si>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</si>
  <si>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</si>
  <si>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</si>
  <si>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</si>
  <si>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</si>
  <si>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</si>
  <si>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</si>
  <si>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</si>
  <si>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</si>
  <si>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</si>
  <si>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</si>
  <si>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</si>
  <si>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</si>
  <si>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</si>
  <si>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</si>
  <si>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</si>
  <si>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</si>
  <si>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</si>
  <si>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</si>
  <si>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</si>
  <si>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</si>
  <si>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</si>
  <si>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</si>
  <si>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</si>
  <si>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</si>
  <si>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</si>
  <si>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</si>
  <si>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</si>
  <si>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</si>
  <si>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</si>
  <si>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</si>
  <si>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</si>
  <si>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</si>
  <si>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</si>
  <si>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</si>
  <si>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</si>
  <si>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</si>
  <si>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</si>
  <si>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</si>
  <si>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</si>
  <si>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</si>
  <si>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</si>
  <si>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</si>
  <si>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</si>
  <si>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</si>
  <si>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</si>
  <si>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</si>
  <si>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</si>
  <si>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</si>
  <si>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</si>
  <si>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</si>
  <si>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</si>
  <si>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</si>
  <si>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Bill Summary</t>
  </si>
  <si>
    <t>Sum of Qty</t>
  </si>
  <si>
    <t>Sum of Price</t>
  </si>
  <si>
    <t>Date</t>
  </si>
  <si>
    <t>Default_Discount</t>
  </si>
  <si>
    <t>Spl_Discount</t>
  </si>
  <si>
    <t>Payment_Mode</t>
  </si>
  <si>
    <t>Cash</t>
  </si>
  <si>
    <t>UPI</t>
  </si>
  <si>
    <t>Net_Amt</t>
  </si>
  <si>
    <t>Cash+UPI</t>
  </si>
  <si>
    <t>Exchange &amp; Return</t>
  </si>
  <si>
    <t xml:space="preserve">Ref_No </t>
  </si>
  <si>
    <t>BIll_No</t>
  </si>
  <si>
    <t>Type</t>
  </si>
  <si>
    <t>Rate</t>
  </si>
  <si>
    <t>Return_Amt</t>
  </si>
  <si>
    <t>R0001</t>
  </si>
  <si>
    <t>Exchange</t>
  </si>
  <si>
    <t>R0002</t>
  </si>
  <si>
    <t>R0003</t>
  </si>
  <si>
    <t>R0004</t>
  </si>
  <si>
    <t>Return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</si>
  <si>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</si>
  <si>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</si>
  <si>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</si>
  <si>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</si>
  <si>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</si>
  <si>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</si>
  <si>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</si>
  <si>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</si>
  <si>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</si>
  <si>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</si>
  <si>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</si>
  <si>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</si>
  <si>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</si>
  <si>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</si>
  <si>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</si>
  <si>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</si>
  <si>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</si>
  <si>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</si>
  <si>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</si>
  <si>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</si>
  <si>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</si>
  <si>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</si>
  <si>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</si>
  <si>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</si>
  <si>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</si>
  <si>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</si>
  <si>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</si>
  <si>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</si>
  <si>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</si>
  <si>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</si>
  <si>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</si>
  <si>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</si>
  <si>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</si>
  <si>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</si>
  <si>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</si>
  <si>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</si>
  <si>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</si>
  <si>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 xml:space="preserve"> Daily Sales Overview</t>
  </si>
  <si>
    <t>Total Bills</t>
  </si>
  <si>
    <t>Total Qty sold</t>
  </si>
  <si>
    <t>Total Revenue</t>
  </si>
  <si>
    <t>Profit</t>
  </si>
  <si>
    <t>Cash Count</t>
  </si>
  <si>
    <t>Cash Amt</t>
  </si>
  <si>
    <t>UPI Count</t>
  </si>
  <si>
    <t>UPI  Amt</t>
  </si>
  <si>
    <t>Payment_LIst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</si>
</sst>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₹-449]\ #,##0.00"/>
    <numFmt numFmtId="166" formatCode="yyyy\-mm\-dd;@"/>
    <numFmt numFmtId="167" formatCode="&quot;$&quot;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rgb="FFFFFFFF"/>
      <name val="Century Gothic"/>
    </font>
    <font>
      <sz val="11"/>
      <color theme="1"/>
      <name val="Arial"/>
    </font>
    <font>
      <sz val="11"/>
      <color rgb="FF000000"/>
      <name val="Arial"/>
    </font>
    <font>
      <sz val="48"/>
      <color theme="0"/>
      <name val="Century Gothic"/>
    </font>
    <font>
      <sz val="11"/>
      <color theme="0"/>
      <name val="Arial"/>
    </font>
    <font>
      <sz val="48"/>
      <color theme="0"/>
      <name val="Arial"/>
    </font>
    <font>
      <sz val="48"/>
      <color theme="1"/>
      <name val="Arial"/>
    </font>
    <font>
      <sz val="11"/>
      <color theme="1"/>
      <name val="Arial"/>
      <scheme val="minor"/>
    </font>
    <font>
      <b/>
      <sz val="11"/>
      <color theme="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8" fillId="33" borderId="0" xfId="0" applyFont="1" applyFill="1" applyAlignment="1"/>
    <xf numFmtId="0" fontId="19" fillId="0" borderId="0" xfId="0" applyFont="1"/>
    <xf numFmtId="165" fontId="19" fillId="0" borderId="0" xfId="0" applyNumberFormat="1" applyFont="1"/>
    <xf numFmtId="1" fontId="19" fillId="0" borderId="0" xfId="0" applyNumberFormat="1" applyFont="1"/>
    <xf numFmtId="0" fontId="19" fillId="0" borderId="0" xfId="0" applyFont="1" applyAlignment="1">
      <alignment wrapText="1"/>
    </xf>
    <xf numFmtId="1" fontId="19" fillId="0" borderId="0" xfId="0" applyNumberFormat="1" applyFont="1" applyAlignment="1">
      <alignment wrapText="1"/>
    </xf>
    <xf numFmtId="14" fontId="19" fillId="0" borderId="0" xfId="0" applyNumberFormat="1" applyFont="1"/>
    <xf numFmtId="0" fontId="19" fillId="0" borderId="0" xfId="0" applyNumberFormat="1" applyFont="1"/>
    <xf numFmtId="166" fontId="19" fillId="0" borderId="0" xfId="0" applyNumberFormat="1" applyFont="1"/>
    <xf numFmtId="165" fontId="20" fillId="0" borderId="0" xfId="0" applyNumberFormat="1" applyFont="1" applyBorder="1" applyAlignment="1"/>
    <xf numFmtId="0" fontId="19" fillId="0" borderId="0" xfId="0" applyFont="1" applyBorder="1"/>
    <xf numFmtId="14" fontId="19" fillId="0" borderId="0" xfId="0" applyNumberFormat="1" applyFont="1" applyBorder="1"/>
    <xf numFmtId="1" fontId="19" fillId="0" borderId="0" xfId="0" applyNumberFormat="1" applyFont="1" applyBorder="1"/>
    <xf numFmtId="0" fontId="19" fillId="34" borderId="0" xfId="0" applyFont="1" applyFill="1"/>
    <xf numFmtId="0" fontId="19" fillId="33" borderId="0" xfId="0" applyFont="1" applyFill="1"/>
    <xf numFmtId="0" fontId="19" fillId="33" borderId="0" xfId="0" applyFont="1" applyFill="1" applyAlignment="1"/>
    <xf numFmtId="0" fontId="23" fillId="33" borderId="0" xfId="0" applyFont="1" applyFill="1" applyAlignment="1"/>
    <xf numFmtId="0" fontId="22" fillId="33" borderId="0" xfId="0" applyNumberFormat="1" applyFont="1" applyFill="1"/>
    <xf numFmtId="0" fontId="22" fillId="33" borderId="0" xfId="0" applyFont="1" applyFill="1"/>
    <xf numFmtId="0" fontId="19" fillId="33" borderId="0" xfId="0" applyFont="1" applyFill="1" applyAlignment="1">
      <alignment horizontal="center" vertical="top"/>
    </xf>
    <xf numFmtId="0" fontId="24" fillId="33" borderId="0" xfId="0" applyFont="1" applyFill="1" applyAlignment="1"/>
    <xf numFmtId="0" fontId="25" fillId="0" borderId="0" xfId="0" applyFont="1"/>
    <xf numFmtId="14" fontId="25" fillId="0" borderId="0" xfId="0" applyNumberFormat="1" applyFont="1"/>
    <xf numFmtId="0" fontId="25" fillId="0" borderId="0" xfId="0" applyNumberFormat="1" applyFont="1" applyAlignment="1"/>
    <xf numFmtId="1" fontId="25" fillId="0" borderId="0" xfId="0" applyNumberFormat="1" applyFont="1"/>
    <xf numFmtId="0" fontId="25" fillId="0" borderId="0" xfId="0" applyFont="1" applyBorder="1"/>
    <xf numFmtId="14" fontId="25" fillId="0" borderId="0" xfId="0" applyNumberFormat="1" applyFont="1" applyBorder="1"/>
    <xf numFmtId="0" fontId="25" fillId="0" borderId="0" xfId="0" applyFont="1" applyAlignment="1">
      <alignment wrapText="1"/>
    </xf>
    <xf numFmtId="1" fontId="25" fillId="0" borderId="0" xfId="0" applyNumberFormat="1" applyFont="1" applyBorder="1"/>
    <xf numFmtId="0" fontId="19" fillId="35" borderId="0" xfId="0" applyFont="1" applyFill="1"/>
    <xf numFmtId="0" fontId="19" fillId="34" borderId="0" xfId="0" applyFont="1" applyFill="1" applyAlignment="1">
      <alignment horizontal="center" vertical="top"/>
    </xf>
    <xf numFmtId="0" fontId="19" fillId="34" borderId="0" xfId="0" applyFont="1" applyFill="1" applyAlignment="1"/>
    <xf numFmtId="0" fontId="26" fillId="33" borderId="0" xfId="0" applyFont="1" applyFill="1"/>
    <xf numFmtId="0" fontId="26" fillId="33" borderId="0" xfId="0" applyFont="1" applyFill="1" applyAlignment="1">
      <alignment horizontal="center" vertical="top"/>
    </xf>
    <xf numFmtId="0" fontId="26" fillId="33" borderId="0" xfId="0" applyFont="1" applyFill="1" applyAlignment="1">
      <alignment horizontal="center" vertical="top" wrapText="1"/>
    </xf>
    <xf numFmtId="0" fontId="26" fillId="33" borderId="0" xfId="0" applyNumberFormat="1" applyFont="1" applyFill="1" applyAlignment="1">
      <alignment horizontal="center" vertical="top"/>
    </xf>
    <xf numFmtId="167" fontId="19" fillId="0" borderId="0" xfId="0" applyNumberFormat="1" applyFont="1" applyAlignment="1">
      <alignment wrapText="1"/>
    </xf>
    <xf numFmtId="165" fontId="19" fillId="0" borderId="0" xfId="0" applyNumberFormat="1" applyFont="1" applyAlignment="1">
      <alignment wrapText="1"/>
    </xf>
    <xf numFmtId="0" fontId="26" fillId="33" borderId="10" xfId="0" applyFont="1" applyFill="1" applyBorder="1"/>
    <xf numFmtId="14" fontId="19" fillId="0" borderId="10" xfId="0" applyNumberFormat="1" applyFont="1" applyBorder="1"/>
    <xf numFmtId="0" fontId="19" fillId="0" borderId="10" xfId="0" applyFont="1" applyBorder="1" applyAlignment="1">
      <alignment wrapText="1"/>
    </xf>
    <xf numFmtId="1" fontId="19" fillId="0" borderId="10" xfId="0" applyNumberFormat="1" applyFont="1" applyBorder="1"/>
    <xf numFmtId="165" fontId="19" fillId="0" borderId="10" xfId="0" applyNumberFormat="1" applyFont="1" applyBorder="1" applyAlignment="1">
      <alignment wrapText="1"/>
    </xf>
    <xf numFmtId="165" fontId="19" fillId="0" borderId="10" xfId="0" applyNumberFormat="1" applyFont="1" applyBorder="1"/>
    <xf numFmtId="0" fontId="19" fillId="0" borderId="10" xfId="0" applyFont="1" applyBorder="1"/>
    <xf numFmtId="0" fontId="18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28">
    <dxf>
      <font>
        <name val="Arial"/>
      </font>
    </dxf>
    <dxf>
      <font>
        <name val="Arial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</dxf>
    <dxf>
      <font>
        <name val="Arial"/>
      </font>
    </dxf>
    <dxf>
      <font>
        <name val="Arial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</dxf>
    <dxf>
      <font>
        <name val="Arial"/>
      </font>
      <numFmt numFmtId="165" formatCode="[$₹-449]\ #,##0.00"/>
    </dxf>
    <dxf>
      <font>
        <name val="Arial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1"/>
        </patternFill>
      </fill>
    </dxf>
    <dxf>
      <font>
        <name val="Arial"/>
      </font>
      <numFmt numFmtId="165" formatCode="[$₹-449]\ #,##0.00"/>
    </dxf>
    <dxf>
      <font>
        <name val="Arial"/>
      </font>
      <numFmt numFmtId="0" formatCode="General"/>
    </dxf>
    <dxf>
      <font>
        <name val="Arial"/>
      </font>
      <numFmt numFmtId="0" formatCode="General"/>
    </dxf>
    <dxf>
      <font>
        <name val="Arial"/>
      </font>
      <numFmt numFmtId="0" formatCode="General"/>
    </dxf>
    <dxf>
      <font>
        <name val="Arial"/>
      </font>
      <numFmt numFmtId="0" formatCode="General"/>
    </dxf>
    <dxf>
      <font>
        <name val="Arial"/>
      </font>
      <numFmt numFmtId="0" formatCode="General"/>
    </dxf>
    <dxf>
      <font>
        <name val="Arial"/>
      </font>
      <numFmt numFmtId="0" formatCode="General"/>
    </dxf>
    <dxf>
      <font>
        <name val="Arial"/>
      </font>
      <numFmt numFmtId="1" formatCode="0"/>
    </dxf>
    <dxf>
      <font>
        <name val="Arial"/>
      </font>
    </dxf>
    <dxf>
      <font>
        <name val="Arial"/>
      </font>
      <numFmt numFmtId="19" formatCode="m/d/yyyy"/>
    </dxf>
    <dxf>
      <font>
        <name val="Arial"/>
      </font>
    </dxf>
    <dxf>
      <font>
        <name val="Arial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</dxf>
    <dxf>
      <font>
        <name val="Arial"/>
      </font>
      <numFmt numFmtId="0" formatCode="General"/>
    </dxf>
    <dxf>
      <font>
        <name val="Arial"/>
      </font>
      <numFmt numFmtId="1" formatCode="0"/>
    </dxf>
    <dxf>
      <font>
        <name val="Arial"/>
      </font>
      <numFmt numFmtId="1" formatCode="0"/>
    </dxf>
    <dxf>
      <font>
        <name val="Arial"/>
      </font>
      <numFmt numFmtId="1" formatCode="0"/>
    </dxf>
    <dxf>
      <font>
        <name val="Arial"/>
      </font>
      <numFmt numFmtId="1" formatCode="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alignment horizontal="general" vertical="bottom" textRotation="0" wrapText="1" indent="0" justifyLastLine="0" shrinkToFit="0" readingOrder="0"/>
    </dxf>
    <dxf>
      <font>
        <name val="Arial"/>
      </font>
    </dxf>
    <dxf>
      <font>
        <name val="Arial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</font>
      <numFmt numFmtId="1" formatCode="0"/>
    </dxf>
    <dxf>
      <font>
        <name val="Arial"/>
      </font>
      <numFmt numFmtId="165" formatCode="[$₹-449]\ #,##0.00"/>
    </dxf>
    <dxf>
      <font>
        <name val="Arial"/>
        <scheme val="none"/>
      </font>
      <numFmt numFmtId="165" formatCode="[$₹-449]\ #,##0.0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b/>
        <color theme="0"/>
        <name val="Arial"/>
      </font>
      <fill>
        <patternFill patternType="solid">
          <fgColor indexed="64"/>
          <bgColor theme="1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numFmt numFmtId="165" formatCode="[$₹-449]\ #,##0.00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numFmt numFmtId="166" formatCode="yyyy\-mm\-dd;@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1019175</xdr:colOff>
      <xdr:row>0</xdr:row>
      <xdr:rowOff>1047750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69CF4-2265-3763-7567-59B59F6B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1019175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1038225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3EA60-7A2E-D617-B1D0-475C09FFB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1038225" cy="104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219075</xdr:colOff>
      <xdr:row>0</xdr:row>
      <xdr:rowOff>1019175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E2CD7-4D2C-0571-E71C-4C6936997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981075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257175</xdr:colOff>
      <xdr:row>0</xdr:row>
      <xdr:rowOff>1038225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86530-55A5-8727-85D1-BD1A69CC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1019175" cy="1038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247650</xdr:colOff>
      <xdr:row>0</xdr:row>
      <xdr:rowOff>1038225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0648F-4FCC-FB3C-A1F5-CB5AB860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1000125" cy="1038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0</xdr:row>
      <xdr:rowOff>1038225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F5623-9377-9DC6-B728-60202498D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1009650" cy="10382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26.555716319446" createdVersion="8" refreshedVersion="8" minRefreshableVersion="3" recordCount="2775" xr:uid="{90AF94DA-E642-4FFD-91FF-FF7E5680E4E5}">
  <cacheSource type="worksheet">
    <worksheetSource name="Sales_Entry"/>
  </cacheSource>
  <cacheFields count="11">
    <cacheField name="Bill_No" numFmtId="0">
      <sharedItems count="1156">
        <s v="B00001"/>
        <s v="B00002"/>
        <s v="B00003"/>
        <s v="B00004"/>
        <s v="B00005"/>
        <s v="B00006"/>
        <s v="B00007"/>
        <s v="B00008"/>
        <s v="B00009"/>
        <s v="B00010"/>
        <s v="B00011"/>
        <s v="B00012"/>
        <s v="B00013"/>
        <s v="B00014"/>
        <s v="B00015"/>
        <s v="B00016"/>
        <s v="B00017"/>
        <s v="B00018"/>
        <s v="B00019"/>
        <s v="B00020"/>
        <s v="B00021"/>
        <s v="B00022"/>
        <s v="B00023"/>
        <s v="B00024"/>
        <s v="B00025"/>
        <s v="B00026"/>
        <s v="B00027"/>
        <s v="B00028"/>
        <s v="B00029"/>
        <s v="B00030"/>
        <s v="B00031"/>
        <s v="B00032"/>
        <s v="B00033"/>
        <s v="B00034"/>
        <s v="B00035"/>
        <s v="B00036"/>
        <s v="B00037"/>
        <s v="B00038"/>
        <s v="B00039"/>
        <s v="B00040"/>
        <s v="B00041"/>
        <s v="B00042"/>
        <s v="B00043"/>
        <s v="B00044"/>
        <s v="B00045"/>
        <s v="B00046"/>
        <s v="B00047"/>
        <s v="B00048"/>
        <s v="B00049"/>
        <s v="B00050"/>
        <s v="B00051"/>
        <s v="B00052"/>
        <s v="B00053"/>
        <s v="B00054"/>
        <s v="B00055"/>
        <s v="B00056"/>
        <s v="B00057"/>
        <s v="B00058"/>
        <s v="B00059"/>
        <s v="B00060"/>
        <s v="B00061"/>
        <s v="B00062"/>
        <s v="B00063"/>
        <s v="B00064"/>
        <s v="B00065"/>
        <s v="B00066"/>
        <s v="B00067"/>
        <s v="B00068"/>
        <s v="B00069"/>
        <s v="B00070"/>
        <s v="B00071"/>
        <s v="B00072"/>
        <s v="B00073"/>
        <s v="B00074"/>
        <s v="B00075"/>
        <s v="B00076"/>
        <s v="B00077"/>
        <s v="B00078"/>
        <s v="B00079"/>
        <s v="B00080"/>
        <s v="B00081"/>
        <s v="B00082"/>
        <s v="B00083"/>
        <s v="B00084"/>
        <s v="B00085"/>
        <s v="B00086"/>
        <s v="B00087"/>
        <s v="B00088"/>
        <s v="B00089"/>
        <s v="B00090"/>
        <s v="B00091"/>
        <s v="B00092"/>
        <s v="B00093"/>
        <s v="B00094"/>
        <s v="B00095"/>
        <s v="B00096"/>
        <s v="B00097"/>
        <s v="B00098"/>
        <s v="B00099"/>
        <s v="B00100"/>
        <s v="B00101"/>
        <s v="B00102"/>
        <s v="B00103"/>
        <s v="B00104"/>
        <s v="B00105"/>
        <s v="B00106"/>
        <s v="B00107"/>
        <s v="B00108"/>
        <s v="B00109"/>
        <s v="B00110"/>
        <s v="B00111"/>
        <s v="B00112"/>
        <s v="B00113"/>
        <s v="B00114"/>
        <s v="B00115"/>
        <s v="B00116"/>
        <s v="B00117"/>
        <s v="B00118"/>
        <s v="B00119"/>
        <s v="B00120"/>
        <s v="B00121"/>
        <s v="B00122"/>
        <s v="B00123"/>
        <s v="B00124"/>
        <s v="B00125"/>
        <s v="B00126"/>
        <s v="B00127"/>
        <s v="B00128"/>
        <s v="B00129"/>
        <s v="B00130"/>
        <s v="B00131"/>
        <s v="B00132"/>
        <s v="B00133"/>
        <s v="B00134"/>
        <s v="B00135"/>
        <s v="B00136"/>
        <s v="B00137"/>
        <s v="B00138"/>
        <s v="B00139"/>
        <s v="B00140"/>
        <s v="B00141"/>
        <s v="B00142"/>
        <s v="B00143"/>
        <s v="B00144"/>
        <s v="B00145"/>
        <s v="B00146"/>
        <s v="B00147"/>
        <s v="B00148"/>
        <s v="B00149"/>
        <s v="B00150"/>
        <s v="B00151"/>
        <s v="B00152"/>
        <s v="B00153"/>
        <s v="B00154"/>
        <s v="B00155"/>
        <s v="B00156"/>
        <s v="B00157"/>
        <s v="B00158"/>
        <s v="B00159"/>
        <s v="B00160"/>
        <s v="B00161"/>
        <s v="B00162"/>
        <s v="B00163"/>
        <s v="B00164"/>
        <s v="B00165"/>
        <s v="B00166"/>
        <s v="B00167"/>
        <s v="B00168"/>
        <s v="B00169"/>
        <s v="B00170"/>
        <s v="B00171"/>
        <s v="B00172"/>
        <s v="B00173"/>
        <s v="B00174"/>
        <s v="B00175"/>
        <s v="B00176"/>
        <s v="B00177"/>
        <s v="B00178"/>
        <s v="B00179"/>
        <s v="B00180"/>
        <s v="B00181"/>
        <s v="B00182"/>
        <s v="B00183"/>
        <s v="B00184"/>
        <s v="B00185"/>
        <s v="B00186"/>
        <s v="B00187"/>
        <s v="B00188"/>
        <s v="B00189"/>
        <s v="B00190"/>
        <s v="B00191"/>
        <s v="B00192"/>
        <s v="B00193"/>
        <s v="B00194"/>
        <s v="B00195"/>
        <s v="B00196"/>
        <s v="B00197"/>
        <s v="B00198"/>
        <s v="B00199"/>
        <s v="B00200"/>
        <s v="B00201"/>
        <s v="B00202"/>
        <s v="B00203"/>
        <s v="B00204"/>
        <s v="B00205"/>
        <s v="B00206"/>
        <s v="B00207"/>
        <s v="B00208"/>
        <s v="B00209"/>
        <s v="B00210"/>
        <s v="B00211"/>
        <s v="B00212"/>
        <s v="B00213"/>
        <s v="B00214"/>
        <s v="B00215"/>
        <s v="B00216"/>
        <s v="B00217"/>
        <s v="B00218"/>
        <s v="B00219"/>
        <s v="B00220"/>
        <s v="B00221"/>
        <s v="B00222"/>
        <s v="B00223"/>
        <s v="B00224"/>
        <s v="B00225"/>
        <s v="B00226"/>
        <s v="B00227"/>
        <s v="B00228"/>
        <s v="B00229"/>
        <s v="B00230"/>
        <s v="B00231"/>
        <s v="B00232"/>
        <s v="B00233"/>
        <s v="B00234"/>
        <s v="B00235"/>
        <s v="B00236"/>
        <s v="B00237"/>
        <s v="B00238"/>
        <s v="B00239"/>
        <s v="B00240"/>
        <s v="B00241"/>
        <s v="B00242"/>
        <s v="B00243"/>
        <s v="B00244"/>
        <s v="B00245"/>
        <s v="B00246"/>
        <s v="B00247"/>
        <s v="B00248"/>
        <s v="B00249"/>
        <s v="B00250"/>
        <s v="B00251"/>
        <s v="B00252"/>
        <s v="B00253"/>
        <s v="B00254"/>
        <s v="B00255"/>
        <s v="B00256"/>
        <s v="B00257"/>
        <s v="B00258"/>
        <s v="B00259"/>
        <s v="B00260"/>
        <s v="B00261"/>
        <s v="B00262"/>
        <s v="B00263"/>
        <s v="B00264"/>
        <s v="B00265"/>
        <s v="B00266"/>
        <s v="B00267"/>
        <s v="B00268"/>
        <s v="B00269"/>
        <s v="B00270"/>
        <s v="B00271"/>
        <s v="B00272"/>
        <s v="B00273"/>
        <s v="B00274"/>
        <s v="B00275"/>
        <s v="B00276"/>
        <s v="B00277"/>
        <s v="B00278"/>
        <s v="B00279"/>
        <s v="B00280"/>
        <s v="B00281"/>
        <s v="B00282"/>
        <s v="B00283"/>
        <s v="B00284"/>
        <s v="B00285"/>
        <s v="B00286"/>
        <s v="B00287"/>
        <s v="B00288"/>
        <s v="B00289"/>
        <s v="B00290"/>
        <s v="B00291"/>
        <s v="B00292"/>
        <s v="B00293"/>
        <s v="B00294"/>
        <s v="B00295"/>
        <s v="B00296"/>
        <s v="B00297"/>
        <s v="B00298"/>
        <s v="B00299"/>
        <s v="B00300"/>
        <s v="B00301"/>
        <s v="B00302"/>
        <s v="B00303"/>
        <s v="B00304"/>
        <s v="B00305"/>
        <s v="B00306"/>
        <s v="B00307"/>
        <s v="B00308"/>
        <s v="B00309"/>
        <s v="B00310"/>
        <s v="B00311"/>
        <s v="B00312"/>
        <s v="B00313"/>
        <s v="B00314"/>
        <s v="B00315"/>
        <s v="B00316"/>
        <s v="B00317"/>
        <s v="B00318"/>
        <s v="B00319"/>
        <s v="B00320"/>
        <s v="B00321"/>
        <s v="B00322"/>
        <s v="B00323"/>
        <s v="B00324"/>
        <s v="B00325"/>
        <s v="B00326"/>
        <s v="B00327"/>
        <s v="B00328"/>
        <s v="B00329"/>
        <s v="B00330"/>
        <s v="B00331"/>
        <s v="B00332"/>
        <s v="B00333"/>
        <s v="B00334"/>
        <s v="B00335"/>
        <s v="B00336"/>
        <s v="B00337"/>
        <s v="B00338"/>
        <s v="B00339"/>
        <s v="B00340"/>
        <s v="B00341"/>
        <s v="B00342"/>
        <s v="B00343"/>
        <s v="B00344"/>
        <s v="B00345"/>
        <s v="B00346"/>
        <s v="B00347"/>
        <s v="B00348"/>
        <s v="B00349"/>
        <s v="B00350"/>
        <s v="B00351"/>
        <s v="B00352"/>
        <s v="B00353"/>
        <s v="B00354"/>
        <s v="B00355"/>
        <s v="B00356"/>
        <s v="B00357"/>
        <s v="B00358"/>
        <s v="B00359"/>
        <s v="B00360"/>
        <s v="B00361"/>
        <s v="B00362"/>
        <s v="B00363"/>
        <s v="B00364"/>
        <s v="B00365"/>
        <s v="B00366"/>
        <s v="B00367"/>
        <s v="B00368"/>
        <s v="B00369"/>
        <s v="B00370"/>
        <s v="B00371"/>
        <s v="B00372"/>
        <s v="B00373"/>
        <s v="B00374"/>
        <s v="B00375"/>
        <s v="B00376"/>
        <s v="B00377"/>
        <s v="B00378"/>
        <s v="B00379"/>
        <s v="B00380"/>
        <s v="B00381"/>
        <s v="B00382"/>
        <s v="B00383"/>
        <s v="B00384"/>
        <s v="B00385"/>
        <s v="B00386"/>
        <s v="B00387"/>
        <s v="B00388"/>
        <s v="B00389"/>
        <s v="B00390"/>
        <s v="B00391"/>
        <s v="B00392"/>
        <s v="B00393"/>
        <s v="B00394"/>
        <s v="B00395"/>
        <s v="B00396"/>
        <s v="B00397"/>
        <s v="B00398"/>
        <s v="B00399"/>
        <s v="B00400"/>
        <s v="B00401"/>
        <s v="B00402"/>
        <s v="B00403"/>
        <s v="B00404"/>
        <s v="B00405"/>
        <s v="B00406"/>
        <s v="B00407"/>
        <s v="B00408"/>
        <s v="B00409"/>
        <s v="B00410"/>
        <s v="B00411"/>
        <s v="B00412"/>
        <s v="B00413"/>
        <s v="B00414"/>
        <s v="B00415"/>
        <s v="B00416"/>
        <s v="B00417"/>
        <s v="B00418"/>
        <s v="B00419"/>
        <s v="B00420"/>
        <s v="B00421"/>
        <s v="B00422"/>
        <s v="B00423"/>
        <s v="B00424"/>
        <s v="B00425"/>
        <s v="B00426"/>
        <s v="B00427"/>
        <s v="B00428"/>
        <s v="B00429"/>
        <s v="B00430"/>
        <s v="B00431"/>
        <s v="B00432"/>
        <s v="B00433"/>
        <s v="B00434"/>
        <s v="B00435"/>
        <s v="B00436"/>
        <s v="B00437"/>
        <s v="B00438"/>
        <s v="B00439"/>
        <s v="B00440"/>
        <s v="B00441"/>
        <s v="B00442"/>
        <s v="B00443"/>
        <s v="B00444"/>
        <s v="B00445"/>
        <s v="B00446"/>
        <s v="B00447"/>
        <s v="B00448"/>
        <s v="B00449"/>
        <s v="B00450"/>
        <s v="B00451"/>
        <s v="B00452"/>
        <s v="B00453"/>
        <s v="B00454"/>
        <s v="B00455"/>
        <s v="B00456"/>
        <s v="B00457"/>
        <s v="B00458"/>
        <s v="B00459"/>
        <s v="B00460"/>
        <s v="B00461"/>
        <s v="B00462"/>
        <s v="B00463"/>
        <s v="B00464"/>
        <s v="B00465"/>
        <s v="B00466"/>
        <s v="B00467"/>
        <s v="B00468"/>
        <s v="B00469"/>
        <s v="B00470"/>
        <s v="B00471"/>
        <s v="B00472"/>
        <s v="B00473"/>
        <s v="B00474"/>
        <s v="B00475"/>
        <s v="B00476"/>
        <s v="B00477"/>
        <s v="B00478"/>
        <s v="B00479"/>
        <s v="B00480"/>
        <s v="B00481"/>
        <s v="B00482"/>
        <s v="B00483"/>
        <s v="B00484"/>
        <s v="B00485"/>
        <s v="B00486"/>
        <s v="B00487"/>
        <s v="B00488"/>
        <s v="B00489"/>
        <s v="B00490"/>
        <s v="B00491"/>
        <s v="B00492"/>
        <s v="B00493"/>
        <s v="B00494"/>
        <s v="B00495"/>
        <s v="B00496"/>
        <s v="B00497"/>
        <s v="B00498"/>
        <s v="B00499"/>
        <s v="B00500"/>
        <s v="B00501"/>
        <s v="B00502"/>
        <s v="B00503"/>
        <s v="B00504"/>
        <s v="B00505"/>
        <s v="B00506"/>
        <s v="B00507"/>
        <s v="B00508"/>
        <s v="B00509"/>
        <s v="B00510"/>
        <s v="B00511"/>
        <s v="B00512"/>
        <s v="B00513"/>
        <s v="B00514"/>
        <s v="B00515"/>
        <s v="B00516"/>
        <s v="B00517"/>
        <s v="B00518"/>
        <s v="B00519"/>
        <s v="B00520"/>
        <s v="B00521"/>
        <s v="B00522"/>
        <s v="B00523"/>
        <s v="B00524"/>
        <s v="B00525"/>
        <s v="B00526"/>
        <s v="B00527"/>
        <s v="B00528"/>
        <s v="B00529"/>
        <s v="B00530"/>
        <s v="B00531"/>
        <s v="B00532"/>
        <s v="B00533"/>
        <s v="B00534"/>
        <s v="B00535"/>
        <s v="B00536"/>
        <s v="B00537"/>
        <s v="B00538"/>
        <s v="B00539"/>
        <s v="B00540"/>
        <s v="B00541"/>
        <s v="B00542"/>
        <s v="B00543"/>
        <s v="B00544"/>
        <s v="B00545"/>
        <s v="B00546"/>
        <s v="B00547"/>
        <s v="B00548"/>
        <s v="B00549"/>
        <s v="B00550"/>
        <s v="B00551"/>
        <s v="B00552"/>
        <s v="B00553"/>
        <s v="B00554"/>
        <s v="B00555"/>
        <s v="B00556"/>
        <s v="B00557"/>
        <s v="B00558"/>
        <s v="B00559"/>
        <s v="B00560"/>
        <s v="B00561"/>
        <s v="B00562"/>
        <s v="B00563"/>
        <s v="B00564"/>
        <s v="B00565"/>
        <s v="B00566"/>
        <s v="B00567"/>
        <s v="B00568"/>
        <s v="B00569"/>
        <s v="B00570"/>
        <s v="B00571"/>
        <s v="B00572"/>
        <s v="B00573"/>
        <s v="B00574"/>
        <s v="B00575"/>
        <s v="B00576"/>
        <s v="B00577"/>
        <s v="B00578"/>
        <s v="B00579"/>
        <s v="B00580"/>
        <s v="B00581"/>
        <s v="B00582"/>
        <s v="B00583"/>
        <s v="B00584"/>
        <s v="B00585"/>
        <s v="B00586"/>
        <s v="B00587"/>
        <s v="B00588"/>
        <s v="B00589"/>
        <s v="B00590"/>
        <s v="B00591"/>
        <s v="B00592"/>
        <s v="B00593"/>
        <s v="B00594"/>
        <s v="B00595"/>
        <s v="B00596"/>
        <s v="B00597"/>
        <s v="B00598"/>
        <s v="B00599"/>
        <s v="B00600"/>
        <s v="B00601"/>
        <s v="B00602"/>
        <s v="B00603"/>
        <s v="B00604"/>
        <s v="B00605"/>
        <s v="B00606"/>
        <s v="B00607"/>
        <s v="B00608"/>
        <s v="B00609"/>
        <s v="B00610"/>
        <s v="B00611"/>
        <s v="B00612"/>
        <s v="B00613"/>
        <s v="B00614"/>
        <s v="B00615"/>
        <s v="B00616"/>
        <s v="B00617"/>
        <s v="B00618"/>
        <s v="B00619"/>
        <s v="B00620"/>
        <s v="B00621"/>
        <s v="B00622"/>
        <s v="B00623"/>
        <s v="B00624"/>
        <s v="B00625"/>
        <s v="B00626"/>
        <s v="B00627"/>
        <s v="B00628"/>
        <s v="B00629"/>
        <s v="B00630"/>
        <s v="B00631"/>
        <s v="B00632"/>
        <s v="B00633"/>
        <s v="B00634"/>
        <s v="B00635"/>
        <s v="B00636"/>
        <s v="B00637"/>
        <s v="B00638"/>
        <s v="B00639"/>
        <s v="B00640"/>
        <s v="B00641"/>
        <s v="B00642"/>
        <s v="B00643"/>
        <s v="B00644"/>
        <s v="B00645"/>
        <s v="B00646"/>
        <s v="B00647"/>
        <s v="B00648"/>
        <s v="B00649"/>
        <s v="B00650"/>
        <s v="B00651"/>
        <s v="B00652"/>
        <s v="B00653"/>
        <s v="B00654"/>
        <s v="B00655"/>
        <s v="B00656"/>
        <s v="B00657"/>
        <s v="B00658"/>
        <s v="B00659"/>
        <s v="B00660"/>
        <s v="B00661"/>
        <s v="B00662"/>
        <s v="B00663"/>
        <s v="B00664"/>
        <s v="B00665"/>
        <s v="B00666"/>
        <s v="B00667"/>
        <s v="B00668"/>
        <s v="B00669"/>
        <s v="B00670"/>
        <s v="B00671"/>
        <s v="B00672"/>
        <s v="B00673"/>
        <s v="B00674"/>
        <s v="B00675"/>
        <s v="B00676"/>
        <s v="B00677"/>
        <s v="B00678"/>
        <s v="B00679"/>
        <s v="B00680"/>
        <s v="B00681"/>
        <s v="B00682"/>
        <s v="B00683"/>
        <s v="B00684"/>
        <s v="B00685"/>
        <s v="B00686"/>
        <s v="B00687"/>
        <s v="B00688"/>
        <s v="B00689"/>
        <s v="B00690"/>
        <s v="B00691"/>
        <s v="B00692"/>
        <s v="B00693"/>
        <s v="B00694"/>
        <s v="B00695"/>
        <s v="B00696"/>
        <s v="B00697"/>
        <s v="B00698"/>
        <s v="B00699"/>
        <s v="B00700"/>
        <s v="B00701"/>
        <s v="B00702"/>
        <s v="B00703"/>
        <s v="B00704"/>
        <s v="B00705"/>
        <s v="B00706"/>
        <s v="B00707"/>
        <s v="B00708"/>
        <s v="B00709"/>
        <s v="B00710"/>
        <s v="B00711"/>
        <s v="B00712"/>
        <s v="B00713"/>
        <s v="B00714"/>
        <s v="B00715"/>
        <s v="B00716"/>
        <s v="B00717"/>
        <s v="B00718"/>
        <s v="B00719"/>
        <s v="B00720"/>
        <s v="B00721"/>
        <s v="B00722"/>
        <s v="B00723"/>
        <s v="B00724"/>
        <s v="B00725"/>
        <s v="B00726"/>
        <s v="B00727"/>
        <s v="B00728"/>
        <s v="B00729"/>
        <s v="B00730"/>
        <s v="B00731"/>
        <s v="B00732"/>
        <s v="B00733"/>
        <s v="B00734"/>
        <s v="B00735"/>
        <s v="B00736"/>
        <s v="B00737"/>
        <s v="B00738"/>
        <s v="B00739"/>
        <s v="B00740"/>
        <s v="B00741"/>
        <s v="B00742"/>
        <s v="B00743"/>
        <s v="B00744"/>
        <s v="B00745"/>
        <s v="B00746"/>
        <s v="B00747"/>
        <s v="B00748"/>
        <s v="B00749"/>
        <s v="B00750"/>
        <s v="B00751"/>
        <s v="B00752"/>
        <s v="B00753"/>
        <s v="B00754"/>
        <s v="B00755"/>
        <s v="B00756"/>
        <s v="B00757"/>
        <s v="B00758"/>
        <s v="B00759"/>
        <s v="B00760"/>
        <s v="B00761"/>
        <s v="B00762"/>
        <s v="B00763"/>
        <s v="B00764"/>
        <s v="B00765"/>
        <s v="B00766"/>
        <s v="B00767"/>
        <s v="B00768"/>
        <s v="B00769"/>
        <s v="B00770"/>
        <s v="B00771"/>
        <s v="B00772"/>
        <s v="B00773"/>
        <s v="B00774"/>
        <s v="B00775"/>
        <s v="B00776"/>
        <s v="B00777"/>
        <s v="B00778"/>
        <s v="B00779"/>
        <s v="B00780"/>
        <s v="B00781"/>
        <s v="B00782"/>
        <s v="B00783"/>
        <s v="B00784"/>
        <s v="B00785"/>
        <s v="B00786"/>
        <s v="B00787"/>
        <s v="B00788"/>
        <s v="B00789"/>
        <s v="B00790"/>
        <s v="B00791"/>
        <s v="B00792"/>
        <s v="B00793"/>
        <s v="B00794"/>
        <s v="B00795"/>
        <s v="B00796"/>
        <s v="B00797"/>
        <s v="B00798"/>
        <s v="B00799"/>
        <s v="B00800"/>
        <s v="B00801"/>
        <s v="B00802"/>
        <s v="B00803"/>
        <s v="B00804"/>
        <s v="B00805"/>
        <s v="B00806"/>
        <s v="B00807"/>
        <s v="B00808"/>
        <s v="B00809"/>
        <s v="B00810"/>
        <s v="B00811"/>
        <s v="B00812"/>
        <s v="B00813"/>
        <s v="B00814"/>
        <s v="B00815"/>
        <s v="B00816"/>
        <s v="B00817"/>
        <s v="B00818"/>
        <s v="B00819"/>
        <s v="B00820"/>
        <s v="B00821"/>
        <s v="B00822"/>
        <s v="B00823"/>
        <s v="B00824"/>
        <s v="B00825"/>
        <s v="B00826"/>
        <s v="B00827"/>
        <s v="B00828"/>
        <s v="B00829"/>
        <s v="B00830"/>
        <s v="B00831"/>
        <s v="B00832"/>
        <s v="B00833"/>
        <s v="B00834"/>
        <s v="B00835"/>
        <s v="B00836"/>
        <s v="B00837"/>
        <s v="B00838"/>
        <s v="B00839"/>
        <s v="B00840"/>
        <s v="B00841"/>
        <s v="B00842"/>
        <s v="B00843"/>
        <s v="B00844"/>
        <s v="B00845"/>
        <s v="B00846"/>
        <s v="B00847"/>
        <s v="B00848"/>
        <s v="B00849"/>
        <s v="B00850"/>
        <s v="B00851"/>
        <s v="B00852"/>
        <s v="B00853"/>
        <s v="B00854"/>
        <s v="B00855"/>
        <s v="B00856"/>
        <s v="B00857"/>
        <s v="B00858"/>
        <s v="B00859"/>
        <s v="B00860"/>
        <s v="B00861"/>
        <s v="B00862"/>
        <s v="B00863"/>
        <s v="B00864"/>
        <s v="B00865"/>
        <s v="B00866"/>
        <s v="B00867"/>
        <s v="B00868"/>
        <s v="B00869"/>
        <s v="B00870"/>
        <s v="B00871"/>
        <s v="B00872"/>
        <s v="B00873"/>
        <s v="B00874"/>
        <s v="B00875"/>
        <s v="B00876"/>
        <s v="B00877"/>
        <s v="B00878"/>
        <s v="B00879"/>
        <s v="B00880"/>
        <s v="B00881"/>
        <s v="B00882"/>
        <s v="B00883"/>
        <s v="B00884"/>
        <s v="B00885"/>
        <s v="B00886"/>
        <s v="B00887"/>
        <s v="B00888"/>
        <s v="B00889"/>
        <s v="B00890"/>
        <s v="B00891"/>
        <s v="B00892"/>
        <s v="B00893"/>
        <s v="B00894"/>
        <s v="B00895"/>
        <s v="B00896"/>
        <s v="B00897"/>
        <s v="B00898"/>
        <s v="B00899"/>
        <s v="B00900"/>
        <s v="B00901"/>
        <s v="B00902"/>
        <s v="B00903"/>
        <s v="B00904"/>
        <s v="B00905"/>
        <s v="B00906"/>
        <s v="B00907"/>
        <s v="B00908"/>
        <s v="B00909"/>
        <s v="B00910"/>
        <s v="B00911"/>
        <s v="B00912"/>
        <s v="B00913"/>
        <s v="B00914"/>
        <s v="B00915"/>
        <s v="B00916"/>
        <s v="B00917"/>
        <s v="B00918"/>
        <s v="B00919"/>
        <s v="B00920"/>
        <s v="B00921"/>
        <s v="B00922"/>
        <s v="B00923"/>
        <s v="B00924"/>
        <s v="B00925"/>
        <s v="B00926"/>
        <s v="B00927"/>
        <s v="B00928"/>
        <s v="B00929"/>
        <s v="B00930"/>
        <s v="B00931"/>
        <s v="B00932"/>
        <s v="B00933"/>
        <s v="B00934"/>
        <s v="B00935"/>
        <s v="B00936"/>
        <s v="B00937"/>
        <s v="B00938"/>
        <s v="B00939"/>
        <s v="B00940"/>
        <s v="B00941"/>
        <s v="B00942"/>
        <s v="B00943"/>
        <s v="B00944"/>
        <s v="B00945"/>
        <s v="B00946"/>
        <s v="B00947"/>
        <s v="B00948"/>
        <s v="B00949"/>
        <s v="B00950"/>
        <s v="B00951"/>
        <s v="B00952"/>
        <s v="B00953"/>
        <s v="B00954"/>
        <s v="B00955"/>
        <s v="B00956"/>
        <s v="B00957"/>
        <s v="B00958"/>
        <s v="B00959"/>
        <s v="B00960"/>
        <s v="B00961"/>
        <s v="B00962"/>
        <s v="B00963"/>
        <s v="B00964"/>
        <s v="B00965"/>
        <s v="B00966"/>
        <s v="B00967"/>
        <s v="B00968"/>
        <s v="B00969"/>
        <s v="B00970"/>
        <s v="B00971"/>
        <s v="B00972"/>
        <s v="B00973"/>
        <s v="B00974"/>
        <s v="B00975"/>
        <s v="B00976"/>
        <s v="B00977"/>
        <s v="B00978"/>
        <s v="B00979"/>
        <s v="B00980"/>
        <s v="B00981"/>
        <s v="B00982"/>
        <s v="B00983"/>
        <s v="B00984"/>
        <s v="B00985"/>
        <s v="B00986"/>
        <s v="B00987"/>
        <s v="B00988"/>
        <s v="B00989"/>
        <s v="B00990"/>
        <s v="B00991"/>
        <s v="B00992"/>
        <s v="B00993"/>
        <s v="B00994"/>
        <s v="B00995"/>
        <s v="B00996"/>
        <s v="B00997"/>
        <s v="B00998"/>
        <s v="B00999"/>
        <s v="B01000"/>
        <s v="B01001"/>
        <s v="B01002"/>
        <s v="B01003"/>
        <s v="B01004"/>
        <s v="B01005"/>
        <s v="B01006"/>
        <s v="B01007"/>
        <s v="B01008"/>
        <s v="B01009"/>
        <s v="B01010"/>
        <s v="B01011"/>
        <s v="B01012"/>
        <s v="B01013"/>
        <s v="B01014"/>
        <s v="B01015"/>
        <s v="B01016"/>
        <s v="B01017"/>
        <s v="B01018"/>
        <s v="B01019"/>
        <s v="B01020"/>
        <s v="B01021"/>
        <s v="B01022"/>
        <s v="B01023"/>
        <s v="B01024"/>
        <s v="B01025"/>
        <s v="B01026"/>
        <s v="B01027"/>
        <s v="B01028"/>
        <s v="B01029"/>
        <s v="B01030"/>
        <s v="B01031"/>
        <s v="B01032"/>
        <s v="B01033"/>
        <s v="B01034"/>
        <s v="B01035"/>
        <s v="B01036"/>
        <s v="B01037"/>
        <s v="B01038"/>
        <s v="B01039"/>
        <s v="B01040"/>
        <s v="B01041"/>
        <s v="B01042"/>
        <s v="B01043"/>
        <s v="B01044"/>
        <s v="B01045"/>
        <s v="B01046"/>
        <s v="B01047"/>
        <s v="B01048"/>
        <s v="B01049"/>
        <s v="B01050"/>
        <s v="B01051"/>
        <s v="B01052"/>
        <s v="B01053"/>
        <s v="B01054"/>
        <s v="B01055"/>
        <s v="B01056"/>
        <s v="B01057"/>
        <s v="B01058"/>
        <s v="B01059"/>
        <s v="B01060"/>
        <s v="B01061"/>
        <s v="B01062"/>
        <s v="B01063"/>
        <s v="B01064"/>
        <s v="B01065"/>
        <s v="B01066"/>
        <s v="B01067"/>
        <s v="B01068"/>
        <s v="B01069"/>
        <s v="B01070"/>
        <s v="B01071"/>
        <s v="B01072"/>
        <s v="B01073"/>
        <s v="B01074"/>
        <s v="B01075"/>
        <s v="B01076"/>
        <s v="B01077"/>
        <s v="B01078"/>
        <s v="B01079"/>
        <s v="B01080"/>
        <s v="B01081"/>
        <s v="B01082"/>
        <s v="B01083"/>
        <s v="B01084"/>
        <s v="B01085"/>
        <s v="B01086"/>
        <s v="B01087"/>
        <s v="B01088"/>
        <s v="B01089"/>
        <s v="B01090"/>
        <s v="B01091"/>
        <s v="B01092"/>
        <s v="B01093"/>
        <s v="B01094"/>
        <s v="B01095"/>
        <s v="B01096"/>
        <s v="B01097"/>
        <s v="B01098"/>
        <s v="B01099"/>
        <s v="B01100"/>
        <s v="B01101"/>
        <s v="B01102"/>
        <s v="B01103"/>
        <s v="B01104"/>
        <s v="B01105"/>
        <s v="B01106"/>
        <s v="B01107"/>
        <s v="B01108"/>
        <s v="B01109"/>
        <s v="B01110"/>
        <s v="B01111"/>
        <s v="B01112"/>
        <s v="B01113"/>
        <s v="B01114"/>
        <s v="B01115"/>
        <s v="B01116"/>
        <s v="B01117"/>
        <s v="B01118"/>
        <s v="B01119"/>
        <s v="B01120"/>
        <s v="B01121"/>
        <s v="B01122"/>
        <s v="B01123"/>
        <s v="B01124"/>
        <s v="B01125"/>
        <s v="B01126"/>
        <s v="B01127"/>
        <s v="B01128"/>
        <s v="B01129"/>
        <s v="B01130"/>
        <s v="B01131"/>
        <s v="B01132"/>
        <s v="B01133"/>
        <s v="B01134"/>
        <s v="B01135"/>
        <s v="B01136"/>
        <s v="B01137"/>
        <s v="B01138"/>
        <s v="B01139"/>
        <s v="B01140"/>
        <s v="B01141"/>
        <s v="B01142"/>
        <s v="B01143"/>
        <s v="B01144"/>
        <s v="B01145"/>
        <s v="B01146"/>
        <s v="B01147"/>
        <s v="B01148"/>
        <s v="B01149"/>
        <s v="B01150"/>
        <s v="B01151" u="1"/>
        <s v="B01152" u="1"/>
        <s v="B01153" u="1"/>
        <s v="B09999" u="1"/>
        <s v="B99999" u="1"/>
        <s v="Z23498" u="1"/>
      </sharedItems>
    </cacheField>
    <cacheField name="Bill_Date" numFmtId="14">
      <sharedItems containsSemiMixedTypes="0" containsNonDate="0" containsDate="1" containsString="0" minDate="2025-10-01T00:00:00" maxDate="2026-01-03T00:00:00" count="80"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 u="1"/>
      </sharedItems>
    </cacheField>
    <cacheField name="Product_Code" numFmtId="0">
      <sharedItems/>
    </cacheField>
    <cacheField name="Qty" numFmtId="1">
      <sharedItems containsSemiMixedTypes="0" containsString="0" containsNumber="1" containsInteger="1" minValue="1" maxValue="1"/>
    </cacheField>
    <cacheField name="Category" numFmtId="0">
      <sharedItems/>
    </cacheField>
    <cacheField name="Brand" numFmtId="0">
      <sharedItems/>
    </cacheField>
    <cacheField name="Style" numFmtId="0">
      <sharedItems/>
    </cacheField>
    <cacheField name="Fabric" numFmtId="0">
      <sharedItems/>
    </cacheField>
    <cacheField name="Size" numFmtId="0">
      <sharedItems containsMixedTypes="1" containsNumber="1" containsInteger="1" minValue="28" maxValue="44"/>
    </cacheField>
    <cacheField name="Color" numFmtId="0">
      <sharedItems/>
    </cacheField>
    <cacheField name="Price" numFmtId="165">
      <sharedItems containsSemiMixedTypes="0" containsString="0" containsNumber="1" containsInteger="1" minValue="10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5">
  <r>
    <x v="0"/>
    <x v="0"/>
    <s v="PNT1271"/>
    <n v="1"/>
    <s v="Pants"/>
    <s v="Peter England"/>
    <s v="Kurka"/>
    <s v="Lycra"/>
    <n v="40"/>
    <s v="White"/>
    <n v="710"/>
  </r>
  <r>
    <x v="1"/>
    <x v="0"/>
    <s v="SHT0332"/>
    <n v="1"/>
    <s v="Shirt"/>
    <s v="H&amp;M"/>
    <s v="Casual"/>
    <s v="Cotton"/>
    <s v="XL"/>
    <s v="Maroon"/>
    <n v="660"/>
  </r>
  <r>
    <x v="1"/>
    <x v="0"/>
    <s v="TSH0691"/>
    <n v="1"/>
    <s v="T-Shirt"/>
    <s v="Campus"/>
    <s v="Sleeveless"/>
    <s v="Cotton Blend"/>
    <s v="L"/>
    <s v="Maroon"/>
    <n v="720"/>
  </r>
  <r>
    <x v="2"/>
    <x v="0"/>
    <s v="SHT0327"/>
    <n v="1"/>
    <s v="Shirt"/>
    <s v="G Studio"/>
    <s v="Formal"/>
    <s v="Lycra"/>
    <s v="XL"/>
    <s v="Maroon"/>
    <n v="850"/>
  </r>
  <r>
    <x v="2"/>
    <x v="0"/>
    <s v="TSH0493"/>
    <n v="1"/>
    <s v="T-Shirt"/>
    <s v="Turkey"/>
    <s v="Half Sleeve"/>
    <s v="Cotton"/>
    <s v="M"/>
    <s v="Light Grey"/>
    <n v="400"/>
  </r>
  <r>
    <x v="2"/>
    <x v="0"/>
    <s v="SHT0206"/>
    <n v="1"/>
    <s v="Shirt"/>
    <s v="Zara"/>
    <s v="Casual"/>
    <s v="Cotton"/>
    <s v="L"/>
    <s v="Light Grey"/>
    <n v="780"/>
  </r>
  <r>
    <x v="2"/>
    <x v="0"/>
    <s v="JNS1037"/>
    <n v="1"/>
    <s v="Jeans"/>
    <s v="Pepe"/>
    <s v="Mom Fit"/>
    <s v="Denim"/>
    <n v="44"/>
    <s v="White"/>
    <n v="920"/>
  </r>
  <r>
    <x v="3"/>
    <x v="0"/>
    <s v="JNS1032"/>
    <n v="1"/>
    <s v="Jeans"/>
    <s v="Levis"/>
    <s v="Baggy"/>
    <s v="Denim"/>
    <n v="32"/>
    <s v="Mustard"/>
    <n v="1080"/>
  </r>
  <r>
    <x v="3"/>
    <x v="0"/>
    <s v="PNT1075"/>
    <n v="1"/>
    <s v="Pants"/>
    <s v="Raymond"/>
    <s v="Korean"/>
    <s v="Lycra"/>
    <n v="38"/>
    <s v="Brown"/>
    <n v="830"/>
  </r>
  <r>
    <x v="3"/>
    <x v="0"/>
    <s v="INW1372"/>
    <n v="1"/>
    <s v="Innerwear"/>
    <s v="Rupa"/>
    <s v="Boxer"/>
    <s v="Cotton"/>
    <s v="100-105"/>
    <s v="Rust"/>
    <n v="160"/>
  </r>
  <r>
    <x v="3"/>
    <x v="0"/>
    <s v="JNS0794"/>
    <n v="1"/>
    <s v="Jeans"/>
    <s v="Pepe"/>
    <s v="Jogger"/>
    <s v="Denim"/>
    <n v="32"/>
    <s v="Sky Blue"/>
    <n v="820"/>
  </r>
  <r>
    <x v="4"/>
    <x v="0"/>
    <s v="TSH0544"/>
    <n v="1"/>
    <s v="T-Shirt"/>
    <s v="Max"/>
    <s v="Half Sleeve"/>
    <s v="Cotton Blend"/>
    <s v="XL"/>
    <s v="Cream"/>
    <n v="340"/>
  </r>
  <r>
    <x v="4"/>
    <x v="0"/>
    <s v="PNT1343"/>
    <n v="1"/>
    <s v="Pants"/>
    <s v="Peter England"/>
    <s v="Korean"/>
    <s v="Lycra"/>
    <n v="34"/>
    <s v="Olive"/>
    <n v="790"/>
  </r>
  <r>
    <x v="5"/>
    <x v="0"/>
    <s v="TSH0663"/>
    <n v="1"/>
    <s v="T-Shirt"/>
    <s v="Roadster"/>
    <s v="Half Sleeve"/>
    <s v="Poly Cotton"/>
    <s v="M"/>
    <s v="Bottle Green"/>
    <n v="340"/>
  </r>
  <r>
    <x v="5"/>
    <x v="0"/>
    <s v="PNT1210"/>
    <n v="1"/>
    <s v="Pants"/>
    <s v="Van Heusen"/>
    <s v="Kurka"/>
    <s v="Lycra"/>
    <n v="36"/>
    <s v="Charcoal"/>
    <n v="870"/>
  </r>
  <r>
    <x v="5"/>
    <x v="0"/>
    <s v="PNT1094"/>
    <n v="1"/>
    <s v="Pants"/>
    <s v="Park Avenue"/>
    <s v="Jogger"/>
    <s v="Cotton Blend"/>
    <n v="44"/>
    <s v="Dark Green"/>
    <n v="770"/>
  </r>
  <r>
    <x v="5"/>
    <x v="0"/>
    <s v="TSH0729"/>
    <n v="1"/>
    <s v="T-Shirt"/>
    <s v="Turkey"/>
    <s v="Sleeveless"/>
    <s v="Poly Cotton"/>
    <s v="XXL"/>
    <s v="Peach"/>
    <n v="750"/>
  </r>
  <r>
    <x v="6"/>
    <x v="0"/>
    <s v="SHT0228"/>
    <n v="1"/>
    <s v="Shirt"/>
    <s v="L7"/>
    <s v="Casual"/>
    <s v="Cotton"/>
    <s v="XXL"/>
    <s v="Dark Green"/>
    <n v="680"/>
  </r>
  <r>
    <x v="7"/>
    <x v="0"/>
    <s v="PNT1323"/>
    <n v="1"/>
    <s v="Pants"/>
    <s v="Van Heusen"/>
    <s v="Polofit"/>
    <s v="Lycra"/>
    <n v="28"/>
    <s v="Cream"/>
    <n v="830"/>
  </r>
  <r>
    <x v="7"/>
    <x v="0"/>
    <s v="PNT1257"/>
    <n v="1"/>
    <s v="Pants"/>
    <s v="Van Heusen"/>
    <s v="Boot Cut"/>
    <s v="Cotton Blend"/>
    <n v="30"/>
    <s v="White"/>
    <n v="780"/>
  </r>
  <r>
    <x v="7"/>
    <x v="0"/>
    <s v="INW1415"/>
    <n v="1"/>
    <s v="Innerwear"/>
    <s v="Jockey"/>
    <s v="Boxer"/>
    <s v="Cotton"/>
    <s v="105-110"/>
    <s v="Grey"/>
    <n v="170"/>
  </r>
  <r>
    <x v="7"/>
    <x v="0"/>
    <s v="INW1605"/>
    <n v="1"/>
    <s v="Innerwear"/>
    <s v="Rupa"/>
    <s v="Boxer"/>
    <s v="Cotton"/>
    <s v="75-80"/>
    <s v="Beige"/>
    <n v="150"/>
  </r>
  <r>
    <x v="8"/>
    <x v="0"/>
    <s v="SHT0261"/>
    <n v="1"/>
    <s v="Shirt"/>
    <s v="British"/>
    <s v="Casual"/>
    <s v="Polyester"/>
    <s v="XXL"/>
    <s v="White"/>
    <n v="710"/>
  </r>
  <r>
    <x v="9"/>
    <x v="0"/>
    <s v="SHT0254"/>
    <n v="1"/>
    <s v="Shirt"/>
    <s v="Luke &amp; Burg"/>
    <s v="Partywear"/>
    <s v="Polyester"/>
    <s v="XL"/>
    <s v="Mustard"/>
    <n v="780"/>
  </r>
  <r>
    <x v="9"/>
    <x v="0"/>
    <s v="INW1418"/>
    <n v="1"/>
    <s v="Innerwear"/>
    <s v="Jockey"/>
    <s v="Boxer"/>
    <s v="Cotton Blend"/>
    <s v="100-105"/>
    <s v="Royal Blue"/>
    <n v="130"/>
  </r>
  <r>
    <x v="9"/>
    <x v="0"/>
    <s v="SHT0292"/>
    <n v="1"/>
    <s v="Shirt"/>
    <s v="H&amp;M"/>
    <s v="Casual"/>
    <s v="Cotton"/>
    <s v="XL"/>
    <s v="Wine"/>
    <n v="760"/>
  </r>
  <r>
    <x v="9"/>
    <x v="0"/>
    <s v="TSH0746"/>
    <n v="1"/>
    <s v="T-Shirt"/>
    <s v="Urban Monkey"/>
    <s v="3/4 Sleeve"/>
    <s v="Cotton Blend"/>
    <s v="XL"/>
    <s v="Light Grey"/>
    <n v="380"/>
  </r>
  <r>
    <x v="10"/>
    <x v="0"/>
    <s v="SHT0330"/>
    <n v="1"/>
    <s v="Shirt"/>
    <s v="L7"/>
    <s v="Formal"/>
    <s v="Lycra"/>
    <s v="XXL"/>
    <s v="Dark Green"/>
    <n v="830"/>
  </r>
  <r>
    <x v="11"/>
    <x v="0"/>
    <s v="INW1588"/>
    <n v="1"/>
    <s v="Innerwear"/>
    <s v="Dollar"/>
    <s v="V-Cut"/>
    <s v="Cotton Blend"/>
    <s v="80-85"/>
    <s v="Beige"/>
    <n v="190"/>
  </r>
  <r>
    <x v="11"/>
    <x v="0"/>
    <s v="TSH0699"/>
    <n v="1"/>
    <s v="T-Shirt"/>
    <s v="Turkey"/>
    <s v="Hoodie"/>
    <s v="Poly Cotton"/>
    <s v="M"/>
    <s v="Wine"/>
    <n v="680"/>
  </r>
  <r>
    <x v="12"/>
    <x v="0"/>
    <s v="TSH0461"/>
    <n v="1"/>
    <s v="T-Shirt"/>
    <s v="Thailand"/>
    <s v="Full Sleeve"/>
    <s v="Poly Cotton"/>
    <s v="XXL"/>
    <s v="Wine"/>
    <n v="680"/>
  </r>
  <r>
    <x v="12"/>
    <x v="0"/>
    <s v="PNT1309"/>
    <n v="1"/>
    <s v="Pants"/>
    <s v="Park Avenue"/>
    <s v="Kurka"/>
    <s v="Lycra"/>
    <n v="34"/>
    <s v="Rust"/>
    <n v="950"/>
  </r>
  <r>
    <x v="13"/>
    <x v="0"/>
    <s v="JNS1066"/>
    <n v="1"/>
    <s v="Jeans"/>
    <s v="Pepe"/>
    <s v="Baggy"/>
    <s v="Denim"/>
    <n v="32"/>
    <s v="Cream"/>
    <n v="1100"/>
  </r>
  <r>
    <x v="13"/>
    <x v="0"/>
    <s v="TSH0729"/>
    <n v="1"/>
    <s v="T-Shirt"/>
    <s v="Turkey"/>
    <s v="Sleeveless"/>
    <s v="Poly Cotton"/>
    <s v="XXL"/>
    <s v="Peach"/>
    <n v="750"/>
  </r>
  <r>
    <x v="13"/>
    <x v="0"/>
    <s v="JNS0984"/>
    <n v="1"/>
    <s v="Jeans"/>
    <s v="Denim Pro"/>
    <s v="Mom Fit"/>
    <s v="Denim"/>
    <n v="30"/>
    <s v="Royal Blue"/>
    <n v="980"/>
  </r>
  <r>
    <x v="14"/>
    <x v="0"/>
    <s v="SHT0247"/>
    <n v="1"/>
    <s v="Shirt"/>
    <s v="Luke &amp; Burg"/>
    <s v="Casual"/>
    <s v="Cotton Blend"/>
    <s v="S"/>
    <s v="Teal"/>
    <n v="860"/>
  </r>
  <r>
    <x v="14"/>
    <x v="0"/>
    <s v="PNT1093"/>
    <n v="1"/>
    <s v="Pants"/>
    <s v="Van Heusen"/>
    <s v="Kurka"/>
    <s v="Lycra"/>
    <n v="34"/>
    <s v="Maroon"/>
    <n v="850"/>
  </r>
  <r>
    <x v="15"/>
    <x v="0"/>
    <s v="TSH0580"/>
    <n v="1"/>
    <s v="T-Shirt"/>
    <s v="Turkey"/>
    <s v="Half Sleeve"/>
    <s v="Poly Cotton"/>
    <s v="XL"/>
    <s v="Brown"/>
    <n v="700"/>
  </r>
  <r>
    <x v="15"/>
    <x v="0"/>
    <s v="JNS0889"/>
    <n v="1"/>
    <s v="Jeans"/>
    <s v="Denim Pro"/>
    <s v="Mom Fit"/>
    <s v="Denim"/>
    <n v="36"/>
    <s v="Brown"/>
    <n v="1040"/>
  </r>
  <r>
    <x v="15"/>
    <x v="0"/>
    <s v="INW1424"/>
    <n v="1"/>
    <s v="Innerwear"/>
    <s v="Dollar"/>
    <s v="V-Cut"/>
    <s v="Cotton Blend"/>
    <s v="75-80"/>
    <s v="Sky Blue"/>
    <n v="180"/>
  </r>
  <r>
    <x v="16"/>
    <x v="0"/>
    <s v="SHT0063"/>
    <n v="1"/>
    <s v="Shirt"/>
    <s v="Thailand"/>
    <s v="Formal"/>
    <s v="Cotton"/>
    <s v="XXL"/>
    <s v="Bottle Green"/>
    <n v="690"/>
  </r>
  <r>
    <x v="16"/>
    <x v="0"/>
    <s v="TSH0425"/>
    <n v="1"/>
    <s v="T-Shirt"/>
    <s v="Roadster"/>
    <s v="Half Sleeve"/>
    <s v="Cotton Blend"/>
    <s v="S"/>
    <s v="Peach"/>
    <n v="530"/>
  </r>
  <r>
    <x v="16"/>
    <x v="0"/>
    <s v="INW1652"/>
    <n v="1"/>
    <s v="Innerwear"/>
    <s v="Dollar"/>
    <s v="V-Cut"/>
    <s v="Cotton"/>
    <s v="105-110"/>
    <s v="Light Grey"/>
    <n v="130"/>
  </r>
  <r>
    <x v="16"/>
    <x v="0"/>
    <s v="TSH0531"/>
    <n v="1"/>
    <s v="T-Shirt"/>
    <s v="Max"/>
    <s v="Sleeveless"/>
    <s v="Cotton Blend"/>
    <s v="L"/>
    <s v="Dark Green"/>
    <n v="330"/>
  </r>
  <r>
    <x v="17"/>
    <x v="1"/>
    <s v="INW1563"/>
    <n v="1"/>
    <s v="Innerwear"/>
    <s v="Rupa"/>
    <s v="Boxer"/>
    <s v="Cotton Blend"/>
    <s v="90-100"/>
    <s v="Maroon"/>
    <n v="180"/>
  </r>
  <r>
    <x v="18"/>
    <x v="1"/>
    <s v="JNS0982"/>
    <n v="1"/>
    <s v="Jeans"/>
    <s v="Levis"/>
    <s v="Baggy"/>
    <s v="Denim"/>
    <n v="36"/>
    <s v="Beige"/>
    <n v="1010"/>
  </r>
  <r>
    <x v="18"/>
    <x v="1"/>
    <s v="TSH0386"/>
    <n v="1"/>
    <s v="T-Shirt"/>
    <s v="Zara"/>
    <s v="Half Sleeve"/>
    <s v="Cotton Blend"/>
    <s v="XL"/>
    <s v="Teal"/>
    <n v="280"/>
  </r>
  <r>
    <x v="18"/>
    <x v="1"/>
    <s v="TSH0493"/>
    <n v="1"/>
    <s v="T-Shirt"/>
    <s v="Turkey"/>
    <s v="Half Sleeve"/>
    <s v="Cotton"/>
    <s v="M"/>
    <s v="Light Grey"/>
    <n v="400"/>
  </r>
  <r>
    <x v="19"/>
    <x v="1"/>
    <s v="TSH0579"/>
    <n v="1"/>
    <s v="T-Shirt"/>
    <s v="Urban Monkey"/>
    <s v="Full Sleeve"/>
    <s v="Cotton"/>
    <s v="XXL"/>
    <s v="Rust"/>
    <n v="580"/>
  </r>
  <r>
    <x v="19"/>
    <x v="1"/>
    <s v="JNS0948"/>
    <n v="1"/>
    <s v="Jeans"/>
    <s v="Locomotive"/>
    <s v="Jogger"/>
    <s v="Denim"/>
    <n v="40"/>
    <s v="Teal"/>
    <n v="880"/>
  </r>
  <r>
    <x v="19"/>
    <x v="1"/>
    <s v="INW1468"/>
    <n v="1"/>
    <s v="Innerwear"/>
    <s v="Rupa"/>
    <s v="Boxer"/>
    <s v="Cotton"/>
    <s v="105-110"/>
    <s v="Brown"/>
    <n v="110"/>
  </r>
  <r>
    <x v="20"/>
    <x v="1"/>
    <s v="SHT0043"/>
    <n v="1"/>
    <s v="Shirt"/>
    <s v="G Studio"/>
    <s v="Casual"/>
    <s v="Cotton"/>
    <s v="XXL"/>
    <s v="Charcoal"/>
    <n v="870"/>
  </r>
  <r>
    <x v="21"/>
    <x v="1"/>
    <s v="PNT1231"/>
    <n v="1"/>
    <s v="Pants"/>
    <s v="Louis Philippe"/>
    <s v="Kurka"/>
    <s v="Lycra"/>
    <n v="34"/>
    <s v="Light Grey"/>
    <n v="820"/>
  </r>
  <r>
    <x v="21"/>
    <x v="1"/>
    <s v="TSH0421"/>
    <n v="1"/>
    <s v="T-Shirt"/>
    <s v="Zara"/>
    <s v="Full Sleeve"/>
    <s v="Cotton Blend"/>
    <s v="S"/>
    <s v="Olive"/>
    <n v="430"/>
  </r>
  <r>
    <x v="21"/>
    <x v="1"/>
    <s v="TSH0706"/>
    <n v="1"/>
    <s v="T-Shirt"/>
    <s v="Turkey"/>
    <s v="Hoodie"/>
    <s v="Cotton Blend"/>
    <s v="L"/>
    <s v="Teal"/>
    <n v="480"/>
  </r>
  <r>
    <x v="22"/>
    <x v="1"/>
    <s v="PNT1137"/>
    <n v="1"/>
    <s v="Pants"/>
    <s v="Louis Philippe"/>
    <s v="Korean"/>
    <s v="Lycra"/>
    <n v="30"/>
    <s v="Peach"/>
    <n v="900"/>
  </r>
  <r>
    <x v="22"/>
    <x v="1"/>
    <s v="SHT0253"/>
    <n v="1"/>
    <s v="Shirt"/>
    <s v="Zara"/>
    <s v="Partywear"/>
    <s v="Cotton Blend"/>
    <s v="L"/>
    <s v="Sky Blue"/>
    <n v="760"/>
  </r>
  <r>
    <x v="22"/>
    <x v="1"/>
    <s v="TSH0769"/>
    <n v="1"/>
    <s v="T-Shirt"/>
    <s v="Thailand"/>
    <s v="3/4 Sleeve"/>
    <s v="Poly Cotton"/>
    <s v="XXL"/>
    <s v="Beige"/>
    <n v="400"/>
  </r>
  <r>
    <x v="22"/>
    <x v="1"/>
    <s v="TSH0631"/>
    <n v="1"/>
    <s v="T-Shirt"/>
    <s v="Roadster"/>
    <s v="Full Sleeve"/>
    <s v="Poly Cotton"/>
    <s v="XL"/>
    <s v="Mustard"/>
    <n v="570"/>
  </r>
  <r>
    <x v="23"/>
    <x v="1"/>
    <s v="INW1601"/>
    <n v="1"/>
    <s v="Innerwear"/>
    <s v="Rupa"/>
    <s v="V-Cut"/>
    <s v="Cotton Blend"/>
    <s v="90-100"/>
    <s v="Maroon"/>
    <n v="140"/>
  </r>
  <r>
    <x v="23"/>
    <x v="1"/>
    <s v="TSH0680"/>
    <n v="1"/>
    <s v="T-Shirt"/>
    <s v="Campus"/>
    <s v="Sleeveless"/>
    <s v="Poly Cotton"/>
    <s v="L"/>
    <s v="Maroon"/>
    <n v="310"/>
  </r>
  <r>
    <x v="23"/>
    <x v="1"/>
    <s v="JNS1038"/>
    <n v="1"/>
    <s v="Jeans"/>
    <s v="Levis"/>
    <s v="Baggy"/>
    <s v="Denim"/>
    <n v="42"/>
    <s v="Peach"/>
    <n v="960"/>
  </r>
  <r>
    <x v="24"/>
    <x v="1"/>
    <s v="INW1528"/>
    <n v="1"/>
    <s v="Innerwear"/>
    <s v="Dollar"/>
    <s v="V-Cut"/>
    <s v="Cotton"/>
    <s v="90-100"/>
    <s v="Black"/>
    <n v="100"/>
  </r>
  <r>
    <x v="24"/>
    <x v="1"/>
    <s v="INW1531"/>
    <n v="1"/>
    <s v="Innerwear"/>
    <s v="Dollar"/>
    <s v="V-Cut"/>
    <s v="Cotton Blend"/>
    <s v="85-90"/>
    <s v="Beige"/>
    <n v="110"/>
  </r>
  <r>
    <x v="25"/>
    <x v="1"/>
    <s v="TSH0579"/>
    <n v="1"/>
    <s v="T-Shirt"/>
    <s v="Urban Monkey"/>
    <s v="Full Sleeve"/>
    <s v="Cotton"/>
    <s v="XXL"/>
    <s v="Rust"/>
    <n v="580"/>
  </r>
  <r>
    <x v="25"/>
    <x v="1"/>
    <s v="TSH0571"/>
    <n v="1"/>
    <s v="T-Shirt"/>
    <s v="Zara"/>
    <s v="Full Sleeve"/>
    <s v="Poly Cotton"/>
    <s v="M"/>
    <s v="Charcoal"/>
    <n v="480"/>
  </r>
  <r>
    <x v="25"/>
    <x v="1"/>
    <s v="SHT0045"/>
    <n v="1"/>
    <s v="Shirt"/>
    <s v="Thailand"/>
    <s v="Casual"/>
    <s v="Lycra"/>
    <s v="L"/>
    <s v="Cream"/>
    <n v="720"/>
  </r>
  <r>
    <x v="26"/>
    <x v="1"/>
    <s v="SHT0055"/>
    <n v="1"/>
    <s v="Shirt"/>
    <s v="British"/>
    <s v="Partywear"/>
    <s v="Lycra"/>
    <s v="XL"/>
    <s v="Maroon"/>
    <n v="930"/>
  </r>
  <r>
    <x v="26"/>
    <x v="1"/>
    <s v="TSH0696"/>
    <n v="1"/>
    <s v="T-Shirt"/>
    <s v="Roadster"/>
    <s v="Sleeveless"/>
    <s v="Poly Cotton"/>
    <s v="M"/>
    <s v="Teal"/>
    <n v="600"/>
  </r>
  <r>
    <x v="26"/>
    <x v="1"/>
    <s v="JNS0801"/>
    <n v="1"/>
    <s v="Jeans"/>
    <s v="Denim Pro"/>
    <s v="Mom Fit"/>
    <s v="Denim"/>
    <n v="40"/>
    <s v="Brown"/>
    <n v="960"/>
  </r>
  <r>
    <x v="27"/>
    <x v="1"/>
    <s v="SHT0088"/>
    <n v="1"/>
    <s v="Shirt"/>
    <s v="Luke &amp; Burg"/>
    <s v="Formal"/>
    <s v="Polyester"/>
    <s v="M"/>
    <s v="White"/>
    <n v="660"/>
  </r>
  <r>
    <x v="28"/>
    <x v="1"/>
    <s v="TSH0413"/>
    <n v="1"/>
    <s v="T-Shirt"/>
    <s v="Turkey"/>
    <s v="Hoodie"/>
    <s v="Cotton"/>
    <s v="L"/>
    <s v="Dark Green"/>
    <n v="580"/>
  </r>
  <r>
    <x v="28"/>
    <x v="1"/>
    <s v="TSH0552"/>
    <n v="1"/>
    <s v="T-Shirt"/>
    <s v="Thailand"/>
    <s v="3/4 Sleeve"/>
    <s v="Poly Cotton"/>
    <s v="S"/>
    <s v="Navy Blue"/>
    <n v="640"/>
  </r>
  <r>
    <x v="28"/>
    <x v="1"/>
    <s v="SHT0038"/>
    <n v="1"/>
    <s v="Shirt"/>
    <s v="Luke &amp; Burg"/>
    <s v="Formal"/>
    <s v="Lycra"/>
    <s v="XL"/>
    <s v="Black"/>
    <n v="940"/>
  </r>
  <r>
    <x v="29"/>
    <x v="1"/>
    <s v="PNT1275"/>
    <n v="1"/>
    <s v="Pants"/>
    <s v="Park Avenue"/>
    <s v="Boot Cut"/>
    <s v="Poly Viscose"/>
    <n v="42"/>
    <s v="Maroon"/>
    <n v="750"/>
  </r>
  <r>
    <x v="30"/>
    <x v="1"/>
    <s v="TSH0690"/>
    <n v="1"/>
    <s v="T-Shirt"/>
    <s v="Max"/>
    <s v="Full Sleeve"/>
    <s v="Cotton"/>
    <s v="L"/>
    <s v="Charcoal"/>
    <n v="440"/>
  </r>
  <r>
    <x v="30"/>
    <x v="1"/>
    <s v="PNT1151"/>
    <n v="1"/>
    <s v="Pants"/>
    <s v="Park Avenue"/>
    <s v="Boot Cut"/>
    <s v="Poly Viscose"/>
    <n v="28"/>
    <s v="Grey"/>
    <n v="870"/>
  </r>
  <r>
    <x v="30"/>
    <x v="1"/>
    <s v="SHT0029"/>
    <n v="1"/>
    <s v="Shirt"/>
    <s v="G Studio"/>
    <s v="Formal"/>
    <s v="Cotton"/>
    <s v="S"/>
    <s v="Charcoal"/>
    <n v="840"/>
  </r>
  <r>
    <x v="30"/>
    <x v="1"/>
    <s v="SHT0161"/>
    <n v="1"/>
    <s v="Shirt"/>
    <s v="Luke &amp; Burg"/>
    <s v="Formal"/>
    <s v="Lycra"/>
    <s v="M"/>
    <s v="Dark Green"/>
    <n v="750"/>
  </r>
  <r>
    <x v="31"/>
    <x v="1"/>
    <s v="TSH0442"/>
    <n v="1"/>
    <s v="T-Shirt"/>
    <s v="Max"/>
    <s v="3/4 Sleeve"/>
    <s v="Poly Cotton"/>
    <s v="S"/>
    <s v="Navy Blue"/>
    <n v="530"/>
  </r>
  <r>
    <x v="31"/>
    <x v="1"/>
    <s v="TSH0670"/>
    <n v="1"/>
    <s v="T-Shirt"/>
    <s v="Turkey"/>
    <s v="Hoodie"/>
    <s v="Poly Cotton"/>
    <s v="S"/>
    <s v="Navy Blue"/>
    <n v="280"/>
  </r>
  <r>
    <x v="31"/>
    <x v="1"/>
    <s v="JNS0982"/>
    <n v="1"/>
    <s v="Jeans"/>
    <s v="Levis"/>
    <s v="Baggy"/>
    <s v="Denim"/>
    <n v="36"/>
    <s v="Beige"/>
    <n v="1010"/>
  </r>
  <r>
    <x v="31"/>
    <x v="1"/>
    <s v="SHT0009"/>
    <n v="1"/>
    <s v="Shirt"/>
    <s v="L7"/>
    <s v="Formal"/>
    <s v="Lycra"/>
    <s v="L"/>
    <s v="Navy Blue"/>
    <n v="880"/>
  </r>
  <r>
    <x v="32"/>
    <x v="2"/>
    <s v="SHT0187"/>
    <n v="1"/>
    <s v="Shirt"/>
    <s v="L7"/>
    <s v="Casual"/>
    <s v="Polyester"/>
    <s v="L"/>
    <s v="Beige"/>
    <n v="780"/>
  </r>
  <r>
    <x v="32"/>
    <x v="2"/>
    <s v="INW1498"/>
    <n v="1"/>
    <s v="Innerwear"/>
    <s v="Dollar"/>
    <s v="Boxer"/>
    <s v="Cotton"/>
    <s v="85-90"/>
    <s v="Dark Green"/>
    <n v="130"/>
  </r>
  <r>
    <x v="32"/>
    <x v="2"/>
    <s v="INW1443"/>
    <n v="1"/>
    <s v="Innerwear"/>
    <s v="Rupa"/>
    <s v="Boxer"/>
    <s v="Cotton Blend"/>
    <s v="90-100"/>
    <s v="Royal Blue"/>
    <n v="150"/>
  </r>
  <r>
    <x v="32"/>
    <x v="2"/>
    <s v="TSH0687"/>
    <n v="1"/>
    <s v="T-Shirt"/>
    <s v="Thailand"/>
    <s v="Full Sleeve"/>
    <s v="Poly Cotton"/>
    <s v="M"/>
    <s v="Sky Blue"/>
    <n v="450"/>
  </r>
  <r>
    <x v="33"/>
    <x v="2"/>
    <s v="INW1644"/>
    <n v="1"/>
    <s v="Innerwear"/>
    <s v="Lux"/>
    <s v="V-Cut"/>
    <s v="Cotton"/>
    <s v="90-100"/>
    <s v="Black"/>
    <n v="130"/>
  </r>
  <r>
    <x v="33"/>
    <x v="2"/>
    <s v="TSH0749"/>
    <n v="1"/>
    <s v="T-Shirt"/>
    <s v="Thailand"/>
    <s v="Half Sleeve"/>
    <s v="Cotton Blend"/>
    <s v="L"/>
    <s v="Navy Blue"/>
    <n v="390"/>
  </r>
  <r>
    <x v="33"/>
    <x v="2"/>
    <s v="JNS1054"/>
    <n v="1"/>
    <s v="Jeans"/>
    <s v="Pepe"/>
    <s v="Jogger"/>
    <s v="Denim"/>
    <n v="42"/>
    <s v="Maroon"/>
    <n v="870"/>
  </r>
  <r>
    <x v="34"/>
    <x v="2"/>
    <s v="INW1561"/>
    <n v="1"/>
    <s v="Innerwear"/>
    <s v="Lux"/>
    <s v="Boxer"/>
    <s v="Cotton"/>
    <s v="105-110"/>
    <s v="Royal Blue"/>
    <n v="140"/>
  </r>
  <r>
    <x v="35"/>
    <x v="2"/>
    <s v="JNS0922"/>
    <n v="1"/>
    <s v="Jeans"/>
    <s v="Pepe"/>
    <s v="Baggy"/>
    <s v="Denim"/>
    <n v="44"/>
    <s v="Sky Blue"/>
    <n v="1030"/>
  </r>
  <r>
    <x v="35"/>
    <x v="2"/>
    <s v="SHT0013"/>
    <n v="1"/>
    <s v="Shirt"/>
    <s v="British"/>
    <s v="Formal"/>
    <s v="Lycra"/>
    <s v="S"/>
    <s v="Mustard"/>
    <n v="880"/>
  </r>
  <r>
    <x v="35"/>
    <x v="2"/>
    <s v="TSH0467"/>
    <n v="1"/>
    <s v="T-Shirt"/>
    <s v="Campus"/>
    <s v="Hoodie"/>
    <s v="Cotton Blend"/>
    <s v="XL"/>
    <s v="Rust"/>
    <n v="660"/>
  </r>
  <r>
    <x v="36"/>
    <x v="2"/>
    <s v="SHT0246"/>
    <n v="1"/>
    <s v="Shirt"/>
    <s v="H&amp;M"/>
    <s v="Partywear"/>
    <s v="Cotton"/>
    <s v="XL"/>
    <s v="Peach"/>
    <n v="650"/>
  </r>
  <r>
    <x v="36"/>
    <x v="2"/>
    <s v="INW1462"/>
    <n v="1"/>
    <s v="Innerwear"/>
    <s v="V Star"/>
    <s v="Boxer"/>
    <s v="Cotton Blend"/>
    <s v="100-105"/>
    <s v="Sky Blue"/>
    <n v="100"/>
  </r>
  <r>
    <x v="37"/>
    <x v="2"/>
    <s v="INW1385"/>
    <n v="1"/>
    <s v="Innerwear"/>
    <s v="Dollar"/>
    <s v="Boxer"/>
    <s v="Cotton"/>
    <s v="105-110"/>
    <s v="Grey"/>
    <n v="120"/>
  </r>
  <r>
    <x v="37"/>
    <x v="2"/>
    <s v="SHT0322"/>
    <n v="1"/>
    <s v="Shirt"/>
    <s v="Luke &amp; Burg"/>
    <s v="Partywear"/>
    <s v="Cotton Blend"/>
    <s v="S"/>
    <s v="Rust"/>
    <n v="920"/>
  </r>
  <r>
    <x v="37"/>
    <x v="2"/>
    <s v="JNS1066"/>
    <n v="1"/>
    <s v="Jeans"/>
    <s v="Pepe"/>
    <s v="Baggy"/>
    <s v="Denim"/>
    <n v="32"/>
    <s v="Cream"/>
    <n v="1100"/>
  </r>
  <r>
    <x v="38"/>
    <x v="2"/>
    <s v="INW1514"/>
    <n v="1"/>
    <s v="Innerwear"/>
    <s v="Dollar"/>
    <s v="V-Cut"/>
    <s v="Cotton"/>
    <s v="90-100"/>
    <s v="Peach"/>
    <n v="170"/>
  </r>
  <r>
    <x v="38"/>
    <x v="2"/>
    <s v="TSH0498"/>
    <n v="1"/>
    <s v="T-Shirt"/>
    <s v="Roadster"/>
    <s v="Half Sleeve"/>
    <s v="Poly Cotton"/>
    <s v="L"/>
    <s v="Beige"/>
    <n v="490"/>
  </r>
  <r>
    <x v="38"/>
    <x v="2"/>
    <s v="JNS0851"/>
    <n v="1"/>
    <s v="Jeans"/>
    <s v="Denim Pro"/>
    <s v="Baggy"/>
    <s v="Denim"/>
    <n v="30"/>
    <s v="Sky Blue"/>
    <n v="840"/>
  </r>
  <r>
    <x v="39"/>
    <x v="2"/>
    <s v="TSH0404"/>
    <n v="1"/>
    <s v="T-Shirt"/>
    <s v="Urban Monkey"/>
    <s v="Full Sleeve"/>
    <s v="Poly Cotton"/>
    <s v="L"/>
    <s v="Olive"/>
    <n v="290"/>
  </r>
  <r>
    <x v="39"/>
    <x v="2"/>
    <s v="INW1569"/>
    <n v="1"/>
    <s v="Innerwear"/>
    <s v="Lux"/>
    <s v="V-Cut"/>
    <s v="Cotton"/>
    <s v="80-85"/>
    <s v="Bottle Green"/>
    <n v="160"/>
  </r>
  <r>
    <x v="39"/>
    <x v="2"/>
    <s v="JNS1058"/>
    <n v="1"/>
    <s v="Jeans"/>
    <s v="Denim Pro"/>
    <s v="Baggy"/>
    <s v="Denim"/>
    <n v="44"/>
    <s v="Dark Green"/>
    <n v="1000"/>
  </r>
  <r>
    <x v="40"/>
    <x v="2"/>
    <s v="PNT1251"/>
    <n v="1"/>
    <s v="Pants"/>
    <s v="Van Heusen"/>
    <s v="Polofit"/>
    <s v="Lycra"/>
    <n v="44"/>
    <s v="Royal Blue"/>
    <n v="810"/>
  </r>
  <r>
    <x v="41"/>
    <x v="2"/>
    <s v="TSH0592"/>
    <n v="1"/>
    <s v="T-Shirt"/>
    <s v="Turkey"/>
    <s v="Full Sleeve"/>
    <s v="Poly Cotton"/>
    <s v="M"/>
    <s v="Peach"/>
    <n v="410"/>
  </r>
  <r>
    <x v="41"/>
    <x v="2"/>
    <s v="INW1460"/>
    <n v="1"/>
    <s v="Innerwear"/>
    <s v="Jockey"/>
    <s v="V-Cut"/>
    <s v="Cotton Blend"/>
    <s v="85-90"/>
    <s v="Maroon"/>
    <n v="120"/>
  </r>
  <r>
    <x v="41"/>
    <x v="2"/>
    <s v="TSH0529"/>
    <n v="1"/>
    <s v="T-Shirt"/>
    <s v="Turkey"/>
    <s v="Full Sleeve"/>
    <s v="Poly Cotton"/>
    <s v="S"/>
    <s v="Teal"/>
    <n v="400"/>
  </r>
  <r>
    <x v="41"/>
    <x v="2"/>
    <s v="INW1607"/>
    <n v="1"/>
    <s v="Innerwear"/>
    <s v="Dollar"/>
    <s v="Boxer"/>
    <s v="Cotton"/>
    <s v="75-80"/>
    <s v="Light Grey"/>
    <n v="180"/>
  </r>
  <r>
    <x v="42"/>
    <x v="2"/>
    <s v="JNS0964"/>
    <n v="1"/>
    <s v="Jeans"/>
    <s v="Denim Pro"/>
    <s v="Baggy"/>
    <s v="Denim"/>
    <n v="38"/>
    <s v="Brown"/>
    <n v="970"/>
  </r>
  <r>
    <x v="42"/>
    <x v="2"/>
    <s v="SHT0205"/>
    <n v="1"/>
    <s v="Shirt"/>
    <s v="H&amp;M"/>
    <s v="Partywear"/>
    <s v="Cotton Blend"/>
    <s v="S"/>
    <s v="Rust"/>
    <n v="810"/>
  </r>
  <r>
    <x v="43"/>
    <x v="3"/>
    <s v="JNS0939"/>
    <n v="1"/>
    <s v="Jeans"/>
    <s v="Levis"/>
    <s v="Baggy"/>
    <s v="Denim"/>
    <n v="34"/>
    <s v="Royal Blue"/>
    <n v="960"/>
  </r>
  <r>
    <x v="43"/>
    <x v="3"/>
    <s v="SHT0100"/>
    <n v="1"/>
    <s v="Shirt"/>
    <s v="Luke &amp; Burg"/>
    <s v="Partywear"/>
    <s v="Cotton Blend"/>
    <s v="L"/>
    <s v="Charcoal"/>
    <n v="800"/>
  </r>
  <r>
    <x v="44"/>
    <x v="3"/>
    <s v="INW1489"/>
    <n v="1"/>
    <s v="Innerwear"/>
    <s v="V Star"/>
    <s v="Boxer"/>
    <s v="Cotton Blend"/>
    <s v="90-100"/>
    <s v="Olive"/>
    <n v="110"/>
  </r>
  <r>
    <x v="44"/>
    <x v="3"/>
    <s v="PNT1274"/>
    <n v="1"/>
    <s v="Pants"/>
    <s v="Louis Philippe"/>
    <s v="Korean"/>
    <s v="Lycra"/>
    <n v="42"/>
    <s v="Royal Blue"/>
    <n v="900"/>
  </r>
  <r>
    <x v="44"/>
    <x v="3"/>
    <s v="JNS0981"/>
    <n v="1"/>
    <s v="Jeans"/>
    <s v="Pepe"/>
    <s v="Mom Fit"/>
    <s v="Denim"/>
    <n v="30"/>
    <s v="Wine"/>
    <n v="1070"/>
  </r>
  <r>
    <x v="45"/>
    <x v="3"/>
    <s v="SHT0295"/>
    <n v="1"/>
    <s v="Shirt"/>
    <s v="Zara"/>
    <s v="Formal"/>
    <s v="Cotton"/>
    <s v="M"/>
    <s v="Mustard"/>
    <n v="810"/>
  </r>
  <r>
    <x v="46"/>
    <x v="3"/>
    <s v="PNT1239"/>
    <n v="1"/>
    <s v="Pants"/>
    <s v="Park Avenue"/>
    <s v="Jogger"/>
    <s v="Cotton Blend"/>
    <n v="30"/>
    <s v="White"/>
    <n v="750"/>
  </r>
  <r>
    <x v="46"/>
    <x v="3"/>
    <s v="JNS0820"/>
    <n v="1"/>
    <s v="Jeans"/>
    <s v="Levis"/>
    <s v="Jogger"/>
    <s v="Denim"/>
    <n v="28"/>
    <s v="Teal"/>
    <n v="1000"/>
  </r>
  <r>
    <x v="47"/>
    <x v="3"/>
    <s v="TSH0588"/>
    <n v="1"/>
    <s v="T-Shirt"/>
    <s v="Turkey"/>
    <s v="Hoodie"/>
    <s v="Cotton"/>
    <s v="XL"/>
    <s v="Wine"/>
    <n v="550"/>
  </r>
  <r>
    <x v="48"/>
    <x v="3"/>
    <s v="INW1377"/>
    <n v="1"/>
    <s v="Innerwear"/>
    <s v="Dollar"/>
    <s v="Boxer"/>
    <s v="Cotton Blend"/>
    <s v="80-85"/>
    <s v="Sky Blue"/>
    <n v="130"/>
  </r>
  <r>
    <x v="48"/>
    <x v="3"/>
    <s v="INW1531"/>
    <n v="1"/>
    <s v="Innerwear"/>
    <s v="Dollar"/>
    <s v="V-Cut"/>
    <s v="Cotton Blend"/>
    <s v="85-90"/>
    <s v="Beige"/>
    <n v="110"/>
  </r>
  <r>
    <x v="48"/>
    <x v="3"/>
    <s v="INW1457"/>
    <n v="1"/>
    <s v="Innerwear"/>
    <s v="Dollar"/>
    <s v="V-Cut"/>
    <s v="Cotton"/>
    <s v="100-105"/>
    <s v="Teal"/>
    <n v="110"/>
  </r>
  <r>
    <x v="48"/>
    <x v="3"/>
    <s v="SHT0125"/>
    <n v="1"/>
    <s v="Shirt"/>
    <s v="L7"/>
    <s v="Partywear"/>
    <s v="Cotton"/>
    <s v="XL"/>
    <s v="Mustard"/>
    <n v="790"/>
  </r>
  <r>
    <x v="49"/>
    <x v="3"/>
    <s v="TSH0642"/>
    <n v="1"/>
    <s v="T-Shirt"/>
    <s v="Max"/>
    <s v="Hoodie"/>
    <s v="Poly Cotton"/>
    <s v="L"/>
    <s v="Wine"/>
    <n v="280"/>
  </r>
  <r>
    <x v="49"/>
    <x v="3"/>
    <s v="SHT0240"/>
    <n v="1"/>
    <s v="Shirt"/>
    <s v="USD"/>
    <s v="Partywear"/>
    <s v="Polyester"/>
    <s v="XL"/>
    <s v="Royal Blue"/>
    <n v="880"/>
  </r>
  <r>
    <x v="49"/>
    <x v="3"/>
    <s v="TSH0434"/>
    <n v="1"/>
    <s v="T-Shirt"/>
    <s v="Roadster"/>
    <s v="3/4 Sleeve"/>
    <s v="Poly Cotton"/>
    <s v="XXL"/>
    <s v="Bottle Green"/>
    <n v="740"/>
  </r>
  <r>
    <x v="50"/>
    <x v="3"/>
    <s v="SHT0321"/>
    <n v="1"/>
    <s v="Shirt"/>
    <s v="British"/>
    <s v="Casual"/>
    <s v="Lycra"/>
    <s v="M"/>
    <s v="Royal Blue"/>
    <n v="890"/>
  </r>
  <r>
    <x v="50"/>
    <x v="3"/>
    <s v="SHT0138"/>
    <n v="1"/>
    <s v="Shirt"/>
    <s v="G Studio"/>
    <s v="Partywear"/>
    <s v="Lycra"/>
    <s v="S"/>
    <s v="Beige"/>
    <n v="770"/>
  </r>
  <r>
    <x v="51"/>
    <x v="3"/>
    <s v="INW1427"/>
    <n v="1"/>
    <s v="Innerwear"/>
    <s v="Lux"/>
    <s v="Boxer"/>
    <s v="Cotton"/>
    <s v="105-110"/>
    <s v="Maroon"/>
    <n v="180"/>
  </r>
  <r>
    <x v="51"/>
    <x v="3"/>
    <s v="INW1403"/>
    <n v="1"/>
    <s v="Innerwear"/>
    <s v="Dollar"/>
    <s v="Boxer"/>
    <s v="Cotton"/>
    <s v="105-110"/>
    <s v="Dark Green"/>
    <n v="170"/>
  </r>
  <r>
    <x v="51"/>
    <x v="3"/>
    <s v="PNT1220"/>
    <n v="1"/>
    <s v="Pants"/>
    <s v="Peter England"/>
    <s v="Kurka"/>
    <s v="Lycra"/>
    <n v="34"/>
    <s v="Sky Blue"/>
    <n v="730"/>
  </r>
  <r>
    <x v="51"/>
    <x v="3"/>
    <s v="SHT0020"/>
    <n v="1"/>
    <s v="Shirt"/>
    <s v="British"/>
    <s v="Formal"/>
    <s v="Cotton Blend"/>
    <s v="XL"/>
    <s v="Olive"/>
    <n v="900"/>
  </r>
  <r>
    <x v="52"/>
    <x v="3"/>
    <s v="INW1638"/>
    <n v="1"/>
    <s v="Innerwear"/>
    <s v="Dollar"/>
    <s v="Boxer"/>
    <s v="Cotton"/>
    <s v="75-80"/>
    <s v="Bottle Green"/>
    <n v="140"/>
  </r>
  <r>
    <x v="53"/>
    <x v="3"/>
    <s v="PNT1095"/>
    <n v="1"/>
    <s v="Pants"/>
    <s v="Louis Philippe"/>
    <s v="Polofit"/>
    <s v="Lycra"/>
    <n v="32"/>
    <s v="Black"/>
    <n v="850"/>
  </r>
  <r>
    <x v="54"/>
    <x v="3"/>
    <s v="JNS0834"/>
    <n v="1"/>
    <s v="Jeans"/>
    <s v="Wrangler"/>
    <s v="Mom Fit"/>
    <s v="Denim"/>
    <n v="44"/>
    <s v="Wine"/>
    <n v="1080"/>
  </r>
  <r>
    <x v="54"/>
    <x v="3"/>
    <s v="INW1403"/>
    <n v="1"/>
    <s v="Innerwear"/>
    <s v="Dollar"/>
    <s v="Boxer"/>
    <s v="Cotton"/>
    <s v="105-110"/>
    <s v="Dark Green"/>
    <n v="170"/>
  </r>
  <r>
    <x v="55"/>
    <x v="3"/>
    <s v="PNT1171"/>
    <n v="1"/>
    <s v="Pants"/>
    <s v="Louis Philippe"/>
    <s v="Boot Cut"/>
    <s v="Cotton Blend"/>
    <n v="32"/>
    <s v="Beige"/>
    <n v="810"/>
  </r>
  <r>
    <x v="55"/>
    <x v="3"/>
    <s v="TSH0387"/>
    <n v="1"/>
    <s v="T-Shirt"/>
    <s v="Turkey"/>
    <s v="Half Sleeve"/>
    <s v="Cotton"/>
    <s v="XL"/>
    <s v="Cream"/>
    <n v="280"/>
  </r>
  <r>
    <x v="55"/>
    <x v="3"/>
    <s v="SHT0152"/>
    <n v="1"/>
    <s v="Shirt"/>
    <s v="Luke &amp; Burg"/>
    <s v="Partywear"/>
    <s v="Lycra"/>
    <s v="XL"/>
    <s v="Light Grey"/>
    <n v="850"/>
  </r>
  <r>
    <x v="56"/>
    <x v="3"/>
    <s v="TSH0552"/>
    <n v="1"/>
    <s v="T-Shirt"/>
    <s v="Thailand"/>
    <s v="3/4 Sleeve"/>
    <s v="Poly Cotton"/>
    <s v="S"/>
    <s v="Navy Blue"/>
    <n v="640"/>
  </r>
  <r>
    <x v="56"/>
    <x v="3"/>
    <s v="INW1412"/>
    <n v="1"/>
    <s v="Innerwear"/>
    <s v="Rupa"/>
    <s v="Boxer"/>
    <s v="Cotton Blend"/>
    <s v="80-85"/>
    <s v="Cream"/>
    <n v="140"/>
  </r>
  <r>
    <x v="57"/>
    <x v="3"/>
    <s v="JNS0810"/>
    <n v="1"/>
    <s v="Jeans"/>
    <s v="Levis"/>
    <s v="Baggy"/>
    <s v="Denim"/>
    <n v="36"/>
    <s v="White"/>
    <n v="1020"/>
  </r>
  <r>
    <x v="57"/>
    <x v="3"/>
    <s v="SHT0182"/>
    <n v="1"/>
    <s v="Shirt"/>
    <s v="Luke &amp; Burg"/>
    <s v="Casual"/>
    <s v="Cotton"/>
    <s v="XL"/>
    <s v="Cream"/>
    <n v="800"/>
  </r>
  <r>
    <x v="57"/>
    <x v="3"/>
    <s v="TSH0451"/>
    <n v="1"/>
    <s v="T-Shirt"/>
    <s v="Zara"/>
    <s v="Half Sleeve"/>
    <s v="Cotton"/>
    <s v="XL"/>
    <s v="Navy Blue"/>
    <n v="710"/>
  </r>
  <r>
    <x v="58"/>
    <x v="3"/>
    <s v="JNS0839"/>
    <n v="1"/>
    <s v="Jeans"/>
    <s v="Pepe"/>
    <s v="Baggy"/>
    <s v="Denim"/>
    <n v="40"/>
    <s v="Bottle Green"/>
    <n v="800"/>
  </r>
  <r>
    <x v="58"/>
    <x v="3"/>
    <s v="PNT1260"/>
    <n v="1"/>
    <s v="Pants"/>
    <s v="Van Heusen"/>
    <s v="Korean"/>
    <s v="Lycra"/>
    <n v="32"/>
    <s v="Rust"/>
    <n v="820"/>
  </r>
  <r>
    <x v="59"/>
    <x v="3"/>
    <s v="TSH0421"/>
    <n v="1"/>
    <s v="T-Shirt"/>
    <s v="Zara"/>
    <s v="Full Sleeve"/>
    <s v="Cotton Blend"/>
    <s v="S"/>
    <s v="Olive"/>
    <n v="430"/>
  </r>
  <r>
    <x v="60"/>
    <x v="3"/>
    <s v="JNS0967"/>
    <n v="1"/>
    <s v="Jeans"/>
    <s v="Levis"/>
    <s v="Mom Fit"/>
    <s v="Denim"/>
    <n v="44"/>
    <s v="Navy Blue"/>
    <n v="870"/>
  </r>
  <r>
    <x v="61"/>
    <x v="3"/>
    <s v="JNS0956"/>
    <n v="1"/>
    <s v="Jeans"/>
    <s v="Pepe"/>
    <s v="Mom Fit"/>
    <s v="Denim"/>
    <n v="42"/>
    <s v="Royal Blue"/>
    <n v="820"/>
  </r>
  <r>
    <x v="62"/>
    <x v="4"/>
    <s v="INW1403"/>
    <n v="1"/>
    <s v="Innerwear"/>
    <s v="Dollar"/>
    <s v="Boxer"/>
    <s v="Cotton"/>
    <s v="105-110"/>
    <s v="Dark Green"/>
    <n v="170"/>
  </r>
  <r>
    <x v="62"/>
    <x v="4"/>
    <s v="INW1597"/>
    <n v="1"/>
    <s v="Innerwear"/>
    <s v="Dollar"/>
    <s v="Boxer"/>
    <s v="Cotton"/>
    <s v="85-90"/>
    <s v="Rust"/>
    <n v="160"/>
  </r>
  <r>
    <x v="63"/>
    <x v="4"/>
    <s v="SHT0053"/>
    <n v="1"/>
    <s v="Shirt"/>
    <s v="USD"/>
    <s v="Partywear"/>
    <s v="Cotton Blend"/>
    <s v="M"/>
    <s v="Cream"/>
    <n v="750"/>
  </r>
  <r>
    <x v="63"/>
    <x v="4"/>
    <s v="JNS0885"/>
    <n v="1"/>
    <s v="Jeans"/>
    <s v="Wrangler"/>
    <s v="Jogger"/>
    <s v="Denim"/>
    <n v="30"/>
    <s v="Navy Blue"/>
    <n v="860"/>
  </r>
  <r>
    <x v="63"/>
    <x v="4"/>
    <s v="INW1460"/>
    <n v="1"/>
    <s v="Innerwear"/>
    <s v="Jockey"/>
    <s v="V-Cut"/>
    <s v="Cotton Blend"/>
    <s v="85-90"/>
    <s v="Maroon"/>
    <n v="120"/>
  </r>
  <r>
    <x v="64"/>
    <x v="4"/>
    <s v="TSH0534"/>
    <n v="1"/>
    <s v="T-Shirt"/>
    <s v="Zara"/>
    <s v="3/4 Sleeve"/>
    <s v="Cotton"/>
    <s v="XL"/>
    <s v="Olive"/>
    <n v="280"/>
  </r>
  <r>
    <x v="64"/>
    <x v="4"/>
    <s v="PNT1125"/>
    <n v="1"/>
    <s v="Pants"/>
    <s v="Van Heusen"/>
    <s v="Boot Cut"/>
    <s v="Poly Viscose"/>
    <n v="42"/>
    <s v="White"/>
    <n v="860"/>
  </r>
  <r>
    <x v="65"/>
    <x v="4"/>
    <s v="JNS1046"/>
    <n v="1"/>
    <s v="Jeans"/>
    <s v="Levis"/>
    <s v="Jogger"/>
    <s v="Denim"/>
    <n v="38"/>
    <s v="Teal"/>
    <n v="900"/>
  </r>
  <r>
    <x v="65"/>
    <x v="4"/>
    <s v="JNS1049"/>
    <n v="1"/>
    <s v="Jeans"/>
    <s v="Denim Pro"/>
    <s v="Mom Fit"/>
    <s v="Denim"/>
    <n v="38"/>
    <s v="Beige"/>
    <n v="1040"/>
  </r>
  <r>
    <x v="66"/>
    <x v="4"/>
    <s v="INW1565"/>
    <n v="1"/>
    <s v="Innerwear"/>
    <s v="Dollar"/>
    <s v="V-Cut"/>
    <s v="Cotton Blend"/>
    <s v="80-85"/>
    <s v="Black"/>
    <n v="190"/>
  </r>
  <r>
    <x v="66"/>
    <x v="4"/>
    <s v="PNT1260"/>
    <n v="1"/>
    <s v="Pants"/>
    <s v="Van Heusen"/>
    <s v="Korean"/>
    <s v="Lycra"/>
    <n v="32"/>
    <s v="Rust"/>
    <n v="820"/>
  </r>
  <r>
    <x v="66"/>
    <x v="4"/>
    <s v="PNT1190"/>
    <n v="1"/>
    <s v="Pants"/>
    <s v="Van Heusen"/>
    <s v="Boot Cut"/>
    <s v="Cotton"/>
    <n v="38"/>
    <s v="Peach"/>
    <n v="880"/>
  </r>
  <r>
    <x v="67"/>
    <x v="4"/>
    <s v="INW1495"/>
    <n v="1"/>
    <s v="Innerwear"/>
    <s v="Dollar"/>
    <s v="V-Cut"/>
    <s v="Cotton"/>
    <s v="90-100"/>
    <s v="Charcoal"/>
    <n v="140"/>
  </r>
  <r>
    <x v="67"/>
    <x v="4"/>
    <s v="TSH0629"/>
    <n v="1"/>
    <s v="T-Shirt"/>
    <s v="Campus"/>
    <s v="Half Sleeve"/>
    <s v="Cotton"/>
    <s v="XL"/>
    <s v="Bottle Green"/>
    <n v="740"/>
  </r>
  <r>
    <x v="67"/>
    <x v="4"/>
    <s v="INW1538"/>
    <n v="1"/>
    <s v="Innerwear"/>
    <s v="V Star"/>
    <s v="V-Cut"/>
    <s v="Cotton"/>
    <s v="105-110"/>
    <s v="Cream"/>
    <n v="100"/>
  </r>
  <r>
    <x v="68"/>
    <x v="4"/>
    <s v="TSH0522"/>
    <n v="1"/>
    <s v="T-Shirt"/>
    <s v="Turkey"/>
    <s v="Full Sleeve"/>
    <s v="Poly Cotton"/>
    <s v="XL"/>
    <s v="Peach"/>
    <n v="440"/>
  </r>
  <r>
    <x v="68"/>
    <x v="4"/>
    <s v="TSH0505"/>
    <n v="1"/>
    <s v="T-Shirt"/>
    <s v="Turkey"/>
    <s v="Full Sleeve"/>
    <s v="Cotton Blend"/>
    <s v="L"/>
    <s v="Cream"/>
    <n v="460"/>
  </r>
  <r>
    <x v="68"/>
    <x v="4"/>
    <s v="SHT0101"/>
    <n v="1"/>
    <s v="Shirt"/>
    <s v="Max"/>
    <s v="Formal"/>
    <s v="Polyester"/>
    <s v="XXL"/>
    <s v="Royal Blue"/>
    <n v="730"/>
  </r>
  <r>
    <x v="69"/>
    <x v="4"/>
    <s v="SHT0030"/>
    <n v="1"/>
    <s v="Shirt"/>
    <s v="British"/>
    <s v="Formal"/>
    <s v="Lycra"/>
    <s v="L"/>
    <s v="Peach"/>
    <n v="640"/>
  </r>
  <r>
    <x v="69"/>
    <x v="4"/>
    <s v="TSH0394"/>
    <n v="1"/>
    <s v="T-Shirt"/>
    <s v="Turkey"/>
    <s v="3/4 Sleeve"/>
    <s v="Cotton"/>
    <s v="XL"/>
    <s v="Mustard"/>
    <n v="280"/>
  </r>
  <r>
    <x v="69"/>
    <x v="4"/>
    <s v="SHT0084"/>
    <n v="1"/>
    <s v="Shirt"/>
    <s v="Zara"/>
    <s v="Partywear"/>
    <s v="Polyester"/>
    <s v="XL"/>
    <s v="Black"/>
    <n v="770"/>
  </r>
  <r>
    <x v="70"/>
    <x v="4"/>
    <s v="TSH0676"/>
    <n v="1"/>
    <s v="T-Shirt"/>
    <s v="Max"/>
    <s v="Half Sleeve"/>
    <s v="Poly Cotton"/>
    <s v="S"/>
    <s v="Royal Blue"/>
    <n v="220"/>
  </r>
  <r>
    <x v="70"/>
    <x v="4"/>
    <s v="JNS0956"/>
    <n v="1"/>
    <s v="Jeans"/>
    <s v="Pepe"/>
    <s v="Mom Fit"/>
    <s v="Denim"/>
    <n v="42"/>
    <s v="Royal Blue"/>
    <n v="820"/>
  </r>
  <r>
    <x v="70"/>
    <x v="4"/>
    <s v="TSH0533"/>
    <n v="1"/>
    <s v="T-Shirt"/>
    <s v="Urban Monkey"/>
    <s v="Half Sleeve"/>
    <s v="Cotton Blend"/>
    <s v="S"/>
    <s v="Mustard"/>
    <n v="260"/>
  </r>
  <r>
    <x v="71"/>
    <x v="4"/>
    <s v="PNT1212"/>
    <n v="1"/>
    <s v="Pants"/>
    <s v="Louis Philippe"/>
    <s v="Boot Cut"/>
    <s v="Cotton"/>
    <n v="42"/>
    <s v="Light Grey"/>
    <n v="880"/>
  </r>
  <r>
    <x v="72"/>
    <x v="4"/>
    <s v="TSH0575"/>
    <n v="1"/>
    <s v="T-Shirt"/>
    <s v="Max"/>
    <s v="3/4 Sleeve"/>
    <s v="Cotton"/>
    <s v="XL"/>
    <s v="Brown"/>
    <n v="460"/>
  </r>
  <r>
    <x v="73"/>
    <x v="5"/>
    <s v="SHT0023"/>
    <n v="1"/>
    <s v="Shirt"/>
    <s v="H&amp;M"/>
    <s v="Formal"/>
    <s v="Cotton Blend"/>
    <s v="XL"/>
    <s v="Black"/>
    <n v="820"/>
  </r>
  <r>
    <x v="73"/>
    <x v="5"/>
    <s v="SHT0090"/>
    <n v="1"/>
    <s v="Shirt"/>
    <s v="Luke &amp; Burg"/>
    <s v="Casual"/>
    <s v="Cotton"/>
    <s v="XL"/>
    <s v="Black"/>
    <n v="730"/>
  </r>
  <r>
    <x v="73"/>
    <x v="5"/>
    <s v="JNS0792"/>
    <n v="1"/>
    <s v="Jeans"/>
    <s v="Spykar"/>
    <s v="Baggy"/>
    <s v="Denim"/>
    <n v="42"/>
    <s v="Royal Blue"/>
    <n v="830"/>
  </r>
  <r>
    <x v="74"/>
    <x v="5"/>
    <s v="TSH0651"/>
    <n v="1"/>
    <s v="T-Shirt"/>
    <s v="Urban Monkey"/>
    <s v="Half Sleeve"/>
    <s v="Poly Cotton"/>
    <s v="L"/>
    <s v="Grey"/>
    <n v="310"/>
  </r>
  <r>
    <x v="74"/>
    <x v="5"/>
    <s v="SHT0012"/>
    <n v="1"/>
    <s v="Shirt"/>
    <s v="G Studio"/>
    <s v="Formal"/>
    <s v="Polyester"/>
    <s v="XL"/>
    <s v="Beige"/>
    <n v="820"/>
  </r>
  <r>
    <x v="74"/>
    <x v="5"/>
    <s v="SHT0332"/>
    <n v="1"/>
    <s v="Shirt"/>
    <s v="H&amp;M"/>
    <s v="Casual"/>
    <s v="Cotton"/>
    <s v="XL"/>
    <s v="Maroon"/>
    <n v="660"/>
  </r>
  <r>
    <x v="75"/>
    <x v="5"/>
    <s v="JNS1006"/>
    <n v="1"/>
    <s v="Jeans"/>
    <s v="Locomotive"/>
    <s v="Mom Fit"/>
    <s v="Denim"/>
    <n v="32"/>
    <s v="Black"/>
    <n v="1090"/>
  </r>
  <r>
    <x v="75"/>
    <x v="5"/>
    <s v="INW1545"/>
    <n v="1"/>
    <s v="Innerwear"/>
    <s v="Jockey"/>
    <s v="Boxer"/>
    <s v="Cotton"/>
    <s v="80-85"/>
    <s v="Black"/>
    <n v="170"/>
  </r>
  <r>
    <x v="76"/>
    <x v="5"/>
    <s v="SHT0084"/>
    <n v="1"/>
    <s v="Shirt"/>
    <s v="Zara"/>
    <s v="Partywear"/>
    <s v="Polyester"/>
    <s v="XL"/>
    <s v="Black"/>
    <n v="770"/>
  </r>
  <r>
    <x v="76"/>
    <x v="5"/>
    <s v="TSH0402"/>
    <n v="1"/>
    <s v="T-Shirt"/>
    <s v="Zara"/>
    <s v="Sleeveless"/>
    <s v="Poly Cotton"/>
    <s v="XL"/>
    <s v="Light Grey"/>
    <n v="480"/>
  </r>
  <r>
    <x v="76"/>
    <x v="5"/>
    <s v="PNT1195"/>
    <n v="1"/>
    <s v="Pants"/>
    <s v="Peter England"/>
    <s v="Korean"/>
    <s v="Lycra"/>
    <n v="32"/>
    <s v="Wine"/>
    <n v="730"/>
  </r>
  <r>
    <x v="77"/>
    <x v="5"/>
    <s v="PNT1214"/>
    <n v="1"/>
    <s v="Pants"/>
    <s v="Louis Philippe"/>
    <s v="Kurka"/>
    <s v="Lycra"/>
    <n v="40"/>
    <s v="White"/>
    <n v="940"/>
  </r>
  <r>
    <x v="77"/>
    <x v="5"/>
    <s v="PNT1183"/>
    <n v="1"/>
    <s v="Pants"/>
    <s v="Raymond"/>
    <s v="Jogger"/>
    <s v="Cotton"/>
    <n v="28"/>
    <s v="Mustard"/>
    <n v="720"/>
  </r>
  <r>
    <x v="77"/>
    <x v="5"/>
    <s v="JNS0975"/>
    <n v="1"/>
    <s v="Jeans"/>
    <s v="Denim Pro"/>
    <s v="Baggy"/>
    <s v="Denim"/>
    <n v="36"/>
    <s v="Maroon"/>
    <n v="1010"/>
  </r>
  <r>
    <x v="78"/>
    <x v="5"/>
    <s v="SHT0098"/>
    <n v="1"/>
    <s v="Shirt"/>
    <s v="Luke &amp; Burg"/>
    <s v="Casual"/>
    <s v="Cotton"/>
    <s v="XL"/>
    <s v="Teal"/>
    <n v="630"/>
  </r>
  <r>
    <x v="79"/>
    <x v="5"/>
    <s v="TSH0360"/>
    <n v="1"/>
    <s v="T-Shirt"/>
    <s v="Roadster"/>
    <s v="Full Sleeve"/>
    <s v="Poly Cotton"/>
    <s v="M"/>
    <s v="Black"/>
    <n v="240"/>
  </r>
  <r>
    <x v="79"/>
    <x v="5"/>
    <s v="SHT0119"/>
    <n v="1"/>
    <s v="Shirt"/>
    <s v="L7"/>
    <s v="Formal"/>
    <s v="Lycra"/>
    <s v="M"/>
    <s v="Dark Green"/>
    <n v="870"/>
  </r>
  <r>
    <x v="80"/>
    <x v="5"/>
    <s v="JNS0885"/>
    <n v="1"/>
    <s v="Jeans"/>
    <s v="Wrangler"/>
    <s v="Jogger"/>
    <s v="Denim"/>
    <n v="30"/>
    <s v="Navy Blue"/>
    <n v="860"/>
  </r>
  <r>
    <x v="81"/>
    <x v="5"/>
    <s v="INW1530"/>
    <n v="1"/>
    <s v="Innerwear"/>
    <s v="Dollar"/>
    <s v="Boxer"/>
    <s v="Cotton Blend"/>
    <s v="75-80"/>
    <s v="Wine"/>
    <n v="140"/>
  </r>
  <r>
    <x v="82"/>
    <x v="5"/>
    <s v="JNS1000"/>
    <n v="1"/>
    <s v="Jeans"/>
    <s v="Pepe"/>
    <s v="Jogger"/>
    <s v="Denim"/>
    <n v="34"/>
    <s v="Maroon"/>
    <n v="940"/>
  </r>
  <r>
    <x v="83"/>
    <x v="5"/>
    <s v="INW1461"/>
    <n v="1"/>
    <s v="Innerwear"/>
    <s v="Jockey"/>
    <s v="Boxer"/>
    <s v="Cotton"/>
    <s v="100-105"/>
    <s v="Brown"/>
    <n v="140"/>
  </r>
  <r>
    <x v="83"/>
    <x v="5"/>
    <s v="PNT1097"/>
    <n v="1"/>
    <s v="Pants"/>
    <s v="Van Heusen"/>
    <s v="Polofit"/>
    <s v="Lycra"/>
    <n v="30"/>
    <s v="Charcoal"/>
    <n v="760"/>
  </r>
  <r>
    <x v="83"/>
    <x v="5"/>
    <s v="TSH0432"/>
    <n v="1"/>
    <s v="T-Shirt"/>
    <s v="Zara"/>
    <s v="Full Sleeve"/>
    <s v="Cotton Blend"/>
    <s v="S"/>
    <s v="Cream"/>
    <n v="510"/>
  </r>
  <r>
    <x v="83"/>
    <x v="5"/>
    <s v="TSH0463"/>
    <n v="1"/>
    <s v="T-Shirt"/>
    <s v="Zara"/>
    <s v="Full Sleeve"/>
    <s v="Cotton Blend"/>
    <s v="XXL"/>
    <s v="Navy Blue"/>
    <n v="480"/>
  </r>
  <r>
    <x v="84"/>
    <x v="5"/>
    <s v="INW1602"/>
    <n v="1"/>
    <s v="Innerwear"/>
    <s v="Dollar"/>
    <s v="Boxer"/>
    <s v="Cotton"/>
    <s v="105-110"/>
    <s v="Rust"/>
    <n v="150"/>
  </r>
  <r>
    <x v="84"/>
    <x v="5"/>
    <s v="JNS0819"/>
    <n v="1"/>
    <s v="Jeans"/>
    <s v="Pepe"/>
    <s v="Baggy"/>
    <s v="Denim"/>
    <n v="30"/>
    <s v="White"/>
    <n v="840"/>
  </r>
  <r>
    <x v="84"/>
    <x v="5"/>
    <s v="PNT1213"/>
    <n v="1"/>
    <s v="Pants"/>
    <s v="Van Heusen"/>
    <s v="Jogger"/>
    <s v="Cotton"/>
    <n v="44"/>
    <s v="Black"/>
    <n v="830"/>
  </r>
  <r>
    <x v="84"/>
    <x v="5"/>
    <s v="SHT0018"/>
    <n v="1"/>
    <s v="Shirt"/>
    <s v="Luke &amp; Burg"/>
    <s v="Partywear"/>
    <s v="Cotton"/>
    <s v="XL"/>
    <s v="Rust"/>
    <n v="910"/>
  </r>
  <r>
    <x v="85"/>
    <x v="5"/>
    <s v="TSH0415"/>
    <n v="1"/>
    <s v="T-Shirt"/>
    <s v="Zara"/>
    <s v="Hoodie"/>
    <s v="Cotton"/>
    <s v="XL"/>
    <s v="Light Grey"/>
    <n v="490"/>
  </r>
  <r>
    <x v="85"/>
    <x v="5"/>
    <s v="PNT1270"/>
    <n v="1"/>
    <s v="Pants"/>
    <s v="Van Heusen"/>
    <s v="Korean"/>
    <s v="Lycra"/>
    <n v="36"/>
    <s v="Brown"/>
    <n v="740"/>
  </r>
  <r>
    <x v="85"/>
    <x v="5"/>
    <s v="PNT1147"/>
    <n v="1"/>
    <s v="Pants"/>
    <s v="Louis Philippe"/>
    <s v="Kurka"/>
    <s v="Lycra"/>
    <n v="32"/>
    <s v="Brown"/>
    <n v="830"/>
  </r>
  <r>
    <x v="86"/>
    <x v="5"/>
    <s v="TSH0359"/>
    <n v="1"/>
    <s v="T-Shirt"/>
    <s v="Max"/>
    <s v="3/4 Sleeve"/>
    <s v="Cotton"/>
    <s v="L"/>
    <s v="Mustard"/>
    <n v="730"/>
  </r>
  <r>
    <x v="87"/>
    <x v="5"/>
    <s v="JNS0807"/>
    <n v="1"/>
    <s v="Jeans"/>
    <s v="Spykar"/>
    <s v="Baggy"/>
    <s v="Denim"/>
    <n v="38"/>
    <s v="White"/>
    <n v="860"/>
  </r>
  <r>
    <x v="88"/>
    <x v="5"/>
    <s v="TSH0769"/>
    <n v="1"/>
    <s v="T-Shirt"/>
    <s v="Thailand"/>
    <s v="3/4 Sleeve"/>
    <s v="Poly Cotton"/>
    <s v="XXL"/>
    <s v="Beige"/>
    <n v="400"/>
  </r>
  <r>
    <x v="88"/>
    <x v="5"/>
    <s v="SHT0254"/>
    <n v="1"/>
    <s v="Shirt"/>
    <s v="Luke &amp; Burg"/>
    <s v="Partywear"/>
    <s v="Polyester"/>
    <s v="XL"/>
    <s v="Mustard"/>
    <n v="780"/>
  </r>
  <r>
    <x v="88"/>
    <x v="5"/>
    <s v="PNT1148"/>
    <n v="1"/>
    <s v="Pants"/>
    <s v="Van Heusen"/>
    <s v="Polofit"/>
    <s v="Lycra"/>
    <n v="34"/>
    <s v="Bottle Green"/>
    <n v="850"/>
  </r>
  <r>
    <x v="88"/>
    <x v="5"/>
    <s v="PNT1143"/>
    <n v="1"/>
    <s v="Pants"/>
    <s v="Raymond"/>
    <s v="Korean"/>
    <s v="Lycra"/>
    <n v="36"/>
    <s v="Bottle Green"/>
    <n v="820"/>
  </r>
  <r>
    <x v="89"/>
    <x v="5"/>
    <s v="TSH0659"/>
    <n v="1"/>
    <s v="T-Shirt"/>
    <s v="Roadster"/>
    <s v="3/4 Sleeve"/>
    <s v="Cotton"/>
    <s v="M"/>
    <s v="Light Grey"/>
    <n v="410"/>
  </r>
  <r>
    <x v="89"/>
    <x v="5"/>
    <s v="PNT1308"/>
    <n v="1"/>
    <s v="Pants"/>
    <s v="Peter England"/>
    <s v="Boot Cut"/>
    <s v="Poly Viscose"/>
    <n v="28"/>
    <s v="Beige"/>
    <n v="780"/>
  </r>
  <r>
    <x v="89"/>
    <x v="5"/>
    <s v="PNT1152"/>
    <n v="1"/>
    <s v="Pants"/>
    <s v="Peter England"/>
    <s v="Polofit"/>
    <s v="Lycra"/>
    <n v="36"/>
    <s v="Dark Green"/>
    <n v="800"/>
  </r>
  <r>
    <x v="89"/>
    <x v="5"/>
    <s v="PNT1192"/>
    <n v="1"/>
    <s v="Pants"/>
    <s v="Raymond"/>
    <s v="Boot Cut"/>
    <s v="Poly Viscose"/>
    <n v="32"/>
    <s v="Cream"/>
    <n v="760"/>
  </r>
  <r>
    <x v="90"/>
    <x v="5"/>
    <s v="JNS0907"/>
    <n v="1"/>
    <s v="Jeans"/>
    <s v="Wrangler"/>
    <s v="Jogger"/>
    <s v="Denim"/>
    <n v="28"/>
    <s v="Grey"/>
    <n v="890"/>
  </r>
  <r>
    <x v="90"/>
    <x v="5"/>
    <s v="SHT0049"/>
    <n v="1"/>
    <s v="Shirt"/>
    <s v="H&amp;M"/>
    <s v="Formal"/>
    <s v="Cotton Blend"/>
    <s v="S"/>
    <s v="Maroon"/>
    <n v="850"/>
  </r>
  <r>
    <x v="90"/>
    <x v="5"/>
    <s v="JNS1019"/>
    <n v="1"/>
    <s v="Jeans"/>
    <s v="Pepe"/>
    <s v="Jogger"/>
    <s v="Denim"/>
    <n v="38"/>
    <s v="Dark Green"/>
    <n v="840"/>
  </r>
  <r>
    <x v="91"/>
    <x v="6"/>
    <s v="SHT0128"/>
    <n v="1"/>
    <s v="Shirt"/>
    <s v="Max"/>
    <s v="Formal"/>
    <s v="Polyester"/>
    <s v="L"/>
    <s v="Bottle Green"/>
    <n v="860"/>
  </r>
  <r>
    <x v="91"/>
    <x v="6"/>
    <s v="TSH0731"/>
    <n v="1"/>
    <s v="T-Shirt"/>
    <s v="Max"/>
    <s v="Full Sleeve"/>
    <s v="Poly Cotton"/>
    <s v="S"/>
    <s v="Charcoal"/>
    <n v="720"/>
  </r>
  <r>
    <x v="92"/>
    <x v="6"/>
    <s v="JNS0815"/>
    <n v="1"/>
    <s v="Jeans"/>
    <s v="Spykar"/>
    <s v="Mom Fit"/>
    <s v="Denim"/>
    <n v="34"/>
    <s v="Mustard"/>
    <n v="1030"/>
  </r>
  <r>
    <x v="92"/>
    <x v="6"/>
    <s v="PNT1083"/>
    <n v="1"/>
    <s v="Pants"/>
    <s v="Van Heusen"/>
    <s v="Boot Cut"/>
    <s v="Cotton"/>
    <n v="36"/>
    <s v="Bottle Green"/>
    <n v="790"/>
  </r>
  <r>
    <x v="93"/>
    <x v="6"/>
    <s v="INW1571"/>
    <n v="1"/>
    <s v="Innerwear"/>
    <s v="Dollar"/>
    <s v="Boxer"/>
    <s v="Cotton Blend"/>
    <s v="85-90"/>
    <s v="Navy Blue"/>
    <n v="120"/>
  </r>
  <r>
    <x v="94"/>
    <x v="6"/>
    <s v="JNS0958"/>
    <n v="1"/>
    <s v="Jeans"/>
    <s v="Spykar"/>
    <s v="Mom Fit"/>
    <s v="Denim"/>
    <n v="28"/>
    <s v="Light Grey"/>
    <n v="900"/>
  </r>
  <r>
    <x v="94"/>
    <x v="6"/>
    <s v="TSH0390"/>
    <n v="1"/>
    <s v="T-Shirt"/>
    <s v="Roadster"/>
    <s v="Full Sleeve"/>
    <s v="Poly Cotton"/>
    <s v="XL"/>
    <s v="Olive"/>
    <n v="620"/>
  </r>
  <r>
    <x v="94"/>
    <x v="6"/>
    <s v="PNT1248"/>
    <n v="1"/>
    <s v="Pants"/>
    <s v="Raymond"/>
    <s v="Jogger"/>
    <s v="Cotton"/>
    <n v="30"/>
    <s v="Mustard"/>
    <n v="750"/>
  </r>
  <r>
    <x v="94"/>
    <x v="6"/>
    <s v="INW1450"/>
    <n v="1"/>
    <s v="Innerwear"/>
    <s v="Rupa"/>
    <s v="V-Cut"/>
    <s v="Cotton"/>
    <s v="90-100"/>
    <s v="Navy Blue"/>
    <n v="130"/>
  </r>
  <r>
    <x v="95"/>
    <x v="6"/>
    <s v="INW1502"/>
    <n v="1"/>
    <s v="Innerwear"/>
    <s v="Jockey"/>
    <s v="V-Cut"/>
    <s v="Cotton Blend"/>
    <s v="105-110"/>
    <s v="Navy Blue"/>
    <n v="150"/>
  </r>
  <r>
    <x v="95"/>
    <x v="6"/>
    <s v="TSH0487"/>
    <n v="1"/>
    <s v="T-Shirt"/>
    <s v="Zara"/>
    <s v="Sleeveless"/>
    <s v="Poly Cotton"/>
    <s v="L"/>
    <s v="Sky Blue"/>
    <n v="450"/>
  </r>
  <r>
    <x v="96"/>
    <x v="6"/>
    <s v="INW1551"/>
    <n v="1"/>
    <s v="Innerwear"/>
    <s v="Jockey"/>
    <s v="Boxer"/>
    <s v="Cotton Blend"/>
    <s v="75-80"/>
    <s v="Black"/>
    <n v="120"/>
  </r>
  <r>
    <x v="96"/>
    <x v="6"/>
    <s v="INW1525"/>
    <n v="1"/>
    <s v="Innerwear"/>
    <s v="Rupa"/>
    <s v="V-Cut"/>
    <s v="Cotton"/>
    <s v="80-85"/>
    <s v="Beige"/>
    <n v="170"/>
  </r>
  <r>
    <x v="96"/>
    <x v="6"/>
    <s v="TSH0741"/>
    <n v="1"/>
    <s v="T-Shirt"/>
    <s v="Zara"/>
    <s v="Half Sleeve"/>
    <s v="Cotton"/>
    <s v="XXL"/>
    <s v="Brown"/>
    <n v="580"/>
  </r>
  <r>
    <x v="96"/>
    <x v="6"/>
    <s v="TSH0564"/>
    <n v="1"/>
    <s v="T-Shirt"/>
    <s v="Roadster"/>
    <s v="Full Sleeve"/>
    <s v="Cotton"/>
    <s v="L"/>
    <s v="Wine"/>
    <n v="250"/>
  </r>
  <r>
    <x v="97"/>
    <x v="6"/>
    <s v="PNT1212"/>
    <n v="1"/>
    <s v="Pants"/>
    <s v="Louis Philippe"/>
    <s v="Boot Cut"/>
    <s v="Cotton"/>
    <n v="42"/>
    <s v="Light Grey"/>
    <n v="880"/>
  </r>
  <r>
    <x v="97"/>
    <x v="6"/>
    <s v="TSH0351"/>
    <n v="1"/>
    <s v="T-Shirt"/>
    <s v="Roadster"/>
    <s v="Full Sleeve"/>
    <s v="Cotton Blend"/>
    <s v="M"/>
    <s v="Beige"/>
    <n v="610"/>
  </r>
  <r>
    <x v="97"/>
    <x v="6"/>
    <s v="PNT1118"/>
    <n v="1"/>
    <s v="Pants"/>
    <s v="Park Avenue"/>
    <s v="Boot Cut"/>
    <s v="Poly Viscose"/>
    <n v="44"/>
    <s v="Beige"/>
    <n v="870"/>
  </r>
  <r>
    <x v="97"/>
    <x v="6"/>
    <s v="JNS0838"/>
    <n v="1"/>
    <s v="Jeans"/>
    <s v="Levis"/>
    <s v="Jogger"/>
    <s v="Denim"/>
    <n v="36"/>
    <s v="White"/>
    <n v="830"/>
  </r>
  <r>
    <x v="98"/>
    <x v="6"/>
    <s v="JNS1009"/>
    <n v="1"/>
    <s v="Jeans"/>
    <s v="Spykar"/>
    <s v="Baggy"/>
    <s v="Denim"/>
    <n v="40"/>
    <s v="Mustard"/>
    <n v="790"/>
  </r>
  <r>
    <x v="99"/>
    <x v="6"/>
    <s v="INW1462"/>
    <n v="1"/>
    <s v="Innerwear"/>
    <s v="V Star"/>
    <s v="Boxer"/>
    <s v="Cotton Blend"/>
    <s v="100-105"/>
    <s v="Sky Blue"/>
    <n v="100"/>
  </r>
  <r>
    <x v="99"/>
    <x v="6"/>
    <s v="TSH0447"/>
    <n v="1"/>
    <s v="T-Shirt"/>
    <s v="Urban Monkey"/>
    <s v="Full Sleeve"/>
    <s v="Cotton Blend"/>
    <s v="XL"/>
    <s v="Black"/>
    <n v="300"/>
  </r>
  <r>
    <x v="100"/>
    <x v="6"/>
    <s v="SHT0040"/>
    <n v="1"/>
    <s v="Shirt"/>
    <s v="Thailand"/>
    <s v="Formal"/>
    <s v="Cotton"/>
    <s v="XXL"/>
    <s v="Dark Green"/>
    <n v="700"/>
  </r>
  <r>
    <x v="100"/>
    <x v="6"/>
    <s v="PNT1078"/>
    <n v="1"/>
    <s v="Pants"/>
    <s v="Peter England"/>
    <s v="Korean"/>
    <s v="Lycra"/>
    <n v="44"/>
    <s v="Mustard"/>
    <n v="750"/>
  </r>
  <r>
    <x v="100"/>
    <x v="6"/>
    <s v="JNS0972"/>
    <n v="1"/>
    <s v="Jeans"/>
    <s v="Denim Pro"/>
    <s v="Baggy"/>
    <s v="Denim"/>
    <n v="34"/>
    <s v="Light Grey"/>
    <n v="850"/>
  </r>
  <r>
    <x v="100"/>
    <x v="6"/>
    <s v="JNS1002"/>
    <n v="1"/>
    <s v="Jeans"/>
    <s v="Locomotive"/>
    <s v="Jogger"/>
    <s v="Denim"/>
    <n v="42"/>
    <s v="Dark Green"/>
    <n v="1050"/>
  </r>
  <r>
    <x v="101"/>
    <x v="6"/>
    <s v="TSH0439"/>
    <n v="1"/>
    <s v="T-Shirt"/>
    <s v="Thailand"/>
    <s v="Full Sleeve"/>
    <s v="Poly Cotton"/>
    <s v="XL"/>
    <s v="Peach"/>
    <n v="720"/>
  </r>
  <r>
    <x v="102"/>
    <x v="6"/>
    <s v="JNS0984"/>
    <n v="1"/>
    <s v="Jeans"/>
    <s v="Denim Pro"/>
    <s v="Mom Fit"/>
    <s v="Denim"/>
    <n v="30"/>
    <s v="Royal Blue"/>
    <n v="980"/>
  </r>
  <r>
    <x v="103"/>
    <x v="6"/>
    <s v="TSH0764"/>
    <n v="1"/>
    <s v="T-Shirt"/>
    <s v="Campus"/>
    <s v="3/4 Sleeve"/>
    <s v="Cotton"/>
    <s v="XXL"/>
    <s v="Bottle Green"/>
    <n v="280"/>
  </r>
  <r>
    <x v="103"/>
    <x v="6"/>
    <s v="SHT0088"/>
    <n v="1"/>
    <s v="Shirt"/>
    <s v="Luke &amp; Burg"/>
    <s v="Formal"/>
    <s v="Polyester"/>
    <s v="M"/>
    <s v="White"/>
    <n v="660"/>
  </r>
  <r>
    <x v="103"/>
    <x v="6"/>
    <s v="SHT0035"/>
    <n v="1"/>
    <s v="Shirt"/>
    <s v="Luke &amp; Burg"/>
    <s v="Formal"/>
    <s v="Cotton Blend"/>
    <s v="XL"/>
    <s v="Charcoal"/>
    <n v="680"/>
  </r>
  <r>
    <x v="104"/>
    <x v="6"/>
    <s v="JNS0979"/>
    <n v="1"/>
    <s v="Jeans"/>
    <s v="Denim Pro"/>
    <s v="Jogger"/>
    <s v="Denim"/>
    <n v="34"/>
    <s v="Wine"/>
    <n v="940"/>
  </r>
  <r>
    <x v="104"/>
    <x v="6"/>
    <s v="INW1380"/>
    <n v="1"/>
    <s v="Innerwear"/>
    <s v="V Star"/>
    <s v="Boxer"/>
    <s v="Cotton Blend"/>
    <s v="80-85"/>
    <s v="Black"/>
    <n v="130"/>
  </r>
  <r>
    <x v="104"/>
    <x v="6"/>
    <s v="INW1456"/>
    <n v="1"/>
    <s v="Innerwear"/>
    <s v="Rupa"/>
    <s v="Boxer"/>
    <s v="Cotton"/>
    <s v="85-90"/>
    <s v="Navy Blue"/>
    <n v="140"/>
  </r>
  <r>
    <x v="105"/>
    <x v="6"/>
    <s v="TSH0423"/>
    <n v="1"/>
    <s v="T-Shirt"/>
    <s v="Max"/>
    <s v="Sleeveless"/>
    <s v="Cotton"/>
    <s v="XL"/>
    <s v="Dark Green"/>
    <n v="620"/>
  </r>
  <r>
    <x v="106"/>
    <x v="6"/>
    <s v="PNT1274"/>
    <n v="1"/>
    <s v="Pants"/>
    <s v="Louis Philippe"/>
    <s v="Korean"/>
    <s v="Lycra"/>
    <n v="42"/>
    <s v="Royal Blue"/>
    <n v="900"/>
  </r>
  <r>
    <x v="106"/>
    <x v="6"/>
    <s v="JNS0957"/>
    <n v="1"/>
    <s v="Jeans"/>
    <s v="Spykar"/>
    <s v="Baggy"/>
    <s v="Denim"/>
    <n v="44"/>
    <s v="Cream"/>
    <n v="990"/>
  </r>
  <r>
    <x v="107"/>
    <x v="7"/>
    <s v="TSH0759"/>
    <n v="1"/>
    <s v="T-Shirt"/>
    <s v="Turkey"/>
    <s v="Sleeveless"/>
    <s v="Poly Cotton"/>
    <s v="S"/>
    <s v="Mustard"/>
    <n v="690"/>
  </r>
  <r>
    <x v="107"/>
    <x v="7"/>
    <s v="TSH0395"/>
    <n v="1"/>
    <s v="T-Shirt"/>
    <s v="Max"/>
    <s v="3/4 Sleeve"/>
    <s v="Cotton Blend"/>
    <s v="XXL"/>
    <s v="Maroon"/>
    <n v="440"/>
  </r>
  <r>
    <x v="108"/>
    <x v="7"/>
    <s v="SHT0177"/>
    <n v="1"/>
    <s v="Shirt"/>
    <s v="Thailand"/>
    <s v="Formal"/>
    <s v="Cotton"/>
    <s v="S"/>
    <s v="Maroon"/>
    <n v="820"/>
  </r>
  <r>
    <x v="109"/>
    <x v="7"/>
    <s v="JNS0870"/>
    <n v="1"/>
    <s v="Jeans"/>
    <s v="Levis"/>
    <s v="Jogger"/>
    <s v="Denim"/>
    <n v="32"/>
    <s v="Grey"/>
    <n v="880"/>
  </r>
  <r>
    <x v="109"/>
    <x v="7"/>
    <s v="JNS1070"/>
    <n v="1"/>
    <s v="Jeans"/>
    <s v="Levis"/>
    <s v="Jogger"/>
    <s v="Denim"/>
    <n v="42"/>
    <s v="Teal"/>
    <n v="780"/>
  </r>
  <r>
    <x v="110"/>
    <x v="7"/>
    <s v="TSH0512"/>
    <n v="1"/>
    <s v="T-Shirt"/>
    <s v="Thailand"/>
    <s v="Hoodie"/>
    <s v="Cotton"/>
    <s v="M"/>
    <s v="Sky Blue"/>
    <n v="590"/>
  </r>
  <r>
    <x v="110"/>
    <x v="7"/>
    <s v="PNT1170"/>
    <n v="1"/>
    <s v="Pants"/>
    <s v="Peter England"/>
    <s v="Kurka"/>
    <s v="Lycra"/>
    <n v="32"/>
    <s v="Royal Blue"/>
    <n v="740"/>
  </r>
  <r>
    <x v="110"/>
    <x v="7"/>
    <s v="SHT0258"/>
    <n v="1"/>
    <s v="Shirt"/>
    <s v="Max"/>
    <s v="Casual"/>
    <s v="Polyester"/>
    <s v="S"/>
    <s v="Teal"/>
    <n v="880"/>
  </r>
  <r>
    <x v="111"/>
    <x v="7"/>
    <s v="JNS0786"/>
    <n v="1"/>
    <s v="Jeans"/>
    <s v="Levis"/>
    <s v="Jogger"/>
    <s v="Denim"/>
    <n v="42"/>
    <s v="Peach"/>
    <n v="870"/>
  </r>
  <r>
    <x v="111"/>
    <x v="7"/>
    <s v="INW1505"/>
    <n v="1"/>
    <s v="Innerwear"/>
    <s v="Jockey"/>
    <s v="V-Cut"/>
    <s v="Cotton Blend"/>
    <s v="90-100"/>
    <s v="Wine"/>
    <n v="100"/>
  </r>
  <r>
    <x v="112"/>
    <x v="7"/>
    <s v="TSH0626"/>
    <n v="1"/>
    <s v="T-Shirt"/>
    <s v="Thailand"/>
    <s v="Half Sleeve"/>
    <s v="Poly Cotton"/>
    <s v="M"/>
    <s v="Dark Green"/>
    <n v="450"/>
  </r>
  <r>
    <x v="112"/>
    <x v="7"/>
    <s v="SHT0095"/>
    <n v="1"/>
    <s v="Shirt"/>
    <s v="Luke &amp; Burg"/>
    <s v="Casual"/>
    <s v="Lycra"/>
    <s v="S"/>
    <s v="Light Grey"/>
    <n v="740"/>
  </r>
  <r>
    <x v="112"/>
    <x v="7"/>
    <s v="INW1585"/>
    <n v="1"/>
    <s v="Innerwear"/>
    <s v="Dollar"/>
    <s v="Boxer"/>
    <s v="Cotton Blend"/>
    <s v="105-110"/>
    <s v="Mustard"/>
    <n v="190"/>
  </r>
  <r>
    <x v="113"/>
    <x v="7"/>
    <s v="TSH0522"/>
    <n v="1"/>
    <s v="T-Shirt"/>
    <s v="Turkey"/>
    <s v="Full Sleeve"/>
    <s v="Poly Cotton"/>
    <s v="XL"/>
    <s v="Peach"/>
    <n v="440"/>
  </r>
  <r>
    <x v="113"/>
    <x v="7"/>
    <s v="SHT0328"/>
    <n v="1"/>
    <s v="Shirt"/>
    <s v="British"/>
    <s v="Casual"/>
    <s v="Polyester"/>
    <s v="XXL"/>
    <s v="Grey"/>
    <n v="900"/>
  </r>
  <r>
    <x v="113"/>
    <x v="7"/>
    <s v="PNT1145"/>
    <n v="1"/>
    <s v="Pants"/>
    <s v="Park Avenue"/>
    <s v="Kurka"/>
    <s v="Lycra"/>
    <n v="42"/>
    <s v="Grey"/>
    <n v="700"/>
  </r>
  <r>
    <x v="113"/>
    <x v="7"/>
    <s v="TSH0363"/>
    <n v="1"/>
    <s v="T-Shirt"/>
    <s v="Campus"/>
    <s v="3/4 Sleeve"/>
    <s v="Cotton Blend"/>
    <s v="XL"/>
    <s v="Peach"/>
    <n v="600"/>
  </r>
  <r>
    <x v="114"/>
    <x v="7"/>
    <s v="JNS1042"/>
    <n v="1"/>
    <s v="Jeans"/>
    <s v="Denim Pro"/>
    <s v="Baggy"/>
    <s v="Denim"/>
    <n v="38"/>
    <s v="Cream"/>
    <n v="1080"/>
  </r>
  <r>
    <x v="115"/>
    <x v="7"/>
    <s v="TSH0387"/>
    <n v="1"/>
    <s v="T-Shirt"/>
    <s v="Turkey"/>
    <s v="Half Sleeve"/>
    <s v="Cotton"/>
    <s v="XL"/>
    <s v="Cream"/>
    <n v="280"/>
  </r>
  <r>
    <x v="115"/>
    <x v="7"/>
    <s v="TSH0357"/>
    <n v="1"/>
    <s v="T-Shirt"/>
    <s v="Roadster"/>
    <s v="3/4 Sleeve"/>
    <s v="Cotton Blend"/>
    <s v="XL"/>
    <s v="Cream"/>
    <n v="380"/>
  </r>
  <r>
    <x v="115"/>
    <x v="7"/>
    <s v="SHT0312"/>
    <n v="1"/>
    <s v="Shirt"/>
    <s v="Zara"/>
    <s v="Partywear"/>
    <s v="Lycra"/>
    <s v="M"/>
    <s v="White"/>
    <n v="720"/>
  </r>
  <r>
    <x v="115"/>
    <x v="7"/>
    <s v="JNS0961"/>
    <n v="1"/>
    <s v="Jeans"/>
    <s v="Pepe"/>
    <s v="Mom Fit"/>
    <s v="Denim"/>
    <n v="42"/>
    <s v="Wine"/>
    <n v="1020"/>
  </r>
  <r>
    <x v="116"/>
    <x v="7"/>
    <s v="PNT1228"/>
    <n v="1"/>
    <s v="Pants"/>
    <s v="Raymond"/>
    <s v="Boot Cut"/>
    <s v="Cotton Blend"/>
    <n v="38"/>
    <s v="Dark Green"/>
    <n v="890"/>
  </r>
  <r>
    <x v="116"/>
    <x v="7"/>
    <s v="INW1442"/>
    <n v="1"/>
    <s v="Innerwear"/>
    <s v="Jockey"/>
    <s v="Boxer"/>
    <s v="Cotton Blend"/>
    <s v="85-90"/>
    <s v="Teal"/>
    <n v="180"/>
  </r>
  <r>
    <x v="117"/>
    <x v="7"/>
    <s v="PNT1200"/>
    <n v="1"/>
    <s v="Pants"/>
    <s v="Raymond"/>
    <s v="Korean"/>
    <s v="Lycra"/>
    <n v="42"/>
    <s v="Mustard"/>
    <n v="910"/>
  </r>
  <r>
    <x v="118"/>
    <x v="7"/>
    <s v="PNT1076"/>
    <n v="1"/>
    <s v="Pants"/>
    <s v="Raymond"/>
    <s v="Kurka"/>
    <s v="Lycra"/>
    <n v="42"/>
    <s v="Bottle Green"/>
    <n v="900"/>
  </r>
  <r>
    <x v="118"/>
    <x v="7"/>
    <s v="TSH0747"/>
    <n v="1"/>
    <s v="T-Shirt"/>
    <s v="Zara"/>
    <s v="3/4 Sleeve"/>
    <s v="Cotton"/>
    <s v="XL"/>
    <s v="Charcoal"/>
    <n v="550"/>
  </r>
  <r>
    <x v="118"/>
    <x v="7"/>
    <s v="TSH0491"/>
    <n v="1"/>
    <s v="T-Shirt"/>
    <s v="Roadster"/>
    <s v="Hoodie"/>
    <s v="Cotton"/>
    <s v="XL"/>
    <s v="Maroon"/>
    <n v="260"/>
  </r>
  <r>
    <x v="119"/>
    <x v="7"/>
    <s v="SHT0191"/>
    <n v="1"/>
    <s v="Shirt"/>
    <s v="Thailand"/>
    <s v="Casual"/>
    <s v="Cotton"/>
    <s v="XXL"/>
    <s v="Wine"/>
    <n v="840"/>
  </r>
  <r>
    <x v="120"/>
    <x v="7"/>
    <s v="JNS1053"/>
    <n v="1"/>
    <s v="Jeans"/>
    <s v="Levis"/>
    <s v="Mom Fit"/>
    <s v="Denim"/>
    <n v="30"/>
    <s v="Sky Blue"/>
    <n v="800"/>
  </r>
  <r>
    <x v="120"/>
    <x v="7"/>
    <s v="SHT0128"/>
    <n v="1"/>
    <s v="Shirt"/>
    <s v="Max"/>
    <s v="Formal"/>
    <s v="Polyester"/>
    <s v="L"/>
    <s v="Bottle Green"/>
    <n v="860"/>
  </r>
  <r>
    <x v="120"/>
    <x v="7"/>
    <s v="JNS0800"/>
    <n v="1"/>
    <s v="Jeans"/>
    <s v="Levis"/>
    <s v="Mom Fit"/>
    <s v="Denim"/>
    <n v="34"/>
    <s v="Cream"/>
    <n v="910"/>
  </r>
  <r>
    <x v="120"/>
    <x v="7"/>
    <s v="TSH0532"/>
    <n v="1"/>
    <s v="T-Shirt"/>
    <s v="Urban Monkey"/>
    <s v="Sleeveless"/>
    <s v="Poly Cotton"/>
    <s v="M"/>
    <s v="Olive"/>
    <n v="280"/>
  </r>
  <r>
    <x v="121"/>
    <x v="7"/>
    <s v="JNS0872"/>
    <n v="1"/>
    <s v="Jeans"/>
    <s v="Denim Pro"/>
    <s v="Mom Fit"/>
    <s v="Denim"/>
    <n v="30"/>
    <s v="Peach"/>
    <n v="850"/>
  </r>
  <r>
    <x v="121"/>
    <x v="7"/>
    <s v="INW1597"/>
    <n v="1"/>
    <s v="Innerwear"/>
    <s v="Dollar"/>
    <s v="Boxer"/>
    <s v="Cotton"/>
    <s v="85-90"/>
    <s v="Rust"/>
    <n v="160"/>
  </r>
  <r>
    <x v="122"/>
    <x v="7"/>
    <s v="TSH0467"/>
    <n v="1"/>
    <s v="T-Shirt"/>
    <s v="Campus"/>
    <s v="Hoodie"/>
    <s v="Cotton Blend"/>
    <s v="XL"/>
    <s v="Rust"/>
    <n v="660"/>
  </r>
  <r>
    <x v="122"/>
    <x v="7"/>
    <s v="TSH0427"/>
    <n v="1"/>
    <s v="T-Shirt"/>
    <s v="Max"/>
    <s v="Sleeveless"/>
    <s v="Poly Cotton"/>
    <s v="XL"/>
    <s v="Peach"/>
    <n v="700"/>
  </r>
  <r>
    <x v="122"/>
    <x v="7"/>
    <s v="PNT1127"/>
    <n v="1"/>
    <s v="Pants"/>
    <s v="Van Heusen"/>
    <s v="Boot Cut"/>
    <s v="Poly Viscose"/>
    <n v="30"/>
    <s v="Light Grey"/>
    <n v="750"/>
  </r>
  <r>
    <x v="122"/>
    <x v="7"/>
    <s v="INW1645"/>
    <n v="1"/>
    <s v="Innerwear"/>
    <s v="V Star"/>
    <s v="V-Cut"/>
    <s v="Cotton Blend"/>
    <s v="75-80"/>
    <s v="Maroon"/>
    <n v="100"/>
  </r>
  <r>
    <x v="123"/>
    <x v="8"/>
    <s v="JNS1055"/>
    <n v="1"/>
    <s v="Jeans"/>
    <s v="Denim Pro"/>
    <s v="Mom Fit"/>
    <s v="Denim"/>
    <n v="40"/>
    <s v="Dark Green"/>
    <n v="960"/>
  </r>
  <r>
    <x v="124"/>
    <x v="8"/>
    <s v="INW1602"/>
    <n v="1"/>
    <s v="Innerwear"/>
    <s v="Dollar"/>
    <s v="Boxer"/>
    <s v="Cotton"/>
    <s v="105-110"/>
    <s v="Rust"/>
    <n v="150"/>
  </r>
  <r>
    <x v="124"/>
    <x v="8"/>
    <s v="INW1564"/>
    <n v="1"/>
    <s v="Innerwear"/>
    <s v="V Star"/>
    <s v="Boxer"/>
    <s v="Cotton"/>
    <s v="75-80"/>
    <s v="White"/>
    <n v="110"/>
  </r>
  <r>
    <x v="124"/>
    <x v="8"/>
    <s v="TSH0755"/>
    <n v="1"/>
    <s v="T-Shirt"/>
    <s v="Urban Monkey"/>
    <s v="3/4 Sleeve"/>
    <s v="Cotton Blend"/>
    <s v="M"/>
    <s v="Wine"/>
    <n v="620"/>
  </r>
  <r>
    <x v="124"/>
    <x v="8"/>
    <s v="SHT0291"/>
    <n v="1"/>
    <s v="Shirt"/>
    <s v="Luke &amp; Burg"/>
    <s v="Casual"/>
    <s v="Cotton"/>
    <s v="XL"/>
    <s v="White"/>
    <n v="900"/>
  </r>
  <r>
    <x v="125"/>
    <x v="8"/>
    <s v="JNS0962"/>
    <n v="1"/>
    <s v="Jeans"/>
    <s v="Locomotive"/>
    <s v="Mom Fit"/>
    <s v="Denim"/>
    <n v="42"/>
    <s v="Navy Blue"/>
    <n v="960"/>
  </r>
  <r>
    <x v="125"/>
    <x v="8"/>
    <s v="SHT0156"/>
    <n v="1"/>
    <s v="Shirt"/>
    <s v="Luke &amp; Burg"/>
    <s v="Casual"/>
    <s v="Cotton"/>
    <s v="M"/>
    <s v="Rust"/>
    <n v="700"/>
  </r>
  <r>
    <x v="125"/>
    <x v="8"/>
    <s v="PNT1329"/>
    <n v="1"/>
    <s v="Pants"/>
    <s v="Park Avenue"/>
    <s v="Korean"/>
    <s v="Lycra"/>
    <n v="40"/>
    <s v="Peach"/>
    <n v="930"/>
  </r>
  <r>
    <x v="126"/>
    <x v="8"/>
    <s v="JNS0825"/>
    <n v="1"/>
    <s v="Jeans"/>
    <s v="Spykar"/>
    <s v="Jogger"/>
    <s v="Denim"/>
    <n v="34"/>
    <s v="Grey"/>
    <n v="1030"/>
  </r>
  <r>
    <x v="126"/>
    <x v="8"/>
    <s v="TSH0550"/>
    <n v="1"/>
    <s v="T-Shirt"/>
    <s v="Max"/>
    <s v="Full Sleeve"/>
    <s v="Cotton"/>
    <s v="M"/>
    <s v="Grey"/>
    <n v="750"/>
  </r>
  <r>
    <x v="126"/>
    <x v="8"/>
    <s v="TSH0548"/>
    <n v="1"/>
    <s v="T-Shirt"/>
    <s v="Turkey"/>
    <s v="Sleeveless"/>
    <s v="Cotton Blend"/>
    <s v="S"/>
    <s v="Rust"/>
    <n v="620"/>
  </r>
  <r>
    <x v="126"/>
    <x v="8"/>
    <s v="PNT1235"/>
    <n v="1"/>
    <s v="Pants"/>
    <s v="Van Heusen"/>
    <s v="Kurka"/>
    <s v="Lycra"/>
    <n v="44"/>
    <s v="White"/>
    <n v="880"/>
  </r>
  <r>
    <x v="127"/>
    <x v="8"/>
    <s v="INW1632"/>
    <n v="1"/>
    <s v="Innerwear"/>
    <s v="V Star"/>
    <s v="V-Cut"/>
    <s v="Cotton Blend"/>
    <s v="90-100"/>
    <s v="Brown"/>
    <n v="130"/>
  </r>
  <r>
    <x v="128"/>
    <x v="8"/>
    <s v="JNS0821"/>
    <n v="1"/>
    <s v="Jeans"/>
    <s v="Denim Pro"/>
    <s v="Mom Fit"/>
    <s v="Denim"/>
    <n v="34"/>
    <s v="Peach"/>
    <n v="990"/>
  </r>
  <r>
    <x v="129"/>
    <x v="8"/>
    <s v="SHT0308"/>
    <n v="1"/>
    <s v="Shirt"/>
    <s v="H&amp;M"/>
    <s v="Partywear"/>
    <s v="Cotton Blend"/>
    <s v="L"/>
    <s v="Sky Blue"/>
    <n v="750"/>
  </r>
  <r>
    <x v="130"/>
    <x v="8"/>
    <s v="TSH0589"/>
    <n v="1"/>
    <s v="T-Shirt"/>
    <s v="Zara"/>
    <s v="Full Sleeve"/>
    <s v="Cotton"/>
    <s v="M"/>
    <s v="Mustard"/>
    <n v="500"/>
  </r>
  <r>
    <x v="131"/>
    <x v="8"/>
    <s v="INW1500"/>
    <n v="1"/>
    <s v="Innerwear"/>
    <s v="Rupa"/>
    <s v="Boxer"/>
    <s v="Cotton Blend"/>
    <s v="75-80"/>
    <s v="Teal"/>
    <n v="120"/>
  </r>
  <r>
    <x v="131"/>
    <x v="8"/>
    <s v="JNS0810"/>
    <n v="1"/>
    <s v="Jeans"/>
    <s v="Levis"/>
    <s v="Baggy"/>
    <s v="Denim"/>
    <n v="36"/>
    <s v="White"/>
    <n v="1020"/>
  </r>
  <r>
    <x v="131"/>
    <x v="8"/>
    <s v="TSH0743"/>
    <n v="1"/>
    <s v="T-Shirt"/>
    <s v="Roadster"/>
    <s v="Half Sleeve"/>
    <s v="Cotton Blend"/>
    <s v="M"/>
    <s v="Bottle Green"/>
    <n v="500"/>
  </r>
  <r>
    <x v="132"/>
    <x v="8"/>
    <s v="INW1424"/>
    <n v="1"/>
    <s v="Innerwear"/>
    <s v="Dollar"/>
    <s v="V-Cut"/>
    <s v="Cotton Blend"/>
    <s v="75-80"/>
    <s v="Sky Blue"/>
    <n v="180"/>
  </r>
  <r>
    <x v="132"/>
    <x v="8"/>
    <s v="PNT1230"/>
    <n v="1"/>
    <s v="Pants"/>
    <s v="Louis Philippe"/>
    <s v="Polofit"/>
    <s v="Lycra"/>
    <n v="36"/>
    <s v="Grey"/>
    <n v="860"/>
  </r>
  <r>
    <x v="132"/>
    <x v="8"/>
    <s v="JNS1050"/>
    <n v="1"/>
    <s v="Jeans"/>
    <s v="Pepe"/>
    <s v="Mom Fit"/>
    <s v="Denim"/>
    <n v="38"/>
    <s v="Cream"/>
    <n v="870"/>
  </r>
  <r>
    <x v="132"/>
    <x v="8"/>
    <s v="PNT1319"/>
    <n v="1"/>
    <s v="Pants"/>
    <s v="Raymond"/>
    <s v="Polofit"/>
    <s v="Lycra"/>
    <n v="42"/>
    <s v="Bottle Green"/>
    <n v="810"/>
  </r>
  <r>
    <x v="133"/>
    <x v="8"/>
    <s v="PNT1107"/>
    <n v="1"/>
    <s v="Pants"/>
    <s v="Park Avenue"/>
    <s v="Kurka"/>
    <s v="Lycra"/>
    <n v="30"/>
    <s v="Olive"/>
    <n v="830"/>
  </r>
  <r>
    <x v="133"/>
    <x v="8"/>
    <s v="TSH0483"/>
    <n v="1"/>
    <s v="T-Shirt"/>
    <s v="Zara"/>
    <s v="Hoodie"/>
    <s v="Cotton Blend"/>
    <s v="S"/>
    <s v="Teal"/>
    <n v="440"/>
  </r>
  <r>
    <x v="134"/>
    <x v="8"/>
    <s v="PNT1224"/>
    <n v="1"/>
    <s v="Pants"/>
    <s v="Louis Philippe"/>
    <s v="Polofit"/>
    <s v="Lycra"/>
    <n v="34"/>
    <s v="Grey"/>
    <n v="870"/>
  </r>
  <r>
    <x v="134"/>
    <x v="8"/>
    <s v="JNS0799"/>
    <n v="1"/>
    <s v="Jeans"/>
    <s v="Spykar"/>
    <s v="Baggy"/>
    <s v="Denim"/>
    <n v="28"/>
    <s v="Sky Blue"/>
    <n v="830"/>
  </r>
  <r>
    <x v="135"/>
    <x v="8"/>
    <s v="TSH0486"/>
    <n v="1"/>
    <s v="T-Shirt"/>
    <s v="Max"/>
    <s v="Half Sleeve"/>
    <s v="Cotton"/>
    <s v="XXL"/>
    <s v="Teal"/>
    <n v="210"/>
  </r>
  <r>
    <x v="135"/>
    <x v="8"/>
    <s v="INW1375"/>
    <n v="1"/>
    <s v="Innerwear"/>
    <s v="Rupa"/>
    <s v="V-Cut"/>
    <s v="Cotton"/>
    <s v="90-100"/>
    <s v="Brown"/>
    <n v="100"/>
  </r>
  <r>
    <x v="135"/>
    <x v="8"/>
    <s v="TSH0692"/>
    <n v="1"/>
    <s v="T-Shirt"/>
    <s v="Max"/>
    <s v="Sleeveless"/>
    <s v="Cotton Blend"/>
    <s v="L"/>
    <s v="Peach"/>
    <n v="550"/>
  </r>
  <r>
    <x v="135"/>
    <x v="8"/>
    <s v="JNS0788"/>
    <n v="1"/>
    <s v="Jeans"/>
    <s v="Levis"/>
    <s v="Jogger"/>
    <s v="Denim"/>
    <n v="40"/>
    <s v="Charcoal"/>
    <n v="840"/>
  </r>
  <r>
    <x v="136"/>
    <x v="8"/>
    <s v="SHT0224"/>
    <n v="1"/>
    <s v="Shirt"/>
    <s v="L7"/>
    <s v="Partywear"/>
    <s v="Lycra"/>
    <s v="L"/>
    <s v="Brown"/>
    <n v="750"/>
  </r>
  <r>
    <x v="136"/>
    <x v="8"/>
    <s v="PNT1332"/>
    <n v="1"/>
    <s v="Pants"/>
    <s v="Louis Philippe"/>
    <s v="Korean"/>
    <s v="Lycra"/>
    <n v="38"/>
    <s v="Brown"/>
    <n v="750"/>
  </r>
  <r>
    <x v="137"/>
    <x v="8"/>
    <s v="SHT0117"/>
    <n v="1"/>
    <s v="Shirt"/>
    <s v="H&amp;M"/>
    <s v="Casual"/>
    <s v="Polyester"/>
    <s v="XL"/>
    <s v="Brown"/>
    <n v="910"/>
  </r>
  <r>
    <x v="138"/>
    <x v="8"/>
    <s v="SHT0211"/>
    <n v="1"/>
    <s v="Shirt"/>
    <s v="H&amp;M"/>
    <s v="Partywear"/>
    <s v="Cotton"/>
    <s v="XXL"/>
    <s v="Wine"/>
    <n v="660"/>
  </r>
  <r>
    <x v="138"/>
    <x v="8"/>
    <s v="PNT1146"/>
    <n v="1"/>
    <s v="Pants"/>
    <s v="Park Avenue"/>
    <s v="Jogger"/>
    <s v="Poly Viscose"/>
    <n v="28"/>
    <s v="Wine"/>
    <n v="800"/>
  </r>
  <r>
    <x v="139"/>
    <x v="8"/>
    <s v="PNT1171"/>
    <n v="1"/>
    <s v="Pants"/>
    <s v="Louis Philippe"/>
    <s v="Boot Cut"/>
    <s v="Cotton Blend"/>
    <n v="32"/>
    <s v="Beige"/>
    <n v="810"/>
  </r>
  <r>
    <x v="139"/>
    <x v="8"/>
    <s v="JNS0935"/>
    <n v="1"/>
    <s v="Jeans"/>
    <s v="Denim Pro"/>
    <s v="Jogger"/>
    <s v="Denim"/>
    <n v="38"/>
    <s v="Cream"/>
    <n v="830"/>
  </r>
  <r>
    <x v="139"/>
    <x v="8"/>
    <s v="TSH0688"/>
    <n v="1"/>
    <s v="T-Shirt"/>
    <s v="Zara"/>
    <s v="Full Sleeve"/>
    <s v="Cotton Blend"/>
    <s v="XL"/>
    <s v="Cream"/>
    <n v="650"/>
  </r>
  <r>
    <x v="140"/>
    <x v="9"/>
    <s v="SHT0010"/>
    <n v="1"/>
    <s v="Shirt"/>
    <s v="L7"/>
    <s v="Casual"/>
    <s v="Cotton Blend"/>
    <s v="XL"/>
    <s v="Teal"/>
    <n v="940"/>
  </r>
  <r>
    <x v="140"/>
    <x v="9"/>
    <s v="PNT1282"/>
    <n v="1"/>
    <s v="Pants"/>
    <s v="Park Avenue"/>
    <s v="Boot Cut"/>
    <s v="Cotton"/>
    <n v="44"/>
    <s v="Royal Blue"/>
    <n v="950"/>
  </r>
  <r>
    <x v="140"/>
    <x v="9"/>
    <s v="INW1521"/>
    <n v="1"/>
    <s v="Innerwear"/>
    <s v="Jockey"/>
    <s v="Boxer"/>
    <s v="Cotton"/>
    <s v="85-90"/>
    <s v="Rust"/>
    <n v="170"/>
  </r>
  <r>
    <x v="140"/>
    <x v="9"/>
    <s v="JNS0937"/>
    <n v="1"/>
    <s v="Jeans"/>
    <s v="Spykar"/>
    <s v="Baggy"/>
    <s v="Denim"/>
    <n v="32"/>
    <s v="Wine"/>
    <n v="1070"/>
  </r>
  <r>
    <x v="141"/>
    <x v="9"/>
    <s v="INW1427"/>
    <n v="1"/>
    <s v="Innerwear"/>
    <s v="Lux"/>
    <s v="Boxer"/>
    <s v="Cotton"/>
    <s v="105-110"/>
    <s v="Maroon"/>
    <n v="180"/>
  </r>
  <r>
    <x v="142"/>
    <x v="9"/>
    <s v="TSH0446"/>
    <n v="1"/>
    <s v="T-Shirt"/>
    <s v="Urban Monkey"/>
    <s v="Half Sleeve"/>
    <s v="Cotton"/>
    <s v="S"/>
    <s v="Cream"/>
    <n v="700"/>
  </r>
  <r>
    <x v="142"/>
    <x v="9"/>
    <s v="TSH0700"/>
    <n v="1"/>
    <s v="T-Shirt"/>
    <s v="Turkey"/>
    <s v="Full Sleeve"/>
    <s v="Poly Cotton"/>
    <s v="XXL"/>
    <s v="Maroon"/>
    <n v="530"/>
  </r>
  <r>
    <x v="143"/>
    <x v="9"/>
    <s v="PNT1135"/>
    <n v="1"/>
    <s v="Pants"/>
    <s v="Van Heusen"/>
    <s v="Polofit"/>
    <s v="Lycra"/>
    <n v="40"/>
    <s v="Light Grey"/>
    <n v="890"/>
  </r>
  <r>
    <x v="144"/>
    <x v="9"/>
    <s v="INW1440"/>
    <n v="1"/>
    <s v="Innerwear"/>
    <s v="Lux"/>
    <s v="Boxer"/>
    <s v="Cotton"/>
    <s v="105-110"/>
    <s v="Light Grey"/>
    <n v="100"/>
  </r>
  <r>
    <x v="144"/>
    <x v="9"/>
    <s v="TSH0362"/>
    <n v="1"/>
    <s v="T-Shirt"/>
    <s v="Thailand"/>
    <s v="Full Sleeve"/>
    <s v="Cotton Blend"/>
    <s v="XXL"/>
    <s v="Charcoal"/>
    <n v="350"/>
  </r>
  <r>
    <x v="144"/>
    <x v="9"/>
    <s v="SHT0046"/>
    <n v="1"/>
    <s v="Shirt"/>
    <s v="L7"/>
    <s v="Formal"/>
    <s v="Polyester"/>
    <s v="XXL"/>
    <s v="Light Grey"/>
    <n v="900"/>
  </r>
  <r>
    <x v="145"/>
    <x v="9"/>
    <s v="INW1618"/>
    <n v="1"/>
    <s v="Innerwear"/>
    <s v="Rupa"/>
    <s v="V-Cut"/>
    <s v="Cotton"/>
    <s v="75-80"/>
    <s v="Bottle Green"/>
    <n v="180"/>
  </r>
  <r>
    <x v="145"/>
    <x v="9"/>
    <s v="TSH0714"/>
    <n v="1"/>
    <s v="T-Shirt"/>
    <s v="Campus"/>
    <s v="3/4 Sleeve"/>
    <s v="Cotton"/>
    <s v="M"/>
    <s v="Cream"/>
    <n v="720"/>
  </r>
  <r>
    <x v="145"/>
    <x v="9"/>
    <s v="TSH0563"/>
    <n v="1"/>
    <s v="T-Shirt"/>
    <s v="Urban Monkey"/>
    <s v="Sleeveless"/>
    <s v="Poly Cotton"/>
    <s v="XL"/>
    <s v="Wine"/>
    <n v="360"/>
  </r>
  <r>
    <x v="146"/>
    <x v="9"/>
    <s v="TSH0513"/>
    <n v="1"/>
    <s v="T-Shirt"/>
    <s v="Turkey"/>
    <s v="3/4 Sleeve"/>
    <s v="Poly Cotton"/>
    <s v="S"/>
    <s v="Charcoal"/>
    <n v="680"/>
  </r>
  <r>
    <x v="146"/>
    <x v="9"/>
    <s v="TSH0747"/>
    <n v="1"/>
    <s v="T-Shirt"/>
    <s v="Zara"/>
    <s v="3/4 Sleeve"/>
    <s v="Cotton"/>
    <s v="XL"/>
    <s v="Charcoal"/>
    <n v="550"/>
  </r>
  <r>
    <x v="146"/>
    <x v="9"/>
    <s v="TSH0659"/>
    <n v="1"/>
    <s v="T-Shirt"/>
    <s v="Roadster"/>
    <s v="3/4 Sleeve"/>
    <s v="Cotton"/>
    <s v="M"/>
    <s v="Light Grey"/>
    <n v="410"/>
  </r>
  <r>
    <x v="146"/>
    <x v="9"/>
    <s v="TSH0395"/>
    <n v="1"/>
    <s v="T-Shirt"/>
    <s v="Max"/>
    <s v="3/4 Sleeve"/>
    <s v="Cotton Blend"/>
    <s v="XXL"/>
    <s v="Maroon"/>
    <n v="440"/>
  </r>
  <r>
    <x v="147"/>
    <x v="9"/>
    <s v="TSH0550"/>
    <n v="1"/>
    <s v="T-Shirt"/>
    <s v="Max"/>
    <s v="Full Sleeve"/>
    <s v="Cotton"/>
    <s v="M"/>
    <s v="Grey"/>
    <n v="750"/>
  </r>
  <r>
    <x v="147"/>
    <x v="9"/>
    <s v="PNT1305"/>
    <n v="1"/>
    <s v="Pants"/>
    <s v="Louis Philippe"/>
    <s v="Jogger"/>
    <s v="Poly Viscose"/>
    <n v="40"/>
    <s v="Olive"/>
    <n v="830"/>
  </r>
  <r>
    <x v="147"/>
    <x v="9"/>
    <s v="JNS1018"/>
    <n v="1"/>
    <s v="Jeans"/>
    <s v="Wrangler"/>
    <s v="Baggy"/>
    <s v="Denim"/>
    <n v="28"/>
    <s v="Dark Green"/>
    <n v="990"/>
  </r>
  <r>
    <x v="148"/>
    <x v="9"/>
    <s v="INW1448"/>
    <n v="1"/>
    <s v="Innerwear"/>
    <s v="V Star"/>
    <s v="Boxer"/>
    <s v="Cotton Blend"/>
    <s v="105-110"/>
    <s v="Royal Blue"/>
    <n v="140"/>
  </r>
  <r>
    <x v="148"/>
    <x v="9"/>
    <s v="TSH0493"/>
    <n v="1"/>
    <s v="T-Shirt"/>
    <s v="Turkey"/>
    <s v="Half Sleeve"/>
    <s v="Cotton"/>
    <s v="M"/>
    <s v="Light Grey"/>
    <n v="400"/>
  </r>
  <r>
    <x v="148"/>
    <x v="9"/>
    <s v="INW1372"/>
    <n v="1"/>
    <s v="Innerwear"/>
    <s v="Rupa"/>
    <s v="Boxer"/>
    <s v="Cotton"/>
    <s v="100-105"/>
    <s v="Rust"/>
    <n v="160"/>
  </r>
  <r>
    <x v="148"/>
    <x v="9"/>
    <s v="TSH0490"/>
    <n v="1"/>
    <s v="T-Shirt"/>
    <s v="Zara"/>
    <s v="Hoodie"/>
    <s v="Cotton"/>
    <s v="XXL"/>
    <s v="Maroon"/>
    <n v="740"/>
  </r>
  <r>
    <x v="149"/>
    <x v="9"/>
    <s v="PNT1256"/>
    <n v="1"/>
    <s v="Pants"/>
    <s v="Peter England"/>
    <s v="Polofit"/>
    <s v="Lycra"/>
    <n v="44"/>
    <s v="Light Grey"/>
    <n v="930"/>
  </r>
  <r>
    <x v="150"/>
    <x v="9"/>
    <s v="PNT1074"/>
    <n v="1"/>
    <s v="Pants"/>
    <s v="Van Heusen"/>
    <s v="Boot Cut"/>
    <s v="Cotton"/>
    <n v="40"/>
    <s v="Teal"/>
    <n v="940"/>
  </r>
  <r>
    <x v="150"/>
    <x v="9"/>
    <s v="TSH0380"/>
    <n v="1"/>
    <s v="T-Shirt"/>
    <s v="Urban Monkey"/>
    <s v="Full Sleeve"/>
    <s v="Poly Cotton"/>
    <s v="S"/>
    <s v="Wine"/>
    <n v="480"/>
  </r>
  <r>
    <x v="151"/>
    <x v="9"/>
    <s v="INW1501"/>
    <n v="1"/>
    <s v="Innerwear"/>
    <s v="Jockey"/>
    <s v="V-Cut"/>
    <s v="Cotton Blend"/>
    <s v="85-90"/>
    <s v="Cream"/>
    <n v="170"/>
  </r>
  <r>
    <x v="151"/>
    <x v="9"/>
    <s v="TSH0580"/>
    <n v="1"/>
    <s v="T-Shirt"/>
    <s v="Turkey"/>
    <s v="Half Sleeve"/>
    <s v="Poly Cotton"/>
    <s v="XL"/>
    <s v="Brown"/>
    <n v="700"/>
  </r>
  <r>
    <x v="152"/>
    <x v="9"/>
    <s v="TSH0666"/>
    <n v="1"/>
    <s v="T-Shirt"/>
    <s v="Campus"/>
    <s v="3/4 Sleeve"/>
    <s v="Cotton Blend"/>
    <s v="M"/>
    <s v="Royal Blue"/>
    <n v="290"/>
  </r>
  <r>
    <x v="152"/>
    <x v="9"/>
    <s v="INW1492"/>
    <n v="1"/>
    <s v="Innerwear"/>
    <s v="Rupa"/>
    <s v="Boxer"/>
    <s v="Cotton Blend"/>
    <s v="90-100"/>
    <s v="Black"/>
    <n v="170"/>
  </r>
  <r>
    <x v="152"/>
    <x v="9"/>
    <s v="SHT0256"/>
    <n v="1"/>
    <s v="Shirt"/>
    <s v="USD"/>
    <s v="Partywear"/>
    <s v="Cotton Blend"/>
    <s v="L"/>
    <s v="Sky Blue"/>
    <n v="780"/>
  </r>
  <r>
    <x v="152"/>
    <x v="9"/>
    <s v="TSH0505"/>
    <n v="1"/>
    <s v="T-Shirt"/>
    <s v="Turkey"/>
    <s v="Full Sleeve"/>
    <s v="Cotton Blend"/>
    <s v="L"/>
    <s v="Cream"/>
    <n v="460"/>
  </r>
  <r>
    <x v="153"/>
    <x v="9"/>
    <s v="INW1527"/>
    <n v="1"/>
    <s v="Innerwear"/>
    <s v="V Star"/>
    <s v="V-Cut"/>
    <s v="Cotton"/>
    <s v="75-80"/>
    <s v="Maroon"/>
    <n v="130"/>
  </r>
  <r>
    <x v="153"/>
    <x v="9"/>
    <s v="SHT0022"/>
    <n v="1"/>
    <s v="Shirt"/>
    <s v="H&amp;M"/>
    <s v="Partywear"/>
    <s v="Lycra"/>
    <s v="M"/>
    <s v="Teal"/>
    <n v="930"/>
  </r>
  <r>
    <x v="153"/>
    <x v="9"/>
    <s v="INW1371"/>
    <n v="1"/>
    <s v="Innerwear"/>
    <s v="V Star"/>
    <s v="V-Cut"/>
    <s v="Cotton"/>
    <s v="80-85"/>
    <s v="Mustard"/>
    <n v="100"/>
  </r>
  <r>
    <x v="153"/>
    <x v="9"/>
    <s v="INW1562"/>
    <n v="1"/>
    <s v="Innerwear"/>
    <s v="Lux"/>
    <s v="Boxer"/>
    <s v="Cotton"/>
    <s v="80-85"/>
    <s v="Maroon"/>
    <n v="100"/>
  </r>
  <r>
    <x v="154"/>
    <x v="10"/>
    <s v="SHT0303"/>
    <n v="1"/>
    <s v="Shirt"/>
    <s v="G Studio"/>
    <s v="Casual"/>
    <s v="Polyester"/>
    <s v="S"/>
    <s v="Maroon"/>
    <n v="880"/>
  </r>
  <r>
    <x v="155"/>
    <x v="10"/>
    <s v="SHT0083"/>
    <n v="1"/>
    <s v="Shirt"/>
    <s v="H&amp;M"/>
    <s v="Casual"/>
    <s v="Polyester"/>
    <s v="S"/>
    <s v="Grey"/>
    <n v="750"/>
  </r>
  <r>
    <x v="155"/>
    <x v="10"/>
    <s v="PNT1202"/>
    <n v="1"/>
    <s v="Pants"/>
    <s v="Louis Philippe"/>
    <s v="Korean"/>
    <s v="Lycra"/>
    <n v="34"/>
    <s v="Rust"/>
    <n v="730"/>
  </r>
  <r>
    <x v="156"/>
    <x v="10"/>
    <s v="TSH0747"/>
    <n v="1"/>
    <s v="T-Shirt"/>
    <s v="Zara"/>
    <s v="3/4 Sleeve"/>
    <s v="Cotton"/>
    <s v="XL"/>
    <s v="Charcoal"/>
    <n v="550"/>
  </r>
  <r>
    <x v="156"/>
    <x v="10"/>
    <s v="TSH0607"/>
    <n v="1"/>
    <s v="T-Shirt"/>
    <s v="Zara"/>
    <s v="Half Sleeve"/>
    <s v="Cotton Blend"/>
    <s v="M"/>
    <s v="Royal Blue"/>
    <n v="410"/>
  </r>
  <r>
    <x v="157"/>
    <x v="10"/>
    <s v="JNS0791"/>
    <n v="1"/>
    <s v="Jeans"/>
    <s v="Denim Pro"/>
    <s v="Jogger"/>
    <s v="Denim"/>
    <n v="40"/>
    <s v="Grey"/>
    <n v="870"/>
  </r>
  <r>
    <x v="158"/>
    <x v="10"/>
    <s v="JNS0779"/>
    <n v="1"/>
    <s v="Jeans"/>
    <s v="Denim Pro"/>
    <s v="Baggy"/>
    <s v="Denim"/>
    <n v="34"/>
    <s v="Charcoal"/>
    <n v="800"/>
  </r>
  <r>
    <x v="158"/>
    <x v="10"/>
    <s v="JNS1035"/>
    <n v="1"/>
    <s v="Jeans"/>
    <s v="Levis"/>
    <s v="Baggy"/>
    <s v="Denim"/>
    <n v="40"/>
    <s v="Charcoal"/>
    <n v="1070"/>
  </r>
  <r>
    <x v="159"/>
    <x v="10"/>
    <s v="SHT0095"/>
    <n v="1"/>
    <s v="Shirt"/>
    <s v="Luke &amp; Burg"/>
    <s v="Casual"/>
    <s v="Lycra"/>
    <s v="S"/>
    <s v="Light Grey"/>
    <n v="740"/>
  </r>
  <r>
    <x v="160"/>
    <x v="10"/>
    <s v="TSH0627"/>
    <n v="1"/>
    <s v="T-Shirt"/>
    <s v="Urban Monkey"/>
    <s v="Full Sleeve"/>
    <s v="Cotton"/>
    <s v="XL"/>
    <s v="Cream"/>
    <n v="500"/>
  </r>
  <r>
    <x v="160"/>
    <x v="10"/>
    <s v="JNS0796"/>
    <n v="1"/>
    <s v="Jeans"/>
    <s v="Pepe"/>
    <s v="Baggy"/>
    <s v="Denim"/>
    <n v="38"/>
    <s v="Bottle Green"/>
    <n v="820"/>
  </r>
  <r>
    <x v="160"/>
    <x v="10"/>
    <s v="JNS0855"/>
    <n v="1"/>
    <s v="Jeans"/>
    <s v="Denim Pro"/>
    <s v="Jogger"/>
    <s v="Denim"/>
    <n v="40"/>
    <s v="Light Grey"/>
    <n v="1020"/>
  </r>
  <r>
    <x v="160"/>
    <x v="10"/>
    <s v="TSH0678"/>
    <n v="1"/>
    <s v="T-Shirt"/>
    <s v="Urban Monkey"/>
    <s v="3/4 Sleeve"/>
    <s v="Poly Cotton"/>
    <s v="S"/>
    <s v="Brown"/>
    <n v="420"/>
  </r>
  <r>
    <x v="161"/>
    <x v="10"/>
    <s v="SHT0183"/>
    <n v="1"/>
    <s v="Shirt"/>
    <s v="L7"/>
    <s v="Casual"/>
    <s v="Lycra"/>
    <s v="S"/>
    <s v="Maroon"/>
    <n v="950"/>
  </r>
  <r>
    <x v="161"/>
    <x v="10"/>
    <s v="PNT1140"/>
    <n v="1"/>
    <s v="Pants"/>
    <s v="Peter England"/>
    <s v="Korean"/>
    <s v="Lycra"/>
    <n v="28"/>
    <s v="Brown"/>
    <n v="890"/>
  </r>
  <r>
    <x v="161"/>
    <x v="10"/>
    <s v="PNT1238"/>
    <n v="1"/>
    <s v="Pants"/>
    <s v="Van Heusen"/>
    <s v="Korean"/>
    <s v="Lycra"/>
    <n v="28"/>
    <s v="Dark Green"/>
    <n v="870"/>
  </r>
  <r>
    <x v="161"/>
    <x v="10"/>
    <s v="SHT0265"/>
    <n v="1"/>
    <s v="Shirt"/>
    <s v="Thailand"/>
    <s v="Partywear"/>
    <s v="Polyester"/>
    <s v="M"/>
    <s v="Royal Blue"/>
    <n v="910"/>
  </r>
  <r>
    <x v="162"/>
    <x v="10"/>
    <s v="JNS0776"/>
    <n v="1"/>
    <s v="Jeans"/>
    <s v="Pepe"/>
    <s v="Mom Fit"/>
    <s v="Denim"/>
    <n v="36"/>
    <s v="Navy Blue"/>
    <n v="1080"/>
  </r>
  <r>
    <x v="163"/>
    <x v="10"/>
    <s v="JNS0821"/>
    <n v="1"/>
    <s v="Jeans"/>
    <s v="Denim Pro"/>
    <s v="Mom Fit"/>
    <s v="Denim"/>
    <n v="34"/>
    <s v="Peach"/>
    <n v="990"/>
  </r>
  <r>
    <x v="163"/>
    <x v="10"/>
    <s v="TSH0645"/>
    <n v="1"/>
    <s v="T-Shirt"/>
    <s v="Roadster"/>
    <s v="3/4 Sleeve"/>
    <s v="Poly Cotton"/>
    <s v="XXL"/>
    <s v="Grey"/>
    <n v="710"/>
  </r>
  <r>
    <x v="164"/>
    <x v="10"/>
    <s v="JNS0784"/>
    <n v="1"/>
    <s v="Jeans"/>
    <s v="Pepe"/>
    <s v="Baggy"/>
    <s v="Denim"/>
    <n v="38"/>
    <s v="Bottle Green"/>
    <n v="1060"/>
  </r>
  <r>
    <x v="165"/>
    <x v="10"/>
    <s v="TSH0381"/>
    <n v="1"/>
    <s v="T-Shirt"/>
    <s v="Zara"/>
    <s v="Sleeveless"/>
    <s v="Cotton"/>
    <s v="S"/>
    <s v="Mustard"/>
    <n v="250"/>
  </r>
  <r>
    <x v="165"/>
    <x v="10"/>
    <s v="PNT1311"/>
    <n v="1"/>
    <s v="Pants"/>
    <s v="Park Avenue"/>
    <s v="Jogger"/>
    <s v="Cotton Blend"/>
    <n v="32"/>
    <s v="Navy Blue"/>
    <n v="940"/>
  </r>
  <r>
    <x v="165"/>
    <x v="10"/>
    <s v="SHT0289"/>
    <n v="1"/>
    <s v="Shirt"/>
    <s v="Zara"/>
    <s v="Casual"/>
    <s v="Polyester"/>
    <s v="XXL"/>
    <s v="Peach"/>
    <n v="650"/>
  </r>
  <r>
    <x v="165"/>
    <x v="10"/>
    <s v="SHT0302"/>
    <n v="1"/>
    <s v="Shirt"/>
    <s v="Zara"/>
    <s v="Casual"/>
    <s v="Cotton Blend"/>
    <s v="XL"/>
    <s v="Maroon"/>
    <n v="700"/>
  </r>
  <r>
    <x v="166"/>
    <x v="10"/>
    <s v="JNS1062"/>
    <n v="1"/>
    <s v="Jeans"/>
    <s v="Denim Pro"/>
    <s v="Jogger"/>
    <s v="Denim"/>
    <n v="32"/>
    <s v="Charcoal"/>
    <n v="830"/>
  </r>
  <r>
    <x v="166"/>
    <x v="10"/>
    <s v="TSH0700"/>
    <n v="1"/>
    <s v="T-Shirt"/>
    <s v="Turkey"/>
    <s v="Full Sleeve"/>
    <s v="Poly Cotton"/>
    <s v="XXL"/>
    <s v="Maroon"/>
    <n v="530"/>
  </r>
  <r>
    <x v="166"/>
    <x v="10"/>
    <s v="SHT0209"/>
    <n v="1"/>
    <s v="Shirt"/>
    <s v="L7"/>
    <s v="Formal"/>
    <s v="Polyester"/>
    <s v="XXL"/>
    <s v="Rust"/>
    <n v="930"/>
  </r>
  <r>
    <x v="167"/>
    <x v="10"/>
    <s v="INW1442"/>
    <n v="1"/>
    <s v="Innerwear"/>
    <s v="Jockey"/>
    <s v="Boxer"/>
    <s v="Cotton Blend"/>
    <s v="85-90"/>
    <s v="Teal"/>
    <n v="180"/>
  </r>
  <r>
    <x v="167"/>
    <x v="10"/>
    <s v="JNS0938"/>
    <n v="1"/>
    <s v="Jeans"/>
    <s v="Denim Pro"/>
    <s v="Mom Fit"/>
    <s v="Denim"/>
    <n v="44"/>
    <s v="Navy Blue"/>
    <n v="910"/>
  </r>
  <r>
    <x v="168"/>
    <x v="10"/>
    <s v="SHT0137"/>
    <n v="1"/>
    <s v="Shirt"/>
    <s v="Max"/>
    <s v="Casual"/>
    <s v="Lycra"/>
    <s v="XL"/>
    <s v="Dark Green"/>
    <n v="780"/>
  </r>
  <r>
    <x v="168"/>
    <x v="10"/>
    <s v="PNT1091"/>
    <n v="1"/>
    <s v="Pants"/>
    <s v="Van Heusen"/>
    <s v="Korean"/>
    <s v="Lycra"/>
    <n v="38"/>
    <s v="Sky Blue"/>
    <n v="810"/>
  </r>
  <r>
    <x v="168"/>
    <x v="10"/>
    <s v="SHT0019"/>
    <n v="1"/>
    <s v="Shirt"/>
    <s v="Thailand"/>
    <s v="Partywear"/>
    <s v="Cotton"/>
    <s v="S"/>
    <s v="Dark Green"/>
    <n v="820"/>
  </r>
  <r>
    <x v="169"/>
    <x v="10"/>
    <s v="PNT1338"/>
    <n v="1"/>
    <s v="Pants"/>
    <s v="Raymond"/>
    <s v="Kurka"/>
    <s v="Lycra"/>
    <n v="34"/>
    <s v="Cream"/>
    <n v="780"/>
  </r>
  <r>
    <x v="170"/>
    <x v="10"/>
    <s v="PNT1090"/>
    <n v="1"/>
    <s v="Pants"/>
    <s v="Peter England"/>
    <s v="Polofit"/>
    <s v="Lycra"/>
    <n v="32"/>
    <s v="Dark Green"/>
    <n v="920"/>
  </r>
  <r>
    <x v="170"/>
    <x v="10"/>
    <s v="TSH0365"/>
    <n v="1"/>
    <s v="T-Shirt"/>
    <s v="Roadster"/>
    <s v="Half Sleeve"/>
    <s v="Poly Cotton"/>
    <s v="S"/>
    <s v="Navy Blue"/>
    <n v="340"/>
  </r>
  <r>
    <x v="170"/>
    <x v="10"/>
    <s v="PNT1241"/>
    <n v="1"/>
    <s v="Pants"/>
    <s v="Raymond"/>
    <s v="Kurka"/>
    <s v="Lycra"/>
    <n v="30"/>
    <s v="Grey"/>
    <n v="880"/>
  </r>
  <r>
    <x v="171"/>
    <x v="11"/>
    <s v="PNT1262"/>
    <n v="1"/>
    <s v="Pants"/>
    <s v="Peter England"/>
    <s v="Boot Cut"/>
    <s v="Poly Viscose"/>
    <n v="30"/>
    <s v="Navy Blue"/>
    <n v="740"/>
  </r>
  <r>
    <x v="171"/>
    <x v="11"/>
    <s v="PNT1240"/>
    <n v="1"/>
    <s v="Pants"/>
    <s v="Raymond"/>
    <s v="Polofit"/>
    <s v="Lycra"/>
    <n v="30"/>
    <s v="Dark Green"/>
    <n v="860"/>
  </r>
  <r>
    <x v="171"/>
    <x v="11"/>
    <s v="PNT1166"/>
    <n v="1"/>
    <s v="Pants"/>
    <s v="Raymond"/>
    <s v="Kurka"/>
    <s v="Lycra"/>
    <n v="36"/>
    <s v="Wine"/>
    <n v="850"/>
  </r>
  <r>
    <x v="171"/>
    <x v="11"/>
    <s v="TSH0494"/>
    <n v="1"/>
    <s v="T-Shirt"/>
    <s v="Zara"/>
    <s v="Full Sleeve"/>
    <s v="Cotton Blend"/>
    <s v="XL"/>
    <s v="Mustard"/>
    <n v="320"/>
  </r>
  <r>
    <x v="172"/>
    <x v="11"/>
    <s v="PNT1368"/>
    <n v="1"/>
    <s v="Pants"/>
    <s v="Louis Philippe"/>
    <s v="Jogger"/>
    <s v="Cotton"/>
    <n v="38"/>
    <s v="Maroon"/>
    <n v="860"/>
  </r>
  <r>
    <x v="172"/>
    <x v="11"/>
    <s v="SHT0299"/>
    <n v="1"/>
    <s v="Shirt"/>
    <s v="Thailand"/>
    <s v="Partywear"/>
    <s v="Cotton"/>
    <s v="XXL"/>
    <s v="Peach"/>
    <n v="780"/>
  </r>
  <r>
    <x v="173"/>
    <x v="11"/>
    <s v="INW1598"/>
    <n v="1"/>
    <s v="Innerwear"/>
    <s v="Lux"/>
    <s v="Boxer"/>
    <s v="Cotton Blend"/>
    <s v="105-110"/>
    <s v="Wine"/>
    <n v="120"/>
  </r>
  <r>
    <x v="173"/>
    <x v="11"/>
    <s v="INW1485"/>
    <n v="1"/>
    <s v="Innerwear"/>
    <s v="Lux"/>
    <s v="Boxer"/>
    <s v="Cotton Blend"/>
    <s v="80-85"/>
    <s v="Light Grey"/>
    <n v="150"/>
  </r>
  <r>
    <x v="173"/>
    <x v="11"/>
    <s v="SHT0152"/>
    <n v="1"/>
    <s v="Shirt"/>
    <s v="Luke &amp; Burg"/>
    <s v="Partywear"/>
    <s v="Lycra"/>
    <s v="XL"/>
    <s v="Light Grey"/>
    <n v="850"/>
  </r>
  <r>
    <x v="173"/>
    <x v="11"/>
    <s v="INW1565"/>
    <n v="1"/>
    <s v="Innerwear"/>
    <s v="Dollar"/>
    <s v="V-Cut"/>
    <s v="Cotton Blend"/>
    <s v="80-85"/>
    <s v="Black"/>
    <n v="190"/>
  </r>
  <r>
    <x v="174"/>
    <x v="11"/>
    <s v="TSH0750"/>
    <n v="1"/>
    <s v="T-Shirt"/>
    <s v="Thailand"/>
    <s v="3/4 Sleeve"/>
    <s v="Cotton"/>
    <s v="XXL"/>
    <s v="Beige"/>
    <n v="550"/>
  </r>
  <r>
    <x v="175"/>
    <x v="11"/>
    <s v="SHT0054"/>
    <n v="1"/>
    <s v="Shirt"/>
    <s v="Zara"/>
    <s v="Formal"/>
    <s v="Cotton"/>
    <s v="M"/>
    <s v="Dark Green"/>
    <n v="830"/>
  </r>
  <r>
    <x v="176"/>
    <x v="11"/>
    <s v="PNT1265"/>
    <n v="1"/>
    <s v="Pants"/>
    <s v="Park Avenue"/>
    <s v="Boot Cut"/>
    <s v="Cotton Blend"/>
    <n v="40"/>
    <s v="Cream"/>
    <n v="790"/>
  </r>
  <r>
    <x v="177"/>
    <x v="11"/>
    <s v="PNT1326"/>
    <n v="1"/>
    <s v="Pants"/>
    <s v="Louis Philippe"/>
    <s v="Boot Cut"/>
    <s v="Poly Viscose"/>
    <n v="30"/>
    <s v="Mustard"/>
    <n v="860"/>
  </r>
  <r>
    <x v="177"/>
    <x v="11"/>
    <s v="TSH0365"/>
    <n v="1"/>
    <s v="T-Shirt"/>
    <s v="Roadster"/>
    <s v="Half Sleeve"/>
    <s v="Poly Cotton"/>
    <s v="S"/>
    <s v="Navy Blue"/>
    <n v="340"/>
  </r>
  <r>
    <x v="177"/>
    <x v="11"/>
    <s v="TSH0743"/>
    <n v="1"/>
    <s v="T-Shirt"/>
    <s v="Roadster"/>
    <s v="Half Sleeve"/>
    <s v="Cotton Blend"/>
    <s v="M"/>
    <s v="Bottle Green"/>
    <n v="500"/>
  </r>
  <r>
    <x v="178"/>
    <x v="11"/>
    <s v="INW1422"/>
    <n v="1"/>
    <s v="Innerwear"/>
    <s v="Rupa"/>
    <s v="V-Cut"/>
    <s v="Cotton"/>
    <s v="75-80"/>
    <s v="Black"/>
    <n v="180"/>
  </r>
  <r>
    <x v="178"/>
    <x v="11"/>
    <s v="TSH0414"/>
    <n v="1"/>
    <s v="T-Shirt"/>
    <s v="Turkey"/>
    <s v="Sleeveless"/>
    <s v="Poly Cotton"/>
    <s v="M"/>
    <s v="Olive"/>
    <n v="540"/>
  </r>
  <r>
    <x v="178"/>
    <x v="11"/>
    <s v="SHT0053"/>
    <n v="1"/>
    <s v="Shirt"/>
    <s v="USD"/>
    <s v="Partywear"/>
    <s v="Cotton Blend"/>
    <s v="M"/>
    <s v="Cream"/>
    <n v="750"/>
  </r>
  <r>
    <x v="179"/>
    <x v="11"/>
    <s v="SHT0310"/>
    <n v="1"/>
    <s v="Shirt"/>
    <s v="L7"/>
    <s v="Casual"/>
    <s v="Polyester"/>
    <s v="L"/>
    <s v="Peach"/>
    <n v="880"/>
  </r>
  <r>
    <x v="179"/>
    <x v="11"/>
    <s v="TSH0534"/>
    <n v="1"/>
    <s v="T-Shirt"/>
    <s v="Zara"/>
    <s v="3/4 Sleeve"/>
    <s v="Cotton"/>
    <s v="XL"/>
    <s v="Olive"/>
    <n v="280"/>
  </r>
  <r>
    <x v="179"/>
    <x v="11"/>
    <s v="TSH0574"/>
    <n v="1"/>
    <s v="T-Shirt"/>
    <s v="Thailand"/>
    <s v="Hoodie"/>
    <s v="Cotton Blend"/>
    <s v="L"/>
    <s v="Bottle Green"/>
    <n v="370"/>
  </r>
  <r>
    <x v="179"/>
    <x v="11"/>
    <s v="SHT0153"/>
    <n v="1"/>
    <s v="Shirt"/>
    <s v="Max"/>
    <s v="Partywear"/>
    <s v="Cotton Blend"/>
    <s v="XL"/>
    <s v="Beige"/>
    <n v="710"/>
  </r>
  <r>
    <x v="180"/>
    <x v="11"/>
    <s v="SHT0238"/>
    <n v="1"/>
    <s v="Shirt"/>
    <s v="Luke &amp; Burg"/>
    <s v="Formal"/>
    <s v="Cotton Blend"/>
    <s v="M"/>
    <s v="Black"/>
    <n v="710"/>
  </r>
  <r>
    <x v="181"/>
    <x v="11"/>
    <s v="SHT0215"/>
    <n v="1"/>
    <s v="Shirt"/>
    <s v="Max"/>
    <s v="Casual"/>
    <s v="Cotton Blend"/>
    <s v="L"/>
    <s v="Light Grey"/>
    <n v="650"/>
  </r>
  <r>
    <x v="181"/>
    <x v="11"/>
    <s v="PNT1194"/>
    <n v="1"/>
    <s v="Pants"/>
    <s v="Louis Philippe"/>
    <s v="Polofit"/>
    <s v="Lycra"/>
    <n v="32"/>
    <s v="Sky Blue"/>
    <n v="860"/>
  </r>
  <r>
    <x v="181"/>
    <x v="11"/>
    <s v="JNS0957"/>
    <n v="1"/>
    <s v="Jeans"/>
    <s v="Spykar"/>
    <s v="Baggy"/>
    <s v="Denim"/>
    <n v="44"/>
    <s v="Cream"/>
    <n v="990"/>
  </r>
  <r>
    <x v="182"/>
    <x v="11"/>
    <s v="PNT1297"/>
    <n v="1"/>
    <s v="Pants"/>
    <s v="Van Heusen"/>
    <s v="Jogger"/>
    <s v="Poly Viscose"/>
    <n v="40"/>
    <s v="Teal"/>
    <n v="870"/>
  </r>
  <r>
    <x v="182"/>
    <x v="11"/>
    <s v="JNS0801"/>
    <n v="1"/>
    <s v="Jeans"/>
    <s v="Denim Pro"/>
    <s v="Mom Fit"/>
    <s v="Denim"/>
    <n v="40"/>
    <s v="Brown"/>
    <n v="960"/>
  </r>
  <r>
    <x v="182"/>
    <x v="11"/>
    <s v="SHT0119"/>
    <n v="1"/>
    <s v="Shirt"/>
    <s v="L7"/>
    <s v="Formal"/>
    <s v="Lycra"/>
    <s v="M"/>
    <s v="Dark Green"/>
    <n v="870"/>
  </r>
  <r>
    <x v="182"/>
    <x v="11"/>
    <s v="PNT1095"/>
    <n v="1"/>
    <s v="Pants"/>
    <s v="Louis Philippe"/>
    <s v="Polofit"/>
    <s v="Lycra"/>
    <n v="32"/>
    <s v="Black"/>
    <n v="850"/>
  </r>
  <r>
    <x v="183"/>
    <x v="11"/>
    <s v="JNS1054"/>
    <n v="1"/>
    <s v="Jeans"/>
    <s v="Pepe"/>
    <s v="Jogger"/>
    <s v="Denim"/>
    <n v="42"/>
    <s v="Maroon"/>
    <n v="870"/>
  </r>
  <r>
    <x v="183"/>
    <x v="11"/>
    <s v="PNT1192"/>
    <n v="1"/>
    <s v="Pants"/>
    <s v="Raymond"/>
    <s v="Boot Cut"/>
    <s v="Poly Viscose"/>
    <n v="32"/>
    <s v="Cream"/>
    <n v="760"/>
  </r>
  <r>
    <x v="184"/>
    <x v="11"/>
    <s v="PNT1096"/>
    <n v="1"/>
    <s v="Pants"/>
    <s v="Van Heusen"/>
    <s v="Korean"/>
    <s v="Lycra"/>
    <n v="42"/>
    <s v="Royal Blue"/>
    <n v="820"/>
  </r>
  <r>
    <x v="185"/>
    <x v="12"/>
    <s v="TSH0419"/>
    <n v="1"/>
    <s v="T-Shirt"/>
    <s v="Max"/>
    <s v="Hoodie"/>
    <s v="Cotton"/>
    <s v="L"/>
    <s v="Teal"/>
    <n v="650"/>
  </r>
  <r>
    <x v="185"/>
    <x v="12"/>
    <s v="SHT0222"/>
    <n v="1"/>
    <s v="Shirt"/>
    <s v="Luke &amp; Burg"/>
    <s v="Casual"/>
    <s v="Cotton"/>
    <s v="L"/>
    <s v="Navy Blue"/>
    <n v="770"/>
  </r>
  <r>
    <x v="185"/>
    <x v="12"/>
    <s v="JNS0972"/>
    <n v="1"/>
    <s v="Jeans"/>
    <s v="Denim Pro"/>
    <s v="Baggy"/>
    <s v="Denim"/>
    <n v="34"/>
    <s v="Light Grey"/>
    <n v="850"/>
  </r>
  <r>
    <x v="186"/>
    <x v="12"/>
    <s v="TSH0513"/>
    <n v="1"/>
    <s v="T-Shirt"/>
    <s v="Turkey"/>
    <s v="3/4 Sleeve"/>
    <s v="Poly Cotton"/>
    <s v="S"/>
    <s v="Charcoal"/>
    <n v="680"/>
  </r>
  <r>
    <x v="186"/>
    <x v="12"/>
    <s v="JNS0912"/>
    <n v="1"/>
    <s v="Jeans"/>
    <s v="Locomotive"/>
    <s v="Baggy"/>
    <s v="Denim"/>
    <n v="40"/>
    <s v="White"/>
    <n v="1090"/>
  </r>
  <r>
    <x v="186"/>
    <x v="12"/>
    <s v="TSH0737"/>
    <n v="1"/>
    <s v="T-Shirt"/>
    <s v="Max"/>
    <s v="Sleeveless"/>
    <s v="Cotton"/>
    <s v="M"/>
    <s v="Wine"/>
    <n v="670"/>
  </r>
  <r>
    <x v="186"/>
    <x v="12"/>
    <s v="PNT1135"/>
    <n v="1"/>
    <s v="Pants"/>
    <s v="Van Heusen"/>
    <s v="Polofit"/>
    <s v="Lycra"/>
    <n v="40"/>
    <s v="Light Grey"/>
    <n v="890"/>
  </r>
  <r>
    <x v="187"/>
    <x v="12"/>
    <s v="JNS0918"/>
    <n v="1"/>
    <s v="Jeans"/>
    <s v="Locomotive"/>
    <s v="Baggy"/>
    <s v="Denim"/>
    <n v="30"/>
    <s v="Teal"/>
    <n v="850"/>
  </r>
  <r>
    <x v="187"/>
    <x v="12"/>
    <s v="JNS0867"/>
    <n v="1"/>
    <s v="Jeans"/>
    <s v="Denim Pro"/>
    <s v="Mom Fit"/>
    <s v="Denim"/>
    <n v="32"/>
    <s v="Brown"/>
    <n v="840"/>
  </r>
  <r>
    <x v="187"/>
    <x v="12"/>
    <s v="INW1559"/>
    <n v="1"/>
    <s v="Innerwear"/>
    <s v="V Star"/>
    <s v="V-Cut"/>
    <s v="Cotton"/>
    <s v="100-105"/>
    <s v="Sky Blue"/>
    <n v="110"/>
  </r>
  <r>
    <x v="188"/>
    <x v="12"/>
    <s v="SHT0254"/>
    <n v="1"/>
    <s v="Shirt"/>
    <s v="Luke &amp; Burg"/>
    <s v="Partywear"/>
    <s v="Polyester"/>
    <s v="XL"/>
    <s v="Mustard"/>
    <n v="780"/>
  </r>
  <r>
    <x v="188"/>
    <x v="12"/>
    <s v="TSH0389"/>
    <n v="1"/>
    <s v="T-Shirt"/>
    <s v="Zara"/>
    <s v="3/4 Sleeve"/>
    <s v="Cotton Blend"/>
    <s v="XL"/>
    <s v="Navy Blue"/>
    <n v="480"/>
  </r>
  <r>
    <x v="189"/>
    <x v="12"/>
    <s v="SHT0207"/>
    <n v="1"/>
    <s v="Shirt"/>
    <s v="Luke &amp; Burg"/>
    <s v="Partywear"/>
    <s v="Polyester"/>
    <s v="L"/>
    <s v="Sky Blue"/>
    <n v="830"/>
  </r>
  <r>
    <x v="189"/>
    <x v="12"/>
    <s v="PNT1074"/>
    <n v="1"/>
    <s v="Pants"/>
    <s v="Van Heusen"/>
    <s v="Boot Cut"/>
    <s v="Cotton"/>
    <n v="40"/>
    <s v="Teal"/>
    <n v="940"/>
  </r>
  <r>
    <x v="190"/>
    <x v="12"/>
    <s v="INW1418"/>
    <n v="1"/>
    <s v="Innerwear"/>
    <s v="Jockey"/>
    <s v="Boxer"/>
    <s v="Cotton Blend"/>
    <s v="100-105"/>
    <s v="Royal Blue"/>
    <n v="130"/>
  </r>
  <r>
    <x v="191"/>
    <x v="12"/>
    <s v="TSH0762"/>
    <n v="1"/>
    <s v="T-Shirt"/>
    <s v="Turkey"/>
    <s v="Sleeveless"/>
    <s v="Poly Cotton"/>
    <s v="L"/>
    <s v="Teal"/>
    <n v="510"/>
  </r>
  <r>
    <x v="191"/>
    <x v="12"/>
    <s v="INW1563"/>
    <n v="1"/>
    <s v="Innerwear"/>
    <s v="Rupa"/>
    <s v="Boxer"/>
    <s v="Cotton Blend"/>
    <s v="90-100"/>
    <s v="Maroon"/>
    <n v="180"/>
  </r>
  <r>
    <x v="191"/>
    <x v="12"/>
    <s v="INW1462"/>
    <n v="1"/>
    <s v="Innerwear"/>
    <s v="V Star"/>
    <s v="Boxer"/>
    <s v="Cotton Blend"/>
    <s v="100-105"/>
    <s v="Sky Blue"/>
    <n v="100"/>
  </r>
  <r>
    <x v="192"/>
    <x v="12"/>
    <s v="JNS0985"/>
    <n v="1"/>
    <s v="Jeans"/>
    <s v="Denim Pro"/>
    <s v="Jogger"/>
    <s v="Denim"/>
    <n v="30"/>
    <s v="Olive"/>
    <n v="900"/>
  </r>
  <r>
    <x v="192"/>
    <x v="12"/>
    <s v="JNS1010"/>
    <n v="1"/>
    <s v="Jeans"/>
    <s v="Locomotive"/>
    <s v="Jogger"/>
    <s v="Denim"/>
    <n v="38"/>
    <s v="Grey"/>
    <n v="1010"/>
  </r>
  <r>
    <x v="192"/>
    <x v="12"/>
    <s v="SHT0341"/>
    <n v="1"/>
    <s v="Shirt"/>
    <s v="G Studio"/>
    <s v="Partywear"/>
    <s v="Cotton"/>
    <s v="S"/>
    <s v="Bottle Green"/>
    <n v="730"/>
  </r>
  <r>
    <x v="192"/>
    <x v="12"/>
    <s v="SHT0339"/>
    <n v="1"/>
    <s v="Shirt"/>
    <s v="G Studio"/>
    <s v="Formal"/>
    <s v="Cotton"/>
    <s v="L"/>
    <s v="Cream"/>
    <n v="890"/>
  </r>
  <r>
    <x v="193"/>
    <x v="12"/>
    <s v="TSH0568"/>
    <n v="1"/>
    <s v="T-Shirt"/>
    <s v="Zara"/>
    <s v="Half Sleeve"/>
    <s v="Cotton"/>
    <s v="L"/>
    <s v="Peach"/>
    <n v="660"/>
  </r>
  <r>
    <x v="193"/>
    <x v="12"/>
    <s v="JNS0860"/>
    <n v="1"/>
    <s v="Jeans"/>
    <s v="Spykar"/>
    <s v="Jogger"/>
    <s v="Denim"/>
    <n v="44"/>
    <s v="Black"/>
    <n v="840"/>
  </r>
  <r>
    <x v="193"/>
    <x v="12"/>
    <s v="JNS0844"/>
    <n v="1"/>
    <s v="Jeans"/>
    <s v="Levis"/>
    <s v="Jogger"/>
    <s v="Denim"/>
    <n v="44"/>
    <s v="Rust"/>
    <n v="800"/>
  </r>
  <r>
    <x v="194"/>
    <x v="12"/>
    <s v="INW1513"/>
    <n v="1"/>
    <s v="Innerwear"/>
    <s v="Dollar"/>
    <s v="Boxer"/>
    <s v="Cotton"/>
    <s v="75-80"/>
    <s v="Teal"/>
    <n v="160"/>
  </r>
  <r>
    <x v="194"/>
    <x v="12"/>
    <s v="JNS0932"/>
    <n v="1"/>
    <s v="Jeans"/>
    <s v="Wrangler"/>
    <s v="Mom Fit"/>
    <s v="Denim"/>
    <n v="42"/>
    <s v="Light Grey"/>
    <n v="880"/>
  </r>
  <r>
    <x v="194"/>
    <x v="12"/>
    <s v="PNT1139"/>
    <n v="1"/>
    <s v="Pants"/>
    <s v="Van Heusen"/>
    <s v="Korean"/>
    <s v="Lycra"/>
    <n v="34"/>
    <s v="Peach"/>
    <n v="920"/>
  </r>
  <r>
    <x v="195"/>
    <x v="13"/>
    <s v="SHT0346"/>
    <n v="1"/>
    <s v="Shirt"/>
    <s v="H&amp;M"/>
    <s v="Formal"/>
    <s v="Polyester"/>
    <s v="L"/>
    <s v="Beige"/>
    <n v="870"/>
  </r>
  <r>
    <x v="195"/>
    <x v="13"/>
    <s v="INW1655"/>
    <n v="1"/>
    <s v="Innerwear"/>
    <s v="Lux"/>
    <s v="V-Cut"/>
    <s v="Cotton"/>
    <s v="85-90"/>
    <s v="Sky Blue"/>
    <n v="190"/>
  </r>
  <r>
    <x v="195"/>
    <x v="13"/>
    <s v="TSH0581"/>
    <n v="1"/>
    <s v="T-Shirt"/>
    <s v="Max"/>
    <s v="Sleeveless"/>
    <s v="Poly Cotton"/>
    <s v="S"/>
    <s v="Light Grey"/>
    <n v="510"/>
  </r>
  <r>
    <x v="196"/>
    <x v="13"/>
    <s v="JNS0972"/>
    <n v="1"/>
    <s v="Jeans"/>
    <s v="Denim Pro"/>
    <s v="Baggy"/>
    <s v="Denim"/>
    <n v="34"/>
    <s v="Light Grey"/>
    <n v="850"/>
  </r>
  <r>
    <x v="196"/>
    <x v="13"/>
    <s v="PNT1072"/>
    <n v="1"/>
    <s v="Pants"/>
    <s v="Peter England"/>
    <s v="Polofit"/>
    <s v="Lycra"/>
    <n v="44"/>
    <s v="Cream"/>
    <n v="800"/>
  </r>
  <r>
    <x v="197"/>
    <x v="13"/>
    <s v="INW1628"/>
    <n v="1"/>
    <s v="Innerwear"/>
    <s v="Rupa"/>
    <s v="Boxer"/>
    <s v="Cotton"/>
    <s v="80-85"/>
    <s v="Light Grey"/>
    <n v="160"/>
  </r>
  <r>
    <x v="198"/>
    <x v="13"/>
    <s v="INW1430"/>
    <n v="1"/>
    <s v="Innerwear"/>
    <s v="Rupa"/>
    <s v="Boxer"/>
    <s v="Cotton"/>
    <s v="90-100"/>
    <s v="Beige"/>
    <n v="190"/>
  </r>
  <r>
    <x v="198"/>
    <x v="13"/>
    <s v="INW1632"/>
    <n v="1"/>
    <s v="Innerwear"/>
    <s v="V Star"/>
    <s v="V-Cut"/>
    <s v="Cotton Blend"/>
    <s v="90-100"/>
    <s v="Brown"/>
    <n v="130"/>
  </r>
  <r>
    <x v="198"/>
    <x v="13"/>
    <s v="INW1396"/>
    <n v="1"/>
    <s v="Innerwear"/>
    <s v="Rupa"/>
    <s v="V-Cut"/>
    <s v="Cotton Blend"/>
    <s v="80-85"/>
    <s v="Grey"/>
    <n v="160"/>
  </r>
  <r>
    <x v="199"/>
    <x v="13"/>
    <s v="SHT0046"/>
    <n v="1"/>
    <s v="Shirt"/>
    <s v="L7"/>
    <s v="Formal"/>
    <s v="Polyester"/>
    <s v="XXL"/>
    <s v="Light Grey"/>
    <n v="900"/>
  </r>
  <r>
    <x v="199"/>
    <x v="13"/>
    <s v="PNT1142"/>
    <n v="1"/>
    <s v="Pants"/>
    <s v="Raymond"/>
    <s v="Jogger"/>
    <s v="Cotton Blend"/>
    <n v="42"/>
    <s v="Bottle Green"/>
    <n v="800"/>
  </r>
  <r>
    <x v="200"/>
    <x v="13"/>
    <s v="JNS0915"/>
    <n v="1"/>
    <s v="Jeans"/>
    <s v="Pepe"/>
    <s v="Baggy"/>
    <s v="Denim"/>
    <n v="44"/>
    <s v="Olive"/>
    <n v="870"/>
  </r>
  <r>
    <x v="201"/>
    <x v="13"/>
    <s v="PNT1253"/>
    <n v="1"/>
    <s v="Pants"/>
    <s v="Van Heusen"/>
    <s v="Boot Cut"/>
    <s v="Cotton"/>
    <n v="36"/>
    <s v="Navy Blue"/>
    <n v="950"/>
  </r>
  <r>
    <x v="201"/>
    <x v="13"/>
    <s v="TSH0416"/>
    <n v="1"/>
    <s v="T-Shirt"/>
    <s v="Zara"/>
    <s v="Full Sleeve"/>
    <s v="Cotton"/>
    <s v="L"/>
    <s v="Navy Blue"/>
    <n v="490"/>
  </r>
  <r>
    <x v="201"/>
    <x v="13"/>
    <s v="INW1502"/>
    <n v="1"/>
    <s v="Innerwear"/>
    <s v="Jockey"/>
    <s v="V-Cut"/>
    <s v="Cotton Blend"/>
    <s v="105-110"/>
    <s v="Navy Blue"/>
    <n v="150"/>
  </r>
  <r>
    <x v="202"/>
    <x v="13"/>
    <s v="SHT0327"/>
    <n v="1"/>
    <s v="Shirt"/>
    <s v="G Studio"/>
    <s v="Formal"/>
    <s v="Lycra"/>
    <s v="XL"/>
    <s v="Maroon"/>
    <n v="850"/>
  </r>
  <r>
    <x v="202"/>
    <x v="13"/>
    <s v="PNT1206"/>
    <n v="1"/>
    <s v="Pants"/>
    <s v="Louis Philippe"/>
    <s v="Korean"/>
    <s v="Lycra"/>
    <n v="40"/>
    <s v="Navy Blue"/>
    <n v="840"/>
  </r>
  <r>
    <x v="202"/>
    <x v="13"/>
    <s v="PNT1154"/>
    <n v="1"/>
    <s v="Pants"/>
    <s v="Van Heusen"/>
    <s v="Polofit"/>
    <s v="Lycra"/>
    <n v="38"/>
    <s v="Navy Blue"/>
    <n v="920"/>
  </r>
  <r>
    <x v="203"/>
    <x v="13"/>
    <s v="SHT0306"/>
    <n v="1"/>
    <s v="Shirt"/>
    <s v="Max"/>
    <s v="Formal"/>
    <s v="Lycra"/>
    <s v="L"/>
    <s v="Dark Green"/>
    <n v="850"/>
  </r>
  <r>
    <x v="203"/>
    <x v="13"/>
    <s v="PNT1259"/>
    <n v="1"/>
    <s v="Pants"/>
    <s v="Park Avenue"/>
    <s v="Polofit"/>
    <s v="Lycra"/>
    <n v="38"/>
    <s v="Charcoal"/>
    <n v="810"/>
  </r>
  <r>
    <x v="204"/>
    <x v="13"/>
    <s v="SHT0113"/>
    <n v="1"/>
    <s v="Shirt"/>
    <s v="Zara"/>
    <s v="Partywear"/>
    <s v="Cotton Blend"/>
    <s v="XL"/>
    <s v="Peach"/>
    <n v="940"/>
  </r>
  <r>
    <x v="204"/>
    <x v="13"/>
    <s v="TSH0466"/>
    <n v="1"/>
    <s v="T-Shirt"/>
    <s v="Thailand"/>
    <s v="Full Sleeve"/>
    <s v="Cotton"/>
    <s v="S"/>
    <s v="Rust"/>
    <n v="220"/>
  </r>
  <r>
    <x v="204"/>
    <x v="13"/>
    <s v="JNS0914"/>
    <n v="1"/>
    <s v="Jeans"/>
    <s v="Locomotive"/>
    <s v="Jogger"/>
    <s v="Denim"/>
    <n v="38"/>
    <s v="Navy Blue"/>
    <n v="840"/>
  </r>
  <r>
    <x v="204"/>
    <x v="13"/>
    <s v="INW1534"/>
    <n v="1"/>
    <s v="Innerwear"/>
    <s v="Rupa"/>
    <s v="Boxer"/>
    <s v="Cotton Blend"/>
    <s v="85-90"/>
    <s v="Mustard"/>
    <n v="180"/>
  </r>
  <r>
    <x v="205"/>
    <x v="13"/>
    <s v="JNS1006"/>
    <n v="1"/>
    <s v="Jeans"/>
    <s v="Locomotive"/>
    <s v="Mom Fit"/>
    <s v="Denim"/>
    <n v="32"/>
    <s v="Black"/>
    <n v="1090"/>
  </r>
  <r>
    <x v="205"/>
    <x v="13"/>
    <s v="SHT0130"/>
    <n v="1"/>
    <s v="Shirt"/>
    <s v="Luke &amp; Burg"/>
    <s v="Partywear"/>
    <s v="Cotton"/>
    <s v="XL"/>
    <s v="Navy Blue"/>
    <n v="870"/>
  </r>
  <r>
    <x v="205"/>
    <x v="13"/>
    <s v="TSH0589"/>
    <n v="1"/>
    <s v="T-Shirt"/>
    <s v="Zara"/>
    <s v="Full Sleeve"/>
    <s v="Cotton"/>
    <s v="M"/>
    <s v="Mustard"/>
    <n v="500"/>
  </r>
  <r>
    <x v="205"/>
    <x v="13"/>
    <s v="JNS0824"/>
    <n v="1"/>
    <s v="Jeans"/>
    <s v="Wrangler"/>
    <s v="Mom Fit"/>
    <s v="Denim"/>
    <n v="44"/>
    <s v="Sky Blue"/>
    <n v="1070"/>
  </r>
  <r>
    <x v="206"/>
    <x v="13"/>
    <s v="PNT1335"/>
    <n v="1"/>
    <s v="Pants"/>
    <s v="Peter England"/>
    <s v="Polofit"/>
    <s v="Lycra"/>
    <n v="34"/>
    <s v="Peach"/>
    <n v="930"/>
  </r>
  <r>
    <x v="206"/>
    <x v="13"/>
    <s v="TSH0769"/>
    <n v="1"/>
    <s v="T-Shirt"/>
    <s v="Thailand"/>
    <s v="3/4 Sleeve"/>
    <s v="Poly Cotton"/>
    <s v="XXL"/>
    <s v="Beige"/>
    <n v="400"/>
  </r>
  <r>
    <x v="206"/>
    <x v="13"/>
    <s v="PNT1188"/>
    <n v="1"/>
    <s v="Pants"/>
    <s v="Van Heusen"/>
    <s v="Polofit"/>
    <s v="Lycra"/>
    <n v="28"/>
    <s v="Maroon"/>
    <n v="750"/>
  </r>
  <r>
    <x v="207"/>
    <x v="13"/>
    <s v="TSH0695"/>
    <n v="1"/>
    <s v="T-Shirt"/>
    <s v="Roadster"/>
    <s v="Sleeveless"/>
    <s v="Poly Cotton"/>
    <s v="M"/>
    <s v="White"/>
    <n v="620"/>
  </r>
  <r>
    <x v="208"/>
    <x v="13"/>
    <s v="SHT0161"/>
    <n v="1"/>
    <s v="Shirt"/>
    <s v="Luke &amp; Burg"/>
    <s v="Formal"/>
    <s v="Lycra"/>
    <s v="M"/>
    <s v="Dark Green"/>
    <n v="750"/>
  </r>
  <r>
    <x v="208"/>
    <x v="13"/>
    <s v="PNT1365"/>
    <n v="1"/>
    <s v="Pants"/>
    <s v="Park Avenue"/>
    <s v="Kurka"/>
    <s v="Lycra"/>
    <n v="34"/>
    <s v="Charcoal"/>
    <n v="870"/>
  </r>
  <r>
    <x v="208"/>
    <x v="13"/>
    <s v="PNT1161"/>
    <n v="1"/>
    <s v="Pants"/>
    <s v="Raymond"/>
    <s v="Jogger"/>
    <s v="Cotton"/>
    <n v="28"/>
    <s v="Charcoal"/>
    <n v="810"/>
  </r>
  <r>
    <x v="208"/>
    <x v="13"/>
    <s v="JNS0906"/>
    <n v="1"/>
    <s v="Jeans"/>
    <s v="Pepe"/>
    <s v="Jogger"/>
    <s v="Denim"/>
    <n v="40"/>
    <s v="Bottle Green"/>
    <n v="990"/>
  </r>
  <r>
    <x v="209"/>
    <x v="13"/>
    <s v="JNS0865"/>
    <n v="1"/>
    <s v="Jeans"/>
    <s v="Denim Pro"/>
    <s v="Jogger"/>
    <s v="Denim"/>
    <n v="40"/>
    <s v="Charcoal"/>
    <n v="960"/>
  </r>
  <r>
    <x v="210"/>
    <x v="13"/>
    <s v="SHT0190"/>
    <n v="1"/>
    <s v="Shirt"/>
    <s v="L7"/>
    <s v="Casual"/>
    <s v="Cotton Blend"/>
    <s v="XL"/>
    <s v="White"/>
    <n v="870"/>
  </r>
  <r>
    <x v="210"/>
    <x v="13"/>
    <s v="JNS0887"/>
    <n v="1"/>
    <s v="Jeans"/>
    <s v="Locomotive"/>
    <s v="Jogger"/>
    <s v="Denim"/>
    <n v="40"/>
    <s v="Dark Green"/>
    <n v="1030"/>
  </r>
  <r>
    <x v="210"/>
    <x v="13"/>
    <s v="PNT1149"/>
    <n v="1"/>
    <s v="Pants"/>
    <s v="Peter England"/>
    <s v="Korean"/>
    <s v="Lycra"/>
    <n v="34"/>
    <s v="Rust"/>
    <n v="800"/>
  </r>
  <r>
    <x v="210"/>
    <x v="13"/>
    <s v="TSH0501"/>
    <n v="1"/>
    <s v="T-Shirt"/>
    <s v="Turkey"/>
    <s v="Sleeveless"/>
    <s v="Cotton Blend"/>
    <s v="S"/>
    <s v="Light Grey"/>
    <n v="300"/>
  </r>
  <r>
    <x v="211"/>
    <x v="14"/>
    <s v="TSH0357"/>
    <n v="1"/>
    <s v="T-Shirt"/>
    <s v="Roadster"/>
    <s v="3/4 Sleeve"/>
    <s v="Cotton Blend"/>
    <s v="XL"/>
    <s v="Cream"/>
    <n v="380"/>
  </r>
  <r>
    <x v="211"/>
    <x v="14"/>
    <s v="PNT1210"/>
    <n v="1"/>
    <s v="Pants"/>
    <s v="Van Heusen"/>
    <s v="Kurka"/>
    <s v="Lycra"/>
    <n v="36"/>
    <s v="Charcoal"/>
    <n v="870"/>
  </r>
  <r>
    <x v="212"/>
    <x v="14"/>
    <s v="TSH0463"/>
    <n v="1"/>
    <s v="T-Shirt"/>
    <s v="Zara"/>
    <s v="Full Sleeve"/>
    <s v="Cotton Blend"/>
    <s v="XXL"/>
    <s v="Navy Blue"/>
    <n v="480"/>
  </r>
  <r>
    <x v="212"/>
    <x v="14"/>
    <s v="SHT0241"/>
    <n v="1"/>
    <s v="Shirt"/>
    <s v="Zara"/>
    <s v="Casual"/>
    <s v="Lycra"/>
    <s v="M"/>
    <s v="Dark Green"/>
    <n v="660"/>
  </r>
  <r>
    <x v="212"/>
    <x v="14"/>
    <s v="PNT1370"/>
    <n v="1"/>
    <s v="Pants"/>
    <s v="Louis Philippe"/>
    <s v="Boot Cut"/>
    <s v="Cotton Blend"/>
    <n v="44"/>
    <s v="Brown"/>
    <n v="850"/>
  </r>
  <r>
    <x v="212"/>
    <x v="14"/>
    <s v="PNT1316"/>
    <n v="1"/>
    <s v="Pants"/>
    <s v="Raymond"/>
    <s v="Korean"/>
    <s v="Lycra"/>
    <n v="44"/>
    <s v="Cream"/>
    <n v="780"/>
  </r>
  <r>
    <x v="213"/>
    <x v="14"/>
    <s v="JNS0857"/>
    <n v="1"/>
    <s v="Jeans"/>
    <s v="Levis"/>
    <s v="Jogger"/>
    <s v="Denim"/>
    <n v="30"/>
    <s v="Rust"/>
    <n v="790"/>
  </r>
  <r>
    <x v="213"/>
    <x v="14"/>
    <s v="JNS1047"/>
    <n v="1"/>
    <s v="Jeans"/>
    <s v="Locomotive"/>
    <s v="Jogger"/>
    <s v="Denim"/>
    <n v="44"/>
    <s v="Grey"/>
    <n v="1000"/>
  </r>
  <r>
    <x v="214"/>
    <x v="14"/>
    <s v="TSH0448"/>
    <n v="1"/>
    <s v="T-Shirt"/>
    <s v="Campus"/>
    <s v="Full Sleeve"/>
    <s v="Poly Cotton"/>
    <s v="L"/>
    <s v="Olive"/>
    <n v="350"/>
  </r>
  <r>
    <x v="214"/>
    <x v="14"/>
    <s v="TSH0465"/>
    <n v="1"/>
    <s v="T-Shirt"/>
    <s v="Campus"/>
    <s v="Full Sleeve"/>
    <s v="Cotton Blend"/>
    <s v="S"/>
    <s v="Black"/>
    <n v="600"/>
  </r>
  <r>
    <x v="214"/>
    <x v="14"/>
    <s v="PNT1289"/>
    <n v="1"/>
    <s v="Pants"/>
    <s v="Raymond"/>
    <s v="Polofit"/>
    <s v="Lycra"/>
    <n v="34"/>
    <s v="Royal Blue"/>
    <n v="830"/>
  </r>
  <r>
    <x v="214"/>
    <x v="14"/>
    <s v="INW1463"/>
    <n v="1"/>
    <s v="Innerwear"/>
    <s v="Rupa"/>
    <s v="Boxer"/>
    <s v="Cotton Blend"/>
    <s v="105-110"/>
    <s v="Rust"/>
    <n v="180"/>
  </r>
  <r>
    <x v="215"/>
    <x v="14"/>
    <s v="PNT1119"/>
    <n v="1"/>
    <s v="Pants"/>
    <s v="Raymond"/>
    <s v="Polofit"/>
    <s v="Lycra"/>
    <n v="42"/>
    <s v="Peach"/>
    <n v="860"/>
  </r>
  <r>
    <x v="215"/>
    <x v="14"/>
    <s v="PNT1275"/>
    <n v="1"/>
    <s v="Pants"/>
    <s v="Park Avenue"/>
    <s v="Boot Cut"/>
    <s v="Poly Viscose"/>
    <n v="42"/>
    <s v="Maroon"/>
    <n v="750"/>
  </r>
  <r>
    <x v="215"/>
    <x v="14"/>
    <s v="SHT0076"/>
    <n v="1"/>
    <s v="Shirt"/>
    <s v="USD"/>
    <s v="Partywear"/>
    <s v="Polyester"/>
    <s v="S"/>
    <s v="Dark Green"/>
    <n v="710"/>
  </r>
  <r>
    <x v="216"/>
    <x v="14"/>
    <s v="JNS0786"/>
    <n v="1"/>
    <s v="Jeans"/>
    <s v="Levis"/>
    <s v="Jogger"/>
    <s v="Denim"/>
    <n v="42"/>
    <s v="Peach"/>
    <n v="870"/>
  </r>
  <r>
    <x v="217"/>
    <x v="14"/>
    <s v="PNT1370"/>
    <n v="1"/>
    <s v="Pants"/>
    <s v="Louis Philippe"/>
    <s v="Boot Cut"/>
    <s v="Cotton Blend"/>
    <n v="44"/>
    <s v="Brown"/>
    <n v="850"/>
  </r>
  <r>
    <x v="217"/>
    <x v="14"/>
    <s v="JNS0782"/>
    <n v="1"/>
    <s v="Jeans"/>
    <s v="Levis"/>
    <s v="Mom Fit"/>
    <s v="Denim"/>
    <n v="42"/>
    <s v="Light Grey"/>
    <n v="960"/>
  </r>
  <r>
    <x v="218"/>
    <x v="14"/>
    <s v="PNT1087"/>
    <n v="1"/>
    <s v="Pants"/>
    <s v="Raymond"/>
    <s v="Kurka"/>
    <s v="Lycra"/>
    <n v="42"/>
    <s v="Maroon"/>
    <n v="910"/>
  </r>
  <r>
    <x v="219"/>
    <x v="14"/>
    <s v="TSH0548"/>
    <n v="1"/>
    <s v="T-Shirt"/>
    <s v="Turkey"/>
    <s v="Sleeveless"/>
    <s v="Cotton Blend"/>
    <s v="S"/>
    <s v="Rust"/>
    <n v="620"/>
  </r>
  <r>
    <x v="219"/>
    <x v="14"/>
    <s v="SHT0232"/>
    <n v="1"/>
    <s v="Shirt"/>
    <s v="Max"/>
    <s v="Formal"/>
    <s v="Cotton Blend"/>
    <s v="XXL"/>
    <s v="Cream"/>
    <n v="740"/>
  </r>
  <r>
    <x v="219"/>
    <x v="14"/>
    <s v="INW1412"/>
    <n v="1"/>
    <s v="Innerwear"/>
    <s v="Rupa"/>
    <s v="Boxer"/>
    <s v="Cotton Blend"/>
    <s v="80-85"/>
    <s v="Cream"/>
    <n v="140"/>
  </r>
  <r>
    <x v="220"/>
    <x v="14"/>
    <s v="SHT0251"/>
    <n v="1"/>
    <s v="Shirt"/>
    <s v="Zara"/>
    <s v="Formal"/>
    <s v="Cotton"/>
    <s v="L"/>
    <s v="Brown"/>
    <n v="700"/>
  </r>
  <r>
    <x v="220"/>
    <x v="14"/>
    <s v="JNS0988"/>
    <n v="1"/>
    <s v="Jeans"/>
    <s v="Pepe"/>
    <s v="Baggy"/>
    <s v="Denim"/>
    <n v="38"/>
    <s v="White"/>
    <n v="1050"/>
  </r>
  <r>
    <x v="220"/>
    <x v="14"/>
    <s v="JNS0996"/>
    <n v="1"/>
    <s v="Jeans"/>
    <s v="Denim Pro"/>
    <s v="Baggy"/>
    <s v="Denim"/>
    <n v="44"/>
    <s v="Teal"/>
    <n v="910"/>
  </r>
  <r>
    <x v="221"/>
    <x v="14"/>
    <s v="INW1447"/>
    <n v="1"/>
    <s v="Innerwear"/>
    <s v="Lux"/>
    <s v="Boxer"/>
    <s v="Cotton"/>
    <s v="105-110"/>
    <s v="Mustard"/>
    <n v="160"/>
  </r>
  <r>
    <x v="221"/>
    <x v="14"/>
    <s v="JNS1065"/>
    <n v="1"/>
    <s v="Jeans"/>
    <s v="Levis"/>
    <s v="Jogger"/>
    <s v="Denim"/>
    <n v="44"/>
    <s v="Brown"/>
    <n v="900"/>
  </r>
  <r>
    <x v="222"/>
    <x v="14"/>
    <s v="TSH0603"/>
    <n v="1"/>
    <s v="T-Shirt"/>
    <s v="Zara"/>
    <s v="Half Sleeve"/>
    <s v="Cotton"/>
    <s v="S"/>
    <s v="Bottle Green"/>
    <n v="680"/>
  </r>
  <r>
    <x v="222"/>
    <x v="14"/>
    <s v="TSH0691"/>
    <n v="1"/>
    <s v="T-Shirt"/>
    <s v="Campus"/>
    <s v="Sleeveless"/>
    <s v="Cotton Blend"/>
    <s v="L"/>
    <s v="Maroon"/>
    <n v="720"/>
  </r>
  <r>
    <x v="222"/>
    <x v="14"/>
    <s v="TSH0611"/>
    <n v="1"/>
    <s v="T-Shirt"/>
    <s v="Zara"/>
    <s v="Hoodie"/>
    <s v="Cotton"/>
    <s v="S"/>
    <s v="Beige"/>
    <n v="320"/>
  </r>
  <r>
    <x v="222"/>
    <x v="14"/>
    <s v="INW1390"/>
    <n v="1"/>
    <s v="Innerwear"/>
    <s v="Jockey"/>
    <s v="Boxer"/>
    <s v="Cotton Blend"/>
    <s v="75-80"/>
    <s v="Navy Blue"/>
    <n v="160"/>
  </r>
  <r>
    <x v="223"/>
    <x v="14"/>
    <s v="PNT1252"/>
    <n v="1"/>
    <s v="Pants"/>
    <s v="Louis Philippe"/>
    <s v="Boot Cut"/>
    <s v="Cotton Blend"/>
    <n v="34"/>
    <s v="Dark Green"/>
    <n v="950"/>
  </r>
  <r>
    <x v="224"/>
    <x v="14"/>
    <s v="SHT0274"/>
    <n v="1"/>
    <s v="Shirt"/>
    <s v="USD"/>
    <s v="Casual"/>
    <s v="Cotton"/>
    <s v="S"/>
    <s v="Wine"/>
    <n v="900"/>
  </r>
  <r>
    <x v="224"/>
    <x v="14"/>
    <s v="SHT0179"/>
    <n v="1"/>
    <s v="Shirt"/>
    <s v="USD"/>
    <s v="Partywear"/>
    <s v="Polyester"/>
    <s v="XXL"/>
    <s v="Sky Blue"/>
    <n v="650"/>
  </r>
  <r>
    <x v="225"/>
    <x v="14"/>
    <s v="INW1384"/>
    <n v="1"/>
    <s v="Innerwear"/>
    <s v="Jockey"/>
    <s v="V-Cut"/>
    <s v="Cotton"/>
    <s v="90-100"/>
    <s v="White"/>
    <n v="180"/>
  </r>
  <r>
    <x v="225"/>
    <x v="14"/>
    <s v="TSH0537"/>
    <n v="1"/>
    <s v="T-Shirt"/>
    <s v="Thailand"/>
    <s v="Full Sleeve"/>
    <s v="Cotton"/>
    <s v="XL"/>
    <s v="Dark Green"/>
    <n v="280"/>
  </r>
  <r>
    <x v="225"/>
    <x v="14"/>
    <s v="JNS0947"/>
    <n v="1"/>
    <s v="Jeans"/>
    <s v="Wrangler"/>
    <s v="Baggy"/>
    <s v="Denim"/>
    <n v="34"/>
    <s v="Grey"/>
    <n v="960"/>
  </r>
  <r>
    <x v="225"/>
    <x v="14"/>
    <s v="SHT0221"/>
    <n v="1"/>
    <s v="Shirt"/>
    <s v="Max"/>
    <s v="Casual"/>
    <s v="Lycra"/>
    <s v="L"/>
    <s v="Teal"/>
    <n v="720"/>
  </r>
  <r>
    <x v="226"/>
    <x v="14"/>
    <s v="SHT0197"/>
    <n v="1"/>
    <s v="Shirt"/>
    <s v="USD"/>
    <s v="Casual"/>
    <s v="Cotton Blend"/>
    <s v="L"/>
    <s v="Light Grey"/>
    <n v="750"/>
  </r>
  <r>
    <x v="226"/>
    <x v="14"/>
    <s v="JNS0797"/>
    <n v="1"/>
    <s v="Jeans"/>
    <s v="Levis"/>
    <s v="Baggy"/>
    <s v="Denim"/>
    <n v="28"/>
    <s v="Mustard"/>
    <n v="1050"/>
  </r>
  <r>
    <x v="226"/>
    <x v="14"/>
    <s v="TSH0741"/>
    <n v="1"/>
    <s v="T-Shirt"/>
    <s v="Zara"/>
    <s v="Half Sleeve"/>
    <s v="Cotton"/>
    <s v="XXL"/>
    <s v="Brown"/>
    <n v="580"/>
  </r>
  <r>
    <x v="227"/>
    <x v="14"/>
    <s v="SHT0312"/>
    <n v="1"/>
    <s v="Shirt"/>
    <s v="Zara"/>
    <s v="Partywear"/>
    <s v="Lycra"/>
    <s v="M"/>
    <s v="White"/>
    <n v="720"/>
  </r>
  <r>
    <x v="228"/>
    <x v="14"/>
    <s v="TSH0599"/>
    <n v="1"/>
    <s v="T-Shirt"/>
    <s v="Turkey"/>
    <s v="3/4 Sleeve"/>
    <s v="Cotton Blend"/>
    <s v="L"/>
    <s v="Grey"/>
    <n v="700"/>
  </r>
  <r>
    <x v="228"/>
    <x v="14"/>
    <s v="SHT0130"/>
    <n v="1"/>
    <s v="Shirt"/>
    <s v="Luke &amp; Burg"/>
    <s v="Partywear"/>
    <s v="Cotton"/>
    <s v="XL"/>
    <s v="Navy Blue"/>
    <n v="870"/>
  </r>
  <r>
    <x v="228"/>
    <x v="14"/>
    <s v="PNT1188"/>
    <n v="1"/>
    <s v="Pants"/>
    <s v="Van Heusen"/>
    <s v="Polofit"/>
    <s v="Lycra"/>
    <n v="28"/>
    <s v="Maroon"/>
    <n v="750"/>
  </r>
  <r>
    <x v="229"/>
    <x v="15"/>
    <s v="TSH0528"/>
    <n v="1"/>
    <s v="T-Shirt"/>
    <s v="Turkey"/>
    <s v="Half Sleeve"/>
    <s v="Poly Cotton"/>
    <s v="L"/>
    <s v="Cream"/>
    <n v="440"/>
  </r>
  <r>
    <x v="229"/>
    <x v="15"/>
    <s v="SHT0015"/>
    <n v="1"/>
    <s v="Shirt"/>
    <s v="Max"/>
    <s v="Formal"/>
    <s v="Cotton Blend"/>
    <s v="M"/>
    <s v="Charcoal"/>
    <n v="950"/>
  </r>
  <r>
    <x v="230"/>
    <x v="15"/>
    <s v="PNT1216"/>
    <n v="1"/>
    <s v="Pants"/>
    <s v="Peter England"/>
    <s v="Kurka"/>
    <s v="Lycra"/>
    <n v="30"/>
    <s v="Royal Blue"/>
    <n v="820"/>
  </r>
  <r>
    <x v="230"/>
    <x v="15"/>
    <s v="PNT1244"/>
    <n v="1"/>
    <s v="Pants"/>
    <s v="Raymond"/>
    <s v="Kurka"/>
    <s v="Lycra"/>
    <n v="38"/>
    <s v="Brown"/>
    <n v="850"/>
  </r>
  <r>
    <x v="231"/>
    <x v="15"/>
    <s v="INW1542"/>
    <n v="1"/>
    <s v="Innerwear"/>
    <s v="V Star"/>
    <s v="V-Cut"/>
    <s v="Cotton"/>
    <s v="100-105"/>
    <s v="Beige"/>
    <n v="170"/>
  </r>
  <r>
    <x v="231"/>
    <x v="15"/>
    <s v="SHT0219"/>
    <n v="1"/>
    <s v="Shirt"/>
    <s v="Max"/>
    <s v="Partywear"/>
    <s v="Lycra"/>
    <s v="S"/>
    <s v="Cream"/>
    <n v="740"/>
  </r>
  <r>
    <x v="232"/>
    <x v="15"/>
    <s v="SHT0191"/>
    <n v="1"/>
    <s v="Shirt"/>
    <s v="Thailand"/>
    <s v="Casual"/>
    <s v="Cotton"/>
    <s v="XXL"/>
    <s v="Wine"/>
    <n v="840"/>
  </r>
  <r>
    <x v="232"/>
    <x v="15"/>
    <s v="INW1453"/>
    <n v="1"/>
    <s v="Innerwear"/>
    <s v="Dollar"/>
    <s v="Boxer"/>
    <s v="Cotton Blend"/>
    <s v="80-85"/>
    <s v="Beige"/>
    <n v="120"/>
  </r>
  <r>
    <x v="232"/>
    <x v="15"/>
    <s v="PNT1164"/>
    <n v="1"/>
    <s v="Pants"/>
    <s v="Van Heusen"/>
    <s v="Kurka"/>
    <s v="Lycra"/>
    <n v="42"/>
    <s v="Mustard"/>
    <n v="780"/>
  </r>
  <r>
    <x v="232"/>
    <x v="15"/>
    <s v="INW1391"/>
    <n v="1"/>
    <s v="Innerwear"/>
    <s v="Rupa"/>
    <s v="Boxer"/>
    <s v="Cotton Blend"/>
    <s v="80-85"/>
    <s v="Olive"/>
    <n v="180"/>
  </r>
  <r>
    <x v="233"/>
    <x v="15"/>
    <s v="INW1410"/>
    <n v="1"/>
    <s v="Innerwear"/>
    <s v="Dollar"/>
    <s v="V-Cut"/>
    <s v="Cotton Blend"/>
    <s v="105-110"/>
    <s v="Brown"/>
    <n v="150"/>
  </r>
  <r>
    <x v="233"/>
    <x v="15"/>
    <s v="TSH0743"/>
    <n v="1"/>
    <s v="T-Shirt"/>
    <s v="Roadster"/>
    <s v="Half Sleeve"/>
    <s v="Cotton Blend"/>
    <s v="M"/>
    <s v="Bottle Green"/>
    <n v="500"/>
  </r>
  <r>
    <x v="233"/>
    <x v="15"/>
    <s v="PNT1127"/>
    <n v="1"/>
    <s v="Pants"/>
    <s v="Van Heusen"/>
    <s v="Boot Cut"/>
    <s v="Poly Viscose"/>
    <n v="30"/>
    <s v="Light Grey"/>
    <n v="750"/>
  </r>
  <r>
    <x v="234"/>
    <x v="15"/>
    <s v="SHT0126"/>
    <n v="1"/>
    <s v="Shirt"/>
    <s v="L7"/>
    <s v="Formal"/>
    <s v="Cotton"/>
    <s v="L"/>
    <s v="Light Grey"/>
    <n v="640"/>
  </r>
  <r>
    <x v="234"/>
    <x v="15"/>
    <s v="PNT1160"/>
    <n v="1"/>
    <s v="Pants"/>
    <s v="Peter England"/>
    <s v="Korean"/>
    <s v="Lycra"/>
    <n v="38"/>
    <s v="Peach"/>
    <n v="870"/>
  </r>
  <r>
    <x v="234"/>
    <x v="15"/>
    <s v="PNT1250"/>
    <n v="1"/>
    <s v="Pants"/>
    <s v="Raymond"/>
    <s v="Jogger"/>
    <s v="Poly Viscose"/>
    <n v="40"/>
    <s v="Rust"/>
    <n v="900"/>
  </r>
  <r>
    <x v="234"/>
    <x v="15"/>
    <s v="PNT1320"/>
    <n v="1"/>
    <s v="Pants"/>
    <s v="Van Heusen"/>
    <s v="Korean"/>
    <s v="Lycra"/>
    <n v="30"/>
    <s v="Peach"/>
    <n v="910"/>
  </r>
  <r>
    <x v="235"/>
    <x v="15"/>
    <s v="INW1552"/>
    <n v="1"/>
    <s v="Innerwear"/>
    <s v="Dollar"/>
    <s v="V-Cut"/>
    <s v="Cotton Blend"/>
    <s v="75-80"/>
    <s v="Dark Green"/>
    <n v="140"/>
  </r>
  <r>
    <x v="235"/>
    <x v="15"/>
    <s v="INW1382"/>
    <n v="1"/>
    <s v="Innerwear"/>
    <s v="Jockey"/>
    <s v="V-Cut"/>
    <s v="Cotton"/>
    <s v="85-90"/>
    <s v="Cream"/>
    <n v="180"/>
  </r>
  <r>
    <x v="235"/>
    <x v="15"/>
    <s v="INW1555"/>
    <n v="1"/>
    <s v="Innerwear"/>
    <s v="Rupa"/>
    <s v="Boxer"/>
    <s v="Cotton"/>
    <s v="90-100"/>
    <s v="Olive"/>
    <n v="160"/>
  </r>
  <r>
    <x v="236"/>
    <x v="15"/>
    <s v="PNT1086"/>
    <n v="1"/>
    <s v="Pants"/>
    <s v="Raymond"/>
    <s v="Korean"/>
    <s v="Lycra"/>
    <n v="28"/>
    <s v="Beige"/>
    <n v="950"/>
  </r>
  <r>
    <x v="237"/>
    <x v="15"/>
    <s v="SHT0289"/>
    <n v="1"/>
    <s v="Shirt"/>
    <s v="Zara"/>
    <s v="Casual"/>
    <s v="Polyester"/>
    <s v="XXL"/>
    <s v="Peach"/>
    <n v="650"/>
  </r>
  <r>
    <x v="238"/>
    <x v="15"/>
    <s v="SHT0094"/>
    <n v="1"/>
    <s v="Shirt"/>
    <s v="L7"/>
    <s v="Formal"/>
    <s v="Cotton Blend"/>
    <s v="S"/>
    <s v="Light Grey"/>
    <n v="690"/>
  </r>
  <r>
    <x v="238"/>
    <x v="15"/>
    <s v="TSH0610"/>
    <n v="1"/>
    <s v="T-Shirt"/>
    <s v="Zara"/>
    <s v="Half Sleeve"/>
    <s v="Poly Cotton"/>
    <s v="S"/>
    <s v="Sky Blue"/>
    <n v="380"/>
  </r>
  <r>
    <x v="239"/>
    <x v="15"/>
    <s v="INW1498"/>
    <n v="1"/>
    <s v="Innerwear"/>
    <s v="Dollar"/>
    <s v="Boxer"/>
    <s v="Cotton"/>
    <s v="85-90"/>
    <s v="Dark Green"/>
    <n v="130"/>
  </r>
  <r>
    <x v="239"/>
    <x v="15"/>
    <s v="PNT1165"/>
    <n v="1"/>
    <s v="Pants"/>
    <s v="Van Heusen"/>
    <s v="Polofit"/>
    <s v="Lycra"/>
    <n v="42"/>
    <s v="Bottle Green"/>
    <n v="710"/>
  </r>
  <r>
    <x v="239"/>
    <x v="15"/>
    <s v="JNS0888"/>
    <n v="1"/>
    <s v="Jeans"/>
    <s v="Spykar"/>
    <s v="Baggy"/>
    <s v="Denim"/>
    <n v="32"/>
    <s v="Maroon"/>
    <n v="780"/>
  </r>
  <r>
    <x v="240"/>
    <x v="15"/>
    <s v="TSH0614"/>
    <n v="1"/>
    <s v="T-Shirt"/>
    <s v="Urban Monkey"/>
    <s v="Half Sleeve"/>
    <s v="Cotton"/>
    <s v="M"/>
    <s v="Olive"/>
    <n v="280"/>
  </r>
  <r>
    <x v="240"/>
    <x v="15"/>
    <s v="PNT1288"/>
    <n v="1"/>
    <s v="Pants"/>
    <s v="Raymond"/>
    <s v="Korean"/>
    <s v="Lycra"/>
    <n v="40"/>
    <s v="Mustard"/>
    <n v="840"/>
  </r>
  <r>
    <x v="241"/>
    <x v="15"/>
    <s v="PNT1217"/>
    <n v="1"/>
    <s v="Pants"/>
    <s v="Raymond"/>
    <s v="Boot Cut"/>
    <s v="Cotton Blend"/>
    <n v="28"/>
    <s v="Black"/>
    <n v="940"/>
  </r>
  <r>
    <x v="241"/>
    <x v="15"/>
    <s v="SHT0324"/>
    <n v="1"/>
    <s v="Shirt"/>
    <s v="G Studio"/>
    <s v="Casual"/>
    <s v="Cotton Blend"/>
    <s v="L"/>
    <s v="Brown"/>
    <n v="770"/>
  </r>
  <r>
    <x v="242"/>
    <x v="15"/>
    <s v="JNS0796"/>
    <n v="1"/>
    <s v="Jeans"/>
    <s v="Pepe"/>
    <s v="Baggy"/>
    <s v="Denim"/>
    <n v="38"/>
    <s v="Bottle Green"/>
    <n v="820"/>
  </r>
  <r>
    <x v="242"/>
    <x v="15"/>
    <s v="SHT0051"/>
    <n v="1"/>
    <s v="Shirt"/>
    <s v="British"/>
    <s v="Formal"/>
    <s v="Cotton Blend"/>
    <s v="XXL"/>
    <s v="Peach"/>
    <n v="890"/>
  </r>
  <r>
    <x v="242"/>
    <x v="15"/>
    <s v="JNS0990"/>
    <n v="1"/>
    <s v="Jeans"/>
    <s v="Levis"/>
    <s v="Mom Fit"/>
    <s v="Denim"/>
    <n v="30"/>
    <s v="Maroon"/>
    <n v="990"/>
  </r>
  <r>
    <x v="243"/>
    <x v="15"/>
    <s v="PNT1081"/>
    <n v="1"/>
    <s v="Pants"/>
    <s v="Van Heusen"/>
    <s v="Jogger"/>
    <s v="Poly Viscose"/>
    <n v="28"/>
    <s v="Brown"/>
    <n v="840"/>
  </r>
  <r>
    <x v="243"/>
    <x v="15"/>
    <s v="SHT0116"/>
    <n v="1"/>
    <s v="Shirt"/>
    <s v="G Studio"/>
    <s v="Formal"/>
    <s v="Polyester"/>
    <s v="XXL"/>
    <s v="Royal Blue"/>
    <n v="660"/>
  </r>
  <r>
    <x v="244"/>
    <x v="15"/>
    <s v="SHT0330"/>
    <n v="1"/>
    <s v="Shirt"/>
    <s v="L7"/>
    <s v="Formal"/>
    <s v="Lycra"/>
    <s v="XXL"/>
    <s v="Dark Green"/>
    <n v="830"/>
  </r>
  <r>
    <x v="245"/>
    <x v="15"/>
    <s v="INW1457"/>
    <n v="1"/>
    <s v="Innerwear"/>
    <s v="Dollar"/>
    <s v="V-Cut"/>
    <s v="Cotton"/>
    <s v="100-105"/>
    <s v="Teal"/>
    <n v="110"/>
  </r>
  <r>
    <x v="245"/>
    <x v="15"/>
    <s v="SHT0276"/>
    <n v="1"/>
    <s v="Shirt"/>
    <s v="L7"/>
    <s v="Casual"/>
    <s v="Lycra"/>
    <s v="XXL"/>
    <s v="Beige"/>
    <n v="930"/>
  </r>
  <r>
    <x v="246"/>
    <x v="15"/>
    <s v="PNT1110"/>
    <n v="1"/>
    <s v="Pants"/>
    <s v="Van Heusen"/>
    <s v="Jogger"/>
    <s v="Cotton Blend"/>
    <n v="28"/>
    <s v="Navy Blue"/>
    <n v="830"/>
  </r>
  <r>
    <x v="246"/>
    <x v="15"/>
    <s v="TSH0397"/>
    <n v="1"/>
    <s v="T-Shirt"/>
    <s v="Thailand"/>
    <s v="Sleeveless"/>
    <s v="Poly Cotton"/>
    <s v="M"/>
    <s v="Mustard"/>
    <n v="440"/>
  </r>
  <r>
    <x v="246"/>
    <x v="15"/>
    <s v="TSH0472"/>
    <n v="1"/>
    <s v="T-Shirt"/>
    <s v="Campus"/>
    <s v="Full Sleeve"/>
    <s v="Cotton"/>
    <s v="S"/>
    <s v="Maroon"/>
    <n v="430"/>
  </r>
  <r>
    <x v="247"/>
    <x v="16"/>
    <s v="PNT1270"/>
    <n v="1"/>
    <s v="Pants"/>
    <s v="Van Heusen"/>
    <s v="Korean"/>
    <s v="Lycra"/>
    <n v="36"/>
    <s v="Brown"/>
    <n v="740"/>
  </r>
  <r>
    <x v="247"/>
    <x v="16"/>
    <s v="TSH0515"/>
    <n v="1"/>
    <s v="T-Shirt"/>
    <s v="Campus"/>
    <s v="3/4 Sleeve"/>
    <s v="Poly Cotton"/>
    <s v="S"/>
    <s v="Teal"/>
    <n v="740"/>
  </r>
  <r>
    <x v="247"/>
    <x v="16"/>
    <s v="INW1635"/>
    <n v="1"/>
    <s v="Innerwear"/>
    <s v="Jockey"/>
    <s v="V-Cut"/>
    <s v="Cotton"/>
    <s v="90-100"/>
    <s v="Dark Green"/>
    <n v="150"/>
  </r>
  <r>
    <x v="248"/>
    <x v="16"/>
    <s v="TSH0398"/>
    <n v="1"/>
    <s v="T-Shirt"/>
    <s v="Urban Monkey"/>
    <s v="Sleeveless"/>
    <s v="Cotton Blend"/>
    <s v="S"/>
    <s v="Light Grey"/>
    <n v="410"/>
  </r>
  <r>
    <x v="249"/>
    <x v="16"/>
    <s v="SHT0018"/>
    <n v="1"/>
    <s v="Shirt"/>
    <s v="Luke &amp; Burg"/>
    <s v="Partywear"/>
    <s v="Cotton"/>
    <s v="XL"/>
    <s v="Rust"/>
    <n v="910"/>
  </r>
  <r>
    <x v="249"/>
    <x v="16"/>
    <s v="TSH0692"/>
    <n v="1"/>
    <s v="T-Shirt"/>
    <s v="Max"/>
    <s v="Sleeveless"/>
    <s v="Cotton Blend"/>
    <s v="L"/>
    <s v="Peach"/>
    <n v="550"/>
  </r>
  <r>
    <x v="249"/>
    <x v="16"/>
    <s v="PNT1273"/>
    <n v="1"/>
    <s v="Pants"/>
    <s v="Van Heusen"/>
    <s v="Polofit"/>
    <s v="Lycra"/>
    <n v="40"/>
    <s v="Peach"/>
    <n v="900"/>
  </r>
  <r>
    <x v="249"/>
    <x v="16"/>
    <s v="PNT1328"/>
    <n v="1"/>
    <s v="Pants"/>
    <s v="Park Avenue"/>
    <s v="Polofit"/>
    <s v="Lycra"/>
    <n v="34"/>
    <s v="Light Grey"/>
    <n v="700"/>
  </r>
  <r>
    <x v="250"/>
    <x v="16"/>
    <s v="PNT1159"/>
    <n v="1"/>
    <s v="Pants"/>
    <s v="Park Avenue"/>
    <s v="Korean"/>
    <s v="Lycra"/>
    <n v="30"/>
    <s v="Mustard"/>
    <n v="880"/>
  </r>
  <r>
    <x v="250"/>
    <x v="16"/>
    <s v="PNT1312"/>
    <n v="1"/>
    <s v="Pants"/>
    <s v="Peter England"/>
    <s v="Korean"/>
    <s v="Lycra"/>
    <n v="34"/>
    <s v="Wine"/>
    <n v="720"/>
  </r>
  <r>
    <x v="251"/>
    <x v="16"/>
    <s v="TSH0569"/>
    <n v="1"/>
    <s v="T-Shirt"/>
    <s v="Urban Monkey"/>
    <s v="Sleeveless"/>
    <s v="Poly Cotton"/>
    <s v="XXL"/>
    <s v="Teal"/>
    <n v="340"/>
  </r>
  <r>
    <x v="251"/>
    <x v="16"/>
    <s v="INW1456"/>
    <n v="1"/>
    <s v="Innerwear"/>
    <s v="Rupa"/>
    <s v="Boxer"/>
    <s v="Cotton"/>
    <s v="85-90"/>
    <s v="Navy Blue"/>
    <n v="140"/>
  </r>
  <r>
    <x v="251"/>
    <x v="16"/>
    <s v="SHT0140"/>
    <n v="1"/>
    <s v="Shirt"/>
    <s v="USD"/>
    <s v="Casual"/>
    <s v="Polyester"/>
    <s v="L"/>
    <s v="Mustard"/>
    <n v="940"/>
  </r>
  <r>
    <x v="252"/>
    <x v="16"/>
    <s v="PNT1353"/>
    <n v="1"/>
    <s v="Pants"/>
    <s v="Louis Philippe"/>
    <s v="Korean"/>
    <s v="Lycra"/>
    <n v="40"/>
    <s v="Light Grey"/>
    <n v="880"/>
  </r>
  <r>
    <x v="252"/>
    <x v="16"/>
    <s v="JNS0908"/>
    <n v="1"/>
    <s v="Jeans"/>
    <s v="Pepe"/>
    <s v="Baggy"/>
    <s v="Denim"/>
    <n v="44"/>
    <s v="Dark Green"/>
    <n v="860"/>
  </r>
  <r>
    <x v="253"/>
    <x v="16"/>
    <s v="PNT1121"/>
    <n v="1"/>
    <s v="Pants"/>
    <s v="Raymond"/>
    <s v="Kurka"/>
    <s v="Lycra"/>
    <n v="38"/>
    <s v="Maroon"/>
    <n v="940"/>
  </r>
  <r>
    <x v="253"/>
    <x v="16"/>
    <s v="TSH0701"/>
    <n v="1"/>
    <s v="T-Shirt"/>
    <s v="Zara"/>
    <s v="Full Sleeve"/>
    <s v="Cotton Blend"/>
    <s v="M"/>
    <s v="Navy Blue"/>
    <n v="470"/>
  </r>
  <r>
    <x v="253"/>
    <x v="16"/>
    <s v="SHT0037"/>
    <n v="1"/>
    <s v="Shirt"/>
    <s v="G Studio"/>
    <s v="Formal"/>
    <s v="Polyester"/>
    <s v="XL"/>
    <s v="Peach"/>
    <n v="900"/>
  </r>
  <r>
    <x v="254"/>
    <x v="16"/>
    <s v="TSH0726"/>
    <n v="1"/>
    <s v="T-Shirt"/>
    <s v="Zara"/>
    <s v="Sleeveless"/>
    <s v="Poly Cotton"/>
    <s v="M"/>
    <s v="Mustard"/>
    <n v="580"/>
  </r>
  <r>
    <x v="255"/>
    <x v="16"/>
    <s v="TSH0606"/>
    <n v="1"/>
    <s v="T-Shirt"/>
    <s v="Roadster"/>
    <s v="Full Sleeve"/>
    <s v="Cotton Blend"/>
    <s v="S"/>
    <s v="Wine"/>
    <n v="660"/>
  </r>
  <r>
    <x v="255"/>
    <x v="16"/>
    <s v="TSH0734"/>
    <n v="1"/>
    <s v="T-Shirt"/>
    <s v="Max"/>
    <s v="Hoodie"/>
    <s v="Cotton Blend"/>
    <s v="S"/>
    <s v="Navy Blue"/>
    <n v="310"/>
  </r>
  <r>
    <x v="256"/>
    <x v="16"/>
    <s v="SHT0004"/>
    <n v="1"/>
    <s v="Shirt"/>
    <s v="G Studio"/>
    <s v="Partywear"/>
    <s v="Polyester"/>
    <s v="M"/>
    <s v="Cream"/>
    <n v="830"/>
  </r>
  <r>
    <x v="256"/>
    <x v="16"/>
    <s v="JNS0869"/>
    <n v="1"/>
    <s v="Jeans"/>
    <s v="Wrangler"/>
    <s v="Mom Fit"/>
    <s v="Denim"/>
    <n v="38"/>
    <s v="Bottle Green"/>
    <n v="840"/>
  </r>
  <r>
    <x v="257"/>
    <x v="16"/>
    <s v="INW1530"/>
    <n v="1"/>
    <s v="Innerwear"/>
    <s v="Dollar"/>
    <s v="Boxer"/>
    <s v="Cotton Blend"/>
    <s v="75-80"/>
    <s v="Wine"/>
    <n v="140"/>
  </r>
  <r>
    <x v="258"/>
    <x v="16"/>
    <s v="SHT0047"/>
    <n v="1"/>
    <s v="Shirt"/>
    <s v="H&amp;M"/>
    <s v="Formal"/>
    <s v="Cotton Blend"/>
    <s v="M"/>
    <s v="Teal"/>
    <n v="660"/>
  </r>
  <r>
    <x v="258"/>
    <x v="16"/>
    <s v="SHT0125"/>
    <n v="1"/>
    <s v="Shirt"/>
    <s v="L7"/>
    <s v="Partywear"/>
    <s v="Cotton"/>
    <s v="XL"/>
    <s v="Mustard"/>
    <n v="790"/>
  </r>
  <r>
    <x v="259"/>
    <x v="16"/>
    <s v="JNS1024"/>
    <n v="1"/>
    <s v="Jeans"/>
    <s v="Spykar"/>
    <s v="Mom Fit"/>
    <s v="Denim"/>
    <n v="42"/>
    <s v="Wine"/>
    <n v="960"/>
  </r>
  <r>
    <x v="259"/>
    <x v="16"/>
    <s v="SHT0016"/>
    <n v="1"/>
    <s v="Shirt"/>
    <s v="Luke &amp; Burg"/>
    <s v="Partywear"/>
    <s v="Polyester"/>
    <s v="L"/>
    <s v="Charcoal"/>
    <n v="900"/>
  </r>
  <r>
    <x v="259"/>
    <x v="16"/>
    <s v="TSH0543"/>
    <n v="1"/>
    <s v="T-Shirt"/>
    <s v="Roadster"/>
    <s v="Sleeveless"/>
    <s v="Cotton"/>
    <s v="L"/>
    <s v="Rust"/>
    <n v="670"/>
  </r>
  <r>
    <x v="260"/>
    <x v="17"/>
    <s v="PNT1185"/>
    <n v="1"/>
    <s v="Pants"/>
    <s v="Park Avenue"/>
    <s v="Boot Cut"/>
    <s v="Poly Viscose"/>
    <n v="40"/>
    <s v="Teal"/>
    <n v="880"/>
  </r>
  <r>
    <x v="261"/>
    <x v="17"/>
    <s v="PNT1303"/>
    <n v="1"/>
    <s v="Pants"/>
    <s v="Raymond"/>
    <s v="Kurka"/>
    <s v="Lycra"/>
    <n v="44"/>
    <s v="Peach"/>
    <n v="700"/>
  </r>
  <r>
    <x v="261"/>
    <x v="17"/>
    <s v="SHT0242"/>
    <n v="1"/>
    <s v="Shirt"/>
    <s v="Thailand"/>
    <s v="Formal"/>
    <s v="Cotton Blend"/>
    <s v="S"/>
    <s v="White"/>
    <n v="670"/>
  </r>
  <r>
    <x v="261"/>
    <x v="17"/>
    <s v="INW1584"/>
    <n v="1"/>
    <s v="Innerwear"/>
    <s v="V Star"/>
    <s v="Boxer"/>
    <s v="Cotton"/>
    <s v="80-85"/>
    <s v="Peach"/>
    <n v="100"/>
  </r>
  <r>
    <x v="262"/>
    <x v="17"/>
    <s v="TSH0611"/>
    <n v="1"/>
    <s v="T-Shirt"/>
    <s v="Zara"/>
    <s v="Hoodie"/>
    <s v="Cotton"/>
    <s v="S"/>
    <s v="Beige"/>
    <n v="320"/>
  </r>
  <r>
    <x v="262"/>
    <x v="17"/>
    <s v="SHT0242"/>
    <n v="1"/>
    <s v="Shirt"/>
    <s v="Thailand"/>
    <s v="Formal"/>
    <s v="Cotton Blend"/>
    <s v="S"/>
    <s v="White"/>
    <n v="670"/>
  </r>
  <r>
    <x v="262"/>
    <x v="17"/>
    <s v="TSH0500"/>
    <n v="1"/>
    <s v="T-Shirt"/>
    <s v="Zara"/>
    <s v="Full Sleeve"/>
    <s v="Cotton"/>
    <s v="S"/>
    <s v="White"/>
    <n v="540"/>
  </r>
  <r>
    <x v="262"/>
    <x v="17"/>
    <s v="JNS0995"/>
    <n v="1"/>
    <s v="Jeans"/>
    <s v="Levis"/>
    <s v="Baggy"/>
    <s v="Denim"/>
    <n v="44"/>
    <s v="Charcoal"/>
    <n v="940"/>
  </r>
  <r>
    <x v="263"/>
    <x v="17"/>
    <s v="TSH0450"/>
    <n v="1"/>
    <s v="T-Shirt"/>
    <s v="Max"/>
    <s v="3/4 Sleeve"/>
    <s v="Poly Cotton"/>
    <s v="M"/>
    <s v="Bottle Green"/>
    <n v="250"/>
  </r>
  <r>
    <x v="263"/>
    <x v="17"/>
    <s v="TSH0405"/>
    <n v="1"/>
    <s v="T-Shirt"/>
    <s v="Campus"/>
    <s v="Sleeveless"/>
    <s v="Cotton Blend"/>
    <s v="XL"/>
    <s v="Sky Blue"/>
    <n v="610"/>
  </r>
  <r>
    <x v="263"/>
    <x v="17"/>
    <s v="SHT0191"/>
    <n v="1"/>
    <s v="Shirt"/>
    <s v="Thailand"/>
    <s v="Casual"/>
    <s v="Cotton"/>
    <s v="XXL"/>
    <s v="Wine"/>
    <n v="840"/>
  </r>
  <r>
    <x v="263"/>
    <x v="17"/>
    <s v="JNS1032"/>
    <n v="1"/>
    <s v="Jeans"/>
    <s v="Levis"/>
    <s v="Baggy"/>
    <s v="Denim"/>
    <n v="32"/>
    <s v="Mustard"/>
    <n v="1080"/>
  </r>
  <r>
    <x v="264"/>
    <x v="17"/>
    <s v="JNS0804"/>
    <n v="1"/>
    <s v="Jeans"/>
    <s v="Denim Pro"/>
    <s v="Mom Fit"/>
    <s v="Denim"/>
    <n v="34"/>
    <s v="Bottle Green"/>
    <n v="1080"/>
  </r>
  <r>
    <x v="264"/>
    <x v="17"/>
    <s v="TSH0620"/>
    <n v="1"/>
    <s v="T-Shirt"/>
    <s v="Zara"/>
    <s v="Full Sleeve"/>
    <s v="Cotton Blend"/>
    <s v="XL"/>
    <s v="Sky Blue"/>
    <n v="650"/>
  </r>
  <r>
    <x v="265"/>
    <x v="17"/>
    <s v="JNS0877"/>
    <n v="1"/>
    <s v="Jeans"/>
    <s v="Levis"/>
    <s v="Mom Fit"/>
    <s v="Denim"/>
    <n v="38"/>
    <s v="Rust"/>
    <n v="920"/>
  </r>
  <r>
    <x v="265"/>
    <x v="17"/>
    <s v="INW1469"/>
    <n v="1"/>
    <s v="Innerwear"/>
    <s v="V Star"/>
    <s v="V-Cut"/>
    <s v="Cotton Blend"/>
    <s v="105-110"/>
    <s v="Peach"/>
    <n v="120"/>
  </r>
  <r>
    <x v="266"/>
    <x v="17"/>
    <s v="PNT1126"/>
    <n v="1"/>
    <s v="Pants"/>
    <s v="Park Avenue"/>
    <s v="Korean"/>
    <s v="Lycra"/>
    <n v="32"/>
    <s v="Peach"/>
    <n v="760"/>
  </r>
  <r>
    <x v="266"/>
    <x v="17"/>
    <s v="SHT0161"/>
    <n v="1"/>
    <s v="Shirt"/>
    <s v="Luke &amp; Burg"/>
    <s v="Formal"/>
    <s v="Lycra"/>
    <s v="M"/>
    <s v="Dark Green"/>
    <n v="750"/>
  </r>
  <r>
    <x v="266"/>
    <x v="17"/>
    <s v="TSH0580"/>
    <n v="1"/>
    <s v="T-Shirt"/>
    <s v="Turkey"/>
    <s v="Half Sleeve"/>
    <s v="Poly Cotton"/>
    <s v="XL"/>
    <s v="Brown"/>
    <n v="700"/>
  </r>
  <r>
    <x v="267"/>
    <x v="17"/>
    <s v="INW1579"/>
    <n v="1"/>
    <s v="Innerwear"/>
    <s v="Lux"/>
    <s v="V-Cut"/>
    <s v="Cotton Blend"/>
    <s v="85-90"/>
    <s v="Maroon"/>
    <n v="120"/>
  </r>
  <r>
    <x v="267"/>
    <x v="17"/>
    <s v="TSH0357"/>
    <n v="1"/>
    <s v="T-Shirt"/>
    <s v="Roadster"/>
    <s v="3/4 Sleeve"/>
    <s v="Cotton Blend"/>
    <s v="XL"/>
    <s v="Cream"/>
    <n v="380"/>
  </r>
  <r>
    <x v="267"/>
    <x v="17"/>
    <s v="TSH0417"/>
    <n v="1"/>
    <s v="T-Shirt"/>
    <s v="Turkey"/>
    <s v="3/4 Sleeve"/>
    <s v="Cotton Blend"/>
    <s v="M"/>
    <s v="Cream"/>
    <n v="590"/>
  </r>
  <r>
    <x v="267"/>
    <x v="17"/>
    <s v="PNT1102"/>
    <n v="1"/>
    <s v="Pants"/>
    <s v="Raymond"/>
    <s v="Jogger"/>
    <s v="Cotton"/>
    <n v="34"/>
    <s v="Olive"/>
    <n v="730"/>
  </r>
  <r>
    <x v="268"/>
    <x v="17"/>
    <s v="INW1435"/>
    <n v="1"/>
    <s v="Innerwear"/>
    <s v="Dollar"/>
    <s v="V-Cut"/>
    <s v="Cotton"/>
    <s v="80-85"/>
    <s v="Peach"/>
    <n v="130"/>
  </r>
  <r>
    <x v="268"/>
    <x v="17"/>
    <s v="SHT0092"/>
    <n v="1"/>
    <s v="Shirt"/>
    <s v="Zara"/>
    <s v="Partywear"/>
    <s v="Lycra"/>
    <s v="M"/>
    <s v="Maroon"/>
    <n v="700"/>
  </r>
  <r>
    <x v="268"/>
    <x v="17"/>
    <s v="SHT0114"/>
    <n v="1"/>
    <s v="Shirt"/>
    <s v="USD"/>
    <s v="Formal"/>
    <s v="Cotton Blend"/>
    <s v="XL"/>
    <s v="Sky Blue"/>
    <n v="750"/>
  </r>
  <r>
    <x v="269"/>
    <x v="17"/>
    <s v="INW1394"/>
    <n v="1"/>
    <s v="Innerwear"/>
    <s v="Lux"/>
    <s v="V-Cut"/>
    <s v="Cotton Blend"/>
    <s v="105-110"/>
    <s v="White"/>
    <n v="140"/>
  </r>
  <r>
    <x v="269"/>
    <x v="17"/>
    <s v="SHT0012"/>
    <n v="1"/>
    <s v="Shirt"/>
    <s v="G Studio"/>
    <s v="Formal"/>
    <s v="Polyester"/>
    <s v="XL"/>
    <s v="Beige"/>
    <n v="820"/>
  </r>
  <r>
    <x v="269"/>
    <x v="17"/>
    <s v="PNT1114"/>
    <n v="1"/>
    <s v="Pants"/>
    <s v="Louis Philippe"/>
    <s v="Polofit"/>
    <s v="Lycra"/>
    <n v="42"/>
    <s v="Wine"/>
    <n v="940"/>
  </r>
  <r>
    <x v="269"/>
    <x v="17"/>
    <s v="PNT1212"/>
    <n v="1"/>
    <s v="Pants"/>
    <s v="Louis Philippe"/>
    <s v="Boot Cut"/>
    <s v="Cotton"/>
    <n v="42"/>
    <s v="Light Grey"/>
    <n v="880"/>
  </r>
  <r>
    <x v="270"/>
    <x v="17"/>
    <s v="PNT1142"/>
    <n v="1"/>
    <s v="Pants"/>
    <s v="Raymond"/>
    <s v="Jogger"/>
    <s v="Cotton Blend"/>
    <n v="42"/>
    <s v="Bottle Green"/>
    <n v="800"/>
  </r>
  <r>
    <x v="270"/>
    <x v="17"/>
    <s v="JNS0920"/>
    <n v="1"/>
    <s v="Jeans"/>
    <s v="Locomotive"/>
    <s v="Mom Fit"/>
    <s v="Denim"/>
    <n v="38"/>
    <s v="Peach"/>
    <n v="1090"/>
  </r>
  <r>
    <x v="270"/>
    <x v="17"/>
    <s v="TSH0536"/>
    <n v="1"/>
    <s v="T-Shirt"/>
    <s v="Campus"/>
    <s v="Full Sleeve"/>
    <s v="Poly Cotton"/>
    <s v="XL"/>
    <s v="Olive"/>
    <n v="520"/>
  </r>
  <r>
    <x v="270"/>
    <x v="17"/>
    <s v="PNT1092"/>
    <n v="1"/>
    <s v="Pants"/>
    <s v="Raymond"/>
    <s v="Kurka"/>
    <s v="Lycra"/>
    <n v="36"/>
    <s v="Teal"/>
    <n v="750"/>
  </r>
  <r>
    <x v="271"/>
    <x v="18"/>
    <s v="TSH0696"/>
    <n v="1"/>
    <s v="T-Shirt"/>
    <s v="Roadster"/>
    <s v="Sleeveless"/>
    <s v="Poly Cotton"/>
    <s v="M"/>
    <s v="Teal"/>
    <n v="600"/>
  </r>
  <r>
    <x v="271"/>
    <x v="18"/>
    <s v="PNT1351"/>
    <n v="1"/>
    <s v="Pants"/>
    <s v="Park Avenue"/>
    <s v="Polofit"/>
    <s v="Lycra"/>
    <n v="44"/>
    <s v="Rust"/>
    <n v="940"/>
  </r>
  <r>
    <x v="271"/>
    <x v="18"/>
    <s v="INW1504"/>
    <n v="1"/>
    <s v="Innerwear"/>
    <s v="V Star"/>
    <s v="V-Cut"/>
    <s v="Cotton"/>
    <s v="105-110"/>
    <s v="Brown"/>
    <n v="130"/>
  </r>
  <r>
    <x v="272"/>
    <x v="18"/>
    <s v="TSH0381"/>
    <n v="1"/>
    <s v="T-Shirt"/>
    <s v="Zara"/>
    <s v="Sleeveless"/>
    <s v="Cotton"/>
    <s v="S"/>
    <s v="Mustard"/>
    <n v="250"/>
  </r>
  <r>
    <x v="272"/>
    <x v="18"/>
    <s v="SHT0122"/>
    <n v="1"/>
    <s v="Shirt"/>
    <s v="G Studio"/>
    <s v="Casual"/>
    <s v="Cotton"/>
    <s v="XXL"/>
    <s v="Charcoal"/>
    <n v="720"/>
  </r>
  <r>
    <x v="272"/>
    <x v="18"/>
    <s v="SHT0149"/>
    <n v="1"/>
    <s v="Shirt"/>
    <s v="USD"/>
    <s v="Partywear"/>
    <s v="Cotton Blend"/>
    <s v="S"/>
    <s v="White"/>
    <n v="790"/>
  </r>
  <r>
    <x v="272"/>
    <x v="18"/>
    <s v="TSH0487"/>
    <n v="1"/>
    <s v="T-Shirt"/>
    <s v="Zara"/>
    <s v="Sleeveless"/>
    <s v="Poly Cotton"/>
    <s v="L"/>
    <s v="Sky Blue"/>
    <n v="450"/>
  </r>
  <r>
    <x v="273"/>
    <x v="18"/>
    <s v="TSH0562"/>
    <n v="1"/>
    <s v="T-Shirt"/>
    <s v="Thailand"/>
    <s v="Sleeveless"/>
    <s v="Poly Cotton"/>
    <s v="S"/>
    <s v="Grey"/>
    <n v="440"/>
  </r>
  <r>
    <x v="273"/>
    <x v="18"/>
    <s v="TSH0363"/>
    <n v="1"/>
    <s v="T-Shirt"/>
    <s v="Campus"/>
    <s v="3/4 Sleeve"/>
    <s v="Cotton Blend"/>
    <s v="XL"/>
    <s v="Peach"/>
    <n v="600"/>
  </r>
  <r>
    <x v="273"/>
    <x v="18"/>
    <s v="JNS0818"/>
    <n v="1"/>
    <s v="Jeans"/>
    <s v="Denim Pro"/>
    <s v="Mom Fit"/>
    <s v="Denim"/>
    <n v="32"/>
    <s v="Olive"/>
    <n v="960"/>
  </r>
  <r>
    <x v="273"/>
    <x v="18"/>
    <s v="TSH0663"/>
    <n v="1"/>
    <s v="T-Shirt"/>
    <s v="Roadster"/>
    <s v="Half Sleeve"/>
    <s v="Poly Cotton"/>
    <s v="M"/>
    <s v="Bottle Green"/>
    <n v="340"/>
  </r>
  <r>
    <x v="274"/>
    <x v="18"/>
    <s v="JNS0960"/>
    <n v="1"/>
    <s v="Jeans"/>
    <s v="Pepe"/>
    <s v="Jogger"/>
    <s v="Denim"/>
    <n v="38"/>
    <s v="Sky Blue"/>
    <n v="780"/>
  </r>
  <r>
    <x v="274"/>
    <x v="18"/>
    <s v="TSH0667"/>
    <n v="1"/>
    <s v="T-Shirt"/>
    <s v="Campus"/>
    <s v="3/4 Sleeve"/>
    <s v="Cotton Blend"/>
    <s v="S"/>
    <s v="Rust"/>
    <n v="240"/>
  </r>
  <r>
    <x v="275"/>
    <x v="18"/>
    <s v="TSH0441"/>
    <n v="1"/>
    <s v="T-Shirt"/>
    <s v="Campus"/>
    <s v="Half Sleeve"/>
    <s v="Cotton Blend"/>
    <s v="XXL"/>
    <s v="Beige"/>
    <n v="260"/>
  </r>
  <r>
    <x v="275"/>
    <x v="18"/>
    <s v="PNT1148"/>
    <n v="1"/>
    <s v="Pants"/>
    <s v="Van Heusen"/>
    <s v="Polofit"/>
    <s v="Lycra"/>
    <n v="34"/>
    <s v="Bottle Green"/>
    <n v="850"/>
  </r>
  <r>
    <x v="275"/>
    <x v="18"/>
    <s v="SHT0004"/>
    <n v="1"/>
    <s v="Shirt"/>
    <s v="G Studio"/>
    <s v="Partywear"/>
    <s v="Polyester"/>
    <s v="M"/>
    <s v="Cream"/>
    <n v="830"/>
  </r>
  <r>
    <x v="275"/>
    <x v="18"/>
    <s v="PNT1151"/>
    <n v="1"/>
    <s v="Pants"/>
    <s v="Park Avenue"/>
    <s v="Boot Cut"/>
    <s v="Poly Viscose"/>
    <n v="28"/>
    <s v="Grey"/>
    <n v="870"/>
  </r>
  <r>
    <x v="276"/>
    <x v="18"/>
    <s v="JNS1067"/>
    <n v="1"/>
    <s v="Jeans"/>
    <s v="Pepe"/>
    <s v="Jogger"/>
    <s v="Denim"/>
    <n v="36"/>
    <s v="Peach"/>
    <n v="820"/>
  </r>
  <r>
    <x v="276"/>
    <x v="18"/>
    <s v="SHT0279"/>
    <n v="1"/>
    <s v="Shirt"/>
    <s v="Thailand"/>
    <s v="Partywear"/>
    <s v="Lycra"/>
    <s v="XXL"/>
    <s v="Bottle Green"/>
    <n v="860"/>
  </r>
  <r>
    <x v="276"/>
    <x v="18"/>
    <s v="INW1459"/>
    <n v="1"/>
    <s v="Innerwear"/>
    <s v="Jockey"/>
    <s v="Boxer"/>
    <s v="Cotton Blend"/>
    <s v="105-110"/>
    <s v="Maroon"/>
    <n v="170"/>
  </r>
  <r>
    <x v="276"/>
    <x v="18"/>
    <s v="TSH0392"/>
    <n v="1"/>
    <s v="T-Shirt"/>
    <s v="Thailand"/>
    <s v="Sleeveless"/>
    <s v="Cotton Blend"/>
    <s v="XL"/>
    <s v="Navy Blue"/>
    <n v="520"/>
  </r>
  <r>
    <x v="277"/>
    <x v="18"/>
    <s v="JNS0849"/>
    <n v="1"/>
    <s v="Jeans"/>
    <s v="Wrangler"/>
    <s v="Jogger"/>
    <s v="Denim"/>
    <n v="36"/>
    <s v="Olive"/>
    <n v="880"/>
  </r>
  <r>
    <x v="278"/>
    <x v="18"/>
    <s v="INW1603"/>
    <n v="1"/>
    <s v="Innerwear"/>
    <s v="V Star"/>
    <s v="V-Cut"/>
    <s v="Cotton"/>
    <s v="100-105"/>
    <s v="Peach"/>
    <n v="130"/>
  </r>
  <r>
    <x v="279"/>
    <x v="18"/>
    <s v="PNT1073"/>
    <n v="1"/>
    <s v="Pants"/>
    <s v="Louis Philippe"/>
    <s v="Kurka"/>
    <s v="Lycra"/>
    <n v="38"/>
    <s v="Royal Blue"/>
    <n v="880"/>
  </r>
  <r>
    <x v="279"/>
    <x v="18"/>
    <s v="PNT1131"/>
    <n v="1"/>
    <s v="Pants"/>
    <s v="Van Heusen"/>
    <s v="Korean"/>
    <s v="Lycra"/>
    <n v="28"/>
    <s v="Mustard"/>
    <n v="740"/>
  </r>
  <r>
    <x v="279"/>
    <x v="18"/>
    <s v="JNS0864"/>
    <n v="1"/>
    <s v="Jeans"/>
    <s v="Spykar"/>
    <s v="Baggy"/>
    <s v="Denim"/>
    <n v="32"/>
    <s v="Navy Blue"/>
    <n v="850"/>
  </r>
  <r>
    <x v="280"/>
    <x v="18"/>
    <s v="JNS0838"/>
    <n v="1"/>
    <s v="Jeans"/>
    <s v="Levis"/>
    <s v="Jogger"/>
    <s v="Denim"/>
    <n v="36"/>
    <s v="White"/>
    <n v="830"/>
  </r>
  <r>
    <x v="281"/>
    <x v="18"/>
    <s v="SHT0171"/>
    <n v="1"/>
    <s v="Shirt"/>
    <s v="Luke &amp; Burg"/>
    <s v="Casual"/>
    <s v="Cotton"/>
    <s v="L"/>
    <s v="Grey"/>
    <n v="850"/>
  </r>
  <r>
    <x v="281"/>
    <x v="18"/>
    <s v="JNS0789"/>
    <n v="1"/>
    <s v="Jeans"/>
    <s v="Denim Pro"/>
    <s v="Jogger"/>
    <s v="Denim"/>
    <n v="40"/>
    <s v="Charcoal"/>
    <n v="1030"/>
  </r>
  <r>
    <x v="281"/>
    <x v="18"/>
    <s v="TSH0461"/>
    <n v="1"/>
    <s v="T-Shirt"/>
    <s v="Thailand"/>
    <s v="Full Sleeve"/>
    <s v="Poly Cotton"/>
    <s v="XXL"/>
    <s v="Wine"/>
    <n v="680"/>
  </r>
  <r>
    <x v="282"/>
    <x v="19"/>
    <s v="PNT1361"/>
    <n v="1"/>
    <s v="Pants"/>
    <s v="Peter England"/>
    <s v="Polofit"/>
    <s v="Lycra"/>
    <n v="30"/>
    <s v="Teal"/>
    <n v="800"/>
  </r>
  <r>
    <x v="282"/>
    <x v="19"/>
    <s v="INW1535"/>
    <n v="1"/>
    <s v="Innerwear"/>
    <s v="Lux"/>
    <s v="V-Cut"/>
    <s v="Cotton"/>
    <s v="85-90"/>
    <s v="Teal"/>
    <n v="120"/>
  </r>
  <r>
    <x v="282"/>
    <x v="19"/>
    <s v="TSH0627"/>
    <n v="1"/>
    <s v="T-Shirt"/>
    <s v="Urban Monkey"/>
    <s v="Full Sleeve"/>
    <s v="Cotton"/>
    <s v="XL"/>
    <s v="Cream"/>
    <n v="500"/>
  </r>
  <r>
    <x v="283"/>
    <x v="19"/>
    <s v="INW1462"/>
    <n v="1"/>
    <s v="Innerwear"/>
    <s v="V Star"/>
    <s v="Boxer"/>
    <s v="Cotton Blend"/>
    <s v="100-105"/>
    <s v="Sky Blue"/>
    <n v="100"/>
  </r>
  <r>
    <x v="283"/>
    <x v="19"/>
    <s v="INW1443"/>
    <n v="1"/>
    <s v="Innerwear"/>
    <s v="Rupa"/>
    <s v="Boxer"/>
    <s v="Cotton Blend"/>
    <s v="90-100"/>
    <s v="Royal Blue"/>
    <n v="150"/>
  </r>
  <r>
    <x v="283"/>
    <x v="19"/>
    <s v="SHT0317"/>
    <n v="1"/>
    <s v="Shirt"/>
    <s v="Max"/>
    <s v="Formal"/>
    <s v="Cotton Blend"/>
    <s v="S"/>
    <s v="Black"/>
    <n v="910"/>
  </r>
  <r>
    <x v="284"/>
    <x v="19"/>
    <s v="INW1377"/>
    <n v="1"/>
    <s v="Innerwear"/>
    <s v="Dollar"/>
    <s v="Boxer"/>
    <s v="Cotton Blend"/>
    <s v="80-85"/>
    <s v="Sky Blue"/>
    <n v="130"/>
  </r>
  <r>
    <x v="284"/>
    <x v="19"/>
    <s v="SHT0090"/>
    <n v="1"/>
    <s v="Shirt"/>
    <s v="Luke &amp; Burg"/>
    <s v="Casual"/>
    <s v="Cotton"/>
    <s v="XL"/>
    <s v="Black"/>
    <n v="730"/>
  </r>
  <r>
    <x v="284"/>
    <x v="19"/>
    <s v="PNT1303"/>
    <n v="1"/>
    <s v="Pants"/>
    <s v="Raymond"/>
    <s v="Kurka"/>
    <s v="Lycra"/>
    <n v="44"/>
    <s v="Peach"/>
    <n v="700"/>
  </r>
  <r>
    <x v="284"/>
    <x v="19"/>
    <s v="TSH0416"/>
    <n v="1"/>
    <s v="T-Shirt"/>
    <s v="Zara"/>
    <s v="Full Sleeve"/>
    <s v="Cotton"/>
    <s v="L"/>
    <s v="Navy Blue"/>
    <n v="490"/>
  </r>
  <r>
    <x v="285"/>
    <x v="19"/>
    <s v="SHT0028"/>
    <n v="1"/>
    <s v="Shirt"/>
    <s v="G Studio"/>
    <s v="Formal"/>
    <s v="Cotton"/>
    <s v="L"/>
    <s v="Black"/>
    <n v="670"/>
  </r>
  <r>
    <x v="285"/>
    <x v="19"/>
    <s v="INW1614"/>
    <n v="1"/>
    <s v="Innerwear"/>
    <s v="Jockey"/>
    <s v="V-Cut"/>
    <s v="Cotton Blend"/>
    <s v="85-90"/>
    <s v="Navy Blue"/>
    <n v="170"/>
  </r>
  <r>
    <x v="285"/>
    <x v="19"/>
    <s v="SHT0210"/>
    <n v="1"/>
    <s v="Shirt"/>
    <s v="Thailand"/>
    <s v="Partywear"/>
    <s v="Cotton Blend"/>
    <s v="M"/>
    <s v="Mustard"/>
    <n v="770"/>
  </r>
  <r>
    <x v="286"/>
    <x v="19"/>
    <s v="TSH0457"/>
    <n v="1"/>
    <s v="T-Shirt"/>
    <s v="Turkey"/>
    <s v="Full Sleeve"/>
    <s v="Cotton Blend"/>
    <s v="XXL"/>
    <s v="Cream"/>
    <n v="730"/>
  </r>
  <r>
    <x v="286"/>
    <x v="19"/>
    <s v="JNS1045"/>
    <n v="1"/>
    <s v="Jeans"/>
    <s v="Pepe"/>
    <s v="Jogger"/>
    <s v="Denim"/>
    <n v="28"/>
    <s v="Sky Blue"/>
    <n v="1030"/>
  </r>
  <r>
    <x v="287"/>
    <x v="19"/>
    <s v="TSH0680"/>
    <n v="1"/>
    <s v="T-Shirt"/>
    <s v="Campus"/>
    <s v="Sleeveless"/>
    <s v="Poly Cotton"/>
    <s v="L"/>
    <s v="Maroon"/>
    <n v="310"/>
  </r>
  <r>
    <x v="287"/>
    <x v="19"/>
    <s v="TSH0426"/>
    <n v="1"/>
    <s v="T-Shirt"/>
    <s v="Urban Monkey"/>
    <s v="Sleeveless"/>
    <s v="Poly Cotton"/>
    <s v="XXL"/>
    <s v="Peach"/>
    <n v="350"/>
  </r>
  <r>
    <x v="287"/>
    <x v="19"/>
    <s v="TSH0634"/>
    <n v="1"/>
    <s v="T-Shirt"/>
    <s v="Campus"/>
    <s v="Full Sleeve"/>
    <s v="Cotton"/>
    <s v="L"/>
    <s v="Teal"/>
    <n v="750"/>
  </r>
  <r>
    <x v="288"/>
    <x v="19"/>
    <s v="JNS0850"/>
    <n v="1"/>
    <s v="Jeans"/>
    <s v="Levis"/>
    <s v="Jogger"/>
    <s v="Denim"/>
    <n v="42"/>
    <s v="White"/>
    <n v="990"/>
  </r>
  <r>
    <x v="288"/>
    <x v="19"/>
    <s v="TSH0563"/>
    <n v="1"/>
    <s v="T-Shirt"/>
    <s v="Urban Monkey"/>
    <s v="Sleeveless"/>
    <s v="Poly Cotton"/>
    <s v="XL"/>
    <s v="Wine"/>
    <n v="360"/>
  </r>
  <r>
    <x v="288"/>
    <x v="19"/>
    <s v="PNT1219"/>
    <n v="1"/>
    <s v="Pants"/>
    <s v="Park Avenue"/>
    <s v="Boot Cut"/>
    <s v="Poly Viscose"/>
    <n v="38"/>
    <s v="Rust"/>
    <n v="940"/>
  </r>
  <r>
    <x v="288"/>
    <x v="19"/>
    <s v="TSH0546"/>
    <n v="1"/>
    <s v="T-Shirt"/>
    <s v="Campus"/>
    <s v="3/4 Sleeve"/>
    <s v="Poly Cotton"/>
    <s v="XL"/>
    <s v="Light Grey"/>
    <n v="270"/>
  </r>
  <r>
    <x v="289"/>
    <x v="19"/>
    <s v="JNS1013"/>
    <n v="1"/>
    <s v="Jeans"/>
    <s v="Locomotive"/>
    <s v="Mom Fit"/>
    <s v="Denim"/>
    <n v="30"/>
    <s v="Royal Blue"/>
    <n v="860"/>
  </r>
  <r>
    <x v="289"/>
    <x v="19"/>
    <s v="JNS0776"/>
    <n v="1"/>
    <s v="Jeans"/>
    <s v="Pepe"/>
    <s v="Mom Fit"/>
    <s v="Denim"/>
    <n v="36"/>
    <s v="Navy Blue"/>
    <n v="1080"/>
  </r>
  <r>
    <x v="289"/>
    <x v="19"/>
    <s v="SHT0203"/>
    <n v="1"/>
    <s v="Shirt"/>
    <s v="Thailand"/>
    <s v="Casual"/>
    <s v="Cotton Blend"/>
    <s v="S"/>
    <s v="Black"/>
    <n v="900"/>
  </r>
  <r>
    <x v="290"/>
    <x v="19"/>
    <s v="PNT1171"/>
    <n v="1"/>
    <s v="Pants"/>
    <s v="Louis Philippe"/>
    <s v="Boot Cut"/>
    <s v="Cotton Blend"/>
    <n v="32"/>
    <s v="Beige"/>
    <n v="810"/>
  </r>
  <r>
    <x v="290"/>
    <x v="19"/>
    <s v="TSH0393"/>
    <n v="1"/>
    <s v="T-Shirt"/>
    <s v="Turkey"/>
    <s v="Sleeveless"/>
    <s v="Poly Cotton"/>
    <s v="XXL"/>
    <s v="Grey"/>
    <n v="390"/>
  </r>
  <r>
    <x v="290"/>
    <x v="19"/>
    <s v="TSH0375"/>
    <n v="1"/>
    <s v="T-Shirt"/>
    <s v="Turkey"/>
    <s v="Half Sleeve"/>
    <s v="Cotton Blend"/>
    <s v="XL"/>
    <s v="Mustard"/>
    <n v="710"/>
  </r>
  <r>
    <x v="291"/>
    <x v="19"/>
    <s v="JNS0909"/>
    <n v="1"/>
    <s v="Jeans"/>
    <s v="Pepe"/>
    <s v="Mom Fit"/>
    <s v="Denim"/>
    <n v="38"/>
    <s v="Rust"/>
    <n v="1040"/>
  </r>
  <r>
    <x v="291"/>
    <x v="19"/>
    <s v="SHT0288"/>
    <n v="1"/>
    <s v="Shirt"/>
    <s v="L7"/>
    <s v="Casual"/>
    <s v="Polyester"/>
    <s v="M"/>
    <s v="Grey"/>
    <n v="640"/>
  </r>
  <r>
    <x v="292"/>
    <x v="19"/>
    <s v="INW1581"/>
    <n v="1"/>
    <s v="Innerwear"/>
    <s v="Lux"/>
    <s v="V-Cut"/>
    <s v="Cotton Blend"/>
    <s v="105-110"/>
    <s v="Black"/>
    <n v="120"/>
  </r>
  <r>
    <x v="292"/>
    <x v="19"/>
    <s v="TSH0604"/>
    <n v="1"/>
    <s v="T-Shirt"/>
    <s v="Zara"/>
    <s v="Hoodie"/>
    <s v="Cotton Blend"/>
    <s v="XL"/>
    <s v="Maroon"/>
    <n v="480"/>
  </r>
  <r>
    <x v="292"/>
    <x v="19"/>
    <s v="TSH0755"/>
    <n v="1"/>
    <s v="T-Shirt"/>
    <s v="Urban Monkey"/>
    <s v="3/4 Sleeve"/>
    <s v="Cotton Blend"/>
    <s v="M"/>
    <s v="Wine"/>
    <n v="620"/>
  </r>
  <r>
    <x v="293"/>
    <x v="19"/>
    <s v="INW1576"/>
    <n v="1"/>
    <s v="Innerwear"/>
    <s v="V Star"/>
    <s v="Boxer"/>
    <s v="Cotton Blend"/>
    <s v="100-105"/>
    <s v="Dark Green"/>
    <n v="170"/>
  </r>
  <r>
    <x v="293"/>
    <x v="19"/>
    <s v="PNT1194"/>
    <n v="1"/>
    <s v="Pants"/>
    <s v="Louis Philippe"/>
    <s v="Polofit"/>
    <s v="Lycra"/>
    <n v="32"/>
    <s v="Sky Blue"/>
    <n v="860"/>
  </r>
  <r>
    <x v="293"/>
    <x v="19"/>
    <s v="SHT0039"/>
    <n v="1"/>
    <s v="Shirt"/>
    <s v="Max"/>
    <s v="Casual"/>
    <s v="Polyester"/>
    <s v="XXL"/>
    <s v="Peach"/>
    <n v="720"/>
  </r>
  <r>
    <x v="294"/>
    <x v="20"/>
    <s v="PNT1173"/>
    <n v="1"/>
    <s v="Pants"/>
    <s v="Peter England"/>
    <s v="Boot Cut"/>
    <s v="Poly Viscose"/>
    <n v="34"/>
    <s v="Black"/>
    <n v="830"/>
  </r>
  <r>
    <x v="294"/>
    <x v="20"/>
    <s v="TSH0690"/>
    <n v="1"/>
    <s v="T-Shirt"/>
    <s v="Max"/>
    <s v="Full Sleeve"/>
    <s v="Cotton"/>
    <s v="L"/>
    <s v="Charcoal"/>
    <n v="440"/>
  </r>
  <r>
    <x v="294"/>
    <x v="20"/>
    <s v="SHT0330"/>
    <n v="1"/>
    <s v="Shirt"/>
    <s v="L7"/>
    <s v="Formal"/>
    <s v="Lycra"/>
    <s v="XXL"/>
    <s v="Dark Green"/>
    <n v="830"/>
  </r>
  <r>
    <x v="294"/>
    <x v="20"/>
    <s v="JNS0902"/>
    <n v="1"/>
    <s v="Jeans"/>
    <s v="Denim Pro"/>
    <s v="Jogger"/>
    <s v="Denim"/>
    <n v="40"/>
    <s v="Royal Blue"/>
    <n v="940"/>
  </r>
  <r>
    <x v="295"/>
    <x v="20"/>
    <s v="PNT1286"/>
    <n v="1"/>
    <s v="Pants"/>
    <s v="Van Heusen"/>
    <s v="Polofit"/>
    <s v="Lycra"/>
    <n v="36"/>
    <s v="Bottle Green"/>
    <n v="760"/>
  </r>
  <r>
    <x v="295"/>
    <x v="20"/>
    <s v="INW1589"/>
    <n v="1"/>
    <s v="Innerwear"/>
    <s v="Jockey"/>
    <s v="V-Cut"/>
    <s v="Cotton"/>
    <s v="90-100"/>
    <s v="Royal Blue"/>
    <n v="190"/>
  </r>
  <r>
    <x v="295"/>
    <x v="20"/>
    <s v="TSH0632"/>
    <n v="1"/>
    <s v="T-Shirt"/>
    <s v="Urban Monkey"/>
    <s v="Full Sleeve"/>
    <s v="Cotton Blend"/>
    <s v="L"/>
    <s v="Dark Green"/>
    <n v="250"/>
  </r>
  <r>
    <x v="295"/>
    <x v="20"/>
    <s v="INW1652"/>
    <n v="1"/>
    <s v="Innerwear"/>
    <s v="Dollar"/>
    <s v="V-Cut"/>
    <s v="Cotton"/>
    <s v="105-110"/>
    <s v="Light Grey"/>
    <n v="130"/>
  </r>
  <r>
    <x v="296"/>
    <x v="20"/>
    <s v="JNS0951"/>
    <n v="1"/>
    <s v="Jeans"/>
    <s v="Wrangler"/>
    <s v="Mom Fit"/>
    <s v="Denim"/>
    <n v="40"/>
    <s v="Light Grey"/>
    <n v="1080"/>
  </r>
  <r>
    <x v="296"/>
    <x v="20"/>
    <s v="SHT0135"/>
    <n v="1"/>
    <s v="Shirt"/>
    <s v="H&amp;M"/>
    <s v="Formal"/>
    <s v="Polyester"/>
    <s v="S"/>
    <s v="Charcoal"/>
    <n v="740"/>
  </r>
  <r>
    <x v="297"/>
    <x v="20"/>
    <s v="TSH0486"/>
    <n v="1"/>
    <s v="T-Shirt"/>
    <s v="Max"/>
    <s v="Half Sleeve"/>
    <s v="Cotton"/>
    <s v="XXL"/>
    <s v="Teal"/>
    <n v="210"/>
  </r>
  <r>
    <x v="297"/>
    <x v="20"/>
    <s v="TSH0399"/>
    <n v="1"/>
    <s v="T-Shirt"/>
    <s v="Roadster"/>
    <s v="Full Sleeve"/>
    <s v="Poly Cotton"/>
    <s v="XXL"/>
    <s v="Black"/>
    <n v="630"/>
  </r>
  <r>
    <x v="297"/>
    <x v="20"/>
    <s v="JNS0853"/>
    <n v="1"/>
    <s v="Jeans"/>
    <s v="Levis"/>
    <s v="Baggy"/>
    <s v="Denim"/>
    <n v="38"/>
    <s v="Grey"/>
    <n v="880"/>
  </r>
  <r>
    <x v="298"/>
    <x v="20"/>
    <s v="TSH0691"/>
    <n v="1"/>
    <s v="T-Shirt"/>
    <s v="Campus"/>
    <s v="Sleeveless"/>
    <s v="Cotton Blend"/>
    <s v="L"/>
    <s v="Maroon"/>
    <n v="720"/>
  </r>
  <r>
    <x v="299"/>
    <x v="20"/>
    <s v="TSH0370"/>
    <n v="1"/>
    <s v="T-Shirt"/>
    <s v="Roadster"/>
    <s v="Sleeveless"/>
    <s v="Cotton"/>
    <s v="S"/>
    <s v="Sky Blue"/>
    <n v="220"/>
  </r>
  <r>
    <x v="299"/>
    <x v="20"/>
    <s v="TSH0559"/>
    <n v="1"/>
    <s v="T-Shirt"/>
    <s v="Max"/>
    <s v="3/4 Sleeve"/>
    <s v="Poly Cotton"/>
    <s v="M"/>
    <s v="White"/>
    <n v="240"/>
  </r>
  <r>
    <x v="300"/>
    <x v="20"/>
    <s v="PNT1081"/>
    <n v="1"/>
    <s v="Pants"/>
    <s v="Van Heusen"/>
    <s v="Jogger"/>
    <s v="Poly Viscose"/>
    <n v="28"/>
    <s v="Brown"/>
    <n v="840"/>
  </r>
  <r>
    <x v="300"/>
    <x v="20"/>
    <s v="PNT1305"/>
    <n v="1"/>
    <s v="Pants"/>
    <s v="Louis Philippe"/>
    <s v="Jogger"/>
    <s v="Poly Viscose"/>
    <n v="40"/>
    <s v="Olive"/>
    <n v="830"/>
  </r>
  <r>
    <x v="301"/>
    <x v="20"/>
    <s v="SHT0320"/>
    <n v="1"/>
    <s v="Shirt"/>
    <s v="USD"/>
    <s v="Partywear"/>
    <s v="Polyester"/>
    <s v="L"/>
    <s v="Olive"/>
    <n v="750"/>
  </r>
  <r>
    <x v="301"/>
    <x v="20"/>
    <s v="TSH0408"/>
    <n v="1"/>
    <s v="T-Shirt"/>
    <s v="Zara"/>
    <s v="Sleeveless"/>
    <s v="Cotton"/>
    <s v="L"/>
    <s v="Bottle Green"/>
    <n v="460"/>
  </r>
  <r>
    <x v="301"/>
    <x v="20"/>
    <s v="PNT1112"/>
    <n v="1"/>
    <s v="Pants"/>
    <s v="Louis Philippe"/>
    <s v="Kurka"/>
    <s v="Lycra"/>
    <n v="40"/>
    <s v="Brown"/>
    <n v="940"/>
  </r>
  <r>
    <x v="302"/>
    <x v="20"/>
    <s v="TSH0768"/>
    <n v="1"/>
    <s v="T-Shirt"/>
    <s v="Turkey"/>
    <s v="3/4 Sleeve"/>
    <s v="Cotton Blend"/>
    <s v="S"/>
    <s v="Cream"/>
    <n v="250"/>
  </r>
  <r>
    <x v="303"/>
    <x v="20"/>
    <s v="INW1537"/>
    <n v="1"/>
    <s v="Innerwear"/>
    <s v="Lux"/>
    <s v="V-Cut"/>
    <s v="Cotton"/>
    <s v="105-110"/>
    <s v="Royal Blue"/>
    <n v="170"/>
  </r>
  <r>
    <x v="303"/>
    <x v="20"/>
    <s v="INW1600"/>
    <n v="1"/>
    <s v="Innerwear"/>
    <s v="Rupa"/>
    <s v="V-Cut"/>
    <s v="Cotton Blend"/>
    <s v="75-80"/>
    <s v="Navy Blue"/>
    <n v="150"/>
  </r>
  <r>
    <x v="303"/>
    <x v="20"/>
    <s v="TSH0639"/>
    <n v="1"/>
    <s v="T-Shirt"/>
    <s v="Campus"/>
    <s v="Hoodie"/>
    <s v="Poly Cotton"/>
    <s v="M"/>
    <s v="Peach"/>
    <n v="540"/>
  </r>
  <r>
    <x v="303"/>
    <x v="20"/>
    <s v="TSH0754"/>
    <n v="1"/>
    <s v="T-Shirt"/>
    <s v="Zara"/>
    <s v="Sleeveless"/>
    <s v="Cotton Blend"/>
    <s v="XXL"/>
    <s v="Mustard"/>
    <n v="600"/>
  </r>
  <r>
    <x v="304"/>
    <x v="20"/>
    <s v="JNS1053"/>
    <n v="1"/>
    <s v="Jeans"/>
    <s v="Levis"/>
    <s v="Mom Fit"/>
    <s v="Denim"/>
    <n v="30"/>
    <s v="Sky Blue"/>
    <n v="800"/>
  </r>
  <r>
    <x v="304"/>
    <x v="20"/>
    <s v="SHT0014"/>
    <n v="1"/>
    <s v="Shirt"/>
    <s v="L7"/>
    <s v="Formal"/>
    <s v="Cotton Blend"/>
    <s v="M"/>
    <s v="Peach"/>
    <n v="720"/>
  </r>
  <r>
    <x v="304"/>
    <x v="20"/>
    <s v="SHT0322"/>
    <n v="1"/>
    <s v="Shirt"/>
    <s v="Luke &amp; Burg"/>
    <s v="Partywear"/>
    <s v="Cotton Blend"/>
    <s v="S"/>
    <s v="Rust"/>
    <n v="920"/>
  </r>
  <r>
    <x v="304"/>
    <x v="20"/>
    <s v="TSH0486"/>
    <n v="1"/>
    <s v="T-Shirt"/>
    <s v="Max"/>
    <s v="Half Sleeve"/>
    <s v="Cotton"/>
    <s v="XXL"/>
    <s v="Teal"/>
    <n v="210"/>
  </r>
  <r>
    <x v="305"/>
    <x v="20"/>
    <s v="INW1499"/>
    <n v="1"/>
    <s v="Innerwear"/>
    <s v="V Star"/>
    <s v="V-Cut"/>
    <s v="Cotton Blend"/>
    <s v="75-80"/>
    <s v="Wine"/>
    <n v="180"/>
  </r>
  <r>
    <x v="305"/>
    <x v="20"/>
    <s v="JNS0790"/>
    <n v="1"/>
    <s v="Jeans"/>
    <s v="Levis"/>
    <s v="Jogger"/>
    <s v="Denim"/>
    <n v="44"/>
    <s v="Royal Blue"/>
    <n v="800"/>
  </r>
  <r>
    <x v="306"/>
    <x v="20"/>
    <s v="SHT0249"/>
    <n v="1"/>
    <s v="Shirt"/>
    <s v="British"/>
    <s v="Partywear"/>
    <s v="Cotton Blend"/>
    <s v="M"/>
    <s v="Cream"/>
    <n v="640"/>
  </r>
  <r>
    <x v="306"/>
    <x v="20"/>
    <s v="TSH0624"/>
    <n v="1"/>
    <s v="T-Shirt"/>
    <s v="Roadster"/>
    <s v="Half Sleeve"/>
    <s v="Cotton"/>
    <s v="M"/>
    <s v="Wine"/>
    <n v="610"/>
  </r>
  <r>
    <x v="307"/>
    <x v="20"/>
    <s v="SHT0286"/>
    <n v="1"/>
    <s v="Shirt"/>
    <s v="Luke &amp; Burg"/>
    <s v="Formal"/>
    <s v="Lycra"/>
    <s v="L"/>
    <s v="Light Grey"/>
    <n v="770"/>
  </r>
  <r>
    <x v="308"/>
    <x v="20"/>
    <s v="INW1600"/>
    <n v="1"/>
    <s v="Innerwear"/>
    <s v="Rupa"/>
    <s v="V-Cut"/>
    <s v="Cotton Blend"/>
    <s v="75-80"/>
    <s v="Navy Blue"/>
    <n v="150"/>
  </r>
  <r>
    <x v="308"/>
    <x v="20"/>
    <s v="SHT0205"/>
    <n v="1"/>
    <s v="Shirt"/>
    <s v="H&amp;M"/>
    <s v="Partywear"/>
    <s v="Cotton Blend"/>
    <s v="S"/>
    <s v="Rust"/>
    <n v="810"/>
  </r>
  <r>
    <x v="308"/>
    <x v="20"/>
    <s v="TSH0485"/>
    <n v="1"/>
    <s v="T-Shirt"/>
    <s v="Roadster"/>
    <s v="Sleeveless"/>
    <s v="Cotton"/>
    <s v="XXL"/>
    <s v="Charcoal"/>
    <n v="470"/>
  </r>
  <r>
    <x v="308"/>
    <x v="20"/>
    <s v="SHT0302"/>
    <n v="1"/>
    <s v="Shirt"/>
    <s v="Zara"/>
    <s v="Casual"/>
    <s v="Cotton Blend"/>
    <s v="XL"/>
    <s v="Maroon"/>
    <n v="700"/>
  </r>
  <r>
    <x v="309"/>
    <x v="20"/>
    <s v="INW1422"/>
    <n v="1"/>
    <s v="Innerwear"/>
    <s v="Rupa"/>
    <s v="V-Cut"/>
    <s v="Cotton"/>
    <s v="75-80"/>
    <s v="Black"/>
    <n v="180"/>
  </r>
  <r>
    <x v="309"/>
    <x v="20"/>
    <s v="JNS0941"/>
    <n v="1"/>
    <s v="Jeans"/>
    <s v="Denim Pro"/>
    <s v="Jogger"/>
    <s v="Denim"/>
    <n v="40"/>
    <s v="Light Grey"/>
    <n v="1060"/>
  </r>
  <r>
    <x v="309"/>
    <x v="20"/>
    <s v="TSH0437"/>
    <n v="1"/>
    <s v="T-Shirt"/>
    <s v="Roadster"/>
    <s v="3/4 Sleeve"/>
    <s v="Poly Cotton"/>
    <s v="S"/>
    <s v="Maroon"/>
    <n v="420"/>
  </r>
  <r>
    <x v="309"/>
    <x v="20"/>
    <s v="INW1390"/>
    <n v="1"/>
    <s v="Innerwear"/>
    <s v="Jockey"/>
    <s v="Boxer"/>
    <s v="Cotton Blend"/>
    <s v="75-80"/>
    <s v="Navy Blue"/>
    <n v="160"/>
  </r>
  <r>
    <x v="310"/>
    <x v="21"/>
    <s v="TSH0541"/>
    <n v="1"/>
    <s v="T-Shirt"/>
    <s v="Zara"/>
    <s v="Full Sleeve"/>
    <s v="Cotton"/>
    <s v="L"/>
    <s v="Navy Blue"/>
    <n v="280"/>
  </r>
  <r>
    <x v="310"/>
    <x v="21"/>
    <s v="JNS0822"/>
    <n v="1"/>
    <s v="Jeans"/>
    <s v="Denim Pro"/>
    <s v="Mom Fit"/>
    <s v="Denim"/>
    <n v="44"/>
    <s v="Bottle Green"/>
    <n v="940"/>
  </r>
  <r>
    <x v="311"/>
    <x v="21"/>
    <s v="PNT1151"/>
    <n v="1"/>
    <s v="Pants"/>
    <s v="Park Avenue"/>
    <s v="Boot Cut"/>
    <s v="Poly Viscose"/>
    <n v="28"/>
    <s v="Grey"/>
    <n v="870"/>
  </r>
  <r>
    <x v="312"/>
    <x v="21"/>
    <s v="TSH0593"/>
    <n v="1"/>
    <s v="T-Shirt"/>
    <s v="Roadster"/>
    <s v="Sleeveless"/>
    <s v="Poly Cotton"/>
    <s v="XL"/>
    <s v="Rust"/>
    <n v="300"/>
  </r>
  <r>
    <x v="312"/>
    <x v="21"/>
    <s v="SHT0057"/>
    <n v="1"/>
    <s v="Shirt"/>
    <s v="H&amp;M"/>
    <s v="Casual"/>
    <s v="Lycra"/>
    <s v="M"/>
    <s v="Olive"/>
    <n v="760"/>
  </r>
  <r>
    <x v="312"/>
    <x v="21"/>
    <s v="SHT0051"/>
    <n v="1"/>
    <s v="Shirt"/>
    <s v="British"/>
    <s v="Formal"/>
    <s v="Cotton Blend"/>
    <s v="XXL"/>
    <s v="Peach"/>
    <n v="890"/>
  </r>
  <r>
    <x v="313"/>
    <x v="21"/>
    <s v="PNT1278"/>
    <n v="1"/>
    <s v="Pants"/>
    <s v="Raymond"/>
    <s v="Jogger"/>
    <s v="Cotton Blend"/>
    <n v="36"/>
    <s v="Dark Green"/>
    <n v="760"/>
  </r>
  <r>
    <x v="314"/>
    <x v="21"/>
    <s v="SHT0194"/>
    <n v="1"/>
    <s v="Shirt"/>
    <s v="Thailand"/>
    <s v="Formal"/>
    <s v="Lycra"/>
    <s v="L"/>
    <s v="Brown"/>
    <n v="850"/>
  </r>
  <r>
    <x v="314"/>
    <x v="21"/>
    <s v="PNT1087"/>
    <n v="1"/>
    <s v="Pants"/>
    <s v="Raymond"/>
    <s v="Kurka"/>
    <s v="Lycra"/>
    <n v="42"/>
    <s v="Maroon"/>
    <n v="910"/>
  </r>
  <r>
    <x v="314"/>
    <x v="21"/>
    <s v="PNT1135"/>
    <n v="1"/>
    <s v="Pants"/>
    <s v="Van Heusen"/>
    <s v="Polofit"/>
    <s v="Lycra"/>
    <n v="40"/>
    <s v="Light Grey"/>
    <n v="890"/>
  </r>
  <r>
    <x v="315"/>
    <x v="21"/>
    <s v="TSH0432"/>
    <n v="1"/>
    <s v="T-Shirt"/>
    <s v="Zara"/>
    <s v="Full Sleeve"/>
    <s v="Cotton Blend"/>
    <s v="S"/>
    <s v="Cream"/>
    <n v="510"/>
  </r>
  <r>
    <x v="316"/>
    <x v="21"/>
    <s v="PNT1312"/>
    <n v="1"/>
    <s v="Pants"/>
    <s v="Peter England"/>
    <s v="Korean"/>
    <s v="Lycra"/>
    <n v="34"/>
    <s v="Wine"/>
    <n v="720"/>
  </r>
  <r>
    <x v="317"/>
    <x v="21"/>
    <s v="JNS1003"/>
    <n v="1"/>
    <s v="Jeans"/>
    <s v="Pepe"/>
    <s v="Baggy"/>
    <s v="Denim"/>
    <n v="38"/>
    <s v="White"/>
    <n v="780"/>
  </r>
  <r>
    <x v="318"/>
    <x v="21"/>
    <s v="INW1578"/>
    <n v="1"/>
    <s v="Innerwear"/>
    <s v="Lux"/>
    <s v="V-Cut"/>
    <s v="Cotton"/>
    <s v="85-90"/>
    <s v="Dark Green"/>
    <n v="160"/>
  </r>
  <r>
    <x v="318"/>
    <x v="21"/>
    <s v="SHT0064"/>
    <n v="1"/>
    <s v="Shirt"/>
    <s v="British"/>
    <s v="Casual"/>
    <s v="Cotton"/>
    <s v="XL"/>
    <s v="Light Grey"/>
    <n v="890"/>
  </r>
  <r>
    <x v="318"/>
    <x v="21"/>
    <s v="JNS0832"/>
    <n v="1"/>
    <s v="Jeans"/>
    <s v="Pepe"/>
    <s v="Jogger"/>
    <s v="Denim"/>
    <n v="36"/>
    <s v="Royal Blue"/>
    <n v="910"/>
  </r>
  <r>
    <x v="318"/>
    <x v="21"/>
    <s v="INW1586"/>
    <n v="1"/>
    <s v="Innerwear"/>
    <s v="Dollar"/>
    <s v="V-Cut"/>
    <s v="Cotton"/>
    <s v="75-80"/>
    <s v="White"/>
    <n v="100"/>
  </r>
  <r>
    <x v="319"/>
    <x v="21"/>
    <s v="SHT0104"/>
    <n v="1"/>
    <s v="Shirt"/>
    <s v="G Studio"/>
    <s v="Formal"/>
    <s v="Lycra"/>
    <s v="XL"/>
    <s v="Peach"/>
    <n v="810"/>
  </r>
  <r>
    <x v="320"/>
    <x v="21"/>
    <s v="JNS1015"/>
    <n v="1"/>
    <s v="Jeans"/>
    <s v="Pepe"/>
    <s v="Jogger"/>
    <s v="Denim"/>
    <n v="40"/>
    <s v="Peach"/>
    <n v="830"/>
  </r>
  <r>
    <x v="320"/>
    <x v="21"/>
    <s v="PNT1189"/>
    <n v="1"/>
    <s v="Pants"/>
    <s v="Van Heusen"/>
    <s v="Boot Cut"/>
    <s v="Poly Viscose"/>
    <n v="36"/>
    <s v="Royal Blue"/>
    <n v="800"/>
  </r>
  <r>
    <x v="321"/>
    <x v="21"/>
    <s v="TSH0396"/>
    <n v="1"/>
    <s v="T-Shirt"/>
    <s v="Roadster"/>
    <s v="Full Sleeve"/>
    <s v="Cotton Blend"/>
    <s v="L"/>
    <s v="Olive"/>
    <n v="440"/>
  </r>
  <r>
    <x v="321"/>
    <x v="21"/>
    <s v="TSH0590"/>
    <n v="1"/>
    <s v="T-Shirt"/>
    <s v="Max"/>
    <s v="Full Sleeve"/>
    <s v="Cotton Blend"/>
    <s v="M"/>
    <s v="Navy Blue"/>
    <n v="620"/>
  </r>
  <r>
    <x v="321"/>
    <x v="21"/>
    <s v="SHT0020"/>
    <n v="1"/>
    <s v="Shirt"/>
    <s v="British"/>
    <s v="Formal"/>
    <s v="Cotton Blend"/>
    <s v="XL"/>
    <s v="Olive"/>
    <n v="900"/>
  </r>
  <r>
    <x v="322"/>
    <x v="21"/>
    <s v="INW1377"/>
    <n v="1"/>
    <s v="Innerwear"/>
    <s v="Dollar"/>
    <s v="Boxer"/>
    <s v="Cotton Blend"/>
    <s v="80-85"/>
    <s v="Sky Blue"/>
    <n v="130"/>
  </r>
  <r>
    <x v="322"/>
    <x v="21"/>
    <s v="INW1442"/>
    <n v="1"/>
    <s v="Innerwear"/>
    <s v="Jockey"/>
    <s v="Boxer"/>
    <s v="Cotton Blend"/>
    <s v="85-90"/>
    <s v="Teal"/>
    <n v="180"/>
  </r>
  <r>
    <x v="322"/>
    <x v="21"/>
    <s v="PNT1119"/>
    <n v="1"/>
    <s v="Pants"/>
    <s v="Raymond"/>
    <s v="Polofit"/>
    <s v="Lycra"/>
    <n v="42"/>
    <s v="Peach"/>
    <n v="860"/>
  </r>
  <r>
    <x v="323"/>
    <x v="21"/>
    <s v="SHT0025"/>
    <n v="1"/>
    <s v="Shirt"/>
    <s v="Max"/>
    <s v="Formal"/>
    <s v="Lycra"/>
    <s v="M"/>
    <s v="Peach"/>
    <n v="660"/>
  </r>
  <r>
    <x v="323"/>
    <x v="21"/>
    <s v="JNS0951"/>
    <n v="1"/>
    <s v="Jeans"/>
    <s v="Wrangler"/>
    <s v="Mom Fit"/>
    <s v="Denim"/>
    <n v="40"/>
    <s v="Light Grey"/>
    <n v="1080"/>
  </r>
  <r>
    <x v="324"/>
    <x v="21"/>
    <s v="JNS0899"/>
    <n v="1"/>
    <s v="Jeans"/>
    <s v="Levis"/>
    <s v="Jogger"/>
    <s v="Denim"/>
    <n v="36"/>
    <s v="Peach"/>
    <n v="1040"/>
  </r>
  <r>
    <x v="324"/>
    <x v="21"/>
    <s v="SHT0206"/>
    <n v="1"/>
    <s v="Shirt"/>
    <s v="Zara"/>
    <s v="Casual"/>
    <s v="Cotton"/>
    <s v="L"/>
    <s v="Light Grey"/>
    <n v="780"/>
  </r>
  <r>
    <x v="324"/>
    <x v="21"/>
    <s v="PNT1161"/>
    <n v="1"/>
    <s v="Pants"/>
    <s v="Raymond"/>
    <s v="Jogger"/>
    <s v="Cotton"/>
    <n v="28"/>
    <s v="Charcoal"/>
    <n v="810"/>
  </r>
  <r>
    <x v="325"/>
    <x v="21"/>
    <s v="SHT0282"/>
    <n v="1"/>
    <s v="Shirt"/>
    <s v="Max"/>
    <s v="Formal"/>
    <s v="Cotton Blend"/>
    <s v="XXL"/>
    <s v="Maroon"/>
    <n v="800"/>
  </r>
  <r>
    <x v="326"/>
    <x v="21"/>
    <s v="JNS1009"/>
    <n v="1"/>
    <s v="Jeans"/>
    <s v="Spykar"/>
    <s v="Baggy"/>
    <s v="Denim"/>
    <n v="40"/>
    <s v="Mustard"/>
    <n v="790"/>
  </r>
  <r>
    <x v="326"/>
    <x v="21"/>
    <s v="JNS1040"/>
    <n v="1"/>
    <s v="Jeans"/>
    <s v="Spykar"/>
    <s v="Jogger"/>
    <s v="Denim"/>
    <n v="28"/>
    <s v="Peach"/>
    <n v="880"/>
  </r>
  <r>
    <x v="327"/>
    <x v="21"/>
    <s v="TSH0583"/>
    <n v="1"/>
    <s v="T-Shirt"/>
    <s v="Thailand"/>
    <s v="Full Sleeve"/>
    <s v="Poly Cotton"/>
    <s v="XXL"/>
    <s v="Olive"/>
    <n v="570"/>
  </r>
  <r>
    <x v="327"/>
    <x v="21"/>
    <s v="TSH0668"/>
    <n v="1"/>
    <s v="T-Shirt"/>
    <s v="Campus"/>
    <s v="3/4 Sleeve"/>
    <s v="Cotton"/>
    <s v="XXL"/>
    <s v="Teal"/>
    <n v="600"/>
  </r>
  <r>
    <x v="328"/>
    <x v="22"/>
    <s v="INW1567"/>
    <n v="1"/>
    <s v="Innerwear"/>
    <s v="Jockey"/>
    <s v="V-Cut"/>
    <s v="Cotton Blend"/>
    <s v="80-85"/>
    <s v="Sky Blue"/>
    <n v="140"/>
  </r>
  <r>
    <x v="328"/>
    <x v="22"/>
    <s v="TSH0433"/>
    <n v="1"/>
    <s v="T-Shirt"/>
    <s v="Urban Monkey"/>
    <s v="Half Sleeve"/>
    <s v="Cotton Blend"/>
    <s v="S"/>
    <s v="Charcoal"/>
    <n v="460"/>
  </r>
  <r>
    <x v="328"/>
    <x v="22"/>
    <s v="SHT0310"/>
    <n v="1"/>
    <s v="Shirt"/>
    <s v="L7"/>
    <s v="Casual"/>
    <s v="Polyester"/>
    <s v="L"/>
    <s v="Peach"/>
    <n v="880"/>
  </r>
  <r>
    <x v="329"/>
    <x v="22"/>
    <s v="PNT1315"/>
    <n v="1"/>
    <s v="Pants"/>
    <s v="Park Avenue"/>
    <s v="Boot Cut"/>
    <s v="Poly Viscose"/>
    <n v="38"/>
    <s v="Wine"/>
    <n v="740"/>
  </r>
  <r>
    <x v="329"/>
    <x v="22"/>
    <s v="TSH0499"/>
    <n v="1"/>
    <s v="T-Shirt"/>
    <s v="Max"/>
    <s v="Sleeveless"/>
    <s v="Poly Cotton"/>
    <s v="XXL"/>
    <s v="Charcoal"/>
    <n v="230"/>
  </r>
  <r>
    <x v="329"/>
    <x v="22"/>
    <s v="TSH0428"/>
    <n v="1"/>
    <s v="T-Shirt"/>
    <s v="Roadster"/>
    <s v="Half Sleeve"/>
    <s v="Cotton"/>
    <s v="L"/>
    <s v="White"/>
    <n v="270"/>
  </r>
  <r>
    <x v="330"/>
    <x v="22"/>
    <s v="JNS1054"/>
    <n v="1"/>
    <s v="Jeans"/>
    <s v="Pepe"/>
    <s v="Jogger"/>
    <s v="Denim"/>
    <n v="42"/>
    <s v="Maroon"/>
    <n v="870"/>
  </r>
  <r>
    <x v="331"/>
    <x v="22"/>
    <s v="PNT1351"/>
    <n v="1"/>
    <s v="Pants"/>
    <s v="Park Avenue"/>
    <s v="Polofit"/>
    <s v="Lycra"/>
    <n v="44"/>
    <s v="Rust"/>
    <n v="940"/>
  </r>
  <r>
    <x v="331"/>
    <x v="22"/>
    <s v="JNS0871"/>
    <n v="1"/>
    <s v="Jeans"/>
    <s v="Spykar"/>
    <s v="Mom Fit"/>
    <s v="Denim"/>
    <n v="34"/>
    <s v="Royal Blue"/>
    <n v="820"/>
  </r>
  <r>
    <x v="331"/>
    <x v="22"/>
    <s v="PNT1242"/>
    <n v="1"/>
    <s v="Pants"/>
    <s v="Van Heusen"/>
    <s v="Boot Cut"/>
    <s v="Cotton Blend"/>
    <n v="42"/>
    <s v="Sky Blue"/>
    <n v="760"/>
  </r>
  <r>
    <x v="332"/>
    <x v="22"/>
    <s v="PNT1366"/>
    <n v="1"/>
    <s v="Pants"/>
    <s v="Peter England"/>
    <s v="Jogger"/>
    <s v="Cotton Blend"/>
    <n v="44"/>
    <s v="Cream"/>
    <n v="870"/>
  </r>
  <r>
    <x v="332"/>
    <x v="22"/>
    <s v="SHT0122"/>
    <n v="1"/>
    <s v="Shirt"/>
    <s v="G Studio"/>
    <s v="Casual"/>
    <s v="Cotton"/>
    <s v="XXL"/>
    <s v="Charcoal"/>
    <n v="720"/>
  </r>
  <r>
    <x v="332"/>
    <x v="22"/>
    <s v="INW1558"/>
    <n v="1"/>
    <s v="Innerwear"/>
    <s v="Rupa"/>
    <s v="V-Cut"/>
    <s v="Cotton Blend"/>
    <s v="80-85"/>
    <s v="Cream"/>
    <n v="110"/>
  </r>
  <r>
    <x v="333"/>
    <x v="22"/>
    <s v="TSH0672"/>
    <n v="1"/>
    <s v="T-Shirt"/>
    <s v="Urban Monkey"/>
    <s v="Sleeveless"/>
    <s v="Poly Cotton"/>
    <s v="S"/>
    <s v="Maroon"/>
    <n v="600"/>
  </r>
  <r>
    <x v="333"/>
    <x v="22"/>
    <s v="TSH0394"/>
    <n v="1"/>
    <s v="T-Shirt"/>
    <s v="Turkey"/>
    <s v="3/4 Sleeve"/>
    <s v="Cotton"/>
    <s v="XL"/>
    <s v="Mustard"/>
    <n v="280"/>
  </r>
  <r>
    <x v="333"/>
    <x v="22"/>
    <s v="SHT0055"/>
    <n v="1"/>
    <s v="Shirt"/>
    <s v="British"/>
    <s v="Partywear"/>
    <s v="Lycra"/>
    <s v="XL"/>
    <s v="Maroon"/>
    <n v="930"/>
  </r>
  <r>
    <x v="333"/>
    <x v="22"/>
    <s v="JNS1033"/>
    <n v="1"/>
    <s v="Jeans"/>
    <s v="Wrangler"/>
    <s v="Jogger"/>
    <s v="Denim"/>
    <n v="32"/>
    <s v="Light Grey"/>
    <n v="1090"/>
  </r>
  <r>
    <x v="334"/>
    <x v="22"/>
    <s v="JNS0837"/>
    <n v="1"/>
    <s v="Jeans"/>
    <s v="Levis"/>
    <s v="Jogger"/>
    <s v="Denim"/>
    <n v="30"/>
    <s v="Mustard"/>
    <n v="970"/>
  </r>
  <r>
    <x v="335"/>
    <x v="22"/>
    <s v="SHT0305"/>
    <n v="1"/>
    <s v="Shirt"/>
    <s v="Max"/>
    <s v="Partywear"/>
    <s v="Cotton Blend"/>
    <s v="XXL"/>
    <s v="Teal"/>
    <n v="690"/>
  </r>
  <r>
    <x v="335"/>
    <x v="22"/>
    <s v="SHT0217"/>
    <n v="1"/>
    <s v="Shirt"/>
    <s v="British"/>
    <s v="Casual"/>
    <s v="Cotton"/>
    <s v="S"/>
    <s v="Royal Blue"/>
    <n v="650"/>
  </r>
  <r>
    <x v="335"/>
    <x v="22"/>
    <s v="SHT0262"/>
    <n v="1"/>
    <s v="Shirt"/>
    <s v="Max"/>
    <s v="Casual"/>
    <s v="Cotton Blend"/>
    <s v="XL"/>
    <s v="Navy Blue"/>
    <n v="870"/>
  </r>
  <r>
    <x v="335"/>
    <x v="22"/>
    <s v="JNS0998"/>
    <n v="1"/>
    <s v="Jeans"/>
    <s v="Levis"/>
    <s v="Baggy"/>
    <s v="Denim"/>
    <n v="32"/>
    <s v="Dark Green"/>
    <n v="800"/>
  </r>
  <r>
    <x v="336"/>
    <x v="22"/>
    <s v="INW1489"/>
    <n v="1"/>
    <s v="Innerwear"/>
    <s v="V Star"/>
    <s v="Boxer"/>
    <s v="Cotton Blend"/>
    <s v="90-100"/>
    <s v="Olive"/>
    <n v="110"/>
  </r>
  <r>
    <x v="336"/>
    <x v="22"/>
    <s v="JNS0975"/>
    <n v="1"/>
    <s v="Jeans"/>
    <s v="Denim Pro"/>
    <s v="Baggy"/>
    <s v="Denim"/>
    <n v="36"/>
    <s v="Maroon"/>
    <n v="1010"/>
  </r>
  <r>
    <x v="336"/>
    <x v="22"/>
    <s v="SHT0182"/>
    <n v="1"/>
    <s v="Shirt"/>
    <s v="Luke &amp; Burg"/>
    <s v="Casual"/>
    <s v="Cotton"/>
    <s v="XL"/>
    <s v="Cream"/>
    <n v="800"/>
  </r>
  <r>
    <x v="336"/>
    <x v="22"/>
    <s v="INW1562"/>
    <n v="1"/>
    <s v="Innerwear"/>
    <s v="Lux"/>
    <s v="Boxer"/>
    <s v="Cotton"/>
    <s v="80-85"/>
    <s v="Maroon"/>
    <n v="100"/>
  </r>
  <r>
    <x v="337"/>
    <x v="22"/>
    <s v="TSH0704"/>
    <n v="1"/>
    <s v="T-Shirt"/>
    <s v="Roadster"/>
    <s v="3/4 Sleeve"/>
    <s v="Poly Cotton"/>
    <s v="L"/>
    <s v="Light Grey"/>
    <n v="710"/>
  </r>
  <r>
    <x v="337"/>
    <x v="22"/>
    <s v="JNS0865"/>
    <n v="1"/>
    <s v="Jeans"/>
    <s v="Denim Pro"/>
    <s v="Jogger"/>
    <s v="Denim"/>
    <n v="40"/>
    <s v="Charcoal"/>
    <n v="960"/>
  </r>
  <r>
    <x v="338"/>
    <x v="22"/>
    <s v="JNS0877"/>
    <n v="1"/>
    <s v="Jeans"/>
    <s v="Levis"/>
    <s v="Mom Fit"/>
    <s v="Denim"/>
    <n v="38"/>
    <s v="Rust"/>
    <n v="920"/>
  </r>
  <r>
    <x v="338"/>
    <x v="22"/>
    <s v="INW1583"/>
    <n v="1"/>
    <s v="Innerwear"/>
    <s v="Rupa"/>
    <s v="Boxer"/>
    <s v="Cotton"/>
    <s v="75-80"/>
    <s v="Charcoal"/>
    <n v="100"/>
  </r>
  <r>
    <x v="338"/>
    <x v="22"/>
    <s v="TSH0427"/>
    <n v="1"/>
    <s v="T-Shirt"/>
    <s v="Max"/>
    <s v="Sleeveless"/>
    <s v="Poly Cotton"/>
    <s v="XL"/>
    <s v="Peach"/>
    <n v="700"/>
  </r>
  <r>
    <x v="338"/>
    <x v="22"/>
    <s v="TSH0411"/>
    <n v="1"/>
    <s v="T-Shirt"/>
    <s v="Campus"/>
    <s v="Sleeveless"/>
    <s v="Cotton Blend"/>
    <s v="S"/>
    <s v="Brown"/>
    <n v="730"/>
  </r>
  <r>
    <x v="339"/>
    <x v="22"/>
    <s v="TSH0432"/>
    <n v="1"/>
    <s v="T-Shirt"/>
    <s v="Zara"/>
    <s v="Full Sleeve"/>
    <s v="Cotton Blend"/>
    <s v="S"/>
    <s v="Cream"/>
    <n v="510"/>
  </r>
  <r>
    <x v="339"/>
    <x v="22"/>
    <s v="SHT0266"/>
    <n v="1"/>
    <s v="Shirt"/>
    <s v="Max"/>
    <s v="Formal"/>
    <s v="Cotton"/>
    <s v="M"/>
    <s v="Navy Blue"/>
    <n v="880"/>
  </r>
  <r>
    <x v="339"/>
    <x v="22"/>
    <s v="INW1456"/>
    <n v="1"/>
    <s v="Innerwear"/>
    <s v="Rupa"/>
    <s v="Boxer"/>
    <s v="Cotton"/>
    <s v="85-90"/>
    <s v="Navy Blue"/>
    <n v="140"/>
  </r>
  <r>
    <x v="340"/>
    <x v="22"/>
    <s v="TSH0665"/>
    <n v="1"/>
    <s v="T-Shirt"/>
    <s v="Turkey"/>
    <s v="Hoodie"/>
    <s v="Poly Cotton"/>
    <s v="XL"/>
    <s v="Dark Green"/>
    <n v="420"/>
  </r>
  <r>
    <x v="341"/>
    <x v="22"/>
    <s v="SHT0294"/>
    <n v="1"/>
    <s v="Shirt"/>
    <s v="British"/>
    <s v="Partywear"/>
    <s v="Cotton Blend"/>
    <s v="M"/>
    <s v="Grey"/>
    <n v="760"/>
  </r>
  <r>
    <x v="342"/>
    <x v="22"/>
    <s v="PNT1362"/>
    <n v="1"/>
    <s v="Pants"/>
    <s v="Peter England"/>
    <s v="Korean"/>
    <s v="Lycra"/>
    <n v="38"/>
    <s v="Beige"/>
    <n v="890"/>
  </r>
  <r>
    <x v="342"/>
    <x v="22"/>
    <s v="JNS0926"/>
    <n v="1"/>
    <s v="Jeans"/>
    <s v="Wrangler"/>
    <s v="Baggy"/>
    <s v="Denim"/>
    <n v="36"/>
    <s v="Maroon"/>
    <n v="960"/>
  </r>
  <r>
    <x v="342"/>
    <x v="22"/>
    <s v="JNS0893"/>
    <n v="1"/>
    <s v="Jeans"/>
    <s v="Pepe"/>
    <s v="Jogger"/>
    <s v="Denim"/>
    <n v="34"/>
    <s v="Dark Green"/>
    <n v="930"/>
  </r>
  <r>
    <x v="342"/>
    <x v="22"/>
    <s v="INW1570"/>
    <n v="1"/>
    <s v="Innerwear"/>
    <s v="Jockey"/>
    <s v="V-Cut"/>
    <s v="Cotton Blend"/>
    <s v="100-105"/>
    <s v="Brown"/>
    <n v="130"/>
  </r>
  <r>
    <x v="343"/>
    <x v="22"/>
    <s v="SHT0221"/>
    <n v="1"/>
    <s v="Shirt"/>
    <s v="Max"/>
    <s v="Casual"/>
    <s v="Lycra"/>
    <s v="L"/>
    <s v="Teal"/>
    <n v="720"/>
  </r>
  <r>
    <x v="343"/>
    <x v="22"/>
    <s v="PNT1096"/>
    <n v="1"/>
    <s v="Pants"/>
    <s v="Van Heusen"/>
    <s v="Korean"/>
    <s v="Lycra"/>
    <n v="42"/>
    <s v="Royal Blue"/>
    <n v="820"/>
  </r>
  <r>
    <x v="344"/>
    <x v="23"/>
    <s v="INW1629"/>
    <n v="1"/>
    <s v="Innerwear"/>
    <s v="Dollar"/>
    <s v="V-Cut"/>
    <s v="Cotton Blend"/>
    <s v="85-90"/>
    <s v="Wine"/>
    <n v="160"/>
  </r>
  <r>
    <x v="344"/>
    <x v="23"/>
    <s v="SHT0239"/>
    <n v="1"/>
    <s v="Shirt"/>
    <s v="British"/>
    <s v="Formal"/>
    <s v="Lycra"/>
    <s v="S"/>
    <s v="Brown"/>
    <n v="660"/>
  </r>
  <r>
    <x v="344"/>
    <x v="23"/>
    <s v="JNS1015"/>
    <n v="1"/>
    <s v="Jeans"/>
    <s v="Pepe"/>
    <s v="Jogger"/>
    <s v="Denim"/>
    <n v="40"/>
    <s v="Peach"/>
    <n v="830"/>
  </r>
  <r>
    <x v="345"/>
    <x v="23"/>
    <s v="PNT1304"/>
    <n v="1"/>
    <s v="Pants"/>
    <s v="Raymond"/>
    <s v="Polofit"/>
    <s v="Lycra"/>
    <n v="28"/>
    <s v="Cream"/>
    <n v="890"/>
  </r>
  <r>
    <x v="345"/>
    <x v="23"/>
    <s v="TSH0725"/>
    <n v="1"/>
    <s v="T-Shirt"/>
    <s v="Turkey"/>
    <s v="Half Sleeve"/>
    <s v="Poly Cotton"/>
    <s v="S"/>
    <s v="Light Grey"/>
    <n v="390"/>
  </r>
  <r>
    <x v="346"/>
    <x v="23"/>
    <s v="INW1651"/>
    <n v="1"/>
    <s v="Innerwear"/>
    <s v="Rupa"/>
    <s v="Boxer"/>
    <s v="Cotton Blend"/>
    <s v="85-90"/>
    <s v="Cream"/>
    <n v="110"/>
  </r>
  <r>
    <x v="346"/>
    <x v="23"/>
    <s v="TSH0648"/>
    <n v="1"/>
    <s v="T-Shirt"/>
    <s v="Roadster"/>
    <s v="Sleeveless"/>
    <s v="Poly Cotton"/>
    <s v="XXL"/>
    <s v="Brown"/>
    <n v="630"/>
  </r>
  <r>
    <x v="346"/>
    <x v="23"/>
    <s v="PNT1097"/>
    <n v="1"/>
    <s v="Pants"/>
    <s v="Van Heusen"/>
    <s v="Polofit"/>
    <s v="Lycra"/>
    <n v="30"/>
    <s v="Charcoal"/>
    <n v="760"/>
  </r>
  <r>
    <x v="347"/>
    <x v="23"/>
    <s v="TSH0668"/>
    <n v="1"/>
    <s v="T-Shirt"/>
    <s v="Campus"/>
    <s v="3/4 Sleeve"/>
    <s v="Cotton"/>
    <s v="XXL"/>
    <s v="Teal"/>
    <n v="600"/>
  </r>
  <r>
    <x v="348"/>
    <x v="23"/>
    <s v="SHT0338"/>
    <n v="1"/>
    <s v="Shirt"/>
    <s v="British"/>
    <s v="Formal"/>
    <s v="Lycra"/>
    <s v="XXL"/>
    <s v="Rust"/>
    <n v="860"/>
  </r>
  <r>
    <x v="348"/>
    <x v="23"/>
    <s v="INW1657"/>
    <n v="1"/>
    <s v="Innerwear"/>
    <s v="Jockey"/>
    <s v="V-Cut"/>
    <s v="Cotton"/>
    <s v="85-90"/>
    <s v="Dark Green"/>
    <n v="150"/>
  </r>
  <r>
    <x v="348"/>
    <x v="23"/>
    <s v="INW1586"/>
    <n v="1"/>
    <s v="Innerwear"/>
    <s v="Dollar"/>
    <s v="V-Cut"/>
    <s v="Cotton"/>
    <s v="75-80"/>
    <s v="White"/>
    <n v="100"/>
  </r>
  <r>
    <x v="348"/>
    <x v="23"/>
    <s v="TSH0708"/>
    <n v="1"/>
    <s v="T-Shirt"/>
    <s v="Zara"/>
    <s v="Hoodie"/>
    <s v="Poly Cotton"/>
    <s v="L"/>
    <s v="Grey"/>
    <n v="370"/>
  </r>
  <r>
    <x v="349"/>
    <x v="23"/>
    <s v="JNS0990"/>
    <n v="1"/>
    <s v="Jeans"/>
    <s v="Levis"/>
    <s v="Mom Fit"/>
    <s v="Denim"/>
    <n v="30"/>
    <s v="Maroon"/>
    <n v="990"/>
  </r>
  <r>
    <x v="350"/>
    <x v="23"/>
    <s v="JNS1007"/>
    <n v="1"/>
    <s v="Jeans"/>
    <s v="Pepe"/>
    <s v="Baggy"/>
    <s v="Denim"/>
    <n v="42"/>
    <s v="Royal Blue"/>
    <n v="1000"/>
  </r>
  <r>
    <x v="350"/>
    <x v="23"/>
    <s v="SHT0233"/>
    <n v="1"/>
    <s v="Shirt"/>
    <s v="Thailand"/>
    <s v="Casual"/>
    <s v="Polyester"/>
    <s v="M"/>
    <s v="Grey"/>
    <n v="900"/>
  </r>
  <r>
    <x v="350"/>
    <x v="23"/>
    <s v="SHT0271"/>
    <n v="1"/>
    <s v="Shirt"/>
    <s v="Luke &amp; Burg"/>
    <s v="Partywear"/>
    <s v="Polyester"/>
    <s v="XXL"/>
    <s v="Bottle Green"/>
    <n v="740"/>
  </r>
  <r>
    <x v="351"/>
    <x v="23"/>
    <s v="SHT0308"/>
    <n v="1"/>
    <s v="Shirt"/>
    <s v="H&amp;M"/>
    <s v="Partywear"/>
    <s v="Cotton Blend"/>
    <s v="L"/>
    <s v="Sky Blue"/>
    <n v="750"/>
  </r>
  <r>
    <x v="351"/>
    <x v="23"/>
    <s v="INW1629"/>
    <n v="1"/>
    <s v="Innerwear"/>
    <s v="Dollar"/>
    <s v="V-Cut"/>
    <s v="Cotton Blend"/>
    <s v="85-90"/>
    <s v="Wine"/>
    <n v="160"/>
  </r>
  <r>
    <x v="351"/>
    <x v="23"/>
    <s v="JNS1023"/>
    <n v="1"/>
    <s v="Jeans"/>
    <s v="Wrangler"/>
    <s v="Jogger"/>
    <s v="Denim"/>
    <n v="28"/>
    <s v="Sky Blue"/>
    <n v="860"/>
  </r>
  <r>
    <x v="352"/>
    <x v="23"/>
    <s v="INW1442"/>
    <n v="1"/>
    <s v="Innerwear"/>
    <s v="Jockey"/>
    <s v="Boxer"/>
    <s v="Cotton Blend"/>
    <s v="85-90"/>
    <s v="Teal"/>
    <n v="180"/>
  </r>
  <r>
    <x v="353"/>
    <x v="23"/>
    <s v="JNS1019"/>
    <n v="1"/>
    <s v="Jeans"/>
    <s v="Pepe"/>
    <s v="Jogger"/>
    <s v="Denim"/>
    <n v="38"/>
    <s v="Dark Green"/>
    <n v="840"/>
  </r>
  <r>
    <x v="353"/>
    <x v="23"/>
    <s v="JNS1050"/>
    <n v="1"/>
    <s v="Jeans"/>
    <s v="Pepe"/>
    <s v="Mom Fit"/>
    <s v="Denim"/>
    <n v="38"/>
    <s v="Cream"/>
    <n v="870"/>
  </r>
  <r>
    <x v="354"/>
    <x v="23"/>
    <s v="SHT0346"/>
    <n v="1"/>
    <s v="Shirt"/>
    <s v="H&amp;M"/>
    <s v="Formal"/>
    <s v="Polyester"/>
    <s v="L"/>
    <s v="Beige"/>
    <n v="870"/>
  </r>
  <r>
    <x v="354"/>
    <x v="23"/>
    <s v="TSH0516"/>
    <n v="1"/>
    <s v="T-Shirt"/>
    <s v="Turkey"/>
    <s v="Sleeveless"/>
    <s v="Poly Cotton"/>
    <s v="L"/>
    <s v="Olive"/>
    <n v="610"/>
  </r>
  <r>
    <x v="354"/>
    <x v="23"/>
    <s v="JNS0792"/>
    <n v="1"/>
    <s v="Jeans"/>
    <s v="Spykar"/>
    <s v="Baggy"/>
    <s v="Denim"/>
    <n v="42"/>
    <s v="Royal Blue"/>
    <n v="830"/>
  </r>
  <r>
    <x v="355"/>
    <x v="23"/>
    <s v="TSH0611"/>
    <n v="1"/>
    <s v="T-Shirt"/>
    <s v="Zara"/>
    <s v="Hoodie"/>
    <s v="Cotton"/>
    <s v="S"/>
    <s v="Beige"/>
    <n v="320"/>
  </r>
  <r>
    <x v="355"/>
    <x v="23"/>
    <s v="PNT1239"/>
    <n v="1"/>
    <s v="Pants"/>
    <s v="Park Avenue"/>
    <s v="Jogger"/>
    <s v="Cotton Blend"/>
    <n v="30"/>
    <s v="White"/>
    <n v="750"/>
  </r>
  <r>
    <x v="355"/>
    <x v="23"/>
    <s v="PNT1229"/>
    <n v="1"/>
    <s v="Pants"/>
    <s v="Louis Philippe"/>
    <s v="Boot Cut"/>
    <s v="Cotton"/>
    <n v="42"/>
    <s v="Royal Blue"/>
    <n v="800"/>
  </r>
  <r>
    <x v="356"/>
    <x v="23"/>
    <s v="TSH0532"/>
    <n v="1"/>
    <s v="T-Shirt"/>
    <s v="Urban Monkey"/>
    <s v="Sleeveless"/>
    <s v="Poly Cotton"/>
    <s v="M"/>
    <s v="Olive"/>
    <n v="280"/>
  </r>
  <r>
    <x v="356"/>
    <x v="23"/>
    <s v="TSH0429"/>
    <n v="1"/>
    <s v="T-Shirt"/>
    <s v="Roadster"/>
    <s v="3/4 Sleeve"/>
    <s v="Cotton"/>
    <s v="XL"/>
    <s v="Light Grey"/>
    <n v="370"/>
  </r>
  <r>
    <x v="357"/>
    <x v="23"/>
    <s v="JNS0804"/>
    <n v="1"/>
    <s v="Jeans"/>
    <s v="Denim Pro"/>
    <s v="Mom Fit"/>
    <s v="Denim"/>
    <n v="34"/>
    <s v="Bottle Green"/>
    <n v="1080"/>
  </r>
  <r>
    <x v="357"/>
    <x v="23"/>
    <s v="TSH0757"/>
    <n v="1"/>
    <s v="T-Shirt"/>
    <s v="Roadster"/>
    <s v="Half Sleeve"/>
    <s v="Poly Cotton"/>
    <s v="L"/>
    <s v="Rust"/>
    <n v="550"/>
  </r>
  <r>
    <x v="357"/>
    <x v="23"/>
    <s v="TSH0425"/>
    <n v="1"/>
    <s v="T-Shirt"/>
    <s v="Roadster"/>
    <s v="Half Sleeve"/>
    <s v="Cotton Blend"/>
    <s v="S"/>
    <s v="Peach"/>
    <n v="530"/>
  </r>
  <r>
    <x v="357"/>
    <x v="23"/>
    <s v="JNS0903"/>
    <n v="1"/>
    <s v="Jeans"/>
    <s v="Locomotive"/>
    <s v="Jogger"/>
    <s v="Denim"/>
    <n v="32"/>
    <s v="Royal Blue"/>
    <n v="860"/>
  </r>
  <r>
    <x v="358"/>
    <x v="23"/>
    <s v="JNS0865"/>
    <n v="1"/>
    <s v="Jeans"/>
    <s v="Denim Pro"/>
    <s v="Jogger"/>
    <s v="Denim"/>
    <n v="40"/>
    <s v="Charcoal"/>
    <n v="960"/>
  </r>
  <r>
    <x v="359"/>
    <x v="23"/>
    <s v="SHT0136"/>
    <n v="1"/>
    <s v="Shirt"/>
    <s v="L7"/>
    <s v="Partywear"/>
    <s v="Lycra"/>
    <s v="XL"/>
    <s v="Brown"/>
    <n v="800"/>
  </r>
  <r>
    <x v="359"/>
    <x v="23"/>
    <s v="PNT1186"/>
    <n v="1"/>
    <s v="Pants"/>
    <s v="Raymond"/>
    <s v="Jogger"/>
    <s v="Cotton"/>
    <n v="36"/>
    <s v="Olive"/>
    <n v="900"/>
  </r>
  <r>
    <x v="359"/>
    <x v="23"/>
    <s v="JNS0945"/>
    <n v="1"/>
    <s v="Jeans"/>
    <s v="Locomotive"/>
    <s v="Baggy"/>
    <s v="Denim"/>
    <n v="42"/>
    <s v="White"/>
    <n v="1010"/>
  </r>
  <r>
    <x v="360"/>
    <x v="23"/>
    <s v="INW1654"/>
    <n v="1"/>
    <s v="Innerwear"/>
    <s v="V Star"/>
    <s v="Boxer"/>
    <s v="Cotton"/>
    <s v="80-85"/>
    <s v="Royal Blue"/>
    <n v="120"/>
  </r>
  <r>
    <x v="360"/>
    <x v="23"/>
    <s v="INW1579"/>
    <n v="1"/>
    <s v="Innerwear"/>
    <s v="Lux"/>
    <s v="V-Cut"/>
    <s v="Cotton Blend"/>
    <s v="85-90"/>
    <s v="Maroon"/>
    <n v="120"/>
  </r>
  <r>
    <x v="360"/>
    <x v="23"/>
    <s v="SHT0194"/>
    <n v="1"/>
    <s v="Shirt"/>
    <s v="Thailand"/>
    <s v="Formal"/>
    <s v="Lycra"/>
    <s v="L"/>
    <s v="Brown"/>
    <n v="850"/>
  </r>
  <r>
    <x v="361"/>
    <x v="23"/>
    <s v="SHT0051"/>
    <n v="1"/>
    <s v="Shirt"/>
    <s v="British"/>
    <s v="Formal"/>
    <s v="Cotton Blend"/>
    <s v="XXL"/>
    <s v="Peach"/>
    <n v="890"/>
  </r>
  <r>
    <x v="361"/>
    <x v="23"/>
    <s v="PNT1097"/>
    <n v="1"/>
    <s v="Pants"/>
    <s v="Van Heusen"/>
    <s v="Polofit"/>
    <s v="Lycra"/>
    <n v="30"/>
    <s v="Charcoal"/>
    <n v="760"/>
  </r>
  <r>
    <x v="361"/>
    <x v="23"/>
    <s v="SHT0099"/>
    <n v="1"/>
    <s v="Shirt"/>
    <s v="USD"/>
    <s v="Casual"/>
    <s v="Lycra"/>
    <s v="XXL"/>
    <s v="Beige"/>
    <n v="880"/>
  </r>
  <r>
    <x v="361"/>
    <x v="23"/>
    <s v="JNS0799"/>
    <n v="1"/>
    <s v="Jeans"/>
    <s v="Spykar"/>
    <s v="Baggy"/>
    <s v="Denim"/>
    <n v="28"/>
    <s v="Sky Blue"/>
    <n v="830"/>
  </r>
  <r>
    <x v="362"/>
    <x v="24"/>
    <s v="PNT1125"/>
    <n v="1"/>
    <s v="Pants"/>
    <s v="Van Heusen"/>
    <s v="Boot Cut"/>
    <s v="Poly Viscose"/>
    <n v="42"/>
    <s v="White"/>
    <n v="860"/>
  </r>
  <r>
    <x v="362"/>
    <x v="24"/>
    <s v="PNT1163"/>
    <n v="1"/>
    <s v="Pants"/>
    <s v="Louis Philippe"/>
    <s v="Polofit"/>
    <s v="Lycra"/>
    <n v="36"/>
    <s v="Brown"/>
    <n v="860"/>
  </r>
  <r>
    <x v="362"/>
    <x v="24"/>
    <s v="JNS1032"/>
    <n v="1"/>
    <s v="Jeans"/>
    <s v="Levis"/>
    <s v="Baggy"/>
    <s v="Denim"/>
    <n v="32"/>
    <s v="Mustard"/>
    <n v="1080"/>
  </r>
  <r>
    <x v="363"/>
    <x v="24"/>
    <s v="SHT0128"/>
    <n v="1"/>
    <s v="Shirt"/>
    <s v="Max"/>
    <s v="Formal"/>
    <s v="Polyester"/>
    <s v="L"/>
    <s v="Bottle Green"/>
    <n v="860"/>
  </r>
  <r>
    <x v="363"/>
    <x v="24"/>
    <s v="INW1544"/>
    <n v="1"/>
    <s v="Innerwear"/>
    <s v="V Star"/>
    <s v="V-Cut"/>
    <s v="Cotton"/>
    <s v="90-100"/>
    <s v="Wine"/>
    <n v="190"/>
  </r>
  <r>
    <x v="363"/>
    <x v="24"/>
    <s v="PNT1116"/>
    <n v="1"/>
    <s v="Pants"/>
    <s v="Peter England"/>
    <s v="Korean"/>
    <s v="Lycra"/>
    <n v="40"/>
    <s v="Sky Blue"/>
    <n v="830"/>
  </r>
  <r>
    <x v="363"/>
    <x v="24"/>
    <s v="PNT1117"/>
    <n v="1"/>
    <s v="Pants"/>
    <s v="Louis Philippe"/>
    <s v="Korean"/>
    <s v="Lycra"/>
    <n v="36"/>
    <s v="Rust"/>
    <n v="850"/>
  </r>
  <r>
    <x v="364"/>
    <x v="24"/>
    <s v="SHT0223"/>
    <n v="1"/>
    <s v="Shirt"/>
    <s v="H&amp;M"/>
    <s v="Partywear"/>
    <s v="Polyester"/>
    <s v="L"/>
    <s v="Beige"/>
    <n v="660"/>
  </r>
  <r>
    <x v="365"/>
    <x v="24"/>
    <s v="JNS1012"/>
    <n v="1"/>
    <s v="Jeans"/>
    <s v="Levis"/>
    <s v="Mom Fit"/>
    <s v="Denim"/>
    <n v="44"/>
    <s v="Olive"/>
    <n v="1040"/>
  </r>
  <r>
    <x v="365"/>
    <x v="24"/>
    <s v="SHT0106"/>
    <n v="1"/>
    <s v="Shirt"/>
    <s v="G Studio"/>
    <s v="Casual"/>
    <s v="Lycra"/>
    <s v="L"/>
    <s v="Light Grey"/>
    <n v="740"/>
  </r>
  <r>
    <x v="365"/>
    <x v="24"/>
    <s v="TSH0667"/>
    <n v="1"/>
    <s v="T-Shirt"/>
    <s v="Campus"/>
    <s v="3/4 Sleeve"/>
    <s v="Cotton Blend"/>
    <s v="S"/>
    <s v="Rust"/>
    <n v="240"/>
  </r>
  <r>
    <x v="366"/>
    <x v="24"/>
    <s v="TSH0366"/>
    <n v="1"/>
    <s v="T-Shirt"/>
    <s v="Max"/>
    <s v="Full Sleeve"/>
    <s v="Poly Cotton"/>
    <s v="M"/>
    <s v="Navy Blue"/>
    <n v="210"/>
  </r>
  <r>
    <x v="366"/>
    <x v="24"/>
    <s v="TSH0701"/>
    <n v="1"/>
    <s v="T-Shirt"/>
    <s v="Zara"/>
    <s v="Full Sleeve"/>
    <s v="Cotton Blend"/>
    <s v="M"/>
    <s v="Navy Blue"/>
    <n v="470"/>
  </r>
  <r>
    <x v="366"/>
    <x v="24"/>
    <s v="JNS0926"/>
    <n v="1"/>
    <s v="Jeans"/>
    <s v="Wrangler"/>
    <s v="Baggy"/>
    <s v="Denim"/>
    <n v="36"/>
    <s v="Maroon"/>
    <n v="960"/>
  </r>
  <r>
    <x v="367"/>
    <x v="24"/>
    <s v="TSH0504"/>
    <n v="1"/>
    <s v="T-Shirt"/>
    <s v="Max"/>
    <s v="Sleeveless"/>
    <s v="Cotton"/>
    <s v="XL"/>
    <s v="Bottle Green"/>
    <n v="730"/>
  </r>
  <r>
    <x v="368"/>
    <x v="24"/>
    <s v="INW1534"/>
    <n v="1"/>
    <s v="Innerwear"/>
    <s v="Rupa"/>
    <s v="Boxer"/>
    <s v="Cotton Blend"/>
    <s v="85-90"/>
    <s v="Mustard"/>
    <n v="180"/>
  </r>
  <r>
    <x v="368"/>
    <x v="24"/>
    <s v="JNS0840"/>
    <n v="1"/>
    <s v="Jeans"/>
    <s v="Spykar"/>
    <s v="Jogger"/>
    <s v="Denim"/>
    <n v="40"/>
    <s v="White"/>
    <n v="1080"/>
  </r>
  <r>
    <x v="368"/>
    <x v="24"/>
    <s v="TSH0699"/>
    <n v="1"/>
    <s v="T-Shirt"/>
    <s v="Turkey"/>
    <s v="Hoodie"/>
    <s v="Poly Cotton"/>
    <s v="M"/>
    <s v="Wine"/>
    <n v="680"/>
  </r>
  <r>
    <x v="369"/>
    <x v="24"/>
    <s v="SHT0238"/>
    <n v="1"/>
    <s v="Shirt"/>
    <s v="Luke &amp; Burg"/>
    <s v="Formal"/>
    <s v="Cotton Blend"/>
    <s v="M"/>
    <s v="Black"/>
    <n v="710"/>
  </r>
  <r>
    <x v="369"/>
    <x v="24"/>
    <s v="SHT0195"/>
    <n v="1"/>
    <s v="Shirt"/>
    <s v="Zara"/>
    <s v="Formal"/>
    <s v="Lycra"/>
    <s v="XXL"/>
    <s v="Rust"/>
    <n v="750"/>
  </r>
  <r>
    <x v="369"/>
    <x v="24"/>
    <s v="INW1395"/>
    <n v="1"/>
    <s v="Innerwear"/>
    <s v="Dollar"/>
    <s v="Boxer"/>
    <s v="Cotton"/>
    <s v="100-105"/>
    <s v="Black"/>
    <n v="170"/>
  </r>
  <r>
    <x v="370"/>
    <x v="24"/>
    <s v="SHT0140"/>
    <n v="1"/>
    <s v="Shirt"/>
    <s v="USD"/>
    <s v="Casual"/>
    <s v="Polyester"/>
    <s v="L"/>
    <s v="Mustard"/>
    <n v="940"/>
  </r>
  <r>
    <x v="371"/>
    <x v="24"/>
    <s v="JNS0949"/>
    <n v="1"/>
    <s v="Jeans"/>
    <s v="Pepe"/>
    <s v="Jogger"/>
    <s v="Denim"/>
    <n v="32"/>
    <s v="Brown"/>
    <n v="980"/>
  </r>
  <r>
    <x v="372"/>
    <x v="24"/>
    <s v="JNS0785"/>
    <n v="1"/>
    <s v="Jeans"/>
    <s v="Wrangler"/>
    <s v="Mom Fit"/>
    <s v="Denim"/>
    <n v="44"/>
    <s v="Maroon"/>
    <n v="820"/>
  </r>
  <r>
    <x v="372"/>
    <x v="24"/>
    <s v="INW1469"/>
    <n v="1"/>
    <s v="Innerwear"/>
    <s v="V Star"/>
    <s v="V-Cut"/>
    <s v="Cotton Blend"/>
    <s v="105-110"/>
    <s v="Peach"/>
    <n v="120"/>
  </r>
  <r>
    <x v="372"/>
    <x v="24"/>
    <s v="TSH0640"/>
    <n v="1"/>
    <s v="T-Shirt"/>
    <s v="Campus"/>
    <s v="Half Sleeve"/>
    <s v="Poly Cotton"/>
    <s v="XL"/>
    <s v="Light Grey"/>
    <n v="590"/>
  </r>
  <r>
    <x v="373"/>
    <x v="24"/>
    <s v="INW1399"/>
    <n v="1"/>
    <s v="Innerwear"/>
    <s v="Dollar"/>
    <s v="V-Cut"/>
    <s v="Cotton"/>
    <s v="100-105"/>
    <s v="Rust"/>
    <n v="160"/>
  </r>
  <r>
    <x v="373"/>
    <x v="24"/>
    <s v="SHT0038"/>
    <n v="1"/>
    <s v="Shirt"/>
    <s v="Luke &amp; Burg"/>
    <s v="Formal"/>
    <s v="Lycra"/>
    <s v="XL"/>
    <s v="Black"/>
    <n v="940"/>
  </r>
  <r>
    <x v="373"/>
    <x v="24"/>
    <s v="JNS0977"/>
    <n v="1"/>
    <s v="Jeans"/>
    <s v="Locomotive"/>
    <s v="Jogger"/>
    <s v="Denim"/>
    <n v="40"/>
    <s v="Royal Blue"/>
    <n v="800"/>
  </r>
  <r>
    <x v="374"/>
    <x v="24"/>
    <s v="PNT1287"/>
    <n v="1"/>
    <s v="Pants"/>
    <s v="Park Avenue"/>
    <s v="Korean"/>
    <s v="Lycra"/>
    <n v="28"/>
    <s v="White"/>
    <n v="720"/>
  </r>
  <r>
    <x v="375"/>
    <x v="24"/>
    <s v="INW1472"/>
    <n v="1"/>
    <s v="Innerwear"/>
    <s v="Dollar"/>
    <s v="Boxer"/>
    <s v="Cotton"/>
    <s v="75-80"/>
    <s v="Sky Blue"/>
    <n v="110"/>
  </r>
  <r>
    <x v="375"/>
    <x v="24"/>
    <s v="JNS1036"/>
    <n v="1"/>
    <s v="Jeans"/>
    <s v="Levis"/>
    <s v="Jogger"/>
    <s v="Denim"/>
    <n v="32"/>
    <s v="Light Grey"/>
    <n v="890"/>
  </r>
  <r>
    <x v="375"/>
    <x v="24"/>
    <s v="JNS0873"/>
    <n v="1"/>
    <s v="Jeans"/>
    <s v="Locomotive"/>
    <s v="Baggy"/>
    <s v="Denim"/>
    <n v="32"/>
    <s v="Rust"/>
    <n v="950"/>
  </r>
  <r>
    <x v="376"/>
    <x v="24"/>
    <s v="TSH0724"/>
    <n v="1"/>
    <s v="T-Shirt"/>
    <s v="Urban Monkey"/>
    <s v="Full Sleeve"/>
    <s v="Cotton"/>
    <s v="L"/>
    <s v="Royal Blue"/>
    <n v="550"/>
  </r>
  <r>
    <x v="376"/>
    <x v="24"/>
    <s v="JNS0912"/>
    <n v="1"/>
    <s v="Jeans"/>
    <s v="Locomotive"/>
    <s v="Baggy"/>
    <s v="Denim"/>
    <n v="40"/>
    <s v="White"/>
    <n v="1090"/>
  </r>
  <r>
    <x v="376"/>
    <x v="24"/>
    <s v="INW1512"/>
    <n v="1"/>
    <s v="Innerwear"/>
    <s v="V Star"/>
    <s v="Boxer"/>
    <s v="Cotton"/>
    <s v="85-90"/>
    <s v="Black"/>
    <n v="180"/>
  </r>
  <r>
    <x v="377"/>
    <x v="24"/>
    <s v="JNS1047"/>
    <n v="1"/>
    <s v="Jeans"/>
    <s v="Locomotive"/>
    <s v="Jogger"/>
    <s v="Denim"/>
    <n v="44"/>
    <s v="Grey"/>
    <n v="1000"/>
  </r>
  <r>
    <x v="377"/>
    <x v="24"/>
    <s v="SHT0255"/>
    <n v="1"/>
    <s v="Shirt"/>
    <s v="Max"/>
    <s v="Casual"/>
    <s v="Cotton Blend"/>
    <s v="S"/>
    <s v="Bottle Green"/>
    <n v="810"/>
  </r>
  <r>
    <x v="377"/>
    <x v="24"/>
    <s v="PNT1122"/>
    <n v="1"/>
    <s v="Pants"/>
    <s v="Park Avenue"/>
    <s v="Polofit"/>
    <s v="Lycra"/>
    <n v="44"/>
    <s v="Peach"/>
    <n v="920"/>
  </r>
  <r>
    <x v="378"/>
    <x v="25"/>
    <s v="SHT0239"/>
    <n v="1"/>
    <s v="Shirt"/>
    <s v="British"/>
    <s v="Formal"/>
    <s v="Lycra"/>
    <s v="S"/>
    <s v="Brown"/>
    <n v="660"/>
  </r>
  <r>
    <x v="379"/>
    <x v="25"/>
    <s v="JNS0799"/>
    <n v="1"/>
    <s v="Jeans"/>
    <s v="Spykar"/>
    <s v="Baggy"/>
    <s v="Denim"/>
    <n v="28"/>
    <s v="Sky Blue"/>
    <n v="830"/>
  </r>
  <r>
    <x v="380"/>
    <x v="25"/>
    <s v="SHT0009"/>
    <n v="1"/>
    <s v="Shirt"/>
    <s v="L7"/>
    <s v="Formal"/>
    <s v="Lycra"/>
    <s v="L"/>
    <s v="Navy Blue"/>
    <n v="880"/>
  </r>
  <r>
    <x v="381"/>
    <x v="25"/>
    <s v="TSH0488"/>
    <n v="1"/>
    <s v="T-Shirt"/>
    <s v="Turkey"/>
    <s v="Sleeveless"/>
    <s v="Cotton Blend"/>
    <s v="S"/>
    <s v="Maroon"/>
    <n v="590"/>
  </r>
  <r>
    <x v="382"/>
    <x v="25"/>
    <s v="TSH0766"/>
    <n v="1"/>
    <s v="T-Shirt"/>
    <s v="Turkey"/>
    <s v="Hoodie"/>
    <s v="Poly Cotton"/>
    <s v="L"/>
    <s v="Peach"/>
    <n v="570"/>
  </r>
  <r>
    <x v="382"/>
    <x v="25"/>
    <s v="PNT1320"/>
    <n v="1"/>
    <s v="Pants"/>
    <s v="Van Heusen"/>
    <s v="Korean"/>
    <s v="Lycra"/>
    <n v="30"/>
    <s v="Peach"/>
    <n v="910"/>
  </r>
  <r>
    <x v="382"/>
    <x v="25"/>
    <s v="SHT0012"/>
    <n v="1"/>
    <s v="Shirt"/>
    <s v="G Studio"/>
    <s v="Formal"/>
    <s v="Polyester"/>
    <s v="XL"/>
    <s v="Beige"/>
    <n v="820"/>
  </r>
  <r>
    <x v="382"/>
    <x v="25"/>
    <s v="TSH0722"/>
    <n v="1"/>
    <s v="T-Shirt"/>
    <s v="Roadster"/>
    <s v="Sleeveless"/>
    <s v="Cotton"/>
    <s v="XL"/>
    <s v="Rust"/>
    <n v="710"/>
  </r>
  <r>
    <x v="383"/>
    <x v="25"/>
    <s v="PNT1363"/>
    <n v="1"/>
    <s v="Pants"/>
    <s v="Van Heusen"/>
    <s v="Kurka"/>
    <s v="Lycra"/>
    <n v="32"/>
    <s v="Dark Green"/>
    <n v="940"/>
  </r>
  <r>
    <x v="384"/>
    <x v="25"/>
    <s v="JNS0787"/>
    <n v="1"/>
    <s v="Jeans"/>
    <s v="Levis"/>
    <s v="Baggy"/>
    <s v="Denim"/>
    <n v="28"/>
    <s v="Dark Green"/>
    <n v="770"/>
  </r>
  <r>
    <x v="384"/>
    <x v="25"/>
    <s v="SHT0106"/>
    <n v="1"/>
    <s v="Shirt"/>
    <s v="G Studio"/>
    <s v="Casual"/>
    <s v="Lycra"/>
    <s v="L"/>
    <s v="Light Grey"/>
    <n v="740"/>
  </r>
  <r>
    <x v="384"/>
    <x v="25"/>
    <s v="JNS0874"/>
    <n v="1"/>
    <s v="Jeans"/>
    <s v="Spykar"/>
    <s v="Mom Fit"/>
    <s v="Denim"/>
    <n v="34"/>
    <s v="White"/>
    <n v="940"/>
  </r>
  <r>
    <x v="385"/>
    <x v="25"/>
    <s v="INW1484"/>
    <n v="1"/>
    <s v="Innerwear"/>
    <s v="V Star"/>
    <s v="V-Cut"/>
    <s v="Cotton Blend"/>
    <s v="105-110"/>
    <s v="Black"/>
    <n v="160"/>
  </r>
  <r>
    <x v="385"/>
    <x v="25"/>
    <s v="TSH0663"/>
    <n v="1"/>
    <s v="T-Shirt"/>
    <s v="Roadster"/>
    <s v="Half Sleeve"/>
    <s v="Poly Cotton"/>
    <s v="M"/>
    <s v="Bottle Green"/>
    <n v="340"/>
  </r>
  <r>
    <x v="385"/>
    <x v="25"/>
    <s v="JNS0831"/>
    <n v="1"/>
    <s v="Jeans"/>
    <s v="Locomotive"/>
    <s v="Jogger"/>
    <s v="Denim"/>
    <n v="38"/>
    <s v="Cream"/>
    <n v="1040"/>
  </r>
  <r>
    <x v="386"/>
    <x v="25"/>
    <s v="TSH0557"/>
    <n v="1"/>
    <s v="T-Shirt"/>
    <s v="Max"/>
    <s v="Sleeveless"/>
    <s v="Poly Cotton"/>
    <s v="XXL"/>
    <s v="Peach"/>
    <n v="400"/>
  </r>
  <r>
    <x v="386"/>
    <x v="25"/>
    <s v="TSH0376"/>
    <n v="1"/>
    <s v="T-Shirt"/>
    <s v="Zara"/>
    <s v="Full Sleeve"/>
    <s v="Cotton"/>
    <s v="XXL"/>
    <s v="Peach"/>
    <n v="590"/>
  </r>
  <r>
    <x v="386"/>
    <x v="25"/>
    <s v="JNS0907"/>
    <n v="1"/>
    <s v="Jeans"/>
    <s v="Wrangler"/>
    <s v="Jogger"/>
    <s v="Denim"/>
    <n v="28"/>
    <s v="Grey"/>
    <n v="890"/>
  </r>
  <r>
    <x v="387"/>
    <x v="25"/>
    <s v="PNT1145"/>
    <n v="1"/>
    <s v="Pants"/>
    <s v="Park Avenue"/>
    <s v="Kurka"/>
    <s v="Lycra"/>
    <n v="42"/>
    <s v="Grey"/>
    <n v="700"/>
  </r>
  <r>
    <x v="387"/>
    <x v="25"/>
    <s v="JNS0783"/>
    <n v="1"/>
    <s v="Jeans"/>
    <s v="Denim Pro"/>
    <s v="Jogger"/>
    <s v="Denim"/>
    <n v="38"/>
    <s v="Peach"/>
    <n v="960"/>
  </r>
  <r>
    <x v="387"/>
    <x v="25"/>
    <s v="TSH0397"/>
    <n v="1"/>
    <s v="T-Shirt"/>
    <s v="Thailand"/>
    <s v="Sleeveless"/>
    <s v="Poly Cotton"/>
    <s v="M"/>
    <s v="Mustard"/>
    <n v="440"/>
  </r>
  <r>
    <x v="388"/>
    <x v="25"/>
    <s v="PNT1291"/>
    <n v="1"/>
    <s v="Pants"/>
    <s v="Louis Philippe"/>
    <s v="Jogger"/>
    <s v="Poly Viscose"/>
    <n v="30"/>
    <s v="Peach"/>
    <n v="810"/>
  </r>
  <r>
    <x v="389"/>
    <x v="25"/>
    <s v="SHT0149"/>
    <n v="1"/>
    <s v="Shirt"/>
    <s v="USD"/>
    <s v="Partywear"/>
    <s v="Cotton Blend"/>
    <s v="S"/>
    <s v="White"/>
    <n v="790"/>
  </r>
  <r>
    <x v="390"/>
    <x v="25"/>
    <s v="JNS0906"/>
    <n v="1"/>
    <s v="Jeans"/>
    <s v="Pepe"/>
    <s v="Jogger"/>
    <s v="Denim"/>
    <n v="40"/>
    <s v="Bottle Green"/>
    <n v="990"/>
  </r>
  <r>
    <x v="391"/>
    <x v="25"/>
    <s v="PNT1102"/>
    <n v="1"/>
    <s v="Pants"/>
    <s v="Raymond"/>
    <s v="Jogger"/>
    <s v="Cotton"/>
    <n v="34"/>
    <s v="Olive"/>
    <n v="730"/>
  </r>
  <r>
    <x v="391"/>
    <x v="25"/>
    <s v="JNS0985"/>
    <n v="1"/>
    <s v="Jeans"/>
    <s v="Denim Pro"/>
    <s v="Jogger"/>
    <s v="Denim"/>
    <n v="30"/>
    <s v="Olive"/>
    <n v="900"/>
  </r>
  <r>
    <x v="392"/>
    <x v="26"/>
    <s v="TSH0556"/>
    <n v="1"/>
    <s v="T-Shirt"/>
    <s v="Roadster"/>
    <s v="Half Sleeve"/>
    <s v="Cotton Blend"/>
    <s v="XXL"/>
    <s v="Teal"/>
    <n v="280"/>
  </r>
  <r>
    <x v="393"/>
    <x v="26"/>
    <s v="JNS1045"/>
    <n v="1"/>
    <s v="Jeans"/>
    <s v="Pepe"/>
    <s v="Jogger"/>
    <s v="Denim"/>
    <n v="28"/>
    <s v="Sky Blue"/>
    <n v="1030"/>
  </r>
  <r>
    <x v="393"/>
    <x v="26"/>
    <s v="JNS0915"/>
    <n v="1"/>
    <s v="Jeans"/>
    <s v="Pepe"/>
    <s v="Baggy"/>
    <s v="Denim"/>
    <n v="44"/>
    <s v="Olive"/>
    <n v="870"/>
  </r>
  <r>
    <x v="393"/>
    <x v="26"/>
    <s v="SHT0234"/>
    <n v="1"/>
    <s v="Shirt"/>
    <s v="Thailand"/>
    <s v="Formal"/>
    <s v="Polyester"/>
    <s v="L"/>
    <s v="Dark Green"/>
    <n v="940"/>
  </r>
  <r>
    <x v="394"/>
    <x v="26"/>
    <s v="TSH0489"/>
    <n v="1"/>
    <s v="T-Shirt"/>
    <s v="Zara"/>
    <s v="Full Sleeve"/>
    <s v="Poly Cotton"/>
    <s v="XL"/>
    <s v="Teal"/>
    <n v="280"/>
  </r>
  <r>
    <x v="394"/>
    <x v="26"/>
    <s v="SHT0101"/>
    <n v="1"/>
    <s v="Shirt"/>
    <s v="Max"/>
    <s v="Formal"/>
    <s v="Polyester"/>
    <s v="XXL"/>
    <s v="Royal Blue"/>
    <n v="730"/>
  </r>
  <r>
    <x v="394"/>
    <x v="26"/>
    <s v="SHT0054"/>
    <n v="1"/>
    <s v="Shirt"/>
    <s v="Zara"/>
    <s v="Formal"/>
    <s v="Cotton"/>
    <s v="M"/>
    <s v="Dark Green"/>
    <n v="830"/>
  </r>
  <r>
    <x v="395"/>
    <x v="26"/>
    <s v="TSH0383"/>
    <n v="1"/>
    <s v="T-Shirt"/>
    <s v="Max"/>
    <s v="Sleeveless"/>
    <s v="Cotton"/>
    <s v="XXL"/>
    <s v="Rust"/>
    <n v="610"/>
  </r>
  <r>
    <x v="396"/>
    <x v="26"/>
    <s v="PNT1341"/>
    <n v="1"/>
    <s v="Pants"/>
    <s v="Raymond"/>
    <s v="Kurka"/>
    <s v="Lycra"/>
    <n v="42"/>
    <s v="Grey"/>
    <n v="900"/>
  </r>
  <r>
    <x v="397"/>
    <x v="26"/>
    <s v="SHT0204"/>
    <n v="1"/>
    <s v="Shirt"/>
    <s v="Luke &amp; Burg"/>
    <s v="Formal"/>
    <s v="Lycra"/>
    <s v="XL"/>
    <s v="Dark Green"/>
    <n v="900"/>
  </r>
  <r>
    <x v="397"/>
    <x v="26"/>
    <s v="INW1567"/>
    <n v="1"/>
    <s v="Innerwear"/>
    <s v="Jockey"/>
    <s v="V-Cut"/>
    <s v="Cotton Blend"/>
    <s v="80-85"/>
    <s v="Sky Blue"/>
    <n v="140"/>
  </r>
  <r>
    <x v="397"/>
    <x v="26"/>
    <s v="SHT0020"/>
    <n v="1"/>
    <s v="Shirt"/>
    <s v="British"/>
    <s v="Formal"/>
    <s v="Cotton Blend"/>
    <s v="XL"/>
    <s v="Olive"/>
    <n v="900"/>
  </r>
  <r>
    <x v="398"/>
    <x v="26"/>
    <s v="SHT0131"/>
    <n v="1"/>
    <s v="Shirt"/>
    <s v="British"/>
    <s v="Formal"/>
    <s v="Polyester"/>
    <s v="XXL"/>
    <s v="Black"/>
    <n v="720"/>
  </r>
  <r>
    <x v="399"/>
    <x v="26"/>
    <s v="PNT1080"/>
    <n v="1"/>
    <s v="Pants"/>
    <s v="Park Avenue"/>
    <s v="Boot Cut"/>
    <s v="Cotton Blend"/>
    <n v="32"/>
    <s v="Grey"/>
    <n v="760"/>
  </r>
  <r>
    <x v="399"/>
    <x v="26"/>
    <s v="JNS0898"/>
    <n v="1"/>
    <s v="Jeans"/>
    <s v="Pepe"/>
    <s v="Baggy"/>
    <s v="Denim"/>
    <n v="38"/>
    <s v="Rust"/>
    <n v="780"/>
  </r>
  <r>
    <x v="399"/>
    <x v="26"/>
    <s v="PNT1269"/>
    <n v="1"/>
    <s v="Pants"/>
    <s v="Raymond"/>
    <s v="Korean"/>
    <s v="Lycra"/>
    <n v="36"/>
    <s v="White"/>
    <n v="740"/>
  </r>
  <r>
    <x v="399"/>
    <x v="26"/>
    <s v="JNS0952"/>
    <n v="1"/>
    <s v="Jeans"/>
    <s v="Wrangler"/>
    <s v="Jogger"/>
    <s v="Denim"/>
    <n v="40"/>
    <s v="Rust"/>
    <n v="990"/>
  </r>
  <r>
    <x v="400"/>
    <x v="26"/>
    <s v="INW1619"/>
    <n v="1"/>
    <s v="Innerwear"/>
    <s v="Rupa"/>
    <s v="V-Cut"/>
    <s v="Cotton"/>
    <s v="75-80"/>
    <s v="Beige"/>
    <n v="140"/>
  </r>
  <r>
    <x v="400"/>
    <x v="26"/>
    <s v="SHT0108"/>
    <n v="1"/>
    <s v="Shirt"/>
    <s v="Max"/>
    <s v="Casual"/>
    <s v="Cotton Blend"/>
    <s v="L"/>
    <s v="Charcoal"/>
    <n v="760"/>
  </r>
  <r>
    <x v="401"/>
    <x v="26"/>
    <s v="PNT1185"/>
    <n v="1"/>
    <s v="Pants"/>
    <s v="Park Avenue"/>
    <s v="Boot Cut"/>
    <s v="Poly Viscose"/>
    <n v="40"/>
    <s v="Teal"/>
    <n v="880"/>
  </r>
  <r>
    <x v="401"/>
    <x v="26"/>
    <s v="TSH0546"/>
    <n v="1"/>
    <s v="T-Shirt"/>
    <s v="Campus"/>
    <s v="3/4 Sleeve"/>
    <s v="Poly Cotton"/>
    <s v="XL"/>
    <s v="Light Grey"/>
    <n v="270"/>
  </r>
  <r>
    <x v="401"/>
    <x v="26"/>
    <s v="SHT0126"/>
    <n v="1"/>
    <s v="Shirt"/>
    <s v="L7"/>
    <s v="Formal"/>
    <s v="Cotton"/>
    <s v="L"/>
    <s v="Light Grey"/>
    <n v="640"/>
  </r>
  <r>
    <x v="402"/>
    <x v="26"/>
    <s v="SHT0199"/>
    <n v="1"/>
    <s v="Shirt"/>
    <s v="Max"/>
    <s v="Partywear"/>
    <s v="Polyester"/>
    <s v="XL"/>
    <s v="Royal Blue"/>
    <n v="730"/>
  </r>
  <r>
    <x v="402"/>
    <x v="26"/>
    <s v="INW1420"/>
    <n v="1"/>
    <s v="Innerwear"/>
    <s v="Rupa"/>
    <s v="V-Cut"/>
    <s v="Cotton Blend"/>
    <s v="90-100"/>
    <s v="Cream"/>
    <n v="190"/>
  </r>
  <r>
    <x v="403"/>
    <x v="26"/>
    <s v="TSH0495"/>
    <n v="1"/>
    <s v="T-Shirt"/>
    <s v="Roadster"/>
    <s v="3/4 Sleeve"/>
    <s v="Cotton"/>
    <s v="XL"/>
    <s v="Brown"/>
    <n v="300"/>
  </r>
  <r>
    <x v="403"/>
    <x v="26"/>
    <s v="SHT0185"/>
    <n v="1"/>
    <s v="Shirt"/>
    <s v="H&amp;M"/>
    <s v="Partywear"/>
    <s v="Polyester"/>
    <s v="S"/>
    <s v="Sky Blue"/>
    <n v="790"/>
  </r>
  <r>
    <x v="404"/>
    <x v="26"/>
    <s v="JNS0935"/>
    <n v="1"/>
    <s v="Jeans"/>
    <s v="Denim Pro"/>
    <s v="Jogger"/>
    <s v="Denim"/>
    <n v="38"/>
    <s v="Cream"/>
    <n v="830"/>
  </r>
  <r>
    <x v="404"/>
    <x v="26"/>
    <s v="JNS1028"/>
    <n v="1"/>
    <s v="Jeans"/>
    <s v="Levis"/>
    <s v="Jogger"/>
    <s v="Denim"/>
    <n v="28"/>
    <s v="Bottle Green"/>
    <n v="800"/>
  </r>
  <r>
    <x v="404"/>
    <x v="26"/>
    <s v="TSH0636"/>
    <n v="1"/>
    <s v="T-Shirt"/>
    <s v="Turkey"/>
    <s v="Sleeveless"/>
    <s v="Cotton"/>
    <s v="L"/>
    <s v="Royal Blue"/>
    <n v="560"/>
  </r>
  <r>
    <x v="405"/>
    <x v="27"/>
    <s v="SHT0222"/>
    <n v="1"/>
    <s v="Shirt"/>
    <s v="Luke &amp; Burg"/>
    <s v="Casual"/>
    <s v="Cotton"/>
    <s v="L"/>
    <s v="Navy Blue"/>
    <n v="770"/>
  </r>
  <r>
    <x v="405"/>
    <x v="27"/>
    <s v="INW1536"/>
    <n v="1"/>
    <s v="Innerwear"/>
    <s v="V Star"/>
    <s v="Boxer"/>
    <s v="Cotton"/>
    <s v="105-110"/>
    <s v="Beige"/>
    <n v="190"/>
  </r>
  <r>
    <x v="405"/>
    <x v="27"/>
    <s v="PNT1353"/>
    <n v="1"/>
    <s v="Pants"/>
    <s v="Louis Philippe"/>
    <s v="Korean"/>
    <s v="Lycra"/>
    <n v="40"/>
    <s v="Light Grey"/>
    <n v="880"/>
  </r>
  <r>
    <x v="406"/>
    <x v="27"/>
    <s v="INW1449"/>
    <n v="1"/>
    <s v="Innerwear"/>
    <s v="Jockey"/>
    <s v="Boxer"/>
    <s v="Cotton"/>
    <s v="105-110"/>
    <s v="Rust"/>
    <n v="160"/>
  </r>
  <r>
    <x v="406"/>
    <x v="27"/>
    <s v="SHT0069"/>
    <n v="1"/>
    <s v="Shirt"/>
    <s v="USD"/>
    <s v="Partywear"/>
    <s v="Cotton Blend"/>
    <s v="XL"/>
    <s v="Dark Green"/>
    <n v="870"/>
  </r>
  <r>
    <x v="407"/>
    <x v="27"/>
    <s v="SHT0008"/>
    <n v="1"/>
    <s v="Shirt"/>
    <s v="L7"/>
    <s v="Partywear"/>
    <s v="Cotton Blend"/>
    <s v="XXL"/>
    <s v="Teal"/>
    <n v="760"/>
  </r>
  <r>
    <x v="408"/>
    <x v="27"/>
    <s v="INW1498"/>
    <n v="1"/>
    <s v="Innerwear"/>
    <s v="Dollar"/>
    <s v="Boxer"/>
    <s v="Cotton"/>
    <s v="85-90"/>
    <s v="Dark Green"/>
    <n v="130"/>
  </r>
  <r>
    <x v="408"/>
    <x v="27"/>
    <s v="TSH0689"/>
    <n v="1"/>
    <s v="T-Shirt"/>
    <s v="Campus"/>
    <s v="3/4 Sleeve"/>
    <s v="Poly Cotton"/>
    <s v="XXL"/>
    <s v="Maroon"/>
    <n v="650"/>
  </r>
  <r>
    <x v="409"/>
    <x v="27"/>
    <s v="PNT1134"/>
    <n v="1"/>
    <s v="Pants"/>
    <s v="Raymond"/>
    <s v="Korean"/>
    <s v="Lycra"/>
    <n v="38"/>
    <s v="Olive"/>
    <n v="950"/>
  </r>
  <r>
    <x v="409"/>
    <x v="27"/>
    <s v="SHT0253"/>
    <n v="1"/>
    <s v="Shirt"/>
    <s v="Zara"/>
    <s v="Partywear"/>
    <s v="Cotton Blend"/>
    <s v="L"/>
    <s v="Sky Blue"/>
    <n v="760"/>
  </r>
  <r>
    <x v="409"/>
    <x v="27"/>
    <s v="SHT0325"/>
    <n v="1"/>
    <s v="Shirt"/>
    <s v="British"/>
    <s v="Partywear"/>
    <s v="Lycra"/>
    <s v="S"/>
    <s v="Sky Blue"/>
    <n v="720"/>
  </r>
  <r>
    <x v="410"/>
    <x v="27"/>
    <s v="SHT0235"/>
    <n v="1"/>
    <s v="Shirt"/>
    <s v="H&amp;M"/>
    <s v="Formal"/>
    <s v="Cotton Blend"/>
    <s v="S"/>
    <s v="Olive"/>
    <n v="880"/>
  </r>
  <r>
    <x v="410"/>
    <x v="27"/>
    <s v="SHT0324"/>
    <n v="1"/>
    <s v="Shirt"/>
    <s v="G Studio"/>
    <s v="Casual"/>
    <s v="Cotton Blend"/>
    <s v="L"/>
    <s v="Brown"/>
    <n v="770"/>
  </r>
  <r>
    <x v="410"/>
    <x v="27"/>
    <s v="INW1642"/>
    <n v="1"/>
    <s v="Innerwear"/>
    <s v="Dollar"/>
    <s v="V-Cut"/>
    <s v="Cotton Blend"/>
    <s v="80-85"/>
    <s v="Sky Blue"/>
    <n v="170"/>
  </r>
  <r>
    <x v="411"/>
    <x v="27"/>
    <s v="TSH0755"/>
    <n v="1"/>
    <s v="T-Shirt"/>
    <s v="Urban Monkey"/>
    <s v="3/4 Sleeve"/>
    <s v="Cotton Blend"/>
    <s v="M"/>
    <s v="Wine"/>
    <n v="620"/>
  </r>
  <r>
    <x v="411"/>
    <x v="27"/>
    <s v="INW1494"/>
    <n v="1"/>
    <s v="Innerwear"/>
    <s v="Dollar"/>
    <s v="V-Cut"/>
    <s v="Cotton Blend"/>
    <s v="85-90"/>
    <s v="Beige"/>
    <n v="110"/>
  </r>
  <r>
    <x v="412"/>
    <x v="27"/>
    <s v="SHT0272"/>
    <n v="1"/>
    <s v="Shirt"/>
    <s v="L7"/>
    <s v="Formal"/>
    <s v="Cotton Blend"/>
    <s v="S"/>
    <s v="Cream"/>
    <n v="920"/>
  </r>
  <r>
    <x v="413"/>
    <x v="27"/>
    <s v="TSH0474"/>
    <n v="1"/>
    <s v="T-Shirt"/>
    <s v="Turkey"/>
    <s v="3/4 Sleeve"/>
    <s v="Poly Cotton"/>
    <s v="S"/>
    <s v="Black"/>
    <n v="480"/>
  </r>
  <r>
    <x v="413"/>
    <x v="27"/>
    <s v="SHT0088"/>
    <n v="1"/>
    <s v="Shirt"/>
    <s v="Luke &amp; Burg"/>
    <s v="Formal"/>
    <s v="Polyester"/>
    <s v="M"/>
    <s v="White"/>
    <n v="660"/>
  </r>
  <r>
    <x v="414"/>
    <x v="27"/>
    <s v="PNT1233"/>
    <n v="1"/>
    <s v="Pants"/>
    <s v="Peter England"/>
    <s v="Jogger"/>
    <s v="Cotton"/>
    <n v="36"/>
    <s v="Navy Blue"/>
    <n v="870"/>
  </r>
  <r>
    <x v="414"/>
    <x v="27"/>
    <s v="PNT1106"/>
    <n v="1"/>
    <s v="Pants"/>
    <s v="Park Avenue"/>
    <s v="Polofit"/>
    <s v="Lycra"/>
    <n v="30"/>
    <s v="Grey"/>
    <n v="760"/>
  </r>
  <r>
    <x v="414"/>
    <x v="27"/>
    <s v="TSH0431"/>
    <n v="1"/>
    <s v="T-Shirt"/>
    <s v="Urban Monkey"/>
    <s v="Half Sleeve"/>
    <s v="Poly Cotton"/>
    <s v="XL"/>
    <s v="Dark Green"/>
    <n v="600"/>
  </r>
  <r>
    <x v="415"/>
    <x v="27"/>
    <s v="TSH0357"/>
    <n v="1"/>
    <s v="T-Shirt"/>
    <s v="Roadster"/>
    <s v="3/4 Sleeve"/>
    <s v="Cotton Blend"/>
    <s v="XL"/>
    <s v="Cream"/>
    <n v="380"/>
  </r>
  <r>
    <x v="416"/>
    <x v="27"/>
    <s v="TSH0391"/>
    <n v="1"/>
    <s v="T-Shirt"/>
    <s v="Thailand"/>
    <s v="3/4 Sleeve"/>
    <s v="Cotton Blend"/>
    <s v="M"/>
    <s v="Navy Blue"/>
    <n v="400"/>
  </r>
  <r>
    <x v="416"/>
    <x v="27"/>
    <s v="TSH0455"/>
    <n v="1"/>
    <s v="T-Shirt"/>
    <s v="Thailand"/>
    <s v="Full Sleeve"/>
    <s v="Cotton Blend"/>
    <s v="M"/>
    <s v="Maroon"/>
    <n v="470"/>
  </r>
  <r>
    <x v="416"/>
    <x v="27"/>
    <s v="INW1600"/>
    <n v="1"/>
    <s v="Innerwear"/>
    <s v="Rupa"/>
    <s v="V-Cut"/>
    <s v="Cotton Blend"/>
    <s v="75-80"/>
    <s v="Navy Blue"/>
    <n v="150"/>
  </r>
  <r>
    <x v="416"/>
    <x v="27"/>
    <s v="JNS0776"/>
    <n v="1"/>
    <s v="Jeans"/>
    <s v="Pepe"/>
    <s v="Mom Fit"/>
    <s v="Denim"/>
    <n v="36"/>
    <s v="Navy Blue"/>
    <n v="1080"/>
  </r>
  <r>
    <x v="417"/>
    <x v="27"/>
    <s v="JNS0815"/>
    <n v="1"/>
    <s v="Jeans"/>
    <s v="Spykar"/>
    <s v="Mom Fit"/>
    <s v="Denim"/>
    <n v="34"/>
    <s v="Mustard"/>
    <n v="1030"/>
  </r>
  <r>
    <x v="417"/>
    <x v="27"/>
    <s v="INW1560"/>
    <n v="1"/>
    <s v="Innerwear"/>
    <s v="Lux"/>
    <s v="V-Cut"/>
    <s v="Cotton"/>
    <s v="105-110"/>
    <s v="White"/>
    <n v="170"/>
  </r>
  <r>
    <x v="417"/>
    <x v="27"/>
    <s v="JNS0837"/>
    <n v="1"/>
    <s v="Jeans"/>
    <s v="Levis"/>
    <s v="Jogger"/>
    <s v="Denim"/>
    <n v="30"/>
    <s v="Mustard"/>
    <n v="970"/>
  </r>
  <r>
    <x v="418"/>
    <x v="27"/>
    <s v="TSH0470"/>
    <n v="1"/>
    <s v="T-Shirt"/>
    <s v="Roadster"/>
    <s v="Half Sleeve"/>
    <s v="Cotton Blend"/>
    <s v="XL"/>
    <s v="Charcoal"/>
    <n v="490"/>
  </r>
  <r>
    <x v="418"/>
    <x v="27"/>
    <s v="SHT0077"/>
    <n v="1"/>
    <s v="Shirt"/>
    <s v="L7"/>
    <s v="Casual"/>
    <s v="Lycra"/>
    <s v="XL"/>
    <s v="Wine"/>
    <n v="930"/>
  </r>
  <r>
    <x v="419"/>
    <x v="27"/>
    <s v="JNS0917"/>
    <n v="1"/>
    <s v="Jeans"/>
    <s v="Pepe"/>
    <s v="Baggy"/>
    <s v="Denim"/>
    <n v="38"/>
    <s v="Cream"/>
    <n v="920"/>
  </r>
  <r>
    <x v="419"/>
    <x v="27"/>
    <s v="PNT1265"/>
    <n v="1"/>
    <s v="Pants"/>
    <s v="Park Avenue"/>
    <s v="Boot Cut"/>
    <s v="Cotton Blend"/>
    <n v="40"/>
    <s v="Cream"/>
    <n v="790"/>
  </r>
  <r>
    <x v="420"/>
    <x v="27"/>
    <s v="SHT0131"/>
    <n v="1"/>
    <s v="Shirt"/>
    <s v="British"/>
    <s v="Formal"/>
    <s v="Polyester"/>
    <s v="XXL"/>
    <s v="Black"/>
    <n v="720"/>
  </r>
  <r>
    <x v="420"/>
    <x v="27"/>
    <s v="SHT0140"/>
    <n v="1"/>
    <s v="Shirt"/>
    <s v="USD"/>
    <s v="Casual"/>
    <s v="Polyester"/>
    <s v="L"/>
    <s v="Mustard"/>
    <n v="940"/>
  </r>
  <r>
    <x v="421"/>
    <x v="28"/>
    <s v="SHT0178"/>
    <n v="1"/>
    <s v="Shirt"/>
    <s v="G Studio"/>
    <s v="Partywear"/>
    <s v="Cotton Blend"/>
    <s v="S"/>
    <s v="Olive"/>
    <n v="760"/>
  </r>
  <r>
    <x v="421"/>
    <x v="28"/>
    <s v="JNS0772"/>
    <n v="1"/>
    <s v="Jeans"/>
    <s v="Pepe"/>
    <s v="Baggy"/>
    <s v="Denim"/>
    <n v="42"/>
    <s v="Maroon"/>
    <n v="1090"/>
  </r>
  <r>
    <x v="421"/>
    <x v="28"/>
    <s v="TSH0441"/>
    <n v="1"/>
    <s v="T-Shirt"/>
    <s v="Campus"/>
    <s v="Half Sleeve"/>
    <s v="Cotton Blend"/>
    <s v="XXL"/>
    <s v="Beige"/>
    <n v="260"/>
  </r>
  <r>
    <x v="422"/>
    <x v="28"/>
    <s v="SHT0321"/>
    <n v="1"/>
    <s v="Shirt"/>
    <s v="British"/>
    <s v="Casual"/>
    <s v="Lycra"/>
    <s v="M"/>
    <s v="Royal Blue"/>
    <n v="890"/>
  </r>
  <r>
    <x v="422"/>
    <x v="28"/>
    <s v="PNT1360"/>
    <n v="1"/>
    <s v="Pants"/>
    <s v="Raymond"/>
    <s v="Korean"/>
    <s v="Lycra"/>
    <n v="36"/>
    <s v="Wine"/>
    <n v="790"/>
  </r>
  <r>
    <x v="423"/>
    <x v="28"/>
    <s v="JNS1050"/>
    <n v="1"/>
    <s v="Jeans"/>
    <s v="Pepe"/>
    <s v="Mom Fit"/>
    <s v="Denim"/>
    <n v="38"/>
    <s v="Cream"/>
    <n v="870"/>
  </r>
  <r>
    <x v="423"/>
    <x v="28"/>
    <s v="INW1607"/>
    <n v="1"/>
    <s v="Innerwear"/>
    <s v="Dollar"/>
    <s v="Boxer"/>
    <s v="Cotton"/>
    <s v="75-80"/>
    <s v="Light Grey"/>
    <n v="180"/>
  </r>
  <r>
    <x v="423"/>
    <x v="28"/>
    <s v="JNS0819"/>
    <n v="1"/>
    <s v="Jeans"/>
    <s v="Pepe"/>
    <s v="Baggy"/>
    <s v="Denim"/>
    <n v="30"/>
    <s v="White"/>
    <n v="840"/>
  </r>
  <r>
    <x v="423"/>
    <x v="28"/>
    <s v="INW1523"/>
    <n v="1"/>
    <s v="Innerwear"/>
    <s v="Lux"/>
    <s v="V-Cut"/>
    <s v="Cotton"/>
    <s v="105-110"/>
    <s v="Mustard"/>
    <n v="190"/>
  </r>
  <r>
    <x v="424"/>
    <x v="28"/>
    <s v="JNS0909"/>
    <n v="1"/>
    <s v="Jeans"/>
    <s v="Pepe"/>
    <s v="Mom Fit"/>
    <s v="Denim"/>
    <n v="38"/>
    <s v="Rust"/>
    <n v="1040"/>
  </r>
  <r>
    <x v="424"/>
    <x v="28"/>
    <s v="TSH0434"/>
    <n v="1"/>
    <s v="T-Shirt"/>
    <s v="Roadster"/>
    <s v="3/4 Sleeve"/>
    <s v="Poly Cotton"/>
    <s v="XXL"/>
    <s v="Bottle Green"/>
    <n v="740"/>
  </r>
  <r>
    <x v="425"/>
    <x v="28"/>
    <s v="PNT1097"/>
    <n v="1"/>
    <s v="Pants"/>
    <s v="Van Heusen"/>
    <s v="Polofit"/>
    <s v="Lycra"/>
    <n v="30"/>
    <s v="Charcoal"/>
    <n v="760"/>
  </r>
  <r>
    <x v="425"/>
    <x v="28"/>
    <s v="PNT1300"/>
    <n v="1"/>
    <s v="Pants"/>
    <s v="Peter England"/>
    <s v="Jogger"/>
    <s v="Cotton Blend"/>
    <n v="38"/>
    <s v="Mustard"/>
    <n v="850"/>
  </r>
  <r>
    <x v="425"/>
    <x v="28"/>
    <s v="SHT0225"/>
    <n v="1"/>
    <s v="Shirt"/>
    <s v="L7"/>
    <s v="Casual"/>
    <s v="Polyester"/>
    <s v="L"/>
    <s v="Maroon"/>
    <n v="680"/>
  </r>
  <r>
    <x v="425"/>
    <x v="28"/>
    <s v="TSH0596"/>
    <n v="1"/>
    <s v="T-Shirt"/>
    <s v="Campus"/>
    <s v="3/4 Sleeve"/>
    <s v="Cotton Blend"/>
    <s v="M"/>
    <s v="Sky Blue"/>
    <n v="370"/>
  </r>
  <r>
    <x v="426"/>
    <x v="28"/>
    <s v="TSH0496"/>
    <n v="1"/>
    <s v="T-Shirt"/>
    <s v="Urban Monkey"/>
    <s v="Half Sleeve"/>
    <s v="Cotton"/>
    <s v="M"/>
    <s v="Brown"/>
    <n v="400"/>
  </r>
  <r>
    <x v="426"/>
    <x v="28"/>
    <s v="JNS0859"/>
    <n v="1"/>
    <s v="Jeans"/>
    <s v="Levis"/>
    <s v="Jogger"/>
    <s v="Denim"/>
    <n v="38"/>
    <s v="Peach"/>
    <n v="850"/>
  </r>
  <r>
    <x v="426"/>
    <x v="28"/>
    <s v="PNT1215"/>
    <n v="1"/>
    <s v="Pants"/>
    <s v="Van Heusen"/>
    <s v="Korean"/>
    <s v="Lycra"/>
    <n v="42"/>
    <s v="Cream"/>
    <n v="850"/>
  </r>
  <r>
    <x v="427"/>
    <x v="28"/>
    <s v="INW1635"/>
    <n v="1"/>
    <s v="Innerwear"/>
    <s v="Jockey"/>
    <s v="V-Cut"/>
    <s v="Cotton"/>
    <s v="90-100"/>
    <s v="Dark Green"/>
    <n v="150"/>
  </r>
  <r>
    <x v="427"/>
    <x v="28"/>
    <s v="SHT0062"/>
    <n v="1"/>
    <s v="Shirt"/>
    <s v="H&amp;M"/>
    <s v="Casual"/>
    <s v="Cotton Blend"/>
    <s v="S"/>
    <s v="Sky Blue"/>
    <n v="750"/>
  </r>
  <r>
    <x v="427"/>
    <x v="28"/>
    <s v="JNS0786"/>
    <n v="1"/>
    <s v="Jeans"/>
    <s v="Levis"/>
    <s v="Jogger"/>
    <s v="Denim"/>
    <n v="42"/>
    <s v="Peach"/>
    <n v="870"/>
  </r>
  <r>
    <x v="427"/>
    <x v="28"/>
    <s v="SHT0014"/>
    <n v="1"/>
    <s v="Shirt"/>
    <s v="L7"/>
    <s v="Formal"/>
    <s v="Cotton Blend"/>
    <s v="M"/>
    <s v="Peach"/>
    <n v="720"/>
  </r>
  <r>
    <x v="428"/>
    <x v="28"/>
    <s v="TSH0624"/>
    <n v="1"/>
    <s v="T-Shirt"/>
    <s v="Roadster"/>
    <s v="Half Sleeve"/>
    <s v="Cotton"/>
    <s v="M"/>
    <s v="Wine"/>
    <n v="610"/>
  </r>
  <r>
    <x v="428"/>
    <x v="28"/>
    <s v="JNS0928"/>
    <n v="1"/>
    <s v="Jeans"/>
    <s v="Wrangler"/>
    <s v="Baggy"/>
    <s v="Denim"/>
    <n v="36"/>
    <s v="Light Grey"/>
    <n v="960"/>
  </r>
  <r>
    <x v="428"/>
    <x v="28"/>
    <s v="SHT0024"/>
    <n v="1"/>
    <s v="Shirt"/>
    <s v="Thailand"/>
    <s v="Formal"/>
    <s v="Cotton"/>
    <s v="M"/>
    <s v="Light Grey"/>
    <n v="760"/>
  </r>
  <r>
    <x v="429"/>
    <x v="28"/>
    <s v="SHT0058"/>
    <n v="1"/>
    <s v="Shirt"/>
    <s v="Luke &amp; Burg"/>
    <s v="Formal"/>
    <s v="Lycra"/>
    <s v="L"/>
    <s v="Bottle Green"/>
    <n v="940"/>
  </r>
  <r>
    <x v="430"/>
    <x v="28"/>
    <s v="INW1446"/>
    <n v="1"/>
    <s v="Innerwear"/>
    <s v="V Star"/>
    <s v="Boxer"/>
    <s v="Cotton Blend"/>
    <s v="105-110"/>
    <s v="Grey"/>
    <n v="180"/>
  </r>
  <r>
    <x v="430"/>
    <x v="28"/>
    <s v="PNT1137"/>
    <n v="1"/>
    <s v="Pants"/>
    <s v="Louis Philippe"/>
    <s v="Korean"/>
    <s v="Lycra"/>
    <n v="30"/>
    <s v="Peach"/>
    <n v="900"/>
  </r>
  <r>
    <x v="430"/>
    <x v="28"/>
    <s v="TSH0506"/>
    <n v="1"/>
    <s v="T-Shirt"/>
    <s v="Roadster"/>
    <s v="Hoodie"/>
    <s v="Poly Cotton"/>
    <s v="M"/>
    <s v="Brown"/>
    <n v="230"/>
  </r>
  <r>
    <x v="431"/>
    <x v="28"/>
    <s v="TSH0351"/>
    <n v="1"/>
    <s v="T-Shirt"/>
    <s v="Roadster"/>
    <s v="Full Sleeve"/>
    <s v="Cotton Blend"/>
    <s v="M"/>
    <s v="Beige"/>
    <n v="610"/>
  </r>
  <r>
    <x v="431"/>
    <x v="28"/>
    <s v="PNT1207"/>
    <n v="1"/>
    <s v="Pants"/>
    <s v="Park Avenue"/>
    <s v="Kurka"/>
    <s v="Lycra"/>
    <n v="40"/>
    <s v="Navy Blue"/>
    <n v="830"/>
  </r>
  <r>
    <x v="431"/>
    <x v="28"/>
    <s v="PNT1290"/>
    <n v="1"/>
    <s v="Pants"/>
    <s v="Park Avenue"/>
    <s v="Jogger"/>
    <s v="Poly Viscose"/>
    <n v="30"/>
    <s v="Beige"/>
    <n v="880"/>
  </r>
  <r>
    <x v="432"/>
    <x v="28"/>
    <s v="JNS0961"/>
    <n v="1"/>
    <s v="Jeans"/>
    <s v="Pepe"/>
    <s v="Mom Fit"/>
    <s v="Denim"/>
    <n v="42"/>
    <s v="Wine"/>
    <n v="1020"/>
  </r>
  <r>
    <x v="433"/>
    <x v="28"/>
    <s v="JNS0795"/>
    <n v="1"/>
    <s v="Jeans"/>
    <s v="Spykar"/>
    <s v="Jogger"/>
    <s v="Denim"/>
    <n v="28"/>
    <s v="Charcoal"/>
    <n v="860"/>
  </r>
  <r>
    <x v="433"/>
    <x v="28"/>
    <s v="SHT0341"/>
    <n v="1"/>
    <s v="Shirt"/>
    <s v="G Studio"/>
    <s v="Partywear"/>
    <s v="Cotton"/>
    <s v="S"/>
    <s v="Bottle Green"/>
    <n v="730"/>
  </r>
  <r>
    <x v="433"/>
    <x v="28"/>
    <s v="SHT0162"/>
    <n v="1"/>
    <s v="Shirt"/>
    <s v="H&amp;M"/>
    <s v="Casual"/>
    <s v="Lycra"/>
    <s v="L"/>
    <s v="Peach"/>
    <n v="820"/>
  </r>
  <r>
    <x v="433"/>
    <x v="28"/>
    <s v="SHT0339"/>
    <n v="1"/>
    <s v="Shirt"/>
    <s v="G Studio"/>
    <s v="Formal"/>
    <s v="Cotton"/>
    <s v="L"/>
    <s v="Cream"/>
    <n v="890"/>
  </r>
  <r>
    <x v="434"/>
    <x v="29"/>
    <s v="SHT0082"/>
    <n v="1"/>
    <s v="Shirt"/>
    <s v="USD"/>
    <s v="Partywear"/>
    <s v="Lycra"/>
    <s v="S"/>
    <s v="Bottle Green"/>
    <n v="770"/>
  </r>
  <r>
    <x v="434"/>
    <x v="29"/>
    <s v="PNT1112"/>
    <n v="1"/>
    <s v="Pants"/>
    <s v="Louis Philippe"/>
    <s v="Kurka"/>
    <s v="Lycra"/>
    <n v="40"/>
    <s v="Brown"/>
    <n v="940"/>
  </r>
  <r>
    <x v="434"/>
    <x v="29"/>
    <s v="INW1496"/>
    <n v="1"/>
    <s v="Innerwear"/>
    <s v="Lux"/>
    <s v="V-Cut"/>
    <s v="Cotton Blend"/>
    <s v="100-105"/>
    <s v="Peach"/>
    <n v="120"/>
  </r>
  <r>
    <x v="435"/>
    <x v="29"/>
    <s v="SHT0173"/>
    <n v="1"/>
    <s v="Shirt"/>
    <s v="Luke &amp; Burg"/>
    <s v="Casual"/>
    <s v="Lycra"/>
    <s v="S"/>
    <s v="Cream"/>
    <n v="650"/>
  </r>
  <r>
    <x v="436"/>
    <x v="29"/>
    <s v="PNT1218"/>
    <n v="1"/>
    <s v="Pants"/>
    <s v="Raymond"/>
    <s v="Kurka"/>
    <s v="Lycra"/>
    <n v="42"/>
    <s v="Cream"/>
    <n v="740"/>
  </r>
  <r>
    <x v="436"/>
    <x v="29"/>
    <s v="TSH0715"/>
    <n v="1"/>
    <s v="T-Shirt"/>
    <s v="Turkey"/>
    <s v="Full Sleeve"/>
    <s v="Cotton Blend"/>
    <s v="XXL"/>
    <s v="Maroon"/>
    <n v="550"/>
  </r>
  <r>
    <x v="436"/>
    <x v="29"/>
    <s v="SHT0241"/>
    <n v="1"/>
    <s v="Shirt"/>
    <s v="Zara"/>
    <s v="Casual"/>
    <s v="Lycra"/>
    <s v="M"/>
    <s v="Dark Green"/>
    <n v="660"/>
  </r>
  <r>
    <x v="437"/>
    <x v="29"/>
    <s v="SHT0063"/>
    <n v="1"/>
    <s v="Shirt"/>
    <s v="Thailand"/>
    <s v="Formal"/>
    <s v="Cotton"/>
    <s v="XXL"/>
    <s v="Bottle Green"/>
    <n v="690"/>
  </r>
  <r>
    <x v="437"/>
    <x v="29"/>
    <s v="JNS0982"/>
    <n v="1"/>
    <s v="Jeans"/>
    <s v="Levis"/>
    <s v="Baggy"/>
    <s v="Denim"/>
    <n v="36"/>
    <s v="Beige"/>
    <n v="1010"/>
  </r>
  <r>
    <x v="437"/>
    <x v="29"/>
    <s v="SHT0131"/>
    <n v="1"/>
    <s v="Shirt"/>
    <s v="British"/>
    <s v="Formal"/>
    <s v="Polyester"/>
    <s v="XXL"/>
    <s v="Black"/>
    <n v="720"/>
  </r>
  <r>
    <x v="438"/>
    <x v="29"/>
    <s v="TSH0414"/>
    <n v="1"/>
    <s v="T-Shirt"/>
    <s v="Turkey"/>
    <s v="Sleeveless"/>
    <s v="Poly Cotton"/>
    <s v="M"/>
    <s v="Olive"/>
    <n v="540"/>
  </r>
  <r>
    <x v="438"/>
    <x v="29"/>
    <s v="INW1490"/>
    <n v="1"/>
    <s v="Innerwear"/>
    <s v="Lux"/>
    <s v="Boxer"/>
    <s v="Cotton Blend"/>
    <s v="105-110"/>
    <s v="Maroon"/>
    <n v="180"/>
  </r>
  <r>
    <x v="439"/>
    <x v="29"/>
    <s v="TSH0662"/>
    <n v="1"/>
    <s v="T-Shirt"/>
    <s v="Roadster"/>
    <s v="3/4 Sleeve"/>
    <s v="Cotton"/>
    <s v="L"/>
    <s v="Wine"/>
    <n v="620"/>
  </r>
  <r>
    <x v="439"/>
    <x v="29"/>
    <s v="SHT0311"/>
    <n v="1"/>
    <s v="Shirt"/>
    <s v="H&amp;M"/>
    <s v="Casual"/>
    <s v="Cotton Blend"/>
    <s v="M"/>
    <s v="Sky Blue"/>
    <n v="700"/>
  </r>
  <r>
    <x v="439"/>
    <x v="29"/>
    <s v="INW1511"/>
    <n v="1"/>
    <s v="Innerwear"/>
    <s v="Rupa"/>
    <s v="V-Cut"/>
    <s v="Cotton Blend"/>
    <s v="80-85"/>
    <s v="Brown"/>
    <n v="140"/>
  </r>
  <r>
    <x v="440"/>
    <x v="29"/>
    <s v="INW1561"/>
    <n v="1"/>
    <s v="Innerwear"/>
    <s v="Lux"/>
    <s v="Boxer"/>
    <s v="Cotton"/>
    <s v="105-110"/>
    <s v="Royal Blue"/>
    <n v="140"/>
  </r>
  <r>
    <x v="440"/>
    <x v="29"/>
    <s v="SHT0092"/>
    <n v="1"/>
    <s v="Shirt"/>
    <s v="Zara"/>
    <s v="Partywear"/>
    <s v="Lycra"/>
    <s v="M"/>
    <s v="Maroon"/>
    <n v="700"/>
  </r>
  <r>
    <x v="440"/>
    <x v="29"/>
    <s v="TSH0716"/>
    <n v="1"/>
    <s v="T-Shirt"/>
    <s v="Campus"/>
    <s v="Hoodie"/>
    <s v="Cotton Blend"/>
    <s v="M"/>
    <s v="Mustard"/>
    <n v="660"/>
  </r>
  <r>
    <x v="441"/>
    <x v="29"/>
    <s v="TSH0769"/>
    <n v="1"/>
    <s v="T-Shirt"/>
    <s v="Thailand"/>
    <s v="3/4 Sleeve"/>
    <s v="Poly Cotton"/>
    <s v="XXL"/>
    <s v="Beige"/>
    <n v="400"/>
  </r>
  <r>
    <x v="441"/>
    <x v="29"/>
    <s v="SHT0228"/>
    <n v="1"/>
    <s v="Shirt"/>
    <s v="L7"/>
    <s v="Casual"/>
    <s v="Cotton"/>
    <s v="XXL"/>
    <s v="Dark Green"/>
    <n v="680"/>
  </r>
  <r>
    <x v="441"/>
    <x v="29"/>
    <s v="TSH0470"/>
    <n v="1"/>
    <s v="T-Shirt"/>
    <s v="Roadster"/>
    <s v="Half Sleeve"/>
    <s v="Cotton Blend"/>
    <s v="XL"/>
    <s v="Charcoal"/>
    <n v="490"/>
  </r>
  <r>
    <x v="442"/>
    <x v="29"/>
    <s v="SHT0127"/>
    <n v="1"/>
    <s v="Shirt"/>
    <s v="USD"/>
    <s v="Casual"/>
    <s v="Polyester"/>
    <s v="L"/>
    <s v="Olive"/>
    <n v="900"/>
  </r>
  <r>
    <x v="442"/>
    <x v="29"/>
    <s v="INW1372"/>
    <n v="1"/>
    <s v="Innerwear"/>
    <s v="Rupa"/>
    <s v="Boxer"/>
    <s v="Cotton"/>
    <s v="100-105"/>
    <s v="Rust"/>
    <n v="160"/>
  </r>
  <r>
    <x v="443"/>
    <x v="29"/>
    <s v="INW1500"/>
    <n v="1"/>
    <s v="Innerwear"/>
    <s v="Rupa"/>
    <s v="Boxer"/>
    <s v="Cotton Blend"/>
    <s v="75-80"/>
    <s v="Teal"/>
    <n v="120"/>
  </r>
  <r>
    <x v="444"/>
    <x v="29"/>
    <s v="INW1621"/>
    <n v="1"/>
    <s v="Innerwear"/>
    <s v="Lux"/>
    <s v="V-Cut"/>
    <s v="Cotton Blend"/>
    <s v="85-90"/>
    <s v="Brown"/>
    <n v="130"/>
  </r>
  <r>
    <x v="444"/>
    <x v="29"/>
    <s v="TSH0577"/>
    <n v="1"/>
    <s v="T-Shirt"/>
    <s v="Campus"/>
    <s v="Half Sleeve"/>
    <s v="Cotton Blend"/>
    <s v="S"/>
    <s v="Mustard"/>
    <n v="420"/>
  </r>
  <r>
    <x v="444"/>
    <x v="29"/>
    <s v="TSH0477"/>
    <n v="1"/>
    <s v="T-Shirt"/>
    <s v="Turkey"/>
    <s v="3/4 Sleeve"/>
    <s v="Cotton"/>
    <s v="XXL"/>
    <s v="Sky Blue"/>
    <n v="470"/>
  </r>
  <r>
    <x v="445"/>
    <x v="29"/>
    <s v="SHT0092"/>
    <n v="1"/>
    <s v="Shirt"/>
    <s v="Zara"/>
    <s v="Partywear"/>
    <s v="Lycra"/>
    <s v="M"/>
    <s v="Maroon"/>
    <n v="700"/>
  </r>
  <r>
    <x v="446"/>
    <x v="29"/>
    <s v="TSH0410"/>
    <n v="1"/>
    <s v="T-Shirt"/>
    <s v="Roadster"/>
    <s v="Sleeveless"/>
    <s v="Cotton Blend"/>
    <s v="XL"/>
    <s v="Sky Blue"/>
    <n v="360"/>
  </r>
  <r>
    <x v="446"/>
    <x v="29"/>
    <s v="TSH0764"/>
    <n v="1"/>
    <s v="T-Shirt"/>
    <s v="Campus"/>
    <s v="3/4 Sleeve"/>
    <s v="Cotton"/>
    <s v="XXL"/>
    <s v="Bottle Green"/>
    <n v="280"/>
  </r>
  <r>
    <x v="447"/>
    <x v="29"/>
    <s v="PNT1118"/>
    <n v="1"/>
    <s v="Pants"/>
    <s v="Park Avenue"/>
    <s v="Boot Cut"/>
    <s v="Poly Viscose"/>
    <n v="44"/>
    <s v="Beige"/>
    <n v="870"/>
  </r>
  <r>
    <x v="448"/>
    <x v="29"/>
    <s v="JNS0973"/>
    <n v="1"/>
    <s v="Jeans"/>
    <s v="Denim Pro"/>
    <s v="Baggy"/>
    <s v="Denim"/>
    <n v="28"/>
    <s v="Olive"/>
    <n v="790"/>
  </r>
  <r>
    <x v="448"/>
    <x v="29"/>
    <s v="TSH0606"/>
    <n v="1"/>
    <s v="T-Shirt"/>
    <s v="Roadster"/>
    <s v="Full Sleeve"/>
    <s v="Cotton Blend"/>
    <s v="S"/>
    <s v="Wine"/>
    <n v="660"/>
  </r>
  <r>
    <x v="448"/>
    <x v="29"/>
    <s v="JNS0805"/>
    <n v="1"/>
    <s v="Jeans"/>
    <s v="Spykar"/>
    <s v="Baggy"/>
    <s v="Denim"/>
    <n v="40"/>
    <s v="Charcoal"/>
    <n v="770"/>
  </r>
  <r>
    <x v="449"/>
    <x v="29"/>
    <s v="INW1524"/>
    <n v="1"/>
    <s v="Innerwear"/>
    <s v="Jockey"/>
    <s v="Boxer"/>
    <s v="Cotton Blend"/>
    <s v="85-90"/>
    <s v="Peach"/>
    <n v="100"/>
  </r>
  <r>
    <x v="449"/>
    <x v="29"/>
    <s v="TSH0707"/>
    <n v="1"/>
    <s v="T-Shirt"/>
    <s v="Roadster"/>
    <s v="Half Sleeve"/>
    <s v="Poly Cotton"/>
    <s v="M"/>
    <s v="Cream"/>
    <n v="550"/>
  </r>
  <r>
    <x v="449"/>
    <x v="29"/>
    <s v="INW1514"/>
    <n v="1"/>
    <s v="Innerwear"/>
    <s v="Dollar"/>
    <s v="V-Cut"/>
    <s v="Cotton"/>
    <s v="90-100"/>
    <s v="Peach"/>
    <n v="170"/>
  </r>
  <r>
    <x v="450"/>
    <x v="29"/>
    <s v="INW1512"/>
    <n v="1"/>
    <s v="Innerwear"/>
    <s v="V Star"/>
    <s v="Boxer"/>
    <s v="Cotton"/>
    <s v="85-90"/>
    <s v="Black"/>
    <n v="180"/>
  </r>
  <r>
    <x v="450"/>
    <x v="29"/>
    <s v="TSH0637"/>
    <n v="1"/>
    <s v="T-Shirt"/>
    <s v="Zara"/>
    <s v="Sleeveless"/>
    <s v="Cotton"/>
    <s v="XL"/>
    <s v="Grey"/>
    <n v="340"/>
  </r>
  <r>
    <x v="450"/>
    <x v="29"/>
    <s v="JNS0818"/>
    <n v="1"/>
    <s v="Jeans"/>
    <s v="Denim Pro"/>
    <s v="Mom Fit"/>
    <s v="Denim"/>
    <n v="32"/>
    <s v="Olive"/>
    <n v="960"/>
  </r>
  <r>
    <x v="451"/>
    <x v="29"/>
    <s v="JNS1023"/>
    <n v="1"/>
    <s v="Jeans"/>
    <s v="Wrangler"/>
    <s v="Jogger"/>
    <s v="Denim"/>
    <n v="28"/>
    <s v="Sky Blue"/>
    <n v="860"/>
  </r>
  <r>
    <x v="451"/>
    <x v="29"/>
    <s v="PNT1167"/>
    <n v="1"/>
    <s v="Pants"/>
    <s v="Louis Philippe"/>
    <s v="Jogger"/>
    <s v="Cotton Blend"/>
    <n v="44"/>
    <s v="Mustard"/>
    <n v="830"/>
  </r>
  <r>
    <x v="451"/>
    <x v="29"/>
    <s v="PNT1182"/>
    <n v="1"/>
    <s v="Pants"/>
    <s v="Louis Philippe"/>
    <s v="Kurka"/>
    <s v="Lycra"/>
    <n v="40"/>
    <s v="Bottle Green"/>
    <n v="950"/>
  </r>
  <r>
    <x v="451"/>
    <x v="29"/>
    <s v="SHT0257"/>
    <n v="1"/>
    <s v="Shirt"/>
    <s v="Thailand"/>
    <s v="Casual"/>
    <s v="Polyester"/>
    <s v="XXL"/>
    <s v="Bottle Green"/>
    <n v="750"/>
  </r>
  <r>
    <x v="452"/>
    <x v="30"/>
    <s v="PNT1306"/>
    <n v="1"/>
    <s v="Pants"/>
    <s v="Louis Philippe"/>
    <s v="Korean"/>
    <s v="Lycra"/>
    <n v="42"/>
    <s v="Black"/>
    <n v="740"/>
  </r>
  <r>
    <x v="452"/>
    <x v="30"/>
    <s v="TSH0421"/>
    <n v="1"/>
    <s v="T-Shirt"/>
    <s v="Zara"/>
    <s v="Full Sleeve"/>
    <s v="Cotton Blend"/>
    <s v="S"/>
    <s v="Olive"/>
    <n v="430"/>
  </r>
  <r>
    <x v="452"/>
    <x v="30"/>
    <s v="TSH0641"/>
    <n v="1"/>
    <s v="T-Shirt"/>
    <s v="Urban Monkey"/>
    <s v="Full Sleeve"/>
    <s v="Poly Cotton"/>
    <s v="XXL"/>
    <s v="Olive"/>
    <n v="570"/>
  </r>
  <r>
    <x v="453"/>
    <x v="30"/>
    <s v="TSH0518"/>
    <n v="1"/>
    <s v="T-Shirt"/>
    <s v="Max"/>
    <s v="Half Sleeve"/>
    <s v="Cotton Blend"/>
    <s v="XXL"/>
    <s v="Grey"/>
    <n v="590"/>
  </r>
  <r>
    <x v="453"/>
    <x v="30"/>
    <s v="INW1444"/>
    <n v="1"/>
    <s v="Innerwear"/>
    <s v="Dollar"/>
    <s v="V-Cut"/>
    <s v="Cotton"/>
    <s v="90-100"/>
    <s v="Rust"/>
    <n v="160"/>
  </r>
  <r>
    <x v="454"/>
    <x v="30"/>
    <s v="TSH0699"/>
    <n v="1"/>
    <s v="T-Shirt"/>
    <s v="Turkey"/>
    <s v="Hoodie"/>
    <s v="Poly Cotton"/>
    <s v="M"/>
    <s v="Wine"/>
    <n v="680"/>
  </r>
  <r>
    <x v="454"/>
    <x v="30"/>
    <s v="SHT0031"/>
    <n v="1"/>
    <s v="Shirt"/>
    <s v="USD"/>
    <s v="Partywear"/>
    <s v="Polyester"/>
    <s v="M"/>
    <s v="Peach"/>
    <n v="820"/>
  </r>
  <r>
    <x v="455"/>
    <x v="30"/>
    <s v="PNT1085"/>
    <n v="1"/>
    <s v="Pants"/>
    <s v="Van Heusen"/>
    <s v="Jogger"/>
    <s v="Poly Viscose"/>
    <n v="40"/>
    <s v="Beige"/>
    <n v="910"/>
  </r>
  <r>
    <x v="455"/>
    <x v="30"/>
    <s v="INW1565"/>
    <n v="1"/>
    <s v="Innerwear"/>
    <s v="Dollar"/>
    <s v="V-Cut"/>
    <s v="Cotton Blend"/>
    <s v="80-85"/>
    <s v="Black"/>
    <n v="190"/>
  </r>
  <r>
    <x v="455"/>
    <x v="30"/>
    <s v="PNT1280"/>
    <n v="1"/>
    <s v="Pants"/>
    <s v="Park Avenue"/>
    <s v="Kurka"/>
    <s v="Lycra"/>
    <n v="44"/>
    <s v="Black"/>
    <n v="900"/>
  </r>
  <r>
    <x v="455"/>
    <x v="30"/>
    <s v="SHT0104"/>
    <n v="1"/>
    <s v="Shirt"/>
    <s v="G Studio"/>
    <s v="Formal"/>
    <s v="Lycra"/>
    <s v="XL"/>
    <s v="Peach"/>
    <n v="810"/>
  </r>
  <r>
    <x v="456"/>
    <x v="30"/>
    <s v="JNS0996"/>
    <n v="1"/>
    <s v="Jeans"/>
    <s v="Denim Pro"/>
    <s v="Baggy"/>
    <s v="Denim"/>
    <n v="44"/>
    <s v="Teal"/>
    <n v="910"/>
  </r>
  <r>
    <x v="457"/>
    <x v="30"/>
    <s v="INW1429"/>
    <n v="1"/>
    <s v="Innerwear"/>
    <s v="Lux"/>
    <s v="V-Cut"/>
    <s v="Cotton Blend"/>
    <s v="90-100"/>
    <s v="Light Grey"/>
    <n v="100"/>
  </r>
  <r>
    <x v="457"/>
    <x v="30"/>
    <s v="PNT1321"/>
    <n v="1"/>
    <s v="Pants"/>
    <s v="Raymond"/>
    <s v="Korean"/>
    <s v="Lycra"/>
    <n v="34"/>
    <s v="Navy Blue"/>
    <n v="820"/>
  </r>
  <r>
    <x v="458"/>
    <x v="30"/>
    <s v="SHT0014"/>
    <n v="1"/>
    <s v="Shirt"/>
    <s v="L7"/>
    <s v="Formal"/>
    <s v="Cotton Blend"/>
    <s v="M"/>
    <s v="Peach"/>
    <n v="720"/>
  </r>
  <r>
    <x v="458"/>
    <x v="30"/>
    <s v="PNT1222"/>
    <n v="1"/>
    <s v="Pants"/>
    <s v="Park Avenue"/>
    <s v="Kurka"/>
    <s v="Lycra"/>
    <n v="36"/>
    <s v="Cream"/>
    <n v="860"/>
  </r>
  <r>
    <x v="458"/>
    <x v="30"/>
    <s v="PNT1365"/>
    <n v="1"/>
    <s v="Pants"/>
    <s v="Park Avenue"/>
    <s v="Kurka"/>
    <s v="Lycra"/>
    <n v="34"/>
    <s v="Charcoal"/>
    <n v="870"/>
  </r>
  <r>
    <x v="458"/>
    <x v="30"/>
    <s v="PNT1283"/>
    <n v="1"/>
    <s v="Pants"/>
    <s v="Park Avenue"/>
    <s v="Polofit"/>
    <s v="Lycra"/>
    <n v="28"/>
    <s v="Mustard"/>
    <n v="840"/>
  </r>
  <r>
    <x v="459"/>
    <x v="30"/>
    <s v="JNS0958"/>
    <n v="1"/>
    <s v="Jeans"/>
    <s v="Spykar"/>
    <s v="Mom Fit"/>
    <s v="Denim"/>
    <n v="28"/>
    <s v="Light Grey"/>
    <n v="900"/>
  </r>
  <r>
    <x v="459"/>
    <x v="30"/>
    <s v="TSH0431"/>
    <n v="1"/>
    <s v="T-Shirt"/>
    <s v="Urban Monkey"/>
    <s v="Half Sleeve"/>
    <s v="Poly Cotton"/>
    <s v="XL"/>
    <s v="Dark Green"/>
    <n v="600"/>
  </r>
  <r>
    <x v="459"/>
    <x v="30"/>
    <s v="TSH0713"/>
    <n v="1"/>
    <s v="T-Shirt"/>
    <s v="Turkey"/>
    <s v="3/4 Sleeve"/>
    <s v="Cotton"/>
    <s v="XXL"/>
    <s v="Rust"/>
    <n v="250"/>
  </r>
  <r>
    <x v="459"/>
    <x v="30"/>
    <s v="TSH0386"/>
    <n v="1"/>
    <s v="T-Shirt"/>
    <s v="Zara"/>
    <s v="Half Sleeve"/>
    <s v="Cotton Blend"/>
    <s v="XL"/>
    <s v="Teal"/>
    <n v="280"/>
  </r>
  <r>
    <x v="460"/>
    <x v="30"/>
    <s v="SHT0026"/>
    <n v="1"/>
    <s v="Shirt"/>
    <s v="H&amp;M"/>
    <s v="Partywear"/>
    <s v="Polyester"/>
    <s v="M"/>
    <s v="Dark Green"/>
    <n v="720"/>
  </r>
  <r>
    <x v="461"/>
    <x v="30"/>
    <s v="SHT0303"/>
    <n v="1"/>
    <s v="Shirt"/>
    <s v="G Studio"/>
    <s v="Casual"/>
    <s v="Polyester"/>
    <s v="S"/>
    <s v="Maroon"/>
    <n v="880"/>
  </r>
  <r>
    <x v="461"/>
    <x v="30"/>
    <s v="JNS0848"/>
    <n v="1"/>
    <s v="Jeans"/>
    <s v="Denim Pro"/>
    <s v="Baggy"/>
    <s v="Denim"/>
    <n v="38"/>
    <s v="Teal"/>
    <n v="810"/>
  </r>
  <r>
    <x v="461"/>
    <x v="30"/>
    <s v="TSH0613"/>
    <n v="1"/>
    <s v="T-Shirt"/>
    <s v="Urban Monkey"/>
    <s v="3/4 Sleeve"/>
    <s v="Cotton Blend"/>
    <s v="L"/>
    <s v="Bottle Green"/>
    <n v="240"/>
  </r>
  <r>
    <x v="462"/>
    <x v="30"/>
    <s v="TSH0464"/>
    <n v="1"/>
    <s v="T-Shirt"/>
    <s v="Thailand"/>
    <s v="Full Sleeve"/>
    <s v="Cotton Blend"/>
    <s v="XXL"/>
    <s v="Bottle Green"/>
    <n v="470"/>
  </r>
  <r>
    <x v="462"/>
    <x v="30"/>
    <s v="JNS0796"/>
    <n v="1"/>
    <s v="Jeans"/>
    <s v="Pepe"/>
    <s v="Baggy"/>
    <s v="Denim"/>
    <n v="38"/>
    <s v="Bottle Green"/>
    <n v="820"/>
  </r>
  <r>
    <x v="462"/>
    <x v="30"/>
    <s v="PNT1171"/>
    <n v="1"/>
    <s v="Pants"/>
    <s v="Louis Philippe"/>
    <s v="Boot Cut"/>
    <s v="Cotton Blend"/>
    <n v="32"/>
    <s v="Beige"/>
    <n v="810"/>
  </r>
  <r>
    <x v="462"/>
    <x v="30"/>
    <s v="JNS0939"/>
    <n v="1"/>
    <s v="Jeans"/>
    <s v="Levis"/>
    <s v="Baggy"/>
    <s v="Denim"/>
    <n v="34"/>
    <s v="Royal Blue"/>
    <n v="960"/>
  </r>
  <r>
    <x v="463"/>
    <x v="30"/>
    <s v="PNT1117"/>
    <n v="1"/>
    <s v="Pants"/>
    <s v="Louis Philippe"/>
    <s v="Korean"/>
    <s v="Lycra"/>
    <n v="36"/>
    <s v="Rust"/>
    <n v="850"/>
  </r>
  <r>
    <x v="463"/>
    <x v="30"/>
    <s v="SHT0280"/>
    <n v="1"/>
    <s v="Shirt"/>
    <s v="H&amp;M"/>
    <s v="Casual"/>
    <s v="Cotton Blend"/>
    <s v="XL"/>
    <s v="Charcoal"/>
    <n v="810"/>
  </r>
  <r>
    <x v="464"/>
    <x v="31"/>
    <s v="TSH0690"/>
    <n v="1"/>
    <s v="T-Shirt"/>
    <s v="Max"/>
    <s v="Full Sleeve"/>
    <s v="Cotton"/>
    <s v="L"/>
    <s v="Charcoal"/>
    <n v="440"/>
  </r>
  <r>
    <x v="464"/>
    <x v="31"/>
    <s v="INW1575"/>
    <n v="1"/>
    <s v="Innerwear"/>
    <s v="Jockey"/>
    <s v="Boxer"/>
    <s v="Cotton"/>
    <s v="105-110"/>
    <s v="Charcoal"/>
    <n v="180"/>
  </r>
  <r>
    <x v="464"/>
    <x v="31"/>
    <s v="JNS0777"/>
    <n v="1"/>
    <s v="Jeans"/>
    <s v="Levis"/>
    <s v="Mom Fit"/>
    <s v="Denim"/>
    <n v="30"/>
    <s v="Peach"/>
    <n v="830"/>
  </r>
  <r>
    <x v="465"/>
    <x v="31"/>
    <s v="INW1642"/>
    <n v="1"/>
    <s v="Innerwear"/>
    <s v="Dollar"/>
    <s v="V-Cut"/>
    <s v="Cotton Blend"/>
    <s v="80-85"/>
    <s v="Sky Blue"/>
    <n v="170"/>
  </r>
  <r>
    <x v="466"/>
    <x v="31"/>
    <s v="JNS0826"/>
    <n v="1"/>
    <s v="Jeans"/>
    <s v="Denim Pro"/>
    <s v="Mom Fit"/>
    <s v="Denim"/>
    <n v="30"/>
    <s v="Light Grey"/>
    <n v="970"/>
  </r>
  <r>
    <x v="467"/>
    <x v="31"/>
    <s v="SHT0281"/>
    <n v="1"/>
    <s v="Shirt"/>
    <s v="Max"/>
    <s v="Formal"/>
    <s v="Cotton"/>
    <s v="M"/>
    <s v="Cream"/>
    <n v="740"/>
  </r>
  <r>
    <x v="467"/>
    <x v="31"/>
    <s v="TSH0655"/>
    <n v="1"/>
    <s v="T-Shirt"/>
    <s v="Zara"/>
    <s v="Half Sleeve"/>
    <s v="Poly Cotton"/>
    <s v="L"/>
    <s v="Grey"/>
    <n v="600"/>
  </r>
  <r>
    <x v="467"/>
    <x v="31"/>
    <s v="PNT1177"/>
    <n v="1"/>
    <s v="Pants"/>
    <s v="Louis Philippe"/>
    <s v="Polofit"/>
    <s v="Lycra"/>
    <n v="34"/>
    <s v="Grey"/>
    <n v="860"/>
  </r>
  <r>
    <x v="467"/>
    <x v="31"/>
    <s v="TSH0755"/>
    <n v="1"/>
    <s v="T-Shirt"/>
    <s v="Urban Monkey"/>
    <s v="3/4 Sleeve"/>
    <s v="Cotton Blend"/>
    <s v="M"/>
    <s v="Wine"/>
    <n v="620"/>
  </r>
  <r>
    <x v="468"/>
    <x v="31"/>
    <s v="TSH0508"/>
    <n v="1"/>
    <s v="T-Shirt"/>
    <s v="Max"/>
    <s v="Full Sleeve"/>
    <s v="Poly Cotton"/>
    <s v="XXL"/>
    <s v="Charcoal"/>
    <n v="310"/>
  </r>
  <r>
    <x v="468"/>
    <x v="31"/>
    <s v="JNS0829"/>
    <n v="1"/>
    <s v="Jeans"/>
    <s v="Wrangler"/>
    <s v="Jogger"/>
    <s v="Denim"/>
    <n v="38"/>
    <s v="Bottle Green"/>
    <n v="900"/>
  </r>
  <r>
    <x v="468"/>
    <x v="31"/>
    <s v="INW1592"/>
    <n v="1"/>
    <s v="Innerwear"/>
    <s v="Dollar"/>
    <s v="V-Cut"/>
    <s v="Cotton"/>
    <s v="75-80"/>
    <s v="Teal"/>
    <n v="130"/>
  </r>
  <r>
    <x v="469"/>
    <x v="31"/>
    <s v="TSH0739"/>
    <n v="1"/>
    <s v="T-Shirt"/>
    <s v="Zara"/>
    <s v="3/4 Sleeve"/>
    <s v="Cotton"/>
    <s v="S"/>
    <s v="Olive"/>
    <n v="690"/>
  </r>
  <r>
    <x v="469"/>
    <x v="31"/>
    <s v="TSH0428"/>
    <n v="1"/>
    <s v="T-Shirt"/>
    <s v="Roadster"/>
    <s v="Half Sleeve"/>
    <s v="Cotton"/>
    <s v="L"/>
    <s v="White"/>
    <n v="270"/>
  </r>
  <r>
    <x v="469"/>
    <x v="31"/>
    <s v="TSH0534"/>
    <n v="1"/>
    <s v="T-Shirt"/>
    <s v="Zara"/>
    <s v="3/4 Sleeve"/>
    <s v="Cotton"/>
    <s v="XL"/>
    <s v="Olive"/>
    <n v="280"/>
  </r>
  <r>
    <x v="470"/>
    <x v="31"/>
    <s v="TSH0373"/>
    <n v="1"/>
    <s v="T-Shirt"/>
    <s v="Turkey"/>
    <s v="3/4 Sleeve"/>
    <s v="Poly Cotton"/>
    <s v="S"/>
    <s v="White"/>
    <n v="710"/>
  </r>
  <r>
    <x v="470"/>
    <x v="31"/>
    <s v="INW1492"/>
    <n v="1"/>
    <s v="Innerwear"/>
    <s v="Rupa"/>
    <s v="Boxer"/>
    <s v="Cotton Blend"/>
    <s v="90-100"/>
    <s v="Black"/>
    <n v="170"/>
  </r>
  <r>
    <x v="470"/>
    <x v="31"/>
    <s v="JNS1035"/>
    <n v="1"/>
    <s v="Jeans"/>
    <s v="Levis"/>
    <s v="Baggy"/>
    <s v="Denim"/>
    <n v="40"/>
    <s v="Charcoal"/>
    <n v="1070"/>
  </r>
  <r>
    <x v="471"/>
    <x v="31"/>
    <s v="JNS0809"/>
    <n v="1"/>
    <s v="Jeans"/>
    <s v="Locomotive"/>
    <s v="Jogger"/>
    <s v="Denim"/>
    <n v="42"/>
    <s v="Grey"/>
    <n v="880"/>
  </r>
  <r>
    <x v="471"/>
    <x v="31"/>
    <s v="SHT0013"/>
    <n v="1"/>
    <s v="Shirt"/>
    <s v="British"/>
    <s v="Formal"/>
    <s v="Lycra"/>
    <s v="S"/>
    <s v="Mustard"/>
    <n v="880"/>
  </r>
  <r>
    <x v="471"/>
    <x v="31"/>
    <s v="TSH0443"/>
    <n v="1"/>
    <s v="T-Shirt"/>
    <s v="Campus"/>
    <s v="3/4 Sleeve"/>
    <s v="Cotton"/>
    <s v="XXL"/>
    <s v="Rust"/>
    <n v="660"/>
  </r>
  <r>
    <x v="471"/>
    <x v="31"/>
    <s v="JNS0994"/>
    <n v="1"/>
    <s v="Jeans"/>
    <s v="Denim Pro"/>
    <s v="Baggy"/>
    <s v="Denim"/>
    <n v="28"/>
    <s v="Wine"/>
    <n v="820"/>
  </r>
  <r>
    <x v="472"/>
    <x v="31"/>
    <s v="JNS0981"/>
    <n v="1"/>
    <s v="Jeans"/>
    <s v="Pepe"/>
    <s v="Mom Fit"/>
    <s v="Denim"/>
    <n v="30"/>
    <s v="Wine"/>
    <n v="1070"/>
  </r>
  <r>
    <x v="472"/>
    <x v="31"/>
    <s v="PNT1315"/>
    <n v="1"/>
    <s v="Pants"/>
    <s v="Park Avenue"/>
    <s v="Boot Cut"/>
    <s v="Poly Viscose"/>
    <n v="38"/>
    <s v="Wine"/>
    <n v="740"/>
  </r>
  <r>
    <x v="473"/>
    <x v="31"/>
    <s v="PNT1162"/>
    <n v="1"/>
    <s v="Pants"/>
    <s v="Louis Philippe"/>
    <s v="Korean"/>
    <s v="Lycra"/>
    <n v="38"/>
    <s v="Sky Blue"/>
    <n v="900"/>
  </r>
  <r>
    <x v="473"/>
    <x v="31"/>
    <s v="PNT1253"/>
    <n v="1"/>
    <s v="Pants"/>
    <s v="Van Heusen"/>
    <s v="Boot Cut"/>
    <s v="Cotton"/>
    <n v="36"/>
    <s v="Navy Blue"/>
    <n v="950"/>
  </r>
  <r>
    <x v="473"/>
    <x v="31"/>
    <s v="TSH0507"/>
    <n v="1"/>
    <s v="T-Shirt"/>
    <s v="Roadster"/>
    <s v="Sleeveless"/>
    <s v="Cotton"/>
    <s v="S"/>
    <s v="Beige"/>
    <n v="500"/>
  </r>
  <r>
    <x v="473"/>
    <x v="31"/>
    <s v="INW1554"/>
    <n v="1"/>
    <s v="Innerwear"/>
    <s v="V Star"/>
    <s v="Boxer"/>
    <s v="Cotton"/>
    <s v="90-100"/>
    <s v="Charcoal"/>
    <n v="130"/>
  </r>
  <r>
    <x v="474"/>
    <x v="31"/>
    <s v="SHT0242"/>
    <n v="1"/>
    <s v="Shirt"/>
    <s v="Thailand"/>
    <s v="Formal"/>
    <s v="Cotton Blend"/>
    <s v="S"/>
    <s v="White"/>
    <n v="670"/>
  </r>
  <r>
    <x v="474"/>
    <x v="31"/>
    <s v="TSH0700"/>
    <n v="1"/>
    <s v="T-Shirt"/>
    <s v="Turkey"/>
    <s v="Full Sleeve"/>
    <s v="Poly Cotton"/>
    <s v="XXL"/>
    <s v="Maroon"/>
    <n v="530"/>
  </r>
  <r>
    <x v="474"/>
    <x v="31"/>
    <s v="PNT1315"/>
    <n v="1"/>
    <s v="Pants"/>
    <s v="Park Avenue"/>
    <s v="Boot Cut"/>
    <s v="Poly Viscose"/>
    <n v="38"/>
    <s v="Wine"/>
    <n v="740"/>
  </r>
  <r>
    <x v="474"/>
    <x v="31"/>
    <s v="JNS0833"/>
    <n v="1"/>
    <s v="Jeans"/>
    <s v="Spykar"/>
    <s v="Baggy"/>
    <s v="Denim"/>
    <n v="36"/>
    <s v="Charcoal"/>
    <n v="950"/>
  </r>
  <r>
    <x v="475"/>
    <x v="31"/>
    <s v="SHT0092"/>
    <n v="1"/>
    <s v="Shirt"/>
    <s v="Zara"/>
    <s v="Partywear"/>
    <s v="Lycra"/>
    <s v="M"/>
    <s v="Maroon"/>
    <n v="700"/>
  </r>
  <r>
    <x v="476"/>
    <x v="31"/>
    <s v="PNT1226"/>
    <n v="1"/>
    <s v="Pants"/>
    <s v="Louis Philippe"/>
    <s v="Jogger"/>
    <s v="Cotton Blend"/>
    <n v="44"/>
    <s v="Brown"/>
    <n v="850"/>
  </r>
  <r>
    <x v="477"/>
    <x v="31"/>
    <s v="SHT0289"/>
    <n v="1"/>
    <s v="Shirt"/>
    <s v="Zara"/>
    <s v="Casual"/>
    <s v="Polyester"/>
    <s v="XXL"/>
    <s v="Peach"/>
    <n v="650"/>
  </r>
  <r>
    <x v="478"/>
    <x v="31"/>
    <s v="PNT1139"/>
    <n v="1"/>
    <s v="Pants"/>
    <s v="Van Heusen"/>
    <s v="Korean"/>
    <s v="Lycra"/>
    <n v="34"/>
    <s v="Peach"/>
    <n v="920"/>
  </r>
  <r>
    <x v="478"/>
    <x v="31"/>
    <s v="SHT0286"/>
    <n v="1"/>
    <s v="Shirt"/>
    <s v="Luke &amp; Burg"/>
    <s v="Formal"/>
    <s v="Lycra"/>
    <s v="L"/>
    <s v="Light Grey"/>
    <n v="770"/>
  </r>
  <r>
    <x v="478"/>
    <x v="31"/>
    <s v="INW1552"/>
    <n v="1"/>
    <s v="Innerwear"/>
    <s v="Dollar"/>
    <s v="V-Cut"/>
    <s v="Cotton Blend"/>
    <s v="75-80"/>
    <s v="Dark Green"/>
    <n v="140"/>
  </r>
  <r>
    <x v="478"/>
    <x v="31"/>
    <s v="TSH0716"/>
    <n v="1"/>
    <s v="T-Shirt"/>
    <s v="Campus"/>
    <s v="Hoodie"/>
    <s v="Cotton Blend"/>
    <s v="M"/>
    <s v="Mustard"/>
    <n v="660"/>
  </r>
  <r>
    <x v="479"/>
    <x v="32"/>
    <s v="SHT0019"/>
    <n v="1"/>
    <s v="Shirt"/>
    <s v="Thailand"/>
    <s v="Partywear"/>
    <s v="Cotton"/>
    <s v="S"/>
    <s v="Dark Green"/>
    <n v="820"/>
  </r>
  <r>
    <x v="479"/>
    <x v="32"/>
    <s v="INW1373"/>
    <n v="1"/>
    <s v="Innerwear"/>
    <s v="Lux"/>
    <s v="Boxer"/>
    <s v="Cotton Blend"/>
    <s v="105-110"/>
    <s v="Brown"/>
    <n v="180"/>
  </r>
  <r>
    <x v="479"/>
    <x v="32"/>
    <s v="PNT1136"/>
    <n v="1"/>
    <s v="Pants"/>
    <s v="Raymond"/>
    <s v="Boot Cut"/>
    <s v="Cotton Blend"/>
    <n v="28"/>
    <s v="Mustard"/>
    <n v="800"/>
  </r>
  <r>
    <x v="479"/>
    <x v="32"/>
    <s v="PNT1085"/>
    <n v="1"/>
    <s v="Pants"/>
    <s v="Van Heusen"/>
    <s v="Jogger"/>
    <s v="Poly Viscose"/>
    <n v="40"/>
    <s v="Beige"/>
    <n v="910"/>
  </r>
  <r>
    <x v="480"/>
    <x v="32"/>
    <s v="SHT0196"/>
    <n v="1"/>
    <s v="Shirt"/>
    <s v="Zara"/>
    <s v="Formal"/>
    <s v="Lycra"/>
    <s v="XL"/>
    <s v="Bottle Green"/>
    <n v="680"/>
  </r>
  <r>
    <x v="481"/>
    <x v="32"/>
    <s v="INW1402"/>
    <n v="1"/>
    <s v="Innerwear"/>
    <s v="Lux"/>
    <s v="Boxer"/>
    <s v="Cotton Blend"/>
    <s v="75-80"/>
    <s v="Navy Blue"/>
    <n v="140"/>
  </r>
  <r>
    <x v="481"/>
    <x v="32"/>
    <s v="INW1576"/>
    <n v="1"/>
    <s v="Innerwear"/>
    <s v="V Star"/>
    <s v="Boxer"/>
    <s v="Cotton Blend"/>
    <s v="100-105"/>
    <s v="Dark Green"/>
    <n v="170"/>
  </r>
  <r>
    <x v="481"/>
    <x v="32"/>
    <s v="PNT1268"/>
    <n v="1"/>
    <s v="Pants"/>
    <s v="Peter England"/>
    <s v="Jogger"/>
    <s v="Poly Viscose"/>
    <n v="30"/>
    <s v="Royal Blue"/>
    <n v="710"/>
  </r>
  <r>
    <x v="482"/>
    <x v="32"/>
    <s v="SHT0304"/>
    <n v="1"/>
    <s v="Shirt"/>
    <s v="British"/>
    <s v="Partywear"/>
    <s v="Polyester"/>
    <s v="XXL"/>
    <s v="Rust"/>
    <n v="830"/>
  </r>
  <r>
    <x v="482"/>
    <x v="32"/>
    <s v="INW1643"/>
    <n v="1"/>
    <s v="Innerwear"/>
    <s v="Lux"/>
    <s v="Boxer"/>
    <s v="Cotton Blend"/>
    <s v="100-105"/>
    <s v="Olive"/>
    <n v="190"/>
  </r>
  <r>
    <x v="483"/>
    <x v="32"/>
    <s v="SHT0062"/>
    <n v="1"/>
    <s v="Shirt"/>
    <s v="H&amp;M"/>
    <s v="Casual"/>
    <s v="Cotton Blend"/>
    <s v="S"/>
    <s v="Sky Blue"/>
    <n v="750"/>
  </r>
  <r>
    <x v="484"/>
    <x v="32"/>
    <s v="JNS1062"/>
    <n v="1"/>
    <s v="Jeans"/>
    <s v="Denim Pro"/>
    <s v="Jogger"/>
    <s v="Denim"/>
    <n v="32"/>
    <s v="Charcoal"/>
    <n v="830"/>
  </r>
  <r>
    <x v="484"/>
    <x v="32"/>
    <s v="PNT1141"/>
    <n v="1"/>
    <s v="Pants"/>
    <s v="Park Avenue"/>
    <s v="Polofit"/>
    <s v="Lycra"/>
    <n v="30"/>
    <s v="Light Grey"/>
    <n v="780"/>
  </r>
  <r>
    <x v="485"/>
    <x v="32"/>
    <s v="SHT0262"/>
    <n v="1"/>
    <s v="Shirt"/>
    <s v="Max"/>
    <s v="Casual"/>
    <s v="Cotton Blend"/>
    <s v="XL"/>
    <s v="Navy Blue"/>
    <n v="870"/>
  </r>
  <r>
    <x v="485"/>
    <x v="32"/>
    <s v="INW1392"/>
    <n v="1"/>
    <s v="Innerwear"/>
    <s v="Rupa"/>
    <s v="Boxer"/>
    <s v="Cotton"/>
    <s v="100-105"/>
    <s v="Rust"/>
    <n v="110"/>
  </r>
  <r>
    <x v="485"/>
    <x v="32"/>
    <s v="TSH0576"/>
    <n v="1"/>
    <s v="T-Shirt"/>
    <s v="Zara"/>
    <s v="Half Sleeve"/>
    <s v="Poly Cotton"/>
    <s v="L"/>
    <s v="Dark Green"/>
    <n v="630"/>
  </r>
  <r>
    <x v="486"/>
    <x v="32"/>
    <s v="JNS0877"/>
    <n v="1"/>
    <s v="Jeans"/>
    <s v="Levis"/>
    <s v="Mom Fit"/>
    <s v="Denim"/>
    <n v="38"/>
    <s v="Rust"/>
    <n v="920"/>
  </r>
  <r>
    <x v="487"/>
    <x v="32"/>
    <s v="JNS0826"/>
    <n v="1"/>
    <s v="Jeans"/>
    <s v="Denim Pro"/>
    <s v="Mom Fit"/>
    <s v="Denim"/>
    <n v="30"/>
    <s v="Light Grey"/>
    <n v="970"/>
  </r>
  <r>
    <x v="488"/>
    <x v="32"/>
    <s v="SHT0340"/>
    <n v="1"/>
    <s v="Shirt"/>
    <s v="Luke &amp; Burg"/>
    <s v="Formal"/>
    <s v="Lycra"/>
    <s v="XL"/>
    <s v="Teal"/>
    <n v="820"/>
  </r>
  <r>
    <x v="488"/>
    <x v="32"/>
    <s v="INW1473"/>
    <n v="1"/>
    <s v="Innerwear"/>
    <s v="Rupa"/>
    <s v="Boxer"/>
    <s v="Cotton"/>
    <s v="75-80"/>
    <s v="Sky Blue"/>
    <n v="180"/>
  </r>
  <r>
    <x v="489"/>
    <x v="32"/>
    <s v="TSH0476"/>
    <n v="1"/>
    <s v="T-Shirt"/>
    <s v="Max"/>
    <s v="Hoodie"/>
    <s v="Cotton Blend"/>
    <s v="S"/>
    <s v="Peach"/>
    <n v="560"/>
  </r>
  <r>
    <x v="489"/>
    <x v="32"/>
    <s v="TSH0448"/>
    <n v="1"/>
    <s v="T-Shirt"/>
    <s v="Campus"/>
    <s v="Full Sleeve"/>
    <s v="Poly Cotton"/>
    <s v="L"/>
    <s v="Olive"/>
    <n v="350"/>
  </r>
  <r>
    <x v="489"/>
    <x v="32"/>
    <s v="TSH0765"/>
    <n v="1"/>
    <s v="T-Shirt"/>
    <s v="Turkey"/>
    <s v="Full Sleeve"/>
    <s v="Cotton Blend"/>
    <s v="S"/>
    <s v="Olive"/>
    <n v="350"/>
  </r>
  <r>
    <x v="490"/>
    <x v="32"/>
    <s v="PNT1284"/>
    <n v="1"/>
    <s v="Pants"/>
    <s v="Louis Philippe"/>
    <s v="Polofit"/>
    <s v="Lycra"/>
    <n v="38"/>
    <s v="Rust"/>
    <n v="760"/>
  </r>
  <r>
    <x v="490"/>
    <x v="32"/>
    <s v="INW1548"/>
    <n v="1"/>
    <s v="Innerwear"/>
    <s v="Lux"/>
    <s v="V-Cut"/>
    <s v="Cotton Blend"/>
    <s v="75-80"/>
    <s v="Maroon"/>
    <n v="140"/>
  </r>
  <r>
    <x v="490"/>
    <x v="32"/>
    <s v="SHT0019"/>
    <n v="1"/>
    <s v="Shirt"/>
    <s v="Thailand"/>
    <s v="Partywear"/>
    <s v="Cotton"/>
    <s v="S"/>
    <s v="Dark Green"/>
    <n v="820"/>
  </r>
  <r>
    <x v="491"/>
    <x v="32"/>
    <s v="TSH0500"/>
    <n v="1"/>
    <s v="T-Shirt"/>
    <s v="Zara"/>
    <s v="Full Sleeve"/>
    <s v="Cotton"/>
    <s v="S"/>
    <s v="White"/>
    <n v="540"/>
  </r>
  <r>
    <x v="491"/>
    <x v="32"/>
    <s v="JNS0975"/>
    <n v="1"/>
    <s v="Jeans"/>
    <s v="Denim Pro"/>
    <s v="Baggy"/>
    <s v="Denim"/>
    <n v="36"/>
    <s v="Maroon"/>
    <n v="1010"/>
  </r>
  <r>
    <x v="492"/>
    <x v="32"/>
    <s v="JNS0987"/>
    <n v="1"/>
    <s v="Jeans"/>
    <s v="Denim Pro"/>
    <s v="Baggy"/>
    <s v="Denim"/>
    <n v="32"/>
    <s v="Navy Blue"/>
    <n v="1020"/>
  </r>
  <r>
    <x v="493"/>
    <x v="32"/>
    <s v="PNT1331"/>
    <n v="1"/>
    <s v="Pants"/>
    <s v="Louis Philippe"/>
    <s v="Jogger"/>
    <s v="Cotton Blend"/>
    <n v="38"/>
    <s v="Brown"/>
    <n v="910"/>
  </r>
  <r>
    <x v="493"/>
    <x v="32"/>
    <s v="JNS0870"/>
    <n v="1"/>
    <s v="Jeans"/>
    <s v="Levis"/>
    <s v="Jogger"/>
    <s v="Denim"/>
    <n v="32"/>
    <s v="Grey"/>
    <n v="880"/>
  </r>
  <r>
    <x v="493"/>
    <x v="32"/>
    <s v="JNS0799"/>
    <n v="1"/>
    <s v="Jeans"/>
    <s v="Spykar"/>
    <s v="Baggy"/>
    <s v="Denim"/>
    <n v="28"/>
    <s v="Sky Blue"/>
    <n v="830"/>
  </r>
  <r>
    <x v="494"/>
    <x v="32"/>
    <s v="TSH0405"/>
    <n v="1"/>
    <s v="T-Shirt"/>
    <s v="Campus"/>
    <s v="Sleeveless"/>
    <s v="Cotton Blend"/>
    <s v="XL"/>
    <s v="Sky Blue"/>
    <n v="610"/>
  </r>
  <r>
    <x v="494"/>
    <x v="32"/>
    <s v="TSH0634"/>
    <n v="1"/>
    <s v="T-Shirt"/>
    <s v="Campus"/>
    <s v="Full Sleeve"/>
    <s v="Cotton"/>
    <s v="L"/>
    <s v="Teal"/>
    <n v="750"/>
  </r>
  <r>
    <x v="494"/>
    <x v="32"/>
    <s v="INW1621"/>
    <n v="1"/>
    <s v="Innerwear"/>
    <s v="Lux"/>
    <s v="V-Cut"/>
    <s v="Cotton Blend"/>
    <s v="85-90"/>
    <s v="Brown"/>
    <n v="130"/>
  </r>
  <r>
    <x v="494"/>
    <x v="32"/>
    <s v="SHT0191"/>
    <n v="1"/>
    <s v="Shirt"/>
    <s v="Thailand"/>
    <s v="Casual"/>
    <s v="Cotton"/>
    <s v="XXL"/>
    <s v="Wine"/>
    <n v="840"/>
  </r>
  <r>
    <x v="495"/>
    <x v="32"/>
    <s v="TSH0680"/>
    <n v="1"/>
    <s v="T-Shirt"/>
    <s v="Campus"/>
    <s v="Sleeveless"/>
    <s v="Poly Cotton"/>
    <s v="L"/>
    <s v="Maroon"/>
    <n v="310"/>
  </r>
  <r>
    <x v="495"/>
    <x v="32"/>
    <s v="SHT0063"/>
    <n v="1"/>
    <s v="Shirt"/>
    <s v="Thailand"/>
    <s v="Formal"/>
    <s v="Cotton"/>
    <s v="XXL"/>
    <s v="Bottle Green"/>
    <n v="690"/>
  </r>
  <r>
    <x v="495"/>
    <x v="32"/>
    <s v="PNT1263"/>
    <n v="1"/>
    <s v="Pants"/>
    <s v="Peter England"/>
    <s v="Boot Cut"/>
    <s v="Cotton"/>
    <n v="42"/>
    <s v="Navy Blue"/>
    <n v="850"/>
  </r>
  <r>
    <x v="496"/>
    <x v="33"/>
    <s v="INW1458"/>
    <n v="1"/>
    <s v="Innerwear"/>
    <s v="Jockey"/>
    <s v="V-Cut"/>
    <s v="Cotton Blend"/>
    <s v="75-80"/>
    <s v="Light Grey"/>
    <n v="150"/>
  </r>
  <r>
    <x v="496"/>
    <x v="33"/>
    <s v="TSH0755"/>
    <n v="1"/>
    <s v="T-Shirt"/>
    <s v="Urban Monkey"/>
    <s v="3/4 Sleeve"/>
    <s v="Cotton Blend"/>
    <s v="M"/>
    <s v="Wine"/>
    <n v="620"/>
  </r>
  <r>
    <x v="497"/>
    <x v="33"/>
    <s v="INW1657"/>
    <n v="1"/>
    <s v="Innerwear"/>
    <s v="Jockey"/>
    <s v="V-Cut"/>
    <s v="Cotton"/>
    <s v="85-90"/>
    <s v="Dark Green"/>
    <n v="150"/>
  </r>
  <r>
    <x v="497"/>
    <x v="33"/>
    <s v="TSH0503"/>
    <n v="1"/>
    <s v="T-Shirt"/>
    <s v="Zara"/>
    <s v="Half Sleeve"/>
    <s v="Cotton Blend"/>
    <s v="S"/>
    <s v="Olive"/>
    <n v="450"/>
  </r>
  <r>
    <x v="498"/>
    <x v="33"/>
    <s v="JNS0789"/>
    <n v="1"/>
    <s v="Jeans"/>
    <s v="Denim Pro"/>
    <s v="Jogger"/>
    <s v="Denim"/>
    <n v="40"/>
    <s v="Charcoal"/>
    <n v="1030"/>
  </r>
  <r>
    <x v="498"/>
    <x v="33"/>
    <s v="INW1514"/>
    <n v="1"/>
    <s v="Innerwear"/>
    <s v="Dollar"/>
    <s v="V-Cut"/>
    <s v="Cotton"/>
    <s v="90-100"/>
    <s v="Peach"/>
    <n v="170"/>
  </r>
  <r>
    <x v="499"/>
    <x v="33"/>
    <s v="SHT0030"/>
    <n v="1"/>
    <s v="Shirt"/>
    <s v="British"/>
    <s v="Formal"/>
    <s v="Lycra"/>
    <s v="L"/>
    <s v="Peach"/>
    <n v="640"/>
  </r>
  <r>
    <x v="499"/>
    <x v="33"/>
    <s v="SHT0088"/>
    <n v="1"/>
    <s v="Shirt"/>
    <s v="Luke &amp; Burg"/>
    <s v="Formal"/>
    <s v="Polyester"/>
    <s v="M"/>
    <s v="White"/>
    <n v="660"/>
  </r>
  <r>
    <x v="499"/>
    <x v="33"/>
    <s v="INW1521"/>
    <n v="1"/>
    <s v="Innerwear"/>
    <s v="Jockey"/>
    <s v="Boxer"/>
    <s v="Cotton"/>
    <s v="85-90"/>
    <s v="Rust"/>
    <n v="170"/>
  </r>
  <r>
    <x v="499"/>
    <x v="33"/>
    <s v="INW1486"/>
    <n v="1"/>
    <s v="Innerwear"/>
    <s v="V Star"/>
    <s v="Boxer"/>
    <s v="Cotton"/>
    <s v="105-110"/>
    <s v="Sky Blue"/>
    <n v="150"/>
  </r>
  <r>
    <x v="500"/>
    <x v="33"/>
    <s v="INW1427"/>
    <n v="1"/>
    <s v="Innerwear"/>
    <s v="Lux"/>
    <s v="Boxer"/>
    <s v="Cotton"/>
    <s v="105-110"/>
    <s v="Maroon"/>
    <n v="180"/>
  </r>
  <r>
    <x v="500"/>
    <x v="33"/>
    <s v="INW1637"/>
    <n v="1"/>
    <s v="Innerwear"/>
    <s v="Lux"/>
    <s v="Boxer"/>
    <s v="Cotton"/>
    <s v="100-105"/>
    <s v="Brown"/>
    <n v="170"/>
  </r>
  <r>
    <x v="500"/>
    <x v="33"/>
    <s v="SHT0203"/>
    <n v="1"/>
    <s v="Shirt"/>
    <s v="Thailand"/>
    <s v="Casual"/>
    <s v="Cotton Blend"/>
    <s v="S"/>
    <s v="Black"/>
    <n v="900"/>
  </r>
  <r>
    <x v="500"/>
    <x v="33"/>
    <s v="INW1643"/>
    <n v="1"/>
    <s v="Innerwear"/>
    <s v="Lux"/>
    <s v="Boxer"/>
    <s v="Cotton Blend"/>
    <s v="100-105"/>
    <s v="Olive"/>
    <n v="190"/>
  </r>
  <r>
    <x v="501"/>
    <x v="33"/>
    <s v="PNT1253"/>
    <n v="1"/>
    <s v="Pants"/>
    <s v="Van Heusen"/>
    <s v="Boot Cut"/>
    <s v="Cotton"/>
    <n v="36"/>
    <s v="Navy Blue"/>
    <n v="950"/>
  </r>
  <r>
    <x v="502"/>
    <x v="33"/>
    <s v="TSH0745"/>
    <n v="1"/>
    <s v="T-Shirt"/>
    <s v="Urban Monkey"/>
    <s v="Hoodie"/>
    <s v="Cotton Blend"/>
    <s v="XL"/>
    <s v="Rust"/>
    <n v="600"/>
  </r>
  <r>
    <x v="502"/>
    <x v="33"/>
    <s v="PNT1116"/>
    <n v="1"/>
    <s v="Pants"/>
    <s v="Peter England"/>
    <s v="Korean"/>
    <s v="Lycra"/>
    <n v="40"/>
    <s v="Sky Blue"/>
    <n v="830"/>
  </r>
  <r>
    <x v="502"/>
    <x v="33"/>
    <s v="TSH0680"/>
    <n v="1"/>
    <s v="T-Shirt"/>
    <s v="Campus"/>
    <s v="Sleeveless"/>
    <s v="Poly Cotton"/>
    <s v="L"/>
    <s v="Maroon"/>
    <n v="310"/>
  </r>
  <r>
    <x v="503"/>
    <x v="33"/>
    <s v="JNS0899"/>
    <n v="1"/>
    <s v="Jeans"/>
    <s v="Levis"/>
    <s v="Jogger"/>
    <s v="Denim"/>
    <n v="36"/>
    <s v="Peach"/>
    <n v="1040"/>
  </r>
  <r>
    <x v="504"/>
    <x v="33"/>
    <s v="JNS0959"/>
    <n v="1"/>
    <s v="Jeans"/>
    <s v="Denim Pro"/>
    <s v="Mom Fit"/>
    <s v="Denim"/>
    <n v="40"/>
    <s v="Dark Green"/>
    <n v="1070"/>
  </r>
  <r>
    <x v="504"/>
    <x v="33"/>
    <s v="SHT0276"/>
    <n v="1"/>
    <s v="Shirt"/>
    <s v="L7"/>
    <s v="Casual"/>
    <s v="Lycra"/>
    <s v="XXL"/>
    <s v="Beige"/>
    <n v="930"/>
  </r>
  <r>
    <x v="504"/>
    <x v="33"/>
    <s v="PNT1181"/>
    <n v="1"/>
    <s v="Pants"/>
    <s v="Louis Philippe"/>
    <s v="Polofit"/>
    <s v="Lycra"/>
    <n v="42"/>
    <s v="Maroon"/>
    <n v="910"/>
  </r>
  <r>
    <x v="504"/>
    <x v="33"/>
    <s v="INW1496"/>
    <n v="1"/>
    <s v="Innerwear"/>
    <s v="Lux"/>
    <s v="V-Cut"/>
    <s v="Cotton Blend"/>
    <s v="100-105"/>
    <s v="Peach"/>
    <n v="120"/>
  </r>
  <r>
    <x v="505"/>
    <x v="33"/>
    <s v="JNS0893"/>
    <n v="1"/>
    <s v="Jeans"/>
    <s v="Pepe"/>
    <s v="Jogger"/>
    <s v="Denim"/>
    <n v="34"/>
    <s v="Dark Green"/>
    <n v="930"/>
  </r>
  <r>
    <x v="505"/>
    <x v="33"/>
    <s v="INW1492"/>
    <n v="1"/>
    <s v="Innerwear"/>
    <s v="Rupa"/>
    <s v="Boxer"/>
    <s v="Cotton Blend"/>
    <s v="90-100"/>
    <s v="Black"/>
    <n v="170"/>
  </r>
  <r>
    <x v="506"/>
    <x v="34"/>
    <s v="PNT1229"/>
    <n v="1"/>
    <s v="Pants"/>
    <s v="Louis Philippe"/>
    <s v="Boot Cut"/>
    <s v="Cotton"/>
    <n v="42"/>
    <s v="Royal Blue"/>
    <n v="800"/>
  </r>
  <r>
    <x v="506"/>
    <x v="34"/>
    <s v="SHT0279"/>
    <n v="1"/>
    <s v="Shirt"/>
    <s v="Thailand"/>
    <s v="Partywear"/>
    <s v="Lycra"/>
    <s v="XXL"/>
    <s v="Bottle Green"/>
    <n v="860"/>
  </r>
  <r>
    <x v="506"/>
    <x v="34"/>
    <s v="INW1546"/>
    <n v="1"/>
    <s v="Innerwear"/>
    <s v="V Star"/>
    <s v="V-Cut"/>
    <s v="Cotton Blend"/>
    <s v="100-105"/>
    <s v="Wine"/>
    <n v="140"/>
  </r>
  <r>
    <x v="506"/>
    <x v="34"/>
    <s v="JNS0951"/>
    <n v="1"/>
    <s v="Jeans"/>
    <s v="Wrangler"/>
    <s v="Mom Fit"/>
    <s v="Denim"/>
    <n v="40"/>
    <s v="Light Grey"/>
    <n v="1080"/>
  </r>
  <r>
    <x v="507"/>
    <x v="34"/>
    <s v="INW1426"/>
    <n v="1"/>
    <s v="Innerwear"/>
    <s v="Lux"/>
    <s v="Boxer"/>
    <s v="Cotton Blend"/>
    <s v="105-110"/>
    <s v="Charcoal"/>
    <n v="160"/>
  </r>
  <r>
    <x v="508"/>
    <x v="34"/>
    <s v="TSH0578"/>
    <n v="1"/>
    <s v="T-Shirt"/>
    <s v="Thailand"/>
    <s v="3/4 Sleeve"/>
    <s v="Cotton Blend"/>
    <s v="L"/>
    <s v="Grey"/>
    <n v="670"/>
  </r>
  <r>
    <x v="508"/>
    <x v="34"/>
    <s v="TSH0532"/>
    <n v="1"/>
    <s v="T-Shirt"/>
    <s v="Urban Monkey"/>
    <s v="Sleeveless"/>
    <s v="Poly Cotton"/>
    <s v="M"/>
    <s v="Olive"/>
    <n v="280"/>
  </r>
  <r>
    <x v="508"/>
    <x v="34"/>
    <s v="JNS0784"/>
    <n v="1"/>
    <s v="Jeans"/>
    <s v="Pepe"/>
    <s v="Baggy"/>
    <s v="Denim"/>
    <n v="38"/>
    <s v="Bottle Green"/>
    <n v="1060"/>
  </r>
  <r>
    <x v="509"/>
    <x v="34"/>
    <s v="TSH0512"/>
    <n v="1"/>
    <s v="T-Shirt"/>
    <s v="Thailand"/>
    <s v="Hoodie"/>
    <s v="Cotton"/>
    <s v="M"/>
    <s v="Sky Blue"/>
    <n v="590"/>
  </r>
  <r>
    <x v="509"/>
    <x v="34"/>
    <s v="TSH0371"/>
    <n v="1"/>
    <s v="T-Shirt"/>
    <s v="Turkey"/>
    <s v="Hoodie"/>
    <s v="Poly Cotton"/>
    <s v="L"/>
    <s v="Teal"/>
    <n v="380"/>
  </r>
  <r>
    <x v="509"/>
    <x v="34"/>
    <s v="INW1417"/>
    <n v="1"/>
    <s v="Innerwear"/>
    <s v="Dollar"/>
    <s v="Boxer"/>
    <s v="Cotton"/>
    <s v="85-90"/>
    <s v="Rust"/>
    <n v="130"/>
  </r>
  <r>
    <x v="510"/>
    <x v="34"/>
    <s v="INW1625"/>
    <n v="1"/>
    <s v="Innerwear"/>
    <s v="Jockey"/>
    <s v="V-Cut"/>
    <s v="Cotton Blend"/>
    <s v="85-90"/>
    <s v="Sky Blue"/>
    <n v="120"/>
  </r>
  <r>
    <x v="510"/>
    <x v="34"/>
    <s v="PNT1096"/>
    <n v="1"/>
    <s v="Pants"/>
    <s v="Van Heusen"/>
    <s v="Korean"/>
    <s v="Lycra"/>
    <n v="42"/>
    <s v="Royal Blue"/>
    <n v="820"/>
  </r>
  <r>
    <x v="510"/>
    <x v="34"/>
    <s v="JNS1040"/>
    <n v="1"/>
    <s v="Jeans"/>
    <s v="Spykar"/>
    <s v="Jogger"/>
    <s v="Denim"/>
    <n v="28"/>
    <s v="Peach"/>
    <n v="880"/>
  </r>
  <r>
    <x v="511"/>
    <x v="34"/>
    <s v="SHT0328"/>
    <n v="1"/>
    <s v="Shirt"/>
    <s v="British"/>
    <s v="Casual"/>
    <s v="Polyester"/>
    <s v="XXL"/>
    <s v="Grey"/>
    <n v="900"/>
  </r>
  <r>
    <x v="511"/>
    <x v="34"/>
    <s v="TSH0366"/>
    <n v="1"/>
    <s v="T-Shirt"/>
    <s v="Max"/>
    <s v="Full Sleeve"/>
    <s v="Poly Cotton"/>
    <s v="M"/>
    <s v="Navy Blue"/>
    <n v="210"/>
  </r>
  <r>
    <x v="511"/>
    <x v="34"/>
    <s v="TSH0634"/>
    <n v="1"/>
    <s v="T-Shirt"/>
    <s v="Campus"/>
    <s v="Full Sleeve"/>
    <s v="Cotton"/>
    <s v="L"/>
    <s v="Teal"/>
    <n v="750"/>
  </r>
  <r>
    <x v="511"/>
    <x v="34"/>
    <s v="TSH0480"/>
    <n v="1"/>
    <s v="T-Shirt"/>
    <s v="Thailand"/>
    <s v="Full Sleeve"/>
    <s v="Cotton Blend"/>
    <s v="L"/>
    <s v="Beige"/>
    <n v="370"/>
  </r>
  <r>
    <x v="512"/>
    <x v="34"/>
    <s v="PNT1122"/>
    <n v="1"/>
    <s v="Pants"/>
    <s v="Park Avenue"/>
    <s v="Polofit"/>
    <s v="Lycra"/>
    <n v="44"/>
    <s v="Peach"/>
    <n v="920"/>
  </r>
  <r>
    <x v="512"/>
    <x v="34"/>
    <s v="PNT1191"/>
    <n v="1"/>
    <s v="Pants"/>
    <s v="Louis Philippe"/>
    <s v="Polofit"/>
    <s v="Lycra"/>
    <n v="32"/>
    <s v="White"/>
    <n v="900"/>
  </r>
  <r>
    <x v="512"/>
    <x v="34"/>
    <s v="INW1379"/>
    <n v="1"/>
    <s v="Innerwear"/>
    <s v="Dollar"/>
    <s v="Boxer"/>
    <s v="Cotton Blend"/>
    <s v="80-85"/>
    <s v="Royal Blue"/>
    <n v="130"/>
  </r>
  <r>
    <x v="512"/>
    <x v="34"/>
    <s v="PNT1140"/>
    <n v="1"/>
    <s v="Pants"/>
    <s v="Peter England"/>
    <s v="Korean"/>
    <s v="Lycra"/>
    <n v="28"/>
    <s v="Brown"/>
    <n v="890"/>
  </r>
  <r>
    <x v="513"/>
    <x v="34"/>
    <s v="TSH0743"/>
    <n v="1"/>
    <s v="T-Shirt"/>
    <s v="Roadster"/>
    <s v="Half Sleeve"/>
    <s v="Cotton Blend"/>
    <s v="M"/>
    <s v="Bottle Green"/>
    <n v="500"/>
  </r>
  <r>
    <x v="514"/>
    <x v="34"/>
    <s v="SHT0053"/>
    <n v="1"/>
    <s v="Shirt"/>
    <s v="USD"/>
    <s v="Partywear"/>
    <s v="Cotton Blend"/>
    <s v="M"/>
    <s v="Cream"/>
    <n v="750"/>
  </r>
  <r>
    <x v="514"/>
    <x v="34"/>
    <s v="JNS1044"/>
    <n v="1"/>
    <s v="Jeans"/>
    <s v="Levis"/>
    <s v="Baggy"/>
    <s v="Denim"/>
    <n v="30"/>
    <s v="Royal Blue"/>
    <n v="880"/>
  </r>
  <r>
    <x v="515"/>
    <x v="34"/>
    <s v="TSH0723"/>
    <n v="1"/>
    <s v="T-Shirt"/>
    <s v="Urban Monkey"/>
    <s v="Hoodie"/>
    <s v="Cotton"/>
    <s v="XL"/>
    <s v="Maroon"/>
    <n v="630"/>
  </r>
  <r>
    <x v="516"/>
    <x v="34"/>
    <s v="INW1583"/>
    <n v="1"/>
    <s v="Innerwear"/>
    <s v="Rupa"/>
    <s v="Boxer"/>
    <s v="Cotton"/>
    <s v="75-80"/>
    <s v="Charcoal"/>
    <n v="100"/>
  </r>
  <r>
    <x v="517"/>
    <x v="34"/>
    <s v="JNS0804"/>
    <n v="1"/>
    <s v="Jeans"/>
    <s v="Denim Pro"/>
    <s v="Mom Fit"/>
    <s v="Denim"/>
    <n v="34"/>
    <s v="Bottle Green"/>
    <n v="1080"/>
  </r>
  <r>
    <x v="517"/>
    <x v="34"/>
    <s v="TSH0643"/>
    <n v="1"/>
    <s v="T-Shirt"/>
    <s v="Roadster"/>
    <s v="Full Sleeve"/>
    <s v="Cotton Blend"/>
    <s v="XL"/>
    <s v="Mustard"/>
    <n v="510"/>
  </r>
  <r>
    <x v="518"/>
    <x v="34"/>
    <s v="JNS0995"/>
    <n v="1"/>
    <s v="Jeans"/>
    <s v="Levis"/>
    <s v="Baggy"/>
    <s v="Denim"/>
    <n v="44"/>
    <s v="Charcoal"/>
    <n v="940"/>
  </r>
  <r>
    <x v="519"/>
    <x v="34"/>
    <s v="JNS0996"/>
    <n v="1"/>
    <s v="Jeans"/>
    <s v="Denim Pro"/>
    <s v="Baggy"/>
    <s v="Denim"/>
    <n v="44"/>
    <s v="Teal"/>
    <n v="910"/>
  </r>
  <r>
    <x v="519"/>
    <x v="34"/>
    <s v="SHT0170"/>
    <n v="1"/>
    <s v="Shirt"/>
    <s v="H&amp;M"/>
    <s v="Casual"/>
    <s v="Lycra"/>
    <s v="XL"/>
    <s v="Sky Blue"/>
    <n v="870"/>
  </r>
  <r>
    <x v="519"/>
    <x v="34"/>
    <s v="TSH0562"/>
    <n v="1"/>
    <s v="T-Shirt"/>
    <s v="Thailand"/>
    <s v="Sleeveless"/>
    <s v="Poly Cotton"/>
    <s v="S"/>
    <s v="Grey"/>
    <n v="440"/>
  </r>
  <r>
    <x v="519"/>
    <x v="34"/>
    <s v="TSH0710"/>
    <n v="1"/>
    <s v="T-Shirt"/>
    <s v="Campus"/>
    <s v="Half Sleeve"/>
    <s v="Cotton Blend"/>
    <s v="XL"/>
    <s v="Peach"/>
    <n v="450"/>
  </r>
  <r>
    <x v="520"/>
    <x v="35"/>
    <s v="SHT0335"/>
    <n v="1"/>
    <s v="Shirt"/>
    <s v="British"/>
    <s v="Partywear"/>
    <s v="Cotton"/>
    <s v="XXL"/>
    <s v="White"/>
    <n v="780"/>
  </r>
  <r>
    <x v="521"/>
    <x v="35"/>
    <s v="TSH0480"/>
    <n v="1"/>
    <s v="T-Shirt"/>
    <s v="Thailand"/>
    <s v="Full Sleeve"/>
    <s v="Cotton Blend"/>
    <s v="L"/>
    <s v="Beige"/>
    <n v="370"/>
  </r>
  <r>
    <x v="521"/>
    <x v="35"/>
    <s v="TSH0458"/>
    <n v="1"/>
    <s v="T-Shirt"/>
    <s v="Zara"/>
    <s v="Full Sleeve"/>
    <s v="Cotton"/>
    <s v="XXL"/>
    <s v="Rust"/>
    <n v="270"/>
  </r>
  <r>
    <x v="521"/>
    <x v="35"/>
    <s v="TSH0479"/>
    <n v="1"/>
    <s v="T-Shirt"/>
    <s v="Thailand"/>
    <s v="Sleeveless"/>
    <s v="Cotton"/>
    <s v="M"/>
    <s v="White"/>
    <n v="550"/>
  </r>
  <r>
    <x v="521"/>
    <x v="35"/>
    <s v="TSH0619"/>
    <n v="1"/>
    <s v="T-Shirt"/>
    <s v="Campus"/>
    <s v="Sleeveless"/>
    <s v="Cotton"/>
    <s v="XXL"/>
    <s v="Rust"/>
    <n v="620"/>
  </r>
  <r>
    <x v="522"/>
    <x v="35"/>
    <s v="JNS0870"/>
    <n v="1"/>
    <s v="Jeans"/>
    <s v="Levis"/>
    <s v="Jogger"/>
    <s v="Denim"/>
    <n v="32"/>
    <s v="Grey"/>
    <n v="880"/>
  </r>
  <r>
    <x v="522"/>
    <x v="35"/>
    <s v="PNT1296"/>
    <n v="1"/>
    <s v="Pants"/>
    <s v="Park Avenue"/>
    <s v="Korean"/>
    <s v="Lycra"/>
    <n v="32"/>
    <s v="Black"/>
    <n v="860"/>
  </r>
  <r>
    <x v="523"/>
    <x v="35"/>
    <s v="JNS0898"/>
    <n v="1"/>
    <s v="Jeans"/>
    <s v="Pepe"/>
    <s v="Baggy"/>
    <s v="Denim"/>
    <n v="38"/>
    <s v="Rust"/>
    <n v="780"/>
  </r>
  <r>
    <x v="524"/>
    <x v="35"/>
    <s v="INW1389"/>
    <n v="1"/>
    <s v="Innerwear"/>
    <s v="Jockey"/>
    <s v="V-Cut"/>
    <s v="Cotton"/>
    <s v="85-90"/>
    <s v="Sky Blue"/>
    <n v="130"/>
  </r>
  <r>
    <x v="525"/>
    <x v="35"/>
    <s v="SHT0336"/>
    <n v="1"/>
    <s v="Shirt"/>
    <s v="Zara"/>
    <s v="Casual"/>
    <s v="Polyester"/>
    <s v="M"/>
    <s v="Maroon"/>
    <n v="800"/>
  </r>
  <r>
    <x v="526"/>
    <x v="35"/>
    <s v="INW1440"/>
    <n v="1"/>
    <s v="Innerwear"/>
    <s v="Lux"/>
    <s v="Boxer"/>
    <s v="Cotton"/>
    <s v="105-110"/>
    <s v="Light Grey"/>
    <n v="100"/>
  </r>
  <r>
    <x v="526"/>
    <x v="35"/>
    <s v="JNS1066"/>
    <n v="1"/>
    <s v="Jeans"/>
    <s v="Pepe"/>
    <s v="Baggy"/>
    <s v="Denim"/>
    <n v="32"/>
    <s v="Cream"/>
    <n v="1100"/>
  </r>
  <r>
    <x v="526"/>
    <x v="35"/>
    <s v="PNT1336"/>
    <n v="1"/>
    <s v="Pants"/>
    <s v="Van Heusen"/>
    <s v="Jogger"/>
    <s v="Cotton Blend"/>
    <n v="38"/>
    <s v="Royal Blue"/>
    <n v="910"/>
  </r>
  <r>
    <x v="526"/>
    <x v="35"/>
    <s v="TSH0448"/>
    <n v="1"/>
    <s v="T-Shirt"/>
    <s v="Campus"/>
    <s v="Full Sleeve"/>
    <s v="Poly Cotton"/>
    <s v="L"/>
    <s v="Olive"/>
    <n v="350"/>
  </r>
  <r>
    <x v="527"/>
    <x v="35"/>
    <s v="JNS0862"/>
    <n v="1"/>
    <s v="Jeans"/>
    <s v="Wrangler"/>
    <s v="Jogger"/>
    <s v="Denim"/>
    <n v="38"/>
    <s v="Brown"/>
    <n v="780"/>
  </r>
  <r>
    <x v="527"/>
    <x v="35"/>
    <s v="INW1497"/>
    <n v="1"/>
    <s v="Innerwear"/>
    <s v="Dollar"/>
    <s v="Boxer"/>
    <s v="Cotton Blend"/>
    <s v="100-105"/>
    <s v="Sky Blue"/>
    <n v="190"/>
  </r>
  <r>
    <x v="527"/>
    <x v="35"/>
    <s v="PNT1230"/>
    <n v="1"/>
    <s v="Pants"/>
    <s v="Louis Philippe"/>
    <s v="Polofit"/>
    <s v="Lycra"/>
    <n v="36"/>
    <s v="Grey"/>
    <n v="860"/>
  </r>
  <r>
    <x v="527"/>
    <x v="35"/>
    <s v="INW1453"/>
    <n v="1"/>
    <s v="Innerwear"/>
    <s v="Dollar"/>
    <s v="Boxer"/>
    <s v="Cotton Blend"/>
    <s v="80-85"/>
    <s v="Beige"/>
    <n v="120"/>
  </r>
  <r>
    <x v="528"/>
    <x v="35"/>
    <s v="JNS1015"/>
    <n v="1"/>
    <s v="Jeans"/>
    <s v="Pepe"/>
    <s v="Jogger"/>
    <s v="Denim"/>
    <n v="40"/>
    <s v="Peach"/>
    <n v="830"/>
  </r>
  <r>
    <x v="528"/>
    <x v="35"/>
    <s v="TSH0580"/>
    <n v="1"/>
    <s v="T-Shirt"/>
    <s v="Turkey"/>
    <s v="Half Sleeve"/>
    <s v="Poly Cotton"/>
    <s v="XL"/>
    <s v="Brown"/>
    <n v="700"/>
  </r>
  <r>
    <x v="528"/>
    <x v="35"/>
    <s v="PNT1170"/>
    <n v="1"/>
    <s v="Pants"/>
    <s v="Peter England"/>
    <s v="Kurka"/>
    <s v="Lycra"/>
    <n v="32"/>
    <s v="Royal Blue"/>
    <n v="740"/>
  </r>
  <r>
    <x v="529"/>
    <x v="35"/>
    <s v="JNS1046"/>
    <n v="1"/>
    <s v="Jeans"/>
    <s v="Levis"/>
    <s v="Jogger"/>
    <s v="Denim"/>
    <n v="38"/>
    <s v="Teal"/>
    <n v="900"/>
  </r>
  <r>
    <x v="529"/>
    <x v="35"/>
    <s v="INW1639"/>
    <n v="1"/>
    <s v="Innerwear"/>
    <s v="Lux"/>
    <s v="V-Cut"/>
    <s v="Cotton Blend"/>
    <s v="100-105"/>
    <s v="Royal Blue"/>
    <n v="100"/>
  </r>
  <r>
    <x v="529"/>
    <x v="35"/>
    <s v="INW1390"/>
    <n v="1"/>
    <s v="Innerwear"/>
    <s v="Jockey"/>
    <s v="Boxer"/>
    <s v="Cotton Blend"/>
    <s v="75-80"/>
    <s v="Navy Blue"/>
    <n v="160"/>
  </r>
  <r>
    <x v="530"/>
    <x v="35"/>
    <s v="INW1485"/>
    <n v="1"/>
    <s v="Innerwear"/>
    <s v="Lux"/>
    <s v="Boxer"/>
    <s v="Cotton Blend"/>
    <s v="80-85"/>
    <s v="Light Grey"/>
    <n v="150"/>
  </r>
  <r>
    <x v="531"/>
    <x v="35"/>
    <s v="TSH0570"/>
    <n v="1"/>
    <s v="T-Shirt"/>
    <s v="Urban Monkey"/>
    <s v="3/4 Sleeve"/>
    <s v="Poly Cotton"/>
    <s v="S"/>
    <s v="Brown"/>
    <n v="330"/>
  </r>
  <r>
    <x v="531"/>
    <x v="35"/>
    <s v="TSH0610"/>
    <n v="1"/>
    <s v="T-Shirt"/>
    <s v="Zara"/>
    <s v="Half Sleeve"/>
    <s v="Poly Cotton"/>
    <s v="S"/>
    <s v="Sky Blue"/>
    <n v="380"/>
  </r>
  <r>
    <x v="532"/>
    <x v="35"/>
    <s v="JNS1047"/>
    <n v="1"/>
    <s v="Jeans"/>
    <s v="Locomotive"/>
    <s v="Jogger"/>
    <s v="Denim"/>
    <n v="44"/>
    <s v="Grey"/>
    <n v="1000"/>
  </r>
  <r>
    <x v="533"/>
    <x v="35"/>
    <s v="PNT1308"/>
    <n v="1"/>
    <s v="Pants"/>
    <s v="Peter England"/>
    <s v="Boot Cut"/>
    <s v="Poly Viscose"/>
    <n v="28"/>
    <s v="Beige"/>
    <n v="780"/>
  </r>
  <r>
    <x v="533"/>
    <x v="35"/>
    <s v="TSH0660"/>
    <n v="1"/>
    <s v="T-Shirt"/>
    <s v="Thailand"/>
    <s v="Sleeveless"/>
    <s v="Poly Cotton"/>
    <s v="M"/>
    <s v="White"/>
    <n v="210"/>
  </r>
  <r>
    <x v="533"/>
    <x v="35"/>
    <s v="PNT1146"/>
    <n v="1"/>
    <s v="Pants"/>
    <s v="Park Avenue"/>
    <s v="Jogger"/>
    <s v="Poly Viscose"/>
    <n v="28"/>
    <s v="Wine"/>
    <n v="800"/>
  </r>
  <r>
    <x v="533"/>
    <x v="35"/>
    <s v="JNS0956"/>
    <n v="1"/>
    <s v="Jeans"/>
    <s v="Pepe"/>
    <s v="Mom Fit"/>
    <s v="Denim"/>
    <n v="42"/>
    <s v="Royal Blue"/>
    <n v="820"/>
  </r>
  <r>
    <x v="534"/>
    <x v="35"/>
    <s v="TSH0362"/>
    <n v="1"/>
    <s v="T-Shirt"/>
    <s v="Thailand"/>
    <s v="Full Sleeve"/>
    <s v="Cotton Blend"/>
    <s v="XXL"/>
    <s v="Charcoal"/>
    <n v="350"/>
  </r>
  <r>
    <x v="534"/>
    <x v="35"/>
    <s v="JNS1031"/>
    <n v="1"/>
    <s v="Jeans"/>
    <s v="Pepe"/>
    <s v="Jogger"/>
    <s v="Denim"/>
    <n v="36"/>
    <s v="Maroon"/>
    <n v="810"/>
  </r>
  <r>
    <x v="534"/>
    <x v="35"/>
    <s v="PNT1336"/>
    <n v="1"/>
    <s v="Pants"/>
    <s v="Van Heusen"/>
    <s v="Jogger"/>
    <s v="Cotton Blend"/>
    <n v="38"/>
    <s v="Royal Blue"/>
    <n v="910"/>
  </r>
  <r>
    <x v="535"/>
    <x v="35"/>
    <s v="JNS0992"/>
    <n v="1"/>
    <s v="Jeans"/>
    <s v="Pepe"/>
    <s v="Mom Fit"/>
    <s v="Denim"/>
    <n v="42"/>
    <s v="Black"/>
    <n v="780"/>
  </r>
  <r>
    <x v="535"/>
    <x v="35"/>
    <s v="SHT0292"/>
    <n v="1"/>
    <s v="Shirt"/>
    <s v="H&amp;M"/>
    <s v="Casual"/>
    <s v="Cotton"/>
    <s v="XL"/>
    <s v="Wine"/>
    <n v="760"/>
  </r>
  <r>
    <x v="535"/>
    <x v="35"/>
    <s v="PNT1369"/>
    <n v="1"/>
    <s v="Pants"/>
    <s v="Raymond"/>
    <s v="Boot Cut"/>
    <s v="Cotton Blend"/>
    <n v="38"/>
    <s v="Mustard"/>
    <n v="810"/>
  </r>
  <r>
    <x v="536"/>
    <x v="35"/>
    <s v="PNT1233"/>
    <n v="1"/>
    <s v="Pants"/>
    <s v="Peter England"/>
    <s v="Jogger"/>
    <s v="Cotton"/>
    <n v="36"/>
    <s v="Navy Blue"/>
    <n v="870"/>
  </r>
  <r>
    <x v="537"/>
    <x v="35"/>
    <s v="SHT0263"/>
    <n v="1"/>
    <s v="Shirt"/>
    <s v="British"/>
    <s v="Casual"/>
    <s v="Cotton Blend"/>
    <s v="L"/>
    <s v="Charcoal"/>
    <n v="820"/>
  </r>
  <r>
    <x v="537"/>
    <x v="35"/>
    <s v="JNS1030"/>
    <n v="1"/>
    <s v="Jeans"/>
    <s v="Denim Pro"/>
    <s v="Mom Fit"/>
    <s v="Denim"/>
    <n v="36"/>
    <s v="Grey"/>
    <n v="930"/>
  </r>
  <r>
    <x v="537"/>
    <x v="35"/>
    <s v="SHT0159"/>
    <n v="1"/>
    <s v="Shirt"/>
    <s v="G Studio"/>
    <s v="Partywear"/>
    <s v="Cotton Blend"/>
    <s v="M"/>
    <s v="Sky Blue"/>
    <n v="710"/>
  </r>
  <r>
    <x v="537"/>
    <x v="35"/>
    <s v="TSH0760"/>
    <n v="1"/>
    <s v="T-Shirt"/>
    <s v="Urban Monkey"/>
    <s v="3/4 Sleeve"/>
    <s v="Cotton"/>
    <s v="XXL"/>
    <s v="Beige"/>
    <n v="650"/>
  </r>
  <r>
    <x v="538"/>
    <x v="36"/>
    <s v="SHT0233"/>
    <n v="1"/>
    <s v="Shirt"/>
    <s v="Thailand"/>
    <s v="Casual"/>
    <s v="Polyester"/>
    <s v="M"/>
    <s v="Grey"/>
    <n v="900"/>
  </r>
  <r>
    <x v="539"/>
    <x v="36"/>
    <s v="SHT0265"/>
    <n v="1"/>
    <s v="Shirt"/>
    <s v="Thailand"/>
    <s v="Partywear"/>
    <s v="Polyester"/>
    <s v="M"/>
    <s v="Royal Blue"/>
    <n v="910"/>
  </r>
  <r>
    <x v="540"/>
    <x v="36"/>
    <s v="JNS0828"/>
    <n v="1"/>
    <s v="Jeans"/>
    <s v="Levis"/>
    <s v="Jogger"/>
    <s v="Denim"/>
    <n v="32"/>
    <s v="Dark Green"/>
    <n v="960"/>
  </r>
  <r>
    <x v="540"/>
    <x v="36"/>
    <s v="SHT0174"/>
    <n v="1"/>
    <s v="Shirt"/>
    <s v="G Studio"/>
    <s v="Partywear"/>
    <s v="Cotton"/>
    <s v="S"/>
    <s v="Mustard"/>
    <n v="870"/>
  </r>
  <r>
    <x v="540"/>
    <x v="36"/>
    <s v="PNT1250"/>
    <n v="1"/>
    <s v="Pants"/>
    <s v="Raymond"/>
    <s v="Jogger"/>
    <s v="Poly Viscose"/>
    <n v="40"/>
    <s v="Rust"/>
    <n v="900"/>
  </r>
  <r>
    <x v="541"/>
    <x v="36"/>
    <s v="SHT0092"/>
    <n v="1"/>
    <s v="Shirt"/>
    <s v="Zara"/>
    <s v="Partywear"/>
    <s v="Lycra"/>
    <s v="M"/>
    <s v="Maroon"/>
    <n v="700"/>
  </r>
  <r>
    <x v="541"/>
    <x v="36"/>
    <s v="SHT0214"/>
    <n v="1"/>
    <s v="Shirt"/>
    <s v="Max"/>
    <s v="Partywear"/>
    <s v="Cotton Blend"/>
    <s v="L"/>
    <s v="Maroon"/>
    <n v="800"/>
  </r>
  <r>
    <x v="541"/>
    <x v="36"/>
    <s v="JNS0901"/>
    <n v="1"/>
    <s v="Jeans"/>
    <s v="Spykar"/>
    <s v="Jogger"/>
    <s v="Denim"/>
    <n v="30"/>
    <s v="Light Grey"/>
    <n v="1020"/>
  </r>
  <r>
    <x v="541"/>
    <x v="36"/>
    <s v="PNT1216"/>
    <n v="1"/>
    <s v="Pants"/>
    <s v="Peter England"/>
    <s v="Kurka"/>
    <s v="Lycra"/>
    <n v="30"/>
    <s v="Royal Blue"/>
    <n v="820"/>
  </r>
  <r>
    <x v="542"/>
    <x v="36"/>
    <s v="TSH0599"/>
    <n v="1"/>
    <s v="T-Shirt"/>
    <s v="Turkey"/>
    <s v="3/4 Sleeve"/>
    <s v="Cotton Blend"/>
    <s v="L"/>
    <s v="Grey"/>
    <n v="700"/>
  </r>
  <r>
    <x v="543"/>
    <x v="36"/>
    <s v="SHT0339"/>
    <n v="1"/>
    <s v="Shirt"/>
    <s v="G Studio"/>
    <s v="Formal"/>
    <s v="Cotton"/>
    <s v="L"/>
    <s v="Cream"/>
    <n v="890"/>
  </r>
  <r>
    <x v="543"/>
    <x v="36"/>
    <s v="PNT1256"/>
    <n v="1"/>
    <s v="Pants"/>
    <s v="Peter England"/>
    <s v="Polofit"/>
    <s v="Lycra"/>
    <n v="44"/>
    <s v="Light Grey"/>
    <n v="930"/>
  </r>
  <r>
    <x v="544"/>
    <x v="36"/>
    <s v="INW1406"/>
    <n v="1"/>
    <s v="Innerwear"/>
    <s v="V Star"/>
    <s v="V-Cut"/>
    <s v="Cotton"/>
    <s v="80-85"/>
    <s v="Black"/>
    <n v="160"/>
  </r>
  <r>
    <x v="544"/>
    <x v="36"/>
    <s v="PNT1370"/>
    <n v="1"/>
    <s v="Pants"/>
    <s v="Louis Philippe"/>
    <s v="Boot Cut"/>
    <s v="Cotton Blend"/>
    <n v="44"/>
    <s v="Brown"/>
    <n v="850"/>
  </r>
  <r>
    <x v="544"/>
    <x v="36"/>
    <s v="TSH0763"/>
    <n v="1"/>
    <s v="T-Shirt"/>
    <s v="Max"/>
    <s v="Full Sleeve"/>
    <s v="Poly Cotton"/>
    <s v="M"/>
    <s v="Light Grey"/>
    <n v="410"/>
  </r>
  <r>
    <x v="545"/>
    <x v="36"/>
    <s v="TSH0564"/>
    <n v="1"/>
    <s v="T-Shirt"/>
    <s v="Roadster"/>
    <s v="Full Sleeve"/>
    <s v="Cotton"/>
    <s v="L"/>
    <s v="Wine"/>
    <n v="250"/>
  </r>
  <r>
    <x v="545"/>
    <x v="36"/>
    <s v="TSH0540"/>
    <n v="1"/>
    <s v="T-Shirt"/>
    <s v="Zara"/>
    <s v="3/4 Sleeve"/>
    <s v="Poly Cotton"/>
    <s v="XXL"/>
    <s v="Peach"/>
    <n v="520"/>
  </r>
  <r>
    <x v="545"/>
    <x v="36"/>
    <s v="JNS0921"/>
    <n v="1"/>
    <s v="Jeans"/>
    <s v="Wrangler"/>
    <s v="Mom Fit"/>
    <s v="Denim"/>
    <n v="44"/>
    <s v="Maroon"/>
    <n v="1050"/>
  </r>
  <r>
    <x v="546"/>
    <x v="36"/>
    <s v="JNS0858"/>
    <n v="1"/>
    <s v="Jeans"/>
    <s v="Denim Pro"/>
    <s v="Baggy"/>
    <s v="Denim"/>
    <n v="28"/>
    <s v="Brown"/>
    <n v="1010"/>
  </r>
  <r>
    <x v="546"/>
    <x v="36"/>
    <s v="TSH0420"/>
    <n v="1"/>
    <s v="T-Shirt"/>
    <s v="Turkey"/>
    <s v="3/4 Sleeve"/>
    <s v="Poly Cotton"/>
    <s v="XXL"/>
    <s v="Navy Blue"/>
    <n v="650"/>
  </r>
  <r>
    <x v="546"/>
    <x v="36"/>
    <s v="JNS0939"/>
    <n v="1"/>
    <s v="Jeans"/>
    <s v="Levis"/>
    <s v="Baggy"/>
    <s v="Denim"/>
    <n v="34"/>
    <s v="Royal Blue"/>
    <n v="960"/>
  </r>
  <r>
    <x v="547"/>
    <x v="36"/>
    <s v="PNT1181"/>
    <n v="1"/>
    <s v="Pants"/>
    <s v="Louis Philippe"/>
    <s v="Polofit"/>
    <s v="Lycra"/>
    <n v="42"/>
    <s v="Maroon"/>
    <n v="910"/>
  </r>
  <r>
    <x v="547"/>
    <x v="36"/>
    <s v="INW1657"/>
    <n v="1"/>
    <s v="Innerwear"/>
    <s v="Jockey"/>
    <s v="V-Cut"/>
    <s v="Cotton"/>
    <s v="85-90"/>
    <s v="Dark Green"/>
    <n v="150"/>
  </r>
  <r>
    <x v="547"/>
    <x v="36"/>
    <s v="JNS0801"/>
    <n v="1"/>
    <s v="Jeans"/>
    <s v="Denim Pro"/>
    <s v="Mom Fit"/>
    <s v="Denim"/>
    <n v="40"/>
    <s v="Brown"/>
    <n v="960"/>
  </r>
  <r>
    <x v="548"/>
    <x v="36"/>
    <s v="TSH0431"/>
    <n v="1"/>
    <s v="T-Shirt"/>
    <s v="Urban Monkey"/>
    <s v="Half Sleeve"/>
    <s v="Poly Cotton"/>
    <s v="XL"/>
    <s v="Dark Green"/>
    <n v="600"/>
  </r>
  <r>
    <x v="548"/>
    <x v="36"/>
    <s v="SHT0269"/>
    <n v="1"/>
    <s v="Shirt"/>
    <s v="G Studio"/>
    <s v="Formal"/>
    <s v="Lycra"/>
    <s v="XL"/>
    <s v="Black"/>
    <n v="670"/>
  </r>
  <r>
    <x v="549"/>
    <x v="36"/>
    <s v="PNT1141"/>
    <n v="1"/>
    <s v="Pants"/>
    <s v="Park Avenue"/>
    <s v="Polofit"/>
    <s v="Lycra"/>
    <n v="30"/>
    <s v="Light Grey"/>
    <n v="780"/>
  </r>
  <r>
    <x v="549"/>
    <x v="36"/>
    <s v="JNS1004"/>
    <n v="1"/>
    <s v="Jeans"/>
    <s v="Spykar"/>
    <s v="Jogger"/>
    <s v="Denim"/>
    <n v="44"/>
    <s v="Maroon"/>
    <n v="810"/>
  </r>
  <r>
    <x v="549"/>
    <x v="36"/>
    <s v="JNS1057"/>
    <n v="1"/>
    <s v="Jeans"/>
    <s v="Pepe"/>
    <s v="Mom Fit"/>
    <s v="Denim"/>
    <n v="40"/>
    <s v="Light Grey"/>
    <n v="790"/>
  </r>
  <r>
    <x v="549"/>
    <x v="36"/>
    <s v="JNS0921"/>
    <n v="1"/>
    <s v="Jeans"/>
    <s v="Wrangler"/>
    <s v="Mom Fit"/>
    <s v="Denim"/>
    <n v="44"/>
    <s v="Maroon"/>
    <n v="1050"/>
  </r>
  <r>
    <x v="550"/>
    <x v="37"/>
    <s v="SHT0183"/>
    <n v="1"/>
    <s v="Shirt"/>
    <s v="L7"/>
    <s v="Casual"/>
    <s v="Lycra"/>
    <s v="S"/>
    <s v="Maroon"/>
    <n v="950"/>
  </r>
  <r>
    <x v="551"/>
    <x v="37"/>
    <s v="TSH0694"/>
    <n v="1"/>
    <s v="T-Shirt"/>
    <s v="Campus"/>
    <s v="Half Sleeve"/>
    <s v="Poly Cotton"/>
    <s v="S"/>
    <s v="Black"/>
    <n v="400"/>
  </r>
  <r>
    <x v="552"/>
    <x v="37"/>
    <s v="JNS1010"/>
    <n v="1"/>
    <s v="Jeans"/>
    <s v="Locomotive"/>
    <s v="Jogger"/>
    <s v="Denim"/>
    <n v="38"/>
    <s v="Grey"/>
    <n v="1010"/>
  </r>
  <r>
    <x v="552"/>
    <x v="37"/>
    <s v="JNS0781"/>
    <n v="1"/>
    <s v="Jeans"/>
    <s v="Denim Pro"/>
    <s v="Baggy"/>
    <s v="Denim"/>
    <n v="42"/>
    <s v="Cream"/>
    <n v="780"/>
  </r>
  <r>
    <x v="552"/>
    <x v="37"/>
    <s v="PNT1288"/>
    <n v="1"/>
    <s v="Pants"/>
    <s v="Raymond"/>
    <s v="Korean"/>
    <s v="Lycra"/>
    <n v="40"/>
    <s v="Mustard"/>
    <n v="840"/>
  </r>
  <r>
    <x v="552"/>
    <x v="37"/>
    <s v="TSH0633"/>
    <n v="1"/>
    <s v="T-Shirt"/>
    <s v="Campus"/>
    <s v="3/4 Sleeve"/>
    <s v="Poly Cotton"/>
    <s v="XL"/>
    <s v="Sky Blue"/>
    <n v="720"/>
  </r>
  <r>
    <x v="553"/>
    <x v="37"/>
    <s v="INW1409"/>
    <n v="1"/>
    <s v="Innerwear"/>
    <s v="Lux"/>
    <s v="V-Cut"/>
    <s v="Cotton Blend"/>
    <s v="105-110"/>
    <s v="Mustard"/>
    <n v="130"/>
  </r>
  <r>
    <x v="553"/>
    <x v="37"/>
    <s v="JNS1025"/>
    <n v="1"/>
    <s v="Jeans"/>
    <s v="Spykar"/>
    <s v="Jogger"/>
    <s v="Denim"/>
    <n v="38"/>
    <s v="Bottle Green"/>
    <n v="800"/>
  </r>
  <r>
    <x v="553"/>
    <x v="37"/>
    <s v="JNS0784"/>
    <n v="1"/>
    <s v="Jeans"/>
    <s v="Pepe"/>
    <s v="Baggy"/>
    <s v="Denim"/>
    <n v="38"/>
    <s v="Bottle Green"/>
    <n v="1060"/>
  </r>
  <r>
    <x v="554"/>
    <x v="37"/>
    <s v="TSH0739"/>
    <n v="1"/>
    <s v="T-Shirt"/>
    <s v="Zara"/>
    <s v="3/4 Sleeve"/>
    <s v="Cotton"/>
    <s v="S"/>
    <s v="Olive"/>
    <n v="690"/>
  </r>
  <r>
    <x v="554"/>
    <x v="37"/>
    <s v="PNT1157"/>
    <n v="1"/>
    <s v="Pants"/>
    <s v="Louis Philippe"/>
    <s v="Kurka"/>
    <s v="Lycra"/>
    <n v="34"/>
    <s v="Maroon"/>
    <n v="910"/>
  </r>
  <r>
    <x v="555"/>
    <x v="37"/>
    <s v="INW1395"/>
    <n v="1"/>
    <s v="Innerwear"/>
    <s v="Dollar"/>
    <s v="Boxer"/>
    <s v="Cotton"/>
    <s v="100-105"/>
    <s v="Black"/>
    <n v="170"/>
  </r>
  <r>
    <x v="555"/>
    <x v="37"/>
    <s v="PNT1275"/>
    <n v="1"/>
    <s v="Pants"/>
    <s v="Park Avenue"/>
    <s v="Boot Cut"/>
    <s v="Poly Viscose"/>
    <n v="42"/>
    <s v="Maroon"/>
    <n v="750"/>
  </r>
  <r>
    <x v="555"/>
    <x v="37"/>
    <s v="INW1377"/>
    <n v="1"/>
    <s v="Innerwear"/>
    <s v="Dollar"/>
    <s v="Boxer"/>
    <s v="Cotton Blend"/>
    <s v="80-85"/>
    <s v="Sky Blue"/>
    <n v="130"/>
  </r>
  <r>
    <x v="556"/>
    <x v="37"/>
    <s v="TSH0672"/>
    <n v="1"/>
    <s v="T-Shirt"/>
    <s v="Urban Monkey"/>
    <s v="Sleeveless"/>
    <s v="Poly Cotton"/>
    <s v="S"/>
    <s v="Maroon"/>
    <n v="600"/>
  </r>
  <r>
    <x v="556"/>
    <x v="37"/>
    <s v="INW1601"/>
    <n v="1"/>
    <s v="Innerwear"/>
    <s v="Rupa"/>
    <s v="V-Cut"/>
    <s v="Cotton Blend"/>
    <s v="90-100"/>
    <s v="Maroon"/>
    <n v="140"/>
  </r>
  <r>
    <x v="557"/>
    <x v="37"/>
    <s v="TSH0478"/>
    <n v="1"/>
    <s v="T-Shirt"/>
    <s v="Roadster"/>
    <s v="Half Sleeve"/>
    <s v="Cotton"/>
    <s v="S"/>
    <s v="Charcoal"/>
    <n v="740"/>
  </r>
  <r>
    <x v="558"/>
    <x v="37"/>
    <s v="TSH0500"/>
    <n v="1"/>
    <s v="T-Shirt"/>
    <s v="Zara"/>
    <s v="Full Sleeve"/>
    <s v="Cotton"/>
    <s v="S"/>
    <s v="White"/>
    <n v="540"/>
  </r>
  <r>
    <x v="558"/>
    <x v="37"/>
    <s v="TSH0462"/>
    <n v="1"/>
    <s v="T-Shirt"/>
    <s v="Max"/>
    <s v="3/4 Sleeve"/>
    <s v="Poly Cotton"/>
    <s v="S"/>
    <s v="Charcoal"/>
    <n v="740"/>
  </r>
  <r>
    <x v="559"/>
    <x v="37"/>
    <s v="SHT0263"/>
    <n v="1"/>
    <s v="Shirt"/>
    <s v="British"/>
    <s v="Casual"/>
    <s v="Cotton Blend"/>
    <s v="L"/>
    <s v="Charcoal"/>
    <n v="820"/>
  </r>
  <r>
    <x v="560"/>
    <x v="37"/>
    <s v="JNS0804"/>
    <n v="1"/>
    <s v="Jeans"/>
    <s v="Denim Pro"/>
    <s v="Mom Fit"/>
    <s v="Denim"/>
    <n v="34"/>
    <s v="Bottle Green"/>
    <n v="1080"/>
  </r>
  <r>
    <x v="560"/>
    <x v="37"/>
    <s v="PNT1179"/>
    <n v="1"/>
    <s v="Pants"/>
    <s v="Peter England"/>
    <s v="Boot Cut"/>
    <s v="Cotton"/>
    <n v="40"/>
    <s v="Maroon"/>
    <n v="800"/>
  </r>
  <r>
    <x v="560"/>
    <x v="37"/>
    <s v="TSH0713"/>
    <n v="1"/>
    <s v="T-Shirt"/>
    <s v="Turkey"/>
    <s v="3/4 Sleeve"/>
    <s v="Cotton"/>
    <s v="XXL"/>
    <s v="Rust"/>
    <n v="250"/>
  </r>
  <r>
    <x v="561"/>
    <x v="37"/>
    <s v="PNT1288"/>
    <n v="1"/>
    <s v="Pants"/>
    <s v="Raymond"/>
    <s v="Korean"/>
    <s v="Lycra"/>
    <n v="40"/>
    <s v="Mustard"/>
    <n v="840"/>
  </r>
  <r>
    <x v="561"/>
    <x v="37"/>
    <s v="SHT0189"/>
    <n v="1"/>
    <s v="Shirt"/>
    <s v="British"/>
    <s v="Formal"/>
    <s v="Cotton"/>
    <s v="XXL"/>
    <s v="Dark Green"/>
    <n v="660"/>
  </r>
  <r>
    <x v="561"/>
    <x v="37"/>
    <s v="INW1402"/>
    <n v="1"/>
    <s v="Innerwear"/>
    <s v="Lux"/>
    <s v="Boxer"/>
    <s v="Cotton Blend"/>
    <s v="75-80"/>
    <s v="Navy Blue"/>
    <n v="140"/>
  </r>
  <r>
    <x v="561"/>
    <x v="37"/>
    <s v="INW1541"/>
    <n v="1"/>
    <s v="Innerwear"/>
    <s v="Dollar"/>
    <s v="Boxer"/>
    <s v="Cotton"/>
    <s v="90-100"/>
    <s v="Navy Blue"/>
    <n v="160"/>
  </r>
  <r>
    <x v="562"/>
    <x v="37"/>
    <s v="TSH0573"/>
    <n v="1"/>
    <s v="T-Shirt"/>
    <s v="Zara"/>
    <s v="Sleeveless"/>
    <s v="Cotton"/>
    <s v="M"/>
    <s v="Royal Blue"/>
    <n v="700"/>
  </r>
  <r>
    <x v="563"/>
    <x v="37"/>
    <s v="JNS1026"/>
    <n v="1"/>
    <s v="Jeans"/>
    <s v="Denim Pro"/>
    <s v="Baggy"/>
    <s v="Denim"/>
    <n v="30"/>
    <s v="Mustard"/>
    <n v="1040"/>
  </r>
  <r>
    <x v="563"/>
    <x v="37"/>
    <s v="INW1529"/>
    <n v="1"/>
    <s v="Innerwear"/>
    <s v="Lux"/>
    <s v="Boxer"/>
    <s v="Cotton Blend"/>
    <s v="100-105"/>
    <s v="Brown"/>
    <n v="110"/>
  </r>
  <r>
    <x v="564"/>
    <x v="37"/>
    <s v="TSH0422"/>
    <n v="1"/>
    <s v="T-Shirt"/>
    <s v="Turkey"/>
    <s v="Hoodie"/>
    <s v="Cotton Blend"/>
    <s v="XL"/>
    <s v="Royal Blue"/>
    <n v="710"/>
  </r>
  <r>
    <x v="564"/>
    <x v="37"/>
    <s v="PNT1354"/>
    <n v="1"/>
    <s v="Pants"/>
    <s v="Peter England"/>
    <s v="Kurka"/>
    <s v="Lycra"/>
    <n v="34"/>
    <s v="Rust"/>
    <n v="770"/>
  </r>
  <r>
    <x v="565"/>
    <x v="38"/>
    <s v="TSH0678"/>
    <n v="1"/>
    <s v="T-Shirt"/>
    <s v="Urban Monkey"/>
    <s v="3/4 Sleeve"/>
    <s v="Poly Cotton"/>
    <s v="S"/>
    <s v="Brown"/>
    <n v="420"/>
  </r>
  <r>
    <x v="566"/>
    <x v="38"/>
    <s v="INW1511"/>
    <n v="1"/>
    <s v="Innerwear"/>
    <s v="Rupa"/>
    <s v="V-Cut"/>
    <s v="Cotton Blend"/>
    <s v="80-85"/>
    <s v="Brown"/>
    <n v="140"/>
  </r>
  <r>
    <x v="566"/>
    <x v="38"/>
    <s v="JNS1062"/>
    <n v="1"/>
    <s v="Jeans"/>
    <s v="Denim Pro"/>
    <s v="Jogger"/>
    <s v="Denim"/>
    <n v="32"/>
    <s v="Charcoal"/>
    <n v="830"/>
  </r>
  <r>
    <x v="566"/>
    <x v="38"/>
    <s v="JNS0925"/>
    <n v="1"/>
    <s v="Jeans"/>
    <s v="Spykar"/>
    <s v="Baggy"/>
    <s v="Denim"/>
    <n v="34"/>
    <s v="Brown"/>
    <n v="1000"/>
  </r>
  <r>
    <x v="567"/>
    <x v="38"/>
    <s v="TSH0403"/>
    <n v="1"/>
    <s v="T-Shirt"/>
    <s v="Roadster"/>
    <s v="Sleeveless"/>
    <s v="Poly Cotton"/>
    <s v="S"/>
    <s v="Teal"/>
    <n v="590"/>
  </r>
  <r>
    <x v="567"/>
    <x v="38"/>
    <s v="JNS1044"/>
    <n v="1"/>
    <s v="Jeans"/>
    <s v="Levis"/>
    <s v="Baggy"/>
    <s v="Denim"/>
    <n v="30"/>
    <s v="Royal Blue"/>
    <n v="880"/>
  </r>
  <r>
    <x v="567"/>
    <x v="38"/>
    <s v="JNS0777"/>
    <n v="1"/>
    <s v="Jeans"/>
    <s v="Levis"/>
    <s v="Mom Fit"/>
    <s v="Denim"/>
    <n v="30"/>
    <s v="Peach"/>
    <n v="830"/>
  </r>
  <r>
    <x v="568"/>
    <x v="38"/>
    <s v="SHT0205"/>
    <n v="1"/>
    <s v="Shirt"/>
    <s v="H&amp;M"/>
    <s v="Partywear"/>
    <s v="Cotton Blend"/>
    <s v="S"/>
    <s v="Rust"/>
    <n v="810"/>
  </r>
  <r>
    <x v="568"/>
    <x v="38"/>
    <s v="SHT0259"/>
    <n v="1"/>
    <s v="Shirt"/>
    <s v="Zara"/>
    <s v="Formal"/>
    <s v="Polyester"/>
    <s v="L"/>
    <s v="Wine"/>
    <n v="730"/>
  </r>
  <r>
    <x v="569"/>
    <x v="38"/>
    <s v="JNS0939"/>
    <n v="1"/>
    <s v="Jeans"/>
    <s v="Levis"/>
    <s v="Baggy"/>
    <s v="Denim"/>
    <n v="34"/>
    <s v="Royal Blue"/>
    <n v="960"/>
  </r>
  <r>
    <x v="569"/>
    <x v="38"/>
    <s v="SHT0166"/>
    <n v="1"/>
    <s v="Shirt"/>
    <s v="British"/>
    <s v="Formal"/>
    <s v="Lycra"/>
    <s v="XL"/>
    <s v="Black"/>
    <n v="920"/>
  </r>
  <r>
    <x v="570"/>
    <x v="38"/>
    <s v="TSH0744"/>
    <n v="1"/>
    <s v="T-Shirt"/>
    <s v="Zara"/>
    <s v="Hoodie"/>
    <s v="Cotton Blend"/>
    <s v="L"/>
    <s v="Sky Blue"/>
    <n v="610"/>
  </r>
  <r>
    <x v="570"/>
    <x v="38"/>
    <s v="JNS0797"/>
    <n v="1"/>
    <s v="Jeans"/>
    <s v="Levis"/>
    <s v="Baggy"/>
    <s v="Denim"/>
    <n v="28"/>
    <s v="Mustard"/>
    <n v="1050"/>
  </r>
  <r>
    <x v="570"/>
    <x v="38"/>
    <s v="PNT1344"/>
    <n v="1"/>
    <s v="Pants"/>
    <s v="Peter England"/>
    <s v="Korean"/>
    <s v="Lycra"/>
    <n v="28"/>
    <s v="Maroon"/>
    <n v="710"/>
  </r>
  <r>
    <x v="571"/>
    <x v="38"/>
    <s v="SHT0014"/>
    <n v="1"/>
    <s v="Shirt"/>
    <s v="L7"/>
    <s v="Formal"/>
    <s v="Cotton Blend"/>
    <s v="M"/>
    <s v="Peach"/>
    <n v="720"/>
  </r>
  <r>
    <x v="572"/>
    <x v="38"/>
    <s v="SHT0006"/>
    <n v="1"/>
    <s v="Shirt"/>
    <s v="British"/>
    <s v="Formal"/>
    <s v="Cotton"/>
    <s v="XL"/>
    <s v="Sky Blue"/>
    <n v="710"/>
  </r>
  <r>
    <x v="572"/>
    <x v="38"/>
    <s v="INW1407"/>
    <n v="1"/>
    <s v="Innerwear"/>
    <s v="Rupa"/>
    <s v="Boxer"/>
    <s v="Cotton"/>
    <s v="100-105"/>
    <s v="Navy Blue"/>
    <n v="150"/>
  </r>
  <r>
    <x v="572"/>
    <x v="38"/>
    <s v="TSH0397"/>
    <n v="1"/>
    <s v="T-Shirt"/>
    <s v="Thailand"/>
    <s v="Sleeveless"/>
    <s v="Poly Cotton"/>
    <s v="M"/>
    <s v="Mustard"/>
    <n v="440"/>
  </r>
  <r>
    <x v="573"/>
    <x v="38"/>
    <s v="JNS0810"/>
    <n v="1"/>
    <s v="Jeans"/>
    <s v="Levis"/>
    <s v="Baggy"/>
    <s v="Denim"/>
    <n v="36"/>
    <s v="White"/>
    <n v="1020"/>
  </r>
  <r>
    <x v="573"/>
    <x v="38"/>
    <s v="INW1637"/>
    <n v="1"/>
    <s v="Innerwear"/>
    <s v="Lux"/>
    <s v="Boxer"/>
    <s v="Cotton"/>
    <s v="100-105"/>
    <s v="Brown"/>
    <n v="170"/>
  </r>
  <r>
    <x v="574"/>
    <x v="38"/>
    <s v="TSH0472"/>
    <n v="1"/>
    <s v="T-Shirt"/>
    <s v="Campus"/>
    <s v="Full Sleeve"/>
    <s v="Cotton"/>
    <s v="S"/>
    <s v="Maroon"/>
    <n v="430"/>
  </r>
  <r>
    <x v="574"/>
    <x v="38"/>
    <s v="SHT0033"/>
    <n v="1"/>
    <s v="Shirt"/>
    <s v="Zara"/>
    <s v="Partywear"/>
    <s v="Cotton"/>
    <s v="S"/>
    <s v="Rust"/>
    <n v="800"/>
  </r>
  <r>
    <x v="574"/>
    <x v="38"/>
    <s v="TSH0432"/>
    <n v="1"/>
    <s v="T-Shirt"/>
    <s v="Zara"/>
    <s v="Full Sleeve"/>
    <s v="Cotton Blend"/>
    <s v="S"/>
    <s v="Cream"/>
    <n v="510"/>
  </r>
  <r>
    <x v="575"/>
    <x v="38"/>
    <s v="TSH0583"/>
    <n v="1"/>
    <s v="T-Shirt"/>
    <s v="Thailand"/>
    <s v="Full Sleeve"/>
    <s v="Poly Cotton"/>
    <s v="XXL"/>
    <s v="Olive"/>
    <n v="570"/>
  </r>
  <r>
    <x v="575"/>
    <x v="38"/>
    <s v="JNS0876"/>
    <n v="1"/>
    <s v="Jeans"/>
    <s v="Spykar"/>
    <s v="Baggy"/>
    <s v="Denim"/>
    <n v="38"/>
    <s v="Cream"/>
    <n v="790"/>
  </r>
  <r>
    <x v="575"/>
    <x v="38"/>
    <s v="TSH0448"/>
    <n v="1"/>
    <s v="T-Shirt"/>
    <s v="Campus"/>
    <s v="Full Sleeve"/>
    <s v="Poly Cotton"/>
    <s v="L"/>
    <s v="Olive"/>
    <n v="350"/>
  </r>
  <r>
    <x v="576"/>
    <x v="38"/>
    <s v="PNT1318"/>
    <n v="1"/>
    <s v="Pants"/>
    <s v="Louis Philippe"/>
    <s v="Polofit"/>
    <s v="Lycra"/>
    <n v="34"/>
    <s v="Olive"/>
    <n v="780"/>
  </r>
  <r>
    <x v="576"/>
    <x v="38"/>
    <s v="PNT1106"/>
    <n v="1"/>
    <s v="Pants"/>
    <s v="Park Avenue"/>
    <s v="Polofit"/>
    <s v="Lycra"/>
    <n v="30"/>
    <s v="Grey"/>
    <n v="760"/>
  </r>
  <r>
    <x v="576"/>
    <x v="38"/>
    <s v="INW1508"/>
    <n v="1"/>
    <s v="Innerwear"/>
    <s v="Lux"/>
    <s v="Boxer"/>
    <s v="Cotton"/>
    <s v="100-105"/>
    <s v="Teal"/>
    <n v="130"/>
  </r>
  <r>
    <x v="577"/>
    <x v="38"/>
    <s v="JNS0949"/>
    <n v="1"/>
    <s v="Jeans"/>
    <s v="Pepe"/>
    <s v="Jogger"/>
    <s v="Denim"/>
    <n v="32"/>
    <s v="Brown"/>
    <n v="980"/>
  </r>
  <r>
    <x v="577"/>
    <x v="38"/>
    <s v="PNT1107"/>
    <n v="1"/>
    <s v="Pants"/>
    <s v="Park Avenue"/>
    <s v="Kurka"/>
    <s v="Lycra"/>
    <n v="30"/>
    <s v="Olive"/>
    <n v="830"/>
  </r>
  <r>
    <x v="577"/>
    <x v="38"/>
    <s v="JNS0944"/>
    <n v="1"/>
    <s v="Jeans"/>
    <s v="Levis"/>
    <s v="Mom Fit"/>
    <s v="Denim"/>
    <n v="40"/>
    <s v="Navy Blue"/>
    <n v="1060"/>
  </r>
  <r>
    <x v="577"/>
    <x v="38"/>
    <s v="TSH0700"/>
    <n v="1"/>
    <s v="T-Shirt"/>
    <s v="Turkey"/>
    <s v="Full Sleeve"/>
    <s v="Poly Cotton"/>
    <s v="XXL"/>
    <s v="Maroon"/>
    <n v="530"/>
  </r>
  <r>
    <x v="578"/>
    <x v="39"/>
    <s v="INW1409"/>
    <n v="1"/>
    <s v="Innerwear"/>
    <s v="Lux"/>
    <s v="V-Cut"/>
    <s v="Cotton Blend"/>
    <s v="105-110"/>
    <s v="Mustard"/>
    <n v="130"/>
  </r>
  <r>
    <x v="578"/>
    <x v="39"/>
    <s v="PNT1331"/>
    <n v="1"/>
    <s v="Pants"/>
    <s v="Louis Philippe"/>
    <s v="Jogger"/>
    <s v="Cotton Blend"/>
    <n v="38"/>
    <s v="Brown"/>
    <n v="910"/>
  </r>
  <r>
    <x v="579"/>
    <x v="39"/>
    <s v="INW1530"/>
    <n v="1"/>
    <s v="Innerwear"/>
    <s v="Dollar"/>
    <s v="Boxer"/>
    <s v="Cotton Blend"/>
    <s v="75-80"/>
    <s v="Wine"/>
    <n v="140"/>
  </r>
  <r>
    <x v="579"/>
    <x v="39"/>
    <s v="TSH0472"/>
    <n v="1"/>
    <s v="T-Shirt"/>
    <s v="Campus"/>
    <s v="Full Sleeve"/>
    <s v="Cotton"/>
    <s v="S"/>
    <s v="Maroon"/>
    <n v="430"/>
  </r>
  <r>
    <x v="579"/>
    <x v="39"/>
    <s v="TSH0546"/>
    <n v="1"/>
    <s v="T-Shirt"/>
    <s v="Campus"/>
    <s v="3/4 Sleeve"/>
    <s v="Poly Cotton"/>
    <s v="XL"/>
    <s v="Light Grey"/>
    <n v="270"/>
  </r>
  <r>
    <x v="579"/>
    <x v="39"/>
    <s v="PNT1347"/>
    <n v="1"/>
    <s v="Pants"/>
    <s v="Peter England"/>
    <s v="Kurka"/>
    <s v="Lycra"/>
    <n v="44"/>
    <s v="Rust"/>
    <n v="750"/>
  </r>
  <r>
    <x v="580"/>
    <x v="39"/>
    <s v="TSH0501"/>
    <n v="1"/>
    <s v="T-Shirt"/>
    <s v="Turkey"/>
    <s v="Sleeveless"/>
    <s v="Cotton Blend"/>
    <s v="S"/>
    <s v="Light Grey"/>
    <n v="300"/>
  </r>
  <r>
    <x v="581"/>
    <x v="39"/>
    <s v="INW1587"/>
    <n v="1"/>
    <s v="Innerwear"/>
    <s v="Rupa"/>
    <s v="V-Cut"/>
    <s v="Cotton Blend"/>
    <s v="90-100"/>
    <s v="Cream"/>
    <n v="190"/>
  </r>
  <r>
    <x v="581"/>
    <x v="39"/>
    <s v="TSH0587"/>
    <n v="1"/>
    <s v="T-Shirt"/>
    <s v="Urban Monkey"/>
    <s v="Half Sleeve"/>
    <s v="Cotton Blend"/>
    <s v="S"/>
    <s v="Light Grey"/>
    <n v="540"/>
  </r>
  <r>
    <x v="581"/>
    <x v="39"/>
    <s v="JNS0954"/>
    <n v="1"/>
    <s v="Jeans"/>
    <s v="Levis"/>
    <s v="Baggy"/>
    <s v="Denim"/>
    <n v="32"/>
    <s v="Brown"/>
    <n v="970"/>
  </r>
  <r>
    <x v="582"/>
    <x v="39"/>
    <s v="INW1378"/>
    <n v="1"/>
    <s v="Innerwear"/>
    <s v="Jockey"/>
    <s v="Boxer"/>
    <s v="Cotton"/>
    <s v="90-100"/>
    <s v="Grey"/>
    <n v="190"/>
  </r>
  <r>
    <x v="583"/>
    <x v="39"/>
    <s v="TSH0653"/>
    <n v="1"/>
    <s v="T-Shirt"/>
    <s v="Campus"/>
    <s v="Hoodie"/>
    <s v="Cotton Blend"/>
    <s v="M"/>
    <s v="Wine"/>
    <n v="740"/>
  </r>
  <r>
    <x v="583"/>
    <x v="39"/>
    <s v="TSH0369"/>
    <n v="1"/>
    <s v="T-Shirt"/>
    <s v="Zara"/>
    <s v="Hoodie"/>
    <s v="Poly Cotton"/>
    <s v="L"/>
    <s v="Dark Green"/>
    <n v="220"/>
  </r>
  <r>
    <x v="583"/>
    <x v="39"/>
    <s v="TSH0417"/>
    <n v="1"/>
    <s v="T-Shirt"/>
    <s v="Turkey"/>
    <s v="3/4 Sleeve"/>
    <s v="Cotton Blend"/>
    <s v="M"/>
    <s v="Cream"/>
    <n v="590"/>
  </r>
  <r>
    <x v="584"/>
    <x v="39"/>
    <s v="SHT0303"/>
    <n v="1"/>
    <s v="Shirt"/>
    <s v="G Studio"/>
    <s v="Casual"/>
    <s v="Polyester"/>
    <s v="S"/>
    <s v="Maroon"/>
    <n v="880"/>
  </r>
  <r>
    <x v="585"/>
    <x v="39"/>
    <s v="TSH0563"/>
    <n v="1"/>
    <s v="T-Shirt"/>
    <s v="Urban Monkey"/>
    <s v="Sleeveless"/>
    <s v="Poly Cotton"/>
    <s v="XL"/>
    <s v="Wine"/>
    <n v="360"/>
  </r>
  <r>
    <x v="585"/>
    <x v="39"/>
    <s v="TSH0558"/>
    <n v="1"/>
    <s v="T-Shirt"/>
    <s v="Thailand"/>
    <s v="Sleeveless"/>
    <s v="Cotton"/>
    <s v="XXL"/>
    <s v="Royal Blue"/>
    <n v="330"/>
  </r>
  <r>
    <x v="585"/>
    <x v="39"/>
    <s v="TSH0673"/>
    <n v="1"/>
    <s v="T-Shirt"/>
    <s v="Campus"/>
    <s v="3/4 Sleeve"/>
    <s v="Cotton"/>
    <s v="S"/>
    <s v="Navy Blue"/>
    <n v="540"/>
  </r>
  <r>
    <x v="586"/>
    <x v="39"/>
    <s v="JNS0993"/>
    <n v="1"/>
    <s v="Jeans"/>
    <s v="Denim Pro"/>
    <s v="Jogger"/>
    <s v="Denim"/>
    <n v="28"/>
    <s v="Rust"/>
    <n v="820"/>
  </r>
  <r>
    <x v="586"/>
    <x v="39"/>
    <s v="JNS1007"/>
    <n v="1"/>
    <s v="Jeans"/>
    <s v="Pepe"/>
    <s v="Baggy"/>
    <s v="Denim"/>
    <n v="42"/>
    <s v="Royal Blue"/>
    <n v="1000"/>
  </r>
  <r>
    <x v="586"/>
    <x v="39"/>
    <s v="SHT0195"/>
    <n v="1"/>
    <s v="Shirt"/>
    <s v="Zara"/>
    <s v="Formal"/>
    <s v="Lycra"/>
    <s v="XXL"/>
    <s v="Rust"/>
    <n v="750"/>
  </r>
  <r>
    <x v="586"/>
    <x v="39"/>
    <s v="PNT1350"/>
    <n v="1"/>
    <s v="Pants"/>
    <s v="Park Avenue"/>
    <s v="Jogger"/>
    <s v="Poly Viscose"/>
    <n v="34"/>
    <s v="Navy Blue"/>
    <n v="740"/>
  </r>
  <r>
    <x v="587"/>
    <x v="39"/>
    <s v="SHT0279"/>
    <n v="1"/>
    <s v="Shirt"/>
    <s v="Thailand"/>
    <s v="Partywear"/>
    <s v="Lycra"/>
    <s v="XXL"/>
    <s v="Bottle Green"/>
    <n v="860"/>
  </r>
  <r>
    <x v="587"/>
    <x v="39"/>
    <s v="INW1451"/>
    <n v="1"/>
    <s v="Innerwear"/>
    <s v="Jockey"/>
    <s v="V-Cut"/>
    <s v="Cotton Blend"/>
    <s v="75-80"/>
    <s v="Peach"/>
    <n v="200"/>
  </r>
  <r>
    <x v="587"/>
    <x v="39"/>
    <s v="JNS0948"/>
    <n v="1"/>
    <s v="Jeans"/>
    <s v="Locomotive"/>
    <s v="Jogger"/>
    <s v="Denim"/>
    <n v="40"/>
    <s v="Teal"/>
    <n v="880"/>
  </r>
  <r>
    <x v="588"/>
    <x v="39"/>
    <s v="JNS0990"/>
    <n v="1"/>
    <s v="Jeans"/>
    <s v="Levis"/>
    <s v="Mom Fit"/>
    <s v="Denim"/>
    <n v="30"/>
    <s v="Maroon"/>
    <n v="990"/>
  </r>
  <r>
    <x v="589"/>
    <x v="39"/>
    <s v="SHT0129"/>
    <n v="1"/>
    <s v="Shirt"/>
    <s v="L7"/>
    <s v="Formal"/>
    <s v="Cotton Blend"/>
    <s v="XL"/>
    <s v="Peach"/>
    <n v="740"/>
  </r>
  <r>
    <x v="589"/>
    <x v="39"/>
    <s v="INW1562"/>
    <n v="1"/>
    <s v="Innerwear"/>
    <s v="Lux"/>
    <s v="Boxer"/>
    <s v="Cotton"/>
    <s v="80-85"/>
    <s v="Maroon"/>
    <n v="100"/>
  </r>
  <r>
    <x v="589"/>
    <x v="39"/>
    <s v="PNT1235"/>
    <n v="1"/>
    <s v="Pants"/>
    <s v="Van Heusen"/>
    <s v="Kurka"/>
    <s v="Lycra"/>
    <n v="44"/>
    <s v="White"/>
    <n v="880"/>
  </r>
  <r>
    <x v="589"/>
    <x v="39"/>
    <s v="JNS1059"/>
    <n v="1"/>
    <s v="Jeans"/>
    <s v="Wrangler"/>
    <s v="Jogger"/>
    <s v="Denim"/>
    <n v="36"/>
    <s v="Olive"/>
    <n v="930"/>
  </r>
  <r>
    <x v="590"/>
    <x v="39"/>
    <s v="PNT1072"/>
    <n v="1"/>
    <s v="Pants"/>
    <s v="Peter England"/>
    <s v="Polofit"/>
    <s v="Lycra"/>
    <n v="44"/>
    <s v="Cream"/>
    <n v="800"/>
  </r>
  <r>
    <x v="590"/>
    <x v="39"/>
    <s v="INW1584"/>
    <n v="1"/>
    <s v="Innerwear"/>
    <s v="V Star"/>
    <s v="Boxer"/>
    <s v="Cotton"/>
    <s v="80-85"/>
    <s v="Peach"/>
    <n v="100"/>
  </r>
  <r>
    <x v="590"/>
    <x v="39"/>
    <s v="INW1645"/>
    <n v="1"/>
    <s v="Innerwear"/>
    <s v="V Star"/>
    <s v="V-Cut"/>
    <s v="Cotton Blend"/>
    <s v="75-80"/>
    <s v="Maroon"/>
    <n v="100"/>
  </r>
  <r>
    <x v="591"/>
    <x v="39"/>
    <s v="TSH0662"/>
    <n v="1"/>
    <s v="T-Shirt"/>
    <s v="Roadster"/>
    <s v="3/4 Sleeve"/>
    <s v="Cotton"/>
    <s v="L"/>
    <s v="Wine"/>
    <n v="620"/>
  </r>
  <r>
    <x v="591"/>
    <x v="39"/>
    <s v="PNT1182"/>
    <n v="1"/>
    <s v="Pants"/>
    <s v="Louis Philippe"/>
    <s v="Kurka"/>
    <s v="Lycra"/>
    <n v="40"/>
    <s v="Bottle Green"/>
    <n v="950"/>
  </r>
  <r>
    <x v="591"/>
    <x v="39"/>
    <s v="PNT1332"/>
    <n v="1"/>
    <s v="Pants"/>
    <s v="Louis Philippe"/>
    <s v="Korean"/>
    <s v="Lycra"/>
    <n v="38"/>
    <s v="Brown"/>
    <n v="750"/>
  </r>
  <r>
    <x v="592"/>
    <x v="39"/>
    <s v="SHT0235"/>
    <n v="1"/>
    <s v="Shirt"/>
    <s v="H&amp;M"/>
    <s v="Formal"/>
    <s v="Cotton Blend"/>
    <s v="S"/>
    <s v="Olive"/>
    <n v="880"/>
  </r>
  <r>
    <x v="592"/>
    <x v="39"/>
    <s v="TSH0703"/>
    <n v="1"/>
    <s v="T-Shirt"/>
    <s v="Max"/>
    <s v="Sleeveless"/>
    <s v="Cotton"/>
    <s v="S"/>
    <s v="Mustard"/>
    <n v="490"/>
  </r>
  <r>
    <x v="593"/>
    <x v="39"/>
    <s v="TSH0395"/>
    <n v="1"/>
    <s v="T-Shirt"/>
    <s v="Max"/>
    <s v="3/4 Sleeve"/>
    <s v="Cotton Blend"/>
    <s v="XXL"/>
    <s v="Maroon"/>
    <n v="440"/>
  </r>
  <r>
    <x v="593"/>
    <x v="39"/>
    <s v="INW1567"/>
    <n v="1"/>
    <s v="Innerwear"/>
    <s v="Jockey"/>
    <s v="V-Cut"/>
    <s v="Cotton Blend"/>
    <s v="80-85"/>
    <s v="Sky Blue"/>
    <n v="140"/>
  </r>
  <r>
    <x v="594"/>
    <x v="39"/>
    <s v="INW1479"/>
    <n v="1"/>
    <s v="Innerwear"/>
    <s v="Lux"/>
    <s v="V-Cut"/>
    <s v="Cotton Blend"/>
    <s v="105-110"/>
    <s v="Black"/>
    <n v="160"/>
  </r>
  <r>
    <x v="594"/>
    <x v="39"/>
    <s v="TSH0459"/>
    <n v="1"/>
    <s v="T-Shirt"/>
    <s v="Thailand"/>
    <s v="Full Sleeve"/>
    <s v="Cotton"/>
    <s v="L"/>
    <s v="Navy Blue"/>
    <n v="520"/>
  </r>
  <r>
    <x v="594"/>
    <x v="39"/>
    <s v="JNS0979"/>
    <n v="1"/>
    <s v="Jeans"/>
    <s v="Denim Pro"/>
    <s v="Jogger"/>
    <s v="Denim"/>
    <n v="34"/>
    <s v="Wine"/>
    <n v="940"/>
  </r>
  <r>
    <x v="595"/>
    <x v="39"/>
    <s v="SHT0005"/>
    <n v="1"/>
    <s v="Shirt"/>
    <s v="Zara"/>
    <s v="Formal"/>
    <s v="Polyester"/>
    <s v="L"/>
    <s v="Beige"/>
    <n v="920"/>
  </r>
  <r>
    <x v="595"/>
    <x v="39"/>
    <s v="INW1637"/>
    <n v="1"/>
    <s v="Innerwear"/>
    <s v="Lux"/>
    <s v="Boxer"/>
    <s v="Cotton"/>
    <s v="100-105"/>
    <s v="Brown"/>
    <n v="170"/>
  </r>
  <r>
    <x v="596"/>
    <x v="40"/>
    <s v="TSH0728"/>
    <n v="1"/>
    <s v="T-Shirt"/>
    <s v="Max"/>
    <s v="Hoodie"/>
    <s v="Cotton Blend"/>
    <s v="XXL"/>
    <s v="Beige"/>
    <n v="590"/>
  </r>
  <r>
    <x v="596"/>
    <x v="40"/>
    <s v="TSH0501"/>
    <n v="1"/>
    <s v="T-Shirt"/>
    <s v="Turkey"/>
    <s v="Sleeveless"/>
    <s v="Cotton Blend"/>
    <s v="S"/>
    <s v="Light Grey"/>
    <n v="300"/>
  </r>
  <r>
    <x v="596"/>
    <x v="40"/>
    <s v="TSH0630"/>
    <n v="1"/>
    <s v="T-Shirt"/>
    <s v="Roadster"/>
    <s v="Half Sleeve"/>
    <s v="Cotton"/>
    <s v="XXL"/>
    <s v="Royal Blue"/>
    <n v="610"/>
  </r>
  <r>
    <x v="597"/>
    <x v="40"/>
    <s v="SHT0210"/>
    <n v="1"/>
    <s v="Shirt"/>
    <s v="Thailand"/>
    <s v="Partywear"/>
    <s v="Cotton Blend"/>
    <s v="M"/>
    <s v="Mustard"/>
    <n v="770"/>
  </r>
  <r>
    <x v="597"/>
    <x v="40"/>
    <s v="INW1380"/>
    <n v="1"/>
    <s v="Innerwear"/>
    <s v="V Star"/>
    <s v="Boxer"/>
    <s v="Cotton Blend"/>
    <s v="80-85"/>
    <s v="Black"/>
    <n v="130"/>
  </r>
  <r>
    <x v="597"/>
    <x v="40"/>
    <s v="INW1473"/>
    <n v="1"/>
    <s v="Innerwear"/>
    <s v="Rupa"/>
    <s v="Boxer"/>
    <s v="Cotton"/>
    <s v="75-80"/>
    <s v="Sky Blue"/>
    <n v="180"/>
  </r>
  <r>
    <x v="598"/>
    <x v="40"/>
    <s v="TSH0665"/>
    <n v="1"/>
    <s v="T-Shirt"/>
    <s v="Turkey"/>
    <s v="Hoodie"/>
    <s v="Poly Cotton"/>
    <s v="XL"/>
    <s v="Dark Green"/>
    <n v="420"/>
  </r>
  <r>
    <x v="599"/>
    <x v="40"/>
    <s v="TSH0523"/>
    <n v="1"/>
    <s v="T-Shirt"/>
    <s v="Campus"/>
    <s v="Hoodie"/>
    <s v="Poly Cotton"/>
    <s v="XXL"/>
    <s v="Teal"/>
    <n v="330"/>
  </r>
  <r>
    <x v="599"/>
    <x v="40"/>
    <s v="INW1386"/>
    <n v="1"/>
    <s v="Innerwear"/>
    <s v="V Star"/>
    <s v="V-Cut"/>
    <s v="Cotton Blend"/>
    <s v="75-80"/>
    <s v="Sky Blue"/>
    <n v="170"/>
  </r>
  <r>
    <x v="599"/>
    <x v="40"/>
    <s v="INW1546"/>
    <n v="1"/>
    <s v="Innerwear"/>
    <s v="V Star"/>
    <s v="V-Cut"/>
    <s v="Cotton Blend"/>
    <s v="100-105"/>
    <s v="Wine"/>
    <n v="140"/>
  </r>
  <r>
    <x v="600"/>
    <x v="40"/>
    <s v="TSH0661"/>
    <n v="1"/>
    <s v="T-Shirt"/>
    <s v="Roadster"/>
    <s v="Half Sleeve"/>
    <s v="Poly Cotton"/>
    <s v="XXL"/>
    <s v="Brown"/>
    <n v="440"/>
  </r>
  <r>
    <x v="600"/>
    <x v="40"/>
    <s v="PNT1158"/>
    <n v="1"/>
    <s v="Pants"/>
    <s v="Peter England"/>
    <s v="Korean"/>
    <s v="Lycra"/>
    <n v="40"/>
    <s v="Beige"/>
    <n v="760"/>
  </r>
  <r>
    <x v="601"/>
    <x v="40"/>
    <s v="SHT0038"/>
    <n v="1"/>
    <s v="Shirt"/>
    <s v="Luke &amp; Burg"/>
    <s v="Formal"/>
    <s v="Lycra"/>
    <s v="XL"/>
    <s v="Black"/>
    <n v="940"/>
  </r>
  <r>
    <x v="602"/>
    <x v="40"/>
    <s v="JNS0898"/>
    <n v="1"/>
    <s v="Jeans"/>
    <s v="Pepe"/>
    <s v="Baggy"/>
    <s v="Denim"/>
    <n v="38"/>
    <s v="Rust"/>
    <n v="780"/>
  </r>
  <r>
    <x v="602"/>
    <x v="40"/>
    <s v="INW1480"/>
    <n v="1"/>
    <s v="Innerwear"/>
    <s v="V Star"/>
    <s v="Boxer"/>
    <s v="Cotton"/>
    <s v="100-105"/>
    <s v="Light Grey"/>
    <n v="190"/>
  </r>
  <r>
    <x v="603"/>
    <x v="40"/>
    <s v="SHT0220"/>
    <n v="1"/>
    <s v="Shirt"/>
    <s v="British"/>
    <s v="Partywear"/>
    <s v="Cotton"/>
    <s v="XXL"/>
    <s v="Olive"/>
    <n v="920"/>
  </r>
  <r>
    <x v="604"/>
    <x v="40"/>
    <s v="JNS0879"/>
    <n v="1"/>
    <s v="Jeans"/>
    <s v="Pepe"/>
    <s v="Jogger"/>
    <s v="Denim"/>
    <n v="44"/>
    <s v="White"/>
    <n v="1030"/>
  </r>
  <r>
    <x v="604"/>
    <x v="40"/>
    <s v="JNS0945"/>
    <n v="1"/>
    <s v="Jeans"/>
    <s v="Locomotive"/>
    <s v="Baggy"/>
    <s v="Denim"/>
    <n v="42"/>
    <s v="White"/>
    <n v="1010"/>
  </r>
  <r>
    <x v="604"/>
    <x v="40"/>
    <s v="PNT1255"/>
    <n v="1"/>
    <s v="Pants"/>
    <s v="Raymond"/>
    <s v="Jogger"/>
    <s v="Cotton Blend"/>
    <n v="36"/>
    <s v="Wine"/>
    <n v="780"/>
  </r>
  <r>
    <x v="605"/>
    <x v="40"/>
    <s v="TSH0497"/>
    <n v="1"/>
    <s v="T-Shirt"/>
    <s v="Urban Monkey"/>
    <s v="3/4 Sleeve"/>
    <s v="Cotton"/>
    <s v="S"/>
    <s v="Charcoal"/>
    <n v="360"/>
  </r>
  <r>
    <x v="606"/>
    <x v="40"/>
    <s v="TSH0545"/>
    <n v="1"/>
    <s v="T-Shirt"/>
    <s v="Urban Monkey"/>
    <s v="3/4 Sleeve"/>
    <s v="Poly Cotton"/>
    <s v="S"/>
    <s v="Maroon"/>
    <n v="370"/>
  </r>
  <r>
    <x v="606"/>
    <x v="40"/>
    <s v="INW1485"/>
    <n v="1"/>
    <s v="Innerwear"/>
    <s v="Lux"/>
    <s v="Boxer"/>
    <s v="Cotton Blend"/>
    <s v="80-85"/>
    <s v="Light Grey"/>
    <n v="150"/>
  </r>
  <r>
    <x v="607"/>
    <x v="40"/>
    <s v="TSH0363"/>
    <n v="1"/>
    <s v="T-Shirt"/>
    <s v="Campus"/>
    <s v="3/4 Sleeve"/>
    <s v="Cotton Blend"/>
    <s v="XL"/>
    <s v="Peach"/>
    <n v="600"/>
  </r>
  <r>
    <x v="607"/>
    <x v="40"/>
    <s v="TSH0555"/>
    <n v="1"/>
    <s v="T-Shirt"/>
    <s v="Turkey"/>
    <s v="Full Sleeve"/>
    <s v="Poly Cotton"/>
    <s v="XXL"/>
    <s v="Light Grey"/>
    <n v="510"/>
  </r>
  <r>
    <x v="607"/>
    <x v="40"/>
    <s v="JNS1042"/>
    <n v="1"/>
    <s v="Jeans"/>
    <s v="Denim Pro"/>
    <s v="Baggy"/>
    <s v="Denim"/>
    <n v="38"/>
    <s v="Cream"/>
    <n v="1080"/>
  </r>
  <r>
    <x v="608"/>
    <x v="40"/>
    <s v="SHT0094"/>
    <n v="1"/>
    <s v="Shirt"/>
    <s v="L7"/>
    <s v="Formal"/>
    <s v="Cotton Blend"/>
    <s v="S"/>
    <s v="Light Grey"/>
    <n v="690"/>
  </r>
  <r>
    <x v="608"/>
    <x v="40"/>
    <s v="PNT1310"/>
    <n v="1"/>
    <s v="Pants"/>
    <s v="Park Avenue"/>
    <s v="Jogger"/>
    <s v="Poly Viscose"/>
    <n v="32"/>
    <s v="Dark Green"/>
    <n v="800"/>
  </r>
  <r>
    <x v="609"/>
    <x v="40"/>
    <s v="PNT1344"/>
    <n v="1"/>
    <s v="Pants"/>
    <s v="Peter England"/>
    <s v="Korean"/>
    <s v="Lycra"/>
    <n v="28"/>
    <s v="Maroon"/>
    <n v="710"/>
  </r>
  <r>
    <x v="609"/>
    <x v="40"/>
    <s v="SHT0049"/>
    <n v="1"/>
    <s v="Shirt"/>
    <s v="H&amp;M"/>
    <s v="Formal"/>
    <s v="Cotton Blend"/>
    <s v="S"/>
    <s v="Maroon"/>
    <n v="850"/>
  </r>
  <r>
    <x v="609"/>
    <x v="40"/>
    <s v="JNS0880"/>
    <n v="1"/>
    <s v="Jeans"/>
    <s v="Levis"/>
    <s v="Baggy"/>
    <s v="Denim"/>
    <n v="36"/>
    <s v="Cream"/>
    <n v="870"/>
  </r>
  <r>
    <x v="609"/>
    <x v="40"/>
    <s v="JNS1016"/>
    <n v="1"/>
    <s v="Jeans"/>
    <s v="Spykar"/>
    <s v="Jogger"/>
    <s v="Denim"/>
    <n v="44"/>
    <s v="Cream"/>
    <n v="840"/>
  </r>
  <r>
    <x v="610"/>
    <x v="40"/>
    <s v="JNS0941"/>
    <n v="1"/>
    <s v="Jeans"/>
    <s v="Denim Pro"/>
    <s v="Jogger"/>
    <s v="Denim"/>
    <n v="40"/>
    <s v="Light Grey"/>
    <n v="1060"/>
  </r>
  <r>
    <x v="610"/>
    <x v="40"/>
    <s v="TSH0670"/>
    <n v="1"/>
    <s v="T-Shirt"/>
    <s v="Turkey"/>
    <s v="Hoodie"/>
    <s v="Poly Cotton"/>
    <s v="S"/>
    <s v="Navy Blue"/>
    <n v="280"/>
  </r>
  <r>
    <x v="611"/>
    <x v="40"/>
    <s v="SHT0256"/>
    <n v="1"/>
    <s v="Shirt"/>
    <s v="USD"/>
    <s v="Partywear"/>
    <s v="Cotton Blend"/>
    <s v="L"/>
    <s v="Sky Blue"/>
    <n v="780"/>
  </r>
  <r>
    <x v="611"/>
    <x v="40"/>
    <s v="PNT1115"/>
    <n v="1"/>
    <s v="Pants"/>
    <s v="Peter England"/>
    <s v="Boot Cut"/>
    <s v="Poly Viscose"/>
    <n v="30"/>
    <s v="Olive"/>
    <n v="740"/>
  </r>
  <r>
    <x v="612"/>
    <x v="40"/>
    <s v="INW1448"/>
    <n v="1"/>
    <s v="Innerwear"/>
    <s v="V Star"/>
    <s v="Boxer"/>
    <s v="Cotton Blend"/>
    <s v="105-110"/>
    <s v="Royal Blue"/>
    <n v="140"/>
  </r>
  <r>
    <x v="612"/>
    <x v="40"/>
    <s v="SHT0294"/>
    <n v="1"/>
    <s v="Shirt"/>
    <s v="British"/>
    <s v="Partywear"/>
    <s v="Cotton Blend"/>
    <s v="M"/>
    <s v="Grey"/>
    <n v="760"/>
  </r>
  <r>
    <x v="612"/>
    <x v="40"/>
    <s v="SHT0036"/>
    <n v="1"/>
    <s v="Shirt"/>
    <s v="H&amp;M"/>
    <s v="Formal"/>
    <s v="Cotton"/>
    <s v="XXL"/>
    <s v="Black"/>
    <n v="790"/>
  </r>
  <r>
    <x v="613"/>
    <x v="40"/>
    <s v="TSH0531"/>
    <n v="1"/>
    <s v="T-Shirt"/>
    <s v="Max"/>
    <s v="Sleeveless"/>
    <s v="Cotton Blend"/>
    <s v="L"/>
    <s v="Dark Green"/>
    <n v="330"/>
  </r>
  <r>
    <x v="613"/>
    <x v="40"/>
    <s v="TSH0407"/>
    <n v="1"/>
    <s v="T-Shirt"/>
    <s v="Thailand"/>
    <s v="Sleeveless"/>
    <s v="Cotton Blend"/>
    <s v="XXL"/>
    <s v="Wine"/>
    <n v="530"/>
  </r>
  <r>
    <x v="614"/>
    <x v="41"/>
    <s v="SHT0136"/>
    <n v="1"/>
    <s v="Shirt"/>
    <s v="L7"/>
    <s v="Partywear"/>
    <s v="Lycra"/>
    <s v="XL"/>
    <s v="Brown"/>
    <n v="800"/>
  </r>
  <r>
    <x v="614"/>
    <x v="41"/>
    <s v="JNS0793"/>
    <n v="1"/>
    <s v="Jeans"/>
    <s v="Denim Pro"/>
    <s v="Jogger"/>
    <s v="Denim"/>
    <n v="34"/>
    <s v="Mustard"/>
    <n v="870"/>
  </r>
  <r>
    <x v="615"/>
    <x v="41"/>
    <s v="PNT1178"/>
    <n v="1"/>
    <s v="Pants"/>
    <s v="Louis Philippe"/>
    <s v="Boot Cut"/>
    <s v="Cotton"/>
    <n v="40"/>
    <s v="Grey"/>
    <n v="800"/>
  </r>
  <r>
    <x v="616"/>
    <x v="41"/>
    <s v="PNT1187"/>
    <n v="1"/>
    <s v="Pants"/>
    <s v="Louis Philippe"/>
    <s v="Kurka"/>
    <s v="Lycra"/>
    <n v="38"/>
    <s v="Wine"/>
    <n v="820"/>
  </r>
  <r>
    <x v="616"/>
    <x v="41"/>
    <s v="INW1614"/>
    <n v="1"/>
    <s v="Innerwear"/>
    <s v="Jockey"/>
    <s v="V-Cut"/>
    <s v="Cotton Blend"/>
    <s v="85-90"/>
    <s v="Navy Blue"/>
    <n v="170"/>
  </r>
  <r>
    <x v="617"/>
    <x v="41"/>
    <s v="TSH0512"/>
    <n v="1"/>
    <s v="T-Shirt"/>
    <s v="Thailand"/>
    <s v="Hoodie"/>
    <s v="Cotton"/>
    <s v="M"/>
    <s v="Sky Blue"/>
    <n v="590"/>
  </r>
  <r>
    <x v="618"/>
    <x v="41"/>
    <s v="PNT1189"/>
    <n v="1"/>
    <s v="Pants"/>
    <s v="Van Heusen"/>
    <s v="Boot Cut"/>
    <s v="Poly Viscose"/>
    <n v="36"/>
    <s v="Royal Blue"/>
    <n v="800"/>
  </r>
  <r>
    <x v="618"/>
    <x v="41"/>
    <s v="INW1637"/>
    <n v="1"/>
    <s v="Innerwear"/>
    <s v="Lux"/>
    <s v="Boxer"/>
    <s v="Cotton"/>
    <s v="100-105"/>
    <s v="Brown"/>
    <n v="170"/>
  </r>
  <r>
    <x v="618"/>
    <x v="41"/>
    <s v="JNS0855"/>
    <n v="1"/>
    <s v="Jeans"/>
    <s v="Denim Pro"/>
    <s v="Jogger"/>
    <s v="Denim"/>
    <n v="40"/>
    <s v="Light Grey"/>
    <n v="1020"/>
  </r>
  <r>
    <x v="619"/>
    <x v="41"/>
    <s v="JNS0986"/>
    <n v="1"/>
    <s v="Jeans"/>
    <s v="Levis"/>
    <s v="Jogger"/>
    <s v="Denim"/>
    <n v="42"/>
    <s v="Beige"/>
    <n v="880"/>
  </r>
  <r>
    <x v="619"/>
    <x v="41"/>
    <s v="PNT1271"/>
    <n v="1"/>
    <s v="Pants"/>
    <s v="Peter England"/>
    <s v="Kurka"/>
    <s v="Lycra"/>
    <n v="40"/>
    <s v="White"/>
    <n v="710"/>
  </r>
  <r>
    <x v="619"/>
    <x v="41"/>
    <s v="SHT0038"/>
    <n v="1"/>
    <s v="Shirt"/>
    <s v="Luke &amp; Burg"/>
    <s v="Formal"/>
    <s v="Lycra"/>
    <s v="XL"/>
    <s v="Black"/>
    <n v="940"/>
  </r>
  <r>
    <x v="620"/>
    <x v="41"/>
    <s v="INW1616"/>
    <n v="1"/>
    <s v="Innerwear"/>
    <s v="Jockey"/>
    <s v="V-Cut"/>
    <s v="Cotton"/>
    <s v="90-100"/>
    <s v="Maroon"/>
    <n v="150"/>
  </r>
  <r>
    <x v="620"/>
    <x v="41"/>
    <s v="INW1458"/>
    <n v="1"/>
    <s v="Innerwear"/>
    <s v="Jockey"/>
    <s v="V-Cut"/>
    <s v="Cotton Blend"/>
    <s v="75-80"/>
    <s v="Light Grey"/>
    <n v="150"/>
  </r>
  <r>
    <x v="620"/>
    <x v="41"/>
    <s v="TSH0545"/>
    <n v="1"/>
    <s v="T-Shirt"/>
    <s v="Urban Monkey"/>
    <s v="3/4 Sleeve"/>
    <s v="Poly Cotton"/>
    <s v="S"/>
    <s v="Maroon"/>
    <n v="370"/>
  </r>
  <r>
    <x v="620"/>
    <x v="41"/>
    <s v="SHT0136"/>
    <n v="1"/>
    <s v="Shirt"/>
    <s v="L7"/>
    <s v="Partywear"/>
    <s v="Lycra"/>
    <s v="XL"/>
    <s v="Brown"/>
    <n v="800"/>
  </r>
  <r>
    <x v="621"/>
    <x v="41"/>
    <s v="INW1655"/>
    <n v="1"/>
    <s v="Innerwear"/>
    <s v="Lux"/>
    <s v="V-Cut"/>
    <s v="Cotton"/>
    <s v="85-90"/>
    <s v="Sky Blue"/>
    <n v="190"/>
  </r>
  <r>
    <x v="621"/>
    <x v="41"/>
    <s v="PNT1251"/>
    <n v="1"/>
    <s v="Pants"/>
    <s v="Van Heusen"/>
    <s v="Polofit"/>
    <s v="Lycra"/>
    <n v="44"/>
    <s v="Royal Blue"/>
    <n v="810"/>
  </r>
  <r>
    <x v="622"/>
    <x v="41"/>
    <s v="TSH0675"/>
    <n v="1"/>
    <s v="T-Shirt"/>
    <s v="Max"/>
    <s v="Sleeveless"/>
    <s v="Cotton Blend"/>
    <s v="XL"/>
    <s v="Bottle Green"/>
    <n v="390"/>
  </r>
  <r>
    <x v="622"/>
    <x v="41"/>
    <s v="TSH0640"/>
    <n v="1"/>
    <s v="T-Shirt"/>
    <s v="Campus"/>
    <s v="Half Sleeve"/>
    <s v="Poly Cotton"/>
    <s v="XL"/>
    <s v="Light Grey"/>
    <n v="590"/>
  </r>
  <r>
    <x v="622"/>
    <x v="41"/>
    <s v="TSH0715"/>
    <n v="1"/>
    <s v="T-Shirt"/>
    <s v="Turkey"/>
    <s v="Full Sleeve"/>
    <s v="Cotton Blend"/>
    <s v="XXL"/>
    <s v="Maroon"/>
    <n v="550"/>
  </r>
  <r>
    <x v="622"/>
    <x v="41"/>
    <s v="SHT0088"/>
    <n v="1"/>
    <s v="Shirt"/>
    <s v="Luke &amp; Burg"/>
    <s v="Formal"/>
    <s v="Polyester"/>
    <s v="M"/>
    <s v="White"/>
    <n v="660"/>
  </r>
  <r>
    <x v="623"/>
    <x v="41"/>
    <s v="SHT0147"/>
    <n v="1"/>
    <s v="Shirt"/>
    <s v="Max"/>
    <s v="Partywear"/>
    <s v="Cotton"/>
    <s v="XXL"/>
    <s v="Navy Blue"/>
    <n v="740"/>
  </r>
  <r>
    <x v="623"/>
    <x v="41"/>
    <s v="TSH0437"/>
    <n v="1"/>
    <s v="T-Shirt"/>
    <s v="Roadster"/>
    <s v="3/4 Sleeve"/>
    <s v="Poly Cotton"/>
    <s v="S"/>
    <s v="Maroon"/>
    <n v="420"/>
  </r>
  <r>
    <x v="624"/>
    <x v="41"/>
    <s v="INW1611"/>
    <n v="1"/>
    <s v="Innerwear"/>
    <s v="Lux"/>
    <s v="Boxer"/>
    <s v="Cotton Blend"/>
    <s v="80-85"/>
    <s v="Light Grey"/>
    <n v="120"/>
  </r>
  <r>
    <x v="624"/>
    <x v="41"/>
    <s v="INW1485"/>
    <n v="1"/>
    <s v="Innerwear"/>
    <s v="Lux"/>
    <s v="Boxer"/>
    <s v="Cotton Blend"/>
    <s v="80-85"/>
    <s v="Light Grey"/>
    <n v="150"/>
  </r>
  <r>
    <x v="625"/>
    <x v="41"/>
    <s v="TSH0426"/>
    <n v="1"/>
    <s v="T-Shirt"/>
    <s v="Urban Monkey"/>
    <s v="Sleeveless"/>
    <s v="Poly Cotton"/>
    <s v="XXL"/>
    <s v="Peach"/>
    <n v="350"/>
  </r>
  <r>
    <x v="625"/>
    <x v="41"/>
    <s v="TSH0691"/>
    <n v="1"/>
    <s v="T-Shirt"/>
    <s v="Campus"/>
    <s v="Sleeveless"/>
    <s v="Cotton Blend"/>
    <s v="L"/>
    <s v="Maroon"/>
    <n v="720"/>
  </r>
  <r>
    <x v="625"/>
    <x v="41"/>
    <s v="INW1416"/>
    <n v="1"/>
    <s v="Innerwear"/>
    <s v="Rupa"/>
    <s v="V-Cut"/>
    <s v="Cotton Blend"/>
    <s v="85-90"/>
    <s v="Light Grey"/>
    <n v="170"/>
  </r>
  <r>
    <x v="626"/>
    <x v="41"/>
    <s v="SHT0117"/>
    <n v="1"/>
    <s v="Shirt"/>
    <s v="H&amp;M"/>
    <s v="Casual"/>
    <s v="Polyester"/>
    <s v="XL"/>
    <s v="Brown"/>
    <n v="910"/>
  </r>
  <r>
    <x v="627"/>
    <x v="41"/>
    <s v="INW1446"/>
    <n v="1"/>
    <s v="Innerwear"/>
    <s v="V Star"/>
    <s v="Boxer"/>
    <s v="Cotton Blend"/>
    <s v="105-110"/>
    <s v="Grey"/>
    <n v="180"/>
  </r>
  <r>
    <x v="627"/>
    <x v="41"/>
    <s v="PNT1352"/>
    <n v="1"/>
    <s v="Pants"/>
    <s v="Park Avenue"/>
    <s v="Boot Cut"/>
    <s v="Cotton"/>
    <n v="38"/>
    <s v="Teal"/>
    <n v="880"/>
  </r>
  <r>
    <x v="627"/>
    <x v="41"/>
    <s v="INW1523"/>
    <n v="1"/>
    <s v="Innerwear"/>
    <s v="Lux"/>
    <s v="V-Cut"/>
    <s v="Cotton"/>
    <s v="105-110"/>
    <s v="Mustard"/>
    <n v="190"/>
  </r>
  <r>
    <x v="627"/>
    <x v="41"/>
    <s v="SHT0238"/>
    <n v="1"/>
    <s v="Shirt"/>
    <s v="Luke &amp; Burg"/>
    <s v="Formal"/>
    <s v="Cotton Blend"/>
    <s v="M"/>
    <s v="Black"/>
    <n v="710"/>
  </r>
  <r>
    <x v="628"/>
    <x v="41"/>
    <s v="TSH0601"/>
    <n v="1"/>
    <s v="T-Shirt"/>
    <s v="Roadster"/>
    <s v="Full Sleeve"/>
    <s v="Cotton"/>
    <s v="L"/>
    <s v="White"/>
    <n v="630"/>
  </r>
  <r>
    <x v="629"/>
    <x v="41"/>
    <s v="JNS0967"/>
    <n v="1"/>
    <s v="Jeans"/>
    <s v="Levis"/>
    <s v="Mom Fit"/>
    <s v="Denim"/>
    <n v="44"/>
    <s v="Navy Blue"/>
    <n v="870"/>
  </r>
  <r>
    <x v="629"/>
    <x v="41"/>
    <s v="SHT0054"/>
    <n v="1"/>
    <s v="Shirt"/>
    <s v="Zara"/>
    <s v="Formal"/>
    <s v="Cotton"/>
    <s v="M"/>
    <s v="Dark Green"/>
    <n v="830"/>
  </r>
  <r>
    <x v="629"/>
    <x v="41"/>
    <s v="JNS0809"/>
    <n v="1"/>
    <s v="Jeans"/>
    <s v="Locomotive"/>
    <s v="Jogger"/>
    <s v="Denim"/>
    <n v="42"/>
    <s v="Grey"/>
    <n v="880"/>
  </r>
  <r>
    <x v="630"/>
    <x v="41"/>
    <s v="JNS0949"/>
    <n v="1"/>
    <s v="Jeans"/>
    <s v="Pepe"/>
    <s v="Jogger"/>
    <s v="Denim"/>
    <n v="32"/>
    <s v="Brown"/>
    <n v="980"/>
  </r>
  <r>
    <x v="630"/>
    <x v="41"/>
    <s v="INW1633"/>
    <n v="1"/>
    <s v="Innerwear"/>
    <s v="V Star"/>
    <s v="V-Cut"/>
    <s v="Cotton"/>
    <s v="75-80"/>
    <s v="Navy Blue"/>
    <n v="150"/>
  </r>
  <r>
    <x v="630"/>
    <x v="41"/>
    <s v="SHT0192"/>
    <n v="1"/>
    <s v="Shirt"/>
    <s v="Max"/>
    <s v="Formal"/>
    <s v="Cotton"/>
    <s v="L"/>
    <s v="Dark Green"/>
    <n v="680"/>
  </r>
  <r>
    <x v="631"/>
    <x v="42"/>
    <s v="TSH0455"/>
    <n v="1"/>
    <s v="T-Shirt"/>
    <s v="Thailand"/>
    <s v="Full Sleeve"/>
    <s v="Cotton Blend"/>
    <s v="M"/>
    <s v="Maroon"/>
    <n v="470"/>
  </r>
  <r>
    <x v="631"/>
    <x v="42"/>
    <s v="JNS0791"/>
    <n v="1"/>
    <s v="Jeans"/>
    <s v="Denim Pro"/>
    <s v="Jogger"/>
    <s v="Denim"/>
    <n v="40"/>
    <s v="Grey"/>
    <n v="870"/>
  </r>
  <r>
    <x v="632"/>
    <x v="42"/>
    <s v="SHT0123"/>
    <n v="1"/>
    <s v="Shirt"/>
    <s v="USD"/>
    <s v="Formal"/>
    <s v="Cotton"/>
    <s v="M"/>
    <s v="Brown"/>
    <n v="720"/>
  </r>
  <r>
    <x v="632"/>
    <x v="42"/>
    <s v="JNS0969"/>
    <n v="1"/>
    <s v="Jeans"/>
    <s v="Pepe"/>
    <s v="Jogger"/>
    <s v="Denim"/>
    <n v="32"/>
    <s v="Cream"/>
    <n v="1030"/>
  </r>
  <r>
    <x v="632"/>
    <x v="42"/>
    <s v="TSH0399"/>
    <n v="1"/>
    <s v="T-Shirt"/>
    <s v="Roadster"/>
    <s v="Full Sleeve"/>
    <s v="Poly Cotton"/>
    <s v="XXL"/>
    <s v="Black"/>
    <n v="630"/>
  </r>
  <r>
    <x v="632"/>
    <x v="42"/>
    <s v="PNT1258"/>
    <n v="1"/>
    <s v="Pants"/>
    <s v="Park Avenue"/>
    <s v="Korean"/>
    <s v="Lycra"/>
    <n v="28"/>
    <s v="Sky Blue"/>
    <n v="790"/>
  </r>
  <r>
    <x v="633"/>
    <x v="42"/>
    <s v="PNT1230"/>
    <n v="1"/>
    <s v="Pants"/>
    <s v="Louis Philippe"/>
    <s v="Polofit"/>
    <s v="Lycra"/>
    <n v="36"/>
    <s v="Grey"/>
    <n v="860"/>
  </r>
  <r>
    <x v="633"/>
    <x v="42"/>
    <s v="INW1407"/>
    <n v="1"/>
    <s v="Innerwear"/>
    <s v="Rupa"/>
    <s v="Boxer"/>
    <s v="Cotton"/>
    <s v="100-105"/>
    <s v="Navy Blue"/>
    <n v="150"/>
  </r>
  <r>
    <x v="633"/>
    <x v="42"/>
    <s v="PNT1306"/>
    <n v="1"/>
    <s v="Pants"/>
    <s v="Louis Philippe"/>
    <s v="Korean"/>
    <s v="Lycra"/>
    <n v="42"/>
    <s v="Black"/>
    <n v="740"/>
  </r>
  <r>
    <x v="634"/>
    <x v="42"/>
    <s v="JNS0776"/>
    <n v="1"/>
    <s v="Jeans"/>
    <s v="Pepe"/>
    <s v="Mom Fit"/>
    <s v="Denim"/>
    <n v="36"/>
    <s v="Navy Blue"/>
    <n v="1080"/>
  </r>
  <r>
    <x v="634"/>
    <x v="42"/>
    <s v="JNS0814"/>
    <n v="1"/>
    <s v="Jeans"/>
    <s v="Wrangler"/>
    <s v="Baggy"/>
    <s v="Denim"/>
    <n v="42"/>
    <s v="Black"/>
    <n v="930"/>
  </r>
  <r>
    <x v="634"/>
    <x v="42"/>
    <s v="PNT1359"/>
    <n v="1"/>
    <s v="Pants"/>
    <s v="Van Heusen"/>
    <s v="Boot Cut"/>
    <s v="Cotton"/>
    <n v="32"/>
    <s v="Cream"/>
    <n v="810"/>
  </r>
  <r>
    <x v="634"/>
    <x v="42"/>
    <s v="JNS0964"/>
    <n v="1"/>
    <s v="Jeans"/>
    <s v="Denim Pro"/>
    <s v="Baggy"/>
    <s v="Denim"/>
    <n v="38"/>
    <s v="Brown"/>
    <n v="970"/>
  </r>
  <r>
    <x v="635"/>
    <x v="42"/>
    <s v="SHT0074"/>
    <n v="1"/>
    <s v="Shirt"/>
    <s v="L7"/>
    <s v="Casual"/>
    <s v="Polyester"/>
    <s v="XXL"/>
    <s v="Grey"/>
    <n v="850"/>
  </r>
  <r>
    <x v="635"/>
    <x v="42"/>
    <s v="SHT0274"/>
    <n v="1"/>
    <s v="Shirt"/>
    <s v="USD"/>
    <s v="Casual"/>
    <s v="Cotton"/>
    <s v="S"/>
    <s v="Wine"/>
    <n v="900"/>
  </r>
  <r>
    <x v="636"/>
    <x v="42"/>
    <s v="TSH0641"/>
    <n v="1"/>
    <s v="T-Shirt"/>
    <s v="Urban Monkey"/>
    <s v="Full Sleeve"/>
    <s v="Poly Cotton"/>
    <s v="XXL"/>
    <s v="Olive"/>
    <n v="570"/>
  </r>
  <r>
    <x v="636"/>
    <x v="42"/>
    <s v="SHT0072"/>
    <n v="1"/>
    <s v="Shirt"/>
    <s v="L7"/>
    <s v="Casual"/>
    <s v="Cotton Blend"/>
    <s v="S"/>
    <s v="Charcoal"/>
    <n v="860"/>
  </r>
  <r>
    <x v="636"/>
    <x v="42"/>
    <s v="PNT1322"/>
    <n v="1"/>
    <s v="Pants"/>
    <s v="Louis Philippe"/>
    <s v="Jogger"/>
    <s v="Cotton"/>
    <n v="30"/>
    <s v="White"/>
    <n v="730"/>
  </r>
  <r>
    <x v="637"/>
    <x v="42"/>
    <s v="TSH0634"/>
    <n v="1"/>
    <s v="T-Shirt"/>
    <s v="Campus"/>
    <s v="Full Sleeve"/>
    <s v="Cotton"/>
    <s v="L"/>
    <s v="Teal"/>
    <n v="750"/>
  </r>
  <r>
    <x v="637"/>
    <x v="42"/>
    <s v="SHT0333"/>
    <n v="1"/>
    <s v="Shirt"/>
    <s v="Zara"/>
    <s v="Partywear"/>
    <s v="Polyester"/>
    <s v="L"/>
    <s v="Black"/>
    <n v="790"/>
  </r>
  <r>
    <x v="637"/>
    <x v="42"/>
    <s v="JNS0967"/>
    <n v="1"/>
    <s v="Jeans"/>
    <s v="Levis"/>
    <s v="Mom Fit"/>
    <s v="Denim"/>
    <n v="44"/>
    <s v="Navy Blue"/>
    <n v="870"/>
  </r>
  <r>
    <x v="637"/>
    <x v="42"/>
    <s v="JNS0932"/>
    <n v="1"/>
    <s v="Jeans"/>
    <s v="Wrangler"/>
    <s v="Mom Fit"/>
    <s v="Denim"/>
    <n v="42"/>
    <s v="Light Grey"/>
    <n v="880"/>
  </r>
  <r>
    <x v="638"/>
    <x v="42"/>
    <s v="TSH0728"/>
    <n v="1"/>
    <s v="T-Shirt"/>
    <s v="Max"/>
    <s v="Hoodie"/>
    <s v="Cotton Blend"/>
    <s v="XXL"/>
    <s v="Beige"/>
    <n v="590"/>
  </r>
  <r>
    <x v="638"/>
    <x v="42"/>
    <s v="SHT0040"/>
    <n v="1"/>
    <s v="Shirt"/>
    <s v="Thailand"/>
    <s v="Formal"/>
    <s v="Cotton"/>
    <s v="XXL"/>
    <s v="Dark Green"/>
    <n v="700"/>
  </r>
  <r>
    <x v="638"/>
    <x v="42"/>
    <s v="SHT0019"/>
    <n v="1"/>
    <s v="Shirt"/>
    <s v="Thailand"/>
    <s v="Partywear"/>
    <s v="Cotton"/>
    <s v="S"/>
    <s v="Dark Green"/>
    <n v="820"/>
  </r>
  <r>
    <x v="639"/>
    <x v="42"/>
    <s v="SHT0057"/>
    <n v="1"/>
    <s v="Shirt"/>
    <s v="H&amp;M"/>
    <s v="Casual"/>
    <s v="Lycra"/>
    <s v="M"/>
    <s v="Olive"/>
    <n v="760"/>
  </r>
  <r>
    <x v="639"/>
    <x v="42"/>
    <s v="SHT0151"/>
    <n v="1"/>
    <s v="Shirt"/>
    <s v="H&amp;M"/>
    <s v="Casual"/>
    <s v="Lycra"/>
    <s v="M"/>
    <s v="Olive"/>
    <n v="720"/>
  </r>
  <r>
    <x v="639"/>
    <x v="42"/>
    <s v="PNT1248"/>
    <n v="1"/>
    <s v="Pants"/>
    <s v="Raymond"/>
    <s v="Jogger"/>
    <s v="Cotton"/>
    <n v="30"/>
    <s v="Mustard"/>
    <n v="750"/>
  </r>
  <r>
    <x v="640"/>
    <x v="42"/>
    <s v="TSH0382"/>
    <n v="1"/>
    <s v="T-Shirt"/>
    <s v="Zara"/>
    <s v="3/4 Sleeve"/>
    <s v="Cotton Blend"/>
    <s v="XL"/>
    <s v="Charcoal"/>
    <n v="440"/>
  </r>
  <r>
    <x v="640"/>
    <x v="42"/>
    <s v="SHT0262"/>
    <n v="1"/>
    <s v="Shirt"/>
    <s v="Max"/>
    <s v="Casual"/>
    <s v="Cotton Blend"/>
    <s v="XL"/>
    <s v="Navy Blue"/>
    <n v="870"/>
  </r>
  <r>
    <x v="640"/>
    <x v="42"/>
    <s v="JNS0918"/>
    <n v="1"/>
    <s v="Jeans"/>
    <s v="Locomotive"/>
    <s v="Baggy"/>
    <s v="Denim"/>
    <n v="30"/>
    <s v="Teal"/>
    <n v="850"/>
  </r>
  <r>
    <x v="640"/>
    <x v="42"/>
    <s v="TSH0479"/>
    <n v="1"/>
    <s v="T-Shirt"/>
    <s v="Thailand"/>
    <s v="Sleeveless"/>
    <s v="Cotton"/>
    <s v="M"/>
    <s v="White"/>
    <n v="550"/>
  </r>
  <r>
    <x v="641"/>
    <x v="42"/>
    <s v="PNT1104"/>
    <n v="1"/>
    <s v="Pants"/>
    <s v="Peter England"/>
    <s v="Jogger"/>
    <s v="Cotton Blend"/>
    <n v="34"/>
    <s v="Wine"/>
    <n v="830"/>
  </r>
  <r>
    <x v="641"/>
    <x v="42"/>
    <s v="INW1579"/>
    <n v="1"/>
    <s v="Innerwear"/>
    <s v="Lux"/>
    <s v="V-Cut"/>
    <s v="Cotton Blend"/>
    <s v="85-90"/>
    <s v="Maroon"/>
    <n v="120"/>
  </r>
  <r>
    <x v="642"/>
    <x v="43"/>
    <s v="SHT0286"/>
    <n v="1"/>
    <s v="Shirt"/>
    <s v="Luke &amp; Burg"/>
    <s v="Formal"/>
    <s v="Lycra"/>
    <s v="L"/>
    <s v="Light Grey"/>
    <n v="770"/>
  </r>
  <r>
    <x v="642"/>
    <x v="43"/>
    <s v="INW1618"/>
    <n v="1"/>
    <s v="Innerwear"/>
    <s v="Rupa"/>
    <s v="V-Cut"/>
    <s v="Cotton"/>
    <s v="75-80"/>
    <s v="Bottle Green"/>
    <n v="180"/>
  </r>
  <r>
    <x v="643"/>
    <x v="43"/>
    <s v="SHT0161"/>
    <n v="1"/>
    <s v="Shirt"/>
    <s v="Luke &amp; Burg"/>
    <s v="Formal"/>
    <s v="Lycra"/>
    <s v="M"/>
    <s v="Dark Green"/>
    <n v="750"/>
  </r>
  <r>
    <x v="643"/>
    <x v="43"/>
    <s v="INW1482"/>
    <n v="1"/>
    <s v="Innerwear"/>
    <s v="Lux"/>
    <s v="V-Cut"/>
    <s v="Cotton"/>
    <s v="100-105"/>
    <s v="Grey"/>
    <n v="150"/>
  </r>
  <r>
    <x v="644"/>
    <x v="43"/>
    <s v="INW1444"/>
    <n v="1"/>
    <s v="Innerwear"/>
    <s v="Dollar"/>
    <s v="V-Cut"/>
    <s v="Cotton"/>
    <s v="90-100"/>
    <s v="Rust"/>
    <n v="160"/>
  </r>
  <r>
    <x v="644"/>
    <x v="43"/>
    <s v="TSH0379"/>
    <n v="1"/>
    <s v="T-Shirt"/>
    <s v="Turkey"/>
    <s v="Hoodie"/>
    <s v="Cotton"/>
    <s v="XXL"/>
    <s v="Rust"/>
    <n v="420"/>
  </r>
  <r>
    <x v="644"/>
    <x v="43"/>
    <s v="SHT0132"/>
    <n v="1"/>
    <s v="Shirt"/>
    <s v="Zara"/>
    <s v="Formal"/>
    <s v="Cotton Blend"/>
    <s v="XXL"/>
    <s v="Peach"/>
    <n v="780"/>
  </r>
  <r>
    <x v="645"/>
    <x v="43"/>
    <s v="TSH0769"/>
    <n v="1"/>
    <s v="T-Shirt"/>
    <s v="Thailand"/>
    <s v="3/4 Sleeve"/>
    <s v="Poly Cotton"/>
    <s v="XXL"/>
    <s v="Beige"/>
    <n v="400"/>
  </r>
  <r>
    <x v="645"/>
    <x v="43"/>
    <s v="SHT0001"/>
    <n v="1"/>
    <s v="Shirt"/>
    <s v="L7"/>
    <s v="Formal"/>
    <s v="Cotton Blend"/>
    <s v="M"/>
    <s v="Charcoal"/>
    <n v="860"/>
  </r>
  <r>
    <x v="645"/>
    <x v="43"/>
    <s v="INW1469"/>
    <n v="1"/>
    <s v="Innerwear"/>
    <s v="V Star"/>
    <s v="V-Cut"/>
    <s v="Cotton Blend"/>
    <s v="105-110"/>
    <s v="Peach"/>
    <n v="120"/>
  </r>
  <r>
    <x v="646"/>
    <x v="43"/>
    <s v="TSH0585"/>
    <n v="1"/>
    <s v="T-Shirt"/>
    <s v="Thailand"/>
    <s v="Half Sleeve"/>
    <s v="Cotton"/>
    <s v="L"/>
    <s v="Charcoal"/>
    <n v="700"/>
  </r>
  <r>
    <x v="646"/>
    <x v="43"/>
    <s v="TSH0596"/>
    <n v="1"/>
    <s v="T-Shirt"/>
    <s v="Campus"/>
    <s v="3/4 Sleeve"/>
    <s v="Cotton Blend"/>
    <s v="M"/>
    <s v="Sky Blue"/>
    <n v="370"/>
  </r>
  <r>
    <x v="646"/>
    <x v="43"/>
    <s v="TSH0383"/>
    <n v="1"/>
    <s v="T-Shirt"/>
    <s v="Max"/>
    <s v="Sleeveless"/>
    <s v="Cotton"/>
    <s v="XXL"/>
    <s v="Rust"/>
    <n v="610"/>
  </r>
  <r>
    <x v="647"/>
    <x v="43"/>
    <s v="INW1408"/>
    <n v="1"/>
    <s v="Innerwear"/>
    <s v="Dollar"/>
    <s v="Boxer"/>
    <s v="Cotton Blend"/>
    <s v="80-85"/>
    <s v="Maroon"/>
    <n v="120"/>
  </r>
  <r>
    <x v="648"/>
    <x v="43"/>
    <s v="JNS1022"/>
    <n v="1"/>
    <s v="Jeans"/>
    <s v="Pepe"/>
    <s v="Mom Fit"/>
    <s v="Denim"/>
    <n v="36"/>
    <s v="Grey"/>
    <n v="1010"/>
  </r>
  <r>
    <x v="648"/>
    <x v="43"/>
    <s v="SHT0288"/>
    <n v="1"/>
    <s v="Shirt"/>
    <s v="L7"/>
    <s v="Casual"/>
    <s v="Polyester"/>
    <s v="M"/>
    <s v="Grey"/>
    <n v="640"/>
  </r>
  <r>
    <x v="648"/>
    <x v="43"/>
    <s v="INW1392"/>
    <n v="1"/>
    <s v="Innerwear"/>
    <s v="Rupa"/>
    <s v="Boxer"/>
    <s v="Cotton"/>
    <s v="100-105"/>
    <s v="Rust"/>
    <n v="110"/>
  </r>
  <r>
    <x v="649"/>
    <x v="43"/>
    <s v="TSH0451"/>
    <n v="1"/>
    <s v="T-Shirt"/>
    <s v="Zara"/>
    <s v="Half Sleeve"/>
    <s v="Cotton"/>
    <s v="XL"/>
    <s v="Navy Blue"/>
    <n v="710"/>
  </r>
  <r>
    <x v="649"/>
    <x v="43"/>
    <s v="INW1617"/>
    <n v="1"/>
    <s v="Innerwear"/>
    <s v="V Star"/>
    <s v="V-Cut"/>
    <s v="Cotton Blend"/>
    <s v="75-80"/>
    <s v="Teal"/>
    <n v="150"/>
  </r>
  <r>
    <x v="649"/>
    <x v="43"/>
    <s v="TSH0404"/>
    <n v="1"/>
    <s v="T-Shirt"/>
    <s v="Urban Monkey"/>
    <s v="Full Sleeve"/>
    <s v="Poly Cotton"/>
    <s v="L"/>
    <s v="Olive"/>
    <n v="290"/>
  </r>
  <r>
    <x v="649"/>
    <x v="43"/>
    <s v="PNT1177"/>
    <n v="1"/>
    <s v="Pants"/>
    <s v="Louis Philippe"/>
    <s v="Polofit"/>
    <s v="Lycra"/>
    <n v="34"/>
    <s v="Grey"/>
    <n v="860"/>
  </r>
  <r>
    <x v="650"/>
    <x v="43"/>
    <s v="INW1576"/>
    <n v="1"/>
    <s v="Innerwear"/>
    <s v="V Star"/>
    <s v="Boxer"/>
    <s v="Cotton Blend"/>
    <s v="100-105"/>
    <s v="Dark Green"/>
    <n v="170"/>
  </r>
  <r>
    <x v="650"/>
    <x v="43"/>
    <s v="INW1578"/>
    <n v="1"/>
    <s v="Innerwear"/>
    <s v="Lux"/>
    <s v="V-Cut"/>
    <s v="Cotton"/>
    <s v="85-90"/>
    <s v="Dark Green"/>
    <n v="160"/>
  </r>
  <r>
    <x v="651"/>
    <x v="44"/>
    <s v="INW1623"/>
    <n v="1"/>
    <s v="Innerwear"/>
    <s v="Dollar"/>
    <s v="Boxer"/>
    <s v="Cotton"/>
    <s v="100-105"/>
    <s v="Royal Blue"/>
    <n v="180"/>
  </r>
  <r>
    <x v="651"/>
    <x v="44"/>
    <s v="TSH0689"/>
    <n v="1"/>
    <s v="T-Shirt"/>
    <s v="Campus"/>
    <s v="3/4 Sleeve"/>
    <s v="Poly Cotton"/>
    <s v="XXL"/>
    <s v="Maroon"/>
    <n v="650"/>
  </r>
  <r>
    <x v="651"/>
    <x v="44"/>
    <s v="INW1606"/>
    <n v="1"/>
    <s v="Innerwear"/>
    <s v="Lux"/>
    <s v="V-Cut"/>
    <s v="Cotton"/>
    <s v="105-110"/>
    <s v="Cream"/>
    <n v="160"/>
  </r>
  <r>
    <x v="651"/>
    <x v="44"/>
    <s v="SHT0068"/>
    <n v="1"/>
    <s v="Shirt"/>
    <s v="Thailand"/>
    <s v="Partywear"/>
    <s v="Lycra"/>
    <s v="M"/>
    <s v="Bottle Green"/>
    <n v="880"/>
  </r>
  <r>
    <x v="652"/>
    <x v="44"/>
    <s v="PNT1104"/>
    <n v="1"/>
    <s v="Pants"/>
    <s v="Peter England"/>
    <s v="Jogger"/>
    <s v="Cotton Blend"/>
    <n v="34"/>
    <s v="Wine"/>
    <n v="830"/>
  </r>
  <r>
    <x v="652"/>
    <x v="44"/>
    <s v="SHT0177"/>
    <n v="1"/>
    <s v="Shirt"/>
    <s v="Thailand"/>
    <s v="Formal"/>
    <s v="Cotton"/>
    <s v="S"/>
    <s v="Maroon"/>
    <n v="820"/>
  </r>
  <r>
    <x v="652"/>
    <x v="44"/>
    <s v="INW1402"/>
    <n v="1"/>
    <s v="Innerwear"/>
    <s v="Lux"/>
    <s v="Boxer"/>
    <s v="Cotton Blend"/>
    <s v="75-80"/>
    <s v="Navy Blue"/>
    <n v="140"/>
  </r>
  <r>
    <x v="652"/>
    <x v="44"/>
    <s v="SHT0091"/>
    <n v="1"/>
    <s v="Shirt"/>
    <s v="G Studio"/>
    <s v="Partywear"/>
    <s v="Cotton"/>
    <s v="S"/>
    <s v="Black"/>
    <n v="750"/>
  </r>
  <r>
    <x v="653"/>
    <x v="44"/>
    <s v="INW1614"/>
    <n v="1"/>
    <s v="Innerwear"/>
    <s v="Jockey"/>
    <s v="V-Cut"/>
    <s v="Cotton Blend"/>
    <s v="85-90"/>
    <s v="Navy Blue"/>
    <n v="170"/>
  </r>
  <r>
    <x v="653"/>
    <x v="44"/>
    <s v="PNT1266"/>
    <n v="1"/>
    <s v="Pants"/>
    <s v="Peter England"/>
    <s v="Kurka"/>
    <s v="Lycra"/>
    <n v="32"/>
    <s v="Peach"/>
    <n v="850"/>
  </r>
  <r>
    <x v="654"/>
    <x v="44"/>
    <s v="TSH0527"/>
    <n v="1"/>
    <s v="T-Shirt"/>
    <s v="Turkey"/>
    <s v="3/4 Sleeve"/>
    <s v="Poly Cotton"/>
    <s v="S"/>
    <s v="Charcoal"/>
    <n v="560"/>
  </r>
  <r>
    <x v="654"/>
    <x v="44"/>
    <s v="TSH0420"/>
    <n v="1"/>
    <s v="T-Shirt"/>
    <s v="Turkey"/>
    <s v="3/4 Sleeve"/>
    <s v="Poly Cotton"/>
    <s v="XXL"/>
    <s v="Navy Blue"/>
    <n v="650"/>
  </r>
  <r>
    <x v="655"/>
    <x v="44"/>
    <s v="TSH0710"/>
    <n v="1"/>
    <s v="T-Shirt"/>
    <s v="Campus"/>
    <s v="Half Sleeve"/>
    <s v="Cotton Blend"/>
    <s v="XL"/>
    <s v="Peach"/>
    <n v="450"/>
  </r>
  <r>
    <x v="656"/>
    <x v="44"/>
    <s v="PNT1149"/>
    <n v="1"/>
    <s v="Pants"/>
    <s v="Peter England"/>
    <s v="Korean"/>
    <s v="Lycra"/>
    <n v="34"/>
    <s v="Rust"/>
    <n v="800"/>
  </r>
  <r>
    <x v="657"/>
    <x v="44"/>
    <s v="SHT0266"/>
    <n v="1"/>
    <s v="Shirt"/>
    <s v="Max"/>
    <s v="Formal"/>
    <s v="Cotton"/>
    <s v="M"/>
    <s v="Navy Blue"/>
    <n v="880"/>
  </r>
  <r>
    <x v="657"/>
    <x v="44"/>
    <s v="TSH0638"/>
    <n v="1"/>
    <s v="T-Shirt"/>
    <s v="Urban Monkey"/>
    <s v="Sleeveless"/>
    <s v="Cotton"/>
    <s v="XXL"/>
    <s v="Sky Blue"/>
    <n v="290"/>
  </r>
  <r>
    <x v="196"/>
    <x v="13"/>
    <s v="SHT0320"/>
    <n v="1"/>
    <s v="Shirt"/>
    <s v="USD"/>
    <s v="Partywear"/>
    <s v="Polyester"/>
    <s v="L"/>
    <s v="Olive"/>
    <n v="750"/>
  </r>
  <r>
    <x v="657"/>
    <x v="44"/>
    <s v="SHT0073"/>
    <n v="1"/>
    <s v="Shirt"/>
    <s v="G Studio"/>
    <s v="Formal"/>
    <s v="Cotton"/>
    <s v="S"/>
    <s v="Charcoal"/>
    <n v="710"/>
  </r>
  <r>
    <x v="658"/>
    <x v="44"/>
    <s v="TSH0637"/>
    <n v="1"/>
    <s v="T-Shirt"/>
    <s v="Zara"/>
    <s v="Sleeveless"/>
    <s v="Cotton"/>
    <s v="XL"/>
    <s v="Grey"/>
    <n v="340"/>
  </r>
  <r>
    <x v="658"/>
    <x v="44"/>
    <s v="PNT1229"/>
    <n v="1"/>
    <s v="Pants"/>
    <s v="Louis Philippe"/>
    <s v="Boot Cut"/>
    <s v="Cotton"/>
    <n v="42"/>
    <s v="Royal Blue"/>
    <n v="800"/>
  </r>
  <r>
    <x v="658"/>
    <x v="44"/>
    <s v="TSH0380"/>
    <n v="1"/>
    <s v="T-Shirt"/>
    <s v="Urban Monkey"/>
    <s v="Full Sleeve"/>
    <s v="Poly Cotton"/>
    <s v="S"/>
    <s v="Wine"/>
    <n v="480"/>
  </r>
  <r>
    <x v="659"/>
    <x v="44"/>
    <s v="TSH0712"/>
    <n v="1"/>
    <s v="T-Shirt"/>
    <s v="Roadster"/>
    <s v="Full Sleeve"/>
    <s v="Cotton"/>
    <s v="XXL"/>
    <s v="White"/>
    <n v="620"/>
  </r>
  <r>
    <x v="660"/>
    <x v="44"/>
    <s v="PNT1269"/>
    <n v="1"/>
    <s v="Pants"/>
    <s v="Raymond"/>
    <s v="Korean"/>
    <s v="Lycra"/>
    <n v="36"/>
    <s v="White"/>
    <n v="740"/>
  </r>
  <r>
    <x v="660"/>
    <x v="44"/>
    <s v="INW1437"/>
    <n v="1"/>
    <s v="Innerwear"/>
    <s v="Rupa"/>
    <s v="Boxer"/>
    <s v="Cotton Blend"/>
    <s v="90-100"/>
    <s v="Royal Blue"/>
    <n v="130"/>
  </r>
  <r>
    <x v="661"/>
    <x v="44"/>
    <s v="SHT0212"/>
    <n v="1"/>
    <s v="Shirt"/>
    <s v="British"/>
    <s v="Casual"/>
    <s v="Lycra"/>
    <s v="M"/>
    <s v="Sky Blue"/>
    <n v="910"/>
  </r>
  <r>
    <x v="661"/>
    <x v="44"/>
    <s v="PNT1099"/>
    <n v="1"/>
    <s v="Pants"/>
    <s v="Louis Philippe"/>
    <s v="Polofit"/>
    <s v="Lycra"/>
    <n v="28"/>
    <s v="Peach"/>
    <n v="730"/>
  </r>
  <r>
    <x v="662"/>
    <x v="44"/>
    <s v="INW1493"/>
    <n v="1"/>
    <s v="Innerwear"/>
    <s v="Dollar"/>
    <s v="V-Cut"/>
    <s v="Cotton"/>
    <s v="105-110"/>
    <s v="Dark Green"/>
    <n v="110"/>
  </r>
  <r>
    <x v="662"/>
    <x v="44"/>
    <s v="INW1375"/>
    <n v="1"/>
    <s v="Innerwear"/>
    <s v="Rupa"/>
    <s v="V-Cut"/>
    <s v="Cotton"/>
    <s v="90-100"/>
    <s v="Brown"/>
    <n v="100"/>
  </r>
  <r>
    <x v="662"/>
    <x v="44"/>
    <s v="TSH0600"/>
    <n v="1"/>
    <s v="T-Shirt"/>
    <s v="Zara"/>
    <s v="Full Sleeve"/>
    <s v="Cotton"/>
    <s v="M"/>
    <s v="Grey"/>
    <n v="500"/>
  </r>
  <r>
    <x v="662"/>
    <x v="44"/>
    <s v="PNT1192"/>
    <n v="1"/>
    <s v="Pants"/>
    <s v="Raymond"/>
    <s v="Boot Cut"/>
    <s v="Poly Viscose"/>
    <n v="32"/>
    <s v="Cream"/>
    <n v="760"/>
  </r>
  <r>
    <x v="663"/>
    <x v="44"/>
    <s v="INW1402"/>
    <n v="1"/>
    <s v="Innerwear"/>
    <s v="Lux"/>
    <s v="Boxer"/>
    <s v="Cotton Blend"/>
    <s v="75-80"/>
    <s v="Navy Blue"/>
    <n v="140"/>
  </r>
  <r>
    <x v="663"/>
    <x v="44"/>
    <s v="SHT0218"/>
    <n v="1"/>
    <s v="Shirt"/>
    <s v="H&amp;M"/>
    <s v="Partywear"/>
    <s v="Cotton"/>
    <s v="XL"/>
    <s v="Light Grey"/>
    <n v="800"/>
  </r>
  <r>
    <x v="663"/>
    <x v="44"/>
    <s v="PNT1157"/>
    <n v="1"/>
    <s v="Pants"/>
    <s v="Louis Philippe"/>
    <s v="Kurka"/>
    <s v="Lycra"/>
    <n v="34"/>
    <s v="Maroon"/>
    <n v="910"/>
  </r>
  <r>
    <x v="663"/>
    <x v="44"/>
    <s v="SHT0180"/>
    <n v="1"/>
    <s v="Shirt"/>
    <s v="Max"/>
    <s v="Casual"/>
    <s v="Cotton"/>
    <s v="XL"/>
    <s v="Wine"/>
    <n v="800"/>
  </r>
  <r>
    <x v="664"/>
    <x v="44"/>
    <s v="SHT0302"/>
    <n v="1"/>
    <s v="Shirt"/>
    <s v="Zara"/>
    <s v="Casual"/>
    <s v="Cotton Blend"/>
    <s v="XL"/>
    <s v="Maroon"/>
    <n v="700"/>
  </r>
  <r>
    <x v="664"/>
    <x v="44"/>
    <s v="TSH0468"/>
    <n v="1"/>
    <s v="T-Shirt"/>
    <s v="Roadster"/>
    <s v="Hoodie"/>
    <s v="Poly Cotton"/>
    <s v="M"/>
    <s v="Beige"/>
    <n v="670"/>
  </r>
  <r>
    <x v="665"/>
    <x v="44"/>
    <s v="INW1607"/>
    <n v="1"/>
    <s v="Innerwear"/>
    <s v="Dollar"/>
    <s v="Boxer"/>
    <s v="Cotton"/>
    <s v="75-80"/>
    <s v="Light Grey"/>
    <n v="180"/>
  </r>
  <r>
    <x v="665"/>
    <x v="44"/>
    <s v="INW1469"/>
    <n v="1"/>
    <s v="Innerwear"/>
    <s v="V Star"/>
    <s v="V-Cut"/>
    <s v="Cotton Blend"/>
    <s v="105-110"/>
    <s v="Peach"/>
    <n v="120"/>
  </r>
  <r>
    <x v="666"/>
    <x v="44"/>
    <s v="PNT1094"/>
    <n v="1"/>
    <s v="Pants"/>
    <s v="Park Avenue"/>
    <s v="Jogger"/>
    <s v="Cotton Blend"/>
    <n v="44"/>
    <s v="Dark Green"/>
    <n v="770"/>
  </r>
  <r>
    <x v="667"/>
    <x v="45"/>
    <s v="INW1399"/>
    <n v="1"/>
    <s v="Innerwear"/>
    <s v="Dollar"/>
    <s v="V-Cut"/>
    <s v="Cotton"/>
    <s v="100-105"/>
    <s v="Rust"/>
    <n v="160"/>
  </r>
  <r>
    <x v="667"/>
    <x v="45"/>
    <s v="PNT1298"/>
    <n v="1"/>
    <s v="Pants"/>
    <s v="Park Avenue"/>
    <s v="Korean"/>
    <s v="Lycra"/>
    <n v="32"/>
    <s v="Dark Green"/>
    <n v="910"/>
  </r>
  <r>
    <x v="667"/>
    <x v="45"/>
    <s v="SHT0340"/>
    <n v="1"/>
    <s v="Shirt"/>
    <s v="Luke &amp; Burg"/>
    <s v="Formal"/>
    <s v="Lycra"/>
    <s v="XL"/>
    <s v="Teal"/>
    <n v="820"/>
  </r>
  <r>
    <x v="667"/>
    <x v="45"/>
    <s v="SHT0342"/>
    <n v="1"/>
    <s v="Shirt"/>
    <s v="G Studio"/>
    <s v="Formal"/>
    <s v="Cotton"/>
    <s v="XXL"/>
    <s v="White"/>
    <n v="720"/>
  </r>
  <r>
    <x v="668"/>
    <x v="45"/>
    <s v="INW1388"/>
    <n v="1"/>
    <s v="Innerwear"/>
    <s v="Lux"/>
    <s v="V-Cut"/>
    <s v="Cotton Blend"/>
    <s v="90-100"/>
    <s v="Mustard"/>
    <n v="180"/>
  </r>
  <r>
    <x v="668"/>
    <x v="45"/>
    <s v="JNS0800"/>
    <n v="1"/>
    <s v="Jeans"/>
    <s v="Levis"/>
    <s v="Mom Fit"/>
    <s v="Denim"/>
    <n v="34"/>
    <s v="Cream"/>
    <n v="910"/>
  </r>
  <r>
    <x v="668"/>
    <x v="45"/>
    <s v="INW1593"/>
    <n v="1"/>
    <s v="Innerwear"/>
    <s v="Rupa"/>
    <s v="Boxer"/>
    <s v="Cotton"/>
    <s v="100-105"/>
    <s v="Sky Blue"/>
    <n v="100"/>
  </r>
  <r>
    <x v="669"/>
    <x v="45"/>
    <s v="PNT1086"/>
    <n v="1"/>
    <s v="Pants"/>
    <s v="Raymond"/>
    <s v="Korean"/>
    <s v="Lycra"/>
    <n v="28"/>
    <s v="Beige"/>
    <n v="950"/>
  </r>
  <r>
    <x v="669"/>
    <x v="45"/>
    <s v="TSH0398"/>
    <n v="1"/>
    <s v="T-Shirt"/>
    <s v="Urban Monkey"/>
    <s v="Sleeveless"/>
    <s v="Cotton Blend"/>
    <s v="S"/>
    <s v="Light Grey"/>
    <n v="410"/>
  </r>
  <r>
    <x v="670"/>
    <x v="45"/>
    <s v="TSH0381"/>
    <n v="1"/>
    <s v="T-Shirt"/>
    <s v="Zara"/>
    <s v="Sleeveless"/>
    <s v="Cotton"/>
    <s v="S"/>
    <s v="Mustard"/>
    <n v="250"/>
  </r>
  <r>
    <x v="670"/>
    <x v="45"/>
    <s v="PNT1219"/>
    <n v="1"/>
    <s v="Pants"/>
    <s v="Park Avenue"/>
    <s v="Boot Cut"/>
    <s v="Poly Viscose"/>
    <n v="38"/>
    <s v="Rust"/>
    <n v="940"/>
  </r>
  <r>
    <x v="670"/>
    <x v="45"/>
    <s v="TSH0539"/>
    <n v="1"/>
    <s v="T-Shirt"/>
    <s v="Roadster"/>
    <s v="Sleeveless"/>
    <s v="Cotton"/>
    <s v="S"/>
    <s v="Teal"/>
    <n v="620"/>
  </r>
  <r>
    <x v="671"/>
    <x v="45"/>
    <s v="INW1550"/>
    <n v="1"/>
    <s v="Innerwear"/>
    <s v="Dollar"/>
    <s v="Boxer"/>
    <s v="Cotton Blend"/>
    <s v="75-80"/>
    <s v="Dark Green"/>
    <n v="100"/>
  </r>
  <r>
    <x v="671"/>
    <x v="45"/>
    <s v="TSH0530"/>
    <n v="1"/>
    <s v="T-Shirt"/>
    <s v="Campus"/>
    <s v="Half Sleeve"/>
    <s v="Cotton"/>
    <s v="XL"/>
    <s v="Cream"/>
    <n v="290"/>
  </r>
  <r>
    <x v="671"/>
    <x v="45"/>
    <s v="JNS1055"/>
    <n v="1"/>
    <s v="Jeans"/>
    <s v="Denim Pro"/>
    <s v="Mom Fit"/>
    <s v="Denim"/>
    <n v="40"/>
    <s v="Dark Green"/>
    <n v="960"/>
  </r>
  <r>
    <x v="672"/>
    <x v="45"/>
    <s v="INW1471"/>
    <n v="1"/>
    <s v="Innerwear"/>
    <s v="Rupa"/>
    <s v="Boxer"/>
    <s v="Cotton Blend"/>
    <s v="105-110"/>
    <s v="Olive"/>
    <n v="120"/>
  </r>
  <r>
    <x v="673"/>
    <x v="45"/>
    <s v="TSH0512"/>
    <n v="1"/>
    <s v="T-Shirt"/>
    <s v="Thailand"/>
    <s v="Hoodie"/>
    <s v="Cotton"/>
    <s v="M"/>
    <s v="Sky Blue"/>
    <n v="590"/>
  </r>
  <r>
    <x v="673"/>
    <x v="45"/>
    <s v="TSH0606"/>
    <n v="1"/>
    <s v="T-Shirt"/>
    <s v="Roadster"/>
    <s v="Full Sleeve"/>
    <s v="Cotton Blend"/>
    <s v="S"/>
    <s v="Wine"/>
    <n v="660"/>
  </r>
  <r>
    <x v="674"/>
    <x v="45"/>
    <s v="INW1394"/>
    <n v="1"/>
    <s v="Innerwear"/>
    <s v="Lux"/>
    <s v="V-Cut"/>
    <s v="Cotton Blend"/>
    <s v="105-110"/>
    <s v="White"/>
    <n v="140"/>
  </r>
  <r>
    <x v="674"/>
    <x v="45"/>
    <s v="TSH0450"/>
    <n v="1"/>
    <s v="T-Shirt"/>
    <s v="Max"/>
    <s v="3/4 Sleeve"/>
    <s v="Poly Cotton"/>
    <s v="M"/>
    <s v="Bottle Green"/>
    <n v="250"/>
  </r>
  <r>
    <x v="674"/>
    <x v="45"/>
    <s v="JNS0836"/>
    <n v="1"/>
    <s v="Jeans"/>
    <s v="Locomotive"/>
    <s v="Mom Fit"/>
    <s v="Denim"/>
    <n v="36"/>
    <s v="Brown"/>
    <n v="900"/>
  </r>
  <r>
    <x v="674"/>
    <x v="45"/>
    <s v="PNT1290"/>
    <n v="1"/>
    <s v="Pants"/>
    <s v="Park Avenue"/>
    <s v="Jogger"/>
    <s v="Poly Viscose"/>
    <n v="30"/>
    <s v="Beige"/>
    <n v="880"/>
  </r>
  <r>
    <x v="675"/>
    <x v="45"/>
    <s v="SHT0172"/>
    <n v="1"/>
    <s v="Shirt"/>
    <s v="G Studio"/>
    <s v="Casual"/>
    <s v="Cotton"/>
    <s v="L"/>
    <s v="Dark Green"/>
    <n v="790"/>
  </r>
  <r>
    <x v="675"/>
    <x v="45"/>
    <s v="PNT1191"/>
    <n v="1"/>
    <s v="Pants"/>
    <s v="Louis Philippe"/>
    <s v="Polofit"/>
    <s v="Lycra"/>
    <n v="32"/>
    <s v="White"/>
    <n v="900"/>
  </r>
  <r>
    <x v="676"/>
    <x v="45"/>
    <s v="SHT0159"/>
    <n v="1"/>
    <s v="Shirt"/>
    <s v="G Studio"/>
    <s v="Partywear"/>
    <s v="Cotton Blend"/>
    <s v="M"/>
    <s v="Sky Blue"/>
    <n v="710"/>
  </r>
  <r>
    <x v="676"/>
    <x v="45"/>
    <s v="PNT1081"/>
    <n v="1"/>
    <s v="Pants"/>
    <s v="Van Heusen"/>
    <s v="Jogger"/>
    <s v="Poly Viscose"/>
    <n v="28"/>
    <s v="Brown"/>
    <n v="840"/>
  </r>
  <r>
    <x v="676"/>
    <x v="45"/>
    <s v="PNT1274"/>
    <n v="1"/>
    <s v="Pants"/>
    <s v="Louis Philippe"/>
    <s v="Korean"/>
    <s v="Lycra"/>
    <n v="42"/>
    <s v="Royal Blue"/>
    <n v="900"/>
  </r>
  <r>
    <x v="676"/>
    <x v="45"/>
    <s v="SHT0070"/>
    <n v="1"/>
    <s v="Shirt"/>
    <s v="Thailand"/>
    <s v="Formal"/>
    <s v="Polyester"/>
    <s v="XXL"/>
    <s v="Royal Blue"/>
    <n v="740"/>
  </r>
  <r>
    <x v="677"/>
    <x v="45"/>
    <s v="SHT0112"/>
    <n v="1"/>
    <s v="Shirt"/>
    <s v="Zara"/>
    <s v="Formal"/>
    <s v="Cotton Blend"/>
    <s v="M"/>
    <s v="Peach"/>
    <n v="730"/>
  </r>
  <r>
    <x v="677"/>
    <x v="45"/>
    <s v="JNS0846"/>
    <n v="1"/>
    <s v="Jeans"/>
    <s v="Spykar"/>
    <s v="Baggy"/>
    <s v="Denim"/>
    <n v="34"/>
    <s v="Dark Green"/>
    <n v="970"/>
  </r>
  <r>
    <x v="677"/>
    <x v="45"/>
    <s v="INW1606"/>
    <n v="1"/>
    <s v="Innerwear"/>
    <s v="Lux"/>
    <s v="V-Cut"/>
    <s v="Cotton"/>
    <s v="105-110"/>
    <s v="Cream"/>
    <n v="160"/>
  </r>
  <r>
    <x v="677"/>
    <x v="45"/>
    <s v="INW1629"/>
    <n v="1"/>
    <s v="Innerwear"/>
    <s v="Dollar"/>
    <s v="V-Cut"/>
    <s v="Cotton Blend"/>
    <s v="85-90"/>
    <s v="Wine"/>
    <n v="160"/>
  </r>
  <r>
    <x v="678"/>
    <x v="45"/>
    <s v="SHT0307"/>
    <n v="1"/>
    <s v="Shirt"/>
    <s v="Thailand"/>
    <s v="Casual"/>
    <s v="Lycra"/>
    <s v="XL"/>
    <s v="Mustard"/>
    <n v="710"/>
  </r>
  <r>
    <x v="678"/>
    <x v="45"/>
    <s v="JNS0990"/>
    <n v="1"/>
    <s v="Jeans"/>
    <s v="Levis"/>
    <s v="Mom Fit"/>
    <s v="Denim"/>
    <n v="30"/>
    <s v="Maroon"/>
    <n v="990"/>
  </r>
  <r>
    <x v="678"/>
    <x v="45"/>
    <s v="TSH0451"/>
    <n v="1"/>
    <s v="T-Shirt"/>
    <s v="Zara"/>
    <s v="Half Sleeve"/>
    <s v="Cotton"/>
    <s v="XL"/>
    <s v="Navy Blue"/>
    <n v="710"/>
  </r>
  <r>
    <x v="679"/>
    <x v="46"/>
    <s v="TSH0706"/>
    <n v="1"/>
    <s v="T-Shirt"/>
    <s v="Turkey"/>
    <s v="Hoodie"/>
    <s v="Cotton Blend"/>
    <s v="L"/>
    <s v="Teal"/>
    <n v="480"/>
  </r>
  <r>
    <x v="679"/>
    <x v="46"/>
    <s v="JNS0985"/>
    <n v="1"/>
    <s v="Jeans"/>
    <s v="Denim Pro"/>
    <s v="Jogger"/>
    <s v="Denim"/>
    <n v="30"/>
    <s v="Olive"/>
    <n v="900"/>
  </r>
  <r>
    <x v="679"/>
    <x v="46"/>
    <s v="SHT0292"/>
    <n v="1"/>
    <s v="Shirt"/>
    <s v="H&amp;M"/>
    <s v="Casual"/>
    <s v="Cotton"/>
    <s v="XL"/>
    <s v="Wine"/>
    <n v="760"/>
  </r>
  <r>
    <x v="679"/>
    <x v="46"/>
    <s v="SHT0203"/>
    <n v="1"/>
    <s v="Shirt"/>
    <s v="Thailand"/>
    <s v="Casual"/>
    <s v="Cotton Blend"/>
    <s v="S"/>
    <s v="Black"/>
    <n v="900"/>
  </r>
  <r>
    <x v="680"/>
    <x v="46"/>
    <s v="TSH0536"/>
    <n v="1"/>
    <s v="T-Shirt"/>
    <s v="Campus"/>
    <s v="Full Sleeve"/>
    <s v="Poly Cotton"/>
    <s v="XL"/>
    <s v="Olive"/>
    <n v="520"/>
  </r>
  <r>
    <x v="681"/>
    <x v="46"/>
    <s v="JNS0936"/>
    <n v="1"/>
    <s v="Jeans"/>
    <s v="Pepe"/>
    <s v="Baggy"/>
    <s v="Denim"/>
    <n v="38"/>
    <s v="Peach"/>
    <n v="780"/>
  </r>
  <r>
    <x v="681"/>
    <x v="46"/>
    <s v="TSH0651"/>
    <n v="1"/>
    <s v="T-Shirt"/>
    <s v="Urban Monkey"/>
    <s v="Half Sleeve"/>
    <s v="Poly Cotton"/>
    <s v="L"/>
    <s v="Grey"/>
    <n v="310"/>
  </r>
  <r>
    <x v="681"/>
    <x v="46"/>
    <s v="TSH0496"/>
    <n v="1"/>
    <s v="T-Shirt"/>
    <s v="Urban Monkey"/>
    <s v="Half Sleeve"/>
    <s v="Cotton"/>
    <s v="M"/>
    <s v="Brown"/>
    <n v="400"/>
  </r>
  <r>
    <x v="681"/>
    <x v="46"/>
    <s v="TSH0558"/>
    <n v="1"/>
    <s v="T-Shirt"/>
    <s v="Thailand"/>
    <s v="Sleeveless"/>
    <s v="Cotton"/>
    <s v="XXL"/>
    <s v="Royal Blue"/>
    <n v="330"/>
  </r>
  <r>
    <x v="682"/>
    <x v="46"/>
    <s v="PNT1236"/>
    <n v="1"/>
    <s v="Pants"/>
    <s v="Van Heusen"/>
    <s v="Korean"/>
    <s v="Lycra"/>
    <n v="32"/>
    <s v="Olive"/>
    <n v="830"/>
  </r>
  <r>
    <x v="682"/>
    <x v="46"/>
    <s v="JNS0839"/>
    <n v="1"/>
    <s v="Jeans"/>
    <s v="Pepe"/>
    <s v="Baggy"/>
    <s v="Denim"/>
    <n v="40"/>
    <s v="Bottle Green"/>
    <n v="800"/>
  </r>
  <r>
    <x v="683"/>
    <x v="46"/>
    <s v="SHT0044"/>
    <n v="1"/>
    <s v="Shirt"/>
    <s v="L7"/>
    <s v="Casual"/>
    <s v="Cotton Blend"/>
    <s v="L"/>
    <s v="Grey"/>
    <n v="850"/>
  </r>
  <r>
    <x v="683"/>
    <x v="46"/>
    <s v="PNT1245"/>
    <n v="1"/>
    <s v="Pants"/>
    <s v="Van Heusen"/>
    <s v="Korean"/>
    <s v="Lycra"/>
    <n v="40"/>
    <s v="Teal"/>
    <n v="730"/>
  </r>
  <r>
    <x v="683"/>
    <x v="46"/>
    <s v="INW1541"/>
    <n v="1"/>
    <s v="Innerwear"/>
    <s v="Dollar"/>
    <s v="Boxer"/>
    <s v="Cotton"/>
    <s v="90-100"/>
    <s v="Navy Blue"/>
    <n v="160"/>
  </r>
  <r>
    <x v="683"/>
    <x v="46"/>
    <s v="TSH0631"/>
    <n v="1"/>
    <s v="T-Shirt"/>
    <s v="Roadster"/>
    <s v="Full Sleeve"/>
    <s v="Poly Cotton"/>
    <s v="XL"/>
    <s v="Mustard"/>
    <n v="570"/>
  </r>
  <r>
    <x v="684"/>
    <x v="46"/>
    <s v="TSH0394"/>
    <n v="1"/>
    <s v="T-Shirt"/>
    <s v="Turkey"/>
    <s v="3/4 Sleeve"/>
    <s v="Cotton"/>
    <s v="XL"/>
    <s v="Mustard"/>
    <n v="280"/>
  </r>
  <r>
    <x v="684"/>
    <x v="46"/>
    <s v="PNT1233"/>
    <n v="1"/>
    <s v="Pants"/>
    <s v="Peter England"/>
    <s v="Jogger"/>
    <s v="Cotton"/>
    <n v="36"/>
    <s v="Navy Blue"/>
    <n v="870"/>
  </r>
  <r>
    <x v="684"/>
    <x v="46"/>
    <s v="SHT0274"/>
    <n v="1"/>
    <s v="Shirt"/>
    <s v="USD"/>
    <s v="Casual"/>
    <s v="Cotton"/>
    <s v="S"/>
    <s v="Wine"/>
    <n v="900"/>
  </r>
  <r>
    <x v="684"/>
    <x v="46"/>
    <s v="TSH0636"/>
    <n v="1"/>
    <s v="T-Shirt"/>
    <s v="Turkey"/>
    <s v="Sleeveless"/>
    <s v="Cotton"/>
    <s v="L"/>
    <s v="Royal Blue"/>
    <n v="560"/>
  </r>
  <r>
    <x v="685"/>
    <x v="46"/>
    <s v="PNT1278"/>
    <n v="1"/>
    <s v="Pants"/>
    <s v="Raymond"/>
    <s v="Jogger"/>
    <s v="Cotton Blend"/>
    <n v="36"/>
    <s v="Dark Green"/>
    <n v="760"/>
  </r>
  <r>
    <x v="685"/>
    <x v="46"/>
    <s v="INW1595"/>
    <n v="1"/>
    <s v="Innerwear"/>
    <s v="Rupa"/>
    <s v="Boxer"/>
    <s v="Cotton"/>
    <s v="100-105"/>
    <s v="Light Grey"/>
    <n v="100"/>
  </r>
  <r>
    <x v="686"/>
    <x v="46"/>
    <s v="SHT0008"/>
    <n v="1"/>
    <s v="Shirt"/>
    <s v="L7"/>
    <s v="Partywear"/>
    <s v="Cotton Blend"/>
    <s v="XXL"/>
    <s v="Teal"/>
    <n v="760"/>
  </r>
  <r>
    <x v="687"/>
    <x v="46"/>
    <s v="PNT1158"/>
    <n v="1"/>
    <s v="Pants"/>
    <s v="Peter England"/>
    <s v="Korean"/>
    <s v="Lycra"/>
    <n v="40"/>
    <s v="Beige"/>
    <n v="760"/>
  </r>
  <r>
    <x v="687"/>
    <x v="46"/>
    <s v="TSH0647"/>
    <n v="1"/>
    <s v="T-Shirt"/>
    <s v="Roadster"/>
    <s v="3/4 Sleeve"/>
    <s v="Poly Cotton"/>
    <s v="S"/>
    <s v="Teal"/>
    <n v="570"/>
  </r>
  <r>
    <x v="687"/>
    <x v="46"/>
    <s v="JNS0986"/>
    <n v="1"/>
    <s v="Jeans"/>
    <s v="Levis"/>
    <s v="Jogger"/>
    <s v="Denim"/>
    <n v="42"/>
    <s v="Beige"/>
    <n v="880"/>
  </r>
  <r>
    <x v="687"/>
    <x v="46"/>
    <s v="INW1383"/>
    <n v="1"/>
    <s v="Innerwear"/>
    <s v="Jockey"/>
    <s v="V-Cut"/>
    <s v="Cotton Blend"/>
    <s v="80-85"/>
    <s v="Olive"/>
    <n v="150"/>
  </r>
  <r>
    <x v="688"/>
    <x v="46"/>
    <s v="PNT1183"/>
    <n v="1"/>
    <s v="Pants"/>
    <s v="Raymond"/>
    <s v="Jogger"/>
    <s v="Cotton"/>
    <n v="28"/>
    <s v="Mustard"/>
    <n v="720"/>
  </r>
  <r>
    <x v="689"/>
    <x v="46"/>
    <s v="TSH0487"/>
    <n v="1"/>
    <s v="T-Shirt"/>
    <s v="Zara"/>
    <s v="Sleeveless"/>
    <s v="Poly Cotton"/>
    <s v="L"/>
    <s v="Sky Blue"/>
    <n v="450"/>
  </r>
  <r>
    <x v="689"/>
    <x v="46"/>
    <s v="PNT1324"/>
    <n v="1"/>
    <s v="Pants"/>
    <s v="Park Avenue"/>
    <s v="Boot Cut"/>
    <s v="Cotton"/>
    <n v="30"/>
    <s v="White"/>
    <n v="810"/>
  </r>
  <r>
    <x v="689"/>
    <x v="46"/>
    <s v="INW1554"/>
    <n v="1"/>
    <s v="Innerwear"/>
    <s v="V Star"/>
    <s v="Boxer"/>
    <s v="Cotton"/>
    <s v="90-100"/>
    <s v="Charcoal"/>
    <n v="130"/>
  </r>
  <r>
    <x v="690"/>
    <x v="46"/>
    <s v="TSH0497"/>
    <n v="1"/>
    <s v="T-Shirt"/>
    <s v="Urban Monkey"/>
    <s v="3/4 Sleeve"/>
    <s v="Cotton"/>
    <s v="S"/>
    <s v="Charcoal"/>
    <n v="360"/>
  </r>
  <r>
    <x v="690"/>
    <x v="46"/>
    <s v="JNS1041"/>
    <n v="1"/>
    <s v="Jeans"/>
    <s v="Denim Pro"/>
    <s v="Baggy"/>
    <s v="Denim"/>
    <n v="42"/>
    <s v="Cream"/>
    <n v="830"/>
  </r>
  <r>
    <x v="690"/>
    <x v="46"/>
    <s v="INW1643"/>
    <n v="1"/>
    <s v="Innerwear"/>
    <s v="Lux"/>
    <s v="Boxer"/>
    <s v="Cotton Blend"/>
    <s v="100-105"/>
    <s v="Olive"/>
    <n v="190"/>
  </r>
  <r>
    <x v="691"/>
    <x v="46"/>
    <s v="TSH0351"/>
    <n v="1"/>
    <s v="T-Shirt"/>
    <s v="Roadster"/>
    <s v="Full Sleeve"/>
    <s v="Cotton Blend"/>
    <s v="M"/>
    <s v="Beige"/>
    <n v="610"/>
  </r>
  <r>
    <x v="691"/>
    <x v="46"/>
    <s v="INW1450"/>
    <n v="1"/>
    <s v="Innerwear"/>
    <s v="Rupa"/>
    <s v="V-Cut"/>
    <s v="Cotton"/>
    <s v="90-100"/>
    <s v="Navy Blue"/>
    <n v="130"/>
  </r>
  <r>
    <x v="691"/>
    <x v="46"/>
    <s v="JNS0971"/>
    <n v="1"/>
    <s v="Jeans"/>
    <s v="Pepe"/>
    <s v="Mom Fit"/>
    <s v="Denim"/>
    <n v="42"/>
    <s v="Bottle Green"/>
    <n v="890"/>
  </r>
  <r>
    <x v="692"/>
    <x v="46"/>
    <s v="INW1393"/>
    <n v="1"/>
    <s v="Innerwear"/>
    <s v="Lux"/>
    <s v="Boxer"/>
    <s v="Cotton"/>
    <s v="90-100"/>
    <s v="Teal"/>
    <n v="110"/>
  </r>
  <r>
    <x v="692"/>
    <x v="46"/>
    <s v="TSH0364"/>
    <n v="1"/>
    <s v="T-Shirt"/>
    <s v="Campus"/>
    <s v="3/4 Sleeve"/>
    <s v="Cotton"/>
    <s v="M"/>
    <s v="Dark Green"/>
    <n v="330"/>
  </r>
  <r>
    <x v="692"/>
    <x v="46"/>
    <s v="INW1378"/>
    <n v="1"/>
    <s v="Innerwear"/>
    <s v="Jockey"/>
    <s v="Boxer"/>
    <s v="Cotton"/>
    <s v="90-100"/>
    <s v="Grey"/>
    <n v="190"/>
  </r>
  <r>
    <x v="693"/>
    <x v="47"/>
    <s v="TSH0746"/>
    <n v="1"/>
    <s v="T-Shirt"/>
    <s v="Urban Monkey"/>
    <s v="3/4 Sleeve"/>
    <s v="Cotton Blend"/>
    <s v="XL"/>
    <s v="Light Grey"/>
    <n v="380"/>
  </r>
  <r>
    <x v="693"/>
    <x v="47"/>
    <s v="INW1612"/>
    <n v="1"/>
    <s v="Innerwear"/>
    <s v="Rupa"/>
    <s v="Boxer"/>
    <s v="Cotton Blend"/>
    <s v="105-110"/>
    <s v="Navy Blue"/>
    <n v="110"/>
  </r>
  <r>
    <x v="694"/>
    <x v="47"/>
    <s v="JNS0883"/>
    <n v="1"/>
    <s v="Jeans"/>
    <s v="Locomotive"/>
    <s v="Jogger"/>
    <s v="Denim"/>
    <n v="40"/>
    <s v="Bottle Green"/>
    <n v="1050"/>
  </r>
  <r>
    <x v="694"/>
    <x v="47"/>
    <s v="TSH0515"/>
    <n v="1"/>
    <s v="T-Shirt"/>
    <s v="Campus"/>
    <s v="3/4 Sleeve"/>
    <s v="Poly Cotton"/>
    <s v="S"/>
    <s v="Teal"/>
    <n v="740"/>
  </r>
  <r>
    <x v="694"/>
    <x v="47"/>
    <s v="TSH0652"/>
    <n v="1"/>
    <s v="T-Shirt"/>
    <s v="Urban Monkey"/>
    <s v="Sleeveless"/>
    <s v="Cotton"/>
    <s v="XXL"/>
    <s v="Dark Green"/>
    <n v="470"/>
  </r>
  <r>
    <x v="695"/>
    <x v="47"/>
    <s v="JNS1017"/>
    <n v="1"/>
    <s v="Jeans"/>
    <s v="Spykar"/>
    <s v="Jogger"/>
    <s v="Denim"/>
    <n v="32"/>
    <s v="Peach"/>
    <n v="860"/>
  </r>
  <r>
    <x v="696"/>
    <x v="47"/>
    <s v="SHT0148"/>
    <n v="1"/>
    <s v="Shirt"/>
    <s v="Thailand"/>
    <s v="Formal"/>
    <s v="Cotton"/>
    <s v="XL"/>
    <s v="Sky Blue"/>
    <n v="860"/>
  </r>
  <r>
    <x v="696"/>
    <x v="47"/>
    <s v="SHT0260"/>
    <n v="1"/>
    <s v="Shirt"/>
    <s v="USD"/>
    <s v="Partywear"/>
    <s v="Polyester"/>
    <s v="S"/>
    <s v="Maroon"/>
    <n v="640"/>
  </r>
  <r>
    <x v="696"/>
    <x v="47"/>
    <s v="INW1611"/>
    <n v="1"/>
    <s v="Innerwear"/>
    <s v="Lux"/>
    <s v="Boxer"/>
    <s v="Cotton Blend"/>
    <s v="80-85"/>
    <s v="Light Grey"/>
    <n v="120"/>
  </r>
  <r>
    <x v="697"/>
    <x v="47"/>
    <s v="INW1538"/>
    <n v="1"/>
    <s v="Innerwear"/>
    <s v="V Star"/>
    <s v="V-Cut"/>
    <s v="Cotton"/>
    <s v="105-110"/>
    <s v="Cream"/>
    <n v="100"/>
  </r>
  <r>
    <x v="697"/>
    <x v="47"/>
    <s v="INW1384"/>
    <n v="1"/>
    <s v="Innerwear"/>
    <s v="Jockey"/>
    <s v="V-Cut"/>
    <s v="Cotton"/>
    <s v="90-100"/>
    <s v="White"/>
    <n v="180"/>
  </r>
  <r>
    <x v="697"/>
    <x v="47"/>
    <s v="SHT0181"/>
    <n v="1"/>
    <s v="Shirt"/>
    <s v="Zara"/>
    <s v="Partywear"/>
    <s v="Cotton Blend"/>
    <s v="XL"/>
    <s v="Black"/>
    <n v="850"/>
  </r>
  <r>
    <x v="698"/>
    <x v="47"/>
    <s v="JNS0930"/>
    <n v="1"/>
    <s v="Jeans"/>
    <s v="Pepe"/>
    <s v="Baggy"/>
    <s v="Denim"/>
    <n v="30"/>
    <s v="Rust"/>
    <n v="820"/>
  </r>
  <r>
    <x v="698"/>
    <x v="47"/>
    <s v="TSH0355"/>
    <n v="1"/>
    <s v="T-Shirt"/>
    <s v="Urban Monkey"/>
    <s v="3/4 Sleeve"/>
    <s v="Cotton Blend"/>
    <s v="S"/>
    <s v="Grey"/>
    <n v="360"/>
  </r>
  <r>
    <x v="698"/>
    <x v="47"/>
    <s v="TSH0495"/>
    <n v="1"/>
    <s v="T-Shirt"/>
    <s v="Roadster"/>
    <s v="3/4 Sleeve"/>
    <s v="Cotton"/>
    <s v="XL"/>
    <s v="Brown"/>
    <n v="300"/>
  </r>
  <r>
    <x v="699"/>
    <x v="47"/>
    <s v="INW1465"/>
    <n v="1"/>
    <s v="Innerwear"/>
    <s v="Jockey"/>
    <s v="Boxer"/>
    <s v="Cotton"/>
    <s v="75-80"/>
    <s v="Dark Green"/>
    <n v="180"/>
  </r>
  <r>
    <x v="699"/>
    <x v="47"/>
    <s v="TSH0758"/>
    <n v="1"/>
    <s v="T-Shirt"/>
    <s v="Zara"/>
    <s v="Hoodie"/>
    <s v="Cotton Blend"/>
    <s v="L"/>
    <s v="Black"/>
    <n v="540"/>
  </r>
  <r>
    <x v="700"/>
    <x v="47"/>
    <s v="TSH0605"/>
    <n v="1"/>
    <s v="T-Shirt"/>
    <s v="Campus"/>
    <s v="Half Sleeve"/>
    <s v="Cotton Blend"/>
    <s v="XL"/>
    <s v="Sky Blue"/>
    <n v="710"/>
  </r>
  <r>
    <x v="700"/>
    <x v="47"/>
    <s v="INW1415"/>
    <n v="1"/>
    <s v="Innerwear"/>
    <s v="Jockey"/>
    <s v="Boxer"/>
    <s v="Cotton"/>
    <s v="105-110"/>
    <s v="Grey"/>
    <n v="170"/>
  </r>
  <r>
    <x v="701"/>
    <x v="47"/>
    <s v="TSH0458"/>
    <n v="1"/>
    <s v="T-Shirt"/>
    <s v="Zara"/>
    <s v="Full Sleeve"/>
    <s v="Cotton"/>
    <s v="XXL"/>
    <s v="Rust"/>
    <n v="270"/>
  </r>
  <r>
    <x v="701"/>
    <x v="47"/>
    <s v="PNT1190"/>
    <n v="1"/>
    <s v="Pants"/>
    <s v="Van Heusen"/>
    <s v="Boot Cut"/>
    <s v="Cotton"/>
    <n v="38"/>
    <s v="Peach"/>
    <n v="880"/>
  </r>
  <r>
    <x v="702"/>
    <x v="47"/>
    <s v="INW1430"/>
    <n v="1"/>
    <s v="Innerwear"/>
    <s v="Rupa"/>
    <s v="Boxer"/>
    <s v="Cotton"/>
    <s v="90-100"/>
    <s v="Beige"/>
    <n v="190"/>
  </r>
  <r>
    <x v="703"/>
    <x v="47"/>
    <s v="PNT1231"/>
    <n v="1"/>
    <s v="Pants"/>
    <s v="Louis Philippe"/>
    <s v="Kurka"/>
    <s v="Lycra"/>
    <n v="34"/>
    <s v="Light Grey"/>
    <n v="820"/>
  </r>
  <r>
    <x v="703"/>
    <x v="47"/>
    <s v="TSH0744"/>
    <n v="1"/>
    <s v="T-Shirt"/>
    <s v="Zara"/>
    <s v="Hoodie"/>
    <s v="Cotton Blend"/>
    <s v="L"/>
    <s v="Sky Blue"/>
    <n v="610"/>
  </r>
  <r>
    <x v="703"/>
    <x v="47"/>
    <s v="TSH0738"/>
    <n v="1"/>
    <s v="T-Shirt"/>
    <s v="Zara"/>
    <s v="Hoodie"/>
    <s v="Poly Cotton"/>
    <s v="XXL"/>
    <s v="Charcoal"/>
    <n v="350"/>
  </r>
  <r>
    <x v="703"/>
    <x v="47"/>
    <s v="TSH0396"/>
    <n v="1"/>
    <s v="T-Shirt"/>
    <s v="Roadster"/>
    <s v="Full Sleeve"/>
    <s v="Cotton Blend"/>
    <s v="L"/>
    <s v="Olive"/>
    <n v="440"/>
  </r>
  <r>
    <x v="704"/>
    <x v="47"/>
    <s v="INW1418"/>
    <n v="1"/>
    <s v="Innerwear"/>
    <s v="Jockey"/>
    <s v="Boxer"/>
    <s v="Cotton Blend"/>
    <s v="100-105"/>
    <s v="Royal Blue"/>
    <n v="130"/>
  </r>
  <r>
    <x v="704"/>
    <x v="47"/>
    <s v="TSH0532"/>
    <n v="1"/>
    <s v="T-Shirt"/>
    <s v="Urban Monkey"/>
    <s v="Sleeveless"/>
    <s v="Poly Cotton"/>
    <s v="M"/>
    <s v="Olive"/>
    <n v="280"/>
  </r>
  <r>
    <x v="704"/>
    <x v="47"/>
    <s v="JNS1012"/>
    <n v="1"/>
    <s v="Jeans"/>
    <s v="Levis"/>
    <s v="Mom Fit"/>
    <s v="Denim"/>
    <n v="44"/>
    <s v="Olive"/>
    <n v="1040"/>
  </r>
  <r>
    <x v="705"/>
    <x v="47"/>
    <s v="INW1461"/>
    <n v="1"/>
    <s v="Innerwear"/>
    <s v="Jockey"/>
    <s v="Boxer"/>
    <s v="Cotton"/>
    <s v="100-105"/>
    <s v="Brown"/>
    <n v="140"/>
  </r>
  <r>
    <x v="705"/>
    <x v="47"/>
    <s v="SHT0183"/>
    <n v="1"/>
    <s v="Shirt"/>
    <s v="L7"/>
    <s v="Casual"/>
    <s v="Lycra"/>
    <s v="S"/>
    <s v="Maroon"/>
    <n v="950"/>
  </r>
  <r>
    <x v="706"/>
    <x v="48"/>
    <s v="JNS0844"/>
    <n v="1"/>
    <s v="Jeans"/>
    <s v="Levis"/>
    <s v="Jogger"/>
    <s v="Denim"/>
    <n v="44"/>
    <s v="Rust"/>
    <n v="800"/>
  </r>
  <r>
    <x v="706"/>
    <x v="48"/>
    <s v="PNT1116"/>
    <n v="1"/>
    <s v="Pants"/>
    <s v="Peter England"/>
    <s v="Korean"/>
    <s v="Lycra"/>
    <n v="40"/>
    <s v="Sky Blue"/>
    <n v="830"/>
  </r>
  <r>
    <x v="707"/>
    <x v="48"/>
    <s v="INW1617"/>
    <n v="1"/>
    <s v="Innerwear"/>
    <s v="V Star"/>
    <s v="V-Cut"/>
    <s v="Cotton Blend"/>
    <s v="75-80"/>
    <s v="Teal"/>
    <n v="150"/>
  </r>
  <r>
    <x v="707"/>
    <x v="48"/>
    <s v="SHT0118"/>
    <n v="1"/>
    <s v="Shirt"/>
    <s v="Zara"/>
    <s v="Partywear"/>
    <s v="Cotton"/>
    <s v="M"/>
    <s v="Grey"/>
    <n v="740"/>
  </r>
  <r>
    <x v="708"/>
    <x v="48"/>
    <s v="TSH0571"/>
    <n v="1"/>
    <s v="T-Shirt"/>
    <s v="Zara"/>
    <s v="Full Sleeve"/>
    <s v="Poly Cotton"/>
    <s v="M"/>
    <s v="Charcoal"/>
    <n v="480"/>
  </r>
  <r>
    <x v="708"/>
    <x v="48"/>
    <s v="SHT0277"/>
    <n v="1"/>
    <s v="Shirt"/>
    <s v="Thailand"/>
    <s v="Partywear"/>
    <s v="Cotton"/>
    <s v="XXL"/>
    <s v="Olive"/>
    <n v="850"/>
  </r>
  <r>
    <x v="708"/>
    <x v="48"/>
    <s v="INW1504"/>
    <n v="1"/>
    <s v="Innerwear"/>
    <s v="V Star"/>
    <s v="V-Cut"/>
    <s v="Cotton"/>
    <s v="105-110"/>
    <s v="Brown"/>
    <n v="130"/>
  </r>
  <r>
    <x v="708"/>
    <x v="48"/>
    <s v="TSH0586"/>
    <n v="1"/>
    <s v="T-Shirt"/>
    <s v="Urban Monkey"/>
    <s v="3/4 Sleeve"/>
    <s v="Cotton Blend"/>
    <s v="L"/>
    <s v="Light Grey"/>
    <n v="510"/>
  </r>
  <r>
    <x v="709"/>
    <x v="48"/>
    <s v="INW1440"/>
    <n v="1"/>
    <s v="Innerwear"/>
    <s v="Lux"/>
    <s v="Boxer"/>
    <s v="Cotton"/>
    <s v="105-110"/>
    <s v="Light Grey"/>
    <n v="100"/>
  </r>
  <r>
    <x v="709"/>
    <x v="48"/>
    <s v="JNS0886"/>
    <n v="1"/>
    <s v="Jeans"/>
    <s v="Levis"/>
    <s v="Jogger"/>
    <s v="Denim"/>
    <n v="30"/>
    <s v="Wine"/>
    <n v="1020"/>
  </r>
  <r>
    <x v="710"/>
    <x v="48"/>
    <s v="SHT0165"/>
    <n v="1"/>
    <s v="Shirt"/>
    <s v="H&amp;M"/>
    <s v="Formal"/>
    <s v="Polyester"/>
    <s v="L"/>
    <s v="Beige"/>
    <n v="720"/>
  </r>
  <r>
    <x v="711"/>
    <x v="48"/>
    <s v="SHT0007"/>
    <n v="1"/>
    <s v="Shirt"/>
    <s v="British"/>
    <s v="Partywear"/>
    <s v="Cotton Blend"/>
    <s v="S"/>
    <s v="Cream"/>
    <n v="930"/>
  </r>
  <r>
    <x v="711"/>
    <x v="48"/>
    <s v="PNT1122"/>
    <n v="1"/>
    <s v="Pants"/>
    <s v="Park Avenue"/>
    <s v="Polofit"/>
    <s v="Lycra"/>
    <n v="44"/>
    <s v="Peach"/>
    <n v="920"/>
  </r>
  <r>
    <x v="711"/>
    <x v="48"/>
    <s v="SHT0273"/>
    <n v="1"/>
    <s v="Shirt"/>
    <s v="H&amp;M"/>
    <s v="Casual"/>
    <s v="Lycra"/>
    <s v="XXL"/>
    <s v="Light Grey"/>
    <n v="870"/>
  </r>
  <r>
    <x v="712"/>
    <x v="48"/>
    <s v="TSH0424"/>
    <n v="1"/>
    <s v="T-Shirt"/>
    <s v="Turkey"/>
    <s v="Sleeveless"/>
    <s v="Cotton Blend"/>
    <s v="M"/>
    <s v="Olive"/>
    <n v="610"/>
  </r>
  <r>
    <x v="713"/>
    <x v="48"/>
    <s v="INW1612"/>
    <n v="1"/>
    <s v="Innerwear"/>
    <s v="Rupa"/>
    <s v="Boxer"/>
    <s v="Cotton Blend"/>
    <s v="105-110"/>
    <s v="Navy Blue"/>
    <n v="110"/>
  </r>
  <r>
    <x v="713"/>
    <x v="48"/>
    <s v="SHT0052"/>
    <n v="1"/>
    <s v="Shirt"/>
    <s v="Zara"/>
    <s v="Formal"/>
    <s v="Polyester"/>
    <s v="L"/>
    <s v="White"/>
    <n v="930"/>
  </r>
  <r>
    <x v="714"/>
    <x v="48"/>
    <s v="PNT1223"/>
    <n v="1"/>
    <s v="Pants"/>
    <s v="Louis Philippe"/>
    <s v="Polofit"/>
    <s v="Lycra"/>
    <n v="32"/>
    <s v="Maroon"/>
    <n v="870"/>
  </r>
  <r>
    <x v="714"/>
    <x v="48"/>
    <s v="PNT1231"/>
    <n v="1"/>
    <s v="Pants"/>
    <s v="Louis Philippe"/>
    <s v="Kurka"/>
    <s v="Lycra"/>
    <n v="34"/>
    <s v="Light Grey"/>
    <n v="820"/>
  </r>
  <r>
    <x v="714"/>
    <x v="48"/>
    <s v="JNS0814"/>
    <n v="1"/>
    <s v="Jeans"/>
    <s v="Wrangler"/>
    <s v="Baggy"/>
    <s v="Denim"/>
    <n v="42"/>
    <s v="Black"/>
    <n v="930"/>
  </r>
  <r>
    <x v="715"/>
    <x v="48"/>
    <s v="JNS0990"/>
    <n v="1"/>
    <s v="Jeans"/>
    <s v="Levis"/>
    <s v="Mom Fit"/>
    <s v="Denim"/>
    <n v="30"/>
    <s v="Maroon"/>
    <n v="990"/>
  </r>
  <r>
    <x v="715"/>
    <x v="48"/>
    <s v="TSH0575"/>
    <n v="1"/>
    <s v="T-Shirt"/>
    <s v="Max"/>
    <s v="3/4 Sleeve"/>
    <s v="Cotton"/>
    <s v="XL"/>
    <s v="Brown"/>
    <n v="460"/>
  </r>
  <r>
    <x v="715"/>
    <x v="48"/>
    <s v="PNT1248"/>
    <n v="1"/>
    <s v="Pants"/>
    <s v="Raymond"/>
    <s v="Jogger"/>
    <s v="Cotton"/>
    <n v="30"/>
    <s v="Mustard"/>
    <n v="750"/>
  </r>
  <r>
    <x v="716"/>
    <x v="48"/>
    <s v="TSH0761"/>
    <n v="1"/>
    <s v="T-Shirt"/>
    <s v="Max"/>
    <s v="Hoodie"/>
    <s v="Cotton Blend"/>
    <s v="L"/>
    <s v="Olive"/>
    <n v="400"/>
  </r>
  <r>
    <x v="716"/>
    <x v="48"/>
    <s v="TSH0745"/>
    <n v="1"/>
    <s v="T-Shirt"/>
    <s v="Urban Monkey"/>
    <s v="Hoodie"/>
    <s v="Cotton Blend"/>
    <s v="XL"/>
    <s v="Rust"/>
    <n v="600"/>
  </r>
  <r>
    <x v="717"/>
    <x v="48"/>
    <s v="SHT0293"/>
    <n v="1"/>
    <s v="Shirt"/>
    <s v="H&amp;M"/>
    <s v="Casual"/>
    <s v="Cotton"/>
    <s v="M"/>
    <s v="Sky Blue"/>
    <n v="900"/>
  </r>
  <r>
    <x v="718"/>
    <x v="48"/>
    <s v="PNT1166"/>
    <n v="1"/>
    <s v="Pants"/>
    <s v="Raymond"/>
    <s v="Kurka"/>
    <s v="Lycra"/>
    <n v="36"/>
    <s v="Wine"/>
    <n v="850"/>
  </r>
  <r>
    <x v="718"/>
    <x v="48"/>
    <s v="JNS1034"/>
    <n v="1"/>
    <s v="Jeans"/>
    <s v="Levis"/>
    <s v="Jogger"/>
    <s v="Denim"/>
    <n v="34"/>
    <s v="Light Grey"/>
    <n v="800"/>
  </r>
  <r>
    <x v="719"/>
    <x v="48"/>
    <s v="PNT1263"/>
    <n v="1"/>
    <s v="Pants"/>
    <s v="Peter England"/>
    <s v="Boot Cut"/>
    <s v="Cotton"/>
    <n v="42"/>
    <s v="Navy Blue"/>
    <n v="850"/>
  </r>
  <r>
    <x v="719"/>
    <x v="48"/>
    <s v="PNT1112"/>
    <n v="1"/>
    <s v="Pants"/>
    <s v="Louis Philippe"/>
    <s v="Kurka"/>
    <s v="Lycra"/>
    <n v="40"/>
    <s v="Brown"/>
    <n v="940"/>
  </r>
  <r>
    <x v="719"/>
    <x v="48"/>
    <s v="SHT0097"/>
    <n v="1"/>
    <s v="Shirt"/>
    <s v="Luke &amp; Burg"/>
    <s v="Partywear"/>
    <s v="Cotton Blend"/>
    <s v="S"/>
    <s v="Wine"/>
    <n v="820"/>
  </r>
  <r>
    <x v="720"/>
    <x v="48"/>
    <s v="SHT0241"/>
    <n v="1"/>
    <s v="Shirt"/>
    <s v="Zara"/>
    <s v="Casual"/>
    <s v="Lycra"/>
    <s v="M"/>
    <s v="Dark Green"/>
    <n v="660"/>
  </r>
  <r>
    <x v="720"/>
    <x v="48"/>
    <s v="JNS0840"/>
    <n v="1"/>
    <s v="Jeans"/>
    <s v="Spykar"/>
    <s v="Jogger"/>
    <s v="Denim"/>
    <n v="40"/>
    <s v="White"/>
    <n v="1080"/>
  </r>
  <r>
    <x v="720"/>
    <x v="48"/>
    <s v="INW1600"/>
    <n v="1"/>
    <s v="Innerwear"/>
    <s v="Rupa"/>
    <s v="V-Cut"/>
    <s v="Cotton Blend"/>
    <s v="75-80"/>
    <s v="Navy Blue"/>
    <n v="150"/>
  </r>
  <r>
    <x v="721"/>
    <x v="48"/>
    <s v="INW1472"/>
    <n v="1"/>
    <s v="Innerwear"/>
    <s v="Dollar"/>
    <s v="Boxer"/>
    <s v="Cotton"/>
    <s v="75-80"/>
    <s v="Sky Blue"/>
    <n v="110"/>
  </r>
  <r>
    <x v="721"/>
    <x v="48"/>
    <s v="TSH0439"/>
    <n v="1"/>
    <s v="T-Shirt"/>
    <s v="Thailand"/>
    <s v="Full Sleeve"/>
    <s v="Poly Cotton"/>
    <s v="XL"/>
    <s v="Peach"/>
    <n v="720"/>
  </r>
  <r>
    <x v="721"/>
    <x v="48"/>
    <s v="SHT0044"/>
    <n v="1"/>
    <s v="Shirt"/>
    <s v="L7"/>
    <s v="Casual"/>
    <s v="Cotton Blend"/>
    <s v="L"/>
    <s v="Grey"/>
    <n v="850"/>
  </r>
  <r>
    <x v="722"/>
    <x v="48"/>
    <s v="JNS0784"/>
    <n v="1"/>
    <s v="Jeans"/>
    <s v="Pepe"/>
    <s v="Baggy"/>
    <s v="Denim"/>
    <n v="38"/>
    <s v="Bottle Green"/>
    <n v="1060"/>
  </r>
  <r>
    <x v="722"/>
    <x v="48"/>
    <s v="INW1650"/>
    <n v="1"/>
    <s v="Innerwear"/>
    <s v="Lux"/>
    <s v="Boxer"/>
    <s v="Cotton"/>
    <s v="90-100"/>
    <s v="Navy Blue"/>
    <n v="170"/>
  </r>
  <r>
    <x v="723"/>
    <x v="48"/>
    <s v="TSH0383"/>
    <n v="1"/>
    <s v="T-Shirt"/>
    <s v="Max"/>
    <s v="Sleeveless"/>
    <s v="Cotton"/>
    <s v="XXL"/>
    <s v="Rust"/>
    <n v="610"/>
  </r>
  <r>
    <x v="723"/>
    <x v="48"/>
    <s v="SHT0296"/>
    <n v="1"/>
    <s v="Shirt"/>
    <s v="Max"/>
    <s v="Formal"/>
    <s v="Lycra"/>
    <s v="L"/>
    <s v="Royal Blue"/>
    <n v="810"/>
  </r>
  <r>
    <x v="723"/>
    <x v="48"/>
    <s v="INW1382"/>
    <n v="1"/>
    <s v="Innerwear"/>
    <s v="Jockey"/>
    <s v="V-Cut"/>
    <s v="Cotton"/>
    <s v="85-90"/>
    <s v="Cream"/>
    <n v="180"/>
  </r>
  <r>
    <x v="724"/>
    <x v="49"/>
    <s v="INW1532"/>
    <n v="1"/>
    <s v="Innerwear"/>
    <s v="Rupa"/>
    <s v="Boxer"/>
    <s v="Cotton"/>
    <s v="80-85"/>
    <s v="White"/>
    <n v="170"/>
  </r>
  <r>
    <x v="724"/>
    <x v="49"/>
    <s v="INW1610"/>
    <n v="1"/>
    <s v="Innerwear"/>
    <s v="Lux"/>
    <s v="V-Cut"/>
    <s v="Cotton"/>
    <s v="105-110"/>
    <s v="Dark Green"/>
    <n v="140"/>
  </r>
  <r>
    <x v="724"/>
    <x v="49"/>
    <s v="INW1490"/>
    <n v="1"/>
    <s v="Innerwear"/>
    <s v="Lux"/>
    <s v="Boxer"/>
    <s v="Cotton Blend"/>
    <s v="105-110"/>
    <s v="Maroon"/>
    <n v="180"/>
  </r>
  <r>
    <x v="725"/>
    <x v="49"/>
    <s v="TSH0509"/>
    <n v="1"/>
    <s v="T-Shirt"/>
    <s v="Urban Monkey"/>
    <s v="3/4 Sleeve"/>
    <s v="Cotton Blend"/>
    <s v="XXL"/>
    <s v="Peach"/>
    <n v="480"/>
  </r>
  <r>
    <x v="725"/>
    <x v="49"/>
    <s v="JNS1060"/>
    <n v="1"/>
    <s v="Jeans"/>
    <s v="Levis"/>
    <s v="Baggy"/>
    <s v="Denim"/>
    <n v="28"/>
    <s v="Maroon"/>
    <n v="850"/>
  </r>
  <r>
    <x v="726"/>
    <x v="49"/>
    <s v="INW1580"/>
    <n v="1"/>
    <s v="Innerwear"/>
    <s v="Rupa"/>
    <s v="Boxer"/>
    <s v="Cotton"/>
    <s v="80-85"/>
    <s v="Charcoal"/>
    <n v="180"/>
  </r>
  <r>
    <x v="726"/>
    <x v="49"/>
    <s v="PNT1099"/>
    <n v="1"/>
    <s v="Pants"/>
    <s v="Louis Philippe"/>
    <s v="Polofit"/>
    <s v="Lycra"/>
    <n v="28"/>
    <s v="Peach"/>
    <n v="730"/>
  </r>
  <r>
    <x v="726"/>
    <x v="49"/>
    <s v="JNS0980"/>
    <n v="1"/>
    <s v="Jeans"/>
    <s v="Denim Pro"/>
    <s v="Mom Fit"/>
    <s v="Denim"/>
    <n v="44"/>
    <s v="Black"/>
    <n v="1010"/>
  </r>
  <r>
    <x v="727"/>
    <x v="49"/>
    <s v="INW1476"/>
    <n v="1"/>
    <s v="Innerwear"/>
    <s v="Lux"/>
    <s v="V-Cut"/>
    <s v="Cotton Blend"/>
    <s v="105-110"/>
    <s v="Wine"/>
    <n v="120"/>
  </r>
  <r>
    <x v="727"/>
    <x v="49"/>
    <s v="PNT1213"/>
    <n v="1"/>
    <s v="Pants"/>
    <s v="Van Heusen"/>
    <s v="Jogger"/>
    <s v="Cotton"/>
    <n v="44"/>
    <s v="Black"/>
    <n v="830"/>
  </r>
  <r>
    <x v="727"/>
    <x v="49"/>
    <s v="INW1455"/>
    <n v="1"/>
    <s v="Innerwear"/>
    <s v="Dollar"/>
    <s v="Boxer"/>
    <s v="Cotton Blend"/>
    <s v="105-110"/>
    <s v="Dark Green"/>
    <n v="110"/>
  </r>
  <r>
    <x v="727"/>
    <x v="49"/>
    <s v="TSH0608"/>
    <n v="1"/>
    <s v="T-Shirt"/>
    <s v="Urban Monkey"/>
    <s v="Hoodie"/>
    <s v="Cotton"/>
    <s v="L"/>
    <s v="Bottle Green"/>
    <n v="400"/>
  </r>
  <r>
    <x v="728"/>
    <x v="49"/>
    <s v="TSH0561"/>
    <n v="1"/>
    <s v="T-Shirt"/>
    <s v="Urban Monkey"/>
    <s v="Half Sleeve"/>
    <s v="Cotton"/>
    <s v="M"/>
    <s v="Brown"/>
    <n v="560"/>
  </r>
  <r>
    <x v="728"/>
    <x v="49"/>
    <s v="TSH0353"/>
    <n v="1"/>
    <s v="T-Shirt"/>
    <s v="Thailand"/>
    <s v="Sleeveless"/>
    <s v="Poly Cotton"/>
    <s v="XXL"/>
    <s v="Royal Blue"/>
    <n v="250"/>
  </r>
  <r>
    <x v="729"/>
    <x v="49"/>
    <s v="INW1432"/>
    <n v="1"/>
    <s v="Innerwear"/>
    <s v="V Star"/>
    <s v="Boxer"/>
    <s v="Cotton"/>
    <s v="85-90"/>
    <s v="Grey"/>
    <n v="120"/>
  </r>
  <r>
    <x v="729"/>
    <x v="49"/>
    <s v="INW1391"/>
    <n v="1"/>
    <s v="Innerwear"/>
    <s v="Rupa"/>
    <s v="Boxer"/>
    <s v="Cotton Blend"/>
    <s v="80-85"/>
    <s v="Olive"/>
    <n v="180"/>
  </r>
  <r>
    <x v="729"/>
    <x v="49"/>
    <s v="INW1495"/>
    <n v="1"/>
    <s v="Innerwear"/>
    <s v="Dollar"/>
    <s v="V-Cut"/>
    <s v="Cotton"/>
    <s v="90-100"/>
    <s v="Charcoal"/>
    <n v="140"/>
  </r>
  <r>
    <x v="730"/>
    <x v="49"/>
    <s v="TSH0700"/>
    <n v="1"/>
    <s v="T-Shirt"/>
    <s v="Turkey"/>
    <s v="Full Sleeve"/>
    <s v="Poly Cotton"/>
    <s v="XXL"/>
    <s v="Maroon"/>
    <n v="530"/>
  </r>
  <r>
    <x v="730"/>
    <x v="49"/>
    <s v="PNT1131"/>
    <n v="1"/>
    <s v="Pants"/>
    <s v="Van Heusen"/>
    <s v="Korean"/>
    <s v="Lycra"/>
    <n v="28"/>
    <s v="Mustard"/>
    <n v="740"/>
  </r>
  <r>
    <x v="730"/>
    <x v="49"/>
    <s v="SHT0069"/>
    <n v="1"/>
    <s v="Shirt"/>
    <s v="USD"/>
    <s v="Partywear"/>
    <s v="Cotton Blend"/>
    <s v="XL"/>
    <s v="Dark Green"/>
    <n v="870"/>
  </r>
  <r>
    <x v="730"/>
    <x v="49"/>
    <s v="SHT0223"/>
    <n v="1"/>
    <s v="Shirt"/>
    <s v="H&amp;M"/>
    <s v="Partywear"/>
    <s v="Polyester"/>
    <s v="L"/>
    <s v="Beige"/>
    <n v="660"/>
  </r>
  <r>
    <x v="731"/>
    <x v="49"/>
    <s v="JNS0851"/>
    <n v="1"/>
    <s v="Jeans"/>
    <s v="Denim Pro"/>
    <s v="Baggy"/>
    <s v="Denim"/>
    <n v="30"/>
    <s v="Sky Blue"/>
    <n v="840"/>
  </r>
  <r>
    <x v="731"/>
    <x v="49"/>
    <s v="SHT0068"/>
    <n v="1"/>
    <s v="Shirt"/>
    <s v="Thailand"/>
    <s v="Partywear"/>
    <s v="Lycra"/>
    <s v="M"/>
    <s v="Bottle Green"/>
    <n v="880"/>
  </r>
  <r>
    <x v="732"/>
    <x v="49"/>
    <s v="TSH0544"/>
    <n v="1"/>
    <s v="T-Shirt"/>
    <s v="Max"/>
    <s v="Half Sleeve"/>
    <s v="Cotton Blend"/>
    <s v="XL"/>
    <s v="Cream"/>
    <n v="340"/>
  </r>
  <r>
    <x v="732"/>
    <x v="49"/>
    <s v="PNT1258"/>
    <n v="1"/>
    <s v="Pants"/>
    <s v="Park Avenue"/>
    <s v="Korean"/>
    <s v="Lycra"/>
    <n v="28"/>
    <s v="Sky Blue"/>
    <n v="790"/>
  </r>
  <r>
    <x v="733"/>
    <x v="49"/>
    <s v="INW1441"/>
    <n v="1"/>
    <s v="Innerwear"/>
    <s v="Rupa"/>
    <s v="V-Cut"/>
    <s v="Cotton Blend"/>
    <s v="100-105"/>
    <s v="Wine"/>
    <n v="110"/>
  </r>
  <r>
    <x v="733"/>
    <x v="49"/>
    <s v="TSH0516"/>
    <n v="1"/>
    <s v="T-Shirt"/>
    <s v="Turkey"/>
    <s v="Sleeveless"/>
    <s v="Poly Cotton"/>
    <s v="L"/>
    <s v="Olive"/>
    <n v="610"/>
  </r>
  <r>
    <x v="734"/>
    <x v="50"/>
    <s v="PNT1092"/>
    <n v="1"/>
    <s v="Pants"/>
    <s v="Raymond"/>
    <s v="Kurka"/>
    <s v="Lycra"/>
    <n v="36"/>
    <s v="Teal"/>
    <n v="750"/>
  </r>
  <r>
    <x v="734"/>
    <x v="50"/>
    <s v="SHT0073"/>
    <n v="1"/>
    <s v="Shirt"/>
    <s v="G Studio"/>
    <s v="Formal"/>
    <s v="Cotton"/>
    <s v="S"/>
    <s v="Charcoal"/>
    <n v="710"/>
  </r>
  <r>
    <x v="734"/>
    <x v="50"/>
    <s v="TSH0482"/>
    <n v="1"/>
    <s v="T-Shirt"/>
    <s v="Zara"/>
    <s v="Sleeveless"/>
    <s v="Cotton"/>
    <s v="XL"/>
    <s v="Brown"/>
    <n v="580"/>
  </r>
  <r>
    <x v="735"/>
    <x v="50"/>
    <s v="JNS0794"/>
    <n v="1"/>
    <s v="Jeans"/>
    <s v="Pepe"/>
    <s v="Jogger"/>
    <s v="Denim"/>
    <n v="32"/>
    <s v="Sky Blue"/>
    <n v="820"/>
  </r>
  <r>
    <x v="735"/>
    <x v="50"/>
    <s v="PNT1278"/>
    <n v="1"/>
    <s v="Pants"/>
    <s v="Raymond"/>
    <s v="Jogger"/>
    <s v="Cotton Blend"/>
    <n v="36"/>
    <s v="Dark Green"/>
    <n v="760"/>
  </r>
  <r>
    <x v="735"/>
    <x v="50"/>
    <s v="TSH0630"/>
    <n v="1"/>
    <s v="T-Shirt"/>
    <s v="Roadster"/>
    <s v="Half Sleeve"/>
    <s v="Cotton"/>
    <s v="XXL"/>
    <s v="Royal Blue"/>
    <n v="610"/>
  </r>
  <r>
    <x v="735"/>
    <x v="50"/>
    <s v="TSH0488"/>
    <n v="1"/>
    <s v="T-Shirt"/>
    <s v="Turkey"/>
    <s v="Sleeveless"/>
    <s v="Cotton Blend"/>
    <s v="S"/>
    <s v="Maroon"/>
    <n v="590"/>
  </r>
  <r>
    <x v="736"/>
    <x v="50"/>
    <s v="TSH0504"/>
    <n v="1"/>
    <s v="T-Shirt"/>
    <s v="Max"/>
    <s v="Sleeveless"/>
    <s v="Cotton"/>
    <s v="XL"/>
    <s v="Bottle Green"/>
    <n v="730"/>
  </r>
  <r>
    <x v="737"/>
    <x v="50"/>
    <s v="PNT1156"/>
    <n v="1"/>
    <s v="Pants"/>
    <s v="Raymond"/>
    <s v="Kurka"/>
    <s v="Lycra"/>
    <n v="30"/>
    <s v="Mustard"/>
    <n v="880"/>
  </r>
  <r>
    <x v="737"/>
    <x v="50"/>
    <s v="JNS0860"/>
    <n v="1"/>
    <s v="Jeans"/>
    <s v="Spykar"/>
    <s v="Jogger"/>
    <s v="Denim"/>
    <n v="44"/>
    <s v="Black"/>
    <n v="840"/>
  </r>
  <r>
    <x v="737"/>
    <x v="50"/>
    <s v="SHT0093"/>
    <n v="1"/>
    <s v="Shirt"/>
    <s v="L7"/>
    <s v="Partywear"/>
    <s v="Lycra"/>
    <s v="XL"/>
    <s v="Beige"/>
    <n v="870"/>
  </r>
  <r>
    <x v="738"/>
    <x v="50"/>
    <s v="SHT0325"/>
    <n v="1"/>
    <s v="Shirt"/>
    <s v="British"/>
    <s v="Partywear"/>
    <s v="Lycra"/>
    <s v="S"/>
    <s v="Sky Blue"/>
    <n v="720"/>
  </r>
  <r>
    <x v="738"/>
    <x v="50"/>
    <s v="INW1409"/>
    <n v="1"/>
    <s v="Innerwear"/>
    <s v="Lux"/>
    <s v="V-Cut"/>
    <s v="Cotton Blend"/>
    <s v="105-110"/>
    <s v="Mustard"/>
    <n v="130"/>
  </r>
  <r>
    <x v="739"/>
    <x v="50"/>
    <s v="PNT1121"/>
    <n v="1"/>
    <s v="Pants"/>
    <s v="Raymond"/>
    <s v="Kurka"/>
    <s v="Lycra"/>
    <n v="38"/>
    <s v="Maroon"/>
    <n v="940"/>
  </r>
  <r>
    <x v="739"/>
    <x v="50"/>
    <s v="TSH0703"/>
    <n v="1"/>
    <s v="T-Shirt"/>
    <s v="Max"/>
    <s v="Sleeveless"/>
    <s v="Cotton"/>
    <s v="S"/>
    <s v="Mustard"/>
    <n v="490"/>
  </r>
  <r>
    <x v="740"/>
    <x v="50"/>
    <s v="PNT1305"/>
    <n v="1"/>
    <s v="Pants"/>
    <s v="Louis Philippe"/>
    <s v="Jogger"/>
    <s v="Poly Viscose"/>
    <n v="40"/>
    <s v="Olive"/>
    <n v="830"/>
  </r>
  <r>
    <x v="740"/>
    <x v="50"/>
    <s v="PNT1072"/>
    <n v="1"/>
    <s v="Pants"/>
    <s v="Peter England"/>
    <s v="Polofit"/>
    <s v="Lycra"/>
    <n v="44"/>
    <s v="Cream"/>
    <n v="800"/>
  </r>
  <r>
    <x v="741"/>
    <x v="50"/>
    <s v="INW1571"/>
    <n v="1"/>
    <s v="Innerwear"/>
    <s v="Dollar"/>
    <s v="Boxer"/>
    <s v="Cotton Blend"/>
    <s v="85-90"/>
    <s v="Navy Blue"/>
    <n v="120"/>
  </r>
  <r>
    <x v="742"/>
    <x v="50"/>
    <s v="TSH0429"/>
    <n v="1"/>
    <s v="T-Shirt"/>
    <s v="Roadster"/>
    <s v="3/4 Sleeve"/>
    <s v="Cotton"/>
    <s v="XL"/>
    <s v="Light Grey"/>
    <n v="370"/>
  </r>
  <r>
    <x v="742"/>
    <x v="50"/>
    <s v="PNT1353"/>
    <n v="1"/>
    <s v="Pants"/>
    <s v="Louis Philippe"/>
    <s v="Korean"/>
    <s v="Lycra"/>
    <n v="40"/>
    <s v="Light Grey"/>
    <n v="880"/>
  </r>
  <r>
    <x v="742"/>
    <x v="50"/>
    <s v="JNS0864"/>
    <n v="1"/>
    <s v="Jeans"/>
    <s v="Spykar"/>
    <s v="Baggy"/>
    <s v="Denim"/>
    <n v="32"/>
    <s v="Navy Blue"/>
    <n v="850"/>
  </r>
  <r>
    <x v="743"/>
    <x v="50"/>
    <s v="TSH0599"/>
    <n v="1"/>
    <s v="T-Shirt"/>
    <s v="Turkey"/>
    <s v="3/4 Sleeve"/>
    <s v="Cotton Blend"/>
    <s v="L"/>
    <s v="Grey"/>
    <n v="700"/>
  </r>
  <r>
    <x v="744"/>
    <x v="50"/>
    <s v="TSH0544"/>
    <n v="1"/>
    <s v="T-Shirt"/>
    <s v="Max"/>
    <s v="Half Sleeve"/>
    <s v="Cotton Blend"/>
    <s v="XL"/>
    <s v="Cream"/>
    <n v="340"/>
  </r>
  <r>
    <x v="744"/>
    <x v="50"/>
    <s v="INW1521"/>
    <n v="1"/>
    <s v="Innerwear"/>
    <s v="Jockey"/>
    <s v="Boxer"/>
    <s v="Cotton"/>
    <s v="85-90"/>
    <s v="Rust"/>
    <n v="170"/>
  </r>
  <r>
    <x v="745"/>
    <x v="50"/>
    <s v="JNS0852"/>
    <n v="1"/>
    <s v="Jeans"/>
    <s v="Locomotive"/>
    <s v="Mom Fit"/>
    <s v="Denim"/>
    <n v="28"/>
    <s v="Mustard"/>
    <n v="860"/>
  </r>
  <r>
    <x v="745"/>
    <x v="50"/>
    <s v="JNS1009"/>
    <n v="1"/>
    <s v="Jeans"/>
    <s v="Spykar"/>
    <s v="Baggy"/>
    <s v="Denim"/>
    <n v="40"/>
    <s v="Mustard"/>
    <n v="790"/>
  </r>
  <r>
    <x v="746"/>
    <x v="50"/>
    <s v="TSH0557"/>
    <n v="1"/>
    <s v="T-Shirt"/>
    <s v="Max"/>
    <s v="Sleeveless"/>
    <s v="Poly Cotton"/>
    <s v="XXL"/>
    <s v="Peach"/>
    <n v="400"/>
  </r>
  <r>
    <x v="747"/>
    <x v="50"/>
    <s v="TSH0596"/>
    <n v="1"/>
    <s v="T-Shirt"/>
    <s v="Campus"/>
    <s v="3/4 Sleeve"/>
    <s v="Cotton Blend"/>
    <s v="M"/>
    <s v="Sky Blue"/>
    <n v="370"/>
  </r>
  <r>
    <x v="747"/>
    <x v="50"/>
    <s v="PNT1363"/>
    <n v="1"/>
    <s v="Pants"/>
    <s v="Van Heusen"/>
    <s v="Kurka"/>
    <s v="Lycra"/>
    <n v="32"/>
    <s v="Dark Green"/>
    <n v="940"/>
  </r>
  <r>
    <x v="747"/>
    <x v="50"/>
    <s v="PNT1181"/>
    <n v="1"/>
    <s v="Pants"/>
    <s v="Louis Philippe"/>
    <s v="Polofit"/>
    <s v="Lycra"/>
    <n v="42"/>
    <s v="Maroon"/>
    <n v="910"/>
  </r>
  <r>
    <x v="748"/>
    <x v="51"/>
    <s v="INW1501"/>
    <n v="1"/>
    <s v="Innerwear"/>
    <s v="Jockey"/>
    <s v="V-Cut"/>
    <s v="Cotton Blend"/>
    <s v="85-90"/>
    <s v="Cream"/>
    <n v="170"/>
  </r>
  <r>
    <x v="748"/>
    <x v="51"/>
    <s v="TSH0508"/>
    <n v="1"/>
    <s v="T-Shirt"/>
    <s v="Max"/>
    <s v="Full Sleeve"/>
    <s v="Poly Cotton"/>
    <s v="XXL"/>
    <s v="Charcoal"/>
    <n v="310"/>
  </r>
  <r>
    <x v="748"/>
    <x v="51"/>
    <s v="PNT1162"/>
    <n v="1"/>
    <s v="Pants"/>
    <s v="Louis Philippe"/>
    <s v="Korean"/>
    <s v="Lycra"/>
    <n v="38"/>
    <s v="Sky Blue"/>
    <n v="900"/>
  </r>
  <r>
    <x v="749"/>
    <x v="51"/>
    <s v="PNT1127"/>
    <n v="1"/>
    <s v="Pants"/>
    <s v="Van Heusen"/>
    <s v="Boot Cut"/>
    <s v="Poly Viscose"/>
    <n v="30"/>
    <s v="Light Grey"/>
    <n v="750"/>
  </r>
  <r>
    <x v="749"/>
    <x v="51"/>
    <s v="JNS0991"/>
    <n v="1"/>
    <s v="Jeans"/>
    <s v="Locomotive"/>
    <s v="Jogger"/>
    <s v="Denim"/>
    <n v="42"/>
    <s v="Beige"/>
    <n v="850"/>
  </r>
  <r>
    <x v="750"/>
    <x v="51"/>
    <s v="PNT1223"/>
    <n v="1"/>
    <s v="Pants"/>
    <s v="Louis Philippe"/>
    <s v="Polofit"/>
    <s v="Lycra"/>
    <n v="32"/>
    <s v="Maroon"/>
    <n v="870"/>
  </r>
  <r>
    <x v="750"/>
    <x v="51"/>
    <s v="INW1634"/>
    <n v="1"/>
    <s v="Innerwear"/>
    <s v="Lux"/>
    <s v="Boxer"/>
    <s v="Cotton"/>
    <s v="105-110"/>
    <s v="Cream"/>
    <n v="170"/>
  </r>
  <r>
    <x v="751"/>
    <x v="51"/>
    <s v="PNT1211"/>
    <n v="1"/>
    <s v="Pants"/>
    <s v="Park Avenue"/>
    <s v="Polofit"/>
    <s v="Lycra"/>
    <n v="30"/>
    <s v="White"/>
    <n v="800"/>
  </r>
  <r>
    <x v="751"/>
    <x v="51"/>
    <s v="PNT1110"/>
    <n v="1"/>
    <s v="Pants"/>
    <s v="Van Heusen"/>
    <s v="Jogger"/>
    <s v="Cotton Blend"/>
    <n v="28"/>
    <s v="Navy Blue"/>
    <n v="830"/>
  </r>
  <r>
    <x v="751"/>
    <x v="51"/>
    <s v="TSH0625"/>
    <n v="1"/>
    <s v="T-Shirt"/>
    <s v="Urban Monkey"/>
    <s v="Full Sleeve"/>
    <s v="Cotton"/>
    <s v="XL"/>
    <s v="Mustard"/>
    <n v="560"/>
  </r>
  <r>
    <x v="752"/>
    <x v="51"/>
    <s v="PNT1074"/>
    <n v="1"/>
    <s v="Pants"/>
    <s v="Van Heusen"/>
    <s v="Boot Cut"/>
    <s v="Cotton"/>
    <n v="40"/>
    <s v="Teal"/>
    <n v="940"/>
  </r>
  <r>
    <x v="752"/>
    <x v="51"/>
    <s v="INW1444"/>
    <n v="1"/>
    <s v="Innerwear"/>
    <s v="Dollar"/>
    <s v="V-Cut"/>
    <s v="Cotton"/>
    <s v="90-100"/>
    <s v="Rust"/>
    <n v="160"/>
  </r>
  <r>
    <x v="752"/>
    <x v="51"/>
    <s v="JNS0813"/>
    <n v="1"/>
    <s v="Jeans"/>
    <s v="Locomotive"/>
    <s v="Jogger"/>
    <s v="Denim"/>
    <n v="30"/>
    <s v="Wine"/>
    <n v="1080"/>
  </r>
  <r>
    <x v="752"/>
    <x v="51"/>
    <s v="SHT0119"/>
    <n v="1"/>
    <s v="Shirt"/>
    <s v="L7"/>
    <s v="Formal"/>
    <s v="Lycra"/>
    <s v="M"/>
    <s v="Dark Green"/>
    <n v="870"/>
  </r>
  <r>
    <x v="753"/>
    <x v="51"/>
    <s v="INW1487"/>
    <n v="1"/>
    <s v="Innerwear"/>
    <s v="Lux"/>
    <s v="V-Cut"/>
    <s v="Cotton"/>
    <s v="85-90"/>
    <s v="Grey"/>
    <n v="140"/>
  </r>
  <r>
    <x v="753"/>
    <x v="51"/>
    <s v="TSH0533"/>
    <n v="1"/>
    <s v="T-Shirt"/>
    <s v="Urban Monkey"/>
    <s v="Half Sleeve"/>
    <s v="Cotton Blend"/>
    <s v="S"/>
    <s v="Mustard"/>
    <n v="260"/>
  </r>
  <r>
    <x v="754"/>
    <x v="51"/>
    <s v="INW1418"/>
    <n v="1"/>
    <s v="Innerwear"/>
    <s v="Jockey"/>
    <s v="Boxer"/>
    <s v="Cotton Blend"/>
    <s v="100-105"/>
    <s v="Royal Blue"/>
    <n v="130"/>
  </r>
  <r>
    <x v="754"/>
    <x v="51"/>
    <s v="SHT0162"/>
    <n v="1"/>
    <s v="Shirt"/>
    <s v="H&amp;M"/>
    <s v="Casual"/>
    <s v="Lycra"/>
    <s v="L"/>
    <s v="Peach"/>
    <n v="820"/>
  </r>
  <r>
    <x v="755"/>
    <x v="51"/>
    <s v="TSH0484"/>
    <n v="1"/>
    <s v="T-Shirt"/>
    <s v="Roadster"/>
    <s v="3/4 Sleeve"/>
    <s v="Poly Cotton"/>
    <s v="XXL"/>
    <s v="Charcoal"/>
    <n v="420"/>
  </r>
  <r>
    <x v="755"/>
    <x v="51"/>
    <s v="INW1375"/>
    <n v="1"/>
    <s v="Innerwear"/>
    <s v="Rupa"/>
    <s v="V-Cut"/>
    <s v="Cotton"/>
    <s v="90-100"/>
    <s v="Brown"/>
    <n v="100"/>
  </r>
  <r>
    <x v="755"/>
    <x v="51"/>
    <s v="SHT0049"/>
    <n v="1"/>
    <s v="Shirt"/>
    <s v="H&amp;M"/>
    <s v="Formal"/>
    <s v="Cotton Blend"/>
    <s v="S"/>
    <s v="Maroon"/>
    <n v="850"/>
  </r>
  <r>
    <x v="756"/>
    <x v="51"/>
    <s v="SHT0240"/>
    <n v="1"/>
    <s v="Shirt"/>
    <s v="USD"/>
    <s v="Partywear"/>
    <s v="Polyester"/>
    <s v="XL"/>
    <s v="Royal Blue"/>
    <n v="880"/>
  </r>
  <r>
    <x v="757"/>
    <x v="51"/>
    <s v="SHT0319"/>
    <n v="1"/>
    <s v="Shirt"/>
    <s v="USD"/>
    <s v="Partywear"/>
    <s v="Polyester"/>
    <s v="L"/>
    <s v="Grey"/>
    <n v="950"/>
  </r>
  <r>
    <x v="758"/>
    <x v="51"/>
    <s v="PNT1370"/>
    <n v="1"/>
    <s v="Pants"/>
    <s v="Louis Philippe"/>
    <s v="Boot Cut"/>
    <s v="Cotton Blend"/>
    <n v="44"/>
    <s v="Brown"/>
    <n v="850"/>
  </r>
  <r>
    <x v="759"/>
    <x v="51"/>
    <s v="TSH0441"/>
    <n v="1"/>
    <s v="T-Shirt"/>
    <s v="Campus"/>
    <s v="Half Sleeve"/>
    <s v="Cotton Blend"/>
    <s v="XXL"/>
    <s v="Beige"/>
    <n v="260"/>
  </r>
  <r>
    <x v="759"/>
    <x v="51"/>
    <s v="PNT1179"/>
    <n v="1"/>
    <s v="Pants"/>
    <s v="Peter England"/>
    <s v="Boot Cut"/>
    <s v="Cotton"/>
    <n v="40"/>
    <s v="Maroon"/>
    <n v="800"/>
  </r>
  <r>
    <x v="759"/>
    <x v="51"/>
    <s v="TSH0638"/>
    <n v="1"/>
    <s v="T-Shirt"/>
    <s v="Urban Monkey"/>
    <s v="Sleeveless"/>
    <s v="Cotton"/>
    <s v="XXL"/>
    <s v="Sky Blue"/>
    <n v="290"/>
  </r>
  <r>
    <x v="760"/>
    <x v="51"/>
    <s v="INW1427"/>
    <n v="1"/>
    <s v="Innerwear"/>
    <s v="Lux"/>
    <s v="Boxer"/>
    <s v="Cotton"/>
    <s v="105-110"/>
    <s v="Maroon"/>
    <n v="180"/>
  </r>
  <r>
    <x v="760"/>
    <x v="51"/>
    <s v="INW1389"/>
    <n v="1"/>
    <s v="Innerwear"/>
    <s v="Jockey"/>
    <s v="V-Cut"/>
    <s v="Cotton"/>
    <s v="85-90"/>
    <s v="Sky Blue"/>
    <n v="130"/>
  </r>
  <r>
    <x v="761"/>
    <x v="51"/>
    <s v="JNS0798"/>
    <n v="1"/>
    <s v="Jeans"/>
    <s v="Spykar"/>
    <s v="Mom Fit"/>
    <s v="Denim"/>
    <n v="40"/>
    <s v="Navy Blue"/>
    <n v="1070"/>
  </r>
  <r>
    <x v="761"/>
    <x v="51"/>
    <s v="TSH0697"/>
    <n v="1"/>
    <s v="T-Shirt"/>
    <s v="Urban Monkey"/>
    <s v="Hoodie"/>
    <s v="Poly Cotton"/>
    <s v="L"/>
    <s v="Maroon"/>
    <n v="370"/>
  </r>
  <r>
    <x v="762"/>
    <x v="51"/>
    <s v="SHT0169"/>
    <n v="1"/>
    <s v="Shirt"/>
    <s v="G Studio"/>
    <s v="Partywear"/>
    <s v="Lycra"/>
    <s v="XL"/>
    <s v="Cream"/>
    <n v="660"/>
  </r>
  <r>
    <x v="763"/>
    <x v="51"/>
    <s v="INW1478"/>
    <n v="1"/>
    <s v="Innerwear"/>
    <s v="Jockey"/>
    <s v="Boxer"/>
    <s v="Cotton Blend"/>
    <s v="100-105"/>
    <s v="Maroon"/>
    <n v="170"/>
  </r>
  <r>
    <x v="764"/>
    <x v="51"/>
    <s v="SHT0043"/>
    <n v="1"/>
    <s v="Shirt"/>
    <s v="G Studio"/>
    <s v="Casual"/>
    <s v="Cotton"/>
    <s v="XXL"/>
    <s v="Charcoal"/>
    <n v="870"/>
  </r>
  <r>
    <x v="764"/>
    <x v="51"/>
    <s v="SHT0004"/>
    <n v="1"/>
    <s v="Shirt"/>
    <s v="G Studio"/>
    <s v="Partywear"/>
    <s v="Polyester"/>
    <s v="M"/>
    <s v="Cream"/>
    <n v="830"/>
  </r>
  <r>
    <x v="765"/>
    <x v="51"/>
    <s v="SHT0157"/>
    <n v="1"/>
    <s v="Shirt"/>
    <s v="Thailand"/>
    <s v="Partywear"/>
    <s v="Cotton Blend"/>
    <s v="S"/>
    <s v="Rust"/>
    <n v="840"/>
  </r>
  <r>
    <x v="766"/>
    <x v="51"/>
    <s v="TSH0617"/>
    <n v="1"/>
    <s v="T-Shirt"/>
    <s v="Urban Monkey"/>
    <s v="Sleeveless"/>
    <s v="Cotton Blend"/>
    <s v="M"/>
    <s v="Sky Blue"/>
    <n v="700"/>
  </r>
  <r>
    <x v="766"/>
    <x v="51"/>
    <s v="INW1445"/>
    <n v="1"/>
    <s v="Innerwear"/>
    <s v="V Star"/>
    <s v="V-Cut"/>
    <s v="Cotton Blend"/>
    <s v="105-110"/>
    <s v="Charcoal"/>
    <n v="100"/>
  </r>
  <r>
    <x v="766"/>
    <x v="51"/>
    <s v="SHT0184"/>
    <n v="1"/>
    <s v="Shirt"/>
    <s v="H&amp;M"/>
    <s v="Partywear"/>
    <s v="Cotton Blend"/>
    <s v="XL"/>
    <s v="Royal Blue"/>
    <n v="850"/>
  </r>
  <r>
    <x v="767"/>
    <x v="52"/>
    <s v="TSH0418"/>
    <n v="1"/>
    <s v="T-Shirt"/>
    <s v="Campus"/>
    <s v="Sleeveless"/>
    <s v="Poly Cotton"/>
    <s v="L"/>
    <s v="Royal Blue"/>
    <n v="400"/>
  </r>
  <r>
    <x v="767"/>
    <x v="52"/>
    <s v="SHT0336"/>
    <n v="1"/>
    <s v="Shirt"/>
    <s v="Zara"/>
    <s v="Casual"/>
    <s v="Polyester"/>
    <s v="M"/>
    <s v="Maroon"/>
    <n v="800"/>
  </r>
  <r>
    <x v="767"/>
    <x v="52"/>
    <s v="TSH0545"/>
    <n v="1"/>
    <s v="T-Shirt"/>
    <s v="Urban Monkey"/>
    <s v="3/4 Sleeve"/>
    <s v="Poly Cotton"/>
    <s v="S"/>
    <s v="Maroon"/>
    <n v="370"/>
  </r>
  <r>
    <x v="768"/>
    <x v="52"/>
    <s v="SHT0289"/>
    <n v="1"/>
    <s v="Shirt"/>
    <s v="Zara"/>
    <s v="Casual"/>
    <s v="Polyester"/>
    <s v="XXL"/>
    <s v="Peach"/>
    <n v="650"/>
  </r>
  <r>
    <x v="769"/>
    <x v="52"/>
    <s v="JNS0773"/>
    <n v="1"/>
    <s v="Jeans"/>
    <s v="Wrangler"/>
    <s v="Baggy"/>
    <s v="Denim"/>
    <n v="30"/>
    <s v="Navy Blue"/>
    <n v="1000"/>
  </r>
  <r>
    <x v="769"/>
    <x v="52"/>
    <s v="TSH0630"/>
    <n v="1"/>
    <s v="T-Shirt"/>
    <s v="Roadster"/>
    <s v="Half Sleeve"/>
    <s v="Cotton"/>
    <s v="XXL"/>
    <s v="Royal Blue"/>
    <n v="610"/>
  </r>
  <r>
    <x v="769"/>
    <x v="52"/>
    <s v="INW1476"/>
    <n v="1"/>
    <s v="Innerwear"/>
    <s v="Lux"/>
    <s v="V-Cut"/>
    <s v="Cotton Blend"/>
    <s v="105-110"/>
    <s v="Wine"/>
    <n v="120"/>
  </r>
  <r>
    <x v="770"/>
    <x v="52"/>
    <s v="PNT1358"/>
    <n v="1"/>
    <s v="Pants"/>
    <s v="Louis Philippe"/>
    <s v="Boot Cut"/>
    <s v="Poly Viscose"/>
    <n v="40"/>
    <s v="Teal"/>
    <n v="850"/>
  </r>
  <r>
    <x v="770"/>
    <x v="52"/>
    <s v="JNS0901"/>
    <n v="1"/>
    <s v="Jeans"/>
    <s v="Spykar"/>
    <s v="Jogger"/>
    <s v="Denim"/>
    <n v="30"/>
    <s v="Light Grey"/>
    <n v="1020"/>
  </r>
  <r>
    <x v="771"/>
    <x v="52"/>
    <s v="TSH0592"/>
    <n v="1"/>
    <s v="T-Shirt"/>
    <s v="Turkey"/>
    <s v="Full Sleeve"/>
    <s v="Poly Cotton"/>
    <s v="M"/>
    <s v="Peach"/>
    <n v="410"/>
  </r>
  <r>
    <x v="771"/>
    <x v="52"/>
    <s v="SHT0047"/>
    <n v="1"/>
    <s v="Shirt"/>
    <s v="H&amp;M"/>
    <s v="Formal"/>
    <s v="Cotton Blend"/>
    <s v="M"/>
    <s v="Teal"/>
    <n v="660"/>
  </r>
  <r>
    <x v="771"/>
    <x v="52"/>
    <s v="SHT0083"/>
    <n v="1"/>
    <s v="Shirt"/>
    <s v="H&amp;M"/>
    <s v="Casual"/>
    <s v="Polyester"/>
    <s v="S"/>
    <s v="Grey"/>
    <n v="750"/>
  </r>
  <r>
    <x v="771"/>
    <x v="52"/>
    <s v="INW1636"/>
    <n v="1"/>
    <s v="Innerwear"/>
    <s v="Rupa"/>
    <s v="Boxer"/>
    <s v="Cotton"/>
    <s v="85-90"/>
    <s v="Cream"/>
    <n v="120"/>
  </r>
  <r>
    <x v="772"/>
    <x v="52"/>
    <s v="INW1594"/>
    <n v="1"/>
    <s v="Innerwear"/>
    <s v="V Star"/>
    <s v="V-Cut"/>
    <s v="Cotton Blend"/>
    <s v="80-85"/>
    <s v="Dark Green"/>
    <n v="140"/>
  </r>
  <r>
    <x v="772"/>
    <x v="52"/>
    <s v="SHT0111"/>
    <n v="1"/>
    <s v="Shirt"/>
    <s v="British"/>
    <s v="Formal"/>
    <s v="Cotton Blend"/>
    <s v="S"/>
    <s v="Dark Green"/>
    <n v="710"/>
  </r>
  <r>
    <x v="772"/>
    <x v="52"/>
    <s v="TSH0639"/>
    <n v="1"/>
    <s v="T-Shirt"/>
    <s v="Campus"/>
    <s v="Hoodie"/>
    <s v="Poly Cotton"/>
    <s v="M"/>
    <s v="Peach"/>
    <n v="540"/>
  </r>
  <r>
    <x v="773"/>
    <x v="52"/>
    <s v="JNS0995"/>
    <n v="1"/>
    <s v="Jeans"/>
    <s v="Levis"/>
    <s v="Baggy"/>
    <s v="Denim"/>
    <n v="44"/>
    <s v="Charcoal"/>
    <n v="940"/>
  </r>
  <r>
    <x v="774"/>
    <x v="52"/>
    <s v="INW1384"/>
    <n v="1"/>
    <s v="Innerwear"/>
    <s v="Jockey"/>
    <s v="V-Cut"/>
    <s v="Cotton"/>
    <s v="90-100"/>
    <s v="White"/>
    <n v="180"/>
  </r>
  <r>
    <x v="775"/>
    <x v="52"/>
    <s v="JNS0821"/>
    <n v="1"/>
    <s v="Jeans"/>
    <s v="Denim Pro"/>
    <s v="Mom Fit"/>
    <s v="Denim"/>
    <n v="34"/>
    <s v="Peach"/>
    <n v="990"/>
  </r>
  <r>
    <x v="775"/>
    <x v="52"/>
    <s v="INW1443"/>
    <n v="1"/>
    <s v="Innerwear"/>
    <s v="Rupa"/>
    <s v="Boxer"/>
    <s v="Cotton Blend"/>
    <s v="90-100"/>
    <s v="Royal Blue"/>
    <n v="150"/>
  </r>
  <r>
    <x v="776"/>
    <x v="52"/>
    <s v="SHT0166"/>
    <n v="1"/>
    <s v="Shirt"/>
    <s v="British"/>
    <s v="Formal"/>
    <s v="Lycra"/>
    <s v="XL"/>
    <s v="Black"/>
    <n v="920"/>
  </r>
  <r>
    <x v="776"/>
    <x v="52"/>
    <s v="JNS0899"/>
    <n v="1"/>
    <s v="Jeans"/>
    <s v="Levis"/>
    <s v="Jogger"/>
    <s v="Denim"/>
    <n v="36"/>
    <s v="Peach"/>
    <n v="1040"/>
  </r>
  <r>
    <x v="777"/>
    <x v="52"/>
    <s v="JNS0839"/>
    <n v="1"/>
    <s v="Jeans"/>
    <s v="Pepe"/>
    <s v="Baggy"/>
    <s v="Denim"/>
    <n v="40"/>
    <s v="Bottle Green"/>
    <n v="800"/>
  </r>
  <r>
    <x v="777"/>
    <x v="52"/>
    <s v="PNT1254"/>
    <n v="1"/>
    <s v="Pants"/>
    <s v="Van Heusen"/>
    <s v="Boot Cut"/>
    <s v="Cotton Blend"/>
    <n v="32"/>
    <s v="Wine"/>
    <n v="890"/>
  </r>
  <r>
    <x v="778"/>
    <x v="52"/>
    <s v="SHT0048"/>
    <n v="1"/>
    <s v="Shirt"/>
    <s v="G Studio"/>
    <s v="Casual"/>
    <s v="Cotton Blend"/>
    <s v="M"/>
    <s v="Cream"/>
    <n v="940"/>
  </r>
  <r>
    <x v="779"/>
    <x v="52"/>
    <s v="INW1538"/>
    <n v="1"/>
    <s v="Innerwear"/>
    <s v="V Star"/>
    <s v="V-Cut"/>
    <s v="Cotton"/>
    <s v="105-110"/>
    <s v="Cream"/>
    <n v="100"/>
  </r>
  <r>
    <x v="780"/>
    <x v="52"/>
    <s v="PNT1191"/>
    <n v="1"/>
    <s v="Pants"/>
    <s v="Louis Philippe"/>
    <s v="Polofit"/>
    <s v="Lycra"/>
    <n v="32"/>
    <s v="White"/>
    <n v="900"/>
  </r>
  <r>
    <x v="780"/>
    <x v="52"/>
    <s v="JNS0822"/>
    <n v="1"/>
    <s v="Jeans"/>
    <s v="Denim Pro"/>
    <s v="Mom Fit"/>
    <s v="Denim"/>
    <n v="44"/>
    <s v="Bottle Green"/>
    <n v="940"/>
  </r>
  <r>
    <x v="781"/>
    <x v="52"/>
    <s v="SHT0346"/>
    <n v="1"/>
    <s v="Shirt"/>
    <s v="H&amp;M"/>
    <s v="Formal"/>
    <s v="Polyester"/>
    <s v="L"/>
    <s v="Beige"/>
    <n v="870"/>
  </r>
  <r>
    <x v="781"/>
    <x v="52"/>
    <s v="SHT0342"/>
    <n v="1"/>
    <s v="Shirt"/>
    <s v="G Studio"/>
    <s v="Formal"/>
    <s v="Cotton"/>
    <s v="XXL"/>
    <s v="White"/>
    <n v="720"/>
  </r>
  <r>
    <x v="782"/>
    <x v="52"/>
    <s v="INW1449"/>
    <n v="1"/>
    <s v="Innerwear"/>
    <s v="Jockey"/>
    <s v="Boxer"/>
    <s v="Cotton"/>
    <s v="105-110"/>
    <s v="Rust"/>
    <n v="160"/>
  </r>
  <r>
    <x v="782"/>
    <x v="52"/>
    <s v="PNT1319"/>
    <n v="1"/>
    <s v="Pants"/>
    <s v="Raymond"/>
    <s v="Polofit"/>
    <s v="Lycra"/>
    <n v="42"/>
    <s v="Bottle Green"/>
    <n v="810"/>
  </r>
  <r>
    <x v="782"/>
    <x v="52"/>
    <s v="INW1541"/>
    <n v="1"/>
    <s v="Innerwear"/>
    <s v="Dollar"/>
    <s v="Boxer"/>
    <s v="Cotton"/>
    <s v="90-100"/>
    <s v="Navy Blue"/>
    <n v="160"/>
  </r>
  <r>
    <x v="783"/>
    <x v="53"/>
    <s v="TSH0696"/>
    <n v="1"/>
    <s v="T-Shirt"/>
    <s v="Roadster"/>
    <s v="Sleeveless"/>
    <s v="Poly Cotton"/>
    <s v="M"/>
    <s v="Teal"/>
    <n v="600"/>
  </r>
  <r>
    <x v="783"/>
    <x v="53"/>
    <s v="PNT1318"/>
    <n v="1"/>
    <s v="Pants"/>
    <s v="Louis Philippe"/>
    <s v="Polofit"/>
    <s v="Lycra"/>
    <n v="34"/>
    <s v="Olive"/>
    <n v="780"/>
  </r>
  <r>
    <x v="784"/>
    <x v="53"/>
    <s v="PNT1362"/>
    <n v="1"/>
    <s v="Pants"/>
    <s v="Peter England"/>
    <s v="Korean"/>
    <s v="Lycra"/>
    <n v="38"/>
    <s v="Beige"/>
    <n v="890"/>
  </r>
  <r>
    <x v="784"/>
    <x v="53"/>
    <s v="JNS0863"/>
    <n v="1"/>
    <s v="Jeans"/>
    <s v="Wrangler"/>
    <s v="Mom Fit"/>
    <s v="Denim"/>
    <n v="40"/>
    <s v="Black"/>
    <n v="950"/>
  </r>
  <r>
    <x v="784"/>
    <x v="53"/>
    <s v="JNS0953"/>
    <n v="1"/>
    <s v="Jeans"/>
    <s v="Spykar"/>
    <s v="Jogger"/>
    <s v="Denim"/>
    <n v="42"/>
    <s v="Maroon"/>
    <n v="960"/>
  </r>
  <r>
    <x v="785"/>
    <x v="53"/>
    <s v="JNS0803"/>
    <n v="1"/>
    <s v="Jeans"/>
    <s v="Levis"/>
    <s v="Jogger"/>
    <s v="Denim"/>
    <n v="34"/>
    <s v="Teal"/>
    <n v="860"/>
  </r>
  <r>
    <x v="785"/>
    <x v="53"/>
    <s v="INW1590"/>
    <n v="1"/>
    <s v="Innerwear"/>
    <s v="Jockey"/>
    <s v="V-Cut"/>
    <s v="Cotton"/>
    <s v="105-110"/>
    <s v="Cream"/>
    <n v="140"/>
  </r>
  <r>
    <x v="785"/>
    <x v="53"/>
    <s v="JNS0979"/>
    <n v="1"/>
    <s v="Jeans"/>
    <s v="Denim Pro"/>
    <s v="Jogger"/>
    <s v="Denim"/>
    <n v="34"/>
    <s v="Wine"/>
    <n v="940"/>
  </r>
  <r>
    <x v="785"/>
    <x v="53"/>
    <s v="TSH0720"/>
    <n v="1"/>
    <s v="T-Shirt"/>
    <s v="Roadster"/>
    <s v="Half Sleeve"/>
    <s v="Cotton"/>
    <s v="XL"/>
    <s v="Maroon"/>
    <n v="590"/>
  </r>
  <r>
    <x v="786"/>
    <x v="53"/>
    <s v="SHT0199"/>
    <n v="1"/>
    <s v="Shirt"/>
    <s v="Max"/>
    <s v="Partywear"/>
    <s v="Polyester"/>
    <s v="XL"/>
    <s v="Royal Blue"/>
    <n v="730"/>
  </r>
  <r>
    <x v="787"/>
    <x v="53"/>
    <s v="JNS0906"/>
    <n v="1"/>
    <s v="Jeans"/>
    <s v="Pepe"/>
    <s v="Jogger"/>
    <s v="Denim"/>
    <n v="40"/>
    <s v="Bottle Green"/>
    <n v="990"/>
  </r>
  <r>
    <x v="788"/>
    <x v="53"/>
    <s v="INW1603"/>
    <n v="1"/>
    <s v="Innerwear"/>
    <s v="V Star"/>
    <s v="V-Cut"/>
    <s v="Cotton"/>
    <s v="100-105"/>
    <s v="Peach"/>
    <n v="130"/>
  </r>
  <r>
    <x v="789"/>
    <x v="53"/>
    <s v="SHT0018"/>
    <n v="1"/>
    <s v="Shirt"/>
    <s v="Luke &amp; Burg"/>
    <s v="Partywear"/>
    <s v="Cotton"/>
    <s v="XL"/>
    <s v="Rust"/>
    <n v="910"/>
  </r>
  <r>
    <x v="790"/>
    <x v="53"/>
    <s v="INW1577"/>
    <n v="1"/>
    <s v="Innerwear"/>
    <s v="Lux"/>
    <s v="Boxer"/>
    <s v="Cotton"/>
    <s v="105-110"/>
    <s v="Navy Blue"/>
    <n v="170"/>
  </r>
  <r>
    <x v="790"/>
    <x v="53"/>
    <s v="JNS0961"/>
    <n v="1"/>
    <s v="Jeans"/>
    <s v="Pepe"/>
    <s v="Mom Fit"/>
    <s v="Denim"/>
    <n v="42"/>
    <s v="Wine"/>
    <n v="1020"/>
  </r>
  <r>
    <x v="791"/>
    <x v="53"/>
    <s v="PNT1252"/>
    <n v="1"/>
    <s v="Pants"/>
    <s v="Louis Philippe"/>
    <s v="Boot Cut"/>
    <s v="Cotton Blend"/>
    <n v="34"/>
    <s v="Dark Green"/>
    <n v="950"/>
  </r>
  <r>
    <x v="791"/>
    <x v="53"/>
    <s v="TSH0385"/>
    <n v="1"/>
    <s v="T-Shirt"/>
    <s v="Max"/>
    <s v="Full Sleeve"/>
    <s v="Poly Cotton"/>
    <s v="XL"/>
    <s v="Mustard"/>
    <n v="320"/>
  </r>
  <r>
    <x v="791"/>
    <x v="53"/>
    <s v="SHT0345"/>
    <n v="1"/>
    <s v="Shirt"/>
    <s v="British"/>
    <s v="Partywear"/>
    <s v="Cotton Blend"/>
    <s v="M"/>
    <s v="Brown"/>
    <n v="920"/>
  </r>
  <r>
    <x v="792"/>
    <x v="53"/>
    <s v="SHT0017"/>
    <n v="1"/>
    <s v="Shirt"/>
    <s v="Max"/>
    <s v="Formal"/>
    <s v="Cotton"/>
    <s v="S"/>
    <s v="Maroon"/>
    <n v="810"/>
  </r>
  <r>
    <x v="792"/>
    <x v="53"/>
    <s v="TSH0507"/>
    <n v="1"/>
    <s v="T-Shirt"/>
    <s v="Roadster"/>
    <s v="Sleeveless"/>
    <s v="Cotton"/>
    <s v="S"/>
    <s v="Beige"/>
    <n v="500"/>
  </r>
  <r>
    <x v="792"/>
    <x v="53"/>
    <s v="TSH0440"/>
    <n v="1"/>
    <s v="T-Shirt"/>
    <s v="Campus"/>
    <s v="3/4 Sleeve"/>
    <s v="Poly Cotton"/>
    <s v="XL"/>
    <s v="Rust"/>
    <n v="620"/>
  </r>
  <r>
    <x v="793"/>
    <x v="53"/>
    <s v="PNT1287"/>
    <n v="1"/>
    <s v="Pants"/>
    <s v="Park Avenue"/>
    <s v="Korean"/>
    <s v="Lycra"/>
    <n v="28"/>
    <s v="White"/>
    <n v="720"/>
  </r>
  <r>
    <x v="793"/>
    <x v="53"/>
    <s v="SHT0051"/>
    <n v="1"/>
    <s v="Shirt"/>
    <s v="British"/>
    <s v="Formal"/>
    <s v="Cotton Blend"/>
    <s v="XXL"/>
    <s v="Peach"/>
    <n v="890"/>
  </r>
  <r>
    <x v="793"/>
    <x v="53"/>
    <s v="TSH0596"/>
    <n v="1"/>
    <s v="T-Shirt"/>
    <s v="Campus"/>
    <s v="3/4 Sleeve"/>
    <s v="Cotton Blend"/>
    <s v="M"/>
    <s v="Sky Blue"/>
    <n v="370"/>
  </r>
  <r>
    <x v="793"/>
    <x v="53"/>
    <s v="INW1590"/>
    <n v="1"/>
    <s v="Innerwear"/>
    <s v="Jockey"/>
    <s v="V-Cut"/>
    <s v="Cotton"/>
    <s v="105-110"/>
    <s v="Cream"/>
    <n v="140"/>
  </r>
  <r>
    <x v="794"/>
    <x v="54"/>
    <s v="JNS1061"/>
    <n v="1"/>
    <s v="Jeans"/>
    <s v="Levis"/>
    <s v="Mom Fit"/>
    <s v="Denim"/>
    <n v="44"/>
    <s v="Brown"/>
    <n v="870"/>
  </r>
  <r>
    <x v="795"/>
    <x v="54"/>
    <s v="PNT1119"/>
    <n v="1"/>
    <s v="Pants"/>
    <s v="Raymond"/>
    <s v="Polofit"/>
    <s v="Lycra"/>
    <n v="42"/>
    <s v="Peach"/>
    <n v="860"/>
  </r>
  <r>
    <x v="795"/>
    <x v="54"/>
    <s v="JNS0875"/>
    <n v="1"/>
    <s v="Jeans"/>
    <s v="Pepe"/>
    <s v="Baggy"/>
    <s v="Denim"/>
    <n v="34"/>
    <s v="Grey"/>
    <n v="1040"/>
  </r>
  <r>
    <x v="796"/>
    <x v="54"/>
    <s v="JNS0942"/>
    <n v="1"/>
    <s v="Jeans"/>
    <s v="Denim Pro"/>
    <s v="Mom Fit"/>
    <s v="Denim"/>
    <n v="30"/>
    <s v="Light Grey"/>
    <n v="960"/>
  </r>
  <r>
    <x v="797"/>
    <x v="54"/>
    <s v="PNT1334"/>
    <n v="1"/>
    <s v="Pants"/>
    <s v="Park Avenue"/>
    <s v="Polofit"/>
    <s v="Lycra"/>
    <n v="38"/>
    <s v="Grey"/>
    <n v="880"/>
  </r>
  <r>
    <x v="797"/>
    <x v="54"/>
    <s v="TSH0456"/>
    <n v="1"/>
    <s v="T-Shirt"/>
    <s v="Roadster"/>
    <s v="Half Sleeve"/>
    <s v="Poly Cotton"/>
    <s v="M"/>
    <s v="Cream"/>
    <n v="590"/>
  </r>
  <r>
    <x v="797"/>
    <x v="54"/>
    <s v="INW1485"/>
    <n v="1"/>
    <s v="Innerwear"/>
    <s v="Lux"/>
    <s v="Boxer"/>
    <s v="Cotton Blend"/>
    <s v="80-85"/>
    <s v="Light Grey"/>
    <n v="150"/>
  </r>
  <r>
    <x v="797"/>
    <x v="54"/>
    <s v="TSH0672"/>
    <n v="1"/>
    <s v="T-Shirt"/>
    <s v="Urban Monkey"/>
    <s v="Sleeveless"/>
    <s v="Poly Cotton"/>
    <s v="S"/>
    <s v="Maroon"/>
    <n v="600"/>
  </r>
  <r>
    <x v="798"/>
    <x v="54"/>
    <s v="TSH0356"/>
    <n v="1"/>
    <s v="T-Shirt"/>
    <s v="Zara"/>
    <s v="Sleeveless"/>
    <s v="Cotton"/>
    <s v="XXL"/>
    <s v="Grey"/>
    <n v="740"/>
  </r>
  <r>
    <x v="798"/>
    <x v="54"/>
    <s v="TSH0398"/>
    <n v="1"/>
    <s v="T-Shirt"/>
    <s v="Urban Monkey"/>
    <s v="Sleeveless"/>
    <s v="Cotton Blend"/>
    <s v="S"/>
    <s v="Light Grey"/>
    <n v="410"/>
  </r>
  <r>
    <x v="798"/>
    <x v="54"/>
    <s v="TSH0590"/>
    <n v="1"/>
    <s v="T-Shirt"/>
    <s v="Max"/>
    <s v="Full Sleeve"/>
    <s v="Cotton Blend"/>
    <s v="M"/>
    <s v="Navy Blue"/>
    <n v="620"/>
  </r>
  <r>
    <x v="799"/>
    <x v="54"/>
    <s v="JNS0899"/>
    <n v="1"/>
    <s v="Jeans"/>
    <s v="Levis"/>
    <s v="Jogger"/>
    <s v="Denim"/>
    <n v="36"/>
    <s v="Peach"/>
    <n v="1040"/>
  </r>
  <r>
    <x v="800"/>
    <x v="54"/>
    <s v="TSH0451"/>
    <n v="1"/>
    <s v="T-Shirt"/>
    <s v="Zara"/>
    <s v="Half Sleeve"/>
    <s v="Cotton"/>
    <s v="XL"/>
    <s v="Navy Blue"/>
    <n v="710"/>
  </r>
  <r>
    <x v="800"/>
    <x v="54"/>
    <s v="TSH0400"/>
    <n v="1"/>
    <s v="T-Shirt"/>
    <s v="Turkey"/>
    <s v="Sleeveless"/>
    <s v="Cotton Blend"/>
    <s v="S"/>
    <s v="Bottle Green"/>
    <n v="720"/>
  </r>
  <r>
    <x v="801"/>
    <x v="54"/>
    <s v="JNS1064"/>
    <n v="1"/>
    <s v="Jeans"/>
    <s v="Spykar"/>
    <s v="Jogger"/>
    <s v="Denim"/>
    <n v="38"/>
    <s v="Teal"/>
    <n v="840"/>
  </r>
  <r>
    <x v="801"/>
    <x v="54"/>
    <s v="INW1618"/>
    <n v="1"/>
    <s v="Innerwear"/>
    <s v="Rupa"/>
    <s v="V-Cut"/>
    <s v="Cotton"/>
    <s v="75-80"/>
    <s v="Bottle Green"/>
    <n v="180"/>
  </r>
  <r>
    <x v="802"/>
    <x v="54"/>
    <s v="SHT0024"/>
    <n v="1"/>
    <s v="Shirt"/>
    <s v="Thailand"/>
    <s v="Formal"/>
    <s v="Cotton"/>
    <s v="M"/>
    <s v="Light Grey"/>
    <n v="760"/>
  </r>
  <r>
    <x v="802"/>
    <x v="54"/>
    <s v="SHT0259"/>
    <n v="1"/>
    <s v="Shirt"/>
    <s v="Zara"/>
    <s v="Formal"/>
    <s v="Polyester"/>
    <s v="L"/>
    <s v="Wine"/>
    <n v="730"/>
  </r>
  <r>
    <x v="802"/>
    <x v="54"/>
    <s v="SHT0127"/>
    <n v="1"/>
    <s v="Shirt"/>
    <s v="USD"/>
    <s v="Casual"/>
    <s v="Polyester"/>
    <s v="L"/>
    <s v="Olive"/>
    <n v="900"/>
  </r>
  <r>
    <x v="803"/>
    <x v="54"/>
    <s v="TSH0521"/>
    <n v="1"/>
    <s v="T-Shirt"/>
    <s v="Campus"/>
    <s v="Sleeveless"/>
    <s v="Poly Cotton"/>
    <s v="S"/>
    <s v="Mustard"/>
    <n v="480"/>
  </r>
  <r>
    <x v="804"/>
    <x v="54"/>
    <s v="SHT0096"/>
    <n v="1"/>
    <s v="Shirt"/>
    <s v="Thailand"/>
    <s v="Partywear"/>
    <s v="Cotton"/>
    <s v="XXL"/>
    <s v="White"/>
    <n v="670"/>
  </r>
  <r>
    <x v="804"/>
    <x v="54"/>
    <s v="SHT0260"/>
    <n v="1"/>
    <s v="Shirt"/>
    <s v="USD"/>
    <s v="Partywear"/>
    <s v="Polyester"/>
    <s v="S"/>
    <s v="Maroon"/>
    <n v="640"/>
  </r>
  <r>
    <x v="804"/>
    <x v="54"/>
    <s v="SHT0276"/>
    <n v="1"/>
    <s v="Shirt"/>
    <s v="L7"/>
    <s v="Casual"/>
    <s v="Lycra"/>
    <s v="XXL"/>
    <s v="Beige"/>
    <n v="930"/>
  </r>
  <r>
    <x v="805"/>
    <x v="54"/>
    <s v="TSH0585"/>
    <n v="1"/>
    <s v="T-Shirt"/>
    <s v="Thailand"/>
    <s v="Half Sleeve"/>
    <s v="Cotton"/>
    <s v="L"/>
    <s v="Charcoal"/>
    <n v="700"/>
  </r>
  <r>
    <x v="805"/>
    <x v="54"/>
    <s v="INW1386"/>
    <n v="1"/>
    <s v="Innerwear"/>
    <s v="V Star"/>
    <s v="V-Cut"/>
    <s v="Cotton Blend"/>
    <s v="75-80"/>
    <s v="Sky Blue"/>
    <n v="170"/>
  </r>
  <r>
    <x v="806"/>
    <x v="55"/>
    <s v="SHT0100"/>
    <n v="1"/>
    <s v="Shirt"/>
    <s v="Luke &amp; Burg"/>
    <s v="Partywear"/>
    <s v="Cotton Blend"/>
    <s v="L"/>
    <s v="Charcoal"/>
    <n v="800"/>
  </r>
  <r>
    <x v="806"/>
    <x v="55"/>
    <s v="INW1391"/>
    <n v="1"/>
    <s v="Innerwear"/>
    <s v="Rupa"/>
    <s v="Boxer"/>
    <s v="Cotton Blend"/>
    <s v="80-85"/>
    <s v="Olive"/>
    <n v="180"/>
  </r>
  <r>
    <x v="806"/>
    <x v="55"/>
    <s v="TSH0667"/>
    <n v="1"/>
    <s v="T-Shirt"/>
    <s v="Campus"/>
    <s v="3/4 Sleeve"/>
    <s v="Cotton Blend"/>
    <s v="S"/>
    <s v="Rust"/>
    <n v="240"/>
  </r>
  <r>
    <x v="806"/>
    <x v="55"/>
    <s v="SHT0318"/>
    <n v="1"/>
    <s v="Shirt"/>
    <s v="L7"/>
    <s v="Casual"/>
    <s v="Cotton Blend"/>
    <s v="XL"/>
    <s v="Dark Green"/>
    <n v="830"/>
  </r>
  <r>
    <x v="807"/>
    <x v="55"/>
    <s v="INW1393"/>
    <n v="1"/>
    <s v="Innerwear"/>
    <s v="Lux"/>
    <s v="Boxer"/>
    <s v="Cotton"/>
    <s v="90-100"/>
    <s v="Teal"/>
    <n v="110"/>
  </r>
  <r>
    <x v="807"/>
    <x v="55"/>
    <s v="SHT0059"/>
    <n v="1"/>
    <s v="Shirt"/>
    <s v="USD"/>
    <s v="Partywear"/>
    <s v="Cotton"/>
    <s v="XL"/>
    <s v="White"/>
    <n v="720"/>
  </r>
  <r>
    <x v="807"/>
    <x v="55"/>
    <s v="SHT0001"/>
    <n v="1"/>
    <s v="Shirt"/>
    <s v="L7"/>
    <s v="Formal"/>
    <s v="Cotton Blend"/>
    <s v="M"/>
    <s v="Charcoal"/>
    <n v="860"/>
  </r>
  <r>
    <x v="808"/>
    <x v="55"/>
    <s v="INW1555"/>
    <n v="1"/>
    <s v="Innerwear"/>
    <s v="Rupa"/>
    <s v="Boxer"/>
    <s v="Cotton"/>
    <s v="90-100"/>
    <s v="Olive"/>
    <n v="160"/>
  </r>
  <r>
    <x v="808"/>
    <x v="55"/>
    <s v="INW1545"/>
    <n v="1"/>
    <s v="Innerwear"/>
    <s v="Jockey"/>
    <s v="Boxer"/>
    <s v="Cotton"/>
    <s v="80-85"/>
    <s v="Black"/>
    <n v="170"/>
  </r>
  <r>
    <x v="808"/>
    <x v="55"/>
    <s v="PNT1274"/>
    <n v="1"/>
    <s v="Pants"/>
    <s v="Louis Philippe"/>
    <s v="Korean"/>
    <s v="Lycra"/>
    <n v="42"/>
    <s v="Royal Blue"/>
    <n v="900"/>
  </r>
  <r>
    <x v="809"/>
    <x v="55"/>
    <s v="SHT0049"/>
    <n v="1"/>
    <s v="Shirt"/>
    <s v="H&amp;M"/>
    <s v="Formal"/>
    <s v="Cotton Blend"/>
    <s v="S"/>
    <s v="Maroon"/>
    <n v="850"/>
  </r>
  <r>
    <x v="810"/>
    <x v="55"/>
    <s v="INW1567"/>
    <n v="1"/>
    <s v="Innerwear"/>
    <s v="Jockey"/>
    <s v="V-Cut"/>
    <s v="Cotton Blend"/>
    <s v="80-85"/>
    <s v="Sky Blue"/>
    <n v="140"/>
  </r>
  <r>
    <x v="810"/>
    <x v="55"/>
    <s v="PNT1279"/>
    <n v="1"/>
    <s v="Pants"/>
    <s v="Park Avenue"/>
    <s v="Polofit"/>
    <s v="Lycra"/>
    <n v="44"/>
    <s v="Light Grey"/>
    <n v="930"/>
  </r>
  <r>
    <x v="810"/>
    <x v="55"/>
    <s v="PNT1317"/>
    <n v="1"/>
    <s v="Pants"/>
    <s v="Louis Philippe"/>
    <s v="Kurka"/>
    <s v="Lycra"/>
    <n v="30"/>
    <s v="Light Grey"/>
    <n v="700"/>
  </r>
  <r>
    <x v="810"/>
    <x v="55"/>
    <s v="SHT0020"/>
    <n v="1"/>
    <s v="Shirt"/>
    <s v="British"/>
    <s v="Formal"/>
    <s v="Cotton Blend"/>
    <s v="XL"/>
    <s v="Olive"/>
    <n v="900"/>
  </r>
  <r>
    <x v="811"/>
    <x v="55"/>
    <s v="TSH0725"/>
    <n v="1"/>
    <s v="T-Shirt"/>
    <s v="Turkey"/>
    <s v="Half Sleeve"/>
    <s v="Poly Cotton"/>
    <s v="S"/>
    <s v="Light Grey"/>
    <n v="390"/>
  </r>
  <r>
    <x v="811"/>
    <x v="55"/>
    <s v="JNS0962"/>
    <n v="1"/>
    <s v="Jeans"/>
    <s v="Locomotive"/>
    <s v="Mom Fit"/>
    <s v="Denim"/>
    <n v="42"/>
    <s v="Navy Blue"/>
    <n v="960"/>
  </r>
  <r>
    <x v="811"/>
    <x v="55"/>
    <s v="TSH0471"/>
    <n v="1"/>
    <s v="T-Shirt"/>
    <s v="Zara"/>
    <s v="Sleeveless"/>
    <s v="Cotton"/>
    <s v="XL"/>
    <s v="Royal Blue"/>
    <n v="380"/>
  </r>
  <r>
    <x v="811"/>
    <x v="55"/>
    <s v="INW1485"/>
    <n v="1"/>
    <s v="Innerwear"/>
    <s v="Lux"/>
    <s v="Boxer"/>
    <s v="Cotton Blend"/>
    <s v="80-85"/>
    <s v="Light Grey"/>
    <n v="150"/>
  </r>
  <r>
    <x v="812"/>
    <x v="55"/>
    <s v="SHT0042"/>
    <n v="1"/>
    <s v="Shirt"/>
    <s v="H&amp;M"/>
    <s v="Formal"/>
    <s v="Lycra"/>
    <s v="S"/>
    <s v="Royal Blue"/>
    <n v="650"/>
  </r>
  <r>
    <x v="812"/>
    <x v="55"/>
    <s v="INW1499"/>
    <n v="1"/>
    <s v="Innerwear"/>
    <s v="V Star"/>
    <s v="V-Cut"/>
    <s v="Cotton Blend"/>
    <s v="75-80"/>
    <s v="Wine"/>
    <n v="180"/>
  </r>
  <r>
    <x v="813"/>
    <x v="55"/>
    <s v="TSH0684"/>
    <n v="1"/>
    <s v="T-Shirt"/>
    <s v="Turkey"/>
    <s v="Full Sleeve"/>
    <s v="Poly Cotton"/>
    <s v="L"/>
    <s v="Grey"/>
    <n v="320"/>
  </r>
  <r>
    <x v="814"/>
    <x v="55"/>
    <s v="PNT1104"/>
    <n v="1"/>
    <s v="Pants"/>
    <s v="Peter England"/>
    <s v="Jogger"/>
    <s v="Cotton Blend"/>
    <n v="34"/>
    <s v="Wine"/>
    <n v="830"/>
  </r>
  <r>
    <x v="814"/>
    <x v="55"/>
    <s v="PNT1369"/>
    <n v="1"/>
    <s v="Pants"/>
    <s v="Raymond"/>
    <s v="Boot Cut"/>
    <s v="Cotton Blend"/>
    <n v="38"/>
    <s v="Mustard"/>
    <n v="810"/>
  </r>
  <r>
    <x v="814"/>
    <x v="55"/>
    <s v="JNS0788"/>
    <n v="1"/>
    <s v="Jeans"/>
    <s v="Levis"/>
    <s v="Jogger"/>
    <s v="Denim"/>
    <n v="40"/>
    <s v="Charcoal"/>
    <n v="840"/>
  </r>
  <r>
    <x v="814"/>
    <x v="55"/>
    <s v="JNS1000"/>
    <n v="1"/>
    <s v="Jeans"/>
    <s v="Pepe"/>
    <s v="Jogger"/>
    <s v="Denim"/>
    <n v="34"/>
    <s v="Maroon"/>
    <n v="940"/>
  </r>
  <r>
    <x v="815"/>
    <x v="55"/>
    <s v="TSH0497"/>
    <n v="1"/>
    <s v="T-Shirt"/>
    <s v="Urban Monkey"/>
    <s v="3/4 Sleeve"/>
    <s v="Cotton"/>
    <s v="S"/>
    <s v="Charcoal"/>
    <n v="360"/>
  </r>
  <r>
    <x v="815"/>
    <x v="55"/>
    <s v="PNT1317"/>
    <n v="1"/>
    <s v="Pants"/>
    <s v="Louis Philippe"/>
    <s v="Kurka"/>
    <s v="Lycra"/>
    <n v="30"/>
    <s v="Light Grey"/>
    <n v="700"/>
  </r>
  <r>
    <x v="816"/>
    <x v="55"/>
    <s v="INW1413"/>
    <n v="1"/>
    <s v="Innerwear"/>
    <s v="Jockey"/>
    <s v="V-Cut"/>
    <s v="Cotton"/>
    <s v="75-80"/>
    <s v="Maroon"/>
    <n v="110"/>
  </r>
  <r>
    <x v="817"/>
    <x v="55"/>
    <s v="INW1555"/>
    <n v="1"/>
    <s v="Innerwear"/>
    <s v="Rupa"/>
    <s v="Boxer"/>
    <s v="Cotton"/>
    <s v="90-100"/>
    <s v="Olive"/>
    <n v="160"/>
  </r>
  <r>
    <x v="817"/>
    <x v="55"/>
    <s v="INW1433"/>
    <n v="1"/>
    <s v="Innerwear"/>
    <s v="Lux"/>
    <s v="V-Cut"/>
    <s v="Cotton Blend"/>
    <s v="75-80"/>
    <s v="Sky Blue"/>
    <n v="150"/>
  </r>
  <r>
    <x v="817"/>
    <x v="55"/>
    <s v="TSH0715"/>
    <n v="1"/>
    <s v="T-Shirt"/>
    <s v="Turkey"/>
    <s v="Full Sleeve"/>
    <s v="Cotton Blend"/>
    <s v="XXL"/>
    <s v="Maroon"/>
    <n v="550"/>
  </r>
  <r>
    <x v="818"/>
    <x v="56"/>
    <s v="PNT1228"/>
    <n v="1"/>
    <s v="Pants"/>
    <s v="Raymond"/>
    <s v="Boot Cut"/>
    <s v="Cotton Blend"/>
    <n v="38"/>
    <s v="Dark Green"/>
    <n v="890"/>
  </r>
  <r>
    <x v="819"/>
    <x v="56"/>
    <s v="INW1656"/>
    <n v="1"/>
    <s v="Innerwear"/>
    <s v="Dollar"/>
    <s v="V-Cut"/>
    <s v="Cotton"/>
    <s v="75-80"/>
    <s v="Maroon"/>
    <n v="100"/>
  </r>
  <r>
    <x v="819"/>
    <x v="56"/>
    <s v="INW1374"/>
    <n v="1"/>
    <s v="Innerwear"/>
    <s v="Lux"/>
    <s v="V-Cut"/>
    <s v="Cotton"/>
    <s v="105-110"/>
    <s v="Royal Blue"/>
    <n v="130"/>
  </r>
  <r>
    <x v="820"/>
    <x v="56"/>
    <s v="PNT1087"/>
    <n v="1"/>
    <s v="Pants"/>
    <s v="Raymond"/>
    <s v="Kurka"/>
    <s v="Lycra"/>
    <n v="42"/>
    <s v="Maroon"/>
    <n v="910"/>
  </r>
  <r>
    <x v="820"/>
    <x v="56"/>
    <s v="INW1624"/>
    <n v="1"/>
    <s v="Innerwear"/>
    <s v="V Star"/>
    <s v="V-Cut"/>
    <s v="Cotton Blend"/>
    <s v="105-110"/>
    <s v="Mustard"/>
    <n v="110"/>
  </r>
  <r>
    <x v="820"/>
    <x v="56"/>
    <s v="SHT0210"/>
    <n v="1"/>
    <s v="Shirt"/>
    <s v="Thailand"/>
    <s v="Partywear"/>
    <s v="Cotton Blend"/>
    <s v="M"/>
    <s v="Mustard"/>
    <n v="770"/>
  </r>
  <r>
    <x v="820"/>
    <x v="56"/>
    <s v="JNS0976"/>
    <n v="1"/>
    <s v="Jeans"/>
    <s v="Wrangler"/>
    <s v="Baggy"/>
    <s v="Denim"/>
    <n v="38"/>
    <s v="Wine"/>
    <n v="770"/>
  </r>
  <r>
    <x v="821"/>
    <x v="56"/>
    <s v="SHT0027"/>
    <n v="1"/>
    <s v="Shirt"/>
    <s v="Thailand"/>
    <s v="Casual"/>
    <s v="Cotton Blend"/>
    <s v="XL"/>
    <s v="Wine"/>
    <n v="880"/>
  </r>
  <r>
    <x v="821"/>
    <x v="56"/>
    <s v="TSH0377"/>
    <n v="1"/>
    <s v="T-Shirt"/>
    <s v="Zara"/>
    <s v="3/4 Sleeve"/>
    <s v="Poly Cotton"/>
    <s v="XXL"/>
    <s v="White"/>
    <n v="240"/>
  </r>
  <r>
    <x v="821"/>
    <x v="56"/>
    <s v="INW1619"/>
    <n v="1"/>
    <s v="Innerwear"/>
    <s v="Rupa"/>
    <s v="V-Cut"/>
    <s v="Cotton"/>
    <s v="75-80"/>
    <s v="Beige"/>
    <n v="140"/>
  </r>
  <r>
    <x v="821"/>
    <x v="56"/>
    <s v="SHT0327"/>
    <n v="1"/>
    <s v="Shirt"/>
    <s v="G Studio"/>
    <s v="Formal"/>
    <s v="Lycra"/>
    <s v="XL"/>
    <s v="Maroon"/>
    <n v="850"/>
  </r>
  <r>
    <x v="822"/>
    <x v="56"/>
    <s v="SHT0206"/>
    <n v="1"/>
    <s v="Shirt"/>
    <s v="Zara"/>
    <s v="Casual"/>
    <s v="Cotton"/>
    <s v="L"/>
    <s v="Light Grey"/>
    <n v="780"/>
  </r>
  <r>
    <x v="822"/>
    <x v="56"/>
    <s v="TSH0419"/>
    <n v="1"/>
    <s v="T-Shirt"/>
    <s v="Max"/>
    <s v="Hoodie"/>
    <s v="Cotton"/>
    <s v="L"/>
    <s v="Teal"/>
    <n v="650"/>
  </r>
  <r>
    <x v="822"/>
    <x v="56"/>
    <s v="TSH0407"/>
    <n v="1"/>
    <s v="T-Shirt"/>
    <s v="Thailand"/>
    <s v="Sleeveless"/>
    <s v="Cotton Blend"/>
    <s v="XXL"/>
    <s v="Wine"/>
    <n v="530"/>
  </r>
  <r>
    <x v="822"/>
    <x v="56"/>
    <s v="PNT1140"/>
    <n v="1"/>
    <s v="Pants"/>
    <s v="Peter England"/>
    <s v="Korean"/>
    <s v="Lycra"/>
    <n v="28"/>
    <s v="Brown"/>
    <n v="890"/>
  </r>
  <r>
    <x v="823"/>
    <x v="56"/>
    <s v="PNT1339"/>
    <n v="1"/>
    <s v="Pants"/>
    <s v="Louis Philippe"/>
    <s v="Korean"/>
    <s v="Lycra"/>
    <n v="40"/>
    <s v="Grey"/>
    <n v="780"/>
  </r>
  <r>
    <x v="824"/>
    <x v="56"/>
    <s v="SHT0120"/>
    <n v="1"/>
    <s v="Shirt"/>
    <s v="Zara"/>
    <s v="Casual"/>
    <s v="Polyester"/>
    <s v="XXL"/>
    <s v="Peach"/>
    <n v="690"/>
  </r>
  <r>
    <x v="824"/>
    <x v="56"/>
    <s v="INW1635"/>
    <n v="1"/>
    <s v="Innerwear"/>
    <s v="Jockey"/>
    <s v="V-Cut"/>
    <s v="Cotton"/>
    <s v="90-100"/>
    <s v="Dark Green"/>
    <n v="150"/>
  </r>
  <r>
    <x v="824"/>
    <x v="56"/>
    <s v="TSH0714"/>
    <n v="1"/>
    <s v="T-Shirt"/>
    <s v="Campus"/>
    <s v="3/4 Sleeve"/>
    <s v="Cotton"/>
    <s v="M"/>
    <s v="Cream"/>
    <n v="720"/>
  </r>
  <r>
    <x v="824"/>
    <x v="56"/>
    <s v="TSH0565"/>
    <n v="1"/>
    <s v="T-Shirt"/>
    <s v="Urban Monkey"/>
    <s v="Hoodie"/>
    <s v="Poly Cotton"/>
    <s v="S"/>
    <s v="Olive"/>
    <n v="310"/>
  </r>
  <r>
    <x v="825"/>
    <x v="56"/>
    <s v="TSH0571"/>
    <n v="1"/>
    <s v="T-Shirt"/>
    <s v="Zara"/>
    <s v="Full Sleeve"/>
    <s v="Poly Cotton"/>
    <s v="M"/>
    <s v="Charcoal"/>
    <n v="480"/>
  </r>
  <r>
    <x v="825"/>
    <x v="56"/>
    <s v="TSH0628"/>
    <n v="1"/>
    <s v="T-Shirt"/>
    <s v="Urban Monkey"/>
    <s v="Sleeveless"/>
    <s v="Cotton Blend"/>
    <s v="L"/>
    <s v="Sky Blue"/>
    <n v="270"/>
  </r>
  <r>
    <x v="825"/>
    <x v="56"/>
    <s v="SHT0232"/>
    <n v="1"/>
    <s v="Shirt"/>
    <s v="Max"/>
    <s v="Formal"/>
    <s v="Cotton Blend"/>
    <s v="XXL"/>
    <s v="Cream"/>
    <n v="740"/>
  </r>
  <r>
    <x v="826"/>
    <x v="56"/>
    <s v="JNS0987"/>
    <n v="1"/>
    <s v="Jeans"/>
    <s v="Denim Pro"/>
    <s v="Baggy"/>
    <s v="Denim"/>
    <n v="32"/>
    <s v="Navy Blue"/>
    <n v="1020"/>
  </r>
  <r>
    <x v="826"/>
    <x v="56"/>
    <s v="TSH0566"/>
    <n v="1"/>
    <s v="T-Shirt"/>
    <s v="Urban Monkey"/>
    <s v="Half Sleeve"/>
    <s v="Cotton"/>
    <s v="S"/>
    <s v="Cream"/>
    <n v="350"/>
  </r>
  <r>
    <x v="826"/>
    <x v="56"/>
    <s v="TSH0623"/>
    <n v="1"/>
    <s v="T-Shirt"/>
    <s v="Campus"/>
    <s v="Full Sleeve"/>
    <s v="Cotton Blend"/>
    <s v="L"/>
    <s v="Rust"/>
    <n v="520"/>
  </r>
  <r>
    <x v="827"/>
    <x v="56"/>
    <s v="TSH0443"/>
    <n v="1"/>
    <s v="T-Shirt"/>
    <s v="Campus"/>
    <s v="3/4 Sleeve"/>
    <s v="Cotton"/>
    <s v="XXL"/>
    <s v="Rust"/>
    <n v="660"/>
  </r>
  <r>
    <x v="827"/>
    <x v="56"/>
    <s v="PNT1106"/>
    <n v="1"/>
    <s v="Pants"/>
    <s v="Park Avenue"/>
    <s v="Polofit"/>
    <s v="Lycra"/>
    <n v="30"/>
    <s v="Grey"/>
    <n v="760"/>
  </r>
  <r>
    <x v="827"/>
    <x v="56"/>
    <s v="SHT0040"/>
    <n v="1"/>
    <s v="Shirt"/>
    <s v="Thailand"/>
    <s v="Formal"/>
    <s v="Cotton"/>
    <s v="XXL"/>
    <s v="Dark Green"/>
    <n v="700"/>
  </r>
  <r>
    <x v="828"/>
    <x v="56"/>
    <s v="INW1509"/>
    <n v="1"/>
    <s v="Innerwear"/>
    <s v="Jockey"/>
    <s v="Boxer"/>
    <s v="Cotton"/>
    <s v="85-90"/>
    <s v="Sky Blue"/>
    <n v="170"/>
  </r>
  <r>
    <x v="828"/>
    <x v="56"/>
    <s v="TSH0438"/>
    <n v="1"/>
    <s v="T-Shirt"/>
    <s v="Thailand"/>
    <s v="Full Sleeve"/>
    <s v="Poly Cotton"/>
    <s v="M"/>
    <s v="Charcoal"/>
    <n v="250"/>
  </r>
  <r>
    <x v="829"/>
    <x v="56"/>
    <s v="SHT0250"/>
    <n v="1"/>
    <s v="Shirt"/>
    <s v="USD"/>
    <s v="Formal"/>
    <s v="Cotton"/>
    <s v="XL"/>
    <s v="White"/>
    <n v="860"/>
  </r>
  <r>
    <x v="830"/>
    <x v="56"/>
    <s v="INW1447"/>
    <n v="1"/>
    <s v="Innerwear"/>
    <s v="Lux"/>
    <s v="Boxer"/>
    <s v="Cotton"/>
    <s v="105-110"/>
    <s v="Mustard"/>
    <n v="160"/>
  </r>
  <r>
    <x v="830"/>
    <x v="56"/>
    <s v="PNT1186"/>
    <n v="1"/>
    <s v="Pants"/>
    <s v="Raymond"/>
    <s v="Jogger"/>
    <s v="Cotton"/>
    <n v="36"/>
    <s v="Olive"/>
    <n v="900"/>
  </r>
  <r>
    <x v="830"/>
    <x v="56"/>
    <s v="INW1474"/>
    <n v="1"/>
    <s v="Innerwear"/>
    <s v="Jockey"/>
    <s v="Boxer"/>
    <s v="Cotton"/>
    <s v="105-110"/>
    <s v="Rust"/>
    <n v="170"/>
  </r>
  <r>
    <x v="830"/>
    <x v="56"/>
    <s v="TSH0461"/>
    <n v="1"/>
    <s v="T-Shirt"/>
    <s v="Thailand"/>
    <s v="Full Sleeve"/>
    <s v="Poly Cotton"/>
    <s v="XXL"/>
    <s v="Wine"/>
    <n v="680"/>
  </r>
  <r>
    <x v="831"/>
    <x v="57"/>
    <s v="SHT0310"/>
    <n v="1"/>
    <s v="Shirt"/>
    <s v="L7"/>
    <s v="Casual"/>
    <s v="Polyester"/>
    <s v="L"/>
    <s v="Peach"/>
    <n v="880"/>
  </r>
  <r>
    <x v="831"/>
    <x v="57"/>
    <s v="PNT1174"/>
    <n v="1"/>
    <s v="Pants"/>
    <s v="Park Avenue"/>
    <s v="Kurka"/>
    <s v="Lycra"/>
    <n v="42"/>
    <s v="Grey"/>
    <n v="900"/>
  </r>
  <r>
    <x v="832"/>
    <x v="57"/>
    <s v="SHT0077"/>
    <n v="1"/>
    <s v="Shirt"/>
    <s v="L7"/>
    <s v="Casual"/>
    <s v="Lycra"/>
    <s v="XL"/>
    <s v="Wine"/>
    <n v="930"/>
  </r>
  <r>
    <x v="833"/>
    <x v="57"/>
    <s v="INW1372"/>
    <n v="1"/>
    <s v="Innerwear"/>
    <s v="Rupa"/>
    <s v="Boxer"/>
    <s v="Cotton"/>
    <s v="100-105"/>
    <s v="Rust"/>
    <n v="160"/>
  </r>
  <r>
    <x v="833"/>
    <x v="57"/>
    <s v="TSH0547"/>
    <n v="1"/>
    <s v="T-Shirt"/>
    <s v="Zara"/>
    <s v="Sleeveless"/>
    <s v="Poly Cotton"/>
    <s v="XL"/>
    <s v="Dark Green"/>
    <n v="610"/>
  </r>
  <r>
    <x v="833"/>
    <x v="57"/>
    <s v="TSH0565"/>
    <n v="1"/>
    <s v="T-Shirt"/>
    <s v="Urban Monkey"/>
    <s v="Hoodie"/>
    <s v="Poly Cotton"/>
    <s v="S"/>
    <s v="Olive"/>
    <n v="310"/>
  </r>
  <r>
    <x v="833"/>
    <x v="57"/>
    <s v="SHT0126"/>
    <n v="1"/>
    <s v="Shirt"/>
    <s v="L7"/>
    <s v="Formal"/>
    <s v="Cotton"/>
    <s v="L"/>
    <s v="Light Grey"/>
    <n v="640"/>
  </r>
  <r>
    <x v="834"/>
    <x v="57"/>
    <s v="TSH0462"/>
    <n v="1"/>
    <s v="T-Shirt"/>
    <s v="Max"/>
    <s v="3/4 Sleeve"/>
    <s v="Poly Cotton"/>
    <s v="S"/>
    <s v="Charcoal"/>
    <n v="740"/>
  </r>
  <r>
    <x v="835"/>
    <x v="57"/>
    <s v="PNT1365"/>
    <n v="1"/>
    <s v="Pants"/>
    <s v="Park Avenue"/>
    <s v="Kurka"/>
    <s v="Lycra"/>
    <n v="34"/>
    <s v="Charcoal"/>
    <n v="870"/>
  </r>
  <r>
    <x v="835"/>
    <x v="57"/>
    <s v="TSH0592"/>
    <n v="1"/>
    <s v="T-Shirt"/>
    <s v="Turkey"/>
    <s v="Full Sleeve"/>
    <s v="Poly Cotton"/>
    <s v="M"/>
    <s v="Peach"/>
    <n v="410"/>
  </r>
  <r>
    <x v="836"/>
    <x v="57"/>
    <s v="SHT0108"/>
    <n v="1"/>
    <s v="Shirt"/>
    <s v="Max"/>
    <s v="Casual"/>
    <s v="Cotton Blend"/>
    <s v="L"/>
    <s v="Charcoal"/>
    <n v="760"/>
  </r>
  <r>
    <x v="836"/>
    <x v="57"/>
    <s v="SHT0263"/>
    <n v="1"/>
    <s v="Shirt"/>
    <s v="British"/>
    <s v="Casual"/>
    <s v="Cotton Blend"/>
    <s v="L"/>
    <s v="Charcoal"/>
    <n v="820"/>
  </r>
  <r>
    <x v="836"/>
    <x v="57"/>
    <s v="TSH0392"/>
    <n v="1"/>
    <s v="T-Shirt"/>
    <s v="Thailand"/>
    <s v="Sleeveless"/>
    <s v="Cotton Blend"/>
    <s v="XL"/>
    <s v="Navy Blue"/>
    <n v="520"/>
  </r>
  <r>
    <x v="837"/>
    <x v="57"/>
    <s v="SHT0217"/>
    <n v="1"/>
    <s v="Shirt"/>
    <s v="British"/>
    <s v="Casual"/>
    <s v="Cotton"/>
    <s v="S"/>
    <s v="Royal Blue"/>
    <n v="650"/>
  </r>
  <r>
    <x v="837"/>
    <x v="57"/>
    <s v="JNS1022"/>
    <n v="1"/>
    <s v="Jeans"/>
    <s v="Pepe"/>
    <s v="Mom Fit"/>
    <s v="Denim"/>
    <n v="36"/>
    <s v="Grey"/>
    <n v="1010"/>
  </r>
  <r>
    <x v="838"/>
    <x v="57"/>
    <s v="INW1613"/>
    <n v="1"/>
    <s v="Innerwear"/>
    <s v="Jockey"/>
    <s v="Boxer"/>
    <s v="Cotton"/>
    <s v="75-80"/>
    <s v="Olive"/>
    <n v="180"/>
  </r>
  <r>
    <x v="838"/>
    <x v="57"/>
    <s v="INW1497"/>
    <n v="1"/>
    <s v="Innerwear"/>
    <s v="Dollar"/>
    <s v="Boxer"/>
    <s v="Cotton Blend"/>
    <s v="100-105"/>
    <s v="Sky Blue"/>
    <n v="190"/>
  </r>
  <r>
    <x v="838"/>
    <x v="57"/>
    <s v="SHT0305"/>
    <n v="1"/>
    <s v="Shirt"/>
    <s v="Max"/>
    <s v="Partywear"/>
    <s v="Cotton Blend"/>
    <s v="XXL"/>
    <s v="Teal"/>
    <n v="690"/>
  </r>
  <r>
    <x v="839"/>
    <x v="57"/>
    <s v="TSH0423"/>
    <n v="1"/>
    <s v="T-Shirt"/>
    <s v="Max"/>
    <s v="Sleeveless"/>
    <s v="Cotton"/>
    <s v="XL"/>
    <s v="Dark Green"/>
    <n v="620"/>
  </r>
  <r>
    <x v="839"/>
    <x v="57"/>
    <s v="INW1395"/>
    <n v="1"/>
    <s v="Innerwear"/>
    <s v="Dollar"/>
    <s v="Boxer"/>
    <s v="Cotton"/>
    <s v="100-105"/>
    <s v="Black"/>
    <n v="170"/>
  </r>
  <r>
    <x v="840"/>
    <x v="57"/>
    <s v="INW1477"/>
    <n v="1"/>
    <s v="Innerwear"/>
    <s v="V Star"/>
    <s v="Boxer"/>
    <s v="Cotton Blend"/>
    <s v="105-110"/>
    <s v="Sky Blue"/>
    <n v="100"/>
  </r>
  <r>
    <x v="840"/>
    <x v="57"/>
    <s v="SHT0077"/>
    <n v="1"/>
    <s v="Shirt"/>
    <s v="L7"/>
    <s v="Casual"/>
    <s v="Lycra"/>
    <s v="XL"/>
    <s v="Wine"/>
    <n v="930"/>
  </r>
  <r>
    <x v="841"/>
    <x v="57"/>
    <s v="INW1545"/>
    <n v="1"/>
    <s v="Innerwear"/>
    <s v="Jockey"/>
    <s v="Boxer"/>
    <s v="Cotton"/>
    <s v="80-85"/>
    <s v="Black"/>
    <n v="170"/>
  </r>
  <r>
    <x v="842"/>
    <x v="57"/>
    <s v="PNT1099"/>
    <n v="1"/>
    <s v="Pants"/>
    <s v="Louis Philippe"/>
    <s v="Polofit"/>
    <s v="Lycra"/>
    <n v="28"/>
    <s v="Peach"/>
    <n v="730"/>
  </r>
  <r>
    <x v="842"/>
    <x v="57"/>
    <s v="INW1633"/>
    <n v="1"/>
    <s v="Innerwear"/>
    <s v="V Star"/>
    <s v="V-Cut"/>
    <s v="Cotton"/>
    <s v="75-80"/>
    <s v="Navy Blue"/>
    <n v="150"/>
  </r>
  <r>
    <x v="843"/>
    <x v="57"/>
    <s v="INW1386"/>
    <n v="1"/>
    <s v="Innerwear"/>
    <s v="V Star"/>
    <s v="V-Cut"/>
    <s v="Cotton Blend"/>
    <s v="75-80"/>
    <s v="Sky Blue"/>
    <n v="170"/>
  </r>
  <r>
    <x v="843"/>
    <x v="57"/>
    <s v="TSH0620"/>
    <n v="1"/>
    <s v="T-Shirt"/>
    <s v="Zara"/>
    <s v="Full Sleeve"/>
    <s v="Cotton Blend"/>
    <s v="XL"/>
    <s v="Sky Blue"/>
    <n v="650"/>
  </r>
  <r>
    <x v="843"/>
    <x v="57"/>
    <s v="PNT1207"/>
    <n v="1"/>
    <s v="Pants"/>
    <s v="Park Avenue"/>
    <s v="Kurka"/>
    <s v="Lycra"/>
    <n v="40"/>
    <s v="Navy Blue"/>
    <n v="830"/>
  </r>
  <r>
    <x v="844"/>
    <x v="57"/>
    <s v="PNT1088"/>
    <n v="1"/>
    <s v="Pants"/>
    <s v="Raymond"/>
    <s v="Korean"/>
    <s v="Lycra"/>
    <n v="40"/>
    <s v="Teal"/>
    <n v="760"/>
  </r>
  <r>
    <x v="844"/>
    <x v="57"/>
    <s v="SHT0069"/>
    <n v="1"/>
    <s v="Shirt"/>
    <s v="USD"/>
    <s v="Partywear"/>
    <s v="Cotton Blend"/>
    <s v="XL"/>
    <s v="Dark Green"/>
    <n v="870"/>
  </r>
  <r>
    <x v="844"/>
    <x v="57"/>
    <s v="SHT0002"/>
    <n v="1"/>
    <s v="Shirt"/>
    <s v="L7"/>
    <s v="Partywear"/>
    <s v="Cotton"/>
    <s v="XXL"/>
    <s v="Bottle Green"/>
    <n v="890"/>
  </r>
  <r>
    <x v="845"/>
    <x v="57"/>
    <s v="SHT0081"/>
    <n v="1"/>
    <s v="Shirt"/>
    <s v="British"/>
    <s v="Casual"/>
    <s v="Cotton"/>
    <s v="M"/>
    <s v="Maroon"/>
    <n v="730"/>
  </r>
  <r>
    <x v="845"/>
    <x v="57"/>
    <s v="PNT1173"/>
    <n v="1"/>
    <s v="Pants"/>
    <s v="Peter England"/>
    <s v="Boot Cut"/>
    <s v="Poly Viscose"/>
    <n v="34"/>
    <s v="Black"/>
    <n v="830"/>
  </r>
  <r>
    <x v="846"/>
    <x v="57"/>
    <s v="TSH0620"/>
    <n v="1"/>
    <s v="T-Shirt"/>
    <s v="Zara"/>
    <s v="Full Sleeve"/>
    <s v="Cotton Blend"/>
    <s v="XL"/>
    <s v="Sky Blue"/>
    <n v="650"/>
  </r>
  <r>
    <x v="847"/>
    <x v="57"/>
    <s v="TSH0563"/>
    <n v="1"/>
    <s v="T-Shirt"/>
    <s v="Urban Monkey"/>
    <s v="Sleeveless"/>
    <s v="Poly Cotton"/>
    <s v="XL"/>
    <s v="Wine"/>
    <n v="360"/>
  </r>
  <r>
    <x v="848"/>
    <x v="57"/>
    <s v="JNS0796"/>
    <n v="1"/>
    <s v="Jeans"/>
    <s v="Pepe"/>
    <s v="Baggy"/>
    <s v="Denim"/>
    <n v="38"/>
    <s v="Bottle Green"/>
    <n v="820"/>
  </r>
  <r>
    <x v="848"/>
    <x v="57"/>
    <s v="TSH0621"/>
    <n v="1"/>
    <s v="T-Shirt"/>
    <s v="Zara"/>
    <s v="Half Sleeve"/>
    <s v="Cotton Blend"/>
    <s v="L"/>
    <s v="Black"/>
    <n v="520"/>
  </r>
  <r>
    <x v="849"/>
    <x v="57"/>
    <s v="JNS0884"/>
    <n v="1"/>
    <s v="Jeans"/>
    <s v="Pepe"/>
    <s v="Mom Fit"/>
    <s v="Denim"/>
    <n v="34"/>
    <s v="Cream"/>
    <n v="930"/>
  </r>
  <r>
    <x v="850"/>
    <x v="57"/>
    <s v="SHT0060"/>
    <n v="1"/>
    <s v="Shirt"/>
    <s v="G Studio"/>
    <s v="Casual"/>
    <s v="Cotton Blend"/>
    <s v="L"/>
    <s v="Charcoal"/>
    <n v="710"/>
  </r>
  <r>
    <x v="850"/>
    <x v="57"/>
    <s v="SHT0102"/>
    <n v="1"/>
    <s v="Shirt"/>
    <s v="Zara"/>
    <s v="Casual"/>
    <s v="Cotton Blend"/>
    <s v="M"/>
    <s v="Peach"/>
    <n v="750"/>
  </r>
  <r>
    <x v="850"/>
    <x v="57"/>
    <s v="TSH0474"/>
    <n v="1"/>
    <s v="T-Shirt"/>
    <s v="Turkey"/>
    <s v="3/4 Sleeve"/>
    <s v="Poly Cotton"/>
    <s v="S"/>
    <s v="Black"/>
    <n v="480"/>
  </r>
  <r>
    <x v="850"/>
    <x v="57"/>
    <s v="JNS0892"/>
    <n v="1"/>
    <s v="Jeans"/>
    <s v="Levis"/>
    <s v="Mom Fit"/>
    <s v="Denim"/>
    <n v="42"/>
    <s v="Cream"/>
    <n v="990"/>
  </r>
  <r>
    <x v="851"/>
    <x v="58"/>
    <s v="INW1462"/>
    <n v="1"/>
    <s v="Innerwear"/>
    <s v="V Star"/>
    <s v="Boxer"/>
    <s v="Cotton Blend"/>
    <s v="100-105"/>
    <s v="Sky Blue"/>
    <n v="100"/>
  </r>
  <r>
    <x v="851"/>
    <x v="58"/>
    <s v="TSH0750"/>
    <n v="1"/>
    <s v="T-Shirt"/>
    <s v="Thailand"/>
    <s v="3/4 Sleeve"/>
    <s v="Cotton"/>
    <s v="XXL"/>
    <s v="Beige"/>
    <n v="550"/>
  </r>
  <r>
    <x v="851"/>
    <x v="58"/>
    <s v="SHT0104"/>
    <n v="1"/>
    <s v="Shirt"/>
    <s v="G Studio"/>
    <s v="Formal"/>
    <s v="Lycra"/>
    <s v="XL"/>
    <s v="Peach"/>
    <n v="810"/>
  </r>
  <r>
    <x v="852"/>
    <x v="58"/>
    <s v="JNS0998"/>
    <n v="1"/>
    <s v="Jeans"/>
    <s v="Levis"/>
    <s v="Baggy"/>
    <s v="Denim"/>
    <n v="32"/>
    <s v="Dark Green"/>
    <n v="800"/>
  </r>
  <r>
    <x v="853"/>
    <x v="58"/>
    <s v="JNS0967"/>
    <n v="1"/>
    <s v="Jeans"/>
    <s v="Levis"/>
    <s v="Mom Fit"/>
    <s v="Denim"/>
    <n v="44"/>
    <s v="Navy Blue"/>
    <n v="870"/>
  </r>
  <r>
    <x v="853"/>
    <x v="58"/>
    <s v="TSH0619"/>
    <n v="1"/>
    <s v="T-Shirt"/>
    <s v="Campus"/>
    <s v="Sleeveless"/>
    <s v="Cotton"/>
    <s v="XXL"/>
    <s v="Rust"/>
    <n v="620"/>
  </r>
  <r>
    <x v="853"/>
    <x v="58"/>
    <s v="JNS0983"/>
    <n v="1"/>
    <s v="Jeans"/>
    <s v="Pepe"/>
    <s v="Jogger"/>
    <s v="Denim"/>
    <n v="28"/>
    <s v="Royal Blue"/>
    <n v="780"/>
  </r>
  <r>
    <x v="854"/>
    <x v="58"/>
    <s v="TSH0521"/>
    <n v="1"/>
    <s v="T-Shirt"/>
    <s v="Campus"/>
    <s v="Sleeveless"/>
    <s v="Poly Cotton"/>
    <s v="S"/>
    <s v="Mustard"/>
    <n v="480"/>
  </r>
  <r>
    <x v="855"/>
    <x v="58"/>
    <s v="SHT0258"/>
    <n v="1"/>
    <s v="Shirt"/>
    <s v="Max"/>
    <s v="Casual"/>
    <s v="Polyester"/>
    <s v="S"/>
    <s v="Teal"/>
    <n v="880"/>
  </r>
  <r>
    <x v="855"/>
    <x v="58"/>
    <s v="JNS1045"/>
    <n v="1"/>
    <s v="Jeans"/>
    <s v="Pepe"/>
    <s v="Jogger"/>
    <s v="Denim"/>
    <n v="28"/>
    <s v="Sky Blue"/>
    <n v="1030"/>
  </r>
  <r>
    <x v="855"/>
    <x v="58"/>
    <s v="TSH0654"/>
    <n v="1"/>
    <s v="T-Shirt"/>
    <s v="Campus"/>
    <s v="Half Sleeve"/>
    <s v="Cotton Blend"/>
    <s v="XL"/>
    <s v="Bottle Green"/>
    <n v="700"/>
  </r>
  <r>
    <x v="855"/>
    <x v="58"/>
    <s v="SHT0217"/>
    <n v="1"/>
    <s v="Shirt"/>
    <s v="British"/>
    <s v="Casual"/>
    <s v="Cotton"/>
    <s v="S"/>
    <s v="Royal Blue"/>
    <n v="650"/>
  </r>
  <r>
    <x v="856"/>
    <x v="58"/>
    <s v="JNS1001"/>
    <n v="1"/>
    <s v="Jeans"/>
    <s v="Pepe"/>
    <s v="Jogger"/>
    <s v="Denim"/>
    <n v="42"/>
    <s v="Rust"/>
    <n v="840"/>
  </r>
  <r>
    <x v="856"/>
    <x v="58"/>
    <s v="TSH0506"/>
    <n v="1"/>
    <s v="T-Shirt"/>
    <s v="Roadster"/>
    <s v="Hoodie"/>
    <s v="Poly Cotton"/>
    <s v="M"/>
    <s v="Brown"/>
    <n v="230"/>
  </r>
  <r>
    <x v="857"/>
    <x v="58"/>
    <s v="PNT1338"/>
    <n v="1"/>
    <s v="Pants"/>
    <s v="Raymond"/>
    <s v="Kurka"/>
    <s v="Lycra"/>
    <n v="34"/>
    <s v="Cream"/>
    <n v="780"/>
  </r>
  <r>
    <x v="857"/>
    <x v="58"/>
    <s v="SHT0311"/>
    <n v="1"/>
    <s v="Shirt"/>
    <s v="H&amp;M"/>
    <s v="Casual"/>
    <s v="Cotton Blend"/>
    <s v="M"/>
    <s v="Sky Blue"/>
    <n v="700"/>
  </r>
  <r>
    <x v="857"/>
    <x v="58"/>
    <s v="TSH0633"/>
    <n v="1"/>
    <s v="T-Shirt"/>
    <s v="Campus"/>
    <s v="3/4 Sleeve"/>
    <s v="Poly Cotton"/>
    <s v="XL"/>
    <s v="Sky Blue"/>
    <n v="720"/>
  </r>
  <r>
    <x v="858"/>
    <x v="58"/>
    <s v="TSH0436"/>
    <n v="1"/>
    <s v="T-Shirt"/>
    <s v="Thailand"/>
    <s v="Hoodie"/>
    <s v="Poly Cotton"/>
    <s v="M"/>
    <s v="Mustard"/>
    <n v="590"/>
  </r>
  <r>
    <x v="858"/>
    <x v="58"/>
    <s v="PNT1096"/>
    <n v="1"/>
    <s v="Pants"/>
    <s v="Van Heusen"/>
    <s v="Korean"/>
    <s v="Lycra"/>
    <n v="42"/>
    <s v="Royal Blue"/>
    <n v="820"/>
  </r>
  <r>
    <x v="858"/>
    <x v="58"/>
    <s v="TSH0500"/>
    <n v="1"/>
    <s v="T-Shirt"/>
    <s v="Zara"/>
    <s v="Full Sleeve"/>
    <s v="Cotton"/>
    <s v="S"/>
    <s v="White"/>
    <n v="540"/>
  </r>
  <r>
    <x v="859"/>
    <x v="58"/>
    <s v="JNS0881"/>
    <n v="1"/>
    <s v="Jeans"/>
    <s v="Wrangler"/>
    <s v="Jogger"/>
    <s v="Denim"/>
    <n v="44"/>
    <s v="Maroon"/>
    <n v="920"/>
  </r>
  <r>
    <x v="859"/>
    <x v="58"/>
    <s v="SHT0232"/>
    <n v="1"/>
    <s v="Shirt"/>
    <s v="Max"/>
    <s v="Formal"/>
    <s v="Cotton Blend"/>
    <s v="XXL"/>
    <s v="Cream"/>
    <n v="740"/>
  </r>
  <r>
    <x v="860"/>
    <x v="58"/>
    <s v="TSH0362"/>
    <n v="1"/>
    <s v="T-Shirt"/>
    <s v="Thailand"/>
    <s v="Full Sleeve"/>
    <s v="Cotton Blend"/>
    <s v="XXL"/>
    <s v="Charcoal"/>
    <n v="350"/>
  </r>
  <r>
    <x v="860"/>
    <x v="58"/>
    <s v="JNS0858"/>
    <n v="1"/>
    <s v="Jeans"/>
    <s v="Denim Pro"/>
    <s v="Baggy"/>
    <s v="Denim"/>
    <n v="28"/>
    <s v="Brown"/>
    <n v="1010"/>
  </r>
  <r>
    <x v="861"/>
    <x v="58"/>
    <s v="JNS0926"/>
    <n v="1"/>
    <s v="Jeans"/>
    <s v="Wrangler"/>
    <s v="Baggy"/>
    <s v="Denim"/>
    <n v="36"/>
    <s v="Maroon"/>
    <n v="960"/>
  </r>
  <r>
    <x v="862"/>
    <x v="58"/>
    <s v="SHT0225"/>
    <n v="1"/>
    <s v="Shirt"/>
    <s v="L7"/>
    <s v="Casual"/>
    <s v="Polyester"/>
    <s v="L"/>
    <s v="Maroon"/>
    <n v="680"/>
  </r>
  <r>
    <x v="862"/>
    <x v="58"/>
    <s v="INW1554"/>
    <n v="1"/>
    <s v="Innerwear"/>
    <s v="V Star"/>
    <s v="Boxer"/>
    <s v="Cotton"/>
    <s v="90-100"/>
    <s v="Charcoal"/>
    <n v="130"/>
  </r>
  <r>
    <x v="862"/>
    <x v="58"/>
    <s v="INW1444"/>
    <n v="1"/>
    <s v="Innerwear"/>
    <s v="Dollar"/>
    <s v="V-Cut"/>
    <s v="Cotton"/>
    <s v="90-100"/>
    <s v="Rust"/>
    <n v="160"/>
  </r>
  <r>
    <x v="863"/>
    <x v="58"/>
    <s v="SHT0314"/>
    <n v="1"/>
    <s v="Shirt"/>
    <s v="USD"/>
    <s v="Casual"/>
    <s v="Polyester"/>
    <s v="XL"/>
    <s v="Grey"/>
    <n v="830"/>
  </r>
  <r>
    <x v="863"/>
    <x v="58"/>
    <s v="PNT1232"/>
    <n v="1"/>
    <s v="Pants"/>
    <s v="Louis Philippe"/>
    <s v="Kurka"/>
    <s v="Lycra"/>
    <n v="40"/>
    <s v="Bottle Green"/>
    <n v="920"/>
  </r>
  <r>
    <x v="863"/>
    <x v="58"/>
    <s v="JNS0775"/>
    <n v="1"/>
    <s v="Jeans"/>
    <s v="Levis"/>
    <s v="Baggy"/>
    <s v="Denim"/>
    <n v="40"/>
    <s v="Olive"/>
    <n v="870"/>
  </r>
  <r>
    <x v="864"/>
    <x v="59"/>
    <s v="JNS0882"/>
    <n v="1"/>
    <s v="Jeans"/>
    <s v="Denim Pro"/>
    <s v="Baggy"/>
    <s v="Denim"/>
    <n v="44"/>
    <s v="Sky Blue"/>
    <n v="1070"/>
  </r>
  <r>
    <x v="865"/>
    <x v="59"/>
    <s v="SHT0332"/>
    <n v="1"/>
    <s v="Shirt"/>
    <s v="H&amp;M"/>
    <s v="Casual"/>
    <s v="Cotton"/>
    <s v="XL"/>
    <s v="Maroon"/>
    <n v="660"/>
  </r>
  <r>
    <x v="865"/>
    <x v="59"/>
    <s v="SHT0203"/>
    <n v="1"/>
    <s v="Shirt"/>
    <s v="Thailand"/>
    <s v="Casual"/>
    <s v="Cotton Blend"/>
    <s v="S"/>
    <s v="Black"/>
    <n v="900"/>
  </r>
  <r>
    <x v="866"/>
    <x v="59"/>
    <s v="TSH0707"/>
    <n v="1"/>
    <s v="T-Shirt"/>
    <s v="Roadster"/>
    <s v="Half Sleeve"/>
    <s v="Poly Cotton"/>
    <s v="M"/>
    <s v="Cream"/>
    <n v="550"/>
  </r>
  <r>
    <x v="866"/>
    <x v="59"/>
    <s v="SHT0106"/>
    <n v="1"/>
    <s v="Shirt"/>
    <s v="G Studio"/>
    <s v="Casual"/>
    <s v="Lycra"/>
    <s v="L"/>
    <s v="Light Grey"/>
    <n v="740"/>
  </r>
  <r>
    <x v="866"/>
    <x v="59"/>
    <s v="JNS0981"/>
    <n v="1"/>
    <s v="Jeans"/>
    <s v="Pepe"/>
    <s v="Mom Fit"/>
    <s v="Denim"/>
    <n v="30"/>
    <s v="Wine"/>
    <n v="1070"/>
  </r>
  <r>
    <x v="866"/>
    <x v="59"/>
    <s v="TSH0758"/>
    <n v="1"/>
    <s v="T-Shirt"/>
    <s v="Zara"/>
    <s v="Hoodie"/>
    <s v="Cotton Blend"/>
    <s v="L"/>
    <s v="Black"/>
    <n v="540"/>
  </r>
  <r>
    <x v="867"/>
    <x v="59"/>
    <s v="PNT1234"/>
    <n v="1"/>
    <s v="Pants"/>
    <s v="Peter England"/>
    <s v="Kurka"/>
    <s v="Lycra"/>
    <n v="42"/>
    <s v="Sky Blue"/>
    <n v="750"/>
  </r>
  <r>
    <x v="867"/>
    <x v="59"/>
    <s v="JNS0792"/>
    <n v="1"/>
    <s v="Jeans"/>
    <s v="Spykar"/>
    <s v="Baggy"/>
    <s v="Denim"/>
    <n v="42"/>
    <s v="Royal Blue"/>
    <n v="830"/>
  </r>
  <r>
    <x v="867"/>
    <x v="59"/>
    <s v="JNS1015"/>
    <n v="1"/>
    <s v="Jeans"/>
    <s v="Pepe"/>
    <s v="Jogger"/>
    <s v="Denim"/>
    <n v="40"/>
    <s v="Peach"/>
    <n v="830"/>
  </r>
  <r>
    <x v="867"/>
    <x v="59"/>
    <s v="JNS0857"/>
    <n v="1"/>
    <s v="Jeans"/>
    <s v="Levis"/>
    <s v="Jogger"/>
    <s v="Denim"/>
    <n v="30"/>
    <s v="Rust"/>
    <n v="790"/>
  </r>
  <r>
    <x v="868"/>
    <x v="59"/>
    <s v="PNT1223"/>
    <n v="1"/>
    <s v="Pants"/>
    <s v="Louis Philippe"/>
    <s v="Polofit"/>
    <s v="Lycra"/>
    <n v="32"/>
    <s v="Maroon"/>
    <n v="870"/>
  </r>
  <r>
    <x v="868"/>
    <x v="59"/>
    <s v="SHT0289"/>
    <n v="1"/>
    <s v="Shirt"/>
    <s v="Zara"/>
    <s v="Casual"/>
    <s v="Polyester"/>
    <s v="XXL"/>
    <s v="Peach"/>
    <n v="650"/>
  </r>
  <r>
    <x v="869"/>
    <x v="59"/>
    <s v="INW1439"/>
    <n v="1"/>
    <s v="Innerwear"/>
    <s v="Dollar"/>
    <s v="V-Cut"/>
    <s v="Cotton"/>
    <s v="90-100"/>
    <s v="Peach"/>
    <n v="110"/>
  </r>
  <r>
    <x v="869"/>
    <x v="59"/>
    <s v="INW1478"/>
    <n v="1"/>
    <s v="Innerwear"/>
    <s v="Jockey"/>
    <s v="Boxer"/>
    <s v="Cotton Blend"/>
    <s v="100-105"/>
    <s v="Maroon"/>
    <n v="170"/>
  </r>
  <r>
    <x v="869"/>
    <x v="59"/>
    <s v="INW1513"/>
    <n v="1"/>
    <s v="Innerwear"/>
    <s v="Dollar"/>
    <s v="Boxer"/>
    <s v="Cotton"/>
    <s v="75-80"/>
    <s v="Teal"/>
    <n v="160"/>
  </r>
  <r>
    <x v="869"/>
    <x v="59"/>
    <s v="SHT0041"/>
    <n v="1"/>
    <s v="Shirt"/>
    <s v="British"/>
    <s v="Formal"/>
    <s v="Cotton"/>
    <s v="XXL"/>
    <s v="Peach"/>
    <n v="900"/>
  </r>
  <r>
    <x v="870"/>
    <x v="59"/>
    <s v="TSH0701"/>
    <n v="1"/>
    <s v="T-Shirt"/>
    <s v="Zara"/>
    <s v="Full Sleeve"/>
    <s v="Cotton Blend"/>
    <s v="M"/>
    <s v="Navy Blue"/>
    <n v="470"/>
  </r>
  <r>
    <x v="870"/>
    <x v="59"/>
    <s v="INW1426"/>
    <n v="1"/>
    <s v="Innerwear"/>
    <s v="Lux"/>
    <s v="Boxer"/>
    <s v="Cotton Blend"/>
    <s v="105-110"/>
    <s v="Charcoal"/>
    <n v="160"/>
  </r>
  <r>
    <x v="871"/>
    <x v="59"/>
    <s v="SHT0003"/>
    <n v="1"/>
    <s v="Shirt"/>
    <s v="L7"/>
    <s v="Formal"/>
    <s v="Lycra"/>
    <s v="XXL"/>
    <s v="Royal Blue"/>
    <n v="640"/>
  </r>
  <r>
    <x v="872"/>
    <x v="59"/>
    <s v="TSH0441"/>
    <n v="1"/>
    <s v="T-Shirt"/>
    <s v="Campus"/>
    <s v="Half Sleeve"/>
    <s v="Cotton Blend"/>
    <s v="XXL"/>
    <s v="Beige"/>
    <n v="260"/>
  </r>
  <r>
    <x v="873"/>
    <x v="59"/>
    <s v="INW1519"/>
    <n v="1"/>
    <s v="Innerwear"/>
    <s v="Rupa"/>
    <s v="Boxer"/>
    <s v="Cotton"/>
    <s v="80-85"/>
    <s v="Rust"/>
    <n v="120"/>
  </r>
  <r>
    <x v="873"/>
    <x v="59"/>
    <s v="JNS0889"/>
    <n v="1"/>
    <s v="Jeans"/>
    <s v="Denim Pro"/>
    <s v="Mom Fit"/>
    <s v="Denim"/>
    <n v="36"/>
    <s v="Brown"/>
    <n v="1040"/>
  </r>
  <r>
    <x v="873"/>
    <x v="59"/>
    <s v="JNS0778"/>
    <n v="1"/>
    <s v="Jeans"/>
    <s v="Levis"/>
    <s v="Jogger"/>
    <s v="Denim"/>
    <n v="30"/>
    <s v="Beige"/>
    <n v="780"/>
  </r>
  <r>
    <x v="873"/>
    <x v="59"/>
    <s v="JNS0782"/>
    <n v="1"/>
    <s v="Jeans"/>
    <s v="Levis"/>
    <s v="Mom Fit"/>
    <s v="Denim"/>
    <n v="42"/>
    <s v="Light Grey"/>
    <n v="960"/>
  </r>
  <r>
    <x v="874"/>
    <x v="59"/>
    <s v="TSH0688"/>
    <n v="1"/>
    <s v="T-Shirt"/>
    <s v="Zara"/>
    <s v="Full Sleeve"/>
    <s v="Cotton Blend"/>
    <s v="XL"/>
    <s v="Cream"/>
    <n v="650"/>
  </r>
  <r>
    <x v="874"/>
    <x v="59"/>
    <s v="SHT0226"/>
    <n v="1"/>
    <s v="Shirt"/>
    <s v="Luke &amp; Burg"/>
    <s v="Partywear"/>
    <s v="Cotton Blend"/>
    <s v="S"/>
    <s v="Teal"/>
    <n v="860"/>
  </r>
  <r>
    <x v="874"/>
    <x v="59"/>
    <s v="JNS0970"/>
    <n v="1"/>
    <s v="Jeans"/>
    <s v="Spykar"/>
    <s v="Baggy"/>
    <s v="Denim"/>
    <n v="42"/>
    <s v="Olive"/>
    <n v="1060"/>
  </r>
  <r>
    <x v="874"/>
    <x v="59"/>
    <s v="JNS1061"/>
    <n v="1"/>
    <s v="Jeans"/>
    <s v="Levis"/>
    <s v="Mom Fit"/>
    <s v="Denim"/>
    <n v="44"/>
    <s v="Brown"/>
    <n v="870"/>
  </r>
  <r>
    <x v="875"/>
    <x v="60"/>
    <s v="SHT0151"/>
    <n v="1"/>
    <s v="Shirt"/>
    <s v="H&amp;M"/>
    <s v="Casual"/>
    <s v="Lycra"/>
    <s v="M"/>
    <s v="Olive"/>
    <n v="720"/>
  </r>
  <r>
    <x v="876"/>
    <x v="60"/>
    <s v="SHT0143"/>
    <n v="1"/>
    <s v="Shirt"/>
    <s v="USD"/>
    <s v="Casual"/>
    <s v="Cotton"/>
    <s v="M"/>
    <s v="Wine"/>
    <n v="870"/>
  </r>
  <r>
    <x v="876"/>
    <x v="60"/>
    <s v="TSH0729"/>
    <n v="1"/>
    <s v="T-Shirt"/>
    <s v="Turkey"/>
    <s v="Sleeveless"/>
    <s v="Poly Cotton"/>
    <s v="XXL"/>
    <s v="Peach"/>
    <n v="750"/>
  </r>
  <r>
    <x v="877"/>
    <x v="60"/>
    <s v="PNT1252"/>
    <n v="1"/>
    <s v="Pants"/>
    <s v="Louis Philippe"/>
    <s v="Boot Cut"/>
    <s v="Cotton Blend"/>
    <n v="34"/>
    <s v="Dark Green"/>
    <n v="950"/>
  </r>
  <r>
    <x v="878"/>
    <x v="60"/>
    <s v="JNS0909"/>
    <n v="1"/>
    <s v="Jeans"/>
    <s v="Pepe"/>
    <s v="Mom Fit"/>
    <s v="Denim"/>
    <n v="38"/>
    <s v="Rust"/>
    <n v="1040"/>
  </r>
  <r>
    <x v="879"/>
    <x v="60"/>
    <s v="PNT1155"/>
    <n v="1"/>
    <s v="Pants"/>
    <s v="Peter England"/>
    <s v="Polofit"/>
    <s v="Lycra"/>
    <n v="44"/>
    <s v="Sky Blue"/>
    <n v="750"/>
  </r>
  <r>
    <x v="879"/>
    <x v="60"/>
    <s v="TSH0544"/>
    <n v="1"/>
    <s v="T-Shirt"/>
    <s v="Max"/>
    <s v="Half Sleeve"/>
    <s v="Cotton Blend"/>
    <s v="XL"/>
    <s v="Cream"/>
    <n v="340"/>
  </r>
  <r>
    <x v="879"/>
    <x v="60"/>
    <s v="PNT1086"/>
    <n v="1"/>
    <s v="Pants"/>
    <s v="Raymond"/>
    <s v="Korean"/>
    <s v="Lycra"/>
    <n v="28"/>
    <s v="Beige"/>
    <n v="950"/>
  </r>
  <r>
    <x v="880"/>
    <x v="60"/>
    <s v="SHT0235"/>
    <n v="1"/>
    <s v="Shirt"/>
    <s v="H&amp;M"/>
    <s v="Formal"/>
    <s v="Cotton Blend"/>
    <s v="S"/>
    <s v="Olive"/>
    <n v="880"/>
  </r>
  <r>
    <x v="880"/>
    <x v="60"/>
    <s v="JNS0929"/>
    <n v="1"/>
    <s v="Jeans"/>
    <s v="Pepe"/>
    <s v="Baggy"/>
    <s v="Denim"/>
    <n v="44"/>
    <s v="Cream"/>
    <n v="830"/>
  </r>
  <r>
    <x v="880"/>
    <x v="60"/>
    <s v="TSH0400"/>
    <n v="1"/>
    <s v="T-Shirt"/>
    <s v="Turkey"/>
    <s v="Sleeveless"/>
    <s v="Cotton Blend"/>
    <s v="S"/>
    <s v="Bottle Green"/>
    <n v="720"/>
  </r>
  <r>
    <x v="881"/>
    <x v="60"/>
    <s v="SHT0213"/>
    <n v="1"/>
    <s v="Shirt"/>
    <s v="G Studio"/>
    <s v="Formal"/>
    <s v="Lycra"/>
    <s v="S"/>
    <s v="Olive"/>
    <n v="720"/>
  </r>
  <r>
    <x v="881"/>
    <x v="60"/>
    <s v="SHT0178"/>
    <n v="1"/>
    <s v="Shirt"/>
    <s v="G Studio"/>
    <s v="Partywear"/>
    <s v="Cotton Blend"/>
    <s v="S"/>
    <s v="Olive"/>
    <n v="760"/>
  </r>
  <r>
    <x v="882"/>
    <x v="60"/>
    <s v="SHT0225"/>
    <n v="1"/>
    <s v="Shirt"/>
    <s v="L7"/>
    <s v="Casual"/>
    <s v="Polyester"/>
    <s v="L"/>
    <s v="Maroon"/>
    <n v="680"/>
  </r>
  <r>
    <x v="883"/>
    <x v="60"/>
    <s v="SHT0195"/>
    <n v="1"/>
    <s v="Shirt"/>
    <s v="Zara"/>
    <s v="Formal"/>
    <s v="Lycra"/>
    <s v="XXL"/>
    <s v="Rust"/>
    <n v="750"/>
  </r>
  <r>
    <x v="883"/>
    <x v="60"/>
    <s v="TSH0442"/>
    <n v="1"/>
    <s v="T-Shirt"/>
    <s v="Max"/>
    <s v="3/4 Sleeve"/>
    <s v="Poly Cotton"/>
    <s v="S"/>
    <s v="Navy Blue"/>
    <n v="530"/>
  </r>
  <r>
    <x v="884"/>
    <x v="60"/>
    <s v="JNS0957"/>
    <n v="1"/>
    <s v="Jeans"/>
    <s v="Spykar"/>
    <s v="Baggy"/>
    <s v="Denim"/>
    <n v="44"/>
    <s v="Cream"/>
    <n v="990"/>
  </r>
  <r>
    <x v="884"/>
    <x v="60"/>
    <s v="SHT0181"/>
    <n v="1"/>
    <s v="Shirt"/>
    <s v="Zara"/>
    <s v="Partywear"/>
    <s v="Cotton Blend"/>
    <s v="XL"/>
    <s v="Black"/>
    <n v="850"/>
  </r>
  <r>
    <x v="884"/>
    <x v="60"/>
    <s v="PNT1368"/>
    <n v="1"/>
    <s v="Pants"/>
    <s v="Louis Philippe"/>
    <s v="Jogger"/>
    <s v="Cotton"/>
    <n v="38"/>
    <s v="Maroon"/>
    <n v="860"/>
  </r>
  <r>
    <x v="885"/>
    <x v="60"/>
    <s v="SHT0132"/>
    <n v="1"/>
    <s v="Shirt"/>
    <s v="Zara"/>
    <s v="Formal"/>
    <s v="Cotton Blend"/>
    <s v="XXL"/>
    <s v="Peach"/>
    <n v="780"/>
  </r>
  <r>
    <x v="886"/>
    <x v="60"/>
    <s v="JNS0934"/>
    <n v="1"/>
    <s v="Jeans"/>
    <s v="Spykar"/>
    <s v="Mom Fit"/>
    <s v="Denim"/>
    <n v="36"/>
    <s v="Teal"/>
    <n v="940"/>
  </r>
  <r>
    <x v="886"/>
    <x v="60"/>
    <s v="TSH0760"/>
    <n v="1"/>
    <s v="T-Shirt"/>
    <s v="Urban Monkey"/>
    <s v="3/4 Sleeve"/>
    <s v="Cotton"/>
    <s v="XXL"/>
    <s v="Beige"/>
    <n v="650"/>
  </r>
  <r>
    <x v="886"/>
    <x v="60"/>
    <s v="TSH0382"/>
    <n v="1"/>
    <s v="T-Shirt"/>
    <s v="Zara"/>
    <s v="3/4 Sleeve"/>
    <s v="Cotton Blend"/>
    <s v="XL"/>
    <s v="Charcoal"/>
    <n v="440"/>
  </r>
  <r>
    <x v="887"/>
    <x v="60"/>
    <s v="JNS0820"/>
    <n v="1"/>
    <s v="Jeans"/>
    <s v="Levis"/>
    <s v="Jogger"/>
    <s v="Denim"/>
    <n v="28"/>
    <s v="Teal"/>
    <n v="1000"/>
  </r>
  <r>
    <x v="887"/>
    <x v="60"/>
    <s v="SHT0247"/>
    <n v="1"/>
    <s v="Shirt"/>
    <s v="Luke &amp; Burg"/>
    <s v="Casual"/>
    <s v="Cotton Blend"/>
    <s v="S"/>
    <s v="Teal"/>
    <n v="860"/>
  </r>
  <r>
    <x v="887"/>
    <x v="60"/>
    <s v="PNT1166"/>
    <n v="1"/>
    <s v="Pants"/>
    <s v="Raymond"/>
    <s v="Kurka"/>
    <s v="Lycra"/>
    <n v="36"/>
    <s v="Wine"/>
    <n v="850"/>
  </r>
  <r>
    <x v="887"/>
    <x v="60"/>
    <s v="PNT1363"/>
    <n v="1"/>
    <s v="Pants"/>
    <s v="Van Heusen"/>
    <s v="Kurka"/>
    <s v="Lycra"/>
    <n v="32"/>
    <s v="Dark Green"/>
    <n v="940"/>
  </r>
  <r>
    <x v="888"/>
    <x v="61"/>
    <s v="INW1477"/>
    <n v="1"/>
    <s v="Innerwear"/>
    <s v="V Star"/>
    <s v="Boxer"/>
    <s v="Cotton Blend"/>
    <s v="105-110"/>
    <s v="Sky Blue"/>
    <n v="100"/>
  </r>
  <r>
    <x v="889"/>
    <x v="61"/>
    <s v="TSH0716"/>
    <n v="1"/>
    <s v="T-Shirt"/>
    <s v="Campus"/>
    <s v="Hoodie"/>
    <s v="Cotton Blend"/>
    <s v="M"/>
    <s v="Mustard"/>
    <n v="660"/>
  </r>
  <r>
    <x v="890"/>
    <x v="61"/>
    <s v="TSH0364"/>
    <n v="1"/>
    <s v="T-Shirt"/>
    <s v="Campus"/>
    <s v="3/4 Sleeve"/>
    <s v="Cotton"/>
    <s v="M"/>
    <s v="Dark Green"/>
    <n v="330"/>
  </r>
  <r>
    <x v="890"/>
    <x v="61"/>
    <s v="TSH0670"/>
    <n v="1"/>
    <s v="T-Shirt"/>
    <s v="Turkey"/>
    <s v="Hoodie"/>
    <s v="Poly Cotton"/>
    <s v="S"/>
    <s v="Navy Blue"/>
    <n v="280"/>
  </r>
  <r>
    <x v="891"/>
    <x v="61"/>
    <s v="PNT1183"/>
    <n v="1"/>
    <s v="Pants"/>
    <s v="Raymond"/>
    <s v="Jogger"/>
    <s v="Cotton"/>
    <n v="28"/>
    <s v="Mustard"/>
    <n v="720"/>
  </r>
  <r>
    <x v="892"/>
    <x v="61"/>
    <s v="TSH0760"/>
    <n v="1"/>
    <s v="T-Shirt"/>
    <s v="Urban Monkey"/>
    <s v="3/4 Sleeve"/>
    <s v="Cotton"/>
    <s v="XXL"/>
    <s v="Beige"/>
    <n v="650"/>
  </r>
  <r>
    <x v="892"/>
    <x v="61"/>
    <s v="PNT1257"/>
    <n v="1"/>
    <s v="Pants"/>
    <s v="Van Heusen"/>
    <s v="Boot Cut"/>
    <s v="Cotton Blend"/>
    <n v="30"/>
    <s v="White"/>
    <n v="780"/>
  </r>
  <r>
    <x v="893"/>
    <x v="61"/>
    <s v="PNT1244"/>
    <n v="1"/>
    <s v="Pants"/>
    <s v="Raymond"/>
    <s v="Kurka"/>
    <s v="Lycra"/>
    <n v="38"/>
    <s v="Brown"/>
    <n v="850"/>
  </r>
  <r>
    <x v="893"/>
    <x v="61"/>
    <s v="SHT0005"/>
    <n v="1"/>
    <s v="Shirt"/>
    <s v="Zara"/>
    <s v="Formal"/>
    <s v="Polyester"/>
    <s v="L"/>
    <s v="Beige"/>
    <n v="920"/>
  </r>
  <r>
    <x v="893"/>
    <x v="61"/>
    <s v="SHT0103"/>
    <n v="1"/>
    <s v="Shirt"/>
    <s v="Thailand"/>
    <s v="Casual"/>
    <s v="Cotton Blend"/>
    <s v="XXL"/>
    <s v="Beige"/>
    <n v="760"/>
  </r>
  <r>
    <x v="893"/>
    <x v="61"/>
    <s v="TSH0628"/>
    <n v="1"/>
    <s v="T-Shirt"/>
    <s v="Urban Monkey"/>
    <s v="Sleeveless"/>
    <s v="Cotton Blend"/>
    <s v="L"/>
    <s v="Sky Blue"/>
    <n v="270"/>
  </r>
  <r>
    <x v="894"/>
    <x v="61"/>
    <s v="JNS0923"/>
    <n v="1"/>
    <s v="Jeans"/>
    <s v="Pepe"/>
    <s v="Jogger"/>
    <s v="Denim"/>
    <n v="38"/>
    <s v="Cream"/>
    <n v="880"/>
  </r>
  <r>
    <x v="894"/>
    <x v="61"/>
    <s v="INW1572"/>
    <n v="1"/>
    <s v="Innerwear"/>
    <s v="Rupa"/>
    <s v="Boxer"/>
    <s v="Cotton"/>
    <s v="90-100"/>
    <s v="Cream"/>
    <n v="120"/>
  </r>
  <r>
    <x v="894"/>
    <x v="61"/>
    <s v="INW1613"/>
    <n v="1"/>
    <s v="Innerwear"/>
    <s v="Jockey"/>
    <s v="Boxer"/>
    <s v="Cotton"/>
    <s v="75-80"/>
    <s v="Olive"/>
    <n v="180"/>
  </r>
  <r>
    <x v="894"/>
    <x v="61"/>
    <s v="SHT0045"/>
    <n v="1"/>
    <s v="Shirt"/>
    <s v="Thailand"/>
    <s v="Casual"/>
    <s v="Lycra"/>
    <s v="L"/>
    <s v="Cream"/>
    <n v="720"/>
  </r>
  <r>
    <x v="895"/>
    <x v="61"/>
    <s v="JNS1065"/>
    <n v="1"/>
    <s v="Jeans"/>
    <s v="Levis"/>
    <s v="Jogger"/>
    <s v="Denim"/>
    <n v="44"/>
    <s v="Brown"/>
    <n v="900"/>
  </r>
  <r>
    <x v="895"/>
    <x v="61"/>
    <s v="PNT1282"/>
    <n v="1"/>
    <s v="Pants"/>
    <s v="Park Avenue"/>
    <s v="Boot Cut"/>
    <s v="Cotton"/>
    <n v="44"/>
    <s v="Royal Blue"/>
    <n v="950"/>
  </r>
  <r>
    <x v="896"/>
    <x v="61"/>
    <s v="INW1525"/>
    <n v="1"/>
    <s v="Innerwear"/>
    <s v="Rupa"/>
    <s v="V-Cut"/>
    <s v="Cotton"/>
    <s v="80-85"/>
    <s v="Beige"/>
    <n v="170"/>
  </r>
  <r>
    <x v="896"/>
    <x v="61"/>
    <s v="PNT1165"/>
    <n v="1"/>
    <s v="Pants"/>
    <s v="Van Heusen"/>
    <s v="Polofit"/>
    <s v="Lycra"/>
    <n v="42"/>
    <s v="Bottle Green"/>
    <n v="710"/>
  </r>
  <r>
    <x v="896"/>
    <x v="61"/>
    <s v="PNT1312"/>
    <n v="1"/>
    <s v="Pants"/>
    <s v="Peter England"/>
    <s v="Korean"/>
    <s v="Lycra"/>
    <n v="34"/>
    <s v="Wine"/>
    <n v="720"/>
  </r>
  <r>
    <x v="896"/>
    <x v="61"/>
    <s v="SHT0332"/>
    <n v="1"/>
    <s v="Shirt"/>
    <s v="H&amp;M"/>
    <s v="Casual"/>
    <s v="Cotton"/>
    <s v="XL"/>
    <s v="Maroon"/>
    <n v="660"/>
  </r>
  <r>
    <x v="897"/>
    <x v="61"/>
    <s v="SHT0021"/>
    <n v="1"/>
    <s v="Shirt"/>
    <s v="Thailand"/>
    <s v="Partywear"/>
    <s v="Lycra"/>
    <s v="XXL"/>
    <s v="Sky Blue"/>
    <n v="630"/>
  </r>
  <r>
    <x v="898"/>
    <x v="61"/>
    <s v="PNT1131"/>
    <n v="1"/>
    <s v="Pants"/>
    <s v="Van Heusen"/>
    <s v="Korean"/>
    <s v="Lycra"/>
    <n v="28"/>
    <s v="Mustard"/>
    <n v="740"/>
  </r>
  <r>
    <x v="899"/>
    <x v="61"/>
    <s v="JNS1053"/>
    <n v="1"/>
    <s v="Jeans"/>
    <s v="Levis"/>
    <s v="Mom Fit"/>
    <s v="Denim"/>
    <n v="30"/>
    <s v="Sky Blue"/>
    <n v="800"/>
  </r>
  <r>
    <x v="900"/>
    <x v="61"/>
    <s v="TSH0658"/>
    <n v="1"/>
    <s v="T-Shirt"/>
    <s v="Campus"/>
    <s v="Hoodie"/>
    <s v="Cotton"/>
    <s v="XL"/>
    <s v="White"/>
    <n v="330"/>
  </r>
  <r>
    <x v="900"/>
    <x v="61"/>
    <s v="INW1435"/>
    <n v="1"/>
    <s v="Innerwear"/>
    <s v="Dollar"/>
    <s v="V-Cut"/>
    <s v="Cotton"/>
    <s v="80-85"/>
    <s v="Peach"/>
    <n v="130"/>
  </r>
  <r>
    <x v="901"/>
    <x v="61"/>
    <s v="PNT1240"/>
    <n v="1"/>
    <s v="Pants"/>
    <s v="Raymond"/>
    <s v="Polofit"/>
    <s v="Lycra"/>
    <n v="30"/>
    <s v="Dark Green"/>
    <n v="860"/>
  </r>
  <r>
    <x v="902"/>
    <x v="61"/>
    <s v="TSH0566"/>
    <n v="1"/>
    <s v="T-Shirt"/>
    <s v="Urban Monkey"/>
    <s v="Half Sleeve"/>
    <s v="Cotton"/>
    <s v="S"/>
    <s v="Cream"/>
    <n v="350"/>
  </r>
  <r>
    <x v="902"/>
    <x v="61"/>
    <s v="JNS0950"/>
    <n v="1"/>
    <s v="Jeans"/>
    <s v="Locomotive"/>
    <s v="Mom Fit"/>
    <s v="Denim"/>
    <n v="44"/>
    <s v="Teal"/>
    <n v="900"/>
  </r>
  <r>
    <x v="903"/>
    <x v="62"/>
    <s v="TSH0396"/>
    <n v="1"/>
    <s v="T-Shirt"/>
    <s v="Roadster"/>
    <s v="Full Sleeve"/>
    <s v="Cotton Blend"/>
    <s v="L"/>
    <s v="Olive"/>
    <n v="440"/>
  </r>
  <r>
    <x v="903"/>
    <x v="62"/>
    <s v="TSH0590"/>
    <n v="1"/>
    <s v="T-Shirt"/>
    <s v="Max"/>
    <s v="Full Sleeve"/>
    <s v="Cotton Blend"/>
    <s v="M"/>
    <s v="Navy Blue"/>
    <n v="620"/>
  </r>
  <r>
    <x v="904"/>
    <x v="62"/>
    <s v="INW1514"/>
    <n v="1"/>
    <s v="Innerwear"/>
    <s v="Dollar"/>
    <s v="V-Cut"/>
    <s v="Cotton"/>
    <s v="90-100"/>
    <s v="Peach"/>
    <n v="170"/>
  </r>
  <r>
    <x v="905"/>
    <x v="62"/>
    <s v="SHT0283"/>
    <n v="1"/>
    <s v="Shirt"/>
    <s v="British"/>
    <s v="Partywear"/>
    <s v="Cotton Blend"/>
    <s v="XL"/>
    <s v="Maroon"/>
    <n v="940"/>
  </r>
  <r>
    <x v="905"/>
    <x v="62"/>
    <s v="JNS0875"/>
    <n v="1"/>
    <s v="Jeans"/>
    <s v="Pepe"/>
    <s v="Baggy"/>
    <s v="Denim"/>
    <n v="34"/>
    <s v="Grey"/>
    <n v="1040"/>
  </r>
  <r>
    <x v="905"/>
    <x v="62"/>
    <s v="PNT1287"/>
    <n v="1"/>
    <s v="Pants"/>
    <s v="Park Avenue"/>
    <s v="Korean"/>
    <s v="Lycra"/>
    <n v="28"/>
    <s v="White"/>
    <n v="720"/>
  </r>
  <r>
    <x v="905"/>
    <x v="62"/>
    <s v="TSH0395"/>
    <n v="1"/>
    <s v="T-Shirt"/>
    <s v="Max"/>
    <s v="3/4 Sleeve"/>
    <s v="Cotton Blend"/>
    <s v="XXL"/>
    <s v="Maroon"/>
    <n v="440"/>
  </r>
  <r>
    <x v="906"/>
    <x v="62"/>
    <s v="TSH0574"/>
    <n v="1"/>
    <s v="T-Shirt"/>
    <s v="Thailand"/>
    <s v="Hoodie"/>
    <s v="Cotton Blend"/>
    <s v="L"/>
    <s v="Bottle Green"/>
    <n v="370"/>
  </r>
  <r>
    <x v="906"/>
    <x v="62"/>
    <s v="SHT0077"/>
    <n v="1"/>
    <s v="Shirt"/>
    <s v="L7"/>
    <s v="Casual"/>
    <s v="Lycra"/>
    <s v="XL"/>
    <s v="Wine"/>
    <n v="930"/>
  </r>
  <r>
    <x v="906"/>
    <x v="62"/>
    <s v="JNS0946"/>
    <n v="1"/>
    <s v="Jeans"/>
    <s v="Spykar"/>
    <s v="Jogger"/>
    <s v="Denim"/>
    <n v="32"/>
    <s v="Maroon"/>
    <n v="850"/>
  </r>
  <r>
    <x v="906"/>
    <x v="62"/>
    <s v="SHT0038"/>
    <n v="1"/>
    <s v="Shirt"/>
    <s v="Luke &amp; Burg"/>
    <s v="Formal"/>
    <s v="Lycra"/>
    <s v="XL"/>
    <s v="Black"/>
    <n v="940"/>
  </r>
  <r>
    <x v="907"/>
    <x v="62"/>
    <s v="SHT0213"/>
    <n v="1"/>
    <s v="Shirt"/>
    <s v="G Studio"/>
    <s v="Formal"/>
    <s v="Lycra"/>
    <s v="S"/>
    <s v="Olive"/>
    <n v="720"/>
  </r>
  <r>
    <x v="907"/>
    <x v="62"/>
    <s v="INW1517"/>
    <n v="1"/>
    <s v="Innerwear"/>
    <s v="Jockey"/>
    <s v="V-Cut"/>
    <s v="Cotton Blend"/>
    <s v="75-80"/>
    <s v="Cream"/>
    <n v="160"/>
  </r>
  <r>
    <x v="907"/>
    <x v="62"/>
    <s v="JNS0975"/>
    <n v="1"/>
    <s v="Jeans"/>
    <s v="Denim Pro"/>
    <s v="Baggy"/>
    <s v="Denim"/>
    <n v="36"/>
    <s v="Maroon"/>
    <n v="1010"/>
  </r>
  <r>
    <x v="907"/>
    <x v="62"/>
    <s v="INW1618"/>
    <n v="1"/>
    <s v="Innerwear"/>
    <s v="Rupa"/>
    <s v="V-Cut"/>
    <s v="Cotton"/>
    <s v="75-80"/>
    <s v="Bottle Green"/>
    <n v="180"/>
  </r>
  <r>
    <x v="908"/>
    <x v="62"/>
    <s v="SHT0223"/>
    <n v="1"/>
    <s v="Shirt"/>
    <s v="H&amp;M"/>
    <s v="Partywear"/>
    <s v="Polyester"/>
    <s v="L"/>
    <s v="Beige"/>
    <n v="660"/>
  </r>
  <r>
    <x v="909"/>
    <x v="62"/>
    <s v="SHT0268"/>
    <n v="1"/>
    <s v="Shirt"/>
    <s v="Thailand"/>
    <s v="Formal"/>
    <s v="Lycra"/>
    <s v="L"/>
    <s v="Wine"/>
    <n v="950"/>
  </r>
  <r>
    <x v="909"/>
    <x v="62"/>
    <s v="TSH0410"/>
    <n v="1"/>
    <s v="T-Shirt"/>
    <s v="Roadster"/>
    <s v="Sleeveless"/>
    <s v="Cotton Blend"/>
    <s v="XL"/>
    <s v="Sky Blue"/>
    <n v="360"/>
  </r>
  <r>
    <x v="910"/>
    <x v="62"/>
    <s v="JNS1018"/>
    <n v="1"/>
    <s v="Jeans"/>
    <s v="Wrangler"/>
    <s v="Baggy"/>
    <s v="Denim"/>
    <n v="28"/>
    <s v="Dark Green"/>
    <n v="990"/>
  </r>
  <r>
    <x v="910"/>
    <x v="62"/>
    <s v="TSH0706"/>
    <n v="1"/>
    <s v="T-Shirt"/>
    <s v="Turkey"/>
    <s v="Hoodie"/>
    <s v="Cotton Blend"/>
    <s v="L"/>
    <s v="Teal"/>
    <n v="480"/>
  </r>
  <r>
    <x v="911"/>
    <x v="62"/>
    <s v="JNS1044"/>
    <n v="1"/>
    <s v="Jeans"/>
    <s v="Levis"/>
    <s v="Baggy"/>
    <s v="Denim"/>
    <n v="30"/>
    <s v="Royal Blue"/>
    <n v="880"/>
  </r>
  <r>
    <x v="911"/>
    <x v="62"/>
    <s v="JNS0782"/>
    <n v="1"/>
    <s v="Jeans"/>
    <s v="Levis"/>
    <s v="Mom Fit"/>
    <s v="Denim"/>
    <n v="42"/>
    <s v="Light Grey"/>
    <n v="960"/>
  </r>
  <r>
    <x v="911"/>
    <x v="62"/>
    <s v="TSH0690"/>
    <n v="1"/>
    <s v="T-Shirt"/>
    <s v="Max"/>
    <s v="Full Sleeve"/>
    <s v="Cotton"/>
    <s v="L"/>
    <s v="Charcoal"/>
    <n v="440"/>
  </r>
  <r>
    <x v="911"/>
    <x v="62"/>
    <s v="JNS0908"/>
    <n v="1"/>
    <s v="Jeans"/>
    <s v="Pepe"/>
    <s v="Baggy"/>
    <s v="Denim"/>
    <n v="44"/>
    <s v="Dark Green"/>
    <n v="860"/>
  </r>
  <r>
    <x v="912"/>
    <x v="62"/>
    <s v="TSH0732"/>
    <n v="1"/>
    <s v="T-Shirt"/>
    <s v="Turkey"/>
    <s v="Half Sleeve"/>
    <s v="Cotton"/>
    <s v="XXL"/>
    <s v="Rust"/>
    <n v="710"/>
  </r>
  <r>
    <x v="912"/>
    <x v="62"/>
    <s v="TSH0658"/>
    <n v="1"/>
    <s v="T-Shirt"/>
    <s v="Campus"/>
    <s v="Hoodie"/>
    <s v="Cotton"/>
    <s v="XL"/>
    <s v="White"/>
    <n v="330"/>
  </r>
  <r>
    <x v="913"/>
    <x v="62"/>
    <s v="JNS0809"/>
    <n v="1"/>
    <s v="Jeans"/>
    <s v="Locomotive"/>
    <s v="Jogger"/>
    <s v="Denim"/>
    <n v="42"/>
    <s v="Grey"/>
    <n v="880"/>
  </r>
  <r>
    <x v="913"/>
    <x v="62"/>
    <s v="PNT1099"/>
    <n v="1"/>
    <s v="Pants"/>
    <s v="Louis Philippe"/>
    <s v="Polofit"/>
    <s v="Lycra"/>
    <n v="28"/>
    <s v="Peach"/>
    <n v="730"/>
  </r>
  <r>
    <x v="913"/>
    <x v="62"/>
    <s v="TSH0644"/>
    <n v="1"/>
    <s v="T-Shirt"/>
    <s v="Urban Monkey"/>
    <s v="Full Sleeve"/>
    <s v="Cotton"/>
    <s v="XL"/>
    <s v="Royal Blue"/>
    <n v="530"/>
  </r>
  <r>
    <x v="914"/>
    <x v="62"/>
    <s v="PNT1325"/>
    <n v="1"/>
    <s v="Pants"/>
    <s v="Louis Philippe"/>
    <s v="Boot Cut"/>
    <s v="Cotton"/>
    <n v="40"/>
    <s v="Charcoal"/>
    <n v="800"/>
  </r>
  <r>
    <x v="914"/>
    <x v="62"/>
    <s v="TSH0571"/>
    <n v="1"/>
    <s v="T-Shirt"/>
    <s v="Zara"/>
    <s v="Full Sleeve"/>
    <s v="Poly Cotton"/>
    <s v="M"/>
    <s v="Charcoal"/>
    <n v="480"/>
  </r>
  <r>
    <x v="915"/>
    <x v="63"/>
    <s v="INW1388"/>
    <n v="1"/>
    <s v="Innerwear"/>
    <s v="Lux"/>
    <s v="V-Cut"/>
    <s v="Cotton Blend"/>
    <s v="90-100"/>
    <s v="Mustard"/>
    <n v="180"/>
  </r>
  <r>
    <x v="915"/>
    <x v="63"/>
    <s v="TSH0553"/>
    <n v="1"/>
    <s v="T-Shirt"/>
    <s v="Max"/>
    <s v="Hoodie"/>
    <s v="Cotton Blend"/>
    <s v="L"/>
    <s v="Wine"/>
    <n v="610"/>
  </r>
  <r>
    <x v="915"/>
    <x v="63"/>
    <s v="TSH0435"/>
    <n v="1"/>
    <s v="T-Shirt"/>
    <s v="Turkey"/>
    <s v="Full Sleeve"/>
    <s v="Cotton"/>
    <s v="S"/>
    <s v="Light Grey"/>
    <n v="650"/>
  </r>
  <r>
    <x v="916"/>
    <x v="63"/>
    <s v="INW1528"/>
    <n v="1"/>
    <s v="Innerwear"/>
    <s v="Dollar"/>
    <s v="V-Cut"/>
    <s v="Cotton"/>
    <s v="90-100"/>
    <s v="Black"/>
    <n v="100"/>
  </r>
  <r>
    <x v="917"/>
    <x v="63"/>
    <s v="INW1421"/>
    <n v="1"/>
    <s v="Innerwear"/>
    <s v="Dollar"/>
    <s v="Boxer"/>
    <s v="Cotton Blend"/>
    <s v="75-80"/>
    <s v="Mustard"/>
    <n v="180"/>
  </r>
  <r>
    <x v="917"/>
    <x v="63"/>
    <s v="SHT0160"/>
    <n v="1"/>
    <s v="Shirt"/>
    <s v="Max"/>
    <s v="Formal"/>
    <s v="Cotton Blend"/>
    <s v="M"/>
    <s v="Navy Blue"/>
    <n v="740"/>
  </r>
  <r>
    <x v="917"/>
    <x v="63"/>
    <s v="JNS0972"/>
    <n v="1"/>
    <s v="Jeans"/>
    <s v="Denim Pro"/>
    <s v="Baggy"/>
    <s v="Denim"/>
    <n v="34"/>
    <s v="Light Grey"/>
    <n v="850"/>
  </r>
  <r>
    <x v="917"/>
    <x v="63"/>
    <s v="TSH0627"/>
    <n v="1"/>
    <s v="T-Shirt"/>
    <s v="Urban Monkey"/>
    <s v="Full Sleeve"/>
    <s v="Cotton"/>
    <s v="XL"/>
    <s v="Cream"/>
    <n v="500"/>
  </r>
  <r>
    <x v="918"/>
    <x v="63"/>
    <s v="INW1467"/>
    <n v="1"/>
    <s v="Innerwear"/>
    <s v="Dollar"/>
    <s v="Boxer"/>
    <s v="Cotton"/>
    <s v="105-110"/>
    <s v="Dark Green"/>
    <n v="190"/>
  </r>
  <r>
    <x v="918"/>
    <x v="63"/>
    <s v="PNT1156"/>
    <n v="1"/>
    <s v="Pants"/>
    <s v="Raymond"/>
    <s v="Kurka"/>
    <s v="Lycra"/>
    <n v="30"/>
    <s v="Mustard"/>
    <n v="880"/>
  </r>
  <r>
    <x v="919"/>
    <x v="63"/>
    <s v="JNS0868"/>
    <n v="1"/>
    <s v="Jeans"/>
    <s v="Spykar"/>
    <s v="Jogger"/>
    <s v="Denim"/>
    <n v="38"/>
    <s v="Navy Blue"/>
    <n v="920"/>
  </r>
  <r>
    <x v="919"/>
    <x v="63"/>
    <s v="SHT0029"/>
    <n v="1"/>
    <s v="Shirt"/>
    <s v="G Studio"/>
    <s v="Formal"/>
    <s v="Cotton"/>
    <s v="S"/>
    <s v="Charcoal"/>
    <n v="840"/>
  </r>
  <r>
    <x v="919"/>
    <x v="63"/>
    <s v="JNS0797"/>
    <n v="1"/>
    <s v="Jeans"/>
    <s v="Levis"/>
    <s v="Baggy"/>
    <s v="Denim"/>
    <n v="28"/>
    <s v="Mustard"/>
    <n v="1050"/>
  </r>
  <r>
    <x v="920"/>
    <x v="63"/>
    <s v="PNT1162"/>
    <n v="1"/>
    <s v="Pants"/>
    <s v="Louis Philippe"/>
    <s v="Korean"/>
    <s v="Lycra"/>
    <n v="38"/>
    <s v="Sky Blue"/>
    <n v="900"/>
  </r>
  <r>
    <x v="920"/>
    <x v="63"/>
    <s v="JNS1000"/>
    <n v="1"/>
    <s v="Jeans"/>
    <s v="Pepe"/>
    <s v="Jogger"/>
    <s v="Denim"/>
    <n v="34"/>
    <s v="Maroon"/>
    <n v="940"/>
  </r>
  <r>
    <x v="921"/>
    <x v="63"/>
    <s v="INW1644"/>
    <n v="1"/>
    <s v="Innerwear"/>
    <s v="Lux"/>
    <s v="V-Cut"/>
    <s v="Cotton"/>
    <s v="90-100"/>
    <s v="Black"/>
    <n v="130"/>
  </r>
  <r>
    <x v="922"/>
    <x v="63"/>
    <s v="INW1557"/>
    <n v="1"/>
    <s v="Innerwear"/>
    <s v="Dollar"/>
    <s v="V-Cut"/>
    <s v="Cotton"/>
    <s v="90-100"/>
    <s v="Royal Blue"/>
    <n v="100"/>
  </r>
  <r>
    <x v="923"/>
    <x v="63"/>
    <s v="TSH0716"/>
    <n v="1"/>
    <s v="T-Shirt"/>
    <s v="Campus"/>
    <s v="Hoodie"/>
    <s v="Cotton Blend"/>
    <s v="M"/>
    <s v="Mustard"/>
    <n v="660"/>
  </r>
  <r>
    <x v="924"/>
    <x v="63"/>
    <s v="SHT0075"/>
    <n v="1"/>
    <s v="Shirt"/>
    <s v="Luke &amp; Burg"/>
    <s v="Formal"/>
    <s v="Lycra"/>
    <s v="S"/>
    <s v="Sky Blue"/>
    <n v="810"/>
  </r>
  <r>
    <x v="924"/>
    <x v="63"/>
    <s v="SHT0259"/>
    <n v="1"/>
    <s v="Shirt"/>
    <s v="Zara"/>
    <s v="Formal"/>
    <s v="Polyester"/>
    <s v="L"/>
    <s v="Wine"/>
    <n v="730"/>
  </r>
  <r>
    <x v="924"/>
    <x v="63"/>
    <s v="SHT0294"/>
    <n v="1"/>
    <s v="Shirt"/>
    <s v="British"/>
    <s v="Partywear"/>
    <s v="Cotton Blend"/>
    <s v="M"/>
    <s v="Grey"/>
    <n v="760"/>
  </r>
  <r>
    <x v="924"/>
    <x v="63"/>
    <s v="INW1578"/>
    <n v="1"/>
    <s v="Innerwear"/>
    <s v="Lux"/>
    <s v="V-Cut"/>
    <s v="Cotton"/>
    <s v="85-90"/>
    <s v="Dark Green"/>
    <n v="160"/>
  </r>
  <r>
    <x v="925"/>
    <x v="63"/>
    <s v="JNS0915"/>
    <n v="1"/>
    <s v="Jeans"/>
    <s v="Pepe"/>
    <s v="Baggy"/>
    <s v="Denim"/>
    <n v="44"/>
    <s v="Olive"/>
    <n v="870"/>
  </r>
  <r>
    <x v="926"/>
    <x v="63"/>
    <s v="PNT1185"/>
    <n v="1"/>
    <s v="Pants"/>
    <s v="Park Avenue"/>
    <s v="Boot Cut"/>
    <s v="Poly Viscose"/>
    <n v="40"/>
    <s v="Teal"/>
    <n v="880"/>
  </r>
  <r>
    <x v="927"/>
    <x v="63"/>
    <s v="INW1406"/>
    <n v="1"/>
    <s v="Innerwear"/>
    <s v="V Star"/>
    <s v="V-Cut"/>
    <s v="Cotton"/>
    <s v="80-85"/>
    <s v="Black"/>
    <n v="160"/>
  </r>
  <r>
    <x v="927"/>
    <x v="63"/>
    <s v="PNT1308"/>
    <n v="1"/>
    <s v="Pants"/>
    <s v="Peter England"/>
    <s v="Boot Cut"/>
    <s v="Poly Viscose"/>
    <n v="28"/>
    <s v="Beige"/>
    <n v="780"/>
  </r>
  <r>
    <x v="927"/>
    <x v="63"/>
    <s v="TSH0681"/>
    <n v="1"/>
    <s v="T-Shirt"/>
    <s v="Urban Monkey"/>
    <s v="3/4 Sleeve"/>
    <s v="Cotton"/>
    <s v="XXL"/>
    <s v="Dark Green"/>
    <n v="690"/>
  </r>
  <r>
    <x v="927"/>
    <x v="63"/>
    <s v="SHT0016"/>
    <n v="1"/>
    <s v="Shirt"/>
    <s v="Luke &amp; Burg"/>
    <s v="Partywear"/>
    <s v="Polyester"/>
    <s v="L"/>
    <s v="Charcoal"/>
    <n v="900"/>
  </r>
  <r>
    <x v="928"/>
    <x v="64"/>
    <s v="SHT0146"/>
    <n v="1"/>
    <s v="Shirt"/>
    <s v="Luke &amp; Burg"/>
    <s v="Partywear"/>
    <s v="Cotton"/>
    <s v="L"/>
    <s v="Dark Green"/>
    <n v="750"/>
  </r>
  <r>
    <x v="928"/>
    <x v="64"/>
    <s v="PNT1120"/>
    <n v="1"/>
    <s v="Pants"/>
    <s v="Peter England"/>
    <s v="Polofit"/>
    <s v="Lycra"/>
    <n v="28"/>
    <s v="Navy Blue"/>
    <n v="920"/>
  </r>
  <r>
    <x v="929"/>
    <x v="64"/>
    <s v="JNS0932"/>
    <n v="1"/>
    <s v="Jeans"/>
    <s v="Wrangler"/>
    <s v="Mom Fit"/>
    <s v="Denim"/>
    <n v="42"/>
    <s v="Light Grey"/>
    <n v="880"/>
  </r>
  <r>
    <x v="929"/>
    <x v="64"/>
    <s v="INW1414"/>
    <n v="1"/>
    <s v="Innerwear"/>
    <s v="Lux"/>
    <s v="V-Cut"/>
    <s v="Cotton"/>
    <s v="80-85"/>
    <s v="Wine"/>
    <n v="120"/>
  </r>
  <r>
    <x v="929"/>
    <x v="64"/>
    <s v="SHT0288"/>
    <n v="1"/>
    <s v="Shirt"/>
    <s v="L7"/>
    <s v="Casual"/>
    <s v="Polyester"/>
    <s v="M"/>
    <s v="Grey"/>
    <n v="640"/>
  </r>
  <r>
    <x v="930"/>
    <x v="64"/>
    <s v="SHT0254"/>
    <n v="1"/>
    <s v="Shirt"/>
    <s v="Luke &amp; Burg"/>
    <s v="Partywear"/>
    <s v="Polyester"/>
    <s v="XL"/>
    <s v="Mustard"/>
    <n v="780"/>
  </r>
  <r>
    <x v="930"/>
    <x v="64"/>
    <s v="SHT0316"/>
    <n v="1"/>
    <s v="Shirt"/>
    <s v="Zara"/>
    <s v="Formal"/>
    <s v="Polyester"/>
    <s v="M"/>
    <s v="White"/>
    <n v="820"/>
  </r>
  <r>
    <x v="931"/>
    <x v="64"/>
    <s v="SHT0004"/>
    <n v="1"/>
    <s v="Shirt"/>
    <s v="G Studio"/>
    <s v="Partywear"/>
    <s v="Polyester"/>
    <s v="M"/>
    <s v="Cream"/>
    <n v="830"/>
  </r>
  <r>
    <x v="931"/>
    <x v="64"/>
    <s v="SHT0286"/>
    <n v="1"/>
    <s v="Shirt"/>
    <s v="Luke &amp; Burg"/>
    <s v="Formal"/>
    <s v="Lycra"/>
    <s v="L"/>
    <s v="Light Grey"/>
    <n v="770"/>
  </r>
  <r>
    <x v="932"/>
    <x v="64"/>
    <s v="JNS1022"/>
    <n v="1"/>
    <s v="Jeans"/>
    <s v="Pepe"/>
    <s v="Mom Fit"/>
    <s v="Denim"/>
    <n v="36"/>
    <s v="Grey"/>
    <n v="1010"/>
  </r>
  <r>
    <x v="932"/>
    <x v="64"/>
    <s v="SHT0307"/>
    <n v="1"/>
    <s v="Shirt"/>
    <s v="Thailand"/>
    <s v="Casual"/>
    <s v="Lycra"/>
    <s v="XL"/>
    <s v="Mustard"/>
    <n v="710"/>
  </r>
  <r>
    <x v="932"/>
    <x v="64"/>
    <s v="SHT0066"/>
    <n v="1"/>
    <s v="Shirt"/>
    <s v="Luke &amp; Burg"/>
    <s v="Formal"/>
    <s v="Cotton Blend"/>
    <s v="XXL"/>
    <s v="Mustard"/>
    <n v="760"/>
  </r>
  <r>
    <x v="932"/>
    <x v="64"/>
    <s v="JNS0805"/>
    <n v="1"/>
    <s v="Jeans"/>
    <s v="Spykar"/>
    <s v="Baggy"/>
    <s v="Denim"/>
    <n v="40"/>
    <s v="Charcoal"/>
    <n v="770"/>
  </r>
  <r>
    <x v="933"/>
    <x v="64"/>
    <s v="TSH0497"/>
    <n v="1"/>
    <s v="T-Shirt"/>
    <s v="Urban Monkey"/>
    <s v="3/4 Sleeve"/>
    <s v="Cotton"/>
    <s v="S"/>
    <s v="Charcoal"/>
    <n v="360"/>
  </r>
  <r>
    <x v="933"/>
    <x v="64"/>
    <s v="TSH0752"/>
    <n v="1"/>
    <s v="T-Shirt"/>
    <s v="Turkey"/>
    <s v="Full Sleeve"/>
    <s v="Cotton"/>
    <s v="M"/>
    <s v="Royal Blue"/>
    <n v="400"/>
  </r>
  <r>
    <x v="933"/>
    <x v="64"/>
    <s v="TSH0481"/>
    <n v="1"/>
    <s v="T-Shirt"/>
    <s v="Thailand"/>
    <s v="Half Sleeve"/>
    <s v="Poly Cotton"/>
    <s v="S"/>
    <s v="Olive"/>
    <n v="620"/>
  </r>
  <r>
    <x v="933"/>
    <x v="64"/>
    <s v="INW1472"/>
    <n v="1"/>
    <s v="Innerwear"/>
    <s v="Dollar"/>
    <s v="Boxer"/>
    <s v="Cotton"/>
    <s v="75-80"/>
    <s v="Sky Blue"/>
    <n v="110"/>
  </r>
  <r>
    <x v="934"/>
    <x v="64"/>
    <s v="TSH0728"/>
    <n v="1"/>
    <s v="T-Shirt"/>
    <s v="Max"/>
    <s v="Hoodie"/>
    <s v="Cotton Blend"/>
    <s v="XXL"/>
    <s v="Beige"/>
    <n v="590"/>
  </r>
  <r>
    <x v="934"/>
    <x v="64"/>
    <s v="PNT1121"/>
    <n v="1"/>
    <s v="Pants"/>
    <s v="Raymond"/>
    <s v="Kurka"/>
    <s v="Lycra"/>
    <n v="38"/>
    <s v="Maroon"/>
    <n v="940"/>
  </r>
  <r>
    <x v="935"/>
    <x v="64"/>
    <s v="INW1592"/>
    <n v="1"/>
    <s v="Innerwear"/>
    <s v="Dollar"/>
    <s v="V-Cut"/>
    <s v="Cotton"/>
    <s v="75-80"/>
    <s v="Teal"/>
    <n v="130"/>
  </r>
  <r>
    <x v="935"/>
    <x v="64"/>
    <s v="JNS0817"/>
    <n v="1"/>
    <s v="Jeans"/>
    <s v="Wrangler"/>
    <s v="Baggy"/>
    <s v="Denim"/>
    <n v="38"/>
    <s v="Sky Blue"/>
    <n v="990"/>
  </r>
  <r>
    <x v="935"/>
    <x v="64"/>
    <s v="TSH0647"/>
    <n v="1"/>
    <s v="T-Shirt"/>
    <s v="Roadster"/>
    <s v="3/4 Sleeve"/>
    <s v="Poly Cotton"/>
    <s v="S"/>
    <s v="Teal"/>
    <n v="570"/>
  </r>
  <r>
    <x v="935"/>
    <x v="64"/>
    <s v="PNT1192"/>
    <n v="1"/>
    <s v="Pants"/>
    <s v="Raymond"/>
    <s v="Boot Cut"/>
    <s v="Poly Viscose"/>
    <n v="32"/>
    <s v="Cream"/>
    <n v="760"/>
  </r>
  <r>
    <x v="936"/>
    <x v="64"/>
    <s v="SHT0095"/>
    <n v="1"/>
    <s v="Shirt"/>
    <s v="Luke &amp; Burg"/>
    <s v="Casual"/>
    <s v="Lycra"/>
    <s v="S"/>
    <s v="Light Grey"/>
    <n v="740"/>
  </r>
  <r>
    <x v="936"/>
    <x v="64"/>
    <s v="JNS0940"/>
    <n v="1"/>
    <s v="Jeans"/>
    <s v="Spykar"/>
    <s v="Baggy"/>
    <s v="Denim"/>
    <n v="30"/>
    <s v="Mustard"/>
    <n v="960"/>
  </r>
  <r>
    <x v="937"/>
    <x v="64"/>
    <s v="TSH0535"/>
    <n v="1"/>
    <s v="T-Shirt"/>
    <s v="Zara"/>
    <s v="3/4 Sleeve"/>
    <s v="Poly Cotton"/>
    <s v="XXL"/>
    <s v="Peach"/>
    <n v="600"/>
  </r>
  <r>
    <x v="938"/>
    <x v="64"/>
    <s v="TSH0656"/>
    <n v="1"/>
    <s v="T-Shirt"/>
    <s v="Campus"/>
    <s v="3/4 Sleeve"/>
    <s v="Poly Cotton"/>
    <s v="XXL"/>
    <s v="Royal Blue"/>
    <n v="370"/>
  </r>
  <r>
    <x v="939"/>
    <x v="64"/>
    <s v="TSH0685"/>
    <n v="1"/>
    <s v="T-Shirt"/>
    <s v="Campus"/>
    <s v="Hoodie"/>
    <s v="Cotton"/>
    <s v="XXL"/>
    <s v="Cream"/>
    <n v="340"/>
  </r>
  <r>
    <x v="940"/>
    <x v="64"/>
    <s v="TSH0487"/>
    <n v="1"/>
    <s v="T-Shirt"/>
    <s v="Zara"/>
    <s v="Sleeveless"/>
    <s v="Poly Cotton"/>
    <s v="L"/>
    <s v="Sky Blue"/>
    <n v="450"/>
  </r>
  <r>
    <x v="941"/>
    <x v="65"/>
    <s v="TSH0691"/>
    <n v="1"/>
    <s v="T-Shirt"/>
    <s v="Campus"/>
    <s v="Sleeveless"/>
    <s v="Cotton Blend"/>
    <s v="L"/>
    <s v="Maroon"/>
    <n v="720"/>
  </r>
  <r>
    <x v="941"/>
    <x v="65"/>
    <s v="PNT1227"/>
    <n v="1"/>
    <s v="Pants"/>
    <s v="Louis Philippe"/>
    <s v="Boot Cut"/>
    <s v="Cotton Blend"/>
    <n v="42"/>
    <s v="Charcoal"/>
    <n v="870"/>
  </r>
  <r>
    <x v="942"/>
    <x v="65"/>
    <s v="INW1470"/>
    <n v="1"/>
    <s v="Innerwear"/>
    <s v="Rupa"/>
    <s v="V-Cut"/>
    <s v="Cotton"/>
    <s v="105-110"/>
    <s v="Black"/>
    <n v="120"/>
  </r>
  <r>
    <x v="942"/>
    <x v="65"/>
    <s v="PNT1174"/>
    <n v="1"/>
    <s v="Pants"/>
    <s v="Park Avenue"/>
    <s v="Kurka"/>
    <s v="Lycra"/>
    <n v="42"/>
    <s v="Grey"/>
    <n v="900"/>
  </r>
  <r>
    <x v="942"/>
    <x v="65"/>
    <s v="SHT0086"/>
    <n v="1"/>
    <s v="Shirt"/>
    <s v="Max"/>
    <s v="Formal"/>
    <s v="Polyester"/>
    <s v="L"/>
    <s v="Rust"/>
    <n v="780"/>
  </r>
  <r>
    <x v="943"/>
    <x v="65"/>
    <s v="PNT1308"/>
    <n v="1"/>
    <s v="Pants"/>
    <s v="Peter England"/>
    <s v="Boot Cut"/>
    <s v="Poly Viscose"/>
    <n v="28"/>
    <s v="Beige"/>
    <n v="780"/>
  </r>
  <r>
    <x v="943"/>
    <x v="65"/>
    <s v="TSH0386"/>
    <n v="1"/>
    <s v="T-Shirt"/>
    <s v="Zara"/>
    <s v="Half Sleeve"/>
    <s v="Cotton Blend"/>
    <s v="XL"/>
    <s v="Teal"/>
    <n v="280"/>
  </r>
  <r>
    <x v="943"/>
    <x v="65"/>
    <s v="PNT1155"/>
    <n v="1"/>
    <s v="Pants"/>
    <s v="Peter England"/>
    <s v="Polofit"/>
    <s v="Lycra"/>
    <n v="44"/>
    <s v="Sky Blue"/>
    <n v="750"/>
  </r>
  <r>
    <x v="943"/>
    <x v="65"/>
    <s v="INW1502"/>
    <n v="1"/>
    <s v="Innerwear"/>
    <s v="Jockey"/>
    <s v="V-Cut"/>
    <s v="Cotton Blend"/>
    <s v="105-110"/>
    <s v="Navy Blue"/>
    <n v="150"/>
  </r>
  <r>
    <x v="944"/>
    <x v="65"/>
    <s v="JNS0881"/>
    <n v="1"/>
    <s v="Jeans"/>
    <s v="Wrangler"/>
    <s v="Jogger"/>
    <s v="Denim"/>
    <n v="44"/>
    <s v="Maroon"/>
    <n v="920"/>
  </r>
  <r>
    <x v="944"/>
    <x v="65"/>
    <s v="SHT0052"/>
    <n v="1"/>
    <s v="Shirt"/>
    <s v="Zara"/>
    <s v="Formal"/>
    <s v="Polyester"/>
    <s v="L"/>
    <s v="White"/>
    <n v="930"/>
  </r>
  <r>
    <x v="944"/>
    <x v="65"/>
    <s v="TSH0430"/>
    <n v="1"/>
    <s v="T-Shirt"/>
    <s v="Roadster"/>
    <s v="Half Sleeve"/>
    <s v="Poly Cotton"/>
    <s v="S"/>
    <s v="Beige"/>
    <n v="600"/>
  </r>
  <r>
    <x v="945"/>
    <x v="65"/>
    <s v="JNS0957"/>
    <n v="1"/>
    <s v="Jeans"/>
    <s v="Spykar"/>
    <s v="Baggy"/>
    <s v="Denim"/>
    <n v="44"/>
    <s v="Cream"/>
    <n v="990"/>
  </r>
  <r>
    <x v="945"/>
    <x v="65"/>
    <s v="PNT1140"/>
    <n v="1"/>
    <s v="Pants"/>
    <s v="Peter England"/>
    <s v="Korean"/>
    <s v="Lycra"/>
    <n v="28"/>
    <s v="Brown"/>
    <n v="890"/>
  </r>
  <r>
    <x v="945"/>
    <x v="65"/>
    <s v="TSH0457"/>
    <n v="1"/>
    <s v="T-Shirt"/>
    <s v="Turkey"/>
    <s v="Full Sleeve"/>
    <s v="Cotton Blend"/>
    <s v="XXL"/>
    <s v="Cream"/>
    <n v="730"/>
  </r>
  <r>
    <x v="945"/>
    <x v="65"/>
    <s v="SHT0260"/>
    <n v="1"/>
    <s v="Shirt"/>
    <s v="USD"/>
    <s v="Partywear"/>
    <s v="Polyester"/>
    <s v="S"/>
    <s v="Maroon"/>
    <n v="640"/>
  </r>
  <r>
    <x v="946"/>
    <x v="65"/>
    <s v="TSH0449"/>
    <n v="1"/>
    <s v="T-Shirt"/>
    <s v="Campus"/>
    <s v="3/4 Sleeve"/>
    <s v="Cotton Blend"/>
    <s v="S"/>
    <s v="Teal"/>
    <n v="280"/>
  </r>
  <r>
    <x v="947"/>
    <x v="65"/>
    <s v="SHT0044"/>
    <n v="1"/>
    <s v="Shirt"/>
    <s v="L7"/>
    <s v="Casual"/>
    <s v="Cotton Blend"/>
    <s v="L"/>
    <s v="Grey"/>
    <n v="850"/>
  </r>
  <r>
    <x v="947"/>
    <x v="65"/>
    <s v="PNT1152"/>
    <n v="1"/>
    <s v="Pants"/>
    <s v="Peter England"/>
    <s v="Polofit"/>
    <s v="Lycra"/>
    <n v="36"/>
    <s v="Dark Green"/>
    <n v="800"/>
  </r>
  <r>
    <x v="947"/>
    <x v="65"/>
    <s v="JNS0866"/>
    <n v="1"/>
    <s v="Jeans"/>
    <s v="Wrangler"/>
    <s v="Jogger"/>
    <s v="Denim"/>
    <n v="42"/>
    <s v="Dark Green"/>
    <n v="920"/>
  </r>
  <r>
    <x v="948"/>
    <x v="65"/>
    <s v="JNS0880"/>
    <n v="1"/>
    <s v="Jeans"/>
    <s v="Levis"/>
    <s v="Baggy"/>
    <s v="Denim"/>
    <n v="36"/>
    <s v="Cream"/>
    <n v="870"/>
  </r>
  <r>
    <x v="948"/>
    <x v="65"/>
    <s v="TSH0481"/>
    <n v="1"/>
    <s v="T-Shirt"/>
    <s v="Thailand"/>
    <s v="Half Sleeve"/>
    <s v="Poly Cotton"/>
    <s v="S"/>
    <s v="Olive"/>
    <n v="620"/>
  </r>
  <r>
    <x v="948"/>
    <x v="65"/>
    <s v="INW1478"/>
    <n v="1"/>
    <s v="Innerwear"/>
    <s v="Jockey"/>
    <s v="Boxer"/>
    <s v="Cotton Blend"/>
    <s v="100-105"/>
    <s v="Maroon"/>
    <n v="170"/>
  </r>
  <r>
    <x v="948"/>
    <x v="65"/>
    <s v="SHT0282"/>
    <n v="1"/>
    <s v="Shirt"/>
    <s v="Max"/>
    <s v="Formal"/>
    <s v="Cotton Blend"/>
    <s v="XXL"/>
    <s v="Maroon"/>
    <n v="800"/>
  </r>
  <r>
    <x v="949"/>
    <x v="65"/>
    <s v="JNS0999"/>
    <n v="1"/>
    <s v="Jeans"/>
    <s v="Denim Pro"/>
    <s v="Mom Fit"/>
    <s v="Denim"/>
    <n v="40"/>
    <s v="Sky Blue"/>
    <n v="910"/>
  </r>
  <r>
    <x v="949"/>
    <x v="65"/>
    <s v="INW1371"/>
    <n v="1"/>
    <s v="Innerwear"/>
    <s v="V Star"/>
    <s v="V-Cut"/>
    <s v="Cotton"/>
    <s v="80-85"/>
    <s v="Mustard"/>
    <n v="100"/>
  </r>
  <r>
    <x v="950"/>
    <x v="65"/>
    <s v="SHT0050"/>
    <n v="1"/>
    <s v="Shirt"/>
    <s v="L7"/>
    <s v="Partywear"/>
    <s v="Lycra"/>
    <s v="L"/>
    <s v="Brown"/>
    <n v="670"/>
  </r>
  <r>
    <x v="950"/>
    <x v="65"/>
    <s v="SHT0336"/>
    <n v="1"/>
    <s v="Shirt"/>
    <s v="Zara"/>
    <s v="Casual"/>
    <s v="Polyester"/>
    <s v="M"/>
    <s v="Maroon"/>
    <n v="800"/>
  </r>
  <r>
    <x v="950"/>
    <x v="65"/>
    <s v="INW1499"/>
    <n v="1"/>
    <s v="Innerwear"/>
    <s v="V Star"/>
    <s v="V-Cut"/>
    <s v="Cotton Blend"/>
    <s v="75-80"/>
    <s v="Wine"/>
    <n v="180"/>
  </r>
  <r>
    <x v="950"/>
    <x v="65"/>
    <s v="JNS0922"/>
    <n v="1"/>
    <s v="Jeans"/>
    <s v="Pepe"/>
    <s v="Baggy"/>
    <s v="Denim"/>
    <n v="44"/>
    <s v="Sky Blue"/>
    <n v="1030"/>
  </r>
  <r>
    <x v="951"/>
    <x v="65"/>
    <s v="PNT1214"/>
    <n v="1"/>
    <s v="Pants"/>
    <s v="Louis Philippe"/>
    <s v="Kurka"/>
    <s v="Lycra"/>
    <n v="40"/>
    <s v="White"/>
    <n v="940"/>
  </r>
  <r>
    <x v="951"/>
    <x v="65"/>
    <s v="SHT0241"/>
    <n v="1"/>
    <s v="Shirt"/>
    <s v="Zara"/>
    <s v="Casual"/>
    <s v="Lycra"/>
    <s v="M"/>
    <s v="Dark Green"/>
    <n v="660"/>
  </r>
  <r>
    <x v="951"/>
    <x v="65"/>
    <s v="TSH0706"/>
    <n v="1"/>
    <s v="T-Shirt"/>
    <s v="Turkey"/>
    <s v="Hoodie"/>
    <s v="Cotton Blend"/>
    <s v="L"/>
    <s v="Teal"/>
    <n v="480"/>
  </r>
  <r>
    <x v="951"/>
    <x v="65"/>
    <s v="TSH0736"/>
    <n v="1"/>
    <s v="T-Shirt"/>
    <s v="Campus"/>
    <s v="Hoodie"/>
    <s v="Cotton Blend"/>
    <s v="XXL"/>
    <s v="White"/>
    <n v="650"/>
  </r>
  <r>
    <x v="952"/>
    <x v="65"/>
    <s v="SHT0339"/>
    <n v="1"/>
    <s v="Shirt"/>
    <s v="G Studio"/>
    <s v="Formal"/>
    <s v="Cotton"/>
    <s v="L"/>
    <s v="Cream"/>
    <n v="890"/>
  </r>
  <r>
    <x v="952"/>
    <x v="65"/>
    <s v="SHT0322"/>
    <n v="1"/>
    <s v="Shirt"/>
    <s v="Luke &amp; Burg"/>
    <s v="Partywear"/>
    <s v="Cotton Blend"/>
    <s v="S"/>
    <s v="Rust"/>
    <n v="920"/>
  </r>
  <r>
    <x v="952"/>
    <x v="65"/>
    <s v="SHT0073"/>
    <n v="1"/>
    <s v="Shirt"/>
    <s v="G Studio"/>
    <s v="Formal"/>
    <s v="Cotton"/>
    <s v="S"/>
    <s v="Charcoal"/>
    <n v="710"/>
  </r>
  <r>
    <x v="953"/>
    <x v="65"/>
    <s v="SHT0044"/>
    <n v="1"/>
    <s v="Shirt"/>
    <s v="L7"/>
    <s v="Casual"/>
    <s v="Cotton Blend"/>
    <s v="L"/>
    <s v="Grey"/>
    <n v="850"/>
  </r>
  <r>
    <x v="954"/>
    <x v="65"/>
    <s v="TSH0728"/>
    <n v="1"/>
    <s v="T-Shirt"/>
    <s v="Max"/>
    <s v="Hoodie"/>
    <s v="Cotton Blend"/>
    <s v="XXL"/>
    <s v="Beige"/>
    <n v="590"/>
  </r>
  <r>
    <x v="954"/>
    <x v="65"/>
    <s v="PNT1337"/>
    <n v="1"/>
    <s v="Pants"/>
    <s v="Van Heusen"/>
    <s v="Kurka"/>
    <s v="Lycra"/>
    <n v="42"/>
    <s v="White"/>
    <n v="850"/>
  </r>
  <r>
    <x v="955"/>
    <x v="65"/>
    <s v="INW1480"/>
    <n v="1"/>
    <s v="Innerwear"/>
    <s v="V Star"/>
    <s v="Boxer"/>
    <s v="Cotton"/>
    <s v="100-105"/>
    <s v="Light Grey"/>
    <n v="190"/>
  </r>
  <r>
    <x v="955"/>
    <x v="65"/>
    <s v="PNT1114"/>
    <n v="1"/>
    <s v="Pants"/>
    <s v="Louis Philippe"/>
    <s v="Polofit"/>
    <s v="Lycra"/>
    <n v="42"/>
    <s v="Wine"/>
    <n v="940"/>
  </r>
  <r>
    <x v="956"/>
    <x v="66"/>
    <s v="PNT1318"/>
    <n v="1"/>
    <s v="Pants"/>
    <s v="Louis Philippe"/>
    <s v="Polofit"/>
    <s v="Lycra"/>
    <n v="34"/>
    <s v="Olive"/>
    <n v="780"/>
  </r>
  <r>
    <x v="957"/>
    <x v="66"/>
    <s v="SHT0141"/>
    <n v="1"/>
    <s v="Shirt"/>
    <s v="British"/>
    <s v="Formal"/>
    <s v="Lycra"/>
    <s v="XXL"/>
    <s v="Rust"/>
    <n v="790"/>
  </r>
  <r>
    <x v="958"/>
    <x v="66"/>
    <s v="JNS0935"/>
    <n v="1"/>
    <s v="Jeans"/>
    <s v="Denim Pro"/>
    <s v="Jogger"/>
    <s v="Denim"/>
    <n v="38"/>
    <s v="Cream"/>
    <n v="830"/>
  </r>
  <r>
    <x v="958"/>
    <x v="66"/>
    <s v="SHT0117"/>
    <n v="1"/>
    <s v="Shirt"/>
    <s v="H&amp;M"/>
    <s v="Casual"/>
    <s v="Polyester"/>
    <s v="XL"/>
    <s v="Brown"/>
    <n v="910"/>
  </r>
  <r>
    <x v="958"/>
    <x v="66"/>
    <s v="JNS0956"/>
    <n v="1"/>
    <s v="Jeans"/>
    <s v="Pepe"/>
    <s v="Mom Fit"/>
    <s v="Denim"/>
    <n v="42"/>
    <s v="Royal Blue"/>
    <n v="820"/>
  </r>
  <r>
    <x v="958"/>
    <x v="66"/>
    <s v="SHT0207"/>
    <n v="1"/>
    <s v="Shirt"/>
    <s v="Luke &amp; Burg"/>
    <s v="Partywear"/>
    <s v="Polyester"/>
    <s v="L"/>
    <s v="Sky Blue"/>
    <n v="830"/>
  </r>
  <r>
    <x v="959"/>
    <x v="66"/>
    <s v="PNT1172"/>
    <n v="1"/>
    <s v="Pants"/>
    <s v="Park Avenue"/>
    <s v="Korean"/>
    <s v="Lycra"/>
    <n v="34"/>
    <s v="Navy Blue"/>
    <n v="940"/>
  </r>
  <r>
    <x v="959"/>
    <x v="66"/>
    <s v="TSH0445"/>
    <n v="1"/>
    <s v="T-Shirt"/>
    <s v="Roadster"/>
    <s v="Hoodie"/>
    <s v="Cotton"/>
    <s v="XXL"/>
    <s v="Peach"/>
    <n v="450"/>
  </r>
  <r>
    <x v="959"/>
    <x v="66"/>
    <s v="INW1556"/>
    <n v="1"/>
    <s v="Innerwear"/>
    <s v="Rupa"/>
    <s v="V-Cut"/>
    <s v="Cotton Blend"/>
    <s v="105-110"/>
    <s v="Olive"/>
    <n v="130"/>
  </r>
  <r>
    <x v="959"/>
    <x v="66"/>
    <s v="TSH0715"/>
    <n v="1"/>
    <s v="T-Shirt"/>
    <s v="Turkey"/>
    <s v="Full Sleeve"/>
    <s v="Cotton Blend"/>
    <s v="XXL"/>
    <s v="Maroon"/>
    <n v="550"/>
  </r>
  <r>
    <x v="960"/>
    <x v="66"/>
    <s v="JNS0952"/>
    <n v="1"/>
    <s v="Jeans"/>
    <s v="Wrangler"/>
    <s v="Jogger"/>
    <s v="Denim"/>
    <n v="40"/>
    <s v="Rust"/>
    <n v="990"/>
  </r>
  <r>
    <x v="960"/>
    <x v="66"/>
    <s v="TSH0668"/>
    <n v="1"/>
    <s v="T-Shirt"/>
    <s v="Campus"/>
    <s v="3/4 Sleeve"/>
    <s v="Cotton"/>
    <s v="XXL"/>
    <s v="Teal"/>
    <n v="600"/>
  </r>
  <r>
    <x v="961"/>
    <x v="66"/>
    <s v="INW1637"/>
    <n v="1"/>
    <s v="Innerwear"/>
    <s v="Lux"/>
    <s v="Boxer"/>
    <s v="Cotton"/>
    <s v="100-105"/>
    <s v="Brown"/>
    <n v="170"/>
  </r>
  <r>
    <x v="961"/>
    <x v="66"/>
    <s v="INW1422"/>
    <n v="1"/>
    <s v="Innerwear"/>
    <s v="Rupa"/>
    <s v="V-Cut"/>
    <s v="Cotton"/>
    <s v="75-80"/>
    <s v="Black"/>
    <n v="180"/>
  </r>
  <r>
    <x v="961"/>
    <x v="66"/>
    <s v="PNT1201"/>
    <n v="1"/>
    <s v="Pants"/>
    <s v="Raymond"/>
    <s v="Korean"/>
    <s v="Lycra"/>
    <n v="28"/>
    <s v="Navy Blue"/>
    <n v="780"/>
  </r>
  <r>
    <x v="962"/>
    <x v="66"/>
    <s v="INW1588"/>
    <n v="1"/>
    <s v="Innerwear"/>
    <s v="Dollar"/>
    <s v="V-Cut"/>
    <s v="Cotton Blend"/>
    <s v="80-85"/>
    <s v="Beige"/>
    <n v="190"/>
  </r>
  <r>
    <x v="962"/>
    <x v="66"/>
    <s v="PNT1186"/>
    <n v="1"/>
    <s v="Pants"/>
    <s v="Raymond"/>
    <s v="Jogger"/>
    <s v="Cotton"/>
    <n v="36"/>
    <s v="Olive"/>
    <n v="900"/>
  </r>
  <r>
    <x v="962"/>
    <x v="66"/>
    <s v="PNT1152"/>
    <n v="1"/>
    <s v="Pants"/>
    <s v="Peter England"/>
    <s v="Polofit"/>
    <s v="Lycra"/>
    <n v="36"/>
    <s v="Dark Green"/>
    <n v="800"/>
  </r>
  <r>
    <x v="962"/>
    <x v="66"/>
    <s v="INW1601"/>
    <n v="1"/>
    <s v="Innerwear"/>
    <s v="Rupa"/>
    <s v="V-Cut"/>
    <s v="Cotton Blend"/>
    <s v="90-100"/>
    <s v="Maroon"/>
    <n v="140"/>
  </r>
  <r>
    <x v="963"/>
    <x v="66"/>
    <s v="TSH0369"/>
    <n v="1"/>
    <s v="T-Shirt"/>
    <s v="Zara"/>
    <s v="Hoodie"/>
    <s v="Poly Cotton"/>
    <s v="L"/>
    <s v="Dark Green"/>
    <n v="220"/>
  </r>
  <r>
    <x v="963"/>
    <x v="66"/>
    <s v="PNT1271"/>
    <n v="1"/>
    <s v="Pants"/>
    <s v="Peter England"/>
    <s v="Kurka"/>
    <s v="Lycra"/>
    <n v="40"/>
    <s v="White"/>
    <n v="710"/>
  </r>
  <r>
    <x v="963"/>
    <x v="66"/>
    <s v="SHT0059"/>
    <n v="1"/>
    <s v="Shirt"/>
    <s v="USD"/>
    <s v="Partywear"/>
    <s v="Cotton"/>
    <s v="XL"/>
    <s v="White"/>
    <n v="720"/>
  </r>
  <r>
    <x v="963"/>
    <x v="66"/>
    <s v="TSH0402"/>
    <n v="1"/>
    <s v="T-Shirt"/>
    <s v="Zara"/>
    <s v="Sleeveless"/>
    <s v="Poly Cotton"/>
    <s v="XL"/>
    <s v="Light Grey"/>
    <n v="480"/>
  </r>
  <r>
    <x v="964"/>
    <x v="66"/>
    <s v="PNT1161"/>
    <n v="1"/>
    <s v="Pants"/>
    <s v="Raymond"/>
    <s v="Jogger"/>
    <s v="Cotton"/>
    <n v="28"/>
    <s v="Charcoal"/>
    <n v="810"/>
  </r>
  <r>
    <x v="965"/>
    <x v="66"/>
    <s v="SHT0094"/>
    <n v="1"/>
    <s v="Shirt"/>
    <s v="L7"/>
    <s v="Formal"/>
    <s v="Cotton Blend"/>
    <s v="S"/>
    <s v="Light Grey"/>
    <n v="690"/>
  </r>
  <r>
    <x v="965"/>
    <x v="66"/>
    <s v="JNS0796"/>
    <n v="1"/>
    <s v="Jeans"/>
    <s v="Pepe"/>
    <s v="Baggy"/>
    <s v="Denim"/>
    <n v="38"/>
    <s v="Bottle Green"/>
    <n v="820"/>
  </r>
  <r>
    <x v="966"/>
    <x v="66"/>
    <s v="TSH0354"/>
    <n v="1"/>
    <s v="T-Shirt"/>
    <s v="Turkey"/>
    <s v="Hoodie"/>
    <s v="Poly Cotton"/>
    <s v="XXL"/>
    <s v="Grey"/>
    <n v="260"/>
  </r>
  <r>
    <x v="966"/>
    <x v="66"/>
    <s v="JNS0845"/>
    <n v="1"/>
    <s v="Jeans"/>
    <s v="Levis"/>
    <s v="Jogger"/>
    <s v="Denim"/>
    <n v="32"/>
    <s v="Maroon"/>
    <n v="800"/>
  </r>
  <r>
    <x v="966"/>
    <x v="66"/>
    <s v="JNS0915"/>
    <n v="1"/>
    <s v="Jeans"/>
    <s v="Pepe"/>
    <s v="Baggy"/>
    <s v="Denim"/>
    <n v="44"/>
    <s v="Olive"/>
    <n v="870"/>
  </r>
  <r>
    <x v="967"/>
    <x v="67"/>
    <s v="SHT0175"/>
    <n v="1"/>
    <s v="Shirt"/>
    <s v="G Studio"/>
    <s v="Formal"/>
    <s v="Lycra"/>
    <s v="XXL"/>
    <s v="Grey"/>
    <n v="670"/>
  </r>
  <r>
    <x v="968"/>
    <x v="67"/>
    <s v="INW1488"/>
    <n v="1"/>
    <s v="Innerwear"/>
    <s v="Rupa"/>
    <s v="Boxer"/>
    <s v="Cotton Blend"/>
    <s v="80-85"/>
    <s v="Royal Blue"/>
    <n v="200"/>
  </r>
  <r>
    <x v="968"/>
    <x v="67"/>
    <s v="JNS0772"/>
    <n v="1"/>
    <s v="Jeans"/>
    <s v="Pepe"/>
    <s v="Baggy"/>
    <s v="Denim"/>
    <n v="42"/>
    <s v="Maroon"/>
    <n v="1090"/>
  </r>
  <r>
    <x v="969"/>
    <x v="67"/>
    <s v="JNS1067"/>
    <n v="1"/>
    <s v="Jeans"/>
    <s v="Pepe"/>
    <s v="Jogger"/>
    <s v="Denim"/>
    <n v="36"/>
    <s v="Peach"/>
    <n v="820"/>
  </r>
  <r>
    <x v="970"/>
    <x v="67"/>
    <s v="INW1506"/>
    <n v="1"/>
    <s v="Innerwear"/>
    <s v="Lux"/>
    <s v="V-Cut"/>
    <s v="Cotton"/>
    <s v="105-110"/>
    <s v="Bottle Green"/>
    <n v="170"/>
  </r>
  <r>
    <x v="971"/>
    <x v="67"/>
    <s v="PNT1222"/>
    <n v="1"/>
    <s v="Pants"/>
    <s v="Park Avenue"/>
    <s v="Kurka"/>
    <s v="Lycra"/>
    <n v="36"/>
    <s v="Cream"/>
    <n v="860"/>
  </r>
  <r>
    <x v="971"/>
    <x v="67"/>
    <s v="TSH0714"/>
    <n v="1"/>
    <s v="T-Shirt"/>
    <s v="Campus"/>
    <s v="3/4 Sleeve"/>
    <s v="Cotton"/>
    <s v="M"/>
    <s v="Cream"/>
    <n v="720"/>
  </r>
  <r>
    <x v="972"/>
    <x v="67"/>
    <s v="TSH0496"/>
    <n v="1"/>
    <s v="T-Shirt"/>
    <s v="Urban Monkey"/>
    <s v="Half Sleeve"/>
    <s v="Cotton"/>
    <s v="M"/>
    <s v="Brown"/>
    <n v="400"/>
  </r>
  <r>
    <x v="972"/>
    <x v="67"/>
    <s v="TSH0591"/>
    <n v="1"/>
    <s v="T-Shirt"/>
    <s v="Campus"/>
    <s v="Full Sleeve"/>
    <s v="Cotton Blend"/>
    <s v="S"/>
    <s v="Black"/>
    <n v="450"/>
  </r>
  <r>
    <x v="972"/>
    <x v="67"/>
    <s v="SHT0258"/>
    <n v="1"/>
    <s v="Shirt"/>
    <s v="Max"/>
    <s v="Casual"/>
    <s v="Polyester"/>
    <s v="S"/>
    <s v="Teal"/>
    <n v="880"/>
  </r>
  <r>
    <x v="972"/>
    <x v="67"/>
    <s v="PNT1091"/>
    <n v="1"/>
    <s v="Pants"/>
    <s v="Van Heusen"/>
    <s v="Korean"/>
    <s v="Lycra"/>
    <n v="38"/>
    <s v="Sky Blue"/>
    <n v="810"/>
  </r>
  <r>
    <x v="973"/>
    <x v="67"/>
    <s v="JNS0894"/>
    <n v="1"/>
    <s v="Jeans"/>
    <s v="Denim Pro"/>
    <s v="Jogger"/>
    <s v="Denim"/>
    <n v="28"/>
    <s v="Olive"/>
    <n v="990"/>
  </r>
  <r>
    <x v="973"/>
    <x v="67"/>
    <s v="INW1472"/>
    <n v="1"/>
    <s v="Innerwear"/>
    <s v="Dollar"/>
    <s v="Boxer"/>
    <s v="Cotton"/>
    <s v="75-80"/>
    <s v="Sky Blue"/>
    <n v="110"/>
  </r>
  <r>
    <x v="974"/>
    <x v="67"/>
    <s v="INW1571"/>
    <n v="1"/>
    <s v="Innerwear"/>
    <s v="Dollar"/>
    <s v="Boxer"/>
    <s v="Cotton Blend"/>
    <s v="85-90"/>
    <s v="Navy Blue"/>
    <n v="120"/>
  </r>
  <r>
    <x v="974"/>
    <x v="67"/>
    <s v="TSH0564"/>
    <n v="1"/>
    <s v="T-Shirt"/>
    <s v="Roadster"/>
    <s v="Full Sleeve"/>
    <s v="Cotton"/>
    <s v="L"/>
    <s v="Wine"/>
    <n v="250"/>
  </r>
  <r>
    <x v="974"/>
    <x v="67"/>
    <s v="TSH0662"/>
    <n v="1"/>
    <s v="T-Shirt"/>
    <s v="Roadster"/>
    <s v="3/4 Sleeve"/>
    <s v="Cotton"/>
    <s v="L"/>
    <s v="Wine"/>
    <n v="620"/>
  </r>
  <r>
    <x v="974"/>
    <x v="67"/>
    <s v="PNT1296"/>
    <n v="1"/>
    <s v="Pants"/>
    <s v="Park Avenue"/>
    <s v="Korean"/>
    <s v="Lycra"/>
    <n v="32"/>
    <s v="Black"/>
    <n v="860"/>
  </r>
  <r>
    <x v="975"/>
    <x v="67"/>
    <s v="JNS0843"/>
    <n v="1"/>
    <s v="Jeans"/>
    <s v="Levis"/>
    <s v="Baggy"/>
    <s v="Denim"/>
    <n v="32"/>
    <s v="Maroon"/>
    <n v="850"/>
  </r>
  <r>
    <x v="976"/>
    <x v="67"/>
    <s v="INW1515"/>
    <n v="1"/>
    <s v="Innerwear"/>
    <s v="V Star"/>
    <s v="V-Cut"/>
    <s v="Cotton Blend"/>
    <s v="75-80"/>
    <s v="Peach"/>
    <n v="110"/>
  </r>
  <r>
    <x v="976"/>
    <x v="67"/>
    <s v="INW1453"/>
    <n v="1"/>
    <s v="Innerwear"/>
    <s v="Dollar"/>
    <s v="Boxer"/>
    <s v="Cotton Blend"/>
    <s v="80-85"/>
    <s v="Beige"/>
    <n v="120"/>
  </r>
  <r>
    <x v="976"/>
    <x v="67"/>
    <s v="SHT0291"/>
    <n v="1"/>
    <s v="Shirt"/>
    <s v="Luke &amp; Burg"/>
    <s v="Casual"/>
    <s v="Cotton"/>
    <s v="XL"/>
    <s v="White"/>
    <n v="900"/>
  </r>
  <r>
    <x v="977"/>
    <x v="67"/>
    <s v="JNS0786"/>
    <n v="1"/>
    <s v="Jeans"/>
    <s v="Levis"/>
    <s v="Jogger"/>
    <s v="Denim"/>
    <n v="42"/>
    <s v="Peach"/>
    <n v="870"/>
  </r>
  <r>
    <x v="977"/>
    <x v="67"/>
    <s v="TSH0709"/>
    <n v="1"/>
    <s v="T-Shirt"/>
    <s v="Turkey"/>
    <s v="3/4 Sleeve"/>
    <s v="Poly Cotton"/>
    <s v="S"/>
    <s v="Charcoal"/>
    <n v="340"/>
  </r>
  <r>
    <x v="977"/>
    <x v="67"/>
    <s v="JNS0802"/>
    <n v="1"/>
    <s v="Jeans"/>
    <s v="Denim Pro"/>
    <s v="Jogger"/>
    <s v="Denim"/>
    <n v="44"/>
    <s v="Wine"/>
    <n v="830"/>
  </r>
  <r>
    <x v="978"/>
    <x v="67"/>
    <s v="PNT1101"/>
    <n v="1"/>
    <s v="Pants"/>
    <s v="Raymond"/>
    <s v="Korean"/>
    <s v="Lycra"/>
    <n v="30"/>
    <s v="Brown"/>
    <n v="870"/>
  </r>
  <r>
    <x v="978"/>
    <x v="67"/>
    <s v="INW1375"/>
    <n v="1"/>
    <s v="Innerwear"/>
    <s v="Rupa"/>
    <s v="V-Cut"/>
    <s v="Cotton"/>
    <s v="90-100"/>
    <s v="Brown"/>
    <n v="100"/>
  </r>
  <r>
    <x v="979"/>
    <x v="67"/>
    <s v="INW1546"/>
    <n v="1"/>
    <s v="Innerwear"/>
    <s v="V Star"/>
    <s v="V-Cut"/>
    <s v="Cotton Blend"/>
    <s v="100-105"/>
    <s v="Wine"/>
    <n v="140"/>
  </r>
  <r>
    <x v="979"/>
    <x v="67"/>
    <s v="INW1401"/>
    <n v="1"/>
    <s v="Innerwear"/>
    <s v="Jockey"/>
    <s v="Boxer"/>
    <s v="Cotton"/>
    <s v="90-100"/>
    <s v="Grey"/>
    <n v="100"/>
  </r>
  <r>
    <x v="979"/>
    <x v="67"/>
    <s v="INW1553"/>
    <n v="1"/>
    <s v="Innerwear"/>
    <s v="Dollar"/>
    <s v="V-Cut"/>
    <s v="Cotton Blend"/>
    <s v="80-85"/>
    <s v="Mustard"/>
    <n v="160"/>
  </r>
  <r>
    <x v="980"/>
    <x v="67"/>
    <s v="JNS0976"/>
    <n v="1"/>
    <s v="Jeans"/>
    <s v="Wrangler"/>
    <s v="Baggy"/>
    <s v="Denim"/>
    <n v="38"/>
    <s v="Wine"/>
    <n v="770"/>
  </r>
  <r>
    <x v="980"/>
    <x v="67"/>
    <s v="SHT0316"/>
    <n v="1"/>
    <s v="Shirt"/>
    <s v="Zara"/>
    <s v="Formal"/>
    <s v="Polyester"/>
    <s v="M"/>
    <s v="White"/>
    <n v="820"/>
  </r>
  <r>
    <x v="980"/>
    <x v="67"/>
    <s v="INW1436"/>
    <n v="1"/>
    <s v="Innerwear"/>
    <s v="Lux"/>
    <s v="Boxer"/>
    <s v="Cotton"/>
    <s v="80-85"/>
    <s v="Grey"/>
    <n v="190"/>
  </r>
  <r>
    <x v="981"/>
    <x v="68"/>
    <s v="INW1389"/>
    <n v="1"/>
    <s v="Innerwear"/>
    <s v="Jockey"/>
    <s v="V-Cut"/>
    <s v="Cotton"/>
    <s v="85-90"/>
    <s v="Sky Blue"/>
    <n v="130"/>
  </r>
  <r>
    <x v="981"/>
    <x v="68"/>
    <s v="INW1420"/>
    <n v="1"/>
    <s v="Innerwear"/>
    <s v="Rupa"/>
    <s v="V-Cut"/>
    <s v="Cotton Blend"/>
    <s v="90-100"/>
    <s v="Cream"/>
    <n v="190"/>
  </r>
  <r>
    <x v="982"/>
    <x v="68"/>
    <s v="INW1431"/>
    <n v="1"/>
    <s v="Innerwear"/>
    <s v="V Star"/>
    <s v="Boxer"/>
    <s v="Cotton Blend"/>
    <s v="105-110"/>
    <s v="Bottle Green"/>
    <n v="190"/>
  </r>
  <r>
    <x v="982"/>
    <x v="68"/>
    <s v="PNT1225"/>
    <n v="1"/>
    <s v="Pants"/>
    <s v="Louis Philippe"/>
    <s v="Polofit"/>
    <s v="Lycra"/>
    <n v="28"/>
    <s v="Sky Blue"/>
    <n v="900"/>
  </r>
  <r>
    <x v="982"/>
    <x v="68"/>
    <s v="PNT1271"/>
    <n v="1"/>
    <s v="Pants"/>
    <s v="Peter England"/>
    <s v="Kurka"/>
    <s v="Lycra"/>
    <n v="40"/>
    <s v="White"/>
    <n v="710"/>
  </r>
  <r>
    <x v="982"/>
    <x v="68"/>
    <s v="TSH0458"/>
    <n v="1"/>
    <s v="T-Shirt"/>
    <s v="Zara"/>
    <s v="Full Sleeve"/>
    <s v="Cotton"/>
    <s v="XXL"/>
    <s v="Rust"/>
    <n v="270"/>
  </r>
  <r>
    <x v="983"/>
    <x v="68"/>
    <s v="INW1598"/>
    <n v="1"/>
    <s v="Innerwear"/>
    <s v="Lux"/>
    <s v="Boxer"/>
    <s v="Cotton Blend"/>
    <s v="105-110"/>
    <s v="Wine"/>
    <n v="120"/>
  </r>
  <r>
    <x v="983"/>
    <x v="68"/>
    <s v="INW1552"/>
    <n v="1"/>
    <s v="Innerwear"/>
    <s v="Dollar"/>
    <s v="V-Cut"/>
    <s v="Cotton Blend"/>
    <s v="75-80"/>
    <s v="Dark Green"/>
    <n v="140"/>
  </r>
  <r>
    <x v="984"/>
    <x v="68"/>
    <s v="TSH0365"/>
    <n v="1"/>
    <s v="T-Shirt"/>
    <s v="Roadster"/>
    <s v="Half Sleeve"/>
    <s v="Poly Cotton"/>
    <s v="S"/>
    <s v="Navy Blue"/>
    <n v="340"/>
  </r>
  <r>
    <x v="984"/>
    <x v="68"/>
    <s v="TSH0720"/>
    <n v="1"/>
    <s v="T-Shirt"/>
    <s v="Roadster"/>
    <s v="Half Sleeve"/>
    <s v="Cotton"/>
    <s v="XL"/>
    <s v="Maroon"/>
    <n v="590"/>
  </r>
  <r>
    <x v="985"/>
    <x v="68"/>
    <s v="SHT0081"/>
    <n v="1"/>
    <s v="Shirt"/>
    <s v="British"/>
    <s v="Casual"/>
    <s v="Cotton"/>
    <s v="M"/>
    <s v="Maroon"/>
    <n v="730"/>
  </r>
  <r>
    <x v="985"/>
    <x v="68"/>
    <s v="PNT1172"/>
    <n v="1"/>
    <s v="Pants"/>
    <s v="Park Avenue"/>
    <s v="Korean"/>
    <s v="Lycra"/>
    <n v="34"/>
    <s v="Navy Blue"/>
    <n v="940"/>
  </r>
  <r>
    <x v="986"/>
    <x v="68"/>
    <s v="JNS0901"/>
    <n v="1"/>
    <s v="Jeans"/>
    <s v="Spykar"/>
    <s v="Jogger"/>
    <s v="Denim"/>
    <n v="30"/>
    <s v="Light Grey"/>
    <n v="1020"/>
  </r>
  <r>
    <x v="987"/>
    <x v="68"/>
    <s v="SHT0208"/>
    <n v="1"/>
    <s v="Shirt"/>
    <s v="British"/>
    <s v="Formal"/>
    <s v="Polyester"/>
    <s v="L"/>
    <s v="Navy Blue"/>
    <n v="640"/>
  </r>
  <r>
    <x v="987"/>
    <x v="68"/>
    <s v="INW1560"/>
    <n v="1"/>
    <s v="Innerwear"/>
    <s v="Lux"/>
    <s v="V-Cut"/>
    <s v="Cotton"/>
    <s v="105-110"/>
    <s v="White"/>
    <n v="170"/>
  </r>
  <r>
    <x v="987"/>
    <x v="68"/>
    <s v="SHT0250"/>
    <n v="1"/>
    <s v="Shirt"/>
    <s v="USD"/>
    <s v="Formal"/>
    <s v="Cotton"/>
    <s v="XL"/>
    <s v="White"/>
    <n v="860"/>
  </r>
  <r>
    <x v="987"/>
    <x v="68"/>
    <s v="TSH0460"/>
    <n v="1"/>
    <s v="T-Shirt"/>
    <s v="Roadster"/>
    <s v="Hoodie"/>
    <s v="Poly Cotton"/>
    <s v="XXL"/>
    <s v="Brown"/>
    <n v="610"/>
  </r>
  <r>
    <x v="988"/>
    <x v="68"/>
    <s v="JNS0881"/>
    <n v="1"/>
    <s v="Jeans"/>
    <s v="Wrangler"/>
    <s v="Jogger"/>
    <s v="Denim"/>
    <n v="44"/>
    <s v="Maroon"/>
    <n v="920"/>
  </r>
  <r>
    <x v="988"/>
    <x v="68"/>
    <s v="INW1626"/>
    <n v="1"/>
    <s v="Innerwear"/>
    <s v="V Star"/>
    <s v="V-Cut"/>
    <s v="Cotton Blend"/>
    <s v="80-85"/>
    <s v="Cream"/>
    <n v="140"/>
  </r>
  <r>
    <x v="988"/>
    <x v="68"/>
    <s v="PNT1288"/>
    <n v="1"/>
    <s v="Pants"/>
    <s v="Raymond"/>
    <s v="Korean"/>
    <s v="Lycra"/>
    <n v="40"/>
    <s v="Mustard"/>
    <n v="840"/>
  </r>
  <r>
    <x v="988"/>
    <x v="68"/>
    <s v="TSH0645"/>
    <n v="1"/>
    <s v="T-Shirt"/>
    <s v="Roadster"/>
    <s v="3/4 Sleeve"/>
    <s v="Poly Cotton"/>
    <s v="XXL"/>
    <s v="Grey"/>
    <n v="710"/>
  </r>
  <r>
    <x v="989"/>
    <x v="68"/>
    <s v="INW1619"/>
    <n v="1"/>
    <s v="Innerwear"/>
    <s v="Rupa"/>
    <s v="V-Cut"/>
    <s v="Cotton"/>
    <s v="75-80"/>
    <s v="Beige"/>
    <n v="140"/>
  </r>
  <r>
    <x v="989"/>
    <x v="68"/>
    <s v="INW1545"/>
    <n v="1"/>
    <s v="Innerwear"/>
    <s v="Jockey"/>
    <s v="Boxer"/>
    <s v="Cotton"/>
    <s v="80-85"/>
    <s v="Black"/>
    <n v="170"/>
  </r>
  <r>
    <x v="990"/>
    <x v="68"/>
    <s v="PNT1146"/>
    <n v="1"/>
    <s v="Pants"/>
    <s v="Park Avenue"/>
    <s v="Jogger"/>
    <s v="Poly Viscose"/>
    <n v="28"/>
    <s v="Wine"/>
    <n v="800"/>
  </r>
  <r>
    <x v="990"/>
    <x v="68"/>
    <s v="JNS0826"/>
    <n v="1"/>
    <s v="Jeans"/>
    <s v="Denim Pro"/>
    <s v="Mom Fit"/>
    <s v="Denim"/>
    <n v="30"/>
    <s v="Light Grey"/>
    <n v="970"/>
  </r>
  <r>
    <x v="991"/>
    <x v="68"/>
    <s v="SHT0167"/>
    <n v="1"/>
    <s v="Shirt"/>
    <s v="G Studio"/>
    <s v="Partywear"/>
    <s v="Cotton"/>
    <s v="XL"/>
    <s v="Brown"/>
    <n v="850"/>
  </r>
  <r>
    <x v="991"/>
    <x v="68"/>
    <s v="SHT0295"/>
    <n v="1"/>
    <s v="Shirt"/>
    <s v="Zara"/>
    <s v="Formal"/>
    <s v="Cotton"/>
    <s v="M"/>
    <s v="Mustard"/>
    <n v="810"/>
  </r>
  <r>
    <x v="991"/>
    <x v="68"/>
    <s v="JNS0919"/>
    <n v="1"/>
    <s v="Jeans"/>
    <s v="Spykar"/>
    <s v="Mom Fit"/>
    <s v="Denim"/>
    <n v="44"/>
    <s v="Black"/>
    <n v="1050"/>
  </r>
  <r>
    <x v="992"/>
    <x v="69"/>
    <s v="JNS0893"/>
    <n v="1"/>
    <s v="Jeans"/>
    <s v="Pepe"/>
    <s v="Jogger"/>
    <s v="Denim"/>
    <n v="34"/>
    <s v="Dark Green"/>
    <n v="930"/>
  </r>
  <r>
    <x v="992"/>
    <x v="69"/>
    <s v="INW1382"/>
    <n v="1"/>
    <s v="Innerwear"/>
    <s v="Jockey"/>
    <s v="V-Cut"/>
    <s v="Cotton"/>
    <s v="85-90"/>
    <s v="Cream"/>
    <n v="180"/>
  </r>
  <r>
    <x v="992"/>
    <x v="69"/>
    <s v="TSH0644"/>
    <n v="1"/>
    <s v="T-Shirt"/>
    <s v="Urban Monkey"/>
    <s v="Full Sleeve"/>
    <s v="Cotton"/>
    <s v="XL"/>
    <s v="Royal Blue"/>
    <n v="530"/>
  </r>
  <r>
    <x v="993"/>
    <x v="69"/>
    <s v="PNT1347"/>
    <n v="1"/>
    <s v="Pants"/>
    <s v="Peter England"/>
    <s v="Kurka"/>
    <s v="Lycra"/>
    <n v="44"/>
    <s v="Rust"/>
    <n v="750"/>
  </r>
  <r>
    <x v="993"/>
    <x v="69"/>
    <s v="PNT1176"/>
    <n v="1"/>
    <s v="Pants"/>
    <s v="Raymond"/>
    <s v="Korean"/>
    <s v="Lycra"/>
    <n v="30"/>
    <s v="Black"/>
    <n v="750"/>
  </r>
  <r>
    <x v="993"/>
    <x v="69"/>
    <s v="SHT0249"/>
    <n v="1"/>
    <s v="Shirt"/>
    <s v="British"/>
    <s v="Partywear"/>
    <s v="Cotton Blend"/>
    <s v="M"/>
    <s v="Cream"/>
    <n v="640"/>
  </r>
  <r>
    <x v="994"/>
    <x v="69"/>
    <s v="JNS1027"/>
    <n v="1"/>
    <s v="Jeans"/>
    <s v="Spykar"/>
    <s v="Jogger"/>
    <s v="Denim"/>
    <n v="34"/>
    <s v="Rust"/>
    <n v="800"/>
  </r>
  <r>
    <x v="995"/>
    <x v="69"/>
    <s v="SHT0122"/>
    <n v="1"/>
    <s v="Shirt"/>
    <s v="G Studio"/>
    <s v="Casual"/>
    <s v="Cotton"/>
    <s v="XXL"/>
    <s v="Charcoal"/>
    <n v="720"/>
  </r>
  <r>
    <x v="995"/>
    <x v="69"/>
    <s v="SHT0112"/>
    <n v="1"/>
    <s v="Shirt"/>
    <s v="Zara"/>
    <s v="Formal"/>
    <s v="Cotton Blend"/>
    <s v="M"/>
    <s v="Peach"/>
    <n v="730"/>
  </r>
  <r>
    <x v="995"/>
    <x v="69"/>
    <s v="JNS1007"/>
    <n v="1"/>
    <s v="Jeans"/>
    <s v="Pepe"/>
    <s v="Baggy"/>
    <s v="Denim"/>
    <n v="42"/>
    <s v="Royal Blue"/>
    <n v="1000"/>
  </r>
  <r>
    <x v="995"/>
    <x v="69"/>
    <s v="JNS0989"/>
    <n v="1"/>
    <s v="Jeans"/>
    <s v="Wrangler"/>
    <s v="Mom Fit"/>
    <s v="Denim"/>
    <n v="30"/>
    <s v="Peach"/>
    <n v="1060"/>
  </r>
  <r>
    <x v="996"/>
    <x v="69"/>
    <s v="TSH0721"/>
    <n v="1"/>
    <s v="T-Shirt"/>
    <s v="Campus"/>
    <s v="Sleeveless"/>
    <s v="Poly Cotton"/>
    <s v="XL"/>
    <s v="Teal"/>
    <n v="700"/>
  </r>
  <r>
    <x v="997"/>
    <x v="69"/>
    <s v="INW1632"/>
    <n v="1"/>
    <s v="Innerwear"/>
    <s v="V Star"/>
    <s v="V-Cut"/>
    <s v="Cotton Blend"/>
    <s v="90-100"/>
    <s v="Brown"/>
    <n v="130"/>
  </r>
  <r>
    <x v="998"/>
    <x v="69"/>
    <s v="SHT0244"/>
    <n v="1"/>
    <s v="Shirt"/>
    <s v="H&amp;M"/>
    <s v="Partywear"/>
    <s v="Lycra"/>
    <s v="M"/>
    <s v="Brown"/>
    <n v="860"/>
  </r>
  <r>
    <x v="998"/>
    <x v="69"/>
    <s v="TSH0452"/>
    <n v="1"/>
    <s v="T-Shirt"/>
    <s v="Turkey"/>
    <s v="Hoodie"/>
    <s v="Poly Cotton"/>
    <s v="XL"/>
    <s v="Black"/>
    <n v="630"/>
  </r>
  <r>
    <x v="999"/>
    <x v="69"/>
    <s v="JNS0832"/>
    <n v="1"/>
    <s v="Jeans"/>
    <s v="Pepe"/>
    <s v="Jogger"/>
    <s v="Denim"/>
    <n v="36"/>
    <s v="Royal Blue"/>
    <n v="910"/>
  </r>
  <r>
    <x v="999"/>
    <x v="69"/>
    <s v="JNS0878"/>
    <n v="1"/>
    <s v="Jeans"/>
    <s v="Pepe"/>
    <s v="Baggy"/>
    <s v="Denim"/>
    <n v="28"/>
    <s v="Charcoal"/>
    <n v="960"/>
  </r>
  <r>
    <x v="1000"/>
    <x v="69"/>
    <s v="PNT1212"/>
    <n v="1"/>
    <s v="Pants"/>
    <s v="Louis Philippe"/>
    <s v="Boot Cut"/>
    <s v="Cotton"/>
    <n v="42"/>
    <s v="Light Grey"/>
    <n v="880"/>
  </r>
  <r>
    <x v="1001"/>
    <x v="69"/>
    <s v="PNT1147"/>
    <n v="1"/>
    <s v="Pants"/>
    <s v="Louis Philippe"/>
    <s v="Kurka"/>
    <s v="Lycra"/>
    <n v="32"/>
    <s v="Brown"/>
    <n v="830"/>
  </r>
  <r>
    <x v="1002"/>
    <x v="69"/>
    <s v="JNS0953"/>
    <n v="1"/>
    <s v="Jeans"/>
    <s v="Spykar"/>
    <s v="Jogger"/>
    <s v="Denim"/>
    <n v="42"/>
    <s v="Maroon"/>
    <n v="960"/>
  </r>
  <r>
    <x v="1003"/>
    <x v="69"/>
    <s v="TSH0374"/>
    <n v="1"/>
    <s v="T-Shirt"/>
    <s v="Max"/>
    <s v="Sleeveless"/>
    <s v="Poly Cotton"/>
    <s v="XL"/>
    <s v="White"/>
    <n v="500"/>
  </r>
  <r>
    <x v="1003"/>
    <x v="69"/>
    <s v="TSH0448"/>
    <n v="1"/>
    <s v="T-Shirt"/>
    <s v="Campus"/>
    <s v="Full Sleeve"/>
    <s v="Poly Cotton"/>
    <s v="L"/>
    <s v="Olive"/>
    <n v="350"/>
  </r>
  <r>
    <x v="1004"/>
    <x v="69"/>
    <s v="INW1576"/>
    <n v="1"/>
    <s v="Innerwear"/>
    <s v="V Star"/>
    <s v="Boxer"/>
    <s v="Cotton Blend"/>
    <s v="100-105"/>
    <s v="Dark Green"/>
    <n v="170"/>
  </r>
  <r>
    <x v="1004"/>
    <x v="69"/>
    <s v="SHT0294"/>
    <n v="1"/>
    <s v="Shirt"/>
    <s v="British"/>
    <s v="Partywear"/>
    <s v="Cotton Blend"/>
    <s v="M"/>
    <s v="Grey"/>
    <n v="760"/>
  </r>
  <r>
    <x v="1004"/>
    <x v="69"/>
    <s v="TSH0390"/>
    <n v="1"/>
    <s v="T-Shirt"/>
    <s v="Roadster"/>
    <s v="Full Sleeve"/>
    <s v="Poly Cotton"/>
    <s v="XL"/>
    <s v="Olive"/>
    <n v="620"/>
  </r>
  <r>
    <x v="1004"/>
    <x v="69"/>
    <s v="INW1463"/>
    <n v="1"/>
    <s v="Innerwear"/>
    <s v="Rupa"/>
    <s v="Boxer"/>
    <s v="Cotton Blend"/>
    <s v="105-110"/>
    <s v="Rust"/>
    <n v="180"/>
  </r>
  <r>
    <x v="1005"/>
    <x v="70"/>
    <s v="SHT0101"/>
    <n v="1"/>
    <s v="Shirt"/>
    <s v="Max"/>
    <s v="Formal"/>
    <s v="Polyester"/>
    <s v="XXL"/>
    <s v="Royal Blue"/>
    <n v="730"/>
  </r>
  <r>
    <x v="1005"/>
    <x v="70"/>
    <s v="TSH0566"/>
    <n v="1"/>
    <s v="T-Shirt"/>
    <s v="Urban Monkey"/>
    <s v="Half Sleeve"/>
    <s v="Cotton"/>
    <s v="S"/>
    <s v="Cream"/>
    <n v="350"/>
  </r>
  <r>
    <x v="1005"/>
    <x v="70"/>
    <s v="PNT1370"/>
    <n v="1"/>
    <s v="Pants"/>
    <s v="Louis Philippe"/>
    <s v="Boot Cut"/>
    <s v="Cotton Blend"/>
    <n v="44"/>
    <s v="Brown"/>
    <n v="850"/>
  </r>
  <r>
    <x v="1005"/>
    <x v="70"/>
    <s v="TSH0403"/>
    <n v="1"/>
    <s v="T-Shirt"/>
    <s v="Roadster"/>
    <s v="Sleeveless"/>
    <s v="Poly Cotton"/>
    <s v="S"/>
    <s v="Teal"/>
    <n v="590"/>
  </r>
  <r>
    <x v="1006"/>
    <x v="70"/>
    <s v="INW1491"/>
    <n v="1"/>
    <s v="Innerwear"/>
    <s v="Dollar"/>
    <s v="V-Cut"/>
    <s v="Cotton Blend"/>
    <s v="100-105"/>
    <s v="Wine"/>
    <n v="110"/>
  </r>
  <r>
    <x v="1006"/>
    <x v="70"/>
    <s v="JNS0985"/>
    <n v="1"/>
    <s v="Jeans"/>
    <s v="Denim Pro"/>
    <s v="Jogger"/>
    <s v="Denim"/>
    <n v="30"/>
    <s v="Olive"/>
    <n v="900"/>
  </r>
  <r>
    <x v="1007"/>
    <x v="70"/>
    <s v="SHT0171"/>
    <n v="1"/>
    <s v="Shirt"/>
    <s v="Luke &amp; Burg"/>
    <s v="Casual"/>
    <s v="Cotton"/>
    <s v="L"/>
    <s v="Grey"/>
    <n v="850"/>
  </r>
  <r>
    <x v="1007"/>
    <x v="70"/>
    <s v="SHT0046"/>
    <n v="1"/>
    <s v="Shirt"/>
    <s v="L7"/>
    <s v="Formal"/>
    <s v="Polyester"/>
    <s v="XXL"/>
    <s v="Light Grey"/>
    <n v="900"/>
  </r>
  <r>
    <x v="1007"/>
    <x v="70"/>
    <s v="SHT0082"/>
    <n v="1"/>
    <s v="Shirt"/>
    <s v="USD"/>
    <s v="Partywear"/>
    <s v="Lycra"/>
    <s v="S"/>
    <s v="Bottle Green"/>
    <n v="770"/>
  </r>
  <r>
    <x v="1008"/>
    <x v="70"/>
    <s v="JNS0880"/>
    <n v="1"/>
    <s v="Jeans"/>
    <s v="Levis"/>
    <s v="Baggy"/>
    <s v="Denim"/>
    <n v="36"/>
    <s v="Cream"/>
    <n v="870"/>
  </r>
  <r>
    <x v="1008"/>
    <x v="70"/>
    <s v="TSH0765"/>
    <n v="1"/>
    <s v="T-Shirt"/>
    <s v="Turkey"/>
    <s v="Full Sleeve"/>
    <s v="Cotton Blend"/>
    <s v="S"/>
    <s v="Olive"/>
    <n v="350"/>
  </r>
  <r>
    <x v="1008"/>
    <x v="70"/>
    <s v="PNT1344"/>
    <n v="1"/>
    <s v="Pants"/>
    <s v="Peter England"/>
    <s v="Korean"/>
    <s v="Lycra"/>
    <n v="28"/>
    <s v="Maroon"/>
    <n v="710"/>
  </r>
  <r>
    <x v="1008"/>
    <x v="70"/>
    <s v="PNT1089"/>
    <n v="1"/>
    <s v="Pants"/>
    <s v="Van Heusen"/>
    <s v="Jogger"/>
    <s v="Cotton Blend"/>
    <n v="30"/>
    <s v="Wine"/>
    <n v="800"/>
  </r>
  <r>
    <x v="1009"/>
    <x v="70"/>
    <s v="PNT1346"/>
    <n v="1"/>
    <s v="Pants"/>
    <s v="Van Heusen"/>
    <s v="Kurka"/>
    <s v="Lycra"/>
    <n v="40"/>
    <s v="Navy Blue"/>
    <n v="830"/>
  </r>
  <r>
    <x v="1010"/>
    <x v="70"/>
    <s v="PNT1102"/>
    <n v="1"/>
    <s v="Pants"/>
    <s v="Raymond"/>
    <s v="Jogger"/>
    <s v="Cotton"/>
    <n v="34"/>
    <s v="Olive"/>
    <n v="730"/>
  </r>
  <r>
    <x v="1010"/>
    <x v="70"/>
    <s v="SHT0035"/>
    <n v="1"/>
    <s v="Shirt"/>
    <s v="Luke &amp; Burg"/>
    <s v="Formal"/>
    <s v="Cotton Blend"/>
    <s v="XL"/>
    <s v="Charcoal"/>
    <n v="680"/>
  </r>
  <r>
    <x v="1011"/>
    <x v="70"/>
    <s v="SHT0022"/>
    <n v="1"/>
    <s v="Shirt"/>
    <s v="H&amp;M"/>
    <s v="Partywear"/>
    <s v="Lycra"/>
    <s v="M"/>
    <s v="Teal"/>
    <n v="930"/>
  </r>
  <r>
    <x v="1011"/>
    <x v="70"/>
    <s v="INW1653"/>
    <n v="1"/>
    <s v="Innerwear"/>
    <s v="Dollar"/>
    <s v="Boxer"/>
    <s v="Cotton Blend"/>
    <s v="100-105"/>
    <s v="Royal Blue"/>
    <n v="120"/>
  </r>
  <r>
    <x v="1011"/>
    <x v="70"/>
    <s v="JNS0858"/>
    <n v="1"/>
    <s v="Jeans"/>
    <s v="Denim Pro"/>
    <s v="Baggy"/>
    <s v="Denim"/>
    <n v="28"/>
    <s v="Brown"/>
    <n v="1010"/>
  </r>
  <r>
    <x v="1012"/>
    <x v="70"/>
    <s v="SHT0329"/>
    <n v="1"/>
    <s v="Shirt"/>
    <s v="L7"/>
    <s v="Partywear"/>
    <s v="Polyester"/>
    <s v="XXL"/>
    <s v="Teal"/>
    <n v="870"/>
  </r>
  <r>
    <x v="1012"/>
    <x v="70"/>
    <s v="TSH0728"/>
    <n v="1"/>
    <s v="T-Shirt"/>
    <s v="Max"/>
    <s v="Hoodie"/>
    <s v="Cotton Blend"/>
    <s v="XXL"/>
    <s v="Beige"/>
    <n v="590"/>
  </r>
  <r>
    <x v="1013"/>
    <x v="70"/>
    <s v="TSH0519"/>
    <n v="1"/>
    <s v="T-Shirt"/>
    <s v="Campus"/>
    <s v="Full Sleeve"/>
    <s v="Cotton Blend"/>
    <s v="S"/>
    <s v="Black"/>
    <n v="450"/>
  </r>
  <r>
    <x v="1013"/>
    <x v="70"/>
    <s v="SHT0198"/>
    <n v="1"/>
    <s v="Shirt"/>
    <s v="Zara"/>
    <s v="Formal"/>
    <s v="Lycra"/>
    <s v="XXL"/>
    <s v="White"/>
    <n v="950"/>
  </r>
  <r>
    <x v="1013"/>
    <x v="70"/>
    <s v="PNT1130"/>
    <n v="1"/>
    <s v="Pants"/>
    <s v="Van Heusen"/>
    <s v="Korean"/>
    <s v="Lycra"/>
    <n v="28"/>
    <s v="Black"/>
    <n v="920"/>
  </r>
  <r>
    <x v="1013"/>
    <x v="70"/>
    <s v="PNT1311"/>
    <n v="1"/>
    <s v="Pants"/>
    <s v="Park Avenue"/>
    <s v="Jogger"/>
    <s v="Cotton Blend"/>
    <n v="32"/>
    <s v="Navy Blue"/>
    <n v="940"/>
  </r>
  <r>
    <x v="1014"/>
    <x v="70"/>
    <s v="JNS0876"/>
    <n v="1"/>
    <s v="Jeans"/>
    <s v="Spykar"/>
    <s v="Baggy"/>
    <s v="Denim"/>
    <n v="38"/>
    <s v="Cream"/>
    <n v="790"/>
  </r>
  <r>
    <x v="1015"/>
    <x v="70"/>
    <s v="SHT0097"/>
    <n v="1"/>
    <s v="Shirt"/>
    <s v="Luke &amp; Burg"/>
    <s v="Partywear"/>
    <s v="Cotton Blend"/>
    <s v="S"/>
    <s v="Wine"/>
    <n v="820"/>
  </r>
  <r>
    <x v="1015"/>
    <x v="70"/>
    <s v="INW1556"/>
    <n v="1"/>
    <s v="Innerwear"/>
    <s v="Rupa"/>
    <s v="V-Cut"/>
    <s v="Cotton Blend"/>
    <s v="105-110"/>
    <s v="Olive"/>
    <n v="130"/>
  </r>
  <r>
    <x v="1015"/>
    <x v="70"/>
    <s v="INW1467"/>
    <n v="1"/>
    <s v="Innerwear"/>
    <s v="Dollar"/>
    <s v="Boxer"/>
    <s v="Cotton"/>
    <s v="105-110"/>
    <s v="Dark Green"/>
    <n v="190"/>
  </r>
  <r>
    <x v="1016"/>
    <x v="71"/>
    <s v="SHT0031"/>
    <n v="1"/>
    <s v="Shirt"/>
    <s v="USD"/>
    <s v="Partywear"/>
    <s v="Polyester"/>
    <s v="M"/>
    <s v="Peach"/>
    <n v="820"/>
  </r>
  <r>
    <x v="1016"/>
    <x v="71"/>
    <s v="INW1565"/>
    <n v="1"/>
    <s v="Innerwear"/>
    <s v="Dollar"/>
    <s v="V-Cut"/>
    <s v="Cotton Blend"/>
    <s v="80-85"/>
    <s v="Black"/>
    <n v="190"/>
  </r>
  <r>
    <x v="1016"/>
    <x v="71"/>
    <s v="PNT1234"/>
    <n v="1"/>
    <s v="Pants"/>
    <s v="Peter England"/>
    <s v="Kurka"/>
    <s v="Lycra"/>
    <n v="42"/>
    <s v="Sky Blue"/>
    <n v="750"/>
  </r>
  <r>
    <x v="1016"/>
    <x v="71"/>
    <s v="TSH0462"/>
    <n v="1"/>
    <s v="T-Shirt"/>
    <s v="Max"/>
    <s v="3/4 Sleeve"/>
    <s v="Poly Cotton"/>
    <s v="S"/>
    <s v="Charcoal"/>
    <n v="740"/>
  </r>
  <r>
    <x v="1017"/>
    <x v="71"/>
    <s v="SHT0096"/>
    <n v="1"/>
    <s v="Shirt"/>
    <s v="Thailand"/>
    <s v="Partywear"/>
    <s v="Cotton"/>
    <s v="XXL"/>
    <s v="White"/>
    <n v="670"/>
  </r>
  <r>
    <x v="1018"/>
    <x v="71"/>
    <s v="TSH0739"/>
    <n v="1"/>
    <s v="T-Shirt"/>
    <s v="Zara"/>
    <s v="3/4 Sleeve"/>
    <s v="Cotton"/>
    <s v="S"/>
    <s v="Olive"/>
    <n v="690"/>
  </r>
  <r>
    <x v="1018"/>
    <x v="71"/>
    <s v="JNS0935"/>
    <n v="1"/>
    <s v="Jeans"/>
    <s v="Denim Pro"/>
    <s v="Jogger"/>
    <s v="Denim"/>
    <n v="38"/>
    <s v="Cream"/>
    <n v="830"/>
  </r>
  <r>
    <x v="1018"/>
    <x v="71"/>
    <s v="PNT1319"/>
    <n v="1"/>
    <s v="Pants"/>
    <s v="Raymond"/>
    <s v="Polofit"/>
    <s v="Lycra"/>
    <n v="42"/>
    <s v="Bottle Green"/>
    <n v="810"/>
  </r>
  <r>
    <x v="1018"/>
    <x v="71"/>
    <s v="PNT1108"/>
    <n v="1"/>
    <s v="Pants"/>
    <s v="Louis Philippe"/>
    <s v="Kurka"/>
    <s v="Lycra"/>
    <n v="34"/>
    <s v="Bottle Green"/>
    <n v="840"/>
  </r>
  <r>
    <x v="1019"/>
    <x v="71"/>
    <s v="TSH0768"/>
    <n v="1"/>
    <s v="T-Shirt"/>
    <s v="Turkey"/>
    <s v="3/4 Sleeve"/>
    <s v="Cotton Blend"/>
    <s v="S"/>
    <s v="Cream"/>
    <n v="250"/>
  </r>
  <r>
    <x v="1019"/>
    <x v="71"/>
    <s v="INW1379"/>
    <n v="1"/>
    <s v="Innerwear"/>
    <s v="Dollar"/>
    <s v="Boxer"/>
    <s v="Cotton Blend"/>
    <s v="80-85"/>
    <s v="Royal Blue"/>
    <n v="130"/>
  </r>
  <r>
    <x v="1020"/>
    <x v="71"/>
    <s v="PNT1080"/>
    <n v="1"/>
    <s v="Pants"/>
    <s v="Park Avenue"/>
    <s v="Boot Cut"/>
    <s v="Cotton Blend"/>
    <n v="32"/>
    <s v="Grey"/>
    <n v="760"/>
  </r>
  <r>
    <x v="1020"/>
    <x v="71"/>
    <s v="TSH0419"/>
    <n v="1"/>
    <s v="T-Shirt"/>
    <s v="Max"/>
    <s v="Hoodie"/>
    <s v="Cotton"/>
    <s v="L"/>
    <s v="Teal"/>
    <n v="650"/>
  </r>
  <r>
    <x v="1020"/>
    <x v="71"/>
    <s v="JNS0993"/>
    <n v="1"/>
    <s v="Jeans"/>
    <s v="Denim Pro"/>
    <s v="Jogger"/>
    <s v="Denim"/>
    <n v="28"/>
    <s v="Rust"/>
    <n v="820"/>
  </r>
  <r>
    <x v="1021"/>
    <x v="71"/>
    <s v="SHT0320"/>
    <n v="1"/>
    <s v="Shirt"/>
    <s v="USD"/>
    <s v="Partywear"/>
    <s v="Polyester"/>
    <s v="L"/>
    <s v="Olive"/>
    <n v="750"/>
  </r>
  <r>
    <x v="1022"/>
    <x v="71"/>
    <s v="PNT1334"/>
    <n v="1"/>
    <s v="Pants"/>
    <s v="Park Avenue"/>
    <s v="Polofit"/>
    <s v="Lycra"/>
    <n v="38"/>
    <s v="Grey"/>
    <n v="880"/>
  </r>
  <r>
    <x v="1023"/>
    <x v="71"/>
    <s v="TSH0704"/>
    <n v="1"/>
    <s v="T-Shirt"/>
    <s v="Roadster"/>
    <s v="3/4 Sleeve"/>
    <s v="Poly Cotton"/>
    <s v="L"/>
    <s v="Light Grey"/>
    <n v="710"/>
  </r>
  <r>
    <x v="1023"/>
    <x v="71"/>
    <s v="PNT1251"/>
    <n v="1"/>
    <s v="Pants"/>
    <s v="Van Heusen"/>
    <s v="Polofit"/>
    <s v="Lycra"/>
    <n v="44"/>
    <s v="Royal Blue"/>
    <n v="810"/>
  </r>
  <r>
    <x v="1024"/>
    <x v="71"/>
    <s v="PNT1169"/>
    <n v="1"/>
    <s v="Pants"/>
    <s v="Louis Philippe"/>
    <s v="Kurka"/>
    <s v="Lycra"/>
    <n v="36"/>
    <s v="Mustard"/>
    <n v="700"/>
  </r>
  <r>
    <x v="1024"/>
    <x v="71"/>
    <s v="TSH0603"/>
    <n v="1"/>
    <s v="T-Shirt"/>
    <s v="Zara"/>
    <s v="Half Sleeve"/>
    <s v="Cotton"/>
    <s v="S"/>
    <s v="Bottle Green"/>
    <n v="680"/>
  </r>
  <r>
    <x v="1024"/>
    <x v="71"/>
    <s v="SHT0209"/>
    <n v="1"/>
    <s v="Shirt"/>
    <s v="L7"/>
    <s v="Formal"/>
    <s v="Polyester"/>
    <s v="XXL"/>
    <s v="Rust"/>
    <n v="930"/>
  </r>
  <r>
    <x v="1025"/>
    <x v="71"/>
    <s v="PNT1108"/>
    <n v="1"/>
    <s v="Pants"/>
    <s v="Louis Philippe"/>
    <s v="Kurka"/>
    <s v="Lycra"/>
    <n v="34"/>
    <s v="Bottle Green"/>
    <n v="840"/>
  </r>
  <r>
    <x v="1025"/>
    <x v="71"/>
    <s v="INW1541"/>
    <n v="1"/>
    <s v="Innerwear"/>
    <s v="Dollar"/>
    <s v="Boxer"/>
    <s v="Cotton"/>
    <s v="90-100"/>
    <s v="Navy Blue"/>
    <n v="160"/>
  </r>
  <r>
    <x v="1025"/>
    <x v="71"/>
    <s v="PNT1296"/>
    <n v="1"/>
    <s v="Pants"/>
    <s v="Park Avenue"/>
    <s v="Korean"/>
    <s v="Lycra"/>
    <n v="32"/>
    <s v="Black"/>
    <n v="860"/>
  </r>
  <r>
    <x v="1026"/>
    <x v="71"/>
    <s v="JNS0790"/>
    <n v="1"/>
    <s v="Jeans"/>
    <s v="Levis"/>
    <s v="Jogger"/>
    <s v="Denim"/>
    <n v="44"/>
    <s v="Royal Blue"/>
    <n v="800"/>
  </r>
  <r>
    <x v="1026"/>
    <x v="71"/>
    <s v="TSH0549"/>
    <n v="1"/>
    <s v="T-Shirt"/>
    <s v="Roadster"/>
    <s v="Hoodie"/>
    <s v="Poly Cotton"/>
    <s v="XXL"/>
    <s v="Maroon"/>
    <n v="570"/>
  </r>
  <r>
    <x v="1027"/>
    <x v="71"/>
    <s v="SHT0175"/>
    <n v="1"/>
    <s v="Shirt"/>
    <s v="G Studio"/>
    <s v="Formal"/>
    <s v="Lycra"/>
    <s v="XXL"/>
    <s v="Grey"/>
    <n v="670"/>
  </r>
  <r>
    <x v="1027"/>
    <x v="71"/>
    <s v="SHT0168"/>
    <n v="1"/>
    <s v="Shirt"/>
    <s v="USD"/>
    <s v="Formal"/>
    <s v="Cotton"/>
    <s v="L"/>
    <s v="Peach"/>
    <n v="670"/>
  </r>
  <r>
    <x v="1028"/>
    <x v="71"/>
    <s v="JNS0998"/>
    <n v="1"/>
    <s v="Jeans"/>
    <s v="Levis"/>
    <s v="Baggy"/>
    <s v="Denim"/>
    <n v="32"/>
    <s v="Dark Green"/>
    <n v="800"/>
  </r>
  <r>
    <x v="1029"/>
    <x v="71"/>
    <s v="JNS0934"/>
    <n v="1"/>
    <s v="Jeans"/>
    <s v="Spykar"/>
    <s v="Mom Fit"/>
    <s v="Denim"/>
    <n v="36"/>
    <s v="Teal"/>
    <n v="940"/>
  </r>
  <r>
    <x v="1030"/>
    <x v="71"/>
    <s v="TSH0590"/>
    <n v="1"/>
    <s v="T-Shirt"/>
    <s v="Max"/>
    <s v="Full Sleeve"/>
    <s v="Cotton Blend"/>
    <s v="M"/>
    <s v="Navy Blue"/>
    <n v="620"/>
  </r>
  <r>
    <x v="1030"/>
    <x v="71"/>
    <s v="INW1615"/>
    <n v="1"/>
    <s v="Innerwear"/>
    <s v="V Star"/>
    <s v="Boxer"/>
    <s v="Cotton"/>
    <s v="105-110"/>
    <s v="Peach"/>
    <n v="160"/>
  </r>
  <r>
    <x v="1031"/>
    <x v="71"/>
    <s v="SHT0178"/>
    <n v="1"/>
    <s v="Shirt"/>
    <s v="G Studio"/>
    <s v="Partywear"/>
    <s v="Cotton Blend"/>
    <s v="S"/>
    <s v="Olive"/>
    <n v="760"/>
  </r>
  <r>
    <x v="1032"/>
    <x v="71"/>
    <s v="SHT0024"/>
    <n v="1"/>
    <s v="Shirt"/>
    <s v="Thailand"/>
    <s v="Formal"/>
    <s v="Cotton"/>
    <s v="M"/>
    <s v="Light Grey"/>
    <n v="760"/>
  </r>
  <r>
    <x v="1032"/>
    <x v="71"/>
    <s v="TSH0470"/>
    <n v="1"/>
    <s v="T-Shirt"/>
    <s v="Roadster"/>
    <s v="Half Sleeve"/>
    <s v="Cotton Blend"/>
    <s v="XL"/>
    <s v="Charcoal"/>
    <n v="490"/>
  </r>
  <r>
    <x v="1033"/>
    <x v="71"/>
    <s v="TSH0752"/>
    <n v="1"/>
    <s v="T-Shirt"/>
    <s v="Turkey"/>
    <s v="Full Sleeve"/>
    <s v="Cotton"/>
    <s v="M"/>
    <s v="Royal Blue"/>
    <n v="400"/>
  </r>
  <r>
    <x v="1033"/>
    <x v="71"/>
    <s v="SHT0268"/>
    <n v="1"/>
    <s v="Shirt"/>
    <s v="Thailand"/>
    <s v="Formal"/>
    <s v="Lycra"/>
    <s v="L"/>
    <s v="Wine"/>
    <n v="950"/>
  </r>
  <r>
    <x v="1033"/>
    <x v="71"/>
    <s v="INW1563"/>
    <n v="1"/>
    <s v="Innerwear"/>
    <s v="Rupa"/>
    <s v="Boxer"/>
    <s v="Cotton Blend"/>
    <s v="90-100"/>
    <s v="Maroon"/>
    <n v="180"/>
  </r>
  <r>
    <x v="1033"/>
    <x v="71"/>
    <s v="PNT1134"/>
    <n v="1"/>
    <s v="Pants"/>
    <s v="Raymond"/>
    <s v="Korean"/>
    <s v="Lycra"/>
    <n v="38"/>
    <s v="Olive"/>
    <n v="950"/>
  </r>
  <r>
    <x v="1034"/>
    <x v="71"/>
    <s v="TSH0364"/>
    <n v="1"/>
    <s v="T-Shirt"/>
    <s v="Campus"/>
    <s v="3/4 Sleeve"/>
    <s v="Cotton"/>
    <s v="M"/>
    <s v="Dark Green"/>
    <n v="330"/>
  </r>
  <r>
    <x v="1034"/>
    <x v="71"/>
    <s v="TSH0418"/>
    <n v="1"/>
    <s v="T-Shirt"/>
    <s v="Campus"/>
    <s v="Sleeveless"/>
    <s v="Poly Cotton"/>
    <s v="L"/>
    <s v="Royal Blue"/>
    <n v="400"/>
  </r>
  <r>
    <x v="1034"/>
    <x v="71"/>
    <s v="INW1532"/>
    <n v="1"/>
    <s v="Innerwear"/>
    <s v="Rupa"/>
    <s v="Boxer"/>
    <s v="Cotton"/>
    <s v="80-85"/>
    <s v="White"/>
    <n v="170"/>
  </r>
  <r>
    <x v="1035"/>
    <x v="72"/>
    <s v="PNT1346"/>
    <n v="1"/>
    <s v="Pants"/>
    <s v="Van Heusen"/>
    <s v="Kurka"/>
    <s v="Lycra"/>
    <n v="40"/>
    <s v="Navy Blue"/>
    <n v="830"/>
  </r>
  <r>
    <x v="1035"/>
    <x v="72"/>
    <s v="TSH0477"/>
    <n v="1"/>
    <s v="T-Shirt"/>
    <s v="Turkey"/>
    <s v="3/4 Sleeve"/>
    <s v="Cotton"/>
    <s v="XXL"/>
    <s v="Sky Blue"/>
    <n v="470"/>
  </r>
  <r>
    <x v="1035"/>
    <x v="72"/>
    <s v="JNS1029"/>
    <n v="1"/>
    <s v="Jeans"/>
    <s v="Locomotive"/>
    <s v="Baggy"/>
    <s v="Denim"/>
    <n v="40"/>
    <s v="Teal"/>
    <n v="850"/>
  </r>
  <r>
    <x v="1036"/>
    <x v="72"/>
    <s v="TSH0445"/>
    <n v="1"/>
    <s v="T-Shirt"/>
    <s v="Roadster"/>
    <s v="Hoodie"/>
    <s v="Cotton"/>
    <s v="XXL"/>
    <s v="Peach"/>
    <n v="450"/>
  </r>
  <r>
    <x v="1037"/>
    <x v="72"/>
    <s v="SHT0031"/>
    <n v="1"/>
    <s v="Shirt"/>
    <s v="USD"/>
    <s v="Partywear"/>
    <s v="Polyester"/>
    <s v="M"/>
    <s v="Peach"/>
    <n v="820"/>
  </r>
  <r>
    <x v="1037"/>
    <x v="72"/>
    <s v="TSH0524"/>
    <n v="1"/>
    <s v="T-Shirt"/>
    <s v="Roadster"/>
    <s v="Full Sleeve"/>
    <s v="Cotton Blend"/>
    <s v="L"/>
    <s v="Brown"/>
    <n v="690"/>
  </r>
  <r>
    <x v="1037"/>
    <x v="72"/>
    <s v="INW1631"/>
    <n v="1"/>
    <s v="Innerwear"/>
    <s v="Dollar"/>
    <s v="V-Cut"/>
    <s v="Cotton"/>
    <s v="90-100"/>
    <s v="Bottle Green"/>
    <n v="190"/>
  </r>
  <r>
    <x v="1037"/>
    <x v="72"/>
    <s v="TSH0662"/>
    <n v="1"/>
    <s v="T-Shirt"/>
    <s v="Roadster"/>
    <s v="3/4 Sleeve"/>
    <s v="Cotton"/>
    <s v="L"/>
    <s v="Wine"/>
    <n v="620"/>
  </r>
  <r>
    <x v="1038"/>
    <x v="72"/>
    <s v="PNT1096"/>
    <n v="1"/>
    <s v="Pants"/>
    <s v="Van Heusen"/>
    <s v="Korean"/>
    <s v="Lycra"/>
    <n v="42"/>
    <s v="Royal Blue"/>
    <n v="820"/>
  </r>
  <r>
    <x v="1038"/>
    <x v="72"/>
    <s v="SHT0162"/>
    <n v="1"/>
    <s v="Shirt"/>
    <s v="H&amp;M"/>
    <s v="Casual"/>
    <s v="Lycra"/>
    <s v="L"/>
    <s v="Peach"/>
    <n v="820"/>
  </r>
  <r>
    <x v="1039"/>
    <x v="72"/>
    <s v="TSH0369"/>
    <n v="1"/>
    <s v="T-Shirt"/>
    <s v="Zara"/>
    <s v="Hoodie"/>
    <s v="Poly Cotton"/>
    <s v="L"/>
    <s v="Dark Green"/>
    <n v="220"/>
  </r>
  <r>
    <x v="1039"/>
    <x v="72"/>
    <s v="PNT1239"/>
    <n v="1"/>
    <s v="Pants"/>
    <s v="Park Avenue"/>
    <s v="Jogger"/>
    <s v="Cotton Blend"/>
    <n v="30"/>
    <s v="White"/>
    <n v="750"/>
  </r>
  <r>
    <x v="1039"/>
    <x v="72"/>
    <s v="PNT1173"/>
    <n v="1"/>
    <s v="Pants"/>
    <s v="Peter England"/>
    <s v="Boot Cut"/>
    <s v="Poly Viscose"/>
    <n v="34"/>
    <s v="Black"/>
    <n v="830"/>
  </r>
  <r>
    <x v="1039"/>
    <x v="72"/>
    <s v="JNS0934"/>
    <n v="1"/>
    <s v="Jeans"/>
    <s v="Spykar"/>
    <s v="Mom Fit"/>
    <s v="Denim"/>
    <n v="36"/>
    <s v="Teal"/>
    <n v="940"/>
  </r>
  <r>
    <x v="1040"/>
    <x v="72"/>
    <s v="PNT1130"/>
    <n v="1"/>
    <s v="Pants"/>
    <s v="Van Heusen"/>
    <s v="Korean"/>
    <s v="Lycra"/>
    <n v="28"/>
    <s v="Black"/>
    <n v="920"/>
  </r>
  <r>
    <x v="1040"/>
    <x v="72"/>
    <s v="SHT0123"/>
    <n v="1"/>
    <s v="Shirt"/>
    <s v="USD"/>
    <s v="Formal"/>
    <s v="Cotton"/>
    <s v="M"/>
    <s v="Brown"/>
    <n v="720"/>
  </r>
  <r>
    <x v="1040"/>
    <x v="72"/>
    <s v="JNS0831"/>
    <n v="1"/>
    <s v="Jeans"/>
    <s v="Locomotive"/>
    <s v="Jogger"/>
    <s v="Denim"/>
    <n v="38"/>
    <s v="Cream"/>
    <n v="1040"/>
  </r>
  <r>
    <x v="1041"/>
    <x v="72"/>
    <s v="INW1464"/>
    <n v="1"/>
    <s v="Innerwear"/>
    <s v="Rupa"/>
    <s v="V-Cut"/>
    <s v="Cotton"/>
    <s v="105-110"/>
    <s v="White"/>
    <n v="160"/>
  </r>
  <r>
    <x v="1041"/>
    <x v="72"/>
    <s v="TSH0393"/>
    <n v="1"/>
    <s v="T-Shirt"/>
    <s v="Turkey"/>
    <s v="Sleeveless"/>
    <s v="Poly Cotton"/>
    <s v="XXL"/>
    <s v="Grey"/>
    <n v="390"/>
  </r>
  <r>
    <x v="1042"/>
    <x v="72"/>
    <s v="JNS1012"/>
    <n v="1"/>
    <s v="Jeans"/>
    <s v="Levis"/>
    <s v="Mom Fit"/>
    <s v="Denim"/>
    <n v="44"/>
    <s v="Olive"/>
    <n v="1040"/>
  </r>
  <r>
    <x v="1043"/>
    <x v="72"/>
    <s v="PNT1346"/>
    <n v="1"/>
    <s v="Pants"/>
    <s v="Van Heusen"/>
    <s v="Kurka"/>
    <s v="Lycra"/>
    <n v="40"/>
    <s v="Navy Blue"/>
    <n v="830"/>
  </r>
  <r>
    <x v="1044"/>
    <x v="72"/>
    <s v="TSH0491"/>
    <n v="1"/>
    <s v="T-Shirt"/>
    <s v="Roadster"/>
    <s v="Hoodie"/>
    <s v="Cotton"/>
    <s v="XL"/>
    <s v="Maroon"/>
    <n v="260"/>
  </r>
  <r>
    <x v="1044"/>
    <x v="72"/>
    <s v="INW1601"/>
    <n v="1"/>
    <s v="Innerwear"/>
    <s v="Rupa"/>
    <s v="V-Cut"/>
    <s v="Cotton Blend"/>
    <s v="90-100"/>
    <s v="Maroon"/>
    <n v="140"/>
  </r>
  <r>
    <x v="1045"/>
    <x v="72"/>
    <s v="TSH0757"/>
    <n v="1"/>
    <s v="T-Shirt"/>
    <s v="Roadster"/>
    <s v="Half Sleeve"/>
    <s v="Poly Cotton"/>
    <s v="L"/>
    <s v="Rust"/>
    <n v="550"/>
  </r>
  <r>
    <x v="1045"/>
    <x v="72"/>
    <s v="SHT0110"/>
    <n v="1"/>
    <s v="Shirt"/>
    <s v="Max"/>
    <s v="Casual"/>
    <s v="Cotton Blend"/>
    <s v="S"/>
    <s v="Grey"/>
    <n v="710"/>
  </r>
  <r>
    <x v="1045"/>
    <x v="72"/>
    <s v="PNT1277"/>
    <n v="1"/>
    <s v="Pants"/>
    <s v="Park Avenue"/>
    <s v="Polofit"/>
    <s v="Lycra"/>
    <n v="42"/>
    <s v="Beige"/>
    <n v="820"/>
  </r>
  <r>
    <x v="1045"/>
    <x v="72"/>
    <s v="SHT0280"/>
    <n v="1"/>
    <s v="Shirt"/>
    <s v="H&amp;M"/>
    <s v="Casual"/>
    <s v="Cotton Blend"/>
    <s v="XL"/>
    <s v="Charcoal"/>
    <n v="810"/>
  </r>
  <r>
    <x v="1046"/>
    <x v="72"/>
    <s v="INW1448"/>
    <n v="1"/>
    <s v="Innerwear"/>
    <s v="V Star"/>
    <s v="Boxer"/>
    <s v="Cotton Blend"/>
    <s v="105-110"/>
    <s v="Royal Blue"/>
    <n v="140"/>
  </r>
  <r>
    <x v="1046"/>
    <x v="72"/>
    <s v="JNS0853"/>
    <n v="1"/>
    <s v="Jeans"/>
    <s v="Levis"/>
    <s v="Baggy"/>
    <s v="Denim"/>
    <n v="38"/>
    <s v="Grey"/>
    <n v="880"/>
  </r>
  <r>
    <x v="1046"/>
    <x v="72"/>
    <s v="SHT0092"/>
    <n v="1"/>
    <s v="Shirt"/>
    <s v="Zara"/>
    <s v="Partywear"/>
    <s v="Lycra"/>
    <s v="M"/>
    <s v="Maroon"/>
    <n v="700"/>
  </r>
  <r>
    <x v="1046"/>
    <x v="72"/>
    <s v="INW1585"/>
    <n v="1"/>
    <s v="Innerwear"/>
    <s v="Dollar"/>
    <s v="Boxer"/>
    <s v="Cotton Blend"/>
    <s v="105-110"/>
    <s v="Mustard"/>
    <n v="190"/>
  </r>
  <r>
    <x v="1047"/>
    <x v="72"/>
    <s v="JNS0960"/>
    <n v="1"/>
    <s v="Jeans"/>
    <s v="Pepe"/>
    <s v="Jogger"/>
    <s v="Denim"/>
    <n v="38"/>
    <s v="Sky Blue"/>
    <n v="780"/>
  </r>
  <r>
    <x v="1048"/>
    <x v="72"/>
    <s v="JNS0788"/>
    <n v="1"/>
    <s v="Jeans"/>
    <s v="Levis"/>
    <s v="Jogger"/>
    <s v="Denim"/>
    <n v="40"/>
    <s v="Charcoal"/>
    <n v="840"/>
  </r>
  <r>
    <x v="1048"/>
    <x v="72"/>
    <s v="JNS0808"/>
    <n v="1"/>
    <s v="Jeans"/>
    <s v="Denim Pro"/>
    <s v="Mom Fit"/>
    <s v="Denim"/>
    <n v="32"/>
    <s v="Peach"/>
    <n v="900"/>
  </r>
  <r>
    <x v="1048"/>
    <x v="72"/>
    <s v="SHT0315"/>
    <n v="1"/>
    <s v="Shirt"/>
    <s v="Thailand"/>
    <s v="Partywear"/>
    <s v="Cotton"/>
    <s v="S"/>
    <s v="Light Grey"/>
    <n v="740"/>
  </r>
  <r>
    <x v="1049"/>
    <x v="73"/>
    <s v="TSH0513"/>
    <n v="1"/>
    <s v="T-Shirt"/>
    <s v="Turkey"/>
    <s v="3/4 Sleeve"/>
    <s v="Poly Cotton"/>
    <s v="S"/>
    <s v="Charcoal"/>
    <n v="680"/>
  </r>
  <r>
    <x v="1049"/>
    <x v="73"/>
    <s v="TSH0522"/>
    <n v="1"/>
    <s v="T-Shirt"/>
    <s v="Turkey"/>
    <s v="Full Sleeve"/>
    <s v="Poly Cotton"/>
    <s v="XL"/>
    <s v="Peach"/>
    <n v="440"/>
  </r>
  <r>
    <x v="1049"/>
    <x v="73"/>
    <s v="INW1429"/>
    <n v="1"/>
    <s v="Innerwear"/>
    <s v="Lux"/>
    <s v="V-Cut"/>
    <s v="Cotton Blend"/>
    <s v="90-100"/>
    <s v="Light Grey"/>
    <n v="100"/>
  </r>
  <r>
    <x v="1050"/>
    <x v="73"/>
    <s v="PNT1369"/>
    <n v="1"/>
    <s v="Pants"/>
    <s v="Raymond"/>
    <s v="Boot Cut"/>
    <s v="Cotton Blend"/>
    <n v="38"/>
    <s v="Mustard"/>
    <n v="810"/>
  </r>
  <r>
    <x v="1050"/>
    <x v="73"/>
    <s v="JNS0945"/>
    <n v="1"/>
    <s v="Jeans"/>
    <s v="Locomotive"/>
    <s v="Baggy"/>
    <s v="Denim"/>
    <n v="42"/>
    <s v="White"/>
    <n v="1010"/>
  </r>
  <r>
    <x v="1050"/>
    <x v="73"/>
    <s v="JNS0999"/>
    <n v="1"/>
    <s v="Jeans"/>
    <s v="Denim Pro"/>
    <s v="Mom Fit"/>
    <s v="Denim"/>
    <n v="40"/>
    <s v="Sky Blue"/>
    <n v="910"/>
  </r>
  <r>
    <x v="1051"/>
    <x v="73"/>
    <s v="JNS1030"/>
    <n v="1"/>
    <s v="Jeans"/>
    <s v="Denim Pro"/>
    <s v="Mom Fit"/>
    <s v="Denim"/>
    <n v="36"/>
    <s v="Grey"/>
    <n v="930"/>
  </r>
  <r>
    <x v="1051"/>
    <x v="73"/>
    <s v="SHT0218"/>
    <n v="1"/>
    <s v="Shirt"/>
    <s v="H&amp;M"/>
    <s v="Partywear"/>
    <s v="Cotton"/>
    <s v="XL"/>
    <s v="Light Grey"/>
    <n v="800"/>
  </r>
  <r>
    <x v="1052"/>
    <x v="73"/>
    <s v="TSH0529"/>
    <n v="1"/>
    <s v="T-Shirt"/>
    <s v="Turkey"/>
    <s v="Full Sleeve"/>
    <s v="Poly Cotton"/>
    <s v="S"/>
    <s v="Teal"/>
    <n v="400"/>
  </r>
  <r>
    <x v="1052"/>
    <x v="73"/>
    <s v="INW1382"/>
    <n v="1"/>
    <s v="Innerwear"/>
    <s v="Jockey"/>
    <s v="V-Cut"/>
    <s v="Cotton"/>
    <s v="85-90"/>
    <s v="Cream"/>
    <n v="180"/>
  </r>
  <r>
    <x v="1053"/>
    <x v="73"/>
    <s v="PNT1132"/>
    <n v="1"/>
    <s v="Pants"/>
    <s v="Louis Philippe"/>
    <s v="Korean"/>
    <s v="Lycra"/>
    <n v="40"/>
    <s v="Teal"/>
    <n v="730"/>
  </r>
  <r>
    <x v="1054"/>
    <x v="73"/>
    <s v="PNT1236"/>
    <n v="1"/>
    <s v="Pants"/>
    <s v="Van Heusen"/>
    <s v="Korean"/>
    <s v="Lycra"/>
    <n v="32"/>
    <s v="Olive"/>
    <n v="830"/>
  </r>
  <r>
    <x v="1054"/>
    <x v="73"/>
    <s v="PNT1085"/>
    <n v="1"/>
    <s v="Pants"/>
    <s v="Van Heusen"/>
    <s v="Jogger"/>
    <s v="Poly Viscose"/>
    <n v="40"/>
    <s v="Beige"/>
    <n v="910"/>
  </r>
  <r>
    <x v="1054"/>
    <x v="73"/>
    <s v="SHT0229"/>
    <n v="1"/>
    <s v="Shirt"/>
    <s v="British"/>
    <s v="Partywear"/>
    <s v="Lycra"/>
    <s v="XXL"/>
    <s v="Rust"/>
    <n v="870"/>
  </r>
  <r>
    <x v="1055"/>
    <x v="73"/>
    <s v="PNT1083"/>
    <n v="1"/>
    <s v="Pants"/>
    <s v="Van Heusen"/>
    <s v="Boot Cut"/>
    <s v="Cotton"/>
    <n v="36"/>
    <s v="Bottle Green"/>
    <n v="790"/>
  </r>
  <r>
    <x v="1055"/>
    <x v="73"/>
    <s v="SHT0107"/>
    <n v="1"/>
    <s v="Shirt"/>
    <s v="H&amp;M"/>
    <s v="Partywear"/>
    <s v="Cotton Blend"/>
    <s v="XL"/>
    <s v="Dark Green"/>
    <n v="800"/>
  </r>
  <r>
    <x v="1055"/>
    <x v="73"/>
    <s v="JNS0801"/>
    <n v="1"/>
    <s v="Jeans"/>
    <s v="Denim Pro"/>
    <s v="Mom Fit"/>
    <s v="Denim"/>
    <n v="40"/>
    <s v="Brown"/>
    <n v="960"/>
  </r>
  <r>
    <x v="1056"/>
    <x v="73"/>
    <s v="SHT0058"/>
    <n v="1"/>
    <s v="Shirt"/>
    <s v="Luke &amp; Burg"/>
    <s v="Formal"/>
    <s v="Lycra"/>
    <s v="L"/>
    <s v="Bottle Green"/>
    <n v="940"/>
  </r>
  <r>
    <x v="1056"/>
    <x v="73"/>
    <s v="TSH0353"/>
    <n v="1"/>
    <s v="T-Shirt"/>
    <s v="Thailand"/>
    <s v="Sleeveless"/>
    <s v="Poly Cotton"/>
    <s v="XXL"/>
    <s v="Royal Blue"/>
    <n v="250"/>
  </r>
  <r>
    <x v="1056"/>
    <x v="73"/>
    <s v="SHT0010"/>
    <n v="1"/>
    <s v="Shirt"/>
    <s v="L7"/>
    <s v="Casual"/>
    <s v="Cotton Blend"/>
    <s v="XL"/>
    <s v="Teal"/>
    <n v="940"/>
  </r>
  <r>
    <x v="1057"/>
    <x v="73"/>
    <s v="SHT0315"/>
    <n v="1"/>
    <s v="Shirt"/>
    <s v="Thailand"/>
    <s v="Partywear"/>
    <s v="Cotton"/>
    <s v="S"/>
    <s v="Light Grey"/>
    <n v="740"/>
  </r>
  <r>
    <x v="1057"/>
    <x v="73"/>
    <s v="TSH0732"/>
    <n v="1"/>
    <s v="T-Shirt"/>
    <s v="Turkey"/>
    <s v="Half Sleeve"/>
    <s v="Cotton"/>
    <s v="XXL"/>
    <s v="Rust"/>
    <n v="710"/>
  </r>
  <r>
    <x v="1057"/>
    <x v="73"/>
    <s v="TSH0676"/>
    <n v="1"/>
    <s v="T-Shirt"/>
    <s v="Max"/>
    <s v="Half Sleeve"/>
    <s v="Poly Cotton"/>
    <s v="S"/>
    <s v="Royal Blue"/>
    <n v="220"/>
  </r>
  <r>
    <x v="1058"/>
    <x v="73"/>
    <s v="INW1590"/>
    <n v="1"/>
    <s v="Innerwear"/>
    <s v="Jockey"/>
    <s v="V-Cut"/>
    <s v="Cotton"/>
    <s v="105-110"/>
    <s v="Cream"/>
    <n v="140"/>
  </r>
  <r>
    <x v="1058"/>
    <x v="73"/>
    <s v="PNT1161"/>
    <n v="1"/>
    <s v="Pants"/>
    <s v="Raymond"/>
    <s v="Jogger"/>
    <s v="Cotton"/>
    <n v="28"/>
    <s v="Charcoal"/>
    <n v="810"/>
  </r>
  <r>
    <x v="1059"/>
    <x v="73"/>
    <s v="TSH0355"/>
    <n v="1"/>
    <s v="T-Shirt"/>
    <s v="Urban Monkey"/>
    <s v="3/4 Sleeve"/>
    <s v="Cotton Blend"/>
    <s v="S"/>
    <s v="Grey"/>
    <n v="360"/>
  </r>
  <r>
    <x v="1059"/>
    <x v="73"/>
    <s v="JNS0842"/>
    <n v="1"/>
    <s v="Jeans"/>
    <s v="Pepe"/>
    <s v="Jogger"/>
    <s v="Denim"/>
    <n v="42"/>
    <s v="Royal Blue"/>
    <n v="820"/>
  </r>
  <r>
    <x v="1060"/>
    <x v="73"/>
    <s v="INW1528"/>
    <n v="1"/>
    <s v="Innerwear"/>
    <s v="Dollar"/>
    <s v="V-Cut"/>
    <s v="Cotton"/>
    <s v="90-100"/>
    <s v="Black"/>
    <n v="100"/>
  </r>
  <r>
    <x v="1060"/>
    <x v="73"/>
    <s v="JNS0810"/>
    <n v="1"/>
    <s v="Jeans"/>
    <s v="Levis"/>
    <s v="Baggy"/>
    <s v="Denim"/>
    <n v="36"/>
    <s v="White"/>
    <n v="1020"/>
  </r>
  <r>
    <x v="1061"/>
    <x v="73"/>
    <s v="TSH0424"/>
    <n v="1"/>
    <s v="T-Shirt"/>
    <s v="Turkey"/>
    <s v="Sleeveless"/>
    <s v="Cotton Blend"/>
    <s v="M"/>
    <s v="Olive"/>
    <n v="610"/>
  </r>
  <r>
    <x v="1062"/>
    <x v="73"/>
    <s v="TSH0655"/>
    <n v="1"/>
    <s v="T-Shirt"/>
    <s v="Zara"/>
    <s v="Half Sleeve"/>
    <s v="Poly Cotton"/>
    <s v="L"/>
    <s v="Grey"/>
    <n v="600"/>
  </r>
  <r>
    <x v="1062"/>
    <x v="73"/>
    <s v="SHT0125"/>
    <n v="1"/>
    <s v="Shirt"/>
    <s v="L7"/>
    <s v="Partywear"/>
    <s v="Cotton"/>
    <s v="XL"/>
    <s v="Mustard"/>
    <n v="790"/>
  </r>
  <r>
    <x v="1062"/>
    <x v="73"/>
    <s v="INW1572"/>
    <n v="1"/>
    <s v="Innerwear"/>
    <s v="Rupa"/>
    <s v="Boxer"/>
    <s v="Cotton"/>
    <s v="90-100"/>
    <s v="Cream"/>
    <n v="120"/>
  </r>
  <r>
    <x v="1063"/>
    <x v="73"/>
    <s v="TSH0356"/>
    <n v="1"/>
    <s v="T-Shirt"/>
    <s v="Zara"/>
    <s v="Sleeveless"/>
    <s v="Cotton"/>
    <s v="XXL"/>
    <s v="Grey"/>
    <n v="740"/>
  </r>
  <r>
    <x v="1063"/>
    <x v="73"/>
    <s v="TSH0708"/>
    <n v="1"/>
    <s v="T-Shirt"/>
    <s v="Zara"/>
    <s v="Hoodie"/>
    <s v="Poly Cotton"/>
    <s v="L"/>
    <s v="Grey"/>
    <n v="370"/>
  </r>
  <r>
    <x v="1063"/>
    <x v="73"/>
    <s v="JNS0832"/>
    <n v="1"/>
    <s v="Jeans"/>
    <s v="Pepe"/>
    <s v="Jogger"/>
    <s v="Denim"/>
    <n v="36"/>
    <s v="Royal Blue"/>
    <n v="910"/>
  </r>
  <r>
    <x v="1063"/>
    <x v="73"/>
    <s v="TSH0441"/>
    <n v="1"/>
    <s v="T-Shirt"/>
    <s v="Campus"/>
    <s v="Half Sleeve"/>
    <s v="Cotton Blend"/>
    <s v="XXL"/>
    <s v="Beige"/>
    <n v="260"/>
  </r>
  <r>
    <x v="1064"/>
    <x v="74"/>
    <s v="INW1505"/>
    <n v="1"/>
    <s v="Innerwear"/>
    <s v="Jockey"/>
    <s v="V-Cut"/>
    <s v="Cotton Blend"/>
    <s v="90-100"/>
    <s v="Wine"/>
    <n v="100"/>
  </r>
  <r>
    <x v="1064"/>
    <x v="74"/>
    <s v="TSH0390"/>
    <n v="1"/>
    <s v="T-Shirt"/>
    <s v="Roadster"/>
    <s v="Full Sleeve"/>
    <s v="Poly Cotton"/>
    <s v="XL"/>
    <s v="Olive"/>
    <n v="620"/>
  </r>
  <r>
    <x v="1064"/>
    <x v="74"/>
    <s v="TSH0563"/>
    <n v="1"/>
    <s v="T-Shirt"/>
    <s v="Urban Monkey"/>
    <s v="Sleeveless"/>
    <s v="Poly Cotton"/>
    <s v="XL"/>
    <s v="Wine"/>
    <n v="360"/>
  </r>
  <r>
    <x v="1064"/>
    <x v="74"/>
    <s v="INW1643"/>
    <n v="1"/>
    <s v="Innerwear"/>
    <s v="Lux"/>
    <s v="Boxer"/>
    <s v="Cotton Blend"/>
    <s v="100-105"/>
    <s v="Olive"/>
    <n v="190"/>
  </r>
  <r>
    <x v="1065"/>
    <x v="74"/>
    <s v="INW1626"/>
    <n v="1"/>
    <s v="Innerwear"/>
    <s v="V Star"/>
    <s v="V-Cut"/>
    <s v="Cotton Blend"/>
    <s v="80-85"/>
    <s v="Cream"/>
    <n v="140"/>
  </r>
  <r>
    <x v="1065"/>
    <x v="74"/>
    <s v="JNS0926"/>
    <n v="1"/>
    <s v="Jeans"/>
    <s v="Wrangler"/>
    <s v="Baggy"/>
    <s v="Denim"/>
    <n v="36"/>
    <s v="Maroon"/>
    <n v="960"/>
  </r>
  <r>
    <x v="1066"/>
    <x v="74"/>
    <s v="TSH0520"/>
    <n v="1"/>
    <s v="T-Shirt"/>
    <s v="Campus"/>
    <s v="Full Sleeve"/>
    <s v="Cotton"/>
    <s v="XXL"/>
    <s v="Teal"/>
    <n v="630"/>
  </r>
  <r>
    <x v="1067"/>
    <x v="74"/>
    <s v="TSH0740"/>
    <n v="1"/>
    <s v="T-Shirt"/>
    <s v="Urban Monkey"/>
    <s v="Sleeveless"/>
    <s v="Cotton Blend"/>
    <s v="XL"/>
    <s v="Rust"/>
    <n v="410"/>
  </r>
  <r>
    <x v="1067"/>
    <x v="74"/>
    <s v="TSH0390"/>
    <n v="1"/>
    <s v="T-Shirt"/>
    <s v="Roadster"/>
    <s v="Full Sleeve"/>
    <s v="Poly Cotton"/>
    <s v="XL"/>
    <s v="Olive"/>
    <n v="620"/>
  </r>
  <r>
    <x v="1067"/>
    <x v="74"/>
    <s v="SHT0097"/>
    <n v="1"/>
    <s v="Shirt"/>
    <s v="Luke &amp; Burg"/>
    <s v="Partywear"/>
    <s v="Cotton Blend"/>
    <s v="S"/>
    <s v="Wine"/>
    <n v="820"/>
  </r>
  <r>
    <x v="1067"/>
    <x v="74"/>
    <s v="JNS0872"/>
    <n v="1"/>
    <s v="Jeans"/>
    <s v="Denim Pro"/>
    <s v="Mom Fit"/>
    <s v="Denim"/>
    <n v="30"/>
    <s v="Peach"/>
    <n v="850"/>
  </r>
  <r>
    <x v="1068"/>
    <x v="74"/>
    <s v="PNT1101"/>
    <n v="1"/>
    <s v="Pants"/>
    <s v="Raymond"/>
    <s v="Korean"/>
    <s v="Lycra"/>
    <n v="30"/>
    <s v="Brown"/>
    <n v="870"/>
  </r>
  <r>
    <x v="1068"/>
    <x v="74"/>
    <s v="TSH0391"/>
    <n v="1"/>
    <s v="T-Shirt"/>
    <s v="Thailand"/>
    <s v="3/4 Sleeve"/>
    <s v="Cotton Blend"/>
    <s v="M"/>
    <s v="Navy Blue"/>
    <n v="400"/>
  </r>
  <r>
    <x v="1069"/>
    <x v="74"/>
    <s v="JNS0964"/>
    <n v="1"/>
    <s v="Jeans"/>
    <s v="Denim Pro"/>
    <s v="Baggy"/>
    <s v="Denim"/>
    <n v="38"/>
    <s v="Brown"/>
    <n v="970"/>
  </r>
  <r>
    <x v="1069"/>
    <x v="74"/>
    <s v="INW1646"/>
    <n v="1"/>
    <s v="Innerwear"/>
    <s v="Rupa"/>
    <s v="V-Cut"/>
    <s v="Cotton"/>
    <s v="85-90"/>
    <s v="Grey"/>
    <n v="160"/>
  </r>
  <r>
    <x v="1070"/>
    <x v="74"/>
    <s v="PNT1277"/>
    <n v="1"/>
    <s v="Pants"/>
    <s v="Park Avenue"/>
    <s v="Polofit"/>
    <s v="Lycra"/>
    <n v="42"/>
    <s v="Beige"/>
    <n v="820"/>
  </r>
  <r>
    <x v="1070"/>
    <x v="74"/>
    <s v="TSH0456"/>
    <n v="1"/>
    <s v="T-Shirt"/>
    <s v="Roadster"/>
    <s v="Half Sleeve"/>
    <s v="Poly Cotton"/>
    <s v="M"/>
    <s v="Cream"/>
    <n v="590"/>
  </r>
  <r>
    <x v="1071"/>
    <x v="74"/>
    <s v="INW1510"/>
    <n v="1"/>
    <s v="Innerwear"/>
    <s v="V Star"/>
    <s v="V-Cut"/>
    <s v="Cotton Blend"/>
    <s v="85-90"/>
    <s v="Peach"/>
    <n v="140"/>
  </r>
  <r>
    <x v="1071"/>
    <x v="74"/>
    <s v="SHT0243"/>
    <n v="1"/>
    <s v="Shirt"/>
    <s v="Max"/>
    <s v="Formal"/>
    <s v="Cotton"/>
    <s v="XL"/>
    <s v="Royal Blue"/>
    <n v="780"/>
  </r>
  <r>
    <x v="1071"/>
    <x v="74"/>
    <s v="SHT0266"/>
    <n v="1"/>
    <s v="Shirt"/>
    <s v="Max"/>
    <s v="Formal"/>
    <s v="Cotton"/>
    <s v="M"/>
    <s v="Navy Blue"/>
    <n v="880"/>
  </r>
  <r>
    <x v="1071"/>
    <x v="74"/>
    <s v="INW1575"/>
    <n v="1"/>
    <s v="Innerwear"/>
    <s v="Jockey"/>
    <s v="Boxer"/>
    <s v="Cotton"/>
    <s v="105-110"/>
    <s v="Charcoal"/>
    <n v="180"/>
  </r>
  <r>
    <x v="1072"/>
    <x v="74"/>
    <s v="JNS0814"/>
    <n v="1"/>
    <s v="Jeans"/>
    <s v="Wrangler"/>
    <s v="Baggy"/>
    <s v="Denim"/>
    <n v="42"/>
    <s v="Black"/>
    <n v="930"/>
  </r>
  <r>
    <x v="1072"/>
    <x v="74"/>
    <s v="INW1455"/>
    <n v="1"/>
    <s v="Innerwear"/>
    <s v="Dollar"/>
    <s v="Boxer"/>
    <s v="Cotton Blend"/>
    <s v="105-110"/>
    <s v="Dark Green"/>
    <n v="110"/>
  </r>
  <r>
    <x v="1072"/>
    <x v="74"/>
    <s v="INW1547"/>
    <n v="1"/>
    <s v="Innerwear"/>
    <s v="Rupa"/>
    <s v="Boxer"/>
    <s v="Cotton Blend"/>
    <s v="100-105"/>
    <s v="Sky Blue"/>
    <n v="150"/>
  </r>
  <r>
    <x v="1073"/>
    <x v="74"/>
    <s v="JNS0773"/>
    <n v="1"/>
    <s v="Jeans"/>
    <s v="Wrangler"/>
    <s v="Baggy"/>
    <s v="Denim"/>
    <n v="30"/>
    <s v="Navy Blue"/>
    <n v="1000"/>
  </r>
  <r>
    <x v="1074"/>
    <x v="74"/>
    <s v="TSH0702"/>
    <n v="1"/>
    <s v="T-Shirt"/>
    <s v="Turkey"/>
    <s v="Half Sleeve"/>
    <s v="Poly Cotton"/>
    <s v="M"/>
    <s v="Wine"/>
    <n v="470"/>
  </r>
  <r>
    <x v="1074"/>
    <x v="74"/>
    <s v="JNS1012"/>
    <n v="1"/>
    <s v="Jeans"/>
    <s v="Levis"/>
    <s v="Mom Fit"/>
    <s v="Denim"/>
    <n v="44"/>
    <s v="Olive"/>
    <n v="1040"/>
  </r>
  <r>
    <x v="1075"/>
    <x v="74"/>
    <s v="PNT1160"/>
    <n v="1"/>
    <s v="Pants"/>
    <s v="Peter England"/>
    <s v="Korean"/>
    <s v="Lycra"/>
    <n v="38"/>
    <s v="Peach"/>
    <n v="870"/>
  </r>
  <r>
    <x v="1075"/>
    <x v="74"/>
    <s v="JNS0954"/>
    <n v="1"/>
    <s v="Jeans"/>
    <s v="Levis"/>
    <s v="Baggy"/>
    <s v="Denim"/>
    <n v="32"/>
    <s v="Brown"/>
    <n v="970"/>
  </r>
  <r>
    <x v="1075"/>
    <x v="74"/>
    <s v="JNS0990"/>
    <n v="1"/>
    <s v="Jeans"/>
    <s v="Levis"/>
    <s v="Mom Fit"/>
    <s v="Denim"/>
    <n v="30"/>
    <s v="Maroon"/>
    <n v="990"/>
  </r>
  <r>
    <x v="1076"/>
    <x v="74"/>
    <s v="INW1570"/>
    <n v="1"/>
    <s v="Innerwear"/>
    <s v="Jockey"/>
    <s v="V-Cut"/>
    <s v="Cotton Blend"/>
    <s v="100-105"/>
    <s v="Brown"/>
    <n v="130"/>
  </r>
  <r>
    <x v="1077"/>
    <x v="74"/>
    <s v="TSH0537"/>
    <n v="1"/>
    <s v="T-Shirt"/>
    <s v="Thailand"/>
    <s v="Full Sleeve"/>
    <s v="Cotton"/>
    <s v="XL"/>
    <s v="Dark Green"/>
    <n v="280"/>
  </r>
  <r>
    <x v="1077"/>
    <x v="74"/>
    <s v="TSH0757"/>
    <n v="1"/>
    <s v="T-Shirt"/>
    <s v="Roadster"/>
    <s v="Half Sleeve"/>
    <s v="Poly Cotton"/>
    <s v="L"/>
    <s v="Rust"/>
    <n v="550"/>
  </r>
  <r>
    <x v="1078"/>
    <x v="74"/>
    <s v="SHT0277"/>
    <n v="1"/>
    <s v="Shirt"/>
    <s v="Thailand"/>
    <s v="Partywear"/>
    <s v="Cotton"/>
    <s v="XXL"/>
    <s v="Olive"/>
    <n v="850"/>
  </r>
  <r>
    <x v="1078"/>
    <x v="74"/>
    <s v="SHT0191"/>
    <n v="1"/>
    <s v="Shirt"/>
    <s v="Thailand"/>
    <s v="Casual"/>
    <s v="Cotton"/>
    <s v="XXL"/>
    <s v="Wine"/>
    <n v="840"/>
  </r>
  <r>
    <x v="1078"/>
    <x v="74"/>
    <s v="PNT1140"/>
    <n v="1"/>
    <s v="Pants"/>
    <s v="Peter England"/>
    <s v="Korean"/>
    <s v="Lycra"/>
    <n v="28"/>
    <s v="Brown"/>
    <n v="890"/>
  </r>
  <r>
    <x v="1079"/>
    <x v="74"/>
    <s v="INW1427"/>
    <n v="1"/>
    <s v="Innerwear"/>
    <s v="Lux"/>
    <s v="Boxer"/>
    <s v="Cotton"/>
    <s v="105-110"/>
    <s v="Maroon"/>
    <n v="180"/>
  </r>
  <r>
    <x v="1079"/>
    <x v="74"/>
    <s v="SHT0334"/>
    <n v="1"/>
    <s v="Shirt"/>
    <s v="Zara"/>
    <s v="Partywear"/>
    <s v="Lycra"/>
    <s v="XXL"/>
    <s v="Navy Blue"/>
    <n v="720"/>
  </r>
  <r>
    <x v="1080"/>
    <x v="74"/>
    <s v="SHT0010"/>
    <n v="1"/>
    <s v="Shirt"/>
    <s v="L7"/>
    <s v="Casual"/>
    <s v="Cotton Blend"/>
    <s v="XL"/>
    <s v="Teal"/>
    <n v="940"/>
  </r>
  <r>
    <x v="1080"/>
    <x v="74"/>
    <s v="SHT0110"/>
    <n v="1"/>
    <s v="Shirt"/>
    <s v="Max"/>
    <s v="Casual"/>
    <s v="Cotton Blend"/>
    <s v="S"/>
    <s v="Grey"/>
    <n v="710"/>
  </r>
  <r>
    <x v="1080"/>
    <x v="74"/>
    <s v="SHT0164"/>
    <n v="1"/>
    <s v="Shirt"/>
    <s v="Luke &amp; Burg"/>
    <s v="Partywear"/>
    <s v="Cotton Blend"/>
    <s v="S"/>
    <s v="Rust"/>
    <n v="940"/>
  </r>
  <r>
    <x v="1080"/>
    <x v="74"/>
    <s v="TSH0519"/>
    <n v="1"/>
    <s v="T-Shirt"/>
    <s v="Campus"/>
    <s v="Full Sleeve"/>
    <s v="Cotton Blend"/>
    <s v="S"/>
    <s v="Black"/>
    <n v="450"/>
  </r>
  <r>
    <x v="1081"/>
    <x v="75"/>
    <s v="SHT0156"/>
    <n v="1"/>
    <s v="Shirt"/>
    <s v="Luke &amp; Burg"/>
    <s v="Casual"/>
    <s v="Cotton"/>
    <s v="M"/>
    <s v="Rust"/>
    <n v="700"/>
  </r>
  <r>
    <x v="1082"/>
    <x v="75"/>
    <s v="INW1566"/>
    <n v="1"/>
    <s v="Innerwear"/>
    <s v="Rupa"/>
    <s v="Boxer"/>
    <s v="Cotton Blend"/>
    <s v="80-85"/>
    <s v="Teal"/>
    <n v="100"/>
  </r>
  <r>
    <x v="1083"/>
    <x v="75"/>
    <s v="TSH0511"/>
    <n v="1"/>
    <s v="T-Shirt"/>
    <s v="Roadster"/>
    <s v="Full Sleeve"/>
    <s v="Cotton"/>
    <s v="L"/>
    <s v="White"/>
    <n v="440"/>
  </r>
  <r>
    <x v="1084"/>
    <x v="75"/>
    <s v="TSH0722"/>
    <n v="1"/>
    <s v="T-Shirt"/>
    <s v="Roadster"/>
    <s v="Sleeveless"/>
    <s v="Cotton"/>
    <s v="XL"/>
    <s v="Rust"/>
    <n v="710"/>
  </r>
  <r>
    <x v="1084"/>
    <x v="75"/>
    <s v="PNT1112"/>
    <n v="1"/>
    <s v="Pants"/>
    <s v="Louis Philippe"/>
    <s v="Kurka"/>
    <s v="Lycra"/>
    <n v="40"/>
    <s v="Brown"/>
    <n v="940"/>
  </r>
  <r>
    <x v="1084"/>
    <x v="75"/>
    <s v="SHT0345"/>
    <n v="1"/>
    <s v="Shirt"/>
    <s v="British"/>
    <s v="Partywear"/>
    <s v="Cotton Blend"/>
    <s v="M"/>
    <s v="Brown"/>
    <n v="920"/>
  </r>
  <r>
    <x v="1085"/>
    <x v="75"/>
    <s v="PNT1079"/>
    <n v="1"/>
    <s v="Pants"/>
    <s v="Louis Philippe"/>
    <s v="Polofit"/>
    <s v="Lycra"/>
    <n v="40"/>
    <s v="Beige"/>
    <n v="910"/>
  </r>
  <r>
    <x v="1085"/>
    <x v="75"/>
    <s v="JNS0879"/>
    <n v="1"/>
    <s v="Jeans"/>
    <s v="Pepe"/>
    <s v="Jogger"/>
    <s v="Denim"/>
    <n v="44"/>
    <s v="White"/>
    <n v="1030"/>
  </r>
  <r>
    <x v="1086"/>
    <x v="75"/>
    <s v="INW1534"/>
    <n v="1"/>
    <s v="Innerwear"/>
    <s v="Rupa"/>
    <s v="Boxer"/>
    <s v="Cotton Blend"/>
    <s v="85-90"/>
    <s v="Mustard"/>
    <n v="180"/>
  </r>
  <r>
    <x v="1086"/>
    <x v="75"/>
    <s v="INW1406"/>
    <n v="1"/>
    <s v="Innerwear"/>
    <s v="V Star"/>
    <s v="V-Cut"/>
    <s v="Cotton"/>
    <s v="80-85"/>
    <s v="Black"/>
    <n v="160"/>
  </r>
  <r>
    <x v="1086"/>
    <x v="75"/>
    <s v="SHT0343"/>
    <n v="1"/>
    <s v="Shirt"/>
    <s v="Zara"/>
    <s v="Formal"/>
    <s v="Cotton"/>
    <s v="XL"/>
    <s v="Cream"/>
    <n v="840"/>
  </r>
  <r>
    <x v="1086"/>
    <x v="75"/>
    <s v="TSH0714"/>
    <n v="1"/>
    <s v="T-Shirt"/>
    <s v="Campus"/>
    <s v="3/4 Sleeve"/>
    <s v="Cotton"/>
    <s v="M"/>
    <s v="Cream"/>
    <n v="720"/>
  </r>
  <r>
    <x v="1087"/>
    <x v="75"/>
    <s v="TSH0718"/>
    <n v="1"/>
    <s v="T-Shirt"/>
    <s v="Zara"/>
    <s v="Full Sleeve"/>
    <s v="Poly Cotton"/>
    <s v="XXL"/>
    <s v="Bottle Green"/>
    <n v="290"/>
  </r>
  <r>
    <x v="1088"/>
    <x v="75"/>
    <s v="SHT0063"/>
    <n v="1"/>
    <s v="Shirt"/>
    <s v="Thailand"/>
    <s v="Formal"/>
    <s v="Cotton"/>
    <s v="XXL"/>
    <s v="Bottle Green"/>
    <n v="690"/>
  </r>
  <r>
    <x v="1088"/>
    <x v="75"/>
    <s v="INW1529"/>
    <n v="1"/>
    <s v="Innerwear"/>
    <s v="Lux"/>
    <s v="Boxer"/>
    <s v="Cotton Blend"/>
    <s v="100-105"/>
    <s v="Brown"/>
    <n v="110"/>
  </r>
  <r>
    <x v="1088"/>
    <x v="75"/>
    <s v="TSH0385"/>
    <n v="1"/>
    <s v="T-Shirt"/>
    <s v="Max"/>
    <s v="Full Sleeve"/>
    <s v="Poly Cotton"/>
    <s v="XL"/>
    <s v="Mustard"/>
    <n v="320"/>
  </r>
  <r>
    <x v="1089"/>
    <x v="75"/>
    <s v="TSH0599"/>
    <n v="1"/>
    <s v="T-Shirt"/>
    <s v="Turkey"/>
    <s v="3/4 Sleeve"/>
    <s v="Cotton Blend"/>
    <s v="L"/>
    <s v="Grey"/>
    <n v="700"/>
  </r>
  <r>
    <x v="1089"/>
    <x v="75"/>
    <s v="TSH0684"/>
    <n v="1"/>
    <s v="T-Shirt"/>
    <s v="Turkey"/>
    <s v="Full Sleeve"/>
    <s v="Poly Cotton"/>
    <s v="L"/>
    <s v="Grey"/>
    <n v="320"/>
  </r>
  <r>
    <x v="1089"/>
    <x v="75"/>
    <s v="TSH0535"/>
    <n v="1"/>
    <s v="T-Shirt"/>
    <s v="Zara"/>
    <s v="3/4 Sleeve"/>
    <s v="Poly Cotton"/>
    <s v="XXL"/>
    <s v="Peach"/>
    <n v="600"/>
  </r>
  <r>
    <x v="1089"/>
    <x v="75"/>
    <s v="INW1526"/>
    <n v="1"/>
    <s v="Innerwear"/>
    <s v="Rupa"/>
    <s v="Boxer"/>
    <s v="Cotton"/>
    <s v="90-100"/>
    <s v="Sky Blue"/>
    <n v="140"/>
  </r>
  <r>
    <x v="1090"/>
    <x v="75"/>
    <s v="JNS0868"/>
    <n v="1"/>
    <s v="Jeans"/>
    <s v="Spykar"/>
    <s v="Jogger"/>
    <s v="Denim"/>
    <n v="38"/>
    <s v="Navy Blue"/>
    <n v="920"/>
  </r>
  <r>
    <x v="1091"/>
    <x v="75"/>
    <s v="SHT0319"/>
    <n v="1"/>
    <s v="Shirt"/>
    <s v="USD"/>
    <s v="Partywear"/>
    <s v="Polyester"/>
    <s v="L"/>
    <s v="Grey"/>
    <n v="950"/>
  </r>
  <r>
    <x v="1091"/>
    <x v="75"/>
    <s v="SHT0057"/>
    <n v="1"/>
    <s v="Shirt"/>
    <s v="H&amp;M"/>
    <s v="Casual"/>
    <s v="Lycra"/>
    <s v="M"/>
    <s v="Olive"/>
    <n v="760"/>
  </r>
  <r>
    <x v="1092"/>
    <x v="75"/>
    <s v="PNT1326"/>
    <n v="1"/>
    <s v="Pants"/>
    <s v="Louis Philippe"/>
    <s v="Boot Cut"/>
    <s v="Poly Viscose"/>
    <n v="30"/>
    <s v="Mustard"/>
    <n v="860"/>
  </r>
  <r>
    <x v="1093"/>
    <x v="75"/>
    <s v="PNT1243"/>
    <n v="1"/>
    <s v="Pants"/>
    <s v="Van Heusen"/>
    <s v="Korean"/>
    <s v="Lycra"/>
    <n v="30"/>
    <s v="Grey"/>
    <n v="930"/>
  </r>
  <r>
    <x v="1093"/>
    <x v="75"/>
    <s v="PNT1330"/>
    <n v="1"/>
    <s v="Pants"/>
    <s v="Peter England"/>
    <s v="Kurka"/>
    <s v="Lycra"/>
    <n v="28"/>
    <s v="Maroon"/>
    <n v="760"/>
  </r>
  <r>
    <x v="1093"/>
    <x v="75"/>
    <s v="TSH0535"/>
    <n v="1"/>
    <s v="T-Shirt"/>
    <s v="Zara"/>
    <s v="3/4 Sleeve"/>
    <s v="Poly Cotton"/>
    <s v="XXL"/>
    <s v="Peach"/>
    <n v="600"/>
  </r>
  <r>
    <x v="1094"/>
    <x v="75"/>
    <s v="PNT1176"/>
    <n v="1"/>
    <s v="Pants"/>
    <s v="Raymond"/>
    <s v="Korean"/>
    <s v="Lycra"/>
    <n v="30"/>
    <s v="Black"/>
    <n v="750"/>
  </r>
  <r>
    <x v="1095"/>
    <x v="75"/>
    <s v="SHT0160"/>
    <n v="1"/>
    <s v="Shirt"/>
    <s v="Max"/>
    <s v="Formal"/>
    <s v="Cotton Blend"/>
    <s v="M"/>
    <s v="Navy Blue"/>
    <n v="740"/>
  </r>
  <r>
    <x v="1095"/>
    <x v="75"/>
    <s v="JNS0874"/>
    <n v="1"/>
    <s v="Jeans"/>
    <s v="Spykar"/>
    <s v="Mom Fit"/>
    <s v="Denim"/>
    <n v="34"/>
    <s v="White"/>
    <n v="940"/>
  </r>
  <r>
    <x v="1095"/>
    <x v="75"/>
    <s v="TSH0566"/>
    <n v="1"/>
    <s v="T-Shirt"/>
    <s v="Urban Monkey"/>
    <s v="Half Sleeve"/>
    <s v="Cotton"/>
    <s v="S"/>
    <s v="Cream"/>
    <n v="350"/>
  </r>
  <r>
    <x v="1095"/>
    <x v="75"/>
    <s v="TSH0617"/>
    <n v="1"/>
    <s v="T-Shirt"/>
    <s v="Urban Monkey"/>
    <s v="Sleeveless"/>
    <s v="Cotton Blend"/>
    <s v="M"/>
    <s v="Sky Blue"/>
    <n v="700"/>
  </r>
  <r>
    <x v="1096"/>
    <x v="75"/>
    <s v="SHT0063"/>
    <n v="1"/>
    <s v="Shirt"/>
    <s v="Thailand"/>
    <s v="Formal"/>
    <s v="Cotton"/>
    <s v="XXL"/>
    <s v="Bottle Green"/>
    <n v="690"/>
  </r>
  <r>
    <x v="1096"/>
    <x v="75"/>
    <s v="TSH0453"/>
    <n v="1"/>
    <s v="T-Shirt"/>
    <s v="Thailand"/>
    <s v="Half Sleeve"/>
    <s v="Cotton Blend"/>
    <s v="M"/>
    <s v="Peach"/>
    <n v="710"/>
  </r>
  <r>
    <x v="1096"/>
    <x v="75"/>
    <s v="PNT1106"/>
    <n v="1"/>
    <s v="Pants"/>
    <s v="Park Avenue"/>
    <s v="Polofit"/>
    <s v="Lycra"/>
    <n v="30"/>
    <s v="Grey"/>
    <n v="760"/>
  </r>
  <r>
    <x v="1096"/>
    <x v="75"/>
    <s v="TSH0654"/>
    <n v="1"/>
    <s v="T-Shirt"/>
    <s v="Campus"/>
    <s v="Half Sleeve"/>
    <s v="Cotton Blend"/>
    <s v="XL"/>
    <s v="Bottle Green"/>
    <n v="700"/>
  </r>
  <r>
    <x v="1097"/>
    <x v="76"/>
    <s v="TSH0598"/>
    <n v="1"/>
    <s v="T-Shirt"/>
    <s v="Max"/>
    <s v="Hoodie"/>
    <s v="Poly Cotton"/>
    <s v="XXL"/>
    <s v="Mustard"/>
    <n v="420"/>
  </r>
  <r>
    <x v="1097"/>
    <x v="76"/>
    <s v="SHT0214"/>
    <n v="1"/>
    <s v="Shirt"/>
    <s v="Max"/>
    <s v="Partywear"/>
    <s v="Cotton Blend"/>
    <s v="L"/>
    <s v="Maroon"/>
    <n v="800"/>
  </r>
  <r>
    <x v="1097"/>
    <x v="76"/>
    <s v="SHT0190"/>
    <n v="1"/>
    <s v="Shirt"/>
    <s v="L7"/>
    <s v="Casual"/>
    <s v="Cotton Blend"/>
    <s v="XL"/>
    <s v="White"/>
    <n v="870"/>
  </r>
  <r>
    <x v="1097"/>
    <x v="76"/>
    <s v="TSH0569"/>
    <n v="1"/>
    <s v="T-Shirt"/>
    <s v="Urban Monkey"/>
    <s v="Sleeveless"/>
    <s v="Poly Cotton"/>
    <s v="XXL"/>
    <s v="Teal"/>
    <n v="340"/>
  </r>
  <r>
    <x v="1098"/>
    <x v="76"/>
    <s v="TSH0628"/>
    <n v="1"/>
    <s v="T-Shirt"/>
    <s v="Urban Monkey"/>
    <s v="Sleeveless"/>
    <s v="Cotton Blend"/>
    <s v="L"/>
    <s v="Sky Blue"/>
    <n v="270"/>
  </r>
  <r>
    <x v="1099"/>
    <x v="76"/>
    <s v="PNT1178"/>
    <n v="1"/>
    <s v="Pants"/>
    <s v="Louis Philippe"/>
    <s v="Boot Cut"/>
    <s v="Cotton"/>
    <n v="40"/>
    <s v="Grey"/>
    <n v="800"/>
  </r>
  <r>
    <x v="1099"/>
    <x v="76"/>
    <s v="TSH0735"/>
    <n v="1"/>
    <s v="T-Shirt"/>
    <s v="Thailand"/>
    <s v="Half Sleeve"/>
    <s v="Poly Cotton"/>
    <s v="S"/>
    <s v="Rust"/>
    <n v="370"/>
  </r>
  <r>
    <x v="1100"/>
    <x v="76"/>
    <s v="INW1410"/>
    <n v="1"/>
    <s v="Innerwear"/>
    <s v="Dollar"/>
    <s v="V-Cut"/>
    <s v="Cotton Blend"/>
    <s v="105-110"/>
    <s v="Brown"/>
    <n v="150"/>
  </r>
  <r>
    <x v="1100"/>
    <x v="76"/>
    <s v="INW1397"/>
    <n v="1"/>
    <s v="Innerwear"/>
    <s v="Jockey"/>
    <s v="V-Cut"/>
    <s v="Cotton"/>
    <s v="85-90"/>
    <s v="Grey"/>
    <n v="100"/>
  </r>
  <r>
    <x v="1100"/>
    <x v="76"/>
    <s v="TSH0400"/>
    <n v="1"/>
    <s v="T-Shirt"/>
    <s v="Turkey"/>
    <s v="Sleeveless"/>
    <s v="Cotton Blend"/>
    <s v="S"/>
    <s v="Bottle Green"/>
    <n v="720"/>
  </r>
  <r>
    <x v="1100"/>
    <x v="76"/>
    <s v="PNT1354"/>
    <n v="1"/>
    <s v="Pants"/>
    <s v="Peter England"/>
    <s v="Kurka"/>
    <s v="Lycra"/>
    <n v="34"/>
    <s v="Rust"/>
    <n v="770"/>
  </r>
  <r>
    <x v="1101"/>
    <x v="76"/>
    <s v="PNT1364"/>
    <n v="1"/>
    <s v="Pants"/>
    <s v="Van Heusen"/>
    <s v="Korean"/>
    <s v="Lycra"/>
    <n v="40"/>
    <s v="Rust"/>
    <n v="700"/>
  </r>
  <r>
    <x v="1102"/>
    <x v="76"/>
    <s v="INW1522"/>
    <n v="1"/>
    <s v="Innerwear"/>
    <s v="Lux"/>
    <s v="V-Cut"/>
    <s v="Cotton"/>
    <s v="80-85"/>
    <s v="Maroon"/>
    <n v="120"/>
  </r>
  <r>
    <x v="1102"/>
    <x v="76"/>
    <s v="SHT0078"/>
    <n v="1"/>
    <s v="Shirt"/>
    <s v="Max"/>
    <s v="Partywear"/>
    <s v="Polyester"/>
    <s v="XXL"/>
    <s v="Cream"/>
    <n v="900"/>
  </r>
  <r>
    <x v="1103"/>
    <x v="76"/>
    <s v="TSH0572"/>
    <n v="1"/>
    <s v="T-Shirt"/>
    <s v="Turkey"/>
    <s v="3/4 Sleeve"/>
    <s v="Poly Cotton"/>
    <s v="XL"/>
    <s v="Wine"/>
    <n v="690"/>
  </r>
  <r>
    <x v="1103"/>
    <x v="76"/>
    <s v="TSH0766"/>
    <n v="1"/>
    <s v="T-Shirt"/>
    <s v="Turkey"/>
    <s v="Hoodie"/>
    <s v="Poly Cotton"/>
    <s v="L"/>
    <s v="Peach"/>
    <n v="570"/>
  </r>
  <r>
    <x v="1103"/>
    <x v="76"/>
    <s v="JNS0823"/>
    <n v="1"/>
    <s v="Jeans"/>
    <s v="Denim Pro"/>
    <s v="Mom Fit"/>
    <s v="Denim"/>
    <n v="44"/>
    <s v="White"/>
    <n v="1050"/>
  </r>
  <r>
    <x v="1104"/>
    <x v="76"/>
    <s v="INW1464"/>
    <n v="1"/>
    <s v="Innerwear"/>
    <s v="Rupa"/>
    <s v="V-Cut"/>
    <s v="Cotton"/>
    <s v="105-110"/>
    <s v="White"/>
    <n v="160"/>
  </r>
  <r>
    <x v="1105"/>
    <x v="76"/>
    <s v="TSH0441"/>
    <n v="1"/>
    <s v="T-Shirt"/>
    <s v="Campus"/>
    <s v="Half Sleeve"/>
    <s v="Cotton Blend"/>
    <s v="XXL"/>
    <s v="Beige"/>
    <n v="260"/>
  </r>
  <r>
    <x v="1106"/>
    <x v="76"/>
    <s v="SHT0292"/>
    <n v="1"/>
    <s v="Shirt"/>
    <s v="H&amp;M"/>
    <s v="Casual"/>
    <s v="Cotton"/>
    <s v="XL"/>
    <s v="Wine"/>
    <n v="760"/>
  </r>
  <r>
    <x v="1106"/>
    <x v="76"/>
    <s v="INW1553"/>
    <n v="1"/>
    <s v="Innerwear"/>
    <s v="Dollar"/>
    <s v="V-Cut"/>
    <s v="Cotton Blend"/>
    <s v="80-85"/>
    <s v="Mustard"/>
    <n v="160"/>
  </r>
  <r>
    <x v="1106"/>
    <x v="76"/>
    <s v="PNT1226"/>
    <n v="1"/>
    <s v="Pants"/>
    <s v="Louis Philippe"/>
    <s v="Jogger"/>
    <s v="Cotton Blend"/>
    <n v="44"/>
    <s v="Brown"/>
    <n v="850"/>
  </r>
  <r>
    <x v="1107"/>
    <x v="76"/>
    <s v="TSH0658"/>
    <n v="1"/>
    <s v="T-Shirt"/>
    <s v="Campus"/>
    <s v="Hoodie"/>
    <s v="Cotton"/>
    <s v="XL"/>
    <s v="White"/>
    <n v="330"/>
  </r>
  <r>
    <x v="1107"/>
    <x v="76"/>
    <s v="PNT1238"/>
    <n v="1"/>
    <s v="Pants"/>
    <s v="Van Heusen"/>
    <s v="Korean"/>
    <s v="Lycra"/>
    <n v="28"/>
    <s v="Dark Green"/>
    <n v="870"/>
  </r>
  <r>
    <x v="1107"/>
    <x v="76"/>
    <s v="INW1517"/>
    <n v="1"/>
    <s v="Innerwear"/>
    <s v="Jockey"/>
    <s v="V-Cut"/>
    <s v="Cotton Blend"/>
    <s v="75-80"/>
    <s v="Cream"/>
    <n v="160"/>
  </r>
  <r>
    <x v="1108"/>
    <x v="76"/>
    <s v="JNS0776"/>
    <n v="1"/>
    <s v="Jeans"/>
    <s v="Pepe"/>
    <s v="Mom Fit"/>
    <s v="Denim"/>
    <n v="36"/>
    <s v="Navy Blue"/>
    <n v="1080"/>
  </r>
  <r>
    <x v="1108"/>
    <x v="76"/>
    <s v="TSH0687"/>
    <n v="1"/>
    <s v="T-Shirt"/>
    <s v="Thailand"/>
    <s v="Full Sleeve"/>
    <s v="Poly Cotton"/>
    <s v="M"/>
    <s v="Sky Blue"/>
    <n v="450"/>
  </r>
  <r>
    <x v="1108"/>
    <x v="76"/>
    <s v="SHT0340"/>
    <n v="1"/>
    <s v="Shirt"/>
    <s v="Luke &amp; Burg"/>
    <s v="Formal"/>
    <s v="Lycra"/>
    <s v="XL"/>
    <s v="Teal"/>
    <n v="820"/>
  </r>
  <r>
    <x v="1108"/>
    <x v="76"/>
    <s v="SHT0226"/>
    <n v="1"/>
    <s v="Shirt"/>
    <s v="Luke &amp; Burg"/>
    <s v="Partywear"/>
    <s v="Cotton Blend"/>
    <s v="S"/>
    <s v="Teal"/>
    <n v="860"/>
  </r>
  <r>
    <x v="1109"/>
    <x v="76"/>
    <s v="PNT1112"/>
    <n v="1"/>
    <s v="Pants"/>
    <s v="Louis Philippe"/>
    <s v="Kurka"/>
    <s v="Lycra"/>
    <n v="40"/>
    <s v="Brown"/>
    <n v="940"/>
  </r>
  <r>
    <x v="1110"/>
    <x v="76"/>
    <s v="JNS0880"/>
    <n v="1"/>
    <s v="Jeans"/>
    <s v="Levis"/>
    <s v="Baggy"/>
    <s v="Denim"/>
    <n v="36"/>
    <s v="Cream"/>
    <n v="870"/>
  </r>
  <r>
    <x v="1111"/>
    <x v="76"/>
    <s v="INW1541"/>
    <n v="1"/>
    <s v="Innerwear"/>
    <s v="Dollar"/>
    <s v="Boxer"/>
    <s v="Cotton"/>
    <s v="90-100"/>
    <s v="Navy Blue"/>
    <n v="160"/>
  </r>
  <r>
    <x v="1112"/>
    <x v="76"/>
    <s v="TSH0404"/>
    <n v="1"/>
    <s v="T-Shirt"/>
    <s v="Urban Monkey"/>
    <s v="Full Sleeve"/>
    <s v="Poly Cotton"/>
    <s v="L"/>
    <s v="Olive"/>
    <n v="290"/>
  </r>
  <r>
    <x v="1112"/>
    <x v="76"/>
    <s v="TSH0683"/>
    <n v="1"/>
    <s v="T-Shirt"/>
    <s v="Turkey"/>
    <s v="3/4 Sleeve"/>
    <s v="Cotton"/>
    <s v="XL"/>
    <s v="Wine"/>
    <n v="430"/>
  </r>
  <r>
    <x v="1113"/>
    <x v="76"/>
    <s v="JNS0929"/>
    <n v="1"/>
    <s v="Jeans"/>
    <s v="Pepe"/>
    <s v="Baggy"/>
    <s v="Denim"/>
    <n v="44"/>
    <s v="Cream"/>
    <n v="830"/>
  </r>
  <r>
    <x v="1113"/>
    <x v="76"/>
    <s v="PNT1192"/>
    <n v="1"/>
    <s v="Pants"/>
    <s v="Raymond"/>
    <s v="Boot Cut"/>
    <s v="Poly Viscose"/>
    <n v="32"/>
    <s v="Cream"/>
    <n v="760"/>
  </r>
  <r>
    <x v="1113"/>
    <x v="76"/>
    <s v="JNS0810"/>
    <n v="1"/>
    <s v="Jeans"/>
    <s v="Levis"/>
    <s v="Baggy"/>
    <s v="Denim"/>
    <n v="36"/>
    <s v="White"/>
    <n v="1020"/>
  </r>
  <r>
    <x v="1114"/>
    <x v="76"/>
    <s v="PNT1358"/>
    <n v="1"/>
    <s v="Pants"/>
    <s v="Louis Philippe"/>
    <s v="Boot Cut"/>
    <s v="Poly Viscose"/>
    <n v="40"/>
    <s v="Teal"/>
    <n v="850"/>
  </r>
  <r>
    <x v="1115"/>
    <x v="76"/>
    <s v="SHT0080"/>
    <n v="1"/>
    <s v="Shirt"/>
    <s v="G Studio"/>
    <s v="Casual"/>
    <s v="Polyester"/>
    <s v="S"/>
    <s v="Brown"/>
    <n v="850"/>
  </r>
  <r>
    <x v="1115"/>
    <x v="76"/>
    <s v="INW1409"/>
    <n v="1"/>
    <s v="Innerwear"/>
    <s v="Lux"/>
    <s v="V-Cut"/>
    <s v="Cotton Blend"/>
    <s v="105-110"/>
    <s v="Mustard"/>
    <n v="130"/>
  </r>
  <r>
    <x v="1116"/>
    <x v="76"/>
    <s v="INW1513"/>
    <n v="1"/>
    <s v="Innerwear"/>
    <s v="Dollar"/>
    <s v="Boxer"/>
    <s v="Cotton"/>
    <s v="75-80"/>
    <s v="Teal"/>
    <n v="160"/>
  </r>
  <r>
    <x v="1116"/>
    <x v="76"/>
    <s v="PNT1167"/>
    <n v="1"/>
    <s v="Pants"/>
    <s v="Louis Philippe"/>
    <s v="Jogger"/>
    <s v="Cotton Blend"/>
    <n v="44"/>
    <s v="Mustard"/>
    <n v="830"/>
  </r>
  <r>
    <x v="1116"/>
    <x v="76"/>
    <s v="SHT0116"/>
    <n v="1"/>
    <s v="Shirt"/>
    <s v="G Studio"/>
    <s v="Formal"/>
    <s v="Polyester"/>
    <s v="XXL"/>
    <s v="Royal Blue"/>
    <n v="660"/>
  </r>
  <r>
    <x v="1116"/>
    <x v="76"/>
    <s v="INW1433"/>
    <n v="1"/>
    <s v="Innerwear"/>
    <s v="Lux"/>
    <s v="V-Cut"/>
    <s v="Cotton Blend"/>
    <s v="75-80"/>
    <s v="Sky Blue"/>
    <n v="150"/>
  </r>
  <r>
    <x v="1117"/>
    <x v="77"/>
    <s v="JNS0816"/>
    <n v="1"/>
    <s v="Jeans"/>
    <s v="Locomotive"/>
    <s v="Baggy"/>
    <s v="Denim"/>
    <n v="44"/>
    <s v="Peach"/>
    <n v="1000"/>
  </r>
  <r>
    <x v="1117"/>
    <x v="77"/>
    <s v="INW1433"/>
    <n v="1"/>
    <s v="Innerwear"/>
    <s v="Lux"/>
    <s v="V-Cut"/>
    <s v="Cotton Blend"/>
    <s v="75-80"/>
    <s v="Sky Blue"/>
    <n v="150"/>
  </r>
  <r>
    <x v="1118"/>
    <x v="77"/>
    <s v="SHT0298"/>
    <n v="1"/>
    <s v="Shirt"/>
    <s v="Thailand"/>
    <s v="Casual"/>
    <s v="Cotton"/>
    <s v="L"/>
    <s v="Mustard"/>
    <n v="880"/>
  </r>
  <r>
    <x v="1119"/>
    <x v="77"/>
    <s v="SHT0209"/>
    <n v="1"/>
    <s v="Shirt"/>
    <s v="L7"/>
    <s v="Formal"/>
    <s v="Polyester"/>
    <s v="XXL"/>
    <s v="Rust"/>
    <n v="930"/>
  </r>
  <r>
    <x v="1120"/>
    <x v="77"/>
    <s v="SHT0076"/>
    <n v="1"/>
    <s v="Shirt"/>
    <s v="USD"/>
    <s v="Partywear"/>
    <s v="Polyester"/>
    <s v="S"/>
    <s v="Dark Green"/>
    <n v="710"/>
  </r>
  <r>
    <x v="1120"/>
    <x v="77"/>
    <s v="SHT0141"/>
    <n v="1"/>
    <s v="Shirt"/>
    <s v="British"/>
    <s v="Formal"/>
    <s v="Lycra"/>
    <s v="XXL"/>
    <s v="Rust"/>
    <n v="790"/>
  </r>
  <r>
    <x v="1120"/>
    <x v="77"/>
    <s v="TSH0427"/>
    <n v="1"/>
    <s v="T-Shirt"/>
    <s v="Max"/>
    <s v="Sleeveless"/>
    <s v="Poly Cotton"/>
    <s v="XL"/>
    <s v="Peach"/>
    <n v="700"/>
  </r>
  <r>
    <x v="1120"/>
    <x v="77"/>
    <s v="TSH0637"/>
    <n v="1"/>
    <s v="T-Shirt"/>
    <s v="Zara"/>
    <s v="Sleeveless"/>
    <s v="Cotton"/>
    <s v="XL"/>
    <s v="Grey"/>
    <n v="340"/>
  </r>
  <r>
    <x v="1121"/>
    <x v="77"/>
    <s v="TSH0419"/>
    <n v="1"/>
    <s v="T-Shirt"/>
    <s v="Max"/>
    <s v="Hoodie"/>
    <s v="Cotton"/>
    <s v="L"/>
    <s v="Teal"/>
    <n v="650"/>
  </r>
  <r>
    <x v="1121"/>
    <x v="77"/>
    <s v="SHT0075"/>
    <n v="1"/>
    <s v="Shirt"/>
    <s v="Luke &amp; Burg"/>
    <s v="Formal"/>
    <s v="Lycra"/>
    <s v="S"/>
    <s v="Sky Blue"/>
    <n v="810"/>
  </r>
  <r>
    <x v="1122"/>
    <x v="77"/>
    <s v="JNS0891"/>
    <n v="1"/>
    <s v="Jeans"/>
    <s v="Wrangler"/>
    <s v="Mom Fit"/>
    <s v="Denim"/>
    <n v="42"/>
    <s v="Peach"/>
    <n v="990"/>
  </r>
  <r>
    <x v="1122"/>
    <x v="77"/>
    <s v="SHT0173"/>
    <n v="1"/>
    <s v="Shirt"/>
    <s v="Luke &amp; Burg"/>
    <s v="Casual"/>
    <s v="Lycra"/>
    <s v="S"/>
    <s v="Cream"/>
    <n v="650"/>
  </r>
  <r>
    <x v="1123"/>
    <x v="77"/>
    <s v="TSH0577"/>
    <n v="1"/>
    <s v="T-Shirt"/>
    <s v="Campus"/>
    <s v="Half Sleeve"/>
    <s v="Cotton Blend"/>
    <s v="S"/>
    <s v="Mustard"/>
    <n v="420"/>
  </r>
  <r>
    <x v="1123"/>
    <x v="77"/>
    <s v="TSH0433"/>
    <n v="1"/>
    <s v="T-Shirt"/>
    <s v="Urban Monkey"/>
    <s v="Half Sleeve"/>
    <s v="Cotton Blend"/>
    <s v="S"/>
    <s v="Charcoal"/>
    <n v="460"/>
  </r>
  <r>
    <x v="1123"/>
    <x v="77"/>
    <s v="JNS1045"/>
    <n v="1"/>
    <s v="Jeans"/>
    <s v="Pepe"/>
    <s v="Jogger"/>
    <s v="Denim"/>
    <n v="28"/>
    <s v="Sky Blue"/>
    <n v="1030"/>
  </r>
  <r>
    <x v="1123"/>
    <x v="77"/>
    <s v="TSH0401"/>
    <n v="1"/>
    <s v="T-Shirt"/>
    <s v="Campus"/>
    <s v="3/4 Sleeve"/>
    <s v="Cotton"/>
    <s v="L"/>
    <s v="Maroon"/>
    <n v="310"/>
  </r>
  <r>
    <x v="1124"/>
    <x v="77"/>
    <s v="SHT0170"/>
    <n v="1"/>
    <s v="Shirt"/>
    <s v="H&amp;M"/>
    <s v="Casual"/>
    <s v="Lycra"/>
    <s v="XL"/>
    <s v="Sky Blue"/>
    <n v="870"/>
  </r>
  <r>
    <x v="1125"/>
    <x v="77"/>
    <s v="TSH0652"/>
    <n v="1"/>
    <s v="T-Shirt"/>
    <s v="Urban Monkey"/>
    <s v="Sleeveless"/>
    <s v="Cotton"/>
    <s v="XXL"/>
    <s v="Dark Green"/>
    <n v="470"/>
  </r>
  <r>
    <x v="1126"/>
    <x v="77"/>
    <s v="SHT0151"/>
    <n v="1"/>
    <s v="Shirt"/>
    <s v="H&amp;M"/>
    <s v="Casual"/>
    <s v="Lycra"/>
    <s v="M"/>
    <s v="Olive"/>
    <n v="720"/>
  </r>
  <r>
    <x v="1127"/>
    <x v="77"/>
    <s v="TSH0677"/>
    <n v="1"/>
    <s v="T-Shirt"/>
    <s v="Campus"/>
    <s v="Hoodie"/>
    <s v="Cotton"/>
    <s v="S"/>
    <s v="Teal"/>
    <n v="750"/>
  </r>
  <r>
    <x v="1128"/>
    <x v="77"/>
    <s v="PNT1219"/>
    <n v="1"/>
    <s v="Pants"/>
    <s v="Park Avenue"/>
    <s v="Boot Cut"/>
    <s v="Poly Viscose"/>
    <n v="38"/>
    <s v="Rust"/>
    <n v="940"/>
  </r>
  <r>
    <x v="1128"/>
    <x v="77"/>
    <s v="SHT0230"/>
    <n v="1"/>
    <s v="Shirt"/>
    <s v="USD"/>
    <s v="Partywear"/>
    <s v="Lycra"/>
    <s v="XL"/>
    <s v="White"/>
    <n v="690"/>
  </r>
  <r>
    <x v="1129"/>
    <x v="77"/>
    <s v="PNT1220"/>
    <n v="1"/>
    <s v="Pants"/>
    <s v="Peter England"/>
    <s v="Kurka"/>
    <s v="Lycra"/>
    <n v="34"/>
    <s v="Sky Blue"/>
    <n v="730"/>
  </r>
  <r>
    <x v="1130"/>
    <x v="77"/>
    <s v="TSH0460"/>
    <n v="1"/>
    <s v="T-Shirt"/>
    <s v="Roadster"/>
    <s v="Hoodie"/>
    <s v="Poly Cotton"/>
    <s v="XXL"/>
    <s v="Brown"/>
    <n v="610"/>
  </r>
  <r>
    <x v="1130"/>
    <x v="77"/>
    <s v="TSH0746"/>
    <n v="1"/>
    <s v="T-Shirt"/>
    <s v="Urban Monkey"/>
    <s v="3/4 Sleeve"/>
    <s v="Cotton Blend"/>
    <s v="XL"/>
    <s v="Light Grey"/>
    <n v="380"/>
  </r>
  <r>
    <x v="1131"/>
    <x v="77"/>
    <s v="PNT1116"/>
    <n v="1"/>
    <s v="Pants"/>
    <s v="Peter England"/>
    <s v="Korean"/>
    <s v="Lycra"/>
    <n v="40"/>
    <s v="Sky Blue"/>
    <n v="830"/>
  </r>
  <r>
    <x v="1131"/>
    <x v="77"/>
    <s v="JNS0801"/>
    <n v="1"/>
    <s v="Jeans"/>
    <s v="Denim Pro"/>
    <s v="Mom Fit"/>
    <s v="Denim"/>
    <n v="40"/>
    <s v="Brown"/>
    <n v="960"/>
  </r>
  <r>
    <x v="1132"/>
    <x v="77"/>
    <s v="JNS0922"/>
    <n v="1"/>
    <s v="Jeans"/>
    <s v="Pepe"/>
    <s v="Baggy"/>
    <s v="Denim"/>
    <n v="44"/>
    <s v="Sky Blue"/>
    <n v="1030"/>
  </r>
  <r>
    <x v="1132"/>
    <x v="77"/>
    <s v="INW1617"/>
    <n v="1"/>
    <s v="Innerwear"/>
    <s v="V Star"/>
    <s v="V-Cut"/>
    <s v="Cotton Blend"/>
    <s v="75-80"/>
    <s v="Teal"/>
    <n v="150"/>
  </r>
  <r>
    <x v="1133"/>
    <x v="77"/>
    <s v="TSH0549"/>
    <n v="1"/>
    <s v="T-Shirt"/>
    <s v="Roadster"/>
    <s v="Hoodie"/>
    <s v="Poly Cotton"/>
    <s v="XXL"/>
    <s v="Maroon"/>
    <n v="570"/>
  </r>
  <r>
    <x v="1133"/>
    <x v="77"/>
    <s v="JNS1063"/>
    <n v="1"/>
    <s v="Jeans"/>
    <s v="Wrangler"/>
    <s v="Jogger"/>
    <s v="Denim"/>
    <n v="42"/>
    <s v="Beige"/>
    <n v="780"/>
  </r>
  <r>
    <x v="1133"/>
    <x v="77"/>
    <s v="SHT0325"/>
    <n v="1"/>
    <s v="Shirt"/>
    <s v="British"/>
    <s v="Partywear"/>
    <s v="Lycra"/>
    <s v="S"/>
    <s v="Sky Blue"/>
    <n v="720"/>
  </r>
  <r>
    <x v="1133"/>
    <x v="77"/>
    <s v="INW1635"/>
    <n v="1"/>
    <s v="Innerwear"/>
    <s v="Jockey"/>
    <s v="V-Cut"/>
    <s v="Cotton"/>
    <s v="90-100"/>
    <s v="Dark Green"/>
    <n v="150"/>
  </r>
  <r>
    <x v="1134"/>
    <x v="77"/>
    <s v="PNT1164"/>
    <n v="1"/>
    <s v="Pants"/>
    <s v="Van Heusen"/>
    <s v="Kurka"/>
    <s v="Lycra"/>
    <n v="42"/>
    <s v="Mustard"/>
    <n v="780"/>
  </r>
  <r>
    <x v="1134"/>
    <x v="77"/>
    <s v="TSH0381"/>
    <n v="1"/>
    <s v="T-Shirt"/>
    <s v="Zara"/>
    <s v="Sleeveless"/>
    <s v="Cotton"/>
    <s v="S"/>
    <s v="Mustard"/>
    <n v="250"/>
  </r>
  <r>
    <x v="1134"/>
    <x v="77"/>
    <s v="SHT0177"/>
    <n v="1"/>
    <s v="Shirt"/>
    <s v="Thailand"/>
    <s v="Formal"/>
    <s v="Cotton"/>
    <s v="S"/>
    <s v="Maroon"/>
    <n v="820"/>
  </r>
  <r>
    <x v="1134"/>
    <x v="77"/>
    <s v="TSH0446"/>
    <n v="1"/>
    <s v="T-Shirt"/>
    <s v="Urban Monkey"/>
    <s v="Half Sleeve"/>
    <s v="Cotton"/>
    <s v="S"/>
    <s v="Cream"/>
    <n v="700"/>
  </r>
  <r>
    <x v="1135"/>
    <x v="77"/>
    <s v="SHT0111"/>
    <n v="1"/>
    <s v="Shirt"/>
    <s v="British"/>
    <s v="Formal"/>
    <s v="Cotton Blend"/>
    <s v="S"/>
    <s v="Dark Green"/>
    <n v="710"/>
  </r>
  <r>
    <x v="1135"/>
    <x v="77"/>
    <s v="PNT1099"/>
    <n v="1"/>
    <s v="Pants"/>
    <s v="Louis Philippe"/>
    <s v="Polofit"/>
    <s v="Lycra"/>
    <n v="28"/>
    <s v="Peach"/>
    <n v="730"/>
  </r>
  <r>
    <x v="1135"/>
    <x v="77"/>
    <s v="JNS0815"/>
    <n v="1"/>
    <s v="Jeans"/>
    <s v="Spykar"/>
    <s v="Mom Fit"/>
    <s v="Denim"/>
    <n v="34"/>
    <s v="Mustard"/>
    <n v="1030"/>
  </r>
  <r>
    <x v="1135"/>
    <x v="77"/>
    <s v="TSH0649"/>
    <n v="1"/>
    <s v="T-Shirt"/>
    <s v="Roadster"/>
    <s v="Half Sleeve"/>
    <s v="Cotton"/>
    <s v="XL"/>
    <s v="Maroon"/>
    <n v="220"/>
  </r>
  <r>
    <x v="1136"/>
    <x v="78"/>
    <s v="INW1426"/>
    <n v="1"/>
    <s v="Innerwear"/>
    <s v="Lux"/>
    <s v="Boxer"/>
    <s v="Cotton Blend"/>
    <s v="105-110"/>
    <s v="Charcoal"/>
    <n v="160"/>
  </r>
  <r>
    <x v="1136"/>
    <x v="78"/>
    <s v="TSH0549"/>
    <n v="1"/>
    <s v="T-Shirt"/>
    <s v="Roadster"/>
    <s v="Hoodie"/>
    <s v="Poly Cotton"/>
    <s v="XXL"/>
    <s v="Maroon"/>
    <n v="570"/>
  </r>
  <r>
    <x v="1136"/>
    <x v="78"/>
    <s v="PNT1215"/>
    <n v="1"/>
    <s v="Pants"/>
    <s v="Van Heusen"/>
    <s v="Korean"/>
    <s v="Lycra"/>
    <n v="42"/>
    <s v="Cream"/>
    <n v="850"/>
  </r>
  <r>
    <x v="1137"/>
    <x v="78"/>
    <s v="SHT0164"/>
    <n v="1"/>
    <s v="Shirt"/>
    <s v="Luke &amp; Burg"/>
    <s v="Partywear"/>
    <s v="Cotton Blend"/>
    <s v="S"/>
    <s v="Rust"/>
    <n v="940"/>
  </r>
  <r>
    <x v="1137"/>
    <x v="78"/>
    <s v="PNT1302"/>
    <n v="1"/>
    <s v="Pants"/>
    <s v="Park Avenue"/>
    <s v="Korean"/>
    <s v="Lycra"/>
    <n v="32"/>
    <s v="Black"/>
    <n v="860"/>
  </r>
  <r>
    <x v="1137"/>
    <x v="78"/>
    <s v="INW1373"/>
    <n v="1"/>
    <s v="Innerwear"/>
    <s v="Lux"/>
    <s v="Boxer"/>
    <s v="Cotton Blend"/>
    <s v="105-110"/>
    <s v="Brown"/>
    <n v="180"/>
  </r>
  <r>
    <x v="1138"/>
    <x v="78"/>
    <s v="PNT1362"/>
    <n v="1"/>
    <s v="Pants"/>
    <s v="Peter England"/>
    <s v="Korean"/>
    <s v="Lycra"/>
    <n v="38"/>
    <s v="Beige"/>
    <n v="890"/>
  </r>
  <r>
    <x v="1139"/>
    <x v="78"/>
    <s v="PNT1302"/>
    <n v="1"/>
    <s v="Pants"/>
    <s v="Park Avenue"/>
    <s v="Korean"/>
    <s v="Lycra"/>
    <n v="32"/>
    <s v="Black"/>
    <n v="860"/>
  </r>
  <r>
    <x v="1139"/>
    <x v="78"/>
    <s v="TSH0450"/>
    <n v="1"/>
    <s v="T-Shirt"/>
    <s v="Max"/>
    <s v="3/4 Sleeve"/>
    <s v="Poly Cotton"/>
    <s v="M"/>
    <s v="Bottle Green"/>
    <n v="250"/>
  </r>
  <r>
    <x v="1140"/>
    <x v="78"/>
    <s v="PNT1215"/>
    <n v="1"/>
    <s v="Pants"/>
    <s v="Van Heusen"/>
    <s v="Korean"/>
    <s v="Lycra"/>
    <n v="42"/>
    <s v="Cream"/>
    <n v="850"/>
  </r>
  <r>
    <x v="1140"/>
    <x v="78"/>
    <s v="PNT1120"/>
    <n v="1"/>
    <s v="Pants"/>
    <s v="Peter England"/>
    <s v="Polofit"/>
    <s v="Lycra"/>
    <n v="28"/>
    <s v="Navy Blue"/>
    <n v="920"/>
  </r>
  <r>
    <x v="1141"/>
    <x v="78"/>
    <s v="SHT0166"/>
    <n v="1"/>
    <s v="Shirt"/>
    <s v="British"/>
    <s v="Formal"/>
    <s v="Lycra"/>
    <s v="XL"/>
    <s v="Black"/>
    <n v="920"/>
  </r>
  <r>
    <x v="1141"/>
    <x v="78"/>
    <s v="PNT1334"/>
    <n v="1"/>
    <s v="Pants"/>
    <s v="Park Avenue"/>
    <s v="Polofit"/>
    <s v="Lycra"/>
    <n v="38"/>
    <s v="Grey"/>
    <n v="880"/>
  </r>
  <r>
    <x v="1141"/>
    <x v="78"/>
    <s v="PNT1187"/>
    <n v="1"/>
    <s v="Pants"/>
    <s v="Louis Philippe"/>
    <s v="Kurka"/>
    <s v="Lycra"/>
    <n v="38"/>
    <s v="Wine"/>
    <n v="820"/>
  </r>
  <r>
    <x v="1142"/>
    <x v="78"/>
    <s v="PNT1168"/>
    <n v="1"/>
    <s v="Pants"/>
    <s v="Raymond"/>
    <s v="Polofit"/>
    <s v="Lycra"/>
    <n v="32"/>
    <s v="Cream"/>
    <n v="950"/>
  </r>
  <r>
    <x v="1143"/>
    <x v="78"/>
    <s v="TSH0666"/>
    <n v="1"/>
    <s v="T-Shirt"/>
    <s v="Campus"/>
    <s v="3/4 Sleeve"/>
    <s v="Cotton Blend"/>
    <s v="M"/>
    <s v="Royal Blue"/>
    <n v="290"/>
  </r>
  <r>
    <x v="1143"/>
    <x v="78"/>
    <s v="PNT1242"/>
    <n v="1"/>
    <s v="Pants"/>
    <s v="Van Heusen"/>
    <s v="Boot Cut"/>
    <s v="Cotton Blend"/>
    <n v="42"/>
    <s v="Sky Blue"/>
    <n v="760"/>
  </r>
  <r>
    <x v="1143"/>
    <x v="78"/>
    <s v="TSH0440"/>
    <n v="1"/>
    <s v="T-Shirt"/>
    <s v="Campus"/>
    <s v="3/4 Sleeve"/>
    <s v="Poly Cotton"/>
    <s v="XL"/>
    <s v="Rust"/>
    <n v="620"/>
  </r>
  <r>
    <x v="1143"/>
    <x v="78"/>
    <s v="SHT0161"/>
    <n v="1"/>
    <s v="Shirt"/>
    <s v="Luke &amp; Burg"/>
    <s v="Formal"/>
    <s v="Lycra"/>
    <s v="M"/>
    <s v="Dark Green"/>
    <n v="750"/>
  </r>
  <r>
    <x v="1144"/>
    <x v="78"/>
    <s v="SHT0251"/>
    <n v="1"/>
    <s v="Shirt"/>
    <s v="Zara"/>
    <s v="Formal"/>
    <s v="Cotton"/>
    <s v="L"/>
    <s v="Brown"/>
    <n v="700"/>
  </r>
  <r>
    <x v="1144"/>
    <x v="78"/>
    <s v="JNS1064"/>
    <n v="1"/>
    <s v="Jeans"/>
    <s v="Spykar"/>
    <s v="Jogger"/>
    <s v="Denim"/>
    <n v="38"/>
    <s v="Teal"/>
    <n v="840"/>
  </r>
  <r>
    <x v="1144"/>
    <x v="78"/>
    <s v="TSH0429"/>
    <n v="1"/>
    <s v="T-Shirt"/>
    <s v="Roadster"/>
    <s v="3/4 Sleeve"/>
    <s v="Cotton"/>
    <s v="XL"/>
    <s v="Light Grey"/>
    <n v="370"/>
  </r>
  <r>
    <x v="1145"/>
    <x v="78"/>
    <s v="TSH0437"/>
    <n v="1"/>
    <s v="T-Shirt"/>
    <s v="Roadster"/>
    <s v="3/4 Sleeve"/>
    <s v="Poly Cotton"/>
    <s v="S"/>
    <s v="Maroon"/>
    <n v="420"/>
  </r>
  <r>
    <x v="1145"/>
    <x v="78"/>
    <s v="PNT1328"/>
    <n v="1"/>
    <s v="Pants"/>
    <s v="Park Avenue"/>
    <s v="Polofit"/>
    <s v="Lycra"/>
    <n v="34"/>
    <s v="Light Grey"/>
    <n v="700"/>
  </r>
  <r>
    <x v="1145"/>
    <x v="78"/>
    <s v="PNT1184"/>
    <n v="1"/>
    <s v="Pants"/>
    <s v="Van Heusen"/>
    <s v="Jogger"/>
    <s v="Cotton Blend"/>
    <n v="28"/>
    <s v="Black"/>
    <n v="870"/>
  </r>
  <r>
    <x v="1146"/>
    <x v="78"/>
    <s v="SHT0001"/>
    <n v="1"/>
    <s v="Shirt"/>
    <s v="L7"/>
    <s v="Formal"/>
    <s v="Cotton Blend"/>
    <s v="M"/>
    <s v="Charcoal"/>
    <n v="860"/>
  </r>
  <r>
    <x v="1147"/>
    <x v="78"/>
    <s v="TSH0453"/>
    <n v="1"/>
    <s v="T-Shirt"/>
    <s v="Thailand"/>
    <s v="Half Sleeve"/>
    <s v="Cotton Blend"/>
    <s v="M"/>
    <s v="Peach"/>
    <n v="710"/>
  </r>
  <r>
    <x v="1147"/>
    <x v="78"/>
    <s v="SHT0275"/>
    <n v="1"/>
    <s v="Shirt"/>
    <s v="USD"/>
    <s v="Formal"/>
    <s v="Cotton Blend"/>
    <s v="M"/>
    <s v="Teal"/>
    <n v="740"/>
  </r>
  <r>
    <x v="1147"/>
    <x v="78"/>
    <s v="PNT1364"/>
    <n v="1"/>
    <s v="Pants"/>
    <s v="Van Heusen"/>
    <s v="Korean"/>
    <s v="Lycra"/>
    <n v="40"/>
    <s v="Rust"/>
    <n v="700"/>
  </r>
  <r>
    <x v="1148"/>
    <x v="78"/>
    <s v="PNT1142"/>
    <n v="1"/>
    <s v="Pants"/>
    <s v="Raymond"/>
    <s v="Jogger"/>
    <s v="Cotton Blend"/>
    <n v="42"/>
    <s v="Bottle Green"/>
    <n v="800"/>
  </r>
  <r>
    <x v="1148"/>
    <x v="78"/>
    <s v="INW1533"/>
    <n v="1"/>
    <s v="Innerwear"/>
    <s v="Dollar"/>
    <s v="V-Cut"/>
    <s v="Cotton Blend"/>
    <s v="90-100"/>
    <s v="Beige"/>
    <n v="110"/>
  </r>
  <r>
    <x v="1148"/>
    <x v="78"/>
    <s v="SHT0122"/>
    <n v="1"/>
    <s v="Shirt"/>
    <s v="G Studio"/>
    <s v="Casual"/>
    <s v="Cotton"/>
    <s v="XXL"/>
    <s v="Charcoal"/>
    <n v="720"/>
  </r>
  <r>
    <x v="1148"/>
    <x v="78"/>
    <s v="TSH0731"/>
    <n v="1"/>
    <s v="T-Shirt"/>
    <s v="Max"/>
    <s v="Full Sleeve"/>
    <s v="Poly Cotton"/>
    <s v="S"/>
    <s v="Charcoal"/>
    <n v="720"/>
  </r>
  <r>
    <x v="1149"/>
    <x v="78"/>
    <s v="JNS0774"/>
    <n v="1"/>
    <s v="Jeans"/>
    <s v="Spykar"/>
    <s v="Baggy"/>
    <s v="Denim"/>
    <n v="36"/>
    <s v="Beige"/>
    <n v="8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32A40-7D9A-4ADB-9B5C-3F2F3B1D4A08}" name="Bill_Summary" cacheId="25" applyNumberFormats="0" applyBorderFormats="0" applyFontFormats="0" applyPatternFormats="0" applyAlignmentFormats="0" applyWidthHeightFormats="1" dataCaption="Values" showMissing="0" updatedVersion="8" minRefreshableVersion="3" showDrill="0" useAutoFormatting="1" rowGrandTotals="0" colGrandTotals="0" itemPrintTitles="1" createdVersion="8" indent="0" compact="0" outline="1" outlineData="1" compactData="0" multipleFieldFilters="0">
  <location ref="B3:E1153" firstHeaderRow="0" firstDataRow="1" firstDataCol="2"/>
  <pivotFields count="11">
    <pivotField axis="axisRow" compact="0" outline="0" subtotalTop="0" showAll="0" defaultSubtotal="0">
      <items count="1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m="1" x="1153"/>
        <item m="1" x="1154"/>
        <item m="1" x="1155"/>
        <item x="1149"/>
        <item m="1" x="1150"/>
        <item m="1" x="1151"/>
        <item m="1" x="1152"/>
      </items>
    </pivotField>
    <pivotField axis="axisRow" compact="0" numFmtId="164" outline="0" subtotalTop="0" showAll="0" defaultSubtota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79"/>
      </items>
    </pivotField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50">
    <i>
      <x/>
      <x/>
    </i>
    <i>
      <x v="1"/>
      <x/>
    </i>
    <i>
      <x v="2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  <i>
      <x v="9"/>
      <x/>
    </i>
    <i>
      <x v="10"/>
      <x/>
    </i>
    <i>
      <x v="11"/>
      <x/>
    </i>
    <i>
      <x v="12"/>
      <x/>
    </i>
    <i>
      <x v="13"/>
      <x/>
    </i>
    <i>
      <x v="14"/>
      <x/>
    </i>
    <i>
      <x v="15"/>
      <x/>
    </i>
    <i>
      <x v="16"/>
      <x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2"/>
    </i>
    <i>
      <x v="33"/>
      <x v="2"/>
    </i>
    <i>
      <x v="34"/>
      <x v="2"/>
    </i>
    <i>
      <x v="35"/>
      <x v="2"/>
    </i>
    <i>
      <x v="36"/>
      <x v="2"/>
    </i>
    <i>
      <x v="37"/>
      <x v="2"/>
    </i>
    <i>
      <x v="38"/>
      <x v="2"/>
    </i>
    <i>
      <x v="39"/>
      <x v="2"/>
    </i>
    <i>
      <x v="40"/>
      <x v="2"/>
    </i>
    <i>
      <x v="41"/>
      <x v="2"/>
    </i>
    <i>
      <x v="42"/>
      <x v="2"/>
    </i>
    <i>
      <x v="43"/>
      <x v="3"/>
    </i>
    <i>
      <x v="44"/>
      <x v="3"/>
    </i>
    <i>
      <x v="45"/>
      <x v="3"/>
    </i>
    <i>
      <x v="46"/>
      <x v="3"/>
    </i>
    <i>
      <x v="47"/>
      <x v="3"/>
    </i>
    <i>
      <x v="48"/>
      <x v="3"/>
    </i>
    <i>
      <x v="49"/>
      <x v="3"/>
    </i>
    <i>
      <x v="50"/>
      <x v="3"/>
    </i>
    <i>
      <x v="51"/>
      <x v="3"/>
    </i>
    <i>
      <x v="52"/>
      <x v="3"/>
    </i>
    <i>
      <x v="53"/>
      <x v="3"/>
    </i>
    <i>
      <x v="54"/>
      <x v="3"/>
    </i>
    <i>
      <x v="55"/>
      <x v="3"/>
    </i>
    <i>
      <x v="56"/>
      <x v="3"/>
    </i>
    <i>
      <x v="57"/>
      <x v="3"/>
    </i>
    <i>
      <x v="58"/>
      <x v="3"/>
    </i>
    <i>
      <x v="59"/>
      <x v="3"/>
    </i>
    <i>
      <x v="60"/>
      <x v="3"/>
    </i>
    <i>
      <x v="61"/>
      <x v="3"/>
    </i>
    <i>
      <x v="62"/>
      <x v="4"/>
    </i>
    <i>
      <x v="63"/>
      <x v="4"/>
    </i>
    <i>
      <x v="64"/>
      <x v="4"/>
    </i>
    <i>
      <x v="65"/>
      <x v="4"/>
    </i>
    <i>
      <x v="66"/>
      <x v="4"/>
    </i>
    <i>
      <x v="67"/>
      <x v="4"/>
    </i>
    <i>
      <x v="68"/>
      <x v="4"/>
    </i>
    <i>
      <x v="69"/>
      <x v="4"/>
    </i>
    <i>
      <x v="70"/>
      <x v="4"/>
    </i>
    <i>
      <x v="71"/>
      <x v="4"/>
    </i>
    <i>
      <x v="72"/>
      <x v="4"/>
    </i>
    <i>
      <x v="73"/>
      <x v="5"/>
    </i>
    <i>
      <x v="74"/>
      <x v="5"/>
    </i>
    <i>
      <x v="75"/>
      <x v="5"/>
    </i>
    <i>
      <x v="76"/>
      <x v="5"/>
    </i>
    <i>
      <x v="77"/>
      <x v="5"/>
    </i>
    <i>
      <x v="78"/>
      <x v="5"/>
    </i>
    <i>
      <x v="79"/>
      <x v="5"/>
    </i>
    <i>
      <x v="80"/>
      <x v="5"/>
    </i>
    <i>
      <x v="81"/>
      <x v="5"/>
    </i>
    <i>
      <x v="82"/>
      <x v="5"/>
    </i>
    <i>
      <x v="83"/>
      <x v="5"/>
    </i>
    <i>
      <x v="84"/>
      <x v="5"/>
    </i>
    <i>
      <x v="85"/>
      <x v="5"/>
    </i>
    <i>
      <x v="86"/>
      <x v="5"/>
    </i>
    <i>
      <x v="87"/>
      <x v="5"/>
    </i>
    <i>
      <x v="88"/>
      <x v="5"/>
    </i>
    <i>
      <x v="89"/>
      <x v="5"/>
    </i>
    <i>
      <x v="90"/>
      <x v="5"/>
    </i>
    <i>
      <x v="91"/>
      <x v="6"/>
    </i>
    <i>
      <x v="92"/>
      <x v="6"/>
    </i>
    <i>
      <x v="93"/>
      <x v="6"/>
    </i>
    <i>
      <x v="94"/>
      <x v="6"/>
    </i>
    <i>
      <x v="95"/>
      <x v="6"/>
    </i>
    <i>
      <x v="96"/>
      <x v="6"/>
    </i>
    <i>
      <x v="97"/>
      <x v="6"/>
    </i>
    <i>
      <x v="98"/>
      <x v="6"/>
    </i>
    <i>
      <x v="99"/>
      <x v="6"/>
    </i>
    <i>
      <x v="100"/>
      <x v="6"/>
    </i>
    <i>
      <x v="101"/>
      <x v="6"/>
    </i>
    <i>
      <x v="102"/>
      <x v="6"/>
    </i>
    <i>
      <x v="103"/>
      <x v="6"/>
    </i>
    <i>
      <x v="104"/>
      <x v="6"/>
    </i>
    <i>
      <x v="105"/>
      <x v="6"/>
    </i>
    <i>
      <x v="106"/>
      <x v="6"/>
    </i>
    <i>
      <x v="107"/>
      <x v="7"/>
    </i>
    <i>
      <x v="108"/>
      <x v="7"/>
    </i>
    <i>
      <x v="109"/>
      <x v="7"/>
    </i>
    <i>
      <x v="110"/>
      <x v="7"/>
    </i>
    <i>
      <x v="111"/>
      <x v="7"/>
    </i>
    <i>
      <x v="112"/>
      <x v="7"/>
    </i>
    <i>
      <x v="113"/>
      <x v="7"/>
    </i>
    <i>
      <x v="114"/>
      <x v="7"/>
    </i>
    <i>
      <x v="115"/>
      <x v="7"/>
    </i>
    <i>
      <x v="116"/>
      <x v="7"/>
    </i>
    <i>
      <x v="117"/>
      <x v="7"/>
    </i>
    <i>
      <x v="118"/>
      <x v="7"/>
    </i>
    <i>
      <x v="119"/>
      <x v="7"/>
    </i>
    <i>
      <x v="120"/>
      <x v="7"/>
    </i>
    <i>
      <x v="121"/>
      <x v="7"/>
    </i>
    <i>
      <x v="122"/>
      <x v="7"/>
    </i>
    <i>
      <x v="123"/>
      <x v="8"/>
    </i>
    <i>
      <x v="124"/>
      <x v="8"/>
    </i>
    <i>
      <x v="125"/>
      <x v="8"/>
    </i>
    <i>
      <x v="126"/>
      <x v="8"/>
    </i>
    <i>
      <x v="127"/>
      <x v="8"/>
    </i>
    <i>
      <x v="128"/>
      <x v="8"/>
    </i>
    <i>
      <x v="129"/>
      <x v="8"/>
    </i>
    <i>
      <x v="130"/>
      <x v="8"/>
    </i>
    <i>
      <x v="131"/>
      <x v="8"/>
    </i>
    <i>
      <x v="132"/>
      <x v="8"/>
    </i>
    <i>
      <x v="133"/>
      <x v="8"/>
    </i>
    <i>
      <x v="134"/>
      <x v="8"/>
    </i>
    <i>
      <x v="135"/>
      <x v="8"/>
    </i>
    <i>
      <x v="136"/>
      <x v="8"/>
    </i>
    <i>
      <x v="137"/>
      <x v="8"/>
    </i>
    <i>
      <x v="138"/>
      <x v="8"/>
    </i>
    <i>
      <x v="139"/>
      <x v="8"/>
    </i>
    <i>
      <x v="140"/>
      <x v="9"/>
    </i>
    <i>
      <x v="141"/>
      <x v="9"/>
    </i>
    <i>
      <x v="142"/>
      <x v="9"/>
    </i>
    <i>
      <x v="143"/>
      <x v="9"/>
    </i>
    <i>
      <x v="144"/>
      <x v="9"/>
    </i>
    <i>
      <x v="145"/>
      <x v="9"/>
    </i>
    <i>
      <x v="146"/>
      <x v="9"/>
    </i>
    <i>
      <x v="147"/>
      <x v="9"/>
    </i>
    <i>
      <x v="148"/>
      <x v="9"/>
    </i>
    <i>
      <x v="149"/>
      <x v="9"/>
    </i>
    <i>
      <x v="150"/>
      <x v="9"/>
    </i>
    <i>
      <x v="151"/>
      <x v="9"/>
    </i>
    <i>
      <x v="152"/>
      <x v="9"/>
    </i>
    <i>
      <x v="153"/>
      <x v="9"/>
    </i>
    <i>
      <x v="154"/>
      <x v="10"/>
    </i>
    <i>
      <x v="155"/>
      <x v="10"/>
    </i>
    <i>
      <x v="156"/>
      <x v="10"/>
    </i>
    <i>
      <x v="157"/>
      <x v="10"/>
    </i>
    <i>
      <x v="158"/>
      <x v="10"/>
    </i>
    <i>
      <x v="159"/>
      <x v="10"/>
    </i>
    <i>
      <x v="160"/>
      <x v="10"/>
    </i>
    <i>
      <x v="161"/>
      <x v="10"/>
    </i>
    <i>
      <x v="162"/>
      <x v="10"/>
    </i>
    <i>
      <x v="163"/>
      <x v="10"/>
    </i>
    <i>
      <x v="164"/>
      <x v="10"/>
    </i>
    <i>
      <x v="165"/>
      <x v="10"/>
    </i>
    <i>
      <x v="166"/>
      <x v="10"/>
    </i>
    <i>
      <x v="167"/>
      <x v="10"/>
    </i>
    <i>
      <x v="168"/>
      <x v="10"/>
    </i>
    <i>
      <x v="169"/>
      <x v="10"/>
    </i>
    <i>
      <x v="170"/>
      <x v="10"/>
    </i>
    <i>
      <x v="171"/>
      <x v="11"/>
    </i>
    <i>
      <x v="172"/>
      <x v="11"/>
    </i>
    <i>
      <x v="173"/>
      <x v="11"/>
    </i>
    <i>
      <x v="174"/>
      <x v="11"/>
    </i>
    <i>
      <x v="175"/>
      <x v="11"/>
    </i>
    <i>
      <x v="176"/>
      <x v="11"/>
    </i>
    <i>
      <x v="177"/>
      <x v="11"/>
    </i>
    <i>
      <x v="178"/>
      <x v="11"/>
    </i>
    <i>
      <x v="179"/>
      <x v="11"/>
    </i>
    <i>
      <x v="180"/>
      <x v="11"/>
    </i>
    <i>
      <x v="181"/>
      <x v="11"/>
    </i>
    <i>
      <x v="182"/>
      <x v="11"/>
    </i>
    <i>
      <x v="183"/>
      <x v="11"/>
    </i>
    <i>
      <x v="184"/>
      <x v="11"/>
    </i>
    <i>
      <x v="185"/>
      <x v="12"/>
    </i>
    <i>
      <x v="186"/>
      <x v="12"/>
    </i>
    <i>
      <x v="187"/>
      <x v="12"/>
    </i>
    <i>
      <x v="188"/>
      <x v="12"/>
    </i>
    <i>
      <x v="189"/>
      <x v="12"/>
    </i>
    <i>
      <x v="190"/>
      <x v="12"/>
    </i>
    <i>
      <x v="191"/>
      <x v="12"/>
    </i>
    <i>
      <x v="192"/>
      <x v="12"/>
    </i>
    <i>
      <x v="193"/>
      <x v="12"/>
    </i>
    <i>
      <x v="194"/>
      <x v="12"/>
    </i>
    <i>
      <x v="195"/>
      <x v="13"/>
    </i>
    <i>
      <x v="196"/>
      <x v="13"/>
    </i>
    <i>
      <x v="197"/>
      <x v="13"/>
    </i>
    <i>
      <x v="198"/>
      <x v="13"/>
    </i>
    <i>
      <x v="199"/>
      <x v="13"/>
    </i>
    <i>
      <x v="200"/>
      <x v="13"/>
    </i>
    <i>
      <x v="201"/>
      <x v="13"/>
    </i>
    <i>
      <x v="202"/>
      <x v="13"/>
    </i>
    <i>
      <x v="203"/>
      <x v="13"/>
    </i>
    <i>
      <x v="204"/>
      <x v="13"/>
    </i>
    <i>
      <x v="205"/>
      <x v="13"/>
    </i>
    <i>
      <x v="206"/>
      <x v="13"/>
    </i>
    <i>
      <x v="207"/>
      <x v="13"/>
    </i>
    <i>
      <x v="208"/>
      <x v="13"/>
    </i>
    <i>
      <x v="209"/>
      <x v="13"/>
    </i>
    <i>
      <x v="210"/>
      <x v="13"/>
    </i>
    <i>
      <x v="211"/>
      <x v="14"/>
    </i>
    <i>
      <x v="212"/>
      <x v="14"/>
    </i>
    <i>
      <x v="213"/>
      <x v="14"/>
    </i>
    <i>
      <x v="214"/>
      <x v="14"/>
    </i>
    <i>
      <x v="215"/>
      <x v="14"/>
    </i>
    <i>
      <x v="216"/>
      <x v="14"/>
    </i>
    <i>
      <x v="217"/>
      <x v="14"/>
    </i>
    <i>
      <x v="218"/>
      <x v="14"/>
    </i>
    <i>
      <x v="219"/>
      <x v="14"/>
    </i>
    <i>
      <x v="220"/>
      <x v="14"/>
    </i>
    <i>
      <x v="221"/>
      <x v="14"/>
    </i>
    <i>
      <x v="222"/>
      <x v="14"/>
    </i>
    <i>
      <x v="223"/>
      <x v="14"/>
    </i>
    <i>
      <x v="224"/>
      <x v="14"/>
    </i>
    <i>
      <x v="225"/>
      <x v="14"/>
    </i>
    <i>
      <x v="226"/>
      <x v="14"/>
    </i>
    <i>
      <x v="227"/>
      <x v="14"/>
    </i>
    <i>
      <x v="228"/>
      <x v="14"/>
    </i>
    <i>
      <x v="229"/>
      <x v="15"/>
    </i>
    <i>
      <x v="230"/>
      <x v="15"/>
    </i>
    <i>
      <x v="231"/>
      <x v="15"/>
    </i>
    <i>
      <x v="232"/>
      <x v="15"/>
    </i>
    <i>
      <x v="233"/>
      <x v="15"/>
    </i>
    <i>
      <x v="234"/>
      <x v="15"/>
    </i>
    <i>
      <x v="235"/>
      <x v="15"/>
    </i>
    <i>
      <x v="236"/>
      <x v="15"/>
    </i>
    <i>
      <x v="237"/>
      <x v="15"/>
    </i>
    <i>
      <x v="238"/>
      <x v="15"/>
    </i>
    <i>
      <x v="239"/>
      <x v="15"/>
    </i>
    <i>
      <x v="240"/>
      <x v="15"/>
    </i>
    <i>
      <x v="241"/>
      <x v="15"/>
    </i>
    <i>
      <x v="242"/>
      <x v="15"/>
    </i>
    <i>
      <x v="243"/>
      <x v="15"/>
    </i>
    <i>
      <x v="244"/>
      <x v="15"/>
    </i>
    <i>
      <x v="245"/>
      <x v="15"/>
    </i>
    <i>
      <x v="246"/>
      <x v="15"/>
    </i>
    <i>
      <x v="247"/>
      <x v="16"/>
    </i>
    <i>
      <x v="248"/>
      <x v="16"/>
    </i>
    <i>
      <x v="249"/>
      <x v="16"/>
    </i>
    <i>
      <x v="250"/>
      <x v="16"/>
    </i>
    <i>
      <x v="251"/>
      <x v="16"/>
    </i>
    <i>
      <x v="252"/>
      <x v="16"/>
    </i>
    <i>
      <x v="253"/>
      <x v="16"/>
    </i>
    <i>
      <x v="254"/>
      <x v="16"/>
    </i>
    <i>
      <x v="255"/>
      <x v="16"/>
    </i>
    <i>
      <x v="256"/>
      <x v="16"/>
    </i>
    <i>
      <x v="257"/>
      <x v="16"/>
    </i>
    <i>
      <x v="258"/>
      <x v="16"/>
    </i>
    <i>
      <x v="259"/>
      <x v="16"/>
    </i>
    <i>
      <x v="260"/>
      <x v="17"/>
    </i>
    <i>
      <x v="261"/>
      <x v="17"/>
    </i>
    <i>
      <x v="262"/>
      <x v="17"/>
    </i>
    <i>
      <x v="263"/>
      <x v="17"/>
    </i>
    <i>
      <x v="264"/>
      <x v="17"/>
    </i>
    <i>
      <x v="265"/>
      <x v="17"/>
    </i>
    <i>
      <x v="266"/>
      <x v="17"/>
    </i>
    <i>
      <x v="267"/>
      <x v="17"/>
    </i>
    <i>
      <x v="268"/>
      <x v="17"/>
    </i>
    <i>
      <x v="269"/>
      <x v="17"/>
    </i>
    <i>
      <x v="270"/>
      <x v="17"/>
    </i>
    <i>
      <x v="271"/>
      <x v="18"/>
    </i>
    <i>
      <x v="272"/>
      <x v="18"/>
    </i>
    <i>
      <x v="273"/>
      <x v="18"/>
    </i>
    <i>
      <x v="274"/>
      <x v="18"/>
    </i>
    <i>
      <x v="275"/>
      <x v="18"/>
    </i>
    <i>
      <x v="276"/>
      <x v="18"/>
    </i>
    <i>
      <x v="277"/>
      <x v="18"/>
    </i>
    <i>
      <x v="278"/>
      <x v="18"/>
    </i>
    <i>
      <x v="279"/>
      <x v="18"/>
    </i>
    <i>
      <x v="280"/>
      <x v="18"/>
    </i>
    <i>
      <x v="281"/>
      <x v="18"/>
    </i>
    <i>
      <x v="282"/>
      <x v="19"/>
    </i>
    <i>
      <x v="283"/>
      <x v="19"/>
    </i>
    <i>
      <x v="284"/>
      <x v="19"/>
    </i>
    <i>
      <x v="285"/>
      <x v="19"/>
    </i>
    <i>
      <x v="286"/>
      <x v="19"/>
    </i>
    <i>
      <x v="287"/>
      <x v="19"/>
    </i>
    <i>
      <x v="288"/>
      <x v="19"/>
    </i>
    <i>
      <x v="289"/>
      <x v="19"/>
    </i>
    <i>
      <x v="290"/>
      <x v="19"/>
    </i>
    <i>
      <x v="291"/>
      <x v="19"/>
    </i>
    <i>
      <x v="292"/>
      <x v="19"/>
    </i>
    <i>
      <x v="293"/>
      <x v="19"/>
    </i>
    <i>
      <x v="294"/>
      <x v="20"/>
    </i>
    <i>
      <x v="295"/>
      <x v="20"/>
    </i>
    <i>
      <x v="296"/>
      <x v="20"/>
    </i>
    <i>
      <x v="297"/>
      <x v="20"/>
    </i>
    <i>
      <x v="298"/>
      <x v="20"/>
    </i>
    <i>
      <x v="299"/>
      <x v="20"/>
    </i>
    <i>
      <x v="300"/>
      <x v="20"/>
    </i>
    <i>
      <x v="301"/>
      <x v="20"/>
    </i>
    <i>
      <x v="302"/>
      <x v="20"/>
    </i>
    <i>
      <x v="303"/>
      <x v="20"/>
    </i>
    <i>
      <x v="304"/>
      <x v="20"/>
    </i>
    <i>
      <x v="305"/>
      <x v="20"/>
    </i>
    <i>
      <x v="306"/>
      <x v="20"/>
    </i>
    <i>
      <x v="307"/>
      <x v="20"/>
    </i>
    <i>
      <x v="308"/>
      <x v="20"/>
    </i>
    <i>
      <x v="309"/>
      <x v="20"/>
    </i>
    <i>
      <x v="310"/>
      <x v="21"/>
    </i>
    <i>
      <x v="311"/>
      <x v="21"/>
    </i>
    <i>
      <x v="312"/>
      <x v="21"/>
    </i>
    <i>
      <x v="313"/>
      <x v="21"/>
    </i>
    <i>
      <x v="314"/>
      <x v="21"/>
    </i>
    <i>
      <x v="315"/>
      <x v="21"/>
    </i>
    <i>
      <x v="316"/>
      <x v="21"/>
    </i>
    <i>
      <x v="317"/>
      <x v="21"/>
    </i>
    <i>
      <x v="318"/>
      <x v="21"/>
    </i>
    <i>
      <x v="319"/>
      <x v="21"/>
    </i>
    <i>
      <x v="320"/>
      <x v="21"/>
    </i>
    <i>
      <x v="321"/>
      <x v="21"/>
    </i>
    <i>
      <x v="322"/>
      <x v="21"/>
    </i>
    <i>
      <x v="323"/>
      <x v="21"/>
    </i>
    <i>
      <x v="324"/>
      <x v="21"/>
    </i>
    <i>
      <x v="325"/>
      <x v="21"/>
    </i>
    <i>
      <x v="326"/>
      <x v="21"/>
    </i>
    <i>
      <x v="327"/>
      <x v="21"/>
    </i>
    <i>
      <x v="328"/>
      <x v="22"/>
    </i>
    <i>
      <x v="329"/>
      <x v="22"/>
    </i>
    <i>
      <x v="330"/>
      <x v="22"/>
    </i>
    <i>
      <x v="331"/>
      <x v="22"/>
    </i>
    <i>
      <x v="332"/>
      <x v="22"/>
    </i>
    <i>
      <x v="333"/>
      <x v="22"/>
    </i>
    <i>
      <x v="334"/>
      <x v="22"/>
    </i>
    <i>
      <x v="335"/>
      <x v="22"/>
    </i>
    <i>
      <x v="336"/>
      <x v="22"/>
    </i>
    <i>
      <x v="337"/>
      <x v="22"/>
    </i>
    <i>
      <x v="338"/>
      <x v="22"/>
    </i>
    <i>
      <x v="339"/>
      <x v="22"/>
    </i>
    <i>
      <x v="340"/>
      <x v="22"/>
    </i>
    <i>
      <x v="341"/>
      <x v="22"/>
    </i>
    <i>
      <x v="342"/>
      <x v="22"/>
    </i>
    <i>
      <x v="343"/>
      <x v="22"/>
    </i>
    <i>
      <x v="344"/>
      <x v="23"/>
    </i>
    <i>
      <x v="345"/>
      <x v="23"/>
    </i>
    <i>
      <x v="346"/>
      <x v="23"/>
    </i>
    <i>
      <x v="347"/>
      <x v="23"/>
    </i>
    <i>
      <x v="348"/>
      <x v="23"/>
    </i>
    <i>
      <x v="349"/>
      <x v="23"/>
    </i>
    <i>
      <x v="350"/>
      <x v="23"/>
    </i>
    <i>
      <x v="351"/>
      <x v="23"/>
    </i>
    <i>
      <x v="352"/>
      <x v="23"/>
    </i>
    <i>
      <x v="353"/>
      <x v="23"/>
    </i>
    <i>
      <x v="354"/>
      <x v="23"/>
    </i>
    <i>
      <x v="355"/>
      <x v="23"/>
    </i>
    <i>
      <x v="356"/>
      <x v="23"/>
    </i>
    <i>
      <x v="357"/>
      <x v="23"/>
    </i>
    <i>
      <x v="358"/>
      <x v="23"/>
    </i>
    <i>
      <x v="359"/>
      <x v="23"/>
    </i>
    <i>
      <x v="360"/>
      <x v="23"/>
    </i>
    <i>
      <x v="361"/>
      <x v="23"/>
    </i>
    <i>
      <x v="362"/>
      <x v="24"/>
    </i>
    <i>
      <x v="363"/>
      <x v="24"/>
    </i>
    <i>
      <x v="364"/>
      <x v="24"/>
    </i>
    <i>
      <x v="365"/>
      <x v="24"/>
    </i>
    <i>
      <x v="366"/>
      <x v="24"/>
    </i>
    <i>
      <x v="367"/>
      <x v="24"/>
    </i>
    <i>
      <x v="368"/>
      <x v="24"/>
    </i>
    <i>
      <x v="369"/>
      <x v="24"/>
    </i>
    <i>
      <x v="370"/>
      <x v="24"/>
    </i>
    <i>
      <x v="371"/>
      <x v="24"/>
    </i>
    <i>
      <x v="372"/>
      <x v="24"/>
    </i>
    <i>
      <x v="373"/>
      <x v="24"/>
    </i>
    <i>
      <x v="374"/>
      <x v="24"/>
    </i>
    <i>
      <x v="375"/>
      <x v="24"/>
    </i>
    <i>
      <x v="376"/>
      <x v="24"/>
    </i>
    <i>
      <x v="377"/>
      <x v="24"/>
    </i>
    <i>
      <x v="378"/>
      <x v="25"/>
    </i>
    <i>
      <x v="379"/>
      <x v="25"/>
    </i>
    <i>
      <x v="380"/>
      <x v="25"/>
    </i>
    <i>
      <x v="381"/>
      <x v="25"/>
    </i>
    <i>
      <x v="382"/>
      <x v="25"/>
    </i>
    <i>
      <x v="383"/>
      <x v="25"/>
    </i>
    <i>
      <x v="384"/>
      <x v="25"/>
    </i>
    <i>
      <x v="385"/>
      <x v="25"/>
    </i>
    <i>
      <x v="386"/>
      <x v="25"/>
    </i>
    <i>
      <x v="387"/>
      <x v="25"/>
    </i>
    <i>
      <x v="388"/>
      <x v="25"/>
    </i>
    <i>
      <x v="389"/>
      <x v="25"/>
    </i>
    <i>
      <x v="390"/>
      <x v="25"/>
    </i>
    <i>
      <x v="391"/>
      <x v="25"/>
    </i>
    <i>
      <x v="392"/>
      <x v="26"/>
    </i>
    <i>
      <x v="393"/>
      <x v="26"/>
    </i>
    <i>
      <x v="394"/>
      <x v="26"/>
    </i>
    <i>
      <x v="395"/>
      <x v="26"/>
    </i>
    <i>
      <x v="396"/>
      <x v="26"/>
    </i>
    <i>
      <x v="397"/>
      <x v="26"/>
    </i>
    <i>
      <x v="398"/>
      <x v="26"/>
    </i>
    <i>
      <x v="399"/>
      <x v="26"/>
    </i>
    <i>
      <x v="400"/>
      <x v="26"/>
    </i>
    <i>
      <x v="401"/>
      <x v="26"/>
    </i>
    <i>
      <x v="402"/>
      <x v="26"/>
    </i>
    <i>
      <x v="403"/>
      <x v="26"/>
    </i>
    <i>
      <x v="404"/>
      <x v="26"/>
    </i>
    <i>
      <x v="405"/>
      <x v="27"/>
    </i>
    <i>
      <x v="406"/>
      <x v="27"/>
    </i>
    <i>
      <x v="407"/>
      <x v="27"/>
    </i>
    <i>
      <x v="408"/>
      <x v="27"/>
    </i>
    <i>
      <x v="409"/>
      <x v="27"/>
    </i>
    <i>
      <x v="410"/>
      <x v="27"/>
    </i>
    <i>
      <x v="411"/>
      <x v="27"/>
    </i>
    <i>
      <x v="412"/>
      <x v="27"/>
    </i>
    <i>
      <x v="413"/>
      <x v="27"/>
    </i>
    <i>
      <x v="414"/>
      <x v="27"/>
    </i>
    <i>
      <x v="415"/>
      <x v="27"/>
    </i>
    <i>
      <x v="416"/>
      <x v="27"/>
    </i>
    <i>
      <x v="417"/>
      <x v="27"/>
    </i>
    <i>
      <x v="418"/>
      <x v="27"/>
    </i>
    <i>
      <x v="419"/>
      <x v="27"/>
    </i>
    <i>
      <x v="420"/>
      <x v="27"/>
    </i>
    <i>
      <x v="421"/>
      <x v="28"/>
    </i>
    <i>
      <x v="422"/>
      <x v="28"/>
    </i>
    <i>
      <x v="423"/>
      <x v="28"/>
    </i>
    <i>
      <x v="424"/>
      <x v="28"/>
    </i>
    <i>
      <x v="425"/>
      <x v="28"/>
    </i>
    <i>
      <x v="426"/>
      <x v="28"/>
    </i>
    <i>
      <x v="427"/>
      <x v="28"/>
    </i>
    <i>
      <x v="428"/>
      <x v="28"/>
    </i>
    <i>
      <x v="429"/>
      <x v="28"/>
    </i>
    <i>
      <x v="430"/>
      <x v="28"/>
    </i>
    <i>
      <x v="431"/>
      <x v="28"/>
    </i>
    <i>
      <x v="432"/>
      <x v="28"/>
    </i>
    <i>
      <x v="433"/>
      <x v="28"/>
    </i>
    <i>
      <x v="434"/>
      <x v="29"/>
    </i>
    <i>
      <x v="435"/>
      <x v="29"/>
    </i>
    <i>
      <x v="436"/>
      <x v="29"/>
    </i>
    <i>
      <x v="437"/>
      <x v="29"/>
    </i>
    <i>
      <x v="438"/>
      <x v="29"/>
    </i>
    <i>
      <x v="439"/>
      <x v="29"/>
    </i>
    <i>
      <x v="440"/>
      <x v="29"/>
    </i>
    <i>
      <x v="441"/>
      <x v="29"/>
    </i>
    <i>
      <x v="442"/>
      <x v="29"/>
    </i>
    <i>
      <x v="443"/>
      <x v="29"/>
    </i>
    <i>
      <x v="444"/>
      <x v="29"/>
    </i>
    <i>
      <x v="445"/>
      <x v="29"/>
    </i>
    <i>
      <x v="446"/>
      <x v="29"/>
    </i>
    <i>
      <x v="447"/>
      <x v="29"/>
    </i>
    <i>
      <x v="448"/>
      <x v="29"/>
    </i>
    <i>
      <x v="449"/>
      <x v="29"/>
    </i>
    <i>
      <x v="450"/>
      <x v="29"/>
    </i>
    <i>
      <x v="451"/>
      <x v="29"/>
    </i>
    <i>
      <x v="452"/>
      <x v="30"/>
    </i>
    <i>
      <x v="453"/>
      <x v="30"/>
    </i>
    <i>
      <x v="454"/>
      <x v="30"/>
    </i>
    <i>
      <x v="455"/>
      <x v="30"/>
    </i>
    <i>
      <x v="456"/>
      <x v="30"/>
    </i>
    <i>
      <x v="457"/>
      <x v="30"/>
    </i>
    <i>
      <x v="458"/>
      <x v="30"/>
    </i>
    <i>
      <x v="459"/>
      <x v="30"/>
    </i>
    <i>
      <x v="460"/>
      <x v="30"/>
    </i>
    <i>
      <x v="461"/>
      <x v="30"/>
    </i>
    <i>
      <x v="462"/>
      <x v="30"/>
    </i>
    <i>
      <x v="463"/>
      <x v="30"/>
    </i>
    <i>
      <x v="464"/>
      <x v="31"/>
    </i>
    <i>
      <x v="465"/>
      <x v="31"/>
    </i>
    <i>
      <x v="466"/>
      <x v="31"/>
    </i>
    <i>
      <x v="467"/>
      <x v="31"/>
    </i>
    <i>
      <x v="468"/>
      <x v="31"/>
    </i>
    <i>
      <x v="469"/>
      <x v="31"/>
    </i>
    <i>
      <x v="470"/>
      <x v="31"/>
    </i>
    <i>
      <x v="471"/>
      <x v="31"/>
    </i>
    <i>
      <x v="472"/>
      <x v="31"/>
    </i>
    <i>
      <x v="473"/>
      <x v="31"/>
    </i>
    <i>
      <x v="474"/>
      <x v="31"/>
    </i>
    <i>
      <x v="475"/>
      <x v="31"/>
    </i>
    <i>
      <x v="476"/>
      <x v="31"/>
    </i>
    <i>
      <x v="477"/>
      <x v="31"/>
    </i>
    <i>
      <x v="478"/>
      <x v="31"/>
    </i>
    <i>
      <x v="479"/>
      <x v="32"/>
    </i>
    <i>
      <x v="480"/>
      <x v="32"/>
    </i>
    <i>
      <x v="481"/>
      <x v="32"/>
    </i>
    <i>
      <x v="482"/>
      <x v="32"/>
    </i>
    <i>
      <x v="483"/>
      <x v="32"/>
    </i>
    <i>
      <x v="484"/>
      <x v="32"/>
    </i>
    <i>
      <x v="485"/>
      <x v="32"/>
    </i>
    <i>
      <x v="486"/>
      <x v="32"/>
    </i>
    <i>
      <x v="487"/>
      <x v="32"/>
    </i>
    <i>
      <x v="488"/>
      <x v="32"/>
    </i>
    <i>
      <x v="489"/>
      <x v="32"/>
    </i>
    <i>
      <x v="490"/>
      <x v="32"/>
    </i>
    <i>
      <x v="491"/>
      <x v="32"/>
    </i>
    <i>
      <x v="492"/>
      <x v="32"/>
    </i>
    <i>
      <x v="493"/>
      <x v="32"/>
    </i>
    <i>
      <x v="494"/>
      <x v="32"/>
    </i>
    <i>
      <x v="495"/>
      <x v="32"/>
    </i>
    <i>
      <x v="496"/>
      <x v="33"/>
    </i>
    <i>
      <x v="497"/>
      <x v="33"/>
    </i>
    <i>
      <x v="498"/>
      <x v="33"/>
    </i>
    <i>
      <x v="499"/>
      <x v="33"/>
    </i>
    <i>
      <x v="500"/>
      <x v="33"/>
    </i>
    <i>
      <x v="501"/>
      <x v="33"/>
    </i>
    <i>
      <x v="502"/>
      <x v="33"/>
    </i>
    <i>
      <x v="503"/>
      <x v="33"/>
    </i>
    <i>
      <x v="504"/>
      <x v="33"/>
    </i>
    <i>
      <x v="505"/>
      <x v="33"/>
    </i>
    <i>
      <x v="506"/>
      <x v="34"/>
    </i>
    <i>
      <x v="507"/>
      <x v="34"/>
    </i>
    <i>
      <x v="508"/>
      <x v="34"/>
    </i>
    <i>
      <x v="509"/>
      <x v="34"/>
    </i>
    <i>
      <x v="510"/>
      <x v="34"/>
    </i>
    <i>
      <x v="511"/>
      <x v="34"/>
    </i>
    <i>
      <x v="512"/>
      <x v="34"/>
    </i>
    <i>
      <x v="513"/>
      <x v="34"/>
    </i>
    <i>
      <x v="514"/>
      <x v="34"/>
    </i>
    <i>
      <x v="515"/>
      <x v="34"/>
    </i>
    <i>
      <x v="516"/>
      <x v="34"/>
    </i>
    <i>
      <x v="517"/>
      <x v="34"/>
    </i>
    <i>
      <x v="518"/>
      <x v="34"/>
    </i>
    <i>
      <x v="519"/>
      <x v="34"/>
    </i>
    <i>
      <x v="520"/>
      <x v="35"/>
    </i>
    <i>
      <x v="521"/>
      <x v="35"/>
    </i>
    <i>
      <x v="522"/>
      <x v="35"/>
    </i>
    <i>
      <x v="523"/>
      <x v="35"/>
    </i>
    <i>
      <x v="524"/>
      <x v="35"/>
    </i>
    <i>
      <x v="525"/>
      <x v="35"/>
    </i>
    <i>
      <x v="526"/>
      <x v="35"/>
    </i>
    <i>
      <x v="527"/>
      <x v="35"/>
    </i>
    <i>
      <x v="528"/>
      <x v="35"/>
    </i>
    <i>
      <x v="529"/>
      <x v="35"/>
    </i>
    <i>
      <x v="530"/>
      <x v="35"/>
    </i>
    <i>
      <x v="531"/>
      <x v="35"/>
    </i>
    <i>
      <x v="532"/>
      <x v="35"/>
    </i>
    <i>
      <x v="533"/>
      <x v="35"/>
    </i>
    <i>
      <x v="534"/>
      <x v="35"/>
    </i>
    <i>
      <x v="535"/>
      <x v="35"/>
    </i>
    <i>
      <x v="536"/>
      <x v="35"/>
    </i>
    <i>
      <x v="537"/>
      <x v="35"/>
    </i>
    <i>
      <x v="538"/>
      <x v="36"/>
    </i>
    <i>
      <x v="539"/>
      <x v="36"/>
    </i>
    <i>
      <x v="540"/>
      <x v="36"/>
    </i>
    <i>
      <x v="541"/>
      <x v="36"/>
    </i>
    <i>
      <x v="542"/>
      <x v="36"/>
    </i>
    <i>
      <x v="543"/>
      <x v="36"/>
    </i>
    <i>
      <x v="544"/>
      <x v="36"/>
    </i>
    <i>
      <x v="545"/>
      <x v="36"/>
    </i>
    <i>
      <x v="546"/>
      <x v="36"/>
    </i>
    <i>
      <x v="547"/>
      <x v="36"/>
    </i>
    <i>
      <x v="548"/>
      <x v="36"/>
    </i>
    <i>
      <x v="549"/>
      <x v="36"/>
    </i>
    <i>
      <x v="550"/>
      <x v="37"/>
    </i>
    <i>
      <x v="551"/>
      <x v="37"/>
    </i>
    <i>
      <x v="552"/>
      <x v="37"/>
    </i>
    <i>
      <x v="553"/>
      <x v="37"/>
    </i>
    <i>
      <x v="554"/>
      <x v="37"/>
    </i>
    <i>
      <x v="555"/>
      <x v="37"/>
    </i>
    <i>
      <x v="556"/>
      <x v="37"/>
    </i>
    <i>
      <x v="557"/>
      <x v="37"/>
    </i>
    <i>
      <x v="558"/>
      <x v="37"/>
    </i>
    <i>
      <x v="559"/>
      <x v="37"/>
    </i>
    <i>
      <x v="560"/>
      <x v="37"/>
    </i>
    <i>
      <x v="561"/>
      <x v="37"/>
    </i>
    <i>
      <x v="562"/>
      <x v="37"/>
    </i>
    <i>
      <x v="563"/>
      <x v="37"/>
    </i>
    <i>
      <x v="564"/>
      <x v="37"/>
    </i>
    <i>
      <x v="565"/>
      <x v="38"/>
    </i>
    <i>
      <x v="566"/>
      <x v="38"/>
    </i>
    <i>
      <x v="567"/>
      <x v="38"/>
    </i>
    <i>
      <x v="568"/>
      <x v="38"/>
    </i>
    <i>
      <x v="569"/>
      <x v="38"/>
    </i>
    <i>
      <x v="570"/>
      <x v="38"/>
    </i>
    <i>
      <x v="571"/>
      <x v="38"/>
    </i>
    <i>
      <x v="572"/>
      <x v="38"/>
    </i>
    <i>
      <x v="573"/>
      <x v="38"/>
    </i>
    <i>
      <x v="574"/>
      <x v="38"/>
    </i>
    <i>
      <x v="575"/>
      <x v="38"/>
    </i>
    <i>
      <x v="576"/>
      <x v="38"/>
    </i>
    <i>
      <x v="577"/>
      <x v="38"/>
    </i>
    <i>
      <x v="578"/>
      <x v="39"/>
    </i>
    <i>
      <x v="579"/>
      <x v="39"/>
    </i>
    <i>
      <x v="580"/>
      <x v="39"/>
    </i>
    <i>
      <x v="581"/>
      <x v="39"/>
    </i>
    <i>
      <x v="582"/>
      <x v="39"/>
    </i>
    <i>
      <x v="583"/>
      <x v="39"/>
    </i>
    <i>
      <x v="584"/>
      <x v="39"/>
    </i>
    <i>
      <x v="585"/>
      <x v="39"/>
    </i>
    <i>
      <x v="586"/>
      <x v="39"/>
    </i>
    <i>
      <x v="587"/>
      <x v="39"/>
    </i>
    <i>
      <x v="588"/>
      <x v="39"/>
    </i>
    <i>
      <x v="589"/>
      <x v="39"/>
    </i>
    <i>
      <x v="590"/>
      <x v="39"/>
    </i>
    <i>
      <x v="591"/>
      <x v="39"/>
    </i>
    <i>
      <x v="592"/>
      <x v="39"/>
    </i>
    <i>
      <x v="593"/>
      <x v="39"/>
    </i>
    <i>
      <x v="594"/>
      <x v="39"/>
    </i>
    <i>
      <x v="595"/>
      <x v="39"/>
    </i>
    <i>
      <x v="596"/>
      <x v="40"/>
    </i>
    <i>
      <x v="597"/>
      <x v="40"/>
    </i>
    <i>
      <x v="598"/>
      <x v="40"/>
    </i>
    <i>
      <x v="599"/>
      <x v="40"/>
    </i>
    <i>
      <x v="600"/>
      <x v="40"/>
    </i>
    <i>
      <x v="601"/>
      <x v="40"/>
    </i>
    <i>
      <x v="602"/>
      <x v="40"/>
    </i>
    <i>
      <x v="603"/>
      <x v="40"/>
    </i>
    <i>
      <x v="604"/>
      <x v="40"/>
    </i>
    <i>
      <x v="605"/>
      <x v="40"/>
    </i>
    <i>
      <x v="606"/>
      <x v="40"/>
    </i>
    <i>
      <x v="607"/>
      <x v="40"/>
    </i>
    <i>
      <x v="608"/>
      <x v="40"/>
    </i>
    <i>
      <x v="609"/>
      <x v="40"/>
    </i>
    <i>
      <x v="610"/>
      <x v="40"/>
    </i>
    <i>
      <x v="611"/>
      <x v="40"/>
    </i>
    <i>
      <x v="612"/>
      <x v="40"/>
    </i>
    <i>
      <x v="613"/>
      <x v="40"/>
    </i>
    <i>
      <x v="614"/>
      <x v="41"/>
    </i>
    <i>
      <x v="615"/>
      <x v="41"/>
    </i>
    <i>
      <x v="616"/>
      <x v="41"/>
    </i>
    <i>
      <x v="617"/>
      <x v="41"/>
    </i>
    <i>
      <x v="618"/>
      <x v="41"/>
    </i>
    <i>
      <x v="619"/>
      <x v="41"/>
    </i>
    <i>
      <x v="620"/>
      <x v="41"/>
    </i>
    <i>
      <x v="621"/>
      <x v="41"/>
    </i>
    <i>
      <x v="622"/>
      <x v="41"/>
    </i>
    <i>
      <x v="623"/>
      <x v="41"/>
    </i>
    <i>
      <x v="624"/>
      <x v="41"/>
    </i>
    <i>
      <x v="625"/>
      <x v="41"/>
    </i>
    <i>
      <x v="626"/>
      <x v="41"/>
    </i>
    <i>
      <x v="627"/>
      <x v="41"/>
    </i>
    <i>
      <x v="628"/>
      <x v="41"/>
    </i>
    <i>
      <x v="629"/>
      <x v="41"/>
    </i>
    <i>
      <x v="630"/>
      <x v="41"/>
    </i>
    <i>
      <x v="631"/>
      <x v="42"/>
    </i>
    <i>
      <x v="632"/>
      <x v="42"/>
    </i>
    <i>
      <x v="633"/>
      <x v="42"/>
    </i>
    <i>
      <x v="634"/>
      <x v="42"/>
    </i>
    <i>
      <x v="635"/>
      <x v="42"/>
    </i>
    <i>
      <x v="636"/>
      <x v="42"/>
    </i>
    <i>
      <x v="637"/>
      <x v="42"/>
    </i>
    <i>
      <x v="638"/>
      <x v="42"/>
    </i>
    <i>
      <x v="639"/>
      <x v="42"/>
    </i>
    <i>
      <x v="640"/>
      <x v="42"/>
    </i>
    <i>
      <x v="641"/>
      <x v="42"/>
    </i>
    <i>
      <x v="642"/>
      <x v="43"/>
    </i>
    <i>
      <x v="643"/>
      <x v="43"/>
    </i>
    <i>
      <x v="644"/>
      <x v="43"/>
    </i>
    <i>
      <x v="645"/>
      <x v="43"/>
    </i>
    <i>
      <x v="646"/>
      <x v="43"/>
    </i>
    <i>
      <x v="647"/>
      <x v="43"/>
    </i>
    <i>
      <x v="648"/>
      <x v="43"/>
    </i>
    <i>
      <x v="649"/>
      <x v="43"/>
    </i>
    <i>
      <x v="650"/>
      <x v="43"/>
    </i>
    <i>
      <x v="651"/>
      <x v="44"/>
    </i>
    <i>
      <x v="652"/>
      <x v="44"/>
    </i>
    <i>
      <x v="653"/>
      <x v="44"/>
    </i>
    <i>
      <x v="654"/>
      <x v="44"/>
    </i>
    <i>
      <x v="655"/>
      <x v="44"/>
    </i>
    <i>
      <x v="656"/>
      <x v="44"/>
    </i>
    <i>
      <x v="657"/>
      <x v="44"/>
    </i>
    <i>
      <x v="658"/>
      <x v="44"/>
    </i>
    <i>
      <x v="659"/>
      <x v="44"/>
    </i>
    <i>
      <x v="660"/>
      <x v="44"/>
    </i>
    <i>
      <x v="661"/>
      <x v="44"/>
    </i>
    <i>
      <x v="662"/>
      <x v="44"/>
    </i>
    <i>
      <x v="663"/>
      <x v="44"/>
    </i>
    <i>
      <x v="664"/>
      <x v="44"/>
    </i>
    <i>
      <x v="665"/>
      <x v="44"/>
    </i>
    <i>
      <x v="666"/>
      <x v="44"/>
    </i>
    <i>
      <x v="667"/>
      <x v="45"/>
    </i>
    <i>
      <x v="668"/>
      <x v="45"/>
    </i>
    <i>
      <x v="669"/>
      <x v="45"/>
    </i>
    <i>
      <x v="670"/>
      <x v="45"/>
    </i>
    <i>
      <x v="671"/>
      <x v="45"/>
    </i>
    <i>
      <x v="672"/>
      <x v="45"/>
    </i>
    <i>
      <x v="673"/>
      <x v="45"/>
    </i>
    <i>
      <x v="674"/>
      <x v="45"/>
    </i>
    <i>
      <x v="675"/>
      <x v="45"/>
    </i>
    <i>
      <x v="676"/>
      <x v="45"/>
    </i>
    <i>
      <x v="677"/>
      <x v="45"/>
    </i>
    <i>
      <x v="678"/>
      <x v="45"/>
    </i>
    <i>
      <x v="679"/>
      <x v="46"/>
    </i>
    <i>
      <x v="680"/>
      <x v="46"/>
    </i>
    <i>
      <x v="681"/>
      <x v="46"/>
    </i>
    <i>
      <x v="682"/>
      <x v="46"/>
    </i>
    <i>
      <x v="683"/>
      <x v="46"/>
    </i>
    <i>
      <x v="684"/>
      <x v="46"/>
    </i>
    <i>
      <x v="685"/>
      <x v="46"/>
    </i>
    <i>
      <x v="686"/>
      <x v="46"/>
    </i>
    <i>
      <x v="687"/>
      <x v="46"/>
    </i>
    <i>
      <x v="688"/>
      <x v="46"/>
    </i>
    <i>
      <x v="689"/>
      <x v="46"/>
    </i>
    <i>
      <x v="690"/>
      <x v="46"/>
    </i>
    <i>
      <x v="691"/>
      <x v="46"/>
    </i>
    <i>
      <x v="692"/>
      <x v="46"/>
    </i>
    <i>
      <x v="693"/>
      <x v="47"/>
    </i>
    <i>
      <x v="694"/>
      <x v="47"/>
    </i>
    <i>
      <x v="695"/>
      <x v="47"/>
    </i>
    <i>
      <x v="696"/>
      <x v="47"/>
    </i>
    <i>
      <x v="697"/>
      <x v="47"/>
    </i>
    <i>
      <x v="698"/>
      <x v="47"/>
    </i>
    <i>
      <x v="699"/>
      <x v="47"/>
    </i>
    <i>
      <x v="700"/>
      <x v="47"/>
    </i>
    <i>
      <x v="701"/>
      <x v="47"/>
    </i>
    <i>
      <x v="702"/>
      <x v="47"/>
    </i>
    <i>
      <x v="703"/>
      <x v="47"/>
    </i>
    <i>
      <x v="704"/>
      <x v="47"/>
    </i>
    <i>
      <x v="705"/>
      <x v="47"/>
    </i>
    <i>
      <x v="706"/>
      <x v="48"/>
    </i>
    <i>
      <x v="707"/>
      <x v="48"/>
    </i>
    <i>
      <x v="708"/>
      <x v="48"/>
    </i>
    <i>
      <x v="709"/>
      <x v="48"/>
    </i>
    <i>
      <x v="710"/>
      <x v="48"/>
    </i>
    <i>
      <x v="711"/>
      <x v="48"/>
    </i>
    <i>
      <x v="712"/>
      <x v="48"/>
    </i>
    <i>
      <x v="713"/>
      <x v="48"/>
    </i>
    <i>
      <x v="714"/>
      <x v="48"/>
    </i>
    <i>
      <x v="715"/>
      <x v="48"/>
    </i>
    <i>
      <x v="716"/>
      <x v="48"/>
    </i>
    <i>
      <x v="717"/>
      <x v="48"/>
    </i>
    <i>
      <x v="718"/>
      <x v="48"/>
    </i>
    <i>
      <x v="719"/>
      <x v="48"/>
    </i>
    <i>
      <x v="720"/>
      <x v="48"/>
    </i>
    <i>
      <x v="721"/>
      <x v="48"/>
    </i>
    <i>
      <x v="722"/>
      <x v="48"/>
    </i>
    <i>
      <x v="723"/>
      <x v="48"/>
    </i>
    <i>
      <x v="724"/>
      <x v="49"/>
    </i>
    <i>
      <x v="725"/>
      <x v="49"/>
    </i>
    <i>
      <x v="726"/>
      <x v="49"/>
    </i>
    <i>
      <x v="727"/>
      <x v="49"/>
    </i>
    <i>
      <x v="728"/>
      <x v="49"/>
    </i>
    <i>
      <x v="729"/>
      <x v="49"/>
    </i>
    <i>
      <x v="730"/>
      <x v="49"/>
    </i>
    <i>
      <x v="731"/>
      <x v="49"/>
    </i>
    <i>
      <x v="732"/>
      <x v="49"/>
    </i>
    <i>
      <x v="733"/>
      <x v="49"/>
    </i>
    <i>
      <x v="734"/>
      <x v="50"/>
    </i>
    <i>
      <x v="735"/>
      <x v="50"/>
    </i>
    <i>
      <x v="736"/>
      <x v="50"/>
    </i>
    <i>
      <x v="737"/>
      <x v="50"/>
    </i>
    <i>
      <x v="738"/>
      <x v="50"/>
    </i>
    <i>
      <x v="739"/>
      <x v="50"/>
    </i>
    <i>
      <x v="740"/>
      <x v="50"/>
    </i>
    <i>
      <x v="741"/>
      <x v="50"/>
    </i>
    <i>
      <x v="742"/>
      <x v="50"/>
    </i>
    <i>
      <x v="743"/>
      <x v="50"/>
    </i>
    <i>
      <x v="744"/>
      <x v="50"/>
    </i>
    <i>
      <x v="745"/>
      <x v="50"/>
    </i>
    <i>
      <x v="746"/>
      <x v="50"/>
    </i>
    <i>
      <x v="747"/>
      <x v="50"/>
    </i>
    <i>
      <x v="748"/>
      <x v="51"/>
    </i>
    <i>
      <x v="749"/>
      <x v="51"/>
    </i>
    <i>
      <x v="750"/>
      <x v="51"/>
    </i>
    <i>
      <x v="751"/>
      <x v="51"/>
    </i>
    <i>
      <x v="752"/>
      <x v="51"/>
    </i>
    <i>
      <x v="753"/>
      <x v="51"/>
    </i>
    <i>
      <x v="754"/>
      <x v="51"/>
    </i>
    <i>
      <x v="755"/>
      <x v="51"/>
    </i>
    <i>
      <x v="756"/>
      <x v="51"/>
    </i>
    <i>
      <x v="757"/>
      <x v="51"/>
    </i>
    <i>
      <x v="758"/>
      <x v="51"/>
    </i>
    <i>
      <x v="759"/>
      <x v="51"/>
    </i>
    <i>
      <x v="760"/>
      <x v="51"/>
    </i>
    <i>
      <x v="761"/>
      <x v="51"/>
    </i>
    <i>
      <x v="762"/>
      <x v="51"/>
    </i>
    <i>
      <x v="763"/>
      <x v="51"/>
    </i>
    <i>
      <x v="764"/>
      <x v="51"/>
    </i>
    <i>
      <x v="765"/>
      <x v="51"/>
    </i>
    <i>
      <x v="766"/>
      <x v="51"/>
    </i>
    <i>
      <x v="767"/>
      <x v="52"/>
    </i>
    <i>
      <x v="768"/>
      <x v="52"/>
    </i>
    <i>
      <x v="769"/>
      <x v="52"/>
    </i>
    <i>
      <x v="770"/>
      <x v="52"/>
    </i>
    <i>
      <x v="771"/>
      <x v="52"/>
    </i>
    <i>
      <x v="772"/>
      <x v="52"/>
    </i>
    <i>
      <x v="773"/>
      <x v="52"/>
    </i>
    <i>
      <x v="774"/>
      <x v="52"/>
    </i>
    <i>
      <x v="775"/>
      <x v="52"/>
    </i>
    <i>
      <x v="776"/>
      <x v="52"/>
    </i>
    <i>
      <x v="777"/>
      <x v="52"/>
    </i>
    <i>
      <x v="778"/>
      <x v="52"/>
    </i>
    <i>
      <x v="779"/>
      <x v="52"/>
    </i>
    <i>
      <x v="780"/>
      <x v="52"/>
    </i>
    <i>
      <x v="781"/>
      <x v="52"/>
    </i>
    <i>
      <x v="782"/>
      <x v="52"/>
    </i>
    <i>
      <x v="783"/>
      <x v="53"/>
    </i>
    <i>
      <x v="784"/>
      <x v="53"/>
    </i>
    <i>
      <x v="785"/>
      <x v="53"/>
    </i>
    <i>
      <x v="786"/>
      <x v="53"/>
    </i>
    <i>
      <x v="787"/>
      <x v="53"/>
    </i>
    <i>
      <x v="788"/>
      <x v="53"/>
    </i>
    <i>
      <x v="789"/>
      <x v="53"/>
    </i>
    <i>
      <x v="790"/>
      <x v="53"/>
    </i>
    <i>
      <x v="791"/>
      <x v="53"/>
    </i>
    <i>
      <x v="792"/>
      <x v="53"/>
    </i>
    <i>
      <x v="793"/>
      <x v="53"/>
    </i>
    <i>
      <x v="794"/>
      <x v="54"/>
    </i>
    <i>
      <x v="795"/>
      <x v="54"/>
    </i>
    <i>
      <x v="796"/>
      <x v="54"/>
    </i>
    <i>
      <x v="797"/>
      <x v="54"/>
    </i>
    <i>
      <x v="798"/>
      <x v="54"/>
    </i>
    <i>
      <x v="799"/>
      <x v="54"/>
    </i>
    <i>
      <x v="800"/>
      <x v="54"/>
    </i>
    <i>
      <x v="801"/>
      <x v="54"/>
    </i>
    <i>
      <x v="802"/>
      <x v="54"/>
    </i>
    <i>
      <x v="803"/>
      <x v="54"/>
    </i>
    <i>
      <x v="804"/>
      <x v="54"/>
    </i>
    <i>
      <x v="805"/>
      <x v="54"/>
    </i>
    <i>
      <x v="806"/>
      <x v="55"/>
    </i>
    <i>
      <x v="807"/>
      <x v="55"/>
    </i>
    <i>
      <x v="808"/>
      <x v="55"/>
    </i>
    <i>
      <x v="809"/>
      <x v="55"/>
    </i>
    <i>
      <x v="810"/>
      <x v="55"/>
    </i>
    <i>
      <x v="811"/>
      <x v="55"/>
    </i>
    <i>
      <x v="812"/>
      <x v="55"/>
    </i>
    <i>
      <x v="813"/>
      <x v="55"/>
    </i>
    <i>
      <x v="814"/>
      <x v="55"/>
    </i>
    <i>
      <x v="815"/>
      <x v="55"/>
    </i>
    <i>
      <x v="816"/>
      <x v="55"/>
    </i>
    <i>
      <x v="817"/>
      <x v="55"/>
    </i>
    <i>
      <x v="818"/>
      <x v="56"/>
    </i>
    <i>
      <x v="819"/>
      <x v="56"/>
    </i>
    <i>
      <x v="820"/>
      <x v="56"/>
    </i>
    <i>
      <x v="821"/>
      <x v="56"/>
    </i>
    <i>
      <x v="822"/>
      <x v="56"/>
    </i>
    <i>
      <x v="823"/>
      <x v="56"/>
    </i>
    <i>
      <x v="824"/>
      <x v="56"/>
    </i>
    <i>
      <x v="825"/>
      <x v="56"/>
    </i>
    <i>
      <x v="826"/>
      <x v="56"/>
    </i>
    <i>
      <x v="827"/>
      <x v="56"/>
    </i>
    <i>
      <x v="828"/>
      <x v="56"/>
    </i>
    <i>
      <x v="829"/>
      <x v="56"/>
    </i>
    <i>
      <x v="830"/>
      <x v="56"/>
    </i>
    <i>
      <x v="831"/>
      <x v="57"/>
    </i>
    <i>
      <x v="832"/>
      <x v="57"/>
    </i>
    <i>
      <x v="833"/>
      <x v="57"/>
    </i>
    <i>
      <x v="834"/>
      <x v="57"/>
    </i>
    <i>
      <x v="835"/>
      <x v="57"/>
    </i>
    <i>
      <x v="836"/>
      <x v="57"/>
    </i>
    <i>
      <x v="837"/>
      <x v="57"/>
    </i>
    <i>
      <x v="838"/>
      <x v="57"/>
    </i>
    <i>
      <x v="839"/>
      <x v="57"/>
    </i>
    <i>
      <x v="840"/>
      <x v="57"/>
    </i>
    <i>
      <x v="841"/>
      <x v="57"/>
    </i>
    <i>
      <x v="842"/>
      <x v="57"/>
    </i>
    <i>
      <x v="843"/>
      <x v="57"/>
    </i>
    <i>
      <x v="844"/>
      <x v="57"/>
    </i>
    <i>
      <x v="845"/>
      <x v="57"/>
    </i>
    <i>
      <x v="846"/>
      <x v="57"/>
    </i>
    <i>
      <x v="847"/>
      <x v="57"/>
    </i>
    <i>
      <x v="848"/>
      <x v="57"/>
    </i>
    <i>
      <x v="849"/>
      <x v="57"/>
    </i>
    <i>
      <x v="850"/>
      <x v="57"/>
    </i>
    <i>
      <x v="851"/>
      <x v="58"/>
    </i>
    <i>
      <x v="852"/>
      <x v="58"/>
    </i>
    <i>
      <x v="853"/>
      <x v="58"/>
    </i>
    <i>
      <x v="854"/>
      <x v="58"/>
    </i>
    <i>
      <x v="855"/>
      <x v="58"/>
    </i>
    <i>
      <x v="856"/>
      <x v="58"/>
    </i>
    <i>
      <x v="857"/>
      <x v="58"/>
    </i>
    <i>
      <x v="858"/>
      <x v="58"/>
    </i>
    <i>
      <x v="859"/>
      <x v="58"/>
    </i>
    <i>
      <x v="860"/>
      <x v="58"/>
    </i>
    <i>
      <x v="861"/>
      <x v="58"/>
    </i>
    <i>
      <x v="862"/>
      <x v="58"/>
    </i>
    <i>
      <x v="863"/>
      <x v="58"/>
    </i>
    <i>
      <x v="864"/>
      <x v="59"/>
    </i>
    <i>
      <x v="865"/>
      <x v="59"/>
    </i>
    <i>
      <x v="866"/>
      <x v="59"/>
    </i>
    <i>
      <x v="867"/>
      <x v="59"/>
    </i>
    <i>
      <x v="868"/>
      <x v="59"/>
    </i>
    <i>
      <x v="869"/>
      <x v="59"/>
    </i>
    <i>
      <x v="870"/>
      <x v="59"/>
    </i>
    <i>
      <x v="871"/>
      <x v="59"/>
    </i>
    <i>
      <x v="872"/>
      <x v="59"/>
    </i>
    <i>
      <x v="873"/>
      <x v="59"/>
    </i>
    <i>
      <x v="874"/>
      <x v="59"/>
    </i>
    <i>
      <x v="875"/>
      <x v="60"/>
    </i>
    <i>
      <x v="876"/>
      <x v="60"/>
    </i>
    <i>
      <x v="877"/>
      <x v="60"/>
    </i>
    <i>
      <x v="878"/>
      <x v="60"/>
    </i>
    <i>
      <x v="879"/>
      <x v="60"/>
    </i>
    <i>
      <x v="880"/>
      <x v="60"/>
    </i>
    <i>
      <x v="881"/>
      <x v="60"/>
    </i>
    <i>
      <x v="882"/>
      <x v="60"/>
    </i>
    <i>
      <x v="883"/>
      <x v="60"/>
    </i>
    <i>
      <x v="884"/>
      <x v="60"/>
    </i>
    <i>
      <x v="885"/>
      <x v="60"/>
    </i>
    <i>
      <x v="886"/>
      <x v="60"/>
    </i>
    <i>
      <x v="887"/>
      <x v="60"/>
    </i>
    <i>
      <x v="888"/>
      <x v="61"/>
    </i>
    <i>
      <x v="889"/>
      <x v="61"/>
    </i>
    <i>
      <x v="890"/>
      <x v="61"/>
    </i>
    <i>
      <x v="891"/>
      <x v="61"/>
    </i>
    <i>
      <x v="892"/>
      <x v="61"/>
    </i>
    <i>
      <x v="893"/>
      <x v="61"/>
    </i>
    <i>
      <x v="894"/>
      <x v="61"/>
    </i>
    <i>
      <x v="895"/>
      <x v="61"/>
    </i>
    <i>
      <x v="896"/>
      <x v="61"/>
    </i>
    <i>
      <x v="897"/>
      <x v="61"/>
    </i>
    <i>
      <x v="898"/>
      <x v="61"/>
    </i>
    <i>
      <x v="899"/>
      <x v="61"/>
    </i>
    <i>
      <x v="900"/>
      <x v="61"/>
    </i>
    <i>
      <x v="901"/>
      <x v="61"/>
    </i>
    <i>
      <x v="902"/>
      <x v="61"/>
    </i>
    <i>
      <x v="903"/>
      <x v="62"/>
    </i>
    <i>
      <x v="904"/>
      <x v="62"/>
    </i>
    <i>
      <x v="905"/>
      <x v="62"/>
    </i>
    <i>
      <x v="906"/>
      <x v="62"/>
    </i>
    <i>
      <x v="907"/>
      <x v="62"/>
    </i>
    <i>
      <x v="908"/>
      <x v="62"/>
    </i>
    <i>
      <x v="909"/>
      <x v="62"/>
    </i>
    <i>
      <x v="910"/>
      <x v="62"/>
    </i>
    <i>
      <x v="911"/>
      <x v="62"/>
    </i>
    <i>
      <x v="912"/>
      <x v="62"/>
    </i>
    <i>
      <x v="913"/>
      <x v="62"/>
    </i>
    <i>
      <x v="914"/>
      <x v="62"/>
    </i>
    <i>
      <x v="915"/>
      <x v="63"/>
    </i>
    <i>
      <x v="916"/>
      <x v="63"/>
    </i>
    <i>
      <x v="917"/>
      <x v="63"/>
    </i>
    <i>
      <x v="918"/>
      <x v="63"/>
    </i>
    <i>
      <x v="919"/>
      <x v="63"/>
    </i>
    <i>
      <x v="920"/>
      <x v="63"/>
    </i>
    <i>
      <x v="921"/>
      <x v="63"/>
    </i>
    <i>
      <x v="922"/>
      <x v="63"/>
    </i>
    <i>
      <x v="923"/>
      <x v="63"/>
    </i>
    <i>
      <x v="924"/>
      <x v="63"/>
    </i>
    <i>
      <x v="925"/>
      <x v="63"/>
    </i>
    <i>
      <x v="926"/>
      <x v="63"/>
    </i>
    <i>
      <x v="927"/>
      <x v="63"/>
    </i>
    <i>
      <x v="928"/>
      <x v="64"/>
    </i>
    <i>
      <x v="929"/>
      <x v="64"/>
    </i>
    <i>
      <x v="930"/>
      <x v="64"/>
    </i>
    <i>
      <x v="931"/>
      <x v="64"/>
    </i>
    <i>
      <x v="932"/>
      <x v="64"/>
    </i>
    <i>
      <x v="933"/>
      <x v="64"/>
    </i>
    <i>
      <x v="934"/>
      <x v="64"/>
    </i>
    <i>
      <x v="935"/>
      <x v="64"/>
    </i>
    <i>
      <x v="936"/>
      <x v="64"/>
    </i>
    <i>
      <x v="937"/>
      <x v="64"/>
    </i>
    <i>
      <x v="938"/>
      <x v="64"/>
    </i>
    <i>
      <x v="939"/>
      <x v="64"/>
    </i>
    <i>
      <x v="940"/>
      <x v="64"/>
    </i>
    <i>
      <x v="941"/>
      <x v="65"/>
    </i>
    <i>
      <x v="942"/>
      <x v="65"/>
    </i>
    <i>
      <x v="943"/>
      <x v="65"/>
    </i>
    <i>
      <x v="944"/>
      <x v="65"/>
    </i>
    <i>
      <x v="945"/>
      <x v="65"/>
    </i>
    <i>
      <x v="946"/>
      <x v="65"/>
    </i>
    <i>
      <x v="947"/>
      <x v="65"/>
    </i>
    <i>
      <x v="948"/>
      <x v="65"/>
    </i>
    <i>
      <x v="949"/>
      <x v="65"/>
    </i>
    <i>
      <x v="950"/>
      <x v="65"/>
    </i>
    <i>
      <x v="951"/>
      <x v="65"/>
    </i>
    <i>
      <x v="952"/>
      <x v="65"/>
    </i>
    <i>
      <x v="953"/>
      <x v="65"/>
    </i>
    <i>
      <x v="954"/>
      <x v="65"/>
    </i>
    <i>
      <x v="955"/>
      <x v="65"/>
    </i>
    <i>
      <x v="956"/>
      <x v="66"/>
    </i>
    <i>
      <x v="957"/>
      <x v="66"/>
    </i>
    <i>
      <x v="958"/>
      <x v="66"/>
    </i>
    <i>
      <x v="959"/>
      <x v="66"/>
    </i>
    <i>
      <x v="960"/>
      <x v="66"/>
    </i>
    <i>
      <x v="961"/>
      <x v="66"/>
    </i>
    <i>
      <x v="962"/>
      <x v="66"/>
    </i>
    <i>
      <x v="963"/>
      <x v="66"/>
    </i>
    <i>
      <x v="964"/>
      <x v="66"/>
    </i>
    <i>
      <x v="965"/>
      <x v="66"/>
    </i>
    <i>
      <x v="966"/>
      <x v="66"/>
    </i>
    <i>
      <x v="967"/>
      <x v="67"/>
    </i>
    <i>
      <x v="968"/>
      <x v="67"/>
    </i>
    <i>
      <x v="969"/>
      <x v="67"/>
    </i>
    <i>
      <x v="970"/>
      <x v="67"/>
    </i>
    <i>
      <x v="971"/>
      <x v="67"/>
    </i>
    <i>
      <x v="972"/>
      <x v="67"/>
    </i>
    <i>
      <x v="973"/>
      <x v="67"/>
    </i>
    <i>
      <x v="974"/>
      <x v="67"/>
    </i>
    <i>
      <x v="975"/>
      <x v="67"/>
    </i>
    <i>
      <x v="976"/>
      <x v="67"/>
    </i>
    <i>
      <x v="977"/>
      <x v="67"/>
    </i>
    <i>
      <x v="978"/>
      <x v="67"/>
    </i>
    <i>
      <x v="979"/>
      <x v="67"/>
    </i>
    <i>
      <x v="980"/>
      <x v="67"/>
    </i>
    <i>
      <x v="981"/>
      <x v="68"/>
    </i>
    <i>
      <x v="982"/>
      <x v="68"/>
    </i>
    <i>
      <x v="983"/>
      <x v="68"/>
    </i>
    <i>
      <x v="984"/>
      <x v="68"/>
    </i>
    <i>
      <x v="985"/>
      <x v="68"/>
    </i>
    <i>
      <x v="986"/>
      <x v="68"/>
    </i>
    <i>
      <x v="987"/>
      <x v="68"/>
    </i>
    <i>
      <x v="988"/>
      <x v="68"/>
    </i>
    <i>
      <x v="989"/>
      <x v="68"/>
    </i>
    <i>
      <x v="990"/>
      <x v="68"/>
    </i>
    <i>
      <x v="991"/>
      <x v="68"/>
    </i>
    <i>
      <x v="992"/>
      <x v="69"/>
    </i>
    <i>
      <x v="993"/>
      <x v="69"/>
    </i>
    <i>
      <x v="994"/>
      <x v="69"/>
    </i>
    <i>
      <x v="995"/>
      <x v="69"/>
    </i>
    <i>
      <x v="996"/>
      <x v="69"/>
    </i>
    <i>
      <x v="997"/>
      <x v="69"/>
    </i>
    <i>
      <x v="998"/>
      <x v="69"/>
    </i>
    <i>
      <x v="999"/>
      <x v="69"/>
    </i>
    <i>
      <x v="1000"/>
      <x v="69"/>
    </i>
    <i>
      <x v="1001"/>
      <x v="69"/>
    </i>
    <i>
      <x v="1002"/>
      <x v="69"/>
    </i>
    <i>
      <x v="1003"/>
      <x v="69"/>
    </i>
    <i>
      <x v="1004"/>
      <x v="69"/>
    </i>
    <i>
      <x v="1005"/>
      <x v="70"/>
    </i>
    <i>
      <x v="1006"/>
      <x v="70"/>
    </i>
    <i>
      <x v="1007"/>
      <x v="70"/>
    </i>
    <i>
      <x v="1008"/>
      <x v="70"/>
    </i>
    <i>
      <x v="1009"/>
      <x v="70"/>
    </i>
    <i>
      <x v="1010"/>
      <x v="70"/>
    </i>
    <i>
      <x v="1011"/>
      <x v="70"/>
    </i>
    <i>
      <x v="1012"/>
      <x v="70"/>
    </i>
    <i>
      <x v="1013"/>
      <x v="70"/>
    </i>
    <i>
      <x v="1014"/>
      <x v="70"/>
    </i>
    <i>
      <x v="1015"/>
      <x v="70"/>
    </i>
    <i>
      <x v="1016"/>
      <x v="71"/>
    </i>
    <i>
      <x v="1017"/>
      <x v="71"/>
    </i>
    <i>
      <x v="1018"/>
      <x v="71"/>
    </i>
    <i>
      <x v="1019"/>
      <x v="71"/>
    </i>
    <i>
      <x v="1020"/>
      <x v="71"/>
    </i>
    <i>
      <x v="1021"/>
      <x v="71"/>
    </i>
    <i>
      <x v="1022"/>
      <x v="71"/>
    </i>
    <i>
      <x v="1023"/>
      <x v="71"/>
    </i>
    <i>
      <x v="1024"/>
      <x v="71"/>
    </i>
    <i>
      <x v="1025"/>
      <x v="71"/>
    </i>
    <i>
      <x v="1026"/>
      <x v="71"/>
    </i>
    <i>
      <x v="1027"/>
      <x v="71"/>
    </i>
    <i>
      <x v="1028"/>
      <x v="71"/>
    </i>
    <i>
      <x v="1029"/>
      <x v="71"/>
    </i>
    <i>
      <x v="1030"/>
      <x v="71"/>
    </i>
    <i>
      <x v="1031"/>
      <x v="71"/>
    </i>
    <i>
      <x v="1032"/>
      <x v="71"/>
    </i>
    <i>
      <x v="1033"/>
      <x v="71"/>
    </i>
    <i>
      <x v="1034"/>
      <x v="71"/>
    </i>
    <i>
      <x v="1035"/>
      <x v="72"/>
    </i>
    <i>
      <x v="1036"/>
      <x v="72"/>
    </i>
    <i>
      <x v="1037"/>
      <x v="72"/>
    </i>
    <i>
      <x v="1038"/>
      <x v="72"/>
    </i>
    <i>
      <x v="1039"/>
      <x v="72"/>
    </i>
    <i>
      <x v="1040"/>
      <x v="72"/>
    </i>
    <i>
      <x v="1041"/>
      <x v="72"/>
    </i>
    <i>
      <x v="1042"/>
      <x v="72"/>
    </i>
    <i>
      <x v="1043"/>
      <x v="72"/>
    </i>
    <i>
      <x v="1044"/>
      <x v="72"/>
    </i>
    <i>
      <x v="1045"/>
      <x v="72"/>
    </i>
    <i>
      <x v="1046"/>
      <x v="72"/>
    </i>
    <i>
      <x v="1047"/>
      <x v="72"/>
    </i>
    <i>
      <x v="1048"/>
      <x v="72"/>
    </i>
    <i>
      <x v="1049"/>
      <x v="73"/>
    </i>
    <i>
      <x v="1050"/>
      <x v="73"/>
    </i>
    <i>
      <x v="1051"/>
      <x v="73"/>
    </i>
    <i>
      <x v="1052"/>
      <x v="73"/>
    </i>
    <i>
      <x v="1053"/>
      <x v="73"/>
    </i>
    <i>
      <x v="1054"/>
      <x v="73"/>
    </i>
    <i>
      <x v="1055"/>
      <x v="73"/>
    </i>
    <i>
      <x v="1056"/>
      <x v="73"/>
    </i>
    <i>
      <x v="1057"/>
      <x v="73"/>
    </i>
    <i>
      <x v="1058"/>
      <x v="73"/>
    </i>
    <i>
      <x v="1059"/>
      <x v="73"/>
    </i>
    <i>
      <x v="1060"/>
      <x v="73"/>
    </i>
    <i>
      <x v="1061"/>
      <x v="73"/>
    </i>
    <i>
      <x v="1062"/>
      <x v="73"/>
    </i>
    <i>
      <x v="1063"/>
      <x v="73"/>
    </i>
    <i>
      <x v="1064"/>
      <x v="74"/>
    </i>
    <i>
      <x v="1065"/>
      <x v="74"/>
    </i>
    <i>
      <x v="1066"/>
      <x v="74"/>
    </i>
    <i>
      <x v="1067"/>
      <x v="74"/>
    </i>
    <i>
      <x v="1068"/>
      <x v="74"/>
    </i>
    <i>
      <x v="1069"/>
      <x v="74"/>
    </i>
    <i>
      <x v="1070"/>
      <x v="74"/>
    </i>
    <i>
      <x v="1071"/>
      <x v="74"/>
    </i>
    <i>
      <x v="1072"/>
      <x v="74"/>
    </i>
    <i>
      <x v="1073"/>
      <x v="74"/>
    </i>
    <i>
      <x v="1074"/>
      <x v="74"/>
    </i>
    <i>
      <x v="1075"/>
      <x v="74"/>
    </i>
    <i>
      <x v="1076"/>
      <x v="74"/>
    </i>
    <i>
      <x v="1077"/>
      <x v="74"/>
    </i>
    <i>
      <x v="1078"/>
      <x v="74"/>
    </i>
    <i>
      <x v="1079"/>
      <x v="74"/>
    </i>
    <i>
      <x v="1080"/>
      <x v="74"/>
    </i>
    <i>
      <x v="1081"/>
      <x v="75"/>
    </i>
    <i>
      <x v="1082"/>
      <x v="75"/>
    </i>
    <i>
      <x v="1083"/>
      <x v="75"/>
    </i>
    <i>
      <x v="1084"/>
      <x v="75"/>
    </i>
    <i>
      <x v="1085"/>
      <x v="75"/>
    </i>
    <i>
      <x v="1086"/>
      <x v="75"/>
    </i>
    <i>
      <x v="1087"/>
      <x v="75"/>
    </i>
    <i>
      <x v="1088"/>
      <x v="75"/>
    </i>
    <i>
      <x v="1089"/>
      <x v="75"/>
    </i>
    <i>
      <x v="1090"/>
      <x v="75"/>
    </i>
    <i>
      <x v="1091"/>
      <x v="75"/>
    </i>
    <i>
      <x v="1092"/>
      <x v="75"/>
    </i>
    <i>
      <x v="1093"/>
      <x v="75"/>
    </i>
    <i>
      <x v="1094"/>
      <x v="75"/>
    </i>
    <i>
      <x v="1095"/>
      <x v="75"/>
    </i>
    <i>
      <x v="1096"/>
      <x v="75"/>
    </i>
    <i>
      <x v="1097"/>
      <x v="76"/>
    </i>
    <i>
      <x v="1098"/>
      <x v="76"/>
    </i>
    <i>
      <x v="1099"/>
      <x v="76"/>
    </i>
    <i>
      <x v="1100"/>
      <x v="76"/>
    </i>
    <i>
      <x v="1101"/>
      <x v="76"/>
    </i>
    <i>
      <x v="1102"/>
      <x v="76"/>
    </i>
    <i>
      <x v="1103"/>
      <x v="76"/>
    </i>
    <i>
      <x v="1104"/>
      <x v="76"/>
    </i>
    <i>
      <x v="1105"/>
      <x v="76"/>
    </i>
    <i>
      <x v="1106"/>
      <x v="76"/>
    </i>
    <i>
      <x v="1107"/>
      <x v="76"/>
    </i>
    <i>
      <x v="1108"/>
      <x v="76"/>
    </i>
    <i>
      <x v="1109"/>
      <x v="76"/>
    </i>
    <i>
      <x v="1110"/>
      <x v="76"/>
    </i>
    <i>
      <x v="1111"/>
      <x v="76"/>
    </i>
    <i>
      <x v="1112"/>
      <x v="76"/>
    </i>
    <i>
      <x v="1113"/>
      <x v="76"/>
    </i>
    <i>
      <x v="1114"/>
      <x v="76"/>
    </i>
    <i>
      <x v="1115"/>
      <x v="76"/>
    </i>
    <i>
      <x v="1116"/>
      <x v="76"/>
    </i>
    <i>
      <x v="1117"/>
      <x v="77"/>
    </i>
    <i>
      <x v="1118"/>
      <x v="77"/>
    </i>
    <i>
      <x v="1119"/>
      <x v="77"/>
    </i>
    <i>
      <x v="1120"/>
      <x v="77"/>
    </i>
    <i>
      <x v="1121"/>
      <x v="77"/>
    </i>
    <i>
      <x v="1122"/>
      <x v="77"/>
    </i>
    <i>
      <x v="1123"/>
      <x v="77"/>
    </i>
    <i>
      <x v="1124"/>
      <x v="77"/>
    </i>
    <i>
      <x v="1125"/>
      <x v="77"/>
    </i>
    <i>
      <x v="1126"/>
      <x v="77"/>
    </i>
    <i>
      <x v="1127"/>
      <x v="77"/>
    </i>
    <i>
      <x v="1128"/>
      <x v="77"/>
    </i>
    <i>
      <x v="1129"/>
      <x v="77"/>
    </i>
    <i>
      <x v="1130"/>
      <x v="77"/>
    </i>
    <i>
      <x v="1131"/>
      <x v="77"/>
    </i>
    <i>
      <x v="1132"/>
      <x v="77"/>
    </i>
    <i>
      <x v="1133"/>
      <x v="77"/>
    </i>
    <i>
      <x v="1134"/>
      <x v="77"/>
    </i>
    <i>
      <x v="1135"/>
      <x v="77"/>
    </i>
    <i>
      <x v="1136"/>
      <x v="78"/>
    </i>
    <i>
      <x v="1137"/>
      <x v="78"/>
    </i>
    <i>
      <x v="1138"/>
      <x v="78"/>
    </i>
    <i>
      <x v="1139"/>
      <x v="78"/>
    </i>
    <i>
      <x v="1140"/>
      <x v="78"/>
    </i>
    <i>
      <x v="1141"/>
      <x v="78"/>
    </i>
    <i>
      <x v="1142"/>
      <x v="78"/>
    </i>
    <i>
      <x v="1143"/>
      <x v="78"/>
    </i>
    <i>
      <x v="1144"/>
      <x v="78"/>
    </i>
    <i>
      <x v="1145"/>
      <x v="78"/>
    </i>
    <i>
      <x v="1146"/>
      <x v="78"/>
    </i>
    <i>
      <x v="1147"/>
      <x v="78"/>
    </i>
    <i>
      <x v="1148"/>
      <x v="78"/>
    </i>
    <i>
      <x v="1152"/>
      <x v="78"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 numFmtId="1"/>
    <dataField name="Sum of Price" fld="10" baseField="0" baseItem="0" numFmtId="165"/>
  </dataFields>
  <formats count="2361">
    <format dxfId="6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9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70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1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2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7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4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5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6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7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9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0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81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82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83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84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85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86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87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88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89">
      <pivotArea dataOnly="0" labelOnly="1" outline="0" fieldPosition="0">
        <references count="1">
          <reference field="0" count="49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</reference>
        </references>
      </pivotArea>
    </format>
    <format dxfId="90">
      <pivotArea outline="0" fieldPosition="0">
        <references count="1">
          <reference field="4294967294" count="1" selected="0">
            <x v="0"/>
          </reference>
        </references>
      </pivotArea>
    </format>
    <format dxfId="91">
      <pivotArea outline="0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5"/>
          </reference>
          <reference field="1" count="1">
            <x v="0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9"/>
          </reference>
          <reference field="1" count="1">
            <x v="0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1"/>
          </reference>
          <reference field="1" count="1">
            <x v="0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2"/>
          </reference>
          <reference field="1" count="1">
            <x v="0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3"/>
          </reference>
          <reference field="1" count="1">
            <x v="0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4"/>
          </reference>
          <reference field="1" count="1">
            <x v="0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5"/>
          </reference>
          <reference field="1" count="1">
            <x v="0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6"/>
          </reference>
          <reference field="1" count="1">
            <x v="0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7"/>
          </reference>
          <reference field="1" count="1">
            <x v="1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18"/>
          </reference>
          <reference field="1" count="1">
            <x v="1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9"/>
          </reference>
          <reference field="1" count="1">
            <x v="1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20"/>
          </reference>
          <reference field="1" count="1">
            <x v="1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21"/>
          </reference>
          <reference field="1" count="1">
            <x v="1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22"/>
          </reference>
          <reference field="1" count="1">
            <x v="1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23"/>
          </reference>
          <reference field="1" count="1">
            <x v="1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24"/>
          </reference>
          <reference field="1" count="1">
            <x v="1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5"/>
          </reference>
          <reference field="1" count="1">
            <x v="1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7"/>
          </reference>
          <reference field="1" count="1">
            <x v="1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28"/>
          </reference>
          <reference field="1" count="1">
            <x v="1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29"/>
          </reference>
          <reference field="1" count="1">
            <x v="1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30"/>
          </reference>
          <reference field="1" count="1">
            <x v="1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31"/>
          </reference>
          <reference field="1" count="1">
            <x v="1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33"/>
          </reference>
          <reference field="1" count="1">
            <x v="2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34"/>
          </reference>
          <reference field="1" count="1">
            <x v="2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35"/>
          </reference>
          <reference field="1" count="1">
            <x v="2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36"/>
          </reference>
          <reference field="1" count="1">
            <x v="2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37"/>
          </reference>
          <reference field="1" count="1">
            <x v="2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38"/>
          </reference>
          <reference field="1" count="1">
            <x v="2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39"/>
          </reference>
          <reference field="1" count="1">
            <x v="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40"/>
          </reference>
          <reference field="1" count="1">
            <x v="2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41"/>
          </reference>
          <reference field="1" count="1">
            <x v="2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43"/>
          </reference>
          <reference field="1" count="1">
            <x v="3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44"/>
          </reference>
          <reference field="1" count="1">
            <x v="3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45"/>
          </reference>
          <reference field="1" count="1">
            <x v="3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46"/>
          </reference>
          <reference field="1" count="1">
            <x v="3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47"/>
          </reference>
          <reference field="1" count="1">
            <x v="3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48"/>
          </reference>
          <reference field="1" count="1">
            <x v="3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49"/>
          </reference>
          <reference field="1" count="1">
            <x v="3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50"/>
          </reference>
          <reference field="1" count="1">
            <x v="3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51"/>
          </reference>
          <reference field="1" count="1">
            <x v="3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52"/>
          </reference>
          <reference field="1" count="1">
            <x v="3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54"/>
          </reference>
          <reference field="1" count="1">
            <x v="3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55"/>
          </reference>
          <reference field="1" count="1">
            <x v="3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56"/>
          </reference>
          <reference field="1" count="1">
            <x v="3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57"/>
          </reference>
          <reference field="1" count="1">
            <x v="3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58"/>
          </reference>
          <reference field="1" count="1">
            <x v="3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9"/>
          </reference>
          <reference field="1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60"/>
          </reference>
          <reference field="1" count="1">
            <x v="3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61"/>
          </reference>
          <reference field="1" count="1">
            <x v="3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62"/>
          </reference>
          <reference field="1" count="1">
            <x v="4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63"/>
          </reference>
          <reference field="1" count="1">
            <x v="4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64"/>
          </reference>
          <reference field="1" count="1">
            <x v="4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65"/>
          </reference>
          <reference field="1" count="1">
            <x v="4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66"/>
          </reference>
          <reference field="1" count="1">
            <x v="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67"/>
          </reference>
          <reference field="1" count="1">
            <x v="4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68"/>
          </reference>
          <reference field="1" count="1">
            <x v="4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69"/>
          </reference>
          <reference field="1" count="1">
            <x v="4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71"/>
          </reference>
          <reference field="1" count="1">
            <x v="4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72"/>
          </reference>
          <reference field="1" count="1">
            <x v="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73"/>
          </reference>
          <reference field="1" count="1">
            <x v="5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74"/>
          </reference>
          <reference field="1" count="1">
            <x v="5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75"/>
          </reference>
          <reference field="1" count="1">
            <x v="5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76"/>
          </reference>
          <reference field="1" count="1">
            <x v="5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77"/>
          </reference>
          <reference field="1" count="1">
            <x v="5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78"/>
          </reference>
          <reference field="1" count="1">
            <x v="5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79"/>
          </reference>
          <reference field="1" count="1">
            <x v="5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80"/>
          </reference>
          <reference field="1" count="1">
            <x v="5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81"/>
          </reference>
          <reference field="1" count="1">
            <x v="5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82"/>
          </reference>
          <reference field="1" count="1">
            <x v="5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83"/>
          </reference>
          <reference field="1" count="1">
            <x v="5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84"/>
          </reference>
          <reference field="1" count="1">
            <x v="5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85"/>
          </reference>
          <reference field="1" count="1">
            <x v="5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86"/>
          </reference>
          <reference field="1" count="1">
            <x v="5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87"/>
          </reference>
          <reference field="1" count="1">
            <x v="5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88"/>
          </reference>
          <reference field="1" count="1">
            <x v="5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89"/>
          </reference>
          <reference field="1" count="1">
            <x v="5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90"/>
          </reference>
          <reference field="1" count="1">
            <x v="5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91"/>
          </reference>
          <reference field="1" count="1">
            <x v="6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92"/>
          </reference>
          <reference field="1" count="1">
            <x v="6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93"/>
          </reference>
          <reference field="1" count="1">
            <x v="6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94"/>
          </reference>
          <reference field="1" count="1">
            <x v="6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95"/>
          </reference>
          <reference field="1" count="1">
            <x v="6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96"/>
          </reference>
          <reference field="1" count="1">
            <x v="6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97"/>
          </reference>
          <reference field="1" count="1">
            <x v="6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98"/>
          </reference>
          <reference field="1" count="1">
            <x v="6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99"/>
          </reference>
          <reference field="1" count="1">
            <x v="6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00"/>
          </reference>
          <reference field="1" count="1">
            <x v="6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01"/>
          </reference>
          <reference field="1" count="1">
            <x v="6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02"/>
          </reference>
          <reference field="1" count="1">
            <x v="6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03"/>
          </reference>
          <reference field="1" count="1">
            <x v="6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04"/>
          </reference>
          <reference field="1" count="1">
            <x v="6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05"/>
          </reference>
          <reference field="1" count="1">
            <x v="6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06"/>
          </reference>
          <reference field="1" count="1">
            <x v="6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07"/>
          </reference>
          <reference field="1" count="1">
            <x v="7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08"/>
          </reference>
          <reference field="1" count="1">
            <x v="7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09"/>
          </reference>
          <reference field="1" count="1">
            <x v="7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10"/>
          </reference>
          <reference field="1" count="1">
            <x v="7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11"/>
          </reference>
          <reference field="1" count="1">
            <x v="7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12"/>
          </reference>
          <reference field="1" count="1">
            <x v="7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13"/>
          </reference>
          <reference field="1" count="1">
            <x v="7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14"/>
          </reference>
          <reference field="1" count="1">
            <x v="7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15"/>
          </reference>
          <reference field="1" count="1">
            <x v="7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16"/>
          </reference>
          <reference field="1" count="1">
            <x v="7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17"/>
          </reference>
          <reference field="1" count="1">
            <x v="7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18"/>
          </reference>
          <reference field="1" count="1">
            <x v="7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19"/>
          </reference>
          <reference field="1" count="1">
            <x v="7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20"/>
          </reference>
          <reference field="1" count="1">
            <x v="7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21"/>
          </reference>
          <reference field="1" count="1">
            <x v="7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22"/>
          </reference>
          <reference field="1" count="1">
            <x v="7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23"/>
          </reference>
          <reference field="1" count="1">
            <x v="8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24"/>
          </reference>
          <reference field="1" count="1">
            <x v="8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25"/>
          </reference>
          <reference field="1" count="1">
            <x v="8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26"/>
          </reference>
          <reference field="1" count="1">
            <x v="8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27"/>
          </reference>
          <reference field="1" count="1">
            <x v="8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28"/>
          </reference>
          <reference field="1" count="1">
            <x v="8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29"/>
          </reference>
          <reference field="1" count="1">
            <x v="8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30"/>
          </reference>
          <reference field="1" count="1">
            <x v="8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31"/>
          </reference>
          <reference field="1" count="1">
            <x v="8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32"/>
          </reference>
          <reference field="1" count="1">
            <x v="8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33"/>
          </reference>
          <reference field="1" count="1">
            <x v="8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34"/>
          </reference>
          <reference field="1" count="1">
            <x v="8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35"/>
          </reference>
          <reference field="1" count="1">
            <x v="8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36"/>
          </reference>
          <reference field="1" count="1">
            <x v="8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37"/>
          </reference>
          <reference field="1" count="1">
            <x v="8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38"/>
          </reference>
          <reference field="1" count="1">
            <x v="8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39"/>
          </reference>
          <reference field="1" count="1">
            <x v="8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40"/>
          </reference>
          <reference field="1" count="1">
            <x v="9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41"/>
          </reference>
          <reference field="1" count="1">
            <x v="9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42"/>
          </reference>
          <reference field="1" count="1">
            <x v="9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43"/>
          </reference>
          <reference field="1" count="1">
            <x v="9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44"/>
          </reference>
          <reference field="1" count="1">
            <x v="9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45"/>
          </reference>
          <reference field="1" count="1">
            <x v="9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46"/>
          </reference>
          <reference field="1" count="1">
            <x v="9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47"/>
          </reference>
          <reference field="1" count="1">
            <x v="9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48"/>
          </reference>
          <reference field="1" count="1">
            <x v="9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149"/>
          </reference>
          <reference field="1" count="1">
            <x v="9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50"/>
          </reference>
          <reference field="1" count="1">
            <x v="9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51"/>
          </reference>
          <reference field="1" count="1">
            <x v="9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52"/>
          </reference>
          <reference field="1" count="1">
            <x v="9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53"/>
          </reference>
          <reference field="1" count="1">
            <x v="9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54"/>
          </reference>
          <reference field="1" count="1">
            <x v="10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55"/>
          </reference>
          <reference field="1" count="1">
            <x v="10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56"/>
          </reference>
          <reference field="1" count="1">
            <x v="10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57"/>
          </reference>
          <reference field="1" count="1">
            <x v="10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158"/>
          </reference>
          <reference field="1" count="1">
            <x v="10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59"/>
          </reference>
          <reference field="1" count="1">
            <x v="10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60"/>
          </reference>
          <reference field="1" count="1">
            <x v="10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61"/>
          </reference>
          <reference field="1" count="1">
            <x v="10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62"/>
          </reference>
          <reference field="1" count="1">
            <x v="10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63"/>
          </reference>
          <reference field="1" count="1">
            <x v="10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64"/>
          </reference>
          <reference field="1" count="1">
            <x v="10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65"/>
          </reference>
          <reference field="1" count="1">
            <x v="10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66"/>
          </reference>
          <reference field="1" count="1">
            <x v="10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67"/>
          </reference>
          <reference field="1" count="1">
            <x v="10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68"/>
          </reference>
          <reference field="1" count="1">
            <x v="10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169"/>
          </reference>
          <reference field="1" count="1">
            <x v="10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70"/>
          </reference>
          <reference field="1" count="1">
            <x v="10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71"/>
          </reference>
          <reference field="1" count="1">
            <x v="11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172"/>
          </reference>
          <reference field="1" count="1">
            <x v="11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73"/>
          </reference>
          <reference field="1" count="1">
            <x v="11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74"/>
          </reference>
          <reference field="1" count="1">
            <x v="11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75"/>
          </reference>
          <reference field="1" count="1">
            <x v="11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176"/>
          </reference>
          <reference field="1" count="1">
            <x v="11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177"/>
          </reference>
          <reference field="1" count="1">
            <x v="11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78"/>
          </reference>
          <reference field="1" count="1">
            <x v="11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79"/>
          </reference>
          <reference field="1" count="1">
            <x v="11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80"/>
          </reference>
          <reference field="1" count="1">
            <x v="11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81"/>
          </reference>
          <reference field="1" count="1">
            <x v="11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82"/>
          </reference>
          <reference field="1" count="1">
            <x v="11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83"/>
          </reference>
          <reference field="1" count="1">
            <x v="11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84"/>
          </reference>
          <reference field="1" count="1">
            <x v="11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85"/>
          </reference>
          <reference field="1" count="1">
            <x v="12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86"/>
          </reference>
          <reference field="1" count="1">
            <x v="12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87"/>
          </reference>
          <reference field="1" count="1">
            <x v="12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88"/>
          </reference>
          <reference field="1" count="1">
            <x v="12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89"/>
          </reference>
          <reference field="1" count="1">
            <x v="12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90"/>
          </reference>
          <reference field="1" count="1">
            <x v="12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191"/>
          </reference>
          <reference field="1" count="1">
            <x v="12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192"/>
          </reference>
          <reference field="1" count="1">
            <x v="12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93"/>
          </reference>
          <reference field="1" count="1">
            <x v="12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94"/>
          </reference>
          <reference field="1" count="1">
            <x v="1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95"/>
          </reference>
          <reference field="1" count="1">
            <x v="13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96"/>
          </reference>
          <reference field="1" count="1">
            <x v="13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97"/>
          </reference>
          <reference field="1" count="1">
            <x v="13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198"/>
          </reference>
          <reference field="1" count="1">
            <x v="13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99"/>
          </reference>
          <reference field="1" count="1">
            <x v="13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00"/>
          </reference>
          <reference field="1" count="1">
            <x v="13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201"/>
          </reference>
          <reference field="1" count="1">
            <x v="13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202"/>
          </reference>
          <reference field="1" count="1">
            <x v="13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203"/>
          </reference>
          <reference field="1" count="1">
            <x v="13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204"/>
          </reference>
          <reference field="1" count="1">
            <x v="13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205"/>
          </reference>
          <reference field="1" count="1">
            <x v="13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206"/>
          </reference>
          <reference field="1" count="1">
            <x v="13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207"/>
          </reference>
          <reference field="1" count="1">
            <x v="13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208"/>
          </reference>
          <reference field="1" count="1">
            <x v="13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209"/>
          </reference>
          <reference field="1" count="1">
            <x v="13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210"/>
          </reference>
          <reference field="1" count="1">
            <x v="13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211"/>
          </reference>
          <reference field="1" count="1">
            <x v="14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212"/>
          </reference>
          <reference field="1" count="1">
            <x v="14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213"/>
          </reference>
          <reference field="1" count="1">
            <x v="14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214"/>
          </reference>
          <reference field="1" count="1">
            <x v="14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215"/>
          </reference>
          <reference field="1" count="1">
            <x v="14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216"/>
          </reference>
          <reference field="1" count="1">
            <x v="14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217"/>
          </reference>
          <reference field="1" count="1">
            <x v="14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218"/>
          </reference>
          <reference field="1" count="1">
            <x v="14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219"/>
          </reference>
          <reference field="1" count="1">
            <x v="14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220"/>
          </reference>
          <reference field="1" count="1">
            <x v="14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221"/>
          </reference>
          <reference field="1" count="1">
            <x v="14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222"/>
          </reference>
          <reference field="1" count="1">
            <x v="14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223"/>
          </reference>
          <reference field="1" count="1">
            <x v="14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224"/>
          </reference>
          <reference field="1" count="1">
            <x v="14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225"/>
          </reference>
          <reference field="1" count="1">
            <x v="14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226"/>
          </reference>
          <reference field="1" count="1">
            <x v="14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27"/>
          </reference>
          <reference field="1" count="1">
            <x v="14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28"/>
          </reference>
          <reference field="1" count="1">
            <x v="14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229"/>
          </reference>
          <reference field="1" count="1">
            <x v="15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30"/>
          </reference>
          <reference field="1" count="1">
            <x v="15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31"/>
          </reference>
          <reference field="1" count="1">
            <x v="15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232"/>
          </reference>
          <reference field="1" count="1">
            <x v="15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233"/>
          </reference>
          <reference field="1" count="1">
            <x v="15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234"/>
          </reference>
          <reference field="1" count="1">
            <x v="15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235"/>
          </reference>
          <reference field="1" count="1">
            <x v="15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236"/>
          </reference>
          <reference field="1" count="1">
            <x v="15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237"/>
          </reference>
          <reference field="1" count="1">
            <x v="15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238"/>
          </reference>
          <reference field="1" count="1">
            <x v="15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239"/>
          </reference>
          <reference field="1" count="1">
            <x v="15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240"/>
          </reference>
          <reference field="1" count="1">
            <x v="15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241"/>
          </reference>
          <reference field="1" count="1">
            <x v="15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242"/>
          </reference>
          <reference field="1" count="1">
            <x v="15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243"/>
          </reference>
          <reference field="1" count="1">
            <x v="15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244"/>
          </reference>
          <reference field="1" count="1">
            <x v="15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245"/>
          </reference>
          <reference field="1" count="1">
            <x v="15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246"/>
          </reference>
          <reference field="1" count="1">
            <x v="15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247"/>
          </reference>
          <reference field="1" count="1">
            <x v="16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248"/>
          </reference>
          <reference field="1" count="1">
            <x v="16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249"/>
          </reference>
          <reference field="1" count="1">
            <x v="16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250"/>
          </reference>
          <reference field="1" count="1">
            <x v="16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251"/>
          </reference>
          <reference field="1" count="1">
            <x v="16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252"/>
          </reference>
          <reference field="1" count="1">
            <x v="16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253"/>
          </reference>
          <reference field="1" count="1">
            <x v="16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254"/>
          </reference>
          <reference field="1" count="1">
            <x v="16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255"/>
          </reference>
          <reference field="1" count="1">
            <x v="16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256"/>
          </reference>
          <reference field="1" count="1">
            <x v="16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257"/>
          </reference>
          <reference field="1" count="1">
            <x v="16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258"/>
          </reference>
          <reference field="1" count="1">
            <x v="16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259"/>
          </reference>
          <reference field="1" count="1">
            <x v="16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260"/>
          </reference>
          <reference field="1" count="1">
            <x v="17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261"/>
          </reference>
          <reference field="1" count="1">
            <x v="17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262"/>
          </reference>
          <reference field="1" count="1">
            <x v="17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263"/>
          </reference>
          <reference field="1" count="1">
            <x v="17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264"/>
          </reference>
          <reference field="1" count="1">
            <x v="17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265"/>
          </reference>
          <reference field="1" count="1">
            <x v="17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266"/>
          </reference>
          <reference field="1" count="1">
            <x v="17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267"/>
          </reference>
          <reference field="1" count="1">
            <x v="17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268"/>
          </reference>
          <reference field="1" count="1">
            <x v="17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269"/>
          </reference>
          <reference field="1" count="1">
            <x v="17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270"/>
          </reference>
          <reference field="1" count="1">
            <x v="17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271"/>
          </reference>
          <reference field="1" count="1">
            <x v="18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272"/>
          </reference>
          <reference field="1" count="1">
            <x v="18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273"/>
          </reference>
          <reference field="1" count="1">
            <x v="18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274"/>
          </reference>
          <reference field="1" count="1">
            <x v="18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275"/>
          </reference>
          <reference field="1" count="1">
            <x v="18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276"/>
          </reference>
          <reference field="1" count="1">
            <x v="18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277"/>
          </reference>
          <reference field="1" count="1">
            <x v="18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278"/>
          </reference>
          <reference field="1" count="1">
            <x v="18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279"/>
          </reference>
          <reference field="1" count="1">
            <x v="18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280"/>
          </reference>
          <reference field="1" count="1">
            <x v="18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281"/>
          </reference>
          <reference field="1" count="1">
            <x v="18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282"/>
          </reference>
          <reference field="1" count="1">
            <x v="19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283"/>
          </reference>
          <reference field="1" count="1">
            <x v="19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284"/>
          </reference>
          <reference field="1" count="1">
            <x v="19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285"/>
          </reference>
          <reference field="1" count="1">
            <x v="19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286"/>
          </reference>
          <reference field="1" count="1">
            <x v="19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287"/>
          </reference>
          <reference field="1" count="1">
            <x v="19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288"/>
          </reference>
          <reference field="1" count="1">
            <x v="19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289"/>
          </reference>
          <reference field="1" count="1">
            <x v="19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290"/>
          </reference>
          <reference field="1" count="1">
            <x v="19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291"/>
          </reference>
          <reference field="1" count="1">
            <x v="19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292"/>
          </reference>
          <reference field="1" count="1">
            <x v="19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293"/>
          </reference>
          <reference field="1" count="1">
            <x v="19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294"/>
          </reference>
          <reference field="1" count="1">
            <x v="20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295"/>
          </reference>
          <reference field="1" count="1">
            <x v="20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296"/>
          </reference>
          <reference field="1" count="1">
            <x v="20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297"/>
          </reference>
          <reference field="1" count="1">
            <x v="20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298"/>
          </reference>
          <reference field="1" count="1">
            <x v="20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299"/>
          </reference>
          <reference field="1" count="1">
            <x v="20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300"/>
          </reference>
          <reference field="1" count="1">
            <x v="2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301"/>
          </reference>
          <reference field="1" count="1">
            <x v="20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302"/>
          </reference>
          <reference field="1" count="1">
            <x v="20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303"/>
          </reference>
          <reference field="1" count="1">
            <x v="20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304"/>
          </reference>
          <reference field="1" count="1">
            <x v="20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305"/>
          </reference>
          <reference field="1" count="1">
            <x v="20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306"/>
          </reference>
          <reference field="1" count="1">
            <x v="20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307"/>
          </reference>
          <reference field="1" count="1">
            <x v="20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308"/>
          </reference>
          <reference field="1" count="1">
            <x v="20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09"/>
          </reference>
          <reference field="1" count="1">
            <x v="20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310"/>
          </reference>
          <reference field="1" count="1">
            <x v="21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311"/>
          </reference>
          <reference field="1" count="1">
            <x v="21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312"/>
          </reference>
          <reference field="1" count="1">
            <x v="21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313"/>
          </reference>
          <reference field="1" count="1">
            <x v="21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314"/>
          </reference>
          <reference field="1" count="1">
            <x v="21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315"/>
          </reference>
          <reference field="1" count="1">
            <x v="21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316"/>
          </reference>
          <reference field="1" count="1">
            <x v="21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317"/>
          </reference>
          <reference field="1" count="1">
            <x v="21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318"/>
          </reference>
          <reference field="1" count="1">
            <x v="21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319"/>
          </reference>
          <reference field="1" count="1">
            <x v="21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320"/>
          </reference>
          <reference field="1" count="1">
            <x v="21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321"/>
          </reference>
          <reference field="1" count="1">
            <x v="21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322"/>
          </reference>
          <reference field="1" count="1">
            <x v="21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323"/>
          </reference>
          <reference field="1" count="1">
            <x v="21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324"/>
          </reference>
          <reference field="1" count="1">
            <x v="21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325"/>
          </reference>
          <reference field="1" count="1">
            <x v="21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326"/>
          </reference>
          <reference field="1" count="1">
            <x v="21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327"/>
          </reference>
          <reference field="1" count="1">
            <x v="21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328"/>
          </reference>
          <reference field="1" count="1">
            <x v="22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329"/>
          </reference>
          <reference field="1" count="1">
            <x v="22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330"/>
          </reference>
          <reference field="1" count="1">
            <x v="22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331"/>
          </reference>
          <reference field="1" count="1">
            <x v="22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332"/>
          </reference>
          <reference field="1" count="1">
            <x v="22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333"/>
          </reference>
          <reference field="1" count="1">
            <x v="22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334"/>
          </reference>
          <reference field="1" count="1">
            <x v="22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335"/>
          </reference>
          <reference field="1" count="1">
            <x v="22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336"/>
          </reference>
          <reference field="1" count="1">
            <x v="22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337"/>
          </reference>
          <reference field="1" count="1">
            <x v="22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338"/>
          </reference>
          <reference field="1" count="1">
            <x v="22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339"/>
          </reference>
          <reference field="1" count="1">
            <x v="22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340"/>
          </reference>
          <reference field="1" count="1">
            <x v="22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341"/>
          </reference>
          <reference field="1" count="1">
            <x v="22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342"/>
          </reference>
          <reference field="1" count="1">
            <x v="22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343"/>
          </reference>
          <reference field="1" count="1">
            <x v="22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344"/>
          </reference>
          <reference field="1" count="1">
            <x v="23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345"/>
          </reference>
          <reference field="1" count="1">
            <x v="23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346"/>
          </reference>
          <reference field="1" count="1">
            <x v="23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347"/>
          </reference>
          <reference field="1" count="1">
            <x v="23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348"/>
          </reference>
          <reference field="1" count="1">
            <x v="23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349"/>
          </reference>
          <reference field="1" count="1">
            <x v="23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350"/>
          </reference>
          <reference field="1" count="1">
            <x v="23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351"/>
          </reference>
          <reference field="1" count="1">
            <x v="23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352"/>
          </reference>
          <reference field="1" count="1">
            <x v="23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353"/>
          </reference>
          <reference field="1" count="1">
            <x v="23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354"/>
          </reference>
          <reference field="1" count="1">
            <x v="23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355"/>
          </reference>
          <reference field="1" count="1">
            <x v="23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356"/>
          </reference>
          <reference field="1" count="1">
            <x v="23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357"/>
          </reference>
          <reference field="1" count="1">
            <x v="23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358"/>
          </reference>
          <reference field="1" count="1">
            <x v="23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359"/>
          </reference>
          <reference field="1" count="1">
            <x v="23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360"/>
          </reference>
          <reference field="1" count="1">
            <x v="23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361"/>
          </reference>
          <reference field="1" count="1">
            <x v="23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362"/>
          </reference>
          <reference field="1" count="1">
            <x v="24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363"/>
          </reference>
          <reference field="1" count="1">
            <x v="24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364"/>
          </reference>
          <reference field="1" count="1">
            <x v="24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365"/>
          </reference>
          <reference field="1" count="1">
            <x v="24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366"/>
          </reference>
          <reference field="1" count="1">
            <x v="24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367"/>
          </reference>
          <reference field="1" count="1">
            <x v="24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368"/>
          </reference>
          <reference field="1" count="1">
            <x v="24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369"/>
          </reference>
          <reference field="1" count="1">
            <x v="24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370"/>
          </reference>
          <reference field="1" count="1">
            <x v="24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371"/>
          </reference>
          <reference field="1" count="1">
            <x v="24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372"/>
          </reference>
          <reference field="1" count="1">
            <x v="24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373"/>
          </reference>
          <reference field="1" count="1">
            <x v="24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374"/>
          </reference>
          <reference field="1" count="1">
            <x v="24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375"/>
          </reference>
          <reference field="1" count="1">
            <x v="24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376"/>
          </reference>
          <reference field="1" count="1">
            <x v="24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377"/>
          </reference>
          <reference field="1" count="1">
            <x v="24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378"/>
          </reference>
          <reference field="1" count="1">
            <x v="25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379"/>
          </reference>
          <reference field="1" count="1">
            <x v="25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380"/>
          </reference>
          <reference field="1" count="1">
            <x v="25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381"/>
          </reference>
          <reference field="1" count="1">
            <x v="25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382"/>
          </reference>
          <reference field="1" count="1">
            <x v="25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383"/>
          </reference>
          <reference field="1" count="1">
            <x v="25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384"/>
          </reference>
          <reference field="1" count="1">
            <x v="25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385"/>
          </reference>
          <reference field="1" count="1">
            <x v="25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386"/>
          </reference>
          <reference field="1" count="1">
            <x v="25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387"/>
          </reference>
          <reference field="1" count="1">
            <x v="25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388"/>
          </reference>
          <reference field="1" count="1">
            <x v="25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389"/>
          </reference>
          <reference field="1" count="1">
            <x v="25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390"/>
          </reference>
          <reference field="1" count="1">
            <x v="25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391"/>
          </reference>
          <reference field="1" count="1">
            <x v="25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392"/>
          </reference>
          <reference field="1" count="1">
            <x v="26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393"/>
          </reference>
          <reference field="1" count="1">
            <x v="26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394"/>
          </reference>
          <reference field="1" count="1">
            <x v="26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395"/>
          </reference>
          <reference field="1" count="1">
            <x v="26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396"/>
          </reference>
          <reference field="1" count="1">
            <x v="26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397"/>
          </reference>
          <reference field="1" count="1">
            <x v="26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398"/>
          </reference>
          <reference field="1" count="1">
            <x v="26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399"/>
          </reference>
          <reference field="1" count="1">
            <x v="26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400"/>
          </reference>
          <reference field="1" count="1">
            <x v="26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401"/>
          </reference>
          <reference field="1" count="1">
            <x v="26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402"/>
          </reference>
          <reference field="1" count="1">
            <x v="26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403"/>
          </reference>
          <reference field="1" count="1">
            <x v="26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404"/>
          </reference>
          <reference field="1" count="1">
            <x v="26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405"/>
          </reference>
          <reference field="1" count="1">
            <x v="27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406"/>
          </reference>
          <reference field="1" count="1">
            <x v="27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407"/>
          </reference>
          <reference field="1" count="1">
            <x v="27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408"/>
          </reference>
          <reference field="1" count="1">
            <x v="27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409"/>
          </reference>
          <reference field="1" count="1">
            <x v="27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410"/>
          </reference>
          <reference field="1" count="1">
            <x v="27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411"/>
          </reference>
          <reference field="1" count="1">
            <x v="27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412"/>
          </reference>
          <reference field="1" count="1">
            <x v="27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413"/>
          </reference>
          <reference field="1" count="1">
            <x v="27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414"/>
          </reference>
          <reference field="1" count="1">
            <x v="27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415"/>
          </reference>
          <reference field="1" count="1">
            <x v="27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416"/>
          </reference>
          <reference field="1" count="1">
            <x v="27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417"/>
          </reference>
          <reference field="1" count="1">
            <x v="27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418"/>
          </reference>
          <reference field="1" count="1">
            <x v="27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419"/>
          </reference>
          <reference field="1" count="1">
            <x v="27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420"/>
          </reference>
          <reference field="1" count="1">
            <x v="27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421"/>
          </reference>
          <reference field="1" count="1">
            <x v="28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422"/>
          </reference>
          <reference field="1" count="1">
            <x v="28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423"/>
          </reference>
          <reference field="1" count="1">
            <x v="28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424"/>
          </reference>
          <reference field="1" count="1">
            <x v="28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425"/>
          </reference>
          <reference field="1" count="1">
            <x v="28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426"/>
          </reference>
          <reference field="1" count="1">
            <x v="28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427"/>
          </reference>
          <reference field="1" count="1">
            <x v="28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428"/>
          </reference>
          <reference field="1" count="1">
            <x v="28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429"/>
          </reference>
          <reference field="1" count="1">
            <x v="28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430"/>
          </reference>
          <reference field="1" count="1">
            <x v="28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431"/>
          </reference>
          <reference field="1" count="1">
            <x v="28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432"/>
          </reference>
          <reference field="1" count="1">
            <x v="28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433"/>
          </reference>
          <reference field="1" count="1">
            <x v="28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434"/>
          </reference>
          <reference field="1" count="1">
            <x v="29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435"/>
          </reference>
          <reference field="1" count="1">
            <x v="29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436"/>
          </reference>
          <reference field="1" count="1">
            <x v="29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437"/>
          </reference>
          <reference field="1" count="1">
            <x v="29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438"/>
          </reference>
          <reference field="1" count="1">
            <x v="29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439"/>
          </reference>
          <reference field="1" count="1">
            <x v="29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440"/>
          </reference>
          <reference field="1" count="1">
            <x v="29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441"/>
          </reference>
          <reference field="1" count="1">
            <x v="29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442"/>
          </reference>
          <reference field="1" count="1">
            <x v="29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443"/>
          </reference>
          <reference field="1" count="1">
            <x v="29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444"/>
          </reference>
          <reference field="1" count="1">
            <x v="29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445"/>
          </reference>
          <reference field="1" count="1">
            <x v="29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446"/>
          </reference>
          <reference field="1" count="1">
            <x v="29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447"/>
          </reference>
          <reference field="1" count="1">
            <x v="29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448"/>
          </reference>
          <reference field="1" count="1">
            <x v="29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449"/>
          </reference>
          <reference field="1" count="1">
            <x v="29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450"/>
          </reference>
          <reference field="1" count="1">
            <x v="29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451"/>
          </reference>
          <reference field="1" count="1">
            <x v="29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452"/>
          </reference>
          <reference field="1" count="1">
            <x v="30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453"/>
          </reference>
          <reference field="1" count="1">
            <x v="30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454"/>
          </reference>
          <reference field="1" count="1">
            <x v="30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455"/>
          </reference>
          <reference field="1" count="1">
            <x v="30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456"/>
          </reference>
          <reference field="1" count="1">
            <x v="30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457"/>
          </reference>
          <reference field="1" count="1">
            <x v="30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458"/>
          </reference>
          <reference field="1" count="1">
            <x v="30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459"/>
          </reference>
          <reference field="1" count="1">
            <x v="30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460"/>
          </reference>
          <reference field="1" count="1">
            <x v="30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461"/>
          </reference>
          <reference field="1" count="1">
            <x v="30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462"/>
          </reference>
          <reference field="1" count="1">
            <x v="30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463"/>
          </reference>
          <reference field="1" count="1">
            <x v="30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464"/>
          </reference>
          <reference field="1" count="1">
            <x v="31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465"/>
          </reference>
          <reference field="1" count="1">
            <x v="31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466"/>
          </reference>
          <reference field="1" count="1">
            <x v="31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467"/>
          </reference>
          <reference field="1" count="1">
            <x v="31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468"/>
          </reference>
          <reference field="1" count="1">
            <x v="31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469"/>
          </reference>
          <reference field="1" count="1">
            <x v="31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470"/>
          </reference>
          <reference field="1" count="1">
            <x v="31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471"/>
          </reference>
          <reference field="1" count="1">
            <x v="31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472"/>
          </reference>
          <reference field="1" count="1">
            <x v="31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473"/>
          </reference>
          <reference field="1" count="1">
            <x v="31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474"/>
          </reference>
          <reference field="1" count="1">
            <x v="31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475"/>
          </reference>
          <reference field="1" count="1">
            <x v="31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476"/>
          </reference>
          <reference field="1" count="1">
            <x v="31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477"/>
          </reference>
          <reference field="1" count="1">
            <x v="31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478"/>
          </reference>
          <reference field="1" count="1">
            <x v="31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479"/>
          </reference>
          <reference field="1" count="1">
            <x v="32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480"/>
          </reference>
          <reference field="1" count="1">
            <x v="32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481"/>
          </reference>
          <reference field="1" count="1">
            <x v="32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482"/>
          </reference>
          <reference field="1" count="1">
            <x v="32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483"/>
          </reference>
          <reference field="1" count="1">
            <x v="32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484"/>
          </reference>
          <reference field="1" count="1">
            <x v="32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485"/>
          </reference>
          <reference field="1" count="1">
            <x v="32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486"/>
          </reference>
          <reference field="1" count="1">
            <x v="32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487"/>
          </reference>
          <reference field="1" count="1">
            <x v="32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488"/>
          </reference>
          <reference field="1" count="1">
            <x v="32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489"/>
          </reference>
          <reference field="1" count="1">
            <x v="32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490"/>
          </reference>
          <reference field="1" count="1">
            <x v="32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491"/>
          </reference>
          <reference field="1" count="1">
            <x v="32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492"/>
          </reference>
          <reference field="1" count="1">
            <x v="32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493"/>
          </reference>
          <reference field="1" count="1">
            <x v="32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494"/>
          </reference>
          <reference field="1" count="1">
            <x v="32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495"/>
          </reference>
          <reference field="1" count="1">
            <x v="32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496"/>
          </reference>
          <reference field="1" count="1">
            <x v="33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497"/>
          </reference>
          <reference field="1" count="1">
            <x v="33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498"/>
          </reference>
          <reference field="1" count="1">
            <x v="33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499"/>
          </reference>
          <reference field="1" count="1">
            <x v="33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500"/>
          </reference>
          <reference field="1" count="1">
            <x v="33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501"/>
          </reference>
          <reference field="1" count="1">
            <x v="33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502"/>
          </reference>
          <reference field="1" count="1">
            <x v="33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503"/>
          </reference>
          <reference field="1" count="1">
            <x v="33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504"/>
          </reference>
          <reference field="1" count="1">
            <x v="33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505"/>
          </reference>
          <reference field="1" count="1">
            <x v="33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506"/>
          </reference>
          <reference field="1" count="1">
            <x v="34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507"/>
          </reference>
          <reference field="1" count="1">
            <x v="34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508"/>
          </reference>
          <reference field="1" count="1">
            <x v="34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509"/>
          </reference>
          <reference field="1" count="1">
            <x v="34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510"/>
          </reference>
          <reference field="1" count="1">
            <x v="34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511"/>
          </reference>
          <reference field="1" count="1">
            <x v="34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512"/>
          </reference>
          <reference field="1" count="1">
            <x v="34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513"/>
          </reference>
          <reference field="1" count="1">
            <x v="34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514"/>
          </reference>
          <reference field="1" count="1">
            <x v="34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515"/>
          </reference>
          <reference field="1" count="1">
            <x v="34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516"/>
          </reference>
          <reference field="1" count="1">
            <x v="34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517"/>
          </reference>
          <reference field="1" count="1">
            <x v="34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518"/>
          </reference>
          <reference field="1" count="1">
            <x v="34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519"/>
          </reference>
          <reference field="1" count="1">
            <x v="34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520"/>
          </reference>
          <reference field="1" count="1">
            <x v="35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521"/>
          </reference>
          <reference field="1" count="1">
            <x v="35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522"/>
          </reference>
          <reference field="1" count="1">
            <x v="35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523"/>
          </reference>
          <reference field="1" count="1">
            <x v="35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524"/>
          </reference>
          <reference field="1" count="1">
            <x v="35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525"/>
          </reference>
          <reference field="1" count="1">
            <x v="35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526"/>
          </reference>
          <reference field="1" count="1">
            <x v="35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527"/>
          </reference>
          <reference field="1" count="1">
            <x v="35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528"/>
          </reference>
          <reference field="1" count="1">
            <x v="35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529"/>
          </reference>
          <reference field="1" count="1">
            <x v="35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530"/>
          </reference>
          <reference field="1" count="1">
            <x v="35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531"/>
          </reference>
          <reference field="1" count="1">
            <x v="35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532"/>
          </reference>
          <reference field="1" count="1">
            <x v="35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533"/>
          </reference>
          <reference field="1" count="1">
            <x v="35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534"/>
          </reference>
          <reference field="1" count="1">
            <x v="35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535"/>
          </reference>
          <reference field="1" count="1">
            <x v="35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536"/>
          </reference>
          <reference field="1" count="1">
            <x v="35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537"/>
          </reference>
          <reference field="1" count="1">
            <x v="35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538"/>
          </reference>
          <reference field="1" count="1">
            <x v="36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539"/>
          </reference>
          <reference field="1" count="1">
            <x v="36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540"/>
          </reference>
          <reference field="1" count="1">
            <x v="36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541"/>
          </reference>
          <reference field="1" count="1">
            <x v="36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542"/>
          </reference>
          <reference field="1" count="1">
            <x v="36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543"/>
          </reference>
          <reference field="1" count="1">
            <x v="36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544"/>
          </reference>
          <reference field="1" count="1">
            <x v="36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545"/>
          </reference>
          <reference field="1" count="1">
            <x v="36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546"/>
          </reference>
          <reference field="1" count="1">
            <x v="36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547"/>
          </reference>
          <reference field="1" count="1">
            <x v="36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548"/>
          </reference>
          <reference field="1" count="1">
            <x v="36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549"/>
          </reference>
          <reference field="1" count="1">
            <x v="36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550"/>
          </reference>
          <reference field="1" count="1">
            <x v="37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551"/>
          </reference>
          <reference field="1" count="1">
            <x v="37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552"/>
          </reference>
          <reference field="1" count="1">
            <x v="37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553"/>
          </reference>
          <reference field="1" count="1">
            <x v="37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554"/>
          </reference>
          <reference field="1" count="1">
            <x v="37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555"/>
          </reference>
          <reference field="1" count="1">
            <x v="37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556"/>
          </reference>
          <reference field="1" count="1">
            <x v="37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557"/>
          </reference>
          <reference field="1" count="1">
            <x v="37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558"/>
          </reference>
          <reference field="1" count="1">
            <x v="37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559"/>
          </reference>
          <reference field="1" count="1">
            <x v="37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560"/>
          </reference>
          <reference field="1" count="1">
            <x v="37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561"/>
          </reference>
          <reference field="1" count="1">
            <x v="37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562"/>
          </reference>
          <reference field="1" count="1">
            <x v="37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563"/>
          </reference>
          <reference field="1" count="1">
            <x v="37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564"/>
          </reference>
          <reference field="1" count="1">
            <x v="37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565"/>
          </reference>
          <reference field="1" count="1">
            <x v="38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566"/>
          </reference>
          <reference field="1" count="1">
            <x v="38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567"/>
          </reference>
          <reference field="1" count="1">
            <x v="38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568"/>
          </reference>
          <reference field="1" count="1">
            <x v="38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569"/>
          </reference>
          <reference field="1" count="1">
            <x v="38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570"/>
          </reference>
          <reference field="1" count="1">
            <x v="38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571"/>
          </reference>
          <reference field="1" count="1">
            <x v="38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572"/>
          </reference>
          <reference field="1" count="1">
            <x v="38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573"/>
          </reference>
          <reference field="1" count="1">
            <x v="38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574"/>
          </reference>
          <reference field="1" count="1">
            <x v="38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575"/>
          </reference>
          <reference field="1" count="1">
            <x v="38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576"/>
          </reference>
          <reference field="1" count="1">
            <x v="38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577"/>
          </reference>
          <reference field="1" count="1">
            <x v="38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578"/>
          </reference>
          <reference field="1" count="1">
            <x v="39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579"/>
          </reference>
          <reference field="1" count="1">
            <x v="39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580"/>
          </reference>
          <reference field="1" count="1">
            <x v="39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581"/>
          </reference>
          <reference field="1" count="1">
            <x v="39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582"/>
          </reference>
          <reference field="1" count="1">
            <x v="39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583"/>
          </reference>
          <reference field="1" count="1">
            <x v="39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584"/>
          </reference>
          <reference field="1" count="1">
            <x v="39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585"/>
          </reference>
          <reference field="1" count="1">
            <x v="39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586"/>
          </reference>
          <reference field="1" count="1">
            <x v="39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587"/>
          </reference>
          <reference field="1" count="1">
            <x v="39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588"/>
          </reference>
          <reference field="1" count="1">
            <x v="39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589"/>
          </reference>
          <reference field="1" count="1">
            <x v="39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590"/>
          </reference>
          <reference field="1" count="1">
            <x v="39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591"/>
          </reference>
          <reference field="1" count="1">
            <x v="39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592"/>
          </reference>
          <reference field="1" count="1">
            <x v="39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593"/>
          </reference>
          <reference field="1" count="1">
            <x v="39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594"/>
          </reference>
          <reference field="1" count="1">
            <x v="39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595"/>
          </reference>
          <reference field="1" count="1">
            <x v="39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596"/>
          </reference>
          <reference field="1" count="1">
            <x v="40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597"/>
          </reference>
          <reference field="1" count="1">
            <x v="40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598"/>
          </reference>
          <reference field="1" count="1">
            <x v="40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599"/>
          </reference>
          <reference field="1" count="1">
            <x v="40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600"/>
          </reference>
          <reference field="1" count="1">
            <x v="40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601"/>
          </reference>
          <reference field="1" count="1">
            <x v="40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602"/>
          </reference>
          <reference field="1" count="1">
            <x v="40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603"/>
          </reference>
          <reference field="1" count="1">
            <x v="40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604"/>
          </reference>
          <reference field="1" count="1">
            <x v="40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605"/>
          </reference>
          <reference field="1" count="1">
            <x v="40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606"/>
          </reference>
          <reference field="1" count="1">
            <x v="40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607"/>
          </reference>
          <reference field="1" count="1">
            <x v="40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608"/>
          </reference>
          <reference field="1" count="1">
            <x v="40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609"/>
          </reference>
          <reference field="1" count="1">
            <x v="40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610"/>
          </reference>
          <reference field="1" count="1">
            <x v="40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611"/>
          </reference>
          <reference field="1" count="1">
            <x v="40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612"/>
          </reference>
          <reference field="1" count="1">
            <x v="40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613"/>
          </reference>
          <reference field="1" count="1">
            <x v="40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614"/>
          </reference>
          <reference field="1" count="1">
            <x v="41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615"/>
          </reference>
          <reference field="1" count="1">
            <x v="41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616"/>
          </reference>
          <reference field="1" count="1">
            <x v="41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617"/>
          </reference>
          <reference field="1" count="1">
            <x v="41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618"/>
          </reference>
          <reference field="1" count="1">
            <x v="41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619"/>
          </reference>
          <reference field="1" count="1">
            <x v="41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620"/>
          </reference>
          <reference field="1" count="1">
            <x v="41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621"/>
          </reference>
          <reference field="1" count="1">
            <x v="41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622"/>
          </reference>
          <reference field="1" count="1">
            <x v="41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623"/>
          </reference>
          <reference field="1" count="1">
            <x v="41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624"/>
          </reference>
          <reference field="1" count="1">
            <x v="41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625"/>
          </reference>
          <reference field="1" count="1">
            <x v="41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626"/>
          </reference>
          <reference field="1" count="1">
            <x v="41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627"/>
          </reference>
          <reference field="1" count="1">
            <x v="41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628"/>
          </reference>
          <reference field="1" count="1">
            <x v="41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629"/>
          </reference>
          <reference field="1" count="1">
            <x v="41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630"/>
          </reference>
          <reference field="1" count="1">
            <x v="41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631"/>
          </reference>
          <reference field="1" count="1">
            <x v="42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632"/>
          </reference>
          <reference field="1" count="1">
            <x v="42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633"/>
          </reference>
          <reference field="1" count="1">
            <x v="42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634"/>
          </reference>
          <reference field="1" count="1">
            <x v="42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635"/>
          </reference>
          <reference field="1" count="1">
            <x v="42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636"/>
          </reference>
          <reference field="1" count="1">
            <x v="42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637"/>
          </reference>
          <reference field="1" count="1">
            <x v="42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638"/>
          </reference>
          <reference field="1" count="1">
            <x v="42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639"/>
          </reference>
          <reference field="1" count="1">
            <x v="42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640"/>
          </reference>
          <reference field="1" count="1">
            <x v="42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641"/>
          </reference>
          <reference field="1" count="1">
            <x v="42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642"/>
          </reference>
          <reference field="1" count="1">
            <x v="43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643"/>
          </reference>
          <reference field="1" count="1">
            <x v="43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644"/>
          </reference>
          <reference field="1" count="1">
            <x v="43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645"/>
          </reference>
          <reference field="1" count="1">
            <x v="43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646"/>
          </reference>
          <reference field="1" count="1">
            <x v="43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647"/>
          </reference>
          <reference field="1" count="1">
            <x v="43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648"/>
          </reference>
          <reference field="1" count="1">
            <x v="43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649"/>
          </reference>
          <reference field="1" count="1">
            <x v="43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650"/>
          </reference>
          <reference field="1" count="1">
            <x v="43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651"/>
          </reference>
          <reference field="1" count="1">
            <x v="44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652"/>
          </reference>
          <reference field="1" count="1">
            <x v="44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653"/>
          </reference>
          <reference field="1" count="1">
            <x v="44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654"/>
          </reference>
          <reference field="1" count="1">
            <x v="44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655"/>
          </reference>
          <reference field="1" count="1">
            <x v="44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656"/>
          </reference>
          <reference field="1" count="1">
            <x v="44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657"/>
          </reference>
          <reference field="1" count="1">
            <x v="44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658"/>
          </reference>
          <reference field="1" count="1">
            <x v="44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659"/>
          </reference>
          <reference field="1" count="1">
            <x v="44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660"/>
          </reference>
          <reference field="1" count="1">
            <x v="44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661"/>
          </reference>
          <reference field="1" count="1">
            <x v="44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662"/>
          </reference>
          <reference field="1" count="1">
            <x v="44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663"/>
          </reference>
          <reference field="1" count="1">
            <x v="44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664"/>
          </reference>
          <reference field="1" count="1">
            <x v="44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665"/>
          </reference>
          <reference field="1" count="1">
            <x v="44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666"/>
          </reference>
          <reference field="1" count="1">
            <x v="44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667"/>
          </reference>
          <reference field="1" count="1">
            <x v="45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668"/>
          </reference>
          <reference field="1" count="1">
            <x v="45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669"/>
          </reference>
          <reference field="1" count="1">
            <x v="45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670"/>
          </reference>
          <reference field="1" count="1">
            <x v="45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671"/>
          </reference>
          <reference field="1" count="1">
            <x v="45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672"/>
          </reference>
          <reference field="1" count="1">
            <x v="45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673"/>
          </reference>
          <reference field="1" count="1">
            <x v="45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674"/>
          </reference>
          <reference field="1" count="1">
            <x v="45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675"/>
          </reference>
          <reference field="1" count="1">
            <x v="45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676"/>
          </reference>
          <reference field="1" count="1">
            <x v="45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677"/>
          </reference>
          <reference field="1" count="1">
            <x v="45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678"/>
          </reference>
          <reference field="1" count="1">
            <x v="45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679"/>
          </reference>
          <reference field="1" count="1">
            <x v="46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680"/>
          </reference>
          <reference field="1" count="1">
            <x v="46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681"/>
          </reference>
          <reference field="1" count="1">
            <x v="46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682"/>
          </reference>
          <reference field="1" count="1">
            <x v="46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683"/>
          </reference>
          <reference field="1" count="1">
            <x v="46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684"/>
          </reference>
          <reference field="1" count="1">
            <x v="46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685"/>
          </reference>
          <reference field="1" count="1">
            <x v="46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686"/>
          </reference>
          <reference field="1" count="1">
            <x v="46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687"/>
          </reference>
          <reference field="1" count="1">
            <x v="46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688"/>
          </reference>
          <reference field="1" count="1">
            <x v="46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689"/>
          </reference>
          <reference field="1" count="1">
            <x v="46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690"/>
          </reference>
          <reference field="1" count="1">
            <x v="46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691"/>
          </reference>
          <reference field="1" count="1">
            <x v="46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692"/>
          </reference>
          <reference field="1" count="1">
            <x v="46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693"/>
          </reference>
          <reference field="1" count="1">
            <x v="47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694"/>
          </reference>
          <reference field="1" count="1">
            <x v="47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695"/>
          </reference>
          <reference field="1" count="1">
            <x v="47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696"/>
          </reference>
          <reference field="1" count="1">
            <x v="47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697"/>
          </reference>
          <reference field="1" count="1">
            <x v="47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698"/>
          </reference>
          <reference field="1" count="1">
            <x v="47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699"/>
          </reference>
          <reference field="1" count="1">
            <x v="47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700"/>
          </reference>
          <reference field="1" count="1">
            <x v="47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701"/>
          </reference>
          <reference field="1" count="1">
            <x v="47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702"/>
          </reference>
          <reference field="1" count="1">
            <x v="47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703"/>
          </reference>
          <reference field="1" count="1">
            <x v="47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704"/>
          </reference>
          <reference field="1" count="1">
            <x v="47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705"/>
          </reference>
          <reference field="1" count="1">
            <x v="47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706"/>
          </reference>
          <reference field="1" count="1">
            <x v="48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707"/>
          </reference>
          <reference field="1" count="1">
            <x v="48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708"/>
          </reference>
          <reference field="1" count="1">
            <x v="48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709"/>
          </reference>
          <reference field="1" count="1">
            <x v="48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710"/>
          </reference>
          <reference field="1" count="1">
            <x v="48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711"/>
          </reference>
          <reference field="1" count="1">
            <x v="48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712"/>
          </reference>
          <reference field="1" count="1">
            <x v="48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713"/>
          </reference>
          <reference field="1" count="1">
            <x v="48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714"/>
          </reference>
          <reference field="1" count="1">
            <x v="48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715"/>
          </reference>
          <reference field="1" count="1">
            <x v="48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716"/>
          </reference>
          <reference field="1" count="1">
            <x v="48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717"/>
          </reference>
          <reference field="1" count="1">
            <x v="48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718"/>
          </reference>
          <reference field="1" count="1">
            <x v="48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719"/>
          </reference>
          <reference field="1" count="1">
            <x v="48"/>
          </reference>
        </references>
      </pivotArea>
    </format>
    <format dxfId="812">
      <pivotArea dataOnly="0" labelOnly="1" outline="0" fieldPosition="0">
        <references count="2">
          <reference field="0" count="1" selected="0">
            <x v="720"/>
          </reference>
          <reference field="1" count="1">
            <x v="48"/>
          </reference>
        </references>
      </pivotArea>
    </format>
    <format dxfId="813">
      <pivotArea dataOnly="0" labelOnly="1" outline="0" fieldPosition="0">
        <references count="2">
          <reference field="0" count="1" selected="0">
            <x v="721"/>
          </reference>
          <reference field="1" count="1">
            <x v="48"/>
          </reference>
        </references>
      </pivotArea>
    </format>
    <format dxfId="814">
      <pivotArea dataOnly="0" labelOnly="1" outline="0" fieldPosition="0">
        <references count="2">
          <reference field="0" count="1" selected="0">
            <x v="722"/>
          </reference>
          <reference field="1" count="1">
            <x v="48"/>
          </reference>
        </references>
      </pivotArea>
    </format>
    <format dxfId="815">
      <pivotArea dataOnly="0" labelOnly="1" outline="0" fieldPosition="0">
        <references count="2">
          <reference field="0" count="1" selected="0">
            <x v="723"/>
          </reference>
          <reference field="1" count="1">
            <x v="48"/>
          </reference>
        </references>
      </pivotArea>
    </format>
    <format dxfId="816">
      <pivotArea dataOnly="0" labelOnly="1" outline="0" fieldPosition="0">
        <references count="2">
          <reference field="0" count="1" selected="0">
            <x v="724"/>
          </reference>
          <reference field="1" count="1">
            <x v="49"/>
          </reference>
        </references>
      </pivotArea>
    </format>
    <format dxfId="817">
      <pivotArea dataOnly="0" labelOnly="1" outline="0" fieldPosition="0">
        <references count="2">
          <reference field="0" count="1" selected="0">
            <x v="725"/>
          </reference>
          <reference field="1" count="1">
            <x v="49"/>
          </reference>
        </references>
      </pivotArea>
    </format>
    <format dxfId="818">
      <pivotArea dataOnly="0" labelOnly="1" outline="0" fieldPosition="0">
        <references count="2">
          <reference field="0" count="1" selected="0">
            <x v="726"/>
          </reference>
          <reference field="1" count="1">
            <x v="49"/>
          </reference>
        </references>
      </pivotArea>
    </format>
    <format dxfId="819">
      <pivotArea dataOnly="0" labelOnly="1" outline="0" fieldPosition="0">
        <references count="2">
          <reference field="0" count="1" selected="0">
            <x v="727"/>
          </reference>
          <reference field="1" count="1">
            <x v="49"/>
          </reference>
        </references>
      </pivotArea>
    </format>
    <format dxfId="820">
      <pivotArea dataOnly="0" labelOnly="1" outline="0" fieldPosition="0">
        <references count="2">
          <reference field="0" count="1" selected="0">
            <x v="728"/>
          </reference>
          <reference field="1" count="1">
            <x v="49"/>
          </reference>
        </references>
      </pivotArea>
    </format>
    <format dxfId="821">
      <pivotArea dataOnly="0" labelOnly="1" outline="0" fieldPosition="0">
        <references count="2">
          <reference field="0" count="1" selected="0">
            <x v="729"/>
          </reference>
          <reference field="1" count="1">
            <x v="49"/>
          </reference>
        </references>
      </pivotArea>
    </format>
    <format dxfId="822">
      <pivotArea dataOnly="0" labelOnly="1" outline="0" fieldPosition="0">
        <references count="2">
          <reference field="0" count="1" selected="0">
            <x v="730"/>
          </reference>
          <reference field="1" count="1">
            <x v="49"/>
          </reference>
        </references>
      </pivotArea>
    </format>
    <format dxfId="823">
      <pivotArea dataOnly="0" labelOnly="1" outline="0" fieldPosition="0">
        <references count="2">
          <reference field="0" count="1" selected="0">
            <x v="731"/>
          </reference>
          <reference field="1" count="1">
            <x v="49"/>
          </reference>
        </references>
      </pivotArea>
    </format>
    <format dxfId="824">
      <pivotArea dataOnly="0" labelOnly="1" outline="0" fieldPosition="0">
        <references count="2">
          <reference field="0" count="1" selected="0">
            <x v="732"/>
          </reference>
          <reference field="1" count="1">
            <x v="49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733"/>
          </reference>
          <reference field="1" count="1">
            <x v="49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734"/>
          </reference>
          <reference field="1" count="1">
            <x v="50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735"/>
          </reference>
          <reference field="1" count="1">
            <x v="50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736"/>
          </reference>
          <reference field="1" count="1">
            <x v="50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737"/>
          </reference>
          <reference field="1" count="1">
            <x v="50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738"/>
          </reference>
          <reference field="1" count="1">
            <x v="50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739"/>
          </reference>
          <reference field="1" count="1">
            <x v="50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740"/>
          </reference>
          <reference field="1" count="1">
            <x v="50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741"/>
          </reference>
          <reference field="1" count="1">
            <x v="50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742"/>
          </reference>
          <reference field="1" count="1">
            <x v="50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743"/>
          </reference>
          <reference field="1" count="1">
            <x v="50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744"/>
          </reference>
          <reference field="1" count="1">
            <x v="50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745"/>
          </reference>
          <reference field="1" count="1">
            <x v="50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746"/>
          </reference>
          <reference field="1" count="1">
            <x v="50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747"/>
          </reference>
          <reference field="1" count="1">
            <x v="50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748"/>
          </reference>
          <reference field="1" count="1">
            <x v="51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749"/>
          </reference>
          <reference field="1" count="1">
            <x v="51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750"/>
          </reference>
          <reference field="1" count="1">
            <x v="51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751"/>
          </reference>
          <reference field="1" count="1">
            <x v="51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752"/>
          </reference>
          <reference field="1" count="1">
            <x v="51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753"/>
          </reference>
          <reference field="1" count="1">
            <x v="51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754"/>
          </reference>
          <reference field="1" count="1">
            <x v="51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755"/>
          </reference>
          <reference field="1" count="1">
            <x v="51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756"/>
          </reference>
          <reference field="1" count="1">
            <x v="51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757"/>
          </reference>
          <reference field="1" count="1">
            <x v="51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758"/>
          </reference>
          <reference field="1" count="1">
            <x v="51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759"/>
          </reference>
          <reference field="1" count="1">
            <x v="51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760"/>
          </reference>
          <reference field="1" count="1">
            <x v="51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761"/>
          </reference>
          <reference field="1" count="1">
            <x v="51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762"/>
          </reference>
          <reference field="1" count="1">
            <x v="51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763"/>
          </reference>
          <reference field="1" count="1">
            <x v="51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764"/>
          </reference>
          <reference field="1" count="1">
            <x v="51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765"/>
          </reference>
          <reference field="1" count="1">
            <x v="51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766"/>
          </reference>
          <reference field="1" count="1">
            <x v="51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767"/>
          </reference>
          <reference field="1" count="1">
            <x v="52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768"/>
          </reference>
          <reference field="1" count="1">
            <x v="52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769"/>
          </reference>
          <reference field="1" count="1">
            <x v="52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770"/>
          </reference>
          <reference field="1" count="1">
            <x v="52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771"/>
          </reference>
          <reference field="1" count="1">
            <x v="52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772"/>
          </reference>
          <reference field="1" count="1">
            <x v="52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773"/>
          </reference>
          <reference field="1" count="1">
            <x v="52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774"/>
          </reference>
          <reference field="1" count="1">
            <x v="52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775"/>
          </reference>
          <reference field="1" count="1">
            <x v="52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776"/>
          </reference>
          <reference field="1" count="1">
            <x v="52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777"/>
          </reference>
          <reference field="1" count="1">
            <x v="52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778"/>
          </reference>
          <reference field="1" count="1">
            <x v="52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779"/>
          </reference>
          <reference field="1" count="1">
            <x v="52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780"/>
          </reference>
          <reference field="1" count="1">
            <x v="52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781"/>
          </reference>
          <reference field="1" count="1">
            <x v="52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782"/>
          </reference>
          <reference field="1" count="1">
            <x v="52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783"/>
          </reference>
          <reference field="1" count="1">
            <x v="53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784"/>
          </reference>
          <reference field="1" count="1">
            <x v="53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785"/>
          </reference>
          <reference field="1" count="1">
            <x v="53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786"/>
          </reference>
          <reference field="1" count="1">
            <x v="53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787"/>
          </reference>
          <reference field="1" count="1">
            <x v="53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788"/>
          </reference>
          <reference field="1" count="1">
            <x v="53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789"/>
          </reference>
          <reference field="1" count="1">
            <x v="53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790"/>
          </reference>
          <reference field="1" count="1">
            <x v="53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791"/>
          </reference>
          <reference field="1" count="1">
            <x v="53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792"/>
          </reference>
          <reference field="1" count="1">
            <x v="53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793"/>
          </reference>
          <reference field="1" count="1">
            <x v="53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794"/>
          </reference>
          <reference field="1" count="1">
            <x v="54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795"/>
          </reference>
          <reference field="1" count="1">
            <x v="54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796"/>
          </reference>
          <reference field="1" count="1">
            <x v="54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797"/>
          </reference>
          <reference field="1" count="1">
            <x v="54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798"/>
          </reference>
          <reference field="1" count="1">
            <x v="54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799"/>
          </reference>
          <reference field="1" count="1">
            <x v="54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800"/>
          </reference>
          <reference field="1" count="1">
            <x v="54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801"/>
          </reference>
          <reference field="1" count="1">
            <x v="54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802"/>
          </reference>
          <reference field="1" count="1">
            <x v="54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803"/>
          </reference>
          <reference field="1" count="1">
            <x v="54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804"/>
          </reference>
          <reference field="1" count="1">
            <x v="54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805"/>
          </reference>
          <reference field="1" count="1">
            <x v="54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806"/>
          </reference>
          <reference field="1" count="1">
            <x v="55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807"/>
          </reference>
          <reference field="1" count="1">
            <x v="55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808"/>
          </reference>
          <reference field="1" count="1">
            <x v="55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809"/>
          </reference>
          <reference field="1" count="1">
            <x v="55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810"/>
          </reference>
          <reference field="1" count="1">
            <x v="55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811"/>
          </reference>
          <reference field="1" count="1">
            <x v="55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812"/>
          </reference>
          <reference field="1" count="1">
            <x v="55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813"/>
          </reference>
          <reference field="1" count="1">
            <x v="55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814"/>
          </reference>
          <reference field="1" count="1">
            <x v="55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815"/>
          </reference>
          <reference field="1" count="1">
            <x v="55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816"/>
          </reference>
          <reference field="1" count="1">
            <x v="55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817"/>
          </reference>
          <reference field="1" count="1">
            <x v="55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818"/>
          </reference>
          <reference field="1" count="1">
            <x v="56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819"/>
          </reference>
          <reference field="1" count="1">
            <x v="56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820"/>
          </reference>
          <reference field="1" count="1">
            <x v="56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821"/>
          </reference>
          <reference field="1" count="1">
            <x v="56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822"/>
          </reference>
          <reference field="1" count="1">
            <x v="56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823"/>
          </reference>
          <reference field="1" count="1">
            <x v="56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824"/>
          </reference>
          <reference field="1" count="1">
            <x v="56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825"/>
          </reference>
          <reference field="1" count="1">
            <x v="56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826"/>
          </reference>
          <reference field="1" count="1">
            <x v="56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827"/>
          </reference>
          <reference field="1" count="1">
            <x v="56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828"/>
          </reference>
          <reference field="1" count="1">
            <x v="56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829"/>
          </reference>
          <reference field="1" count="1">
            <x v="56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830"/>
          </reference>
          <reference field="1" count="1">
            <x v="56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831"/>
          </reference>
          <reference field="1" count="1">
            <x v="57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832"/>
          </reference>
          <reference field="1" count="1">
            <x v="57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833"/>
          </reference>
          <reference field="1" count="1">
            <x v="57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834"/>
          </reference>
          <reference field="1" count="1">
            <x v="57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835"/>
          </reference>
          <reference field="1" count="1">
            <x v="57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836"/>
          </reference>
          <reference field="1" count="1">
            <x v="57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837"/>
          </reference>
          <reference field="1" count="1">
            <x v="57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838"/>
          </reference>
          <reference field="1" count="1">
            <x v="57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839"/>
          </reference>
          <reference field="1" count="1">
            <x v="57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840"/>
          </reference>
          <reference field="1" count="1">
            <x v="57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841"/>
          </reference>
          <reference field="1" count="1">
            <x v="57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842"/>
          </reference>
          <reference field="1" count="1">
            <x v="57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843"/>
          </reference>
          <reference field="1" count="1">
            <x v="57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844"/>
          </reference>
          <reference field="1" count="1">
            <x v="57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845"/>
          </reference>
          <reference field="1" count="1">
            <x v="57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846"/>
          </reference>
          <reference field="1" count="1">
            <x v="57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847"/>
          </reference>
          <reference field="1" count="1">
            <x v="57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848"/>
          </reference>
          <reference field="1" count="1">
            <x v="57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849"/>
          </reference>
          <reference field="1" count="1">
            <x v="57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850"/>
          </reference>
          <reference field="1" count="1">
            <x v="57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851"/>
          </reference>
          <reference field="1" count="1">
            <x v="58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852"/>
          </reference>
          <reference field="1" count="1">
            <x v="58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853"/>
          </reference>
          <reference field="1" count="1">
            <x v="58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854"/>
          </reference>
          <reference field="1" count="1">
            <x v="58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855"/>
          </reference>
          <reference field="1" count="1">
            <x v="58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856"/>
          </reference>
          <reference field="1" count="1">
            <x v="58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857"/>
          </reference>
          <reference field="1" count="1">
            <x v="58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858"/>
          </reference>
          <reference field="1" count="1">
            <x v="58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859"/>
          </reference>
          <reference field="1" count="1">
            <x v="58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860"/>
          </reference>
          <reference field="1" count="1">
            <x v="58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861"/>
          </reference>
          <reference field="1" count="1">
            <x v="58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862"/>
          </reference>
          <reference field="1" count="1">
            <x v="58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863"/>
          </reference>
          <reference field="1" count="1">
            <x v="58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864"/>
          </reference>
          <reference field="1" count="1">
            <x v="59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865"/>
          </reference>
          <reference field="1" count="1">
            <x v="59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866"/>
          </reference>
          <reference field="1" count="1">
            <x v="59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867"/>
          </reference>
          <reference field="1" count="1">
            <x v="59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868"/>
          </reference>
          <reference field="1" count="1">
            <x v="59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869"/>
          </reference>
          <reference field="1" count="1">
            <x v="59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870"/>
          </reference>
          <reference field="1" count="1">
            <x v="59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871"/>
          </reference>
          <reference field="1" count="1">
            <x v="59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872"/>
          </reference>
          <reference field="1" count="1">
            <x v="59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873"/>
          </reference>
          <reference field="1" count="1">
            <x v="59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874"/>
          </reference>
          <reference field="1" count="1">
            <x v="59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875"/>
          </reference>
          <reference field="1" count="1">
            <x v="60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876"/>
          </reference>
          <reference field="1" count="1">
            <x v="60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877"/>
          </reference>
          <reference field="1" count="1">
            <x v="60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878"/>
          </reference>
          <reference field="1" count="1">
            <x v="60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879"/>
          </reference>
          <reference field="1" count="1">
            <x v="60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880"/>
          </reference>
          <reference field="1" count="1">
            <x v="60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881"/>
          </reference>
          <reference field="1" count="1">
            <x v="60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882"/>
          </reference>
          <reference field="1" count="1">
            <x v="60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883"/>
          </reference>
          <reference field="1" count="1">
            <x v="60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884"/>
          </reference>
          <reference field="1" count="1">
            <x v="60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885"/>
          </reference>
          <reference field="1" count="1">
            <x v="60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886"/>
          </reference>
          <reference field="1" count="1">
            <x v="60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887"/>
          </reference>
          <reference field="1" count="1">
            <x v="60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888"/>
          </reference>
          <reference field="1" count="1">
            <x v="61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889"/>
          </reference>
          <reference field="1" count="1">
            <x v="61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890"/>
          </reference>
          <reference field="1" count="1">
            <x v="61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891"/>
          </reference>
          <reference field="1" count="1">
            <x v="61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892"/>
          </reference>
          <reference field="1" count="1">
            <x v="61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893"/>
          </reference>
          <reference field="1" count="1">
            <x v="61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894"/>
          </reference>
          <reference field="1" count="1">
            <x v="61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895"/>
          </reference>
          <reference field="1" count="1">
            <x v="61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896"/>
          </reference>
          <reference field="1" count="1">
            <x v="61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897"/>
          </reference>
          <reference field="1" count="1">
            <x v="61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898"/>
          </reference>
          <reference field="1" count="1">
            <x v="61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899"/>
          </reference>
          <reference field="1" count="1">
            <x v="61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900"/>
          </reference>
          <reference field="1" count="1">
            <x v="61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901"/>
          </reference>
          <reference field="1" count="1">
            <x v="61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902"/>
          </reference>
          <reference field="1" count="1">
            <x v="61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903"/>
          </reference>
          <reference field="1" count="1">
            <x v="62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904"/>
          </reference>
          <reference field="1" count="1">
            <x v="62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905"/>
          </reference>
          <reference field="1" count="1">
            <x v="62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906"/>
          </reference>
          <reference field="1" count="1">
            <x v="62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907"/>
          </reference>
          <reference field="1" count="1">
            <x v="62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908"/>
          </reference>
          <reference field="1" count="1">
            <x v="62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909"/>
          </reference>
          <reference field="1" count="1">
            <x v="62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910"/>
          </reference>
          <reference field="1" count="1">
            <x v="62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911"/>
          </reference>
          <reference field="1" count="1">
            <x v="62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912"/>
          </reference>
          <reference field="1" count="1">
            <x v="62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913"/>
          </reference>
          <reference field="1" count="1">
            <x v="62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914"/>
          </reference>
          <reference field="1" count="1">
            <x v="62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915"/>
          </reference>
          <reference field="1" count="1">
            <x v="63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916"/>
          </reference>
          <reference field="1" count="1">
            <x v="63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917"/>
          </reference>
          <reference field="1" count="1">
            <x v="63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918"/>
          </reference>
          <reference field="1" count="1">
            <x v="63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919"/>
          </reference>
          <reference field="1" count="1">
            <x v="63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920"/>
          </reference>
          <reference field="1" count="1">
            <x v="63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921"/>
          </reference>
          <reference field="1" count="1">
            <x v="63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922"/>
          </reference>
          <reference field="1" count="1">
            <x v="63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923"/>
          </reference>
          <reference field="1" count="1">
            <x v="63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924"/>
          </reference>
          <reference field="1" count="1">
            <x v="63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925"/>
          </reference>
          <reference field="1" count="1">
            <x v="63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926"/>
          </reference>
          <reference field="1" count="1">
            <x v="63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927"/>
          </reference>
          <reference field="1" count="1">
            <x v="63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928"/>
          </reference>
          <reference field="1" count="1">
            <x v="64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929"/>
          </reference>
          <reference field="1" count="1">
            <x v="64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930"/>
          </reference>
          <reference field="1" count="1">
            <x v="64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931"/>
          </reference>
          <reference field="1" count="1">
            <x v="64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932"/>
          </reference>
          <reference field="1" count="1">
            <x v="64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933"/>
          </reference>
          <reference field="1" count="1">
            <x v="64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934"/>
          </reference>
          <reference field="1" count="1">
            <x v="64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935"/>
          </reference>
          <reference field="1" count="1">
            <x v="64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936"/>
          </reference>
          <reference field="1" count="1">
            <x v="64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937"/>
          </reference>
          <reference field="1" count="1">
            <x v="64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938"/>
          </reference>
          <reference field="1" count="1">
            <x v="64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939"/>
          </reference>
          <reference field="1" count="1">
            <x v="64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940"/>
          </reference>
          <reference field="1" count="1">
            <x v="64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941"/>
          </reference>
          <reference field="1" count="1">
            <x v="65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942"/>
          </reference>
          <reference field="1" count="1">
            <x v="65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943"/>
          </reference>
          <reference field="1" count="1">
            <x v="65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944"/>
          </reference>
          <reference field="1" count="1">
            <x v="65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945"/>
          </reference>
          <reference field="1" count="1">
            <x v="65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946"/>
          </reference>
          <reference field="1" count="1">
            <x v="65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947"/>
          </reference>
          <reference field="1" count="1">
            <x v="65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948"/>
          </reference>
          <reference field="1" count="1">
            <x v="65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949"/>
          </reference>
          <reference field="1" count="1">
            <x v="65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950"/>
          </reference>
          <reference field="1" count="1">
            <x v="65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951"/>
          </reference>
          <reference field="1" count="1">
            <x v="65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952"/>
          </reference>
          <reference field="1" count="1">
            <x v="65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953"/>
          </reference>
          <reference field="1" count="1">
            <x v="65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954"/>
          </reference>
          <reference field="1" count="1">
            <x v="65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955"/>
          </reference>
          <reference field="1" count="1">
            <x v="65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956"/>
          </reference>
          <reference field="1" count="1">
            <x v="66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957"/>
          </reference>
          <reference field="1" count="1">
            <x v="66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958"/>
          </reference>
          <reference field="1" count="1">
            <x v="66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959"/>
          </reference>
          <reference field="1" count="1">
            <x v="66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960"/>
          </reference>
          <reference field="1" count="1">
            <x v="66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961"/>
          </reference>
          <reference field="1" count="1">
            <x v="66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962"/>
          </reference>
          <reference field="1" count="1">
            <x v="66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963"/>
          </reference>
          <reference field="1" count="1">
            <x v="66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964"/>
          </reference>
          <reference field="1" count="1">
            <x v="66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965"/>
          </reference>
          <reference field="1" count="1">
            <x v="66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966"/>
          </reference>
          <reference field="1" count="1">
            <x v="66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967"/>
          </reference>
          <reference field="1" count="1">
            <x v="67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968"/>
          </reference>
          <reference field="1" count="1">
            <x v="67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969"/>
          </reference>
          <reference field="1" count="1">
            <x v="67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970"/>
          </reference>
          <reference field="1" count="1">
            <x v="67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971"/>
          </reference>
          <reference field="1" count="1">
            <x v="67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972"/>
          </reference>
          <reference field="1" count="1">
            <x v="67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973"/>
          </reference>
          <reference field="1" count="1">
            <x v="67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974"/>
          </reference>
          <reference field="1" count="1">
            <x v="67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975"/>
          </reference>
          <reference field="1" count="1">
            <x v="67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976"/>
          </reference>
          <reference field="1" count="1">
            <x v="67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977"/>
          </reference>
          <reference field="1" count="1">
            <x v="67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978"/>
          </reference>
          <reference field="1" count="1">
            <x v="67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979"/>
          </reference>
          <reference field="1" count="1">
            <x v="67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980"/>
          </reference>
          <reference field="1" count="1">
            <x v="67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981"/>
          </reference>
          <reference field="1" count="1">
            <x v="68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982"/>
          </reference>
          <reference field="1" count="1">
            <x v="68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983"/>
          </reference>
          <reference field="1" count="1">
            <x v="68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984"/>
          </reference>
          <reference field="1" count="1">
            <x v="68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985"/>
          </reference>
          <reference field="1" count="1">
            <x v="68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986"/>
          </reference>
          <reference field="1" count="1">
            <x v="68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987"/>
          </reference>
          <reference field="1" count="1">
            <x v="68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988"/>
          </reference>
          <reference field="1" count="1">
            <x v="68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989"/>
          </reference>
          <reference field="1" count="1">
            <x v="68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990"/>
          </reference>
          <reference field="1" count="1">
            <x v="68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991"/>
          </reference>
          <reference field="1" count="1">
            <x v="68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992"/>
          </reference>
          <reference field="1" count="1">
            <x v="69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993"/>
          </reference>
          <reference field="1" count="1">
            <x v="69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994"/>
          </reference>
          <reference field="1" count="1">
            <x v="69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995"/>
          </reference>
          <reference field="1" count="1">
            <x v="69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996"/>
          </reference>
          <reference field="1" count="1">
            <x v="69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997"/>
          </reference>
          <reference field="1" count="1">
            <x v="69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998"/>
          </reference>
          <reference field="1" count="1">
            <x v="69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999"/>
          </reference>
          <reference field="1" count="1">
            <x v="69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1000"/>
          </reference>
          <reference field="1" count="1">
            <x v="69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1001"/>
          </reference>
          <reference field="1" count="1">
            <x v="69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1002"/>
          </reference>
          <reference field="1" count="1">
            <x v="69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1003"/>
          </reference>
          <reference field="1" count="1">
            <x v="69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1004"/>
          </reference>
          <reference field="1" count="1">
            <x v="69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1005"/>
          </reference>
          <reference field="1" count="1">
            <x v="70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1006"/>
          </reference>
          <reference field="1" count="1">
            <x v="70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1007"/>
          </reference>
          <reference field="1" count="1">
            <x v="70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1008"/>
          </reference>
          <reference field="1" count="1">
            <x v="70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1009"/>
          </reference>
          <reference field="1" count="1">
            <x v="70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1010"/>
          </reference>
          <reference field="1" count="1">
            <x v="70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1011"/>
          </reference>
          <reference field="1" count="1">
            <x v="70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1012"/>
          </reference>
          <reference field="1" count="1">
            <x v="70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1013"/>
          </reference>
          <reference field="1" count="1">
            <x v="70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1014"/>
          </reference>
          <reference field="1" count="1">
            <x v="70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1015"/>
          </reference>
          <reference field="1" count="1">
            <x v="70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1016"/>
          </reference>
          <reference field="1" count="1">
            <x v="71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1017"/>
          </reference>
          <reference field="1" count="1">
            <x v="71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1018"/>
          </reference>
          <reference field="1" count="1">
            <x v="71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1019"/>
          </reference>
          <reference field="1" count="1">
            <x v="71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1020"/>
          </reference>
          <reference field="1" count="1">
            <x v="71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1021"/>
          </reference>
          <reference field="1" count="1">
            <x v="71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1022"/>
          </reference>
          <reference field="1" count="1">
            <x v="71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1023"/>
          </reference>
          <reference field="1" count="1">
            <x v="71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1024"/>
          </reference>
          <reference field="1" count="1">
            <x v="71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1025"/>
          </reference>
          <reference field="1" count="1">
            <x v="71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1026"/>
          </reference>
          <reference field="1" count="1">
            <x v="71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1027"/>
          </reference>
          <reference field="1" count="1">
            <x v="71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1028"/>
          </reference>
          <reference field="1" count="1">
            <x v="71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1029"/>
          </reference>
          <reference field="1" count="1">
            <x v="71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1030"/>
          </reference>
          <reference field="1" count="1">
            <x v="71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1031"/>
          </reference>
          <reference field="1" count="1">
            <x v="71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1032"/>
          </reference>
          <reference field="1" count="1">
            <x v="71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1033"/>
          </reference>
          <reference field="1" count="1">
            <x v="71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1034"/>
          </reference>
          <reference field="1" count="1">
            <x v="71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1035"/>
          </reference>
          <reference field="1" count="1">
            <x v="72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1036"/>
          </reference>
          <reference field="1" count="1">
            <x v="72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1037"/>
          </reference>
          <reference field="1" count="1">
            <x v="72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1038"/>
          </reference>
          <reference field="1" count="1">
            <x v="72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1039"/>
          </reference>
          <reference field="1" count="1">
            <x v="72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1040"/>
          </reference>
          <reference field="1" count="1">
            <x v="72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1041"/>
          </reference>
          <reference field="1" count="1">
            <x v="72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1042"/>
          </reference>
          <reference field="1" count="1">
            <x v="72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1043"/>
          </reference>
          <reference field="1" count="1">
            <x v="72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1044"/>
          </reference>
          <reference field="1" count="1">
            <x v="72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1045"/>
          </reference>
          <reference field="1" count="1">
            <x v="72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1046"/>
          </reference>
          <reference field="1" count="1">
            <x v="72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1047"/>
          </reference>
          <reference field="1" count="1">
            <x v="72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1048"/>
          </reference>
          <reference field="1" count="1">
            <x v="72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1049"/>
          </reference>
          <reference field="1" count="1">
            <x v="73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1050"/>
          </reference>
          <reference field="1" count="1">
            <x v="73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1051"/>
          </reference>
          <reference field="1" count="1">
            <x v="73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1052"/>
          </reference>
          <reference field="1" count="1">
            <x v="73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1053"/>
          </reference>
          <reference field="1" count="1">
            <x v="73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1054"/>
          </reference>
          <reference field="1" count="1">
            <x v="73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1055"/>
          </reference>
          <reference field="1" count="1">
            <x v="73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1056"/>
          </reference>
          <reference field="1" count="1">
            <x v="73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1057"/>
          </reference>
          <reference field="1" count="1">
            <x v="73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1058"/>
          </reference>
          <reference field="1" count="1">
            <x v="73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1059"/>
          </reference>
          <reference field="1" count="1">
            <x v="73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1060"/>
          </reference>
          <reference field="1" count="1">
            <x v="73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1061"/>
          </reference>
          <reference field="1" count="1">
            <x v="73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1062"/>
          </reference>
          <reference field="1" count="1">
            <x v="73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1063"/>
          </reference>
          <reference field="1" count="1">
            <x v="73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1064"/>
          </reference>
          <reference field="1" count="1">
            <x v="74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1065"/>
          </reference>
          <reference field="1" count="1">
            <x v="74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1066"/>
          </reference>
          <reference field="1" count="1">
            <x v="74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1067"/>
          </reference>
          <reference field="1" count="1">
            <x v="74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1068"/>
          </reference>
          <reference field="1" count="1">
            <x v="74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1069"/>
          </reference>
          <reference field="1" count="1">
            <x v="74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1070"/>
          </reference>
          <reference field="1" count="1">
            <x v="74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1071"/>
          </reference>
          <reference field="1" count="1">
            <x v="74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1072"/>
          </reference>
          <reference field="1" count="1">
            <x v="74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1073"/>
          </reference>
          <reference field="1" count="1">
            <x v="74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1074"/>
          </reference>
          <reference field="1" count="1">
            <x v="74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1075"/>
          </reference>
          <reference field="1" count="1">
            <x v="74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1076"/>
          </reference>
          <reference field="1" count="1">
            <x v="74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1077"/>
          </reference>
          <reference field="1" count="1">
            <x v="74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1078"/>
          </reference>
          <reference field="1" count="1">
            <x v="74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1079"/>
          </reference>
          <reference field="1" count="1">
            <x v="74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1080"/>
          </reference>
          <reference field="1" count="1">
            <x v="74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1081"/>
          </reference>
          <reference field="1" count="1">
            <x v="75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1082"/>
          </reference>
          <reference field="1" count="1">
            <x v="75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1083"/>
          </reference>
          <reference field="1" count="1">
            <x v="75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1084"/>
          </reference>
          <reference field="1" count="1">
            <x v="75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1085"/>
          </reference>
          <reference field="1" count="1">
            <x v="75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1086"/>
          </reference>
          <reference field="1" count="1">
            <x v="75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1087"/>
          </reference>
          <reference field="1" count="1">
            <x v="75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1088"/>
          </reference>
          <reference field="1" count="1">
            <x v="75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1089"/>
          </reference>
          <reference field="1" count="1">
            <x v="75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1090"/>
          </reference>
          <reference field="1" count="1">
            <x v="75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1091"/>
          </reference>
          <reference field="1" count="1">
            <x v="75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1092"/>
          </reference>
          <reference field="1" count="1">
            <x v="75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1093"/>
          </reference>
          <reference field="1" count="1">
            <x v="75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1094"/>
          </reference>
          <reference field="1" count="1">
            <x v="75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1095"/>
          </reference>
          <reference field="1" count="1">
            <x v="75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1096"/>
          </reference>
          <reference field="1" count="1">
            <x v="75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1097"/>
          </reference>
          <reference field="1" count="1">
            <x v="76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1098"/>
          </reference>
          <reference field="1" count="1">
            <x v="76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1099"/>
          </reference>
          <reference field="1" count="1">
            <x v="76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1100"/>
          </reference>
          <reference field="1" count="1">
            <x v="76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1101"/>
          </reference>
          <reference field="1" count="1">
            <x v="76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1102"/>
          </reference>
          <reference field="1" count="1">
            <x v="76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1103"/>
          </reference>
          <reference field="1" count="1">
            <x v="76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1104"/>
          </reference>
          <reference field="1" count="1">
            <x v="76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1105"/>
          </reference>
          <reference field="1" count="1">
            <x v="76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1106"/>
          </reference>
          <reference field="1" count="1">
            <x v="76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1107"/>
          </reference>
          <reference field="1" count="1">
            <x v="76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1108"/>
          </reference>
          <reference field="1" count="1">
            <x v="76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1109"/>
          </reference>
          <reference field="1" count="1">
            <x v="76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1110"/>
          </reference>
          <reference field="1" count="1">
            <x v="76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1111"/>
          </reference>
          <reference field="1" count="1">
            <x v="76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1112"/>
          </reference>
          <reference field="1" count="1">
            <x v="76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1113"/>
          </reference>
          <reference field="1" count="1">
            <x v="76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1114"/>
          </reference>
          <reference field="1" count="1">
            <x v="76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1115"/>
          </reference>
          <reference field="1" count="1">
            <x v="76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1116"/>
          </reference>
          <reference field="1" count="1">
            <x v="76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1117"/>
          </reference>
          <reference field="1" count="1">
            <x v="77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1118"/>
          </reference>
          <reference field="1" count="1">
            <x v="77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1119"/>
          </reference>
          <reference field="1" count="1">
            <x v="77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1120"/>
          </reference>
          <reference field="1" count="1">
            <x v="77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1121"/>
          </reference>
          <reference field="1" count="1">
            <x v="77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1122"/>
          </reference>
          <reference field="1" count="1">
            <x v="77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1123"/>
          </reference>
          <reference field="1" count="1">
            <x v="77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1124"/>
          </reference>
          <reference field="1" count="1">
            <x v="77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1125"/>
          </reference>
          <reference field="1" count="1">
            <x v="77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1126"/>
          </reference>
          <reference field="1" count="1">
            <x v="77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1127"/>
          </reference>
          <reference field="1" count="1">
            <x v="77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1128"/>
          </reference>
          <reference field="1" count="1">
            <x v="77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1129"/>
          </reference>
          <reference field="1" count="1">
            <x v="77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1130"/>
          </reference>
          <reference field="1" count="1">
            <x v="77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1131"/>
          </reference>
          <reference field="1" count="1">
            <x v="77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1132"/>
          </reference>
          <reference field="1" count="1">
            <x v="77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1133"/>
          </reference>
          <reference field="1" count="1">
            <x v="77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1134"/>
          </reference>
          <reference field="1" count="1">
            <x v="77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1135"/>
          </reference>
          <reference field="1" count="1">
            <x v="77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1136"/>
          </reference>
          <reference field="1" count="1">
            <x v="78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1137"/>
          </reference>
          <reference field="1" count="1">
            <x v="78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1138"/>
          </reference>
          <reference field="1" count="1">
            <x v="78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1139"/>
          </reference>
          <reference field="1" count="1">
            <x v="78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1140"/>
          </reference>
          <reference field="1" count="1">
            <x v="78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1141"/>
          </reference>
          <reference field="1" count="1">
            <x v="78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1142"/>
          </reference>
          <reference field="1" count="1">
            <x v="78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1143"/>
          </reference>
          <reference field="1" count="1">
            <x v="78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1144"/>
          </reference>
          <reference field="1" count="1">
            <x v="78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1145"/>
          </reference>
          <reference field="1" count="1">
            <x v="78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1146"/>
          </reference>
          <reference field="1" count="1">
            <x v="78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1147"/>
          </reference>
          <reference field="1" count="1">
            <x v="78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1148"/>
          </reference>
          <reference field="1" count="1">
            <x v="78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1152"/>
          </reference>
          <reference field="1" count="1">
            <x v="78"/>
          </reference>
        </references>
      </pivotArea>
    </format>
    <format dxfId="1242">
      <pivotArea type="all" dataOnly="0" outline="0" fieldPosition="0"/>
    </format>
    <format dxfId="1243">
      <pivotArea outline="0" collapsedLevelsAreSubtotals="1" fieldPosition="0"/>
    </format>
    <format dxfId="1244">
      <pivotArea field="0" type="button" dataOnly="0" labelOnly="1" outline="0" axis="axisRow" fieldPosition="0"/>
    </format>
    <format dxfId="1245">
      <pivotArea field="1" type="button" dataOnly="0" labelOnly="1" outline="0" axis="axisRow" fieldPosition="1"/>
    </format>
    <format dxfId="1246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47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48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49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50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51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52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53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254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55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256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257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258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259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260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261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262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263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264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265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266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267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268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52"/>
          </reference>
        </references>
      </pivotArea>
    </format>
    <format dxfId="1269">
      <pivotArea dataOnly="0" labelOnly="1" outline="0" fieldPosition="0">
        <references count="1">
          <reference field="0" count="1">
            <x v="1153"/>
          </reference>
        </references>
      </pivotArea>
    </format>
    <format dxfId="1270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71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272">
      <pivotArea dataOnly="0" labelOnly="1" outline="0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1273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274">
      <pivotArea dataOnly="0" labelOnly="1" outline="0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1275">
      <pivotArea dataOnly="0" labelOnly="1" outline="0" fieldPosition="0">
        <references count="2">
          <reference field="0" count="1" selected="0">
            <x v="5"/>
          </reference>
          <reference field="1" count="1">
            <x v="0"/>
          </reference>
        </references>
      </pivotArea>
    </format>
    <format dxfId="1276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277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278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1279">
      <pivotArea dataOnly="0" labelOnly="1" outline="0" fieldPosition="0">
        <references count="2">
          <reference field="0" count="1" selected="0">
            <x v="9"/>
          </reference>
          <reference field="1" count="1">
            <x v="0"/>
          </reference>
        </references>
      </pivotArea>
    </format>
    <format dxfId="1280">
      <pivotArea dataOnly="0" labelOnly="1" outline="0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1281">
      <pivotArea dataOnly="0" labelOnly="1" outline="0" fieldPosition="0">
        <references count="2">
          <reference field="0" count="1" selected="0">
            <x v="11"/>
          </reference>
          <reference field="1" count="1">
            <x v="0"/>
          </reference>
        </references>
      </pivotArea>
    </format>
    <format dxfId="1282">
      <pivotArea dataOnly="0" labelOnly="1" outline="0" fieldPosition="0">
        <references count="2">
          <reference field="0" count="1" selected="0">
            <x v="12"/>
          </reference>
          <reference field="1" count="1">
            <x v="0"/>
          </reference>
        </references>
      </pivotArea>
    </format>
    <format dxfId="1283">
      <pivotArea dataOnly="0" labelOnly="1" outline="0" fieldPosition="0">
        <references count="2">
          <reference field="0" count="1" selected="0">
            <x v="13"/>
          </reference>
          <reference field="1" count="1">
            <x v="0"/>
          </reference>
        </references>
      </pivotArea>
    </format>
    <format dxfId="1284">
      <pivotArea dataOnly="0" labelOnly="1" outline="0" fieldPosition="0">
        <references count="2">
          <reference field="0" count="1" selected="0">
            <x v="14"/>
          </reference>
          <reference field="1" count="1">
            <x v="0"/>
          </reference>
        </references>
      </pivotArea>
    </format>
    <format dxfId="1285">
      <pivotArea dataOnly="0" labelOnly="1" outline="0" fieldPosition="0">
        <references count="2">
          <reference field="0" count="1" selected="0">
            <x v="15"/>
          </reference>
          <reference field="1" count="1">
            <x v="0"/>
          </reference>
        </references>
      </pivotArea>
    </format>
    <format dxfId="1286">
      <pivotArea dataOnly="0" labelOnly="1" outline="0" fieldPosition="0">
        <references count="2">
          <reference field="0" count="1" selected="0">
            <x v="16"/>
          </reference>
          <reference field="1" count="1">
            <x v="0"/>
          </reference>
        </references>
      </pivotArea>
    </format>
    <format dxfId="1287">
      <pivotArea dataOnly="0" labelOnly="1" outline="0" fieldPosition="0">
        <references count="2">
          <reference field="0" count="1" selected="0">
            <x v="17"/>
          </reference>
          <reference field="1" count="1">
            <x v="1"/>
          </reference>
        </references>
      </pivotArea>
    </format>
    <format dxfId="1288">
      <pivotArea dataOnly="0" labelOnly="1" outline="0" fieldPosition="0">
        <references count="2">
          <reference field="0" count="1" selected="0">
            <x v="18"/>
          </reference>
          <reference field="1" count="1">
            <x v="1"/>
          </reference>
        </references>
      </pivotArea>
    </format>
    <format dxfId="1289">
      <pivotArea dataOnly="0" labelOnly="1" outline="0" fieldPosition="0">
        <references count="2">
          <reference field="0" count="1" selected="0">
            <x v="19"/>
          </reference>
          <reference field="1" count="1">
            <x v="1"/>
          </reference>
        </references>
      </pivotArea>
    </format>
    <format dxfId="1290">
      <pivotArea dataOnly="0" labelOnly="1" outline="0" fieldPosition="0">
        <references count="2">
          <reference field="0" count="1" selected="0">
            <x v="20"/>
          </reference>
          <reference field="1" count="1">
            <x v="1"/>
          </reference>
        </references>
      </pivotArea>
    </format>
    <format dxfId="1291">
      <pivotArea dataOnly="0" labelOnly="1" outline="0" fieldPosition="0">
        <references count="2">
          <reference field="0" count="1" selected="0">
            <x v="21"/>
          </reference>
          <reference field="1" count="1">
            <x v="1"/>
          </reference>
        </references>
      </pivotArea>
    </format>
    <format dxfId="1292">
      <pivotArea dataOnly="0" labelOnly="1" outline="0" fieldPosition="0">
        <references count="2">
          <reference field="0" count="1" selected="0">
            <x v="22"/>
          </reference>
          <reference field="1" count="1">
            <x v="1"/>
          </reference>
        </references>
      </pivotArea>
    </format>
    <format dxfId="1293">
      <pivotArea dataOnly="0" labelOnly="1" outline="0" fieldPosition="0">
        <references count="2">
          <reference field="0" count="1" selected="0">
            <x v="23"/>
          </reference>
          <reference field="1" count="1">
            <x v="1"/>
          </reference>
        </references>
      </pivotArea>
    </format>
    <format dxfId="1294">
      <pivotArea dataOnly="0" labelOnly="1" outline="0" fieldPosition="0">
        <references count="2">
          <reference field="0" count="1" selected="0">
            <x v="24"/>
          </reference>
          <reference field="1" count="1">
            <x v="1"/>
          </reference>
        </references>
      </pivotArea>
    </format>
    <format dxfId="1295">
      <pivotArea dataOnly="0" labelOnly="1" outline="0" fieldPosition="0">
        <references count="2">
          <reference field="0" count="1" selected="0">
            <x v="25"/>
          </reference>
          <reference field="1" count="1">
            <x v="1"/>
          </reference>
        </references>
      </pivotArea>
    </format>
    <format dxfId="1296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1297">
      <pivotArea dataOnly="0" labelOnly="1" outline="0" fieldPosition="0">
        <references count="2">
          <reference field="0" count="1" selected="0">
            <x v="27"/>
          </reference>
          <reference field="1" count="1">
            <x v="1"/>
          </reference>
        </references>
      </pivotArea>
    </format>
    <format dxfId="1298">
      <pivotArea dataOnly="0" labelOnly="1" outline="0" fieldPosition="0">
        <references count="2">
          <reference field="0" count="1" selected="0">
            <x v="28"/>
          </reference>
          <reference field="1" count="1">
            <x v="1"/>
          </reference>
        </references>
      </pivotArea>
    </format>
    <format dxfId="1299">
      <pivotArea dataOnly="0" labelOnly="1" outline="0" fieldPosition="0">
        <references count="2">
          <reference field="0" count="1" selected="0">
            <x v="29"/>
          </reference>
          <reference field="1" count="1">
            <x v="1"/>
          </reference>
        </references>
      </pivotArea>
    </format>
    <format dxfId="1300">
      <pivotArea dataOnly="0" labelOnly="1" outline="0" fieldPosition="0">
        <references count="2">
          <reference field="0" count="1" selected="0">
            <x v="30"/>
          </reference>
          <reference field="1" count="1">
            <x v="1"/>
          </reference>
        </references>
      </pivotArea>
    </format>
    <format dxfId="1301">
      <pivotArea dataOnly="0" labelOnly="1" outline="0" fieldPosition="0">
        <references count="2">
          <reference field="0" count="1" selected="0">
            <x v="31"/>
          </reference>
          <reference field="1" count="1">
            <x v="1"/>
          </reference>
        </references>
      </pivotArea>
    </format>
    <format dxfId="1302">
      <pivotArea dataOnly="0" labelOnly="1" outline="0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1303">
      <pivotArea dataOnly="0" labelOnly="1" outline="0" fieldPosition="0">
        <references count="2">
          <reference field="0" count="1" selected="0">
            <x v="33"/>
          </reference>
          <reference field="1" count="1">
            <x v="2"/>
          </reference>
        </references>
      </pivotArea>
    </format>
    <format dxfId="1304">
      <pivotArea dataOnly="0" labelOnly="1" outline="0" fieldPosition="0">
        <references count="2">
          <reference field="0" count="1" selected="0">
            <x v="34"/>
          </reference>
          <reference field="1" count="1">
            <x v="2"/>
          </reference>
        </references>
      </pivotArea>
    </format>
    <format dxfId="1305">
      <pivotArea dataOnly="0" labelOnly="1" outline="0" fieldPosition="0">
        <references count="2">
          <reference field="0" count="1" selected="0">
            <x v="35"/>
          </reference>
          <reference field="1" count="1">
            <x v="2"/>
          </reference>
        </references>
      </pivotArea>
    </format>
    <format dxfId="1306">
      <pivotArea dataOnly="0" labelOnly="1" outline="0" fieldPosition="0">
        <references count="2">
          <reference field="0" count="1" selected="0">
            <x v="36"/>
          </reference>
          <reference field="1" count="1">
            <x v="2"/>
          </reference>
        </references>
      </pivotArea>
    </format>
    <format dxfId="1307">
      <pivotArea dataOnly="0" labelOnly="1" outline="0" fieldPosition="0">
        <references count="2">
          <reference field="0" count="1" selected="0">
            <x v="37"/>
          </reference>
          <reference field="1" count="1">
            <x v="2"/>
          </reference>
        </references>
      </pivotArea>
    </format>
    <format dxfId="1308">
      <pivotArea dataOnly="0" labelOnly="1" outline="0" fieldPosition="0">
        <references count="2">
          <reference field="0" count="1" selected="0">
            <x v="38"/>
          </reference>
          <reference field="1" count="1">
            <x v="2"/>
          </reference>
        </references>
      </pivotArea>
    </format>
    <format dxfId="1309">
      <pivotArea dataOnly="0" labelOnly="1" outline="0" fieldPosition="0">
        <references count="2">
          <reference field="0" count="1" selected="0">
            <x v="39"/>
          </reference>
          <reference field="1" count="1">
            <x v="2"/>
          </reference>
        </references>
      </pivotArea>
    </format>
    <format dxfId="1310">
      <pivotArea dataOnly="0" labelOnly="1" outline="0" fieldPosition="0">
        <references count="2">
          <reference field="0" count="1" selected="0">
            <x v="40"/>
          </reference>
          <reference field="1" count="1">
            <x v="2"/>
          </reference>
        </references>
      </pivotArea>
    </format>
    <format dxfId="1311">
      <pivotArea dataOnly="0" labelOnly="1" outline="0" fieldPosition="0">
        <references count="2">
          <reference field="0" count="1" selected="0">
            <x v="41"/>
          </reference>
          <reference field="1" count="1">
            <x v="2"/>
          </reference>
        </references>
      </pivotArea>
    </format>
    <format dxfId="1312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1313">
      <pivotArea dataOnly="0" labelOnly="1" outline="0" fieldPosition="0">
        <references count="2">
          <reference field="0" count="1" selected="0">
            <x v="43"/>
          </reference>
          <reference field="1" count="1">
            <x v="3"/>
          </reference>
        </references>
      </pivotArea>
    </format>
    <format dxfId="1314">
      <pivotArea dataOnly="0" labelOnly="1" outline="0" fieldPosition="0">
        <references count="2">
          <reference field="0" count="1" selected="0">
            <x v="44"/>
          </reference>
          <reference field="1" count="1">
            <x v="3"/>
          </reference>
        </references>
      </pivotArea>
    </format>
    <format dxfId="1315">
      <pivotArea dataOnly="0" labelOnly="1" outline="0" fieldPosition="0">
        <references count="2">
          <reference field="0" count="1" selected="0">
            <x v="45"/>
          </reference>
          <reference field="1" count="1">
            <x v="3"/>
          </reference>
        </references>
      </pivotArea>
    </format>
    <format dxfId="1316">
      <pivotArea dataOnly="0" labelOnly="1" outline="0" fieldPosition="0">
        <references count="2">
          <reference field="0" count="1" selected="0">
            <x v="46"/>
          </reference>
          <reference field="1" count="1">
            <x v="3"/>
          </reference>
        </references>
      </pivotArea>
    </format>
    <format dxfId="1317">
      <pivotArea dataOnly="0" labelOnly="1" outline="0" fieldPosition="0">
        <references count="2">
          <reference field="0" count="1" selected="0">
            <x v="47"/>
          </reference>
          <reference field="1" count="1">
            <x v="3"/>
          </reference>
        </references>
      </pivotArea>
    </format>
    <format dxfId="1318">
      <pivotArea dataOnly="0" labelOnly="1" outline="0" fieldPosition="0">
        <references count="2">
          <reference field="0" count="1" selected="0">
            <x v="48"/>
          </reference>
          <reference field="1" count="1">
            <x v="3"/>
          </reference>
        </references>
      </pivotArea>
    </format>
    <format dxfId="1319">
      <pivotArea dataOnly="0" labelOnly="1" outline="0" fieldPosition="0">
        <references count="2">
          <reference field="0" count="1" selected="0">
            <x v="49"/>
          </reference>
          <reference field="1" count="1">
            <x v="3"/>
          </reference>
        </references>
      </pivotArea>
    </format>
    <format dxfId="1320">
      <pivotArea dataOnly="0" labelOnly="1" outline="0" fieldPosition="0">
        <references count="2">
          <reference field="0" count="1" selected="0">
            <x v="50"/>
          </reference>
          <reference field="1" count="1">
            <x v="3"/>
          </reference>
        </references>
      </pivotArea>
    </format>
    <format dxfId="1321">
      <pivotArea dataOnly="0" labelOnly="1" outline="0" fieldPosition="0">
        <references count="2">
          <reference field="0" count="1" selected="0">
            <x v="51"/>
          </reference>
          <reference field="1" count="1">
            <x v="3"/>
          </reference>
        </references>
      </pivotArea>
    </format>
    <format dxfId="1322">
      <pivotArea dataOnly="0" labelOnly="1" outline="0" fieldPosition="0">
        <references count="2">
          <reference field="0" count="1" selected="0">
            <x v="52"/>
          </reference>
          <reference field="1" count="1">
            <x v="3"/>
          </reference>
        </references>
      </pivotArea>
    </format>
    <format dxfId="1323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1324">
      <pivotArea dataOnly="0" labelOnly="1" outline="0" fieldPosition="0">
        <references count="2">
          <reference field="0" count="1" selected="0">
            <x v="54"/>
          </reference>
          <reference field="1" count="1">
            <x v="3"/>
          </reference>
        </references>
      </pivotArea>
    </format>
    <format dxfId="1325">
      <pivotArea dataOnly="0" labelOnly="1" outline="0" fieldPosition="0">
        <references count="2">
          <reference field="0" count="1" selected="0">
            <x v="55"/>
          </reference>
          <reference field="1" count="1">
            <x v="3"/>
          </reference>
        </references>
      </pivotArea>
    </format>
    <format dxfId="1326">
      <pivotArea dataOnly="0" labelOnly="1" outline="0" fieldPosition="0">
        <references count="2">
          <reference field="0" count="1" selected="0">
            <x v="56"/>
          </reference>
          <reference field="1" count="1">
            <x v="3"/>
          </reference>
        </references>
      </pivotArea>
    </format>
    <format dxfId="1327">
      <pivotArea dataOnly="0" labelOnly="1" outline="0" fieldPosition="0">
        <references count="2">
          <reference field="0" count="1" selected="0">
            <x v="57"/>
          </reference>
          <reference field="1" count="1">
            <x v="3"/>
          </reference>
        </references>
      </pivotArea>
    </format>
    <format dxfId="1328">
      <pivotArea dataOnly="0" labelOnly="1" outline="0" fieldPosition="0">
        <references count="2">
          <reference field="0" count="1" selected="0">
            <x v="58"/>
          </reference>
          <reference field="1" count="1">
            <x v="3"/>
          </reference>
        </references>
      </pivotArea>
    </format>
    <format dxfId="1329">
      <pivotArea dataOnly="0" labelOnly="1" outline="0" fieldPosition="0">
        <references count="2">
          <reference field="0" count="1" selected="0">
            <x v="59"/>
          </reference>
          <reference field="1" count="1">
            <x v="3"/>
          </reference>
        </references>
      </pivotArea>
    </format>
    <format dxfId="1330">
      <pivotArea dataOnly="0" labelOnly="1" outline="0" fieldPosition="0">
        <references count="2">
          <reference field="0" count="1" selected="0">
            <x v="60"/>
          </reference>
          <reference field="1" count="1">
            <x v="3"/>
          </reference>
        </references>
      </pivotArea>
    </format>
    <format dxfId="1331">
      <pivotArea dataOnly="0" labelOnly="1" outline="0" fieldPosition="0">
        <references count="2">
          <reference field="0" count="1" selected="0">
            <x v="61"/>
          </reference>
          <reference field="1" count="1">
            <x v="3"/>
          </reference>
        </references>
      </pivotArea>
    </format>
    <format dxfId="1332">
      <pivotArea dataOnly="0" labelOnly="1" outline="0" fieldPosition="0">
        <references count="2">
          <reference field="0" count="1" selected="0">
            <x v="62"/>
          </reference>
          <reference field="1" count="1">
            <x v="4"/>
          </reference>
        </references>
      </pivotArea>
    </format>
    <format dxfId="1333">
      <pivotArea dataOnly="0" labelOnly="1" outline="0" fieldPosition="0">
        <references count="2">
          <reference field="0" count="1" selected="0">
            <x v="63"/>
          </reference>
          <reference field="1" count="1">
            <x v="4"/>
          </reference>
        </references>
      </pivotArea>
    </format>
    <format dxfId="1334">
      <pivotArea dataOnly="0" labelOnly="1" outline="0" fieldPosition="0">
        <references count="2">
          <reference field="0" count="1" selected="0">
            <x v="64"/>
          </reference>
          <reference field="1" count="1">
            <x v="4"/>
          </reference>
        </references>
      </pivotArea>
    </format>
    <format dxfId="1335">
      <pivotArea dataOnly="0" labelOnly="1" outline="0" fieldPosition="0">
        <references count="2">
          <reference field="0" count="1" selected="0">
            <x v="65"/>
          </reference>
          <reference field="1" count="1">
            <x v="4"/>
          </reference>
        </references>
      </pivotArea>
    </format>
    <format dxfId="1336">
      <pivotArea dataOnly="0" labelOnly="1" outline="0" fieldPosition="0">
        <references count="2">
          <reference field="0" count="1" selected="0">
            <x v="66"/>
          </reference>
          <reference field="1" count="1">
            <x v="4"/>
          </reference>
        </references>
      </pivotArea>
    </format>
    <format dxfId="1337">
      <pivotArea dataOnly="0" labelOnly="1" outline="0" fieldPosition="0">
        <references count="2">
          <reference field="0" count="1" selected="0">
            <x v="67"/>
          </reference>
          <reference field="1" count="1">
            <x v="4"/>
          </reference>
        </references>
      </pivotArea>
    </format>
    <format dxfId="1338">
      <pivotArea dataOnly="0" labelOnly="1" outline="0" fieldPosition="0">
        <references count="2">
          <reference field="0" count="1" selected="0">
            <x v="68"/>
          </reference>
          <reference field="1" count="1">
            <x v="4"/>
          </reference>
        </references>
      </pivotArea>
    </format>
    <format dxfId="1339">
      <pivotArea dataOnly="0" labelOnly="1" outline="0" fieldPosition="0">
        <references count="2">
          <reference field="0" count="1" selected="0">
            <x v="69"/>
          </reference>
          <reference field="1" count="1">
            <x v="4"/>
          </reference>
        </references>
      </pivotArea>
    </format>
    <format dxfId="1340">
      <pivotArea dataOnly="0" labelOnly="1" outline="0" fieldPosition="0">
        <references count="2">
          <reference field="0" count="1" selected="0">
            <x v="70"/>
          </reference>
          <reference field="1" count="1">
            <x v="4"/>
          </reference>
        </references>
      </pivotArea>
    </format>
    <format dxfId="1341">
      <pivotArea dataOnly="0" labelOnly="1" outline="0" fieldPosition="0">
        <references count="2">
          <reference field="0" count="1" selected="0">
            <x v="71"/>
          </reference>
          <reference field="1" count="1">
            <x v="4"/>
          </reference>
        </references>
      </pivotArea>
    </format>
    <format dxfId="1342">
      <pivotArea dataOnly="0" labelOnly="1" outline="0" fieldPosition="0">
        <references count="2">
          <reference field="0" count="1" selected="0">
            <x v="72"/>
          </reference>
          <reference field="1" count="1">
            <x v="4"/>
          </reference>
        </references>
      </pivotArea>
    </format>
    <format dxfId="1343">
      <pivotArea dataOnly="0" labelOnly="1" outline="0" fieldPosition="0">
        <references count="2">
          <reference field="0" count="1" selected="0">
            <x v="73"/>
          </reference>
          <reference field="1" count="1">
            <x v="5"/>
          </reference>
        </references>
      </pivotArea>
    </format>
    <format dxfId="1344">
      <pivotArea dataOnly="0" labelOnly="1" outline="0" fieldPosition="0">
        <references count="2">
          <reference field="0" count="1" selected="0">
            <x v="74"/>
          </reference>
          <reference field="1" count="1">
            <x v="5"/>
          </reference>
        </references>
      </pivotArea>
    </format>
    <format dxfId="1345">
      <pivotArea dataOnly="0" labelOnly="1" outline="0" fieldPosition="0">
        <references count="2">
          <reference field="0" count="1" selected="0">
            <x v="75"/>
          </reference>
          <reference field="1" count="1">
            <x v="5"/>
          </reference>
        </references>
      </pivotArea>
    </format>
    <format dxfId="1346">
      <pivotArea dataOnly="0" labelOnly="1" outline="0" fieldPosition="0">
        <references count="2">
          <reference field="0" count="1" selected="0">
            <x v="76"/>
          </reference>
          <reference field="1" count="1">
            <x v="5"/>
          </reference>
        </references>
      </pivotArea>
    </format>
    <format dxfId="1347">
      <pivotArea dataOnly="0" labelOnly="1" outline="0" fieldPosition="0">
        <references count="2">
          <reference field="0" count="1" selected="0">
            <x v="77"/>
          </reference>
          <reference field="1" count="1">
            <x v="5"/>
          </reference>
        </references>
      </pivotArea>
    </format>
    <format dxfId="1348">
      <pivotArea dataOnly="0" labelOnly="1" outline="0" fieldPosition="0">
        <references count="2">
          <reference field="0" count="1" selected="0">
            <x v="78"/>
          </reference>
          <reference field="1" count="1">
            <x v="5"/>
          </reference>
        </references>
      </pivotArea>
    </format>
    <format dxfId="1349">
      <pivotArea dataOnly="0" labelOnly="1" outline="0" fieldPosition="0">
        <references count="2">
          <reference field="0" count="1" selected="0">
            <x v="79"/>
          </reference>
          <reference field="1" count="1">
            <x v="5"/>
          </reference>
        </references>
      </pivotArea>
    </format>
    <format dxfId="1350">
      <pivotArea dataOnly="0" labelOnly="1" outline="0" fieldPosition="0">
        <references count="2">
          <reference field="0" count="1" selected="0">
            <x v="80"/>
          </reference>
          <reference field="1" count="1">
            <x v="5"/>
          </reference>
        </references>
      </pivotArea>
    </format>
    <format dxfId="1351">
      <pivotArea dataOnly="0" labelOnly="1" outline="0" fieldPosition="0">
        <references count="2">
          <reference field="0" count="1" selected="0">
            <x v="81"/>
          </reference>
          <reference field="1" count="1">
            <x v="5"/>
          </reference>
        </references>
      </pivotArea>
    </format>
    <format dxfId="1352">
      <pivotArea dataOnly="0" labelOnly="1" outline="0" fieldPosition="0">
        <references count="2">
          <reference field="0" count="1" selected="0">
            <x v="82"/>
          </reference>
          <reference field="1" count="1">
            <x v="5"/>
          </reference>
        </references>
      </pivotArea>
    </format>
    <format dxfId="1353">
      <pivotArea dataOnly="0" labelOnly="1" outline="0" fieldPosition="0">
        <references count="2">
          <reference field="0" count="1" selected="0">
            <x v="83"/>
          </reference>
          <reference field="1" count="1">
            <x v="5"/>
          </reference>
        </references>
      </pivotArea>
    </format>
    <format dxfId="1354">
      <pivotArea dataOnly="0" labelOnly="1" outline="0" fieldPosition="0">
        <references count="2">
          <reference field="0" count="1" selected="0">
            <x v="84"/>
          </reference>
          <reference field="1" count="1">
            <x v="5"/>
          </reference>
        </references>
      </pivotArea>
    </format>
    <format dxfId="1355">
      <pivotArea dataOnly="0" labelOnly="1" outline="0" fieldPosition="0">
        <references count="2">
          <reference field="0" count="1" selected="0">
            <x v="85"/>
          </reference>
          <reference field="1" count="1">
            <x v="5"/>
          </reference>
        </references>
      </pivotArea>
    </format>
    <format dxfId="1356">
      <pivotArea dataOnly="0" labelOnly="1" outline="0" fieldPosition="0">
        <references count="2">
          <reference field="0" count="1" selected="0">
            <x v="86"/>
          </reference>
          <reference field="1" count="1">
            <x v="5"/>
          </reference>
        </references>
      </pivotArea>
    </format>
    <format dxfId="1357">
      <pivotArea dataOnly="0" labelOnly="1" outline="0" fieldPosition="0">
        <references count="2">
          <reference field="0" count="1" selected="0">
            <x v="87"/>
          </reference>
          <reference field="1" count="1">
            <x v="5"/>
          </reference>
        </references>
      </pivotArea>
    </format>
    <format dxfId="1358">
      <pivotArea dataOnly="0" labelOnly="1" outline="0" fieldPosition="0">
        <references count="2">
          <reference field="0" count="1" selected="0">
            <x v="88"/>
          </reference>
          <reference field="1" count="1">
            <x v="5"/>
          </reference>
        </references>
      </pivotArea>
    </format>
    <format dxfId="1359">
      <pivotArea dataOnly="0" labelOnly="1" outline="0" fieldPosition="0">
        <references count="2">
          <reference field="0" count="1" selected="0">
            <x v="89"/>
          </reference>
          <reference field="1" count="1">
            <x v="5"/>
          </reference>
        </references>
      </pivotArea>
    </format>
    <format dxfId="1360">
      <pivotArea dataOnly="0" labelOnly="1" outline="0" fieldPosition="0">
        <references count="2">
          <reference field="0" count="1" selected="0">
            <x v="90"/>
          </reference>
          <reference field="1" count="1">
            <x v="5"/>
          </reference>
        </references>
      </pivotArea>
    </format>
    <format dxfId="1361">
      <pivotArea dataOnly="0" labelOnly="1" outline="0" fieldPosition="0">
        <references count="2">
          <reference field="0" count="1" selected="0">
            <x v="91"/>
          </reference>
          <reference field="1" count="1">
            <x v="6"/>
          </reference>
        </references>
      </pivotArea>
    </format>
    <format dxfId="1362">
      <pivotArea dataOnly="0" labelOnly="1" outline="0" fieldPosition="0">
        <references count="2">
          <reference field="0" count="1" selected="0">
            <x v="92"/>
          </reference>
          <reference field="1" count="1">
            <x v="6"/>
          </reference>
        </references>
      </pivotArea>
    </format>
    <format dxfId="1363">
      <pivotArea dataOnly="0" labelOnly="1" outline="0" fieldPosition="0">
        <references count="2">
          <reference field="0" count="1" selected="0">
            <x v="93"/>
          </reference>
          <reference field="1" count="1">
            <x v="6"/>
          </reference>
        </references>
      </pivotArea>
    </format>
    <format dxfId="1364">
      <pivotArea dataOnly="0" labelOnly="1" outline="0" fieldPosition="0">
        <references count="2">
          <reference field="0" count="1" selected="0">
            <x v="94"/>
          </reference>
          <reference field="1" count="1">
            <x v="6"/>
          </reference>
        </references>
      </pivotArea>
    </format>
    <format dxfId="1365">
      <pivotArea dataOnly="0" labelOnly="1" outline="0" fieldPosition="0">
        <references count="2">
          <reference field="0" count="1" selected="0">
            <x v="95"/>
          </reference>
          <reference field="1" count="1">
            <x v="6"/>
          </reference>
        </references>
      </pivotArea>
    </format>
    <format dxfId="1366">
      <pivotArea dataOnly="0" labelOnly="1" outline="0" fieldPosition="0">
        <references count="2">
          <reference field="0" count="1" selected="0">
            <x v="96"/>
          </reference>
          <reference field="1" count="1">
            <x v="6"/>
          </reference>
        </references>
      </pivotArea>
    </format>
    <format dxfId="1367">
      <pivotArea dataOnly="0" labelOnly="1" outline="0" fieldPosition="0">
        <references count="2">
          <reference field="0" count="1" selected="0">
            <x v="97"/>
          </reference>
          <reference field="1" count="1">
            <x v="6"/>
          </reference>
        </references>
      </pivotArea>
    </format>
    <format dxfId="1368">
      <pivotArea dataOnly="0" labelOnly="1" outline="0" fieldPosition="0">
        <references count="2">
          <reference field="0" count="1" selected="0">
            <x v="98"/>
          </reference>
          <reference field="1" count="1">
            <x v="6"/>
          </reference>
        </references>
      </pivotArea>
    </format>
    <format dxfId="1369">
      <pivotArea dataOnly="0" labelOnly="1" outline="0" fieldPosition="0">
        <references count="2">
          <reference field="0" count="1" selected="0">
            <x v="99"/>
          </reference>
          <reference field="1" count="1">
            <x v="6"/>
          </reference>
        </references>
      </pivotArea>
    </format>
    <format dxfId="1370">
      <pivotArea dataOnly="0" labelOnly="1" outline="0" fieldPosition="0">
        <references count="2">
          <reference field="0" count="1" selected="0">
            <x v="100"/>
          </reference>
          <reference field="1" count="1">
            <x v="6"/>
          </reference>
        </references>
      </pivotArea>
    </format>
    <format dxfId="1371">
      <pivotArea dataOnly="0" labelOnly="1" outline="0" fieldPosition="0">
        <references count="2">
          <reference field="0" count="1" selected="0">
            <x v="101"/>
          </reference>
          <reference field="1" count="1">
            <x v="6"/>
          </reference>
        </references>
      </pivotArea>
    </format>
    <format dxfId="1372">
      <pivotArea dataOnly="0" labelOnly="1" outline="0" fieldPosition="0">
        <references count="2">
          <reference field="0" count="1" selected="0">
            <x v="102"/>
          </reference>
          <reference field="1" count="1">
            <x v="6"/>
          </reference>
        </references>
      </pivotArea>
    </format>
    <format dxfId="1373">
      <pivotArea dataOnly="0" labelOnly="1" outline="0" fieldPosition="0">
        <references count="2">
          <reference field="0" count="1" selected="0">
            <x v="103"/>
          </reference>
          <reference field="1" count="1">
            <x v="6"/>
          </reference>
        </references>
      </pivotArea>
    </format>
    <format dxfId="1374">
      <pivotArea dataOnly="0" labelOnly="1" outline="0" fieldPosition="0">
        <references count="2">
          <reference field="0" count="1" selected="0">
            <x v="104"/>
          </reference>
          <reference field="1" count="1">
            <x v="6"/>
          </reference>
        </references>
      </pivotArea>
    </format>
    <format dxfId="1375">
      <pivotArea dataOnly="0" labelOnly="1" outline="0" fieldPosition="0">
        <references count="2">
          <reference field="0" count="1" selected="0">
            <x v="105"/>
          </reference>
          <reference field="1" count="1">
            <x v="6"/>
          </reference>
        </references>
      </pivotArea>
    </format>
    <format dxfId="1376">
      <pivotArea dataOnly="0" labelOnly="1" outline="0" fieldPosition="0">
        <references count="2">
          <reference field="0" count="1" selected="0">
            <x v="106"/>
          </reference>
          <reference field="1" count="1">
            <x v="6"/>
          </reference>
        </references>
      </pivotArea>
    </format>
    <format dxfId="1377">
      <pivotArea dataOnly="0" labelOnly="1" outline="0" fieldPosition="0">
        <references count="2">
          <reference field="0" count="1" selected="0">
            <x v="107"/>
          </reference>
          <reference field="1" count="1">
            <x v="7"/>
          </reference>
        </references>
      </pivotArea>
    </format>
    <format dxfId="1378">
      <pivotArea dataOnly="0" labelOnly="1" outline="0" fieldPosition="0">
        <references count="2">
          <reference field="0" count="1" selected="0">
            <x v="108"/>
          </reference>
          <reference field="1" count="1">
            <x v="7"/>
          </reference>
        </references>
      </pivotArea>
    </format>
    <format dxfId="1379">
      <pivotArea dataOnly="0" labelOnly="1" outline="0" fieldPosition="0">
        <references count="2">
          <reference field="0" count="1" selected="0">
            <x v="109"/>
          </reference>
          <reference field="1" count="1">
            <x v="7"/>
          </reference>
        </references>
      </pivotArea>
    </format>
    <format dxfId="1380">
      <pivotArea dataOnly="0" labelOnly="1" outline="0" fieldPosition="0">
        <references count="2">
          <reference field="0" count="1" selected="0">
            <x v="110"/>
          </reference>
          <reference field="1" count="1">
            <x v="7"/>
          </reference>
        </references>
      </pivotArea>
    </format>
    <format dxfId="1381">
      <pivotArea dataOnly="0" labelOnly="1" outline="0" fieldPosition="0">
        <references count="2">
          <reference field="0" count="1" selected="0">
            <x v="111"/>
          </reference>
          <reference field="1" count="1">
            <x v="7"/>
          </reference>
        </references>
      </pivotArea>
    </format>
    <format dxfId="1382">
      <pivotArea dataOnly="0" labelOnly="1" outline="0" fieldPosition="0">
        <references count="2">
          <reference field="0" count="1" selected="0">
            <x v="112"/>
          </reference>
          <reference field="1" count="1">
            <x v="7"/>
          </reference>
        </references>
      </pivotArea>
    </format>
    <format dxfId="1383">
      <pivotArea dataOnly="0" labelOnly="1" outline="0" fieldPosition="0">
        <references count="2">
          <reference field="0" count="1" selected="0">
            <x v="113"/>
          </reference>
          <reference field="1" count="1">
            <x v="7"/>
          </reference>
        </references>
      </pivotArea>
    </format>
    <format dxfId="1384">
      <pivotArea dataOnly="0" labelOnly="1" outline="0" fieldPosition="0">
        <references count="2">
          <reference field="0" count="1" selected="0">
            <x v="114"/>
          </reference>
          <reference field="1" count="1">
            <x v="7"/>
          </reference>
        </references>
      </pivotArea>
    </format>
    <format dxfId="1385">
      <pivotArea dataOnly="0" labelOnly="1" outline="0" fieldPosition="0">
        <references count="2">
          <reference field="0" count="1" selected="0">
            <x v="115"/>
          </reference>
          <reference field="1" count="1">
            <x v="7"/>
          </reference>
        </references>
      </pivotArea>
    </format>
    <format dxfId="1386">
      <pivotArea dataOnly="0" labelOnly="1" outline="0" fieldPosition="0">
        <references count="2">
          <reference field="0" count="1" selected="0">
            <x v="116"/>
          </reference>
          <reference field="1" count="1">
            <x v="7"/>
          </reference>
        </references>
      </pivotArea>
    </format>
    <format dxfId="1387">
      <pivotArea dataOnly="0" labelOnly="1" outline="0" fieldPosition="0">
        <references count="2">
          <reference field="0" count="1" selected="0">
            <x v="117"/>
          </reference>
          <reference field="1" count="1">
            <x v="7"/>
          </reference>
        </references>
      </pivotArea>
    </format>
    <format dxfId="1388">
      <pivotArea dataOnly="0" labelOnly="1" outline="0" fieldPosition="0">
        <references count="2">
          <reference field="0" count="1" selected="0">
            <x v="118"/>
          </reference>
          <reference field="1" count="1">
            <x v="7"/>
          </reference>
        </references>
      </pivotArea>
    </format>
    <format dxfId="1389">
      <pivotArea dataOnly="0" labelOnly="1" outline="0" fieldPosition="0">
        <references count="2">
          <reference field="0" count="1" selected="0">
            <x v="119"/>
          </reference>
          <reference field="1" count="1">
            <x v="7"/>
          </reference>
        </references>
      </pivotArea>
    </format>
    <format dxfId="1390">
      <pivotArea dataOnly="0" labelOnly="1" outline="0" fieldPosition="0">
        <references count="2">
          <reference field="0" count="1" selected="0">
            <x v="120"/>
          </reference>
          <reference field="1" count="1">
            <x v="7"/>
          </reference>
        </references>
      </pivotArea>
    </format>
    <format dxfId="1391">
      <pivotArea dataOnly="0" labelOnly="1" outline="0" fieldPosition="0">
        <references count="2">
          <reference field="0" count="1" selected="0">
            <x v="121"/>
          </reference>
          <reference field="1" count="1">
            <x v="7"/>
          </reference>
        </references>
      </pivotArea>
    </format>
    <format dxfId="1392">
      <pivotArea dataOnly="0" labelOnly="1" outline="0" fieldPosition="0">
        <references count="2">
          <reference field="0" count="1" selected="0">
            <x v="122"/>
          </reference>
          <reference field="1" count="1">
            <x v="7"/>
          </reference>
        </references>
      </pivotArea>
    </format>
    <format dxfId="1393">
      <pivotArea dataOnly="0" labelOnly="1" outline="0" fieldPosition="0">
        <references count="2">
          <reference field="0" count="1" selected="0">
            <x v="123"/>
          </reference>
          <reference field="1" count="1">
            <x v="8"/>
          </reference>
        </references>
      </pivotArea>
    </format>
    <format dxfId="1394">
      <pivotArea dataOnly="0" labelOnly="1" outline="0" fieldPosition="0">
        <references count="2">
          <reference field="0" count="1" selected="0">
            <x v="124"/>
          </reference>
          <reference field="1" count="1">
            <x v="8"/>
          </reference>
        </references>
      </pivotArea>
    </format>
    <format dxfId="1395">
      <pivotArea dataOnly="0" labelOnly="1" outline="0" fieldPosition="0">
        <references count="2">
          <reference field="0" count="1" selected="0">
            <x v="125"/>
          </reference>
          <reference field="1" count="1">
            <x v="8"/>
          </reference>
        </references>
      </pivotArea>
    </format>
    <format dxfId="1396">
      <pivotArea dataOnly="0" labelOnly="1" outline="0" fieldPosition="0">
        <references count="2">
          <reference field="0" count="1" selected="0">
            <x v="126"/>
          </reference>
          <reference field="1" count="1">
            <x v="8"/>
          </reference>
        </references>
      </pivotArea>
    </format>
    <format dxfId="1397">
      <pivotArea dataOnly="0" labelOnly="1" outline="0" fieldPosition="0">
        <references count="2">
          <reference field="0" count="1" selected="0">
            <x v="127"/>
          </reference>
          <reference field="1" count="1">
            <x v="8"/>
          </reference>
        </references>
      </pivotArea>
    </format>
    <format dxfId="1398">
      <pivotArea dataOnly="0" labelOnly="1" outline="0" fieldPosition="0">
        <references count="2">
          <reference field="0" count="1" selected="0">
            <x v="128"/>
          </reference>
          <reference field="1" count="1">
            <x v="8"/>
          </reference>
        </references>
      </pivotArea>
    </format>
    <format dxfId="1399">
      <pivotArea dataOnly="0" labelOnly="1" outline="0" fieldPosition="0">
        <references count="2">
          <reference field="0" count="1" selected="0">
            <x v="129"/>
          </reference>
          <reference field="1" count="1">
            <x v="8"/>
          </reference>
        </references>
      </pivotArea>
    </format>
    <format dxfId="1400">
      <pivotArea dataOnly="0" labelOnly="1" outline="0" fieldPosition="0">
        <references count="2">
          <reference field="0" count="1" selected="0">
            <x v="130"/>
          </reference>
          <reference field="1" count="1">
            <x v="8"/>
          </reference>
        </references>
      </pivotArea>
    </format>
    <format dxfId="1401">
      <pivotArea dataOnly="0" labelOnly="1" outline="0" fieldPosition="0">
        <references count="2">
          <reference field="0" count="1" selected="0">
            <x v="131"/>
          </reference>
          <reference field="1" count="1">
            <x v="8"/>
          </reference>
        </references>
      </pivotArea>
    </format>
    <format dxfId="1402">
      <pivotArea dataOnly="0" labelOnly="1" outline="0" fieldPosition="0">
        <references count="2">
          <reference field="0" count="1" selected="0">
            <x v="132"/>
          </reference>
          <reference field="1" count="1">
            <x v="8"/>
          </reference>
        </references>
      </pivotArea>
    </format>
    <format dxfId="1403">
      <pivotArea dataOnly="0" labelOnly="1" outline="0" fieldPosition="0">
        <references count="2">
          <reference field="0" count="1" selected="0">
            <x v="133"/>
          </reference>
          <reference field="1" count="1">
            <x v="8"/>
          </reference>
        </references>
      </pivotArea>
    </format>
    <format dxfId="1404">
      <pivotArea dataOnly="0" labelOnly="1" outline="0" fieldPosition="0">
        <references count="2">
          <reference field="0" count="1" selected="0">
            <x v="134"/>
          </reference>
          <reference field="1" count="1">
            <x v="8"/>
          </reference>
        </references>
      </pivotArea>
    </format>
    <format dxfId="1405">
      <pivotArea dataOnly="0" labelOnly="1" outline="0" fieldPosition="0">
        <references count="2">
          <reference field="0" count="1" selected="0">
            <x v="135"/>
          </reference>
          <reference field="1" count="1">
            <x v="8"/>
          </reference>
        </references>
      </pivotArea>
    </format>
    <format dxfId="1406">
      <pivotArea dataOnly="0" labelOnly="1" outline="0" fieldPosition="0">
        <references count="2">
          <reference field="0" count="1" selected="0">
            <x v="136"/>
          </reference>
          <reference field="1" count="1">
            <x v="8"/>
          </reference>
        </references>
      </pivotArea>
    </format>
    <format dxfId="1407">
      <pivotArea dataOnly="0" labelOnly="1" outline="0" fieldPosition="0">
        <references count="2">
          <reference field="0" count="1" selected="0">
            <x v="137"/>
          </reference>
          <reference field="1" count="1">
            <x v="8"/>
          </reference>
        </references>
      </pivotArea>
    </format>
    <format dxfId="1408">
      <pivotArea dataOnly="0" labelOnly="1" outline="0" fieldPosition="0">
        <references count="2">
          <reference field="0" count="1" selected="0">
            <x v="138"/>
          </reference>
          <reference field="1" count="1">
            <x v="8"/>
          </reference>
        </references>
      </pivotArea>
    </format>
    <format dxfId="1409">
      <pivotArea dataOnly="0" labelOnly="1" outline="0" fieldPosition="0">
        <references count="2">
          <reference field="0" count="1" selected="0">
            <x v="139"/>
          </reference>
          <reference field="1" count="1">
            <x v="8"/>
          </reference>
        </references>
      </pivotArea>
    </format>
    <format dxfId="1410">
      <pivotArea dataOnly="0" labelOnly="1" outline="0" fieldPosition="0">
        <references count="2">
          <reference field="0" count="1" selected="0">
            <x v="140"/>
          </reference>
          <reference field="1" count="1">
            <x v="9"/>
          </reference>
        </references>
      </pivotArea>
    </format>
    <format dxfId="1411">
      <pivotArea dataOnly="0" labelOnly="1" outline="0" fieldPosition="0">
        <references count="2">
          <reference field="0" count="1" selected="0">
            <x v="141"/>
          </reference>
          <reference field="1" count="1">
            <x v="9"/>
          </reference>
        </references>
      </pivotArea>
    </format>
    <format dxfId="1412">
      <pivotArea dataOnly="0" labelOnly="1" outline="0" fieldPosition="0">
        <references count="2">
          <reference field="0" count="1" selected="0">
            <x v="142"/>
          </reference>
          <reference field="1" count="1">
            <x v="9"/>
          </reference>
        </references>
      </pivotArea>
    </format>
    <format dxfId="1413">
      <pivotArea dataOnly="0" labelOnly="1" outline="0" fieldPosition="0">
        <references count="2">
          <reference field="0" count="1" selected="0">
            <x v="143"/>
          </reference>
          <reference field="1" count="1">
            <x v="9"/>
          </reference>
        </references>
      </pivotArea>
    </format>
    <format dxfId="1414">
      <pivotArea dataOnly="0" labelOnly="1" outline="0" fieldPosition="0">
        <references count="2">
          <reference field="0" count="1" selected="0">
            <x v="144"/>
          </reference>
          <reference field="1" count="1">
            <x v="9"/>
          </reference>
        </references>
      </pivotArea>
    </format>
    <format dxfId="1415">
      <pivotArea dataOnly="0" labelOnly="1" outline="0" fieldPosition="0">
        <references count="2">
          <reference field="0" count="1" selected="0">
            <x v="145"/>
          </reference>
          <reference field="1" count="1">
            <x v="9"/>
          </reference>
        </references>
      </pivotArea>
    </format>
    <format dxfId="1416">
      <pivotArea dataOnly="0" labelOnly="1" outline="0" fieldPosition="0">
        <references count="2">
          <reference field="0" count="1" selected="0">
            <x v="146"/>
          </reference>
          <reference field="1" count="1">
            <x v="9"/>
          </reference>
        </references>
      </pivotArea>
    </format>
    <format dxfId="1417">
      <pivotArea dataOnly="0" labelOnly="1" outline="0" fieldPosition="0">
        <references count="2">
          <reference field="0" count="1" selected="0">
            <x v="147"/>
          </reference>
          <reference field="1" count="1">
            <x v="9"/>
          </reference>
        </references>
      </pivotArea>
    </format>
    <format dxfId="1418">
      <pivotArea dataOnly="0" labelOnly="1" outline="0" fieldPosition="0">
        <references count="2">
          <reference field="0" count="1" selected="0">
            <x v="148"/>
          </reference>
          <reference field="1" count="1">
            <x v="9"/>
          </reference>
        </references>
      </pivotArea>
    </format>
    <format dxfId="1419">
      <pivotArea dataOnly="0" labelOnly="1" outline="0" fieldPosition="0">
        <references count="2">
          <reference field="0" count="1" selected="0">
            <x v="149"/>
          </reference>
          <reference field="1" count="1">
            <x v="9"/>
          </reference>
        </references>
      </pivotArea>
    </format>
    <format dxfId="1420">
      <pivotArea dataOnly="0" labelOnly="1" outline="0" fieldPosition="0">
        <references count="2">
          <reference field="0" count="1" selected="0">
            <x v="150"/>
          </reference>
          <reference field="1" count="1">
            <x v="9"/>
          </reference>
        </references>
      </pivotArea>
    </format>
    <format dxfId="1421">
      <pivotArea dataOnly="0" labelOnly="1" outline="0" fieldPosition="0">
        <references count="2">
          <reference field="0" count="1" selected="0">
            <x v="151"/>
          </reference>
          <reference field="1" count="1">
            <x v="9"/>
          </reference>
        </references>
      </pivotArea>
    </format>
    <format dxfId="1422">
      <pivotArea dataOnly="0" labelOnly="1" outline="0" fieldPosition="0">
        <references count="2">
          <reference field="0" count="1" selected="0">
            <x v="152"/>
          </reference>
          <reference field="1" count="1">
            <x v="9"/>
          </reference>
        </references>
      </pivotArea>
    </format>
    <format dxfId="1423">
      <pivotArea dataOnly="0" labelOnly="1" outline="0" fieldPosition="0">
        <references count="2">
          <reference field="0" count="1" selected="0">
            <x v="153"/>
          </reference>
          <reference field="1" count="1">
            <x v="9"/>
          </reference>
        </references>
      </pivotArea>
    </format>
    <format dxfId="1424">
      <pivotArea dataOnly="0" labelOnly="1" outline="0" fieldPosition="0">
        <references count="2">
          <reference field="0" count="1" selected="0">
            <x v="154"/>
          </reference>
          <reference field="1" count="1">
            <x v="10"/>
          </reference>
        </references>
      </pivotArea>
    </format>
    <format dxfId="1425">
      <pivotArea dataOnly="0" labelOnly="1" outline="0" fieldPosition="0">
        <references count="2">
          <reference field="0" count="1" selected="0">
            <x v="155"/>
          </reference>
          <reference field="1" count="1">
            <x v="10"/>
          </reference>
        </references>
      </pivotArea>
    </format>
    <format dxfId="1426">
      <pivotArea dataOnly="0" labelOnly="1" outline="0" fieldPosition="0">
        <references count="2">
          <reference field="0" count="1" selected="0">
            <x v="156"/>
          </reference>
          <reference field="1" count="1">
            <x v="10"/>
          </reference>
        </references>
      </pivotArea>
    </format>
    <format dxfId="1427">
      <pivotArea dataOnly="0" labelOnly="1" outline="0" fieldPosition="0">
        <references count="2">
          <reference field="0" count="1" selected="0">
            <x v="157"/>
          </reference>
          <reference field="1" count="1">
            <x v="10"/>
          </reference>
        </references>
      </pivotArea>
    </format>
    <format dxfId="1428">
      <pivotArea dataOnly="0" labelOnly="1" outline="0" fieldPosition="0">
        <references count="2">
          <reference field="0" count="1" selected="0">
            <x v="158"/>
          </reference>
          <reference field="1" count="1">
            <x v="10"/>
          </reference>
        </references>
      </pivotArea>
    </format>
    <format dxfId="1429">
      <pivotArea dataOnly="0" labelOnly="1" outline="0" fieldPosition="0">
        <references count="2">
          <reference field="0" count="1" selected="0">
            <x v="159"/>
          </reference>
          <reference field="1" count="1">
            <x v="10"/>
          </reference>
        </references>
      </pivotArea>
    </format>
    <format dxfId="1430">
      <pivotArea dataOnly="0" labelOnly="1" outline="0" fieldPosition="0">
        <references count="2">
          <reference field="0" count="1" selected="0">
            <x v="160"/>
          </reference>
          <reference field="1" count="1">
            <x v="10"/>
          </reference>
        </references>
      </pivotArea>
    </format>
    <format dxfId="1431">
      <pivotArea dataOnly="0" labelOnly="1" outline="0" fieldPosition="0">
        <references count="2">
          <reference field="0" count="1" selected="0">
            <x v="161"/>
          </reference>
          <reference field="1" count="1">
            <x v="10"/>
          </reference>
        </references>
      </pivotArea>
    </format>
    <format dxfId="1432">
      <pivotArea dataOnly="0" labelOnly="1" outline="0" fieldPosition="0">
        <references count="2">
          <reference field="0" count="1" selected="0">
            <x v="162"/>
          </reference>
          <reference field="1" count="1">
            <x v="10"/>
          </reference>
        </references>
      </pivotArea>
    </format>
    <format dxfId="1433">
      <pivotArea dataOnly="0" labelOnly="1" outline="0" fieldPosition="0">
        <references count="2">
          <reference field="0" count="1" selected="0">
            <x v="163"/>
          </reference>
          <reference field="1" count="1">
            <x v="10"/>
          </reference>
        </references>
      </pivotArea>
    </format>
    <format dxfId="1434">
      <pivotArea dataOnly="0" labelOnly="1" outline="0" fieldPosition="0">
        <references count="2">
          <reference field="0" count="1" selected="0">
            <x v="164"/>
          </reference>
          <reference field="1" count="1">
            <x v="10"/>
          </reference>
        </references>
      </pivotArea>
    </format>
    <format dxfId="1435">
      <pivotArea dataOnly="0" labelOnly="1" outline="0" fieldPosition="0">
        <references count="2">
          <reference field="0" count="1" selected="0">
            <x v="165"/>
          </reference>
          <reference field="1" count="1">
            <x v="10"/>
          </reference>
        </references>
      </pivotArea>
    </format>
    <format dxfId="1436">
      <pivotArea dataOnly="0" labelOnly="1" outline="0" fieldPosition="0">
        <references count="2">
          <reference field="0" count="1" selected="0">
            <x v="166"/>
          </reference>
          <reference field="1" count="1">
            <x v="10"/>
          </reference>
        </references>
      </pivotArea>
    </format>
    <format dxfId="1437">
      <pivotArea dataOnly="0" labelOnly="1" outline="0" fieldPosition="0">
        <references count="2">
          <reference field="0" count="1" selected="0">
            <x v="167"/>
          </reference>
          <reference field="1" count="1">
            <x v="10"/>
          </reference>
        </references>
      </pivotArea>
    </format>
    <format dxfId="1438">
      <pivotArea dataOnly="0" labelOnly="1" outline="0" fieldPosition="0">
        <references count="2">
          <reference field="0" count="1" selected="0">
            <x v="168"/>
          </reference>
          <reference field="1" count="1">
            <x v="10"/>
          </reference>
        </references>
      </pivotArea>
    </format>
    <format dxfId="1439">
      <pivotArea dataOnly="0" labelOnly="1" outline="0" fieldPosition="0">
        <references count="2">
          <reference field="0" count="1" selected="0">
            <x v="169"/>
          </reference>
          <reference field="1" count="1">
            <x v="10"/>
          </reference>
        </references>
      </pivotArea>
    </format>
    <format dxfId="1440">
      <pivotArea dataOnly="0" labelOnly="1" outline="0" fieldPosition="0">
        <references count="2">
          <reference field="0" count="1" selected="0">
            <x v="170"/>
          </reference>
          <reference field="1" count="1">
            <x v="10"/>
          </reference>
        </references>
      </pivotArea>
    </format>
    <format dxfId="1441">
      <pivotArea dataOnly="0" labelOnly="1" outline="0" fieldPosition="0">
        <references count="2">
          <reference field="0" count="1" selected="0">
            <x v="171"/>
          </reference>
          <reference field="1" count="1">
            <x v="11"/>
          </reference>
        </references>
      </pivotArea>
    </format>
    <format dxfId="1442">
      <pivotArea dataOnly="0" labelOnly="1" outline="0" fieldPosition="0">
        <references count="2">
          <reference field="0" count="1" selected="0">
            <x v="172"/>
          </reference>
          <reference field="1" count="1">
            <x v="11"/>
          </reference>
        </references>
      </pivotArea>
    </format>
    <format dxfId="1443">
      <pivotArea dataOnly="0" labelOnly="1" outline="0" fieldPosition="0">
        <references count="2">
          <reference field="0" count="1" selected="0">
            <x v="173"/>
          </reference>
          <reference field="1" count="1">
            <x v="11"/>
          </reference>
        </references>
      </pivotArea>
    </format>
    <format dxfId="1444">
      <pivotArea dataOnly="0" labelOnly="1" outline="0" fieldPosition="0">
        <references count="2">
          <reference field="0" count="1" selected="0">
            <x v="174"/>
          </reference>
          <reference field="1" count="1">
            <x v="11"/>
          </reference>
        </references>
      </pivotArea>
    </format>
    <format dxfId="1445">
      <pivotArea dataOnly="0" labelOnly="1" outline="0" fieldPosition="0">
        <references count="2">
          <reference field="0" count="1" selected="0">
            <x v="175"/>
          </reference>
          <reference field="1" count="1">
            <x v="11"/>
          </reference>
        </references>
      </pivotArea>
    </format>
    <format dxfId="1446">
      <pivotArea dataOnly="0" labelOnly="1" outline="0" fieldPosition="0">
        <references count="2">
          <reference field="0" count="1" selected="0">
            <x v="176"/>
          </reference>
          <reference field="1" count="1">
            <x v="11"/>
          </reference>
        </references>
      </pivotArea>
    </format>
    <format dxfId="1447">
      <pivotArea dataOnly="0" labelOnly="1" outline="0" fieldPosition="0">
        <references count="2">
          <reference field="0" count="1" selected="0">
            <x v="177"/>
          </reference>
          <reference field="1" count="1">
            <x v="11"/>
          </reference>
        </references>
      </pivotArea>
    </format>
    <format dxfId="1448">
      <pivotArea dataOnly="0" labelOnly="1" outline="0" fieldPosition="0">
        <references count="2">
          <reference field="0" count="1" selected="0">
            <x v="178"/>
          </reference>
          <reference field="1" count="1">
            <x v="11"/>
          </reference>
        </references>
      </pivotArea>
    </format>
    <format dxfId="1449">
      <pivotArea dataOnly="0" labelOnly="1" outline="0" fieldPosition="0">
        <references count="2">
          <reference field="0" count="1" selected="0">
            <x v="179"/>
          </reference>
          <reference field="1" count="1">
            <x v="11"/>
          </reference>
        </references>
      </pivotArea>
    </format>
    <format dxfId="1450">
      <pivotArea dataOnly="0" labelOnly="1" outline="0" fieldPosition="0">
        <references count="2">
          <reference field="0" count="1" selected="0">
            <x v="180"/>
          </reference>
          <reference field="1" count="1">
            <x v="11"/>
          </reference>
        </references>
      </pivotArea>
    </format>
    <format dxfId="1451">
      <pivotArea dataOnly="0" labelOnly="1" outline="0" fieldPosition="0">
        <references count="2">
          <reference field="0" count="1" selected="0">
            <x v="181"/>
          </reference>
          <reference field="1" count="1">
            <x v="11"/>
          </reference>
        </references>
      </pivotArea>
    </format>
    <format dxfId="1452">
      <pivotArea dataOnly="0" labelOnly="1" outline="0" fieldPosition="0">
        <references count="2">
          <reference field="0" count="1" selected="0">
            <x v="182"/>
          </reference>
          <reference field="1" count="1">
            <x v="11"/>
          </reference>
        </references>
      </pivotArea>
    </format>
    <format dxfId="1453">
      <pivotArea dataOnly="0" labelOnly="1" outline="0" fieldPosition="0">
        <references count="2">
          <reference field="0" count="1" selected="0">
            <x v="183"/>
          </reference>
          <reference field="1" count="1">
            <x v="11"/>
          </reference>
        </references>
      </pivotArea>
    </format>
    <format dxfId="1454">
      <pivotArea dataOnly="0" labelOnly="1" outline="0" fieldPosition="0">
        <references count="2">
          <reference field="0" count="1" selected="0">
            <x v="184"/>
          </reference>
          <reference field="1" count="1">
            <x v="11"/>
          </reference>
        </references>
      </pivotArea>
    </format>
    <format dxfId="1455">
      <pivotArea dataOnly="0" labelOnly="1" outline="0" fieldPosition="0">
        <references count="2">
          <reference field="0" count="1" selected="0">
            <x v="185"/>
          </reference>
          <reference field="1" count="1">
            <x v="12"/>
          </reference>
        </references>
      </pivotArea>
    </format>
    <format dxfId="1456">
      <pivotArea dataOnly="0" labelOnly="1" outline="0" fieldPosition="0">
        <references count="2">
          <reference field="0" count="1" selected="0">
            <x v="186"/>
          </reference>
          <reference field="1" count="1">
            <x v="12"/>
          </reference>
        </references>
      </pivotArea>
    </format>
    <format dxfId="1457">
      <pivotArea dataOnly="0" labelOnly="1" outline="0" fieldPosition="0">
        <references count="2">
          <reference field="0" count="1" selected="0">
            <x v="187"/>
          </reference>
          <reference field="1" count="1">
            <x v="12"/>
          </reference>
        </references>
      </pivotArea>
    </format>
    <format dxfId="1458">
      <pivotArea dataOnly="0" labelOnly="1" outline="0" fieldPosition="0">
        <references count="2">
          <reference field="0" count="1" selected="0">
            <x v="188"/>
          </reference>
          <reference field="1" count="1">
            <x v="12"/>
          </reference>
        </references>
      </pivotArea>
    </format>
    <format dxfId="1459">
      <pivotArea dataOnly="0" labelOnly="1" outline="0" fieldPosition="0">
        <references count="2">
          <reference field="0" count="1" selected="0">
            <x v="189"/>
          </reference>
          <reference field="1" count="1">
            <x v="12"/>
          </reference>
        </references>
      </pivotArea>
    </format>
    <format dxfId="1460">
      <pivotArea dataOnly="0" labelOnly="1" outline="0" fieldPosition="0">
        <references count="2">
          <reference field="0" count="1" selected="0">
            <x v="190"/>
          </reference>
          <reference field="1" count="1">
            <x v="12"/>
          </reference>
        </references>
      </pivotArea>
    </format>
    <format dxfId="1461">
      <pivotArea dataOnly="0" labelOnly="1" outline="0" fieldPosition="0">
        <references count="2">
          <reference field="0" count="1" selected="0">
            <x v="191"/>
          </reference>
          <reference field="1" count="1">
            <x v="12"/>
          </reference>
        </references>
      </pivotArea>
    </format>
    <format dxfId="1462">
      <pivotArea dataOnly="0" labelOnly="1" outline="0" fieldPosition="0">
        <references count="2">
          <reference field="0" count="1" selected="0">
            <x v="192"/>
          </reference>
          <reference field="1" count="1">
            <x v="12"/>
          </reference>
        </references>
      </pivotArea>
    </format>
    <format dxfId="1463">
      <pivotArea dataOnly="0" labelOnly="1" outline="0" fieldPosition="0">
        <references count="2">
          <reference field="0" count="1" selected="0">
            <x v="193"/>
          </reference>
          <reference field="1" count="1">
            <x v="12"/>
          </reference>
        </references>
      </pivotArea>
    </format>
    <format dxfId="1464">
      <pivotArea dataOnly="0" labelOnly="1" outline="0" fieldPosition="0">
        <references count="2">
          <reference field="0" count="1" selected="0">
            <x v="194"/>
          </reference>
          <reference field="1" count="1">
            <x v="12"/>
          </reference>
        </references>
      </pivotArea>
    </format>
    <format dxfId="1465">
      <pivotArea dataOnly="0" labelOnly="1" outline="0" fieldPosition="0">
        <references count="2">
          <reference field="0" count="1" selected="0">
            <x v="195"/>
          </reference>
          <reference field="1" count="1">
            <x v="13"/>
          </reference>
        </references>
      </pivotArea>
    </format>
    <format dxfId="1466">
      <pivotArea dataOnly="0" labelOnly="1" outline="0" fieldPosition="0">
        <references count="2">
          <reference field="0" count="1" selected="0">
            <x v="196"/>
          </reference>
          <reference field="1" count="1">
            <x v="13"/>
          </reference>
        </references>
      </pivotArea>
    </format>
    <format dxfId="1467">
      <pivotArea dataOnly="0" labelOnly="1" outline="0" fieldPosition="0">
        <references count="2">
          <reference field="0" count="1" selected="0">
            <x v="197"/>
          </reference>
          <reference field="1" count="1">
            <x v="13"/>
          </reference>
        </references>
      </pivotArea>
    </format>
    <format dxfId="1468">
      <pivotArea dataOnly="0" labelOnly="1" outline="0" fieldPosition="0">
        <references count="2">
          <reference field="0" count="1" selected="0">
            <x v="198"/>
          </reference>
          <reference field="1" count="1">
            <x v="13"/>
          </reference>
        </references>
      </pivotArea>
    </format>
    <format dxfId="1469">
      <pivotArea dataOnly="0" labelOnly="1" outline="0" fieldPosition="0">
        <references count="2">
          <reference field="0" count="1" selected="0">
            <x v="199"/>
          </reference>
          <reference field="1" count="1">
            <x v="13"/>
          </reference>
        </references>
      </pivotArea>
    </format>
    <format dxfId="1470">
      <pivotArea dataOnly="0" labelOnly="1" outline="0" fieldPosition="0">
        <references count="2">
          <reference field="0" count="1" selected="0">
            <x v="200"/>
          </reference>
          <reference field="1" count="1">
            <x v="13"/>
          </reference>
        </references>
      </pivotArea>
    </format>
    <format dxfId="1471">
      <pivotArea dataOnly="0" labelOnly="1" outline="0" fieldPosition="0">
        <references count="2">
          <reference field="0" count="1" selected="0">
            <x v="201"/>
          </reference>
          <reference field="1" count="1">
            <x v="13"/>
          </reference>
        </references>
      </pivotArea>
    </format>
    <format dxfId="1472">
      <pivotArea dataOnly="0" labelOnly="1" outline="0" fieldPosition="0">
        <references count="2">
          <reference field="0" count="1" selected="0">
            <x v="202"/>
          </reference>
          <reference field="1" count="1">
            <x v="13"/>
          </reference>
        </references>
      </pivotArea>
    </format>
    <format dxfId="1473">
      <pivotArea dataOnly="0" labelOnly="1" outline="0" fieldPosition="0">
        <references count="2">
          <reference field="0" count="1" selected="0">
            <x v="203"/>
          </reference>
          <reference field="1" count="1">
            <x v="13"/>
          </reference>
        </references>
      </pivotArea>
    </format>
    <format dxfId="1474">
      <pivotArea dataOnly="0" labelOnly="1" outline="0" fieldPosition="0">
        <references count="2">
          <reference field="0" count="1" selected="0">
            <x v="204"/>
          </reference>
          <reference field="1" count="1">
            <x v="13"/>
          </reference>
        </references>
      </pivotArea>
    </format>
    <format dxfId="1475">
      <pivotArea dataOnly="0" labelOnly="1" outline="0" fieldPosition="0">
        <references count="2">
          <reference field="0" count="1" selected="0">
            <x v="205"/>
          </reference>
          <reference field="1" count="1">
            <x v="13"/>
          </reference>
        </references>
      </pivotArea>
    </format>
    <format dxfId="1476">
      <pivotArea dataOnly="0" labelOnly="1" outline="0" fieldPosition="0">
        <references count="2">
          <reference field="0" count="1" selected="0">
            <x v="206"/>
          </reference>
          <reference field="1" count="1">
            <x v="13"/>
          </reference>
        </references>
      </pivotArea>
    </format>
    <format dxfId="1477">
      <pivotArea dataOnly="0" labelOnly="1" outline="0" fieldPosition="0">
        <references count="2">
          <reference field="0" count="1" selected="0">
            <x v="207"/>
          </reference>
          <reference field="1" count="1">
            <x v="13"/>
          </reference>
        </references>
      </pivotArea>
    </format>
    <format dxfId="1478">
      <pivotArea dataOnly="0" labelOnly="1" outline="0" fieldPosition="0">
        <references count="2">
          <reference field="0" count="1" selected="0">
            <x v="208"/>
          </reference>
          <reference field="1" count="1">
            <x v="13"/>
          </reference>
        </references>
      </pivotArea>
    </format>
    <format dxfId="1479">
      <pivotArea dataOnly="0" labelOnly="1" outline="0" fieldPosition="0">
        <references count="2">
          <reference field="0" count="1" selected="0">
            <x v="209"/>
          </reference>
          <reference field="1" count="1">
            <x v="13"/>
          </reference>
        </references>
      </pivotArea>
    </format>
    <format dxfId="1480">
      <pivotArea dataOnly="0" labelOnly="1" outline="0" fieldPosition="0">
        <references count="2">
          <reference field="0" count="1" selected="0">
            <x v="210"/>
          </reference>
          <reference field="1" count="1">
            <x v="13"/>
          </reference>
        </references>
      </pivotArea>
    </format>
    <format dxfId="1481">
      <pivotArea dataOnly="0" labelOnly="1" outline="0" fieldPosition="0">
        <references count="2">
          <reference field="0" count="1" selected="0">
            <x v="211"/>
          </reference>
          <reference field="1" count="1">
            <x v="14"/>
          </reference>
        </references>
      </pivotArea>
    </format>
    <format dxfId="1482">
      <pivotArea dataOnly="0" labelOnly="1" outline="0" fieldPosition="0">
        <references count="2">
          <reference field="0" count="1" selected="0">
            <x v="212"/>
          </reference>
          <reference field="1" count="1">
            <x v="14"/>
          </reference>
        </references>
      </pivotArea>
    </format>
    <format dxfId="1483">
      <pivotArea dataOnly="0" labelOnly="1" outline="0" fieldPosition="0">
        <references count="2">
          <reference field="0" count="1" selected="0">
            <x v="213"/>
          </reference>
          <reference field="1" count="1">
            <x v="14"/>
          </reference>
        </references>
      </pivotArea>
    </format>
    <format dxfId="1484">
      <pivotArea dataOnly="0" labelOnly="1" outline="0" fieldPosition="0">
        <references count="2">
          <reference field="0" count="1" selected="0">
            <x v="214"/>
          </reference>
          <reference field="1" count="1">
            <x v="14"/>
          </reference>
        </references>
      </pivotArea>
    </format>
    <format dxfId="1485">
      <pivotArea dataOnly="0" labelOnly="1" outline="0" fieldPosition="0">
        <references count="2">
          <reference field="0" count="1" selected="0">
            <x v="215"/>
          </reference>
          <reference field="1" count="1">
            <x v="14"/>
          </reference>
        </references>
      </pivotArea>
    </format>
    <format dxfId="1486">
      <pivotArea dataOnly="0" labelOnly="1" outline="0" fieldPosition="0">
        <references count="2">
          <reference field="0" count="1" selected="0">
            <x v="216"/>
          </reference>
          <reference field="1" count="1">
            <x v="14"/>
          </reference>
        </references>
      </pivotArea>
    </format>
    <format dxfId="1487">
      <pivotArea dataOnly="0" labelOnly="1" outline="0" fieldPosition="0">
        <references count="2">
          <reference field="0" count="1" selected="0">
            <x v="217"/>
          </reference>
          <reference field="1" count="1">
            <x v="14"/>
          </reference>
        </references>
      </pivotArea>
    </format>
    <format dxfId="1488">
      <pivotArea dataOnly="0" labelOnly="1" outline="0" fieldPosition="0">
        <references count="2">
          <reference field="0" count="1" selected="0">
            <x v="218"/>
          </reference>
          <reference field="1" count="1">
            <x v="14"/>
          </reference>
        </references>
      </pivotArea>
    </format>
    <format dxfId="1489">
      <pivotArea dataOnly="0" labelOnly="1" outline="0" fieldPosition="0">
        <references count="2">
          <reference field="0" count="1" selected="0">
            <x v="219"/>
          </reference>
          <reference field="1" count="1">
            <x v="14"/>
          </reference>
        </references>
      </pivotArea>
    </format>
    <format dxfId="1490">
      <pivotArea dataOnly="0" labelOnly="1" outline="0" fieldPosition="0">
        <references count="2">
          <reference field="0" count="1" selected="0">
            <x v="220"/>
          </reference>
          <reference field="1" count="1">
            <x v="14"/>
          </reference>
        </references>
      </pivotArea>
    </format>
    <format dxfId="1491">
      <pivotArea dataOnly="0" labelOnly="1" outline="0" fieldPosition="0">
        <references count="2">
          <reference field="0" count="1" selected="0">
            <x v="221"/>
          </reference>
          <reference field="1" count="1">
            <x v="14"/>
          </reference>
        </references>
      </pivotArea>
    </format>
    <format dxfId="1492">
      <pivotArea dataOnly="0" labelOnly="1" outline="0" fieldPosition="0">
        <references count="2">
          <reference field="0" count="1" selected="0">
            <x v="222"/>
          </reference>
          <reference field="1" count="1">
            <x v="14"/>
          </reference>
        </references>
      </pivotArea>
    </format>
    <format dxfId="1493">
      <pivotArea dataOnly="0" labelOnly="1" outline="0" fieldPosition="0">
        <references count="2">
          <reference field="0" count="1" selected="0">
            <x v="223"/>
          </reference>
          <reference field="1" count="1">
            <x v="14"/>
          </reference>
        </references>
      </pivotArea>
    </format>
    <format dxfId="1494">
      <pivotArea dataOnly="0" labelOnly="1" outline="0" fieldPosition="0">
        <references count="2">
          <reference field="0" count="1" selected="0">
            <x v="224"/>
          </reference>
          <reference field="1" count="1">
            <x v="14"/>
          </reference>
        </references>
      </pivotArea>
    </format>
    <format dxfId="1495">
      <pivotArea dataOnly="0" labelOnly="1" outline="0" fieldPosition="0">
        <references count="2">
          <reference field="0" count="1" selected="0">
            <x v="225"/>
          </reference>
          <reference field="1" count="1">
            <x v="14"/>
          </reference>
        </references>
      </pivotArea>
    </format>
    <format dxfId="1496">
      <pivotArea dataOnly="0" labelOnly="1" outline="0" fieldPosition="0">
        <references count="2">
          <reference field="0" count="1" selected="0">
            <x v="226"/>
          </reference>
          <reference field="1" count="1">
            <x v="14"/>
          </reference>
        </references>
      </pivotArea>
    </format>
    <format dxfId="1497">
      <pivotArea dataOnly="0" labelOnly="1" outline="0" fieldPosition="0">
        <references count="2">
          <reference field="0" count="1" selected="0">
            <x v="227"/>
          </reference>
          <reference field="1" count="1">
            <x v="14"/>
          </reference>
        </references>
      </pivotArea>
    </format>
    <format dxfId="1498">
      <pivotArea dataOnly="0" labelOnly="1" outline="0" fieldPosition="0">
        <references count="2">
          <reference field="0" count="1" selected="0">
            <x v="228"/>
          </reference>
          <reference field="1" count="1">
            <x v="14"/>
          </reference>
        </references>
      </pivotArea>
    </format>
    <format dxfId="1499">
      <pivotArea dataOnly="0" labelOnly="1" outline="0" fieldPosition="0">
        <references count="2">
          <reference field="0" count="1" selected="0">
            <x v="229"/>
          </reference>
          <reference field="1" count="1">
            <x v="15"/>
          </reference>
        </references>
      </pivotArea>
    </format>
    <format dxfId="1500">
      <pivotArea dataOnly="0" labelOnly="1" outline="0" fieldPosition="0">
        <references count="2">
          <reference field="0" count="1" selected="0">
            <x v="230"/>
          </reference>
          <reference field="1" count="1">
            <x v="15"/>
          </reference>
        </references>
      </pivotArea>
    </format>
    <format dxfId="1501">
      <pivotArea dataOnly="0" labelOnly="1" outline="0" fieldPosition="0">
        <references count="2">
          <reference field="0" count="1" selected="0">
            <x v="231"/>
          </reference>
          <reference field="1" count="1">
            <x v="15"/>
          </reference>
        </references>
      </pivotArea>
    </format>
    <format dxfId="1502">
      <pivotArea dataOnly="0" labelOnly="1" outline="0" fieldPosition="0">
        <references count="2">
          <reference field="0" count="1" selected="0">
            <x v="232"/>
          </reference>
          <reference field="1" count="1">
            <x v="15"/>
          </reference>
        </references>
      </pivotArea>
    </format>
    <format dxfId="1503">
      <pivotArea dataOnly="0" labelOnly="1" outline="0" fieldPosition="0">
        <references count="2">
          <reference field="0" count="1" selected="0">
            <x v="233"/>
          </reference>
          <reference field="1" count="1">
            <x v="15"/>
          </reference>
        </references>
      </pivotArea>
    </format>
    <format dxfId="1504">
      <pivotArea dataOnly="0" labelOnly="1" outline="0" fieldPosition="0">
        <references count="2">
          <reference field="0" count="1" selected="0">
            <x v="234"/>
          </reference>
          <reference field="1" count="1">
            <x v="15"/>
          </reference>
        </references>
      </pivotArea>
    </format>
    <format dxfId="1505">
      <pivotArea dataOnly="0" labelOnly="1" outline="0" fieldPosition="0">
        <references count="2">
          <reference field="0" count="1" selected="0">
            <x v="235"/>
          </reference>
          <reference field="1" count="1">
            <x v="15"/>
          </reference>
        </references>
      </pivotArea>
    </format>
    <format dxfId="1506">
      <pivotArea dataOnly="0" labelOnly="1" outline="0" fieldPosition="0">
        <references count="2">
          <reference field="0" count="1" selected="0">
            <x v="236"/>
          </reference>
          <reference field="1" count="1">
            <x v="15"/>
          </reference>
        </references>
      </pivotArea>
    </format>
    <format dxfId="1507">
      <pivotArea dataOnly="0" labelOnly="1" outline="0" fieldPosition="0">
        <references count="2">
          <reference field="0" count="1" selected="0">
            <x v="237"/>
          </reference>
          <reference field="1" count="1">
            <x v="15"/>
          </reference>
        </references>
      </pivotArea>
    </format>
    <format dxfId="1508">
      <pivotArea dataOnly="0" labelOnly="1" outline="0" fieldPosition="0">
        <references count="2">
          <reference field="0" count="1" selected="0">
            <x v="238"/>
          </reference>
          <reference field="1" count="1">
            <x v="15"/>
          </reference>
        </references>
      </pivotArea>
    </format>
    <format dxfId="1509">
      <pivotArea dataOnly="0" labelOnly="1" outline="0" fieldPosition="0">
        <references count="2">
          <reference field="0" count="1" selected="0">
            <x v="239"/>
          </reference>
          <reference field="1" count="1">
            <x v="15"/>
          </reference>
        </references>
      </pivotArea>
    </format>
    <format dxfId="1510">
      <pivotArea dataOnly="0" labelOnly="1" outline="0" fieldPosition="0">
        <references count="2">
          <reference field="0" count="1" selected="0">
            <x v="240"/>
          </reference>
          <reference field="1" count="1">
            <x v="15"/>
          </reference>
        </references>
      </pivotArea>
    </format>
    <format dxfId="1511">
      <pivotArea dataOnly="0" labelOnly="1" outline="0" fieldPosition="0">
        <references count="2">
          <reference field="0" count="1" selected="0">
            <x v="241"/>
          </reference>
          <reference field="1" count="1">
            <x v="15"/>
          </reference>
        </references>
      </pivotArea>
    </format>
    <format dxfId="1512">
      <pivotArea dataOnly="0" labelOnly="1" outline="0" fieldPosition="0">
        <references count="2">
          <reference field="0" count="1" selected="0">
            <x v="242"/>
          </reference>
          <reference field="1" count="1">
            <x v="15"/>
          </reference>
        </references>
      </pivotArea>
    </format>
    <format dxfId="1513">
      <pivotArea dataOnly="0" labelOnly="1" outline="0" fieldPosition="0">
        <references count="2">
          <reference field="0" count="1" selected="0">
            <x v="243"/>
          </reference>
          <reference field="1" count="1">
            <x v="15"/>
          </reference>
        </references>
      </pivotArea>
    </format>
    <format dxfId="1514">
      <pivotArea dataOnly="0" labelOnly="1" outline="0" fieldPosition="0">
        <references count="2">
          <reference field="0" count="1" selected="0">
            <x v="244"/>
          </reference>
          <reference field="1" count="1">
            <x v="15"/>
          </reference>
        </references>
      </pivotArea>
    </format>
    <format dxfId="1515">
      <pivotArea dataOnly="0" labelOnly="1" outline="0" fieldPosition="0">
        <references count="2">
          <reference field="0" count="1" selected="0">
            <x v="245"/>
          </reference>
          <reference field="1" count="1">
            <x v="15"/>
          </reference>
        </references>
      </pivotArea>
    </format>
    <format dxfId="1516">
      <pivotArea dataOnly="0" labelOnly="1" outline="0" fieldPosition="0">
        <references count="2">
          <reference field="0" count="1" selected="0">
            <x v="246"/>
          </reference>
          <reference field="1" count="1">
            <x v="15"/>
          </reference>
        </references>
      </pivotArea>
    </format>
    <format dxfId="1517">
      <pivotArea dataOnly="0" labelOnly="1" outline="0" fieldPosition="0">
        <references count="2">
          <reference field="0" count="1" selected="0">
            <x v="247"/>
          </reference>
          <reference field="1" count="1">
            <x v="16"/>
          </reference>
        </references>
      </pivotArea>
    </format>
    <format dxfId="1518">
      <pivotArea dataOnly="0" labelOnly="1" outline="0" fieldPosition="0">
        <references count="2">
          <reference field="0" count="1" selected="0">
            <x v="248"/>
          </reference>
          <reference field="1" count="1">
            <x v="16"/>
          </reference>
        </references>
      </pivotArea>
    </format>
    <format dxfId="1519">
      <pivotArea dataOnly="0" labelOnly="1" outline="0" fieldPosition="0">
        <references count="2">
          <reference field="0" count="1" selected="0">
            <x v="249"/>
          </reference>
          <reference field="1" count="1">
            <x v="16"/>
          </reference>
        </references>
      </pivotArea>
    </format>
    <format dxfId="1520">
      <pivotArea dataOnly="0" labelOnly="1" outline="0" fieldPosition="0">
        <references count="2">
          <reference field="0" count="1" selected="0">
            <x v="250"/>
          </reference>
          <reference field="1" count="1">
            <x v="16"/>
          </reference>
        </references>
      </pivotArea>
    </format>
    <format dxfId="1521">
      <pivotArea dataOnly="0" labelOnly="1" outline="0" fieldPosition="0">
        <references count="2">
          <reference field="0" count="1" selected="0">
            <x v="251"/>
          </reference>
          <reference field="1" count="1">
            <x v="16"/>
          </reference>
        </references>
      </pivotArea>
    </format>
    <format dxfId="1522">
      <pivotArea dataOnly="0" labelOnly="1" outline="0" fieldPosition="0">
        <references count="2">
          <reference field="0" count="1" selected="0">
            <x v="252"/>
          </reference>
          <reference field="1" count="1">
            <x v="16"/>
          </reference>
        </references>
      </pivotArea>
    </format>
    <format dxfId="1523">
      <pivotArea dataOnly="0" labelOnly="1" outline="0" fieldPosition="0">
        <references count="2">
          <reference field="0" count="1" selected="0">
            <x v="253"/>
          </reference>
          <reference field="1" count="1">
            <x v="16"/>
          </reference>
        </references>
      </pivotArea>
    </format>
    <format dxfId="1524">
      <pivotArea dataOnly="0" labelOnly="1" outline="0" fieldPosition="0">
        <references count="2">
          <reference field="0" count="1" selected="0">
            <x v="254"/>
          </reference>
          <reference field="1" count="1">
            <x v="16"/>
          </reference>
        </references>
      </pivotArea>
    </format>
    <format dxfId="1525">
      <pivotArea dataOnly="0" labelOnly="1" outline="0" fieldPosition="0">
        <references count="2">
          <reference field="0" count="1" selected="0">
            <x v="255"/>
          </reference>
          <reference field="1" count="1">
            <x v="16"/>
          </reference>
        </references>
      </pivotArea>
    </format>
    <format dxfId="1526">
      <pivotArea dataOnly="0" labelOnly="1" outline="0" fieldPosition="0">
        <references count="2">
          <reference field="0" count="1" selected="0">
            <x v="256"/>
          </reference>
          <reference field="1" count="1">
            <x v="16"/>
          </reference>
        </references>
      </pivotArea>
    </format>
    <format dxfId="1527">
      <pivotArea dataOnly="0" labelOnly="1" outline="0" fieldPosition="0">
        <references count="2">
          <reference field="0" count="1" selected="0">
            <x v="257"/>
          </reference>
          <reference field="1" count="1">
            <x v="16"/>
          </reference>
        </references>
      </pivotArea>
    </format>
    <format dxfId="1528">
      <pivotArea dataOnly="0" labelOnly="1" outline="0" fieldPosition="0">
        <references count="2">
          <reference field="0" count="1" selected="0">
            <x v="258"/>
          </reference>
          <reference field="1" count="1">
            <x v="16"/>
          </reference>
        </references>
      </pivotArea>
    </format>
    <format dxfId="1529">
      <pivotArea dataOnly="0" labelOnly="1" outline="0" fieldPosition="0">
        <references count="2">
          <reference field="0" count="1" selected="0">
            <x v="259"/>
          </reference>
          <reference field="1" count="1">
            <x v="16"/>
          </reference>
        </references>
      </pivotArea>
    </format>
    <format dxfId="1530">
      <pivotArea dataOnly="0" labelOnly="1" outline="0" fieldPosition="0">
        <references count="2">
          <reference field="0" count="1" selected="0">
            <x v="260"/>
          </reference>
          <reference field="1" count="1">
            <x v="17"/>
          </reference>
        </references>
      </pivotArea>
    </format>
    <format dxfId="1531">
      <pivotArea dataOnly="0" labelOnly="1" outline="0" fieldPosition="0">
        <references count="2">
          <reference field="0" count="1" selected="0">
            <x v="261"/>
          </reference>
          <reference field="1" count="1">
            <x v="17"/>
          </reference>
        </references>
      </pivotArea>
    </format>
    <format dxfId="1532">
      <pivotArea dataOnly="0" labelOnly="1" outline="0" fieldPosition="0">
        <references count="2">
          <reference field="0" count="1" selected="0">
            <x v="262"/>
          </reference>
          <reference field="1" count="1">
            <x v="17"/>
          </reference>
        </references>
      </pivotArea>
    </format>
    <format dxfId="1533">
      <pivotArea dataOnly="0" labelOnly="1" outline="0" fieldPosition="0">
        <references count="2">
          <reference field="0" count="1" selected="0">
            <x v="263"/>
          </reference>
          <reference field="1" count="1">
            <x v="17"/>
          </reference>
        </references>
      </pivotArea>
    </format>
    <format dxfId="1534">
      <pivotArea dataOnly="0" labelOnly="1" outline="0" fieldPosition="0">
        <references count="2">
          <reference field="0" count="1" selected="0">
            <x v="264"/>
          </reference>
          <reference field="1" count="1">
            <x v="17"/>
          </reference>
        </references>
      </pivotArea>
    </format>
    <format dxfId="1535">
      <pivotArea dataOnly="0" labelOnly="1" outline="0" fieldPosition="0">
        <references count="2">
          <reference field="0" count="1" selected="0">
            <x v="265"/>
          </reference>
          <reference field="1" count="1">
            <x v="17"/>
          </reference>
        </references>
      </pivotArea>
    </format>
    <format dxfId="1536">
      <pivotArea dataOnly="0" labelOnly="1" outline="0" fieldPosition="0">
        <references count="2">
          <reference field="0" count="1" selected="0">
            <x v="266"/>
          </reference>
          <reference field="1" count="1">
            <x v="17"/>
          </reference>
        </references>
      </pivotArea>
    </format>
    <format dxfId="1537">
      <pivotArea dataOnly="0" labelOnly="1" outline="0" fieldPosition="0">
        <references count="2">
          <reference field="0" count="1" selected="0">
            <x v="267"/>
          </reference>
          <reference field="1" count="1">
            <x v="17"/>
          </reference>
        </references>
      </pivotArea>
    </format>
    <format dxfId="1538">
      <pivotArea dataOnly="0" labelOnly="1" outline="0" fieldPosition="0">
        <references count="2">
          <reference field="0" count="1" selected="0">
            <x v="268"/>
          </reference>
          <reference field="1" count="1">
            <x v="17"/>
          </reference>
        </references>
      </pivotArea>
    </format>
    <format dxfId="1539">
      <pivotArea dataOnly="0" labelOnly="1" outline="0" fieldPosition="0">
        <references count="2">
          <reference field="0" count="1" selected="0">
            <x v="269"/>
          </reference>
          <reference field="1" count="1">
            <x v="17"/>
          </reference>
        </references>
      </pivotArea>
    </format>
    <format dxfId="1540">
      <pivotArea dataOnly="0" labelOnly="1" outline="0" fieldPosition="0">
        <references count="2">
          <reference field="0" count="1" selected="0">
            <x v="270"/>
          </reference>
          <reference field="1" count="1">
            <x v="17"/>
          </reference>
        </references>
      </pivotArea>
    </format>
    <format dxfId="1541">
      <pivotArea dataOnly="0" labelOnly="1" outline="0" fieldPosition="0">
        <references count="2">
          <reference field="0" count="1" selected="0">
            <x v="271"/>
          </reference>
          <reference field="1" count="1">
            <x v="18"/>
          </reference>
        </references>
      </pivotArea>
    </format>
    <format dxfId="1542">
      <pivotArea dataOnly="0" labelOnly="1" outline="0" fieldPosition="0">
        <references count="2">
          <reference field="0" count="1" selected="0">
            <x v="272"/>
          </reference>
          <reference field="1" count="1">
            <x v="18"/>
          </reference>
        </references>
      </pivotArea>
    </format>
    <format dxfId="1543">
      <pivotArea dataOnly="0" labelOnly="1" outline="0" fieldPosition="0">
        <references count="2">
          <reference field="0" count="1" selected="0">
            <x v="273"/>
          </reference>
          <reference field="1" count="1">
            <x v="18"/>
          </reference>
        </references>
      </pivotArea>
    </format>
    <format dxfId="1544">
      <pivotArea dataOnly="0" labelOnly="1" outline="0" fieldPosition="0">
        <references count="2">
          <reference field="0" count="1" selected="0">
            <x v="274"/>
          </reference>
          <reference field="1" count="1">
            <x v="18"/>
          </reference>
        </references>
      </pivotArea>
    </format>
    <format dxfId="1545">
      <pivotArea dataOnly="0" labelOnly="1" outline="0" fieldPosition="0">
        <references count="2">
          <reference field="0" count="1" selected="0">
            <x v="275"/>
          </reference>
          <reference field="1" count="1">
            <x v="18"/>
          </reference>
        </references>
      </pivotArea>
    </format>
    <format dxfId="1546">
      <pivotArea dataOnly="0" labelOnly="1" outline="0" fieldPosition="0">
        <references count="2">
          <reference field="0" count="1" selected="0">
            <x v="276"/>
          </reference>
          <reference field="1" count="1">
            <x v="18"/>
          </reference>
        </references>
      </pivotArea>
    </format>
    <format dxfId="1547">
      <pivotArea dataOnly="0" labelOnly="1" outline="0" fieldPosition="0">
        <references count="2">
          <reference field="0" count="1" selected="0">
            <x v="277"/>
          </reference>
          <reference field="1" count="1">
            <x v="18"/>
          </reference>
        </references>
      </pivotArea>
    </format>
    <format dxfId="1548">
      <pivotArea dataOnly="0" labelOnly="1" outline="0" fieldPosition="0">
        <references count="2">
          <reference field="0" count="1" selected="0">
            <x v="278"/>
          </reference>
          <reference field="1" count="1">
            <x v="18"/>
          </reference>
        </references>
      </pivotArea>
    </format>
    <format dxfId="1549">
      <pivotArea dataOnly="0" labelOnly="1" outline="0" fieldPosition="0">
        <references count="2">
          <reference field="0" count="1" selected="0">
            <x v="279"/>
          </reference>
          <reference field="1" count="1">
            <x v="18"/>
          </reference>
        </references>
      </pivotArea>
    </format>
    <format dxfId="1550">
      <pivotArea dataOnly="0" labelOnly="1" outline="0" fieldPosition="0">
        <references count="2">
          <reference field="0" count="1" selected="0">
            <x v="280"/>
          </reference>
          <reference field="1" count="1">
            <x v="18"/>
          </reference>
        </references>
      </pivotArea>
    </format>
    <format dxfId="1551">
      <pivotArea dataOnly="0" labelOnly="1" outline="0" fieldPosition="0">
        <references count="2">
          <reference field="0" count="1" selected="0">
            <x v="281"/>
          </reference>
          <reference field="1" count="1">
            <x v="18"/>
          </reference>
        </references>
      </pivotArea>
    </format>
    <format dxfId="1552">
      <pivotArea dataOnly="0" labelOnly="1" outline="0" fieldPosition="0">
        <references count="2">
          <reference field="0" count="1" selected="0">
            <x v="282"/>
          </reference>
          <reference field="1" count="1">
            <x v="19"/>
          </reference>
        </references>
      </pivotArea>
    </format>
    <format dxfId="1553">
      <pivotArea dataOnly="0" labelOnly="1" outline="0" fieldPosition="0">
        <references count="2">
          <reference field="0" count="1" selected="0">
            <x v="283"/>
          </reference>
          <reference field="1" count="1">
            <x v="19"/>
          </reference>
        </references>
      </pivotArea>
    </format>
    <format dxfId="1554">
      <pivotArea dataOnly="0" labelOnly="1" outline="0" fieldPosition="0">
        <references count="2">
          <reference field="0" count="1" selected="0">
            <x v="284"/>
          </reference>
          <reference field="1" count="1">
            <x v="19"/>
          </reference>
        </references>
      </pivotArea>
    </format>
    <format dxfId="1555">
      <pivotArea dataOnly="0" labelOnly="1" outline="0" fieldPosition="0">
        <references count="2">
          <reference field="0" count="1" selected="0">
            <x v="285"/>
          </reference>
          <reference field="1" count="1">
            <x v="19"/>
          </reference>
        </references>
      </pivotArea>
    </format>
    <format dxfId="1556">
      <pivotArea dataOnly="0" labelOnly="1" outline="0" fieldPosition="0">
        <references count="2">
          <reference field="0" count="1" selected="0">
            <x v="286"/>
          </reference>
          <reference field="1" count="1">
            <x v="19"/>
          </reference>
        </references>
      </pivotArea>
    </format>
    <format dxfId="1557">
      <pivotArea dataOnly="0" labelOnly="1" outline="0" fieldPosition="0">
        <references count="2">
          <reference field="0" count="1" selected="0">
            <x v="287"/>
          </reference>
          <reference field="1" count="1">
            <x v="19"/>
          </reference>
        </references>
      </pivotArea>
    </format>
    <format dxfId="1558">
      <pivotArea dataOnly="0" labelOnly="1" outline="0" fieldPosition="0">
        <references count="2">
          <reference field="0" count="1" selected="0">
            <x v="288"/>
          </reference>
          <reference field="1" count="1">
            <x v="19"/>
          </reference>
        </references>
      </pivotArea>
    </format>
    <format dxfId="1559">
      <pivotArea dataOnly="0" labelOnly="1" outline="0" fieldPosition="0">
        <references count="2">
          <reference field="0" count="1" selected="0">
            <x v="289"/>
          </reference>
          <reference field="1" count="1">
            <x v="19"/>
          </reference>
        </references>
      </pivotArea>
    </format>
    <format dxfId="1560">
      <pivotArea dataOnly="0" labelOnly="1" outline="0" fieldPosition="0">
        <references count="2">
          <reference field="0" count="1" selected="0">
            <x v="290"/>
          </reference>
          <reference field="1" count="1">
            <x v="19"/>
          </reference>
        </references>
      </pivotArea>
    </format>
    <format dxfId="1561">
      <pivotArea dataOnly="0" labelOnly="1" outline="0" fieldPosition="0">
        <references count="2">
          <reference field="0" count="1" selected="0">
            <x v="291"/>
          </reference>
          <reference field="1" count="1">
            <x v="19"/>
          </reference>
        </references>
      </pivotArea>
    </format>
    <format dxfId="1562">
      <pivotArea dataOnly="0" labelOnly="1" outline="0" fieldPosition="0">
        <references count="2">
          <reference field="0" count="1" selected="0">
            <x v="292"/>
          </reference>
          <reference field="1" count="1">
            <x v="19"/>
          </reference>
        </references>
      </pivotArea>
    </format>
    <format dxfId="1563">
      <pivotArea dataOnly="0" labelOnly="1" outline="0" fieldPosition="0">
        <references count="2">
          <reference field="0" count="1" selected="0">
            <x v="293"/>
          </reference>
          <reference field="1" count="1">
            <x v="19"/>
          </reference>
        </references>
      </pivotArea>
    </format>
    <format dxfId="1564">
      <pivotArea dataOnly="0" labelOnly="1" outline="0" fieldPosition="0">
        <references count="2">
          <reference field="0" count="1" selected="0">
            <x v="294"/>
          </reference>
          <reference field="1" count="1">
            <x v="20"/>
          </reference>
        </references>
      </pivotArea>
    </format>
    <format dxfId="1565">
      <pivotArea dataOnly="0" labelOnly="1" outline="0" fieldPosition="0">
        <references count="2">
          <reference field="0" count="1" selected="0">
            <x v="295"/>
          </reference>
          <reference field="1" count="1">
            <x v="20"/>
          </reference>
        </references>
      </pivotArea>
    </format>
    <format dxfId="1566">
      <pivotArea dataOnly="0" labelOnly="1" outline="0" fieldPosition="0">
        <references count="2">
          <reference field="0" count="1" selected="0">
            <x v="296"/>
          </reference>
          <reference field="1" count="1">
            <x v="20"/>
          </reference>
        </references>
      </pivotArea>
    </format>
    <format dxfId="1567">
      <pivotArea dataOnly="0" labelOnly="1" outline="0" fieldPosition="0">
        <references count="2">
          <reference field="0" count="1" selected="0">
            <x v="297"/>
          </reference>
          <reference field="1" count="1">
            <x v="20"/>
          </reference>
        </references>
      </pivotArea>
    </format>
    <format dxfId="1568">
      <pivotArea dataOnly="0" labelOnly="1" outline="0" fieldPosition="0">
        <references count="2">
          <reference field="0" count="1" selected="0">
            <x v="298"/>
          </reference>
          <reference field="1" count="1">
            <x v="20"/>
          </reference>
        </references>
      </pivotArea>
    </format>
    <format dxfId="1569">
      <pivotArea dataOnly="0" labelOnly="1" outline="0" fieldPosition="0">
        <references count="2">
          <reference field="0" count="1" selected="0">
            <x v="299"/>
          </reference>
          <reference field="1" count="1">
            <x v="20"/>
          </reference>
        </references>
      </pivotArea>
    </format>
    <format dxfId="1570">
      <pivotArea dataOnly="0" labelOnly="1" outline="0" fieldPosition="0">
        <references count="2">
          <reference field="0" count="1" selected="0">
            <x v="300"/>
          </reference>
          <reference field="1" count="1">
            <x v="20"/>
          </reference>
        </references>
      </pivotArea>
    </format>
    <format dxfId="1571">
      <pivotArea dataOnly="0" labelOnly="1" outline="0" fieldPosition="0">
        <references count="2">
          <reference field="0" count="1" selected="0">
            <x v="301"/>
          </reference>
          <reference field="1" count="1">
            <x v="20"/>
          </reference>
        </references>
      </pivotArea>
    </format>
    <format dxfId="1572">
      <pivotArea dataOnly="0" labelOnly="1" outline="0" fieldPosition="0">
        <references count="2">
          <reference field="0" count="1" selected="0">
            <x v="302"/>
          </reference>
          <reference field="1" count="1">
            <x v="20"/>
          </reference>
        </references>
      </pivotArea>
    </format>
    <format dxfId="1573">
      <pivotArea dataOnly="0" labelOnly="1" outline="0" fieldPosition="0">
        <references count="2">
          <reference field="0" count="1" selected="0">
            <x v="303"/>
          </reference>
          <reference field="1" count="1">
            <x v="20"/>
          </reference>
        </references>
      </pivotArea>
    </format>
    <format dxfId="1574">
      <pivotArea dataOnly="0" labelOnly="1" outline="0" fieldPosition="0">
        <references count="2">
          <reference field="0" count="1" selected="0">
            <x v="304"/>
          </reference>
          <reference field="1" count="1">
            <x v="20"/>
          </reference>
        </references>
      </pivotArea>
    </format>
    <format dxfId="1575">
      <pivotArea dataOnly="0" labelOnly="1" outline="0" fieldPosition="0">
        <references count="2">
          <reference field="0" count="1" selected="0">
            <x v="305"/>
          </reference>
          <reference field="1" count="1">
            <x v="20"/>
          </reference>
        </references>
      </pivotArea>
    </format>
    <format dxfId="1576">
      <pivotArea dataOnly="0" labelOnly="1" outline="0" fieldPosition="0">
        <references count="2">
          <reference field="0" count="1" selected="0">
            <x v="306"/>
          </reference>
          <reference field="1" count="1">
            <x v="20"/>
          </reference>
        </references>
      </pivotArea>
    </format>
    <format dxfId="1577">
      <pivotArea dataOnly="0" labelOnly="1" outline="0" fieldPosition="0">
        <references count="2">
          <reference field="0" count="1" selected="0">
            <x v="307"/>
          </reference>
          <reference field="1" count="1">
            <x v="20"/>
          </reference>
        </references>
      </pivotArea>
    </format>
    <format dxfId="1578">
      <pivotArea dataOnly="0" labelOnly="1" outline="0" fieldPosition="0">
        <references count="2">
          <reference field="0" count="1" selected="0">
            <x v="308"/>
          </reference>
          <reference field="1" count="1">
            <x v="20"/>
          </reference>
        </references>
      </pivotArea>
    </format>
    <format dxfId="1579">
      <pivotArea dataOnly="0" labelOnly="1" outline="0" fieldPosition="0">
        <references count="2">
          <reference field="0" count="1" selected="0">
            <x v="309"/>
          </reference>
          <reference field="1" count="1">
            <x v="20"/>
          </reference>
        </references>
      </pivotArea>
    </format>
    <format dxfId="1580">
      <pivotArea dataOnly="0" labelOnly="1" outline="0" fieldPosition="0">
        <references count="2">
          <reference field="0" count="1" selected="0">
            <x v="310"/>
          </reference>
          <reference field="1" count="1">
            <x v="21"/>
          </reference>
        </references>
      </pivotArea>
    </format>
    <format dxfId="1581">
      <pivotArea dataOnly="0" labelOnly="1" outline="0" fieldPosition="0">
        <references count="2">
          <reference field="0" count="1" selected="0">
            <x v="311"/>
          </reference>
          <reference field="1" count="1">
            <x v="21"/>
          </reference>
        </references>
      </pivotArea>
    </format>
    <format dxfId="1582">
      <pivotArea dataOnly="0" labelOnly="1" outline="0" fieldPosition="0">
        <references count="2">
          <reference field="0" count="1" selected="0">
            <x v="312"/>
          </reference>
          <reference field="1" count="1">
            <x v="21"/>
          </reference>
        </references>
      </pivotArea>
    </format>
    <format dxfId="1583">
      <pivotArea dataOnly="0" labelOnly="1" outline="0" fieldPosition="0">
        <references count="2">
          <reference field="0" count="1" selected="0">
            <x v="313"/>
          </reference>
          <reference field="1" count="1">
            <x v="21"/>
          </reference>
        </references>
      </pivotArea>
    </format>
    <format dxfId="1584">
      <pivotArea dataOnly="0" labelOnly="1" outline="0" fieldPosition="0">
        <references count="2">
          <reference field="0" count="1" selected="0">
            <x v="314"/>
          </reference>
          <reference field="1" count="1">
            <x v="21"/>
          </reference>
        </references>
      </pivotArea>
    </format>
    <format dxfId="1585">
      <pivotArea dataOnly="0" labelOnly="1" outline="0" fieldPosition="0">
        <references count="2">
          <reference field="0" count="1" selected="0">
            <x v="315"/>
          </reference>
          <reference field="1" count="1">
            <x v="21"/>
          </reference>
        </references>
      </pivotArea>
    </format>
    <format dxfId="1586">
      <pivotArea dataOnly="0" labelOnly="1" outline="0" fieldPosition="0">
        <references count="2">
          <reference field="0" count="1" selected="0">
            <x v="316"/>
          </reference>
          <reference field="1" count="1">
            <x v="21"/>
          </reference>
        </references>
      </pivotArea>
    </format>
    <format dxfId="1587">
      <pivotArea dataOnly="0" labelOnly="1" outline="0" fieldPosition="0">
        <references count="2">
          <reference field="0" count="1" selected="0">
            <x v="317"/>
          </reference>
          <reference field="1" count="1">
            <x v="21"/>
          </reference>
        </references>
      </pivotArea>
    </format>
    <format dxfId="1588">
      <pivotArea dataOnly="0" labelOnly="1" outline="0" fieldPosition="0">
        <references count="2">
          <reference field="0" count="1" selected="0">
            <x v="318"/>
          </reference>
          <reference field="1" count="1">
            <x v="21"/>
          </reference>
        </references>
      </pivotArea>
    </format>
    <format dxfId="1589">
      <pivotArea dataOnly="0" labelOnly="1" outline="0" fieldPosition="0">
        <references count="2">
          <reference field="0" count="1" selected="0">
            <x v="319"/>
          </reference>
          <reference field="1" count="1">
            <x v="21"/>
          </reference>
        </references>
      </pivotArea>
    </format>
    <format dxfId="1590">
      <pivotArea dataOnly="0" labelOnly="1" outline="0" fieldPosition="0">
        <references count="2">
          <reference field="0" count="1" selected="0">
            <x v="320"/>
          </reference>
          <reference field="1" count="1">
            <x v="21"/>
          </reference>
        </references>
      </pivotArea>
    </format>
    <format dxfId="1591">
      <pivotArea dataOnly="0" labelOnly="1" outline="0" fieldPosition="0">
        <references count="2">
          <reference field="0" count="1" selected="0">
            <x v="321"/>
          </reference>
          <reference field="1" count="1">
            <x v="21"/>
          </reference>
        </references>
      </pivotArea>
    </format>
    <format dxfId="1592">
      <pivotArea dataOnly="0" labelOnly="1" outline="0" fieldPosition="0">
        <references count="2">
          <reference field="0" count="1" selected="0">
            <x v="322"/>
          </reference>
          <reference field="1" count="1">
            <x v="21"/>
          </reference>
        </references>
      </pivotArea>
    </format>
    <format dxfId="1593">
      <pivotArea dataOnly="0" labelOnly="1" outline="0" fieldPosition="0">
        <references count="2">
          <reference field="0" count="1" selected="0">
            <x v="323"/>
          </reference>
          <reference field="1" count="1">
            <x v="21"/>
          </reference>
        </references>
      </pivotArea>
    </format>
    <format dxfId="1594">
      <pivotArea dataOnly="0" labelOnly="1" outline="0" fieldPosition="0">
        <references count="2">
          <reference field="0" count="1" selected="0">
            <x v="324"/>
          </reference>
          <reference field="1" count="1">
            <x v="21"/>
          </reference>
        </references>
      </pivotArea>
    </format>
    <format dxfId="1595">
      <pivotArea dataOnly="0" labelOnly="1" outline="0" fieldPosition="0">
        <references count="2">
          <reference field="0" count="1" selected="0">
            <x v="325"/>
          </reference>
          <reference field="1" count="1">
            <x v="21"/>
          </reference>
        </references>
      </pivotArea>
    </format>
    <format dxfId="1596">
      <pivotArea dataOnly="0" labelOnly="1" outline="0" fieldPosition="0">
        <references count="2">
          <reference field="0" count="1" selected="0">
            <x v="326"/>
          </reference>
          <reference field="1" count="1">
            <x v="21"/>
          </reference>
        </references>
      </pivotArea>
    </format>
    <format dxfId="1597">
      <pivotArea dataOnly="0" labelOnly="1" outline="0" fieldPosition="0">
        <references count="2">
          <reference field="0" count="1" selected="0">
            <x v="327"/>
          </reference>
          <reference field="1" count="1">
            <x v="21"/>
          </reference>
        </references>
      </pivotArea>
    </format>
    <format dxfId="1598">
      <pivotArea dataOnly="0" labelOnly="1" outline="0" fieldPosition="0">
        <references count="2">
          <reference field="0" count="1" selected="0">
            <x v="328"/>
          </reference>
          <reference field="1" count="1">
            <x v="22"/>
          </reference>
        </references>
      </pivotArea>
    </format>
    <format dxfId="1599">
      <pivotArea dataOnly="0" labelOnly="1" outline="0" fieldPosition="0">
        <references count="2">
          <reference field="0" count="1" selected="0">
            <x v="329"/>
          </reference>
          <reference field="1" count="1">
            <x v="22"/>
          </reference>
        </references>
      </pivotArea>
    </format>
    <format dxfId="1600">
      <pivotArea dataOnly="0" labelOnly="1" outline="0" fieldPosition="0">
        <references count="2">
          <reference field="0" count="1" selected="0">
            <x v="330"/>
          </reference>
          <reference field="1" count="1">
            <x v="22"/>
          </reference>
        </references>
      </pivotArea>
    </format>
    <format dxfId="1601">
      <pivotArea dataOnly="0" labelOnly="1" outline="0" fieldPosition="0">
        <references count="2">
          <reference field="0" count="1" selected="0">
            <x v="331"/>
          </reference>
          <reference field="1" count="1">
            <x v="22"/>
          </reference>
        </references>
      </pivotArea>
    </format>
    <format dxfId="1602">
      <pivotArea dataOnly="0" labelOnly="1" outline="0" fieldPosition="0">
        <references count="2">
          <reference field="0" count="1" selected="0">
            <x v="332"/>
          </reference>
          <reference field="1" count="1">
            <x v="22"/>
          </reference>
        </references>
      </pivotArea>
    </format>
    <format dxfId="1603">
      <pivotArea dataOnly="0" labelOnly="1" outline="0" fieldPosition="0">
        <references count="2">
          <reference field="0" count="1" selected="0">
            <x v="333"/>
          </reference>
          <reference field="1" count="1">
            <x v="22"/>
          </reference>
        </references>
      </pivotArea>
    </format>
    <format dxfId="1604">
      <pivotArea dataOnly="0" labelOnly="1" outline="0" fieldPosition="0">
        <references count="2">
          <reference field="0" count="1" selected="0">
            <x v="334"/>
          </reference>
          <reference field="1" count="1">
            <x v="22"/>
          </reference>
        </references>
      </pivotArea>
    </format>
    <format dxfId="1605">
      <pivotArea dataOnly="0" labelOnly="1" outline="0" fieldPosition="0">
        <references count="2">
          <reference field="0" count="1" selected="0">
            <x v="335"/>
          </reference>
          <reference field="1" count="1">
            <x v="22"/>
          </reference>
        </references>
      </pivotArea>
    </format>
    <format dxfId="1606">
      <pivotArea dataOnly="0" labelOnly="1" outline="0" fieldPosition="0">
        <references count="2">
          <reference field="0" count="1" selected="0">
            <x v="336"/>
          </reference>
          <reference field="1" count="1">
            <x v="22"/>
          </reference>
        </references>
      </pivotArea>
    </format>
    <format dxfId="1607">
      <pivotArea dataOnly="0" labelOnly="1" outline="0" fieldPosition="0">
        <references count="2">
          <reference field="0" count="1" selected="0">
            <x v="337"/>
          </reference>
          <reference field="1" count="1">
            <x v="22"/>
          </reference>
        </references>
      </pivotArea>
    </format>
    <format dxfId="1608">
      <pivotArea dataOnly="0" labelOnly="1" outline="0" fieldPosition="0">
        <references count="2">
          <reference field="0" count="1" selected="0">
            <x v="338"/>
          </reference>
          <reference field="1" count="1">
            <x v="22"/>
          </reference>
        </references>
      </pivotArea>
    </format>
    <format dxfId="1609">
      <pivotArea dataOnly="0" labelOnly="1" outline="0" fieldPosition="0">
        <references count="2">
          <reference field="0" count="1" selected="0">
            <x v="339"/>
          </reference>
          <reference field="1" count="1">
            <x v="22"/>
          </reference>
        </references>
      </pivotArea>
    </format>
    <format dxfId="1610">
      <pivotArea dataOnly="0" labelOnly="1" outline="0" fieldPosition="0">
        <references count="2">
          <reference field="0" count="1" selected="0">
            <x v="340"/>
          </reference>
          <reference field="1" count="1">
            <x v="22"/>
          </reference>
        </references>
      </pivotArea>
    </format>
    <format dxfId="1611">
      <pivotArea dataOnly="0" labelOnly="1" outline="0" fieldPosition="0">
        <references count="2">
          <reference field="0" count="1" selected="0">
            <x v="341"/>
          </reference>
          <reference field="1" count="1">
            <x v="22"/>
          </reference>
        </references>
      </pivotArea>
    </format>
    <format dxfId="1612">
      <pivotArea dataOnly="0" labelOnly="1" outline="0" fieldPosition="0">
        <references count="2">
          <reference field="0" count="1" selected="0">
            <x v="342"/>
          </reference>
          <reference field="1" count="1">
            <x v="22"/>
          </reference>
        </references>
      </pivotArea>
    </format>
    <format dxfId="1613">
      <pivotArea dataOnly="0" labelOnly="1" outline="0" fieldPosition="0">
        <references count="2">
          <reference field="0" count="1" selected="0">
            <x v="343"/>
          </reference>
          <reference field="1" count="1">
            <x v="22"/>
          </reference>
        </references>
      </pivotArea>
    </format>
    <format dxfId="1614">
      <pivotArea dataOnly="0" labelOnly="1" outline="0" fieldPosition="0">
        <references count="2">
          <reference field="0" count="1" selected="0">
            <x v="344"/>
          </reference>
          <reference field="1" count="1">
            <x v="23"/>
          </reference>
        </references>
      </pivotArea>
    </format>
    <format dxfId="1615">
      <pivotArea dataOnly="0" labelOnly="1" outline="0" fieldPosition="0">
        <references count="2">
          <reference field="0" count="1" selected="0">
            <x v="345"/>
          </reference>
          <reference field="1" count="1">
            <x v="23"/>
          </reference>
        </references>
      </pivotArea>
    </format>
    <format dxfId="1616">
      <pivotArea dataOnly="0" labelOnly="1" outline="0" fieldPosition="0">
        <references count="2">
          <reference field="0" count="1" selected="0">
            <x v="346"/>
          </reference>
          <reference field="1" count="1">
            <x v="23"/>
          </reference>
        </references>
      </pivotArea>
    </format>
    <format dxfId="1617">
      <pivotArea dataOnly="0" labelOnly="1" outline="0" fieldPosition="0">
        <references count="2">
          <reference field="0" count="1" selected="0">
            <x v="347"/>
          </reference>
          <reference field="1" count="1">
            <x v="23"/>
          </reference>
        </references>
      </pivotArea>
    </format>
    <format dxfId="1618">
      <pivotArea dataOnly="0" labelOnly="1" outline="0" fieldPosition="0">
        <references count="2">
          <reference field="0" count="1" selected="0">
            <x v="348"/>
          </reference>
          <reference field="1" count="1">
            <x v="23"/>
          </reference>
        </references>
      </pivotArea>
    </format>
    <format dxfId="1619">
      <pivotArea dataOnly="0" labelOnly="1" outline="0" fieldPosition="0">
        <references count="2">
          <reference field="0" count="1" selected="0">
            <x v="349"/>
          </reference>
          <reference field="1" count="1">
            <x v="23"/>
          </reference>
        </references>
      </pivotArea>
    </format>
    <format dxfId="1620">
      <pivotArea dataOnly="0" labelOnly="1" outline="0" fieldPosition="0">
        <references count="2">
          <reference field="0" count="1" selected="0">
            <x v="350"/>
          </reference>
          <reference field="1" count="1">
            <x v="23"/>
          </reference>
        </references>
      </pivotArea>
    </format>
    <format dxfId="1621">
      <pivotArea dataOnly="0" labelOnly="1" outline="0" fieldPosition="0">
        <references count="2">
          <reference field="0" count="1" selected="0">
            <x v="351"/>
          </reference>
          <reference field="1" count="1">
            <x v="23"/>
          </reference>
        </references>
      </pivotArea>
    </format>
    <format dxfId="1622">
      <pivotArea dataOnly="0" labelOnly="1" outline="0" fieldPosition="0">
        <references count="2">
          <reference field="0" count="1" selected="0">
            <x v="352"/>
          </reference>
          <reference field="1" count="1">
            <x v="23"/>
          </reference>
        </references>
      </pivotArea>
    </format>
    <format dxfId="1623">
      <pivotArea dataOnly="0" labelOnly="1" outline="0" fieldPosition="0">
        <references count="2">
          <reference field="0" count="1" selected="0">
            <x v="353"/>
          </reference>
          <reference field="1" count="1">
            <x v="23"/>
          </reference>
        </references>
      </pivotArea>
    </format>
    <format dxfId="1624">
      <pivotArea dataOnly="0" labelOnly="1" outline="0" fieldPosition="0">
        <references count="2">
          <reference field="0" count="1" selected="0">
            <x v="354"/>
          </reference>
          <reference field="1" count="1">
            <x v="23"/>
          </reference>
        </references>
      </pivotArea>
    </format>
    <format dxfId="1625">
      <pivotArea dataOnly="0" labelOnly="1" outline="0" fieldPosition="0">
        <references count="2">
          <reference field="0" count="1" selected="0">
            <x v="355"/>
          </reference>
          <reference field="1" count="1">
            <x v="23"/>
          </reference>
        </references>
      </pivotArea>
    </format>
    <format dxfId="1626">
      <pivotArea dataOnly="0" labelOnly="1" outline="0" fieldPosition="0">
        <references count="2">
          <reference field="0" count="1" selected="0">
            <x v="356"/>
          </reference>
          <reference field="1" count="1">
            <x v="23"/>
          </reference>
        </references>
      </pivotArea>
    </format>
    <format dxfId="1627">
      <pivotArea dataOnly="0" labelOnly="1" outline="0" fieldPosition="0">
        <references count="2">
          <reference field="0" count="1" selected="0">
            <x v="357"/>
          </reference>
          <reference field="1" count="1">
            <x v="23"/>
          </reference>
        </references>
      </pivotArea>
    </format>
    <format dxfId="1628">
      <pivotArea dataOnly="0" labelOnly="1" outline="0" fieldPosition="0">
        <references count="2">
          <reference field="0" count="1" selected="0">
            <x v="358"/>
          </reference>
          <reference field="1" count="1">
            <x v="23"/>
          </reference>
        </references>
      </pivotArea>
    </format>
    <format dxfId="1629">
      <pivotArea dataOnly="0" labelOnly="1" outline="0" fieldPosition="0">
        <references count="2">
          <reference field="0" count="1" selected="0">
            <x v="359"/>
          </reference>
          <reference field="1" count="1">
            <x v="23"/>
          </reference>
        </references>
      </pivotArea>
    </format>
    <format dxfId="1630">
      <pivotArea dataOnly="0" labelOnly="1" outline="0" fieldPosition="0">
        <references count="2">
          <reference field="0" count="1" selected="0">
            <x v="360"/>
          </reference>
          <reference field="1" count="1">
            <x v="23"/>
          </reference>
        </references>
      </pivotArea>
    </format>
    <format dxfId="1631">
      <pivotArea dataOnly="0" labelOnly="1" outline="0" fieldPosition="0">
        <references count="2">
          <reference field="0" count="1" selected="0">
            <x v="361"/>
          </reference>
          <reference field="1" count="1">
            <x v="23"/>
          </reference>
        </references>
      </pivotArea>
    </format>
    <format dxfId="1632">
      <pivotArea dataOnly="0" labelOnly="1" outline="0" fieldPosition="0">
        <references count="2">
          <reference field="0" count="1" selected="0">
            <x v="362"/>
          </reference>
          <reference field="1" count="1">
            <x v="24"/>
          </reference>
        </references>
      </pivotArea>
    </format>
    <format dxfId="1633">
      <pivotArea dataOnly="0" labelOnly="1" outline="0" fieldPosition="0">
        <references count="2">
          <reference field="0" count="1" selected="0">
            <x v="363"/>
          </reference>
          <reference field="1" count="1">
            <x v="24"/>
          </reference>
        </references>
      </pivotArea>
    </format>
    <format dxfId="1634">
      <pivotArea dataOnly="0" labelOnly="1" outline="0" fieldPosition="0">
        <references count="2">
          <reference field="0" count="1" selected="0">
            <x v="364"/>
          </reference>
          <reference field="1" count="1">
            <x v="24"/>
          </reference>
        </references>
      </pivotArea>
    </format>
    <format dxfId="1635">
      <pivotArea dataOnly="0" labelOnly="1" outline="0" fieldPosition="0">
        <references count="2">
          <reference field="0" count="1" selected="0">
            <x v="365"/>
          </reference>
          <reference field="1" count="1">
            <x v="24"/>
          </reference>
        </references>
      </pivotArea>
    </format>
    <format dxfId="1636">
      <pivotArea dataOnly="0" labelOnly="1" outline="0" fieldPosition="0">
        <references count="2">
          <reference field="0" count="1" selected="0">
            <x v="366"/>
          </reference>
          <reference field="1" count="1">
            <x v="24"/>
          </reference>
        </references>
      </pivotArea>
    </format>
    <format dxfId="1637">
      <pivotArea dataOnly="0" labelOnly="1" outline="0" fieldPosition="0">
        <references count="2">
          <reference field="0" count="1" selected="0">
            <x v="367"/>
          </reference>
          <reference field="1" count="1">
            <x v="24"/>
          </reference>
        </references>
      </pivotArea>
    </format>
    <format dxfId="1638">
      <pivotArea dataOnly="0" labelOnly="1" outline="0" fieldPosition="0">
        <references count="2">
          <reference field="0" count="1" selected="0">
            <x v="368"/>
          </reference>
          <reference field="1" count="1">
            <x v="24"/>
          </reference>
        </references>
      </pivotArea>
    </format>
    <format dxfId="1639">
      <pivotArea dataOnly="0" labelOnly="1" outline="0" fieldPosition="0">
        <references count="2">
          <reference field="0" count="1" selected="0">
            <x v="369"/>
          </reference>
          <reference field="1" count="1">
            <x v="24"/>
          </reference>
        </references>
      </pivotArea>
    </format>
    <format dxfId="1640">
      <pivotArea dataOnly="0" labelOnly="1" outline="0" fieldPosition="0">
        <references count="2">
          <reference field="0" count="1" selected="0">
            <x v="370"/>
          </reference>
          <reference field="1" count="1">
            <x v="24"/>
          </reference>
        </references>
      </pivotArea>
    </format>
    <format dxfId="1641">
      <pivotArea dataOnly="0" labelOnly="1" outline="0" fieldPosition="0">
        <references count="2">
          <reference field="0" count="1" selected="0">
            <x v="371"/>
          </reference>
          <reference field="1" count="1">
            <x v="24"/>
          </reference>
        </references>
      </pivotArea>
    </format>
    <format dxfId="1642">
      <pivotArea dataOnly="0" labelOnly="1" outline="0" fieldPosition="0">
        <references count="2">
          <reference field="0" count="1" selected="0">
            <x v="372"/>
          </reference>
          <reference field="1" count="1">
            <x v="24"/>
          </reference>
        </references>
      </pivotArea>
    </format>
    <format dxfId="1643">
      <pivotArea dataOnly="0" labelOnly="1" outline="0" fieldPosition="0">
        <references count="2">
          <reference field="0" count="1" selected="0">
            <x v="373"/>
          </reference>
          <reference field="1" count="1">
            <x v="24"/>
          </reference>
        </references>
      </pivotArea>
    </format>
    <format dxfId="1644">
      <pivotArea dataOnly="0" labelOnly="1" outline="0" fieldPosition="0">
        <references count="2">
          <reference field="0" count="1" selected="0">
            <x v="374"/>
          </reference>
          <reference field="1" count="1">
            <x v="24"/>
          </reference>
        </references>
      </pivotArea>
    </format>
    <format dxfId="1645">
      <pivotArea dataOnly="0" labelOnly="1" outline="0" fieldPosition="0">
        <references count="2">
          <reference field="0" count="1" selected="0">
            <x v="375"/>
          </reference>
          <reference field="1" count="1">
            <x v="24"/>
          </reference>
        </references>
      </pivotArea>
    </format>
    <format dxfId="1646">
      <pivotArea dataOnly="0" labelOnly="1" outline="0" fieldPosition="0">
        <references count="2">
          <reference field="0" count="1" selected="0">
            <x v="376"/>
          </reference>
          <reference field="1" count="1">
            <x v="24"/>
          </reference>
        </references>
      </pivotArea>
    </format>
    <format dxfId="1647">
      <pivotArea dataOnly="0" labelOnly="1" outline="0" fieldPosition="0">
        <references count="2">
          <reference field="0" count="1" selected="0">
            <x v="377"/>
          </reference>
          <reference field="1" count="1">
            <x v="24"/>
          </reference>
        </references>
      </pivotArea>
    </format>
    <format dxfId="1648">
      <pivotArea dataOnly="0" labelOnly="1" outline="0" fieldPosition="0">
        <references count="2">
          <reference field="0" count="1" selected="0">
            <x v="378"/>
          </reference>
          <reference field="1" count="1">
            <x v="25"/>
          </reference>
        </references>
      </pivotArea>
    </format>
    <format dxfId="1649">
      <pivotArea dataOnly="0" labelOnly="1" outline="0" fieldPosition="0">
        <references count="2">
          <reference field="0" count="1" selected="0">
            <x v="379"/>
          </reference>
          <reference field="1" count="1">
            <x v="25"/>
          </reference>
        </references>
      </pivotArea>
    </format>
    <format dxfId="1650">
      <pivotArea dataOnly="0" labelOnly="1" outline="0" fieldPosition="0">
        <references count="2">
          <reference field="0" count="1" selected="0">
            <x v="380"/>
          </reference>
          <reference field="1" count="1">
            <x v="25"/>
          </reference>
        </references>
      </pivotArea>
    </format>
    <format dxfId="1651">
      <pivotArea dataOnly="0" labelOnly="1" outline="0" fieldPosition="0">
        <references count="2">
          <reference field="0" count="1" selected="0">
            <x v="381"/>
          </reference>
          <reference field="1" count="1">
            <x v="25"/>
          </reference>
        </references>
      </pivotArea>
    </format>
    <format dxfId="1652">
      <pivotArea dataOnly="0" labelOnly="1" outline="0" fieldPosition="0">
        <references count="2">
          <reference field="0" count="1" selected="0">
            <x v="382"/>
          </reference>
          <reference field="1" count="1">
            <x v="25"/>
          </reference>
        </references>
      </pivotArea>
    </format>
    <format dxfId="1653">
      <pivotArea dataOnly="0" labelOnly="1" outline="0" fieldPosition="0">
        <references count="2">
          <reference field="0" count="1" selected="0">
            <x v="383"/>
          </reference>
          <reference field="1" count="1">
            <x v="25"/>
          </reference>
        </references>
      </pivotArea>
    </format>
    <format dxfId="1654">
      <pivotArea dataOnly="0" labelOnly="1" outline="0" fieldPosition="0">
        <references count="2">
          <reference field="0" count="1" selected="0">
            <x v="384"/>
          </reference>
          <reference field="1" count="1">
            <x v="25"/>
          </reference>
        </references>
      </pivotArea>
    </format>
    <format dxfId="1655">
      <pivotArea dataOnly="0" labelOnly="1" outline="0" fieldPosition="0">
        <references count="2">
          <reference field="0" count="1" selected="0">
            <x v="385"/>
          </reference>
          <reference field="1" count="1">
            <x v="25"/>
          </reference>
        </references>
      </pivotArea>
    </format>
    <format dxfId="1656">
      <pivotArea dataOnly="0" labelOnly="1" outline="0" fieldPosition="0">
        <references count="2">
          <reference field="0" count="1" selected="0">
            <x v="386"/>
          </reference>
          <reference field="1" count="1">
            <x v="25"/>
          </reference>
        </references>
      </pivotArea>
    </format>
    <format dxfId="1657">
      <pivotArea dataOnly="0" labelOnly="1" outline="0" fieldPosition="0">
        <references count="2">
          <reference field="0" count="1" selected="0">
            <x v="387"/>
          </reference>
          <reference field="1" count="1">
            <x v="25"/>
          </reference>
        </references>
      </pivotArea>
    </format>
    <format dxfId="1658">
      <pivotArea dataOnly="0" labelOnly="1" outline="0" fieldPosition="0">
        <references count="2">
          <reference field="0" count="1" selected="0">
            <x v="388"/>
          </reference>
          <reference field="1" count="1">
            <x v="25"/>
          </reference>
        </references>
      </pivotArea>
    </format>
    <format dxfId="1659">
      <pivotArea dataOnly="0" labelOnly="1" outline="0" fieldPosition="0">
        <references count="2">
          <reference field="0" count="1" selected="0">
            <x v="389"/>
          </reference>
          <reference field="1" count="1">
            <x v="25"/>
          </reference>
        </references>
      </pivotArea>
    </format>
    <format dxfId="1660">
      <pivotArea dataOnly="0" labelOnly="1" outline="0" fieldPosition="0">
        <references count="2">
          <reference field="0" count="1" selected="0">
            <x v="390"/>
          </reference>
          <reference field="1" count="1">
            <x v="25"/>
          </reference>
        </references>
      </pivotArea>
    </format>
    <format dxfId="1661">
      <pivotArea dataOnly="0" labelOnly="1" outline="0" fieldPosition="0">
        <references count="2">
          <reference field="0" count="1" selected="0">
            <x v="391"/>
          </reference>
          <reference field="1" count="1">
            <x v="25"/>
          </reference>
        </references>
      </pivotArea>
    </format>
    <format dxfId="1662">
      <pivotArea dataOnly="0" labelOnly="1" outline="0" fieldPosition="0">
        <references count="2">
          <reference field="0" count="1" selected="0">
            <x v="392"/>
          </reference>
          <reference field="1" count="1">
            <x v="26"/>
          </reference>
        </references>
      </pivotArea>
    </format>
    <format dxfId="1663">
      <pivotArea dataOnly="0" labelOnly="1" outline="0" fieldPosition="0">
        <references count="2">
          <reference field="0" count="1" selected="0">
            <x v="393"/>
          </reference>
          <reference field="1" count="1">
            <x v="26"/>
          </reference>
        </references>
      </pivotArea>
    </format>
    <format dxfId="1664">
      <pivotArea dataOnly="0" labelOnly="1" outline="0" fieldPosition="0">
        <references count="2">
          <reference field="0" count="1" selected="0">
            <x v="394"/>
          </reference>
          <reference field="1" count="1">
            <x v="26"/>
          </reference>
        </references>
      </pivotArea>
    </format>
    <format dxfId="1665">
      <pivotArea dataOnly="0" labelOnly="1" outline="0" fieldPosition="0">
        <references count="2">
          <reference field="0" count="1" selected="0">
            <x v="395"/>
          </reference>
          <reference field="1" count="1">
            <x v="26"/>
          </reference>
        </references>
      </pivotArea>
    </format>
    <format dxfId="1666">
      <pivotArea dataOnly="0" labelOnly="1" outline="0" fieldPosition="0">
        <references count="2">
          <reference field="0" count="1" selected="0">
            <x v="396"/>
          </reference>
          <reference field="1" count="1">
            <x v="26"/>
          </reference>
        </references>
      </pivotArea>
    </format>
    <format dxfId="1667">
      <pivotArea dataOnly="0" labelOnly="1" outline="0" fieldPosition="0">
        <references count="2">
          <reference field="0" count="1" selected="0">
            <x v="397"/>
          </reference>
          <reference field="1" count="1">
            <x v="26"/>
          </reference>
        </references>
      </pivotArea>
    </format>
    <format dxfId="1668">
      <pivotArea dataOnly="0" labelOnly="1" outline="0" fieldPosition="0">
        <references count="2">
          <reference field="0" count="1" selected="0">
            <x v="398"/>
          </reference>
          <reference field="1" count="1">
            <x v="26"/>
          </reference>
        </references>
      </pivotArea>
    </format>
    <format dxfId="1669">
      <pivotArea dataOnly="0" labelOnly="1" outline="0" fieldPosition="0">
        <references count="2">
          <reference field="0" count="1" selected="0">
            <x v="399"/>
          </reference>
          <reference field="1" count="1">
            <x v="26"/>
          </reference>
        </references>
      </pivotArea>
    </format>
    <format dxfId="1670">
      <pivotArea dataOnly="0" labelOnly="1" outline="0" fieldPosition="0">
        <references count="2">
          <reference field="0" count="1" selected="0">
            <x v="400"/>
          </reference>
          <reference field="1" count="1">
            <x v="26"/>
          </reference>
        </references>
      </pivotArea>
    </format>
    <format dxfId="1671">
      <pivotArea dataOnly="0" labelOnly="1" outline="0" fieldPosition="0">
        <references count="2">
          <reference field="0" count="1" selected="0">
            <x v="401"/>
          </reference>
          <reference field="1" count="1">
            <x v="26"/>
          </reference>
        </references>
      </pivotArea>
    </format>
    <format dxfId="1672">
      <pivotArea dataOnly="0" labelOnly="1" outline="0" fieldPosition="0">
        <references count="2">
          <reference field="0" count="1" selected="0">
            <x v="402"/>
          </reference>
          <reference field="1" count="1">
            <x v="26"/>
          </reference>
        </references>
      </pivotArea>
    </format>
    <format dxfId="1673">
      <pivotArea dataOnly="0" labelOnly="1" outline="0" fieldPosition="0">
        <references count="2">
          <reference field="0" count="1" selected="0">
            <x v="403"/>
          </reference>
          <reference field="1" count="1">
            <x v="26"/>
          </reference>
        </references>
      </pivotArea>
    </format>
    <format dxfId="1674">
      <pivotArea dataOnly="0" labelOnly="1" outline="0" fieldPosition="0">
        <references count="2">
          <reference field="0" count="1" selected="0">
            <x v="404"/>
          </reference>
          <reference field="1" count="1">
            <x v="26"/>
          </reference>
        </references>
      </pivotArea>
    </format>
    <format dxfId="1675">
      <pivotArea dataOnly="0" labelOnly="1" outline="0" fieldPosition="0">
        <references count="2">
          <reference field="0" count="1" selected="0">
            <x v="405"/>
          </reference>
          <reference field="1" count="1">
            <x v="27"/>
          </reference>
        </references>
      </pivotArea>
    </format>
    <format dxfId="1676">
      <pivotArea dataOnly="0" labelOnly="1" outline="0" fieldPosition="0">
        <references count="2">
          <reference field="0" count="1" selected="0">
            <x v="406"/>
          </reference>
          <reference field="1" count="1">
            <x v="27"/>
          </reference>
        </references>
      </pivotArea>
    </format>
    <format dxfId="1677">
      <pivotArea dataOnly="0" labelOnly="1" outline="0" fieldPosition="0">
        <references count="2">
          <reference field="0" count="1" selected="0">
            <x v="407"/>
          </reference>
          <reference field="1" count="1">
            <x v="27"/>
          </reference>
        </references>
      </pivotArea>
    </format>
    <format dxfId="1678">
      <pivotArea dataOnly="0" labelOnly="1" outline="0" fieldPosition="0">
        <references count="2">
          <reference field="0" count="1" selected="0">
            <x v="408"/>
          </reference>
          <reference field="1" count="1">
            <x v="27"/>
          </reference>
        </references>
      </pivotArea>
    </format>
    <format dxfId="1679">
      <pivotArea dataOnly="0" labelOnly="1" outline="0" fieldPosition="0">
        <references count="2">
          <reference field="0" count="1" selected="0">
            <x v="409"/>
          </reference>
          <reference field="1" count="1">
            <x v="27"/>
          </reference>
        </references>
      </pivotArea>
    </format>
    <format dxfId="1680">
      <pivotArea dataOnly="0" labelOnly="1" outline="0" fieldPosition="0">
        <references count="2">
          <reference field="0" count="1" selected="0">
            <x v="410"/>
          </reference>
          <reference field="1" count="1">
            <x v="27"/>
          </reference>
        </references>
      </pivotArea>
    </format>
    <format dxfId="1681">
      <pivotArea dataOnly="0" labelOnly="1" outline="0" fieldPosition="0">
        <references count="2">
          <reference field="0" count="1" selected="0">
            <x v="411"/>
          </reference>
          <reference field="1" count="1">
            <x v="27"/>
          </reference>
        </references>
      </pivotArea>
    </format>
    <format dxfId="1682">
      <pivotArea dataOnly="0" labelOnly="1" outline="0" fieldPosition="0">
        <references count="2">
          <reference field="0" count="1" selected="0">
            <x v="412"/>
          </reference>
          <reference field="1" count="1">
            <x v="27"/>
          </reference>
        </references>
      </pivotArea>
    </format>
    <format dxfId="1683">
      <pivotArea dataOnly="0" labelOnly="1" outline="0" fieldPosition="0">
        <references count="2">
          <reference field="0" count="1" selected="0">
            <x v="413"/>
          </reference>
          <reference field="1" count="1">
            <x v="27"/>
          </reference>
        </references>
      </pivotArea>
    </format>
    <format dxfId="1684">
      <pivotArea dataOnly="0" labelOnly="1" outline="0" fieldPosition="0">
        <references count="2">
          <reference field="0" count="1" selected="0">
            <x v="414"/>
          </reference>
          <reference field="1" count="1">
            <x v="27"/>
          </reference>
        </references>
      </pivotArea>
    </format>
    <format dxfId="1685">
      <pivotArea dataOnly="0" labelOnly="1" outline="0" fieldPosition="0">
        <references count="2">
          <reference field="0" count="1" selected="0">
            <x v="415"/>
          </reference>
          <reference field="1" count="1">
            <x v="27"/>
          </reference>
        </references>
      </pivotArea>
    </format>
    <format dxfId="1686">
      <pivotArea dataOnly="0" labelOnly="1" outline="0" fieldPosition="0">
        <references count="2">
          <reference field="0" count="1" selected="0">
            <x v="416"/>
          </reference>
          <reference field="1" count="1">
            <x v="27"/>
          </reference>
        </references>
      </pivotArea>
    </format>
    <format dxfId="1687">
      <pivotArea dataOnly="0" labelOnly="1" outline="0" fieldPosition="0">
        <references count="2">
          <reference field="0" count="1" selected="0">
            <x v="417"/>
          </reference>
          <reference field="1" count="1">
            <x v="27"/>
          </reference>
        </references>
      </pivotArea>
    </format>
    <format dxfId="1688">
      <pivotArea dataOnly="0" labelOnly="1" outline="0" fieldPosition="0">
        <references count="2">
          <reference field="0" count="1" selected="0">
            <x v="418"/>
          </reference>
          <reference field="1" count="1">
            <x v="27"/>
          </reference>
        </references>
      </pivotArea>
    </format>
    <format dxfId="1689">
      <pivotArea dataOnly="0" labelOnly="1" outline="0" fieldPosition="0">
        <references count="2">
          <reference field="0" count="1" selected="0">
            <x v="419"/>
          </reference>
          <reference field="1" count="1">
            <x v="27"/>
          </reference>
        </references>
      </pivotArea>
    </format>
    <format dxfId="1690">
      <pivotArea dataOnly="0" labelOnly="1" outline="0" fieldPosition="0">
        <references count="2">
          <reference field="0" count="1" selected="0">
            <x v="420"/>
          </reference>
          <reference field="1" count="1">
            <x v="27"/>
          </reference>
        </references>
      </pivotArea>
    </format>
    <format dxfId="1691">
      <pivotArea dataOnly="0" labelOnly="1" outline="0" fieldPosition="0">
        <references count="2">
          <reference field="0" count="1" selected="0">
            <x v="421"/>
          </reference>
          <reference field="1" count="1">
            <x v="28"/>
          </reference>
        </references>
      </pivotArea>
    </format>
    <format dxfId="1692">
      <pivotArea dataOnly="0" labelOnly="1" outline="0" fieldPosition="0">
        <references count="2">
          <reference field="0" count="1" selected="0">
            <x v="422"/>
          </reference>
          <reference field="1" count="1">
            <x v="28"/>
          </reference>
        </references>
      </pivotArea>
    </format>
    <format dxfId="1693">
      <pivotArea dataOnly="0" labelOnly="1" outline="0" fieldPosition="0">
        <references count="2">
          <reference field="0" count="1" selected="0">
            <x v="423"/>
          </reference>
          <reference field="1" count="1">
            <x v="28"/>
          </reference>
        </references>
      </pivotArea>
    </format>
    <format dxfId="1694">
      <pivotArea dataOnly="0" labelOnly="1" outline="0" fieldPosition="0">
        <references count="2">
          <reference field="0" count="1" selected="0">
            <x v="424"/>
          </reference>
          <reference field="1" count="1">
            <x v="28"/>
          </reference>
        </references>
      </pivotArea>
    </format>
    <format dxfId="1695">
      <pivotArea dataOnly="0" labelOnly="1" outline="0" fieldPosition="0">
        <references count="2">
          <reference field="0" count="1" selected="0">
            <x v="425"/>
          </reference>
          <reference field="1" count="1">
            <x v="28"/>
          </reference>
        </references>
      </pivotArea>
    </format>
    <format dxfId="1696">
      <pivotArea dataOnly="0" labelOnly="1" outline="0" fieldPosition="0">
        <references count="2">
          <reference field="0" count="1" selected="0">
            <x v="426"/>
          </reference>
          <reference field="1" count="1">
            <x v="28"/>
          </reference>
        </references>
      </pivotArea>
    </format>
    <format dxfId="1697">
      <pivotArea dataOnly="0" labelOnly="1" outline="0" fieldPosition="0">
        <references count="2">
          <reference field="0" count="1" selected="0">
            <x v="427"/>
          </reference>
          <reference field="1" count="1">
            <x v="28"/>
          </reference>
        </references>
      </pivotArea>
    </format>
    <format dxfId="1698">
      <pivotArea dataOnly="0" labelOnly="1" outline="0" fieldPosition="0">
        <references count="2">
          <reference field="0" count="1" selected="0">
            <x v="428"/>
          </reference>
          <reference field="1" count="1">
            <x v="28"/>
          </reference>
        </references>
      </pivotArea>
    </format>
    <format dxfId="1699">
      <pivotArea dataOnly="0" labelOnly="1" outline="0" fieldPosition="0">
        <references count="2">
          <reference field="0" count="1" selected="0">
            <x v="429"/>
          </reference>
          <reference field="1" count="1">
            <x v="28"/>
          </reference>
        </references>
      </pivotArea>
    </format>
    <format dxfId="1700">
      <pivotArea dataOnly="0" labelOnly="1" outline="0" fieldPosition="0">
        <references count="2">
          <reference field="0" count="1" selected="0">
            <x v="430"/>
          </reference>
          <reference field="1" count="1">
            <x v="28"/>
          </reference>
        </references>
      </pivotArea>
    </format>
    <format dxfId="1701">
      <pivotArea dataOnly="0" labelOnly="1" outline="0" fieldPosition="0">
        <references count="2">
          <reference field="0" count="1" selected="0">
            <x v="431"/>
          </reference>
          <reference field="1" count="1">
            <x v="28"/>
          </reference>
        </references>
      </pivotArea>
    </format>
    <format dxfId="1702">
      <pivotArea dataOnly="0" labelOnly="1" outline="0" fieldPosition="0">
        <references count="2">
          <reference field="0" count="1" selected="0">
            <x v="432"/>
          </reference>
          <reference field="1" count="1">
            <x v="28"/>
          </reference>
        </references>
      </pivotArea>
    </format>
    <format dxfId="1703">
      <pivotArea dataOnly="0" labelOnly="1" outline="0" fieldPosition="0">
        <references count="2">
          <reference field="0" count="1" selected="0">
            <x v="433"/>
          </reference>
          <reference field="1" count="1">
            <x v="28"/>
          </reference>
        </references>
      </pivotArea>
    </format>
    <format dxfId="1704">
      <pivotArea dataOnly="0" labelOnly="1" outline="0" fieldPosition="0">
        <references count="2">
          <reference field="0" count="1" selected="0">
            <x v="434"/>
          </reference>
          <reference field="1" count="1">
            <x v="29"/>
          </reference>
        </references>
      </pivotArea>
    </format>
    <format dxfId="1705">
      <pivotArea dataOnly="0" labelOnly="1" outline="0" fieldPosition="0">
        <references count="2">
          <reference field="0" count="1" selected="0">
            <x v="435"/>
          </reference>
          <reference field="1" count="1">
            <x v="29"/>
          </reference>
        </references>
      </pivotArea>
    </format>
    <format dxfId="1706">
      <pivotArea dataOnly="0" labelOnly="1" outline="0" fieldPosition="0">
        <references count="2">
          <reference field="0" count="1" selected="0">
            <x v="436"/>
          </reference>
          <reference field="1" count="1">
            <x v="29"/>
          </reference>
        </references>
      </pivotArea>
    </format>
    <format dxfId="1707">
      <pivotArea dataOnly="0" labelOnly="1" outline="0" fieldPosition="0">
        <references count="2">
          <reference field="0" count="1" selected="0">
            <x v="437"/>
          </reference>
          <reference field="1" count="1">
            <x v="29"/>
          </reference>
        </references>
      </pivotArea>
    </format>
    <format dxfId="1708">
      <pivotArea dataOnly="0" labelOnly="1" outline="0" fieldPosition="0">
        <references count="2">
          <reference field="0" count="1" selected="0">
            <x v="438"/>
          </reference>
          <reference field="1" count="1">
            <x v="29"/>
          </reference>
        </references>
      </pivotArea>
    </format>
    <format dxfId="1709">
      <pivotArea dataOnly="0" labelOnly="1" outline="0" fieldPosition="0">
        <references count="2">
          <reference field="0" count="1" selected="0">
            <x v="439"/>
          </reference>
          <reference field="1" count="1">
            <x v="29"/>
          </reference>
        </references>
      </pivotArea>
    </format>
    <format dxfId="1710">
      <pivotArea dataOnly="0" labelOnly="1" outline="0" fieldPosition="0">
        <references count="2">
          <reference field="0" count="1" selected="0">
            <x v="440"/>
          </reference>
          <reference field="1" count="1">
            <x v="29"/>
          </reference>
        </references>
      </pivotArea>
    </format>
    <format dxfId="1711">
      <pivotArea dataOnly="0" labelOnly="1" outline="0" fieldPosition="0">
        <references count="2">
          <reference field="0" count="1" selected="0">
            <x v="441"/>
          </reference>
          <reference field="1" count="1">
            <x v="29"/>
          </reference>
        </references>
      </pivotArea>
    </format>
    <format dxfId="1712">
      <pivotArea dataOnly="0" labelOnly="1" outline="0" fieldPosition="0">
        <references count="2">
          <reference field="0" count="1" selected="0">
            <x v="442"/>
          </reference>
          <reference field="1" count="1">
            <x v="29"/>
          </reference>
        </references>
      </pivotArea>
    </format>
    <format dxfId="1713">
      <pivotArea dataOnly="0" labelOnly="1" outline="0" fieldPosition="0">
        <references count="2">
          <reference field="0" count="1" selected="0">
            <x v="443"/>
          </reference>
          <reference field="1" count="1">
            <x v="29"/>
          </reference>
        </references>
      </pivotArea>
    </format>
    <format dxfId="1714">
      <pivotArea dataOnly="0" labelOnly="1" outline="0" fieldPosition="0">
        <references count="2">
          <reference field="0" count="1" selected="0">
            <x v="444"/>
          </reference>
          <reference field="1" count="1">
            <x v="29"/>
          </reference>
        </references>
      </pivotArea>
    </format>
    <format dxfId="1715">
      <pivotArea dataOnly="0" labelOnly="1" outline="0" fieldPosition="0">
        <references count="2">
          <reference field="0" count="1" selected="0">
            <x v="445"/>
          </reference>
          <reference field="1" count="1">
            <x v="29"/>
          </reference>
        </references>
      </pivotArea>
    </format>
    <format dxfId="1716">
      <pivotArea dataOnly="0" labelOnly="1" outline="0" fieldPosition="0">
        <references count="2">
          <reference field="0" count="1" selected="0">
            <x v="446"/>
          </reference>
          <reference field="1" count="1">
            <x v="29"/>
          </reference>
        </references>
      </pivotArea>
    </format>
    <format dxfId="1717">
      <pivotArea dataOnly="0" labelOnly="1" outline="0" fieldPosition="0">
        <references count="2">
          <reference field="0" count="1" selected="0">
            <x v="447"/>
          </reference>
          <reference field="1" count="1">
            <x v="29"/>
          </reference>
        </references>
      </pivotArea>
    </format>
    <format dxfId="1718">
      <pivotArea dataOnly="0" labelOnly="1" outline="0" fieldPosition="0">
        <references count="2">
          <reference field="0" count="1" selected="0">
            <x v="448"/>
          </reference>
          <reference field="1" count="1">
            <x v="29"/>
          </reference>
        </references>
      </pivotArea>
    </format>
    <format dxfId="1719">
      <pivotArea dataOnly="0" labelOnly="1" outline="0" fieldPosition="0">
        <references count="2">
          <reference field="0" count="1" selected="0">
            <x v="449"/>
          </reference>
          <reference field="1" count="1">
            <x v="29"/>
          </reference>
        </references>
      </pivotArea>
    </format>
    <format dxfId="1720">
      <pivotArea dataOnly="0" labelOnly="1" outline="0" fieldPosition="0">
        <references count="2">
          <reference field="0" count="1" selected="0">
            <x v="450"/>
          </reference>
          <reference field="1" count="1">
            <x v="29"/>
          </reference>
        </references>
      </pivotArea>
    </format>
    <format dxfId="1721">
      <pivotArea dataOnly="0" labelOnly="1" outline="0" fieldPosition="0">
        <references count="2">
          <reference field="0" count="1" selected="0">
            <x v="451"/>
          </reference>
          <reference field="1" count="1">
            <x v="29"/>
          </reference>
        </references>
      </pivotArea>
    </format>
    <format dxfId="1722">
      <pivotArea dataOnly="0" labelOnly="1" outline="0" fieldPosition="0">
        <references count="2">
          <reference field="0" count="1" selected="0">
            <x v="452"/>
          </reference>
          <reference field="1" count="1">
            <x v="30"/>
          </reference>
        </references>
      </pivotArea>
    </format>
    <format dxfId="1723">
      <pivotArea dataOnly="0" labelOnly="1" outline="0" fieldPosition="0">
        <references count="2">
          <reference field="0" count="1" selected="0">
            <x v="453"/>
          </reference>
          <reference field="1" count="1">
            <x v="30"/>
          </reference>
        </references>
      </pivotArea>
    </format>
    <format dxfId="1724">
      <pivotArea dataOnly="0" labelOnly="1" outline="0" fieldPosition="0">
        <references count="2">
          <reference field="0" count="1" selected="0">
            <x v="454"/>
          </reference>
          <reference field="1" count="1">
            <x v="30"/>
          </reference>
        </references>
      </pivotArea>
    </format>
    <format dxfId="1725">
      <pivotArea dataOnly="0" labelOnly="1" outline="0" fieldPosition="0">
        <references count="2">
          <reference field="0" count="1" selected="0">
            <x v="455"/>
          </reference>
          <reference field="1" count="1">
            <x v="30"/>
          </reference>
        </references>
      </pivotArea>
    </format>
    <format dxfId="1726">
      <pivotArea dataOnly="0" labelOnly="1" outline="0" fieldPosition="0">
        <references count="2">
          <reference field="0" count="1" selected="0">
            <x v="456"/>
          </reference>
          <reference field="1" count="1">
            <x v="30"/>
          </reference>
        </references>
      </pivotArea>
    </format>
    <format dxfId="1727">
      <pivotArea dataOnly="0" labelOnly="1" outline="0" fieldPosition="0">
        <references count="2">
          <reference field="0" count="1" selected="0">
            <x v="457"/>
          </reference>
          <reference field="1" count="1">
            <x v="30"/>
          </reference>
        </references>
      </pivotArea>
    </format>
    <format dxfId="1728">
      <pivotArea dataOnly="0" labelOnly="1" outline="0" fieldPosition="0">
        <references count="2">
          <reference field="0" count="1" selected="0">
            <x v="458"/>
          </reference>
          <reference field="1" count="1">
            <x v="30"/>
          </reference>
        </references>
      </pivotArea>
    </format>
    <format dxfId="1729">
      <pivotArea dataOnly="0" labelOnly="1" outline="0" fieldPosition="0">
        <references count="2">
          <reference field="0" count="1" selected="0">
            <x v="459"/>
          </reference>
          <reference field="1" count="1">
            <x v="30"/>
          </reference>
        </references>
      </pivotArea>
    </format>
    <format dxfId="1730">
      <pivotArea dataOnly="0" labelOnly="1" outline="0" fieldPosition="0">
        <references count="2">
          <reference field="0" count="1" selected="0">
            <x v="460"/>
          </reference>
          <reference field="1" count="1">
            <x v="30"/>
          </reference>
        </references>
      </pivotArea>
    </format>
    <format dxfId="1731">
      <pivotArea dataOnly="0" labelOnly="1" outline="0" fieldPosition="0">
        <references count="2">
          <reference field="0" count="1" selected="0">
            <x v="461"/>
          </reference>
          <reference field="1" count="1">
            <x v="30"/>
          </reference>
        </references>
      </pivotArea>
    </format>
    <format dxfId="1732">
      <pivotArea dataOnly="0" labelOnly="1" outline="0" fieldPosition="0">
        <references count="2">
          <reference field="0" count="1" selected="0">
            <x v="462"/>
          </reference>
          <reference field="1" count="1">
            <x v="30"/>
          </reference>
        </references>
      </pivotArea>
    </format>
    <format dxfId="1733">
      <pivotArea dataOnly="0" labelOnly="1" outline="0" fieldPosition="0">
        <references count="2">
          <reference field="0" count="1" selected="0">
            <x v="463"/>
          </reference>
          <reference field="1" count="1">
            <x v="30"/>
          </reference>
        </references>
      </pivotArea>
    </format>
    <format dxfId="1734">
      <pivotArea dataOnly="0" labelOnly="1" outline="0" fieldPosition="0">
        <references count="2">
          <reference field="0" count="1" selected="0">
            <x v="464"/>
          </reference>
          <reference field="1" count="1">
            <x v="31"/>
          </reference>
        </references>
      </pivotArea>
    </format>
    <format dxfId="1735">
      <pivotArea dataOnly="0" labelOnly="1" outline="0" fieldPosition="0">
        <references count="2">
          <reference field="0" count="1" selected="0">
            <x v="465"/>
          </reference>
          <reference field="1" count="1">
            <x v="31"/>
          </reference>
        </references>
      </pivotArea>
    </format>
    <format dxfId="1736">
      <pivotArea dataOnly="0" labelOnly="1" outline="0" fieldPosition="0">
        <references count="2">
          <reference field="0" count="1" selected="0">
            <x v="466"/>
          </reference>
          <reference field="1" count="1">
            <x v="31"/>
          </reference>
        </references>
      </pivotArea>
    </format>
    <format dxfId="1737">
      <pivotArea dataOnly="0" labelOnly="1" outline="0" fieldPosition="0">
        <references count="2">
          <reference field="0" count="1" selected="0">
            <x v="467"/>
          </reference>
          <reference field="1" count="1">
            <x v="31"/>
          </reference>
        </references>
      </pivotArea>
    </format>
    <format dxfId="1738">
      <pivotArea dataOnly="0" labelOnly="1" outline="0" fieldPosition="0">
        <references count="2">
          <reference field="0" count="1" selected="0">
            <x v="468"/>
          </reference>
          <reference field="1" count="1">
            <x v="31"/>
          </reference>
        </references>
      </pivotArea>
    </format>
    <format dxfId="1739">
      <pivotArea dataOnly="0" labelOnly="1" outline="0" fieldPosition="0">
        <references count="2">
          <reference field="0" count="1" selected="0">
            <x v="469"/>
          </reference>
          <reference field="1" count="1">
            <x v="31"/>
          </reference>
        </references>
      </pivotArea>
    </format>
    <format dxfId="1740">
      <pivotArea dataOnly="0" labelOnly="1" outline="0" fieldPosition="0">
        <references count="2">
          <reference field="0" count="1" selected="0">
            <x v="470"/>
          </reference>
          <reference field="1" count="1">
            <x v="31"/>
          </reference>
        </references>
      </pivotArea>
    </format>
    <format dxfId="1741">
      <pivotArea dataOnly="0" labelOnly="1" outline="0" fieldPosition="0">
        <references count="2">
          <reference field="0" count="1" selected="0">
            <x v="471"/>
          </reference>
          <reference field="1" count="1">
            <x v="31"/>
          </reference>
        </references>
      </pivotArea>
    </format>
    <format dxfId="1742">
      <pivotArea dataOnly="0" labelOnly="1" outline="0" fieldPosition="0">
        <references count="2">
          <reference field="0" count="1" selected="0">
            <x v="472"/>
          </reference>
          <reference field="1" count="1">
            <x v="31"/>
          </reference>
        </references>
      </pivotArea>
    </format>
    <format dxfId="1743">
      <pivotArea dataOnly="0" labelOnly="1" outline="0" fieldPosition="0">
        <references count="2">
          <reference field="0" count="1" selected="0">
            <x v="473"/>
          </reference>
          <reference field="1" count="1">
            <x v="31"/>
          </reference>
        </references>
      </pivotArea>
    </format>
    <format dxfId="1744">
      <pivotArea dataOnly="0" labelOnly="1" outline="0" fieldPosition="0">
        <references count="2">
          <reference field="0" count="1" selected="0">
            <x v="474"/>
          </reference>
          <reference field="1" count="1">
            <x v="31"/>
          </reference>
        </references>
      </pivotArea>
    </format>
    <format dxfId="1745">
      <pivotArea dataOnly="0" labelOnly="1" outline="0" fieldPosition="0">
        <references count="2">
          <reference field="0" count="1" selected="0">
            <x v="475"/>
          </reference>
          <reference field="1" count="1">
            <x v="31"/>
          </reference>
        </references>
      </pivotArea>
    </format>
    <format dxfId="1746">
      <pivotArea dataOnly="0" labelOnly="1" outline="0" fieldPosition="0">
        <references count="2">
          <reference field="0" count="1" selected="0">
            <x v="476"/>
          </reference>
          <reference field="1" count="1">
            <x v="31"/>
          </reference>
        </references>
      </pivotArea>
    </format>
    <format dxfId="1747">
      <pivotArea dataOnly="0" labelOnly="1" outline="0" fieldPosition="0">
        <references count="2">
          <reference field="0" count="1" selected="0">
            <x v="477"/>
          </reference>
          <reference field="1" count="1">
            <x v="31"/>
          </reference>
        </references>
      </pivotArea>
    </format>
    <format dxfId="1748">
      <pivotArea dataOnly="0" labelOnly="1" outline="0" fieldPosition="0">
        <references count="2">
          <reference field="0" count="1" selected="0">
            <x v="478"/>
          </reference>
          <reference field="1" count="1">
            <x v="31"/>
          </reference>
        </references>
      </pivotArea>
    </format>
    <format dxfId="1749">
      <pivotArea dataOnly="0" labelOnly="1" outline="0" fieldPosition="0">
        <references count="2">
          <reference field="0" count="1" selected="0">
            <x v="479"/>
          </reference>
          <reference field="1" count="1">
            <x v="32"/>
          </reference>
        </references>
      </pivotArea>
    </format>
    <format dxfId="1750">
      <pivotArea dataOnly="0" labelOnly="1" outline="0" fieldPosition="0">
        <references count="2">
          <reference field="0" count="1" selected="0">
            <x v="480"/>
          </reference>
          <reference field="1" count="1">
            <x v="32"/>
          </reference>
        </references>
      </pivotArea>
    </format>
    <format dxfId="1751">
      <pivotArea dataOnly="0" labelOnly="1" outline="0" fieldPosition="0">
        <references count="2">
          <reference field="0" count="1" selected="0">
            <x v="481"/>
          </reference>
          <reference field="1" count="1">
            <x v="32"/>
          </reference>
        </references>
      </pivotArea>
    </format>
    <format dxfId="1752">
      <pivotArea dataOnly="0" labelOnly="1" outline="0" fieldPosition="0">
        <references count="2">
          <reference field="0" count="1" selected="0">
            <x v="482"/>
          </reference>
          <reference field="1" count="1">
            <x v="32"/>
          </reference>
        </references>
      </pivotArea>
    </format>
    <format dxfId="1753">
      <pivotArea dataOnly="0" labelOnly="1" outline="0" fieldPosition="0">
        <references count="2">
          <reference field="0" count="1" selected="0">
            <x v="483"/>
          </reference>
          <reference field="1" count="1">
            <x v="32"/>
          </reference>
        </references>
      </pivotArea>
    </format>
    <format dxfId="1754">
      <pivotArea dataOnly="0" labelOnly="1" outline="0" fieldPosition="0">
        <references count="2">
          <reference field="0" count="1" selected="0">
            <x v="484"/>
          </reference>
          <reference field="1" count="1">
            <x v="32"/>
          </reference>
        </references>
      </pivotArea>
    </format>
    <format dxfId="1755">
      <pivotArea dataOnly="0" labelOnly="1" outline="0" fieldPosition="0">
        <references count="2">
          <reference field="0" count="1" selected="0">
            <x v="485"/>
          </reference>
          <reference field="1" count="1">
            <x v="32"/>
          </reference>
        </references>
      </pivotArea>
    </format>
    <format dxfId="1756">
      <pivotArea dataOnly="0" labelOnly="1" outline="0" fieldPosition="0">
        <references count="2">
          <reference field="0" count="1" selected="0">
            <x v="486"/>
          </reference>
          <reference field="1" count="1">
            <x v="32"/>
          </reference>
        </references>
      </pivotArea>
    </format>
    <format dxfId="1757">
      <pivotArea dataOnly="0" labelOnly="1" outline="0" fieldPosition="0">
        <references count="2">
          <reference field="0" count="1" selected="0">
            <x v="487"/>
          </reference>
          <reference field="1" count="1">
            <x v="32"/>
          </reference>
        </references>
      </pivotArea>
    </format>
    <format dxfId="1758">
      <pivotArea dataOnly="0" labelOnly="1" outline="0" fieldPosition="0">
        <references count="2">
          <reference field="0" count="1" selected="0">
            <x v="488"/>
          </reference>
          <reference field="1" count="1">
            <x v="32"/>
          </reference>
        </references>
      </pivotArea>
    </format>
    <format dxfId="1759">
      <pivotArea dataOnly="0" labelOnly="1" outline="0" fieldPosition="0">
        <references count="2">
          <reference field="0" count="1" selected="0">
            <x v="489"/>
          </reference>
          <reference field="1" count="1">
            <x v="32"/>
          </reference>
        </references>
      </pivotArea>
    </format>
    <format dxfId="1760">
      <pivotArea dataOnly="0" labelOnly="1" outline="0" fieldPosition="0">
        <references count="2">
          <reference field="0" count="1" selected="0">
            <x v="490"/>
          </reference>
          <reference field="1" count="1">
            <x v="32"/>
          </reference>
        </references>
      </pivotArea>
    </format>
    <format dxfId="1761">
      <pivotArea dataOnly="0" labelOnly="1" outline="0" fieldPosition="0">
        <references count="2">
          <reference field="0" count="1" selected="0">
            <x v="491"/>
          </reference>
          <reference field="1" count="1">
            <x v="32"/>
          </reference>
        </references>
      </pivotArea>
    </format>
    <format dxfId="1762">
      <pivotArea dataOnly="0" labelOnly="1" outline="0" fieldPosition="0">
        <references count="2">
          <reference field="0" count="1" selected="0">
            <x v="492"/>
          </reference>
          <reference field="1" count="1">
            <x v="32"/>
          </reference>
        </references>
      </pivotArea>
    </format>
    <format dxfId="1763">
      <pivotArea dataOnly="0" labelOnly="1" outline="0" fieldPosition="0">
        <references count="2">
          <reference field="0" count="1" selected="0">
            <x v="493"/>
          </reference>
          <reference field="1" count="1">
            <x v="32"/>
          </reference>
        </references>
      </pivotArea>
    </format>
    <format dxfId="1764">
      <pivotArea dataOnly="0" labelOnly="1" outline="0" fieldPosition="0">
        <references count="2">
          <reference field="0" count="1" selected="0">
            <x v="494"/>
          </reference>
          <reference field="1" count="1">
            <x v="32"/>
          </reference>
        </references>
      </pivotArea>
    </format>
    <format dxfId="1765">
      <pivotArea dataOnly="0" labelOnly="1" outline="0" fieldPosition="0">
        <references count="2">
          <reference field="0" count="1" selected="0">
            <x v="495"/>
          </reference>
          <reference field="1" count="1">
            <x v="32"/>
          </reference>
        </references>
      </pivotArea>
    </format>
    <format dxfId="1766">
      <pivotArea dataOnly="0" labelOnly="1" outline="0" fieldPosition="0">
        <references count="2">
          <reference field="0" count="1" selected="0">
            <x v="496"/>
          </reference>
          <reference field="1" count="1">
            <x v="33"/>
          </reference>
        </references>
      </pivotArea>
    </format>
    <format dxfId="1767">
      <pivotArea dataOnly="0" labelOnly="1" outline="0" fieldPosition="0">
        <references count="2">
          <reference field="0" count="1" selected="0">
            <x v="497"/>
          </reference>
          <reference field="1" count="1">
            <x v="33"/>
          </reference>
        </references>
      </pivotArea>
    </format>
    <format dxfId="1768">
      <pivotArea dataOnly="0" labelOnly="1" outline="0" fieldPosition="0">
        <references count="2">
          <reference field="0" count="1" selected="0">
            <x v="498"/>
          </reference>
          <reference field="1" count="1">
            <x v="33"/>
          </reference>
        </references>
      </pivotArea>
    </format>
    <format dxfId="1769">
      <pivotArea dataOnly="0" labelOnly="1" outline="0" fieldPosition="0">
        <references count="2">
          <reference field="0" count="1" selected="0">
            <x v="499"/>
          </reference>
          <reference field="1" count="1">
            <x v="33"/>
          </reference>
        </references>
      </pivotArea>
    </format>
    <format dxfId="1770">
      <pivotArea dataOnly="0" labelOnly="1" outline="0" fieldPosition="0">
        <references count="2">
          <reference field="0" count="1" selected="0">
            <x v="500"/>
          </reference>
          <reference field="1" count="1">
            <x v="33"/>
          </reference>
        </references>
      </pivotArea>
    </format>
    <format dxfId="1771">
      <pivotArea dataOnly="0" labelOnly="1" outline="0" fieldPosition="0">
        <references count="2">
          <reference field="0" count="1" selected="0">
            <x v="501"/>
          </reference>
          <reference field="1" count="1">
            <x v="33"/>
          </reference>
        </references>
      </pivotArea>
    </format>
    <format dxfId="1772">
      <pivotArea dataOnly="0" labelOnly="1" outline="0" fieldPosition="0">
        <references count="2">
          <reference field="0" count="1" selected="0">
            <x v="502"/>
          </reference>
          <reference field="1" count="1">
            <x v="33"/>
          </reference>
        </references>
      </pivotArea>
    </format>
    <format dxfId="1773">
      <pivotArea dataOnly="0" labelOnly="1" outline="0" fieldPosition="0">
        <references count="2">
          <reference field="0" count="1" selected="0">
            <x v="503"/>
          </reference>
          <reference field="1" count="1">
            <x v="33"/>
          </reference>
        </references>
      </pivotArea>
    </format>
    <format dxfId="1774">
      <pivotArea dataOnly="0" labelOnly="1" outline="0" fieldPosition="0">
        <references count="2">
          <reference field="0" count="1" selected="0">
            <x v="504"/>
          </reference>
          <reference field="1" count="1">
            <x v="33"/>
          </reference>
        </references>
      </pivotArea>
    </format>
    <format dxfId="1775">
      <pivotArea dataOnly="0" labelOnly="1" outline="0" fieldPosition="0">
        <references count="2">
          <reference field="0" count="1" selected="0">
            <x v="505"/>
          </reference>
          <reference field="1" count="1">
            <x v="33"/>
          </reference>
        </references>
      </pivotArea>
    </format>
    <format dxfId="1776">
      <pivotArea dataOnly="0" labelOnly="1" outline="0" fieldPosition="0">
        <references count="2">
          <reference field="0" count="1" selected="0">
            <x v="506"/>
          </reference>
          <reference field="1" count="1">
            <x v="34"/>
          </reference>
        </references>
      </pivotArea>
    </format>
    <format dxfId="1777">
      <pivotArea dataOnly="0" labelOnly="1" outline="0" fieldPosition="0">
        <references count="2">
          <reference field="0" count="1" selected="0">
            <x v="507"/>
          </reference>
          <reference field="1" count="1">
            <x v="34"/>
          </reference>
        </references>
      </pivotArea>
    </format>
    <format dxfId="1778">
      <pivotArea dataOnly="0" labelOnly="1" outline="0" fieldPosition="0">
        <references count="2">
          <reference field="0" count="1" selected="0">
            <x v="508"/>
          </reference>
          <reference field="1" count="1">
            <x v="34"/>
          </reference>
        </references>
      </pivotArea>
    </format>
    <format dxfId="1779">
      <pivotArea dataOnly="0" labelOnly="1" outline="0" fieldPosition="0">
        <references count="2">
          <reference field="0" count="1" selected="0">
            <x v="509"/>
          </reference>
          <reference field="1" count="1">
            <x v="34"/>
          </reference>
        </references>
      </pivotArea>
    </format>
    <format dxfId="1780">
      <pivotArea dataOnly="0" labelOnly="1" outline="0" fieldPosition="0">
        <references count="2">
          <reference field="0" count="1" selected="0">
            <x v="510"/>
          </reference>
          <reference field="1" count="1">
            <x v="34"/>
          </reference>
        </references>
      </pivotArea>
    </format>
    <format dxfId="1781">
      <pivotArea dataOnly="0" labelOnly="1" outline="0" fieldPosition="0">
        <references count="2">
          <reference field="0" count="1" selected="0">
            <x v="511"/>
          </reference>
          <reference field="1" count="1">
            <x v="34"/>
          </reference>
        </references>
      </pivotArea>
    </format>
    <format dxfId="1782">
      <pivotArea dataOnly="0" labelOnly="1" outline="0" fieldPosition="0">
        <references count="2">
          <reference field="0" count="1" selected="0">
            <x v="512"/>
          </reference>
          <reference field="1" count="1">
            <x v="34"/>
          </reference>
        </references>
      </pivotArea>
    </format>
    <format dxfId="1783">
      <pivotArea dataOnly="0" labelOnly="1" outline="0" fieldPosition="0">
        <references count="2">
          <reference field="0" count="1" selected="0">
            <x v="513"/>
          </reference>
          <reference field="1" count="1">
            <x v="34"/>
          </reference>
        </references>
      </pivotArea>
    </format>
    <format dxfId="1784">
      <pivotArea dataOnly="0" labelOnly="1" outline="0" fieldPosition="0">
        <references count="2">
          <reference field="0" count="1" selected="0">
            <x v="514"/>
          </reference>
          <reference field="1" count="1">
            <x v="34"/>
          </reference>
        </references>
      </pivotArea>
    </format>
    <format dxfId="1785">
      <pivotArea dataOnly="0" labelOnly="1" outline="0" fieldPosition="0">
        <references count="2">
          <reference field="0" count="1" selected="0">
            <x v="515"/>
          </reference>
          <reference field="1" count="1">
            <x v="34"/>
          </reference>
        </references>
      </pivotArea>
    </format>
    <format dxfId="1786">
      <pivotArea dataOnly="0" labelOnly="1" outline="0" fieldPosition="0">
        <references count="2">
          <reference field="0" count="1" selected="0">
            <x v="516"/>
          </reference>
          <reference field="1" count="1">
            <x v="34"/>
          </reference>
        </references>
      </pivotArea>
    </format>
    <format dxfId="1787">
      <pivotArea dataOnly="0" labelOnly="1" outline="0" fieldPosition="0">
        <references count="2">
          <reference field="0" count="1" selected="0">
            <x v="517"/>
          </reference>
          <reference field="1" count="1">
            <x v="34"/>
          </reference>
        </references>
      </pivotArea>
    </format>
    <format dxfId="1788">
      <pivotArea dataOnly="0" labelOnly="1" outline="0" fieldPosition="0">
        <references count="2">
          <reference field="0" count="1" selected="0">
            <x v="518"/>
          </reference>
          <reference field="1" count="1">
            <x v="34"/>
          </reference>
        </references>
      </pivotArea>
    </format>
    <format dxfId="1789">
      <pivotArea dataOnly="0" labelOnly="1" outline="0" fieldPosition="0">
        <references count="2">
          <reference field="0" count="1" selected="0">
            <x v="519"/>
          </reference>
          <reference field="1" count="1">
            <x v="34"/>
          </reference>
        </references>
      </pivotArea>
    </format>
    <format dxfId="1790">
      <pivotArea dataOnly="0" labelOnly="1" outline="0" fieldPosition="0">
        <references count="2">
          <reference field="0" count="1" selected="0">
            <x v="520"/>
          </reference>
          <reference field="1" count="1">
            <x v="35"/>
          </reference>
        </references>
      </pivotArea>
    </format>
    <format dxfId="1791">
      <pivotArea dataOnly="0" labelOnly="1" outline="0" fieldPosition="0">
        <references count="2">
          <reference field="0" count="1" selected="0">
            <x v="521"/>
          </reference>
          <reference field="1" count="1">
            <x v="35"/>
          </reference>
        </references>
      </pivotArea>
    </format>
    <format dxfId="1792">
      <pivotArea dataOnly="0" labelOnly="1" outline="0" fieldPosition="0">
        <references count="2">
          <reference field="0" count="1" selected="0">
            <x v="522"/>
          </reference>
          <reference field="1" count="1">
            <x v="35"/>
          </reference>
        </references>
      </pivotArea>
    </format>
    <format dxfId="1793">
      <pivotArea dataOnly="0" labelOnly="1" outline="0" fieldPosition="0">
        <references count="2">
          <reference field="0" count="1" selected="0">
            <x v="523"/>
          </reference>
          <reference field="1" count="1">
            <x v="35"/>
          </reference>
        </references>
      </pivotArea>
    </format>
    <format dxfId="1794">
      <pivotArea dataOnly="0" labelOnly="1" outline="0" fieldPosition="0">
        <references count="2">
          <reference field="0" count="1" selected="0">
            <x v="524"/>
          </reference>
          <reference field="1" count="1">
            <x v="35"/>
          </reference>
        </references>
      </pivotArea>
    </format>
    <format dxfId="1795">
      <pivotArea dataOnly="0" labelOnly="1" outline="0" fieldPosition="0">
        <references count="2">
          <reference field="0" count="1" selected="0">
            <x v="525"/>
          </reference>
          <reference field="1" count="1">
            <x v="35"/>
          </reference>
        </references>
      </pivotArea>
    </format>
    <format dxfId="1796">
      <pivotArea dataOnly="0" labelOnly="1" outline="0" fieldPosition="0">
        <references count="2">
          <reference field="0" count="1" selected="0">
            <x v="526"/>
          </reference>
          <reference field="1" count="1">
            <x v="35"/>
          </reference>
        </references>
      </pivotArea>
    </format>
    <format dxfId="1797">
      <pivotArea dataOnly="0" labelOnly="1" outline="0" fieldPosition="0">
        <references count="2">
          <reference field="0" count="1" selected="0">
            <x v="527"/>
          </reference>
          <reference field="1" count="1">
            <x v="35"/>
          </reference>
        </references>
      </pivotArea>
    </format>
    <format dxfId="1798">
      <pivotArea dataOnly="0" labelOnly="1" outline="0" fieldPosition="0">
        <references count="2">
          <reference field="0" count="1" selected="0">
            <x v="528"/>
          </reference>
          <reference field="1" count="1">
            <x v="35"/>
          </reference>
        </references>
      </pivotArea>
    </format>
    <format dxfId="1799">
      <pivotArea dataOnly="0" labelOnly="1" outline="0" fieldPosition="0">
        <references count="2">
          <reference field="0" count="1" selected="0">
            <x v="529"/>
          </reference>
          <reference field="1" count="1">
            <x v="35"/>
          </reference>
        </references>
      </pivotArea>
    </format>
    <format dxfId="1800">
      <pivotArea dataOnly="0" labelOnly="1" outline="0" fieldPosition="0">
        <references count="2">
          <reference field="0" count="1" selected="0">
            <x v="530"/>
          </reference>
          <reference field="1" count="1">
            <x v="35"/>
          </reference>
        </references>
      </pivotArea>
    </format>
    <format dxfId="1801">
      <pivotArea dataOnly="0" labelOnly="1" outline="0" fieldPosition="0">
        <references count="2">
          <reference field="0" count="1" selected="0">
            <x v="531"/>
          </reference>
          <reference field="1" count="1">
            <x v="35"/>
          </reference>
        </references>
      </pivotArea>
    </format>
    <format dxfId="1802">
      <pivotArea dataOnly="0" labelOnly="1" outline="0" fieldPosition="0">
        <references count="2">
          <reference field="0" count="1" selected="0">
            <x v="532"/>
          </reference>
          <reference field="1" count="1">
            <x v="35"/>
          </reference>
        </references>
      </pivotArea>
    </format>
    <format dxfId="1803">
      <pivotArea dataOnly="0" labelOnly="1" outline="0" fieldPosition="0">
        <references count="2">
          <reference field="0" count="1" selected="0">
            <x v="533"/>
          </reference>
          <reference field="1" count="1">
            <x v="35"/>
          </reference>
        </references>
      </pivotArea>
    </format>
    <format dxfId="1804">
      <pivotArea dataOnly="0" labelOnly="1" outline="0" fieldPosition="0">
        <references count="2">
          <reference field="0" count="1" selected="0">
            <x v="534"/>
          </reference>
          <reference field="1" count="1">
            <x v="35"/>
          </reference>
        </references>
      </pivotArea>
    </format>
    <format dxfId="1805">
      <pivotArea dataOnly="0" labelOnly="1" outline="0" fieldPosition="0">
        <references count="2">
          <reference field="0" count="1" selected="0">
            <x v="535"/>
          </reference>
          <reference field="1" count="1">
            <x v="35"/>
          </reference>
        </references>
      </pivotArea>
    </format>
    <format dxfId="1806">
      <pivotArea dataOnly="0" labelOnly="1" outline="0" fieldPosition="0">
        <references count="2">
          <reference field="0" count="1" selected="0">
            <x v="536"/>
          </reference>
          <reference field="1" count="1">
            <x v="35"/>
          </reference>
        </references>
      </pivotArea>
    </format>
    <format dxfId="1807">
      <pivotArea dataOnly="0" labelOnly="1" outline="0" fieldPosition="0">
        <references count="2">
          <reference field="0" count="1" selected="0">
            <x v="537"/>
          </reference>
          <reference field="1" count="1">
            <x v="35"/>
          </reference>
        </references>
      </pivotArea>
    </format>
    <format dxfId="1808">
      <pivotArea dataOnly="0" labelOnly="1" outline="0" fieldPosition="0">
        <references count="2">
          <reference field="0" count="1" selected="0">
            <x v="538"/>
          </reference>
          <reference field="1" count="1">
            <x v="36"/>
          </reference>
        </references>
      </pivotArea>
    </format>
    <format dxfId="1809">
      <pivotArea dataOnly="0" labelOnly="1" outline="0" fieldPosition="0">
        <references count="2">
          <reference field="0" count="1" selected="0">
            <x v="539"/>
          </reference>
          <reference field="1" count="1">
            <x v="36"/>
          </reference>
        </references>
      </pivotArea>
    </format>
    <format dxfId="1810">
      <pivotArea dataOnly="0" labelOnly="1" outline="0" fieldPosition="0">
        <references count="2">
          <reference field="0" count="1" selected="0">
            <x v="540"/>
          </reference>
          <reference field="1" count="1">
            <x v="36"/>
          </reference>
        </references>
      </pivotArea>
    </format>
    <format dxfId="1811">
      <pivotArea dataOnly="0" labelOnly="1" outline="0" fieldPosition="0">
        <references count="2">
          <reference field="0" count="1" selected="0">
            <x v="541"/>
          </reference>
          <reference field="1" count="1">
            <x v="36"/>
          </reference>
        </references>
      </pivotArea>
    </format>
    <format dxfId="1812">
      <pivotArea dataOnly="0" labelOnly="1" outline="0" fieldPosition="0">
        <references count="2">
          <reference field="0" count="1" selected="0">
            <x v="542"/>
          </reference>
          <reference field="1" count="1">
            <x v="36"/>
          </reference>
        </references>
      </pivotArea>
    </format>
    <format dxfId="1813">
      <pivotArea dataOnly="0" labelOnly="1" outline="0" fieldPosition="0">
        <references count="2">
          <reference field="0" count="1" selected="0">
            <x v="543"/>
          </reference>
          <reference field="1" count="1">
            <x v="36"/>
          </reference>
        </references>
      </pivotArea>
    </format>
    <format dxfId="1814">
      <pivotArea dataOnly="0" labelOnly="1" outline="0" fieldPosition="0">
        <references count="2">
          <reference field="0" count="1" selected="0">
            <x v="544"/>
          </reference>
          <reference field="1" count="1">
            <x v="36"/>
          </reference>
        </references>
      </pivotArea>
    </format>
    <format dxfId="1815">
      <pivotArea dataOnly="0" labelOnly="1" outline="0" fieldPosition="0">
        <references count="2">
          <reference field="0" count="1" selected="0">
            <x v="545"/>
          </reference>
          <reference field="1" count="1">
            <x v="36"/>
          </reference>
        </references>
      </pivotArea>
    </format>
    <format dxfId="1816">
      <pivotArea dataOnly="0" labelOnly="1" outline="0" fieldPosition="0">
        <references count="2">
          <reference field="0" count="1" selected="0">
            <x v="546"/>
          </reference>
          <reference field="1" count="1">
            <x v="36"/>
          </reference>
        </references>
      </pivotArea>
    </format>
    <format dxfId="1817">
      <pivotArea dataOnly="0" labelOnly="1" outline="0" fieldPosition="0">
        <references count="2">
          <reference field="0" count="1" selected="0">
            <x v="547"/>
          </reference>
          <reference field="1" count="1">
            <x v="36"/>
          </reference>
        </references>
      </pivotArea>
    </format>
    <format dxfId="1818">
      <pivotArea dataOnly="0" labelOnly="1" outline="0" fieldPosition="0">
        <references count="2">
          <reference field="0" count="1" selected="0">
            <x v="548"/>
          </reference>
          <reference field="1" count="1">
            <x v="36"/>
          </reference>
        </references>
      </pivotArea>
    </format>
    <format dxfId="1819">
      <pivotArea dataOnly="0" labelOnly="1" outline="0" fieldPosition="0">
        <references count="2">
          <reference field="0" count="1" selected="0">
            <x v="549"/>
          </reference>
          <reference field="1" count="1">
            <x v="36"/>
          </reference>
        </references>
      </pivotArea>
    </format>
    <format dxfId="1820">
      <pivotArea dataOnly="0" labelOnly="1" outline="0" fieldPosition="0">
        <references count="2">
          <reference field="0" count="1" selected="0">
            <x v="550"/>
          </reference>
          <reference field="1" count="1">
            <x v="37"/>
          </reference>
        </references>
      </pivotArea>
    </format>
    <format dxfId="1821">
      <pivotArea dataOnly="0" labelOnly="1" outline="0" fieldPosition="0">
        <references count="2">
          <reference field="0" count="1" selected="0">
            <x v="551"/>
          </reference>
          <reference field="1" count="1">
            <x v="37"/>
          </reference>
        </references>
      </pivotArea>
    </format>
    <format dxfId="1822">
      <pivotArea dataOnly="0" labelOnly="1" outline="0" fieldPosition="0">
        <references count="2">
          <reference field="0" count="1" selected="0">
            <x v="552"/>
          </reference>
          <reference field="1" count="1">
            <x v="37"/>
          </reference>
        </references>
      </pivotArea>
    </format>
    <format dxfId="1823">
      <pivotArea dataOnly="0" labelOnly="1" outline="0" fieldPosition="0">
        <references count="2">
          <reference field="0" count="1" selected="0">
            <x v="553"/>
          </reference>
          <reference field="1" count="1">
            <x v="37"/>
          </reference>
        </references>
      </pivotArea>
    </format>
    <format dxfId="1824">
      <pivotArea dataOnly="0" labelOnly="1" outline="0" fieldPosition="0">
        <references count="2">
          <reference field="0" count="1" selected="0">
            <x v="554"/>
          </reference>
          <reference field="1" count="1">
            <x v="37"/>
          </reference>
        </references>
      </pivotArea>
    </format>
    <format dxfId="1825">
      <pivotArea dataOnly="0" labelOnly="1" outline="0" fieldPosition="0">
        <references count="2">
          <reference field="0" count="1" selected="0">
            <x v="555"/>
          </reference>
          <reference field="1" count="1">
            <x v="37"/>
          </reference>
        </references>
      </pivotArea>
    </format>
    <format dxfId="1826">
      <pivotArea dataOnly="0" labelOnly="1" outline="0" fieldPosition="0">
        <references count="2">
          <reference field="0" count="1" selected="0">
            <x v="556"/>
          </reference>
          <reference field="1" count="1">
            <x v="37"/>
          </reference>
        </references>
      </pivotArea>
    </format>
    <format dxfId="1827">
      <pivotArea dataOnly="0" labelOnly="1" outline="0" fieldPosition="0">
        <references count="2">
          <reference field="0" count="1" selected="0">
            <x v="557"/>
          </reference>
          <reference field="1" count="1">
            <x v="37"/>
          </reference>
        </references>
      </pivotArea>
    </format>
    <format dxfId="1828">
      <pivotArea dataOnly="0" labelOnly="1" outline="0" fieldPosition="0">
        <references count="2">
          <reference field="0" count="1" selected="0">
            <x v="558"/>
          </reference>
          <reference field="1" count="1">
            <x v="37"/>
          </reference>
        </references>
      </pivotArea>
    </format>
    <format dxfId="1829">
      <pivotArea dataOnly="0" labelOnly="1" outline="0" fieldPosition="0">
        <references count="2">
          <reference field="0" count="1" selected="0">
            <x v="559"/>
          </reference>
          <reference field="1" count="1">
            <x v="37"/>
          </reference>
        </references>
      </pivotArea>
    </format>
    <format dxfId="1830">
      <pivotArea dataOnly="0" labelOnly="1" outline="0" fieldPosition="0">
        <references count="2">
          <reference field="0" count="1" selected="0">
            <x v="560"/>
          </reference>
          <reference field="1" count="1">
            <x v="37"/>
          </reference>
        </references>
      </pivotArea>
    </format>
    <format dxfId="1831">
      <pivotArea dataOnly="0" labelOnly="1" outline="0" fieldPosition="0">
        <references count="2">
          <reference field="0" count="1" selected="0">
            <x v="561"/>
          </reference>
          <reference field="1" count="1">
            <x v="37"/>
          </reference>
        </references>
      </pivotArea>
    </format>
    <format dxfId="1832">
      <pivotArea dataOnly="0" labelOnly="1" outline="0" fieldPosition="0">
        <references count="2">
          <reference field="0" count="1" selected="0">
            <x v="562"/>
          </reference>
          <reference field="1" count="1">
            <x v="37"/>
          </reference>
        </references>
      </pivotArea>
    </format>
    <format dxfId="1833">
      <pivotArea dataOnly="0" labelOnly="1" outline="0" fieldPosition="0">
        <references count="2">
          <reference field="0" count="1" selected="0">
            <x v="563"/>
          </reference>
          <reference field="1" count="1">
            <x v="37"/>
          </reference>
        </references>
      </pivotArea>
    </format>
    <format dxfId="1834">
      <pivotArea dataOnly="0" labelOnly="1" outline="0" fieldPosition="0">
        <references count="2">
          <reference field="0" count="1" selected="0">
            <x v="564"/>
          </reference>
          <reference field="1" count="1">
            <x v="37"/>
          </reference>
        </references>
      </pivotArea>
    </format>
    <format dxfId="1835">
      <pivotArea dataOnly="0" labelOnly="1" outline="0" fieldPosition="0">
        <references count="2">
          <reference field="0" count="1" selected="0">
            <x v="565"/>
          </reference>
          <reference field="1" count="1">
            <x v="38"/>
          </reference>
        </references>
      </pivotArea>
    </format>
    <format dxfId="1836">
      <pivotArea dataOnly="0" labelOnly="1" outline="0" fieldPosition="0">
        <references count="2">
          <reference field="0" count="1" selected="0">
            <x v="566"/>
          </reference>
          <reference field="1" count="1">
            <x v="38"/>
          </reference>
        </references>
      </pivotArea>
    </format>
    <format dxfId="1837">
      <pivotArea dataOnly="0" labelOnly="1" outline="0" fieldPosition="0">
        <references count="2">
          <reference field="0" count="1" selected="0">
            <x v="567"/>
          </reference>
          <reference field="1" count="1">
            <x v="38"/>
          </reference>
        </references>
      </pivotArea>
    </format>
    <format dxfId="1838">
      <pivotArea dataOnly="0" labelOnly="1" outline="0" fieldPosition="0">
        <references count="2">
          <reference field="0" count="1" selected="0">
            <x v="568"/>
          </reference>
          <reference field="1" count="1">
            <x v="38"/>
          </reference>
        </references>
      </pivotArea>
    </format>
    <format dxfId="1839">
      <pivotArea dataOnly="0" labelOnly="1" outline="0" fieldPosition="0">
        <references count="2">
          <reference field="0" count="1" selected="0">
            <x v="569"/>
          </reference>
          <reference field="1" count="1">
            <x v="38"/>
          </reference>
        </references>
      </pivotArea>
    </format>
    <format dxfId="1840">
      <pivotArea dataOnly="0" labelOnly="1" outline="0" fieldPosition="0">
        <references count="2">
          <reference field="0" count="1" selected="0">
            <x v="570"/>
          </reference>
          <reference field="1" count="1">
            <x v="38"/>
          </reference>
        </references>
      </pivotArea>
    </format>
    <format dxfId="1841">
      <pivotArea dataOnly="0" labelOnly="1" outline="0" fieldPosition="0">
        <references count="2">
          <reference field="0" count="1" selected="0">
            <x v="571"/>
          </reference>
          <reference field="1" count="1">
            <x v="38"/>
          </reference>
        </references>
      </pivotArea>
    </format>
    <format dxfId="1842">
      <pivotArea dataOnly="0" labelOnly="1" outline="0" fieldPosition="0">
        <references count="2">
          <reference field="0" count="1" selected="0">
            <x v="572"/>
          </reference>
          <reference field="1" count="1">
            <x v="38"/>
          </reference>
        </references>
      </pivotArea>
    </format>
    <format dxfId="1843">
      <pivotArea dataOnly="0" labelOnly="1" outline="0" fieldPosition="0">
        <references count="2">
          <reference field="0" count="1" selected="0">
            <x v="573"/>
          </reference>
          <reference field="1" count="1">
            <x v="38"/>
          </reference>
        </references>
      </pivotArea>
    </format>
    <format dxfId="1844">
      <pivotArea dataOnly="0" labelOnly="1" outline="0" fieldPosition="0">
        <references count="2">
          <reference field="0" count="1" selected="0">
            <x v="574"/>
          </reference>
          <reference field="1" count="1">
            <x v="38"/>
          </reference>
        </references>
      </pivotArea>
    </format>
    <format dxfId="1845">
      <pivotArea dataOnly="0" labelOnly="1" outline="0" fieldPosition="0">
        <references count="2">
          <reference field="0" count="1" selected="0">
            <x v="575"/>
          </reference>
          <reference field="1" count="1">
            <x v="38"/>
          </reference>
        </references>
      </pivotArea>
    </format>
    <format dxfId="1846">
      <pivotArea dataOnly="0" labelOnly="1" outline="0" fieldPosition="0">
        <references count="2">
          <reference field="0" count="1" selected="0">
            <x v="576"/>
          </reference>
          <reference field="1" count="1">
            <x v="38"/>
          </reference>
        </references>
      </pivotArea>
    </format>
    <format dxfId="1847">
      <pivotArea dataOnly="0" labelOnly="1" outline="0" fieldPosition="0">
        <references count="2">
          <reference field="0" count="1" selected="0">
            <x v="577"/>
          </reference>
          <reference field="1" count="1">
            <x v="38"/>
          </reference>
        </references>
      </pivotArea>
    </format>
    <format dxfId="1848">
      <pivotArea dataOnly="0" labelOnly="1" outline="0" fieldPosition="0">
        <references count="2">
          <reference field="0" count="1" selected="0">
            <x v="578"/>
          </reference>
          <reference field="1" count="1">
            <x v="39"/>
          </reference>
        </references>
      </pivotArea>
    </format>
    <format dxfId="1849">
      <pivotArea dataOnly="0" labelOnly="1" outline="0" fieldPosition="0">
        <references count="2">
          <reference field="0" count="1" selected="0">
            <x v="579"/>
          </reference>
          <reference field="1" count="1">
            <x v="39"/>
          </reference>
        </references>
      </pivotArea>
    </format>
    <format dxfId="1850">
      <pivotArea dataOnly="0" labelOnly="1" outline="0" fieldPosition="0">
        <references count="2">
          <reference field="0" count="1" selected="0">
            <x v="580"/>
          </reference>
          <reference field="1" count="1">
            <x v="39"/>
          </reference>
        </references>
      </pivotArea>
    </format>
    <format dxfId="1851">
      <pivotArea dataOnly="0" labelOnly="1" outline="0" fieldPosition="0">
        <references count="2">
          <reference field="0" count="1" selected="0">
            <x v="581"/>
          </reference>
          <reference field="1" count="1">
            <x v="39"/>
          </reference>
        </references>
      </pivotArea>
    </format>
    <format dxfId="1852">
      <pivotArea dataOnly="0" labelOnly="1" outline="0" fieldPosition="0">
        <references count="2">
          <reference field="0" count="1" selected="0">
            <x v="582"/>
          </reference>
          <reference field="1" count="1">
            <x v="39"/>
          </reference>
        </references>
      </pivotArea>
    </format>
    <format dxfId="1853">
      <pivotArea dataOnly="0" labelOnly="1" outline="0" fieldPosition="0">
        <references count="2">
          <reference field="0" count="1" selected="0">
            <x v="583"/>
          </reference>
          <reference field="1" count="1">
            <x v="39"/>
          </reference>
        </references>
      </pivotArea>
    </format>
    <format dxfId="1854">
      <pivotArea dataOnly="0" labelOnly="1" outline="0" fieldPosition="0">
        <references count="2">
          <reference field="0" count="1" selected="0">
            <x v="584"/>
          </reference>
          <reference field="1" count="1">
            <x v="39"/>
          </reference>
        </references>
      </pivotArea>
    </format>
    <format dxfId="1855">
      <pivotArea dataOnly="0" labelOnly="1" outline="0" fieldPosition="0">
        <references count="2">
          <reference field="0" count="1" selected="0">
            <x v="585"/>
          </reference>
          <reference field="1" count="1">
            <x v="39"/>
          </reference>
        </references>
      </pivotArea>
    </format>
    <format dxfId="1856">
      <pivotArea dataOnly="0" labelOnly="1" outline="0" fieldPosition="0">
        <references count="2">
          <reference field="0" count="1" selected="0">
            <x v="586"/>
          </reference>
          <reference field="1" count="1">
            <x v="39"/>
          </reference>
        </references>
      </pivotArea>
    </format>
    <format dxfId="1857">
      <pivotArea dataOnly="0" labelOnly="1" outline="0" fieldPosition="0">
        <references count="2">
          <reference field="0" count="1" selected="0">
            <x v="587"/>
          </reference>
          <reference field="1" count="1">
            <x v="39"/>
          </reference>
        </references>
      </pivotArea>
    </format>
    <format dxfId="1858">
      <pivotArea dataOnly="0" labelOnly="1" outline="0" fieldPosition="0">
        <references count="2">
          <reference field="0" count="1" selected="0">
            <x v="588"/>
          </reference>
          <reference field="1" count="1">
            <x v="39"/>
          </reference>
        </references>
      </pivotArea>
    </format>
    <format dxfId="1859">
      <pivotArea dataOnly="0" labelOnly="1" outline="0" fieldPosition="0">
        <references count="2">
          <reference field="0" count="1" selected="0">
            <x v="589"/>
          </reference>
          <reference field="1" count="1">
            <x v="39"/>
          </reference>
        </references>
      </pivotArea>
    </format>
    <format dxfId="1860">
      <pivotArea dataOnly="0" labelOnly="1" outline="0" fieldPosition="0">
        <references count="2">
          <reference field="0" count="1" selected="0">
            <x v="590"/>
          </reference>
          <reference field="1" count="1">
            <x v="39"/>
          </reference>
        </references>
      </pivotArea>
    </format>
    <format dxfId="1861">
      <pivotArea dataOnly="0" labelOnly="1" outline="0" fieldPosition="0">
        <references count="2">
          <reference field="0" count="1" selected="0">
            <x v="591"/>
          </reference>
          <reference field="1" count="1">
            <x v="39"/>
          </reference>
        </references>
      </pivotArea>
    </format>
    <format dxfId="1862">
      <pivotArea dataOnly="0" labelOnly="1" outline="0" fieldPosition="0">
        <references count="2">
          <reference field="0" count="1" selected="0">
            <x v="592"/>
          </reference>
          <reference field="1" count="1">
            <x v="39"/>
          </reference>
        </references>
      </pivotArea>
    </format>
    <format dxfId="1863">
      <pivotArea dataOnly="0" labelOnly="1" outline="0" fieldPosition="0">
        <references count="2">
          <reference field="0" count="1" selected="0">
            <x v="593"/>
          </reference>
          <reference field="1" count="1">
            <x v="39"/>
          </reference>
        </references>
      </pivotArea>
    </format>
    <format dxfId="1864">
      <pivotArea dataOnly="0" labelOnly="1" outline="0" fieldPosition="0">
        <references count="2">
          <reference field="0" count="1" selected="0">
            <x v="594"/>
          </reference>
          <reference field="1" count="1">
            <x v="39"/>
          </reference>
        </references>
      </pivotArea>
    </format>
    <format dxfId="1865">
      <pivotArea dataOnly="0" labelOnly="1" outline="0" fieldPosition="0">
        <references count="2">
          <reference field="0" count="1" selected="0">
            <x v="595"/>
          </reference>
          <reference field="1" count="1">
            <x v="39"/>
          </reference>
        </references>
      </pivotArea>
    </format>
    <format dxfId="1866">
      <pivotArea dataOnly="0" labelOnly="1" outline="0" fieldPosition="0">
        <references count="2">
          <reference field="0" count="1" selected="0">
            <x v="596"/>
          </reference>
          <reference field="1" count="1">
            <x v="40"/>
          </reference>
        </references>
      </pivotArea>
    </format>
    <format dxfId="1867">
      <pivotArea dataOnly="0" labelOnly="1" outline="0" fieldPosition="0">
        <references count="2">
          <reference field="0" count="1" selected="0">
            <x v="597"/>
          </reference>
          <reference field="1" count="1">
            <x v="40"/>
          </reference>
        </references>
      </pivotArea>
    </format>
    <format dxfId="1868">
      <pivotArea dataOnly="0" labelOnly="1" outline="0" fieldPosition="0">
        <references count="2">
          <reference field="0" count="1" selected="0">
            <x v="598"/>
          </reference>
          <reference field="1" count="1">
            <x v="40"/>
          </reference>
        </references>
      </pivotArea>
    </format>
    <format dxfId="1869">
      <pivotArea dataOnly="0" labelOnly="1" outline="0" fieldPosition="0">
        <references count="2">
          <reference field="0" count="1" selected="0">
            <x v="599"/>
          </reference>
          <reference field="1" count="1">
            <x v="40"/>
          </reference>
        </references>
      </pivotArea>
    </format>
    <format dxfId="1870">
      <pivotArea dataOnly="0" labelOnly="1" outline="0" fieldPosition="0">
        <references count="2">
          <reference field="0" count="1" selected="0">
            <x v="600"/>
          </reference>
          <reference field="1" count="1">
            <x v="40"/>
          </reference>
        </references>
      </pivotArea>
    </format>
    <format dxfId="1871">
      <pivotArea dataOnly="0" labelOnly="1" outline="0" fieldPosition="0">
        <references count="2">
          <reference field="0" count="1" selected="0">
            <x v="601"/>
          </reference>
          <reference field="1" count="1">
            <x v="40"/>
          </reference>
        </references>
      </pivotArea>
    </format>
    <format dxfId="1872">
      <pivotArea dataOnly="0" labelOnly="1" outline="0" fieldPosition="0">
        <references count="2">
          <reference field="0" count="1" selected="0">
            <x v="602"/>
          </reference>
          <reference field="1" count="1">
            <x v="40"/>
          </reference>
        </references>
      </pivotArea>
    </format>
    <format dxfId="1873">
      <pivotArea dataOnly="0" labelOnly="1" outline="0" fieldPosition="0">
        <references count="2">
          <reference field="0" count="1" selected="0">
            <x v="603"/>
          </reference>
          <reference field="1" count="1">
            <x v="40"/>
          </reference>
        </references>
      </pivotArea>
    </format>
    <format dxfId="1874">
      <pivotArea dataOnly="0" labelOnly="1" outline="0" fieldPosition="0">
        <references count="2">
          <reference field="0" count="1" selected="0">
            <x v="604"/>
          </reference>
          <reference field="1" count="1">
            <x v="40"/>
          </reference>
        </references>
      </pivotArea>
    </format>
    <format dxfId="1875">
      <pivotArea dataOnly="0" labelOnly="1" outline="0" fieldPosition="0">
        <references count="2">
          <reference field="0" count="1" selected="0">
            <x v="605"/>
          </reference>
          <reference field="1" count="1">
            <x v="40"/>
          </reference>
        </references>
      </pivotArea>
    </format>
    <format dxfId="1876">
      <pivotArea dataOnly="0" labelOnly="1" outline="0" fieldPosition="0">
        <references count="2">
          <reference field="0" count="1" selected="0">
            <x v="606"/>
          </reference>
          <reference field="1" count="1">
            <x v="40"/>
          </reference>
        </references>
      </pivotArea>
    </format>
    <format dxfId="1877">
      <pivotArea dataOnly="0" labelOnly="1" outline="0" fieldPosition="0">
        <references count="2">
          <reference field="0" count="1" selected="0">
            <x v="607"/>
          </reference>
          <reference field="1" count="1">
            <x v="40"/>
          </reference>
        </references>
      </pivotArea>
    </format>
    <format dxfId="1878">
      <pivotArea dataOnly="0" labelOnly="1" outline="0" fieldPosition="0">
        <references count="2">
          <reference field="0" count="1" selected="0">
            <x v="608"/>
          </reference>
          <reference field="1" count="1">
            <x v="40"/>
          </reference>
        </references>
      </pivotArea>
    </format>
    <format dxfId="1879">
      <pivotArea dataOnly="0" labelOnly="1" outline="0" fieldPosition="0">
        <references count="2">
          <reference field="0" count="1" selected="0">
            <x v="609"/>
          </reference>
          <reference field="1" count="1">
            <x v="40"/>
          </reference>
        </references>
      </pivotArea>
    </format>
    <format dxfId="1880">
      <pivotArea dataOnly="0" labelOnly="1" outline="0" fieldPosition="0">
        <references count="2">
          <reference field="0" count="1" selected="0">
            <x v="610"/>
          </reference>
          <reference field="1" count="1">
            <x v="40"/>
          </reference>
        </references>
      </pivotArea>
    </format>
    <format dxfId="1881">
      <pivotArea dataOnly="0" labelOnly="1" outline="0" fieldPosition="0">
        <references count="2">
          <reference field="0" count="1" selected="0">
            <x v="611"/>
          </reference>
          <reference field="1" count="1">
            <x v="40"/>
          </reference>
        </references>
      </pivotArea>
    </format>
    <format dxfId="1882">
      <pivotArea dataOnly="0" labelOnly="1" outline="0" fieldPosition="0">
        <references count="2">
          <reference field="0" count="1" selected="0">
            <x v="612"/>
          </reference>
          <reference field="1" count="1">
            <x v="40"/>
          </reference>
        </references>
      </pivotArea>
    </format>
    <format dxfId="1883">
      <pivotArea dataOnly="0" labelOnly="1" outline="0" fieldPosition="0">
        <references count="2">
          <reference field="0" count="1" selected="0">
            <x v="613"/>
          </reference>
          <reference field="1" count="1">
            <x v="40"/>
          </reference>
        </references>
      </pivotArea>
    </format>
    <format dxfId="1884">
      <pivotArea dataOnly="0" labelOnly="1" outline="0" fieldPosition="0">
        <references count="2">
          <reference field="0" count="1" selected="0">
            <x v="614"/>
          </reference>
          <reference field="1" count="1">
            <x v="41"/>
          </reference>
        </references>
      </pivotArea>
    </format>
    <format dxfId="1885">
      <pivotArea dataOnly="0" labelOnly="1" outline="0" fieldPosition="0">
        <references count="2">
          <reference field="0" count="1" selected="0">
            <x v="615"/>
          </reference>
          <reference field="1" count="1">
            <x v="41"/>
          </reference>
        </references>
      </pivotArea>
    </format>
    <format dxfId="1886">
      <pivotArea dataOnly="0" labelOnly="1" outline="0" fieldPosition="0">
        <references count="2">
          <reference field="0" count="1" selected="0">
            <x v="616"/>
          </reference>
          <reference field="1" count="1">
            <x v="41"/>
          </reference>
        </references>
      </pivotArea>
    </format>
    <format dxfId="1887">
      <pivotArea dataOnly="0" labelOnly="1" outline="0" fieldPosition="0">
        <references count="2">
          <reference field="0" count="1" selected="0">
            <x v="617"/>
          </reference>
          <reference field="1" count="1">
            <x v="41"/>
          </reference>
        </references>
      </pivotArea>
    </format>
    <format dxfId="1888">
      <pivotArea dataOnly="0" labelOnly="1" outline="0" fieldPosition="0">
        <references count="2">
          <reference field="0" count="1" selected="0">
            <x v="618"/>
          </reference>
          <reference field="1" count="1">
            <x v="41"/>
          </reference>
        </references>
      </pivotArea>
    </format>
    <format dxfId="1889">
      <pivotArea dataOnly="0" labelOnly="1" outline="0" fieldPosition="0">
        <references count="2">
          <reference field="0" count="1" selected="0">
            <x v="619"/>
          </reference>
          <reference field="1" count="1">
            <x v="41"/>
          </reference>
        </references>
      </pivotArea>
    </format>
    <format dxfId="1890">
      <pivotArea dataOnly="0" labelOnly="1" outline="0" fieldPosition="0">
        <references count="2">
          <reference field="0" count="1" selected="0">
            <x v="620"/>
          </reference>
          <reference field="1" count="1">
            <x v="41"/>
          </reference>
        </references>
      </pivotArea>
    </format>
    <format dxfId="1891">
      <pivotArea dataOnly="0" labelOnly="1" outline="0" fieldPosition="0">
        <references count="2">
          <reference field="0" count="1" selected="0">
            <x v="621"/>
          </reference>
          <reference field="1" count="1">
            <x v="41"/>
          </reference>
        </references>
      </pivotArea>
    </format>
    <format dxfId="1892">
      <pivotArea dataOnly="0" labelOnly="1" outline="0" fieldPosition="0">
        <references count="2">
          <reference field="0" count="1" selected="0">
            <x v="622"/>
          </reference>
          <reference field="1" count="1">
            <x v="41"/>
          </reference>
        </references>
      </pivotArea>
    </format>
    <format dxfId="1893">
      <pivotArea dataOnly="0" labelOnly="1" outline="0" fieldPosition="0">
        <references count="2">
          <reference field="0" count="1" selected="0">
            <x v="623"/>
          </reference>
          <reference field="1" count="1">
            <x v="41"/>
          </reference>
        </references>
      </pivotArea>
    </format>
    <format dxfId="1894">
      <pivotArea dataOnly="0" labelOnly="1" outline="0" fieldPosition="0">
        <references count="2">
          <reference field="0" count="1" selected="0">
            <x v="624"/>
          </reference>
          <reference field="1" count="1">
            <x v="41"/>
          </reference>
        </references>
      </pivotArea>
    </format>
    <format dxfId="1895">
      <pivotArea dataOnly="0" labelOnly="1" outline="0" fieldPosition="0">
        <references count="2">
          <reference field="0" count="1" selected="0">
            <x v="625"/>
          </reference>
          <reference field="1" count="1">
            <x v="41"/>
          </reference>
        </references>
      </pivotArea>
    </format>
    <format dxfId="1896">
      <pivotArea dataOnly="0" labelOnly="1" outline="0" fieldPosition="0">
        <references count="2">
          <reference field="0" count="1" selected="0">
            <x v="626"/>
          </reference>
          <reference field="1" count="1">
            <x v="41"/>
          </reference>
        </references>
      </pivotArea>
    </format>
    <format dxfId="1897">
      <pivotArea dataOnly="0" labelOnly="1" outline="0" fieldPosition="0">
        <references count="2">
          <reference field="0" count="1" selected="0">
            <x v="627"/>
          </reference>
          <reference field="1" count="1">
            <x v="41"/>
          </reference>
        </references>
      </pivotArea>
    </format>
    <format dxfId="1898">
      <pivotArea dataOnly="0" labelOnly="1" outline="0" fieldPosition="0">
        <references count="2">
          <reference field="0" count="1" selected="0">
            <x v="628"/>
          </reference>
          <reference field="1" count="1">
            <x v="41"/>
          </reference>
        </references>
      </pivotArea>
    </format>
    <format dxfId="1899">
      <pivotArea dataOnly="0" labelOnly="1" outline="0" fieldPosition="0">
        <references count="2">
          <reference field="0" count="1" selected="0">
            <x v="629"/>
          </reference>
          <reference field="1" count="1">
            <x v="41"/>
          </reference>
        </references>
      </pivotArea>
    </format>
    <format dxfId="1900">
      <pivotArea dataOnly="0" labelOnly="1" outline="0" fieldPosition="0">
        <references count="2">
          <reference field="0" count="1" selected="0">
            <x v="630"/>
          </reference>
          <reference field="1" count="1">
            <x v="41"/>
          </reference>
        </references>
      </pivotArea>
    </format>
    <format dxfId="1901">
      <pivotArea dataOnly="0" labelOnly="1" outline="0" fieldPosition="0">
        <references count="2">
          <reference field="0" count="1" selected="0">
            <x v="631"/>
          </reference>
          <reference field="1" count="1">
            <x v="42"/>
          </reference>
        </references>
      </pivotArea>
    </format>
    <format dxfId="1902">
      <pivotArea dataOnly="0" labelOnly="1" outline="0" fieldPosition="0">
        <references count="2">
          <reference field="0" count="1" selected="0">
            <x v="632"/>
          </reference>
          <reference field="1" count="1">
            <x v="42"/>
          </reference>
        </references>
      </pivotArea>
    </format>
    <format dxfId="1903">
      <pivotArea dataOnly="0" labelOnly="1" outline="0" fieldPosition="0">
        <references count="2">
          <reference field="0" count="1" selected="0">
            <x v="633"/>
          </reference>
          <reference field="1" count="1">
            <x v="42"/>
          </reference>
        </references>
      </pivotArea>
    </format>
    <format dxfId="1904">
      <pivotArea dataOnly="0" labelOnly="1" outline="0" fieldPosition="0">
        <references count="2">
          <reference field="0" count="1" selected="0">
            <x v="634"/>
          </reference>
          <reference field="1" count="1">
            <x v="42"/>
          </reference>
        </references>
      </pivotArea>
    </format>
    <format dxfId="1905">
      <pivotArea dataOnly="0" labelOnly="1" outline="0" fieldPosition="0">
        <references count="2">
          <reference field="0" count="1" selected="0">
            <x v="635"/>
          </reference>
          <reference field="1" count="1">
            <x v="42"/>
          </reference>
        </references>
      </pivotArea>
    </format>
    <format dxfId="1906">
      <pivotArea dataOnly="0" labelOnly="1" outline="0" fieldPosition="0">
        <references count="2">
          <reference field="0" count="1" selected="0">
            <x v="636"/>
          </reference>
          <reference field="1" count="1">
            <x v="42"/>
          </reference>
        </references>
      </pivotArea>
    </format>
    <format dxfId="1907">
      <pivotArea dataOnly="0" labelOnly="1" outline="0" fieldPosition="0">
        <references count="2">
          <reference field="0" count="1" selected="0">
            <x v="637"/>
          </reference>
          <reference field="1" count="1">
            <x v="42"/>
          </reference>
        </references>
      </pivotArea>
    </format>
    <format dxfId="1908">
      <pivotArea dataOnly="0" labelOnly="1" outline="0" fieldPosition="0">
        <references count="2">
          <reference field="0" count="1" selected="0">
            <x v="638"/>
          </reference>
          <reference field="1" count="1">
            <x v="42"/>
          </reference>
        </references>
      </pivotArea>
    </format>
    <format dxfId="1909">
      <pivotArea dataOnly="0" labelOnly="1" outline="0" fieldPosition="0">
        <references count="2">
          <reference field="0" count="1" selected="0">
            <x v="639"/>
          </reference>
          <reference field="1" count="1">
            <x v="42"/>
          </reference>
        </references>
      </pivotArea>
    </format>
    <format dxfId="1910">
      <pivotArea dataOnly="0" labelOnly="1" outline="0" fieldPosition="0">
        <references count="2">
          <reference field="0" count="1" selected="0">
            <x v="640"/>
          </reference>
          <reference field="1" count="1">
            <x v="42"/>
          </reference>
        </references>
      </pivotArea>
    </format>
    <format dxfId="1911">
      <pivotArea dataOnly="0" labelOnly="1" outline="0" fieldPosition="0">
        <references count="2">
          <reference field="0" count="1" selected="0">
            <x v="641"/>
          </reference>
          <reference field="1" count="1">
            <x v="42"/>
          </reference>
        </references>
      </pivotArea>
    </format>
    <format dxfId="1912">
      <pivotArea dataOnly="0" labelOnly="1" outline="0" fieldPosition="0">
        <references count="2">
          <reference field="0" count="1" selected="0">
            <x v="642"/>
          </reference>
          <reference field="1" count="1">
            <x v="43"/>
          </reference>
        </references>
      </pivotArea>
    </format>
    <format dxfId="1913">
      <pivotArea dataOnly="0" labelOnly="1" outline="0" fieldPosition="0">
        <references count="2">
          <reference field="0" count="1" selected="0">
            <x v="643"/>
          </reference>
          <reference field="1" count="1">
            <x v="43"/>
          </reference>
        </references>
      </pivotArea>
    </format>
    <format dxfId="1914">
      <pivotArea dataOnly="0" labelOnly="1" outline="0" fieldPosition="0">
        <references count="2">
          <reference field="0" count="1" selected="0">
            <x v="644"/>
          </reference>
          <reference field="1" count="1">
            <x v="43"/>
          </reference>
        </references>
      </pivotArea>
    </format>
    <format dxfId="1915">
      <pivotArea dataOnly="0" labelOnly="1" outline="0" fieldPosition="0">
        <references count="2">
          <reference field="0" count="1" selected="0">
            <x v="645"/>
          </reference>
          <reference field="1" count="1">
            <x v="43"/>
          </reference>
        </references>
      </pivotArea>
    </format>
    <format dxfId="1916">
      <pivotArea dataOnly="0" labelOnly="1" outline="0" fieldPosition="0">
        <references count="2">
          <reference field="0" count="1" selected="0">
            <x v="646"/>
          </reference>
          <reference field="1" count="1">
            <x v="43"/>
          </reference>
        </references>
      </pivotArea>
    </format>
    <format dxfId="1917">
      <pivotArea dataOnly="0" labelOnly="1" outline="0" fieldPosition="0">
        <references count="2">
          <reference field="0" count="1" selected="0">
            <x v="647"/>
          </reference>
          <reference field="1" count="1">
            <x v="43"/>
          </reference>
        </references>
      </pivotArea>
    </format>
    <format dxfId="1918">
      <pivotArea dataOnly="0" labelOnly="1" outline="0" fieldPosition="0">
        <references count="2">
          <reference field="0" count="1" selected="0">
            <x v="648"/>
          </reference>
          <reference field="1" count="1">
            <x v="43"/>
          </reference>
        </references>
      </pivotArea>
    </format>
    <format dxfId="1919">
      <pivotArea dataOnly="0" labelOnly="1" outline="0" fieldPosition="0">
        <references count="2">
          <reference field="0" count="1" selected="0">
            <x v="649"/>
          </reference>
          <reference field="1" count="1">
            <x v="43"/>
          </reference>
        </references>
      </pivotArea>
    </format>
    <format dxfId="1920">
      <pivotArea dataOnly="0" labelOnly="1" outline="0" fieldPosition="0">
        <references count="2">
          <reference field="0" count="1" selected="0">
            <x v="650"/>
          </reference>
          <reference field="1" count="1">
            <x v="43"/>
          </reference>
        </references>
      </pivotArea>
    </format>
    <format dxfId="1921">
      <pivotArea dataOnly="0" labelOnly="1" outline="0" fieldPosition="0">
        <references count="2">
          <reference field="0" count="1" selected="0">
            <x v="651"/>
          </reference>
          <reference field="1" count="1">
            <x v="44"/>
          </reference>
        </references>
      </pivotArea>
    </format>
    <format dxfId="1922">
      <pivotArea dataOnly="0" labelOnly="1" outline="0" fieldPosition="0">
        <references count="2">
          <reference field="0" count="1" selected="0">
            <x v="652"/>
          </reference>
          <reference field="1" count="1">
            <x v="44"/>
          </reference>
        </references>
      </pivotArea>
    </format>
    <format dxfId="1923">
      <pivotArea dataOnly="0" labelOnly="1" outline="0" fieldPosition="0">
        <references count="2">
          <reference field="0" count="1" selected="0">
            <x v="653"/>
          </reference>
          <reference field="1" count="1">
            <x v="44"/>
          </reference>
        </references>
      </pivotArea>
    </format>
    <format dxfId="1924">
      <pivotArea dataOnly="0" labelOnly="1" outline="0" fieldPosition="0">
        <references count="2">
          <reference field="0" count="1" selected="0">
            <x v="654"/>
          </reference>
          <reference field="1" count="1">
            <x v="44"/>
          </reference>
        </references>
      </pivotArea>
    </format>
    <format dxfId="1925">
      <pivotArea dataOnly="0" labelOnly="1" outline="0" fieldPosition="0">
        <references count="2">
          <reference field="0" count="1" selected="0">
            <x v="655"/>
          </reference>
          <reference field="1" count="1">
            <x v="44"/>
          </reference>
        </references>
      </pivotArea>
    </format>
    <format dxfId="1926">
      <pivotArea dataOnly="0" labelOnly="1" outline="0" fieldPosition="0">
        <references count="2">
          <reference field="0" count="1" selected="0">
            <x v="656"/>
          </reference>
          <reference field="1" count="1">
            <x v="44"/>
          </reference>
        </references>
      </pivotArea>
    </format>
    <format dxfId="1927">
      <pivotArea dataOnly="0" labelOnly="1" outline="0" fieldPosition="0">
        <references count="2">
          <reference field="0" count="1" selected="0">
            <x v="657"/>
          </reference>
          <reference field="1" count="1">
            <x v="44"/>
          </reference>
        </references>
      </pivotArea>
    </format>
    <format dxfId="1928">
      <pivotArea dataOnly="0" labelOnly="1" outline="0" fieldPosition="0">
        <references count="2">
          <reference field="0" count="1" selected="0">
            <x v="658"/>
          </reference>
          <reference field="1" count="1">
            <x v="44"/>
          </reference>
        </references>
      </pivotArea>
    </format>
    <format dxfId="1929">
      <pivotArea dataOnly="0" labelOnly="1" outline="0" fieldPosition="0">
        <references count="2">
          <reference field="0" count="1" selected="0">
            <x v="659"/>
          </reference>
          <reference field="1" count="1">
            <x v="44"/>
          </reference>
        </references>
      </pivotArea>
    </format>
    <format dxfId="1930">
      <pivotArea dataOnly="0" labelOnly="1" outline="0" fieldPosition="0">
        <references count="2">
          <reference field="0" count="1" selected="0">
            <x v="660"/>
          </reference>
          <reference field="1" count="1">
            <x v="44"/>
          </reference>
        </references>
      </pivotArea>
    </format>
    <format dxfId="1931">
      <pivotArea dataOnly="0" labelOnly="1" outline="0" fieldPosition="0">
        <references count="2">
          <reference field="0" count="1" selected="0">
            <x v="661"/>
          </reference>
          <reference field="1" count="1">
            <x v="44"/>
          </reference>
        </references>
      </pivotArea>
    </format>
    <format dxfId="1932">
      <pivotArea dataOnly="0" labelOnly="1" outline="0" fieldPosition="0">
        <references count="2">
          <reference field="0" count="1" selected="0">
            <x v="662"/>
          </reference>
          <reference field="1" count="1">
            <x v="44"/>
          </reference>
        </references>
      </pivotArea>
    </format>
    <format dxfId="1933">
      <pivotArea dataOnly="0" labelOnly="1" outline="0" fieldPosition="0">
        <references count="2">
          <reference field="0" count="1" selected="0">
            <x v="663"/>
          </reference>
          <reference field="1" count="1">
            <x v="44"/>
          </reference>
        </references>
      </pivotArea>
    </format>
    <format dxfId="1934">
      <pivotArea dataOnly="0" labelOnly="1" outline="0" fieldPosition="0">
        <references count="2">
          <reference field="0" count="1" selected="0">
            <x v="664"/>
          </reference>
          <reference field="1" count="1">
            <x v="44"/>
          </reference>
        </references>
      </pivotArea>
    </format>
    <format dxfId="1935">
      <pivotArea dataOnly="0" labelOnly="1" outline="0" fieldPosition="0">
        <references count="2">
          <reference field="0" count="1" selected="0">
            <x v="665"/>
          </reference>
          <reference field="1" count="1">
            <x v="44"/>
          </reference>
        </references>
      </pivotArea>
    </format>
    <format dxfId="1936">
      <pivotArea dataOnly="0" labelOnly="1" outline="0" fieldPosition="0">
        <references count="2">
          <reference field="0" count="1" selected="0">
            <x v="666"/>
          </reference>
          <reference field="1" count="1">
            <x v="44"/>
          </reference>
        </references>
      </pivotArea>
    </format>
    <format dxfId="1937">
      <pivotArea dataOnly="0" labelOnly="1" outline="0" fieldPosition="0">
        <references count="2">
          <reference field="0" count="1" selected="0">
            <x v="667"/>
          </reference>
          <reference field="1" count="1">
            <x v="45"/>
          </reference>
        </references>
      </pivotArea>
    </format>
    <format dxfId="1938">
      <pivotArea dataOnly="0" labelOnly="1" outline="0" fieldPosition="0">
        <references count="2">
          <reference field="0" count="1" selected="0">
            <x v="668"/>
          </reference>
          <reference field="1" count="1">
            <x v="45"/>
          </reference>
        </references>
      </pivotArea>
    </format>
    <format dxfId="1939">
      <pivotArea dataOnly="0" labelOnly="1" outline="0" fieldPosition="0">
        <references count="2">
          <reference field="0" count="1" selected="0">
            <x v="669"/>
          </reference>
          <reference field="1" count="1">
            <x v="45"/>
          </reference>
        </references>
      </pivotArea>
    </format>
    <format dxfId="1940">
      <pivotArea dataOnly="0" labelOnly="1" outline="0" fieldPosition="0">
        <references count="2">
          <reference field="0" count="1" selected="0">
            <x v="670"/>
          </reference>
          <reference field="1" count="1">
            <x v="45"/>
          </reference>
        </references>
      </pivotArea>
    </format>
    <format dxfId="1941">
      <pivotArea dataOnly="0" labelOnly="1" outline="0" fieldPosition="0">
        <references count="2">
          <reference field="0" count="1" selected="0">
            <x v="671"/>
          </reference>
          <reference field="1" count="1">
            <x v="45"/>
          </reference>
        </references>
      </pivotArea>
    </format>
    <format dxfId="1942">
      <pivotArea dataOnly="0" labelOnly="1" outline="0" fieldPosition="0">
        <references count="2">
          <reference field="0" count="1" selected="0">
            <x v="672"/>
          </reference>
          <reference field="1" count="1">
            <x v="45"/>
          </reference>
        </references>
      </pivotArea>
    </format>
    <format dxfId="1943">
      <pivotArea dataOnly="0" labelOnly="1" outline="0" fieldPosition="0">
        <references count="2">
          <reference field="0" count="1" selected="0">
            <x v="673"/>
          </reference>
          <reference field="1" count="1">
            <x v="45"/>
          </reference>
        </references>
      </pivotArea>
    </format>
    <format dxfId="1944">
      <pivotArea dataOnly="0" labelOnly="1" outline="0" fieldPosition="0">
        <references count="2">
          <reference field="0" count="1" selected="0">
            <x v="674"/>
          </reference>
          <reference field="1" count="1">
            <x v="45"/>
          </reference>
        </references>
      </pivotArea>
    </format>
    <format dxfId="1945">
      <pivotArea dataOnly="0" labelOnly="1" outline="0" fieldPosition="0">
        <references count="2">
          <reference field="0" count="1" selected="0">
            <x v="675"/>
          </reference>
          <reference field="1" count="1">
            <x v="45"/>
          </reference>
        </references>
      </pivotArea>
    </format>
    <format dxfId="1946">
      <pivotArea dataOnly="0" labelOnly="1" outline="0" fieldPosition="0">
        <references count="2">
          <reference field="0" count="1" selected="0">
            <x v="676"/>
          </reference>
          <reference field="1" count="1">
            <x v="45"/>
          </reference>
        </references>
      </pivotArea>
    </format>
    <format dxfId="1947">
      <pivotArea dataOnly="0" labelOnly="1" outline="0" fieldPosition="0">
        <references count="2">
          <reference field="0" count="1" selected="0">
            <x v="677"/>
          </reference>
          <reference field="1" count="1">
            <x v="45"/>
          </reference>
        </references>
      </pivotArea>
    </format>
    <format dxfId="1948">
      <pivotArea dataOnly="0" labelOnly="1" outline="0" fieldPosition="0">
        <references count="2">
          <reference field="0" count="1" selected="0">
            <x v="678"/>
          </reference>
          <reference field="1" count="1">
            <x v="45"/>
          </reference>
        </references>
      </pivotArea>
    </format>
    <format dxfId="1949">
      <pivotArea dataOnly="0" labelOnly="1" outline="0" fieldPosition="0">
        <references count="2">
          <reference field="0" count="1" selected="0">
            <x v="679"/>
          </reference>
          <reference field="1" count="1">
            <x v="46"/>
          </reference>
        </references>
      </pivotArea>
    </format>
    <format dxfId="1950">
      <pivotArea dataOnly="0" labelOnly="1" outline="0" fieldPosition="0">
        <references count="2">
          <reference field="0" count="1" selected="0">
            <x v="680"/>
          </reference>
          <reference field="1" count="1">
            <x v="46"/>
          </reference>
        </references>
      </pivotArea>
    </format>
    <format dxfId="1951">
      <pivotArea dataOnly="0" labelOnly="1" outline="0" fieldPosition="0">
        <references count="2">
          <reference field="0" count="1" selected="0">
            <x v="681"/>
          </reference>
          <reference field="1" count="1">
            <x v="46"/>
          </reference>
        </references>
      </pivotArea>
    </format>
    <format dxfId="1952">
      <pivotArea dataOnly="0" labelOnly="1" outline="0" fieldPosition="0">
        <references count="2">
          <reference field="0" count="1" selected="0">
            <x v="682"/>
          </reference>
          <reference field="1" count="1">
            <x v="46"/>
          </reference>
        </references>
      </pivotArea>
    </format>
    <format dxfId="1953">
      <pivotArea dataOnly="0" labelOnly="1" outline="0" fieldPosition="0">
        <references count="2">
          <reference field="0" count="1" selected="0">
            <x v="683"/>
          </reference>
          <reference field="1" count="1">
            <x v="46"/>
          </reference>
        </references>
      </pivotArea>
    </format>
    <format dxfId="1954">
      <pivotArea dataOnly="0" labelOnly="1" outline="0" fieldPosition="0">
        <references count="2">
          <reference field="0" count="1" selected="0">
            <x v="684"/>
          </reference>
          <reference field="1" count="1">
            <x v="46"/>
          </reference>
        </references>
      </pivotArea>
    </format>
    <format dxfId="1955">
      <pivotArea dataOnly="0" labelOnly="1" outline="0" fieldPosition="0">
        <references count="2">
          <reference field="0" count="1" selected="0">
            <x v="685"/>
          </reference>
          <reference field="1" count="1">
            <x v="46"/>
          </reference>
        </references>
      </pivotArea>
    </format>
    <format dxfId="1956">
      <pivotArea dataOnly="0" labelOnly="1" outline="0" fieldPosition="0">
        <references count="2">
          <reference field="0" count="1" selected="0">
            <x v="686"/>
          </reference>
          <reference field="1" count="1">
            <x v="46"/>
          </reference>
        </references>
      </pivotArea>
    </format>
    <format dxfId="1957">
      <pivotArea dataOnly="0" labelOnly="1" outline="0" fieldPosition="0">
        <references count="2">
          <reference field="0" count="1" selected="0">
            <x v="687"/>
          </reference>
          <reference field="1" count="1">
            <x v="46"/>
          </reference>
        </references>
      </pivotArea>
    </format>
    <format dxfId="1958">
      <pivotArea dataOnly="0" labelOnly="1" outline="0" fieldPosition="0">
        <references count="2">
          <reference field="0" count="1" selected="0">
            <x v="688"/>
          </reference>
          <reference field="1" count="1">
            <x v="46"/>
          </reference>
        </references>
      </pivotArea>
    </format>
    <format dxfId="1959">
      <pivotArea dataOnly="0" labelOnly="1" outline="0" fieldPosition="0">
        <references count="2">
          <reference field="0" count="1" selected="0">
            <x v="689"/>
          </reference>
          <reference field="1" count="1">
            <x v="46"/>
          </reference>
        </references>
      </pivotArea>
    </format>
    <format dxfId="1960">
      <pivotArea dataOnly="0" labelOnly="1" outline="0" fieldPosition="0">
        <references count="2">
          <reference field="0" count="1" selected="0">
            <x v="690"/>
          </reference>
          <reference field="1" count="1">
            <x v="46"/>
          </reference>
        </references>
      </pivotArea>
    </format>
    <format dxfId="1961">
      <pivotArea dataOnly="0" labelOnly="1" outline="0" fieldPosition="0">
        <references count="2">
          <reference field="0" count="1" selected="0">
            <x v="691"/>
          </reference>
          <reference field="1" count="1">
            <x v="46"/>
          </reference>
        </references>
      </pivotArea>
    </format>
    <format dxfId="1962">
      <pivotArea dataOnly="0" labelOnly="1" outline="0" fieldPosition="0">
        <references count="2">
          <reference field="0" count="1" selected="0">
            <x v="692"/>
          </reference>
          <reference field="1" count="1">
            <x v="46"/>
          </reference>
        </references>
      </pivotArea>
    </format>
    <format dxfId="1963">
      <pivotArea dataOnly="0" labelOnly="1" outline="0" fieldPosition="0">
        <references count="2">
          <reference field="0" count="1" selected="0">
            <x v="693"/>
          </reference>
          <reference field="1" count="1">
            <x v="47"/>
          </reference>
        </references>
      </pivotArea>
    </format>
    <format dxfId="1964">
      <pivotArea dataOnly="0" labelOnly="1" outline="0" fieldPosition="0">
        <references count="2">
          <reference field="0" count="1" selected="0">
            <x v="694"/>
          </reference>
          <reference field="1" count="1">
            <x v="47"/>
          </reference>
        </references>
      </pivotArea>
    </format>
    <format dxfId="1965">
      <pivotArea dataOnly="0" labelOnly="1" outline="0" fieldPosition="0">
        <references count="2">
          <reference field="0" count="1" selected="0">
            <x v="695"/>
          </reference>
          <reference field="1" count="1">
            <x v="47"/>
          </reference>
        </references>
      </pivotArea>
    </format>
    <format dxfId="1966">
      <pivotArea dataOnly="0" labelOnly="1" outline="0" fieldPosition="0">
        <references count="2">
          <reference field="0" count="1" selected="0">
            <x v="696"/>
          </reference>
          <reference field="1" count="1">
            <x v="47"/>
          </reference>
        </references>
      </pivotArea>
    </format>
    <format dxfId="1967">
      <pivotArea dataOnly="0" labelOnly="1" outline="0" fieldPosition="0">
        <references count="2">
          <reference field="0" count="1" selected="0">
            <x v="697"/>
          </reference>
          <reference field="1" count="1">
            <x v="47"/>
          </reference>
        </references>
      </pivotArea>
    </format>
    <format dxfId="1968">
      <pivotArea dataOnly="0" labelOnly="1" outline="0" fieldPosition="0">
        <references count="2">
          <reference field="0" count="1" selected="0">
            <x v="698"/>
          </reference>
          <reference field="1" count="1">
            <x v="47"/>
          </reference>
        </references>
      </pivotArea>
    </format>
    <format dxfId="1969">
      <pivotArea dataOnly="0" labelOnly="1" outline="0" fieldPosition="0">
        <references count="2">
          <reference field="0" count="1" selected="0">
            <x v="699"/>
          </reference>
          <reference field="1" count="1">
            <x v="47"/>
          </reference>
        </references>
      </pivotArea>
    </format>
    <format dxfId="1970">
      <pivotArea dataOnly="0" labelOnly="1" outline="0" fieldPosition="0">
        <references count="2">
          <reference field="0" count="1" selected="0">
            <x v="700"/>
          </reference>
          <reference field="1" count="1">
            <x v="47"/>
          </reference>
        </references>
      </pivotArea>
    </format>
    <format dxfId="1971">
      <pivotArea dataOnly="0" labelOnly="1" outline="0" fieldPosition="0">
        <references count="2">
          <reference field="0" count="1" selected="0">
            <x v="701"/>
          </reference>
          <reference field="1" count="1">
            <x v="47"/>
          </reference>
        </references>
      </pivotArea>
    </format>
    <format dxfId="1972">
      <pivotArea dataOnly="0" labelOnly="1" outline="0" fieldPosition="0">
        <references count="2">
          <reference field="0" count="1" selected="0">
            <x v="702"/>
          </reference>
          <reference field="1" count="1">
            <x v="47"/>
          </reference>
        </references>
      </pivotArea>
    </format>
    <format dxfId="1973">
      <pivotArea dataOnly="0" labelOnly="1" outline="0" fieldPosition="0">
        <references count="2">
          <reference field="0" count="1" selected="0">
            <x v="703"/>
          </reference>
          <reference field="1" count="1">
            <x v="47"/>
          </reference>
        </references>
      </pivotArea>
    </format>
    <format dxfId="1974">
      <pivotArea dataOnly="0" labelOnly="1" outline="0" fieldPosition="0">
        <references count="2">
          <reference field="0" count="1" selected="0">
            <x v="704"/>
          </reference>
          <reference field="1" count="1">
            <x v="47"/>
          </reference>
        </references>
      </pivotArea>
    </format>
    <format dxfId="1975">
      <pivotArea dataOnly="0" labelOnly="1" outline="0" fieldPosition="0">
        <references count="2">
          <reference field="0" count="1" selected="0">
            <x v="705"/>
          </reference>
          <reference field="1" count="1">
            <x v="47"/>
          </reference>
        </references>
      </pivotArea>
    </format>
    <format dxfId="1976">
      <pivotArea dataOnly="0" labelOnly="1" outline="0" fieldPosition="0">
        <references count="2">
          <reference field="0" count="1" selected="0">
            <x v="706"/>
          </reference>
          <reference field="1" count="1">
            <x v="48"/>
          </reference>
        </references>
      </pivotArea>
    </format>
    <format dxfId="1977">
      <pivotArea dataOnly="0" labelOnly="1" outline="0" fieldPosition="0">
        <references count="2">
          <reference field="0" count="1" selected="0">
            <x v="707"/>
          </reference>
          <reference field="1" count="1">
            <x v="48"/>
          </reference>
        </references>
      </pivotArea>
    </format>
    <format dxfId="1978">
      <pivotArea dataOnly="0" labelOnly="1" outline="0" fieldPosition="0">
        <references count="2">
          <reference field="0" count="1" selected="0">
            <x v="708"/>
          </reference>
          <reference field="1" count="1">
            <x v="48"/>
          </reference>
        </references>
      </pivotArea>
    </format>
    <format dxfId="1979">
      <pivotArea dataOnly="0" labelOnly="1" outline="0" fieldPosition="0">
        <references count="2">
          <reference field="0" count="1" selected="0">
            <x v="709"/>
          </reference>
          <reference field="1" count="1">
            <x v="48"/>
          </reference>
        </references>
      </pivotArea>
    </format>
    <format dxfId="1980">
      <pivotArea dataOnly="0" labelOnly="1" outline="0" fieldPosition="0">
        <references count="2">
          <reference field="0" count="1" selected="0">
            <x v="710"/>
          </reference>
          <reference field="1" count="1">
            <x v="48"/>
          </reference>
        </references>
      </pivotArea>
    </format>
    <format dxfId="1981">
      <pivotArea dataOnly="0" labelOnly="1" outline="0" fieldPosition="0">
        <references count="2">
          <reference field="0" count="1" selected="0">
            <x v="711"/>
          </reference>
          <reference field="1" count="1">
            <x v="48"/>
          </reference>
        </references>
      </pivotArea>
    </format>
    <format dxfId="1982">
      <pivotArea dataOnly="0" labelOnly="1" outline="0" fieldPosition="0">
        <references count="2">
          <reference field="0" count="1" selected="0">
            <x v="712"/>
          </reference>
          <reference field="1" count="1">
            <x v="48"/>
          </reference>
        </references>
      </pivotArea>
    </format>
    <format dxfId="1983">
      <pivotArea dataOnly="0" labelOnly="1" outline="0" fieldPosition="0">
        <references count="2">
          <reference field="0" count="1" selected="0">
            <x v="713"/>
          </reference>
          <reference field="1" count="1">
            <x v="48"/>
          </reference>
        </references>
      </pivotArea>
    </format>
    <format dxfId="1984">
      <pivotArea dataOnly="0" labelOnly="1" outline="0" fieldPosition="0">
        <references count="2">
          <reference field="0" count="1" selected="0">
            <x v="714"/>
          </reference>
          <reference field="1" count="1">
            <x v="48"/>
          </reference>
        </references>
      </pivotArea>
    </format>
    <format dxfId="1985">
      <pivotArea dataOnly="0" labelOnly="1" outline="0" fieldPosition="0">
        <references count="2">
          <reference field="0" count="1" selected="0">
            <x v="715"/>
          </reference>
          <reference field="1" count="1">
            <x v="48"/>
          </reference>
        </references>
      </pivotArea>
    </format>
    <format dxfId="1986">
      <pivotArea dataOnly="0" labelOnly="1" outline="0" fieldPosition="0">
        <references count="2">
          <reference field="0" count="1" selected="0">
            <x v="716"/>
          </reference>
          <reference field="1" count="1">
            <x v="48"/>
          </reference>
        </references>
      </pivotArea>
    </format>
    <format dxfId="1987">
      <pivotArea dataOnly="0" labelOnly="1" outline="0" fieldPosition="0">
        <references count="2">
          <reference field="0" count="1" selected="0">
            <x v="717"/>
          </reference>
          <reference field="1" count="1">
            <x v="48"/>
          </reference>
        </references>
      </pivotArea>
    </format>
    <format dxfId="1988">
      <pivotArea dataOnly="0" labelOnly="1" outline="0" fieldPosition="0">
        <references count="2">
          <reference field="0" count="1" selected="0">
            <x v="718"/>
          </reference>
          <reference field="1" count="1">
            <x v="48"/>
          </reference>
        </references>
      </pivotArea>
    </format>
    <format dxfId="1989">
      <pivotArea dataOnly="0" labelOnly="1" outline="0" fieldPosition="0">
        <references count="2">
          <reference field="0" count="1" selected="0">
            <x v="719"/>
          </reference>
          <reference field="1" count="1">
            <x v="48"/>
          </reference>
        </references>
      </pivotArea>
    </format>
    <format dxfId="1990">
      <pivotArea dataOnly="0" labelOnly="1" outline="0" fieldPosition="0">
        <references count="2">
          <reference field="0" count="1" selected="0">
            <x v="720"/>
          </reference>
          <reference field="1" count="1">
            <x v="48"/>
          </reference>
        </references>
      </pivotArea>
    </format>
    <format dxfId="1991">
      <pivotArea dataOnly="0" labelOnly="1" outline="0" fieldPosition="0">
        <references count="2">
          <reference field="0" count="1" selected="0">
            <x v="721"/>
          </reference>
          <reference field="1" count="1">
            <x v="48"/>
          </reference>
        </references>
      </pivotArea>
    </format>
    <format dxfId="1992">
      <pivotArea dataOnly="0" labelOnly="1" outline="0" fieldPosition="0">
        <references count="2">
          <reference field="0" count="1" selected="0">
            <x v="722"/>
          </reference>
          <reference field="1" count="1">
            <x v="48"/>
          </reference>
        </references>
      </pivotArea>
    </format>
    <format dxfId="1993">
      <pivotArea dataOnly="0" labelOnly="1" outline="0" fieldPosition="0">
        <references count="2">
          <reference field="0" count="1" selected="0">
            <x v="723"/>
          </reference>
          <reference field="1" count="1">
            <x v="48"/>
          </reference>
        </references>
      </pivotArea>
    </format>
    <format dxfId="1994">
      <pivotArea dataOnly="0" labelOnly="1" outline="0" fieldPosition="0">
        <references count="2">
          <reference field="0" count="1" selected="0">
            <x v="724"/>
          </reference>
          <reference field="1" count="1">
            <x v="49"/>
          </reference>
        </references>
      </pivotArea>
    </format>
    <format dxfId="1995">
      <pivotArea dataOnly="0" labelOnly="1" outline="0" fieldPosition="0">
        <references count="2">
          <reference field="0" count="1" selected="0">
            <x v="725"/>
          </reference>
          <reference field="1" count="1">
            <x v="49"/>
          </reference>
        </references>
      </pivotArea>
    </format>
    <format dxfId="1996">
      <pivotArea dataOnly="0" labelOnly="1" outline="0" fieldPosition="0">
        <references count="2">
          <reference field="0" count="1" selected="0">
            <x v="726"/>
          </reference>
          <reference field="1" count="1">
            <x v="49"/>
          </reference>
        </references>
      </pivotArea>
    </format>
    <format dxfId="1997">
      <pivotArea dataOnly="0" labelOnly="1" outline="0" fieldPosition="0">
        <references count="2">
          <reference field="0" count="1" selected="0">
            <x v="727"/>
          </reference>
          <reference field="1" count="1">
            <x v="49"/>
          </reference>
        </references>
      </pivotArea>
    </format>
    <format dxfId="1998">
      <pivotArea dataOnly="0" labelOnly="1" outline="0" fieldPosition="0">
        <references count="2">
          <reference field="0" count="1" selected="0">
            <x v="728"/>
          </reference>
          <reference field="1" count="1">
            <x v="49"/>
          </reference>
        </references>
      </pivotArea>
    </format>
    <format dxfId="1999">
      <pivotArea dataOnly="0" labelOnly="1" outline="0" fieldPosition="0">
        <references count="2">
          <reference field="0" count="1" selected="0">
            <x v="729"/>
          </reference>
          <reference field="1" count="1">
            <x v="49"/>
          </reference>
        </references>
      </pivotArea>
    </format>
    <format dxfId="2000">
      <pivotArea dataOnly="0" labelOnly="1" outline="0" fieldPosition="0">
        <references count="2">
          <reference field="0" count="1" selected="0">
            <x v="730"/>
          </reference>
          <reference field="1" count="1">
            <x v="49"/>
          </reference>
        </references>
      </pivotArea>
    </format>
    <format dxfId="2001">
      <pivotArea dataOnly="0" labelOnly="1" outline="0" fieldPosition="0">
        <references count="2">
          <reference field="0" count="1" selected="0">
            <x v="731"/>
          </reference>
          <reference field="1" count="1">
            <x v="49"/>
          </reference>
        </references>
      </pivotArea>
    </format>
    <format dxfId="2002">
      <pivotArea dataOnly="0" labelOnly="1" outline="0" fieldPosition="0">
        <references count="2">
          <reference field="0" count="1" selected="0">
            <x v="732"/>
          </reference>
          <reference field="1" count="1">
            <x v="49"/>
          </reference>
        </references>
      </pivotArea>
    </format>
    <format dxfId="2003">
      <pivotArea dataOnly="0" labelOnly="1" outline="0" fieldPosition="0">
        <references count="2">
          <reference field="0" count="1" selected="0">
            <x v="733"/>
          </reference>
          <reference field="1" count="1">
            <x v="49"/>
          </reference>
        </references>
      </pivotArea>
    </format>
    <format dxfId="2004">
      <pivotArea dataOnly="0" labelOnly="1" outline="0" fieldPosition="0">
        <references count="2">
          <reference field="0" count="1" selected="0">
            <x v="734"/>
          </reference>
          <reference field="1" count="1">
            <x v="50"/>
          </reference>
        </references>
      </pivotArea>
    </format>
    <format dxfId="2005">
      <pivotArea dataOnly="0" labelOnly="1" outline="0" fieldPosition="0">
        <references count="2">
          <reference field="0" count="1" selected="0">
            <x v="735"/>
          </reference>
          <reference field="1" count="1">
            <x v="50"/>
          </reference>
        </references>
      </pivotArea>
    </format>
    <format dxfId="2006">
      <pivotArea dataOnly="0" labelOnly="1" outline="0" fieldPosition="0">
        <references count="2">
          <reference field="0" count="1" selected="0">
            <x v="736"/>
          </reference>
          <reference field="1" count="1">
            <x v="50"/>
          </reference>
        </references>
      </pivotArea>
    </format>
    <format dxfId="2007">
      <pivotArea dataOnly="0" labelOnly="1" outline="0" fieldPosition="0">
        <references count="2">
          <reference field="0" count="1" selected="0">
            <x v="737"/>
          </reference>
          <reference field="1" count="1">
            <x v="50"/>
          </reference>
        </references>
      </pivotArea>
    </format>
    <format dxfId="2008">
      <pivotArea dataOnly="0" labelOnly="1" outline="0" fieldPosition="0">
        <references count="2">
          <reference field="0" count="1" selected="0">
            <x v="738"/>
          </reference>
          <reference field="1" count="1">
            <x v="50"/>
          </reference>
        </references>
      </pivotArea>
    </format>
    <format dxfId="2009">
      <pivotArea dataOnly="0" labelOnly="1" outline="0" fieldPosition="0">
        <references count="2">
          <reference field="0" count="1" selected="0">
            <x v="739"/>
          </reference>
          <reference field="1" count="1">
            <x v="50"/>
          </reference>
        </references>
      </pivotArea>
    </format>
    <format dxfId="2010">
      <pivotArea dataOnly="0" labelOnly="1" outline="0" fieldPosition="0">
        <references count="2">
          <reference field="0" count="1" selected="0">
            <x v="740"/>
          </reference>
          <reference field="1" count="1">
            <x v="50"/>
          </reference>
        </references>
      </pivotArea>
    </format>
    <format dxfId="2011">
      <pivotArea dataOnly="0" labelOnly="1" outline="0" fieldPosition="0">
        <references count="2">
          <reference field="0" count="1" selected="0">
            <x v="741"/>
          </reference>
          <reference field="1" count="1">
            <x v="50"/>
          </reference>
        </references>
      </pivotArea>
    </format>
    <format dxfId="2012">
      <pivotArea dataOnly="0" labelOnly="1" outline="0" fieldPosition="0">
        <references count="2">
          <reference field="0" count="1" selected="0">
            <x v="742"/>
          </reference>
          <reference field="1" count="1">
            <x v="50"/>
          </reference>
        </references>
      </pivotArea>
    </format>
    <format dxfId="2013">
      <pivotArea dataOnly="0" labelOnly="1" outline="0" fieldPosition="0">
        <references count="2">
          <reference field="0" count="1" selected="0">
            <x v="743"/>
          </reference>
          <reference field="1" count="1">
            <x v="50"/>
          </reference>
        </references>
      </pivotArea>
    </format>
    <format dxfId="2014">
      <pivotArea dataOnly="0" labelOnly="1" outline="0" fieldPosition="0">
        <references count="2">
          <reference field="0" count="1" selected="0">
            <x v="744"/>
          </reference>
          <reference field="1" count="1">
            <x v="50"/>
          </reference>
        </references>
      </pivotArea>
    </format>
    <format dxfId="2015">
      <pivotArea dataOnly="0" labelOnly="1" outline="0" fieldPosition="0">
        <references count="2">
          <reference field="0" count="1" selected="0">
            <x v="745"/>
          </reference>
          <reference field="1" count="1">
            <x v="50"/>
          </reference>
        </references>
      </pivotArea>
    </format>
    <format dxfId="2016">
      <pivotArea dataOnly="0" labelOnly="1" outline="0" fieldPosition="0">
        <references count="2">
          <reference field="0" count="1" selected="0">
            <x v="746"/>
          </reference>
          <reference field="1" count="1">
            <x v="50"/>
          </reference>
        </references>
      </pivotArea>
    </format>
    <format dxfId="2017">
      <pivotArea dataOnly="0" labelOnly="1" outline="0" fieldPosition="0">
        <references count="2">
          <reference field="0" count="1" selected="0">
            <x v="747"/>
          </reference>
          <reference field="1" count="1">
            <x v="50"/>
          </reference>
        </references>
      </pivotArea>
    </format>
    <format dxfId="2018">
      <pivotArea dataOnly="0" labelOnly="1" outline="0" fieldPosition="0">
        <references count="2">
          <reference field="0" count="1" selected="0">
            <x v="748"/>
          </reference>
          <reference field="1" count="1">
            <x v="51"/>
          </reference>
        </references>
      </pivotArea>
    </format>
    <format dxfId="2019">
      <pivotArea dataOnly="0" labelOnly="1" outline="0" fieldPosition="0">
        <references count="2">
          <reference field="0" count="1" selected="0">
            <x v="749"/>
          </reference>
          <reference field="1" count="1">
            <x v="51"/>
          </reference>
        </references>
      </pivotArea>
    </format>
    <format dxfId="2020">
      <pivotArea dataOnly="0" labelOnly="1" outline="0" fieldPosition="0">
        <references count="2">
          <reference field="0" count="1" selected="0">
            <x v="750"/>
          </reference>
          <reference field="1" count="1">
            <x v="51"/>
          </reference>
        </references>
      </pivotArea>
    </format>
    <format dxfId="2021">
      <pivotArea dataOnly="0" labelOnly="1" outline="0" fieldPosition="0">
        <references count="2">
          <reference field="0" count="1" selected="0">
            <x v="751"/>
          </reference>
          <reference field="1" count="1">
            <x v="51"/>
          </reference>
        </references>
      </pivotArea>
    </format>
    <format dxfId="2022">
      <pivotArea dataOnly="0" labelOnly="1" outline="0" fieldPosition="0">
        <references count="2">
          <reference field="0" count="1" selected="0">
            <x v="752"/>
          </reference>
          <reference field="1" count="1">
            <x v="51"/>
          </reference>
        </references>
      </pivotArea>
    </format>
    <format dxfId="2023">
      <pivotArea dataOnly="0" labelOnly="1" outline="0" fieldPosition="0">
        <references count="2">
          <reference field="0" count="1" selected="0">
            <x v="753"/>
          </reference>
          <reference field="1" count="1">
            <x v="51"/>
          </reference>
        </references>
      </pivotArea>
    </format>
    <format dxfId="2024">
      <pivotArea dataOnly="0" labelOnly="1" outline="0" fieldPosition="0">
        <references count="2">
          <reference field="0" count="1" selected="0">
            <x v="754"/>
          </reference>
          <reference field="1" count="1">
            <x v="51"/>
          </reference>
        </references>
      </pivotArea>
    </format>
    <format dxfId="2025">
      <pivotArea dataOnly="0" labelOnly="1" outline="0" fieldPosition="0">
        <references count="2">
          <reference field="0" count="1" selected="0">
            <x v="755"/>
          </reference>
          <reference field="1" count="1">
            <x v="51"/>
          </reference>
        </references>
      </pivotArea>
    </format>
    <format dxfId="2026">
      <pivotArea dataOnly="0" labelOnly="1" outline="0" fieldPosition="0">
        <references count="2">
          <reference field="0" count="1" selected="0">
            <x v="756"/>
          </reference>
          <reference field="1" count="1">
            <x v="51"/>
          </reference>
        </references>
      </pivotArea>
    </format>
    <format dxfId="2027">
      <pivotArea dataOnly="0" labelOnly="1" outline="0" fieldPosition="0">
        <references count="2">
          <reference field="0" count="1" selected="0">
            <x v="757"/>
          </reference>
          <reference field="1" count="1">
            <x v="51"/>
          </reference>
        </references>
      </pivotArea>
    </format>
    <format dxfId="2028">
      <pivotArea dataOnly="0" labelOnly="1" outline="0" fieldPosition="0">
        <references count="2">
          <reference field="0" count="1" selected="0">
            <x v="758"/>
          </reference>
          <reference field="1" count="1">
            <x v="51"/>
          </reference>
        </references>
      </pivotArea>
    </format>
    <format dxfId="2029">
      <pivotArea dataOnly="0" labelOnly="1" outline="0" fieldPosition="0">
        <references count="2">
          <reference field="0" count="1" selected="0">
            <x v="759"/>
          </reference>
          <reference field="1" count="1">
            <x v="51"/>
          </reference>
        </references>
      </pivotArea>
    </format>
    <format dxfId="2030">
      <pivotArea dataOnly="0" labelOnly="1" outline="0" fieldPosition="0">
        <references count="2">
          <reference field="0" count="1" selected="0">
            <x v="760"/>
          </reference>
          <reference field="1" count="1">
            <x v="51"/>
          </reference>
        </references>
      </pivotArea>
    </format>
    <format dxfId="2031">
      <pivotArea dataOnly="0" labelOnly="1" outline="0" fieldPosition="0">
        <references count="2">
          <reference field="0" count="1" selected="0">
            <x v="761"/>
          </reference>
          <reference field="1" count="1">
            <x v="51"/>
          </reference>
        </references>
      </pivotArea>
    </format>
    <format dxfId="2032">
      <pivotArea dataOnly="0" labelOnly="1" outline="0" fieldPosition="0">
        <references count="2">
          <reference field="0" count="1" selected="0">
            <x v="762"/>
          </reference>
          <reference field="1" count="1">
            <x v="51"/>
          </reference>
        </references>
      </pivotArea>
    </format>
    <format dxfId="2033">
      <pivotArea dataOnly="0" labelOnly="1" outline="0" fieldPosition="0">
        <references count="2">
          <reference field="0" count="1" selected="0">
            <x v="763"/>
          </reference>
          <reference field="1" count="1">
            <x v="51"/>
          </reference>
        </references>
      </pivotArea>
    </format>
    <format dxfId="2034">
      <pivotArea dataOnly="0" labelOnly="1" outline="0" fieldPosition="0">
        <references count="2">
          <reference field="0" count="1" selected="0">
            <x v="764"/>
          </reference>
          <reference field="1" count="1">
            <x v="51"/>
          </reference>
        </references>
      </pivotArea>
    </format>
    <format dxfId="2035">
      <pivotArea dataOnly="0" labelOnly="1" outline="0" fieldPosition="0">
        <references count="2">
          <reference field="0" count="1" selected="0">
            <x v="765"/>
          </reference>
          <reference field="1" count="1">
            <x v="51"/>
          </reference>
        </references>
      </pivotArea>
    </format>
    <format dxfId="2036">
      <pivotArea dataOnly="0" labelOnly="1" outline="0" fieldPosition="0">
        <references count="2">
          <reference field="0" count="1" selected="0">
            <x v="766"/>
          </reference>
          <reference field="1" count="1">
            <x v="51"/>
          </reference>
        </references>
      </pivotArea>
    </format>
    <format dxfId="2037">
      <pivotArea dataOnly="0" labelOnly="1" outline="0" fieldPosition="0">
        <references count="2">
          <reference field="0" count="1" selected="0">
            <x v="767"/>
          </reference>
          <reference field="1" count="1">
            <x v="52"/>
          </reference>
        </references>
      </pivotArea>
    </format>
    <format dxfId="2038">
      <pivotArea dataOnly="0" labelOnly="1" outline="0" fieldPosition="0">
        <references count="2">
          <reference field="0" count="1" selected="0">
            <x v="768"/>
          </reference>
          <reference field="1" count="1">
            <x v="52"/>
          </reference>
        </references>
      </pivotArea>
    </format>
    <format dxfId="2039">
      <pivotArea dataOnly="0" labelOnly="1" outline="0" fieldPosition="0">
        <references count="2">
          <reference field="0" count="1" selected="0">
            <x v="769"/>
          </reference>
          <reference field="1" count="1">
            <x v="52"/>
          </reference>
        </references>
      </pivotArea>
    </format>
    <format dxfId="2040">
      <pivotArea dataOnly="0" labelOnly="1" outline="0" fieldPosition="0">
        <references count="2">
          <reference field="0" count="1" selected="0">
            <x v="770"/>
          </reference>
          <reference field="1" count="1">
            <x v="52"/>
          </reference>
        </references>
      </pivotArea>
    </format>
    <format dxfId="2041">
      <pivotArea dataOnly="0" labelOnly="1" outline="0" fieldPosition="0">
        <references count="2">
          <reference field="0" count="1" selected="0">
            <x v="771"/>
          </reference>
          <reference field="1" count="1">
            <x v="52"/>
          </reference>
        </references>
      </pivotArea>
    </format>
    <format dxfId="2042">
      <pivotArea dataOnly="0" labelOnly="1" outline="0" fieldPosition="0">
        <references count="2">
          <reference field="0" count="1" selected="0">
            <x v="772"/>
          </reference>
          <reference field="1" count="1">
            <x v="52"/>
          </reference>
        </references>
      </pivotArea>
    </format>
    <format dxfId="2043">
      <pivotArea dataOnly="0" labelOnly="1" outline="0" fieldPosition="0">
        <references count="2">
          <reference field="0" count="1" selected="0">
            <x v="773"/>
          </reference>
          <reference field="1" count="1">
            <x v="52"/>
          </reference>
        </references>
      </pivotArea>
    </format>
    <format dxfId="2044">
      <pivotArea dataOnly="0" labelOnly="1" outline="0" fieldPosition="0">
        <references count="2">
          <reference field="0" count="1" selected="0">
            <x v="774"/>
          </reference>
          <reference field="1" count="1">
            <x v="52"/>
          </reference>
        </references>
      </pivotArea>
    </format>
    <format dxfId="2045">
      <pivotArea dataOnly="0" labelOnly="1" outline="0" fieldPosition="0">
        <references count="2">
          <reference field="0" count="1" selected="0">
            <x v="775"/>
          </reference>
          <reference field="1" count="1">
            <x v="52"/>
          </reference>
        </references>
      </pivotArea>
    </format>
    <format dxfId="2046">
      <pivotArea dataOnly="0" labelOnly="1" outline="0" fieldPosition="0">
        <references count="2">
          <reference field="0" count="1" selected="0">
            <x v="776"/>
          </reference>
          <reference field="1" count="1">
            <x v="52"/>
          </reference>
        </references>
      </pivotArea>
    </format>
    <format dxfId="2047">
      <pivotArea dataOnly="0" labelOnly="1" outline="0" fieldPosition="0">
        <references count="2">
          <reference field="0" count="1" selected="0">
            <x v="777"/>
          </reference>
          <reference field="1" count="1">
            <x v="52"/>
          </reference>
        </references>
      </pivotArea>
    </format>
    <format dxfId="2048">
      <pivotArea dataOnly="0" labelOnly="1" outline="0" fieldPosition="0">
        <references count="2">
          <reference field="0" count="1" selected="0">
            <x v="778"/>
          </reference>
          <reference field="1" count="1">
            <x v="52"/>
          </reference>
        </references>
      </pivotArea>
    </format>
    <format dxfId="2049">
      <pivotArea dataOnly="0" labelOnly="1" outline="0" fieldPosition="0">
        <references count="2">
          <reference field="0" count="1" selected="0">
            <x v="779"/>
          </reference>
          <reference field="1" count="1">
            <x v="52"/>
          </reference>
        </references>
      </pivotArea>
    </format>
    <format dxfId="2050">
      <pivotArea dataOnly="0" labelOnly="1" outline="0" fieldPosition="0">
        <references count="2">
          <reference field="0" count="1" selected="0">
            <x v="780"/>
          </reference>
          <reference field="1" count="1">
            <x v="52"/>
          </reference>
        </references>
      </pivotArea>
    </format>
    <format dxfId="2051">
      <pivotArea dataOnly="0" labelOnly="1" outline="0" fieldPosition="0">
        <references count="2">
          <reference field="0" count="1" selected="0">
            <x v="781"/>
          </reference>
          <reference field="1" count="1">
            <x v="52"/>
          </reference>
        </references>
      </pivotArea>
    </format>
    <format dxfId="2052">
      <pivotArea dataOnly="0" labelOnly="1" outline="0" fieldPosition="0">
        <references count="2">
          <reference field="0" count="1" selected="0">
            <x v="782"/>
          </reference>
          <reference field="1" count="1">
            <x v="52"/>
          </reference>
        </references>
      </pivotArea>
    </format>
    <format dxfId="2053">
      <pivotArea dataOnly="0" labelOnly="1" outline="0" fieldPosition="0">
        <references count="2">
          <reference field="0" count="1" selected="0">
            <x v="783"/>
          </reference>
          <reference field="1" count="1">
            <x v="53"/>
          </reference>
        </references>
      </pivotArea>
    </format>
    <format dxfId="2054">
      <pivotArea dataOnly="0" labelOnly="1" outline="0" fieldPosition="0">
        <references count="2">
          <reference field="0" count="1" selected="0">
            <x v="784"/>
          </reference>
          <reference field="1" count="1">
            <x v="53"/>
          </reference>
        </references>
      </pivotArea>
    </format>
    <format dxfId="2055">
      <pivotArea dataOnly="0" labelOnly="1" outline="0" fieldPosition="0">
        <references count="2">
          <reference field="0" count="1" selected="0">
            <x v="785"/>
          </reference>
          <reference field="1" count="1">
            <x v="53"/>
          </reference>
        </references>
      </pivotArea>
    </format>
    <format dxfId="2056">
      <pivotArea dataOnly="0" labelOnly="1" outline="0" fieldPosition="0">
        <references count="2">
          <reference field="0" count="1" selected="0">
            <x v="786"/>
          </reference>
          <reference field="1" count="1">
            <x v="53"/>
          </reference>
        </references>
      </pivotArea>
    </format>
    <format dxfId="2057">
      <pivotArea dataOnly="0" labelOnly="1" outline="0" fieldPosition="0">
        <references count="2">
          <reference field="0" count="1" selected="0">
            <x v="787"/>
          </reference>
          <reference field="1" count="1">
            <x v="53"/>
          </reference>
        </references>
      </pivotArea>
    </format>
    <format dxfId="2058">
      <pivotArea dataOnly="0" labelOnly="1" outline="0" fieldPosition="0">
        <references count="2">
          <reference field="0" count="1" selected="0">
            <x v="788"/>
          </reference>
          <reference field="1" count="1">
            <x v="53"/>
          </reference>
        </references>
      </pivotArea>
    </format>
    <format dxfId="2059">
      <pivotArea dataOnly="0" labelOnly="1" outline="0" fieldPosition="0">
        <references count="2">
          <reference field="0" count="1" selected="0">
            <x v="789"/>
          </reference>
          <reference field="1" count="1">
            <x v="53"/>
          </reference>
        </references>
      </pivotArea>
    </format>
    <format dxfId="2060">
      <pivotArea dataOnly="0" labelOnly="1" outline="0" fieldPosition="0">
        <references count="2">
          <reference field="0" count="1" selected="0">
            <x v="790"/>
          </reference>
          <reference field="1" count="1">
            <x v="53"/>
          </reference>
        </references>
      </pivotArea>
    </format>
    <format dxfId="2061">
      <pivotArea dataOnly="0" labelOnly="1" outline="0" fieldPosition="0">
        <references count="2">
          <reference field="0" count="1" selected="0">
            <x v="791"/>
          </reference>
          <reference field="1" count="1">
            <x v="53"/>
          </reference>
        </references>
      </pivotArea>
    </format>
    <format dxfId="2062">
      <pivotArea dataOnly="0" labelOnly="1" outline="0" fieldPosition="0">
        <references count="2">
          <reference field="0" count="1" selected="0">
            <x v="792"/>
          </reference>
          <reference field="1" count="1">
            <x v="53"/>
          </reference>
        </references>
      </pivotArea>
    </format>
    <format dxfId="2063">
      <pivotArea dataOnly="0" labelOnly="1" outline="0" fieldPosition="0">
        <references count="2">
          <reference field="0" count="1" selected="0">
            <x v="793"/>
          </reference>
          <reference field="1" count="1">
            <x v="53"/>
          </reference>
        </references>
      </pivotArea>
    </format>
    <format dxfId="2064">
      <pivotArea dataOnly="0" labelOnly="1" outline="0" fieldPosition="0">
        <references count="2">
          <reference field="0" count="1" selected="0">
            <x v="794"/>
          </reference>
          <reference field="1" count="1">
            <x v="54"/>
          </reference>
        </references>
      </pivotArea>
    </format>
    <format dxfId="2065">
      <pivotArea dataOnly="0" labelOnly="1" outline="0" fieldPosition="0">
        <references count="2">
          <reference field="0" count="1" selected="0">
            <x v="795"/>
          </reference>
          <reference field="1" count="1">
            <x v="54"/>
          </reference>
        </references>
      </pivotArea>
    </format>
    <format dxfId="2066">
      <pivotArea dataOnly="0" labelOnly="1" outline="0" fieldPosition="0">
        <references count="2">
          <reference field="0" count="1" selected="0">
            <x v="796"/>
          </reference>
          <reference field="1" count="1">
            <x v="54"/>
          </reference>
        </references>
      </pivotArea>
    </format>
    <format dxfId="2067">
      <pivotArea dataOnly="0" labelOnly="1" outline="0" fieldPosition="0">
        <references count="2">
          <reference field="0" count="1" selected="0">
            <x v="797"/>
          </reference>
          <reference field="1" count="1">
            <x v="54"/>
          </reference>
        </references>
      </pivotArea>
    </format>
    <format dxfId="2068">
      <pivotArea dataOnly="0" labelOnly="1" outline="0" fieldPosition="0">
        <references count="2">
          <reference field="0" count="1" selected="0">
            <x v="798"/>
          </reference>
          <reference field="1" count="1">
            <x v="54"/>
          </reference>
        </references>
      </pivotArea>
    </format>
    <format dxfId="2069">
      <pivotArea dataOnly="0" labelOnly="1" outline="0" fieldPosition="0">
        <references count="2">
          <reference field="0" count="1" selected="0">
            <x v="799"/>
          </reference>
          <reference field="1" count="1">
            <x v="54"/>
          </reference>
        </references>
      </pivotArea>
    </format>
    <format dxfId="2070">
      <pivotArea dataOnly="0" labelOnly="1" outline="0" fieldPosition="0">
        <references count="2">
          <reference field="0" count="1" selected="0">
            <x v="800"/>
          </reference>
          <reference field="1" count="1">
            <x v="54"/>
          </reference>
        </references>
      </pivotArea>
    </format>
    <format dxfId="2071">
      <pivotArea dataOnly="0" labelOnly="1" outline="0" fieldPosition="0">
        <references count="2">
          <reference field="0" count="1" selected="0">
            <x v="801"/>
          </reference>
          <reference field="1" count="1">
            <x v="54"/>
          </reference>
        </references>
      </pivotArea>
    </format>
    <format dxfId="2072">
      <pivotArea dataOnly="0" labelOnly="1" outline="0" fieldPosition="0">
        <references count="2">
          <reference field="0" count="1" selected="0">
            <x v="802"/>
          </reference>
          <reference field="1" count="1">
            <x v="54"/>
          </reference>
        </references>
      </pivotArea>
    </format>
    <format dxfId="2073">
      <pivotArea dataOnly="0" labelOnly="1" outline="0" fieldPosition="0">
        <references count="2">
          <reference field="0" count="1" selected="0">
            <x v="803"/>
          </reference>
          <reference field="1" count="1">
            <x v="54"/>
          </reference>
        </references>
      </pivotArea>
    </format>
    <format dxfId="2074">
      <pivotArea dataOnly="0" labelOnly="1" outline="0" fieldPosition="0">
        <references count="2">
          <reference field="0" count="1" selected="0">
            <x v="804"/>
          </reference>
          <reference field="1" count="1">
            <x v="54"/>
          </reference>
        </references>
      </pivotArea>
    </format>
    <format dxfId="2075">
      <pivotArea dataOnly="0" labelOnly="1" outline="0" fieldPosition="0">
        <references count="2">
          <reference field="0" count="1" selected="0">
            <x v="805"/>
          </reference>
          <reference field="1" count="1">
            <x v="54"/>
          </reference>
        </references>
      </pivotArea>
    </format>
    <format dxfId="2076">
      <pivotArea dataOnly="0" labelOnly="1" outline="0" fieldPosition="0">
        <references count="2">
          <reference field="0" count="1" selected="0">
            <x v="806"/>
          </reference>
          <reference field="1" count="1">
            <x v="55"/>
          </reference>
        </references>
      </pivotArea>
    </format>
    <format dxfId="2077">
      <pivotArea dataOnly="0" labelOnly="1" outline="0" fieldPosition="0">
        <references count="2">
          <reference field="0" count="1" selected="0">
            <x v="807"/>
          </reference>
          <reference field="1" count="1">
            <x v="55"/>
          </reference>
        </references>
      </pivotArea>
    </format>
    <format dxfId="2078">
      <pivotArea dataOnly="0" labelOnly="1" outline="0" fieldPosition="0">
        <references count="2">
          <reference field="0" count="1" selected="0">
            <x v="808"/>
          </reference>
          <reference field="1" count="1">
            <x v="55"/>
          </reference>
        </references>
      </pivotArea>
    </format>
    <format dxfId="2079">
      <pivotArea dataOnly="0" labelOnly="1" outline="0" fieldPosition="0">
        <references count="2">
          <reference field="0" count="1" selected="0">
            <x v="809"/>
          </reference>
          <reference field="1" count="1">
            <x v="55"/>
          </reference>
        </references>
      </pivotArea>
    </format>
    <format dxfId="2080">
      <pivotArea dataOnly="0" labelOnly="1" outline="0" fieldPosition="0">
        <references count="2">
          <reference field="0" count="1" selected="0">
            <x v="810"/>
          </reference>
          <reference field="1" count="1">
            <x v="55"/>
          </reference>
        </references>
      </pivotArea>
    </format>
    <format dxfId="2081">
      <pivotArea dataOnly="0" labelOnly="1" outline="0" fieldPosition="0">
        <references count="2">
          <reference field="0" count="1" selected="0">
            <x v="811"/>
          </reference>
          <reference field="1" count="1">
            <x v="55"/>
          </reference>
        </references>
      </pivotArea>
    </format>
    <format dxfId="2082">
      <pivotArea dataOnly="0" labelOnly="1" outline="0" fieldPosition="0">
        <references count="2">
          <reference field="0" count="1" selected="0">
            <x v="812"/>
          </reference>
          <reference field="1" count="1">
            <x v="55"/>
          </reference>
        </references>
      </pivotArea>
    </format>
    <format dxfId="2083">
      <pivotArea dataOnly="0" labelOnly="1" outline="0" fieldPosition="0">
        <references count="2">
          <reference field="0" count="1" selected="0">
            <x v="813"/>
          </reference>
          <reference field="1" count="1">
            <x v="55"/>
          </reference>
        </references>
      </pivotArea>
    </format>
    <format dxfId="2084">
      <pivotArea dataOnly="0" labelOnly="1" outline="0" fieldPosition="0">
        <references count="2">
          <reference field="0" count="1" selected="0">
            <x v="814"/>
          </reference>
          <reference field="1" count="1">
            <x v="55"/>
          </reference>
        </references>
      </pivotArea>
    </format>
    <format dxfId="2085">
      <pivotArea dataOnly="0" labelOnly="1" outline="0" fieldPosition="0">
        <references count="2">
          <reference field="0" count="1" selected="0">
            <x v="815"/>
          </reference>
          <reference field="1" count="1">
            <x v="55"/>
          </reference>
        </references>
      </pivotArea>
    </format>
    <format dxfId="2086">
      <pivotArea dataOnly="0" labelOnly="1" outline="0" fieldPosition="0">
        <references count="2">
          <reference field="0" count="1" selected="0">
            <x v="816"/>
          </reference>
          <reference field="1" count="1">
            <x v="55"/>
          </reference>
        </references>
      </pivotArea>
    </format>
    <format dxfId="2087">
      <pivotArea dataOnly="0" labelOnly="1" outline="0" fieldPosition="0">
        <references count="2">
          <reference field="0" count="1" selected="0">
            <x v="817"/>
          </reference>
          <reference field="1" count="1">
            <x v="55"/>
          </reference>
        </references>
      </pivotArea>
    </format>
    <format dxfId="2088">
      <pivotArea dataOnly="0" labelOnly="1" outline="0" fieldPosition="0">
        <references count="2">
          <reference field="0" count="1" selected="0">
            <x v="818"/>
          </reference>
          <reference field="1" count="1">
            <x v="56"/>
          </reference>
        </references>
      </pivotArea>
    </format>
    <format dxfId="2089">
      <pivotArea dataOnly="0" labelOnly="1" outline="0" fieldPosition="0">
        <references count="2">
          <reference field="0" count="1" selected="0">
            <x v="819"/>
          </reference>
          <reference field="1" count="1">
            <x v="56"/>
          </reference>
        </references>
      </pivotArea>
    </format>
    <format dxfId="2090">
      <pivotArea dataOnly="0" labelOnly="1" outline="0" fieldPosition="0">
        <references count="2">
          <reference field="0" count="1" selected="0">
            <x v="820"/>
          </reference>
          <reference field="1" count="1">
            <x v="56"/>
          </reference>
        </references>
      </pivotArea>
    </format>
    <format dxfId="2091">
      <pivotArea dataOnly="0" labelOnly="1" outline="0" fieldPosition="0">
        <references count="2">
          <reference field="0" count="1" selected="0">
            <x v="821"/>
          </reference>
          <reference field="1" count="1">
            <x v="56"/>
          </reference>
        </references>
      </pivotArea>
    </format>
    <format dxfId="2092">
      <pivotArea dataOnly="0" labelOnly="1" outline="0" fieldPosition="0">
        <references count="2">
          <reference field="0" count="1" selected="0">
            <x v="822"/>
          </reference>
          <reference field="1" count="1">
            <x v="56"/>
          </reference>
        </references>
      </pivotArea>
    </format>
    <format dxfId="2093">
      <pivotArea dataOnly="0" labelOnly="1" outline="0" fieldPosition="0">
        <references count="2">
          <reference field="0" count="1" selected="0">
            <x v="823"/>
          </reference>
          <reference field="1" count="1">
            <x v="56"/>
          </reference>
        </references>
      </pivotArea>
    </format>
    <format dxfId="2094">
      <pivotArea dataOnly="0" labelOnly="1" outline="0" fieldPosition="0">
        <references count="2">
          <reference field="0" count="1" selected="0">
            <x v="824"/>
          </reference>
          <reference field="1" count="1">
            <x v="56"/>
          </reference>
        </references>
      </pivotArea>
    </format>
    <format dxfId="2095">
      <pivotArea dataOnly="0" labelOnly="1" outline="0" fieldPosition="0">
        <references count="2">
          <reference field="0" count="1" selected="0">
            <x v="825"/>
          </reference>
          <reference field="1" count="1">
            <x v="56"/>
          </reference>
        </references>
      </pivotArea>
    </format>
    <format dxfId="2096">
      <pivotArea dataOnly="0" labelOnly="1" outline="0" fieldPosition="0">
        <references count="2">
          <reference field="0" count="1" selected="0">
            <x v="826"/>
          </reference>
          <reference field="1" count="1">
            <x v="56"/>
          </reference>
        </references>
      </pivotArea>
    </format>
    <format dxfId="2097">
      <pivotArea dataOnly="0" labelOnly="1" outline="0" fieldPosition="0">
        <references count="2">
          <reference field="0" count="1" selected="0">
            <x v="827"/>
          </reference>
          <reference field="1" count="1">
            <x v="56"/>
          </reference>
        </references>
      </pivotArea>
    </format>
    <format dxfId="2098">
      <pivotArea dataOnly="0" labelOnly="1" outline="0" fieldPosition="0">
        <references count="2">
          <reference field="0" count="1" selected="0">
            <x v="828"/>
          </reference>
          <reference field="1" count="1">
            <x v="56"/>
          </reference>
        </references>
      </pivotArea>
    </format>
    <format dxfId="2099">
      <pivotArea dataOnly="0" labelOnly="1" outline="0" fieldPosition="0">
        <references count="2">
          <reference field="0" count="1" selected="0">
            <x v="829"/>
          </reference>
          <reference field="1" count="1">
            <x v="56"/>
          </reference>
        </references>
      </pivotArea>
    </format>
    <format dxfId="2100">
      <pivotArea dataOnly="0" labelOnly="1" outline="0" fieldPosition="0">
        <references count="2">
          <reference field="0" count="1" selected="0">
            <x v="830"/>
          </reference>
          <reference field="1" count="1">
            <x v="56"/>
          </reference>
        </references>
      </pivotArea>
    </format>
    <format dxfId="2101">
      <pivotArea dataOnly="0" labelOnly="1" outline="0" fieldPosition="0">
        <references count="2">
          <reference field="0" count="1" selected="0">
            <x v="831"/>
          </reference>
          <reference field="1" count="1">
            <x v="57"/>
          </reference>
        </references>
      </pivotArea>
    </format>
    <format dxfId="2102">
      <pivotArea dataOnly="0" labelOnly="1" outline="0" fieldPosition="0">
        <references count="2">
          <reference field="0" count="1" selected="0">
            <x v="832"/>
          </reference>
          <reference field="1" count="1">
            <x v="57"/>
          </reference>
        </references>
      </pivotArea>
    </format>
    <format dxfId="2103">
      <pivotArea dataOnly="0" labelOnly="1" outline="0" fieldPosition="0">
        <references count="2">
          <reference field="0" count="1" selected="0">
            <x v="833"/>
          </reference>
          <reference field="1" count="1">
            <x v="57"/>
          </reference>
        </references>
      </pivotArea>
    </format>
    <format dxfId="2104">
      <pivotArea dataOnly="0" labelOnly="1" outline="0" fieldPosition="0">
        <references count="2">
          <reference field="0" count="1" selected="0">
            <x v="834"/>
          </reference>
          <reference field="1" count="1">
            <x v="57"/>
          </reference>
        </references>
      </pivotArea>
    </format>
    <format dxfId="2105">
      <pivotArea dataOnly="0" labelOnly="1" outline="0" fieldPosition="0">
        <references count="2">
          <reference field="0" count="1" selected="0">
            <x v="835"/>
          </reference>
          <reference field="1" count="1">
            <x v="57"/>
          </reference>
        </references>
      </pivotArea>
    </format>
    <format dxfId="2106">
      <pivotArea dataOnly="0" labelOnly="1" outline="0" fieldPosition="0">
        <references count="2">
          <reference field="0" count="1" selected="0">
            <x v="836"/>
          </reference>
          <reference field="1" count="1">
            <x v="57"/>
          </reference>
        </references>
      </pivotArea>
    </format>
    <format dxfId="2107">
      <pivotArea dataOnly="0" labelOnly="1" outline="0" fieldPosition="0">
        <references count="2">
          <reference field="0" count="1" selected="0">
            <x v="837"/>
          </reference>
          <reference field="1" count="1">
            <x v="57"/>
          </reference>
        </references>
      </pivotArea>
    </format>
    <format dxfId="2108">
      <pivotArea dataOnly="0" labelOnly="1" outline="0" fieldPosition="0">
        <references count="2">
          <reference field="0" count="1" selected="0">
            <x v="838"/>
          </reference>
          <reference field="1" count="1">
            <x v="57"/>
          </reference>
        </references>
      </pivotArea>
    </format>
    <format dxfId="2109">
      <pivotArea dataOnly="0" labelOnly="1" outline="0" fieldPosition="0">
        <references count="2">
          <reference field="0" count="1" selected="0">
            <x v="839"/>
          </reference>
          <reference field="1" count="1">
            <x v="57"/>
          </reference>
        </references>
      </pivotArea>
    </format>
    <format dxfId="2110">
      <pivotArea dataOnly="0" labelOnly="1" outline="0" fieldPosition="0">
        <references count="2">
          <reference field="0" count="1" selected="0">
            <x v="840"/>
          </reference>
          <reference field="1" count="1">
            <x v="57"/>
          </reference>
        </references>
      </pivotArea>
    </format>
    <format dxfId="2111">
      <pivotArea dataOnly="0" labelOnly="1" outline="0" fieldPosition="0">
        <references count="2">
          <reference field="0" count="1" selected="0">
            <x v="841"/>
          </reference>
          <reference field="1" count="1">
            <x v="57"/>
          </reference>
        </references>
      </pivotArea>
    </format>
    <format dxfId="2112">
      <pivotArea dataOnly="0" labelOnly="1" outline="0" fieldPosition="0">
        <references count="2">
          <reference field="0" count="1" selected="0">
            <x v="842"/>
          </reference>
          <reference field="1" count="1">
            <x v="57"/>
          </reference>
        </references>
      </pivotArea>
    </format>
    <format dxfId="2113">
      <pivotArea dataOnly="0" labelOnly="1" outline="0" fieldPosition="0">
        <references count="2">
          <reference field="0" count="1" selected="0">
            <x v="843"/>
          </reference>
          <reference field="1" count="1">
            <x v="57"/>
          </reference>
        </references>
      </pivotArea>
    </format>
    <format dxfId="2114">
      <pivotArea dataOnly="0" labelOnly="1" outline="0" fieldPosition="0">
        <references count="2">
          <reference field="0" count="1" selected="0">
            <x v="844"/>
          </reference>
          <reference field="1" count="1">
            <x v="57"/>
          </reference>
        </references>
      </pivotArea>
    </format>
    <format dxfId="2115">
      <pivotArea dataOnly="0" labelOnly="1" outline="0" fieldPosition="0">
        <references count="2">
          <reference field="0" count="1" selected="0">
            <x v="845"/>
          </reference>
          <reference field="1" count="1">
            <x v="57"/>
          </reference>
        </references>
      </pivotArea>
    </format>
    <format dxfId="2116">
      <pivotArea dataOnly="0" labelOnly="1" outline="0" fieldPosition="0">
        <references count="2">
          <reference field="0" count="1" selected="0">
            <x v="846"/>
          </reference>
          <reference field="1" count="1">
            <x v="57"/>
          </reference>
        </references>
      </pivotArea>
    </format>
    <format dxfId="2117">
      <pivotArea dataOnly="0" labelOnly="1" outline="0" fieldPosition="0">
        <references count="2">
          <reference field="0" count="1" selected="0">
            <x v="847"/>
          </reference>
          <reference field="1" count="1">
            <x v="57"/>
          </reference>
        </references>
      </pivotArea>
    </format>
    <format dxfId="2118">
      <pivotArea dataOnly="0" labelOnly="1" outline="0" fieldPosition="0">
        <references count="2">
          <reference field="0" count="1" selected="0">
            <x v="848"/>
          </reference>
          <reference field="1" count="1">
            <x v="57"/>
          </reference>
        </references>
      </pivotArea>
    </format>
    <format dxfId="2119">
      <pivotArea dataOnly="0" labelOnly="1" outline="0" fieldPosition="0">
        <references count="2">
          <reference field="0" count="1" selected="0">
            <x v="849"/>
          </reference>
          <reference field="1" count="1">
            <x v="57"/>
          </reference>
        </references>
      </pivotArea>
    </format>
    <format dxfId="2120">
      <pivotArea dataOnly="0" labelOnly="1" outline="0" fieldPosition="0">
        <references count="2">
          <reference field="0" count="1" selected="0">
            <x v="850"/>
          </reference>
          <reference field="1" count="1">
            <x v="57"/>
          </reference>
        </references>
      </pivotArea>
    </format>
    <format dxfId="2121">
      <pivotArea dataOnly="0" labelOnly="1" outline="0" fieldPosition="0">
        <references count="2">
          <reference field="0" count="1" selected="0">
            <x v="851"/>
          </reference>
          <reference field="1" count="1">
            <x v="58"/>
          </reference>
        </references>
      </pivotArea>
    </format>
    <format dxfId="2122">
      <pivotArea dataOnly="0" labelOnly="1" outline="0" fieldPosition="0">
        <references count="2">
          <reference field="0" count="1" selected="0">
            <x v="852"/>
          </reference>
          <reference field="1" count="1">
            <x v="58"/>
          </reference>
        </references>
      </pivotArea>
    </format>
    <format dxfId="2123">
      <pivotArea dataOnly="0" labelOnly="1" outline="0" fieldPosition="0">
        <references count="2">
          <reference field="0" count="1" selected="0">
            <x v="853"/>
          </reference>
          <reference field="1" count="1">
            <x v="58"/>
          </reference>
        </references>
      </pivotArea>
    </format>
    <format dxfId="2124">
      <pivotArea dataOnly="0" labelOnly="1" outline="0" fieldPosition="0">
        <references count="2">
          <reference field="0" count="1" selected="0">
            <x v="854"/>
          </reference>
          <reference field="1" count="1">
            <x v="58"/>
          </reference>
        </references>
      </pivotArea>
    </format>
    <format dxfId="2125">
      <pivotArea dataOnly="0" labelOnly="1" outline="0" fieldPosition="0">
        <references count="2">
          <reference field="0" count="1" selected="0">
            <x v="855"/>
          </reference>
          <reference field="1" count="1">
            <x v="58"/>
          </reference>
        </references>
      </pivotArea>
    </format>
    <format dxfId="2126">
      <pivotArea dataOnly="0" labelOnly="1" outline="0" fieldPosition="0">
        <references count="2">
          <reference field="0" count="1" selected="0">
            <x v="856"/>
          </reference>
          <reference field="1" count="1">
            <x v="58"/>
          </reference>
        </references>
      </pivotArea>
    </format>
    <format dxfId="2127">
      <pivotArea dataOnly="0" labelOnly="1" outline="0" fieldPosition="0">
        <references count="2">
          <reference field="0" count="1" selected="0">
            <x v="857"/>
          </reference>
          <reference field="1" count="1">
            <x v="58"/>
          </reference>
        </references>
      </pivotArea>
    </format>
    <format dxfId="2128">
      <pivotArea dataOnly="0" labelOnly="1" outline="0" fieldPosition="0">
        <references count="2">
          <reference field="0" count="1" selected="0">
            <x v="858"/>
          </reference>
          <reference field="1" count="1">
            <x v="58"/>
          </reference>
        </references>
      </pivotArea>
    </format>
    <format dxfId="2129">
      <pivotArea dataOnly="0" labelOnly="1" outline="0" fieldPosition="0">
        <references count="2">
          <reference field="0" count="1" selected="0">
            <x v="859"/>
          </reference>
          <reference field="1" count="1">
            <x v="58"/>
          </reference>
        </references>
      </pivotArea>
    </format>
    <format dxfId="2130">
      <pivotArea dataOnly="0" labelOnly="1" outline="0" fieldPosition="0">
        <references count="2">
          <reference field="0" count="1" selected="0">
            <x v="860"/>
          </reference>
          <reference field="1" count="1">
            <x v="58"/>
          </reference>
        </references>
      </pivotArea>
    </format>
    <format dxfId="2131">
      <pivotArea dataOnly="0" labelOnly="1" outline="0" fieldPosition="0">
        <references count="2">
          <reference field="0" count="1" selected="0">
            <x v="861"/>
          </reference>
          <reference field="1" count="1">
            <x v="58"/>
          </reference>
        </references>
      </pivotArea>
    </format>
    <format dxfId="2132">
      <pivotArea dataOnly="0" labelOnly="1" outline="0" fieldPosition="0">
        <references count="2">
          <reference field="0" count="1" selected="0">
            <x v="862"/>
          </reference>
          <reference field="1" count="1">
            <x v="58"/>
          </reference>
        </references>
      </pivotArea>
    </format>
    <format dxfId="2133">
      <pivotArea dataOnly="0" labelOnly="1" outline="0" fieldPosition="0">
        <references count="2">
          <reference field="0" count="1" selected="0">
            <x v="863"/>
          </reference>
          <reference field="1" count="1">
            <x v="58"/>
          </reference>
        </references>
      </pivotArea>
    </format>
    <format dxfId="2134">
      <pivotArea dataOnly="0" labelOnly="1" outline="0" fieldPosition="0">
        <references count="2">
          <reference field="0" count="1" selected="0">
            <x v="864"/>
          </reference>
          <reference field="1" count="1">
            <x v="59"/>
          </reference>
        </references>
      </pivotArea>
    </format>
    <format dxfId="2135">
      <pivotArea dataOnly="0" labelOnly="1" outline="0" fieldPosition="0">
        <references count="2">
          <reference field="0" count="1" selected="0">
            <x v="865"/>
          </reference>
          <reference field="1" count="1">
            <x v="59"/>
          </reference>
        </references>
      </pivotArea>
    </format>
    <format dxfId="2136">
      <pivotArea dataOnly="0" labelOnly="1" outline="0" fieldPosition="0">
        <references count="2">
          <reference field="0" count="1" selected="0">
            <x v="866"/>
          </reference>
          <reference field="1" count="1">
            <x v="59"/>
          </reference>
        </references>
      </pivotArea>
    </format>
    <format dxfId="2137">
      <pivotArea dataOnly="0" labelOnly="1" outline="0" fieldPosition="0">
        <references count="2">
          <reference field="0" count="1" selected="0">
            <x v="867"/>
          </reference>
          <reference field="1" count="1">
            <x v="59"/>
          </reference>
        </references>
      </pivotArea>
    </format>
    <format dxfId="2138">
      <pivotArea dataOnly="0" labelOnly="1" outline="0" fieldPosition="0">
        <references count="2">
          <reference field="0" count="1" selected="0">
            <x v="868"/>
          </reference>
          <reference field="1" count="1">
            <x v="59"/>
          </reference>
        </references>
      </pivotArea>
    </format>
    <format dxfId="2139">
      <pivotArea dataOnly="0" labelOnly="1" outline="0" fieldPosition="0">
        <references count="2">
          <reference field="0" count="1" selected="0">
            <x v="869"/>
          </reference>
          <reference field="1" count="1">
            <x v="59"/>
          </reference>
        </references>
      </pivotArea>
    </format>
    <format dxfId="2140">
      <pivotArea dataOnly="0" labelOnly="1" outline="0" fieldPosition="0">
        <references count="2">
          <reference field="0" count="1" selected="0">
            <x v="870"/>
          </reference>
          <reference field="1" count="1">
            <x v="59"/>
          </reference>
        </references>
      </pivotArea>
    </format>
    <format dxfId="2141">
      <pivotArea dataOnly="0" labelOnly="1" outline="0" fieldPosition="0">
        <references count="2">
          <reference field="0" count="1" selected="0">
            <x v="871"/>
          </reference>
          <reference field="1" count="1">
            <x v="59"/>
          </reference>
        </references>
      </pivotArea>
    </format>
    <format dxfId="2142">
      <pivotArea dataOnly="0" labelOnly="1" outline="0" fieldPosition="0">
        <references count="2">
          <reference field="0" count="1" selected="0">
            <x v="872"/>
          </reference>
          <reference field="1" count="1">
            <x v="59"/>
          </reference>
        </references>
      </pivotArea>
    </format>
    <format dxfId="2143">
      <pivotArea dataOnly="0" labelOnly="1" outline="0" fieldPosition="0">
        <references count="2">
          <reference field="0" count="1" selected="0">
            <x v="873"/>
          </reference>
          <reference field="1" count="1">
            <x v="59"/>
          </reference>
        </references>
      </pivotArea>
    </format>
    <format dxfId="2144">
      <pivotArea dataOnly="0" labelOnly="1" outline="0" fieldPosition="0">
        <references count="2">
          <reference field="0" count="1" selected="0">
            <x v="874"/>
          </reference>
          <reference field="1" count="1">
            <x v="59"/>
          </reference>
        </references>
      </pivotArea>
    </format>
    <format dxfId="2145">
      <pivotArea dataOnly="0" labelOnly="1" outline="0" fieldPosition="0">
        <references count="2">
          <reference field="0" count="1" selected="0">
            <x v="875"/>
          </reference>
          <reference field="1" count="1">
            <x v="60"/>
          </reference>
        </references>
      </pivotArea>
    </format>
    <format dxfId="2146">
      <pivotArea dataOnly="0" labelOnly="1" outline="0" fieldPosition="0">
        <references count="2">
          <reference field="0" count="1" selected="0">
            <x v="876"/>
          </reference>
          <reference field="1" count="1">
            <x v="60"/>
          </reference>
        </references>
      </pivotArea>
    </format>
    <format dxfId="2147">
      <pivotArea dataOnly="0" labelOnly="1" outline="0" fieldPosition="0">
        <references count="2">
          <reference field="0" count="1" selected="0">
            <x v="877"/>
          </reference>
          <reference field="1" count="1">
            <x v="60"/>
          </reference>
        </references>
      </pivotArea>
    </format>
    <format dxfId="2148">
      <pivotArea dataOnly="0" labelOnly="1" outline="0" fieldPosition="0">
        <references count="2">
          <reference field="0" count="1" selected="0">
            <x v="878"/>
          </reference>
          <reference field="1" count="1">
            <x v="60"/>
          </reference>
        </references>
      </pivotArea>
    </format>
    <format dxfId="2149">
      <pivotArea dataOnly="0" labelOnly="1" outline="0" fieldPosition="0">
        <references count="2">
          <reference field="0" count="1" selected="0">
            <x v="879"/>
          </reference>
          <reference field="1" count="1">
            <x v="60"/>
          </reference>
        </references>
      </pivotArea>
    </format>
    <format dxfId="2150">
      <pivotArea dataOnly="0" labelOnly="1" outline="0" fieldPosition="0">
        <references count="2">
          <reference field="0" count="1" selected="0">
            <x v="880"/>
          </reference>
          <reference field="1" count="1">
            <x v="60"/>
          </reference>
        </references>
      </pivotArea>
    </format>
    <format dxfId="2151">
      <pivotArea dataOnly="0" labelOnly="1" outline="0" fieldPosition="0">
        <references count="2">
          <reference field="0" count="1" selected="0">
            <x v="881"/>
          </reference>
          <reference field="1" count="1">
            <x v="60"/>
          </reference>
        </references>
      </pivotArea>
    </format>
    <format dxfId="2152">
      <pivotArea dataOnly="0" labelOnly="1" outline="0" fieldPosition="0">
        <references count="2">
          <reference field="0" count="1" selected="0">
            <x v="882"/>
          </reference>
          <reference field="1" count="1">
            <x v="60"/>
          </reference>
        </references>
      </pivotArea>
    </format>
    <format dxfId="2153">
      <pivotArea dataOnly="0" labelOnly="1" outline="0" fieldPosition="0">
        <references count="2">
          <reference field="0" count="1" selected="0">
            <x v="883"/>
          </reference>
          <reference field="1" count="1">
            <x v="60"/>
          </reference>
        </references>
      </pivotArea>
    </format>
    <format dxfId="2154">
      <pivotArea dataOnly="0" labelOnly="1" outline="0" fieldPosition="0">
        <references count="2">
          <reference field="0" count="1" selected="0">
            <x v="884"/>
          </reference>
          <reference field="1" count="1">
            <x v="60"/>
          </reference>
        </references>
      </pivotArea>
    </format>
    <format dxfId="2155">
      <pivotArea dataOnly="0" labelOnly="1" outline="0" fieldPosition="0">
        <references count="2">
          <reference field="0" count="1" selected="0">
            <x v="885"/>
          </reference>
          <reference field="1" count="1">
            <x v="60"/>
          </reference>
        </references>
      </pivotArea>
    </format>
    <format dxfId="2156">
      <pivotArea dataOnly="0" labelOnly="1" outline="0" fieldPosition="0">
        <references count="2">
          <reference field="0" count="1" selected="0">
            <x v="886"/>
          </reference>
          <reference field="1" count="1">
            <x v="60"/>
          </reference>
        </references>
      </pivotArea>
    </format>
    <format dxfId="2157">
      <pivotArea dataOnly="0" labelOnly="1" outline="0" fieldPosition="0">
        <references count="2">
          <reference field="0" count="1" selected="0">
            <x v="887"/>
          </reference>
          <reference field="1" count="1">
            <x v="60"/>
          </reference>
        </references>
      </pivotArea>
    </format>
    <format dxfId="2158">
      <pivotArea dataOnly="0" labelOnly="1" outline="0" fieldPosition="0">
        <references count="2">
          <reference field="0" count="1" selected="0">
            <x v="888"/>
          </reference>
          <reference field="1" count="1">
            <x v="61"/>
          </reference>
        </references>
      </pivotArea>
    </format>
    <format dxfId="2159">
      <pivotArea dataOnly="0" labelOnly="1" outline="0" fieldPosition="0">
        <references count="2">
          <reference field="0" count="1" selected="0">
            <x v="889"/>
          </reference>
          <reference field="1" count="1">
            <x v="61"/>
          </reference>
        </references>
      </pivotArea>
    </format>
    <format dxfId="2160">
      <pivotArea dataOnly="0" labelOnly="1" outline="0" fieldPosition="0">
        <references count="2">
          <reference field="0" count="1" selected="0">
            <x v="890"/>
          </reference>
          <reference field="1" count="1">
            <x v="61"/>
          </reference>
        </references>
      </pivotArea>
    </format>
    <format dxfId="2161">
      <pivotArea dataOnly="0" labelOnly="1" outline="0" fieldPosition="0">
        <references count="2">
          <reference field="0" count="1" selected="0">
            <x v="891"/>
          </reference>
          <reference field="1" count="1">
            <x v="61"/>
          </reference>
        </references>
      </pivotArea>
    </format>
    <format dxfId="2162">
      <pivotArea dataOnly="0" labelOnly="1" outline="0" fieldPosition="0">
        <references count="2">
          <reference field="0" count="1" selected="0">
            <x v="892"/>
          </reference>
          <reference field="1" count="1">
            <x v="61"/>
          </reference>
        </references>
      </pivotArea>
    </format>
    <format dxfId="2163">
      <pivotArea dataOnly="0" labelOnly="1" outline="0" fieldPosition="0">
        <references count="2">
          <reference field="0" count="1" selected="0">
            <x v="893"/>
          </reference>
          <reference field="1" count="1">
            <x v="61"/>
          </reference>
        </references>
      </pivotArea>
    </format>
    <format dxfId="2164">
      <pivotArea dataOnly="0" labelOnly="1" outline="0" fieldPosition="0">
        <references count="2">
          <reference field="0" count="1" selected="0">
            <x v="894"/>
          </reference>
          <reference field="1" count="1">
            <x v="61"/>
          </reference>
        </references>
      </pivotArea>
    </format>
    <format dxfId="2165">
      <pivotArea dataOnly="0" labelOnly="1" outline="0" fieldPosition="0">
        <references count="2">
          <reference field="0" count="1" selected="0">
            <x v="895"/>
          </reference>
          <reference field="1" count="1">
            <x v="61"/>
          </reference>
        </references>
      </pivotArea>
    </format>
    <format dxfId="2166">
      <pivotArea dataOnly="0" labelOnly="1" outline="0" fieldPosition="0">
        <references count="2">
          <reference field="0" count="1" selected="0">
            <x v="896"/>
          </reference>
          <reference field="1" count="1">
            <x v="61"/>
          </reference>
        </references>
      </pivotArea>
    </format>
    <format dxfId="2167">
      <pivotArea dataOnly="0" labelOnly="1" outline="0" fieldPosition="0">
        <references count="2">
          <reference field="0" count="1" selected="0">
            <x v="897"/>
          </reference>
          <reference field="1" count="1">
            <x v="61"/>
          </reference>
        </references>
      </pivotArea>
    </format>
    <format dxfId="2168">
      <pivotArea dataOnly="0" labelOnly="1" outline="0" fieldPosition="0">
        <references count="2">
          <reference field="0" count="1" selected="0">
            <x v="898"/>
          </reference>
          <reference field="1" count="1">
            <x v="61"/>
          </reference>
        </references>
      </pivotArea>
    </format>
    <format dxfId="2169">
      <pivotArea dataOnly="0" labelOnly="1" outline="0" fieldPosition="0">
        <references count="2">
          <reference field="0" count="1" selected="0">
            <x v="899"/>
          </reference>
          <reference field="1" count="1">
            <x v="61"/>
          </reference>
        </references>
      </pivotArea>
    </format>
    <format dxfId="2170">
      <pivotArea dataOnly="0" labelOnly="1" outline="0" fieldPosition="0">
        <references count="2">
          <reference field="0" count="1" selected="0">
            <x v="900"/>
          </reference>
          <reference field="1" count="1">
            <x v="61"/>
          </reference>
        </references>
      </pivotArea>
    </format>
    <format dxfId="2171">
      <pivotArea dataOnly="0" labelOnly="1" outline="0" fieldPosition="0">
        <references count="2">
          <reference field="0" count="1" selected="0">
            <x v="901"/>
          </reference>
          <reference field="1" count="1">
            <x v="61"/>
          </reference>
        </references>
      </pivotArea>
    </format>
    <format dxfId="2172">
      <pivotArea dataOnly="0" labelOnly="1" outline="0" fieldPosition="0">
        <references count="2">
          <reference field="0" count="1" selected="0">
            <x v="902"/>
          </reference>
          <reference field="1" count="1">
            <x v="61"/>
          </reference>
        </references>
      </pivotArea>
    </format>
    <format dxfId="2173">
      <pivotArea dataOnly="0" labelOnly="1" outline="0" fieldPosition="0">
        <references count="2">
          <reference field="0" count="1" selected="0">
            <x v="903"/>
          </reference>
          <reference field="1" count="1">
            <x v="62"/>
          </reference>
        </references>
      </pivotArea>
    </format>
    <format dxfId="2174">
      <pivotArea dataOnly="0" labelOnly="1" outline="0" fieldPosition="0">
        <references count="2">
          <reference field="0" count="1" selected="0">
            <x v="904"/>
          </reference>
          <reference field="1" count="1">
            <x v="62"/>
          </reference>
        </references>
      </pivotArea>
    </format>
    <format dxfId="2175">
      <pivotArea dataOnly="0" labelOnly="1" outline="0" fieldPosition="0">
        <references count="2">
          <reference field="0" count="1" selected="0">
            <x v="905"/>
          </reference>
          <reference field="1" count="1">
            <x v="62"/>
          </reference>
        </references>
      </pivotArea>
    </format>
    <format dxfId="2176">
      <pivotArea dataOnly="0" labelOnly="1" outline="0" fieldPosition="0">
        <references count="2">
          <reference field="0" count="1" selected="0">
            <x v="906"/>
          </reference>
          <reference field="1" count="1">
            <x v="62"/>
          </reference>
        </references>
      </pivotArea>
    </format>
    <format dxfId="2177">
      <pivotArea dataOnly="0" labelOnly="1" outline="0" fieldPosition="0">
        <references count="2">
          <reference field="0" count="1" selected="0">
            <x v="907"/>
          </reference>
          <reference field="1" count="1">
            <x v="62"/>
          </reference>
        </references>
      </pivotArea>
    </format>
    <format dxfId="2178">
      <pivotArea dataOnly="0" labelOnly="1" outline="0" fieldPosition="0">
        <references count="2">
          <reference field="0" count="1" selected="0">
            <x v="908"/>
          </reference>
          <reference field="1" count="1">
            <x v="62"/>
          </reference>
        </references>
      </pivotArea>
    </format>
    <format dxfId="2179">
      <pivotArea dataOnly="0" labelOnly="1" outline="0" fieldPosition="0">
        <references count="2">
          <reference field="0" count="1" selected="0">
            <x v="909"/>
          </reference>
          <reference field="1" count="1">
            <x v="62"/>
          </reference>
        </references>
      </pivotArea>
    </format>
    <format dxfId="2180">
      <pivotArea dataOnly="0" labelOnly="1" outline="0" fieldPosition="0">
        <references count="2">
          <reference field="0" count="1" selected="0">
            <x v="910"/>
          </reference>
          <reference field="1" count="1">
            <x v="62"/>
          </reference>
        </references>
      </pivotArea>
    </format>
    <format dxfId="2181">
      <pivotArea dataOnly="0" labelOnly="1" outline="0" fieldPosition="0">
        <references count="2">
          <reference field="0" count="1" selected="0">
            <x v="911"/>
          </reference>
          <reference field="1" count="1">
            <x v="62"/>
          </reference>
        </references>
      </pivotArea>
    </format>
    <format dxfId="2182">
      <pivotArea dataOnly="0" labelOnly="1" outline="0" fieldPosition="0">
        <references count="2">
          <reference field="0" count="1" selected="0">
            <x v="912"/>
          </reference>
          <reference field="1" count="1">
            <x v="62"/>
          </reference>
        </references>
      </pivotArea>
    </format>
    <format dxfId="2183">
      <pivotArea dataOnly="0" labelOnly="1" outline="0" fieldPosition="0">
        <references count="2">
          <reference field="0" count="1" selected="0">
            <x v="913"/>
          </reference>
          <reference field="1" count="1">
            <x v="62"/>
          </reference>
        </references>
      </pivotArea>
    </format>
    <format dxfId="2184">
      <pivotArea dataOnly="0" labelOnly="1" outline="0" fieldPosition="0">
        <references count="2">
          <reference field="0" count="1" selected="0">
            <x v="914"/>
          </reference>
          <reference field="1" count="1">
            <x v="62"/>
          </reference>
        </references>
      </pivotArea>
    </format>
    <format dxfId="2185">
      <pivotArea dataOnly="0" labelOnly="1" outline="0" fieldPosition="0">
        <references count="2">
          <reference field="0" count="1" selected="0">
            <x v="915"/>
          </reference>
          <reference field="1" count="1">
            <x v="63"/>
          </reference>
        </references>
      </pivotArea>
    </format>
    <format dxfId="2186">
      <pivotArea dataOnly="0" labelOnly="1" outline="0" fieldPosition="0">
        <references count="2">
          <reference field="0" count="1" selected="0">
            <x v="916"/>
          </reference>
          <reference field="1" count="1">
            <x v="63"/>
          </reference>
        </references>
      </pivotArea>
    </format>
    <format dxfId="2187">
      <pivotArea dataOnly="0" labelOnly="1" outline="0" fieldPosition="0">
        <references count="2">
          <reference field="0" count="1" selected="0">
            <x v="917"/>
          </reference>
          <reference field="1" count="1">
            <x v="63"/>
          </reference>
        </references>
      </pivotArea>
    </format>
    <format dxfId="2188">
      <pivotArea dataOnly="0" labelOnly="1" outline="0" fieldPosition="0">
        <references count="2">
          <reference field="0" count="1" selected="0">
            <x v="918"/>
          </reference>
          <reference field="1" count="1">
            <x v="63"/>
          </reference>
        </references>
      </pivotArea>
    </format>
    <format dxfId="2189">
      <pivotArea dataOnly="0" labelOnly="1" outline="0" fieldPosition="0">
        <references count="2">
          <reference field="0" count="1" selected="0">
            <x v="919"/>
          </reference>
          <reference field="1" count="1">
            <x v="63"/>
          </reference>
        </references>
      </pivotArea>
    </format>
    <format dxfId="2190">
      <pivotArea dataOnly="0" labelOnly="1" outline="0" fieldPosition="0">
        <references count="2">
          <reference field="0" count="1" selected="0">
            <x v="920"/>
          </reference>
          <reference field="1" count="1">
            <x v="63"/>
          </reference>
        </references>
      </pivotArea>
    </format>
    <format dxfId="2191">
      <pivotArea dataOnly="0" labelOnly="1" outline="0" fieldPosition="0">
        <references count="2">
          <reference field="0" count="1" selected="0">
            <x v="921"/>
          </reference>
          <reference field="1" count="1">
            <x v="63"/>
          </reference>
        </references>
      </pivotArea>
    </format>
    <format dxfId="2192">
      <pivotArea dataOnly="0" labelOnly="1" outline="0" fieldPosition="0">
        <references count="2">
          <reference field="0" count="1" selected="0">
            <x v="922"/>
          </reference>
          <reference field="1" count="1">
            <x v="63"/>
          </reference>
        </references>
      </pivotArea>
    </format>
    <format dxfId="2193">
      <pivotArea dataOnly="0" labelOnly="1" outline="0" fieldPosition="0">
        <references count="2">
          <reference field="0" count="1" selected="0">
            <x v="923"/>
          </reference>
          <reference field="1" count="1">
            <x v="63"/>
          </reference>
        </references>
      </pivotArea>
    </format>
    <format dxfId="2194">
      <pivotArea dataOnly="0" labelOnly="1" outline="0" fieldPosition="0">
        <references count="2">
          <reference field="0" count="1" selected="0">
            <x v="924"/>
          </reference>
          <reference field="1" count="1">
            <x v="63"/>
          </reference>
        </references>
      </pivotArea>
    </format>
    <format dxfId="2195">
      <pivotArea dataOnly="0" labelOnly="1" outline="0" fieldPosition="0">
        <references count="2">
          <reference field="0" count="1" selected="0">
            <x v="925"/>
          </reference>
          <reference field="1" count="1">
            <x v="63"/>
          </reference>
        </references>
      </pivotArea>
    </format>
    <format dxfId="2196">
      <pivotArea dataOnly="0" labelOnly="1" outline="0" fieldPosition="0">
        <references count="2">
          <reference field="0" count="1" selected="0">
            <x v="926"/>
          </reference>
          <reference field="1" count="1">
            <x v="63"/>
          </reference>
        </references>
      </pivotArea>
    </format>
    <format dxfId="2197">
      <pivotArea dataOnly="0" labelOnly="1" outline="0" fieldPosition="0">
        <references count="2">
          <reference field="0" count="1" selected="0">
            <x v="927"/>
          </reference>
          <reference field="1" count="1">
            <x v="63"/>
          </reference>
        </references>
      </pivotArea>
    </format>
    <format dxfId="2198">
      <pivotArea dataOnly="0" labelOnly="1" outline="0" fieldPosition="0">
        <references count="2">
          <reference field="0" count="1" selected="0">
            <x v="928"/>
          </reference>
          <reference field="1" count="1">
            <x v="64"/>
          </reference>
        </references>
      </pivotArea>
    </format>
    <format dxfId="2199">
      <pivotArea dataOnly="0" labelOnly="1" outline="0" fieldPosition="0">
        <references count="2">
          <reference field="0" count="1" selected="0">
            <x v="929"/>
          </reference>
          <reference field="1" count="1">
            <x v="64"/>
          </reference>
        </references>
      </pivotArea>
    </format>
    <format dxfId="2200">
      <pivotArea dataOnly="0" labelOnly="1" outline="0" fieldPosition="0">
        <references count="2">
          <reference field="0" count="1" selected="0">
            <x v="930"/>
          </reference>
          <reference field="1" count="1">
            <x v="64"/>
          </reference>
        </references>
      </pivotArea>
    </format>
    <format dxfId="2201">
      <pivotArea dataOnly="0" labelOnly="1" outline="0" fieldPosition="0">
        <references count="2">
          <reference field="0" count="1" selected="0">
            <x v="931"/>
          </reference>
          <reference field="1" count="1">
            <x v="64"/>
          </reference>
        </references>
      </pivotArea>
    </format>
    <format dxfId="2202">
      <pivotArea dataOnly="0" labelOnly="1" outline="0" fieldPosition="0">
        <references count="2">
          <reference field="0" count="1" selected="0">
            <x v="932"/>
          </reference>
          <reference field="1" count="1">
            <x v="64"/>
          </reference>
        </references>
      </pivotArea>
    </format>
    <format dxfId="2203">
      <pivotArea dataOnly="0" labelOnly="1" outline="0" fieldPosition="0">
        <references count="2">
          <reference field="0" count="1" selected="0">
            <x v="933"/>
          </reference>
          <reference field="1" count="1">
            <x v="64"/>
          </reference>
        </references>
      </pivotArea>
    </format>
    <format dxfId="2204">
      <pivotArea dataOnly="0" labelOnly="1" outline="0" fieldPosition="0">
        <references count="2">
          <reference field="0" count="1" selected="0">
            <x v="934"/>
          </reference>
          <reference field="1" count="1">
            <x v="64"/>
          </reference>
        </references>
      </pivotArea>
    </format>
    <format dxfId="2205">
      <pivotArea dataOnly="0" labelOnly="1" outline="0" fieldPosition="0">
        <references count="2">
          <reference field="0" count="1" selected="0">
            <x v="935"/>
          </reference>
          <reference field="1" count="1">
            <x v="64"/>
          </reference>
        </references>
      </pivotArea>
    </format>
    <format dxfId="2206">
      <pivotArea dataOnly="0" labelOnly="1" outline="0" fieldPosition="0">
        <references count="2">
          <reference field="0" count="1" selected="0">
            <x v="936"/>
          </reference>
          <reference field="1" count="1">
            <x v="64"/>
          </reference>
        </references>
      </pivotArea>
    </format>
    <format dxfId="2207">
      <pivotArea dataOnly="0" labelOnly="1" outline="0" fieldPosition="0">
        <references count="2">
          <reference field="0" count="1" selected="0">
            <x v="937"/>
          </reference>
          <reference field="1" count="1">
            <x v="64"/>
          </reference>
        </references>
      </pivotArea>
    </format>
    <format dxfId="2208">
      <pivotArea dataOnly="0" labelOnly="1" outline="0" fieldPosition="0">
        <references count="2">
          <reference field="0" count="1" selected="0">
            <x v="938"/>
          </reference>
          <reference field="1" count="1">
            <x v="64"/>
          </reference>
        </references>
      </pivotArea>
    </format>
    <format dxfId="2209">
      <pivotArea dataOnly="0" labelOnly="1" outline="0" fieldPosition="0">
        <references count="2">
          <reference field="0" count="1" selected="0">
            <x v="939"/>
          </reference>
          <reference field="1" count="1">
            <x v="64"/>
          </reference>
        </references>
      </pivotArea>
    </format>
    <format dxfId="2210">
      <pivotArea dataOnly="0" labelOnly="1" outline="0" fieldPosition="0">
        <references count="2">
          <reference field="0" count="1" selected="0">
            <x v="940"/>
          </reference>
          <reference field="1" count="1">
            <x v="64"/>
          </reference>
        </references>
      </pivotArea>
    </format>
    <format dxfId="2211">
      <pivotArea dataOnly="0" labelOnly="1" outline="0" fieldPosition="0">
        <references count="2">
          <reference field="0" count="1" selected="0">
            <x v="941"/>
          </reference>
          <reference field="1" count="1">
            <x v="65"/>
          </reference>
        </references>
      </pivotArea>
    </format>
    <format dxfId="2212">
      <pivotArea dataOnly="0" labelOnly="1" outline="0" fieldPosition="0">
        <references count="2">
          <reference field="0" count="1" selected="0">
            <x v="942"/>
          </reference>
          <reference field="1" count="1">
            <x v="65"/>
          </reference>
        </references>
      </pivotArea>
    </format>
    <format dxfId="2213">
      <pivotArea dataOnly="0" labelOnly="1" outline="0" fieldPosition="0">
        <references count="2">
          <reference field="0" count="1" selected="0">
            <x v="943"/>
          </reference>
          <reference field="1" count="1">
            <x v="65"/>
          </reference>
        </references>
      </pivotArea>
    </format>
    <format dxfId="2214">
      <pivotArea dataOnly="0" labelOnly="1" outline="0" fieldPosition="0">
        <references count="2">
          <reference field="0" count="1" selected="0">
            <x v="944"/>
          </reference>
          <reference field="1" count="1">
            <x v="65"/>
          </reference>
        </references>
      </pivotArea>
    </format>
    <format dxfId="2215">
      <pivotArea dataOnly="0" labelOnly="1" outline="0" fieldPosition="0">
        <references count="2">
          <reference field="0" count="1" selected="0">
            <x v="945"/>
          </reference>
          <reference field="1" count="1">
            <x v="65"/>
          </reference>
        </references>
      </pivotArea>
    </format>
    <format dxfId="2216">
      <pivotArea dataOnly="0" labelOnly="1" outline="0" fieldPosition="0">
        <references count="2">
          <reference field="0" count="1" selected="0">
            <x v="946"/>
          </reference>
          <reference field="1" count="1">
            <x v="65"/>
          </reference>
        </references>
      </pivotArea>
    </format>
    <format dxfId="2217">
      <pivotArea dataOnly="0" labelOnly="1" outline="0" fieldPosition="0">
        <references count="2">
          <reference field="0" count="1" selected="0">
            <x v="947"/>
          </reference>
          <reference field="1" count="1">
            <x v="65"/>
          </reference>
        </references>
      </pivotArea>
    </format>
    <format dxfId="2218">
      <pivotArea dataOnly="0" labelOnly="1" outline="0" fieldPosition="0">
        <references count="2">
          <reference field="0" count="1" selected="0">
            <x v="948"/>
          </reference>
          <reference field="1" count="1">
            <x v="65"/>
          </reference>
        </references>
      </pivotArea>
    </format>
    <format dxfId="2219">
      <pivotArea dataOnly="0" labelOnly="1" outline="0" fieldPosition="0">
        <references count="2">
          <reference field="0" count="1" selected="0">
            <x v="949"/>
          </reference>
          <reference field="1" count="1">
            <x v="65"/>
          </reference>
        </references>
      </pivotArea>
    </format>
    <format dxfId="2220">
      <pivotArea dataOnly="0" labelOnly="1" outline="0" fieldPosition="0">
        <references count="2">
          <reference field="0" count="1" selected="0">
            <x v="950"/>
          </reference>
          <reference field="1" count="1">
            <x v="65"/>
          </reference>
        </references>
      </pivotArea>
    </format>
    <format dxfId="2221">
      <pivotArea dataOnly="0" labelOnly="1" outline="0" fieldPosition="0">
        <references count="2">
          <reference field="0" count="1" selected="0">
            <x v="951"/>
          </reference>
          <reference field="1" count="1">
            <x v="65"/>
          </reference>
        </references>
      </pivotArea>
    </format>
    <format dxfId="2222">
      <pivotArea dataOnly="0" labelOnly="1" outline="0" fieldPosition="0">
        <references count="2">
          <reference field="0" count="1" selected="0">
            <x v="952"/>
          </reference>
          <reference field="1" count="1">
            <x v="65"/>
          </reference>
        </references>
      </pivotArea>
    </format>
    <format dxfId="2223">
      <pivotArea dataOnly="0" labelOnly="1" outline="0" fieldPosition="0">
        <references count="2">
          <reference field="0" count="1" selected="0">
            <x v="953"/>
          </reference>
          <reference field="1" count="1">
            <x v="65"/>
          </reference>
        </references>
      </pivotArea>
    </format>
    <format dxfId="2224">
      <pivotArea dataOnly="0" labelOnly="1" outline="0" fieldPosition="0">
        <references count="2">
          <reference field="0" count="1" selected="0">
            <x v="954"/>
          </reference>
          <reference field="1" count="1">
            <x v="65"/>
          </reference>
        </references>
      </pivotArea>
    </format>
    <format dxfId="2225">
      <pivotArea dataOnly="0" labelOnly="1" outline="0" fieldPosition="0">
        <references count="2">
          <reference field="0" count="1" selected="0">
            <x v="955"/>
          </reference>
          <reference field="1" count="1">
            <x v="65"/>
          </reference>
        </references>
      </pivotArea>
    </format>
    <format dxfId="2226">
      <pivotArea dataOnly="0" labelOnly="1" outline="0" fieldPosition="0">
        <references count="2">
          <reference field="0" count="1" selected="0">
            <x v="956"/>
          </reference>
          <reference field="1" count="1">
            <x v="66"/>
          </reference>
        </references>
      </pivotArea>
    </format>
    <format dxfId="2227">
      <pivotArea dataOnly="0" labelOnly="1" outline="0" fieldPosition="0">
        <references count="2">
          <reference field="0" count="1" selected="0">
            <x v="957"/>
          </reference>
          <reference field="1" count="1">
            <x v="66"/>
          </reference>
        </references>
      </pivotArea>
    </format>
    <format dxfId="2228">
      <pivotArea dataOnly="0" labelOnly="1" outline="0" fieldPosition="0">
        <references count="2">
          <reference field="0" count="1" selected="0">
            <x v="958"/>
          </reference>
          <reference field="1" count="1">
            <x v="66"/>
          </reference>
        </references>
      </pivotArea>
    </format>
    <format dxfId="2229">
      <pivotArea dataOnly="0" labelOnly="1" outline="0" fieldPosition="0">
        <references count="2">
          <reference field="0" count="1" selected="0">
            <x v="959"/>
          </reference>
          <reference field="1" count="1">
            <x v="66"/>
          </reference>
        </references>
      </pivotArea>
    </format>
    <format dxfId="2230">
      <pivotArea dataOnly="0" labelOnly="1" outline="0" fieldPosition="0">
        <references count="2">
          <reference field="0" count="1" selected="0">
            <x v="960"/>
          </reference>
          <reference field="1" count="1">
            <x v="66"/>
          </reference>
        </references>
      </pivotArea>
    </format>
    <format dxfId="2231">
      <pivotArea dataOnly="0" labelOnly="1" outline="0" fieldPosition="0">
        <references count="2">
          <reference field="0" count="1" selected="0">
            <x v="961"/>
          </reference>
          <reference field="1" count="1">
            <x v="66"/>
          </reference>
        </references>
      </pivotArea>
    </format>
    <format dxfId="2232">
      <pivotArea dataOnly="0" labelOnly="1" outline="0" fieldPosition="0">
        <references count="2">
          <reference field="0" count="1" selected="0">
            <x v="962"/>
          </reference>
          <reference field="1" count="1">
            <x v="66"/>
          </reference>
        </references>
      </pivotArea>
    </format>
    <format dxfId="2233">
      <pivotArea dataOnly="0" labelOnly="1" outline="0" fieldPosition="0">
        <references count="2">
          <reference field="0" count="1" selected="0">
            <x v="963"/>
          </reference>
          <reference field="1" count="1">
            <x v="66"/>
          </reference>
        </references>
      </pivotArea>
    </format>
    <format dxfId="2234">
      <pivotArea dataOnly="0" labelOnly="1" outline="0" fieldPosition="0">
        <references count="2">
          <reference field="0" count="1" selected="0">
            <x v="964"/>
          </reference>
          <reference field="1" count="1">
            <x v="66"/>
          </reference>
        </references>
      </pivotArea>
    </format>
    <format dxfId="2235">
      <pivotArea dataOnly="0" labelOnly="1" outline="0" fieldPosition="0">
        <references count="2">
          <reference field="0" count="1" selected="0">
            <x v="965"/>
          </reference>
          <reference field="1" count="1">
            <x v="66"/>
          </reference>
        </references>
      </pivotArea>
    </format>
    <format dxfId="2236">
      <pivotArea dataOnly="0" labelOnly="1" outline="0" fieldPosition="0">
        <references count="2">
          <reference field="0" count="1" selected="0">
            <x v="966"/>
          </reference>
          <reference field="1" count="1">
            <x v="66"/>
          </reference>
        </references>
      </pivotArea>
    </format>
    <format dxfId="2237">
      <pivotArea dataOnly="0" labelOnly="1" outline="0" fieldPosition="0">
        <references count="2">
          <reference field="0" count="1" selected="0">
            <x v="967"/>
          </reference>
          <reference field="1" count="1">
            <x v="67"/>
          </reference>
        </references>
      </pivotArea>
    </format>
    <format dxfId="2238">
      <pivotArea dataOnly="0" labelOnly="1" outline="0" fieldPosition="0">
        <references count="2">
          <reference field="0" count="1" selected="0">
            <x v="968"/>
          </reference>
          <reference field="1" count="1">
            <x v="67"/>
          </reference>
        </references>
      </pivotArea>
    </format>
    <format dxfId="2239">
      <pivotArea dataOnly="0" labelOnly="1" outline="0" fieldPosition="0">
        <references count="2">
          <reference field="0" count="1" selected="0">
            <x v="969"/>
          </reference>
          <reference field="1" count="1">
            <x v="67"/>
          </reference>
        </references>
      </pivotArea>
    </format>
    <format dxfId="2240">
      <pivotArea dataOnly="0" labelOnly="1" outline="0" fieldPosition="0">
        <references count="2">
          <reference field="0" count="1" selected="0">
            <x v="970"/>
          </reference>
          <reference field="1" count="1">
            <x v="67"/>
          </reference>
        </references>
      </pivotArea>
    </format>
    <format dxfId="2241">
      <pivotArea dataOnly="0" labelOnly="1" outline="0" fieldPosition="0">
        <references count="2">
          <reference field="0" count="1" selected="0">
            <x v="971"/>
          </reference>
          <reference field="1" count="1">
            <x v="67"/>
          </reference>
        </references>
      </pivotArea>
    </format>
    <format dxfId="2242">
      <pivotArea dataOnly="0" labelOnly="1" outline="0" fieldPosition="0">
        <references count="2">
          <reference field="0" count="1" selected="0">
            <x v="972"/>
          </reference>
          <reference field="1" count="1">
            <x v="67"/>
          </reference>
        </references>
      </pivotArea>
    </format>
    <format dxfId="2243">
      <pivotArea dataOnly="0" labelOnly="1" outline="0" fieldPosition="0">
        <references count="2">
          <reference field="0" count="1" selected="0">
            <x v="973"/>
          </reference>
          <reference field="1" count="1">
            <x v="67"/>
          </reference>
        </references>
      </pivotArea>
    </format>
    <format dxfId="2244">
      <pivotArea dataOnly="0" labelOnly="1" outline="0" fieldPosition="0">
        <references count="2">
          <reference field="0" count="1" selected="0">
            <x v="974"/>
          </reference>
          <reference field="1" count="1">
            <x v="67"/>
          </reference>
        </references>
      </pivotArea>
    </format>
    <format dxfId="2245">
      <pivotArea dataOnly="0" labelOnly="1" outline="0" fieldPosition="0">
        <references count="2">
          <reference field="0" count="1" selected="0">
            <x v="975"/>
          </reference>
          <reference field="1" count="1">
            <x v="67"/>
          </reference>
        </references>
      </pivotArea>
    </format>
    <format dxfId="2246">
      <pivotArea dataOnly="0" labelOnly="1" outline="0" fieldPosition="0">
        <references count="2">
          <reference field="0" count="1" selected="0">
            <x v="976"/>
          </reference>
          <reference field="1" count="1">
            <x v="67"/>
          </reference>
        </references>
      </pivotArea>
    </format>
    <format dxfId="2247">
      <pivotArea dataOnly="0" labelOnly="1" outline="0" fieldPosition="0">
        <references count="2">
          <reference field="0" count="1" selected="0">
            <x v="977"/>
          </reference>
          <reference field="1" count="1">
            <x v="67"/>
          </reference>
        </references>
      </pivotArea>
    </format>
    <format dxfId="2248">
      <pivotArea dataOnly="0" labelOnly="1" outline="0" fieldPosition="0">
        <references count="2">
          <reference field="0" count="1" selected="0">
            <x v="978"/>
          </reference>
          <reference field="1" count="1">
            <x v="67"/>
          </reference>
        </references>
      </pivotArea>
    </format>
    <format dxfId="2249">
      <pivotArea dataOnly="0" labelOnly="1" outline="0" fieldPosition="0">
        <references count="2">
          <reference field="0" count="1" selected="0">
            <x v="979"/>
          </reference>
          <reference field="1" count="1">
            <x v="67"/>
          </reference>
        </references>
      </pivotArea>
    </format>
    <format dxfId="2250">
      <pivotArea dataOnly="0" labelOnly="1" outline="0" fieldPosition="0">
        <references count="2">
          <reference field="0" count="1" selected="0">
            <x v="980"/>
          </reference>
          <reference field="1" count="1">
            <x v="67"/>
          </reference>
        </references>
      </pivotArea>
    </format>
    <format dxfId="2251">
      <pivotArea dataOnly="0" labelOnly="1" outline="0" fieldPosition="0">
        <references count="2">
          <reference field="0" count="1" selected="0">
            <x v="981"/>
          </reference>
          <reference field="1" count="1">
            <x v="68"/>
          </reference>
        </references>
      </pivotArea>
    </format>
    <format dxfId="2252">
      <pivotArea dataOnly="0" labelOnly="1" outline="0" fieldPosition="0">
        <references count="2">
          <reference field="0" count="1" selected="0">
            <x v="982"/>
          </reference>
          <reference field="1" count="1">
            <x v="68"/>
          </reference>
        </references>
      </pivotArea>
    </format>
    <format dxfId="2253">
      <pivotArea dataOnly="0" labelOnly="1" outline="0" fieldPosition="0">
        <references count="2">
          <reference field="0" count="1" selected="0">
            <x v="983"/>
          </reference>
          <reference field="1" count="1">
            <x v="68"/>
          </reference>
        </references>
      </pivotArea>
    </format>
    <format dxfId="2254">
      <pivotArea dataOnly="0" labelOnly="1" outline="0" fieldPosition="0">
        <references count="2">
          <reference field="0" count="1" selected="0">
            <x v="984"/>
          </reference>
          <reference field="1" count="1">
            <x v="68"/>
          </reference>
        </references>
      </pivotArea>
    </format>
    <format dxfId="2255">
      <pivotArea dataOnly="0" labelOnly="1" outline="0" fieldPosition="0">
        <references count="2">
          <reference field="0" count="1" selected="0">
            <x v="985"/>
          </reference>
          <reference field="1" count="1">
            <x v="68"/>
          </reference>
        </references>
      </pivotArea>
    </format>
    <format dxfId="2256">
      <pivotArea dataOnly="0" labelOnly="1" outline="0" fieldPosition="0">
        <references count="2">
          <reference field="0" count="1" selected="0">
            <x v="986"/>
          </reference>
          <reference field="1" count="1">
            <x v="68"/>
          </reference>
        </references>
      </pivotArea>
    </format>
    <format dxfId="2257">
      <pivotArea dataOnly="0" labelOnly="1" outline="0" fieldPosition="0">
        <references count="2">
          <reference field="0" count="1" selected="0">
            <x v="987"/>
          </reference>
          <reference field="1" count="1">
            <x v="68"/>
          </reference>
        </references>
      </pivotArea>
    </format>
    <format dxfId="2258">
      <pivotArea dataOnly="0" labelOnly="1" outline="0" fieldPosition="0">
        <references count="2">
          <reference field="0" count="1" selected="0">
            <x v="988"/>
          </reference>
          <reference field="1" count="1">
            <x v="68"/>
          </reference>
        </references>
      </pivotArea>
    </format>
    <format dxfId="2259">
      <pivotArea dataOnly="0" labelOnly="1" outline="0" fieldPosition="0">
        <references count="2">
          <reference field="0" count="1" selected="0">
            <x v="989"/>
          </reference>
          <reference field="1" count="1">
            <x v="68"/>
          </reference>
        </references>
      </pivotArea>
    </format>
    <format dxfId="2260">
      <pivotArea dataOnly="0" labelOnly="1" outline="0" fieldPosition="0">
        <references count="2">
          <reference field="0" count="1" selected="0">
            <x v="990"/>
          </reference>
          <reference field="1" count="1">
            <x v="68"/>
          </reference>
        </references>
      </pivotArea>
    </format>
    <format dxfId="2261">
      <pivotArea dataOnly="0" labelOnly="1" outline="0" fieldPosition="0">
        <references count="2">
          <reference field="0" count="1" selected="0">
            <x v="991"/>
          </reference>
          <reference field="1" count="1">
            <x v="68"/>
          </reference>
        </references>
      </pivotArea>
    </format>
    <format dxfId="2262">
      <pivotArea dataOnly="0" labelOnly="1" outline="0" fieldPosition="0">
        <references count="2">
          <reference field="0" count="1" selected="0">
            <x v="992"/>
          </reference>
          <reference field="1" count="1">
            <x v="69"/>
          </reference>
        </references>
      </pivotArea>
    </format>
    <format dxfId="2263">
      <pivotArea dataOnly="0" labelOnly="1" outline="0" fieldPosition="0">
        <references count="2">
          <reference field="0" count="1" selected="0">
            <x v="993"/>
          </reference>
          <reference field="1" count="1">
            <x v="69"/>
          </reference>
        </references>
      </pivotArea>
    </format>
    <format dxfId="2264">
      <pivotArea dataOnly="0" labelOnly="1" outline="0" fieldPosition="0">
        <references count="2">
          <reference field="0" count="1" selected="0">
            <x v="994"/>
          </reference>
          <reference field="1" count="1">
            <x v="69"/>
          </reference>
        </references>
      </pivotArea>
    </format>
    <format dxfId="2265">
      <pivotArea dataOnly="0" labelOnly="1" outline="0" fieldPosition="0">
        <references count="2">
          <reference field="0" count="1" selected="0">
            <x v="995"/>
          </reference>
          <reference field="1" count="1">
            <x v="69"/>
          </reference>
        </references>
      </pivotArea>
    </format>
    <format dxfId="2266">
      <pivotArea dataOnly="0" labelOnly="1" outline="0" fieldPosition="0">
        <references count="2">
          <reference field="0" count="1" selected="0">
            <x v="996"/>
          </reference>
          <reference field="1" count="1">
            <x v="69"/>
          </reference>
        </references>
      </pivotArea>
    </format>
    <format dxfId="2267">
      <pivotArea dataOnly="0" labelOnly="1" outline="0" fieldPosition="0">
        <references count="2">
          <reference field="0" count="1" selected="0">
            <x v="997"/>
          </reference>
          <reference field="1" count="1">
            <x v="69"/>
          </reference>
        </references>
      </pivotArea>
    </format>
    <format dxfId="2268">
      <pivotArea dataOnly="0" labelOnly="1" outline="0" fieldPosition="0">
        <references count="2">
          <reference field="0" count="1" selected="0">
            <x v="998"/>
          </reference>
          <reference field="1" count="1">
            <x v="69"/>
          </reference>
        </references>
      </pivotArea>
    </format>
    <format dxfId="2269">
      <pivotArea dataOnly="0" labelOnly="1" outline="0" fieldPosition="0">
        <references count="2">
          <reference field="0" count="1" selected="0">
            <x v="999"/>
          </reference>
          <reference field="1" count="1">
            <x v="69"/>
          </reference>
        </references>
      </pivotArea>
    </format>
    <format dxfId="2270">
      <pivotArea dataOnly="0" labelOnly="1" outline="0" fieldPosition="0">
        <references count="2">
          <reference field="0" count="1" selected="0">
            <x v="1000"/>
          </reference>
          <reference field="1" count="1">
            <x v="69"/>
          </reference>
        </references>
      </pivotArea>
    </format>
    <format dxfId="2271">
      <pivotArea dataOnly="0" labelOnly="1" outline="0" fieldPosition="0">
        <references count="2">
          <reference field="0" count="1" selected="0">
            <x v="1001"/>
          </reference>
          <reference field="1" count="1">
            <x v="69"/>
          </reference>
        </references>
      </pivotArea>
    </format>
    <format dxfId="2272">
      <pivotArea dataOnly="0" labelOnly="1" outline="0" fieldPosition="0">
        <references count="2">
          <reference field="0" count="1" selected="0">
            <x v="1002"/>
          </reference>
          <reference field="1" count="1">
            <x v="69"/>
          </reference>
        </references>
      </pivotArea>
    </format>
    <format dxfId="2273">
      <pivotArea dataOnly="0" labelOnly="1" outline="0" fieldPosition="0">
        <references count="2">
          <reference field="0" count="1" selected="0">
            <x v="1003"/>
          </reference>
          <reference field="1" count="1">
            <x v="69"/>
          </reference>
        </references>
      </pivotArea>
    </format>
    <format dxfId="2274">
      <pivotArea dataOnly="0" labelOnly="1" outline="0" fieldPosition="0">
        <references count="2">
          <reference field="0" count="1" selected="0">
            <x v="1004"/>
          </reference>
          <reference field="1" count="1">
            <x v="69"/>
          </reference>
        </references>
      </pivotArea>
    </format>
    <format dxfId="2275">
      <pivotArea dataOnly="0" labelOnly="1" outline="0" fieldPosition="0">
        <references count="2">
          <reference field="0" count="1" selected="0">
            <x v="1005"/>
          </reference>
          <reference field="1" count="1">
            <x v="70"/>
          </reference>
        </references>
      </pivotArea>
    </format>
    <format dxfId="2276">
      <pivotArea dataOnly="0" labelOnly="1" outline="0" fieldPosition="0">
        <references count="2">
          <reference field="0" count="1" selected="0">
            <x v="1006"/>
          </reference>
          <reference field="1" count="1">
            <x v="70"/>
          </reference>
        </references>
      </pivotArea>
    </format>
    <format dxfId="2277">
      <pivotArea dataOnly="0" labelOnly="1" outline="0" fieldPosition="0">
        <references count="2">
          <reference field="0" count="1" selected="0">
            <x v="1007"/>
          </reference>
          <reference field="1" count="1">
            <x v="70"/>
          </reference>
        </references>
      </pivotArea>
    </format>
    <format dxfId="2278">
      <pivotArea dataOnly="0" labelOnly="1" outline="0" fieldPosition="0">
        <references count="2">
          <reference field="0" count="1" selected="0">
            <x v="1008"/>
          </reference>
          <reference field="1" count="1">
            <x v="70"/>
          </reference>
        </references>
      </pivotArea>
    </format>
    <format dxfId="2279">
      <pivotArea dataOnly="0" labelOnly="1" outline="0" fieldPosition="0">
        <references count="2">
          <reference field="0" count="1" selected="0">
            <x v="1009"/>
          </reference>
          <reference field="1" count="1">
            <x v="70"/>
          </reference>
        </references>
      </pivotArea>
    </format>
    <format dxfId="2280">
      <pivotArea dataOnly="0" labelOnly="1" outline="0" fieldPosition="0">
        <references count="2">
          <reference field="0" count="1" selected="0">
            <x v="1010"/>
          </reference>
          <reference field="1" count="1">
            <x v="70"/>
          </reference>
        </references>
      </pivotArea>
    </format>
    <format dxfId="2281">
      <pivotArea dataOnly="0" labelOnly="1" outline="0" fieldPosition="0">
        <references count="2">
          <reference field="0" count="1" selected="0">
            <x v="1011"/>
          </reference>
          <reference field="1" count="1">
            <x v="70"/>
          </reference>
        </references>
      </pivotArea>
    </format>
    <format dxfId="2282">
      <pivotArea dataOnly="0" labelOnly="1" outline="0" fieldPosition="0">
        <references count="2">
          <reference field="0" count="1" selected="0">
            <x v="1012"/>
          </reference>
          <reference field="1" count="1">
            <x v="70"/>
          </reference>
        </references>
      </pivotArea>
    </format>
    <format dxfId="2283">
      <pivotArea dataOnly="0" labelOnly="1" outline="0" fieldPosition="0">
        <references count="2">
          <reference field="0" count="1" selected="0">
            <x v="1013"/>
          </reference>
          <reference field="1" count="1">
            <x v="70"/>
          </reference>
        </references>
      </pivotArea>
    </format>
    <format dxfId="2284">
      <pivotArea dataOnly="0" labelOnly="1" outline="0" fieldPosition="0">
        <references count="2">
          <reference field="0" count="1" selected="0">
            <x v="1014"/>
          </reference>
          <reference field="1" count="1">
            <x v="70"/>
          </reference>
        </references>
      </pivotArea>
    </format>
    <format dxfId="2285">
      <pivotArea dataOnly="0" labelOnly="1" outline="0" fieldPosition="0">
        <references count="2">
          <reference field="0" count="1" selected="0">
            <x v="1015"/>
          </reference>
          <reference field="1" count="1">
            <x v="70"/>
          </reference>
        </references>
      </pivotArea>
    </format>
    <format dxfId="2286">
      <pivotArea dataOnly="0" labelOnly="1" outline="0" fieldPosition="0">
        <references count="2">
          <reference field="0" count="1" selected="0">
            <x v="1016"/>
          </reference>
          <reference field="1" count="1">
            <x v="71"/>
          </reference>
        </references>
      </pivotArea>
    </format>
    <format dxfId="2287">
      <pivotArea dataOnly="0" labelOnly="1" outline="0" fieldPosition="0">
        <references count="2">
          <reference field="0" count="1" selected="0">
            <x v="1017"/>
          </reference>
          <reference field="1" count="1">
            <x v="71"/>
          </reference>
        </references>
      </pivotArea>
    </format>
    <format dxfId="2288">
      <pivotArea dataOnly="0" labelOnly="1" outline="0" fieldPosition="0">
        <references count="2">
          <reference field="0" count="1" selected="0">
            <x v="1018"/>
          </reference>
          <reference field="1" count="1">
            <x v="71"/>
          </reference>
        </references>
      </pivotArea>
    </format>
    <format dxfId="2289">
      <pivotArea dataOnly="0" labelOnly="1" outline="0" fieldPosition="0">
        <references count="2">
          <reference field="0" count="1" selected="0">
            <x v="1019"/>
          </reference>
          <reference field="1" count="1">
            <x v="71"/>
          </reference>
        </references>
      </pivotArea>
    </format>
    <format dxfId="2290">
      <pivotArea dataOnly="0" labelOnly="1" outline="0" fieldPosition="0">
        <references count="2">
          <reference field="0" count="1" selected="0">
            <x v="1020"/>
          </reference>
          <reference field="1" count="1">
            <x v="71"/>
          </reference>
        </references>
      </pivotArea>
    </format>
    <format dxfId="2291">
      <pivotArea dataOnly="0" labelOnly="1" outline="0" fieldPosition="0">
        <references count="2">
          <reference field="0" count="1" selected="0">
            <x v="1021"/>
          </reference>
          <reference field="1" count="1">
            <x v="71"/>
          </reference>
        </references>
      </pivotArea>
    </format>
    <format dxfId="2292">
      <pivotArea dataOnly="0" labelOnly="1" outline="0" fieldPosition="0">
        <references count="2">
          <reference field="0" count="1" selected="0">
            <x v="1022"/>
          </reference>
          <reference field="1" count="1">
            <x v="71"/>
          </reference>
        </references>
      </pivotArea>
    </format>
    <format dxfId="2293">
      <pivotArea dataOnly="0" labelOnly="1" outline="0" fieldPosition="0">
        <references count="2">
          <reference field="0" count="1" selected="0">
            <x v="1023"/>
          </reference>
          <reference field="1" count="1">
            <x v="71"/>
          </reference>
        </references>
      </pivotArea>
    </format>
    <format dxfId="2294">
      <pivotArea dataOnly="0" labelOnly="1" outline="0" fieldPosition="0">
        <references count="2">
          <reference field="0" count="1" selected="0">
            <x v="1024"/>
          </reference>
          <reference field="1" count="1">
            <x v="71"/>
          </reference>
        </references>
      </pivotArea>
    </format>
    <format dxfId="2295">
      <pivotArea dataOnly="0" labelOnly="1" outline="0" fieldPosition="0">
        <references count="2">
          <reference field="0" count="1" selected="0">
            <x v="1025"/>
          </reference>
          <reference field="1" count="1">
            <x v="71"/>
          </reference>
        </references>
      </pivotArea>
    </format>
    <format dxfId="2296">
      <pivotArea dataOnly="0" labelOnly="1" outline="0" fieldPosition="0">
        <references count="2">
          <reference field="0" count="1" selected="0">
            <x v="1026"/>
          </reference>
          <reference field="1" count="1">
            <x v="71"/>
          </reference>
        </references>
      </pivotArea>
    </format>
    <format dxfId="2297">
      <pivotArea dataOnly="0" labelOnly="1" outline="0" fieldPosition="0">
        <references count="2">
          <reference field="0" count="1" selected="0">
            <x v="1027"/>
          </reference>
          <reference field="1" count="1">
            <x v="71"/>
          </reference>
        </references>
      </pivotArea>
    </format>
    <format dxfId="2298">
      <pivotArea dataOnly="0" labelOnly="1" outline="0" fieldPosition="0">
        <references count="2">
          <reference field="0" count="1" selected="0">
            <x v="1028"/>
          </reference>
          <reference field="1" count="1">
            <x v="71"/>
          </reference>
        </references>
      </pivotArea>
    </format>
    <format dxfId="2299">
      <pivotArea dataOnly="0" labelOnly="1" outline="0" fieldPosition="0">
        <references count="2">
          <reference field="0" count="1" selected="0">
            <x v="1029"/>
          </reference>
          <reference field="1" count="1">
            <x v="71"/>
          </reference>
        </references>
      </pivotArea>
    </format>
    <format dxfId="2300">
      <pivotArea dataOnly="0" labelOnly="1" outline="0" fieldPosition="0">
        <references count="2">
          <reference field="0" count="1" selected="0">
            <x v="1030"/>
          </reference>
          <reference field="1" count="1">
            <x v="71"/>
          </reference>
        </references>
      </pivotArea>
    </format>
    <format dxfId="2301">
      <pivotArea dataOnly="0" labelOnly="1" outline="0" fieldPosition="0">
        <references count="2">
          <reference field="0" count="1" selected="0">
            <x v="1031"/>
          </reference>
          <reference field="1" count="1">
            <x v="71"/>
          </reference>
        </references>
      </pivotArea>
    </format>
    <format dxfId="2302">
      <pivotArea dataOnly="0" labelOnly="1" outline="0" fieldPosition="0">
        <references count="2">
          <reference field="0" count="1" selected="0">
            <x v="1032"/>
          </reference>
          <reference field="1" count="1">
            <x v="71"/>
          </reference>
        </references>
      </pivotArea>
    </format>
    <format dxfId="2303">
      <pivotArea dataOnly="0" labelOnly="1" outline="0" fieldPosition="0">
        <references count="2">
          <reference field="0" count="1" selected="0">
            <x v="1033"/>
          </reference>
          <reference field="1" count="1">
            <x v="71"/>
          </reference>
        </references>
      </pivotArea>
    </format>
    <format dxfId="2304">
      <pivotArea dataOnly="0" labelOnly="1" outline="0" fieldPosition="0">
        <references count="2">
          <reference field="0" count="1" selected="0">
            <x v="1034"/>
          </reference>
          <reference field="1" count="1">
            <x v="71"/>
          </reference>
        </references>
      </pivotArea>
    </format>
    <format dxfId="2305">
      <pivotArea dataOnly="0" labelOnly="1" outline="0" fieldPosition="0">
        <references count="2">
          <reference field="0" count="1" selected="0">
            <x v="1035"/>
          </reference>
          <reference field="1" count="1">
            <x v="72"/>
          </reference>
        </references>
      </pivotArea>
    </format>
    <format dxfId="2306">
      <pivotArea dataOnly="0" labelOnly="1" outline="0" fieldPosition="0">
        <references count="2">
          <reference field="0" count="1" selected="0">
            <x v="1036"/>
          </reference>
          <reference field="1" count="1">
            <x v="72"/>
          </reference>
        </references>
      </pivotArea>
    </format>
    <format dxfId="2307">
      <pivotArea dataOnly="0" labelOnly="1" outline="0" fieldPosition="0">
        <references count="2">
          <reference field="0" count="1" selected="0">
            <x v="1037"/>
          </reference>
          <reference field="1" count="1">
            <x v="72"/>
          </reference>
        </references>
      </pivotArea>
    </format>
    <format dxfId="2308">
      <pivotArea dataOnly="0" labelOnly="1" outline="0" fieldPosition="0">
        <references count="2">
          <reference field="0" count="1" selected="0">
            <x v="1038"/>
          </reference>
          <reference field="1" count="1">
            <x v="72"/>
          </reference>
        </references>
      </pivotArea>
    </format>
    <format dxfId="2309">
      <pivotArea dataOnly="0" labelOnly="1" outline="0" fieldPosition="0">
        <references count="2">
          <reference field="0" count="1" selected="0">
            <x v="1039"/>
          </reference>
          <reference field="1" count="1">
            <x v="72"/>
          </reference>
        </references>
      </pivotArea>
    </format>
    <format dxfId="2310">
      <pivotArea dataOnly="0" labelOnly="1" outline="0" fieldPosition="0">
        <references count="2">
          <reference field="0" count="1" selected="0">
            <x v="1040"/>
          </reference>
          <reference field="1" count="1">
            <x v="72"/>
          </reference>
        </references>
      </pivotArea>
    </format>
    <format dxfId="2311">
      <pivotArea dataOnly="0" labelOnly="1" outline="0" fieldPosition="0">
        <references count="2">
          <reference field="0" count="1" selected="0">
            <x v="1041"/>
          </reference>
          <reference field="1" count="1">
            <x v="72"/>
          </reference>
        </references>
      </pivotArea>
    </format>
    <format dxfId="2312">
      <pivotArea dataOnly="0" labelOnly="1" outline="0" fieldPosition="0">
        <references count="2">
          <reference field="0" count="1" selected="0">
            <x v="1042"/>
          </reference>
          <reference field="1" count="1">
            <x v="72"/>
          </reference>
        </references>
      </pivotArea>
    </format>
    <format dxfId="2313">
      <pivotArea dataOnly="0" labelOnly="1" outline="0" fieldPosition="0">
        <references count="2">
          <reference field="0" count="1" selected="0">
            <x v="1043"/>
          </reference>
          <reference field="1" count="1">
            <x v="72"/>
          </reference>
        </references>
      </pivotArea>
    </format>
    <format dxfId="2314">
      <pivotArea dataOnly="0" labelOnly="1" outline="0" fieldPosition="0">
        <references count="2">
          <reference field="0" count="1" selected="0">
            <x v="1044"/>
          </reference>
          <reference field="1" count="1">
            <x v="72"/>
          </reference>
        </references>
      </pivotArea>
    </format>
    <format dxfId="2315">
      <pivotArea dataOnly="0" labelOnly="1" outline="0" fieldPosition="0">
        <references count="2">
          <reference field="0" count="1" selected="0">
            <x v="1045"/>
          </reference>
          <reference field="1" count="1">
            <x v="72"/>
          </reference>
        </references>
      </pivotArea>
    </format>
    <format dxfId="2316">
      <pivotArea dataOnly="0" labelOnly="1" outline="0" fieldPosition="0">
        <references count="2">
          <reference field="0" count="1" selected="0">
            <x v="1046"/>
          </reference>
          <reference field="1" count="1">
            <x v="72"/>
          </reference>
        </references>
      </pivotArea>
    </format>
    <format dxfId="2317">
      <pivotArea dataOnly="0" labelOnly="1" outline="0" fieldPosition="0">
        <references count="2">
          <reference field="0" count="1" selected="0">
            <x v="1047"/>
          </reference>
          <reference field="1" count="1">
            <x v="72"/>
          </reference>
        </references>
      </pivotArea>
    </format>
    <format dxfId="2318">
      <pivotArea dataOnly="0" labelOnly="1" outline="0" fieldPosition="0">
        <references count="2">
          <reference field="0" count="1" selected="0">
            <x v="1048"/>
          </reference>
          <reference field="1" count="1">
            <x v="72"/>
          </reference>
        </references>
      </pivotArea>
    </format>
    <format dxfId="2319">
      <pivotArea dataOnly="0" labelOnly="1" outline="0" fieldPosition="0">
        <references count="2">
          <reference field="0" count="1" selected="0">
            <x v="1049"/>
          </reference>
          <reference field="1" count="1">
            <x v="73"/>
          </reference>
        </references>
      </pivotArea>
    </format>
    <format dxfId="2320">
      <pivotArea dataOnly="0" labelOnly="1" outline="0" fieldPosition="0">
        <references count="2">
          <reference field="0" count="1" selected="0">
            <x v="1050"/>
          </reference>
          <reference field="1" count="1">
            <x v="73"/>
          </reference>
        </references>
      </pivotArea>
    </format>
    <format dxfId="2321">
      <pivotArea dataOnly="0" labelOnly="1" outline="0" fieldPosition="0">
        <references count="2">
          <reference field="0" count="1" selected="0">
            <x v="1051"/>
          </reference>
          <reference field="1" count="1">
            <x v="73"/>
          </reference>
        </references>
      </pivotArea>
    </format>
    <format dxfId="2322">
      <pivotArea dataOnly="0" labelOnly="1" outline="0" fieldPosition="0">
        <references count="2">
          <reference field="0" count="1" selected="0">
            <x v="1052"/>
          </reference>
          <reference field="1" count="1">
            <x v="73"/>
          </reference>
        </references>
      </pivotArea>
    </format>
    <format dxfId="2323">
      <pivotArea dataOnly="0" labelOnly="1" outline="0" fieldPosition="0">
        <references count="2">
          <reference field="0" count="1" selected="0">
            <x v="1053"/>
          </reference>
          <reference field="1" count="1">
            <x v="73"/>
          </reference>
        </references>
      </pivotArea>
    </format>
    <format dxfId="2324">
      <pivotArea dataOnly="0" labelOnly="1" outline="0" fieldPosition="0">
        <references count="2">
          <reference field="0" count="1" selected="0">
            <x v="1054"/>
          </reference>
          <reference field="1" count="1">
            <x v="73"/>
          </reference>
        </references>
      </pivotArea>
    </format>
    <format dxfId="2325">
      <pivotArea dataOnly="0" labelOnly="1" outline="0" fieldPosition="0">
        <references count="2">
          <reference field="0" count="1" selected="0">
            <x v="1055"/>
          </reference>
          <reference field="1" count="1">
            <x v="73"/>
          </reference>
        </references>
      </pivotArea>
    </format>
    <format dxfId="2326">
      <pivotArea dataOnly="0" labelOnly="1" outline="0" fieldPosition="0">
        <references count="2">
          <reference field="0" count="1" selected="0">
            <x v="1056"/>
          </reference>
          <reference field="1" count="1">
            <x v="73"/>
          </reference>
        </references>
      </pivotArea>
    </format>
    <format dxfId="2327">
      <pivotArea dataOnly="0" labelOnly="1" outline="0" fieldPosition="0">
        <references count="2">
          <reference field="0" count="1" selected="0">
            <x v="1057"/>
          </reference>
          <reference field="1" count="1">
            <x v="73"/>
          </reference>
        </references>
      </pivotArea>
    </format>
    <format dxfId="2328">
      <pivotArea dataOnly="0" labelOnly="1" outline="0" fieldPosition="0">
        <references count="2">
          <reference field="0" count="1" selected="0">
            <x v="1058"/>
          </reference>
          <reference field="1" count="1">
            <x v="73"/>
          </reference>
        </references>
      </pivotArea>
    </format>
    <format dxfId="2329">
      <pivotArea dataOnly="0" labelOnly="1" outline="0" fieldPosition="0">
        <references count="2">
          <reference field="0" count="1" selected="0">
            <x v="1059"/>
          </reference>
          <reference field="1" count="1">
            <x v="73"/>
          </reference>
        </references>
      </pivotArea>
    </format>
    <format dxfId="2330">
      <pivotArea dataOnly="0" labelOnly="1" outline="0" fieldPosition="0">
        <references count="2">
          <reference field="0" count="1" selected="0">
            <x v="1060"/>
          </reference>
          <reference field="1" count="1">
            <x v="73"/>
          </reference>
        </references>
      </pivotArea>
    </format>
    <format dxfId="2331">
      <pivotArea dataOnly="0" labelOnly="1" outline="0" fieldPosition="0">
        <references count="2">
          <reference field="0" count="1" selected="0">
            <x v="1061"/>
          </reference>
          <reference field="1" count="1">
            <x v="73"/>
          </reference>
        </references>
      </pivotArea>
    </format>
    <format dxfId="2332">
      <pivotArea dataOnly="0" labelOnly="1" outline="0" fieldPosition="0">
        <references count="2">
          <reference field="0" count="1" selected="0">
            <x v="1062"/>
          </reference>
          <reference field="1" count="1">
            <x v="73"/>
          </reference>
        </references>
      </pivotArea>
    </format>
    <format dxfId="2333">
      <pivotArea dataOnly="0" labelOnly="1" outline="0" fieldPosition="0">
        <references count="2">
          <reference field="0" count="1" selected="0">
            <x v="1063"/>
          </reference>
          <reference field="1" count="1">
            <x v="73"/>
          </reference>
        </references>
      </pivotArea>
    </format>
    <format dxfId="2334">
      <pivotArea dataOnly="0" labelOnly="1" outline="0" fieldPosition="0">
        <references count="2">
          <reference field="0" count="1" selected="0">
            <x v="1064"/>
          </reference>
          <reference field="1" count="1">
            <x v="74"/>
          </reference>
        </references>
      </pivotArea>
    </format>
    <format dxfId="2335">
      <pivotArea dataOnly="0" labelOnly="1" outline="0" fieldPosition="0">
        <references count="2">
          <reference field="0" count="1" selected="0">
            <x v="1065"/>
          </reference>
          <reference field="1" count="1">
            <x v="74"/>
          </reference>
        </references>
      </pivotArea>
    </format>
    <format dxfId="2336">
      <pivotArea dataOnly="0" labelOnly="1" outline="0" fieldPosition="0">
        <references count="2">
          <reference field="0" count="1" selected="0">
            <x v="1066"/>
          </reference>
          <reference field="1" count="1">
            <x v="74"/>
          </reference>
        </references>
      </pivotArea>
    </format>
    <format dxfId="2337">
      <pivotArea dataOnly="0" labelOnly="1" outline="0" fieldPosition="0">
        <references count="2">
          <reference field="0" count="1" selected="0">
            <x v="1067"/>
          </reference>
          <reference field="1" count="1">
            <x v="74"/>
          </reference>
        </references>
      </pivotArea>
    </format>
    <format dxfId="2338">
      <pivotArea dataOnly="0" labelOnly="1" outline="0" fieldPosition="0">
        <references count="2">
          <reference field="0" count="1" selected="0">
            <x v="1068"/>
          </reference>
          <reference field="1" count="1">
            <x v="74"/>
          </reference>
        </references>
      </pivotArea>
    </format>
    <format dxfId="2339">
      <pivotArea dataOnly="0" labelOnly="1" outline="0" fieldPosition="0">
        <references count="2">
          <reference field="0" count="1" selected="0">
            <x v="1069"/>
          </reference>
          <reference field="1" count="1">
            <x v="74"/>
          </reference>
        </references>
      </pivotArea>
    </format>
    <format dxfId="2340">
      <pivotArea dataOnly="0" labelOnly="1" outline="0" fieldPosition="0">
        <references count="2">
          <reference field="0" count="1" selected="0">
            <x v="1070"/>
          </reference>
          <reference field="1" count="1">
            <x v="74"/>
          </reference>
        </references>
      </pivotArea>
    </format>
    <format dxfId="2341">
      <pivotArea dataOnly="0" labelOnly="1" outline="0" fieldPosition="0">
        <references count="2">
          <reference field="0" count="1" selected="0">
            <x v="1071"/>
          </reference>
          <reference field="1" count="1">
            <x v="74"/>
          </reference>
        </references>
      </pivotArea>
    </format>
    <format dxfId="2342">
      <pivotArea dataOnly="0" labelOnly="1" outline="0" fieldPosition="0">
        <references count="2">
          <reference field="0" count="1" selected="0">
            <x v="1072"/>
          </reference>
          <reference field="1" count="1">
            <x v="74"/>
          </reference>
        </references>
      </pivotArea>
    </format>
    <format dxfId="2343">
      <pivotArea dataOnly="0" labelOnly="1" outline="0" fieldPosition="0">
        <references count="2">
          <reference field="0" count="1" selected="0">
            <x v="1073"/>
          </reference>
          <reference field="1" count="1">
            <x v="74"/>
          </reference>
        </references>
      </pivotArea>
    </format>
    <format dxfId="2344">
      <pivotArea dataOnly="0" labelOnly="1" outline="0" fieldPosition="0">
        <references count="2">
          <reference field="0" count="1" selected="0">
            <x v="1074"/>
          </reference>
          <reference field="1" count="1">
            <x v="74"/>
          </reference>
        </references>
      </pivotArea>
    </format>
    <format dxfId="2345">
      <pivotArea dataOnly="0" labelOnly="1" outline="0" fieldPosition="0">
        <references count="2">
          <reference field="0" count="1" selected="0">
            <x v="1075"/>
          </reference>
          <reference field="1" count="1">
            <x v="74"/>
          </reference>
        </references>
      </pivotArea>
    </format>
    <format dxfId="2346">
      <pivotArea dataOnly="0" labelOnly="1" outline="0" fieldPosition="0">
        <references count="2">
          <reference field="0" count="1" selected="0">
            <x v="1076"/>
          </reference>
          <reference field="1" count="1">
            <x v="74"/>
          </reference>
        </references>
      </pivotArea>
    </format>
    <format dxfId="2347">
      <pivotArea dataOnly="0" labelOnly="1" outline="0" fieldPosition="0">
        <references count="2">
          <reference field="0" count="1" selected="0">
            <x v="1077"/>
          </reference>
          <reference field="1" count="1">
            <x v="74"/>
          </reference>
        </references>
      </pivotArea>
    </format>
    <format dxfId="2348">
      <pivotArea dataOnly="0" labelOnly="1" outline="0" fieldPosition="0">
        <references count="2">
          <reference field="0" count="1" selected="0">
            <x v="1078"/>
          </reference>
          <reference field="1" count="1">
            <x v="74"/>
          </reference>
        </references>
      </pivotArea>
    </format>
    <format dxfId="2349">
      <pivotArea dataOnly="0" labelOnly="1" outline="0" fieldPosition="0">
        <references count="2">
          <reference field="0" count="1" selected="0">
            <x v="1079"/>
          </reference>
          <reference field="1" count="1">
            <x v="74"/>
          </reference>
        </references>
      </pivotArea>
    </format>
    <format dxfId="2350">
      <pivotArea dataOnly="0" labelOnly="1" outline="0" fieldPosition="0">
        <references count="2">
          <reference field="0" count="1" selected="0">
            <x v="1080"/>
          </reference>
          <reference field="1" count="1">
            <x v="74"/>
          </reference>
        </references>
      </pivotArea>
    </format>
    <format dxfId="2351">
      <pivotArea dataOnly="0" labelOnly="1" outline="0" fieldPosition="0">
        <references count="2">
          <reference field="0" count="1" selected="0">
            <x v="1081"/>
          </reference>
          <reference field="1" count="1">
            <x v="75"/>
          </reference>
        </references>
      </pivotArea>
    </format>
    <format dxfId="2352">
      <pivotArea dataOnly="0" labelOnly="1" outline="0" fieldPosition="0">
        <references count="2">
          <reference field="0" count="1" selected="0">
            <x v="1082"/>
          </reference>
          <reference field="1" count="1">
            <x v="75"/>
          </reference>
        </references>
      </pivotArea>
    </format>
    <format dxfId="2353">
      <pivotArea dataOnly="0" labelOnly="1" outline="0" fieldPosition="0">
        <references count="2">
          <reference field="0" count="1" selected="0">
            <x v="1083"/>
          </reference>
          <reference field="1" count="1">
            <x v="75"/>
          </reference>
        </references>
      </pivotArea>
    </format>
    <format dxfId="2354">
      <pivotArea dataOnly="0" labelOnly="1" outline="0" fieldPosition="0">
        <references count="2">
          <reference field="0" count="1" selected="0">
            <x v="1084"/>
          </reference>
          <reference field="1" count="1">
            <x v="75"/>
          </reference>
        </references>
      </pivotArea>
    </format>
    <format dxfId="2355">
      <pivotArea dataOnly="0" labelOnly="1" outline="0" fieldPosition="0">
        <references count="2">
          <reference field="0" count="1" selected="0">
            <x v="1085"/>
          </reference>
          <reference field="1" count="1">
            <x v="75"/>
          </reference>
        </references>
      </pivotArea>
    </format>
    <format dxfId="2356">
      <pivotArea dataOnly="0" labelOnly="1" outline="0" fieldPosition="0">
        <references count="2">
          <reference field="0" count="1" selected="0">
            <x v="1086"/>
          </reference>
          <reference field="1" count="1">
            <x v="75"/>
          </reference>
        </references>
      </pivotArea>
    </format>
    <format dxfId="2357">
      <pivotArea dataOnly="0" labelOnly="1" outline="0" fieldPosition="0">
        <references count="2">
          <reference field="0" count="1" selected="0">
            <x v="1087"/>
          </reference>
          <reference field="1" count="1">
            <x v="75"/>
          </reference>
        </references>
      </pivotArea>
    </format>
    <format dxfId="2358">
      <pivotArea dataOnly="0" labelOnly="1" outline="0" fieldPosition="0">
        <references count="2">
          <reference field="0" count="1" selected="0">
            <x v="1088"/>
          </reference>
          <reference field="1" count="1">
            <x v="75"/>
          </reference>
        </references>
      </pivotArea>
    </format>
    <format dxfId="2359">
      <pivotArea dataOnly="0" labelOnly="1" outline="0" fieldPosition="0">
        <references count="2">
          <reference field="0" count="1" selected="0">
            <x v="1089"/>
          </reference>
          <reference field="1" count="1">
            <x v="75"/>
          </reference>
        </references>
      </pivotArea>
    </format>
    <format dxfId="2360">
      <pivotArea dataOnly="0" labelOnly="1" outline="0" fieldPosition="0">
        <references count="2">
          <reference field="0" count="1" selected="0">
            <x v="1090"/>
          </reference>
          <reference field="1" count="1">
            <x v="75"/>
          </reference>
        </references>
      </pivotArea>
    </format>
    <format dxfId="2361">
      <pivotArea dataOnly="0" labelOnly="1" outline="0" fieldPosition="0">
        <references count="2">
          <reference field="0" count="1" selected="0">
            <x v="1091"/>
          </reference>
          <reference field="1" count="1">
            <x v="75"/>
          </reference>
        </references>
      </pivotArea>
    </format>
    <format dxfId="2362">
      <pivotArea dataOnly="0" labelOnly="1" outline="0" fieldPosition="0">
        <references count="2">
          <reference field="0" count="1" selected="0">
            <x v="1092"/>
          </reference>
          <reference field="1" count="1">
            <x v="75"/>
          </reference>
        </references>
      </pivotArea>
    </format>
    <format dxfId="2363">
      <pivotArea dataOnly="0" labelOnly="1" outline="0" fieldPosition="0">
        <references count="2">
          <reference field="0" count="1" selected="0">
            <x v="1093"/>
          </reference>
          <reference field="1" count="1">
            <x v="75"/>
          </reference>
        </references>
      </pivotArea>
    </format>
    <format dxfId="2364">
      <pivotArea dataOnly="0" labelOnly="1" outline="0" fieldPosition="0">
        <references count="2">
          <reference field="0" count="1" selected="0">
            <x v="1094"/>
          </reference>
          <reference field="1" count="1">
            <x v="75"/>
          </reference>
        </references>
      </pivotArea>
    </format>
    <format dxfId="2365">
      <pivotArea dataOnly="0" labelOnly="1" outline="0" fieldPosition="0">
        <references count="2">
          <reference field="0" count="1" selected="0">
            <x v="1095"/>
          </reference>
          <reference field="1" count="1">
            <x v="75"/>
          </reference>
        </references>
      </pivotArea>
    </format>
    <format dxfId="2366">
      <pivotArea dataOnly="0" labelOnly="1" outline="0" fieldPosition="0">
        <references count="2">
          <reference field="0" count="1" selected="0">
            <x v="1096"/>
          </reference>
          <reference field="1" count="1">
            <x v="75"/>
          </reference>
        </references>
      </pivotArea>
    </format>
    <format dxfId="2367">
      <pivotArea dataOnly="0" labelOnly="1" outline="0" fieldPosition="0">
        <references count="2">
          <reference field="0" count="1" selected="0">
            <x v="1097"/>
          </reference>
          <reference field="1" count="1">
            <x v="76"/>
          </reference>
        </references>
      </pivotArea>
    </format>
    <format dxfId="2368">
      <pivotArea dataOnly="0" labelOnly="1" outline="0" fieldPosition="0">
        <references count="2">
          <reference field="0" count="1" selected="0">
            <x v="1098"/>
          </reference>
          <reference field="1" count="1">
            <x v="76"/>
          </reference>
        </references>
      </pivotArea>
    </format>
    <format dxfId="2369">
      <pivotArea dataOnly="0" labelOnly="1" outline="0" fieldPosition="0">
        <references count="2">
          <reference field="0" count="1" selected="0">
            <x v="1099"/>
          </reference>
          <reference field="1" count="1">
            <x v="76"/>
          </reference>
        </references>
      </pivotArea>
    </format>
    <format dxfId="2370">
      <pivotArea dataOnly="0" labelOnly="1" outline="0" fieldPosition="0">
        <references count="2">
          <reference field="0" count="1" selected="0">
            <x v="1100"/>
          </reference>
          <reference field="1" count="1">
            <x v="76"/>
          </reference>
        </references>
      </pivotArea>
    </format>
    <format dxfId="2371">
      <pivotArea dataOnly="0" labelOnly="1" outline="0" fieldPosition="0">
        <references count="2">
          <reference field="0" count="1" selected="0">
            <x v="1101"/>
          </reference>
          <reference field="1" count="1">
            <x v="76"/>
          </reference>
        </references>
      </pivotArea>
    </format>
    <format dxfId="2372">
      <pivotArea dataOnly="0" labelOnly="1" outline="0" fieldPosition="0">
        <references count="2">
          <reference field="0" count="1" selected="0">
            <x v="1102"/>
          </reference>
          <reference field="1" count="1">
            <x v="76"/>
          </reference>
        </references>
      </pivotArea>
    </format>
    <format dxfId="2373">
      <pivotArea dataOnly="0" labelOnly="1" outline="0" fieldPosition="0">
        <references count="2">
          <reference field="0" count="1" selected="0">
            <x v="1103"/>
          </reference>
          <reference field="1" count="1">
            <x v="76"/>
          </reference>
        </references>
      </pivotArea>
    </format>
    <format dxfId="2374">
      <pivotArea dataOnly="0" labelOnly="1" outline="0" fieldPosition="0">
        <references count="2">
          <reference field="0" count="1" selected="0">
            <x v="1104"/>
          </reference>
          <reference field="1" count="1">
            <x v="76"/>
          </reference>
        </references>
      </pivotArea>
    </format>
    <format dxfId="2375">
      <pivotArea dataOnly="0" labelOnly="1" outline="0" fieldPosition="0">
        <references count="2">
          <reference field="0" count="1" selected="0">
            <x v="1105"/>
          </reference>
          <reference field="1" count="1">
            <x v="76"/>
          </reference>
        </references>
      </pivotArea>
    </format>
    <format dxfId="2376">
      <pivotArea dataOnly="0" labelOnly="1" outline="0" fieldPosition="0">
        <references count="2">
          <reference field="0" count="1" selected="0">
            <x v="1106"/>
          </reference>
          <reference field="1" count="1">
            <x v="76"/>
          </reference>
        </references>
      </pivotArea>
    </format>
    <format dxfId="2377">
      <pivotArea dataOnly="0" labelOnly="1" outline="0" fieldPosition="0">
        <references count="2">
          <reference field="0" count="1" selected="0">
            <x v="1107"/>
          </reference>
          <reference field="1" count="1">
            <x v="76"/>
          </reference>
        </references>
      </pivotArea>
    </format>
    <format dxfId="2378">
      <pivotArea dataOnly="0" labelOnly="1" outline="0" fieldPosition="0">
        <references count="2">
          <reference field="0" count="1" selected="0">
            <x v="1108"/>
          </reference>
          <reference field="1" count="1">
            <x v="76"/>
          </reference>
        </references>
      </pivotArea>
    </format>
    <format dxfId="2379">
      <pivotArea dataOnly="0" labelOnly="1" outline="0" fieldPosition="0">
        <references count="2">
          <reference field="0" count="1" selected="0">
            <x v="1109"/>
          </reference>
          <reference field="1" count="1">
            <x v="76"/>
          </reference>
        </references>
      </pivotArea>
    </format>
    <format dxfId="2380">
      <pivotArea dataOnly="0" labelOnly="1" outline="0" fieldPosition="0">
        <references count="2">
          <reference field="0" count="1" selected="0">
            <x v="1110"/>
          </reference>
          <reference field="1" count="1">
            <x v="76"/>
          </reference>
        </references>
      </pivotArea>
    </format>
    <format dxfId="2381">
      <pivotArea dataOnly="0" labelOnly="1" outline="0" fieldPosition="0">
        <references count="2">
          <reference field="0" count="1" selected="0">
            <x v="1111"/>
          </reference>
          <reference field="1" count="1">
            <x v="76"/>
          </reference>
        </references>
      </pivotArea>
    </format>
    <format dxfId="2382">
      <pivotArea dataOnly="0" labelOnly="1" outline="0" fieldPosition="0">
        <references count="2">
          <reference field="0" count="1" selected="0">
            <x v="1112"/>
          </reference>
          <reference field="1" count="1">
            <x v="76"/>
          </reference>
        </references>
      </pivotArea>
    </format>
    <format dxfId="2383">
      <pivotArea dataOnly="0" labelOnly="1" outline="0" fieldPosition="0">
        <references count="2">
          <reference field="0" count="1" selected="0">
            <x v="1113"/>
          </reference>
          <reference field="1" count="1">
            <x v="76"/>
          </reference>
        </references>
      </pivotArea>
    </format>
    <format dxfId="2384">
      <pivotArea dataOnly="0" labelOnly="1" outline="0" fieldPosition="0">
        <references count="2">
          <reference field="0" count="1" selected="0">
            <x v="1114"/>
          </reference>
          <reference field="1" count="1">
            <x v="76"/>
          </reference>
        </references>
      </pivotArea>
    </format>
    <format dxfId="2385">
      <pivotArea dataOnly="0" labelOnly="1" outline="0" fieldPosition="0">
        <references count="2">
          <reference field="0" count="1" selected="0">
            <x v="1115"/>
          </reference>
          <reference field="1" count="1">
            <x v="76"/>
          </reference>
        </references>
      </pivotArea>
    </format>
    <format dxfId="2386">
      <pivotArea dataOnly="0" labelOnly="1" outline="0" fieldPosition="0">
        <references count="2">
          <reference field="0" count="1" selected="0">
            <x v="1116"/>
          </reference>
          <reference field="1" count="1">
            <x v="76"/>
          </reference>
        </references>
      </pivotArea>
    </format>
    <format dxfId="2387">
      <pivotArea dataOnly="0" labelOnly="1" outline="0" fieldPosition="0">
        <references count="2">
          <reference field="0" count="1" selected="0">
            <x v="1117"/>
          </reference>
          <reference field="1" count="1">
            <x v="77"/>
          </reference>
        </references>
      </pivotArea>
    </format>
    <format dxfId="2388">
      <pivotArea dataOnly="0" labelOnly="1" outline="0" fieldPosition="0">
        <references count="2">
          <reference field="0" count="1" selected="0">
            <x v="1118"/>
          </reference>
          <reference field="1" count="1">
            <x v="77"/>
          </reference>
        </references>
      </pivotArea>
    </format>
    <format dxfId="2389">
      <pivotArea dataOnly="0" labelOnly="1" outline="0" fieldPosition="0">
        <references count="2">
          <reference field="0" count="1" selected="0">
            <x v="1119"/>
          </reference>
          <reference field="1" count="1">
            <x v="77"/>
          </reference>
        </references>
      </pivotArea>
    </format>
    <format dxfId="2390">
      <pivotArea dataOnly="0" labelOnly="1" outline="0" fieldPosition="0">
        <references count="2">
          <reference field="0" count="1" selected="0">
            <x v="1120"/>
          </reference>
          <reference field="1" count="1">
            <x v="77"/>
          </reference>
        </references>
      </pivotArea>
    </format>
    <format dxfId="2391">
      <pivotArea dataOnly="0" labelOnly="1" outline="0" fieldPosition="0">
        <references count="2">
          <reference field="0" count="1" selected="0">
            <x v="1121"/>
          </reference>
          <reference field="1" count="1">
            <x v="77"/>
          </reference>
        </references>
      </pivotArea>
    </format>
    <format dxfId="2392">
      <pivotArea dataOnly="0" labelOnly="1" outline="0" fieldPosition="0">
        <references count="2">
          <reference field="0" count="1" selected="0">
            <x v="1122"/>
          </reference>
          <reference field="1" count="1">
            <x v="77"/>
          </reference>
        </references>
      </pivotArea>
    </format>
    <format dxfId="2393">
      <pivotArea dataOnly="0" labelOnly="1" outline="0" fieldPosition="0">
        <references count="2">
          <reference field="0" count="1" selected="0">
            <x v="1123"/>
          </reference>
          <reference field="1" count="1">
            <x v="77"/>
          </reference>
        </references>
      </pivotArea>
    </format>
    <format dxfId="2394">
      <pivotArea dataOnly="0" labelOnly="1" outline="0" fieldPosition="0">
        <references count="2">
          <reference field="0" count="1" selected="0">
            <x v="1124"/>
          </reference>
          <reference field="1" count="1">
            <x v="77"/>
          </reference>
        </references>
      </pivotArea>
    </format>
    <format dxfId="2395">
      <pivotArea dataOnly="0" labelOnly="1" outline="0" fieldPosition="0">
        <references count="2">
          <reference field="0" count="1" selected="0">
            <x v="1125"/>
          </reference>
          <reference field="1" count="1">
            <x v="77"/>
          </reference>
        </references>
      </pivotArea>
    </format>
    <format dxfId="2396">
      <pivotArea dataOnly="0" labelOnly="1" outline="0" fieldPosition="0">
        <references count="2">
          <reference field="0" count="1" selected="0">
            <x v="1126"/>
          </reference>
          <reference field="1" count="1">
            <x v="77"/>
          </reference>
        </references>
      </pivotArea>
    </format>
    <format dxfId="2397">
      <pivotArea dataOnly="0" labelOnly="1" outline="0" fieldPosition="0">
        <references count="2">
          <reference field="0" count="1" selected="0">
            <x v="1127"/>
          </reference>
          <reference field="1" count="1">
            <x v="77"/>
          </reference>
        </references>
      </pivotArea>
    </format>
    <format dxfId="2398">
      <pivotArea dataOnly="0" labelOnly="1" outline="0" fieldPosition="0">
        <references count="2">
          <reference field="0" count="1" selected="0">
            <x v="1128"/>
          </reference>
          <reference field="1" count="1">
            <x v="77"/>
          </reference>
        </references>
      </pivotArea>
    </format>
    <format dxfId="2399">
      <pivotArea dataOnly="0" labelOnly="1" outline="0" fieldPosition="0">
        <references count="2">
          <reference field="0" count="1" selected="0">
            <x v="1129"/>
          </reference>
          <reference field="1" count="1">
            <x v="77"/>
          </reference>
        </references>
      </pivotArea>
    </format>
    <format dxfId="2400">
      <pivotArea dataOnly="0" labelOnly="1" outline="0" fieldPosition="0">
        <references count="2">
          <reference field="0" count="1" selected="0">
            <x v="1130"/>
          </reference>
          <reference field="1" count="1">
            <x v="77"/>
          </reference>
        </references>
      </pivotArea>
    </format>
    <format dxfId="2401">
      <pivotArea dataOnly="0" labelOnly="1" outline="0" fieldPosition="0">
        <references count="2">
          <reference field="0" count="1" selected="0">
            <x v="1131"/>
          </reference>
          <reference field="1" count="1">
            <x v="77"/>
          </reference>
        </references>
      </pivotArea>
    </format>
    <format dxfId="2402">
      <pivotArea dataOnly="0" labelOnly="1" outline="0" fieldPosition="0">
        <references count="2">
          <reference field="0" count="1" selected="0">
            <x v="1132"/>
          </reference>
          <reference field="1" count="1">
            <x v="77"/>
          </reference>
        </references>
      </pivotArea>
    </format>
    <format dxfId="2403">
      <pivotArea dataOnly="0" labelOnly="1" outline="0" fieldPosition="0">
        <references count="2">
          <reference field="0" count="1" selected="0">
            <x v="1133"/>
          </reference>
          <reference field="1" count="1">
            <x v="77"/>
          </reference>
        </references>
      </pivotArea>
    </format>
    <format dxfId="2404">
      <pivotArea dataOnly="0" labelOnly="1" outline="0" fieldPosition="0">
        <references count="2">
          <reference field="0" count="1" selected="0">
            <x v="1134"/>
          </reference>
          <reference field="1" count="1">
            <x v="77"/>
          </reference>
        </references>
      </pivotArea>
    </format>
    <format dxfId="2405">
      <pivotArea dataOnly="0" labelOnly="1" outline="0" fieldPosition="0">
        <references count="2">
          <reference field="0" count="1" selected="0">
            <x v="1135"/>
          </reference>
          <reference field="1" count="1">
            <x v="77"/>
          </reference>
        </references>
      </pivotArea>
    </format>
    <format dxfId="2406">
      <pivotArea dataOnly="0" labelOnly="1" outline="0" fieldPosition="0">
        <references count="2">
          <reference field="0" count="1" selected="0">
            <x v="1136"/>
          </reference>
          <reference field="1" count="1">
            <x v="78"/>
          </reference>
        </references>
      </pivotArea>
    </format>
    <format dxfId="2407">
      <pivotArea dataOnly="0" labelOnly="1" outline="0" fieldPosition="0">
        <references count="2">
          <reference field="0" count="1" selected="0">
            <x v="1137"/>
          </reference>
          <reference field="1" count="1">
            <x v="78"/>
          </reference>
        </references>
      </pivotArea>
    </format>
    <format dxfId="2408">
      <pivotArea dataOnly="0" labelOnly="1" outline="0" fieldPosition="0">
        <references count="2">
          <reference field="0" count="1" selected="0">
            <x v="1138"/>
          </reference>
          <reference field="1" count="1">
            <x v="78"/>
          </reference>
        </references>
      </pivotArea>
    </format>
    <format dxfId="2409">
      <pivotArea dataOnly="0" labelOnly="1" outline="0" fieldPosition="0">
        <references count="2">
          <reference field="0" count="1" selected="0">
            <x v="1139"/>
          </reference>
          <reference field="1" count="1">
            <x v="78"/>
          </reference>
        </references>
      </pivotArea>
    </format>
    <format dxfId="2410">
      <pivotArea dataOnly="0" labelOnly="1" outline="0" fieldPosition="0">
        <references count="2">
          <reference field="0" count="1" selected="0">
            <x v="1140"/>
          </reference>
          <reference field="1" count="1">
            <x v="78"/>
          </reference>
        </references>
      </pivotArea>
    </format>
    <format dxfId="2411">
      <pivotArea dataOnly="0" labelOnly="1" outline="0" fieldPosition="0">
        <references count="2">
          <reference field="0" count="1" selected="0">
            <x v="1141"/>
          </reference>
          <reference field="1" count="1">
            <x v="78"/>
          </reference>
        </references>
      </pivotArea>
    </format>
    <format dxfId="2412">
      <pivotArea dataOnly="0" labelOnly="1" outline="0" fieldPosition="0">
        <references count="2">
          <reference field="0" count="1" selected="0">
            <x v="1142"/>
          </reference>
          <reference field="1" count="1">
            <x v="78"/>
          </reference>
        </references>
      </pivotArea>
    </format>
    <format dxfId="2413">
      <pivotArea dataOnly="0" labelOnly="1" outline="0" fieldPosition="0">
        <references count="2">
          <reference field="0" count="1" selected="0">
            <x v="1143"/>
          </reference>
          <reference field="1" count="1">
            <x v="78"/>
          </reference>
        </references>
      </pivotArea>
    </format>
    <format dxfId="2414">
      <pivotArea dataOnly="0" labelOnly="1" outline="0" fieldPosition="0">
        <references count="2">
          <reference field="0" count="1" selected="0">
            <x v="1144"/>
          </reference>
          <reference field="1" count="1">
            <x v="78"/>
          </reference>
        </references>
      </pivotArea>
    </format>
    <format dxfId="2415">
      <pivotArea dataOnly="0" labelOnly="1" outline="0" fieldPosition="0">
        <references count="2">
          <reference field="0" count="1" selected="0">
            <x v="1145"/>
          </reference>
          <reference field="1" count="1">
            <x v="78"/>
          </reference>
        </references>
      </pivotArea>
    </format>
    <format dxfId="2416">
      <pivotArea dataOnly="0" labelOnly="1" outline="0" fieldPosition="0">
        <references count="2">
          <reference field="0" count="1" selected="0">
            <x v="1146"/>
          </reference>
          <reference field="1" count="1">
            <x v="78"/>
          </reference>
        </references>
      </pivotArea>
    </format>
    <format dxfId="2417">
      <pivotArea dataOnly="0" labelOnly="1" outline="0" fieldPosition="0">
        <references count="2">
          <reference field="0" count="1" selected="0">
            <x v="1147"/>
          </reference>
          <reference field="1" count="1">
            <x v="78"/>
          </reference>
        </references>
      </pivotArea>
    </format>
    <format dxfId="2418">
      <pivotArea dataOnly="0" labelOnly="1" outline="0" fieldPosition="0">
        <references count="2">
          <reference field="0" count="1" selected="0">
            <x v="1148"/>
          </reference>
          <reference field="1" count="1">
            <x v="78"/>
          </reference>
        </references>
      </pivotArea>
    </format>
    <format dxfId="2419">
      <pivotArea dataOnly="0" labelOnly="1" outline="0" fieldPosition="0">
        <references count="2">
          <reference field="0" count="1" selected="0">
            <x v="1152"/>
          </reference>
          <reference field="1" count="1">
            <x v="78"/>
          </reference>
        </references>
      </pivotArea>
    </format>
    <format dxfId="2420">
      <pivotArea dataOnly="0" labelOnly="1" outline="0" fieldPosition="0">
        <references count="2">
          <reference field="0" count="1" selected="0">
            <x v="1153"/>
          </reference>
          <reference field="1" count="1">
            <x v="78"/>
          </reference>
        </references>
      </pivotArea>
    </format>
    <format dxfId="24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22">
      <pivotArea field="0" type="button" dataOnly="0" labelOnly="1" outline="0" axis="axisRow" fieldPosition="0"/>
    </format>
    <format dxfId="2423">
      <pivotArea field="1" type="button" dataOnly="0" labelOnly="1" outline="0" axis="axisRow" fieldPosition="1"/>
    </format>
    <format dxfId="24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25">
      <pivotArea field="0" type="button" dataOnly="0" labelOnly="1" outline="0" axis="axisRow" fieldPosition="0"/>
    </format>
    <format dxfId="2426">
      <pivotArea field="1" type="button" dataOnly="0" labelOnly="1" outline="0" axis="axisRow" fieldPosition="1"/>
    </format>
    <format dxfId="24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C3B55F-F3DC-4F2B-B4CD-FB2B0C47E414}" name="Master" displayName="Master" ref="B3:K1660" totalsRowShown="0" headerRowDxfId="66" dataDxfId="65">
  <autoFilter ref="B3:K1660" xr:uid="{BBC3B55F-F3DC-4F2B-B4CD-FB2B0C47E414}"/>
  <tableColumns count="10">
    <tableColumn id="1" xr3:uid="{49819A99-6449-484A-8D00-8A9DE662D9EB}" name="Product_Code" dataDxfId="64"/>
    <tableColumn id="2" xr3:uid="{95D398F4-E35F-4EDE-B25E-54FE4B7A8B7F}" name="Category" dataDxfId="63"/>
    <tableColumn id="3" xr3:uid="{C68E4B63-D98E-46C3-B041-102DA512303C}" name="Brand" dataDxfId="62"/>
    <tableColumn id="4" xr3:uid="{1335D8AF-370C-4612-9B45-A69D7BB9911A}" name="Style" dataDxfId="61"/>
    <tableColumn id="5" xr3:uid="{6BD16AE5-1F16-485A-A272-7E6D51697487}" name="Fabric" dataDxfId="60"/>
    <tableColumn id="6" xr3:uid="{C8951A35-1296-4E09-BAE7-75E0DA59FF48}" name="Size" dataDxfId="59"/>
    <tableColumn id="7" xr3:uid="{C59B8AB8-01D7-4A23-8E29-C2C000547BA0}" name="Color" dataDxfId="58"/>
    <tableColumn id="8" xr3:uid="{78E16BCC-1D84-43D5-A8F9-F0EAA43F8B35}" name="Buying_Price" dataDxfId="57"/>
    <tableColumn id="9" xr3:uid="{5719A669-0844-4101-99EB-78B5DE8F37BD}" name="Selling_Price" dataDxfId="56"/>
    <tableColumn id="10" xr3:uid="{08B61596-6847-4634-AF98-A6DE0D900EA5}" name="Stock_Qty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9D5046-3BFE-4408-B887-6EC29365ACF1}" name="Stock_Table" displayName="Stock_Table" ref="B3:M1660" totalsRowShown="0" headerRowDxfId="51" dataDxfId="50">
  <autoFilter ref="B3:M1660" xr:uid="{B99D5046-3BFE-4408-B887-6EC29365ACF1}"/>
  <sortState xmlns:xlrd2="http://schemas.microsoft.com/office/spreadsheetml/2017/richdata2" ref="B4:M1660">
    <sortCondition ref="B3:B1660"/>
  </sortState>
  <tableColumns count="12">
    <tableColumn id="1" xr3:uid="{59996607-8C04-4B59-817F-C7181DF222B5}" name="Product_Code" dataDxfId="49"/>
    <tableColumn id="2" xr3:uid="{030C0940-24B2-493C-8907-4C3388B3D047}" name="Category" dataDxfId="48">
      <calculatedColumnFormula>_xlfn.XLOOKUP(B4,Master[Product_Code],Master[Category])</calculatedColumnFormula>
    </tableColumn>
    <tableColumn id="3" xr3:uid="{B36181A6-69DC-458E-97C2-DBEB06C2E24B}" name="Brand" dataDxfId="47">
      <calculatedColumnFormula>_xlfn.XLOOKUP(B4,Master[Product_Code],Master[Brand])</calculatedColumnFormula>
    </tableColumn>
    <tableColumn id="4" xr3:uid="{B4AFCA74-6208-41A9-AF9E-9F629934915D}" name="Style" dataDxfId="46">
      <calculatedColumnFormula>_xlfn.XLOOKUP(B4,Master[Product_Code],Master[Style])</calculatedColumnFormula>
    </tableColumn>
    <tableColumn id="5" xr3:uid="{D901D6F7-83C9-49DF-A925-C2288B8F60D0}" name="Fabric" dataDxfId="45">
      <calculatedColumnFormula>_xlfn.XLOOKUP(B4,Master[Product_Code],Master[Fabric])</calculatedColumnFormula>
    </tableColumn>
    <tableColumn id="6" xr3:uid="{B914B97B-CAE8-4226-B780-F6FEDBCC0993}" name="Size" dataDxfId="44">
      <calculatedColumnFormula>_xlfn.XLOOKUP(B4,Master[Product_Code],Master[Size])</calculatedColumnFormula>
    </tableColumn>
    <tableColumn id="7" xr3:uid="{D4872FFD-3B64-44BC-8471-402C3E3D4B16}" name="Color" dataDxfId="43">
      <calculatedColumnFormula>_xlfn.XLOOKUP(B4,Master[Product_Code],Master[Color])</calculatedColumnFormula>
    </tableColumn>
    <tableColumn id="8" xr3:uid="{6112A83A-D566-43E0-B588-0A1D1598A8DE}" name="Opening_Stock" dataDxfId="42">
      <calculatedColumnFormula>_xlfn.XLOOKUP(B4,Master[Product_Code],Master[Stock_Qty])</calculatedColumnFormula>
    </tableColumn>
    <tableColumn id="9" xr3:uid="{9A41B636-3C55-4C22-AA0B-6195D4E98D70}" name="Sold_Qty" dataDxfId="41">
      <calculatedColumnFormula>SUMIFS(
  Sales_Entry[Qty],
  Sales_Entry[Product_Code], Stock_Table[[#This Row],[Product_Code]]
)</calculatedColumnFormula>
    </tableColumn>
    <tableColumn id="10" xr3:uid="{1DB29E8C-889D-4EB5-A9B5-6B9D140E7C37}" name="Returned_Qty" dataDxfId="40">
      <calculatedColumnFormula>SUMIFS(
  Exchange_Return[Qty],
  Exchange_Return[Product_Code], Stock_Table[[#This Row],[Product_Code]]
)</calculatedColumnFormula>
    </tableColumn>
    <tableColumn id="11" xr3:uid="{BD25E286-59E7-4CFC-81B8-DA36D8BFB62A}" name="Available_Stock" dataDxfId="39">
      <calculatedColumnFormula>I4-J4+K4</calculatedColumnFormula>
    </tableColumn>
    <tableColumn id="13" xr3:uid="{0376EA12-37B8-4DF1-896A-AA754C29DD25}" name="Stock_Status" dataDxfId="38">
      <calculatedColumnFormula array="1">_xlfn.IFS(L4=0,"Out of Stock",L4&gt;=2,"Limited Stock",L4&lt;2,"In Stock")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91B54-4142-4697-AC15-AB966772C022}" name="Sales_Entry" displayName="Sales_Entry" ref="B3:L2778" totalsRowShown="0" headerRowDxfId="37" dataDxfId="36">
  <autoFilter ref="B3:L2778" xr:uid="{D9491B54-4142-4697-AC15-AB966772C022}"/>
  <tableColumns count="11">
    <tableColumn id="1" xr3:uid="{D33088D0-1557-409C-851A-F4712C23E142}" name="Bill_No" dataDxfId="35"/>
    <tableColumn id="2" xr3:uid="{5CAE2711-EC42-41CE-912A-D8A23975005B}" name="Bill_Date" dataDxfId="34"/>
    <tableColumn id="3" xr3:uid="{8DF0888F-7A18-4D1D-ADF1-2F5715CADA90}" name="Product_Code" dataDxfId="33"/>
    <tableColumn id="11" xr3:uid="{EB3316E0-E75D-42B7-A86C-0767B6E8B8CC}" name="Qty" dataDxfId="32"/>
    <tableColumn id="4" xr3:uid="{AC7B4904-661C-4201-A227-D6412E5CC0AD}" name="Category" dataDxfId="31">
      <calculatedColumnFormula>_xlfn.XLOOKUP(D4,Master[Product_Code],Master[Category])</calculatedColumnFormula>
    </tableColumn>
    <tableColumn id="5" xr3:uid="{0FA7181B-F893-4D5A-BA1F-738831D19FCB}" name="Brand" dataDxfId="30">
      <calculatedColumnFormula>_xlfn.XLOOKUP(D4,Master[Product_Code],Master[Brand])</calculatedColumnFormula>
    </tableColumn>
    <tableColumn id="6" xr3:uid="{CD206D12-66BD-4AAF-834D-50C27F20C003}" name="Style" dataDxfId="29">
      <calculatedColumnFormula>_xlfn.XLOOKUP(D4,Master[Product_Code],Master[Style])</calculatedColumnFormula>
    </tableColumn>
    <tableColumn id="7" xr3:uid="{1581C9CC-1F15-4A47-9536-C531B62A83B6}" name="Fabric" dataDxfId="28">
      <calculatedColumnFormula>_xlfn.XLOOKUP(D4,Master[Product_Code],Master[Fabric])</calculatedColumnFormula>
    </tableColumn>
    <tableColumn id="8" xr3:uid="{DA8FDF15-B8A7-40B7-B9AB-6D817FB5EC9F}" name="Size" dataDxfId="27">
      <calculatedColumnFormula>_xlfn.XLOOKUP(D4,Master[Product_Code],Master[Size])</calculatedColumnFormula>
    </tableColumn>
    <tableColumn id="9" xr3:uid="{069434F1-7DE9-456C-B72D-4B1214EDA8F8}" name="Color" dataDxfId="26">
      <calculatedColumnFormula>_xlfn.XLOOKUP(D4,Master[Product_Code],Master[Color])</calculatedColumnFormula>
    </tableColumn>
    <tableColumn id="10" xr3:uid="{F3837426-E19E-4035-9D6D-4F0B2C79B2F3}" name="Price" dataDxfId="25">
      <calculatedColumnFormula>_xlfn.XLOOKUP(D4,Master[Product_Code],Master[Selling_Price])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6CFCC9-28F1-4978-A9F3-302E52F4DF66}" name="Save" displayName="Save" ref="F3:L1153" totalsRowShown="0" headerRowDxfId="24" dataDxfId="23">
  <autoFilter ref="F3:L1153" xr:uid="{016CFCC9-28F1-4978-A9F3-302E52F4DF66}"/>
  <tableColumns count="7">
    <tableColumn id="1" xr3:uid="{256A3C24-2BE3-4D68-B3C6-93A19C407DA9}" name="Date" dataDxfId="22">
      <calculatedColumnFormula>C4</calculatedColumnFormula>
    </tableColumn>
    <tableColumn id="2" xr3:uid="{6F09499C-5637-4A67-82F1-721E36BE69B3}" name="Default_Discount" dataDxfId="21">
      <calculatedColumnFormula>IF(E4&lt;&gt;"", E4*10%, "")</calculatedColumnFormula>
    </tableColumn>
    <tableColumn id="3" xr3:uid="{24C7B7D7-55D1-42B3-BBCE-E0712453D2DF}" name="Spl_Discount" dataDxfId="20">
      <calculatedColumnFormula>IF(E4&lt;&gt;"",ROUND(IF(E4&gt;1500,E4*5%,),0),"")</calculatedColumnFormula>
    </tableColumn>
    <tableColumn id="4" xr3:uid="{0C5716CB-93E4-498D-B287-6BCDF96B1EF6}" name="Payment_Mode" dataDxfId="19"/>
    <tableColumn id="5" xr3:uid="{4F24EED5-DC3B-4DBD-9BB0-8F54E8528DA3}" name="Cash" dataDxfId="18">
      <calculatedColumnFormula>IF(I4="Cash",L4,"")</calculatedColumnFormula>
    </tableColumn>
    <tableColumn id="6" xr3:uid="{444DC190-E8E3-46BC-A584-68977A4F5107}" name="UPI" dataDxfId="17">
      <calculatedColumnFormula>IF(I4="UPI",L4,"")</calculatedColumnFormula>
    </tableColumn>
    <tableColumn id="7" xr3:uid="{EA50C3A5-5184-4A42-BC9A-59ACA8B8150C}" name="Net_Amt" dataDxfId="16">
      <calculatedColumnFormula>IF(E4&lt;&gt;"",E4-G4-H4,"")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7A5EA0-6B28-4519-920C-32794FD393B4}" name="Exchange_Return" displayName="Exchange_Return" ref="B3:I44" totalsRowShown="0" headerRowDxfId="15" dataDxfId="14">
  <autoFilter ref="B3:I44" xr:uid="{E67A5EA0-6B28-4519-920C-32794FD393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A897B27-DF18-4A67-83DF-7A5AEDD99A90}" name="Ref_No " dataDxfId="13"/>
    <tableColumn id="2" xr3:uid="{EEC49FC0-0229-445F-85ED-C5DC8A0E1EA4}" name="Date" dataDxfId="12"/>
    <tableColumn id="3" xr3:uid="{A4C0BDC9-BE75-49FB-B9A0-888FA960F961}" name="BIll_No" dataDxfId="11"/>
    <tableColumn id="4" xr3:uid="{AF44D113-9FB0-49C6-A112-2422DF8C3DE7}" name="Product_Code" dataDxfId="10"/>
    <tableColumn id="5" xr3:uid="{54E3A266-96E4-496E-982B-231A64A708A1}" name="Qty" dataDxfId="9"/>
    <tableColumn id="6" xr3:uid="{39828E05-CCE5-4332-8304-3BC3C436A713}" name="Type" dataDxfId="8"/>
    <tableColumn id="7" xr3:uid="{E50D373E-B802-4155-9682-5C33848D166B}" name="Rate" dataDxfId="7">
      <calculatedColumnFormula array="1">INDEX(
  _xlfn._xlws.FILTER(
    Sales_Entry[Price],
    (Sales_Entry[Bill_No]=D4)*
    (Sales_Entry[Product_Code]=E4)
  ),
  1
)</calculatedColumnFormula>
    </tableColumn>
    <tableColumn id="8" xr3:uid="{8D4F5BFF-D644-44CE-8A21-D16D2F95EDB6}" name="Return_Amt" dataDxfId="6">
      <calculatedColumnFormula>F4*H4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670CAE-3855-403A-B911-8249BC36DB20}" name="List" displayName="List" ref="B3:B6" totalsRowShown="0" headerRowDxfId="5" dataDxfId="4">
  <autoFilter ref="B3:B6" xr:uid="{49670CAE-3855-403A-B911-8249BC36DB20}">
    <filterColumn colId="0" hiddenButton="1"/>
  </autoFilter>
  <tableColumns count="1">
    <tableColumn id="1" xr3:uid="{69592A1F-C780-490E-A536-85C382B188AE}" name="Payment_LIst" dataDxf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2A453-6277-41EC-B686-31049AFA392F}" name="Type" displayName="Type" ref="D3:D5" totalsRowShown="0" headerRowDxfId="2" dataDxfId="1">
  <autoFilter ref="D3:D5" xr:uid="{3972A453-6277-41EC-B686-31049AFA392F}">
    <filterColumn colId="0" hiddenButton="1"/>
  </autoFilter>
  <tableColumns count="1">
    <tableColumn id="1" xr3:uid="{EC563B23-26F0-4AD4-8CBC-71540135F769}" name="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A88E-BD4A-4252-9CA3-75378D36FA71}">
  <dimension ref="A1:U1660"/>
  <sheetViews>
    <sheetView workbookViewId="0">
      <selection activeCell="M7" sqref="M7"/>
    </sheetView>
  </sheetViews>
  <sheetFormatPr defaultRowHeight="14.25"/>
  <cols>
    <col min="1" max="1" width="5.28515625" style="2" customWidth="1"/>
    <col min="2" max="2" width="17.85546875" style="2" bestFit="1" customWidth="1"/>
    <col min="3" max="3" width="12.28515625" style="2" customWidth="1"/>
    <col min="4" max="4" width="14.85546875" style="2" bestFit="1" customWidth="1"/>
    <col min="5" max="5" width="11.85546875" style="2" bestFit="1" customWidth="1"/>
    <col min="6" max="6" width="13.28515625" style="2" bestFit="1" customWidth="1"/>
    <col min="7" max="7" width="8.7109375" style="2" bestFit="1" customWidth="1"/>
    <col min="8" max="8" width="12.85546875" style="2" bestFit="1" customWidth="1"/>
    <col min="9" max="9" width="16.85546875" style="2" bestFit="1" customWidth="1"/>
    <col min="10" max="10" width="14.42578125" style="2" bestFit="1" customWidth="1"/>
    <col min="11" max="11" width="13.7109375" style="2" bestFit="1" customWidth="1"/>
    <col min="12" max="14" width="9.140625" style="2"/>
    <col min="15" max="15" width="13.5703125" style="2" customWidth="1"/>
    <col min="16" max="16" width="9.140625" style="2"/>
    <col min="17" max="17" width="5.5703125" style="2" customWidth="1"/>
    <col min="18" max="16384" width="9.140625" style="2"/>
  </cols>
  <sheetData>
    <row r="1" spans="1:21" ht="83.25" customHeight="1">
      <c r="A1" s="14"/>
      <c r="B1" s="15"/>
      <c r="C1" s="46" t="s">
        <v>0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16"/>
      <c r="Q1" s="14"/>
      <c r="R1" s="30"/>
      <c r="S1" s="30"/>
      <c r="T1" s="30"/>
      <c r="U1" s="30"/>
    </row>
    <row r="3" spans="1:21" ht="15"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3" t="s">
        <v>9</v>
      </c>
      <c r="K3" s="33" t="s">
        <v>10</v>
      </c>
    </row>
    <row r="4" spans="1:21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3">
        <v>610</v>
      </c>
      <c r="J4" s="3">
        <v>860</v>
      </c>
      <c r="K4" s="4">
        <v>4</v>
      </c>
      <c r="O4" s="3"/>
    </row>
    <row r="5" spans="1:21">
      <c r="B5" s="2" t="s">
        <v>18</v>
      </c>
      <c r="C5" s="2" t="s">
        <v>12</v>
      </c>
      <c r="D5" s="2" t="s">
        <v>13</v>
      </c>
      <c r="E5" s="2" t="s">
        <v>19</v>
      </c>
      <c r="F5" s="2" t="s">
        <v>20</v>
      </c>
      <c r="G5" s="2" t="s">
        <v>21</v>
      </c>
      <c r="H5" s="2" t="s">
        <v>22</v>
      </c>
      <c r="I5" s="3">
        <v>640</v>
      </c>
      <c r="J5" s="3">
        <v>890</v>
      </c>
      <c r="K5" s="4">
        <v>3</v>
      </c>
      <c r="O5" s="3"/>
    </row>
    <row r="6" spans="1:21">
      <c r="B6" s="2" t="s">
        <v>23</v>
      </c>
      <c r="C6" s="2" t="s">
        <v>12</v>
      </c>
      <c r="D6" s="2" t="s">
        <v>13</v>
      </c>
      <c r="E6" s="2" t="s">
        <v>14</v>
      </c>
      <c r="F6" s="2" t="s">
        <v>24</v>
      </c>
      <c r="G6" s="2" t="s">
        <v>21</v>
      </c>
      <c r="H6" s="2" t="s">
        <v>25</v>
      </c>
      <c r="I6" s="3">
        <v>460</v>
      </c>
      <c r="J6" s="3">
        <v>640</v>
      </c>
      <c r="K6" s="4">
        <v>3</v>
      </c>
      <c r="O6" s="3"/>
    </row>
    <row r="7" spans="1:21">
      <c r="B7" s="2" t="s">
        <v>26</v>
      </c>
      <c r="C7" s="2" t="s">
        <v>12</v>
      </c>
      <c r="D7" s="2" t="s">
        <v>27</v>
      </c>
      <c r="E7" s="2" t="s">
        <v>19</v>
      </c>
      <c r="F7" s="2" t="s">
        <v>28</v>
      </c>
      <c r="G7" s="2" t="s">
        <v>16</v>
      </c>
      <c r="H7" s="2" t="s">
        <v>29</v>
      </c>
      <c r="I7" s="3">
        <v>590</v>
      </c>
      <c r="J7" s="3">
        <v>830</v>
      </c>
      <c r="K7" s="4">
        <v>5</v>
      </c>
      <c r="O7" s="3"/>
    </row>
    <row r="8" spans="1:21">
      <c r="B8" s="2" t="s">
        <v>30</v>
      </c>
      <c r="C8" s="2" t="s">
        <v>12</v>
      </c>
      <c r="D8" s="2" t="s">
        <v>31</v>
      </c>
      <c r="E8" s="2" t="s">
        <v>14</v>
      </c>
      <c r="F8" s="2" t="s">
        <v>28</v>
      </c>
      <c r="G8" s="2" t="s">
        <v>32</v>
      </c>
      <c r="H8" s="2" t="s">
        <v>33</v>
      </c>
      <c r="I8" s="3">
        <v>660</v>
      </c>
      <c r="J8" s="3">
        <v>920</v>
      </c>
      <c r="K8" s="4">
        <v>4</v>
      </c>
      <c r="O8" s="3"/>
    </row>
    <row r="9" spans="1:21">
      <c r="B9" s="2" t="s">
        <v>34</v>
      </c>
      <c r="C9" s="2" t="s">
        <v>12</v>
      </c>
      <c r="D9" s="2" t="s">
        <v>35</v>
      </c>
      <c r="E9" s="2" t="s">
        <v>14</v>
      </c>
      <c r="F9" s="2" t="s">
        <v>20</v>
      </c>
      <c r="G9" s="2" t="s">
        <v>36</v>
      </c>
      <c r="H9" s="2" t="s">
        <v>37</v>
      </c>
      <c r="I9" s="3">
        <v>500</v>
      </c>
      <c r="J9" s="3">
        <v>710</v>
      </c>
      <c r="K9" s="4">
        <v>5</v>
      </c>
      <c r="N9" s="5"/>
      <c r="O9" s="3"/>
    </row>
    <row r="10" spans="1:21">
      <c r="B10" s="2" t="s">
        <v>38</v>
      </c>
      <c r="C10" s="2" t="s">
        <v>12</v>
      </c>
      <c r="D10" s="2" t="s">
        <v>35</v>
      </c>
      <c r="E10" s="2" t="s">
        <v>19</v>
      </c>
      <c r="F10" s="2" t="s">
        <v>15</v>
      </c>
      <c r="G10" s="2" t="s">
        <v>39</v>
      </c>
      <c r="H10" s="2" t="s">
        <v>29</v>
      </c>
      <c r="I10" s="3">
        <v>670</v>
      </c>
      <c r="J10" s="3">
        <v>930</v>
      </c>
      <c r="K10" s="4">
        <v>3</v>
      </c>
      <c r="O10" s="3"/>
    </row>
    <row r="11" spans="1:21">
      <c r="B11" s="2" t="s">
        <v>40</v>
      </c>
      <c r="C11" s="2" t="s">
        <v>12</v>
      </c>
      <c r="D11" s="2" t="s">
        <v>13</v>
      </c>
      <c r="E11" s="2" t="s">
        <v>19</v>
      </c>
      <c r="F11" s="2" t="s">
        <v>15</v>
      </c>
      <c r="G11" s="2" t="s">
        <v>21</v>
      </c>
      <c r="H11" s="2" t="s">
        <v>41</v>
      </c>
      <c r="I11" s="3">
        <v>550</v>
      </c>
      <c r="J11" s="3">
        <v>760</v>
      </c>
      <c r="K11" s="4">
        <v>4</v>
      </c>
      <c r="O11" s="3"/>
    </row>
    <row r="12" spans="1:21">
      <c r="B12" s="2" t="s">
        <v>42</v>
      </c>
      <c r="C12" s="2" t="s">
        <v>12</v>
      </c>
      <c r="D12" s="2" t="s">
        <v>13</v>
      </c>
      <c r="E12" s="2" t="s">
        <v>14</v>
      </c>
      <c r="F12" s="2" t="s">
        <v>24</v>
      </c>
      <c r="G12" s="2" t="s">
        <v>32</v>
      </c>
      <c r="H12" s="2" t="s">
        <v>43</v>
      </c>
      <c r="I12" s="3">
        <v>630</v>
      </c>
      <c r="J12" s="3">
        <v>880</v>
      </c>
      <c r="K12" s="4">
        <v>4</v>
      </c>
      <c r="O12" s="3"/>
    </row>
    <row r="13" spans="1:21">
      <c r="B13" s="2" t="s">
        <v>44</v>
      </c>
      <c r="C13" s="2" t="s">
        <v>12</v>
      </c>
      <c r="D13" s="2" t="s">
        <v>13</v>
      </c>
      <c r="E13" s="2" t="s">
        <v>45</v>
      </c>
      <c r="F13" s="2" t="s">
        <v>15</v>
      </c>
      <c r="G13" s="2" t="s">
        <v>36</v>
      </c>
      <c r="H13" s="2" t="s">
        <v>41</v>
      </c>
      <c r="I13" s="3">
        <v>670</v>
      </c>
      <c r="J13" s="3">
        <v>940</v>
      </c>
      <c r="K13" s="4">
        <v>4</v>
      </c>
      <c r="O13" s="3"/>
    </row>
    <row r="14" spans="1:21">
      <c r="B14" s="2" t="s">
        <v>46</v>
      </c>
      <c r="C14" s="2" t="s">
        <v>12</v>
      </c>
      <c r="D14" s="2" t="s">
        <v>35</v>
      </c>
      <c r="E14" s="2" t="s">
        <v>14</v>
      </c>
      <c r="F14" s="2" t="s">
        <v>15</v>
      </c>
      <c r="G14" s="2" t="s">
        <v>39</v>
      </c>
      <c r="H14" s="2" t="s">
        <v>25</v>
      </c>
      <c r="I14" s="3">
        <v>540</v>
      </c>
      <c r="J14" s="3">
        <v>760</v>
      </c>
      <c r="K14" s="4">
        <v>4</v>
      </c>
      <c r="O14" s="3"/>
    </row>
    <row r="15" spans="1:21">
      <c r="B15" s="2" t="s">
        <v>47</v>
      </c>
      <c r="C15" s="2" t="s">
        <v>12</v>
      </c>
      <c r="D15" s="2" t="s">
        <v>27</v>
      </c>
      <c r="E15" s="2" t="s">
        <v>14</v>
      </c>
      <c r="F15" s="2" t="s">
        <v>28</v>
      </c>
      <c r="G15" s="2" t="s">
        <v>36</v>
      </c>
      <c r="H15" s="2" t="s">
        <v>33</v>
      </c>
      <c r="I15" s="3">
        <v>590</v>
      </c>
      <c r="J15" s="3">
        <v>820</v>
      </c>
      <c r="K15" s="4">
        <v>4</v>
      </c>
      <c r="O15" s="3"/>
    </row>
    <row r="16" spans="1:21">
      <c r="B16" s="2" t="s">
        <v>48</v>
      </c>
      <c r="C16" s="2" t="s">
        <v>12</v>
      </c>
      <c r="D16" s="2" t="s">
        <v>35</v>
      </c>
      <c r="E16" s="2" t="s">
        <v>14</v>
      </c>
      <c r="F16" s="2" t="s">
        <v>24</v>
      </c>
      <c r="G16" s="2" t="s">
        <v>39</v>
      </c>
      <c r="H16" s="2" t="s">
        <v>49</v>
      </c>
      <c r="I16" s="3">
        <v>620</v>
      </c>
      <c r="J16" s="3">
        <v>880</v>
      </c>
      <c r="K16" s="4">
        <v>6</v>
      </c>
      <c r="O16" s="3"/>
    </row>
    <row r="17" spans="2:15">
      <c r="B17" s="2" t="s">
        <v>50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51</v>
      </c>
      <c r="I17" s="3">
        <v>520</v>
      </c>
      <c r="J17" s="3">
        <v>720</v>
      </c>
      <c r="K17" s="4">
        <v>6</v>
      </c>
      <c r="O17" s="3"/>
    </row>
    <row r="18" spans="2:15">
      <c r="B18" s="2" t="s">
        <v>52</v>
      </c>
      <c r="C18" s="2" t="s">
        <v>12</v>
      </c>
      <c r="D18" s="2" t="s">
        <v>53</v>
      </c>
      <c r="E18" s="2" t="s">
        <v>14</v>
      </c>
      <c r="F18" s="2" t="s">
        <v>15</v>
      </c>
      <c r="G18" s="2" t="s">
        <v>16</v>
      </c>
      <c r="H18" s="2" t="s">
        <v>17</v>
      </c>
      <c r="I18" s="3">
        <v>680</v>
      </c>
      <c r="J18" s="3">
        <v>950</v>
      </c>
      <c r="K18" s="4">
        <v>5</v>
      </c>
      <c r="O18" s="3"/>
    </row>
    <row r="19" spans="2:15">
      <c r="B19" s="2" t="s">
        <v>54</v>
      </c>
      <c r="C19" s="2" t="s">
        <v>12</v>
      </c>
      <c r="D19" s="2" t="s">
        <v>55</v>
      </c>
      <c r="E19" s="2" t="s">
        <v>19</v>
      </c>
      <c r="F19" s="2" t="s">
        <v>28</v>
      </c>
      <c r="G19" s="2" t="s">
        <v>32</v>
      </c>
      <c r="H19" s="2" t="s">
        <v>17</v>
      </c>
      <c r="I19" s="3">
        <v>640</v>
      </c>
      <c r="J19" s="3">
        <v>900</v>
      </c>
      <c r="K19" s="4">
        <v>4</v>
      </c>
      <c r="O19" s="3"/>
    </row>
    <row r="20" spans="2:15">
      <c r="B20" s="2" t="s">
        <v>56</v>
      </c>
      <c r="C20" s="2" t="s">
        <v>12</v>
      </c>
      <c r="D20" s="2" t="s">
        <v>53</v>
      </c>
      <c r="E20" s="2" t="s">
        <v>14</v>
      </c>
      <c r="F20" s="2" t="s">
        <v>20</v>
      </c>
      <c r="G20" s="2" t="s">
        <v>39</v>
      </c>
      <c r="H20" s="2" t="s">
        <v>57</v>
      </c>
      <c r="I20" s="3">
        <v>580</v>
      </c>
      <c r="J20" s="3">
        <v>810</v>
      </c>
      <c r="K20" s="4">
        <v>4</v>
      </c>
      <c r="O20" s="3"/>
    </row>
    <row r="21" spans="2:15">
      <c r="B21" s="2" t="s">
        <v>58</v>
      </c>
      <c r="C21" s="2" t="s">
        <v>12</v>
      </c>
      <c r="D21" s="2" t="s">
        <v>55</v>
      </c>
      <c r="E21" s="2" t="s">
        <v>19</v>
      </c>
      <c r="F21" s="2" t="s">
        <v>20</v>
      </c>
      <c r="G21" s="2" t="s">
        <v>36</v>
      </c>
      <c r="H21" s="2" t="s">
        <v>59</v>
      </c>
      <c r="I21" s="3">
        <v>650</v>
      </c>
      <c r="J21" s="3">
        <v>910</v>
      </c>
      <c r="K21" s="4">
        <v>6</v>
      </c>
      <c r="O21" s="3"/>
    </row>
    <row r="22" spans="2:15">
      <c r="B22" s="2" t="s">
        <v>60</v>
      </c>
      <c r="C22" s="2" t="s">
        <v>12</v>
      </c>
      <c r="D22" s="2" t="s">
        <v>61</v>
      </c>
      <c r="E22" s="2" t="s">
        <v>19</v>
      </c>
      <c r="F22" s="2" t="s">
        <v>20</v>
      </c>
      <c r="G22" s="2" t="s">
        <v>39</v>
      </c>
      <c r="H22" s="2" t="s">
        <v>62</v>
      </c>
      <c r="I22" s="3">
        <v>580</v>
      </c>
      <c r="J22" s="3">
        <v>820</v>
      </c>
      <c r="K22" s="4">
        <v>5</v>
      </c>
      <c r="O22" s="3"/>
    </row>
    <row r="23" spans="2:15">
      <c r="B23" s="2" t="s">
        <v>63</v>
      </c>
      <c r="C23" s="2" t="s">
        <v>12</v>
      </c>
      <c r="D23" s="2" t="s">
        <v>35</v>
      </c>
      <c r="E23" s="2" t="s">
        <v>14</v>
      </c>
      <c r="F23" s="2" t="s">
        <v>15</v>
      </c>
      <c r="G23" s="2" t="s">
        <v>36</v>
      </c>
      <c r="H23" s="2" t="s">
        <v>64</v>
      </c>
      <c r="I23" s="3">
        <v>650</v>
      </c>
      <c r="J23" s="3">
        <v>900</v>
      </c>
      <c r="K23" s="4">
        <v>6</v>
      </c>
      <c r="O23" s="3"/>
    </row>
    <row r="24" spans="2:15">
      <c r="B24" s="2" t="s">
        <v>65</v>
      </c>
      <c r="C24" s="2" t="s">
        <v>12</v>
      </c>
      <c r="D24" s="2" t="s">
        <v>61</v>
      </c>
      <c r="E24" s="2" t="s">
        <v>19</v>
      </c>
      <c r="F24" s="2" t="s">
        <v>24</v>
      </c>
      <c r="G24" s="2" t="s">
        <v>21</v>
      </c>
      <c r="H24" s="2" t="s">
        <v>37</v>
      </c>
      <c r="I24" s="3">
        <v>450</v>
      </c>
      <c r="J24" s="3">
        <v>630</v>
      </c>
      <c r="K24" s="4">
        <v>5</v>
      </c>
      <c r="O24" s="3"/>
    </row>
    <row r="25" spans="2:15">
      <c r="B25" s="2" t="s">
        <v>66</v>
      </c>
      <c r="C25" s="2" t="s">
        <v>12</v>
      </c>
      <c r="D25" s="2" t="s">
        <v>67</v>
      </c>
      <c r="E25" s="2" t="s">
        <v>19</v>
      </c>
      <c r="F25" s="2" t="s">
        <v>24</v>
      </c>
      <c r="G25" s="2" t="s">
        <v>16</v>
      </c>
      <c r="H25" s="2" t="s">
        <v>41</v>
      </c>
      <c r="I25" s="3">
        <v>660</v>
      </c>
      <c r="J25" s="3">
        <v>930</v>
      </c>
      <c r="K25" s="4">
        <v>4</v>
      </c>
      <c r="O25" s="3"/>
    </row>
    <row r="26" spans="2:15">
      <c r="B26" s="2" t="s">
        <v>68</v>
      </c>
      <c r="C26" s="2" t="s">
        <v>12</v>
      </c>
      <c r="D26" s="2" t="s">
        <v>67</v>
      </c>
      <c r="E26" s="2" t="s">
        <v>14</v>
      </c>
      <c r="F26" s="2" t="s">
        <v>15</v>
      </c>
      <c r="G26" s="2" t="s">
        <v>36</v>
      </c>
      <c r="H26" s="2" t="s">
        <v>69</v>
      </c>
      <c r="I26" s="3">
        <v>590</v>
      </c>
      <c r="J26" s="3">
        <v>820</v>
      </c>
      <c r="K26" s="4">
        <v>3</v>
      </c>
      <c r="O26" s="3"/>
    </row>
    <row r="27" spans="2:15">
      <c r="B27" s="2" t="s">
        <v>70</v>
      </c>
      <c r="C27" s="2" t="s">
        <v>12</v>
      </c>
      <c r="D27" s="2" t="s">
        <v>61</v>
      </c>
      <c r="E27" s="2" t="s">
        <v>14</v>
      </c>
      <c r="F27" s="2" t="s">
        <v>20</v>
      </c>
      <c r="G27" s="2" t="s">
        <v>16</v>
      </c>
      <c r="H27" s="2" t="s">
        <v>71</v>
      </c>
      <c r="I27" s="3">
        <v>540</v>
      </c>
      <c r="J27" s="3">
        <v>760</v>
      </c>
      <c r="K27" s="4">
        <v>3</v>
      </c>
      <c r="O27" s="3"/>
    </row>
    <row r="28" spans="2:15">
      <c r="B28" s="2" t="s">
        <v>72</v>
      </c>
      <c r="C28" s="2" t="s">
        <v>12</v>
      </c>
      <c r="D28" s="2" t="s">
        <v>53</v>
      </c>
      <c r="E28" s="2" t="s">
        <v>14</v>
      </c>
      <c r="F28" s="2" t="s">
        <v>24</v>
      </c>
      <c r="G28" s="2" t="s">
        <v>16</v>
      </c>
      <c r="H28" s="2" t="s">
        <v>51</v>
      </c>
      <c r="I28" s="3">
        <v>470</v>
      </c>
      <c r="J28" s="3">
        <v>660</v>
      </c>
      <c r="K28" s="4">
        <v>4</v>
      </c>
      <c r="O28" s="3"/>
    </row>
    <row r="29" spans="2:15">
      <c r="B29" s="2" t="s">
        <v>73</v>
      </c>
      <c r="C29" s="2" t="s">
        <v>12</v>
      </c>
      <c r="D29" s="2" t="s">
        <v>67</v>
      </c>
      <c r="E29" s="2" t="s">
        <v>19</v>
      </c>
      <c r="F29" s="2" t="s">
        <v>28</v>
      </c>
      <c r="G29" s="2" t="s">
        <v>16</v>
      </c>
      <c r="H29" s="2" t="s">
        <v>62</v>
      </c>
      <c r="I29" s="3">
        <v>520</v>
      </c>
      <c r="J29" s="3">
        <v>720</v>
      </c>
      <c r="K29" s="4">
        <v>4</v>
      </c>
      <c r="O29" s="3"/>
    </row>
    <row r="30" spans="2:15">
      <c r="B30" s="2" t="s">
        <v>74</v>
      </c>
      <c r="C30" s="2" t="s">
        <v>12</v>
      </c>
      <c r="D30" s="2" t="s">
        <v>61</v>
      </c>
      <c r="E30" s="2" t="s">
        <v>45</v>
      </c>
      <c r="F30" s="2" t="s">
        <v>15</v>
      </c>
      <c r="G30" s="2" t="s">
        <v>36</v>
      </c>
      <c r="H30" s="2" t="s">
        <v>75</v>
      </c>
      <c r="I30" s="3">
        <v>630</v>
      </c>
      <c r="J30" s="3">
        <v>880</v>
      </c>
      <c r="K30" s="4">
        <v>6</v>
      </c>
      <c r="O30" s="3"/>
    </row>
    <row r="31" spans="2:15">
      <c r="B31" s="2" t="s">
        <v>76</v>
      </c>
      <c r="C31" s="2" t="s">
        <v>12</v>
      </c>
      <c r="D31" s="2" t="s">
        <v>27</v>
      </c>
      <c r="E31" s="2" t="s">
        <v>14</v>
      </c>
      <c r="F31" s="2" t="s">
        <v>20</v>
      </c>
      <c r="G31" s="2" t="s">
        <v>32</v>
      </c>
      <c r="H31" s="2" t="s">
        <v>69</v>
      </c>
      <c r="I31" s="3">
        <v>480</v>
      </c>
      <c r="J31" s="3">
        <v>670</v>
      </c>
      <c r="K31" s="4">
        <v>4</v>
      </c>
      <c r="O31" s="3"/>
    </row>
    <row r="32" spans="2:15">
      <c r="B32" s="2" t="s">
        <v>77</v>
      </c>
      <c r="C32" s="2" t="s">
        <v>12</v>
      </c>
      <c r="D32" s="2" t="s">
        <v>27</v>
      </c>
      <c r="E32" s="2" t="s">
        <v>14</v>
      </c>
      <c r="F32" s="2" t="s">
        <v>20</v>
      </c>
      <c r="G32" s="2" t="s">
        <v>39</v>
      </c>
      <c r="H32" s="2" t="s">
        <v>17</v>
      </c>
      <c r="I32" s="3">
        <v>600</v>
      </c>
      <c r="J32" s="3">
        <v>840</v>
      </c>
      <c r="K32" s="4">
        <v>3</v>
      </c>
      <c r="O32" s="3"/>
    </row>
    <row r="33" spans="2:15">
      <c r="B33" s="2" t="s">
        <v>78</v>
      </c>
      <c r="C33" s="2" t="s">
        <v>12</v>
      </c>
      <c r="D33" s="2" t="s">
        <v>35</v>
      </c>
      <c r="E33" s="2" t="s">
        <v>14</v>
      </c>
      <c r="F33" s="2" t="s">
        <v>24</v>
      </c>
      <c r="G33" s="2" t="s">
        <v>32</v>
      </c>
      <c r="H33" s="2" t="s">
        <v>51</v>
      </c>
      <c r="I33" s="3">
        <v>460</v>
      </c>
      <c r="J33" s="3">
        <v>640</v>
      </c>
      <c r="K33" s="4">
        <v>4</v>
      </c>
      <c r="O33" s="3"/>
    </row>
    <row r="34" spans="2:15">
      <c r="B34" s="2" t="s">
        <v>79</v>
      </c>
      <c r="C34" s="2" t="s">
        <v>12</v>
      </c>
      <c r="D34" s="2" t="s">
        <v>80</v>
      </c>
      <c r="E34" s="2" t="s">
        <v>19</v>
      </c>
      <c r="F34" s="2" t="s">
        <v>28</v>
      </c>
      <c r="G34" s="2" t="s">
        <v>16</v>
      </c>
      <c r="H34" s="2" t="s">
        <v>51</v>
      </c>
      <c r="I34" s="3">
        <v>590</v>
      </c>
      <c r="J34" s="3">
        <v>820</v>
      </c>
      <c r="K34" s="4">
        <v>6</v>
      </c>
      <c r="O34" s="3"/>
    </row>
    <row r="35" spans="2:15">
      <c r="B35" s="2" t="s">
        <v>81</v>
      </c>
      <c r="C35" s="2" t="s">
        <v>12</v>
      </c>
      <c r="D35" s="2" t="s">
        <v>13</v>
      </c>
      <c r="E35" s="2" t="s">
        <v>14</v>
      </c>
      <c r="F35" s="2" t="s">
        <v>28</v>
      </c>
      <c r="G35" s="2" t="s">
        <v>32</v>
      </c>
      <c r="H35" s="2" t="s">
        <v>22</v>
      </c>
      <c r="I35" s="3">
        <v>500</v>
      </c>
      <c r="J35" s="3">
        <v>700</v>
      </c>
      <c r="K35" s="4">
        <v>6</v>
      </c>
      <c r="O35" s="3"/>
    </row>
    <row r="36" spans="2:15">
      <c r="B36" s="2" t="s">
        <v>82</v>
      </c>
      <c r="C36" s="2" t="s">
        <v>12</v>
      </c>
      <c r="D36" s="2" t="s">
        <v>31</v>
      </c>
      <c r="E36" s="2" t="s">
        <v>19</v>
      </c>
      <c r="F36" s="2" t="s">
        <v>20</v>
      </c>
      <c r="G36" s="2" t="s">
        <v>39</v>
      </c>
      <c r="H36" s="2" t="s">
        <v>59</v>
      </c>
      <c r="I36" s="3">
        <v>570</v>
      </c>
      <c r="J36" s="3">
        <v>800</v>
      </c>
      <c r="K36" s="4">
        <v>5</v>
      </c>
      <c r="O36" s="3"/>
    </row>
    <row r="37" spans="2:15">
      <c r="B37" s="2" t="s">
        <v>83</v>
      </c>
      <c r="C37" s="2" t="s">
        <v>12</v>
      </c>
      <c r="D37" s="2" t="s">
        <v>13</v>
      </c>
      <c r="E37" s="2" t="s">
        <v>14</v>
      </c>
      <c r="F37" s="2" t="s">
        <v>24</v>
      </c>
      <c r="G37" s="2" t="s">
        <v>16</v>
      </c>
      <c r="H37" s="2" t="s">
        <v>62</v>
      </c>
      <c r="I37" s="3">
        <v>650</v>
      </c>
      <c r="J37" s="3">
        <v>920</v>
      </c>
      <c r="K37" s="4">
        <v>6</v>
      </c>
      <c r="O37" s="3"/>
    </row>
    <row r="38" spans="2:15">
      <c r="B38" s="2" t="s">
        <v>84</v>
      </c>
      <c r="C38" s="2" t="s">
        <v>12</v>
      </c>
      <c r="D38" s="2" t="s">
        <v>55</v>
      </c>
      <c r="E38" s="2" t="s">
        <v>14</v>
      </c>
      <c r="F38" s="2" t="s">
        <v>15</v>
      </c>
      <c r="G38" s="2" t="s">
        <v>36</v>
      </c>
      <c r="H38" s="2" t="s">
        <v>17</v>
      </c>
      <c r="I38" s="3">
        <v>480</v>
      </c>
      <c r="J38" s="3">
        <v>680</v>
      </c>
      <c r="K38" s="4">
        <v>3</v>
      </c>
      <c r="O38" s="3"/>
    </row>
    <row r="39" spans="2:15">
      <c r="B39" s="2" t="s">
        <v>85</v>
      </c>
      <c r="C39" s="2" t="s">
        <v>12</v>
      </c>
      <c r="D39" s="2" t="s">
        <v>67</v>
      </c>
      <c r="E39" s="2" t="s">
        <v>14</v>
      </c>
      <c r="F39" s="2" t="s">
        <v>20</v>
      </c>
      <c r="G39" s="2" t="s">
        <v>21</v>
      </c>
      <c r="H39" s="2" t="s">
        <v>69</v>
      </c>
      <c r="I39" s="3">
        <v>560</v>
      </c>
      <c r="J39" s="3">
        <v>790</v>
      </c>
      <c r="K39" s="4">
        <v>3</v>
      </c>
      <c r="O39" s="3"/>
    </row>
    <row r="40" spans="2:15">
      <c r="B40" s="2" t="s">
        <v>86</v>
      </c>
      <c r="C40" s="2" t="s">
        <v>12</v>
      </c>
      <c r="D40" s="2" t="s">
        <v>27</v>
      </c>
      <c r="E40" s="2" t="s">
        <v>14</v>
      </c>
      <c r="F40" s="2" t="s">
        <v>28</v>
      </c>
      <c r="G40" s="2" t="s">
        <v>36</v>
      </c>
      <c r="H40" s="2" t="s">
        <v>51</v>
      </c>
      <c r="I40" s="3">
        <v>640</v>
      </c>
      <c r="J40" s="3">
        <v>900</v>
      </c>
      <c r="K40" s="4">
        <v>4</v>
      </c>
      <c r="O40" s="3"/>
    </row>
    <row r="41" spans="2:15">
      <c r="B41" s="2" t="s">
        <v>87</v>
      </c>
      <c r="C41" s="2" t="s">
        <v>12</v>
      </c>
      <c r="D41" s="2" t="s">
        <v>55</v>
      </c>
      <c r="E41" s="2" t="s">
        <v>14</v>
      </c>
      <c r="F41" s="2" t="s">
        <v>24</v>
      </c>
      <c r="G41" s="2" t="s">
        <v>36</v>
      </c>
      <c r="H41" s="2" t="s">
        <v>69</v>
      </c>
      <c r="I41" s="3">
        <v>670</v>
      </c>
      <c r="J41" s="3">
        <v>940</v>
      </c>
      <c r="K41" s="4">
        <v>6</v>
      </c>
      <c r="O41" s="3"/>
    </row>
    <row r="42" spans="2:15">
      <c r="B42" s="2" t="s">
        <v>88</v>
      </c>
      <c r="C42" s="2" t="s">
        <v>12</v>
      </c>
      <c r="D42" s="2" t="s">
        <v>53</v>
      </c>
      <c r="E42" s="2" t="s">
        <v>45</v>
      </c>
      <c r="F42" s="2" t="s">
        <v>28</v>
      </c>
      <c r="G42" s="2" t="s">
        <v>21</v>
      </c>
      <c r="H42" s="2" t="s">
        <v>51</v>
      </c>
      <c r="I42" s="3">
        <v>520</v>
      </c>
      <c r="J42" s="3">
        <v>720</v>
      </c>
      <c r="K42" s="4">
        <v>4</v>
      </c>
      <c r="O42" s="3"/>
    </row>
    <row r="43" spans="2:15">
      <c r="B43" s="2" t="s">
        <v>89</v>
      </c>
      <c r="C43" s="2" t="s">
        <v>12</v>
      </c>
      <c r="D43" s="2" t="s">
        <v>61</v>
      </c>
      <c r="E43" s="2" t="s">
        <v>14</v>
      </c>
      <c r="F43" s="2" t="s">
        <v>20</v>
      </c>
      <c r="G43" s="2" t="s">
        <v>21</v>
      </c>
      <c r="H43" s="2" t="s">
        <v>62</v>
      </c>
      <c r="I43" s="3">
        <v>500</v>
      </c>
      <c r="J43" s="3">
        <v>700</v>
      </c>
      <c r="K43" s="4">
        <v>3</v>
      </c>
      <c r="O43" s="3"/>
    </row>
    <row r="44" spans="2:15">
      <c r="B44" s="2" t="s">
        <v>90</v>
      </c>
      <c r="C44" s="2" t="s">
        <v>12</v>
      </c>
      <c r="D44" s="2" t="s">
        <v>35</v>
      </c>
      <c r="E44" s="2" t="s">
        <v>14</v>
      </c>
      <c r="F44" s="2" t="s">
        <v>20</v>
      </c>
      <c r="G44" s="2" t="s">
        <v>21</v>
      </c>
      <c r="H44" s="2" t="s">
        <v>51</v>
      </c>
      <c r="I44" s="3">
        <v>640</v>
      </c>
      <c r="J44" s="3">
        <v>900</v>
      </c>
      <c r="K44" s="4">
        <v>4</v>
      </c>
      <c r="O44" s="3"/>
    </row>
    <row r="45" spans="2:15">
      <c r="B45" s="2" t="s">
        <v>91</v>
      </c>
      <c r="C45" s="2" t="s">
        <v>12</v>
      </c>
      <c r="D45" s="2" t="s">
        <v>67</v>
      </c>
      <c r="E45" s="2" t="s">
        <v>14</v>
      </c>
      <c r="F45" s="2" t="s">
        <v>24</v>
      </c>
      <c r="G45" s="2" t="s">
        <v>39</v>
      </c>
      <c r="H45" s="2" t="s">
        <v>25</v>
      </c>
      <c r="I45" s="3">
        <v>460</v>
      </c>
      <c r="J45" s="3">
        <v>650</v>
      </c>
      <c r="K45" s="4">
        <v>3</v>
      </c>
      <c r="O45" s="3"/>
    </row>
    <row r="46" spans="2:15">
      <c r="B46" s="2" t="s">
        <v>92</v>
      </c>
      <c r="C46" s="2" t="s">
        <v>12</v>
      </c>
      <c r="D46" s="2" t="s">
        <v>27</v>
      </c>
      <c r="E46" s="2" t="s">
        <v>45</v>
      </c>
      <c r="F46" s="2" t="s">
        <v>20</v>
      </c>
      <c r="G46" s="2" t="s">
        <v>21</v>
      </c>
      <c r="H46" s="2" t="s">
        <v>17</v>
      </c>
      <c r="I46" s="3">
        <v>620</v>
      </c>
      <c r="J46" s="3">
        <v>870</v>
      </c>
      <c r="K46" s="4">
        <v>3</v>
      </c>
      <c r="O46" s="3"/>
    </row>
    <row r="47" spans="2:15">
      <c r="B47" s="2" t="s">
        <v>93</v>
      </c>
      <c r="C47" s="2" t="s">
        <v>12</v>
      </c>
      <c r="D47" s="2" t="s">
        <v>13</v>
      </c>
      <c r="E47" s="2" t="s">
        <v>45</v>
      </c>
      <c r="F47" s="2" t="s">
        <v>15</v>
      </c>
      <c r="G47" s="2" t="s">
        <v>32</v>
      </c>
      <c r="H47" s="2" t="s">
        <v>94</v>
      </c>
      <c r="I47" s="3">
        <v>610</v>
      </c>
      <c r="J47" s="3">
        <v>850</v>
      </c>
      <c r="K47" s="4">
        <v>5</v>
      </c>
      <c r="O47" s="3"/>
    </row>
    <row r="48" spans="2:15">
      <c r="B48" s="2" t="s">
        <v>95</v>
      </c>
      <c r="C48" s="2" t="s">
        <v>12</v>
      </c>
      <c r="D48" s="2" t="s">
        <v>61</v>
      </c>
      <c r="E48" s="2" t="s">
        <v>45</v>
      </c>
      <c r="F48" s="2" t="s">
        <v>24</v>
      </c>
      <c r="G48" s="2" t="s">
        <v>32</v>
      </c>
      <c r="H48" s="2" t="s">
        <v>29</v>
      </c>
      <c r="I48" s="3">
        <v>510</v>
      </c>
      <c r="J48" s="3">
        <v>720</v>
      </c>
      <c r="K48" s="4">
        <v>5</v>
      </c>
      <c r="O48" s="3"/>
    </row>
    <row r="49" spans="2:15">
      <c r="B49" s="2" t="s">
        <v>96</v>
      </c>
      <c r="C49" s="2" t="s">
        <v>12</v>
      </c>
      <c r="D49" s="2" t="s">
        <v>13</v>
      </c>
      <c r="E49" s="2" t="s">
        <v>14</v>
      </c>
      <c r="F49" s="2" t="s">
        <v>28</v>
      </c>
      <c r="G49" s="2" t="s">
        <v>21</v>
      </c>
      <c r="H49" s="2" t="s">
        <v>71</v>
      </c>
      <c r="I49" s="3">
        <v>640</v>
      </c>
      <c r="J49" s="3">
        <v>900</v>
      </c>
      <c r="K49" s="4">
        <v>3</v>
      </c>
      <c r="O49" s="3"/>
    </row>
    <row r="50" spans="2:15">
      <c r="B50" s="2" t="s">
        <v>97</v>
      </c>
      <c r="C50" s="2" t="s">
        <v>12</v>
      </c>
      <c r="D50" s="2" t="s">
        <v>67</v>
      </c>
      <c r="E50" s="2" t="s">
        <v>14</v>
      </c>
      <c r="F50" s="2" t="s">
        <v>15</v>
      </c>
      <c r="G50" s="2" t="s">
        <v>16</v>
      </c>
      <c r="H50" s="2" t="s">
        <v>41</v>
      </c>
      <c r="I50" s="3">
        <v>470</v>
      </c>
      <c r="J50" s="3">
        <v>660</v>
      </c>
      <c r="K50" s="4">
        <v>3</v>
      </c>
      <c r="O50" s="3"/>
    </row>
    <row r="51" spans="2:15">
      <c r="B51" s="2" t="s">
        <v>98</v>
      </c>
      <c r="C51" s="2" t="s">
        <v>12</v>
      </c>
      <c r="D51" s="2" t="s">
        <v>27</v>
      </c>
      <c r="E51" s="2" t="s">
        <v>45</v>
      </c>
      <c r="F51" s="2" t="s">
        <v>15</v>
      </c>
      <c r="G51" s="2" t="s">
        <v>16</v>
      </c>
      <c r="H51" s="2" t="s">
        <v>29</v>
      </c>
      <c r="I51" s="3">
        <v>680</v>
      </c>
      <c r="J51" s="3">
        <v>940</v>
      </c>
      <c r="K51" s="4">
        <v>5</v>
      </c>
      <c r="O51" s="3"/>
    </row>
    <row r="52" spans="2:15">
      <c r="B52" s="2" t="s">
        <v>99</v>
      </c>
      <c r="C52" s="2" t="s">
        <v>12</v>
      </c>
      <c r="D52" s="2" t="s">
        <v>67</v>
      </c>
      <c r="E52" s="2" t="s">
        <v>14</v>
      </c>
      <c r="F52" s="2" t="s">
        <v>15</v>
      </c>
      <c r="G52" s="2" t="s">
        <v>39</v>
      </c>
      <c r="H52" s="2" t="s">
        <v>57</v>
      </c>
      <c r="I52" s="3">
        <v>610</v>
      </c>
      <c r="J52" s="3">
        <v>850</v>
      </c>
      <c r="K52" s="4">
        <v>5</v>
      </c>
      <c r="O52" s="3"/>
    </row>
    <row r="53" spans="2:15">
      <c r="B53" s="2" t="s">
        <v>100</v>
      </c>
      <c r="C53" s="2" t="s">
        <v>12</v>
      </c>
      <c r="D53" s="2" t="s">
        <v>13</v>
      </c>
      <c r="E53" s="2" t="s">
        <v>19</v>
      </c>
      <c r="F53" s="2" t="s">
        <v>24</v>
      </c>
      <c r="G53" s="2" t="s">
        <v>32</v>
      </c>
      <c r="H53" s="2" t="s">
        <v>101</v>
      </c>
      <c r="I53" s="3">
        <v>480</v>
      </c>
      <c r="J53" s="3">
        <v>670</v>
      </c>
      <c r="K53" s="4">
        <v>4</v>
      </c>
      <c r="O53" s="3"/>
    </row>
    <row r="54" spans="2:15">
      <c r="B54" s="2" t="s">
        <v>102</v>
      </c>
      <c r="C54" s="2" t="s">
        <v>12</v>
      </c>
      <c r="D54" s="2" t="s">
        <v>35</v>
      </c>
      <c r="E54" s="2" t="s">
        <v>14</v>
      </c>
      <c r="F54" s="2" t="s">
        <v>15</v>
      </c>
      <c r="G54" s="2" t="s">
        <v>21</v>
      </c>
      <c r="H54" s="2" t="s">
        <v>51</v>
      </c>
      <c r="I54" s="3">
        <v>630</v>
      </c>
      <c r="J54" s="3">
        <v>890</v>
      </c>
      <c r="K54" s="4">
        <v>5</v>
      </c>
      <c r="O54" s="3"/>
    </row>
    <row r="55" spans="2:15">
      <c r="B55" s="2" t="s">
        <v>103</v>
      </c>
      <c r="C55" s="2" t="s">
        <v>12</v>
      </c>
      <c r="D55" s="2" t="s">
        <v>31</v>
      </c>
      <c r="E55" s="2" t="s">
        <v>14</v>
      </c>
      <c r="F55" s="2" t="s">
        <v>28</v>
      </c>
      <c r="G55" s="2" t="s">
        <v>32</v>
      </c>
      <c r="H55" s="2" t="s">
        <v>104</v>
      </c>
      <c r="I55" s="3">
        <v>670</v>
      </c>
      <c r="J55" s="3">
        <v>930</v>
      </c>
      <c r="K55" s="4">
        <v>3</v>
      </c>
      <c r="O55" s="3"/>
    </row>
    <row r="56" spans="2:15">
      <c r="B56" s="2" t="s">
        <v>105</v>
      </c>
      <c r="C56" s="2" t="s">
        <v>12</v>
      </c>
      <c r="D56" s="2" t="s">
        <v>80</v>
      </c>
      <c r="E56" s="2" t="s">
        <v>19</v>
      </c>
      <c r="F56" s="2" t="s">
        <v>15</v>
      </c>
      <c r="G56" s="2" t="s">
        <v>16</v>
      </c>
      <c r="H56" s="2" t="s">
        <v>29</v>
      </c>
      <c r="I56" s="3">
        <v>540</v>
      </c>
      <c r="J56" s="3">
        <v>750</v>
      </c>
      <c r="K56" s="4">
        <v>6</v>
      </c>
      <c r="O56" s="3"/>
    </row>
    <row r="57" spans="2:15">
      <c r="B57" s="2" t="s">
        <v>106</v>
      </c>
      <c r="C57" s="2" t="s">
        <v>12</v>
      </c>
      <c r="D57" s="2" t="s">
        <v>31</v>
      </c>
      <c r="E57" s="2" t="s">
        <v>14</v>
      </c>
      <c r="F57" s="2" t="s">
        <v>20</v>
      </c>
      <c r="G57" s="2" t="s">
        <v>16</v>
      </c>
      <c r="H57" s="2" t="s">
        <v>62</v>
      </c>
      <c r="I57" s="3">
        <v>590</v>
      </c>
      <c r="J57" s="3">
        <v>830</v>
      </c>
      <c r="K57" s="4">
        <v>3</v>
      </c>
      <c r="O57" s="3"/>
    </row>
    <row r="58" spans="2:15">
      <c r="B58" s="2" t="s">
        <v>107</v>
      </c>
      <c r="C58" s="2" t="s">
        <v>12</v>
      </c>
      <c r="D58" s="2" t="s">
        <v>35</v>
      </c>
      <c r="E58" s="2" t="s">
        <v>19</v>
      </c>
      <c r="F58" s="2" t="s">
        <v>24</v>
      </c>
      <c r="G58" s="2" t="s">
        <v>36</v>
      </c>
      <c r="H58" s="2" t="s">
        <v>57</v>
      </c>
      <c r="I58" s="3">
        <v>660</v>
      </c>
      <c r="J58" s="3">
        <v>930</v>
      </c>
      <c r="K58" s="4">
        <v>3</v>
      </c>
      <c r="O58" s="3"/>
    </row>
    <row r="59" spans="2:15">
      <c r="B59" s="2" t="s">
        <v>108</v>
      </c>
      <c r="C59" s="2" t="s">
        <v>12</v>
      </c>
      <c r="D59" s="2" t="s">
        <v>35</v>
      </c>
      <c r="E59" s="2" t="s">
        <v>14</v>
      </c>
      <c r="F59" s="2" t="s">
        <v>15</v>
      </c>
      <c r="G59" s="2" t="s">
        <v>16</v>
      </c>
      <c r="H59" s="2" t="s">
        <v>17</v>
      </c>
      <c r="I59" s="3">
        <v>530</v>
      </c>
      <c r="J59" s="3">
        <v>740</v>
      </c>
      <c r="K59" s="4">
        <v>3</v>
      </c>
      <c r="O59" s="3"/>
    </row>
    <row r="60" spans="2:15">
      <c r="B60" s="2" t="s">
        <v>109</v>
      </c>
      <c r="C60" s="2" t="s">
        <v>12</v>
      </c>
      <c r="D60" s="2" t="s">
        <v>67</v>
      </c>
      <c r="E60" s="2" t="s">
        <v>45</v>
      </c>
      <c r="F60" s="2" t="s">
        <v>24</v>
      </c>
      <c r="G60" s="2" t="s">
        <v>16</v>
      </c>
      <c r="H60" s="2" t="s">
        <v>64</v>
      </c>
      <c r="I60" s="3">
        <v>540</v>
      </c>
      <c r="J60" s="3">
        <v>760</v>
      </c>
      <c r="K60" s="4">
        <v>4</v>
      </c>
      <c r="O60" s="3"/>
    </row>
    <row r="61" spans="2:15">
      <c r="B61" s="2" t="s">
        <v>110</v>
      </c>
      <c r="C61" s="2" t="s">
        <v>12</v>
      </c>
      <c r="D61" s="2" t="s">
        <v>55</v>
      </c>
      <c r="E61" s="2" t="s">
        <v>14</v>
      </c>
      <c r="F61" s="2" t="s">
        <v>24</v>
      </c>
      <c r="G61" s="2" t="s">
        <v>32</v>
      </c>
      <c r="H61" s="2" t="s">
        <v>22</v>
      </c>
      <c r="I61" s="3">
        <v>680</v>
      </c>
      <c r="J61" s="3">
        <v>940</v>
      </c>
      <c r="K61" s="4">
        <v>4</v>
      </c>
      <c r="O61" s="3"/>
    </row>
    <row r="62" spans="2:15">
      <c r="B62" s="2" t="s">
        <v>111</v>
      </c>
      <c r="C62" s="2" t="s">
        <v>12</v>
      </c>
      <c r="D62" s="2" t="s">
        <v>80</v>
      </c>
      <c r="E62" s="2" t="s">
        <v>19</v>
      </c>
      <c r="F62" s="2" t="s">
        <v>20</v>
      </c>
      <c r="G62" s="2" t="s">
        <v>36</v>
      </c>
      <c r="H62" s="2" t="s">
        <v>104</v>
      </c>
      <c r="I62" s="3">
        <v>520</v>
      </c>
      <c r="J62" s="3">
        <v>720</v>
      </c>
      <c r="K62" s="4">
        <v>6</v>
      </c>
      <c r="O62" s="3"/>
    </row>
    <row r="63" spans="2:15">
      <c r="B63" s="2" t="s">
        <v>112</v>
      </c>
      <c r="C63" s="2" t="s">
        <v>12</v>
      </c>
      <c r="D63" s="2" t="s">
        <v>27</v>
      </c>
      <c r="E63" s="2" t="s">
        <v>45</v>
      </c>
      <c r="F63" s="2" t="s">
        <v>15</v>
      </c>
      <c r="G63" s="2" t="s">
        <v>32</v>
      </c>
      <c r="H63" s="2" t="s">
        <v>17</v>
      </c>
      <c r="I63" s="3">
        <v>510</v>
      </c>
      <c r="J63" s="3">
        <v>710</v>
      </c>
      <c r="K63" s="4">
        <v>4</v>
      </c>
      <c r="O63" s="3"/>
    </row>
    <row r="64" spans="2:15">
      <c r="B64" s="2" t="s">
        <v>113</v>
      </c>
      <c r="C64" s="2" t="s">
        <v>12</v>
      </c>
      <c r="D64" s="2" t="s">
        <v>27</v>
      </c>
      <c r="E64" s="2" t="s">
        <v>45</v>
      </c>
      <c r="F64" s="2" t="s">
        <v>15</v>
      </c>
      <c r="G64" s="2" t="s">
        <v>32</v>
      </c>
      <c r="H64" s="2" t="s">
        <v>43</v>
      </c>
      <c r="I64" s="3">
        <v>460</v>
      </c>
      <c r="J64" s="3">
        <v>640</v>
      </c>
      <c r="K64" s="4">
        <v>5</v>
      </c>
      <c r="O64" s="3"/>
    </row>
    <row r="65" spans="2:15">
      <c r="B65" s="2" t="s">
        <v>114</v>
      </c>
      <c r="C65" s="2" t="s">
        <v>12</v>
      </c>
      <c r="D65" s="2" t="s">
        <v>67</v>
      </c>
      <c r="E65" s="2" t="s">
        <v>45</v>
      </c>
      <c r="F65" s="2" t="s">
        <v>15</v>
      </c>
      <c r="G65" s="2" t="s">
        <v>39</v>
      </c>
      <c r="H65" s="2" t="s">
        <v>37</v>
      </c>
      <c r="I65" s="3">
        <v>540</v>
      </c>
      <c r="J65" s="3">
        <v>750</v>
      </c>
      <c r="K65" s="4">
        <v>5</v>
      </c>
      <c r="O65" s="3"/>
    </row>
    <row r="66" spans="2:15">
      <c r="B66" s="2" t="s">
        <v>115</v>
      </c>
      <c r="C66" s="2" t="s">
        <v>12</v>
      </c>
      <c r="D66" s="2" t="s">
        <v>61</v>
      </c>
      <c r="E66" s="2" t="s">
        <v>14</v>
      </c>
      <c r="F66" s="2" t="s">
        <v>20</v>
      </c>
      <c r="G66" s="2" t="s">
        <v>21</v>
      </c>
      <c r="H66" s="2" t="s">
        <v>22</v>
      </c>
      <c r="I66" s="3">
        <v>500</v>
      </c>
      <c r="J66" s="3">
        <v>690</v>
      </c>
      <c r="K66" s="4">
        <v>5</v>
      </c>
      <c r="O66" s="3"/>
    </row>
    <row r="67" spans="2:15">
      <c r="B67" s="2" t="s">
        <v>116</v>
      </c>
      <c r="C67" s="2" t="s">
        <v>12</v>
      </c>
      <c r="D67" s="2" t="s">
        <v>35</v>
      </c>
      <c r="E67" s="2" t="s">
        <v>45</v>
      </c>
      <c r="F67" s="2" t="s">
        <v>20</v>
      </c>
      <c r="G67" s="2" t="s">
        <v>36</v>
      </c>
      <c r="H67" s="2" t="s">
        <v>71</v>
      </c>
      <c r="I67" s="3">
        <v>640</v>
      </c>
      <c r="J67" s="3">
        <v>890</v>
      </c>
      <c r="K67" s="4">
        <v>4</v>
      </c>
      <c r="O67" s="3"/>
    </row>
    <row r="68" spans="2:15">
      <c r="B68" s="2" t="s">
        <v>117</v>
      </c>
      <c r="C68" s="2" t="s">
        <v>12</v>
      </c>
      <c r="D68" s="2" t="s">
        <v>31</v>
      </c>
      <c r="E68" s="2" t="s">
        <v>19</v>
      </c>
      <c r="F68" s="2" t="s">
        <v>28</v>
      </c>
      <c r="G68" s="2" t="s">
        <v>39</v>
      </c>
      <c r="H68" s="2" t="s">
        <v>75</v>
      </c>
      <c r="I68" s="3">
        <v>520</v>
      </c>
      <c r="J68" s="3">
        <v>720</v>
      </c>
      <c r="K68" s="4">
        <v>4</v>
      </c>
      <c r="O68" s="3"/>
    </row>
    <row r="69" spans="2:15">
      <c r="B69" s="2" t="s">
        <v>118</v>
      </c>
      <c r="C69" s="2" t="s">
        <v>12</v>
      </c>
      <c r="D69" s="2" t="s">
        <v>55</v>
      </c>
      <c r="E69" s="2" t="s">
        <v>14</v>
      </c>
      <c r="F69" s="2" t="s">
        <v>15</v>
      </c>
      <c r="G69" s="2" t="s">
        <v>21</v>
      </c>
      <c r="H69" s="2" t="s">
        <v>49</v>
      </c>
      <c r="I69" s="3">
        <v>540</v>
      </c>
      <c r="J69" s="3">
        <v>760</v>
      </c>
      <c r="K69" s="4">
        <v>3</v>
      </c>
      <c r="O69" s="3"/>
    </row>
    <row r="70" spans="2:15">
      <c r="B70" s="2" t="s">
        <v>119</v>
      </c>
      <c r="C70" s="2" t="s">
        <v>12</v>
      </c>
      <c r="D70" s="2" t="s">
        <v>61</v>
      </c>
      <c r="E70" s="2" t="s">
        <v>19</v>
      </c>
      <c r="F70" s="2" t="s">
        <v>15</v>
      </c>
      <c r="G70" s="2" t="s">
        <v>36</v>
      </c>
      <c r="H70" s="2" t="s">
        <v>49</v>
      </c>
      <c r="I70" s="3">
        <v>630</v>
      </c>
      <c r="J70" s="3">
        <v>890</v>
      </c>
      <c r="K70" s="4">
        <v>6</v>
      </c>
      <c r="O70" s="3"/>
    </row>
    <row r="71" spans="2:15">
      <c r="B71" s="2" t="s">
        <v>120</v>
      </c>
      <c r="C71" s="2" t="s">
        <v>12</v>
      </c>
      <c r="D71" s="2" t="s">
        <v>61</v>
      </c>
      <c r="E71" s="2" t="s">
        <v>19</v>
      </c>
      <c r="F71" s="2" t="s">
        <v>24</v>
      </c>
      <c r="G71" s="2" t="s">
        <v>16</v>
      </c>
      <c r="H71" s="2" t="s">
        <v>22</v>
      </c>
      <c r="I71" s="3">
        <v>630</v>
      </c>
      <c r="J71" s="3">
        <v>880</v>
      </c>
      <c r="K71" s="4">
        <v>6</v>
      </c>
      <c r="O71" s="3"/>
    </row>
    <row r="72" spans="2:15">
      <c r="B72" s="2" t="s">
        <v>121</v>
      </c>
      <c r="C72" s="2" t="s">
        <v>12</v>
      </c>
      <c r="D72" s="2" t="s">
        <v>80</v>
      </c>
      <c r="E72" s="2" t="s">
        <v>19</v>
      </c>
      <c r="F72" s="2" t="s">
        <v>15</v>
      </c>
      <c r="G72" s="2" t="s">
        <v>36</v>
      </c>
      <c r="H72" s="2" t="s">
        <v>62</v>
      </c>
      <c r="I72" s="3">
        <v>620</v>
      </c>
      <c r="J72" s="3">
        <v>870</v>
      </c>
      <c r="K72" s="4">
        <v>3</v>
      </c>
      <c r="O72" s="3"/>
    </row>
    <row r="73" spans="2:15">
      <c r="B73" s="2" t="s">
        <v>122</v>
      </c>
      <c r="C73" s="2" t="s">
        <v>12</v>
      </c>
      <c r="D73" s="2" t="s">
        <v>61</v>
      </c>
      <c r="E73" s="2" t="s">
        <v>14</v>
      </c>
      <c r="F73" s="2" t="s">
        <v>28</v>
      </c>
      <c r="G73" s="2" t="s">
        <v>21</v>
      </c>
      <c r="H73" s="2" t="s">
        <v>25</v>
      </c>
      <c r="I73" s="3">
        <v>530</v>
      </c>
      <c r="J73" s="3">
        <v>740</v>
      </c>
      <c r="K73" s="4">
        <v>5</v>
      </c>
      <c r="O73" s="3"/>
    </row>
    <row r="74" spans="2:15">
      <c r="B74" s="2" t="s">
        <v>123</v>
      </c>
      <c r="C74" s="2" t="s">
        <v>12</v>
      </c>
      <c r="D74" s="2" t="s">
        <v>53</v>
      </c>
      <c r="E74" s="2" t="s">
        <v>45</v>
      </c>
      <c r="F74" s="2" t="s">
        <v>24</v>
      </c>
      <c r="G74" s="2" t="s">
        <v>21</v>
      </c>
      <c r="H74" s="2" t="s">
        <v>51</v>
      </c>
      <c r="I74" s="3">
        <v>570</v>
      </c>
      <c r="J74" s="3">
        <v>800</v>
      </c>
      <c r="K74" s="4">
        <v>4</v>
      </c>
      <c r="O74" s="3"/>
    </row>
    <row r="75" spans="2:15">
      <c r="B75" s="2" t="s">
        <v>124</v>
      </c>
      <c r="C75" s="2" t="s">
        <v>12</v>
      </c>
      <c r="D75" s="2" t="s">
        <v>13</v>
      </c>
      <c r="E75" s="2" t="s">
        <v>45</v>
      </c>
      <c r="F75" s="2" t="s">
        <v>15</v>
      </c>
      <c r="G75" s="2" t="s">
        <v>39</v>
      </c>
      <c r="H75" s="2" t="s">
        <v>17</v>
      </c>
      <c r="I75" s="3">
        <v>620</v>
      </c>
      <c r="J75" s="3">
        <v>860</v>
      </c>
      <c r="K75" s="4">
        <v>5</v>
      </c>
      <c r="O75" s="3"/>
    </row>
    <row r="76" spans="2:15">
      <c r="B76" s="2" t="s">
        <v>125</v>
      </c>
      <c r="C76" s="2" t="s">
        <v>12</v>
      </c>
      <c r="D76" s="2" t="s">
        <v>27</v>
      </c>
      <c r="E76" s="2" t="s">
        <v>14</v>
      </c>
      <c r="F76" s="2" t="s">
        <v>20</v>
      </c>
      <c r="G76" s="2" t="s">
        <v>39</v>
      </c>
      <c r="H76" s="2" t="s">
        <v>17</v>
      </c>
      <c r="I76" s="3">
        <v>510</v>
      </c>
      <c r="J76" s="3">
        <v>710</v>
      </c>
      <c r="K76" s="4">
        <v>6</v>
      </c>
      <c r="O76" s="3"/>
    </row>
    <row r="77" spans="2:15">
      <c r="B77" s="2" t="s">
        <v>126</v>
      </c>
      <c r="C77" s="2" t="s">
        <v>12</v>
      </c>
      <c r="D77" s="2" t="s">
        <v>13</v>
      </c>
      <c r="E77" s="2" t="s">
        <v>45</v>
      </c>
      <c r="F77" s="2" t="s">
        <v>28</v>
      </c>
      <c r="G77" s="2" t="s">
        <v>21</v>
      </c>
      <c r="H77" s="2" t="s">
        <v>94</v>
      </c>
      <c r="I77" s="3">
        <v>610</v>
      </c>
      <c r="J77" s="3">
        <v>850</v>
      </c>
      <c r="K77" s="4">
        <v>6</v>
      </c>
      <c r="O77" s="3"/>
    </row>
    <row r="78" spans="2:15">
      <c r="B78" s="2" t="s">
        <v>127</v>
      </c>
      <c r="C78" s="2" t="s">
        <v>12</v>
      </c>
      <c r="D78" s="2" t="s">
        <v>55</v>
      </c>
      <c r="E78" s="2" t="s">
        <v>14</v>
      </c>
      <c r="F78" s="2" t="s">
        <v>24</v>
      </c>
      <c r="G78" s="2" t="s">
        <v>39</v>
      </c>
      <c r="H78" s="2" t="s">
        <v>37</v>
      </c>
      <c r="I78" s="3">
        <v>580</v>
      </c>
      <c r="J78" s="3">
        <v>810</v>
      </c>
      <c r="K78" s="4">
        <v>6</v>
      </c>
      <c r="O78" s="3"/>
    </row>
    <row r="79" spans="2:15">
      <c r="B79" s="2" t="s">
        <v>128</v>
      </c>
      <c r="C79" s="2" t="s">
        <v>12</v>
      </c>
      <c r="D79" s="2" t="s">
        <v>80</v>
      </c>
      <c r="E79" s="2" t="s">
        <v>19</v>
      </c>
      <c r="F79" s="2" t="s">
        <v>28</v>
      </c>
      <c r="G79" s="2" t="s">
        <v>39</v>
      </c>
      <c r="H79" s="2" t="s">
        <v>62</v>
      </c>
      <c r="I79" s="3">
        <v>510</v>
      </c>
      <c r="J79" s="3">
        <v>710</v>
      </c>
      <c r="K79" s="4">
        <v>4</v>
      </c>
      <c r="O79" s="3"/>
    </row>
    <row r="80" spans="2:15">
      <c r="B80" s="2" t="s">
        <v>129</v>
      </c>
      <c r="C80" s="2" t="s">
        <v>12</v>
      </c>
      <c r="D80" s="2" t="s">
        <v>13</v>
      </c>
      <c r="E80" s="2" t="s">
        <v>45</v>
      </c>
      <c r="F80" s="2" t="s">
        <v>24</v>
      </c>
      <c r="G80" s="2" t="s">
        <v>36</v>
      </c>
      <c r="H80" s="2" t="s">
        <v>75</v>
      </c>
      <c r="I80" s="3">
        <v>670</v>
      </c>
      <c r="J80" s="3">
        <v>930</v>
      </c>
      <c r="K80" s="4">
        <v>5</v>
      </c>
      <c r="O80" s="3"/>
    </row>
    <row r="81" spans="2:15">
      <c r="B81" s="2" t="s">
        <v>130</v>
      </c>
      <c r="C81" s="2" t="s">
        <v>12</v>
      </c>
      <c r="D81" s="2" t="s">
        <v>53</v>
      </c>
      <c r="E81" s="2" t="s">
        <v>19</v>
      </c>
      <c r="F81" s="2" t="s">
        <v>28</v>
      </c>
      <c r="G81" s="2" t="s">
        <v>21</v>
      </c>
      <c r="H81" s="2" t="s">
        <v>29</v>
      </c>
      <c r="I81" s="3">
        <v>640</v>
      </c>
      <c r="J81" s="3">
        <v>900</v>
      </c>
      <c r="K81" s="4">
        <v>4</v>
      </c>
      <c r="O81" s="3"/>
    </row>
    <row r="82" spans="2:15">
      <c r="B82" s="2" t="s">
        <v>131</v>
      </c>
      <c r="C82" s="2" t="s">
        <v>12</v>
      </c>
      <c r="D82" s="2" t="s">
        <v>53</v>
      </c>
      <c r="E82" s="2" t="s">
        <v>45</v>
      </c>
      <c r="F82" s="2" t="s">
        <v>15</v>
      </c>
      <c r="G82" s="2" t="s">
        <v>16</v>
      </c>
      <c r="H82" s="2" t="s">
        <v>33</v>
      </c>
      <c r="I82" s="3">
        <v>640</v>
      </c>
      <c r="J82" s="3">
        <v>900</v>
      </c>
      <c r="K82" s="4">
        <v>6</v>
      </c>
      <c r="O82" s="3"/>
    </row>
    <row r="83" spans="2:15">
      <c r="B83" s="2" t="s">
        <v>132</v>
      </c>
      <c r="C83" s="2" t="s">
        <v>12</v>
      </c>
      <c r="D83" s="2" t="s">
        <v>27</v>
      </c>
      <c r="E83" s="2" t="s">
        <v>45</v>
      </c>
      <c r="F83" s="2" t="s">
        <v>28</v>
      </c>
      <c r="G83" s="2" t="s">
        <v>39</v>
      </c>
      <c r="H83" s="2" t="s">
        <v>101</v>
      </c>
      <c r="I83" s="3">
        <v>610</v>
      </c>
      <c r="J83" s="3">
        <v>850</v>
      </c>
      <c r="K83" s="4">
        <v>4</v>
      </c>
      <c r="O83" s="3"/>
    </row>
    <row r="84" spans="2:15">
      <c r="B84" s="2" t="s">
        <v>133</v>
      </c>
      <c r="C84" s="2" t="s">
        <v>12</v>
      </c>
      <c r="D84" s="2" t="s">
        <v>35</v>
      </c>
      <c r="E84" s="2" t="s">
        <v>45</v>
      </c>
      <c r="F84" s="2" t="s">
        <v>20</v>
      </c>
      <c r="G84" s="2" t="s">
        <v>16</v>
      </c>
      <c r="H84" s="2" t="s">
        <v>57</v>
      </c>
      <c r="I84" s="3">
        <v>520</v>
      </c>
      <c r="J84" s="3">
        <v>730</v>
      </c>
      <c r="K84" s="4">
        <v>4</v>
      </c>
      <c r="O84" s="3"/>
    </row>
    <row r="85" spans="2:15">
      <c r="B85" s="2" t="s">
        <v>134</v>
      </c>
      <c r="C85" s="2" t="s">
        <v>12</v>
      </c>
      <c r="D85" s="2" t="s">
        <v>80</v>
      </c>
      <c r="E85" s="2" t="s">
        <v>19</v>
      </c>
      <c r="F85" s="2" t="s">
        <v>24</v>
      </c>
      <c r="G85" s="2" t="s">
        <v>39</v>
      </c>
      <c r="H85" s="2" t="s">
        <v>22</v>
      </c>
      <c r="I85" s="3">
        <v>550</v>
      </c>
      <c r="J85" s="3">
        <v>770</v>
      </c>
      <c r="K85" s="4">
        <v>6</v>
      </c>
      <c r="O85" s="3"/>
    </row>
    <row r="86" spans="2:15">
      <c r="B86" s="2" t="s">
        <v>135</v>
      </c>
      <c r="C86" s="2" t="s">
        <v>12</v>
      </c>
      <c r="D86" s="2" t="s">
        <v>67</v>
      </c>
      <c r="E86" s="2" t="s">
        <v>45</v>
      </c>
      <c r="F86" s="2" t="s">
        <v>28</v>
      </c>
      <c r="G86" s="2" t="s">
        <v>39</v>
      </c>
      <c r="H86" s="2" t="s">
        <v>94</v>
      </c>
      <c r="I86" s="3">
        <v>530</v>
      </c>
      <c r="J86" s="3">
        <v>750</v>
      </c>
      <c r="K86" s="4">
        <v>6</v>
      </c>
      <c r="O86" s="3"/>
    </row>
    <row r="87" spans="2:15">
      <c r="B87" s="2" t="s">
        <v>136</v>
      </c>
      <c r="C87" s="2" t="s">
        <v>12</v>
      </c>
      <c r="D87" s="2" t="s">
        <v>31</v>
      </c>
      <c r="E87" s="2" t="s">
        <v>19</v>
      </c>
      <c r="F87" s="2" t="s">
        <v>28</v>
      </c>
      <c r="G87" s="2" t="s">
        <v>36</v>
      </c>
      <c r="H87" s="2" t="s">
        <v>69</v>
      </c>
      <c r="I87" s="3">
        <v>550</v>
      </c>
      <c r="J87" s="3">
        <v>770</v>
      </c>
      <c r="K87" s="4">
        <v>5</v>
      </c>
      <c r="O87" s="3"/>
    </row>
    <row r="88" spans="2:15">
      <c r="B88" s="2" t="s">
        <v>137</v>
      </c>
      <c r="C88" s="2" t="s">
        <v>12</v>
      </c>
      <c r="D88" s="2" t="s">
        <v>55</v>
      </c>
      <c r="E88" s="2" t="s">
        <v>45</v>
      </c>
      <c r="F88" s="2" t="s">
        <v>24</v>
      </c>
      <c r="G88" s="2" t="s">
        <v>36</v>
      </c>
      <c r="H88" s="2" t="s">
        <v>17</v>
      </c>
      <c r="I88" s="3">
        <v>530</v>
      </c>
      <c r="J88" s="3">
        <v>740</v>
      </c>
      <c r="K88" s="4">
        <v>5</v>
      </c>
      <c r="O88" s="3"/>
    </row>
    <row r="89" spans="2:15">
      <c r="B89" s="2" t="s">
        <v>138</v>
      </c>
      <c r="C89" s="2" t="s">
        <v>12</v>
      </c>
      <c r="D89" s="2" t="s">
        <v>53</v>
      </c>
      <c r="E89" s="2" t="s">
        <v>14</v>
      </c>
      <c r="F89" s="2" t="s">
        <v>28</v>
      </c>
      <c r="G89" s="2" t="s">
        <v>32</v>
      </c>
      <c r="H89" s="2" t="s">
        <v>59</v>
      </c>
      <c r="I89" s="3">
        <v>560</v>
      </c>
      <c r="J89" s="3">
        <v>780</v>
      </c>
      <c r="K89" s="4">
        <v>4</v>
      </c>
      <c r="O89" s="3"/>
    </row>
    <row r="90" spans="2:15">
      <c r="B90" s="2" t="s">
        <v>139</v>
      </c>
      <c r="C90" s="2" t="s">
        <v>12</v>
      </c>
      <c r="D90" s="2" t="s">
        <v>53</v>
      </c>
      <c r="E90" s="2" t="s">
        <v>14</v>
      </c>
      <c r="F90" s="2" t="s">
        <v>20</v>
      </c>
      <c r="G90" s="2" t="s">
        <v>36</v>
      </c>
      <c r="H90" s="2" t="s">
        <v>71</v>
      </c>
      <c r="I90" s="3">
        <v>660</v>
      </c>
      <c r="J90" s="3">
        <v>930</v>
      </c>
      <c r="K90" s="4">
        <v>3</v>
      </c>
      <c r="O90" s="3"/>
    </row>
    <row r="91" spans="2:15">
      <c r="B91" s="2" t="s">
        <v>140</v>
      </c>
      <c r="C91" s="2" t="s">
        <v>12</v>
      </c>
      <c r="D91" s="2" t="s">
        <v>55</v>
      </c>
      <c r="E91" s="2" t="s">
        <v>14</v>
      </c>
      <c r="F91" s="2" t="s">
        <v>28</v>
      </c>
      <c r="G91" s="2" t="s">
        <v>16</v>
      </c>
      <c r="H91" s="2" t="s">
        <v>104</v>
      </c>
      <c r="I91" s="3">
        <v>470</v>
      </c>
      <c r="J91" s="3">
        <v>660</v>
      </c>
      <c r="K91" s="4">
        <v>5</v>
      </c>
      <c r="O91" s="3"/>
    </row>
    <row r="92" spans="2:15">
      <c r="B92" s="2" t="s">
        <v>141</v>
      </c>
      <c r="C92" s="2" t="s">
        <v>12</v>
      </c>
      <c r="D92" s="2" t="s">
        <v>35</v>
      </c>
      <c r="E92" s="2" t="s">
        <v>14</v>
      </c>
      <c r="F92" s="2" t="s">
        <v>28</v>
      </c>
      <c r="G92" s="2" t="s">
        <v>32</v>
      </c>
      <c r="H92" s="2" t="s">
        <v>49</v>
      </c>
      <c r="I92" s="3">
        <v>550</v>
      </c>
      <c r="J92" s="3">
        <v>760</v>
      </c>
      <c r="K92" s="4">
        <v>6</v>
      </c>
      <c r="O92" s="3"/>
    </row>
    <row r="93" spans="2:15">
      <c r="B93" s="2" t="s">
        <v>142</v>
      </c>
      <c r="C93" s="2" t="s">
        <v>12</v>
      </c>
      <c r="D93" s="2" t="s">
        <v>55</v>
      </c>
      <c r="E93" s="2" t="s">
        <v>45</v>
      </c>
      <c r="F93" s="2" t="s">
        <v>20</v>
      </c>
      <c r="G93" s="2" t="s">
        <v>36</v>
      </c>
      <c r="H93" s="2" t="s">
        <v>69</v>
      </c>
      <c r="I93" s="3">
        <v>520</v>
      </c>
      <c r="J93" s="3">
        <v>730</v>
      </c>
      <c r="K93" s="4">
        <v>3</v>
      </c>
      <c r="O93" s="3"/>
    </row>
    <row r="94" spans="2:15">
      <c r="B94" s="2" t="s">
        <v>143</v>
      </c>
      <c r="C94" s="2" t="s">
        <v>12</v>
      </c>
      <c r="D94" s="2" t="s">
        <v>27</v>
      </c>
      <c r="E94" s="2" t="s">
        <v>19</v>
      </c>
      <c r="F94" s="2" t="s">
        <v>20</v>
      </c>
      <c r="G94" s="2" t="s">
        <v>39</v>
      </c>
      <c r="H94" s="2" t="s">
        <v>69</v>
      </c>
      <c r="I94" s="3">
        <v>540</v>
      </c>
      <c r="J94" s="3">
        <v>750</v>
      </c>
      <c r="K94" s="4">
        <v>4</v>
      </c>
      <c r="O94" s="3"/>
    </row>
    <row r="95" spans="2:15">
      <c r="B95" s="2" t="s">
        <v>144</v>
      </c>
      <c r="C95" s="2" t="s">
        <v>12</v>
      </c>
      <c r="D95" s="2" t="s">
        <v>31</v>
      </c>
      <c r="E95" s="2" t="s">
        <v>19</v>
      </c>
      <c r="F95" s="2" t="s">
        <v>24</v>
      </c>
      <c r="G95" s="2" t="s">
        <v>16</v>
      </c>
      <c r="H95" s="2" t="s">
        <v>57</v>
      </c>
      <c r="I95" s="3">
        <v>500</v>
      </c>
      <c r="J95" s="3">
        <v>700</v>
      </c>
      <c r="K95" s="4">
        <v>6</v>
      </c>
      <c r="O95" s="3"/>
    </row>
    <row r="96" spans="2:15">
      <c r="B96" s="2" t="s">
        <v>145</v>
      </c>
      <c r="C96" s="2" t="s">
        <v>12</v>
      </c>
      <c r="D96" s="2" t="s">
        <v>13</v>
      </c>
      <c r="E96" s="2" t="s">
        <v>19</v>
      </c>
      <c r="F96" s="2" t="s">
        <v>24</v>
      </c>
      <c r="G96" s="2" t="s">
        <v>36</v>
      </c>
      <c r="H96" s="2" t="s">
        <v>33</v>
      </c>
      <c r="I96" s="3">
        <v>620</v>
      </c>
      <c r="J96" s="3">
        <v>870</v>
      </c>
      <c r="K96" s="4">
        <v>5</v>
      </c>
      <c r="O96" s="3"/>
    </row>
    <row r="97" spans="2:15">
      <c r="B97" s="2" t="s">
        <v>146</v>
      </c>
      <c r="C97" s="2" t="s">
        <v>12</v>
      </c>
      <c r="D97" s="2" t="s">
        <v>13</v>
      </c>
      <c r="E97" s="2" t="s">
        <v>14</v>
      </c>
      <c r="F97" s="2" t="s">
        <v>15</v>
      </c>
      <c r="G97" s="2" t="s">
        <v>39</v>
      </c>
      <c r="H97" s="2" t="s">
        <v>71</v>
      </c>
      <c r="I97" s="3">
        <v>490</v>
      </c>
      <c r="J97" s="3">
        <v>690</v>
      </c>
      <c r="K97" s="4">
        <v>3</v>
      </c>
      <c r="O97" s="3"/>
    </row>
    <row r="98" spans="2:15">
      <c r="B98" s="2" t="s">
        <v>147</v>
      </c>
      <c r="C98" s="2" t="s">
        <v>12</v>
      </c>
      <c r="D98" s="2" t="s">
        <v>55</v>
      </c>
      <c r="E98" s="2" t="s">
        <v>45</v>
      </c>
      <c r="F98" s="2" t="s">
        <v>24</v>
      </c>
      <c r="G98" s="2" t="s">
        <v>39</v>
      </c>
      <c r="H98" s="2" t="s">
        <v>71</v>
      </c>
      <c r="I98" s="3">
        <v>530</v>
      </c>
      <c r="J98" s="3">
        <v>740</v>
      </c>
      <c r="K98" s="4">
        <v>4</v>
      </c>
      <c r="O98" s="3"/>
    </row>
    <row r="99" spans="2:15">
      <c r="B99" s="2" t="s">
        <v>148</v>
      </c>
      <c r="C99" s="2" t="s">
        <v>12</v>
      </c>
      <c r="D99" s="2" t="s">
        <v>61</v>
      </c>
      <c r="E99" s="2" t="s">
        <v>19</v>
      </c>
      <c r="F99" s="2" t="s">
        <v>20</v>
      </c>
      <c r="G99" s="2" t="s">
        <v>21</v>
      </c>
      <c r="H99" s="2" t="s">
        <v>104</v>
      </c>
      <c r="I99" s="3">
        <v>480</v>
      </c>
      <c r="J99" s="3">
        <v>670</v>
      </c>
      <c r="K99" s="4">
        <v>5</v>
      </c>
      <c r="O99" s="3"/>
    </row>
    <row r="100" spans="2:15">
      <c r="B100" s="2" t="s">
        <v>149</v>
      </c>
      <c r="C100" s="2" t="s">
        <v>12</v>
      </c>
      <c r="D100" s="2" t="s">
        <v>55</v>
      </c>
      <c r="E100" s="2" t="s">
        <v>19</v>
      </c>
      <c r="F100" s="2" t="s">
        <v>15</v>
      </c>
      <c r="G100" s="2" t="s">
        <v>39</v>
      </c>
      <c r="H100" s="2" t="s">
        <v>75</v>
      </c>
      <c r="I100" s="3">
        <v>590</v>
      </c>
      <c r="J100" s="3">
        <v>820</v>
      </c>
      <c r="K100" s="4">
        <v>5</v>
      </c>
      <c r="O100" s="3"/>
    </row>
    <row r="101" spans="2:15">
      <c r="B101" s="2" t="s">
        <v>150</v>
      </c>
      <c r="C101" s="2" t="s">
        <v>12</v>
      </c>
      <c r="D101" s="2" t="s">
        <v>55</v>
      </c>
      <c r="E101" s="2" t="s">
        <v>45</v>
      </c>
      <c r="F101" s="2" t="s">
        <v>20</v>
      </c>
      <c r="G101" s="2" t="s">
        <v>36</v>
      </c>
      <c r="H101" s="2" t="s">
        <v>41</v>
      </c>
      <c r="I101" s="3">
        <v>450</v>
      </c>
      <c r="J101" s="3">
        <v>630</v>
      </c>
      <c r="K101" s="4">
        <v>6</v>
      </c>
      <c r="O101" s="3"/>
    </row>
    <row r="102" spans="2:15">
      <c r="B102" s="2" t="s">
        <v>151</v>
      </c>
      <c r="C102" s="2" t="s">
        <v>12</v>
      </c>
      <c r="D102" s="2" t="s">
        <v>80</v>
      </c>
      <c r="E102" s="2" t="s">
        <v>45</v>
      </c>
      <c r="F102" s="2" t="s">
        <v>24</v>
      </c>
      <c r="G102" s="2" t="s">
        <v>21</v>
      </c>
      <c r="H102" s="2" t="s">
        <v>33</v>
      </c>
      <c r="I102" s="3">
        <v>630</v>
      </c>
      <c r="J102" s="3">
        <v>880</v>
      </c>
      <c r="K102" s="4">
        <v>6</v>
      </c>
      <c r="O102" s="3"/>
    </row>
    <row r="103" spans="2:15">
      <c r="B103" s="2" t="s">
        <v>152</v>
      </c>
      <c r="C103" s="2" t="s">
        <v>12</v>
      </c>
      <c r="D103" s="2" t="s">
        <v>55</v>
      </c>
      <c r="E103" s="2" t="s">
        <v>19</v>
      </c>
      <c r="F103" s="2" t="s">
        <v>15</v>
      </c>
      <c r="G103" s="2" t="s">
        <v>32</v>
      </c>
      <c r="H103" s="2" t="s">
        <v>17</v>
      </c>
      <c r="I103" s="3">
        <v>570</v>
      </c>
      <c r="J103" s="3">
        <v>800</v>
      </c>
      <c r="K103" s="4">
        <v>3</v>
      </c>
      <c r="O103" s="3"/>
    </row>
    <row r="104" spans="2:15">
      <c r="B104" s="2" t="s">
        <v>153</v>
      </c>
      <c r="C104" s="2" t="s">
        <v>12</v>
      </c>
      <c r="D104" s="2" t="s">
        <v>53</v>
      </c>
      <c r="E104" s="2" t="s">
        <v>14</v>
      </c>
      <c r="F104" s="2" t="s">
        <v>28</v>
      </c>
      <c r="G104" s="2" t="s">
        <v>21</v>
      </c>
      <c r="H104" s="2" t="s">
        <v>25</v>
      </c>
      <c r="I104" s="3">
        <v>520</v>
      </c>
      <c r="J104" s="3">
        <v>730</v>
      </c>
      <c r="K104" s="4">
        <v>6</v>
      </c>
      <c r="O104" s="3"/>
    </row>
    <row r="105" spans="2:15">
      <c r="B105" s="2" t="s">
        <v>154</v>
      </c>
      <c r="C105" s="2" t="s">
        <v>12</v>
      </c>
      <c r="D105" s="2" t="s">
        <v>31</v>
      </c>
      <c r="E105" s="2" t="s">
        <v>45</v>
      </c>
      <c r="F105" s="2" t="s">
        <v>15</v>
      </c>
      <c r="G105" s="2" t="s">
        <v>16</v>
      </c>
      <c r="H105" s="2" t="s">
        <v>51</v>
      </c>
      <c r="I105" s="3">
        <v>540</v>
      </c>
      <c r="J105" s="3">
        <v>750</v>
      </c>
      <c r="K105" s="4">
        <v>4</v>
      </c>
      <c r="O105" s="3"/>
    </row>
    <row r="106" spans="2:15">
      <c r="B106" s="2" t="s">
        <v>155</v>
      </c>
      <c r="C106" s="2" t="s">
        <v>12</v>
      </c>
      <c r="D106" s="2" t="s">
        <v>61</v>
      </c>
      <c r="E106" s="2" t="s">
        <v>45</v>
      </c>
      <c r="F106" s="2" t="s">
        <v>15</v>
      </c>
      <c r="G106" s="2" t="s">
        <v>21</v>
      </c>
      <c r="H106" s="2" t="s">
        <v>33</v>
      </c>
      <c r="I106" s="3">
        <v>540</v>
      </c>
      <c r="J106" s="3">
        <v>760</v>
      </c>
      <c r="K106" s="4">
        <v>3</v>
      </c>
      <c r="O106" s="3"/>
    </row>
    <row r="107" spans="2:15">
      <c r="B107" s="2" t="s">
        <v>156</v>
      </c>
      <c r="C107" s="2" t="s">
        <v>12</v>
      </c>
      <c r="D107" s="2" t="s">
        <v>27</v>
      </c>
      <c r="E107" s="2" t="s">
        <v>14</v>
      </c>
      <c r="F107" s="2" t="s">
        <v>24</v>
      </c>
      <c r="G107" s="2" t="s">
        <v>36</v>
      </c>
      <c r="H107" s="2" t="s">
        <v>51</v>
      </c>
      <c r="I107" s="3">
        <v>580</v>
      </c>
      <c r="J107" s="3">
        <v>810</v>
      </c>
      <c r="K107" s="4">
        <v>4</v>
      </c>
      <c r="O107" s="3"/>
    </row>
    <row r="108" spans="2:15">
      <c r="B108" s="2" t="s">
        <v>157</v>
      </c>
      <c r="C108" s="2" t="s">
        <v>12</v>
      </c>
      <c r="D108" s="2" t="s">
        <v>53</v>
      </c>
      <c r="E108" s="2" t="s">
        <v>19</v>
      </c>
      <c r="F108" s="2" t="s">
        <v>28</v>
      </c>
      <c r="G108" s="2" t="s">
        <v>36</v>
      </c>
      <c r="H108" s="2" t="s">
        <v>69</v>
      </c>
      <c r="I108" s="3">
        <v>630</v>
      </c>
      <c r="J108" s="3">
        <v>880</v>
      </c>
      <c r="K108" s="4">
        <v>3</v>
      </c>
      <c r="O108" s="3"/>
    </row>
    <row r="109" spans="2:15">
      <c r="B109" s="2" t="s">
        <v>158</v>
      </c>
      <c r="C109" s="2" t="s">
        <v>12</v>
      </c>
      <c r="D109" s="2" t="s">
        <v>27</v>
      </c>
      <c r="E109" s="2" t="s">
        <v>45</v>
      </c>
      <c r="F109" s="2" t="s">
        <v>24</v>
      </c>
      <c r="G109" s="2" t="s">
        <v>32</v>
      </c>
      <c r="H109" s="2" t="s">
        <v>71</v>
      </c>
      <c r="I109" s="3">
        <v>520</v>
      </c>
      <c r="J109" s="3">
        <v>740</v>
      </c>
      <c r="K109" s="4">
        <v>5</v>
      </c>
      <c r="O109" s="3"/>
    </row>
    <row r="110" spans="2:15">
      <c r="B110" s="2" t="s">
        <v>159</v>
      </c>
      <c r="C110" s="2" t="s">
        <v>12</v>
      </c>
      <c r="D110" s="2" t="s">
        <v>67</v>
      </c>
      <c r="E110" s="2" t="s">
        <v>19</v>
      </c>
      <c r="F110" s="2" t="s">
        <v>15</v>
      </c>
      <c r="G110" s="2" t="s">
        <v>36</v>
      </c>
      <c r="H110" s="2" t="s">
        <v>62</v>
      </c>
      <c r="I110" s="3">
        <v>570</v>
      </c>
      <c r="J110" s="3">
        <v>800</v>
      </c>
      <c r="K110" s="4">
        <v>5</v>
      </c>
      <c r="O110" s="3"/>
    </row>
    <row r="111" spans="2:15">
      <c r="B111" s="2" t="s">
        <v>160</v>
      </c>
      <c r="C111" s="2" t="s">
        <v>12</v>
      </c>
      <c r="D111" s="2" t="s">
        <v>53</v>
      </c>
      <c r="E111" s="2" t="s">
        <v>45</v>
      </c>
      <c r="F111" s="2" t="s">
        <v>15</v>
      </c>
      <c r="G111" s="2" t="s">
        <v>32</v>
      </c>
      <c r="H111" s="2" t="s">
        <v>17</v>
      </c>
      <c r="I111" s="3">
        <v>540</v>
      </c>
      <c r="J111" s="3">
        <v>760</v>
      </c>
      <c r="K111" s="4">
        <v>3</v>
      </c>
      <c r="O111" s="3"/>
    </row>
    <row r="112" spans="2:15">
      <c r="B112" s="2" t="s">
        <v>161</v>
      </c>
      <c r="C112" s="2" t="s">
        <v>12</v>
      </c>
      <c r="D112" s="2" t="s">
        <v>27</v>
      </c>
      <c r="E112" s="2" t="s">
        <v>45</v>
      </c>
      <c r="F112" s="2" t="s">
        <v>20</v>
      </c>
      <c r="G112" s="2" t="s">
        <v>21</v>
      </c>
      <c r="H112" s="2" t="s">
        <v>64</v>
      </c>
      <c r="I112" s="3">
        <v>630</v>
      </c>
      <c r="J112" s="3">
        <v>890</v>
      </c>
      <c r="K112" s="4">
        <v>4</v>
      </c>
      <c r="O112" s="3"/>
    </row>
    <row r="113" spans="2:15">
      <c r="B113" s="2" t="s">
        <v>162</v>
      </c>
      <c r="C113" s="2" t="s">
        <v>12</v>
      </c>
      <c r="D113" s="2" t="s">
        <v>53</v>
      </c>
      <c r="E113" s="2" t="s">
        <v>45</v>
      </c>
      <c r="F113" s="2" t="s">
        <v>15</v>
      </c>
      <c r="G113" s="2" t="s">
        <v>39</v>
      </c>
      <c r="H113" s="2" t="s">
        <v>94</v>
      </c>
      <c r="I113" s="3">
        <v>500</v>
      </c>
      <c r="J113" s="3">
        <v>710</v>
      </c>
      <c r="K113" s="4">
        <v>5</v>
      </c>
      <c r="O113" s="3"/>
    </row>
    <row r="114" spans="2:15">
      <c r="B114" s="2" t="s">
        <v>163</v>
      </c>
      <c r="C114" s="2" t="s">
        <v>12</v>
      </c>
      <c r="D114" s="2" t="s">
        <v>35</v>
      </c>
      <c r="E114" s="2" t="s">
        <v>14</v>
      </c>
      <c r="F114" s="2" t="s">
        <v>15</v>
      </c>
      <c r="G114" s="2" t="s">
        <v>39</v>
      </c>
      <c r="H114" s="2" t="s">
        <v>62</v>
      </c>
      <c r="I114" s="3">
        <v>510</v>
      </c>
      <c r="J114" s="3">
        <v>710</v>
      </c>
      <c r="K114" s="4">
        <v>4</v>
      </c>
      <c r="O114" s="3"/>
    </row>
    <row r="115" spans="2:15">
      <c r="B115" s="2" t="s">
        <v>164</v>
      </c>
      <c r="C115" s="2" t="s">
        <v>12</v>
      </c>
      <c r="D115" s="2" t="s">
        <v>31</v>
      </c>
      <c r="E115" s="2" t="s">
        <v>14</v>
      </c>
      <c r="F115" s="2" t="s">
        <v>15</v>
      </c>
      <c r="G115" s="2" t="s">
        <v>16</v>
      </c>
      <c r="H115" s="2" t="s">
        <v>51</v>
      </c>
      <c r="I115" s="3">
        <v>520</v>
      </c>
      <c r="J115" s="3">
        <v>730</v>
      </c>
      <c r="K115" s="4">
        <v>3</v>
      </c>
      <c r="O115" s="3"/>
    </row>
    <row r="116" spans="2:15">
      <c r="B116" s="2" t="s">
        <v>165</v>
      </c>
      <c r="C116" s="2" t="s">
        <v>12</v>
      </c>
      <c r="D116" s="2" t="s">
        <v>31</v>
      </c>
      <c r="E116" s="2" t="s">
        <v>19</v>
      </c>
      <c r="F116" s="2" t="s">
        <v>15</v>
      </c>
      <c r="G116" s="2" t="s">
        <v>36</v>
      </c>
      <c r="H116" s="2" t="s">
        <v>51</v>
      </c>
      <c r="I116" s="3">
        <v>670</v>
      </c>
      <c r="J116" s="3">
        <v>940</v>
      </c>
      <c r="K116" s="4">
        <v>6</v>
      </c>
      <c r="O116" s="3"/>
    </row>
    <row r="117" spans="2:15">
      <c r="B117" s="2" t="s">
        <v>166</v>
      </c>
      <c r="C117" s="2" t="s">
        <v>12</v>
      </c>
      <c r="D117" s="2" t="s">
        <v>80</v>
      </c>
      <c r="E117" s="2" t="s">
        <v>14</v>
      </c>
      <c r="F117" s="2" t="s">
        <v>15</v>
      </c>
      <c r="G117" s="2" t="s">
        <v>36</v>
      </c>
      <c r="H117" s="2" t="s">
        <v>37</v>
      </c>
      <c r="I117" s="3">
        <v>540</v>
      </c>
      <c r="J117" s="3">
        <v>750</v>
      </c>
      <c r="K117" s="4">
        <v>3</v>
      </c>
      <c r="O117" s="3"/>
    </row>
    <row r="118" spans="2:15">
      <c r="B118" s="2" t="s">
        <v>167</v>
      </c>
      <c r="C118" s="2" t="s">
        <v>12</v>
      </c>
      <c r="D118" s="2" t="s">
        <v>53</v>
      </c>
      <c r="E118" s="2" t="s">
        <v>14</v>
      </c>
      <c r="F118" s="2" t="s">
        <v>20</v>
      </c>
      <c r="G118" s="2" t="s">
        <v>16</v>
      </c>
      <c r="H118" s="2" t="s">
        <v>57</v>
      </c>
      <c r="I118" s="3">
        <v>550</v>
      </c>
      <c r="J118" s="3">
        <v>770</v>
      </c>
      <c r="K118" s="4">
        <v>5</v>
      </c>
      <c r="O118" s="3"/>
    </row>
    <row r="119" spans="2:15">
      <c r="B119" s="2" t="s">
        <v>168</v>
      </c>
      <c r="C119" s="2" t="s">
        <v>12</v>
      </c>
      <c r="D119" s="2" t="s">
        <v>27</v>
      </c>
      <c r="E119" s="2" t="s">
        <v>14</v>
      </c>
      <c r="F119" s="2" t="s">
        <v>28</v>
      </c>
      <c r="G119" s="2" t="s">
        <v>21</v>
      </c>
      <c r="H119" s="2" t="s">
        <v>25</v>
      </c>
      <c r="I119" s="3">
        <v>470</v>
      </c>
      <c r="J119" s="3">
        <v>660</v>
      </c>
      <c r="K119" s="4">
        <v>4</v>
      </c>
      <c r="O119" s="3"/>
    </row>
    <row r="120" spans="2:15">
      <c r="B120" s="2" t="s">
        <v>169</v>
      </c>
      <c r="C120" s="2" t="s">
        <v>12</v>
      </c>
      <c r="D120" s="2" t="s">
        <v>67</v>
      </c>
      <c r="E120" s="2" t="s">
        <v>45</v>
      </c>
      <c r="F120" s="2" t="s">
        <v>28</v>
      </c>
      <c r="G120" s="2" t="s">
        <v>36</v>
      </c>
      <c r="H120" s="2" t="s">
        <v>101</v>
      </c>
      <c r="I120" s="3">
        <v>650</v>
      </c>
      <c r="J120" s="3">
        <v>910</v>
      </c>
      <c r="K120" s="4">
        <v>6</v>
      </c>
      <c r="O120" s="3"/>
    </row>
    <row r="121" spans="2:15">
      <c r="B121" s="2" t="s">
        <v>170</v>
      </c>
      <c r="C121" s="2" t="s">
        <v>12</v>
      </c>
      <c r="D121" s="2" t="s">
        <v>31</v>
      </c>
      <c r="E121" s="2" t="s">
        <v>19</v>
      </c>
      <c r="F121" s="2" t="s">
        <v>20</v>
      </c>
      <c r="G121" s="2" t="s">
        <v>16</v>
      </c>
      <c r="H121" s="2" t="s">
        <v>94</v>
      </c>
      <c r="I121" s="3">
        <v>530</v>
      </c>
      <c r="J121" s="3">
        <v>740</v>
      </c>
      <c r="K121" s="4">
        <v>5</v>
      </c>
      <c r="O121" s="3"/>
    </row>
    <row r="122" spans="2:15">
      <c r="B122" s="2" t="s">
        <v>171</v>
      </c>
      <c r="C122" s="2" t="s">
        <v>12</v>
      </c>
      <c r="D122" s="2" t="s">
        <v>13</v>
      </c>
      <c r="E122" s="2" t="s">
        <v>14</v>
      </c>
      <c r="F122" s="2" t="s">
        <v>24</v>
      </c>
      <c r="G122" s="2" t="s">
        <v>16</v>
      </c>
      <c r="H122" s="2" t="s">
        <v>62</v>
      </c>
      <c r="I122" s="3">
        <v>620</v>
      </c>
      <c r="J122" s="3">
        <v>870</v>
      </c>
      <c r="K122" s="4">
        <v>3</v>
      </c>
      <c r="O122" s="3"/>
    </row>
    <row r="123" spans="2:15">
      <c r="B123" s="2" t="s">
        <v>172</v>
      </c>
      <c r="C123" s="2" t="s">
        <v>12</v>
      </c>
      <c r="D123" s="2" t="s">
        <v>31</v>
      </c>
      <c r="E123" s="2" t="s">
        <v>45</v>
      </c>
      <c r="F123" s="2" t="s">
        <v>28</v>
      </c>
      <c r="G123" s="2" t="s">
        <v>21</v>
      </c>
      <c r="H123" s="2" t="s">
        <v>51</v>
      </c>
      <c r="I123" s="3">
        <v>490</v>
      </c>
      <c r="J123" s="3">
        <v>690</v>
      </c>
      <c r="K123" s="4">
        <v>5</v>
      </c>
      <c r="O123" s="3"/>
    </row>
    <row r="124" spans="2:15">
      <c r="B124" s="2" t="s">
        <v>173</v>
      </c>
      <c r="C124" s="2" t="s">
        <v>12</v>
      </c>
      <c r="D124" s="2" t="s">
        <v>27</v>
      </c>
      <c r="E124" s="2" t="s">
        <v>45</v>
      </c>
      <c r="F124" s="2" t="s">
        <v>15</v>
      </c>
      <c r="G124" s="2" t="s">
        <v>36</v>
      </c>
      <c r="H124" s="2" t="s">
        <v>43</v>
      </c>
      <c r="I124" s="3">
        <v>460</v>
      </c>
      <c r="J124" s="3">
        <v>640</v>
      </c>
      <c r="K124" s="4">
        <v>4</v>
      </c>
      <c r="O124" s="3"/>
    </row>
    <row r="125" spans="2:15">
      <c r="B125" s="2" t="s">
        <v>174</v>
      </c>
      <c r="C125" s="2" t="s">
        <v>12</v>
      </c>
      <c r="D125" s="2" t="s">
        <v>27</v>
      </c>
      <c r="E125" s="2" t="s">
        <v>45</v>
      </c>
      <c r="F125" s="2" t="s">
        <v>20</v>
      </c>
      <c r="G125" s="2" t="s">
        <v>21</v>
      </c>
      <c r="H125" s="2" t="s">
        <v>17</v>
      </c>
      <c r="I125" s="3">
        <v>520</v>
      </c>
      <c r="J125" s="3">
        <v>720</v>
      </c>
      <c r="K125" s="4">
        <v>4</v>
      </c>
      <c r="O125" s="3"/>
    </row>
    <row r="126" spans="2:15">
      <c r="B126" s="2" t="s">
        <v>175</v>
      </c>
      <c r="C126" s="2" t="s">
        <v>12</v>
      </c>
      <c r="D126" s="2" t="s">
        <v>80</v>
      </c>
      <c r="E126" s="2" t="s">
        <v>14</v>
      </c>
      <c r="F126" s="2" t="s">
        <v>20</v>
      </c>
      <c r="G126" s="2" t="s">
        <v>16</v>
      </c>
      <c r="H126" s="2" t="s">
        <v>101</v>
      </c>
      <c r="I126" s="3">
        <v>520</v>
      </c>
      <c r="J126" s="3">
        <v>720</v>
      </c>
      <c r="K126" s="4">
        <v>5</v>
      </c>
      <c r="O126" s="3"/>
    </row>
    <row r="127" spans="2:15">
      <c r="B127" s="2" t="s">
        <v>176</v>
      </c>
      <c r="C127" s="2" t="s">
        <v>12</v>
      </c>
      <c r="D127" s="2" t="s">
        <v>13</v>
      </c>
      <c r="E127" s="2" t="s">
        <v>45</v>
      </c>
      <c r="F127" s="2" t="s">
        <v>15</v>
      </c>
      <c r="G127" s="2" t="s">
        <v>36</v>
      </c>
      <c r="H127" s="2" t="s">
        <v>33</v>
      </c>
      <c r="I127" s="3">
        <v>560</v>
      </c>
      <c r="J127" s="3">
        <v>790</v>
      </c>
      <c r="K127" s="4">
        <v>6</v>
      </c>
      <c r="O127" s="3"/>
    </row>
    <row r="128" spans="2:15">
      <c r="B128" s="2" t="s">
        <v>177</v>
      </c>
      <c r="C128" s="2" t="s">
        <v>12</v>
      </c>
      <c r="D128" s="2" t="s">
        <v>13</v>
      </c>
      <c r="E128" s="2" t="s">
        <v>19</v>
      </c>
      <c r="F128" s="2" t="s">
        <v>20</v>
      </c>
      <c r="G128" s="2" t="s">
        <v>36</v>
      </c>
      <c r="H128" s="2" t="s">
        <v>49</v>
      </c>
      <c r="I128" s="3">
        <v>560</v>
      </c>
      <c r="J128" s="3">
        <v>790</v>
      </c>
      <c r="K128" s="4">
        <v>5</v>
      </c>
      <c r="O128" s="3"/>
    </row>
    <row r="129" spans="2:15">
      <c r="B129" s="2" t="s">
        <v>178</v>
      </c>
      <c r="C129" s="2" t="s">
        <v>12</v>
      </c>
      <c r="D129" s="2" t="s">
        <v>13</v>
      </c>
      <c r="E129" s="2" t="s">
        <v>14</v>
      </c>
      <c r="F129" s="2" t="s">
        <v>20</v>
      </c>
      <c r="G129" s="2" t="s">
        <v>32</v>
      </c>
      <c r="H129" s="2" t="s">
        <v>71</v>
      </c>
      <c r="I129" s="3">
        <v>460</v>
      </c>
      <c r="J129" s="3">
        <v>640</v>
      </c>
      <c r="K129" s="4">
        <v>3</v>
      </c>
      <c r="O129" s="3"/>
    </row>
    <row r="130" spans="2:15">
      <c r="B130" s="2" t="s">
        <v>179</v>
      </c>
      <c r="C130" s="2" t="s">
        <v>12</v>
      </c>
      <c r="D130" s="2" t="s">
        <v>80</v>
      </c>
      <c r="E130" s="2" t="s">
        <v>45</v>
      </c>
      <c r="F130" s="2" t="s">
        <v>28</v>
      </c>
      <c r="G130" s="2" t="s">
        <v>32</v>
      </c>
      <c r="H130" s="2" t="s">
        <v>64</v>
      </c>
      <c r="I130" s="3">
        <v>640</v>
      </c>
      <c r="J130" s="3">
        <v>900</v>
      </c>
      <c r="K130" s="4">
        <v>6</v>
      </c>
      <c r="O130" s="3"/>
    </row>
    <row r="131" spans="2:15">
      <c r="B131" s="2" t="s">
        <v>180</v>
      </c>
      <c r="C131" s="2" t="s">
        <v>12</v>
      </c>
      <c r="D131" s="2" t="s">
        <v>53</v>
      </c>
      <c r="E131" s="2" t="s">
        <v>14</v>
      </c>
      <c r="F131" s="2" t="s">
        <v>28</v>
      </c>
      <c r="G131" s="2" t="s">
        <v>32</v>
      </c>
      <c r="H131" s="2" t="s">
        <v>22</v>
      </c>
      <c r="I131" s="3">
        <v>610</v>
      </c>
      <c r="J131" s="3">
        <v>860</v>
      </c>
      <c r="K131" s="4">
        <v>5</v>
      </c>
      <c r="O131" s="3"/>
    </row>
    <row r="132" spans="2:15">
      <c r="B132" s="2" t="s">
        <v>181</v>
      </c>
      <c r="C132" s="2" t="s">
        <v>12</v>
      </c>
      <c r="D132" s="2" t="s">
        <v>13</v>
      </c>
      <c r="E132" s="2" t="s">
        <v>14</v>
      </c>
      <c r="F132" s="2" t="s">
        <v>15</v>
      </c>
      <c r="G132" s="2" t="s">
        <v>36</v>
      </c>
      <c r="H132" s="2" t="s">
        <v>51</v>
      </c>
      <c r="I132" s="3">
        <v>530</v>
      </c>
      <c r="J132" s="3">
        <v>740</v>
      </c>
      <c r="K132" s="4">
        <v>5</v>
      </c>
      <c r="O132" s="3"/>
    </row>
    <row r="133" spans="2:15">
      <c r="B133" s="2" t="s">
        <v>182</v>
      </c>
      <c r="C133" s="2" t="s">
        <v>12</v>
      </c>
      <c r="D133" s="2" t="s">
        <v>55</v>
      </c>
      <c r="E133" s="2" t="s">
        <v>19</v>
      </c>
      <c r="F133" s="2" t="s">
        <v>20</v>
      </c>
      <c r="G133" s="2" t="s">
        <v>36</v>
      </c>
      <c r="H133" s="2" t="s">
        <v>43</v>
      </c>
      <c r="I133" s="3">
        <v>620</v>
      </c>
      <c r="J133" s="3">
        <v>870</v>
      </c>
      <c r="K133" s="4">
        <v>5</v>
      </c>
      <c r="O133" s="3"/>
    </row>
    <row r="134" spans="2:15">
      <c r="B134" s="2" t="s">
        <v>183</v>
      </c>
      <c r="C134" s="2" t="s">
        <v>12</v>
      </c>
      <c r="D134" s="2" t="s">
        <v>35</v>
      </c>
      <c r="E134" s="2" t="s">
        <v>14</v>
      </c>
      <c r="F134" s="2" t="s">
        <v>28</v>
      </c>
      <c r="G134" s="2" t="s">
        <v>21</v>
      </c>
      <c r="H134" s="2" t="s">
        <v>69</v>
      </c>
      <c r="I134" s="3">
        <v>510</v>
      </c>
      <c r="J134" s="3">
        <v>720</v>
      </c>
      <c r="K134" s="4">
        <v>6</v>
      </c>
      <c r="O134" s="3"/>
    </row>
    <row r="135" spans="2:15">
      <c r="B135" s="2" t="s">
        <v>184</v>
      </c>
      <c r="C135" s="2" t="s">
        <v>12</v>
      </c>
      <c r="D135" s="2" t="s">
        <v>31</v>
      </c>
      <c r="E135" s="2" t="s">
        <v>14</v>
      </c>
      <c r="F135" s="2" t="s">
        <v>15</v>
      </c>
      <c r="G135" s="2" t="s">
        <v>21</v>
      </c>
      <c r="H135" s="2" t="s">
        <v>51</v>
      </c>
      <c r="I135" s="3">
        <v>560</v>
      </c>
      <c r="J135" s="3">
        <v>780</v>
      </c>
      <c r="K135" s="4">
        <v>6</v>
      </c>
      <c r="O135" s="3"/>
    </row>
    <row r="136" spans="2:15">
      <c r="B136" s="2" t="s">
        <v>185</v>
      </c>
      <c r="C136" s="2" t="s">
        <v>12</v>
      </c>
      <c r="D136" s="2" t="s">
        <v>31</v>
      </c>
      <c r="E136" s="2" t="s">
        <v>14</v>
      </c>
      <c r="F136" s="2" t="s">
        <v>15</v>
      </c>
      <c r="G136" s="2" t="s">
        <v>21</v>
      </c>
      <c r="H136" s="2" t="s">
        <v>57</v>
      </c>
      <c r="I136" s="3">
        <v>640</v>
      </c>
      <c r="J136" s="3">
        <v>900</v>
      </c>
      <c r="K136" s="4">
        <v>5</v>
      </c>
      <c r="O136" s="3"/>
    </row>
    <row r="137" spans="2:15">
      <c r="B137" s="2" t="s">
        <v>186</v>
      </c>
      <c r="C137" s="2" t="s">
        <v>12</v>
      </c>
      <c r="D137" s="2" t="s">
        <v>53</v>
      </c>
      <c r="E137" s="2" t="s">
        <v>14</v>
      </c>
      <c r="F137" s="2" t="s">
        <v>20</v>
      </c>
      <c r="G137" s="2" t="s">
        <v>21</v>
      </c>
      <c r="H137" s="2" t="s">
        <v>17</v>
      </c>
      <c r="I137" s="3">
        <v>560</v>
      </c>
      <c r="J137" s="3">
        <v>790</v>
      </c>
      <c r="K137" s="4">
        <v>4</v>
      </c>
      <c r="O137" s="3"/>
    </row>
    <row r="138" spans="2:15">
      <c r="B138" s="2" t="s">
        <v>187</v>
      </c>
      <c r="C138" s="2" t="s">
        <v>12</v>
      </c>
      <c r="D138" s="2" t="s">
        <v>67</v>
      </c>
      <c r="E138" s="2" t="s">
        <v>14</v>
      </c>
      <c r="F138" s="2" t="s">
        <v>28</v>
      </c>
      <c r="G138" s="2" t="s">
        <v>39</v>
      </c>
      <c r="H138" s="2" t="s">
        <v>17</v>
      </c>
      <c r="I138" s="3">
        <v>530</v>
      </c>
      <c r="J138" s="3">
        <v>740</v>
      </c>
      <c r="K138" s="4">
        <v>3</v>
      </c>
      <c r="O138" s="3"/>
    </row>
    <row r="139" spans="2:15">
      <c r="B139" s="2" t="s">
        <v>188</v>
      </c>
      <c r="C139" s="2" t="s">
        <v>12</v>
      </c>
      <c r="D139" s="2" t="s">
        <v>13</v>
      </c>
      <c r="E139" s="2" t="s">
        <v>19</v>
      </c>
      <c r="F139" s="2" t="s">
        <v>24</v>
      </c>
      <c r="G139" s="2" t="s">
        <v>36</v>
      </c>
      <c r="H139" s="2" t="s">
        <v>101</v>
      </c>
      <c r="I139" s="3">
        <v>570</v>
      </c>
      <c r="J139" s="3">
        <v>800</v>
      </c>
      <c r="K139" s="4">
        <v>5</v>
      </c>
      <c r="O139" s="3"/>
    </row>
    <row r="140" spans="2:15">
      <c r="B140" s="2" t="s">
        <v>189</v>
      </c>
      <c r="C140" s="2" t="s">
        <v>12</v>
      </c>
      <c r="D140" s="2" t="s">
        <v>53</v>
      </c>
      <c r="E140" s="2" t="s">
        <v>45</v>
      </c>
      <c r="F140" s="2" t="s">
        <v>24</v>
      </c>
      <c r="G140" s="2" t="s">
        <v>36</v>
      </c>
      <c r="H140" s="2" t="s">
        <v>62</v>
      </c>
      <c r="I140" s="3">
        <v>560</v>
      </c>
      <c r="J140" s="3">
        <v>780</v>
      </c>
      <c r="K140" s="4">
        <v>4</v>
      </c>
      <c r="O140" s="3"/>
    </row>
    <row r="141" spans="2:15">
      <c r="B141" s="2" t="s">
        <v>190</v>
      </c>
      <c r="C141" s="2" t="s">
        <v>12</v>
      </c>
      <c r="D141" s="2" t="s">
        <v>27</v>
      </c>
      <c r="E141" s="2" t="s">
        <v>19</v>
      </c>
      <c r="F141" s="2" t="s">
        <v>24</v>
      </c>
      <c r="G141" s="2" t="s">
        <v>39</v>
      </c>
      <c r="H141" s="2" t="s">
        <v>33</v>
      </c>
      <c r="I141" s="3">
        <v>550</v>
      </c>
      <c r="J141" s="3">
        <v>770</v>
      </c>
      <c r="K141" s="4">
        <v>6</v>
      </c>
      <c r="O141" s="3"/>
    </row>
    <row r="142" spans="2:15">
      <c r="B142" s="2" t="s">
        <v>191</v>
      </c>
      <c r="C142" s="2" t="s">
        <v>12</v>
      </c>
      <c r="D142" s="2" t="s">
        <v>67</v>
      </c>
      <c r="E142" s="2" t="s">
        <v>45</v>
      </c>
      <c r="F142" s="2" t="s">
        <v>20</v>
      </c>
      <c r="G142" s="2" t="s">
        <v>32</v>
      </c>
      <c r="H142" s="2" t="s">
        <v>101</v>
      </c>
      <c r="I142" s="3">
        <v>540</v>
      </c>
      <c r="J142" s="3">
        <v>750</v>
      </c>
      <c r="K142" s="4">
        <v>6</v>
      </c>
      <c r="O142" s="3"/>
    </row>
    <row r="143" spans="2:15">
      <c r="B143" s="2" t="s">
        <v>192</v>
      </c>
      <c r="C143" s="2" t="s">
        <v>12</v>
      </c>
      <c r="D143" s="2" t="s">
        <v>80</v>
      </c>
      <c r="E143" s="2" t="s">
        <v>45</v>
      </c>
      <c r="F143" s="2" t="s">
        <v>28</v>
      </c>
      <c r="G143" s="2" t="s">
        <v>32</v>
      </c>
      <c r="H143" s="2" t="s">
        <v>49</v>
      </c>
      <c r="I143" s="3">
        <v>670</v>
      </c>
      <c r="J143" s="3">
        <v>940</v>
      </c>
      <c r="K143" s="4">
        <v>6</v>
      </c>
      <c r="O143" s="3"/>
    </row>
    <row r="144" spans="2:15">
      <c r="B144" s="2" t="s">
        <v>193</v>
      </c>
      <c r="C144" s="2" t="s">
        <v>12</v>
      </c>
      <c r="D144" s="2" t="s">
        <v>35</v>
      </c>
      <c r="E144" s="2" t="s">
        <v>14</v>
      </c>
      <c r="F144" s="2" t="s">
        <v>24</v>
      </c>
      <c r="G144" s="2" t="s">
        <v>21</v>
      </c>
      <c r="H144" s="2" t="s">
        <v>59</v>
      </c>
      <c r="I144" s="3">
        <v>570</v>
      </c>
      <c r="J144" s="3">
        <v>790</v>
      </c>
      <c r="K144" s="4">
        <v>4</v>
      </c>
      <c r="O144" s="3"/>
    </row>
    <row r="145" spans="2:15">
      <c r="B145" s="2" t="s">
        <v>194</v>
      </c>
      <c r="C145" s="2" t="s">
        <v>12</v>
      </c>
      <c r="D145" s="2" t="s">
        <v>55</v>
      </c>
      <c r="E145" s="2" t="s">
        <v>14</v>
      </c>
      <c r="F145" s="2" t="s">
        <v>15</v>
      </c>
      <c r="G145" s="2" t="s">
        <v>36</v>
      </c>
      <c r="H145" s="2" t="s">
        <v>59</v>
      </c>
      <c r="I145" s="3">
        <v>670</v>
      </c>
      <c r="J145" s="3">
        <v>940</v>
      </c>
      <c r="K145" s="4">
        <v>6</v>
      </c>
      <c r="O145" s="3"/>
    </row>
    <row r="146" spans="2:15">
      <c r="B146" s="2" t="s">
        <v>195</v>
      </c>
      <c r="C146" s="2" t="s">
        <v>12</v>
      </c>
      <c r="D146" s="2" t="s">
        <v>80</v>
      </c>
      <c r="E146" s="2" t="s">
        <v>45</v>
      </c>
      <c r="F146" s="2" t="s">
        <v>20</v>
      </c>
      <c r="G146" s="2" t="s">
        <v>16</v>
      </c>
      <c r="H146" s="2" t="s">
        <v>75</v>
      </c>
      <c r="I146" s="3">
        <v>620</v>
      </c>
      <c r="J146" s="3">
        <v>870</v>
      </c>
      <c r="K146" s="4">
        <v>5</v>
      </c>
      <c r="O146" s="3"/>
    </row>
    <row r="147" spans="2:15">
      <c r="B147" s="2" t="s">
        <v>196</v>
      </c>
      <c r="C147" s="2" t="s">
        <v>12</v>
      </c>
      <c r="D147" s="2" t="s">
        <v>13</v>
      </c>
      <c r="E147" s="2" t="s">
        <v>45</v>
      </c>
      <c r="F147" s="2" t="s">
        <v>20</v>
      </c>
      <c r="G147" s="2" t="s">
        <v>21</v>
      </c>
      <c r="H147" s="2" t="s">
        <v>29</v>
      </c>
      <c r="I147" s="3">
        <v>670</v>
      </c>
      <c r="J147" s="3">
        <v>940</v>
      </c>
      <c r="K147" s="4">
        <v>3</v>
      </c>
      <c r="O147" s="3"/>
    </row>
    <row r="148" spans="2:15">
      <c r="B148" s="2" t="s">
        <v>197</v>
      </c>
      <c r="C148" s="2" t="s">
        <v>12</v>
      </c>
      <c r="D148" s="2" t="s">
        <v>80</v>
      </c>
      <c r="E148" s="2" t="s">
        <v>45</v>
      </c>
      <c r="F148" s="2" t="s">
        <v>24</v>
      </c>
      <c r="G148" s="2" t="s">
        <v>39</v>
      </c>
      <c r="H148" s="2" t="s">
        <v>51</v>
      </c>
      <c r="I148" s="3">
        <v>630</v>
      </c>
      <c r="J148" s="3">
        <v>890</v>
      </c>
      <c r="K148" s="4">
        <v>5</v>
      </c>
      <c r="O148" s="3"/>
    </row>
    <row r="149" spans="2:15">
      <c r="B149" s="2" t="s">
        <v>198</v>
      </c>
      <c r="C149" s="2" t="s">
        <v>12</v>
      </c>
      <c r="D149" s="2" t="s">
        <v>55</v>
      </c>
      <c r="E149" s="2" t="s">
        <v>19</v>
      </c>
      <c r="F149" s="2" t="s">
        <v>20</v>
      </c>
      <c r="G149" s="2" t="s">
        <v>32</v>
      </c>
      <c r="H149" s="2" t="s">
        <v>62</v>
      </c>
      <c r="I149" s="3">
        <v>540</v>
      </c>
      <c r="J149" s="3">
        <v>750</v>
      </c>
      <c r="K149" s="4">
        <v>6</v>
      </c>
      <c r="O149" s="3"/>
    </row>
    <row r="150" spans="2:15">
      <c r="B150" s="2" t="s">
        <v>199</v>
      </c>
      <c r="C150" s="2" t="s">
        <v>12</v>
      </c>
      <c r="D150" s="2" t="s">
        <v>53</v>
      </c>
      <c r="E150" s="2" t="s">
        <v>19</v>
      </c>
      <c r="F150" s="2" t="s">
        <v>20</v>
      </c>
      <c r="G150" s="2" t="s">
        <v>21</v>
      </c>
      <c r="H150" s="2" t="s">
        <v>43</v>
      </c>
      <c r="I150" s="3">
        <v>530</v>
      </c>
      <c r="J150" s="3">
        <v>740</v>
      </c>
      <c r="K150" s="4">
        <v>4</v>
      </c>
      <c r="O150" s="3"/>
    </row>
    <row r="151" spans="2:15">
      <c r="B151" s="2" t="s">
        <v>200</v>
      </c>
      <c r="C151" s="2" t="s">
        <v>12</v>
      </c>
      <c r="D151" s="2" t="s">
        <v>61</v>
      </c>
      <c r="E151" s="2" t="s">
        <v>14</v>
      </c>
      <c r="F151" s="2" t="s">
        <v>20</v>
      </c>
      <c r="G151" s="2" t="s">
        <v>36</v>
      </c>
      <c r="H151" s="2" t="s">
        <v>37</v>
      </c>
      <c r="I151" s="3">
        <v>610</v>
      </c>
      <c r="J151" s="3">
        <v>860</v>
      </c>
      <c r="K151" s="4">
        <v>3</v>
      </c>
      <c r="O151" s="3"/>
    </row>
    <row r="152" spans="2:15">
      <c r="B152" s="2" t="s">
        <v>201</v>
      </c>
      <c r="C152" s="2" t="s">
        <v>12</v>
      </c>
      <c r="D152" s="2" t="s">
        <v>80</v>
      </c>
      <c r="E152" s="2" t="s">
        <v>19</v>
      </c>
      <c r="F152" s="2" t="s">
        <v>15</v>
      </c>
      <c r="G152" s="2" t="s">
        <v>39</v>
      </c>
      <c r="H152" s="2" t="s">
        <v>104</v>
      </c>
      <c r="I152" s="3">
        <v>560</v>
      </c>
      <c r="J152" s="3">
        <v>790</v>
      </c>
      <c r="K152" s="4">
        <v>5</v>
      </c>
      <c r="O152" s="3"/>
    </row>
    <row r="153" spans="2:15">
      <c r="B153" s="2" t="s">
        <v>202</v>
      </c>
      <c r="C153" s="2" t="s">
        <v>12</v>
      </c>
      <c r="D153" s="2" t="s">
        <v>31</v>
      </c>
      <c r="E153" s="2" t="s">
        <v>45</v>
      </c>
      <c r="F153" s="2" t="s">
        <v>15</v>
      </c>
      <c r="G153" s="2" t="s">
        <v>32</v>
      </c>
      <c r="H153" s="2" t="s">
        <v>22</v>
      </c>
      <c r="I153" s="3">
        <v>650</v>
      </c>
      <c r="J153" s="3">
        <v>910</v>
      </c>
      <c r="K153" s="4">
        <v>4</v>
      </c>
      <c r="O153" s="3"/>
    </row>
    <row r="154" spans="2:15">
      <c r="B154" s="2" t="s">
        <v>203</v>
      </c>
      <c r="C154" s="2" t="s">
        <v>12</v>
      </c>
      <c r="D154" s="2" t="s">
        <v>67</v>
      </c>
      <c r="E154" s="2" t="s">
        <v>45</v>
      </c>
      <c r="F154" s="2" t="s">
        <v>24</v>
      </c>
      <c r="G154" s="2" t="s">
        <v>16</v>
      </c>
      <c r="H154" s="2" t="s">
        <v>64</v>
      </c>
      <c r="I154" s="3">
        <v>510</v>
      </c>
      <c r="J154" s="3">
        <v>720</v>
      </c>
      <c r="K154" s="4">
        <v>3</v>
      </c>
      <c r="O154" s="3"/>
    </row>
    <row r="155" spans="2:15">
      <c r="B155" s="2" t="s">
        <v>204</v>
      </c>
      <c r="C155" s="2" t="s">
        <v>12</v>
      </c>
      <c r="D155" s="2" t="s">
        <v>55</v>
      </c>
      <c r="E155" s="2" t="s">
        <v>19</v>
      </c>
      <c r="F155" s="2" t="s">
        <v>24</v>
      </c>
      <c r="G155" s="2" t="s">
        <v>36</v>
      </c>
      <c r="H155" s="2" t="s">
        <v>71</v>
      </c>
      <c r="I155" s="3">
        <v>610</v>
      </c>
      <c r="J155" s="3">
        <v>850</v>
      </c>
      <c r="K155" s="4">
        <v>4</v>
      </c>
      <c r="O155" s="3"/>
    </row>
    <row r="156" spans="2:15">
      <c r="B156" s="2" t="s">
        <v>205</v>
      </c>
      <c r="C156" s="2" t="s">
        <v>12</v>
      </c>
      <c r="D156" s="2" t="s">
        <v>53</v>
      </c>
      <c r="E156" s="2" t="s">
        <v>19</v>
      </c>
      <c r="F156" s="2" t="s">
        <v>15</v>
      </c>
      <c r="G156" s="2" t="s">
        <v>36</v>
      </c>
      <c r="H156" s="2" t="s">
        <v>33</v>
      </c>
      <c r="I156" s="3">
        <v>510</v>
      </c>
      <c r="J156" s="3">
        <v>710</v>
      </c>
      <c r="K156" s="4">
        <v>3</v>
      </c>
      <c r="O156" s="3"/>
    </row>
    <row r="157" spans="2:15">
      <c r="B157" s="2" t="s">
        <v>206</v>
      </c>
      <c r="C157" s="2" t="s">
        <v>12</v>
      </c>
      <c r="D157" s="2" t="s">
        <v>53</v>
      </c>
      <c r="E157" s="2" t="s">
        <v>45</v>
      </c>
      <c r="F157" s="2" t="s">
        <v>24</v>
      </c>
      <c r="G157" s="2" t="s">
        <v>39</v>
      </c>
      <c r="H157" s="2" t="s">
        <v>29</v>
      </c>
      <c r="I157" s="3">
        <v>680</v>
      </c>
      <c r="J157" s="3">
        <v>950</v>
      </c>
      <c r="K157" s="4">
        <v>5</v>
      </c>
      <c r="O157" s="3"/>
    </row>
    <row r="158" spans="2:15">
      <c r="B158" s="2" t="s">
        <v>207</v>
      </c>
      <c r="C158" s="2" t="s">
        <v>12</v>
      </c>
      <c r="D158" s="2" t="s">
        <v>61</v>
      </c>
      <c r="E158" s="2" t="s">
        <v>19</v>
      </c>
      <c r="F158" s="2" t="s">
        <v>28</v>
      </c>
      <c r="G158" s="2" t="s">
        <v>32</v>
      </c>
      <c r="H158" s="2" t="s">
        <v>29</v>
      </c>
      <c r="I158" s="3">
        <v>600</v>
      </c>
      <c r="J158" s="3">
        <v>840</v>
      </c>
      <c r="K158" s="4">
        <v>5</v>
      </c>
      <c r="O158" s="3"/>
    </row>
    <row r="159" spans="2:15">
      <c r="B159" s="2" t="s">
        <v>208</v>
      </c>
      <c r="C159" s="2" t="s">
        <v>12</v>
      </c>
      <c r="D159" s="2" t="s">
        <v>55</v>
      </c>
      <c r="E159" s="2" t="s">
        <v>45</v>
      </c>
      <c r="F159" s="2" t="s">
        <v>20</v>
      </c>
      <c r="G159" s="2" t="s">
        <v>16</v>
      </c>
      <c r="H159" s="2" t="s">
        <v>59</v>
      </c>
      <c r="I159" s="3">
        <v>500</v>
      </c>
      <c r="J159" s="3">
        <v>700</v>
      </c>
      <c r="K159" s="4">
        <v>5</v>
      </c>
      <c r="O159" s="3"/>
    </row>
    <row r="160" spans="2:15">
      <c r="B160" s="2" t="s">
        <v>209</v>
      </c>
      <c r="C160" s="2" t="s">
        <v>12</v>
      </c>
      <c r="D160" s="2" t="s">
        <v>61</v>
      </c>
      <c r="E160" s="2" t="s">
        <v>19</v>
      </c>
      <c r="F160" s="2" t="s">
        <v>15</v>
      </c>
      <c r="G160" s="2" t="s">
        <v>39</v>
      </c>
      <c r="H160" s="2" t="s">
        <v>59</v>
      </c>
      <c r="I160" s="3">
        <v>600</v>
      </c>
      <c r="J160" s="3">
        <v>840</v>
      </c>
      <c r="K160" s="4">
        <v>5</v>
      </c>
      <c r="O160" s="3"/>
    </row>
    <row r="161" spans="2:15">
      <c r="B161" s="2" t="s">
        <v>210</v>
      </c>
      <c r="C161" s="2" t="s">
        <v>12</v>
      </c>
      <c r="D161" s="2" t="s">
        <v>31</v>
      </c>
      <c r="E161" s="2" t="s">
        <v>19</v>
      </c>
      <c r="F161" s="2" t="s">
        <v>28</v>
      </c>
      <c r="G161" s="2" t="s">
        <v>32</v>
      </c>
      <c r="H161" s="2" t="s">
        <v>17</v>
      </c>
      <c r="I161" s="3">
        <v>450</v>
      </c>
      <c r="J161" s="3">
        <v>630</v>
      </c>
      <c r="K161" s="4">
        <v>5</v>
      </c>
      <c r="O161" s="3"/>
    </row>
    <row r="162" spans="2:15">
      <c r="B162" s="2" t="s">
        <v>211</v>
      </c>
      <c r="C162" s="2" t="s">
        <v>12</v>
      </c>
      <c r="D162" s="2" t="s">
        <v>27</v>
      </c>
      <c r="E162" s="2" t="s">
        <v>19</v>
      </c>
      <c r="F162" s="2" t="s">
        <v>15</v>
      </c>
      <c r="G162" s="2" t="s">
        <v>16</v>
      </c>
      <c r="H162" s="2" t="s">
        <v>37</v>
      </c>
      <c r="I162" s="3">
        <v>510</v>
      </c>
      <c r="J162" s="3">
        <v>710</v>
      </c>
      <c r="K162" s="4">
        <v>3</v>
      </c>
      <c r="O162" s="3"/>
    </row>
    <row r="163" spans="2:15">
      <c r="B163" s="2" t="s">
        <v>212</v>
      </c>
      <c r="C163" s="2" t="s">
        <v>12</v>
      </c>
      <c r="D163" s="2" t="s">
        <v>53</v>
      </c>
      <c r="E163" s="2" t="s">
        <v>14</v>
      </c>
      <c r="F163" s="2" t="s">
        <v>15</v>
      </c>
      <c r="G163" s="2" t="s">
        <v>16</v>
      </c>
      <c r="H163" s="2" t="s">
        <v>43</v>
      </c>
      <c r="I163" s="3">
        <v>530</v>
      </c>
      <c r="J163" s="3">
        <v>740</v>
      </c>
      <c r="K163" s="4">
        <v>5</v>
      </c>
      <c r="O163" s="3"/>
    </row>
    <row r="164" spans="2:15">
      <c r="B164" s="2" t="s">
        <v>213</v>
      </c>
      <c r="C164" s="2" t="s">
        <v>12</v>
      </c>
      <c r="D164" s="2" t="s">
        <v>55</v>
      </c>
      <c r="E164" s="2" t="s">
        <v>14</v>
      </c>
      <c r="F164" s="2" t="s">
        <v>24</v>
      </c>
      <c r="G164" s="2" t="s">
        <v>16</v>
      </c>
      <c r="H164" s="2" t="s">
        <v>62</v>
      </c>
      <c r="I164" s="3">
        <v>530</v>
      </c>
      <c r="J164" s="3">
        <v>750</v>
      </c>
      <c r="K164" s="4">
        <v>5</v>
      </c>
      <c r="O164" s="3"/>
    </row>
    <row r="165" spans="2:15">
      <c r="B165" s="2" t="s">
        <v>214</v>
      </c>
      <c r="C165" s="2" t="s">
        <v>12</v>
      </c>
      <c r="D165" s="2" t="s">
        <v>67</v>
      </c>
      <c r="E165" s="2" t="s">
        <v>45</v>
      </c>
      <c r="F165" s="2" t="s">
        <v>24</v>
      </c>
      <c r="G165" s="2" t="s">
        <v>32</v>
      </c>
      <c r="H165" s="2" t="s">
        <v>51</v>
      </c>
      <c r="I165" s="3">
        <v>580</v>
      </c>
      <c r="J165" s="3">
        <v>820</v>
      </c>
      <c r="K165" s="4">
        <v>5</v>
      </c>
      <c r="O165" s="3"/>
    </row>
    <row r="166" spans="2:15">
      <c r="B166" s="2" t="s">
        <v>215</v>
      </c>
      <c r="C166" s="2" t="s">
        <v>12</v>
      </c>
      <c r="D166" s="2" t="s">
        <v>35</v>
      </c>
      <c r="E166" s="2" t="s">
        <v>14</v>
      </c>
      <c r="F166" s="2" t="s">
        <v>28</v>
      </c>
      <c r="G166" s="2" t="s">
        <v>39</v>
      </c>
      <c r="H166" s="2" t="s">
        <v>57</v>
      </c>
      <c r="I166" s="3">
        <v>640</v>
      </c>
      <c r="J166" s="3">
        <v>900</v>
      </c>
      <c r="K166" s="4">
        <v>4</v>
      </c>
      <c r="O166" s="3"/>
    </row>
    <row r="167" spans="2:15">
      <c r="B167" s="2" t="s">
        <v>216</v>
      </c>
      <c r="C167" s="2" t="s">
        <v>12</v>
      </c>
      <c r="D167" s="2" t="s">
        <v>55</v>
      </c>
      <c r="E167" s="2" t="s">
        <v>19</v>
      </c>
      <c r="F167" s="2" t="s">
        <v>15</v>
      </c>
      <c r="G167" s="2" t="s">
        <v>39</v>
      </c>
      <c r="H167" s="2" t="s">
        <v>59</v>
      </c>
      <c r="I167" s="3">
        <v>670</v>
      </c>
      <c r="J167" s="3">
        <v>940</v>
      </c>
      <c r="K167" s="4">
        <v>3</v>
      </c>
      <c r="O167" s="3"/>
    </row>
    <row r="168" spans="2:15">
      <c r="B168" s="2" t="s">
        <v>217</v>
      </c>
      <c r="C168" s="2" t="s">
        <v>12</v>
      </c>
      <c r="D168" s="2" t="s">
        <v>67</v>
      </c>
      <c r="E168" s="2" t="s">
        <v>14</v>
      </c>
      <c r="F168" s="2" t="s">
        <v>28</v>
      </c>
      <c r="G168" s="2" t="s">
        <v>32</v>
      </c>
      <c r="H168" s="2" t="s">
        <v>33</v>
      </c>
      <c r="I168" s="3">
        <v>520</v>
      </c>
      <c r="J168" s="3">
        <v>720</v>
      </c>
      <c r="K168" s="4">
        <v>6</v>
      </c>
      <c r="O168" s="3"/>
    </row>
    <row r="169" spans="2:15">
      <c r="B169" s="2" t="s">
        <v>218</v>
      </c>
      <c r="C169" s="2" t="s">
        <v>12</v>
      </c>
      <c r="D169" s="2" t="s">
        <v>35</v>
      </c>
      <c r="E169" s="2" t="s">
        <v>14</v>
      </c>
      <c r="F169" s="2" t="s">
        <v>24</v>
      </c>
      <c r="G169" s="2" t="s">
        <v>36</v>
      </c>
      <c r="H169" s="2" t="s">
        <v>69</v>
      </c>
      <c r="I169" s="3">
        <v>660</v>
      </c>
      <c r="J169" s="3">
        <v>920</v>
      </c>
      <c r="K169" s="4">
        <v>5</v>
      </c>
      <c r="O169" s="3"/>
    </row>
    <row r="170" spans="2:15">
      <c r="B170" s="2" t="s">
        <v>219</v>
      </c>
      <c r="C170" s="2" t="s">
        <v>12</v>
      </c>
      <c r="D170" s="2" t="s">
        <v>27</v>
      </c>
      <c r="E170" s="2" t="s">
        <v>19</v>
      </c>
      <c r="F170" s="2" t="s">
        <v>20</v>
      </c>
      <c r="G170" s="2" t="s">
        <v>36</v>
      </c>
      <c r="H170" s="2" t="s">
        <v>101</v>
      </c>
      <c r="I170" s="3">
        <v>610</v>
      </c>
      <c r="J170" s="3">
        <v>850</v>
      </c>
      <c r="K170" s="4">
        <v>6</v>
      </c>
      <c r="O170" s="3"/>
    </row>
    <row r="171" spans="2:15">
      <c r="B171" s="2" t="s">
        <v>220</v>
      </c>
      <c r="C171" s="2" t="s">
        <v>12</v>
      </c>
      <c r="D171" s="2" t="s">
        <v>80</v>
      </c>
      <c r="E171" s="2" t="s">
        <v>14</v>
      </c>
      <c r="F171" s="2" t="s">
        <v>20</v>
      </c>
      <c r="G171" s="2" t="s">
        <v>32</v>
      </c>
      <c r="H171" s="2" t="s">
        <v>51</v>
      </c>
      <c r="I171" s="3">
        <v>480</v>
      </c>
      <c r="J171" s="3">
        <v>670</v>
      </c>
      <c r="K171" s="4">
        <v>3</v>
      </c>
      <c r="O171" s="3"/>
    </row>
    <row r="172" spans="2:15">
      <c r="B172" s="2" t="s">
        <v>221</v>
      </c>
      <c r="C172" s="2" t="s">
        <v>12</v>
      </c>
      <c r="D172" s="2" t="s">
        <v>27</v>
      </c>
      <c r="E172" s="2" t="s">
        <v>19</v>
      </c>
      <c r="F172" s="2" t="s">
        <v>24</v>
      </c>
      <c r="G172" s="2" t="s">
        <v>36</v>
      </c>
      <c r="H172" s="2" t="s">
        <v>29</v>
      </c>
      <c r="I172" s="3">
        <v>470</v>
      </c>
      <c r="J172" s="3">
        <v>660</v>
      </c>
      <c r="K172" s="4">
        <v>5</v>
      </c>
      <c r="O172" s="3"/>
    </row>
    <row r="173" spans="2:15">
      <c r="B173" s="2" t="s">
        <v>222</v>
      </c>
      <c r="C173" s="2" t="s">
        <v>12</v>
      </c>
      <c r="D173" s="2" t="s">
        <v>67</v>
      </c>
      <c r="E173" s="2" t="s">
        <v>45</v>
      </c>
      <c r="F173" s="2" t="s">
        <v>24</v>
      </c>
      <c r="G173" s="2" t="s">
        <v>36</v>
      </c>
      <c r="H173" s="2" t="s">
        <v>37</v>
      </c>
      <c r="I173" s="3">
        <v>620</v>
      </c>
      <c r="J173" s="3">
        <v>870</v>
      </c>
      <c r="K173" s="4">
        <v>6</v>
      </c>
      <c r="O173" s="3"/>
    </row>
    <row r="174" spans="2:15">
      <c r="B174" s="2" t="s">
        <v>223</v>
      </c>
      <c r="C174" s="2" t="s">
        <v>12</v>
      </c>
      <c r="D174" s="2" t="s">
        <v>55</v>
      </c>
      <c r="E174" s="2" t="s">
        <v>45</v>
      </c>
      <c r="F174" s="2" t="s">
        <v>20</v>
      </c>
      <c r="G174" s="2" t="s">
        <v>32</v>
      </c>
      <c r="H174" s="2" t="s">
        <v>94</v>
      </c>
      <c r="I174" s="3">
        <v>610</v>
      </c>
      <c r="J174" s="3">
        <v>850</v>
      </c>
      <c r="K174" s="4">
        <v>6</v>
      </c>
      <c r="O174" s="3"/>
    </row>
    <row r="175" spans="2:15">
      <c r="B175" s="2" t="s">
        <v>224</v>
      </c>
      <c r="C175" s="2" t="s">
        <v>12</v>
      </c>
      <c r="D175" s="2" t="s">
        <v>27</v>
      </c>
      <c r="E175" s="2" t="s">
        <v>45</v>
      </c>
      <c r="F175" s="2" t="s">
        <v>20</v>
      </c>
      <c r="G175" s="2" t="s">
        <v>32</v>
      </c>
      <c r="H175" s="2" t="s">
        <v>62</v>
      </c>
      <c r="I175" s="3">
        <v>560</v>
      </c>
      <c r="J175" s="3">
        <v>790</v>
      </c>
      <c r="K175" s="4">
        <v>5</v>
      </c>
      <c r="O175" s="3"/>
    </row>
    <row r="176" spans="2:15">
      <c r="B176" s="2" t="s">
        <v>225</v>
      </c>
      <c r="C176" s="2" t="s">
        <v>12</v>
      </c>
      <c r="D176" s="2" t="s">
        <v>55</v>
      </c>
      <c r="E176" s="2" t="s">
        <v>45</v>
      </c>
      <c r="F176" s="2" t="s">
        <v>24</v>
      </c>
      <c r="G176" s="2" t="s">
        <v>39</v>
      </c>
      <c r="H176" s="2" t="s">
        <v>29</v>
      </c>
      <c r="I176" s="3">
        <v>460</v>
      </c>
      <c r="J176" s="3">
        <v>650</v>
      </c>
      <c r="K176" s="4">
        <v>3</v>
      </c>
      <c r="O176" s="3"/>
    </row>
    <row r="177" spans="2:15">
      <c r="B177" s="2" t="s">
        <v>226</v>
      </c>
      <c r="C177" s="2" t="s">
        <v>12</v>
      </c>
      <c r="D177" s="2" t="s">
        <v>27</v>
      </c>
      <c r="E177" s="2" t="s">
        <v>19</v>
      </c>
      <c r="F177" s="2" t="s">
        <v>20</v>
      </c>
      <c r="G177" s="2" t="s">
        <v>39</v>
      </c>
      <c r="H177" s="2" t="s">
        <v>49</v>
      </c>
      <c r="I177" s="3">
        <v>620</v>
      </c>
      <c r="J177" s="3">
        <v>870</v>
      </c>
      <c r="K177" s="4">
        <v>4</v>
      </c>
      <c r="O177" s="3"/>
    </row>
    <row r="178" spans="2:15">
      <c r="B178" s="2" t="s">
        <v>227</v>
      </c>
      <c r="C178" s="2" t="s">
        <v>12</v>
      </c>
      <c r="D178" s="2" t="s">
        <v>27</v>
      </c>
      <c r="E178" s="2" t="s">
        <v>14</v>
      </c>
      <c r="F178" s="2" t="s">
        <v>24</v>
      </c>
      <c r="G178" s="2" t="s">
        <v>21</v>
      </c>
      <c r="H178" s="2" t="s">
        <v>94</v>
      </c>
      <c r="I178" s="3">
        <v>480</v>
      </c>
      <c r="J178" s="3">
        <v>670</v>
      </c>
      <c r="K178" s="4">
        <v>4</v>
      </c>
      <c r="O178" s="3"/>
    </row>
    <row r="179" spans="2:15">
      <c r="B179" s="2" t="s">
        <v>228</v>
      </c>
      <c r="C179" s="2" t="s">
        <v>12</v>
      </c>
      <c r="D179" s="2" t="s">
        <v>80</v>
      </c>
      <c r="E179" s="2" t="s">
        <v>19</v>
      </c>
      <c r="F179" s="2" t="s">
        <v>20</v>
      </c>
      <c r="G179" s="2" t="s">
        <v>32</v>
      </c>
      <c r="H179" s="2" t="s">
        <v>57</v>
      </c>
      <c r="I179" s="3">
        <v>530</v>
      </c>
      <c r="J179" s="3">
        <v>750</v>
      </c>
      <c r="K179" s="4">
        <v>4</v>
      </c>
      <c r="O179" s="3"/>
    </row>
    <row r="180" spans="2:15">
      <c r="B180" s="2" t="s">
        <v>229</v>
      </c>
      <c r="C180" s="2" t="s">
        <v>12</v>
      </c>
      <c r="D180" s="2" t="s">
        <v>61</v>
      </c>
      <c r="E180" s="2" t="s">
        <v>14</v>
      </c>
      <c r="F180" s="2" t="s">
        <v>20</v>
      </c>
      <c r="G180" s="2" t="s">
        <v>39</v>
      </c>
      <c r="H180" s="2" t="s">
        <v>57</v>
      </c>
      <c r="I180" s="3">
        <v>590</v>
      </c>
      <c r="J180" s="3">
        <v>820</v>
      </c>
      <c r="K180" s="4">
        <v>3</v>
      </c>
      <c r="O180" s="3"/>
    </row>
    <row r="181" spans="2:15">
      <c r="B181" s="2" t="s">
        <v>230</v>
      </c>
      <c r="C181" s="2" t="s">
        <v>12</v>
      </c>
      <c r="D181" s="2" t="s">
        <v>27</v>
      </c>
      <c r="E181" s="2" t="s">
        <v>19</v>
      </c>
      <c r="F181" s="2" t="s">
        <v>15</v>
      </c>
      <c r="G181" s="2" t="s">
        <v>39</v>
      </c>
      <c r="H181" s="2" t="s">
        <v>64</v>
      </c>
      <c r="I181" s="3">
        <v>540</v>
      </c>
      <c r="J181" s="3">
        <v>760</v>
      </c>
      <c r="K181" s="4">
        <v>5</v>
      </c>
      <c r="O181" s="3"/>
    </row>
    <row r="182" spans="2:15">
      <c r="B182" s="2" t="s">
        <v>231</v>
      </c>
      <c r="C182" s="2" t="s">
        <v>12</v>
      </c>
      <c r="D182" s="2" t="s">
        <v>80</v>
      </c>
      <c r="E182" s="2" t="s">
        <v>19</v>
      </c>
      <c r="F182" s="2" t="s">
        <v>28</v>
      </c>
      <c r="G182" s="2" t="s">
        <v>21</v>
      </c>
      <c r="H182" s="2" t="s">
        <v>37</v>
      </c>
      <c r="I182" s="3">
        <v>460</v>
      </c>
      <c r="J182" s="3">
        <v>650</v>
      </c>
      <c r="K182" s="4">
        <v>3</v>
      </c>
      <c r="O182" s="3"/>
    </row>
    <row r="183" spans="2:15">
      <c r="B183" s="2" t="s">
        <v>232</v>
      </c>
      <c r="C183" s="2" t="s">
        <v>12</v>
      </c>
      <c r="D183" s="2" t="s">
        <v>53</v>
      </c>
      <c r="E183" s="2" t="s">
        <v>45</v>
      </c>
      <c r="F183" s="2" t="s">
        <v>20</v>
      </c>
      <c r="G183" s="2" t="s">
        <v>36</v>
      </c>
      <c r="H183" s="2" t="s">
        <v>75</v>
      </c>
      <c r="I183" s="3">
        <v>570</v>
      </c>
      <c r="J183" s="3">
        <v>800</v>
      </c>
      <c r="K183" s="4">
        <v>4</v>
      </c>
      <c r="O183" s="3"/>
    </row>
    <row r="184" spans="2:15">
      <c r="B184" s="2" t="s">
        <v>233</v>
      </c>
      <c r="C184" s="2" t="s">
        <v>12</v>
      </c>
      <c r="D184" s="2" t="s">
        <v>31</v>
      </c>
      <c r="E184" s="2" t="s">
        <v>19</v>
      </c>
      <c r="F184" s="2" t="s">
        <v>15</v>
      </c>
      <c r="G184" s="2" t="s">
        <v>36</v>
      </c>
      <c r="H184" s="2" t="s">
        <v>69</v>
      </c>
      <c r="I184" s="3">
        <v>610</v>
      </c>
      <c r="J184" s="3">
        <v>850</v>
      </c>
      <c r="K184" s="4">
        <v>3</v>
      </c>
      <c r="O184" s="3"/>
    </row>
    <row r="185" spans="2:15">
      <c r="B185" s="2" t="s">
        <v>234</v>
      </c>
      <c r="C185" s="2" t="s">
        <v>12</v>
      </c>
      <c r="D185" s="2" t="s">
        <v>55</v>
      </c>
      <c r="E185" s="2" t="s">
        <v>45</v>
      </c>
      <c r="F185" s="2" t="s">
        <v>20</v>
      </c>
      <c r="G185" s="2" t="s">
        <v>36</v>
      </c>
      <c r="H185" s="2" t="s">
        <v>29</v>
      </c>
      <c r="I185" s="3">
        <v>570</v>
      </c>
      <c r="J185" s="3">
        <v>800</v>
      </c>
      <c r="K185" s="4">
        <v>3</v>
      </c>
      <c r="O185" s="3"/>
    </row>
    <row r="186" spans="2:15">
      <c r="B186" s="2" t="s">
        <v>235</v>
      </c>
      <c r="C186" s="2" t="s">
        <v>12</v>
      </c>
      <c r="D186" s="2" t="s">
        <v>13</v>
      </c>
      <c r="E186" s="2" t="s">
        <v>45</v>
      </c>
      <c r="F186" s="2" t="s">
        <v>24</v>
      </c>
      <c r="G186" s="2" t="s">
        <v>39</v>
      </c>
      <c r="H186" s="2" t="s">
        <v>57</v>
      </c>
      <c r="I186" s="3">
        <v>680</v>
      </c>
      <c r="J186" s="3">
        <v>950</v>
      </c>
      <c r="K186" s="4">
        <v>5</v>
      </c>
      <c r="O186" s="3"/>
    </row>
    <row r="187" spans="2:15">
      <c r="B187" s="2" t="s">
        <v>236</v>
      </c>
      <c r="C187" s="2" t="s">
        <v>12</v>
      </c>
      <c r="D187" s="2" t="s">
        <v>67</v>
      </c>
      <c r="E187" s="2" t="s">
        <v>19</v>
      </c>
      <c r="F187" s="2" t="s">
        <v>15</v>
      </c>
      <c r="G187" s="2" t="s">
        <v>36</v>
      </c>
      <c r="H187" s="2" t="s">
        <v>25</v>
      </c>
      <c r="I187" s="3">
        <v>610</v>
      </c>
      <c r="J187" s="3">
        <v>850</v>
      </c>
      <c r="K187" s="4">
        <v>5</v>
      </c>
      <c r="O187" s="3"/>
    </row>
    <row r="188" spans="2:15">
      <c r="B188" s="2" t="s">
        <v>237</v>
      </c>
      <c r="C188" s="2" t="s">
        <v>12</v>
      </c>
      <c r="D188" s="2" t="s">
        <v>67</v>
      </c>
      <c r="E188" s="2" t="s">
        <v>19</v>
      </c>
      <c r="F188" s="2" t="s">
        <v>28</v>
      </c>
      <c r="G188" s="2" t="s">
        <v>39</v>
      </c>
      <c r="H188" s="2" t="s">
        <v>37</v>
      </c>
      <c r="I188" s="3">
        <v>570</v>
      </c>
      <c r="J188" s="3">
        <v>790</v>
      </c>
      <c r="K188" s="4">
        <v>4</v>
      </c>
      <c r="O188" s="3"/>
    </row>
    <row r="189" spans="2:15">
      <c r="B189" s="2" t="s">
        <v>238</v>
      </c>
      <c r="C189" s="2" t="s">
        <v>12</v>
      </c>
      <c r="D189" s="2" t="s">
        <v>53</v>
      </c>
      <c r="E189" s="2" t="s">
        <v>14</v>
      </c>
      <c r="F189" s="2" t="s">
        <v>28</v>
      </c>
      <c r="G189" s="2" t="s">
        <v>32</v>
      </c>
      <c r="H189" s="2" t="s">
        <v>29</v>
      </c>
      <c r="I189" s="3">
        <v>560</v>
      </c>
      <c r="J189" s="3">
        <v>780</v>
      </c>
      <c r="K189" s="4">
        <v>6</v>
      </c>
      <c r="O189" s="3"/>
    </row>
    <row r="190" spans="2:15">
      <c r="B190" s="2" t="s">
        <v>239</v>
      </c>
      <c r="C190" s="2" t="s">
        <v>12</v>
      </c>
      <c r="D190" s="2" t="s">
        <v>13</v>
      </c>
      <c r="E190" s="2" t="s">
        <v>45</v>
      </c>
      <c r="F190" s="2" t="s">
        <v>28</v>
      </c>
      <c r="G190" s="2" t="s">
        <v>32</v>
      </c>
      <c r="H190" s="2" t="s">
        <v>33</v>
      </c>
      <c r="I190" s="3">
        <v>560</v>
      </c>
      <c r="J190" s="3">
        <v>780</v>
      </c>
      <c r="K190" s="4">
        <v>5</v>
      </c>
      <c r="O190" s="3"/>
    </row>
    <row r="191" spans="2:15">
      <c r="B191" s="2" t="s">
        <v>240</v>
      </c>
      <c r="C191" s="2" t="s">
        <v>12</v>
      </c>
      <c r="D191" s="2" t="s">
        <v>53</v>
      </c>
      <c r="E191" s="2" t="s">
        <v>14</v>
      </c>
      <c r="F191" s="2" t="s">
        <v>20</v>
      </c>
      <c r="G191" s="2" t="s">
        <v>39</v>
      </c>
      <c r="H191" s="2" t="s">
        <v>43</v>
      </c>
      <c r="I191" s="3">
        <v>490</v>
      </c>
      <c r="J191" s="3">
        <v>680</v>
      </c>
      <c r="K191" s="4">
        <v>6</v>
      </c>
      <c r="O191" s="3"/>
    </row>
    <row r="192" spans="2:15">
      <c r="B192" s="2" t="s">
        <v>241</v>
      </c>
      <c r="C192" s="2" t="s">
        <v>12</v>
      </c>
      <c r="D192" s="2" t="s">
        <v>35</v>
      </c>
      <c r="E192" s="2" t="s">
        <v>14</v>
      </c>
      <c r="F192" s="2" t="s">
        <v>20</v>
      </c>
      <c r="G192" s="2" t="s">
        <v>21</v>
      </c>
      <c r="H192" s="2" t="s">
        <v>62</v>
      </c>
      <c r="I192" s="3">
        <v>470</v>
      </c>
      <c r="J192" s="3">
        <v>660</v>
      </c>
      <c r="K192" s="4">
        <v>5</v>
      </c>
      <c r="O192" s="3"/>
    </row>
    <row r="193" spans="2:15">
      <c r="B193" s="2" t="s">
        <v>242</v>
      </c>
      <c r="C193" s="2" t="s">
        <v>12</v>
      </c>
      <c r="D193" s="2" t="s">
        <v>13</v>
      </c>
      <c r="E193" s="2" t="s">
        <v>45</v>
      </c>
      <c r="F193" s="2" t="s">
        <v>15</v>
      </c>
      <c r="G193" s="2" t="s">
        <v>36</v>
      </c>
      <c r="H193" s="2" t="s">
        <v>104</v>
      </c>
      <c r="I193" s="3">
        <v>620</v>
      </c>
      <c r="J193" s="3">
        <v>870</v>
      </c>
      <c r="K193" s="4">
        <v>5</v>
      </c>
      <c r="O193" s="3"/>
    </row>
    <row r="194" spans="2:15">
      <c r="B194" s="2" t="s">
        <v>243</v>
      </c>
      <c r="C194" s="2" t="s">
        <v>12</v>
      </c>
      <c r="D194" s="2" t="s">
        <v>61</v>
      </c>
      <c r="E194" s="2" t="s">
        <v>45</v>
      </c>
      <c r="F194" s="2" t="s">
        <v>20</v>
      </c>
      <c r="G194" s="2" t="s">
        <v>21</v>
      </c>
      <c r="H194" s="2" t="s">
        <v>75</v>
      </c>
      <c r="I194" s="3">
        <v>600</v>
      </c>
      <c r="J194" s="3">
        <v>840</v>
      </c>
      <c r="K194" s="4">
        <v>4</v>
      </c>
      <c r="O194" s="3"/>
    </row>
    <row r="195" spans="2:15">
      <c r="B195" s="2" t="s">
        <v>244</v>
      </c>
      <c r="C195" s="2" t="s">
        <v>12</v>
      </c>
      <c r="D195" s="2" t="s">
        <v>53</v>
      </c>
      <c r="E195" s="2" t="s">
        <v>14</v>
      </c>
      <c r="F195" s="2" t="s">
        <v>20</v>
      </c>
      <c r="G195" s="2" t="s">
        <v>32</v>
      </c>
      <c r="H195" s="2" t="s">
        <v>62</v>
      </c>
      <c r="I195" s="3">
        <v>490</v>
      </c>
      <c r="J195" s="3">
        <v>680</v>
      </c>
      <c r="K195" s="4">
        <v>5</v>
      </c>
      <c r="O195" s="3"/>
    </row>
    <row r="196" spans="2:15">
      <c r="B196" s="2" t="s">
        <v>245</v>
      </c>
      <c r="C196" s="2" t="s">
        <v>12</v>
      </c>
      <c r="D196" s="2" t="s">
        <v>61</v>
      </c>
      <c r="E196" s="2" t="s">
        <v>19</v>
      </c>
      <c r="F196" s="2" t="s">
        <v>24</v>
      </c>
      <c r="G196" s="2" t="s">
        <v>36</v>
      </c>
      <c r="H196" s="2" t="s">
        <v>62</v>
      </c>
      <c r="I196" s="3">
        <v>480</v>
      </c>
      <c r="J196" s="3">
        <v>670</v>
      </c>
      <c r="K196" s="4">
        <v>3</v>
      </c>
      <c r="O196" s="3"/>
    </row>
    <row r="197" spans="2:15">
      <c r="B197" s="2" t="s">
        <v>246</v>
      </c>
      <c r="C197" s="2" t="s">
        <v>12</v>
      </c>
      <c r="D197" s="2" t="s">
        <v>61</v>
      </c>
      <c r="E197" s="2" t="s">
        <v>14</v>
      </c>
      <c r="F197" s="2" t="s">
        <v>24</v>
      </c>
      <c r="G197" s="2" t="s">
        <v>32</v>
      </c>
      <c r="H197" s="2" t="s">
        <v>101</v>
      </c>
      <c r="I197" s="3">
        <v>600</v>
      </c>
      <c r="J197" s="3">
        <v>850</v>
      </c>
      <c r="K197" s="4">
        <v>5</v>
      </c>
      <c r="O197" s="3"/>
    </row>
    <row r="198" spans="2:15">
      <c r="B198" s="2" t="s">
        <v>247</v>
      </c>
      <c r="C198" s="2" t="s">
        <v>12</v>
      </c>
      <c r="D198" s="2" t="s">
        <v>31</v>
      </c>
      <c r="E198" s="2" t="s">
        <v>14</v>
      </c>
      <c r="F198" s="2" t="s">
        <v>24</v>
      </c>
      <c r="G198" s="2" t="s">
        <v>21</v>
      </c>
      <c r="H198" s="2" t="s">
        <v>59</v>
      </c>
      <c r="I198" s="3">
        <v>540</v>
      </c>
      <c r="J198" s="3">
        <v>750</v>
      </c>
      <c r="K198" s="4">
        <v>3</v>
      </c>
      <c r="O198" s="3"/>
    </row>
    <row r="199" spans="2:15">
      <c r="B199" s="2" t="s">
        <v>248</v>
      </c>
      <c r="C199" s="2" t="s">
        <v>12</v>
      </c>
      <c r="D199" s="2" t="s">
        <v>31</v>
      </c>
      <c r="E199" s="2" t="s">
        <v>14</v>
      </c>
      <c r="F199" s="2" t="s">
        <v>24</v>
      </c>
      <c r="G199" s="2" t="s">
        <v>36</v>
      </c>
      <c r="H199" s="2" t="s">
        <v>22</v>
      </c>
      <c r="I199" s="3">
        <v>490</v>
      </c>
      <c r="J199" s="3">
        <v>680</v>
      </c>
      <c r="K199" s="4">
        <v>6</v>
      </c>
      <c r="O199" s="3"/>
    </row>
    <row r="200" spans="2:15">
      <c r="B200" s="2" t="s">
        <v>249</v>
      </c>
      <c r="C200" s="2" t="s">
        <v>12</v>
      </c>
      <c r="D200" s="2" t="s">
        <v>80</v>
      </c>
      <c r="E200" s="2" t="s">
        <v>45</v>
      </c>
      <c r="F200" s="2" t="s">
        <v>15</v>
      </c>
      <c r="G200" s="2" t="s">
        <v>32</v>
      </c>
      <c r="H200" s="2" t="s">
        <v>71</v>
      </c>
      <c r="I200" s="3">
        <v>540</v>
      </c>
      <c r="J200" s="3">
        <v>750</v>
      </c>
      <c r="K200" s="4">
        <v>3</v>
      </c>
      <c r="O200" s="3"/>
    </row>
    <row r="201" spans="2:15">
      <c r="B201" s="2" t="s">
        <v>250</v>
      </c>
      <c r="C201" s="2" t="s">
        <v>12</v>
      </c>
      <c r="D201" s="2" t="s">
        <v>31</v>
      </c>
      <c r="E201" s="2" t="s">
        <v>14</v>
      </c>
      <c r="F201" s="2" t="s">
        <v>24</v>
      </c>
      <c r="G201" s="2" t="s">
        <v>21</v>
      </c>
      <c r="H201" s="2" t="s">
        <v>104</v>
      </c>
      <c r="I201" s="3">
        <v>680</v>
      </c>
      <c r="J201" s="3">
        <v>950</v>
      </c>
      <c r="K201" s="4">
        <v>3</v>
      </c>
      <c r="O201" s="3"/>
    </row>
    <row r="202" spans="2:15">
      <c r="B202" s="2" t="s">
        <v>251</v>
      </c>
      <c r="C202" s="2" t="s">
        <v>12</v>
      </c>
      <c r="D202" s="2" t="s">
        <v>53</v>
      </c>
      <c r="E202" s="2" t="s">
        <v>19</v>
      </c>
      <c r="F202" s="2" t="s">
        <v>28</v>
      </c>
      <c r="G202" s="2" t="s">
        <v>36</v>
      </c>
      <c r="H202" s="2" t="s">
        <v>25</v>
      </c>
      <c r="I202" s="3">
        <v>520</v>
      </c>
      <c r="J202" s="3">
        <v>730</v>
      </c>
      <c r="K202" s="4">
        <v>6</v>
      </c>
      <c r="O202" s="3"/>
    </row>
    <row r="203" spans="2:15">
      <c r="B203" s="2" t="s">
        <v>252</v>
      </c>
      <c r="C203" s="2" t="s">
        <v>12</v>
      </c>
      <c r="D203" s="2" t="s">
        <v>61</v>
      </c>
      <c r="E203" s="2" t="s">
        <v>14</v>
      </c>
      <c r="F203" s="2" t="s">
        <v>20</v>
      </c>
      <c r="G203" s="2" t="s">
        <v>32</v>
      </c>
      <c r="H203" s="2" t="s">
        <v>22</v>
      </c>
      <c r="I203" s="3">
        <v>560</v>
      </c>
      <c r="J203" s="3">
        <v>780</v>
      </c>
      <c r="K203" s="4">
        <v>3</v>
      </c>
      <c r="O203" s="3"/>
    </row>
    <row r="204" spans="2:15">
      <c r="B204" s="2" t="s">
        <v>253</v>
      </c>
      <c r="C204" s="2" t="s">
        <v>12</v>
      </c>
      <c r="D204" s="2" t="s">
        <v>53</v>
      </c>
      <c r="E204" s="2" t="s">
        <v>19</v>
      </c>
      <c r="F204" s="2" t="s">
        <v>15</v>
      </c>
      <c r="G204" s="2" t="s">
        <v>39</v>
      </c>
      <c r="H204" s="2" t="s">
        <v>17</v>
      </c>
      <c r="I204" s="3">
        <v>520</v>
      </c>
      <c r="J204" s="3">
        <v>730</v>
      </c>
      <c r="K204" s="4">
        <v>6</v>
      </c>
      <c r="O204" s="3"/>
    </row>
    <row r="205" spans="2:15">
      <c r="B205" s="2" t="s">
        <v>254</v>
      </c>
      <c r="C205" s="2" t="s">
        <v>12</v>
      </c>
      <c r="D205" s="2" t="s">
        <v>31</v>
      </c>
      <c r="E205" s="2" t="s">
        <v>14</v>
      </c>
      <c r="F205" s="2" t="s">
        <v>24</v>
      </c>
      <c r="G205" s="2" t="s">
        <v>32</v>
      </c>
      <c r="H205" s="2" t="s">
        <v>94</v>
      </c>
      <c r="I205" s="3">
        <v>600</v>
      </c>
      <c r="J205" s="3">
        <v>840</v>
      </c>
      <c r="K205" s="4">
        <v>4</v>
      </c>
      <c r="O205" s="3"/>
    </row>
    <row r="206" spans="2:15">
      <c r="B206" s="2" t="s">
        <v>255</v>
      </c>
      <c r="C206" s="2" t="s">
        <v>12</v>
      </c>
      <c r="D206" s="2" t="s">
        <v>61</v>
      </c>
      <c r="E206" s="2" t="s">
        <v>45</v>
      </c>
      <c r="F206" s="2" t="s">
        <v>15</v>
      </c>
      <c r="G206" s="2" t="s">
        <v>39</v>
      </c>
      <c r="H206" s="2" t="s">
        <v>69</v>
      </c>
      <c r="I206" s="3">
        <v>640</v>
      </c>
      <c r="J206" s="3">
        <v>900</v>
      </c>
      <c r="K206" s="4">
        <v>6</v>
      </c>
      <c r="O206" s="3"/>
    </row>
    <row r="207" spans="2:15">
      <c r="B207" s="2" t="s">
        <v>256</v>
      </c>
      <c r="C207" s="2" t="s">
        <v>12</v>
      </c>
      <c r="D207" s="2" t="s">
        <v>55</v>
      </c>
      <c r="E207" s="2" t="s">
        <v>14</v>
      </c>
      <c r="F207" s="2" t="s">
        <v>24</v>
      </c>
      <c r="G207" s="2" t="s">
        <v>36</v>
      </c>
      <c r="H207" s="2" t="s">
        <v>62</v>
      </c>
      <c r="I207" s="3">
        <v>640</v>
      </c>
      <c r="J207" s="3">
        <v>900</v>
      </c>
      <c r="K207" s="4">
        <v>4</v>
      </c>
      <c r="O207" s="3"/>
    </row>
    <row r="208" spans="2:15">
      <c r="B208" s="2" t="s">
        <v>257</v>
      </c>
      <c r="C208" s="2" t="s">
        <v>12</v>
      </c>
      <c r="D208" s="2" t="s">
        <v>67</v>
      </c>
      <c r="E208" s="2" t="s">
        <v>19</v>
      </c>
      <c r="F208" s="2" t="s">
        <v>15</v>
      </c>
      <c r="G208" s="2" t="s">
        <v>39</v>
      </c>
      <c r="H208" s="2" t="s">
        <v>59</v>
      </c>
      <c r="I208" s="3">
        <v>580</v>
      </c>
      <c r="J208" s="3">
        <v>810</v>
      </c>
      <c r="K208" s="4">
        <v>3</v>
      </c>
      <c r="O208" s="3"/>
    </row>
    <row r="209" spans="2:15">
      <c r="B209" s="2" t="s">
        <v>258</v>
      </c>
      <c r="C209" s="2" t="s">
        <v>12</v>
      </c>
      <c r="D209" s="2" t="s">
        <v>31</v>
      </c>
      <c r="E209" s="2" t="s">
        <v>45</v>
      </c>
      <c r="F209" s="2" t="s">
        <v>20</v>
      </c>
      <c r="G209" s="2" t="s">
        <v>32</v>
      </c>
      <c r="H209" s="2" t="s">
        <v>71</v>
      </c>
      <c r="I209" s="3">
        <v>560</v>
      </c>
      <c r="J209" s="3">
        <v>780</v>
      </c>
      <c r="K209" s="4">
        <v>6</v>
      </c>
      <c r="O209" s="3"/>
    </row>
    <row r="210" spans="2:15">
      <c r="B210" s="2" t="s">
        <v>259</v>
      </c>
      <c r="C210" s="2" t="s">
        <v>12</v>
      </c>
      <c r="D210" s="2" t="s">
        <v>55</v>
      </c>
      <c r="E210" s="2" t="s">
        <v>19</v>
      </c>
      <c r="F210" s="2" t="s">
        <v>28</v>
      </c>
      <c r="G210" s="2" t="s">
        <v>32</v>
      </c>
      <c r="H210" s="2" t="s">
        <v>37</v>
      </c>
      <c r="I210" s="3">
        <v>600</v>
      </c>
      <c r="J210" s="3">
        <v>830</v>
      </c>
      <c r="K210" s="4">
        <v>6</v>
      </c>
      <c r="O210" s="3"/>
    </row>
    <row r="211" spans="2:15">
      <c r="B211" s="2" t="s">
        <v>260</v>
      </c>
      <c r="C211" s="2" t="s">
        <v>12</v>
      </c>
      <c r="D211" s="2" t="s">
        <v>35</v>
      </c>
      <c r="E211" s="2" t="s">
        <v>14</v>
      </c>
      <c r="F211" s="2" t="s">
        <v>28</v>
      </c>
      <c r="G211" s="2" t="s">
        <v>32</v>
      </c>
      <c r="H211" s="2" t="s">
        <v>43</v>
      </c>
      <c r="I211" s="3">
        <v>460</v>
      </c>
      <c r="J211" s="3">
        <v>640</v>
      </c>
      <c r="K211" s="4">
        <v>6</v>
      </c>
      <c r="O211" s="3"/>
    </row>
    <row r="212" spans="2:15">
      <c r="B212" s="2" t="s">
        <v>261</v>
      </c>
      <c r="C212" s="2" t="s">
        <v>12</v>
      </c>
      <c r="D212" s="2" t="s">
        <v>13</v>
      </c>
      <c r="E212" s="2" t="s">
        <v>14</v>
      </c>
      <c r="F212" s="2" t="s">
        <v>28</v>
      </c>
      <c r="G212" s="2" t="s">
        <v>21</v>
      </c>
      <c r="H212" s="2" t="s">
        <v>59</v>
      </c>
      <c r="I212" s="3">
        <v>670</v>
      </c>
      <c r="J212" s="3">
        <v>930</v>
      </c>
      <c r="K212" s="4">
        <v>3</v>
      </c>
      <c r="O212" s="3"/>
    </row>
    <row r="213" spans="2:15">
      <c r="B213" s="2" t="s">
        <v>262</v>
      </c>
      <c r="C213" s="2" t="s">
        <v>12</v>
      </c>
      <c r="D213" s="2" t="s">
        <v>61</v>
      </c>
      <c r="E213" s="2" t="s">
        <v>19</v>
      </c>
      <c r="F213" s="2" t="s">
        <v>15</v>
      </c>
      <c r="G213" s="2" t="s">
        <v>16</v>
      </c>
      <c r="H213" s="2" t="s">
        <v>49</v>
      </c>
      <c r="I213" s="3">
        <v>550</v>
      </c>
      <c r="J213" s="3">
        <v>770</v>
      </c>
      <c r="K213" s="4">
        <v>4</v>
      </c>
      <c r="O213" s="3"/>
    </row>
    <row r="214" spans="2:15">
      <c r="B214" s="2" t="s">
        <v>263</v>
      </c>
      <c r="C214" s="2" t="s">
        <v>12</v>
      </c>
      <c r="D214" s="2" t="s">
        <v>67</v>
      </c>
      <c r="E214" s="2" t="s">
        <v>19</v>
      </c>
      <c r="F214" s="2" t="s">
        <v>20</v>
      </c>
      <c r="G214" s="2" t="s">
        <v>21</v>
      </c>
      <c r="H214" s="2" t="s">
        <v>75</v>
      </c>
      <c r="I214" s="3">
        <v>470</v>
      </c>
      <c r="J214" s="3">
        <v>660</v>
      </c>
      <c r="K214" s="4">
        <v>4</v>
      </c>
      <c r="O214" s="3"/>
    </row>
    <row r="215" spans="2:15">
      <c r="B215" s="2" t="s">
        <v>264</v>
      </c>
      <c r="C215" s="2" t="s">
        <v>12</v>
      </c>
      <c r="D215" s="2" t="s">
        <v>35</v>
      </c>
      <c r="E215" s="2" t="s">
        <v>45</v>
      </c>
      <c r="F215" s="2" t="s">
        <v>24</v>
      </c>
      <c r="G215" s="2" t="s">
        <v>16</v>
      </c>
      <c r="H215" s="2" t="s">
        <v>37</v>
      </c>
      <c r="I215" s="3">
        <v>650</v>
      </c>
      <c r="J215" s="3">
        <v>910</v>
      </c>
      <c r="K215" s="4">
        <v>4</v>
      </c>
      <c r="O215" s="3"/>
    </row>
    <row r="216" spans="2:15">
      <c r="B216" s="2" t="s">
        <v>265</v>
      </c>
      <c r="C216" s="2" t="s">
        <v>12</v>
      </c>
      <c r="D216" s="2" t="s">
        <v>27</v>
      </c>
      <c r="E216" s="2" t="s">
        <v>14</v>
      </c>
      <c r="F216" s="2" t="s">
        <v>24</v>
      </c>
      <c r="G216" s="2" t="s">
        <v>39</v>
      </c>
      <c r="H216" s="2" t="s">
        <v>64</v>
      </c>
      <c r="I216" s="3">
        <v>520</v>
      </c>
      <c r="J216" s="3">
        <v>720</v>
      </c>
      <c r="K216" s="4">
        <v>6</v>
      </c>
      <c r="O216" s="3"/>
    </row>
    <row r="217" spans="2:15">
      <c r="B217" s="2" t="s">
        <v>266</v>
      </c>
      <c r="C217" s="2" t="s">
        <v>12</v>
      </c>
      <c r="D217" s="2" t="s">
        <v>53</v>
      </c>
      <c r="E217" s="2" t="s">
        <v>19</v>
      </c>
      <c r="F217" s="2" t="s">
        <v>15</v>
      </c>
      <c r="G217" s="2" t="s">
        <v>32</v>
      </c>
      <c r="H217" s="2" t="s">
        <v>57</v>
      </c>
      <c r="I217" s="3">
        <v>570</v>
      </c>
      <c r="J217" s="3">
        <v>800</v>
      </c>
      <c r="K217" s="4">
        <v>6</v>
      </c>
      <c r="O217" s="3"/>
    </row>
    <row r="218" spans="2:15">
      <c r="B218" s="2" t="s">
        <v>267</v>
      </c>
      <c r="C218" s="2" t="s">
        <v>12</v>
      </c>
      <c r="D218" s="2" t="s">
        <v>53</v>
      </c>
      <c r="E218" s="2" t="s">
        <v>45</v>
      </c>
      <c r="F218" s="2" t="s">
        <v>15</v>
      </c>
      <c r="G218" s="2" t="s">
        <v>32</v>
      </c>
      <c r="H218" s="2" t="s">
        <v>71</v>
      </c>
      <c r="I218" s="3">
        <v>470</v>
      </c>
      <c r="J218" s="3">
        <v>650</v>
      </c>
      <c r="K218" s="4">
        <v>3</v>
      </c>
      <c r="O218" s="3"/>
    </row>
    <row r="219" spans="2:15">
      <c r="B219" s="2" t="s">
        <v>268</v>
      </c>
      <c r="C219" s="2" t="s">
        <v>12</v>
      </c>
      <c r="D219" s="2" t="s">
        <v>67</v>
      </c>
      <c r="E219" s="2" t="s">
        <v>14</v>
      </c>
      <c r="F219" s="2" t="s">
        <v>15</v>
      </c>
      <c r="G219" s="2" t="s">
        <v>36</v>
      </c>
      <c r="H219" s="2" t="s">
        <v>29</v>
      </c>
      <c r="I219" s="3">
        <v>540</v>
      </c>
      <c r="J219" s="3">
        <v>760</v>
      </c>
      <c r="K219" s="4">
        <v>3</v>
      </c>
      <c r="O219" s="3"/>
    </row>
    <row r="220" spans="2:15">
      <c r="B220" s="2" t="s">
        <v>269</v>
      </c>
      <c r="C220" s="2" t="s">
        <v>12</v>
      </c>
      <c r="D220" s="2" t="s">
        <v>35</v>
      </c>
      <c r="E220" s="2" t="s">
        <v>45</v>
      </c>
      <c r="F220" s="2" t="s">
        <v>20</v>
      </c>
      <c r="G220" s="2" t="s">
        <v>39</v>
      </c>
      <c r="H220" s="2" t="s">
        <v>25</v>
      </c>
      <c r="I220" s="3">
        <v>460</v>
      </c>
      <c r="J220" s="3">
        <v>650</v>
      </c>
      <c r="K220" s="4">
        <v>6</v>
      </c>
      <c r="O220" s="3"/>
    </row>
    <row r="221" spans="2:15">
      <c r="B221" s="2" t="s">
        <v>270</v>
      </c>
      <c r="C221" s="2" t="s">
        <v>12</v>
      </c>
      <c r="D221" s="2" t="s">
        <v>67</v>
      </c>
      <c r="E221" s="2" t="s">
        <v>19</v>
      </c>
      <c r="F221" s="2" t="s">
        <v>20</v>
      </c>
      <c r="G221" s="2" t="s">
        <v>36</v>
      </c>
      <c r="H221" s="2" t="s">
        <v>71</v>
      </c>
      <c r="I221" s="3">
        <v>570</v>
      </c>
      <c r="J221" s="3">
        <v>800</v>
      </c>
      <c r="K221" s="4">
        <v>4</v>
      </c>
      <c r="O221" s="3"/>
    </row>
    <row r="222" spans="2:15">
      <c r="B222" s="2" t="s">
        <v>271</v>
      </c>
      <c r="C222" s="2" t="s">
        <v>12</v>
      </c>
      <c r="D222" s="2" t="s">
        <v>53</v>
      </c>
      <c r="E222" s="2" t="s">
        <v>19</v>
      </c>
      <c r="F222" s="2" t="s">
        <v>24</v>
      </c>
      <c r="G222" s="2" t="s">
        <v>39</v>
      </c>
      <c r="H222" s="2" t="s">
        <v>29</v>
      </c>
      <c r="I222" s="3">
        <v>530</v>
      </c>
      <c r="J222" s="3">
        <v>740</v>
      </c>
      <c r="K222" s="4">
        <v>3</v>
      </c>
      <c r="O222" s="3"/>
    </row>
    <row r="223" spans="2:15">
      <c r="B223" s="2" t="s">
        <v>272</v>
      </c>
      <c r="C223" s="2" t="s">
        <v>12</v>
      </c>
      <c r="D223" s="2" t="s">
        <v>35</v>
      </c>
      <c r="E223" s="2" t="s">
        <v>19</v>
      </c>
      <c r="F223" s="2" t="s">
        <v>20</v>
      </c>
      <c r="G223" s="2" t="s">
        <v>21</v>
      </c>
      <c r="H223" s="2" t="s">
        <v>64</v>
      </c>
      <c r="I223" s="3">
        <v>660</v>
      </c>
      <c r="J223" s="3">
        <v>920</v>
      </c>
      <c r="K223" s="4">
        <v>3</v>
      </c>
      <c r="O223" s="3"/>
    </row>
    <row r="224" spans="2:15">
      <c r="B224" s="2" t="s">
        <v>273</v>
      </c>
      <c r="C224" s="2" t="s">
        <v>12</v>
      </c>
      <c r="D224" s="2" t="s">
        <v>53</v>
      </c>
      <c r="E224" s="2" t="s">
        <v>45</v>
      </c>
      <c r="F224" s="2" t="s">
        <v>24</v>
      </c>
      <c r="G224" s="2" t="s">
        <v>32</v>
      </c>
      <c r="H224" s="2" t="s">
        <v>41</v>
      </c>
      <c r="I224" s="3">
        <v>510</v>
      </c>
      <c r="J224" s="3">
        <v>720</v>
      </c>
      <c r="K224" s="4">
        <v>5</v>
      </c>
      <c r="O224" s="3"/>
    </row>
    <row r="225" spans="2:15">
      <c r="B225" s="2" t="s">
        <v>274</v>
      </c>
      <c r="C225" s="2" t="s">
        <v>12</v>
      </c>
      <c r="D225" s="2" t="s">
        <v>55</v>
      </c>
      <c r="E225" s="2" t="s">
        <v>45</v>
      </c>
      <c r="F225" s="2" t="s">
        <v>20</v>
      </c>
      <c r="G225" s="2" t="s">
        <v>32</v>
      </c>
      <c r="H225" s="2" t="s">
        <v>43</v>
      </c>
      <c r="I225" s="3">
        <v>550</v>
      </c>
      <c r="J225" s="3">
        <v>770</v>
      </c>
      <c r="K225" s="4">
        <v>5</v>
      </c>
      <c r="O225" s="3"/>
    </row>
    <row r="226" spans="2:15">
      <c r="B226" s="2" t="s">
        <v>275</v>
      </c>
      <c r="C226" s="2" t="s">
        <v>12</v>
      </c>
      <c r="D226" s="2" t="s">
        <v>67</v>
      </c>
      <c r="E226" s="2" t="s">
        <v>19</v>
      </c>
      <c r="F226" s="2" t="s">
        <v>28</v>
      </c>
      <c r="G226" s="2" t="s">
        <v>32</v>
      </c>
      <c r="H226" s="2" t="s">
        <v>33</v>
      </c>
      <c r="I226" s="3">
        <v>470</v>
      </c>
      <c r="J226" s="3">
        <v>660</v>
      </c>
      <c r="K226" s="4">
        <v>4</v>
      </c>
      <c r="O226" s="3"/>
    </row>
    <row r="227" spans="2:15">
      <c r="B227" s="2" t="s">
        <v>276</v>
      </c>
      <c r="C227" s="2" t="s">
        <v>12</v>
      </c>
      <c r="D227" s="2" t="s">
        <v>13</v>
      </c>
      <c r="E227" s="2" t="s">
        <v>19</v>
      </c>
      <c r="F227" s="2" t="s">
        <v>24</v>
      </c>
      <c r="G227" s="2" t="s">
        <v>32</v>
      </c>
      <c r="H227" s="2" t="s">
        <v>101</v>
      </c>
      <c r="I227" s="3">
        <v>540</v>
      </c>
      <c r="J227" s="3">
        <v>750</v>
      </c>
      <c r="K227" s="4">
        <v>6</v>
      </c>
      <c r="O227" s="3"/>
    </row>
    <row r="228" spans="2:15">
      <c r="B228" s="2" t="s">
        <v>277</v>
      </c>
      <c r="C228" s="2" t="s">
        <v>12</v>
      </c>
      <c r="D228" s="2" t="s">
        <v>13</v>
      </c>
      <c r="E228" s="2" t="s">
        <v>45</v>
      </c>
      <c r="F228" s="2" t="s">
        <v>28</v>
      </c>
      <c r="G228" s="2" t="s">
        <v>32</v>
      </c>
      <c r="H228" s="2" t="s">
        <v>57</v>
      </c>
      <c r="I228" s="3">
        <v>480</v>
      </c>
      <c r="J228" s="3">
        <v>680</v>
      </c>
      <c r="K228" s="4">
        <v>3</v>
      </c>
      <c r="O228" s="3"/>
    </row>
    <row r="229" spans="2:15">
      <c r="B229" s="2" t="s">
        <v>278</v>
      </c>
      <c r="C229" s="2" t="s">
        <v>12</v>
      </c>
      <c r="D229" s="2" t="s">
        <v>55</v>
      </c>
      <c r="E229" s="2" t="s">
        <v>19</v>
      </c>
      <c r="F229" s="2" t="s">
        <v>15</v>
      </c>
      <c r="G229" s="2" t="s">
        <v>39</v>
      </c>
      <c r="H229" s="2" t="s">
        <v>41</v>
      </c>
      <c r="I229" s="3">
        <v>620</v>
      </c>
      <c r="J229" s="3">
        <v>860</v>
      </c>
      <c r="K229" s="4">
        <v>5</v>
      </c>
      <c r="O229" s="3"/>
    </row>
    <row r="230" spans="2:15">
      <c r="B230" s="2" t="s">
        <v>279</v>
      </c>
      <c r="C230" s="2" t="s">
        <v>12</v>
      </c>
      <c r="D230" s="2" t="s">
        <v>27</v>
      </c>
      <c r="E230" s="2" t="s">
        <v>45</v>
      </c>
      <c r="F230" s="2" t="s">
        <v>28</v>
      </c>
      <c r="G230" s="2" t="s">
        <v>16</v>
      </c>
      <c r="H230" s="2" t="s">
        <v>17</v>
      </c>
      <c r="I230" s="3">
        <v>500</v>
      </c>
      <c r="J230" s="3">
        <v>690</v>
      </c>
      <c r="K230" s="4">
        <v>4</v>
      </c>
      <c r="O230" s="3"/>
    </row>
    <row r="231" spans="2:15">
      <c r="B231" s="2" t="s">
        <v>280</v>
      </c>
      <c r="C231" s="2" t="s">
        <v>12</v>
      </c>
      <c r="D231" s="2" t="s">
        <v>13</v>
      </c>
      <c r="E231" s="2" t="s">
        <v>45</v>
      </c>
      <c r="F231" s="2" t="s">
        <v>20</v>
      </c>
      <c r="G231" s="2" t="s">
        <v>21</v>
      </c>
      <c r="H231" s="2" t="s">
        <v>62</v>
      </c>
      <c r="I231" s="3">
        <v>490</v>
      </c>
      <c r="J231" s="3">
        <v>680</v>
      </c>
      <c r="K231" s="4">
        <v>3</v>
      </c>
      <c r="O231" s="3"/>
    </row>
    <row r="232" spans="2:15">
      <c r="B232" s="2" t="s">
        <v>281</v>
      </c>
      <c r="C232" s="2" t="s">
        <v>12</v>
      </c>
      <c r="D232" s="2" t="s">
        <v>35</v>
      </c>
      <c r="E232" s="2" t="s">
        <v>19</v>
      </c>
      <c r="F232" s="2" t="s">
        <v>24</v>
      </c>
      <c r="G232" s="2" t="s">
        <v>21</v>
      </c>
      <c r="H232" s="2" t="s">
        <v>59</v>
      </c>
      <c r="I232" s="3">
        <v>620</v>
      </c>
      <c r="J232" s="3">
        <v>870</v>
      </c>
      <c r="K232" s="4">
        <v>4</v>
      </c>
      <c r="O232" s="3"/>
    </row>
    <row r="233" spans="2:15">
      <c r="B233" s="2" t="s">
        <v>282</v>
      </c>
      <c r="C233" s="2" t="s">
        <v>12</v>
      </c>
      <c r="D233" s="2" t="s">
        <v>80</v>
      </c>
      <c r="E233" s="2" t="s">
        <v>19</v>
      </c>
      <c r="F233" s="2" t="s">
        <v>24</v>
      </c>
      <c r="G233" s="2" t="s">
        <v>36</v>
      </c>
      <c r="H233" s="2" t="s">
        <v>104</v>
      </c>
      <c r="I233" s="3">
        <v>490</v>
      </c>
      <c r="J233" s="3">
        <v>690</v>
      </c>
      <c r="K233" s="4">
        <v>6</v>
      </c>
      <c r="O233" s="3"/>
    </row>
    <row r="234" spans="2:15">
      <c r="B234" s="2" t="s">
        <v>283</v>
      </c>
      <c r="C234" s="2" t="s">
        <v>12</v>
      </c>
      <c r="D234" s="2" t="s">
        <v>27</v>
      </c>
      <c r="E234" s="2" t="s">
        <v>45</v>
      </c>
      <c r="F234" s="2" t="s">
        <v>15</v>
      </c>
      <c r="G234" s="2" t="s">
        <v>36</v>
      </c>
      <c r="H234" s="2" t="s">
        <v>17</v>
      </c>
      <c r="I234" s="3">
        <v>540</v>
      </c>
      <c r="J234" s="3">
        <v>760</v>
      </c>
      <c r="K234" s="4">
        <v>4</v>
      </c>
      <c r="O234" s="3"/>
    </row>
    <row r="235" spans="2:15">
      <c r="B235" s="2" t="s">
        <v>284</v>
      </c>
      <c r="C235" s="2" t="s">
        <v>12</v>
      </c>
      <c r="D235" s="2" t="s">
        <v>53</v>
      </c>
      <c r="E235" s="2" t="s">
        <v>14</v>
      </c>
      <c r="F235" s="2" t="s">
        <v>15</v>
      </c>
      <c r="G235" s="2" t="s">
        <v>21</v>
      </c>
      <c r="H235" s="2" t="s">
        <v>29</v>
      </c>
      <c r="I235" s="3">
        <v>530</v>
      </c>
      <c r="J235" s="3">
        <v>740</v>
      </c>
      <c r="K235" s="4">
        <v>6</v>
      </c>
      <c r="O235" s="3"/>
    </row>
    <row r="236" spans="2:15">
      <c r="B236" s="2" t="s">
        <v>285</v>
      </c>
      <c r="C236" s="2" t="s">
        <v>12</v>
      </c>
      <c r="D236" s="2" t="s">
        <v>61</v>
      </c>
      <c r="E236" s="2" t="s">
        <v>45</v>
      </c>
      <c r="F236" s="2" t="s">
        <v>28</v>
      </c>
      <c r="G236" s="2" t="s">
        <v>16</v>
      </c>
      <c r="H236" s="2" t="s">
        <v>94</v>
      </c>
      <c r="I236" s="3">
        <v>650</v>
      </c>
      <c r="J236" s="3">
        <v>900</v>
      </c>
      <c r="K236" s="4">
        <v>4</v>
      </c>
      <c r="O236" s="3"/>
    </row>
    <row r="237" spans="2:15">
      <c r="B237" s="2" t="s">
        <v>286</v>
      </c>
      <c r="C237" s="2" t="s">
        <v>12</v>
      </c>
      <c r="D237" s="2" t="s">
        <v>61</v>
      </c>
      <c r="E237" s="2" t="s">
        <v>14</v>
      </c>
      <c r="F237" s="2" t="s">
        <v>28</v>
      </c>
      <c r="G237" s="2" t="s">
        <v>32</v>
      </c>
      <c r="H237" s="2" t="s">
        <v>62</v>
      </c>
      <c r="I237" s="3">
        <v>670</v>
      </c>
      <c r="J237" s="3">
        <v>940</v>
      </c>
      <c r="K237" s="4">
        <v>3</v>
      </c>
      <c r="O237" s="3"/>
    </row>
    <row r="238" spans="2:15">
      <c r="B238" s="2" t="s">
        <v>287</v>
      </c>
      <c r="C238" s="2" t="s">
        <v>12</v>
      </c>
      <c r="D238" s="2" t="s">
        <v>67</v>
      </c>
      <c r="E238" s="2" t="s">
        <v>14</v>
      </c>
      <c r="F238" s="2" t="s">
        <v>15</v>
      </c>
      <c r="G238" s="2" t="s">
        <v>39</v>
      </c>
      <c r="H238" s="2" t="s">
        <v>64</v>
      </c>
      <c r="I238" s="3">
        <v>630</v>
      </c>
      <c r="J238" s="3">
        <v>880</v>
      </c>
      <c r="K238" s="4">
        <v>5</v>
      </c>
      <c r="O238" s="3"/>
    </row>
    <row r="239" spans="2:15">
      <c r="B239" s="2" t="s">
        <v>288</v>
      </c>
      <c r="C239" s="2" t="s">
        <v>12</v>
      </c>
      <c r="D239" s="2" t="s">
        <v>67</v>
      </c>
      <c r="E239" s="2" t="s">
        <v>14</v>
      </c>
      <c r="F239" s="2" t="s">
        <v>28</v>
      </c>
      <c r="G239" s="2" t="s">
        <v>39</v>
      </c>
      <c r="H239" s="2" t="s">
        <v>17</v>
      </c>
      <c r="I239" s="3">
        <v>560</v>
      </c>
      <c r="J239" s="3">
        <v>790</v>
      </c>
      <c r="K239" s="4">
        <v>6</v>
      </c>
      <c r="O239" s="3"/>
    </row>
    <row r="240" spans="2:15">
      <c r="B240" s="2" t="s">
        <v>289</v>
      </c>
      <c r="C240" s="2" t="s">
        <v>12</v>
      </c>
      <c r="D240" s="2" t="s">
        <v>35</v>
      </c>
      <c r="E240" s="2" t="s">
        <v>14</v>
      </c>
      <c r="F240" s="2" t="s">
        <v>28</v>
      </c>
      <c r="G240" s="2" t="s">
        <v>39</v>
      </c>
      <c r="H240" s="2" t="s">
        <v>59</v>
      </c>
      <c r="I240" s="3">
        <v>680</v>
      </c>
      <c r="J240" s="3">
        <v>950</v>
      </c>
      <c r="K240" s="4">
        <v>5</v>
      </c>
      <c r="O240" s="3"/>
    </row>
    <row r="241" spans="2:15">
      <c r="B241" s="2" t="s">
        <v>290</v>
      </c>
      <c r="C241" s="2" t="s">
        <v>12</v>
      </c>
      <c r="D241" s="2" t="s">
        <v>55</v>
      </c>
      <c r="E241" s="2" t="s">
        <v>14</v>
      </c>
      <c r="F241" s="2" t="s">
        <v>15</v>
      </c>
      <c r="G241" s="2" t="s">
        <v>16</v>
      </c>
      <c r="H241" s="2" t="s">
        <v>69</v>
      </c>
      <c r="I241" s="3">
        <v>510</v>
      </c>
      <c r="J241" s="3">
        <v>710</v>
      </c>
      <c r="K241" s="4">
        <v>5</v>
      </c>
      <c r="O241" s="3"/>
    </row>
    <row r="242" spans="2:15">
      <c r="B242" s="2" t="s">
        <v>291</v>
      </c>
      <c r="C242" s="2" t="s">
        <v>12</v>
      </c>
      <c r="D242" s="2" t="s">
        <v>35</v>
      </c>
      <c r="E242" s="2" t="s">
        <v>14</v>
      </c>
      <c r="F242" s="2" t="s">
        <v>24</v>
      </c>
      <c r="G242" s="2" t="s">
        <v>39</v>
      </c>
      <c r="H242" s="2" t="s">
        <v>101</v>
      </c>
      <c r="I242" s="3">
        <v>480</v>
      </c>
      <c r="J242" s="3">
        <v>660</v>
      </c>
      <c r="K242" s="4">
        <v>6</v>
      </c>
      <c r="O242" s="3"/>
    </row>
    <row r="243" spans="2:15">
      <c r="B243" s="2" t="s">
        <v>292</v>
      </c>
      <c r="C243" s="2" t="s">
        <v>12</v>
      </c>
      <c r="D243" s="2" t="s">
        <v>80</v>
      </c>
      <c r="E243" s="2" t="s">
        <v>19</v>
      </c>
      <c r="F243" s="2" t="s">
        <v>28</v>
      </c>
      <c r="G243" s="2" t="s">
        <v>36</v>
      </c>
      <c r="H243" s="2" t="s">
        <v>25</v>
      </c>
      <c r="I243" s="3">
        <v>630</v>
      </c>
      <c r="J243" s="3">
        <v>880</v>
      </c>
      <c r="K243" s="4">
        <v>3</v>
      </c>
      <c r="O243" s="3"/>
    </row>
    <row r="244" spans="2:15">
      <c r="B244" s="2" t="s">
        <v>293</v>
      </c>
      <c r="C244" s="2" t="s">
        <v>12</v>
      </c>
      <c r="D244" s="2" t="s">
        <v>31</v>
      </c>
      <c r="E244" s="2" t="s">
        <v>45</v>
      </c>
      <c r="F244" s="2" t="s">
        <v>24</v>
      </c>
      <c r="G244" s="2" t="s">
        <v>16</v>
      </c>
      <c r="H244" s="2" t="s">
        <v>62</v>
      </c>
      <c r="I244" s="3">
        <v>470</v>
      </c>
      <c r="J244" s="3">
        <v>660</v>
      </c>
      <c r="K244" s="4">
        <v>6</v>
      </c>
      <c r="O244" s="3"/>
    </row>
    <row r="245" spans="2:15">
      <c r="B245" s="2" t="s">
        <v>294</v>
      </c>
      <c r="C245" s="2" t="s">
        <v>12</v>
      </c>
      <c r="D245" s="2" t="s">
        <v>61</v>
      </c>
      <c r="E245" s="2" t="s">
        <v>14</v>
      </c>
      <c r="F245" s="2" t="s">
        <v>15</v>
      </c>
      <c r="G245" s="2" t="s">
        <v>39</v>
      </c>
      <c r="H245" s="2" t="s">
        <v>104</v>
      </c>
      <c r="I245" s="3">
        <v>480</v>
      </c>
      <c r="J245" s="3">
        <v>670</v>
      </c>
      <c r="K245" s="4">
        <v>4</v>
      </c>
      <c r="O245" s="3"/>
    </row>
    <row r="246" spans="2:15">
      <c r="B246" s="2" t="s">
        <v>295</v>
      </c>
      <c r="C246" s="2" t="s">
        <v>12</v>
      </c>
      <c r="D246" s="2" t="s">
        <v>53</v>
      </c>
      <c r="E246" s="2" t="s">
        <v>14</v>
      </c>
      <c r="F246" s="2" t="s">
        <v>20</v>
      </c>
      <c r="G246" s="2" t="s">
        <v>36</v>
      </c>
      <c r="H246" s="2" t="s">
        <v>25</v>
      </c>
      <c r="I246" s="3">
        <v>560</v>
      </c>
      <c r="J246" s="3">
        <v>780</v>
      </c>
      <c r="K246" s="4">
        <v>3</v>
      </c>
      <c r="O246" s="3"/>
    </row>
    <row r="247" spans="2:15">
      <c r="B247" s="2" t="s">
        <v>296</v>
      </c>
      <c r="C247" s="2" t="s">
        <v>12</v>
      </c>
      <c r="D247" s="2" t="s">
        <v>67</v>
      </c>
      <c r="E247" s="2" t="s">
        <v>19</v>
      </c>
      <c r="F247" s="2" t="s">
        <v>24</v>
      </c>
      <c r="G247" s="2" t="s">
        <v>16</v>
      </c>
      <c r="H247" s="2" t="s">
        <v>101</v>
      </c>
      <c r="I247" s="3">
        <v>610</v>
      </c>
      <c r="J247" s="3">
        <v>860</v>
      </c>
      <c r="K247" s="4">
        <v>6</v>
      </c>
      <c r="O247" s="3"/>
    </row>
    <row r="248" spans="2:15">
      <c r="B248" s="2" t="s">
        <v>297</v>
      </c>
      <c r="C248" s="2" t="s">
        <v>12</v>
      </c>
      <c r="D248" s="2" t="s">
        <v>35</v>
      </c>
      <c r="E248" s="2" t="s">
        <v>14</v>
      </c>
      <c r="F248" s="2" t="s">
        <v>28</v>
      </c>
      <c r="G248" s="2" t="s">
        <v>16</v>
      </c>
      <c r="H248" s="2" t="s">
        <v>43</v>
      </c>
      <c r="I248" s="3">
        <v>450</v>
      </c>
      <c r="J248" s="3">
        <v>630</v>
      </c>
      <c r="K248" s="4">
        <v>5</v>
      </c>
      <c r="O248" s="3"/>
    </row>
    <row r="249" spans="2:15">
      <c r="B249" s="2" t="s">
        <v>298</v>
      </c>
      <c r="C249" s="2" t="s">
        <v>12</v>
      </c>
      <c r="D249" s="2" t="s">
        <v>67</v>
      </c>
      <c r="E249" s="2" t="s">
        <v>19</v>
      </c>
      <c r="F249" s="2" t="s">
        <v>20</v>
      </c>
      <c r="G249" s="2" t="s">
        <v>36</v>
      </c>
      <c r="H249" s="2" t="s">
        <v>51</v>
      </c>
      <c r="I249" s="3">
        <v>470</v>
      </c>
      <c r="J249" s="3">
        <v>650</v>
      </c>
      <c r="K249" s="4">
        <v>3</v>
      </c>
      <c r="O249" s="3"/>
    </row>
    <row r="250" spans="2:15">
      <c r="B250" s="2" t="s">
        <v>299</v>
      </c>
      <c r="C250" s="2" t="s">
        <v>12</v>
      </c>
      <c r="D250" s="2" t="s">
        <v>55</v>
      </c>
      <c r="E250" s="2" t="s">
        <v>45</v>
      </c>
      <c r="F250" s="2" t="s">
        <v>15</v>
      </c>
      <c r="G250" s="2" t="s">
        <v>39</v>
      </c>
      <c r="H250" s="2" t="s">
        <v>41</v>
      </c>
      <c r="I250" s="3">
        <v>610</v>
      </c>
      <c r="J250" s="3">
        <v>860</v>
      </c>
      <c r="K250" s="4">
        <v>3</v>
      </c>
      <c r="O250" s="3"/>
    </row>
    <row r="251" spans="2:15">
      <c r="B251" s="2" t="s">
        <v>300</v>
      </c>
      <c r="C251" s="2" t="s">
        <v>12</v>
      </c>
      <c r="D251" s="2" t="s">
        <v>27</v>
      </c>
      <c r="E251" s="2" t="s">
        <v>19</v>
      </c>
      <c r="F251" s="2" t="s">
        <v>20</v>
      </c>
      <c r="G251" s="2" t="s">
        <v>21</v>
      </c>
      <c r="H251" s="2" t="s">
        <v>49</v>
      </c>
      <c r="I251" s="3">
        <v>540</v>
      </c>
      <c r="J251" s="3">
        <v>750</v>
      </c>
      <c r="K251" s="4">
        <v>4</v>
      </c>
      <c r="O251" s="3"/>
    </row>
    <row r="252" spans="2:15">
      <c r="B252" s="2" t="s">
        <v>301</v>
      </c>
      <c r="C252" s="2" t="s">
        <v>12</v>
      </c>
      <c r="D252" s="2" t="s">
        <v>35</v>
      </c>
      <c r="E252" s="2" t="s">
        <v>19</v>
      </c>
      <c r="F252" s="2" t="s">
        <v>15</v>
      </c>
      <c r="G252" s="2" t="s">
        <v>16</v>
      </c>
      <c r="H252" s="2" t="s">
        <v>29</v>
      </c>
      <c r="I252" s="3">
        <v>460</v>
      </c>
      <c r="J252" s="3">
        <v>640</v>
      </c>
      <c r="K252" s="4">
        <v>6</v>
      </c>
      <c r="O252" s="3"/>
    </row>
    <row r="253" spans="2:15">
      <c r="B253" s="2" t="s">
        <v>302</v>
      </c>
      <c r="C253" s="2" t="s">
        <v>12</v>
      </c>
      <c r="D253" s="2" t="s">
        <v>80</v>
      </c>
      <c r="E253" s="2" t="s">
        <v>14</v>
      </c>
      <c r="F253" s="2" t="s">
        <v>20</v>
      </c>
      <c r="G253" s="2" t="s">
        <v>36</v>
      </c>
      <c r="H253" s="2" t="s">
        <v>104</v>
      </c>
      <c r="I253" s="3">
        <v>610</v>
      </c>
      <c r="J253" s="3">
        <v>860</v>
      </c>
      <c r="K253" s="4">
        <v>5</v>
      </c>
      <c r="O253" s="3"/>
    </row>
    <row r="254" spans="2:15">
      <c r="B254" s="2" t="s">
        <v>303</v>
      </c>
      <c r="C254" s="2" t="s">
        <v>12</v>
      </c>
      <c r="D254" s="2" t="s">
        <v>31</v>
      </c>
      <c r="E254" s="2" t="s">
        <v>14</v>
      </c>
      <c r="F254" s="2" t="s">
        <v>20</v>
      </c>
      <c r="G254" s="2" t="s">
        <v>32</v>
      </c>
      <c r="H254" s="2" t="s">
        <v>101</v>
      </c>
      <c r="I254" s="3">
        <v>500</v>
      </c>
      <c r="J254" s="3">
        <v>700</v>
      </c>
      <c r="K254" s="4">
        <v>6</v>
      </c>
      <c r="O254" s="3"/>
    </row>
    <row r="255" spans="2:15">
      <c r="B255" s="2" t="s">
        <v>304</v>
      </c>
      <c r="C255" s="2" t="s">
        <v>12</v>
      </c>
      <c r="D255" s="2" t="s">
        <v>67</v>
      </c>
      <c r="E255" s="2" t="s">
        <v>45</v>
      </c>
      <c r="F255" s="2" t="s">
        <v>15</v>
      </c>
      <c r="G255" s="2" t="s">
        <v>39</v>
      </c>
      <c r="H255" s="2" t="s">
        <v>94</v>
      </c>
      <c r="I255" s="3">
        <v>660</v>
      </c>
      <c r="J255" s="3">
        <v>920</v>
      </c>
      <c r="K255" s="4">
        <v>5</v>
      </c>
      <c r="O255" s="3"/>
    </row>
    <row r="256" spans="2:15">
      <c r="B256" s="2" t="s">
        <v>305</v>
      </c>
      <c r="C256" s="2" t="s">
        <v>12</v>
      </c>
      <c r="D256" s="2" t="s">
        <v>31</v>
      </c>
      <c r="E256" s="2" t="s">
        <v>19</v>
      </c>
      <c r="F256" s="2" t="s">
        <v>15</v>
      </c>
      <c r="G256" s="2" t="s">
        <v>32</v>
      </c>
      <c r="H256" s="2" t="s">
        <v>37</v>
      </c>
      <c r="I256" s="3">
        <v>540</v>
      </c>
      <c r="J256" s="3">
        <v>760</v>
      </c>
      <c r="K256" s="4">
        <v>5</v>
      </c>
      <c r="O256" s="3"/>
    </row>
    <row r="257" spans="2:15">
      <c r="B257" s="2" t="s">
        <v>306</v>
      </c>
      <c r="C257" s="2" t="s">
        <v>12</v>
      </c>
      <c r="D257" s="2" t="s">
        <v>55</v>
      </c>
      <c r="E257" s="2" t="s">
        <v>19</v>
      </c>
      <c r="F257" s="2" t="s">
        <v>28</v>
      </c>
      <c r="G257" s="2" t="s">
        <v>36</v>
      </c>
      <c r="H257" s="2" t="s">
        <v>49</v>
      </c>
      <c r="I257" s="3">
        <v>560</v>
      </c>
      <c r="J257" s="3">
        <v>780</v>
      </c>
      <c r="K257" s="4">
        <v>4</v>
      </c>
      <c r="O257" s="3"/>
    </row>
    <row r="258" spans="2:15">
      <c r="B258" s="2" t="s">
        <v>307</v>
      </c>
      <c r="C258" s="2" t="s">
        <v>12</v>
      </c>
      <c r="D258" s="2" t="s">
        <v>53</v>
      </c>
      <c r="E258" s="2" t="s">
        <v>45</v>
      </c>
      <c r="F258" s="2" t="s">
        <v>15</v>
      </c>
      <c r="G258" s="2" t="s">
        <v>39</v>
      </c>
      <c r="H258" s="2" t="s">
        <v>22</v>
      </c>
      <c r="I258" s="3">
        <v>580</v>
      </c>
      <c r="J258" s="3">
        <v>810</v>
      </c>
      <c r="K258" s="4">
        <v>3</v>
      </c>
      <c r="O258" s="3"/>
    </row>
    <row r="259" spans="2:15">
      <c r="B259" s="2" t="s">
        <v>308</v>
      </c>
      <c r="C259" s="2" t="s">
        <v>12</v>
      </c>
      <c r="D259" s="2" t="s">
        <v>80</v>
      </c>
      <c r="E259" s="2" t="s">
        <v>19</v>
      </c>
      <c r="F259" s="2" t="s">
        <v>15</v>
      </c>
      <c r="G259" s="2" t="s">
        <v>32</v>
      </c>
      <c r="H259" s="2" t="s">
        <v>37</v>
      </c>
      <c r="I259" s="3">
        <v>560</v>
      </c>
      <c r="J259" s="3">
        <v>780</v>
      </c>
      <c r="K259" s="4">
        <v>3</v>
      </c>
      <c r="O259" s="3"/>
    </row>
    <row r="260" spans="2:15">
      <c r="B260" s="2" t="s">
        <v>309</v>
      </c>
      <c r="C260" s="2" t="s">
        <v>12</v>
      </c>
      <c r="D260" s="2" t="s">
        <v>61</v>
      </c>
      <c r="E260" s="2" t="s">
        <v>45</v>
      </c>
      <c r="F260" s="2" t="s">
        <v>28</v>
      </c>
      <c r="G260" s="2" t="s">
        <v>21</v>
      </c>
      <c r="H260" s="2" t="s">
        <v>22</v>
      </c>
      <c r="I260" s="3">
        <v>530</v>
      </c>
      <c r="J260" s="3">
        <v>750</v>
      </c>
      <c r="K260" s="4">
        <v>4</v>
      </c>
      <c r="O260" s="3"/>
    </row>
    <row r="261" spans="2:15">
      <c r="B261" s="2" t="s">
        <v>310</v>
      </c>
      <c r="C261" s="2" t="s">
        <v>12</v>
      </c>
      <c r="D261" s="2" t="s">
        <v>53</v>
      </c>
      <c r="E261" s="2" t="s">
        <v>45</v>
      </c>
      <c r="F261" s="2" t="s">
        <v>28</v>
      </c>
      <c r="G261" s="2" t="s">
        <v>39</v>
      </c>
      <c r="H261" s="2" t="s">
        <v>41</v>
      </c>
      <c r="I261" s="3">
        <v>630</v>
      </c>
      <c r="J261" s="3">
        <v>880</v>
      </c>
      <c r="K261" s="4">
        <v>6</v>
      </c>
      <c r="O261" s="3"/>
    </row>
    <row r="262" spans="2:15">
      <c r="B262" s="2" t="s">
        <v>311</v>
      </c>
      <c r="C262" s="2" t="s">
        <v>12</v>
      </c>
      <c r="D262" s="2" t="s">
        <v>31</v>
      </c>
      <c r="E262" s="2" t="s">
        <v>14</v>
      </c>
      <c r="F262" s="2" t="s">
        <v>28</v>
      </c>
      <c r="G262" s="2" t="s">
        <v>32</v>
      </c>
      <c r="H262" s="2" t="s">
        <v>75</v>
      </c>
      <c r="I262" s="3">
        <v>520</v>
      </c>
      <c r="J262" s="3">
        <v>730</v>
      </c>
      <c r="K262" s="4">
        <v>4</v>
      </c>
      <c r="O262" s="3"/>
    </row>
    <row r="263" spans="2:15">
      <c r="B263" s="2" t="s">
        <v>312</v>
      </c>
      <c r="C263" s="2" t="s">
        <v>12</v>
      </c>
      <c r="D263" s="2" t="s">
        <v>80</v>
      </c>
      <c r="E263" s="2" t="s">
        <v>19</v>
      </c>
      <c r="F263" s="2" t="s">
        <v>28</v>
      </c>
      <c r="G263" s="2" t="s">
        <v>39</v>
      </c>
      <c r="H263" s="2" t="s">
        <v>57</v>
      </c>
      <c r="I263" s="3">
        <v>460</v>
      </c>
      <c r="J263" s="3">
        <v>640</v>
      </c>
      <c r="K263" s="4">
        <v>3</v>
      </c>
      <c r="O263" s="3"/>
    </row>
    <row r="264" spans="2:15">
      <c r="B264" s="2" t="s">
        <v>313</v>
      </c>
      <c r="C264" s="2" t="s">
        <v>12</v>
      </c>
      <c r="D264" s="2" t="s">
        <v>35</v>
      </c>
      <c r="E264" s="2" t="s">
        <v>45</v>
      </c>
      <c r="F264" s="2" t="s">
        <v>28</v>
      </c>
      <c r="G264" s="2" t="s">
        <v>21</v>
      </c>
      <c r="H264" s="2" t="s">
        <v>104</v>
      </c>
      <c r="I264" s="3">
        <v>510</v>
      </c>
      <c r="J264" s="3">
        <v>710</v>
      </c>
      <c r="K264" s="4">
        <v>4</v>
      </c>
      <c r="O264" s="3"/>
    </row>
    <row r="265" spans="2:15">
      <c r="B265" s="2" t="s">
        <v>314</v>
      </c>
      <c r="C265" s="2" t="s">
        <v>12</v>
      </c>
      <c r="D265" s="2" t="s">
        <v>53</v>
      </c>
      <c r="E265" s="2" t="s">
        <v>45</v>
      </c>
      <c r="F265" s="2" t="s">
        <v>15</v>
      </c>
      <c r="G265" s="2" t="s">
        <v>36</v>
      </c>
      <c r="H265" s="2" t="s">
        <v>43</v>
      </c>
      <c r="I265" s="3">
        <v>620</v>
      </c>
      <c r="J265" s="3">
        <v>870</v>
      </c>
      <c r="K265" s="4">
        <v>4</v>
      </c>
      <c r="O265" s="3"/>
    </row>
    <row r="266" spans="2:15">
      <c r="B266" s="2" t="s">
        <v>315</v>
      </c>
      <c r="C266" s="2" t="s">
        <v>12</v>
      </c>
      <c r="D266" s="2" t="s">
        <v>35</v>
      </c>
      <c r="E266" s="2" t="s">
        <v>45</v>
      </c>
      <c r="F266" s="2" t="s">
        <v>15</v>
      </c>
      <c r="G266" s="2" t="s">
        <v>32</v>
      </c>
      <c r="H266" s="2" t="s">
        <v>17</v>
      </c>
      <c r="I266" s="3">
        <v>580</v>
      </c>
      <c r="J266" s="3">
        <v>820</v>
      </c>
      <c r="K266" s="4">
        <v>3</v>
      </c>
      <c r="O266" s="3"/>
    </row>
    <row r="267" spans="2:15">
      <c r="B267" s="2" t="s">
        <v>316</v>
      </c>
      <c r="C267" s="2" t="s">
        <v>12</v>
      </c>
      <c r="D267" s="2" t="s">
        <v>80</v>
      </c>
      <c r="E267" s="2" t="s">
        <v>45</v>
      </c>
      <c r="F267" s="2" t="s">
        <v>28</v>
      </c>
      <c r="G267" s="2" t="s">
        <v>21</v>
      </c>
      <c r="H267" s="2" t="s">
        <v>37</v>
      </c>
      <c r="I267" s="3">
        <v>460</v>
      </c>
      <c r="J267" s="3">
        <v>640</v>
      </c>
      <c r="K267" s="4">
        <v>5</v>
      </c>
      <c r="O267" s="3"/>
    </row>
    <row r="268" spans="2:15">
      <c r="B268" s="2" t="s">
        <v>317</v>
      </c>
      <c r="C268" s="2" t="s">
        <v>12</v>
      </c>
      <c r="D268" s="2" t="s">
        <v>61</v>
      </c>
      <c r="E268" s="2" t="s">
        <v>19</v>
      </c>
      <c r="F268" s="2" t="s">
        <v>28</v>
      </c>
      <c r="G268" s="2" t="s">
        <v>16</v>
      </c>
      <c r="H268" s="2" t="s">
        <v>25</v>
      </c>
      <c r="I268" s="3">
        <v>650</v>
      </c>
      <c r="J268" s="3">
        <v>910</v>
      </c>
      <c r="K268" s="4">
        <v>5</v>
      </c>
      <c r="O268" s="3"/>
    </row>
    <row r="269" spans="2:15">
      <c r="B269" s="2" t="s">
        <v>318</v>
      </c>
      <c r="C269" s="2" t="s">
        <v>12</v>
      </c>
      <c r="D269" s="2" t="s">
        <v>53</v>
      </c>
      <c r="E269" s="2" t="s">
        <v>14</v>
      </c>
      <c r="F269" s="2" t="s">
        <v>20</v>
      </c>
      <c r="G269" s="2" t="s">
        <v>16</v>
      </c>
      <c r="H269" s="2" t="s">
        <v>43</v>
      </c>
      <c r="I269" s="3">
        <v>630</v>
      </c>
      <c r="J269" s="3">
        <v>880</v>
      </c>
      <c r="K269" s="4">
        <v>6</v>
      </c>
      <c r="O269" s="3"/>
    </row>
    <row r="270" spans="2:15">
      <c r="B270" s="2" t="s">
        <v>319</v>
      </c>
      <c r="C270" s="2" t="s">
        <v>12</v>
      </c>
      <c r="D270" s="2" t="s">
        <v>53</v>
      </c>
      <c r="E270" s="2" t="s">
        <v>14</v>
      </c>
      <c r="F270" s="2" t="s">
        <v>15</v>
      </c>
      <c r="G270" s="2" t="s">
        <v>32</v>
      </c>
      <c r="H270" s="2" t="s">
        <v>43</v>
      </c>
      <c r="I270" s="3">
        <v>490</v>
      </c>
      <c r="J270" s="3">
        <v>690</v>
      </c>
      <c r="K270" s="4">
        <v>5</v>
      </c>
      <c r="O270" s="3"/>
    </row>
    <row r="271" spans="2:15">
      <c r="B271" s="2" t="s">
        <v>320</v>
      </c>
      <c r="C271" s="2" t="s">
        <v>12</v>
      </c>
      <c r="D271" s="2" t="s">
        <v>61</v>
      </c>
      <c r="E271" s="2" t="s">
        <v>14</v>
      </c>
      <c r="F271" s="2" t="s">
        <v>24</v>
      </c>
      <c r="G271" s="2" t="s">
        <v>32</v>
      </c>
      <c r="H271" s="2" t="s">
        <v>75</v>
      </c>
      <c r="I271" s="3">
        <v>680</v>
      </c>
      <c r="J271" s="3">
        <v>950</v>
      </c>
      <c r="K271" s="4">
        <v>4</v>
      </c>
      <c r="O271" s="3"/>
    </row>
    <row r="272" spans="2:15">
      <c r="B272" s="2" t="s">
        <v>321</v>
      </c>
      <c r="C272" s="2" t="s">
        <v>12</v>
      </c>
      <c r="D272" s="2" t="s">
        <v>27</v>
      </c>
      <c r="E272" s="2" t="s">
        <v>14</v>
      </c>
      <c r="F272" s="2" t="s">
        <v>24</v>
      </c>
      <c r="G272" s="2" t="s">
        <v>36</v>
      </c>
      <c r="H272" s="2" t="s">
        <v>69</v>
      </c>
      <c r="I272" s="3">
        <v>480</v>
      </c>
      <c r="J272" s="3">
        <v>670</v>
      </c>
      <c r="K272" s="4">
        <v>5</v>
      </c>
      <c r="O272" s="3"/>
    </row>
    <row r="273" spans="2:15">
      <c r="B273" s="2" t="s">
        <v>322</v>
      </c>
      <c r="C273" s="2" t="s">
        <v>12</v>
      </c>
      <c r="D273" s="2" t="s">
        <v>35</v>
      </c>
      <c r="E273" s="2" t="s">
        <v>45</v>
      </c>
      <c r="F273" s="2" t="s">
        <v>24</v>
      </c>
      <c r="G273" s="2" t="s">
        <v>21</v>
      </c>
      <c r="H273" s="2" t="s">
        <v>43</v>
      </c>
      <c r="I273" s="3">
        <v>590</v>
      </c>
      <c r="J273" s="3">
        <v>830</v>
      </c>
      <c r="K273" s="4">
        <v>3</v>
      </c>
      <c r="O273" s="3"/>
    </row>
    <row r="274" spans="2:15">
      <c r="B274" s="2" t="s">
        <v>323</v>
      </c>
      <c r="C274" s="2" t="s">
        <v>12</v>
      </c>
      <c r="D274" s="2" t="s">
        <v>55</v>
      </c>
      <c r="E274" s="2" t="s">
        <v>19</v>
      </c>
      <c r="F274" s="2" t="s">
        <v>28</v>
      </c>
      <c r="G274" s="2" t="s">
        <v>21</v>
      </c>
      <c r="H274" s="2" t="s">
        <v>22</v>
      </c>
      <c r="I274" s="3">
        <v>530</v>
      </c>
      <c r="J274" s="3">
        <v>740</v>
      </c>
      <c r="K274" s="4">
        <v>6</v>
      </c>
      <c r="O274" s="3"/>
    </row>
    <row r="275" spans="2:15">
      <c r="B275" s="2" t="s">
        <v>324</v>
      </c>
      <c r="C275" s="2" t="s">
        <v>12</v>
      </c>
      <c r="D275" s="2" t="s">
        <v>13</v>
      </c>
      <c r="E275" s="2" t="s">
        <v>14</v>
      </c>
      <c r="F275" s="2" t="s">
        <v>15</v>
      </c>
      <c r="G275" s="2" t="s">
        <v>39</v>
      </c>
      <c r="H275" s="2" t="s">
        <v>29</v>
      </c>
      <c r="I275" s="3">
        <v>660</v>
      </c>
      <c r="J275" s="3">
        <v>920</v>
      </c>
      <c r="K275" s="4">
        <v>6</v>
      </c>
      <c r="O275" s="3"/>
    </row>
    <row r="276" spans="2:15">
      <c r="B276" s="2" t="s">
        <v>325</v>
      </c>
      <c r="C276" s="2" t="s">
        <v>12</v>
      </c>
      <c r="D276" s="2" t="s">
        <v>67</v>
      </c>
      <c r="E276" s="2" t="s">
        <v>45</v>
      </c>
      <c r="F276" s="2" t="s">
        <v>24</v>
      </c>
      <c r="G276" s="2" t="s">
        <v>21</v>
      </c>
      <c r="H276" s="2" t="s">
        <v>71</v>
      </c>
      <c r="I276" s="3">
        <v>620</v>
      </c>
      <c r="J276" s="3">
        <v>870</v>
      </c>
      <c r="K276" s="4">
        <v>4</v>
      </c>
      <c r="O276" s="3"/>
    </row>
    <row r="277" spans="2:15">
      <c r="B277" s="2" t="s">
        <v>326</v>
      </c>
      <c r="C277" s="2" t="s">
        <v>12</v>
      </c>
      <c r="D277" s="2" t="s">
        <v>80</v>
      </c>
      <c r="E277" s="2" t="s">
        <v>45</v>
      </c>
      <c r="F277" s="2" t="s">
        <v>20</v>
      </c>
      <c r="G277" s="2" t="s">
        <v>39</v>
      </c>
      <c r="H277" s="2" t="s">
        <v>75</v>
      </c>
      <c r="I277" s="3">
        <v>650</v>
      </c>
      <c r="J277" s="3">
        <v>900</v>
      </c>
      <c r="K277" s="4">
        <v>4</v>
      </c>
      <c r="O277" s="3"/>
    </row>
    <row r="278" spans="2:15">
      <c r="B278" s="2" t="s">
        <v>327</v>
      </c>
      <c r="C278" s="2" t="s">
        <v>12</v>
      </c>
      <c r="D278" s="2" t="s">
        <v>80</v>
      </c>
      <c r="E278" s="2" t="s">
        <v>14</v>
      </c>
      <c r="F278" s="2" t="s">
        <v>15</v>
      </c>
      <c r="G278" s="2" t="s">
        <v>16</v>
      </c>
      <c r="H278" s="2" t="s">
        <v>41</v>
      </c>
      <c r="I278" s="3">
        <v>530</v>
      </c>
      <c r="J278" s="3">
        <v>740</v>
      </c>
      <c r="K278" s="4">
        <v>5</v>
      </c>
      <c r="O278" s="3"/>
    </row>
    <row r="279" spans="2:15">
      <c r="B279" s="2" t="s">
        <v>328</v>
      </c>
      <c r="C279" s="2" t="s">
        <v>12</v>
      </c>
      <c r="D279" s="2" t="s">
        <v>13</v>
      </c>
      <c r="E279" s="2" t="s">
        <v>45</v>
      </c>
      <c r="F279" s="2" t="s">
        <v>24</v>
      </c>
      <c r="G279" s="2" t="s">
        <v>21</v>
      </c>
      <c r="H279" s="2" t="s">
        <v>33</v>
      </c>
      <c r="I279" s="3">
        <v>670</v>
      </c>
      <c r="J279" s="3">
        <v>930</v>
      </c>
      <c r="K279" s="4">
        <v>4</v>
      </c>
      <c r="O279" s="3"/>
    </row>
    <row r="280" spans="2:15">
      <c r="B280" s="2" t="s">
        <v>329</v>
      </c>
      <c r="C280" s="2" t="s">
        <v>12</v>
      </c>
      <c r="D280" s="2" t="s">
        <v>61</v>
      </c>
      <c r="E280" s="2" t="s">
        <v>19</v>
      </c>
      <c r="F280" s="2" t="s">
        <v>20</v>
      </c>
      <c r="G280" s="2" t="s">
        <v>21</v>
      </c>
      <c r="H280" s="2" t="s">
        <v>64</v>
      </c>
      <c r="I280" s="3">
        <v>610</v>
      </c>
      <c r="J280" s="3">
        <v>850</v>
      </c>
      <c r="K280" s="4">
        <v>4</v>
      </c>
      <c r="O280" s="3"/>
    </row>
    <row r="281" spans="2:15">
      <c r="B281" s="2" t="s">
        <v>330</v>
      </c>
      <c r="C281" s="2" t="s">
        <v>12</v>
      </c>
      <c r="D281" s="2" t="s">
        <v>35</v>
      </c>
      <c r="E281" s="2" t="s">
        <v>19</v>
      </c>
      <c r="F281" s="2" t="s">
        <v>20</v>
      </c>
      <c r="G281" s="2" t="s">
        <v>39</v>
      </c>
      <c r="H281" s="2" t="s">
        <v>43</v>
      </c>
      <c r="I281" s="3">
        <v>490</v>
      </c>
      <c r="J281" s="3">
        <v>690</v>
      </c>
      <c r="K281" s="4">
        <v>3</v>
      </c>
      <c r="O281" s="3"/>
    </row>
    <row r="282" spans="2:15">
      <c r="B282" s="2" t="s">
        <v>331</v>
      </c>
      <c r="C282" s="2" t="s">
        <v>12</v>
      </c>
      <c r="D282" s="2" t="s">
        <v>61</v>
      </c>
      <c r="E282" s="2" t="s">
        <v>19</v>
      </c>
      <c r="F282" s="2" t="s">
        <v>24</v>
      </c>
      <c r="G282" s="2" t="s">
        <v>21</v>
      </c>
      <c r="H282" s="2" t="s">
        <v>22</v>
      </c>
      <c r="I282" s="3">
        <v>610</v>
      </c>
      <c r="J282" s="3">
        <v>860</v>
      </c>
      <c r="K282" s="4">
        <v>3</v>
      </c>
      <c r="O282" s="3"/>
    </row>
    <row r="283" spans="2:15">
      <c r="B283" s="2" t="s">
        <v>332</v>
      </c>
      <c r="C283" s="2" t="s">
        <v>12</v>
      </c>
      <c r="D283" s="2" t="s">
        <v>67</v>
      </c>
      <c r="E283" s="2" t="s">
        <v>45</v>
      </c>
      <c r="F283" s="2" t="s">
        <v>15</v>
      </c>
      <c r="G283" s="2" t="s">
        <v>36</v>
      </c>
      <c r="H283" s="2" t="s">
        <v>17</v>
      </c>
      <c r="I283" s="3">
        <v>580</v>
      </c>
      <c r="J283" s="3">
        <v>810</v>
      </c>
      <c r="K283" s="4">
        <v>6</v>
      </c>
      <c r="O283" s="3"/>
    </row>
    <row r="284" spans="2:15">
      <c r="B284" s="2" t="s">
        <v>333</v>
      </c>
      <c r="C284" s="2" t="s">
        <v>12</v>
      </c>
      <c r="D284" s="2" t="s">
        <v>53</v>
      </c>
      <c r="E284" s="2" t="s">
        <v>14</v>
      </c>
      <c r="F284" s="2" t="s">
        <v>20</v>
      </c>
      <c r="G284" s="2" t="s">
        <v>16</v>
      </c>
      <c r="H284" s="2" t="s">
        <v>29</v>
      </c>
      <c r="I284" s="3">
        <v>530</v>
      </c>
      <c r="J284" s="3">
        <v>740</v>
      </c>
      <c r="K284" s="4">
        <v>6</v>
      </c>
      <c r="O284" s="3"/>
    </row>
    <row r="285" spans="2:15">
      <c r="B285" s="2" t="s">
        <v>334</v>
      </c>
      <c r="C285" s="2" t="s">
        <v>12</v>
      </c>
      <c r="D285" s="2" t="s">
        <v>53</v>
      </c>
      <c r="E285" s="2" t="s">
        <v>14</v>
      </c>
      <c r="F285" s="2" t="s">
        <v>15</v>
      </c>
      <c r="G285" s="2" t="s">
        <v>21</v>
      </c>
      <c r="H285" s="2" t="s">
        <v>57</v>
      </c>
      <c r="I285" s="3">
        <v>570</v>
      </c>
      <c r="J285" s="3">
        <v>800</v>
      </c>
      <c r="K285" s="4">
        <v>5</v>
      </c>
      <c r="O285" s="3"/>
    </row>
    <row r="286" spans="2:15">
      <c r="B286" s="2" t="s">
        <v>335</v>
      </c>
      <c r="C286" s="2" t="s">
        <v>12</v>
      </c>
      <c r="D286" s="2" t="s">
        <v>35</v>
      </c>
      <c r="E286" s="2" t="s">
        <v>19</v>
      </c>
      <c r="F286" s="2" t="s">
        <v>15</v>
      </c>
      <c r="G286" s="2" t="s">
        <v>36</v>
      </c>
      <c r="H286" s="2" t="s">
        <v>57</v>
      </c>
      <c r="I286" s="3">
        <v>670</v>
      </c>
      <c r="J286" s="3">
        <v>940</v>
      </c>
      <c r="K286" s="4">
        <v>5</v>
      </c>
      <c r="O286" s="3"/>
    </row>
    <row r="287" spans="2:15">
      <c r="B287" s="2" t="s">
        <v>336</v>
      </c>
      <c r="C287" s="2" t="s">
        <v>12</v>
      </c>
      <c r="D287" s="2" t="s">
        <v>67</v>
      </c>
      <c r="E287" s="2" t="s">
        <v>14</v>
      </c>
      <c r="F287" s="2" t="s">
        <v>15</v>
      </c>
      <c r="G287" s="2" t="s">
        <v>16</v>
      </c>
      <c r="H287" s="2" t="s">
        <v>29</v>
      </c>
      <c r="I287" s="3">
        <v>580</v>
      </c>
      <c r="J287" s="3">
        <v>810</v>
      </c>
      <c r="K287" s="4">
        <v>3</v>
      </c>
      <c r="O287" s="3"/>
    </row>
    <row r="288" spans="2:15">
      <c r="B288" s="2" t="s">
        <v>337</v>
      </c>
      <c r="C288" s="2" t="s">
        <v>12</v>
      </c>
      <c r="D288" s="2" t="s">
        <v>53</v>
      </c>
      <c r="E288" s="2" t="s">
        <v>14</v>
      </c>
      <c r="F288" s="2" t="s">
        <v>24</v>
      </c>
      <c r="G288" s="2" t="s">
        <v>39</v>
      </c>
      <c r="H288" s="2" t="s">
        <v>104</v>
      </c>
      <c r="I288" s="3">
        <v>520</v>
      </c>
      <c r="J288" s="3">
        <v>720</v>
      </c>
      <c r="K288" s="4">
        <v>5</v>
      </c>
      <c r="O288" s="3"/>
    </row>
    <row r="289" spans="2:15">
      <c r="B289" s="2" t="s">
        <v>338</v>
      </c>
      <c r="C289" s="2" t="s">
        <v>12</v>
      </c>
      <c r="D289" s="2" t="s">
        <v>55</v>
      </c>
      <c r="E289" s="2" t="s">
        <v>14</v>
      </c>
      <c r="F289" s="2" t="s">
        <v>24</v>
      </c>
      <c r="G289" s="2" t="s">
        <v>32</v>
      </c>
      <c r="H289" s="2" t="s">
        <v>71</v>
      </c>
      <c r="I289" s="3">
        <v>550</v>
      </c>
      <c r="J289" s="3">
        <v>770</v>
      </c>
      <c r="K289" s="4">
        <v>5</v>
      </c>
      <c r="O289" s="3"/>
    </row>
    <row r="290" spans="2:15">
      <c r="B290" s="2" t="s">
        <v>339</v>
      </c>
      <c r="C290" s="2" t="s">
        <v>12</v>
      </c>
      <c r="D290" s="2" t="s">
        <v>80</v>
      </c>
      <c r="E290" s="2" t="s">
        <v>45</v>
      </c>
      <c r="F290" s="2" t="s">
        <v>28</v>
      </c>
      <c r="G290" s="2" t="s">
        <v>36</v>
      </c>
      <c r="H290" s="2" t="s">
        <v>101</v>
      </c>
      <c r="I290" s="3">
        <v>500</v>
      </c>
      <c r="J290" s="3">
        <v>700</v>
      </c>
      <c r="K290" s="4">
        <v>6</v>
      </c>
      <c r="O290" s="3"/>
    </row>
    <row r="291" spans="2:15">
      <c r="B291" s="2" t="s">
        <v>340</v>
      </c>
      <c r="C291" s="2" t="s">
        <v>12</v>
      </c>
      <c r="D291" s="2" t="s">
        <v>13</v>
      </c>
      <c r="E291" s="2" t="s">
        <v>45</v>
      </c>
      <c r="F291" s="2" t="s">
        <v>28</v>
      </c>
      <c r="G291" s="2" t="s">
        <v>16</v>
      </c>
      <c r="H291" s="2" t="s">
        <v>94</v>
      </c>
      <c r="I291" s="3">
        <v>460</v>
      </c>
      <c r="J291" s="3">
        <v>640</v>
      </c>
      <c r="K291" s="4">
        <v>5</v>
      </c>
      <c r="O291" s="3"/>
    </row>
    <row r="292" spans="2:15">
      <c r="B292" s="2" t="s">
        <v>341</v>
      </c>
      <c r="C292" s="2" t="s">
        <v>12</v>
      </c>
      <c r="D292" s="2" t="s">
        <v>31</v>
      </c>
      <c r="E292" s="2" t="s">
        <v>45</v>
      </c>
      <c r="F292" s="2" t="s">
        <v>28</v>
      </c>
      <c r="G292" s="2" t="s">
        <v>21</v>
      </c>
      <c r="H292" s="2" t="s">
        <v>51</v>
      </c>
      <c r="I292" s="3">
        <v>460</v>
      </c>
      <c r="J292" s="3">
        <v>650</v>
      </c>
      <c r="K292" s="4">
        <v>5</v>
      </c>
      <c r="O292" s="3"/>
    </row>
    <row r="293" spans="2:15">
      <c r="B293" s="2" t="s">
        <v>342</v>
      </c>
      <c r="C293" s="2" t="s">
        <v>12</v>
      </c>
      <c r="D293" s="2" t="s">
        <v>31</v>
      </c>
      <c r="E293" s="2" t="s">
        <v>14</v>
      </c>
      <c r="F293" s="2" t="s">
        <v>28</v>
      </c>
      <c r="G293" s="2" t="s">
        <v>16</v>
      </c>
      <c r="H293" s="2" t="s">
        <v>33</v>
      </c>
      <c r="I293" s="3">
        <v>590</v>
      </c>
      <c r="J293" s="3">
        <v>820</v>
      </c>
      <c r="K293" s="4">
        <v>5</v>
      </c>
      <c r="O293" s="3"/>
    </row>
    <row r="294" spans="2:15">
      <c r="B294" s="2" t="s">
        <v>343</v>
      </c>
      <c r="C294" s="2" t="s">
        <v>12</v>
      </c>
      <c r="D294" s="2" t="s">
        <v>55</v>
      </c>
      <c r="E294" s="2" t="s">
        <v>45</v>
      </c>
      <c r="F294" s="2" t="s">
        <v>20</v>
      </c>
      <c r="G294" s="2" t="s">
        <v>36</v>
      </c>
      <c r="H294" s="2" t="s">
        <v>104</v>
      </c>
      <c r="I294" s="3">
        <v>640</v>
      </c>
      <c r="J294" s="3">
        <v>900</v>
      </c>
      <c r="K294" s="4">
        <v>4</v>
      </c>
      <c r="O294" s="3"/>
    </row>
    <row r="295" spans="2:15">
      <c r="B295" s="2" t="s">
        <v>344</v>
      </c>
      <c r="C295" s="2" t="s">
        <v>12</v>
      </c>
      <c r="D295" s="2" t="s">
        <v>67</v>
      </c>
      <c r="E295" s="2" t="s">
        <v>45</v>
      </c>
      <c r="F295" s="2" t="s">
        <v>20</v>
      </c>
      <c r="G295" s="2" t="s">
        <v>36</v>
      </c>
      <c r="H295" s="2" t="s">
        <v>75</v>
      </c>
      <c r="I295" s="3">
        <v>540</v>
      </c>
      <c r="J295" s="3">
        <v>760</v>
      </c>
      <c r="K295" s="4">
        <v>6</v>
      </c>
      <c r="O295" s="3"/>
    </row>
    <row r="296" spans="2:15">
      <c r="B296" s="2" t="s">
        <v>345</v>
      </c>
      <c r="C296" s="2" t="s">
        <v>12</v>
      </c>
      <c r="D296" s="2" t="s">
        <v>67</v>
      </c>
      <c r="E296" s="2" t="s">
        <v>45</v>
      </c>
      <c r="F296" s="2" t="s">
        <v>20</v>
      </c>
      <c r="G296" s="2" t="s">
        <v>16</v>
      </c>
      <c r="H296" s="2" t="s">
        <v>37</v>
      </c>
      <c r="I296" s="3">
        <v>640</v>
      </c>
      <c r="J296" s="3">
        <v>900</v>
      </c>
      <c r="K296" s="4">
        <v>6</v>
      </c>
      <c r="O296" s="3"/>
    </row>
    <row r="297" spans="2:15">
      <c r="B297" s="2" t="s">
        <v>346</v>
      </c>
      <c r="C297" s="2" t="s">
        <v>12</v>
      </c>
      <c r="D297" s="2" t="s">
        <v>35</v>
      </c>
      <c r="E297" s="2" t="s">
        <v>19</v>
      </c>
      <c r="F297" s="2" t="s">
        <v>15</v>
      </c>
      <c r="G297" s="2" t="s">
        <v>16</v>
      </c>
      <c r="H297" s="2" t="s">
        <v>94</v>
      </c>
      <c r="I297" s="3">
        <v>540</v>
      </c>
      <c r="J297" s="3">
        <v>760</v>
      </c>
      <c r="K297" s="4">
        <v>6</v>
      </c>
      <c r="O297" s="3"/>
    </row>
    <row r="298" spans="2:15">
      <c r="B298" s="2" t="s">
        <v>347</v>
      </c>
      <c r="C298" s="2" t="s">
        <v>12</v>
      </c>
      <c r="D298" s="2" t="s">
        <v>31</v>
      </c>
      <c r="E298" s="2" t="s">
        <v>14</v>
      </c>
      <c r="F298" s="2" t="s">
        <v>20</v>
      </c>
      <c r="G298" s="2" t="s">
        <v>16</v>
      </c>
      <c r="H298" s="2" t="s">
        <v>49</v>
      </c>
      <c r="I298" s="3">
        <v>580</v>
      </c>
      <c r="J298" s="3">
        <v>810</v>
      </c>
      <c r="K298" s="4">
        <v>6</v>
      </c>
      <c r="O298" s="3"/>
    </row>
    <row r="299" spans="2:15">
      <c r="B299" s="2" t="s">
        <v>348</v>
      </c>
      <c r="C299" s="2" t="s">
        <v>12</v>
      </c>
      <c r="D299" s="2" t="s">
        <v>53</v>
      </c>
      <c r="E299" s="2" t="s">
        <v>14</v>
      </c>
      <c r="F299" s="2" t="s">
        <v>24</v>
      </c>
      <c r="G299" s="2" t="s">
        <v>32</v>
      </c>
      <c r="H299" s="2" t="s">
        <v>25</v>
      </c>
      <c r="I299" s="3">
        <v>580</v>
      </c>
      <c r="J299" s="3">
        <v>810</v>
      </c>
      <c r="K299" s="4">
        <v>5</v>
      </c>
      <c r="O299" s="3"/>
    </row>
    <row r="300" spans="2:15">
      <c r="B300" s="2" t="s">
        <v>349</v>
      </c>
      <c r="C300" s="2" t="s">
        <v>12</v>
      </c>
      <c r="D300" s="2" t="s">
        <v>55</v>
      </c>
      <c r="E300" s="2" t="s">
        <v>19</v>
      </c>
      <c r="F300" s="2" t="s">
        <v>15</v>
      </c>
      <c r="G300" s="2" t="s">
        <v>21</v>
      </c>
      <c r="H300" s="2" t="s">
        <v>49</v>
      </c>
      <c r="I300" s="3">
        <v>490</v>
      </c>
      <c r="J300" s="3">
        <v>690</v>
      </c>
      <c r="K300" s="4">
        <v>6</v>
      </c>
      <c r="O300" s="3"/>
    </row>
    <row r="301" spans="2:15">
      <c r="B301" s="2" t="s">
        <v>350</v>
      </c>
      <c r="C301" s="2" t="s">
        <v>12</v>
      </c>
      <c r="D301" s="2" t="s">
        <v>61</v>
      </c>
      <c r="E301" s="2" t="s">
        <v>45</v>
      </c>
      <c r="F301" s="2" t="s">
        <v>20</v>
      </c>
      <c r="G301" s="2" t="s">
        <v>32</v>
      </c>
      <c r="H301" s="2" t="s">
        <v>49</v>
      </c>
      <c r="I301" s="3">
        <v>630</v>
      </c>
      <c r="J301" s="3">
        <v>880</v>
      </c>
      <c r="K301" s="4">
        <v>3</v>
      </c>
      <c r="O301" s="3"/>
    </row>
    <row r="302" spans="2:15">
      <c r="B302" s="2" t="s">
        <v>351</v>
      </c>
      <c r="C302" s="2" t="s">
        <v>12</v>
      </c>
      <c r="D302" s="2" t="s">
        <v>61</v>
      </c>
      <c r="E302" s="2" t="s">
        <v>19</v>
      </c>
      <c r="F302" s="2" t="s">
        <v>20</v>
      </c>
      <c r="G302" s="2" t="s">
        <v>21</v>
      </c>
      <c r="H302" s="2" t="s">
        <v>51</v>
      </c>
      <c r="I302" s="3">
        <v>560</v>
      </c>
      <c r="J302" s="3">
        <v>780</v>
      </c>
      <c r="K302" s="4">
        <v>5</v>
      </c>
      <c r="O302" s="3"/>
    </row>
    <row r="303" spans="2:15">
      <c r="B303" s="2" t="s">
        <v>352</v>
      </c>
      <c r="C303" s="2" t="s">
        <v>12</v>
      </c>
      <c r="D303" s="2" t="s">
        <v>27</v>
      </c>
      <c r="E303" s="2" t="s">
        <v>19</v>
      </c>
      <c r="F303" s="2" t="s">
        <v>20</v>
      </c>
      <c r="G303" s="2" t="s">
        <v>21</v>
      </c>
      <c r="H303" s="2" t="s">
        <v>51</v>
      </c>
      <c r="I303" s="3">
        <v>620</v>
      </c>
      <c r="J303" s="3">
        <v>860</v>
      </c>
      <c r="K303" s="4">
        <v>4</v>
      </c>
      <c r="O303" s="3"/>
    </row>
    <row r="304" spans="2:15">
      <c r="B304" s="2" t="s">
        <v>353</v>
      </c>
      <c r="C304" s="2" t="s">
        <v>12</v>
      </c>
      <c r="D304" s="2" t="s">
        <v>55</v>
      </c>
      <c r="E304" s="2" t="s">
        <v>14</v>
      </c>
      <c r="F304" s="2" t="s">
        <v>24</v>
      </c>
      <c r="G304" s="2" t="s">
        <v>39</v>
      </c>
      <c r="H304" s="2" t="s">
        <v>71</v>
      </c>
      <c r="I304" s="3">
        <v>580</v>
      </c>
      <c r="J304" s="3">
        <v>820</v>
      </c>
      <c r="K304" s="4">
        <v>3</v>
      </c>
      <c r="O304" s="3"/>
    </row>
    <row r="305" spans="2:15">
      <c r="B305" s="2" t="s">
        <v>354</v>
      </c>
      <c r="C305" s="2" t="s">
        <v>12</v>
      </c>
      <c r="D305" s="2" t="s">
        <v>31</v>
      </c>
      <c r="E305" s="2" t="s">
        <v>45</v>
      </c>
      <c r="F305" s="2" t="s">
        <v>15</v>
      </c>
      <c r="G305" s="2" t="s">
        <v>36</v>
      </c>
      <c r="H305" s="2" t="s">
        <v>57</v>
      </c>
      <c r="I305" s="3">
        <v>500</v>
      </c>
      <c r="J305" s="3">
        <v>700</v>
      </c>
      <c r="K305" s="4">
        <v>6</v>
      </c>
      <c r="O305" s="3"/>
    </row>
    <row r="306" spans="2:15">
      <c r="B306" s="2" t="s">
        <v>355</v>
      </c>
      <c r="C306" s="2" t="s">
        <v>12</v>
      </c>
      <c r="D306" s="2" t="s">
        <v>27</v>
      </c>
      <c r="E306" s="2" t="s">
        <v>45</v>
      </c>
      <c r="F306" s="2" t="s">
        <v>28</v>
      </c>
      <c r="G306" s="2" t="s">
        <v>39</v>
      </c>
      <c r="H306" s="2" t="s">
        <v>57</v>
      </c>
      <c r="I306" s="3">
        <v>630</v>
      </c>
      <c r="J306" s="3">
        <v>880</v>
      </c>
      <c r="K306" s="4">
        <v>4</v>
      </c>
      <c r="O306" s="3"/>
    </row>
    <row r="307" spans="2:15">
      <c r="B307" s="2" t="s">
        <v>356</v>
      </c>
      <c r="C307" s="2" t="s">
        <v>12</v>
      </c>
      <c r="D307" s="2" t="s">
        <v>35</v>
      </c>
      <c r="E307" s="2" t="s">
        <v>19</v>
      </c>
      <c r="F307" s="2" t="s">
        <v>28</v>
      </c>
      <c r="G307" s="2" t="s">
        <v>21</v>
      </c>
      <c r="H307" s="2" t="s">
        <v>59</v>
      </c>
      <c r="I307" s="3">
        <v>590</v>
      </c>
      <c r="J307" s="3">
        <v>830</v>
      </c>
      <c r="K307" s="4">
        <v>5</v>
      </c>
      <c r="O307" s="3"/>
    </row>
    <row r="308" spans="2:15">
      <c r="B308" s="2" t="s">
        <v>357</v>
      </c>
      <c r="C308" s="2" t="s">
        <v>12</v>
      </c>
      <c r="D308" s="2" t="s">
        <v>53</v>
      </c>
      <c r="E308" s="2" t="s">
        <v>19</v>
      </c>
      <c r="F308" s="2" t="s">
        <v>15</v>
      </c>
      <c r="G308" s="2" t="s">
        <v>21</v>
      </c>
      <c r="H308" s="2" t="s">
        <v>41</v>
      </c>
      <c r="I308" s="3">
        <v>490</v>
      </c>
      <c r="J308" s="3">
        <v>690</v>
      </c>
      <c r="K308" s="4">
        <v>5</v>
      </c>
      <c r="O308" s="3"/>
    </row>
    <row r="309" spans="2:15">
      <c r="B309" s="2" t="s">
        <v>358</v>
      </c>
      <c r="C309" s="2" t="s">
        <v>12</v>
      </c>
      <c r="D309" s="2" t="s">
        <v>53</v>
      </c>
      <c r="E309" s="2" t="s">
        <v>14</v>
      </c>
      <c r="F309" s="2" t="s">
        <v>24</v>
      </c>
      <c r="G309" s="2" t="s">
        <v>32</v>
      </c>
      <c r="H309" s="2" t="s">
        <v>62</v>
      </c>
      <c r="I309" s="3">
        <v>610</v>
      </c>
      <c r="J309" s="3">
        <v>850</v>
      </c>
      <c r="K309" s="4">
        <v>5</v>
      </c>
      <c r="O309" s="3"/>
    </row>
    <row r="310" spans="2:15">
      <c r="B310" s="2" t="s">
        <v>359</v>
      </c>
      <c r="C310" s="2" t="s">
        <v>12</v>
      </c>
      <c r="D310" s="2" t="s">
        <v>61</v>
      </c>
      <c r="E310" s="2" t="s">
        <v>45</v>
      </c>
      <c r="F310" s="2" t="s">
        <v>24</v>
      </c>
      <c r="G310" s="2" t="s">
        <v>36</v>
      </c>
      <c r="H310" s="2" t="s">
        <v>49</v>
      </c>
      <c r="I310" s="3">
        <v>510</v>
      </c>
      <c r="J310" s="3">
        <v>710</v>
      </c>
      <c r="K310" s="4">
        <v>6</v>
      </c>
      <c r="O310" s="3"/>
    </row>
    <row r="311" spans="2:15">
      <c r="B311" s="2" t="s">
        <v>360</v>
      </c>
      <c r="C311" s="2" t="s">
        <v>12</v>
      </c>
      <c r="D311" s="2" t="s">
        <v>67</v>
      </c>
      <c r="E311" s="2" t="s">
        <v>19</v>
      </c>
      <c r="F311" s="2" t="s">
        <v>15</v>
      </c>
      <c r="G311" s="2" t="s">
        <v>32</v>
      </c>
      <c r="H311" s="2" t="s">
        <v>37</v>
      </c>
      <c r="I311" s="3">
        <v>540</v>
      </c>
      <c r="J311" s="3">
        <v>750</v>
      </c>
      <c r="K311" s="4">
        <v>6</v>
      </c>
      <c r="O311" s="3"/>
    </row>
    <row r="312" spans="2:15">
      <c r="B312" s="2" t="s">
        <v>361</v>
      </c>
      <c r="C312" s="2" t="s">
        <v>12</v>
      </c>
      <c r="D312" s="2" t="s">
        <v>55</v>
      </c>
      <c r="E312" s="2" t="s">
        <v>45</v>
      </c>
      <c r="F312" s="2" t="s">
        <v>24</v>
      </c>
      <c r="G312" s="2" t="s">
        <v>32</v>
      </c>
      <c r="H312" s="2" t="s">
        <v>104</v>
      </c>
      <c r="I312" s="3">
        <v>680</v>
      </c>
      <c r="J312" s="3">
        <v>950</v>
      </c>
      <c r="K312" s="4">
        <v>5</v>
      </c>
      <c r="O312" s="3"/>
    </row>
    <row r="313" spans="2:15">
      <c r="B313" s="2" t="s">
        <v>362</v>
      </c>
      <c r="C313" s="2" t="s">
        <v>12</v>
      </c>
      <c r="D313" s="2" t="s">
        <v>13</v>
      </c>
      <c r="E313" s="2" t="s">
        <v>45</v>
      </c>
      <c r="F313" s="2" t="s">
        <v>28</v>
      </c>
      <c r="G313" s="2" t="s">
        <v>32</v>
      </c>
      <c r="H313" s="2" t="s">
        <v>51</v>
      </c>
      <c r="I313" s="3">
        <v>630</v>
      </c>
      <c r="J313" s="3">
        <v>880</v>
      </c>
      <c r="K313" s="4">
        <v>4</v>
      </c>
      <c r="O313" s="3"/>
    </row>
    <row r="314" spans="2:15">
      <c r="B314" s="2" t="s">
        <v>363</v>
      </c>
      <c r="C314" s="2" t="s">
        <v>12</v>
      </c>
      <c r="D314" s="2" t="s">
        <v>67</v>
      </c>
      <c r="E314" s="2" t="s">
        <v>45</v>
      </c>
      <c r="F314" s="2" t="s">
        <v>15</v>
      </c>
      <c r="G314" s="2" t="s">
        <v>16</v>
      </c>
      <c r="H314" s="2" t="s">
        <v>37</v>
      </c>
      <c r="I314" s="3">
        <v>500</v>
      </c>
      <c r="J314" s="3">
        <v>700</v>
      </c>
      <c r="K314" s="4">
        <v>4</v>
      </c>
      <c r="O314" s="3"/>
    </row>
    <row r="315" spans="2:15">
      <c r="B315" s="2" t="s">
        <v>364</v>
      </c>
      <c r="C315" s="2" t="s">
        <v>12</v>
      </c>
      <c r="D315" s="2" t="s">
        <v>31</v>
      </c>
      <c r="E315" s="2" t="s">
        <v>19</v>
      </c>
      <c r="F315" s="2" t="s">
        <v>24</v>
      </c>
      <c r="G315" s="2" t="s">
        <v>16</v>
      </c>
      <c r="H315" s="2" t="s">
        <v>104</v>
      </c>
      <c r="I315" s="3">
        <v>510</v>
      </c>
      <c r="J315" s="3">
        <v>720</v>
      </c>
      <c r="K315" s="4">
        <v>3</v>
      </c>
      <c r="O315" s="3"/>
    </row>
    <row r="316" spans="2:15">
      <c r="B316" s="2" t="s">
        <v>365</v>
      </c>
      <c r="C316" s="2" t="s">
        <v>12</v>
      </c>
      <c r="D316" s="2" t="s">
        <v>35</v>
      </c>
      <c r="E316" s="2" t="s">
        <v>19</v>
      </c>
      <c r="F316" s="2" t="s">
        <v>28</v>
      </c>
      <c r="G316" s="2" t="s">
        <v>39</v>
      </c>
      <c r="H316" s="2" t="s">
        <v>57</v>
      </c>
      <c r="I316" s="3">
        <v>560</v>
      </c>
      <c r="J316" s="3">
        <v>780</v>
      </c>
      <c r="K316" s="4">
        <v>3</v>
      </c>
      <c r="O316" s="3"/>
    </row>
    <row r="317" spans="2:15">
      <c r="B317" s="2" t="s">
        <v>366</v>
      </c>
      <c r="C317" s="2" t="s">
        <v>12</v>
      </c>
      <c r="D317" s="2" t="s">
        <v>80</v>
      </c>
      <c r="E317" s="2" t="s">
        <v>45</v>
      </c>
      <c r="F317" s="2" t="s">
        <v>28</v>
      </c>
      <c r="G317" s="2" t="s">
        <v>36</v>
      </c>
      <c r="H317" s="2" t="s">
        <v>94</v>
      </c>
      <c r="I317" s="3">
        <v>590</v>
      </c>
      <c r="J317" s="3">
        <v>830</v>
      </c>
      <c r="K317" s="4">
        <v>5</v>
      </c>
      <c r="O317" s="3"/>
    </row>
    <row r="318" spans="2:15">
      <c r="B318" s="2" t="s">
        <v>367</v>
      </c>
      <c r="C318" s="2" t="s">
        <v>12</v>
      </c>
      <c r="D318" s="2" t="s">
        <v>61</v>
      </c>
      <c r="E318" s="2" t="s">
        <v>19</v>
      </c>
      <c r="F318" s="2" t="s">
        <v>20</v>
      </c>
      <c r="G318" s="2" t="s">
        <v>39</v>
      </c>
      <c r="H318" s="2" t="s">
        <v>71</v>
      </c>
      <c r="I318" s="3">
        <v>530</v>
      </c>
      <c r="J318" s="3">
        <v>740</v>
      </c>
      <c r="K318" s="4">
        <v>4</v>
      </c>
      <c r="O318" s="3"/>
    </row>
    <row r="319" spans="2:15">
      <c r="B319" s="2" t="s">
        <v>368</v>
      </c>
      <c r="C319" s="2" t="s">
        <v>12</v>
      </c>
      <c r="D319" s="2" t="s">
        <v>31</v>
      </c>
      <c r="E319" s="2" t="s">
        <v>14</v>
      </c>
      <c r="F319" s="2" t="s">
        <v>28</v>
      </c>
      <c r="G319" s="2" t="s">
        <v>16</v>
      </c>
      <c r="H319" s="2" t="s">
        <v>104</v>
      </c>
      <c r="I319" s="3">
        <v>590</v>
      </c>
      <c r="J319" s="3">
        <v>820</v>
      </c>
      <c r="K319" s="4">
        <v>6</v>
      </c>
      <c r="O319" s="3"/>
    </row>
    <row r="320" spans="2:15">
      <c r="B320" s="2" t="s">
        <v>369</v>
      </c>
      <c r="C320" s="2" t="s">
        <v>12</v>
      </c>
      <c r="D320" s="2" t="s">
        <v>53</v>
      </c>
      <c r="E320" s="2" t="s">
        <v>14</v>
      </c>
      <c r="F320" s="2" t="s">
        <v>15</v>
      </c>
      <c r="G320" s="2" t="s">
        <v>39</v>
      </c>
      <c r="H320" s="2" t="s">
        <v>69</v>
      </c>
      <c r="I320" s="3">
        <v>650</v>
      </c>
      <c r="J320" s="3">
        <v>910</v>
      </c>
      <c r="K320" s="4">
        <v>5</v>
      </c>
      <c r="O320" s="3"/>
    </row>
    <row r="321" spans="2:15">
      <c r="B321" s="2" t="s">
        <v>370</v>
      </c>
      <c r="C321" s="2" t="s">
        <v>12</v>
      </c>
      <c r="D321" s="2" t="s">
        <v>13</v>
      </c>
      <c r="E321" s="2" t="s">
        <v>45</v>
      </c>
      <c r="F321" s="2" t="s">
        <v>15</v>
      </c>
      <c r="G321" s="2" t="s">
        <v>36</v>
      </c>
      <c r="H321" s="2" t="s">
        <v>62</v>
      </c>
      <c r="I321" s="3">
        <v>600</v>
      </c>
      <c r="J321" s="3">
        <v>830</v>
      </c>
      <c r="K321" s="4">
        <v>6</v>
      </c>
      <c r="O321" s="3"/>
    </row>
    <row r="322" spans="2:15">
      <c r="B322" s="2" t="s">
        <v>371</v>
      </c>
      <c r="C322" s="2" t="s">
        <v>12</v>
      </c>
      <c r="D322" s="2" t="s">
        <v>80</v>
      </c>
      <c r="E322" s="2" t="s">
        <v>19</v>
      </c>
      <c r="F322" s="2" t="s">
        <v>28</v>
      </c>
      <c r="G322" s="2" t="s">
        <v>32</v>
      </c>
      <c r="H322" s="2" t="s">
        <v>94</v>
      </c>
      <c r="I322" s="3">
        <v>680</v>
      </c>
      <c r="J322" s="3">
        <v>950</v>
      </c>
      <c r="K322" s="4">
        <v>3</v>
      </c>
      <c r="O322" s="3"/>
    </row>
    <row r="323" spans="2:15">
      <c r="B323" s="2" t="s">
        <v>372</v>
      </c>
      <c r="C323" s="2" t="s">
        <v>12</v>
      </c>
      <c r="D323" s="2" t="s">
        <v>80</v>
      </c>
      <c r="E323" s="2" t="s">
        <v>19</v>
      </c>
      <c r="F323" s="2" t="s">
        <v>28</v>
      </c>
      <c r="G323" s="2" t="s">
        <v>32</v>
      </c>
      <c r="H323" s="2" t="s">
        <v>64</v>
      </c>
      <c r="I323" s="3">
        <v>530</v>
      </c>
      <c r="J323" s="3">
        <v>750</v>
      </c>
      <c r="K323" s="4">
        <v>3</v>
      </c>
      <c r="O323" s="3"/>
    </row>
    <row r="324" spans="2:15">
      <c r="B324" s="2" t="s">
        <v>373</v>
      </c>
      <c r="C324" s="2" t="s">
        <v>12</v>
      </c>
      <c r="D324" s="2" t="s">
        <v>35</v>
      </c>
      <c r="E324" s="2" t="s">
        <v>45</v>
      </c>
      <c r="F324" s="2" t="s">
        <v>24</v>
      </c>
      <c r="G324" s="2" t="s">
        <v>16</v>
      </c>
      <c r="H324" s="2" t="s">
        <v>25</v>
      </c>
      <c r="I324" s="3">
        <v>640</v>
      </c>
      <c r="J324" s="3">
        <v>890</v>
      </c>
      <c r="K324" s="4">
        <v>6</v>
      </c>
      <c r="O324" s="3"/>
    </row>
    <row r="325" spans="2:15">
      <c r="B325" s="2" t="s">
        <v>374</v>
      </c>
      <c r="C325" s="2" t="s">
        <v>12</v>
      </c>
      <c r="D325" s="2" t="s">
        <v>55</v>
      </c>
      <c r="E325" s="2" t="s">
        <v>19</v>
      </c>
      <c r="F325" s="2" t="s">
        <v>15</v>
      </c>
      <c r="G325" s="2" t="s">
        <v>39</v>
      </c>
      <c r="H325" s="2" t="s">
        <v>59</v>
      </c>
      <c r="I325" s="3">
        <v>660</v>
      </c>
      <c r="J325" s="3">
        <v>920</v>
      </c>
      <c r="K325" s="4">
        <v>3</v>
      </c>
      <c r="O325" s="3"/>
    </row>
    <row r="326" spans="2:15">
      <c r="B326" s="2" t="s">
        <v>375</v>
      </c>
      <c r="C326" s="2" t="s">
        <v>12</v>
      </c>
      <c r="D326" s="2" t="s">
        <v>80</v>
      </c>
      <c r="E326" s="2" t="s">
        <v>45</v>
      </c>
      <c r="F326" s="2" t="s">
        <v>15</v>
      </c>
      <c r="G326" s="2" t="s">
        <v>16</v>
      </c>
      <c r="H326" s="2" t="s">
        <v>69</v>
      </c>
      <c r="I326" s="3">
        <v>500</v>
      </c>
      <c r="J326" s="3">
        <v>700</v>
      </c>
      <c r="K326" s="4">
        <v>5</v>
      </c>
      <c r="O326" s="3"/>
    </row>
    <row r="327" spans="2:15">
      <c r="B327" s="2" t="s">
        <v>376</v>
      </c>
      <c r="C327" s="2" t="s">
        <v>12</v>
      </c>
      <c r="D327" s="2" t="s">
        <v>27</v>
      </c>
      <c r="E327" s="2" t="s">
        <v>45</v>
      </c>
      <c r="F327" s="2" t="s">
        <v>15</v>
      </c>
      <c r="G327" s="2" t="s">
        <v>32</v>
      </c>
      <c r="H327" s="2" t="s">
        <v>101</v>
      </c>
      <c r="I327" s="3">
        <v>550</v>
      </c>
      <c r="J327" s="3">
        <v>770</v>
      </c>
      <c r="K327" s="4">
        <v>3</v>
      </c>
      <c r="O327" s="3"/>
    </row>
    <row r="328" spans="2:15">
      <c r="B328" s="2" t="s">
        <v>377</v>
      </c>
      <c r="C328" s="2" t="s">
        <v>12</v>
      </c>
      <c r="D328" s="2" t="s">
        <v>35</v>
      </c>
      <c r="E328" s="2" t="s">
        <v>19</v>
      </c>
      <c r="F328" s="2" t="s">
        <v>24</v>
      </c>
      <c r="G328" s="2" t="s">
        <v>39</v>
      </c>
      <c r="H328" s="2" t="s">
        <v>37</v>
      </c>
      <c r="I328" s="3">
        <v>520</v>
      </c>
      <c r="J328" s="3">
        <v>720</v>
      </c>
      <c r="K328" s="4">
        <v>6</v>
      </c>
      <c r="O328" s="3"/>
    </row>
    <row r="329" spans="2:15">
      <c r="B329" s="2" t="s">
        <v>378</v>
      </c>
      <c r="C329" s="2" t="s">
        <v>12</v>
      </c>
      <c r="D329" s="2" t="s">
        <v>80</v>
      </c>
      <c r="E329" s="2" t="s">
        <v>45</v>
      </c>
      <c r="F329" s="2" t="s">
        <v>15</v>
      </c>
      <c r="G329" s="2" t="s">
        <v>39</v>
      </c>
      <c r="H329" s="2" t="s">
        <v>101</v>
      </c>
      <c r="I329" s="3">
        <v>530</v>
      </c>
      <c r="J329" s="3">
        <v>740</v>
      </c>
      <c r="K329" s="4">
        <v>5</v>
      </c>
      <c r="O329" s="3"/>
    </row>
    <row r="330" spans="2:15">
      <c r="B330" s="2" t="s">
        <v>379</v>
      </c>
      <c r="C330" s="2" t="s">
        <v>12</v>
      </c>
      <c r="D330" s="2" t="s">
        <v>27</v>
      </c>
      <c r="E330" s="2" t="s">
        <v>14</v>
      </c>
      <c r="F330" s="2" t="s">
        <v>24</v>
      </c>
      <c r="G330" s="2" t="s">
        <v>36</v>
      </c>
      <c r="H330" s="2" t="s">
        <v>57</v>
      </c>
      <c r="I330" s="3">
        <v>610</v>
      </c>
      <c r="J330" s="3">
        <v>850</v>
      </c>
      <c r="K330" s="4">
        <v>6</v>
      </c>
      <c r="O330" s="3"/>
    </row>
    <row r="331" spans="2:15">
      <c r="B331" s="2" t="s">
        <v>380</v>
      </c>
      <c r="C331" s="2" t="s">
        <v>12</v>
      </c>
      <c r="D331" s="2" t="s">
        <v>35</v>
      </c>
      <c r="E331" s="2" t="s">
        <v>45</v>
      </c>
      <c r="F331" s="2" t="s">
        <v>28</v>
      </c>
      <c r="G331" s="2" t="s">
        <v>21</v>
      </c>
      <c r="H331" s="2" t="s">
        <v>94</v>
      </c>
      <c r="I331" s="3">
        <v>640</v>
      </c>
      <c r="J331" s="3">
        <v>900</v>
      </c>
      <c r="K331" s="4">
        <v>4</v>
      </c>
      <c r="O331" s="3"/>
    </row>
    <row r="332" spans="2:15">
      <c r="B332" s="2" t="s">
        <v>381</v>
      </c>
      <c r="C332" s="2" t="s">
        <v>12</v>
      </c>
      <c r="D332" s="2" t="s">
        <v>13</v>
      </c>
      <c r="E332" s="2" t="s">
        <v>19</v>
      </c>
      <c r="F332" s="2" t="s">
        <v>28</v>
      </c>
      <c r="G332" s="2" t="s">
        <v>21</v>
      </c>
      <c r="H332" s="2" t="s">
        <v>41</v>
      </c>
      <c r="I332" s="3">
        <v>620</v>
      </c>
      <c r="J332" s="3">
        <v>870</v>
      </c>
      <c r="K332" s="4">
        <v>3</v>
      </c>
      <c r="O332" s="3"/>
    </row>
    <row r="333" spans="2:15">
      <c r="B333" s="2" t="s">
        <v>382</v>
      </c>
      <c r="C333" s="2" t="s">
        <v>12</v>
      </c>
      <c r="D333" s="2" t="s">
        <v>13</v>
      </c>
      <c r="E333" s="2" t="s">
        <v>14</v>
      </c>
      <c r="F333" s="2" t="s">
        <v>24</v>
      </c>
      <c r="G333" s="2" t="s">
        <v>21</v>
      </c>
      <c r="H333" s="2" t="s">
        <v>62</v>
      </c>
      <c r="I333" s="3">
        <v>590</v>
      </c>
      <c r="J333" s="3">
        <v>830</v>
      </c>
      <c r="K333" s="4">
        <v>4</v>
      </c>
      <c r="O333" s="3"/>
    </row>
    <row r="334" spans="2:15">
      <c r="B334" s="2" t="s">
        <v>383</v>
      </c>
      <c r="C334" s="2" t="s">
        <v>12</v>
      </c>
      <c r="D334" s="2" t="s">
        <v>35</v>
      </c>
      <c r="E334" s="2" t="s">
        <v>19</v>
      </c>
      <c r="F334" s="2" t="s">
        <v>28</v>
      </c>
      <c r="G334" s="2" t="s">
        <v>39</v>
      </c>
      <c r="H334" s="2" t="s">
        <v>94</v>
      </c>
      <c r="I334" s="3">
        <v>490</v>
      </c>
      <c r="J334" s="3">
        <v>690</v>
      </c>
      <c r="K334" s="4">
        <v>6</v>
      </c>
      <c r="O334" s="3"/>
    </row>
    <row r="335" spans="2:15">
      <c r="B335" s="2" t="s">
        <v>384</v>
      </c>
      <c r="C335" s="2" t="s">
        <v>12</v>
      </c>
      <c r="D335" s="2" t="s">
        <v>67</v>
      </c>
      <c r="E335" s="2" t="s">
        <v>45</v>
      </c>
      <c r="F335" s="2" t="s">
        <v>20</v>
      </c>
      <c r="G335" s="2" t="s">
        <v>36</v>
      </c>
      <c r="H335" s="2" t="s">
        <v>57</v>
      </c>
      <c r="I335" s="3">
        <v>470</v>
      </c>
      <c r="J335" s="3">
        <v>660</v>
      </c>
      <c r="K335" s="4">
        <v>6</v>
      </c>
      <c r="O335" s="3"/>
    </row>
    <row r="336" spans="2:15">
      <c r="B336" s="2" t="s">
        <v>385</v>
      </c>
      <c r="C336" s="2" t="s">
        <v>12</v>
      </c>
      <c r="D336" s="2" t="s">
        <v>31</v>
      </c>
      <c r="E336" s="2" t="s">
        <v>19</v>
      </c>
      <c r="F336" s="2" t="s">
        <v>28</v>
      </c>
      <c r="G336" s="2" t="s">
        <v>32</v>
      </c>
      <c r="H336" s="2" t="s">
        <v>69</v>
      </c>
      <c r="I336" s="3">
        <v>570</v>
      </c>
      <c r="J336" s="3">
        <v>790</v>
      </c>
      <c r="K336" s="4">
        <v>6</v>
      </c>
      <c r="O336" s="3"/>
    </row>
    <row r="337" spans="2:15">
      <c r="B337" s="2" t="s">
        <v>386</v>
      </c>
      <c r="C337" s="2" t="s">
        <v>12</v>
      </c>
      <c r="D337" s="2" t="s">
        <v>31</v>
      </c>
      <c r="E337" s="2" t="s">
        <v>19</v>
      </c>
      <c r="F337" s="2" t="s">
        <v>24</v>
      </c>
      <c r="G337" s="2" t="s">
        <v>21</v>
      </c>
      <c r="H337" s="2" t="s">
        <v>43</v>
      </c>
      <c r="I337" s="3">
        <v>520</v>
      </c>
      <c r="J337" s="3">
        <v>720</v>
      </c>
      <c r="K337" s="4">
        <v>3</v>
      </c>
      <c r="O337" s="3"/>
    </row>
    <row r="338" spans="2:15">
      <c r="B338" s="2" t="s">
        <v>387</v>
      </c>
      <c r="C338" s="2" t="s">
        <v>12</v>
      </c>
      <c r="D338" s="2" t="s">
        <v>35</v>
      </c>
      <c r="E338" s="2" t="s">
        <v>19</v>
      </c>
      <c r="F338" s="2" t="s">
        <v>20</v>
      </c>
      <c r="G338" s="2" t="s">
        <v>21</v>
      </c>
      <c r="H338" s="2" t="s">
        <v>104</v>
      </c>
      <c r="I338" s="3">
        <v>560</v>
      </c>
      <c r="J338" s="3">
        <v>780</v>
      </c>
      <c r="K338" s="4">
        <v>3</v>
      </c>
      <c r="O338" s="3"/>
    </row>
    <row r="339" spans="2:15">
      <c r="B339" s="2" t="s">
        <v>388</v>
      </c>
      <c r="C339" s="2" t="s">
        <v>12</v>
      </c>
      <c r="D339" s="2" t="s">
        <v>31</v>
      </c>
      <c r="E339" s="2" t="s">
        <v>45</v>
      </c>
      <c r="F339" s="2" t="s">
        <v>28</v>
      </c>
      <c r="G339" s="2" t="s">
        <v>16</v>
      </c>
      <c r="H339" s="2" t="s">
        <v>57</v>
      </c>
      <c r="I339" s="3">
        <v>570</v>
      </c>
      <c r="J339" s="3">
        <v>800</v>
      </c>
      <c r="K339" s="4">
        <v>6</v>
      </c>
      <c r="O339" s="3"/>
    </row>
    <row r="340" spans="2:15">
      <c r="B340" s="2" t="s">
        <v>389</v>
      </c>
      <c r="C340" s="2" t="s">
        <v>12</v>
      </c>
      <c r="D340" s="2" t="s">
        <v>55</v>
      </c>
      <c r="E340" s="2" t="s">
        <v>45</v>
      </c>
      <c r="F340" s="2" t="s">
        <v>28</v>
      </c>
      <c r="G340" s="2" t="s">
        <v>36</v>
      </c>
      <c r="H340" s="2" t="s">
        <v>43</v>
      </c>
      <c r="I340" s="3">
        <v>540</v>
      </c>
      <c r="J340" s="3">
        <v>760</v>
      </c>
      <c r="K340" s="4">
        <v>4</v>
      </c>
      <c r="O340" s="3"/>
    </row>
    <row r="341" spans="2:15">
      <c r="B341" s="2" t="s">
        <v>390</v>
      </c>
      <c r="C341" s="2" t="s">
        <v>12</v>
      </c>
      <c r="D341" s="2" t="s">
        <v>35</v>
      </c>
      <c r="E341" s="2" t="s">
        <v>14</v>
      </c>
      <c r="F341" s="2" t="s">
        <v>24</v>
      </c>
      <c r="G341" s="2" t="s">
        <v>21</v>
      </c>
      <c r="H341" s="2" t="s">
        <v>59</v>
      </c>
      <c r="I341" s="3">
        <v>620</v>
      </c>
      <c r="J341" s="3">
        <v>860</v>
      </c>
      <c r="K341" s="4">
        <v>4</v>
      </c>
      <c r="O341" s="3"/>
    </row>
    <row r="342" spans="2:15">
      <c r="B342" s="2" t="s">
        <v>391</v>
      </c>
      <c r="C342" s="2" t="s">
        <v>12</v>
      </c>
      <c r="D342" s="2" t="s">
        <v>27</v>
      </c>
      <c r="E342" s="2" t="s">
        <v>14</v>
      </c>
      <c r="F342" s="2" t="s">
        <v>20</v>
      </c>
      <c r="G342" s="2" t="s">
        <v>32</v>
      </c>
      <c r="H342" s="2" t="s">
        <v>29</v>
      </c>
      <c r="I342" s="3">
        <v>640</v>
      </c>
      <c r="J342" s="3">
        <v>890</v>
      </c>
      <c r="K342" s="4">
        <v>6</v>
      </c>
      <c r="O342" s="3"/>
    </row>
    <row r="343" spans="2:15">
      <c r="B343" s="2" t="s">
        <v>392</v>
      </c>
      <c r="C343" s="2" t="s">
        <v>12</v>
      </c>
      <c r="D343" s="2" t="s">
        <v>55</v>
      </c>
      <c r="E343" s="2" t="s">
        <v>14</v>
      </c>
      <c r="F343" s="2" t="s">
        <v>24</v>
      </c>
      <c r="G343" s="2" t="s">
        <v>36</v>
      </c>
      <c r="H343" s="2" t="s">
        <v>41</v>
      </c>
      <c r="I343" s="3">
        <v>590</v>
      </c>
      <c r="J343" s="3">
        <v>820</v>
      </c>
      <c r="K343" s="4">
        <v>4</v>
      </c>
      <c r="O343" s="3"/>
    </row>
    <row r="344" spans="2:15">
      <c r="B344" s="2" t="s">
        <v>393</v>
      </c>
      <c r="C344" s="2" t="s">
        <v>12</v>
      </c>
      <c r="D344" s="2" t="s">
        <v>27</v>
      </c>
      <c r="E344" s="2" t="s">
        <v>19</v>
      </c>
      <c r="F344" s="2" t="s">
        <v>20</v>
      </c>
      <c r="G344" s="2" t="s">
        <v>39</v>
      </c>
      <c r="H344" s="2" t="s">
        <v>22</v>
      </c>
      <c r="I344" s="3">
        <v>520</v>
      </c>
      <c r="J344" s="3">
        <v>730</v>
      </c>
      <c r="K344" s="4">
        <v>3</v>
      </c>
      <c r="O344" s="3"/>
    </row>
    <row r="345" spans="2:15">
      <c r="B345" s="2" t="s">
        <v>394</v>
      </c>
      <c r="C345" s="2" t="s">
        <v>12</v>
      </c>
      <c r="D345" s="2" t="s">
        <v>27</v>
      </c>
      <c r="E345" s="2" t="s">
        <v>14</v>
      </c>
      <c r="F345" s="2" t="s">
        <v>20</v>
      </c>
      <c r="G345" s="2" t="s">
        <v>21</v>
      </c>
      <c r="H345" s="2" t="s">
        <v>104</v>
      </c>
      <c r="I345" s="3">
        <v>510</v>
      </c>
      <c r="J345" s="3">
        <v>720</v>
      </c>
      <c r="K345" s="4">
        <v>6</v>
      </c>
      <c r="O345" s="3"/>
    </row>
    <row r="346" spans="2:15">
      <c r="B346" s="2" t="s">
        <v>395</v>
      </c>
      <c r="C346" s="2" t="s">
        <v>12</v>
      </c>
      <c r="D346" s="2" t="s">
        <v>31</v>
      </c>
      <c r="E346" s="2" t="s">
        <v>14</v>
      </c>
      <c r="F346" s="2" t="s">
        <v>20</v>
      </c>
      <c r="G346" s="2" t="s">
        <v>36</v>
      </c>
      <c r="H346" s="2" t="s">
        <v>29</v>
      </c>
      <c r="I346" s="3">
        <v>600</v>
      </c>
      <c r="J346" s="3">
        <v>840</v>
      </c>
      <c r="K346" s="4">
        <v>4</v>
      </c>
      <c r="O346" s="3"/>
    </row>
    <row r="347" spans="2:15">
      <c r="B347" s="2" t="s">
        <v>396</v>
      </c>
      <c r="C347" s="2" t="s">
        <v>12</v>
      </c>
      <c r="D347" s="2" t="s">
        <v>27</v>
      </c>
      <c r="E347" s="2" t="s">
        <v>14</v>
      </c>
      <c r="F347" s="2" t="s">
        <v>24</v>
      </c>
      <c r="G347" s="2" t="s">
        <v>21</v>
      </c>
      <c r="H347" s="2" t="s">
        <v>101</v>
      </c>
      <c r="I347" s="3">
        <v>590</v>
      </c>
      <c r="J347" s="3">
        <v>820</v>
      </c>
      <c r="K347" s="4">
        <v>4</v>
      </c>
      <c r="O347" s="3"/>
    </row>
    <row r="348" spans="2:15">
      <c r="B348" s="2" t="s">
        <v>397</v>
      </c>
      <c r="C348" s="2" t="s">
        <v>12</v>
      </c>
      <c r="D348" s="2" t="s">
        <v>35</v>
      </c>
      <c r="E348" s="2" t="s">
        <v>19</v>
      </c>
      <c r="F348" s="2" t="s">
        <v>15</v>
      </c>
      <c r="G348" s="2" t="s">
        <v>16</v>
      </c>
      <c r="H348" s="2" t="s">
        <v>101</v>
      </c>
      <c r="I348" s="3">
        <v>660</v>
      </c>
      <c r="J348" s="3">
        <v>920</v>
      </c>
      <c r="K348" s="4">
        <v>4</v>
      </c>
      <c r="O348" s="3"/>
    </row>
    <row r="349" spans="2:15">
      <c r="B349" s="2" t="s">
        <v>398</v>
      </c>
      <c r="C349" s="2" t="s">
        <v>12</v>
      </c>
      <c r="D349" s="2" t="s">
        <v>67</v>
      </c>
      <c r="E349" s="2" t="s">
        <v>14</v>
      </c>
      <c r="F349" s="2" t="s">
        <v>28</v>
      </c>
      <c r="G349" s="2" t="s">
        <v>32</v>
      </c>
      <c r="H349" s="2" t="s">
        <v>33</v>
      </c>
      <c r="I349" s="3">
        <v>620</v>
      </c>
      <c r="J349" s="3">
        <v>870</v>
      </c>
      <c r="K349" s="4">
        <v>3</v>
      </c>
      <c r="O349" s="3"/>
    </row>
    <row r="350" spans="2:15">
      <c r="B350" s="2" t="s">
        <v>399</v>
      </c>
      <c r="C350" s="2" t="s">
        <v>12</v>
      </c>
      <c r="D350" s="2" t="s">
        <v>80</v>
      </c>
      <c r="E350" s="2" t="s">
        <v>19</v>
      </c>
      <c r="F350" s="2" t="s">
        <v>28</v>
      </c>
      <c r="G350" s="2" t="s">
        <v>21</v>
      </c>
      <c r="H350" s="2" t="s">
        <v>51</v>
      </c>
      <c r="I350" s="3">
        <v>590</v>
      </c>
      <c r="J350" s="3">
        <v>830</v>
      </c>
      <c r="K350" s="4">
        <v>3</v>
      </c>
      <c r="O350" s="3"/>
    </row>
    <row r="351" spans="2:15">
      <c r="B351" s="2" t="s">
        <v>400</v>
      </c>
      <c r="C351" s="2" t="s">
        <v>12</v>
      </c>
      <c r="D351" s="2" t="s">
        <v>55</v>
      </c>
      <c r="E351" s="2" t="s">
        <v>19</v>
      </c>
      <c r="F351" s="2" t="s">
        <v>15</v>
      </c>
      <c r="G351" s="2" t="s">
        <v>36</v>
      </c>
      <c r="H351" s="2" t="s">
        <v>22</v>
      </c>
      <c r="I351" s="3">
        <v>540</v>
      </c>
      <c r="J351" s="3">
        <v>750</v>
      </c>
      <c r="K351" s="4">
        <v>4</v>
      </c>
      <c r="O351" s="3"/>
    </row>
    <row r="352" spans="2:15">
      <c r="B352" s="2" t="s">
        <v>401</v>
      </c>
      <c r="C352" s="2" t="s">
        <v>12</v>
      </c>
      <c r="D352" s="2" t="s">
        <v>55</v>
      </c>
      <c r="E352" s="2" t="s">
        <v>14</v>
      </c>
      <c r="F352" s="2" t="s">
        <v>28</v>
      </c>
      <c r="G352" s="2" t="s">
        <v>16</v>
      </c>
      <c r="H352" s="2" t="s">
        <v>17</v>
      </c>
      <c r="I352" s="3">
        <v>530</v>
      </c>
      <c r="J352" s="3">
        <v>740</v>
      </c>
      <c r="K352" s="4">
        <v>5</v>
      </c>
      <c r="O352" s="3"/>
    </row>
    <row r="353" spans="2:15">
      <c r="B353" s="2" t="s">
        <v>402</v>
      </c>
      <c r="C353" s="2" t="s">
        <v>12</v>
      </c>
      <c r="D353" s="2" t="s">
        <v>80</v>
      </c>
      <c r="E353" s="2" t="s">
        <v>45</v>
      </c>
      <c r="F353" s="2" t="s">
        <v>20</v>
      </c>
      <c r="G353" s="2" t="s">
        <v>21</v>
      </c>
      <c r="H353" s="2" t="s">
        <v>22</v>
      </c>
      <c r="I353" s="3">
        <v>670</v>
      </c>
      <c r="J353" s="3">
        <v>940</v>
      </c>
      <c r="K353" s="4">
        <v>6</v>
      </c>
      <c r="O353" s="3"/>
    </row>
    <row r="354" spans="2:15">
      <c r="B354" s="2" t="s">
        <v>403</v>
      </c>
      <c r="C354" s="2" t="s">
        <v>404</v>
      </c>
      <c r="D354" s="2" t="s">
        <v>405</v>
      </c>
      <c r="E354" s="2" t="s">
        <v>406</v>
      </c>
      <c r="F354" s="2" t="s">
        <v>15</v>
      </c>
      <c r="G354" s="2" t="s">
        <v>16</v>
      </c>
      <c r="H354" s="2" t="s">
        <v>33</v>
      </c>
      <c r="I354" s="3">
        <v>440</v>
      </c>
      <c r="J354" s="3">
        <v>610</v>
      </c>
      <c r="K354" s="4">
        <v>4</v>
      </c>
      <c r="O354" s="3"/>
    </row>
    <row r="355" spans="2:15">
      <c r="B355" s="2" t="s">
        <v>407</v>
      </c>
      <c r="C355" s="2" t="s">
        <v>404</v>
      </c>
      <c r="D355" s="2" t="s">
        <v>408</v>
      </c>
      <c r="E355" s="2" t="s">
        <v>409</v>
      </c>
      <c r="F355" s="2" t="s">
        <v>15</v>
      </c>
      <c r="G355" s="2" t="s">
        <v>32</v>
      </c>
      <c r="H355" s="2" t="s">
        <v>43</v>
      </c>
      <c r="I355" s="3">
        <v>320</v>
      </c>
      <c r="J355" s="3">
        <v>450</v>
      </c>
      <c r="K355" s="4">
        <v>4</v>
      </c>
      <c r="O355" s="3"/>
    </row>
    <row r="356" spans="2:15">
      <c r="B356" s="2" t="s">
        <v>410</v>
      </c>
      <c r="C356" s="2" t="s">
        <v>404</v>
      </c>
      <c r="D356" s="2" t="s">
        <v>61</v>
      </c>
      <c r="E356" s="2" t="s">
        <v>411</v>
      </c>
      <c r="F356" s="2" t="s">
        <v>412</v>
      </c>
      <c r="G356" s="2" t="s">
        <v>21</v>
      </c>
      <c r="H356" s="2" t="s">
        <v>25</v>
      </c>
      <c r="I356" s="3">
        <v>180</v>
      </c>
      <c r="J356" s="3">
        <v>250</v>
      </c>
      <c r="K356" s="4">
        <v>3</v>
      </c>
      <c r="O356" s="3"/>
    </row>
    <row r="357" spans="2:15">
      <c r="B357" s="2" t="s">
        <v>413</v>
      </c>
      <c r="C357" s="2" t="s">
        <v>404</v>
      </c>
      <c r="D357" s="2" t="s">
        <v>414</v>
      </c>
      <c r="E357" s="2" t="s">
        <v>415</v>
      </c>
      <c r="F357" s="2" t="s">
        <v>412</v>
      </c>
      <c r="G357" s="2" t="s">
        <v>21</v>
      </c>
      <c r="H357" s="2" t="s">
        <v>94</v>
      </c>
      <c r="I357" s="3">
        <v>190</v>
      </c>
      <c r="J357" s="3">
        <v>260</v>
      </c>
      <c r="K357" s="4">
        <v>6</v>
      </c>
      <c r="O357" s="3"/>
    </row>
    <row r="358" spans="2:15">
      <c r="B358" s="2" t="s">
        <v>416</v>
      </c>
      <c r="C358" s="2" t="s">
        <v>404</v>
      </c>
      <c r="D358" s="2" t="s">
        <v>417</v>
      </c>
      <c r="E358" s="2" t="s">
        <v>418</v>
      </c>
      <c r="F358" s="2" t="s">
        <v>15</v>
      </c>
      <c r="G358" s="2" t="s">
        <v>39</v>
      </c>
      <c r="H358" s="2" t="s">
        <v>94</v>
      </c>
      <c r="I358" s="3">
        <v>260</v>
      </c>
      <c r="J358" s="3">
        <v>360</v>
      </c>
      <c r="K358" s="4">
        <v>4</v>
      </c>
      <c r="O358" s="3"/>
    </row>
    <row r="359" spans="2:15">
      <c r="B359" s="2" t="s">
        <v>419</v>
      </c>
      <c r="C359" s="2" t="s">
        <v>404</v>
      </c>
      <c r="D359" s="2" t="s">
        <v>31</v>
      </c>
      <c r="E359" s="2" t="s">
        <v>411</v>
      </c>
      <c r="F359" s="2" t="s">
        <v>20</v>
      </c>
      <c r="G359" s="2" t="s">
        <v>21</v>
      </c>
      <c r="H359" s="2" t="s">
        <v>94</v>
      </c>
      <c r="I359" s="3">
        <v>530</v>
      </c>
      <c r="J359" s="3">
        <v>740</v>
      </c>
      <c r="K359" s="4">
        <v>6</v>
      </c>
      <c r="O359" s="3"/>
    </row>
    <row r="360" spans="2:15">
      <c r="B360" s="2" t="s">
        <v>420</v>
      </c>
      <c r="C360" s="2" t="s">
        <v>404</v>
      </c>
      <c r="D360" s="2" t="s">
        <v>405</v>
      </c>
      <c r="E360" s="2" t="s">
        <v>418</v>
      </c>
      <c r="F360" s="2" t="s">
        <v>15</v>
      </c>
      <c r="G360" s="2" t="s">
        <v>36</v>
      </c>
      <c r="H360" s="2" t="s">
        <v>29</v>
      </c>
      <c r="I360" s="3">
        <v>270</v>
      </c>
      <c r="J360" s="3">
        <v>380</v>
      </c>
      <c r="K360" s="4">
        <v>5</v>
      </c>
      <c r="O360" s="3"/>
    </row>
    <row r="361" spans="2:15">
      <c r="B361" s="2" t="s">
        <v>421</v>
      </c>
      <c r="C361" s="2" t="s">
        <v>404</v>
      </c>
      <c r="D361" s="2" t="s">
        <v>61</v>
      </c>
      <c r="E361" s="2" t="s">
        <v>418</v>
      </c>
      <c r="F361" s="2" t="s">
        <v>412</v>
      </c>
      <c r="G361" s="2" t="s">
        <v>36</v>
      </c>
      <c r="H361" s="2" t="s">
        <v>29</v>
      </c>
      <c r="I361" s="3">
        <v>310</v>
      </c>
      <c r="J361" s="3">
        <v>430</v>
      </c>
      <c r="K361" s="4">
        <v>3</v>
      </c>
      <c r="O361" s="3"/>
    </row>
    <row r="362" spans="2:15">
      <c r="B362" s="2" t="s">
        <v>422</v>
      </c>
      <c r="C362" s="2" t="s">
        <v>404</v>
      </c>
      <c r="D362" s="2" t="s">
        <v>53</v>
      </c>
      <c r="E362" s="2" t="s">
        <v>418</v>
      </c>
      <c r="F362" s="2" t="s">
        <v>20</v>
      </c>
      <c r="G362" s="2" t="s">
        <v>32</v>
      </c>
      <c r="H362" s="2" t="s">
        <v>49</v>
      </c>
      <c r="I362" s="3">
        <v>520</v>
      </c>
      <c r="J362" s="3">
        <v>730</v>
      </c>
      <c r="K362" s="4">
        <v>6</v>
      </c>
      <c r="O362" s="3"/>
    </row>
    <row r="363" spans="2:15">
      <c r="B363" s="2" t="s">
        <v>423</v>
      </c>
      <c r="C363" s="2" t="s">
        <v>404</v>
      </c>
      <c r="D363" s="2" t="s">
        <v>405</v>
      </c>
      <c r="E363" s="2" t="s">
        <v>406</v>
      </c>
      <c r="F363" s="2" t="s">
        <v>412</v>
      </c>
      <c r="G363" s="2" t="s">
        <v>16</v>
      </c>
      <c r="H363" s="2" t="s">
        <v>69</v>
      </c>
      <c r="I363" s="3">
        <v>170</v>
      </c>
      <c r="J363" s="3">
        <v>240</v>
      </c>
      <c r="K363" s="4">
        <v>5</v>
      </c>
      <c r="O363" s="3"/>
    </row>
    <row r="364" spans="2:15">
      <c r="B364" s="2" t="s">
        <v>424</v>
      </c>
      <c r="C364" s="2" t="s">
        <v>404</v>
      </c>
      <c r="D364" s="2" t="s">
        <v>405</v>
      </c>
      <c r="E364" s="2" t="s">
        <v>415</v>
      </c>
      <c r="F364" s="2" t="s">
        <v>412</v>
      </c>
      <c r="G364" s="2" t="s">
        <v>36</v>
      </c>
      <c r="H364" s="2" t="s">
        <v>101</v>
      </c>
      <c r="I364" s="3">
        <v>430</v>
      </c>
      <c r="J364" s="3">
        <v>610</v>
      </c>
      <c r="K364" s="4">
        <v>4</v>
      </c>
      <c r="O364" s="3"/>
    </row>
    <row r="365" spans="2:15">
      <c r="B365" s="2" t="s">
        <v>425</v>
      </c>
      <c r="C365" s="2" t="s">
        <v>404</v>
      </c>
      <c r="D365" s="2" t="s">
        <v>61</v>
      </c>
      <c r="E365" s="2" t="s">
        <v>406</v>
      </c>
      <c r="F365" s="2" t="s">
        <v>15</v>
      </c>
      <c r="G365" s="2" t="s">
        <v>21</v>
      </c>
      <c r="H365" s="2" t="s">
        <v>17</v>
      </c>
      <c r="I365" s="3">
        <v>250</v>
      </c>
      <c r="J365" s="3">
        <v>350</v>
      </c>
      <c r="K365" s="4">
        <v>6</v>
      </c>
      <c r="O365" s="3"/>
    </row>
    <row r="366" spans="2:15">
      <c r="B366" s="2" t="s">
        <v>426</v>
      </c>
      <c r="C366" s="2" t="s">
        <v>404</v>
      </c>
      <c r="D366" s="2" t="s">
        <v>408</v>
      </c>
      <c r="E366" s="2" t="s">
        <v>418</v>
      </c>
      <c r="F366" s="2" t="s">
        <v>15</v>
      </c>
      <c r="G366" s="2" t="s">
        <v>36</v>
      </c>
      <c r="H366" s="2" t="s">
        <v>51</v>
      </c>
      <c r="I366" s="3">
        <v>430</v>
      </c>
      <c r="J366" s="3">
        <v>600</v>
      </c>
      <c r="K366" s="4">
        <v>6</v>
      </c>
      <c r="O366" s="3"/>
    </row>
    <row r="367" spans="2:15">
      <c r="B367" s="2" t="s">
        <v>427</v>
      </c>
      <c r="C367" s="2" t="s">
        <v>404</v>
      </c>
      <c r="D367" s="2" t="s">
        <v>408</v>
      </c>
      <c r="E367" s="2" t="s">
        <v>418</v>
      </c>
      <c r="F367" s="2" t="s">
        <v>20</v>
      </c>
      <c r="G367" s="2" t="s">
        <v>16</v>
      </c>
      <c r="H367" s="2" t="s">
        <v>62</v>
      </c>
      <c r="I367" s="3">
        <v>240</v>
      </c>
      <c r="J367" s="3">
        <v>330</v>
      </c>
      <c r="K367" s="4">
        <v>6</v>
      </c>
      <c r="O367" s="3"/>
    </row>
    <row r="368" spans="2:15">
      <c r="B368" s="2" t="s">
        <v>428</v>
      </c>
      <c r="C368" s="2" t="s">
        <v>404</v>
      </c>
      <c r="D368" s="2" t="s">
        <v>405</v>
      </c>
      <c r="E368" s="2" t="s">
        <v>409</v>
      </c>
      <c r="F368" s="2" t="s">
        <v>412</v>
      </c>
      <c r="G368" s="2" t="s">
        <v>39</v>
      </c>
      <c r="H368" s="2" t="s">
        <v>43</v>
      </c>
      <c r="I368" s="3">
        <v>240</v>
      </c>
      <c r="J368" s="3">
        <v>340</v>
      </c>
      <c r="K368" s="4">
        <v>3</v>
      </c>
      <c r="O368" s="3"/>
    </row>
    <row r="369" spans="2:15">
      <c r="B369" s="2" t="s">
        <v>429</v>
      </c>
      <c r="C369" s="2" t="s">
        <v>404</v>
      </c>
      <c r="D369" s="2" t="s">
        <v>53</v>
      </c>
      <c r="E369" s="2" t="s">
        <v>406</v>
      </c>
      <c r="F369" s="2" t="s">
        <v>412</v>
      </c>
      <c r="G369" s="2" t="s">
        <v>16</v>
      </c>
      <c r="H369" s="2" t="s">
        <v>43</v>
      </c>
      <c r="I369" s="3">
        <v>150</v>
      </c>
      <c r="J369" s="3">
        <v>210</v>
      </c>
      <c r="K369" s="4">
        <v>4</v>
      </c>
      <c r="O369" s="3"/>
    </row>
    <row r="370" spans="2:15">
      <c r="B370" s="2" t="s">
        <v>430</v>
      </c>
      <c r="C370" s="2" t="s">
        <v>404</v>
      </c>
      <c r="D370" s="2" t="s">
        <v>414</v>
      </c>
      <c r="E370" s="2" t="s">
        <v>415</v>
      </c>
      <c r="F370" s="2" t="s">
        <v>15</v>
      </c>
      <c r="G370" s="2" t="s">
        <v>32</v>
      </c>
      <c r="H370" s="2" t="s">
        <v>104</v>
      </c>
      <c r="I370" s="3">
        <v>150</v>
      </c>
      <c r="J370" s="3">
        <v>220</v>
      </c>
      <c r="K370" s="4">
        <v>6</v>
      </c>
      <c r="O370" s="3"/>
    </row>
    <row r="371" spans="2:15">
      <c r="B371" s="2" t="s">
        <v>431</v>
      </c>
      <c r="C371" s="2" t="s">
        <v>404</v>
      </c>
      <c r="D371" s="2" t="s">
        <v>53</v>
      </c>
      <c r="E371" s="2" t="s">
        <v>409</v>
      </c>
      <c r="F371" s="2" t="s">
        <v>20</v>
      </c>
      <c r="G371" s="2" t="s">
        <v>21</v>
      </c>
      <c r="H371" s="2" t="s">
        <v>62</v>
      </c>
      <c r="I371" s="3">
        <v>490</v>
      </c>
      <c r="J371" s="3">
        <v>680</v>
      </c>
      <c r="K371" s="4">
        <v>6</v>
      </c>
      <c r="O371" s="3"/>
    </row>
    <row r="372" spans="2:15">
      <c r="B372" s="2" t="s">
        <v>432</v>
      </c>
      <c r="C372" s="2" t="s">
        <v>404</v>
      </c>
      <c r="D372" s="2" t="s">
        <v>31</v>
      </c>
      <c r="E372" s="2" t="s">
        <v>415</v>
      </c>
      <c r="F372" s="2" t="s">
        <v>412</v>
      </c>
      <c r="G372" s="2" t="s">
        <v>32</v>
      </c>
      <c r="H372" s="2" t="s">
        <v>62</v>
      </c>
      <c r="I372" s="3">
        <v>160</v>
      </c>
      <c r="J372" s="3">
        <v>220</v>
      </c>
      <c r="K372" s="4">
        <v>5</v>
      </c>
      <c r="O372" s="3"/>
    </row>
    <row r="373" spans="2:15">
      <c r="B373" s="2" t="s">
        <v>433</v>
      </c>
      <c r="C373" s="2" t="s">
        <v>404</v>
      </c>
      <c r="D373" s="2" t="s">
        <v>405</v>
      </c>
      <c r="E373" s="2" t="s">
        <v>411</v>
      </c>
      <c r="F373" s="2" t="s">
        <v>20</v>
      </c>
      <c r="G373" s="2" t="s">
        <v>39</v>
      </c>
      <c r="H373" s="2" t="s">
        <v>37</v>
      </c>
      <c r="I373" s="3">
        <v>160</v>
      </c>
      <c r="J373" s="3">
        <v>220</v>
      </c>
      <c r="K373" s="4">
        <v>4</v>
      </c>
      <c r="O373" s="3"/>
    </row>
    <row r="374" spans="2:15">
      <c r="B374" s="2" t="s">
        <v>434</v>
      </c>
      <c r="C374" s="2" t="s">
        <v>404</v>
      </c>
      <c r="D374" s="2" t="s">
        <v>414</v>
      </c>
      <c r="E374" s="2" t="s">
        <v>415</v>
      </c>
      <c r="F374" s="2" t="s">
        <v>412</v>
      </c>
      <c r="G374" s="2" t="s">
        <v>32</v>
      </c>
      <c r="H374" s="2" t="s">
        <v>41</v>
      </c>
      <c r="I374" s="3">
        <v>270</v>
      </c>
      <c r="J374" s="3">
        <v>380</v>
      </c>
      <c r="K374" s="4">
        <v>5</v>
      </c>
      <c r="O374" s="3"/>
    </row>
    <row r="375" spans="2:15">
      <c r="B375" s="2" t="s">
        <v>435</v>
      </c>
      <c r="C375" s="2" t="s">
        <v>404</v>
      </c>
      <c r="D375" s="2" t="s">
        <v>31</v>
      </c>
      <c r="E375" s="2" t="s">
        <v>418</v>
      </c>
      <c r="F375" s="2" t="s">
        <v>15</v>
      </c>
      <c r="G375" s="2" t="s">
        <v>36</v>
      </c>
      <c r="H375" s="2" t="s">
        <v>71</v>
      </c>
      <c r="I375" s="3">
        <v>350</v>
      </c>
      <c r="J375" s="3">
        <v>490</v>
      </c>
      <c r="K375" s="4">
        <v>4</v>
      </c>
      <c r="O375" s="3"/>
    </row>
    <row r="376" spans="2:15">
      <c r="B376" s="2" t="s">
        <v>436</v>
      </c>
      <c r="C376" s="2" t="s">
        <v>404</v>
      </c>
      <c r="D376" s="2" t="s">
        <v>414</v>
      </c>
      <c r="E376" s="2" t="s">
        <v>418</v>
      </c>
      <c r="F376" s="2" t="s">
        <v>412</v>
      </c>
      <c r="G376" s="2" t="s">
        <v>39</v>
      </c>
      <c r="H376" s="2" t="s">
        <v>104</v>
      </c>
      <c r="I376" s="3">
        <v>510</v>
      </c>
      <c r="J376" s="3">
        <v>710</v>
      </c>
      <c r="K376" s="4">
        <v>3</v>
      </c>
      <c r="O376" s="3"/>
    </row>
    <row r="377" spans="2:15">
      <c r="B377" s="2" t="s">
        <v>437</v>
      </c>
      <c r="C377" s="2" t="s">
        <v>404</v>
      </c>
      <c r="D377" s="2" t="s">
        <v>53</v>
      </c>
      <c r="E377" s="2" t="s">
        <v>411</v>
      </c>
      <c r="F377" s="2" t="s">
        <v>412</v>
      </c>
      <c r="G377" s="2" t="s">
        <v>36</v>
      </c>
      <c r="H377" s="2" t="s">
        <v>104</v>
      </c>
      <c r="I377" s="3">
        <v>360</v>
      </c>
      <c r="J377" s="3">
        <v>500</v>
      </c>
      <c r="K377" s="4">
        <v>3</v>
      </c>
      <c r="O377" s="3"/>
    </row>
    <row r="378" spans="2:15">
      <c r="B378" s="2" t="s">
        <v>438</v>
      </c>
      <c r="C378" s="2" t="s">
        <v>404</v>
      </c>
      <c r="D378" s="2" t="s">
        <v>414</v>
      </c>
      <c r="E378" s="2" t="s">
        <v>409</v>
      </c>
      <c r="F378" s="2" t="s">
        <v>15</v>
      </c>
      <c r="G378" s="2" t="s">
        <v>36</v>
      </c>
      <c r="H378" s="2" t="s">
        <v>49</v>
      </c>
      <c r="I378" s="3">
        <v>510</v>
      </c>
      <c r="J378" s="3">
        <v>710</v>
      </c>
      <c r="K378" s="4">
        <v>3</v>
      </c>
      <c r="O378" s="3"/>
    </row>
    <row r="379" spans="2:15">
      <c r="B379" s="2" t="s">
        <v>439</v>
      </c>
      <c r="C379" s="2" t="s">
        <v>404</v>
      </c>
      <c r="D379" s="2" t="s">
        <v>31</v>
      </c>
      <c r="E379" s="2" t="s">
        <v>406</v>
      </c>
      <c r="F379" s="2" t="s">
        <v>20</v>
      </c>
      <c r="G379" s="2" t="s">
        <v>21</v>
      </c>
      <c r="H379" s="2" t="s">
        <v>51</v>
      </c>
      <c r="I379" s="3">
        <v>420</v>
      </c>
      <c r="J379" s="3">
        <v>590</v>
      </c>
      <c r="K379" s="4">
        <v>5</v>
      </c>
      <c r="O379" s="3"/>
    </row>
    <row r="380" spans="2:15">
      <c r="B380" s="2" t="s">
        <v>440</v>
      </c>
      <c r="C380" s="2" t="s">
        <v>404</v>
      </c>
      <c r="D380" s="2" t="s">
        <v>31</v>
      </c>
      <c r="E380" s="2" t="s">
        <v>418</v>
      </c>
      <c r="F380" s="2" t="s">
        <v>412</v>
      </c>
      <c r="G380" s="2" t="s">
        <v>21</v>
      </c>
      <c r="H380" s="2" t="s">
        <v>104</v>
      </c>
      <c r="I380" s="3">
        <v>170</v>
      </c>
      <c r="J380" s="3">
        <v>240</v>
      </c>
      <c r="K380" s="4">
        <v>4</v>
      </c>
      <c r="O380" s="3"/>
    </row>
    <row r="381" spans="2:15">
      <c r="B381" s="2" t="s">
        <v>441</v>
      </c>
      <c r="C381" s="2" t="s">
        <v>404</v>
      </c>
      <c r="D381" s="2" t="s">
        <v>31</v>
      </c>
      <c r="E381" s="2" t="s">
        <v>406</v>
      </c>
      <c r="F381" s="2" t="s">
        <v>412</v>
      </c>
      <c r="G381" s="2" t="s">
        <v>16</v>
      </c>
      <c r="H381" s="2" t="s">
        <v>59</v>
      </c>
      <c r="I381" s="3">
        <v>310</v>
      </c>
      <c r="J381" s="3">
        <v>440</v>
      </c>
      <c r="K381" s="4">
        <v>3</v>
      </c>
      <c r="O381" s="3"/>
    </row>
    <row r="382" spans="2:15">
      <c r="B382" s="2" t="s">
        <v>442</v>
      </c>
      <c r="C382" s="2" t="s">
        <v>404</v>
      </c>
      <c r="D382" s="2" t="s">
        <v>414</v>
      </c>
      <c r="E382" s="2" t="s">
        <v>415</v>
      </c>
      <c r="F382" s="2" t="s">
        <v>20</v>
      </c>
      <c r="G382" s="2" t="s">
        <v>21</v>
      </c>
      <c r="H382" s="2" t="s">
        <v>59</v>
      </c>
      <c r="I382" s="3">
        <v>300</v>
      </c>
      <c r="J382" s="3">
        <v>420</v>
      </c>
      <c r="K382" s="4">
        <v>5</v>
      </c>
      <c r="O382" s="3"/>
    </row>
    <row r="383" spans="2:15">
      <c r="B383" s="2" t="s">
        <v>443</v>
      </c>
      <c r="C383" s="2" t="s">
        <v>404</v>
      </c>
      <c r="D383" s="2" t="s">
        <v>417</v>
      </c>
      <c r="E383" s="2" t="s">
        <v>406</v>
      </c>
      <c r="F383" s="2" t="s">
        <v>412</v>
      </c>
      <c r="G383" s="2" t="s">
        <v>39</v>
      </c>
      <c r="H383" s="2" t="s">
        <v>75</v>
      </c>
      <c r="I383" s="3">
        <v>350</v>
      </c>
      <c r="J383" s="3">
        <v>480</v>
      </c>
      <c r="K383" s="4">
        <v>5</v>
      </c>
      <c r="O383" s="3"/>
    </row>
    <row r="384" spans="2:15">
      <c r="B384" s="2" t="s">
        <v>444</v>
      </c>
      <c r="C384" s="2" t="s">
        <v>404</v>
      </c>
      <c r="D384" s="2" t="s">
        <v>31</v>
      </c>
      <c r="E384" s="2" t="s">
        <v>411</v>
      </c>
      <c r="F384" s="2" t="s">
        <v>20</v>
      </c>
      <c r="G384" s="2" t="s">
        <v>39</v>
      </c>
      <c r="H384" s="2" t="s">
        <v>49</v>
      </c>
      <c r="I384" s="3">
        <v>180</v>
      </c>
      <c r="J384" s="3">
        <v>250</v>
      </c>
      <c r="K384" s="4">
        <v>6</v>
      </c>
      <c r="O384" s="3"/>
    </row>
    <row r="385" spans="2:15">
      <c r="B385" s="2" t="s">
        <v>445</v>
      </c>
      <c r="C385" s="2" t="s">
        <v>404</v>
      </c>
      <c r="D385" s="2" t="s">
        <v>31</v>
      </c>
      <c r="E385" s="2" t="s">
        <v>418</v>
      </c>
      <c r="F385" s="2" t="s">
        <v>15</v>
      </c>
      <c r="G385" s="2" t="s">
        <v>36</v>
      </c>
      <c r="H385" s="2" t="s">
        <v>17</v>
      </c>
      <c r="I385" s="3">
        <v>320</v>
      </c>
      <c r="J385" s="3">
        <v>440</v>
      </c>
      <c r="K385" s="4">
        <v>5</v>
      </c>
      <c r="O385" s="3"/>
    </row>
    <row r="386" spans="2:15">
      <c r="B386" s="2" t="s">
        <v>446</v>
      </c>
      <c r="C386" s="2" t="s">
        <v>404</v>
      </c>
      <c r="D386" s="2" t="s">
        <v>53</v>
      </c>
      <c r="E386" s="2" t="s">
        <v>411</v>
      </c>
      <c r="F386" s="2" t="s">
        <v>20</v>
      </c>
      <c r="G386" s="2" t="s">
        <v>21</v>
      </c>
      <c r="H386" s="2" t="s">
        <v>59</v>
      </c>
      <c r="I386" s="3">
        <v>430</v>
      </c>
      <c r="J386" s="3">
        <v>610</v>
      </c>
      <c r="K386" s="4">
        <v>3</v>
      </c>
      <c r="O386" s="3"/>
    </row>
    <row r="387" spans="2:15">
      <c r="B387" s="2" t="s">
        <v>447</v>
      </c>
      <c r="C387" s="2" t="s">
        <v>404</v>
      </c>
      <c r="D387" s="2" t="s">
        <v>61</v>
      </c>
      <c r="E387" s="2" t="s">
        <v>406</v>
      </c>
      <c r="F387" s="2" t="s">
        <v>412</v>
      </c>
      <c r="G387" s="2" t="s">
        <v>39</v>
      </c>
      <c r="H387" s="2" t="s">
        <v>43</v>
      </c>
      <c r="I387" s="3">
        <v>470</v>
      </c>
      <c r="J387" s="3">
        <v>650</v>
      </c>
      <c r="K387" s="4">
        <v>5</v>
      </c>
      <c r="O387" s="3"/>
    </row>
    <row r="388" spans="2:15">
      <c r="B388" s="2" t="s">
        <v>448</v>
      </c>
      <c r="C388" s="2" t="s">
        <v>404</v>
      </c>
      <c r="D388" s="2" t="s">
        <v>53</v>
      </c>
      <c r="E388" s="2" t="s">
        <v>406</v>
      </c>
      <c r="F388" s="2" t="s">
        <v>412</v>
      </c>
      <c r="G388" s="2" t="s">
        <v>36</v>
      </c>
      <c r="H388" s="2" t="s">
        <v>49</v>
      </c>
      <c r="I388" s="3">
        <v>230</v>
      </c>
      <c r="J388" s="3">
        <v>320</v>
      </c>
      <c r="K388" s="4">
        <v>5</v>
      </c>
      <c r="O388" s="3"/>
    </row>
    <row r="389" spans="2:15">
      <c r="B389" s="2" t="s">
        <v>449</v>
      </c>
      <c r="C389" s="2" t="s">
        <v>404</v>
      </c>
      <c r="D389" s="2" t="s">
        <v>31</v>
      </c>
      <c r="E389" s="2" t="s">
        <v>409</v>
      </c>
      <c r="F389" s="2" t="s">
        <v>15</v>
      </c>
      <c r="G389" s="2" t="s">
        <v>36</v>
      </c>
      <c r="H389" s="2" t="s">
        <v>41</v>
      </c>
      <c r="I389" s="3">
        <v>200</v>
      </c>
      <c r="J389" s="3">
        <v>280</v>
      </c>
      <c r="K389" s="4">
        <v>5</v>
      </c>
      <c r="O389" s="3"/>
    </row>
    <row r="390" spans="2:15">
      <c r="B390" s="2" t="s">
        <v>450</v>
      </c>
      <c r="C390" s="2" t="s">
        <v>404</v>
      </c>
      <c r="D390" s="2" t="s">
        <v>414</v>
      </c>
      <c r="E390" s="2" t="s">
        <v>409</v>
      </c>
      <c r="F390" s="2" t="s">
        <v>20</v>
      </c>
      <c r="G390" s="2" t="s">
        <v>36</v>
      </c>
      <c r="H390" s="2" t="s">
        <v>29</v>
      </c>
      <c r="I390" s="3">
        <v>200</v>
      </c>
      <c r="J390" s="3">
        <v>280</v>
      </c>
      <c r="K390" s="4">
        <v>6</v>
      </c>
      <c r="O390" s="3"/>
    </row>
    <row r="391" spans="2:15">
      <c r="B391" s="2" t="s">
        <v>451</v>
      </c>
      <c r="C391" s="2" t="s">
        <v>404</v>
      </c>
      <c r="D391" s="2" t="s">
        <v>31</v>
      </c>
      <c r="E391" s="2" t="s">
        <v>409</v>
      </c>
      <c r="F391" s="2" t="s">
        <v>15</v>
      </c>
      <c r="G391" s="2" t="s">
        <v>21</v>
      </c>
      <c r="H391" s="2" t="s">
        <v>43</v>
      </c>
      <c r="I391" s="3">
        <v>200</v>
      </c>
      <c r="J391" s="3">
        <v>280</v>
      </c>
      <c r="K391" s="4">
        <v>5</v>
      </c>
      <c r="O391" s="3"/>
    </row>
    <row r="392" spans="2:15">
      <c r="B392" s="2" t="s">
        <v>452</v>
      </c>
      <c r="C392" s="2" t="s">
        <v>404</v>
      </c>
      <c r="D392" s="2" t="s">
        <v>31</v>
      </c>
      <c r="E392" s="2" t="s">
        <v>418</v>
      </c>
      <c r="F392" s="2" t="s">
        <v>15</v>
      </c>
      <c r="G392" s="2" t="s">
        <v>36</v>
      </c>
      <c r="H392" s="2" t="s">
        <v>43</v>
      </c>
      <c r="I392" s="3">
        <v>350</v>
      </c>
      <c r="J392" s="3">
        <v>480</v>
      </c>
      <c r="K392" s="4">
        <v>4</v>
      </c>
      <c r="O392" s="3"/>
    </row>
    <row r="393" spans="2:15">
      <c r="B393" s="2" t="s">
        <v>453</v>
      </c>
      <c r="C393" s="2" t="s">
        <v>404</v>
      </c>
      <c r="D393" s="2" t="s">
        <v>405</v>
      </c>
      <c r="E393" s="2" t="s">
        <v>406</v>
      </c>
      <c r="F393" s="2" t="s">
        <v>412</v>
      </c>
      <c r="G393" s="2" t="s">
        <v>36</v>
      </c>
      <c r="H393" s="2" t="s">
        <v>64</v>
      </c>
      <c r="I393" s="3">
        <v>440</v>
      </c>
      <c r="J393" s="3">
        <v>620</v>
      </c>
      <c r="K393" s="4">
        <v>4</v>
      </c>
      <c r="O393" s="3"/>
    </row>
    <row r="394" spans="2:15">
      <c r="B394" s="2" t="s">
        <v>454</v>
      </c>
      <c r="C394" s="2" t="s">
        <v>404</v>
      </c>
      <c r="D394" s="2" t="s">
        <v>61</v>
      </c>
      <c r="E394" s="2" t="s">
        <v>418</v>
      </c>
      <c r="F394" s="2" t="s">
        <v>15</v>
      </c>
      <c r="G394" s="2" t="s">
        <v>16</v>
      </c>
      <c r="H394" s="2" t="s">
        <v>43</v>
      </c>
      <c r="I394" s="3">
        <v>290</v>
      </c>
      <c r="J394" s="3">
        <v>400</v>
      </c>
      <c r="K394" s="4">
        <v>4</v>
      </c>
      <c r="O394" s="3"/>
    </row>
    <row r="395" spans="2:15">
      <c r="B395" s="2" t="s">
        <v>455</v>
      </c>
      <c r="C395" s="2" t="s">
        <v>404</v>
      </c>
      <c r="D395" s="2" t="s">
        <v>61</v>
      </c>
      <c r="E395" s="2" t="s">
        <v>411</v>
      </c>
      <c r="F395" s="2" t="s">
        <v>15</v>
      </c>
      <c r="G395" s="2" t="s">
        <v>36</v>
      </c>
      <c r="H395" s="2" t="s">
        <v>43</v>
      </c>
      <c r="I395" s="3">
        <v>370</v>
      </c>
      <c r="J395" s="3">
        <v>520</v>
      </c>
      <c r="K395" s="4">
        <v>5</v>
      </c>
      <c r="O395" s="3"/>
    </row>
    <row r="396" spans="2:15">
      <c r="B396" s="2" t="s">
        <v>456</v>
      </c>
      <c r="C396" s="2" t="s">
        <v>404</v>
      </c>
      <c r="D396" s="2" t="s">
        <v>414</v>
      </c>
      <c r="E396" s="2" t="s">
        <v>411</v>
      </c>
      <c r="F396" s="2" t="s">
        <v>412</v>
      </c>
      <c r="G396" s="2" t="s">
        <v>21</v>
      </c>
      <c r="H396" s="2" t="s">
        <v>94</v>
      </c>
      <c r="I396" s="3">
        <v>280</v>
      </c>
      <c r="J396" s="3">
        <v>390</v>
      </c>
      <c r="K396" s="4">
        <v>6</v>
      </c>
      <c r="O396" s="3"/>
    </row>
    <row r="397" spans="2:15">
      <c r="B397" s="2" t="s">
        <v>457</v>
      </c>
      <c r="C397" s="2" t="s">
        <v>404</v>
      </c>
      <c r="D397" s="2" t="s">
        <v>414</v>
      </c>
      <c r="E397" s="2" t="s">
        <v>418</v>
      </c>
      <c r="F397" s="2" t="s">
        <v>20</v>
      </c>
      <c r="G397" s="2" t="s">
        <v>36</v>
      </c>
      <c r="H397" s="2" t="s">
        <v>49</v>
      </c>
      <c r="I397" s="3">
        <v>200</v>
      </c>
      <c r="J397" s="3">
        <v>280</v>
      </c>
      <c r="K397" s="4">
        <v>6</v>
      </c>
      <c r="O397" s="3"/>
    </row>
    <row r="398" spans="2:15">
      <c r="B398" s="2" t="s">
        <v>458</v>
      </c>
      <c r="C398" s="2" t="s">
        <v>404</v>
      </c>
      <c r="D398" s="2" t="s">
        <v>53</v>
      </c>
      <c r="E398" s="2" t="s">
        <v>418</v>
      </c>
      <c r="F398" s="2" t="s">
        <v>15</v>
      </c>
      <c r="G398" s="2" t="s">
        <v>21</v>
      </c>
      <c r="H398" s="2" t="s">
        <v>57</v>
      </c>
      <c r="I398" s="3">
        <v>320</v>
      </c>
      <c r="J398" s="3">
        <v>440</v>
      </c>
      <c r="K398" s="4">
        <v>5</v>
      </c>
      <c r="O398" s="3"/>
    </row>
    <row r="399" spans="2:15">
      <c r="B399" s="2" t="s">
        <v>459</v>
      </c>
      <c r="C399" s="2" t="s">
        <v>404</v>
      </c>
      <c r="D399" s="2" t="s">
        <v>405</v>
      </c>
      <c r="E399" s="2" t="s">
        <v>406</v>
      </c>
      <c r="F399" s="2" t="s">
        <v>15</v>
      </c>
      <c r="G399" s="2" t="s">
        <v>32</v>
      </c>
      <c r="H399" s="2" t="s">
        <v>64</v>
      </c>
      <c r="I399" s="3">
        <v>310</v>
      </c>
      <c r="J399" s="3">
        <v>440</v>
      </c>
      <c r="K399" s="4">
        <v>6</v>
      </c>
      <c r="O399" s="3"/>
    </row>
    <row r="400" spans="2:15">
      <c r="B400" s="2" t="s">
        <v>460</v>
      </c>
      <c r="C400" s="2" t="s">
        <v>404</v>
      </c>
      <c r="D400" s="2" t="s">
        <v>61</v>
      </c>
      <c r="E400" s="2" t="s">
        <v>411</v>
      </c>
      <c r="F400" s="2" t="s">
        <v>412</v>
      </c>
      <c r="G400" s="2" t="s">
        <v>16</v>
      </c>
      <c r="H400" s="2" t="s">
        <v>49</v>
      </c>
      <c r="I400" s="3">
        <v>310</v>
      </c>
      <c r="J400" s="3">
        <v>440</v>
      </c>
      <c r="K400" s="4">
        <v>6</v>
      </c>
      <c r="O400" s="3"/>
    </row>
    <row r="401" spans="2:15">
      <c r="B401" s="2" t="s">
        <v>461</v>
      </c>
      <c r="C401" s="2" t="s">
        <v>404</v>
      </c>
      <c r="D401" s="2" t="s">
        <v>417</v>
      </c>
      <c r="E401" s="2" t="s">
        <v>411</v>
      </c>
      <c r="F401" s="2" t="s">
        <v>15</v>
      </c>
      <c r="G401" s="2" t="s">
        <v>39</v>
      </c>
      <c r="H401" s="2" t="s">
        <v>71</v>
      </c>
      <c r="I401" s="3">
        <v>290</v>
      </c>
      <c r="J401" s="3">
        <v>410</v>
      </c>
      <c r="K401" s="4">
        <v>4</v>
      </c>
      <c r="O401" s="3"/>
    </row>
    <row r="402" spans="2:15">
      <c r="B402" s="2" t="s">
        <v>462</v>
      </c>
      <c r="C402" s="2" t="s">
        <v>404</v>
      </c>
      <c r="D402" s="2" t="s">
        <v>405</v>
      </c>
      <c r="E402" s="2" t="s">
        <v>406</v>
      </c>
      <c r="F402" s="2" t="s">
        <v>412</v>
      </c>
      <c r="G402" s="2" t="s">
        <v>21</v>
      </c>
      <c r="H402" s="2" t="s">
        <v>69</v>
      </c>
      <c r="I402" s="3">
        <v>450</v>
      </c>
      <c r="J402" s="3">
        <v>630</v>
      </c>
      <c r="K402" s="4">
        <v>6</v>
      </c>
      <c r="O402" s="3"/>
    </row>
    <row r="403" spans="2:15">
      <c r="B403" s="2" t="s">
        <v>463</v>
      </c>
      <c r="C403" s="2" t="s">
        <v>404</v>
      </c>
      <c r="D403" s="2" t="s">
        <v>414</v>
      </c>
      <c r="E403" s="2" t="s">
        <v>411</v>
      </c>
      <c r="F403" s="2" t="s">
        <v>15</v>
      </c>
      <c r="G403" s="2" t="s">
        <v>39</v>
      </c>
      <c r="H403" s="2" t="s">
        <v>22</v>
      </c>
      <c r="I403" s="3">
        <v>510</v>
      </c>
      <c r="J403" s="3">
        <v>720</v>
      </c>
      <c r="K403" s="4">
        <v>6</v>
      </c>
      <c r="O403" s="3"/>
    </row>
    <row r="404" spans="2:15">
      <c r="B404" s="2" t="s">
        <v>464</v>
      </c>
      <c r="C404" s="2" t="s">
        <v>404</v>
      </c>
      <c r="D404" s="2" t="s">
        <v>408</v>
      </c>
      <c r="E404" s="2" t="s">
        <v>418</v>
      </c>
      <c r="F404" s="2" t="s">
        <v>20</v>
      </c>
      <c r="G404" s="2" t="s">
        <v>32</v>
      </c>
      <c r="H404" s="2" t="s">
        <v>57</v>
      </c>
      <c r="I404" s="3">
        <v>220</v>
      </c>
      <c r="J404" s="3">
        <v>310</v>
      </c>
      <c r="K404" s="4">
        <v>6</v>
      </c>
      <c r="O404" s="3"/>
    </row>
    <row r="405" spans="2:15">
      <c r="B405" s="2" t="s">
        <v>465</v>
      </c>
      <c r="C405" s="2" t="s">
        <v>404</v>
      </c>
      <c r="D405" s="2" t="s">
        <v>31</v>
      </c>
      <c r="E405" s="2" t="s">
        <v>411</v>
      </c>
      <c r="F405" s="2" t="s">
        <v>412</v>
      </c>
      <c r="G405" s="2" t="s">
        <v>36</v>
      </c>
      <c r="H405" s="2" t="s">
        <v>71</v>
      </c>
      <c r="I405" s="3">
        <v>340</v>
      </c>
      <c r="J405" s="3">
        <v>480</v>
      </c>
      <c r="K405" s="4">
        <v>6</v>
      </c>
      <c r="O405" s="3"/>
    </row>
    <row r="406" spans="2:15">
      <c r="B406" s="2" t="s">
        <v>466</v>
      </c>
      <c r="C406" s="2" t="s">
        <v>404</v>
      </c>
      <c r="D406" s="2" t="s">
        <v>405</v>
      </c>
      <c r="E406" s="2" t="s">
        <v>411</v>
      </c>
      <c r="F406" s="2" t="s">
        <v>412</v>
      </c>
      <c r="G406" s="2" t="s">
        <v>39</v>
      </c>
      <c r="H406" s="2" t="s">
        <v>41</v>
      </c>
      <c r="I406" s="3">
        <v>420</v>
      </c>
      <c r="J406" s="3">
        <v>590</v>
      </c>
      <c r="K406" s="4">
        <v>3</v>
      </c>
      <c r="O406" s="3"/>
    </row>
    <row r="407" spans="2:15">
      <c r="B407" s="2" t="s">
        <v>467</v>
      </c>
      <c r="C407" s="2" t="s">
        <v>404</v>
      </c>
      <c r="D407" s="2" t="s">
        <v>417</v>
      </c>
      <c r="E407" s="2" t="s">
        <v>406</v>
      </c>
      <c r="F407" s="2" t="s">
        <v>412</v>
      </c>
      <c r="G407" s="2" t="s">
        <v>32</v>
      </c>
      <c r="H407" s="2" t="s">
        <v>64</v>
      </c>
      <c r="I407" s="3">
        <v>200</v>
      </c>
      <c r="J407" s="3">
        <v>290</v>
      </c>
      <c r="K407" s="4">
        <v>3</v>
      </c>
      <c r="O407" s="3"/>
    </row>
    <row r="408" spans="2:15">
      <c r="B408" s="2" t="s">
        <v>468</v>
      </c>
      <c r="C408" s="2" t="s">
        <v>404</v>
      </c>
      <c r="D408" s="2" t="s">
        <v>408</v>
      </c>
      <c r="E408" s="2" t="s">
        <v>411</v>
      </c>
      <c r="F408" s="2" t="s">
        <v>15</v>
      </c>
      <c r="G408" s="2" t="s">
        <v>36</v>
      </c>
      <c r="H408" s="2" t="s">
        <v>37</v>
      </c>
      <c r="I408" s="3">
        <v>440</v>
      </c>
      <c r="J408" s="3">
        <v>610</v>
      </c>
      <c r="K408" s="4">
        <v>3</v>
      </c>
      <c r="O408" s="3"/>
    </row>
    <row r="409" spans="2:15">
      <c r="B409" s="2" t="s">
        <v>469</v>
      </c>
      <c r="C409" s="2" t="s">
        <v>404</v>
      </c>
      <c r="D409" s="2" t="s">
        <v>61</v>
      </c>
      <c r="E409" s="2" t="s">
        <v>406</v>
      </c>
      <c r="F409" s="2" t="s">
        <v>412</v>
      </c>
      <c r="G409" s="2" t="s">
        <v>21</v>
      </c>
      <c r="H409" s="2" t="s">
        <v>62</v>
      </c>
      <c r="I409" s="3">
        <v>200</v>
      </c>
      <c r="J409" s="3">
        <v>280</v>
      </c>
      <c r="K409" s="4">
        <v>4</v>
      </c>
      <c r="O409" s="3"/>
    </row>
    <row r="410" spans="2:15">
      <c r="B410" s="2" t="s">
        <v>470</v>
      </c>
      <c r="C410" s="2" t="s">
        <v>404</v>
      </c>
      <c r="D410" s="2" t="s">
        <v>61</v>
      </c>
      <c r="E410" s="2" t="s">
        <v>411</v>
      </c>
      <c r="F410" s="2" t="s">
        <v>15</v>
      </c>
      <c r="G410" s="2" t="s">
        <v>21</v>
      </c>
      <c r="H410" s="2" t="s">
        <v>75</v>
      </c>
      <c r="I410" s="3">
        <v>380</v>
      </c>
      <c r="J410" s="3">
        <v>530</v>
      </c>
      <c r="K410" s="4">
        <v>4</v>
      </c>
      <c r="O410" s="3"/>
    </row>
    <row r="411" spans="2:15">
      <c r="B411" s="2" t="s">
        <v>471</v>
      </c>
      <c r="C411" s="2" t="s">
        <v>404</v>
      </c>
      <c r="D411" s="2" t="s">
        <v>31</v>
      </c>
      <c r="E411" s="2" t="s">
        <v>411</v>
      </c>
      <c r="F411" s="2" t="s">
        <v>20</v>
      </c>
      <c r="G411" s="2" t="s">
        <v>32</v>
      </c>
      <c r="H411" s="2" t="s">
        <v>22</v>
      </c>
      <c r="I411" s="3">
        <v>330</v>
      </c>
      <c r="J411" s="3">
        <v>460</v>
      </c>
      <c r="K411" s="4">
        <v>3</v>
      </c>
      <c r="O411" s="3"/>
    </row>
    <row r="412" spans="2:15">
      <c r="B412" s="2" t="s">
        <v>472</v>
      </c>
      <c r="C412" s="2" t="s">
        <v>404</v>
      </c>
      <c r="D412" s="2" t="s">
        <v>417</v>
      </c>
      <c r="E412" s="2" t="s">
        <v>406</v>
      </c>
      <c r="F412" s="2" t="s">
        <v>15</v>
      </c>
      <c r="G412" s="2" t="s">
        <v>32</v>
      </c>
      <c r="H412" s="2" t="s">
        <v>49</v>
      </c>
      <c r="I412" s="3">
        <v>210</v>
      </c>
      <c r="J412" s="3">
        <v>290</v>
      </c>
      <c r="K412" s="4">
        <v>6</v>
      </c>
      <c r="O412" s="3"/>
    </row>
    <row r="413" spans="2:15">
      <c r="B413" s="2" t="s">
        <v>473</v>
      </c>
      <c r="C413" s="2" t="s">
        <v>404</v>
      </c>
      <c r="D413" s="2" t="s">
        <v>405</v>
      </c>
      <c r="E413" s="2" t="s">
        <v>411</v>
      </c>
      <c r="F413" s="2" t="s">
        <v>15</v>
      </c>
      <c r="G413" s="2" t="s">
        <v>36</v>
      </c>
      <c r="H413" s="2" t="s">
        <v>37</v>
      </c>
      <c r="I413" s="3">
        <v>260</v>
      </c>
      <c r="J413" s="3">
        <v>360</v>
      </c>
      <c r="K413" s="4">
        <v>6</v>
      </c>
      <c r="O413" s="3"/>
    </row>
    <row r="414" spans="2:15">
      <c r="B414" s="2" t="s">
        <v>474</v>
      </c>
      <c r="C414" s="2" t="s">
        <v>404</v>
      </c>
      <c r="D414" s="2" t="s">
        <v>408</v>
      </c>
      <c r="E414" s="2" t="s">
        <v>411</v>
      </c>
      <c r="F414" s="2" t="s">
        <v>15</v>
      </c>
      <c r="G414" s="2" t="s">
        <v>39</v>
      </c>
      <c r="H414" s="2" t="s">
        <v>101</v>
      </c>
      <c r="I414" s="3">
        <v>520</v>
      </c>
      <c r="J414" s="3">
        <v>730</v>
      </c>
      <c r="K414" s="4">
        <v>3</v>
      </c>
      <c r="O414" s="3"/>
    </row>
    <row r="415" spans="2:15">
      <c r="B415" s="2" t="s">
        <v>475</v>
      </c>
      <c r="C415" s="2" t="s">
        <v>404</v>
      </c>
      <c r="D415" s="2" t="s">
        <v>31</v>
      </c>
      <c r="E415" s="2" t="s">
        <v>409</v>
      </c>
      <c r="F415" s="2" t="s">
        <v>15</v>
      </c>
      <c r="G415" s="2" t="s">
        <v>39</v>
      </c>
      <c r="H415" s="2" t="s">
        <v>64</v>
      </c>
      <c r="I415" s="3">
        <v>510</v>
      </c>
      <c r="J415" s="3">
        <v>720</v>
      </c>
      <c r="K415" s="4">
        <v>4</v>
      </c>
      <c r="O415" s="3"/>
    </row>
    <row r="416" spans="2:15">
      <c r="B416" s="2" t="s">
        <v>476</v>
      </c>
      <c r="C416" s="2" t="s">
        <v>404</v>
      </c>
      <c r="D416" s="2" t="s">
        <v>414</v>
      </c>
      <c r="E416" s="2" t="s">
        <v>415</v>
      </c>
      <c r="F416" s="2" t="s">
        <v>20</v>
      </c>
      <c r="G416" s="2" t="s">
        <v>32</v>
      </c>
      <c r="H416" s="2" t="s">
        <v>62</v>
      </c>
      <c r="I416" s="3">
        <v>410</v>
      </c>
      <c r="J416" s="3">
        <v>580</v>
      </c>
      <c r="K416" s="4">
        <v>6</v>
      </c>
      <c r="O416" s="3"/>
    </row>
    <row r="417" spans="2:15">
      <c r="B417" s="2" t="s">
        <v>477</v>
      </c>
      <c r="C417" s="2" t="s">
        <v>404</v>
      </c>
      <c r="D417" s="2" t="s">
        <v>414</v>
      </c>
      <c r="E417" s="2" t="s">
        <v>411</v>
      </c>
      <c r="F417" s="2" t="s">
        <v>412</v>
      </c>
      <c r="G417" s="2" t="s">
        <v>16</v>
      </c>
      <c r="H417" s="2" t="s">
        <v>64</v>
      </c>
      <c r="I417" s="3">
        <v>390</v>
      </c>
      <c r="J417" s="3">
        <v>540</v>
      </c>
      <c r="K417" s="4">
        <v>6</v>
      </c>
      <c r="O417" s="3"/>
    </row>
    <row r="418" spans="2:15">
      <c r="B418" s="2" t="s">
        <v>478</v>
      </c>
      <c r="C418" s="2" t="s">
        <v>404</v>
      </c>
      <c r="D418" s="2" t="s">
        <v>31</v>
      </c>
      <c r="E418" s="2" t="s">
        <v>415</v>
      </c>
      <c r="F418" s="2" t="s">
        <v>20</v>
      </c>
      <c r="G418" s="2" t="s">
        <v>36</v>
      </c>
      <c r="H418" s="2" t="s">
        <v>71</v>
      </c>
      <c r="I418" s="3">
        <v>350</v>
      </c>
      <c r="J418" s="3">
        <v>490</v>
      </c>
      <c r="K418" s="4">
        <v>6</v>
      </c>
      <c r="O418" s="3"/>
    </row>
    <row r="419" spans="2:15">
      <c r="B419" s="2" t="s">
        <v>479</v>
      </c>
      <c r="C419" s="2" t="s">
        <v>404</v>
      </c>
      <c r="D419" s="2" t="s">
        <v>31</v>
      </c>
      <c r="E419" s="2" t="s">
        <v>406</v>
      </c>
      <c r="F419" s="2" t="s">
        <v>20</v>
      </c>
      <c r="G419" s="2" t="s">
        <v>32</v>
      </c>
      <c r="H419" s="2" t="s">
        <v>43</v>
      </c>
      <c r="I419" s="3">
        <v>350</v>
      </c>
      <c r="J419" s="3">
        <v>490</v>
      </c>
      <c r="K419" s="4">
        <v>3</v>
      </c>
      <c r="O419" s="3"/>
    </row>
    <row r="420" spans="2:15">
      <c r="B420" s="2" t="s">
        <v>480</v>
      </c>
      <c r="C420" s="2" t="s">
        <v>404</v>
      </c>
      <c r="D420" s="2" t="s">
        <v>414</v>
      </c>
      <c r="E420" s="2" t="s">
        <v>418</v>
      </c>
      <c r="F420" s="2" t="s">
        <v>15</v>
      </c>
      <c r="G420" s="2" t="s">
        <v>16</v>
      </c>
      <c r="H420" s="2" t="s">
        <v>29</v>
      </c>
      <c r="I420" s="3">
        <v>420</v>
      </c>
      <c r="J420" s="3">
        <v>590</v>
      </c>
      <c r="K420" s="4">
        <v>3</v>
      </c>
      <c r="O420" s="3"/>
    </row>
    <row r="421" spans="2:15">
      <c r="B421" s="2" t="s">
        <v>481</v>
      </c>
      <c r="C421" s="2" t="s">
        <v>404</v>
      </c>
      <c r="D421" s="2" t="s">
        <v>408</v>
      </c>
      <c r="E421" s="2" t="s">
        <v>411</v>
      </c>
      <c r="F421" s="2" t="s">
        <v>412</v>
      </c>
      <c r="G421" s="2" t="s">
        <v>32</v>
      </c>
      <c r="H421" s="2" t="s">
        <v>25</v>
      </c>
      <c r="I421" s="3">
        <v>280</v>
      </c>
      <c r="J421" s="3">
        <v>400</v>
      </c>
      <c r="K421" s="4">
        <v>6</v>
      </c>
      <c r="O421" s="3"/>
    </row>
    <row r="422" spans="2:15">
      <c r="B422" s="2" t="s">
        <v>482</v>
      </c>
      <c r="C422" s="2" t="s">
        <v>404</v>
      </c>
      <c r="D422" s="2" t="s">
        <v>53</v>
      </c>
      <c r="E422" s="2" t="s">
        <v>415</v>
      </c>
      <c r="F422" s="2" t="s">
        <v>20</v>
      </c>
      <c r="G422" s="2" t="s">
        <v>32</v>
      </c>
      <c r="H422" s="2" t="s">
        <v>41</v>
      </c>
      <c r="I422" s="3">
        <v>460</v>
      </c>
      <c r="J422" s="3">
        <v>650</v>
      </c>
      <c r="K422" s="4">
        <v>6</v>
      </c>
      <c r="O422" s="3"/>
    </row>
    <row r="423" spans="2:15">
      <c r="B423" s="2" t="s">
        <v>483</v>
      </c>
      <c r="C423" s="2" t="s">
        <v>404</v>
      </c>
      <c r="D423" s="2" t="s">
        <v>414</v>
      </c>
      <c r="E423" s="2" t="s">
        <v>418</v>
      </c>
      <c r="F423" s="2" t="s">
        <v>412</v>
      </c>
      <c r="G423" s="2" t="s">
        <v>21</v>
      </c>
      <c r="H423" s="2" t="s">
        <v>43</v>
      </c>
      <c r="I423" s="3">
        <v>470</v>
      </c>
      <c r="J423" s="3">
        <v>650</v>
      </c>
      <c r="K423" s="4">
        <v>4</v>
      </c>
      <c r="O423" s="3"/>
    </row>
    <row r="424" spans="2:15">
      <c r="B424" s="2" t="s">
        <v>484</v>
      </c>
      <c r="C424" s="2" t="s">
        <v>404</v>
      </c>
      <c r="D424" s="2" t="s">
        <v>31</v>
      </c>
      <c r="E424" s="2" t="s">
        <v>406</v>
      </c>
      <c r="F424" s="2" t="s">
        <v>15</v>
      </c>
      <c r="G424" s="2" t="s">
        <v>39</v>
      </c>
      <c r="H424" s="2" t="s">
        <v>64</v>
      </c>
      <c r="I424" s="3">
        <v>310</v>
      </c>
      <c r="J424" s="3">
        <v>430</v>
      </c>
      <c r="K424" s="4">
        <v>5</v>
      </c>
      <c r="O424" s="3"/>
    </row>
    <row r="425" spans="2:15">
      <c r="B425" s="2" t="s">
        <v>485</v>
      </c>
      <c r="C425" s="2" t="s">
        <v>404</v>
      </c>
      <c r="D425" s="2" t="s">
        <v>414</v>
      </c>
      <c r="E425" s="2" t="s">
        <v>415</v>
      </c>
      <c r="F425" s="2" t="s">
        <v>15</v>
      </c>
      <c r="G425" s="2" t="s">
        <v>36</v>
      </c>
      <c r="H425" s="2" t="s">
        <v>25</v>
      </c>
      <c r="I425" s="3">
        <v>500</v>
      </c>
      <c r="J425" s="3">
        <v>710</v>
      </c>
      <c r="K425" s="4">
        <v>4</v>
      </c>
      <c r="O425" s="3"/>
    </row>
    <row r="426" spans="2:15">
      <c r="B426" s="2" t="s">
        <v>486</v>
      </c>
      <c r="C426" s="2" t="s">
        <v>404</v>
      </c>
      <c r="D426" s="2" t="s">
        <v>53</v>
      </c>
      <c r="E426" s="2" t="s">
        <v>411</v>
      </c>
      <c r="F426" s="2" t="s">
        <v>20</v>
      </c>
      <c r="G426" s="2" t="s">
        <v>36</v>
      </c>
      <c r="H426" s="2" t="s">
        <v>62</v>
      </c>
      <c r="I426" s="3">
        <v>440</v>
      </c>
      <c r="J426" s="3">
        <v>620</v>
      </c>
      <c r="K426" s="4">
        <v>4</v>
      </c>
      <c r="O426" s="3"/>
    </row>
    <row r="427" spans="2:15">
      <c r="B427" s="2" t="s">
        <v>487</v>
      </c>
      <c r="C427" s="2" t="s">
        <v>404</v>
      </c>
      <c r="D427" s="2" t="s">
        <v>414</v>
      </c>
      <c r="E427" s="2" t="s">
        <v>411</v>
      </c>
      <c r="F427" s="2" t="s">
        <v>15</v>
      </c>
      <c r="G427" s="2" t="s">
        <v>16</v>
      </c>
      <c r="H427" s="2" t="s">
        <v>64</v>
      </c>
      <c r="I427" s="3">
        <v>430</v>
      </c>
      <c r="J427" s="3">
        <v>610</v>
      </c>
      <c r="K427" s="4">
        <v>5</v>
      </c>
      <c r="O427" s="3"/>
    </row>
    <row r="428" spans="2:15">
      <c r="B428" s="2" t="s">
        <v>488</v>
      </c>
      <c r="C428" s="2" t="s">
        <v>404</v>
      </c>
      <c r="D428" s="2" t="s">
        <v>405</v>
      </c>
      <c r="E428" s="2" t="s">
        <v>409</v>
      </c>
      <c r="F428" s="2" t="s">
        <v>15</v>
      </c>
      <c r="G428" s="2" t="s">
        <v>39</v>
      </c>
      <c r="H428" s="2" t="s">
        <v>51</v>
      </c>
      <c r="I428" s="3">
        <v>380</v>
      </c>
      <c r="J428" s="3">
        <v>530</v>
      </c>
      <c r="K428" s="4">
        <v>4</v>
      </c>
      <c r="O428" s="3"/>
    </row>
    <row r="429" spans="2:15">
      <c r="B429" s="2" t="s">
        <v>489</v>
      </c>
      <c r="C429" s="2" t="s">
        <v>404</v>
      </c>
      <c r="D429" s="2" t="s">
        <v>417</v>
      </c>
      <c r="E429" s="2" t="s">
        <v>411</v>
      </c>
      <c r="F429" s="2" t="s">
        <v>412</v>
      </c>
      <c r="G429" s="2" t="s">
        <v>21</v>
      </c>
      <c r="H429" s="2" t="s">
        <v>51</v>
      </c>
      <c r="I429" s="3">
        <v>250</v>
      </c>
      <c r="J429" s="3">
        <v>350</v>
      </c>
      <c r="K429" s="4">
        <v>6</v>
      </c>
      <c r="O429" s="3"/>
    </row>
    <row r="430" spans="2:15">
      <c r="B430" s="2" t="s">
        <v>490</v>
      </c>
      <c r="C430" s="2" t="s">
        <v>404</v>
      </c>
      <c r="D430" s="2" t="s">
        <v>53</v>
      </c>
      <c r="E430" s="2" t="s">
        <v>411</v>
      </c>
      <c r="F430" s="2" t="s">
        <v>412</v>
      </c>
      <c r="G430" s="2" t="s">
        <v>36</v>
      </c>
      <c r="H430" s="2" t="s">
        <v>51</v>
      </c>
      <c r="I430" s="3">
        <v>500</v>
      </c>
      <c r="J430" s="3">
        <v>700</v>
      </c>
      <c r="K430" s="4">
        <v>4</v>
      </c>
      <c r="O430" s="3"/>
    </row>
    <row r="431" spans="2:15">
      <c r="B431" s="2" t="s">
        <v>491</v>
      </c>
      <c r="C431" s="2" t="s">
        <v>404</v>
      </c>
      <c r="D431" s="2" t="s">
        <v>405</v>
      </c>
      <c r="E431" s="2" t="s">
        <v>409</v>
      </c>
      <c r="F431" s="2" t="s">
        <v>20</v>
      </c>
      <c r="G431" s="2" t="s">
        <v>32</v>
      </c>
      <c r="H431" s="2" t="s">
        <v>104</v>
      </c>
      <c r="I431" s="3">
        <v>190</v>
      </c>
      <c r="J431" s="3">
        <v>270</v>
      </c>
      <c r="K431" s="4">
        <v>5</v>
      </c>
      <c r="O431" s="3"/>
    </row>
    <row r="432" spans="2:15">
      <c r="B432" s="2" t="s">
        <v>492</v>
      </c>
      <c r="C432" s="2" t="s">
        <v>404</v>
      </c>
      <c r="D432" s="2" t="s">
        <v>405</v>
      </c>
      <c r="E432" s="2" t="s">
        <v>418</v>
      </c>
      <c r="F432" s="2" t="s">
        <v>20</v>
      </c>
      <c r="G432" s="2" t="s">
        <v>36</v>
      </c>
      <c r="H432" s="2" t="s">
        <v>71</v>
      </c>
      <c r="I432" s="3">
        <v>260</v>
      </c>
      <c r="J432" s="3">
        <v>370</v>
      </c>
      <c r="K432" s="4">
        <v>6</v>
      </c>
      <c r="O432" s="3"/>
    </row>
    <row r="433" spans="2:15">
      <c r="B433" s="2" t="s">
        <v>493</v>
      </c>
      <c r="C433" s="2" t="s">
        <v>404</v>
      </c>
      <c r="D433" s="2" t="s">
        <v>405</v>
      </c>
      <c r="E433" s="2" t="s">
        <v>409</v>
      </c>
      <c r="F433" s="2" t="s">
        <v>412</v>
      </c>
      <c r="G433" s="2" t="s">
        <v>39</v>
      </c>
      <c r="H433" s="2" t="s">
        <v>33</v>
      </c>
      <c r="I433" s="3">
        <v>430</v>
      </c>
      <c r="J433" s="3">
        <v>600</v>
      </c>
      <c r="K433" s="4">
        <v>5</v>
      </c>
      <c r="O433" s="3"/>
    </row>
    <row r="434" spans="2:15">
      <c r="B434" s="2" t="s">
        <v>494</v>
      </c>
      <c r="C434" s="2" t="s">
        <v>404</v>
      </c>
      <c r="D434" s="2" t="s">
        <v>417</v>
      </c>
      <c r="E434" s="2" t="s">
        <v>409</v>
      </c>
      <c r="F434" s="2" t="s">
        <v>412</v>
      </c>
      <c r="G434" s="2" t="s">
        <v>36</v>
      </c>
      <c r="H434" s="2" t="s">
        <v>62</v>
      </c>
      <c r="I434" s="3">
        <v>430</v>
      </c>
      <c r="J434" s="3">
        <v>600</v>
      </c>
      <c r="K434" s="4">
        <v>4</v>
      </c>
      <c r="O434" s="3"/>
    </row>
    <row r="435" spans="2:15">
      <c r="B435" s="2" t="s">
        <v>495</v>
      </c>
      <c r="C435" s="2" t="s">
        <v>404</v>
      </c>
      <c r="D435" s="2" t="s">
        <v>31</v>
      </c>
      <c r="E435" s="2" t="s">
        <v>406</v>
      </c>
      <c r="F435" s="2" t="s">
        <v>15</v>
      </c>
      <c r="G435" s="2" t="s">
        <v>39</v>
      </c>
      <c r="H435" s="2" t="s">
        <v>29</v>
      </c>
      <c r="I435" s="3">
        <v>370</v>
      </c>
      <c r="J435" s="3">
        <v>510</v>
      </c>
      <c r="K435" s="4">
        <v>5</v>
      </c>
      <c r="O435" s="3"/>
    </row>
    <row r="436" spans="2:15">
      <c r="B436" s="2" t="s">
        <v>496</v>
      </c>
      <c r="C436" s="2" t="s">
        <v>404</v>
      </c>
      <c r="D436" s="2" t="s">
        <v>417</v>
      </c>
      <c r="E436" s="2" t="s">
        <v>409</v>
      </c>
      <c r="F436" s="2" t="s">
        <v>15</v>
      </c>
      <c r="G436" s="2" t="s">
        <v>39</v>
      </c>
      <c r="H436" s="2" t="s">
        <v>17</v>
      </c>
      <c r="I436" s="3">
        <v>330</v>
      </c>
      <c r="J436" s="3">
        <v>460</v>
      </c>
      <c r="K436" s="4">
        <v>4</v>
      </c>
      <c r="O436" s="3"/>
    </row>
    <row r="437" spans="2:15">
      <c r="B437" s="2" t="s">
        <v>497</v>
      </c>
      <c r="C437" s="2" t="s">
        <v>404</v>
      </c>
      <c r="D437" s="2" t="s">
        <v>405</v>
      </c>
      <c r="E437" s="2" t="s">
        <v>418</v>
      </c>
      <c r="F437" s="2" t="s">
        <v>412</v>
      </c>
      <c r="G437" s="2" t="s">
        <v>21</v>
      </c>
      <c r="H437" s="2" t="s">
        <v>22</v>
      </c>
      <c r="I437" s="3">
        <v>530</v>
      </c>
      <c r="J437" s="3">
        <v>740</v>
      </c>
      <c r="K437" s="4">
        <v>4</v>
      </c>
      <c r="O437" s="3"/>
    </row>
    <row r="438" spans="2:15">
      <c r="B438" s="2" t="s">
        <v>498</v>
      </c>
      <c r="C438" s="2" t="s">
        <v>404</v>
      </c>
      <c r="D438" s="2" t="s">
        <v>414</v>
      </c>
      <c r="E438" s="2" t="s">
        <v>406</v>
      </c>
      <c r="F438" s="2" t="s">
        <v>20</v>
      </c>
      <c r="G438" s="2" t="s">
        <v>39</v>
      </c>
      <c r="H438" s="2" t="s">
        <v>71</v>
      </c>
      <c r="I438" s="3">
        <v>460</v>
      </c>
      <c r="J438" s="3">
        <v>650</v>
      </c>
      <c r="K438" s="4">
        <v>5</v>
      </c>
      <c r="O438" s="3"/>
    </row>
    <row r="439" spans="2:15">
      <c r="B439" s="2" t="s">
        <v>499</v>
      </c>
      <c r="C439" s="2" t="s">
        <v>404</v>
      </c>
      <c r="D439" s="2" t="s">
        <v>61</v>
      </c>
      <c r="E439" s="2" t="s">
        <v>415</v>
      </c>
      <c r="F439" s="2" t="s">
        <v>412</v>
      </c>
      <c r="G439" s="2" t="s">
        <v>16</v>
      </c>
      <c r="H439" s="2" t="s">
        <v>49</v>
      </c>
      <c r="I439" s="3">
        <v>420</v>
      </c>
      <c r="J439" s="3">
        <v>590</v>
      </c>
      <c r="K439" s="4">
        <v>5</v>
      </c>
      <c r="O439" s="3"/>
    </row>
    <row r="440" spans="2:15">
      <c r="B440" s="2" t="s">
        <v>500</v>
      </c>
      <c r="C440" s="2" t="s">
        <v>404</v>
      </c>
      <c r="D440" s="2" t="s">
        <v>405</v>
      </c>
      <c r="E440" s="2" t="s">
        <v>418</v>
      </c>
      <c r="F440" s="2" t="s">
        <v>412</v>
      </c>
      <c r="G440" s="2" t="s">
        <v>39</v>
      </c>
      <c r="H440" s="2" t="s">
        <v>57</v>
      </c>
      <c r="I440" s="3">
        <v>300</v>
      </c>
      <c r="J440" s="3">
        <v>420</v>
      </c>
      <c r="K440" s="4">
        <v>6</v>
      </c>
      <c r="O440" s="3"/>
    </row>
    <row r="441" spans="2:15">
      <c r="B441" s="2" t="s">
        <v>501</v>
      </c>
      <c r="C441" s="2" t="s">
        <v>404</v>
      </c>
      <c r="D441" s="2" t="s">
        <v>61</v>
      </c>
      <c r="E441" s="2" t="s">
        <v>406</v>
      </c>
      <c r="F441" s="2" t="s">
        <v>412</v>
      </c>
      <c r="G441" s="2" t="s">
        <v>16</v>
      </c>
      <c r="H441" s="2" t="s">
        <v>17</v>
      </c>
      <c r="I441" s="3">
        <v>180</v>
      </c>
      <c r="J441" s="3">
        <v>250</v>
      </c>
      <c r="K441" s="4">
        <v>4</v>
      </c>
      <c r="O441" s="3"/>
    </row>
    <row r="442" spans="2:15">
      <c r="B442" s="2" t="s">
        <v>502</v>
      </c>
      <c r="C442" s="2" t="s">
        <v>404</v>
      </c>
      <c r="D442" s="2" t="s">
        <v>61</v>
      </c>
      <c r="E442" s="2" t="s">
        <v>406</v>
      </c>
      <c r="F442" s="2" t="s">
        <v>412</v>
      </c>
      <c r="G442" s="2" t="s">
        <v>36</v>
      </c>
      <c r="H442" s="2" t="s">
        <v>51</v>
      </c>
      <c r="I442" s="3">
        <v>510</v>
      </c>
      <c r="J442" s="3">
        <v>720</v>
      </c>
      <c r="K442" s="4">
        <v>4</v>
      </c>
      <c r="O442" s="3"/>
    </row>
    <row r="443" spans="2:15">
      <c r="B443" s="2" t="s">
        <v>503</v>
      </c>
      <c r="C443" s="2" t="s">
        <v>404</v>
      </c>
      <c r="D443" s="2" t="s">
        <v>408</v>
      </c>
      <c r="E443" s="2" t="s">
        <v>418</v>
      </c>
      <c r="F443" s="2" t="s">
        <v>412</v>
      </c>
      <c r="G443" s="2" t="s">
        <v>36</v>
      </c>
      <c r="H443" s="2" t="s">
        <v>59</v>
      </c>
      <c r="I443" s="3">
        <v>440</v>
      </c>
      <c r="J443" s="3">
        <v>620</v>
      </c>
      <c r="K443" s="4">
        <v>6</v>
      </c>
      <c r="O443" s="3"/>
    </row>
    <row r="444" spans="2:15">
      <c r="B444" s="2" t="s">
        <v>504</v>
      </c>
      <c r="C444" s="2" t="s">
        <v>404</v>
      </c>
      <c r="D444" s="2" t="s">
        <v>408</v>
      </c>
      <c r="E444" s="2" t="s">
        <v>409</v>
      </c>
      <c r="F444" s="2" t="s">
        <v>15</v>
      </c>
      <c r="G444" s="2" t="s">
        <v>21</v>
      </c>
      <c r="H444" s="2" t="s">
        <v>33</v>
      </c>
      <c r="I444" s="3">
        <v>190</v>
      </c>
      <c r="J444" s="3">
        <v>260</v>
      </c>
      <c r="K444" s="4">
        <v>5</v>
      </c>
      <c r="O444" s="3"/>
    </row>
    <row r="445" spans="2:15">
      <c r="B445" s="2" t="s">
        <v>505</v>
      </c>
      <c r="C445" s="2" t="s">
        <v>404</v>
      </c>
      <c r="D445" s="2" t="s">
        <v>53</v>
      </c>
      <c r="E445" s="2" t="s">
        <v>418</v>
      </c>
      <c r="F445" s="2" t="s">
        <v>412</v>
      </c>
      <c r="G445" s="2" t="s">
        <v>39</v>
      </c>
      <c r="H445" s="2" t="s">
        <v>43</v>
      </c>
      <c r="I445" s="3">
        <v>380</v>
      </c>
      <c r="J445" s="3">
        <v>530</v>
      </c>
      <c r="K445" s="4">
        <v>6</v>
      </c>
      <c r="O445" s="3"/>
    </row>
    <row r="446" spans="2:15">
      <c r="B446" s="2" t="s">
        <v>506</v>
      </c>
      <c r="C446" s="2" t="s">
        <v>404</v>
      </c>
      <c r="D446" s="2" t="s">
        <v>408</v>
      </c>
      <c r="E446" s="2" t="s">
        <v>418</v>
      </c>
      <c r="F446" s="2" t="s">
        <v>20</v>
      </c>
      <c r="G446" s="2" t="s">
        <v>21</v>
      </c>
      <c r="H446" s="2" t="s">
        <v>59</v>
      </c>
      <c r="I446" s="3">
        <v>480</v>
      </c>
      <c r="J446" s="3">
        <v>660</v>
      </c>
      <c r="K446" s="4">
        <v>4</v>
      </c>
      <c r="O446" s="3"/>
    </row>
    <row r="447" spans="2:15">
      <c r="B447" s="2" t="s">
        <v>507</v>
      </c>
      <c r="C447" s="2" t="s">
        <v>404</v>
      </c>
      <c r="D447" s="2" t="s">
        <v>417</v>
      </c>
      <c r="E447" s="2" t="s">
        <v>406</v>
      </c>
      <c r="F447" s="2" t="s">
        <v>15</v>
      </c>
      <c r="G447" s="2" t="s">
        <v>32</v>
      </c>
      <c r="H447" s="2" t="s">
        <v>49</v>
      </c>
      <c r="I447" s="3">
        <v>370</v>
      </c>
      <c r="J447" s="3">
        <v>520</v>
      </c>
      <c r="K447" s="4">
        <v>5</v>
      </c>
      <c r="O447" s="3"/>
    </row>
    <row r="448" spans="2:15">
      <c r="B448" s="2" t="s">
        <v>508</v>
      </c>
      <c r="C448" s="2" t="s">
        <v>404</v>
      </c>
      <c r="D448" s="2" t="s">
        <v>405</v>
      </c>
      <c r="E448" s="2" t="s">
        <v>415</v>
      </c>
      <c r="F448" s="2" t="s">
        <v>20</v>
      </c>
      <c r="G448" s="2" t="s">
        <v>21</v>
      </c>
      <c r="H448" s="2" t="s">
        <v>51</v>
      </c>
      <c r="I448" s="3">
        <v>320</v>
      </c>
      <c r="J448" s="3">
        <v>450</v>
      </c>
      <c r="K448" s="4">
        <v>5</v>
      </c>
      <c r="O448" s="3"/>
    </row>
    <row r="449" spans="2:15">
      <c r="B449" s="2" t="s">
        <v>509</v>
      </c>
      <c r="C449" s="2" t="s">
        <v>404</v>
      </c>
      <c r="D449" s="2" t="s">
        <v>417</v>
      </c>
      <c r="E449" s="2" t="s">
        <v>409</v>
      </c>
      <c r="F449" s="2" t="s">
        <v>20</v>
      </c>
      <c r="G449" s="2" t="s">
        <v>39</v>
      </c>
      <c r="H449" s="2" t="s">
        <v>29</v>
      </c>
      <c r="I449" s="3">
        <v>500</v>
      </c>
      <c r="J449" s="3">
        <v>700</v>
      </c>
      <c r="K449" s="4">
        <v>3</v>
      </c>
      <c r="O449" s="3"/>
    </row>
    <row r="450" spans="2:15">
      <c r="B450" s="2" t="s">
        <v>510</v>
      </c>
      <c r="C450" s="2" t="s">
        <v>404</v>
      </c>
      <c r="D450" s="2" t="s">
        <v>417</v>
      </c>
      <c r="E450" s="2" t="s">
        <v>406</v>
      </c>
      <c r="F450" s="2" t="s">
        <v>15</v>
      </c>
      <c r="G450" s="2" t="s">
        <v>36</v>
      </c>
      <c r="H450" s="2" t="s">
        <v>69</v>
      </c>
      <c r="I450" s="3">
        <v>210</v>
      </c>
      <c r="J450" s="3">
        <v>300</v>
      </c>
      <c r="K450" s="4">
        <v>6</v>
      </c>
      <c r="O450" s="3"/>
    </row>
    <row r="451" spans="2:15">
      <c r="B451" s="2" t="s">
        <v>511</v>
      </c>
      <c r="C451" s="2" t="s">
        <v>404</v>
      </c>
      <c r="D451" s="2" t="s">
        <v>408</v>
      </c>
      <c r="E451" s="2" t="s">
        <v>406</v>
      </c>
      <c r="F451" s="2" t="s">
        <v>412</v>
      </c>
      <c r="G451" s="2" t="s">
        <v>32</v>
      </c>
      <c r="H451" s="2" t="s">
        <v>64</v>
      </c>
      <c r="I451" s="3">
        <v>250</v>
      </c>
      <c r="J451" s="3">
        <v>350</v>
      </c>
      <c r="K451" s="4">
        <v>5</v>
      </c>
      <c r="O451" s="3"/>
    </row>
    <row r="452" spans="2:15">
      <c r="B452" s="2" t="s">
        <v>512</v>
      </c>
      <c r="C452" s="2" t="s">
        <v>404</v>
      </c>
      <c r="D452" s="2" t="s">
        <v>408</v>
      </c>
      <c r="E452" s="2" t="s">
        <v>418</v>
      </c>
      <c r="F452" s="2" t="s">
        <v>15</v>
      </c>
      <c r="G452" s="2" t="s">
        <v>39</v>
      </c>
      <c r="H452" s="2" t="s">
        <v>41</v>
      </c>
      <c r="I452" s="3">
        <v>200</v>
      </c>
      <c r="J452" s="3">
        <v>280</v>
      </c>
      <c r="K452" s="4">
        <v>4</v>
      </c>
      <c r="O452" s="3"/>
    </row>
    <row r="453" spans="2:15">
      <c r="B453" s="2" t="s">
        <v>513</v>
      </c>
      <c r="C453" s="2" t="s">
        <v>404</v>
      </c>
      <c r="D453" s="2" t="s">
        <v>53</v>
      </c>
      <c r="E453" s="2" t="s">
        <v>418</v>
      </c>
      <c r="F453" s="2" t="s">
        <v>412</v>
      </c>
      <c r="G453" s="2" t="s">
        <v>16</v>
      </c>
      <c r="H453" s="2" t="s">
        <v>22</v>
      </c>
      <c r="I453" s="3">
        <v>180</v>
      </c>
      <c r="J453" s="3">
        <v>250</v>
      </c>
      <c r="K453" s="4">
        <v>3</v>
      </c>
      <c r="O453" s="3"/>
    </row>
    <row r="454" spans="2:15">
      <c r="B454" s="2" t="s">
        <v>514</v>
      </c>
      <c r="C454" s="2" t="s">
        <v>404</v>
      </c>
      <c r="D454" s="2" t="s">
        <v>31</v>
      </c>
      <c r="E454" s="2" t="s">
        <v>409</v>
      </c>
      <c r="F454" s="2" t="s">
        <v>20</v>
      </c>
      <c r="G454" s="2" t="s">
        <v>36</v>
      </c>
      <c r="H454" s="2" t="s">
        <v>43</v>
      </c>
      <c r="I454" s="3">
        <v>510</v>
      </c>
      <c r="J454" s="3">
        <v>710</v>
      </c>
      <c r="K454" s="4">
        <v>4</v>
      </c>
      <c r="O454" s="3"/>
    </row>
    <row r="455" spans="2:15">
      <c r="B455" s="2" t="s">
        <v>515</v>
      </c>
      <c r="C455" s="2" t="s">
        <v>404</v>
      </c>
      <c r="D455" s="2" t="s">
        <v>414</v>
      </c>
      <c r="E455" s="2" t="s">
        <v>415</v>
      </c>
      <c r="F455" s="2" t="s">
        <v>412</v>
      </c>
      <c r="G455" s="2" t="s">
        <v>36</v>
      </c>
      <c r="H455" s="2" t="s">
        <v>69</v>
      </c>
      <c r="I455" s="3">
        <v>450</v>
      </c>
      <c r="J455" s="3">
        <v>630</v>
      </c>
      <c r="K455" s="4">
        <v>3</v>
      </c>
      <c r="O455" s="3"/>
    </row>
    <row r="456" spans="2:15">
      <c r="B456" s="2" t="s">
        <v>516</v>
      </c>
      <c r="C456" s="2" t="s">
        <v>404</v>
      </c>
      <c r="D456" s="2" t="s">
        <v>61</v>
      </c>
      <c r="E456" s="2" t="s">
        <v>409</v>
      </c>
      <c r="F456" s="2" t="s">
        <v>15</v>
      </c>
      <c r="G456" s="2" t="s">
        <v>16</v>
      </c>
      <c r="H456" s="2" t="s">
        <v>51</v>
      </c>
      <c r="I456" s="3">
        <v>510</v>
      </c>
      <c r="J456" s="3">
        <v>710</v>
      </c>
      <c r="K456" s="4">
        <v>3</v>
      </c>
      <c r="O456" s="3"/>
    </row>
    <row r="457" spans="2:15">
      <c r="B457" s="2" t="s">
        <v>517</v>
      </c>
      <c r="C457" s="2" t="s">
        <v>404</v>
      </c>
      <c r="D457" s="2" t="s">
        <v>53</v>
      </c>
      <c r="E457" s="2" t="s">
        <v>409</v>
      </c>
      <c r="F457" s="2" t="s">
        <v>412</v>
      </c>
      <c r="G457" s="2" t="s">
        <v>39</v>
      </c>
      <c r="H457" s="2" t="s">
        <v>37</v>
      </c>
      <c r="I457" s="3">
        <v>270</v>
      </c>
      <c r="J457" s="3">
        <v>370</v>
      </c>
      <c r="K457" s="4">
        <v>5</v>
      </c>
      <c r="O457" s="3"/>
    </row>
    <row r="458" spans="2:15">
      <c r="B458" s="2" t="s">
        <v>518</v>
      </c>
      <c r="C458" s="2" t="s">
        <v>404</v>
      </c>
      <c r="D458" s="2" t="s">
        <v>61</v>
      </c>
      <c r="E458" s="2" t="s">
        <v>406</v>
      </c>
      <c r="F458" s="2" t="s">
        <v>15</v>
      </c>
      <c r="G458" s="2" t="s">
        <v>16</v>
      </c>
      <c r="H458" s="2" t="s">
        <v>57</v>
      </c>
      <c r="I458" s="3">
        <v>340</v>
      </c>
      <c r="J458" s="3">
        <v>470</v>
      </c>
      <c r="K458" s="4">
        <v>3</v>
      </c>
      <c r="O458" s="3"/>
    </row>
    <row r="459" spans="2:15">
      <c r="B459" s="2" t="s">
        <v>519</v>
      </c>
      <c r="C459" s="2" t="s">
        <v>404</v>
      </c>
      <c r="D459" s="2" t="s">
        <v>405</v>
      </c>
      <c r="E459" s="2" t="s">
        <v>409</v>
      </c>
      <c r="F459" s="2" t="s">
        <v>412</v>
      </c>
      <c r="G459" s="2" t="s">
        <v>16</v>
      </c>
      <c r="H459" s="2" t="s">
        <v>29</v>
      </c>
      <c r="I459" s="3">
        <v>420</v>
      </c>
      <c r="J459" s="3">
        <v>590</v>
      </c>
      <c r="K459" s="4">
        <v>5</v>
      </c>
      <c r="O459" s="3"/>
    </row>
    <row r="460" spans="2:15">
      <c r="B460" s="2" t="s">
        <v>520</v>
      </c>
      <c r="C460" s="2" t="s">
        <v>404</v>
      </c>
      <c r="D460" s="2" t="s">
        <v>414</v>
      </c>
      <c r="E460" s="2" t="s">
        <v>406</v>
      </c>
      <c r="F460" s="2" t="s">
        <v>15</v>
      </c>
      <c r="G460" s="2" t="s">
        <v>21</v>
      </c>
      <c r="H460" s="2" t="s">
        <v>29</v>
      </c>
      <c r="I460" s="3">
        <v>520</v>
      </c>
      <c r="J460" s="3">
        <v>730</v>
      </c>
      <c r="K460" s="4">
        <v>4</v>
      </c>
      <c r="O460" s="3"/>
    </row>
    <row r="461" spans="2:15">
      <c r="B461" s="2" t="s">
        <v>521</v>
      </c>
      <c r="C461" s="2" t="s">
        <v>404</v>
      </c>
      <c r="D461" s="2" t="s">
        <v>31</v>
      </c>
      <c r="E461" s="2" t="s">
        <v>406</v>
      </c>
      <c r="F461" s="2" t="s">
        <v>20</v>
      </c>
      <c r="G461" s="2" t="s">
        <v>21</v>
      </c>
      <c r="H461" s="2" t="s">
        <v>59</v>
      </c>
      <c r="I461" s="3">
        <v>190</v>
      </c>
      <c r="J461" s="3">
        <v>270</v>
      </c>
      <c r="K461" s="4">
        <v>5</v>
      </c>
      <c r="O461" s="3"/>
    </row>
    <row r="462" spans="2:15">
      <c r="B462" s="2" t="s">
        <v>522</v>
      </c>
      <c r="C462" s="2" t="s">
        <v>404</v>
      </c>
      <c r="D462" s="2" t="s">
        <v>61</v>
      </c>
      <c r="E462" s="2" t="s">
        <v>406</v>
      </c>
      <c r="F462" s="2" t="s">
        <v>20</v>
      </c>
      <c r="G462" s="2" t="s">
        <v>32</v>
      </c>
      <c r="H462" s="2" t="s">
        <v>43</v>
      </c>
      <c r="I462" s="3">
        <v>370</v>
      </c>
      <c r="J462" s="3">
        <v>520</v>
      </c>
      <c r="K462" s="4">
        <v>4</v>
      </c>
      <c r="O462" s="3"/>
    </row>
    <row r="463" spans="2:15">
      <c r="B463" s="2" t="s">
        <v>523</v>
      </c>
      <c r="C463" s="2" t="s">
        <v>404</v>
      </c>
      <c r="D463" s="2" t="s">
        <v>405</v>
      </c>
      <c r="E463" s="2" t="s">
        <v>415</v>
      </c>
      <c r="F463" s="2" t="s">
        <v>412</v>
      </c>
      <c r="G463" s="2" t="s">
        <v>21</v>
      </c>
      <c r="H463" s="2" t="s">
        <v>101</v>
      </c>
      <c r="I463" s="3">
        <v>430</v>
      </c>
      <c r="J463" s="3">
        <v>610</v>
      </c>
      <c r="K463" s="4">
        <v>3</v>
      </c>
      <c r="O463" s="3"/>
    </row>
    <row r="464" spans="2:15">
      <c r="B464" s="2" t="s">
        <v>524</v>
      </c>
      <c r="C464" s="2" t="s">
        <v>404</v>
      </c>
      <c r="D464" s="2" t="s">
        <v>61</v>
      </c>
      <c r="E464" s="2" t="s">
        <v>406</v>
      </c>
      <c r="F464" s="2" t="s">
        <v>412</v>
      </c>
      <c r="G464" s="2" t="s">
        <v>21</v>
      </c>
      <c r="H464" s="2" t="s">
        <v>75</v>
      </c>
      <c r="I464" s="3">
        <v>490</v>
      </c>
      <c r="J464" s="3">
        <v>680</v>
      </c>
      <c r="K464" s="4">
        <v>4</v>
      </c>
      <c r="O464" s="3"/>
    </row>
    <row r="465" spans="2:15">
      <c r="B465" s="2" t="s">
        <v>525</v>
      </c>
      <c r="C465" s="2" t="s">
        <v>404</v>
      </c>
      <c r="D465" s="2" t="s">
        <v>53</v>
      </c>
      <c r="E465" s="2" t="s">
        <v>418</v>
      </c>
      <c r="F465" s="2" t="s">
        <v>412</v>
      </c>
      <c r="G465" s="2" t="s">
        <v>39</v>
      </c>
      <c r="H465" s="2" t="s">
        <v>17</v>
      </c>
      <c r="I465" s="3">
        <v>530</v>
      </c>
      <c r="J465" s="3">
        <v>740</v>
      </c>
      <c r="K465" s="4">
        <v>6</v>
      </c>
      <c r="O465" s="3"/>
    </row>
    <row r="466" spans="2:15">
      <c r="B466" s="2" t="s">
        <v>526</v>
      </c>
      <c r="C466" s="2" t="s">
        <v>404</v>
      </c>
      <c r="D466" s="2" t="s">
        <v>31</v>
      </c>
      <c r="E466" s="2" t="s">
        <v>406</v>
      </c>
      <c r="F466" s="2" t="s">
        <v>15</v>
      </c>
      <c r="G466" s="2" t="s">
        <v>21</v>
      </c>
      <c r="H466" s="2" t="s">
        <v>43</v>
      </c>
      <c r="I466" s="3">
        <v>350</v>
      </c>
      <c r="J466" s="3">
        <v>480</v>
      </c>
      <c r="K466" s="4">
        <v>3</v>
      </c>
      <c r="O466" s="3"/>
    </row>
    <row r="467" spans="2:15">
      <c r="B467" s="2" t="s">
        <v>527</v>
      </c>
      <c r="C467" s="2" t="s">
        <v>404</v>
      </c>
      <c r="D467" s="2" t="s">
        <v>61</v>
      </c>
      <c r="E467" s="2" t="s">
        <v>406</v>
      </c>
      <c r="F467" s="2" t="s">
        <v>15</v>
      </c>
      <c r="G467" s="2" t="s">
        <v>21</v>
      </c>
      <c r="H467" s="2" t="s">
        <v>22</v>
      </c>
      <c r="I467" s="3">
        <v>330</v>
      </c>
      <c r="J467" s="3">
        <v>470</v>
      </c>
      <c r="K467" s="4">
        <v>5</v>
      </c>
      <c r="O467" s="3"/>
    </row>
    <row r="468" spans="2:15">
      <c r="B468" s="2" t="s">
        <v>528</v>
      </c>
      <c r="C468" s="2" t="s">
        <v>404</v>
      </c>
      <c r="D468" s="2" t="s">
        <v>408</v>
      </c>
      <c r="E468" s="2" t="s">
        <v>406</v>
      </c>
      <c r="F468" s="2" t="s">
        <v>15</v>
      </c>
      <c r="G468" s="2" t="s">
        <v>39</v>
      </c>
      <c r="H468" s="2" t="s">
        <v>69</v>
      </c>
      <c r="I468" s="3">
        <v>430</v>
      </c>
      <c r="J468" s="3">
        <v>600</v>
      </c>
      <c r="K468" s="4">
        <v>3</v>
      </c>
      <c r="O468" s="3"/>
    </row>
    <row r="469" spans="2:15">
      <c r="B469" s="2" t="s">
        <v>529</v>
      </c>
      <c r="C469" s="2" t="s">
        <v>404</v>
      </c>
      <c r="D469" s="2" t="s">
        <v>61</v>
      </c>
      <c r="E469" s="2" t="s">
        <v>406</v>
      </c>
      <c r="F469" s="2" t="s">
        <v>20</v>
      </c>
      <c r="G469" s="2" t="s">
        <v>39</v>
      </c>
      <c r="H469" s="2" t="s">
        <v>59</v>
      </c>
      <c r="I469" s="3">
        <v>160</v>
      </c>
      <c r="J469" s="3">
        <v>220</v>
      </c>
      <c r="K469" s="4">
        <v>5</v>
      </c>
      <c r="O469" s="3"/>
    </row>
    <row r="470" spans="2:15">
      <c r="B470" s="2" t="s">
        <v>530</v>
      </c>
      <c r="C470" s="2" t="s">
        <v>404</v>
      </c>
      <c r="D470" s="2" t="s">
        <v>408</v>
      </c>
      <c r="E470" s="2" t="s">
        <v>415</v>
      </c>
      <c r="F470" s="2" t="s">
        <v>15</v>
      </c>
      <c r="G470" s="2" t="s">
        <v>36</v>
      </c>
      <c r="H470" s="2" t="s">
        <v>59</v>
      </c>
      <c r="I470" s="3">
        <v>470</v>
      </c>
      <c r="J470" s="3">
        <v>660</v>
      </c>
      <c r="K470" s="4">
        <v>3</v>
      </c>
      <c r="O470" s="3"/>
    </row>
    <row r="471" spans="2:15">
      <c r="B471" s="2" t="s">
        <v>531</v>
      </c>
      <c r="C471" s="2" t="s">
        <v>404</v>
      </c>
      <c r="D471" s="2" t="s">
        <v>405</v>
      </c>
      <c r="E471" s="2" t="s">
        <v>415</v>
      </c>
      <c r="F471" s="2" t="s">
        <v>412</v>
      </c>
      <c r="G471" s="2" t="s">
        <v>16</v>
      </c>
      <c r="H471" s="2" t="s">
        <v>33</v>
      </c>
      <c r="I471" s="3">
        <v>480</v>
      </c>
      <c r="J471" s="3">
        <v>670</v>
      </c>
      <c r="K471" s="4">
        <v>3</v>
      </c>
      <c r="O471" s="3"/>
    </row>
    <row r="472" spans="2:15">
      <c r="B472" s="2" t="s">
        <v>532</v>
      </c>
      <c r="C472" s="2" t="s">
        <v>404</v>
      </c>
      <c r="D472" s="2" t="s">
        <v>31</v>
      </c>
      <c r="E472" s="2" t="s">
        <v>415</v>
      </c>
      <c r="F472" s="2" t="s">
        <v>20</v>
      </c>
      <c r="G472" s="2" t="s">
        <v>16</v>
      </c>
      <c r="H472" s="2" t="s">
        <v>62</v>
      </c>
      <c r="I472" s="3">
        <v>310</v>
      </c>
      <c r="J472" s="3">
        <v>430</v>
      </c>
      <c r="K472" s="4">
        <v>5</v>
      </c>
      <c r="O472" s="3"/>
    </row>
    <row r="473" spans="2:15">
      <c r="B473" s="2" t="s">
        <v>533</v>
      </c>
      <c r="C473" s="2" t="s">
        <v>404</v>
      </c>
      <c r="D473" s="2" t="s">
        <v>405</v>
      </c>
      <c r="E473" s="2" t="s">
        <v>409</v>
      </c>
      <c r="F473" s="2" t="s">
        <v>15</v>
      </c>
      <c r="G473" s="2" t="s">
        <v>36</v>
      </c>
      <c r="H473" s="2" t="s">
        <v>17</v>
      </c>
      <c r="I473" s="3">
        <v>350</v>
      </c>
      <c r="J473" s="3">
        <v>490</v>
      </c>
      <c r="K473" s="4">
        <v>3</v>
      </c>
      <c r="O473" s="3"/>
    </row>
    <row r="474" spans="2:15">
      <c r="B474" s="2" t="s">
        <v>534</v>
      </c>
      <c r="C474" s="2" t="s">
        <v>404</v>
      </c>
      <c r="D474" s="2" t="s">
        <v>31</v>
      </c>
      <c r="E474" s="2" t="s">
        <v>411</v>
      </c>
      <c r="F474" s="2" t="s">
        <v>20</v>
      </c>
      <c r="G474" s="2" t="s">
        <v>36</v>
      </c>
      <c r="H474" s="2" t="s">
        <v>25</v>
      </c>
      <c r="I474" s="3">
        <v>280</v>
      </c>
      <c r="J474" s="3">
        <v>380</v>
      </c>
      <c r="K474" s="4">
        <v>3</v>
      </c>
      <c r="O474" s="3"/>
    </row>
    <row r="475" spans="2:15">
      <c r="B475" s="2" t="s">
        <v>535</v>
      </c>
      <c r="C475" s="2" t="s">
        <v>404</v>
      </c>
      <c r="D475" s="2" t="s">
        <v>408</v>
      </c>
      <c r="E475" s="2" t="s">
        <v>406</v>
      </c>
      <c r="F475" s="2" t="s">
        <v>20</v>
      </c>
      <c r="G475" s="2" t="s">
        <v>39</v>
      </c>
      <c r="H475" s="2" t="s">
        <v>57</v>
      </c>
      <c r="I475" s="3">
        <v>310</v>
      </c>
      <c r="J475" s="3">
        <v>430</v>
      </c>
      <c r="K475" s="4">
        <v>3</v>
      </c>
      <c r="O475" s="3"/>
    </row>
    <row r="476" spans="2:15">
      <c r="B476" s="2" t="s">
        <v>536</v>
      </c>
      <c r="C476" s="2" t="s">
        <v>404</v>
      </c>
      <c r="D476" s="2" t="s">
        <v>53</v>
      </c>
      <c r="E476" s="2" t="s">
        <v>418</v>
      </c>
      <c r="F476" s="2" t="s">
        <v>412</v>
      </c>
      <c r="G476" s="2" t="s">
        <v>21</v>
      </c>
      <c r="H476" s="2" t="s">
        <v>33</v>
      </c>
      <c r="I476" s="3">
        <v>230</v>
      </c>
      <c r="J476" s="3">
        <v>330</v>
      </c>
      <c r="K476" s="4">
        <v>4</v>
      </c>
      <c r="O476" s="3"/>
    </row>
    <row r="477" spans="2:15">
      <c r="B477" s="2" t="s">
        <v>537</v>
      </c>
      <c r="C477" s="2" t="s">
        <v>404</v>
      </c>
      <c r="D477" s="2" t="s">
        <v>414</v>
      </c>
      <c r="E477" s="2" t="s">
        <v>418</v>
      </c>
      <c r="F477" s="2" t="s">
        <v>412</v>
      </c>
      <c r="G477" s="2" t="s">
        <v>39</v>
      </c>
      <c r="H477" s="2" t="s">
        <v>69</v>
      </c>
      <c r="I477" s="3">
        <v>340</v>
      </c>
      <c r="J477" s="3">
        <v>480</v>
      </c>
      <c r="K477" s="4">
        <v>5</v>
      </c>
      <c r="O477" s="3"/>
    </row>
    <row r="478" spans="2:15">
      <c r="B478" s="2" t="s">
        <v>538</v>
      </c>
      <c r="C478" s="2" t="s">
        <v>404</v>
      </c>
      <c r="D478" s="2" t="s">
        <v>61</v>
      </c>
      <c r="E478" s="2" t="s">
        <v>415</v>
      </c>
      <c r="F478" s="2" t="s">
        <v>20</v>
      </c>
      <c r="G478" s="2" t="s">
        <v>32</v>
      </c>
      <c r="H478" s="2" t="s">
        <v>71</v>
      </c>
      <c r="I478" s="3">
        <v>370</v>
      </c>
      <c r="J478" s="3">
        <v>520</v>
      </c>
      <c r="K478" s="4">
        <v>3</v>
      </c>
      <c r="O478" s="3"/>
    </row>
    <row r="479" spans="2:15">
      <c r="B479" s="2" t="s">
        <v>539</v>
      </c>
      <c r="C479" s="2" t="s">
        <v>404</v>
      </c>
      <c r="D479" s="2" t="s">
        <v>53</v>
      </c>
      <c r="E479" s="2" t="s">
        <v>415</v>
      </c>
      <c r="F479" s="2" t="s">
        <v>15</v>
      </c>
      <c r="G479" s="2" t="s">
        <v>39</v>
      </c>
      <c r="H479" s="2" t="s">
        <v>51</v>
      </c>
      <c r="I479" s="3">
        <v>400</v>
      </c>
      <c r="J479" s="3">
        <v>560</v>
      </c>
      <c r="K479" s="4">
        <v>4</v>
      </c>
      <c r="O479" s="3"/>
    </row>
    <row r="480" spans="2:15">
      <c r="B480" s="2" t="s">
        <v>540</v>
      </c>
      <c r="C480" s="2" t="s">
        <v>404</v>
      </c>
      <c r="D480" s="2" t="s">
        <v>414</v>
      </c>
      <c r="E480" s="2" t="s">
        <v>418</v>
      </c>
      <c r="F480" s="2" t="s">
        <v>20</v>
      </c>
      <c r="G480" s="2" t="s">
        <v>21</v>
      </c>
      <c r="H480" s="2" t="s">
        <v>37</v>
      </c>
      <c r="I480" s="3">
        <v>340</v>
      </c>
      <c r="J480" s="3">
        <v>470</v>
      </c>
      <c r="K480" s="4">
        <v>4</v>
      </c>
      <c r="O480" s="3"/>
    </row>
    <row r="481" spans="2:15">
      <c r="B481" s="2" t="s">
        <v>541</v>
      </c>
      <c r="C481" s="2" t="s">
        <v>404</v>
      </c>
      <c r="D481" s="2" t="s">
        <v>405</v>
      </c>
      <c r="E481" s="2" t="s">
        <v>409</v>
      </c>
      <c r="F481" s="2" t="s">
        <v>20</v>
      </c>
      <c r="G481" s="2" t="s">
        <v>39</v>
      </c>
      <c r="H481" s="2" t="s">
        <v>17</v>
      </c>
      <c r="I481" s="3">
        <v>530</v>
      </c>
      <c r="J481" s="3">
        <v>740</v>
      </c>
      <c r="K481" s="4">
        <v>3</v>
      </c>
      <c r="O481" s="3"/>
    </row>
    <row r="482" spans="2:15">
      <c r="B482" s="2" t="s">
        <v>542</v>
      </c>
      <c r="C482" s="2" t="s">
        <v>404</v>
      </c>
      <c r="D482" s="2" t="s">
        <v>61</v>
      </c>
      <c r="E482" s="2" t="s">
        <v>411</v>
      </c>
      <c r="F482" s="2" t="s">
        <v>20</v>
      </c>
      <c r="G482" s="2" t="s">
        <v>16</v>
      </c>
      <c r="H482" s="2" t="s">
        <v>104</v>
      </c>
      <c r="I482" s="3">
        <v>390</v>
      </c>
      <c r="J482" s="3">
        <v>550</v>
      </c>
      <c r="K482" s="4">
        <v>6</v>
      </c>
      <c r="O482" s="3"/>
    </row>
    <row r="483" spans="2:15">
      <c r="B483" s="2" t="s">
        <v>543</v>
      </c>
      <c r="C483" s="2" t="s">
        <v>404</v>
      </c>
      <c r="D483" s="2" t="s">
        <v>61</v>
      </c>
      <c r="E483" s="2" t="s">
        <v>406</v>
      </c>
      <c r="F483" s="2" t="s">
        <v>15</v>
      </c>
      <c r="G483" s="2" t="s">
        <v>32</v>
      </c>
      <c r="H483" s="2" t="s">
        <v>33</v>
      </c>
      <c r="I483" s="3">
        <v>260</v>
      </c>
      <c r="J483" s="3">
        <v>370</v>
      </c>
      <c r="K483" s="4">
        <v>3</v>
      </c>
      <c r="O483" s="3"/>
    </row>
    <row r="484" spans="2:15">
      <c r="B484" s="2" t="s">
        <v>544</v>
      </c>
      <c r="C484" s="2" t="s">
        <v>404</v>
      </c>
      <c r="D484" s="2" t="s">
        <v>61</v>
      </c>
      <c r="E484" s="2" t="s">
        <v>409</v>
      </c>
      <c r="F484" s="2" t="s">
        <v>412</v>
      </c>
      <c r="G484" s="2" t="s">
        <v>39</v>
      </c>
      <c r="H484" s="2" t="s">
        <v>64</v>
      </c>
      <c r="I484" s="3">
        <v>440</v>
      </c>
      <c r="J484" s="3">
        <v>620</v>
      </c>
      <c r="K484" s="4">
        <v>4</v>
      </c>
      <c r="O484" s="3"/>
    </row>
    <row r="485" spans="2:15">
      <c r="B485" s="2" t="s">
        <v>545</v>
      </c>
      <c r="C485" s="2" t="s">
        <v>404</v>
      </c>
      <c r="D485" s="2" t="s">
        <v>31</v>
      </c>
      <c r="E485" s="2" t="s">
        <v>411</v>
      </c>
      <c r="F485" s="2" t="s">
        <v>20</v>
      </c>
      <c r="G485" s="2" t="s">
        <v>36</v>
      </c>
      <c r="H485" s="2" t="s">
        <v>101</v>
      </c>
      <c r="I485" s="3">
        <v>410</v>
      </c>
      <c r="J485" s="3">
        <v>580</v>
      </c>
      <c r="K485" s="4">
        <v>5</v>
      </c>
      <c r="O485" s="3"/>
    </row>
    <row r="486" spans="2:15">
      <c r="B486" s="2" t="s">
        <v>546</v>
      </c>
      <c r="C486" s="2" t="s">
        <v>404</v>
      </c>
      <c r="D486" s="2" t="s">
        <v>31</v>
      </c>
      <c r="E486" s="2" t="s">
        <v>415</v>
      </c>
      <c r="F486" s="2" t="s">
        <v>15</v>
      </c>
      <c r="G486" s="2" t="s">
        <v>39</v>
      </c>
      <c r="H486" s="2" t="s">
        <v>41</v>
      </c>
      <c r="I486" s="3">
        <v>320</v>
      </c>
      <c r="J486" s="3">
        <v>440</v>
      </c>
      <c r="K486" s="4">
        <v>4</v>
      </c>
      <c r="O486" s="3"/>
    </row>
    <row r="487" spans="2:15">
      <c r="B487" s="2" t="s">
        <v>547</v>
      </c>
      <c r="C487" s="2" t="s">
        <v>404</v>
      </c>
      <c r="D487" s="2" t="s">
        <v>405</v>
      </c>
      <c r="E487" s="2" t="s">
        <v>418</v>
      </c>
      <c r="F487" s="2" t="s">
        <v>412</v>
      </c>
      <c r="G487" s="2" t="s">
        <v>21</v>
      </c>
      <c r="H487" s="2" t="s">
        <v>17</v>
      </c>
      <c r="I487" s="3">
        <v>300</v>
      </c>
      <c r="J487" s="3">
        <v>420</v>
      </c>
      <c r="K487" s="4">
        <v>6</v>
      </c>
      <c r="O487" s="3"/>
    </row>
    <row r="488" spans="2:15">
      <c r="B488" s="2" t="s">
        <v>548</v>
      </c>
      <c r="C488" s="2" t="s">
        <v>404</v>
      </c>
      <c r="D488" s="2" t="s">
        <v>405</v>
      </c>
      <c r="E488" s="2" t="s">
        <v>411</v>
      </c>
      <c r="F488" s="2" t="s">
        <v>20</v>
      </c>
      <c r="G488" s="2" t="s">
        <v>21</v>
      </c>
      <c r="H488" s="2" t="s">
        <v>17</v>
      </c>
      <c r="I488" s="3">
        <v>340</v>
      </c>
      <c r="J488" s="3">
        <v>470</v>
      </c>
      <c r="K488" s="4">
        <v>4</v>
      </c>
      <c r="O488" s="3"/>
    </row>
    <row r="489" spans="2:15">
      <c r="B489" s="2" t="s">
        <v>549</v>
      </c>
      <c r="C489" s="2" t="s">
        <v>404</v>
      </c>
      <c r="D489" s="2" t="s">
        <v>53</v>
      </c>
      <c r="E489" s="2" t="s">
        <v>409</v>
      </c>
      <c r="F489" s="2" t="s">
        <v>20</v>
      </c>
      <c r="G489" s="2" t="s">
        <v>21</v>
      </c>
      <c r="H489" s="2" t="s">
        <v>41</v>
      </c>
      <c r="I489" s="3">
        <v>150</v>
      </c>
      <c r="J489" s="3">
        <v>210</v>
      </c>
      <c r="K489" s="4">
        <v>3</v>
      </c>
      <c r="O489" s="3"/>
    </row>
    <row r="490" spans="2:15">
      <c r="B490" s="2" t="s">
        <v>550</v>
      </c>
      <c r="C490" s="2" t="s">
        <v>404</v>
      </c>
      <c r="D490" s="2" t="s">
        <v>31</v>
      </c>
      <c r="E490" s="2" t="s">
        <v>411</v>
      </c>
      <c r="F490" s="2" t="s">
        <v>412</v>
      </c>
      <c r="G490" s="2" t="s">
        <v>32</v>
      </c>
      <c r="H490" s="2" t="s">
        <v>37</v>
      </c>
      <c r="I490" s="3">
        <v>320</v>
      </c>
      <c r="J490" s="3">
        <v>450</v>
      </c>
      <c r="K490" s="4">
        <v>4</v>
      </c>
      <c r="O490" s="3"/>
    </row>
    <row r="491" spans="2:15">
      <c r="B491" s="2" t="s">
        <v>551</v>
      </c>
      <c r="C491" s="2" t="s">
        <v>404</v>
      </c>
      <c r="D491" s="2" t="s">
        <v>414</v>
      </c>
      <c r="E491" s="2" t="s">
        <v>411</v>
      </c>
      <c r="F491" s="2" t="s">
        <v>15</v>
      </c>
      <c r="G491" s="2" t="s">
        <v>39</v>
      </c>
      <c r="H491" s="2" t="s">
        <v>57</v>
      </c>
      <c r="I491" s="3">
        <v>420</v>
      </c>
      <c r="J491" s="3">
        <v>590</v>
      </c>
      <c r="K491" s="4">
        <v>5</v>
      </c>
      <c r="O491" s="3"/>
    </row>
    <row r="492" spans="2:15">
      <c r="B492" s="2" t="s">
        <v>552</v>
      </c>
      <c r="C492" s="2" t="s">
        <v>404</v>
      </c>
      <c r="D492" s="2" t="s">
        <v>31</v>
      </c>
      <c r="E492" s="2" t="s">
        <v>406</v>
      </c>
      <c r="F492" s="2" t="s">
        <v>412</v>
      </c>
      <c r="G492" s="2" t="s">
        <v>36</v>
      </c>
      <c r="H492" s="2" t="s">
        <v>41</v>
      </c>
      <c r="I492" s="3">
        <v>200</v>
      </c>
      <c r="J492" s="3">
        <v>280</v>
      </c>
      <c r="K492" s="4">
        <v>6</v>
      </c>
      <c r="O492" s="3"/>
    </row>
    <row r="493" spans="2:15">
      <c r="B493" s="2" t="s">
        <v>553</v>
      </c>
      <c r="C493" s="2" t="s">
        <v>404</v>
      </c>
      <c r="D493" s="2" t="s">
        <v>31</v>
      </c>
      <c r="E493" s="2" t="s">
        <v>415</v>
      </c>
      <c r="F493" s="2" t="s">
        <v>20</v>
      </c>
      <c r="G493" s="2" t="s">
        <v>21</v>
      </c>
      <c r="H493" s="2" t="s">
        <v>57</v>
      </c>
      <c r="I493" s="3">
        <v>530</v>
      </c>
      <c r="J493" s="3">
        <v>740</v>
      </c>
      <c r="K493" s="4">
        <v>6</v>
      </c>
      <c r="O493" s="3"/>
    </row>
    <row r="494" spans="2:15">
      <c r="B494" s="2" t="s">
        <v>554</v>
      </c>
      <c r="C494" s="2" t="s">
        <v>404</v>
      </c>
      <c r="D494" s="2" t="s">
        <v>405</v>
      </c>
      <c r="E494" s="2" t="s">
        <v>415</v>
      </c>
      <c r="F494" s="2" t="s">
        <v>20</v>
      </c>
      <c r="G494" s="2" t="s">
        <v>36</v>
      </c>
      <c r="H494" s="2" t="s">
        <v>57</v>
      </c>
      <c r="I494" s="3">
        <v>190</v>
      </c>
      <c r="J494" s="3">
        <v>260</v>
      </c>
      <c r="K494" s="4">
        <v>4</v>
      </c>
      <c r="O494" s="3"/>
    </row>
    <row r="495" spans="2:15">
      <c r="B495" s="2" t="s">
        <v>555</v>
      </c>
      <c r="C495" s="2" t="s">
        <v>404</v>
      </c>
      <c r="D495" s="2" t="s">
        <v>61</v>
      </c>
      <c r="E495" s="2" t="s">
        <v>418</v>
      </c>
      <c r="F495" s="2" t="s">
        <v>15</v>
      </c>
      <c r="G495" s="2" t="s">
        <v>32</v>
      </c>
      <c r="H495" s="2" t="s">
        <v>49</v>
      </c>
      <c r="I495" s="3">
        <v>300</v>
      </c>
      <c r="J495" s="3">
        <v>420</v>
      </c>
      <c r="K495" s="4">
        <v>6</v>
      </c>
      <c r="O495" s="3"/>
    </row>
    <row r="496" spans="2:15">
      <c r="B496" s="2" t="s">
        <v>556</v>
      </c>
      <c r="C496" s="2" t="s">
        <v>404</v>
      </c>
      <c r="D496" s="2" t="s">
        <v>414</v>
      </c>
      <c r="E496" s="2" t="s">
        <v>409</v>
      </c>
      <c r="F496" s="2" t="s">
        <v>20</v>
      </c>
      <c r="G496" s="2" t="s">
        <v>16</v>
      </c>
      <c r="H496" s="2" t="s">
        <v>71</v>
      </c>
      <c r="I496" s="3">
        <v>290</v>
      </c>
      <c r="J496" s="3">
        <v>400</v>
      </c>
      <c r="K496" s="4">
        <v>3</v>
      </c>
      <c r="O496" s="3"/>
    </row>
    <row r="497" spans="2:15">
      <c r="B497" s="2" t="s">
        <v>557</v>
      </c>
      <c r="C497" s="2" t="s">
        <v>404</v>
      </c>
      <c r="D497" s="2" t="s">
        <v>31</v>
      </c>
      <c r="E497" s="2" t="s">
        <v>406</v>
      </c>
      <c r="F497" s="2" t="s">
        <v>15</v>
      </c>
      <c r="G497" s="2" t="s">
        <v>36</v>
      </c>
      <c r="H497" s="2" t="s">
        <v>49</v>
      </c>
      <c r="I497" s="3">
        <v>230</v>
      </c>
      <c r="J497" s="3">
        <v>320</v>
      </c>
      <c r="K497" s="4">
        <v>6</v>
      </c>
      <c r="O497" s="3"/>
    </row>
    <row r="498" spans="2:15">
      <c r="B498" s="2" t="s">
        <v>558</v>
      </c>
      <c r="C498" s="2" t="s">
        <v>404</v>
      </c>
      <c r="D498" s="2" t="s">
        <v>405</v>
      </c>
      <c r="E498" s="2" t="s">
        <v>418</v>
      </c>
      <c r="F498" s="2" t="s">
        <v>20</v>
      </c>
      <c r="G498" s="2" t="s">
        <v>36</v>
      </c>
      <c r="H498" s="2" t="s">
        <v>101</v>
      </c>
      <c r="I498" s="3">
        <v>210</v>
      </c>
      <c r="J498" s="3">
        <v>300</v>
      </c>
      <c r="K498" s="4">
        <v>6</v>
      </c>
      <c r="O498" s="3"/>
    </row>
    <row r="499" spans="2:15">
      <c r="B499" s="2" t="s">
        <v>559</v>
      </c>
      <c r="C499" s="2" t="s">
        <v>404</v>
      </c>
      <c r="D499" s="2" t="s">
        <v>417</v>
      </c>
      <c r="E499" s="2" t="s">
        <v>409</v>
      </c>
      <c r="F499" s="2" t="s">
        <v>20</v>
      </c>
      <c r="G499" s="2" t="s">
        <v>16</v>
      </c>
      <c r="H499" s="2" t="s">
        <v>101</v>
      </c>
      <c r="I499" s="3">
        <v>280</v>
      </c>
      <c r="J499" s="3">
        <v>400</v>
      </c>
      <c r="K499" s="4">
        <v>3</v>
      </c>
      <c r="O499" s="3"/>
    </row>
    <row r="500" spans="2:15">
      <c r="B500" s="2" t="s">
        <v>560</v>
      </c>
      <c r="C500" s="2" t="s">
        <v>404</v>
      </c>
      <c r="D500" s="2" t="s">
        <v>417</v>
      </c>
      <c r="E500" s="2" t="s">
        <v>418</v>
      </c>
      <c r="F500" s="2" t="s">
        <v>20</v>
      </c>
      <c r="G500" s="2" t="s">
        <v>39</v>
      </c>
      <c r="H500" s="2" t="s">
        <v>17</v>
      </c>
      <c r="I500" s="3">
        <v>260</v>
      </c>
      <c r="J500" s="3">
        <v>360</v>
      </c>
      <c r="K500" s="4">
        <v>5</v>
      </c>
      <c r="O500" s="3"/>
    </row>
    <row r="501" spans="2:15">
      <c r="B501" s="2" t="s">
        <v>561</v>
      </c>
      <c r="C501" s="2" t="s">
        <v>404</v>
      </c>
      <c r="D501" s="2" t="s">
        <v>405</v>
      </c>
      <c r="E501" s="2" t="s">
        <v>409</v>
      </c>
      <c r="F501" s="2" t="s">
        <v>412</v>
      </c>
      <c r="G501" s="2" t="s">
        <v>32</v>
      </c>
      <c r="H501" s="2" t="s">
        <v>33</v>
      </c>
      <c r="I501" s="3">
        <v>350</v>
      </c>
      <c r="J501" s="3">
        <v>490</v>
      </c>
      <c r="K501" s="4">
        <v>4</v>
      </c>
      <c r="O501" s="3"/>
    </row>
    <row r="502" spans="2:15">
      <c r="B502" s="2" t="s">
        <v>562</v>
      </c>
      <c r="C502" s="2" t="s">
        <v>404</v>
      </c>
      <c r="D502" s="2" t="s">
        <v>53</v>
      </c>
      <c r="E502" s="2" t="s">
        <v>411</v>
      </c>
      <c r="F502" s="2" t="s">
        <v>412</v>
      </c>
      <c r="G502" s="2" t="s">
        <v>21</v>
      </c>
      <c r="H502" s="2" t="s">
        <v>17</v>
      </c>
      <c r="I502" s="3">
        <v>160</v>
      </c>
      <c r="J502" s="3">
        <v>230</v>
      </c>
      <c r="K502" s="4">
        <v>3</v>
      </c>
      <c r="O502" s="3"/>
    </row>
    <row r="503" spans="2:15">
      <c r="B503" s="2" t="s">
        <v>563</v>
      </c>
      <c r="C503" s="2" t="s">
        <v>404</v>
      </c>
      <c r="D503" s="2" t="s">
        <v>31</v>
      </c>
      <c r="E503" s="2" t="s">
        <v>406</v>
      </c>
      <c r="F503" s="2" t="s">
        <v>20</v>
      </c>
      <c r="G503" s="2" t="s">
        <v>39</v>
      </c>
      <c r="H503" s="2" t="s">
        <v>104</v>
      </c>
      <c r="I503" s="3">
        <v>390</v>
      </c>
      <c r="J503" s="3">
        <v>540</v>
      </c>
      <c r="K503" s="4">
        <v>4</v>
      </c>
      <c r="O503" s="3"/>
    </row>
    <row r="504" spans="2:15">
      <c r="B504" s="2" t="s">
        <v>564</v>
      </c>
      <c r="C504" s="2" t="s">
        <v>404</v>
      </c>
      <c r="D504" s="2" t="s">
        <v>414</v>
      </c>
      <c r="E504" s="2" t="s">
        <v>411</v>
      </c>
      <c r="F504" s="2" t="s">
        <v>15</v>
      </c>
      <c r="G504" s="2" t="s">
        <v>39</v>
      </c>
      <c r="H504" s="2" t="s">
        <v>71</v>
      </c>
      <c r="I504" s="3">
        <v>220</v>
      </c>
      <c r="J504" s="3">
        <v>300</v>
      </c>
      <c r="K504" s="4">
        <v>5</v>
      </c>
      <c r="O504" s="3"/>
    </row>
    <row r="505" spans="2:15">
      <c r="B505" s="2" t="s">
        <v>565</v>
      </c>
      <c r="C505" s="2" t="s">
        <v>404</v>
      </c>
      <c r="D505" s="2" t="s">
        <v>31</v>
      </c>
      <c r="E505" s="2" t="s">
        <v>409</v>
      </c>
      <c r="F505" s="2" t="s">
        <v>20</v>
      </c>
      <c r="G505" s="2" t="s">
        <v>36</v>
      </c>
      <c r="H505" s="2" t="s">
        <v>57</v>
      </c>
      <c r="I505" s="3">
        <v>190</v>
      </c>
      <c r="J505" s="3">
        <v>260</v>
      </c>
      <c r="K505" s="4">
        <v>3</v>
      </c>
      <c r="O505" s="3"/>
    </row>
    <row r="506" spans="2:15">
      <c r="B506" s="2" t="s">
        <v>566</v>
      </c>
      <c r="C506" s="2" t="s">
        <v>404</v>
      </c>
      <c r="D506" s="2" t="s">
        <v>31</v>
      </c>
      <c r="E506" s="2" t="s">
        <v>409</v>
      </c>
      <c r="F506" s="2" t="s">
        <v>15</v>
      </c>
      <c r="G506" s="2" t="s">
        <v>39</v>
      </c>
      <c r="H506" s="2" t="s">
        <v>64</v>
      </c>
      <c r="I506" s="3">
        <v>320</v>
      </c>
      <c r="J506" s="3">
        <v>450</v>
      </c>
      <c r="K506" s="4">
        <v>6</v>
      </c>
      <c r="O506" s="3"/>
    </row>
    <row r="507" spans="2:15">
      <c r="B507" s="2" t="s">
        <v>567</v>
      </c>
      <c r="C507" s="2" t="s">
        <v>404</v>
      </c>
      <c r="D507" s="2" t="s">
        <v>53</v>
      </c>
      <c r="E507" s="2" t="s">
        <v>411</v>
      </c>
      <c r="F507" s="2" t="s">
        <v>20</v>
      </c>
      <c r="G507" s="2" t="s">
        <v>36</v>
      </c>
      <c r="H507" s="2" t="s">
        <v>22</v>
      </c>
      <c r="I507" s="3">
        <v>520</v>
      </c>
      <c r="J507" s="3">
        <v>730</v>
      </c>
      <c r="K507" s="4">
        <v>4</v>
      </c>
      <c r="O507" s="3"/>
    </row>
    <row r="508" spans="2:15">
      <c r="B508" s="2" t="s">
        <v>568</v>
      </c>
      <c r="C508" s="2" t="s">
        <v>404</v>
      </c>
      <c r="D508" s="2" t="s">
        <v>414</v>
      </c>
      <c r="E508" s="2" t="s">
        <v>406</v>
      </c>
      <c r="F508" s="2" t="s">
        <v>15</v>
      </c>
      <c r="G508" s="2" t="s">
        <v>32</v>
      </c>
      <c r="H508" s="2" t="s">
        <v>29</v>
      </c>
      <c r="I508" s="3">
        <v>330</v>
      </c>
      <c r="J508" s="3">
        <v>460</v>
      </c>
      <c r="K508" s="4">
        <v>4</v>
      </c>
      <c r="O508" s="3"/>
    </row>
    <row r="509" spans="2:15">
      <c r="B509" s="2" t="s">
        <v>569</v>
      </c>
      <c r="C509" s="2" t="s">
        <v>404</v>
      </c>
      <c r="D509" s="2" t="s">
        <v>405</v>
      </c>
      <c r="E509" s="2" t="s">
        <v>415</v>
      </c>
      <c r="F509" s="2" t="s">
        <v>412</v>
      </c>
      <c r="G509" s="2" t="s">
        <v>16</v>
      </c>
      <c r="H509" s="2" t="s">
        <v>101</v>
      </c>
      <c r="I509" s="3">
        <v>170</v>
      </c>
      <c r="J509" s="3">
        <v>230</v>
      </c>
      <c r="K509" s="4">
        <v>6</v>
      </c>
      <c r="O509" s="3"/>
    </row>
    <row r="510" spans="2:15">
      <c r="B510" s="2" t="s">
        <v>570</v>
      </c>
      <c r="C510" s="2" t="s">
        <v>404</v>
      </c>
      <c r="D510" s="2" t="s">
        <v>405</v>
      </c>
      <c r="E510" s="2" t="s">
        <v>411</v>
      </c>
      <c r="F510" s="2" t="s">
        <v>20</v>
      </c>
      <c r="G510" s="2" t="s">
        <v>39</v>
      </c>
      <c r="H510" s="2" t="s">
        <v>33</v>
      </c>
      <c r="I510" s="3">
        <v>360</v>
      </c>
      <c r="J510" s="3">
        <v>500</v>
      </c>
      <c r="K510" s="4">
        <v>6</v>
      </c>
      <c r="O510" s="3"/>
    </row>
    <row r="511" spans="2:15">
      <c r="B511" s="2" t="s">
        <v>571</v>
      </c>
      <c r="C511" s="2" t="s">
        <v>404</v>
      </c>
      <c r="D511" s="2" t="s">
        <v>53</v>
      </c>
      <c r="E511" s="2" t="s">
        <v>406</v>
      </c>
      <c r="F511" s="2" t="s">
        <v>412</v>
      </c>
      <c r="G511" s="2" t="s">
        <v>21</v>
      </c>
      <c r="H511" s="2" t="s">
        <v>17</v>
      </c>
      <c r="I511" s="3">
        <v>220</v>
      </c>
      <c r="J511" s="3">
        <v>310</v>
      </c>
      <c r="K511" s="4">
        <v>3</v>
      </c>
      <c r="O511" s="3"/>
    </row>
    <row r="512" spans="2:15">
      <c r="B512" s="2" t="s">
        <v>572</v>
      </c>
      <c r="C512" s="2" t="s">
        <v>404</v>
      </c>
      <c r="D512" s="2" t="s">
        <v>417</v>
      </c>
      <c r="E512" s="2" t="s">
        <v>418</v>
      </c>
      <c r="F512" s="2" t="s">
        <v>15</v>
      </c>
      <c r="G512" s="2" t="s">
        <v>21</v>
      </c>
      <c r="H512" s="2" t="s">
        <v>51</v>
      </c>
      <c r="I512" s="3">
        <v>340</v>
      </c>
      <c r="J512" s="3">
        <v>480</v>
      </c>
      <c r="K512" s="4">
        <v>5</v>
      </c>
      <c r="O512" s="3"/>
    </row>
    <row r="513" spans="2:15">
      <c r="B513" s="2" t="s">
        <v>573</v>
      </c>
      <c r="C513" s="2" t="s">
        <v>404</v>
      </c>
      <c r="D513" s="2" t="s">
        <v>405</v>
      </c>
      <c r="E513" s="2" t="s">
        <v>418</v>
      </c>
      <c r="F513" s="2" t="s">
        <v>15</v>
      </c>
      <c r="G513" s="2" t="s">
        <v>32</v>
      </c>
      <c r="H513" s="2" t="s">
        <v>64</v>
      </c>
      <c r="I513" s="3">
        <v>440</v>
      </c>
      <c r="J513" s="3">
        <v>610</v>
      </c>
      <c r="K513" s="4">
        <v>3</v>
      </c>
      <c r="O513" s="3"/>
    </row>
    <row r="514" spans="2:15">
      <c r="B514" s="2" t="s">
        <v>574</v>
      </c>
      <c r="C514" s="2" t="s">
        <v>404</v>
      </c>
      <c r="D514" s="2" t="s">
        <v>405</v>
      </c>
      <c r="E514" s="2" t="s">
        <v>406</v>
      </c>
      <c r="F514" s="2" t="s">
        <v>20</v>
      </c>
      <c r="G514" s="2" t="s">
        <v>32</v>
      </c>
      <c r="H514" s="2" t="s">
        <v>104</v>
      </c>
      <c r="I514" s="3">
        <v>310</v>
      </c>
      <c r="J514" s="3">
        <v>440</v>
      </c>
      <c r="K514" s="4">
        <v>6</v>
      </c>
      <c r="O514" s="3"/>
    </row>
    <row r="515" spans="2:15">
      <c r="B515" s="2" t="s">
        <v>575</v>
      </c>
      <c r="C515" s="2" t="s">
        <v>404</v>
      </c>
      <c r="D515" s="2" t="s">
        <v>61</v>
      </c>
      <c r="E515" s="2" t="s">
        <v>415</v>
      </c>
      <c r="F515" s="2" t="s">
        <v>20</v>
      </c>
      <c r="G515" s="2" t="s">
        <v>16</v>
      </c>
      <c r="H515" s="2" t="s">
        <v>37</v>
      </c>
      <c r="I515" s="3">
        <v>420</v>
      </c>
      <c r="J515" s="3">
        <v>590</v>
      </c>
      <c r="K515" s="4">
        <v>4</v>
      </c>
      <c r="O515" s="3"/>
    </row>
    <row r="516" spans="2:15">
      <c r="B516" s="2" t="s">
        <v>576</v>
      </c>
      <c r="C516" s="2" t="s">
        <v>404</v>
      </c>
      <c r="D516" s="2" t="s">
        <v>414</v>
      </c>
      <c r="E516" s="2" t="s">
        <v>418</v>
      </c>
      <c r="F516" s="2" t="s">
        <v>412</v>
      </c>
      <c r="G516" s="2" t="s">
        <v>39</v>
      </c>
      <c r="H516" s="2" t="s">
        <v>17</v>
      </c>
      <c r="I516" s="3">
        <v>490</v>
      </c>
      <c r="J516" s="3">
        <v>680</v>
      </c>
      <c r="K516" s="4">
        <v>6</v>
      </c>
      <c r="O516" s="3"/>
    </row>
    <row r="517" spans="2:15">
      <c r="B517" s="2" t="s">
        <v>577</v>
      </c>
      <c r="C517" s="2" t="s">
        <v>404</v>
      </c>
      <c r="D517" s="2" t="s">
        <v>417</v>
      </c>
      <c r="E517" s="2" t="s">
        <v>406</v>
      </c>
      <c r="F517" s="2" t="s">
        <v>20</v>
      </c>
      <c r="G517" s="2" t="s">
        <v>16</v>
      </c>
      <c r="H517" s="2" t="s">
        <v>71</v>
      </c>
      <c r="I517" s="3">
        <v>330</v>
      </c>
      <c r="J517" s="3">
        <v>460</v>
      </c>
      <c r="K517" s="4">
        <v>5</v>
      </c>
      <c r="O517" s="3"/>
    </row>
    <row r="518" spans="2:15">
      <c r="B518" s="2" t="s">
        <v>578</v>
      </c>
      <c r="C518" s="2" t="s">
        <v>404</v>
      </c>
      <c r="D518" s="2" t="s">
        <v>408</v>
      </c>
      <c r="E518" s="2" t="s">
        <v>418</v>
      </c>
      <c r="F518" s="2" t="s">
        <v>412</v>
      </c>
      <c r="G518" s="2" t="s">
        <v>39</v>
      </c>
      <c r="H518" s="2" t="s">
        <v>41</v>
      </c>
      <c r="I518" s="3">
        <v>530</v>
      </c>
      <c r="J518" s="3">
        <v>740</v>
      </c>
      <c r="K518" s="4">
        <v>4</v>
      </c>
      <c r="O518" s="3"/>
    </row>
    <row r="519" spans="2:15">
      <c r="B519" s="2" t="s">
        <v>579</v>
      </c>
      <c r="C519" s="2" t="s">
        <v>404</v>
      </c>
      <c r="D519" s="2" t="s">
        <v>414</v>
      </c>
      <c r="E519" s="2" t="s">
        <v>411</v>
      </c>
      <c r="F519" s="2" t="s">
        <v>412</v>
      </c>
      <c r="G519" s="2" t="s">
        <v>32</v>
      </c>
      <c r="H519" s="2" t="s">
        <v>64</v>
      </c>
      <c r="I519" s="3">
        <v>440</v>
      </c>
      <c r="J519" s="3">
        <v>610</v>
      </c>
      <c r="K519" s="4">
        <v>6</v>
      </c>
      <c r="O519" s="3"/>
    </row>
    <row r="520" spans="2:15">
      <c r="B520" s="2" t="s">
        <v>580</v>
      </c>
      <c r="C520" s="2" t="s">
        <v>404</v>
      </c>
      <c r="D520" s="2" t="s">
        <v>31</v>
      </c>
      <c r="E520" s="2" t="s">
        <v>409</v>
      </c>
      <c r="F520" s="2" t="s">
        <v>20</v>
      </c>
      <c r="G520" s="2" t="s">
        <v>21</v>
      </c>
      <c r="H520" s="2" t="s">
        <v>17</v>
      </c>
      <c r="I520" s="3">
        <v>170</v>
      </c>
      <c r="J520" s="3">
        <v>240</v>
      </c>
      <c r="K520" s="4">
        <v>3</v>
      </c>
      <c r="O520" s="3"/>
    </row>
    <row r="521" spans="2:15">
      <c r="B521" s="2" t="s">
        <v>581</v>
      </c>
      <c r="C521" s="2" t="s">
        <v>404</v>
      </c>
      <c r="D521" s="2" t="s">
        <v>53</v>
      </c>
      <c r="E521" s="2" t="s">
        <v>409</v>
      </c>
      <c r="F521" s="2" t="s">
        <v>15</v>
      </c>
      <c r="G521" s="2" t="s">
        <v>21</v>
      </c>
      <c r="H521" s="2" t="s">
        <v>94</v>
      </c>
      <c r="I521" s="3">
        <v>420</v>
      </c>
      <c r="J521" s="3">
        <v>590</v>
      </c>
      <c r="K521" s="4">
        <v>4</v>
      </c>
      <c r="O521" s="3"/>
    </row>
    <row r="522" spans="2:15">
      <c r="B522" s="2" t="s">
        <v>582</v>
      </c>
      <c r="C522" s="2" t="s">
        <v>404</v>
      </c>
      <c r="D522" s="2" t="s">
        <v>408</v>
      </c>
      <c r="E522" s="2" t="s">
        <v>406</v>
      </c>
      <c r="F522" s="2" t="s">
        <v>15</v>
      </c>
      <c r="G522" s="2" t="s">
        <v>39</v>
      </c>
      <c r="H522" s="2" t="s">
        <v>69</v>
      </c>
      <c r="I522" s="3">
        <v>320</v>
      </c>
      <c r="J522" s="3">
        <v>450</v>
      </c>
      <c r="K522" s="4">
        <v>4</v>
      </c>
      <c r="O522" s="3"/>
    </row>
    <row r="523" spans="2:15">
      <c r="B523" s="2" t="s">
        <v>583</v>
      </c>
      <c r="C523" s="2" t="s">
        <v>404</v>
      </c>
      <c r="D523" s="2" t="s">
        <v>408</v>
      </c>
      <c r="E523" s="2" t="s">
        <v>406</v>
      </c>
      <c r="F523" s="2" t="s">
        <v>20</v>
      </c>
      <c r="G523" s="2" t="s">
        <v>21</v>
      </c>
      <c r="H523" s="2" t="s">
        <v>41</v>
      </c>
      <c r="I523" s="3">
        <v>450</v>
      </c>
      <c r="J523" s="3">
        <v>630</v>
      </c>
      <c r="K523" s="4">
        <v>3</v>
      </c>
      <c r="O523" s="3"/>
    </row>
    <row r="524" spans="2:15">
      <c r="B524" s="2" t="s">
        <v>584</v>
      </c>
      <c r="C524" s="2" t="s">
        <v>404</v>
      </c>
      <c r="D524" s="2" t="s">
        <v>408</v>
      </c>
      <c r="E524" s="2" t="s">
        <v>411</v>
      </c>
      <c r="F524" s="2" t="s">
        <v>412</v>
      </c>
      <c r="G524" s="2" t="s">
        <v>39</v>
      </c>
      <c r="H524" s="2" t="s">
        <v>49</v>
      </c>
      <c r="I524" s="3">
        <v>340</v>
      </c>
      <c r="J524" s="3">
        <v>480</v>
      </c>
      <c r="K524" s="4">
        <v>5</v>
      </c>
      <c r="O524" s="3"/>
    </row>
    <row r="525" spans="2:15">
      <c r="B525" s="2" t="s">
        <v>585</v>
      </c>
      <c r="C525" s="2" t="s">
        <v>404</v>
      </c>
      <c r="D525" s="2" t="s">
        <v>414</v>
      </c>
      <c r="E525" s="2" t="s">
        <v>406</v>
      </c>
      <c r="F525" s="2" t="s">
        <v>412</v>
      </c>
      <c r="G525" s="2" t="s">
        <v>36</v>
      </c>
      <c r="H525" s="2" t="s">
        <v>51</v>
      </c>
      <c r="I525" s="3">
        <v>320</v>
      </c>
      <c r="J525" s="3">
        <v>440</v>
      </c>
      <c r="K525" s="4">
        <v>5</v>
      </c>
      <c r="O525" s="3"/>
    </row>
    <row r="526" spans="2:15">
      <c r="B526" s="2" t="s">
        <v>586</v>
      </c>
      <c r="C526" s="2" t="s">
        <v>404</v>
      </c>
      <c r="D526" s="2" t="s">
        <v>408</v>
      </c>
      <c r="E526" s="2" t="s">
        <v>415</v>
      </c>
      <c r="F526" s="2" t="s">
        <v>412</v>
      </c>
      <c r="G526" s="2" t="s">
        <v>21</v>
      </c>
      <c r="H526" s="2" t="s">
        <v>41</v>
      </c>
      <c r="I526" s="3">
        <v>240</v>
      </c>
      <c r="J526" s="3">
        <v>330</v>
      </c>
      <c r="K526" s="4">
        <v>4</v>
      </c>
      <c r="O526" s="3"/>
    </row>
    <row r="527" spans="2:15">
      <c r="B527" s="2" t="s">
        <v>587</v>
      </c>
      <c r="C527" s="2" t="s">
        <v>404</v>
      </c>
      <c r="D527" s="2" t="s">
        <v>405</v>
      </c>
      <c r="E527" s="2" t="s">
        <v>406</v>
      </c>
      <c r="F527" s="2" t="s">
        <v>15</v>
      </c>
      <c r="G527" s="2" t="s">
        <v>32</v>
      </c>
      <c r="H527" s="2" t="s">
        <v>101</v>
      </c>
      <c r="I527" s="3">
        <v>490</v>
      </c>
      <c r="J527" s="3">
        <v>690</v>
      </c>
      <c r="K527" s="4">
        <v>4</v>
      </c>
      <c r="O527" s="3"/>
    </row>
    <row r="528" spans="2:15">
      <c r="B528" s="2" t="s">
        <v>588</v>
      </c>
      <c r="C528" s="2" t="s">
        <v>404</v>
      </c>
      <c r="D528" s="2" t="s">
        <v>408</v>
      </c>
      <c r="E528" s="2" t="s">
        <v>409</v>
      </c>
      <c r="F528" s="2" t="s">
        <v>412</v>
      </c>
      <c r="G528" s="2" t="s">
        <v>21</v>
      </c>
      <c r="H528" s="2" t="s">
        <v>59</v>
      </c>
      <c r="I528" s="3">
        <v>240</v>
      </c>
      <c r="J528" s="3">
        <v>340</v>
      </c>
      <c r="K528" s="4">
        <v>3</v>
      </c>
      <c r="O528" s="3"/>
    </row>
    <row r="529" spans="2:15">
      <c r="B529" s="2" t="s">
        <v>589</v>
      </c>
      <c r="C529" s="2" t="s">
        <v>404</v>
      </c>
      <c r="D529" s="2" t="s">
        <v>405</v>
      </c>
      <c r="E529" s="2" t="s">
        <v>418</v>
      </c>
      <c r="F529" s="2" t="s">
        <v>412</v>
      </c>
      <c r="G529" s="2" t="s">
        <v>16</v>
      </c>
      <c r="H529" s="2" t="s">
        <v>71</v>
      </c>
      <c r="I529" s="3">
        <v>240</v>
      </c>
      <c r="J529" s="3">
        <v>340</v>
      </c>
      <c r="K529" s="4">
        <v>3</v>
      </c>
      <c r="O529" s="3"/>
    </row>
    <row r="530" spans="2:15">
      <c r="B530" s="2" t="s">
        <v>590</v>
      </c>
      <c r="C530" s="2" t="s">
        <v>404</v>
      </c>
      <c r="D530" s="2" t="s">
        <v>414</v>
      </c>
      <c r="E530" s="2" t="s">
        <v>418</v>
      </c>
      <c r="F530" s="2" t="s">
        <v>412</v>
      </c>
      <c r="G530" s="2" t="s">
        <v>39</v>
      </c>
      <c r="H530" s="2" t="s">
        <v>17</v>
      </c>
      <c r="I530" s="3">
        <v>400</v>
      </c>
      <c r="J530" s="3">
        <v>560</v>
      </c>
      <c r="K530" s="4">
        <v>5</v>
      </c>
      <c r="O530" s="3"/>
    </row>
    <row r="531" spans="2:15">
      <c r="B531" s="2" t="s">
        <v>591</v>
      </c>
      <c r="C531" s="2" t="s">
        <v>404</v>
      </c>
      <c r="D531" s="2" t="s">
        <v>414</v>
      </c>
      <c r="E531" s="2" t="s">
        <v>409</v>
      </c>
      <c r="F531" s="2" t="s">
        <v>412</v>
      </c>
      <c r="G531" s="2" t="s">
        <v>32</v>
      </c>
      <c r="H531" s="2" t="s">
        <v>29</v>
      </c>
      <c r="I531" s="3">
        <v>310</v>
      </c>
      <c r="J531" s="3">
        <v>440</v>
      </c>
      <c r="K531" s="4">
        <v>3</v>
      </c>
      <c r="O531" s="3"/>
    </row>
    <row r="532" spans="2:15">
      <c r="B532" s="2" t="s">
        <v>592</v>
      </c>
      <c r="C532" s="2" t="s">
        <v>404</v>
      </c>
      <c r="D532" s="2" t="s">
        <v>414</v>
      </c>
      <c r="E532" s="2" t="s">
        <v>406</v>
      </c>
      <c r="F532" s="2" t="s">
        <v>412</v>
      </c>
      <c r="G532" s="2" t="s">
        <v>39</v>
      </c>
      <c r="H532" s="2" t="s">
        <v>41</v>
      </c>
      <c r="I532" s="3">
        <v>280</v>
      </c>
      <c r="J532" s="3">
        <v>400</v>
      </c>
      <c r="K532" s="4">
        <v>5</v>
      </c>
      <c r="O532" s="3"/>
    </row>
    <row r="533" spans="2:15">
      <c r="B533" s="2" t="s">
        <v>593</v>
      </c>
      <c r="C533" s="2" t="s">
        <v>404</v>
      </c>
      <c r="D533" s="2" t="s">
        <v>408</v>
      </c>
      <c r="E533" s="2" t="s">
        <v>409</v>
      </c>
      <c r="F533" s="2" t="s">
        <v>20</v>
      </c>
      <c r="G533" s="2" t="s">
        <v>36</v>
      </c>
      <c r="H533" s="2" t="s">
        <v>29</v>
      </c>
      <c r="I533" s="3">
        <v>200</v>
      </c>
      <c r="J533" s="3">
        <v>290</v>
      </c>
      <c r="K533" s="4">
        <v>6</v>
      </c>
      <c r="O533" s="3"/>
    </row>
    <row r="534" spans="2:15">
      <c r="B534" s="2" t="s">
        <v>594</v>
      </c>
      <c r="C534" s="2" t="s">
        <v>404</v>
      </c>
      <c r="D534" s="2" t="s">
        <v>53</v>
      </c>
      <c r="E534" s="2" t="s">
        <v>411</v>
      </c>
      <c r="F534" s="2" t="s">
        <v>15</v>
      </c>
      <c r="G534" s="2" t="s">
        <v>32</v>
      </c>
      <c r="H534" s="2" t="s">
        <v>62</v>
      </c>
      <c r="I534" s="3">
        <v>240</v>
      </c>
      <c r="J534" s="3">
        <v>330</v>
      </c>
      <c r="K534" s="4">
        <v>6</v>
      </c>
      <c r="O534" s="3"/>
    </row>
    <row r="535" spans="2:15">
      <c r="B535" s="2" t="s">
        <v>595</v>
      </c>
      <c r="C535" s="2" t="s">
        <v>404</v>
      </c>
      <c r="D535" s="2" t="s">
        <v>417</v>
      </c>
      <c r="E535" s="2" t="s">
        <v>411</v>
      </c>
      <c r="F535" s="2" t="s">
        <v>412</v>
      </c>
      <c r="G535" s="2" t="s">
        <v>16</v>
      </c>
      <c r="H535" s="2" t="s">
        <v>64</v>
      </c>
      <c r="I535" s="3">
        <v>200</v>
      </c>
      <c r="J535" s="3">
        <v>280</v>
      </c>
      <c r="K535" s="4">
        <v>6</v>
      </c>
      <c r="O535" s="3"/>
    </row>
    <row r="536" spans="2:15">
      <c r="B536" s="2" t="s">
        <v>596</v>
      </c>
      <c r="C536" s="2" t="s">
        <v>404</v>
      </c>
      <c r="D536" s="2" t="s">
        <v>417</v>
      </c>
      <c r="E536" s="2" t="s">
        <v>409</v>
      </c>
      <c r="F536" s="2" t="s">
        <v>15</v>
      </c>
      <c r="G536" s="2" t="s">
        <v>39</v>
      </c>
      <c r="H536" s="2" t="s">
        <v>49</v>
      </c>
      <c r="I536" s="3">
        <v>190</v>
      </c>
      <c r="J536" s="3">
        <v>260</v>
      </c>
      <c r="K536" s="4">
        <v>5</v>
      </c>
      <c r="O536" s="3"/>
    </row>
    <row r="537" spans="2:15">
      <c r="B537" s="2" t="s">
        <v>597</v>
      </c>
      <c r="C537" s="2" t="s">
        <v>404</v>
      </c>
      <c r="D537" s="2" t="s">
        <v>31</v>
      </c>
      <c r="E537" s="2" t="s">
        <v>418</v>
      </c>
      <c r="F537" s="2" t="s">
        <v>20</v>
      </c>
      <c r="G537" s="2" t="s">
        <v>36</v>
      </c>
      <c r="H537" s="2" t="s">
        <v>64</v>
      </c>
      <c r="I537" s="3">
        <v>200</v>
      </c>
      <c r="J537" s="3">
        <v>280</v>
      </c>
      <c r="K537" s="4">
        <v>3</v>
      </c>
      <c r="O537" s="3"/>
    </row>
    <row r="538" spans="2:15">
      <c r="B538" s="2" t="s">
        <v>598</v>
      </c>
      <c r="C538" s="2" t="s">
        <v>404</v>
      </c>
      <c r="D538" s="2" t="s">
        <v>31</v>
      </c>
      <c r="E538" s="2" t="s">
        <v>418</v>
      </c>
      <c r="F538" s="2" t="s">
        <v>412</v>
      </c>
      <c r="G538" s="2" t="s">
        <v>21</v>
      </c>
      <c r="H538" s="2" t="s">
        <v>51</v>
      </c>
      <c r="I538" s="3">
        <v>430</v>
      </c>
      <c r="J538" s="3">
        <v>600</v>
      </c>
      <c r="K538" s="4">
        <v>3</v>
      </c>
      <c r="O538" s="3"/>
    </row>
    <row r="539" spans="2:15">
      <c r="B539" s="2" t="s">
        <v>599</v>
      </c>
      <c r="C539" s="2" t="s">
        <v>404</v>
      </c>
      <c r="D539" s="2" t="s">
        <v>408</v>
      </c>
      <c r="E539" s="2" t="s">
        <v>406</v>
      </c>
      <c r="F539" s="2" t="s">
        <v>412</v>
      </c>
      <c r="G539" s="2" t="s">
        <v>36</v>
      </c>
      <c r="H539" s="2" t="s">
        <v>64</v>
      </c>
      <c r="I539" s="3">
        <v>370</v>
      </c>
      <c r="J539" s="3">
        <v>520</v>
      </c>
      <c r="K539" s="4">
        <v>3</v>
      </c>
      <c r="O539" s="3"/>
    </row>
    <row r="540" spans="2:15">
      <c r="B540" s="2" t="s">
        <v>600</v>
      </c>
      <c r="C540" s="2" t="s">
        <v>404</v>
      </c>
      <c r="D540" s="2" t="s">
        <v>61</v>
      </c>
      <c r="E540" s="2" t="s">
        <v>406</v>
      </c>
      <c r="F540" s="2" t="s">
        <v>20</v>
      </c>
      <c r="G540" s="2" t="s">
        <v>36</v>
      </c>
      <c r="H540" s="2" t="s">
        <v>62</v>
      </c>
      <c r="I540" s="3">
        <v>200</v>
      </c>
      <c r="J540" s="3">
        <v>280</v>
      </c>
      <c r="K540" s="4">
        <v>5</v>
      </c>
      <c r="O540" s="3"/>
    </row>
    <row r="541" spans="2:15">
      <c r="B541" s="2" t="s">
        <v>601</v>
      </c>
      <c r="C541" s="2" t="s">
        <v>404</v>
      </c>
      <c r="D541" s="2" t="s">
        <v>61</v>
      </c>
      <c r="E541" s="2" t="s">
        <v>418</v>
      </c>
      <c r="F541" s="2" t="s">
        <v>20</v>
      </c>
      <c r="G541" s="2" t="s">
        <v>39</v>
      </c>
      <c r="H541" s="2" t="s">
        <v>104</v>
      </c>
      <c r="I541" s="3">
        <v>490</v>
      </c>
      <c r="J541" s="3">
        <v>680</v>
      </c>
      <c r="K541" s="4">
        <v>6</v>
      </c>
      <c r="O541" s="3"/>
    </row>
    <row r="542" spans="2:15">
      <c r="B542" s="2" t="s">
        <v>602</v>
      </c>
      <c r="C542" s="2" t="s">
        <v>404</v>
      </c>
      <c r="D542" s="2" t="s">
        <v>405</v>
      </c>
      <c r="E542" s="2" t="s">
        <v>411</v>
      </c>
      <c r="F542" s="2" t="s">
        <v>20</v>
      </c>
      <c r="G542" s="2" t="s">
        <v>39</v>
      </c>
      <c r="H542" s="2" t="s">
        <v>41</v>
      </c>
      <c r="I542" s="3">
        <v>440</v>
      </c>
      <c r="J542" s="3">
        <v>620</v>
      </c>
      <c r="K542" s="4">
        <v>3</v>
      </c>
      <c r="O542" s="3"/>
    </row>
    <row r="543" spans="2:15">
      <c r="B543" s="2" t="s">
        <v>603</v>
      </c>
      <c r="C543" s="2" t="s">
        <v>404</v>
      </c>
      <c r="D543" s="2" t="s">
        <v>31</v>
      </c>
      <c r="E543" s="2" t="s">
        <v>418</v>
      </c>
      <c r="F543" s="2" t="s">
        <v>412</v>
      </c>
      <c r="G543" s="2" t="s">
        <v>21</v>
      </c>
      <c r="H543" s="2" t="s">
        <v>51</v>
      </c>
      <c r="I543" s="3">
        <v>370</v>
      </c>
      <c r="J543" s="3">
        <v>520</v>
      </c>
      <c r="K543" s="4">
        <v>4</v>
      </c>
      <c r="O543" s="3"/>
    </row>
    <row r="544" spans="2:15">
      <c r="B544" s="2" t="s">
        <v>604</v>
      </c>
      <c r="C544" s="2" t="s">
        <v>404</v>
      </c>
      <c r="D544" s="2" t="s">
        <v>31</v>
      </c>
      <c r="E544" s="2" t="s">
        <v>406</v>
      </c>
      <c r="F544" s="2" t="s">
        <v>20</v>
      </c>
      <c r="G544" s="2" t="s">
        <v>32</v>
      </c>
      <c r="H544" s="2" t="s">
        <v>43</v>
      </c>
      <c r="I544" s="3">
        <v>200</v>
      </c>
      <c r="J544" s="3">
        <v>280</v>
      </c>
      <c r="K544" s="4">
        <v>6</v>
      </c>
      <c r="O544" s="3"/>
    </row>
    <row r="545" spans="2:15">
      <c r="B545" s="2" t="s">
        <v>605</v>
      </c>
      <c r="C545" s="2" t="s">
        <v>404</v>
      </c>
      <c r="D545" s="2" t="s">
        <v>61</v>
      </c>
      <c r="E545" s="2" t="s">
        <v>411</v>
      </c>
      <c r="F545" s="2" t="s">
        <v>15</v>
      </c>
      <c r="G545" s="2" t="s">
        <v>36</v>
      </c>
      <c r="H545" s="2" t="s">
        <v>33</v>
      </c>
      <c r="I545" s="3">
        <v>210</v>
      </c>
      <c r="J545" s="3">
        <v>290</v>
      </c>
      <c r="K545" s="4">
        <v>3</v>
      </c>
      <c r="O545" s="3"/>
    </row>
    <row r="546" spans="2:15">
      <c r="B546" s="2" t="s">
        <v>606</v>
      </c>
      <c r="C546" s="2" t="s">
        <v>404</v>
      </c>
      <c r="D546" s="2" t="s">
        <v>405</v>
      </c>
      <c r="E546" s="2" t="s">
        <v>411</v>
      </c>
      <c r="F546" s="2" t="s">
        <v>20</v>
      </c>
      <c r="G546" s="2" t="s">
        <v>32</v>
      </c>
      <c r="H546" s="2" t="s">
        <v>59</v>
      </c>
      <c r="I546" s="3">
        <v>480</v>
      </c>
      <c r="J546" s="3">
        <v>670</v>
      </c>
      <c r="K546" s="4">
        <v>5</v>
      </c>
      <c r="O546" s="3"/>
    </row>
    <row r="547" spans="2:15">
      <c r="B547" s="2" t="s">
        <v>607</v>
      </c>
      <c r="C547" s="2" t="s">
        <v>404</v>
      </c>
      <c r="D547" s="2" t="s">
        <v>53</v>
      </c>
      <c r="E547" s="2" t="s">
        <v>409</v>
      </c>
      <c r="F547" s="2" t="s">
        <v>15</v>
      </c>
      <c r="G547" s="2" t="s">
        <v>36</v>
      </c>
      <c r="H547" s="2" t="s">
        <v>29</v>
      </c>
      <c r="I547" s="3">
        <v>240</v>
      </c>
      <c r="J547" s="3">
        <v>340</v>
      </c>
      <c r="K547" s="4">
        <v>5</v>
      </c>
      <c r="O547" s="3"/>
    </row>
    <row r="548" spans="2:15">
      <c r="B548" s="2" t="s">
        <v>608</v>
      </c>
      <c r="C548" s="2" t="s">
        <v>404</v>
      </c>
      <c r="D548" s="2" t="s">
        <v>417</v>
      </c>
      <c r="E548" s="2" t="s">
        <v>418</v>
      </c>
      <c r="F548" s="2" t="s">
        <v>412</v>
      </c>
      <c r="G548" s="2" t="s">
        <v>39</v>
      </c>
      <c r="H548" s="2" t="s">
        <v>57</v>
      </c>
      <c r="I548" s="3">
        <v>260</v>
      </c>
      <c r="J548" s="3">
        <v>370</v>
      </c>
      <c r="K548" s="4">
        <v>3</v>
      </c>
      <c r="O548" s="3"/>
    </row>
    <row r="549" spans="2:15">
      <c r="B549" s="2" t="s">
        <v>609</v>
      </c>
      <c r="C549" s="2" t="s">
        <v>404</v>
      </c>
      <c r="D549" s="2" t="s">
        <v>408</v>
      </c>
      <c r="E549" s="2" t="s">
        <v>418</v>
      </c>
      <c r="F549" s="2" t="s">
        <v>412</v>
      </c>
      <c r="G549" s="2" t="s">
        <v>36</v>
      </c>
      <c r="H549" s="2" t="s">
        <v>71</v>
      </c>
      <c r="I549" s="3">
        <v>190</v>
      </c>
      <c r="J549" s="3">
        <v>270</v>
      </c>
      <c r="K549" s="4">
        <v>4</v>
      </c>
      <c r="O549" s="3"/>
    </row>
    <row r="550" spans="2:15">
      <c r="B550" s="2" t="s">
        <v>610</v>
      </c>
      <c r="C550" s="2" t="s">
        <v>404</v>
      </c>
      <c r="D550" s="2" t="s">
        <v>31</v>
      </c>
      <c r="E550" s="2" t="s">
        <v>411</v>
      </c>
      <c r="F550" s="2" t="s">
        <v>412</v>
      </c>
      <c r="G550" s="2" t="s">
        <v>36</v>
      </c>
      <c r="H550" s="2" t="s">
        <v>62</v>
      </c>
      <c r="I550" s="3">
        <v>430</v>
      </c>
      <c r="J550" s="3">
        <v>610</v>
      </c>
      <c r="K550" s="4">
        <v>6</v>
      </c>
      <c r="O550" s="3"/>
    </row>
    <row r="551" spans="2:15">
      <c r="B551" s="2" t="s">
        <v>611</v>
      </c>
      <c r="C551" s="2" t="s">
        <v>404</v>
      </c>
      <c r="D551" s="2" t="s">
        <v>414</v>
      </c>
      <c r="E551" s="2" t="s">
        <v>411</v>
      </c>
      <c r="F551" s="2" t="s">
        <v>15</v>
      </c>
      <c r="G551" s="2" t="s">
        <v>39</v>
      </c>
      <c r="H551" s="2" t="s">
        <v>59</v>
      </c>
      <c r="I551" s="3">
        <v>440</v>
      </c>
      <c r="J551" s="3">
        <v>620</v>
      </c>
      <c r="K551" s="4">
        <v>3</v>
      </c>
      <c r="O551" s="3"/>
    </row>
    <row r="552" spans="2:15">
      <c r="B552" s="2" t="s">
        <v>612</v>
      </c>
      <c r="C552" s="2" t="s">
        <v>404</v>
      </c>
      <c r="D552" s="2" t="s">
        <v>405</v>
      </c>
      <c r="E552" s="2" t="s">
        <v>415</v>
      </c>
      <c r="F552" s="2" t="s">
        <v>412</v>
      </c>
      <c r="G552" s="2" t="s">
        <v>21</v>
      </c>
      <c r="H552" s="2" t="s">
        <v>57</v>
      </c>
      <c r="I552" s="3">
        <v>410</v>
      </c>
      <c r="J552" s="3">
        <v>570</v>
      </c>
      <c r="K552" s="4">
        <v>3</v>
      </c>
      <c r="O552" s="3"/>
    </row>
    <row r="553" spans="2:15">
      <c r="B553" s="2" t="s">
        <v>613</v>
      </c>
      <c r="C553" s="2" t="s">
        <v>404</v>
      </c>
      <c r="D553" s="2" t="s">
        <v>53</v>
      </c>
      <c r="E553" s="2" t="s">
        <v>406</v>
      </c>
      <c r="F553" s="2" t="s">
        <v>20</v>
      </c>
      <c r="G553" s="2" t="s">
        <v>16</v>
      </c>
      <c r="H553" s="2" t="s">
        <v>94</v>
      </c>
      <c r="I553" s="3">
        <v>540</v>
      </c>
      <c r="J553" s="3">
        <v>750</v>
      </c>
      <c r="K553" s="4">
        <v>4</v>
      </c>
      <c r="O553" s="3"/>
    </row>
    <row r="554" spans="2:15">
      <c r="B554" s="2" t="s">
        <v>614</v>
      </c>
      <c r="C554" s="2" t="s">
        <v>404</v>
      </c>
      <c r="D554" s="2" t="s">
        <v>53</v>
      </c>
      <c r="E554" s="2" t="s">
        <v>409</v>
      </c>
      <c r="F554" s="2" t="s">
        <v>412</v>
      </c>
      <c r="G554" s="2" t="s">
        <v>36</v>
      </c>
      <c r="H554" s="2" t="s">
        <v>94</v>
      </c>
      <c r="I554" s="3">
        <v>170</v>
      </c>
      <c r="J554" s="3">
        <v>240</v>
      </c>
      <c r="K554" s="4">
        <v>4</v>
      </c>
      <c r="O554" s="3"/>
    </row>
    <row r="555" spans="2:15">
      <c r="B555" s="2" t="s">
        <v>615</v>
      </c>
      <c r="C555" s="2" t="s">
        <v>404</v>
      </c>
      <c r="D555" s="2" t="s">
        <v>61</v>
      </c>
      <c r="E555" s="2" t="s">
        <v>418</v>
      </c>
      <c r="F555" s="2" t="s">
        <v>412</v>
      </c>
      <c r="G555" s="2" t="s">
        <v>39</v>
      </c>
      <c r="H555" s="2" t="s">
        <v>43</v>
      </c>
      <c r="I555" s="3">
        <v>450</v>
      </c>
      <c r="J555" s="3">
        <v>640</v>
      </c>
      <c r="K555" s="4">
        <v>6</v>
      </c>
      <c r="O555" s="3"/>
    </row>
    <row r="556" spans="2:15">
      <c r="B556" s="2" t="s">
        <v>616</v>
      </c>
      <c r="C556" s="2" t="s">
        <v>404</v>
      </c>
      <c r="D556" s="2" t="s">
        <v>53</v>
      </c>
      <c r="E556" s="2" t="s">
        <v>415</v>
      </c>
      <c r="F556" s="2" t="s">
        <v>15</v>
      </c>
      <c r="G556" s="2" t="s">
        <v>32</v>
      </c>
      <c r="H556" s="2" t="s">
        <v>75</v>
      </c>
      <c r="I556" s="3">
        <v>430</v>
      </c>
      <c r="J556" s="3">
        <v>610</v>
      </c>
      <c r="K556" s="4">
        <v>6</v>
      </c>
      <c r="O556" s="3"/>
    </row>
    <row r="557" spans="2:15">
      <c r="B557" s="2" t="s">
        <v>617</v>
      </c>
      <c r="C557" s="2" t="s">
        <v>404</v>
      </c>
      <c r="D557" s="2" t="s">
        <v>417</v>
      </c>
      <c r="E557" s="2" t="s">
        <v>415</v>
      </c>
      <c r="F557" s="2" t="s">
        <v>412</v>
      </c>
      <c r="G557" s="2" t="s">
        <v>21</v>
      </c>
      <c r="H557" s="2" t="s">
        <v>22</v>
      </c>
      <c r="I557" s="3">
        <v>160</v>
      </c>
      <c r="J557" s="3">
        <v>220</v>
      </c>
      <c r="K557" s="4">
        <v>3</v>
      </c>
      <c r="O557" s="3"/>
    </row>
    <row r="558" spans="2:15">
      <c r="B558" s="2" t="s">
        <v>618</v>
      </c>
      <c r="C558" s="2" t="s">
        <v>404</v>
      </c>
      <c r="D558" s="2" t="s">
        <v>414</v>
      </c>
      <c r="E558" s="2" t="s">
        <v>406</v>
      </c>
      <c r="F558" s="2" t="s">
        <v>412</v>
      </c>
      <c r="G558" s="2" t="s">
        <v>21</v>
      </c>
      <c r="H558" s="2" t="s">
        <v>71</v>
      </c>
      <c r="I558" s="3">
        <v>360</v>
      </c>
      <c r="J558" s="3">
        <v>510</v>
      </c>
      <c r="K558" s="4">
        <v>3</v>
      </c>
      <c r="O558" s="3"/>
    </row>
    <row r="559" spans="2:15">
      <c r="B559" s="2" t="s">
        <v>619</v>
      </c>
      <c r="C559" s="2" t="s">
        <v>404</v>
      </c>
      <c r="D559" s="2" t="s">
        <v>405</v>
      </c>
      <c r="E559" s="2" t="s">
        <v>409</v>
      </c>
      <c r="F559" s="2" t="s">
        <v>15</v>
      </c>
      <c r="G559" s="2" t="s">
        <v>21</v>
      </c>
      <c r="H559" s="2" t="s">
        <v>41</v>
      </c>
      <c r="I559" s="3">
        <v>200</v>
      </c>
      <c r="J559" s="3">
        <v>280</v>
      </c>
      <c r="K559" s="4">
        <v>6</v>
      </c>
      <c r="O559" s="3"/>
    </row>
    <row r="560" spans="2:15">
      <c r="B560" s="2" t="s">
        <v>620</v>
      </c>
      <c r="C560" s="2" t="s">
        <v>404</v>
      </c>
      <c r="D560" s="2" t="s">
        <v>53</v>
      </c>
      <c r="E560" s="2" t="s">
        <v>411</v>
      </c>
      <c r="F560" s="2" t="s">
        <v>412</v>
      </c>
      <c r="G560" s="2" t="s">
        <v>21</v>
      </c>
      <c r="H560" s="2" t="s">
        <v>51</v>
      </c>
      <c r="I560" s="3">
        <v>280</v>
      </c>
      <c r="J560" s="3">
        <v>400</v>
      </c>
      <c r="K560" s="4">
        <v>3</v>
      </c>
      <c r="O560" s="3"/>
    </row>
    <row r="561" spans="2:15">
      <c r="B561" s="2" t="s">
        <v>621</v>
      </c>
      <c r="C561" s="2" t="s">
        <v>404</v>
      </c>
      <c r="D561" s="2" t="s">
        <v>61</v>
      </c>
      <c r="E561" s="2" t="s">
        <v>411</v>
      </c>
      <c r="F561" s="2" t="s">
        <v>20</v>
      </c>
      <c r="G561" s="2" t="s">
        <v>21</v>
      </c>
      <c r="H561" s="2" t="s">
        <v>25</v>
      </c>
      <c r="I561" s="3">
        <v>240</v>
      </c>
      <c r="J561" s="3">
        <v>330</v>
      </c>
      <c r="K561" s="4">
        <v>6</v>
      </c>
      <c r="O561" s="3"/>
    </row>
    <row r="562" spans="2:15">
      <c r="B562" s="2" t="s">
        <v>622</v>
      </c>
      <c r="C562" s="2" t="s">
        <v>404</v>
      </c>
      <c r="D562" s="2" t="s">
        <v>53</v>
      </c>
      <c r="E562" s="2" t="s">
        <v>418</v>
      </c>
      <c r="F562" s="2" t="s">
        <v>412</v>
      </c>
      <c r="G562" s="2" t="s">
        <v>16</v>
      </c>
      <c r="H562" s="2" t="s">
        <v>104</v>
      </c>
      <c r="I562" s="3">
        <v>170</v>
      </c>
      <c r="J562" s="3">
        <v>240</v>
      </c>
      <c r="K562" s="4">
        <v>6</v>
      </c>
      <c r="O562" s="3"/>
    </row>
    <row r="563" spans="2:15">
      <c r="B563" s="2" t="s">
        <v>623</v>
      </c>
      <c r="C563" s="2" t="s">
        <v>404</v>
      </c>
      <c r="D563" s="2" t="s">
        <v>61</v>
      </c>
      <c r="E563" s="2" t="s">
        <v>409</v>
      </c>
      <c r="F563" s="2" t="s">
        <v>15</v>
      </c>
      <c r="G563" s="2" t="s">
        <v>32</v>
      </c>
      <c r="H563" s="2" t="s">
        <v>101</v>
      </c>
      <c r="I563" s="3">
        <v>290</v>
      </c>
      <c r="J563" s="3">
        <v>400</v>
      </c>
      <c r="K563" s="4">
        <v>5</v>
      </c>
      <c r="O563" s="3"/>
    </row>
    <row r="564" spans="2:15">
      <c r="B564" s="2" t="s">
        <v>624</v>
      </c>
      <c r="C564" s="2" t="s">
        <v>404</v>
      </c>
      <c r="D564" s="2" t="s">
        <v>417</v>
      </c>
      <c r="E564" s="2" t="s">
        <v>409</v>
      </c>
      <c r="F564" s="2" t="s">
        <v>20</v>
      </c>
      <c r="G564" s="2" t="s">
        <v>16</v>
      </c>
      <c r="H564" s="2" t="s">
        <v>101</v>
      </c>
      <c r="I564" s="3">
        <v>400</v>
      </c>
      <c r="J564" s="3">
        <v>560</v>
      </c>
      <c r="K564" s="4">
        <v>6</v>
      </c>
      <c r="O564" s="3"/>
    </row>
    <row r="565" spans="2:15">
      <c r="B565" s="2" t="s">
        <v>625</v>
      </c>
      <c r="C565" s="2" t="s">
        <v>404</v>
      </c>
      <c r="D565" s="2" t="s">
        <v>61</v>
      </c>
      <c r="E565" s="2" t="s">
        <v>411</v>
      </c>
      <c r="F565" s="2" t="s">
        <v>412</v>
      </c>
      <c r="G565" s="2" t="s">
        <v>39</v>
      </c>
      <c r="H565" s="2" t="s">
        <v>94</v>
      </c>
      <c r="I565" s="3">
        <v>310</v>
      </c>
      <c r="J565" s="3">
        <v>440</v>
      </c>
      <c r="K565" s="4">
        <v>6</v>
      </c>
      <c r="O565" s="3"/>
    </row>
    <row r="566" spans="2:15">
      <c r="B566" s="2" t="s">
        <v>626</v>
      </c>
      <c r="C566" s="2" t="s">
        <v>404</v>
      </c>
      <c r="D566" s="2" t="s">
        <v>417</v>
      </c>
      <c r="E566" s="2" t="s">
        <v>411</v>
      </c>
      <c r="F566" s="2" t="s">
        <v>412</v>
      </c>
      <c r="G566" s="2" t="s">
        <v>36</v>
      </c>
      <c r="H566" s="2" t="s">
        <v>75</v>
      </c>
      <c r="I566" s="3">
        <v>260</v>
      </c>
      <c r="J566" s="3">
        <v>360</v>
      </c>
      <c r="K566" s="4">
        <v>5</v>
      </c>
      <c r="O566" s="3"/>
    </row>
    <row r="567" spans="2:15">
      <c r="B567" s="2" t="s">
        <v>627</v>
      </c>
      <c r="C567" s="2" t="s">
        <v>404</v>
      </c>
      <c r="D567" s="2" t="s">
        <v>405</v>
      </c>
      <c r="E567" s="2" t="s">
        <v>406</v>
      </c>
      <c r="F567" s="2" t="s">
        <v>20</v>
      </c>
      <c r="G567" s="2" t="s">
        <v>32</v>
      </c>
      <c r="H567" s="2" t="s">
        <v>75</v>
      </c>
      <c r="I567" s="3">
        <v>180</v>
      </c>
      <c r="J567" s="3">
        <v>250</v>
      </c>
      <c r="K567" s="4">
        <v>6</v>
      </c>
      <c r="O567" s="3"/>
    </row>
    <row r="568" spans="2:15">
      <c r="B568" s="2" t="s">
        <v>628</v>
      </c>
      <c r="C568" s="2" t="s">
        <v>404</v>
      </c>
      <c r="D568" s="2" t="s">
        <v>417</v>
      </c>
      <c r="E568" s="2" t="s">
        <v>415</v>
      </c>
      <c r="F568" s="2" t="s">
        <v>412</v>
      </c>
      <c r="G568" s="2" t="s">
        <v>39</v>
      </c>
      <c r="H568" s="2" t="s">
        <v>64</v>
      </c>
      <c r="I568" s="3">
        <v>220</v>
      </c>
      <c r="J568" s="3">
        <v>310</v>
      </c>
      <c r="K568" s="4">
        <v>4</v>
      </c>
      <c r="O568" s="3"/>
    </row>
    <row r="569" spans="2:15">
      <c r="B569" s="2" t="s">
        <v>629</v>
      </c>
      <c r="C569" s="2" t="s">
        <v>404</v>
      </c>
      <c r="D569" s="2" t="s">
        <v>417</v>
      </c>
      <c r="E569" s="2" t="s">
        <v>409</v>
      </c>
      <c r="F569" s="2" t="s">
        <v>20</v>
      </c>
      <c r="G569" s="2" t="s">
        <v>39</v>
      </c>
      <c r="H569" s="2" t="s">
        <v>29</v>
      </c>
      <c r="I569" s="3">
        <v>250</v>
      </c>
      <c r="J569" s="3">
        <v>350</v>
      </c>
      <c r="K569" s="4">
        <v>4</v>
      </c>
      <c r="O569" s="3"/>
    </row>
    <row r="570" spans="2:15">
      <c r="B570" s="2" t="s">
        <v>630</v>
      </c>
      <c r="C570" s="2" t="s">
        <v>404</v>
      </c>
      <c r="D570" s="2" t="s">
        <v>408</v>
      </c>
      <c r="E570" s="2" t="s">
        <v>406</v>
      </c>
      <c r="F570" s="2" t="s">
        <v>15</v>
      </c>
      <c r="G570" s="2" t="s">
        <v>32</v>
      </c>
      <c r="H570" s="2" t="s">
        <v>29</v>
      </c>
      <c r="I570" s="3">
        <v>330</v>
      </c>
      <c r="J570" s="3">
        <v>470</v>
      </c>
      <c r="K570" s="4">
        <v>6</v>
      </c>
      <c r="O570" s="3"/>
    </row>
    <row r="571" spans="2:15">
      <c r="B571" s="2" t="s">
        <v>631</v>
      </c>
      <c r="C571" s="2" t="s">
        <v>404</v>
      </c>
      <c r="D571" s="2" t="s">
        <v>31</v>
      </c>
      <c r="E571" s="2" t="s">
        <v>409</v>
      </c>
      <c r="F571" s="2" t="s">
        <v>20</v>
      </c>
      <c r="G571" s="2" t="s">
        <v>32</v>
      </c>
      <c r="H571" s="2" t="s">
        <v>51</v>
      </c>
      <c r="I571" s="3">
        <v>480</v>
      </c>
      <c r="J571" s="3">
        <v>660</v>
      </c>
      <c r="K571" s="4">
        <v>6</v>
      </c>
      <c r="O571" s="3"/>
    </row>
    <row r="572" spans="2:15">
      <c r="B572" s="2" t="s">
        <v>632</v>
      </c>
      <c r="C572" s="2" t="s">
        <v>404</v>
      </c>
      <c r="D572" s="2" t="s">
        <v>417</v>
      </c>
      <c r="E572" s="2" t="s">
        <v>411</v>
      </c>
      <c r="F572" s="2" t="s">
        <v>412</v>
      </c>
      <c r="G572" s="2" t="s">
        <v>21</v>
      </c>
      <c r="H572" s="2" t="s">
        <v>41</v>
      </c>
      <c r="I572" s="3">
        <v>240</v>
      </c>
      <c r="J572" s="3">
        <v>340</v>
      </c>
      <c r="K572" s="4">
        <v>5</v>
      </c>
      <c r="O572" s="3"/>
    </row>
    <row r="573" spans="2:15">
      <c r="B573" s="2" t="s">
        <v>633</v>
      </c>
      <c r="C573" s="2" t="s">
        <v>404</v>
      </c>
      <c r="D573" s="2" t="s">
        <v>417</v>
      </c>
      <c r="E573" s="2" t="s">
        <v>418</v>
      </c>
      <c r="F573" s="2" t="s">
        <v>412</v>
      </c>
      <c r="G573" s="2" t="s">
        <v>39</v>
      </c>
      <c r="H573" s="2" t="s">
        <v>101</v>
      </c>
      <c r="I573" s="3">
        <v>230</v>
      </c>
      <c r="J573" s="3">
        <v>330</v>
      </c>
      <c r="K573" s="4">
        <v>3</v>
      </c>
      <c r="O573" s="3"/>
    </row>
    <row r="574" spans="2:15">
      <c r="B574" s="2" t="s">
        <v>634</v>
      </c>
      <c r="C574" s="2" t="s">
        <v>404</v>
      </c>
      <c r="D574" s="2" t="s">
        <v>31</v>
      </c>
      <c r="E574" s="2" t="s">
        <v>406</v>
      </c>
      <c r="F574" s="2" t="s">
        <v>412</v>
      </c>
      <c r="G574" s="2" t="s">
        <v>16</v>
      </c>
      <c r="H574" s="2" t="s">
        <v>17</v>
      </c>
      <c r="I574" s="3">
        <v>350</v>
      </c>
      <c r="J574" s="3">
        <v>480</v>
      </c>
      <c r="K574" s="4">
        <v>4</v>
      </c>
      <c r="O574" s="3"/>
    </row>
    <row r="575" spans="2:15">
      <c r="B575" s="2" t="s">
        <v>635</v>
      </c>
      <c r="C575" s="2" t="s">
        <v>404</v>
      </c>
      <c r="D575" s="2" t="s">
        <v>414</v>
      </c>
      <c r="E575" s="2" t="s">
        <v>418</v>
      </c>
      <c r="F575" s="2" t="s">
        <v>412</v>
      </c>
      <c r="G575" s="2" t="s">
        <v>36</v>
      </c>
      <c r="H575" s="2" t="s">
        <v>75</v>
      </c>
      <c r="I575" s="3">
        <v>500</v>
      </c>
      <c r="J575" s="3">
        <v>690</v>
      </c>
      <c r="K575" s="4">
        <v>3</v>
      </c>
      <c r="O575" s="3"/>
    </row>
    <row r="576" spans="2:15">
      <c r="B576" s="2" t="s">
        <v>636</v>
      </c>
      <c r="C576" s="2" t="s">
        <v>404</v>
      </c>
      <c r="D576" s="2" t="s">
        <v>31</v>
      </c>
      <c r="E576" s="2" t="s">
        <v>411</v>
      </c>
      <c r="F576" s="2" t="s">
        <v>20</v>
      </c>
      <c r="G576" s="2" t="s">
        <v>16</v>
      </c>
      <c r="H576" s="2" t="s">
        <v>25</v>
      </c>
      <c r="I576" s="3">
        <v>500</v>
      </c>
      <c r="J576" s="3">
        <v>700</v>
      </c>
      <c r="K576" s="4">
        <v>3</v>
      </c>
      <c r="O576" s="3"/>
    </row>
    <row r="577" spans="2:15">
      <c r="B577" s="2" t="s">
        <v>637</v>
      </c>
      <c r="C577" s="2" t="s">
        <v>404</v>
      </c>
      <c r="D577" s="2" t="s">
        <v>61</v>
      </c>
      <c r="E577" s="2" t="s">
        <v>415</v>
      </c>
      <c r="F577" s="2" t="s">
        <v>15</v>
      </c>
      <c r="G577" s="2" t="s">
        <v>32</v>
      </c>
      <c r="H577" s="2" t="s">
        <v>22</v>
      </c>
      <c r="I577" s="3">
        <v>260</v>
      </c>
      <c r="J577" s="3">
        <v>370</v>
      </c>
      <c r="K577" s="4">
        <v>6</v>
      </c>
      <c r="O577" s="3"/>
    </row>
    <row r="578" spans="2:15">
      <c r="B578" s="2" t="s">
        <v>638</v>
      </c>
      <c r="C578" s="2" t="s">
        <v>404</v>
      </c>
      <c r="D578" s="2" t="s">
        <v>53</v>
      </c>
      <c r="E578" s="2" t="s">
        <v>418</v>
      </c>
      <c r="F578" s="2" t="s">
        <v>20</v>
      </c>
      <c r="G578" s="2" t="s">
        <v>36</v>
      </c>
      <c r="H578" s="2" t="s">
        <v>101</v>
      </c>
      <c r="I578" s="3">
        <v>330</v>
      </c>
      <c r="J578" s="3">
        <v>460</v>
      </c>
      <c r="K578" s="4">
        <v>6</v>
      </c>
      <c r="O578" s="3"/>
    </row>
    <row r="579" spans="2:15">
      <c r="B579" s="2" t="s">
        <v>639</v>
      </c>
      <c r="C579" s="2" t="s">
        <v>404</v>
      </c>
      <c r="D579" s="2" t="s">
        <v>31</v>
      </c>
      <c r="E579" s="2" t="s">
        <v>409</v>
      </c>
      <c r="F579" s="2" t="s">
        <v>412</v>
      </c>
      <c r="G579" s="2" t="s">
        <v>32</v>
      </c>
      <c r="H579" s="2" t="s">
        <v>62</v>
      </c>
      <c r="I579" s="3">
        <v>450</v>
      </c>
      <c r="J579" s="3">
        <v>630</v>
      </c>
      <c r="K579" s="4">
        <v>5</v>
      </c>
      <c r="O579" s="3"/>
    </row>
    <row r="580" spans="2:15">
      <c r="B580" s="2" t="s">
        <v>640</v>
      </c>
      <c r="C580" s="2" t="s">
        <v>404</v>
      </c>
      <c r="D580" s="2" t="s">
        <v>408</v>
      </c>
      <c r="E580" s="2" t="s">
        <v>409</v>
      </c>
      <c r="F580" s="2" t="s">
        <v>15</v>
      </c>
      <c r="G580" s="2" t="s">
        <v>39</v>
      </c>
      <c r="H580" s="2" t="s">
        <v>49</v>
      </c>
      <c r="I580" s="3">
        <v>300</v>
      </c>
      <c r="J580" s="3">
        <v>420</v>
      </c>
      <c r="K580" s="4">
        <v>5</v>
      </c>
      <c r="O580" s="3"/>
    </row>
    <row r="581" spans="2:15">
      <c r="B581" s="2" t="s">
        <v>641</v>
      </c>
      <c r="C581" s="2" t="s">
        <v>404</v>
      </c>
      <c r="D581" s="2" t="s">
        <v>61</v>
      </c>
      <c r="E581" s="2" t="s">
        <v>418</v>
      </c>
      <c r="F581" s="2" t="s">
        <v>15</v>
      </c>
      <c r="G581" s="2" t="s">
        <v>32</v>
      </c>
      <c r="H581" s="2" t="s">
        <v>94</v>
      </c>
      <c r="I581" s="3">
        <v>480</v>
      </c>
      <c r="J581" s="3">
        <v>670</v>
      </c>
      <c r="K581" s="4">
        <v>4</v>
      </c>
      <c r="O581" s="3"/>
    </row>
    <row r="582" spans="2:15">
      <c r="B582" s="2" t="s">
        <v>642</v>
      </c>
      <c r="C582" s="2" t="s">
        <v>404</v>
      </c>
      <c r="D582" s="2" t="s">
        <v>417</v>
      </c>
      <c r="E582" s="2" t="s">
        <v>406</v>
      </c>
      <c r="F582" s="2" t="s">
        <v>20</v>
      </c>
      <c r="G582" s="2" t="s">
        <v>21</v>
      </c>
      <c r="H582" s="2" t="s">
        <v>59</v>
      </c>
      <c r="I582" s="3">
        <v>410</v>
      </c>
      <c r="J582" s="3">
        <v>580</v>
      </c>
      <c r="K582" s="4">
        <v>5</v>
      </c>
      <c r="O582" s="3"/>
    </row>
    <row r="583" spans="2:15">
      <c r="B583" s="2" t="s">
        <v>643</v>
      </c>
      <c r="C583" s="2" t="s">
        <v>404</v>
      </c>
      <c r="D583" s="2" t="s">
        <v>414</v>
      </c>
      <c r="E583" s="2" t="s">
        <v>409</v>
      </c>
      <c r="F583" s="2" t="s">
        <v>412</v>
      </c>
      <c r="G583" s="2" t="s">
        <v>36</v>
      </c>
      <c r="H583" s="2" t="s">
        <v>101</v>
      </c>
      <c r="I583" s="3">
        <v>500</v>
      </c>
      <c r="J583" s="3">
        <v>700</v>
      </c>
      <c r="K583" s="4">
        <v>5</v>
      </c>
      <c r="O583" s="3"/>
    </row>
    <row r="584" spans="2:15">
      <c r="B584" s="2" t="s">
        <v>644</v>
      </c>
      <c r="C584" s="2" t="s">
        <v>404</v>
      </c>
      <c r="D584" s="2" t="s">
        <v>53</v>
      </c>
      <c r="E584" s="2" t="s">
        <v>411</v>
      </c>
      <c r="F584" s="2" t="s">
        <v>412</v>
      </c>
      <c r="G584" s="2" t="s">
        <v>39</v>
      </c>
      <c r="H584" s="2" t="s">
        <v>71</v>
      </c>
      <c r="I584" s="3">
        <v>360</v>
      </c>
      <c r="J584" s="3">
        <v>510</v>
      </c>
      <c r="K584" s="4">
        <v>4</v>
      </c>
      <c r="O584" s="3"/>
    </row>
    <row r="585" spans="2:15">
      <c r="B585" s="2" t="s">
        <v>645</v>
      </c>
      <c r="C585" s="2" t="s">
        <v>404</v>
      </c>
      <c r="D585" s="2" t="s">
        <v>408</v>
      </c>
      <c r="E585" s="2" t="s">
        <v>406</v>
      </c>
      <c r="F585" s="2" t="s">
        <v>412</v>
      </c>
      <c r="G585" s="2" t="s">
        <v>21</v>
      </c>
      <c r="H585" s="2" t="s">
        <v>51</v>
      </c>
      <c r="I585" s="3">
        <v>320</v>
      </c>
      <c r="J585" s="3">
        <v>450</v>
      </c>
      <c r="K585" s="4">
        <v>5</v>
      </c>
      <c r="O585" s="3"/>
    </row>
    <row r="586" spans="2:15">
      <c r="B586" s="2" t="s">
        <v>646</v>
      </c>
      <c r="C586" s="2" t="s">
        <v>404</v>
      </c>
      <c r="D586" s="2" t="s">
        <v>61</v>
      </c>
      <c r="E586" s="2" t="s">
        <v>406</v>
      </c>
      <c r="F586" s="2" t="s">
        <v>412</v>
      </c>
      <c r="G586" s="2" t="s">
        <v>21</v>
      </c>
      <c r="H586" s="2" t="s">
        <v>64</v>
      </c>
      <c r="I586" s="3">
        <v>410</v>
      </c>
      <c r="J586" s="3">
        <v>570</v>
      </c>
      <c r="K586" s="4">
        <v>5</v>
      </c>
      <c r="O586" s="3"/>
    </row>
    <row r="587" spans="2:15">
      <c r="B587" s="2" t="s">
        <v>647</v>
      </c>
      <c r="C587" s="2" t="s">
        <v>404</v>
      </c>
      <c r="D587" s="2" t="s">
        <v>53</v>
      </c>
      <c r="E587" s="2" t="s">
        <v>406</v>
      </c>
      <c r="F587" s="2" t="s">
        <v>412</v>
      </c>
      <c r="G587" s="2" t="s">
        <v>32</v>
      </c>
      <c r="H587" s="2" t="s">
        <v>62</v>
      </c>
      <c r="I587" s="3">
        <v>200</v>
      </c>
      <c r="J587" s="3">
        <v>280</v>
      </c>
      <c r="K587" s="4">
        <v>4</v>
      </c>
      <c r="O587" s="3"/>
    </row>
    <row r="588" spans="2:15">
      <c r="B588" s="2" t="s">
        <v>648</v>
      </c>
      <c r="C588" s="2" t="s">
        <v>404</v>
      </c>
      <c r="D588" s="2" t="s">
        <v>61</v>
      </c>
      <c r="E588" s="2" t="s">
        <v>409</v>
      </c>
      <c r="F588" s="2" t="s">
        <v>20</v>
      </c>
      <c r="G588" s="2" t="s">
        <v>32</v>
      </c>
      <c r="H588" s="2" t="s">
        <v>17</v>
      </c>
      <c r="I588" s="3">
        <v>500</v>
      </c>
      <c r="J588" s="3">
        <v>700</v>
      </c>
      <c r="K588" s="4">
        <v>5</v>
      </c>
      <c r="O588" s="3"/>
    </row>
    <row r="589" spans="2:15">
      <c r="B589" s="2" t="s">
        <v>649</v>
      </c>
      <c r="C589" s="2" t="s">
        <v>404</v>
      </c>
      <c r="D589" s="2" t="s">
        <v>417</v>
      </c>
      <c r="E589" s="2" t="s">
        <v>418</v>
      </c>
      <c r="F589" s="2" t="s">
        <v>15</v>
      </c>
      <c r="G589" s="2" t="s">
        <v>32</v>
      </c>
      <c r="H589" s="2" t="s">
        <v>71</v>
      </c>
      <c r="I589" s="3">
        <v>360</v>
      </c>
      <c r="J589" s="3">
        <v>510</v>
      </c>
      <c r="K589" s="4">
        <v>5</v>
      </c>
      <c r="O589" s="3"/>
    </row>
    <row r="590" spans="2:15">
      <c r="B590" s="2" t="s">
        <v>650</v>
      </c>
      <c r="C590" s="2" t="s">
        <v>404</v>
      </c>
      <c r="D590" s="2" t="s">
        <v>417</v>
      </c>
      <c r="E590" s="2" t="s">
        <v>409</v>
      </c>
      <c r="F590" s="2" t="s">
        <v>15</v>
      </c>
      <c r="G590" s="2" t="s">
        <v>39</v>
      </c>
      <c r="H590" s="2" t="s">
        <v>71</v>
      </c>
      <c r="I590" s="3">
        <v>390</v>
      </c>
      <c r="J590" s="3">
        <v>540</v>
      </c>
      <c r="K590" s="4">
        <v>3</v>
      </c>
      <c r="O590" s="3"/>
    </row>
    <row r="591" spans="2:15">
      <c r="B591" s="2" t="s">
        <v>651</v>
      </c>
      <c r="C591" s="2" t="s">
        <v>404</v>
      </c>
      <c r="D591" s="2" t="s">
        <v>414</v>
      </c>
      <c r="E591" s="2" t="s">
        <v>415</v>
      </c>
      <c r="F591" s="2" t="s">
        <v>20</v>
      </c>
      <c r="G591" s="2" t="s">
        <v>36</v>
      </c>
      <c r="H591" s="2" t="s">
        <v>75</v>
      </c>
      <c r="I591" s="3">
        <v>390</v>
      </c>
      <c r="J591" s="3">
        <v>550</v>
      </c>
      <c r="K591" s="4">
        <v>5</v>
      </c>
      <c r="O591" s="3"/>
    </row>
    <row r="592" spans="2:15">
      <c r="B592" s="2" t="s">
        <v>652</v>
      </c>
      <c r="C592" s="2" t="s">
        <v>404</v>
      </c>
      <c r="D592" s="2" t="s">
        <v>31</v>
      </c>
      <c r="E592" s="2" t="s">
        <v>406</v>
      </c>
      <c r="F592" s="2" t="s">
        <v>20</v>
      </c>
      <c r="G592" s="2" t="s">
        <v>16</v>
      </c>
      <c r="H592" s="2" t="s">
        <v>49</v>
      </c>
      <c r="I592" s="3">
        <v>360</v>
      </c>
      <c r="J592" s="3">
        <v>500</v>
      </c>
      <c r="K592" s="4">
        <v>6</v>
      </c>
      <c r="O592" s="3"/>
    </row>
    <row r="593" spans="2:15">
      <c r="B593" s="2" t="s">
        <v>653</v>
      </c>
      <c r="C593" s="2" t="s">
        <v>404</v>
      </c>
      <c r="D593" s="2" t="s">
        <v>53</v>
      </c>
      <c r="E593" s="2" t="s">
        <v>406</v>
      </c>
      <c r="F593" s="2" t="s">
        <v>15</v>
      </c>
      <c r="G593" s="2" t="s">
        <v>16</v>
      </c>
      <c r="H593" s="2" t="s">
        <v>43</v>
      </c>
      <c r="I593" s="3">
        <v>440</v>
      </c>
      <c r="J593" s="3">
        <v>620</v>
      </c>
      <c r="K593" s="4">
        <v>6</v>
      </c>
      <c r="O593" s="3"/>
    </row>
    <row r="594" spans="2:15">
      <c r="B594" s="2" t="s">
        <v>654</v>
      </c>
      <c r="C594" s="2" t="s">
        <v>404</v>
      </c>
      <c r="D594" s="2" t="s">
        <v>408</v>
      </c>
      <c r="E594" s="2" t="s">
        <v>406</v>
      </c>
      <c r="F594" s="2" t="s">
        <v>15</v>
      </c>
      <c r="G594" s="2" t="s">
        <v>39</v>
      </c>
      <c r="H594" s="2" t="s">
        <v>69</v>
      </c>
      <c r="I594" s="3">
        <v>320</v>
      </c>
      <c r="J594" s="3">
        <v>450</v>
      </c>
      <c r="K594" s="4">
        <v>6</v>
      </c>
      <c r="O594" s="3"/>
    </row>
    <row r="595" spans="2:15">
      <c r="B595" s="2" t="s">
        <v>655</v>
      </c>
      <c r="C595" s="2" t="s">
        <v>404</v>
      </c>
      <c r="D595" s="2" t="s">
        <v>414</v>
      </c>
      <c r="E595" s="2" t="s">
        <v>406</v>
      </c>
      <c r="F595" s="2" t="s">
        <v>412</v>
      </c>
      <c r="G595" s="2" t="s">
        <v>16</v>
      </c>
      <c r="H595" s="2" t="s">
        <v>51</v>
      </c>
      <c r="I595" s="3">
        <v>290</v>
      </c>
      <c r="J595" s="3">
        <v>410</v>
      </c>
      <c r="K595" s="4">
        <v>3</v>
      </c>
      <c r="O595" s="3"/>
    </row>
    <row r="596" spans="2:15">
      <c r="B596" s="2" t="s">
        <v>656</v>
      </c>
      <c r="C596" s="2" t="s">
        <v>404</v>
      </c>
      <c r="D596" s="2" t="s">
        <v>405</v>
      </c>
      <c r="E596" s="2" t="s">
        <v>411</v>
      </c>
      <c r="F596" s="2" t="s">
        <v>412</v>
      </c>
      <c r="G596" s="2" t="s">
        <v>36</v>
      </c>
      <c r="H596" s="2" t="s">
        <v>59</v>
      </c>
      <c r="I596" s="3">
        <v>220</v>
      </c>
      <c r="J596" s="3">
        <v>300</v>
      </c>
      <c r="K596" s="4">
        <v>6</v>
      </c>
      <c r="O596" s="3"/>
    </row>
    <row r="597" spans="2:15">
      <c r="B597" s="2" t="s">
        <v>657</v>
      </c>
      <c r="C597" s="2" t="s">
        <v>404</v>
      </c>
      <c r="D597" s="2" t="s">
        <v>53</v>
      </c>
      <c r="E597" s="2" t="s">
        <v>409</v>
      </c>
      <c r="F597" s="2" t="s">
        <v>20</v>
      </c>
      <c r="G597" s="2" t="s">
        <v>21</v>
      </c>
      <c r="H597" s="2" t="s">
        <v>94</v>
      </c>
      <c r="I597" s="3">
        <v>390</v>
      </c>
      <c r="J597" s="3">
        <v>550</v>
      </c>
      <c r="K597" s="4">
        <v>5</v>
      </c>
      <c r="O597" s="3"/>
    </row>
    <row r="598" spans="2:15">
      <c r="B598" s="2" t="s">
        <v>658</v>
      </c>
      <c r="C598" s="2" t="s">
        <v>404</v>
      </c>
      <c r="D598" s="2" t="s">
        <v>61</v>
      </c>
      <c r="E598" s="2" t="s">
        <v>415</v>
      </c>
      <c r="F598" s="2" t="s">
        <v>20</v>
      </c>
      <c r="G598" s="2" t="s">
        <v>39</v>
      </c>
      <c r="H598" s="2" t="s">
        <v>69</v>
      </c>
      <c r="I598" s="3">
        <v>160</v>
      </c>
      <c r="J598" s="3">
        <v>220</v>
      </c>
      <c r="K598" s="4">
        <v>4</v>
      </c>
      <c r="O598" s="3"/>
    </row>
    <row r="599" spans="2:15">
      <c r="B599" s="2" t="s">
        <v>659</v>
      </c>
      <c r="C599" s="2" t="s">
        <v>404</v>
      </c>
      <c r="D599" s="2" t="s">
        <v>408</v>
      </c>
      <c r="E599" s="2" t="s">
        <v>418</v>
      </c>
      <c r="F599" s="2" t="s">
        <v>15</v>
      </c>
      <c r="G599" s="2" t="s">
        <v>16</v>
      </c>
      <c r="H599" s="2" t="s">
        <v>37</v>
      </c>
      <c r="I599" s="3">
        <v>260</v>
      </c>
      <c r="J599" s="3">
        <v>370</v>
      </c>
      <c r="K599" s="4">
        <v>6</v>
      </c>
      <c r="O599" s="3"/>
    </row>
    <row r="600" spans="2:15">
      <c r="B600" s="2" t="s">
        <v>660</v>
      </c>
      <c r="C600" s="2" t="s">
        <v>404</v>
      </c>
      <c r="D600" s="2" t="s">
        <v>405</v>
      </c>
      <c r="E600" s="2" t="s">
        <v>418</v>
      </c>
      <c r="F600" s="2" t="s">
        <v>20</v>
      </c>
      <c r="G600" s="2" t="s">
        <v>39</v>
      </c>
      <c r="H600" s="2" t="s">
        <v>104</v>
      </c>
      <c r="I600" s="3">
        <v>410</v>
      </c>
      <c r="J600" s="3">
        <v>570</v>
      </c>
      <c r="K600" s="4">
        <v>5</v>
      </c>
      <c r="O600" s="3"/>
    </row>
    <row r="601" spans="2:15">
      <c r="B601" s="2" t="s">
        <v>661</v>
      </c>
      <c r="C601" s="2" t="s">
        <v>404</v>
      </c>
      <c r="D601" s="2" t="s">
        <v>53</v>
      </c>
      <c r="E601" s="2" t="s">
        <v>415</v>
      </c>
      <c r="F601" s="2" t="s">
        <v>412</v>
      </c>
      <c r="G601" s="2" t="s">
        <v>21</v>
      </c>
      <c r="H601" s="2" t="s">
        <v>49</v>
      </c>
      <c r="I601" s="3">
        <v>300</v>
      </c>
      <c r="J601" s="3">
        <v>420</v>
      </c>
      <c r="K601" s="4">
        <v>6</v>
      </c>
      <c r="O601" s="3"/>
    </row>
    <row r="602" spans="2:15">
      <c r="B602" s="2" t="s">
        <v>662</v>
      </c>
      <c r="C602" s="2" t="s">
        <v>404</v>
      </c>
      <c r="D602" s="2" t="s">
        <v>414</v>
      </c>
      <c r="E602" s="2" t="s">
        <v>418</v>
      </c>
      <c r="F602" s="2" t="s">
        <v>15</v>
      </c>
      <c r="G602" s="2" t="s">
        <v>32</v>
      </c>
      <c r="H602" s="2" t="s">
        <v>94</v>
      </c>
      <c r="I602" s="3">
        <v>500</v>
      </c>
      <c r="J602" s="3">
        <v>700</v>
      </c>
      <c r="K602" s="4">
        <v>4</v>
      </c>
      <c r="O602" s="3"/>
    </row>
    <row r="603" spans="2:15">
      <c r="B603" s="2" t="s">
        <v>663</v>
      </c>
      <c r="C603" s="2" t="s">
        <v>404</v>
      </c>
      <c r="D603" s="2" t="s">
        <v>31</v>
      </c>
      <c r="E603" s="2" t="s">
        <v>406</v>
      </c>
      <c r="F603" s="2" t="s">
        <v>20</v>
      </c>
      <c r="G603" s="2" t="s">
        <v>16</v>
      </c>
      <c r="H603" s="2" t="s">
        <v>94</v>
      </c>
      <c r="I603" s="3">
        <v>360</v>
      </c>
      <c r="J603" s="3">
        <v>500</v>
      </c>
      <c r="K603" s="4">
        <v>3</v>
      </c>
      <c r="O603" s="3"/>
    </row>
    <row r="604" spans="2:15">
      <c r="B604" s="2" t="s">
        <v>664</v>
      </c>
      <c r="C604" s="2" t="s">
        <v>404</v>
      </c>
      <c r="D604" s="2" t="s">
        <v>405</v>
      </c>
      <c r="E604" s="2" t="s">
        <v>406</v>
      </c>
      <c r="F604" s="2" t="s">
        <v>20</v>
      </c>
      <c r="G604" s="2" t="s">
        <v>32</v>
      </c>
      <c r="H604" s="2" t="s">
        <v>104</v>
      </c>
      <c r="I604" s="3">
        <v>450</v>
      </c>
      <c r="J604" s="3">
        <v>630</v>
      </c>
      <c r="K604" s="4">
        <v>6</v>
      </c>
      <c r="O604" s="3"/>
    </row>
    <row r="605" spans="2:15">
      <c r="B605" s="2" t="s">
        <v>665</v>
      </c>
      <c r="C605" s="2" t="s">
        <v>404</v>
      </c>
      <c r="D605" s="2" t="s">
        <v>61</v>
      </c>
      <c r="E605" s="2" t="s">
        <v>415</v>
      </c>
      <c r="F605" s="2" t="s">
        <v>412</v>
      </c>
      <c r="G605" s="2" t="s">
        <v>39</v>
      </c>
      <c r="H605" s="2" t="s">
        <v>25</v>
      </c>
      <c r="I605" s="3">
        <v>480</v>
      </c>
      <c r="J605" s="3">
        <v>670</v>
      </c>
      <c r="K605" s="4">
        <v>3</v>
      </c>
      <c r="O605" s="3"/>
    </row>
    <row r="606" spans="2:15">
      <c r="B606" s="2" t="s">
        <v>666</v>
      </c>
      <c r="C606" s="2" t="s">
        <v>404</v>
      </c>
      <c r="D606" s="2" t="s">
        <v>31</v>
      </c>
      <c r="E606" s="2" t="s">
        <v>409</v>
      </c>
      <c r="F606" s="2" t="s">
        <v>20</v>
      </c>
      <c r="G606" s="2" t="s">
        <v>39</v>
      </c>
      <c r="H606" s="2" t="s">
        <v>22</v>
      </c>
      <c r="I606" s="3">
        <v>490</v>
      </c>
      <c r="J606" s="3">
        <v>680</v>
      </c>
      <c r="K606" s="4">
        <v>6</v>
      </c>
      <c r="O606" s="3"/>
    </row>
    <row r="607" spans="2:15">
      <c r="B607" s="2" t="s">
        <v>667</v>
      </c>
      <c r="C607" s="2" t="s">
        <v>404</v>
      </c>
      <c r="D607" s="2" t="s">
        <v>31</v>
      </c>
      <c r="E607" s="2" t="s">
        <v>415</v>
      </c>
      <c r="F607" s="2" t="s">
        <v>15</v>
      </c>
      <c r="G607" s="2" t="s">
        <v>36</v>
      </c>
      <c r="H607" s="2" t="s">
        <v>57</v>
      </c>
      <c r="I607" s="3">
        <v>340</v>
      </c>
      <c r="J607" s="3">
        <v>480</v>
      </c>
      <c r="K607" s="4">
        <v>4</v>
      </c>
      <c r="O607" s="3"/>
    </row>
    <row r="608" spans="2:15">
      <c r="B608" s="2" t="s">
        <v>668</v>
      </c>
      <c r="C608" s="2" t="s">
        <v>404</v>
      </c>
      <c r="D608" s="2" t="s">
        <v>408</v>
      </c>
      <c r="E608" s="2" t="s">
        <v>409</v>
      </c>
      <c r="F608" s="2" t="s">
        <v>15</v>
      </c>
      <c r="G608" s="2" t="s">
        <v>36</v>
      </c>
      <c r="H608" s="2" t="s">
        <v>37</v>
      </c>
      <c r="I608" s="3">
        <v>500</v>
      </c>
      <c r="J608" s="3">
        <v>710</v>
      </c>
      <c r="K608" s="4">
        <v>5</v>
      </c>
      <c r="O608" s="3"/>
    </row>
    <row r="609" spans="2:15">
      <c r="B609" s="2" t="s">
        <v>669</v>
      </c>
      <c r="C609" s="2" t="s">
        <v>404</v>
      </c>
      <c r="D609" s="2" t="s">
        <v>405</v>
      </c>
      <c r="E609" s="2" t="s">
        <v>406</v>
      </c>
      <c r="F609" s="2" t="s">
        <v>15</v>
      </c>
      <c r="G609" s="2" t="s">
        <v>39</v>
      </c>
      <c r="H609" s="2" t="s">
        <v>75</v>
      </c>
      <c r="I609" s="3">
        <v>470</v>
      </c>
      <c r="J609" s="3">
        <v>660</v>
      </c>
      <c r="K609" s="4">
        <v>3</v>
      </c>
      <c r="O609" s="3"/>
    </row>
    <row r="610" spans="2:15">
      <c r="B610" s="2" t="s">
        <v>670</v>
      </c>
      <c r="C610" s="2" t="s">
        <v>404</v>
      </c>
      <c r="D610" s="2" t="s">
        <v>31</v>
      </c>
      <c r="E610" s="2" t="s">
        <v>409</v>
      </c>
      <c r="F610" s="2" t="s">
        <v>15</v>
      </c>
      <c r="G610" s="2" t="s">
        <v>16</v>
      </c>
      <c r="H610" s="2" t="s">
        <v>25</v>
      </c>
      <c r="I610" s="3">
        <v>290</v>
      </c>
      <c r="J610" s="3">
        <v>410</v>
      </c>
      <c r="K610" s="4">
        <v>4</v>
      </c>
      <c r="O610" s="3"/>
    </row>
    <row r="611" spans="2:15">
      <c r="B611" s="2" t="s">
        <v>671</v>
      </c>
      <c r="C611" s="2" t="s">
        <v>404</v>
      </c>
      <c r="D611" s="2" t="s">
        <v>417</v>
      </c>
      <c r="E611" s="2" t="s">
        <v>415</v>
      </c>
      <c r="F611" s="2" t="s">
        <v>20</v>
      </c>
      <c r="G611" s="2" t="s">
        <v>32</v>
      </c>
      <c r="H611" s="2" t="s">
        <v>22</v>
      </c>
      <c r="I611" s="3">
        <v>280</v>
      </c>
      <c r="J611" s="3">
        <v>400</v>
      </c>
      <c r="K611" s="4">
        <v>5</v>
      </c>
      <c r="O611" s="3"/>
    </row>
    <row r="612" spans="2:15">
      <c r="B612" s="2" t="s">
        <v>672</v>
      </c>
      <c r="C612" s="2" t="s">
        <v>404</v>
      </c>
      <c r="D612" s="2" t="s">
        <v>31</v>
      </c>
      <c r="E612" s="2" t="s">
        <v>415</v>
      </c>
      <c r="F612" s="2" t="s">
        <v>15</v>
      </c>
      <c r="G612" s="2" t="s">
        <v>16</v>
      </c>
      <c r="H612" s="2" t="s">
        <v>51</v>
      </c>
      <c r="I612" s="3">
        <v>230</v>
      </c>
      <c r="J612" s="3">
        <v>320</v>
      </c>
      <c r="K612" s="4">
        <v>5</v>
      </c>
      <c r="O612" s="3"/>
    </row>
    <row r="613" spans="2:15">
      <c r="B613" s="2" t="s">
        <v>673</v>
      </c>
      <c r="C613" s="2" t="s">
        <v>404</v>
      </c>
      <c r="D613" s="2" t="s">
        <v>31</v>
      </c>
      <c r="E613" s="2" t="s">
        <v>409</v>
      </c>
      <c r="F613" s="2" t="s">
        <v>412</v>
      </c>
      <c r="G613" s="2" t="s">
        <v>39</v>
      </c>
      <c r="H613" s="2" t="s">
        <v>37</v>
      </c>
      <c r="I613" s="3">
        <v>270</v>
      </c>
      <c r="J613" s="3">
        <v>380</v>
      </c>
      <c r="K613" s="4">
        <v>6</v>
      </c>
      <c r="O613" s="3"/>
    </row>
    <row r="614" spans="2:15">
      <c r="B614" s="2" t="s">
        <v>674</v>
      </c>
      <c r="C614" s="2" t="s">
        <v>404</v>
      </c>
      <c r="D614" s="2" t="s">
        <v>31</v>
      </c>
      <c r="E614" s="2" t="s">
        <v>415</v>
      </c>
      <c r="F614" s="2" t="s">
        <v>20</v>
      </c>
      <c r="G614" s="2" t="s">
        <v>39</v>
      </c>
      <c r="H614" s="2" t="s">
        <v>33</v>
      </c>
      <c r="I614" s="3">
        <v>230</v>
      </c>
      <c r="J614" s="3">
        <v>320</v>
      </c>
      <c r="K614" s="4">
        <v>4</v>
      </c>
      <c r="O614" s="3"/>
    </row>
    <row r="615" spans="2:15">
      <c r="B615" s="2" t="s">
        <v>675</v>
      </c>
      <c r="C615" s="2" t="s">
        <v>404</v>
      </c>
      <c r="D615" s="2" t="s">
        <v>61</v>
      </c>
      <c r="E615" s="2" t="s">
        <v>418</v>
      </c>
      <c r="F615" s="2" t="s">
        <v>15</v>
      </c>
      <c r="G615" s="2" t="s">
        <v>39</v>
      </c>
      <c r="H615" s="2" t="s">
        <v>37</v>
      </c>
      <c r="I615" s="3">
        <v>380</v>
      </c>
      <c r="J615" s="3">
        <v>540</v>
      </c>
      <c r="K615" s="4">
        <v>4</v>
      </c>
      <c r="O615" s="3"/>
    </row>
    <row r="616" spans="2:15">
      <c r="B616" s="2" t="s">
        <v>676</v>
      </c>
      <c r="C616" s="2" t="s">
        <v>404</v>
      </c>
      <c r="D616" s="2" t="s">
        <v>417</v>
      </c>
      <c r="E616" s="2" t="s">
        <v>418</v>
      </c>
      <c r="F616" s="2" t="s">
        <v>15</v>
      </c>
      <c r="G616" s="2" t="s">
        <v>32</v>
      </c>
      <c r="H616" s="2" t="s">
        <v>22</v>
      </c>
      <c r="I616" s="3">
        <v>170</v>
      </c>
      <c r="J616" s="3">
        <v>240</v>
      </c>
      <c r="K616" s="4">
        <v>3</v>
      </c>
      <c r="O616" s="3"/>
    </row>
    <row r="617" spans="2:15">
      <c r="B617" s="2" t="s">
        <v>677</v>
      </c>
      <c r="C617" s="2" t="s">
        <v>404</v>
      </c>
      <c r="D617" s="2" t="s">
        <v>417</v>
      </c>
      <c r="E617" s="2" t="s">
        <v>409</v>
      </c>
      <c r="F617" s="2" t="s">
        <v>20</v>
      </c>
      <c r="G617" s="2" t="s">
        <v>16</v>
      </c>
      <c r="H617" s="2" t="s">
        <v>64</v>
      </c>
      <c r="I617" s="3">
        <v>200</v>
      </c>
      <c r="J617" s="3">
        <v>280</v>
      </c>
      <c r="K617" s="4">
        <v>5</v>
      </c>
      <c r="O617" s="3"/>
    </row>
    <row r="618" spans="2:15">
      <c r="B618" s="2" t="s">
        <v>678</v>
      </c>
      <c r="C618" s="2" t="s">
        <v>404</v>
      </c>
      <c r="D618" s="2" t="s">
        <v>53</v>
      </c>
      <c r="E618" s="2" t="s">
        <v>415</v>
      </c>
      <c r="F618" s="2" t="s">
        <v>15</v>
      </c>
      <c r="G618" s="2" t="s">
        <v>39</v>
      </c>
      <c r="H618" s="2" t="s">
        <v>41</v>
      </c>
      <c r="I618" s="3">
        <v>330</v>
      </c>
      <c r="J618" s="3">
        <v>470</v>
      </c>
      <c r="K618" s="4">
        <v>5</v>
      </c>
      <c r="O618" s="3"/>
    </row>
    <row r="619" spans="2:15">
      <c r="B619" s="2" t="s">
        <v>679</v>
      </c>
      <c r="C619" s="2" t="s">
        <v>404</v>
      </c>
      <c r="D619" s="2" t="s">
        <v>31</v>
      </c>
      <c r="E619" s="2" t="s">
        <v>411</v>
      </c>
      <c r="F619" s="2" t="s">
        <v>15</v>
      </c>
      <c r="G619" s="2" t="s">
        <v>36</v>
      </c>
      <c r="H619" s="2" t="s">
        <v>33</v>
      </c>
      <c r="I619" s="3">
        <v>240</v>
      </c>
      <c r="J619" s="3">
        <v>340</v>
      </c>
      <c r="K619" s="4">
        <v>6</v>
      </c>
      <c r="O619" s="3"/>
    </row>
    <row r="620" spans="2:15">
      <c r="B620" s="2" t="s">
        <v>680</v>
      </c>
      <c r="C620" s="2" t="s">
        <v>404</v>
      </c>
      <c r="D620" s="2" t="s">
        <v>417</v>
      </c>
      <c r="E620" s="2" t="s">
        <v>411</v>
      </c>
      <c r="F620" s="2" t="s">
        <v>15</v>
      </c>
      <c r="G620" s="2" t="s">
        <v>16</v>
      </c>
      <c r="H620" s="2" t="s">
        <v>37</v>
      </c>
      <c r="I620" s="3">
        <v>500</v>
      </c>
      <c r="J620" s="3">
        <v>700</v>
      </c>
      <c r="K620" s="4">
        <v>4</v>
      </c>
      <c r="O620" s="3"/>
    </row>
    <row r="621" spans="2:15">
      <c r="B621" s="2" t="s">
        <v>681</v>
      </c>
      <c r="C621" s="2" t="s">
        <v>404</v>
      </c>
      <c r="D621" s="2" t="s">
        <v>408</v>
      </c>
      <c r="E621" s="2" t="s">
        <v>409</v>
      </c>
      <c r="F621" s="2" t="s">
        <v>20</v>
      </c>
      <c r="G621" s="2" t="s">
        <v>39</v>
      </c>
      <c r="H621" s="2" t="s">
        <v>22</v>
      </c>
      <c r="I621" s="3">
        <v>510</v>
      </c>
      <c r="J621" s="3">
        <v>710</v>
      </c>
      <c r="K621" s="4">
        <v>6</v>
      </c>
      <c r="O621" s="3"/>
    </row>
    <row r="622" spans="2:15">
      <c r="B622" s="2" t="s">
        <v>682</v>
      </c>
      <c r="C622" s="2" t="s">
        <v>404</v>
      </c>
      <c r="D622" s="2" t="s">
        <v>408</v>
      </c>
      <c r="E622" s="2" t="s">
        <v>411</v>
      </c>
      <c r="F622" s="2" t="s">
        <v>20</v>
      </c>
      <c r="G622" s="2" t="s">
        <v>21</v>
      </c>
      <c r="H622" s="2" t="s">
        <v>59</v>
      </c>
      <c r="I622" s="3">
        <v>440</v>
      </c>
      <c r="J622" s="3">
        <v>620</v>
      </c>
      <c r="K622" s="4">
        <v>5</v>
      </c>
      <c r="O622" s="3"/>
    </row>
    <row r="623" spans="2:15">
      <c r="B623" s="2" t="s">
        <v>683</v>
      </c>
      <c r="C623" s="2" t="s">
        <v>404</v>
      </c>
      <c r="D623" s="2" t="s">
        <v>31</v>
      </c>
      <c r="E623" s="2" t="s">
        <v>406</v>
      </c>
      <c r="F623" s="2" t="s">
        <v>15</v>
      </c>
      <c r="G623" s="2" t="s">
        <v>36</v>
      </c>
      <c r="H623" s="2" t="s">
        <v>37</v>
      </c>
      <c r="I623" s="3">
        <v>460</v>
      </c>
      <c r="J623" s="3">
        <v>650</v>
      </c>
      <c r="K623" s="4">
        <v>6</v>
      </c>
      <c r="O623" s="3"/>
    </row>
    <row r="624" spans="2:15">
      <c r="B624" s="2" t="s">
        <v>684</v>
      </c>
      <c r="C624" s="2" t="s">
        <v>404</v>
      </c>
      <c r="D624" s="2" t="s">
        <v>31</v>
      </c>
      <c r="E624" s="2" t="s">
        <v>409</v>
      </c>
      <c r="F624" s="2" t="s">
        <v>15</v>
      </c>
      <c r="G624" s="2" t="s">
        <v>32</v>
      </c>
      <c r="H624" s="2" t="s">
        <v>69</v>
      </c>
      <c r="I624" s="3">
        <v>380</v>
      </c>
      <c r="J624" s="3">
        <v>520</v>
      </c>
      <c r="K624" s="4">
        <v>4</v>
      </c>
      <c r="O624" s="3"/>
    </row>
    <row r="625" spans="2:15">
      <c r="B625" s="2" t="s">
        <v>685</v>
      </c>
      <c r="C625" s="2" t="s">
        <v>404</v>
      </c>
      <c r="D625" s="2" t="s">
        <v>417</v>
      </c>
      <c r="E625" s="2" t="s">
        <v>418</v>
      </c>
      <c r="F625" s="2" t="s">
        <v>412</v>
      </c>
      <c r="G625" s="2" t="s">
        <v>21</v>
      </c>
      <c r="H625" s="2" t="s">
        <v>25</v>
      </c>
      <c r="I625" s="3">
        <v>490</v>
      </c>
      <c r="J625" s="3">
        <v>690</v>
      </c>
      <c r="K625" s="4">
        <v>3</v>
      </c>
      <c r="O625" s="3"/>
    </row>
    <row r="626" spans="2:15">
      <c r="B626" s="2" t="s">
        <v>686</v>
      </c>
      <c r="C626" s="2" t="s">
        <v>404</v>
      </c>
      <c r="D626" s="2" t="s">
        <v>408</v>
      </c>
      <c r="E626" s="2" t="s">
        <v>406</v>
      </c>
      <c r="F626" s="2" t="s">
        <v>15</v>
      </c>
      <c r="G626" s="2" t="s">
        <v>32</v>
      </c>
      <c r="H626" s="2" t="s">
        <v>59</v>
      </c>
      <c r="I626" s="3">
        <v>370</v>
      </c>
      <c r="J626" s="3">
        <v>520</v>
      </c>
      <c r="K626" s="4">
        <v>4</v>
      </c>
      <c r="O626" s="3"/>
    </row>
    <row r="627" spans="2:15">
      <c r="B627" s="2" t="s">
        <v>687</v>
      </c>
      <c r="C627" s="2" t="s">
        <v>404</v>
      </c>
      <c r="D627" s="2" t="s">
        <v>405</v>
      </c>
      <c r="E627" s="2" t="s">
        <v>409</v>
      </c>
      <c r="F627" s="2" t="s">
        <v>20</v>
      </c>
      <c r="G627" s="2" t="s">
        <v>16</v>
      </c>
      <c r="H627" s="2" t="s">
        <v>75</v>
      </c>
      <c r="I627" s="3">
        <v>440</v>
      </c>
      <c r="J627" s="3">
        <v>610</v>
      </c>
      <c r="K627" s="4">
        <v>6</v>
      </c>
      <c r="O627" s="3"/>
    </row>
    <row r="628" spans="2:15">
      <c r="B628" s="2" t="s">
        <v>688</v>
      </c>
      <c r="C628" s="2" t="s">
        <v>404</v>
      </c>
      <c r="D628" s="2" t="s">
        <v>417</v>
      </c>
      <c r="E628" s="2" t="s">
        <v>406</v>
      </c>
      <c r="F628" s="2" t="s">
        <v>20</v>
      </c>
      <c r="G628" s="2" t="s">
        <v>36</v>
      </c>
      <c r="H628" s="2" t="s">
        <v>49</v>
      </c>
      <c r="I628" s="3">
        <v>400</v>
      </c>
      <c r="J628" s="3">
        <v>560</v>
      </c>
      <c r="K628" s="4">
        <v>4</v>
      </c>
      <c r="O628" s="3"/>
    </row>
    <row r="629" spans="2:15">
      <c r="B629" s="2" t="s">
        <v>689</v>
      </c>
      <c r="C629" s="2" t="s">
        <v>404</v>
      </c>
      <c r="D629" s="2" t="s">
        <v>61</v>
      </c>
      <c r="E629" s="2" t="s">
        <v>409</v>
      </c>
      <c r="F629" s="2" t="s">
        <v>412</v>
      </c>
      <c r="G629" s="2" t="s">
        <v>16</v>
      </c>
      <c r="H629" s="2" t="s">
        <v>62</v>
      </c>
      <c r="I629" s="3">
        <v>320</v>
      </c>
      <c r="J629" s="3">
        <v>450</v>
      </c>
      <c r="K629" s="4">
        <v>6</v>
      </c>
      <c r="O629" s="3"/>
    </row>
    <row r="630" spans="2:15">
      <c r="B630" s="2" t="s">
        <v>690</v>
      </c>
      <c r="C630" s="2" t="s">
        <v>404</v>
      </c>
      <c r="D630" s="2" t="s">
        <v>417</v>
      </c>
      <c r="E630" s="2" t="s">
        <v>406</v>
      </c>
      <c r="F630" s="2" t="s">
        <v>20</v>
      </c>
      <c r="G630" s="2" t="s">
        <v>36</v>
      </c>
      <c r="H630" s="2" t="s">
        <v>29</v>
      </c>
      <c r="I630" s="3">
        <v>360</v>
      </c>
      <c r="J630" s="3">
        <v>500</v>
      </c>
      <c r="K630" s="4">
        <v>6</v>
      </c>
      <c r="O630" s="3"/>
    </row>
    <row r="631" spans="2:15">
      <c r="B631" s="2" t="s">
        <v>691</v>
      </c>
      <c r="C631" s="2" t="s">
        <v>404</v>
      </c>
      <c r="D631" s="2" t="s">
        <v>417</v>
      </c>
      <c r="E631" s="2" t="s">
        <v>411</v>
      </c>
      <c r="F631" s="2" t="s">
        <v>15</v>
      </c>
      <c r="G631" s="2" t="s">
        <v>32</v>
      </c>
      <c r="H631" s="2" t="s">
        <v>37</v>
      </c>
      <c r="I631" s="3">
        <v>200</v>
      </c>
      <c r="J631" s="3">
        <v>270</v>
      </c>
      <c r="K631" s="4">
        <v>6</v>
      </c>
      <c r="O631" s="3"/>
    </row>
    <row r="632" spans="2:15">
      <c r="B632" s="2" t="s">
        <v>692</v>
      </c>
      <c r="C632" s="2" t="s">
        <v>404</v>
      </c>
      <c r="D632" s="2" t="s">
        <v>408</v>
      </c>
      <c r="E632" s="2" t="s">
        <v>409</v>
      </c>
      <c r="F632" s="2" t="s">
        <v>20</v>
      </c>
      <c r="G632" s="2" t="s">
        <v>36</v>
      </c>
      <c r="H632" s="2" t="s">
        <v>22</v>
      </c>
      <c r="I632" s="3">
        <v>530</v>
      </c>
      <c r="J632" s="3">
        <v>740</v>
      </c>
      <c r="K632" s="4">
        <v>3</v>
      </c>
      <c r="O632" s="3"/>
    </row>
    <row r="633" spans="2:15">
      <c r="B633" s="2" t="s">
        <v>693</v>
      </c>
      <c r="C633" s="2" t="s">
        <v>404</v>
      </c>
      <c r="D633" s="2" t="s">
        <v>405</v>
      </c>
      <c r="E633" s="2" t="s">
        <v>409</v>
      </c>
      <c r="F633" s="2" t="s">
        <v>20</v>
      </c>
      <c r="G633" s="2" t="s">
        <v>21</v>
      </c>
      <c r="H633" s="2" t="s">
        <v>25</v>
      </c>
      <c r="I633" s="3">
        <v>440</v>
      </c>
      <c r="J633" s="3">
        <v>610</v>
      </c>
      <c r="K633" s="4">
        <v>5</v>
      </c>
      <c r="O633" s="3"/>
    </row>
    <row r="634" spans="2:15">
      <c r="B634" s="2" t="s">
        <v>694</v>
      </c>
      <c r="C634" s="2" t="s">
        <v>404</v>
      </c>
      <c r="D634" s="2" t="s">
        <v>405</v>
      </c>
      <c r="E634" s="2" t="s">
        <v>406</v>
      </c>
      <c r="F634" s="2" t="s">
        <v>412</v>
      </c>
      <c r="G634" s="2" t="s">
        <v>36</v>
      </c>
      <c r="H634" s="2" t="s">
        <v>49</v>
      </c>
      <c r="I634" s="3">
        <v>410</v>
      </c>
      <c r="J634" s="3">
        <v>570</v>
      </c>
      <c r="K634" s="4">
        <v>5</v>
      </c>
      <c r="O634" s="3"/>
    </row>
    <row r="635" spans="2:15">
      <c r="B635" s="2" t="s">
        <v>695</v>
      </c>
      <c r="C635" s="2" t="s">
        <v>404</v>
      </c>
      <c r="D635" s="2" t="s">
        <v>417</v>
      </c>
      <c r="E635" s="2" t="s">
        <v>406</v>
      </c>
      <c r="F635" s="2" t="s">
        <v>15</v>
      </c>
      <c r="G635" s="2" t="s">
        <v>32</v>
      </c>
      <c r="H635" s="2" t="s">
        <v>62</v>
      </c>
      <c r="I635" s="3">
        <v>180</v>
      </c>
      <c r="J635" s="3">
        <v>250</v>
      </c>
      <c r="K635" s="4">
        <v>6</v>
      </c>
      <c r="O635" s="3"/>
    </row>
    <row r="636" spans="2:15">
      <c r="B636" s="2" t="s">
        <v>696</v>
      </c>
      <c r="C636" s="2" t="s">
        <v>404</v>
      </c>
      <c r="D636" s="2" t="s">
        <v>408</v>
      </c>
      <c r="E636" s="2" t="s">
        <v>418</v>
      </c>
      <c r="F636" s="2" t="s">
        <v>412</v>
      </c>
      <c r="G636" s="2" t="s">
        <v>36</v>
      </c>
      <c r="H636" s="2" t="s">
        <v>37</v>
      </c>
      <c r="I636" s="3">
        <v>520</v>
      </c>
      <c r="J636" s="3">
        <v>720</v>
      </c>
      <c r="K636" s="4">
        <v>3</v>
      </c>
      <c r="O636" s="3"/>
    </row>
    <row r="637" spans="2:15">
      <c r="B637" s="2" t="s">
        <v>697</v>
      </c>
      <c r="C637" s="2" t="s">
        <v>404</v>
      </c>
      <c r="D637" s="2" t="s">
        <v>408</v>
      </c>
      <c r="E637" s="2" t="s">
        <v>406</v>
      </c>
      <c r="F637" s="2" t="s">
        <v>20</v>
      </c>
      <c r="G637" s="2" t="s">
        <v>32</v>
      </c>
      <c r="H637" s="2" t="s">
        <v>41</v>
      </c>
      <c r="I637" s="3">
        <v>540</v>
      </c>
      <c r="J637" s="3">
        <v>750</v>
      </c>
      <c r="K637" s="4">
        <v>5</v>
      </c>
      <c r="O637" s="3"/>
    </row>
    <row r="638" spans="2:15">
      <c r="B638" s="2" t="s">
        <v>698</v>
      </c>
      <c r="C638" s="2" t="s">
        <v>404</v>
      </c>
      <c r="D638" s="2" t="s">
        <v>405</v>
      </c>
      <c r="E638" s="2" t="s">
        <v>418</v>
      </c>
      <c r="F638" s="2" t="s">
        <v>412</v>
      </c>
      <c r="G638" s="2" t="s">
        <v>39</v>
      </c>
      <c r="H638" s="2" t="s">
        <v>104</v>
      </c>
      <c r="I638" s="3">
        <v>430</v>
      </c>
      <c r="J638" s="3">
        <v>600</v>
      </c>
      <c r="K638" s="4">
        <v>4</v>
      </c>
      <c r="O638" s="3"/>
    </row>
    <row r="639" spans="2:15">
      <c r="B639" s="2" t="s">
        <v>699</v>
      </c>
      <c r="C639" s="2" t="s">
        <v>404</v>
      </c>
      <c r="D639" s="2" t="s">
        <v>414</v>
      </c>
      <c r="E639" s="2" t="s">
        <v>411</v>
      </c>
      <c r="F639" s="2" t="s">
        <v>20</v>
      </c>
      <c r="G639" s="2" t="s">
        <v>32</v>
      </c>
      <c r="H639" s="2" t="s">
        <v>25</v>
      </c>
      <c r="I639" s="3">
        <v>400</v>
      </c>
      <c r="J639" s="3">
        <v>560</v>
      </c>
      <c r="K639" s="4">
        <v>4</v>
      </c>
      <c r="O639" s="3"/>
    </row>
    <row r="640" spans="2:15">
      <c r="B640" s="2" t="s">
        <v>700</v>
      </c>
      <c r="C640" s="2" t="s">
        <v>404</v>
      </c>
      <c r="D640" s="2" t="s">
        <v>31</v>
      </c>
      <c r="E640" s="2" t="s">
        <v>411</v>
      </c>
      <c r="F640" s="2" t="s">
        <v>20</v>
      </c>
      <c r="G640" s="2" t="s">
        <v>36</v>
      </c>
      <c r="H640" s="2" t="s">
        <v>94</v>
      </c>
      <c r="I640" s="3">
        <v>250</v>
      </c>
      <c r="J640" s="3">
        <v>340</v>
      </c>
      <c r="K640" s="4">
        <v>5</v>
      </c>
      <c r="O640" s="3"/>
    </row>
    <row r="641" spans="2:15">
      <c r="B641" s="2" t="s">
        <v>701</v>
      </c>
      <c r="C641" s="2" t="s">
        <v>404</v>
      </c>
      <c r="D641" s="2" t="s">
        <v>417</v>
      </c>
      <c r="E641" s="2" t="s">
        <v>411</v>
      </c>
      <c r="F641" s="2" t="s">
        <v>20</v>
      </c>
      <c r="G641" s="2" t="s">
        <v>21</v>
      </c>
      <c r="H641" s="2" t="s">
        <v>37</v>
      </c>
      <c r="I641" s="3">
        <v>200</v>
      </c>
      <c r="J641" s="3">
        <v>290</v>
      </c>
      <c r="K641" s="4">
        <v>6</v>
      </c>
      <c r="O641" s="3"/>
    </row>
    <row r="642" spans="2:15">
      <c r="B642" s="2" t="s">
        <v>702</v>
      </c>
      <c r="C642" s="2" t="s">
        <v>404</v>
      </c>
      <c r="D642" s="2" t="s">
        <v>408</v>
      </c>
      <c r="E642" s="2" t="s">
        <v>415</v>
      </c>
      <c r="F642" s="2" t="s">
        <v>412</v>
      </c>
      <c r="G642" s="2" t="s">
        <v>16</v>
      </c>
      <c r="H642" s="2" t="s">
        <v>51</v>
      </c>
      <c r="I642" s="3">
        <v>380</v>
      </c>
      <c r="J642" s="3">
        <v>540</v>
      </c>
      <c r="K642" s="4">
        <v>3</v>
      </c>
      <c r="O642" s="3"/>
    </row>
    <row r="643" spans="2:15">
      <c r="B643" s="2" t="s">
        <v>703</v>
      </c>
      <c r="C643" s="2" t="s">
        <v>404</v>
      </c>
      <c r="D643" s="2" t="s">
        <v>408</v>
      </c>
      <c r="E643" s="2" t="s">
        <v>409</v>
      </c>
      <c r="F643" s="2" t="s">
        <v>412</v>
      </c>
      <c r="G643" s="2" t="s">
        <v>36</v>
      </c>
      <c r="H643" s="2" t="s">
        <v>71</v>
      </c>
      <c r="I643" s="3">
        <v>420</v>
      </c>
      <c r="J643" s="3">
        <v>590</v>
      </c>
      <c r="K643" s="4">
        <v>6</v>
      </c>
      <c r="O643" s="3"/>
    </row>
    <row r="644" spans="2:15">
      <c r="B644" s="2" t="s">
        <v>704</v>
      </c>
      <c r="C644" s="2" t="s">
        <v>404</v>
      </c>
      <c r="D644" s="2" t="s">
        <v>417</v>
      </c>
      <c r="E644" s="2" t="s">
        <v>406</v>
      </c>
      <c r="F644" s="2" t="s">
        <v>412</v>
      </c>
      <c r="G644" s="2" t="s">
        <v>21</v>
      </c>
      <c r="H644" s="2" t="s">
        <v>64</v>
      </c>
      <c r="I644" s="3">
        <v>410</v>
      </c>
      <c r="J644" s="3">
        <v>570</v>
      </c>
      <c r="K644" s="4">
        <v>4</v>
      </c>
      <c r="O644" s="3"/>
    </row>
    <row r="645" spans="2:15">
      <c r="B645" s="2" t="s">
        <v>705</v>
      </c>
      <c r="C645" s="2" t="s">
        <v>404</v>
      </c>
      <c r="D645" s="2" t="s">
        <v>53</v>
      </c>
      <c r="E645" s="2" t="s">
        <v>415</v>
      </c>
      <c r="F645" s="2" t="s">
        <v>412</v>
      </c>
      <c r="G645" s="2" t="s">
        <v>32</v>
      </c>
      <c r="H645" s="2" t="s">
        <v>75</v>
      </c>
      <c r="I645" s="3">
        <v>200</v>
      </c>
      <c r="J645" s="3">
        <v>280</v>
      </c>
      <c r="K645" s="4">
        <v>6</v>
      </c>
      <c r="O645" s="3"/>
    </row>
    <row r="646" spans="2:15">
      <c r="B646" s="2" t="s">
        <v>706</v>
      </c>
      <c r="C646" s="2" t="s">
        <v>404</v>
      </c>
      <c r="D646" s="2" t="s">
        <v>405</v>
      </c>
      <c r="E646" s="2" t="s">
        <v>406</v>
      </c>
      <c r="F646" s="2" t="s">
        <v>15</v>
      </c>
      <c r="G646" s="2" t="s">
        <v>36</v>
      </c>
      <c r="H646" s="2" t="s">
        <v>49</v>
      </c>
      <c r="I646" s="3">
        <v>360</v>
      </c>
      <c r="J646" s="3">
        <v>510</v>
      </c>
      <c r="K646" s="4">
        <v>5</v>
      </c>
      <c r="O646" s="3"/>
    </row>
    <row r="647" spans="2:15">
      <c r="B647" s="2" t="s">
        <v>707</v>
      </c>
      <c r="C647" s="2" t="s">
        <v>404</v>
      </c>
      <c r="D647" s="2" t="s">
        <v>417</v>
      </c>
      <c r="E647" s="2" t="s">
        <v>406</v>
      </c>
      <c r="F647" s="2" t="s">
        <v>20</v>
      </c>
      <c r="G647" s="2" t="s">
        <v>36</v>
      </c>
      <c r="H647" s="2" t="s">
        <v>25</v>
      </c>
      <c r="I647" s="3">
        <v>380</v>
      </c>
      <c r="J647" s="3">
        <v>530</v>
      </c>
      <c r="K647" s="4">
        <v>5</v>
      </c>
      <c r="O647" s="3"/>
    </row>
    <row r="648" spans="2:15">
      <c r="B648" s="2" t="s">
        <v>708</v>
      </c>
      <c r="C648" s="2" t="s">
        <v>404</v>
      </c>
      <c r="D648" s="2" t="s">
        <v>405</v>
      </c>
      <c r="E648" s="2" t="s">
        <v>418</v>
      </c>
      <c r="F648" s="2" t="s">
        <v>412</v>
      </c>
      <c r="G648" s="2" t="s">
        <v>21</v>
      </c>
      <c r="H648" s="2" t="s">
        <v>94</v>
      </c>
      <c r="I648" s="3">
        <v>510</v>
      </c>
      <c r="J648" s="3">
        <v>710</v>
      </c>
      <c r="K648" s="4">
        <v>4</v>
      </c>
      <c r="O648" s="3"/>
    </row>
    <row r="649" spans="2:15">
      <c r="B649" s="2" t="s">
        <v>709</v>
      </c>
      <c r="C649" s="2" t="s">
        <v>404</v>
      </c>
      <c r="D649" s="2" t="s">
        <v>405</v>
      </c>
      <c r="E649" s="2" t="s">
        <v>418</v>
      </c>
      <c r="F649" s="2" t="s">
        <v>412</v>
      </c>
      <c r="G649" s="2" t="s">
        <v>32</v>
      </c>
      <c r="H649" s="2" t="s">
        <v>57</v>
      </c>
      <c r="I649" s="3">
        <v>260</v>
      </c>
      <c r="J649" s="3">
        <v>360</v>
      </c>
      <c r="K649" s="4">
        <v>4</v>
      </c>
      <c r="O649" s="3"/>
    </row>
    <row r="650" spans="2:15">
      <c r="B650" s="2" t="s">
        <v>710</v>
      </c>
      <c r="C650" s="2" t="s">
        <v>404</v>
      </c>
      <c r="D650" s="2" t="s">
        <v>405</v>
      </c>
      <c r="E650" s="2" t="s">
        <v>418</v>
      </c>
      <c r="F650" s="2" t="s">
        <v>412</v>
      </c>
      <c r="G650" s="2" t="s">
        <v>39</v>
      </c>
      <c r="H650" s="2" t="s">
        <v>41</v>
      </c>
      <c r="I650" s="3">
        <v>410</v>
      </c>
      <c r="J650" s="3">
        <v>570</v>
      </c>
      <c r="K650" s="4">
        <v>6</v>
      </c>
      <c r="O650" s="3"/>
    </row>
    <row r="651" spans="2:15">
      <c r="B651" s="2" t="s">
        <v>711</v>
      </c>
      <c r="C651" s="2" t="s">
        <v>404</v>
      </c>
      <c r="D651" s="2" t="s">
        <v>405</v>
      </c>
      <c r="E651" s="2" t="s">
        <v>411</v>
      </c>
      <c r="F651" s="2" t="s">
        <v>412</v>
      </c>
      <c r="G651" s="2" t="s">
        <v>21</v>
      </c>
      <c r="H651" s="2" t="s">
        <v>101</v>
      </c>
      <c r="I651" s="3">
        <v>450</v>
      </c>
      <c r="J651" s="3">
        <v>630</v>
      </c>
      <c r="K651" s="4">
        <v>6</v>
      </c>
      <c r="O651" s="3"/>
    </row>
    <row r="652" spans="2:15">
      <c r="B652" s="2" t="s">
        <v>712</v>
      </c>
      <c r="C652" s="2" t="s">
        <v>404</v>
      </c>
      <c r="D652" s="2" t="s">
        <v>405</v>
      </c>
      <c r="E652" s="2" t="s">
        <v>409</v>
      </c>
      <c r="F652" s="2" t="s">
        <v>20</v>
      </c>
      <c r="G652" s="2" t="s">
        <v>36</v>
      </c>
      <c r="H652" s="2" t="s">
        <v>57</v>
      </c>
      <c r="I652" s="3">
        <v>160</v>
      </c>
      <c r="J652" s="3">
        <v>220</v>
      </c>
      <c r="K652" s="4">
        <v>3</v>
      </c>
      <c r="O652" s="3"/>
    </row>
    <row r="653" spans="2:15">
      <c r="B653" s="2" t="s">
        <v>713</v>
      </c>
      <c r="C653" s="2" t="s">
        <v>404</v>
      </c>
      <c r="D653" s="2" t="s">
        <v>31</v>
      </c>
      <c r="E653" s="2" t="s">
        <v>406</v>
      </c>
      <c r="F653" s="2" t="s">
        <v>15</v>
      </c>
      <c r="G653" s="2" t="s">
        <v>16</v>
      </c>
      <c r="H653" s="2" t="s">
        <v>101</v>
      </c>
      <c r="I653" s="3">
        <v>490</v>
      </c>
      <c r="J653" s="3">
        <v>690</v>
      </c>
      <c r="K653" s="4">
        <v>5</v>
      </c>
      <c r="O653" s="3"/>
    </row>
    <row r="654" spans="2:15">
      <c r="B654" s="2" t="s">
        <v>714</v>
      </c>
      <c r="C654" s="2" t="s">
        <v>404</v>
      </c>
      <c r="D654" s="2" t="s">
        <v>417</v>
      </c>
      <c r="E654" s="2" t="s">
        <v>409</v>
      </c>
      <c r="F654" s="2" t="s">
        <v>412</v>
      </c>
      <c r="G654" s="2" t="s">
        <v>32</v>
      </c>
      <c r="H654" s="2" t="s">
        <v>94</v>
      </c>
      <c r="I654" s="3">
        <v>220</v>
      </c>
      <c r="J654" s="3">
        <v>310</v>
      </c>
      <c r="K654" s="4">
        <v>3</v>
      </c>
      <c r="O654" s="3"/>
    </row>
    <row r="655" spans="2:15">
      <c r="B655" s="2" t="s">
        <v>715</v>
      </c>
      <c r="C655" s="2" t="s">
        <v>404</v>
      </c>
      <c r="D655" s="2" t="s">
        <v>417</v>
      </c>
      <c r="E655" s="2" t="s">
        <v>411</v>
      </c>
      <c r="F655" s="2" t="s">
        <v>20</v>
      </c>
      <c r="G655" s="2" t="s">
        <v>21</v>
      </c>
      <c r="H655" s="2" t="s">
        <v>62</v>
      </c>
      <c r="I655" s="3">
        <v>330</v>
      </c>
      <c r="J655" s="3">
        <v>470</v>
      </c>
      <c r="K655" s="4">
        <v>4</v>
      </c>
      <c r="O655" s="3"/>
    </row>
    <row r="656" spans="2:15">
      <c r="B656" s="2" t="s">
        <v>716</v>
      </c>
      <c r="C656" s="2" t="s">
        <v>404</v>
      </c>
      <c r="D656" s="2" t="s">
        <v>408</v>
      </c>
      <c r="E656" s="2" t="s">
        <v>415</v>
      </c>
      <c r="F656" s="2" t="s">
        <v>15</v>
      </c>
      <c r="G656" s="2" t="s">
        <v>16</v>
      </c>
      <c r="H656" s="2" t="s">
        <v>75</v>
      </c>
      <c r="I656" s="3">
        <v>530</v>
      </c>
      <c r="J656" s="3">
        <v>740</v>
      </c>
      <c r="K656" s="4">
        <v>5</v>
      </c>
      <c r="O656" s="3"/>
    </row>
    <row r="657" spans="2:15">
      <c r="B657" s="2" t="s">
        <v>717</v>
      </c>
      <c r="C657" s="2" t="s">
        <v>404</v>
      </c>
      <c r="D657" s="2" t="s">
        <v>408</v>
      </c>
      <c r="E657" s="2" t="s">
        <v>409</v>
      </c>
      <c r="F657" s="2" t="s">
        <v>15</v>
      </c>
      <c r="G657" s="2" t="s">
        <v>36</v>
      </c>
      <c r="H657" s="2" t="s">
        <v>22</v>
      </c>
      <c r="I657" s="3">
        <v>500</v>
      </c>
      <c r="J657" s="3">
        <v>700</v>
      </c>
      <c r="K657" s="4">
        <v>5</v>
      </c>
      <c r="O657" s="3"/>
    </row>
    <row r="658" spans="2:15">
      <c r="B658" s="2" t="s">
        <v>718</v>
      </c>
      <c r="C658" s="2" t="s">
        <v>404</v>
      </c>
      <c r="D658" s="2" t="s">
        <v>31</v>
      </c>
      <c r="E658" s="2" t="s">
        <v>409</v>
      </c>
      <c r="F658" s="2" t="s">
        <v>412</v>
      </c>
      <c r="G658" s="2" t="s">
        <v>32</v>
      </c>
      <c r="H658" s="2" t="s">
        <v>94</v>
      </c>
      <c r="I658" s="3">
        <v>430</v>
      </c>
      <c r="J658" s="3">
        <v>600</v>
      </c>
      <c r="K658" s="4">
        <v>6</v>
      </c>
      <c r="O658" s="3"/>
    </row>
    <row r="659" spans="2:15">
      <c r="B659" s="2" t="s">
        <v>719</v>
      </c>
      <c r="C659" s="2" t="s">
        <v>404</v>
      </c>
      <c r="D659" s="2" t="s">
        <v>408</v>
      </c>
      <c r="E659" s="2" t="s">
        <v>418</v>
      </c>
      <c r="F659" s="2" t="s">
        <v>412</v>
      </c>
      <c r="G659" s="2" t="s">
        <v>21</v>
      </c>
      <c r="H659" s="2" t="s">
        <v>25</v>
      </c>
      <c r="I659" s="3">
        <v>260</v>
      </c>
      <c r="J659" s="3">
        <v>370</v>
      </c>
      <c r="K659" s="4">
        <v>4</v>
      </c>
      <c r="O659" s="3"/>
    </row>
    <row r="660" spans="2:15">
      <c r="B660" s="2" t="s">
        <v>720</v>
      </c>
      <c r="C660" s="2" t="s">
        <v>404</v>
      </c>
      <c r="D660" s="2" t="s">
        <v>414</v>
      </c>
      <c r="E660" s="2" t="s">
        <v>418</v>
      </c>
      <c r="F660" s="2" t="s">
        <v>15</v>
      </c>
      <c r="G660" s="2" t="s">
        <v>16</v>
      </c>
      <c r="H660" s="2" t="s">
        <v>43</v>
      </c>
      <c r="I660" s="3">
        <v>520</v>
      </c>
      <c r="J660" s="3">
        <v>730</v>
      </c>
      <c r="K660" s="4">
        <v>4</v>
      </c>
      <c r="O660" s="3"/>
    </row>
    <row r="661" spans="2:15">
      <c r="B661" s="2" t="s">
        <v>721</v>
      </c>
      <c r="C661" s="2" t="s">
        <v>404</v>
      </c>
      <c r="D661" s="2" t="s">
        <v>408</v>
      </c>
      <c r="E661" s="2" t="s">
        <v>415</v>
      </c>
      <c r="F661" s="2" t="s">
        <v>20</v>
      </c>
      <c r="G661" s="2" t="s">
        <v>36</v>
      </c>
      <c r="H661" s="2" t="s">
        <v>104</v>
      </c>
      <c r="I661" s="3">
        <v>240</v>
      </c>
      <c r="J661" s="3">
        <v>330</v>
      </c>
      <c r="K661" s="4">
        <v>6</v>
      </c>
      <c r="O661" s="3"/>
    </row>
    <row r="662" spans="2:15">
      <c r="B662" s="2" t="s">
        <v>722</v>
      </c>
      <c r="C662" s="2" t="s">
        <v>404</v>
      </c>
      <c r="D662" s="2" t="s">
        <v>405</v>
      </c>
      <c r="E662" s="2" t="s">
        <v>418</v>
      </c>
      <c r="F662" s="2" t="s">
        <v>20</v>
      </c>
      <c r="G662" s="2" t="s">
        <v>16</v>
      </c>
      <c r="H662" s="2" t="s">
        <v>71</v>
      </c>
      <c r="I662" s="3">
        <v>290</v>
      </c>
      <c r="J662" s="3">
        <v>410</v>
      </c>
      <c r="K662" s="4">
        <v>5</v>
      </c>
      <c r="O662" s="3"/>
    </row>
    <row r="663" spans="2:15">
      <c r="B663" s="2" t="s">
        <v>723</v>
      </c>
      <c r="C663" s="2" t="s">
        <v>404</v>
      </c>
      <c r="D663" s="2" t="s">
        <v>61</v>
      </c>
      <c r="E663" s="2" t="s">
        <v>411</v>
      </c>
      <c r="F663" s="2" t="s">
        <v>412</v>
      </c>
      <c r="G663" s="2" t="s">
        <v>16</v>
      </c>
      <c r="H663" s="2" t="s">
        <v>104</v>
      </c>
      <c r="I663" s="3">
        <v>150</v>
      </c>
      <c r="J663" s="3">
        <v>210</v>
      </c>
      <c r="K663" s="4">
        <v>4</v>
      </c>
      <c r="O663" s="3"/>
    </row>
    <row r="664" spans="2:15">
      <c r="B664" s="2" t="s">
        <v>724</v>
      </c>
      <c r="C664" s="2" t="s">
        <v>404</v>
      </c>
      <c r="D664" s="2" t="s">
        <v>405</v>
      </c>
      <c r="E664" s="2" t="s">
        <v>409</v>
      </c>
      <c r="F664" s="2" t="s">
        <v>412</v>
      </c>
      <c r="G664" s="2" t="s">
        <v>21</v>
      </c>
      <c r="H664" s="2" t="s">
        <v>101</v>
      </c>
      <c r="I664" s="3">
        <v>320</v>
      </c>
      <c r="J664" s="3">
        <v>440</v>
      </c>
      <c r="K664" s="4">
        <v>6</v>
      </c>
      <c r="O664" s="3"/>
    </row>
    <row r="665" spans="2:15">
      <c r="B665" s="2" t="s">
        <v>725</v>
      </c>
      <c r="C665" s="2" t="s">
        <v>404</v>
      </c>
      <c r="D665" s="2" t="s">
        <v>405</v>
      </c>
      <c r="E665" s="2" t="s">
        <v>418</v>
      </c>
      <c r="F665" s="2" t="s">
        <v>20</v>
      </c>
      <c r="G665" s="2" t="s">
        <v>32</v>
      </c>
      <c r="H665" s="2" t="s">
        <v>75</v>
      </c>
      <c r="I665" s="3">
        <v>440</v>
      </c>
      <c r="J665" s="3">
        <v>620</v>
      </c>
      <c r="K665" s="4">
        <v>4</v>
      </c>
      <c r="O665" s="3"/>
    </row>
    <row r="666" spans="2:15">
      <c r="B666" s="2" t="s">
        <v>726</v>
      </c>
      <c r="C666" s="2" t="s">
        <v>404</v>
      </c>
      <c r="D666" s="2" t="s">
        <v>405</v>
      </c>
      <c r="E666" s="2" t="s">
        <v>409</v>
      </c>
      <c r="F666" s="2" t="s">
        <v>412</v>
      </c>
      <c r="G666" s="2" t="s">
        <v>16</v>
      </c>
      <c r="H666" s="2" t="s">
        <v>22</v>
      </c>
      <c r="I666" s="3">
        <v>240</v>
      </c>
      <c r="J666" s="3">
        <v>340</v>
      </c>
      <c r="K666" s="4">
        <v>6</v>
      </c>
      <c r="O666" s="3"/>
    </row>
    <row r="667" spans="2:15">
      <c r="B667" s="2" t="s">
        <v>727</v>
      </c>
      <c r="C667" s="2" t="s">
        <v>404</v>
      </c>
      <c r="D667" s="2" t="s">
        <v>61</v>
      </c>
      <c r="E667" s="2" t="s">
        <v>406</v>
      </c>
      <c r="F667" s="2" t="s">
        <v>20</v>
      </c>
      <c r="G667" s="2" t="s">
        <v>32</v>
      </c>
      <c r="H667" s="2" t="s">
        <v>49</v>
      </c>
      <c r="I667" s="3">
        <v>200</v>
      </c>
      <c r="J667" s="3">
        <v>280</v>
      </c>
      <c r="K667" s="4">
        <v>5</v>
      </c>
      <c r="O667" s="3"/>
    </row>
    <row r="668" spans="2:15">
      <c r="B668" s="2" t="s">
        <v>728</v>
      </c>
      <c r="C668" s="2" t="s">
        <v>404</v>
      </c>
      <c r="D668" s="2" t="s">
        <v>414</v>
      </c>
      <c r="E668" s="2" t="s">
        <v>415</v>
      </c>
      <c r="F668" s="2" t="s">
        <v>412</v>
      </c>
      <c r="G668" s="2" t="s">
        <v>36</v>
      </c>
      <c r="H668" s="2" t="s">
        <v>62</v>
      </c>
      <c r="I668" s="3">
        <v>300</v>
      </c>
      <c r="J668" s="3">
        <v>420</v>
      </c>
      <c r="K668" s="4">
        <v>3</v>
      </c>
      <c r="O668" s="3"/>
    </row>
    <row r="669" spans="2:15">
      <c r="B669" s="2" t="s">
        <v>729</v>
      </c>
      <c r="C669" s="2" t="s">
        <v>404</v>
      </c>
      <c r="D669" s="2" t="s">
        <v>408</v>
      </c>
      <c r="E669" s="2" t="s">
        <v>418</v>
      </c>
      <c r="F669" s="2" t="s">
        <v>15</v>
      </c>
      <c r="G669" s="2" t="s">
        <v>16</v>
      </c>
      <c r="H669" s="2" t="s">
        <v>25</v>
      </c>
      <c r="I669" s="3">
        <v>210</v>
      </c>
      <c r="J669" s="3">
        <v>290</v>
      </c>
      <c r="K669" s="4">
        <v>4</v>
      </c>
      <c r="O669" s="3"/>
    </row>
    <row r="670" spans="2:15">
      <c r="B670" s="2" t="s">
        <v>730</v>
      </c>
      <c r="C670" s="2" t="s">
        <v>404</v>
      </c>
      <c r="D670" s="2" t="s">
        <v>408</v>
      </c>
      <c r="E670" s="2" t="s">
        <v>418</v>
      </c>
      <c r="F670" s="2" t="s">
        <v>15</v>
      </c>
      <c r="G670" s="2" t="s">
        <v>39</v>
      </c>
      <c r="H670" s="2" t="s">
        <v>59</v>
      </c>
      <c r="I670" s="3">
        <v>170</v>
      </c>
      <c r="J670" s="3">
        <v>240</v>
      </c>
      <c r="K670" s="4">
        <v>5</v>
      </c>
      <c r="O670" s="3"/>
    </row>
    <row r="671" spans="2:15">
      <c r="B671" s="2" t="s">
        <v>731</v>
      </c>
      <c r="C671" s="2" t="s">
        <v>404</v>
      </c>
      <c r="D671" s="2" t="s">
        <v>408</v>
      </c>
      <c r="E671" s="2" t="s">
        <v>418</v>
      </c>
      <c r="F671" s="2" t="s">
        <v>20</v>
      </c>
      <c r="G671" s="2" t="s">
        <v>21</v>
      </c>
      <c r="H671" s="2" t="s">
        <v>41</v>
      </c>
      <c r="I671" s="3">
        <v>430</v>
      </c>
      <c r="J671" s="3">
        <v>600</v>
      </c>
      <c r="K671" s="4">
        <v>6</v>
      </c>
      <c r="O671" s="3"/>
    </row>
    <row r="672" spans="2:15">
      <c r="B672" s="2" t="s">
        <v>732</v>
      </c>
      <c r="C672" s="2" t="s">
        <v>404</v>
      </c>
      <c r="D672" s="2" t="s">
        <v>31</v>
      </c>
      <c r="E672" s="2" t="s">
        <v>418</v>
      </c>
      <c r="F672" s="2" t="s">
        <v>412</v>
      </c>
      <c r="G672" s="2" t="s">
        <v>16</v>
      </c>
      <c r="H672" s="2" t="s">
        <v>49</v>
      </c>
      <c r="I672" s="3">
        <v>400</v>
      </c>
      <c r="J672" s="3">
        <v>560</v>
      </c>
      <c r="K672" s="4">
        <v>3</v>
      </c>
      <c r="O672" s="3"/>
    </row>
    <row r="673" spans="2:15">
      <c r="B673" s="2" t="s">
        <v>733</v>
      </c>
      <c r="C673" s="2" t="s">
        <v>404</v>
      </c>
      <c r="D673" s="2" t="s">
        <v>414</v>
      </c>
      <c r="E673" s="2" t="s">
        <v>415</v>
      </c>
      <c r="F673" s="2" t="s">
        <v>412</v>
      </c>
      <c r="G673" s="2" t="s">
        <v>39</v>
      </c>
      <c r="H673" s="2" t="s">
        <v>43</v>
      </c>
      <c r="I673" s="3">
        <v>200</v>
      </c>
      <c r="J673" s="3">
        <v>280</v>
      </c>
      <c r="K673" s="4">
        <v>4</v>
      </c>
      <c r="O673" s="3"/>
    </row>
    <row r="674" spans="2:15">
      <c r="B674" s="2" t="s">
        <v>734</v>
      </c>
      <c r="C674" s="2" t="s">
        <v>404</v>
      </c>
      <c r="D674" s="2" t="s">
        <v>408</v>
      </c>
      <c r="E674" s="2" t="s">
        <v>406</v>
      </c>
      <c r="F674" s="2" t="s">
        <v>412</v>
      </c>
      <c r="G674" s="2" t="s">
        <v>36</v>
      </c>
      <c r="H674" s="2" t="s">
        <v>37</v>
      </c>
      <c r="I674" s="3">
        <v>490</v>
      </c>
      <c r="J674" s="3">
        <v>690</v>
      </c>
      <c r="K674" s="4">
        <v>4</v>
      </c>
      <c r="O674" s="3"/>
    </row>
    <row r="675" spans="2:15">
      <c r="B675" s="2" t="s">
        <v>735</v>
      </c>
      <c r="C675" s="2" t="s">
        <v>404</v>
      </c>
      <c r="D675" s="2" t="s">
        <v>417</v>
      </c>
      <c r="E675" s="2" t="s">
        <v>411</v>
      </c>
      <c r="F675" s="2" t="s">
        <v>412</v>
      </c>
      <c r="G675" s="2" t="s">
        <v>39</v>
      </c>
      <c r="H675" s="2" t="s">
        <v>57</v>
      </c>
      <c r="I675" s="3">
        <v>420</v>
      </c>
      <c r="J675" s="3">
        <v>600</v>
      </c>
      <c r="K675" s="4">
        <v>3</v>
      </c>
      <c r="O675" s="3"/>
    </row>
    <row r="676" spans="2:15">
      <c r="B676" s="2" t="s">
        <v>736</v>
      </c>
      <c r="C676" s="2" t="s">
        <v>404</v>
      </c>
      <c r="D676" s="2" t="s">
        <v>408</v>
      </c>
      <c r="E676" s="2" t="s">
        <v>418</v>
      </c>
      <c r="F676" s="2" t="s">
        <v>20</v>
      </c>
      <c r="G676" s="2" t="s">
        <v>39</v>
      </c>
      <c r="H676" s="2" t="s">
        <v>43</v>
      </c>
      <c r="I676" s="3">
        <v>380</v>
      </c>
      <c r="J676" s="3">
        <v>540</v>
      </c>
      <c r="K676" s="4">
        <v>3</v>
      </c>
      <c r="O676" s="3"/>
    </row>
    <row r="677" spans="2:15">
      <c r="B677" s="2" t="s">
        <v>737</v>
      </c>
      <c r="C677" s="2" t="s">
        <v>404</v>
      </c>
      <c r="D677" s="2" t="s">
        <v>417</v>
      </c>
      <c r="E677" s="2" t="s">
        <v>418</v>
      </c>
      <c r="F677" s="2" t="s">
        <v>412</v>
      </c>
      <c r="G677" s="2" t="s">
        <v>39</v>
      </c>
      <c r="H677" s="2" t="s">
        <v>71</v>
      </c>
      <c r="I677" s="3">
        <v>240</v>
      </c>
      <c r="J677" s="3">
        <v>340</v>
      </c>
      <c r="K677" s="4">
        <v>4</v>
      </c>
      <c r="O677" s="3"/>
    </row>
    <row r="678" spans="2:15">
      <c r="B678" s="2" t="s">
        <v>738</v>
      </c>
      <c r="C678" s="2" t="s">
        <v>404</v>
      </c>
      <c r="D678" s="2" t="s">
        <v>53</v>
      </c>
      <c r="E678" s="2" t="s">
        <v>411</v>
      </c>
      <c r="F678" s="2" t="s">
        <v>15</v>
      </c>
      <c r="G678" s="2" t="s">
        <v>36</v>
      </c>
      <c r="H678" s="2" t="s">
        <v>22</v>
      </c>
      <c r="I678" s="3">
        <v>280</v>
      </c>
      <c r="J678" s="3">
        <v>390</v>
      </c>
      <c r="K678" s="4">
        <v>5</v>
      </c>
      <c r="O678" s="3"/>
    </row>
    <row r="679" spans="2:15">
      <c r="B679" s="2" t="s">
        <v>739</v>
      </c>
      <c r="C679" s="2" t="s">
        <v>404</v>
      </c>
      <c r="D679" s="2" t="s">
        <v>53</v>
      </c>
      <c r="E679" s="2" t="s">
        <v>409</v>
      </c>
      <c r="F679" s="2" t="s">
        <v>412</v>
      </c>
      <c r="G679" s="2" t="s">
        <v>39</v>
      </c>
      <c r="H679" s="2" t="s">
        <v>25</v>
      </c>
      <c r="I679" s="3">
        <v>160</v>
      </c>
      <c r="J679" s="3">
        <v>220</v>
      </c>
      <c r="K679" s="4">
        <v>3</v>
      </c>
      <c r="O679" s="3"/>
    </row>
    <row r="680" spans="2:15">
      <c r="B680" s="2" t="s">
        <v>740</v>
      </c>
      <c r="C680" s="2" t="s">
        <v>404</v>
      </c>
      <c r="D680" s="2" t="s">
        <v>408</v>
      </c>
      <c r="E680" s="2" t="s">
        <v>415</v>
      </c>
      <c r="F680" s="2" t="s">
        <v>20</v>
      </c>
      <c r="G680" s="2" t="s">
        <v>39</v>
      </c>
      <c r="H680" s="2" t="s">
        <v>41</v>
      </c>
      <c r="I680" s="3">
        <v>540</v>
      </c>
      <c r="J680" s="3">
        <v>750</v>
      </c>
      <c r="K680" s="4">
        <v>3</v>
      </c>
      <c r="O680" s="3"/>
    </row>
    <row r="681" spans="2:15">
      <c r="B681" s="2" t="s">
        <v>741</v>
      </c>
      <c r="C681" s="2" t="s">
        <v>404</v>
      </c>
      <c r="D681" s="2" t="s">
        <v>417</v>
      </c>
      <c r="E681" s="2" t="s">
        <v>418</v>
      </c>
      <c r="F681" s="2" t="s">
        <v>412</v>
      </c>
      <c r="G681" s="2" t="s">
        <v>39</v>
      </c>
      <c r="H681" s="2" t="s">
        <v>101</v>
      </c>
      <c r="I681" s="3">
        <v>300</v>
      </c>
      <c r="J681" s="3">
        <v>420</v>
      </c>
      <c r="K681" s="4">
        <v>6</v>
      </c>
      <c r="O681" s="3"/>
    </row>
    <row r="682" spans="2:15">
      <c r="B682" s="2" t="s">
        <v>742</v>
      </c>
      <c r="C682" s="2" t="s">
        <v>404</v>
      </c>
      <c r="D682" s="2" t="s">
        <v>53</v>
      </c>
      <c r="E682" s="2" t="s">
        <v>409</v>
      </c>
      <c r="F682" s="2" t="s">
        <v>15</v>
      </c>
      <c r="G682" s="2" t="s">
        <v>16</v>
      </c>
      <c r="H682" s="2" t="s">
        <v>62</v>
      </c>
      <c r="I682" s="3">
        <v>340</v>
      </c>
      <c r="J682" s="3">
        <v>480</v>
      </c>
      <c r="K682" s="4">
        <v>4</v>
      </c>
      <c r="O682" s="3"/>
    </row>
    <row r="683" spans="2:15">
      <c r="B683" s="2" t="s">
        <v>743</v>
      </c>
      <c r="C683" s="2" t="s">
        <v>404</v>
      </c>
      <c r="D683" s="2" t="s">
        <v>408</v>
      </c>
      <c r="E683" s="2" t="s">
        <v>411</v>
      </c>
      <c r="F683" s="2" t="s">
        <v>412</v>
      </c>
      <c r="G683" s="2" t="s">
        <v>32</v>
      </c>
      <c r="H683" s="2" t="s">
        <v>57</v>
      </c>
      <c r="I683" s="3">
        <v>220</v>
      </c>
      <c r="J683" s="3">
        <v>310</v>
      </c>
      <c r="K683" s="4">
        <v>5</v>
      </c>
      <c r="O683" s="3"/>
    </row>
    <row r="684" spans="2:15">
      <c r="B684" s="2" t="s">
        <v>744</v>
      </c>
      <c r="C684" s="2" t="s">
        <v>404</v>
      </c>
      <c r="D684" s="2" t="s">
        <v>417</v>
      </c>
      <c r="E684" s="2" t="s">
        <v>418</v>
      </c>
      <c r="F684" s="2" t="s">
        <v>20</v>
      </c>
      <c r="G684" s="2" t="s">
        <v>21</v>
      </c>
      <c r="H684" s="2" t="s">
        <v>62</v>
      </c>
      <c r="I684" s="3">
        <v>500</v>
      </c>
      <c r="J684" s="3">
        <v>690</v>
      </c>
      <c r="K684" s="4">
        <v>4</v>
      </c>
      <c r="O684" s="3"/>
    </row>
    <row r="685" spans="2:15">
      <c r="B685" s="2" t="s">
        <v>745</v>
      </c>
      <c r="C685" s="2" t="s">
        <v>404</v>
      </c>
      <c r="D685" s="2" t="s">
        <v>31</v>
      </c>
      <c r="E685" s="2" t="s">
        <v>409</v>
      </c>
      <c r="F685" s="2" t="s">
        <v>412</v>
      </c>
      <c r="G685" s="2" t="s">
        <v>21</v>
      </c>
      <c r="H685" s="2" t="s">
        <v>59</v>
      </c>
      <c r="I685" s="3">
        <v>210</v>
      </c>
      <c r="J685" s="3">
        <v>300</v>
      </c>
      <c r="K685" s="4">
        <v>3</v>
      </c>
      <c r="O685" s="3"/>
    </row>
    <row r="686" spans="2:15">
      <c r="B686" s="2" t="s">
        <v>746</v>
      </c>
      <c r="C686" s="2" t="s">
        <v>404</v>
      </c>
      <c r="D686" s="2" t="s">
        <v>414</v>
      </c>
      <c r="E686" s="2" t="s">
        <v>418</v>
      </c>
      <c r="F686" s="2" t="s">
        <v>20</v>
      </c>
      <c r="G686" s="2" t="s">
        <v>36</v>
      </c>
      <c r="H686" s="2" t="s">
        <v>75</v>
      </c>
      <c r="I686" s="3">
        <v>310</v>
      </c>
      <c r="J686" s="3">
        <v>430</v>
      </c>
      <c r="K686" s="4">
        <v>4</v>
      </c>
      <c r="O686" s="3"/>
    </row>
    <row r="687" spans="2:15">
      <c r="B687" s="2" t="s">
        <v>747</v>
      </c>
      <c r="C687" s="2" t="s">
        <v>404</v>
      </c>
      <c r="D687" s="2" t="s">
        <v>414</v>
      </c>
      <c r="E687" s="2" t="s">
        <v>406</v>
      </c>
      <c r="F687" s="2" t="s">
        <v>412</v>
      </c>
      <c r="G687" s="2" t="s">
        <v>32</v>
      </c>
      <c r="H687" s="2" t="s">
        <v>94</v>
      </c>
      <c r="I687" s="3">
        <v>230</v>
      </c>
      <c r="J687" s="3">
        <v>320</v>
      </c>
      <c r="K687" s="4">
        <v>3</v>
      </c>
      <c r="O687" s="3"/>
    </row>
    <row r="688" spans="2:15">
      <c r="B688" s="2" t="s">
        <v>748</v>
      </c>
      <c r="C688" s="2" t="s">
        <v>404</v>
      </c>
      <c r="D688" s="2" t="s">
        <v>408</v>
      </c>
      <c r="E688" s="2" t="s">
        <v>415</v>
      </c>
      <c r="F688" s="2" t="s">
        <v>20</v>
      </c>
      <c r="G688" s="2" t="s">
        <v>21</v>
      </c>
      <c r="H688" s="2" t="s">
        <v>29</v>
      </c>
      <c r="I688" s="3">
        <v>240</v>
      </c>
      <c r="J688" s="3">
        <v>340</v>
      </c>
      <c r="K688" s="4">
        <v>3</v>
      </c>
      <c r="O688" s="3"/>
    </row>
    <row r="689" spans="2:15">
      <c r="B689" s="2" t="s">
        <v>749</v>
      </c>
      <c r="C689" s="2" t="s">
        <v>404</v>
      </c>
      <c r="D689" s="2" t="s">
        <v>408</v>
      </c>
      <c r="E689" s="2" t="s">
        <v>409</v>
      </c>
      <c r="F689" s="2" t="s">
        <v>15</v>
      </c>
      <c r="G689" s="2" t="s">
        <v>39</v>
      </c>
      <c r="H689" s="2" t="s">
        <v>94</v>
      </c>
      <c r="I689" s="3">
        <v>300</v>
      </c>
      <c r="J689" s="3">
        <v>420</v>
      </c>
      <c r="K689" s="4">
        <v>6</v>
      </c>
      <c r="O689" s="3"/>
    </row>
    <row r="690" spans="2:15">
      <c r="B690" s="2" t="s">
        <v>750</v>
      </c>
      <c r="C690" s="2" t="s">
        <v>404</v>
      </c>
      <c r="D690" s="2" t="s">
        <v>61</v>
      </c>
      <c r="E690" s="2" t="s">
        <v>406</v>
      </c>
      <c r="F690" s="2" t="s">
        <v>412</v>
      </c>
      <c r="G690" s="2" t="s">
        <v>16</v>
      </c>
      <c r="H690" s="2" t="s">
        <v>37</v>
      </c>
      <c r="I690" s="3">
        <v>320</v>
      </c>
      <c r="J690" s="3">
        <v>450</v>
      </c>
      <c r="K690" s="4">
        <v>5</v>
      </c>
      <c r="O690" s="3"/>
    </row>
    <row r="691" spans="2:15">
      <c r="B691" s="2" t="s">
        <v>751</v>
      </c>
      <c r="C691" s="2" t="s">
        <v>404</v>
      </c>
      <c r="D691" s="2" t="s">
        <v>31</v>
      </c>
      <c r="E691" s="2" t="s">
        <v>406</v>
      </c>
      <c r="F691" s="2" t="s">
        <v>15</v>
      </c>
      <c r="G691" s="2" t="s">
        <v>36</v>
      </c>
      <c r="H691" s="2" t="s">
        <v>29</v>
      </c>
      <c r="I691" s="3">
        <v>470</v>
      </c>
      <c r="J691" s="3">
        <v>650</v>
      </c>
      <c r="K691" s="4">
        <v>5</v>
      </c>
      <c r="O691" s="3"/>
    </row>
    <row r="692" spans="2:15">
      <c r="B692" s="2" t="s">
        <v>752</v>
      </c>
      <c r="C692" s="2" t="s">
        <v>404</v>
      </c>
      <c r="D692" s="2" t="s">
        <v>408</v>
      </c>
      <c r="E692" s="2" t="s">
        <v>418</v>
      </c>
      <c r="F692" s="2" t="s">
        <v>412</v>
      </c>
      <c r="G692" s="2" t="s">
        <v>21</v>
      </c>
      <c r="H692" s="2" t="s">
        <v>57</v>
      </c>
      <c r="I692" s="3">
        <v>460</v>
      </c>
      <c r="J692" s="3">
        <v>650</v>
      </c>
      <c r="K692" s="4">
        <v>5</v>
      </c>
      <c r="O692" s="3"/>
    </row>
    <row r="693" spans="2:15">
      <c r="B693" s="2" t="s">
        <v>753</v>
      </c>
      <c r="C693" s="2" t="s">
        <v>404</v>
      </c>
      <c r="D693" s="2" t="s">
        <v>53</v>
      </c>
      <c r="E693" s="2" t="s">
        <v>406</v>
      </c>
      <c r="F693" s="2" t="s">
        <v>20</v>
      </c>
      <c r="G693" s="2" t="s">
        <v>32</v>
      </c>
      <c r="H693" s="2" t="s">
        <v>17</v>
      </c>
      <c r="I693" s="3">
        <v>310</v>
      </c>
      <c r="J693" s="3">
        <v>440</v>
      </c>
      <c r="K693" s="4">
        <v>4</v>
      </c>
      <c r="O693" s="3"/>
    </row>
    <row r="694" spans="2:15">
      <c r="B694" s="2" t="s">
        <v>754</v>
      </c>
      <c r="C694" s="2" t="s">
        <v>404</v>
      </c>
      <c r="D694" s="2" t="s">
        <v>408</v>
      </c>
      <c r="E694" s="2" t="s">
        <v>411</v>
      </c>
      <c r="F694" s="2" t="s">
        <v>15</v>
      </c>
      <c r="G694" s="2" t="s">
        <v>32</v>
      </c>
      <c r="H694" s="2" t="s">
        <v>57</v>
      </c>
      <c r="I694" s="3">
        <v>510</v>
      </c>
      <c r="J694" s="3">
        <v>720</v>
      </c>
      <c r="K694" s="4">
        <v>5</v>
      </c>
      <c r="O694" s="3"/>
    </row>
    <row r="695" spans="2:15">
      <c r="B695" s="2" t="s">
        <v>755</v>
      </c>
      <c r="C695" s="2" t="s">
        <v>404</v>
      </c>
      <c r="D695" s="2" t="s">
        <v>53</v>
      </c>
      <c r="E695" s="2" t="s">
        <v>411</v>
      </c>
      <c r="F695" s="2" t="s">
        <v>15</v>
      </c>
      <c r="G695" s="2" t="s">
        <v>32</v>
      </c>
      <c r="H695" s="2" t="s">
        <v>51</v>
      </c>
      <c r="I695" s="3">
        <v>400</v>
      </c>
      <c r="J695" s="3">
        <v>550</v>
      </c>
      <c r="K695" s="4">
        <v>3</v>
      </c>
      <c r="O695" s="3"/>
    </row>
    <row r="696" spans="2:15">
      <c r="B696" s="2" t="s">
        <v>756</v>
      </c>
      <c r="C696" s="2" t="s">
        <v>404</v>
      </c>
      <c r="D696" s="2" t="s">
        <v>408</v>
      </c>
      <c r="E696" s="2" t="s">
        <v>415</v>
      </c>
      <c r="F696" s="2" t="s">
        <v>20</v>
      </c>
      <c r="G696" s="2" t="s">
        <v>32</v>
      </c>
      <c r="H696" s="2" t="s">
        <v>57</v>
      </c>
      <c r="I696" s="3">
        <v>240</v>
      </c>
      <c r="J696" s="3">
        <v>330</v>
      </c>
      <c r="K696" s="4">
        <v>4</v>
      </c>
      <c r="O696" s="3"/>
    </row>
    <row r="697" spans="2:15">
      <c r="B697" s="2" t="s">
        <v>757</v>
      </c>
      <c r="C697" s="2" t="s">
        <v>404</v>
      </c>
      <c r="D697" s="2" t="s">
        <v>408</v>
      </c>
      <c r="E697" s="2" t="s">
        <v>409</v>
      </c>
      <c r="F697" s="2" t="s">
        <v>412</v>
      </c>
      <c r="G697" s="2" t="s">
        <v>39</v>
      </c>
      <c r="H697" s="2" t="s">
        <v>69</v>
      </c>
      <c r="I697" s="3">
        <v>280</v>
      </c>
      <c r="J697" s="3">
        <v>400</v>
      </c>
      <c r="K697" s="4">
        <v>3</v>
      </c>
      <c r="O697" s="3"/>
    </row>
    <row r="698" spans="2:15">
      <c r="B698" s="2" t="s">
        <v>758</v>
      </c>
      <c r="C698" s="2" t="s">
        <v>404</v>
      </c>
      <c r="D698" s="2" t="s">
        <v>405</v>
      </c>
      <c r="E698" s="2" t="s">
        <v>411</v>
      </c>
      <c r="F698" s="2" t="s">
        <v>412</v>
      </c>
      <c r="G698" s="2" t="s">
        <v>16</v>
      </c>
      <c r="H698" s="2" t="s">
        <v>104</v>
      </c>
      <c r="I698" s="3">
        <v>450</v>
      </c>
      <c r="J698" s="3">
        <v>620</v>
      </c>
      <c r="K698" s="4">
        <v>5</v>
      </c>
      <c r="O698" s="3"/>
    </row>
    <row r="699" spans="2:15">
      <c r="B699" s="2" t="s">
        <v>759</v>
      </c>
      <c r="C699" s="2" t="s">
        <v>404</v>
      </c>
      <c r="D699" s="2" t="s">
        <v>405</v>
      </c>
      <c r="E699" s="2" t="s">
        <v>411</v>
      </c>
      <c r="F699" s="2" t="s">
        <v>412</v>
      </c>
      <c r="G699" s="2" t="s">
        <v>16</v>
      </c>
      <c r="H699" s="2" t="s">
        <v>41</v>
      </c>
      <c r="I699" s="3">
        <v>430</v>
      </c>
      <c r="J699" s="3">
        <v>600</v>
      </c>
      <c r="K699" s="4">
        <v>6</v>
      </c>
      <c r="O699" s="3"/>
    </row>
    <row r="700" spans="2:15">
      <c r="B700" s="2" t="s">
        <v>760</v>
      </c>
      <c r="C700" s="2" t="s">
        <v>404</v>
      </c>
      <c r="D700" s="2" t="s">
        <v>417</v>
      </c>
      <c r="E700" s="2" t="s">
        <v>415</v>
      </c>
      <c r="F700" s="2" t="s">
        <v>412</v>
      </c>
      <c r="G700" s="2" t="s">
        <v>32</v>
      </c>
      <c r="H700" s="2" t="s">
        <v>57</v>
      </c>
      <c r="I700" s="3">
        <v>260</v>
      </c>
      <c r="J700" s="3">
        <v>370</v>
      </c>
      <c r="K700" s="4">
        <v>6</v>
      </c>
      <c r="O700" s="3"/>
    </row>
    <row r="701" spans="2:15">
      <c r="B701" s="2" t="s">
        <v>761</v>
      </c>
      <c r="C701" s="2" t="s">
        <v>404</v>
      </c>
      <c r="D701" s="2" t="s">
        <v>405</v>
      </c>
      <c r="E701" s="2" t="s">
        <v>409</v>
      </c>
      <c r="F701" s="2" t="s">
        <v>15</v>
      </c>
      <c r="G701" s="2" t="s">
        <v>32</v>
      </c>
      <c r="H701" s="2" t="s">
        <v>75</v>
      </c>
      <c r="I701" s="3">
        <v>410</v>
      </c>
      <c r="J701" s="3">
        <v>570</v>
      </c>
      <c r="K701" s="4">
        <v>3</v>
      </c>
      <c r="O701" s="3"/>
    </row>
    <row r="702" spans="2:15">
      <c r="B702" s="2" t="s">
        <v>762</v>
      </c>
      <c r="C702" s="2" t="s">
        <v>404</v>
      </c>
      <c r="D702" s="2" t="s">
        <v>414</v>
      </c>
      <c r="E702" s="2" t="s">
        <v>415</v>
      </c>
      <c r="F702" s="2" t="s">
        <v>412</v>
      </c>
      <c r="G702" s="2" t="s">
        <v>16</v>
      </c>
      <c r="H702" s="2" t="s">
        <v>75</v>
      </c>
      <c r="I702" s="3">
        <v>490</v>
      </c>
      <c r="J702" s="3">
        <v>680</v>
      </c>
      <c r="K702" s="4">
        <v>4</v>
      </c>
      <c r="O702" s="3"/>
    </row>
    <row r="703" spans="2:15">
      <c r="B703" s="2" t="s">
        <v>763</v>
      </c>
      <c r="C703" s="2" t="s">
        <v>404</v>
      </c>
      <c r="D703" s="2" t="s">
        <v>414</v>
      </c>
      <c r="E703" s="2" t="s">
        <v>406</v>
      </c>
      <c r="F703" s="2" t="s">
        <v>412</v>
      </c>
      <c r="G703" s="2" t="s">
        <v>21</v>
      </c>
      <c r="H703" s="2" t="s">
        <v>57</v>
      </c>
      <c r="I703" s="3">
        <v>380</v>
      </c>
      <c r="J703" s="3">
        <v>530</v>
      </c>
      <c r="K703" s="4">
        <v>6</v>
      </c>
      <c r="O703" s="3"/>
    </row>
    <row r="704" spans="2:15">
      <c r="B704" s="2" t="s">
        <v>764</v>
      </c>
      <c r="C704" s="2" t="s">
        <v>404</v>
      </c>
      <c r="D704" s="2" t="s">
        <v>31</v>
      </c>
      <c r="E704" s="2" t="s">
        <v>406</v>
      </c>
      <c r="F704" s="2" t="s">
        <v>15</v>
      </c>
      <c r="G704" s="2" t="s">
        <v>16</v>
      </c>
      <c r="H704" s="2" t="s">
        <v>43</v>
      </c>
      <c r="I704" s="3">
        <v>330</v>
      </c>
      <c r="J704" s="3">
        <v>470</v>
      </c>
      <c r="K704" s="4">
        <v>5</v>
      </c>
      <c r="O704" s="3"/>
    </row>
    <row r="705" spans="2:15">
      <c r="B705" s="2" t="s">
        <v>765</v>
      </c>
      <c r="C705" s="2" t="s">
        <v>404</v>
      </c>
      <c r="D705" s="2" t="s">
        <v>414</v>
      </c>
      <c r="E705" s="2" t="s">
        <v>409</v>
      </c>
      <c r="F705" s="2" t="s">
        <v>412</v>
      </c>
      <c r="G705" s="2" t="s">
        <v>16</v>
      </c>
      <c r="H705" s="2" t="s">
        <v>75</v>
      </c>
      <c r="I705" s="3">
        <v>340</v>
      </c>
      <c r="J705" s="3">
        <v>470</v>
      </c>
      <c r="K705" s="4">
        <v>5</v>
      </c>
      <c r="O705" s="3"/>
    </row>
    <row r="706" spans="2:15">
      <c r="B706" s="2" t="s">
        <v>766</v>
      </c>
      <c r="C706" s="2" t="s">
        <v>404</v>
      </c>
      <c r="D706" s="2" t="s">
        <v>53</v>
      </c>
      <c r="E706" s="2" t="s">
        <v>411</v>
      </c>
      <c r="F706" s="2" t="s">
        <v>20</v>
      </c>
      <c r="G706" s="2" t="s">
        <v>39</v>
      </c>
      <c r="H706" s="2" t="s">
        <v>49</v>
      </c>
      <c r="I706" s="3">
        <v>350</v>
      </c>
      <c r="J706" s="3">
        <v>490</v>
      </c>
      <c r="K706" s="4">
        <v>3</v>
      </c>
      <c r="O706" s="3"/>
    </row>
    <row r="707" spans="2:15">
      <c r="B707" s="2" t="s">
        <v>767</v>
      </c>
      <c r="C707" s="2" t="s">
        <v>404</v>
      </c>
      <c r="D707" s="2" t="s">
        <v>405</v>
      </c>
      <c r="E707" s="2" t="s">
        <v>418</v>
      </c>
      <c r="F707" s="2" t="s">
        <v>412</v>
      </c>
      <c r="G707" s="2" t="s">
        <v>32</v>
      </c>
      <c r="H707" s="2" t="s">
        <v>71</v>
      </c>
      <c r="I707" s="3">
        <v>510</v>
      </c>
      <c r="J707" s="3">
        <v>710</v>
      </c>
      <c r="K707" s="4">
        <v>4</v>
      </c>
      <c r="O707" s="3"/>
    </row>
    <row r="708" spans="2:15">
      <c r="B708" s="2" t="s">
        <v>768</v>
      </c>
      <c r="C708" s="2" t="s">
        <v>404</v>
      </c>
      <c r="D708" s="2" t="s">
        <v>408</v>
      </c>
      <c r="E708" s="2" t="s">
        <v>411</v>
      </c>
      <c r="F708" s="2" t="s">
        <v>15</v>
      </c>
      <c r="G708" s="2" t="s">
        <v>21</v>
      </c>
      <c r="H708" s="2" t="s">
        <v>43</v>
      </c>
      <c r="I708" s="3">
        <v>340</v>
      </c>
      <c r="J708" s="3">
        <v>480</v>
      </c>
      <c r="K708" s="4">
        <v>5</v>
      </c>
      <c r="O708" s="3"/>
    </row>
    <row r="709" spans="2:15">
      <c r="B709" s="2" t="s">
        <v>769</v>
      </c>
      <c r="C709" s="2" t="s">
        <v>404</v>
      </c>
      <c r="D709" s="2" t="s">
        <v>414</v>
      </c>
      <c r="E709" s="2" t="s">
        <v>415</v>
      </c>
      <c r="F709" s="2" t="s">
        <v>15</v>
      </c>
      <c r="G709" s="2" t="s">
        <v>32</v>
      </c>
      <c r="H709" s="2" t="s">
        <v>41</v>
      </c>
      <c r="I709" s="3">
        <v>340</v>
      </c>
      <c r="J709" s="3">
        <v>480</v>
      </c>
      <c r="K709" s="4">
        <v>6</v>
      </c>
      <c r="O709" s="3"/>
    </row>
    <row r="710" spans="2:15">
      <c r="B710" s="2" t="s">
        <v>770</v>
      </c>
      <c r="C710" s="2" t="s">
        <v>404</v>
      </c>
      <c r="D710" s="2" t="s">
        <v>405</v>
      </c>
      <c r="E710" s="2" t="s">
        <v>409</v>
      </c>
      <c r="F710" s="2" t="s">
        <v>412</v>
      </c>
      <c r="G710" s="2" t="s">
        <v>16</v>
      </c>
      <c r="H710" s="2" t="s">
        <v>29</v>
      </c>
      <c r="I710" s="3">
        <v>400</v>
      </c>
      <c r="J710" s="3">
        <v>550</v>
      </c>
      <c r="K710" s="4">
        <v>4</v>
      </c>
      <c r="O710" s="3"/>
    </row>
    <row r="711" spans="2:15">
      <c r="B711" s="2" t="s">
        <v>771</v>
      </c>
      <c r="C711" s="2" t="s">
        <v>404</v>
      </c>
      <c r="D711" s="2" t="s">
        <v>31</v>
      </c>
      <c r="E711" s="2" t="s">
        <v>415</v>
      </c>
      <c r="F711" s="2" t="s">
        <v>412</v>
      </c>
      <c r="G711" s="2" t="s">
        <v>32</v>
      </c>
      <c r="H711" s="2" t="s">
        <v>94</v>
      </c>
      <c r="I711" s="3">
        <v>270</v>
      </c>
      <c r="J711" s="3">
        <v>370</v>
      </c>
      <c r="K711" s="4">
        <v>4</v>
      </c>
      <c r="O711" s="3"/>
    </row>
    <row r="712" spans="2:15">
      <c r="B712" s="2" t="s">
        <v>772</v>
      </c>
      <c r="C712" s="2" t="s">
        <v>404</v>
      </c>
      <c r="D712" s="2" t="s">
        <v>414</v>
      </c>
      <c r="E712" s="2" t="s">
        <v>418</v>
      </c>
      <c r="F712" s="2" t="s">
        <v>412</v>
      </c>
      <c r="G712" s="2" t="s">
        <v>39</v>
      </c>
      <c r="H712" s="2" t="s">
        <v>17</v>
      </c>
      <c r="I712" s="3">
        <v>240</v>
      </c>
      <c r="J712" s="3">
        <v>340</v>
      </c>
      <c r="K712" s="4">
        <v>6</v>
      </c>
      <c r="O712" s="3"/>
    </row>
    <row r="713" spans="2:15">
      <c r="B713" s="2" t="s">
        <v>773</v>
      </c>
      <c r="C713" s="2" t="s">
        <v>404</v>
      </c>
      <c r="D713" s="2" t="s">
        <v>408</v>
      </c>
      <c r="E713" s="2" t="s">
        <v>409</v>
      </c>
      <c r="F713" s="2" t="s">
        <v>15</v>
      </c>
      <c r="G713" s="2" t="s">
        <v>36</v>
      </c>
      <c r="H713" s="2" t="s">
        <v>51</v>
      </c>
      <c r="I713" s="3">
        <v>320</v>
      </c>
      <c r="J713" s="3">
        <v>450</v>
      </c>
      <c r="K713" s="4">
        <v>4</v>
      </c>
      <c r="O713" s="3"/>
    </row>
    <row r="714" spans="2:15">
      <c r="B714" s="2" t="s">
        <v>774</v>
      </c>
      <c r="C714" s="2" t="s">
        <v>404</v>
      </c>
      <c r="D714" s="2" t="s">
        <v>414</v>
      </c>
      <c r="E714" s="2" t="s">
        <v>411</v>
      </c>
      <c r="F714" s="2" t="s">
        <v>20</v>
      </c>
      <c r="G714" s="2" t="s">
        <v>16</v>
      </c>
      <c r="H714" s="2" t="s">
        <v>104</v>
      </c>
      <c r="I714" s="3">
        <v>450</v>
      </c>
      <c r="J714" s="3">
        <v>630</v>
      </c>
      <c r="K714" s="4">
        <v>4</v>
      </c>
      <c r="O714" s="3"/>
    </row>
    <row r="715" spans="2:15">
      <c r="B715" s="2" t="s">
        <v>775</v>
      </c>
      <c r="C715" s="2" t="s">
        <v>404</v>
      </c>
      <c r="D715" s="2" t="s">
        <v>405</v>
      </c>
      <c r="E715" s="2" t="s">
        <v>406</v>
      </c>
      <c r="F715" s="2" t="s">
        <v>20</v>
      </c>
      <c r="G715" s="2" t="s">
        <v>21</v>
      </c>
      <c r="H715" s="2" t="s">
        <v>104</v>
      </c>
      <c r="I715" s="3">
        <v>440</v>
      </c>
      <c r="J715" s="3">
        <v>620</v>
      </c>
      <c r="K715" s="4">
        <v>4</v>
      </c>
      <c r="O715" s="3"/>
    </row>
    <row r="716" spans="2:15">
      <c r="B716" s="2" t="s">
        <v>776</v>
      </c>
      <c r="C716" s="2" t="s">
        <v>404</v>
      </c>
      <c r="D716" s="2" t="s">
        <v>414</v>
      </c>
      <c r="E716" s="2" t="s">
        <v>418</v>
      </c>
      <c r="F716" s="2" t="s">
        <v>20</v>
      </c>
      <c r="G716" s="2" t="s">
        <v>21</v>
      </c>
      <c r="H716" s="2" t="s">
        <v>59</v>
      </c>
      <c r="I716" s="3">
        <v>180</v>
      </c>
      <c r="J716" s="3">
        <v>250</v>
      </c>
      <c r="K716" s="4">
        <v>3</v>
      </c>
      <c r="O716" s="3"/>
    </row>
    <row r="717" spans="2:15">
      <c r="B717" s="2" t="s">
        <v>777</v>
      </c>
      <c r="C717" s="2" t="s">
        <v>404</v>
      </c>
      <c r="D717" s="2" t="s">
        <v>408</v>
      </c>
      <c r="E717" s="2" t="s">
        <v>418</v>
      </c>
      <c r="F717" s="2" t="s">
        <v>20</v>
      </c>
      <c r="G717" s="2" t="s">
        <v>16</v>
      </c>
      <c r="H717" s="2" t="s">
        <v>29</v>
      </c>
      <c r="I717" s="3">
        <v>520</v>
      </c>
      <c r="J717" s="3">
        <v>720</v>
      </c>
      <c r="K717" s="4">
        <v>6</v>
      </c>
      <c r="O717" s="3"/>
    </row>
    <row r="718" spans="2:15">
      <c r="B718" s="2" t="s">
        <v>778</v>
      </c>
      <c r="C718" s="2" t="s">
        <v>404</v>
      </c>
      <c r="D718" s="2" t="s">
        <v>414</v>
      </c>
      <c r="E718" s="2" t="s">
        <v>406</v>
      </c>
      <c r="F718" s="2" t="s">
        <v>15</v>
      </c>
      <c r="G718" s="2" t="s">
        <v>21</v>
      </c>
      <c r="H718" s="2" t="s">
        <v>57</v>
      </c>
      <c r="I718" s="3">
        <v>400</v>
      </c>
      <c r="J718" s="3">
        <v>550</v>
      </c>
      <c r="K718" s="4">
        <v>4</v>
      </c>
      <c r="O718" s="3"/>
    </row>
    <row r="719" spans="2:15">
      <c r="B719" s="2" t="s">
        <v>779</v>
      </c>
      <c r="C719" s="2" t="s">
        <v>404</v>
      </c>
      <c r="D719" s="2" t="s">
        <v>408</v>
      </c>
      <c r="E719" s="2" t="s">
        <v>415</v>
      </c>
      <c r="F719" s="2" t="s">
        <v>15</v>
      </c>
      <c r="G719" s="2" t="s">
        <v>16</v>
      </c>
      <c r="H719" s="2" t="s">
        <v>49</v>
      </c>
      <c r="I719" s="3">
        <v>470</v>
      </c>
      <c r="J719" s="3">
        <v>660</v>
      </c>
      <c r="K719" s="4">
        <v>6</v>
      </c>
      <c r="O719" s="3"/>
    </row>
    <row r="720" spans="2:15">
      <c r="B720" s="2" t="s">
        <v>780</v>
      </c>
      <c r="C720" s="2" t="s">
        <v>404</v>
      </c>
      <c r="D720" s="2" t="s">
        <v>405</v>
      </c>
      <c r="E720" s="2" t="s">
        <v>409</v>
      </c>
      <c r="F720" s="2" t="s">
        <v>20</v>
      </c>
      <c r="G720" s="2" t="s">
        <v>36</v>
      </c>
      <c r="H720" s="2" t="s">
        <v>59</v>
      </c>
      <c r="I720" s="3">
        <v>460</v>
      </c>
      <c r="J720" s="3">
        <v>640</v>
      </c>
      <c r="K720" s="4">
        <v>4</v>
      </c>
      <c r="O720" s="3"/>
    </row>
    <row r="721" spans="2:15">
      <c r="B721" s="2" t="s">
        <v>781</v>
      </c>
      <c r="C721" s="2" t="s">
        <v>404</v>
      </c>
      <c r="D721" s="2" t="s">
        <v>31</v>
      </c>
      <c r="E721" s="2" t="s">
        <v>406</v>
      </c>
      <c r="F721" s="2" t="s">
        <v>412</v>
      </c>
      <c r="G721" s="2" t="s">
        <v>21</v>
      </c>
      <c r="H721" s="2" t="s">
        <v>22</v>
      </c>
      <c r="I721" s="3">
        <v>200</v>
      </c>
      <c r="J721" s="3">
        <v>290</v>
      </c>
      <c r="K721" s="4">
        <v>4</v>
      </c>
      <c r="O721" s="3"/>
    </row>
    <row r="722" spans="2:15">
      <c r="B722" s="2" t="s">
        <v>782</v>
      </c>
      <c r="C722" s="2" t="s">
        <v>404</v>
      </c>
      <c r="D722" s="2" t="s">
        <v>31</v>
      </c>
      <c r="E722" s="2" t="s">
        <v>406</v>
      </c>
      <c r="F722" s="2" t="s">
        <v>15</v>
      </c>
      <c r="G722" s="2" t="s">
        <v>21</v>
      </c>
      <c r="H722" s="2" t="s">
        <v>25</v>
      </c>
      <c r="I722" s="3">
        <v>460</v>
      </c>
      <c r="J722" s="3">
        <v>640</v>
      </c>
      <c r="K722" s="4">
        <v>3</v>
      </c>
      <c r="O722" s="3"/>
    </row>
    <row r="723" spans="2:15">
      <c r="B723" s="2" t="s">
        <v>783</v>
      </c>
      <c r="C723" s="2" t="s">
        <v>404</v>
      </c>
      <c r="D723" s="2" t="s">
        <v>405</v>
      </c>
      <c r="E723" s="2" t="s">
        <v>409</v>
      </c>
      <c r="F723" s="2" t="s">
        <v>20</v>
      </c>
      <c r="G723" s="2" t="s">
        <v>36</v>
      </c>
      <c r="H723" s="2" t="s">
        <v>57</v>
      </c>
      <c r="I723" s="3">
        <v>420</v>
      </c>
      <c r="J723" s="3">
        <v>590</v>
      </c>
      <c r="K723" s="4">
        <v>3</v>
      </c>
      <c r="O723" s="3"/>
    </row>
    <row r="724" spans="2:15">
      <c r="B724" s="2" t="s">
        <v>784</v>
      </c>
      <c r="C724" s="2" t="s">
        <v>404</v>
      </c>
      <c r="D724" s="2" t="s">
        <v>408</v>
      </c>
      <c r="E724" s="2" t="s">
        <v>411</v>
      </c>
      <c r="F724" s="2" t="s">
        <v>412</v>
      </c>
      <c r="G724" s="2" t="s">
        <v>36</v>
      </c>
      <c r="H724" s="2" t="s">
        <v>41</v>
      </c>
      <c r="I724" s="3">
        <v>500</v>
      </c>
      <c r="J724" s="3">
        <v>700</v>
      </c>
      <c r="K724" s="4">
        <v>3</v>
      </c>
      <c r="O724" s="3"/>
    </row>
    <row r="725" spans="2:15">
      <c r="B725" s="2" t="s">
        <v>785</v>
      </c>
      <c r="C725" s="2" t="s">
        <v>404</v>
      </c>
      <c r="D725" s="2" t="s">
        <v>405</v>
      </c>
      <c r="E725" s="2" t="s">
        <v>411</v>
      </c>
      <c r="F725" s="2" t="s">
        <v>20</v>
      </c>
      <c r="G725" s="2" t="s">
        <v>36</v>
      </c>
      <c r="H725" s="2" t="s">
        <v>59</v>
      </c>
      <c r="I725" s="3">
        <v>510</v>
      </c>
      <c r="J725" s="3">
        <v>710</v>
      </c>
      <c r="K725" s="4">
        <v>5</v>
      </c>
      <c r="O725" s="3"/>
    </row>
    <row r="726" spans="2:15">
      <c r="B726" s="2" t="s">
        <v>786</v>
      </c>
      <c r="C726" s="2" t="s">
        <v>404</v>
      </c>
      <c r="D726" s="2" t="s">
        <v>417</v>
      </c>
      <c r="E726" s="2" t="s">
        <v>415</v>
      </c>
      <c r="F726" s="2" t="s">
        <v>20</v>
      </c>
      <c r="G726" s="2" t="s">
        <v>36</v>
      </c>
      <c r="H726" s="2" t="s">
        <v>57</v>
      </c>
      <c r="I726" s="3">
        <v>450</v>
      </c>
      <c r="J726" s="3">
        <v>630</v>
      </c>
      <c r="K726" s="4">
        <v>5</v>
      </c>
      <c r="O726" s="3"/>
    </row>
    <row r="727" spans="2:15">
      <c r="B727" s="2" t="s">
        <v>787</v>
      </c>
      <c r="C727" s="2" t="s">
        <v>404</v>
      </c>
      <c r="D727" s="2" t="s">
        <v>417</v>
      </c>
      <c r="E727" s="2" t="s">
        <v>406</v>
      </c>
      <c r="F727" s="2" t="s">
        <v>20</v>
      </c>
      <c r="G727" s="2" t="s">
        <v>32</v>
      </c>
      <c r="H727" s="2" t="s">
        <v>25</v>
      </c>
      <c r="I727" s="3">
        <v>390</v>
      </c>
      <c r="J727" s="3">
        <v>550</v>
      </c>
      <c r="K727" s="4">
        <v>6</v>
      </c>
      <c r="O727" s="3"/>
    </row>
    <row r="728" spans="2:15">
      <c r="B728" s="2" t="s">
        <v>788</v>
      </c>
      <c r="C728" s="2" t="s">
        <v>404</v>
      </c>
      <c r="D728" s="2" t="s">
        <v>414</v>
      </c>
      <c r="E728" s="2" t="s">
        <v>409</v>
      </c>
      <c r="F728" s="2" t="s">
        <v>412</v>
      </c>
      <c r="G728" s="2" t="s">
        <v>39</v>
      </c>
      <c r="H728" s="2" t="s">
        <v>71</v>
      </c>
      <c r="I728" s="3">
        <v>280</v>
      </c>
      <c r="J728" s="3">
        <v>390</v>
      </c>
      <c r="K728" s="4">
        <v>3</v>
      </c>
      <c r="O728" s="3"/>
    </row>
    <row r="729" spans="2:15">
      <c r="B729" s="2" t="s">
        <v>789</v>
      </c>
      <c r="C729" s="2" t="s">
        <v>404</v>
      </c>
      <c r="D729" s="2" t="s">
        <v>31</v>
      </c>
      <c r="E729" s="2" t="s">
        <v>411</v>
      </c>
      <c r="F729" s="2" t="s">
        <v>412</v>
      </c>
      <c r="G729" s="2" t="s">
        <v>16</v>
      </c>
      <c r="H729" s="2" t="s">
        <v>49</v>
      </c>
      <c r="I729" s="3">
        <v>420</v>
      </c>
      <c r="J729" s="3">
        <v>580</v>
      </c>
      <c r="K729" s="4">
        <v>6</v>
      </c>
      <c r="O729" s="3"/>
    </row>
    <row r="730" spans="2:15">
      <c r="B730" s="2" t="s">
        <v>790</v>
      </c>
      <c r="C730" s="2" t="s">
        <v>404</v>
      </c>
      <c r="D730" s="2" t="s">
        <v>31</v>
      </c>
      <c r="E730" s="2" t="s">
        <v>406</v>
      </c>
      <c r="F730" s="2" t="s">
        <v>15</v>
      </c>
      <c r="G730" s="2" t="s">
        <v>21</v>
      </c>
      <c r="H730" s="2" t="s">
        <v>33</v>
      </c>
      <c r="I730" s="3">
        <v>340</v>
      </c>
      <c r="J730" s="3">
        <v>470</v>
      </c>
      <c r="K730" s="4">
        <v>5</v>
      </c>
      <c r="O730" s="3"/>
    </row>
    <row r="731" spans="2:15">
      <c r="B731" s="2" t="s">
        <v>791</v>
      </c>
      <c r="C731" s="2" t="s">
        <v>404</v>
      </c>
      <c r="D731" s="2" t="s">
        <v>53</v>
      </c>
      <c r="E731" s="2" t="s">
        <v>415</v>
      </c>
      <c r="F731" s="2" t="s">
        <v>15</v>
      </c>
      <c r="G731" s="2" t="s">
        <v>21</v>
      </c>
      <c r="H731" s="2" t="s">
        <v>33</v>
      </c>
      <c r="I731" s="3">
        <v>420</v>
      </c>
      <c r="J731" s="3">
        <v>590</v>
      </c>
      <c r="K731" s="4">
        <v>6</v>
      </c>
      <c r="O731" s="3"/>
    </row>
    <row r="732" spans="2:15">
      <c r="B732" s="2" t="s">
        <v>792</v>
      </c>
      <c r="C732" s="2" t="s">
        <v>404</v>
      </c>
      <c r="D732" s="2" t="s">
        <v>414</v>
      </c>
      <c r="E732" s="2" t="s">
        <v>411</v>
      </c>
      <c r="F732" s="2" t="s">
        <v>412</v>
      </c>
      <c r="G732" s="2" t="s">
        <v>21</v>
      </c>
      <c r="H732" s="2" t="s">
        <v>51</v>
      </c>
      <c r="I732" s="3">
        <v>540</v>
      </c>
      <c r="J732" s="3">
        <v>750</v>
      </c>
      <c r="K732" s="4">
        <v>4</v>
      </c>
      <c r="O732" s="3"/>
    </row>
    <row r="733" spans="2:15">
      <c r="B733" s="2" t="s">
        <v>793</v>
      </c>
      <c r="C733" s="2" t="s">
        <v>404</v>
      </c>
      <c r="D733" s="2" t="s">
        <v>405</v>
      </c>
      <c r="E733" s="2" t="s">
        <v>415</v>
      </c>
      <c r="F733" s="2" t="s">
        <v>15</v>
      </c>
      <c r="G733" s="2" t="s">
        <v>32</v>
      </c>
      <c r="H733" s="2" t="s">
        <v>101</v>
      </c>
      <c r="I733" s="3">
        <v>340</v>
      </c>
      <c r="J733" s="3">
        <v>470</v>
      </c>
      <c r="K733" s="4">
        <v>5</v>
      </c>
      <c r="O733" s="3"/>
    </row>
    <row r="734" spans="2:15">
      <c r="B734" s="2" t="s">
        <v>794</v>
      </c>
      <c r="C734" s="2" t="s">
        <v>404</v>
      </c>
      <c r="D734" s="2" t="s">
        <v>53</v>
      </c>
      <c r="E734" s="2" t="s">
        <v>406</v>
      </c>
      <c r="F734" s="2" t="s">
        <v>412</v>
      </c>
      <c r="G734" s="2" t="s">
        <v>39</v>
      </c>
      <c r="H734" s="2" t="s">
        <v>17</v>
      </c>
      <c r="I734" s="3">
        <v>510</v>
      </c>
      <c r="J734" s="3">
        <v>720</v>
      </c>
      <c r="K734" s="4">
        <v>6</v>
      </c>
      <c r="O734" s="3"/>
    </row>
    <row r="735" spans="2:15">
      <c r="B735" s="2" t="s">
        <v>795</v>
      </c>
      <c r="C735" s="2" t="s">
        <v>404</v>
      </c>
      <c r="D735" s="2" t="s">
        <v>414</v>
      </c>
      <c r="E735" s="2" t="s">
        <v>409</v>
      </c>
      <c r="F735" s="2" t="s">
        <v>20</v>
      </c>
      <c r="G735" s="2" t="s">
        <v>21</v>
      </c>
      <c r="H735" s="2" t="s">
        <v>59</v>
      </c>
      <c r="I735" s="3">
        <v>510</v>
      </c>
      <c r="J735" s="3">
        <v>710</v>
      </c>
      <c r="K735" s="4">
        <v>5</v>
      </c>
      <c r="O735" s="3"/>
    </row>
    <row r="736" spans="2:15">
      <c r="B736" s="2" t="s">
        <v>796</v>
      </c>
      <c r="C736" s="2" t="s">
        <v>404</v>
      </c>
      <c r="D736" s="2" t="s">
        <v>405</v>
      </c>
      <c r="E736" s="2" t="s">
        <v>409</v>
      </c>
      <c r="F736" s="2" t="s">
        <v>20</v>
      </c>
      <c r="G736" s="2" t="s">
        <v>36</v>
      </c>
      <c r="H736" s="2" t="s">
        <v>69</v>
      </c>
      <c r="I736" s="3">
        <v>430</v>
      </c>
      <c r="J736" s="3">
        <v>600</v>
      </c>
      <c r="K736" s="4">
        <v>3</v>
      </c>
      <c r="O736" s="3"/>
    </row>
    <row r="737" spans="2:15">
      <c r="B737" s="2" t="s">
        <v>797</v>
      </c>
      <c r="C737" s="2" t="s">
        <v>404</v>
      </c>
      <c r="D737" s="2" t="s">
        <v>53</v>
      </c>
      <c r="E737" s="2" t="s">
        <v>415</v>
      </c>
      <c r="F737" s="2" t="s">
        <v>15</v>
      </c>
      <c r="G737" s="2" t="s">
        <v>39</v>
      </c>
      <c r="H737" s="2" t="s">
        <v>43</v>
      </c>
      <c r="I737" s="3">
        <v>220</v>
      </c>
      <c r="J737" s="3">
        <v>310</v>
      </c>
      <c r="K737" s="4">
        <v>5</v>
      </c>
      <c r="O737" s="3"/>
    </row>
    <row r="738" spans="2:15">
      <c r="B738" s="2" t="s">
        <v>798</v>
      </c>
      <c r="C738" s="2" t="s">
        <v>404</v>
      </c>
      <c r="D738" s="2" t="s">
        <v>61</v>
      </c>
      <c r="E738" s="2" t="s">
        <v>409</v>
      </c>
      <c r="F738" s="2" t="s">
        <v>412</v>
      </c>
      <c r="G738" s="2" t="s">
        <v>39</v>
      </c>
      <c r="H738" s="2" t="s">
        <v>59</v>
      </c>
      <c r="I738" s="3">
        <v>260</v>
      </c>
      <c r="J738" s="3">
        <v>370</v>
      </c>
      <c r="K738" s="4">
        <v>6</v>
      </c>
      <c r="O738" s="3"/>
    </row>
    <row r="739" spans="2:15">
      <c r="B739" s="2" t="s">
        <v>799</v>
      </c>
      <c r="C739" s="2" t="s">
        <v>404</v>
      </c>
      <c r="D739" s="2" t="s">
        <v>408</v>
      </c>
      <c r="E739" s="2" t="s">
        <v>415</v>
      </c>
      <c r="F739" s="2" t="s">
        <v>15</v>
      </c>
      <c r="G739" s="2" t="s">
        <v>21</v>
      </c>
      <c r="H739" s="2" t="s">
        <v>104</v>
      </c>
      <c r="I739" s="3">
        <v>460</v>
      </c>
      <c r="J739" s="3">
        <v>650</v>
      </c>
      <c r="K739" s="4">
        <v>4</v>
      </c>
      <c r="O739" s="3"/>
    </row>
    <row r="740" spans="2:15">
      <c r="B740" s="2" t="s">
        <v>800</v>
      </c>
      <c r="C740" s="2" t="s">
        <v>404</v>
      </c>
      <c r="D740" s="2" t="s">
        <v>53</v>
      </c>
      <c r="E740" s="2" t="s">
        <v>411</v>
      </c>
      <c r="F740" s="2" t="s">
        <v>20</v>
      </c>
      <c r="G740" s="2" t="s">
        <v>16</v>
      </c>
      <c r="H740" s="2" t="s">
        <v>75</v>
      </c>
      <c r="I740" s="3">
        <v>480</v>
      </c>
      <c r="J740" s="3">
        <v>670</v>
      </c>
      <c r="K740" s="4">
        <v>5</v>
      </c>
      <c r="O740" s="3"/>
    </row>
    <row r="741" spans="2:15">
      <c r="B741" s="2" t="s">
        <v>801</v>
      </c>
      <c r="C741" s="2" t="s">
        <v>404</v>
      </c>
      <c r="D741" s="2" t="s">
        <v>31</v>
      </c>
      <c r="E741" s="2" t="s">
        <v>415</v>
      </c>
      <c r="F741" s="2" t="s">
        <v>412</v>
      </c>
      <c r="G741" s="2" t="s">
        <v>21</v>
      </c>
      <c r="H741" s="2" t="s">
        <v>17</v>
      </c>
      <c r="I741" s="3">
        <v>250</v>
      </c>
      <c r="J741" s="3">
        <v>350</v>
      </c>
      <c r="K741" s="4">
        <v>4</v>
      </c>
      <c r="O741" s="3"/>
    </row>
    <row r="742" spans="2:15">
      <c r="B742" s="2" t="s">
        <v>802</v>
      </c>
      <c r="C742" s="2" t="s">
        <v>404</v>
      </c>
      <c r="D742" s="2" t="s">
        <v>31</v>
      </c>
      <c r="E742" s="2" t="s">
        <v>418</v>
      </c>
      <c r="F742" s="2" t="s">
        <v>20</v>
      </c>
      <c r="G742" s="2" t="s">
        <v>39</v>
      </c>
      <c r="H742" s="2" t="s">
        <v>64</v>
      </c>
      <c r="I742" s="3">
        <v>500</v>
      </c>
      <c r="J742" s="3">
        <v>690</v>
      </c>
      <c r="K742" s="4">
        <v>3</v>
      </c>
      <c r="O742" s="3"/>
    </row>
    <row r="743" spans="2:15">
      <c r="B743" s="2" t="s">
        <v>803</v>
      </c>
      <c r="C743" s="2" t="s">
        <v>404</v>
      </c>
      <c r="D743" s="2" t="s">
        <v>417</v>
      </c>
      <c r="E743" s="2" t="s">
        <v>411</v>
      </c>
      <c r="F743" s="2" t="s">
        <v>15</v>
      </c>
      <c r="G743" s="2" t="s">
        <v>36</v>
      </c>
      <c r="H743" s="2" t="s">
        <v>59</v>
      </c>
      <c r="I743" s="3">
        <v>290</v>
      </c>
      <c r="J743" s="3">
        <v>410</v>
      </c>
      <c r="K743" s="4">
        <v>4</v>
      </c>
      <c r="O743" s="3"/>
    </row>
    <row r="744" spans="2:15">
      <c r="B744" s="2" t="s">
        <v>804</v>
      </c>
      <c r="C744" s="2" t="s">
        <v>404</v>
      </c>
      <c r="D744" s="2" t="s">
        <v>31</v>
      </c>
      <c r="E744" s="2" t="s">
        <v>409</v>
      </c>
      <c r="F744" s="2" t="s">
        <v>20</v>
      </c>
      <c r="G744" s="2" t="s">
        <v>21</v>
      </c>
      <c r="H744" s="2" t="s">
        <v>101</v>
      </c>
      <c r="I744" s="3">
        <v>420</v>
      </c>
      <c r="J744" s="3">
        <v>580</v>
      </c>
      <c r="K744" s="4">
        <v>5</v>
      </c>
      <c r="O744" s="3"/>
    </row>
    <row r="745" spans="2:15">
      <c r="B745" s="2" t="s">
        <v>805</v>
      </c>
      <c r="C745" s="2" t="s">
        <v>404</v>
      </c>
      <c r="D745" s="2" t="s">
        <v>417</v>
      </c>
      <c r="E745" s="2" t="s">
        <v>418</v>
      </c>
      <c r="F745" s="2" t="s">
        <v>20</v>
      </c>
      <c r="G745" s="2" t="s">
        <v>21</v>
      </c>
      <c r="H745" s="2" t="s">
        <v>94</v>
      </c>
      <c r="I745" s="3">
        <v>330</v>
      </c>
      <c r="J745" s="3">
        <v>460</v>
      </c>
      <c r="K745" s="4">
        <v>6</v>
      </c>
      <c r="O745" s="3"/>
    </row>
    <row r="746" spans="2:15">
      <c r="B746" s="2" t="s">
        <v>806</v>
      </c>
      <c r="C746" s="2" t="s">
        <v>404</v>
      </c>
      <c r="D746" s="2" t="s">
        <v>405</v>
      </c>
      <c r="E746" s="2" t="s">
        <v>409</v>
      </c>
      <c r="F746" s="2" t="s">
        <v>15</v>
      </c>
      <c r="G746" s="2" t="s">
        <v>16</v>
      </c>
      <c r="H746" s="2" t="s">
        <v>22</v>
      </c>
      <c r="I746" s="3">
        <v>360</v>
      </c>
      <c r="J746" s="3">
        <v>500</v>
      </c>
      <c r="K746" s="4">
        <v>3</v>
      </c>
      <c r="O746" s="3"/>
    </row>
    <row r="747" spans="2:15">
      <c r="B747" s="2" t="s">
        <v>807</v>
      </c>
      <c r="C747" s="2" t="s">
        <v>404</v>
      </c>
      <c r="D747" s="2" t="s">
        <v>31</v>
      </c>
      <c r="E747" s="2" t="s">
        <v>415</v>
      </c>
      <c r="F747" s="2" t="s">
        <v>15</v>
      </c>
      <c r="G747" s="2" t="s">
        <v>32</v>
      </c>
      <c r="H747" s="2" t="s">
        <v>37</v>
      </c>
      <c r="I747" s="3">
        <v>440</v>
      </c>
      <c r="J747" s="3">
        <v>610</v>
      </c>
      <c r="K747" s="4">
        <v>5</v>
      </c>
      <c r="O747" s="3"/>
    </row>
    <row r="748" spans="2:15">
      <c r="B748" s="2" t="s">
        <v>808</v>
      </c>
      <c r="C748" s="2" t="s">
        <v>404</v>
      </c>
      <c r="D748" s="2" t="s">
        <v>417</v>
      </c>
      <c r="E748" s="2" t="s">
        <v>415</v>
      </c>
      <c r="F748" s="2" t="s">
        <v>15</v>
      </c>
      <c r="G748" s="2" t="s">
        <v>36</v>
      </c>
      <c r="H748" s="2" t="s">
        <v>59</v>
      </c>
      <c r="I748" s="3">
        <v>420</v>
      </c>
      <c r="J748" s="3">
        <v>600</v>
      </c>
      <c r="K748" s="4">
        <v>6</v>
      </c>
      <c r="O748" s="3"/>
    </row>
    <row r="749" spans="2:15">
      <c r="B749" s="2" t="s">
        <v>809</v>
      </c>
      <c r="C749" s="2" t="s">
        <v>404</v>
      </c>
      <c r="D749" s="2" t="s">
        <v>417</v>
      </c>
      <c r="E749" s="2" t="s">
        <v>418</v>
      </c>
      <c r="F749" s="2" t="s">
        <v>15</v>
      </c>
      <c r="G749" s="2" t="s">
        <v>36</v>
      </c>
      <c r="H749" s="2" t="s">
        <v>71</v>
      </c>
      <c r="I749" s="3">
        <v>270</v>
      </c>
      <c r="J749" s="3">
        <v>380</v>
      </c>
      <c r="K749" s="4">
        <v>3</v>
      </c>
      <c r="O749" s="3"/>
    </row>
    <row r="750" spans="2:15">
      <c r="B750" s="2" t="s">
        <v>810</v>
      </c>
      <c r="C750" s="2" t="s">
        <v>404</v>
      </c>
      <c r="D750" s="2" t="s">
        <v>31</v>
      </c>
      <c r="E750" s="2" t="s">
        <v>418</v>
      </c>
      <c r="F750" s="2" t="s">
        <v>20</v>
      </c>
      <c r="G750" s="2" t="s">
        <v>36</v>
      </c>
      <c r="H750" s="2" t="s">
        <v>17</v>
      </c>
      <c r="I750" s="3">
        <v>400</v>
      </c>
      <c r="J750" s="3">
        <v>550</v>
      </c>
      <c r="K750" s="4">
        <v>4</v>
      </c>
      <c r="O750" s="3"/>
    </row>
    <row r="751" spans="2:15">
      <c r="B751" s="2" t="s">
        <v>811</v>
      </c>
      <c r="C751" s="2" t="s">
        <v>404</v>
      </c>
      <c r="D751" s="2" t="s">
        <v>53</v>
      </c>
      <c r="E751" s="2" t="s">
        <v>418</v>
      </c>
      <c r="F751" s="2" t="s">
        <v>412</v>
      </c>
      <c r="G751" s="2" t="s">
        <v>21</v>
      </c>
      <c r="H751" s="2" t="s">
        <v>69</v>
      </c>
      <c r="I751" s="3">
        <v>310</v>
      </c>
      <c r="J751" s="3">
        <v>440</v>
      </c>
      <c r="K751" s="4">
        <v>5</v>
      </c>
      <c r="O751" s="3"/>
    </row>
    <row r="752" spans="2:15">
      <c r="B752" s="2" t="s">
        <v>812</v>
      </c>
      <c r="C752" s="2" t="s">
        <v>404</v>
      </c>
      <c r="D752" s="2" t="s">
        <v>61</v>
      </c>
      <c r="E752" s="2" t="s">
        <v>409</v>
      </c>
      <c r="F752" s="2" t="s">
        <v>15</v>
      </c>
      <c r="G752" s="2" t="s">
        <v>32</v>
      </c>
      <c r="H752" s="2" t="s">
        <v>43</v>
      </c>
      <c r="I752" s="3">
        <v>280</v>
      </c>
      <c r="J752" s="3">
        <v>390</v>
      </c>
      <c r="K752" s="4">
        <v>4</v>
      </c>
      <c r="O752" s="3"/>
    </row>
    <row r="753" spans="2:15">
      <c r="B753" s="2" t="s">
        <v>813</v>
      </c>
      <c r="C753" s="2" t="s">
        <v>404</v>
      </c>
      <c r="D753" s="2" t="s">
        <v>61</v>
      </c>
      <c r="E753" s="2" t="s">
        <v>418</v>
      </c>
      <c r="F753" s="2" t="s">
        <v>20</v>
      </c>
      <c r="G753" s="2" t="s">
        <v>21</v>
      </c>
      <c r="H753" s="2" t="s">
        <v>33</v>
      </c>
      <c r="I753" s="3">
        <v>390</v>
      </c>
      <c r="J753" s="3">
        <v>550</v>
      </c>
      <c r="K753" s="4">
        <v>4</v>
      </c>
      <c r="O753" s="3"/>
    </row>
    <row r="754" spans="2:15">
      <c r="B754" s="2" t="s">
        <v>814</v>
      </c>
      <c r="C754" s="2" t="s">
        <v>404</v>
      </c>
      <c r="D754" s="2" t="s">
        <v>408</v>
      </c>
      <c r="E754" s="2" t="s">
        <v>406</v>
      </c>
      <c r="F754" s="2" t="s">
        <v>15</v>
      </c>
      <c r="G754" s="2" t="s">
        <v>16</v>
      </c>
      <c r="H754" s="2" t="s">
        <v>17</v>
      </c>
      <c r="I754" s="3">
        <v>530</v>
      </c>
      <c r="J754" s="3">
        <v>740</v>
      </c>
      <c r="K754" s="4">
        <v>4</v>
      </c>
      <c r="O754" s="3"/>
    </row>
    <row r="755" spans="2:15">
      <c r="B755" s="2" t="s">
        <v>815</v>
      </c>
      <c r="C755" s="2" t="s">
        <v>404</v>
      </c>
      <c r="D755" s="2" t="s">
        <v>414</v>
      </c>
      <c r="E755" s="2" t="s">
        <v>406</v>
      </c>
      <c r="F755" s="2" t="s">
        <v>20</v>
      </c>
      <c r="G755" s="2" t="s">
        <v>16</v>
      </c>
      <c r="H755" s="2" t="s">
        <v>25</v>
      </c>
      <c r="I755" s="3">
        <v>280</v>
      </c>
      <c r="J755" s="3">
        <v>400</v>
      </c>
      <c r="K755" s="4">
        <v>5</v>
      </c>
      <c r="O755" s="3"/>
    </row>
    <row r="756" spans="2:15">
      <c r="B756" s="2" t="s">
        <v>816</v>
      </c>
      <c r="C756" s="2" t="s">
        <v>404</v>
      </c>
      <c r="D756" s="2" t="s">
        <v>417</v>
      </c>
      <c r="E756" s="2" t="s">
        <v>409</v>
      </c>
      <c r="F756" s="2" t="s">
        <v>20</v>
      </c>
      <c r="G756" s="2" t="s">
        <v>39</v>
      </c>
      <c r="H756" s="2" t="s">
        <v>51</v>
      </c>
      <c r="I756" s="3">
        <v>230</v>
      </c>
      <c r="J756" s="3">
        <v>320</v>
      </c>
      <c r="K756" s="4">
        <v>3</v>
      </c>
      <c r="O756" s="3"/>
    </row>
    <row r="757" spans="2:15">
      <c r="B757" s="2" t="s">
        <v>817</v>
      </c>
      <c r="C757" s="2" t="s">
        <v>404</v>
      </c>
      <c r="D757" s="2" t="s">
        <v>31</v>
      </c>
      <c r="E757" s="2" t="s">
        <v>411</v>
      </c>
      <c r="F757" s="2" t="s">
        <v>15</v>
      </c>
      <c r="G757" s="2" t="s">
        <v>21</v>
      </c>
      <c r="H757" s="2" t="s">
        <v>49</v>
      </c>
      <c r="I757" s="3">
        <v>430</v>
      </c>
      <c r="J757" s="3">
        <v>600</v>
      </c>
      <c r="K757" s="4">
        <v>6</v>
      </c>
      <c r="O757" s="3"/>
    </row>
    <row r="758" spans="2:15">
      <c r="B758" s="2" t="s">
        <v>818</v>
      </c>
      <c r="C758" s="2" t="s">
        <v>404</v>
      </c>
      <c r="D758" s="2" t="s">
        <v>417</v>
      </c>
      <c r="E758" s="2" t="s">
        <v>418</v>
      </c>
      <c r="F758" s="2" t="s">
        <v>15</v>
      </c>
      <c r="G758" s="2" t="s">
        <v>16</v>
      </c>
      <c r="H758" s="2" t="s">
        <v>75</v>
      </c>
      <c r="I758" s="3">
        <v>440</v>
      </c>
      <c r="J758" s="3">
        <v>620</v>
      </c>
      <c r="K758" s="4">
        <v>5</v>
      </c>
      <c r="O758" s="3"/>
    </row>
    <row r="759" spans="2:15">
      <c r="B759" s="2" t="s">
        <v>819</v>
      </c>
      <c r="C759" s="2" t="s">
        <v>404</v>
      </c>
      <c r="D759" s="2" t="s">
        <v>414</v>
      </c>
      <c r="E759" s="2" t="s">
        <v>415</v>
      </c>
      <c r="F759" s="2" t="s">
        <v>20</v>
      </c>
      <c r="G759" s="2" t="s">
        <v>39</v>
      </c>
      <c r="H759" s="2" t="s">
        <v>75</v>
      </c>
      <c r="I759" s="3">
        <v>350</v>
      </c>
      <c r="J759" s="3">
        <v>490</v>
      </c>
      <c r="K759" s="4">
        <v>6</v>
      </c>
      <c r="O759" s="3"/>
    </row>
    <row r="760" spans="2:15">
      <c r="B760" s="2" t="s">
        <v>820</v>
      </c>
      <c r="C760" s="2" t="s">
        <v>404</v>
      </c>
      <c r="D760" s="2" t="s">
        <v>405</v>
      </c>
      <c r="E760" s="2" t="s">
        <v>409</v>
      </c>
      <c r="F760" s="2" t="s">
        <v>412</v>
      </c>
      <c r="G760" s="2" t="s">
        <v>32</v>
      </c>
      <c r="H760" s="2" t="s">
        <v>59</v>
      </c>
      <c r="I760" s="3">
        <v>390</v>
      </c>
      <c r="J760" s="3">
        <v>550</v>
      </c>
      <c r="K760" s="4">
        <v>4</v>
      </c>
      <c r="O760" s="3"/>
    </row>
    <row r="761" spans="2:15">
      <c r="B761" s="2" t="s">
        <v>821</v>
      </c>
      <c r="C761" s="2" t="s">
        <v>404</v>
      </c>
      <c r="D761" s="2" t="s">
        <v>31</v>
      </c>
      <c r="E761" s="2" t="s">
        <v>415</v>
      </c>
      <c r="F761" s="2" t="s">
        <v>15</v>
      </c>
      <c r="G761" s="2" t="s">
        <v>32</v>
      </c>
      <c r="H761" s="2" t="s">
        <v>69</v>
      </c>
      <c r="I761" s="3">
        <v>380</v>
      </c>
      <c r="J761" s="3">
        <v>540</v>
      </c>
      <c r="K761" s="4">
        <v>3</v>
      </c>
      <c r="O761" s="3"/>
    </row>
    <row r="762" spans="2:15">
      <c r="B762" s="2" t="s">
        <v>822</v>
      </c>
      <c r="C762" s="2" t="s">
        <v>404</v>
      </c>
      <c r="D762" s="2" t="s">
        <v>414</v>
      </c>
      <c r="E762" s="2" t="s">
        <v>411</v>
      </c>
      <c r="F762" s="2" t="s">
        <v>412</v>
      </c>
      <c r="G762" s="2" t="s">
        <v>39</v>
      </c>
      <c r="H762" s="2" t="s">
        <v>49</v>
      </c>
      <c r="I762" s="3">
        <v>500</v>
      </c>
      <c r="J762" s="3">
        <v>690</v>
      </c>
      <c r="K762" s="4">
        <v>5</v>
      </c>
      <c r="O762" s="3"/>
    </row>
    <row r="763" spans="2:15">
      <c r="B763" s="2" t="s">
        <v>823</v>
      </c>
      <c r="C763" s="2" t="s">
        <v>404</v>
      </c>
      <c r="D763" s="2" t="s">
        <v>417</v>
      </c>
      <c r="E763" s="2" t="s">
        <v>418</v>
      </c>
      <c r="F763" s="2" t="s">
        <v>20</v>
      </c>
      <c r="G763" s="2" t="s">
        <v>21</v>
      </c>
      <c r="H763" s="2" t="s">
        <v>33</v>
      </c>
      <c r="I763" s="3">
        <v>460</v>
      </c>
      <c r="J763" s="3">
        <v>650</v>
      </c>
      <c r="K763" s="4">
        <v>4</v>
      </c>
      <c r="O763" s="3"/>
    </row>
    <row r="764" spans="2:15">
      <c r="B764" s="2" t="s">
        <v>824</v>
      </c>
      <c r="C764" s="2" t="s">
        <v>404</v>
      </c>
      <c r="D764" s="2" t="s">
        <v>53</v>
      </c>
      <c r="E764" s="2" t="s">
        <v>415</v>
      </c>
      <c r="F764" s="2" t="s">
        <v>15</v>
      </c>
      <c r="G764" s="2" t="s">
        <v>32</v>
      </c>
      <c r="H764" s="2" t="s">
        <v>64</v>
      </c>
      <c r="I764" s="3">
        <v>290</v>
      </c>
      <c r="J764" s="3">
        <v>400</v>
      </c>
      <c r="K764" s="4">
        <v>6</v>
      </c>
      <c r="O764" s="3"/>
    </row>
    <row r="765" spans="2:15">
      <c r="B765" s="2" t="s">
        <v>825</v>
      </c>
      <c r="C765" s="2" t="s">
        <v>404</v>
      </c>
      <c r="D765" s="2" t="s">
        <v>414</v>
      </c>
      <c r="E765" s="2" t="s">
        <v>411</v>
      </c>
      <c r="F765" s="2" t="s">
        <v>412</v>
      </c>
      <c r="G765" s="2" t="s">
        <v>32</v>
      </c>
      <c r="H765" s="2" t="s">
        <v>41</v>
      </c>
      <c r="I765" s="3">
        <v>370</v>
      </c>
      <c r="J765" s="3">
        <v>510</v>
      </c>
      <c r="K765" s="4">
        <v>6</v>
      </c>
      <c r="O765" s="3"/>
    </row>
    <row r="766" spans="2:15">
      <c r="B766" s="2" t="s">
        <v>826</v>
      </c>
      <c r="C766" s="2" t="s">
        <v>404</v>
      </c>
      <c r="D766" s="2" t="s">
        <v>53</v>
      </c>
      <c r="E766" s="2" t="s">
        <v>406</v>
      </c>
      <c r="F766" s="2" t="s">
        <v>412</v>
      </c>
      <c r="G766" s="2" t="s">
        <v>16</v>
      </c>
      <c r="H766" s="2" t="s">
        <v>71</v>
      </c>
      <c r="I766" s="3">
        <v>290</v>
      </c>
      <c r="J766" s="3">
        <v>410</v>
      </c>
      <c r="K766" s="4">
        <v>4</v>
      </c>
      <c r="O766" s="3"/>
    </row>
    <row r="767" spans="2:15">
      <c r="B767" s="2" t="s">
        <v>827</v>
      </c>
      <c r="C767" s="2" t="s">
        <v>404</v>
      </c>
      <c r="D767" s="2" t="s">
        <v>408</v>
      </c>
      <c r="E767" s="2" t="s">
        <v>418</v>
      </c>
      <c r="F767" s="2" t="s">
        <v>20</v>
      </c>
      <c r="G767" s="2" t="s">
        <v>21</v>
      </c>
      <c r="H767" s="2" t="s">
        <v>22</v>
      </c>
      <c r="I767" s="3">
        <v>200</v>
      </c>
      <c r="J767" s="3">
        <v>280</v>
      </c>
      <c r="K767" s="4">
        <v>6</v>
      </c>
      <c r="O767" s="3"/>
    </row>
    <row r="768" spans="2:15">
      <c r="B768" s="2" t="s">
        <v>828</v>
      </c>
      <c r="C768" s="2" t="s">
        <v>404</v>
      </c>
      <c r="D768" s="2" t="s">
        <v>414</v>
      </c>
      <c r="E768" s="2" t="s">
        <v>406</v>
      </c>
      <c r="F768" s="2" t="s">
        <v>15</v>
      </c>
      <c r="G768" s="2" t="s">
        <v>39</v>
      </c>
      <c r="H768" s="2" t="s">
        <v>64</v>
      </c>
      <c r="I768" s="3">
        <v>250</v>
      </c>
      <c r="J768" s="3">
        <v>350</v>
      </c>
      <c r="K768" s="4">
        <v>6</v>
      </c>
      <c r="O768" s="3"/>
    </row>
    <row r="769" spans="2:15">
      <c r="B769" s="2" t="s">
        <v>829</v>
      </c>
      <c r="C769" s="2" t="s">
        <v>404</v>
      </c>
      <c r="D769" s="2" t="s">
        <v>414</v>
      </c>
      <c r="E769" s="2" t="s">
        <v>415</v>
      </c>
      <c r="F769" s="2" t="s">
        <v>412</v>
      </c>
      <c r="G769" s="2" t="s">
        <v>32</v>
      </c>
      <c r="H769" s="2" t="s">
        <v>51</v>
      </c>
      <c r="I769" s="3">
        <v>400</v>
      </c>
      <c r="J769" s="3">
        <v>570</v>
      </c>
      <c r="K769" s="4">
        <v>5</v>
      </c>
      <c r="O769" s="3"/>
    </row>
    <row r="770" spans="2:15">
      <c r="B770" s="2" t="s">
        <v>830</v>
      </c>
      <c r="C770" s="2" t="s">
        <v>404</v>
      </c>
      <c r="D770" s="2" t="s">
        <v>405</v>
      </c>
      <c r="E770" s="2" t="s">
        <v>415</v>
      </c>
      <c r="F770" s="2" t="s">
        <v>20</v>
      </c>
      <c r="G770" s="2" t="s">
        <v>36</v>
      </c>
      <c r="H770" s="2" t="s">
        <v>37</v>
      </c>
      <c r="I770" s="3">
        <v>280</v>
      </c>
      <c r="J770" s="3">
        <v>390</v>
      </c>
      <c r="K770" s="4">
        <v>4</v>
      </c>
      <c r="O770" s="3"/>
    </row>
    <row r="771" spans="2:15">
      <c r="B771" s="2" t="s">
        <v>831</v>
      </c>
      <c r="C771" s="2" t="s">
        <v>404</v>
      </c>
      <c r="D771" s="2" t="s">
        <v>414</v>
      </c>
      <c r="E771" s="2" t="s">
        <v>418</v>
      </c>
      <c r="F771" s="2" t="s">
        <v>15</v>
      </c>
      <c r="G771" s="2" t="s">
        <v>39</v>
      </c>
      <c r="H771" s="2" t="s">
        <v>29</v>
      </c>
      <c r="I771" s="3">
        <v>180</v>
      </c>
      <c r="J771" s="3">
        <v>250</v>
      </c>
      <c r="K771" s="4">
        <v>5</v>
      </c>
      <c r="O771" s="3"/>
    </row>
    <row r="772" spans="2:15">
      <c r="B772" s="2" t="s">
        <v>832</v>
      </c>
      <c r="C772" s="2" t="s">
        <v>404</v>
      </c>
      <c r="D772" s="2" t="s">
        <v>61</v>
      </c>
      <c r="E772" s="2" t="s">
        <v>418</v>
      </c>
      <c r="F772" s="2" t="s">
        <v>412</v>
      </c>
      <c r="G772" s="2" t="s">
        <v>21</v>
      </c>
      <c r="H772" s="2" t="s">
        <v>33</v>
      </c>
      <c r="I772" s="3">
        <v>280</v>
      </c>
      <c r="J772" s="3">
        <v>400</v>
      </c>
      <c r="K772" s="4">
        <v>5</v>
      </c>
      <c r="O772" s="3"/>
    </row>
    <row r="773" spans="2:15">
      <c r="B773" s="2" t="s">
        <v>833</v>
      </c>
      <c r="C773" s="2" t="s">
        <v>404</v>
      </c>
      <c r="D773" s="2" t="s">
        <v>53</v>
      </c>
      <c r="E773" s="2" t="s">
        <v>409</v>
      </c>
      <c r="F773" s="2" t="s">
        <v>15</v>
      </c>
      <c r="G773" s="2" t="s">
        <v>21</v>
      </c>
      <c r="H773" s="2" t="s">
        <v>94</v>
      </c>
      <c r="I773" s="3">
        <v>160</v>
      </c>
      <c r="J773" s="3">
        <v>220</v>
      </c>
      <c r="K773" s="4">
        <v>4</v>
      </c>
      <c r="O773" s="3"/>
    </row>
    <row r="774" spans="2:15">
      <c r="B774" s="2" t="s">
        <v>834</v>
      </c>
      <c r="C774" s="2" t="s">
        <v>835</v>
      </c>
      <c r="D774" s="2" t="s">
        <v>836</v>
      </c>
      <c r="E774" s="2" t="s">
        <v>837</v>
      </c>
      <c r="F774" s="2" t="s">
        <v>838</v>
      </c>
      <c r="G774" s="2">
        <v>44</v>
      </c>
      <c r="H774" s="2" t="s">
        <v>51</v>
      </c>
      <c r="I774" s="3">
        <v>750</v>
      </c>
      <c r="J774" s="3">
        <v>1050</v>
      </c>
      <c r="K774" s="4">
        <v>6</v>
      </c>
      <c r="O774" s="3"/>
    </row>
    <row r="775" spans="2:15">
      <c r="B775" s="2" t="s">
        <v>839</v>
      </c>
      <c r="C775" s="2" t="s">
        <v>835</v>
      </c>
      <c r="D775" s="2" t="s">
        <v>840</v>
      </c>
      <c r="E775" s="2" t="s">
        <v>837</v>
      </c>
      <c r="F775" s="2" t="s">
        <v>838</v>
      </c>
      <c r="G775" s="2">
        <v>42</v>
      </c>
      <c r="H775" s="2" t="s">
        <v>57</v>
      </c>
      <c r="I775" s="3">
        <v>780</v>
      </c>
      <c r="J775" s="3">
        <v>1090</v>
      </c>
      <c r="K775" s="4">
        <v>4</v>
      </c>
      <c r="O775" s="3"/>
    </row>
    <row r="776" spans="2:15">
      <c r="B776" s="2" t="s">
        <v>841</v>
      </c>
      <c r="C776" s="2" t="s">
        <v>835</v>
      </c>
      <c r="D776" s="2" t="s">
        <v>836</v>
      </c>
      <c r="E776" s="2" t="s">
        <v>837</v>
      </c>
      <c r="F776" s="2" t="s">
        <v>838</v>
      </c>
      <c r="G776" s="2">
        <v>30</v>
      </c>
      <c r="H776" s="2" t="s">
        <v>43</v>
      </c>
      <c r="I776" s="3">
        <v>710</v>
      </c>
      <c r="J776" s="3">
        <v>1000</v>
      </c>
      <c r="K776" s="4">
        <v>4</v>
      </c>
      <c r="O776" s="3"/>
    </row>
    <row r="777" spans="2:15">
      <c r="B777" s="2" t="s">
        <v>842</v>
      </c>
      <c r="C777" s="2" t="s">
        <v>835</v>
      </c>
      <c r="D777" s="2" t="s">
        <v>843</v>
      </c>
      <c r="E777" s="2" t="s">
        <v>837</v>
      </c>
      <c r="F777" s="2" t="s">
        <v>838</v>
      </c>
      <c r="G777" s="2">
        <v>36</v>
      </c>
      <c r="H777" s="2" t="s">
        <v>33</v>
      </c>
      <c r="I777" s="3">
        <v>640</v>
      </c>
      <c r="J777" s="3">
        <v>890</v>
      </c>
      <c r="K777" s="4">
        <v>6</v>
      </c>
      <c r="O777" s="3"/>
    </row>
    <row r="778" spans="2:15">
      <c r="B778" s="2" t="s">
        <v>844</v>
      </c>
      <c r="C778" s="2" t="s">
        <v>835</v>
      </c>
      <c r="D778" s="2" t="s">
        <v>845</v>
      </c>
      <c r="E778" s="2" t="s">
        <v>837</v>
      </c>
      <c r="F778" s="2" t="s">
        <v>838</v>
      </c>
      <c r="G778" s="2">
        <v>40</v>
      </c>
      <c r="H778" s="2" t="s">
        <v>64</v>
      </c>
      <c r="I778" s="3">
        <v>620</v>
      </c>
      <c r="J778" s="3">
        <v>870</v>
      </c>
      <c r="K778" s="4">
        <v>4</v>
      </c>
      <c r="O778" s="3"/>
    </row>
    <row r="779" spans="2:15">
      <c r="B779" s="2" t="s">
        <v>846</v>
      </c>
      <c r="C779" s="2" t="s">
        <v>835</v>
      </c>
      <c r="D779" s="2" t="s">
        <v>840</v>
      </c>
      <c r="E779" s="2" t="s">
        <v>847</v>
      </c>
      <c r="F779" s="2" t="s">
        <v>838</v>
      </c>
      <c r="G779" s="2">
        <v>36</v>
      </c>
      <c r="H779" s="2" t="s">
        <v>43</v>
      </c>
      <c r="I779" s="3">
        <v>770</v>
      </c>
      <c r="J779" s="3">
        <v>1080</v>
      </c>
      <c r="K779" s="4">
        <v>4</v>
      </c>
      <c r="O779" s="3"/>
    </row>
    <row r="780" spans="2:15">
      <c r="B780" s="2" t="s">
        <v>848</v>
      </c>
      <c r="C780" s="2" t="s">
        <v>835</v>
      </c>
      <c r="D780" s="2" t="s">
        <v>845</v>
      </c>
      <c r="E780" s="2" t="s">
        <v>847</v>
      </c>
      <c r="F780" s="2" t="s">
        <v>838</v>
      </c>
      <c r="G780" s="2">
        <v>30</v>
      </c>
      <c r="H780" s="2" t="s">
        <v>51</v>
      </c>
      <c r="I780" s="3">
        <v>590</v>
      </c>
      <c r="J780" s="3">
        <v>830</v>
      </c>
      <c r="K780" s="4">
        <v>3</v>
      </c>
      <c r="O780" s="3"/>
    </row>
    <row r="781" spans="2:15">
      <c r="B781" s="2" t="s">
        <v>849</v>
      </c>
      <c r="C781" s="2" t="s">
        <v>835</v>
      </c>
      <c r="D781" s="2" t="s">
        <v>845</v>
      </c>
      <c r="E781" s="2" t="s">
        <v>850</v>
      </c>
      <c r="F781" s="2" t="s">
        <v>838</v>
      </c>
      <c r="G781" s="2">
        <v>30</v>
      </c>
      <c r="H781" s="2" t="s">
        <v>33</v>
      </c>
      <c r="I781" s="3">
        <v>560</v>
      </c>
      <c r="J781" s="3">
        <v>780</v>
      </c>
      <c r="K781" s="4">
        <v>4</v>
      </c>
      <c r="O781" s="3"/>
    </row>
    <row r="782" spans="2:15">
      <c r="B782" s="2" t="s">
        <v>851</v>
      </c>
      <c r="C782" s="2" t="s">
        <v>835</v>
      </c>
      <c r="D782" s="2" t="s">
        <v>852</v>
      </c>
      <c r="E782" s="2" t="s">
        <v>837</v>
      </c>
      <c r="F782" s="2" t="s">
        <v>838</v>
      </c>
      <c r="G782" s="2">
        <v>34</v>
      </c>
      <c r="H782" s="2" t="s">
        <v>17</v>
      </c>
      <c r="I782" s="3">
        <v>570</v>
      </c>
      <c r="J782" s="3">
        <v>800</v>
      </c>
      <c r="K782" s="4">
        <v>5</v>
      </c>
      <c r="O782" s="3"/>
    </row>
    <row r="783" spans="2:15">
      <c r="B783" s="2" t="s">
        <v>853</v>
      </c>
      <c r="C783" s="2" t="s">
        <v>835</v>
      </c>
      <c r="D783" s="2" t="s">
        <v>852</v>
      </c>
      <c r="E783" s="2" t="s">
        <v>847</v>
      </c>
      <c r="F783" s="2" t="s">
        <v>838</v>
      </c>
      <c r="G783" s="2">
        <v>44</v>
      </c>
      <c r="H783" s="2" t="s">
        <v>64</v>
      </c>
      <c r="I783" s="3">
        <v>660</v>
      </c>
      <c r="J783" s="3">
        <v>930</v>
      </c>
      <c r="K783" s="4">
        <v>3</v>
      </c>
      <c r="O783" s="3"/>
    </row>
    <row r="784" spans="2:15">
      <c r="B784" s="2" t="s">
        <v>854</v>
      </c>
      <c r="C784" s="2" t="s">
        <v>835</v>
      </c>
      <c r="D784" s="2" t="s">
        <v>852</v>
      </c>
      <c r="E784" s="2" t="s">
        <v>837</v>
      </c>
      <c r="F784" s="2" t="s">
        <v>838</v>
      </c>
      <c r="G784" s="2">
        <v>42</v>
      </c>
      <c r="H784" s="2" t="s">
        <v>29</v>
      </c>
      <c r="I784" s="3">
        <v>560</v>
      </c>
      <c r="J784" s="3">
        <v>780</v>
      </c>
      <c r="K784" s="4">
        <v>5</v>
      </c>
      <c r="O784" s="3"/>
    </row>
    <row r="785" spans="2:15">
      <c r="B785" s="2" t="s">
        <v>855</v>
      </c>
      <c r="C785" s="2" t="s">
        <v>835</v>
      </c>
      <c r="D785" s="2" t="s">
        <v>845</v>
      </c>
      <c r="E785" s="2" t="s">
        <v>847</v>
      </c>
      <c r="F785" s="2" t="s">
        <v>838</v>
      </c>
      <c r="G785" s="2">
        <v>42</v>
      </c>
      <c r="H785" s="2" t="s">
        <v>71</v>
      </c>
      <c r="I785" s="3">
        <v>690</v>
      </c>
      <c r="J785" s="3">
        <v>960</v>
      </c>
      <c r="K785" s="4">
        <v>6</v>
      </c>
      <c r="O785" s="3"/>
    </row>
    <row r="786" spans="2:15">
      <c r="B786" s="2" t="s">
        <v>856</v>
      </c>
      <c r="C786" s="2" t="s">
        <v>835</v>
      </c>
      <c r="D786" s="2" t="s">
        <v>852</v>
      </c>
      <c r="E786" s="2" t="s">
        <v>850</v>
      </c>
      <c r="F786" s="2" t="s">
        <v>838</v>
      </c>
      <c r="G786" s="2">
        <v>38</v>
      </c>
      <c r="H786" s="2" t="s">
        <v>51</v>
      </c>
      <c r="I786" s="3">
        <v>680</v>
      </c>
      <c r="J786" s="3">
        <v>960</v>
      </c>
      <c r="K786" s="4">
        <v>4</v>
      </c>
      <c r="O786" s="3"/>
    </row>
    <row r="787" spans="2:15">
      <c r="B787" s="2" t="s">
        <v>857</v>
      </c>
      <c r="C787" s="2" t="s">
        <v>835</v>
      </c>
      <c r="D787" s="2" t="s">
        <v>840</v>
      </c>
      <c r="E787" s="2" t="s">
        <v>837</v>
      </c>
      <c r="F787" s="2" t="s">
        <v>838</v>
      </c>
      <c r="G787" s="2">
        <v>38</v>
      </c>
      <c r="H787" s="2" t="s">
        <v>22</v>
      </c>
      <c r="I787" s="3">
        <v>760</v>
      </c>
      <c r="J787" s="3">
        <v>1060</v>
      </c>
      <c r="K787" s="4">
        <v>5</v>
      </c>
      <c r="O787" s="3"/>
    </row>
    <row r="788" spans="2:15">
      <c r="B788" s="2" t="s">
        <v>858</v>
      </c>
      <c r="C788" s="2" t="s">
        <v>835</v>
      </c>
      <c r="D788" s="2" t="s">
        <v>836</v>
      </c>
      <c r="E788" s="2" t="s">
        <v>847</v>
      </c>
      <c r="F788" s="2" t="s">
        <v>838</v>
      </c>
      <c r="G788" s="2">
        <v>44</v>
      </c>
      <c r="H788" s="2" t="s">
        <v>57</v>
      </c>
      <c r="I788" s="3">
        <v>590</v>
      </c>
      <c r="J788" s="3">
        <v>820</v>
      </c>
      <c r="K788" s="4">
        <v>5</v>
      </c>
      <c r="O788" s="3"/>
    </row>
    <row r="789" spans="2:15">
      <c r="B789" s="2" t="s">
        <v>859</v>
      </c>
      <c r="C789" s="2" t="s">
        <v>835</v>
      </c>
      <c r="D789" s="2" t="s">
        <v>845</v>
      </c>
      <c r="E789" s="2" t="s">
        <v>850</v>
      </c>
      <c r="F789" s="2" t="s">
        <v>838</v>
      </c>
      <c r="G789" s="2">
        <v>42</v>
      </c>
      <c r="H789" s="2" t="s">
        <v>51</v>
      </c>
      <c r="I789" s="3">
        <v>620</v>
      </c>
      <c r="J789" s="3">
        <v>870</v>
      </c>
      <c r="K789" s="4">
        <v>5</v>
      </c>
      <c r="O789" s="3"/>
    </row>
    <row r="790" spans="2:15">
      <c r="B790" s="2" t="s">
        <v>860</v>
      </c>
      <c r="C790" s="2" t="s">
        <v>835</v>
      </c>
      <c r="D790" s="2" t="s">
        <v>845</v>
      </c>
      <c r="E790" s="2" t="s">
        <v>837</v>
      </c>
      <c r="F790" s="2" t="s">
        <v>838</v>
      </c>
      <c r="G790" s="2">
        <v>28</v>
      </c>
      <c r="H790" s="2" t="s">
        <v>62</v>
      </c>
      <c r="I790" s="3">
        <v>550</v>
      </c>
      <c r="J790" s="3">
        <v>770</v>
      </c>
      <c r="K790" s="4">
        <v>5</v>
      </c>
      <c r="O790" s="3"/>
    </row>
    <row r="791" spans="2:15">
      <c r="B791" s="2" t="s">
        <v>861</v>
      </c>
      <c r="C791" s="2" t="s">
        <v>835</v>
      </c>
      <c r="D791" s="2" t="s">
        <v>845</v>
      </c>
      <c r="E791" s="2" t="s">
        <v>850</v>
      </c>
      <c r="F791" s="2" t="s">
        <v>838</v>
      </c>
      <c r="G791" s="2">
        <v>40</v>
      </c>
      <c r="H791" s="2" t="s">
        <v>17</v>
      </c>
      <c r="I791" s="3">
        <v>600</v>
      </c>
      <c r="J791" s="3">
        <v>840</v>
      </c>
      <c r="K791" s="4">
        <v>4</v>
      </c>
      <c r="O791" s="3"/>
    </row>
    <row r="792" spans="2:15">
      <c r="B792" s="2" t="s">
        <v>862</v>
      </c>
      <c r="C792" s="2" t="s">
        <v>835</v>
      </c>
      <c r="D792" s="2" t="s">
        <v>852</v>
      </c>
      <c r="E792" s="2" t="s">
        <v>850</v>
      </c>
      <c r="F792" s="2" t="s">
        <v>838</v>
      </c>
      <c r="G792" s="2">
        <v>40</v>
      </c>
      <c r="H792" s="2" t="s">
        <v>17</v>
      </c>
      <c r="I792" s="3">
        <v>730</v>
      </c>
      <c r="J792" s="3">
        <v>1030</v>
      </c>
      <c r="K792" s="4">
        <v>5</v>
      </c>
      <c r="O792" s="3"/>
    </row>
    <row r="793" spans="2:15">
      <c r="B793" s="2" t="s">
        <v>863</v>
      </c>
      <c r="C793" s="2" t="s">
        <v>835</v>
      </c>
      <c r="D793" s="2" t="s">
        <v>845</v>
      </c>
      <c r="E793" s="2" t="s">
        <v>850</v>
      </c>
      <c r="F793" s="2" t="s">
        <v>838</v>
      </c>
      <c r="G793" s="2">
        <v>44</v>
      </c>
      <c r="H793" s="2" t="s">
        <v>25</v>
      </c>
      <c r="I793" s="3">
        <v>570</v>
      </c>
      <c r="J793" s="3">
        <v>800</v>
      </c>
      <c r="K793" s="4">
        <v>5</v>
      </c>
      <c r="O793" s="3"/>
    </row>
    <row r="794" spans="2:15">
      <c r="B794" s="2" t="s">
        <v>864</v>
      </c>
      <c r="C794" s="2" t="s">
        <v>835</v>
      </c>
      <c r="D794" s="2" t="s">
        <v>852</v>
      </c>
      <c r="E794" s="2" t="s">
        <v>850</v>
      </c>
      <c r="F794" s="2" t="s">
        <v>838</v>
      </c>
      <c r="G794" s="2">
        <v>40</v>
      </c>
      <c r="H794" s="2" t="s">
        <v>94</v>
      </c>
      <c r="I794" s="3">
        <v>620</v>
      </c>
      <c r="J794" s="3">
        <v>870</v>
      </c>
      <c r="K794" s="4">
        <v>3</v>
      </c>
      <c r="O794" s="3"/>
    </row>
    <row r="795" spans="2:15">
      <c r="B795" s="2" t="s">
        <v>865</v>
      </c>
      <c r="C795" s="2" t="s">
        <v>835</v>
      </c>
      <c r="D795" s="2" t="s">
        <v>843</v>
      </c>
      <c r="E795" s="2" t="s">
        <v>837</v>
      </c>
      <c r="F795" s="2" t="s">
        <v>838</v>
      </c>
      <c r="G795" s="2">
        <v>42</v>
      </c>
      <c r="H795" s="2" t="s">
        <v>25</v>
      </c>
      <c r="I795" s="3">
        <v>600</v>
      </c>
      <c r="J795" s="3">
        <v>830</v>
      </c>
      <c r="K795" s="4">
        <v>6</v>
      </c>
      <c r="O795" s="3"/>
    </row>
    <row r="796" spans="2:15">
      <c r="B796" s="2" t="s">
        <v>866</v>
      </c>
      <c r="C796" s="2" t="s">
        <v>835</v>
      </c>
      <c r="D796" s="2" t="s">
        <v>852</v>
      </c>
      <c r="E796" s="2" t="s">
        <v>850</v>
      </c>
      <c r="F796" s="2" t="s">
        <v>838</v>
      </c>
      <c r="G796" s="2">
        <v>34</v>
      </c>
      <c r="H796" s="2" t="s">
        <v>49</v>
      </c>
      <c r="I796" s="3">
        <v>620</v>
      </c>
      <c r="J796" s="3">
        <v>870</v>
      </c>
      <c r="K796" s="4">
        <v>3</v>
      </c>
      <c r="O796" s="3"/>
    </row>
    <row r="797" spans="2:15">
      <c r="B797" s="2" t="s">
        <v>867</v>
      </c>
      <c r="C797" s="2" t="s">
        <v>835</v>
      </c>
      <c r="D797" s="2" t="s">
        <v>840</v>
      </c>
      <c r="E797" s="2" t="s">
        <v>850</v>
      </c>
      <c r="F797" s="2" t="s">
        <v>838</v>
      </c>
      <c r="G797" s="2">
        <v>32</v>
      </c>
      <c r="H797" s="2" t="s">
        <v>37</v>
      </c>
      <c r="I797" s="3">
        <v>590</v>
      </c>
      <c r="J797" s="3">
        <v>820</v>
      </c>
      <c r="K797" s="4">
        <v>5</v>
      </c>
      <c r="O797" s="3"/>
    </row>
    <row r="798" spans="2:15">
      <c r="B798" s="2" t="s">
        <v>868</v>
      </c>
      <c r="C798" s="2" t="s">
        <v>835</v>
      </c>
      <c r="D798" s="2" t="s">
        <v>843</v>
      </c>
      <c r="E798" s="2" t="s">
        <v>850</v>
      </c>
      <c r="F798" s="2" t="s">
        <v>838</v>
      </c>
      <c r="G798" s="2">
        <v>28</v>
      </c>
      <c r="H798" s="2" t="s">
        <v>17</v>
      </c>
      <c r="I798" s="3">
        <v>620</v>
      </c>
      <c r="J798" s="3">
        <v>860</v>
      </c>
      <c r="K798" s="4">
        <v>3</v>
      </c>
      <c r="O798" s="3"/>
    </row>
    <row r="799" spans="2:15">
      <c r="B799" s="2" t="s">
        <v>869</v>
      </c>
      <c r="C799" s="2" t="s">
        <v>835</v>
      </c>
      <c r="D799" s="2" t="s">
        <v>840</v>
      </c>
      <c r="E799" s="2" t="s">
        <v>837</v>
      </c>
      <c r="F799" s="2" t="s">
        <v>838</v>
      </c>
      <c r="G799" s="2">
        <v>38</v>
      </c>
      <c r="H799" s="2" t="s">
        <v>22</v>
      </c>
      <c r="I799" s="3">
        <v>590</v>
      </c>
      <c r="J799" s="3">
        <v>820</v>
      </c>
      <c r="K799" s="4">
        <v>5</v>
      </c>
      <c r="O799" s="3"/>
    </row>
    <row r="800" spans="2:15">
      <c r="B800" s="2" t="s">
        <v>870</v>
      </c>
      <c r="C800" s="2" t="s">
        <v>835</v>
      </c>
      <c r="D800" s="2" t="s">
        <v>845</v>
      </c>
      <c r="E800" s="2" t="s">
        <v>837</v>
      </c>
      <c r="F800" s="2" t="s">
        <v>838</v>
      </c>
      <c r="G800" s="2">
        <v>28</v>
      </c>
      <c r="H800" s="2" t="s">
        <v>49</v>
      </c>
      <c r="I800" s="3">
        <v>750</v>
      </c>
      <c r="J800" s="3">
        <v>1050</v>
      </c>
      <c r="K800" s="4">
        <v>3</v>
      </c>
      <c r="O800" s="3"/>
    </row>
    <row r="801" spans="2:15">
      <c r="B801" s="2" t="s">
        <v>871</v>
      </c>
      <c r="C801" s="2" t="s">
        <v>835</v>
      </c>
      <c r="D801" s="2" t="s">
        <v>843</v>
      </c>
      <c r="E801" s="2" t="s">
        <v>847</v>
      </c>
      <c r="F801" s="2" t="s">
        <v>838</v>
      </c>
      <c r="G801" s="2">
        <v>40</v>
      </c>
      <c r="H801" s="2" t="s">
        <v>43</v>
      </c>
      <c r="I801" s="3">
        <v>760</v>
      </c>
      <c r="J801" s="3">
        <v>1070</v>
      </c>
      <c r="K801" s="4">
        <v>6</v>
      </c>
      <c r="O801" s="3"/>
    </row>
    <row r="802" spans="2:15">
      <c r="B802" s="2" t="s">
        <v>872</v>
      </c>
      <c r="C802" s="2" t="s">
        <v>835</v>
      </c>
      <c r="D802" s="2" t="s">
        <v>843</v>
      </c>
      <c r="E802" s="2" t="s">
        <v>837</v>
      </c>
      <c r="F802" s="2" t="s">
        <v>838</v>
      </c>
      <c r="G802" s="2">
        <v>28</v>
      </c>
      <c r="H802" s="2" t="s">
        <v>37</v>
      </c>
      <c r="I802" s="3">
        <v>600</v>
      </c>
      <c r="J802" s="3">
        <v>830</v>
      </c>
      <c r="K802" s="4">
        <v>4</v>
      </c>
      <c r="O802" s="3"/>
    </row>
    <row r="803" spans="2:15">
      <c r="B803" s="2" t="s">
        <v>873</v>
      </c>
      <c r="C803" s="2" t="s">
        <v>835</v>
      </c>
      <c r="D803" s="2" t="s">
        <v>845</v>
      </c>
      <c r="E803" s="2" t="s">
        <v>847</v>
      </c>
      <c r="F803" s="2" t="s">
        <v>838</v>
      </c>
      <c r="G803" s="2">
        <v>34</v>
      </c>
      <c r="H803" s="2" t="s">
        <v>29</v>
      </c>
      <c r="I803" s="3">
        <v>650</v>
      </c>
      <c r="J803" s="3">
        <v>910</v>
      </c>
      <c r="K803" s="4">
        <v>3</v>
      </c>
      <c r="O803" s="3"/>
    </row>
    <row r="804" spans="2:15">
      <c r="B804" s="2" t="s">
        <v>874</v>
      </c>
      <c r="C804" s="2" t="s">
        <v>835</v>
      </c>
      <c r="D804" s="2" t="s">
        <v>852</v>
      </c>
      <c r="E804" s="2" t="s">
        <v>847</v>
      </c>
      <c r="F804" s="2" t="s">
        <v>838</v>
      </c>
      <c r="G804" s="2">
        <v>40</v>
      </c>
      <c r="H804" s="2" t="s">
        <v>101</v>
      </c>
      <c r="I804" s="3">
        <v>680</v>
      </c>
      <c r="J804" s="3">
        <v>960</v>
      </c>
      <c r="K804" s="4">
        <v>5</v>
      </c>
      <c r="O804" s="3"/>
    </row>
    <row r="805" spans="2:15">
      <c r="B805" s="2" t="s">
        <v>875</v>
      </c>
      <c r="C805" s="2" t="s">
        <v>835</v>
      </c>
      <c r="D805" s="2" t="s">
        <v>852</v>
      </c>
      <c r="E805" s="2" t="s">
        <v>850</v>
      </c>
      <c r="F805" s="2" t="s">
        <v>838</v>
      </c>
      <c r="G805" s="2">
        <v>44</v>
      </c>
      <c r="H805" s="2" t="s">
        <v>75</v>
      </c>
      <c r="I805" s="3">
        <v>590</v>
      </c>
      <c r="J805" s="3">
        <v>830</v>
      </c>
      <c r="K805" s="4">
        <v>3</v>
      </c>
      <c r="O805" s="3"/>
    </row>
    <row r="806" spans="2:15">
      <c r="B806" s="2" t="s">
        <v>876</v>
      </c>
      <c r="C806" s="2" t="s">
        <v>835</v>
      </c>
      <c r="D806" s="2" t="s">
        <v>845</v>
      </c>
      <c r="E806" s="2" t="s">
        <v>850</v>
      </c>
      <c r="F806" s="2" t="s">
        <v>838</v>
      </c>
      <c r="G806" s="2">
        <v>34</v>
      </c>
      <c r="H806" s="2" t="s">
        <v>41</v>
      </c>
      <c r="I806" s="3">
        <v>610</v>
      </c>
      <c r="J806" s="3">
        <v>860</v>
      </c>
      <c r="K806" s="4">
        <v>3</v>
      </c>
      <c r="O806" s="3"/>
    </row>
    <row r="807" spans="2:15">
      <c r="B807" s="2" t="s">
        <v>877</v>
      </c>
      <c r="C807" s="2" t="s">
        <v>835</v>
      </c>
      <c r="D807" s="2" t="s">
        <v>852</v>
      </c>
      <c r="E807" s="2" t="s">
        <v>847</v>
      </c>
      <c r="F807" s="2" t="s">
        <v>838</v>
      </c>
      <c r="G807" s="2">
        <v>34</v>
      </c>
      <c r="H807" s="2" t="s">
        <v>22</v>
      </c>
      <c r="I807" s="3">
        <v>770</v>
      </c>
      <c r="J807" s="3">
        <v>1080</v>
      </c>
      <c r="K807" s="4">
        <v>5</v>
      </c>
      <c r="O807" s="3"/>
    </row>
    <row r="808" spans="2:15">
      <c r="B808" s="2" t="s">
        <v>878</v>
      </c>
      <c r="C808" s="2" t="s">
        <v>835</v>
      </c>
      <c r="D808" s="2" t="s">
        <v>843</v>
      </c>
      <c r="E808" s="2" t="s">
        <v>837</v>
      </c>
      <c r="F808" s="2" t="s">
        <v>838</v>
      </c>
      <c r="G808" s="2">
        <v>40</v>
      </c>
      <c r="H808" s="2" t="s">
        <v>17</v>
      </c>
      <c r="I808" s="3">
        <v>550</v>
      </c>
      <c r="J808" s="3">
        <v>770</v>
      </c>
      <c r="K808" s="4">
        <v>3</v>
      </c>
      <c r="O808" s="3"/>
    </row>
    <row r="809" spans="2:15">
      <c r="B809" s="2" t="s">
        <v>879</v>
      </c>
      <c r="C809" s="2" t="s">
        <v>835</v>
      </c>
      <c r="D809" s="2" t="s">
        <v>880</v>
      </c>
      <c r="E809" s="2" t="s">
        <v>850</v>
      </c>
      <c r="F809" s="2" t="s">
        <v>838</v>
      </c>
      <c r="G809" s="2">
        <v>32</v>
      </c>
      <c r="H809" s="2" t="s">
        <v>41</v>
      </c>
      <c r="I809" s="3">
        <v>560</v>
      </c>
      <c r="J809" s="3">
        <v>780</v>
      </c>
      <c r="K809" s="4">
        <v>3</v>
      </c>
      <c r="O809" s="3"/>
    </row>
    <row r="810" spans="2:15">
      <c r="B810" s="2" t="s">
        <v>881</v>
      </c>
      <c r="C810" s="2" t="s">
        <v>835</v>
      </c>
      <c r="D810" s="2" t="s">
        <v>843</v>
      </c>
      <c r="E810" s="2" t="s">
        <v>837</v>
      </c>
      <c r="F810" s="2" t="s">
        <v>838</v>
      </c>
      <c r="G810" s="2">
        <v>38</v>
      </c>
      <c r="H810" s="2" t="s">
        <v>104</v>
      </c>
      <c r="I810" s="3">
        <v>610</v>
      </c>
      <c r="J810" s="3">
        <v>860</v>
      </c>
      <c r="K810" s="4">
        <v>3</v>
      </c>
      <c r="O810" s="3"/>
    </row>
    <row r="811" spans="2:15">
      <c r="B811" s="2" t="s">
        <v>882</v>
      </c>
      <c r="C811" s="2" t="s">
        <v>835</v>
      </c>
      <c r="D811" s="2" t="s">
        <v>852</v>
      </c>
      <c r="E811" s="2" t="s">
        <v>847</v>
      </c>
      <c r="F811" s="2" t="s">
        <v>838</v>
      </c>
      <c r="G811" s="2">
        <v>32</v>
      </c>
      <c r="H811" s="2" t="s">
        <v>51</v>
      </c>
      <c r="I811" s="3">
        <v>640</v>
      </c>
      <c r="J811" s="3">
        <v>900</v>
      </c>
      <c r="K811" s="4">
        <v>4</v>
      </c>
      <c r="O811" s="3"/>
    </row>
    <row r="812" spans="2:15">
      <c r="B812" s="2" t="s">
        <v>883</v>
      </c>
      <c r="C812" s="2" t="s">
        <v>835</v>
      </c>
      <c r="D812" s="2" t="s">
        <v>880</v>
      </c>
      <c r="E812" s="2" t="s">
        <v>850</v>
      </c>
      <c r="F812" s="2" t="s">
        <v>838</v>
      </c>
      <c r="G812" s="2">
        <v>42</v>
      </c>
      <c r="H812" s="2" t="s">
        <v>94</v>
      </c>
      <c r="I812" s="3">
        <v>630</v>
      </c>
      <c r="J812" s="3">
        <v>880</v>
      </c>
      <c r="K812" s="4">
        <v>3</v>
      </c>
      <c r="O812" s="3"/>
    </row>
    <row r="813" spans="2:15">
      <c r="B813" s="2" t="s">
        <v>884</v>
      </c>
      <c r="C813" s="2" t="s">
        <v>835</v>
      </c>
      <c r="D813" s="2" t="s">
        <v>845</v>
      </c>
      <c r="E813" s="2" t="s">
        <v>837</v>
      </c>
      <c r="F813" s="2" t="s">
        <v>838</v>
      </c>
      <c r="G813" s="2">
        <v>36</v>
      </c>
      <c r="H813" s="2" t="s">
        <v>104</v>
      </c>
      <c r="I813" s="3">
        <v>730</v>
      </c>
      <c r="J813" s="3">
        <v>1020</v>
      </c>
      <c r="K813" s="4">
        <v>6</v>
      </c>
      <c r="O813" s="3"/>
    </row>
    <row r="814" spans="2:15">
      <c r="B814" s="2" t="s">
        <v>885</v>
      </c>
      <c r="C814" s="2" t="s">
        <v>835</v>
      </c>
      <c r="D814" s="2" t="s">
        <v>845</v>
      </c>
      <c r="E814" s="2" t="s">
        <v>850</v>
      </c>
      <c r="F814" s="2" t="s">
        <v>838</v>
      </c>
      <c r="G814" s="2">
        <v>44</v>
      </c>
      <c r="H814" s="2" t="s">
        <v>51</v>
      </c>
      <c r="I814" s="3">
        <v>730</v>
      </c>
      <c r="J814" s="3">
        <v>1020</v>
      </c>
      <c r="K814" s="4">
        <v>4</v>
      </c>
      <c r="O814" s="3"/>
    </row>
    <row r="815" spans="2:15">
      <c r="B815" s="2" t="s">
        <v>886</v>
      </c>
      <c r="C815" s="2" t="s">
        <v>835</v>
      </c>
      <c r="D815" s="2" t="s">
        <v>843</v>
      </c>
      <c r="E815" s="2" t="s">
        <v>850</v>
      </c>
      <c r="F815" s="2" t="s">
        <v>838</v>
      </c>
      <c r="G815" s="2">
        <v>38</v>
      </c>
      <c r="H815" s="2" t="s">
        <v>29</v>
      </c>
      <c r="I815" s="3">
        <v>700</v>
      </c>
      <c r="J815" s="3">
        <v>970</v>
      </c>
      <c r="K815" s="4">
        <v>5</v>
      </c>
      <c r="O815" s="3"/>
    </row>
    <row r="816" spans="2:15">
      <c r="B816" s="2" t="s">
        <v>887</v>
      </c>
      <c r="C816" s="2" t="s">
        <v>835</v>
      </c>
      <c r="D816" s="2" t="s">
        <v>880</v>
      </c>
      <c r="E816" s="2" t="s">
        <v>850</v>
      </c>
      <c r="F816" s="2" t="s">
        <v>838</v>
      </c>
      <c r="G816" s="2">
        <v>30</v>
      </c>
      <c r="H816" s="2" t="s">
        <v>75</v>
      </c>
      <c r="I816" s="3">
        <v>770</v>
      </c>
      <c r="J816" s="3">
        <v>1080</v>
      </c>
      <c r="K816" s="4">
        <v>4</v>
      </c>
      <c r="O816" s="3"/>
    </row>
    <row r="817" spans="2:15">
      <c r="B817" s="2" t="s">
        <v>888</v>
      </c>
      <c r="C817" s="2" t="s">
        <v>835</v>
      </c>
      <c r="D817" s="2" t="s">
        <v>836</v>
      </c>
      <c r="E817" s="2" t="s">
        <v>837</v>
      </c>
      <c r="F817" s="2" t="s">
        <v>838</v>
      </c>
      <c r="G817" s="2">
        <v>42</v>
      </c>
      <c r="H817" s="2" t="s">
        <v>69</v>
      </c>
      <c r="I817" s="3">
        <v>660</v>
      </c>
      <c r="J817" s="3">
        <v>930</v>
      </c>
      <c r="K817" s="4">
        <v>6</v>
      </c>
      <c r="O817" s="3"/>
    </row>
    <row r="818" spans="2:15">
      <c r="B818" s="2" t="s">
        <v>889</v>
      </c>
      <c r="C818" s="2" t="s">
        <v>835</v>
      </c>
      <c r="D818" s="2" t="s">
        <v>843</v>
      </c>
      <c r="E818" s="2" t="s">
        <v>847</v>
      </c>
      <c r="F818" s="2" t="s">
        <v>838</v>
      </c>
      <c r="G818" s="2">
        <v>34</v>
      </c>
      <c r="H818" s="2" t="s">
        <v>49</v>
      </c>
      <c r="I818" s="3">
        <v>740</v>
      </c>
      <c r="J818" s="3">
        <v>1030</v>
      </c>
      <c r="K818" s="4">
        <v>3</v>
      </c>
      <c r="O818" s="3"/>
    </row>
    <row r="819" spans="2:15">
      <c r="B819" s="2" t="s">
        <v>890</v>
      </c>
      <c r="C819" s="2" t="s">
        <v>835</v>
      </c>
      <c r="D819" s="2" t="s">
        <v>880</v>
      </c>
      <c r="E819" s="2" t="s">
        <v>837</v>
      </c>
      <c r="F819" s="2" t="s">
        <v>838</v>
      </c>
      <c r="G819" s="2">
        <v>44</v>
      </c>
      <c r="H819" s="2" t="s">
        <v>51</v>
      </c>
      <c r="I819" s="3">
        <v>720</v>
      </c>
      <c r="J819" s="3">
        <v>1000</v>
      </c>
      <c r="K819" s="4">
        <v>4</v>
      </c>
      <c r="O819" s="3"/>
    </row>
    <row r="820" spans="2:15">
      <c r="B820" s="2" t="s">
        <v>891</v>
      </c>
      <c r="C820" s="2" t="s">
        <v>835</v>
      </c>
      <c r="D820" s="2" t="s">
        <v>836</v>
      </c>
      <c r="E820" s="2" t="s">
        <v>837</v>
      </c>
      <c r="F820" s="2" t="s">
        <v>838</v>
      </c>
      <c r="G820" s="2">
        <v>38</v>
      </c>
      <c r="H820" s="2" t="s">
        <v>37</v>
      </c>
      <c r="I820" s="3">
        <v>710</v>
      </c>
      <c r="J820" s="3">
        <v>990</v>
      </c>
      <c r="K820" s="4">
        <v>3</v>
      </c>
      <c r="O820" s="3"/>
    </row>
    <row r="821" spans="2:15">
      <c r="B821" s="2" t="s">
        <v>892</v>
      </c>
      <c r="C821" s="2" t="s">
        <v>835</v>
      </c>
      <c r="D821" s="2" t="s">
        <v>852</v>
      </c>
      <c r="E821" s="2" t="s">
        <v>847</v>
      </c>
      <c r="F821" s="2" t="s">
        <v>838</v>
      </c>
      <c r="G821" s="2">
        <v>32</v>
      </c>
      <c r="H821" s="2" t="s">
        <v>64</v>
      </c>
      <c r="I821" s="3">
        <v>680</v>
      </c>
      <c r="J821" s="3">
        <v>960</v>
      </c>
      <c r="K821" s="4">
        <v>3</v>
      </c>
      <c r="O821" s="3"/>
    </row>
    <row r="822" spans="2:15">
      <c r="B822" s="2" t="s">
        <v>893</v>
      </c>
      <c r="C822" s="2" t="s">
        <v>835</v>
      </c>
      <c r="D822" s="2" t="s">
        <v>840</v>
      </c>
      <c r="E822" s="2" t="s">
        <v>837</v>
      </c>
      <c r="F822" s="2" t="s">
        <v>838</v>
      </c>
      <c r="G822" s="2">
        <v>30</v>
      </c>
      <c r="H822" s="2" t="s">
        <v>104</v>
      </c>
      <c r="I822" s="3">
        <v>600</v>
      </c>
      <c r="J822" s="3">
        <v>840</v>
      </c>
      <c r="K822" s="4">
        <v>6</v>
      </c>
      <c r="O822" s="3"/>
    </row>
    <row r="823" spans="2:15">
      <c r="B823" s="2" t="s">
        <v>894</v>
      </c>
      <c r="C823" s="2" t="s">
        <v>835</v>
      </c>
      <c r="D823" s="2" t="s">
        <v>845</v>
      </c>
      <c r="E823" s="2" t="s">
        <v>850</v>
      </c>
      <c r="F823" s="2" t="s">
        <v>838</v>
      </c>
      <c r="G823" s="2">
        <v>28</v>
      </c>
      <c r="H823" s="2" t="s">
        <v>41</v>
      </c>
      <c r="I823" s="3">
        <v>720</v>
      </c>
      <c r="J823" s="3">
        <v>1000</v>
      </c>
      <c r="K823" s="4">
        <v>4</v>
      </c>
      <c r="O823" s="3"/>
    </row>
    <row r="824" spans="2:15">
      <c r="B824" s="2" t="s">
        <v>895</v>
      </c>
      <c r="C824" s="2" t="s">
        <v>835</v>
      </c>
      <c r="D824" s="2" t="s">
        <v>852</v>
      </c>
      <c r="E824" s="2" t="s">
        <v>847</v>
      </c>
      <c r="F824" s="2" t="s">
        <v>838</v>
      </c>
      <c r="G824" s="2">
        <v>34</v>
      </c>
      <c r="H824" s="2" t="s">
        <v>51</v>
      </c>
      <c r="I824" s="3">
        <v>700</v>
      </c>
      <c r="J824" s="3">
        <v>990</v>
      </c>
      <c r="K824" s="4">
        <v>3</v>
      </c>
      <c r="O824" s="3"/>
    </row>
    <row r="825" spans="2:15">
      <c r="B825" s="2" t="s">
        <v>896</v>
      </c>
      <c r="C825" s="2" t="s">
        <v>835</v>
      </c>
      <c r="D825" s="2" t="s">
        <v>852</v>
      </c>
      <c r="E825" s="2" t="s">
        <v>847</v>
      </c>
      <c r="F825" s="2" t="s">
        <v>838</v>
      </c>
      <c r="G825" s="2">
        <v>44</v>
      </c>
      <c r="H825" s="2" t="s">
        <v>22</v>
      </c>
      <c r="I825" s="3">
        <v>670</v>
      </c>
      <c r="J825" s="3">
        <v>940</v>
      </c>
      <c r="K825" s="4">
        <v>5</v>
      </c>
      <c r="O825" s="3"/>
    </row>
    <row r="826" spans="2:15">
      <c r="B826" s="2" t="s">
        <v>897</v>
      </c>
      <c r="C826" s="2" t="s">
        <v>835</v>
      </c>
      <c r="D826" s="2" t="s">
        <v>852</v>
      </c>
      <c r="E826" s="2" t="s">
        <v>847</v>
      </c>
      <c r="F826" s="2" t="s">
        <v>838</v>
      </c>
      <c r="G826" s="2">
        <v>44</v>
      </c>
      <c r="H826" s="2" t="s">
        <v>104</v>
      </c>
      <c r="I826" s="3">
        <v>750</v>
      </c>
      <c r="J826" s="3">
        <v>1050</v>
      </c>
      <c r="K826" s="4">
        <v>3</v>
      </c>
      <c r="O826" s="3"/>
    </row>
    <row r="827" spans="2:15">
      <c r="B827" s="2" t="s">
        <v>898</v>
      </c>
      <c r="C827" s="2" t="s">
        <v>835</v>
      </c>
      <c r="D827" s="2" t="s">
        <v>836</v>
      </c>
      <c r="E827" s="2" t="s">
        <v>847</v>
      </c>
      <c r="F827" s="2" t="s">
        <v>838</v>
      </c>
      <c r="G827" s="2">
        <v>44</v>
      </c>
      <c r="H827" s="2" t="s">
        <v>37</v>
      </c>
      <c r="I827" s="3">
        <v>760</v>
      </c>
      <c r="J827" s="3">
        <v>1070</v>
      </c>
      <c r="K827" s="4">
        <v>3</v>
      </c>
      <c r="O827" s="3"/>
    </row>
    <row r="828" spans="2:15">
      <c r="B828" s="2" t="s">
        <v>899</v>
      </c>
      <c r="C828" s="2" t="s">
        <v>835</v>
      </c>
      <c r="D828" s="2" t="s">
        <v>843</v>
      </c>
      <c r="E828" s="2" t="s">
        <v>850</v>
      </c>
      <c r="F828" s="2" t="s">
        <v>838</v>
      </c>
      <c r="G828" s="2">
        <v>34</v>
      </c>
      <c r="H828" s="2" t="s">
        <v>94</v>
      </c>
      <c r="I828" s="3">
        <v>740</v>
      </c>
      <c r="J828" s="3">
        <v>1030</v>
      </c>
      <c r="K828" s="4">
        <v>4</v>
      </c>
      <c r="O828" s="3"/>
    </row>
    <row r="829" spans="2:15">
      <c r="B829" s="2" t="s">
        <v>900</v>
      </c>
      <c r="C829" s="2" t="s">
        <v>835</v>
      </c>
      <c r="D829" s="2" t="s">
        <v>852</v>
      </c>
      <c r="E829" s="2" t="s">
        <v>847</v>
      </c>
      <c r="F829" s="2" t="s">
        <v>838</v>
      </c>
      <c r="G829" s="2">
        <v>30</v>
      </c>
      <c r="H829" s="2" t="s">
        <v>71</v>
      </c>
      <c r="I829" s="3">
        <v>700</v>
      </c>
      <c r="J829" s="3">
        <v>970</v>
      </c>
      <c r="K829" s="4">
        <v>5</v>
      </c>
      <c r="O829" s="3"/>
    </row>
    <row r="830" spans="2:15">
      <c r="B830" s="2" t="s">
        <v>901</v>
      </c>
      <c r="C830" s="2" t="s">
        <v>835</v>
      </c>
      <c r="D830" s="2" t="s">
        <v>845</v>
      </c>
      <c r="E830" s="2" t="s">
        <v>850</v>
      </c>
      <c r="F830" s="2" t="s">
        <v>838</v>
      </c>
      <c r="G830" s="2">
        <v>30</v>
      </c>
      <c r="H830" s="2" t="s">
        <v>64</v>
      </c>
      <c r="I830" s="3">
        <v>720</v>
      </c>
      <c r="J830" s="3">
        <v>1010</v>
      </c>
      <c r="K830" s="4">
        <v>4</v>
      </c>
      <c r="O830" s="3"/>
    </row>
    <row r="831" spans="2:15">
      <c r="B831" s="2" t="s">
        <v>902</v>
      </c>
      <c r="C831" s="2" t="s">
        <v>835</v>
      </c>
      <c r="D831" s="2" t="s">
        <v>845</v>
      </c>
      <c r="E831" s="2" t="s">
        <v>850</v>
      </c>
      <c r="F831" s="2" t="s">
        <v>838</v>
      </c>
      <c r="G831" s="2">
        <v>32</v>
      </c>
      <c r="H831" s="2" t="s">
        <v>62</v>
      </c>
      <c r="I831" s="3">
        <v>690</v>
      </c>
      <c r="J831" s="3">
        <v>960</v>
      </c>
      <c r="K831" s="4">
        <v>6</v>
      </c>
      <c r="O831" s="3"/>
    </row>
    <row r="832" spans="2:15">
      <c r="B832" s="2" t="s">
        <v>903</v>
      </c>
      <c r="C832" s="2" t="s">
        <v>835</v>
      </c>
      <c r="D832" s="2" t="s">
        <v>836</v>
      </c>
      <c r="E832" s="2" t="s">
        <v>850</v>
      </c>
      <c r="F832" s="2" t="s">
        <v>838</v>
      </c>
      <c r="G832" s="2">
        <v>38</v>
      </c>
      <c r="H832" s="2" t="s">
        <v>22</v>
      </c>
      <c r="I832" s="3">
        <v>640</v>
      </c>
      <c r="J832" s="3">
        <v>900</v>
      </c>
      <c r="K832" s="4">
        <v>6</v>
      </c>
      <c r="O832" s="3"/>
    </row>
    <row r="833" spans="2:15">
      <c r="B833" s="2" t="s">
        <v>904</v>
      </c>
      <c r="C833" s="2" t="s">
        <v>835</v>
      </c>
      <c r="D833" s="2" t="s">
        <v>852</v>
      </c>
      <c r="E833" s="2" t="s">
        <v>837</v>
      </c>
      <c r="F833" s="2" t="s">
        <v>838</v>
      </c>
      <c r="G833" s="2">
        <v>44</v>
      </c>
      <c r="H833" s="2" t="s">
        <v>94</v>
      </c>
      <c r="I833" s="3">
        <v>760</v>
      </c>
      <c r="J833" s="3">
        <v>1060</v>
      </c>
      <c r="K833" s="4">
        <v>6</v>
      </c>
      <c r="O833" s="3"/>
    </row>
    <row r="834" spans="2:15">
      <c r="B834" s="2" t="s">
        <v>905</v>
      </c>
      <c r="C834" s="2" t="s">
        <v>835</v>
      </c>
      <c r="D834" s="2" t="s">
        <v>880</v>
      </c>
      <c r="E834" s="2" t="s">
        <v>850</v>
      </c>
      <c r="F834" s="2" t="s">
        <v>838</v>
      </c>
      <c r="G834" s="2">
        <v>38</v>
      </c>
      <c r="H834" s="2" t="s">
        <v>29</v>
      </c>
      <c r="I834" s="3">
        <v>750</v>
      </c>
      <c r="J834" s="3">
        <v>1040</v>
      </c>
      <c r="K834" s="4">
        <v>6</v>
      </c>
      <c r="O834" s="3"/>
    </row>
    <row r="835" spans="2:15">
      <c r="B835" s="2" t="s">
        <v>906</v>
      </c>
      <c r="C835" s="2" t="s">
        <v>835</v>
      </c>
      <c r="D835" s="2" t="s">
        <v>840</v>
      </c>
      <c r="E835" s="2" t="s">
        <v>850</v>
      </c>
      <c r="F835" s="2" t="s">
        <v>838</v>
      </c>
      <c r="G835" s="2">
        <v>36</v>
      </c>
      <c r="H835" s="2" t="s">
        <v>25</v>
      </c>
      <c r="I835" s="3">
        <v>650</v>
      </c>
      <c r="J835" s="3">
        <v>910</v>
      </c>
      <c r="K835" s="4">
        <v>3</v>
      </c>
      <c r="O835" s="3"/>
    </row>
    <row r="836" spans="2:15">
      <c r="B836" s="2" t="s">
        <v>907</v>
      </c>
      <c r="C836" s="2" t="s">
        <v>835</v>
      </c>
      <c r="D836" s="2" t="s">
        <v>843</v>
      </c>
      <c r="E836" s="2" t="s">
        <v>837</v>
      </c>
      <c r="F836" s="2" t="s">
        <v>838</v>
      </c>
      <c r="G836" s="2">
        <v>36</v>
      </c>
      <c r="H836" s="2" t="s">
        <v>17</v>
      </c>
      <c r="I836" s="3">
        <v>680</v>
      </c>
      <c r="J836" s="3">
        <v>950</v>
      </c>
      <c r="K836" s="4">
        <v>4</v>
      </c>
      <c r="O836" s="3"/>
    </row>
    <row r="837" spans="2:15">
      <c r="B837" s="2" t="s">
        <v>908</v>
      </c>
      <c r="C837" s="2" t="s">
        <v>835</v>
      </c>
      <c r="D837" s="2" t="s">
        <v>836</v>
      </c>
      <c r="E837" s="2" t="s">
        <v>847</v>
      </c>
      <c r="F837" s="2" t="s">
        <v>838</v>
      </c>
      <c r="G837" s="2">
        <v>44</v>
      </c>
      <c r="H837" s="2" t="s">
        <v>75</v>
      </c>
      <c r="I837" s="3">
        <v>770</v>
      </c>
      <c r="J837" s="3">
        <v>1080</v>
      </c>
      <c r="K837" s="4">
        <v>4</v>
      </c>
      <c r="O837" s="3"/>
    </row>
    <row r="838" spans="2:15">
      <c r="B838" s="2" t="s">
        <v>909</v>
      </c>
      <c r="C838" s="2" t="s">
        <v>835</v>
      </c>
      <c r="D838" s="2" t="s">
        <v>840</v>
      </c>
      <c r="E838" s="2" t="s">
        <v>837</v>
      </c>
      <c r="F838" s="2" t="s">
        <v>838</v>
      </c>
      <c r="G838" s="2">
        <v>32</v>
      </c>
      <c r="H838" s="2" t="s">
        <v>57</v>
      </c>
      <c r="I838" s="3">
        <v>570</v>
      </c>
      <c r="J838" s="3">
        <v>800</v>
      </c>
      <c r="K838" s="4">
        <v>5</v>
      </c>
      <c r="O838" s="3"/>
    </row>
    <row r="839" spans="2:15">
      <c r="B839" s="2" t="s">
        <v>910</v>
      </c>
      <c r="C839" s="2" t="s">
        <v>835</v>
      </c>
      <c r="D839" s="2" t="s">
        <v>880</v>
      </c>
      <c r="E839" s="2" t="s">
        <v>847</v>
      </c>
      <c r="F839" s="2" t="s">
        <v>838</v>
      </c>
      <c r="G839" s="2">
        <v>36</v>
      </c>
      <c r="H839" s="2" t="s">
        <v>101</v>
      </c>
      <c r="I839" s="3">
        <v>640</v>
      </c>
      <c r="J839" s="3">
        <v>900</v>
      </c>
      <c r="K839" s="4">
        <v>3</v>
      </c>
      <c r="O839" s="3"/>
    </row>
    <row r="840" spans="2:15">
      <c r="B840" s="2" t="s">
        <v>911</v>
      </c>
      <c r="C840" s="2" t="s">
        <v>835</v>
      </c>
      <c r="D840" s="2" t="s">
        <v>845</v>
      </c>
      <c r="E840" s="2" t="s">
        <v>850</v>
      </c>
      <c r="F840" s="2" t="s">
        <v>838</v>
      </c>
      <c r="G840" s="2">
        <v>30</v>
      </c>
      <c r="H840" s="2" t="s">
        <v>49</v>
      </c>
      <c r="I840" s="3">
        <v>700</v>
      </c>
      <c r="J840" s="3">
        <v>970</v>
      </c>
      <c r="K840" s="4">
        <v>6</v>
      </c>
      <c r="O840" s="3"/>
    </row>
    <row r="841" spans="2:15">
      <c r="B841" s="2" t="s">
        <v>912</v>
      </c>
      <c r="C841" s="2" t="s">
        <v>835</v>
      </c>
      <c r="D841" s="2" t="s">
        <v>845</v>
      </c>
      <c r="E841" s="2" t="s">
        <v>850</v>
      </c>
      <c r="F841" s="2" t="s">
        <v>838</v>
      </c>
      <c r="G841" s="2">
        <v>36</v>
      </c>
      <c r="H841" s="2" t="s">
        <v>104</v>
      </c>
      <c r="I841" s="3">
        <v>590</v>
      </c>
      <c r="J841" s="3">
        <v>830</v>
      </c>
      <c r="K841" s="4">
        <v>6</v>
      </c>
      <c r="O841" s="3"/>
    </row>
    <row r="842" spans="2:15">
      <c r="B842" s="2" t="s">
        <v>913</v>
      </c>
      <c r="C842" s="2" t="s">
        <v>835</v>
      </c>
      <c r="D842" s="2" t="s">
        <v>840</v>
      </c>
      <c r="E842" s="2" t="s">
        <v>837</v>
      </c>
      <c r="F842" s="2" t="s">
        <v>838</v>
      </c>
      <c r="G842" s="2">
        <v>40</v>
      </c>
      <c r="H842" s="2" t="s">
        <v>22</v>
      </c>
      <c r="I842" s="3">
        <v>570</v>
      </c>
      <c r="J842" s="3">
        <v>800</v>
      </c>
      <c r="K842" s="4">
        <v>3</v>
      </c>
      <c r="O842" s="3"/>
    </row>
    <row r="843" spans="2:15">
      <c r="B843" s="2" t="s">
        <v>914</v>
      </c>
      <c r="C843" s="2" t="s">
        <v>835</v>
      </c>
      <c r="D843" s="2" t="s">
        <v>843</v>
      </c>
      <c r="E843" s="2" t="s">
        <v>850</v>
      </c>
      <c r="F843" s="2" t="s">
        <v>838</v>
      </c>
      <c r="G843" s="2">
        <v>40</v>
      </c>
      <c r="H843" s="2" t="s">
        <v>104</v>
      </c>
      <c r="I843" s="3">
        <v>770</v>
      </c>
      <c r="J843" s="3">
        <v>1080</v>
      </c>
      <c r="K843" s="4">
        <v>5</v>
      </c>
      <c r="O843" s="3"/>
    </row>
    <row r="844" spans="2:15">
      <c r="B844" s="2" t="s">
        <v>915</v>
      </c>
      <c r="C844" s="2" t="s">
        <v>835</v>
      </c>
      <c r="D844" s="2" t="s">
        <v>840</v>
      </c>
      <c r="E844" s="2" t="s">
        <v>837</v>
      </c>
      <c r="F844" s="2" t="s">
        <v>838</v>
      </c>
      <c r="G844" s="2">
        <v>38</v>
      </c>
      <c r="H844" s="2" t="s">
        <v>75</v>
      </c>
      <c r="I844" s="3">
        <v>680</v>
      </c>
      <c r="J844" s="3">
        <v>960</v>
      </c>
      <c r="K844" s="4">
        <v>4</v>
      </c>
      <c r="O844" s="3"/>
    </row>
    <row r="845" spans="2:15">
      <c r="B845" s="2" t="s">
        <v>916</v>
      </c>
      <c r="C845" s="2" t="s">
        <v>835</v>
      </c>
      <c r="D845" s="2" t="s">
        <v>840</v>
      </c>
      <c r="E845" s="2" t="s">
        <v>850</v>
      </c>
      <c r="F845" s="2" t="s">
        <v>838</v>
      </c>
      <c r="G845" s="2">
        <v>42</v>
      </c>
      <c r="H845" s="2" t="s">
        <v>25</v>
      </c>
      <c r="I845" s="3">
        <v>590</v>
      </c>
      <c r="J845" s="3">
        <v>820</v>
      </c>
      <c r="K845" s="4">
        <v>3</v>
      </c>
      <c r="O845" s="3"/>
    </row>
    <row r="846" spans="2:15">
      <c r="B846" s="2" t="s">
        <v>917</v>
      </c>
      <c r="C846" s="2" t="s">
        <v>835</v>
      </c>
      <c r="D846" s="2" t="s">
        <v>845</v>
      </c>
      <c r="E846" s="2" t="s">
        <v>837</v>
      </c>
      <c r="F846" s="2" t="s">
        <v>838</v>
      </c>
      <c r="G846" s="2">
        <v>32</v>
      </c>
      <c r="H846" s="2" t="s">
        <v>57</v>
      </c>
      <c r="I846" s="3">
        <v>610</v>
      </c>
      <c r="J846" s="3">
        <v>850</v>
      </c>
      <c r="K846" s="4">
        <v>5</v>
      </c>
      <c r="O846" s="3"/>
    </row>
    <row r="847" spans="2:15">
      <c r="B847" s="2" t="s">
        <v>918</v>
      </c>
      <c r="C847" s="2" t="s">
        <v>835</v>
      </c>
      <c r="D847" s="2" t="s">
        <v>845</v>
      </c>
      <c r="E847" s="2" t="s">
        <v>850</v>
      </c>
      <c r="F847" s="2" t="s">
        <v>838</v>
      </c>
      <c r="G847" s="2">
        <v>44</v>
      </c>
      <c r="H847" s="2" t="s">
        <v>59</v>
      </c>
      <c r="I847" s="3">
        <v>570</v>
      </c>
      <c r="J847" s="3">
        <v>800</v>
      </c>
      <c r="K847" s="4">
        <v>5</v>
      </c>
      <c r="O847" s="3"/>
    </row>
    <row r="848" spans="2:15">
      <c r="B848" s="2" t="s">
        <v>919</v>
      </c>
      <c r="C848" s="2" t="s">
        <v>835</v>
      </c>
      <c r="D848" s="2" t="s">
        <v>845</v>
      </c>
      <c r="E848" s="2" t="s">
        <v>850</v>
      </c>
      <c r="F848" s="2" t="s">
        <v>838</v>
      </c>
      <c r="G848" s="2">
        <v>32</v>
      </c>
      <c r="H848" s="2" t="s">
        <v>57</v>
      </c>
      <c r="I848" s="3">
        <v>570</v>
      </c>
      <c r="J848" s="3">
        <v>800</v>
      </c>
      <c r="K848" s="4">
        <v>6</v>
      </c>
      <c r="O848" s="3"/>
    </row>
    <row r="849" spans="2:15">
      <c r="B849" s="2" t="s">
        <v>920</v>
      </c>
      <c r="C849" s="2" t="s">
        <v>835</v>
      </c>
      <c r="D849" s="2" t="s">
        <v>843</v>
      </c>
      <c r="E849" s="2" t="s">
        <v>837</v>
      </c>
      <c r="F849" s="2" t="s">
        <v>838</v>
      </c>
      <c r="G849" s="2">
        <v>34</v>
      </c>
      <c r="H849" s="2" t="s">
        <v>62</v>
      </c>
      <c r="I849" s="3">
        <v>690</v>
      </c>
      <c r="J849" s="3">
        <v>970</v>
      </c>
      <c r="K849" s="4">
        <v>4</v>
      </c>
      <c r="O849" s="3"/>
    </row>
    <row r="850" spans="2:15">
      <c r="B850" s="2" t="s">
        <v>921</v>
      </c>
      <c r="C850" s="2" t="s">
        <v>835</v>
      </c>
      <c r="D850" s="2" t="s">
        <v>840</v>
      </c>
      <c r="E850" s="2" t="s">
        <v>837</v>
      </c>
      <c r="F850" s="2" t="s">
        <v>838</v>
      </c>
      <c r="G850" s="2">
        <v>38</v>
      </c>
      <c r="H850" s="2" t="s">
        <v>71</v>
      </c>
      <c r="I850" s="3">
        <v>610</v>
      </c>
      <c r="J850" s="3">
        <v>860</v>
      </c>
      <c r="K850" s="4">
        <v>3</v>
      </c>
      <c r="O850" s="3"/>
    </row>
    <row r="851" spans="2:15">
      <c r="B851" s="2" t="s">
        <v>922</v>
      </c>
      <c r="C851" s="2" t="s">
        <v>835</v>
      </c>
      <c r="D851" s="2" t="s">
        <v>852</v>
      </c>
      <c r="E851" s="2" t="s">
        <v>837</v>
      </c>
      <c r="F851" s="2" t="s">
        <v>838</v>
      </c>
      <c r="G851" s="2">
        <v>38</v>
      </c>
      <c r="H851" s="2" t="s">
        <v>41</v>
      </c>
      <c r="I851" s="3">
        <v>580</v>
      </c>
      <c r="J851" s="3">
        <v>810</v>
      </c>
      <c r="K851" s="4">
        <v>4</v>
      </c>
      <c r="O851" s="3"/>
    </row>
    <row r="852" spans="2:15">
      <c r="B852" s="2" t="s">
        <v>923</v>
      </c>
      <c r="C852" s="2" t="s">
        <v>835</v>
      </c>
      <c r="D852" s="2" t="s">
        <v>836</v>
      </c>
      <c r="E852" s="2" t="s">
        <v>850</v>
      </c>
      <c r="F852" s="2" t="s">
        <v>838</v>
      </c>
      <c r="G852" s="2">
        <v>36</v>
      </c>
      <c r="H852" s="2" t="s">
        <v>64</v>
      </c>
      <c r="I852" s="3">
        <v>630</v>
      </c>
      <c r="J852" s="3">
        <v>880</v>
      </c>
      <c r="K852" s="4">
        <v>5</v>
      </c>
      <c r="O852" s="3"/>
    </row>
    <row r="853" spans="2:15">
      <c r="B853" s="2" t="s">
        <v>924</v>
      </c>
      <c r="C853" s="2" t="s">
        <v>835</v>
      </c>
      <c r="D853" s="2" t="s">
        <v>845</v>
      </c>
      <c r="E853" s="2" t="s">
        <v>850</v>
      </c>
      <c r="F853" s="2" t="s">
        <v>838</v>
      </c>
      <c r="G853" s="2">
        <v>42</v>
      </c>
      <c r="H853" s="2" t="s">
        <v>104</v>
      </c>
      <c r="I853" s="3">
        <v>710</v>
      </c>
      <c r="J853" s="3">
        <v>990</v>
      </c>
      <c r="K853" s="4">
        <v>4</v>
      </c>
      <c r="O853" s="3"/>
    </row>
    <row r="854" spans="2:15">
      <c r="B854" s="2" t="s">
        <v>925</v>
      </c>
      <c r="C854" s="2" t="s">
        <v>835</v>
      </c>
      <c r="D854" s="2" t="s">
        <v>852</v>
      </c>
      <c r="E854" s="2" t="s">
        <v>837</v>
      </c>
      <c r="F854" s="2" t="s">
        <v>838</v>
      </c>
      <c r="G854" s="2">
        <v>30</v>
      </c>
      <c r="H854" s="2" t="s">
        <v>37</v>
      </c>
      <c r="I854" s="3">
        <v>600</v>
      </c>
      <c r="J854" s="3">
        <v>840</v>
      </c>
      <c r="K854" s="4">
        <v>3</v>
      </c>
      <c r="O854" s="3"/>
    </row>
    <row r="855" spans="2:15">
      <c r="B855" s="2" t="s">
        <v>926</v>
      </c>
      <c r="C855" s="2" t="s">
        <v>835</v>
      </c>
      <c r="D855" s="2" t="s">
        <v>880</v>
      </c>
      <c r="E855" s="2" t="s">
        <v>847</v>
      </c>
      <c r="F855" s="2" t="s">
        <v>838</v>
      </c>
      <c r="G855" s="2">
        <v>28</v>
      </c>
      <c r="H855" s="2" t="s">
        <v>49</v>
      </c>
      <c r="I855" s="3">
        <v>610</v>
      </c>
      <c r="J855" s="3">
        <v>860</v>
      </c>
      <c r="K855" s="4">
        <v>3</v>
      </c>
      <c r="O855" s="3"/>
    </row>
    <row r="856" spans="2:15">
      <c r="B856" s="2" t="s">
        <v>927</v>
      </c>
      <c r="C856" s="2" t="s">
        <v>835</v>
      </c>
      <c r="D856" s="2" t="s">
        <v>845</v>
      </c>
      <c r="E856" s="2" t="s">
        <v>837</v>
      </c>
      <c r="F856" s="2" t="s">
        <v>838</v>
      </c>
      <c r="G856" s="2">
        <v>38</v>
      </c>
      <c r="H856" s="2" t="s">
        <v>94</v>
      </c>
      <c r="I856" s="3">
        <v>630</v>
      </c>
      <c r="J856" s="3">
        <v>880</v>
      </c>
      <c r="K856" s="4">
        <v>4</v>
      </c>
      <c r="O856" s="3"/>
    </row>
    <row r="857" spans="2:15">
      <c r="B857" s="2" t="s">
        <v>928</v>
      </c>
      <c r="C857" s="2" t="s">
        <v>835</v>
      </c>
      <c r="D857" s="2" t="s">
        <v>880</v>
      </c>
      <c r="E857" s="2" t="s">
        <v>850</v>
      </c>
      <c r="F857" s="2" t="s">
        <v>838</v>
      </c>
      <c r="G857" s="2">
        <v>44</v>
      </c>
      <c r="H857" s="2" t="s">
        <v>51</v>
      </c>
      <c r="I857" s="3">
        <v>600</v>
      </c>
      <c r="J857" s="3">
        <v>840</v>
      </c>
      <c r="K857" s="4">
        <v>4</v>
      </c>
      <c r="O857" s="3"/>
    </row>
    <row r="858" spans="2:15">
      <c r="B858" s="2" t="s">
        <v>929</v>
      </c>
      <c r="C858" s="2" t="s">
        <v>835</v>
      </c>
      <c r="D858" s="2" t="s">
        <v>852</v>
      </c>
      <c r="E858" s="2" t="s">
        <v>850</v>
      </c>
      <c r="F858" s="2" t="s">
        <v>838</v>
      </c>
      <c r="G858" s="2">
        <v>40</v>
      </c>
      <c r="H858" s="2" t="s">
        <v>71</v>
      </c>
      <c r="I858" s="3">
        <v>730</v>
      </c>
      <c r="J858" s="3">
        <v>1020</v>
      </c>
      <c r="K858" s="4">
        <v>3</v>
      </c>
      <c r="O858" s="3"/>
    </row>
    <row r="859" spans="2:15">
      <c r="B859" s="2" t="s">
        <v>930</v>
      </c>
      <c r="C859" s="2" t="s">
        <v>835</v>
      </c>
      <c r="D859" s="2" t="s">
        <v>843</v>
      </c>
      <c r="E859" s="2" t="s">
        <v>847</v>
      </c>
      <c r="F859" s="2" t="s">
        <v>838</v>
      </c>
      <c r="G859" s="2">
        <v>34</v>
      </c>
      <c r="H859" s="2" t="s">
        <v>25</v>
      </c>
      <c r="I859" s="3">
        <v>620</v>
      </c>
      <c r="J859" s="3">
        <v>860</v>
      </c>
      <c r="K859" s="4">
        <v>5</v>
      </c>
      <c r="O859" s="3"/>
    </row>
    <row r="860" spans="2:15">
      <c r="B860" s="2" t="s">
        <v>931</v>
      </c>
      <c r="C860" s="2" t="s">
        <v>835</v>
      </c>
      <c r="D860" s="2" t="s">
        <v>845</v>
      </c>
      <c r="E860" s="2" t="s">
        <v>850</v>
      </c>
      <c r="F860" s="2" t="s">
        <v>838</v>
      </c>
      <c r="G860" s="2">
        <v>30</v>
      </c>
      <c r="H860" s="2" t="s">
        <v>59</v>
      </c>
      <c r="I860" s="3">
        <v>560</v>
      </c>
      <c r="J860" s="3">
        <v>790</v>
      </c>
      <c r="K860" s="4">
        <v>5</v>
      </c>
      <c r="O860" s="3"/>
    </row>
    <row r="861" spans="2:15">
      <c r="B861" s="2" t="s">
        <v>932</v>
      </c>
      <c r="C861" s="2" t="s">
        <v>835</v>
      </c>
      <c r="D861" s="2" t="s">
        <v>852</v>
      </c>
      <c r="E861" s="2" t="s">
        <v>837</v>
      </c>
      <c r="F861" s="2" t="s">
        <v>838</v>
      </c>
      <c r="G861" s="2">
        <v>28</v>
      </c>
      <c r="H861" s="2" t="s">
        <v>101</v>
      </c>
      <c r="I861" s="3">
        <v>720</v>
      </c>
      <c r="J861" s="3">
        <v>1010</v>
      </c>
      <c r="K861" s="4">
        <v>6</v>
      </c>
      <c r="O861" s="3"/>
    </row>
    <row r="862" spans="2:15">
      <c r="B862" s="2" t="s">
        <v>933</v>
      </c>
      <c r="C862" s="2" t="s">
        <v>835</v>
      </c>
      <c r="D862" s="2" t="s">
        <v>845</v>
      </c>
      <c r="E862" s="2" t="s">
        <v>850</v>
      </c>
      <c r="F862" s="2" t="s">
        <v>838</v>
      </c>
      <c r="G862" s="2">
        <v>38</v>
      </c>
      <c r="H862" s="2" t="s">
        <v>51</v>
      </c>
      <c r="I862" s="3">
        <v>610</v>
      </c>
      <c r="J862" s="3">
        <v>850</v>
      </c>
      <c r="K862" s="4">
        <v>3</v>
      </c>
      <c r="O862" s="3"/>
    </row>
    <row r="863" spans="2:15">
      <c r="B863" s="2" t="s">
        <v>934</v>
      </c>
      <c r="C863" s="2" t="s">
        <v>835</v>
      </c>
      <c r="D863" s="2" t="s">
        <v>843</v>
      </c>
      <c r="E863" s="2" t="s">
        <v>850</v>
      </c>
      <c r="F863" s="2" t="s">
        <v>838</v>
      </c>
      <c r="G863" s="2">
        <v>44</v>
      </c>
      <c r="H863" s="2" t="s">
        <v>69</v>
      </c>
      <c r="I863" s="3">
        <v>600</v>
      </c>
      <c r="J863" s="3">
        <v>840</v>
      </c>
      <c r="K863" s="4">
        <v>3</v>
      </c>
      <c r="O863" s="3"/>
    </row>
    <row r="864" spans="2:15">
      <c r="B864" s="2" t="s">
        <v>935</v>
      </c>
      <c r="C864" s="2" t="s">
        <v>835</v>
      </c>
      <c r="D864" s="2" t="s">
        <v>880</v>
      </c>
      <c r="E864" s="2" t="s">
        <v>837</v>
      </c>
      <c r="F864" s="2" t="s">
        <v>838</v>
      </c>
      <c r="G864" s="2">
        <v>42</v>
      </c>
      <c r="H864" s="2" t="s">
        <v>59</v>
      </c>
      <c r="I864" s="3">
        <v>610</v>
      </c>
      <c r="J864" s="3">
        <v>860</v>
      </c>
      <c r="K864" s="4">
        <v>4</v>
      </c>
      <c r="O864" s="3"/>
    </row>
    <row r="865" spans="2:15">
      <c r="B865" s="2" t="s">
        <v>936</v>
      </c>
      <c r="C865" s="2" t="s">
        <v>835</v>
      </c>
      <c r="D865" s="2" t="s">
        <v>836</v>
      </c>
      <c r="E865" s="2" t="s">
        <v>850</v>
      </c>
      <c r="F865" s="2" t="s">
        <v>838</v>
      </c>
      <c r="G865" s="2">
        <v>38</v>
      </c>
      <c r="H865" s="2" t="s">
        <v>101</v>
      </c>
      <c r="I865" s="3">
        <v>550</v>
      </c>
      <c r="J865" s="3">
        <v>780</v>
      </c>
      <c r="K865" s="4">
        <v>4</v>
      </c>
      <c r="O865" s="3"/>
    </row>
    <row r="866" spans="2:15">
      <c r="B866" s="2" t="s">
        <v>937</v>
      </c>
      <c r="C866" s="2" t="s">
        <v>835</v>
      </c>
      <c r="D866" s="2" t="s">
        <v>836</v>
      </c>
      <c r="E866" s="2" t="s">
        <v>847</v>
      </c>
      <c r="F866" s="2" t="s">
        <v>838</v>
      </c>
      <c r="G866" s="2">
        <v>40</v>
      </c>
      <c r="H866" s="2" t="s">
        <v>69</v>
      </c>
      <c r="I866" s="3">
        <v>680</v>
      </c>
      <c r="J866" s="3">
        <v>950</v>
      </c>
      <c r="K866" s="4">
        <v>5</v>
      </c>
      <c r="O866" s="3"/>
    </row>
    <row r="867" spans="2:15">
      <c r="B867" s="2" t="s">
        <v>938</v>
      </c>
      <c r="C867" s="2" t="s">
        <v>835</v>
      </c>
      <c r="D867" s="2" t="s">
        <v>843</v>
      </c>
      <c r="E867" s="2" t="s">
        <v>837</v>
      </c>
      <c r="F867" s="2" t="s">
        <v>838</v>
      </c>
      <c r="G867" s="2">
        <v>32</v>
      </c>
      <c r="H867" s="2" t="s">
        <v>43</v>
      </c>
      <c r="I867" s="3">
        <v>610</v>
      </c>
      <c r="J867" s="3">
        <v>850</v>
      </c>
      <c r="K867" s="4">
        <v>6</v>
      </c>
      <c r="O867" s="3"/>
    </row>
    <row r="868" spans="2:15">
      <c r="B868" s="2" t="s">
        <v>939</v>
      </c>
      <c r="C868" s="2" t="s">
        <v>835</v>
      </c>
      <c r="D868" s="2" t="s">
        <v>852</v>
      </c>
      <c r="E868" s="2" t="s">
        <v>850</v>
      </c>
      <c r="F868" s="2" t="s">
        <v>838</v>
      </c>
      <c r="G868" s="2">
        <v>40</v>
      </c>
      <c r="H868" s="2" t="s">
        <v>17</v>
      </c>
      <c r="I868" s="3">
        <v>680</v>
      </c>
      <c r="J868" s="3">
        <v>960</v>
      </c>
      <c r="K868" s="4">
        <v>4</v>
      </c>
      <c r="O868" s="3"/>
    </row>
    <row r="869" spans="2:15">
      <c r="B869" s="2" t="s">
        <v>940</v>
      </c>
      <c r="C869" s="2" t="s">
        <v>835</v>
      </c>
      <c r="D869" s="2" t="s">
        <v>836</v>
      </c>
      <c r="E869" s="2" t="s">
        <v>850</v>
      </c>
      <c r="F869" s="2" t="s">
        <v>838</v>
      </c>
      <c r="G869" s="2">
        <v>42</v>
      </c>
      <c r="H869" s="2" t="s">
        <v>62</v>
      </c>
      <c r="I869" s="3">
        <v>660</v>
      </c>
      <c r="J869" s="3">
        <v>920</v>
      </c>
      <c r="K869" s="4">
        <v>4</v>
      </c>
      <c r="O869" s="3"/>
    </row>
    <row r="870" spans="2:15">
      <c r="B870" s="2" t="s">
        <v>941</v>
      </c>
      <c r="C870" s="2" t="s">
        <v>835</v>
      </c>
      <c r="D870" s="2" t="s">
        <v>852</v>
      </c>
      <c r="E870" s="2" t="s">
        <v>847</v>
      </c>
      <c r="F870" s="2" t="s">
        <v>838</v>
      </c>
      <c r="G870" s="2">
        <v>32</v>
      </c>
      <c r="H870" s="2" t="s">
        <v>101</v>
      </c>
      <c r="I870" s="3">
        <v>600</v>
      </c>
      <c r="J870" s="3">
        <v>840</v>
      </c>
      <c r="K870" s="4">
        <v>4</v>
      </c>
      <c r="O870" s="3"/>
    </row>
    <row r="871" spans="2:15">
      <c r="B871" s="2" t="s">
        <v>942</v>
      </c>
      <c r="C871" s="2" t="s">
        <v>835</v>
      </c>
      <c r="D871" s="2" t="s">
        <v>843</v>
      </c>
      <c r="E871" s="2" t="s">
        <v>850</v>
      </c>
      <c r="F871" s="2" t="s">
        <v>838</v>
      </c>
      <c r="G871" s="2">
        <v>38</v>
      </c>
      <c r="H871" s="2" t="s">
        <v>43</v>
      </c>
      <c r="I871" s="3">
        <v>660</v>
      </c>
      <c r="J871" s="3">
        <v>920</v>
      </c>
      <c r="K871" s="4">
        <v>3</v>
      </c>
      <c r="O871" s="3"/>
    </row>
    <row r="872" spans="2:15">
      <c r="B872" s="2" t="s">
        <v>943</v>
      </c>
      <c r="C872" s="2" t="s">
        <v>835</v>
      </c>
      <c r="D872" s="2" t="s">
        <v>836</v>
      </c>
      <c r="E872" s="2" t="s">
        <v>847</v>
      </c>
      <c r="F872" s="2" t="s">
        <v>838</v>
      </c>
      <c r="G872" s="2">
        <v>38</v>
      </c>
      <c r="H872" s="2" t="s">
        <v>22</v>
      </c>
      <c r="I872" s="3">
        <v>600</v>
      </c>
      <c r="J872" s="3">
        <v>840</v>
      </c>
      <c r="K872" s="4">
        <v>6</v>
      </c>
      <c r="O872" s="3"/>
    </row>
    <row r="873" spans="2:15">
      <c r="B873" s="2" t="s">
        <v>944</v>
      </c>
      <c r="C873" s="2" t="s">
        <v>835</v>
      </c>
      <c r="D873" s="2" t="s">
        <v>845</v>
      </c>
      <c r="E873" s="2" t="s">
        <v>850</v>
      </c>
      <c r="F873" s="2" t="s">
        <v>838</v>
      </c>
      <c r="G873" s="2">
        <v>32</v>
      </c>
      <c r="H873" s="2" t="s">
        <v>94</v>
      </c>
      <c r="I873" s="3">
        <v>630</v>
      </c>
      <c r="J873" s="3">
        <v>880</v>
      </c>
      <c r="K873" s="4">
        <v>3</v>
      </c>
      <c r="O873" s="3"/>
    </row>
    <row r="874" spans="2:15">
      <c r="B874" s="2" t="s">
        <v>945</v>
      </c>
      <c r="C874" s="2" t="s">
        <v>835</v>
      </c>
      <c r="D874" s="2" t="s">
        <v>843</v>
      </c>
      <c r="E874" s="2" t="s">
        <v>847</v>
      </c>
      <c r="F874" s="2" t="s">
        <v>838</v>
      </c>
      <c r="G874" s="2">
        <v>34</v>
      </c>
      <c r="H874" s="2" t="s">
        <v>25</v>
      </c>
      <c r="I874" s="3">
        <v>580</v>
      </c>
      <c r="J874" s="3">
        <v>820</v>
      </c>
      <c r="K874" s="4">
        <v>4</v>
      </c>
      <c r="O874" s="3"/>
    </row>
    <row r="875" spans="2:15">
      <c r="B875" s="2" t="s">
        <v>946</v>
      </c>
      <c r="C875" s="2" t="s">
        <v>835</v>
      </c>
      <c r="D875" s="2" t="s">
        <v>852</v>
      </c>
      <c r="E875" s="2" t="s">
        <v>847</v>
      </c>
      <c r="F875" s="2" t="s">
        <v>838</v>
      </c>
      <c r="G875" s="2">
        <v>30</v>
      </c>
      <c r="H875" s="2" t="s">
        <v>51</v>
      </c>
      <c r="I875" s="3">
        <v>610</v>
      </c>
      <c r="J875" s="3">
        <v>850</v>
      </c>
      <c r="K875" s="4">
        <v>4</v>
      </c>
      <c r="O875" s="3"/>
    </row>
    <row r="876" spans="2:15">
      <c r="B876" s="2" t="s">
        <v>947</v>
      </c>
      <c r="C876" s="2" t="s">
        <v>835</v>
      </c>
      <c r="D876" s="2" t="s">
        <v>880</v>
      </c>
      <c r="E876" s="2" t="s">
        <v>837</v>
      </c>
      <c r="F876" s="2" t="s">
        <v>838</v>
      </c>
      <c r="G876" s="2">
        <v>32</v>
      </c>
      <c r="H876" s="2" t="s">
        <v>59</v>
      </c>
      <c r="I876" s="3">
        <v>680</v>
      </c>
      <c r="J876" s="3">
        <v>950</v>
      </c>
      <c r="K876" s="4">
        <v>6</v>
      </c>
      <c r="O876" s="3"/>
    </row>
    <row r="877" spans="2:15">
      <c r="B877" s="2" t="s">
        <v>948</v>
      </c>
      <c r="C877" s="2" t="s">
        <v>835</v>
      </c>
      <c r="D877" s="2" t="s">
        <v>843</v>
      </c>
      <c r="E877" s="2" t="s">
        <v>847</v>
      </c>
      <c r="F877" s="2" t="s">
        <v>838</v>
      </c>
      <c r="G877" s="2">
        <v>34</v>
      </c>
      <c r="H877" s="2" t="s">
        <v>104</v>
      </c>
      <c r="I877" s="3">
        <v>670</v>
      </c>
      <c r="J877" s="3">
        <v>940</v>
      </c>
      <c r="K877" s="4">
        <v>6</v>
      </c>
      <c r="O877" s="3"/>
    </row>
    <row r="878" spans="2:15">
      <c r="B878" s="2" t="s">
        <v>949</v>
      </c>
      <c r="C878" s="2" t="s">
        <v>835</v>
      </c>
      <c r="D878" s="2" t="s">
        <v>840</v>
      </c>
      <c r="E878" s="2" t="s">
        <v>837</v>
      </c>
      <c r="F878" s="2" t="s">
        <v>838</v>
      </c>
      <c r="G878" s="2">
        <v>34</v>
      </c>
      <c r="H878" s="2" t="s">
        <v>94</v>
      </c>
      <c r="I878" s="3">
        <v>740</v>
      </c>
      <c r="J878" s="3">
        <v>1040</v>
      </c>
      <c r="K878" s="4">
        <v>4</v>
      </c>
      <c r="O878" s="3"/>
    </row>
    <row r="879" spans="2:15">
      <c r="B879" s="2" t="s">
        <v>950</v>
      </c>
      <c r="C879" s="2" t="s">
        <v>835</v>
      </c>
      <c r="D879" s="2" t="s">
        <v>843</v>
      </c>
      <c r="E879" s="2" t="s">
        <v>837</v>
      </c>
      <c r="F879" s="2" t="s">
        <v>838</v>
      </c>
      <c r="G879" s="2">
        <v>38</v>
      </c>
      <c r="H879" s="2" t="s">
        <v>29</v>
      </c>
      <c r="I879" s="3">
        <v>570</v>
      </c>
      <c r="J879" s="3">
        <v>790</v>
      </c>
      <c r="K879" s="4">
        <v>4</v>
      </c>
      <c r="O879" s="3"/>
    </row>
    <row r="880" spans="2:15">
      <c r="B880" s="2" t="s">
        <v>951</v>
      </c>
      <c r="C880" s="2" t="s">
        <v>835</v>
      </c>
      <c r="D880" s="2" t="s">
        <v>845</v>
      </c>
      <c r="E880" s="2" t="s">
        <v>847</v>
      </c>
      <c r="F880" s="2" t="s">
        <v>838</v>
      </c>
      <c r="G880" s="2">
        <v>38</v>
      </c>
      <c r="H880" s="2" t="s">
        <v>59</v>
      </c>
      <c r="I880" s="3">
        <v>660</v>
      </c>
      <c r="J880" s="3">
        <v>920</v>
      </c>
      <c r="K880" s="4">
        <v>3</v>
      </c>
      <c r="O880" s="3"/>
    </row>
    <row r="881" spans="2:15">
      <c r="B881" s="2" t="s">
        <v>952</v>
      </c>
      <c r="C881" s="2" t="s">
        <v>835</v>
      </c>
      <c r="D881" s="2" t="s">
        <v>840</v>
      </c>
      <c r="E881" s="2" t="s">
        <v>837</v>
      </c>
      <c r="F881" s="2" t="s">
        <v>838</v>
      </c>
      <c r="G881" s="2">
        <v>28</v>
      </c>
      <c r="H881" s="2" t="s">
        <v>17</v>
      </c>
      <c r="I881" s="3">
        <v>680</v>
      </c>
      <c r="J881" s="3">
        <v>960</v>
      </c>
      <c r="K881" s="4">
        <v>6</v>
      </c>
      <c r="O881" s="3"/>
    </row>
    <row r="882" spans="2:15">
      <c r="B882" s="2" t="s">
        <v>953</v>
      </c>
      <c r="C882" s="2" t="s">
        <v>835</v>
      </c>
      <c r="D882" s="2" t="s">
        <v>840</v>
      </c>
      <c r="E882" s="2" t="s">
        <v>850</v>
      </c>
      <c r="F882" s="2" t="s">
        <v>838</v>
      </c>
      <c r="G882" s="2">
        <v>44</v>
      </c>
      <c r="H882" s="2" t="s">
        <v>104</v>
      </c>
      <c r="I882" s="3">
        <v>740</v>
      </c>
      <c r="J882" s="3">
        <v>1030</v>
      </c>
      <c r="K882" s="4">
        <v>4</v>
      </c>
      <c r="O882" s="3"/>
    </row>
    <row r="883" spans="2:15">
      <c r="B883" s="2" t="s">
        <v>954</v>
      </c>
      <c r="C883" s="2" t="s">
        <v>835</v>
      </c>
      <c r="D883" s="2" t="s">
        <v>845</v>
      </c>
      <c r="E883" s="2" t="s">
        <v>837</v>
      </c>
      <c r="F883" s="2" t="s">
        <v>838</v>
      </c>
      <c r="G883" s="2">
        <v>36</v>
      </c>
      <c r="H883" s="2" t="s">
        <v>29</v>
      </c>
      <c r="I883" s="3">
        <v>620</v>
      </c>
      <c r="J883" s="3">
        <v>870</v>
      </c>
      <c r="K883" s="4">
        <v>4</v>
      </c>
      <c r="O883" s="3"/>
    </row>
    <row r="884" spans="2:15">
      <c r="B884" s="2" t="s">
        <v>955</v>
      </c>
      <c r="C884" s="2" t="s">
        <v>835</v>
      </c>
      <c r="D884" s="2" t="s">
        <v>836</v>
      </c>
      <c r="E884" s="2" t="s">
        <v>850</v>
      </c>
      <c r="F884" s="2" t="s">
        <v>838</v>
      </c>
      <c r="G884" s="2">
        <v>44</v>
      </c>
      <c r="H884" s="2" t="s">
        <v>57</v>
      </c>
      <c r="I884" s="3">
        <v>660</v>
      </c>
      <c r="J884" s="3">
        <v>920</v>
      </c>
      <c r="K884" s="4">
        <v>6</v>
      </c>
      <c r="O884" s="3"/>
    </row>
    <row r="885" spans="2:15">
      <c r="B885" s="2" t="s">
        <v>956</v>
      </c>
      <c r="C885" s="2" t="s">
        <v>835</v>
      </c>
      <c r="D885" s="2" t="s">
        <v>852</v>
      </c>
      <c r="E885" s="2" t="s">
        <v>837</v>
      </c>
      <c r="F885" s="2" t="s">
        <v>838</v>
      </c>
      <c r="G885" s="2">
        <v>44</v>
      </c>
      <c r="H885" s="2" t="s">
        <v>37</v>
      </c>
      <c r="I885" s="3">
        <v>760</v>
      </c>
      <c r="J885" s="3">
        <v>1070</v>
      </c>
      <c r="K885" s="4">
        <v>4</v>
      </c>
      <c r="O885" s="3"/>
    </row>
    <row r="886" spans="2:15">
      <c r="B886" s="2" t="s">
        <v>957</v>
      </c>
      <c r="C886" s="2" t="s">
        <v>835</v>
      </c>
      <c r="D886" s="2" t="s">
        <v>880</v>
      </c>
      <c r="E886" s="2" t="s">
        <v>850</v>
      </c>
      <c r="F886" s="2" t="s">
        <v>838</v>
      </c>
      <c r="G886" s="2">
        <v>40</v>
      </c>
      <c r="H886" s="2" t="s">
        <v>22</v>
      </c>
      <c r="I886" s="3">
        <v>750</v>
      </c>
      <c r="J886" s="3">
        <v>1050</v>
      </c>
      <c r="K886" s="4">
        <v>5</v>
      </c>
      <c r="O886" s="3"/>
    </row>
    <row r="887" spans="2:15">
      <c r="B887" s="2" t="s">
        <v>958</v>
      </c>
      <c r="C887" s="2" t="s">
        <v>835</v>
      </c>
      <c r="D887" s="2" t="s">
        <v>840</v>
      </c>
      <c r="E887" s="2" t="s">
        <v>847</v>
      </c>
      <c r="F887" s="2" t="s">
        <v>838</v>
      </c>
      <c r="G887" s="2">
        <v>34</v>
      </c>
      <c r="H887" s="2" t="s">
        <v>29</v>
      </c>
      <c r="I887" s="3">
        <v>660</v>
      </c>
      <c r="J887" s="3">
        <v>930</v>
      </c>
      <c r="K887" s="4">
        <v>3</v>
      </c>
      <c r="O887" s="3"/>
    </row>
    <row r="888" spans="2:15">
      <c r="B888" s="2" t="s">
        <v>959</v>
      </c>
      <c r="C888" s="2" t="s">
        <v>835</v>
      </c>
      <c r="D888" s="2" t="s">
        <v>836</v>
      </c>
      <c r="E888" s="2" t="s">
        <v>850</v>
      </c>
      <c r="F888" s="2" t="s">
        <v>838</v>
      </c>
      <c r="G888" s="2">
        <v>30</v>
      </c>
      <c r="H888" s="2" t="s">
        <v>43</v>
      </c>
      <c r="I888" s="3">
        <v>610</v>
      </c>
      <c r="J888" s="3">
        <v>860</v>
      </c>
      <c r="K888" s="4">
        <v>3</v>
      </c>
      <c r="O888" s="3"/>
    </row>
    <row r="889" spans="2:15">
      <c r="B889" s="2" t="s">
        <v>960</v>
      </c>
      <c r="C889" s="2" t="s">
        <v>835</v>
      </c>
      <c r="D889" s="2" t="s">
        <v>845</v>
      </c>
      <c r="E889" s="2" t="s">
        <v>850</v>
      </c>
      <c r="F889" s="2" t="s">
        <v>838</v>
      </c>
      <c r="G889" s="2">
        <v>30</v>
      </c>
      <c r="H889" s="2" t="s">
        <v>75</v>
      </c>
      <c r="I889" s="3">
        <v>730</v>
      </c>
      <c r="J889" s="3">
        <v>1020</v>
      </c>
      <c r="K889" s="4">
        <v>6</v>
      </c>
      <c r="O889" s="3"/>
    </row>
    <row r="890" spans="2:15">
      <c r="B890" s="2" t="s">
        <v>961</v>
      </c>
      <c r="C890" s="2" t="s">
        <v>835</v>
      </c>
      <c r="D890" s="2" t="s">
        <v>880</v>
      </c>
      <c r="E890" s="2" t="s">
        <v>850</v>
      </c>
      <c r="F890" s="2" t="s">
        <v>838</v>
      </c>
      <c r="G890" s="2">
        <v>40</v>
      </c>
      <c r="H890" s="2" t="s">
        <v>62</v>
      </c>
      <c r="I890" s="3">
        <v>740</v>
      </c>
      <c r="J890" s="3">
        <v>1030</v>
      </c>
      <c r="K890" s="4">
        <v>6</v>
      </c>
      <c r="O890" s="3"/>
    </row>
    <row r="891" spans="2:15">
      <c r="B891" s="2" t="s">
        <v>962</v>
      </c>
      <c r="C891" s="2" t="s">
        <v>835</v>
      </c>
      <c r="D891" s="2" t="s">
        <v>843</v>
      </c>
      <c r="E891" s="2" t="s">
        <v>837</v>
      </c>
      <c r="F891" s="2" t="s">
        <v>838</v>
      </c>
      <c r="G891" s="2">
        <v>32</v>
      </c>
      <c r="H891" s="2" t="s">
        <v>57</v>
      </c>
      <c r="I891" s="3">
        <v>560</v>
      </c>
      <c r="J891" s="3">
        <v>780</v>
      </c>
      <c r="K891" s="4">
        <v>4</v>
      </c>
      <c r="O891" s="3"/>
    </row>
    <row r="892" spans="2:15">
      <c r="B892" s="2" t="s">
        <v>963</v>
      </c>
      <c r="C892" s="2" t="s">
        <v>835</v>
      </c>
      <c r="D892" s="2" t="s">
        <v>852</v>
      </c>
      <c r="E892" s="2" t="s">
        <v>847</v>
      </c>
      <c r="F892" s="2" t="s">
        <v>838</v>
      </c>
      <c r="G892" s="2">
        <v>36</v>
      </c>
      <c r="H892" s="2" t="s">
        <v>101</v>
      </c>
      <c r="I892" s="3">
        <v>750</v>
      </c>
      <c r="J892" s="3">
        <v>1040</v>
      </c>
      <c r="K892" s="4">
        <v>6</v>
      </c>
      <c r="O892" s="3"/>
    </row>
    <row r="893" spans="2:15">
      <c r="B893" s="2" t="s">
        <v>964</v>
      </c>
      <c r="C893" s="2" t="s">
        <v>835</v>
      </c>
      <c r="D893" s="2" t="s">
        <v>852</v>
      </c>
      <c r="E893" s="2" t="s">
        <v>847</v>
      </c>
      <c r="F893" s="2" t="s">
        <v>838</v>
      </c>
      <c r="G893" s="2">
        <v>32</v>
      </c>
      <c r="H893" s="2" t="s">
        <v>94</v>
      </c>
      <c r="I893" s="3">
        <v>620</v>
      </c>
      <c r="J893" s="3">
        <v>870</v>
      </c>
      <c r="K893" s="4">
        <v>3</v>
      </c>
      <c r="O893" s="3"/>
    </row>
    <row r="894" spans="2:15">
      <c r="B894" s="2" t="s">
        <v>965</v>
      </c>
      <c r="C894" s="2" t="s">
        <v>835</v>
      </c>
      <c r="D894" s="2" t="s">
        <v>836</v>
      </c>
      <c r="E894" s="2" t="s">
        <v>847</v>
      </c>
      <c r="F894" s="2" t="s">
        <v>838</v>
      </c>
      <c r="G894" s="2">
        <v>42</v>
      </c>
      <c r="H894" s="2" t="s">
        <v>51</v>
      </c>
      <c r="I894" s="3">
        <v>710</v>
      </c>
      <c r="J894" s="3">
        <v>990</v>
      </c>
      <c r="K894" s="4">
        <v>3</v>
      </c>
      <c r="O894" s="3"/>
    </row>
    <row r="895" spans="2:15">
      <c r="B895" s="2" t="s">
        <v>966</v>
      </c>
      <c r="C895" s="2" t="s">
        <v>835</v>
      </c>
      <c r="D895" s="2" t="s">
        <v>845</v>
      </c>
      <c r="E895" s="2" t="s">
        <v>847</v>
      </c>
      <c r="F895" s="2" t="s">
        <v>838</v>
      </c>
      <c r="G895" s="2">
        <v>42</v>
      </c>
      <c r="H895" s="2" t="s">
        <v>29</v>
      </c>
      <c r="I895" s="3">
        <v>700</v>
      </c>
      <c r="J895" s="3">
        <v>990</v>
      </c>
      <c r="K895" s="4">
        <v>6</v>
      </c>
      <c r="O895" s="3"/>
    </row>
    <row r="896" spans="2:15">
      <c r="B896" s="2" t="s">
        <v>967</v>
      </c>
      <c r="C896" s="2" t="s">
        <v>835</v>
      </c>
      <c r="D896" s="2" t="s">
        <v>840</v>
      </c>
      <c r="E896" s="2" t="s">
        <v>850</v>
      </c>
      <c r="F896" s="2" t="s">
        <v>838</v>
      </c>
      <c r="G896" s="2">
        <v>34</v>
      </c>
      <c r="H896" s="2" t="s">
        <v>62</v>
      </c>
      <c r="I896" s="3">
        <v>660</v>
      </c>
      <c r="J896" s="3">
        <v>930</v>
      </c>
      <c r="K896" s="4">
        <v>5</v>
      </c>
      <c r="O896" s="3"/>
    </row>
    <row r="897" spans="2:15">
      <c r="B897" s="2" t="s">
        <v>968</v>
      </c>
      <c r="C897" s="2" t="s">
        <v>835</v>
      </c>
      <c r="D897" s="2" t="s">
        <v>852</v>
      </c>
      <c r="E897" s="2" t="s">
        <v>850</v>
      </c>
      <c r="F897" s="2" t="s">
        <v>838</v>
      </c>
      <c r="G897" s="2">
        <v>28</v>
      </c>
      <c r="H897" s="2" t="s">
        <v>64</v>
      </c>
      <c r="I897" s="3">
        <v>710</v>
      </c>
      <c r="J897" s="3">
        <v>990</v>
      </c>
      <c r="K897" s="4">
        <v>4</v>
      </c>
      <c r="O897" s="3"/>
    </row>
    <row r="898" spans="2:15">
      <c r="B898" s="2" t="s">
        <v>969</v>
      </c>
      <c r="C898" s="2" t="s">
        <v>835</v>
      </c>
      <c r="D898" s="2" t="s">
        <v>852</v>
      </c>
      <c r="E898" s="2" t="s">
        <v>837</v>
      </c>
      <c r="F898" s="2" t="s">
        <v>838</v>
      </c>
      <c r="G898" s="2">
        <v>32</v>
      </c>
      <c r="H898" s="2" t="s">
        <v>104</v>
      </c>
      <c r="I898" s="3">
        <v>560</v>
      </c>
      <c r="J898" s="3">
        <v>790</v>
      </c>
      <c r="K898" s="4">
        <v>5</v>
      </c>
      <c r="O898" s="3"/>
    </row>
    <row r="899" spans="2:15">
      <c r="B899" s="2" t="s">
        <v>970</v>
      </c>
      <c r="C899" s="2" t="s">
        <v>835</v>
      </c>
      <c r="D899" s="2" t="s">
        <v>840</v>
      </c>
      <c r="E899" s="2" t="s">
        <v>847</v>
      </c>
      <c r="F899" s="2" t="s">
        <v>838</v>
      </c>
      <c r="G899" s="2">
        <v>40</v>
      </c>
      <c r="H899" s="2" t="s">
        <v>64</v>
      </c>
      <c r="I899" s="3">
        <v>630</v>
      </c>
      <c r="J899" s="3">
        <v>890</v>
      </c>
      <c r="K899" s="4">
        <v>4</v>
      </c>
      <c r="O899" s="3"/>
    </row>
    <row r="900" spans="2:15">
      <c r="B900" s="2" t="s">
        <v>971</v>
      </c>
      <c r="C900" s="2" t="s">
        <v>835</v>
      </c>
      <c r="D900" s="2" t="s">
        <v>836</v>
      </c>
      <c r="E900" s="2" t="s">
        <v>850</v>
      </c>
      <c r="F900" s="2" t="s">
        <v>838</v>
      </c>
      <c r="G900" s="2">
        <v>42</v>
      </c>
      <c r="H900" s="2" t="s">
        <v>71</v>
      </c>
      <c r="I900" s="3">
        <v>720</v>
      </c>
      <c r="J900" s="3">
        <v>1010</v>
      </c>
      <c r="K900" s="4">
        <v>5</v>
      </c>
      <c r="O900" s="3"/>
    </row>
    <row r="901" spans="2:15">
      <c r="B901" s="2" t="s">
        <v>972</v>
      </c>
      <c r="C901" s="2" t="s">
        <v>835</v>
      </c>
      <c r="D901" s="2" t="s">
        <v>840</v>
      </c>
      <c r="E901" s="2" t="s">
        <v>837</v>
      </c>
      <c r="F901" s="2" t="s">
        <v>838</v>
      </c>
      <c r="G901" s="2">
        <v>38</v>
      </c>
      <c r="H901" s="2" t="s">
        <v>59</v>
      </c>
      <c r="I901" s="3">
        <v>560</v>
      </c>
      <c r="J901" s="3">
        <v>780</v>
      </c>
      <c r="K901" s="4">
        <v>3</v>
      </c>
      <c r="O901" s="3"/>
    </row>
    <row r="902" spans="2:15">
      <c r="B902" s="2" t="s">
        <v>973</v>
      </c>
      <c r="C902" s="2" t="s">
        <v>835</v>
      </c>
      <c r="D902" s="2" t="s">
        <v>845</v>
      </c>
      <c r="E902" s="2" t="s">
        <v>850</v>
      </c>
      <c r="F902" s="2" t="s">
        <v>838</v>
      </c>
      <c r="G902" s="2">
        <v>36</v>
      </c>
      <c r="H902" s="2" t="s">
        <v>51</v>
      </c>
      <c r="I902" s="3">
        <v>740</v>
      </c>
      <c r="J902" s="3">
        <v>1040</v>
      </c>
      <c r="K902" s="4">
        <v>4</v>
      </c>
      <c r="O902" s="3"/>
    </row>
    <row r="903" spans="2:15">
      <c r="B903" s="2" t="s">
        <v>974</v>
      </c>
      <c r="C903" s="2" t="s">
        <v>835</v>
      </c>
      <c r="D903" s="2" t="s">
        <v>852</v>
      </c>
      <c r="E903" s="2" t="s">
        <v>837</v>
      </c>
      <c r="F903" s="2" t="s">
        <v>838</v>
      </c>
      <c r="G903" s="2">
        <v>44</v>
      </c>
      <c r="H903" s="2" t="s">
        <v>22</v>
      </c>
      <c r="I903" s="3">
        <v>580</v>
      </c>
      <c r="J903" s="3">
        <v>810</v>
      </c>
      <c r="K903" s="4">
        <v>4</v>
      </c>
      <c r="O903" s="3"/>
    </row>
    <row r="904" spans="2:15">
      <c r="B904" s="2" t="s">
        <v>975</v>
      </c>
      <c r="C904" s="2" t="s">
        <v>835</v>
      </c>
      <c r="D904" s="2" t="s">
        <v>843</v>
      </c>
      <c r="E904" s="2" t="s">
        <v>850</v>
      </c>
      <c r="F904" s="2" t="s">
        <v>838</v>
      </c>
      <c r="G904" s="2">
        <v>30</v>
      </c>
      <c r="H904" s="2" t="s">
        <v>71</v>
      </c>
      <c r="I904" s="3">
        <v>730</v>
      </c>
      <c r="J904" s="3">
        <v>1020</v>
      </c>
      <c r="K904" s="4">
        <v>3</v>
      </c>
      <c r="O904" s="3"/>
    </row>
    <row r="905" spans="2:15">
      <c r="B905" s="2" t="s">
        <v>976</v>
      </c>
      <c r="C905" s="2" t="s">
        <v>835</v>
      </c>
      <c r="D905" s="2" t="s">
        <v>852</v>
      </c>
      <c r="E905" s="2" t="s">
        <v>850</v>
      </c>
      <c r="F905" s="2" t="s">
        <v>838</v>
      </c>
      <c r="G905" s="2">
        <v>40</v>
      </c>
      <c r="H905" s="2" t="s">
        <v>25</v>
      </c>
      <c r="I905" s="3">
        <v>670</v>
      </c>
      <c r="J905" s="3">
        <v>940</v>
      </c>
      <c r="K905" s="4">
        <v>5</v>
      </c>
      <c r="O905" s="3"/>
    </row>
    <row r="906" spans="2:15">
      <c r="B906" s="2" t="s">
        <v>977</v>
      </c>
      <c r="C906" s="2" t="s">
        <v>835</v>
      </c>
      <c r="D906" s="2" t="s">
        <v>880</v>
      </c>
      <c r="E906" s="2" t="s">
        <v>850</v>
      </c>
      <c r="F906" s="2" t="s">
        <v>838</v>
      </c>
      <c r="G906" s="2">
        <v>32</v>
      </c>
      <c r="H906" s="2" t="s">
        <v>25</v>
      </c>
      <c r="I906" s="3">
        <v>620</v>
      </c>
      <c r="J906" s="3">
        <v>860</v>
      </c>
      <c r="K906" s="4">
        <v>6</v>
      </c>
      <c r="O906" s="3"/>
    </row>
    <row r="907" spans="2:15">
      <c r="B907" s="2" t="s">
        <v>978</v>
      </c>
      <c r="C907" s="2" t="s">
        <v>835</v>
      </c>
      <c r="D907" s="2" t="s">
        <v>852</v>
      </c>
      <c r="E907" s="2" t="s">
        <v>850</v>
      </c>
      <c r="F907" s="2" t="s">
        <v>838</v>
      </c>
      <c r="G907" s="2">
        <v>42</v>
      </c>
      <c r="H907" s="2" t="s">
        <v>64</v>
      </c>
      <c r="I907" s="3">
        <v>680</v>
      </c>
      <c r="J907" s="3">
        <v>960</v>
      </c>
      <c r="K907" s="4">
        <v>4</v>
      </c>
      <c r="O907" s="3"/>
    </row>
    <row r="908" spans="2:15">
      <c r="B908" s="2" t="s">
        <v>979</v>
      </c>
      <c r="C908" s="2" t="s">
        <v>835</v>
      </c>
      <c r="D908" s="2" t="s">
        <v>836</v>
      </c>
      <c r="E908" s="2" t="s">
        <v>847</v>
      </c>
      <c r="F908" s="2" t="s">
        <v>838</v>
      </c>
      <c r="G908" s="2">
        <v>30</v>
      </c>
      <c r="H908" s="2" t="s">
        <v>69</v>
      </c>
      <c r="I908" s="3">
        <v>730</v>
      </c>
      <c r="J908" s="3">
        <v>1020</v>
      </c>
      <c r="K908" s="4">
        <v>6</v>
      </c>
      <c r="O908" s="3"/>
    </row>
    <row r="909" spans="2:15">
      <c r="B909" s="2" t="s">
        <v>980</v>
      </c>
      <c r="C909" s="2" t="s">
        <v>835</v>
      </c>
      <c r="D909" s="2" t="s">
        <v>840</v>
      </c>
      <c r="E909" s="2" t="s">
        <v>850</v>
      </c>
      <c r="F909" s="2" t="s">
        <v>838</v>
      </c>
      <c r="G909" s="2">
        <v>40</v>
      </c>
      <c r="H909" s="2" t="s">
        <v>22</v>
      </c>
      <c r="I909" s="3">
        <v>710</v>
      </c>
      <c r="J909" s="3">
        <v>990</v>
      </c>
      <c r="K909" s="4">
        <v>3</v>
      </c>
      <c r="O909" s="3"/>
    </row>
    <row r="910" spans="2:15">
      <c r="B910" s="2" t="s">
        <v>981</v>
      </c>
      <c r="C910" s="2" t="s">
        <v>835</v>
      </c>
      <c r="D910" s="2" t="s">
        <v>836</v>
      </c>
      <c r="E910" s="2" t="s">
        <v>850</v>
      </c>
      <c r="F910" s="2" t="s">
        <v>838</v>
      </c>
      <c r="G910" s="2">
        <v>28</v>
      </c>
      <c r="H910" s="2" t="s">
        <v>94</v>
      </c>
      <c r="I910" s="3">
        <v>640</v>
      </c>
      <c r="J910" s="3">
        <v>890</v>
      </c>
      <c r="K910" s="4">
        <v>5</v>
      </c>
      <c r="O910" s="3"/>
    </row>
    <row r="911" spans="2:15">
      <c r="B911" s="2" t="s">
        <v>982</v>
      </c>
      <c r="C911" s="2" t="s">
        <v>835</v>
      </c>
      <c r="D911" s="2" t="s">
        <v>840</v>
      </c>
      <c r="E911" s="2" t="s">
        <v>837</v>
      </c>
      <c r="F911" s="2" t="s">
        <v>838</v>
      </c>
      <c r="G911" s="2">
        <v>44</v>
      </c>
      <c r="H911" s="2" t="s">
        <v>62</v>
      </c>
      <c r="I911" s="3">
        <v>620</v>
      </c>
      <c r="J911" s="3">
        <v>860</v>
      </c>
      <c r="K911" s="4">
        <v>5</v>
      </c>
      <c r="O911" s="3"/>
    </row>
    <row r="912" spans="2:15">
      <c r="B912" s="2" t="s">
        <v>983</v>
      </c>
      <c r="C912" s="2" t="s">
        <v>835</v>
      </c>
      <c r="D912" s="2" t="s">
        <v>840</v>
      </c>
      <c r="E912" s="2" t="s">
        <v>847</v>
      </c>
      <c r="F912" s="2" t="s">
        <v>838</v>
      </c>
      <c r="G912" s="2">
        <v>38</v>
      </c>
      <c r="H912" s="2" t="s">
        <v>59</v>
      </c>
      <c r="I912" s="3">
        <v>750</v>
      </c>
      <c r="J912" s="3">
        <v>1040</v>
      </c>
      <c r="K912" s="4">
        <v>3</v>
      </c>
      <c r="O912" s="3"/>
    </row>
    <row r="913" spans="2:15">
      <c r="B913" s="2" t="s">
        <v>984</v>
      </c>
      <c r="C913" s="2" t="s">
        <v>835</v>
      </c>
      <c r="D913" s="2" t="s">
        <v>843</v>
      </c>
      <c r="E913" s="2" t="s">
        <v>847</v>
      </c>
      <c r="F913" s="2" t="s">
        <v>838</v>
      </c>
      <c r="G913" s="2">
        <v>38</v>
      </c>
      <c r="H913" s="2" t="s">
        <v>51</v>
      </c>
      <c r="I913" s="3">
        <v>760</v>
      </c>
      <c r="J913" s="3">
        <v>1070</v>
      </c>
      <c r="K913" s="4">
        <v>6</v>
      </c>
      <c r="O913" s="3"/>
    </row>
    <row r="914" spans="2:15">
      <c r="B914" s="2" t="s">
        <v>985</v>
      </c>
      <c r="C914" s="2" t="s">
        <v>835</v>
      </c>
      <c r="D914" s="2" t="s">
        <v>840</v>
      </c>
      <c r="E914" s="2" t="s">
        <v>850</v>
      </c>
      <c r="F914" s="2" t="s">
        <v>838</v>
      </c>
      <c r="G914" s="2">
        <v>42</v>
      </c>
      <c r="H914" s="2" t="s">
        <v>57</v>
      </c>
      <c r="I914" s="3">
        <v>750</v>
      </c>
      <c r="J914" s="3">
        <v>1060</v>
      </c>
      <c r="K914" s="4">
        <v>6</v>
      </c>
      <c r="O914" s="3"/>
    </row>
    <row r="915" spans="2:15">
      <c r="B915" s="2" t="s">
        <v>986</v>
      </c>
      <c r="C915" s="2" t="s">
        <v>835</v>
      </c>
      <c r="D915" s="2" t="s">
        <v>880</v>
      </c>
      <c r="E915" s="2" t="s">
        <v>837</v>
      </c>
      <c r="F915" s="2" t="s">
        <v>838</v>
      </c>
      <c r="G915" s="2">
        <v>40</v>
      </c>
      <c r="H915" s="2" t="s">
        <v>104</v>
      </c>
      <c r="I915" s="3">
        <v>780</v>
      </c>
      <c r="J915" s="3">
        <v>1090</v>
      </c>
      <c r="K915" s="4">
        <v>5</v>
      </c>
      <c r="O915" s="3"/>
    </row>
    <row r="916" spans="2:15">
      <c r="B916" s="2" t="s">
        <v>987</v>
      </c>
      <c r="C916" s="2" t="s">
        <v>835</v>
      </c>
      <c r="D916" s="2" t="s">
        <v>852</v>
      </c>
      <c r="E916" s="2" t="s">
        <v>850</v>
      </c>
      <c r="F916" s="2" t="s">
        <v>838</v>
      </c>
      <c r="G916" s="2">
        <v>44</v>
      </c>
      <c r="H916" s="2" t="s">
        <v>62</v>
      </c>
      <c r="I916" s="3">
        <v>690</v>
      </c>
      <c r="J916" s="3">
        <v>970</v>
      </c>
      <c r="K916" s="4">
        <v>3</v>
      </c>
      <c r="O916" s="3"/>
    </row>
    <row r="917" spans="2:15">
      <c r="B917" s="2" t="s">
        <v>988</v>
      </c>
      <c r="C917" s="2" t="s">
        <v>835</v>
      </c>
      <c r="D917" s="2" t="s">
        <v>880</v>
      </c>
      <c r="E917" s="2" t="s">
        <v>850</v>
      </c>
      <c r="F917" s="2" t="s">
        <v>838</v>
      </c>
      <c r="G917" s="2">
        <v>38</v>
      </c>
      <c r="H917" s="2" t="s">
        <v>43</v>
      </c>
      <c r="I917" s="3">
        <v>600</v>
      </c>
      <c r="J917" s="3">
        <v>840</v>
      </c>
      <c r="K917" s="4">
        <v>4</v>
      </c>
      <c r="O917" s="3"/>
    </row>
    <row r="918" spans="2:15">
      <c r="B918" s="2" t="s">
        <v>989</v>
      </c>
      <c r="C918" s="2" t="s">
        <v>835</v>
      </c>
      <c r="D918" s="2" t="s">
        <v>840</v>
      </c>
      <c r="E918" s="2" t="s">
        <v>837</v>
      </c>
      <c r="F918" s="2" t="s">
        <v>838</v>
      </c>
      <c r="G918" s="2">
        <v>44</v>
      </c>
      <c r="H918" s="2" t="s">
        <v>64</v>
      </c>
      <c r="I918" s="3">
        <v>620</v>
      </c>
      <c r="J918" s="3">
        <v>870</v>
      </c>
      <c r="K918" s="4">
        <v>6</v>
      </c>
      <c r="O918" s="3"/>
    </row>
    <row r="919" spans="2:15">
      <c r="B919" s="2" t="s">
        <v>990</v>
      </c>
      <c r="C919" s="2" t="s">
        <v>835</v>
      </c>
      <c r="D919" s="2" t="s">
        <v>880</v>
      </c>
      <c r="E919" s="2" t="s">
        <v>847</v>
      </c>
      <c r="F919" s="2" t="s">
        <v>838</v>
      </c>
      <c r="G919" s="2">
        <v>38</v>
      </c>
      <c r="H919" s="2" t="s">
        <v>104</v>
      </c>
      <c r="I919" s="3">
        <v>600</v>
      </c>
      <c r="J919" s="3">
        <v>840</v>
      </c>
      <c r="K919" s="4">
        <v>5</v>
      </c>
      <c r="O919" s="3"/>
    </row>
    <row r="920" spans="2:15">
      <c r="B920" s="2" t="s">
        <v>991</v>
      </c>
      <c r="C920" s="2" t="s">
        <v>835</v>
      </c>
      <c r="D920" s="2" t="s">
        <v>840</v>
      </c>
      <c r="E920" s="2" t="s">
        <v>837</v>
      </c>
      <c r="F920" s="2" t="s">
        <v>838</v>
      </c>
      <c r="G920" s="2">
        <v>38</v>
      </c>
      <c r="H920" s="2" t="s">
        <v>29</v>
      </c>
      <c r="I920" s="3">
        <v>660</v>
      </c>
      <c r="J920" s="3">
        <v>920</v>
      </c>
      <c r="K920" s="4">
        <v>5</v>
      </c>
      <c r="O920" s="3"/>
    </row>
    <row r="921" spans="2:15">
      <c r="B921" s="2" t="s">
        <v>992</v>
      </c>
      <c r="C921" s="2" t="s">
        <v>835</v>
      </c>
      <c r="D921" s="2" t="s">
        <v>880</v>
      </c>
      <c r="E921" s="2" t="s">
        <v>837</v>
      </c>
      <c r="F921" s="2" t="s">
        <v>838</v>
      </c>
      <c r="G921" s="2">
        <v>30</v>
      </c>
      <c r="H921" s="2" t="s">
        <v>41</v>
      </c>
      <c r="I921" s="3">
        <v>600</v>
      </c>
      <c r="J921" s="3">
        <v>850</v>
      </c>
      <c r="K921" s="4">
        <v>3</v>
      </c>
      <c r="O921" s="3"/>
    </row>
    <row r="922" spans="2:15">
      <c r="B922" s="2" t="s">
        <v>993</v>
      </c>
      <c r="C922" s="2" t="s">
        <v>835</v>
      </c>
      <c r="D922" s="2" t="s">
        <v>843</v>
      </c>
      <c r="E922" s="2" t="s">
        <v>847</v>
      </c>
      <c r="F922" s="2" t="s">
        <v>838</v>
      </c>
      <c r="G922" s="2">
        <v>44</v>
      </c>
      <c r="H922" s="2" t="s">
        <v>69</v>
      </c>
      <c r="I922" s="3">
        <v>750</v>
      </c>
      <c r="J922" s="3">
        <v>1050</v>
      </c>
      <c r="K922" s="4">
        <v>6</v>
      </c>
      <c r="O922" s="3"/>
    </row>
    <row r="923" spans="2:15">
      <c r="B923" s="2" t="s">
        <v>994</v>
      </c>
      <c r="C923" s="2" t="s">
        <v>835</v>
      </c>
      <c r="D923" s="2" t="s">
        <v>880</v>
      </c>
      <c r="E923" s="2" t="s">
        <v>847</v>
      </c>
      <c r="F923" s="2" t="s">
        <v>838</v>
      </c>
      <c r="G923" s="2">
        <v>38</v>
      </c>
      <c r="H923" s="2" t="s">
        <v>51</v>
      </c>
      <c r="I923" s="3">
        <v>780</v>
      </c>
      <c r="J923" s="3">
        <v>1090</v>
      </c>
      <c r="K923" s="4">
        <v>5</v>
      </c>
      <c r="O923" s="3"/>
    </row>
    <row r="924" spans="2:15">
      <c r="B924" s="2" t="s">
        <v>995</v>
      </c>
      <c r="C924" s="2" t="s">
        <v>835</v>
      </c>
      <c r="D924" s="2" t="s">
        <v>836</v>
      </c>
      <c r="E924" s="2" t="s">
        <v>847</v>
      </c>
      <c r="F924" s="2" t="s">
        <v>838</v>
      </c>
      <c r="G924" s="2">
        <v>44</v>
      </c>
      <c r="H924" s="2" t="s">
        <v>57</v>
      </c>
      <c r="I924" s="3">
        <v>750</v>
      </c>
      <c r="J924" s="3">
        <v>1050</v>
      </c>
      <c r="K924" s="4">
        <v>4</v>
      </c>
      <c r="O924" s="3"/>
    </row>
    <row r="925" spans="2:15">
      <c r="B925" s="2" t="s">
        <v>996</v>
      </c>
      <c r="C925" s="2" t="s">
        <v>835</v>
      </c>
      <c r="D925" s="2" t="s">
        <v>840</v>
      </c>
      <c r="E925" s="2" t="s">
        <v>837</v>
      </c>
      <c r="F925" s="2" t="s">
        <v>838</v>
      </c>
      <c r="G925" s="2">
        <v>44</v>
      </c>
      <c r="H925" s="2" t="s">
        <v>37</v>
      </c>
      <c r="I925" s="3">
        <v>740</v>
      </c>
      <c r="J925" s="3">
        <v>1030</v>
      </c>
      <c r="K925" s="4">
        <v>3</v>
      </c>
      <c r="O925" s="3"/>
    </row>
    <row r="926" spans="2:15">
      <c r="B926" s="2" t="s">
        <v>997</v>
      </c>
      <c r="C926" s="2" t="s">
        <v>835</v>
      </c>
      <c r="D926" s="2" t="s">
        <v>840</v>
      </c>
      <c r="E926" s="2" t="s">
        <v>850</v>
      </c>
      <c r="F926" s="2" t="s">
        <v>838</v>
      </c>
      <c r="G926" s="2">
        <v>38</v>
      </c>
      <c r="H926" s="2" t="s">
        <v>29</v>
      </c>
      <c r="I926" s="3">
        <v>630</v>
      </c>
      <c r="J926" s="3">
        <v>880</v>
      </c>
      <c r="K926" s="4">
        <v>3</v>
      </c>
      <c r="O926" s="3"/>
    </row>
    <row r="927" spans="2:15">
      <c r="B927" s="2" t="s">
        <v>998</v>
      </c>
      <c r="C927" s="2" t="s">
        <v>835</v>
      </c>
      <c r="D927" s="2" t="s">
        <v>880</v>
      </c>
      <c r="E927" s="2" t="s">
        <v>850</v>
      </c>
      <c r="F927" s="2" t="s">
        <v>838</v>
      </c>
      <c r="G927" s="2">
        <v>28</v>
      </c>
      <c r="H927" s="2" t="s">
        <v>71</v>
      </c>
      <c r="I927" s="3">
        <v>580</v>
      </c>
      <c r="J927" s="3">
        <v>810</v>
      </c>
      <c r="K927" s="4">
        <v>5</v>
      </c>
      <c r="O927" s="3"/>
    </row>
    <row r="928" spans="2:15">
      <c r="B928" s="2" t="s">
        <v>999</v>
      </c>
      <c r="C928" s="2" t="s">
        <v>835</v>
      </c>
      <c r="D928" s="2" t="s">
        <v>843</v>
      </c>
      <c r="E928" s="2" t="s">
        <v>837</v>
      </c>
      <c r="F928" s="2" t="s">
        <v>838</v>
      </c>
      <c r="G928" s="2">
        <v>34</v>
      </c>
      <c r="H928" s="2" t="s">
        <v>101</v>
      </c>
      <c r="I928" s="3">
        <v>710</v>
      </c>
      <c r="J928" s="3">
        <v>1000</v>
      </c>
      <c r="K928" s="4">
        <v>5</v>
      </c>
      <c r="O928" s="3"/>
    </row>
    <row r="929" spans="2:15">
      <c r="B929" s="2" t="s">
        <v>1000</v>
      </c>
      <c r="C929" s="2" t="s">
        <v>835</v>
      </c>
      <c r="D929" s="2" t="s">
        <v>836</v>
      </c>
      <c r="E929" s="2" t="s">
        <v>837</v>
      </c>
      <c r="F929" s="2" t="s">
        <v>838</v>
      </c>
      <c r="G929" s="2">
        <v>36</v>
      </c>
      <c r="H929" s="2" t="s">
        <v>57</v>
      </c>
      <c r="I929" s="3">
        <v>690</v>
      </c>
      <c r="J929" s="3">
        <v>960</v>
      </c>
      <c r="K929" s="4">
        <v>4</v>
      </c>
      <c r="O929" s="3"/>
    </row>
    <row r="930" spans="2:15">
      <c r="B930" s="2" t="s">
        <v>1001</v>
      </c>
      <c r="C930" s="2" t="s">
        <v>835</v>
      </c>
      <c r="D930" s="2" t="s">
        <v>840</v>
      </c>
      <c r="E930" s="2" t="s">
        <v>847</v>
      </c>
      <c r="F930" s="2" t="s">
        <v>838</v>
      </c>
      <c r="G930" s="2">
        <v>34</v>
      </c>
      <c r="H930" s="2" t="s">
        <v>62</v>
      </c>
      <c r="I930" s="3">
        <v>620</v>
      </c>
      <c r="J930" s="3">
        <v>870</v>
      </c>
      <c r="K930" s="4">
        <v>5</v>
      </c>
      <c r="O930" s="3"/>
    </row>
    <row r="931" spans="2:15">
      <c r="B931" s="2" t="s">
        <v>1002</v>
      </c>
      <c r="C931" s="2" t="s">
        <v>835</v>
      </c>
      <c r="D931" s="2" t="s">
        <v>836</v>
      </c>
      <c r="E931" s="2" t="s">
        <v>837</v>
      </c>
      <c r="F931" s="2" t="s">
        <v>838</v>
      </c>
      <c r="G931" s="2">
        <v>36</v>
      </c>
      <c r="H931" s="2" t="s">
        <v>71</v>
      </c>
      <c r="I931" s="3">
        <v>690</v>
      </c>
      <c r="J931" s="3">
        <v>960</v>
      </c>
      <c r="K931" s="4">
        <v>4</v>
      </c>
      <c r="O931" s="3"/>
    </row>
    <row r="932" spans="2:15">
      <c r="B932" s="2" t="s">
        <v>1003</v>
      </c>
      <c r="C932" s="2" t="s">
        <v>835</v>
      </c>
      <c r="D932" s="2" t="s">
        <v>840</v>
      </c>
      <c r="E932" s="2" t="s">
        <v>837</v>
      </c>
      <c r="F932" s="2" t="s">
        <v>838</v>
      </c>
      <c r="G932" s="2">
        <v>44</v>
      </c>
      <c r="H932" s="2" t="s">
        <v>29</v>
      </c>
      <c r="I932" s="3">
        <v>590</v>
      </c>
      <c r="J932" s="3">
        <v>830</v>
      </c>
      <c r="K932" s="4">
        <v>3</v>
      </c>
      <c r="O932" s="3"/>
    </row>
    <row r="933" spans="2:15">
      <c r="B933" s="2" t="s">
        <v>1004</v>
      </c>
      <c r="C933" s="2" t="s">
        <v>835</v>
      </c>
      <c r="D933" s="2" t="s">
        <v>840</v>
      </c>
      <c r="E933" s="2" t="s">
        <v>837</v>
      </c>
      <c r="F933" s="2" t="s">
        <v>838</v>
      </c>
      <c r="G933" s="2">
        <v>30</v>
      </c>
      <c r="H933" s="2" t="s">
        <v>59</v>
      </c>
      <c r="I933" s="3">
        <v>580</v>
      </c>
      <c r="J933" s="3">
        <v>820</v>
      </c>
      <c r="K933" s="4">
        <v>3</v>
      </c>
      <c r="O933" s="3"/>
    </row>
    <row r="934" spans="2:15">
      <c r="B934" s="2" t="s">
        <v>1005</v>
      </c>
      <c r="C934" s="2" t="s">
        <v>835</v>
      </c>
      <c r="D934" s="2" t="s">
        <v>845</v>
      </c>
      <c r="E934" s="2" t="s">
        <v>837</v>
      </c>
      <c r="F934" s="2" t="s">
        <v>838</v>
      </c>
      <c r="G934" s="2">
        <v>42</v>
      </c>
      <c r="H934" s="2" t="s">
        <v>25</v>
      </c>
      <c r="I934" s="3">
        <v>570</v>
      </c>
      <c r="J934" s="3">
        <v>800</v>
      </c>
      <c r="K934" s="4">
        <v>5</v>
      </c>
      <c r="O934" s="3"/>
    </row>
    <row r="935" spans="2:15">
      <c r="B935" s="2" t="s">
        <v>1006</v>
      </c>
      <c r="C935" s="2" t="s">
        <v>835</v>
      </c>
      <c r="D935" s="2" t="s">
        <v>836</v>
      </c>
      <c r="E935" s="2" t="s">
        <v>847</v>
      </c>
      <c r="F935" s="2" t="s">
        <v>838</v>
      </c>
      <c r="G935" s="2">
        <v>42</v>
      </c>
      <c r="H935" s="2" t="s">
        <v>71</v>
      </c>
      <c r="I935" s="3">
        <v>630</v>
      </c>
      <c r="J935" s="3">
        <v>880</v>
      </c>
      <c r="K935" s="4">
        <v>4</v>
      </c>
      <c r="O935" s="3"/>
    </row>
    <row r="936" spans="2:15">
      <c r="B936" s="2" t="s">
        <v>1007</v>
      </c>
      <c r="C936" s="2" t="s">
        <v>835</v>
      </c>
      <c r="D936" s="2" t="s">
        <v>852</v>
      </c>
      <c r="E936" s="2" t="s">
        <v>837</v>
      </c>
      <c r="F936" s="2" t="s">
        <v>838</v>
      </c>
      <c r="G936" s="2">
        <v>42</v>
      </c>
      <c r="H936" s="2" t="s">
        <v>101</v>
      </c>
      <c r="I936" s="3">
        <v>570</v>
      </c>
      <c r="J936" s="3">
        <v>800</v>
      </c>
      <c r="K936" s="4">
        <v>6</v>
      </c>
      <c r="O936" s="3"/>
    </row>
    <row r="937" spans="2:15">
      <c r="B937" s="2" t="s">
        <v>1008</v>
      </c>
      <c r="C937" s="2" t="s">
        <v>835</v>
      </c>
      <c r="D937" s="2" t="s">
        <v>843</v>
      </c>
      <c r="E937" s="2" t="s">
        <v>847</v>
      </c>
      <c r="F937" s="2" t="s">
        <v>838</v>
      </c>
      <c r="G937" s="2">
        <v>36</v>
      </c>
      <c r="H937" s="2" t="s">
        <v>41</v>
      </c>
      <c r="I937" s="3">
        <v>670</v>
      </c>
      <c r="J937" s="3">
        <v>940</v>
      </c>
      <c r="K937" s="4">
        <v>6</v>
      </c>
      <c r="O937" s="3"/>
    </row>
    <row r="938" spans="2:15">
      <c r="B938" s="2" t="s">
        <v>1009</v>
      </c>
      <c r="C938" s="2" t="s">
        <v>835</v>
      </c>
      <c r="D938" s="2" t="s">
        <v>852</v>
      </c>
      <c r="E938" s="2" t="s">
        <v>850</v>
      </c>
      <c r="F938" s="2" t="s">
        <v>838</v>
      </c>
      <c r="G938" s="2">
        <v>38</v>
      </c>
      <c r="H938" s="2" t="s">
        <v>29</v>
      </c>
      <c r="I938" s="3">
        <v>600</v>
      </c>
      <c r="J938" s="3">
        <v>830</v>
      </c>
      <c r="K938" s="4">
        <v>6</v>
      </c>
      <c r="O938" s="3"/>
    </row>
    <row r="939" spans="2:15">
      <c r="B939" s="2" t="s">
        <v>1010</v>
      </c>
      <c r="C939" s="2" t="s">
        <v>835</v>
      </c>
      <c r="D939" s="2" t="s">
        <v>840</v>
      </c>
      <c r="E939" s="2" t="s">
        <v>837</v>
      </c>
      <c r="F939" s="2" t="s">
        <v>838</v>
      </c>
      <c r="G939" s="2">
        <v>38</v>
      </c>
      <c r="H939" s="2" t="s">
        <v>51</v>
      </c>
      <c r="I939" s="3">
        <v>560</v>
      </c>
      <c r="J939" s="3">
        <v>780</v>
      </c>
      <c r="K939" s="4">
        <v>6</v>
      </c>
      <c r="O939" s="3"/>
    </row>
    <row r="940" spans="2:15">
      <c r="B940" s="2" t="s">
        <v>1011</v>
      </c>
      <c r="C940" s="2" t="s">
        <v>835</v>
      </c>
      <c r="D940" s="2" t="s">
        <v>843</v>
      </c>
      <c r="E940" s="2" t="s">
        <v>837</v>
      </c>
      <c r="F940" s="2" t="s">
        <v>838</v>
      </c>
      <c r="G940" s="2">
        <v>32</v>
      </c>
      <c r="H940" s="2" t="s">
        <v>75</v>
      </c>
      <c r="I940" s="3">
        <v>770</v>
      </c>
      <c r="J940" s="3">
        <v>1070</v>
      </c>
      <c r="K940" s="4">
        <v>3</v>
      </c>
      <c r="O940" s="3"/>
    </row>
    <row r="941" spans="2:15">
      <c r="B941" s="2" t="s">
        <v>1012</v>
      </c>
      <c r="C941" s="2" t="s">
        <v>835</v>
      </c>
      <c r="D941" s="2" t="s">
        <v>852</v>
      </c>
      <c r="E941" s="2" t="s">
        <v>847</v>
      </c>
      <c r="F941" s="2" t="s">
        <v>838</v>
      </c>
      <c r="G941" s="2">
        <v>44</v>
      </c>
      <c r="H941" s="2" t="s">
        <v>43</v>
      </c>
      <c r="I941" s="3">
        <v>650</v>
      </c>
      <c r="J941" s="3">
        <v>910</v>
      </c>
      <c r="K941" s="4">
        <v>5</v>
      </c>
      <c r="O941" s="3"/>
    </row>
    <row r="942" spans="2:15">
      <c r="B942" s="2" t="s">
        <v>1013</v>
      </c>
      <c r="C942" s="2" t="s">
        <v>835</v>
      </c>
      <c r="D942" s="2" t="s">
        <v>845</v>
      </c>
      <c r="E942" s="2" t="s">
        <v>837</v>
      </c>
      <c r="F942" s="2" t="s">
        <v>838</v>
      </c>
      <c r="G942" s="2">
        <v>34</v>
      </c>
      <c r="H942" s="2" t="s">
        <v>25</v>
      </c>
      <c r="I942" s="3">
        <v>690</v>
      </c>
      <c r="J942" s="3">
        <v>960</v>
      </c>
      <c r="K942" s="4">
        <v>4</v>
      </c>
      <c r="O942" s="3"/>
    </row>
    <row r="943" spans="2:15">
      <c r="B943" s="2" t="s">
        <v>1014</v>
      </c>
      <c r="C943" s="2" t="s">
        <v>835</v>
      </c>
      <c r="D943" s="2" t="s">
        <v>843</v>
      </c>
      <c r="E943" s="2" t="s">
        <v>837</v>
      </c>
      <c r="F943" s="2" t="s">
        <v>838</v>
      </c>
      <c r="G943" s="2">
        <v>30</v>
      </c>
      <c r="H943" s="2" t="s">
        <v>49</v>
      </c>
      <c r="I943" s="3">
        <v>690</v>
      </c>
      <c r="J943" s="3">
        <v>960</v>
      </c>
      <c r="K943" s="4">
        <v>4</v>
      </c>
      <c r="O943" s="3"/>
    </row>
    <row r="944" spans="2:15">
      <c r="B944" s="2" t="s">
        <v>1015</v>
      </c>
      <c r="C944" s="2" t="s">
        <v>835</v>
      </c>
      <c r="D944" s="2" t="s">
        <v>852</v>
      </c>
      <c r="E944" s="2" t="s">
        <v>850</v>
      </c>
      <c r="F944" s="2" t="s">
        <v>838</v>
      </c>
      <c r="G944" s="2">
        <v>40</v>
      </c>
      <c r="H944" s="2" t="s">
        <v>71</v>
      </c>
      <c r="I944" s="3">
        <v>760</v>
      </c>
      <c r="J944" s="3">
        <v>1060</v>
      </c>
      <c r="K944" s="4">
        <v>5</v>
      </c>
      <c r="O944" s="3"/>
    </row>
    <row r="945" spans="2:15">
      <c r="B945" s="2" t="s">
        <v>1016</v>
      </c>
      <c r="C945" s="2" t="s">
        <v>835</v>
      </c>
      <c r="D945" s="2" t="s">
        <v>852</v>
      </c>
      <c r="E945" s="2" t="s">
        <v>847</v>
      </c>
      <c r="F945" s="2" t="s">
        <v>838</v>
      </c>
      <c r="G945" s="2">
        <v>30</v>
      </c>
      <c r="H945" s="2" t="s">
        <v>71</v>
      </c>
      <c r="I945" s="3">
        <v>690</v>
      </c>
      <c r="J945" s="3">
        <v>960</v>
      </c>
      <c r="K945" s="4">
        <v>6</v>
      </c>
      <c r="O945" s="3"/>
    </row>
    <row r="946" spans="2:15">
      <c r="B946" s="2" t="s">
        <v>1017</v>
      </c>
      <c r="C946" s="2" t="s">
        <v>835</v>
      </c>
      <c r="D946" s="2" t="s">
        <v>880</v>
      </c>
      <c r="E946" s="2" t="s">
        <v>850</v>
      </c>
      <c r="F946" s="2" t="s">
        <v>838</v>
      </c>
      <c r="G946" s="2">
        <v>38</v>
      </c>
      <c r="H946" s="2" t="s">
        <v>62</v>
      </c>
      <c r="I946" s="3">
        <v>580</v>
      </c>
      <c r="J946" s="3">
        <v>810</v>
      </c>
      <c r="K946" s="4">
        <v>3</v>
      </c>
      <c r="O946" s="3"/>
    </row>
    <row r="947" spans="2:15">
      <c r="B947" s="2" t="s">
        <v>1018</v>
      </c>
      <c r="C947" s="2" t="s">
        <v>835</v>
      </c>
      <c r="D947" s="2" t="s">
        <v>845</v>
      </c>
      <c r="E947" s="2" t="s">
        <v>847</v>
      </c>
      <c r="F947" s="2" t="s">
        <v>838</v>
      </c>
      <c r="G947" s="2">
        <v>40</v>
      </c>
      <c r="H947" s="2" t="s">
        <v>43</v>
      </c>
      <c r="I947" s="3">
        <v>760</v>
      </c>
      <c r="J947" s="3">
        <v>1060</v>
      </c>
      <c r="K947" s="4">
        <v>3</v>
      </c>
      <c r="O947" s="3"/>
    </row>
    <row r="948" spans="2:15">
      <c r="B948" s="2" t="s">
        <v>1019</v>
      </c>
      <c r="C948" s="2" t="s">
        <v>835</v>
      </c>
      <c r="D948" s="2" t="s">
        <v>880</v>
      </c>
      <c r="E948" s="2" t="s">
        <v>837</v>
      </c>
      <c r="F948" s="2" t="s">
        <v>838</v>
      </c>
      <c r="G948" s="2">
        <v>42</v>
      </c>
      <c r="H948" s="2" t="s">
        <v>104</v>
      </c>
      <c r="I948" s="3">
        <v>720</v>
      </c>
      <c r="J948" s="3">
        <v>1010</v>
      </c>
      <c r="K948" s="4">
        <v>3</v>
      </c>
      <c r="O948" s="3"/>
    </row>
    <row r="949" spans="2:15">
      <c r="B949" s="2" t="s">
        <v>1020</v>
      </c>
      <c r="C949" s="2" t="s">
        <v>835</v>
      </c>
      <c r="D949" s="2" t="s">
        <v>843</v>
      </c>
      <c r="E949" s="2" t="s">
        <v>850</v>
      </c>
      <c r="F949" s="2" t="s">
        <v>838</v>
      </c>
      <c r="G949" s="2">
        <v>32</v>
      </c>
      <c r="H949" s="2" t="s">
        <v>57</v>
      </c>
      <c r="I949" s="3">
        <v>600</v>
      </c>
      <c r="J949" s="3">
        <v>850</v>
      </c>
      <c r="K949" s="4">
        <v>6</v>
      </c>
      <c r="O949" s="3"/>
    </row>
    <row r="950" spans="2:15">
      <c r="B950" s="2" t="s">
        <v>1021</v>
      </c>
      <c r="C950" s="2" t="s">
        <v>835</v>
      </c>
      <c r="D950" s="2" t="s">
        <v>836</v>
      </c>
      <c r="E950" s="2" t="s">
        <v>837</v>
      </c>
      <c r="F950" s="2" t="s">
        <v>838</v>
      </c>
      <c r="G950" s="2">
        <v>34</v>
      </c>
      <c r="H950" s="2" t="s">
        <v>94</v>
      </c>
      <c r="I950" s="3">
        <v>690</v>
      </c>
      <c r="J950" s="3">
        <v>960</v>
      </c>
      <c r="K950" s="4">
        <v>5</v>
      </c>
      <c r="O950" s="3"/>
    </row>
    <row r="951" spans="2:15">
      <c r="B951" s="2" t="s">
        <v>1022</v>
      </c>
      <c r="C951" s="2" t="s">
        <v>835</v>
      </c>
      <c r="D951" s="2" t="s">
        <v>880</v>
      </c>
      <c r="E951" s="2" t="s">
        <v>850</v>
      </c>
      <c r="F951" s="2" t="s">
        <v>838</v>
      </c>
      <c r="G951" s="2">
        <v>40</v>
      </c>
      <c r="H951" s="2" t="s">
        <v>41</v>
      </c>
      <c r="I951" s="3">
        <v>630</v>
      </c>
      <c r="J951" s="3">
        <v>880</v>
      </c>
      <c r="K951" s="4">
        <v>3</v>
      </c>
      <c r="O951" s="3"/>
    </row>
    <row r="952" spans="2:15">
      <c r="B952" s="2" t="s">
        <v>1023</v>
      </c>
      <c r="C952" s="2" t="s">
        <v>835</v>
      </c>
      <c r="D952" s="2" t="s">
        <v>840</v>
      </c>
      <c r="E952" s="2" t="s">
        <v>850</v>
      </c>
      <c r="F952" s="2" t="s">
        <v>838</v>
      </c>
      <c r="G952" s="2">
        <v>32</v>
      </c>
      <c r="H952" s="2" t="s">
        <v>101</v>
      </c>
      <c r="I952" s="3">
        <v>700</v>
      </c>
      <c r="J952" s="3">
        <v>980</v>
      </c>
      <c r="K952" s="4">
        <v>3</v>
      </c>
      <c r="O952" s="3"/>
    </row>
    <row r="953" spans="2:15">
      <c r="B953" s="2" t="s">
        <v>1024</v>
      </c>
      <c r="C953" s="2" t="s">
        <v>835</v>
      </c>
      <c r="D953" s="2" t="s">
        <v>880</v>
      </c>
      <c r="E953" s="2" t="s">
        <v>847</v>
      </c>
      <c r="F953" s="2" t="s">
        <v>838</v>
      </c>
      <c r="G953" s="2">
        <v>44</v>
      </c>
      <c r="H953" s="2" t="s">
        <v>41</v>
      </c>
      <c r="I953" s="3">
        <v>640</v>
      </c>
      <c r="J953" s="3">
        <v>900</v>
      </c>
      <c r="K953" s="4">
        <v>3</v>
      </c>
      <c r="O953" s="3"/>
    </row>
    <row r="954" spans="2:15">
      <c r="B954" s="2" t="s">
        <v>1025</v>
      </c>
      <c r="C954" s="2" t="s">
        <v>835</v>
      </c>
      <c r="D954" s="2" t="s">
        <v>836</v>
      </c>
      <c r="E954" s="2" t="s">
        <v>847</v>
      </c>
      <c r="F954" s="2" t="s">
        <v>838</v>
      </c>
      <c r="G954" s="2">
        <v>40</v>
      </c>
      <c r="H954" s="2" t="s">
        <v>71</v>
      </c>
      <c r="I954" s="3">
        <v>770</v>
      </c>
      <c r="J954" s="3">
        <v>1080</v>
      </c>
      <c r="K954" s="4">
        <v>6</v>
      </c>
      <c r="O954" s="3"/>
    </row>
    <row r="955" spans="2:15">
      <c r="B955" s="2" t="s">
        <v>1026</v>
      </c>
      <c r="C955" s="2" t="s">
        <v>835</v>
      </c>
      <c r="D955" s="2" t="s">
        <v>836</v>
      </c>
      <c r="E955" s="2" t="s">
        <v>850</v>
      </c>
      <c r="F955" s="2" t="s">
        <v>838</v>
      </c>
      <c r="G955" s="2">
        <v>40</v>
      </c>
      <c r="H955" s="2" t="s">
        <v>59</v>
      </c>
      <c r="I955" s="3">
        <v>710</v>
      </c>
      <c r="J955" s="3">
        <v>990</v>
      </c>
      <c r="K955" s="4">
        <v>6</v>
      </c>
      <c r="O955" s="3"/>
    </row>
    <row r="956" spans="2:15">
      <c r="B956" s="2" t="s">
        <v>1027</v>
      </c>
      <c r="C956" s="2" t="s">
        <v>835</v>
      </c>
      <c r="D956" s="2" t="s">
        <v>843</v>
      </c>
      <c r="E956" s="2" t="s">
        <v>850</v>
      </c>
      <c r="F956" s="2" t="s">
        <v>838</v>
      </c>
      <c r="G956" s="2">
        <v>42</v>
      </c>
      <c r="H956" s="2" t="s">
        <v>57</v>
      </c>
      <c r="I956" s="3">
        <v>690</v>
      </c>
      <c r="J956" s="3">
        <v>960</v>
      </c>
      <c r="K956" s="4">
        <v>4</v>
      </c>
      <c r="O956" s="3"/>
    </row>
    <row r="957" spans="2:15">
      <c r="B957" s="2" t="s">
        <v>1028</v>
      </c>
      <c r="C957" s="2" t="s">
        <v>835</v>
      </c>
      <c r="D957" s="2" t="s">
        <v>845</v>
      </c>
      <c r="E957" s="2" t="s">
        <v>837</v>
      </c>
      <c r="F957" s="2" t="s">
        <v>838</v>
      </c>
      <c r="G957" s="2">
        <v>32</v>
      </c>
      <c r="H957" s="2" t="s">
        <v>101</v>
      </c>
      <c r="I957" s="3">
        <v>690</v>
      </c>
      <c r="J957" s="3">
        <v>970</v>
      </c>
      <c r="K957" s="4">
        <v>4</v>
      </c>
      <c r="O957" s="3"/>
    </row>
    <row r="958" spans="2:15">
      <c r="B958" s="2" t="s">
        <v>1029</v>
      </c>
      <c r="C958" s="2" t="s">
        <v>835</v>
      </c>
      <c r="D958" s="2" t="s">
        <v>840</v>
      </c>
      <c r="E958" s="2" t="s">
        <v>847</v>
      </c>
      <c r="F958" s="2" t="s">
        <v>838</v>
      </c>
      <c r="G958" s="2">
        <v>32</v>
      </c>
      <c r="H958" s="2" t="s">
        <v>51</v>
      </c>
      <c r="I958" s="3">
        <v>580</v>
      </c>
      <c r="J958" s="3">
        <v>820</v>
      </c>
      <c r="K958" s="4">
        <v>6</v>
      </c>
      <c r="O958" s="3"/>
    </row>
    <row r="959" spans="2:15">
      <c r="B959" s="2" t="s">
        <v>1030</v>
      </c>
      <c r="C959" s="2" t="s">
        <v>835</v>
      </c>
      <c r="D959" s="2" t="s">
        <v>840</v>
      </c>
      <c r="E959" s="2" t="s">
        <v>847</v>
      </c>
      <c r="F959" s="2" t="s">
        <v>838</v>
      </c>
      <c r="G959" s="2">
        <v>42</v>
      </c>
      <c r="H959" s="2" t="s">
        <v>25</v>
      </c>
      <c r="I959" s="3">
        <v>580</v>
      </c>
      <c r="J959" s="3">
        <v>820</v>
      </c>
      <c r="K959" s="4">
        <v>6</v>
      </c>
      <c r="O959" s="3"/>
    </row>
    <row r="960" spans="2:15">
      <c r="B960" s="2" t="s">
        <v>1031</v>
      </c>
      <c r="C960" s="2" t="s">
        <v>835</v>
      </c>
      <c r="D960" s="2" t="s">
        <v>843</v>
      </c>
      <c r="E960" s="2" t="s">
        <v>837</v>
      </c>
      <c r="F960" s="2" t="s">
        <v>838</v>
      </c>
      <c r="G960" s="2">
        <v>44</v>
      </c>
      <c r="H960" s="2" t="s">
        <v>29</v>
      </c>
      <c r="I960" s="3">
        <v>710</v>
      </c>
      <c r="J960" s="3">
        <v>990</v>
      </c>
      <c r="K960" s="4">
        <v>6</v>
      </c>
      <c r="O960" s="3"/>
    </row>
    <row r="961" spans="2:15">
      <c r="B961" s="2" t="s">
        <v>1032</v>
      </c>
      <c r="C961" s="2" t="s">
        <v>835</v>
      </c>
      <c r="D961" s="2" t="s">
        <v>843</v>
      </c>
      <c r="E961" s="2" t="s">
        <v>847</v>
      </c>
      <c r="F961" s="2" t="s">
        <v>838</v>
      </c>
      <c r="G961" s="2">
        <v>28</v>
      </c>
      <c r="H961" s="2" t="s">
        <v>71</v>
      </c>
      <c r="I961" s="3">
        <v>640</v>
      </c>
      <c r="J961" s="3">
        <v>900</v>
      </c>
      <c r="K961" s="4">
        <v>6</v>
      </c>
      <c r="O961" s="3"/>
    </row>
    <row r="962" spans="2:15">
      <c r="B962" s="2" t="s">
        <v>1033</v>
      </c>
      <c r="C962" s="2" t="s">
        <v>835</v>
      </c>
      <c r="D962" s="2" t="s">
        <v>852</v>
      </c>
      <c r="E962" s="2" t="s">
        <v>847</v>
      </c>
      <c r="F962" s="2" t="s">
        <v>838</v>
      </c>
      <c r="G962" s="2">
        <v>40</v>
      </c>
      <c r="H962" s="2" t="s">
        <v>62</v>
      </c>
      <c r="I962" s="3">
        <v>770</v>
      </c>
      <c r="J962" s="3">
        <v>1070</v>
      </c>
      <c r="K962" s="4">
        <v>5</v>
      </c>
      <c r="O962" s="3"/>
    </row>
    <row r="963" spans="2:15">
      <c r="B963" s="2" t="s">
        <v>1034</v>
      </c>
      <c r="C963" s="2" t="s">
        <v>835</v>
      </c>
      <c r="D963" s="2" t="s">
        <v>840</v>
      </c>
      <c r="E963" s="2" t="s">
        <v>850</v>
      </c>
      <c r="F963" s="2" t="s">
        <v>838</v>
      </c>
      <c r="G963" s="2">
        <v>38</v>
      </c>
      <c r="H963" s="2" t="s">
        <v>37</v>
      </c>
      <c r="I963" s="3">
        <v>560</v>
      </c>
      <c r="J963" s="3">
        <v>780</v>
      </c>
      <c r="K963" s="4">
        <v>6</v>
      </c>
      <c r="O963" s="3"/>
    </row>
    <row r="964" spans="2:15">
      <c r="B964" s="2" t="s">
        <v>1035</v>
      </c>
      <c r="C964" s="2" t="s">
        <v>835</v>
      </c>
      <c r="D964" s="2" t="s">
        <v>840</v>
      </c>
      <c r="E964" s="2" t="s">
        <v>847</v>
      </c>
      <c r="F964" s="2" t="s">
        <v>838</v>
      </c>
      <c r="G964" s="2">
        <v>42</v>
      </c>
      <c r="H964" s="2" t="s">
        <v>75</v>
      </c>
      <c r="I964" s="3">
        <v>730</v>
      </c>
      <c r="J964" s="3">
        <v>1020</v>
      </c>
      <c r="K964" s="4">
        <v>3</v>
      </c>
      <c r="O964" s="3"/>
    </row>
    <row r="965" spans="2:15">
      <c r="B965" s="2" t="s">
        <v>1036</v>
      </c>
      <c r="C965" s="2" t="s">
        <v>835</v>
      </c>
      <c r="D965" s="2" t="s">
        <v>880</v>
      </c>
      <c r="E965" s="2" t="s">
        <v>847</v>
      </c>
      <c r="F965" s="2" t="s">
        <v>838</v>
      </c>
      <c r="G965" s="2">
        <v>42</v>
      </c>
      <c r="H965" s="2" t="s">
        <v>43</v>
      </c>
      <c r="I965" s="3">
        <v>680</v>
      </c>
      <c r="J965" s="3">
        <v>960</v>
      </c>
      <c r="K965" s="4">
        <v>5</v>
      </c>
      <c r="O965" s="3"/>
    </row>
    <row r="966" spans="2:15">
      <c r="B966" s="2" t="s">
        <v>1037</v>
      </c>
      <c r="C966" s="2" t="s">
        <v>835</v>
      </c>
      <c r="D966" s="2" t="s">
        <v>840</v>
      </c>
      <c r="E966" s="2" t="s">
        <v>837</v>
      </c>
      <c r="F966" s="2" t="s">
        <v>838</v>
      </c>
      <c r="G966" s="2">
        <v>42</v>
      </c>
      <c r="H966" s="2" t="s">
        <v>29</v>
      </c>
      <c r="I966" s="3">
        <v>710</v>
      </c>
      <c r="J966" s="3">
        <v>990</v>
      </c>
      <c r="K966" s="4">
        <v>6</v>
      </c>
      <c r="O966" s="3"/>
    </row>
    <row r="967" spans="2:15">
      <c r="B967" s="2" t="s">
        <v>1038</v>
      </c>
      <c r="C967" s="2" t="s">
        <v>835</v>
      </c>
      <c r="D967" s="2" t="s">
        <v>852</v>
      </c>
      <c r="E967" s="2" t="s">
        <v>837</v>
      </c>
      <c r="F967" s="2" t="s">
        <v>838</v>
      </c>
      <c r="G967" s="2">
        <v>38</v>
      </c>
      <c r="H967" s="2" t="s">
        <v>101</v>
      </c>
      <c r="I967" s="3">
        <v>700</v>
      </c>
      <c r="J967" s="3">
        <v>970</v>
      </c>
      <c r="K967" s="4">
        <v>5</v>
      </c>
      <c r="O967" s="3"/>
    </row>
    <row r="968" spans="2:15">
      <c r="B968" s="2" t="s">
        <v>1039</v>
      </c>
      <c r="C968" s="2" t="s">
        <v>835</v>
      </c>
      <c r="D968" s="2" t="s">
        <v>840</v>
      </c>
      <c r="E968" s="2" t="s">
        <v>850</v>
      </c>
      <c r="F968" s="2" t="s">
        <v>838</v>
      </c>
      <c r="G968" s="2">
        <v>36</v>
      </c>
      <c r="H968" s="2" t="s">
        <v>104</v>
      </c>
      <c r="I968" s="3">
        <v>590</v>
      </c>
      <c r="J968" s="3">
        <v>830</v>
      </c>
      <c r="K968" s="4">
        <v>6</v>
      </c>
      <c r="O968" s="3"/>
    </row>
    <row r="969" spans="2:15">
      <c r="B969" s="2" t="s">
        <v>1040</v>
      </c>
      <c r="C969" s="2" t="s">
        <v>835</v>
      </c>
      <c r="D969" s="2" t="s">
        <v>843</v>
      </c>
      <c r="E969" s="2" t="s">
        <v>850</v>
      </c>
      <c r="F969" s="2" t="s">
        <v>838</v>
      </c>
      <c r="G969" s="2">
        <v>36</v>
      </c>
      <c r="H969" s="2" t="s">
        <v>25</v>
      </c>
      <c r="I969" s="3">
        <v>700</v>
      </c>
      <c r="J969" s="3">
        <v>980</v>
      </c>
      <c r="K969" s="4">
        <v>3</v>
      </c>
      <c r="O969" s="3"/>
    </row>
    <row r="970" spans="2:15">
      <c r="B970" s="2" t="s">
        <v>1041</v>
      </c>
      <c r="C970" s="2" t="s">
        <v>835</v>
      </c>
      <c r="D970" s="2" t="s">
        <v>845</v>
      </c>
      <c r="E970" s="2" t="s">
        <v>847</v>
      </c>
      <c r="F970" s="2" t="s">
        <v>838</v>
      </c>
      <c r="G970" s="2">
        <v>44</v>
      </c>
      <c r="H970" s="2" t="s">
        <v>43</v>
      </c>
      <c r="I970" s="3">
        <v>620</v>
      </c>
      <c r="J970" s="3">
        <v>870</v>
      </c>
      <c r="K970" s="4">
        <v>5</v>
      </c>
      <c r="O970" s="3"/>
    </row>
    <row r="971" spans="2:15">
      <c r="B971" s="2" t="s">
        <v>1042</v>
      </c>
      <c r="C971" s="2" t="s">
        <v>835</v>
      </c>
      <c r="D971" s="2" t="s">
        <v>843</v>
      </c>
      <c r="E971" s="2" t="s">
        <v>850</v>
      </c>
      <c r="F971" s="2" t="s">
        <v>838</v>
      </c>
      <c r="G971" s="2">
        <v>36</v>
      </c>
      <c r="H971" s="2" t="s">
        <v>33</v>
      </c>
      <c r="I971" s="3">
        <v>610</v>
      </c>
      <c r="J971" s="3">
        <v>860</v>
      </c>
      <c r="K971" s="4">
        <v>3</v>
      </c>
      <c r="O971" s="3"/>
    </row>
    <row r="972" spans="2:15">
      <c r="B972" s="2" t="s">
        <v>1043</v>
      </c>
      <c r="C972" s="2" t="s">
        <v>835</v>
      </c>
      <c r="D972" s="2" t="s">
        <v>840</v>
      </c>
      <c r="E972" s="2" t="s">
        <v>850</v>
      </c>
      <c r="F972" s="2" t="s">
        <v>838</v>
      </c>
      <c r="G972" s="2">
        <v>32</v>
      </c>
      <c r="H972" s="2" t="s">
        <v>29</v>
      </c>
      <c r="I972" s="3">
        <v>740</v>
      </c>
      <c r="J972" s="3">
        <v>1030</v>
      </c>
      <c r="K972" s="4">
        <v>5</v>
      </c>
      <c r="O972" s="3"/>
    </row>
    <row r="973" spans="2:15">
      <c r="B973" s="2" t="s">
        <v>1044</v>
      </c>
      <c r="C973" s="2" t="s">
        <v>835</v>
      </c>
      <c r="D973" s="2" t="s">
        <v>843</v>
      </c>
      <c r="E973" s="2" t="s">
        <v>837</v>
      </c>
      <c r="F973" s="2" t="s">
        <v>838</v>
      </c>
      <c r="G973" s="2">
        <v>42</v>
      </c>
      <c r="H973" s="2" t="s">
        <v>64</v>
      </c>
      <c r="I973" s="3">
        <v>760</v>
      </c>
      <c r="J973" s="3">
        <v>1060</v>
      </c>
      <c r="K973" s="4">
        <v>3</v>
      </c>
      <c r="O973" s="3"/>
    </row>
    <row r="974" spans="2:15">
      <c r="B974" s="2" t="s">
        <v>1045</v>
      </c>
      <c r="C974" s="2" t="s">
        <v>835</v>
      </c>
      <c r="D974" s="2" t="s">
        <v>840</v>
      </c>
      <c r="E974" s="2" t="s">
        <v>847</v>
      </c>
      <c r="F974" s="2" t="s">
        <v>838</v>
      </c>
      <c r="G974" s="2">
        <v>42</v>
      </c>
      <c r="H974" s="2" t="s">
        <v>22</v>
      </c>
      <c r="I974" s="3">
        <v>640</v>
      </c>
      <c r="J974" s="3">
        <v>890</v>
      </c>
      <c r="K974" s="4">
        <v>6</v>
      </c>
      <c r="O974" s="3"/>
    </row>
    <row r="975" spans="2:15">
      <c r="B975" s="2" t="s">
        <v>1046</v>
      </c>
      <c r="C975" s="2" t="s">
        <v>835</v>
      </c>
      <c r="D975" s="2" t="s">
        <v>852</v>
      </c>
      <c r="E975" s="2" t="s">
        <v>837</v>
      </c>
      <c r="F975" s="2" t="s">
        <v>838</v>
      </c>
      <c r="G975" s="2">
        <v>34</v>
      </c>
      <c r="H975" s="2" t="s">
        <v>71</v>
      </c>
      <c r="I975" s="3">
        <v>610</v>
      </c>
      <c r="J975" s="3">
        <v>850</v>
      </c>
      <c r="K975" s="4">
        <v>5</v>
      </c>
      <c r="O975" s="3"/>
    </row>
    <row r="976" spans="2:15">
      <c r="B976" s="2" t="s">
        <v>1047</v>
      </c>
      <c r="C976" s="2" t="s">
        <v>835</v>
      </c>
      <c r="D976" s="2" t="s">
        <v>852</v>
      </c>
      <c r="E976" s="2" t="s">
        <v>837</v>
      </c>
      <c r="F976" s="2" t="s">
        <v>838</v>
      </c>
      <c r="G976" s="2">
        <v>28</v>
      </c>
      <c r="H976" s="2" t="s">
        <v>64</v>
      </c>
      <c r="I976" s="3">
        <v>560</v>
      </c>
      <c r="J976" s="3">
        <v>790</v>
      </c>
      <c r="K976" s="4">
        <v>6</v>
      </c>
      <c r="O976" s="3"/>
    </row>
    <row r="977" spans="2:15">
      <c r="B977" s="2" t="s">
        <v>1048</v>
      </c>
      <c r="C977" s="2" t="s">
        <v>835</v>
      </c>
      <c r="D977" s="2" t="s">
        <v>845</v>
      </c>
      <c r="E977" s="2" t="s">
        <v>837</v>
      </c>
      <c r="F977" s="2" t="s">
        <v>838</v>
      </c>
      <c r="G977" s="2">
        <v>44</v>
      </c>
      <c r="H977" s="2" t="s">
        <v>17</v>
      </c>
      <c r="I977" s="3">
        <v>650</v>
      </c>
      <c r="J977" s="3">
        <v>910</v>
      </c>
      <c r="K977" s="4">
        <v>6</v>
      </c>
      <c r="O977" s="3"/>
    </row>
    <row r="978" spans="2:15">
      <c r="B978" s="2" t="s">
        <v>1049</v>
      </c>
      <c r="C978" s="2" t="s">
        <v>835</v>
      </c>
      <c r="D978" s="2" t="s">
        <v>852</v>
      </c>
      <c r="E978" s="2" t="s">
        <v>837</v>
      </c>
      <c r="F978" s="2" t="s">
        <v>838</v>
      </c>
      <c r="G978" s="2">
        <v>36</v>
      </c>
      <c r="H978" s="2" t="s">
        <v>57</v>
      </c>
      <c r="I978" s="3">
        <v>720</v>
      </c>
      <c r="J978" s="3">
        <v>1010</v>
      </c>
      <c r="K978" s="4">
        <v>6</v>
      </c>
      <c r="O978" s="3"/>
    </row>
    <row r="979" spans="2:15">
      <c r="B979" s="2" t="s">
        <v>1050</v>
      </c>
      <c r="C979" s="2" t="s">
        <v>835</v>
      </c>
      <c r="D979" s="2" t="s">
        <v>836</v>
      </c>
      <c r="E979" s="2" t="s">
        <v>837</v>
      </c>
      <c r="F979" s="2" t="s">
        <v>838</v>
      </c>
      <c r="G979" s="2">
        <v>38</v>
      </c>
      <c r="H979" s="2" t="s">
        <v>75</v>
      </c>
      <c r="I979" s="3">
        <v>550</v>
      </c>
      <c r="J979" s="3">
        <v>770</v>
      </c>
      <c r="K979" s="4">
        <v>3</v>
      </c>
      <c r="O979" s="3"/>
    </row>
    <row r="980" spans="2:15">
      <c r="B980" s="2" t="s">
        <v>1051</v>
      </c>
      <c r="C980" s="2" t="s">
        <v>835</v>
      </c>
      <c r="D980" s="2" t="s">
        <v>880</v>
      </c>
      <c r="E980" s="2" t="s">
        <v>850</v>
      </c>
      <c r="F980" s="2" t="s">
        <v>838</v>
      </c>
      <c r="G980" s="2">
        <v>40</v>
      </c>
      <c r="H980" s="2" t="s">
        <v>25</v>
      </c>
      <c r="I980" s="3">
        <v>570</v>
      </c>
      <c r="J980" s="3">
        <v>800</v>
      </c>
      <c r="K980" s="4">
        <v>5</v>
      </c>
      <c r="O980" s="3"/>
    </row>
    <row r="981" spans="2:15">
      <c r="B981" s="2" t="s">
        <v>1052</v>
      </c>
      <c r="C981" s="2" t="s">
        <v>835</v>
      </c>
      <c r="D981" s="2" t="s">
        <v>836</v>
      </c>
      <c r="E981" s="2" t="s">
        <v>837</v>
      </c>
      <c r="F981" s="2" t="s">
        <v>838</v>
      </c>
      <c r="G981" s="2">
        <v>36</v>
      </c>
      <c r="H981" s="2" t="s">
        <v>71</v>
      </c>
      <c r="I981" s="3">
        <v>640</v>
      </c>
      <c r="J981" s="3">
        <v>890</v>
      </c>
      <c r="K981" s="4">
        <v>6</v>
      </c>
      <c r="O981" s="3"/>
    </row>
    <row r="982" spans="2:15">
      <c r="B982" s="2" t="s">
        <v>1053</v>
      </c>
      <c r="C982" s="2" t="s">
        <v>835</v>
      </c>
      <c r="D982" s="2" t="s">
        <v>852</v>
      </c>
      <c r="E982" s="2" t="s">
        <v>850</v>
      </c>
      <c r="F982" s="2" t="s">
        <v>838</v>
      </c>
      <c r="G982" s="2">
        <v>34</v>
      </c>
      <c r="H982" s="2" t="s">
        <v>75</v>
      </c>
      <c r="I982" s="3">
        <v>670</v>
      </c>
      <c r="J982" s="3">
        <v>940</v>
      </c>
      <c r="K982" s="4">
        <v>5</v>
      </c>
      <c r="O982" s="3"/>
    </row>
    <row r="983" spans="2:15">
      <c r="B983" s="2" t="s">
        <v>1054</v>
      </c>
      <c r="C983" s="2" t="s">
        <v>835</v>
      </c>
      <c r="D983" s="2" t="s">
        <v>852</v>
      </c>
      <c r="E983" s="2" t="s">
        <v>847</v>
      </c>
      <c r="F983" s="2" t="s">
        <v>838</v>
      </c>
      <c r="G983" s="2">
        <v>44</v>
      </c>
      <c r="H983" s="2" t="s">
        <v>69</v>
      </c>
      <c r="I983" s="3">
        <v>720</v>
      </c>
      <c r="J983" s="3">
        <v>1010</v>
      </c>
      <c r="K983" s="4">
        <v>3</v>
      </c>
      <c r="O983" s="3"/>
    </row>
    <row r="984" spans="2:15">
      <c r="B984" s="2" t="s">
        <v>1055</v>
      </c>
      <c r="C984" s="2" t="s">
        <v>835</v>
      </c>
      <c r="D984" s="2" t="s">
        <v>840</v>
      </c>
      <c r="E984" s="2" t="s">
        <v>847</v>
      </c>
      <c r="F984" s="2" t="s">
        <v>838</v>
      </c>
      <c r="G984" s="2">
        <v>30</v>
      </c>
      <c r="H984" s="2" t="s">
        <v>75</v>
      </c>
      <c r="I984" s="3">
        <v>760</v>
      </c>
      <c r="J984" s="3">
        <v>1070</v>
      </c>
      <c r="K984" s="4">
        <v>3</v>
      </c>
      <c r="O984" s="3"/>
    </row>
    <row r="985" spans="2:15">
      <c r="B985" s="2" t="s">
        <v>1056</v>
      </c>
      <c r="C985" s="2" t="s">
        <v>835</v>
      </c>
      <c r="D985" s="2" t="s">
        <v>845</v>
      </c>
      <c r="E985" s="2" t="s">
        <v>837</v>
      </c>
      <c r="F985" s="2" t="s">
        <v>838</v>
      </c>
      <c r="G985" s="2">
        <v>36</v>
      </c>
      <c r="H985" s="2" t="s">
        <v>33</v>
      </c>
      <c r="I985" s="3">
        <v>720</v>
      </c>
      <c r="J985" s="3">
        <v>1010</v>
      </c>
      <c r="K985" s="4">
        <v>4</v>
      </c>
      <c r="O985" s="3"/>
    </row>
    <row r="986" spans="2:15">
      <c r="B986" s="2" t="s">
        <v>1057</v>
      </c>
      <c r="C986" s="2" t="s">
        <v>835</v>
      </c>
      <c r="D986" s="2" t="s">
        <v>840</v>
      </c>
      <c r="E986" s="2" t="s">
        <v>850</v>
      </c>
      <c r="F986" s="2" t="s">
        <v>838</v>
      </c>
      <c r="G986" s="2">
        <v>28</v>
      </c>
      <c r="H986" s="2" t="s">
        <v>25</v>
      </c>
      <c r="I986" s="3">
        <v>560</v>
      </c>
      <c r="J986" s="3">
        <v>780</v>
      </c>
      <c r="K986" s="4">
        <v>4</v>
      </c>
      <c r="O986" s="3"/>
    </row>
    <row r="987" spans="2:15">
      <c r="B987" s="2" t="s">
        <v>1058</v>
      </c>
      <c r="C987" s="2" t="s">
        <v>835</v>
      </c>
      <c r="D987" s="2" t="s">
        <v>852</v>
      </c>
      <c r="E987" s="2" t="s">
        <v>847</v>
      </c>
      <c r="F987" s="2" t="s">
        <v>838</v>
      </c>
      <c r="G987" s="2">
        <v>30</v>
      </c>
      <c r="H987" s="2" t="s">
        <v>25</v>
      </c>
      <c r="I987" s="3">
        <v>700</v>
      </c>
      <c r="J987" s="3">
        <v>980</v>
      </c>
      <c r="K987" s="4">
        <v>4</v>
      </c>
      <c r="O987" s="3"/>
    </row>
    <row r="988" spans="2:15">
      <c r="B988" s="2" t="s">
        <v>1059</v>
      </c>
      <c r="C988" s="2" t="s">
        <v>835</v>
      </c>
      <c r="D988" s="2" t="s">
        <v>852</v>
      </c>
      <c r="E988" s="2" t="s">
        <v>850</v>
      </c>
      <c r="F988" s="2" t="s">
        <v>838</v>
      </c>
      <c r="G988" s="2">
        <v>30</v>
      </c>
      <c r="H988" s="2" t="s">
        <v>64</v>
      </c>
      <c r="I988" s="3">
        <v>650</v>
      </c>
      <c r="J988" s="3">
        <v>900</v>
      </c>
      <c r="K988" s="4">
        <v>5</v>
      </c>
      <c r="O988" s="3"/>
    </row>
    <row r="989" spans="2:15">
      <c r="B989" s="2" t="s">
        <v>1060</v>
      </c>
      <c r="C989" s="2" t="s">
        <v>835</v>
      </c>
      <c r="D989" s="2" t="s">
        <v>845</v>
      </c>
      <c r="E989" s="2" t="s">
        <v>850</v>
      </c>
      <c r="F989" s="2" t="s">
        <v>838</v>
      </c>
      <c r="G989" s="2">
        <v>42</v>
      </c>
      <c r="H989" s="2" t="s">
        <v>33</v>
      </c>
      <c r="I989" s="3">
        <v>620</v>
      </c>
      <c r="J989" s="3">
        <v>880</v>
      </c>
      <c r="K989" s="4">
        <v>6</v>
      </c>
      <c r="O989" s="3"/>
    </row>
    <row r="990" spans="2:15">
      <c r="B990" s="2" t="s">
        <v>1061</v>
      </c>
      <c r="C990" s="2" t="s">
        <v>835</v>
      </c>
      <c r="D990" s="2" t="s">
        <v>852</v>
      </c>
      <c r="E990" s="2" t="s">
        <v>837</v>
      </c>
      <c r="F990" s="2" t="s">
        <v>838</v>
      </c>
      <c r="G990" s="2">
        <v>32</v>
      </c>
      <c r="H990" s="2" t="s">
        <v>43</v>
      </c>
      <c r="I990" s="3">
        <v>730</v>
      </c>
      <c r="J990" s="3">
        <v>1020</v>
      </c>
      <c r="K990" s="4">
        <v>5</v>
      </c>
      <c r="O990" s="3"/>
    </row>
    <row r="991" spans="2:15">
      <c r="B991" s="2" t="s">
        <v>1062</v>
      </c>
      <c r="C991" s="2" t="s">
        <v>835</v>
      </c>
      <c r="D991" s="2" t="s">
        <v>840</v>
      </c>
      <c r="E991" s="2" t="s">
        <v>837</v>
      </c>
      <c r="F991" s="2" t="s">
        <v>838</v>
      </c>
      <c r="G991" s="2">
        <v>38</v>
      </c>
      <c r="H991" s="2" t="s">
        <v>104</v>
      </c>
      <c r="I991" s="3">
        <v>750</v>
      </c>
      <c r="J991" s="3">
        <v>1050</v>
      </c>
      <c r="K991" s="4">
        <v>5</v>
      </c>
      <c r="O991" s="3"/>
    </row>
    <row r="992" spans="2:15">
      <c r="B992" s="2" t="s">
        <v>1063</v>
      </c>
      <c r="C992" s="2" t="s">
        <v>835</v>
      </c>
      <c r="D992" s="2" t="s">
        <v>836</v>
      </c>
      <c r="E992" s="2" t="s">
        <v>847</v>
      </c>
      <c r="F992" s="2" t="s">
        <v>838</v>
      </c>
      <c r="G992" s="2">
        <v>30</v>
      </c>
      <c r="H992" s="2" t="s">
        <v>51</v>
      </c>
      <c r="I992" s="3">
        <v>760</v>
      </c>
      <c r="J992" s="3">
        <v>1060</v>
      </c>
      <c r="K992" s="4">
        <v>4</v>
      </c>
      <c r="O992" s="3"/>
    </row>
    <row r="993" spans="2:15">
      <c r="B993" s="2" t="s">
        <v>1064</v>
      </c>
      <c r="C993" s="2" t="s">
        <v>835</v>
      </c>
      <c r="D993" s="2" t="s">
        <v>845</v>
      </c>
      <c r="E993" s="2" t="s">
        <v>847</v>
      </c>
      <c r="F993" s="2" t="s">
        <v>838</v>
      </c>
      <c r="G993" s="2">
        <v>30</v>
      </c>
      <c r="H993" s="2" t="s">
        <v>57</v>
      </c>
      <c r="I993" s="3">
        <v>710</v>
      </c>
      <c r="J993" s="3">
        <v>990</v>
      </c>
      <c r="K993" s="4">
        <v>6</v>
      </c>
      <c r="O993" s="3"/>
    </row>
    <row r="994" spans="2:15">
      <c r="B994" s="2" t="s">
        <v>1065</v>
      </c>
      <c r="C994" s="2" t="s">
        <v>835</v>
      </c>
      <c r="D994" s="2" t="s">
        <v>880</v>
      </c>
      <c r="E994" s="2" t="s">
        <v>850</v>
      </c>
      <c r="F994" s="2" t="s">
        <v>838</v>
      </c>
      <c r="G994" s="2">
        <v>42</v>
      </c>
      <c r="H994" s="2" t="s">
        <v>33</v>
      </c>
      <c r="I994" s="3">
        <v>600</v>
      </c>
      <c r="J994" s="3">
        <v>850</v>
      </c>
      <c r="K994" s="4">
        <v>3</v>
      </c>
      <c r="O994" s="3"/>
    </row>
    <row r="995" spans="2:15">
      <c r="B995" s="2" t="s">
        <v>1066</v>
      </c>
      <c r="C995" s="2" t="s">
        <v>835</v>
      </c>
      <c r="D995" s="2" t="s">
        <v>840</v>
      </c>
      <c r="E995" s="2" t="s">
        <v>847</v>
      </c>
      <c r="F995" s="2" t="s">
        <v>838</v>
      </c>
      <c r="G995" s="2">
        <v>42</v>
      </c>
      <c r="H995" s="2" t="s">
        <v>69</v>
      </c>
      <c r="I995" s="3">
        <v>560</v>
      </c>
      <c r="J995" s="3">
        <v>780</v>
      </c>
      <c r="K995" s="4">
        <v>6</v>
      </c>
      <c r="O995" s="3"/>
    </row>
    <row r="996" spans="2:15">
      <c r="B996" s="2" t="s">
        <v>1067</v>
      </c>
      <c r="C996" s="2" t="s">
        <v>835</v>
      </c>
      <c r="D996" s="2" t="s">
        <v>852</v>
      </c>
      <c r="E996" s="2" t="s">
        <v>850</v>
      </c>
      <c r="F996" s="2" t="s">
        <v>838</v>
      </c>
      <c r="G996" s="2">
        <v>28</v>
      </c>
      <c r="H996" s="2" t="s">
        <v>59</v>
      </c>
      <c r="I996" s="3">
        <v>590</v>
      </c>
      <c r="J996" s="3">
        <v>820</v>
      </c>
      <c r="K996" s="4">
        <v>5</v>
      </c>
      <c r="O996" s="3"/>
    </row>
    <row r="997" spans="2:15">
      <c r="B997" s="2" t="s">
        <v>1068</v>
      </c>
      <c r="C997" s="2" t="s">
        <v>835</v>
      </c>
      <c r="D997" s="2" t="s">
        <v>852</v>
      </c>
      <c r="E997" s="2" t="s">
        <v>837</v>
      </c>
      <c r="F997" s="2" t="s">
        <v>838</v>
      </c>
      <c r="G997" s="2">
        <v>28</v>
      </c>
      <c r="H997" s="2" t="s">
        <v>75</v>
      </c>
      <c r="I997" s="3">
        <v>590</v>
      </c>
      <c r="J997" s="3">
        <v>820</v>
      </c>
      <c r="K997" s="4">
        <v>6</v>
      </c>
      <c r="O997" s="3"/>
    </row>
    <row r="998" spans="2:15">
      <c r="B998" s="2" t="s">
        <v>1069</v>
      </c>
      <c r="C998" s="2" t="s">
        <v>835</v>
      </c>
      <c r="D998" s="2" t="s">
        <v>845</v>
      </c>
      <c r="E998" s="2" t="s">
        <v>837</v>
      </c>
      <c r="F998" s="2" t="s">
        <v>838</v>
      </c>
      <c r="G998" s="2">
        <v>44</v>
      </c>
      <c r="H998" s="2" t="s">
        <v>17</v>
      </c>
      <c r="I998" s="3">
        <v>670</v>
      </c>
      <c r="J998" s="3">
        <v>940</v>
      </c>
      <c r="K998" s="4">
        <v>3</v>
      </c>
      <c r="O998" s="3"/>
    </row>
    <row r="999" spans="2:15">
      <c r="B999" s="2" t="s">
        <v>1070</v>
      </c>
      <c r="C999" s="2" t="s">
        <v>835</v>
      </c>
      <c r="D999" s="2" t="s">
        <v>852</v>
      </c>
      <c r="E999" s="2" t="s">
        <v>837</v>
      </c>
      <c r="F999" s="2" t="s">
        <v>838</v>
      </c>
      <c r="G999" s="2">
        <v>44</v>
      </c>
      <c r="H999" s="2" t="s">
        <v>41</v>
      </c>
      <c r="I999" s="3">
        <v>650</v>
      </c>
      <c r="J999" s="3">
        <v>910</v>
      </c>
      <c r="K999" s="4">
        <v>5</v>
      </c>
      <c r="O999" s="3"/>
    </row>
    <row r="1000" spans="2:15">
      <c r="B1000" s="2" t="s">
        <v>1071</v>
      </c>
      <c r="C1000" s="2" t="s">
        <v>835</v>
      </c>
      <c r="D1000" s="2" t="s">
        <v>836</v>
      </c>
      <c r="E1000" s="2" t="s">
        <v>837</v>
      </c>
      <c r="F1000" s="2" t="s">
        <v>838</v>
      </c>
      <c r="G1000" s="2">
        <v>30</v>
      </c>
      <c r="H1000" s="2" t="s">
        <v>41</v>
      </c>
      <c r="I1000" s="3">
        <v>720</v>
      </c>
      <c r="J1000" s="3">
        <v>1010</v>
      </c>
      <c r="K1000" s="4">
        <v>5</v>
      </c>
      <c r="O1000" s="3"/>
    </row>
    <row r="1001" spans="2:15">
      <c r="B1001" s="2" t="s">
        <v>1072</v>
      </c>
      <c r="C1001" s="2" t="s">
        <v>835</v>
      </c>
      <c r="D1001" s="2" t="s">
        <v>845</v>
      </c>
      <c r="E1001" s="2" t="s">
        <v>837</v>
      </c>
      <c r="F1001" s="2" t="s">
        <v>838</v>
      </c>
      <c r="G1001" s="2">
        <v>32</v>
      </c>
      <c r="H1001" s="2" t="s">
        <v>62</v>
      </c>
      <c r="I1001" s="3">
        <v>570</v>
      </c>
      <c r="J1001" s="3">
        <v>800</v>
      </c>
      <c r="K1001" s="4">
        <v>3</v>
      </c>
      <c r="O1001" s="3"/>
    </row>
    <row r="1002" spans="2:15">
      <c r="B1002" s="2" t="s">
        <v>1073</v>
      </c>
      <c r="C1002" s="2" t="s">
        <v>835</v>
      </c>
      <c r="D1002" s="2" t="s">
        <v>852</v>
      </c>
      <c r="E1002" s="2" t="s">
        <v>847</v>
      </c>
      <c r="F1002" s="2" t="s">
        <v>838</v>
      </c>
      <c r="G1002" s="2">
        <v>40</v>
      </c>
      <c r="H1002" s="2" t="s">
        <v>37</v>
      </c>
      <c r="I1002" s="3">
        <v>650</v>
      </c>
      <c r="J1002" s="3">
        <v>910</v>
      </c>
      <c r="K1002" s="4">
        <v>5</v>
      </c>
      <c r="O1002" s="3"/>
    </row>
    <row r="1003" spans="2:15">
      <c r="B1003" s="2" t="s">
        <v>1074</v>
      </c>
      <c r="C1003" s="2" t="s">
        <v>835</v>
      </c>
      <c r="D1003" s="2" t="s">
        <v>840</v>
      </c>
      <c r="E1003" s="2" t="s">
        <v>850</v>
      </c>
      <c r="F1003" s="2" t="s">
        <v>838</v>
      </c>
      <c r="G1003" s="2">
        <v>34</v>
      </c>
      <c r="H1003" s="2" t="s">
        <v>57</v>
      </c>
      <c r="I1003" s="3">
        <v>670</v>
      </c>
      <c r="J1003" s="3">
        <v>940</v>
      </c>
      <c r="K1003" s="4">
        <v>3</v>
      </c>
      <c r="O1003" s="3"/>
    </row>
    <row r="1004" spans="2:15">
      <c r="B1004" s="2" t="s">
        <v>1075</v>
      </c>
      <c r="C1004" s="2" t="s">
        <v>835</v>
      </c>
      <c r="D1004" s="2" t="s">
        <v>840</v>
      </c>
      <c r="E1004" s="2" t="s">
        <v>850</v>
      </c>
      <c r="F1004" s="2" t="s">
        <v>838</v>
      </c>
      <c r="G1004" s="2">
        <v>42</v>
      </c>
      <c r="H1004" s="2" t="s">
        <v>59</v>
      </c>
      <c r="I1004" s="3">
        <v>600</v>
      </c>
      <c r="J1004" s="3">
        <v>840</v>
      </c>
      <c r="K1004" s="4">
        <v>3</v>
      </c>
      <c r="O1004" s="3"/>
    </row>
    <row r="1005" spans="2:15">
      <c r="B1005" s="2" t="s">
        <v>1076</v>
      </c>
      <c r="C1005" s="2" t="s">
        <v>835</v>
      </c>
      <c r="D1005" s="2" t="s">
        <v>880</v>
      </c>
      <c r="E1005" s="2" t="s">
        <v>850</v>
      </c>
      <c r="F1005" s="2" t="s">
        <v>838</v>
      </c>
      <c r="G1005" s="2">
        <v>42</v>
      </c>
      <c r="H1005" s="2" t="s">
        <v>62</v>
      </c>
      <c r="I1005" s="3">
        <v>750</v>
      </c>
      <c r="J1005" s="3">
        <v>1050</v>
      </c>
      <c r="K1005" s="4">
        <v>6</v>
      </c>
      <c r="O1005" s="3"/>
    </row>
    <row r="1006" spans="2:15">
      <c r="B1006" s="2" t="s">
        <v>1077</v>
      </c>
      <c r="C1006" s="2" t="s">
        <v>835</v>
      </c>
      <c r="D1006" s="2" t="s">
        <v>840</v>
      </c>
      <c r="E1006" s="2" t="s">
        <v>837</v>
      </c>
      <c r="F1006" s="2" t="s">
        <v>838</v>
      </c>
      <c r="G1006" s="2">
        <v>38</v>
      </c>
      <c r="H1006" s="2" t="s">
        <v>104</v>
      </c>
      <c r="I1006" s="3">
        <v>550</v>
      </c>
      <c r="J1006" s="3">
        <v>780</v>
      </c>
      <c r="K1006" s="4">
        <v>6</v>
      </c>
      <c r="O1006" s="3"/>
    </row>
    <row r="1007" spans="2:15">
      <c r="B1007" s="2" t="s">
        <v>1078</v>
      </c>
      <c r="C1007" s="2" t="s">
        <v>835</v>
      </c>
      <c r="D1007" s="2" t="s">
        <v>843</v>
      </c>
      <c r="E1007" s="2" t="s">
        <v>850</v>
      </c>
      <c r="F1007" s="2" t="s">
        <v>838</v>
      </c>
      <c r="G1007" s="2">
        <v>44</v>
      </c>
      <c r="H1007" s="2" t="s">
        <v>57</v>
      </c>
      <c r="I1007" s="3">
        <v>580</v>
      </c>
      <c r="J1007" s="3">
        <v>810</v>
      </c>
      <c r="K1007" s="4">
        <v>4</v>
      </c>
      <c r="O1007" s="3"/>
    </row>
    <row r="1008" spans="2:15">
      <c r="B1008" s="2" t="s">
        <v>1079</v>
      </c>
      <c r="C1008" s="2" t="s">
        <v>835</v>
      </c>
      <c r="D1008" s="2" t="s">
        <v>840</v>
      </c>
      <c r="E1008" s="2" t="s">
        <v>850</v>
      </c>
      <c r="F1008" s="2" t="s">
        <v>838</v>
      </c>
      <c r="G1008" s="2">
        <v>42</v>
      </c>
      <c r="H1008" s="2" t="s">
        <v>69</v>
      </c>
      <c r="I1008" s="3">
        <v>570</v>
      </c>
      <c r="J1008" s="3">
        <v>800</v>
      </c>
      <c r="K1008" s="4">
        <v>6</v>
      </c>
      <c r="O1008" s="3"/>
    </row>
    <row r="1009" spans="2:15">
      <c r="B1009" s="2" t="s">
        <v>1080</v>
      </c>
      <c r="C1009" s="2" t="s">
        <v>835</v>
      </c>
      <c r="D1009" s="2" t="s">
        <v>880</v>
      </c>
      <c r="E1009" s="2" t="s">
        <v>847</v>
      </c>
      <c r="F1009" s="2" t="s">
        <v>838</v>
      </c>
      <c r="G1009" s="2">
        <v>32</v>
      </c>
      <c r="H1009" s="2" t="s">
        <v>69</v>
      </c>
      <c r="I1009" s="3">
        <v>780</v>
      </c>
      <c r="J1009" s="3">
        <v>1090</v>
      </c>
      <c r="K1009" s="4">
        <v>4</v>
      </c>
      <c r="O1009" s="3"/>
    </row>
    <row r="1010" spans="2:15">
      <c r="B1010" s="2" t="s">
        <v>1081</v>
      </c>
      <c r="C1010" s="2" t="s">
        <v>835</v>
      </c>
      <c r="D1010" s="2" t="s">
        <v>840</v>
      </c>
      <c r="E1010" s="2" t="s">
        <v>837</v>
      </c>
      <c r="F1010" s="2" t="s">
        <v>838</v>
      </c>
      <c r="G1010" s="2">
        <v>42</v>
      </c>
      <c r="H1010" s="2" t="s">
        <v>25</v>
      </c>
      <c r="I1010" s="3">
        <v>710</v>
      </c>
      <c r="J1010" s="3">
        <v>1000</v>
      </c>
      <c r="K1010" s="4">
        <v>4</v>
      </c>
      <c r="O1010" s="3"/>
    </row>
    <row r="1011" spans="2:15">
      <c r="B1011" s="2" t="s">
        <v>1082</v>
      </c>
      <c r="C1011" s="2" t="s">
        <v>835</v>
      </c>
      <c r="D1011" s="2" t="s">
        <v>880</v>
      </c>
      <c r="E1011" s="2" t="s">
        <v>847</v>
      </c>
      <c r="F1011" s="2" t="s">
        <v>838</v>
      </c>
      <c r="G1011" s="2">
        <v>30</v>
      </c>
      <c r="H1011" s="2" t="s">
        <v>51</v>
      </c>
      <c r="I1011" s="3">
        <v>760</v>
      </c>
      <c r="J1011" s="3">
        <v>1070</v>
      </c>
      <c r="K1011" s="4">
        <v>4</v>
      </c>
      <c r="O1011" s="3"/>
    </row>
    <row r="1012" spans="2:15">
      <c r="B1012" s="2" t="s">
        <v>1083</v>
      </c>
      <c r="C1012" s="2" t="s">
        <v>835</v>
      </c>
      <c r="D1012" s="2" t="s">
        <v>843</v>
      </c>
      <c r="E1012" s="2" t="s">
        <v>837</v>
      </c>
      <c r="F1012" s="2" t="s">
        <v>838</v>
      </c>
      <c r="G1012" s="2">
        <v>40</v>
      </c>
      <c r="H1012" s="2" t="s">
        <v>49</v>
      </c>
      <c r="I1012" s="3">
        <v>570</v>
      </c>
      <c r="J1012" s="3">
        <v>790</v>
      </c>
      <c r="K1012" s="4">
        <v>3</v>
      </c>
      <c r="O1012" s="3"/>
    </row>
    <row r="1013" spans="2:15">
      <c r="B1013" s="2" t="s">
        <v>1084</v>
      </c>
      <c r="C1013" s="2" t="s">
        <v>835</v>
      </c>
      <c r="D1013" s="2" t="s">
        <v>880</v>
      </c>
      <c r="E1013" s="2" t="s">
        <v>850</v>
      </c>
      <c r="F1013" s="2" t="s">
        <v>838</v>
      </c>
      <c r="G1013" s="2">
        <v>38</v>
      </c>
      <c r="H1013" s="2" t="s">
        <v>94</v>
      </c>
      <c r="I1013" s="3">
        <v>720</v>
      </c>
      <c r="J1013" s="3">
        <v>1010</v>
      </c>
      <c r="K1013" s="4">
        <v>3</v>
      </c>
      <c r="O1013" s="3"/>
    </row>
    <row r="1014" spans="2:15">
      <c r="B1014" s="2" t="s">
        <v>1085</v>
      </c>
      <c r="C1014" s="2" t="s">
        <v>835</v>
      </c>
      <c r="D1014" s="2" t="s">
        <v>843</v>
      </c>
      <c r="E1014" s="2" t="s">
        <v>837</v>
      </c>
      <c r="F1014" s="2" t="s">
        <v>838</v>
      </c>
      <c r="G1014" s="2">
        <v>30</v>
      </c>
      <c r="H1014" s="2" t="s">
        <v>33</v>
      </c>
      <c r="I1014" s="3">
        <v>700</v>
      </c>
      <c r="J1014" s="3">
        <v>980</v>
      </c>
      <c r="K1014" s="4">
        <v>4</v>
      </c>
      <c r="O1014" s="3"/>
    </row>
    <row r="1015" spans="2:15">
      <c r="B1015" s="2" t="s">
        <v>1086</v>
      </c>
      <c r="C1015" s="2" t="s">
        <v>835</v>
      </c>
      <c r="D1015" s="2" t="s">
        <v>845</v>
      </c>
      <c r="E1015" s="2" t="s">
        <v>847</v>
      </c>
      <c r="F1015" s="2" t="s">
        <v>838</v>
      </c>
      <c r="G1015" s="2">
        <v>44</v>
      </c>
      <c r="H1015" s="2" t="s">
        <v>64</v>
      </c>
      <c r="I1015" s="3">
        <v>740</v>
      </c>
      <c r="J1015" s="3">
        <v>1040</v>
      </c>
      <c r="K1015" s="4">
        <v>6</v>
      </c>
      <c r="O1015" s="3"/>
    </row>
    <row r="1016" spans="2:15">
      <c r="B1016" s="2" t="s">
        <v>1087</v>
      </c>
      <c r="C1016" s="2" t="s">
        <v>835</v>
      </c>
      <c r="D1016" s="2" t="s">
        <v>880</v>
      </c>
      <c r="E1016" s="2" t="s">
        <v>847</v>
      </c>
      <c r="F1016" s="2" t="s">
        <v>838</v>
      </c>
      <c r="G1016" s="2">
        <v>30</v>
      </c>
      <c r="H1016" s="2" t="s">
        <v>25</v>
      </c>
      <c r="I1016" s="3">
        <v>610</v>
      </c>
      <c r="J1016" s="3">
        <v>860</v>
      </c>
      <c r="K1016" s="4">
        <v>6</v>
      </c>
      <c r="O1016" s="3"/>
    </row>
    <row r="1017" spans="2:15">
      <c r="B1017" s="2" t="s">
        <v>1088</v>
      </c>
      <c r="C1017" s="2" t="s">
        <v>835</v>
      </c>
      <c r="D1017" s="2" t="s">
        <v>843</v>
      </c>
      <c r="E1017" s="2" t="s">
        <v>847</v>
      </c>
      <c r="F1017" s="2" t="s">
        <v>838</v>
      </c>
      <c r="G1017" s="2">
        <v>30</v>
      </c>
      <c r="H1017" s="2" t="s">
        <v>69</v>
      </c>
      <c r="I1017" s="3">
        <v>750</v>
      </c>
      <c r="J1017" s="3">
        <v>1050</v>
      </c>
      <c r="K1017" s="4">
        <v>3</v>
      </c>
      <c r="O1017" s="3"/>
    </row>
    <row r="1018" spans="2:15">
      <c r="B1018" s="2" t="s">
        <v>1089</v>
      </c>
      <c r="C1018" s="2" t="s">
        <v>835</v>
      </c>
      <c r="D1018" s="2" t="s">
        <v>840</v>
      </c>
      <c r="E1018" s="2" t="s">
        <v>850</v>
      </c>
      <c r="F1018" s="2" t="s">
        <v>838</v>
      </c>
      <c r="G1018" s="2">
        <v>40</v>
      </c>
      <c r="H1018" s="2" t="s">
        <v>51</v>
      </c>
      <c r="I1018" s="3">
        <v>600</v>
      </c>
      <c r="J1018" s="3">
        <v>830</v>
      </c>
      <c r="K1018" s="4">
        <v>4</v>
      </c>
      <c r="O1018" s="3"/>
    </row>
    <row r="1019" spans="2:15">
      <c r="B1019" s="2" t="s">
        <v>1090</v>
      </c>
      <c r="C1019" s="2" t="s">
        <v>835</v>
      </c>
      <c r="D1019" s="2" t="s">
        <v>843</v>
      </c>
      <c r="E1019" s="2" t="s">
        <v>850</v>
      </c>
      <c r="F1019" s="2" t="s">
        <v>838</v>
      </c>
      <c r="G1019" s="2">
        <v>44</v>
      </c>
      <c r="H1019" s="2" t="s">
        <v>29</v>
      </c>
      <c r="I1019" s="3">
        <v>600</v>
      </c>
      <c r="J1019" s="3">
        <v>840</v>
      </c>
      <c r="K1019" s="4">
        <v>6</v>
      </c>
      <c r="O1019" s="3"/>
    </row>
    <row r="1020" spans="2:15">
      <c r="B1020" s="2" t="s">
        <v>1091</v>
      </c>
      <c r="C1020" s="2" t="s">
        <v>835</v>
      </c>
      <c r="D1020" s="2" t="s">
        <v>843</v>
      </c>
      <c r="E1020" s="2" t="s">
        <v>850</v>
      </c>
      <c r="F1020" s="2" t="s">
        <v>838</v>
      </c>
      <c r="G1020" s="2">
        <v>32</v>
      </c>
      <c r="H1020" s="2" t="s">
        <v>51</v>
      </c>
      <c r="I1020" s="3">
        <v>610</v>
      </c>
      <c r="J1020" s="3">
        <v>860</v>
      </c>
      <c r="K1020" s="4">
        <v>3</v>
      </c>
      <c r="O1020" s="3"/>
    </row>
    <row r="1021" spans="2:15">
      <c r="B1021" s="2" t="s">
        <v>1092</v>
      </c>
      <c r="C1021" s="2" t="s">
        <v>835</v>
      </c>
      <c r="D1021" s="2" t="s">
        <v>836</v>
      </c>
      <c r="E1021" s="2" t="s">
        <v>837</v>
      </c>
      <c r="F1021" s="2" t="s">
        <v>838</v>
      </c>
      <c r="G1021" s="2">
        <v>28</v>
      </c>
      <c r="H1021" s="2" t="s">
        <v>62</v>
      </c>
      <c r="I1021" s="3">
        <v>710</v>
      </c>
      <c r="J1021" s="3">
        <v>990</v>
      </c>
      <c r="K1021" s="4">
        <v>4</v>
      </c>
      <c r="O1021" s="3"/>
    </row>
    <row r="1022" spans="2:15">
      <c r="B1022" s="2" t="s">
        <v>1093</v>
      </c>
      <c r="C1022" s="2" t="s">
        <v>835</v>
      </c>
      <c r="D1022" s="2" t="s">
        <v>840</v>
      </c>
      <c r="E1022" s="2" t="s">
        <v>850</v>
      </c>
      <c r="F1022" s="2" t="s">
        <v>838</v>
      </c>
      <c r="G1022" s="2">
        <v>38</v>
      </c>
      <c r="H1022" s="2" t="s">
        <v>62</v>
      </c>
      <c r="I1022" s="3">
        <v>600</v>
      </c>
      <c r="J1022" s="3">
        <v>840</v>
      </c>
      <c r="K1022" s="4">
        <v>4</v>
      </c>
      <c r="O1022" s="3"/>
    </row>
    <row r="1023" spans="2:15">
      <c r="B1023" s="2" t="s">
        <v>1094</v>
      </c>
      <c r="C1023" s="2" t="s">
        <v>835</v>
      </c>
      <c r="D1023" s="2" t="s">
        <v>852</v>
      </c>
      <c r="E1023" s="2" t="s">
        <v>850</v>
      </c>
      <c r="F1023" s="2" t="s">
        <v>838</v>
      </c>
      <c r="G1023" s="2">
        <v>36</v>
      </c>
      <c r="H1023" s="2" t="s">
        <v>104</v>
      </c>
      <c r="I1023" s="3">
        <v>670</v>
      </c>
      <c r="J1023" s="3">
        <v>940</v>
      </c>
      <c r="K1023" s="4">
        <v>4</v>
      </c>
      <c r="O1023" s="3"/>
    </row>
    <row r="1024" spans="2:15">
      <c r="B1024" s="2" t="s">
        <v>1095</v>
      </c>
      <c r="C1024" s="2" t="s">
        <v>835</v>
      </c>
      <c r="D1024" s="2" t="s">
        <v>843</v>
      </c>
      <c r="E1024" s="2" t="s">
        <v>850</v>
      </c>
      <c r="F1024" s="2" t="s">
        <v>838</v>
      </c>
      <c r="G1024" s="2">
        <v>42</v>
      </c>
      <c r="H1024" s="2" t="s">
        <v>64</v>
      </c>
      <c r="I1024" s="3">
        <v>580</v>
      </c>
      <c r="J1024" s="3">
        <v>810</v>
      </c>
      <c r="K1024" s="4">
        <v>4</v>
      </c>
      <c r="O1024" s="3"/>
    </row>
    <row r="1025" spans="2:15">
      <c r="B1025" s="2" t="s">
        <v>1096</v>
      </c>
      <c r="C1025" s="2" t="s">
        <v>835</v>
      </c>
      <c r="D1025" s="2" t="s">
        <v>840</v>
      </c>
      <c r="E1025" s="2" t="s">
        <v>847</v>
      </c>
      <c r="F1025" s="2" t="s">
        <v>838</v>
      </c>
      <c r="G1025" s="2">
        <v>36</v>
      </c>
      <c r="H1025" s="2" t="s">
        <v>94</v>
      </c>
      <c r="I1025" s="3">
        <v>720</v>
      </c>
      <c r="J1025" s="3">
        <v>1010</v>
      </c>
      <c r="K1025" s="4">
        <v>6</v>
      </c>
      <c r="O1025" s="3"/>
    </row>
    <row r="1026" spans="2:15">
      <c r="B1026" s="2" t="s">
        <v>1097</v>
      </c>
      <c r="C1026" s="2" t="s">
        <v>835</v>
      </c>
      <c r="D1026" s="2" t="s">
        <v>836</v>
      </c>
      <c r="E1026" s="2" t="s">
        <v>850</v>
      </c>
      <c r="F1026" s="2" t="s">
        <v>838</v>
      </c>
      <c r="G1026" s="2">
        <v>28</v>
      </c>
      <c r="H1026" s="2" t="s">
        <v>37</v>
      </c>
      <c r="I1026" s="3">
        <v>610</v>
      </c>
      <c r="J1026" s="3">
        <v>860</v>
      </c>
      <c r="K1026" s="4">
        <v>3</v>
      </c>
      <c r="O1026" s="3"/>
    </row>
    <row r="1027" spans="2:15">
      <c r="B1027" s="2" t="s">
        <v>1098</v>
      </c>
      <c r="C1027" s="2" t="s">
        <v>835</v>
      </c>
      <c r="D1027" s="2" t="s">
        <v>843</v>
      </c>
      <c r="E1027" s="2" t="s">
        <v>847</v>
      </c>
      <c r="F1027" s="2" t="s">
        <v>838</v>
      </c>
      <c r="G1027" s="2">
        <v>42</v>
      </c>
      <c r="H1027" s="2" t="s">
        <v>75</v>
      </c>
      <c r="I1027" s="3">
        <v>690</v>
      </c>
      <c r="J1027" s="3">
        <v>960</v>
      </c>
      <c r="K1027" s="4">
        <v>3</v>
      </c>
      <c r="O1027" s="3"/>
    </row>
    <row r="1028" spans="2:15">
      <c r="B1028" s="2" t="s">
        <v>1099</v>
      </c>
      <c r="C1028" s="2" t="s">
        <v>835</v>
      </c>
      <c r="D1028" s="2" t="s">
        <v>843</v>
      </c>
      <c r="E1028" s="2" t="s">
        <v>850</v>
      </c>
      <c r="F1028" s="2" t="s">
        <v>838</v>
      </c>
      <c r="G1028" s="2">
        <v>38</v>
      </c>
      <c r="H1028" s="2" t="s">
        <v>22</v>
      </c>
      <c r="I1028" s="3">
        <v>570</v>
      </c>
      <c r="J1028" s="3">
        <v>800</v>
      </c>
      <c r="K1028" s="4">
        <v>4</v>
      </c>
      <c r="O1028" s="3"/>
    </row>
    <row r="1029" spans="2:15">
      <c r="B1029" s="2" t="s">
        <v>1100</v>
      </c>
      <c r="C1029" s="2" t="s">
        <v>835</v>
      </c>
      <c r="D1029" s="2" t="s">
        <v>852</v>
      </c>
      <c r="E1029" s="2" t="s">
        <v>837</v>
      </c>
      <c r="F1029" s="2" t="s">
        <v>838</v>
      </c>
      <c r="G1029" s="2">
        <v>30</v>
      </c>
      <c r="H1029" s="2" t="s">
        <v>49</v>
      </c>
      <c r="I1029" s="3">
        <v>740</v>
      </c>
      <c r="J1029" s="3">
        <v>1040</v>
      </c>
      <c r="K1029" s="4">
        <v>4</v>
      </c>
      <c r="O1029" s="3"/>
    </row>
    <row r="1030" spans="2:15">
      <c r="B1030" s="2" t="s">
        <v>1101</v>
      </c>
      <c r="C1030" s="2" t="s">
        <v>835</v>
      </c>
      <c r="D1030" s="2" t="s">
        <v>843</v>
      </c>
      <c r="E1030" s="2" t="s">
        <v>850</v>
      </c>
      <c r="F1030" s="2" t="s">
        <v>838</v>
      </c>
      <c r="G1030" s="2">
        <v>34</v>
      </c>
      <c r="H1030" s="2" t="s">
        <v>59</v>
      </c>
      <c r="I1030" s="3">
        <v>580</v>
      </c>
      <c r="J1030" s="3">
        <v>800</v>
      </c>
      <c r="K1030" s="4">
        <v>4</v>
      </c>
      <c r="O1030" s="3"/>
    </row>
    <row r="1031" spans="2:15">
      <c r="B1031" s="2" t="s">
        <v>1102</v>
      </c>
      <c r="C1031" s="2" t="s">
        <v>835</v>
      </c>
      <c r="D1031" s="2" t="s">
        <v>845</v>
      </c>
      <c r="E1031" s="2" t="s">
        <v>850</v>
      </c>
      <c r="F1031" s="2" t="s">
        <v>838</v>
      </c>
      <c r="G1031" s="2">
        <v>28</v>
      </c>
      <c r="H1031" s="2" t="s">
        <v>22</v>
      </c>
      <c r="I1031" s="3">
        <v>570</v>
      </c>
      <c r="J1031" s="3">
        <v>800</v>
      </c>
      <c r="K1031" s="4">
        <v>4</v>
      </c>
      <c r="O1031" s="3"/>
    </row>
    <row r="1032" spans="2:15">
      <c r="B1032" s="2" t="s">
        <v>1103</v>
      </c>
      <c r="C1032" s="2" t="s">
        <v>835</v>
      </c>
      <c r="D1032" s="2" t="s">
        <v>880</v>
      </c>
      <c r="E1032" s="2" t="s">
        <v>837</v>
      </c>
      <c r="F1032" s="2" t="s">
        <v>838</v>
      </c>
      <c r="G1032" s="2">
        <v>40</v>
      </c>
      <c r="H1032" s="2" t="s">
        <v>41</v>
      </c>
      <c r="I1032" s="3">
        <v>600</v>
      </c>
      <c r="J1032" s="3">
        <v>850</v>
      </c>
      <c r="K1032" s="4">
        <v>4</v>
      </c>
      <c r="O1032" s="3"/>
    </row>
    <row r="1033" spans="2:15">
      <c r="B1033" s="2" t="s">
        <v>1104</v>
      </c>
      <c r="C1033" s="2" t="s">
        <v>835</v>
      </c>
      <c r="D1033" s="2" t="s">
        <v>852</v>
      </c>
      <c r="E1033" s="2" t="s">
        <v>847</v>
      </c>
      <c r="F1033" s="2" t="s">
        <v>838</v>
      </c>
      <c r="G1033" s="2">
        <v>36</v>
      </c>
      <c r="H1033" s="2" t="s">
        <v>94</v>
      </c>
      <c r="I1033" s="3">
        <v>670</v>
      </c>
      <c r="J1033" s="3">
        <v>930</v>
      </c>
      <c r="K1033" s="4">
        <v>5</v>
      </c>
      <c r="O1033" s="3"/>
    </row>
    <row r="1034" spans="2:15">
      <c r="B1034" s="2" t="s">
        <v>1105</v>
      </c>
      <c r="C1034" s="2" t="s">
        <v>835</v>
      </c>
      <c r="D1034" s="2" t="s">
        <v>840</v>
      </c>
      <c r="E1034" s="2" t="s">
        <v>850</v>
      </c>
      <c r="F1034" s="2" t="s">
        <v>838</v>
      </c>
      <c r="G1034" s="2">
        <v>36</v>
      </c>
      <c r="H1034" s="2" t="s">
        <v>57</v>
      </c>
      <c r="I1034" s="3">
        <v>580</v>
      </c>
      <c r="J1034" s="3">
        <v>810</v>
      </c>
      <c r="K1034" s="4">
        <v>3</v>
      </c>
      <c r="O1034" s="3"/>
    </row>
    <row r="1035" spans="2:15">
      <c r="B1035" s="2" t="s">
        <v>1106</v>
      </c>
      <c r="C1035" s="2" t="s">
        <v>835</v>
      </c>
      <c r="D1035" s="2" t="s">
        <v>845</v>
      </c>
      <c r="E1035" s="2" t="s">
        <v>837</v>
      </c>
      <c r="F1035" s="2" t="s">
        <v>838</v>
      </c>
      <c r="G1035" s="2">
        <v>32</v>
      </c>
      <c r="H1035" s="2" t="s">
        <v>49</v>
      </c>
      <c r="I1035" s="3">
        <v>770</v>
      </c>
      <c r="J1035" s="3">
        <v>1080</v>
      </c>
      <c r="K1035" s="4">
        <v>4</v>
      </c>
      <c r="O1035" s="3"/>
    </row>
    <row r="1036" spans="2:15">
      <c r="B1036" s="2" t="s">
        <v>1107</v>
      </c>
      <c r="C1036" s="2" t="s">
        <v>835</v>
      </c>
      <c r="D1036" s="2" t="s">
        <v>836</v>
      </c>
      <c r="E1036" s="2" t="s">
        <v>850</v>
      </c>
      <c r="F1036" s="2" t="s">
        <v>838</v>
      </c>
      <c r="G1036" s="2">
        <v>32</v>
      </c>
      <c r="H1036" s="2" t="s">
        <v>71</v>
      </c>
      <c r="I1036" s="3">
        <v>780</v>
      </c>
      <c r="J1036" s="3">
        <v>1090</v>
      </c>
      <c r="K1036" s="4">
        <v>4</v>
      </c>
      <c r="O1036" s="3"/>
    </row>
    <row r="1037" spans="2:15">
      <c r="B1037" s="2" t="s">
        <v>1108</v>
      </c>
      <c r="C1037" s="2" t="s">
        <v>835</v>
      </c>
      <c r="D1037" s="2" t="s">
        <v>845</v>
      </c>
      <c r="E1037" s="2" t="s">
        <v>850</v>
      </c>
      <c r="F1037" s="2" t="s">
        <v>838</v>
      </c>
      <c r="G1037" s="2">
        <v>34</v>
      </c>
      <c r="H1037" s="2" t="s">
        <v>71</v>
      </c>
      <c r="I1037" s="3">
        <v>570</v>
      </c>
      <c r="J1037" s="3">
        <v>800</v>
      </c>
      <c r="K1037" s="4">
        <v>6</v>
      </c>
      <c r="O1037" s="3"/>
    </row>
    <row r="1038" spans="2:15">
      <c r="B1038" s="2" t="s">
        <v>1109</v>
      </c>
      <c r="C1038" s="2" t="s">
        <v>835</v>
      </c>
      <c r="D1038" s="2" t="s">
        <v>845</v>
      </c>
      <c r="E1038" s="2" t="s">
        <v>837</v>
      </c>
      <c r="F1038" s="2" t="s">
        <v>838</v>
      </c>
      <c r="G1038" s="2">
        <v>40</v>
      </c>
      <c r="H1038" s="2" t="s">
        <v>17</v>
      </c>
      <c r="I1038" s="3">
        <v>760</v>
      </c>
      <c r="J1038" s="3">
        <v>1070</v>
      </c>
      <c r="K1038" s="4">
        <v>4</v>
      </c>
      <c r="O1038" s="3"/>
    </row>
    <row r="1039" spans="2:15">
      <c r="B1039" s="2" t="s">
        <v>1110</v>
      </c>
      <c r="C1039" s="2" t="s">
        <v>835</v>
      </c>
      <c r="D1039" s="2" t="s">
        <v>845</v>
      </c>
      <c r="E1039" s="2" t="s">
        <v>850</v>
      </c>
      <c r="F1039" s="2" t="s">
        <v>838</v>
      </c>
      <c r="G1039" s="2">
        <v>32</v>
      </c>
      <c r="H1039" s="2" t="s">
        <v>71</v>
      </c>
      <c r="I1039" s="3">
        <v>630</v>
      </c>
      <c r="J1039" s="3">
        <v>890</v>
      </c>
      <c r="K1039" s="4">
        <v>3</v>
      </c>
      <c r="O1039" s="3"/>
    </row>
    <row r="1040" spans="2:15">
      <c r="B1040" s="2" t="s">
        <v>1111</v>
      </c>
      <c r="C1040" s="2" t="s">
        <v>835</v>
      </c>
      <c r="D1040" s="2" t="s">
        <v>840</v>
      </c>
      <c r="E1040" s="2" t="s">
        <v>847</v>
      </c>
      <c r="F1040" s="2" t="s">
        <v>838</v>
      </c>
      <c r="G1040" s="2">
        <v>44</v>
      </c>
      <c r="H1040" s="2" t="s">
        <v>104</v>
      </c>
      <c r="I1040" s="3">
        <v>660</v>
      </c>
      <c r="J1040" s="3">
        <v>920</v>
      </c>
      <c r="K1040" s="4">
        <v>6</v>
      </c>
      <c r="O1040" s="3"/>
    </row>
    <row r="1041" spans="2:15">
      <c r="B1041" s="2" t="s">
        <v>1112</v>
      </c>
      <c r="C1041" s="2" t="s">
        <v>835</v>
      </c>
      <c r="D1041" s="2" t="s">
        <v>845</v>
      </c>
      <c r="E1041" s="2" t="s">
        <v>837</v>
      </c>
      <c r="F1041" s="2" t="s">
        <v>838</v>
      </c>
      <c r="G1041" s="2">
        <v>42</v>
      </c>
      <c r="H1041" s="2" t="s">
        <v>51</v>
      </c>
      <c r="I1041" s="3">
        <v>680</v>
      </c>
      <c r="J1041" s="3">
        <v>960</v>
      </c>
      <c r="K1041" s="4">
        <v>4</v>
      </c>
      <c r="O1041" s="3"/>
    </row>
    <row r="1042" spans="2:15">
      <c r="B1042" s="2" t="s">
        <v>1113</v>
      </c>
      <c r="C1042" s="2" t="s">
        <v>835</v>
      </c>
      <c r="D1042" s="2" t="s">
        <v>880</v>
      </c>
      <c r="E1042" s="2" t="s">
        <v>847</v>
      </c>
      <c r="F1042" s="2" t="s">
        <v>838</v>
      </c>
      <c r="G1042" s="2">
        <v>34</v>
      </c>
      <c r="H1042" s="2" t="s">
        <v>57</v>
      </c>
      <c r="I1042" s="3">
        <v>570</v>
      </c>
      <c r="J1042" s="3">
        <v>800</v>
      </c>
      <c r="K1042" s="4">
        <v>5</v>
      </c>
      <c r="O1042" s="3"/>
    </row>
    <row r="1043" spans="2:15">
      <c r="B1043" s="2" t="s">
        <v>1114</v>
      </c>
      <c r="C1043" s="2" t="s">
        <v>835</v>
      </c>
      <c r="D1043" s="2" t="s">
        <v>843</v>
      </c>
      <c r="E1043" s="2" t="s">
        <v>850</v>
      </c>
      <c r="F1043" s="2" t="s">
        <v>838</v>
      </c>
      <c r="G1043" s="2">
        <v>28</v>
      </c>
      <c r="H1043" s="2" t="s">
        <v>51</v>
      </c>
      <c r="I1043" s="3">
        <v>620</v>
      </c>
      <c r="J1043" s="3">
        <v>880</v>
      </c>
      <c r="K1043" s="4">
        <v>5</v>
      </c>
      <c r="O1043" s="3"/>
    </row>
    <row r="1044" spans="2:15">
      <c r="B1044" s="2" t="s">
        <v>1115</v>
      </c>
      <c r="C1044" s="2" t="s">
        <v>835</v>
      </c>
      <c r="D1044" s="2" t="s">
        <v>852</v>
      </c>
      <c r="E1044" s="2" t="s">
        <v>837</v>
      </c>
      <c r="F1044" s="2" t="s">
        <v>838</v>
      </c>
      <c r="G1044" s="2">
        <v>42</v>
      </c>
      <c r="H1044" s="2" t="s">
        <v>29</v>
      </c>
      <c r="I1044" s="3">
        <v>590</v>
      </c>
      <c r="J1044" s="3">
        <v>830</v>
      </c>
      <c r="K1044" s="4">
        <v>4</v>
      </c>
      <c r="O1044" s="3"/>
    </row>
    <row r="1045" spans="2:15">
      <c r="B1045" s="2" t="s">
        <v>1116</v>
      </c>
      <c r="C1045" s="2" t="s">
        <v>835</v>
      </c>
      <c r="D1045" s="2" t="s">
        <v>852</v>
      </c>
      <c r="E1045" s="2" t="s">
        <v>837</v>
      </c>
      <c r="F1045" s="2" t="s">
        <v>838</v>
      </c>
      <c r="G1045" s="2">
        <v>38</v>
      </c>
      <c r="H1045" s="2" t="s">
        <v>29</v>
      </c>
      <c r="I1045" s="3">
        <v>770</v>
      </c>
      <c r="J1045" s="3">
        <v>1080</v>
      </c>
      <c r="K1045" s="4">
        <v>3</v>
      </c>
      <c r="O1045" s="3"/>
    </row>
    <row r="1046" spans="2:15">
      <c r="B1046" s="2" t="s">
        <v>1117</v>
      </c>
      <c r="C1046" s="2" t="s">
        <v>835</v>
      </c>
      <c r="D1046" s="2" t="s">
        <v>852</v>
      </c>
      <c r="E1046" s="2" t="s">
        <v>847</v>
      </c>
      <c r="F1046" s="2" t="s">
        <v>838</v>
      </c>
      <c r="G1046" s="2">
        <v>38</v>
      </c>
      <c r="H1046" s="2" t="s">
        <v>75</v>
      </c>
      <c r="I1046" s="3">
        <v>770</v>
      </c>
      <c r="J1046" s="3">
        <v>1080</v>
      </c>
      <c r="K1046" s="4">
        <v>3</v>
      </c>
      <c r="O1046" s="3"/>
    </row>
    <row r="1047" spans="2:15">
      <c r="B1047" s="2" t="s">
        <v>1118</v>
      </c>
      <c r="C1047" s="2" t="s">
        <v>835</v>
      </c>
      <c r="D1047" s="2" t="s">
        <v>845</v>
      </c>
      <c r="E1047" s="2" t="s">
        <v>837</v>
      </c>
      <c r="F1047" s="2" t="s">
        <v>838</v>
      </c>
      <c r="G1047" s="2">
        <v>30</v>
      </c>
      <c r="H1047" s="2" t="s">
        <v>25</v>
      </c>
      <c r="I1047" s="3">
        <v>620</v>
      </c>
      <c r="J1047" s="3">
        <v>880</v>
      </c>
      <c r="K1047" s="4">
        <v>5</v>
      </c>
      <c r="O1047" s="3"/>
    </row>
    <row r="1048" spans="2:15">
      <c r="B1048" s="2" t="s">
        <v>1119</v>
      </c>
      <c r="C1048" s="2" t="s">
        <v>835</v>
      </c>
      <c r="D1048" s="2" t="s">
        <v>840</v>
      </c>
      <c r="E1048" s="2" t="s">
        <v>850</v>
      </c>
      <c r="F1048" s="2" t="s">
        <v>838</v>
      </c>
      <c r="G1048" s="2">
        <v>28</v>
      </c>
      <c r="H1048" s="2" t="s">
        <v>37</v>
      </c>
      <c r="I1048" s="3">
        <v>740</v>
      </c>
      <c r="J1048" s="3">
        <v>1030</v>
      </c>
      <c r="K1048" s="4">
        <v>6</v>
      </c>
      <c r="O1048" s="3"/>
    </row>
    <row r="1049" spans="2:15">
      <c r="B1049" s="2" t="s">
        <v>1120</v>
      </c>
      <c r="C1049" s="2" t="s">
        <v>835</v>
      </c>
      <c r="D1049" s="2" t="s">
        <v>845</v>
      </c>
      <c r="E1049" s="2" t="s">
        <v>850</v>
      </c>
      <c r="F1049" s="2" t="s">
        <v>838</v>
      </c>
      <c r="G1049" s="2">
        <v>38</v>
      </c>
      <c r="H1049" s="2" t="s">
        <v>41</v>
      </c>
      <c r="I1049" s="3">
        <v>640</v>
      </c>
      <c r="J1049" s="3">
        <v>900</v>
      </c>
      <c r="K1049" s="4">
        <v>4</v>
      </c>
      <c r="O1049" s="3"/>
    </row>
    <row r="1050" spans="2:15">
      <c r="B1050" s="2" t="s">
        <v>1121</v>
      </c>
      <c r="C1050" s="2" t="s">
        <v>835</v>
      </c>
      <c r="D1050" s="2" t="s">
        <v>880</v>
      </c>
      <c r="E1050" s="2" t="s">
        <v>850</v>
      </c>
      <c r="F1050" s="2" t="s">
        <v>838</v>
      </c>
      <c r="G1050" s="2">
        <v>44</v>
      </c>
      <c r="H1050" s="2" t="s">
        <v>94</v>
      </c>
      <c r="I1050" s="3">
        <v>720</v>
      </c>
      <c r="J1050" s="3">
        <v>1000</v>
      </c>
      <c r="K1050" s="4">
        <v>4</v>
      </c>
      <c r="O1050" s="3"/>
    </row>
    <row r="1051" spans="2:15">
      <c r="B1051" s="2" t="s">
        <v>1122</v>
      </c>
      <c r="C1051" s="2" t="s">
        <v>835</v>
      </c>
      <c r="D1051" s="2" t="s">
        <v>843</v>
      </c>
      <c r="E1051" s="2" t="s">
        <v>850</v>
      </c>
      <c r="F1051" s="2" t="s">
        <v>838</v>
      </c>
      <c r="G1051" s="2">
        <v>42</v>
      </c>
      <c r="H1051" s="2" t="s">
        <v>71</v>
      </c>
      <c r="I1051" s="3">
        <v>640</v>
      </c>
      <c r="J1051" s="3">
        <v>890</v>
      </c>
      <c r="K1051" s="4">
        <v>4</v>
      </c>
      <c r="O1051" s="3"/>
    </row>
    <row r="1052" spans="2:15">
      <c r="B1052" s="2" t="s">
        <v>1123</v>
      </c>
      <c r="C1052" s="2" t="s">
        <v>835</v>
      </c>
      <c r="D1052" s="2" t="s">
        <v>852</v>
      </c>
      <c r="E1052" s="2" t="s">
        <v>847</v>
      </c>
      <c r="F1052" s="2" t="s">
        <v>838</v>
      </c>
      <c r="G1052" s="2">
        <v>38</v>
      </c>
      <c r="H1052" s="2" t="s">
        <v>33</v>
      </c>
      <c r="I1052" s="3">
        <v>740</v>
      </c>
      <c r="J1052" s="3">
        <v>1040</v>
      </c>
      <c r="K1052" s="4">
        <v>6</v>
      </c>
      <c r="O1052" s="3"/>
    </row>
    <row r="1053" spans="2:15">
      <c r="B1053" s="2" t="s">
        <v>1124</v>
      </c>
      <c r="C1053" s="2" t="s">
        <v>835</v>
      </c>
      <c r="D1053" s="2" t="s">
        <v>840</v>
      </c>
      <c r="E1053" s="2" t="s">
        <v>847</v>
      </c>
      <c r="F1053" s="2" t="s">
        <v>838</v>
      </c>
      <c r="G1053" s="2">
        <v>38</v>
      </c>
      <c r="H1053" s="2" t="s">
        <v>29</v>
      </c>
      <c r="I1053" s="3">
        <v>620</v>
      </c>
      <c r="J1053" s="3">
        <v>870</v>
      </c>
      <c r="K1053" s="4">
        <v>6</v>
      </c>
      <c r="O1053" s="3"/>
    </row>
    <row r="1054" spans="2:15">
      <c r="B1054" s="2" t="s">
        <v>1125</v>
      </c>
      <c r="C1054" s="2" t="s">
        <v>835</v>
      </c>
      <c r="D1054" s="2" t="s">
        <v>880</v>
      </c>
      <c r="E1054" s="2" t="s">
        <v>847</v>
      </c>
      <c r="F1054" s="2" t="s">
        <v>838</v>
      </c>
      <c r="G1054" s="2">
        <v>44</v>
      </c>
      <c r="H1054" s="2" t="s">
        <v>62</v>
      </c>
      <c r="I1054" s="3">
        <v>680</v>
      </c>
      <c r="J1054" s="3">
        <v>950</v>
      </c>
      <c r="K1054" s="4">
        <v>5</v>
      </c>
      <c r="O1054" s="3"/>
    </row>
    <row r="1055" spans="2:15">
      <c r="B1055" s="2" t="s">
        <v>1126</v>
      </c>
      <c r="C1055" s="2" t="s">
        <v>835</v>
      </c>
      <c r="D1055" s="2" t="s">
        <v>880</v>
      </c>
      <c r="E1055" s="2" t="s">
        <v>837</v>
      </c>
      <c r="F1055" s="2" t="s">
        <v>838</v>
      </c>
      <c r="G1055" s="2">
        <v>34</v>
      </c>
      <c r="H1055" s="2" t="s">
        <v>29</v>
      </c>
      <c r="I1055" s="3">
        <v>660</v>
      </c>
      <c r="J1055" s="3">
        <v>930</v>
      </c>
      <c r="K1055" s="4">
        <v>3</v>
      </c>
      <c r="O1055" s="3"/>
    </row>
    <row r="1056" spans="2:15">
      <c r="B1056" s="2" t="s">
        <v>1127</v>
      </c>
      <c r="C1056" s="2" t="s">
        <v>835</v>
      </c>
      <c r="D1056" s="2" t="s">
        <v>845</v>
      </c>
      <c r="E1056" s="2" t="s">
        <v>847</v>
      </c>
      <c r="F1056" s="2" t="s">
        <v>838</v>
      </c>
      <c r="G1056" s="2">
        <v>30</v>
      </c>
      <c r="H1056" s="2" t="s">
        <v>37</v>
      </c>
      <c r="I1056" s="3">
        <v>570</v>
      </c>
      <c r="J1056" s="3">
        <v>800</v>
      </c>
      <c r="K1056" s="4">
        <v>4</v>
      </c>
      <c r="O1056" s="3"/>
    </row>
    <row r="1057" spans="2:15">
      <c r="B1057" s="2" t="s">
        <v>1128</v>
      </c>
      <c r="C1057" s="2" t="s">
        <v>835</v>
      </c>
      <c r="D1057" s="2" t="s">
        <v>840</v>
      </c>
      <c r="E1057" s="2" t="s">
        <v>850</v>
      </c>
      <c r="F1057" s="2" t="s">
        <v>838</v>
      </c>
      <c r="G1057" s="2">
        <v>42</v>
      </c>
      <c r="H1057" s="2" t="s">
        <v>57</v>
      </c>
      <c r="I1057" s="3">
        <v>620</v>
      </c>
      <c r="J1057" s="3">
        <v>870</v>
      </c>
      <c r="K1057" s="4">
        <v>4</v>
      </c>
      <c r="O1057" s="3"/>
    </row>
    <row r="1058" spans="2:15">
      <c r="B1058" s="2" t="s">
        <v>1129</v>
      </c>
      <c r="C1058" s="2" t="s">
        <v>835</v>
      </c>
      <c r="D1058" s="2" t="s">
        <v>852</v>
      </c>
      <c r="E1058" s="2" t="s">
        <v>847</v>
      </c>
      <c r="F1058" s="2" t="s">
        <v>838</v>
      </c>
      <c r="G1058" s="2">
        <v>40</v>
      </c>
      <c r="H1058" s="2" t="s">
        <v>62</v>
      </c>
      <c r="I1058" s="3">
        <v>680</v>
      </c>
      <c r="J1058" s="3">
        <v>960</v>
      </c>
      <c r="K1058" s="4">
        <v>4</v>
      </c>
      <c r="O1058" s="3"/>
    </row>
    <row r="1059" spans="2:15">
      <c r="B1059" s="2" t="s">
        <v>1130</v>
      </c>
      <c r="C1059" s="2" t="s">
        <v>835</v>
      </c>
      <c r="D1059" s="2" t="s">
        <v>836</v>
      </c>
      <c r="E1059" s="2" t="s">
        <v>837</v>
      </c>
      <c r="F1059" s="2" t="s">
        <v>838</v>
      </c>
      <c r="G1059" s="2">
        <v>28</v>
      </c>
      <c r="H1059" s="2" t="s">
        <v>101</v>
      </c>
      <c r="I1059" s="3">
        <v>670</v>
      </c>
      <c r="J1059" s="3">
        <v>940</v>
      </c>
      <c r="K1059" s="4">
        <v>4</v>
      </c>
      <c r="O1059" s="3"/>
    </row>
    <row r="1060" spans="2:15">
      <c r="B1060" s="2" t="s">
        <v>1131</v>
      </c>
      <c r="C1060" s="2" t="s">
        <v>835</v>
      </c>
      <c r="D1060" s="2" t="s">
        <v>840</v>
      </c>
      <c r="E1060" s="2" t="s">
        <v>847</v>
      </c>
      <c r="F1060" s="2" t="s">
        <v>838</v>
      </c>
      <c r="G1060" s="2">
        <v>40</v>
      </c>
      <c r="H1060" s="2" t="s">
        <v>71</v>
      </c>
      <c r="I1060" s="3">
        <v>570</v>
      </c>
      <c r="J1060" s="3">
        <v>790</v>
      </c>
      <c r="K1060" s="4">
        <v>5</v>
      </c>
      <c r="O1060" s="3"/>
    </row>
    <row r="1061" spans="2:15">
      <c r="B1061" s="2" t="s">
        <v>1132</v>
      </c>
      <c r="C1061" s="2" t="s">
        <v>835</v>
      </c>
      <c r="D1061" s="2" t="s">
        <v>852</v>
      </c>
      <c r="E1061" s="2" t="s">
        <v>837</v>
      </c>
      <c r="F1061" s="2" t="s">
        <v>838</v>
      </c>
      <c r="G1061" s="2">
        <v>44</v>
      </c>
      <c r="H1061" s="2" t="s">
        <v>62</v>
      </c>
      <c r="I1061" s="3">
        <v>720</v>
      </c>
      <c r="J1061" s="3">
        <v>1000</v>
      </c>
      <c r="K1061" s="4">
        <v>6</v>
      </c>
      <c r="O1061" s="3"/>
    </row>
    <row r="1062" spans="2:15">
      <c r="B1062" s="2" t="s">
        <v>1133</v>
      </c>
      <c r="C1062" s="2" t="s">
        <v>835</v>
      </c>
      <c r="D1062" s="2" t="s">
        <v>836</v>
      </c>
      <c r="E1062" s="2" t="s">
        <v>850</v>
      </c>
      <c r="F1062" s="2" t="s">
        <v>838</v>
      </c>
      <c r="G1062" s="2">
        <v>36</v>
      </c>
      <c r="H1062" s="2" t="s">
        <v>64</v>
      </c>
      <c r="I1062" s="3">
        <v>670</v>
      </c>
      <c r="J1062" s="3">
        <v>930</v>
      </c>
      <c r="K1062" s="4">
        <v>5</v>
      </c>
      <c r="O1062" s="3"/>
    </row>
    <row r="1063" spans="2:15">
      <c r="B1063" s="2" t="s">
        <v>1134</v>
      </c>
      <c r="C1063" s="2" t="s">
        <v>835</v>
      </c>
      <c r="D1063" s="2" t="s">
        <v>845</v>
      </c>
      <c r="E1063" s="2" t="s">
        <v>837</v>
      </c>
      <c r="F1063" s="2" t="s">
        <v>838</v>
      </c>
      <c r="G1063" s="2">
        <v>28</v>
      </c>
      <c r="H1063" s="2" t="s">
        <v>57</v>
      </c>
      <c r="I1063" s="3">
        <v>610</v>
      </c>
      <c r="J1063" s="3">
        <v>850</v>
      </c>
      <c r="K1063" s="4">
        <v>5</v>
      </c>
      <c r="O1063" s="3"/>
    </row>
    <row r="1064" spans="2:15">
      <c r="B1064" s="2" t="s">
        <v>1135</v>
      </c>
      <c r="C1064" s="2" t="s">
        <v>835</v>
      </c>
      <c r="D1064" s="2" t="s">
        <v>845</v>
      </c>
      <c r="E1064" s="2" t="s">
        <v>847</v>
      </c>
      <c r="F1064" s="2" t="s">
        <v>838</v>
      </c>
      <c r="G1064" s="2">
        <v>44</v>
      </c>
      <c r="H1064" s="2" t="s">
        <v>101</v>
      </c>
      <c r="I1064" s="3">
        <v>620</v>
      </c>
      <c r="J1064" s="3">
        <v>870</v>
      </c>
      <c r="K1064" s="4">
        <v>4</v>
      </c>
      <c r="O1064" s="3"/>
    </row>
    <row r="1065" spans="2:15">
      <c r="B1065" s="2" t="s">
        <v>1136</v>
      </c>
      <c r="C1065" s="2" t="s">
        <v>835</v>
      </c>
      <c r="D1065" s="2" t="s">
        <v>852</v>
      </c>
      <c r="E1065" s="2" t="s">
        <v>850</v>
      </c>
      <c r="F1065" s="2" t="s">
        <v>838</v>
      </c>
      <c r="G1065" s="2">
        <v>32</v>
      </c>
      <c r="H1065" s="2" t="s">
        <v>17</v>
      </c>
      <c r="I1065" s="3">
        <v>590</v>
      </c>
      <c r="J1065" s="3">
        <v>830</v>
      </c>
      <c r="K1065" s="4">
        <v>3</v>
      </c>
      <c r="O1065" s="3"/>
    </row>
    <row r="1066" spans="2:15">
      <c r="B1066" s="2" t="s">
        <v>1137</v>
      </c>
      <c r="C1066" s="2" t="s">
        <v>835</v>
      </c>
      <c r="D1066" s="2" t="s">
        <v>836</v>
      </c>
      <c r="E1066" s="2" t="s">
        <v>850</v>
      </c>
      <c r="F1066" s="2" t="s">
        <v>838</v>
      </c>
      <c r="G1066" s="2">
        <v>42</v>
      </c>
      <c r="H1066" s="2" t="s">
        <v>33</v>
      </c>
      <c r="I1066" s="3">
        <v>560</v>
      </c>
      <c r="J1066" s="3">
        <v>780</v>
      </c>
      <c r="K1066" s="4">
        <v>5</v>
      </c>
      <c r="O1066" s="3"/>
    </row>
    <row r="1067" spans="2:15">
      <c r="B1067" s="2" t="s">
        <v>1138</v>
      </c>
      <c r="C1067" s="2" t="s">
        <v>835</v>
      </c>
      <c r="D1067" s="2" t="s">
        <v>843</v>
      </c>
      <c r="E1067" s="2" t="s">
        <v>850</v>
      </c>
      <c r="F1067" s="2" t="s">
        <v>838</v>
      </c>
      <c r="G1067" s="2">
        <v>38</v>
      </c>
      <c r="H1067" s="2" t="s">
        <v>41</v>
      </c>
      <c r="I1067" s="3">
        <v>600</v>
      </c>
      <c r="J1067" s="3">
        <v>840</v>
      </c>
      <c r="K1067" s="4">
        <v>4</v>
      </c>
      <c r="O1067" s="3"/>
    </row>
    <row r="1068" spans="2:15">
      <c r="B1068" s="2" t="s">
        <v>1139</v>
      </c>
      <c r="C1068" s="2" t="s">
        <v>835</v>
      </c>
      <c r="D1068" s="2" t="s">
        <v>845</v>
      </c>
      <c r="E1068" s="2" t="s">
        <v>850</v>
      </c>
      <c r="F1068" s="2" t="s">
        <v>838</v>
      </c>
      <c r="G1068" s="2">
        <v>44</v>
      </c>
      <c r="H1068" s="2" t="s">
        <v>101</v>
      </c>
      <c r="I1068" s="3">
        <v>640</v>
      </c>
      <c r="J1068" s="3">
        <v>900</v>
      </c>
      <c r="K1068" s="4">
        <v>3</v>
      </c>
      <c r="O1068" s="3"/>
    </row>
    <row r="1069" spans="2:15">
      <c r="B1069" s="2" t="s">
        <v>1140</v>
      </c>
      <c r="C1069" s="2" t="s">
        <v>835</v>
      </c>
      <c r="D1069" s="2" t="s">
        <v>840</v>
      </c>
      <c r="E1069" s="2" t="s">
        <v>837</v>
      </c>
      <c r="F1069" s="2" t="s">
        <v>838</v>
      </c>
      <c r="G1069" s="2">
        <v>32</v>
      </c>
      <c r="H1069" s="2" t="s">
        <v>29</v>
      </c>
      <c r="I1069" s="3">
        <v>780</v>
      </c>
      <c r="J1069" s="3">
        <v>1100</v>
      </c>
      <c r="K1069" s="4">
        <v>5</v>
      </c>
      <c r="O1069" s="3"/>
    </row>
    <row r="1070" spans="2:15">
      <c r="B1070" s="2" t="s">
        <v>1141</v>
      </c>
      <c r="C1070" s="2" t="s">
        <v>835</v>
      </c>
      <c r="D1070" s="2" t="s">
        <v>840</v>
      </c>
      <c r="E1070" s="2" t="s">
        <v>850</v>
      </c>
      <c r="F1070" s="2" t="s">
        <v>838</v>
      </c>
      <c r="G1070" s="2">
        <v>36</v>
      </c>
      <c r="H1070" s="2" t="s">
        <v>51</v>
      </c>
      <c r="I1070" s="3">
        <v>590</v>
      </c>
      <c r="J1070" s="3">
        <v>820</v>
      </c>
      <c r="K1070" s="4">
        <v>5</v>
      </c>
      <c r="O1070" s="3"/>
    </row>
    <row r="1071" spans="2:15">
      <c r="B1071" s="2" t="s">
        <v>1142</v>
      </c>
      <c r="C1071" s="2" t="s">
        <v>835</v>
      </c>
      <c r="D1071" s="2" t="s">
        <v>880</v>
      </c>
      <c r="E1071" s="2" t="s">
        <v>850</v>
      </c>
      <c r="F1071" s="2" t="s">
        <v>838</v>
      </c>
      <c r="G1071" s="2">
        <v>42</v>
      </c>
      <c r="H1071" s="2" t="s">
        <v>49</v>
      </c>
      <c r="I1071" s="3">
        <v>740</v>
      </c>
      <c r="J1071" s="3">
        <v>1040</v>
      </c>
      <c r="K1071" s="4">
        <v>3</v>
      </c>
      <c r="O1071" s="3"/>
    </row>
    <row r="1072" spans="2:15">
      <c r="B1072" s="2" t="s">
        <v>1143</v>
      </c>
      <c r="C1072" s="2" t="s">
        <v>835</v>
      </c>
      <c r="D1072" s="2" t="s">
        <v>845</v>
      </c>
      <c r="E1072" s="2" t="s">
        <v>847</v>
      </c>
      <c r="F1072" s="2" t="s">
        <v>838</v>
      </c>
      <c r="G1072" s="2">
        <v>44</v>
      </c>
      <c r="H1072" s="2" t="s">
        <v>37</v>
      </c>
      <c r="I1072" s="3">
        <v>740</v>
      </c>
      <c r="J1072" s="3">
        <v>1030</v>
      </c>
      <c r="K1072" s="4">
        <v>5</v>
      </c>
      <c r="O1072" s="3"/>
    </row>
    <row r="1073" spans="2:15">
      <c r="B1073" s="2" t="s">
        <v>1144</v>
      </c>
      <c r="C1073" s="2" t="s">
        <v>835</v>
      </c>
      <c r="D1073" s="2" t="s">
        <v>845</v>
      </c>
      <c r="E1073" s="2" t="s">
        <v>850</v>
      </c>
      <c r="F1073" s="2" t="s">
        <v>838</v>
      </c>
      <c r="G1073" s="2">
        <v>42</v>
      </c>
      <c r="H1073" s="2" t="s">
        <v>41</v>
      </c>
      <c r="I1073" s="3">
        <v>560</v>
      </c>
      <c r="J1073" s="3">
        <v>780</v>
      </c>
      <c r="K1073" s="4">
        <v>3</v>
      </c>
      <c r="O1073" s="3"/>
    </row>
    <row r="1074" spans="2:15">
      <c r="B1074" s="2" t="s">
        <v>1145</v>
      </c>
      <c r="C1074" s="2" t="s">
        <v>1146</v>
      </c>
      <c r="D1074" s="2" t="s">
        <v>1147</v>
      </c>
      <c r="E1074" s="2" t="s">
        <v>850</v>
      </c>
      <c r="F1074" s="2" t="s">
        <v>15</v>
      </c>
      <c r="G1074" s="2">
        <v>34</v>
      </c>
      <c r="H1074" s="2" t="s">
        <v>71</v>
      </c>
      <c r="I1074" s="3">
        <v>580</v>
      </c>
      <c r="J1074" s="3">
        <v>820</v>
      </c>
      <c r="K1074" s="4">
        <v>4</v>
      </c>
      <c r="O1074" s="3"/>
    </row>
    <row r="1075" spans="2:15">
      <c r="B1075" s="2" t="s">
        <v>1148</v>
      </c>
      <c r="C1075" s="2" t="s">
        <v>1146</v>
      </c>
      <c r="D1075" s="2" t="s">
        <v>1149</v>
      </c>
      <c r="E1075" s="2" t="s">
        <v>1150</v>
      </c>
      <c r="F1075" s="2" t="s">
        <v>24</v>
      </c>
      <c r="G1075" s="2">
        <v>44</v>
      </c>
      <c r="H1075" s="2" t="s">
        <v>29</v>
      </c>
      <c r="I1075" s="3">
        <v>570</v>
      </c>
      <c r="J1075" s="3">
        <v>800</v>
      </c>
      <c r="K1075" s="4">
        <v>3</v>
      </c>
      <c r="O1075" s="3"/>
    </row>
    <row r="1076" spans="2:15">
      <c r="B1076" s="2" t="s">
        <v>1151</v>
      </c>
      <c r="C1076" s="2" t="s">
        <v>1146</v>
      </c>
      <c r="D1076" s="2" t="s">
        <v>1152</v>
      </c>
      <c r="E1076" s="2" t="s">
        <v>1153</v>
      </c>
      <c r="F1076" s="2" t="s">
        <v>24</v>
      </c>
      <c r="G1076" s="2">
        <v>38</v>
      </c>
      <c r="H1076" s="2" t="s">
        <v>25</v>
      </c>
      <c r="I1076" s="3">
        <v>630</v>
      </c>
      <c r="J1076" s="3">
        <v>880</v>
      </c>
      <c r="K1076" s="4">
        <v>3</v>
      </c>
      <c r="O1076" s="3"/>
    </row>
    <row r="1077" spans="2:15">
      <c r="B1077" s="2" t="s">
        <v>1154</v>
      </c>
      <c r="C1077" s="2" t="s">
        <v>1146</v>
      </c>
      <c r="D1077" s="2" t="s">
        <v>1155</v>
      </c>
      <c r="E1077" s="2" t="s">
        <v>1156</v>
      </c>
      <c r="F1077" s="2" t="s">
        <v>20</v>
      </c>
      <c r="G1077" s="2">
        <v>40</v>
      </c>
      <c r="H1077" s="2" t="s">
        <v>41</v>
      </c>
      <c r="I1077" s="3">
        <v>670</v>
      </c>
      <c r="J1077" s="3">
        <v>940</v>
      </c>
      <c r="K1077" s="4">
        <v>6</v>
      </c>
      <c r="O1077" s="3"/>
    </row>
    <row r="1078" spans="2:15">
      <c r="B1078" s="2" t="s">
        <v>1157</v>
      </c>
      <c r="C1078" s="2" t="s">
        <v>1146</v>
      </c>
      <c r="D1078" s="2" t="s">
        <v>1147</v>
      </c>
      <c r="E1078" s="2" t="s">
        <v>1158</v>
      </c>
      <c r="F1078" s="2" t="s">
        <v>24</v>
      </c>
      <c r="G1078" s="2">
        <v>38</v>
      </c>
      <c r="H1078" s="2" t="s">
        <v>101</v>
      </c>
      <c r="I1078" s="3">
        <v>600</v>
      </c>
      <c r="J1078" s="3">
        <v>830</v>
      </c>
      <c r="K1078" s="4">
        <v>6</v>
      </c>
      <c r="O1078" s="3"/>
    </row>
    <row r="1079" spans="2:15">
      <c r="B1079" s="2" t="s">
        <v>1159</v>
      </c>
      <c r="C1079" s="2" t="s">
        <v>1146</v>
      </c>
      <c r="D1079" s="2" t="s">
        <v>1147</v>
      </c>
      <c r="E1079" s="2" t="s">
        <v>1153</v>
      </c>
      <c r="F1079" s="2" t="s">
        <v>24</v>
      </c>
      <c r="G1079" s="2">
        <v>42</v>
      </c>
      <c r="H1079" s="2" t="s">
        <v>22</v>
      </c>
      <c r="I1079" s="3">
        <v>640</v>
      </c>
      <c r="J1079" s="3">
        <v>900</v>
      </c>
      <c r="K1079" s="4">
        <v>6</v>
      </c>
      <c r="O1079" s="3"/>
    </row>
    <row r="1080" spans="2:15">
      <c r="B1080" s="2" t="s">
        <v>1160</v>
      </c>
      <c r="C1080" s="2" t="s">
        <v>1146</v>
      </c>
      <c r="D1080" s="2" t="s">
        <v>1149</v>
      </c>
      <c r="E1080" s="2" t="s">
        <v>1156</v>
      </c>
      <c r="F1080" s="2" t="s">
        <v>15</v>
      </c>
      <c r="G1080" s="2">
        <v>40</v>
      </c>
      <c r="H1080" s="2" t="s">
        <v>57</v>
      </c>
      <c r="I1080" s="3">
        <v>570</v>
      </c>
      <c r="J1080" s="3">
        <v>800</v>
      </c>
      <c r="K1080" s="4">
        <v>3</v>
      </c>
      <c r="O1080" s="3"/>
    </row>
    <row r="1081" spans="2:15">
      <c r="B1081" s="2" t="s">
        <v>1161</v>
      </c>
      <c r="C1081" s="2" t="s">
        <v>1146</v>
      </c>
      <c r="D1081" s="2" t="s">
        <v>1149</v>
      </c>
      <c r="E1081" s="2" t="s">
        <v>1158</v>
      </c>
      <c r="F1081" s="2" t="s">
        <v>24</v>
      </c>
      <c r="G1081" s="2">
        <v>44</v>
      </c>
      <c r="H1081" s="2" t="s">
        <v>49</v>
      </c>
      <c r="I1081" s="3">
        <v>540</v>
      </c>
      <c r="J1081" s="3">
        <v>750</v>
      </c>
      <c r="K1081" s="4">
        <v>3</v>
      </c>
      <c r="O1081" s="3"/>
    </row>
    <row r="1082" spans="2:15">
      <c r="B1082" s="2" t="s">
        <v>1162</v>
      </c>
      <c r="C1082" s="2" t="s">
        <v>1146</v>
      </c>
      <c r="D1082" s="2" t="s">
        <v>1152</v>
      </c>
      <c r="E1082" s="2" t="s">
        <v>1150</v>
      </c>
      <c r="F1082" s="2" t="s">
        <v>24</v>
      </c>
      <c r="G1082" s="2">
        <v>40</v>
      </c>
      <c r="H1082" s="2" t="s">
        <v>33</v>
      </c>
      <c r="I1082" s="3">
        <v>650</v>
      </c>
      <c r="J1082" s="3">
        <v>910</v>
      </c>
      <c r="K1082" s="4">
        <v>6</v>
      </c>
      <c r="O1082" s="3"/>
    </row>
    <row r="1083" spans="2:15">
      <c r="B1083" s="2" t="s">
        <v>1163</v>
      </c>
      <c r="C1083" s="2" t="s">
        <v>1146</v>
      </c>
      <c r="D1083" s="2" t="s">
        <v>1164</v>
      </c>
      <c r="E1083" s="2" t="s">
        <v>1156</v>
      </c>
      <c r="F1083" s="2" t="s">
        <v>15</v>
      </c>
      <c r="G1083" s="2">
        <v>32</v>
      </c>
      <c r="H1083" s="2" t="s">
        <v>94</v>
      </c>
      <c r="I1083" s="3">
        <v>540</v>
      </c>
      <c r="J1083" s="3">
        <v>760</v>
      </c>
      <c r="K1083" s="4">
        <v>4</v>
      </c>
      <c r="O1083" s="3"/>
    </row>
    <row r="1084" spans="2:15">
      <c r="B1084" s="2" t="s">
        <v>1165</v>
      </c>
      <c r="C1084" s="2" t="s">
        <v>1146</v>
      </c>
      <c r="D1084" s="2" t="s">
        <v>1155</v>
      </c>
      <c r="E1084" s="2" t="s">
        <v>850</v>
      </c>
      <c r="F1084" s="2" t="s">
        <v>1166</v>
      </c>
      <c r="G1084" s="2">
        <v>28</v>
      </c>
      <c r="H1084" s="2" t="s">
        <v>101</v>
      </c>
      <c r="I1084" s="3">
        <v>600</v>
      </c>
      <c r="J1084" s="3">
        <v>840</v>
      </c>
      <c r="K1084" s="4">
        <v>5</v>
      </c>
      <c r="O1084" s="3"/>
    </row>
    <row r="1085" spans="2:15">
      <c r="B1085" s="2" t="s">
        <v>1167</v>
      </c>
      <c r="C1085" s="2" t="s">
        <v>1146</v>
      </c>
      <c r="D1085" s="2" t="s">
        <v>1164</v>
      </c>
      <c r="E1085" s="2" t="s">
        <v>1156</v>
      </c>
      <c r="F1085" s="2" t="s">
        <v>20</v>
      </c>
      <c r="G1085" s="2">
        <v>28</v>
      </c>
      <c r="H1085" s="2" t="s">
        <v>69</v>
      </c>
      <c r="I1085" s="3">
        <v>630</v>
      </c>
      <c r="J1085" s="3">
        <v>880</v>
      </c>
      <c r="K1085" s="4">
        <v>4</v>
      </c>
      <c r="O1085" s="3"/>
    </row>
    <row r="1086" spans="2:15">
      <c r="B1086" s="2" t="s">
        <v>1168</v>
      </c>
      <c r="C1086" s="2" t="s">
        <v>1146</v>
      </c>
      <c r="D1086" s="2" t="s">
        <v>1155</v>
      </c>
      <c r="E1086" s="2" t="s">
        <v>1156</v>
      </c>
      <c r="F1086" s="2" t="s">
        <v>20</v>
      </c>
      <c r="G1086" s="2">
        <v>36</v>
      </c>
      <c r="H1086" s="2" t="s">
        <v>22</v>
      </c>
      <c r="I1086" s="3">
        <v>570</v>
      </c>
      <c r="J1086" s="3">
        <v>790</v>
      </c>
      <c r="K1086" s="4">
        <v>4</v>
      </c>
      <c r="O1086" s="3"/>
    </row>
    <row r="1087" spans="2:15">
      <c r="B1087" s="2" t="s">
        <v>1169</v>
      </c>
      <c r="C1087" s="2" t="s">
        <v>1146</v>
      </c>
      <c r="D1087" s="2" t="s">
        <v>1149</v>
      </c>
      <c r="E1087" s="2" t="s">
        <v>1150</v>
      </c>
      <c r="F1087" s="2" t="s">
        <v>24</v>
      </c>
      <c r="G1087" s="2">
        <v>36</v>
      </c>
      <c r="H1087" s="2" t="s">
        <v>51</v>
      </c>
      <c r="I1087" s="3">
        <v>620</v>
      </c>
      <c r="J1087" s="3">
        <v>880</v>
      </c>
      <c r="K1087" s="4">
        <v>3</v>
      </c>
      <c r="O1087" s="3"/>
    </row>
    <row r="1088" spans="2:15">
      <c r="B1088" s="2" t="s">
        <v>1170</v>
      </c>
      <c r="C1088" s="2" t="s">
        <v>1146</v>
      </c>
      <c r="D1088" s="2" t="s">
        <v>1155</v>
      </c>
      <c r="E1088" s="2" t="s">
        <v>850</v>
      </c>
      <c r="F1088" s="2" t="s">
        <v>1166</v>
      </c>
      <c r="G1088" s="2">
        <v>40</v>
      </c>
      <c r="H1088" s="2" t="s">
        <v>33</v>
      </c>
      <c r="I1088" s="3">
        <v>650</v>
      </c>
      <c r="J1088" s="3">
        <v>910</v>
      </c>
      <c r="K1088" s="4">
        <v>6</v>
      </c>
      <c r="O1088" s="3"/>
    </row>
    <row r="1089" spans="2:15">
      <c r="B1089" s="2" t="s">
        <v>1171</v>
      </c>
      <c r="C1089" s="2" t="s">
        <v>1146</v>
      </c>
      <c r="D1089" s="2" t="s">
        <v>1147</v>
      </c>
      <c r="E1089" s="2" t="s">
        <v>1158</v>
      </c>
      <c r="F1089" s="2" t="s">
        <v>24</v>
      </c>
      <c r="G1089" s="2">
        <v>28</v>
      </c>
      <c r="H1089" s="2" t="s">
        <v>33</v>
      </c>
      <c r="I1089" s="3">
        <v>680</v>
      </c>
      <c r="J1089" s="3">
        <v>950</v>
      </c>
      <c r="K1089" s="4">
        <v>4</v>
      </c>
      <c r="O1089" s="3"/>
    </row>
    <row r="1090" spans="2:15">
      <c r="B1090" s="2" t="s">
        <v>1172</v>
      </c>
      <c r="C1090" s="2" t="s">
        <v>1146</v>
      </c>
      <c r="D1090" s="2" t="s">
        <v>1147</v>
      </c>
      <c r="E1090" s="2" t="s">
        <v>1153</v>
      </c>
      <c r="F1090" s="2" t="s">
        <v>24</v>
      </c>
      <c r="G1090" s="2">
        <v>42</v>
      </c>
      <c r="H1090" s="2" t="s">
        <v>57</v>
      </c>
      <c r="I1090" s="3">
        <v>650</v>
      </c>
      <c r="J1090" s="3">
        <v>910</v>
      </c>
      <c r="K1090" s="4">
        <v>5</v>
      </c>
      <c r="O1090" s="3"/>
    </row>
    <row r="1091" spans="2:15">
      <c r="B1091" s="2" t="s">
        <v>1173</v>
      </c>
      <c r="C1091" s="2" t="s">
        <v>1146</v>
      </c>
      <c r="D1091" s="2" t="s">
        <v>1147</v>
      </c>
      <c r="E1091" s="2" t="s">
        <v>1158</v>
      </c>
      <c r="F1091" s="2" t="s">
        <v>24</v>
      </c>
      <c r="G1091" s="2">
        <v>40</v>
      </c>
      <c r="H1091" s="2" t="s">
        <v>41</v>
      </c>
      <c r="I1091" s="3">
        <v>540</v>
      </c>
      <c r="J1091" s="3">
        <v>760</v>
      </c>
      <c r="K1091" s="4">
        <v>3</v>
      </c>
      <c r="O1091" s="3"/>
    </row>
    <row r="1092" spans="2:15">
      <c r="B1092" s="2" t="s">
        <v>1174</v>
      </c>
      <c r="C1092" s="2" t="s">
        <v>1146</v>
      </c>
      <c r="D1092" s="2" t="s">
        <v>1155</v>
      </c>
      <c r="E1092" s="2" t="s">
        <v>850</v>
      </c>
      <c r="F1092" s="2" t="s">
        <v>15</v>
      </c>
      <c r="G1092" s="2">
        <v>30</v>
      </c>
      <c r="H1092" s="2" t="s">
        <v>75</v>
      </c>
      <c r="I1092" s="3">
        <v>570</v>
      </c>
      <c r="J1092" s="3">
        <v>800</v>
      </c>
      <c r="K1092" s="4">
        <v>4</v>
      </c>
      <c r="O1092" s="3"/>
    </row>
    <row r="1093" spans="2:15">
      <c r="B1093" s="2" t="s">
        <v>1175</v>
      </c>
      <c r="C1093" s="2" t="s">
        <v>1146</v>
      </c>
      <c r="D1093" s="2" t="s">
        <v>1149</v>
      </c>
      <c r="E1093" s="2" t="s">
        <v>1150</v>
      </c>
      <c r="F1093" s="2" t="s">
        <v>24</v>
      </c>
      <c r="G1093" s="2">
        <v>32</v>
      </c>
      <c r="H1093" s="2" t="s">
        <v>62</v>
      </c>
      <c r="I1093" s="3">
        <v>660</v>
      </c>
      <c r="J1093" s="3">
        <v>920</v>
      </c>
      <c r="K1093" s="4">
        <v>5</v>
      </c>
      <c r="O1093" s="3"/>
    </row>
    <row r="1094" spans="2:15">
      <c r="B1094" s="2" t="s">
        <v>1176</v>
      </c>
      <c r="C1094" s="2" t="s">
        <v>1146</v>
      </c>
      <c r="D1094" s="2" t="s">
        <v>1155</v>
      </c>
      <c r="E1094" s="2" t="s">
        <v>1158</v>
      </c>
      <c r="F1094" s="2" t="s">
        <v>24</v>
      </c>
      <c r="G1094" s="2">
        <v>38</v>
      </c>
      <c r="H1094" s="2" t="s">
        <v>37</v>
      </c>
      <c r="I1094" s="3">
        <v>580</v>
      </c>
      <c r="J1094" s="3">
        <v>810</v>
      </c>
      <c r="K1094" s="4">
        <v>5</v>
      </c>
      <c r="O1094" s="3"/>
    </row>
    <row r="1095" spans="2:15">
      <c r="B1095" s="2" t="s">
        <v>1177</v>
      </c>
      <c r="C1095" s="2" t="s">
        <v>1146</v>
      </c>
      <c r="D1095" s="2" t="s">
        <v>1147</v>
      </c>
      <c r="E1095" s="2" t="s">
        <v>1153</v>
      </c>
      <c r="F1095" s="2" t="s">
        <v>24</v>
      </c>
      <c r="G1095" s="2">
        <v>36</v>
      </c>
      <c r="H1095" s="2" t="s">
        <v>41</v>
      </c>
      <c r="I1095" s="3">
        <v>540</v>
      </c>
      <c r="J1095" s="3">
        <v>750</v>
      </c>
      <c r="K1095" s="4">
        <v>6</v>
      </c>
      <c r="O1095" s="3"/>
    </row>
    <row r="1096" spans="2:15">
      <c r="B1096" s="2" t="s">
        <v>1178</v>
      </c>
      <c r="C1096" s="2" t="s">
        <v>1146</v>
      </c>
      <c r="D1096" s="2" t="s">
        <v>1155</v>
      </c>
      <c r="E1096" s="2" t="s">
        <v>1153</v>
      </c>
      <c r="F1096" s="2" t="s">
        <v>24</v>
      </c>
      <c r="G1096" s="2">
        <v>34</v>
      </c>
      <c r="H1096" s="2" t="s">
        <v>57</v>
      </c>
      <c r="I1096" s="3">
        <v>600</v>
      </c>
      <c r="J1096" s="3">
        <v>850</v>
      </c>
      <c r="K1096" s="4">
        <v>4</v>
      </c>
      <c r="O1096" s="3"/>
    </row>
    <row r="1097" spans="2:15">
      <c r="B1097" s="2" t="s">
        <v>1179</v>
      </c>
      <c r="C1097" s="2" t="s">
        <v>1146</v>
      </c>
      <c r="D1097" s="2" t="s">
        <v>1164</v>
      </c>
      <c r="E1097" s="2" t="s">
        <v>850</v>
      </c>
      <c r="F1097" s="2" t="s">
        <v>15</v>
      </c>
      <c r="G1097" s="2">
        <v>44</v>
      </c>
      <c r="H1097" s="2" t="s">
        <v>62</v>
      </c>
      <c r="I1097" s="3">
        <v>550</v>
      </c>
      <c r="J1097" s="3">
        <v>770</v>
      </c>
      <c r="K1097" s="4">
        <v>3</v>
      </c>
      <c r="O1097" s="3"/>
    </row>
    <row r="1098" spans="2:15">
      <c r="B1098" s="2" t="s">
        <v>1180</v>
      </c>
      <c r="C1098" s="2" t="s">
        <v>1146</v>
      </c>
      <c r="D1098" s="2" t="s">
        <v>1152</v>
      </c>
      <c r="E1098" s="2" t="s">
        <v>1150</v>
      </c>
      <c r="F1098" s="2" t="s">
        <v>24</v>
      </c>
      <c r="G1098" s="2">
        <v>32</v>
      </c>
      <c r="H1098" s="2" t="s">
        <v>69</v>
      </c>
      <c r="I1098" s="3">
        <v>610</v>
      </c>
      <c r="J1098" s="3">
        <v>850</v>
      </c>
      <c r="K1098" s="4">
        <v>6</v>
      </c>
      <c r="O1098" s="3"/>
    </row>
    <row r="1099" spans="2:15">
      <c r="B1099" s="2" t="s">
        <v>1181</v>
      </c>
      <c r="C1099" s="2" t="s">
        <v>1146</v>
      </c>
      <c r="D1099" s="2" t="s">
        <v>1155</v>
      </c>
      <c r="E1099" s="2" t="s">
        <v>1158</v>
      </c>
      <c r="F1099" s="2" t="s">
        <v>24</v>
      </c>
      <c r="G1099" s="2">
        <v>42</v>
      </c>
      <c r="H1099" s="2" t="s">
        <v>25</v>
      </c>
      <c r="I1099" s="3">
        <v>590</v>
      </c>
      <c r="J1099" s="3">
        <v>820</v>
      </c>
      <c r="K1099" s="4">
        <v>5</v>
      </c>
      <c r="O1099" s="3"/>
    </row>
    <row r="1100" spans="2:15">
      <c r="B1100" s="2" t="s">
        <v>1182</v>
      </c>
      <c r="C1100" s="2" t="s">
        <v>1146</v>
      </c>
      <c r="D1100" s="2" t="s">
        <v>1155</v>
      </c>
      <c r="E1100" s="2" t="s">
        <v>1150</v>
      </c>
      <c r="F1100" s="2" t="s">
        <v>24</v>
      </c>
      <c r="G1100" s="2">
        <v>30</v>
      </c>
      <c r="H1100" s="2" t="s">
        <v>17</v>
      </c>
      <c r="I1100" s="3">
        <v>540</v>
      </c>
      <c r="J1100" s="3">
        <v>760</v>
      </c>
      <c r="K1100" s="4">
        <v>4</v>
      </c>
      <c r="O1100" s="3"/>
    </row>
    <row r="1101" spans="2:15">
      <c r="B1101" s="2" t="s">
        <v>1183</v>
      </c>
      <c r="C1101" s="2" t="s">
        <v>1146</v>
      </c>
      <c r="D1101" s="2" t="s">
        <v>1149</v>
      </c>
      <c r="E1101" s="2" t="s">
        <v>1153</v>
      </c>
      <c r="F1101" s="2" t="s">
        <v>24</v>
      </c>
      <c r="G1101" s="2">
        <v>32</v>
      </c>
      <c r="H1101" s="2" t="s">
        <v>94</v>
      </c>
      <c r="I1101" s="3">
        <v>680</v>
      </c>
      <c r="J1101" s="3">
        <v>950</v>
      </c>
      <c r="K1101" s="4">
        <v>4</v>
      </c>
      <c r="O1101" s="3"/>
    </row>
    <row r="1102" spans="2:15">
      <c r="B1102" s="2" t="s">
        <v>1184</v>
      </c>
      <c r="C1102" s="2" t="s">
        <v>1146</v>
      </c>
      <c r="D1102" s="2" t="s">
        <v>1152</v>
      </c>
      <c r="E1102" s="2" t="s">
        <v>1150</v>
      </c>
      <c r="F1102" s="2" t="s">
        <v>24</v>
      </c>
      <c r="G1102" s="2">
        <v>28</v>
      </c>
      <c r="H1102" s="2" t="s">
        <v>51</v>
      </c>
      <c r="I1102" s="3">
        <v>520</v>
      </c>
      <c r="J1102" s="3">
        <v>730</v>
      </c>
      <c r="K1102" s="4">
        <v>6</v>
      </c>
      <c r="O1102" s="3"/>
    </row>
    <row r="1103" spans="2:15">
      <c r="B1103" s="2" t="s">
        <v>1185</v>
      </c>
      <c r="C1103" s="2" t="s">
        <v>1146</v>
      </c>
      <c r="D1103" s="2" t="s">
        <v>1149</v>
      </c>
      <c r="E1103" s="2" t="s">
        <v>1150</v>
      </c>
      <c r="F1103" s="2" t="s">
        <v>24</v>
      </c>
      <c r="G1103" s="2">
        <v>44</v>
      </c>
      <c r="H1103" s="2" t="s">
        <v>71</v>
      </c>
      <c r="I1103" s="3">
        <v>510</v>
      </c>
      <c r="J1103" s="3">
        <v>710</v>
      </c>
      <c r="K1103" s="4">
        <v>3</v>
      </c>
      <c r="O1103" s="3"/>
    </row>
    <row r="1104" spans="2:15">
      <c r="B1104" s="2" t="s">
        <v>1186</v>
      </c>
      <c r="C1104" s="2" t="s">
        <v>1146</v>
      </c>
      <c r="D1104" s="2" t="s">
        <v>1147</v>
      </c>
      <c r="E1104" s="2" t="s">
        <v>1158</v>
      </c>
      <c r="F1104" s="2" t="s">
        <v>24</v>
      </c>
      <c r="G1104" s="2">
        <v>30</v>
      </c>
      <c r="H1104" s="2" t="s">
        <v>101</v>
      </c>
      <c r="I1104" s="3">
        <v>620</v>
      </c>
      <c r="J1104" s="3">
        <v>870</v>
      </c>
      <c r="K1104" s="4">
        <v>3</v>
      </c>
      <c r="O1104" s="3"/>
    </row>
    <row r="1105" spans="2:15">
      <c r="B1105" s="2" t="s">
        <v>1187</v>
      </c>
      <c r="C1105" s="2" t="s">
        <v>1146</v>
      </c>
      <c r="D1105" s="2" t="s">
        <v>1147</v>
      </c>
      <c r="E1105" s="2" t="s">
        <v>850</v>
      </c>
      <c r="F1105" s="2" t="s">
        <v>20</v>
      </c>
      <c r="G1105" s="2">
        <v>34</v>
      </c>
      <c r="H1105" s="2" t="s">
        <v>64</v>
      </c>
      <c r="I1105" s="3">
        <v>520</v>
      </c>
      <c r="J1105" s="3">
        <v>730</v>
      </c>
      <c r="K1105" s="4">
        <v>5</v>
      </c>
      <c r="O1105" s="3"/>
    </row>
    <row r="1106" spans="2:15">
      <c r="B1106" s="2" t="s">
        <v>1188</v>
      </c>
      <c r="C1106" s="2" t="s">
        <v>1146</v>
      </c>
      <c r="D1106" s="2" t="s">
        <v>1147</v>
      </c>
      <c r="E1106" s="2" t="s">
        <v>1153</v>
      </c>
      <c r="F1106" s="2" t="s">
        <v>24</v>
      </c>
      <c r="G1106" s="2">
        <v>36</v>
      </c>
      <c r="H1106" s="2" t="s">
        <v>71</v>
      </c>
      <c r="I1106" s="3">
        <v>510</v>
      </c>
      <c r="J1106" s="3">
        <v>710</v>
      </c>
      <c r="K1106" s="4">
        <v>5</v>
      </c>
      <c r="O1106" s="3"/>
    </row>
    <row r="1107" spans="2:15">
      <c r="B1107" s="2" t="s">
        <v>1189</v>
      </c>
      <c r="C1107" s="2" t="s">
        <v>1146</v>
      </c>
      <c r="D1107" s="2" t="s">
        <v>1149</v>
      </c>
      <c r="E1107" s="2" t="s">
        <v>850</v>
      </c>
      <c r="F1107" s="2" t="s">
        <v>15</v>
      </c>
      <c r="G1107" s="2">
        <v>34</v>
      </c>
      <c r="H1107" s="2" t="s">
        <v>75</v>
      </c>
      <c r="I1107" s="3">
        <v>590</v>
      </c>
      <c r="J1107" s="3">
        <v>830</v>
      </c>
      <c r="K1107" s="4">
        <v>3</v>
      </c>
      <c r="O1107" s="3"/>
    </row>
    <row r="1108" spans="2:15">
      <c r="B1108" s="2" t="s">
        <v>1190</v>
      </c>
      <c r="C1108" s="2" t="s">
        <v>1146</v>
      </c>
      <c r="D1108" s="2" t="s">
        <v>1164</v>
      </c>
      <c r="E1108" s="2" t="s">
        <v>1150</v>
      </c>
      <c r="F1108" s="2" t="s">
        <v>24</v>
      </c>
      <c r="G1108" s="2">
        <v>34</v>
      </c>
      <c r="H1108" s="2" t="s">
        <v>94</v>
      </c>
      <c r="I1108" s="3">
        <v>520</v>
      </c>
      <c r="J1108" s="3">
        <v>740</v>
      </c>
      <c r="K1108" s="4">
        <v>5</v>
      </c>
      <c r="O1108" s="3"/>
    </row>
    <row r="1109" spans="2:15">
      <c r="B1109" s="2" t="s">
        <v>1191</v>
      </c>
      <c r="C1109" s="2" t="s">
        <v>1146</v>
      </c>
      <c r="D1109" s="2" t="s">
        <v>1164</v>
      </c>
      <c r="E1109" s="2" t="s">
        <v>1150</v>
      </c>
      <c r="F1109" s="2" t="s">
        <v>24</v>
      </c>
      <c r="G1109" s="2">
        <v>30</v>
      </c>
      <c r="H1109" s="2" t="s">
        <v>94</v>
      </c>
      <c r="I1109" s="3">
        <v>540</v>
      </c>
      <c r="J1109" s="3">
        <v>760</v>
      </c>
      <c r="K1109" s="4">
        <v>6</v>
      </c>
      <c r="O1109" s="3"/>
    </row>
    <row r="1110" spans="2:15">
      <c r="B1110" s="2" t="s">
        <v>1192</v>
      </c>
      <c r="C1110" s="2" t="s">
        <v>1146</v>
      </c>
      <c r="D1110" s="2" t="s">
        <v>1164</v>
      </c>
      <c r="E1110" s="2" t="s">
        <v>1153</v>
      </c>
      <c r="F1110" s="2" t="s">
        <v>24</v>
      </c>
      <c r="G1110" s="2">
        <v>30</v>
      </c>
      <c r="H1110" s="2" t="s">
        <v>64</v>
      </c>
      <c r="I1110" s="3">
        <v>590</v>
      </c>
      <c r="J1110" s="3">
        <v>830</v>
      </c>
      <c r="K1110" s="4">
        <v>5</v>
      </c>
      <c r="O1110" s="3"/>
    </row>
    <row r="1111" spans="2:15">
      <c r="B1111" s="2" t="s">
        <v>1193</v>
      </c>
      <c r="C1111" s="2" t="s">
        <v>1146</v>
      </c>
      <c r="D1111" s="2" t="s">
        <v>1152</v>
      </c>
      <c r="E1111" s="2" t="s">
        <v>1153</v>
      </c>
      <c r="F1111" s="2" t="s">
        <v>24</v>
      </c>
      <c r="G1111" s="2">
        <v>34</v>
      </c>
      <c r="H1111" s="2" t="s">
        <v>22</v>
      </c>
      <c r="I1111" s="3">
        <v>600</v>
      </c>
      <c r="J1111" s="3">
        <v>840</v>
      </c>
      <c r="K1111" s="4">
        <v>3</v>
      </c>
      <c r="O1111" s="3"/>
    </row>
    <row r="1112" spans="2:15">
      <c r="B1112" s="2" t="s">
        <v>1194</v>
      </c>
      <c r="C1112" s="2" t="s">
        <v>1146</v>
      </c>
      <c r="D1112" s="2" t="s">
        <v>1147</v>
      </c>
      <c r="E1112" s="2" t="s">
        <v>1156</v>
      </c>
      <c r="F1112" s="2" t="s">
        <v>20</v>
      </c>
      <c r="G1112" s="2">
        <v>44</v>
      </c>
      <c r="H1112" s="2" t="s">
        <v>57</v>
      </c>
      <c r="I1112" s="3">
        <v>580</v>
      </c>
      <c r="J1112" s="3">
        <v>810</v>
      </c>
      <c r="K1112" s="4">
        <v>6</v>
      </c>
      <c r="O1112" s="3"/>
    </row>
    <row r="1113" spans="2:15">
      <c r="B1113" s="2" t="s">
        <v>1195</v>
      </c>
      <c r="C1113" s="2" t="s">
        <v>1146</v>
      </c>
      <c r="D1113" s="2" t="s">
        <v>1155</v>
      </c>
      <c r="E1113" s="2" t="s">
        <v>850</v>
      </c>
      <c r="F1113" s="2" t="s">
        <v>15</v>
      </c>
      <c r="G1113" s="2">
        <v>28</v>
      </c>
      <c r="H1113" s="2" t="s">
        <v>43</v>
      </c>
      <c r="I1113" s="3">
        <v>590</v>
      </c>
      <c r="J1113" s="3">
        <v>830</v>
      </c>
      <c r="K1113" s="4">
        <v>5</v>
      </c>
      <c r="O1113" s="3"/>
    </row>
    <row r="1114" spans="2:15">
      <c r="B1114" s="2" t="s">
        <v>1196</v>
      </c>
      <c r="C1114" s="2" t="s">
        <v>1146</v>
      </c>
      <c r="D1114" s="2" t="s">
        <v>1147</v>
      </c>
      <c r="E1114" s="2" t="s">
        <v>1156</v>
      </c>
      <c r="F1114" s="2" t="s">
        <v>1166</v>
      </c>
      <c r="G1114" s="2">
        <v>42</v>
      </c>
      <c r="H1114" s="2" t="s">
        <v>25</v>
      </c>
      <c r="I1114" s="3">
        <v>630</v>
      </c>
      <c r="J1114" s="3">
        <v>880</v>
      </c>
      <c r="K1114" s="4">
        <v>5</v>
      </c>
      <c r="O1114" s="3"/>
    </row>
    <row r="1115" spans="2:15">
      <c r="B1115" s="2" t="s">
        <v>1197</v>
      </c>
      <c r="C1115" s="2" t="s">
        <v>1146</v>
      </c>
      <c r="D1115" s="2" t="s">
        <v>1152</v>
      </c>
      <c r="E1115" s="2" t="s">
        <v>1153</v>
      </c>
      <c r="F1115" s="2" t="s">
        <v>24</v>
      </c>
      <c r="G1115" s="2">
        <v>40</v>
      </c>
      <c r="H1115" s="2" t="s">
        <v>101</v>
      </c>
      <c r="I1115" s="3">
        <v>680</v>
      </c>
      <c r="J1115" s="3">
        <v>940</v>
      </c>
      <c r="K1115" s="4">
        <v>6</v>
      </c>
      <c r="O1115" s="3"/>
    </row>
    <row r="1116" spans="2:15">
      <c r="B1116" s="2" t="s">
        <v>1198</v>
      </c>
      <c r="C1116" s="2" t="s">
        <v>1146</v>
      </c>
      <c r="D1116" s="2" t="s">
        <v>1147</v>
      </c>
      <c r="E1116" s="2" t="s">
        <v>1156</v>
      </c>
      <c r="F1116" s="2" t="s">
        <v>15</v>
      </c>
      <c r="G1116" s="2">
        <v>38</v>
      </c>
      <c r="H1116" s="2" t="s">
        <v>64</v>
      </c>
      <c r="I1116" s="3">
        <v>550</v>
      </c>
      <c r="J1116" s="3">
        <v>770</v>
      </c>
      <c r="K1116" s="4">
        <v>3</v>
      </c>
      <c r="O1116" s="3"/>
    </row>
    <row r="1117" spans="2:15">
      <c r="B1117" s="2" t="s">
        <v>1199</v>
      </c>
      <c r="C1117" s="2" t="s">
        <v>1146</v>
      </c>
      <c r="D1117" s="2" t="s">
        <v>1152</v>
      </c>
      <c r="E1117" s="2" t="s">
        <v>1150</v>
      </c>
      <c r="F1117" s="2" t="s">
        <v>24</v>
      </c>
      <c r="G1117" s="2">
        <v>42</v>
      </c>
      <c r="H1117" s="2" t="s">
        <v>75</v>
      </c>
      <c r="I1117" s="3">
        <v>670</v>
      </c>
      <c r="J1117" s="3">
        <v>940</v>
      </c>
      <c r="K1117" s="4">
        <v>3</v>
      </c>
      <c r="O1117" s="3"/>
    </row>
    <row r="1118" spans="2:15">
      <c r="B1118" s="2" t="s">
        <v>1200</v>
      </c>
      <c r="C1118" s="2" t="s">
        <v>1146</v>
      </c>
      <c r="D1118" s="2" t="s">
        <v>1149</v>
      </c>
      <c r="E1118" s="2" t="s">
        <v>1156</v>
      </c>
      <c r="F1118" s="2" t="s">
        <v>1166</v>
      </c>
      <c r="G1118" s="2">
        <v>30</v>
      </c>
      <c r="H1118" s="2" t="s">
        <v>64</v>
      </c>
      <c r="I1118" s="3">
        <v>530</v>
      </c>
      <c r="J1118" s="3">
        <v>740</v>
      </c>
      <c r="K1118" s="4">
        <v>3</v>
      </c>
      <c r="O1118" s="3"/>
    </row>
    <row r="1119" spans="2:15">
      <c r="B1119" s="2" t="s">
        <v>1201</v>
      </c>
      <c r="C1119" s="2" t="s">
        <v>1146</v>
      </c>
      <c r="D1119" s="2" t="s">
        <v>1149</v>
      </c>
      <c r="E1119" s="2" t="s">
        <v>1158</v>
      </c>
      <c r="F1119" s="2" t="s">
        <v>24</v>
      </c>
      <c r="G1119" s="2">
        <v>40</v>
      </c>
      <c r="H1119" s="2" t="s">
        <v>37</v>
      </c>
      <c r="I1119" s="3">
        <v>590</v>
      </c>
      <c r="J1119" s="3">
        <v>830</v>
      </c>
      <c r="K1119" s="4">
        <v>4</v>
      </c>
      <c r="O1119" s="3"/>
    </row>
    <row r="1120" spans="2:15">
      <c r="B1120" s="2" t="s">
        <v>1202</v>
      </c>
      <c r="C1120" s="2" t="s">
        <v>1146</v>
      </c>
      <c r="D1120" s="2" t="s">
        <v>1152</v>
      </c>
      <c r="E1120" s="2" t="s">
        <v>1158</v>
      </c>
      <c r="F1120" s="2" t="s">
        <v>24</v>
      </c>
      <c r="G1120" s="2">
        <v>36</v>
      </c>
      <c r="H1120" s="2" t="s">
        <v>59</v>
      </c>
      <c r="I1120" s="3">
        <v>610</v>
      </c>
      <c r="J1120" s="3">
        <v>850</v>
      </c>
      <c r="K1120" s="4">
        <v>5</v>
      </c>
      <c r="O1120" s="3"/>
    </row>
    <row r="1121" spans="2:15">
      <c r="B1121" s="2" t="s">
        <v>1203</v>
      </c>
      <c r="C1121" s="2" t="s">
        <v>1146</v>
      </c>
      <c r="D1121" s="2" t="s">
        <v>1164</v>
      </c>
      <c r="E1121" s="2" t="s">
        <v>1156</v>
      </c>
      <c r="F1121" s="2" t="s">
        <v>1166</v>
      </c>
      <c r="G1121" s="2">
        <v>44</v>
      </c>
      <c r="H1121" s="2" t="s">
        <v>33</v>
      </c>
      <c r="I1121" s="3">
        <v>620</v>
      </c>
      <c r="J1121" s="3">
        <v>870</v>
      </c>
      <c r="K1121" s="4">
        <v>4</v>
      </c>
      <c r="O1121" s="3"/>
    </row>
    <row r="1122" spans="2:15">
      <c r="B1122" s="2" t="s">
        <v>1204</v>
      </c>
      <c r="C1122" s="2" t="s">
        <v>1146</v>
      </c>
      <c r="D1122" s="2" t="s">
        <v>1147</v>
      </c>
      <c r="E1122" s="2" t="s">
        <v>1150</v>
      </c>
      <c r="F1122" s="2" t="s">
        <v>24</v>
      </c>
      <c r="G1122" s="2">
        <v>42</v>
      </c>
      <c r="H1122" s="2" t="s">
        <v>51</v>
      </c>
      <c r="I1122" s="3">
        <v>620</v>
      </c>
      <c r="J1122" s="3">
        <v>860</v>
      </c>
      <c r="K1122" s="4">
        <v>4</v>
      </c>
      <c r="O1122" s="3"/>
    </row>
    <row r="1123" spans="2:15">
      <c r="B1123" s="2" t="s">
        <v>1205</v>
      </c>
      <c r="C1123" s="2" t="s">
        <v>1146</v>
      </c>
      <c r="D1123" s="2" t="s">
        <v>1149</v>
      </c>
      <c r="E1123" s="2" t="s">
        <v>1150</v>
      </c>
      <c r="F1123" s="2" t="s">
        <v>24</v>
      </c>
      <c r="G1123" s="2">
        <v>28</v>
      </c>
      <c r="H1123" s="2" t="s">
        <v>43</v>
      </c>
      <c r="I1123" s="3">
        <v>660</v>
      </c>
      <c r="J1123" s="3">
        <v>920</v>
      </c>
      <c r="K1123" s="4">
        <v>6</v>
      </c>
      <c r="O1123" s="3"/>
    </row>
    <row r="1124" spans="2:15">
      <c r="B1124" s="2" t="s">
        <v>1206</v>
      </c>
      <c r="C1124" s="2" t="s">
        <v>1146</v>
      </c>
      <c r="D1124" s="2" t="s">
        <v>1147</v>
      </c>
      <c r="E1124" s="2" t="s">
        <v>1153</v>
      </c>
      <c r="F1124" s="2" t="s">
        <v>24</v>
      </c>
      <c r="G1124" s="2">
        <v>38</v>
      </c>
      <c r="H1124" s="2" t="s">
        <v>57</v>
      </c>
      <c r="I1124" s="3">
        <v>670</v>
      </c>
      <c r="J1124" s="3">
        <v>940</v>
      </c>
      <c r="K1124" s="4">
        <v>5</v>
      </c>
      <c r="O1124" s="3"/>
    </row>
    <row r="1125" spans="2:15">
      <c r="B1125" s="2" t="s">
        <v>1207</v>
      </c>
      <c r="C1125" s="2" t="s">
        <v>1146</v>
      </c>
      <c r="D1125" s="2" t="s">
        <v>1164</v>
      </c>
      <c r="E1125" s="2" t="s">
        <v>1150</v>
      </c>
      <c r="F1125" s="2" t="s">
        <v>24</v>
      </c>
      <c r="G1125" s="2">
        <v>44</v>
      </c>
      <c r="H1125" s="2" t="s">
        <v>51</v>
      </c>
      <c r="I1125" s="3">
        <v>660</v>
      </c>
      <c r="J1125" s="3">
        <v>920</v>
      </c>
      <c r="K1125" s="4">
        <v>6</v>
      </c>
      <c r="O1125" s="3"/>
    </row>
    <row r="1126" spans="2:15">
      <c r="B1126" s="2" t="s">
        <v>1208</v>
      </c>
      <c r="C1126" s="2" t="s">
        <v>1146</v>
      </c>
      <c r="D1126" s="2" t="s">
        <v>1155</v>
      </c>
      <c r="E1126" s="2" t="s">
        <v>1156</v>
      </c>
      <c r="F1126" s="2" t="s">
        <v>1166</v>
      </c>
      <c r="G1126" s="2">
        <v>44</v>
      </c>
      <c r="H1126" s="2" t="s">
        <v>33</v>
      </c>
      <c r="I1126" s="3">
        <v>550</v>
      </c>
      <c r="J1126" s="3">
        <v>770</v>
      </c>
      <c r="K1126" s="4">
        <v>5</v>
      </c>
      <c r="O1126" s="3"/>
    </row>
    <row r="1127" spans="2:15">
      <c r="B1127" s="2" t="s">
        <v>1209</v>
      </c>
      <c r="C1127" s="2" t="s">
        <v>1146</v>
      </c>
      <c r="D1127" s="2" t="s">
        <v>1164</v>
      </c>
      <c r="E1127" s="2" t="s">
        <v>1150</v>
      </c>
      <c r="F1127" s="2" t="s">
        <v>24</v>
      </c>
      <c r="G1127" s="2">
        <v>40</v>
      </c>
      <c r="H1127" s="2" t="s">
        <v>37</v>
      </c>
      <c r="I1127" s="3">
        <v>640</v>
      </c>
      <c r="J1127" s="3">
        <v>890</v>
      </c>
      <c r="K1127" s="4">
        <v>6</v>
      </c>
      <c r="O1127" s="3"/>
    </row>
    <row r="1128" spans="2:15">
      <c r="B1128" s="2" t="s">
        <v>1210</v>
      </c>
      <c r="C1128" s="2" t="s">
        <v>1146</v>
      </c>
      <c r="D1128" s="2" t="s">
        <v>1155</v>
      </c>
      <c r="E1128" s="2" t="s">
        <v>1156</v>
      </c>
      <c r="F1128" s="2" t="s">
        <v>1166</v>
      </c>
      <c r="G1128" s="2">
        <v>42</v>
      </c>
      <c r="H1128" s="2" t="s">
        <v>104</v>
      </c>
      <c r="I1128" s="3">
        <v>620</v>
      </c>
      <c r="J1128" s="3">
        <v>860</v>
      </c>
      <c r="K1128" s="4">
        <v>3</v>
      </c>
      <c r="O1128" s="3"/>
    </row>
    <row r="1129" spans="2:15">
      <c r="B1129" s="2" t="s">
        <v>1211</v>
      </c>
      <c r="C1129" s="2" t="s">
        <v>1146</v>
      </c>
      <c r="D1129" s="2" t="s">
        <v>1164</v>
      </c>
      <c r="E1129" s="2" t="s">
        <v>1158</v>
      </c>
      <c r="F1129" s="2" t="s">
        <v>24</v>
      </c>
      <c r="G1129" s="2">
        <v>32</v>
      </c>
      <c r="H1129" s="2" t="s">
        <v>51</v>
      </c>
      <c r="I1129" s="3">
        <v>540</v>
      </c>
      <c r="J1129" s="3">
        <v>760</v>
      </c>
      <c r="K1129" s="4">
        <v>6</v>
      </c>
      <c r="O1129" s="3"/>
    </row>
    <row r="1130" spans="2:15">
      <c r="B1130" s="2" t="s">
        <v>1212</v>
      </c>
      <c r="C1130" s="2" t="s">
        <v>1146</v>
      </c>
      <c r="D1130" s="2" t="s">
        <v>1155</v>
      </c>
      <c r="E1130" s="2" t="s">
        <v>1156</v>
      </c>
      <c r="F1130" s="2" t="s">
        <v>1166</v>
      </c>
      <c r="G1130" s="2">
        <v>30</v>
      </c>
      <c r="H1130" s="2" t="s">
        <v>71</v>
      </c>
      <c r="I1130" s="3">
        <v>530</v>
      </c>
      <c r="J1130" s="3">
        <v>750</v>
      </c>
      <c r="K1130" s="4">
        <v>6</v>
      </c>
      <c r="O1130" s="3"/>
    </row>
    <row r="1131" spans="2:15">
      <c r="B1131" s="2" t="s">
        <v>1213</v>
      </c>
      <c r="C1131" s="2" t="s">
        <v>1146</v>
      </c>
      <c r="D1131" s="2" t="s">
        <v>1164</v>
      </c>
      <c r="E1131" s="2" t="s">
        <v>850</v>
      </c>
      <c r="F1131" s="2" t="s">
        <v>15</v>
      </c>
      <c r="G1131" s="2">
        <v>42</v>
      </c>
      <c r="H1131" s="2" t="s">
        <v>51</v>
      </c>
      <c r="I1131" s="3">
        <v>670</v>
      </c>
      <c r="J1131" s="3">
        <v>940</v>
      </c>
      <c r="K1131" s="4">
        <v>4</v>
      </c>
      <c r="O1131" s="3"/>
    </row>
    <row r="1132" spans="2:15">
      <c r="B1132" s="2" t="s">
        <v>1214</v>
      </c>
      <c r="C1132" s="2" t="s">
        <v>1146</v>
      </c>
      <c r="D1132" s="2" t="s">
        <v>1147</v>
      </c>
      <c r="E1132" s="2" t="s">
        <v>1156</v>
      </c>
      <c r="F1132" s="2" t="s">
        <v>1166</v>
      </c>
      <c r="G1132" s="2">
        <v>42</v>
      </c>
      <c r="H1132" s="2" t="s">
        <v>71</v>
      </c>
      <c r="I1132" s="3">
        <v>630</v>
      </c>
      <c r="J1132" s="3">
        <v>880</v>
      </c>
      <c r="K1132" s="4">
        <v>6</v>
      </c>
      <c r="O1132" s="3"/>
    </row>
    <row r="1133" spans="2:15">
      <c r="B1133" s="2" t="s">
        <v>1215</v>
      </c>
      <c r="C1133" s="2" t="s">
        <v>1146</v>
      </c>
      <c r="D1133" s="2" t="s">
        <v>1155</v>
      </c>
      <c r="E1133" s="2" t="s">
        <v>1158</v>
      </c>
      <c r="F1133" s="2" t="s">
        <v>24</v>
      </c>
      <c r="G1133" s="2">
        <v>28</v>
      </c>
      <c r="H1133" s="2" t="s">
        <v>69</v>
      </c>
      <c r="I1133" s="3">
        <v>660</v>
      </c>
      <c r="J1133" s="3">
        <v>920</v>
      </c>
      <c r="K1133" s="4">
        <v>3</v>
      </c>
      <c r="O1133" s="3"/>
    </row>
    <row r="1134" spans="2:15">
      <c r="B1134" s="2" t="s">
        <v>1216</v>
      </c>
      <c r="C1134" s="2" t="s">
        <v>1146</v>
      </c>
      <c r="D1134" s="2" t="s">
        <v>1155</v>
      </c>
      <c r="E1134" s="2" t="s">
        <v>1158</v>
      </c>
      <c r="F1134" s="2" t="s">
        <v>24</v>
      </c>
      <c r="G1134" s="2">
        <v>28</v>
      </c>
      <c r="H1134" s="2" t="s">
        <v>49</v>
      </c>
      <c r="I1134" s="3">
        <v>530</v>
      </c>
      <c r="J1134" s="3">
        <v>740</v>
      </c>
      <c r="K1134" s="4">
        <v>6</v>
      </c>
      <c r="O1134" s="3"/>
    </row>
    <row r="1135" spans="2:15">
      <c r="B1135" s="2" t="s">
        <v>1217</v>
      </c>
      <c r="C1135" s="2" t="s">
        <v>1146</v>
      </c>
      <c r="D1135" s="2" t="s">
        <v>1152</v>
      </c>
      <c r="E1135" s="2" t="s">
        <v>1158</v>
      </c>
      <c r="F1135" s="2" t="s">
        <v>24</v>
      </c>
      <c r="G1135" s="2">
        <v>40</v>
      </c>
      <c r="H1135" s="2" t="s">
        <v>41</v>
      </c>
      <c r="I1135" s="3">
        <v>520</v>
      </c>
      <c r="J1135" s="3">
        <v>730</v>
      </c>
      <c r="K1135" s="4">
        <v>3</v>
      </c>
      <c r="O1135" s="3"/>
    </row>
    <row r="1136" spans="2:15">
      <c r="B1136" s="2" t="s">
        <v>1218</v>
      </c>
      <c r="C1136" s="2" t="s">
        <v>1146</v>
      </c>
      <c r="D1136" s="2" t="s">
        <v>1149</v>
      </c>
      <c r="E1136" s="2" t="s">
        <v>1153</v>
      </c>
      <c r="F1136" s="2" t="s">
        <v>24</v>
      </c>
      <c r="G1136" s="2">
        <v>36</v>
      </c>
      <c r="H1136" s="2" t="s">
        <v>71</v>
      </c>
      <c r="I1136" s="3">
        <v>670</v>
      </c>
      <c r="J1136" s="3">
        <v>940</v>
      </c>
      <c r="K1136" s="4">
        <v>3</v>
      </c>
      <c r="O1136" s="3"/>
    </row>
    <row r="1137" spans="2:15">
      <c r="B1137" s="2" t="s">
        <v>1219</v>
      </c>
      <c r="C1137" s="2" t="s">
        <v>1146</v>
      </c>
      <c r="D1137" s="2" t="s">
        <v>1147</v>
      </c>
      <c r="E1137" s="2" t="s">
        <v>1158</v>
      </c>
      <c r="F1137" s="2" t="s">
        <v>24</v>
      </c>
      <c r="G1137" s="2">
        <v>38</v>
      </c>
      <c r="H1137" s="2" t="s">
        <v>64</v>
      </c>
      <c r="I1137" s="3">
        <v>680</v>
      </c>
      <c r="J1137" s="3">
        <v>950</v>
      </c>
      <c r="K1137" s="4">
        <v>3</v>
      </c>
      <c r="O1137" s="3"/>
    </row>
    <row r="1138" spans="2:15">
      <c r="B1138" s="2" t="s">
        <v>1220</v>
      </c>
      <c r="C1138" s="2" t="s">
        <v>1146</v>
      </c>
      <c r="D1138" s="2" t="s">
        <v>1155</v>
      </c>
      <c r="E1138" s="2" t="s">
        <v>1150</v>
      </c>
      <c r="F1138" s="2" t="s">
        <v>24</v>
      </c>
      <c r="G1138" s="2">
        <v>40</v>
      </c>
      <c r="H1138" s="2" t="s">
        <v>71</v>
      </c>
      <c r="I1138" s="3">
        <v>640</v>
      </c>
      <c r="J1138" s="3">
        <v>890</v>
      </c>
      <c r="K1138" s="4">
        <v>6</v>
      </c>
      <c r="O1138" s="3"/>
    </row>
    <row r="1139" spans="2:15">
      <c r="B1139" s="2" t="s">
        <v>1221</v>
      </c>
      <c r="C1139" s="2" t="s">
        <v>1146</v>
      </c>
      <c r="D1139" s="2" t="s">
        <v>1147</v>
      </c>
      <c r="E1139" s="2" t="s">
        <v>1156</v>
      </c>
      <c r="F1139" s="2" t="s">
        <v>15</v>
      </c>
      <c r="G1139" s="2">
        <v>28</v>
      </c>
      <c r="H1139" s="2" t="s">
        <v>49</v>
      </c>
      <c r="I1139" s="3">
        <v>570</v>
      </c>
      <c r="J1139" s="3">
        <v>800</v>
      </c>
      <c r="K1139" s="4">
        <v>6</v>
      </c>
      <c r="O1139" s="3"/>
    </row>
    <row r="1140" spans="2:15">
      <c r="B1140" s="2" t="s">
        <v>1222</v>
      </c>
      <c r="C1140" s="2" t="s">
        <v>1146</v>
      </c>
      <c r="D1140" s="2" t="s">
        <v>1152</v>
      </c>
      <c r="E1140" s="2" t="s">
        <v>1158</v>
      </c>
      <c r="F1140" s="2" t="s">
        <v>24</v>
      </c>
      <c r="G1140" s="2">
        <v>30</v>
      </c>
      <c r="H1140" s="2" t="s">
        <v>51</v>
      </c>
      <c r="I1140" s="3">
        <v>650</v>
      </c>
      <c r="J1140" s="3">
        <v>900</v>
      </c>
      <c r="K1140" s="4">
        <v>3</v>
      </c>
      <c r="O1140" s="3"/>
    </row>
    <row r="1141" spans="2:15">
      <c r="B1141" s="2" t="s">
        <v>1223</v>
      </c>
      <c r="C1141" s="2" t="s">
        <v>1146</v>
      </c>
      <c r="D1141" s="2" t="s">
        <v>1149</v>
      </c>
      <c r="E1141" s="2" t="s">
        <v>1158</v>
      </c>
      <c r="F1141" s="2" t="s">
        <v>24</v>
      </c>
      <c r="G1141" s="2">
        <v>44</v>
      </c>
      <c r="H1141" s="2" t="s">
        <v>49</v>
      </c>
      <c r="I1141" s="3">
        <v>680</v>
      </c>
      <c r="J1141" s="3">
        <v>950</v>
      </c>
      <c r="K1141" s="4">
        <v>4</v>
      </c>
      <c r="O1141" s="3"/>
    </row>
    <row r="1142" spans="2:15">
      <c r="B1142" s="2" t="s">
        <v>1224</v>
      </c>
      <c r="C1142" s="2" t="s">
        <v>1146</v>
      </c>
      <c r="D1142" s="2" t="s">
        <v>1155</v>
      </c>
      <c r="E1142" s="2" t="s">
        <v>1158</v>
      </c>
      <c r="F1142" s="2" t="s">
        <v>24</v>
      </c>
      <c r="G1142" s="2">
        <v>34</v>
      </c>
      <c r="H1142" s="2" t="s">
        <v>51</v>
      </c>
      <c r="I1142" s="3">
        <v>660</v>
      </c>
      <c r="J1142" s="3">
        <v>920</v>
      </c>
      <c r="K1142" s="4">
        <v>3</v>
      </c>
      <c r="O1142" s="3"/>
    </row>
    <row r="1143" spans="2:15">
      <c r="B1143" s="2" t="s">
        <v>1225</v>
      </c>
      <c r="C1143" s="2" t="s">
        <v>1146</v>
      </c>
      <c r="D1143" s="2" t="s">
        <v>1149</v>
      </c>
      <c r="E1143" s="2" t="s">
        <v>1158</v>
      </c>
      <c r="F1143" s="2" t="s">
        <v>24</v>
      </c>
      <c r="G1143" s="2">
        <v>28</v>
      </c>
      <c r="H1143" s="2" t="s">
        <v>101</v>
      </c>
      <c r="I1143" s="3">
        <v>640</v>
      </c>
      <c r="J1143" s="3">
        <v>890</v>
      </c>
      <c r="K1143" s="4">
        <v>6</v>
      </c>
      <c r="O1143" s="3"/>
    </row>
    <row r="1144" spans="2:15">
      <c r="B1144" s="2" t="s">
        <v>1226</v>
      </c>
      <c r="C1144" s="2" t="s">
        <v>1146</v>
      </c>
      <c r="D1144" s="2" t="s">
        <v>1164</v>
      </c>
      <c r="E1144" s="2" t="s">
        <v>1150</v>
      </c>
      <c r="F1144" s="2" t="s">
        <v>24</v>
      </c>
      <c r="G1144" s="2">
        <v>30</v>
      </c>
      <c r="H1144" s="2" t="s">
        <v>71</v>
      </c>
      <c r="I1144" s="3">
        <v>560</v>
      </c>
      <c r="J1144" s="3">
        <v>780</v>
      </c>
      <c r="K1144" s="4">
        <v>5</v>
      </c>
      <c r="O1144" s="3"/>
    </row>
    <row r="1145" spans="2:15">
      <c r="B1145" s="2" t="s">
        <v>1227</v>
      </c>
      <c r="C1145" s="2" t="s">
        <v>1146</v>
      </c>
      <c r="D1145" s="2" t="s">
        <v>1147</v>
      </c>
      <c r="E1145" s="2" t="s">
        <v>850</v>
      </c>
      <c r="F1145" s="2" t="s">
        <v>15</v>
      </c>
      <c r="G1145" s="2">
        <v>42</v>
      </c>
      <c r="H1145" s="2" t="s">
        <v>22</v>
      </c>
      <c r="I1145" s="3">
        <v>570</v>
      </c>
      <c r="J1145" s="3">
        <v>800</v>
      </c>
      <c r="K1145" s="4">
        <v>4</v>
      </c>
      <c r="O1145" s="3"/>
    </row>
    <row r="1146" spans="2:15">
      <c r="B1146" s="2" t="s">
        <v>1228</v>
      </c>
      <c r="C1146" s="2" t="s">
        <v>1146</v>
      </c>
      <c r="D1146" s="2" t="s">
        <v>1147</v>
      </c>
      <c r="E1146" s="2" t="s">
        <v>1158</v>
      </c>
      <c r="F1146" s="2" t="s">
        <v>24</v>
      </c>
      <c r="G1146" s="2">
        <v>36</v>
      </c>
      <c r="H1146" s="2" t="s">
        <v>22</v>
      </c>
      <c r="I1146" s="3">
        <v>590</v>
      </c>
      <c r="J1146" s="3">
        <v>820</v>
      </c>
      <c r="K1146" s="4">
        <v>5</v>
      </c>
      <c r="O1146" s="3"/>
    </row>
    <row r="1147" spans="2:15">
      <c r="B1147" s="2" t="s">
        <v>1229</v>
      </c>
      <c r="C1147" s="2" t="s">
        <v>1146</v>
      </c>
      <c r="D1147" s="2" t="s">
        <v>1152</v>
      </c>
      <c r="E1147" s="2" t="s">
        <v>1156</v>
      </c>
      <c r="F1147" s="2" t="s">
        <v>1166</v>
      </c>
      <c r="G1147" s="2">
        <v>44</v>
      </c>
      <c r="H1147" s="2" t="s">
        <v>29</v>
      </c>
      <c r="I1147" s="3">
        <v>550</v>
      </c>
      <c r="J1147" s="3">
        <v>770</v>
      </c>
      <c r="K1147" s="4">
        <v>4</v>
      </c>
      <c r="O1147" s="3"/>
    </row>
    <row r="1148" spans="2:15">
      <c r="B1148" s="2" t="s">
        <v>1230</v>
      </c>
      <c r="C1148" s="2" t="s">
        <v>1146</v>
      </c>
      <c r="D1148" s="2" t="s">
        <v>1164</v>
      </c>
      <c r="E1148" s="2" t="s">
        <v>1153</v>
      </c>
      <c r="F1148" s="2" t="s">
        <v>24</v>
      </c>
      <c r="G1148" s="2">
        <v>42</v>
      </c>
      <c r="H1148" s="2" t="s">
        <v>94</v>
      </c>
      <c r="I1148" s="3">
        <v>500</v>
      </c>
      <c r="J1148" s="3">
        <v>700</v>
      </c>
      <c r="K1148" s="4">
        <v>6</v>
      </c>
      <c r="O1148" s="3"/>
    </row>
    <row r="1149" spans="2:15">
      <c r="B1149" s="2" t="s">
        <v>1231</v>
      </c>
      <c r="C1149" s="2" t="s">
        <v>1146</v>
      </c>
      <c r="D1149" s="2" t="s">
        <v>1164</v>
      </c>
      <c r="E1149" s="2" t="s">
        <v>850</v>
      </c>
      <c r="F1149" s="2" t="s">
        <v>1166</v>
      </c>
      <c r="G1149" s="2">
        <v>28</v>
      </c>
      <c r="H1149" s="2" t="s">
        <v>75</v>
      </c>
      <c r="I1149" s="3">
        <v>570</v>
      </c>
      <c r="J1149" s="3">
        <v>800</v>
      </c>
      <c r="K1149" s="4">
        <v>4</v>
      </c>
      <c r="O1149" s="3"/>
    </row>
    <row r="1150" spans="2:15">
      <c r="B1150" s="2" t="s">
        <v>1232</v>
      </c>
      <c r="C1150" s="2" t="s">
        <v>1146</v>
      </c>
      <c r="D1150" s="2" t="s">
        <v>1152</v>
      </c>
      <c r="E1150" s="2" t="s">
        <v>1153</v>
      </c>
      <c r="F1150" s="2" t="s">
        <v>24</v>
      </c>
      <c r="G1150" s="2">
        <v>32</v>
      </c>
      <c r="H1150" s="2" t="s">
        <v>101</v>
      </c>
      <c r="I1150" s="3">
        <v>590</v>
      </c>
      <c r="J1150" s="3">
        <v>830</v>
      </c>
      <c r="K1150" s="4">
        <v>6</v>
      </c>
      <c r="O1150" s="3"/>
    </row>
    <row r="1151" spans="2:15">
      <c r="B1151" s="2" t="s">
        <v>1233</v>
      </c>
      <c r="C1151" s="2" t="s">
        <v>1146</v>
      </c>
      <c r="D1151" s="2" t="s">
        <v>1155</v>
      </c>
      <c r="E1151" s="2" t="s">
        <v>1150</v>
      </c>
      <c r="F1151" s="2" t="s">
        <v>24</v>
      </c>
      <c r="G1151" s="2">
        <v>34</v>
      </c>
      <c r="H1151" s="2" t="s">
        <v>22</v>
      </c>
      <c r="I1151" s="3">
        <v>600</v>
      </c>
      <c r="J1151" s="3">
        <v>850</v>
      </c>
      <c r="K1151" s="4">
        <v>5</v>
      </c>
      <c r="O1151" s="3"/>
    </row>
    <row r="1152" spans="2:15">
      <c r="B1152" s="2" t="s">
        <v>1234</v>
      </c>
      <c r="C1152" s="2" t="s">
        <v>1146</v>
      </c>
      <c r="D1152" s="2" t="s">
        <v>1149</v>
      </c>
      <c r="E1152" s="2" t="s">
        <v>1158</v>
      </c>
      <c r="F1152" s="2" t="s">
        <v>24</v>
      </c>
      <c r="G1152" s="2">
        <v>34</v>
      </c>
      <c r="H1152" s="2" t="s">
        <v>59</v>
      </c>
      <c r="I1152" s="3">
        <v>570</v>
      </c>
      <c r="J1152" s="3">
        <v>800</v>
      </c>
      <c r="K1152" s="4">
        <v>4</v>
      </c>
      <c r="O1152" s="3"/>
    </row>
    <row r="1153" spans="2:15">
      <c r="B1153" s="2" t="s">
        <v>1235</v>
      </c>
      <c r="C1153" s="2" t="s">
        <v>1146</v>
      </c>
      <c r="D1153" s="2" t="s">
        <v>1149</v>
      </c>
      <c r="E1153" s="2" t="s">
        <v>1153</v>
      </c>
      <c r="F1153" s="2" t="s">
        <v>24</v>
      </c>
      <c r="G1153" s="2">
        <v>34</v>
      </c>
      <c r="H1153" s="2" t="s">
        <v>101</v>
      </c>
      <c r="I1153" s="3">
        <v>530</v>
      </c>
      <c r="J1153" s="3">
        <v>740</v>
      </c>
      <c r="K1153" s="4">
        <v>6</v>
      </c>
      <c r="O1153" s="3"/>
    </row>
    <row r="1154" spans="2:15">
      <c r="B1154" s="2" t="s">
        <v>1236</v>
      </c>
      <c r="C1154" s="2" t="s">
        <v>1146</v>
      </c>
      <c r="D1154" s="2" t="s">
        <v>1164</v>
      </c>
      <c r="E1154" s="2" t="s">
        <v>1156</v>
      </c>
      <c r="F1154" s="2" t="s">
        <v>1166</v>
      </c>
      <c r="G1154" s="2">
        <v>28</v>
      </c>
      <c r="H1154" s="2" t="s">
        <v>94</v>
      </c>
      <c r="I1154" s="3">
        <v>620</v>
      </c>
      <c r="J1154" s="3">
        <v>870</v>
      </c>
      <c r="K1154" s="4">
        <v>4</v>
      </c>
      <c r="O1154" s="3"/>
    </row>
    <row r="1155" spans="2:15">
      <c r="B1155" s="2" t="s">
        <v>1237</v>
      </c>
      <c r="C1155" s="2" t="s">
        <v>1146</v>
      </c>
      <c r="D1155" s="2" t="s">
        <v>1149</v>
      </c>
      <c r="E1155" s="2" t="s">
        <v>1150</v>
      </c>
      <c r="F1155" s="2" t="s">
        <v>24</v>
      </c>
      <c r="G1155" s="2">
        <v>36</v>
      </c>
      <c r="H1155" s="2" t="s">
        <v>62</v>
      </c>
      <c r="I1155" s="3">
        <v>570</v>
      </c>
      <c r="J1155" s="3">
        <v>800</v>
      </c>
      <c r="K1155" s="4">
        <v>4</v>
      </c>
      <c r="O1155" s="3"/>
    </row>
    <row r="1156" spans="2:15">
      <c r="B1156" s="2" t="s">
        <v>1238</v>
      </c>
      <c r="C1156" s="2" t="s">
        <v>1146</v>
      </c>
      <c r="D1156" s="2" t="s">
        <v>1147</v>
      </c>
      <c r="E1156" s="2" t="s">
        <v>1156</v>
      </c>
      <c r="F1156" s="2" t="s">
        <v>20</v>
      </c>
      <c r="G1156" s="2">
        <v>28</v>
      </c>
      <c r="H1156" s="2" t="s">
        <v>43</v>
      </c>
      <c r="I1156" s="3">
        <v>660</v>
      </c>
      <c r="J1156" s="3">
        <v>930</v>
      </c>
      <c r="K1156" s="4">
        <v>5</v>
      </c>
      <c r="O1156" s="3"/>
    </row>
    <row r="1157" spans="2:15">
      <c r="B1157" s="2" t="s">
        <v>1239</v>
      </c>
      <c r="C1157" s="2" t="s">
        <v>1146</v>
      </c>
      <c r="D1157" s="2" t="s">
        <v>1155</v>
      </c>
      <c r="E1157" s="2" t="s">
        <v>1150</v>
      </c>
      <c r="F1157" s="2" t="s">
        <v>24</v>
      </c>
      <c r="G1157" s="2">
        <v>38</v>
      </c>
      <c r="H1157" s="2" t="s">
        <v>43</v>
      </c>
      <c r="I1157" s="3">
        <v>650</v>
      </c>
      <c r="J1157" s="3">
        <v>920</v>
      </c>
      <c r="K1157" s="4">
        <v>6</v>
      </c>
      <c r="O1157" s="3"/>
    </row>
    <row r="1158" spans="2:15">
      <c r="B1158" s="2" t="s">
        <v>1240</v>
      </c>
      <c r="C1158" s="2" t="s">
        <v>1146</v>
      </c>
      <c r="D1158" s="2" t="s">
        <v>1149</v>
      </c>
      <c r="E1158" s="2" t="s">
        <v>1150</v>
      </c>
      <c r="F1158" s="2" t="s">
        <v>24</v>
      </c>
      <c r="G1158" s="2">
        <v>44</v>
      </c>
      <c r="H1158" s="2" t="s">
        <v>37</v>
      </c>
      <c r="I1158" s="3">
        <v>540</v>
      </c>
      <c r="J1158" s="3">
        <v>750</v>
      </c>
      <c r="K1158" s="4">
        <v>5</v>
      </c>
      <c r="O1158" s="3"/>
    </row>
    <row r="1159" spans="2:15">
      <c r="B1159" s="2" t="s">
        <v>1241</v>
      </c>
      <c r="C1159" s="2" t="s">
        <v>1146</v>
      </c>
      <c r="D1159" s="2" t="s">
        <v>1147</v>
      </c>
      <c r="E1159" s="2" t="s">
        <v>1153</v>
      </c>
      <c r="F1159" s="2" t="s">
        <v>24</v>
      </c>
      <c r="G1159" s="2">
        <v>30</v>
      </c>
      <c r="H1159" s="2" t="s">
        <v>49</v>
      </c>
      <c r="I1159" s="3">
        <v>630</v>
      </c>
      <c r="J1159" s="3">
        <v>880</v>
      </c>
      <c r="K1159" s="4">
        <v>5</v>
      </c>
      <c r="O1159" s="3"/>
    </row>
    <row r="1160" spans="2:15">
      <c r="B1160" s="2" t="s">
        <v>1242</v>
      </c>
      <c r="C1160" s="2" t="s">
        <v>1146</v>
      </c>
      <c r="D1160" s="2" t="s">
        <v>1152</v>
      </c>
      <c r="E1160" s="2" t="s">
        <v>1153</v>
      </c>
      <c r="F1160" s="2" t="s">
        <v>24</v>
      </c>
      <c r="G1160" s="2">
        <v>34</v>
      </c>
      <c r="H1160" s="2" t="s">
        <v>57</v>
      </c>
      <c r="I1160" s="3">
        <v>650</v>
      </c>
      <c r="J1160" s="3">
        <v>910</v>
      </c>
      <c r="K1160" s="4">
        <v>3</v>
      </c>
      <c r="O1160" s="3"/>
    </row>
    <row r="1161" spans="2:15">
      <c r="B1161" s="2" t="s">
        <v>1243</v>
      </c>
      <c r="C1161" s="2" t="s">
        <v>1146</v>
      </c>
      <c r="D1161" s="2" t="s">
        <v>1149</v>
      </c>
      <c r="E1161" s="2" t="s">
        <v>1158</v>
      </c>
      <c r="F1161" s="2" t="s">
        <v>24</v>
      </c>
      <c r="G1161" s="2">
        <v>40</v>
      </c>
      <c r="H1161" s="2" t="s">
        <v>33</v>
      </c>
      <c r="I1161" s="3">
        <v>540</v>
      </c>
      <c r="J1161" s="3">
        <v>760</v>
      </c>
      <c r="K1161" s="4">
        <v>3</v>
      </c>
      <c r="O1161" s="3"/>
    </row>
    <row r="1162" spans="2:15">
      <c r="B1162" s="2" t="s">
        <v>1244</v>
      </c>
      <c r="C1162" s="2" t="s">
        <v>1146</v>
      </c>
      <c r="D1162" s="2" t="s">
        <v>1164</v>
      </c>
      <c r="E1162" s="2" t="s">
        <v>1158</v>
      </c>
      <c r="F1162" s="2" t="s">
        <v>24</v>
      </c>
      <c r="G1162" s="2">
        <v>30</v>
      </c>
      <c r="H1162" s="2" t="s">
        <v>49</v>
      </c>
      <c r="I1162" s="3">
        <v>620</v>
      </c>
      <c r="J1162" s="3">
        <v>880</v>
      </c>
      <c r="K1162" s="4">
        <v>6</v>
      </c>
      <c r="O1162" s="3"/>
    </row>
    <row r="1163" spans="2:15">
      <c r="B1163" s="2" t="s">
        <v>1245</v>
      </c>
      <c r="C1163" s="2" t="s">
        <v>1146</v>
      </c>
      <c r="D1163" s="2" t="s">
        <v>1149</v>
      </c>
      <c r="E1163" s="2" t="s">
        <v>1158</v>
      </c>
      <c r="F1163" s="2" t="s">
        <v>24</v>
      </c>
      <c r="G1163" s="2">
        <v>38</v>
      </c>
      <c r="H1163" s="2" t="s">
        <v>51</v>
      </c>
      <c r="I1163" s="3">
        <v>620</v>
      </c>
      <c r="J1163" s="3">
        <v>870</v>
      </c>
      <c r="K1163" s="4">
        <v>5</v>
      </c>
      <c r="O1163" s="3"/>
    </row>
    <row r="1164" spans="2:15">
      <c r="B1164" s="2" t="s">
        <v>1246</v>
      </c>
      <c r="C1164" s="2" t="s">
        <v>1146</v>
      </c>
      <c r="D1164" s="2" t="s">
        <v>1147</v>
      </c>
      <c r="E1164" s="2" t="s">
        <v>850</v>
      </c>
      <c r="F1164" s="2" t="s">
        <v>20</v>
      </c>
      <c r="G1164" s="2">
        <v>28</v>
      </c>
      <c r="H1164" s="2" t="s">
        <v>17</v>
      </c>
      <c r="I1164" s="3">
        <v>580</v>
      </c>
      <c r="J1164" s="3">
        <v>810</v>
      </c>
      <c r="K1164" s="4">
        <v>5</v>
      </c>
      <c r="O1164" s="3"/>
    </row>
    <row r="1165" spans="2:15">
      <c r="B1165" s="2" t="s">
        <v>1247</v>
      </c>
      <c r="C1165" s="2" t="s">
        <v>1146</v>
      </c>
      <c r="D1165" s="2" t="s">
        <v>1152</v>
      </c>
      <c r="E1165" s="2" t="s">
        <v>1158</v>
      </c>
      <c r="F1165" s="2" t="s">
        <v>24</v>
      </c>
      <c r="G1165" s="2">
        <v>38</v>
      </c>
      <c r="H1165" s="2" t="s">
        <v>37</v>
      </c>
      <c r="I1165" s="3">
        <v>640</v>
      </c>
      <c r="J1165" s="3">
        <v>900</v>
      </c>
      <c r="K1165" s="4">
        <v>4</v>
      </c>
      <c r="O1165" s="3"/>
    </row>
    <row r="1166" spans="2:15">
      <c r="B1166" s="2" t="s">
        <v>1248</v>
      </c>
      <c r="C1166" s="2" t="s">
        <v>1146</v>
      </c>
      <c r="D1166" s="2" t="s">
        <v>1152</v>
      </c>
      <c r="E1166" s="2" t="s">
        <v>1150</v>
      </c>
      <c r="F1166" s="2" t="s">
        <v>24</v>
      </c>
      <c r="G1166" s="2">
        <v>36</v>
      </c>
      <c r="H1166" s="2" t="s">
        <v>101</v>
      </c>
      <c r="I1166" s="3">
        <v>610</v>
      </c>
      <c r="J1166" s="3">
        <v>860</v>
      </c>
      <c r="K1166" s="4">
        <v>3</v>
      </c>
      <c r="O1166" s="3"/>
    </row>
    <row r="1167" spans="2:15">
      <c r="B1167" s="2" t="s">
        <v>1249</v>
      </c>
      <c r="C1167" s="2" t="s">
        <v>1146</v>
      </c>
      <c r="D1167" s="2" t="s">
        <v>1155</v>
      </c>
      <c r="E1167" s="2" t="s">
        <v>1153</v>
      </c>
      <c r="F1167" s="2" t="s">
        <v>24</v>
      </c>
      <c r="G1167" s="2">
        <v>42</v>
      </c>
      <c r="H1167" s="2" t="s">
        <v>49</v>
      </c>
      <c r="I1167" s="3">
        <v>560</v>
      </c>
      <c r="J1167" s="3">
        <v>780</v>
      </c>
      <c r="K1167" s="4">
        <v>6</v>
      </c>
      <c r="O1167" s="3"/>
    </row>
    <row r="1168" spans="2:15">
      <c r="B1168" s="2" t="s">
        <v>1250</v>
      </c>
      <c r="C1168" s="2" t="s">
        <v>1146</v>
      </c>
      <c r="D1168" s="2" t="s">
        <v>1155</v>
      </c>
      <c r="E1168" s="2" t="s">
        <v>1150</v>
      </c>
      <c r="F1168" s="2" t="s">
        <v>24</v>
      </c>
      <c r="G1168" s="2">
        <v>42</v>
      </c>
      <c r="H1168" s="2" t="s">
        <v>22</v>
      </c>
      <c r="I1168" s="3">
        <v>510</v>
      </c>
      <c r="J1168" s="3">
        <v>710</v>
      </c>
      <c r="K1168" s="4">
        <v>5</v>
      </c>
      <c r="O1168" s="3"/>
    </row>
    <row r="1169" spans="2:15">
      <c r="B1169" s="2" t="s">
        <v>1251</v>
      </c>
      <c r="C1169" s="2" t="s">
        <v>1146</v>
      </c>
      <c r="D1169" s="2" t="s">
        <v>1147</v>
      </c>
      <c r="E1169" s="2" t="s">
        <v>1153</v>
      </c>
      <c r="F1169" s="2" t="s">
        <v>24</v>
      </c>
      <c r="G1169" s="2">
        <v>36</v>
      </c>
      <c r="H1169" s="2" t="s">
        <v>75</v>
      </c>
      <c r="I1169" s="3">
        <v>610</v>
      </c>
      <c r="J1169" s="3">
        <v>850</v>
      </c>
      <c r="K1169" s="4">
        <v>3</v>
      </c>
      <c r="O1169" s="3"/>
    </row>
    <row r="1170" spans="2:15">
      <c r="B1170" s="2" t="s">
        <v>1252</v>
      </c>
      <c r="C1170" s="2" t="s">
        <v>1146</v>
      </c>
      <c r="D1170" s="2" t="s">
        <v>1152</v>
      </c>
      <c r="E1170" s="2" t="s">
        <v>850</v>
      </c>
      <c r="F1170" s="2" t="s">
        <v>15</v>
      </c>
      <c r="G1170" s="2">
        <v>44</v>
      </c>
      <c r="H1170" s="2" t="s">
        <v>49</v>
      </c>
      <c r="I1170" s="3">
        <v>590</v>
      </c>
      <c r="J1170" s="3">
        <v>830</v>
      </c>
      <c r="K1170" s="4">
        <v>6</v>
      </c>
      <c r="O1170" s="3"/>
    </row>
    <row r="1171" spans="2:15">
      <c r="B1171" s="2" t="s">
        <v>1253</v>
      </c>
      <c r="C1171" s="2" t="s">
        <v>1146</v>
      </c>
      <c r="D1171" s="2" t="s">
        <v>1147</v>
      </c>
      <c r="E1171" s="2" t="s">
        <v>1150</v>
      </c>
      <c r="F1171" s="2" t="s">
        <v>24</v>
      </c>
      <c r="G1171" s="2">
        <v>32</v>
      </c>
      <c r="H1171" s="2" t="s">
        <v>29</v>
      </c>
      <c r="I1171" s="3">
        <v>680</v>
      </c>
      <c r="J1171" s="3">
        <v>950</v>
      </c>
      <c r="K1171" s="4">
        <v>4</v>
      </c>
      <c r="O1171" s="3"/>
    </row>
    <row r="1172" spans="2:15">
      <c r="B1172" s="2" t="s">
        <v>1254</v>
      </c>
      <c r="C1172" s="2" t="s">
        <v>1146</v>
      </c>
      <c r="D1172" s="2" t="s">
        <v>1152</v>
      </c>
      <c r="E1172" s="2" t="s">
        <v>1153</v>
      </c>
      <c r="F1172" s="2" t="s">
        <v>24</v>
      </c>
      <c r="G1172" s="2">
        <v>36</v>
      </c>
      <c r="H1172" s="2" t="s">
        <v>49</v>
      </c>
      <c r="I1172" s="3">
        <v>500</v>
      </c>
      <c r="J1172" s="3">
        <v>700</v>
      </c>
      <c r="K1172" s="4">
        <v>3</v>
      </c>
      <c r="O1172" s="3"/>
    </row>
    <row r="1173" spans="2:15">
      <c r="B1173" s="2" t="s">
        <v>1255</v>
      </c>
      <c r="C1173" s="2" t="s">
        <v>1146</v>
      </c>
      <c r="D1173" s="2" t="s">
        <v>1149</v>
      </c>
      <c r="E1173" s="2" t="s">
        <v>1153</v>
      </c>
      <c r="F1173" s="2" t="s">
        <v>24</v>
      </c>
      <c r="G1173" s="2">
        <v>32</v>
      </c>
      <c r="H1173" s="2" t="s">
        <v>25</v>
      </c>
      <c r="I1173" s="3">
        <v>530</v>
      </c>
      <c r="J1173" s="3">
        <v>740</v>
      </c>
      <c r="K1173" s="4">
        <v>6</v>
      </c>
      <c r="O1173" s="3"/>
    </row>
    <row r="1174" spans="2:15">
      <c r="B1174" s="2" t="s">
        <v>1256</v>
      </c>
      <c r="C1174" s="2" t="s">
        <v>1146</v>
      </c>
      <c r="D1174" s="2" t="s">
        <v>1152</v>
      </c>
      <c r="E1174" s="2" t="s">
        <v>1156</v>
      </c>
      <c r="F1174" s="2" t="s">
        <v>15</v>
      </c>
      <c r="G1174" s="2">
        <v>32</v>
      </c>
      <c r="H1174" s="2" t="s">
        <v>33</v>
      </c>
      <c r="I1174" s="3">
        <v>580</v>
      </c>
      <c r="J1174" s="3">
        <v>810</v>
      </c>
      <c r="K1174" s="4">
        <v>4</v>
      </c>
      <c r="O1174" s="3"/>
    </row>
    <row r="1175" spans="2:15">
      <c r="B1175" s="2" t="s">
        <v>1257</v>
      </c>
      <c r="C1175" s="2" t="s">
        <v>1146</v>
      </c>
      <c r="D1175" s="2" t="s">
        <v>1164</v>
      </c>
      <c r="E1175" s="2" t="s">
        <v>1158</v>
      </c>
      <c r="F1175" s="2" t="s">
        <v>24</v>
      </c>
      <c r="G1175" s="2">
        <v>34</v>
      </c>
      <c r="H1175" s="2" t="s">
        <v>43</v>
      </c>
      <c r="I1175" s="3">
        <v>680</v>
      </c>
      <c r="J1175" s="3">
        <v>940</v>
      </c>
      <c r="K1175" s="4">
        <v>6</v>
      </c>
      <c r="O1175" s="3"/>
    </row>
    <row r="1176" spans="2:15">
      <c r="B1176" s="2" t="s">
        <v>1258</v>
      </c>
      <c r="C1176" s="2" t="s">
        <v>1146</v>
      </c>
      <c r="D1176" s="2" t="s">
        <v>1149</v>
      </c>
      <c r="E1176" s="2" t="s">
        <v>1156</v>
      </c>
      <c r="F1176" s="2" t="s">
        <v>1166</v>
      </c>
      <c r="G1176" s="2">
        <v>34</v>
      </c>
      <c r="H1176" s="2" t="s">
        <v>69</v>
      </c>
      <c r="I1176" s="3">
        <v>590</v>
      </c>
      <c r="J1176" s="3">
        <v>830</v>
      </c>
      <c r="K1176" s="4">
        <v>3</v>
      </c>
      <c r="O1176" s="3"/>
    </row>
    <row r="1177" spans="2:15">
      <c r="B1177" s="2" t="s">
        <v>1259</v>
      </c>
      <c r="C1177" s="2" t="s">
        <v>1146</v>
      </c>
      <c r="D1177" s="2" t="s">
        <v>1164</v>
      </c>
      <c r="E1177" s="2" t="s">
        <v>1153</v>
      </c>
      <c r="F1177" s="2" t="s">
        <v>24</v>
      </c>
      <c r="G1177" s="2">
        <v>42</v>
      </c>
      <c r="H1177" s="2" t="s">
        <v>94</v>
      </c>
      <c r="I1177" s="3">
        <v>640</v>
      </c>
      <c r="J1177" s="3">
        <v>900</v>
      </c>
      <c r="K1177" s="4">
        <v>5</v>
      </c>
      <c r="O1177" s="3"/>
    </row>
    <row r="1178" spans="2:15">
      <c r="B1178" s="2" t="s">
        <v>1260</v>
      </c>
      <c r="C1178" s="2" t="s">
        <v>1146</v>
      </c>
      <c r="D1178" s="2" t="s">
        <v>1149</v>
      </c>
      <c r="E1178" s="2" t="s">
        <v>1150</v>
      </c>
      <c r="F1178" s="2" t="s">
        <v>24</v>
      </c>
      <c r="G1178" s="2">
        <v>40</v>
      </c>
      <c r="H1178" s="2" t="s">
        <v>25</v>
      </c>
      <c r="I1178" s="3">
        <v>680</v>
      </c>
      <c r="J1178" s="3">
        <v>950</v>
      </c>
      <c r="K1178" s="4">
        <v>5</v>
      </c>
      <c r="O1178" s="3"/>
    </row>
    <row r="1179" spans="2:15">
      <c r="B1179" s="2" t="s">
        <v>1261</v>
      </c>
      <c r="C1179" s="2" t="s">
        <v>1146</v>
      </c>
      <c r="D1179" s="2" t="s">
        <v>1147</v>
      </c>
      <c r="E1179" s="2" t="s">
        <v>1158</v>
      </c>
      <c r="F1179" s="2" t="s">
        <v>24</v>
      </c>
      <c r="G1179" s="2">
        <v>30</v>
      </c>
      <c r="H1179" s="2" t="s">
        <v>69</v>
      </c>
      <c r="I1179" s="3">
        <v>540</v>
      </c>
      <c r="J1179" s="3">
        <v>750</v>
      </c>
      <c r="K1179" s="4">
        <v>6</v>
      </c>
      <c r="O1179" s="3"/>
    </row>
    <row r="1180" spans="2:15">
      <c r="B1180" s="2" t="s">
        <v>1262</v>
      </c>
      <c r="C1180" s="2" t="s">
        <v>1146</v>
      </c>
      <c r="D1180" s="2" t="s">
        <v>1152</v>
      </c>
      <c r="E1180" s="2" t="s">
        <v>1150</v>
      </c>
      <c r="F1180" s="2" t="s">
        <v>24</v>
      </c>
      <c r="G1180" s="2">
        <v>34</v>
      </c>
      <c r="H1180" s="2" t="s">
        <v>94</v>
      </c>
      <c r="I1180" s="3">
        <v>620</v>
      </c>
      <c r="J1180" s="3">
        <v>860</v>
      </c>
      <c r="K1180" s="4">
        <v>5</v>
      </c>
      <c r="O1180" s="3"/>
    </row>
    <row r="1181" spans="2:15">
      <c r="B1181" s="2" t="s">
        <v>1263</v>
      </c>
      <c r="C1181" s="2" t="s">
        <v>1146</v>
      </c>
      <c r="D1181" s="2" t="s">
        <v>1152</v>
      </c>
      <c r="E1181" s="2" t="s">
        <v>1156</v>
      </c>
      <c r="F1181" s="2" t="s">
        <v>20</v>
      </c>
      <c r="G1181" s="2">
        <v>40</v>
      </c>
      <c r="H1181" s="2" t="s">
        <v>94</v>
      </c>
      <c r="I1181" s="3">
        <v>570</v>
      </c>
      <c r="J1181" s="3">
        <v>800</v>
      </c>
      <c r="K1181" s="4">
        <v>4</v>
      </c>
      <c r="O1181" s="3"/>
    </row>
    <row r="1182" spans="2:15">
      <c r="B1182" s="2" t="s">
        <v>1264</v>
      </c>
      <c r="C1182" s="2" t="s">
        <v>1146</v>
      </c>
      <c r="D1182" s="2" t="s">
        <v>1149</v>
      </c>
      <c r="E1182" s="2" t="s">
        <v>1156</v>
      </c>
      <c r="F1182" s="2" t="s">
        <v>20</v>
      </c>
      <c r="G1182" s="2">
        <v>40</v>
      </c>
      <c r="H1182" s="2" t="s">
        <v>57</v>
      </c>
      <c r="I1182" s="3">
        <v>570</v>
      </c>
      <c r="J1182" s="3">
        <v>800</v>
      </c>
      <c r="K1182" s="4">
        <v>3</v>
      </c>
      <c r="O1182" s="3"/>
    </row>
    <row r="1183" spans="2:15">
      <c r="B1183" s="2" t="s">
        <v>1265</v>
      </c>
      <c r="C1183" s="2" t="s">
        <v>1146</v>
      </c>
      <c r="D1183" s="2" t="s">
        <v>1155</v>
      </c>
      <c r="E1183" s="2" t="s">
        <v>1153</v>
      </c>
      <c r="F1183" s="2" t="s">
        <v>24</v>
      </c>
      <c r="G1183" s="2">
        <v>42</v>
      </c>
      <c r="H1183" s="2" t="s">
        <v>17</v>
      </c>
      <c r="I1183" s="3">
        <v>570</v>
      </c>
      <c r="J1183" s="3">
        <v>800</v>
      </c>
      <c r="K1183" s="4">
        <v>5</v>
      </c>
      <c r="O1183" s="3"/>
    </row>
    <row r="1184" spans="2:15">
      <c r="B1184" s="2" t="s">
        <v>1266</v>
      </c>
      <c r="C1184" s="2" t="s">
        <v>1146</v>
      </c>
      <c r="D1184" s="2" t="s">
        <v>1152</v>
      </c>
      <c r="E1184" s="2" t="s">
        <v>1150</v>
      </c>
      <c r="F1184" s="2" t="s">
        <v>24</v>
      </c>
      <c r="G1184" s="2">
        <v>42</v>
      </c>
      <c r="H1184" s="2" t="s">
        <v>57</v>
      </c>
      <c r="I1184" s="3">
        <v>650</v>
      </c>
      <c r="J1184" s="3">
        <v>910</v>
      </c>
      <c r="K1184" s="4">
        <v>5</v>
      </c>
      <c r="O1184" s="3"/>
    </row>
    <row r="1185" spans="2:15">
      <c r="B1185" s="2" t="s">
        <v>1267</v>
      </c>
      <c r="C1185" s="2" t="s">
        <v>1146</v>
      </c>
      <c r="D1185" s="2" t="s">
        <v>1152</v>
      </c>
      <c r="E1185" s="2" t="s">
        <v>1153</v>
      </c>
      <c r="F1185" s="2" t="s">
        <v>24</v>
      </c>
      <c r="G1185" s="2">
        <v>40</v>
      </c>
      <c r="H1185" s="2" t="s">
        <v>22</v>
      </c>
      <c r="I1185" s="3">
        <v>680</v>
      </c>
      <c r="J1185" s="3">
        <v>950</v>
      </c>
      <c r="K1185" s="4">
        <v>5</v>
      </c>
      <c r="O1185" s="3"/>
    </row>
    <row r="1186" spans="2:15">
      <c r="B1186" s="2" t="s">
        <v>1268</v>
      </c>
      <c r="C1186" s="2" t="s">
        <v>1146</v>
      </c>
      <c r="D1186" s="2" t="s">
        <v>1147</v>
      </c>
      <c r="E1186" s="2" t="s">
        <v>850</v>
      </c>
      <c r="F1186" s="2" t="s">
        <v>20</v>
      </c>
      <c r="G1186" s="2">
        <v>28</v>
      </c>
      <c r="H1186" s="2" t="s">
        <v>49</v>
      </c>
      <c r="I1186" s="3">
        <v>520</v>
      </c>
      <c r="J1186" s="3">
        <v>720</v>
      </c>
      <c r="K1186" s="4">
        <v>4</v>
      </c>
      <c r="O1186" s="3"/>
    </row>
    <row r="1187" spans="2:15">
      <c r="B1187" s="2" t="s">
        <v>1269</v>
      </c>
      <c r="C1187" s="2" t="s">
        <v>1146</v>
      </c>
      <c r="D1187" s="2" t="s">
        <v>1155</v>
      </c>
      <c r="E1187" s="2" t="s">
        <v>850</v>
      </c>
      <c r="F1187" s="2" t="s">
        <v>15</v>
      </c>
      <c r="G1187" s="2">
        <v>28</v>
      </c>
      <c r="H1187" s="2" t="s">
        <v>69</v>
      </c>
      <c r="I1187" s="3">
        <v>620</v>
      </c>
      <c r="J1187" s="3">
        <v>870</v>
      </c>
      <c r="K1187" s="4">
        <v>5</v>
      </c>
      <c r="O1187" s="3"/>
    </row>
    <row r="1188" spans="2:15">
      <c r="B1188" s="2" t="s">
        <v>1270</v>
      </c>
      <c r="C1188" s="2" t="s">
        <v>1146</v>
      </c>
      <c r="D1188" s="2" t="s">
        <v>1164</v>
      </c>
      <c r="E1188" s="2" t="s">
        <v>1156</v>
      </c>
      <c r="F1188" s="2" t="s">
        <v>1166</v>
      </c>
      <c r="G1188" s="2">
        <v>40</v>
      </c>
      <c r="H1188" s="2" t="s">
        <v>41</v>
      </c>
      <c r="I1188" s="3">
        <v>630</v>
      </c>
      <c r="J1188" s="3">
        <v>880</v>
      </c>
      <c r="K1188" s="4">
        <v>4</v>
      </c>
      <c r="O1188" s="3"/>
    </row>
    <row r="1189" spans="2:15">
      <c r="B1189" s="2" t="s">
        <v>1271</v>
      </c>
      <c r="C1189" s="2" t="s">
        <v>1146</v>
      </c>
      <c r="D1189" s="2" t="s">
        <v>1147</v>
      </c>
      <c r="E1189" s="2" t="s">
        <v>850</v>
      </c>
      <c r="F1189" s="2" t="s">
        <v>20</v>
      </c>
      <c r="G1189" s="2">
        <v>36</v>
      </c>
      <c r="H1189" s="2" t="s">
        <v>64</v>
      </c>
      <c r="I1189" s="3">
        <v>640</v>
      </c>
      <c r="J1189" s="3">
        <v>900</v>
      </c>
      <c r="K1189" s="4">
        <v>6</v>
      </c>
      <c r="O1189" s="3"/>
    </row>
    <row r="1190" spans="2:15">
      <c r="B1190" s="2" t="s">
        <v>1272</v>
      </c>
      <c r="C1190" s="2" t="s">
        <v>1146</v>
      </c>
      <c r="D1190" s="2" t="s">
        <v>1152</v>
      </c>
      <c r="E1190" s="2" t="s">
        <v>1153</v>
      </c>
      <c r="F1190" s="2" t="s">
        <v>24</v>
      </c>
      <c r="G1190" s="2">
        <v>38</v>
      </c>
      <c r="H1190" s="2" t="s">
        <v>75</v>
      </c>
      <c r="I1190" s="3">
        <v>590</v>
      </c>
      <c r="J1190" s="3">
        <v>820</v>
      </c>
      <c r="K1190" s="4">
        <v>6</v>
      </c>
      <c r="O1190" s="3"/>
    </row>
    <row r="1191" spans="2:15">
      <c r="B1191" s="2" t="s">
        <v>1273</v>
      </c>
      <c r="C1191" s="2" t="s">
        <v>1146</v>
      </c>
      <c r="D1191" s="2" t="s">
        <v>1155</v>
      </c>
      <c r="E1191" s="2" t="s">
        <v>1150</v>
      </c>
      <c r="F1191" s="2" t="s">
        <v>24</v>
      </c>
      <c r="G1191" s="2">
        <v>28</v>
      </c>
      <c r="H1191" s="2" t="s">
        <v>57</v>
      </c>
      <c r="I1191" s="3">
        <v>540</v>
      </c>
      <c r="J1191" s="3">
        <v>750</v>
      </c>
      <c r="K1191" s="4">
        <v>6</v>
      </c>
      <c r="O1191" s="3"/>
    </row>
    <row r="1192" spans="2:15">
      <c r="B1192" s="2" t="s">
        <v>1274</v>
      </c>
      <c r="C1192" s="2" t="s">
        <v>1146</v>
      </c>
      <c r="D1192" s="2" t="s">
        <v>1155</v>
      </c>
      <c r="E1192" s="2" t="s">
        <v>1156</v>
      </c>
      <c r="F1192" s="2" t="s">
        <v>1166</v>
      </c>
      <c r="G1192" s="2">
        <v>36</v>
      </c>
      <c r="H1192" s="2" t="s">
        <v>25</v>
      </c>
      <c r="I1192" s="3">
        <v>570</v>
      </c>
      <c r="J1192" s="3">
        <v>800</v>
      </c>
      <c r="K1192" s="4">
        <v>5</v>
      </c>
      <c r="O1192" s="3"/>
    </row>
    <row r="1193" spans="2:15">
      <c r="B1193" s="2" t="s">
        <v>1275</v>
      </c>
      <c r="C1193" s="2" t="s">
        <v>1146</v>
      </c>
      <c r="D1193" s="2" t="s">
        <v>1155</v>
      </c>
      <c r="E1193" s="2" t="s">
        <v>1156</v>
      </c>
      <c r="F1193" s="2" t="s">
        <v>20</v>
      </c>
      <c r="G1193" s="2">
        <v>38</v>
      </c>
      <c r="H1193" s="2" t="s">
        <v>51</v>
      </c>
      <c r="I1193" s="3">
        <v>630</v>
      </c>
      <c r="J1193" s="3">
        <v>880</v>
      </c>
      <c r="K1193" s="4">
        <v>4</v>
      </c>
      <c r="O1193" s="3"/>
    </row>
    <row r="1194" spans="2:15">
      <c r="B1194" s="2" t="s">
        <v>1276</v>
      </c>
      <c r="C1194" s="2" t="s">
        <v>1146</v>
      </c>
      <c r="D1194" s="2" t="s">
        <v>1152</v>
      </c>
      <c r="E1194" s="2" t="s">
        <v>1150</v>
      </c>
      <c r="F1194" s="2" t="s">
        <v>24</v>
      </c>
      <c r="G1194" s="2">
        <v>32</v>
      </c>
      <c r="H1194" s="2" t="s">
        <v>104</v>
      </c>
      <c r="I1194" s="3">
        <v>640</v>
      </c>
      <c r="J1194" s="3">
        <v>900</v>
      </c>
      <c r="K1194" s="4">
        <v>4</v>
      </c>
      <c r="O1194" s="3"/>
    </row>
    <row r="1195" spans="2:15">
      <c r="B1195" s="2" t="s">
        <v>1277</v>
      </c>
      <c r="C1195" s="2" t="s">
        <v>1146</v>
      </c>
      <c r="D1195" s="2" t="s">
        <v>1147</v>
      </c>
      <c r="E1195" s="2" t="s">
        <v>1156</v>
      </c>
      <c r="F1195" s="2" t="s">
        <v>1166</v>
      </c>
      <c r="G1195" s="2">
        <v>32</v>
      </c>
      <c r="H1195" s="2" t="s">
        <v>29</v>
      </c>
      <c r="I1195" s="3">
        <v>550</v>
      </c>
      <c r="J1195" s="3">
        <v>760</v>
      </c>
      <c r="K1195" s="4">
        <v>6</v>
      </c>
      <c r="O1195" s="3"/>
    </row>
    <row r="1196" spans="2:15">
      <c r="B1196" s="2" t="s">
        <v>1278</v>
      </c>
      <c r="C1196" s="2" t="s">
        <v>1146</v>
      </c>
      <c r="D1196" s="2" t="s">
        <v>1152</v>
      </c>
      <c r="E1196" s="2" t="s">
        <v>1150</v>
      </c>
      <c r="F1196" s="2" t="s">
        <v>24</v>
      </c>
      <c r="G1196" s="2">
        <v>38</v>
      </c>
      <c r="H1196" s="2" t="s">
        <v>62</v>
      </c>
      <c r="I1196" s="3">
        <v>530</v>
      </c>
      <c r="J1196" s="3">
        <v>740</v>
      </c>
      <c r="K1196" s="4">
        <v>6</v>
      </c>
      <c r="O1196" s="3"/>
    </row>
    <row r="1197" spans="2:15">
      <c r="B1197" s="2" t="s">
        <v>1279</v>
      </c>
      <c r="C1197" s="2" t="s">
        <v>1146</v>
      </c>
      <c r="D1197" s="2" t="s">
        <v>1152</v>
      </c>
      <c r="E1197" s="2" t="s">
        <v>1150</v>
      </c>
      <c r="F1197" s="2" t="s">
        <v>24</v>
      </c>
      <c r="G1197" s="2">
        <v>32</v>
      </c>
      <c r="H1197" s="2" t="s">
        <v>37</v>
      </c>
      <c r="I1197" s="3">
        <v>620</v>
      </c>
      <c r="J1197" s="3">
        <v>860</v>
      </c>
      <c r="K1197" s="4">
        <v>5</v>
      </c>
      <c r="O1197" s="3"/>
    </row>
    <row r="1198" spans="2:15">
      <c r="B1198" s="2" t="s">
        <v>1280</v>
      </c>
      <c r="C1198" s="2" t="s">
        <v>1146</v>
      </c>
      <c r="D1198" s="2" t="s">
        <v>1149</v>
      </c>
      <c r="E1198" s="2" t="s">
        <v>1158</v>
      </c>
      <c r="F1198" s="2" t="s">
        <v>24</v>
      </c>
      <c r="G1198" s="2">
        <v>32</v>
      </c>
      <c r="H1198" s="2" t="s">
        <v>75</v>
      </c>
      <c r="I1198" s="3">
        <v>520</v>
      </c>
      <c r="J1198" s="3">
        <v>730</v>
      </c>
      <c r="K1198" s="4">
        <v>5</v>
      </c>
      <c r="O1198" s="3"/>
    </row>
    <row r="1199" spans="2:15">
      <c r="B1199" s="2" t="s">
        <v>1281</v>
      </c>
      <c r="C1199" s="2" t="s">
        <v>1146</v>
      </c>
      <c r="D1199" s="2" t="s">
        <v>1164</v>
      </c>
      <c r="E1199" s="2" t="s">
        <v>1153</v>
      </c>
      <c r="F1199" s="2" t="s">
        <v>24</v>
      </c>
      <c r="G1199" s="2">
        <v>28</v>
      </c>
      <c r="H1199" s="2" t="s">
        <v>75</v>
      </c>
      <c r="I1199" s="3">
        <v>640</v>
      </c>
      <c r="J1199" s="3">
        <v>900</v>
      </c>
      <c r="K1199" s="4">
        <v>4</v>
      </c>
      <c r="O1199" s="3"/>
    </row>
    <row r="1200" spans="2:15">
      <c r="B1200" s="2" t="s">
        <v>1282</v>
      </c>
      <c r="C1200" s="2" t="s">
        <v>1146</v>
      </c>
      <c r="D1200" s="2" t="s">
        <v>1147</v>
      </c>
      <c r="E1200" s="2" t="s">
        <v>1153</v>
      </c>
      <c r="F1200" s="2" t="s">
        <v>24</v>
      </c>
      <c r="G1200" s="2">
        <v>30</v>
      </c>
      <c r="H1200" s="2" t="s">
        <v>49</v>
      </c>
      <c r="I1200" s="3">
        <v>610</v>
      </c>
      <c r="J1200" s="3">
        <v>850</v>
      </c>
      <c r="K1200" s="4">
        <v>3</v>
      </c>
      <c r="O1200" s="3"/>
    </row>
    <row r="1201" spans="2:15">
      <c r="B1201" s="2" t="s">
        <v>1283</v>
      </c>
      <c r="C1201" s="2" t="s">
        <v>1146</v>
      </c>
      <c r="D1201" s="2" t="s">
        <v>1147</v>
      </c>
      <c r="E1201" s="2" t="s">
        <v>1156</v>
      </c>
      <c r="F1201" s="2" t="s">
        <v>1166</v>
      </c>
      <c r="G1201" s="2">
        <v>30</v>
      </c>
      <c r="H1201" s="2" t="s">
        <v>49</v>
      </c>
      <c r="I1201" s="3">
        <v>570</v>
      </c>
      <c r="J1201" s="3">
        <v>800</v>
      </c>
      <c r="K1201" s="4">
        <v>4</v>
      </c>
      <c r="O1201" s="3"/>
    </row>
    <row r="1202" spans="2:15">
      <c r="B1202" s="2" t="s">
        <v>1284</v>
      </c>
      <c r="C1202" s="2" t="s">
        <v>1146</v>
      </c>
      <c r="D1202" s="2" t="s">
        <v>1147</v>
      </c>
      <c r="E1202" s="2" t="s">
        <v>1156</v>
      </c>
      <c r="F1202" s="2" t="s">
        <v>15</v>
      </c>
      <c r="G1202" s="2">
        <v>42</v>
      </c>
      <c r="H1202" s="2" t="s">
        <v>29</v>
      </c>
      <c r="I1202" s="3">
        <v>510</v>
      </c>
      <c r="J1202" s="3">
        <v>710</v>
      </c>
      <c r="K1202" s="4">
        <v>5</v>
      </c>
      <c r="O1202" s="3"/>
    </row>
    <row r="1203" spans="2:15">
      <c r="B1203" s="2" t="s">
        <v>1285</v>
      </c>
      <c r="C1203" s="2" t="s">
        <v>1146</v>
      </c>
      <c r="D1203" s="2" t="s">
        <v>1147</v>
      </c>
      <c r="E1203" s="2" t="s">
        <v>1158</v>
      </c>
      <c r="F1203" s="2" t="s">
        <v>24</v>
      </c>
      <c r="G1203" s="2">
        <v>42</v>
      </c>
      <c r="H1203" s="2" t="s">
        <v>49</v>
      </c>
      <c r="I1203" s="3">
        <v>650</v>
      </c>
      <c r="J1203" s="3">
        <v>910</v>
      </c>
      <c r="K1203" s="4">
        <v>4</v>
      </c>
      <c r="O1203" s="3"/>
    </row>
    <row r="1204" spans="2:15">
      <c r="B1204" s="2" t="s">
        <v>1286</v>
      </c>
      <c r="C1204" s="2" t="s">
        <v>1146</v>
      </c>
      <c r="D1204" s="2" t="s">
        <v>1147</v>
      </c>
      <c r="E1204" s="2" t="s">
        <v>1158</v>
      </c>
      <c r="F1204" s="2" t="s">
        <v>24</v>
      </c>
      <c r="G1204" s="2">
        <v>28</v>
      </c>
      <c r="H1204" s="2" t="s">
        <v>43</v>
      </c>
      <c r="I1204" s="3">
        <v>550</v>
      </c>
      <c r="J1204" s="3">
        <v>780</v>
      </c>
      <c r="K1204" s="4">
        <v>6</v>
      </c>
      <c r="O1204" s="3"/>
    </row>
    <row r="1205" spans="2:15">
      <c r="B1205" s="2" t="s">
        <v>1287</v>
      </c>
      <c r="C1205" s="2" t="s">
        <v>1146</v>
      </c>
      <c r="D1205" s="2" t="s">
        <v>1152</v>
      </c>
      <c r="E1205" s="2" t="s">
        <v>1158</v>
      </c>
      <c r="F1205" s="2" t="s">
        <v>24</v>
      </c>
      <c r="G1205" s="2">
        <v>34</v>
      </c>
      <c r="H1205" s="2" t="s">
        <v>59</v>
      </c>
      <c r="I1205" s="3">
        <v>520</v>
      </c>
      <c r="J1205" s="3">
        <v>730</v>
      </c>
      <c r="K1205" s="4">
        <v>3</v>
      </c>
      <c r="O1205" s="3"/>
    </row>
    <row r="1206" spans="2:15">
      <c r="B1206" s="2" t="s">
        <v>1288</v>
      </c>
      <c r="C1206" s="2" t="s">
        <v>1146</v>
      </c>
      <c r="D1206" s="2" t="s">
        <v>1149</v>
      </c>
      <c r="E1206" s="2" t="s">
        <v>1153</v>
      </c>
      <c r="F1206" s="2" t="s">
        <v>24</v>
      </c>
      <c r="G1206" s="2">
        <v>40</v>
      </c>
      <c r="H1206" s="2" t="s">
        <v>101</v>
      </c>
      <c r="I1206" s="3">
        <v>500</v>
      </c>
      <c r="J1206" s="3">
        <v>710</v>
      </c>
      <c r="K1206" s="4">
        <v>4</v>
      </c>
      <c r="O1206" s="3"/>
    </row>
    <row r="1207" spans="2:15">
      <c r="B1207" s="2" t="s">
        <v>1289</v>
      </c>
      <c r="C1207" s="2" t="s">
        <v>1146</v>
      </c>
      <c r="D1207" s="2" t="s">
        <v>1155</v>
      </c>
      <c r="E1207" s="2" t="s">
        <v>1156</v>
      </c>
      <c r="F1207" s="2" t="s">
        <v>1166</v>
      </c>
      <c r="G1207" s="2">
        <v>36</v>
      </c>
      <c r="H1207" s="2" t="s">
        <v>25</v>
      </c>
      <c r="I1207" s="3">
        <v>530</v>
      </c>
      <c r="J1207" s="3">
        <v>740</v>
      </c>
      <c r="K1207" s="4">
        <v>4</v>
      </c>
      <c r="O1207" s="3"/>
    </row>
    <row r="1208" spans="2:15">
      <c r="B1208" s="2" t="s">
        <v>1290</v>
      </c>
      <c r="C1208" s="2" t="s">
        <v>1146</v>
      </c>
      <c r="D1208" s="2" t="s">
        <v>1147</v>
      </c>
      <c r="E1208" s="2" t="s">
        <v>1158</v>
      </c>
      <c r="F1208" s="2" t="s">
        <v>24</v>
      </c>
      <c r="G1208" s="2">
        <v>34</v>
      </c>
      <c r="H1208" s="2" t="s">
        <v>51</v>
      </c>
      <c r="I1208" s="3">
        <v>590</v>
      </c>
      <c r="J1208" s="3">
        <v>830</v>
      </c>
      <c r="K1208" s="4">
        <v>6</v>
      </c>
      <c r="O1208" s="3"/>
    </row>
    <row r="1209" spans="2:15">
      <c r="B1209" s="2" t="s">
        <v>1291</v>
      </c>
      <c r="C1209" s="2" t="s">
        <v>1146</v>
      </c>
      <c r="D1209" s="2" t="s">
        <v>1152</v>
      </c>
      <c r="E1209" s="2" t="s">
        <v>1158</v>
      </c>
      <c r="F1209" s="2" t="s">
        <v>24</v>
      </c>
      <c r="G1209" s="2">
        <v>40</v>
      </c>
      <c r="H1209" s="2" t="s">
        <v>43</v>
      </c>
      <c r="I1209" s="3">
        <v>600</v>
      </c>
      <c r="J1209" s="3">
        <v>840</v>
      </c>
      <c r="K1209" s="4">
        <v>6</v>
      </c>
      <c r="O1209" s="3"/>
    </row>
    <row r="1210" spans="2:15">
      <c r="B1210" s="2" t="s">
        <v>1292</v>
      </c>
      <c r="C1210" s="2" t="s">
        <v>1146</v>
      </c>
      <c r="D1210" s="2" t="s">
        <v>1164</v>
      </c>
      <c r="E1210" s="2" t="s">
        <v>1153</v>
      </c>
      <c r="F1210" s="2" t="s">
        <v>24</v>
      </c>
      <c r="G1210" s="2">
        <v>40</v>
      </c>
      <c r="H1210" s="2" t="s">
        <v>43</v>
      </c>
      <c r="I1210" s="3">
        <v>590</v>
      </c>
      <c r="J1210" s="3">
        <v>830</v>
      </c>
      <c r="K1210" s="4">
        <v>3</v>
      </c>
      <c r="O1210" s="3"/>
    </row>
    <row r="1211" spans="2:15">
      <c r="B1211" s="2" t="s">
        <v>1293</v>
      </c>
      <c r="C1211" s="2" t="s">
        <v>1146</v>
      </c>
      <c r="D1211" s="2" t="s">
        <v>1155</v>
      </c>
      <c r="E1211" s="2" t="s">
        <v>1156</v>
      </c>
      <c r="F1211" s="2" t="s">
        <v>15</v>
      </c>
      <c r="G1211" s="2">
        <v>34</v>
      </c>
      <c r="H1211" s="2" t="s">
        <v>57</v>
      </c>
      <c r="I1211" s="3">
        <v>630</v>
      </c>
      <c r="J1211" s="3">
        <v>880</v>
      </c>
      <c r="K1211" s="4">
        <v>6</v>
      </c>
      <c r="O1211" s="3"/>
    </row>
    <row r="1212" spans="2:15">
      <c r="B1212" s="2" t="s">
        <v>1294</v>
      </c>
      <c r="C1212" s="2" t="s">
        <v>1146</v>
      </c>
      <c r="D1212" s="2" t="s">
        <v>1164</v>
      </c>
      <c r="E1212" s="2" t="s">
        <v>1150</v>
      </c>
      <c r="F1212" s="2" t="s">
        <v>24</v>
      </c>
      <c r="G1212" s="2">
        <v>42</v>
      </c>
      <c r="H1212" s="2" t="s">
        <v>22</v>
      </c>
      <c r="I1212" s="3">
        <v>630</v>
      </c>
      <c r="J1212" s="3">
        <v>890</v>
      </c>
      <c r="K1212" s="4">
        <v>3</v>
      </c>
      <c r="O1212" s="3"/>
    </row>
    <row r="1213" spans="2:15">
      <c r="B1213" s="2" t="s">
        <v>1295</v>
      </c>
      <c r="C1213" s="2" t="s">
        <v>1146</v>
      </c>
      <c r="D1213" s="2" t="s">
        <v>1155</v>
      </c>
      <c r="E1213" s="2" t="s">
        <v>1153</v>
      </c>
      <c r="F1213" s="2" t="s">
        <v>24</v>
      </c>
      <c r="G1213" s="2">
        <v>36</v>
      </c>
      <c r="H1213" s="2" t="s">
        <v>17</v>
      </c>
      <c r="I1213" s="3">
        <v>620</v>
      </c>
      <c r="J1213" s="3">
        <v>870</v>
      </c>
      <c r="K1213" s="4">
        <v>6</v>
      </c>
      <c r="O1213" s="3"/>
    </row>
    <row r="1214" spans="2:15">
      <c r="B1214" s="2" t="s">
        <v>1296</v>
      </c>
      <c r="C1214" s="2" t="s">
        <v>1146</v>
      </c>
      <c r="D1214" s="2" t="s">
        <v>1164</v>
      </c>
      <c r="E1214" s="2" t="s">
        <v>1150</v>
      </c>
      <c r="F1214" s="2" t="s">
        <v>24</v>
      </c>
      <c r="G1214" s="2">
        <v>30</v>
      </c>
      <c r="H1214" s="2" t="s">
        <v>104</v>
      </c>
      <c r="I1214" s="3">
        <v>580</v>
      </c>
      <c r="J1214" s="3">
        <v>800</v>
      </c>
      <c r="K1214" s="4">
        <v>3</v>
      </c>
      <c r="O1214" s="3"/>
    </row>
    <row r="1215" spans="2:15">
      <c r="B1215" s="2" t="s">
        <v>1297</v>
      </c>
      <c r="C1215" s="2" t="s">
        <v>1146</v>
      </c>
      <c r="D1215" s="2" t="s">
        <v>1152</v>
      </c>
      <c r="E1215" s="2" t="s">
        <v>1156</v>
      </c>
      <c r="F1215" s="2" t="s">
        <v>20</v>
      </c>
      <c r="G1215" s="2">
        <v>42</v>
      </c>
      <c r="H1215" s="2" t="s">
        <v>71</v>
      </c>
      <c r="I1215" s="3">
        <v>630</v>
      </c>
      <c r="J1215" s="3">
        <v>880</v>
      </c>
      <c r="K1215" s="4">
        <v>5</v>
      </c>
      <c r="O1215" s="3"/>
    </row>
    <row r="1216" spans="2:15">
      <c r="B1216" s="2" t="s">
        <v>1298</v>
      </c>
      <c r="C1216" s="2" t="s">
        <v>1146</v>
      </c>
      <c r="D1216" s="2" t="s">
        <v>1155</v>
      </c>
      <c r="E1216" s="2" t="s">
        <v>850</v>
      </c>
      <c r="F1216" s="2" t="s">
        <v>20</v>
      </c>
      <c r="G1216" s="2">
        <v>44</v>
      </c>
      <c r="H1216" s="2" t="s">
        <v>69</v>
      </c>
      <c r="I1216" s="3">
        <v>590</v>
      </c>
      <c r="J1216" s="3">
        <v>830</v>
      </c>
      <c r="K1216" s="4">
        <v>3</v>
      </c>
      <c r="O1216" s="3"/>
    </row>
    <row r="1217" spans="2:15">
      <c r="B1217" s="2" t="s">
        <v>1299</v>
      </c>
      <c r="C1217" s="2" t="s">
        <v>1146</v>
      </c>
      <c r="D1217" s="2" t="s">
        <v>1152</v>
      </c>
      <c r="E1217" s="2" t="s">
        <v>1153</v>
      </c>
      <c r="F1217" s="2" t="s">
        <v>24</v>
      </c>
      <c r="G1217" s="2">
        <v>40</v>
      </c>
      <c r="H1217" s="2" t="s">
        <v>104</v>
      </c>
      <c r="I1217" s="3">
        <v>670</v>
      </c>
      <c r="J1217" s="3">
        <v>940</v>
      </c>
      <c r="K1217" s="4">
        <v>3</v>
      </c>
      <c r="O1217" s="3"/>
    </row>
    <row r="1218" spans="2:15">
      <c r="B1218" s="2" t="s">
        <v>1300</v>
      </c>
      <c r="C1218" s="2" t="s">
        <v>1146</v>
      </c>
      <c r="D1218" s="2" t="s">
        <v>1155</v>
      </c>
      <c r="E1218" s="2" t="s">
        <v>1158</v>
      </c>
      <c r="F1218" s="2" t="s">
        <v>24</v>
      </c>
      <c r="G1218" s="2">
        <v>42</v>
      </c>
      <c r="H1218" s="2" t="s">
        <v>29</v>
      </c>
      <c r="I1218" s="3">
        <v>610</v>
      </c>
      <c r="J1218" s="3">
        <v>850</v>
      </c>
      <c r="K1218" s="4">
        <v>5</v>
      </c>
      <c r="O1218" s="3"/>
    </row>
    <row r="1219" spans="2:15">
      <c r="B1219" s="2" t="s">
        <v>1301</v>
      </c>
      <c r="C1219" s="2" t="s">
        <v>1146</v>
      </c>
      <c r="D1219" s="2" t="s">
        <v>1149</v>
      </c>
      <c r="E1219" s="2" t="s">
        <v>1153</v>
      </c>
      <c r="F1219" s="2" t="s">
        <v>24</v>
      </c>
      <c r="G1219" s="2">
        <v>30</v>
      </c>
      <c r="H1219" s="2" t="s">
        <v>25</v>
      </c>
      <c r="I1219" s="3">
        <v>590</v>
      </c>
      <c r="J1219" s="3">
        <v>820</v>
      </c>
      <c r="K1219" s="4">
        <v>5</v>
      </c>
      <c r="O1219" s="3"/>
    </row>
    <row r="1220" spans="2:15">
      <c r="B1220" s="2" t="s">
        <v>1302</v>
      </c>
      <c r="C1220" s="2" t="s">
        <v>1146</v>
      </c>
      <c r="D1220" s="2" t="s">
        <v>1147</v>
      </c>
      <c r="E1220" s="2" t="s">
        <v>1156</v>
      </c>
      <c r="F1220" s="2" t="s">
        <v>15</v>
      </c>
      <c r="G1220" s="2">
        <v>28</v>
      </c>
      <c r="H1220" s="2" t="s">
        <v>69</v>
      </c>
      <c r="I1220" s="3">
        <v>670</v>
      </c>
      <c r="J1220" s="3">
        <v>940</v>
      </c>
      <c r="K1220" s="4">
        <v>6</v>
      </c>
      <c r="O1220" s="3"/>
    </row>
    <row r="1221" spans="2:15">
      <c r="B1221" s="2" t="s">
        <v>1303</v>
      </c>
      <c r="C1221" s="2" t="s">
        <v>1146</v>
      </c>
      <c r="D1221" s="2" t="s">
        <v>1147</v>
      </c>
      <c r="E1221" s="2" t="s">
        <v>1153</v>
      </c>
      <c r="F1221" s="2" t="s">
        <v>24</v>
      </c>
      <c r="G1221" s="2">
        <v>42</v>
      </c>
      <c r="H1221" s="2" t="s">
        <v>29</v>
      </c>
      <c r="I1221" s="3">
        <v>530</v>
      </c>
      <c r="J1221" s="3">
        <v>740</v>
      </c>
      <c r="K1221" s="4">
        <v>6</v>
      </c>
      <c r="O1221" s="3"/>
    </row>
    <row r="1222" spans="2:15">
      <c r="B1222" s="2" t="s">
        <v>1304</v>
      </c>
      <c r="C1222" s="2" t="s">
        <v>1146</v>
      </c>
      <c r="D1222" s="2" t="s">
        <v>1164</v>
      </c>
      <c r="E1222" s="2" t="s">
        <v>1156</v>
      </c>
      <c r="F1222" s="2" t="s">
        <v>1166</v>
      </c>
      <c r="G1222" s="2">
        <v>38</v>
      </c>
      <c r="H1222" s="2" t="s">
        <v>59</v>
      </c>
      <c r="I1222" s="3">
        <v>670</v>
      </c>
      <c r="J1222" s="3">
        <v>940</v>
      </c>
      <c r="K1222" s="4">
        <v>5</v>
      </c>
      <c r="O1222" s="3"/>
    </row>
    <row r="1223" spans="2:15">
      <c r="B1223" s="2" t="s">
        <v>1305</v>
      </c>
      <c r="C1223" s="2" t="s">
        <v>1146</v>
      </c>
      <c r="D1223" s="2" t="s">
        <v>1149</v>
      </c>
      <c r="E1223" s="2" t="s">
        <v>1153</v>
      </c>
      <c r="F1223" s="2" t="s">
        <v>24</v>
      </c>
      <c r="G1223" s="2">
        <v>34</v>
      </c>
      <c r="H1223" s="2" t="s">
        <v>37</v>
      </c>
      <c r="I1223" s="3">
        <v>520</v>
      </c>
      <c r="J1223" s="3">
        <v>730</v>
      </c>
      <c r="K1223" s="4">
        <v>3</v>
      </c>
      <c r="O1223" s="3"/>
    </row>
    <row r="1224" spans="2:15">
      <c r="B1224" s="2" t="s">
        <v>1306</v>
      </c>
      <c r="C1224" s="2" t="s">
        <v>1146</v>
      </c>
      <c r="D1224" s="2" t="s">
        <v>1149</v>
      </c>
      <c r="E1224" s="2" t="s">
        <v>1150</v>
      </c>
      <c r="F1224" s="2" t="s">
        <v>24</v>
      </c>
      <c r="G1224" s="2">
        <v>42</v>
      </c>
      <c r="H1224" s="2" t="s">
        <v>57</v>
      </c>
      <c r="I1224" s="3">
        <v>680</v>
      </c>
      <c r="J1224" s="3">
        <v>950</v>
      </c>
      <c r="K1224" s="4">
        <v>4</v>
      </c>
      <c r="O1224" s="3"/>
    </row>
    <row r="1225" spans="2:15">
      <c r="B1225" s="2" t="s">
        <v>1307</v>
      </c>
      <c r="C1225" s="2" t="s">
        <v>1146</v>
      </c>
      <c r="D1225" s="2" t="s">
        <v>1164</v>
      </c>
      <c r="E1225" s="2" t="s">
        <v>1153</v>
      </c>
      <c r="F1225" s="2" t="s">
        <v>24</v>
      </c>
      <c r="G1225" s="2">
        <v>36</v>
      </c>
      <c r="H1225" s="2" t="s">
        <v>29</v>
      </c>
      <c r="I1225" s="3">
        <v>610</v>
      </c>
      <c r="J1225" s="3">
        <v>860</v>
      </c>
      <c r="K1225" s="4">
        <v>4</v>
      </c>
      <c r="O1225" s="3"/>
    </row>
    <row r="1226" spans="2:15">
      <c r="B1226" s="2" t="s">
        <v>1308</v>
      </c>
      <c r="C1226" s="2" t="s">
        <v>1146</v>
      </c>
      <c r="D1226" s="2" t="s">
        <v>1152</v>
      </c>
      <c r="E1226" s="2" t="s">
        <v>1150</v>
      </c>
      <c r="F1226" s="2" t="s">
        <v>24</v>
      </c>
      <c r="G1226" s="2">
        <v>32</v>
      </c>
      <c r="H1226" s="2" t="s">
        <v>57</v>
      </c>
      <c r="I1226" s="3">
        <v>620</v>
      </c>
      <c r="J1226" s="3">
        <v>870</v>
      </c>
      <c r="K1226" s="4">
        <v>6</v>
      </c>
      <c r="O1226" s="3"/>
    </row>
    <row r="1227" spans="2:15">
      <c r="B1227" s="2" t="s">
        <v>1309</v>
      </c>
      <c r="C1227" s="2" t="s">
        <v>1146</v>
      </c>
      <c r="D1227" s="2" t="s">
        <v>1152</v>
      </c>
      <c r="E1227" s="2" t="s">
        <v>1150</v>
      </c>
      <c r="F1227" s="2" t="s">
        <v>24</v>
      </c>
      <c r="G1227" s="2">
        <v>34</v>
      </c>
      <c r="H1227" s="2" t="s">
        <v>94</v>
      </c>
      <c r="I1227" s="3">
        <v>620</v>
      </c>
      <c r="J1227" s="3">
        <v>870</v>
      </c>
      <c r="K1227" s="4">
        <v>5</v>
      </c>
      <c r="O1227" s="3"/>
    </row>
    <row r="1228" spans="2:15">
      <c r="B1228" s="2" t="s">
        <v>1310</v>
      </c>
      <c r="C1228" s="2" t="s">
        <v>1146</v>
      </c>
      <c r="D1228" s="2" t="s">
        <v>1152</v>
      </c>
      <c r="E1228" s="2" t="s">
        <v>1150</v>
      </c>
      <c r="F1228" s="2" t="s">
        <v>24</v>
      </c>
      <c r="G1228" s="2">
        <v>28</v>
      </c>
      <c r="H1228" s="2" t="s">
        <v>37</v>
      </c>
      <c r="I1228" s="3">
        <v>640</v>
      </c>
      <c r="J1228" s="3">
        <v>900</v>
      </c>
      <c r="K1228" s="4">
        <v>6</v>
      </c>
      <c r="O1228" s="3"/>
    </row>
    <row r="1229" spans="2:15">
      <c r="B1229" s="2" t="s">
        <v>1311</v>
      </c>
      <c r="C1229" s="2" t="s">
        <v>1146</v>
      </c>
      <c r="D1229" s="2" t="s">
        <v>1152</v>
      </c>
      <c r="E1229" s="2" t="s">
        <v>850</v>
      </c>
      <c r="F1229" s="2" t="s">
        <v>15</v>
      </c>
      <c r="G1229" s="2">
        <v>44</v>
      </c>
      <c r="H1229" s="2" t="s">
        <v>101</v>
      </c>
      <c r="I1229" s="3">
        <v>610</v>
      </c>
      <c r="J1229" s="3">
        <v>850</v>
      </c>
      <c r="K1229" s="4">
        <v>3</v>
      </c>
      <c r="O1229" s="3"/>
    </row>
    <row r="1230" spans="2:15">
      <c r="B1230" s="2" t="s">
        <v>1312</v>
      </c>
      <c r="C1230" s="2" t="s">
        <v>1146</v>
      </c>
      <c r="D1230" s="2" t="s">
        <v>1152</v>
      </c>
      <c r="E1230" s="2" t="s">
        <v>1156</v>
      </c>
      <c r="F1230" s="2" t="s">
        <v>15</v>
      </c>
      <c r="G1230" s="2">
        <v>42</v>
      </c>
      <c r="H1230" s="2" t="s">
        <v>17</v>
      </c>
      <c r="I1230" s="3">
        <v>620</v>
      </c>
      <c r="J1230" s="3">
        <v>870</v>
      </c>
      <c r="K1230" s="4">
        <v>3</v>
      </c>
      <c r="O1230" s="3"/>
    </row>
    <row r="1231" spans="2:15">
      <c r="B1231" s="2" t="s">
        <v>1313</v>
      </c>
      <c r="C1231" s="2" t="s">
        <v>1146</v>
      </c>
      <c r="D1231" s="2" t="s">
        <v>1147</v>
      </c>
      <c r="E1231" s="2" t="s">
        <v>1156</v>
      </c>
      <c r="F1231" s="2" t="s">
        <v>15</v>
      </c>
      <c r="G1231" s="2">
        <v>38</v>
      </c>
      <c r="H1231" s="2" t="s">
        <v>62</v>
      </c>
      <c r="I1231" s="3">
        <v>640</v>
      </c>
      <c r="J1231" s="3">
        <v>890</v>
      </c>
      <c r="K1231" s="4">
        <v>3</v>
      </c>
      <c r="O1231" s="3"/>
    </row>
    <row r="1232" spans="2:15">
      <c r="B1232" s="2" t="s">
        <v>1314</v>
      </c>
      <c r="C1232" s="2" t="s">
        <v>1146</v>
      </c>
      <c r="D1232" s="2" t="s">
        <v>1152</v>
      </c>
      <c r="E1232" s="2" t="s">
        <v>1156</v>
      </c>
      <c r="F1232" s="2" t="s">
        <v>20</v>
      </c>
      <c r="G1232" s="2">
        <v>42</v>
      </c>
      <c r="H1232" s="2" t="s">
        <v>25</v>
      </c>
      <c r="I1232" s="3">
        <v>570</v>
      </c>
      <c r="J1232" s="3">
        <v>800</v>
      </c>
      <c r="K1232" s="4">
        <v>5</v>
      </c>
      <c r="O1232" s="3"/>
    </row>
    <row r="1233" spans="2:15">
      <c r="B1233" s="2" t="s">
        <v>1315</v>
      </c>
      <c r="C1233" s="2" t="s">
        <v>1146</v>
      </c>
      <c r="D1233" s="2" t="s">
        <v>1152</v>
      </c>
      <c r="E1233" s="2" t="s">
        <v>1150</v>
      </c>
      <c r="F1233" s="2" t="s">
        <v>24</v>
      </c>
      <c r="G1233" s="2">
        <v>36</v>
      </c>
      <c r="H1233" s="2" t="s">
        <v>94</v>
      </c>
      <c r="I1233" s="3">
        <v>610</v>
      </c>
      <c r="J1233" s="3">
        <v>860</v>
      </c>
      <c r="K1233" s="4">
        <v>6</v>
      </c>
      <c r="O1233" s="3"/>
    </row>
    <row r="1234" spans="2:15">
      <c r="B1234" s="2" t="s">
        <v>1316</v>
      </c>
      <c r="C1234" s="2" t="s">
        <v>1146</v>
      </c>
      <c r="D1234" s="2" t="s">
        <v>1152</v>
      </c>
      <c r="E1234" s="2" t="s">
        <v>1153</v>
      </c>
      <c r="F1234" s="2" t="s">
        <v>24</v>
      </c>
      <c r="G1234" s="2">
        <v>34</v>
      </c>
      <c r="H1234" s="2" t="s">
        <v>71</v>
      </c>
      <c r="I1234" s="3">
        <v>590</v>
      </c>
      <c r="J1234" s="3">
        <v>820</v>
      </c>
      <c r="K1234" s="4">
        <v>5</v>
      </c>
      <c r="O1234" s="3"/>
    </row>
    <row r="1235" spans="2:15">
      <c r="B1235" s="2" t="s">
        <v>1317</v>
      </c>
      <c r="C1235" s="2" t="s">
        <v>1146</v>
      </c>
      <c r="D1235" s="2" t="s">
        <v>1152</v>
      </c>
      <c r="E1235" s="2" t="s">
        <v>1153</v>
      </c>
      <c r="F1235" s="2" t="s">
        <v>24</v>
      </c>
      <c r="G1235" s="2">
        <v>40</v>
      </c>
      <c r="H1235" s="2" t="s">
        <v>22</v>
      </c>
      <c r="I1235" s="3">
        <v>650</v>
      </c>
      <c r="J1235" s="3">
        <v>920</v>
      </c>
      <c r="K1235" s="4">
        <v>5</v>
      </c>
      <c r="O1235" s="3"/>
    </row>
    <row r="1236" spans="2:15">
      <c r="B1236" s="2" t="s">
        <v>1318</v>
      </c>
      <c r="C1236" s="2" t="s">
        <v>1146</v>
      </c>
      <c r="D1236" s="2" t="s">
        <v>1149</v>
      </c>
      <c r="E1236" s="2" t="s">
        <v>850</v>
      </c>
      <c r="F1236" s="2" t="s">
        <v>20</v>
      </c>
      <c r="G1236" s="2">
        <v>36</v>
      </c>
      <c r="H1236" s="2" t="s">
        <v>43</v>
      </c>
      <c r="I1236" s="3">
        <v>620</v>
      </c>
      <c r="J1236" s="3">
        <v>870</v>
      </c>
      <c r="K1236" s="4">
        <v>6</v>
      </c>
      <c r="O1236" s="3"/>
    </row>
    <row r="1237" spans="2:15">
      <c r="B1237" s="2" t="s">
        <v>1319</v>
      </c>
      <c r="C1237" s="2" t="s">
        <v>1146</v>
      </c>
      <c r="D1237" s="2" t="s">
        <v>1149</v>
      </c>
      <c r="E1237" s="2" t="s">
        <v>1153</v>
      </c>
      <c r="F1237" s="2" t="s">
        <v>24</v>
      </c>
      <c r="G1237" s="2">
        <v>42</v>
      </c>
      <c r="H1237" s="2" t="s">
        <v>37</v>
      </c>
      <c r="I1237" s="3">
        <v>530</v>
      </c>
      <c r="J1237" s="3">
        <v>750</v>
      </c>
      <c r="K1237" s="4">
        <v>6</v>
      </c>
      <c r="O1237" s="3"/>
    </row>
    <row r="1238" spans="2:15">
      <c r="B1238" s="2" t="s">
        <v>1320</v>
      </c>
      <c r="C1238" s="2" t="s">
        <v>1146</v>
      </c>
      <c r="D1238" s="2" t="s">
        <v>1155</v>
      </c>
      <c r="E1238" s="2" t="s">
        <v>1153</v>
      </c>
      <c r="F1238" s="2" t="s">
        <v>24</v>
      </c>
      <c r="G1238" s="2">
        <v>44</v>
      </c>
      <c r="H1238" s="2" t="s">
        <v>104</v>
      </c>
      <c r="I1238" s="3">
        <v>630</v>
      </c>
      <c r="J1238" s="3">
        <v>880</v>
      </c>
      <c r="K1238" s="4">
        <v>3</v>
      </c>
      <c r="O1238" s="3"/>
    </row>
    <row r="1239" spans="2:15">
      <c r="B1239" s="2" t="s">
        <v>1321</v>
      </c>
      <c r="C1239" s="2" t="s">
        <v>1146</v>
      </c>
      <c r="D1239" s="2" t="s">
        <v>1155</v>
      </c>
      <c r="E1239" s="2" t="s">
        <v>1158</v>
      </c>
      <c r="F1239" s="2" t="s">
        <v>24</v>
      </c>
      <c r="G1239" s="2">
        <v>32</v>
      </c>
      <c r="H1239" s="2" t="s">
        <v>64</v>
      </c>
      <c r="I1239" s="3">
        <v>590</v>
      </c>
      <c r="J1239" s="3">
        <v>830</v>
      </c>
      <c r="K1239" s="4">
        <v>3</v>
      </c>
      <c r="O1239" s="3"/>
    </row>
    <row r="1240" spans="2:15">
      <c r="B1240" s="2" t="s">
        <v>1322</v>
      </c>
      <c r="C1240" s="2" t="s">
        <v>1146</v>
      </c>
      <c r="D1240" s="2" t="s">
        <v>1155</v>
      </c>
      <c r="E1240" s="2" t="s">
        <v>1156</v>
      </c>
      <c r="F1240" s="2" t="s">
        <v>20</v>
      </c>
      <c r="G1240" s="2">
        <v>34</v>
      </c>
      <c r="H1240" s="2" t="s">
        <v>37</v>
      </c>
      <c r="I1240" s="3">
        <v>520</v>
      </c>
      <c r="J1240" s="3">
        <v>720</v>
      </c>
      <c r="K1240" s="4">
        <v>4</v>
      </c>
      <c r="O1240" s="3"/>
    </row>
    <row r="1241" spans="2:15">
      <c r="B1241" s="2" t="s">
        <v>1323</v>
      </c>
      <c r="C1241" s="2" t="s">
        <v>1146</v>
      </c>
      <c r="D1241" s="2" t="s">
        <v>1155</v>
      </c>
      <c r="E1241" s="2" t="s">
        <v>1158</v>
      </c>
      <c r="F1241" s="2" t="s">
        <v>24</v>
      </c>
      <c r="G1241" s="2">
        <v>28</v>
      </c>
      <c r="H1241" s="2" t="s">
        <v>62</v>
      </c>
      <c r="I1241" s="3">
        <v>620</v>
      </c>
      <c r="J1241" s="3">
        <v>870</v>
      </c>
      <c r="K1241" s="4">
        <v>5</v>
      </c>
      <c r="O1241" s="3"/>
    </row>
    <row r="1242" spans="2:15">
      <c r="B1242" s="2" t="s">
        <v>1324</v>
      </c>
      <c r="C1242" s="2" t="s">
        <v>1146</v>
      </c>
      <c r="D1242" s="2" t="s">
        <v>1164</v>
      </c>
      <c r="E1242" s="2" t="s">
        <v>850</v>
      </c>
      <c r="F1242" s="2" t="s">
        <v>15</v>
      </c>
      <c r="G1242" s="2">
        <v>30</v>
      </c>
      <c r="H1242" s="2" t="s">
        <v>104</v>
      </c>
      <c r="I1242" s="3">
        <v>540</v>
      </c>
      <c r="J1242" s="3">
        <v>750</v>
      </c>
      <c r="K1242" s="4">
        <v>6</v>
      </c>
      <c r="O1242" s="3"/>
    </row>
    <row r="1243" spans="2:15">
      <c r="B1243" s="2" t="s">
        <v>1325</v>
      </c>
      <c r="C1243" s="2" t="s">
        <v>1146</v>
      </c>
      <c r="D1243" s="2" t="s">
        <v>1147</v>
      </c>
      <c r="E1243" s="2" t="s">
        <v>1150</v>
      </c>
      <c r="F1243" s="2" t="s">
        <v>24</v>
      </c>
      <c r="G1243" s="2">
        <v>30</v>
      </c>
      <c r="H1243" s="2" t="s">
        <v>62</v>
      </c>
      <c r="I1243" s="3">
        <v>620</v>
      </c>
      <c r="J1243" s="3">
        <v>860</v>
      </c>
      <c r="K1243" s="4">
        <v>3</v>
      </c>
      <c r="O1243" s="3"/>
    </row>
    <row r="1244" spans="2:15">
      <c r="B1244" s="2" t="s">
        <v>1326</v>
      </c>
      <c r="C1244" s="2" t="s">
        <v>1146</v>
      </c>
      <c r="D1244" s="2" t="s">
        <v>1147</v>
      </c>
      <c r="E1244" s="2" t="s">
        <v>1153</v>
      </c>
      <c r="F1244" s="2" t="s">
        <v>24</v>
      </c>
      <c r="G1244" s="2">
        <v>30</v>
      </c>
      <c r="H1244" s="2" t="s">
        <v>94</v>
      </c>
      <c r="I1244" s="3">
        <v>630</v>
      </c>
      <c r="J1244" s="3">
        <v>880</v>
      </c>
      <c r="K1244" s="4">
        <v>5</v>
      </c>
      <c r="O1244" s="3"/>
    </row>
    <row r="1245" spans="2:15">
      <c r="B1245" s="2" t="s">
        <v>1327</v>
      </c>
      <c r="C1245" s="2" t="s">
        <v>1146</v>
      </c>
      <c r="D1245" s="2" t="s">
        <v>1155</v>
      </c>
      <c r="E1245" s="2" t="s">
        <v>1156</v>
      </c>
      <c r="F1245" s="2" t="s">
        <v>15</v>
      </c>
      <c r="G1245" s="2">
        <v>42</v>
      </c>
      <c r="H1245" s="2" t="s">
        <v>37</v>
      </c>
      <c r="I1245" s="3">
        <v>540</v>
      </c>
      <c r="J1245" s="3">
        <v>760</v>
      </c>
      <c r="K1245" s="4">
        <v>4</v>
      </c>
      <c r="O1245" s="3"/>
    </row>
    <row r="1246" spans="2:15">
      <c r="B1246" s="2" t="s">
        <v>1328</v>
      </c>
      <c r="C1246" s="2" t="s">
        <v>1146</v>
      </c>
      <c r="D1246" s="2" t="s">
        <v>1155</v>
      </c>
      <c r="E1246" s="2" t="s">
        <v>1158</v>
      </c>
      <c r="F1246" s="2" t="s">
        <v>24</v>
      </c>
      <c r="G1246" s="2">
        <v>30</v>
      </c>
      <c r="H1246" s="2" t="s">
        <v>94</v>
      </c>
      <c r="I1246" s="3">
        <v>660</v>
      </c>
      <c r="J1246" s="3">
        <v>930</v>
      </c>
      <c r="K1246" s="4">
        <v>6</v>
      </c>
      <c r="O1246" s="3"/>
    </row>
    <row r="1247" spans="2:15">
      <c r="B1247" s="2" t="s">
        <v>1329</v>
      </c>
      <c r="C1247" s="2" t="s">
        <v>1146</v>
      </c>
      <c r="D1247" s="2" t="s">
        <v>1147</v>
      </c>
      <c r="E1247" s="2" t="s">
        <v>1153</v>
      </c>
      <c r="F1247" s="2" t="s">
        <v>24</v>
      </c>
      <c r="G1247" s="2">
        <v>38</v>
      </c>
      <c r="H1247" s="2" t="s">
        <v>101</v>
      </c>
      <c r="I1247" s="3">
        <v>610</v>
      </c>
      <c r="J1247" s="3">
        <v>850</v>
      </c>
      <c r="K1247" s="4">
        <v>4</v>
      </c>
      <c r="O1247" s="3"/>
    </row>
    <row r="1248" spans="2:15">
      <c r="B1248" s="2" t="s">
        <v>1330</v>
      </c>
      <c r="C1248" s="2" t="s">
        <v>1146</v>
      </c>
      <c r="D1248" s="2" t="s">
        <v>1155</v>
      </c>
      <c r="E1248" s="2" t="s">
        <v>1158</v>
      </c>
      <c r="F1248" s="2" t="s">
        <v>24</v>
      </c>
      <c r="G1248" s="2">
        <v>40</v>
      </c>
      <c r="H1248" s="2" t="s">
        <v>41</v>
      </c>
      <c r="I1248" s="3">
        <v>520</v>
      </c>
      <c r="J1248" s="3">
        <v>730</v>
      </c>
      <c r="K1248" s="4">
        <v>4</v>
      </c>
      <c r="O1248" s="3"/>
    </row>
    <row r="1249" spans="2:15">
      <c r="B1249" s="2" t="s">
        <v>1331</v>
      </c>
      <c r="C1249" s="2" t="s">
        <v>1146</v>
      </c>
      <c r="D1249" s="2" t="s">
        <v>1164</v>
      </c>
      <c r="E1249" s="2" t="s">
        <v>1156</v>
      </c>
      <c r="F1249" s="2" t="s">
        <v>20</v>
      </c>
      <c r="G1249" s="2">
        <v>32</v>
      </c>
      <c r="H1249" s="2" t="s">
        <v>22</v>
      </c>
      <c r="I1249" s="3">
        <v>540</v>
      </c>
      <c r="J1249" s="3">
        <v>750</v>
      </c>
      <c r="K1249" s="4">
        <v>6</v>
      </c>
      <c r="O1249" s="3"/>
    </row>
    <row r="1250" spans="2:15">
      <c r="B1250" s="2" t="s">
        <v>1332</v>
      </c>
      <c r="C1250" s="2" t="s">
        <v>1146</v>
      </c>
      <c r="D1250" s="2" t="s">
        <v>1152</v>
      </c>
      <c r="E1250" s="2" t="s">
        <v>850</v>
      </c>
      <c r="F1250" s="2" t="s">
        <v>15</v>
      </c>
      <c r="G1250" s="2">
        <v>38</v>
      </c>
      <c r="H1250" s="2" t="s">
        <v>69</v>
      </c>
      <c r="I1250" s="3">
        <v>600</v>
      </c>
      <c r="J1250" s="3">
        <v>840</v>
      </c>
      <c r="K1250" s="4">
        <v>6</v>
      </c>
      <c r="O1250" s="3"/>
    </row>
    <row r="1251" spans="2:15">
      <c r="B1251" s="2" t="s">
        <v>1333</v>
      </c>
      <c r="C1251" s="2" t="s">
        <v>1146</v>
      </c>
      <c r="D1251" s="2" t="s">
        <v>1147</v>
      </c>
      <c r="E1251" s="2" t="s">
        <v>850</v>
      </c>
      <c r="F1251" s="2" t="s">
        <v>20</v>
      </c>
      <c r="G1251" s="2">
        <v>30</v>
      </c>
      <c r="H1251" s="2" t="s">
        <v>49</v>
      </c>
      <c r="I1251" s="3">
        <v>540</v>
      </c>
      <c r="J1251" s="3">
        <v>750</v>
      </c>
      <c r="K1251" s="4">
        <v>5</v>
      </c>
      <c r="O1251" s="3"/>
    </row>
    <row r="1252" spans="2:15">
      <c r="B1252" s="2" t="s">
        <v>1334</v>
      </c>
      <c r="C1252" s="2" t="s">
        <v>1146</v>
      </c>
      <c r="D1252" s="2" t="s">
        <v>1149</v>
      </c>
      <c r="E1252" s="2" t="s">
        <v>1156</v>
      </c>
      <c r="F1252" s="2" t="s">
        <v>20</v>
      </c>
      <c r="G1252" s="2">
        <v>40</v>
      </c>
      <c r="H1252" s="2" t="s">
        <v>104</v>
      </c>
      <c r="I1252" s="3">
        <v>600</v>
      </c>
      <c r="J1252" s="3">
        <v>840</v>
      </c>
      <c r="K1252" s="4">
        <v>4</v>
      </c>
      <c r="O1252" s="3"/>
    </row>
    <row r="1253" spans="2:15">
      <c r="B1253" s="2" t="s">
        <v>1335</v>
      </c>
      <c r="C1253" s="2" t="s">
        <v>1146</v>
      </c>
      <c r="D1253" s="2" t="s">
        <v>1147</v>
      </c>
      <c r="E1253" s="2" t="s">
        <v>850</v>
      </c>
      <c r="F1253" s="2" t="s">
        <v>1166</v>
      </c>
      <c r="G1253" s="2">
        <v>40</v>
      </c>
      <c r="H1253" s="2" t="s">
        <v>59</v>
      </c>
      <c r="I1253" s="3">
        <v>650</v>
      </c>
      <c r="J1253" s="3">
        <v>900</v>
      </c>
      <c r="K1253" s="4">
        <v>5</v>
      </c>
      <c r="O1253" s="3"/>
    </row>
    <row r="1254" spans="2:15">
      <c r="B1254" s="2" t="s">
        <v>1336</v>
      </c>
      <c r="C1254" s="2" t="s">
        <v>1146</v>
      </c>
      <c r="D1254" s="2" t="s">
        <v>1155</v>
      </c>
      <c r="E1254" s="2" t="s">
        <v>1150</v>
      </c>
      <c r="F1254" s="2" t="s">
        <v>24</v>
      </c>
      <c r="G1254" s="2">
        <v>44</v>
      </c>
      <c r="H1254" s="2" t="s">
        <v>25</v>
      </c>
      <c r="I1254" s="3">
        <v>580</v>
      </c>
      <c r="J1254" s="3">
        <v>810</v>
      </c>
      <c r="K1254" s="4">
        <v>4</v>
      </c>
      <c r="O1254" s="3"/>
    </row>
    <row r="1255" spans="2:15">
      <c r="B1255" s="2" t="s">
        <v>1337</v>
      </c>
      <c r="C1255" s="2" t="s">
        <v>1146</v>
      </c>
      <c r="D1255" s="2" t="s">
        <v>1152</v>
      </c>
      <c r="E1255" s="2" t="s">
        <v>1156</v>
      </c>
      <c r="F1255" s="2" t="s">
        <v>15</v>
      </c>
      <c r="G1255" s="2">
        <v>34</v>
      </c>
      <c r="H1255" s="2" t="s">
        <v>62</v>
      </c>
      <c r="I1255" s="3">
        <v>680</v>
      </c>
      <c r="J1255" s="3">
        <v>950</v>
      </c>
      <c r="K1255" s="4">
        <v>6</v>
      </c>
      <c r="O1255" s="3"/>
    </row>
    <row r="1256" spans="2:15">
      <c r="B1256" s="2" t="s">
        <v>1338</v>
      </c>
      <c r="C1256" s="2" t="s">
        <v>1146</v>
      </c>
      <c r="D1256" s="2" t="s">
        <v>1155</v>
      </c>
      <c r="E1256" s="2" t="s">
        <v>1156</v>
      </c>
      <c r="F1256" s="2" t="s">
        <v>20</v>
      </c>
      <c r="G1256" s="2">
        <v>36</v>
      </c>
      <c r="H1256" s="2" t="s">
        <v>43</v>
      </c>
      <c r="I1256" s="3">
        <v>680</v>
      </c>
      <c r="J1256" s="3">
        <v>950</v>
      </c>
      <c r="K1256" s="4">
        <v>3</v>
      </c>
      <c r="O1256" s="3"/>
    </row>
    <row r="1257" spans="2:15">
      <c r="B1257" s="2" t="s">
        <v>1339</v>
      </c>
      <c r="C1257" s="2" t="s">
        <v>1146</v>
      </c>
      <c r="D1257" s="2" t="s">
        <v>1155</v>
      </c>
      <c r="E1257" s="2" t="s">
        <v>1156</v>
      </c>
      <c r="F1257" s="2" t="s">
        <v>15</v>
      </c>
      <c r="G1257" s="2">
        <v>32</v>
      </c>
      <c r="H1257" s="2" t="s">
        <v>75</v>
      </c>
      <c r="I1257" s="3">
        <v>640</v>
      </c>
      <c r="J1257" s="3">
        <v>890</v>
      </c>
      <c r="K1257" s="4">
        <v>5</v>
      </c>
      <c r="O1257" s="3"/>
    </row>
    <row r="1258" spans="2:15">
      <c r="B1258" s="2" t="s">
        <v>1340</v>
      </c>
      <c r="C1258" s="2" t="s">
        <v>1146</v>
      </c>
      <c r="D1258" s="2" t="s">
        <v>1147</v>
      </c>
      <c r="E1258" s="2" t="s">
        <v>850</v>
      </c>
      <c r="F1258" s="2" t="s">
        <v>15</v>
      </c>
      <c r="G1258" s="2">
        <v>36</v>
      </c>
      <c r="H1258" s="2" t="s">
        <v>75</v>
      </c>
      <c r="I1258" s="3">
        <v>550</v>
      </c>
      <c r="J1258" s="3">
        <v>780</v>
      </c>
      <c r="K1258" s="4">
        <v>5</v>
      </c>
      <c r="O1258" s="3"/>
    </row>
    <row r="1259" spans="2:15">
      <c r="B1259" s="2" t="s">
        <v>1341</v>
      </c>
      <c r="C1259" s="2" t="s">
        <v>1146</v>
      </c>
      <c r="D1259" s="2" t="s">
        <v>1149</v>
      </c>
      <c r="E1259" s="2" t="s">
        <v>1150</v>
      </c>
      <c r="F1259" s="2" t="s">
        <v>24</v>
      </c>
      <c r="G1259" s="2">
        <v>44</v>
      </c>
      <c r="H1259" s="2" t="s">
        <v>71</v>
      </c>
      <c r="I1259" s="3">
        <v>660</v>
      </c>
      <c r="J1259" s="3">
        <v>930</v>
      </c>
      <c r="K1259" s="4">
        <v>5</v>
      </c>
      <c r="O1259" s="3"/>
    </row>
    <row r="1260" spans="2:15">
      <c r="B1260" s="2" t="s">
        <v>1342</v>
      </c>
      <c r="C1260" s="2" t="s">
        <v>1146</v>
      </c>
      <c r="D1260" s="2" t="s">
        <v>1155</v>
      </c>
      <c r="E1260" s="2" t="s">
        <v>1156</v>
      </c>
      <c r="F1260" s="2" t="s">
        <v>15</v>
      </c>
      <c r="G1260" s="2">
        <v>30</v>
      </c>
      <c r="H1260" s="2" t="s">
        <v>104</v>
      </c>
      <c r="I1260" s="3">
        <v>560</v>
      </c>
      <c r="J1260" s="3">
        <v>780</v>
      </c>
      <c r="K1260" s="4">
        <v>5</v>
      </c>
      <c r="O1260" s="3"/>
    </row>
    <row r="1261" spans="2:15">
      <c r="B1261" s="2" t="s">
        <v>1343</v>
      </c>
      <c r="C1261" s="2" t="s">
        <v>1146</v>
      </c>
      <c r="D1261" s="2" t="s">
        <v>1164</v>
      </c>
      <c r="E1261" s="2" t="s">
        <v>1158</v>
      </c>
      <c r="F1261" s="2" t="s">
        <v>24</v>
      </c>
      <c r="G1261" s="2">
        <v>28</v>
      </c>
      <c r="H1261" s="2" t="s">
        <v>37</v>
      </c>
      <c r="I1261" s="3">
        <v>570</v>
      </c>
      <c r="J1261" s="3">
        <v>790</v>
      </c>
      <c r="K1261" s="4">
        <v>6</v>
      </c>
      <c r="O1261" s="3"/>
    </row>
    <row r="1262" spans="2:15">
      <c r="B1262" s="2" t="s">
        <v>1344</v>
      </c>
      <c r="C1262" s="2" t="s">
        <v>1146</v>
      </c>
      <c r="D1262" s="2" t="s">
        <v>1164</v>
      </c>
      <c r="E1262" s="2" t="s">
        <v>1150</v>
      </c>
      <c r="F1262" s="2" t="s">
        <v>24</v>
      </c>
      <c r="G1262" s="2">
        <v>38</v>
      </c>
      <c r="H1262" s="2" t="s">
        <v>17</v>
      </c>
      <c r="I1262" s="3">
        <v>580</v>
      </c>
      <c r="J1262" s="3">
        <v>810</v>
      </c>
      <c r="K1262" s="4">
        <v>4</v>
      </c>
      <c r="O1262" s="3"/>
    </row>
    <row r="1263" spans="2:15">
      <c r="B1263" s="2" t="s">
        <v>1345</v>
      </c>
      <c r="C1263" s="2" t="s">
        <v>1146</v>
      </c>
      <c r="D1263" s="2" t="s">
        <v>1155</v>
      </c>
      <c r="E1263" s="2" t="s">
        <v>1158</v>
      </c>
      <c r="F1263" s="2" t="s">
        <v>24</v>
      </c>
      <c r="G1263" s="2">
        <v>32</v>
      </c>
      <c r="H1263" s="2" t="s">
        <v>59</v>
      </c>
      <c r="I1263" s="3">
        <v>590</v>
      </c>
      <c r="J1263" s="3">
        <v>820</v>
      </c>
      <c r="K1263" s="4">
        <v>4</v>
      </c>
      <c r="O1263" s="3"/>
    </row>
    <row r="1264" spans="2:15">
      <c r="B1264" s="2" t="s">
        <v>1346</v>
      </c>
      <c r="C1264" s="2" t="s">
        <v>1146</v>
      </c>
      <c r="D1264" s="2" t="s">
        <v>1155</v>
      </c>
      <c r="E1264" s="2" t="s">
        <v>850</v>
      </c>
      <c r="F1264" s="2" t="s">
        <v>15</v>
      </c>
      <c r="G1264" s="2">
        <v>34</v>
      </c>
      <c r="H1264" s="2" t="s">
        <v>41</v>
      </c>
      <c r="I1264" s="3">
        <v>530</v>
      </c>
      <c r="J1264" s="3">
        <v>740</v>
      </c>
      <c r="K1264" s="4">
        <v>6</v>
      </c>
      <c r="O1264" s="3"/>
    </row>
    <row r="1265" spans="2:15">
      <c r="B1265" s="2" t="s">
        <v>1347</v>
      </c>
      <c r="C1265" s="2" t="s">
        <v>1146</v>
      </c>
      <c r="D1265" s="2" t="s">
        <v>1149</v>
      </c>
      <c r="E1265" s="2" t="s">
        <v>1156</v>
      </c>
      <c r="F1265" s="2" t="s">
        <v>1166</v>
      </c>
      <c r="G1265" s="2">
        <v>30</v>
      </c>
      <c r="H1265" s="2" t="s">
        <v>43</v>
      </c>
      <c r="I1265" s="3">
        <v>520</v>
      </c>
      <c r="J1265" s="3">
        <v>740</v>
      </c>
      <c r="K1265" s="4">
        <v>3</v>
      </c>
      <c r="O1265" s="3"/>
    </row>
    <row r="1266" spans="2:15">
      <c r="B1266" s="2" t="s">
        <v>1348</v>
      </c>
      <c r="C1266" s="2" t="s">
        <v>1146</v>
      </c>
      <c r="D1266" s="2" t="s">
        <v>1149</v>
      </c>
      <c r="E1266" s="2" t="s">
        <v>1156</v>
      </c>
      <c r="F1266" s="2" t="s">
        <v>20</v>
      </c>
      <c r="G1266" s="2">
        <v>42</v>
      </c>
      <c r="H1266" s="2" t="s">
        <v>43</v>
      </c>
      <c r="I1266" s="3">
        <v>610</v>
      </c>
      <c r="J1266" s="3">
        <v>850</v>
      </c>
      <c r="K1266" s="4">
        <v>5</v>
      </c>
      <c r="O1266" s="3"/>
    </row>
    <row r="1267" spans="2:15">
      <c r="B1267" s="2" t="s">
        <v>1349</v>
      </c>
      <c r="C1267" s="2" t="s">
        <v>1146</v>
      </c>
      <c r="D1267" s="2" t="s">
        <v>1164</v>
      </c>
      <c r="E1267" s="2" t="s">
        <v>1156</v>
      </c>
      <c r="F1267" s="2" t="s">
        <v>15</v>
      </c>
      <c r="G1267" s="2">
        <v>44</v>
      </c>
      <c r="H1267" s="2" t="s">
        <v>75</v>
      </c>
      <c r="I1267" s="3">
        <v>670</v>
      </c>
      <c r="J1267" s="3">
        <v>940</v>
      </c>
      <c r="K1267" s="4">
        <v>6</v>
      </c>
      <c r="O1267" s="3"/>
    </row>
    <row r="1268" spans="2:15">
      <c r="B1268" s="2" t="s">
        <v>1350</v>
      </c>
      <c r="C1268" s="2" t="s">
        <v>1146</v>
      </c>
      <c r="D1268" s="2" t="s">
        <v>1164</v>
      </c>
      <c r="E1268" s="2" t="s">
        <v>1156</v>
      </c>
      <c r="F1268" s="2" t="s">
        <v>15</v>
      </c>
      <c r="G1268" s="2">
        <v>40</v>
      </c>
      <c r="H1268" s="2" t="s">
        <v>29</v>
      </c>
      <c r="I1268" s="3">
        <v>570</v>
      </c>
      <c r="J1268" s="3">
        <v>790</v>
      </c>
      <c r="K1268" s="4">
        <v>6</v>
      </c>
      <c r="O1268" s="3"/>
    </row>
    <row r="1269" spans="2:15">
      <c r="B1269" s="2" t="s">
        <v>1351</v>
      </c>
      <c r="C1269" s="2" t="s">
        <v>1146</v>
      </c>
      <c r="D1269" s="2" t="s">
        <v>1149</v>
      </c>
      <c r="E1269" s="2" t="s">
        <v>1153</v>
      </c>
      <c r="F1269" s="2" t="s">
        <v>24</v>
      </c>
      <c r="G1269" s="2">
        <v>32</v>
      </c>
      <c r="H1269" s="2" t="s">
        <v>51</v>
      </c>
      <c r="I1269" s="3">
        <v>610</v>
      </c>
      <c r="J1269" s="3">
        <v>850</v>
      </c>
      <c r="K1269" s="4">
        <v>6</v>
      </c>
      <c r="O1269" s="3"/>
    </row>
    <row r="1270" spans="2:15">
      <c r="B1270" s="2" t="s">
        <v>1352</v>
      </c>
      <c r="C1270" s="2" t="s">
        <v>1146</v>
      </c>
      <c r="D1270" s="2" t="s">
        <v>1164</v>
      </c>
      <c r="E1270" s="2" t="s">
        <v>850</v>
      </c>
      <c r="F1270" s="2" t="s">
        <v>20</v>
      </c>
      <c r="G1270" s="2">
        <v>34</v>
      </c>
      <c r="H1270" s="2" t="s">
        <v>29</v>
      </c>
      <c r="I1270" s="3">
        <v>530</v>
      </c>
      <c r="J1270" s="3">
        <v>750</v>
      </c>
      <c r="K1270" s="4">
        <v>6</v>
      </c>
      <c r="O1270" s="3"/>
    </row>
    <row r="1271" spans="2:15">
      <c r="B1271" s="2" t="s">
        <v>1353</v>
      </c>
      <c r="C1271" s="2" t="s">
        <v>1146</v>
      </c>
      <c r="D1271" s="2" t="s">
        <v>1149</v>
      </c>
      <c r="E1271" s="2" t="s">
        <v>850</v>
      </c>
      <c r="F1271" s="2" t="s">
        <v>1166</v>
      </c>
      <c r="G1271" s="2">
        <v>30</v>
      </c>
      <c r="H1271" s="2" t="s">
        <v>25</v>
      </c>
      <c r="I1271" s="3">
        <v>510</v>
      </c>
      <c r="J1271" s="3">
        <v>710</v>
      </c>
      <c r="K1271" s="4">
        <v>6</v>
      </c>
      <c r="O1271" s="3"/>
    </row>
    <row r="1272" spans="2:15">
      <c r="B1272" s="2" t="s">
        <v>1354</v>
      </c>
      <c r="C1272" s="2" t="s">
        <v>1146</v>
      </c>
      <c r="D1272" s="2" t="s">
        <v>1147</v>
      </c>
      <c r="E1272" s="2" t="s">
        <v>1158</v>
      </c>
      <c r="F1272" s="2" t="s">
        <v>24</v>
      </c>
      <c r="G1272" s="2">
        <v>36</v>
      </c>
      <c r="H1272" s="2" t="s">
        <v>104</v>
      </c>
      <c r="I1272" s="3">
        <v>530</v>
      </c>
      <c r="J1272" s="3">
        <v>740</v>
      </c>
      <c r="K1272" s="4">
        <v>4</v>
      </c>
      <c r="O1272" s="3"/>
    </row>
    <row r="1273" spans="2:15">
      <c r="B1273" s="2" t="s">
        <v>1355</v>
      </c>
      <c r="C1273" s="2" t="s">
        <v>1146</v>
      </c>
      <c r="D1273" s="2" t="s">
        <v>1155</v>
      </c>
      <c r="E1273" s="2" t="s">
        <v>1158</v>
      </c>
      <c r="F1273" s="2" t="s">
        <v>24</v>
      </c>
      <c r="G1273" s="2">
        <v>36</v>
      </c>
      <c r="H1273" s="2" t="s">
        <v>101</v>
      </c>
      <c r="I1273" s="3">
        <v>530</v>
      </c>
      <c r="J1273" s="3">
        <v>740</v>
      </c>
      <c r="K1273" s="4">
        <v>6</v>
      </c>
      <c r="O1273" s="3"/>
    </row>
    <row r="1274" spans="2:15">
      <c r="B1274" s="2" t="s">
        <v>1356</v>
      </c>
      <c r="C1274" s="2" t="s">
        <v>1146</v>
      </c>
      <c r="D1274" s="2" t="s">
        <v>1149</v>
      </c>
      <c r="E1274" s="2" t="s">
        <v>1153</v>
      </c>
      <c r="F1274" s="2" t="s">
        <v>24</v>
      </c>
      <c r="G1274" s="2">
        <v>40</v>
      </c>
      <c r="H1274" s="2" t="s">
        <v>104</v>
      </c>
      <c r="I1274" s="3">
        <v>510</v>
      </c>
      <c r="J1274" s="3">
        <v>710</v>
      </c>
      <c r="K1274" s="4">
        <v>5</v>
      </c>
      <c r="O1274" s="3"/>
    </row>
    <row r="1275" spans="2:15">
      <c r="B1275" s="2" t="s">
        <v>1357</v>
      </c>
      <c r="C1275" s="2" t="s">
        <v>1146</v>
      </c>
      <c r="D1275" s="2" t="s">
        <v>1149</v>
      </c>
      <c r="E1275" s="2" t="s">
        <v>1153</v>
      </c>
      <c r="F1275" s="2" t="s">
        <v>24</v>
      </c>
      <c r="G1275" s="2">
        <v>42</v>
      </c>
      <c r="H1275" s="2" t="s">
        <v>69</v>
      </c>
      <c r="I1275" s="3">
        <v>570</v>
      </c>
      <c r="J1275" s="3">
        <v>800</v>
      </c>
      <c r="K1275" s="4">
        <v>3</v>
      </c>
      <c r="O1275" s="3"/>
    </row>
    <row r="1276" spans="2:15">
      <c r="B1276" s="2" t="s">
        <v>1358</v>
      </c>
      <c r="C1276" s="2" t="s">
        <v>1146</v>
      </c>
      <c r="D1276" s="2" t="s">
        <v>1155</v>
      </c>
      <c r="E1276" s="2" t="s">
        <v>1150</v>
      </c>
      <c r="F1276" s="2" t="s">
        <v>24</v>
      </c>
      <c r="G1276" s="2">
        <v>40</v>
      </c>
      <c r="H1276" s="2" t="s">
        <v>51</v>
      </c>
      <c r="I1276" s="3">
        <v>640</v>
      </c>
      <c r="J1276" s="3">
        <v>900</v>
      </c>
      <c r="K1276" s="4">
        <v>5</v>
      </c>
      <c r="O1276" s="3"/>
    </row>
    <row r="1277" spans="2:15">
      <c r="B1277" s="2" t="s">
        <v>1359</v>
      </c>
      <c r="C1277" s="2" t="s">
        <v>1146</v>
      </c>
      <c r="D1277" s="2" t="s">
        <v>1152</v>
      </c>
      <c r="E1277" s="2" t="s">
        <v>1158</v>
      </c>
      <c r="F1277" s="2" t="s">
        <v>24</v>
      </c>
      <c r="G1277" s="2">
        <v>42</v>
      </c>
      <c r="H1277" s="2" t="s">
        <v>25</v>
      </c>
      <c r="I1277" s="3">
        <v>640</v>
      </c>
      <c r="J1277" s="3">
        <v>900</v>
      </c>
      <c r="K1277" s="4">
        <v>4</v>
      </c>
      <c r="O1277" s="3"/>
    </row>
    <row r="1278" spans="2:15">
      <c r="B1278" s="2" t="s">
        <v>1360</v>
      </c>
      <c r="C1278" s="2" t="s">
        <v>1146</v>
      </c>
      <c r="D1278" s="2" t="s">
        <v>1164</v>
      </c>
      <c r="E1278" s="2" t="s">
        <v>1156</v>
      </c>
      <c r="F1278" s="2" t="s">
        <v>1166</v>
      </c>
      <c r="G1278" s="2">
        <v>42</v>
      </c>
      <c r="H1278" s="2" t="s">
        <v>57</v>
      </c>
      <c r="I1278" s="3">
        <v>540</v>
      </c>
      <c r="J1278" s="3">
        <v>750</v>
      </c>
      <c r="K1278" s="4">
        <v>5</v>
      </c>
      <c r="O1278" s="3"/>
    </row>
    <row r="1279" spans="2:15">
      <c r="B1279" s="2" t="s">
        <v>1361</v>
      </c>
      <c r="C1279" s="2" t="s">
        <v>1146</v>
      </c>
      <c r="D1279" s="2" t="s">
        <v>1164</v>
      </c>
      <c r="E1279" s="2" t="s">
        <v>850</v>
      </c>
      <c r="F1279" s="2" t="s">
        <v>1166</v>
      </c>
      <c r="G1279" s="2">
        <v>40</v>
      </c>
      <c r="H1279" s="2" t="s">
        <v>17</v>
      </c>
      <c r="I1279" s="3">
        <v>520</v>
      </c>
      <c r="J1279" s="3">
        <v>730</v>
      </c>
      <c r="K1279" s="4">
        <v>6</v>
      </c>
      <c r="O1279" s="3"/>
    </row>
    <row r="1280" spans="2:15">
      <c r="B1280" s="2" t="s">
        <v>1362</v>
      </c>
      <c r="C1280" s="2" t="s">
        <v>1146</v>
      </c>
      <c r="D1280" s="2" t="s">
        <v>1164</v>
      </c>
      <c r="E1280" s="2" t="s">
        <v>1150</v>
      </c>
      <c r="F1280" s="2" t="s">
        <v>24</v>
      </c>
      <c r="G1280" s="2">
        <v>42</v>
      </c>
      <c r="H1280" s="2" t="s">
        <v>33</v>
      </c>
      <c r="I1280" s="3">
        <v>590</v>
      </c>
      <c r="J1280" s="3">
        <v>820</v>
      </c>
      <c r="K1280" s="4">
        <v>3</v>
      </c>
      <c r="O1280" s="3"/>
    </row>
    <row r="1281" spans="2:15">
      <c r="B1281" s="2" t="s">
        <v>1363</v>
      </c>
      <c r="C1281" s="2" t="s">
        <v>1146</v>
      </c>
      <c r="D1281" s="2" t="s">
        <v>1147</v>
      </c>
      <c r="E1281" s="2" t="s">
        <v>850</v>
      </c>
      <c r="F1281" s="2" t="s">
        <v>15</v>
      </c>
      <c r="G1281" s="2">
        <v>36</v>
      </c>
      <c r="H1281" s="2" t="s">
        <v>62</v>
      </c>
      <c r="I1281" s="3">
        <v>540</v>
      </c>
      <c r="J1281" s="3">
        <v>760</v>
      </c>
      <c r="K1281" s="4">
        <v>3</v>
      </c>
      <c r="O1281" s="3"/>
    </row>
    <row r="1282" spans="2:15">
      <c r="B1282" s="2" t="s">
        <v>1364</v>
      </c>
      <c r="C1282" s="2" t="s">
        <v>1146</v>
      </c>
      <c r="D1282" s="2" t="s">
        <v>1164</v>
      </c>
      <c r="E1282" s="2" t="s">
        <v>1150</v>
      </c>
      <c r="F1282" s="2" t="s">
        <v>24</v>
      </c>
      <c r="G1282" s="2">
        <v>44</v>
      </c>
      <c r="H1282" s="2" t="s">
        <v>71</v>
      </c>
      <c r="I1282" s="3">
        <v>660</v>
      </c>
      <c r="J1282" s="3">
        <v>930</v>
      </c>
      <c r="K1282" s="4">
        <v>3</v>
      </c>
      <c r="O1282" s="3"/>
    </row>
    <row r="1283" spans="2:15">
      <c r="B1283" s="2" t="s">
        <v>1365</v>
      </c>
      <c r="C1283" s="2" t="s">
        <v>1146</v>
      </c>
      <c r="D1283" s="2" t="s">
        <v>1164</v>
      </c>
      <c r="E1283" s="2" t="s">
        <v>1153</v>
      </c>
      <c r="F1283" s="2" t="s">
        <v>24</v>
      </c>
      <c r="G1283" s="2">
        <v>44</v>
      </c>
      <c r="H1283" s="2" t="s">
        <v>69</v>
      </c>
      <c r="I1283" s="3">
        <v>640</v>
      </c>
      <c r="J1283" s="3">
        <v>900</v>
      </c>
      <c r="K1283" s="4">
        <v>3</v>
      </c>
      <c r="O1283" s="3"/>
    </row>
    <row r="1284" spans="2:15">
      <c r="B1284" s="2" t="s">
        <v>1366</v>
      </c>
      <c r="C1284" s="2" t="s">
        <v>1146</v>
      </c>
      <c r="D1284" s="2" t="s">
        <v>1164</v>
      </c>
      <c r="E1284" s="2" t="s">
        <v>1153</v>
      </c>
      <c r="F1284" s="2" t="s">
        <v>24</v>
      </c>
      <c r="G1284" s="2">
        <v>36</v>
      </c>
      <c r="H1284" s="2" t="s">
        <v>94</v>
      </c>
      <c r="I1284" s="3">
        <v>670</v>
      </c>
      <c r="J1284" s="3">
        <v>940</v>
      </c>
      <c r="K1284" s="4">
        <v>4</v>
      </c>
      <c r="O1284" s="3"/>
    </row>
    <row r="1285" spans="2:15">
      <c r="B1285" s="2" t="s">
        <v>1367</v>
      </c>
      <c r="C1285" s="2" t="s">
        <v>1146</v>
      </c>
      <c r="D1285" s="2" t="s">
        <v>1164</v>
      </c>
      <c r="E1285" s="2" t="s">
        <v>1156</v>
      </c>
      <c r="F1285" s="2" t="s">
        <v>20</v>
      </c>
      <c r="G1285" s="2">
        <v>44</v>
      </c>
      <c r="H1285" s="2" t="s">
        <v>25</v>
      </c>
      <c r="I1285" s="3">
        <v>680</v>
      </c>
      <c r="J1285" s="3">
        <v>950</v>
      </c>
      <c r="K1285" s="4">
        <v>5</v>
      </c>
      <c r="O1285" s="3"/>
    </row>
    <row r="1286" spans="2:15">
      <c r="B1286" s="2" t="s">
        <v>1368</v>
      </c>
      <c r="C1286" s="2" t="s">
        <v>1146</v>
      </c>
      <c r="D1286" s="2" t="s">
        <v>1164</v>
      </c>
      <c r="E1286" s="2" t="s">
        <v>1150</v>
      </c>
      <c r="F1286" s="2" t="s">
        <v>24</v>
      </c>
      <c r="G1286" s="2">
        <v>28</v>
      </c>
      <c r="H1286" s="2" t="s">
        <v>49</v>
      </c>
      <c r="I1286" s="3">
        <v>600</v>
      </c>
      <c r="J1286" s="3">
        <v>840</v>
      </c>
      <c r="K1286" s="4">
        <v>6</v>
      </c>
      <c r="O1286" s="3"/>
    </row>
    <row r="1287" spans="2:15">
      <c r="B1287" s="2" t="s">
        <v>1369</v>
      </c>
      <c r="C1287" s="2" t="s">
        <v>1146</v>
      </c>
      <c r="D1287" s="2" t="s">
        <v>1152</v>
      </c>
      <c r="E1287" s="2" t="s">
        <v>1150</v>
      </c>
      <c r="F1287" s="2" t="s">
        <v>24</v>
      </c>
      <c r="G1287" s="2">
        <v>38</v>
      </c>
      <c r="H1287" s="2" t="s">
        <v>59</v>
      </c>
      <c r="I1287" s="3">
        <v>550</v>
      </c>
      <c r="J1287" s="3">
        <v>760</v>
      </c>
      <c r="K1287" s="4">
        <v>5</v>
      </c>
      <c r="O1287" s="3"/>
    </row>
    <row r="1288" spans="2:15">
      <c r="B1288" s="2" t="s">
        <v>1370</v>
      </c>
      <c r="C1288" s="2" t="s">
        <v>1146</v>
      </c>
      <c r="D1288" s="2" t="s">
        <v>1147</v>
      </c>
      <c r="E1288" s="2" t="s">
        <v>1150</v>
      </c>
      <c r="F1288" s="2" t="s">
        <v>24</v>
      </c>
      <c r="G1288" s="2">
        <v>32</v>
      </c>
      <c r="H1288" s="2" t="s">
        <v>101</v>
      </c>
      <c r="I1288" s="3">
        <v>520</v>
      </c>
      <c r="J1288" s="3">
        <v>730</v>
      </c>
      <c r="K1288" s="4">
        <v>4</v>
      </c>
      <c r="O1288" s="3"/>
    </row>
    <row r="1289" spans="2:15">
      <c r="B1289" s="2" t="s">
        <v>1371</v>
      </c>
      <c r="C1289" s="2" t="s">
        <v>1146</v>
      </c>
      <c r="D1289" s="2" t="s">
        <v>1155</v>
      </c>
      <c r="E1289" s="2" t="s">
        <v>1150</v>
      </c>
      <c r="F1289" s="2" t="s">
        <v>24</v>
      </c>
      <c r="G1289" s="2">
        <v>36</v>
      </c>
      <c r="H1289" s="2" t="s">
        <v>22</v>
      </c>
      <c r="I1289" s="3">
        <v>550</v>
      </c>
      <c r="J1289" s="3">
        <v>760</v>
      </c>
      <c r="K1289" s="4">
        <v>4</v>
      </c>
      <c r="O1289" s="3"/>
    </row>
    <row r="1290" spans="2:15">
      <c r="B1290" s="2" t="s">
        <v>1372</v>
      </c>
      <c r="C1290" s="2" t="s">
        <v>1146</v>
      </c>
      <c r="D1290" s="2" t="s">
        <v>1164</v>
      </c>
      <c r="E1290" s="2" t="s">
        <v>1158</v>
      </c>
      <c r="F1290" s="2" t="s">
        <v>24</v>
      </c>
      <c r="G1290" s="2">
        <v>28</v>
      </c>
      <c r="H1290" s="2" t="s">
        <v>104</v>
      </c>
      <c r="I1290" s="3">
        <v>520</v>
      </c>
      <c r="J1290" s="3">
        <v>720</v>
      </c>
      <c r="K1290" s="4">
        <v>5</v>
      </c>
      <c r="O1290" s="3"/>
    </row>
    <row r="1291" spans="2:15">
      <c r="B1291" s="2" t="s">
        <v>1373</v>
      </c>
      <c r="C1291" s="2" t="s">
        <v>1146</v>
      </c>
      <c r="D1291" s="2" t="s">
        <v>1147</v>
      </c>
      <c r="E1291" s="2" t="s">
        <v>1158</v>
      </c>
      <c r="F1291" s="2" t="s">
        <v>24</v>
      </c>
      <c r="G1291" s="2">
        <v>40</v>
      </c>
      <c r="H1291" s="2" t="s">
        <v>49</v>
      </c>
      <c r="I1291" s="3">
        <v>600</v>
      </c>
      <c r="J1291" s="3">
        <v>840</v>
      </c>
      <c r="K1291" s="4">
        <v>5</v>
      </c>
      <c r="O1291" s="3"/>
    </row>
    <row r="1292" spans="2:15">
      <c r="B1292" s="2" t="s">
        <v>1374</v>
      </c>
      <c r="C1292" s="2" t="s">
        <v>1146</v>
      </c>
      <c r="D1292" s="2" t="s">
        <v>1147</v>
      </c>
      <c r="E1292" s="2" t="s">
        <v>1150</v>
      </c>
      <c r="F1292" s="2" t="s">
        <v>24</v>
      </c>
      <c r="G1292" s="2">
        <v>34</v>
      </c>
      <c r="H1292" s="2" t="s">
        <v>25</v>
      </c>
      <c r="I1292" s="3">
        <v>600</v>
      </c>
      <c r="J1292" s="3">
        <v>830</v>
      </c>
      <c r="K1292" s="4">
        <v>4</v>
      </c>
      <c r="O1292" s="3"/>
    </row>
    <row r="1293" spans="2:15">
      <c r="B1293" s="2" t="s">
        <v>1375</v>
      </c>
      <c r="C1293" s="2" t="s">
        <v>1146</v>
      </c>
      <c r="D1293" s="2" t="s">
        <v>1164</v>
      </c>
      <c r="E1293" s="2" t="s">
        <v>850</v>
      </c>
      <c r="F1293" s="2" t="s">
        <v>1166</v>
      </c>
      <c r="G1293" s="2">
        <v>30</v>
      </c>
      <c r="H1293" s="2" t="s">
        <v>33</v>
      </c>
      <c r="I1293" s="3">
        <v>630</v>
      </c>
      <c r="J1293" s="3">
        <v>880</v>
      </c>
      <c r="K1293" s="4">
        <v>3</v>
      </c>
      <c r="O1293" s="3"/>
    </row>
    <row r="1294" spans="2:15">
      <c r="B1294" s="2" t="s">
        <v>1376</v>
      </c>
      <c r="C1294" s="2" t="s">
        <v>1146</v>
      </c>
      <c r="D1294" s="2" t="s">
        <v>1152</v>
      </c>
      <c r="E1294" s="2" t="s">
        <v>850</v>
      </c>
      <c r="F1294" s="2" t="s">
        <v>1166</v>
      </c>
      <c r="G1294" s="2">
        <v>30</v>
      </c>
      <c r="H1294" s="2" t="s">
        <v>51</v>
      </c>
      <c r="I1294" s="3">
        <v>580</v>
      </c>
      <c r="J1294" s="3">
        <v>810</v>
      </c>
      <c r="K1294" s="4">
        <v>3</v>
      </c>
      <c r="O1294" s="3"/>
    </row>
    <row r="1295" spans="2:15">
      <c r="B1295" s="2" t="s">
        <v>1377</v>
      </c>
      <c r="C1295" s="2" t="s">
        <v>1146</v>
      </c>
      <c r="D1295" s="2" t="s">
        <v>1149</v>
      </c>
      <c r="E1295" s="2" t="s">
        <v>1150</v>
      </c>
      <c r="F1295" s="2" t="s">
        <v>24</v>
      </c>
      <c r="G1295" s="2">
        <v>44</v>
      </c>
      <c r="H1295" s="2" t="s">
        <v>71</v>
      </c>
      <c r="I1295" s="3">
        <v>600</v>
      </c>
      <c r="J1295" s="3">
        <v>840</v>
      </c>
      <c r="K1295" s="4">
        <v>3</v>
      </c>
      <c r="O1295" s="3"/>
    </row>
    <row r="1296" spans="2:15">
      <c r="B1296" s="2" t="s">
        <v>1378</v>
      </c>
      <c r="C1296" s="2" t="s">
        <v>1146</v>
      </c>
      <c r="D1296" s="2" t="s">
        <v>1164</v>
      </c>
      <c r="E1296" s="2" t="s">
        <v>1153</v>
      </c>
      <c r="F1296" s="2" t="s">
        <v>24</v>
      </c>
      <c r="G1296" s="2">
        <v>40</v>
      </c>
      <c r="H1296" s="2" t="s">
        <v>29</v>
      </c>
      <c r="I1296" s="3">
        <v>560</v>
      </c>
      <c r="J1296" s="3">
        <v>790</v>
      </c>
      <c r="K1296" s="4">
        <v>3</v>
      </c>
      <c r="O1296" s="3"/>
    </row>
    <row r="1297" spans="2:15">
      <c r="B1297" s="2" t="s">
        <v>1379</v>
      </c>
      <c r="C1297" s="2" t="s">
        <v>1146</v>
      </c>
      <c r="D1297" s="2" t="s">
        <v>1164</v>
      </c>
      <c r="E1297" s="2" t="s">
        <v>1153</v>
      </c>
      <c r="F1297" s="2" t="s">
        <v>24</v>
      </c>
      <c r="G1297" s="2">
        <v>38</v>
      </c>
      <c r="H1297" s="2" t="s">
        <v>62</v>
      </c>
      <c r="I1297" s="3">
        <v>660</v>
      </c>
      <c r="J1297" s="3">
        <v>930</v>
      </c>
      <c r="K1297" s="4">
        <v>4</v>
      </c>
      <c r="O1297" s="3"/>
    </row>
    <row r="1298" spans="2:15">
      <c r="B1298" s="2" t="s">
        <v>1380</v>
      </c>
      <c r="C1298" s="2" t="s">
        <v>1146</v>
      </c>
      <c r="D1298" s="2" t="s">
        <v>1164</v>
      </c>
      <c r="E1298" s="2" t="s">
        <v>1156</v>
      </c>
      <c r="F1298" s="2" t="s">
        <v>15</v>
      </c>
      <c r="G1298" s="2">
        <v>42</v>
      </c>
      <c r="H1298" s="2" t="s">
        <v>104</v>
      </c>
      <c r="I1298" s="3">
        <v>560</v>
      </c>
      <c r="J1298" s="3">
        <v>790</v>
      </c>
      <c r="K1298" s="4">
        <v>3</v>
      </c>
      <c r="O1298" s="3"/>
    </row>
    <row r="1299" spans="2:15">
      <c r="B1299" s="2" t="s">
        <v>1381</v>
      </c>
      <c r="C1299" s="2" t="s">
        <v>1146</v>
      </c>
      <c r="D1299" s="2" t="s">
        <v>1164</v>
      </c>
      <c r="E1299" s="2" t="s">
        <v>1158</v>
      </c>
      <c r="F1299" s="2" t="s">
        <v>24</v>
      </c>
      <c r="G1299" s="2">
        <v>32</v>
      </c>
      <c r="H1299" s="2" t="s">
        <v>69</v>
      </c>
      <c r="I1299" s="3">
        <v>620</v>
      </c>
      <c r="J1299" s="3">
        <v>860</v>
      </c>
      <c r="K1299" s="4">
        <v>3</v>
      </c>
      <c r="O1299" s="3"/>
    </row>
    <row r="1300" spans="2:15">
      <c r="B1300" s="2" t="s">
        <v>1382</v>
      </c>
      <c r="C1300" s="2" t="s">
        <v>1146</v>
      </c>
      <c r="D1300" s="2" t="s">
        <v>1155</v>
      </c>
      <c r="E1300" s="2" t="s">
        <v>850</v>
      </c>
      <c r="F1300" s="2" t="s">
        <v>1166</v>
      </c>
      <c r="G1300" s="2">
        <v>40</v>
      </c>
      <c r="H1300" s="2" t="s">
        <v>41</v>
      </c>
      <c r="I1300" s="3">
        <v>620</v>
      </c>
      <c r="J1300" s="3">
        <v>870</v>
      </c>
      <c r="K1300" s="4">
        <v>4</v>
      </c>
      <c r="O1300" s="3"/>
    </row>
    <row r="1301" spans="2:15">
      <c r="B1301" s="2" t="s">
        <v>1383</v>
      </c>
      <c r="C1301" s="2" t="s">
        <v>1146</v>
      </c>
      <c r="D1301" s="2" t="s">
        <v>1164</v>
      </c>
      <c r="E1301" s="2" t="s">
        <v>1158</v>
      </c>
      <c r="F1301" s="2" t="s">
        <v>24</v>
      </c>
      <c r="G1301" s="2">
        <v>32</v>
      </c>
      <c r="H1301" s="2" t="s">
        <v>62</v>
      </c>
      <c r="I1301" s="3">
        <v>650</v>
      </c>
      <c r="J1301" s="3">
        <v>910</v>
      </c>
      <c r="K1301" s="4">
        <v>3</v>
      </c>
      <c r="O1301" s="3"/>
    </row>
    <row r="1302" spans="2:15">
      <c r="B1302" s="2" t="s">
        <v>1384</v>
      </c>
      <c r="C1302" s="2" t="s">
        <v>1146</v>
      </c>
      <c r="D1302" s="2" t="s">
        <v>1147</v>
      </c>
      <c r="E1302" s="2" t="s">
        <v>1156</v>
      </c>
      <c r="F1302" s="2" t="s">
        <v>15</v>
      </c>
      <c r="G1302" s="2">
        <v>30</v>
      </c>
      <c r="H1302" s="2" t="s">
        <v>57</v>
      </c>
      <c r="I1302" s="3">
        <v>580</v>
      </c>
      <c r="J1302" s="3">
        <v>810</v>
      </c>
      <c r="K1302" s="4">
        <v>5</v>
      </c>
      <c r="O1302" s="3"/>
    </row>
    <row r="1303" spans="2:15">
      <c r="B1303" s="2" t="s">
        <v>1385</v>
      </c>
      <c r="C1303" s="2" t="s">
        <v>1146</v>
      </c>
      <c r="D1303" s="2" t="s">
        <v>1149</v>
      </c>
      <c r="E1303" s="2" t="s">
        <v>850</v>
      </c>
      <c r="F1303" s="2" t="s">
        <v>15</v>
      </c>
      <c r="G1303" s="2">
        <v>38</v>
      </c>
      <c r="H1303" s="2" t="s">
        <v>49</v>
      </c>
      <c r="I1303" s="3">
        <v>610</v>
      </c>
      <c r="J1303" s="3">
        <v>850</v>
      </c>
      <c r="K1303" s="4">
        <v>5</v>
      </c>
      <c r="O1303" s="3"/>
    </row>
    <row r="1304" spans="2:15">
      <c r="B1304" s="2" t="s">
        <v>1386</v>
      </c>
      <c r="C1304" s="2" t="s">
        <v>1146</v>
      </c>
      <c r="D1304" s="2" t="s">
        <v>1155</v>
      </c>
      <c r="E1304" s="2" t="s">
        <v>1153</v>
      </c>
      <c r="F1304" s="2" t="s">
        <v>24</v>
      </c>
      <c r="G1304" s="2">
        <v>38</v>
      </c>
      <c r="H1304" s="2" t="s">
        <v>49</v>
      </c>
      <c r="I1304" s="3">
        <v>620</v>
      </c>
      <c r="J1304" s="3">
        <v>860</v>
      </c>
      <c r="K1304" s="4">
        <v>4</v>
      </c>
      <c r="O1304" s="3"/>
    </row>
    <row r="1305" spans="2:15">
      <c r="B1305" s="2" t="s">
        <v>1387</v>
      </c>
      <c r="C1305" s="2" t="s">
        <v>1146</v>
      </c>
      <c r="D1305" s="2" t="s">
        <v>1164</v>
      </c>
      <c r="E1305" s="2" t="s">
        <v>1158</v>
      </c>
      <c r="F1305" s="2" t="s">
        <v>24</v>
      </c>
      <c r="G1305" s="2">
        <v>32</v>
      </c>
      <c r="H1305" s="2" t="s">
        <v>69</v>
      </c>
      <c r="I1305" s="3">
        <v>620</v>
      </c>
      <c r="J1305" s="3">
        <v>860</v>
      </c>
      <c r="K1305" s="4">
        <v>6</v>
      </c>
      <c r="O1305" s="3"/>
    </row>
    <row r="1306" spans="2:15">
      <c r="B1306" s="2" t="s">
        <v>1388</v>
      </c>
      <c r="C1306" s="2" t="s">
        <v>1146</v>
      </c>
      <c r="D1306" s="2" t="s">
        <v>1147</v>
      </c>
      <c r="E1306" s="2" t="s">
        <v>1153</v>
      </c>
      <c r="F1306" s="2" t="s">
        <v>24</v>
      </c>
      <c r="G1306" s="2">
        <v>44</v>
      </c>
      <c r="H1306" s="2" t="s">
        <v>51</v>
      </c>
      <c r="I1306" s="3">
        <v>500</v>
      </c>
      <c r="J1306" s="3">
        <v>700</v>
      </c>
      <c r="K1306" s="4">
        <v>6</v>
      </c>
      <c r="O1306" s="3"/>
    </row>
    <row r="1307" spans="2:15">
      <c r="B1307" s="2" t="s">
        <v>1389</v>
      </c>
      <c r="C1307" s="2" t="s">
        <v>1146</v>
      </c>
      <c r="D1307" s="2" t="s">
        <v>1147</v>
      </c>
      <c r="E1307" s="2" t="s">
        <v>1150</v>
      </c>
      <c r="F1307" s="2" t="s">
        <v>24</v>
      </c>
      <c r="G1307" s="2">
        <v>28</v>
      </c>
      <c r="H1307" s="2" t="s">
        <v>29</v>
      </c>
      <c r="I1307" s="3">
        <v>640</v>
      </c>
      <c r="J1307" s="3">
        <v>890</v>
      </c>
      <c r="K1307" s="4">
        <v>3</v>
      </c>
      <c r="O1307" s="3"/>
    </row>
    <row r="1308" spans="2:15">
      <c r="B1308" s="2" t="s">
        <v>1390</v>
      </c>
      <c r="C1308" s="2" t="s">
        <v>1146</v>
      </c>
      <c r="D1308" s="2" t="s">
        <v>1152</v>
      </c>
      <c r="E1308" s="2" t="s">
        <v>850</v>
      </c>
      <c r="F1308" s="2" t="s">
        <v>1166</v>
      </c>
      <c r="G1308" s="2">
        <v>40</v>
      </c>
      <c r="H1308" s="2" t="s">
        <v>64</v>
      </c>
      <c r="I1308" s="3">
        <v>590</v>
      </c>
      <c r="J1308" s="3">
        <v>830</v>
      </c>
      <c r="K1308" s="4">
        <v>3</v>
      </c>
      <c r="O1308" s="3"/>
    </row>
    <row r="1309" spans="2:15">
      <c r="B1309" s="2" t="s">
        <v>1391</v>
      </c>
      <c r="C1309" s="2" t="s">
        <v>1146</v>
      </c>
      <c r="D1309" s="2" t="s">
        <v>1152</v>
      </c>
      <c r="E1309" s="2" t="s">
        <v>1158</v>
      </c>
      <c r="F1309" s="2" t="s">
        <v>24</v>
      </c>
      <c r="G1309" s="2">
        <v>42</v>
      </c>
      <c r="H1309" s="2" t="s">
        <v>69</v>
      </c>
      <c r="I1309" s="3">
        <v>530</v>
      </c>
      <c r="J1309" s="3">
        <v>740</v>
      </c>
      <c r="K1309" s="4">
        <v>4</v>
      </c>
      <c r="O1309" s="3"/>
    </row>
    <row r="1310" spans="2:15">
      <c r="B1310" s="2" t="s">
        <v>1392</v>
      </c>
      <c r="C1310" s="2" t="s">
        <v>1146</v>
      </c>
      <c r="D1310" s="2" t="s">
        <v>1155</v>
      </c>
      <c r="E1310" s="2" t="s">
        <v>1158</v>
      </c>
      <c r="F1310" s="2" t="s">
        <v>24</v>
      </c>
      <c r="G1310" s="2">
        <v>30</v>
      </c>
      <c r="H1310" s="2" t="s">
        <v>25</v>
      </c>
      <c r="I1310" s="3">
        <v>500</v>
      </c>
      <c r="J1310" s="3">
        <v>710</v>
      </c>
      <c r="K1310" s="4">
        <v>5</v>
      </c>
      <c r="O1310" s="3"/>
    </row>
    <row r="1311" spans="2:15">
      <c r="B1311" s="2" t="s">
        <v>1393</v>
      </c>
      <c r="C1311" s="2" t="s">
        <v>1146</v>
      </c>
      <c r="D1311" s="2" t="s">
        <v>1149</v>
      </c>
      <c r="E1311" s="2" t="s">
        <v>1156</v>
      </c>
      <c r="F1311" s="2" t="s">
        <v>1166</v>
      </c>
      <c r="G1311" s="2">
        <v>28</v>
      </c>
      <c r="H1311" s="2" t="s">
        <v>33</v>
      </c>
      <c r="I1311" s="3">
        <v>560</v>
      </c>
      <c r="J1311" s="3">
        <v>780</v>
      </c>
      <c r="K1311" s="4">
        <v>6</v>
      </c>
      <c r="O1311" s="3"/>
    </row>
    <row r="1312" spans="2:15">
      <c r="B1312" s="2" t="s">
        <v>1394</v>
      </c>
      <c r="C1312" s="2" t="s">
        <v>1146</v>
      </c>
      <c r="D1312" s="2" t="s">
        <v>1164</v>
      </c>
      <c r="E1312" s="2" t="s">
        <v>1153</v>
      </c>
      <c r="F1312" s="2" t="s">
        <v>24</v>
      </c>
      <c r="G1312" s="2">
        <v>34</v>
      </c>
      <c r="H1312" s="2" t="s">
        <v>59</v>
      </c>
      <c r="I1312" s="3">
        <v>680</v>
      </c>
      <c r="J1312" s="3">
        <v>950</v>
      </c>
      <c r="K1312" s="4">
        <v>3</v>
      </c>
      <c r="O1312" s="3"/>
    </row>
    <row r="1313" spans="2:15">
      <c r="B1313" s="2" t="s">
        <v>1395</v>
      </c>
      <c r="C1313" s="2" t="s">
        <v>1146</v>
      </c>
      <c r="D1313" s="2" t="s">
        <v>1164</v>
      </c>
      <c r="E1313" s="2" t="s">
        <v>850</v>
      </c>
      <c r="F1313" s="2" t="s">
        <v>1166</v>
      </c>
      <c r="G1313" s="2">
        <v>32</v>
      </c>
      <c r="H1313" s="2" t="s">
        <v>62</v>
      </c>
      <c r="I1313" s="3">
        <v>570</v>
      </c>
      <c r="J1313" s="3">
        <v>800</v>
      </c>
      <c r="K1313" s="4">
        <v>4</v>
      </c>
      <c r="O1313" s="3"/>
    </row>
    <row r="1314" spans="2:15">
      <c r="B1314" s="2" t="s">
        <v>1396</v>
      </c>
      <c r="C1314" s="2" t="s">
        <v>1146</v>
      </c>
      <c r="D1314" s="2" t="s">
        <v>1164</v>
      </c>
      <c r="E1314" s="2" t="s">
        <v>850</v>
      </c>
      <c r="F1314" s="2" t="s">
        <v>15</v>
      </c>
      <c r="G1314" s="2">
        <v>32</v>
      </c>
      <c r="H1314" s="2" t="s">
        <v>43</v>
      </c>
      <c r="I1314" s="3">
        <v>670</v>
      </c>
      <c r="J1314" s="3">
        <v>940</v>
      </c>
      <c r="K1314" s="4">
        <v>4</v>
      </c>
      <c r="O1314" s="3"/>
    </row>
    <row r="1315" spans="2:15">
      <c r="B1315" s="2" t="s">
        <v>1397</v>
      </c>
      <c r="C1315" s="2" t="s">
        <v>1146</v>
      </c>
      <c r="D1315" s="2" t="s">
        <v>1149</v>
      </c>
      <c r="E1315" s="2" t="s">
        <v>1158</v>
      </c>
      <c r="F1315" s="2" t="s">
        <v>24</v>
      </c>
      <c r="G1315" s="2">
        <v>34</v>
      </c>
      <c r="H1315" s="2" t="s">
        <v>75</v>
      </c>
      <c r="I1315" s="3">
        <v>520</v>
      </c>
      <c r="J1315" s="3">
        <v>720</v>
      </c>
      <c r="K1315" s="4">
        <v>5</v>
      </c>
      <c r="O1315" s="3"/>
    </row>
    <row r="1316" spans="2:15">
      <c r="B1316" s="2" t="s">
        <v>1398</v>
      </c>
      <c r="C1316" s="2" t="s">
        <v>1146</v>
      </c>
      <c r="D1316" s="2" t="s">
        <v>1147</v>
      </c>
      <c r="E1316" s="2" t="s">
        <v>850</v>
      </c>
      <c r="F1316" s="2" t="s">
        <v>15</v>
      </c>
      <c r="G1316" s="2">
        <v>36</v>
      </c>
      <c r="H1316" s="2" t="s">
        <v>62</v>
      </c>
      <c r="I1316" s="3">
        <v>550</v>
      </c>
      <c r="J1316" s="3">
        <v>770</v>
      </c>
      <c r="K1316" s="4">
        <v>6</v>
      </c>
      <c r="O1316" s="3"/>
    </row>
    <row r="1317" spans="2:15">
      <c r="B1317" s="2" t="s">
        <v>1399</v>
      </c>
      <c r="C1317" s="2" t="s">
        <v>1146</v>
      </c>
      <c r="D1317" s="2" t="s">
        <v>1152</v>
      </c>
      <c r="E1317" s="2" t="s">
        <v>1150</v>
      </c>
      <c r="F1317" s="2" t="s">
        <v>24</v>
      </c>
      <c r="G1317" s="2">
        <v>40</v>
      </c>
      <c r="H1317" s="2" t="s">
        <v>22</v>
      </c>
      <c r="I1317" s="3">
        <v>500</v>
      </c>
      <c r="J1317" s="3">
        <v>700</v>
      </c>
      <c r="K1317" s="4">
        <v>5</v>
      </c>
      <c r="O1317" s="3"/>
    </row>
    <row r="1318" spans="2:15">
      <c r="B1318" s="2" t="s">
        <v>1400</v>
      </c>
      <c r="C1318" s="2" t="s">
        <v>1146</v>
      </c>
      <c r="D1318" s="2" t="s">
        <v>1164</v>
      </c>
      <c r="E1318" s="2" t="s">
        <v>1156</v>
      </c>
      <c r="F1318" s="2" t="s">
        <v>1166</v>
      </c>
      <c r="G1318" s="2">
        <v>38</v>
      </c>
      <c r="H1318" s="2" t="s">
        <v>75</v>
      </c>
      <c r="I1318" s="3">
        <v>530</v>
      </c>
      <c r="J1318" s="3">
        <v>740</v>
      </c>
      <c r="K1318" s="4">
        <v>3</v>
      </c>
      <c r="O1318" s="3"/>
    </row>
    <row r="1319" spans="2:15">
      <c r="B1319" s="2" t="s">
        <v>1401</v>
      </c>
      <c r="C1319" s="2" t="s">
        <v>1146</v>
      </c>
      <c r="D1319" s="2" t="s">
        <v>1147</v>
      </c>
      <c r="E1319" s="2" t="s">
        <v>1158</v>
      </c>
      <c r="F1319" s="2" t="s">
        <v>24</v>
      </c>
      <c r="G1319" s="2">
        <v>44</v>
      </c>
      <c r="H1319" s="2" t="s">
        <v>29</v>
      </c>
      <c r="I1319" s="3">
        <v>560</v>
      </c>
      <c r="J1319" s="3">
        <v>780</v>
      </c>
      <c r="K1319" s="4">
        <v>5</v>
      </c>
      <c r="O1319" s="3"/>
    </row>
    <row r="1320" spans="2:15">
      <c r="B1320" s="2" t="s">
        <v>1402</v>
      </c>
      <c r="C1320" s="2" t="s">
        <v>1146</v>
      </c>
      <c r="D1320" s="2" t="s">
        <v>1152</v>
      </c>
      <c r="E1320" s="2" t="s">
        <v>1153</v>
      </c>
      <c r="F1320" s="2" t="s">
        <v>24</v>
      </c>
      <c r="G1320" s="2">
        <v>30</v>
      </c>
      <c r="H1320" s="2" t="s">
        <v>71</v>
      </c>
      <c r="I1320" s="3">
        <v>500</v>
      </c>
      <c r="J1320" s="3">
        <v>700</v>
      </c>
      <c r="K1320" s="4">
        <v>3</v>
      </c>
      <c r="O1320" s="3"/>
    </row>
    <row r="1321" spans="2:15">
      <c r="B1321" s="2" t="s">
        <v>1403</v>
      </c>
      <c r="C1321" s="2" t="s">
        <v>1146</v>
      </c>
      <c r="D1321" s="2" t="s">
        <v>1152</v>
      </c>
      <c r="E1321" s="2" t="s">
        <v>1150</v>
      </c>
      <c r="F1321" s="2" t="s">
        <v>24</v>
      </c>
      <c r="G1321" s="2">
        <v>34</v>
      </c>
      <c r="H1321" s="2" t="s">
        <v>64</v>
      </c>
      <c r="I1321" s="3">
        <v>560</v>
      </c>
      <c r="J1321" s="3">
        <v>780</v>
      </c>
      <c r="K1321" s="4">
        <v>5</v>
      </c>
      <c r="O1321" s="3"/>
    </row>
    <row r="1322" spans="2:15">
      <c r="B1322" s="2" t="s">
        <v>1404</v>
      </c>
      <c r="C1322" s="2" t="s">
        <v>1146</v>
      </c>
      <c r="D1322" s="2" t="s">
        <v>1147</v>
      </c>
      <c r="E1322" s="2" t="s">
        <v>1150</v>
      </c>
      <c r="F1322" s="2" t="s">
        <v>24</v>
      </c>
      <c r="G1322" s="2">
        <v>42</v>
      </c>
      <c r="H1322" s="2" t="s">
        <v>22</v>
      </c>
      <c r="I1322" s="3">
        <v>580</v>
      </c>
      <c r="J1322" s="3">
        <v>810</v>
      </c>
      <c r="K1322" s="4">
        <v>3</v>
      </c>
      <c r="O1322" s="3"/>
    </row>
    <row r="1323" spans="2:15">
      <c r="B1323" s="2" t="s">
        <v>1405</v>
      </c>
      <c r="C1323" s="2" t="s">
        <v>1146</v>
      </c>
      <c r="D1323" s="2" t="s">
        <v>1155</v>
      </c>
      <c r="E1323" s="2" t="s">
        <v>1158</v>
      </c>
      <c r="F1323" s="2" t="s">
        <v>24</v>
      </c>
      <c r="G1323" s="2">
        <v>30</v>
      </c>
      <c r="H1323" s="2" t="s">
        <v>51</v>
      </c>
      <c r="I1323" s="3">
        <v>650</v>
      </c>
      <c r="J1323" s="3">
        <v>910</v>
      </c>
      <c r="K1323" s="4">
        <v>4</v>
      </c>
      <c r="O1323" s="3"/>
    </row>
    <row r="1324" spans="2:15">
      <c r="B1324" s="2" t="s">
        <v>1406</v>
      </c>
      <c r="C1324" s="2" t="s">
        <v>1146</v>
      </c>
      <c r="D1324" s="2" t="s">
        <v>1147</v>
      </c>
      <c r="E1324" s="2" t="s">
        <v>1158</v>
      </c>
      <c r="F1324" s="2" t="s">
        <v>24</v>
      </c>
      <c r="G1324" s="2">
        <v>34</v>
      </c>
      <c r="H1324" s="2" t="s">
        <v>43</v>
      </c>
      <c r="I1324" s="3">
        <v>590</v>
      </c>
      <c r="J1324" s="3">
        <v>820</v>
      </c>
      <c r="K1324" s="4">
        <v>6</v>
      </c>
      <c r="O1324" s="3"/>
    </row>
    <row r="1325" spans="2:15">
      <c r="B1325" s="2" t="s">
        <v>1407</v>
      </c>
      <c r="C1325" s="2" t="s">
        <v>1146</v>
      </c>
      <c r="D1325" s="2" t="s">
        <v>1152</v>
      </c>
      <c r="E1325" s="2" t="s">
        <v>850</v>
      </c>
      <c r="F1325" s="2" t="s">
        <v>20</v>
      </c>
      <c r="G1325" s="2">
        <v>30</v>
      </c>
      <c r="H1325" s="2" t="s">
        <v>104</v>
      </c>
      <c r="I1325" s="3">
        <v>520</v>
      </c>
      <c r="J1325" s="3">
        <v>730</v>
      </c>
      <c r="K1325" s="4">
        <v>3</v>
      </c>
      <c r="O1325" s="3"/>
    </row>
    <row r="1326" spans="2:15">
      <c r="B1326" s="2" t="s">
        <v>1408</v>
      </c>
      <c r="C1326" s="2" t="s">
        <v>1146</v>
      </c>
      <c r="D1326" s="2" t="s">
        <v>1155</v>
      </c>
      <c r="E1326" s="2" t="s">
        <v>1150</v>
      </c>
      <c r="F1326" s="2" t="s">
        <v>24</v>
      </c>
      <c r="G1326" s="2">
        <v>28</v>
      </c>
      <c r="H1326" s="2" t="s">
        <v>29</v>
      </c>
      <c r="I1326" s="3">
        <v>600</v>
      </c>
      <c r="J1326" s="3">
        <v>830</v>
      </c>
      <c r="K1326" s="4">
        <v>3</v>
      </c>
      <c r="O1326" s="3"/>
    </row>
    <row r="1327" spans="2:15">
      <c r="B1327" s="2" t="s">
        <v>1409</v>
      </c>
      <c r="C1327" s="2" t="s">
        <v>1146</v>
      </c>
      <c r="D1327" s="2" t="s">
        <v>1164</v>
      </c>
      <c r="E1327" s="2" t="s">
        <v>1156</v>
      </c>
      <c r="F1327" s="2" t="s">
        <v>20</v>
      </c>
      <c r="G1327" s="2">
        <v>30</v>
      </c>
      <c r="H1327" s="2" t="s">
        <v>104</v>
      </c>
      <c r="I1327" s="3">
        <v>580</v>
      </c>
      <c r="J1327" s="3">
        <v>810</v>
      </c>
      <c r="K1327" s="4">
        <v>3</v>
      </c>
      <c r="O1327" s="3"/>
    </row>
    <row r="1328" spans="2:15">
      <c r="B1328" s="2" t="s">
        <v>1410</v>
      </c>
      <c r="C1328" s="2" t="s">
        <v>1146</v>
      </c>
      <c r="D1328" s="2" t="s">
        <v>1152</v>
      </c>
      <c r="E1328" s="2" t="s">
        <v>1156</v>
      </c>
      <c r="F1328" s="2" t="s">
        <v>20</v>
      </c>
      <c r="G1328" s="2">
        <v>40</v>
      </c>
      <c r="H1328" s="2" t="s">
        <v>17</v>
      </c>
      <c r="I1328" s="3">
        <v>580</v>
      </c>
      <c r="J1328" s="3">
        <v>800</v>
      </c>
      <c r="K1328" s="4">
        <v>3</v>
      </c>
      <c r="O1328" s="3"/>
    </row>
    <row r="1329" spans="2:15">
      <c r="B1329" s="2" t="s">
        <v>1411</v>
      </c>
      <c r="C1329" s="2" t="s">
        <v>1146</v>
      </c>
      <c r="D1329" s="2" t="s">
        <v>1152</v>
      </c>
      <c r="E1329" s="2" t="s">
        <v>1156</v>
      </c>
      <c r="F1329" s="2" t="s">
        <v>1166</v>
      </c>
      <c r="G1329" s="2">
        <v>30</v>
      </c>
      <c r="H1329" s="2" t="s">
        <v>49</v>
      </c>
      <c r="I1329" s="3">
        <v>620</v>
      </c>
      <c r="J1329" s="3">
        <v>860</v>
      </c>
      <c r="K1329" s="4">
        <v>3</v>
      </c>
      <c r="O1329" s="3"/>
    </row>
    <row r="1330" spans="2:15">
      <c r="B1330" s="2" t="s">
        <v>1412</v>
      </c>
      <c r="C1330" s="2" t="s">
        <v>1146</v>
      </c>
      <c r="D1330" s="2" t="s">
        <v>1164</v>
      </c>
      <c r="E1330" s="2" t="s">
        <v>1158</v>
      </c>
      <c r="F1330" s="2" t="s">
        <v>24</v>
      </c>
      <c r="G1330" s="2">
        <v>34</v>
      </c>
      <c r="H1330" s="2" t="s">
        <v>37</v>
      </c>
      <c r="I1330" s="3">
        <v>620</v>
      </c>
      <c r="J1330" s="3">
        <v>860</v>
      </c>
      <c r="K1330" s="4">
        <v>3</v>
      </c>
      <c r="O1330" s="3"/>
    </row>
    <row r="1331" spans="2:15">
      <c r="B1331" s="2" t="s">
        <v>1413</v>
      </c>
      <c r="C1331" s="2" t="s">
        <v>1146</v>
      </c>
      <c r="D1331" s="2" t="s">
        <v>1164</v>
      </c>
      <c r="E1331" s="2" t="s">
        <v>1150</v>
      </c>
      <c r="F1331" s="2" t="s">
        <v>24</v>
      </c>
      <c r="G1331" s="2">
        <v>34</v>
      </c>
      <c r="H1331" s="2" t="s">
        <v>71</v>
      </c>
      <c r="I1331" s="3">
        <v>500</v>
      </c>
      <c r="J1331" s="3">
        <v>700</v>
      </c>
      <c r="K1331" s="4">
        <v>4</v>
      </c>
      <c r="O1331" s="3"/>
    </row>
    <row r="1332" spans="2:15">
      <c r="B1332" s="2" t="s">
        <v>1414</v>
      </c>
      <c r="C1332" s="2" t="s">
        <v>1146</v>
      </c>
      <c r="D1332" s="2" t="s">
        <v>1164</v>
      </c>
      <c r="E1332" s="2" t="s">
        <v>1158</v>
      </c>
      <c r="F1332" s="2" t="s">
        <v>24</v>
      </c>
      <c r="G1332" s="2">
        <v>40</v>
      </c>
      <c r="H1332" s="2" t="s">
        <v>51</v>
      </c>
      <c r="I1332" s="3">
        <v>660</v>
      </c>
      <c r="J1332" s="3">
        <v>930</v>
      </c>
      <c r="K1332" s="4">
        <v>6</v>
      </c>
      <c r="O1332" s="3"/>
    </row>
    <row r="1333" spans="2:15">
      <c r="B1333" s="2" t="s">
        <v>1415</v>
      </c>
      <c r="C1333" s="2" t="s">
        <v>1146</v>
      </c>
      <c r="D1333" s="2" t="s">
        <v>1149</v>
      </c>
      <c r="E1333" s="2" t="s">
        <v>1153</v>
      </c>
      <c r="F1333" s="2" t="s">
        <v>24</v>
      </c>
      <c r="G1333" s="2">
        <v>28</v>
      </c>
      <c r="H1333" s="2" t="s">
        <v>57</v>
      </c>
      <c r="I1333" s="3">
        <v>550</v>
      </c>
      <c r="J1333" s="3">
        <v>760</v>
      </c>
      <c r="K1333" s="4">
        <v>5</v>
      </c>
      <c r="O1333" s="3"/>
    </row>
    <row r="1334" spans="2:15">
      <c r="B1334" s="2" t="s">
        <v>1416</v>
      </c>
      <c r="C1334" s="2" t="s">
        <v>1146</v>
      </c>
      <c r="D1334" s="2" t="s">
        <v>1152</v>
      </c>
      <c r="E1334" s="2" t="s">
        <v>850</v>
      </c>
      <c r="F1334" s="2" t="s">
        <v>15</v>
      </c>
      <c r="G1334" s="2">
        <v>38</v>
      </c>
      <c r="H1334" s="2" t="s">
        <v>101</v>
      </c>
      <c r="I1334" s="3">
        <v>650</v>
      </c>
      <c r="J1334" s="3">
        <v>910</v>
      </c>
      <c r="K1334" s="4">
        <v>4</v>
      </c>
      <c r="O1334" s="3"/>
    </row>
    <row r="1335" spans="2:15">
      <c r="B1335" s="2" t="s">
        <v>1417</v>
      </c>
      <c r="C1335" s="2" t="s">
        <v>1146</v>
      </c>
      <c r="D1335" s="2" t="s">
        <v>1152</v>
      </c>
      <c r="E1335" s="2" t="s">
        <v>1158</v>
      </c>
      <c r="F1335" s="2" t="s">
        <v>24</v>
      </c>
      <c r="G1335" s="2">
        <v>38</v>
      </c>
      <c r="H1335" s="2" t="s">
        <v>101</v>
      </c>
      <c r="I1335" s="3">
        <v>540</v>
      </c>
      <c r="J1335" s="3">
        <v>750</v>
      </c>
      <c r="K1335" s="4">
        <v>5</v>
      </c>
      <c r="O1335" s="3"/>
    </row>
    <row r="1336" spans="2:15">
      <c r="B1336" s="2" t="s">
        <v>1418</v>
      </c>
      <c r="C1336" s="2" t="s">
        <v>1146</v>
      </c>
      <c r="D1336" s="2" t="s">
        <v>1164</v>
      </c>
      <c r="E1336" s="2" t="s">
        <v>850</v>
      </c>
      <c r="F1336" s="2" t="s">
        <v>15</v>
      </c>
      <c r="G1336" s="2">
        <v>32</v>
      </c>
      <c r="H1336" s="2" t="s">
        <v>104</v>
      </c>
      <c r="I1336" s="3">
        <v>500</v>
      </c>
      <c r="J1336" s="3">
        <v>700</v>
      </c>
      <c r="K1336" s="4">
        <v>4</v>
      </c>
      <c r="O1336" s="3"/>
    </row>
    <row r="1337" spans="2:15">
      <c r="B1337" s="2" t="s">
        <v>1419</v>
      </c>
      <c r="C1337" s="2" t="s">
        <v>1146</v>
      </c>
      <c r="D1337" s="2" t="s">
        <v>1164</v>
      </c>
      <c r="E1337" s="2" t="s">
        <v>1150</v>
      </c>
      <c r="F1337" s="2" t="s">
        <v>24</v>
      </c>
      <c r="G1337" s="2">
        <v>38</v>
      </c>
      <c r="H1337" s="2" t="s">
        <v>94</v>
      </c>
      <c r="I1337" s="3">
        <v>630</v>
      </c>
      <c r="J1337" s="3">
        <v>880</v>
      </c>
      <c r="K1337" s="4">
        <v>4</v>
      </c>
      <c r="O1337" s="3"/>
    </row>
    <row r="1338" spans="2:15">
      <c r="B1338" s="2" t="s">
        <v>1420</v>
      </c>
      <c r="C1338" s="2" t="s">
        <v>1146</v>
      </c>
      <c r="D1338" s="2" t="s">
        <v>1149</v>
      </c>
      <c r="E1338" s="2" t="s">
        <v>1150</v>
      </c>
      <c r="F1338" s="2" t="s">
        <v>24</v>
      </c>
      <c r="G1338" s="2">
        <v>34</v>
      </c>
      <c r="H1338" s="2" t="s">
        <v>51</v>
      </c>
      <c r="I1338" s="3">
        <v>660</v>
      </c>
      <c r="J1338" s="3">
        <v>930</v>
      </c>
      <c r="K1338" s="4">
        <v>6</v>
      </c>
      <c r="O1338" s="3"/>
    </row>
    <row r="1339" spans="2:15">
      <c r="B1339" s="2" t="s">
        <v>1421</v>
      </c>
      <c r="C1339" s="2" t="s">
        <v>1146</v>
      </c>
      <c r="D1339" s="2" t="s">
        <v>1155</v>
      </c>
      <c r="E1339" s="2" t="s">
        <v>850</v>
      </c>
      <c r="F1339" s="2" t="s">
        <v>15</v>
      </c>
      <c r="G1339" s="2">
        <v>38</v>
      </c>
      <c r="H1339" s="2" t="s">
        <v>25</v>
      </c>
      <c r="I1339" s="3">
        <v>650</v>
      </c>
      <c r="J1339" s="3">
        <v>910</v>
      </c>
      <c r="K1339" s="4">
        <v>5</v>
      </c>
      <c r="O1339" s="3"/>
    </row>
    <row r="1340" spans="2:15">
      <c r="B1340" s="2" t="s">
        <v>1422</v>
      </c>
      <c r="C1340" s="2" t="s">
        <v>1146</v>
      </c>
      <c r="D1340" s="2" t="s">
        <v>1155</v>
      </c>
      <c r="E1340" s="2" t="s">
        <v>1153</v>
      </c>
      <c r="F1340" s="2" t="s">
        <v>24</v>
      </c>
      <c r="G1340" s="2">
        <v>42</v>
      </c>
      <c r="H1340" s="2" t="s">
        <v>104</v>
      </c>
      <c r="I1340" s="3">
        <v>610</v>
      </c>
      <c r="J1340" s="3">
        <v>850</v>
      </c>
      <c r="K1340" s="4">
        <v>6</v>
      </c>
      <c r="O1340" s="3"/>
    </row>
    <row r="1341" spans="2:15">
      <c r="B1341" s="2" t="s">
        <v>1423</v>
      </c>
      <c r="C1341" s="2" t="s">
        <v>1146</v>
      </c>
      <c r="D1341" s="2" t="s">
        <v>1147</v>
      </c>
      <c r="E1341" s="2" t="s">
        <v>1153</v>
      </c>
      <c r="F1341" s="2" t="s">
        <v>24</v>
      </c>
      <c r="G1341" s="2">
        <v>34</v>
      </c>
      <c r="H1341" s="2" t="s">
        <v>29</v>
      </c>
      <c r="I1341" s="3">
        <v>560</v>
      </c>
      <c r="J1341" s="3">
        <v>780</v>
      </c>
      <c r="K1341" s="4">
        <v>4</v>
      </c>
      <c r="O1341" s="3"/>
    </row>
    <row r="1342" spans="2:15">
      <c r="B1342" s="2" t="s">
        <v>1424</v>
      </c>
      <c r="C1342" s="2" t="s">
        <v>1146</v>
      </c>
      <c r="D1342" s="2" t="s">
        <v>1152</v>
      </c>
      <c r="E1342" s="2" t="s">
        <v>1158</v>
      </c>
      <c r="F1342" s="2" t="s">
        <v>24</v>
      </c>
      <c r="G1342" s="2">
        <v>40</v>
      </c>
      <c r="H1342" s="2" t="s">
        <v>94</v>
      </c>
      <c r="I1342" s="3">
        <v>560</v>
      </c>
      <c r="J1342" s="3">
        <v>780</v>
      </c>
      <c r="K1342" s="4">
        <v>6</v>
      </c>
      <c r="O1342" s="3"/>
    </row>
    <row r="1343" spans="2:15">
      <c r="B1343" s="2" t="s">
        <v>1425</v>
      </c>
      <c r="C1343" s="2" t="s">
        <v>1146</v>
      </c>
      <c r="D1343" s="2" t="s">
        <v>1147</v>
      </c>
      <c r="E1343" s="2" t="s">
        <v>1158</v>
      </c>
      <c r="F1343" s="2" t="s">
        <v>24</v>
      </c>
      <c r="G1343" s="2">
        <v>30</v>
      </c>
      <c r="H1343" s="2" t="s">
        <v>41</v>
      </c>
      <c r="I1343" s="3">
        <v>550</v>
      </c>
      <c r="J1343" s="3">
        <v>760</v>
      </c>
      <c r="K1343" s="4">
        <v>3</v>
      </c>
      <c r="O1343" s="3"/>
    </row>
    <row r="1344" spans="2:15">
      <c r="B1344" s="2" t="s">
        <v>1426</v>
      </c>
      <c r="C1344" s="2" t="s">
        <v>1146</v>
      </c>
      <c r="D1344" s="2" t="s">
        <v>1147</v>
      </c>
      <c r="E1344" s="2" t="s">
        <v>1153</v>
      </c>
      <c r="F1344" s="2" t="s">
        <v>24</v>
      </c>
      <c r="G1344" s="2">
        <v>42</v>
      </c>
      <c r="H1344" s="2" t="s">
        <v>94</v>
      </c>
      <c r="I1344" s="3">
        <v>640</v>
      </c>
      <c r="J1344" s="3">
        <v>900</v>
      </c>
      <c r="K1344" s="4">
        <v>5</v>
      </c>
      <c r="O1344" s="3"/>
    </row>
    <row r="1345" spans="2:15">
      <c r="B1345" s="2" t="s">
        <v>1427</v>
      </c>
      <c r="C1345" s="2" t="s">
        <v>1146</v>
      </c>
      <c r="D1345" s="2" t="s">
        <v>1147</v>
      </c>
      <c r="E1345" s="2" t="s">
        <v>1153</v>
      </c>
      <c r="F1345" s="2" t="s">
        <v>24</v>
      </c>
      <c r="G1345" s="2">
        <v>36</v>
      </c>
      <c r="H1345" s="2" t="s">
        <v>64</v>
      </c>
      <c r="I1345" s="3">
        <v>510</v>
      </c>
      <c r="J1345" s="3">
        <v>720</v>
      </c>
      <c r="K1345" s="4">
        <v>4</v>
      </c>
      <c r="O1345" s="3"/>
    </row>
    <row r="1346" spans="2:15">
      <c r="B1346" s="2" t="s">
        <v>1428</v>
      </c>
      <c r="C1346" s="2" t="s">
        <v>1146</v>
      </c>
      <c r="D1346" s="2" t="s">
        <v>1149</v>
      </c>
      <c r="E1346" s="2" t="s">
        <v>1158</v>
      </c>
      <c r="F1346" s="2" t="s">
        <v>24</v>
      </c>
      <c r="G1346" s="2">
        <v>34</v>
      </c>
      <c r="H1346" s="2" t="s">
        <v>64</v>
      </c>
      <c r="I1346" s="3">
        <v>570</v>
      </c>
      <c r="J1346" s="3">
        <v>790</v>
      </c>
      <c r="K1346" s="4">
        <v>4</v>
      </c>
      <c r="O1346" s="3"/>
    </row>
    <row r="1347" spans="2:15">
      <c r="B1347" s="2" t="s">
        <v>1429</v>
      </c>
      <c r="C1347" s="2" t="s">
        <v>1146</v>
      </c>
      <c r="D1347" s="2" t="s">
        <v>1149</v>
      </c>
      <c r="E1347" s="2" t="s">
        <v>1158</v>
      </c>
      <c r="F1347" s="2" t="s">
        <v>24</v>
      </c>
      <c r="G1347" s="2">
        <v>28</v>
      </c>
      <c r="H1347" s="2" t="s">
        <v>57</v>
      </c>
      <c r="I1347" s="3">
        <v>500</v>
      </c>
      <c r="J1347" s="3">
        <v>710</v>
      </c>
      <c r="K1347" s="4">
        <v>6</v>
      </c>
      <c r="O1347" s="3"/>
    </row>
    <row r="1348" spans="2:15">
      <c r="B1348" s="2" t="s">
        <v>1430</v>
      </c>
      <c r="C1348" s="2" t="s">
        <v>1146</v>
      </c>
      <c r="D1348" s="2" t="s">
        <v>1147</v>
      </c>
      <c r="E1348" s="2" t="s">
        <v>1158</v>
      </c>
      <c r="F1348" s="2" t="s">
        <v>24</v>
      </c>
      <c r="G1348" s="2">
        <v>36</v>
      </c>
      <c r="H1348" s="2" t="s">
        <v>29</v>
      </c>
      <c r="I1348" s="3">
        <v>670</v>
      </c>
      <c r="J1348" s="3">
        <v>930</v>
      </c>
      <c r="K1348" s="4">
        <v>4</v>
      </c>
      <c r="O1348" s="3"/>
    </row>
    <row r="1349" spans="2:15">
      <c r="B1349" s="2" t="s">
        <v>1431</v>
      </c>
      <c r="C1349" s="2" t="s">
        <v>1146</v>
      </c>
      <c r="D1349" s="2" t="s">
        <v>1155</v>
      </c>
      <c r="E1349" s="2" t="s">
        <v>1153</v>
      </c>
      <c r="F1349" s="2" t="s">
        <v>24</v>
      </c>
      <c r="G1349" s="2">
        <v>40</v>
      </c>
      <c r="H1349" s="2" t="s">
        <v>43</v>
      </c>
      <c r="I1349" s="3">
        <v>590</v>
      </c>
      <c r="J1349" s="3">
        <v>830</v>
      </c>
      <c r="K1349" s="4">
        <v>3</v>
      </c>
      <c r="O1349" s="3"/>
    </row>
    <row r="1350" spans="2:15">
      <c r="B1350" s="2" t="s">
        <v>1432</v>
      </c>
      <c r="C1350" s="2" t="s">
        <v>1146</v>
      </c>
      <c r="D1350" s="2" t="s">
        <v>1149</v>
      </c>
      <c r="E1350" s="2" t="s">
        <v>1153</v>
      </c>
      <c r="F1350" s="2" t="s">
        <v>24</v>
      </c>
      <c r="G1350" s="2">
        <v>44</v>
      </c>
      <c r="H1350" s="2" t="s">
        <v>59</v>
      </c>
      <c r="I1350" s="3">
        <v>540</v>
      </c>
      <c r="J1350" s="3">
        <v>750</v>
      </c>
      <c r="K1350" s="4">
        <v>5</v>
      </c>
      <c r="O1350" s="3"/>
    </row>
    <row r="1351" spans="2:15">
      <c r="B1351" s="2" t="s">
        <v>1433</v>
      </c>
      <c r="C1351" s="2" t="s">
        <v>1146</v>
      </c>
      <c r="D1351" s="2" t="s">
        <v>1164</v>
      </c>
      <c r="E1351" s="2" t="s">
        <v>1156</v>
      </c>
      <c r="F1351" s="2" t="s">
        <v>15</v>
      </c>
      <c r="G1351" s="2">
        <v>34</v>
      </c>
      <c r="H1351" s="2" t="s">
        <v>104</v>
      </c>
      <c r="I1351" s="3">
        <v>580</v>
      </c>
      <c r="J1351" s="3">
        <v>810</v>
      </c>
      <c r="K1351" s="4">
        <v>4</v>
      </c>
      <c r="O1351" s="3"/>
    </row>
    <row r="1352" spans="2:15">
      <c r="B1352" s="2" t="s">
        <v>1434</v>
      </c>
      <c r="C1352" s="2" t="s">
        <v>1146</v>
      </c>
      <c r="D1352" s="2" t="s">
        <v>1155</v>
      </c>
      <c r="E1352" s="2" t="s">
        <v>1153</v>
      </c>
      <c r="F1352" s="2" t="s">
        <v>24</v>
      </c>
      <c r="G1352" s="2">
        <v>34</v>
      </c>
      <c r="H1352" s="2" t="s">
        <v>104</v>
      </c>
      <c r="I1352" s="3">
        <v>640</v>
      </c>
      <c r="J1352" s="3">
        <v>890</v>
      </c>
      <c r="K1352" s="4">
        <v>5</v>
      </c>
      <c r="O1352" s="3"/>
    </row>
    <row r="1353" spans="2:15">
      <c r="B1353" s="2" t="s">
        <v>1435</v>
      </c>
      <c r="C1353" s="2" t="s">
        <v>1146</v>
      </c>
      <c r="D1353" s="2" t="s">
        <v>1164</v>
      </c>
      <c r="E1353" s="2" t="s">
        <v>850</v>
      </c>
      <c r="F1353" s="2" t="s">
        <v>1166</v>
      </c>
      <c r="G1353" s="2">
        <v>34</v>
      </c>
      <c r="H1353" s="2" t="s">
        <v>43</v>
      </c>
      <c r="I1353" s="3">
        <v>530</v>
      </c>
      <c r="J1353" s="3">
        <v>740</v>
      </c>
      <c r="K1353" s="4">
        <v>6</v>
      </c>
      <c r="O1353" s="3"/>
    </row>
    <row r="1354" spans="2:15">
      <c r="B1354" s="2" t="s">
        <v>1436</v>
      </c>
      <c r="C1354" s="2" t="s">
        <v>1146</v>
      </c>
      <c r="D1354" s="2" t="s">
        <v>1164</v>
      </c>
      <c r="E1354" s="2" t="s">
        <v>1150</v>
      </c>
      <c r="F1354" s="2" t="s">
        <v>24</v>
      </c>
      <c r="G1354" s="2">
        <v>44</v>
      </c>
      <c r="H1354" s="2" t="s">
        <v>59</v>
      </c>
      <c r="I1354" s="3">
        <v>670</v>
      </c>
      <c r="J1354" s="3">
        <v>940</v>
      </c>
      <c r="K1354" s="4">
        <v>5</v>
      </c>
      <c r="O1354" s="3"/>
    </row>
    <row r="1355" spans="2:15">
      <c r="B1355" s="2" t="s">
        <v>1437</v>
      </c>
      <c r="C1355" s="2" t="s">
        <v>1146</v>
      </c>
      <c r="D1355" s="2" t="s">
        <v>1164</v>
      </c>
      <c r="E1355" s="2" t="s">
        <v>1156</v>
      </c>
      <c r="F1355" s="2" t="s">
        <v>20</v>
      </c>
      <c r="G1355" s="2">
        <v>38</v>
      </c>
      <c r="H1355" s="2" t="s">
        <v>41</v>
      </c>
      <c r="I1355" s="3">
        <v>630</v>
      </c>
      <c r="J1355" s="3">
        <v>880</v>
      </c>
      <c r="K1355" s="4">
        <v>6</v>
      </c>
      <c r="O1355" s="3"/>
    </row>
    <row r="1356" spans="2:15">
      <c r="B1356" s="2" t="s">
        <v>1438</v>
      </c>
      <c r="C1356" s="2" t="s">
        <v>1146</v>
      </c>
      <c r="D1356" s="2" t="s">
        <v>1152</v>
      </c>
      <c r="E1356" s="2" t="s">
        <v>1158</v>
      </c>
      <c r="F1356" s="2" t="s">
        <v>24</v>
      </c>
      <c r="G1356" s="2">
        <v>40</v>
      </c>
      <c r="H1356" s="2" t="s">
        <v>71</v>
      </c>
      <c r="I1356" s="3">
        <v>630</v>
      </c>
      <c r="J1356" s="3">
        <v>880</v>
      </c>
      <c r="K1356" s="4">
        <v>3</v>
      </c>
      <c r="O1356" s="3"/>
    </row>
    <row r="1357" spans="2:15">
      <c r="B1357" s="2" t="s">
        <v>1439</v>
      </c>
      <c r="C1357" s="2" t="s">
        <v>1146</v>
      </c>
      <c r="D1357" s="2" t="s">
        <v>1149</v>
      </c>
      <c r="E1357" s="2" t="s">
        <v>1153</v>
      </c>
      <c r="F1357" s="2" t="s">
        <v>24</v>
      </c>
      <c r="G1357" s="2">
        <v>34</v>
      </c>
      <c r="H1357" s="2" t="s">
        <v>59</v>
      </c>
      <c r="I1357" s="3">
        <v>550</v>
      </c>
      <c r="J1357" s="3">
        <v>770</v>
      </c>
      <c r="K1357" s="4">
        <v>4</v>
      </c>
      <c r="O1357" s="3"/>
    </row>
    <row r="1358" spans="2:15">
      <c r="B1358" s="2" t="s">
        <v>1440</v>
      </c>
      <c r="C1358" s="2" t="s">
        <v>1146</v>
      </c>
      <c r="D1358" s="2" t="s">
        <v>1152</v>
      </c>
      <c r="E1358" s="2" t="s">
        <v>1156</v>
      </c>
      <c r="F1358" s="2" t="s">
        <v>15</v>
      </c>
      <c r="G1358" s="2">
        <v>32</v>
      </c>
      <c r="H1358" s="2" t="s">
        <v>41</v>
      </c>
      <c r="I1358" s="3">
        <v>580</v>
      </c>
      <c r="J1358" s="3">
        <v>810</v>
      </c>
      <c r="K1358" s="4">
        <v>5</v>
      </c>
      <c r="O1358" s="3"/>
    </row>
    <row r="1359" spans="2:15">
      <c r="B1359" s="2" t="s">
        <v>1441</v>
      </c>
      <c r="C1359" s="2" t="s">
        <v>1146</v>
      </c>
      <c r="D1359" s="2" t="s">
        <v>1147</v>
      </c>
      <c r="E1359" s="2" t="s">
        <v>1153</v>
      </c>
      <c r="F1359" s="2" t="s">
        <v>24</v>
      </c>
      <c r="G1359" s="2">
        <v>36</v>
      </c>
      <c r="H1359" s="2" t="s">
        <v>29</v>
      </c>
      <c r="I1359" s="3">
        <v>640</v>
      </c>
      <c r="J1359" s="3">
        <v>900</v>
      </c>
      <c r="K1359" s="4">
        <v>5</v>
      </c>
      <c r="O1359" s="3"/>
    </row>
    <row r="1360" spans="2:15">
      <c r="B1360" s="2" t="s">
        <v>1442</v>
      </c>
      <c r="C1360" s="2" t="s">
        <v>1146</v>
      </c>
      <c r="D1360" s="2" t="s">
        <v>1164</v>
      </c>
      <c r="E1360" s="2" t="s">
        <v>1150</v>
      </c>
      <c r="F1360" s="2" t="s">
        <v>24</v>
      </c>
      <c r="G1360" s="2">
        <v>44</v>
      </c>
      <c r="H1360" s="2" t="s">
        <v>25</v>
      </c>
      <c r="I1360" s="3">
        <v>560</v>
      </c>
      <c r="J1360" s="3">
        <v>780</v>
      </c>
      <c r="K1360" s="4">
        <v>5</v>
      </c>
      <c r="O1360" s="3"/>
    </row>
    <row r="1361" spans="2:15">
      <c r="B1361" s="2" t="s">
        <v>1443</v>
      </c>
      <c r="C1361" s="2" t="s">
        <v>1146</v>
      </c>
      <c r="D1361" s="2" t="s">
        <v>1152</v>
      </c>
      <c r="E1361" s="2" t="s">
        <v>1156</v>
      </c>
      <c r="F1361" s="2" t="s">
        <v>1166</v>
      </c>
      <c r="G1361" s="2">
        <v>40</v>
      </c>
      <c r="H1361" s="2" t="s">
        <v>41</v>
      </c>
      <c r="I1361" s="3">
        <v>610</v>
      </c>
      <c r="J1361" s="3">
        <v>850</v>
      </c>
      <c r="K1361" s="4">
        <v>6</v>
      </c>
      <c r="O1361" s="3"/>
    </row>
    <row r="1362" spans="2:15">
      <c r="B1362" s="2" t="s">
        <v>1444</v>
      </c>
      <c r="C1362" s="2" t="s">
        <v>1146</v>
      </c>
      <c r="D1362" s="2" t="s">
        <v>1155</v>
      </c>
      <c r="E1362" s="2" t="s">
        <v>1156</v>
      </c>
      <c r="F1362" s="2" t="s">
        <v>20</v>
      </c>
      <c r="G1362" s="2">
        <v>32</v>
      </c>
      <c r="H1362" s="2" t="s">
        <v>29</v>
      </c>
      <c r="I1362" s="3">
        <v>580</v>
      </c>
      <c r="J1362" s="3">
        <v>810</v>
      </c>
      <c r="K1362" s="4">
        <v>4</v>
      </c>
      <c r="O1362" s="3"/>
    </row>
    <row r="1363" spans="2:15">
      <c r="B1363" s="2" t="s">
        <v>1445</v>
      </c>
      <c r="C1363" s="2" t="s">
        <v>1146</v>
      </c>
      <c r="D1363" s="2" t="s">
        <v>1147</v>
      </c>
      <c r="E1363" s="2" t="s">
        <v>1158</v>
      </c>
      <c r="F1363" s="2" t="s">
        <v>24</v>
      </c>
      <c r="G1363" s="2">
        <v>36</v>
      </c>
      <c r="H1363" s="2" t="s">
        <v>75</v>
      </c>
      <c r="I1363" s="3">
        <v>570</v>
      </c>
      <c r="J1363" s="3">
        <v>790</v>
      </c>
      <c r="K1363" s="4">
        <v>3</v>
      </c>
      <c r="O1363" s="3"/>
    </row>
    <row r="1364" spans="2:15">
      <c r="B1364" s="2" t="s">
        <v>1446</v>
      </c>
      <c r="C1364" s="2" t="s">
        <v>1146</v>
      </c>
      <c r="D1364" s="2" t="s">
        <v>1149</v>
      </c>
      <c r="E1364" s="2" t="s">
        <v>1150</v>
      </c>
      <c r="F1364" s="2" t="s">
        <v>24</v>
      </c>
      <c r="G1364" s="2">
        <v>30</v>
      </c>
      <c r="H1364" s="2" t="s">
        <v>41</v>
      </c>
      <c r="I1364" s="3">
        <v>570</v>
      </c>
      <c r="J1364" s="3">
        <v>800</v>
      </c>
      <c r="K1364" s="4">
        <v>3</v>
      </c>
      <c r="O1364" s="3"/>
    </row>
    <row r="1365" spans="2:15">
      <c r="B1365" s="2" t="s">
        <v>1447</v>
      </c>
      <c r="C1365" s="2" t="s">
        <v>1146</v>
      </c>
      <c r="D1365" s="2" t="s">
        <v>1149</v>
      </c>
      <c r="E1365" s="2" t="s">
        <v>1158</v>
      </c>
      <c r="F1365" s="2" t="s">
        <v>24</v>
      </c>
      <c r="G1365" s="2">
        <v>38</v>
      </c>
      <c r="H1365" s="2" t="s">
        <v>33</v>
      </c>
      <c r="I1365" s="3">
        <v>640</v>
      </c>
      <c r="J1365" s="3">
        <v>890</v>
      </c>
      <c r="K1365" s="4">
        <v>5</v>
      </c>
      <c r="O1365" s="3"/>
    </row>
    <row r="1366" spans="2:15">
      <c r="B1366" s="2" t="s">
        <v>1448</v>
      </c>
      <c r="C1366" s="2" t="s">
        <v>1146</v>
      </c>
      <c r="D1366" s="2" t="s">
        <v>1155</v>
      </c>
      <c r="E1366" s="2" t="s">
        <v>1153</v>
      </c>
      <c r="F1366" s="2" t="s">
        <v>24</v>
      </c>
      <c r="G1366" s="2">
        <v>32</v>
      </c>
      <c r="H1366" s="2" t="s">
        <v>62</v>
      </c>
      <c r="I1366" s="3">
        <v>670</v>
      </c>
      <c r="J1366" s="3">
        <v>940</v>
      </c>
      <c r="K1366" s="4">
        <v>5</v>
      </c>
      <c r="O1366" s="3"/>
    </row>
    <row r="1367" spans="2:15">
      <c r="B1367" s="2" t="s">
        <v>1449</v>
      </c>
      <c r="C1367" s="2" t="s">
        <v>1146</v>
      </c>
      <c r="D1367" s="2" t="s">
        <v>1155</v>
      </c>
      <c r="E1367" s="2" t="s">
        <v>1158</v>
      </c>
      <c r="F1367" s="2" t="s">
        <v>24</v>
      </c>
      <c r="G1367" s="2">
        <v>40</v>
      </c>
      <c r="H1367" s="2" t="s">
        <v>59</v>
      </c>
      <c r="I1367" s="3">
        <v>500</v>
      </c>
      <c r="J1367" s="3">
        <v>700</v>
      </c>
      <c r="K1367" s="4">
        <v>3</v>
      </c>
      <c r="O1367" s="3"/>
    </row>
    <row r="1368" spans="2:15">
      <c r="B1368" s="2" t="s">
        <v>1450</v>
      </c>
      <c r="C1368" s="2" t="s">
        <v>1146</v>
      </c>
      <c r="D1368" s="2" t="s">
        <v>1164</v>
      </c>
      <c r="E1368" s="2" t="s">
        <v>1153</v>
      </c>
      <c r="F1368" s="2" t="s">
        <v>24</v>
      </c>
      <c r="G1368" s="2">
        <v>34</v>
      </c>
      <c r="H1368" s="2" t="s">
        <v>17</v>
      </c>
      <c r="I1368" s="3">
        <v>620</v>
      </c>
      <c r="J1368" s="3">
        <v>870</v>
      </c>
      <c r="K1368" s="4">
        <v>4</v>
      </c>
      <c r="O1368" s="3"/>
    </row>
    <row r="1369" spans="2:15">
      <c r="B1369" s="2" t="s">
        <v>1451</v>
      </c>
      <c r="C1369" s="2" t="s">
        <v>1146</v>
      </c>
      <c r="D1369" s="2" t="s">
        <v>1149</v>
      </c>
      <c r="E1369" s="2" t="s">
        <v>850</v>
      </c>
      <c r="F1369" s="2" t="s">
        <v>15</v>
      </c>
      <c r="G1369" s="2">
        <v>44</v>
      </c>
      <c r="H1369" s="2" t="s">
        <v>29</v>
      </c>
      <c r="I1369" s="3">
        <v>620</v>
      </c>
      <c r="J1369" s="3">
        <v>870</v>
      </c>
      <c r="K1369" s="4">
        <v>6</v>
      </c>
      <c r="O1369" s="3"/>
    </row>
    <row r="1370" spans="2:15">
      <c r="B1370" s="2" t="s">
        <v>1452</v>
      </c>
      <c r="C1370" s="2" t="s">
        <v>1146</v>
      </c>
      <c r="D1370" s="2" t="s">
        <v>1147</v>
      </c>
      <c r="E1370" s="2" t="s">
        <v>1158</v>
      </c>
      <c r="F1370" s="2" t="s">
        <v>24</v>
      </c>
      <c r="G1370" s="2">
        <v>40</v>
      </c>
      <c r="H1370" s="2" t="s">
        <v>22</v>
      </c>
      <c r="I1370" s="3">
        <v>590</v>
      </c>
      <c r="J1370" s="3">
        <v>820</v>
      </c>
      <c r="K1370" s="4">
        <v>4</v>
      </c>
      <c r="O1370" s="3"/>
    </row>
    <row r="1371" spans="2:15">
      <c r="B1371" s="2" t="s">
        <v>1453</v>
      </c>
      <c r="C1371" s="2" t="s">
        <v>1146</v>
      </c>
      <c r="D1371" s="2" t="s">
        <v>1152</v>
      </c>
      <c r="E1371" s="2" t="s">
        <v>850</v>
      </c>
      <c r="F1371" s="2" t="s">
        <v>20</v>
      </c>
      <c r="G1371" s="2">
        <v>38</v>
      </c>
      <c r="H1371" s="2" t="s">
        <v>57</v>
      </c>
      <c r="I1371" s="3">
        <v>610</v>
      </c>
      <c r="J1371" s="3">
        <v>860</v>
      </c>
      <c r="K1371" s="4">
        <v>4</v>
      </c>
      <c r="O1371" s="3"/>
    </row>
    <row r="1372" spans="2:15">
      <c r="B1372" s="2" t="s">
        <v>1454</v>
      </c>
      <c r="C1372" s="2" t="s">
        <v>1146</v>
      </c>
      <c r="D1372" s="2" t="s">
        <v>1147</v>
      </c>
      <c r="E1372" s="2" t="s">
        <v>1156</v>
      </c>
      <c r="F1372" s="2" t="s">
        <v>15</v>
      </c>
      <c r="G1372" s="2">
        <v>38</v>
      </c>
      <c r="H1372" s="2" t="s">
        <v>49</v>
      </c>
      <c r="I1372" s="3">
        <v>580</v>
      </c>
      <c r="J1372" s="3">
        <v>810</v>
      </c>
      <c r="K1372" s="4">
        <v>4</v>
      </c>
      <c r="O1372" s="3"/>
    </row>
    <row r="1373" spans="2:15">
      <c r="B1373" s="2" t="s">
        <v>1455</v>
      </c>
      <c r="C1373" s="2" t="s">
        <v>1146</v>
      </c>
      <c r="D1373" s="2" t="s">
        <v>1152</v>
      </c>
      <c r="E1373" s="2" t="s">
        <v>1156</v>
      </c>
      <c r="F1373" s="2" t="s">
        <v>15</v>
      </c>
      <c r="G1373" s="2">
        <v>44</v>
      </c>
      <c r="H1373" s="2" t="s">
        <v>101</v>
      </c>
      <c r="I1373" s="3">
        <v>610</v>
      </c>
      <c r="J1373" s="3">
        <v>850</v>
      </c>
      <c r="K1373" s="4">
        <v>5</v>
      </c>
      <c r="O1373" s="3"/>
    </row>
    <row r="1374" spans="2:15">
      <c r="B1374" s="2" t="s">
        <v>1456</v>
      </c>
      <c r="C1374" s="2" t="s">
        <v>1457</v>
      </c>
      <c r="D1374" s="2" t="s">
        <v>1458</v>
      </c>
      <c r="E1374" s="2" t="s">
        <v>1459</v>
      </c>
      <c r="F1374" s="2" t="s">
        <v>20</v>
      </c>
      <c r="G1374" s="2" t="s">
        <v>1460</v>
      </c>
      <c r="H1374" s="2" t="s">
        <v>49</v>
      </c>
      <c r="I1374" s="3">
        <v>70</v>
      </c>
      <c r="J1374" s="3">
        <v>100</v>
      </c>
      <c r="K1374" s="4">
        <v>6</v>
      </c>
      <c r="O1374" s="3"/>
    </row>
    <row r="1375" spans="2:15">
      <c r="B1375" s="2" t="s">
        <v>1461</v>
      </c>
      <c r="C1375" s="2" t="s">
        <v>1457</v>
      </c>
      <c r="D1375" s="2" t="s">
        <v>1462</v>
      </c>
      <c r="E1375" s="2" t="s">
        <v>1463</v>
      </c>
      <c r="F1375" s="2" t="s">
        <v>20</v>
      </c>
      <c r="G1375" s="2" t="s">
        <v>1464</v>
      </c>
      <c r="H1375" s="2" t="s">
        <v>59</v>
      </c>
      <c r="I1375" s="3">
        <v>120</v>
      </c>
      <c r="J1375" s="3">
        <v>160</v>
      </c>
      <c r="K1375" s="4">
        <v>4</v>
      </c>
      <c r="O1375" s="3"/>
    </row>
    <row r="1376" spans="2:15">
      <c r="B1376" s="2" t="s">
        <v>1465</v>
      </c>
      <c r="C1376" s="2" t="s">
        <v>1457</v>
      </c>
      <c r="D1376" s="2" t="s">
        <v>1466</v>
      </c>
      <c r="E1376" s="2" t="s">
        <v>1463</v>
      </c>
      <c r="F1376" s="2" t="s">
        <v>15</v>
      </c>
      <c r="G1376" s="2" t="s">
        <v>1467</v>
      </c>
      <c r="H1376" s="2" t="s">
        <v>101</v>
      </c>
      <c r="I1376" s="3">
        <v>130</v>
      </c>
      <c r="J1376" s="3">
        <v>180</v>
      </c>
      <c r="K1376" s="4">
        <v>3</v>
      </c>
      <c r="O1376" s="3"/>
    </row>
    <row r="1377" spans="2:15">
      <c r="B1377" s="2" t="s">
        <v>1468</v>
      </c>
      <c r="C1377" s="2" t="s">
        <v>1457</v>
      </c>
      <c r="D1377" s="2" t="s">
        <v>1466</v>
      </c>
      <c r="E1377" s="2" t="s">
        <v>1459</v>
      </c>
      <c r="F1377" s="2" t="s">
        <v>20</v>
      </c>
      <c r="G1377" s="2" t="s">
        <v>1467</v>
      </c>
      <c r="H1377" s="2" t="s">
        <v>25</v>
      </c>
      <c r="I1377" s="3">
        <v>90</v>
      </c>
      <c r="J1377" s="3">
        <v>130</v>
      </c>
      <c r="K1377" s="4">
        <v>6</v>
      </c>
      <c r="O1377" s="3"/>
    </row>
    <row r="1378" spans="2:15">
      <c r="B1378" s="2" t="s">
        <v>1469</v>
      </c>
      <c r="C1378" s="2" t="s">
        <v>1457</v>
      </c>
      <c r="D1378" s="2" t="s">
        <v>1462</v>
      </c>
      <c r="E1378" s="2" t="s">
        <v>1459</v>
      </c>
      <c r="F1378" s="2" t="s">
        <v>20</v>
      </c>
      <c r="G1378" s="2" t="s">
        <v>1470</v>
      </c>
      <c r="H1378" s="2" t="s">
        <v>101</v>
      </c>
      <c r="I1378" s="3">
        <v>70</v>
      </c>
      <c r="J1378" s="3">
        <v>100</v>
      </c>
      <c r="K1378" s="4">
        <v>4</v>
      </c>
      <c r="O1378" s="3"/>
    </row>
    <row r="1379" spans="2:15">
      <c r="B1379" s="2" t="s">
        <v>1471</v>
      </c>
      <c r="C1379" s="2" t="s">
        <v>1457</v>
      </c>
      <c r="D1379" s="2" t="s">
        <v>1472</v>
      </c>
      <c r="E1379" s="2" t="s">
        <v>1459</v>
      </c>
      <c r="F1379" s="2" t="s">
        <v>15</v>
      </c>
      <c r="G1379" s="2" t="s">
        <v>1473</v>
      </c>
      <c r="H1379" s="2" t="s">
        <v>41</v>
      </c>
      <c r="I1379" s="3">
        <v>100</v>
      </c>
      <c r="J1379" s="3">
        <v>140</v>
      </c>
      <c r="K1379" s="4">
        <v>3</v>
      </c>
      <c r="O1379" s="3"/>
    </row>
    <row r="1380" spans="2:15">
      <c r="B1380" s="2" t="s">
        <v>1474</v>
      </c>
      <c r="C1380" s="2" t="s">
        <v>1457</v>
      </c>
      <c r="D1380" s="2" t="s">
        <v>1472</v>
      </c>
      <c r="E1380" s="2" t="s">
        <v>1463</v>
      </c>
      <c r="F1380" s="2" t="s">
        <v>15</v>
      </c>
      <c r="G1380" s="2" t="s">
        <v>1460</v>
      </c>
      <c r="H1380" s="2" t="s">
        <v>37</v>
      </c>
      <c r="I1380" s="3">
        <v>90</v>
      </c>
      <c r="J1380" s="3">
        <v>130</v>
      </c>
      <c r="K1380" s="4">
        <v>4</v>
      </c>
      <c r="O1380" s="3"/>
    </row>
    <row r="1381" spans="2:15">
      <c r="B1381" s="2" t="s">
        <v>1475</v>
      </c>
      <c r="C1381" s="2" t="s">
        <v>1457</v>
      </c>
      <c r="D1381" s="2" t="s">
        <v>1476</v>
      </c>
      <c r="E1381" s="2" t="s">
        <v>1463</v>
      </c>
      <c r="F1381" s="2" t="s">
        <v>20</v>
      </c>
      <c r="G1381" s="2" t="s">
        <v>1470</v>
      </c>
      <c r="H1381" s="2" t="s">
        <v>94</v>
      </c>
      <c r="I1381" s="3">
        <v>140</v>
      </c>
      <c r="J1381" s="3">
        <v>190</v>
      </c>
      <c r="K1381" s="4">
        <v>4</v>
      </c>
      <c r="O1381" s="3"/>
    </row>
    <row r="1382" spans="2:15">
      <c r="B1382" s="2" t="s">
        <v>1477</v>
      </c>
      <c r="C1382" s="2" t="s">
        <v>1457</v>
      </c>
      <c r="D1382" s="2" t="s">
        <v>1472</v>
      </c>
      <c r="E1382" s="2" t="s">
        <v>1463</v>
      </c>
      <c r="F1382" s="2" t="s">
        <v>15</v>
      </c>
      <c r="G1382" s="2" t="s">
        <v>1460</v>
      </c>
      <c r="H1382" s="2" t="s">
        <v>25</v>
      </c>
      <c r="I1382" s="3">
        <v>100</v>
      </c>
      <c r="J1382" s="3">
        <v>130</v>
      </c>
      <c r="K1382" s="4">
        <v>5</v>
      </c>
      <c r="O1382" s="3"/>
    </row>
    <row r="1383" spans="2:15">
      <c r="B1383" s="2" t="s">
        <v>1478</v>
      </c>
      <c r="C1383" s="2" t="s">
        <v>1457</v>
      </c>
      <c r="D1383" s="2" t="s">
        <v>1458</v>
      </c>
      <c r="E1383" s="2" t="s">
        <v>1463</v>
      </c>
      <c r="F1383" s="2" t="s">
        <v>15</v>
      </c>
      <c r="G1383" s="2" t="s">
        <v>1460</v>
      </c>
      <c r="H1383" s="2" t="s">
        <v>69</v>
      </c>
      <c r="I1383" s="3">
        <v>100</v>
      </c>
      <c r="J1383" s="3">
        <v>130</v>
      </c>
      <c r="K1383" s="4">
        <v>4</v>
      </c>
      <c r="O1383" s="3"/>
    </row>
    <row r="1384" spans="2:15">
      <c r="B1384" s="2" t="s">
        <v>1479</v>
      </c>
      <c r="C1384" s="2" t="s">
        <v>1457</v>
      </c>
      <c r="D1384" s="2" t="s">
        <v>1466</v>
      </c>
      <c r="E1384" s="2" t="s">
        <v>1463</v>
      </c>
      <c r="F1384" s="2" t="s">
        <v>20</v>
      </c>
      <c r="G1384" s="2" t="s">
        <v>1464</v>
      </c>
      <c r="H1384" s="2" t="s">
        <v>49</v>
      </c>
      <c r="I1384" s="3">
        <v>130</v>
      </c>
      <c r="J1384" s="3">
        <v>180</v>
      </c>
      <c r="K1384" s="4">
        <v>6</v>
      </c>
      <c r="O1384" s="3"/>
    </row>
    <row r="1385" spans="2:15">
      <c r="B1385" s="2" t="s">
        <v>1480</v>
      </c>
      <c r="C1385" s="2" t="s">
        <v>1457</v>
      </c>
      <c r="D1385" s="2" t="s">
        <v>1476</v>
      </c>
      <c r="E1385" s="2" t="s">
        <v>1459</v>
      </c>
      <c r="F1385" s="2" t="s">
        <v>20</v>
      </c>
      <c r="G1385" s="2" t="s">
        <v>1481</v>
      </c>
      <c r="H1385" s="2" t="s">
        <v>29</v>
      </c>
      <c r="I1385" s="3">
        <v>130</v>
      </c>
      <c r="J1385" s="3">
        <v>180</v>
      </c>
      <c r="K1385" s="4">
        <v>5</v>
      </c>
      <c r="O1385" s="3"/>
    </row>
    <row r="1386" spans="2:15">
      <c r="B1386" s="2" t="s">
        <v>1482</v>
      </c>
      <c r="C1386" s="2" t="s">
        <v>1457</v>
      </c>
      <c r="D1386" s="2" t="s">
        <v>1476</v>
      </c>
      <c r="E1386" s="2" t="s">
        <v>1459</v>
      </c>
      <c r="F1386" s="2" t="s">
        <v>15</v>
      </c>
      <c r="G1386" s="2" t="s">
        <v>1460</v>
      </c>
      <c r="H1386" s="2" t="s">
        <v>64</v>
      </c>
      <c r="I1386" s="3">
        <v>110</v>
      </c>
      <c r="J1386" s="3">
        <v>150</v>
      </c>
      <c r="K1386" s="4">
        <v>6</v>
      </c>
      <c r="O1386" s="3"/>
    </row>
    <row r="1387" spans="2:15">
      <c r="B1387" s="2" t="s">
        <v>1483</v>
      </c>
      <c r="C1387" s="2" t="s">
        <v>1457</v>
      </c>
      <c r="D1387" s="2" t="s">
        <v>1476</v>
      </c>
      <c r="E1387" s="2" t="s">
        <v>1459</v>
      </c>
      <c r="F1387" s="2" t="s">
        <v>20</v>
      </c>
      <c r="G1387" s="2" t="s">
        <v>1470</v>
      </c>
      <c r="H1387" s="2" t="s">
        <v>104</v>
      </c>
      <c r="I1387" s="3">
        <v>130</v>
      </c>
      <c r="J1387" s="3">
        <v>180</v>
      </c>
      <c r="K1387" s="4">
        <v>4</v>
      </c>
      <c r="O1387" s="3"/>
    </row>
    <row r="1388" spans="2:15">
      <c r="B1388" s="2" t="s">
        <v>1484</v>
      </c>
      <c r="C1388" s="2" t="s">
        <v>1457</v>
      </c>
      <c r="D1388" s="2" t="s">
        <v>1472</v>
      </c>
      <c r="E1388" s="2" t="s">
        <v>1463</v>
      </c>
      <c r="F1388" s="2" t="s">
        <v>20</v>
      </c>
      <c r="G1388" s="2" t="s">
        <v>1467</v>
      </c>
      <c r="H1388" s="2" t="s">
        <v>94</v>
      </c>
      <c r="I1388" s="3">
        <v>90</v>
      </c>
      <c r="J1388" s="3">
        <v>120</v>
      </c>
      <c r="K1388" s="4">
        <v>6</v>
      </c>
      <c r="O1388" s="3"/>
    </row>
    <row r="1389" spans="2:15">
      <c r="B1389" s="2" t="s">
        <v>1485</v>
      </c>
      <c r="C1389" s="2" t="s">
        <v>1457</v>
      </c>
      <c r="D1389" s="2" t="s">
        <v>1458</v>
      </c>
      <c r="E1389" s="2" t="s">
        <v>1459</v>
      </c>
      <c r="F1389" s="2" t="s">
        <v>15</v>
      </c>
      <c r="G1389" s="2" t="s">
        <v>1473</v>
      </c>
      <c r="H1389" s="2" t="s">
        <v>37</v>
      </c>
      <c r="I1389" s="3">
        <v>120</v>
      </c>
      <c r="J1389" s="3">
        <v>170</v>
      </c>
      <c r="K1389" s="4">
        <v>5</v>
      </c>
      <c r="O1389" s="3"/>
    </row>
    <row r="1390" spans="2:15">
      <c r="B1390" s="2" t="s">
        <v>1486</v>
      </c>
      <c r="C1390" s="2" t="s">
        <v>1457</v>
      </c>
      <c r="D1390" s="2" t="s">
        <v>1476</v>
      </c>
      <c r="E1390" s="2" t="s">
        <v>1459</v>
      </c>
      <c r="F1390" s="2" t="s">
        <v>15</v>
      </c>
      <c r="G1390" s="2" t="s">
        <v>1460</v>
      </c>
      <c r="H1390" s="2" t="s">
        <v>75</v>
      </c>
      <c r="I1390" s="3">
        <v>120</v>
      </c>
      <c r="J1390" s="3">
        <v>170</v>
      </c>
      <c r="K1390" s="4">
        <v>3</v>
      </c>
      <c r="O1390" s="3"/>
    </row>
    <row r="1391" spans="2:15">
      <c r="B1391" s="2" t="s">
        <v>1487</v>
      </c>
      <c r="C1391" s="2" t="s">
        <v>1457</v>
      </c>
      <c r="D1391" s="2" t="s">
        <v>1466</v>
      </c>
      <c r="E1391" s="2" t="s">
        <v>1459</v>
      </c>
      <c r="F1391" s="2" t="s">
        <v>15</v>
      </c>
      <c r="G1391" s="2" t="s">
        <v>1470</v>
      </c>
      <c r="H1391" s="2" t="s">
        <v>49</v>
      </c>
      <c r="I1391" s="3">
        <v>130</v>
      </c>
      <c r="J1391" s="3">
        <v>180</v>
      </c>
      <c r="K1391" s="4">
        <v>6</v>
      </c>
      <c r="O1391" s="3"/>
    </row>
    <row r="1392" spans="2:15">
      <c r="B1392" s="2" t="s">
        <v>1488</v>
      </c>
      <c r="C1392" s="2" t="s">
        <v>1457</v>
      </c>
      <c r="D1392" s="2" t="s">
        <v>1476</v>
      </c>
      <c r="E1392" s="2" t="s">
        <v>1459</v>
      </c>
      <c r="F1392" s="2" t="s">
        <v>20</v>
      </c>
      <c r="G1392" s="2" t="s">
        <v>1481</v>
      </c>
      <c r="H1392" s="2" t="s">
        <v>37</v>
      </c>
      <c r="I1392" s="3">
        <v>90</v>
      </c>
      <c r="J1392" s="3">
        <v>130</v>
      </c>
      <c r="K1392" s="4">
        <v>4</v>
      </c>
      <c r="O1392" s="3"/>
    </row>
    <row r="1393" spans="2:15">
      <c r="B1393" s="2" t="s">
        <v>1489</v>
      </c>
      <c r="C1393" s="2" t="s">
        <v>1457</v>
      </c>
      <c r="D1393" s="2" t="s">
        <v>1476</v>
      </c>
      <c r="E1393" s="2" t="s">
        <v>1463</v>
      </c>
      <c r="F1393" s="2" t="s">
        <v>15</v>
      </c>
      <c r="G1393" s="2" t="s">
        <v>1473</v>
      </c>
      <c r="H1393" s="2" t="s">
        <v>43</v>
      </c>
      <c r="I1393" s="3">
        <v>110</v>
      </c>
      <c r="J1393" s="3">
        <v>160</v>
      </c>
      <c r="K1393" s="4">
        <v>4</v>
      </c>
      <c r="O1393" s="3"/>
    </row>
    <row r="1394" spans="2:15">
      <c r="B1394" s="2" t="s">
        <v>1490</v>
      </c>
      <c r="C1394" s="2" t="s">
        <v>1457</v>
      </c>
      <c r="D1394" s="2" t="s">
        <v>1462</v>
      </c>
      <c r="E1394" s="2" t="s">
        <v>1463</v>
      </c>
      <c r="F1394" s="2" t="s">
        <v>15</v>
      </c>
      <c r="G1394" s="2" t="s">
        <v>1460</v>
      </c>
      <c r="H1394" s="2" t="s">
        <v>64</v>
      </c>
      <c r="I1394" s="3">
        <v>130</v>
      </c>
      <c r="J1394" s="3">
        <v>180</v>
      </c>
      <c r="K1394" s="4">
        <v>3</v>
      </c>
      <c r="O1394" s="3"/>
    </row>
    <row r="1395" spans="2:15">
      <c r="B1395" s="2" t="s">
        <v>1491</v>
      </c>
      <c r="C1395" s="2" t="s">
        <v>1457</v>
      </c>
      <c r="D1395" s="2" t="s">
        <v>1462</v>
      </c>
      <c r="E1395" s="2" t="s">
        <v>1463</v>
      </c>
      <c r="F1395" s="2" t="s">
        <v>20</v>
      </c>
      <c r="G1395" s="2" t="s">
        <v>1464</v>
      </c>
      <c r="H1395" s="2" t="s">
        <v>59</v>
      </c>
      <c r="I1395" s="3">
        <v>80</v>
      </c>
      <c r="J1395" s="3">
        <v>110</v>
      </c>
      <c r="K1395" s="4">
        <v>4</v>
      </c>
      <c r="O1395" s="3"/>
    </row>
    <row r="1396" spans="2:15">
      <c r="B1396" s="2" t="s">
        <v>1492</v>
      </c>
      <c r="C1396" s="2" t="s">
        <v>1457</v>
      </c>
      <c r="D1396" s="2" t="s">
        <v>1466</v>
      </c>
      <c r="E1396" s="2" t="s">
        <v>1463</v>
      </c>
      <c r="F1396" s="2" t="s">
        <v>20</v>
      </c>
      <c r="G1396" s="2" t="s">
        <v>1470</v>
      </c>
      <c r="H1396" s="2" t="s">
        <v>41</v>
      </c>
      <c r="I1396" s="3">
        <v>80</v>
      </c>
      <c r="J1396" s="3">
        <v>110</v>
      </c>
      <c r="K1396" s="4">
        <v>4</v>
      </c>
      <c r="O1396" s="3"/>
    </row>
    <row r="1397" spans="2:15">
      <c r="B1397" s="2" t="s">
        <v>1493</v>
      </c>
      <c r="C1397" s="2" t="s">
        <v>1457</v>
      </c>
      <c r="D1397" s="2" t="s">
        <v>1466</v>
      </c>
      <c r="E1397" s="2" t="s">
        <v>1459</v>
      </c>
      <c r="F1397" s="2" t="s">
        <v>15</v>
      </c>
      <c r="G1397" s="2" t="s">
        <v>1467</v>
      </c>
      <c r="H1397" s="2" t="s">
        <v>104</v>
      </c>
      <c r="I1397" s="3">
        <v>100</v>
      </c>
      <c r="J1397" s="3">
        <v>140</v>
      </c>
      <c r="K1397" s="4">
        <v>3</v>
      </c>
      <c r="O1397" s="3"/>
    </row>
    <row r="1398" spans="2:15">
      <c r="B1398" s="2" t="s">
        <v>1494</v>
      </c>
      <c r="C1398" s="2" t="s">
        <v>1457</v>
      </c>
      <c r="D1398" s="2" t="s">
        <v>1472</v>
      </c>
      <c r="E1398" s="2" t="s">
        <v>1463</v>
      </c>
      <c r="F1398" s="2" t="s">
        <v>20</v>
      </c>
      <c r="G1398" s="2" t="s">
        <v>1464</v>
      </c>
      <c r="H1398" s="2" t="s">
        <v>69</v>
      </c>
      <c r="I1398" s="3">
        <v>120</v>
      </c>
      <c r="J1398" s="3">
        <v>170</v>
      </c>
      <c r="K1398" s="4">
        <v>3</v>
      </c>
      <c r="O1398" s="3"/>
    </row>
    <row r="1399" spans="2:15">
      <c r="B1399" s="2" t="s">
        <v>1495</v>
      </c>
      <c r="C1399" s="2" t="s">
        <v>1457</v>
      </c>
      <c r="D1399" s="2" t="s">
        <v>1462</v>
      </c>
      <c r="E1399" s="2" t="s">
        <v>1459</v>
      </c>
      <c r="F1399" s="2" t="s">
        <v>15</v>
      </c>
      <c r="G1399" s="2" t="s">
        <v>1460</v>
      </c>
      <c r="H1399" s="2" t="s">
        <v>94</v>
      </c>
      <c r="I1399" s="3">
        <v>120</v>
      </c>
      <c r="J1399" s="3">
        <v>160</v>
      </c>
      <c r="K1399" s="4">
        <v>3</v>
      </c>
      <c r="O1399" s="3"/>
    </row>
    <row r="1400" spans="2:15">
      <c r="B1400" s="2" t="s">
        <v>1496</v>
      </c>
      <c r="C1400" s="2" t="s">
        <v>1457</v>
      </c>
      <c r="D1400" s="2" t="s">
        <v>1476</v>
      </c>
      <c r="E1400" s="2" t="s">
        <v>1459</v>
      </c>
      <c r="F1400" s="2" t="s">
        <v>20</v>
      </c>
      <c r="G1400" s="2" t="s">
        <v>1481</v>
      </c>
      <c r="H1400" s="2" t="s">
        <v>94</v>
      </c>
      <c r="I1400" s="3">
        <v>70</v>
      </c>
      <c r="J1400" s="3">
        <v>100</v>
      </c>
      <c r="K1400" s="4">
        <v>3</v>
      </c>
      <c r="O1400" s="3"/>
    </row>
    <row r="1401" spans="2:15">
      <c r="B1401" s="2" t="s">
        <v>1497</v>
      </c>
      <c r="C1401" s="2" t="s">
        <v>1457</v>
      </c>
      <c r="D1401" s="2" t="s">
        <v>1466</v>
      </c>
      <c r="E1401" s="2" t="s">
        <v>1459</v>
      </c>
      <c r="F1401" s="2" t="s">
        <v>20</v>
      </c>
      <c r="G1401" s="2" t="s">
        <v>1473</v>
      </c>
      <c r="H1401" s="2" t="s">
        <v>22</v>
      </c>
      <c r="I1401" s="3">
        <v>100</v>
      </c>
      <c r="J1401" s="3">
        <v>140</v>
      </c>
      <c r="K1401" s="4">
        <v>3</v>
      </c>
      <c r="O1401" s="3"/>
    </row>
    <row r="1402" spans="2:15">
      <c r="B1402" s="2" t="s">
        <v>1498</v>
      </c>
      <c r="C1402" s="2" t="s">
        <v>1457</v>
      </c>
      <c r="D1402" s="2" t="s">
        <v>1472</v>
      </c>
      <c r="E1402" s="2" t="s">
        <v>1459</v>
      </c>
      <c r="F1402" s="2" t="s">
        <v>20</v>
      </c>
      <c r="G1402" s="2" t="s">
        <v>1464</v>
      </c>
      <c r="H1402" s="2" t="s">
        <v>59</v>
      </c>
      <c r="I1402" s="3">
        <v>110</v>
      </c>
      <c r="J1402" s="3">
        <v>160</v>
      </c>
      <c r="K1402" s="4">
        <v>6</v>
      </c>
      <c r="O1402" s="3"/>
    </row>
    <row r="1403" spans="2:15">
      <c r="B1403" s="2" t="s">
        <v>1499</v>
      </c>
      <c r="C1403" s="2" t="s">
        <v>1457</v>
      </c>
      <c r="D1403" s="2" t="s">
        <v>1462</v>
      </c>
      <c r="E1403" s="2" t="s">
        <v>1459</v>
      </c>
      <c r="F1403" s="2" t="s">
        <v>20</v>
      </c>
      <c r="G1403" s="2" t="s">
        <v>1481</v>
      </c>
      <c r="H1403" s="2" t="s">
        <v>49</v>
      </c>
      <c r="I1403" s="3">
        <v>80</v>
      </c>
      <c r="J1403" s="3">
        <v>120</v>
      </c>
      <c r="K1403" s="4">
        <v>4</v>
      </c>
      <c r="O1403" s="3"/>
    </row>
    <row r="1404" spans="2:15">
      <c r="B1404" s="2" t="s">
        <v>1500</v>
      </c>
      <c r="C1404" s="2" t="s">
        <v>1457</v>
      </c>
      <c r="D1404" s="2" t="s">
        <v>1476</v>
      </c>
      <c r="E1404" s="2" t="s">
        <v>1463</v>
      </c>
      <c r="F1404" s="2" t="s">
        <v>20</v>
      </c>
      <c r="G1404" s="2" t="s">
        <v>1470</v>
      </c>
      <c r="H1404" s="2" t="s">
        <v>94</v>
      </c>
      <c r="I1404" s="3">
        <v>70</v>
      </c>
      <c r="J1404" s="3">
        <v>100</v>
      </c>
      <c r="K1404" s="4">
        <v>6</v>
      </c>
      <c r="O1404" s="3"/>
    </row>
    <row r="1405" spans="2:15">
      <c r="B1405" s="2" t="s">
        <v>1501</v>
      </c>
      <c r="C1405" s="2" t="s">
        <v>1457</v>
      </c>
      <c r="D1405" s="2" t="s">
        <v>1466</v>
      </c>
      <c r="E1405" s="2" t="s">
        <v>1463</v>
      </c>
      <c r="F1405" s="2" t="s">
        <v>15</v>
      </c>
      <c r="G1405" s="2" t="s">
        <v>1473</v>
      </c>
      <c r="H1405" s="2" t="s">
        <v>43</v>
      </c>
      <c r="I1405" s="3">
        <v>100</v>
      </c>
      <c r="J1405" s="3">
        <v>140</v>
      </c>
      <c r="K1405" s="4">
        <v>4</v>
      </c>
      <c r="O1405" s="3"/>
    </row>
    <row r="1406" spans="2:15">
      <c r="B1406" s="2" t="s">
        <v>1502</v>
      </c>
      <c r="C1406" s="2" t="s">
        <v>1457</v>
      </c>
      <c r="D1406" s="2" t="s">
        <v>1472</v>
      </c>
      <c r="E1406" s="2" t="s">
        <v>1463</v>
      </c>
      <c r="F1406" s="2" t="s">
        <v>20</v>
      </c>
      <c r="G1406" s="2" t="s">
        <v>1467</v>
      </c>
      <c r="H1406" s="2" t="s">
        <v>62</v>
      </c>
      <c r="I1406" s="3">
        <v>120</v>
      </c>
      <c r="J1406" s="3">
        <v>170</v>
      </c>
      <c r="K1406" s="4">
        <v>4</v>
      </c>
      <c r="O1406" s="3"/>
    </row>
    <row r="1407" spans="2:15">
      <c r="B1407" s="2" t="s">
        <v>1503</v>
      </c>
      <c r="C1407" s="2" t="s">
        <v>1457</v>
      </c>
      <c r="D1407" s="2" t="s">
        <v>1466</v>
      </c>
      <c r="E1407" s="2" t="s">
        <v>1463</v>
      </c>
      <c r="F1407" s="2" t="s">
        <v>15</v>
      </c>
      <c r="G1407" s="2" t="s">
        <v>1467</v>
      </c>
      <c r="H1407" s="2" t="s">
        <v>57</v>
      </c>
      <c r="I1407" s="3">
        <v>100</v>
      </c>
      <c r="J1407" s="3">
        <v>140</v>
      </c>
      <c r="K1407" s="4">
        <v>5</v>
      </c>
      <c r="O1407" s="3"/>
    </row>
    <row r="1408" spans="2:15">
      <c r="B1408" s="2" t="s">
        <v>1504</v>
      </c>
      <c r="C1408" s="2" t="s">
        <v>1457</v>
      </c>
      <c r="D1408" s="2" t="s">
        <v>1472</v>
      </c>
      <c r="E1408" s="2" t="s">
        <v>1463</v>
      </c>
      <c r="F1408" s="2" t="s">
        <v>20</v>
      </c>
      <c r="G1408" s="2" t="s">
        <v>1481</v>
      </c>
      <c r="H1408" s="2" t="s">
        <v>69</v>
      </c>
      <c r="I1408" s="3">
        <v>90</v>
      </c>
      <c r="J1408" s="3">
        <v>130</v>
      </c>
      <c r="K1408" s="4">
        <v>6</v>
      </c>
      <c r="O1408" s="3"/>
    </row>
    <row r="1409" spans="2:15">
      <c r="B1409" s="2" t="s">
        <v>1505</v>
      </c>
      <c r="C1409" s="2" t="s">
        <v>1457</v>
      </c>
      <c r="D1409" s="2" t="s">
        <v>1458</v>
      </c>
      <c r="E1409" s="2" t="s">
        <v>1459</v>
      </c>
      <c r="F1409" s="2" t="s">
        <v>20</v>
      </c>
      <c r="G1409" s="2" t="s">
        <v>1460</v>
      </c>
      <c r="H1409" s="2" t="s">
        <v>69</v>
      </c>
      <c r="I1409" s="3">
        <v>120</v>
      </c>
      <c r="J1409" s="3">
        <v>160</v>
      </c>
      <c r="K1409" s="4">
        <v>3</v>
      </c>
      <c r="O1409" s="3"/>
    </row>
    <row r="1410" spans="2:15">
      <c r="B1410" s="2" t="s">
        <v>1506</v>
      </c>
      <c r="C1410" s="2" t="s">
        <v>1457</v>
      </c>
      <c r="D1410" s="2" t="s">
        <v>1462</v>
      </c>
      <c r="E1410" s="2" t="s">
        <v>1463</v>
      </c>
      <c r="F1410" s="2" t="s">
        <v>20</v>
      </c>
      <c r="G1410" s="2" t="s">
        <v>1464</v>
      </c>
      <c r="H1410" s="2" t="s">
        <v>43</v>
      </c>
      <c r="I1410" s="3">
        <v>110</v>
      </c>
      <c r="J1410" s="3">
        <v>150</v>
      </c>
      <c r="K1410" s="4">
        <v>3</v>
      </c>
      <c r="O1410" s="3"/>
    </row>
    <row r="1411" spans="2:15">
      <c r="B1411" s="2" t="s">
        <v>1507</v>
      </c>
      <c r="C1411" s="2" t="s">
        <v>1457</v>
      </c>
      <c r="D1411" s="2" t="s">
        <v>1472</v>
      </c>
      <c r="E1411" s="2" t="s">
        <v>1463</v>
      </c>
      <c r="F1411" s="2" t="s">
        <v>15</v>
      </c>
      <c r="G1411" s="2" t="s">
        <v>1460</v>
      </c>
      <c r="H1411" s="2" t="s">
        <v>57</v>
      </c>
      <c r="I1411" s="3">
        <v>90</v>
      </c>
      <c r="J1411" s="3">
        <v>120</v>
      </c>
      <c r="K1411" s="4">
        <v>6</v>
      </c>
      <c r="O1411" s="3"/>
    </row>
    <row r="1412" spans="2:15">
      <c r="B1412" s="2" t="s">
        <v>1508</v>
      </c>
      <c r="C1412" s="2" t="s">
        <v>1457</v>
      </c>
      <c r="D1412" s="2" t="s">
        <v>1466</v>
      </c>
      <c r="E1412" s="2" t="s">
        <v>1459</v>
      </c>
      <c r="F1412" s="2" t="s">
        <v>15</v>
      </c>
      <c r="G1412" s="2" t="s">
        <v>1467</v>
      </c>
      <c r="H1412" s="2" t="s">
        <v>49</v>
      </c>
      <c r="I1412" s="3">
        <v>100</v>
      </c>
      <c r="J1412" s="3">
        <v>130</v>
      </c>
      <c r="K1412" s="4">
        <v>4</v>
      </c>
      <c r="O1412" s="3"/>
    </row>
    <row r="1413" spans="2:15">
      <c r="B1413" s="2" t="s">
        <v>1509</v>
      </c>
      <c r="C1413" s="2" t="s">
        <v>1457</v>
      </c>
      <c r="D1413" s="2" t="s">
        <v>1472</v>
      </c>
      <c r="E1413" s="2" t="s">
        <v>1459</v>
      </c>
      <c r="F1413" s="2" t="s">
        <v>15</v>
      </c>
      <c r="G1413" s="2" t="s">
        <v>1467</v>
      </c>
      <c r="H1413" s="2" t="s">
        <v>101</v>
      </c>
      <c r="I1413" s="3">
        <v>100</v>
      </c>
      <c r="J1413" s="3">
        <v>150</v>
      </c>
      <c r="K1413" s="4">
        <v>3</v>
      </c>
      <c r="O1413" s="3"/>
    </row>
    <row r="1414" spans="2:15">
      <c r="B1414" s="2" t="s">
        <v>1510</v>
      </c>
      <c r="C1414" s="2" t="s">
        <v>1457</v>
      </c>
      <c r="D1414" s="2" t="s">
        <v>1472</v>
      </c>
      <c r="E1414" s="2" t="s">
        <v>1463</v>
      </c>
      <c r="F1414" s="2" t="s">
        <v>20</v>
      </c>
      <c r="G1414" s="2" t="s">
        <v>1460</v>
      </c>
      <c r="H1414" s="2" t="s">
        <v>62</v>
      </c>
      <c r="I1414" s="3">
        <v>100</v>
      </c>
      <c r="J1414" s="3">
        <v>140</v>
      </c>
      <c r="K1414" s="4">
        <v>3</v>
      </c>
      <c r="O1414" s="3"/>
    </row>
    <row r="1415" spans="2:15">
      <c r="B1415" s="2" t="s">
        <v>1511</v>
      </c>
      <c r="C1415" s="2" t="s">
        <v>1457</v>
      </c>
      <c r="D1415" s="2" t="s">
        <v>1462</v>
      </c>
      <c r="E1415" s="2" t="s">
        <v>1463</v>
      </c>
      <c r="F1415" s="2" t="s">
        <v>15</v>
      </c>
      <c r="G1415" s="2" t="s">
        <v>1460</v>
      </c>
      <c r="H1415" s="2" t="s">
        <v>29</v>
      </c>
      <c r="I1415" s="3">
        <v>100</v>
      </c>
      <c r="J1415" s="3">
        <v>140</v>
      </c>
      <c r="K1415" s="4">
        <v>3</v>
      </c>
      <c r="O1415" s="3"/>
    </row>
    <row r="1416" spans="2:15">
      <c r="B1416" s="2" t="s">
        <v>1512</v>
      </c>
      <c r="C1416" s="2" t="s">
        <v>1457</v>
      </c>
      <c r="D1416" s="2" t="s">
        <v>1476</v>
      </c>
      <c r="E1416" s="2" t="s">
        <v>1459</v>
      </c>
      <c r="F1416" s="2" t="s">
        <v>20</v>
      </c>
      <c r="G1416" s="2" t="s">
        <v>1473</v>
      </c>
      <c r="H1416" s="2" t="s">
        <v>57</v>
      </c>
      <c r="I1416" s="3">
        <v>80</v>
      </c>
      <c r="J1416" s="3">
        <v>110</v>
      </c>
      <c r="K1416" s="4">
        <v>4</v>
      </c>
      <c r="O1416" s="3"/>
    </row>
    <row r="1417" spans="2:15">
      <c r="B1417" s="2" t="s">
        <v>1513</v>
      </c>
      <c r="C1417" s="2" t="s">
        <v>1457</v>
      </c>
      <c r="D1417" s="2" t="s">
        <v>1466</v>
      </c>
      <c r="E1417" s="2" t="s">
        <v>1459</v>
      </c>
      <c r="F1417" s="2" t="s">
        <v>20</v>
      </c>
      <c r="G1417" s="2" t="s">
        <v>1460</v>
      </c>
      <c r="H1417" s="2" t="s">
        <v>75</v>
      </c>
      <c r="I1417" s="3">
        <v>90</v>
      </c>
      <c r="J1417" s="3">
        <v>120</v>
      </c>
      <c r="K1417" s="4">
        <v>3</v>
      </c>
      <c r="O1417" s="3"/>
    </row>
    <row r="1418" spans="2:15">
      <c r="B1418" s="2" t="s">
        <v>1514</v>
      </c>
      <c r="C1418" s="2" t="s">
        <v>1457</v>
      </c>
      <c r="D1418" s="2" t="s">
        <v>1476</v>
      </c>
      <c r="E1418" s="2" t="s">
        <v>1463</v>
      </c>
      <c r="F1418" s="2" t="s">
        <v>20</v>
      </c>
      <c r="G1418" s="2" t="s">
        <v>1467</v>
      </c>
      <c r="H1418" s="2" t="s">
        <v>94</v>
      </c>
      <c r="I1418" s="3">
        <v>120</v>
      </c>
      <c r="J1418" s="3">
        <v>170</v>
      </c>
      <c r="K1418" s="4">
        <v>4</v>
      </c>
      <c r="O1418" s="3"/>
    </row>
    <row r="1419" spans="2:15">
      <c r="B1419" s="2" t="s">
        <v>1515</v>
      </c>
      <c r="C1419" s="2" t="s">
        <v>1457</v>
      </c>
      <c r="D1419" s="2" t="s">
        <v>1462</v>
      </c>
      <c r="E1419" s="2" t="s">
        <v>1459</v>
      </c>
      <c r="F1419" s="2" t="s">
        <v>15</v>
      </c>
      <c r="G1419" s="2" t="s">
        <v>1481</v>
      </c>
      <c r="H1419" s="2" t="s">
        <v>71</v>
      </c>
      <c r="I1419" s="3">
        <v>120</v>
      </c>
      <c r="J1419" s="3">
        <v>170</v>
      </c>
      <c r="K1419" s="4">
        <v>6</v>
      </c>
      <c r="O1419" s="3"/>
    </row>
    <row r="1420" spans="2:15">
      <c r="B1420" s="2" t="s">
        <v>1516</v>
      </c>
      <c r="C1420" s="2" t="s">
        <v>1457</v>
      </c>
      <c r="D1420" s="2" t="s">
        <v>1472</v>
      </c>
      <c r="E1420" s="2" t="s">
        <v>1463</v>
      </c>
      <c r="F1420" s="2" t="s">
        <v>20</v>
      </c>
      <c r="G1420" s="2" t="s">
        <v>1481</v>
      </c>
      <c r="H1420" s="2" t="s">
        <v>59</v>
      </c>
      <c r="I1420" s="3">
        <v>100</v>
      </c>
      <c r="J1420" s="3">
        <v>130</v>
      </c>
      <c r="K1420" s="4">
        <v>6</v>
      </c>
      <c r="O1420" s="3"/>
    </row>
    <row r="1421" spans="2:15">
      <c r="B1421" s="2" t="s">
        <v>1517</v>
      </c>
      <c r="C1421" s="2" t="s">
        <v>1457</v>
      </c>
      <c r="D1421" s="2" t="s">
        <v>1476</v>
      </c>
      <c r="E1421" s="2" t="s">
        <v>1463</v>
      </c>
      <c r="F1421" s="2" t="s">
        <v>15</v>
      </c>
      <c r="G1421" s="2" t="s">
        <v>1464</v>
      </c>
      <c r="H1421" s="2" t="s">
        <v>25</v>
      </c>
      <c r="I1421" s="3">
        <v>90</v>
      </c>
      <c r="J1421" s="3">
        <v>130</v>
      </c>
      <c r="K1421" s="4">
        <v>6</v>
      </c>
      <c r="O1421" s="3"/>
    </row>
    <row r="1422" spans="2:15">
      <c r="B1422" s="2" t="s">
        <v>1518</v>
      </c>
      <c r="C1422" s="2" t="s">
        <v>1457</v>
      </c>
      <c r="D1422" s="2" t="s">
        <v>1476</v>
      </c>
      <c r="E1422" s="2" t="s">
        <v>1459</v>
      </c>
      <c r="F1422" s="2" t="s">
        <v>15</v>
      </c>
      <c r="G1422" s="2" t="s">
        <v>1470</v>
      </c>
      <c r="H1422" s="2" t="s">
        <v>43</v>
      </c>
      <c r="I1422" s="3">
        <v>90</v>
      </c>
      <c r="J1422" s="3">
        <v>120</v>
      </c>
      <c r="K1422" s="4">
        <v>5</v>
      </c>
      <c r="O1422" s="3"/>
    </row>
    <row r="1423" spans="2:15">
      <c r="B1423" s="2" t="s">
        <v>1519</v>
      </c>
      <c r="C1423" s="2" t="s">
        <v>1457</v>
      </c>
      <c r="D1423" s="2" t="s">
        <v>1462</v>
      </c>
      <c r="E1423" s="2" t="s">
        <v>1459</v>
      </c>
      <c r="F1423" s="2" t="s">
        <v>15</v>
      </c>
      <c r="G1423" s="2" t="s">
        <v>1470</v>
      </c>
      <c r="H1423" s="2" t="s">
        <v>29</v>
      </c>
      <c r="I1423" s="3">
        <v>140</v>
      </c>
      <c r="J1423" s="3">
        <v>190</v>
      </c>
      <c r="K1423" s="4">
        <v>5</v>
      </c>
      <c r="O1423" s="3"/>
    </row>
    <row r="1424" spans="2:15">
      <c r="B1424" s="2" t="s">
        <v>1520</v>
      </c>
      <c r="C1424" s="2" t="s">
        <v>1457</v>
      </c>
      <c r="D1424" s="2" t="s">
        <v>1472</v>
      </c>
      <c r="E1424" s="2" t="s">
        <v>1463</v>
      </c>
      <c r="F1424" s="2" t="s">
        <v>15</v>
      </c>
      <c r="G1424" s="2" t="s">
        <v>1473</v>
      </c>
      <c r="H1424" s="2" t="s">
        <v>49</v>
      </c>
      <c r="I1424" s="3">
        <v>130</v>
      </c>
      <c r="J1424" s="3">
        <v>180</v>
      </c>
      <c r="K1424" s="4">
        <v>4</v>
      </c>
      <c r="O1424" s="3"/>
    </row>
    <row r="1425" spans="2:15">
      <c r="B1425" s="2" t="s">
        <v>1521</v>
      </c>
      <c r="C1425" s="2" t="s">
        <v>1457</v>
      </c>
      <c r="D1425" s="2" t="s">
        <v>1462</v>
      </c>
      <c r="E1425" s="2" t="s">
        <v>1459</v>
      </c>
      <c r="F1425" s="2" t="s">
        <v>20</v>
      </c>
      <c r="G1425" s="2" t="s">
        <v>1473</v>
      </c>
      <c r="H1425" s="2" t="s">
        <v>69</v>
      </c>
      <c r="I1425" s="3">
        <v>130</v>
      </c>
      <c r="J1425" s="3">
        <v>180</v>
      </c>
      <c r="K1425" s="4">
        <v>5</v>
      </c>
      <c r="O1425" s="3"/>
    </row>
    <row r="1426" spans="2:15">
      <c r="B1426" s="2" t="s">
        <v>1522</v>
      </c>
      <c r="C1426" s="2" t="s">
        <v>1457</v>
      </c>
      <c r="D1426" s="2" t="s">
        <v>1476</v>
      </c>
      <c r="E1426" s="2" t="s">
        <v>1463</v>
      </c>
      <c r="F1426" s="2" t="s">
        <v>15</v>
      </c>
      <c r="G1426" s="2" t="s">
        <v>1467</v>
      </c>
      <c r="H1426" s="2" t="s">
        <v>41</v>
      </c>
      <c r="I1426" s="3">
        <v>130</v>
      </c>
      <c r="J1426" s="3">
        <v>180</v>
      </c>
      <c r="K1426" s="4">
        <v>6</v>
      </c>
      <c r="O1426" s="3"/>
    </row>
    <row r="1427" spans="2:15">
      <c r="B1427" s="2" t="s">
        <v>1523</v>
      </c>
      <c r="C1427" s="2" t="s">
        <v>1457</v>
      </c>
      <c r="D1427" s="2" t="s">
        <v>1472</v>
      </c>
      <c r="E1427" s="2" t="s">
        <v>1459</v>
      </c>
      <c r="F1427" s="2" t="s">
        <v>15</v>
      </c>
      <c r="G1427" s="2" t="s">
        <v>1473</v>
      </c>
      <c r="H1427" s="2" t="s">
        <v>37</v>
      </c>
      <c r="I1427" s="3">
        <v>130</v>
      </c>
      <c r="J1427" s="3">
        <v>180</v>
      </c>
      <c r="K1427" s="4">
        <v>6</v>
      </c>
      <c r="O1427" s="3"/>
    </row>
    <row r="1428" spans="2:15">
      <c r="B1428" s="2" t="s">
        <v>1524</v>
      </c>
      <c r="C1428" s="2" t="s">
        <v>1457</v>
      </c>
      <c r="D1428" s="2" t="s">
        <v>1462</v>
      </c>
      <c r="E1428" s="2" t="s">
        <v>1463</v>
      </c>
      <c r="F1428" s="2" t="s">
        <v>15</v>
      </c>
      <c r="G1428" s="2" t="s">
        <v>1467</v>
      </c>
      <c r="H1428" s="2" t="s">
        <v>41</v>
      </c>
      <c r="I1428" s="3">
        <v>90</v>
      </c>
      <c r="J1428" s="3">
        <v>120</v>
      </c>
      <c r="K1428" s="4">
        <v>6</v>
      </c>
      <c r="O1428" s="3"/>
    </row>
    <row r="1429" spans="2:15">
      <c r="B1429" s="2" t="s">
        <v>1525</v>
      </c>
      <c r="C1429" s="2" t="s">
        <v>1457</v>
      </c>
      <c r="D1429" s="2" t="s">
        <v>1466</v>
      </c>
      <c r="E1429" s="2" t="s">
        <v>1463</v>
      </c>
      <c r="F1429" s="2" t="s">
        <v>15</v>
      </c>
      <c r="G1429" s="2" t="s">
        <v>1467</v>
      </c>
      <c r="H1429" s="2" t="s">
        <v>17</v>
      </c>
      <c r="I1429" s="3">
        <v>120</v>
      </c>
      <c r="J1429" s="3">
        <v>160</v>
      </c>
      <c r="K1429" s="4">
        <v>4</v>
      </c>
      <c r="O1429" s="3"/>
    </row>
    <row r="1430" spans="2:15">
      <c r="B1430" s="2" t="s">
        <v>1526</v>
      </c>
      <c r="C1430" s="2" t="s">
        <v>1457</v>
      </c>
      <c r="D1430" s="2" t="s">
        <v>1466</v>
      </c>
      <c r="E1430" s="2" t="s">
        <v>1463</v>
      </c>
      <c r="F1430" s="2" t="s">
        <v>20</v>
      </c>
      <c r="G1430" s="2" t="s">
        <v>1467</v>
      </c>
      <c r="H1430" s="2" t="s">
        <v>57</v>
      </c>
      <c r="I1430" s="3">
        <v>130</v>
      </c>
      <c r="J1430" s="3">
        <v>180</v>
      </c>
      <c r="K1430" s="4">
        <v>5</v>
      </c>
      <c r="O1430" s="3"/>
    </row>
    <row r="1431" spans="2:15">
      <c r="B1431" s="2" t="s">
        <v>1527</v>
      </c>
      <c r="C1431" s="2" t="s">
        <v>1457</v>
      </c>
      <c r="D1431" s="2" t="s">
        <v>1462</v>
      </c>
      <c r="E1431" s="2" t="s">
        <v>1463</v>
      </c>
      <c r="F1431" s="2" t="s">
        <v>20</v>
      </c>
      <c r="G1431" s="2" t="s">
        <v>1464</v>
      </c>
      <c r="H1431" s="2" t="s">
        <v>71</v>
      </c>
      <c r="I1431" s="3">
        <v>130</v>
      </c>
      <c r="J1431" s="3">
        <v>180</v>
      </c>
      <c r="K1431" s="4">
        <v>4</v>
      </c>
      <c r="O1431" s="3"/>
    </row>
    <row r="1432" spans="2:15">
      <c r="B1432" s="2" t="s">
        <v>1528</v>
      </c>
      <c r="C1432" s="2" t="s">
        <v>1457</v>
      </c>
      <c r="D1432" s="2" t="s">
        <v>1466</v>
      </c>
      <c r="E1432" s="2" t="s">
        <v>1459</v>
      </c>
      <c r="F1432" s="2" t="s">
        <v>15</v>
      </c>
      <c r="G1432" s="2" t="s">
        <v>1470</v>
      </c>
      <c r="H1432" s="2" t="s">
        <v>71</v>
      </c>
      <c r="I1432" s="3">
        <v>70</v>
      </c>
      <c r="J1432" s="3">
        <v>100</v>
      </c>
      <c r="K1432" s="4">
        <v>3</v>
      </c>
      <c r="O1432" s="3"/>
    </row>
    <row r="1433" spans="2:15">
      <c r="B1433" s="2" t="s">
        <v>1529</v>
      </c>
      <c r="C1433" s="2" t="s">
        <v>1457</v>
      </c>
      <c r="D1433" s="2" t="s">
        <v>1462</v>
      </c>
      <c r="E1433" s="2" t="s">
        <v>1463</v>
      </c>
      <c r="F1433" s="2" t="s">
        <v>20</v>
      </c>
      <c r="G1433" s="2" t="s">
        <v>1470</v>
      </c>
      <c r="H1433" s="2" t="s">
        <v>33</v>
      </c>
      <c r="I1433" s="3">
        <v>140</v>
      </c>
      <c r="J1433" s="3">
        <v>190</v>
      </c>
      <c r="K1433" s="4">
        <v>5</v>
      </c>
      <c r="O1433" s="3"/>
    </row>
    <row r="1434" spans="2:15">
      <c r="B1434" s="2" t="s">
        <v>1530</v>
      </c>
      <c r="C1434" s="2" t="s">
        <v>1457</v>
      </c>
      <c r="D1434" s="2" t="s">
        <v>1458</v>
      </c>
      <c r="E1434" s="2" t="s">
        <v>1463</v>
      </c>
      <c r="F1434" s="2" t="s">
        <v>15</v>
      </c>
      <c r="G1434" s="2" t="s">
        <v>1467</v>
      </c>
      <c r="H1434" s="2" t="s">
        <v>22</v>
      </c>
      <c r="I1434" s="3">
        <v>130</v>
      </c>
      <c r="J1434" s="3">
        <v>190</v>
      </c>
      <c r="K1434" s="4">
        <v>3</v>
      </c>
      <c r="O1434" s="3"/>
    </row>
    <row r="1435" spans="2:15">
      <c r="B1435" s="2" t="s">
        <v>1531</v>
      </c>
      <c r="C1435" s="2" t="s">
        <v>1457</v>
      </c>
      <c r="D1435" s="2" t="s">
        <v>1458</v>
      </c>
      <c r="E1435" s="2" t="s">
        <v>1463</v>
      </c>
      <c r="F1435" s="2" t="s">
        <v>20</v>
      </c>
      <c r="G1435" s="2" t="s">
        <v>1481</v>
      </c>
      <c r="H1435" s="2" t="s">
        <v>94</v>
      </c>
      <c r="I1435" s="3">
        <v>80</v>
      </c>
      <c r="J1435" s="3">
        <v>120</v>
      </c>
      <c r="K1435" s="4">
        <v>6</v>
      </c>
      <c r="O1435" s="3"/>
    </row>
    <row r="1436" spans="2:15">
      <c r="B1436" s="2" t="s">
        <v>1532</v>
      </c>
      <c r="C1436" s="2" t="s">
        <v>1457</v>
      </c>
      <c r="D1436" s="2" t="s">
        <v>1466</v>
      </c>
      <c r="E1436" s="2" t="s">
        <v>1459</v>
      </c>
      <c r="F1436" s="2" t="s">
        <v>15</v>
      </c>
      <c r="G1436" s="2" t="s">
        <v>1473</v>
      </c>
      <c r="H1436" s="2" t="s">
        <v>37</v>
      </c>
      <c r="I1436" s="3">
        <v>110</v>
      </c>
      <c r="J1436" s="3">
        <v>150</v>
      </c>
      <c r="K1436" s="4">
        <v>3</v>
      </c>
      <c r="O1436" s="3"/>
    </row>
    <row r="1437" spans="2:15">
      <c r="B1437" s="2" t="s">
        <v>1533</v>
      </c>
      <c r="C1437" s="2" t="s">
        <v>1457</v>
      </c>
      <c r="D1437" s="2" t="s">
        <v>1458</v>
      </c>
      <c r="E1437" s="2" t="s">
        <v>1463</v>
      </c>
      <c r="F1437" s="2" t="s">
        <v>15</v>
      </c>
      <c r="G1437" s="2" t="s">
        <v>1467</v>
      </c>
      <c r="H1437" s="2" t="s">
        <v>22</v>
      </c>
      <c r="I1437" s="3">
        <v>120</v>
      </c>
      <c r="J1437" s="3">
        <v>170</v>
      </c>
      <c r="K1437" s="4">
        <v>4</v>
      </c>
      <c r="O1437" s="3"/>
    </row>
    <row r="1438" spans="2:15">
      <c r="B1438" s="2" t="s">
        <v>1534</v>
      </c>
      <c r="C1438" s="2" t="s">
        <v>1457</v>
      </c>
      <c r="D1438" s="2" t="s">
        <v>1472</v>
      </c>
      <c r="E1438" s="2" t="s">
        <v>1459</v>
      </c>
      <c r="F1438" s="2" t="s">
        <v>20</v>
      </c>
      <c r="G1438" s="2" t="s">
        <v>1460</v>
      </c>
      <c r="H1438" s="2" t="s">
        <v>51</v>
      </c>
      <c r="I1438" s="3">
        <v>90</v>
      </c>
      <c r="J1438" s="3">
        <v>130</v>
      </c>
      <c r="K1438" s="4">
        <v>4</v>
      </c>
      <c r="O1438" s="3"/>
    </row>
    <row r="1439" spans="2:15">
      <c r="B1439" s="2" t="s">
        <v>1535</v>
      </c>
      <c r="C1439" s="2" t="s">
        <v>1457</v>
      </c>
      <c r="D1439" s="2" t="s">
        <v>1466</v>
      </c>
      <c r="E1439" s="2" t="s">
        <v>1463</v>
      </c>
      <c r="F1439" s="2" t="s">
        <v>20</v>
      </c>
      <c r="G1439" s="2" t="s">
        <v>1460</v>
      </c>
      <c r="H1439" s="2" t="s">
        <v>94</v>
      </c>
      <c r="I1439" s="3">
        <v>130</v>
      </c>
      <c r="J1439" s="3">
        <v>190</v>
      </c>
      <c r="K1439" s="4">
        <v>3</v>
      </c>
      <c r="O1439" s="3"/>
    </row>
    <row r="1440" spans="2:15">
      <c r="B1440" s="2" t="s">
        <v>1536</v>
      </c>
      <c r="C1440" s="2" t="s">
        <v>1457</v>
      </c>
      <c r="D1440" s="2" t="s">
        <v>1462</v>
      </c>
      <c r="E1440" s="2" t="s">
        <v>1463</v>
      </c>
      <c r="F1440" s="2" t="s">
        <v>15</v>
      </c>
      <c r="G1440" s="2" t="s">
        <v>1470</v>
      </c>
      <c r="H1440" s="2" t="s">
        <v>25</v>
      </c>
      <c r="I1440" s="3">
        <v>90</v>
      </c>
      <c r="J1440" s="3">
        <v>130</v>
      </c>
      <c r="K1440" s="4">
        <v>3</v>
      </c>
      <c r="O1440" s="3"/>
    </row>
    <row r="1441" spans="2:15">
      <c r="B1441" s="2" t="s">
        <v>1537</v>
      </c>
      <c r="C1441" s="2" t="s">
        <v>1457</v>
      </c>
      <c r="D1441" s="2" t="s">
        <v>1466</v>
      </c>
      <c r="E1441" s="2" t="s">
        <v>1463</v>
      </c>
      <c r="F1441" s="2" t="s">
        <v>20</v>
      </c>
      <c r="G1441" s="2" t="s">
        <v>1470</v>
      </c>
      <c r="H1441" s="2" t="s">
        <v>37</v>
      </c>
      <c r="I1441" s="3">
        <v>90</v>
      </c>
      <c r="J1441" s="3">
        <v>130</v>
      </c>
      <c r="K1441" s="4">
        <v>5</v>
      </c>
      <c r="O1441" s="3"/>
    </row>
    <row r="1442" spans="2:15">
      <c r="B1442" s="2" t="s">
        <v>1538</v>
      </c>
      <c r="C1442" s="2" t="s">
        <v>1457</v>
      </c>
      <c r="D1442" s="2" t="s">
        <v>1472</v>
      </c>
      <c r="E1442" s="2" t="s">
        <v>1459</v>
      </c>
      <c r="F1442" s="2" t="s">
        <v>20</v>
      </c>
      <c r="G1442" s="2" t="s">
        <v>1470</v>
      </c>
      <c r="H1442" s="2" t="s">
        <v>51</v>
      </c>
      <c r="I1442" s="3">
        <v>80</v>
      </c>
      <c r="J1442" s="3">
        <v>110</v>
      </c>
      <c r="K1442" s="4">
        <v>3</v>
      </c>
      <c r="O1442" s="3"/>
    </row>
    <row r="1443" spans="2:15">
      <c r="B1443" s="2" t="s">
        <v>1539</v>
      </c>
      <c r="C1443" s="2" t="s">
        <v>1457</v>
      </c>
      <c r="D1443" s="2" t="s">
        <v>1466</v>
      </c>
      <c r="E1443" s="2" t="s">
        <v>1463</v>
      </c>
      <c r="F1443" s="2" t="s">
        <v>20</v>
      </c>
      <c r="G1443" s="2" t="s">
        <v>1467</v>
      </c>
      <c r="H1443" s="2" t="s">
        <v>71</v>
      </c>
      <c r="I1443" s="3">
        <v>70</v>
      </c>
      <c r="J1443" s="3">
        <v>100</v>
      </c>
      <c r="K1443" s="4">
        <v>3</v>
      </c>
      <c r="O1443" s="3"/>
    </row>
    <row r="1444" spans="2:15">
      <c r="B1444" s="2" t="s">
        <v>1540</v>
      </c>
      <c r="C1444" s="2" t="s">
        <v>1457</v>
      </c>
      <c r="D1444" s="2" t="s">
        <v>1462</v>
      </c>
      <c r="E1444" s="2" t="s">
        <v>1459</v>
      </c>
      <c r="F1444" s="2" t="s">
        <v>15</v>
      </c>
      <c r="G1444" s="2" t="s">
        <v>1464</v>
      </c>
      <c r="H1444" s="2" t="s">
        <v>75</v>
      </c>
      <c r="I1444" s="3">
        <v>80</v>
      </c>
      <c r="J1444" s="3">
        <v>110</v>
      </c>
      <c r="K1444" s="4">
        <v>5</v>
      </c>
      <c r="O1444" s="3"/>
    </row>
    <row r="1445" spans="2:15">
      <c r="B1445" s="2" t="s">
        <v>1541</v>
      </c>
      <c r="C1445" s="2" t="s">
        <v>1457</v>
      </c>
      <c r="D1445" s="2" t="s">
        <v>1476</v>
      </c>
      <c r="E1445" s="2" t="s">
        <v>1463</v>
      </c>
      <c r="F1445" s="2" t="s">
        <v>15</v>
      </c>
      <c r="G1445" s="2" t="s">
        <v>1481</v>
      </c>
      <c r="H1445" s="2" t="s">
        <v>41</v>
      </c>
      <c r="I1445" s="3">
        <v>130</v>
      </c>
      <c r="J1445" s="3">
        <v>180</v>
      </c>
      <c r="K1445" s="4">
        <v>5</v>
      </c>
      <c r="O1445" s="3"/>
    </row>
    <row r="1446" spans="2:15">
      <c r="B1446" s="2" t="s">
        <v>1542</v>
      </c>
      <c r="C1446" s="2" t="s">
        <v>1457</v>
      </c>
      <c r="D1446" s="2" t="s">
        <v>1462</v>
      </c>
      <c r="E1446" s="2" t="s">
        <v>1463</v>
      </c>
      <c r="F1446" s="2" t="s">
        <v>15</v>
      </c>
      <c r="G1446" s="2" t="s">
        <v>1470</v>
      </c>
      <c r="H1446" s="2" t="s">
        <v>25</v>
      </c>
      <c r="I1446" s="3">
        <v>110</v>
      </c>
      <c r="J1446" s="3">
        <v>150</v>
      </c>
      <c r="K1446" s="4">
        <v>3</v>
      </c>
      <c r="O1446" s="3"/>
    </row>
    <row r="1447" spans="2:15">
      <c r="B1447" s="2" t="s">
        <v>1543</v>
      </c>
      <c r="C1447" s="2" t="s">
        <v>1457</v>
      </c>
      <c r="D1447" s="2" t="s">
        <v>1472</v>
      </c>
      <c r="E1447" s="2" t="s">
        <v>1459</v>
      </c>
      <c r="F1447" s="2" t="s">
        <v>20</v>
      </c>
      <c r="G1447" s="2" t="s">
        <v>1470</v>
      </c>
      <c r="H1447" s="2" t="s">
        <v>59</v>
      </c>
      <c r="I1447" s="3">
        <v>120</v>
      </c>
      <c r="J1447" s="3">
        <v>160</v>
      </c>
      <c r="K1447" s="4">
        <v>4</v>
      </c>
      <c r="O1447" s="3"/>
    </row>
    <row r="1448" spans="2:15">
      <c r="B1448" s="2" t="s">
        <v>1544</v>
      </c>
      <c r="C1448" s="2" t="s">
        <v>1457</v>
      </c>
      <c r="D1448" s="2" t="s">
        <v>1458</v>
      </c>
      <c r="E1448" s="2" t="s">
        <v>1459</v>
      </c>
      <c r="F1448" s="2" t="s">
        <v>15</v>
      </c>
      <c r="G1448" s="2" t="s">
        <v>1467</v>
      </c>
      <c r="H1448" s="2" t="s">
        <v>17</v>
      </c>
      <c r="I1448" s="3">
        <v>70</v>
      </c>
      <c r="J1448" s="3">
        <v>100</v>
      </c>
      <c r="K1448" s="4">
        <v>5</v>
      </c>
      <c r="O1448" s="3"/>
    </row>
    <row r="1449" spans="2:15">
      <c r="B1449" s="2" t="s">
        <v>1545</v>
      </c>
      <c r="C1449" s="2" t="s">
        <v>1457</v>
      </c>
      <c r="D1449" s="2" t="s">
        <v>1458</v>
      </c>
      <c r="E1449" s="2" t="s">
        <v>1463</v>
      </c>
      <c r="F1449" s="2" t="s">
        <v>15</v>
      </c>
      <c r="G1449" s="2" t="s">
        <v>1467</v>
      </c>
      <c r="H1449" s="2" t="s">
        <v>94</v>
      </c>
      <c r="I1449" s="3">
        <v>130</v>
      </c>
      <c r="J1449" s="3">
        <v>180</v>
      </c>
      <c r="K1449" s="4">
        <v>3</v>
      </c>
      <c r="O1449" s="3"/>
    </row>
    <row r="1450" spans="2:15">
      <c r="B1450" s="2" t="s">
        <v>1546</v>
      </c>
      <c r="C1450" s="2" t="s">
        <v>1457</v>
      </c>
      <c r="D1450" s="2" t="s">
        <v>1466</v>
      </c>
      <c r="E1450" s="2" t="s">
        <v>1463</v>
      </c>
      <c r="F1450" s="2" t="s">
        <v>20</v>
      </c>
      <c r="G1450" s="2" t="s">
        <v>1467</v>
      </c>
      <c r="H1450" s="2" t="s">
        <v>49</v>
      </c>
      <c r="I1450" s="3">
        <v>110</v>
      </c>
      <c r="J1450" s="3">
        <v>160</v>
      </c>
      <c r="K1450" s="4">
        <v>6</v>
      </c>
      <c r="O1450" s="3"/>
    </row>
    <row r="1451" spans="2:15">
      <c r="B1451" s="2" t="s">
        <v>1547</v>
      </c>
      <c r="C1451" s="2" t="s">
        <v>1457</v>
      </c>
      <c r="D1451" s="2" t="s">
        <v>1458</v>
      </c>
      <c r="E1451" s="2" t="s">
        <v>1463</v>
      </c>
      <c r="F1451" s="2" t="s">
        <v>15</v>
      </c>
      <c r="G1451" s="2" t="s">
        <v>1467</v>
      </c>
      <c r="H1451" s="2" t="s">
        <v>25</v>
      </c>
      <c r="I1451" s="3">
        <v>100</v>
      </c>
      <c r="J1451" s="3">
        <v>140</v>
      </c>
      <c r="K1451" s="4">
        <v>3</v>
      </c>
      <c r="O1451" s="3"/>
    </row>
    <row r="1452" spans="2:15">
      <c r="B1452" s="2" t="s">
        <v>1548</v>
      </c>
      <c r="C1452" s="2" t="s">
        <v>1457</v>
      </c>
      <c r="D1452" s="2" t="s">
        <v>1476</v>
      </c>
      <c r="E1452" s="2" t="s">
        <v>1463</v>
      </c>
      <c r="F1452" s="2" t="s">
        <v>20</v>
      </c>
      <c r="G1452" s="2" t="s">
        <v>1467</v>
      </c>
      <c r="H1452" s="2" t="s">
        <v>59</v>
      </c>
      <c r="I1452" s="3">
        <v>110</v>
      </c>
      <c r="J1452" s="3">
        <v>160</v>
      </c>
      <c r="K1452" s="4">
        <v>5</v>
      </c>
      <c r="O1452" s="3"/>
    </row>
    <row r="1453" spans="2:15">
      <c r="B1453" s="2" t="s">
        <v>1549</v>
      </c>
      <c r="C1453" s="2" t="s">
        <v>1457</v>
      </c>
      <c r="D1453" s="2" t="s">
        <v>1462</v>
      </c>
      <c r="E1453" s="2" t="s">
        <v>1459</v>
      </c>
      <c r="F1453" s="2" t="s">
        <v>20</v>
      </c>
      <c r="G1453" s="2" t="s">
        <v>1470</v>
      </c>
      <c r="H1453" s="2" t="s">
        <v>43</v>
      </c>
      <c r="I1453" s="3">
        <v>90</v>
      </c>
      <c r="J1453" s="3">
        <v>130</v>
      </c>
      <c r="K1453" s="4">
        <v>5</v>
      </c>
      <c r="O1453" s="3"/>
    </row>
    <row r="1454" spans="2:15">
      <c r="B1454" s="2" t="s">
        <v>1550</v>
      </c>
      <c r="C1454" s="2" t="s">
        <v>1457</v>
      </c>
      <c r="D1454" s="2" t="s">
        <v>1476</v>
      </c>
      <c r="E1454" s="2" t="s">
        <v>1459</v>
      </c>
      <c r="F1454" s="2" t="s">
        <v>15</v>
      </c>
      <c r="G1454" s="2" t="s">
        <v>1473</v>
      </c>
      <c r="H1454" s="2" t="s">
        <v>51</v>
      </c>
      <c r="I1454" s="3">
        <v>140</v>
      </c>
      <c r="J1454" s="3">
        <v>200</v>
      </c>
      <c r="K1454" s="4">
        <v>4</v>
      </c>
      <c r="O1454" s="3"/>
    </row>
    <row r="1455" spans="2:15">
      <c r="B1455" s="2" t="s">
        <v>1551</v>
      </c>
      <c r="C1455" s="2" t="s">
        <v>1457</v>
      </c>
      <c r="D1455" s="2" t="s">
        <v>1462</v>
      </c>
      <c r="E1455" s="2" t="s">
        <v>1459</v>
      </c>
      <c r="F1455" s="2" t="s">
        <v>20</v>
      </c>
      <c r="G1455" s="2" t="s">
        <v>1473</v>
      </c>
      <c r="H1455" s="2" t="s">
        <v>22</v>
      </c>
      <c r="I1455" s="3">
        <v>100</v>
      </c>
      <c r="J1455" s="3">
        <v>140</v>
      </c>
      <c r="K1455" s="4">
        <v>3</v>
      </c>
      <c r="O1455" s="3"/>
    </row>
    <row r="1456" spans="2:15">
      <c r="B1456" s="2" t="s">
        <v>1552</v>
      </c>
      <c r="C1456" s="2" t="s">
        <v>1457</v>
      </c>
      <c r="D1456" s="2" t="s">
        <v>1472</v>
      </c>
      <c r="E1456" s="2" t="s">
        <v>1463</v>
      </c>
      <c r="F1456" s="2" t="s">
        <v>15</v>
      </c>
      <c r="G1456" s="2" t="s">
        <v>1460</v>
      </c>
      <c r="H1456" s="2" t="s">
        <v>33</v>
      </c>
      <c r="I1456" s="3">
        <v>90</v>
      </c>
      <c r="J1456" s="3">
        <v>120</v>
      </c>
      <c r="K1456" s="4">
        <v>6</v>
      </c>
      <c r="O1456" s="3"/>
    </row>
    <row r="1457" spans="2:15">
      <c r="B1457" s="2" t="s">
        <v>1553</v>
      </c>
      <c r="C1457" s="2" t="s">
        <v>1457</v>
      </c>
      <c r="D1457" s="2" t="s">
        <v>1462</v>
      </c>
      <c r="E1457" s="2" t="s">
        <v>1463</v>
      </c>
      <c r="F1457" s="2" t="s">
        <v>20</v>
      </c>
      <c r="G1457" s="2" t="s">
        <v>1467</v>
      </c>
      <c r="H1457" s="2" t="s">
        <v>49</v>
      </c>
      <c r="I1457" s="3">
        <v>80</v>
      </c>
      <c r="J1457" s="3">
        <v>120</v>
      </c>
      <c r="K1457" s="4">
        <v>4</v>
      </c>
      <c r="O1457" s="3"/>
    </row>
    <row r="1458" spans="2:15">
      <c r="B1458" s="2" t="s">
        <v>1554</v>
      </c>
      <c r="C1458" s="2" t="s">
        <v>1457</v>
      </c>
      <c r="D1458" s="2" t="s">
        <v>1472</v>
      </c>
      <c r="E1458" s="2" t="s">
        <v>1463</v>
      </c>
      <c r="F1458" s="2" t="s">
        <v>15</v>
      </c>
      <c r="G1458" s="2" t="s">
        <v>1467</v>
      </c>
      <c r="H1458" s="2" t="s">
        <v>62</v>
      </c>
      <c r="I1458" s="3">
        <v>80</v>
      </c>
      <c r="J1458" s="3">
        <v>110</v>
      </c>
      <c r="K1458" s="4">
        <v>6</v>
      </c>
      <c r="O1458" s="3"/>
    </row>
    <row r="1459" spans="2:15">
      <c r="B1459" s="2" t="s">
        <v>1555</v>
      </c>
      <c r="C1459" s="2" t="s">
        <v>1457</v>
      </c>
      <c r="D1459" s="2" t="s">
        <v>1462</v>
      </c>
      <c r="E1459" s="2" t="s">
        <v>1463</v>
      </c>
      <c r="F1459" s="2" t="s">
        <v>20</v>
      </c>
      <c r="G1459" s="2" t="s">
        <v>1481</v>
      </c>
      <c r="H1459" s="2" t="s">
        <v>43</v>
      </c>
      <c r="I1459" s="3">
        <v>100</v>
      </c>
      <c r="J1459" s="3">
        <v>140</v>
      </c>
      <c r="K1459" s="4">
        <v>3</v>
      </c>
      <c r="O1459" s="3"/>
    </row>
    <row r="1460" spans="2:15">
      <c r="B1460" s="2" t="s">
        <v>1556</v>
      </c>
      <c r="C1460" s="2" t="s">
        <v>1457</v>
      </c>
      <c r="D1460" s="2" t="s">
        <v>1472</v>
      </c>
      <c r="E1460" s="2" t="s">
        <v>1459</v>
      </c>
      <c r="F1460" s="2" t="s">
        <v>20</v>
      </c>
      <c r="G1460" s="2" t="s">
        <v>1464</v>
      </c>
      <c r="H1460" s="2" t="s">
        <v>41</v>
      </c>
      <c r="I1460" s="3">
        <v>80</v>
      </c>
      <c r="J1460" s="3">
        <v>110</v>
      </c>
      <c r="K1460" s="4">
        <v>4</v>
      </c>
      <c r="O1460" s="3"/>
    </row>
    <row r="1461" spans="2:15">
      <c r="B1461" s="2" t="s">
        <v>1557</v>
      </c>
      <c r="C1461" s="2" t="s">
        <v>1457</v>
      </c>
      <c r="D1461" s="2" t="s">
        <v>1476</v>
      </c>
      <c r="E1461" s="2" t="s">
        <v>1459</v>
      </c>
      <c r="F1461" s="2" t="s">
        <v>15</v>
      </c>
      <c r="G1461" s="2" t="s">
        <v>1473</v>
      </c>
      <c r="H1461" s="2" t="s">
        <v>71</v>
      </c>
      <c r="I1461" s="3">
        <v>110</v>
      </c>
      <c r="J1461" s="3">
        <v>150</v>
      </c>
      <c r="K1461" s="4">
        <v>4</v>
      </c>
      <c r="O1461" s="3"/>
    </row>
    <row r="1462" spans="2:15">
      <c r="B1462" s="2" t="s">
        <v>1558</v>
      </c>
      <c r="C1462" s="2" t="s">
        <v>1457</v>
      </c>
      <c r="D1462" s="2" t="s">
        <v>1476</v>
      </c>
      <c r="E1462" s="2" t="s">
        <v>1463</v>
      </c>
      <c r="F1462" s="2" t="s">
        <v>15</v>
      </c>
      <c r="G1462" s="2" t="s">
        <v>1467</v>
      </c>
      <c r="H1462" s="2" t="s">
        <v>57</v>
      </c>
      <c r="I1462" s="3">
        <v>120</v>
      </c>
      <c r="J1462" s="3">
        <v>170</v>
      </c>
      <c r="K1462" s="4">
        <v>4</v>
      </c>
      <c r="O1462" s="3"/>
    </row>
    <row r="1463" spans="2:15">
      <c r="B1463" s="2" t="s">
        <v>1559</v>
      </c>
      <c r="C1463" s="2" t="s">
        <v>1457</v>
      </c>
      <c r="D1463" s="2" t="s">
        <v>1476</v>
      </c>
      <c r="E1463" s="2" t="s">
        <v>1459</v>
      </c>
      <c r="F1463" s="2" t="s">
        <v>15</v>
      </c>
      <c r="G1463" s="2" t="s">
        <v>1481</v>
      </c>
      <c r="H1463" s="2" t="s">
        <v>57</v>
      </c>
      <c r="I1463" s="3">
        <v>80</v>
      </c>
      <c r="J1463" s="3">
        <v>120</v>
      </c>
      <c r="K1463" s="4">
        <v>5</v>
      </c>
      <c r="O1463" s="3"/>
    </row>
    <row r="1464" spans="2:15">
      <c r="B1464" s="2" t="s">
        <v>1560</v>
      </c>
      <c r="C1464" s="2" t="s">
        <v>1457</v>
      </c>
      <c r="D1464" s="2" t="s">
        <v>1476</v>
      </c>
      <c r="E1464" s="2" t="s">
        <v>1463</v>
      </c>
      <c r="F1464" s="2" t="s">
        <v>20</v>
      </c>
      <c r="G1464" s="2" t="s">
        <v>1464</v>
      </c>
      <c r="H1464" s="2" t="s">
        <v>101</v>
      </c>
      <c r="I1464" s="3">
        <v>100</v>
      </c>
      <c r="J1464" s="3">
        <v>140</v>
      </c>
      <c r="K1464" s="4">
        <v>4</v>
      </c>
      <c r="O1464" s="3"/>
    </row>
    <row r="1465" spans="2:15">
      <c r="B1465" s="2" t="s">
        <v>1561</v>
      </c>
      <c r="C1465" s="2" t="s">
        <v>1457</v>
      </c>
      <c r="D1465" s="2" t="s">
        <v>1458</v>
      </c>
      <c r="E1465" s="2" t="s">
        <v>1463</v>
      </c>
      <c r="F1465" s="2" t="s">
        <v>15</v>
      </c>
      <c r="G1465" s="2" t="s">
        <v>1464</v>
      </c>
      <c r="H1465" s="2" t="s">
        <v>37</v>
      </c>
      <c r="I1465" s="3">
        <v>70</v>
      </c>
      <c r="J1465" s="3">
        <v>100</v>
      </c>
      <c r="K1465" s="4">
        <v>5</v>
      </c>
      <c r="O1465" s="3"/>
    </row>
    <row r="1466" spans="2:15">
      <c r="B1466" s="2" t="s">
        <v>1562</v>
      </c>
      <c r="C1466" s="2" t="s">
        <v>1457</v>
      </c>
      <c r="D1466" s="2" t="s">
        <v>1462</v>
      </c>
      <c r="E1466" s="2" t="s">
        <v>1463</v>
      </c>
      <c r="F1466" s="2" t="s">
        <v>15</v>
      </c>
      <c r="G1466" s="2" t="s">
        <v>1467</v>
      </c>
      <c r="H1466" s="2" t="s">
        <v>59</v>
      </c>
      <c r="I1466" s="3">
        <v>130</v>
      </c>
      <c r="J1466" s="3">
        <v>180</v>
      </c>
      <c r="K1466" s="4">
        <v>3</v>
      </c>
      <c r="O1466" s="3"/>
    </row>
    <row r="1467" spans="2:15">
      <c r="B1467" s="2" t="s">
        <v>1563</v>
      </c>
      <c r="C1467" s="2" t="s">
        <v>1457</v>
      </c>
      <c r="D1467" s="2" t="s">
        <v>1462</v>
      </c>
      <c r="E1467" s="2" t="s">
        <v>1459</v>
      </c>
      <c r="F1467" s="2" t="s">
        <v>20</v>
      </c>
      <c r="G1467" s="2" t="s">
        <v>1467</v>
      </c>
      <c r="H1467" s="2" t="s">
        <v>104</v>
      </c>
      <c r="I1467" s="3">
        <v>110</v>
      </c>
      <c r="J1467" s="3">
        <v>160</v>
      </c>
      <c r="K1467" s="4">
        <v>4</v>
      </c>
      <c r="O1467" s="3"/>
    </row>
    <row r="1468" spans="2:15">
      <c r="B1468" s="2" t="s">
        <v>1564</v>
      </c>
      <c r="C1468" s="2" t="s">
        <v>1457</v>
      </c>
      <c r="D1468" s="2" t="s">
        <v>1476</v>
      </c>
      <c r="E1468" s="2" t="s">
        <v>1463</v>
      </c>
      <c r="F1468" s="2" t="s">
        <v>20</v>
      </c>
      <c r="G1468" s="2" t="s">
        <v>1473</v>
      </c>
      <c r="H1468" s="2" t="s">
        <v>62</v>
      </c>
      <c r="I1468" s="3">
        <v>130</v>
      </c>
      <c r="J1468" s="3">
        <v>180</v>
      </c>
      <c r="K1468" s="4">
        <v>6</v>
      </c>
      <c r="O1468" s="3"/>
    </row>
    <row r="1469" spans="2:15">
      <c r="B1469" s="2" t="s">
        <v>1565</v>
      </c>
      <c r="C1469" s="2" t="s">
        <v>1457</v>
      </c>
      <c r="D1469" s="2" t="s">
        <v>1476</v>
      </c>
      <c r="E1469" s="2" t="s">
        <v>1463</v>
      </c>
      <c r="F1469" s="2" t="s">
        <v>15</v>
      </c>
      <c r="G1469" s="2" t="s">
        <v>1470</v>
      </c>
      <c r="H1469" s="2" t="s">
        <v>59</v>
      </c>
      <c r="I1469" s="3">
        <v>110</v>
      </c>
      <c r="J1469" s="3">
        <v>160</v>
      </c>
      <c r="K1469" s="4">
        <v>3</v>
      </c>
      <c r="O1469" s="3"/>
    </row>
    <row r="1470" spans="2:15">
      <c r="B1470" s="2" t="s">
        <v>1566</v>
      </c>
      <c r="C1470" s="2" t="s">
        <v>1457</v>
      </c>
      <c r="D1470" s="2" t="s">
        <v>1472</v>
      </c>
      <c r="E1470" s="2" t="s">
        <v>1463</v>
      </c>
      <c r="F1470" s="2" t="s">
        <v>20</v>
      </c>
      <c r="G1470" s="2" t="s">
        <v>1467</v>
      </c>
      <c r="H1470" s="2" t="s">
        <v>62</v>
      </c>
      <c r="I1470" s="3">
        <v>140</v>
      </c>
      <c r="J1470" s="3">
        <v>190</v>
      </c>
      <c r="K1470" s="4">
        <v>6</v>
      </c>
      <c r="O1470" s="3"/>
    </row>
    <row r="1471" spans="2:15">
      <c r="B1471" s="2" t="s">
        <v>1567</v>
      </c>
      <c r="C1471" s="2" t="s">
        <v>1457</v>
      </c>
      <c r="D1471" s="2" t="s">
        <v>1462</v>
      </c>
      <c r="E1471" s="2" t="s">
        <v>1463</v>
      </c>
      <c r="F1471" s="2" t="s">
        <v>20</v>
      </c>
      <c r="G1471" s="2" t="s">
        <v>1467</v>
      </c>
      <c r="H1471" s="2" t="s">
        <v>101</v>
      </c>
      <c r="I1471" s="3">
        <v>80</v>
      </c>
      <c r="J1471" s="3">
        <v>110</v>
      </c>
      <c r="K1471" s="4">
        <v>6</v>
      </c>
      <c r="O1471" s="3"/>
    </row>
    <row r="1472" spans="2:15">
      <c r="B1472" s="2" t="s">
        <v>1568</v>
      </c>
      <c r="C1472" s="2" t="s">
        <v>1457</v>
      </c>
      <c r="D1472" s="2" t="s">
        <v>1458</v>
      </c>
      <c r="E1472" s="2" t="s">
        <v>1459</v>
      </c>
      <c r="F1472" s="2" t="s">
        <v>15</v>
      </c>
      <c r="G1472" s="2" t="s">
        <v>1467</v>
      </c>
      <c r="H1472" s="2" t="s">
        <v>51</v>
      </c>
      <c r="I1472" s="3">
        <v>90</v>
      </c>
      <c r="J1472" s="3">
        <v>120</v>
      </c>
      <c r="K1472" s="4">
        <v>5</v>
      </c>
      <c r="O1472" s="3"/>
    </row>
    <row r="1473" spans="2:15">
      <c r="B1473" s="2" t="s">
        <v>1569</v>
      </c>
      <c r="C1473" s="2" t="s">
        <v>1457</v>
      </c>
      <c r="D1473" s="2" t="s">
        <v>1462</v>
      </c>
      <c r="E1473" s="2" t="s">
        <v>1459</v>
      </c>
      <c r="F1473" s="2" t="s">
        <v>20</v>
      </c>
      <c r="G1473" s="2" t="s">
        <v>1467</v>
      </c>
      <c r="H1473" s="2" t="s">
        <v>69</v>
      </c>
      <c r="I1473" s="3">
        <v>90</v>
      </c>
      <c r="J1473" s="3">
        <v>120</v>
      </c>
      <c r="K1473" s="4">
        <v>5</v>
      </c>
      <c r="O1473" s="3"/>
    </row>
    <row r="1474" spans="2:15">
      <c r="B1474" s="2" t="s">
        <v>1570</v>
      </c>
      <c r="C1474" s="2" t="s">
        <v>1457</v>
      </c>
      <c r="D1474" s="2" t="s">
        <v>1462</v>
      </c>
      <c r="E1474" s="2" t="s">
        <v>1463</v>
      </c>
      <c r="F1474" s="2" t="s">
        <v>15</v>
      </c>
      <c r="G1474" s="2" t="s">
        <v>1467</v>
      </c>
      <c r="H1474" s="2" t="s">
        <v>64</v>
      </c>
      <c r="I1474" s="3">
        <v>80</v>
      </c>
      <c r="J1474" s="3">
        <v>120</v>
      </c>
      <c r="K1474" s="4">
        <v>3</v>
      </c>
      <c r="O1474" s="3"/>
    </row>
    <row r="1475" spans="2:15">
      <c r="B1475" s="2" t="s">
        <v>1571</v>
      </c>
      <c r="C1475" s="2" t="s">
        <v>1457</v>
      </c>
      <c r="D1475" s="2" t="s">
        <v>1472</v>
      </c>
      <c r="E1475" s="2" t="s">
        <v>1463</v>
      </c>
      <c r="F1475" s="2" t="s">
        <v>20</v>
      </c>
      <c r="G1475" s="2" t="s">
        <v>1473</v>
      </c>
      <c r="H1475" s="2" t="s">
        <v>37</v>
      </c>
      <c r="I1475" s="3">
        <v>80</v>
      </c>
      <c r="J1475" s="3">
        <v>110</v>
      </c>
      <c r="K1475" s="4">
        <v>5</v>
      </c>
      <c r="O1475" s="3"/>
    </row>
    <row r="1476" spans="2:15">
      <c r="B1476" s="2" t="s">
        <v>1572</v>
      </c>
      <c r="C1476" s="2" t="s">
        <v>1457</v>
      </c>
      <c r="D1476" s="2" t="s">
        <v>1462</v>
      </c>
      <c r="E1476" s="2" t="s">
        <v>1463</v>
      </c>
      <c r="F1476" s="2" t="s">
        <v>20</v>
      </c>
      <c r="G1476" s="2" t="s">
        <v>1473</v>
      </c>
      <c r="H1476" s="2" t="s">
        <v>37</v>
      </c>
      <c r="I1476" s="3">
        <v>120</v>
      </c>
      <c r="J1476" s="3">
        <v>180</v>
      </c>
      <c r="K1476" s="4">
        <v>4</v>
      </c>
      <c r="O1476" s="3"/>
    </row>
    <row r="1477" spans="2:15">
      <c r="B1477" s="2" t="s">
        <v>1573</v>
      </c>
      <c r="C1477" s="2" t="s">
        <v>1457</v>
      </c>
      <c r="D1477" s="2" t="s">
        <v>1476</v>
      </c>
      <c r="E1477" s="2" t="s">
        <v>1463</v>
      </c>
      <c r="F1477" s="2" t="s">
        <v>20</v>
      </c>
      <c r="G1477" s="2" t="s">
        <v>1467</v>
      </c>
      <c r="H1477" s="2" t="s">
        <v>59</v>
      </c>
      <c r="I1477" s="3">
        <v>120</v>
      </c>
      <c r="J1477" s="3">
        <v>170</v>
      </c>
      <c r="K1477" s="4">
        <v>3</v>
      </c>
      <c r="O1477" s="3"/>
    </row>
    <row r="1478" spans="2:15">
      <c r="B1478" s="2" t="s">
        <v>1574</v>
      </c>
      <c r="C1478" s="2" t="s">
        <v>1457</v>
      </c>
      <c r="D1478" s="2" t="s">
        <v>1476</v>
      </c>
      <c r="E1478" s="2" t="s">
        <v>1463</v>
      </c>
      <c r="F1478" s="2" t="s">
        <v>15</v>
      </c>
      <c r="G1478" s="2" t="s">
        <v>1481</v>
      </c>
      <c r="H1478" s="2" t="s">
        <v>69</v>
      </c>
      <c r="I1478" s="3">
        <v>130</v>
      </c>
      <c r="J1478" s="3">
        <v>180</v>
      </c>
      <c r="K1478" s="4">
        <v>3</v>
      </c>
      <c r="O1478" s="3"/>
    </row>
    <row r="1479" spans="2:15">
      <c r="B1479" s="2" t="s">
        <v>1575</v>
      </c>
      <c r="C1479" s="2" t="s">
        <v>1457</v>
      </c>
      <c r="D1479" s="2" t="s">
        <v>1466</v>
      </c>
      <c r="E1479" s="2" t="s">
        <v>1459</v>
      </c>
      <c r="F1479" s="2" t="s">
        <v>15</v>
      </c>
      <c r="G1479" s="2" t="s">
        <v>1467</v>
      </c>
      <c r="H1479" s="2" t="s">
        <v>75</v>
      </c>
      <c r="I1479" s="3">
        <v>80</v>
      </c>
      <c r="J1479" s="3">
        <v>120</v>
      </c>
      <c r="K1479" s="4">
        <v>4</v>
      </c>
      <c r="O1479" s="3"/>
    </row>
    <row r="1480" spans="2:15">
      <c r="B1480" s="2" t="s">
        <v>1576</v>
      </c>
      <c r="C1480" s="2" t="s">
        <v>1457</v>
      </c>
      <c r="D1480" s="2" t="s">
        <v>1458</v>
      </c>
      <c r="E1480" s="2" t="s">
        <v>1463</v>
      </c>
      <c r="F1480" s="2" t="s">
        <v>15</v>
      </c>
      <c r="G1480" s="2" t="s">
        <v>1467</v>
      </c>
      <c r="H1480" s="2" t="s">
        <v>37</v>
      </c>
      <c r="I1480" s="3">
        <v>70</v>
      </c>
      <c r="J1480" s="3">
        <v>100</v>
      </c>
      <c r="K1480" s="4">
        <v>4</v>
      </c>
      <c r="O1480" s="3"/>
    </row>
    <row r="1481" spans="2:15">
      <c r="B1481" s="2" t="s">
        <v>1577</v>
      </c>
      <c r="C1481" s="2" t="s">
        <v>1457</v>
      </c>
      <c r="D1481" s="2" t="s">
        <v>1476</v>
      </c>
      <c r="E1481" s="2" t="s">
        <v>1463</v>
      </c>
      <c r="F1481" s="2" t="s">
        <v>15</v>
      </c>
      <c r="G1481" s="2" t="s">
        <v>1464</v>
      </c>
      <c r="H1481" s="2" t="s">
        <v>57</v>
      </c>
      <c r="I1481" s="3">
        <v>120</v>
      </c>
      <c r="J1481" s="3">
        <v>170</v>
      </c>
      <c r="K1481" s="4">
        <v>3</v>
      </c>
      <c r="O1481" s="3"/>
    </row>
    <row r="1482" spans="2:15">
      <c r="B1482" s="2" t="s">
        <v>1578</v>
      </c>
      <c r="C1482" s="2" t="s">
        <v>1457</v>
      </c>
      <c r="D1482" s="2" t="s">
        <v>1466</v>
      </c>
      <c r="E1482" s="2" t="s">
        <v>1459</v>
      </c>
      <c r="F1482" s="2" t="s">
        <v>15</v>
      </c>
      <c r="G1482" s="2" t="s">
        <v>1467</v>
      </c>
      <c r="H1482" s="2" t="s">
        <v>69</v>
      </c>
      <c r="I1482" s="3">
        <v>110</v>
      </c>
      <c r="J1482" s="3">
        <v>160</v>
      </c>
      <c r="K1482" s="4">
        <v>6</v>
      </c>
      <c r="O1482" s="3"/>
    </row>
    <row r="1483" spans="2:15">
      <c r="B1483" s="2" t="s">
        <v>1579</v>
      </c>
      <c r="C1483" s="2" t="s">
        <v>1457</v>
      </c>
      <c r="D1483" s="2" t="s">
        <v>1458</v>
      </c>
      <c r="E1483" s="2" t="s">
        <v>1463</v>
      </c>
      <c r="F1483" s="2" t="s">
        <v>20</v>
      </c>
      <c r="G1483" s="2" t="s">
        <v>1464</v>
      </c>
      <c r="H1483" s="2" t="s">
        <v>71</v>
      </c>
      <c r="I1483" s="3">
        <v>140</v>
      </c>
      <c r="J1483" s="3">
        <v>190</v>
      </c>
      <c r="K1483" s="4">
        <v>3</v>
      </c>
      <c r="O1483" s="3"/>
    </row>
    <row r="1484" spans="2:15">
      <c r="B1484" s="2" t="s">
        <v>1580</v>
      </c>
      <c r="C1484" s="2" t="s">
        <v>1457</v>
      </c>
      <c r="D1484" s="2" t="s">
        <v>1466</v>
      </c>
      <c r="E1484" s="2" t="s">
        <v>1459</v>
      </c>
      <c r="F1484" s="2" t="s">
        <v>20</v>
      </c>
      <c r="G1484" s="2" t="s">
        <v>1473</v>
      </c>
      <c r="H1484" s="2" t="s">
        <v>62</v>
      </c>
      <c r="I1484" s="3">
        <v>100</v>
      </c>
      <c r="J1484" s="3">
        <v>130</v>
      </c>
      <c r="K1484" s="4">
        <v>6</v>
      </c>
      <c r="O1484" s="3"/>
    </row>
    <row r="1485" spans="2:15">
      <c r="B1485" s="2" t="s">
        <v>1581</v>
      </c>
      <c r="C1485" s="2" t="s">
        <v>1457</v>
      </c>
      <c r="D1485" s="2" t="s">
        <v>1466</v>
      </c>
      <c r="E1485" s="2" t="s">
        <v>1459</v>
      </c>
      <c r="F1485" s="2" t="s">
        <v>20</v>
      </c>
      <c r="G1485" s="2" t="s">
        <v>1464</v>
      </c>
      <c r="H1485" s="2" t="s">
        <v>94</v>
      </c>
      <c r="I1485" s="3">
        <v>110</v>
      </c>
      <c r="J1485" s="3">
        <v>150</v>
      </c>
      <c r="K1485" s="4">
        <v>4</v>
      </c>
      <c r="O1485" s="3"/>
    </row>
    <row r="1486" spans="2:15">
      <c r="B1486" s="2" t="s">
        <v>1582</v>
      </c>
      <c r="C1486" s="2" t="s">
        <v>1457</v>
      </c>
      <c r="D1486" s="2" t="s">
        <v>1458</v>
      </c>
      <c r="E1486" s="2" t="s">
        <v>1463</v>
      </c>
      <c r="F1486" s="2" t="s">
        <v>20</v>
      </c>
      <c r="G1486" s="2" t="s">
        <v>1473</v>
      </c>
      <c r="H1486" s="2" t="s">
        <v>37</v>
      </c>
      <c r="I1486" s="3">
        <v>80</v>
      </c>
      <c r="J1486" s="3">
        <v>110</v>
      </c>
      <c r="K1486" s="4">
        <v>5</v>
      </c>
      <c r="O1486" s="3"/>
    </row>
    <row r="1487" spans="2:15">
      <c r="B1487" s="2" t="s">
        <v>1583</v>
      </c>
      <c r="C1487" s="2" t="s">
        <v>1457</v>
      </c>
      <c r="D1487" s="2" t="s">
        <v>1458</v>
      </c>
      <c r="E1487" s="2" t="s">
        <v>1459</v>
      </c>
      <c r="F1487" s="2" t="s">
        <v>15</v>
      </c>
      <c r="G1487" s="2" t="s">
        <v>1467</v>
      </c>
      <c r="H1487" s="2" t="s">
        <v>69</v>
      </c>
      <c r="I1487" s="3">
        <v>120</v>
      </c>
      <c r="J1487" s="3">
        <v>160</v>
      </c>
      <c r="K1487" s="4">
        <v>4</v>
      </c>
      <c r="O1487" s="3"/>
    </row>
    <row r="1488" spans="2:15">
      <c r="B1488" s="2" t="s">
        <v>1584</v>
      </c>
      <c r="C1488" s="2" t="s">
        <v>1457</v>
      </c>
      <c r="D1488" s="2" t="s">
        <v>1466</v>
      </c>
      <c r="E1488" s="2" t="s">
        <v>1463</v>
      </c>
      <c r="F1488" s="2" t="s">
        <v>15</v>
      </c>
      <c r="G1488" s="2" t="s">
        <v>1460</v>
      </c>
      <c r="H1488" s="2" t="s">
        <v>71</v>
      </c>
      <c r="I1488" s="3">
        <v>110</v>
      </c>
      <c r="J1488" s="3">
        <v>150</v>
      </c>
      <c r="K1488" s="4">
        <v>6</v>
      </c>
      <c r="O1488" s="3"/>
    </row>
    <row r="1489" spans="2:15">
      <c r="B1489" s="2" t="s">
        <v>1585</v>
      </c>
      <c r="C1489" s="2" t="s">
        <v>1457</v>
      </c>
      <c r="D1489" s="2" t="s">
        <v>1458</v>
      </c>
      <c r="E1489" s="2" t="s">
        <v>1463</v>
      </c>
      <c r="F1489" s="2" t="s">
        <v>20</v>
      </c>
      <c r="G1489" s="2" t="s">
        <v>1467</v>
      </c>
      <c r="H1489" s="2" t="s">
        <v>37</v>
      </c>
      <c r="I1489" s="3">
        <v>110</v>
      </c>
      <c r="J1489" s="3">
        <v>150</v>
      </c>
      <c r="K1489" s="4">
        <v>3</v>
      </c>
      <c r="O1489" s="3"/>
    </row>
    <row r="1490" spans="2:15">
      <c r="B1490" s="2" t="s">
        <v>1586</v>
      </c>
      <c r="C1490" s="2" t="s">
        <v>1457</v>
      </c>
      <c r="D1490" s="2" t="s">
        <v>1466</v>
      </c>
      <c r="E1490" s="2" t="s">
        <v>1459</v>
      </c>
      <c r="F1490" s="2" t="s">
        <v>20</v>
      </c>
      <c r="G1490" s="2" t="s">
        <v>1481</v>
      </c>
      <c r="H1490" s="2" t="s">
        <v>94</v>
      </c>
      <c r="I1490" s="3">
        <v>100</v>
      </c>
      <c r="J1490" s="3">
        <v>140</v>
      </c>
      <c r="K1490" s="4">
        <v>4</v>
      </c>
      <c r="O1490" s="3"/>
    </row>
    <row r="1491" spans="2:15">
      <c r="B1491" s="2" t="s">
        <v>1587</v>
      </c>
      <c r="C1491" s="2" t="s">
        <v>1457</v>
      </c>
      <c r="D1491" s="2" t="s">
        <v>1462</v>
      </c>
      <c r="E1491" s="2" t="s">
        <v>1463</v>
      </c>
      <c r="F1491" s="2" t="s">
        <v>15</v>
      </c>
      <c r="G1491" s="2" t="s">
        <v>1460</v>
      </c>
      <c r="H1491" s="2" t="s">
        <v>25</v>
      </c>
      <c r="I1491" s="3">
        <v>140</v>
      </c>
      <c r="J1491" s="3">
        <v>200</v>
      </c>
      <c r="K1491" s="4">
        <v>6</v>
      </c>
      <c r="O1491" s="3"/>
    </row>
    <row r="1492" spans="2:15">
      <c r="B1492" s="2" t="s">
        <v>1588</v>
      </c>
      <c r="C1492" s="2" t="s">
        <v>1457</v>
      </c>
      <c r="D1492" s="2" t="s">
        <v>1458</v>
      </c>
      <c r="E1492" s="2" t="s">
        <v>1463</v>
      </c>
      <c r="F1492" s="2" t="s">
        <v>15</v>
      </c>
      <c r="G1492" s="2" t="s">
        <v>1470</v>
      </c>
      <c r="H1492" s="2" t="s">
        <v>64</v>
      </c>
      <c r="I1492" s="3">
        <v>80</v>
      </c>
      <c r="J1492" s="3">
        <v>110</v>
      </c>
      <c r="K1492" s="4">
        <v>6</v>
      </c>
      <c r="O1492" s="3"/>
    </row>
    <row r="1493" spans="2:15">
      <c r="B1493" s="2" t="s">
        <v>1589</v>
      </c>
      <c r="C1493" s="2" t="s">
        <v>1457</v>
      </c>
      <c r="D1493" s="2" t="s">
        <v>1466</v>
      </c>
      <c r="E1493" s="2" t="s">
        <v>1463</v>
      </c>
      <c r="F1493" s="2" t="s">
        <v>15</v>
      </c>
      <c r="G1493" s="2" t="s">
        <v>1467</v>
      </c>
      <c r="H1493" s="2" t="s">
        <v>57</v>
      </c>
      <c r="I1493" s="3">
        <v>130</v>
      </c>
      <c r="J1493" s="3">
        <v>180</v>
      </c>
      <c r="K1493" s="4">
        <v>4</v>
      </c>
      <c r="O1493" s="3"/>
    </row>
    <row r="1494" spans="2:15">
      <c r="B1494" s="2" t="s">
        <v>1590</v>
      </c>
      <c r="C1494" s="2" t="s">
        <v>1457</v>
      </c>
      <c r="D1494" s="2" t="s">
        <v>1472</v>
      </c>
      <c r="E1494" s="2" t="s">
        <v>1459</v>
      </c>
      <c r="F1494" s="2" t="s">
        <v>15</v>
      </c>
      <c r="G1494" s="2" t="s">
        <v>1464</v>
      </c>
      <c r="H1494" s="2" t="s">
        <v>75</v>
      </c>
      <c r="I1494" s="3">
        <v>80</v>
      </c>
      <c r="J1494" s="3">
        <v>110</v>
      </c>
      <c r="K1494" s="4">
        <v>4</v>
      </c>
      <c r="O1494" s="3"/>
    </row>
    <row r="1495" spans="2:15">
      <c r="B1495" s="2" t="s">
        <v>1591</v>
      </c>
      <c r="C1495" s="2" t="s">
        <v>1457</v>
      </c>
      <c r="D1495" s="2" t="s">
        <v>1462</v>
      </c>
      <c r="E1495" s="2" t="s">
        <v>1463</v>
      </c>
      <c r="F1495" s="2" t="s">
        <v>15</v>
      </c>
      <c r="G1495" s="2" t="s">
        <v>1470</v>
      </c>
      <c r="H1495" s="2" t="s">
        <v>69</v>
      </c>
      <c r="I1495" s="3">
        <v>120</v>
      </c>
      <c r="J1495" s="3">
        <v>170</v>
      </c>
      <c r="K1495" s="4">
        <v>4</v>
      </c>
      <c r="O1495" s="3"/>
    </row>
    <row r="1496" spans="2:15">
      <c r="B1496" s="2" t="s">
        <v>1592</v>
      </c>
      <c r="C1496" s="2" t="s">
        <v>1457</v>
      </c>
      <c r="D1496" s="2" t="s">
        <v>1472</v>
      </c>
      <c r="E1496" s="2" t="s">
        <v>1459</v>
      </c>
      <c r="F1496" s="2" t="s">
        <v>20</v>
      </c>
      <c r="G1496" s="2" t="s">
        <v>1467</v>
      </c>
      <c r="H1496" s="2" t="s">
        <v>62</v>
      </c>
      <c r="I1496" s="3">
        <v>80</v>
      </c>
      <c r="J1496" s="3">
        <v>110</v>
      </c>
      <c r="K1496" s="4">
        <v>6</v>
      </c>
      <c r="O1496" s="3"/>
    </row>
    <row r="1497" spans="2:15">
      <c r="B1497" s="2" t="s">
        <v>1593</v>
      </c>
      <c r="C1497" s="2" t="s">
        <v>1457</v>
      </c>
      <c r="D1497" s="2" t="s">
        <v>1472</v>
      </c>
      <c r="E1497" s="2" t="s">
        <v>1459</v>
      </c>
      <c r="F1497" s="2" t="s">
        <v>15</v>
      </c>
      <c r="G1497" s="2" t="s">
        <v>1481</v>
      </c>
      <c r="H1497" s="2" t="s">
        <v>33</v>
      </c>
      <c r="I1497" s="3">
        <v>80</v>
      </c>
      <c r="J1497" s="3">
        <v>110</v>
      </c>
      <c r="K1497" s="4">
        <v>4</v>
      </c>
      <c r="O1497" s="3"/>
    </row>
    <row r="1498" spans="2:15">
      <c r="B1498" s="2" t="s">
        <v>1594</v>
      </c>
      <c r="C1498" s="2" t="s">
        <v>1457</v>
      </c>
      <c r="D1498" s="2" t="s">
        <v>1472</v>
      </c>
      <c r="E1498" s="2" t="s">
        <v>1459</v>
      </c>
      <c r="F1498" s="2" t="s">
        <v>20</v>
      </c>
      <c r="G1498" s="2" t="s">
        <v>1470</v>
      </c>
      <c r="H1498" s="2" t="s">
        <v>17</v>
      </c>
      <c r="I1498" s="3">
        <v>100</v>
      </c>
      <c r="J1498" s="3">
        <v>140</v>
      </c>
      <c r="K1498" s="4">
        <v>6</v>
      </c>
      <c r="O1498" s="3"/>
    </row>
    <row r="1499" spans="2:15">
      <c r="B1499" s="2" t="s">
        <v>1595</v>
      </c>
      <c r="C1499" s="2" t="s">
        <v>1457</v>
      </c>
      <c r="D1499" s="2" t="s">
        <v>1466</v>
      </c>
      <c r="E1499" s="2" t="s">
        <v>1459</v>
      </c>
      <c r="F1499" s="2" t="s">
        <v>15</v>
      </c>
      <c r="G1499" s="2" t="s">
        <v>1464</v>
      </c>
      <c r="H1499" s="2" t="s">
        <v>51</v>
      </c>
      <c r="I1499" s="3">
        <v>80</v>
      </c>
      <c r="J1499" s="3">
        <v>120</v>
      </c>
      <c r="K1499" s="4">
        <v>3</v>
      </c>
      <c r="O1499" s="3"/>
    </row>
    <row r="1500" spans="2:15">
      <c r="B1500" s="2" t="s">
        <v>1596</v>
      </c>
      <c r="C1500" s="2" t="s">
        <v>1457</v>
      </c>
      <c r="D1500" s="2" t="s">
        <v>1472</v>
      </c>
      <c r="E1500" s="2" t="s">
        <v>1463</v>
      </c>
      <c r="F1500" s="2" t="s">
        <v>15</v>
      </c>
      <c r="G1500" s="2" t="s">
        <v>1464</v>
      </c>
      <c r="H1500" s="2" t="s">
        <v>37</v>
      </c>
      <c r="I1500" s="3">
        <v>140</v>
      </c>
      <c r="J1500" s="3">
        <v>190</v>
      </c>
      <c r="K1500" s="4">
        <v>3</v>
      </c>
      <c r="O1500" s="3"/>
    </row>
    <row r="1501" spans="2:15">
      <c r="B1501" s="2" t="s">
        <v>1597</v>
      </c>
      <c r="C1501" s="2" t="s">
        <v>1457</v>
      </c>
      <c r="D1501" s="2" t="s">
        <v>1472</v>
      </c>
      <c r="E1501" s="2" t="s">
        <v>1463</v>
      </c>
      <c r="F1501" s="2" t="s">
        <v>20</v>
      </c>
      <c r="G1501" s="2" t="s">
        <v>1481</v>
      </c>
      <c r="H1501" s="2" t="s">
        <v>62</v>
      </c>
      <c r="I1501" s="3">
        <v>90</v>
      </c>
      <c r="J1501" s="3">
        <v>130</v>
      </c>
      <c r="K1501" s="4">
        <v>6</v>
      </c>
      <c r="O1501" s="3"/>
    </row>
    <row r="1502" spans="2:15">
      <c r="B1502" s="2" t="s">
        <v>1598</v>
      </c>
      <c r="C1502" s="2" t="s">
        <v>1457</v>
      </c>
      <c r="D1502" s="2" t="s">
        <v>1458</v>
      </c>
      <c r="E1502" s="2" t="s">
        <v>1459</v>
      </c>
      <c r="F1502" s="2" t="s">
        <v>15</v>
      </c>
      <c r="G1502" s="2" t="s">
        <v>1473</v>
      </c>
      <c r="H1502" s="2" t="s">
        <v>75</v>
      </c>
      <c r="I1502" s="3">
        <v>130</v>
      </c>
      <c r="J1502" s="3">
        <v>180</v>
      </c>
      <c r="K1502" s="4">
        <v>4</v>
      </c>
      <c r="O1502" s="3"/>
    </row>
    <row r="1503" spans="2:15">
      <c r="B1503" s="2" t="s">
        <v>1599</v>
      </c>
      <c r="C1503" s="2" t="s">
        <v>1457</v>
      </c>
      <c r="D1503" s="2" t="s">
        <v>1462</v>
      </c>
      <c r="E1503" s="2" t="s">
        <v>1463</v>
      </c>
      <c r="F1503" s="2" t="s">
        <v>15</v>
      </c>
      <c r="G1503" s="2" t="s">
        <v>1473</v>
      </c>
      <c r="H1503" s="2" t="s">
        <v>41</v>
      </c>
      <c r="I1503" s="3">
        <v>90</v>
      </c>
      <c r="J1503" s="3">
        <v>120</v>
      </c>
      <c r="K1503" s="4">
        <v>4</v>
      </c>
      <c r="O1503" s="3"/>
    </row>
    <row r="1504" spans="2:15">
      <c r="B1504" s="2" t="s">
        <v>1600</v>
      </c>
      <c r="C1504" s="2" t="s">
        <v>1457</v>
      </c>
      <c r="D1504" s="2" t="s">
        <v>1476</v>
      </c>
      <c r="E1504" s="2" t="s">
        <v>1459</v>
      </c>
      <c r="F1504" s="2" t="s">
        <v>15</v>
      </c>
      <c r="G1504" s="2" t="s">
        <v>1481</v>
      </c>
      <c r="H1504" s="2" t="s">
        <v>29</v>
      </c>
      <c r="I1504" s="3">
        <v>120</v>
      </c>
      <c r="J1504" s="3">
        <v>170</v>
      </c>
      <c r="K1504" s="4">
        <v>5</v>
      </c>
      <c r="O1504" s="3"/>
    </row>
    <row r="1505" spans="2:15">
      <c r="B1505" s="2" t="s">
        <v>1601</v>
      </c>
      <c r="C1505" s="2" t="s">
        <v>1457</v>
      </c>
      <c r="D1505" s="2" t="s">
        <v>1476</v>
      </c>
      <c r="E1505" s="2" t="s">
        <v>1459</v>
      </c>
      <c r="F1505" s="2" t="s">
        <v>15</v>
      </c>
      <c r="G1505" s="2" t="s">
        <v>1467</v>
      </c>
      <c r="H1505" s="2" t="s">
        <v>43</v>
      </c>
      <c r="I1505" s="3">
        <v>100</v>
      </c>
      <c r="J1505" s="3">
        <v>150</v>
      </c>
      <c r="K1505" s="4">
        <v>5</v>
      </c>
      <c r="O1505" s="3"/>
    </row>
    <row r="1506" spans="2:15">
      <c r="B1506" s="2" t="s">
        <v>1602</v>
      </c>
      <c r="C1506" s="2" t="s">
        <v>1457</v>
      </c>
      <c r="D1506" s="2" t="s">
        <v>1472</v>
      </c>
      <c r="E1506" s="2" t="s">
        <v>1459</v>
      </c>
      <c r="F1506" s="2" t="s">
        <v>20</v>
      </c>
      <c r="G1506" s="2" t="s">
        <v>1473</v>
      </c>
      <c r="H1506" s="2" t="s">
        <v>17</v>
      </c>
      <c r="I1506" s="3">
        <v>120</v>
      </c>
      <c r="J1506" s="3">
        <v>170</v>
      </c>
      <c r="K1506" s="4">
        <v>3</v>
      </c>
      <c r="O1506" s="3"/>
    </row>
    <row r="1507" spans="2:15">
      <c r="B1507" s="2" t="s">
        <v>1603</v>
      </c>
      <c r="C1507" s="2" t="s">
        <v>1457</v>
      </c>
      <c r="D1507" s="2" t="s">
        <v>1458</v>
      </c>
      <c r="E1507" s="2" t="s">
        <v>1459</v>
      </c>
      <c r="F1507" s="2" t="s">
        <v>20</v>
      </c>
      <c r="G1507" s="2" t="s">
        <v>1467</v>
      </c>
      <c r="H1507" s="2" t="s">
        <v>101</v>
      </c>
      <c r="I1507" s="3">
        <v>90</v>
      </c>
      <c r="J1507" s="3">
        <v>130</v>
      </c>
      <c r="K1507" s="4">
        <v>6</v>
      </c>
      <c r="O1507" s="3"/>
    </row>
    <row r="1508" spans="2:15">
      <c r="B1508" s="2" t="s">
        <v>1604</v>
      </c>
      <c r="C1508" s="2" t="s">
        <v>1457</v>
      </c>
      <c r="D1508" s="2" t="s">
        <v>1476</v>
      </c>
      <c r="E1508" s="2" t="s">
        <v>1459</v>
      </c>
      <c r="F1508" s="2" t="s">
        <v>15</v>
      </c>
      <c r="G1508" s="2" t="s">
        <v>1470</v>
      </c>
      <c r="H1508" s="2" t="s">
        <v>75</v>
      </c>
      <c r="I1508" s="3">
        <v>70</v>
      </c>
      <c r="J1508" s="3">
        <v>100</v>
      </c>
      <c r="K1508" s="4">
        <v>3</v>
      </c>
      <c r="O1508" s="3"/>
    </row>
    <row r="1509" spans="2:15">
      <c r="B1509" s="2" t="s">
        <v>1605</v>
      </c>
      <c r="C1509" s="2" t="s">
        <v>1457</v>
      </c>
      <c r="D1509" s="2" t="s">
        <v>1466</v>
      </c>
      <c r="E1509" s="2" t="s">
        <v>1459</v>
      </c>
      <c r="F1509" s="2" t="s">
        <v>20</v>
      </c>
      <c r="G1509" s="2" t="s">
        <v>1467</v>
      </c>
      <c r="H1509" s="2" t="s">
        <v>22</v>
      </c>
      <c r="I1509" s="3">
        <v>120</v>
      </c>
      <c r="J1509" s="3">
        <v>170</v>
      </c>
      <c r="K1509" s="4">
        <v>5</v>
      </c>
      <c r="O1509" s="3"/>
    </row>
    <row r="1510" spans="2:15">
      <c r="B1510" s="2" t="s">
        <v>1606</v>
      </c>
      <c r="C1510" s="2" t="s">
        <v>1457</v>
      </c>
      <c r="D1510" s="2" t="s">
        <v>1458</v>
      </c>
      <c r="E1510" s="2" t="s">
        <v>1459</v>
      </c>
      <c r="F1510" s="2" t="s">
        <v>15</v>
      </c>
      <c r="G1510" s="2" t="s">
        <v>1460</v>
      </c>
      <c r="H1510" s="2" t="s">
        <v>75</v>
      </c>
      <c r="I1510" s="3">
        <v>100</v>
      </c>
      <c r="J1510" s="3">
        <v>140</v>
      </c>
      <c r="K1510" s="4">
        <v>4</v>
      </c>
      <c r="O1510" s="3"/>
    </row>
    <row r="1511" spans="2:15">
      <c r="B1511" s="2" t="s">
        <v>1607</v>
      </c>
      <c r="C1511" s="2" t="s">
        <v>1457</v>
      </c>
      <c r="D1511" s="2" t="s">
        <v>1466</v>
      </c>
      <c r="E1511" s="2" t="s">
        <v>1463</v>
      </c>
      <c r="F1511" s="2" t="s">
        <v>20</v>
      </c>
      <c r="G1511" s="2" t="s">
        <v>1464</v>
      </c>
      <c r="H1511" s="2" t="s">
        <v>41</v>
      </c>
      <c r="I1511" s="3">
        <v>90</v>
      </c>
      <c r="J1511" s="3">
        <v>130</v>
      </c>
      <c r="K1511" s="4">
        <v>3</v>
      </c>
      <c r="O1511" s="3"/>
    </row>
    <row r="1512" spans="2:15">
      <c r="B1512" s="2" t="s">
        <v>1608</v>
      </c>
      <c r="C1512" s="2" t="s">
        <v>1457</v>
      </c>
      <c r="D1512" s="2" t="s">
        <v>1476</v>
      </c>
      <c r="E1512" s="2" t="s">
        <v>1463</v>
      </c>
      <c r="F1512" s="2" t="s">
        <v>20</v>
      </c>
      <c r="G1512" s="2" t="s">
        <v>1481</v>
      </c>
      <c r="H1512" s="2" t="s">
        <v>37</v>
      </c>
      <c r="I1512" s="3">
        <v>120</v>
      </c>
      <c r="J1512" s="3">
        <v>170</v>
      </c>
      <c r="K1512" s="4">
        <v>5</v>
      </c>
      <c r="O1512" s="3"/>
    </row>
    <row r="1513" spans="2:15">
      <c r="B1513" s="2" t="s">
        <v>1609</v>
      </c>
      <c r="C1513" s="2" t="s">
        <v>1457</v>
      </c>
      <c r="D1513" s="2" t="s">
        <v>1458</v>
      </c>
      <c r="E1513" s="2" t="s">
        <v>1459</v>
      </c>
      <c r="F1513" s="2" t="s">
        <v>15</v>
      </c>
      <c r="G1513" s="2" t="s">
        <v>1481</v>
      </c>
      <c r="H1513" s="2" t="s">
        <v>51</v>
      </c>
      <c r="I1513" s="3">
        <v>100</v>
      </c>
      <c r="J1513" s="3">
        <v>140</v>
      </c>
      <c r="K1513" s="4">
        <v>5</v>
      </c>
      <c r="O1513" s="3"/>
    </row>
    <row r="1514" spans="2:15">
      <c r="B1514" s="2" t="s">
        <v>1610</v>
      </c>
      <c r="C1514" s="2" t="s">
        <v>1457</v>
      </c>
      <c r="D1514" s="2" t="s">
        <v>1462</v>
      </c>
      <c r="E1514" s="2" t="s">
        <v>1459</v>
      </c>
      <c r="F1514" s="2" t="s">
        <v>15</v>
      </c>
      <c r="G1514" s="2" t="s">
        <v>1460</v>
      </c>
      <c r="H1514" s="2" t="s">
        <v>101</v>
      </c>
      <c r="I1514" s="3">
        <v>100</v>
      </c>
      <c r="J1514" s="3">
        <v>140</v>
      </c>
      <c r="K1514" s="4">
        <v>3</v>
      </c>
      <c r="O1514" s="3"/>
    </row>
    <row r="1515" spans="2:15">
      <c r="B1515" s="2" t="s">
        <v>1611</v>
      </c>
      <c r="C1515" s="2" t="s">
        <v>1457</v>
      </c>
      <c r="D1515" s="2" t="s">
        <v>1458</v>
      </c>
      <c r="E1515" s="2" t="s">
        <v>1463</v>
      </c>
      <c r="F1515" s="2" t="s">
        <v>20</v>
      </c>
      <c r="G1515" s="2" t="s">
        <v>1481</v>
      </c>
      <c r="H1515" s="2" t="s">
        <v>69</v>
      </c>
      <c r="I1515" s="3">
        <v>130</v>
      </c>
      <c r="J1515" s="3">
        <v>180</v>
      </c>
      <c r="K1515" s="4">
        <v>6</v>
      </c>
      <c r="O1515" s="3"/>
    </row>
    <row r="1516" spans="2:15">
      <c r="B1516" s="2" t="s">
        <v>1612</v>
      </c>
      <c r="C1516" s="2" t="s">
        <v>1457</v>
      </c>
      <c r="D1516" s="2" t="s">
        <v>1472</v>
      </c>
      <c r="E1516" s="2" t="s">
        <v>1463</v>
      </c>
      <c r="F1516" s="2" t="s">
        <v>20</v>
      </c>
      <c r="G1516" s="2" t="s">
        <v>1473</v>
      </c>
      <c r="H1516" s="2" t="s">
        <v>41</v>
      </c>
      <c r="I1516" s="3">
        <v>110</v>
      </c>
      <c r="J1516" s="3">
        <v>160</v>
      </c>
      <c r="K1516" s="4">
        <v>4</v>
      </c>
      <c r="O1516" s="3"/>
    </row>
    <row r="1517" spans="2:15">
      <c r="B1517" s="2" t="s">
        <v>1613</v>
      </c>
      <c r="C1517" s="2" t="s">
        <v>1457</v>
      </c>
      <c r="D1517" s="2" t="s">
        <v>1472</v>
      </c>
      <c r="E1517" s="2" t="s">
        <v>1459</v>
      </c>
      <c r="F1517" s="2" t="s">
        <v>20</v>
      </c>
      <c r="G1517" s="2" t="s">
        <v>1470</v>
      </c>
      <c r="H1517" s="2" t="s">
        <v>51</v>
      </c>
      <c r="I1517" s="3">
        <v>120</v>
      </c>
      <c r="J1517" s="3">
        <v>170</v>
      </c>
      <c r="K1517" s="4">
        <v>4</v>
      </c>
      <c r="O1517" s="3"/>
    </row>
    <row r="1518" spans="2:15">
      <c r="B1518" s="2" t="s">
        <v>1614</v>
      </c>
      <c r="C1518" s="2" t="s">
        <v>1457</v>
      </c>
      <c r="D1518" s="2" t="s">
        <v>1458</v>
      </c>
      <c r="E1518" s="2" t="s">
        <v>1459</v>
      </c>
      <c r="F1518" s="2" t="s">
        <v>15</v>
      </c>
      <c r="G1518" s="2" t="s">
        <v>1473</v>
      </c>
      <c r="H1518" s="2" t="s">
        <v>51</v>
      </c>
      <c r="I1518" s="3">
        <v>80</v>
      </c>
      <c r="J1518" s="3">
        <v>110</v>
      </c>
      <c r="K1518" s="4">
        <v>3</v>
      </c>
      <c r="O1518" s="3"/>
    </row>
    <row r="1519" spans="2:15">
      <c r="B1519" s="2" t="s">
        <v>1615</v>
      </c>
      <c r="C1519" s="2" t="s">
        <v>1457</v>
      </c>
      <c r="D1519" s="2" t="s">
        <v>1472</v>
      </c>
      <c r="E1519" s="2" t="s">
        <v>1459</v>
      </c>
      <c r="F1519" s="2" t="s">
        <v>15</v>
      </c>
      <c r="G1519" s="2" t="s">
        <v>1470</v>
      </c>
      <c r="H1519" s="2" t="s">
        <v>41</v>
      </c>
      <c r="I1519" s="3">
        <v>90</v>
      </c>
      <c r="J1519" s="3">
        <v>120</v>
      </c>
      <c r="K1519" s="4">
        <v>5</v>
      </c>
      <c r="O1519" s="3"/>
    </row>
    <row r="1520" spans="2:15">
      <c r="B1520" s="2" t="s">
        <v>1616</v>
      </c>
      <c r="C1520" s="2" t="s">
        <v>1457</v>
      </c>
      <c r="D1520" s="2" t="s">
        <v>1476</v>
      </c>
      <c r="E1520" s="2" t="s">
        <v>1459</v>
      </c>
      <c r="F1520" s="2" t="s">
        <v>15</v>
      </c>
      <c r="G1520" s="2" t="s">
        <v>1473</v>
      </c>
      <c r="H1520" s="2" t="s">
        <v>29</v>
      </c>
      <c r="I1520" s="3">
        <v>120</v>
      </c>
      <c r="J1520" s="3">
        <v>160</v>
      </c>
      <c r="K1520" s="4">
        <v>6</v>
      </c>
      <c r="O1520" s="3"/>
    </row>
    <row r="1521" spans="2:15">
      <c r="B1521" s="2" t="s">
        <v>1617</v>
      </c>
      <c r="C1521" s="2" t="s">
        <v>1457</v>
      </c>
      <c r="D1521" s="2" t="s">
        <v>1462</v>
      </c>
      <c r="E1521" s="2" t="s">
        <v>1463</v>
      </c>
      <c r="F1521" s="2" t="s">
        <v>15</v>
      </c>
      <c r="G1521" s="2" t="s">
        <v>1473</v>
      </c>
      <c r="H1521" s="2" t="s">
        <v>41</v>
      </c>
      <c r="I1521" s="3">
        <v>90</v>
      </c>
      <c r="J1521" s="3">
        <v>120</v>
      </c>
      <c r="K1521" s="4">
        <v>4</v>
      </c>
      <c r="O1521" s="3"/>
    </row>
    <row r="1522" spans="2:15">
      <c r="B1522" s="2" t="s">
        <v>1618</v>
      </c>
      <c r="C1522" s="2" t="s">
        <v>1457</v>
      </c>
      <c r="D1522" s="2" t="s">
        <v>1462</v>
      </c>
      <c r="E1522" s="2" t="s">
        <v>1463</v>
      </c>
      <c r="F1522" s="2" t="s">
        <v>20</v>
      </c>
      <c r="G1522" s="2" t="s">
        <v>1460</v>
      </c>
      <c r="H1522" s="2" t="s">
        <v>59</v>
      </c>
      <c r="I1522" s="3">
        <v>80</v>
      </c>
      <c r="J1522" s="3">
        <v>120</v>
      </c>
      <c r="K1522" s="4">
        <v>6</v>
      </c>
      <c r="O1522" s="3"/>
    </row>
    <row r="1523" spans="2:15">
      <c r="B1523" s="2" t="s">
        <v>1619</v>
      </c>
      <c r="C1523" s="2" t="s">
        <v>1457</v>
      </c>
      <c r="D1523" s="2" t="s">
        <v>1466</v>
      </c>
      <c r="E1523" s="2" t="s">
        <v>1459</v>
      </c>
      <c r="F1523" s="2" t="s">
        <v>20</v>
      </c>
      <c r="G1523" s="2" t="s">
        <v>1470</v>
      </c>
      <c r="H1523" s="2" t="s">
        <v>33</v>
      </c>
      <c r="I1523" s="3">
        <v>110</v>
      </c>
      <c r="J1523" s="3">
        <v>160</v>
      </c>
      <c r="K1523" s="4">
        <v>3</v>
      </c>
      <c r="O1523" s="3"/>
    </row>
    <row r="1524" spans="2:15">
      <c r="B1524" s="2" t="s">
        <v>1620</v>
      </c>
      <c r="C1524" s="2" t="s">
        <v>1457</v>
      </c>
      <c r="D1524" s="2" t="s">
        <v>1476</v>
      </c>
      <c r="E1524" s="2" t="s">
        <v>1463</v>
      </c>
      <c r="F1524" s="2" t="s">
        <v>20</v>
      </c>
      <c r="G1524" s="2" t="s">
        <v>1481</v>
      </c>
      <c r="H1524" s="2" t="s">
        <v>59</v>
      </c>
      <c r="I1524" s="3">
        <v>120</v>
      </c>
      <c r="J1524" s="3">
        <v>170</v>
      </c>
      <c r="K1524" s="4">
        <v>6</v>
      </c>
      <c r="O1524" s="3"/>
    </row>
    <row r="1525" spans="2:15">
      <c r="B1525" s="2" t="s">
        <v>1621</v>
      </c>
      <c r="C1525" s="2" t="s">
        <v>1457</v>
      </c>
      <c r="D1525" s="2" t="s">
        <v>1466</v>
      </c>
      <c r="E1525" s="2" t="s">
        <v>1459</v>
      </c>
      <c r="F1525" s="2" t="s">
        <v>20</v>
      </c>
      <c r="G1525" s="2" t="s">
        <v>1460</v>
      </c>
      <c r="H1525" s="2" t="s">
        <v>57</v>
      </c>
      <c r="I1525" s="3">
        <v>90</v>
      </c>
      <c r="J1525" s="3">
        <v>120</v>
      </c>
      <c r="K1525" s="4">
        <v>5</v>
      </c>
      <c r="O1525" s="3"/>
    </row>
    <row r="1526" spans="2:15">
      <c r="B1526" s="2" t="s">
        <v>1622</v>
      </c>
      <c r="C1526" s="2" t="s">
        <v>1457</v>
      </c>
      <c r="D1526" s="2" t="s">
        <v>1466</v>
      </c>
      <c r="E1526" s="2" t="s">
        <v>1459</v>
      </c>
      <c r="F1526" s="2" t="s">
        <v>20</v>
      </c>
      <c r="G1526" s="2" t="s">
        <v>1467</v>
      </c>
      <c r="H1526" s="2" t="s">
        <v>49</v>
      </c>
      <c r="I1526" s="3">
        <v>130</v>
      </c>
      <c r="J1526" s="3">
        <v>190</v>
      </c>
      <c r="K1526" s="4">
        <v>6</v>
      </c>
      <c r="O1526" s="3"/>
    </row>
    <row r="1527" spans="2:15">
      <c r="B1527" s="2" t="s">
        <v>1623</v>
      </c>
      <c r="C1527" s="2" t="s">
        <v>1457</v>
      </c>
      <c r="D1527" s="2" t="s">
        <v>1476</v>
      </c>
      <c r="E1527" s="2" t="s">
        <v>1463</v>
      </c>
      <c r="F1527" s="2" t="s">
        <v>15</v>
      </c>
      <c r="G1527" s="2" t="s">
        <v>1481</v>
      </c>
      <c r="H1527" s="2" t="s">
        <v>51</v>
      </c>
      <c r="I1527" s="3">
        <v>70</v>
      </c>
      <c r="J1527" s="3">
        <v>100</v>
      </c>
      <c r="K1527" s="4">
        <v>3</v>
      </c>
      <c r="O1527" s="3"/>
    </row>
    <row r="1528" spans="2:15">
      <c r="B1528" s="2" t="s">
        <v>1624</v>
      </c>
      <c r="C1528" s="2" t="s">
        <v>1457</v>
      </c>
      <c r="D1528" s="2" t="s">
        <v>1462</v>
      </c>
      <c r="E1528" s="2" t="s">
        <v>1459</v>
      </c>
      <c r="F1528" s="2" t="s">
        <v>20</v>
      </c>
      <c r="G1528" s="2" t="s">
        <v>1460</v>
      </c>
      <c r="H1528" s="2" t="s">
        <v>33</v>
      </c>
      <c r="I1528" s="3">
        <v>120</v>
      </c>
      <c r="J1528" s="3">
        <v>170</v>
      </c>
      <c r="K1528" s="4">
        <v>3</v>
      </c>
      <c r="O1528" s="3"/>
    </row>
    <row r="1529" spans="2:15">
      <c r="B1529" s="2" t="s">
        <v>1625</v>
      </c>
      <c r="C1529" s="2" t="s">
        <v>1457</v>
      </c>
      <c r="D1529" s="2" t="s">
        <v>1462</v>
      </c>
      <c r="E1529" s="2" t="s">
        <v>1463</v>
      </c>
      <c r="F1529" s="2" t="s">
        <v>20</v>
      </c>
      <c r="G1529" s="2" t="s">
        <v>1470</v>
      </c>
      <c r="H1529" s="2" t="s">
        <v>37</v>
      </c>
      <c r="I1529" s="3">
        <v>100</v>
      </c>
      <c r="J1529" s="3">
        <v>140</v>
      </c>
      <c r="K1529" s="4">
        <v>4</v>
      </c>
      <c r="O1529" s="3"/>
    </row>
    <row r="1530" spans="2:15">
      <c r="B1530" s="2" t="s">
        <v>1626</v>
      </c>
      <c r="C1530" s="2" t="s">
        <v>1457</v>
      </c>
      <c r="D1530" s="2" t="s">
        <v>1458</v>
      </c>
      <c r="E1530" s="2" t="s">
        <v>1459</v>
      </c>
      <c r="F1530" s="2" t="s">
        <v>20</v>
      </c>
      <c r="G1530" s="2" t="s">
        <v>1473</v>
      </c>
      <c r="H1530" s="2" t="s">
        <v>57</v>
      </c>
      <c r="I1530" s="3">
        <v>90</v>
      </c>
      <c r="J1530" s="3">
        <v>130</v>
      </c>
      <c r="K1530" s="4">
        <v>6</v>
      </c>
      <c r="O1530" s="3"/>
    </row>
    <row r="1531" spans="2:15">
      <c r="B1531" s="2" t="s">
        <v>1627</v>
      </c>
      <c r="C1531" s="2" t="s">
        <v>1457</v>
      </c>
      <c r="D1531" s="2" t="s">
        <v>1472</v>
      </c>
      <c r="E1531" s="2" t="s">
        <v>1459</v>
      </c>
      <c r="F1531" s="2" t="s">
        <v>20</v>
      </c>
      <c r="G1531" s="2" t="s">
        <v>1470</v>
      </c>
      <c r="H1531" s="2" t="s">
        <v>69</v>
      </c>
      <c r="I1531" s="3">
        <v>70</v>
      </c>
      <c r="J1531" s="3">
        <v>100</v>
      </c>
      <c r="K1531" s="4">
        <v>4</v>
      </c>
      <c r="O1531" s="3"/>
    </row>
    <row r="1532" spans="2:15">
      <c r="B1532" s="2" t="s">
        <v>1628</v>
      </c>
      <c r="C1532" s="2" t="s">
        <v>1457</v>
      </c>
      <c r="D1532" s="2" t="s">
        <v>1466</v>
      </c>
      <c r="E1532" s="2" t="s">
        <v>1463</v>
      </c>
      <c r="F1532" s="2" t="s">
        <v>15</v>
      </c>
      <c r="G1532" s="2" t="s">
        <v>1464</v>
      </c>
      <c r="H1532" s="2" t="s">
        <v>101</v>
      </c>
      <c r="I1532" s="3">
        <v>80</v>
      </c>
      <c r="J1532" s="3">
        <v>110</v>
      </c>
      <c r="K1532" s="4">
        <v>4</v>
      </c>
      <c r="O1532" s="3"/>
    </row>
    <row r="1533" spans="2:15">
      <c r="B1533" s="2" t="s">
        <v>1629</v>
      </c>
      <c r="C1533" s="2" t="s">
        <v>1457</v>
      </c>
      <c r="D1533" s="2" t="s">
        <v>1472</v>
      </c>
      <c r="E1533" s="2" t="s">
        <v>1463</v>
      </c>
      <c r="F1533" s="2" t="s">
        <v>15</v>
      </c>
      <c r="G1533" s="2" t="s">
        <v>1473</v>
      </c>
      <c r="H1533" s="2" t="s">
        <v>75</v>
      </c>
      <c r="I1533" s="3">
        <v>100</v>
      </c>
      <c r="J1533" s="3">
        <v>140</v>
      </c>
      <c r="K1533" s="4">
        <v>6</v>
      </c>
      <c r="O1533" s="3"/>
    </row>
    <row r="1534" spans="2:15">
      <c r="B1534" s="2" t="s">
        <v>1630</v>
      </c>
      <c r="C1534" s="2" t="s">
        <v>1457</v>
      </c>
      <c r="D1534" s="2" t="s">
        <v>1472</v>
      </c>
      <c r="E1534" s="2" t="s">
        <v>1459</v>
      </c>
      <c r="F1534" s="2" t="s">
        <v>15</v>
      </c>
      <c r="G1534" s="2" t="s">
        <v>1481</v>
      </c>
      <c r="H1534" s="2" t="s">
        <v>33</v>
      </c>
      <c r="I1534" s="3">
        <v>80</v>
      </c>
      <c r="J1534" s="3">
        <v>110</v>
      </c>
      <c r="K1534" s="4">
        <v>5</v>
      </c>
      <c r="O1534" s="3"/>
    </row>
    <row r="1535" spans="2:15">
      <c r="B1535" s="2" t="s">
        <v>1631</v>
      </c>
      <c r="C1535" s="2" t="s">
        <v>1457</v>
      </c>
      <c r="D1535" s="2" t="s">
        <v>1462</v>
      </c>
      <c r="E1535" s="2" t="s">
        <v>1463</v>
      </c>
      <c r="F1535" s="2" t="s">
        <v>20</v>
      </c>
      <c r="G1535" s="2" t="s">
        <v>1460</v>
      </c>
      <c r="H1535" s="2" t="s">
        <v>104</v>
      </c>
      <c r="I1535" s="3">
        <v>120</v>
      </c>
      <c r="J1535" s="3">
        <v>170</v>
      </c>
      <c r="K1535" s="4">
        <v>3</v>
      </c>
      <c r="O1535" s="3"/>
    </row>
    <row r="1536" spans="2:15">
      <c r="B1536" s="2" t="s">
        <v>1632</v>
      </c>
      <c r="C1536" s="2" t="s">
        <v>1457</v>
      </c>
      <c r="D1536" s="2" t="s">
        <v>1472</v>
      </c>
      <c r="E1536" s="2" t="s">
        <v>1459</v>
      </c>
      <c r="F1536" s="2" t="s">
        <v>15</v>
      </c>
      <c r="G1536" s="2" t="s">
        <v>1470</v>
      </c>
      <c r="H1536" s="2" t="s">
        <v>33</v>
      </c>
      <c r="I1536" s="3">
        <v>80</v>
      </c>
      <c r="J1536" s="3">
        <v>110</v>
      </c>
      <c r="K1536" s="4">
        <v>3</v>
      </c>
      <c r="O1536" s="3"/>
    </row>
    <row r="1537" spans="2:15">
      <c r="B1537" s="2" t="s">
        <v>1633</v>
      </c>
      <c r="C1537" s="2" t="s">
        <v>1457</v>
      </c>
      <c r="D1537" s="2" t="s">
        <v>1462</v>
      </c>
      <c r="E1537" s="2" t="s">
        <v>1463</v>
      </c>
      <c r="F1537" s="2" t="s">
        <v>15</v>
      </c>
      <c r="G1537" s="2" t="s">
        <v>1481</v>
      </c>
      <c r="H1537" s="2" t="s">
        <v>49</v>
      </c>
      <c r="I1537" s="3">
        <v>120</v>
      </c>
      <c r="J1537" s="3">
        <v>180</v>
      </c>
      <c r="K1537" s="4">
        <v>5</v>
      </c>
      <c r="O1537" s="3"/>
    </row>
    <row r="1538" spans="2:15">
      <c r="B1538" s="2" t="s">
        <v>1634</v>
      </c>
      <c r="C1538" s="2" t="s">
        <v>1457</v>
      </c>
      <c r="D1538" s="2" t="s">
        <v>1466</v>
      </c>
      <c r="E1538" s="2" t="s">
        <v>1459</v>
      </c>
      <c r="F1538" s="2" t="s">
        <v>20</v>
      </c>
      <c r="G1538" s="2" t="s">
        <v>1481</v>
      </c>
      <c r="H1538" s="2" t="s">
        <v>41</v>
      </c>
      <c r="I1538" s="3">
        <v>80</v>
      </c>
      <c r="J1538" s="3">
        <v>120</v>
      </c>
      <c r="K1538" s="4">
        <v>5</v>
      </c>
      <c r="O1538" s="3"/>
    </row>
    <row r="1539" spans="2:15">
      <c r="B1539" s="2" t="s">
        <v>1635</v>
      </c>
      <c r="C1539" s="2" t="s">
        <v>1457</v>
      </c>
      <c r="D1539" s="2" t="s">
        <v>1458</v>
      </c>
      <c r="E1539" s="2" t="s">
        <v>1463</v>
      </c>
      <c r="F1539" s="2" t="s">
        <v>20</v>
      </c>
      <c r="G1539" s="2" t="s">
        <v>1467</v>
      </c>
      <c r="H1539" s="2" t="s">
        <v>33</v>
      </c>
      <c r="I1539" s="3">
        <v>140</v>
      </c>
      <c r="J1539" s="3">
        <v>190</v>
      </c>
      <c r="K1539" s="4">
        <v>4</v>
      </c>
      <c r="O1539" s="3"/>
    </row>
    <row r="1540" spans="2:15">
      <c r="B1540" s="2" t="s">
        <v>1636</v>
      </c>
      <c r="C1540" s="2" t="s">
        <v>1457</v>
      </c>
      <c r="D1540" s="2" t="s">
        <v>1466</v>
      </c>
      <c r="E1540" s="2" t="s">
        <v>1459</v>
      </c>
      <c r="F1540" s="2" t="s">
        <v>20</v>
      </c>
      <c r="G1540" s="2" t="s">
        <v>1467</v>
      </c>
      <c r="H1540" s="2" t="s">
        <v>25</v>
      </c>
      <c r="I1540" s="3">
        <v>120</v>
      </c>
      <c r="J1540" s="3">
        <v>170</v>
      </c>
      <c r="K1540" s="4">
        <v>3</v>
      </c>
      <c r="O1540" s="3"/>
    </row>
    <row r="1541" spans="2:15">
      <c r="B1541" s="2" t="s">
        <v>1637</v>
      </c>
      <c r="C1541" s="2" t="s">
        <v>1457</v>
      </c>
      <c r="D1541" s="2" t="s">
        <v>1458</v>
      </c>
      <c r="E1541" s="2" t="s">
        <v>1459</v>
      </c>
      <c r="F1541" s="2" t="s">
        <v>20</v>
      </c>
      <c r="G1541" s="2" t="s">
        <v>1467</v>
      </c>
      <c r="H1541" s="2" t="s">
        <v>29</v>
      </c>
      <c r="I1541" s="3">
        <v>80</v>
      </c>
      <c r="J1541" s="3">
        <v>100</v>
      </c>
      <c r="K1541" s="4">
        <v>3</v>
      </c>
      <c r="O1541" s="3"/>
    </row>
    <row r="1542" spans="2:15">
      <c r="B1542" s="2" t="s">
        <v>1638</v>
      </c>
      <c r="C1542" s="2" t="s">
        <v>1457</v>
      </c>
      <c r="D1542" s="2" t="s">
        <v>1458</v>
      </c>
      <c r="E1542" s="2" t="s">
        <v>1463</v>
      </c>
      <c r="F1542" s="2" t="s">
        <v>15</v>
      </c>
      <c r="G1542" s="2" t="s">
        <v>1467</v>
      </c>
      <c r="H1542" s="2" t="s">
        <v>51</v>
      </c>
      <c r="I1542" s="3">
        <v>80</v>
      </c>
      <c r="J1542" s="3">
        <v>110</v>
      </c>
      <c r="K1542" s="4">
        <v>4</v>
      </c>
      <c r="O1542" s="3"/>
    </row>
    <row r="1543" spans="2:15">
      <c r="B1543" s="2" t="s">
        <v>1639</v>
      </c>
      <c r="C1543" s="2" t="s">
        <v>1457</v>
      </c>
      <c r="D1543" s="2" t="s">
        <v>1462</v>
      </c>
      <c r="E1543" s="2" t="s">
        <v>1459</v>
      </c>
      <c r="F1543" s="2" t="s">
        <v>20</v>
      </c>
      <c r="G1543" s="2" t="s">
        <v>1460</v>
      </c>
      <c r="H1543" s="2" t="s">
        <v>22</v>
      </c>
      <c r="I1543" s="3">
        <v>140</v>
      </c>
      <c r="J1543" s="3">
        <v>190</v>
      </c>
      <c r="K1543" s="4">
        <v>5</v>
      </c>
      <c r="O1543" s="3"/>
    </row>
    <row r="1544" spans="2:15">
      <c r="B1544" s="2" t="s">
        <v>1640</v>
      </c>
      <c r="C1544" s="2" t="s">
        <v>1457</v>
      </c>
      <c r="D1544" s="2" t="s">
        <v>1472</v>
      </c>
      <c r="E1544" s="2" t="s">
        <v>1463</v>
      </c>
      <c r="F1544" s="2" t="s">
        <v>20</v>
      </c>
      <c r="G1544" s="2" t="s">
        <v>1470</v>
      </c>
      <c r="H1544" s="2" t="s">
        <v>43</v>
      </c>
      <c r="I1544" s="3">
        <v>110</v>
      </c>
      <c r="J1544" s="3">
        <v>160</v>
      </c>
      <c r="K1544" s="4">
        <v>6</v>
      </c>
      <c r="O1544" s="3"/>
    </row>
    <row r="1545" spans="2:15">
      <c r="B1545" s="2" t="s">
        <v>1641</v>
      </c>
      <c r="C1545" s="2" t="s">
        <v>1457</v>
      </c>
      <c r="D1545" s="2" t="s">
        <v>1458</v>
      </c>
      <c r="E1545" s="2" t="s">
        <v>1459</v>
      </c>
      <c r="F1545" s="2" t="s">
        <v>20</v>
      </c>
      <c r="G1545" s="2" t="s">
        <v>1464</v>
      </c>
      <c r="H1545" s="2" t="s">
        <v>33</v>
      </c>
      <c r="I1545" s="3">
        <v>120</v>
      </c>
      <c r="J1545" s="3">
        <v>170</v>
      </c>
      <c r="K1545" s="4">
        <v>4</v>
      </c>
      <c r="O1545" s="3"/>
    </row>
    <row r="1546" spans="2:15">
      <c r="B1546" s="2" t="s">
        <v>1642</v>
      </c>
      <c r="C1546" s="2" t="s">
        <v>1457</v>
      </c>
      <c r="D1546" s="2" t="s">
        <v>1466</v>
      </c>
      <c r="E1546" s="2" t="s">
        <v>1459</v>
      </c>
      <c r="F1546" s="2" t="s">
        <v>20</v>
      </c>
      <c r="G1546" s="2" t="s">
        <v>1467</v>
      </c>
      <c r="H1546" s="2" t="s">
        <v>59</v>
      </c>
      <c r="I1546" s="3">
        <v>110</v>
      </c>
      <c r="J1546" s="3">
        <v>150</v>
      </c>
      <c r="K1546" s="4">
        <v>6</v>
      </c>
      <c r="O1546" s="3"/>
    </row>
    <row r="1547" spans="2:15">
      <c r="B1547" s="2" t="s">
        <v>1643</v>
      </c>
      <c r="C1547" s="2" t="s">
        <v>1457</v>
      </c>
      <c r="D1547" s="2" t="s">
        <v>1458</v>
      </c>
      <c r="E1547" s="2" t="s">
        <v>1459</v>
      </c>
      <c r="F1547" s="2" t="s">
        <v>20</v>
      </c>
      <c r="G1547" s="2" t="s">
        <v>1470</v>
      </c>
      <c r="H1547" s="2" t="s">
        <v>75</v>
      </c>
      <c r="I1547" s="3">
        <v>140</v>
      </c>
      <c r="J1547" s="3">
        <v>190</v>
      </c>
      <c r="K1547" s="4">
        <v>6</v>
      </c>
      <c r="O1547" s="3"/>
    </row>
    <row r="1548" spans="2:15">
      <c r="B1548" s="2" t="s">
        <v>1644</v>
      </c>
      <c r="C1548" s="2" t="s">
        <v>1457</v>
      </c>
      <c r="D1548" s="2" t="s">
        <v>1476</v>
      </c>
      <c r="E1548" s="2" t="s">
        <v>1463</v>
      </c>
      <c r="F1548" s="2" t="s">
        <v>20</v>
      </c>
      <c r="G1548" s="2" t="s">
        <v>1460</v>
      </c>
      <c r="H1548" s="2" t="s">
        <v>69</v>
      </c>
      <c r="I1548" s="3">
        <v>120</v>
      </c>
      <c r="J1548" s="3">
        <v>170</v>
      </c>
      <c r="K1548" s="4">
        <v>4</v>
      </c>
      <c r="O1548" s="3"/>
    </row>
    <row r="1549" spans="2:15">
      <c r="B1549" s="2" t="s">
        <v>1645</v>
      </c>
      <c r="C1549" s="2" t="s">
        <v>1457</v>
      </c>
      <c r="D1549" s="2" t="s">
        <v>1458</v>
      </c>
      <c r="E1549" s="2" t="s">
        <v>1459</v>
      </c>
      <c r="F1549" s="2" t="s">
        <v>15</v>
      </c>
      <c r="G1549" s="2" t="s">
        <v>1464</v>
      </c>
      <c r="H1549" s="2" t="s">
        <v>75</v>
      </c>
      <c r="I1549" s="3">
        <v>100</v>
      </c>
      <c r="J1549" s="3">
        <v>140</v>
      </c>
      <c r="K1549" s="4">
        <v>5</v>
      </c>
      <c r="O1549" s="3"/>
    </row>
    <row r="1550" spans="2:15">
      <c r="B1550" s="2" t="s">
        <v>1646</v>
      </c>
      <c r="C1550" s="2" t="s">
        <v>1457</v>
      </c>
      <c r="D1550" s="2" t="s">
        <v>1462</v>
      </c>
      <c r="E1550" s="2" t="s">
        <v>1463</v>
      </c>
      <c r="F1550" s="2" t="s">
        <v>15</v>
      </c>
      <c r="G1550" s="2" t="s">
        <v>1464</v>
      </c>
      <c r="H1550" s="2" t="s">
        <v>37</v>
      </c>
      <c r="I1550" s="3">
        <v>110</v>
      </c>
      <c r="J1550" s="3">
        <v>150</v>
      </c>
      <c r="K1550" s="4">
        <v>4</v>
      </c>
      <c r="O1550" s="3"/>
    </row>
    <row r="1551" spans="2:15">
      <c r="B1551" s="2" t="s">
        <v>1647</v>
      </c>
      <c r="C1551" s="2" t="s">
        <v>1457</v>
      </c>
      <c r="D1551" s="2" t="s">
        <v>1466</v>
      </c>
      <c r="E1551" s="2" t="s">
        <v>1459</v>
      </c>
      <c r="F1551" s="2" t="s">
        <v>15</v>
      </c>
      <c r="G1551" s="2" t="s">
        <v>1473</v>
      </c>
      <c r="H1551" s="2" t="s">
        <v>57</v>
      </c>
      <c r="I1551" s="3">
        <v>100</v>
      </c>
      <c r="J1551" s="3">
        <v>140</v>
      </c>
      <c r="K1551" s="4">
        <v>5</v>
      </c>
      <c r="O1551" s="3"/>
    </row>
    <row r="1552" spans="2:15">
      <c r="B1552" s="2" t="s">
        <v>1648</v>
      </c>
      <c r="C1552" s="2" t="s">
        <v>1457</v>
      </c>
      <c r="D1552" s="2" t="s">
        <v>1472</v>
      </c>
      <c r="E1552" s="2" t="s">
        <v>1459</v>
      </c>
      <c r="F1552" s="2" t="s">
        <v>20</v>
      </c>
      <c r="G1552" s="2" t="s">
        <v>1460</v>
      </c>
      <c r="H1552" s="2" t="s">
        <v>62</v>
      </c>
      <c r="I1552" s="3">
        <v>90</v>
      </c>
      <c r="J1552" s="3">
        <v>120</v>
      </c>
      <c r="K1552" s="4">
        <v>3</v>
      </c>
      <c r="O1552" s="3"/>
    </row>
    <row r="1553" spans="2:15">
      <c r="B1553" s="2" t="s">
        <v>1649</v>
      </c>
      <c r="C1553" s="2" t="s">
        <v>1457</v>
      </c>
      <c r="D1553" s="2" t="s">
        <v>1472</v>
      </c>
      <c r="E1553" s="2" t="s">
        <v>1463</v>
      </c>
      <c r="F1553" s="2" t="s">
        <v>15</v>
      </c>
      <c r="G1553" s="2" t="s">
        <v>1473</v>
      </c>
      <c r="H1553" s="2" t="s">
        <v>62</v>
      </c>
      <c r="I1553" s="3">
        <v>70</v>
      </c>
      <c r="J1553" s="3">
        <v>100</v>
      </c>
      <c r="K1553" s="4">
        <v>5</v>
      </c>
      <c r="O1553" s="3"/>
    </row>
    <row r="1554" spans="2:15">
      <c r="B1554" s="2" t="s">
        <v>1650</v>
      </c>
      <c r="C1554" s="2" t="s">
        <v>1457</v>
      </c>
      <c r="D1554" s="2" t="s">
        <v>1476</v>
      </c>
      <c r="E1554" s="2" t="s">
        <v>1463</v>
      </c>
      <c r="F1554" s="2" t="s">
        <v>15</v>
      </c>
      <c r="G1554" s="2" t="s">
        <v>1473</v>
      </c>
      <c r="H1554" s="2" t="s">
        <v>69</v>
      </c>
      <c r="I1554" s="3">
        <v>90</v>
      </c>
      <c r="J1554" s="3">
        <v>120</v>
      </c>
      <c r="K1554" s="4">
        <v>5</v>
      </c>
      <c r="O1554" s="3"/>
    </row>
    <row r="1555" spans="2:15">
      <c r="B1555" s="2" t="s">
        <v>1651</v>
      </c>
      <c r="C1555" s="2" t="s">
        <v>1457</v>
      </c>
      <c r="D1555" s="2" t="s">
        <v>1472</v>
      </c>
      <c r="E1555" s="2" t="s">
        <v>1459</v>
      </c>
      <c r="F1555" s="2" t="s">
        <v>15</v>
      </c>
      <c r="G1555" s="2" t="s">
        <v>1473</v>
      </c>
      <c r="H1555" s="2" t="s">
        <v>62</v>
      </c>
      <c r="I1555" s="3">
        <v>100</v>
      </c>
      <c r="J1555" s="3">
        <v>140</v>
      </c>
      <c r="K1555" s="4">
        <v>3</v>
      </c>
      <c r="O1555" s="3"/>
    </row>
    <row r="1556" spans="2:15">
      <c r="B1556" s="2" t="s">
        <v>1652</v>
      </c>
      <c r="C1556" s="2" t="s">
        <v>1457</v>
      </c>
      <c r="D1556" s="2" t="s">
        <v>1472</v>
      </c>
      <c r="E1556" s="2" t="s">
        <v>1459</v>
      </c>
      <c r="F1556" s="2" t="s">
        <v>15</v>
      </c>
      <c r="G1556" s="2" t="s">
        <v>1460</v>
      </c>
      <c r="H1556" s="2" t="s">
        <v>49</v>
      </c>
      <c r="I1556" s="3">
        <v>120</v>
      </c>
      <c r="J1556" s="3">
        <v>160</v>
      </c>
      <c r="K1556" s="4">
        <v>5</v>
      </c>
      <c r="O1556" s="3"/>
    </row>
    <row r="1557" spans="2:15">
      <c r="B1557" s="2" t="s">
        <v>1653</v>
      </c>
      <c r="C1557" s="2" t="s">
        <v>1457</v>
      </c>
      <c r="D1557" s="2" t="s">
        <v>1458</v>
      </c>
      <c r="E1557" s="2" t="s">
        <v>1463</v>
      </c>
      <c r="F1557" s="2" t="s">
        <v>20</v>
      </c>
      <c r="G1557" s="2" t="s">
        <v>1470</v>
      </c>
      <c r="H1557" s="2" t="s">
        <v>17</v>
      </c>
      <c r="I1557" s="3">
        <v>100</v>
      </c>
      <c r="J1557" s="3">
        <v>130</v>
      </c>
      <c r="K1557" s="4">
        <v>6</v>
      </c>
      <c r="O1557" s="3"/>
    </row>
    <row r="1558" spans="2:15">
      <c r="B1558" s="2" t="s">
        <v>1654</v>
      </c>
      <c r="C1558" s="2" t="s">
        <v>1457</v>
      </c>
      <c r="D1558" s="2" t="s">
        <v>1462</v>
      </c>
      <c r="E1558" s="2" t="s">
        <v>1463</v>
      </c>
      <c r="F1558" s="2" t="s">
        <v>20</v>
      </c>
      <c r="G1558" s="2" t="s">
        <v>1470</v>
      </c>
      <c r="H1558" s="2" t="s">
        <v>64</v>
      </c>
      <c r="I1558" s="3">
        <v>120</v>
      </c>
      <c r="J1558" s="3">
        <v>160</v>
      </c>
      <c r="K1558" s="4">
        <v>6</v>
      </c>
      <c r="O1558" s="3"/>
    </row>
    <row r="1559" spans="2:15">
      <c r="B1559" s="2" t="s">
        <v>1655</v>
      </c>
      <c r="C1559" s="2" t="s">
        <v>1457</v>
      </c>
      <c r="D1559" s="2" t="s">
        <v>1462</v>
      </c>
      <c r="E1559" s="2" t="s">
        <v>1459</v>
      </c>
      <c r="F1559" s="2" t="s">
        <v>15</v>
      </c>
      <c r="G1559" s="2" t="s">
        <v>1467</v>
      </c>
      <c r="H1559" s="2" t="s">
        <v>64</v>
      </c>
      <c r="I1559" s="3">
        <v>90</v>
      </c>
      <c r="J1559" s="3">
        <v>130</v>
      </c>
      <c r="K1559" s="4">
        <v>5</v>
      </c>
      <c r="O1559" s="3"/>
    </row>
    <row r="1560" spans="2:15">
      <c r="B1560" s="2" t="s">
        <v>1656</v>
      </c>
      <c r="C1560" s="2" t="s">
        <v>1457</v>
      </c>
      <c r="D1560" s="2" t="s">
        <v>1472</v>
      </c>
      <c r="E1560" s="2" t="s">
        <v>1459</v>
      </c>
      <c r="F1560" s="2" t="s">
        <v>20</v>
      </c>
      <c r="G1560" s="2" t="s">
        <v>1470</v>
      </c>
      <c r="H1560" s="2" t="s">
        <v>25</v>
      </c>
      <c r="I1560" s="3">
        <v>70</v>
      </c>
      <c r="J1560" s="3">
        <v>100</v>
      </c>
      <c r="K1560" s="4">
        <v>4</v>
      </c>
      <c r="O1560" s="3"/>
    </row>
    <row r="1561" spans="2:15">
      <c r="B1561" s="2" t="s">
        <v>1657</v>
      </c>
      <c r="C1561" s="2" t="s">
        <v>1457</v>
      </c>
      <c r="D1561" s="2" t="s">
        <v>1462</v>
      </c>
      <c r="E1561" s="2" t="s">
        <v>1459</v>
      </c>
      <c r="F1561" s="2" t="s">
        <v>15</v>
      </c>
      <c r="G1561" s="2" t="s">
        <v>1460</v>
      </c>
      <c r="H1561" s="2" t="s">
        <v>29</v>
      </c>
      <c r="I1561" s="3">
        <v>80</v>
      </c>
      <c r="J1561" s="3">
        <v>110</v>
      </c>
      <c r="K1561" s="4">
        <v>6</v>
      </c>
      <c r="O1561" s="3"/>
    </row>
    <row r="1562" spans="2:15">
      <c r="B1562" s="2" t="s">
        <v>1658</v>
      </c>
      <c r="C1562" s="2" t="s">
        <v>1457</v>
      </c>
      <c r="D1562" s="2" t="s">
        <v>1458</v>
      </c>
      <c r="E1562" s="2" t="s">
        <v>1459</v>
      </c>
      <c r="F1562" s="2" t="s">
        <v>20</v>
      </c>
      <c r="G1562" s="2" t="s">
        <v>1464</v>
      </c>
      <c r="H1562" s="2" t="s">
        <v>37</v>
      </c>
      <c r="I1562" s="3">
        <v>80</v>
      </c>
      <c r="J1562" s="3">
        <v>110</v>
      </c>
      <c r="K1562" s="4">
        <v>6</v>
      </c>
      <c r="O1562" s="3"/>
    </row>
    <row r="1563" spans="2:15">
      <c r="B1563" s="2" t="s">
        <v>1659</v>
      </c>
      <c r="C1563" s="2" t="s">
        <v>1457</v>
      </c>
      <c r="D1563" s="2" t="s">
        <v>1466</v>
      </c>
      <c r="E1563" s="2" t="s">
        <v>1459</v>
      </c>
      <c r="F1563" s="2" t="s">
        <v>20</v>
      </c>
      <c r="G1563" s="2" t="s">
        <v>1467</v>
      </c>
      <c r="H1563" s="2" t="s">
        <v>104</v>
      </c>
      <c r="I1563" s="3">
        <v>120</v>
      </c>
      <c r="J1563" s="3">
        <v>170</v>
      </c>
      <c r="K1563" s="4">
        <v>4</v>
      </c>
      <c r="O1563" s="3"/>
    </row>
    <row r="1564" spans="2:15">
      <c r="B1564" s="2" t="s">
        <v>1660</v>
      </c>
      <c r="C1564" s="2" t="s">
        <v>1457</v>
      </c>
      <c r="D1564" s="2" t="s">
        <v>1466</v>
      </c>
      <c r="E1564" s="2" t="s">
        <v>1463</v>
      </c>
      <c r="F1564" s="2" t="s">
        <v>20</v>
      </c>
      <c r="G1564" s="2" t="s">
        <v>1467</v>
      </c>
      <c r="H1564" s="2" t="s">
        <v>25</v>
      </c>
      <c r="I1564" s="3">
        <v>100</v>
      </c>
      <c r="J1564" s="3">
        <v>140</v>
      </c>
      <c r="K1564" s="4">
        <v>3</v>
      </c>
      <c r="O1564" s="3"/>
    </row>
    <row r="1565" spans="2:15">
      <c r="B1565" s="2" t="s">
        <v>1661</v>
      </c>
      <c r="C1565" s="2" t="s">
        <v>1457</v>
      </c>
      <c r="D1565" s="2" t="s">
        <v>1466</v>
      </c>
      <c r="E1565" s="2" t="s">
        <v>1463</v>
      </c>
      <c r="F1565" s="2" t="s">
        <v>20</v>
      </c>
      <c r="G1565" s="2" t="s">
        <v>1460</v>
      </c>
      <c r="H1565" s="2" t="s">
        <v>57</v>
      </c>
      <c r="I1565" s="3">
        <v>70</v>
      </c>
      <c r="J1565" s="3">
        <v>100</v>
      </c>
      <c r="K1565" s="4">
        <v>6</v>
      </c>
      <c r="O1565" s="3"/>
    </row>
    <row r="1566" spans="2:15">
      <c r="B1566" s="2" t="s">
        <v>1662</v>
      </c>
      <c r="C1566" s="2" t="s">
        <v>1457</v>
      </c>
      <c r="D1566" s="2" t="s">
        <v>1462</v>
      </c>
      <c r="E1566" s="2" t="s">
        <v>1463</v>
      </c>
      <c r="F1566" s="2" t="s">
        <v>15</v>
      </c>
      <c r="G1566" s="2" t="s">
        <v>1470</v>
      </c>
      <c r="H1566" s="2" t="s">
        <v>57</v>
      </c>
      <c r="I1566" s="3">
        <v>130</v>
      </c>
      <c r="J1566" s="3">
        <v>180</v>
      </c>
      <c r="K1566" s="4">
        <v>4</v>
      </c>
      <c r="O1566" s="3"/>
    </row>
    <row r="1567" spans="2:15">
      <c r="B1567" s="2" t="s">
        <v>1663</v>
      </c>
      <c r="C1567" s="2" t="s">
        <v>1457</v>
      </c>
      <c r="D1567" s="2" t="s">
        <v>1458</v>
      </c>
      <c r="E1567" s="2" t="s">
        <v>1463</v>
      </c>
      <c r="F1567" s="2" t="s">
        <v>20</v>
      </c>
      <c r="G1567" s="2" t="s">
        <v>1473</v>
      </c>
      <c r="H1567" s="2" t="s">
        <v>104</v>
      </c>
      <c r="I1567" s="3">
        <v>80</v>
      </c>
      <c r="J1567" s="3">
        <v>110</v>
      </c>
      <c r="K1567" s="4">
        <v>3</v>
      </c>
      <c r="O1567" s="3"/>
    </row>
    <row r="1568" spans="2:15">
      <c r="B1568" s="2" t="s">
        <v>1664</v>
      </c>
      <c r="C1568" s="2" t="s">
        <v>1457</v>
      </c>
      <c r="D1568" s="2" t="s">
        <v>1472</v>
      </c>
      <c r="E1568" s="2" t="s">
        <v>1459</v>
      </c>
      <c r="F1568" s="2" t="s">
        <v>15</v>
      </c>
      <c r="G1568" s="2" t="s">
        <v>1460</v>
      </c>
      <c r="H1568" s="2" t="s">
        <v>69</v>
      </c>
      <c r="I1568" s="3">
        <v>140</v>
      </c>
      <c r="J1568" s="3">
        <v>190</v>
      </c>
      <c r="K1568" s="4">
        <v>4</v>
      </c>
      <c r="O1568" s="3"/>
    </row>
    <row r="1569" spans="2:15">
      <c r="B1569" s="2" t="s">
        <v>1665</v>
      </c>
      <c r="C1569" s="2" t="s">
        <v>1457</v>
      </c>
      <c r="D1569" s="2" t="s">
        <v>1462</v>
      </c>
      <c r="E1569" s="2" t="s">
        <v>1463</v>
      </c>
      <c r="F1569" s="2" t="s">
        <v>15</v>
      </c>
      <c r="G1569" s="2" t="s">
        <v>1460</v>
      </c>
      <c r="H1569" s="2" t="s">
        <v>41</v>
      </c>
      <c r="I1569" s="3">
        <v>70</v>
      </c>
      <c r="J1569" s="3">
        <v>100</v>
      </c>
      <c r="K1569" s="4">
        <v>5</v>
      </c>
      <c r="O1569" s="3"/>
    </row>
    <row r="1570" spans="2:15">
      <c r="B1570" s="2" t="s">
        <v>1666</v>
      </c>
      <c r="C1570" s="2" t="s">
        <v>1457</v>
      </c>
      <c r="D1570" s="2" t="s">
        <v>1476</v>
      </c>
      <c r="E1570" s="2" t="s">
        <v>1459</v>
      </c>
      <c r="F1570" s="2" t="s">
        <v>15</v>
      </c>
      <c r="G1570" s="2" t="s">
        <v>1460</v>
      </c>
      <c r="H1570" s="2" t="s">
        <v>37</v>
      </c>
      <c r="I1570" s="3">
        <v>100</v>
      </c>
      <c r="J1570" s="3">
        <v>140</v>
      </c>
      <c r="K1570" s="4">
        <v>4</v>
      </c>
      <c r="O1570" s="3"/>
    </row>
    <row r="1571" spans="2:15">
      <c r="B1571" s="2" t="s">
        <v>1667</v>
      </c>
      <c r="C1571" s="2" t="s">
        <v>1457</v>
      </c>
      <c r="D1571" s="2" t="s">
        <v>1472</v>
      </c>
      <c r="E1571" s="2" t="s">
        <v>1463</v>
      </c>
      <c r="F1571" s="2" t="s">
        <v>20</v>
      </c>
      <c r="G1571" s="2" t="s">
        <v>1464</v>
      </c>
      <c r="H1571" s="2" t="s">
        <v>49</v>
      </c>
      <c r="I1571" s="3">
        <v>80</v>
      </c>
      <c r="J1571" s="3">
        <v>120</v>
      </c>
      <c r="K1571" s="4">
        <v>3</v>
      </c>
      <c r="O1571" s="3"/>
    </row>
    <row r="1572" spans="2:15">
      <c r="B1572" s="2" t="s">
        <v>1668</v>
      </c>
      <c r="C1572" s="2" t="s">
        <v>1457</v>
      </c>
      <c r="D1572" s="2" t="s">
        <v>1466</v>
      </c>
      <c r="E1572" s="2" t="s">
        <v>1459</v>
      </c>
      <c r="F1572" s="2" t="s">
        <v>20</v>
      </c>
      <c r="G1572" s="2" t="s">
        <v>1460</v>
      </c>
      <c r="H1572" s="2" t="s">
        <v>22</v>
      </c>
      <c r="I1572" s="3">
        <v>120</v>
      </c>
      <c r="J1572" s="3">
        <v>160</v>
      </c>
      <c r="K1572" s="4">
        <v>5</v>
      </c>
      <c r="O1572" s="3"/>
    </row>
    <row r="1573" spans="2:15">
      <c r="B1573" s="2" t="s">
        <v>1669</v>
      </c>
      <c r="C1573" s="2" t="s">
        <v>1457</v>
      </c>
      <c r="D1573" s="2" t="s">
        <v>1476</v>
      </c>
      <c r="E1573" s="2" t="s">
        <v>1459</v>
      </c>
      <c r="F1573" s="2" t="s">
        <v>15</v>
      </c>
      <c r="G1573" s="2" t="s">
        <v>1464</v>
      </c>
      <c r="H1573" s="2" t="s">
        <v>101</v>
      </c>
      <c r="I1573" s="3">
        <v>90</v>
      </c>
      <c r="J1573" s="3">
        <v>130</v>
      </c>
      <c r="K1573" s="4">
        <v>5</v>
      </c>
      <c r="O1573" s="3"/>
    </row>
    <row r="1574" spans="2:15">
      <c r="B1574" s="2" t="s">
        <v>1670</v>
      </c>
      <c r="C1574" s="2" t="s">
        <v>1457</v>
      </c>
      <c r="D1574" s="2" t="s">
        <v>1472</v>
      </c>
      <c r="E1574" s="2" t="s">
        <v>1463</v>
      </c>
      <c r="F1574" s="2" t="s">
        <v>15</v>
      </c>
      <c r="G1574" s="2" t="s">
        <v>1481</v>
      </c>
      <c r="H1574" s="2" t="s">
        <v>43</v>
      </c>
      <c r="I1574" s="3">
        <v>80</v>
      </c>
      <c r="J1574" s="3">
        <v>120</v>
      </c>
      <c r="K1574" s="4">
        <v>3</v>
      </c>
      <c r="O1574" s="3"/>
    </row>
    <row r="1575" spans="2:15">
      <c r="B1575" s="2" t="s">
        <v>1671</v>
      </c>
      <c r="C1575" s="2" t="s">
        <v>1457</v>
      </c>
      <c r="D1575" s="2" t="s">
        <v>1462</v>
      </c>
      <c r="E1575" s="2" t="s">
        <v>1463</v>
      </c>
      <c r="F1575" s="2" t="s">
        <v>20</v>
      </c>
      <c r="G1575" s="2" t="s">
        <v>1470</v>
      </c>
      <c r="H1575" s="2" t="s">
        <v>29</v>
      </c>
      <c r="I1575" s="3">
        <v>90</v>
      </c>
      <c r="J1575" s="3">
        <v>120</v>
      </c>
      <c r="K1575" s="4">
        <v>6</v>
      </c>
      <c r="O1575" s="3"/>
    </row>
    <row r="1576" spans="2:15">
      <c r="B1576" s="2" t="s">
        <v>1672</v>
      </c>
      <c r="C1576" s="2" t="s">
        <v>1457</v>
      </c>
      <c r="D1576" s="2" t="s">
        <v>1466</v>
      </c>
      <c r="E1576" s="2" t="s">
        <v>1463</v>
      </c>
      <c r="F1576" s="2" t="s">
        <v>15</v>
      </c>
      <c r="G1576" s="2" t="s">
        <v>1460</v>
      </c>
      <c r="H1576" s="2" t="s">
        <v>43</v>
      </c>
      <c r="I1576" s="3">
        <v>80</v>
      </c>
      <c r="J1576" s="3">
        <v>110</v>
      </c>
      <c r="K1576" s="4">
        <v>5</v>
      </c>
      <c r="O1576" s="3"/>
    </row>
    <row r="1577" spans="2:15">
      <c r="B1577" s="2" t="s">
        <v>1673</v>
      </c>
      <c r="C1577" s="2" t="s">
        <v>1457</v>
      </c>
      <c r="D1577" s="2" t="s">
        <v>1462</v>
      </c>
      <c r="E1577" s="2" t="s">
        <v>1463</v>
      </c>
      <c r="F1577" s="2" t="s">
        <v>15</v>
      </c>
      <c r="G1577" s="2" t="s">
        <v>1481</v>
      </c>
      <c r="H1577" s="2" t="s">
        <v>51</v>
      </c>
      <c r="I1577" s="3">
        <v>90</v>
      </c>
      <c r="J1577" s="3">
        <v>120</v>
      </c>
      <c r="K1577" s="4">
        <v>6</v>
      </c>
      <c r="O1577" s="3"/>
    </row>
    <row r="1578" spans="2:15">
      <c r="B1578" s="2" t="s">
        <v>1674</v>
      </c>
      <c r="C1578" s="2" t="s">
        <v>1457</v>
      </c>
      <c r="D1578" s="2" t="s">
        <v>1476</v>
      </c>
      <c r="E1578" s="2" t="s">
        <v>1463</v>
      </c>
      <c r="F1578" s="2" t="s">
        <v>20</v>
      </c>
      <c r="G1578" s="2" t="s">
        <v>1467</v>
      </c>
      <c r="H1578" s="2" t="s">
        <v>17</v>
      </c>
      <c r="I1578" s="3">
        <v>130</v>
      </c>
      <c r="J1578" s="3">
        <v>180</v>
      </c>
      <c r="K1578" s="4">
        <v>6</v>
      </c>
      <c r="O1578" s="3"/>
    </row>
    <row r="1579" spans="2:15">
      <c r="B1579" s="2" t="s">
        <v>1675</v>
      </c>
      <c r="C1579" s="2" t="s">
        <v>1457</v>
      </c>
      <c r="D1579" s="2" t="s">
        <v>1458</v>
      </c>
      <c r="E1579" s="2" t="s">
        <v>1463</v>
      </c>
      <c r="F1579" s="2" t="s">
        <v>15</v>
      </c>
      <c r="G1579" s="2" t="s">
        <v>1464</v>
      </c>
      <c r="H1579" s="2" t="s">
        <v>62</v>
      </c>
      <c r="I1579" s="3">
        <v>120</v>
      </c>
      <c r="J1579" s="3">
        <v>170</v>
      </c>
      <c r="K1579" s="4">
        <v>4</v>
      </c>
      <c r="O1579" s="3"/>
    </row>
    <row r="1580" spans="2:15">
      <c r="B1580" s="2" t="s">
        <v>1676</v>
      </c>
      <c r="C1580" s="2" t="s">
        <v>1457</v>
      </c>
      <c r="D1580" s="2" t="s">
        <v>1466</v>
      </c>
      <c r="E1580" s="2" t="s">
        <v>1463</v>
      </c>
      <c r="F1580" s="2" t="s">
        <v>20</v>
      </c>
      <c r="G1580" s="2" t="s">
        <v>1467</v>
      </c>
      <c r="H1580" s="2" t="s">
        <v>43</v>
      </c>
      <c r="I1580" s="3">
        <v>120</v>
      </c>
      <c r="J1580" s="3">
        <v>170</v>
      </c>
      <c r="K1580" s="4">
        <v>4</v>
      </c>
      <c r="O1580" s="3"/>
    </row>
    <row r="1581" spans="2:15">
      <c r="B1581" s="2" t="s">
        <v>1677</v>
      </c>
      <c r="C1581" s="2" t="s">
        <v>1457</v>
      </c>
      <c r="D1581" s="2" t="s">
        <v>1466</v>
      </c>
      <c r="E1581" s="2" t="s">
        <v>1459</v>
      </c>
      <c r="F1581" s="2" t="s">
        <v>20</v>
      </c>
      <c r="G1581" s="2" t="s">
        <v>1481</v>
      </c>
      <c r="H1581" s="2" t="s">
        <v>62</v>
      </c>
      <c r="I1581" s="3">
        <v>120</v>
      </c>
      <c r="J1581" s="3">
        <v>160</v>
      </c>
      <c r="K1581" s="4">
        <v>6</v>
      </c>
      <c r="O1581" s="3"/>
    </row>
    <row r="1582" spans="2:15">
      <c r="B1582" s="2" t="s">
        <v>1678</v>
      </c>
      <c r="C1582" s="2" t="s">
        <v>1457</v>
      </c>
      <c r="D1582" s="2" t="s">
        <v>1466</v>
      </c>
      <c r="E1582" s="2" t="s">
        <v>1459</v>
      </c>
      <c r="F1582" s="2" t="s">
        <v>15</v>
      </c>
      <c r="G1582" s="2" t="s">
        <v>1481</v>
      </c>
      <c r="H1582" s="2" t="s">
        <v>57</v>
      </c>
      <c r="I1582" s="3">
        <v>90</v>
      </c>
      <c r="J1582" s="3">
        <v>120</v>
      </c>
      <c r="K1582" s="4">
        <v>5</v>
      </c>
      <c r="O1582" s="3"/>
    </row>
    <row r="1583" spans="2:15">
      <c r="B1583" s="2" t="s">
        <v>1679</v>
      </c>
      <c r="C1583" s="2" t="s">
        <v>1457</v>
      </c>
      <c r="D1583" s="2" t="s">
        <v>1462</v>
      </c>
      <c r="E1583" s="2" t="s">
        <v>1463</v>
      </c>
      <c r="F1583" s="2" t="s">
        <v>20</v>
      </c>
      <c r="G1583" s="2" t="s">
        <v>1460</v>
      </c>
      <c r="H1583" s="2" t="s">
        <v>17</v>
      </c>
      <c r="I1583" s="3">
        <v>130</v>
      </c>
      <c r="J1583" s="3">
        <v>180</v>
      </c>
      <c r="K1583" s="4">
        <v>3</v>
      </c>
      <c r="O1583" s="3"/>
    </row>
    <row r="1584" spans="2:15">
      <c r="B1584" s="2" t="s">
        <v>1680</v>
      </c>
      <c r="C1584" s="2" t="s">
        <v>1457</v>
      </c>
      <c r="D1584" s="2" t="s">
        <v>1466</v>
      </c>
      <c r="E1584" s="2" t="s">
        <v>1459</v>
      </c>
      <c r="F1584" s="2" t="s">
        <v>15</v>
      </c>
      <c r="G1584" s="2" t="s">
        <v>1467</v>
      </c>
      <c r="H1584" s="2" t="s">
        <v>69</v>
      </c>
      <c r="I1584" s="3">
        <v>90</v>
      </c>
      <c r="J1584" s="3">
        <v>120</v>
      </c>
      <c r="K1584" s="4">
        <v>6</v>
      </c>
      <c r="O1584" s="3"/>
    </row>
    <row r="1585" spans="2:15">
      <c r="B1585" s="2" t="s">
        <v>1681</v>
      </c>
      <c r="C1585" s="2" t="s">
        <v>1457</v>
      </c>
      <c r="D1585" s="2" t="s">
        <v>1466</v>
      </c>
      <c r="E1585" s="2" t="s">
        <v>1459</v>
      </c>
      <c r="F1585" s="2" t="s">
        <v>20</v>
      </c>
      <c r="G1585" s="2" t="s">
        <v>1470</v>
      </c>
      <c r="H1585" s="2" t="s">
        <v>25</v>
      </c>
      <c r="I1585" s="3">
        <v>120</v>
      </c>
      <c r="J1585" s="3">
        <v>160</v>
      </c>
      <c r="K1585" s="4">
        <v>4</v>
      </c>
      <c r="O1585" s="3"/>
    </row>
    <row r="1586" spans="2:15">
      <c r="B1586" s="2" t="s">
        <v>1682</v>
      </c>
      <c r="C1586" s="2" t="s">
        <v>1457</v>
      </c>
      <c r="D1586" s="2" t="s">
        <v>1462</v>
      </c>
      <c r="E1586" s="2" t="s">
        <v>1463</v>
      </c>
      <c r="F1586" s="2" t="s">
        <v>20</v>
      </c>
      <c r="G1586" s="2" t="s">
        <v>1473</v>
      </c>
      <c r="H1586" s="2" t="s">
        <v>17</v>
      </c>
      <c r="I1586" s="3">
        <v>70</v>
      </c>
      <c r="J1586" s="3">
        <v>100</v>
      </c>
      <c r="K1586" s="4">
        <v>3</v>
      </c>
      <c r="O1586" s="3"/>
    </row>
    <row r="1587" spans="2:15">
      <c r="B1587" s="2" t="s">
        <v>1683</v>
      </c>
      <c r="C1587" s="2" t="s">
        <v>1457</v>
      </c>
      <c r="D1587" s="2" t="s">
        <v>1458</v>
      </c>
      <c r="E1587" s="2" t="s">
        <v>1463</v>
      </c>
      <c r="F1587" s="2" t="s">
        <v>20</v>
      </c>
      <c r="G1587" s="2" t="s">
        <v>1460</v>
      </c>
      <c r="H1587" s="2" t="s">
        <v>51</v>
      </c>
      <c r="I1587" s="3">
        <v>70</v>
      </c>
      <c r="J1587" s="3">
        <v>100</v>
      </c>
      <c r="K1587" s="4">
        <v>4</v>
      </c>
      <c r="O1587" s="3"/>
    </row>
    <row r="1588" spans="2:15">
      <c r="B1588" s="2" t="s">
        <v>1684</v>
      </c>
      <c r="C1588" s="2" t="s">
        <v>1457</v>
      </c>
      <c r="D1588" s="2" t="s">
        <v>1472</v>
      </c>
      <c r="E1588" s="2" t="s">
        <v>1463</v>
      </c>
      <c r="F1588" s="2" t="s">
        <v>15</v>
      </c>
      <c r="G1588" s="2" t="s">
        <v>1467</v>
      </c>
      <c r="H1588" s="2" t="s">
        <v>49</v>
      </c>
      <c r="I1588" s="3">
        <v>140</v>
      </c>
      <c r="J1588" s="3">
        <v>190</v>
      </c>
      <c r="K1588" s="4">
        <v>6</v>
      </c>
      <c r="O1588" s="3"/>
    </row>
    <row r="1589" spans="2:15">
      <c r="B1589" s="2" t="s">
        <v>1685</v>
      </c>
      <c r="C1589" s="2" t="s">
        <v>1457</v>
      </c>
      <c r="D1589" s="2" t="s">
        <v>1472</v>
      </c>
      <c r="E1589" s="2" t="s">
        <v>1459</v>
      </c>
      <c r="F1589" s="2" t="s">
        <v>20</v>
      </c>
      <c r="G1589" s="2" t="s">
        <v>1473</v>
      </c>
      <c r="H1589" s="2" t="s">
        <v>104</v>
      </c>
      <c r="I1589" s="3">
        <v>70</v>
      </c>
      <c r="J1589" s="3">
        <v>100</v>
      </c>
      <c r="K1589" s="4">
        <v>4</v>
      </c>
      <c r="O1589" s="3"/>
    </row>
    <row r="1590" spans="2:15">
      <c r="B1590" s="2" t="s">
        <v>1686</v>
      </c>
      <c r="C1590" s="2" t="s">
        <v>1457</v>
      </c>
      <c r="D1590" s="2" t="s">
        <v>1462</v>
      </c>
      <c r="E1590" s="2" t="s">
        <v>1459</v>
      </c>
      <c r="F1590" s="2" t="s">
        <v>15</v>
      </c>
      <c r="G1590" s="2" t="s">
        <v>1470</v>
      </c>
      <c r="H1590" s="2" t="s">
        <v>29</v>
      </c>
      <c r="I1590" s="3">
        <v>130</v>
      </c>
      <c r="J1590" s="3">
        <v>190</v>
      </c>
      <c r="K1590" s="4">
        <v>5</v>
      </c>
      <c r="O1590" s="3"/>
    </row>
    <row r="1591" spans="2:15">
      <c r="B1591" s="2" t="s">
        <v>1687</v>
      </c>
      <c r="C1591" s="2" t="s">
        <v>1457</v>
      </c>
      <c r="D1591" s="2" t="s">
        <v>1472</v>
      </c>
      <c r="E1591" s="2" t="s">
        <v>1459</v>
      </c>
      <c r="F1591" s="2" t="s">
        <v>15</v>
      </c>
      <c r="G1591" s="2" t="s">
        <v>1460</v>
      </c>
      <c r="H1591" s="2" t="s">
        <v>33</v>
      </c>
      <c r="I1591" s="3">
        <v>130</v>
      </c>
      <c r="J1591" s="3">
        <v>190</v>
      </c>
      <c r="K1591" s="4">
        <v>3</v>
      </c>
      <c r="O1591" s="3"/>
    </row>
    <row r="1592" spans="2:15">
      <c r="B1592" s="2" t="s">
        <v>1688</v>
      </c>
      <c r="C1592" s="2" t="s">
        <v>1457</v>
      </c>
      <c r="D1592" s="2" t="s">
        <v>1476</v>
      </c>
      <c r="E1592" s="2" t="s">
        <v>1459</v>
      </c>
      <c r="F1592" s="2" t="s">
        <v>20</v>
      </c>
      <c r="G1592" s="2" t="s">
        <v>1470</v>
      </c>
      <c r="H1592" s="2" t="s">
        <v>25</v>
      </c>
      <c r="I1592" s="3">
        <v>140</v>
      </c>
      <c r="J1592" s="3">
        <v>190</v>
      </c>
      <c r="K1592" s="4">
        <v>3</v>
      </c>
      <c r="O1592" s="3"/>
    </row>
    <row r="1593" spans="2:15">
      <c r="B1593" s="2" t="s">
        <v>1689</v>
      </c>
      <c r="C1593" s="2" t="s">
        <v>1457</v>
      </c>
      <c r="D1593" s="2" t="s">
        <v>1476</v>
      </c>
      <c r="E1593" s="2" t="s">
        <v>1459</v>
      </c>
      <c r="F1593" s="2" t="s">
        <v>20</v>
      </c>
      <c r="G1593" s="2" t="s">
        <v>1467</v>
      </c>
      <c r="H1593" s="2" t="s">
        <v>29</v>
      </c>
      <c r="I1593" s="3">
        <v>100</v>
      </c>
      <c r="J1593" s="3">
        <v>140</v>
      </c>
      <c r="K1593" s="4">
        <v>6</v>
      </c>
      <c r="O1593" s="3"/>
    </row>
    <row r="1594" spans="2:15">
      <c r="B1594" s="2" t="s">
        <v>1690</v>
      </c>
      <c r="C1594" s="2" t="s">
        <v>1457</v>
      </c>
      <c r="D1594" s="2" t="s">
        <v>1476</v>
      </c>
      <c r="E1594" s="2" t="s">
        <v>1463</v>
      </c>
      <c r="F1594" s="2" t="s">
        <v>20</v>
      </c>
      <c r="G1594" s="2" t="s">
        <v>1473</v>
      </c>
      <c r="H1594" s="2" t="s">
        <v>41</v>
      </c>
      <c r="I1594" s="3">
        <v>110</v>
      </c>
      <c r="J1594" s="3">
        <v>150</v>
      </c>
      <c r="K1594" s="4">
        <v>6</v>
      </c>
      <c r="O1594" s="3"/>
    </row>
    <row r="1595" spans="2:15">
      <c r="B1595" s="2" t="s">
        <v>1691</v>
      </c>
      <c r="C1595" s="2" t="s">
        <v>1457</v>
      </c>
      <c r="D1595" s="2" t="s">
        <v>1472</v>
      </c>
      <c r="E1595" s="2" t="s">
        <v>1459</v>
      </c>
      <c r="F1595" s="2" t="s">
        <v>20</v>
      </c>
      <c r="G1595" s="2" t="s">
        <v>1473</v>
      </c>
      <c r="H1595" s="2" t="s">
        <v>41</v>
      </c>
      <c r="I1595" s="3">
        <v>90</v>
      </c>
      <c r="J1595" s="3">
        <v>130</v>
      </c>
      <c r="K1595" s="4">
        <v>5</v>
      </c>
      <c r="O1595" s="3"/>
    </row>
    <row r="1596" spans="2:15">
      <c r="B1596" s="2" t="s">
        <v>1692</v>
      </c>
      <c r="C1596" s="2" t="s">
        <v>1457</v>
      </c>
      <c r="D1596" s="2" t="s">
        <v>1462</v>
      </c>
      <c r="E1596" s="2" t="s">
        <v>1463</v>
      </c>
      <c r="F1596" s="2" t="s">
        <v>20</v>
      </c>
      <c r="G1596" s="2" t="s">
        <v>1464</v>
      </c>
      <c r="H1596" s="2" t="s">
        <v>37</v>
      </c>
      <c r="I1596" s="3">
        <v>70</v>
      </c>
      <c r="J1596" s="3">
        <v>100</v>
      </c>
      <c r="K1596" s="4">
        <v>3</v>
      </c>
      <c r="O1596" s="3"/>
    </row>
    <row r="1597" spans="2:15">
      <c r="B1597" s="2" t="s">
        <v>1693</v>
      </c>
      <c r="C1597" s="2" t="s">
        <v>1457</v>
      </c>
      <c r="D1597" s="2" t="s">
        <v>1458</v>
      </c>
      <c r="E1597" s="2" t="s">
        <v>1459</v>
      </c>
      <c r="F1597" s="2" t="s">
        <v>15</v>
      </c>
      <c r="G1597" s="2" t="s">
        <v>1460</v>
      </c>
      <c r="H1597" s="2" t="s">
        <v>62</v>
      </c>
      <c r="I1597" s="3">
        <v>100</v>
      </c>
      <c r="J1597" s="3">
        <v>140</v>
      </c>
      <c r="K1597" s="4">
        <v>4</v>
      </c>
      <c r="O1597" s="3"/>
    </row>
    <row r="1598" spans="2:15">
      <c r="B1598" s="2" t="s">
        <v>1694</v>
      </c>
      <c r="C1598" s="2" t="s">
        <v>1457</v>
      </c>
      <c r="D1598" s="2" t="s">
        <v>1462</v>
      </c>
      <c r="E1598" s="2" t="s">
        <v>1463</v>
      </c>
      <c r="F1598" s="2" t="s">
        <v>20</v>
      </c>
      <c r="G1598" s="2" t="s">
        <v>1464</v>
      </c>
      <c r="H1598" s="2" t="s">
        <v>71</v>
      </c>
      <c r="I1598" s="3">
        <v>70</v>
      </c>
      <c r="J1598" s="3">
        <v>100</v>
      </c>
      <c r="K1598" s="4">
        <v>3</v>
      </c>
      <c r="O1598" s="3"/>
    </row>
    <row r="1599" spans="2:15">
      <c r="B1599" s="2" t="s">
        <v>1695</v>
      </c>
      <c r="C1599" s="2" t="s">
        <v>1457</v>
      </c>
      <c r="D1599" s="2" t="s">
        <v>1466</v>
      </c>
      <c r="E1599" s="2" t="s">
        <v>1459</v>
      </c>
      <c r="F1599" s="2" t="s">
        <v>15</v>
      </c>
      <c r="G1599" s="2" t="s">
        <v>1473</v>
      </c>
      <c r="H1599" s="2" t="s">
        <v>101</v>
      </c>
      <c r="I1599" s="3">
        <v>130</v>
      </c>
      <c r="J1599" s="3">
        <v>180</v>
      </c>
      <c r="K1599" s="4">
        <v>3</v>
      </c>
      <c r="O1599" s="3"/>
    </row>
    <row r="1600" spans="2:15">
      <c r="B1600" s="2" t="s">
        <v>1696</v>
      </c>
      <c r="C1600" s="2" t="s">
        <v>1457</v>
      </c>
      <c r="D1600" s="2" t="s">
        <v>1472</v>
      </c>
      <c r="E1600" s="2" t="s">
        <v>1463</v>
      </c>
      <c r="F1600" s="2" t="s">
        <v>20</v>
      </c>
      <c r="G1600" s="2" t="s">
        <v>1481</v>
      </c>
      <c r="H1600" s="2" t="s">
        <v>59</v>
      </c>
      <c r="I1600" s="3">
        <v>120</v>
      </c>
      <c r="J1600" s="3">
        <v>160</v>
      </c>
      <c r="K1600" s="4">
        <v>5</v>
      </c>
      <c r="O1600" s="3"/>
    </row>
    <row r="1601" spans="2:15">
      <c r="B1601" s="2" t="s">
        <v>1697</v>
      </c>
      <c r="C1601" s="2" t="s">
        <v>1457</v>
      </c>
      <c r="D1601" s="2" t="s">
        <v>1466</v>
      </c>
      <c r="E1601" s="2" t="s">
        <v>1463</v>
      </c>
      <c r="F1601" s="2" t="s">
        <v>15</v>
      </c>
      <c r="G1601" s="2" t="s">
        <v>1467</v>
      </c>
      <c r="H1601" s="2" t="s">
        <v>75</v>
      </c>
      <c r="I1601" s="3">
        <v>90</v>
      </c>
      <c r="J1601" s="3">
        <v>120</v>
      </c>
      <c r="K1601" s="4">
        <v>3</v>
      </c>
      <c r="O1601" s="3"/>
    </row>
    <row r="1602" spans="2:15">
      <c r="B1602" s="2" t="s">
        <v>1698</v>
      </c>
      <c r="C1602" s="2" t="s">
        <v>1457</v>
      </c>
      <c r="D1602" s="2" t="s">
        <v>1462</v>
      </c>
      <c r="E1602" s="2" t="s">
        <v>1459</v>
      </c>
      <c r="F1602" s="2" t="s">
        <v>15</v>
      </c>
      <c r="G1602" s="2" t="s">
        <v>1470</v>
      </c>
      <c r="H1602" s="2" t="s">
        <v>71</v>
      </c>
      <c r="I1602" s="3">
        <v>130</v>
      </c>
      <c r="J1602" s="3">
        <v>190</v>
      </c>
      <c r="K1602" s="4">
        <v>3</v>
      </c>
      <c r="O1602" s="3"/>
    </row>
    <row r="1603" spans="2:15">
      <c r="B1603" s="2" t="s">
        <v>1699</v>
      </c>
      <c r="C1603" s="2" t="s">
        <v>1457</v>
      </c>
      <c r="D1603" s="2" t="s">
        <v>1462</v>
      </c>
      <c r="E1603" s="2" t="s">
        <v>1459</v>
      </c>
      <c r="F1603" s="2" t="s">
        <v>15</v>
      </c>
      <c r="G1603" s="2" t="s">
        <v>1473</v>
      </c>
      <c r="H1603" s="2" t="s">
        <v>43</v>
      </c>
      <c r="I1603" s="3">
        <v>110</v>
      </c>
      <c r="J1603" s="3">
        <v>150</v>
      </c>
      <c r="K1603" s="4">
        <v>4</v>
      </c>
      <c r="O1603" s="3"/>
    </row>
    <row r="1604" spans="2:15">
      <c r="B1604" s="2" t="s">
        <v>1700</v>
      </c>
      <c r="C1604" s="2" t="s">
        <v>1457</v>
      </c>
      <c r="D1604" s="2" t="s">
        <v>1462</v>
      </c>
      <c r="E1604" s="2" t="s">
        <v>1459</v>
      </c>
      <c r="F1604" s="2" t="s">
        <v>15</v>
      </c>
      <c r="G1604" s="2" t="s">
        <v>1470</v>
      </c>
      <c r="H1604" s="2" t="s">
        <v>57</v>
      </c>
      <c r="I1604" s="3">
        <v>100</v>
      </c>
      <c r="J1604" s="3">
        <v>140</v>
      </c>
      <c r="K1604" s="4">
        <v>5</v>
      </c>
      <c r="O1604" s="3"/>
    </row>
    <row r="1605" spans="2:15">
      <c r="B1605" s="2" t="s">
        <v>1701</v>
      </c>
      <c r="C1605" s="2" t="s">
        <v>1457</v>
      </c>
      <c r="D1605" s="2" t="s">
        <v>1472</v>
      </c>
      <c r="E1605" s="2" t="s">
        <v>1463</v>
      </c>
      <c r="F1605" s="2" t="s">
        <v>20</v>
      </c>
      <c r="G1605" s="2" t="s">
        <v>1467</v>
      </c>
      <c r="H1605" s="2" t="s">
        <v>59</v>
      </c>
      <c r="I1605" s="3">
        <v>110</v>
      </c>
      <c r="J1605" s="3">
        <v>150</v>
      </c>
      <c r="K1605" s="4">
        <v>4</v>
      </c>
      <c r="O1605" s="3"/>
    </row>
    <row r="1606" spans="2:15">
      <c r="B1606" s="2" t="s">
        <v>1702</v>
      </c>
      <c r="C1606" s="2" t="s">
        <v>1457</v>
      </c>
      <c r="D1606" s="2" t="s">
        <v>1458</v>
      </c>
      <c r="E1606" s="2" t="s">
        <v>1459</v>
      </c>
      <c r="F1606" s="2" t="s">
        <v>20</v>
      </c>
      <c r="G1606" s="2" t="s">
        <v>1464</v>
      </c>
      <c r="H1606" s="2" t="s">
        <v>51</v>
      </c>
      <c r="I1606" s="3">
        <v>100</v>
      </c>
      <c r="J1606" s="3">
        <v>130</v>
      </c>
      <c r="K1606" s="4">
        <v>3</v>
      </c>
      <c r="O1606" s="3"/>
    </row>
    <row r="1607" spans="2:15">
      <c r="B1607" s="2" t="s">
        <v>1703</v>
      </c>
      <c r="C1607" s="2" t="s">
        <v>1457</v>
      </c>
      <c r="D1607" s="2" t="s">
        <v>1462</v>
      </c>
      <c r="E1607" s="2" t="s">
        <v>1463</v>
      </c>
      <c r="F1607" s="2" t="s">
        <v>20</v>
      </c>
      <c r="G1607" s="2" t="s">
        <v>1470</v>
      </c>
      <c r="H1607" s="2" t="s">
        <v>37</v>
      </c>
      <c r="I1607" s="3">
        <v>70</v>
      </c>
      <c r="J1607" s="3">
        <v>100</v>
      </c>
      <c r="K1607" s="4">
        <v>6</v>
      </c>
      <c r="O1607" s="3"/>
    </row>
    <row r="1608" spans="2:15">
      <c r="B1608" s="2" t="s">
        <v>1704</v>
      </c>
      <c r="C1608" s="2" t="s">
        <v>1457</v>
      </c>
      <c r="D1608" s="2" t="s">
        <v>1462</v>
      </c>
      <c r="E1608" s="2" t="s">
        <v>1463</v>
      </c>
      <c r="F1608" s="2" t="s">
        <v>20</v>
      </c>
      <c r="G1608" s="2" t="s">
        <v>1473</v>
      </c>
      <c r="H1608" s="2" t="s">
        <v>33</v>
      </c>
      <c r="I1608" s="3">
        <v>110</v>
      </c>
      <c r="J1608" s="3">
        <v>150</v>
      </c>
      <c r="K1608" s="4">
        <v>5</v>
      </c>
      <c r="O1608" s="3"/>
    </row>
    <row r="1609" spans="2:15">
      <c r="B1609" s="2" t="s">
        <v>1705</v>
      </c>
      <c r="C1609" s="2" t="s">
        <v>1457</v>
      </c>
      <c r="D1609" s="2" t="s">
        <v>1466</v>
      </c>
      <c r="E1609" s="2" t="s">
        <v>1459</v>
      </c>
      <c r="F1609" s="2" t="s">
        <v>20</v>
      </c>
      <c r="G1609" s="2" t="s">
        <v>1467</v>
      </c>
      <c r="H1609" s="2" t="s">
        <v>29</v>
      </c>
      <c r="I1609" s="3">
        <v>120</v>
      </c>
      <c r="J1609" s="3">
        <v>160</v>
      </c>
      <c r="K1609" s="4">
        <v>5</v>
      </c>
      <c r="O1609" s="3"/>
    </row>
    <row r="1610" spans="2:15">
      <c r="B1610" s="2" t="s">
        <v>1706</v>
      </c>
      <c r="C1610" s="2" t="s">
        <v>1457</v>
      </c>
      <c r="D1610" s="2" t="s">
        <v>1472</v>
      </c>
      <c r="E1610" s="2" t="s">
        <v>1463</v>
      </c>
      <c r="F1610" s="2" t="s">
        <v>20</v>
      </c>
      <c r="G1610" s="2" t="s">
        <v>1473</v>
      </c>
      <c r="H1610" s="2" t="s">
        <v>71</v>
      </c>
      <c r="I1610" s="3">
        <v>130</v>
      </c>
      <c r="J1610" s="3">
        <v>180</v>
      </c>
      <c r="K1610" s="4">
        <v>6</v>
      </c>
      <c r="O1610" s="3"/>
    </row>
    <row r="1611" spans="2:15">
      <c r="B1611" s="2" t="s">
        <v>1707</v>
      </c>
      <c r="C1611" s="2" t="s">
        <v>1457</v>
      </c>
      <c r="D1611" s="2" t="s">
        <v>1472</v>
      </c>
      <c r="E1611" s="2" t="s">
        <v>1463</v>
      </c>
      <c r="F1611" s="2" t="s">
        <v>15</v>
      </c>
      <c r="G1611" s="2" t="s">
        <v>1470</v>
      </c>
      <c r="H1611" s="2" t="s">
        <v>25</v>
      </c>
      <c r="I1611" s="3">
        <v>80</v>
      </c>
      <c r="J1611" s="3">
        <v>100</v>
      </c>
      <c r="K1611" s="4">
        <v>4</v>
      </c>
      <c r="O1611" s="3"/>
    </row>
    <row r="1612" spans="2:15">
      <c r="B1612" s="2" t="s">
        <v>1708</v>
      </c>
      <c r="C1612" s="2" t="s">
        <v>1457</v>
      </c>
      <c r="D1612" s="2" t="s">
        <v>1472</v>
      </c>
      <c r="E1612" s="2" t="s">
        <v>1463</v>
      </c>
      <c r="F1612" s="2" t="s">
        <v>15</v>
      </c>
      <c r="G1612" s="2" t="s">
        <v>1473</v>
      </c>
      <c r="H1612" s="2" t="s">
        <v>22</v>
      </c>
      <c r="I1612" s="3">
        <v>130</v>
      </c>
      <c r="J1612" s="3">
        <v>180</v>
      </c>
      <c r="K1612" s="4">
        <v>6</v>
      </c>
      <c r="O1612" s="3"/>
    </row>
    <row r="1613" spans="2:15">
      <c r="B1613" s="2" t="s">
        <v>1709</v>
      </c>
      <c r="C1613" s="2" t="s">
        <v>1457</v>
      </c>
      <c r="D1613" s="2" t="s">
        <v>1466</v>
      </c>
      <c r="E1613" s="2" t="s">
        <v>1459</v>
      </c>
      <c r="F1613" s="2" t="s">
        <v>20</v>
      </c>
      <c r="G1613" s="2" t="s">
        <v>1467</v>
      </c>
      <c r="H1613" s="2" t="s">
        <v>62</v>
      </c>
      <c r="I1613" s="3">
        <v>100</v>
      </c>
      <c r="J1613" s="3">
        <v>140</v>
      </c>
      <c r="K1613" s="4">
        <v>3</v>
      </c>
      <c r="O1613" s="3"/>
    </row>
    <row r="1614" spans="2:15">
      <c r="B1614" s="2" t="s">
        <v>1710</v>
      </c>
      <c r="C1614" s="2" t="s">
        <v>1457</v>
      </c>
      <c r="D1614" s="2" t="s">
        <v>1466</v>
      </c>
      <c r="E1614" s="2" t="s">
        <v>1463</v>
      </c>
      <c r="F1614" s="2" t="s">
        <v>15</v>
      </c>
      <c r="G1614" s="2" t="s">
        <v>1460</v>
      </c>
      <c r="H1614" s="2" t="s">
        <v>71</v>
      </c>
      <c r="I1614" s="3">
        <v>90</v>
      </c>
      <c r="J1614" s="3">
        <v>120</v>
      </c>
      <c r="K1614" s="4">
        <v>6</v>
      </c>
      <c r="O1614" s="3"/>
    </row>
    <row r="1615" spans="2:15">
      <c r="B1615" s="2" t="s">
        <v>1711</v>
      </c>
      <c r="C1615" s="2" t="s">
        <v>1457</v>
      </c>
      <c r="D1615" s="2" t="s">
        <v>1462</v>
      </c>
      <c r="E1615" s="2" t="s">
        <v>1463</v>
      </c>
      <c r="F1615" s="2" t="s">
        <v>15</v>
      </c>
      <c r="G1615" s="2" t="s">
        <v>1467</v>
      </c>
      <c r="H1615" s="2" t="s">
        <v>43</v>
      </c>
      <c r="I1615" s="3">
        <v>80</v>
      </c>
      <c r="J1615" s="3">
        <v>110</v>
      </c>
      <c r="K1615" s="4">
        <v>5</v>
      </c>
      <c r="O1615" s="3"/>
    </row>
    <row r="1616" spans="2:15">
      <c r="B1616" s="2" t="s">
        <v>1712</v>
      </c>
      <c r="C1616" s="2" t="s">
        <v>1457</v>
      </c>
      <c r="D1616" s="2" t="s">
        <v>1476</v>
      </c>
      <c r="E1616" s="2" t="s">
        <v>1463</v>
      </c>
      <c r="F1616" s="2" t="s">
        <v>20</v>
      </c>
      <c r="G1616" s="2" t="s">
        <v>1473</v>
      </c>
      <c r="H1616" s="2" t="s">
        <v>64</v>
      </c>
      <c r="I1616" s="3">
        <v>130</v>
      </c>
      <c r="J1616" s="3">
        <v>180</v>
      </c>
      <c r="K1616" s="4">
        <v>3</v>
      </c>
      <c r="O1616" s="3"/>
    </row>
    <row r="1617" spans="2:15">
      <c r="B1617" s="2" t="s">
        <v>1713</v>
      </c>
      <c r="C1617" s="2" t="s">
        <v>1457</v>
      </c>
      <c r="D1617" s="2" t="s">
        <v>1476</v>
      </c>
      <c r="E1617" s="2" t="s">
        <v>1459</v>
      </c>
      <c r="F1617" s="2" t="s">
        <v>15</v>
      </c>
      <c r="G1617" s="2" t="s">
        <v>1481</v>
      </c>
      <c r="H1617" s="2" t="s">
        <v>43</v>
      </c>
      <c r="I1617" s="3">
        <v>120</v>
      </c>
      <c r="J1617" s="3">
        <v>170</v>
      </c>
      <c r="K1617" s="4">
        <v>5</v>
      </c>
      <c r="O1617" s="3"/>
    </row>
    <row r="1618" spans="2:15">
      <c r="B1618" s="2" t="s">
        <v>1714</v>
      </c>
      <c r="C1618" s="2" t="s">
        <v>1457</v>
      </c>
      <c r="D1618" s="2" t="s">
        <v>1458</v>
      </c>
      <c r="E1618" s="2" t="s">
        <v>1463</v>
      </c>
      <c r="F1618" s="2" t="s">
        <v>20</v>
      </c>
      <c r="G1618" s="2" t="s">
        <v>1467</v>
      </c>
      <c r="H1618" s="2" t="s">
        <v>51</v>
      </c>
      <c r="I1618" s="3">
        <v>110</v>
      </c>
      <c r="J1618" s="3">
        <v>160</v>
      </c>
      <c r="K1618" s="4">
        <v>3</v>
      </c>
      <c r="O1618" s="3"/>
    </row>
    <row r="1619" spans="2:15">
      <c r="B1619" s="2" t="s">
        <v>1715</v>
      </c>
      <c r="C1619" s="2" t="s">
        <v>1457</v>
      </c>
      <c r="D1619" s="2" t="s">
        <v>1476</v>
      </c>
      <c r="E1619" s="2" t="s">
        <v>1459</v>
      </c>
      <c r="F1619" s="2" t="s">
        <v>20</v>
      </c>
      <c r="G1619" s="2" t="s">
        <v>1470</v>
      </c>
      <c r="H1619" s="2" t="s">
        <v>57</v>
      </c>
      <c r="I1619" s="3">
        <v>100</v>
      </c>
      <c r="J1619" s="3">
        <v>150</v>
      </c>
      <c r="K1619" s="4">
        <v>4</v>
      </c>
      <c r="O1619" s="3"/>
    </row>
    <row r="1620" spans="2:15">
      <c r="B1620" s="2" t="s">
        <v>1716</v>
      </c>
      <c r="C1620" s="2" t="s">
        <v>1457</v>
      </c>
      <c r="D1620" s="2" t="s">
        <v>1458</v>
      </c>
      <c r="E1620" s="2" t="s">
        <v>1459</v>
      </c>
      <c r="F1620" s="2" t="s">
        <v>15</v>
      </c>
      <c r="G1620" s="2" t="s">
        <v>1473</v>
      </c>
      <c r="H1620" s="2" t="s">
        <v>41</v>
      </c>
      <c r="I1620" s="3">
        <v>110</v>
      </c>
      <c r="J1620" s="3">
        <v>150</v>
      </c>
      <c r="K1620" s="4">
        <v>6</v>
      </c>
      <c r="O1620" s="3"/>
    </row>
    <row r="1621" spans="2:15">
      <c r="B1621" s="2" t="s">
        <v>1717</v>
      </c>
      <c r="C1621" s="2" t="s">
        <v>1457</v>
      </c>
      <c r="D1621" s="2" t="s">
        <v>1462</v>
      </c>
      <c r="E1621" s="2" t="s">
        <v>1459</v>
      </c>
      <c r="F1621" s="2" t="s">
        <v>20</v>
      </c>
      <c r="G1621" s="2" t="s">
        <v>1473</v>
      </c>
      <c r="H1621" s="2" t="s">
        <v>22</v>
      </c>
      <c r="I1621" s="3">
        <v>130</v>
      </c>
      <c r="J1621" s="3">
        <v>180</v>
      </c>
      <c r="K1621" s="4">
        <v>5</v>
      </c>
      <c r="O1621" s="3"/>
    </row>
    <row r="1622" spans="2:15">
      <c r="B1622" s="2" t="s">
        <v>1718</v>
      </c>
      <c r="C1622" s="2" t="s">
        <v>1457</v>
      </c>
      <c r="D1622" s="2" t="s">
        <v>1462</v>
      </c>
      <c r="E1622" s="2" t="s">
        <v>1459</v>
      </c>
      <c r="F1622" s="2" t="s">
        <v>20</v>
      </c>
      <c r="G1622" s="2" t="s">
        <v>1473</v>
      </c>
      <c r="H1622" s="2" t="s">
        <v>33</v>
      </c>
      <c r="I1622" s="3">
        <v>100</v>
      </c>
      <c r="J1622" s="3">
        <v>140</v>
      </c>
      <c r="K1622" s="4">
        <v>6</v>
      </c>
      <c r="O1622" s="3"/>
    </row>
    <row r="1623" spans="2:15">
      <c r="B1623" s="2" t="s">
        <v>1719</v>
      </c>
      <c r="C1623" s="2" t="s">
        <v>1457</v>
      </c>
      <c r="D1623" s="2" t="s">
        <v>1472</v>
      </c>
      <c r="E1623" s="2" t="s">
        <v>1463</v>
      </c>
      <c r="F1623" s="2" t="s">
        <v>15</v>
      </c>
      <c r="G1623" s="2" t="s">
        <v>1464</v>
      </c>
      <c r="H1623" s="2" t="s">
        <v>94</v>
      </c>
      <c r="I1623" s="3">
        <v>80</v>
      </c>
      <c r="J1623" s="3">
        <v>110</v>
      </c>
      <c r="K1623" s="4">
        <v>5</v>
      </c>
      <c r="O1623" s="3"/>
    </row>
    <row r="1624" spans="2:15">
      <c r="B1624" s="2" t="s">
        <v>1720</v>
      </c>
      <c r="C1624" s="2" t="s">
        <v>1457</v>
      </c>
      <c r="D1624" s="2" t="s">
        <v>1466</v>
      </c>
      <c r="E1624" s="2" t="s">
        <v>1459</v>
      </c>
      <c r="F1624" s="2" t="s">
        <v>15</v>
      </c>
      <c r="G1624" s="2" t="s">
        <v>1481</v>
      </c>
      <c r="H1624" s="2" t="s">
        <v>101</v>
      </c>
      <c r="I1624" s="3">
        <v>90</v>
      </c>
      <c r="J1624" s="3">
        <v>130</v>
      </c>
      <c r="K1624" s="4">
        <v>4</v>
      </c>
      <c r="O1624" s="3"/>
    </row>
    <row r="1625" spans="2:15">
      <c r="B1625" s="2" t="s">
        <v>1721</v>
      </c>
      <c r="C1625" s="2" t="s">
        <v>1457</v>
      </c>
      <c r="D1625" s="2" t="s">
        <v>1472</v>
      </c>
      <c r="E1625" s="2" t="s">
        <v>1463</v>
      </c>
      <c r="F1625" s="2" t="s">
        <v>15</v>
      </c>
      <c r="G1625" s="2" t="s">
        <v>1470</v>
      </c>
      <c r="H1625" s="2" t="s">
        <v>62</v>
      </c>
      <c r="I1625" s="3">
        <v>100</v>
      </c>
      <c r="J1625" s="3">
        <v>130</v>
      </c>
      <c r="K1625" s="4">
        <v>4</v>
      </c>
      <c r="O1625" s="3"/>
    </row>
    <row r="1626" spans="2:15">
      <c r="B1626" s="2" t="s">
        <v>1722</v>
      </c>
      <c r="C1626" s="2" t="s">
        <v>1457</v>
      </c>
      <c r="D1626" s="2" t="s">
        <v>1472</v>
      </c>
      <c r="E1626" s="2" t="s">
        <v>1463</v>
      </c>
      <c r="F1626" s="2" t="s">
        <v>20</v>
      </c>
      <c r="G1626" s="2" t="s">
        <v>1464</v>
      </c>
      <c r="H1626" s="2" t="s">
        <v>25</v>
      </c>
      <c r="I1626" s="3">
        <v>120</v>
      </c>
      <c r="J1626" s="3">
        <v>180</v>
      </c>
      <c r="K1626" s="4">
        <v>4</v>
      </c>
      <c r="O1626" s="3"/>
    </row>
    <row r="1627" spans="2:15">
      <c r="B1627" s="2" t="s">
        <v>1723</v>
      </c>
      <c r="C1627" s="2" t="s">
        <v>1457</v>
      </c>
      <c r="D1627" s="2" t="s">
        <v>1458</v>
      </c>
      <c r="E1627" s="2" t="s">
        <v>1459</v>
      </c>
      <c r="F1627" s="2" t="s">
        <v>15</v>
      </c>
      <c r="G1627" s="2" t="s">
        <v>1467</v>
      </c>
      <c r="H1627" s="2" t="s">
        <v>49</v>
      </c>
      <c r="I1627" s="3">
        <v>80</v>
      </c>
      <c r="J1627" s="3">
        <v>110</v>
      </c>
      <c r="K1627" s="4">
        <v>3</v>
      </c>
      <c r="O1627" s="3"/>
    </row>
    <row r="1628" spans="2:15">
      <c r="B1628" s="2" t="s">
        <v>1724</v>
      </c>
      <c r="C1628" s="2" t="s">
        <v>1457</v>
      </c>
      <c r="D1628" s="2" t="s">
        <v>1476</v>
      </c>
      <c r="E1628" s="2" t="s">
        <v>1459</v>
      </c>
      <c r="F1628" s="2" t="s">
        <v>15</v>
      </c>
      <c r="G1628" s="2" t="s">
        <v>1481</v>
      </c>
      <c r="H1628" s="2" t="s">
        <v>37</v>
      </c>
      <c r="I1628" s="3">
        <v>90</v>
      </c>
      <c r="J1628" s="3">
        <v>120</v>
      </c>
      <c r="K1628" s="4">
        <v>6</v>
      </c>
      <c r="O1628" s="3"/>
    </row>
    <row r="1629" spans="2:15">
      <c r="B1629" s="2" t="s">
        <v>1725</v>
      </c>
      <c r="C1629" s="2" t="s">
        <v>1457</v>
      </c>
      <c r="D1629" s="2" t="s">
        <v>1458</v>
      </c>
      <c r="E1629" s="2" t="s">
        <v>1459</v>
      </c>
      <c r="F1629" s="2" t="s">
        <v>15</v>
      </c>
      <c r="G1629" s="2" t="s">
        <v>1460</v>
      </c>
      <c r="H1629" s="2" t="s">
        <v>29</v>
      </c>
      <c r="I1629" s="3">
        <v>100</v>
      </c>
      <c r="J1629" s="3">
        <v>140</v>
      </c>
      <c r="K1629" s="4">
        <v>3</v>
      </c>
      <c r="O1629" s="3"/>
    </row>
    <row r="1630" spans="2:15">
      <c r="B1630" s="2" t="s">
        <v>1726</v>
      </c>
      <c r="C1630" s="2" t="s">
        <v>1457</v>
      </c>
      <c r="D1630" s="2" t="s">
        <v>1462</v>
      </c>
      <c r="E1630" s="2" t="s">
        <v>1459</v>
      </c>
      <c r="F1630" s="2" t="s">
        <v>15</v>
      </c>
      <c r="G1630" s="2" t="s">
        <v>1467</v>
      </c>
      <c r="H1630" s="2" t="s">
        <v>62</v>
      </c>
      <c r="I1630" s="3">
        <v>70</v>
      </c>
      <c r="J1630" s="3">
        <v>100</v>
      </c>
      <c r="K1630" s="4">
        <v>4</v>
      </c>
      <c r="O1630" s="3"/>
    </row>
    <row r="1631" spans="2:15">
      <c r="B1631" s="2" t="s">
        <v>1727</v>
      </c>
      <c r="C1631" s="2" t="s">
        <v>1457</v>
      </c>
      <c r="D1631" s="2" t="s">
        <v>1462</v>
      </c>
      <c r="E1631" s="2" t="s">
        <v>1463</v>
      </c>
      <c r="F1631" s="2" t="s">
        <v>20</v>
      </c>
      <c r="G1631" s="2" t="s">
        <v>1460</v>
      </c>
      <c r="H1631" s="2" t="s">
        <v>71</v>
      </c>
      <c r="I1631" s="3">
        <v>120</v>
      </c>
      <c r="J1631" s="3">
        <v>160</v>
      </c>
      <c r="K1631" s="4">
        <v>3</v>
      </c>
      <c r="O1631" s="3"/>
    </row>
    <row r="1632" spans="2:15">
      <c r="B1632" s="2" t="s">
        <v>1728</v>
      </c>
      <c r="C1632" s="2" t="s">
        <v>1457</v>
      </c>
      <c r="D1632" s="2" t="s">
        <v>1472</v>
      </c>
      <c r="E1632" s="2" t="s">
        <v>1459</v>
      </c>
      <c r="F1632" s="2" t="s">
        <v>15</v>
      </c>
      <c r="G1632" s="2" t="s">
        <v>1481</v>
      </c>
      <c r="H1632" s="2" t="s">
        <v>75</v>
      </c>
      <c r="I1632" s="3">
        <v>120</v>
      </c>
      <c r="J1632" s="3">
        <v>160</v>
      </c>
      <c r="K1632" s="4">
        <v>3</v>
      </c>
      <c r="O1632" s="3"/>
    </row>
    <row r="1633" spans="2:15">
      <c r="B1633" s="2" t="s">
        <v>1729</v>
      </c>
      <c r="C1633" s="2" t="s">
        <v>1457</v>
      </c>
      <c r="D1633" s="2" t="s">
        <v>1476</v>
      </c>
      <c r="E1633" s="2" t="s">
        <v>1463</v>
      </c>
      <c r="F1633" s="2" t="s">
        <v>15</v>
      </c>
      <c r="G1633" s="2" t="s">
        <v>1481</v>
      </c>
      <c r="H1633" s="2" t="s">
        <v>41</v>
      </c>
      <c r="I1633" s="3">
        <v>130</v>
      </c>
      <c r="J1633" s="3">
        <v>190</v>
      </c>
      <c r="K1633" s="4">
        <v>6</v>
      </c>
      <c r="O1633" s="3"/>
    </row>
    <row r="1634" spans="2:15">
      <c r="B1634" s="2" t="s">
        <v>1730</v>
      </c>
      <c r="C1634" s="2" t="s">
        <v>1457</v>
      </c>
      <c r="D1634" s="2" t="s">
        <v>1472</v>
      </c>
      <c r="E1634" s="2" t="s">
        <v>1459</v>
      </c>
      <c r="F1634" s="2" t="s">
        <v>20</v>
      </c>
      <c r="G1634" s="2" t="s">
        <v>1470</v>
      </c>
      <c r="H1634" s="2" t="s">
        <v>22</v>
      </c>
      <c r="I1634" s="3">
        <v>140</v>
      </c>
      <c r="J1634" s="3">
        <v>190</v>
      </c>
      <c r="K1634" s="4">
        <v>5</v>
      </c>
      <c r="O1634" s="3"/>
    </row>
    <row r="1635" spans="2:15">
      <c r="B1635" s="2" t="s">
        <v>1731</v>
      </c>
      <c r="C1635" s="2" t="s">
        <v>1457</v>
      </c>
      <c r="D1635" s="2" t="s">
        <v>1458</v>
      </c>
      <c r="E1635" s="2" t="s">
        <v>1459</v>
      </c>
      <c r="F1635" s="2" t="s">
        <v>15</v>
      </c>
      <c r="G1635" s="2" t="s">
        <v>1470</v>
      </c>
      <c r="H1635" s="2" t="s">
        <v>101</v>
      </c>
      <c r="I1635" s="3">
        <v>90</v>
      </c>
      <c r="J1635" s="3">
        <v>130</v>
      </c>
      <c r="K1635" s="4">
        <v>6</v>
      </c>
      <c r="O1635" s="3"/>
    </row>
    <row r="1636" spans="2:15">
      <c r="B1636" s="2" t="s">
        <v>1732</v>
      </c>
      <c r="C1636" s="2" t="s">
        <v>1457</v>
      </c>
      <c r="D1636" s="2" t="s">
        <v>1458</v>
      </c>
      <c r="E1636" s="2" t="s">
        <v>1459</v>
      </c>
      <c r="F1636" s="2" t="s">
        <v>20</v>
      </c>
      <c r="G1636" s="2" t="s">
        <v>1473</v>
      </c>
      <c r="H1636" s="2" t="s">
        <v>43</v>
      </c>
      <c r="I1636" s="3">
        <v>110</v>
      </c>
      <c r="J1636" s="3">
        <v>150</v>
      </c>
      <c r="K1636" s="4">
        <v>3</v>
      </c>
      <c r="O1636" s="3"/>
    </row>
    <row r="1637" spans="2:15">
      <c r="B1637" s="2" t="s">
        <v>1733</v>
      </c>
      <c r="C1637" s="2" t="s">
        <v>1457</v>
      </c>
      <c r="D1637" s="2" t="s">
        <v>1466</v>
      </c>
      <c r="E1637" s="2" t="s">
        <v>1463</v>
      </c>
      <c r="F1637" s="2" t="s">
        <v>20</v>
      </c>
      <c r="G1637" s="2" t="s">
        <v>1467</v>
      </c>
      <c r="H1637" s="2" t="s">
        <v>29</v>
      </c>
      <c r="I1637" s="3">
        <v>120</v>
      </c>
      <c r="J1637" s="3">
        <v>170</v>
      </c>
      <c r="K1637" s="4">
        <v>3</v>
      </c>
      <c r="O1637" s="3"/>
    </row>
    <row r="1638" spans="2:15">
      <c r="B1638" s="2" t="s">
        <v>1734</v>
      </c>
      <c r="C1638" s="2" t="s">
        <v>1457</v>
      </c>
      <c r="D1638" s="2" t="s">
        <v>1476</v>
      </c>
      <c r="E1638" s="2" t="s">
        <v>1459</v>
      </c>
      <c r="F1638" s="2" t="s">
        <v>20</v>
      </c>
      <c r="G1638" s="2" t="s">
        <v>1470</v>
      </c>
      <c r="H1638" s="2" t="s">
        <v>62</v>
      </c>
      <c r="I1638" s="3">
        <v>110</v>
      </c>
      <c r="J1638" s="3">
        <v>150</v>
      </c>
      <c r="K1638" s="4">
        <v>6</v>
      </c>
      <c r="O1638" s="3"/>
    </row>
    <row r="1639" spans="2:15">
      <c r="B1639" s="2" t="s">
        <v>1735</v>
      </c>
      <c r="C1639" s="2" t="s">
        <v>1457</v>
      </c>
      <c r="D1639" s="2" t="s">
        <v>1462</v>
      </c>
      <c r="E1639" s="2" t="s">
        <v>1463</v>
      </c>
      <c r="F1639" s="2" t="s">
        <v>20</v>
      </c>
      <c r="G1639" s="2" t="s">
        <v>1481</v>
      </c>
      <c r="H1639" s="2" t="s">
        <v>29</v>
      </c>
      <c r="I1639" s="3">
        <v>80</v>
      </c>
      <c r="J1639" s="3">
        <v>120</v>
      </c>
      <c r="K1639" s="4">
        <v>6</v>
      </c>
      <c r="O1639" s="3"/>
    </row>
    <row r="1640" spans="2:15">
      <c r="B1640" s="2" t="s">
        <v>1736</v>
      </c>
      <c r="C1640" s="2" t="s">
        <v>1457</v>
      </c>
      <c r="D1640" s="2" t="s">
        <v>1466</v>
      </c>
      <c r="E1640" s="2" t="s">
        <v>1463</v>
      </c>
      <c r="F1640" s="2" t="s">
        <v>20</v>
      </c>
      <c r="G1640" s="2" t="s">
        <v>1464</v>
      </c>
      <c r="H1640" s="2" t="s">
        <v>101</v>
      </c>
      <c r="I1640" s="3">
        <v>120</v>
      </c>
      <c r="J1640" s="3">
        <v>170</v>
      </c>
      <c r="K1640" s="4">
        <v>5</v>
      </c>
      <c r="O1640" s="3"/>
    </row>
    <row r="1641" spans="2:15">
      <c r="B1641" s="2" t="s">
        <v>1737</v>
      </c>
      <c r="C1641" s="2" t="s">
        <v>1457</v>
      </c>
      <c r="D1641" s="2" t="s">
        <v>1472</v>
      </c>
      <c r="E1641" s="2" t="s">
        <v>1463</v>
      </c>
      <c r="F1641" s="2" t="s">
        <v>20</v>
      </c>
      <c r="G1641" s="2" t="s">
        <v>1473</v>
      </c>
      <c r="H1641" s="2" t="s">
        <v>22</v>
      </c>
      <c r="I1641" s="3">
        <v>100</v>
      </c>
      <c r="J1641" s="3">
        <v>140</v>
      </c>
      <c r="K1641" s="4">
        <v>3</v>
      </c>
      <c r="O1641" s="3"/>
    </row>
    <row r="1642" spans="2:15">
      <c r="B1642" s="2" t="s">
        <v>1738</v>
      </c>
      <c r="C1642" s="2" t="s">
        <v>1457</v>
      </c>
      <c r="D1642" s="2" t="s">
        <v>1466</v>
      </c>
      <c r="E1642" s="2" t="s">
        <v>1459</v>
      </c>
      <c r="F1642" s="2" t="s">
        <v>15</v>
      </c>
      <c r="G1642" s="2" t="s">
        <v>1464</v>
      </c>
      <c r="H1642" s="2" t="s">
        <v>25</v>
      </c>
      <c r="I1642" s="3">
        <v>70</v>
      </c>
      <c r="J1642" s="3">
        <v>100</v>
      </c>
      <c r="K1642" s="4">
        <v>5</v>
      </c>
      <c r="O1642" s="3"/>
    </row>
    <row r="1643" spans="2:15">
      <c r="B1643" s="2" t="s">
        <v>1739</v>
      </c>
      <c r="C1643" s="2" t="s">
        <v>1457</v>
      </c>
      <c r="D1643" s="2" t="s">
        <v>1462</v>
      </c>
      <c r="E1643" s="2" t="s">
        <v>1463</v>
      </c>
      <c r="F1643" s="2" t="s">
        <v>20</v>
      </c>
      <c r="G1643" s="2" t="s">
        <v>1464</v>
      </c>
      <c r="H1643" s="2" t="s">
        <v>59</v>
      </c>
      <c r="I1643" s="3">
        <v>110</v>
      </c>
      <c r="J1643" s="3">
        <v>160</v>
      </c>
      <c r="K1643" s="4">
        <v>4</v>
      </c>
      <c r="O1643" s="3"/>
    </row>
    <row r="1644" spans="2:15">
      <c r="B1644" s="2" t="s">
        <v>1740</v>
      </c>
      <c r="C1644" s="2" t="s">
        <v>1457</v>
      </c>
      <c r="D1644" s="2" t="s">
        <v>1466</v>
      </c>
      <c r="E1644" s="2" t="s">
        <v>1463</v>
      </c>
      <c r="F1644" s="2" t="s">
        <v>20</v>
      </c>
      <c r="G1644" s="2" t="s">
        <v>1467</v>
      </c>
      <c r="H1644" s="2" t="s">
        <v>59</v>
      </c>
      <c r="I1644" s="3">
        <v>120</v>
      </c>
      <c r="J1644" s="3">
        <v>170</v>
      </c>
      <c r="K1644" s="4">
        <v>4</v>
      </c>
      <c r="O1644" s="3"/>
    </row>
    <row r="1645" spans="2:15">
      <c r="B1645" s="2" t="s">
        <v>1741</v>
      </c>
      <c r="C1645" s="2" t="s">
        <v>1457</v>
      </c>
      <c r="D1645" s="2" t="s">
        <v>1472</v>
      </c>
      <c r="E1645" s="2" t="s">
        <v>1459</v>
      </c>
      <c r="F1645" s="2" t="s">
        <v>15</v>
      </c>
      <c r="G1645" s="2" t="s">
        <v>1460</v>
      </c>
      <c r="H1645" s="2" t="s">
        <v>37</v>
      </c>
      <c r="I1645" s="3">
        <v>120</v>
      </c>
      <c r="J1645" s="3">
        <v>170</v>
      </c>
      <c r="K1645" s="4">
        <v>4</v>
      </c>
      <c r="O1645" s="3"/>
    </row>
    <row r="1646" spans="2:15">
      <c r="B1646" s="2" t="s">
        <v>1742</v>
      </c>
      <c r="C1646" s="2" t="s">
        <v>1457</v>
      </c>
      <c r="D1646" s="2" t="s">
        <v>1466</v>
      </c>
      <c r="E1646" s="2" t="s">
        <v>1463</v>
      </c>
      <c r="F1646" s="2" t="s">
        <v>15</v>
      </c>
      <c r="G1646" s="2" t="s">
        <v>1464</v>
      </c>
      <c r="H1646" s="2" t="s">
        <v>64</v>
      </c>
      <c r="I1646" s="3">
        <v>130</v>
      </c>
      <c r="J1646" s="3">
        <v>190</v>
      </c>
      <c r="K1646" s="4">
        <v>5</v>
      </c>
      <c r="O1646" s="3"/>
    </row>
    <row r="1647" spans="2:15">
      <c r="B1647" s="2" t="s">
        <v>1743</v>
      </c>
      <c r="C1647" s="2" t="s">
        <v>1457</v>
      </c>
      <c r="D1647" s="2" t="s">
        <v>1466</v>
      </c>
      <c r="E1647" s="2" t="s">
        <v>1459</v>
      </c>
      <c r="F1647" s="2" t="s">
        <v>20</v>
      </c>
      <c r="G1647" s="2" t="s">
        <v>1470</v>
      </c>
      <c r="H1647" s="2" t="s">
        <v>69</v>
      </c>
      <c r="I1647" s="3">
        <v>100</v>
      </c>
      <c r="J1647" s="3">
        <v>130</v>
      </c>
      <c r="K1647" s="4">
        <v>4</v>
      </c>
      <c r="O1647" s="3"/>
    </row>
    <row r="1648" spans="2:15">
      <c r="B1648" s="2" t="s">
        <v>1744</v>
      </c>
      <c r="C1648" s="2" t="s">
        <v>1457</v>
      </c>
      <c r="D1648" s="2" t="s">
        <v>1458</v>
      </c>
      <c r="E1648" s="2" t="s">
        <v>1459</v>
      </c>
      <c r="F1648" s="2" t="s">
        <v>15</v>
      </c>
      <c r="G1648" s="2" t="s">
        <v>1473</v>
      </c>
      <c r="H1648" s="2" t="s">
        <v>57</v>
      </c>
      <c r="I1648" s="3">
        <v>70</v>
      </c>
      <c r="J1648" s="3">
        <v>100</v>
      </c>
      <c r="K1648" s="4">
        <v>6</v>
      </c>
      <c r="O1648" s="3"/>
    </row>
    <row r="1649" spans="2:15">
      <c r="B1649" s="2" t="s">
        <v>1745</v>
      </c>
      <c r="C1649" s="2" t="s">
        <v>1457</v>
      </c>
      <c r="D1649" s="2" t="s">
        <v>1462</v>
      </c>
      <c r="E1649" s="2" t="s">
        <v>1459</v>
      </c>
      <c r="F1649" s="2" t="s">
        <v>20</v>
      </c>
      <c r="G1649" s="2" t="s">
        <v>1481</v>
      </c>
      <c r="H1649" s="2" t="s">
        <v>94</v>
      </c>
      <c r="I1649" s="3">
        <v>120</v>
      </c>
      <c r="J1649" s="3">
        <v>160</v>
      </c>
      <c r="K1649" s="4">
        <v>4</v>
      </c>
      <c r="O1649" s="3"/>
    </row>
    <row r="1650" spans="2:15">
      <c r="B1650" s="2" t="s">
        <v>1746</v>
      </c>
      <c r="C1650" s="2" t="s">
        <v>1457</v>
      </c>
      <c r="D1650" s="2" t="s">
        <v>1472</v>
      </c>
      <c r="E1650" s="2" t="s">
        <v>1459</v>
      </c>
      <c r="F1650" s="2" t="s">
        <v>15</v>
      </c>
      <c r="G1650" s="2" t="s">
        <v>1473</v>
      </c>
      <c r="H1650" s="2" t="s">
        <v>57</v>
      </c>
      <c r="I1650" s="3">
        <v>120</v>
      </c>
      <c r="J1650" s="3">
        <v>160</v>
      </c>
      <c r="K1650" s="4">
        <v>3</v>
      </c>
      <c r="O1650" s="3"/>
    </row>
    <row r="1651" spans="2:15">
      <c r="B1651" s="2" t="s">
        <v>1747</v>
      </c>
      <c r="C1651" s="2" t="s">
        <v>1457</v>
      </c>
      <c r="D1651" s="2" t="s">
        <v>1466</v>
      </c>
      <c r="E1651" s="2" t="s">
        <v>1463</v>
      </c>
      <c r="F1651" s="2" t="s">
        <v>20</v>
      </c>
      <c r="G1651" s="2" t="s">
        <v>1473</v>
      </c>
      <c r="H1651" s="2" t="s">
        <v>57</v>
      </c>
      <c r="I1651" s="3">
        <v>80</v>
      </c>
      <c r="J1651" s="3">
        <v>120</v>
      </c>
      <c r="K1651" s="4">
        <v>5</v>
      </c>
      <c r="O1651" s="3"/>
    </row>
    <row r="1652" spans="2:15">
      <c r="B1652" s="2" t="s">
        <v>1748</v>
      </c>
      <c r="C1652" s="2" t="s">
        <v>1457</v>
      </c>
      <c r="D1652" s="2" t="s">
        <v>1462</v>
      </c>
      <c r="E1652" s="2" t="s">
        <v>1459</v>
      </c>
      <c r="F1652" s="2" t="s">
        <v>20</v>
      </c>
      <c r="G1652" s="2" t="s">
        <v>1470</v>
      </c>
      <c r="H1652" s="2" t="s">
        <v>41</v>
      </c>
      <c r="I1652" s="3">
        <v>100</v>
      </c>
      <c r="J1652" s="3">
        <v>140</v>
      </c>
      <c r="K1652" s="4">
        <v>4</v>
      </c>
      <c r="O1652" s="3"/>
    </row>
    <row r="1653" spans="2:15">
      <c r="B1653" s="2" t="s">
        <v>1749</v>
      </c>
      <c r="C1653" s="2" t="s">
        <v>1457</v>
      </c>
      <c r="D1653" s="2" t="s">
        <v>1466</v>
      </c>
      <c r="E1653" s="2" t="s">
        <v>1463</v>
      </c>
      <c r="F1653" s="2" t="s">
        <v>20</v>
      </c>
      <c r="G1653" s="2" t="s">
        <v>1470</v>
      </c>
      <c r="H1653" s="2" t="s">
        <v>43</v>
      </c>
      <c r="I1653" s="3">
        <v>120</v>
      </c>
      <c r="J1653" s="3">
        <v>170</v>
      </c>
      <c r="K1653" s="4">
        <v>6</v>
      </c>
      <c r="O1653" s="3"/>
    </row>
    <row r="1654" spans="2:15">
      <c r="B1654" s="2" t="s">
        <v>1750</v>
      </c>
      <c r="C1654" s="2" t="s">
        <v>1457</v>
      </c>
      <c r="D1654" s="2" t="s">
        <v>1462</v>
      </c>
      <c r="E1654" s="2" t="s">
        <v>1463</v>
      </c>
      <c r="F1654" s="2" t="s">
        <v>15</v>
      </c>
      <c r="G1654" s="2" t="s">
        <v>1481</v>
      </c>
      <c r="H1654" s="2" t="s">
        <v>29</v>
      </c>
      <c r="I1654" s="3">
        <v>80</v>
      </c>
      <c r="J1654" s="3">
        <v>110</v>
      </c>
      <c r="K1654" s="4">
        <v>4</v>
      </c>
      <c r="O1654" s="3"/>
    </row>
    <row r="1655" spans="2:15">
      <c r="B1655" s="2" t="s">
        <v>1751</v>
      </c>
      <c r="C1655" s="2" t="s">
        <v>1457</v>
      </c>
      <c r="D1655" s="2" t="s">
        <v>1472</v>
      </c>
      <c r="E1655" s="2" t="s">
        <v>1459</v>
      </c>
      <c r="F1655" s="2" t="s">
        <v>20</v>
      </c>
      <c r="G1655" s="2" t="s">
        <v>1467</v>
      </c>
      <c r="H1655" s="2" t="s">
        <v>71</v>
      </c>
      <c r="I1655" s="3">
        <v>90</v>
      </c>
      <c r="J1655" s="3">
        <v>130</v>
      </c>
      <c r="K1655" s="4">
        <v>3</v>
      </c>
      <c r="O1655" s="3"/>
    </row>
    <row r="1656" spans="2:15">
      <c r="B1656" s="2" t="s">
        <v>1752</v>
      </c>
      <c r="C1656" s="2" t="s">
        <v>1457</v>
      </c>
      <c r="D1656" s="2" t="s">
        <v>1472</v>
      </c>
      <c r="E1656" s="2" t="s">
        <v>1463</v>
      </c>
      <c r="F1656" s="2" t="s">
        <v>15</v>
      </c>
      <c r="G1656" s="2" t="s">
        <v>1464</v>
      </c>
      <c r="H1656" s="2" t="s">
        <v>25</v>
      </c>
      <c r="I1656" s="3">
        <v>80</v>
      </c>
      <c r="J1656" s="3">
        <v>120</v>
      </c>
      <c r="K1656" s="4">
        <v>3</v>
      </c>
      <c r="O1656" s="3"/>
    </row>
    <row r="1657" spans="2:15">
      <c r="B1657" s="2" t="s">
        <v>1753</v>
      </c>
      <c r="C1657" s="2" t="s">
        <v>1457</v>
      </c>
      <c r="D1657" s="2" t="s">
        <v>1458</v>
      </c>
      <c r="E1657" s="2" t="s">
        <v>1463</v>
      </c>
      <c r="F1657" s="2" t="s">
        <v>20</v>
      </c>
      <c r="G1657" s="2" t="s">
        <v>1460</v>
      </c>
      <c r="H1657" s="2" t="s">
        <v>25</v>
      </c>
      <c r="I1657" s="3">
        <v>90</v>
      </c>
      <c r="J1657" s="3">
        <v>120</v>
      </c>
      <c r="K1657" s="4">
        <v>3</v>
      </c>
      <c r="O1657" s="3"/>
    </row>
    <row r="1658" spans="2:15">
      <c r="B1658" s="2" t="s">
        <v>1754</v>
      </c>
      <c r="C1658" s="2" t="s">
        <v>1457</v>
      </c>
      <c r="D1658" s="2" t="s">
        <v>1466</v>
      </c>
      <c r="E1658" s="2" t="s">
        <v>1459</v>
      </c>
      <c r="F1658" s="2" t="s">
        <v>20</v>
      </c>
      <c r="G1658" s="2" t="s">
        <v>1481</v>
      </c>
      <c r="H1658" s="2" t="s">
        <v>37</v>
      </c>
      <c r="I1658" s="3">
        <v>140</v>
      </c>
      <c r="J1658" s="3">
        <v>190</v>
      </c>
      <c r="K1658" s="4">
        <v>4</v>
      </c>
      <c r="O1658" s="3"/>
    </row>
    <row r="1659" spans="2:15">
      <c r="B1659" s="2" t="s">
        <v>1755</v>
      </c>
      <c r="C1659" s="2" t="s">
        <v>1457</v>
      </c>
      <c r="D1659" s="2" t="s">
        <v>1472</v>
      </c>
      <c r="E1659" s="2" t="s">
        <v>1459</v>
      </c>
      <c r="F1659" s="2" t="s">
        <v>20</v>
      </c>
      <c r="G1659" s="2" t="s">
        <v>1473</v>
      </c>
      <c r="H1659" s="2" t="s">
        <v>57</v>
      </c>
      <c r="I1659" s="3">
        <v>70</v>
      </c>
      <c r="J1659" s="3">
        <v>100</v>
      </c>
      <c r="K1659" s="4">
        <v>5</v>
      </c>
      <c r="O1659" s="3"/>
    </row>
    <row r="1660" spans="2:15">
      <c r="B1660" s="2" t="s">
        <v>1756</v>
      </c>
      <c r="C1660" s="2" t="s">
        <v>1457</v>
      </c>
      <c r="D1660" s="2" t="s">
        <v>1476</v>
      </c>
      <c r="E1660" s="2" t="s">
        <v>1459</v>
      </c>
      <c r="F1660" s="2" t="s">
        <v>20</v>
      </c>
      <c r="G1660" s="2" t="s">
        <v>1481</v>
      </c>
      <c r="H1660" s="2" t="s">
        <v>62</v>
      </c>
      <c r="I1660" s="3">
        <v>100</v>
      </c>
      <c r="J1660" s="3">
        <v>150</v>
      </c>
      <c r="K1660" s="4">
        <v>5</v>
      </c>
      <c r="O1660" s="3"/>
    </row>
  </sheetData>
  <mergeCells count="1">
    <mergeCell ref="C1:O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0003-E194-491D-847E-552079637483}">
  <dimension ref="A1:O1660"/>
  <sheetViews>
    <sheetView workbookViewId="0">
      <selection activeCell="E10" sqref="E10"/>
    </sheetView>
  </sheetViews>
  <sheetFormatPr defaultRowHeight="14.25"/>
  <cols>
    <col min="1" max="1" width="5" style="2" customWidth="1"/>
    <col min="2" max="2" width="17.85546875" style="2" bestFit="1" customWidth="1"/>
    <col min="3" max="3" width="12.42578125" style="2" bestFit="1" customWidth="1"/>
    <col min="4" max="4" width="13.85546875" style="2" bestFit="1" customWidth="1"/>
    <col min="5" max="5" width="10.42578125" style="2" bestFit="1" customWidth="1"/>
    <col min="6" max="6" width="13.28515625" style="2" bestFit="1" customWidth="1"/>
    <col min="7" max="7" width="8" style="2" bestFit="1" customWidth="1"/>
    <col min="8" max="8" width="12" style="2" bestFit="1" customWidth="1"/>
    <col min="9" max="9" width="18.85546875" style="2" bestFit="1" customWidth="1"/>
    <col min="10" max="10" width="12.5703125" style="2" bestFit="1" customWidth="1"/>
    <col min="11" max="11" width="17.28515625" style="2" bestFit="1" customWidth="1"/>
    <col min="12" max="12" width="19.5703125" style="2" bestFit="1" customWidth="1"/>
    <col min="13" max="13" width="16.7109375" style="2" bestFit="1" customWidth="1"/>
    <col min="14" max="14" width="9.140625" style="2"/>
    <col min="15" max="15" width="5.42578125" style="2" customWidth="1"/>
    <col min="16" max="16384" width="9.140625" style="2"/>
  </cols>
  <sheetData>
    <row r="1" spans="1:15" ht="82.5" customHeight="1">
      <c r="A1" s="14"/>
      <c r="B1" s="15"/>
      <c r="C1" s="46" t="s">
        <v>1757</v>
      </c>
      <c r="D1" s="46"/>
      <c r="E1" s="46"/>
      <c r="F1" s="46"/>
      <c r="G1" s="46"/>
      <c r="H1" s="46"/>
      <c r="I1" s="46"/>
      <c r="J1" s="21"/>
      <c r="K1" s="21"/>
      <c r="L1" s="21"/>
      <c r="M1" s="21"/>
      <c r="N1" s="15"/>
      <c r="O1" s="14"/>
    </row>
    <row r="3" spans="1:15" ht="15"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1758</v>
      </c>
      <c r="J3" s="33" t="s">
        <v>1759</v>
      </c>
      <c r="K3" s="33" t="s">
        <v>1760</v>
      </c>
      <c r="L3" s="33" t="s">
        <v>1761</v>
      </c>
      <c r="M3" s="33" t="s">
        <v>1762</v>
      </c>
    </row>
    <row r="4" spans="1:15">
      <c r="B4" s="2" t="s">
        <v>1456</v>
      </c>
      <c r="C4" s="5" t="str">
        <f>_xlfn.XLOOKUP(B4,Master[Product_Code],Master[Category])</f>
        <v>Innerwear</v>
      </c>
      <c r="D4" s="2" t="str">
        <f>_xlfn.XLOOKUP(B4,Master[Product_Code],Master[Brand])</f>
        <v>V Star</v>
      </c>
      <c r="E4" s="2" t="str">
        <f>_xlfn.XLOOKUP(B4,Master[Product_Code],Master[Style])</f>
        <v>V-Cut</v>
      </c>
      <c r="F4" s="2" t="str">
        <f>_xlfn.XLOOKUP(B4,Master[Product_Code],Master[Fabric])</f>
        <v>Cotton</v>
      </c>
      <c r="G4" s="2" t="str">
        <f>_xlfn.XLOOKUP(B4,Master[Product_Code],Master[Size])</f>
        <v>80-85</v>
      </c>
      <c r="H4" s="2" t="str">
        <f>_xlfn.XLOOKUP(B4,Master[Product_Code],Master[Color])</f>
        <v>Mustard</v>
      </c>
      <c r="I4" s="4">
        <f>_xlfn.XLOOKUP(B4,Master[Product_Code],Master[Stock_Qty])</f>
        <v>6</v>
      </c>
      <c r="J4" s="6">
        <f>SUMIFS(
  Sales_Entry[Qty],
  Sales_Entry[Product_Code], Stock_Table[[#This Row],[Product_Code]]
)</f>
        <v>2</v>
      </c>
      <c r="K4" s="4">
        <f>SUMIFS(
  Exchange_Return[Qty],
  Exchange_Return[Product_Code], Stock_Table[[#This Row],[Product_Code]]
)</f>
        <v>0</v>
      </c>
      <c r="L4" s="4">
        <f>I4-J4+K4</f>
        <v>4</v>
      </c>
      <c r="M4" s="5" t="str" cm="1">
        <f t="array" ref="M4">_xlfn.IFS(L4=0,"Out of Stock",L4&gt;=2,"Limited Stock",L4&lt;2,"In Stock")</f>
        <v>Limited Stock</v>
      </c>
    </row>
    <row r="5" spans="1:15">
      <c r="B5" s="2" t="s">
        <v>1461</v>
      </c>
      <c r="C5" s="5" t="str">
        <f>_xlfn.XLOOKUP(B5,Master[Product_Code],Master[Category])</f>
        <v>Innerwear</v>
      </c>
      <c r="D5" s="2" t="str">
        <f>_xlfn.XLOOKUP(B5,Master[Product_Code],Master[Brand])</f>
        <v>Rupa</v>
      </c>
      <c r="E5" s="2" t="str">
        <f>_xlfn.XLOOKUP(B5,Master[Product_Code],Master[Style])</f>
        <v>Boxer</v>
      </c>
      <c r="F5" s="2" t="str">
        <f>_xlfn.XLOOKUP(B5,Master[Product_Code],Master[Fabric])</f>
        <v>Cotton</v>
      </c>
      <c r="G5" s="2" t="str">
        <f>_xlfn.XLOOKUP(B5,Master[Product_Code],Master[Size])</f>
        <v>100-105</v>
      </c>
      <c r="H5" s="2" t="str">
        <f>_xlfn.XLOOKUP(B5,Master[Product_Code],Master[Color])</f>
        <v>Rust</v>
      </c>
      <c r="I5" s="4">
        <f>_xlfn.XLOOKUP(B5,Master[Product_Code],Master[Stock_Qty])</f>
        <v>4</v>
      </c>
      <c r="J5" s="6">
        <f>SUMIFS(
  Sales_Entry[Qty],
  Sales_Entry[Product_Code], Stock_Table[[#This Row],[Product_Code]]
)</f>
        <v>4</v>
      </c>
      <c r="K5" s="4">
        <f>SUMIFS(
  Exchange_Return[Qty],
  Exchange_Return[Product_Code], Stock_Table[[#This Row],[Product_Code]]
)</f>
        <v>0</v>
      </c>
      <c r="L5" s="4">
        <f>I5-J5+K5</f>
        <v>0</v>
      </c>
      <c r="M5" s="2" t="str" cm="1">
        <f t="array" ref="M5">_xlfn.IFS(L5=0,"Out of Stock",L5&gt;=2,"Limited Stock",L5&lt;2,"In Stock")</f>
        <v>Out of Stock</v>
      </c>
    </row>
    <row r="6" spans="1:15">
      <c r="B6" s="2" t="s">
        <v>1465</v>
      </c>
      <c r="C6" s="5" t="str">
        <f>_xlfn.XLOOKUP(B6,Master[Product_Code],Master[Category])</f>
        <v>Innerwear</v>
      </c>
      <c r="D6" s="2" t="str">
        <f>_xlfn.XLOOKUP(B6,Master[Product_Code],Master[Brand])</f>
        <v>Lux</v>
      </c>
      <c r="E6" s="2" t="str">
        <f>_xlfn.XLOOKUP(B6,Master[Product_Code],Master[Style])</f>
        <v>Boxer</v>
      </c>
      <c r="F6" s="2" t="str">
        <f>_xlfn.XLOOKUP(B6,Master[Product_Code],Master[Fabric])</f>
        <v>Cotton Blend</v>
      </c>
      <c r="G6" s="2" t="str">
        <f>_xlfn.XLOOKUP(B6,Master[Product_Code],Master[Size])</f>
        <v>105-110</v>
      </c>
      <c r="H6" s="2" t="str">
        <f>_xlfn.XLOOKUP(B6,Master[Product_Code],Master[Color])</f>
        <v>Brown</v>
      </c>
      <c r="I6" s="4">
        <f>_xlfn.XLOOKUP(B6,Master[Product_Code],Master[Stock_Qty])</f>
        <v>3</v>
      </c>
      <c r="J6" s="6">
        <f>SUMIFS(
  Sales_Entry[Qty],
  Sales_Entry[Product_Code], Stock_Table[[#This Row],[Product_Code]]
)</f>
        <v>2</v>
      </c>
      <c r="K6" s="4">
        <f>SUMIFS(
  Exchange_Return[Qty],
  Exchange_Return[Product_Code], Stock_Table[[#This Row],[Product_Code]]
)</f>
        <v>0</v>
      </c>
      <c r="L6" s="4">
        <f>I6-J6+K6</f>
        <v>1</v>
      </c>
      <c r="M6" s="2" t="str" cm="1">
        <f t="array" ref="M6">_xlfn.IFS(L6=0,"Out of Stock",L6&gt;=2,"Limited Stock",L6&lt;2,"In Stock")</f>
        <v>In Stock</v>
      </c>
    </row>
    <row r="7" spans="1:15">
      <c r="B7" s="2" t="s">
        <v>1468</v>
      </c>
      <c r="C7" s="5" t="str">
        <f>_xlfn.XLOOKUP(B7,Master[Product_Code],Master[Category])</f>
        <v>Innerwear</v>
      </c>
      <c r="D7" s="2" t="str">
        <f>_xlfn.XLOOKUP(B7,Master[Product_Code],Master[Brand])</f>
        <v>Lux</v>
      </c>
      <c r="E7" s="2" t="str">
        <f>_xlfn.XLOOKUP(B7,Master[Product_Code],Master[Style])</f>
        <v>V-Cut</v>
      </c>
      <c r="F7" s="2" t="str">
        <f>_xlfn.XLOOKUP(B7,Master[Product_Code],Master[Fabric])</f>
        <v>Cotton</v>
      </c>
      <c r="G7" s="2" t="str">
        <f>_xlfn.XLOOKUP(B7,Master[Product_Code],Master[Size])</f>
        <v>105-110</v>
      </c>
      <c r="H7" s="2" t="str">
        <f>_xlfn.XLOOKUP(B7,Master[Product_Code],Master[Color])</f>
        <v>Royal Blue</v>
      </c>
      <c r="I7" s="4">
        <f>_xlfn.XLOOKUP(B7,Master[Product_Code],Master[Stock_Qty])</f>
        <v>6</v>
      </c>
      <c r="J7" s="6">
        <f>SUMIFS(
  Sales_Entry[Qty],
  Sales_Entry[Product_Code], Stock_Table[[#This Row],[Product_Code]]
)</f>
        <v>1</v>
      </c>
      <c r="K7" s="4">
        <f>SUMIFS(
  Exchange_Return[Qty],
  Exchange_Return[Product_Code], Stock_Table[[#This Row],[Product_Code]]
)</f>
        <v>0</v>
      </c>
      <c r="L7" s="4">
        <f>I7-J7+K7</f>
        <v>5</v>
      </c>
      <c r="M7" s="2" t="str" cm="1">
        <f t="array" ref="M7">_xlfn.IFS(L7=0,"Out of Stock",L7&gt;=2,"Limited Stock",L7&lt;2,"In Stock")</f>
        <v>Limited Stock</v>
      </c>
    </row>
    <row r="8" spans="1:15">
      <c r="B8" s="2" t="s">
        <v>1469</v>
      </c>
      <c r="C8" s="5" t="str">
        <f>_xlfn.XLOOKUP(B8,Master[Product_Code],Master[Category])</f>
        <v>Innerwear</v>
      </c>
      <c r="D8" s="2" t="str">
        <f>_xlfn.XLOOKUP(B8,Master[Product_Code],Master[Brand])</f>
        <v>Rupa</v>
      </c>
      <c r="E8" s="2" t="str">
        <f>_xlfn.XLOOKUP(B8,Master[Product_Code],Master[Style])</f>
        <v>V-Cut</v>
      </c>
      <c r="F8" s="2" t="str">
        <f>_xlfn.XLOOKUP(B8,Master[Product_Code],Master[Fabric])</f>
        <v>Cotton</v>
      </c>
      <c r="G8" s="2" t="str">
        <f>_xlfn.XLOOKUP(B8,Master[Product_Code],Master[Size])</f>
        <v>90-100</v>
      </c>
      <c r="H8" s="2" t="str">
        <f>_xlfn.XLOOKUP(B8,Master[Product_Code],Master[Color])</f>
        <v>Brown</v>
      </c>
      <c r="I8" s="4">
        <f>_xlfn.XLOOKUP(B8,Master[Product_Code],Master[Stock_Qty])</f>
        <v>4</v>
      </c>
      <c r="J8" s="6">
        <f>SUMIFS(
  Sales_Entry[Qty],
  Sales_Entry[Product_Code], Stock_Table[[#This Row],[Product_Code]]
)</f>
        <v>4</v>
      </c>
      <c r="K8" s="4">
        <f>SUMIFS(
  Exchange_Return[Qty],
  Exchange_Return[Product_Code], Stock_Table[[#This Row],[Product_Code]]
)</f>
        <v>0</v>
      </c>
      <c r="L8" s="4">
        <f>I8-J8+K8</f>
        <v>0</v>
      </c>
      <c r="M8" s="2" t="str" cm="1">
        <f t="array" ref="M8">_xlfn.IFS(L8=0,"Out of Stock",L8&gt;=2,"Limited Stock",L8&lt;2,"In Stock")</f>
        <v>Out of Stock</v>
      </c>
    </row>
    <row r="9" spans="1:15">
      <c r="B9" s="2" t="s">
        <v>1471</v>
      </c>
      <c r="C9" s="5" t="str">
        <f>_xlfn.XLOOKUP(B9,Master[Product_Code],Master[Category])</f>
        <v>Innerwear</v>
      </c>
      <c r="D9" s="2" t="str">
        <f>_xlfn.XLOOKUP(B9,Master[Product_Code],Master[Brand])</f>
        <v>Dollar</v>
      </c>
      <c r="E9" s="2" t="str">
        <f>_xlfn.XLOOKUP(B9,Master[Product_Code],Master[Style])</f>
        <v>V-Cut</v>
      </c>
      <c r="F9" s="2" t="str">
        <f>_xlfn.XLOOKUP(B9,Master[Product_Code],Master[Fabric])</f>
        <v>Cotton Blend</v>
      </c>
      <c r="G9" s="2" t="str">
        <f>_xlfn.XLOOKUP(B9,Master[Product_Code],Master[Size])</f>
        <v>75-80</v>
      </c>
      <c r="H9" s="2" t="str">
        <f>_xlfn.XLOOKUP(B9,Master[Product_Code],Master[Color])</f>
        <v>Teal</v>
      </c>
      <c r="I9" s="4">
        <f>_xlfn.XLOOKUP(B9,Master[Product_Code],Master[Stock_Qty])</f>
        <v>3</v>
      </c>
      <c r="J9" s="6">
        <f>SUMIFS(
  Sales_Entry[Qty],
  Sales_Entry[Product_Code], Stock_Table[[#This Row],[Product_Code]]
)</f>
        <v>0</v>
      </c>
      <c r="K9" s="4">
        <f>SUMIFS(
  Exchange_Return[Qty],
  Exchange_Return[Product_Code], Stock_Table[[#This Row],[Product_Code]]
)</f>
        <v>0</v>
      </c>
      <c r="L9" s="4">
        <f>I9-J9+K9</f>
        <v>3</v>
      </c>
      <c r="M9" s="2" t="str" cm="1">
        <f t="array" ref="M9">_xlfn.IFS(L9=0,"Out of Stock",L9&gt;=2,"Limited Stock",L9&lt;2,"In Stock")</f>
        <v>Limited Stock</v>
      </c>
    </row>
    <row r="10" spans="1:15">
      <c r="B10" s="2" t="s">
        <v>1474</v>
      </c>
      <c r="C10" s="5" t="str">
        <f>_xlfn.XLOOKUP(B10,Master[Product_Code],Master[Category])</f>
        <v>Innerwear</v>
      </c>
      <c r="D10" s="2" t="str">
        <f>_xlfn.XLOOKUP(B10,Master[Product_Code],Master[Brand])</f>
        <v>Dollar</v>
      </c>
      <c r="E10" s="2" t="str">
        <f>_xlfn.XLOOKUP(B10,Master[Product_Code],Master[Style])</f>
        <v>Boxer</v>
      </c>
      <c r="F10" s="2" t="str">
        <f>_xlfn.XLOOKUP(B10,Master[Product_Code],Master[Fabric])</f>
        <v>Cotton Blend</v>
      </c>
      <c r="G10" s="2" t="str">
        <f>_xlfn.XLOOKUP(B10,Master[Product_Code],Master[Size])</f>
        <v>80-85</v>
      </c>
      <c r="H10" s="2" t="str">
        <f>_xlfn.XLOOKUP(B10,Master[Product_Code],Master[Color])</f>
        <v>Sky Blue</v>
      </c>
      <c r="I10" s="4">
        <f>_xlfn.XLOOKUP(B10,Master[Product_Code],Master[Stock_Qty])</f>
        <v>4</v>
      </c>
      <c r="J10" s="6">
        <f>SUMIFS(
  Sales_Entry[Qty],
  Sales_Entry[Product_Code], Stock_Table[[#This Row],[Product_Code]]
)</f>
        <v>4</v>
      </c>
      <c r="K10" s="4">
        <f>SUMIFS(
  Exchange_Return[Qty],
  Exchange_Return[Product_Code], Stock_Table[[#This Row],[Product_Code]]
)</f>
        <v>0</v>
      </c>
      <c r="L10" s="4">
        <f>I10-J10+K10</f>
        <v>0</v>
      </c>
      <c r="M10" s="2" t="str" cm="1">
        <f t="array" ref="M10">_xlfn.IFS(L10=0,"Out of Stock",L10&gt;=2,"Limited Stock",L10&lt;2,"In Stock")</f>
        <v>Out of Stock</v>
      </c>
    </row>
    <row r="11" spans="1:15">
      <c r="B11" s="2" t="s">
        <v>1475</v>
      </c>
      <c r="C11" s="5" t="str">
        <f>_xlfn.XLOOKUP(B11,Master[Product_Code],Master[Category])</f>
        <v>Innerwear</v>
      </c>
      <c r="D11" s="2" t="str">
        <f>_xlfn.XLOOKUP(B11,Master[Product_Code],Master[Brand])</f>
        <v>Jockey</v>
      </c>
      <c r="E11" s="2" t="str">
        <f>_xlfn.XLOOKUP(B11,Master[Product_Code],Master[Style])</f>
        <v>Boxer</v>
      </c>
      <c r="F11" s="2" t="str">
        <f>_xlfn.XLOOKUP(B11,Master[Product_Code],Master[Fabric])</f>
        <v>Cotton</v>
      </c>
      <c r="G11" s="2" t="str">
        <f>_xlfn.XLOOKUP(B11,Master[Product_Code],Master[Size])</f>
        <v>90-100</v>
      </c>
      <c r="H11" s="2" t="str">
        <f>_xlfn.XLOOKUP(B11,Master[Product_Code],Master[Color])</f>
        <v>Grey</v>
      </c>
      <c r="I11" s="4">
        <f>_xlfn.XLOOKUP(B11,Master[Product_Code],Master[Stock_Qty])</f>
        <v>4</v>
      </c>
      <c r="J11" s="6">
        <f>SUMIFS(
  Sales_Entry[Qty],
  Sales_Entry[Product_Code], Stock_Table[[#This Row],[Product_Code]]
)</f>
        <v>2</v>
      </c>
      <c r="K11" s="4">
        <f>SUMIFS(
  Exchange_Return[Qty],
  Exchange_Return[Product_Code], Stock_Table[[#This Row],[Product_Code]]
)</f>
        <v>0</v>
      </c>
      <c r="L11" s="4">
        <f>I11-J11+K11</f>
        <v>2</v>
      </c>
      <c r="M11" s="2" t="str" cm="1">
        <f t="array" ref="M11">_xlfn.IFS(L11=0,"Out of Stock",L11&gt;=2,"Limited Stock",L11&lt;2,"In Stock")</f>
        <v>Limited Stock</v>
      </c>
    </row>
    <row r="12" spans="1:15">
      <c r="B12" s="2" t="s">
        <v>1477</v>
      </c>
      <c r="C12" s="5" t="str">
        <f>_xlfn.XLOOKUP(B12,Master[Product_Code],Master[Category])</f>
        <v>Innerwear</v>
      </c>
      <c r="D12" s="2" t="str">
        <f>_xlfn.XLOOKUP(B12,Master[Product_Code],Master[Brand])</f>
        <v>Dollar</v>
      </c>
      <c r="E12" s="2" t="str">
        <f>_xlfn.XLOOKUP(B12,Master[Product_Code],Master[Style])</f>
        <v>Boxer</v>
      </c>
      <c r="F12" s="2" t="str">
        <f>_xlfn.XLOOKUP(B12,Master[Product_Code],Master[Fabric])</f>
        <v>Cotton Blend</v>
      </c>
      <c r="G12" s="2" t="str">
        <f>_xlfn.XLOOKUP(B12,Master[Product_Code],Master[Size])</f>
        <v>80-85</v>
      </c>
      <c r="H12" s="2" t="str">
        <f>_xlfn.XLOOKUP(B12,Master[Product_Code],Master[Color])</f>
        <v>Royal Blue</v>
      </c>
      <c r="I12" s="4">
        <f>_xlfn.XLOOKUP(B12,Master[Product_Code],Master[Stock_Qty])</f>
        <v>5</v>
      </c>
      <c r="J12" s="6">
        <f>SUMIFS(
  Sales_Entry[Qty],
  Sales_Entry[Product_Code], Stock_Table[[#This Row],[Product_Code]]
)</f>
        <v>2</v>
      </c>
      <c r="K12" s="4">
        <f>SUMIFS(
  Exchange_Return[Qty],
  Exchange_Return[Product_Code], Stock_Table[[#This Row],[Product_Code]]
)</f>
        <v>0</v>
      </c>
      <c r="L12" s="4">
        <f>I12-J12+K12</f>
        <v>3</v>
      </c>
      <c r="M12" s="2" t="str" cm="1">
        <f t="array" ref="M12">_xlfn.IFS(L12=0,"Out of Stock",L12&gt;=2,"Limited Stock",L12&lt;2,"In Stock")</f>
        <v>Limited Stock</v>
      </c>
    </row>
    <row r="13" spans="1:15">
      <c r="B13" s="2" t="s">
        <v>1478</v>
      </c>
      <c r="C13" s="5" t="str">
        <f>_xlfn.XLOOKUP(B13,Master[Product_Code],Master[Category])</f>
        <v>Innerwear</v>
      </c>
      <c r="D13" s="2" t="str">
        <f>_xlfn.XLOOKUP(B13,Master[Product_Code],Master[Brand])</f>
        <v>V Star</v>
      </c>
      <c r="E13" s="2" t="str">
        <f>_xlfn.XLOOKUP(B13,Master[Product_Code],Master[Style])</f>
        <v>Boxer</v>
      </c>
      <c r="F13" s="2" t="str">
        <f>_xlfn.XLOOKUP(B13,Master[Product_Code],Master[Fabric])</f>
        <v>Cotton Blend</v>
      </c>
      <c r="G13" s="2" t="str">
        <f>_xlfn.XLOOKUP(B13,Master[Product_Code],Master[Size])</f>
        <v>80-85</v>
      </c>
      <c r="H13" s="2" t="str">
        <f>_xlfn.XLOOKUP(B13,Master[Product_Code],Master[Color])</f>
        <v>Black</v>
      </c>
      <c r="I13" s="4">
        <f>_xlfn.XLOOKUP(B13,Master[Product_Code],Master[Stock_Qty])</f>
        <v>4</v>
      </c>
      <c r="J13" s="6">
        <f>SUMIFS(
  Sales_Entry[Qty],
  Sales_Entry[Product_Code], Stock_Table[[#This Row],[Product_Code]]
)</f>
        <v>2</v>
      </c>
      <c r="K13" s="4">
        <f>SUMIFS(
  Exchange_Return[Qty],
  Exchange_Return[Product_Code], Stock_Table[[#This Row],[Product_Code]]
)</f>
        <v>0</v>
      </c>
      <c r="L13" s="4">
        <f>I13-J13+K13</f>
        <v>2</v>
      </c>
      <c r="M13" s="2" t="str" cm="1">
        <f t="array" ref="M13">_xlfn.IFS(L13=0,"Out of Stock",L13&gt;=2,"Limited Stock",L13&lt;2,"In Stock")</f>
        <v>Limited Stock</v>
      </c>
    </row>
    <row r="14" spans="1:15">
      <c r="B14" s="2" t="s">
        <v>1479</v>
      </c>
      <c r="C14" s="5" t="str">
        <f>_xlfn.XLOOKUP(B14,Master[Product_Code],Master[Category])</f>
        <v>Innerwear</v>
      </c>
      <c r="D14" s="2" t="str">
        <f>_xlfn.XLOOKUP(B14,Master[Product_Code],Master[Brand])</f>
        <v>Lux</v>
      </c>
      <c r="E14" s="2" t="str">
        <f>_xlfn.XLOOKUP(B14,Master[Product_Code],Master[Style])</f>
        <v>Boxer</v>
      </c>
      <c r="F14" s="2" t="str">
        <f>_xlfn.XLOOKUP(B14,Master[Product_Code],Master[Fabric])</f>
        <v>Cotton</v>
      </c>
      <c r="G14" s="2" t="str">
        <f>_xlfn.XLOOKUP(B14,Master[Product_Code],Master[Size])</f>
        <v>100-105</v>
      </c>
      <c r="H14" s="2" t="str">
        <f>_xlfn.XLOOKUP(B14,Master[Product_Code],Master[Color])</f>
        <v>Mustard</v>
      </c>
      <c r="I14" s="4">
        <f>_xlfn.XLOOKUP(B14,Master[Product_Code],Master[Stock_Qty])</f>
        <v>6</v>
      </c>
      <c r="J14" s="6">
        <f>SUMIFS(
  Sales_Entry[Qty],
  Sales_Entry[Product_Code], Stock_Table[[#This Row],[Product_Code]]
)</f>
        <v>0</v>
      </c>
      <c r="K14" s="4">
        <f>SUMIFS(
  Exchange_Return[Qty],
  Exchange_Return[Product_Code], Stock_Table[[#This Row],[Product_Code]]
)</f>
        <v>0</v>
      </c>
      <c r="L14" s="4">
        <f>I14-J14+K14</f>
        <v>6</v>
      </c>
      <c r="M14" s="2" t="str" cm="1">
        <f t="array" ref="M14">_xlfn.IFS(L14=0,"Out of Stock",L14&gt;=2,"Limited Stock",L14&lt;2,"In Stock")</f>
        <v>Limited Stock</v>
      </c>
    </row>
    <row r="15" spans="1:15">
      <c r="B15" s="2" t="s">
        <v>1480</v>
      </c>
      <c r="C15" s="5" t="str">
        <f>_xlfn.XLOOKUP(B15,Master[Product_Code],Master[Category])</f>
        <v>Innerwear</v>
      </c>
      <c r="D15" s="2" t="str">
        <f>_xlfn.XLOOKUP(B15,Master[Product_Code],Master[Brand])</f>
        <v>Jockey</v>
      </c>
      <c r="E15" s="2" t="str">
        <f>_xlfn.XLOOKUP(B15,Master[Product_Code],Master[Style])</f>
        <v>V-Cut</v>
      </c>
      <c r="F15" s="2" t="str">
        <f>_xlfn.XLOOKUP(B15,Master[Product_Code],Master[Fabric])</f>
        <v>Cotton</v>
      </c>
      <c r="G15" s="2" t="str">
        <f>_xlfn.XLOOKUP(B15,Master[Product_Code],Master[Size])</f>
        <v>85-90</v>
      </c>
      <c r="H15" s="2" t="str">
        <f>_xlfn.XLOOKUP(B15,Master[Product_Code],Master[Color])</f>
        <v>Cream</v>
      </c>
      <c r="I15" s="4">
        <f>_xlfn.XLOOKUP(B15,Master[Product_Code],Master[Stock_Qty])</f>
        <v>5</v>
      </c>
      <c r="J15" s="6">
        <f>SUMIFS(
  Sales_Entry[Qty],
  Sales_Entry[Product_Code], Stock_Table[[#This Row],[Product_Code]]
)</f>
        <v>4</v>
      </c>
      <c r="K15" s="4">
        <f>SUMIFS(
  Exchange_Return[Qty],
  Exchange_Return[Product_Code], Stock_Table[[#This Row],[Product_Code]]
)</f>
        <v>0</v>
      </c>
      <c r="L15" s="4">
        <f>I15-J15+K15</f>
        <v>1</v>
      </c>
      <c r="M15" s="2" t="str" cm="1">
        <f t="array" ref="M15">_xlfn.IFS(L15=0,"Out of Stock",L15&gt;=2,"Limited Stock",L15&lt;2,"In Stock")</f>
        <v>In Stock</v>
      </c>
    </row>
    <row r="16" spans="1:15">
      <c r="B16" s="2" t="s">
        <v>1482</v>
      </c>
      <c r="C16" s="5" t="str">
        <f>_xlfn.XLOOKUP(B16,Master[Product_Code],Master[Category])</f>
        <v>Innerwear</v>
      </c>
      <c r="D16" s="2" t="str">
        <f>_xlfn.XLOOKUP(B16,Master[Product_Code],Master[Brand])</f>
        <v>Jockey</v>
      </c>
      <c r="E16" s="2" t="str">
        <f>_xlfn.XLOOKUP(B16,Master[Product_Code],Master[Style])</f>
        <v>V-Cut</v>
      </c>
      <c r="F16" s="2" t="str">
        <f>_xlfn.XLOOKUP(B16,Master[Product_Code],Master[Fabric])</f>
        <v>Cotton Blend</v>
      </c>
      <c r="G16" s="2" t="str">
        <f>_xlfn.XLOOKUP(B16,Master[Product_Code],Master[Size])</f>
        <v>80-85</v>
      </c>
      <c r="H16" s="2" t="str">
        <f>_xlfn.XLOOKUP(B16,Master[Product_Code],Master[Color])</f>
        <v>Olive</v>
      </c>
      <c r="I16" s="4">
        <f>_xlfn.XLOOKUP(B16,Master[Product_Code],Master[Stock_Qty])</f>
        <v>6</v>
      </c>
      <c r="J16" s="6">
        <f>SUMIFS(
  Sales_Entry[Qty],
  Sales_Entry[Product_Code], Stock_Table[[#This Row],[Product_Code]]
)</f>
        <v>1</v>
      </c>
      <c r="K16" s="4">
        <f>SUMIFS(
  Exchange_Return[Qty],
  Exchange_Return[Product_Code], Stock_Table[[#This Row],[Product_Code]]
)</f>
        <v>0</v>
      </c>
      <c r="L16" s="4">
        <f>I16-J16+K16</f>
        <v>5</v>
      </c>
      <c r="M16" s="2" t="str" cm="1">
        <f t="array" ref="M16">_xlfn.IFS(L16=0,"Out of Stock",L16&gt;=2,"Limited Stock",L16&lt;2,"In Stock")</f>
        <v>Limited Stock</v>
      </c>
    </row>
    <row r="17" spans="2:13">
      <c r="B17" s="2" t="s">
        <v>1483</v>
      </c>
      <c r="C17" s="5" t="str">
        <f>_xlfn.XLOOKUP(B17,Master[Product_Code],Master[Category])</f>
        <v>Innerwear</v>
      </c>
      <c r="D17" s="2" t="str">
        <f>_xlfn.XLOOKUP(B17,Master[Product_Code],Master[Brand])</f>
        <v>Jockey</v>
      </c>
      <c r="E17" s="2" t="str">
        <f>_xlfn.XLOOKUP(B17,Master[Product_Code],Master[Style])</f>
        <v>V-Cut</v>
      </c>
      <c r="F17" s="2" t="str">
        <f>_xlfn.XLOOKUP(B17,Master[Product_Code],Master[Fabric])</f>
        <v>Cotton</v>
      </c>
      <c r="G17" s="2" t="str">
        <f>_xlfn.XLOOKUP(B17,Master[Product_Code],Master[Size])</f>
        <v>90-100</v>
      </c>
      <c r="H17" s="2" t="str">
        <f>_xlfn.XLOOKUP(B17,Master[Product_Code],Master[Color])</f>
        <v>White</v>
      </c>
      <c r="I17" s="4">
        <f>_xlfn.XLOOKUP(B17,Master[Product_Code],Master[Stock_Qty])</f>
        <v>4</v>
      </c>
      <c r="J17" s="6">
        <f>SUMIFS(
  Sales_Entry[Qty],
  Sales_Entry[Product_Code], Stock_Table[[#This Row],[Product_Code]]
)</f>
        <v>3</v>
      </c>
      <c r="K17" s="4">
        <f>SUMIFS(
  Exchange_Return[Qty],
  Exchange_Return[Product_Code], Stock_Table[[#This Row],[Product_Code]]
)</f>
        <v>0</v>
      </c>
      <c r="L17" s="4">
        <f>I17-J17+K17</f>
        <v>1</v>
      </c>
      <c r="M17" s="2" t="str" cm="1">
        <f t="array" ref="M17">_xlfn.IFS(L17=0,"Out of Stock",L17&gt;=2,"Limited Stock",L17&lt;2,"In Stock")</f>
        <v>In Stock</v>
      </c>
    </row>
    <row r="18" spans="2:13">
      <c r="B18" s="2" t="s">
        <v>1484</v>
      </c>
      <c r="C18" s="5" t="str">
        <f>_xlfn.XLOOKUP(B18,Master[Product_Code],Master[Category])</f>
        <v>Innerwear</v>
      </c>
      <c r="D18" s="2" t="str">
        <f>_xlfn.XLOOKUP(B18,Master[Product_Code],Master[Brand])</f>
        <v>Dollar</v>
      </c>
      <c r="E18" s="2" t="str">
        <f>_xlfn.XLOOKUP(B18,Master[Product_Code],Master[Style])</f>
        <v>Boxer</v>
      </c>
      <c r="F18" s="2" t="str">
        <f>_xlfn.XLOOKUP(B18,Master[Product_Code],Master[Fabric])</f>
        <v>Cotton</v>
      </c>
      <c r="G18" s="2" t="str">
        <f>_xlfn.XLOOKUP(B18,Master[Product_Code],Master[Size])</f>
        <v>105-110</v>
      </c>
      <c r="H18" s="2" t="str">
        <f>_xlfn.XLOOKUP(B18,Master[Product_Code],Master[Color])</f>
        <v>Grey</v>
      </c>
      <c r="I18" s="4">
        <f>_xlfn.XLOOKUP(B18,Master[Product_Code],Master[Stock_Qty])</f>
        <v>6</v>
      </c>
      <c r="J18" s="6">
        <f>SUMIFS(
  Sales_Entry[Qty],
  Sales_Entry[Product_Code], Stock_Table[[#This Row],[Product_Code]]
)</f>
        <v>1</v>
      </c>
      <c r="K18" s="4">
        <f>SUMIFS(
  Exchange_Return[Qty],
  Exchange_Return[Product_Code], Stock_Table[[#This Row],[Product_Code]]
)</f>
        <v>0</v>
      </c>
      <c r="L18" s="4">
        <f>I18-J18+K18</f>
        <v>5</v>
      </c>
      <c r="M18" s="2" t="str" cm="1">
        <f t="array" ref="M18">_xlfn.IFS(L18=0,"Out of Stock",L18&gt;=2,"Limited Stock",L18&lt;2,"In Stock")</f>
        <v>Limited Stock</v>
      </c>
    </row>
    <row r="19" spans="2:13">
      <c r="B19" s="2" t="s">
        <v>1485</v>
      </c>
      <c r="C19" s="5" t="str">
        <f>_xlfn.XLOOKUP(B19,Master[Product_Code],Master[Category])</f>
        <v>Innerwear</v>
      </c>
      <c r="D19" s="2" t="str">
        <f>_xlfn.XLOOKUP(B19,Master[Product_Code],Master[Brand])</f>
        <v>V Star</v>
      </c>
      <c r="E19" s="2" t="str">
        <f>_xlfn.XLOOKUP(B19,Master[Product_Code],Master[Style])</f>
        <v>V-Cut</v>
      </c>
      <c r="F19" s="2" t="str">
        <f>_xlfn.XLOOKUP(B19,Master[Product_Code],Master[Fabric])</f>
        <v>Cotton Blend</v>
      </c>
      <c r="G19" s="2" t="str">
        <f>_xlfn.XLOOKUP(B19,Master[Product_Code],Master[Size])</f>
        <v>75-80</v>
      </c>
      <c r="H19" s="2" t="str">
        <f>_xlfn.XLOOKUP(B19,Master[Product_Code],Master[Color])</f>
        <v>Sky Blue</v>
      </c>
      <c r="I19" s="4">
        <f>_xlfn.XLOOKUP(B19,Master[Product_Code],Master[Stock_Qty])</f>
        <v>5</v>
      </c>
      <c r="J19" s="6">
        <f>SUMIFS(
  Sales_Entry[Qty],
  Sales_Entry[Product_Code], Stock_Table[[#This Row],[Product_Code]]
)</f>
        <v>3</v>
      </c>
      <c r="K19" s="4">
        <f>SUMIFS(
  Exchange_Return[Qty],
  Exchange_Return[Product_Code], Stock_Table[[#This Row],[Product_Code]]
)</f>
        <v>0</v>
      </c>
      <c r="L19" s="4">
        <f>I19-J19+K19</f>
        <v>2</v>
      </c>
      <c r="M19" s="2" t="str" cm="1">
        <f t="array" ref="M19">_xlfn.IFS(L19=0,"Out of Stock",L19&gt;=2,"Limited Stock",L19&lt;2,"In Stock")</f>
        <v>Limited Stock</v>
      </c>
    </row>
    <row r="20" spans="2:13">
      <c r="B20" s="2" t="s">
        <v>1486</v>
      </c>
      <c r="C20" s="5" t="str">
        <f>_xlfn.XLOOKUP(B20,Master[Product_Code],Master[Category])</f>
        <v>Innerwear</v>
      </c>
      <c r="D20" s="2" t="str">
        <f>_xlfn.XLOOKUP(B20,Master[Product_Code],Master[Brand])</f>
        <v>Jockey</v>
      </c>
      <c r="E20" s="2" t="str">
        <f>_xlfn.XLOOKUP(B20,Master[Product_Code],Master[Style])</f>
        <v>V-Cut</v>
      </c>
      <c r="F20" s="2" t="str">
        <f>_xlfn.XLOOKUP(B20,Master[Product_Code],Master[Fabric])</f>
        <v>Cotton Blend</v>
      </c>
      <c r="G20" s="2" t="str">
        <f>_xlfn.XLOOKUP(B20,Master[Product_Code],Master[Size])</f>
        <v>80-85</v>
      </c>
      <c r="H20" s="2" t="str">
        <f>_xlfn.XLOOKUP(B20,Master[Product_Code],Master[Color])</f>
        <v>Wine</v>
      </c>
      <c r="I20" s="4">
        <f>_xlfn.XLOOKUP(B20,Master[Product_Code],Master[Stock_Qty])</f>
        <v>3</v>
      </c>
      <c r="J20" s="6">
        <f>SUMIFS(
  Sales_Entry[Qty],
  Sales_Entry[Product_Code], Stock_Table[[#This Row],[Product_Code]]
)</f>
        <v>0</v>
      </c>
      <c r="K20" s="4">
        <f>SUMIFS(
  Exchange_Return[Qty],
  Exchange_Return[Product_Code], Stock_Table[[#This Row],[Product_Code]]
)</f>
        <v>0</v>
      </c>
      <c r="L20" s="4">
        <f>I20-J20+K20</f>
        <v>3</v>
      </c>
      <c r="M20" s="2" t="str" cm="1">
        <f t="array" ref="M20">_xlfn.IFS(L20=0,"Out of Stock",L20&gt;=2,"Limited Stock",L20&lt;2,"In Stock")</f>
        <v>Limited Stock</v>
      </c>
    </row>
    <row r="21" spans="2:13">
      <c r="B21" s="2" t="s">
        <v>1487</v>
      </c>
      <c r="C21" s="5" t="str">
        <f>_xlfn.XLOOKUP(B21,Master[Product_Code],Master[Category])</f>
        <v>Innerwear</v>
      </c>
      <c r="D21" s="2" t="str">
        <f>_xlfn.XLOOKUP(B21,Master[Product_Code],Master[Brand])</f>
        <v>Lux</v>
      </c>
      <c r="E21" s="2" t="str">
        <f>_xlfn.XLOOKUP(B21,Master[Product_Code],Master[Style])</f>
        <v>V-Cut</v>
      </c>
      <c r="F21" s="2" t="str">
        <f>_xlfn.XLOOKUP(B21,Master[Product_Code],Master[Fabric])</f>
        <v>Cotton Blend</v>
      </c>
      <c r="G21" s="2" t="str">
        <f>_xlfn.XLOOKUP(B21,Master[Product_Code],Master[Size])</f>
        <v>90-100</v>
      </c>
      <c r="H21" s="2" t="str">
        <f>_xlfn.XLOOKUP(B21,Master[Product_Code],Master[Color])</f>
        <v>Mustard</v>
      </c>
      <c r="I21" s="4">
        <f>_xlfn.XLOOKUP(B21,Master[Product_Code],Master[Stock_Qty])</f>
        <v>6</v>
      </c>
      <c r="J21" s="6">
        <f>SUMIFS(
  Sales_Entry[Qty],
  Sales_Entry[Product_Code], Stock_Table[[#This Row],[Product_Code]]
)</f>
        <v>2</v>
      </c>
      <c r="K21" s="4">
        <f>SUMIFS(
  Exchange_Return[Qty],
  Exchange_Return[Product_Code], Stock_Table[[#This Row],[Product_Code]]
)</f>
        <v>0</v>
      </c>
      <c r="L21" s="4">
        <f>I21-J21+K21</f>
        <v>4</v>
      </c>
      <c r="M21" s="2" t="str" cm="1">
        <f t="array" ref="M21">_xlfn.IFS(L21=0,"Out of Stock",L21&gt;=2,"Limited Stock",L21&lt;2,"In Stock")</f>
        <v>Limited Stock</v>
      </c>
    </row>
    <row r="22" spans="2:13">
      <c r="B22" s="2" t="s">
        <v>1488</v>
      </c>
      <c r="C22" s="5" t="str">
        <f>_xlfn.XLOOKUP(B22,Master[Product_Code],Master[Category])</f>
        <v>Innerwear</v>
      </c>
      <c r="D22" s="2" t="str">
        <f>_xlfn.XLOOKUP(B22,Master[Product_Code],Master[Brand])</f>
        <v>Jockey</v>
      </c>
      <c r="E22" s="2" t="str">
        <f>_xlfn.XLOOKUP(B22,Master[Product_Code],Master[Style])</f>
        <v>V-Cut</v>
      </c>
      <c r="F22" s="2" t="str">
        <f>_xlfn.XLOOKUP(B22,Master[Product_Code],Master[Fabric])</f>
        <v>Cotton</v>
      </c>
      <c r="G22" s="2" t="str">
        <f>_xlfn.XLOOKUP(B22,Master[Product_Code],Master[Size])</f>
        <v>85-90</v>
      </c>
      <c r="H22" s="2" t="str">
        <f>_xlfn.XLOOKUP(B22,Master[Product_Code],Master[Color])</f>
        <v>Sky Blue</v>
      </c>
      <c r="I22" s="4">
        <f>_xlfn.XLOOKUP(B22,Master[Product_Code],Master[Stock_Qty])</f>
        <v>4</v>
      </c>
      <c r="J22" s="6">
        <f>SUMIFS(
  Sales_Entry[Qty],
  Sales_Entry[Product_Code], Stock_Table[[#This Row],[Product_Code]]
)</f>
        <v>3</v>
      </c>
      <c r="K22" s="4">
        <f>SUMIFS(
  Exchange_Return[Qty],
  Exchange_Return[Product_Code], Stock_Table[[#This Row],[Product_Code]]
)</f>
        <v>0</v>
      </c>
      <c r="L22" s="4">
        <f>I22-J22+K22</f>
        <v>1</v>
      </c>
      <c r="M22" s="2" t="str" cm="1">
        <f t="array" ref="M22">_xlfn.IFS(L22=0,"Out of Stock",L22&gt;=2,"Limited Stock",L22&lt;2,"In Stock")</f>
        <v>In Stock</v>
      </c>
    </row>
    <row r="23" spans="2:13">
      <c r="B23" s="2" t="s">
        <v>1489</v>
      </c>
      <c r="C23" s="5" t="str">
        <f>_xlfn.XLOOKUP(B23,Master[Product_Code],Master[Category])</f>
        <v>Innerwear</v>
      </c>
      <c r="D23" s="2" t="str">
        <f>_xlfn.XLOOKUP(B23,Master[Product_Code],Master[Brand])</f>
        <v>Jockey</v>
      </c>
      <c r="E23" s="2" t="str">
        <f>_xlfn.XLOOKUP(B23,Master[Product_Code],Master[Style])</f>
        <v>Boxer</v>
      </c>
      <c r="F23" s="2" t="str">
        <f>_xlfn.XLOOKUP(B23,Master[Product_Code],Master[Fabric])</f>
        <v>Cotton Blend</v>
      </c>
      <c r="G23" s="2" t="str">
        <f>_xlfn.XLOOKUP(B23,Master[Product_Code],Master[Size])</f>
        <v>75-80</v>
      </c>
      <c r="H23" s="2" t="str">
        <f>_xlfn.XLOOKUP(B23,Master[Product_Code],Master[Color])</f>
        <v>Navy Blue</v>
      </c>
      <c r="I23" s="4">
        <f>_xlfn.XLOOKUP(B23,Master[Product_Code],Master[Stock_Qty])</f>
        <v>4</v>
      </c>
      <c r="J23" s="6">
        <f>SUMIFS(
  Sales_Entry[Qty],
  Sales_Entry[Product_Code], Stock_Table[[#This Row],[Product_Code]]
)</f>
        <v>3</v>
      </c>
      <c r="K23" s="4">
        <f>SUMIFS(
  Exchange_Return[Qty],
  Exchange_Return[Product_Code], Stock_Table[[#This Row],[Product_Code]]
)</f>
        <v>0</v>
      </c>
      <c r="L23" s="4">
        <f>I23-J23+K23</f>
        <v>1</v>
      </c>
      <c r="M23" s="2" t="str" cm="1">
        <f t="array" ref="M23">_xlfn.IFS(L23=0,"Out of Stock",L23&gt;=2,"Limited Stock",L23&lt;2,"In Stock")</f>
        <v>In Stock</v>
      </c>
    </row>
    <row r="24" spans="2:13">
      <c r="B24" s="2" t="s">
        <v>1490</v>
      </c>
      <c r="C24" s="5" t="str">
        <f>_xlfn.XLOOKUP(B24,Master[Product_Code],Master[Category])</f>
        <v>Innerwear</v>
      </c>
      <c r="D24" s="2" t="str">
        <f>_xlfn.XLOOKUP(B24,Master[Product_Code],Master[Brand])</f>
        <v>Rupa</v>
      </c>
      <c r="E24" s="2" t="str">
        <f>_xlfn.XLOOKUP(B24,Master[Product_Code],Master[Style])</f>
        <v>Boxer</v>
      </c>
      <c r="F24" s="2" t="str">
        <f>_xlfn.XLOOKUP(B24,Master[Product_Code],Master[Fabric])</f>
        <v>Cotton Blend</v>
      </c>
      <c r="G24" s="2" t="str">
        <f>_xlfn.XLOOKUP(B24,Master[Product_Code],Master[Size])</f>
        <v>80-85</v>
      </c>
      <c r="H24" s="2" t="str">
        <f>_xlfn.XLOOKUP(B24,Master[Product_Code],Master[Color])</f>
        <v>Olive</v>
      </c>
      <c r="I24" s="4">
        <f>_xlfn.XLOOKUP(B24,Master[Product_Code],Master[Stock_Qty])</f>
        <v>3</v>
      </c>
      <c r="J24" s="6">
        <f>SUMIFS(
  Sales_Entry[Qty],
  Sales_Entry[Product_Code], Stock_Table[[#This Row],[Product_Code]]
)</f>
        <v>3</v>
      </c>
      <c r="K24" s="4">
        <f>SUMIFS(
  Exchange_Return[Qty],
  Exchange_Return[Product_Code], Stock_Table[[#This Row],[Product_Code]]
)</f>
        <v>0</v>
      </c>
      <c r="L24" s="4">
        <f>I24-J24+K24</f>
        <v>0</v>
      </c>
      <c r="M24" s="2" t="str" cm="1">
        <f t="array" ref="M24">_xlfn.IFS(L24=0,"Out of Stock",L24&gt;=2,"Limited Stock",L24&lt;2,"In Stock")</f>
        <v>Out of Stock</v>
      </c>
    </row>
    <row r="25" spans="2:13">
      <c r="B25" s="2" t="s">
        <v>1491</v>
      </c>
      <c r="C25" s="5" t="str">
        <f>_xlfn.XLOOKUP(B25,Master[Product_Code],Master[Category])</f>
        <v>Innerwear</v>
      </c>
      <c r="D25" s="2" t="str">
        <f>_xlfn.XLOOKUP(B25,Master[Product_Code],Master[Brand])</f>
        <v>Rupa</v>
      </c>
      <c r="E25" s="2" t="str">
        <f>_xlfn.XLOOKUP(B25,Master[Product_Code],Master[Style])</f>
        <v>Boxer</v>
      </c>
      <c r="F25" s="2" t="str">
        <f>_xlfn.XLOOKUP(B25,Master[Product_Code],Master[Fabric])</f>
        <v>Cotton</v>
      </c>
      <c r="G25" s="2" t="str">
        <f>_xlfn.XLOOKUP(B25,Master[Product_Code],Master[Size])</f>
        <v>100-105</v>
      </c>
      <c r="H25" s="2" t="str">
        <f>_xlfn.XLOOKUP(B25,Master[Product_Code],Master[Color])</f>
        <v>Rust</v>
      </c>
      <c r="I25" s="4">
        <f>_xlfn.XLOOKUP(B25,Master[Product_Code],Master[Stock_Qty])</f>
        <v>4</v>
      </c>
      <c r="J25" s="6">
        <f>SUMIFS(
  Sales_Entry[Qty],
  Sales_Entry[Product_Code], Stock_Table[[#This Row],[Product_Code]]
)</f>
        <v>2</v>
      </c>
      <c r="K25" s="4">
        <f>SUMIFS(
  Exchange_Return[Qty],
  Exchange_Return[Product_Code], Stock_Table[[#This Row],[Product_Code]]
)</f>
        <v>0</v>
      </c>
      <c r="L25" s="4">
        <f>I25-J25+K25</f>
        <v>2</v>
      </c>
      <c r="M25" s="2" t="str" cm="1">
        <f t="array" ref="M25">_xlfn.IFS(L25=0,"Out of Stock",L25&gt;=2,"Limited Stock",L25&lt;2,"In Stock")</f>
        <v>Limited Stock</v>
      </c>
    </row>
    <row r="26" spans="2:13">
      <c r="B26" s="2" t="s">
        <v>1492</v>
      </c>
      <c r="C26" s="5" t="str">
        <f>_xlfn.XLOOKUP(B26,Master[Product_Code],Master[Category])</f>
        <v>Innerwear</v>
      </c>
      <c r="D26" s="2" t="str">
        <f>_xlfn.XLOOKUP(B26,Master[Product_Code],Master[Brand])</f>
        <v>Lux</v>
      </c>
      <c r="E26" s="2" t="str">
        <f>_xlfn.XLOOKUP(B26,Master[Product_Code],Master[Style])</f>
        <v>Boxer</v>
      </c>
      <c r="F26" s="2" t="str">
        <f>_xlfn.XLOOKUP(B26,Master[Product_Code],Master[Fabric])</f>
        <v>Cotton</v>
      </c>
      <c r="G26" s="2" t="str">
        <f>_xlfn.XLOOKUP(B26,Master[Product_Code],Master[Size])</f>
        <v>90-100</v>
      </c>
      <c r="H26" s="2" t="str">
        <f>_xlfn.XLOOKUP(B26,Master[Product_Code],Master[Color])</f>
        <v>Teal</v>
      </c>
      <c r="I26" s="4">
        <f>_xlfn.XLOOKUP(B26,Master[Product_Code],Master[Stock_Qty])</f>
        <v>4</v>
      </c>
      <c r="J26" s="6">
        <f>SUMIFS(
  Sales_Entry[Qty],
  Sales_Entry[Product_Code], Stock_Table[[#This Row],[Product_Code]]
)</f>
        <v>2</v>
      </c>
      <c r="K26" s="4">
        <f>SUMIFS(
  Exchange_Return[Qty],
  Exchange_Return[Product_Code], Stock_Table[[#This Row],[Product_Code]]
)</f>
        <v>0</v>
      </c>
      <c r="L26" s="4">
        <f>I26-J26+K26</f>
        <v>2</v>
      </c>
      <c r="M26" s="2" t="str" cm="1">
        <f t="array" ref="M26">_xlfn.IFS(L26=0,"Out of Stock",L26&gt;=2,"Limited Stock",L26&lt;2,"In Stock")</f>
        <v>Limited Stock</v>
      </c>
    </row>
    <row r="27" spans="2:13">
      <c r="B27" s="2" t="s">
        <v>1493</v>
      </c>
      <c r="C27" s="5" t="str">
        <f>_xlfn.XLOOKUP(B27,Master[Product_Code],Master[Category])</f>
        <v>Innerwear</v>
      </c>
      <c r="D27" s="2" t="str">
        <f>_xlfn.XLOOKUP(B27,Master[Product_Code],Master[Brand])</f>
        <v>Lux</v>
      </c>
      <c r="E27" s="2" t="str">
        <f>_xlfn.XLOOKUP(B27,Master[Product_Code],Master[Style])</f>
        <v>V-Cut</v>
      </c>
      <c r="F27" s="2" t="str">
        <f>_xlfn.XLOOKUP(B27,Master[Product_Code],Master[Fabric])</f>
        <v>Cotton Blend</v>
      </c>
      <c r="G27" s="2" t="str">
        <f>_xlfn.XLOOKUP(B27,Master[Product_Code],Master[Size])</f>
        <v>105-110</v>
      </c>
      <c r="H27" s="2" t="str">
        <f>_xlfn.XLOOKUP(B27,Master[Product_Code],Master[Color])</f>
        <v>White</v>
      </c>
      <c r="I27" s="4">
        <f>_xlfn.XLOOKUP(B27,Master[Product_Code],Master[Stock_Qty])</f>
        <v>3</v>
      </c>
      <c r="J27" s="6">
        <f>SUMIFS(
  Sales_Entry[Qty],
  Sales_Entry[Product_Code], Stock_Table[[#This Row],[Product_Code]]
)</f>
        <v>2</v>
      </c>
      <c r="K27" s="4">
        <f>SUMIFS(
  Exchange_Return[Qty],
  Exchange_Return[Product_Code], Stock_Table[[#This Row],[Product_Code]]
)</f>
        <v>0</v>
      </c>
      <c r="L27" s="4">
        <f>I27-J27+K27</f>
        <v>1</v>
      </c>
      <c r="M27" s="2" t="str" cm="1">
        <f t="array" ref="M27">_xlfn.IFS(L27=0,"Out of Stock",L27&gt;=2,"Limited Stock",L27&lt;2,"In Stock")</f>
        <v>In Stock</v>
      </c>
    </row>
    <row r="28" spans="2:13">
      <c r="B28" s="2" t="s">
        <v>1494</v>
      </c>
      <c r="C28" s="5" t="str">
        <f>_xlfn.XLOOKUP(B28,Master[Product_Code],Master[Category])</f>
        <v>Innerwear</v>
      </c>
      <c r="D28" s="2" t="str">
        <f>_xlfn.XLOOKUP(B28,Master[Product_Code],Master[Brand])</f>
        <v>Dollar</v>
      </c>
      <c r="E28" s="2" t="str">
        <f>_xlfn.XLOOKUP(B28,Master[Product_Code],Master[Style])</f>
        <v>Boxer</v>
      </c>
      <c r="F28" s="2" t="str">
        <f>_xlfn.XLOOKUP(B28,Master[Product_Code],Master[Fabric])</f>
        <v>Cotton</v>
      </c>
      <c r="G28" s="2" t="str">
        <f>_xlfn.XLOOKUP(B28,Master[Product_Code],Master[Size])</f>
        <v>100-105</v>
      </c>
      <c r="H28" s="2" t="str">
        <f>_xlfn.XLOOKUP(B28,Master[Product_Code],Master[Color])</f>
        <v>Black</v>
      </c>
      <c r="I28" s="4">
        <f>_xlfn.XLOOKUP(B28,Master[Product_Code],Master[Stock_Qty])</f>
        <v>3</v>
      </c>
      <c r="J28" s="6">
        <f>SUMIFS(
  Sales_Entry[Qty],
  Sales_Entry[Product_Code], Stock_Table[[#This Row],[Product_Code]]
)</f>
        <v>3</v>
      </c>
      <c r="K28" s="4">
        <f>SUMIFS(
  Exchange_Return[Qty],
  Exchange_Return[Product_Code], Stock_Table[[#This Row],[Product_Code]]
)</f>
        <v>0</v>
      </c>
      <c r="L28" s="4">
        <f>I28-J28+K28</f>
        <v>0</v>
      </c>
      <c r="M28" s="2" t="str" cm="1">
        <f t="array" ref="M28">_xlfn.IFS(L28=0,"Out of Stock",L28&gt;=2,"Limited Stock",L28&lt;2,"In Stock")</f>
        <v>Out of Stock</v>
      </c>
    </row>
    <row r="29" spans="2:13">
      <c r="B29" s="2" t="s">
        <v>1495</v>
      </c>
      <c r="C29" s="5" t="str">
        <f>_xlfn.XLOOKUP(B29,Master[Product_Code],Master[Category])</f>
        <v>Innerwear</v>
      </c>
      <c r="D29" s="2" t="str">
        <f>_xlfn.XLOOKUP(B29,Master[Product_Code],Master[Brand])</f>
        <v>Rupa</v>
      </c>
      <c r="E29" s="2" t="str">
        <f>_xlfn.XLOOKUP(B29,Master[Product_Code],Master[Style])</f>
        <v>V-Cut</v>
      </c>
      <c r="F29" s="2" t="str">
        <f>_xlfn.XLOOKUP(B29,Master[Product_Code],Master[Fabric])</f>
        <v>Cotton Blend</v>
      </c>
      <c r="G29" s="2" t="str">
        <f>_xlfn.XLOOKUP(B29,Master[Product_Code],Master[Size])</f>
        <v>80-85</v>
      </c>
      <c r="H29" s="2" t="str">
        <f>_xlfn.XLOOKUP(B29,Master[Product_Code],Master[Color])</f>
        <v>Grey</v>
      </c>
      <c r="I29" s="4">
        <f>_xlfn.XLOOKUP(B29,Master[Product_Code],Master[Stock_Qty])</f>
        <v>3</v>
      </c>
      <c r="J29" s="6">
        <f>SUMIFS(
  Sales_Entry[Qty],
  Sales_Entry[Product_Code], Stock_Table[[#This Row],[Product_Code]]
)</f>
        <v>1</v>
      </c>
      <c r="K29" s="4">
        <f>SUMIFS(
  Exchange_Return[Qty],
  Exchange_Return[Product_Code], Stock_Table[[#This Row],[Product_Code]]
)</f>
        <v>0</v>
      </c>
      <c r="L29" s="4">
        <f>I29-J29+K29</f>
        <v>2</v>
      </c>
      <c r="M29" s="2" t="str" cm="1">
        <f t="array" ref="M29">_xlfn.IFS(L29=0,"Out of Stock",L29&gt;=2,"Limited Stock",L29&lt;2,"In Stock")</f>
        <v>Limited Stock</v>
      </c>
    </row>
    <row r="30" spans="2:13">
      <c r="B30" s="2" t="s">
        <v>1496</v>
      </c>
      <c r="C30" s="5" t="str">
        <f>_xlfn.XLOOKUP(B30,Master[Product_Code],Master[Category])</f>
        <v>Innerwear</v>
      </c>
      <c r="D30" s="2" t="str">
        <f>_xlfn.XLOOKUP(B30,Master[Product_Code],Master[Brand])</f>
        <v>Jockey</v>
      </c>
      <c r="E30" s="2" t="str">
        <f>_xlfn.XLOOKUP(B30,Master[Product_Code],Master[Style])</f>
        <v>V-Cut</v>
      </c>
      <c r="F30" s="2" t="str">
        <f>_xlfn.XLOOKUP(B30,Master[Product_Code],Master[Fabric])</f>
        <v>Cotton</v>
      </c>
      <c r="G30" s="2" t="str">
        <f>_xlfn.XLOOKUP(B30,Master[Product_Code],Master[Size])</f>
        <v>85-90</v>
      </c>
      <c r="H30" s="2" t="str">
        <f>_xlfn.XLOOKUP(B30,Master[Product_Code],Master[Color])</f>
        <v>Grey</v>
      </c>
      <c r="I30" s="4">
        <f>_xlfn.XLOOKUP(B30,Master[Product_Code],Master[Stock_Qty])</f>
        <v>3</v>
      </c>
      <c r="J30" s="6">
        <f>SUMIFS(
  Sales_Entry[Qty],
  Sales_Entry[Product_Code], Stock_Table[[#This Row],[Product_Code]]
)</f>
        <v>1</v>
      </c>
      <c r="K30" s="4">
        <f>SUMIFS(
  Exchange_Return[Qty],
  Exchange_Return[Product_Code], Stock_Table[[#This Row],[Product_Code]]
)</f>
        <v>0</v>
      </c>
      <c r="L30" s="4">
        <f>I30-J30+K30</f>
        <v>2</v>
      </c>
      <c r="M30" s="2" t="str" cm="1">
        <f t="array" ref="M30">_xlfn.IFS(L30=0,"Out of Stock",L30&gt;=2,"Limited Stock",L30&lt;2,"In Stock")</f>
        <v>Limited Stock</v>
      </c>
    </row>
    <row r="31" spans="2:13">
      <c r="B31" s="2" t="s">
        <v>1497</v>
      </c>
      <c r="C31" s="5" t="str">
        <f>_xlfn.XLOOKUP(B31,Master[Product_Code],Master[Category])</f>
        <v>Innerwear</v>
      </c>
      <c r="D31" s="2" t="str">
        <f>_xlfn.XLOOKUP(B31,Master[Product_Code],Master[Brand])</f>
        <v>Lux</v>
      </c>
      <c r="E31" s="2" t="str">
        <f>_xlfn.XLOOKUP(B31,Master[Product_Code],Master[Style])</f>
        <v>V-Cut</v>
      </c>
      <c r="F31" s="2" t="str">
        <f>_xlfn.XLOOKUP(B31,Master[Product_Code],Master[Fabric])</f>
        <v>Cotton</v>
      </c>
      <c r="G31" s="2" t="str">
        <f>_xlfn.XLOOKUP(B31,Master[Product_Code],Master[Size])</f>
        <v>75-80</v>
      </c>
      <c r="H31" s="2" t="str">
        <f>_xlfn.XLOOKUP(B31,Master[Product_Code],Master[Color])</f>
        <v>Bottle Green</v>
      </c>
      <c r="I31" s="4">
        <f>_xlfn.XLOOKUP(B31,Master[Product_Code],Master[Stock_Qty])</f>
        <v>3</v>
      </c>
      <c r="J31" s="6">
        <f>SUMIFS(
  Sales_Entry[Qty],
  Sales_Entry[Product_Code], Stock_Table[[#This Row],[Product_Code]]
)</f>
        <v>0</v>
      </c>
      <c r="K31" s="4">
        <f>SUMIFS(
  Exchange_Return[Qty],
  Exchange_Return[Product_Code], Stock_Table[[#This Row],[Product_Code]]
)</f>
        <v>0</v>
      </c>
      <c r="L31" s="4">
        <f>I31-J31+K31</f>
        <v>3</v>
      </c>
      <c r="M31" s="2" t="str" cm="1">
        <f t="array" ref="M31">_xlfn.IFS(L31=0,"Out of Stock",L31&gt;=2,"Limited Stock",L31&lt;2,"In Stock")</f>
        <v>Limited Stock</v>
      </c>
    </row>
    <row r="32" spans="2:13">
      <c r="B32" s="2" t="s">
        <v>1498</v>
      </c>
      <c r="C32" s="5" t="str">
        <f>_xlfn.XLOOKUP(B32,Master[Product_Code],Master[Category])</f>
        <v>Innerwear</v>
      </c>
      <c r="D32" s="2" t="str">
        <f>_xlfn.XLOOKUP(B32,Master[Product_Code],Master[Brand])</f>
        <v>Dollar</v>
      </c>
      <c r="E32" s="2" t="str">
        <f>_xlfn.XLOOKUP(B32,Master[Product_Code],Master[Style])</f>
        <v>V-Cut</v>
      </c>
      <c r="F32" s="2" t="str">
        <f>_xlfn.XLOOKUP(B32,Master[Product_Code],Master[Fabric])</f>
        <v>Cotton</v>
      </c>
      <c r="G32" s="2" t="str">
        <f>_xlfn.XLOOKUP(B32,Master[Product_Code],Master[Size])</f>
        <v>100-105</v>
      </c>
      <c r="H32" s="2" t="str">
        <f>_xlfn.XLOOKUP(B32,Master[Product_Code],Master[Color])</f>
        <v>Rust</v>
      </c>
      <c r="I32" s="4">
        <f>_xlfn.XLOOKUP(B32,Master[Product_Code],Master[Stock_Qty])</f>
        <v>6</v>
      </c>
      <c r="J32" s="6">
        <f>SUMIFS(
  Sales_Entry[Qty],
  Sales_Entry[Product_Code], Stock_Table[[#This Row],[Product_Code]]
)</f>
        <v>2</v>
      </c>
      <c r="K32" s="4">
        <f>SUMIFS(
  Exchange_Return[Qty],
  Exchange_Return[Product_Code], Stock_Table[[#This Row],[Product_Code]]
)</f>
        <v>0</v>
      </c>
      <c r="L32" s="4">
        <f>I32-J32+K32</f>
        <v>4</v>
      </c>
      <c r="M32" s="2" t="str" cm="1">
        <f t="array" ref="M32">_xlfn.IFS(L32=0,"Out of Stock",L32&gt;=2,"Limited Stock",L32&lt;2,"In Stock")</f>
        <v>Limited Stock</v>
      </c>
    </row>
    <row r="33" spans="2:13">
      <c r="B33" s="2" t="s">
        <v>1499</v>
      </c>
      <c r="C33" s="5" t="str">
        <f>_xlfn.XLOOKUP(B33,Master[Product_Code],Master[Category])</f>
        <v>Innerwear</v>
      </c>
      <c r="D33" s="2" t="str">
        <f>_xlfn.XLOOKUP(B33,Master[Product_Code],Master[Brand])</f>
        <v>Rupa</v>
      </c>
      <c r="E33" s="2" t="str">
        <f>_xlfn.XLOOKUP(B33,Master[Product_Code],Master[Style])</f>
        <v>V-Cut</v>
      </c>
      <c r="F33" s="2" t="str">
        <f>_xlfn.XLOOKUP(B33,Master[Product_Code],Master[Fabric])</f>
        <v>Cotton</v>
      </c>
      <c r="G33" s="2" t="str">
        <f>_xlfn.XLOOKUP(B33,Master[Product_Code],Master[Size])</f>
        <v>85-90</v>
      </c>
      <c r="H33" s="2" t="str">
        <f>_xlfn.XLOOKUP(B33,Master[Product_Code],Master[Color])</f>
        <v>Mustard</v>
      </c>
      <c r="I33" s="4">
        <f>_xlfn.XLOOKUP(B33,Master[Product_Code],Master[Stock_Qty])</f>
        <v>4</v>
      </c>
      <c r="J33" s="6">
        <f>SUMIFS(
  Sales_Entry[Qty],
  Sales_Entry[Product_Code], Stock_Table[[#This Row],[Product_Code]]
)</f>
        <v>0</v>
      </c>
      <c r="K33" s="4">
        <f>SUMIFS(
  Exchange_Return[Qty],
  Exchange_Return[Product_Code], Stock_Table[[#This Row],[Product_Code]]
)</f>
        <v>0</v>
      </c>
      <c r="L33" s="4">
        <f>I33-J33+K33</f>
        <v>4</v>
      </c>
      <c r="M33" s="2" t="str" cm="1">
        <f t="array" ref="M33">_xlfn.IFS(L33=0,"Out of Stock",L33&gt;=2,"Limited Stock",L33&lt;2,"In Stock")</f>
        <v>Limited Stock</v>
      </c>
    </row>
    <row r="34" spans="2:13">
      <c r="B34" s="2" t="s">
        <v>1500</v>
      </c>
      <c r="C34" s="5" t="str">
        <f>_xlfn.XLOOKUP(B34,Master[Product_Code],Master[Category])</f>
        <v>Innerwear</v>
      </c>
      <c r="D34" s="2" t="str">
        <f>_xlfn.XLOOKUP(B34,Master[Product_Code],Master[Brand])</f>
        <v>Jockey</v>
      </c>
      <c r="E34" s="2" t="str">
        <f>_xlfn.XLOOKUP(B34,Master[Product_Code],Master[Style])</f>
        <v>Boxer</v>
      </c>
      <c r="F34" s="2" t="str">
        <f>_xlfn.XLOOKUP(B34,Master[Product_Code],Master[Fabric])</f>
        <v>Cotton</v>
      </c>
      <c r="G34" s="2" t="str">
        <f>_xlfn.XLOOKUP(B34,Master[Product_Code],Master[Size])</f>
        <v>90-100</v>
      </c>
      <c r="H34" s="2" t="str">
        <f>_xlfn.XLOOKUP(B34,Master[Product_Code],Master[Color])</f>
        <v>Grey</v>
      </c>
      <c r="I34" s="4">
        <f>_xlfn.XLOOKUP(B34,Master[Product_Code],Master[Stock_Qty])</f>
        <v>6</v>
      </c>
      <c r="J34" s="6">
        <f>SUMIFS(
  Sales_Entry[Qty],
  Sales_Entry[Product_Code], Stock_Table[[#This Row],[Product_Code]]
)</f>
        <v>1</v>
      </c>
      <c r="K34" s="4">
        <f>SUMIFS(
  Exchange_Return[Qty],
  Exchange_Return[Product_Code], Stock_Table[[#This Row],[Product_Code]]
)</f>
        <v>0</v>
      </c>
      <c r="L34" s="4">
        <f>I34-J34+K34</f>
        <v>5</v>
      </c>
      <c r="M34" s="2" t="str" cm="1">
        <f t="array" ref="M34">_xlfn.IFS(L34=0,"Out of Stock",L34&gt;=2,"Limited Stock",L34&lt;2,"In Stock")</f>
        <v>Limited Stock</v>
      </c>
    </row>
    <row r="35" spans="2:13">
      <c r="B35" s="2" t="s">
        <v>1501</v>
      </c>
      <c r="C35" s="5" t="str">
        <f>_xlfn.XLOOKUP(B35,Master[Product_Code],Master[Category])</f>
        <v>Innerwear</v>
      </c>
      <c r="D35" s="2" t="str">
        <f>_xlfn.XLOOKUP(B35,Master[Product_Code],Master[Brand])</f>
        <v>Lux</v>
      </c>
      <c r="E35" s="2" t="str">
        <f>_xlfn.XLOOKUP(B35,Master[Product_Code],Master[Style])</f>
        <v>Boxer</v>
      </c>
      <c r="F35" s="2" t="str">
        <f>_xlfn.XLOOKUP(B35,Master[Product_Code],Master[Fabric])</f>
        <v>Cotton Blend</v>
      </c>
      <c r="G35" s="2" t="str">
        <f>_xlfn.XLOOKUP(B35,Master[Product_Code],Master[Size])</f>
        <v>75-80</v>
      </c>
      <c r="H35" s="2" t="str">
        <f>_xlfn.XLOOKUP(B35,Master[Product_Code],Master[Color])</f>
        <v>Navy Blue</v>
      </c>
      <c r="I35" s="4">
        <f>_xlfn.XLOOKUP(B35,Master[Product_Code],Master[Stock_Qty])</f>
        <v>4</v>
      </c>
      <c r="J35" s="6">
        <f>SUMIFS(
  Sales_Entry[Qty],
  Sales_Entry[Product_Code], Stock_Table[[#This Row],[Product_Code]]
)</f>
        <v>4</v>
      </c>
      <c r="K35" s="4">
        <f>SUMIFS(
  Exchange_Return[Qty],
  Exchange_Return[Product_Code], Stock_Table[[#This Row],[Product_Code]]
)</f>
        <v>0</v>
      </c>
      <c r="L35" s="4">
        <f>I35-J35+K35</f>
        <v>0</v>
      </c>
      <c r="M35" s="2" t="str" cm="1">
        <f t="array" ref="M35">_xlfn.IFS(L35=0,"Out of Stock",L35&gt;=2,"Limited Stock",L35&lt;2,"In Stock")</f>
        <v>Out of Stock</v>
      </c>
    </row>
    <row r="36" spans="2:13">
      <c r="B36" s="2" t="s">
        <v>1502</v>
      </c>
      <c r="C36" s="5" t="str">
        <f>_xlfn.XLOOKUP(B36,Master[Product_Code],Master[Category])</f>
        <v>Innerwear</v>
      </c>
      <c r="D36" s="2" t="str">
        <f>_xlfn.XLOOKUP(B36,Master[Product_Code],Master[Brand])</f>
        <v>Dollar</v>
      </c>
      <c r="E36" s="2" t="str">
        <f>_xlfn.XLOOKUP(B36,Master[Product_Code],Master[Style])</f>
        <v>Boxer</v>
      </c>
      <c r="F36" s="2" t="str">
        <f>_xlfn.XLOOKUP(B36,Master[Product_Code],Master[Fabric])</f>
        <v>Cotton</v>
      </c>
      <c r="G36" s="2" t="str">
        <f>_xlfn.XLOOKUP(B36,Master[Product_Code],Master[Size])</f>
        <v>105-110</v>
      </c>
      <c r="H36" s="2" t="str">
        <f>_xlfn.XLOOKUP(B36,Master[Product_Code],Master[Color])</f>
        <v>Dark Green</v>
      </c>
      <c r="I36" s="4">
        <f>_xlfn.XLOOKUP(B36,Master[Product_Code],Master[Stock_Qty])</f>
        <v>4</v>
      </c>
      <c r="J36" s="6">
        <f>SUMIFS(
  Sales_Entry[Qty],
  Sales_Entry[Product_Code], Stock_Table[[#This Row],[Product_Code]]
)</f>
        <v>3</v>
      </c>
      <c r="K36" s="4">
        <f>SUMIFS(
  Exchange_Return[Qty],
  Exchange_Return[Product_Code], Stock_Table[[#This Row],[Product_Code]]
)</f>
        <v>0</v>
      </c>
      <c r="L36" s="4">
        <f>I36-J36+K36</f>
        <v>1</v>
      </c>
      <c r="M36" s="2" t="str" cm="1">
        <f t="array" ref="M36">_xlfn.IFS(L36=0,"Out of Stock",L36&gt;=2,"Limited Stock",L36&lt;2,"In Stock")</f>
        <v>In Stock</v>
      </c>
    </row>
    <row r="37" spans="2:13">
      <c r="B37" s="2" t="s">
        <v>1503</v>
      </c>
      <c r="C37" s="5" t="str">
        <f>_xlfn.XLOOKUP(B37,Master[Product_Code],Master[Category])</f>
        <v>Innerwear</v>
      </c>
      <c r="D37" s="2" t="str">
        <f>_xlfn.XLOOKUP(B37,Master[Product_Code],Master[Brand])</f>
        <v>Lux</v>
      </c>
      <c r="E37" s="2" t="str">
        <f>_xlfn.XLOOKUP(B37,Master[Product_Code],Master[Style])</f>
        <v>Boxer</v>
      </c>
      <c r="F37" s="2" t="str">
        <f>_xlfn.XLOOKUP(B37,Master[Product_Code],Master[Fabric])</f>
        <v>Cotton Blend</v>
      </c>
      <c r="G37" s="2" t="str">
        <f>_xlfn.XLOOKUP(B37,Master[Product_Code],Master[Size])</f>
        <v>105-110</v>
      </c>
      <c r="H37" s="2" t="str">
        <f>_xlfn.XLOOKUP(B37,Master[Product_Code],Master[Color])</f>
        <v>Maroon</v>
      </c>
      <c r="I37" s="4">
        <f>_xlfn.XLOOKUP(B37,Master[Product_Code],Master[Stock_Qty])</f>
        <v>5</v>
      </c>
      <c r="J37" s="6">
        <f>SUMIFS(
  Sales_Entry[Qty],
  Sales_Entry[Product_Code], Stock_Table[[#This Row],[Product_Code]]
)</f>
        <v>0</v>
      </c>
      <c r="K37" s="4">
        <f>SUMIFS(
  Exchange_Return[Qty],
  Exchange_Return[Product_Code], Stock_Table[[#This Row],[Product_Code]]
)</f>
        <v>0</v>
      </c>
      <c r="L37" s="4">
        <f>I37-J37+K37</f>
        <v>5</v>
      </c>
      <c r="M37" s="2" t="str" cm="1">
        <f t="array" ref="M37">_xlfn.IFS(L37=0,"Out of Stock",L37&gt;=2,"Limited Stock",L37&lt;2,"In Stock")</f>
        <v>Limited Stock</v>
      </c>
    </row>
    <row r="38" spans="2:13">
      <c r="B38" s="2" t="s">
        <v>1504</v>
      </c>
      <c r="C38" s="5" t="str">
        <f>_xlfn.XLOOKUP(B38,Master[Product_Code],Master[Category])</f>
        <v>Innerwear</v>
      </c>
      <c r="D38" s="2" t="str">
        <f>_xlfn.XLOOKUP(B38,Master[Product_Code],Master[Brand])</f>
        <v>Dollar</v>
      </c>
      <c r="E38" s="2" t="str">
        <f>_xlfn.XLOOKUP(B38,Master[Product_Code],Master[Style])</f>
        <v>Boxer</v>
      </c>
      <c r="F38" s="2" t="str">
        <f>_xlfn.XLOOKUP(B38,Master[Product_Code],Master[Fabric])</f>
        <v>Cotton</v>
      </c>
      <c r="G38" s="2" t="str">
        <f>_xlfn.XLOOKUP(B38,Master[Product_Code],Master[Size])</f>
        <v>85-90</v>
      </c>
      <c r="H38" s="2" t="str">
        <f>_xlfn.XLOOKUP(B38,Master[Product_Code],Master[Color])</f>
        <v>Black</v>
      </c>
      <c r="I38" s="4">
        <f>_xlfn.XLOOKUP(B38,Master[Product_Code],Master[Stock_Qty])</f>
        <v>6</v>
      </c>
      <c r="J38" s="6">
        <f>SUMIFS(
  Sales_Entry[Qty],
  Sales_Entry[Product_Code], Stock_Table[[#This Row],[Product_Code]]
)</f>
        <v>0</v>
      </c>
      <c r="K38" s="4">
        <f>SUMIFS(
  Exchange_Return[Qty],
  Exchange_Return[Product_Code], Stock_Table[[#This Row],[Product_Code]]
)</f>
        <v>0</v>
      </c>
      <c r="L38" s="4">
        <f>I38-J38+K38</f>
        <v>6</v>
      </c>
      <c r="M38" s="2" t="str" cm="1">
        <f t="array" ref="M38">_xlfn.IFS(L38=0,"Out of Stock",L38&gt;=2,"Limited Stock",L38&lt;2,"In Stock")</f>
        <v>Limited Stock</v>
      </c>
    </row>
    <row r="39" spans="2:13">
      <c r="B39" s="2" t="s">
        <v>1505</v>
      </c>
      <c r="C39" s="5" t="str">
        <f>_xlfn.XLOOKUP(B39,Master[Product_Code],Master[Category])</f>
        <v>Innerwear</v>
      </c>
      <c r="D39" s="2" t="str">
        <f>_xlfn.XLOOKUP(B39,Master[Product_Code],Master[Brand])</f>
        <v>V Star</v>
      </c>
      <c r="E39" s="2" t="str">
        <f>_xlfn.XLOOKUP(B39,Master[Product_Code],Master[Style])</f>
        <v>V-Cut</v>
      </c>
      <c r="F39" s="2" t="str">
        <f>_xlfn.XLOOKUP(B39,Master[Product_Code],Master[Fabric])</f>
        <v>Cotton</v>
      </c>
      <c r="G39" s="2" t="str">
        <f>_xlfn.XLOOKUP(B39,Master[Product_Code],Master[Size])</f>
        <v>80-85</v>
      </c>
      <c r="H39" s="2" t="str">
        <f>_xlfn.XLOOKUP(B39,Master[Product_Code],Master[Color])</f>
        <v>Black</v>
      </c>
      <c r="I39" s="4">
        <f>_xlfn.XLOOKUP(B39,Master[Product_Code],Master[Stock_Qty])</f>
        <v>3</v>
      </c>
      <c r="J39" s="6">
        <f>SUMIFS(
  Sales_Entry[Qty],
  Sales_Entry[Product_Code], Stock_Table[[#This Row],[Product_Code]]
)</f>
        <v>3</v>
      </c>
      <c r="K39" s="4">
        <f>SUMIFS(
  Exchange_Return[Qty],
  Exchange_Return[Product_Code], Stock_Table[[#This Row],[Product_Code]]
)</f>
        <v>0</v>
      </c>
      <c r="L39" s="4">
        <f>I39-J39+K39</f>
        <v>0</v>
      </c>
      <c r="M39" s="2" t="str" cm="1">
        <f t="array" ref="M39">_xlfn.IFS(L39=0,"Out of Stock",L39&gt;=2,"Limited Stock",L39&lt;2,"In Stock")</f>
        <v>Out of Stock</v>
      </c>
    </row>
    <row r="40" spans="2:13">
      <c r="B40" s="2" t="s">
        <v>1506</v>
      </c>
      <c r="C40" s="5" t="str">
        <f>_xlfn.XLOOKUP(B40,Master[Product_Code],Master[Category])</f>
        <v>Innerwear</v>
      </c>
      <c r="D40" s="2" t="str">
        <f>_xlfn.XLOOKUP(B40,Master[Product_Code],Master[Brand])</f>
        <v>Rupa</v>
      </c>
      <c r="E40" s="2" t="str">
        <f>_xlfn.XLOOKUP(B40,Master[Product_Code],Master[Style])</f>
        <v>Boxer</v>
      </c>
      <c r="F40" s="2" t="str">
        <f>_xlfn.XLOOKUP(B40,Master[Product_Code],Master[Fabric])</f>
        <v>Cotton</v>
      </c>
      <c r="G40" s="2" t="str">
        <f>_xlfn.XLOOKUP(B40,Master[Product_Code],Master[Size])</f>
        <v>100-105</v>
      </c>
      <c r="H40" s="2" t="str">
        <f>_xlfn.XLOOKUP(B40,Master[Product_Code],Master[Color])</f>
        <v>Navy Blue</v>
      </c>
      <c r="I40" s="4">
        <f>_xlfn.XLOOKUP(B40,Master[Product_Code],Master[Stock_Qty])</f>
        <v>3</v>
      </c>
      <c r="J40" s="6">
        <f>SUMIFS(
  Sales_Entry[Qty],
  Sales_Entry[Product_Code], Stock_Table[[#This Row],[Product_Code]]
)</f>
        <v>2</v>
      </c>
      <c r="K40" s="4">
        <f>SUMIFS(
  Exchange_Return[Qty],
  Exchange_Return[Product_Code], Stock_Table[[#This Row],[Product_Code]]
)</f>
        <v>0</v>
      </c>
      <c r="L40" s="4">
        <f>I40-J40+K40</f>
        <v>1</v>
      </c>
      <c r="M40" s="2" t="str" cm="1">
        <f t="array" ref="M40">_xlfn.IFS(L40=0,"Out of Stock",L40&gt;=2,"Limited Stock",L40&lt;2,"In Stock")</f>
        <v>In Stock</v>
      </c>
    </row>
    <row r="41" spans="2:13">
      <c r="B41" s="2" t="s">
        <v>1507</v>
      </c>
      <c r="C41" s="5" t="str">
        <f>_xlfn.XLOOKUP(B41,Master[Product_Code],Master[Category])</f>
        <v>Innerwear</v>
      </c>
      <c r="D41" s="2" t="str">
        <f>_xlfn.XLOOKUP(B41,Master[Product_Code],Master[Brand])</f>
        <v>Dollar</v>
      </c>
      <c r="E41" s="2" t="str">
        <f>_xlfn.XLOOKUP(B41,Master[Product_Code],Master[Style])</f>
        <v>Boxer</v>
      </c>
      <c r="F41" s="2" t="str">
        <f>_xlfn.XLOOKUP(B41,Master[Product_Code],Master[Fabric])</f>
        <v>Cotton Blend</v>
      </c>
      <c r="G41" s="2" t="str">
        <f>_xlfn.XLOOKUP(B41,Master[Product_Code],Master[Size])</f>
        <v>80-85</v>
      </c>
      <c r="H41" s="2" t="str">
        <f>_xlfn.XLOOKUP(B41,Master[Product_Code],Master[Color])</f>
        <v>Maroon</v>
      </c>
      <c r="I41" s="4">
        <f>_xlfn.XLOOKUP(B41,Master[Product_Code],Master[Stock_Qty])</f>
        <v>6</v>
      </c>
      <c r="J41" s="6">
        <f>SUMIFS(
  Sales_Entry[Qty],
  Sales_Entry[Product_Code], Stock_Table[[#This Row],[Product_Code]]
)</f>
        <v>1</v>
      </c>
      <c r="K41" s="4">
        <f>SUMIFS(
  Exchange_Return[Qty],
  Exchange_Return[Product_Code], Stock_Table[[#This Row],[Product_Code]]
)</f>
        <v>0</v>
      </c>
      <c r="L41" s="4">
        <f>I41-J41+K41</f>
        <v>5</v>
      </c>
      <c r="M41" s="2" t="str" cm="1">
        <f t="array" ref="M41">_xlfn.IFS(L41=0,"Out of Stock",L41&gt;=2,"Limited Stock",L41&lt;2,"In Stock")</f>
        <v>Limited Stock</v>
      </c>
    </row>
    <row r="42" spans="2:13">
      <c r="B42" s="2" t="s">
        <v>1508</v>
      </c>
      <c r="C42" s="5" t="str">
        <f>_xlfn.XLOOKUP(B42,Master[Product_Code],Master[Category])</f>
        <v>Innerwear</v>
      </c>
      <c r="D42" s="2" t="str">
        <f>_xlfn.XLOOKUP(B42,Master[Product_Code],Master[Brand])</f>
        <v>Lux</v>
      </c>
      <c r="E42" s="2" t="str">
        <f>_xlfn.XLOOKUP(B42,Master[Product_Code],Master[Style])</f>
        <v>V-Cut</v>
      </c>
      <c r="F42" s="2" t="str">
        <f>_xlfn.XLOOKUP(B42,Master[Product_Code],Master[Fabric])</f>
        <v>Cotton Blend</v>
      </c>
      <c r="G42" s="2" t="str">
        <f>_xlfn.XLOOKUP(B42,Master[Product_Code],Master[Size])</f>
        <v>105-110</v>
      </c>
      <c r="H42" s="2" t="str">
        <f>_xlfn.XLOOKUP(B42,Master[Product_Code],Master[Color])</f>
        <v>Mustard</v>
      </c>
      <c r="I42" s="4">
        <f>_xlfn.XLOOKUP(B42,Master[Product_Code],Master[Stock_Qty])</f>
        <v>4</v>
      </c>
      <c r="J42" s="6">
        <f>SUMIFS(
  Sales_Entry[Qty],
  Sales_Entry[Product_Code], Stock_Table[[#This Row],[Product_Code]]
)</f>
        <v>4</v>
      </c>
      <c r="K42" s="4">
        <f>SUMIFS(
  Exchange_Return[Qty],
  Exchange_Return[Product_Code], Stock_Table[[#This Row],[Product_Code]]
)</f>
        <v>0</v>
      </c>
      <c r="L42" s="4">
        <f>I42-J42+K42</f>
        <v>0</v>
      </c>
      <c r="M42" s="2" t="str" cm="1">
        <f t="array" ref="M42">_xlfn.IFS(L42=0,"Out of Stock",L42&gt;=2,"Limited Stock",L42&lt;2,"In Stock")</f>
        <v>Out of Stock</v>
      </c>
    </row>
    <row r="43" spans="2:13">
      <c r="B43" s="2" t="s">
        <v>1509</v>
      </c>
      <c r="C43" s="5" t="str">
        <f>_xlfn.XLOOKUP(B43,Master[Product_Code],Master[Category])</f>
        <v>Innerwear</v>
      </c>
      <c r="D43" s="2" t="str">
        <f>_xlfn.XLOOKUP(B43,Master[Product_Code],Master[Brand])</f>
        <v>Dollar</v>
      </c>
      <c r="E43" s="2" t="str">
        <f>_xlfn.XLOOKUP(B43,Master[Product_Code],Master[Style])</f>
        <v>V-Cut</v>
      </c>
      <c r="F43" s="2" t="str">
        <f>_xlfn.XLOOKUP(B43,Master[Product_Code],Master[Fabric])</f>
        <v>Cotton Blend</v>
      </c>
      <c r="G43" s="2" t="str">
        <f>_xlfn.XLOOKUP(B43,Master[Product_Code],Master[Size])</f>
        <v>105-110</v>
      </c>
      <c r="H43" s="2" t="str">
        <f>_xlfn.XLOOKUP(B43,Master[Product_Code],Master[Color])</f>
        <v>Brown</v>
      </c>
      <c r="I43" s="4">
        <f>_xlfn.XLOOKUP(B43,Master[Product_Code],Master[Stock_Qty])</f>
        <v>3</v>
      </c>
      <c r="J43" s="6">
        <f>SUMIFS(
  Sales_Entry[Qty],
  Sales_Entry[Product_Code], Stock_Table[[#This Row],[Product_Code]]
)</f>
        <v>2</v>
      </c>
      <c r="K43" s="4">
        <f>SUMIFS(
  Exchange_Return[Qty],
  Exchange_Return[Product_Code], Stock_Table[[#This Row],[Product_Code]]
)</f>
        <v>0</v>
      </c>
      <c r="L43" s="4">
        <f>I43-J43+K43</f>
        <v>1</v>
      </c>
      <c r="M43" s="2" t="str" cm="1">
        <f t="array" ref="M43">_xlfn.IFS(L43=0,"Out of Stock",L43&gt;=2,"Limited Stock",L43&lt;2,"In Stock")</f>
        <v>In Stock</v>
      </c>
    </row>
    <row r="44" spans="2:13">
      <c r="B44" s="2" t="s">
        <v>1510</v>
      </c>
      <c r="C44" s="5" t="str">
        <f>_xlfn.XLOOKUP(B44,Master[Product_Code],Master[Category])</f>
        <v>Innerwear</v>
      </c>
      <c r="D44" s="2" t="str">
        <f>_xlfn.XLOOKUP(B44,Master[Product_Code],Master[Brand])</f>
        <v>Dollar</v>
      </c>
      <c r="E44" s="2" t="str">
        <f>_xlfn.XLOOKUP(B44,Master[Product_Code],Master[Style])</f>
        <v>Boxer</v>
      </c>
      <c r="F44" s="2" t="str">
        <f>_xlfn.XLOOKUP(B44,Master[Product_Code],Master[Fabric])</f>
        <v>Cotton</v>
      </c>
      <c r="G44" s="2" t="str">
        <f>_xlfn.XLOOKUP(B44,Master[Product_Code],Master[Size])</f>
        <v>80-85</v>
      </c>
      <c r="H44" s="2" t="str">
        <f>_xlfn.XLOOKUP(B44,Master[Product_Code],Master[Color])</f>
        <v>Dark Green</v>
      </c>
      <c r="I44" s="4">
        <f>_xlfn.XLOOKUP(B44,Master[Product_Code],Master[Stock_Qty])</f>
        <v>3</v>
      </c>
      <c r="J44" s="6">
        <f>SUMIFS(
  Sales_Entry[Qty],
  Sales_Entry[Product_Code], Stock_Table[[#This Row],[Product_Code]]
)</f>
        <v>0</v>
      </c>
      <c r="K44" s="4">
        <f>SUMIFS(
  Exchange_Return[Qty],
  Exchange_Return[Product_Code], Stock_Table[[#This Row],[Product_Code]]
)</f>
        <v>0</v>
      </c>
      <c r="L44" s="4">
        <f>I44-J44+K44</f>
        <v>3</v>
      </c>
      <c r="M44" s="2" t="str" cm="1">
        <f t="array" ref="M44">_xlfn.IFS(L44=0,"Out of Stock",L44&gt;=2,"Limited Stock",L44&lt;2,"In Stock")</f>
        <v>Limited Stock</v>
      </c>
    </row>
    <row r="45" spans="2:13">
      <c r="B45" s="2" t="s">
        <v>1511</v>
      </c>
      <c r="C45" s="5" t="str">
        <f>_xlfn.XLOOKUP(B45,Master[Product_Code],Master[Category])</f>
        <v>Innerwear</v>
      </c>
      <c r="D45" s="2" t="str">
        <f>_xlfn.XLOOKUP(B45,Master[Product_Code],Master[Brand])</f>
        <v>Rupa</v>
      </c>
      <c r="E45" s="2" t="str">
        <f>_xlfn.XLOOKUP(B45,Master[Product_Code],Master[Style])</f>
        <v>Boxer</v>
      </c>
      <c r="F45" s="2" t="str">
        <f>_xlfn.XLOOKUP(B45,Master[Product_Code],Master[Fabric])</f>
        <v>Cotton Blend</v>
      </c>
      <c r="G45" s="2" t="str">
        <f>_xlfn.XLOOKUP(B45,Master[Product_Code],Master[Size])</f>
        <v>80-85</v>
      </c>
      <c r="H45" s="2" t="str">
        <f>_xlfn.XLOOKUP(B45,Master[Product_Code],Master[Color])</f>
        <v>Cream</v>
      </c>
      <c r="I45" s="4">
        <f>_xlfn.XLOOKUP(B45,Master[Product_Code],Master[Stock_Qty])</f>
        <v>3</v>
      </c>
      <c r="J45" s="6">
        <f>SUMIFS(
  Sales_Entry[Qty],
  Sales_Entry[Product_Code], Stock_Table[[#This Row],[Product_Code]]
)</f>
        <v>2</v>
      </c>
      <c r="K45" s="4">
        <f>SUMIFS(
  Exchange_Return[Qty],
  Exchange_Return[Product_Code], Stock_Table[[#This Row],[Product_Code]]
)</f>
        <v>0</v>
      </c>
      <c r="L45" s="4">
        <f>I45-J45+K45</f>
        <v>1</v>
      </c>
      <c r="M45" s="2" t="str" cm="1">
        <f t="array" ref="M45">_xlfn.IFS(L45=0,"Out of Stock",L45&gt;=2,"Limited Stock",L45&lt;2,"In Stock")</f>
        <v>In Stock</v>
      </c>
    </row>
    <row r="46" spans="2:13">
      <c r="B46" s="2" t="s">
        <v>1512</v>
      </c>
      <c r="C46" s="5" t="str">
        <f>_xlfn.XLOOKUP(B46,Master[Product_Code],Master[Category])</f>
        <v>Innerwear</v>
      </c>
      <c r="D46" s="2" t="str">
        <f>_xlfn.XLOOKUP(B46,Master[Product_Code],Master[Brand])</f>
        <v>Jockey</v>
      </c>
      <c r="E46" s="2" t="str">
        <f>_xlfn.XLOOKUP(B46,Master[Product_Code],Master[Style])</f>
        <v>V-Cut</v>
      </c>
      <c r="F46" s="2" t="str">
        <f>_xlfn.XLOOKUP(B46,Master[Product_Code],Master[Fabric])</f>
        <v>Cotton</v>
      </c>
      <c r="G46" s="2" t="str">
        <f>_xlfn.XLOOKUP(B46,Master[Product_Code],Master[Size])</f>
        <v>75-80</v>
      </c>
      <c r="H46" s="2" t="str">
        <f>_xlfn.XLOOKUP(B46,Master[Product_Code],Master[Color])</f>
        <v>Maroon</v>
      </c>
      <c r="I46" s="4">
        <f>_xlfn.XLOOKUP(B46,Master[Product_Code],Master[Stock_Qty])</f>
        <v>4</v>
      </c>
      <c r="J46" s="6">
        <f>SUMIFS(
  Sales_Entry[Qty],
  Sales_Entry[Product_Code], Stock_Table[[#This Row],[Product_Code]]
)</f>
        <v>1</v>
      </c>
      <c r="K46" s="4">
        <f>SUMIFS(
  Exchange_Return[Qty],
  Exchange_Return[Product_Code], Stock_Table[[#This Row],[Product_Code]]
)</f>
        <v>0</v>
      </c>
      <c r="L46" s="4">
        <f>I46-J46+K46</f>
        <v>3</v>
      </c>
      <c r="M46" s="2" t="str" cm="1">
        <f t="array" ref="M46">_xlfn.IFS(L46=0,"Out of Stock",L46&gt;=2,"Limited Stock",L46&lt;2,"In Stock")</f>
        <v>Limited Stock</v>
      </c>
    </row>
    <row r="47" spans="2:13">
      <c r="B47" s="2" t="s">
        <v>1513</v>
      </c>
      <c r="C47" s="5" t="str">
        <f>_xlfn.XLOOKUP(B47,Master[Product_Code],Master[Category])</f>
        <v>Innerwear</v>
      </c>
      <c r="D47" s="2" t="str">
        <f>_xlfn.XLOOKUP(B47,Master[Product_Code],Master[Brand])</f>
        <v>Lux</v>
      </c>
      <c r="E47" s="2" t="str">
        <f>_xlfn.XLOOKUP(B47,Master[Product_Code],Master[Style])</f>
        <v>V-Cut</v>
      </c>
      <c r="F47" s="2" t="str">
        <f>_xlfn.XLOOKUP(B47,Master[Product_Code],Master[Fabric])</f>
        <v>Cotton</v>
      </c>
      <c r="G47" s="2" t="str">
        <f>_xlfn.XLOOKUP(B47,Master[Product_Code],Master[Size])</f>
        <v>80-85</v>
      </c>
      <c r="H47" s="2" t="str">
        <f>_xlfn.XLOOKUP(B47,Master[Product_Code],Master[Color])</f>
        <v>Wine</v>
      </c>
      <c r="I47" s="4">
        <f>_xlfn.XLOOKUP(B47,Master[Product_Code],Master[Stock_Qty])</f>
        <v>3</v>
      </c>
      <c r="J47" s="6">
        <f>SUMIFS(
  Sales_Entry[Qty],
  Sales_Entry[Product_Code], Stock_Table[[#This Row],[Product_Code]]
)</f>
        <v>1</v>
      </c>
      <c r="K47" s="4">
        <f>SUMIFS(
  Exchange_Return[Qty],
  Exchange_Return[Product_Code], Stock_Table[[#This Row],[Product_Code]]
)</f>
        <v>0</v>
      </c>
      <c r="L47" s="4">
        <f>I47-J47+K47</f>
        <v>2</v>
      </c>
      <c r="M47" s="2" t="str" cm="1">
        <f t="array" ref="M47">_xlfn.IFS(L47=0,"Out of Stock",L47&gt;=2,"Limited Stock",L47&lt;2,"In Stock")</f>
        <v>Limited Stock</v>
      </c>
    </row>
    <row r="48" spans="2:13">
      <c r="B48" s="2" t="s">
        <v>1514</v>
      </c>
      <c r="C48" s="5" t="str">
        <f>_xlfn.XLOOKUP(B48,Master[Product_Code],Master[Category])</f>
        <v>Innerwear</v>
      </c>
      <c r="D48" s="2" t="str">
        <f>_xlfn.XLOOKUP(B48,Master[Product_Code],Master[Brand])</f>
        <v>Jockey</v>
      </c>
      <c r="E48" s="2" t="str">
        <f>_xlfn.XLOOKUP(B48,Master[Product_Code],Master[Style])</f>
        <v>Boxer</v>
      </c>
      <c r="F48" s="2" t="str">
        <f>_xlfn.XLOOKUP(B48,Master[Product_Code],Master[Fabric])</f>
        <v>Cotton</v>
      </c>
      <c r="G48" s="2" t="str">
        <f>_xlfn.XLOOKUP(B48,Master[Product_Code],Master[Size])</f>
        <v>105-110</v>
      </c>
      <c r="H48" s="2" t="str">
        <f>_xlfn.XLOOKUP(B48,Master[Product_Code],Master[Color])</f>
        <v>Grey</v>
      </c>
      <c r="I48" s="4">
        <f>_xlfn.XLOOKUP(B48,Master[Product_Code],Master[Stock_Qty])</f>
        <v>4</v>
      </c>
      <c r="J48" s="6">
        <f>SUMIFS(
  Sales_Entry[Qty],
  Sales_Entry[Product_Code], Stock_Table[[#This Row],[Product_Code]]
)</f>
        <v>2</v>
      </c>
      <c r="K48" s="4">
        <f>SUMIFS(
  Exchange_Return[Qty],
  Exchange_Return[Product_Code], Stock_Table[[#This Row],[Product_Code]]
)</f>
        <v>0</v>
      </c>
      <c r="L48" s="4">
        <f>I48-J48+K48</f>
        <v>2</v>
      </c>
      <c r="M48" s="2" t="str" cm="1">
        <f t="array" ref="M48">_xlfn.IFS(L48=0,"Out of Stock",L48&gt;=2,"Limited Stock",L48&lt;2,"In Stock")</f>
        <v>Limited Stock</v>
      </c>
    </row>
    <row r="49" spans="2:13">
      <c r="B49" s="2" t="s">
        <v>1515</v>
      </c>
      <c r="C49" s="5" t="str">
        <f>_xlfn.XLOOKUP(B49,Master[Product_Code],Master[Category])</f>
        <v>Innerwear</v>
      </c>
      <c r="D49" s="2" t="str">
        <f>_xlfn.XLOOKUP(B49,Master[Product_Code],Master[Brand])</f>
        <v>Rupa</v>
      </c>
      <c r="E49" s="2" t="str">
        <f>_xlfn.XLOOKUP(B49,Master[Product_Code],Master[Style])</f>
        <v>V-Cut</v>
      </c>
      <c r="F49" s="2" t="str">
        <f>_xlfn.XLOOKUP(B49,Master[Product_Code],Master[Fabric])</f>
        <v>Cotton Blend</v>
      </c>
      <c r="G49" s="2" t="str">
        <f>_xlfn.XLOOKUP(B49,Master[Product_Code],Master[Size])</f>
        <v>85-90</v>
      </c>
      <c r="H49" s="2" t="str">
        <f>_xlfn.XLOOKUP(B49,Master[Product_Code],Master[Color])</f>
        <v>Light Grey</v>
      </c>
      <c r="I49" s="4">
        <f>_xlfn.XLOOKUP(B49,Master[Product_Code],Master[Stock_Qty])</f>
        <v>6</v>
      </c>
      <c r="J49" s="6">
        <f>SUMIFS(
  Sales_Entry[Qty],
  Sales_Entry[Product_Code], Stock_Table[[#This Row],[Product_Code]]
)</f>
        <v>1</v>
      </c>
      <c r="K49" s="4">
        <f>SUMIFS(
  Exchange_Return[Qty],
  Exchange_Return[Product_Code], Stock_Table[[#This Row],[Product_Code]]
)</f>
        <v>0</v>
      </c>
      <c r="L49" s="4">
        <f>I49-J49+K49</f>
        <v>5</v>
      </c>
      <c r="M49" s="2" t="str" cm="1">
        <f t="array" ref="M49">_xlfn.IFS(L49=0,"Out of Stock",L49&gt;=2,"Limited Stock",L49&lt;2,"In Stock")</f>
        <v>Limited Stock</v>
      </c>
    </row>
    <row r="50" spans="2:13">
      <c r="B50" s="2" t="s">
        <v>1516</v>
      </c>
      <c r="C50" s="5" t="str">
        <f>_xlfn.XLOOKUP(B50,Master[Product_Code],Master[Category])</f>
        <v>Innerwear</v>
      </c>
      <c r="D50" s="2" t="str">
        <f>_xlfn.XLOOKUP(B50,Master[Product_Code],Master[Brand])</f>
        <v>Dollar</v>
      </c>
      <c r="E50" s="2" t="str">
        <f>_xlfn.XLOOKUP(B50,Master[Product_Code],Master[Style])</f>
        <v>Boxer</v>
      </c>
      <c r="F50" s="2" t="str">
        <f>_xlfn.XLOOKUP(B50,Master[Product_Code],Master[Fabric])</f>
        <v>Cotton</v>
      </c>
      <c r="G50" s="2" t="str">
        <f>_xlfn.XLOOKUP(B50,Master[Product_Code],Master[Size])</f>
        <v>85-90</v>
      </c>
      <c r="H50" s="2" t="str">
        <f>_xlfn.XLOOKUP(B50,Master[Product_Code],Master[Color])</f>
        <v>Rust</v>
      </c>
      <c r="I50" s="4">
        <f>_xlfn.XLOOKUP(B50,Master[Product_Code],Master[Stock_Qty])</f>
        <v>6</v>
      </c>
      <c r="J50" s="6">
        <f>SUMIFS(
  Sales_Entry[Qty],
  Sales_Entry[Product_Code], Stock_Table[[#This Row],[Product_Code]]
)</f>
        <v>1</v>
      </c>
      <c r="K50" s="4">
        <f>SUMIFS(
  Exchange_Return[Qty],
  Exchange_Return[Product_Code], Stock_Table[[#This Row],[Product_Code]]
)</f>
        <v>0</v>
      </c>
      <c r="L50" s="4">
        <f>I50-J50+K50</f>
        <v>5</v>
      </c>
      <c r="M50" s="2" t="str" cm="1">
        <f t="array" ref="M50">_xlfn.IFS(L50=0,"Out of Stock",L50&gt;=2,"Limited Stock",L50&lt;2,"In Stock")</f>
        <v>Limited Stock</v>
      </c>
    </row>
    <row r="51" spans="2:13">
      <c r="B51" s="2" t="s">
        <v>1517</v>
      </c>
      <c r="C51" s="5" t="str">
        <f>_xlfn.XLOOKUP(B51,Master[Product_Code],Master[Category])</f>
        <v>Innerwear</v>
      </c>
      <c r="D51" s="2" t="str">
        <f>_xlfn.XLOOKUP(B51,Master[Product_Code],Master[Brand])</f>
        <v>Jockey</v>
      </c>
      <c r="E51" s="2" t="str">
        <f>_xlfn.XLOOKUP(B51,Master[Product_Code],Master[Style])</f>
        <v>Boxer</v>
      </c>
      <c r="F51" s="2" t="str">
        <f>_xlfn.XLOOKUP(B51,Master[Product_Code],Master[Fabric])</f>
        <v>Cotton Blend</v>
      </c>
      <c r="G51" s="2" t="str">
        <f>_xlfn.XLOOKUP(B51,Master[Product_Code],Master[Size])</f>
        <v>100-105</v>
      </c>
      <c r="H51" s="2" t="str">
        <f>_xlfn.XLOOKUP(B51,Master[Product_Code],Master[Color])</f>
        <v>Royal Blue</v>
      </c>
      <c r="I51" s="4">
        <f>_xlfn.XLOOKUP(B51,Master[Product_Code],Master[Stock_Qty])</f>
        <v>6</v>
      </c>
      <c r="J51" s="6">
        <f>SUMIFS(
  Sales_Entry[Qty],
  Sales_Entry[Product_Code], Stock_Table[[#This Row],[Product_Code]]
)</f>
        <v>4</v>
      </c>
      <c r="K51" s="4">
        <f>SUMIFS(
  Exchange_Return[Qty],
  Exchange_Return[Product_Code], Stock_Table[[#This Row],[Product_Code]]
)</f>
        <v>0</v>
      </c>
      <c r="L51" s="4">
        <f>I51-J51+K51</f>
        <v>2</v>
      </c>
      <c r="M51" s="2" t="str" cm="1">
        <f t="array" ref="M51">_xlfn.IFS(L51=0,"Out of Stock",L51&gt;=2,"Limited Stock",L51&lt;2,"In Stock")</f>
        <v>Limited Stock</v>
      </c>
    </row>
    <row r="52" spans="2:13">
      <c r="B52" s="2" t="s">
        <v>1518</v>
      </c>
      <c r="C52" s="5" t="str">
        <f>_xlfn.XLOOKUP(B52,Master[Product_Code],Master[Category])</f>
        <v>Innerwear</v>
      </c>
      <c r="D52" s="2" t="str">
        <f>_xlfn.XLOOKUP(B52,Master[Product_Code],Master[Brand])</f>
        <v>Jockey</v>
      </c>
      <c r="E52" s="2" t="str">
        <f>_xlfn.XLOOKUP(B52,Master[Product_Code],Master[Style])</f>
        <v>V-Cut</v>
      </c>
      <c r="F52" s="2" t="str">
        <f>_xlfn.XLOOKUP(B52,Master[Product_Code],Master[Fabric])</f>
        <v>Cotton Blend</v>
      </c>
      <c r="G52" s="2" t="str">
        <f>_xlfn.XLOOKUP(B52,Master[Product_Code],Master[Size])</f>
        <v>90-100</v>
      </c>
      <c r="H52" s="2" t="str">
        <f>_xlfn.XLOOKUP(B52,Master[Product_Code],Master[Color])</f>
        <v>Navy Blue</v>
      </c>
      <c r="I52" s="4">
        <f>_xlfn.XLOOKUP(B52,Master[Product_Code],Master[Stock_Qty])</f>
        <v>5</v>
      </c>
      <c r="J52" s="6">
        <f>SUMIFS(
  Sales_Entry[Qty],
  Sales_Entry[Product_Code], Stock_Table[[#This Row],[Product_Code]]
)</f>
        <v>0</v>
      </c>
      <c r="K52" s="4">
        <f>SUMIFS(
  Exchange_Return[Qty],
  Exchange_Return[Product_Code], Stock_Table[[#This Row],[Product_Code]]
)</f>
        <v>0</v>
      </c>
      <c r="L52" s="4">
        <f>I52-J52+K52</f>
        <v>5</v>
      </c>
      <c r="M52" s="2" t="str" cm="1">
        <f t="array" ref="M52">_xlfn.IFS(L52=0,"Out of Stock",L52&gt;=2,"Limited Stock",L52&lt;2,"In Stock")</f>
        <v>Limited Stock</v>
      </c>
    </row>
    <row r="53" spans="2:13">
      <c r="B53" s="2" t="s">
        <v>1519</v>
      </c>
      <c r="C53" s="5" t="str">
        <f>_xlfn.XLOOKUP(B53,Master[Product_Code],Master[Category])</f>
        <v>Innerwear</v>
      </c>
      <c r="D53" s="2" t="str">
        <f>_xlfn.XLOOKUP(B53,Master[Product_Code],Master[Brand])</f>
        <v>Rupa</v>
      </c>
      <c r="E53" s="2" t="str">
        <f>_xlfn.XLOOKUP(B53,Master[Product_Code],Master[Style])</f>
        <v>V-Cut</v>
      </c>
      <c r="F53" s="2" t="str">
        <f>_xlfn.XLOOKUP(B53,Master[Product_Code],Master[Fabric])</f>
        <v>Cotton Blend</v>
      </c>
      <c r="G53" s="2" t="str">
        <f>_xlfn.XLOOKUP(B53,Master[Product_Code],Master[Size])</f>
        <v>90-100</v>
      </c>
      <c r="H53" s="2" t="str">
        <f>_xlfn.XLOOKUP(B53,Master[Product_Code],Master[Color])</f>
        <v>Cream</v>
      </c>
      <c r="I53" s="4">
        <f>_xlfn.XLOOKUP(B53,Master[Product_Code],Master[Stock_Qty])</f>
        <v>5</v>
      </c>
      <c r="J53" s="6">
        <f>SUMIFS(
  Sales_Entry[Qty],
  Sales_Entry[Product_Code], Stock_Table[[#This Row],[Product_Code]]
)</f>
        <v>2</v>
      </c>
      <c r="K53" s="4">
        <f>SUMIFS(
  Exchange_Return[Qty],
  Exchange_Return[Product_Code], Stock_Table[[#This Row],[Product_Code]]
)</f>
        <v>1</v>
      </c>
      <c r="L53" s="4">
        <f>I53-J53+K53</f>
        <v>4</v>
      </c>
      <c r="M53" s="2" t="str" cm="1">
        <f t="array" ref="M53">_xlfn.IFS(L53=0,"Out of Stock",L53&gt;=2,"Limited Stock",L53&lt;2,"In Stock")</f>
        <v>Limited Stock</v>
      </c>
    </row>
    <row r="54" spans="2:13">
      <c r="B54" s="2" t="s">
        <v>1520</v>
      </c>
      <c r="C54" s="5" t="str">
        <f>_xlfn.XLOOKUP(B54,Master[Product_Code],Master[Category])</f>
        <v>Innerwear</v>
      </c>
      <c r="D54" s="2" t="str">
        <f>_xlfn.XLOOKUP(B54,Master[Product_Code],Master[Brand])</f>
        <v>Dollar</v>
      </c>
      <c r="E54" s="2" t="str">
        <f>_xlfn.XLOOKUP(B54,Master[Product_Code],Master[Style])</f>
        <v>Boxer</v>
      </c>
      <c r="F54" s="2" t="str">
        <f>_xlfn.XLOOKUP(B54,Master[Product_Code],Master[Fabric])</f>
        <v>Cotton Blend</v>
      </c>
      <c r="G54" s="2" t="str">
        <f>_xlfn.XLOOKUP(B54,Master[Product_Code],Master[Size])</f>
        <v>75-80</v>
      </c>
      <c r="H54" s="2" t="str">
        <f>_xlfn.XLOOKUP(B54,Master[Product_Code],Master[Color])</f>
        <v>Mustard</v>
      </c>
      <c r="I54" s="4">
        <f>_xlfn.XLOOKUP(B54,Master[Product_Code],Master[Stock_Qty])</f>
        <v>4</v>
      </c>
      <c r="J54" s="6">
        <f>SUMIFS(
  Sales_Entry[Qty],
  Sales_Entry[Product_Code], Stock_Table[[#This Row],[Product_Code]]
)</f>
        <v>1</v>
      </c>
      <c r="K54" s="4">
        <f>SUMIFS(
  Exchange_Return[Qty],
  Exchange_Return[Product_Code], Stock_Table[[#This Row],[Product_Code]]
)</f>
        <v>0</v>
      </c>
      <c r="L54" s="4">
        <f>I54-J54+K54</f>
        <v>3</v>
      </c>
      <c r="M54" s="2" t="str" cm="1">
        <f t="array" ref="M54">_xlfn.IFS(L54=0,"Out of Stock",L54&gt;=2,"Limited Stock",L54&lt;2,"In Stock")</f>
        <v>Limited Stock</v>
      </c>
    </row>
    <row r="55" spans="2:13">
      <c r="B55" s="2" t="s">
        <v>1521</v>
      </c>
      <c r="C55" s="5" t="str">
        <f>_xlfn.XLOOKUP(B55,Master[Product_Code],Master[Category])</f>
        <v>Innerwear</v>
      </c>
      <c r="D55" s="2" t="str">
        <f>_xlfn.XLOOKUP(B55,Master[Product_Code],Master[Brand])</f>
        <v>Rupa</v>
      </c>
      <c r="E55" s="2" t="str">
        <f>_xlfn.XLOOKUP(B55,Master[Product_Code],Master[Style])</f>
        <v>V-Cut</v>
      </c>
      <c r="F55" s="2" t="str">
        <f>_xlfn.XLOOKUP(B55,Master[Product_Code],Master[Fabric])</f>
        <v>Cotton</v>
      </c>
      <c r="G55" s="2" t="str">
        <f>_xlfn.XLOOKUP(B55,Master[Product_Code],Master[Size])</f>
        <v>75-80</v>
      </c>
      <c r="H55" s="2" t="str">
        <f>_xlfn.XLOOKUP(B55,Master[Product_Code],Master[Color])</f>
        <v>Black</v>
      </c>
      <c r="I55" s="4">
        <f>_xlfn.XLOOKUP(B55,Master[Product_Code],Master[Stock_Qty])</f>
        <v>5</v>
      </c>
      <c r="J55" s="6">
        <f>SUMIFS(
  Sales_Entry[Qty],
  Sales_Entry[Product_Code], Stock_Table[[#This Row],[Product_Code]]
)</f>
        <v>3</v>
      </c>
      <c r="K55" s="4">
        <f>SUMIFS(
  Exchange_Return[Qty],
  Exchange_Return[Product_Code], Stock_Table[[#This Row],[Product_Code]]
)</f>
        <v>0</v>
      </c>
      <c r="L55" s="4">
        <f>I55-J55+K55</f>
        <v>2</v>
      </c>
      <c r="M55" s="2" t="str" cm="1">
        <f t="array" ref="M55">_xlfn.IFS(L55=0,"Out of Stock",L55&gt;=2,"Limited Stock",L55&lt;2,"In Stock")</f>
        <v>Limited Stock</v>
      </c>
    </row>
    <row r="56" spans="2:13">
      <c r="B56" s="2" t="s">
        <v>1522</v>
      </c>
      <c r="C56" s="5" t="str">
        <f>_xlfn.XLOOKUP(B56,Master[Product_Code],Master[Category])</f>
        <v>Innerwear</v>
      </c>
      <c r="D56" s="2" t="str">
        <f>_xlfn.XLOOKUP(B56,Master[Product_Code],Master[Brand])</f>
        <v>Jockey</v>
      </c>
      <c r="E56" s="2" t="str">
        <f>_xlfn.XLOOKUP(B56,Master[Product_Code],Master[Style])</f>
        <v>Boxer</v>
      </c>
      <c r="F56" s="2" t="str">
        <f>_xlfn.XLOOKUP(B56,Master[Product_Code],Master[Fabric])</f>
        <v>Cotton Blend</v>
      </c>
      <c r="G56" s="2" t="str">
        <f>_xlfn.XLOOKUP(B56,Master[Product_Code],Master[Size])</f>
        <v>105-110</v>
      </c>
      <c r="H56" s="2" t="str">
        <f>_xlfn.XLOOKUP(B56,Master[Product_Code],Master[Color])</f>
        <v>Teal</v>
      </c>
      <c r="I56" s="4">
        <f>_xlfn.XLOOKUP(B56,Master[Product_Code],Master[Stock_Qty])</f>
        <v>6</v>
      </c>
      <c r="J56" s="6">
        <f>SUMIFS(
  Sales_Entry[Qty],
  Sales_Entry[Product_Code], Stock_Table[[#This Row],[Product_Code]]
)</f>
        <v>0</v>
      </c>
      <c r="K56" s="4">
        <f>SUMIFS(
  Exchange_Return[Qty],
  Exchange_Return[Product_Code], Stock_Table[[#This Row],[Product_Code]]
)</f>
        <v>0</v>
      </c>
      <c r="L56" s="4">
        <f>I56-J56+K56</f>
        <v>6</v>
      </c>
      <c r="M56" s="2" t="str" cm="1">
        <f t="array" ref="M56">_xlfn.IFS(L56=0,"Out of Stock",L56&gt;=2,"Limited Stock",L56&lt;2,"In Stock")</f>
        <v>Limited Stock</v>
      </c>
    </row>
    <row r="57" spans="2:13">
      <c r="B57" s="2" t="s">
        <v>1523</v>
      </c>
      <c r="C57" s="5" t="str">
        <f>_xlfn.XLOOKUP(B57,Master[Product_Code],Master[Category])</f>
        <v>Innerwear</v>
      </c>
      <c r="D57" s="2" t="str">
        <f>_xlfn.XLOOKUP(B57,Master[Product_Code],Master[Brand])</f>
        <v>Dollar</v>
      </c>
      <c r="E57" s="2" t="str">
        <f>_xlfn.XLOOKUP(B57,Master[Product_Code],Master[Style])</f>
        <v>V-Cut</v>
      </c>
      <c r="F57" s="2" t="str">
        <f>_xlfn.XLOOKUP(B57,Master[Product_Code],Master[Fabric])</f>
        <v>Cotton Blend</v>
      </c>
      <c r="G57" s="2" t="str">
        <f>_xlfn.XLOOKUP(B57,Master[Product_Code],Master[Size])</f>
        <v>75-80</v>
      </c>
      <c r="H57" s="2" t="str">
        <f>_xlfn.XLOOKUP(B57,Master[Product_Code],Master[Color])</f>
        <v>Sky Blue</v>
      </c>
      <c r="I57" s="4">
        <f>_xlfn.XLOOKUP(B57,Master[Product_Code],Master[Stock_Qty])</f>
        <v>6</v>
      </c>
      <c r="J57" s="6">
        <f>SUMIFS(
  Sales_Entry[Qty],
  Sales_Entry[Product_Code], Stock_Table[[#This Row],[Product_Code]]
)</f>
        <v>2</v>
      </c>
      <c r="K57" s="4">
        <f>SUMIFS(
  Exchange_Return[Qty],
  Exchange_Return[Product_Code], Stock_Table[[#This Row],[Product_Code]]
)</f>
        <v>0</v>
      </c>
      <c r="L57" s="4">
        <f>I57-J57+K57</f>
        <v>4</v>
      </c>
      <c r="M57" s="2" t="str" cm="1">
        <f t="array" ref="M57">_xlfn.IFS(L57=0,"Out of Stock",L57&gt;=2,"Limited Stock",L57&lt;2,"In Stock")</f>
        <v>Limited Stock</v>
      </c>
    </row>
    <row r="58" spans="2:13">
      <c r="B58" s="2" t="s">
        <v>1524</v>
      </c>
      <c r="C58" s="5" t="str">
        <f>_xlfn.XLOOKUP(B58,Master[Product_Code],Master[Category])</f>
        <v>Innerwear</v>
      </c>
      <c r="D58" s="2" t="str">
        <f>_xlfn.XLOOKUP(B58,Master[Product_Code],Master[Brand])</f>
        <v>Rupa</v>
      </c>
      <c r="E58" s="2" t="str">
        <f>_xlfn.XLOOKUP(B58,Master[Product_Code],Master[Style])</f>
        <v>Boxer</v>
      </c>
      <c r="F58" s="2" t="str">
        <f>_xlfn.XLOOKUP(B58,Master[Product_Code],Master[Fabric])</f>
        <v>Cotton Blend</v>
      </c>
      <c r="G58" s="2" t="str">
        <f>_xlfn.XLOOKUP(B58,Master[Product_Code],Master[Size])</f>
        <v>105-110</v>
      </c>
      <c r="H58" s="2" t="str">
        <f>_xlfn.XLOOKUP(B58,Master[Product_Code],Master[Color])</f>
        <v>Teal</v>
      </c>
      <c r="I58" s="4">
        <f>_xlfn.XLOOKUP(B58,Master[Product_Code],Master[Stock_Qty])</f>
        <v>6</v>
      </c>
      <c r="J58" s="6">
        <f>SUMIFS(
  Sales_Entry[Qty],
  Sales_Entry[Product_Code], Stock_Table[[#This Row],[Product_Code]]
)</f>
        <v>0</v>
      </c>
      <c r="K58" s="4">
        <f>SUMIFS(
  Exchange_Return[Qty],
  Exchange_Return[Product_Code], Stock_Table[[#This Row],[Product_Code]]
)</f>
        <v>0</v>
      </c>
      <c r="L58" s="4">
        <f>I58-J58+K58</f>
        <v>6</v>
      </c>
      <c r="M58" s="2" t="str" cm="1">
        <f t="array" ref="M58">_xlfn.IFS(L58=0,"Out of Stock",L58&gt;=2,"Limited Stock",L58&lt;2,"In Stock")</f>
        <v>Limited Stock</v>
      </c>
    </row>
    <row r="59" spans="2:13">
      <c r="B59" s="2" t="s">
        <v>1525</v>
      </c>
      <c r="C59" s="5" t="str">
        <f>_xlfn.XLOOKUP(B59,Master[Product_Code],Master[Category])</f>
        <v>Innerwear</v>
      </c>
      <c r="D59" s="2" t="str">
        <f>_xlfn.XLOOKUP(B59,Master[Product_Code],Master[Brand])</f>
        <v>Lux</v>
      </c>
      <c r="E59" s="2" t="str">
        <f>_xlfn.XLOOKUP(B59,Master[Product_Code],Master[Style])</f>
        <v>Boxer</v>
      </c>
      <c r="F59" s="2" t="str">
        <f>_xlfn.XLOOKUP(B59,Master[Product_Code],Master[Fabric])</f>
        <v>Cotton Blend</v>
      </c>
      <c r="G59" s="2" t="str">
        <f>_xlfn.XLOOKUP(B59,Master[Product_Code],Master[Size])</f>
        <v>105-110</v>
      </c>
      <c r="H59" s="2" t="str">
        <f>_xlfn.XLOOKUP(B59,Master[Product_Code],Master[Color])</f>
        <v>Charcoal</v>
      </c>
      <c r="I59" s="4">
        <f>_xlfn.XLOOKUP(B59,Master[Product_Code],Master[Stock_Qty])</f>
        <v>4</v>
      </c>
      <c r="J59" s="6">
        <f>SUMIFS(
  Sales_Entry[Qty],
  Sales_Entry[Product_Code], Stock_Table[[#This Row],[Product_Code]]
)</f>
        <v>3</v>
      </c>
      <c r="K59" s="4">
        <f>SUMIFS(
  Exchange_Return[Qty],
  Exchange_Return[Product_Code], Stock_Table[[#This Row],[Product_Code]]
)</f>
        <v>0</v>
      </c>
      <c r="L59" s="4">
        <f>I59-J59+K59</f>
        <v>1</v>
      </c>
      <c r="M59" s="2" t="str" cm="1">
        <f t="array" ref="M59">_xlfn.IFS(L59=0,"Out of Stock",L59&gt;=2,"Limited Stock",L59&lt;2,"In Stock")</f>
        <v>In Stock</v>
      </c>
    </row>
    <row r="60" spans="2:13">
      <c r="B60" s="2" t="s">
        <v>1526</v>
      </c>
      <c r="C60" s="5" t="str">
        <f>_xlfn.XLOOKUP(B60,Master[Product_Code],Master[Category])</f>
        <v>Innerwear</v>
      </c>
      <c r="D60" s="2" t="str">
        <f>_xlfn.XLOOKUP(B60,Master[Product_Code],Master[Brand])</f>
        <v>Lux</v>
      </c>
      <c r="E60" s="2" t="str">
        <f>_xlfn.XLOOKUP(B60,Master[Product_Code],Master[Style])</f>
        <v>Boxer</v>
      </c>
      <c r="F60" s="2" t="str">
        <f>_xlfn.XLOOKUP(B60,Master[Product_Code],Master[Fabric])</f>
        <v>Cotton</v>
      </c>
      <c r="G60" s="2" t="str">
        <f>_xlfn.XLOOKUP(B60,Master[Product_Code],Master[Size])</f>
        <v>105-110</v>
      </c>
      <c r="H60" s="2" t="str">
        <f>_xlfn.XLOOKUP(B60,Master[Product_Code],Master[Color])</f>
        <v>Maroon</v>
      </c>
      <c r="I60" s="4">
        <f>_xlfn.XLOOKUP(B60,Master[Product_Code],Master[Stock_Qty])</f>
        <v>5</v>
      </c>
      <c r="J60" s="6">
        <f>SUMIFS(
  Sales_Entry[Qty],
  Sales_Entry[Product_Code], Stock_Table[[#This Row],[Product_Code]]
)</f>
        <v>5</v>
      </c>
      <c r="K60" s="4">
        <f>SUMIFS(
  Exchange_Return[Qty],
  Exchange_Return[Product_Code], Stock_Table[[#This Row],[Product_Code]]
)</f>
        <v>0</v>
      </c>
      <c r="L60" s="4">
        <f>I60-J60+K60</f>
        <v>0</v>
      </c>
      <c r="M60" s="2" t="str" cm="1">
        <f t="array" ref="M60">_xlfn.IFS(L60=0,"Out of Stock",L60&gt;=2,"Limited Stock",L60&lt;2,"In Stock")</f>
        <v>Out of Stock</v>
      </c>
    </row>
    <row r="61" spans="2:13">
      <c r="B61" s="2" t="s">
        <v>1527</v>
      </c>
      <c r="C61" s="5" t="str">
        <f>_xlfn.XLOOKUP(B61,Master[Product_Code],Master[Category])</f>
        <v>Innerwear</v>
      </c>
      <c r="D61" s="2" t="str">
        <f>_xlfn.XLOOKUP(B61,Master[Product_Code],Master[Brand])</f>
        <v>Rupa</v>
      </c>
      <c r="E61" s="2" t="str">
        <f>_xlfn.XLOOKUP(B61,Master[Product_Code],Master[Style])</f>
        <v>Boxer</v>
      </c>
      <c r="F61" s="2" t="str">
        <f>_xlfn.XLOOKUP(B61,Master[Product_Code],Master[Fabric])</f>
        <v>Cotton</v>
      </c>
      <c r="G61" s="2" t="str">
        <f>_xlfn.XLOOKUP(B61,Master[Product_Code],Master[Size])</f>
        <v>100-105</v>
      </c>
      <c r="H61" s="2" t="str">
        <f>_xlfn.XLOOKUP(B61,Master[Product_Code],Master[Color])</f>
        <v>Light Grey</v>
      </c>
      <c r="I61" s="4">
        <f>_xlfn.XLOOKUP(B61,Master[Product_Code],Master[Stock_Qty])</f>
        <v>4</v>
      </c>
      <c r="J61" s="6">
        <f>SUMIFS(
  Sales_Entry[Qty],
  Sales_Entry[Product_Code], Stock_Table[[#This Row],[Product_Code]]
)</f>
        <v>0</v>
      </c>
      <c r="K61" s="4">
        <f>SUMIFS(
  Exchange_Return[Qty],
  Exchange_Return[Product_Code], Stock_Table[[#This Row],[Product_Code]]
)</f>
        <v>0</v>
      </c>
      <c r="L61" s="4">
        <f>I61-J61+K61</f>
        <v>4</v>
      </c>
      <c r="M61" s="2" t="str" cm="1">
        <f t="array" ref="M61">_xlfn.IFS(L61=0,"Out of Stock",L61&gt;=2,"Limited Stock",L61&lt;2,"In Stock")</f>
        <v>Limited Stock</v>
      </c>
    </row>
    <row r="62" spans="2:13">
      <c r="B62" s="2" t="s">
        <v>1528</v>
      </c>
      <c r="C62" s="5" t="str">
        <f>_xlfn.XLOOKUP(B62,Master[Product_Code],Master[Category])</f>
        <v>Innerwear</v>
      </c>
      <c r="D62" s="2" t="str">
        <f>_xlfn.XLOOKUP(B62,Master[Product_Code],Master[Brand])</f>
        <v>Lux</v>
      </c>
      <c r="E62" s="2" t="str">
        <f>_xlfn.XLOOKUP(B62,Master[Product_Code],Master[Style])</f>
        <v>V-Cut</v>
      </c>
      <c r="F62" s="2" t="str">
        <f>_xlfn.XLOOKUP(B62,Master[Product_Code],Master[Fabric])</f>
        <v>Cotton Blend</v>
      </c>
      <c r="G62" s="2" t="str">
        <f>_xlfn.XLOOKUP(B62,Master[Product_Code],Master[Size])</f>
        <v>90-100</v>
      </c>
      <c r="H62" s="2" t="str">
        <f>_xlfn.XLOOKUP(B62,Master[Product_Code],Master[Color])</f>
        <v>Light Grey</v>
      </c>
      <c r="I62" s="4">
        <f>_xlfn.XLOOKUP(B62,Master[Product_Code],Master[Stock_Qty])</f>
        <v>3</v>
      </c>
      <c r="J62" s="6">
        <f>SUMIFS(
  Sales_Entry[Qty],
  Sales_Entry[Product_Code], Stock_Table[[#This Row],[Product_Code]]
)</f>
        <v>2</v>
      </c>
      <c r="K62" s="4">
        <f>SUMIFS(
  Exchange_Return[Qty],
  Exchange_Return[Product_Code], Stock_Table[[#This Row],[Product_Code]]
)</f>
        <v>0</v>
      </c>
      <c r="L62" s="4">
        <f>I62-J62+K62</f>
        <v>1</v>
      </c>
      <c r="M62" s="2" t="str" cm="1">
        <f t="array" ref="M62">_xlfn.IFS(L62=0,"Out of Stock",L62&gt;=2,"Limited Stock",L62&lt;2,"In Stock")</f>
        <v>In Stock</v>
      </c>
    </row>
    <row r="63" spans="2:13">
      <c r="B63" s="2" t="s">
        <v>1529</v>
      </c>
      <c r="C63" s="5" t="str">
        <f>_xlfn.XLOOKUP(B63,Master[Product_Code],Master[Category])</f>
        <v>Innerwear</v>
      </c>
      <c r="D63" s="2" t="str">
        <f>_xlfn.XLOOKUP(B63,Master[Product_Code],Master[Brand])</f>
        <v>Rupa</v>
      </c>
      <c r="E63" s="2" t="str">
        <f>_xlfn.XLOOKUP(B63,Master[Product_Code],Master[Style])</f>
        <v>Boxer</v>
      </c>
      <c r="F63" s="2" t="str">
        <f>_xlfn.XLOOKUP(B63,Master[Product_Code],Master[Fabric])</f>
        <v>Cotton</v>
      </c>
      <c r="G63" s="2" t="str">
        <f>_xlfn.XLOOKUP(B63,Master[Product_Code],Master[Size])</f>
        <v>90-100</v>
      </c>
      <c r="H63" s="2" t="str">
        <f>_xlfn.XLOOKUP(B63,Master[Product_Code],Master[Color])</f>
        <v>Beige</v>
      </c>
      <c r="I63" s="4">
        <f>_xlfn.XLOOKUP(B63,Master[Product_Code],Master[Stock_Qty])</f>
        <v>5</v>
      </c>
      <c r="J63" s="6">
        <f>SUMIFS(
  Sales_Entry[Qty],
  Sales_Entry[Product_Code], Stock_Table[[#This Row],[Product_Code]]
)</f>
        <v>2</v>
      </c>
      <c r="K63" s="4">
        <f>SUMIFS(
  Exchange_Return[Qty],
  Exchange_Return[Product_Code], Stock_Table[[#This Row],[Product_Code]]
)</f>
        <v>0</v>
      </c>
      <c r="L63" s="4">
        <f>I63-J63+K63</f>
        <v>3</v>
      </c>
      <c r="M63" s="2" t="str" cm="1">
        <f t="array" ref="M63">_xlfn.IFS(L63=0,"Out of Stock",L63&gt;=2,"Limited Stock",L63&lt;2,"In Stock")</f>
        <v>Limited Stock</v>
      </c>
    </row>
    <row r="64" spans="2:13">
      <c r="B64" s="2" t="s">
        <v>1530</v>
      </c>
      <c r="C64" s="5" t="str">
        <f>_xlfn.XLOOKUP(B64,Master[Product_Code],Master[Category])</f>
        <v>Innerwear</v>
      </c>
      <c r="D64" s="2" t="str">
        <f>_xlfn.XLOOKUP(B64,Master[Product_Code],Master[Brand])</f>
        <v>V Star</v>
      </c>
      <c r="E64" s="2" t="str">
        <f>_xlfn.XLOOKUP(B64,Master[Product_Code],Master[Style])</f>
        <v>Boxer</v>
      </c>
      <c r="F64" s="2" t="str">
        <f>_xlfn.XLOOKUP(B64,Master[Product_Code],Master[Fabric])</f>
        <v>Cotton Blend</v>
      </c>
      <c r="G64" s="2" t="str">
        <f>_xlfn.XLOOKUP(B64,Master[Product_Code],Master[Size])</f>
        <v>105-110</v>
      </c>
      <c r="H64" s="2" t="str">
        <f>_xlfn.XLOOKUP(B64,Master[Product_Code],Master[Color])</f>
        <v>Bottle Green</v>
      </c>
      <c r="I64" s="4">
        <f>_xlfn.XLOOKUP(B64,Master[Product_Code],Master[Stock_Qty])</f>
        <v>3</v>
      </c>
      <c r="J64" s="6">
        <f>SUMIFS(
  Sales_Entry[Qty],
  Sales_Entry[Product_Code], Stock_Table[[#This Row],[Product_Code]]
)</f>
        <v>1</v>
      </c>
      <c r="K64" s="4">
        <f>SUMIFS(
  Exchange_Return[Qty],
  Exchange_Return[Product_Code], Stock_Table[[#This Row],[Product_Code]]
)</f>
        <v>0</v>
      </c>
      <c r="L64" s="4">
        <f>I64-J64+K64</f>
        <v>2</v>
      </c>
      <c r="M64" s="2" t="str" cm="1">
        <f t="array" ref="M64">_xlfn.IFS(L64=0,"Out of Stock",L64&gt;=2,"Limited Stock",L64&lt;2,"In Stock")</f>
        <v>Limited Stock</v>
      </c>
    </row>
    <row r="65" spans="2:13">
      <c r="B65" s="2" t="s">
        <v>1531</v>
      </c>
      <c r="C65" s="5" t="str">
        <f>_xlfn.XLOOKUP(B65,Master[Product_Code],Master[Category])</f>
        <v>Innerwear</v>
      </c>
      <c r="D65" s="2" t="str">
        <f>_xlfn.XLOOKUP(B65,Master[Product_Code],Master[Brand])</f>
        <v>V Star</v>
      </c>
      <c r="E65" s="2" t="str">
        <f>_xlfn.XLOOKUP(B65,Master[Product_Code],Master[Style])</f>
        <v>Boxer</v>
      </c>
      <c r="F65" s="2" t="str">
        <f>_xlfn.XLOOKUP(B65,Master[Product_Code],Master[Fabric])</f>
        <v>Cotton</v>
      </c>
      <c r="G65" s="2" t="str">
        <f>_xlfn.XLOOKUP(B65,Master[Product_Code],Master[Size])</f>
        <v>85-90</v>
      </c>
      <c r="H65" s="2" t="str">
        <f>_xlfn.XLOOKUP(B65,Master[Product_Code],Master[Color])</f>
        <v>Grey</v>
      </c>
      <c r="I65" s="4">
        <f>_xlfn.XLOOKUP(B65,Master[Product_Code],Master[Stock_Qty])</f>
        <v>6</v>
      </c>
      <c r="J65" s="6">
        <f>SUMIFS(
  Sales_Entry[Qty],
  Sales_Entry[Product_Code], Stock_Table[[#This Row],[Product_Code]]
)</f>
        <v>1</v>
      </c>
      <c r="K65" s="4">
        <f>SUMIFS(
  Exchange_Return[Qty],
  Exchange_Return[Product_Code], Stock_Table[[#This Row],[Product_Code]]
)</f>
        <v>0</v>
      </c>
      <c r="L65" s="4">
        <f>I65-J65+K65</f>
        <v>5</v>
      </c>
      <c r="M65" s="2" t="str" cm="1">
        <f t="array" ref="M65">_xlfn.IFS(L65=0,"Out of Stock",L65&gt;=2,"Limited Stock",L65&lt;2,"In Stock")</f>
        <v>Limited Stock</v>
      </c>
    </row>
    <row r="66" spans="2:13">
      <c r="B66" s="2" t="s">
        <v>1532</v>
      </c>
      <c r="C66" s="5" t="str">
        <f>_xlfn.XLOOKUP(B66,Master[Product_Code],Master[Category])</f>
        <v>Innerwear</v>
      </c>
      <c r="D66" s="2" t="str">
        <f>_xlfn.XLOOKUP(B66,Master[Product_Code],Master[Brand])</f>
        <v>Lux</v>
      </c>
      <c r="E66" s="2" t="str">
        <f>_xlfn.XLOOKUP(B66,Master[Product_Code],Master[Style])</f>
        <v>V-Cut</v>
      </c>
      <c r="F66" s="2" t="str">
        <f>_xlfn.XLOOKUP(B66,Master[Product_Code],Master[Fabric])</f>
        <v>Cotton Blend</v>
      </c>
      <c r="G66" s="2" t="str">
        <f>_xlfn.XLOOKUP(B66,Master[Product_Code],Master[Size])</f>
        <v>75-80</v>
      </c>
      <c r="H66" s="2" t="str">
        <f>_xlfn.XLOOKUP(B66,Master[Product_Code],Master[Color])</f>
        <v>Sky Blue</v>
      </c>
      <c r="I66" s="4">
        <f>_xlfn.XLOOKUP(B66,Master[Product_Code],Master[Stock_Qty])</f>
        <v>3</v>
      </c>
      <c r="J66" s="6">
        <f>SUMIFS(
  Sales_Entry[Qty],
  Sales_Entry[Product_Code], Stock_Table[[#This Row],[Product_Code]]
)</f>
        <v>3</v>
      </c>
      <c r="K66" s="4">
        <f>SUMIFS(
  Exchange_Return[Qty],
  Exchange_Return[Product_Code], Stock_Table[[#This Row],[Product_Code]]
)</f>
        <v>0</v>
      </c>
      <c r="L66" s="4">
        <f>I66-J66+K66</f>
        <v>0</v>
      </c>
      <c r="M66" s="2" t="str" cm="1">
        <f t="array" ref="M66">_xlfn.IFS(L66=0,"Out of Stock",L66&gt;=2,"Limited Stock",L66&lt;2,"In Stock")</f>
        <v>Out of Stock</v>
      </c>
    </row>
    <row r="67" spans="2:13">
      <c r="B67" s="2" t="s">
        <v>1533</v>
      </c>
      <c r="C67" s="5" t="str">
        <f>_xlfn.XLOOKUP(B67,Master[Product_Code],Master[Category])</f>
        <v>Innerwear</v>
      </c>
      <c r="D67" s="2" t="str">
        <f>_xlfn.XLOOKUP(B67,Master[Product_Code],Master[Brand])</f>
        <v>V Star</v>
      </c>
      <c r="E67" s="2" t="str">
        <f>_xlfn.XLOOKUP(B67,Master[Product_Code],Master[Style])</f>
        <v>Boxer</v>
      </c>
      <c r="F67" s="2" t="str">
        <f>_xlfn.XLOOKUP(B67,Master[Product_Code],Master[Fabric])</f>
        <v>Cotton Blend</v>
      </c>
      <c r="G67" s="2" t="str">
        <f>_xlfn.XLOOKUP(B67,Master[Product_Code],Master[Size])</f>
        <v>105-110</v>
      </c>
      <c r="H67" s="2" t="str">
        <f>_xlfn.XLOOKUP(B67,Master[Product_Code],Master[Color])</f>
        <v>Bottle Green</v>
      </c>
      <c r="I67" s="4">
        <f>_xlfn.XLOOKUP(B67,Master[Product_Code],Master[Stock_Qty])</f>
        <v>4</v>
      </c>
      <c r="J67" s="6">
        <f>SUMIFS(
  Sales_Entry[Qty],
  Sales_Entry[Product_Code], Stock_Table[[#This Row],[Product_Code]]
)</f>
        <v>0</v>
      </c>
      <c r="K67" s="4">
        <f>SUMIFS(
  Exchange_Return[Qty],
  Exchange_Return[Product_Code], Stock_Table[[#This Row],[Product_Code]]
)</f>
        <v>0</v>
      </c>
      <c r="L67" s="4">
        <f>I67-J67+K67</f>
        <v>4</v>
      </c>
      <c r="M67" s="2" t="str" cm="1">
        <f t="array" ref="M67">_xlfn.IFS(L67=0,"Out of Stock",L67&gt;=2,"Limited Stock",L67&lt;2,"In Stock")</f>
        <v>Limited Stock</v>
      </c>
    </row>
    <row r="68" spans="2:13">
      <c r="B68" s="2" t="s">
        <v>1534</v>
      </c>
      <c r="C68" s="5" t="str">
        <f>_xlfn.XLOOKUP(B68,Master[Product_Code],Master[Category])</f>
        <v>Innerwear</v>
      </c>
      <c r="D68" s="2" t="str">
        <f>_xlfn.XLOOKUP(B68,Master[Product_Code],Master[Brand])</f>
        <v>Dollar</v>
      </c>
      <c r="E68" s="2" t="str">
        <f>_xlfn.XLOOKUP(B68,Master[Product_Code],Master[Style])</f>
        <v>V-Cut</v>
      </c>
      <c r="F68" s="2" t="str">
        <f>_xlfn.XLOOKUP(B68,Master[Product_Code],Master[Fabric])</f>
        <v>Cotton</v>
      </c>
      <c r="G68" s="2" t="str">
        <f>_xlfn.XLOOKUP(B68,Master[Product_Code],Master[Size])</f>
        <v>80-85</v>
      </c>
      <c r="H68" s="2" t="str">
        <f>_xlfn.XLOOKUP(B68,Master[Product_Code],Master[Color])</f>
        <v>Peach</v>
      </c>
      <c r="I68" s="4">
        <f>_xlfn.XLOOKUP(B68,Master[Product_Code],Master[Stock_Qty])</f>
        <v>4</v>
      </c>
      <c r="J68" s="6">
        <f>SUMIFS(
  Sales_Entry[Qty],
  Sales_Entry[Product_Code], Stock_Table[[#This Row],[Product_Code]]
)</f>
        <v>2</v>
      </c>
      <c r="K68" s="4">
        <f>SUMIFS(
  Exchange_Return[Qty],
  Exchange_Return[Product_Code], Stock_Table[[#This Row],[Product_Code]]
)</f>
        <v>0</v>
      </c>
      <c r="L68" s="4">
        <f>I68-J68+K68</f>
        <v>2</v>
      </c>
      <c r="M68" s="2" t="str" cm="1">
        <f t="array" ref="M68">_xlfn.IFS(L68=0,"Out of Stock",L68&gt;=2,"Limited Stock",L68&lt;2,"In Stock")</f>
        <v>Limited Stock</v>
      </c>
    </row>
    <row r="69" spans="2:13">
      <c r="B69" s="2" t="s">
        <v>1535</v>
      </c>
      <c r="C69" s="5" t="str">
        <f>_xlfn.XLOOKUP(B69,Master[Product_Code],Master[Category])</f>
        <v>Innerwear</v>
      </c>
      <c r="D69" s="2" t="str">
        <f>_xlfn.XLOOKUP(B69,Master[Product_Code],Master[Brand])</f>
        <v>Lux</v>
      </c>
      <c r="E69" s="2" t="str">
        <f>_xlfn.XLOOKUP(B69,Master[Product_Code],Master[Style])</f>
        <v>Boxer</v>
      </c>
      <c r="F69" s="2" t="str">
        <f>_xlfn.XLOOKUP(B69,Master[Product_Code],Master[Fabric])</f>
        <v>Cotton</v>
      </c>
      <c r="G69" s="2" t="str">
        <f>_xlfn.XLOOKUP(B69,Master[Product_Code],Master[Size])</f>
        <v>80-85</v>
      </c>
      <c r="H69" s="2" t="str">
        <f>_xlfn.XLOOKUP(B69,Master[Product_Code],Master[Color])</f>
        <v>Grey</v>
      </c>
      <c r="I69" s="4">
        <f>_xlfn.XLOOKUP(B69,Master[Product_Code],Master[Stock_Qty])</f>
        <v>3</v>
      </c>
      <c r="J69" s="6">
        <f>SUMIFS(
  Sales_Entry[Qty],
  Sales_Entry[Product_Code], Stock_Table[[#This Row],[Product_Code]]
)</f>
        <v>1</v>
      </c>
      <c r="K69" s="4">
        <f>SUMIFS(
  Exchange_Return[Qty],
  Exchange_Return[Product_Code], Stock_Table[[#This Row],[Product_Code]]
)</f>
        <v>0</v>
      </c>
      <c r="L69" s="4">
        <f>I69-J69+K69</f>
        <v>2</v>
      </c>
      <c r="M69" s="2" t="str" cm="1">
        <f t="array" ref="M69">_xlfn.IFS(L69=0,"Out of Stock",L69&gt;=2,"Limited Stock",L69&lt;2,"In Stock")</f>
        <v>Limited Stock</v>
      </c>
    </row>
    <row r="70" spans="2:13">
      <c r="B70" s="2" t="s">
        <v>1536</v>
      </c>
      <c r="C70" s="5" t="str">
        <f>_xlfn.XLOOKUP(B70,Master[Product_Code],Master[Category])</f>
        <v>Innerwear</v>
      </c>
      <c r="D70" s="2" t="str">
        <f>_xlfn.XLOOKUP(B70,Master[Product_Code],Master[Brand])</f>
        <v>Rupa</v>
      </c>
      <c r="E70" s="2" t="str">
        <f>_xlfn.XLOOKUP(B70,Master[Product_Code],Master[Style])</f>
        <v>Boxer</v>
      </c>
      <c r="F70" s="2" t="str">
        <f>_xlfn.XLOOKUP(B70,Master[Product_Code],Master[Fabric])</f>
        <v>Cotton Blend</v>
      </c>
      <c r="G70" s="2" t="str">
        <f>_xlfn.XLOOKUP(B70,Master[Product_Code],Master[Size])</f>
        <v>90-100</v>
      </c>
      <c r="H70" s="2" t="str">
        <f>_xlfn.XLOOKUP(B70,Master[Product_Code],Master[Color])</f>
        <v>Royal Blue</v>
      </c>
      <c r="I70" s="4">
        <f>_xlfn.XLOOKUP(B70,Master[Product_Code],Master[Stock_Qty])</f>
        <v>3</v>
      </c>
      <c r="J70" s="6">
        <f>SUMIFS(
  Sales_Entry[Qty],
  Sales_Entry[Product_Code], Stock_Table[[#This Row],[Product_Code]]
)</f>
        <v>1</v>
      </c>
      <c r="K70" s="4">
        <f>SUMIFS(
  Exchange_Return[Qty],
  Exchange_Return[Product_Code], Stock_Table[[#This Row],[Product_Code]]
)</f>
        <v>0</v>
      </c>
      <c r="L70" s="4">
        <f>I70-J70+K70</f>
        <v>2</v>
      </c>
      <c r="M70" s="2" t="str" cm="1">
        <f t="array" ref="M70">_xlfn.IFS(L70=0,"Out of Stock",L70&gt;=2,"Limited Stock",L70&lt;2,"In Stock")</f>
        <v>Limited Stock</v>
      </c>
    </row>
    <row r="71" spans="2:13">
      <c r="B71" s="2" t="s">
        <v>1537</v>
      </c>
      <c r="C71" s="5" t="str">
        <f>_xlfn.XLOOKUP(B71,Master[Product_Code],Master[Category])</f>
        <v>Innerwear</v>
      </c>
      <c r="D71" s="2" t="str">
        <f>_xlfn.XLOOKUP(B71,Master[Product_Code],Master[Brand])</f>
        <v>Lux</v>
      </c>
      <c r="E71" s="2" t="str">
        <f>_xlfn.XLOOKUP(B71,Master[Product_Code],Master[Style])</f>
        <v>Boxer</v>
      </c>
      <c r="F71" s="2" t="str">
        <f>_xlfn.XLOOKUP(B71,Master[Product_Code],Master[Fabric])</f>
        <v>Cotton</v>
      </c>
      <c r="G71" s="2" t="str">
        <f>_xlfn.XLOOKUP(B71,Master[Product_Code],Master[Size])</f>
        <v>90-100</v>
      </c>
      <c r="H71" s="2" t="str">
        <f>_xlfn.XLOOKUP(B71,Master[Product_Code],Master[Color])</f>
        <v>Sky Blue</v>
      </c>
      <c r="I71" s="4">
        <f>_xlfn.XLOOKUP(B71,Master[Product_Code],Master[Stock_Qty])</f>
        <v>5</v>
      </c>
      <c r="J71" s="6">
        <f>SUMIFS(
  Sales_Entry[Qty],
  Sales_Entry[Product_Code], Stock_Table[[#This Row],[Product_Code]]
)</f>
        <v>0</v>
      </c>
      <c r="K71" s="4">
        <f>SUMIFS(
  Exchange_Return[Qty],
  Exchange_Return[Product_Code], Stock_Table[[#This Row],[Product_Code]]
)</f>
        <v>0</v>
      </c>
      <c r="L71" s="4">
        <f>I71-J71+K71</f>
        <v>5</v>
      </c>
      <c r="M71" s="2" t="str" cm="1">
        <f t="array" ref="M71">_xlfn.IFS(L71=0,"Out of Stock",L71&gt;=2,"Limited Stock",L71&lt;2,"In Stock")</f>
        <v>Limited Stock</v>
      </c>
    </row>
    <row r="72" spans="2:13">
      <c r="B72" s="2" t="s">
        <v>1538</v>
      </c>
      <c r="C72" s="5" t="str">
        <f>_xlfn.XLOOKUP(B72,Master[Product_Code],Master[Category])</f>
        <v>Innerwear</v>
      </c>
      <c r="D72" s="2" t="str">
        <f>_xlfn.XLOOKUP(B72,Master[Product_Code],Master[Brand])</f>
        <v>Dollar</v>
      </c>
      <c r="E72" s="2" t="str">
        <f>_xlfn.XLOOKUP(B72,Master[Product_Code],Master[Style])</f>
        <v>V-Cut</v>
      </c>
      <c r="F72" s="2" t="str">
        <f>_xlfn.XLOOKUP(B72,Master[Product_Code],Master[Fabric])</f>
        <v>Cotton</v>
      </c>
      <c r="G72" s="2" t="str">
        <f>_xlfn.XLOOKUP(B72,Master[Product_Code],Master[Size])</f>
        <v>90-100</v>
      </c>
      <c r="H72" s="2" t="str">
        <f>_xlfn.XLOOKUP(B72,Master[Product_Code],Master[Color])</f>
        <v>Peach</v>
      </c>
      <c r="I72" s="4">
        <f>_xlfn.XLOOKUP(B72,Master[Product_Code],Master[Stock_Qty])</f>
        <v>3</v>
      </c>
      <c r="J72" s="6">
        <f>SUMIFS(
  Sales_Entry[Qty],
  Sales_Entry[Product_Code], Stock_Table[[#This Row],[Product_Code]]
)</f>
        <v>1</v>
      </c>
      <c r="K72" s="4">
        <f>SUMIFS(
  Exchange_Return[Qty],
  Exchange_Return[Product_Code], Stock_Table[[#This Row],[Product_Code]]
)</f>
        <v>0</v>
      </c>
      <c r="L72" s="4">
        <f>I72-J72+K72</f>
        <v>2</v>
      </c>
      <c r="M72" s="2" t="str" cm="1">
        <f t="array" ref="M72">_xlfn.IFS(L72=0,"Out of Stock",L72&gt;=2,"Limited Stock",L72&lt;2,"In Stock")</f>
        <v>Limited Stock</v>
      </c>
    </row>
    <row r="73" spans="2:13">
      <c r="B73" s="2" t="s">
        <v>1539</v>
      </c>
      <c r="C73" s="5" t="str">
        <f>_xlfn.XLOOKUP(B73,Master[Product_Code],Master[Category])</f>
        <v>Innerwear</v>
      </c>
      <c r="D73" s="2" t="str">
        <f>_xlfn.XLOOKUP(B73,Master[Product_Code],Master[Brand])</f>
        <v>Lux</v>
      </c>
      <c r="E73" s="2" t="str">
        <f>_xlfn.XLOOKUP(B73,Master[Product_Code],Master[Style])</f>
        <v>Boxer</v>
      </c>
      <c r="F73" s="2" t="str">
        <f>_xlfn.XLOOKUP(B73,Master[Product_Code],Master[Fabric])</f>
        <v>Cotton</v>
      </c>
      <c r="G73" s="2" t="str">
        <f>_xlfn.XLOOKUP(B73,Master[Product_Code],Master[Size])</f>
        <v>105-110</v>
      </c>
      <c r="H73" s="2" t="str">
        <f>_xlfn.XLOOKUP(B73,Master[Product_Code],Master[Color])</f>
        <v>Light Grey</v>
      </c>
      <c r="I73" s="4">
        <f>_xlfn.XLOOKUP(B73,Master[Product_Code],Master[Stock_Qty])</f>
        <v>3</v>
      </c>
      <c r="J73" s="6">
        <f>SUMIFS(
  Sales_Entry[Qty],
  Sales_Entry[Product_Code], Stock_Table[[#This Row],[Product_Code]]
)</f>
        <v>3</v>
      </c>
      <c r="K73" s="4">
        <f>SUMIFS(
  Exchange_Return[Qty],
  Exchange_Return[Product_Code], Stock_Table[[#This Row],[Product_Code]]
)</f>
        <v>0</v>
      </c>
      <c r="L73" s="4">
        <f>I73-J73+K73</f>
        <v>0</v>
      </c>
      <c r="M73" s="2" t="str" cm="1">
        <f t="array" ref="M73">_xlfn.IFS(L73=0,"Out of Stock",L73&gt;=2,"Limited Stock",L73&lt;2,"In Stock")</f>
        <v>Out of Stock</v>
      </c>
    </row>
    <row r="74" spans="2:13">
      <c r="B74" s="2" t="s">
        <v>1540</v>
      </c>
      <c r="C74" s="5" t="str">
        <f>_xlfn.XLOOKUP(B74,Master[Product_Code],Master[Category])</f>
        <v>Innerwear</v>
      </c>
      <c r="D74" s="2" t="str">
        <f>_xlfn.XLOOKUP(B74,Master[Product_Code],Master[Brand])</f>
        <v>Rupa</v>
      </c>
      <c r="E74" s="2" t="str">
        <f>_xlfn.XLOOKUP(B74,Master[Product_Code],Master[Style])</f>
        <v>V-Cut</v>
      </c>
      <c r="F74" s="2" t="str">
        <f>_xlfn.XLOOKUP(B74,Master[Product_Code],Master[Fabric])</f>
        <v>Cotton Blend</v>
      </c>
      <c r="G74" s="2" t="str">
        <f>_xlfn.XLOOKUP(B74,Master[Product_Code],Master[Size])</f>
        <v>100-105</v>
      </c>
      <c r="H74" s="2" t="str">
        <f>_xlfn.XLOOKUP(B74,Master[Product_Code],Master[Color])</f>
        <v>Wine</v>
      </c>
      <c r="I74" s="4">
        <f>_xlfn.XLOOKUP(B74,Master[Product_Code],Master[Stock_Qty])</f>
        <v>5</v>
      </c>
      <c r="J74" s="6">
        <f>SUMIFS(
  Sales_Entry[Qty],
  Sales_Entry[Product_Code], Stock_Table[[#This Row],[Product_Code]]
)</f>
        <v>1</v>
      </c>
      <c r="K74" s="4">
        <f>SUMIFS(
  Exchange_Return[Qty],
  Exchange_Return[Product_Code], Stock_Table[[#This Row],[Product_Code]]
)</f>
        <v>0</v>
      </c>
      <c r="L74" s="4">
        <f>I74-J74+K74</f>
        <v>4</v>
      </c>
      <c r="M74" s="2" t="str" cm="1">
        <f t="array" ref="M74">_xlfn.IFS(L74=0,"Out of Stock",L74&gt;=2,"Limited Stock",L74&lt;2,"In Stock")</f>
        <v>Limited Stock</v>
      </c>
    </row>
    <row r="75" spans="2:13">
      <c r="B75" s="2" t="s">
        <v>1541</v>
      </c>
      <c r="C75" s="5" t="str">
        <f>_xlfn.XLOOKUP(B75,Master[Product_Code],Master[Category])</f>
        <v>Innerwear</v>
      </c>
      <c r="D75" s="2" t="str">
        <f>_xlfn.XLOOKUP(B75,Master[Product_Code],Master[Brand])</f>
        <v>Jockey</v>
      </c>
      <c r="E75" s="2" t="str">
        <f>_xlfn.XLOOKUP(B75,Master[Product_Code],Master[Style])</f>
        <v>Boxer</v>
      </c>
      <c r="F75" s="2" t="str">
        <f>_xlfn.XLOOKUP(B75,Master[Product_Code],Master[Fabric])</f>
        <v>Cotton Blend</v>
      </c>
      <c r="G75" s="2" t="str">
        <f>_xlfn.XLOOKUP(B75,Master[Product_Code],Master[Size])</f>
        <v>85-90</v>
      </c>
      <c r="H75" s="2" t="str">
        <f>_xlfn.XLOOKUP(B75,Master[Product_Code],Master[Color])</f>
        <v>Teal</v>
      </c>
      <c r="I75" s="4">
        <f>_xlfn.XLOOKUP(B75,Master[Product_Code],Master[Stock_Qty])</f>
        <v>5</v>
      </c>
      <c r="J75" s="6">
        <f>SUMIFS(
  Sales_Entry[Qty],
  Sales_Entry[Product_Code], Stock_Table[[#This Row],[Product_Code]]
)</f>
        <v>4</v>
      </c>
      <c r="K75" s="4">
        <f>SUMIFS(
  Exchange_Return[Qty],
  Exchange_Return[Product_Code], Stock_Table[[#This Row],[Product_Code]]
)</f>
        <v>0</v>
      </c>
      <c r="L75" s="4">
        <f>I75-J75+K75</f>
        <v>1</v>
      </c>
      <c r="M75" s="2" t="str" cm="1">
        <f t="array" ref="M75">_xlfn.IFS(L75=0,"Out of Stock",L75&gt;=2,"Limited Stock",L75&lt;2,"In Stock")</f>
        <v>In Stock</v>
      </c>
    </row>
    <row r="76" spans="2:13">
      <c r="B76" s="2" t="s">
        <v>1542</v>
      </c>
      <c r="C76" s="5" t="str">
        <f>_xlfn.XLOOKUP(B76,Master[Product_Code],Master[Category])</f>
        <v>Innerwear</v>
      </c>
      <c r="D76" s="2" t="str">
        <f>_xlfn.XLOOKUP(B76,Master[Product_Code],Master[Brand])</f>
        <v>Rupa</v>
      </c>
      <c r="E76" s="2" t="str">
        <f>_xlfn.XLOOKUP(B76,Master[Product_Code],Master[Style])</f>
        <v>Boxer</v>
      </c>
      <c r="F76" s="2" t="str">
        <f>_xlfn.XLOOKUP(B76,Master[Product_Code],Master[Fabric])</f>
        <v>Cotton Blend</v>
      </c>
      <c r="G76" s="2" t="str">
        <f>_xlfn.XLOOKUP(B76,Master[Product_Code],Master[Size])</f>
        <v>90-100</v>
      </c>
      <c r="H76" s="2" t="str">
        <f>_xlfn.XLOOKUP(B76,Master[Product_Code],Master[Color])</f>
        <v>Royal Blue</v>
      </c>
      <c r="I76" s="4">
        <f>_xlfn.XLOOKUP(B76,Master[Product_Code],Master[Stock_Qty])</f>
        <v>3</v>
      </c>
      <c r="J76" s="6">
        <f>SUMIFS(
  Sales_Entry[Qty],
  Sales_Entry[Product_Code], Stock_Table[[#This Row],[Product_Code]]
)</f>
        <v>3</v>
      </c>
      <c r="K76" s="4">
        <f>SUMIFS(
  Exchange_Return[Qty],
  Exchange_Return[Product_Code], Stock_Table[[#This Row],[Product_Code]]
)</f>
        <v>0</v>
      </c>
      <c r="L76" s="4">
        <f>I76-J76+K76</f>
        <v>0</v>
      </c>
      <c r="M76" s="2" t="str" cm="1">
        <f t="array" ref="M76">_xlfn.IFS(L76=0,"Out of Stock",L76&gt;=2,"Limited Stock",L76&lt;2,"In Stock")</f>
        <v>Out of Stock</v>
      </c>
    </row>
    <row r="77" spans="2:13">
      <c r="B77" s="2" t="s">
        <v>1543</v>
      </c>
      <c r="C77" s="5" t="str">
        <f>_xlfn.XLOOKUP(B77,Master[Product_Code],Master[Category])</f>
        <v>Innerwear</v>
      </c>
      <c r="D77" s="2" t="str">
        <f>_xlfn.XLOOKUP(B77,Master[Product_Code],Master[Brand])</f>
        <v>Dollar</v>
      </c>
      <c r="E77" s="2" t="str">
        <f>_xlfn.XLOOKUP(B77,Master[Product_Code],Master[Style])</f>
        <v>V-Cut</v>
      </c>
      <c r="F77" s="2" t="str">
        <f>_xlfn.XLOOKUP(B77,Master[Product_Code],Master[Fabric])</f>
        <v>Cotton</v>
      </c>
      <c r="G77" s="2" t="str">
        <f>_xlfn.XLOOKUP(B77,Master[Product_Code],Master[Size])</f>
        <v>90-100</v>
      </c>
      <c r="H77" s="2" t="str">
        <f>_xlfn.XLOOKUP(B77,Master[Product_Code],Master[Color])</f>
        <v>Rust</v>
      </c>
      <c r="I77" s="4">
        <f>_xlfn.XLOOKUP(B77,Master[Product_Code],Master[Stock_Qty])</f>
        <v>4</v>
      </c>
      <c r="J77" s="6">
        <f>SUMIFS(
  Sales_Entry[Qty],
  Sales_Entry[Product_Code], Stock_Table[[#This Row],[Product_Code]]
)</f>
        <v>4</v>
      </c>
      <c r="K77" s="4">
        <f>SUMIFS(
  Exchange_Return[Qty],
  Exchange_Return[Product_Code], Stock_Table[[#This Row],[Product_Code]]
)</f>
        <v>0</v>
      </c>
      <c r="L77" s="4">
        <f>I77-J77+K77</f>
        <v>0</v>
      </c>
      <c r="M77" s="2" t="str" cm="1">
        <f t="array" ref="M77">_xlfn.IFS(L77=0,"Out of Stock",L77&gt;=2,"Limited Stock",L77&lt;2,"In Stock")</f>
        <v>Out of Stock</v>
      </c>
    </row>
    <row r="78" spans="2:13">
      <c r="B78" s="2" t="s">
        <v>1544</v>
      </c>
      <c r="C78" s="5" t="str">
        <f>_xlfn.XLOOKUP(B78,Master[Product_Code],Master[Category])</f>
        <v>Innerwear</v>
      </c>
      <c r="D78" s="2" t="str">
        <f>_xlfn.XLOOKUP(B78,Master[Product_Code],Master[Brand])</f>
        <v>V Star</v>
      </c>
      <c r="E78" s="2" t="str">
        <f>_xlfn.XLOOKUP(B78,Master[Product_Code],Master[Style])</f>
        <v>V-Cut</v>
      </c>
      <c r="F78" s="2" t="str">
        <f>_xlfn.XLOOKUP(B78,Master[Product_Code],Master[Fabric])</f>
        <v>Cotton Blend</v>
      </c>
      <c r="G78" s="2" t="str">
        <f>_xlfn.XLOOKUP(B78,Master[Product_Code],Master[Size])</f>
        <v>105-110</v>
      </c>
      <c r="H78" s="2" t="str">
        <f>_xlfn.XLOOKUP(B78,Master[Product_Code],Master[Color])</f>
        <v>Charcoal</v>
      </c>
      <c r="I78" s="4">
        <f>_xlfn.XLOOKUP(B78,Master[Product_Code],Master[Stock_Qty])</f>
        <v>5</v>
      </c>
      <c r="J78" s="6">
        <f>SUMIFS(
  Sales_Entry[Qty],
  Sales_Entry[Product_Code], Stock_Table[[#This Row],[Product_Code]]
)</f>
        <v>1</v>
      </c>
      <c r="K78" s="4">
        <f>SUMIFS(
  Exchange_Return[Qty],
  Exchange_Return[Product_Code], Stock_Table[[#This Row],[Product_Code]]
)</f>
        <v>0</v>
      </c>
      <c r="L78" s="4">
        <f>I78-J78+K78</f>
        <v>4</v>
      </c>
      <c r="M78" s="2" t="str" cm="1">
        <f t="array" ref="M78">_xlfn.IFS(L78=0,"Out of Stock",L78&gt;=2,"Limited Stock",L78&lt;2,"In Stock")</f>
        <v>Limited Stock</v>
      </c>
    </row>
    <row r="79" spans="2:13">
      <c r="B79" s="2" t="s">
        <v>1545</v>
      </c>
      <c r="C79" s="5" t="str">
        <f>_xlfn.XLOOKUP(B79,Master[Product_Code],Master[Category])</f>
        <v>Innerwear</v>
      </c>
      <c r="D79" s="2" t="str">
        <f>_xlfn.XLOOKUP(B79,Master[Product_Code],Master[Brand])</f>
        <v>V Star</v>
      </c>
      <c r="E79" s="2" t="str">
        <f>_xlfn.XLOOKUP(B79,Master[Product_Code],Master[Style])</f>
        <v>Boxer</v>
      </c>
      <c r="F79" s="2" t="str">
        <f>_xlfn.XLOOKUP(B79,Master[Product_Code],Master[Fabric])</f>
        <v>Cotton Blend</v>
      </c>
      <c r="G79" s="2" t="str">
        <f>_xlfn.XLOOKUP(B79,Master[Product_Code],Master[Size])</f>
        <v>105-110</v>
      </c>
      <c r="H79" s="2" t="str">
        <f>_xlfn.XLOOKUP(B79,Master[Product_Code],Master[Color])</f>
        <v>Grey</v>
      </c>
      <c r="I79" s="4">
        <f>_xlfn.XLOOKUP(B79,Master[Product_Code],Master[Stock_Qty])</f>
        <v>3</v>
      </c>
      <c r="J79" s="6">
        <f>SUMIFS(
  Sales_Entry[Qty],
  Sales_Entry[Product_Code], Stock_Table[[#This Row],[Product_Code]]
)</f>
        <v>2</v>
      </c>
      <c r="K79" s="4">
        <f>SUMIFS(
  Exchange_Return[Qty],
  Exchange_Return[Product_Code], Stock_Table[[#This Row],[Product_Code]]
)</f>
        <v>0</v>
      </c>
      <c r="L79" s="4">
        <f>I79-J79+K79</f>
        <v>1</v>
      </c>
      <c r="M79" s="2" t="str" cm="1">
        <f t="array" ref="M79">_xlfn.IFS(L79=0,"Out of Stock",L79&gt;=2,"Limited Stock",L79&lt;2,"In Stock")</f>
        <v>In Stock</v>
      </c>
    </row>
    <row r="80" spans="2:13">
      <c r="B80" s="2" t="s">
        <v>1546</v>
      </c>
      <c r="C80" s="5" t="str">
        <f>_xlfn.XLOOKUP(B80,Master[Product_Code],Master[Category])</f>
        <v>Innerwear</v>
      </c>
      <c r="D80" s="2" t="str">
        <f>_xlfn.XLOOKUP(B80,Master[Product_Code],Master[Brand])</f>
        <v>Lux</v>
      </c>
      <c r="E80" s="2" t="str">
        <f>_xlfn.XLOOKUP(B80,Master[Product_Code],Master[Style])</f>
        <v>Boxer</v>
      </c>
      <c r="F80" s="2" t="str">
        <f>_xlfn.XLOOKUP(B80,Master[Product_Code],Master[Fabric])</f>
        <v>Cotton</v>
      </c>
      <c r="G80" s="2" t="str">
        <f>_xlfn.XLOOKUP(B80,Master[Product_Code],Master[Size])</f>
        <v>105-110</v>
      </c>
      <c r="H80" s="2" t="str">
        <f>_xlfn.XLOOKUP(B80,Master[Product_Code],Master[Color])</f>
        <v>Mustard</v>
      </c>
      <c r="I80" s="4">
        <f>_xlfn.XLOOKUP(B80,Master[Product_Code],Master[Stock_Qty])</f>
        <v>6</v>
      </c>
      <c r="J80" s="6">
        <f>SUMIFS(
  Sales_Entry[Qty],
  Sales_Entry[Product_Code], Stock_Table[[#This Row],[Product_Code]]
)</f>
        <v>2</v>
      </c>
      <c r="K80" s="4">
        <f>SUMIFS(
  Exchange_Return[Qty],
  Exchange_Return[Product_Code], Stock_Table[[#This Row],[Product_Code]]
)</f>
        <v>0</v>
      </c>
      <c r="L80" s="4">
        <f>I80-J80+K80</f>
        <v>4</v>
      </c>
      <c r="M80" s="2" t="str" cm="1">
        <f t="array" ref="M80">_xlfn.IFS(L80=0,"Out of Stock",L80&gt;=2,"Limited Stock",L80&lt;2,"In Stock")</f>
        <v>Limited Stock</v>
      </c>
    </row>
    <row r="81" spans="2:13">
      <c r="B81" s="2" t="s">
        <v>1547</v>
      </c>
      <c r="C81" s="5" t="str">
        <f>_xlfn.XLOOKUP(B81,Master[Product_Code],Master[Category])</f>
        <v>Innerwear</v>
      </c>
      <c r="D81" s="2" t="str">
        <f>_xlfn.XLOOKUP(B81,Master[Product_Code],Master[Brand])</f>
        <v>V Star</v>
      </c>
      <c r="E81" s="2" t="str">
        <f>_xlfn.XLOOKUP(B81,Master[Product_Code],Master[Style])</f>
        <v>Boxer</v>
      </c>
      <c r="F81" s="2" t="str">
        <f>_xlfn.XLOOKUP(B81,Master[Product_Code],Master[Fabric])</f>
        <v>Cotton Blend</v>
      </c>
      <c r="G81" s="2" t="str">
        <f>_xlfn.XLOOKUP(B81,Master[Product_Code],Master[Size])</f>
        <v>105-110</v>
      </c>
      <c r="H81" s="2" t="str">
        <f>_xlfn.XLOOKUP(B81,Master[Product_Code],Master[Color])</f>
        <v>Royal Blue</v>
      </c>
      <c r="I81" s="4">
        <f>_xlfn.XLOOKUP(B81,Master[Product_Code],Master[Stock_Qty])</f>
        <v>3</v>
      </c>
      <c r="J81" s="6">
        <f>SUMIFS(
  Sales_Entry[Qty],
  Sales_Entry[Product_Code], Stock_Table[[#This Row],[Product_Code]]
)</f>
        <v>3</v>
      </c>
      <c r="K81" s="4">
        <f>SUMIFS(
  Exchange_Return[Qty],
  Exchange_Return[Product_Code], Stock_Table[[#This Row],[Product_Code]]
)</f>
        <v>0</v>
      </c>
      <c r="L81" s="4">
        <f>I81-J81+K81</f>
        <v>0</v>
      </c>
      <c r="M81" s="2" t="str" cm="1">
        <f t="array" ref="M81">_xlfn.IFS(L81=0,"Out of Stock",L81&gt;=2,"Limited Stock",L81&lt;2,"In Stock")</f>
        <v>Out of Stock</v>
      </c>
    </row>
    <row r="82" spans="2:13">
      <c r="B82" s="2" t="s">
        <v>1548</v>
      </c>
      <c r="C82" s="5" t="str">
        <f>_xlfn.XLOOKUP(B82,Master[Product_Code],Master[Category])</f>
        <v>Innerwear</v>
      </c>
      <c r="D82" s="2" t="str">
        <f>_xlfn.XLOOKUP(B82,Master[Product_Code],Master[Brand])</f>
        <v>Jockey</v>
      </c>
      <c r="E82" s="2" t="str">
        <f>_xlfn.XLOOKUP(B82,Master[Product_Code],Master[Style])</f>
        <v>Boxer</v>
      </c>
      <c r="F82" s="2" t="str">
        <f>_xlfn.XLOOKUP(B82,Master[Product_Code],Master[Fabric])</f>
        <v>Cotton</v>
      </c>
      <c r="G82" s="2" t="str">
        <f>_xlfn.XLOOKUP(B82,Master[Product_Code],Master[Size])</f>
        <v>105-110</v>
      </c>
      <c r="H82" s="2" t="str">
        <f>_xlfn.XLOOKUP(B82,Master[Product_Code],Master[Color])</f>
        <v>Rust</v>
      </c>
      <c r="I82" s="4">
        <f>_xlfn.XLOOKUP(B82,Master[Product_Code],Master[Stock_Qty])</f>
        <v>5</v>
      </c>
      <c r="J82" s="6">
        <f>SUMIFS(
  Sales_Entry[Qty],
  Sales_Entry[Product_Code], Stock_Table[[#This Row],[Product_Code]]
)</f>
        <v>2</v>
      </c>
      <c r="K82" s="4">
        <f>SUMIFS(
  Exchange_Return[Qty],
  Exchange_Return[Product_Code], Stock_Table[[#This Row],[Product_Code]]
)</f>
        <v>0</v>
      </c>
      <c r="L82" s="4">
        <f>I82-J82+K82</f>
        <v>3</v>
      </c>
      <c r="M82" s="2" t="str" cm="1">
        <f t="array" ref="M82">_xlfn.IFS(L82=0,"Out of Stock",L82&gt;=2,"Limited Stock",L82&lt;2,"In Stock")</f>
        <v>Limited Stock</v>
      </c>
    </row>
    <row r="83" spans="2:13">
      <c r="B83" s="2" t="s">
        <v>1549</v>
      </c>
      <c r="C83" s="5" t="str">
        <f>_xlfn.XLOOKUP(B83,Master[Product_Code],Master[Category])</f>
        <v>Innerwear</v>
      </c>
      <c r="D83" s="2" t="str">
        <f>_xlfn.XLOOKUP(B83,Master[Product_Code],Master[Brand])</f>
        <v>Rupa</v>
      </c>
      <c r="E83" s="2" t="str">
        <f>_xlfn.XLOOKUP(B83,Master[Product_Code],Master[Style])</f>
        <v>V-Cut</v>
      </c>
      <c r="F83" s="2" t="str">
        <f>_xlfn.XLOOKUP(B83,Master[Product_Code],Master[Fabric])</f>
        <v>Cotton</v>
      </c>
      <c r="G83" s="2" t="str">
        <f>_xlfn.XLOOKUP(B83,Master[Product_Code],Master[Size])</f>
        <v>90-100</v>
      </c>
      <c r="H83" s="2" t="str">
        <f>_xlfn.XLOOKUP(B83,Master[Product_Code],Master[Color])</f>
        <v>Navy Blue</v>
      </c>
      <c r="I83" s="4">
        <f>_xlfn.XLOOKUP(B83,Master[Product_Code],Master[Stock_Qty])</f>
        <v>5</v>
      </c>
      <c r="J83" s="6">
        <f>SUMIFS(
  Sales_Entry[Qty],
  Sales_Entry[Product_Code], Stock_Table[[#This Row],[Product_Code]]
)</f>
        <v>2</v>
      </c>
      <c r="K83" s="4">
        <f>SUMIFS(
  Exchange_Return[Qty],
  Exchange_Return[Product_Code], Stock_Table[[#This Row],[Product_Code]]
)</f>
        <v>1</v>
      </c>
      <c r="L83" s="4">
        <f>I83-J83+K83</f>
        <v>4</v>
      </c>
      <c r="M83" s="2" t="str" cm="1">
        <f t="array" ref="M83">_xlfn.IFS(L83=0,"Out of Stock",L83&gt;=2,"Limited Stock",L83&lt;2,"In Stock")</f>
        <v>Limited Stock</v>
      </c>
    </row>
    <row r="84" spans="2:13">
      <c r="B84" s="2" t="s">
        <v>1550</v>
      </c>
      <c r="C84" s="5" t="str">
        <f>_xlfn.XLOOKUP(B84,Master[Product_Code],Master[Category])</f>
        <v>Innerwear</v>
      </c>
      <c r="D84" s="2" t="str">
        <f>_xlfn.XLOOKUP(B84,Master[Product_Code],Master[Brand])</f>
        <v>Jockey</v>
      </c>
      <c r="E84" s="2" t="str">
        <f>_xlfn.XLOOKUP(B84,Master[Product_Code],Master[Style])</f>
        <v>V-Cut</v>
      </c>
      <c r="F84" s="2" t="str">
        <f>_xlfn.XLOOKUP(B84,Master[Product_Code],Master[Fabric])</f>
        <v>Cotton Blend</v>
      </c>
      <c r="G84" s="2" t="str">
        <f>_xlfn.XLOOKUP(B84,Master[Product_Code],Master[Size])</f>
        <v>75-80</v>
      </c>
      <c r="H84" s="2" t="str">
        <f>_xlfn.XLOOKUP(B84,Master[Product_Code],Master[Color])</f>
        <v>Peach</v>
      </c>
      <c r="I84" s="4">
        <f>_xlfn.XLOOKUP(B84,Master[Product_Code],Master[Stock_Qty])</f>
        <v>4</v>
      </c>
      <c r="J84" s="6">
        <f>SUMIFS(
  Sales_Entry[Qty],
  Sales_Entry[Product_Code], Stock_Table[[#This Row],[Product_Code]]
)</f>
        <v>1</v>
      </c>
      <c r="K84" s="4">
        <f>SUMIFS(
  Exchange_Return[Qty],
  Exchange_Return[Product_Code], Stock_Table[[#This Row],[Product_Code]]
)</f>
        <v>0</v>
      </c>
      <c r="L84" s="4">
        <f>I84-J84+K84</f>
        <v>3</v>
      </c>
      <c r="M84" s="2" t="str" cm="1">
        <f t="array" ref="M84">_xlfn.IFS(L84=0,"Out of Stock",L84&gt;=2,"Limited Stock",L84&lt;2,"In Stock")</f>
        <v>Limited Stock</v>
      </c>
    </row>
    <row r="85" spans="2:13">
      <c r="B85" s="2" t="s">
        <v>1551</v>
      </c>
      <c r="C85" s="5" t="str">
        <f>_xlfn.XLOOKUP(B85,Master[Product_Code],Master[Category])</f>
        <v>Innerwear</v>
      </c>
      <c r="D85" s="2" t="str">
        <f>_xlfn.XLOOKUP(B85,Master[Product_Code],Master[Brand])</f>
        <v>Rupa</v>
      </c>
      <c r="E85" s="2" t="str">
        <f>_xlfn.XLOOKUP(B85,Master[Product_Code],Master[Style])</f>
        <v>V-Cut</v>
      </c>
      <c r="F85" s="2" t="str">
        <f>_xlfn.XLOOKUP(B85,Master[Product_Code],Master[Fabric])</f>
        <v>Cotton</v>
      </c>
      <c r="G85" s="2" t="str">
        <f>_xlfn.XLOOKUP(B85,Master[Product_Code],Master[Size])</f>
        <v>75-80</v>
      </c>
      <c r="H85" s="2" t="str">
        <f>_xlfn.XLOOKUP(B85,Master[Product_Code],Master[Color])</f>
        <v>Bottle Green</v>
      </c>
      <c r="I85" s="4">
        <f>_xlfn.XLOOKUP(B85,Master[Product_Code],Master[Stock_Qty])</f>
        <v>3</v>
      </c>
      <c r="J85" s="6">
        <f>SUMIFS(
  Sales_Entry[Qty],
  Sales_Entry[Product_Code], Stock_Table[[#This Row],[Product_Code]]
)</f>
        <v>0</v>
      </c>
      <c r="K85" s="4">
        <f>SUMIFS(
  Exchange_Return[Qty],
  Exchange_Return[Product_Code], Stock_Table[[#This Row],[Product_Code]]
)</f>
        <v>0</v>
      </c>
      <c r="L85" s="4">
        <f>I85-J85+K85</f>
        <v>3</v>
      </c>
      <c r="M85" s="2" t="str" cm="1">
        <f t="array" ref="M85">_xlfn.IFS(L85=0,"Out of Stock",L85&gt;=2,"Limited Stock",L85&lt;2,"In Stock")</f>
        <v>Limited Stock</v>
      </c>
    </row>
    <row r="86" spans="2:13">
      <c r="B86" s="2" t="s">
        <v>1552</v>
      </c>
      <c r="C86" s="5" t="str">
        <f>_xlfn.XLOOKUP(B86,Master[Product_Code],Master[Category])</f>
        <v>Innerwear</v>
      </c>
      <c r="D86" s="2" t="str">
        <f>_xlfn.XLOOKUP(B86,Master[Product_Code],Master[Brand])</f>
        <v>Dollar</v>
      </c>
      <c r="E86" s="2" t="str">
        <f>_xlfn.XLOOKUP(B86,Master[Product_Code],Master[Style])</f>
        <v>Boxer</v>
      </c>
      <c r="F86" s="2" t="str">
        <f>_xlfn.XLOOKUP(B86,Master[Product_Code],Master[Fabric])</f>
        <v>Cotton Blend</v>
      </c>
      <c r="G86" s="2" t="str">
        <f>_xlfn.XLOOKUP(B86,Master[Product_Code],Master[Size])</f>
        <v>80-85</v>
      </c>
      <c r="H86" s="2" t="str">
        <f>_xlfn.XLOOKUP(B86,Master[Product_Code],Master[Color])</f>
        <v>Beige</v>
      </c>
      <c r="I86" s="4">
        <f>_xlfn.XLOOKUP(B86,Master[Product_Code],Master[Stock_Qty])</f>
        <v>6</v>
      </c>
      <c r="J86" s="6">
        <f>SUMIFS(
  Sales_Entry[Qty],
  Sales_Entry[Product_Code], Stock_Table[[#This Row],[Product_Code]]
)</f>
        <v>3</v>
      </c>
      <c r="K86" s="4">
        <f>SUMIFS(
  Exchange_Return[Qty],
  Exchange_Return[Product_Code], Stock_Table[[#This Row],[Product_Code]]
)</f>
        <v>0</v>
      </c>
      <c r="L86" s="4">
        <f>I86-J86+K86</f>
        <v>3</v>
      </c>
      <c r="M86" s="2" t="str" cm="1">
        <f t="array" ref="M86">_xlfn.IFS(L86=0,"Out of Stock",L86&gt;=2,"Limited Stock",L86&lt;2,"In Stock")</f>
        <v>Limited Stock</v>
      </c>
    </row>
    <row r="87" spans="2:13">
      <c r="B87" s="2" t="s">
        <v>1553</v>
      </c>
      <c r="C87" s="5" t="str">
        <f>_xlfn.XLOOKUP(B87,Master[Product_Code],Master[Category])</f>
        <v>Innerwear</v>
      </c>
      <c r="D87" s="2" t="str">
        <f>_xlfn.XLOOKUP(B87,Master[Product_Code],Master[Brand])</f>
        <v>Rupa</v>
      </c>
      <c r="E87" s="2" t="str">
        <f>_xlfn.XLOOKUP(B87,Master[Product_Code],Master[Style])</f>
        <v>Boxer</v>
      </c>
      <c r="F87" s="2" t="str">
        <f>_xlfn.XLOOKUP(B87,Master[Product_Code],Master[Fabric])</f>
        <v>Cotton</v>
      </c>
      <c r="G87" s="2" t="str">
        <f>_xlfn.XLOOKUP(B87,Master[Product_Code],Master[Size])</f>
        <v>105-110</v>
      </c>
      <c r="H87" s="2" t="str">
        <f>_xlfn.XLOOKUP(B87,Master[Product_Code],Master[Color])</f>
        <v>Mustard</v>
      </c>
      <c r="I87" s="4">
        <f>_xlfn.XLOOKUP(B87,Master[Product_Code],Master[Stock_Qty])</f>
        <v>4</v>
      </c>
      <c r="J87" s="6">
        <f>SUMIFS(
  Sales_Entry[Qty],
  Sales_Entry[Product_Code], Stock_Table[[#This Row],[Product_Code]]
)</f>
        <v>0</v>
      </c>
      <c r="K87" s="4">
        <f>SUMIFS(
  Exchange_Return[Qty],
  Exchange_Return[Product_Code], Stock_Table[[#This Row],[Product_Code]]
)</f>
        <v>0</v>
      </c>
      <c r="L87" s="4">
        <f>I87-J87+K87</f>
        <v>4</v>
      </c>
      <c r="M87" s="2" t="str" cm="1">
        <f t="array" ref="M87">_xlfn.IFS(L87=0,"Out of Stock",L87&gt;=2,"Limited Stock",L87&lt;2,"In Stock")</f>
        <v>Limited Stock</v>
      </c>
    </row>
    <row r="88" spans="2:13">
      <c r="B88" s="2" t="s">
        <v>1554</v>
      </c>
      <c r="C88" s="5" t="str">
        <f>_xlfn.XLOOKUP(B88,Master[Product_Code],Master[Category])</f>
        <v>Innerwear</v>
      </c>
      <c r="D88" s="2" t="str">
        <f>_xlfn.XLOOKUP(B88,Master[Product_Code],Master[Brand])</f>
        <v>Dollar</v>
      </c>
      <c r="E88" s="2" t="str">
        <f>_xlfn.XLOOKUP(B88,Master[Product_Code],Master[Style])</f>
        <v>Boxer</v>
      </c>
      <c r="F88" s="2" t="str">
        <f>_xlfn.XLOOKUP(B88,Master[Product_Code],Master[Fabric])</f>
        <v>Cotton Blend</v>
      </c>
      <c r="G88" s="2" t="str">
        <f>_xlfn.XLOOKUP(B88,Master[Product_Code],Master[Size])</f>
        <v>105-110</v>
      </c>
      <c r="H88" s="2" t="str">
        <f>_xlfn.XLOOKUP(B88,Master[Product_Code],Master[Color])</f>
        <v>Dark Green</v>
      </c>
      <c r="I88" s="4">
        <f>_xlfn.XLOOKUP(B88,Master[Product_Code],Master[Stock_Qty])</f>
        <v>6</v>
      </c>
      <c r="J88" s="6">
        <f>SUMIFS(
  Sales_Entry[Qty],
  Sales_Entry[Product_Code], Stock_Table[[#This Row],[Product_Code]]
)</f>
        <v>2</v>
      </c>
      <c r="K88" s="4">
        <f>SUMIFS(
  Exchange_Return[Qty],
  Exchange_Return[Product_Code], Stock_Table[[#This Row],[Product_Code]]
)</f>
        <v>0</v>
      </c>
      <c r="L88" s="4">
        <f>I88-J88+K88</f>
        <v>4</v>
      </c>
      <c r="M88" s="2" t="str" cm="1">
        <f t="array" ref="M88">_xlfn.IFS(L88=0,"Out of Stock",L88&gt;=2,"Limited Stock",L88&lt;2,"In Stock")</f>
        <v>Limited Stock</v>
      </c>
    </row>
    <row r="89" spans="2:13">
      <c r="B89" s="2" t="s">
        <v>1555</v>
      </c>
      <c r="C89" s="5" t="str">
        <f>_xlfn.XLOOKUP(B89,Master[Product_Code],Master[Category])</f>
        <v>Innerwear</v>
      </c>
      <c r="D89" s="2" t="str">
        <f>_xlfn.XLOOKUP(B89,Master[Product_Code],Master[Brand])</f>
        <v>Rupa</v>
      </c>
      <c r="E89" s="2" t="str">
        <f>_xlfn.XLOOKUP(B89,Master[Product_Code],Master[Style])</f>
        <v>Boxer</v>
      </c>
      <c r="F89" s="2" t="str">
        <f>_xlfn.XLOOKUP(B89,Master[Product_Code],Master[Fabric])</f>
        <v>Cotton</v>
      </c>
      <c r="G89" s="2" t="str">
        <f>_xlfn.XLOOKUP(B89,Master[Product_Code],Master[Size])</f>
        <v>85-90</v>
      </c>
      <c r="H89" s="2" t="str">
        <f>_xlfn.XLOOKUP(B89,Master[Product_Code],Master[Color])</f>
        <v>Navy Blue</v>
      </c>
      <c r="I89" s="4">
        <f>_xlfn.XLOOKUP(B89,Master[Product_Code],Master[Stock_Qty])</f>
        <v>3</v>
      </c>
      <c r="J89" s="6">
        <f>SUMIFS(
  Sales_Entry[Qty],
  Sales_Entry[Product_Code], Stock_Table[[#This Row],[Product_Code]]
)</f>
        <v>3</v>
      </c>
      <c r="K89" s="4">
        <f>SUMIFS(
  Exchange_Return[Qty],
  Exchange_Return[Product_Code], Stock_Table[[#This Row],[Product_Code]]
)</f>
        <v>0</v>
      </c>
      <c r="L89" s="4">
        <f>I89-J89+K89</f>
        <v>0</v>
      </c>
      <c r="M89" s="2" t="str" cm="1">
        <f t="array" ref="M89">_xlfn.IFS(L89=0,"Out of Stock",L89&gt;=2,"Limited Stock",L89&lt;2,"In Stock")</f>
        <v>Out of Stock</v>
      </c>
    </row>
    <row r="90" spans="2:13">
      <c r="B90" s="2" t="s">
        <v>1556</v>
      </c>
      <c r="C90" s="5" t="str">
        <f>_xlfn.XLOOKUP(B90,Master[Product_Code],Master[Category])</f>
        <v>Innerwear</v>
      </c>
      <c r="D90" s="2" t="str">
        <f>_xlfn.XLOOKUP(B90,Master[Product_Code],Master[Brand])</f>
        <v>Dollar</v>
      </c>
      <c r="E90" s="2" t="str">
        <f>_xlfn.XLOOKUP(B90,Master[Product_Code],Master[Style])</f>
        <v>V-Cut</v>
      </c>
      <c r="F90" s="2" t="str">
        <f>_xlfn.XLOOKUP(B90,Master[Product_Code],Master[Fabric])</f>
        <v>Cotton</v>
      </c>
      <c r="G90" s="2" t="str">
        <f>_xlfn.XLOOKUP(B90,Master[Product_Code],Master[Size])</f>
        <v>100-105</v>
      </c>
      <c r="H90" s="2" t="str">
        <f>_xlfn.XLOOKUP(B90,Master[Product_Code],Master[Color])</f>
        <v>Teal</v>
      </c>
      <c r="I90" s="4">
        <f>_xlfn.XLOOKUP(B90,Master[Product_Code],Master[Stock_Qty])</f>
        <v>4</v>
      </c>
      <c r="J90" s="6">
        <f>SUMIFS(
  Sales_Entry[Qty],
  Sales_Entry[Product_Code], Stock_Table[[#This Row],[Product_Code]]
)</f>
        <v>2</v>
      </c>
      <c r="K90" s="4">
        <f>SUMIFS(
  Exchange_Return[Qty],
  Exchange_Return[Product_Code], Stock_Table[[#This Row],[Product_Code]]
)</f>
        <v>0</v>
      </c>
      <c r="L90" s="4">
        <f>I90-J90+K90</f>
        <v>2</v>
      </c>
      <c r="M90" s="2" t="str" cm="1">
        <f t="array" ref="M90">_xlfn.IFS(L90=0,"Out of Stock",L90&gt;=2,"Limited Stock",L90&lt;2,"In Stock")</f>
        <v>Limited Stock</v>
      </c>
    </row>
    <row r="91" spans="2:13">
      <c r="B91" s="2" t="s">
        <v>1557</v>
      </c>
      <c r="C91" s="5" t="str">
        <f>_xlfn.XLOOKUP(B91,Master[Product_Code],Master[Category])</f>
        <v>Innerwear</v>
      </c>
      <c r="D91" s="2" t="str">
        <f>_xlfn.XLOOKUP(B91,Master[Product_Code],Master[Brand])</f>
        <v>Jockey</v>
      </c>
      <c r="E91" s="2" t="str">
        <f>_xlfn.XLOOKUP(B91,Master[Product_Code],Master[Style])</f>
        <v>V-Cut</v>
      </c>
      <c r="F91" s="2" t="str">
        <f>_xlfn.XLOOKUP(B91,Master[Product_Code],Master[Fabric])</f>
        <v>Cotton Blend</v>
      </c>
      <c r="G91" s="2" t="str">
        <f>_xlfn.XLOOKUP(B91,Master[Product_Code],Master[Size])</f>
        <v>75-80</v>
      </c>
      <c r="H91" s="2" t="str">
        <f>_xlfn.XLOOKUP(B91,Master[Product_Code],Master[Color])</f>
        <v>Light Grey</v>
      </c>
      <c r="I91" s="4">
        <f>_xlfn.XLOOKUP(B91,Master[Product_Code],Master[Stock_Qty])</f>
        <v>4</v>
      </c>
      <c r="J91" s="6">
        <f>SUMIFS(
  Sales_Entry[Qty],
  Sales_Entry[Product_Code], Stock_Table[[#This Row],[Product_Code]]
)</f>
        <v>2</v>
      </c>
      <c r="K91" s="4">
        <f>SUMIFS(
  Exchange_Return[Qty],
  Exchange_Return[Product_Code], Stock_Table[[#This Row],[Product_Code]]
)</f>
        <v>0</v>
      </c>
      <c r="L91" s="4">
        <f>I91-J91+K91</f>
        <v>2</v>
      </c>
      <c r="M91" s="2" t="str" cm="1">
        <f t="array" ref="M91">_xlfn.IFS(L91=0,"Out of Stock",L91&gt;=2,"Limited Stock",L91&lt;2,"In Stock")</f>
        <v>Limited Stock</v>
      </c>
    </row>
    <row r="92" spans="2:13">
      <c r="B92" s="2" t="s">
        <v>1558</v>
      </c>
      <c r="C92" s="5" t="str">
        <f>_xlfn.XLOOKUP(B92,Master[Product_Code],Master[Category])</f>
        <v>Innerwear</v>
      </c>
      <c r="D92" s="2" t="str">
        <f>_xlfn.XLOOKUP(B92,Master[Product_Code],Master[Brand])</f>
        <v>Jockey</v>
      </c>
      <c r="E92" s="2" t="str">
        <f>_xlfn.XLOOKUP(B92,Master[Product_Code],Master[Style])</f>
        <v>Boxer</v>
      </c>
      <c r="F92" s="2" t="str">
        <f>_xlfn.XLOOKUP(B92,Master[Product_Code],Master[Fabric])</f>
        <v>Cotton Blend</v>
      </c>
      <c r="G92" s="2" t="str">
        <f>_xlfn.XLOOKUP(B92,Master[Product_Code],Master[Size])</f>
        <v>105-110</v>
      </c>
      <c r="H92" s="2" t="str">
        <f>_xlfn.XLOOKUP(B92,Master[Product_Code],Master[Color])</f>
        <v>Maroon</v>
      </c>
      <c r="I92" s="4">
        <f>_xlfn.XLOOKUP(B92,Master[Product_Code],Master[Stock_Qty])</f>
        <v>4</v>
      </c>
      <c r="J92" s="6">
        <f>SUMIFS(
  Sales_Entry[Qty],
  Sales_Entry[Product_Code], Stock_Table[[#This Row],[Product_Code]]
)</f>
        <v>1</v>
      </c>
      <c r="K92" s="4">
        <f>SUMIFS(
  Exchange_Return[Qty],
  Exchange_Return[Product_Code], Stock_Table[[#This Row],[Product_Code]]
)</f>
        <v>0</v>
      </c>
      <c r="L92" s="4">
        <f>I92-J92+K92</f>
        <v>3</v>
      </c>
      <c r="M92" s="2" t="str" cm="1">
        <f t="array" ref="M92">_xlfn.IFS(L92=0,"Out of Stock",L92&gt;=2,"Limited Stock",L92&lt;2,"In Stock")</f>
        <v>Limited Stock</v>
      </c>
    </row>
    <row r="93" spans="2:13">
      <c r="B93" s="2" t="s">
        <v>1559</v>
      </c>
      <c r="C93" s="5" t="str">
        <f>_xlfn.XLOOKUP(B93,Master[Product_Code],Master[Category])</f>
        <v>Innerwear</v>
      </c>
      <c r="D93" s="2" t="str">
        <f>_xlfn.XLOOKUP(B93,Master[Product_Code],Master[Brand])</f>
        <v>Jockey</v>
      </c>
      <c r="E93" s="2" t="str">
        <f>_xlfn.XLOOKUP(B93,Master[Product_Code],Master[Style])</f>
        <v>V-Cut</v>
      </c>
      <c r="F93" s="2" t="str">
        <f>_xlfn.XLOOKUP(B93,Master[Product_Code],Master[Fabric])</f>
        <v>Cotton Blend</v>
      </c>
      <c r="G93" s="2" t="str">
        <f>_xlfn.XLOOKUP(B93,Master[Product_Code],Master[Size])</f>
        <v>85-90</v>
      </c>
      <c r="H93" s="2" t="str">
        <f>_xlfn.XLOOKUP(B93,Master[Product_Code],Master[Color])</f>
        <v>Maroon</v>
      </c>
      <c r="I93" s="4">
        <f>_xlfn.XLOOKUP(B93,Master[Product_Code],Master[Stock_Qty])</f>
        <v>5</v>
      </c>
      <c r="J93" s="6">
        <f>SUMIFS(
  Sales_Entry[Qty],
  Sales_Entry[Product_Code], Stock_Table[[#This Row],[Product_Code]]
)</f>
        <v>2</v>
      </c>
      <c r="K93" s="4">
        <f>SUMIFS(
  Exchange_Return[Qty],
  Exchange_Return[Product_Code], Stock_Table[[#This Row],[Product_Code]]
)</f>
        <v>0</v>
      </c>
      <c r="L93" s="4">
        <f>I93-J93+K93</f>
        <v>3</v>
      </c>
      <c r="M93" s="2" t="str" cm="1">
        <f t="array" ref="M93">_xlfn.IFS(L93=0,"Out of Stock",L93&gt;=2,"Limited Stock",L93&lt;2,"In Stock")</f>
        <v>Limited Stock</v>
      </c>
    </row>
    <row r="94" spans="2:13">
      <c r="B94" s="2" t="s">
        <v>1560</v>
      </c>
      <c r="C94" s="5" t="str">
        <f>_xlfn.XLOOKUP(B94,Master[Product_Code],Master[Category])</f>
        <v>Innerwear</v>
      </c>
      <c r="D94" s="2" t="str">
        <f>_xlfn.XLOOKUP(B94,Master[Product_Code],Master[Brand])</f>
        <v>Jockey</v>
      </c>
      <c r="E94" s="2" t="str">
        <f>_xlfn.XLOOKUP(B94,Master[Product_Code],Master[Style])</f>
        <v>Boxer</v>
      </c>
      <c r="F94" s="2" t="str">
        <f>_xlfn.XLOOKUP(B94,Master[Product_Code],Master[Fabric])</f>
        <v>Cotton</v>
      </c>
      <c r="G94" s="2" t="str">
        <f>_xlfn.XLOOKUP(B94,Master[Product_Code],Master[Size])</f>
        <v>100-105</v>
      </c>
      <c r="H94" s="2" t="str">
        <f>_xlfn.XLOOKUP(B94,Master[Product_Code],Master[Color])</f>
        <v>Brown</v>
      </c>
      <c r="I94" s="4">
        <f>_xlfn.XLOOKUP(B94,Master[Product_Code],Master[Stock_Qty])</f>
        <v>4</v>
      </c>
      <c r="J94" s="6">
        <f>SUMIFS(
  Sales_Entry[Qty],
  Sales_Entry[Product_Code], Stock_Table[[#This Row],[Product_Code]]
)</f>
        <v>2</v>
      </c>
      <c r="K94" s="4">
        <f>SUMIFS(
  Exchange_Return[Qty],
  Exchange_Return[Product_Code], Stock_Table[[#This Row],[Product_Code]]
)</f>
        <v>0</v>
      </c>
      <c r="L94" s="4">
        <f>I94-J94+K94</f>
        <v>2</v>
      </c>
      <c r="M94" s="2" t="str" cm="1">
        <f t="array" ref="M94">_xlfn.IFS(L94=0,"Out of Stock",L94&gt;=2,"Limited Stock",L94&lt;2,"In Stock")</f>
        <v>Limited Stock</v>
      </c>
    </row>
    <row r="95" spans="2:13">
      <c r="B95" s="2" t="s">
        <v>1561</v>
      </c>
      <c r="C95" s="5" t="str">
        <f>_xlfn.XLOOKUP(B95,Master[Product_Code],Master[Category])</f>
        <v>Innerwear</v>
      </c>
      <c r="D95" s="2" t="str">
        <f>_xlfn.XLOOKUP(B95,Master[Product_Code],Master[Brand])</f>
        <v>V Star</v>
      </c>
      <c r="E95" s="2" t="str">
        <f>_xlfn.XLOOKUP(B95,Master[Product_Code],Master[Style])</f>
        <v>Boxer</v>
      </c>
      <c r="F95" s="2" t="str">
        <f>_xlfn.XLOOKUP(B95,Master[Product_Code],Master[Fabric])</f>
        <v>Cotton Blend</v>
      </c>
      <c r="G95" s="2" t="str">
        <f>_xlfn.XLOOKUP(B95,Master[Product_Code],Master[Size])</f>
        <v>100-105</v>
      </c>
      <c r="H95" s="2" t="str">
        <f>_xlfn.XLOOKUP(B95,Master[Product_Code],Master[Color])</f>
        <v>Sky Blue</v>
      </c>
      <c r="I95" s="4">
        <f>_xlfn.XLOOKUP(B95,Master[Product_Code],Master[Stock_Qty])</f>
        <v>5</v>
      </c>
      <c r="J95" s="6">
        <f>SUMIFS(
  Sales_Entry[Qty],
  Sales_Entry[Product_Code], Stock_Table[[#This Row],[Product_Code]]
)</f>
        <v>5</v>
      </c>
      <c r="K95" s="4">
        <f>SUMIFS(
  Exchange_Return[Qty],
  Exchange_Return[Product_Code], Stock_Table[[#This Row],[Product_Code]]
)</f>
        <v>0</v>
      </c>
      <c r="L95" s="4">
        <f>I95-J95+K95</f>
        <v>0</v>
      </c>
      <c r="M95" s="2" t="str" cm="1">
        <f t="array" ref="M95">_xlfn.IFS(L95=0,"Out of Stock",L95&gt;=2,"Limited Stock",L95&lt;2,"In Stock")</f>
        <v>Out of Stock</v>
      </c>
    </row>
    <row r="96" spans="2:13">
      <c r="B96" s="2" t="s">
        <v>1562</v>
      </c>
      <c r="C96" s="5" t="str">
        <f>_xlfn.XLOOKUP(B96,Master[Product_Code],Master[Category])</f>
        <v>Innerwear</v>
      </c>
      <c r="D96" s="2" t="str">
        <f>_xlfn.XLOOKUP(B96,Master[Product_Code],Master[Brand])</f>
        <v>Rupa</v>
      </c>
      <c r="E96" s="2" t="str">
        <f>_xlfn.XLOOKUP(B96,Master[Product_Code],Master[Style])</f>
        <v>Boxer</v>
      </c>
      <c r="F96" s="2" t="str">
        <f>_xlfn.XLOOKUP(B96,Master[Product_Code],Master[Fabric])</f>
        <v>Cotton Blend</v>
      </c>
      <c r="G96" s="2" t="str">
        <f>_xlfn.XLOOKUP(B96,Master[Product_Code],Master[Size])</f>
        <v>105-110</v>
      </c>
      <c r="H96" s="2" t="str">
        <f>_xlfn.XLOOKUP(B96,Master[Product_Code],Master[Color])</f>
        <v>Rust</v>
      </c>
      <c r="I96" s="4">
        <f>_xlfn.XLOOKUP(B96,Master[Product_Code],Master[Stock_Qty])</f>
        <v>3</v>
      </c>
      <c r="J96" s="6">
        <f>SUMIFS(
  Sales_Entry[Qty],
  Sales_Entry[Product_Code], Stock_Table[[#This Row],[Product_Code]]
)</f>
        <v>2</v>
      </c>
      <c r="K96" s="4">
        <f>SUMIFS(
  Exchange_Return[Qty],
  Exchange_Return[Product_Code], Stock_Table[[#This Row],[Product_Code]]
)</f>
        <v>0</v>
      </c>
      <c r="L96" s="4">
        <f>I96-J96+K96</f>
        <v>1</v>
      </c>
      <c r="M96" s="2" t="str" cm="1">
        <f t="array" ref="M96">_xlfn.IFS(L96=0,"Out of Stock",L96&gt;=2,"Limited Stock",L96&lt;2,"In Stock")</f>
        <v>In Stock</v>
      </c>
    </row>
    <row r="97" spans="2:13">
      <c r="B97" s="2" t="s">
        <v>1563</v>
      </c>
      <c r="C97" s="5" t="str">
        <f>_xlfn.XLOOKUP(B97,Master[Product_Code],Master[Category])</f>
        <v>Innerwear</v>
      </c>
      <c r="D97" s="2" t="str">
        <f>_xlfn.XLOOKUP(B97,Master[Product_Code],Master[Brand])</f>
        <v>Rupa</v>
      </c>
      <c r="E97" s="2" t="str">
        <f>_xlfn.XLOOKUP(B97,Master[Product_Code],Master[Style])</f>
        <v>V-Cut</v>
      </c>
      <c r="F97" s="2" t="str">
        <f>_xlfn.XLOOKUP(B97,Master[Product_Code],Master[Fabric])</f>
        <v>Cotton</v>
      </c>
      <c r="G97" s="2" t="str">
        <f>_xlfn.XLOOKUP(B97,Master[Product_Code],Master[Size])</f>
        <v>105-110</v>
      </c>
      <c r="H97" s="2" t="str">
        <f>_xlfn.XLOOKUP(B97,Master[Product_Code],Master[Color])</f>
        <v>White</v>
      </c>
      <c r="I97" s="4">
        <f>_xlfn.XLOOKUP(B97,Master[Product_Code],Master[Stock_Qty])</f>
        <v>4</v>
      </c>
      <c r="J97" s="6">
        <f>SUMIFS(
  Sales_Entry[Qty],
  Sales_Entry[Product_Code], Stock_Table[[#This Row],[Product_Code]]
)</f>
        <v>2</v>
      </c>
      <c r="K97" s="4">
        <f>SUMIFS(
  Exchange_Return[Qty],
  Exchange_Return[Product_Code], Stock_Table[[#This Row],[Product_Code]]
)</f>
        <v>0</v>
      </c>
      <c r="L97" s="4">
        <f>I97-J97+K97</f>
        <v>2</v>
      </c>
      <c r="M97" s="2" t="str" cm="1">
        <f t="array" ref="M97">_xlfn.IFS(L97=0,"Out of Stock",L97&gt;=2,"Limited Stock",L97&lt;2,"In Stock")</f>
        <v>Limited Stock</v>
      </c>
    </row>
    <row r="98" spans="2:13">
      <c r="B98" s="2" t="s">
        <v>1564</v>
      </c>
      <c r="C98" s="5" t="str">
        <f>_xlfn.XLOOKUP(B98,Master[Product_Code],Master[Category])</f>
        <v>Innerwear</v>
      </c>
      <c r="D98" s="2" t="str">
        <f>_xlfn.XLOOKUP(B98,Master[Product_Code],Master[Brand])</f>
        <v>Jockey</v>
      </c>
      <c r="E98" s="2" t="str">
        <f>_xlfn.XLOOKUP(B98,Master[Product_Code],Master[Style])</f>
        <v>Boxer</v>
      </c>
      <c r="F98" s="2" t="str">
        <f>_xlfn.XLOOKUP(B98,Master[Product_Code],Master[Fabric])</f>
        <v>Cotton</v>
      </c>
      <c r="G98" s="2" t="str">
        <f>_xlfn.XLOOKUP(B98,Master[Product_Code],Master[Size])</f>
        <v>75-80</v>
      </c>
      <c r="H98" s="2" t="str">
        <f>_xlfn.XLOOKUP(B98,Master[Product_Code],Master[Color])</f>
        <v>Dark Green</v>
      </c>
      <c r="I98" s="4">
        <f>_xlfn.XLOOKUP(B98,Master[Product_Code],Master[Stock_Qty])</f>
        <v>6</v>
      </c>
      <c r="J98" s="6">
        <f>SUMIFS(
  Sales_Entry[Qty],
  Sales_Entry[Product_Code], Stock_Table[[#This Row],[Product_Code]]
)</f>
        <v>1</v>
      </c>
      <c r="K98" s="4">
        <f>SUMIFS(
  Exchange_Return[Qty],
  Exchange_Return[Product_Code], Stock_Table[[#This Row],[Product_Code]]
)</f>
        <v>0</v>
      </c>
      <c r="L98" s="4">
        <f>I98-J98+K98</f>
        <v>5</v>
      </c>
      <c r="M98" s="2" t="str" cm="1">
        <f t="array" ref="M98">_xlfn.IFS(L98=0,"Out of Stock",L98&gt;=2,"Limited Stock",L98&lt;2,"In Stock")</f>
        <v>Limited Stock</v>
      </c>
    </row>
    <row r="99" spans="2:13">
      <c r="B99" s="2" t="s">
        <v>1565</v>
      </c>
      <c r="C99" s="5" t="str">
        <f>_xlfn.XLOOKUP(B99,Master[Product_Code],Master[Category])</f>
        <v>Innerwear</v>
      </c>
      <c r="D99" s="2" t="str">
        <f>_xlfn.XLOOKUP(B99,Master[Product_Code],Master[Brand])</f>
        <v>Jockey</v>
      </c>
      <c r="E99" s="2" t="str">
        <f>_xlfn.XLOOKUP(B99,Master[Product_Code],Master[Style])</f>
        <v>Boxer</v>
      </c>
      <c r="F99" s="2" t="str">
        <f>_xlfn.XLOOKUP(B99,Master[Product_Code],Master[Fabric])</f>
        <v>Cotton Blend</v>
      </c>
      <c r="G99" s="2" t="str">
        <f>_xlfn.XLOOKUP(B99,Master[Product_Code],Master[Size])</f>
        <v>90-100</v>
      </c>
      <c r="H99" s="2" t="str">
        <f>_xlfn.XLOOKUP(B99,Master[Product_Code],Master[Color])</f>
        <v>Rust</v>
      </c>
      <c r="I99" s="4">
        <f>_xlfn.XLOOKUP(B99,Master[Product_Code],Master[Stock_Qty])</f>
        <v>3</v>
      </c>
      <c r="J99" s="6">
        <f>SUMIFS(
  Sales_Entry[Qty],
  Sales_Entry[Product_Code], Stock_Table[[#This Row],[Product_Code]]
)</f>
        <v>0</v>
      </c>
      <c r="K99" s="4">
        <f>SUMIFS(
  Exchange_Return[Qty],
  Exchange_Return[Product_Code], Stock_Table[[#This Row],[Product_Code]]
)</f>
        <v>0</v>
      </c>
      <c r="L99" s="4">
        <f>I99-J99+K99</f>
        <v>3</v>
      </c>
      <c r="M99" s="2" t="str" cm="1">
        <f t="array" ref="M99">_xlfn.IFS(L99=0,"Out of Stock",L99&gt;=2,"Limited Stock",L99&lt;2,"In Stock")</f>
        <v>Limited Stock</v>
      </c>
    </row>
    <row r="100" spans="2:13">
      <c r="B100" s="2" t="s">
        <v>1566</v>
      </c>
      <c r="C100" s="5" t="str">
        <f>_xlfn.XLOOKUP(B100,Master[Product_Code],Master[Category])</f>
        <v>Innerwear</v>
      </c>
      <c r="D100" s="2" t="str">
        <f>_xlfn.XLOOKUP(B100,Master[Product_Code],Master[Brand])</f>
        <v>Dollar</v>
      </c>
      <c r="E100" s="2" t="str">
        <f>_xlfn.XLOOKUP(B100,Master[Product_Code],Master[Style])</f>
        <v>Boxer</v>
      </c>
      <c r="F100" s="2" t="str">
        <f>_xlfn.XLOOKUP(B100,Master[Product_Code],Master[Fabric])</f>
        <v>Cotton</v>
      </c>
      <c r="G100" s="2" t="str">
        <f>_xlfn.XLOOKUP(B100,Master[Product_Code],Master[Size])</f>
        <v>105-110</v>
      </c>
      <c r="H100" s="2" t="str">
        <f>_xlfn.XLOOKUP(B100,Master[Product_Code],Master[Color])</f>
        <v>Dark Green</v>
      </c>
      <c r="I100" s="4">
        <f>_xlfn.XLOOKUP(B100,Master[Product_Code],Master[Stock_Qty])</f>
        <v>6</v>
      </c>
      <c r="J100" s="6">
        <f>SUMIFS(
  Sales_Entry[Qty],
  Sales_Entry[Product_Code], Stock_Table[[#This Row],[Product_Code]]
)</f>
        <v>2</v>
      </c>
      <c r="K100" s="4">
        <f>SUMIFS(
  Exchange_Return[Qty],
  Exchange_Return[Product_Code], Stock_Table[[#This Row],[Product_Code]]
)</f>
        <v>1</v>
      </c>
      <c r="L100" s="4">
        <f>I100-J100+K100</f>
        <v>5</v>
      </c>
      <c r="M100" s="2" t="str" cm="1">
        <f t="array" ref="M100">_xlfn.IFS(L100=0,"Out of Stock",L100&gt;=2,"Limited Stock",L100&lt;2,"In Stock")</f>
        <v>Limited Stock</v>
      </c>
    </row>
    <row r="101" spans="2:13">
      <c r="B101" s="2" t="s">
        <v>1567</v>
      </c>
      <c r="C101" s="5" t="str">
        <f>_xlfn.XLOOKUP(B101,Master[Product_Code],Master[Category])</f>
        <v>Innerwear</v>
      </c>
      <c r="D101" s="2" t="str">
        <f>_xlfn.XLOOKUP(B101,Master[Product_Code],Master[Brand])</f>
        <v>Rupa</v>
      </c>
      <c r="E101" s="2" t="str">
        <f>_xlfn.XLOOKUP(B101,Master[Product_Code],Master[Style])</f>
        <v>Boxer</v>
      </c>
      <c r="F101" s="2" t="str">
        <f>_xlfn.XLOOKUP(B101,Master[Product_Code],Master[Fabric])</f>
        <v>Cotton</v>
      </c>
      <c r="G101" s="2" t="str">
        <f>_xlfn.XLOOKUP(B101,Master[Product_Code],Master[Size])</f>
        <v>105-110</v>
      </c>
      <c r="H101" s="2" t="str">
        <f>_xlfn.XLOOKUP(B101,Master[Product_Code],Master[Color])</f>
        <v>Brown</v>
      </c>
      <c r="I101" s="4">
        <f>_xlfn.XLOOKUP(B101,Master[Product_Code],Master[Stock_Qty])</f>
        <v>6</v>
      </c>
      <c r="J101" s="6">
        <f>SUMIFS(
  Sales_Entry[Qty],
  Sales_Entry[Product_Code], Stock_Table[[#This Row],[Product_Code]]
)</f>
        <v>1</v>
      </c>
      <c r="K101" s="4">
        <f>SUMIFS(
  Exchange_Return[Qty],
  Exchange_Return[Product_Code], Stock_Table[[#This Row],[Product_Code]]
)</f>
        <v>0</v>
      </c>
      <c r="L101" s="4">
        <f>I101-J101+K101</f>
        <v>5</v>
      </c>
      <c r="M101" s="2" t="str" cm="1">
        <f t="array" ref="M101">_xlfn.IFS(L101=0,"Out of Stock",L101&gt;=2,"Limited Stock",L101&lt;2,"In Stock")</f>
        <v>Limited Stock</v>
      </c>
    </row>
    <row r="102" spans="2:13">
      <c r="B102" s="2" t="s">
        <v>1568</v>
      </c>
      <c r="C102" s="5" t="str">
        <f>_xlfn.XLOOKUP(B102,Master[Product_Code],Master[Category])</f>
        <v>Innerwear</v>
      </c>
      <c r="D102" s="2" t="str">
        <f>_xlfn.XLOOKUP(B102,Master[Product_Code],Master[Brand])</f>
        <v>V Star</v>
      </c>
      <c r="E102" s="2" t="str">
        <f>_xlfn.XLOOKUP(B102,Master[Product_Code],Master[Style])</f>
        <v>V-Cut</v>
      </c>
      <c r="F102" s="2" t="str">
        <f>_xlfn.XLOOKUP(B102,Master[Product_Code],Master[Fabric])</f>
        <v>Cotton Blend</v>
      </c>
      <c r="G102" s="2" t="str">
        <f>_xlfn.XLOOKUP(B102,Master[Product_Code],Master[Size])</f>
        <v>105-110</v>
      </c>
      <c r="H102" s="2" t="str">
        <f>_xlfn.XLOOKUP(B102,Master[Product_Code],Master[Color])</f>
        <v>Peach</v>
      </c>
      <c r="I102" s="4">
        <f>_xlfn.XLOOKUP(B102,Master[Product_Code],Master[Stock_Qty])</f>
        <v>5</v>
      </c>
      <c r="J102" s="6">
        <f>SUMIFS(
  Sales_Entry[Qty],
  Sales_Entry[Product_Code], Stock_Table[[#This Row],[Product_Code]]
)</f>
        <v>4</v>
      </c>
      <c r="K102" s="4">
        <f>SUMIFS(
  Exchange_Return[Qty],
  Exchange_Return[Product_Code], Stock_Table[[#This Row],[Product_Code]]
)</f>
        <v>0</v>
      </c>
      <c r="L102" s="4">
        <f>I102-J102+K102</f>
        <v>1</v>
      </c>
      <c r="M102" s="2" t="str" cm="1">
        <f t="array" ref="M102">_xlfn.IFS(L102=0,"Out of Stock",L102&gt;=2,"Limited Stock",L102&lt;2,"In Stock")</f>
        <v>In Stock</v>
      </c>
    </row>
    <row r="103" spans="2:13">
      <c r="B103" s="2" t="s">
        <v>1569</v>
      </c>
      <c r="C103" s="5" t="str">
        <f>_xlfn.XLOOKUP(B103,Master[Product_Code],Master[Category])</f>
        <v>Innerwear</v>
      </c>
      <c r="D103" s="2" t="str">
        <f>_xlfn.XLOOKUP(B103,Master[Product_Code],Master[Brand])</f>
        <v>Rupa</v>
      </c>
      <c r="E103" s="2" t="str">
        <f>_xlfn.XLOOKUP(B103,Master[Product_Code],Master[Style])</f>
        <v>V-Cut</v>
      </c>
      <c r="F103" s="2" t="str">
        <f>_xlfn.XLOOKUP(B103,Master[Product_Code],Master[Fabric])</f>
        <v>Cotton</v>
      </c>
      <c r="G103" s="2" t="str">
        <f>_xlfn.XLOOKUP(B103,Master[Product_Code],Master[Size])</f>
        <v>105-110</v>
      </c>
      <c r="H103" s="2" t="str">
        <f>_xlfn.XLOOKUP(B103,Master[Product_Code],Master[Color])</f>
        <v>Black</v>
      </c>
      <c r="I103" s="4">
        <f>_xlfn.XLOOKUP(B103,Master[Product_Code],Master[Stock_Qty])</f>
        <v>5</v>
      </c>
      <c r="J103" s="6">
        <f>SUMIFS(
  Sales_Entry[Qty],
  Sales_Entry[Product_Code], Stock_Table[[#This Row],[Product_Code]]
)</f>
        <v>1</v>
      </c>
      <c r="K103" s="4">
        <f>SUMIFS(
  Exchange_Return[Qty],
  Exchange_Return[Product_Code], Stock_Table[[#This Row],[Product_Code]]
)</f>
        <v>0</v>
      </c>
      <c r="L103" s="4">
        <f>I103-J103+K103</f>
        <v>4</v>
      </c>
      <c r="M103" s="2" t="str" cm="1">
        <f t="array" ref="M103">_xlfn.IFS(L103=0,"Out of Stock",L103&gt;=2,"Limited Stock",L103&lt;2,"In Stock")</f>
        <v>Limited Stock</v>
      </c>
    </row>
    <row r="104" spans="2:13">
      <c r="B104" s="2" t="s">
        <v>1570</v>
      </c>
      <c r="C104" s="5" t="str">
        <f>_xlfn.XLOOKUP(B104,Master[Product_Code],Master[Category])</f>
        <v>Innerwear</v>
      </c>
      <c r="D104" s="2" t="str">
        <f>_xlfn.XLOOKUP(B104,Master[Product_Code],Master[Brand])</f>
        <v>Rupa</v>
      </c>
      <c r="E104" s="2" t="str">
        <f>_xlfn.XLOOKUP(B104,Master[Product_Code],Master[Style])</f>
        <v>Boxer</v>
      </c>
      <c r="F104" s="2" t="str">
        <f>_xlfn.XLOOKUP(B104,Master[Product_Code],Master[Fabric])</f>
        <v>Cotton Blend</v>
      </c>
      <c r="G104" s="2" t="str">
        <f>_xlfn.XLOOKUP(B104,Master[Product_Code],Master[Size])</f>
        <v>105-110</v>
      </c>
      <c r="H104" s="2" t="str">
        <f>_xlfn.XLOOKUP(B104,Master[Product_Code],Master[Color])</f>
        <v>Olive</v>
      </c>
      <c r="I104" s="4">
        <f>_xlfn.XLOOKUP(B104,Master[Product_Code],Master[Stock_Qty])</f>
        <v>3</v>
      </c>
      <c r="J104" s="6">
        <f>SUMIFS(
  Sales_Entry[Qty],
  Sales_Entry[Product_Code], Stock_Table[[#This Row],[Product_Code]]
)</f>
        <v>1</v>
      </c>
      <c r="K104" s="4">
        <f>SUMIFS(
  Exchange_Return[Qty],
  Exchange_Return[Product_Code], Stock_Table[[#This Row],[Product_Code]]
)</f>
        <v>0</v>
      </c>
      <c r="L104" s="4">
        <f>I104-J104+K104</f>
        <v>2</v>
      </c>
      <c r="M104" s="2" t="str" cm="1">
        <f t="array" ref="M104">_xlfn.IFS(L104=0,"Out of Stock",L104&gt;=2,"Limited Stock",L104&lt;2,"In Stock")</f>
        <v>Limited Stock</v>
      </c>
    </row>
    <row r="105" spans="2:13">
      <c r="B105" s="2" t="s">
        <v>1571</v>
      </c>
      <c r="C105" s="5" t="str">
        <f>_xlfn.XLOOKUP(B105,Master[Product_Code],Master[Category])</f>
        <v>Innerwear</v>
      </c>
      <c r="D105" s="2" t="str">
        <f>_xlfn.XLOOKUP(B105,Master[Product_Code],Master[Brand])</f>
        <v>Dollar</v>
      </c>
      <c r="E105" s="2" t="str">
        <f>_xlfn.XLOOKUP(B105,Master[Product_Code],Master[Style])</f>
        <v>Boxer</v>
      </c>
      <c r="F105" s="2" t="str">
        <f>_xlfn.XLOOKUP(B105,Master[Product_Code],Master[Fabric])</f>
        <v>Cotton</v>
      </c>
      <c r="G105" s="2" t="str">
        <f>_xlfn.XLOOKUP(B105,Master[Product_Code],Master[Size])</f>
        <v>75-80</v>
      </c>
      <c r="H105" s="2" t="str">
        <f>_xlfn.XLOOKUP(B105,Master[Product_Code],Master[Color])</f>
        <v>Sky Blue</v>
      </c>
      <c r="I105" s="4">
        <f>_xlfn.XLOOKUP(B105,Master[Product_Code],Master[Stock_Qty])</f>
        <v>5</v>
      </c>
      <c r="J105" s="6">
        <f>SUMIFS(
  Sales_Entry[Qty],
  Sales_Entry[Product_Code], Stock_Table[[#This Row],[Product_Code]]
)</f>
        <v>4</v>
      </c>
      <c r="K105" s="4">
        <f>SUMIFS(
  Exchange_Return[Qty],
  Exchange_Return[Product_Code], Stock_Table[[#This Row],[Product_Code]]
)</f>
        <v>0</v>
      </c>
      <c r="L105" s="4">
        <f>I105-J105+K105</f>
        <v>1</v>
      </c>
      <c r="M105" s="2" t="str" cm="1">
        <f t="array" ref="M105">_xlfn.IFS(L105=0,"Out of Stock",L105&gt;=2,"Limited Stock",L105&lt;2,"In Stock")</f>
        <v>In Stock</v>
      </c>
    </row>
    <row r="106" spans="2:13">
      <c r="B106" s="2" t="s">
        <v>1572</v>
      </c>
      <c r="C106" s="5" t="str">
        <f>_xlfn.XLOOKUP(B106,Master[Product_Code],Master[Category])</f>
        <v>Innerwear</v>
      </c>
      <c r="D106" s="2" t="str">
        <f>_xlfn.XLOOKUP(B106,Master[Product_Code],Master[Brand])</f>
        <v>Rupa</v>
      </c>
      <c r="E106" s="2" t="str">
        <f>_xlfn.XLOOKUP(B106,Master[Product_Code],Master[Style])</f>
        <v>Boxer</v>
      </c>
      <c r="F106" s="2" t="str">
        <f>_xlfn.XLOOKUP(B106,Master[Product_Code],Master[Fabric])</f>
        <v>Cotton</v>
      </c>
      <c r="G106" s="2" t="str">
        <f>_xlfn.XLOOKUP(B106,Master[Product_Code],Master[Size])</f>
        <v>75-80</v>
      </c>
      <c r="H106" s="2" t="str">
        <f>_xlfn.XLOOKUP(B106,Master[Product_Code],Master[Color])</f>
        <v>Sky Blue</v>
      </c>
      <c r="I106" s="4">
        <f>_xlfn.XLOOKUP(B106,Master[Product_Code],Master[Stock_Qty])</f>
        <v>4</v>
      </c>
      <c r="J106" s="6">
        <f>SUMIFS(
  Sales_Entry[Qty],
  Sales_Entry[Product_Code], Stock_Table[[#This Row],[Product_Code]]
)</f>
        <v>2</v>
      </c>
      <c r="K106" s="4">
        <f>SUMIFS(
  Exchange_Return[Qty],
  Exchange_Return[Product_Code], Stock_Table[[#This Row],[Product_Code]]
)</f>
        <v>0</v>
      </c>
      <c r="L106" s="4">
        <f>I106-J106+K106</f>
        <v>2</v>
      </c>
      <c r="M106" s="2" t="str" cm="1">
        <f t="array" ref="M106">_xlfn.IFS(L106=0,"Out of Stock",L106&gt;=2,"Limited Stock",L106&lt;2,"In Stock")</f>
        <v>Limited Stock</v>
      </c>
    </row>
    <row r="107" spans="2:13">
      <c r="B107" s="2" t="s">
        <v>1573</v>
      </c>
      <c r="C107" s="5" t="str">
        <f>_xlfn.XLOOKUP(B107,Master[Product_Code],Master[Category])</f>
        <v>Innerwear</v>
      </c>
      <c r="D107" s="2" t="str">
        <f>_xlfn.XLOOKUP(B107,Master[Product_Code],Master[Brand])</f>
        <v>Jockey</v>
      </c>
      <c r="E107" s="2" t="str">
        <f>_xlfn.XLOOKUP(B107,Master[Product_Code],Master[Style])</f>
        <v>Boxer</v>
      </c>
      <c r="F107" s="2" t="str">
        <f>_xlfn.XLOOKUP(B107,Master[Product_Code],Master[Fabric])</f>
        <v>Cotton</v>
      </c>
      <c r="G107" s="2" t="str">
        <f>_xlfn.XLOOKUP(B107,Master[Product_Code],Master[Size])</f>
        <v>105-110</v>
      </c>
      <c r="H107" s="2" t="str">
        <f>_xlfn.XLOOKUP(B107,Master[Product_Code],Master[Color])</f>
        <v>Rust</v>
      </c>
      <c r="I107" s="4">
        <f>_xlfn.XLOOKUP(B107,Master[Product_Code],Master[Stock_Qty])</f>
        <v>3</v>
      </c>
      <c r="J107" s="6">
        <f>SUMIFS(
  Sales_Entry[Qty],
  Sales_Entry[Product_Code], Stock_Table[[#This Row],[Product_Code]]
)</f>
        <v>1</v>
      </c>
      <c r="K107" s="4">
        <f>SUMIFS(
  Exchange_Return[Qty],
  Exchange_Return[Product_Code], Stock_Table[[#This Row],[Product_Code]]
)</f>
        <v>0</v>
      </c>
      <c r="L107" s="4">
        <f>I107-J107+K107</f>
        <v>2</v>
      </c>
      <c r="M107" s="2" t="str" cm="1">
        <f t="array" ref="M107">_xlfn.IFS(L107=0,"Out of Stock",L107&gt;=2,"Limited Stock",L107&lt;2,"In Stock")</f>
        <v>Limited Stock</v>
      </c>
    </row>
    <row r="108" spans="2:13">
      <c r="B108" s="2" t="s">
        <v>1574</v>
      </c>
      <c r="C108" s="5" t="str">
        <f>_xlfn.XLOOKUP(B108,Master[Product_Code],Master[Category])</f>
        <v>Innerwear</v>
      </c>
      <c r="D108" s="2" t="str">
        <f>_xlfn.XLOOKUP(B108,Master[Product_Code],Master[Brand])</f>
        <v>Jockey</v>
      </c>
      <c r="E108" s="2" t="str">
        <f>_xlfn.XLOOKUP(B108,Master[Product_Code],Master[Style])</f>
        <v>Boxer</v>
      </c>
      <c r="F108" s="2" t="str">
        <f>_xlfn.XLOOKUP(B108,Master[Product_Code],Master[Fabric])</f>
        <v>Cotton Blend</v>
      </c>
      <c r="G108" s="2" t="str">
        <f>_xlfn.XLOOKUP(B108,Master[Product_Code],Master[Size])</f>
        <v>85-90</v>
      </c>
      <c r="H108" s="2" t="str">
        <f>_xlfn.XLOOKUP(B108,Master[Product_Code],Master[Color])</f>
        <v>Black</v>
      </c>
      <c r="I108" s="4">
        <f>_xlfn.XLOOKUP(B108,Master[Product_Code],Master[Stock_Qty])</f>
        <v>3</v>
      </c>
      <c r="J108" s="6">
        <f>SUMIFS(
  Sales_Entry[Qty],
  Sales_Entry[Product_Code], Stock_Table[[#This Row],[Product_Code]]
)</f>
        <v>0</v>
      </c>
      <c r="K108" s="4">
        <f>SUMIFS(
  Exchange_Return[Qty],
  Exchange_Return[Product_Code], Stock_Table[[#This Row],[Product_Code]]
)</f>
        <v>0</v>
      </c>
      <c r="L108" s="4">
        <f>I108-J108+K108</f>
        <v>3</v>
      </c>
      <c r="M108" s="2" t="str" cm="1">
        <f t="array" ref="M108">_xlfn.IFS(L108=0,"Out of Stock",L108&gt;=2,"Limited Stock",L108&lt;2,"In Stock")</f>
        <v>Limited Stock</v>
      </c>
    </row>
    <row r="109" spans="2:13">
      <c r="B109" s="2" t="s">
        <v>1575</v>
      </c>
      <c r="C109" s="5" t="str">
        <f>_xlfn.XLOOKUP(B109,Master[Product_Code],Master[Category])</f>
        <v>Innerwear</v>
      </c>
      <c r="D109" s="2" t="str">
        <f>_xlfn.XLOOKUP(B109,Master[Product_Code],Master[Brand])</f>
        <v>Lux</v>
      </c>
      <c r="E109" s="2" t="str">
        <f>_xlfn.XLOOKUP(B109,Master[Product_Code],Master[Style])</f>
        <v>V-Cut</v>
      </c>
      <c r="F109" s="2" t="str">
        <f>_xlfn.XLOOKUP(B109,Master[Product_Code],Master[Fabric])</f>
        <v>Cotton Blend</v>
      </c>
      <c r="G109" s="2" t="str">
        <f>_xlfn.XLOOKUP(B109,Master[Product_Code],Master[Size])</f>
        <v>105-110</v>
      </c>
      <c r="H109" s="2" t="str">
        <f>_xlfn.XLOOKUP(B109,Master[Product_Code],Master[Color])</f>
        <v>Wine</v>
      </c>
      <c r="I109" s="4">
        <f>_xlfn.XLOOKUP(B109,Master[Product_Code],Master[Stock_Qty])</f>
        <v>4</v>
      </c>
      <c r="J109" s="6">
        <f>SUMIFS(
  Sales_Entry[Qty],
  Sales_Entry[Product_Code], Stock_Table[[#This Row],[Product_Code]]
)</f>
        <v>2</v>
      </c>
      <c r="K109" s="4">
        <f>SUMIFS(
  Exchange_Return[Qty],
  Exchange_Return[Product_Code], Stock_Table[[#This Row],[Product_Code]]
)</f>
        <v>0</v>
      </c>
      <c r="L109" s="4">
        <f>I109-J109+K109</f>
        <v>2</v>
      </c>
      <c r="M109" s="2" t="str" cm="1">
        <f t="array" ref="M109">_xlfn.IFS(L109=0,"Out of Stock",L109&gt;=2,"Limited Stock",L109&lt;2,"In Stock")</f>
        <v>Limited Stock</v>
      </c>
    </row>
    <row r="110" spans="2:13">
      <c r="B110" s="2" t="s">
        <v>1576</v>
      </c>
      <c r="C110" s="5" t="str">
        <f>_xlfn.XLOOKUP(B110,Master[Product_Code],Master[Category])</f>
        <v>Innerwear</v>
      </c>
      <c r="D110" s="2" t="str">
        <f>_xlfn.XLOOKUP(B110,Master[Product_Code],Master[Brand])</f>
        <v>V Star</v>
      </c>
      <c r="E110" s="2" t="str">
        <f>_xlfn.XLOOKUP(B110,Master[Product_Code],Master[Style])</f>
        <v>Boxer</v>
      </c>
      <c r="F110" s="2" t="str">
        <f>_xlfn.XLOOKUP(B110,Master[Product_Code],Master[Fabric])</f>
        <v>Cotton Blend</v>
      </c>
      <c r="G110" s="2" t="str">
        <f>_xlfn.XLOOKUP(B110,Master[Product_Code],Master[Size])</f>
        <v>105-110</v>
      </c>
      <c r="H110" s="2" t="str">
        <f>_xlfn.XLOOKUP(B110,Master[Product_Code],Master[Color])</f>
        <v>Sky Blue</v>
      </c>
      <c r="I110" s="4">
        <f>_xlfn.XLOOKUP(B110,Master[Product_Code],Master[Stock_Qty])</f>
        <v>4</v>
      </c>
      <c r="J110" s="6">
        <f>SUMIFS(
  Sales_Entry[Qty],
  Sales_Entry[Product_Code], Stock_Table[[#This Row],[Product_Code]]
)</f>
        <v>2</v>
      </c>
      <c r="K110" s="4">
        <f>SUMIFS(
  Exchange_Return[Qty],
  Exchange_Return[Product_Code], Stock_Table[[#This Row],[Product_Code]]
)</f>
        <v>0</v>
      </c>
      <c r="L110" s="4">
        <f>I110-J110+K110</f>
        <v>2</v>
      </c>
      <c r="M110" s="2" t="str" cm="1">
        <f t="array" ref="M110">_xlfn.IFS(L110=0,"Out of Stock",L110&gt;=2,"Limited Stock",L110&lt;2,"In Stock")</f>
        <v>Limited Stock</v>
      </c>
    </row>
    <row r="111" spans="2:13">
      <c r="B111" s="2" t="s">
        <v>1577</v>
      </c>
      <c r="C111" s="5" t="str">
        <f>_xlfn.XLOOKUP(B111,Master[Product_Code],Master[Category])</f>
        <v>Innerwear</v>
      </c>
      <c r="D111" s="2" t="str">
        <f>_xlfn.XLOOKUP(B111,Master[Product_Code],Master[Brand])</f>
        <v>Jockey</v>
      </c>
      <c r="E111" s="2" t="str">
        <f>_xlfn.XLOOKUP(B111,Master[Product_Code],Master[Style])</f>
        <v>Boxer</v>
      </c>
      <c r="F111" s="2" t="str">
        <f>_xlfn.XLOOKUP(B111,Master[Product_Code],Master[Fabric])</f>
        <v>Cotton Blend</v>
      </c>
      <c r="G111" s="2" t="str">
        <f>_xlfn.XLOOKUP(B111,Master[Product_Code],Master[Size])</f>
        <v>100-105</v>
      </c>
      <c r="H111" s="2" t="str">
        <f>_xlfn.XLOOKUP(B111,Master[Product_Code],Master[Color])</f>
        <v>Maroon</v>
      </c>
      <c r="I111" s="4">
        <f>_xlfn.XLOOKUP(B111,Master[Product_Code],Master[Stock_Qty])</f>
        <v>3</v>
      </c>
      <c r="J111" s="6">
        <f>SUMIFS(
  Sales_Entry[Qty],
  Sales_Entry[Product_Code], Stock_Table[[#This Row],[Product_Code]]
)</f>
        <v>3</v>
      </c>
      <c r="K111" s="4">
        <f>SUMIFS(
  Exchange_Return[Qty],
  Exchange_Return[Product_Code], Stock_Table[[#This Row],[Product_Code]]
)</f>
        <v>0</v>
      </c>
      <c r="L111" s="4">
        <f>I111-J111+K111</f>
        <v>0</v>
      </c>
      <c r="M111" s="2" t="str" cm="1">
        <f t="array" ref="M111">_xlfn.IFS(L111=0,"Out of Stock",L111&gt;=2,"Limited Stock",L111&lt;2,"In Stock")</f>
        <v>Out of Stock</v>
      </c>
    </row>
    <row r="112" spans="2:13">
      <c r="B112" s="2" t="s">
        <v>1578</v>
      </c>
      <c r="C112" s="5" t="str">
        <f>_xlfn.XLOOKUP(B112,Master[Product_Code],Master[Category])</f>
        <v>Innerwear</v>
      </c>
      <c r="D112" s="2" t="str">
        <f>_xlfn.XLOOKUP(B112,Master[Product_Code],Master[Brand])</f>
        <v>Lux</v>
      </c>
      <c r="E112" s="2" t="str">
        <f>_xlfn.XLOOKUP(B112,Master[Product_Code],Master[Style])</f>
        <v>V-Cut</v>
      </c>
      <c r="F112" s="2" t="str">
        <f>_xlfn.XLOOKUP(B112,Master[Product_Code],Master[Fabric])</f>
        <v>Cotton Blend</v>
      </c>
      <c r="G112" s="2" t="str">
        <f>_xlfn.XLOOKUP(B112,Master[Product_Code],Master[Size])</f>
        <v>105-110</v>
      </c>
      <c r="H112" s="2" t="str">
        <f>_xlfn.XLOOKUP(B112,Master[Product_Code],Master[Color])</f>
        <v>Black</v>
      </c>
      <c r="I112" s="4">
        <f>_xlfn.XLOOKUP(B112,Master[Product_Code],Master[Stock_Qty])</f>
        <v>6</v>
      </c>
      <c r="J112" s="6">
        <f>SUMIFS(
  Sales_Entry[Qty],
  Sales_Entry[Product_Code], Stock_Table[[#This Row],[Product_Code]]
)</f>
        <v>1</v>
      </c>
      <c r="K112" s="4">
        <f>SUMIFS(
  Exchange_Return[Qty],
  Exchange_Return[Product_Code], Stock_Table[[#This Row],[Product_Code]]
)</f>
        <v>0</v>
      </c>
      <c r="L112" s="4">
        <f>I112-J112+K112</f>
        <v>5</v>
      </c>
      <c r="M112" s="2" t="str" cm="1">
        <f t="array" ref="M112">_xlfn.IFS(L112=0,"Out of Stock",L112&gt;=2,"Limited Stock",L112&lt;2,"In Stock")</f>
        <v>Limited Stock</v>
      </c>
    </row>
    <row r="113" spans="2:13">
      <c r="B113" s="2" t="s">
        <v>1579</v>
      </c>
      <c r="C113" s="5" t="str">
        <f>_xlfn.XLOOKUP(B113,Master[Product_Code],Master[Category])</f>
        <v>Innerwear</v>
      </c>
      <c r="D113" s="2" t="str">
        <f>_xlfn.XLOOKUP(B113,Master[Product_Code],Master[Brand])</f>
        <v>V Star</v>
      </c>
      <c r="E113" s="2" t="str">
        <f>_xlfn.XLOOKUP(B113,Master[Product_Code],Master[Style])</f>
        <v>Boxer</v>
      </c>
      <c r="F113" s="2" t="str">
        <f>_xlfn.XLOOKUP(B113,Master[Product_Code],Master[Fabric])</f>
        <v>Cotton</v>
      </c>
      <c r="G113" s="2" t="str">
        <f>_xlfn.XLOOKUP(B113,Master[Product_Code],Master[Size])</f>
        <v>100-105</v>
      </c>
      <c r="H113" s="2" t="str">
        <f>_xlfn.XLOOKUP(B113,Master[Product_Code],Master[Color])</f>
        <v>Light Grey</v>
      </c>
      <c r="I113" s="4">
        <f>_xlfn.XLOOKUP(B113,Master[Product_Code],Master[Stock_Qty])</f>
        <v>3</v>
      </c>
      <c r="J113" s="6">
        <f>SUMIFS(
  Sales_Entry[Qty],
  Sales_Entry[Product_Code], Stock_Table[[#This Row],[Product_Code]]
)</f>
        <v>2</v>
      </c>
      <c r="K113" s="4">
        <f>SUMIFS(
  Exchange_Return[Qty],
  Exchange_Return[Product_Code], Stock_Table[[#This Row],[Product_Code]]
)</f>
        <v>0</v>
      </c>
      <c r="L113" s="4">
        <f>I113-J113+K113</f>
        <v>1</v>
      </c>
      <c r="M113" s="2" t="str" cm="1">
        <f t="array" ref="M113">_xlfn.IFS(L113=0,"Out of Stock",L113&gt;=2,"Limited Stock",L113&lt;2,"In Stock")</f>
        <v>In Stock</v>
      </c>
    </row>
    <row r="114" spans="2:13">
      <c r="B114" s="2" t="s">
        <v>1580</v>
      </c>
      <c r="C114" s="5" t="str">
        <f>_xlfn.XLOOKUP(B114,Master[Product_Code],Master[Category])</f>
        <v>Innerwear</v>
      </c>
      <c r="D114" s="2" t="str">
        <f>_xlfn.XLOOKUP(B114,Master[Product_Code],Master[Brand])</f>
        <v>Lux</v>
      </c>
      <c r="E114" s="2" t="str">
        <f>_xlfn.XLOOKUP(B114,Master[Product_Code],Master[Style])</f>
        <v>V-Cut</v>
      </c>
      <c r="F114" s="2" t="str">
        <f>_xlfn.XLOOKUP(B114,Master[Product_Code],Master[Fabric])</f>
        <v>Cotton</v>
      </c>
      <c r="G114" s="2" t="str">
        <f>_xlfn.XLOOKUP(B114,Master[Product_Code],Master[Size])</f>
        <v>75-80</v>
      </c>
      <c r="H114" s="2" t="str">
        <f>_xlfn.XLOOKUP(B114,Master[Product_Code],Master[Color])</f>
        <v>Dark Green</v>
      </c>
      <c r="I114" s="4">
        <f>_xlfn.XLOOKUP(B114,Master[Product_Code],Master[Stock_Qty])</f>
        <v>6</v>
      </c>
      <c r="J114" s="6">
        <f>SUMIFS(
  Sales_Entry[Qty],
  Sales_Entry[Product_Code], Stock_Table[[#This Row],[Product_Code]]
)</f>
        <v>0</v>
      </c>
      <c r="K114" s="4">
        <f>SUMIFS(
  Exchange_Return[Qty],
  Exchange_Return[Product_Code], Stock_Table[[#This Row],[Product_Code]]
)</f>
        <v>0</v>
      </c>
      <c r="L114" s="4">
        <f>I114-J114+K114</f>
        <v>6</v>
      </c>
      <c r="M114" s="2" t="str" cm="1">
        <f t="array" ref="M114">_xlfn.IFS(L114=0,"Out of Stock",L114&gt;=2,"Limited Stock",L114&lt;2,"In Stock")</f>
        <v>Limited Stock</v>
      </c>
    </row>
    <row r="115" spans="2:13">
      <c r="B115" s="2" t="s">
        <v>1581</v>
      </c>
      <c r="C115" s="5" t="str">
        <f>_xlfn.XLOOKUP(B115,Master[Product_Code],Master[Category])</f>
        <v>Innerwear</v>
      </c>
      <c r="D115" s="2" t="str">
        <f>_xlfn.XLOOKUP(B115,Master[Product_Code],Master[Brand])</f>
        <v>Lux</v>
      </c>
      <c r="E115" s="2" t="str">
        <f>_xlfn.XLOOKUP(B115,Master[Product_Code],Master[Style])</f>
        <v>V-Cut</v>
      </c>
      <c r="F115" s="2" t="str">
        <f>_xlfn.XLOOKUP(B115,Master[Product_Code],Master[Fabric])</f>
        <v>Cotton</v>
      </c>
      <c r="G115" s="2" t="str">
        <f>_xlfn.XLOOKUP(B115,Master[Product_Code],Master[Size])</f>
        <v>100-105</v>
      </c>
      <c r="H115" s="2" t="str">
        <f>_xlfn.XLOOKUP(B115,Master[Product_Code],Master[Color])</f>
        <v>Grey</v>
      </c>
      <c r="I115" s="4">
        <f>_xlfn.XLOOKUP(B115,Master[Product_Code],Master[Stock_Qty])</f>
        <v>4</v>
      </c>
      <c r="J115" s="6">
        <f>SUMIFS(
  Sales_Entry[Qty],
  Sales_Entry[Product_Code], Stock_Table[[#This Row],[Product_Code]]
)</f>
        <v>1</v>
      </c>
      <c r="K115" s="4">
        <f>SUMIFS(
  Exchange_Return[Qty],
  Exchange_Return[Product_Code], Stock_Table[[#This Row],[Product_Code]]
)</f>
        <v>0</v>
      </c>
      <c r="L115" s="4">
        <f>I115-J115+K115</f>
        <v>3</v>
      </c>
      <c r="M115" s="2" t="str" cm="1">
        <f t="array" ref="M115">_xlfn.IFS(L115=0,"Out of Stock",L115&gt;=2,"Limited Stock",L115&lt;2,"In Stock")</f>
        <v>Limited Stock</v>
      </c>
    </row>
    <row r="116" spans="2:13">
      <c r="B116" s="2" t="s">
        <v>1582</v>
      </c>
      <c r="C116" s="5" t="str">
        <f>_xlfn.XLOOKUP(B116,Master[Product_Code],Master[Category])</f>
        <v>Innerwear</v>
      </c>
      <c r="D116" s="2" t="str">
        <f>_xlfn.XLOOKUP(B116,Master[Product_Code],Master[Brand])</f>
        <v>V Star</v>
      </c>
      <c r="E116" s="2" t="str">
        <f>_xlfn.XLOOKUP(B116,Master[Product_Code],Master[Style])</f>
        <v>Boxer</v>
      </c>
      <c r="F116" s="2" t="str">
        <f>_xlfn.XLOOKUP(B116,Master[Product_Code],Master[Fabric])</f>
        <v>Cotton</v>
      </c>
      <c r="G116" s="2" t="str">
        <f>_xlfn.XLOOKUP(B116,Master[Product_Code],Master[Size])</f>
        <v>75-80</v>
      </c>
      <c r="H116" s="2" t="str">
        <f>_xlfn.XLOOKUP(B116,Master[Product_Code],Master[Color])</f>
        <v>Sky Blue</v>
      </c>
      <c r="I116" s="4">
        <f>_xlfn.XLOOKUP(B116,Master[Product_Code],Master[Stock_Qty])</f>
        <v>5</v>
      </c>
      <c r="J116" s="6">
        <f>SUMIFS(
  Sales_Entry[Qty],
  Sales_Entry[Product_Code], Stock_Table[[#This Row],[Product_Code]]
)</f>
        <v>0</v>
      </c>
      <c r="K116" s="4">
        <f>SUMIFS(
  Exchange_Return[Qty],
  Exchange_Return[Product_Code], Stock_Table[[#This Row],[Product_Code]]
)</f>
        <v>0</v>
      </c>
      <c r="L116" s="4">
        <f>I116-J116+K116</f>
        <v>5</v>
      </c>
      <c r="M116" s="2" t="str" cm="1">
        <f t="array" ref="M116">_xlfn.IFS(L116=0,"Out of Stock",L116&gt;=2,"Limited Stock",L116&lt;2,"In Stock")</f>
        <v>Limited Stock</v>
      </c>
    </row>
    <row r="117" spans="2:13">
      <c r="B117" s="2" t="s">
        <v>1583</v>
      </c>
      <c r="C117" s="5" t="str">
        <f>_xlfn.XLOOKUP(B117,Master[Product_Code],Master[Category])</f>
        <v>Innerwear</v>
      </c>
      <c r="D117" s="2" t="str">
        <f>_xlfn.XLOOKUP(B117,Master[Product_Code],Master[Brand])</f>
        <v>V Star</v>
      </c>
      <c r="E117" s="2" t="str">
        <f>_xlfn.XLOOKUP(B117,Master[Product_Code],Master[Style])</f>
        <v>V-Cut</v>
      </c>
      <c r="F117" s="2" t="str">
        <f>_xlfn.XLOOKUP(B117,Master[Product_Code],Master[Fabric])</f>
        <v>Cotton Blend</v>
      </c>
      <c r="G117" s="2" t="str">
        <f>_xlfn.XLOOKUP(B117,Master[Product_Code],Master[Size])</f>
        <v>105-110</v>
      </c>
      <c r="H117" s="2" t="str">
        <f>_xlfn.XLOOKUP(B117,Master[Product_Code],Master[Color])</f>
        <v>Black</v>
      </c>
      <c r="I117" s="4">
        <f>_xlfn.XLOOKUP(B117,Master[Product_Code],Master[Stock_Qty])</f>
        <v>4</v>
      </c>
      <c r="J117" s="6">
        <f>SUMIFS(
  Sales_Entry[Qty],
  Sales_Entry[Product_Code], Stock_Table[[#This Row],[Product_Code]]
)</f>
        <v>1</v>
      </c>
      <c r="K117" s="4">
        <f>SUMIFS(
  Exchange_Return[Qty],
  Exchange_Return[Product_Code], Stock_Table[[#This Row],[Product_Code]]
)</f>
        <v>0</v>
      </c>
      <c r="L117" s="4">
        <f>I117-J117+K117</f>
        <v>3</v>
      </c>
      <c r="M117" s="2" t="str" cm="1">
        <f t="array" ref="M117">_xlfn.IFS(L117=0,"Out of Stock",L117&gt;=2,"Limited Stock",L117&lt;2,"In Stock")</f>
        <v>Limited Stock</v>
      </c>
    </row>
    <row r="118" spans="2:13">
      <c r="B118" s="2" t="s">
        <v>1584</v>
      </c>
      <c r="C118" s="5" t="str">
        <f>_xlfn.XLOOKUP(B118,Master[Product_Code],Master[Category])</f>
        <v>Innerwear</v>
      </c>
      <c r="D118" s="2" t="str">
        <f>_xlfn.XLOOKUP(B118,Master[Product_Code],Master[Brand])</f>
        <v>Lux</v>
      </c>
      <c r="E118" s="2" t="str">
        <f>_xlfn.XLOOKUP(B118,Master[Product_Code],Master[Style])</f>
        <v>Boxer</v>
      </c>
      <c r="F118" s="2" t="str">
        <f>_xlfn.XLOOKUP(B118,Master[Product_Code],Master[Fabric])</f>
        <v>Cotton Blend</v>
      </c>
      <c r="G118" s="2" t="str">
        <f>_xlfn.XLOOKUP(B118,Master[Product_Code],Master[Size])</f>
        <v>80-85</v>
      </c>
      <c r="H118" s="2" t="str">
        <f>_xlfn.XLOOKUP(B118,Master[Product_Code],Master[Color])</f>
        <v>Light Grey</v>
      </c>
      <c r="I118" s="4">
        <f>_xlfn.XLOOKUP(B118,Master[Product_Code],Master[Stock_Qty])</f>
        <v>6</v>
      </c>
      <c r="J118" s="6">
        <f>SUMIFS(
  Sales_Entry[Qty],
  Sales_Entry[Product_Code], Stock_Table[[#This Row],[Product_Code]]
)</f>
        <v>6</v>
      </c>
      <c r="K118" s="4">
        <f>SUMIFS(
  Exchange_Return[Qty],
  Exchange_Return[Product_Code], Stock_Table[[#This Row],[Product_Code]]
)</f>
        <v>0</v>
      </c>
      <c r="L118" s="4">
        <f>I118-J118+K118</f>
        <v>0</v>
      </c>
      <c r="M118" s="2" t="str" cm="1">
        <f t="array" ref="M118">_xlfn.IFS(L118=0,"Out of Stock",L118&gt;=2,"Limited Stock",L118&lt;2,"In Stock")</f>
        <v>Out of Stock</v>
      </c>
    </row>
    <row r="119" spans="2:13">
      <c r="B119" s="2" t="s">
        <v>1585</v>
      </c>
      <c r="C119" s="5" t="str">
        <f>_xlfn.XLOOKUP(B119,Master[Product_Code],Master[Category])</f>
        <v>Innerwear</v>
      </c>
      <c r="D119" s="2" t="str">
        <f>_xlfn.XLOOKUP(B119,Master[Product_Code],Master[Brand])</f>
        <v>V Star</v>
      </c>
      <c r="E119" s="2" t="str">
        <f>_xlfn.XLOOKUP(B119,Master[Product_Code],Master[Style])</f>
        <v>Boxer</v>
      </c>
      <c r="F119" s="2" t="str">
        <f>_xlfn.XLOOKUP(B119,Master[Product_Code],Master[Fabric])</f>
        <v>Cotton</v>
      </c>
      <c r="G119" s="2" t="str">
        <f>_xlfn.XLOOKUP(B119,Master[Product_Code],Master[Size])</f>
        <v>105-110</v>
      </c>
      <c r="H119" s="2" t="str">
        <f>_xlfn.XLOOKUP(B119,Master[Product_Code],Master[Color])</f>
        <v>Sky Blue</v>
      </c>
      <c r="I119" s="4">
        <f>_xlfn.XLOOKUP(B119,Master[Product_Code],Master[Stock_Qty])</f>
        <v>3</v>
      </c>
      <c r="J119" s="6">
        <f>SUMIFS(
  Sales_Entry[Qty],
  Sales_Entry[Product_Code], Stock_Table[[#This Row],[Product_Code]]
)</f>
        <v>1</v>
      </c>
      <c r="K119" s="4">
        <f>SUMIFS(
  Exchange_Return[Qty],
  Exchange_Return[Product_Code], Stock_Table[[#This Row],[Product_Code]]
)</f>
        <v>0</v>
      </c>
      <c r="L119" s="4">
        <f>I119-J119+K119</f>
        <v>2</v>
      </c>
      <c r="M119" s="2" t="str" cm="1">
        <f t="array" ref="M119">_xlfn.IFS(L119=0,"Out of Stock",L119&gt;=2,"Limited Stock",L119&lt;2,"In Stock")</f>
        <v>Limited Stock</v>
      </c>
    </row>
    <row r="120" spans="2:13">
      <c r="B120" s="2" t="s">
        <v>1586</v>
      </c>
      <c r="C120" s="5" t="str">
        <f>_xlfn.XLOOKUP(B120,Master[Product_Code],Master[Category])</f>
        <v>Innerwear</v>
      </c>
      <c r="D120" s="2" t="str">
        <f>_xlfn.XLOOKUP(B120,Master[Product_Code],Master[Brand])</f>
        <v>Lux</v>
      </c>
      <c r="E120" s="2" t="str">
        <f>_xlfn.XLOOKUP(B120,Master[Product_Code],Master[Style])</f>
        <v>V-Cut</v>
      </c>
      <c r="F120" s="2" t="str">
        <f>_xlfn.XLOOKUP(B120,Master[Product_Code],Master[Fabric])</f>
        <v>Cotton</v>
      </c>
      <c r="G120" s="2" t="str">
        <f>_xlfn.XLOOKUP(B120,Master[Product_Code],Master[Size])</f>
        <v>85-90</v>
      </c>
      <c r="H120" s="2" t="str">
        <f>_xlfn.XLOOKUP(B120,Master[Product_Code],Master[Color])</f>
        <v>Grey</v>
      </c>
      <c r="I120" s="4">
        <f>_xlfn.XLOOKUP(B120,Master[Product_Code],Master[Stock_Qty])</f>
        <v>4</v>
      </c>
      <c r="J120" s="6">
        <f>SUMIFS(
  Sales_Entry[Qty],
  Sales_Entry[Product_Code], Stock_Table[[#This Row],[Product_Code]]
)</f>
        <v>1</v>
      </c>
      <c r="K120" s="4">
        <f>SUMIFS(
  Exchange_Return[Qty],
  Exchange_Return[Product_Code], Stock_Table[[#This Row],[Product_Code]]
)</f>
        <v>0</v>
      </c>
      <c r="L120" s="4">
        <f>I120-J120+K120</f>
        <v>3</v>
      </c>
      <c r="M120" s="2" t="str" cm="1">
        <f t="array" ref="M120">_xlfn.IFS(L120=0,"Out of Stock",L120&gt;=2,"Limited Stock",L120&lt;2,"In Stock")</f>
        <v>Limited Stock</v>
      </c>
    </row>
    <row r="121" spans="2:13">
      <c r="B121" s="2" t="s">
        <v>1587</v>
      </c>
      <c r="C121" s="5" t="str">
        <f>_xlfn.XLOOKUP(B121,Master[Product_Code],Master[Category])</f>
        <v>Innerwear</v>
      </c>
      <c r="D121" s="2" t="str">
        <f>_xlfn.XLOOKUP(B121,Master[Product_Code],Master[Brand])</f>
        <v>Rupa</v>
      </c>
      <c r="E121" s="2" t="str">
        <f>_xlfn.XLOOKUP(B121,Master[Product_Code],Master[Style])</f>
        <v>Boxer</v>
      </c>
      <c r="F121" s="2" t="str">
        <f>_xlfn.XLOOKUP(B121,Master[Product_Code],Master[Fabric])</f>
        <v>Cotton Blend</v>
      </c>
      <c r="G121" s="2" t="str">
        <f>_xlfn.XLOOKUP(B121,Master[Product_Code],Master[Size])</f>
        <v>80-85</v>
      </c>
      <c r="H121" s="2" t="str">
        <f>_xlfn.XLOOKUP(B121,Master[Product_Code],Master[Color])</f>
        <v>Royal Blue</v>
      </c>
      <c r="I121" s="4">
        <f>_xlfn.XLOOKUP(B121,Master[Product_Code],Master[Stock_Qty])</f>
        <v>6</v>
      </c>
      <c r="J121" s="6">
        <f>SUMIFS(
  Sales_Entry[Qty],
  Sales_Entry[Product_Code], Stock_Table[[#This Row],[Product_Code]]
)</f>
        <v>1</v>
      </c>
      <c r="K121" s="4">
        <f>SUMIFS(
  Exchange_Return[Qty],
  Exchange_Return[Product_Code], Stock_Table[[#This Row],[Product_Code]]
)</f>
        <v>0</v>
      </c>
      <c r="L121" s="4">
        <f>I121-J121+K121</f>
        <v>5</v>
      </c>
      <c r="M121" s="2" t="str" cm="1">
        <f t="array" ref="M121">_xlfn.IFS(L121=0,"Out of Stock",L121&gt;=2,"Limited Stock",L121&lt;2,"In Stock")</f>
        <v>Limited Stock</v>
      </c>
    </row>
    <row r="122" spans="2:13">
      <c r="B122" s="2" t="s">
        <v>1588</v>
      </c>
      <c r="C122" s="5" t="str">
        <f>_xlfn.XLOOKUP(B122,Master[Product_Code],Master[Category])</f>
        <v>Innerwear</v>
      </c>
      <c r="D122" s="2" t="str">
        <f>_xlfn.XLOOKUP(B122,Master[Product_Code],Master[Brand])</f>
        <v>V Star</v>
      </c>
      <c r="E122" s="2" t="str">
        <f>_xlfn.XLOOKUP(B122,Master[Product_Code],Master[Style])</f>
        <v>Boxer</v>
      </c>
      <c r="F122" s="2" t="str">
        <f>_xlfn.XLOOKUP(B122,Master[Product_Code],Master[Fabric])</f>
        <v>Cotton Blend</v>
      </c>
      <c r="G122" s="2" t="str">
        <f>_xlfn.XLOOKUP(B122,Master[Product_Code],Master[Size])</f>
        <v>90-100</v>
      </c>
      <c r="H122" s="2" t="str">
        <f>_xlfn.XLOOKUP(B122,Master[Product_Code],Master[Color])</f>
        <v>Olive</v>
      </c>
      <c r="I122" s="4">
        <f>_xlfn.XLOOKUP(B122,Master[Product_Code],Master[Stock_Qty])</f>
        <v>6</v>
      </c>
      <c r="J122" s="6">
        <f>SUMIFS(
  Sales_Entry[Qty],
  Sales_Entry[Product_Code], Stock_Table[[#This Row],[Product_Code]]
)</f>
        <v>2</v>
      </c>
      <c r="K122" s="4">
        <f>SUMIFS(
  Exchange_Return[Qty],
  Exchange_Return[Product_Code], Stock_Table[[#This Row],[Product_Code]]
)</f>
        <v>0</v>
      </c>
      <c r="L122" s="4">
        <f>I122-J122+K122</f>
        <v>4</v>
      </c>
      <c r="M122" s="2" t="str" cm="1">
        <f t="array" ref="M122">_xlfn.IFS(L122=0,"Out of Stock",L122&gt;=2,"Limited Stock",L122&lt;2,"In Stock")</f>
        <v>Limited Stock</v>
      </c>
    </row>
    <row r="123" spans="2:13">
      <c r="B123" s="2" t="s">
        <v>1589</v>
      </c>
      <c r="C123" s="5" t="str">
        <f>_xlfn.XLOOKUP(B123,Master[Product_Code],Master[Category])</f>
        <v>Innerwear</v>
      </c>
      <c r="D123" s="2" t="str">
        <f>_xlfn.XLOOKUP(B123,Master[Product_Code],Master[Brand])</f>
        <v>Lux</v>
      </c>
      <c r="E123" s="2" t="str">
        <f>_xlfn.XLOOKUP(B123,Master[Product_Code],Master[Style])</f>
        <v>Boxer</v>
      </c>
      <c r="F123" s="2" t="str">
        <f>_xlfn.XLOOKUP(B123,Master[Product_Code],Master[Fabric])</f>
        <v>Cotton Blend</v>
      </c>
      <c r="G123" s="2" t="str">
        <f>_xlfn.XLOOKUP(B123,Master[Product_Code],Master[Size])</f>
        <v>105-110</v>
      </c>
      <c r="H123" s="2" t="str">
        <f>_xlfn.XLOOKUP(B123,Master[Product_Code],Master[Color])</f>
        <v>Maroon</v>
      </c>
      <c r="I123" s="4">
        <f>_xlfn.XLOOKUP(B123,Master[Product_Code],Master[Stock_Qty])</f>
        <v>4</v>
      </c>
      <c r="J123" s="6">
        <f>SUMIFS(
  Sales_Entry[Qty],
  Sales_Entry[Product_Code], Stock_Table[[#This Row],[Product_Code]]
)</f>
        <v>2</v>
      </c>
      <c r="K123" s="4">
        <f>SUMIFS(
  Exchange_Return[Qty],
  Exchange_Return[Product_Code], Stock_Table[[#This Row],[Product_Code]]
)</f>
        <v>0</v>
      </c>
      <c r="L123" s="4">
        <f>I123-J123+K123</f>
        <v>2</v>
      </c>
      <c r="M123" s="2" t="str" cm="1">
        <f t="array" ref="M123">_xlfn.IFS(L123=0,"Out of Stock",L123&gt;=2,"Limited Stock",L123&lt;2,"In Stock")</f>
        <v>Limited Stock</v>
      </c>
    </row>
    <row r="124" spans="2:13">
      <c r="B124" s="2" t="s">
        <v>1590</v>
      </c>
      <c r="C124" s="5" t="str">
        <f>_xlfn.XLOOKUP(B124,Master[Product_Code],Master[Category])</f>
        <v>Innerwear</v>
      </c>
      <c r="D124" s="2" t="str">
        <f>_xlfn.XLOOKUP(B124,Master[Product_Code],Master[Brand])</f>
        <v>Dollar</v>
      </c>
      <c r="E124" s="2" t="str">
        <f>_xlfn.XLOOKUP(B124,Master[Product_Code],Master[Style])</f>
        <v>V-Cut</v>
      </c>
      <c r="F124" s="2" t="str">
        <f>_xlfn.XLOOKUP(B124,Master[Product_Code],Master[Fabric])</f>
        <v>Cotton Blend</v>
      </c>
      <c r="G124" s="2" t="str">
        <f>_xlfn.XLOOKUP(B124,Master[Product_Code],Master[Size])</f>
        <v>100-105</v>
      </c>
      <c r="H124" s="2" t="str">
        <f>_xlfn.XLOOKUP(B124,Master[Product_Code],Master[Color])</f>
        <v>Wine</v>
      </c>
      <c r="I124" s="4">
        <f>_xlfn.XLOOKUP(B124,Master[Product_Code],Master[Stock_Qty])</f>
        <v>4</v>
      </c>
      <c r="J124" s="6">
        <f>SUMIFS(
  Sales_Entry[Qty],
  Sales_Entry[Product_Code], Stock_Table[[#This Row],[Product_Code]]
)</f>
        <v>1</v>
      </c>
      <c r="K124" s="4">
        <f>SUMIFS(
  Exchange_Return[Qty],
  Exchange_Return[Product_Code], Stock_Table[[#This Row],[Product_Code]]
)</f>
        <v>0</v>
      </c>
      <c r="L124" s="4">
        <f>I124-J124+K124</f>
        <v>3</v>
      </c>
      <c r="M124" s="2" t="str" cm="1">
        <f t="array" ref="M124">_xlfn.IFS(L124=0,"Out of Stock",L124&gt;=2,"Limited Stock",L124&lt;2,"In Stock")</f>
        <v>Limited Stock</v>
      </c>
    </row>
    <row r="125" spans="2:13">
      <c r="B125" s="2" t="s">
        <v>1591</v>
      </c>
      <c r="C125" s="5" t="str">
        <f>_xlfn.XLOOKUP(B125,Master[Product_Code],Master[Category])</f>
        <v>Innerwear</v>
      </c>
      <c r="D125" s="2" t="str">
        <f>_xlfn.XLOOKUP(B125,Master[Product_Code],Master[Brand])</f>
        <v>Rupa</v>
      </c>
      <c r="E125" s="2" t="str">
        <f>_xlfn.XLOOKUP(B125,Master[Product_Code],Master[Style])</f>
        <v>Boxer</v>
      </c>
      <c r="F125" s="2" t="str">
        <f>_xlfn.XLOOKUP(B125,Master[Product_Code],Master[Fabric])</f>
        <v>Cotton Blend</v>
      </c>
      <c r="G125" s="2" t="str">
        <f>_xlfn.XLOOKUP(B125,Master[Product_Code],Master[Size])</f>
        <v>90-100</v>
      </c>
      <c r="H125" s="2" t="str">
        <f>_xlfn.XLOOKUP(B125,Master[Product_Code],Master[Color])</f>
        <v>Black</v>
      </c>
      <c r="I125" s="4">
        <f>_xlfn.XLOOKUP(B125,Master[Product_Code],Master[Stock_Qty])</f>
        <v>4</v>
      </c>
      <c r="J125" s="6">
        <f>SUMIFS(
  Sales_Entry[Qty],
  Sales_Entry[Product_Code], Stock_Table[[#This Row],[Product_Code]]
)</f>
        <v>3</v>
      </c>
      <c r="K125" s="4">
        <f>SUMIFS(
  Exchange_Return[Qty],
  Exchange_Return[Product_Code], Stock_Table[[#This Row],[Product_Code]]
)</f>
        <v>0</v>
      </c>
      <c r="L125" s="4">
        <f>I125-J125+K125</f>
        <v>1</v>
      </c>
      <c r="M125" s="2" t="str" cm="1">
        <f t="array" ref="M125">_xlfn.IFS(L125=0,"Out of Stock",L125&gt;=2,"Limited Stock",L125&lt;2,"In Stock")</f>
        <v>In Stock</v>
      </c>
    </row>
    <row r="126" spans="2:13">
      <c r="B126" s="2" t="s">
        <v>1592</v>
      </c>
      <c r="C126" s="5" t="str">
        <f>_xlfn.XLOOKUP(B126,Master[Product_Code],Master[Category])</f>
        <v>Innerwear</v>
      </c>
      <c r="D126" s="2" t="str">
        <f>_xlfn.XLOOKUP(B126,Master[Product_Code],Master[Brand])</f>
        <v>Dollar</v>
      </c>
      <c r="E126" s="2" t="str">
        <f>_xlfn.XLOOKUP(B126,Master[Product_Code],Master[Style])</f>
        <v>V-Cut</v>
      </c>
      <c r="F126" s="2" t="str">
        <f>_xlfn.XLOOKUP(B126,Master[Product_Code],Master[Fabric])</f>
        <v>Cotton</v>
      </c>
      <c r="G126" s="2" t="str">
        <f>_xlfn.XLOOKUP(B126,Master[Product_Code],Master[Size])</f>
        <v>105-110</v>
      </c>
      <c r="H126" s="2" t="str">
        <f>_xlfn.XLOOKUP(B126,Master[Product_Code],Master[Color])</f>
        <v>Dark Green</v>
      </c>
      <c r="I126" s="4">
        <f>_xlfn.XLOOKUP(B126,Master[Product_Code],Master[Stock_Qty])</f>
        <v>6</v>
      </c>
      <c r="J126" s="6">
        <f>SUMIFS(
  Sales_Entry[Qty],
  Sales_Entry[Product_Code], Stock_Table[[#This Row],[Product_Code]]
)</f>
        <v>1</v>
      </c>
      <c r="K126" s="4">
        <f>SUMIFS(
  Exchange_Return[Qty],
  Exchange_Return[Product_Code], Stock_Table[[#This Row],[Product_Code]]
)</f>
        <v>0</v>
      </c>
      <c r="L126" s="4">
        <f>I126-J126+K126</f>
        <v>5</v>
      </c>
      <c r="M126" s="2" t="str" cm="1">
        <f t="array" ref="M126">_xlfn.IFS(L126=0,"Out of Stock",L126&gt;=2,"Limited Stock",L126&lt;2,"In Stock")</f>
        <v>Limited Stock</v>
      </c>
    </row>
    <row r="127" spans="2:13">
      <c r="B127" s="2" t="s">
        <v>1593</v>
      </c>
      <c r="C127" s="5" t="str">
        <f>_xlfn.XLOOKUP(B127,Master[Product_Code],Master[Category])</f>
        <v>Innerwear</v>
      </c>
      <c r="D127" s="2" t="str">
        <f>_xlfn.XLOOKUP(B127,Master[Product_Code],Master[Brand])</f>
        <v>Dollar</v>
      </c>
      <c r="E127" s="2" t="str">
        <f>_xlfn.XLOOKUP(B127,Master[Product_Code],Master[Style])</f>
        <v>V-Cut</v>
      </c>
      <c r="F127" s="2" t="str">
        <f>_xlfn.XLOOKUP(B127,Master[Product_Code],Master[Fabric])</f>
        <v>Cotton Blend</v>
      </c>
      <c r="G127" s="2" t="str">
        <f>_xlfn.XLOOKUP(B127,Master[Product_Code],Master[Size])</f>
        <v>85-90</v>
      </c>
      <c r="H127" s="2" t="str">
        <f>_xlfn.XLOOKUP(B127,Master[Product_Code],Master[Color])</f>
        <v>Beige</v>
      </c>
      <c r="I127" s="4">
        <f>_xlfn.XLOOKUP(B127,Master[Product_Code],Master[Stock_Qty])</f>
        <v>4</v>
      </c>
      <c r="J127" s="6">
        <f>SUMIFS(
  Sales_Entry[Qty],
  Sales_Entry[Product_Code], Stock_Table[[#This Row],[Product_Code]]
)</f>
        <v>1</v>
      </c>
      <c r="K127" s="4">
        <f>SUMIFS(
  Exchange_Return[Qty],
  Exchange_Return[Product_Code], Stock_Table[[#This Row],[Product_Code]]
)</f>
        <v>0</v>
      </c>
      <c r="L127" s="4">
        <f>I127-J127+K127</f>
        <v>3</v>
      </c>
      <c r="M127" s="2" t="str" cm="1">
        <f t="array" ref="M127">_xlfn.IFS(L127=0,"Out of Stock",L127&gt;=2,"Limited Stock",L127&lt;2,"In Stock")</f>
        <v>Limited Stock</v>
      </c>
    </row>
    <row r="128" spans="2:13">
      <c r="B128" s="2" t="s">
        <v>1594</v>
      </c>
      <c r="C128" s="5" t="str">
        <f>_xlfn.XLOOKUP(B128,Master[Product_Code],Master[Category])</f>
        <v>Innerwear</v>
      </c>
      <c r="D128" s="2" t="str">
        <f>_xlfn.XLOOKUP(B128,Master[Product_Code],Master[Brand])</f>
        <v>Dollar</v>
      </c>
      <c r="E128" s="2" t="str">
        <f>_xlfn.XLOOKUP(B128,Master[Product_Code],Master[Style])</f>
        <v>V-Cut</v>
      </c>
      <c r="F128" s="2" t="str">
        <f>_xlfn.XLOOKUP(B128,Master[Product_Code],Master[Fabric])</f>
        <v>Cotton</v>
      </c>
      <c r="G128" s="2" t="str">
        <f>_xlfn.XLOOKUP(B128,Master[Product_Code],Master[Size])</f>
        <v>90-100</v>
      </c>
      <c r="H128" s="2" t="str">
        <f>_xlfn.XLOOKUP(B128,Master[Product_Code],Master[Color])</f>
        <v>Charcoal</v>
      </c>
      <c r="I128" s="4">
        <f>_xlfn.XLOOKUP(B128,Master[Product_Code],Master[Stock_Qty])</f>
        <v>6</v>
      </c>
      <c r="J128" s="6">
        <f>SUMIFS(
  Sales_Entry[Qty],
  Sales_Entry[Product_Code], Stock_Table[[#This Row],[Product_Code]]
)</f>
        <v>2</v>
      </c>
      <c r="K128" s="4">
        <f>SUMIFS(
  Exchange_Return[Qty],
  Exchange_Return[Product_Code], Stock_Table[[#This Row],[Product_Code]]
)</f>
        <v>0</v>
      </c>
      <c r="L128" s="4">
        <f>I128-J128+K128</f>
        <v>4</v>
      </c>
      <c r="M128" s="2" t="str" cm="1">
        <f t="array" ref="M128">_xlfn.IFS(L128=0,"Out of Stock",L128&gt;=2,"Limited Stock",L128&lt;2,"In Stock")</f>
        <v>Limited Stock</v>
      </c>
    </row>
    <row r="129" spans="2:13">
      <c r="B129" s="2" t="s">
        <v>1595</v>
      </c>
      <c r="C129" s="5" t="str">
        <f>_xlfn.XLOOKUP(B129,Master[Product_Code],Master[Category])</f>
        <v>Innerwear</v>
      </c>
      <c r="D129" s="2" t="str">
        <f>_xlfn.XLOOKUP(B129,Master[Product_Code],Master[Brand])</f>
        <v>Lux</v>
      </c>
      <c r="E129" s="2" t="str">
        <f>_xlfn.XLOOKUP(B129,Master[Product_Code],Master[Style])</f>
        <v>V-Cut</v>
      </c>
      <c r="F129" s="2" t="str">
        <f>_xlfn.XLOOKUP(B129,Master[Product_Code],Master[Fabric])</f>
        <v>Cotton Blend</v>
      </c>
      <c r="G129" s="2" t="str">
        <f>_xlfn.XLOOKUP(B129,Master[Product_Code],Master[Size])</f>
        <v>100-105</v>
      </c>
      <c r="H129" s="2" t="str">
        <f>_xlfn.XLOOKUP(B129,Master[Product_Code],Master[Color])</f>
        <v>Peach</v>
      </c>
      <c r="I129" s="4">
        <f>_xlfn.XLOOKUP(B129,Master[Product_Code],Master[Stock_Qty])</f>
        <v>3</v>
      </c>
      <c r="J129" s="6">
        <f>SUMIFS(
  Sales_Entry[Qty],
  Sales_Entry[Product_Code], Stock_Table[[#This Row],[Product_Code]]
)</f>
        <v>2</v>
      </c>
      <c r="K129" s="4">
        <f>SUMIFS(
  Exchange_Return[Qty],
  Exchange_Return[Product_Code], Stock_Table[[#This Row],[Product_Code]]
)</f>
        <v>0</v>
      </c>
      <c r="L129" s="4">
        <f>I129-J129+K129</f>
        <v>1</v>
      </c>
      <c r="M129" s="2" t="str" cm="1">
        <f t="array" ref="M129">_xlfn.IFS(L129=0,"Out of Stock",L129&gt;=2,"Limited Stock",L129&lt;2,"In Stock")</f>
        <v>In Stock</v>
      </c>
    </row>
    <row r="130" spans="2:13">
      <c r="B130" s="2" t="s">
        <v>1596</v>
      </c>
      <c r="C130" s="5" t="str">
        <f>_xlfn.XLOOKUP(B130,Master[Product_Code],Master[Category])</f>
        <v>Innerwear</v>
      </c>
      <c r="D130" s="2" t="str">
        <f>_xlfn.XLOOKUP(B130,Master[Product_Code],Master[Brand])</f>
        <v>Dollar</v>
      </c>
      <c r="E130" s="2" t="str">
        <f>_xlfn.XLOOKUP(B130,Master[Product_Code],Master[Style])</f>
        <v>Boxer</v>
      </c>
      <c r="F130" s="2" t="str">
        <f>_xlfn.XLOOKUP(B130,Master[Product_Code],Master[Fabric])</f>
        <v>Cotton Blend</v>
      </c>
      <c r="G130" s="2" t="str">
        <f>_xlfn.XLOOKUP(B130,Master[Product_Code],Master[Size])</f>
        <v>100-105</v>
      </c>
      <c r="H130" s="2" t="str">
        <f>_xlfn.XLOOKUP(B130,Master[Product_Code],Master[Color])</f>
        <v>Sky Blue</v>
      </c>
      <c r="I130" s="4">
        <f>_xlfn.XLOOKUP(B130,Master[Product_Code],Master[Stock_Qty])</f>
        <v>3</v>
      </c>
      <c r="J130" s="6">
        <f>SUMIFS(
  Sales_Entry[Qty],
  Sales_Entry[Product_Code], Stock_Table[[#This Row],[Product_Code]]
)</f>
        <v>2</v>
      </c>
      <c r="K130" s="4">
        <f>SUMIFS(
  Exchange_Return[Qty],
  Exchange_Return[Product_Code], Stock_Table[[#This Row],[Product_Code]]
)</f>
        <v>0</v>
      </c>
      <c r="L130" s="4">
        <f>I130-J130+K130</f>
        <v>1</v>
      </c>
      <c r="M130" s="2" t="str" cm="1">
        <f t="array" ref="M130">_xlfn.IFS(L130=0,"Out of Stock",L130&gt;=2,"Limited Stock",L130&lt;2,"In Stock")</f>
        <v>In Stock</v>
      </c>
    </row>
    <row r="131" spans="2:13">
      <c r="B131" s="2" t="s">
        <v>1597</v>
      </c>
      <c r="C131" s="5" t="str">
        <f>_xlfn.XLOOKUP(B131,Master[Product_Code],Master[Category])</f>
        <v>Innerwear</v>
      </c>
      <c r="D131" s="2" t="str">
        <f>_xlfn.XLOOKUP(B131,Master[Product_Code],Master[Brand])</f>
        <v>Dollar</v>
      </c>
      <c r="E131" s="2" t="str">
        <f>_xlfn.XLOOKUP(B131,Master[Product_Code],Master[Style])</f>
        <v>Boxer</v>
      </c>
      <c r="F131" s="2" t="str">
        <f>_xlfn.XLOOKUP(B131,Master[Product_Code],Master[Fabric])</f>
        <v>Cotton</v>
      </c>
      <c r="G131" s="2" t="str">
        <f>_xlfn.XLOOKUP(B131,Master[Product_Code],Master[Size])</f>
        <v>85-90</v>
      </c>
      <c r="H131" s="2" t="str">
        <f>_xlfn.XLOOKUP(B131,Master[Product_Code],Master[Color])</f>
        <v>Dark Green</v>
      </c>
      <c r="I131" s="4">
        <f>_xlfn.XLOOKUP(B131,Master[Product_Code],Master[Stock_Qty])</f>
        <v>6</v>
      </c>
      <c r="J131" s="6">
        <f>SUMIFS(
  Sales_Entry[Qty],
  Sales_Entry[Product_Code], Stock_Table[[#This Row],[Product_Code]]
)</f>
        <v>3</v>
      </c>
      <c r="K131" s="4">
        <f>SUMIFS(
  Exchange_Return[Qty],
  Exchange_Return[Product_Code], Stock_Table[[#This Row],[Product_Code]]
)</f>
        <v>0</v>
      </c>
      <c r="L131" s="4">
        <f>I131-J131+K131</f>
        <v>3</v>
      </c>
      <c r="M131" s="2" t="str" cm="1">
        <f t="array" ref="M131">_xlfn.IFS(L131=0,"Out of Stock",L131&gt;=2,"Limited Stock",L131&lt;2,"In Stock")</f>
        <v>Limited Stock</v>
      </c>
    </row>
    <row r="132" spans="2:13">
      <c r="B132" s="2" t="s">
        <v>1598</v>
      </c>
      <c r="C132" s="5" t="str">
        <f>_xlfn.XLOOKUP(B132,Master[Product_Code],Master[Category])</f>
        <v>Innerwear</v>
      </c>
      <c r="D132" s="2" t="str">
        <f>_xlfn.XLOOKUP(B132,Master[Product_Code],Master[Brand])</f>
        <v>V Star</v>
      </c>
      <c r="E132" s="2" t="str">
        <f>_xlfn.XLOOKUP(B132,Master[Product_Code],Master[Style])</f>
        <v>V-Cut</v>
      </c>
      <c r="F132" s="2" t="str">
        <f>_xlfn.XLOOKUP(B132,Master[Product_Code],Master[Fabric])</f>
        <v>Cotton Blend</v>
      </c>
      <c r="G132" s="2" t="str">
        <f>_xlfn.XLOOKUP(B132,Master[Product_Code],Master[Size])</f>
        <v>75-80</v>
      </c>
      <c r="H132" s="2" t="str">
        <f>_xlfn.XLOOKUP(B132,Master[Product_Code],Master[Color])</f>
        <v>Wine</v>
      </c>
      <c r="I132" s="4">
        <f>_xlfn.XLOOKUP(B132,Master[Product_Code],Master[Stock_Qty])</f>
        <v>4</v>
      </c>
      <c r="J132" s="6">
        <f>SUMIFS(
  Sales_Entry[Qty],
  Sales_Entry[Product_Code], Stock_Table[[#This Row],[Product_Code]]
)</f>
        <v>3</v>
      </c>
      <c r="K132" s="4">
        <f>SUMIFS(
  Exchange_Return[Qty],
  Exchange_Return[Product_Code], Stock_Table[[#This Row],[Product_Code]]
)</f>
        <v>0</v>
      </c>
      <c r="L132" s="4">
        <f>I132-J132+K132</f>
        <v>1</v>
      </c>
      <c r="M132" s="2" t="str" cm="1">
        <f t="array" ref="M132">_xlfn.IFS(L132=0,"Out of Stock",L132&gt;=2,"Limited Stock",L132&lt;2,"In Stock")</f>
        <v>In Stock</v>
      </c>
    </row>
    <row r="133" spans="2:13">
      <c r="B133" s="2" t="s">
        <v>1599</v>
      </c>
      <c r="C133" s="5" t="str">
        <f>_xlfn.XLOOKUP(B133,Master[Product_Code],Master[Category])</f>
        <v>Innerwear</v>
      </c>
      <c r="D133" s="2" t="str">
        <f>_xlfn.XLOOKUP(B133,Master[Product_Code],Master[Brand])</f>
        <v>Rupa</v>
      </c>
      <c r="E133" s="2" t="str">
        <f>_xlfn.XLOOKUP(B133,Master[Product_Code],Master[Style])</f>
        <v>Boxer</v>
      </c>
      <c r="F133" s="2" t="str">
        <f>_xlfn.XLOOKUP(B133,Master[Product_Code],Master[Fabric])</f>
        <v>Cotton Blend</v>
      </c>
      <c r="G133" s="2" t="str">
        <f>_xlfn.XLOOKUP(B133,Master[Product_Code],Master[Size])</f>
        <v>75-80</v>
      </c>
      <c r="H133" s="2" t="str">
        <f>_xlfn.XLOOKUP(B133,Master[Product_Code],Master[Color])</f>
        <v>Teal</v>
      </c>
      <c r="I133" s="4">
        <f>_xlfn.XLOOKUP(B133,Master[Product_Code],Master[Stock_Qty])</f>
        <v>4</v>
      </c>
      <c r="J133" s="6">
        <f>SUMIFS(
  Sales_Entry[Qty],
  Sales_Entry[Product_Code], Stock_Table[[#This Row],[Product_Code]]
)</f>
        <v>2</v>
      </c>
      <c r="K133" s="4">
        <f>SUMIFS(
  Exchange_Return[Qty],
  Exchange_Return[Product_Code], Stock_Table[[#This Row],[Product_Code]]
)</f>
        <v>0</v>
      </c>
      <c r="L133" s="4">
        <f>I133-J133+K133</f>
        <v>2</v>
      </c>
      <c r="M133" s="2" t="str" cm="1">
        <f t="array" ref="M133">_xlfn.IFS(L133=0,"Out of Stock",L133&gt;=2,"Limited Stock",L133&lt;2,"In Stock")</f>
        <v>Limited Stock</v>
      </c>
    </row>
    <row r="134" spans="2:13">
      <c r="B134" s="2" t="s">
        <v>1600</v>
      </c>
      <c r="C134" s="5" t="str">
        <f>_xlfn.XLOOKUP(B134,Master[Product_Code],Master[Category])</f>
        <v>Innerwear</v>
      </c>
      <c r="D134" s="2" t="str">
        <f>_xlfn.XLOOKUP(B134,Master[Product_Code],Master[Brand])</f>
        <v>Jockey</v>
      </c>
      <c r="E134" s="2" t="str">
        <f>_xlfn.XLOOKUP(B134,Master[Product_Code],Master[Style])</f>
        <v>V-Cut</v>
      </c>
      <c r="F134" s="2" t="str">
        <f>_xlfn.XLOOKUP(B134,Master[Product_Code],Master[Fabric])</f>
        <v>Cotton Blend</v>
      </c>
      <c r="G134" s="2" t="str">
        <f>_xlfn.XLOOKUP(B134,Master[Product_Code],Master[Size])</f>
        <v>85-90</v>
      </c>
      <c r="H134" s="2" t="str">
        <f>_xlfn.XLOOKUP(B134,Master[Product_Code],Master[Color])</f>
        <v>Cream</v>
      </c>
      <c r="I134" s="4">
        <f>_xlfn.XLOOKUP(B134,Master[Product_Code],Master[Stock_Qty])</f>
        <v>5</v>
      </c>
      <c r="J134" s="6">
        <f>SUMIFS(
  Sales_Entry[Qty],
  Sales_Entry[Product_Code], Stock_Table[[#This Row],[Product_Code]]
)</f>
        <v>2</v>
      </c>
      <c r="K134" s="4">
        <f>SUMIFS(
  Exchange_Return[Qty],
  Exchange_Return[Product_Code], Stock_Table[[#This Row],[Product_Code]]
)</f>
        <v>0</v>
      </c>
      <c r="L134" s="4">
        <f>I134-J134+K134</f>
        <v>3</v>
      </c>
      <c r="M134" s="2" t="str" cm="1">
        <f t="array" ref="M134">_xlfn.IFS(L134=0,"Out of Stock",L134&gt;=2,"Limited Stock",L134&lt;2,"In Stock")</f>
        <v>Limited Stock</v>
      </c>
    </row>
    <row r="135" spans="2:13">
      <c r="B135" s="2" t="s">
        <v>1601</v>
      </c>
      <c r="C135" s="5" t="str">
        <f>_xlfn.XLOOKUP(B135,Master[Product_Code],Master[Category])</f>
        <v>Innerwear</v>
      </c>
      <c r="D135" s="2" t="str">
        <f>_xlfn.XLOOKUP(B135,Master[Product_Code],Master[Brand])</f>
        <v>Jockey</v>
      </c>
      <c r="E135" s="2" t="str">
        <f>_xlfn.XLOOKUP(B135,Master[Product_Code],Master[Style])</f>
        <v>V-Cut</v>
      </c>
      <c r="F135" s="2" t="str">
        <f>_xlfn.XLOOKUP(B135,Master[Product_Code],Master[Fabric])</f>
        <v>Cotton Blend</v>
      </c>
      <c r="G135" s="2" t="str">
        <f>_xlfn.XLOOKUP(B135,Master[Product_Code],Master[Size])</f>
        <v>105-110</v>
      </c>
      <c r="H135" s="2" t="str">
        <f>_xlfn.XLOOKUP(B135,Master[Product_Code],Master[Color])</f>
        <v>Navy Blue</v>
      </c>
      <c r="I135" s="4">
        <f>_xlfn.XLOOKUP(B135,Master[Product_Code],Master[Stock_Qty])</f>
        <v>5</v>
      </c>
      <c r="J135" s="6">
        <f>SUMIFS(
  Sales_Entry[Qty],
  Sales_Entry[Product_Code], Stock_Table[[#This Row],[Product_Code]]
)</f>
        <v>3</v>
      </c>
      <c r="K135" s="4">
        <f>SUMIFS(
  Exchange_Return[Qty],
  Exchange_Return[Product_Code], Stock_Table[[#This Row],[Product_Code]]
)</f>
        <v>0</v>
      </c>
      <c r="L135" s="4">
        <f>I135-J135+K135</f>
        <v>2</v>
      </c>
      <c r="M135" s="2" t="str" cm="1">
        <f t="array" ref="M135">_xlfn.IFS(L135=0,"Out of Stock",L135&gt;=2,"Limited Stock",L135&lt;2,"In Stock")</f>
        <v>Limited Stock</v>
      </c>
    </row>
    <row r="136" spans="2:13">
      <c r="B136" s="2" t="s">
        <v>1602</v>
      </c>
      <c r="C136" s="5" t="str">
        <f>_xlfn.XLOOKUP(B136,Master[Product_Code],Master[Category])</f>
        <v>Innerwear</v>
      </c>
      <c r="D136" s="2" t="str">
        <f>_xlfn.XLOOKUP(B136,Master[Product_Code],Master[Brand])</f>
        <v>Dollar</v>
      </c>
      <c r="E136" s="2" t="str">
        <f>_xlfn.XLOOKUP(B136,Master[Product_Code],Master[Style])</f>
        <v>V-Cut</v>
      </c>
      <c r="F136" s="2" t="str">
        <f>_xlfn.XLOOKUP(B136,Master[Product_Code],Master[Fabric])</f>
        <v>Cotton</v>
      </c>
      <c r="G136" s="2" t="str">
        <f>_xlfn.XLOOKUP(B136,Master[Product_Code],Master[Size])</f>
        <v>75-80</v>
      </c>
      <c r="H136" s="2" t="str">
        <f>_xlfn.XLOOKUP(B136,Master[Product_Code],Master[Color])</f>
        <v>Charcoal</v>
      </c>
      <c r="I136" s="4">
        <f>_xlfn.XLOOKUP(B136,Master[Product_Code],Master[Stock_Qty])</f>
        <v>3</v>
      </c>
      <c r="J136" s="6">
        <f>SUMIFS(
  Sales_Entry[Qty],
  Sales_Entry[Product_Code], Stock_Table[[#This Row],[Product_Code]]
)</f>
        <v>0</v>
      </c>
      <c r="K136" s="4">
        <f>SUMIFS(
  Exchange_Return[Qty],
  Exchange_Return[Product_Code], Stock_Table[[#This Row],[Product_Code]]
)</f>
        <v>0</v>
      </c>
      <c r="L136" s="4">
        <f>I136-J136+K136</f>
        <v>3</v>
      </c>
      <c r="M136" s="2" t="str" cm="1">
        <f t="array" ref="M136">_xlfn.IFS(L136=0,"Out of Stock",L136&gt;=2,"Limited Stock",L136&lt;2,"In Stock")</f>
        <v>Limited Stock</v>
      </c>
    </row>
    <row r="137" spans="2:13">
      <c r="B137" s="2" t="s">
        <v>1603</v>
      </c>
      <c r="C137" s="5" t="str">
        <f>_xlfn.XLOOKUP(B137,Master[Product_Code],Master[Category])</f>
        <v>Innerwear</v>
      </c>
      <c r="D137" s="2" t="str">
        <f>_xlfn.XLOOKUP(B137,Master[Product_Code],Master[Brand])</f>
        <v>V Star</v>
      </c>
      <c r="E137" s="2" t="str">
        <f>_xlfn.XLOOKUP(B137,Master[Product_Code],Master[Style])</f>
        <v>V-Cut</v>
      </c>
      <c r="F137" s="2" t="str">
        <f>_xlfn.XLOOKUP(B137,Master[Product_Code],Master[Fabric])</f>
        <v>Cotton</v>
      </c>
      <c r="G137" s="2" t="str">
        <f>_xlfn.XLOOKUP(B137,Master[Product_Code],Master[Size])</f>
        <v>105-110</v>
      </c>
      <c r="H137" s="2" t="str">
        <f>_xlfn.XLOOKUP(B137,Master[Product_Code],Master[Color])</f>
        <v>Brown</v>
      </c>
      <c r="I137" s="4">
        <f>_xlfn.XLOOKUP(B137,Master[Product_Code],Master[Stock_Qty])</f>
        <v>6</v>
      </c>
      <c r="J137" s="6">
        <f>SUMIFS(
  Sales_Entry[Qty],
  Sales_Entry[Product_Code], Stock_Table[[#This Row],[Product_Code]]
)</f>
        <v>2</v>
      </c>
      <c r="K137" s="4">
        <f>SUMIFS(
  Exchange_Return[Qty],
  Exchange_Return[Product_Code], Stock_Table[[#This Row],[Product_Code]]
)</f>
        <v>1</v>
      </c>
      <c r="L137" s="4">
        <f>I137-J137+K137</f>
        <v>5</v>
      </c>
      <c r="M137" s="2" t="str" cm="1">
        <f t="array" ref="M137">_xlfn.IFS(L137=0,"Out of Stock",L137&gt;=2,"Limited Stock",L137&lt;2,"In Stock")</f>
        <v>Limited Stock</v>
      </c>
    </row>
    <row r="138" spans="2:13">
      <c r="B138" s="2" t="s">
        <v>1604</v>
      </c>
      <c r="C138" s="5" t="str">
        <f>_xlfn.XLOOKUP(B138,Master[Product_Code],Master[Category])</f>
        <v>Innerwear</v>
      </c>
      <c r="D138" s="2" t="str">
        <f>_xlfn.XLOOKUP(B138,Master[Product_Code],Master[Brand])</f>
        <v>Jockey</v>
      </c>
      <c r="E138" s="2" t="str">
        <f>_xlfn.XLOOKUP(B138,Master[Product_Code],Master[Style])</f>
        <v>V-Cut</v>
      </c>
      <c r="F138" s="2" t="str">
        <f>_xlfn.XLOOKUP(B138,Master[Product_Code],Master[Fabric])</f>
        <v>Cotton Blend</v>
      </c>
      <c r="G138" s="2" t="str">
        <f>_xlfn.XLOOKUP(B138,Master[Product_Code],Master[Size])</f>
        <v>90-100</v>
      </c>
      <c r="H138" s="2" t="str">
        <f>_xlfn.XLOOKUP(B138,Master[Product_Code],Master[Color])</f>
        <v>Wine</v>
      </c>
      <c r="I138" s="4">
        <f>_xlfn.XLOOKUP(B138,Master[Product_Code],Master[Stock_Qty])</f>
        <v>3</v>
      </c>
      <c r="J138" s="6">
        <f>SUMIFS(
  Sales_Entry[Qty],
  Sales_Entry[Product_Code], Stock_Table[[#This Row],[Product_Code]]
)</f>
        <v>2</v>
      </c>
      <c r="K138" s="4">
        <f>SUMIFS(
  Exchange_Return[Qty],
  Exchange_Return[Product_Code], Stock_Table[[#This Row],[Product_Code]]
)</f>
        <v>0</v>
      </c>
      <c r="L138" s="4">
        <f>I138-J138+K138</f>
        <v>1</v>
      </c>
      <c r="M138" s="2" t="str" cm="1">
        <f t="array" ref="M138">_xlfn.IFS(L138=0,"Out of Stock",L138&gt;=2,"Limited Stock",L138&lt;2,"In Stock")</f>
        <v>In Stock</v>
      </c>
    </row>
    <row r="139" spans="2:13">
      <c r="B139" s="2" t="s">
        <v>1605</v>
      </c>
      <c r="C139" s="5" t="str">
        <f>_xlfn.XLOOKUP(B139,Master[Product_Code],Master[Category])</f>
        <v>Innerwear</v>
      </c>
      <c r="D139" s="2" t="str">
        <f>_xlfn.XLOOKUP(B139,Master[Product_Code],Master[Brand])</f>
        <v>Lux</v>
      </c>
      <c r="E139" s="2" t="str">
        <f>_xlfn.XLOOKUP(B139,Master[Product_Code],Master[Style])</f>
        <v>V-Cut</v>
      </c>
      <c r="F139" s="2" t="str">
        <f>_xlfn.XLOOKUP(B139,Master[Product_Code],Master[Fabric])</f>
        <v>Cotton</v>
      </c>
      <c r="G139" s="2" t="str">
        <f>_xlfn.XLOOKUP(B139,Master[Product_Code],Master[Size])</f>
        <v>105-110</v>
      </c>
      <c r="H139" s="2" t="str">
        <f>_xlfn.XLOOKUP(B139,Master[Product_Code],Master[Color])</f>
        <v>Bottle Green</v>
      </c>
      <c r="I139" s="4">
        <f>_xlfn.XLOOKUP(B139,Master[Product_Code],Master[Stock_Qty])</f>
        <v>5</v>
      </c>
      <c r="J139" s="6">
        <f>SUMIFS(
  Sales_Entry[Qty],
  Sales_Entry[Product_Code], Stock_Table[[#This Row],[Product_Code]]
)</f>
        <v>1</v>
      </c>
      <c r="K139" s="4">
        <f>SUMIFS(
  Exchange_Return[Qty],
  Exchange_Return[Product_Code], Stock_Table[[#This Row],[Product_Code]]
)</f>
        <v>0</v>
      </c>
      <c r="L139" s="4">
        <f>I139-J139+K139</f>
        <v>4</v>
      </c>
      <c r="M139" s="2" t="str" cm="1">
        <f t="array" ref="M139">_xlfn.IFS(L139=0,"Out of Stock",L139&gt;=2,"Limited Stock",L139&lt;2,"In Stock")</f>
        <v>Limited Stock</v>
      </c>
    </row>
    <row r="140" spans="2:13">
      <c r="B140" s="2" t="s">
        <v>1606</v>
      </c>
      <c r="C140" s="5" t="str">
        <f>_xlfn.XLOOKUP(B140,Master[Product_Code],Master[Category])</f>
        <v>Innerwear</v>
      </c>
      <c r="D140" s="2" t="str">
        <f>_xlfn.XLOOKUP(B140,Master[Product_Code],Master[Brand])</f>
        <v>V Star</v>
      </c>
      <c r="E140" s="2" t="str">
        <f>_xlfn.XLOOKUP(B140,Master[Product_Code],Master[Style])</f>
        <v>V-Cut</v>
      </c>
      <c r="F140" s="2" t="str">
        <f>_xlfn.XLOOKUP(B140,Master[Product_Code],Master[Fabric])</f>
        <v>Cotton Blend</v>
      </c>
      <c r="G140" s="2" t="str">
        <f>_xlfn.XLOOKUP(B140,Master[Product_Code],Master[Size])</f>
        <v>80-85</v>
      </c>
      <c r="H140" s="2" t="str">
        <f>_xlfn.XLOOKUP(B140,Master[Product_Code],Master[Color])</f>
        <v>Wine</v>
      </c>
      <c r="I140" s="4">
        <f>_xlfn.XLOOKUP(B140,Master[Product_Code],Master[Stock_Qty])</f>
        <v>4</v>
      </c>
      <c r="J140" s="6">
        <f>SUMIFS(
  Sales_Entry[Qty],
  Sales_Entry[Product_Code], Stock_Table[[#This Row],[Product_Code]]
)</f>
        <v>0</v>
      </c>
      <c r="K140" s="4">
        <f>SUMIFS(
  Exchange_Return[Qty],
  Exchange_Return[Product_Code], Stock_Table[[#This Row],[Product_Code]]
)</f>
        <v>0</v>
      </c>
      <c r="L140" s="4">
        <f>I140-J140+K140</f>
        <v>4</v>
      </c>
      <c r="M140" s="2" t="str" cm="1">
        <f t="array" ref="M140">_xlfn.IFS(L140=0,"Out of Stock",L140&gt;=2,"Limited Stock",L140&lt;2,"In Stock")</f>
        <v>Limited Stock</v>
      </c>
    </row>
    <row r="141" spans="2:13">
      <c r="B141" s="2" t="s">
        <v>1607</v>
      </c>
      <c r="C141" s="5" t="str">
        <f>_xlfn.XLOOKUP(B141,Master[Product_Code],Master[Category])</f>
        <v>Innerwear</v>
      </c>
      <c r="D141" s="2" t="str">
        <f>_xlfn.XLOOKUP(B141,Master[Product_Code],Master[Brand])</f>
        <v>Lux</v>
      </c>
      <c r="E141" s="2" t="str">
        <f>_xlfn.XLOOKUP(B141,Master[Product_Code],Master[Style])</f>
        <v>Boxer</v>
      </c>
      <c r="F141" s="2" t="str">
        <f>_xlfn.XLOOKUP(B141,Master[Product_Code],Master[Fabric])</f>
        <v>Cotton</v>
      </c>
      <c r="G141" s="2" t="str">
        <f>_xlfn.XLOOKUP(B141,Master[Product_Code],Master[Size])</f>
        <v>100-105</v>
      </c>
      <c r="H141" s="2" t="str">
        <f>_xlfn.XLOOKUP(B141,Master[Product_Code],Master[Color])</f>
        <v>Teal</v>
      </c>
      <c r="I141" s="4">
        <f>_xlfn.XLOOKUP(B141,Master[Product_Code],Master[Stock_Qty])</f>
        <v>3</v>
      </c>
      <c r="J141" s="6">
        <f>SUMIFS(
  Sales_Entry[Qty],
  Sales_Entry[Product_Code], Stock_Table[[#This Row],[Product_Code]]
)</f>
        <v>1</v>
      </c>
      <c r="K141" s="4">
        <f>SUMIFS(
  Exchange_Return[Qty],
  Exchange_Return[Product_Code], Stock_Table[[#This Row],[Product_Code]]
)</f>
        <v>0</v>
      </c>
      <c r="L141" s="4">
        <f>I141-J141+K141</f>
        <v>2</v>
      </c>
      <c r="M141" s="2" t="str" cm="1">
        <f t="array" ref="M141">_xlfn.IFS(L141=0,"Out of Stock",L141&gt;=2,"Limited Stock",L141&lt;2,"In Stock")</f>
        <v>Limited Stock</v>
      </c>
    </row>
    <row r="142" spans="2:13">
      <c r="B142" s="2" t="s">
        <v>1608</v>
      </c>
      <c r="C142" s="5" t="str">
        <f>_xlfn.XLOOKUP(B142,Master[Product_Code],Master[Category])</f>
        <v>Innerwear</v>
      </c>
      <c r="D142" s="2" t="str">
        <f>_xlfn.XLOOKUP(B142,Master[Product_Code],Master[Brand])</f>
        <v>Jockey</v>
      </c>
      <c r="E142" s="2" t="str">
        <f>_xlfn.XLOOKUP(B142,Master[Product_Code],Master[Style])</f>
        <v>Boxer</v>
      </c>
      <c r="F142" s="2" t="str">
        <f>_xlfn.XLOOKUP(B142,Master[Product_Code],Master[Fabric])</f>
        <v>Cotton</v>
      </c>
      <c r="G142" s="2" t="str">
        <f>_xlfn.XLOOKUP(B142,Master[Product_Code],Master[Size])</f>
        <v>85-90</v>
      </c>
      <c r="H142" s="2" t="str">
        <f>_xlfn.XLOOKUP(B142,Master[Product_Code],Master[Color])</f>
        <v>Sky Blue</v>
      </c>
      <c r="I142" s="4">
        <f>_xlfn.XLOOKUP(B142,Master[Product_Code],Master[Stock_Qty])</f>
        <v>5</v>
      </c>
      <c r="J142" s="6">
        <f>SUMIFS(
  Sales_Entry[Qty],
  Sales_Entry[Product_Code], Stock_Table[[#This Row],[Product_Code]]
)</f>
        <v>1</v>
      </c>
      <c r="K142" s="4">
        <f>SUMIFS(
  Exchange_Return[Qty],
  Exchange_Return[Product_Code], Stock_Table[[#This Row],[Product_Code]]
)</f>
        <v>0</v>
      </c>
      <c r="L142" s="4">
        <f>I142-J142+K142</f>
        <v>4</v>
      </c>
      <c r="M142" s="2" t="str" cm="1">
        <f t="array" ref="M142">_xlfn.IFS(L142=0,"Out of Stock",L142&gt;=2,"Limited Stock",L142&lt;2,"In Stock")</f>
        <v>Limited Stock</v>
      </c>
    </row>
    <row r="143" spans="2:13">
      <c r="B143" s="2" t="s">
        <v>1609</v>
      </c>
      <c r="C143" s="5" t="str">
        <f>_xlfn.XLOOKUP(B143,Master[Product_Code],Master[Category])</f>
        <v>Innerwear</v>
      </c>
      <c r="D143" s="2" t="str">
        <f>_xlfn.XLOOKUP(B143,Master[Product_Code],Master[Brand])</f>
        <v>V Star</v>
      </c>
      <c r="E143" s="2" t="str">
        <f>_xlfn.XLOOKUP(B143,Master[Product_Code],Master[Style])</f>
        <v>V-Cut</v>
      </c>
      <c r="F143" s="2" t="str">
        <f>_xlfn.XLOOKUP(B143,Master[Product_Code],Master[Fabric])</f>
        <v>Cotton Blend</v>
      </c>
      <c r="G143" s="2" t="str">
        <f>_xlfn.XLOOKUP(B143,Master[Product_Code],Master[Size])</f>
        <v>85-90</v>
      </c>
      <c r="H143" s="2" t="str">
        <f>_xlfn.XLOOKUP(B143,Master[Product_Code],Master[Color])</f>
        <v>Peach</v>
      </c>
      <c r="I143" s="4">
        <f>_xlfn.XLOOKUP(B143,Master[Product_Code],Master[Stock_Qty])</f>
        <v>5</v>
      </c>
      <c r="J143" s="6">
        <f>SUMIFS(
  Sales_Entry[Qty],
  Sales_Entry[Product_Code], Stock_Table[[#This Row],[Product_Code]]
)</f>
        <v>1</v>
      </c>
      <c r="K143" s="4">
        <f>SUMIFS(
  Exchange_Return[Qty],
  Exchange_Return[Product_Code], Stock_Table[[#This Row],[Product_Code]]
)</f>
        <v>0</v>
      </c>
      <c r="L143" s="4">
        <f>I143-J143+K143</f>
        <v>4</v>
      </c>
      <c r="M143" s="2" t="str" cm="1">
        <f t="array" ref="M143">_xlfn.IFS(L143=0,"Out of Stock",L143&gt;=2,"Limited Stock",L143&lt;2,"In Stock")</f>
        <v>Limited Stock</v>
      </c>
    </row>
    <row r="144" spans="2:13">
      <c r="B144" s="2" t="s">
        <v>1610</v>
      </c>
      <c r="C144" s="5" t="str">
        <f>_xlfn.XLOOKUP(B144,Master[Product_Code],Master[Category])</f>
        <v>Innerwear</v>
      </c>
      <c r="D144" s="2" t="str">
        <f>_xlfn.XLOOKUP(B144,Master[Product_Code],Master[Brand])</f>
        <v>Rupa</v>
      </c>
      <c r="E144" s="2" t="str">
        <f>_xlfn.XLOOKUP(B144,Master[Product_Code],Master[Style])</f>
        <v>V-Cut</v>
      </c>
      <c r="F144" s="2" t="str">
        <f>_xlfn.XLOOKUP(B144,Master[Product_Code],Master[Fabric])</f>
        <v>Cotton Blend</v>
      </c>
      <c r="G144" s="2" t="str">
        <f>_xlfn.XLOOKUP(B144,Master[Product_Code],Master[Size])</f>
        <v>80-85</v>
      </c>
      <c r="H144" s="2" t="str">
        <f>_xlfn.XLOOKUP(B144,Master[Product_Code],Master[Color])</f>
        <v>Brown</v>
      </c>
      <c r="I144" s="4">
        <f>_xlfn.XLOOKUP(B144,Master[Product_Code],Master[Stock_Qty])</f>
        <v>3</v>
      </c>
      <c r="J144" s="6">
        <f>SUMIFS(
  Sales_Entry[Qty],
  Sales_Entry[Product_Code], Stock_Table[[#This Row],[Product_Code]]
)</f>
        <v>2</v>
      </c>
      <c r="K144" s="4">
        <f>SUMIFS(
  Exchange_Return[Qty],
  Exchange_Return[Product_Code], Stock_Table[[#This Row],[Product_Code]]
)</f>
        <v>0</v>
      </c>
      <c r="L144" s="4">
        <f>I144-J144+K144</f>
        <v>1</v>
      </c>
      <c r="M144" s="2" t="str" cm="1">
        <f t="array" ref="M144">_xlfn.IFS(L144=0,"Out of Stock",L144&gt;=2,"Limited Stock",L144&lt;2,"In Stock")</f>
        <v>In Stock</v>
      </c>
    </row>
    <row r="145" spans="2:13">
      <c r="B145" s="2" t="s">
        <v>1611</v>
      </c>
      <c r="C145" s="5" t="str">
        <f>_xlfn.XLOOKUP(B145,Master[Product_Code],Master[Category])</f>
        <v>Innerwear</v>
      </c>
      <c r="D145" s="2" t="str">
        <f>_xlfn.XLOOKUP(B145,Master[Product_Code],Master[Brand])</f>
        <v>V Star</v>
      </c>
      <c r="E145" s="2" t="str">
        <f>_xlfn.XLOOKUP(B145,Master[Product_Code],Master[Style])</f>
        <v>Boxer</v>
      </c>
      <c r="F145" s="2" t="str">
        <f>_xlfn.XLOOKUP(B145,Master[Product_Code],Master[Fabric])</f>
        <v>Cotton</v>
      </c>
      <c r="G145" s="2" t="str">
        <f>_xlfn.XLOOKUP(B145,Master[Product_Code],Master[Size])</f>
        <v>85-90</v>
      </c>
      <c r="H145" s="2" t="str">
        <f>_xlfn.XLOOKUP(B145,Master[Product_Code],Master[Color])</f>
        <v>Black</v>
      </c>
      <c r="I145" s="4">
        <f>_xlfn.XLOOKUP(B145,Master[Product_Code],Master[Stock_Qty])</f>
        <v>6</v>
      </c>
      <c r="J145" s="6">
        <f>SUMIFS(
  Sales_Entry[Qty],
  Sales_Entry[Product_Code], Stock_Table[[#This Row],[Product_Code]]
)</f>
        <v>2</v>
      </c>
      <c r="K145" s="4">
        <f>SUMIFS(
  Exchange_Return[Qty],
  Exchange_Return[Product_Code], Stock_Table[[#This Row],[Product_Code]]
)</f>
        <v>0</v>
      </c>
      <c r="L145" s="4">
        <f>I145-J145+K145</f>
        <v>4</v>
      </c>
      <c r="M145" s="2" t="str" cm="1">
        <f t="array" ref="M145">_xlfn.IFS(L145=0,"Out of Stock",L145&gt;=2,"Limited Stock",L145&lt;2,"In Stock")</f>
        <v>Limited Stock</v>
      </c>
    </row>
    <row r="146" spans="2:13">
      <c r="B146" s="2" t="s">
        <v>1612</v>
      </c>
      <c r="C146" s="5" t="str">
        <f>_xlfn.XLOOKUP(B146,Master[Product_Code],Master[Category])</f>
        <v>Innerwear</v>
      </c>
      <c r="D146" s="2" t="str">
        <f>_xlfn.XLOOKUP(B146,Master[Product_Code],Master[Brand])</f>
        <v>Dollar</v>
      </c>
      <c r="E146" s="2" t="str">
        <f>_xlfn.XLOOKUP(B146,Master[Product_Code],Master[Style])</f>
        <v>Boxer</v>
      </c>
      <c r="F146" s="2" t="str">
        <f>_xlfn.XLOOKUP(B146,Master[Product_Code],Master[Fabric])</f>
        <v>Cotton</v>
      </c>
      <c r="G146" s="2" t="str">
        <f>_xlfn.XLOOKUP(B146,Master[Product_Code],Master[Size])</f>
        <v>75-80</v>
      </c>
      <c r="H146" s="2" t="str">
        <f>_xlfn.XLOOKUP(B146,Master[Product_Code],Master[Color])</f>
        <v>Teal</v>
      </c>
      <c r="I146" s="4">
        <f>_xlfn.XLOOKUP(B146,Master[Product_Code],Master[Stock_Qty])</f>
        <v>4</v>
      </c>
      <c r="J146" s="6">
        <f>SUMIFS(
  Sales_Entry[Qty],
  Sales_Entry[Product_Code], Stock_Table[[#This Row],[Product_Code]]
)</f>
        <v>3</v>
      </c>
      <c r="K146" s="4">
        <f>SUMIFS(
  Exchange_Return[Qty],
  Exchange_Return[Product_Code], Stock_Table[[#This Row],[Product_Code]]
)</f>
        <v>0</v>
      </c>
      <c r="L146" s="4">
        <f>I146-J146+K146</f>
        <v>1</v>
      </c>
      <c r="M146" s="2" t="str" cm="1">
        <f t="array" ref="M146">_xlfn.IFS(L146=0,"Out of Stock",L146&gt;=2,"Limited Stock",L146&lt;2,"In Stock")</f>
        <v>In Stock</v>
      </c>
    </row>
    <row r="147" spans="2:13">
      <c r="B147" s="2" t="s">
        <v>1613</v>
      </c>
      <c r="C147" s="5" t="str">
        <f>_xlfn.XLOOKUP(B147,Master[Product_Code],Master[Category])</f>
        <v>Innerwear</v>
      </c>
      <c r="D147" s="2" t="str">
        <f>_xlfn.XLOOKUP(B147,Master[Product_Code],Master[Brand])</f>
        <v>Dollar</v>
      </c>
      <c r="E147" s="2" t="str">
        <f>_xlfn.XLOOKUP(B147,Master[Product_Code],Master[Style])</f>
        <v>V-Cut</v>
      </c>
      <c r="F147" s="2" t="str">
        <f>_xlfn.XLOOKUP(B147,Master[Product_Code],Master[Fabric])</f>
        <v>Cotton</v>
      </c>
      <c r="G147" s="2" t="str">
        <f>_xlfn.XLOOKUP(B147,Master[Product_Code],Master[Size])</f>
        <v>90-100</v>
      </c>
      <c r="H147" s="2" t="str">
        <f>_xlfn.XLOOKUP(B147,Master[Product_Code],Master[Color])</f>
        <v>Peach</v>
      </c>
      <c r="I147" s="4">
        <f>_xlfn.XLOOKUP(B147,Master[Product_Code],Master[Stock_Qty])</f>
        <v>4</v>
      </c>
      <c r="J147" s="6">
        <f>SUMIFS(
  Sales_Entry[Qty],
  Sales_Entry[Product_Code], Stock_Table[[#This Row],[Product_Code]]
)</f>
        <v>4</v>
      </c>
      <c r="K147" s="4">
        <f>SUMIFS(
  Exchange_Return[Qty],
  Exchange_Return[Product_Code], Stock_Table[[#This Row],[Product_Code]]
)</f>
        <v>0</v>
      </c>
      <c r="L147" s="4">
        <f>I147-J147+K147</f>
        <v>0</v>
      </c>
      <c r="M147" s="2" t="str" cm="1">
        <f t="array" ref="M147">_xlfn.IFS(L147=0,"Out of Stock",L147&gt;=2,"Limited Stock",L147&lt;2,"In Stock")</f>
        <v>Out of Stock</v>
      </c>
    </row>
    <row r="148" spans="2:13">
      <c r="B148" s="2" t="s">
        <v>1614</v>
      </c>
      <c r="C148" s="5" t="str">
        <f>_xlfn.XLOOKUP(B148,Master[Product_Code],Master[Category])</f>
        <v>Innerwear</v>
      </c>
      <c r="D148" s="2" t="str">
        <f>_xlfn.XLOOKUP(B148,Master[Product_Code],Master[Brand])</f>
        <v>V Star</v>
      </c>
      <c r="E148" s="2" t="str">
        <f>_xlfn.XLOOKUP(B148,Master[Product_Code],Master[Style])</f>
        <v>V-Cut</v>
      </c>
      <c r="F148" s="2" t="str">
        <f>_xlfn.XLOOKUP(B148,Master[Product_Code],Master[Fabric])</f>
        <v>Cotton Blend</v>
      </c>
      <c r="G148" s="2" t="str">
        <f>_xlfn.XLOOKUP(B148,Master[Product_Code],Master[Size])</f>
        <v>75-80</v>
      </c>
      <c r="H148" s="2" t="str">
        <f>_xlfn.XLOOKUP(B148,Master[Product_Code],Master[Color])</f>
        <v>Peach</v>
      </c>
      <c r="I148" s="4">
        <f>_xlfn.XLOOKUP(B148,Master[Product_Code],Master[Stock_Qty])</f>
        <v>3</v>
      </c>
      <c r="J148" s="6">
        <f>SUMIFS(
  Sales_Entry[Qty],
  Sales_Entry[Product_Code], Stock_Table[[#This Row],[Product_Code]]
)</f>
        <v>1</v>
      </c>
      <c r="K148" s="4">
        <f>SUMIFS(
  Exchange_Return[Qty],
  Exchange_Return[Product_Code], Stock_Table[[#This Row],[Product_Code]]
)</f>
        <v>0</v>
      </c>
      <c r="L148" s="4">
        <f>I148-J148+K148</f>
        <v>2</v>
      </c>
      <c r="M148" s="2" t="str" cm="1">
        <f t="array" ref="M148">_xlfn.IFS(L148=0,"Out of Stock",L148&gt;=2,"Limited Stock",L148&lt;2,"In Stock")</f>
        <v>Limited Stock</v>
      </c>
    </row>
    <row r="149" spans="2:13">
      <c r="B149" s="2" t="s">
        <v>1615</v>
      </c>
      <c r="C149" s="5" t="str">
        <f>_xlfn.XLOOKUP(B149,Master[Product_Code],Master[Category])</f>
        <v>Innerwear</v>
      </c>
      <c r="D149" s="2" t="str">
        <f>_xlfn.XLOOKUP(B149,Master[Product_Code],Master[Brand])</f>
        <v>Dollar</v>
      </c>
      <c r="E149" s="2" t="str">
        <f>_xlfn.XLOOKUP(B149,Master[Product_Code],Master[Style])</f>
        <v>V-Cut</v>
      </c>
      <c r="F149" s="2" t="str">
        <f>_xlfn.XLOOKUP(B149,Master[Product_Code],Master[Fabric])</f>
        <v>Cotton Blend</v>
      </c>
      <c r="G149" s="2" t="str">
        <f>_xlfn.XLOOKUP(B149,Master[Product_Code],Master[Size])</f>
        <v>90-100</v>
      </c>
      <c r="H149" s="2" t="str">
        <f>_xlfn.XLOOKUP(B149,Master[Product_Code],Master[Color])</f>
        <v>Teal</v>
      </c>
      <c r="I149" s="4">
        <f>_xlfn.XLOOKUP(B149,Master[Product_Code],Master[Stock_Qty])</f>
        <v>5</v>
      </c>
      <c r="J149" s="6">
        <f>SUMIFS(
  Sales_Entry[Qty],
  Sales_Entry[Product_Code], Stock_Table[[#This Row],[Product_Code]]
)</f>
        <v>0</v>
      </c>
      <c r="K149" s="4">
        <f>SUMIFS(
  Exchange_Return[Qty],
  Exchange_Return[Product_Code], Stock_Table[[#This Row],[Product_Code]]
)</f>
        <v>0</v>
      </c>
      <c r="L149" s="4">
        <f>I149-J149+K149</f>
        <v>5</v>
      </c>
      <c r="M149" s="2" t="str" cm="1">
        <f t="array" ref="M149">_xlfn.IFS(L149=0,"Out of Stock",L149&gt;=2,"Limited Stock",L149&lt;2,"In Stock")</f>
        <v>Limited Stock</v>
      </c>
    </row>
    <row r="150" spans="2:13">
      <c r="B150" s="2" t="s">
        <v>1616</v>
      </c>
      <c r="C150" s="5" t="str">
        <f>_xlfn.XLOOKUP(B150,Master[Product_Code],Master[Category])</f>
        <v>Innerwear</v>
      </c>
      <c r="D150" s="2" t="str">
        <f>_xlfn.XLOOKUP(B150,Master[Product_Code],Master[Brand])</f>
        <v>Jockey</v>
      </c>
      <c r="E150" s="2" t="str">
        <f>_xlfn.XLOOKUP(B150,Master[Product_Code],Master[Style])</f>
        <v>V-Cut</v>
      </c>
      <c r="F150" s="2" t="str">
        <f>_xlfn.XLOOKUP(B150,Master[Product_Code],Master[Fabric])</f>
        <v>Cotton Blend</v>
      </c>
      <c r="G150" s="2" t="str">
        <f>_xlfn.XLOOKUP(B150,Master[Product_Code],Master[Size])</f>
        <v>75-80</v>
      </c>
      <c r="H150" s="2" t="str">
        <f>_xlfn.XLOOKUP(B150,Master[Product_Code],Master[Color])</f>
        <v>Cream</v>
      </c>
      <c r="I150" s="4">
        <f>_xlfn.XLOOKUP(B150,Master[Product_Code],Master[Stock_Qty])</f>
        <v>6</v>
      </c>
      <c r="J150" s="6">
        <f>SUMIFS(
  Sales_Entry[Qty],
  Sales_Entry[Product_Code], Stock_Table[[#This Row],[Product_Code]]
)</f>
        <v>2</v>
      </c>
      <c r="K150" s="4">
        <f>SUMIFS(
  Exchange_Return[Qty],
  Exchange_Return[Product_Code], Stock_Table[[#This Row],[Product_Code]]
)</f>
        <v>0</v>
      </c>
      <c r="L150" s="4">
        <f>I150-J150+K150</f>
        <v>4</v>
      </c>
      <c r="M150" s="2" t="str" cm="1">
        <f t="array" ref="M150">_xlfn.IFS(L150=0,"Out of Stock",L150&gt;=2,"Limited Stock",L150&lt;2,"In Stock")</f>
        <v>Limited Stock</v>
      </c>
    </row>
    <row r="151" spans="2:13">
      <c r="B151" s="2" t="s">
        <v>1617</v>
      </c>
      <c r="C151" s="5" t="str">
        <f>_xlfn.XLOOKUP(B151,Master[Product_Code],Master[Category])</f>
        <v>Innerwear</v>
      </c>
      <c r="D151" s="2" t="str">
        <f>_xlfn.XLOOKUP(B151,Master[Product_Code],Master[Brand])</f>
        <v>Rupa</v>
      </c>
      <c r="E151" s="2" t="str">
        <f>_xlfn.XLOOKUP(B151,Master[Product_Code],Master[Style])</f>
        <v>Boxer</v>
      </c>
      <c r="F151" s="2" t="str">
        <f>_xlfn.XLOOKUP(B151,Master[Product_Code],Master[Fabric])</f>
        <v>Cotton Blend</v>
      </c>
      <c r="G151" s="2" t="str">
        <f>_xlfn.XLOOKUP(B151,Master[Product_Code],Master[Size])</f>
        <v>75-80</v>
      </c>
      <c r="H151" s="2" t="str">
        <f>_xlfn.XLOOKUP(B151,Master[Product_Code],Master[Color])</f>
        <v>Teal</v>
      </c>
      <c r="I151" s="4">
        <f>_xlfn.XLOOKUP(B151,Master[Product_Code],Master[Stock_Qty])</f>
        <v>4</v>
      </c>
      <c r="J151" s="6">
        <f>SUMIFS(
  Sales_Entry[Qty],
  Sales_Entry[Product_Code], Stock_Table[[#This Row],[Product_Code]]
)</f>
        <v>0</v>
      </c>
      <c r="K151" s="4">
        <f>SUMIFS(
  Exchange_Return[Qty],
  Exchange_Return[Product_Code], Stock_Table[[#This Row],[Product_Code]]
)</f>
        <v>0</v>
      </c>
      <c r="L151" s="4">
        <f>I151-J151+K151</f>
        <v>4</v>
      </c>
      <c r="M151" s="2" t="str" cm="1">
        <f t="array" ref="M151">_xlfn.IFS(L151=0,"Out of Stock",L151&gt;=2,"Limited Stock",L151&lt;2,"In Stock")</f>
        <v>Limited Stock</v>
      </c>
    </row>
    <row r="152" spans="2:13">
      <c r="B152" s="2" t="s">
        <v>1618</v>
      </c>
      <c r="C152" s="5" t="str">
        <f>_xlfn.XLOOKUP(B152,Master[Product_Code],Master[Category])</f>
        <v>Innerwear</v>
      </c>
      <c r="D152" s="2" t="str">
        <f>_xlfn.XLOOKUP(B152,Master[Product_Code],Master[Brand])</f>
        <v>Rupa</v>
      </c>
      <c r="E152" s="2" t="str">
        <f>_xlfn.XLOOKUP(B152,Master[Product_Code],Master[Style])</f>
        <v>Boxer</v>
      </c>
      <c r="F152" s="2" t="str">
        <f>_xlfn.XLOOKUP(B152,Master[Product_Code],Master[Fabric])</f>
        <v>Cotton</v>
      </c>
      <c r="G152" s="2" t="str">
        <f>_xlfn.XLOOKUP(B152,Master[Product_Code],Master[Size])</f>
        <v>80-85</v>
      </c>
      <c r="H152" s="2" t="str">
        <f>_xlfn.XLOOKUP(B152,Master[Product_Code],Master[Color])</f>
        <v>Rust</v>
      </c>
      <c r="I152" s="4">
        <f>_xlfn.XLOOKUP(B152,Master[Product_Code],Master[Stock_Qty])</f>
        <v>6</v>
      </c>
      <c r="J152" s="6">
        <f>SUMIFS(
  Sales_Entry[Qty],
  Sales_Entry[Product_Code], Stock_Table[[#This Row],[Product_Code]]
)</f>
        <v>1</v>
      </c>
      <c r="K152" s="4">
        <f>SUMIFS(
  Exchange_Return[Qty],
  Exchange_Return[Product_Code], Stock_Table[[#This Row],[Product_Code]]
)</f>
        <v>0</v>
      </c>
      <c r="L152" s="4">
        <f>I152-J152+K152</f>
        <v>5</v>
      </c>
      <c r="M152" s="2" t="str" cm="1">
        <f t="array" ref="M152">_xlfn.IFS(L152=0,"Out of Stock",L152&gt;=2,"Limited Stock",L152&lt;2,"In Stock")</f>
        <v>Limited Stock</v>
      </c>
    </row>
    <row r="153" spans="2:13">
      <c r="B153" s="2" t="s">
        <v>1619</v>
      </c>
      <c r="C153" s="5" t="str">
        <f>_xlfn.XLOOKUP(B153,Master[Product_Code],Master[Category])</f>
        <v>Innerwear</v>
      </c>
      <c r="D153" s="2" t="str">
        <f>_xlfn.XLOOKUP(B153,Master[Product_Code],Master[Brand])</f>
        <v>Lux</v>
      </c>
      <c r="E153" s="2" t="str">
        <f>_xlfn.XLOOKUP(B153,Master[Product_Code],Master[Style])</f>
        <v>V-Cut</v>
      </c>
      <c r="F153" s="2" t="str">
        <f>_xlfn.XLOOKUP(B153,Master[Product_Code],Master[Fabric])</f>
        <v>Cotton</v>
      </c>
      <c r="G153" s="2" t="str">
        <f>_xlfn.XLOOKUP(B153,Master[Product_Code],Master[Size])</f>
        <v>90-100</v>
      </c>
      <c r="H153" s="2" t="str">
        <f>_xlfn.XLOOKUP(B153,Master[Product_Code],Master[Color])</f>
        <v>Beige</v>
      </c>
      <c r="I153" s="4">
        <f>_xlfn.XLOOKUP(B153,Master[Product_Code],Master[Stock_Qty])</f>
        <v>3</v>
      </c>
      <c r="J153" s="6">
        <f>SUMIFS(
  Sales_Entry[Qty],
  Sales_Entry[Product_Code], Stock_Table[[#This Row],[Product_Code]]
)</f>
        <v>0</v>
      </c>
      <c r="K153" s="4">
        <f>SUMIFS(
  Exchange_Return[Qty],
  Exchange_Return[Product_Code], Stock_Table[[#This Row],[Product_Code]]
)</f>
        <v>0</v>
      </c>
      <c r="L153" s="4">
        <f>I153-J153+K153</f>
        <v>3</v>
      </c>
      <c r="M153" s="2" t="str" cm="1">
        <f t="array" ref="M153">_xlfn.IFS(L153=0,"Out of Stock",L153&gt;=2,"Limited Stock",L153&lt;2,"In Stock")</f>
        <v>Limited Stock</v>
      </c>
    </row>
    <row r="154" spans="2:13">
      <c r="B154" s="2" t="s">
        <v>1620</v>
      </c>
      <c r="C154" s="5" t="str">
        <f>_xlfn.XLOOKUP(B154,Master[Product_Code],Master[Category])</f>
        <v>Innerwear</v>
      </c>
      <c r="D154" s="2" t="str">
        <f>_xlfn.XLOOKUP(B154,Master[Product_Code],Master[Brand])</f>
        <v>Jockey</v>
      </c>
      <c r="E154" s="2" t="str">
        <f>_xlfn.XLOOKUP(B154,Master[Product_Code],Master[Style])</f>
        <v>Boxer</v>
      </c>
      <c r="F154" s="2" t="str">
        <f>_xlfn.XLOOKUP(B154,Master[Product_Code],Master[Fabric])</f>
        <v>Cotton</v>
      </c>
      <c r="G154" s="2" t="str">
        <f>_xlfn.XLOOKUP(B154,Master[Product_Code],Master[Size])</f>
        <v>85-90</v>
      </c>
      <c r="H154" s="2" t="str">
        <f>_xlfn.XLOOKUP(B154,Master[Product_Code],Master[Color])</f>
        <v>Rust</v>
      </c>
      <c r="I154" s="4">
        <f>_xlfn.XLOOKUP(B154,Master[Product_Code],Master[Stock_Qty])</f>
        <v>6</v>
      </c>
      <c r="J154" s="6">
        <f>SUMIFS(
  Sales_Entry[Qty],
  Sales_Entry[Product_Code], Stock_Table[[#This Row],[Product_Code]]
)</f>
        <v>3</v>
      </c>
      <c r="K154" s="4">
        <f>SUMIFS(
  Exchange_Return[Qty],
  Exchange_Return[Product_Code], Stock_Table[[#This Row],[Product_Code]]
)</f>
        <v>0</v>
      </c>
      <c r="L154" s="4">
        <f>I154-J154+K154</f>
        <v>3</v>
      </c>
      <c r="M154" s="2" t="str" cm="1">
        <f t="array" ref="M154">_xlfn.IFS(L154=0,"Out of Stock",L154&gt;=2,"Limited Stock",L154&lt;2,"In Stock")</f>
        <v>Limited Stock</v>
      </c>
    </row>
    <row r="155" spans="2:13">
      <c r="B155" s="2" t="s">
        <v>1621</v>
      </c>
      <c r="C155" s="5" t="str">
        <f>_xlfn.XLOOKUP(B155,Master[Product_Code],Master[Category])</f>
        <v>Innerwear</v>
      </c>
      <c r="D155" s="2" t="str">
        <f>_xlfn.XLOOKUP(B155,Master[Product_Code],Master[Brand])</f>
        <v>Lux</v>
      </c>
      <c r="E155" s="2" t="str">
        <f>_xlfn.XLOOKUP(B155,Master[Product_Code],Master[Style])</f>
        <v>V-Cut</v>
      </c>
      <c r="F155" s="2" t="str">
        <f>_xlfn.XLOOKUP(B155,Master[Product_Code],Master[Fabric])</f>
        <v>Cotton</v>
      </c>
      <c r="G155" s="2" t="str">
        <f>_xlfn.XLOOKUP(B155,Master[Product_Code],Master[Size])</f>
        <v>80-85</v>
      </c>
      <c r="H155" s="2" t="str">
        <f>_xlfn.XLOOKUP(B155,Master[Product_Code],Master[Color])</f>
        <v>Maroon</v>
      </c>
      <c r="I155" s="4">
        <f>_xlfn.XLOOKUP(B155,Master[Product_Code],Master[Stock_Qty])</f>
        <v>5</v>
      </c>
      <c r="J155" s="6">
        <f>SUMIFS(
  Sales_Entry[Qty],
  Sales_Entry[Product_Code], Stock_Table[[#This Row],[Product_Code]]
)</f>
        <v>1</v>
      </c>
      <c r="K155" s="4">
        <f>SUMIFS(
  Exchange_Return[Qty],
  Exchange_Return[Product_Code], Stock_Table[[#This Row],[Product_Code]]
)</f>
        <v>0</v>
      </c>
      <c r="L155" s="4">
        <f>I155-J155+K155</f>
        <v>4</v>
      </c>
      <c r="M155" s="2" t="str" cm="1">
        <f t="array" ref="M155">_xlfn.IFS(L155=0,"Out of Stock",L155&gt;=2,"Limited Stock",L155&lt;2,"In Stock")</f>
        <v>Limited Stock</v>
      </c>
    </row>
    <row r="156" spans="2:13">
      <c r="B156" s="2" t="s">
        <v>1622</v>
      </c>
      <c r="C156" s="5" t="str">
        <f>_xlfn.XLOOKUP(B156,Master[Product_Code],Master[Category])</f>
        <v>Innerwear</v>
      </c>
      <c r="D156" s="2" t="str">
        <f>_xlfn.XLOOKUP(B156,Master[Product_Code],Master[Brand])</f>
        <v>Lux</v>
      </c>
      <c r="E156" s="2" t="str">
        <f>_xlfn.XLOOKUP(B156,Master[Product_Code],Master[Style])</f>
        <v>V-Cut</v>
      </c>
      <c r="F156" s="2" t="str">
        <f>_xlfn.XLOOKUP(B156,Master[Product_Code],Master[Fabric])</f>
        <v>Cotton</v>
      </c>
      <c r="G156" s="2" t="str">
        <f>_xlfn.XLOOKUP(B156,Master[Product_Code],Master[Size])</f>
        <v>105-110</v>
      </c>
      <c r="H156" s="2" t="str">
        <f>_xlfn.XLOOKUP(B156,Master[Product_Code],Master[Color])</f>
        <v>Mustard</v>
      </c>
      <c r="I156" s="4">
        <f>_xlfn.XLOOKUP(B156,Master[Product_Code],Master[Stock_Qty])</f>
        <v>6</v>
      </c>
      <c r="J156" s="6">
        <f>SUMIFS(
  Sales_Entry[Qty],
  Sales_Entry[Product_Code], Stock_Table[[#This Row],[Product_Code]]
)</f>
        <v>2</v>
      </c>
      <c r="K156" s="4">
        <f>SUMIFS(
  Exchange_Return[Qty],
  Exchange_Return[Product_Code], Stock_Table[[#This Row],[Product_Code]]
)</f>
        <v>0</v>
      </c>
      <c r="L156" s="4">
        <f>I156-J156+K156</f>
        <v>4</v>
      </c>
      <c r="M156" s="2" t="str" cm="1">
        <f t="array" ref="M156">_xlfn.IFS(L156=0,"Out of Stock",L156&gt;=2,"Limited Stock",L156&lt;2,"In Stock")</f>
        <v>Limited Stock</v>
      </c>
    </row>
    <row r="157" spans="2:13">
      <c r="B157" s="2" t="s">
        <v>1623</v>
      </c>
      <c r="C157" s="5" t="str">
        <f>_xlfn.XLOOKUP(B157,Master[Product_Code],Master[Category])</f>
        <v>Innerwear</v>
      </c>
      <c r="D157" s="2" t="str">
        <f>_xlfn.XLOOKUP(B157,Master[Product_Code],Master[Brand])</f>
        <v>Jockey</v>
      </c>
      <c r="E157" s="2" t="str">
        <f>_xlfn.XLOOKUP(B157,Master[Product_Code],Master[Style])</f>
        <v>Boxer</v>
      </c>
      <c r="F157" s="2" t="str">
        <f>_xlfn.XLOOKUP(B157,Master[Product_Code],Master[Fabric])</f>
        <v>Cotton Blend</v>
      </c>
      <c r="G157" s="2" t="str">
        <f>_xlfn.XLOOKUP(B157,Master[Product_Code],Master[Size])</f>
        <v>85-90</v>
      </c>
      <c r="H157" s="2" t="str">
        <f>_xlfn.XLOOKUP(B157,Master[Product_Code],Master[Color])</f>
        <v>Peach</v>
      </c>
      <c r="I157" s="4">
        <f>_xlfn.XLOOKUP(B157,Master[Product_Code],Master[Stock_Qty])</f>
        <v>3</v>
      </c>
      <c r="J157" s="6">
        <f>SUMIFS(
  Sales_Entry[Qty],
  Sales_Entry[Product_Code], Stock_Table[[#This Row],[Product_Code]]
)</f>
        <v>1</v>
      </c>
      <c r="K157" s="4">
        <f>SUMIFS(
  Exchange_Return[Qty],
  Exchange_Return[Product_Code], Stock_Table[[#This Row],[Product_Code]]
)</f>
        <v>0</v>
      </c>
      <c r="L157" s="4">
        <f>I157-J157+K157</f>
        <v>2</v>
      </c>
      <c r="M157" s="2" t="str" cm="1">
        <f t="array" ref="M157">_xlfn.IFS(L157=0,"Out of Stock",L157&gt;=2,"Limited Stock",L157&lt;2,"In Stock")</f>
        <v>Limited Stock</v>
      </c>
    </row>
    <row r="158" spans="2:13">
      <c r="B158" s="2" t="s">
        <v>1624</v>
      </c>
      <c r="C158" s="5" t="str">
        <f>_xlfn.XLOOKUP(B158,Master[Product_Code],Master[Category])</f>
        <v>Innerwear</v>
      </c>
      <c r="D158" s="2" t="str">
        <f>_xlfn.XLOOKUP(B158,Master[Product_Code],Master[Brand])</f>
        <v>Rupa</v>
      </c>
      <c r="E158" s="2" t="str">
        <f>_xlfn.XLOOKUP(B158,Master[Product_Code],Master[Style])</f>
        <v>V-Cut</v>
      </c>
      <c r="F158" s="2" t="str">
        <f>_xlfn.XLOOKUP(B158,Master[Product_Code],Master[Fabric])</f>
        <v>Cotton</v>
      </c>
      <c r="G158" s="2" t="str">
        <f>_xlfn.XLOOKUP(B158,Master[Product_Code],Master[Size])</f>
        <v>80-85</v>
      </c>
      <c r="H158" s="2" t="str">
        <f>_xlfn.XLOOKUP(B158,Master[Product_Code],Master[Color])</f>
        <v>Beige</v>
      </c>
      <c r="I158" s="4">
        <f>_xlfn.XLOOKUP(B158,Master[Product_Code],Master[Stock_Qty])</f>
        <v>3</v>
      </c>
      <c r="J158" s="6">
        <f>SUMIFS(
  Sales_Entry[Qty],
  Sales_Entry[Product_Code], Stock_Table[[#This Row],[Product_Code]]
)</f>
        <v>2</v>
      </c>
      <c r="K158" s="4">
        <f>SUMIFS(
  Exchange_Return[Qty],
  Exchange_Return[Product_Code], Stock_Table[[#This Row],[Product_Code]]
)</f>
        <v>0</v>
      </c>
      <c r="L158" s="4">
        <f>I158-J158+K158</f>
        <v>1</v>
      </c>
      <c r="M158" s="2" t="str" cm="1">
        <f t="array" ref="M158">_xlfn.IFS(L158=0,"Out of Stock",L158&gt;=2,"Limited Stock",L158&lt;2,"In Stock")</f>
        <v>In Stock</v>
      </c>
    </row>
    <row r="159" spans="2:13">
      <c r="B159" s="2" t="s">
        <v>1625</v>
      </c>
      <c r="C159" s="5" t="str">
        <f>_xlfn.XLOOKUP(B159,Master[Product_Code],Master[Category])</f>
        <v>Innerwear</v>
      </c>
      <c r="D159" s="2" t="str">
        <f>_xlfn.XLOOKUP(B159,Master[Product_Code],Master[Brand])</f>
        <v>Rupa</v>
      </c>
      <c r="E159" s="2" t="str">
        <f>_xlfn.XLOOKUP(B159,Master[Product_Code],Master[Style])</f>
        <v>Boxer</v>
      </c>
      <c r="F159" s="2" t="str">
        <f>_xlfn.XLOOKUP(B159,Master[Product_Code],Master[Fabric])</f>
        <v>Cotton</v>
      </c>
      <c r="G159" s="2" t="str">
        <f>_xlfn.XLOOKUP(B159,Master[Product_Code],Master[Size])</f>
        <v>90-100</v>
      </c>
      <c r="H159" s="2" t="str">
        <f>_xlfn.XLOOKUP(B159,Master[Product_Code],Master[Color])</f>
        <v>Sky Blue</v>
      </c>
      <c r="I159" s="4">
        <f>_xlfn.XLOOKUP(B159,Master[Product_Code],Master[Stock_Qty])</f>
        <v>4</v>
      </c>
      <c r="J159" s="6">
        <f>SUMIFS(
  Sales_Entry[Qty],
  Sales_Entry[Product_Code], Stock_Table[[#This Row],[Product_Code]]
)</f>
        <v>1</v>
      </c>
      <c r="K159" s="4">
        <f>SUMIFS(
  Exchange_Return[Qty],
  Exchange_Return[Product_Code], Stock_Table[[#This Row],[Product_Code]]
)</f>
        <v>0</v>
      </c>
      <c r="L159" s="4">
        <f>I159-J159+K159</f>
        <v>3</v>
      </c>
      <c r="M159" s="2" t="str" cm="1">
        <f t="array" ref="M159">_xlfn.IFS(L159=0,"Out of Stock",L159&gt;=2,"Limited Stock",L159&lt;2,"In Stock")</f>
        <v>Limited Stock</v>
      </c>
    </row>
    <row r="160" spans="2:13">
      <c r="B160" s="2" t="s">
        <v>1626</v>
      </c>
      <c r="C160" s="5" t="str">
        <f>_xlfn.XLOOKUP(B160,Master[Product_Code],Master[Category])</f>
        <v>Innerwear</v>
      </c>
      <c r="D160" s="2" t="str">
        <f>_xlfn.XLOOKUP(B160,Master[Product_Code],Master[Brand])</f>
        <v>V Star</v>
      </c>
      <c r="E160" s="2" t="str">
        <f>_xlfn.XLOOKUP(B160,Master[Product_Code],Master[Style])</f>
        <v>V-Cut</v>
      </c>
      <c r="F160" s="2" t="str">
        <f>_xlfn.XLOOKUP(B160,Master[Product_Code],Master[Fabric])</f>
        <v>Cotton</v>
      </c>
      <c r="G160" s="2" t="str">
        <f>_xlfn.XLOOKUP(B160,Master[Product_Code],Master[Size])</f>
        <v>75-80</v>
      </c>
      <c r="H160" s="2" t="str">
        <f>_xlfn.XLOOKUP(B160,Master[Product_Code],Master[Color])</f>
        <v>Maroon</v>
      </c>
      <c r="I160" s="4">
        <f>_xlfn.XLOOKUP(B160,Master[Product_Code],Master[Stock_Qty])</f>
        <v>6</v>
      </c>
      <c r="J160" s="6">
        <f>SUMIFS(
  Sales_Entry[Qty],
  Sales_Entry[Product_Code], Stock_Table[[#This Row],[Product_Code]]
)</f>
        <v>1</v>
      </c>
      <c r="K160" s="4">
        <f>SUMIFS(
  Exchange_Return[Qty],
  Exchange_Return[Product_Code], Stock_Table[[#This Row],[Product_Code]]
)</f>
        <v>0</v>
      </c>
      <c r="L160" s="4">
        <f>I160-J160+K160</f>
        <v>5</v>
      </c>
      <c r="M160" s="2" t="str" cm="1">
        <f t="array" ref="M160">_xlfn.IFS(L160=0,"Out of Stock",L160&gt;=2,"Limited Stock",L160&lt;2,"In Stock")</f>
        <v>Limited Stock</v>
      </c>
    </row>
    <row r="161" spans="2:13">
      <c r="B161" s="2" t="s">
        <v>1627</v>
      </c>
      <c r="C161" s="5" t="str">
        <f>_xlfn.XLOOKUP(B161,Master[Product_Code],Master[Category])</f>
        <v>Innerwear</v>
      </c>
      <c r="D161" s="2" t="str">
        <f>_xlfn.XLOOKUP(B161,Master[Product_Code],Master[Brand])</f>
        <v>Dollar</v>
      </c>
      <c r="E161" s="2" t="str">
        <f>_xlfn.XLOOKUP(B161,Master[Product_Code],Master[Style])</f>
        <v>V-Cut</v>
      </c>
      <c r="F161" s="2" t="str">
        <f>_xlfn.XLOOKUP(B161,Master[Product_Code],Master[Fabric])</f>
        <v>Cotton</v>
      </c>
      <c r="G161" s="2" t="str">
        <f>_xlfn.XLOOKUP(B161,Master[Product_Code],Master[Size])</f>
        <v>90-100</v>
      </c>
      <c r="H161" s="2" t="str">
        <f>_xlfn.XLOOKUP(B161,Master[Product_Code],Master[Color])</f>
        <v>Black</v>
      </c>
      <c r="I161" s="4">
        <f>_xlfn.XLOOKUP(B161,Master[Product_Code],Master[Stock_Qty])</f>
        <v>4</v>
      </c>
      <c r="J161" s="6">
        <f>SUMIFS(
  Sales_Entry[Qty],
  Sales_Entry[Product_Code], Stock_Table[[#This Row],[Product_Code]]
)</f>
        <v>3</v>
      </c>
      <c r="K161" s="4">
        <f>SUMIFS(
  Exchange_Return[Qty],
  Exchange_Return[Product_Code], Stock_Table[[#This Row],[Product_Code]]
)</f>
        <v>0</v>
      </c>
      <c r="L161" s="4">
        <f>I161-J161+K161</f>
        <v>1</v>
      </c>
      <c r="M161" s="2" t="str" cm="1">
        <f t="array" ref="M161">_xlfn.IFS(L161=0,"Out of Stock",L161&gt;=2,"Limited Stock",L161&lt;2,"In Stock")</f>
        <v>In Stock</v>
      </c>
    </row>
    <row r="162" spans="2:13">
      <c r="B162" s="2" t="s">
        <v>1628</v>
      </c>
      <c r="C162" s="5" t="str">
        <f>_xlfn.XLOOKUP(B162,Master[Product_Code],Master[Category])</f>
        <v>Innerwear</v>
      </c>
      <c r="D162" s="2" t="str">
        <f>_xlfn.XLOOKUP(B162,Master[Product_Code],Master[Brand])</f>
        <v>Lux</v>
      </c>
      <c r="E162" s="2" t="str">
        <f>_xlfn.XLOOKUP(B162,Master[Product_Code],Master[Style])</f>
        <v>Boxer</v>
      </c>
      <c r="F162" s="2" t="str">
        <f>_xlfn.XLOOKUP(B162,Master[Product_Code],Master[Fabric])</f>
        <v>Cotton Blend</v>
      </c>
      <c r="G162" s="2" t="str">
        <f>_xlfn.XLOOKUP(B162,Master[Product_Code],Master[Size])</f>
        <v>100-105</v>
      </c>
      <c r="H162" s="2" t="str">
        <f>_xlfn.XLOOKUP(B162,Master[Product_Code],Master[Color])</f>
        <v>Brown</v>
      </c>
      <c r="I162" s="4">
        <f>_xlfn.XLOOKUP(B162,Master[Product_Code],Master[Stock_Qty])</f>
        <v>4</v>
      </c>
      <c r="J162" s="6">
        <f>SUMIFS(
  Sales_Entry[Qty],
  Sales_Entry[Product_Code], Stock_Table[[#This Row],[Product_Code]]
)</f>
        <v>2</v>
      </c>
      <c r="K162" s="4">
        <f>SUMIFS(
  Exchange_Return[Qty],
  Exchange_Return[Product_Code], Stock_Table[[#This Row],[Product_Code]]
)</f>
        <v>0</v>
      </c>
      <c r="L162" s="4">
        <f>I162-J162+K162</f>
        <v>2</v>
      </c>
      <c r="M162" s="2" t="str" cm="1">
        <f t="array" ref="M162">_xlfn.IFS(L162=0,"Out of Stock",L162&gt;=2,"Limited Stock",L162&lt;2,"In Stock")</f>
        <v>Limited Stock</v>
      </c>
    </row>
    <row r="163" spans="2:13">
      <c r="B163" s="2" t="s">
        <v>1629</v>
      </c>
      <c r="C163" s="5" t="str">
        <f>_xlfn.XLOOKUP(B163,Master[Product_Code],Master[Category])</f>
        <v>Innerwear</v>
      </c>
      <c r="D163" s="2" t="str">
        <f>_xlfn.XLOOKUP(B163,Master[Product_Code],Master[Brand])</f>
        <v>Dollar</v>
      </c>
      <c r="E163" s="2" t="str">
        <f>_xlfn.XLOOKUP(B163,Master[Product_Code],Master[Style])</f>
        <v>Boxer</v>
      </c>
      <c r="F163" s="2" t="str">
        <f>_xlfn.XLOOKUP(B163,Master[Product_Code],Master[Fabric])</f>
        <v>Cotton Blend</v>
      </c>
      <c r="G163" s="2" t="str">
        <f>_xlfn.XLOOKUP(B163,Master[Product_Code],Master[Size])</f>
        <v>75-80</v>
      </c>
      <c r="H163" s="2" t="str">
        <f>_xlfn.XLOOKUP(B163,Master[Product_Code],Master[Color])</f>
        <v>Wine</v>
      </c>
      <c r="I163" s="4">
        <f>_xlfn.XLOOKUP(B163,Master[Product_Code],Master[Stock_Qty])</f>
        <v>6</v>
      </c>
      <c r="J163" s="6">
        <f>SUMIFS(
  Sales_Entry[Qty],
  Sales_Entry[Product_Code], Stock_Table[[#This Row],[Product_Code]]
)</f>
        <v>3</v>
      </c>
      <c r="K163" s="4">
        <f>SUMIFS(
  Exchange_Return[Qty],
  Exchange_Return[Product_Code], Stock_Table[[#This Row],[Product_Code]]
)</f>
        <v>0</v>
      </c>
      <c r="L163" s="4">
        <f>I163-J163+K163</f>
        <v>3</v>
      </c>
      <c r="M163" s="2" t="str" cm="1">
        <f t="array" ref="M163">_xlfn.IFS(L163=0,"Out of Stock",L163&gt;=2,"Limited Stock",L163&lt;2,"In Stock")</f>
        <v>Limited Stock</v>
      </c>
    </row>
    <row r="164" spans="2:13">
      <c r="B164" s="2" t="s">
        <v>1630</v>
      </c>
      <c r="C164" s="5" t="str">
        <f>_xlfn.XLOOKUP(B164,Master[Product_Code],Master[Category])</f>
        <v>Innerwear</v>
      </c>
      <c r="D164" s="2" t="str">
        <f>_xlfn.XLOOKUP(B164,Master[Product_Code],Master[Brand])</f>
        <v>Dollar</v>
      </c>
      <c r="E164" s="2" t="str">
        <f>_xlfn.XLOOKUP(B164,Master[Product_Code],Master[Style])</f>
        <v>V-Cut</v>
      </c>
      <c r="F164" s="2" t="str">
        <f>_xlfn.XLOOKUP(B164,Master[Product_Code],Master[Fabric])</f>
        <v>Cotton Blend</v>
      </c>
      <c r="G164" s="2" t="str">
        <f>_xlfn.XLOOKUP(B164,Master[Product_Code],Master[Size])</f>
        <v>85-90</v>
      </c>
      <c r="H164" s="2" t="str">
        <f>_xlfn.XLOOKUP(B164,Master[Product_Code],Master[Color])</f>
        <v>Beige</v>
      </c>
      <c r="I164" s="4">
        <f>_xlfn.XLOOKUP(B164,Master[Product_Code],Master[Stock_Qty])</f>
        <v>5</v>
      </c>
      <c r="J164" s="6">
        <f>SUMIFS(
  Sales_Entry[Qty],
  Sales_Entry[Product_Code], Stock_Table[[#This Row],[Product_Code]]
)</f>
        <v>2</v>
      </c>
      <c r="K164" s="4">
        <f>SUMIFS(
  Exchange_Return[Qty],
  Exchange_Return[Product_Code], Stock_Table[[#This Row],[Product_Code]]
)</f>
        <v>0</v>
      </c>
      <c r="L164" s="4">
        <f>I164-J164+K164</f>
        <v>3</v>
      </c>
      <c r="M164" s="2" t="str" cm="1">
        <f t="array" ref="M164">_xlfn.IFS(L164=0,"Out of Stock",L164&gt;=2,"Limited Stock",L164&lt;2,"In Stock")</f>
        <v>Limited Stock</v>
      </c>
    </row>
    <row r="165" spans="2:13">
      <c r="B165" s="2" t="s">
        <v>1631</v>
      </c>
      <c r="C165" s="5" t="str">
        <f>_xlfn.XLOOKUP(B165,Master[Product_Code],Master[Category])</f>
        <v>Innerwear</v>
      </c>
      <c r="D165" s="2" t="str">
        <f>_xlfn.XLOOKUP(B165,Master[Product_Code],Master[Brand])</f>
        <v>Rupa</v>
      </c>
      <c r="E165" s="2" t="str">
        <f>_xlfn.XLOOKUP(B165,Master[Product_Code],Master[Style])</f>
        <v>Boxer</v>
      </c>
      <c r="F165" s="2" t="str">
        <f>_xlfn.XLOOKUP(B165,Master[Product_Code],Master[Fabric])</f>
        <v>Cotton</v>
      </c>
      <c r="G165" s="2" t="str">
        <f>_xlfn.XLOOKUP(B165,Master[Product_Code],Master[Size])</f>
        <v>80-85</v>
      </c>
      <c r="H165" s="2" t="str">
        <f>_xlfn.XLOOKUP(B165,Master[Product_Code],Master[Color])</f>
        <v>White</v>
      </c>
      <c r="I165" s="4">
        <f>_xlfn.XLOOKUP(B165,Master[Product_Code],Master[Stock_Qty])</f>
        <v>3</v>
      </c>
      <c r="J165" s="6">
        <f>SUMIFS(
  Sales_Entry[Qty],
  Sales_Entry[Product_Code], Stock_Table[[#This Row],[Product_Code]]
)</f>
        <v>2</v>
      </c>
      <c r="K165" s="4">
        <f>SUMIFS(
  Exchange_Return[Qty],
  Exchange_Return[Product_Code], Stock_Table[[#This Row],[Product_Code]]
)</f>
        <v>0</v>
      </c>
      <c r="L165" s="4">
        <f>I165-J165+K165</f>
        <v>1</v>
      </c>
      <c r="M165" s="2" t="str" cm="1">
        <f t="array" ref="M165">_xlfn.IFS(L165=0,"Out of Stock",L165&gt;=2,"Limited Stock",L165&lt;2,"In Stock")</f>
        <v>In Stock</v>
      </c>
    </row>
    <row r="166" spans="2:13">
      <c r="B166" s="2" t="s">
        <v>1632</v>
      </c>
      <c r="C166" s="5" t="str">
        <f>_xlfn.XLOOKUP(B166,Master[Product_Code],Master[Category])</f>
        <v>Innerwear</v>
      </c>
      <c r="D166" s="2" t="str">
        <f>_xlfn.XLOOKUP(B166,Master[Product_Code],Master[Brand])</f>
        <v>Dollar</v>
      </c>
      <c r="E166" s="2" t="str">
        <f>_xlfn.XLOOKUP(B166,Master[Product_Code],Master[Style])</f>
        <v>V-Cut</v>
      </c>
      <c r="F166" s="2" t="str">
        <f>_xlfn.XLOOKUP(B166,Master[Product_Code],Master[Fabric])</f>
        <v>Cotton Blend</v>
      </c>
      <c r="G166" s="2" t="str">
        <f>_xlfn.XLOOKUP(B166,Master[Product_Code],Master[Size])</f>
        <v>90-100</v>
      </c>
      <c r="H166" s="2" t="str">
        <f>_xlfn.XLOOKUP(B166,Master[Product_Code],Master[Color])</f>
        <v>Beige</v>
      </c>
      <c r="I166" s="4">
        <f>_xlfn.XLOOKUP(B166,Master[Product_Code],Master[Stock_Qty])</f>
        <v>3</v>
      </c>
      <c r="J166" s="6">
        <f>SUMIFS(
  Sales_Entry[Qty],
  Sales_Entry[Product_Code], Stock_Table[[#This Row],[Product_Code]]
)</f>
        <v>1</v>
      </c>
      <c r="K166" s="4">
        <f>SUMIFS(
  Exchange_Return[Qty],
  Exchange_Return[Product_Code], Stock_Table[[#This Row],[Product_Code]]
)</f>
        <v>0</v>
      </c>
      <c r="L166" s="4">
        <f>I166-J166+K166</f>
        <v>2</v>
      </c>
      <c r="M166" s="2" t="str" cm="1">
        <f t="array" ref="M166">_xlfn.IFS(L166=0,"Out of Stock",L166&gt;=2,"Limited Stock",L166&lt;2,"In Stock")</f>
        <v>Limited Stock</v>
      </c>
    </row>
    <row r="167" spans="2:13">
      <c r="B167" s="2" t="s">
        <v>1633</v>
      </c>
      <c r="C167" s="5" t="str">
        <f>_xlfn.XLOOKUP(B167,Master[Product_Code],Master[Category])</f>
        <v>Innerwear</v>
      </c>
      <c r="D167" s="2" t="str">
        <f>_xlfn.XLOOKUP(B167,Master[Product_Code],Master[Brand])</f>
        <v>Rupa</v>
      </c>
      <c r="E167" s="2" t="str">
        <f>_xlfn.XLOOKUP(B167,Master[Product_Code],Master[Style])</f>
        <v>Boxer</v>
      </c>
      <c r="F167" s="2" t="str">
        <f>_xlfn.XLOOKUP(B167,Master[Product_Code],Master[Fabric])</f>
        <v>Cotton Blend</v>
      </c>
      <c r="G167" s="2" t="str">
        <f>_xlfn.XLOOKUP(B167,Master[Product_Code],Master[Size])</f>
        <v>85-90</v>
      </c>
      <c r="H167" s="2" t="str">
        <f>_xlfn.XLOOKUP(B167,Master[Product_Code],Master[Color])</f>
        <v>Mustard</v>
      </c>
      <c r="I167" s="4">
        <f>_xlfn.XLOOKUP(B167,Master[Product_Code],Master[Stock_Qty])</f>
        <v>5</v>
      </c>
      <c r="J167" s="6">
        <f>SUMIFS(
  Sales_Entry[Qty],
  Sales_Entry[Product_Code], Stock_Table[[#This Row],[Product_Code]]
)</f>
        <v>3</v>
      </c>
      <c r="K167" s="4">
        <f>SUMIFS(
  Exchange_Return[Qty],
  Exchange_Return[Product_Code], Stock_Table[[#This Row],[Product_Code]]
)</f>
        <v>0</v>
      </c>
      <c r="L167" s="4">
        <f>I167-J167+K167</f>
        <v>2</v>
      </c>
      <c r="M167" s="2" t="str" cm="1">
        <f t="array" ref="M167">_xlfn.IFS(L167=0,"Out of Stock",L167&gt;=2,"Limited Stock",L167&lt;2,"In Stock")</f>
        <v>Limited Stock</v>
      </c>
    </row>
    <row r="168" spans="2:13">
      <c r="B168" s="2" t="s">
        <v>1634</v>
      </c>
      <c r="C168" s="5" t="str">
        <f>_xlfn.XLOOKUP(B168,Master[Product_Code],Master[Category])</f>
        <v>Innerwear</v>
      </c>
      <c r="D168" s="2" t="str">
        <f>_xlfn.XLOOKUP(B168,Master[Product_Code],Master[Brand])</f>
        <v>Lux</v>
      </c>
      <c r="E168" s="2" t="str">
        <f>_xlfn.XLOOKUP(B168,Master[Product_Code],Master[Style])</f>
        <v>V-Cut</v>
      </c>
      <c r="F168" s="2" t="str">
        <f>_xlfn.XLOOKUP(B168,Master[Product_Code],Master[Fabric])</f>
        <v>Cotton</v>
      </c>
      <c r="G168" s="2" t="str">
        <f>_xlfn.XLOOKUP(B168,Master[Product_Code],Master[Size])</f>
        <v>85-90</v>
      </c>
      <c r="H168" s="2" t="str">
        <f>_xlfn.XLOOKUP(B168,Master[Product_Code],Master[Color])</f>
        <v>Teal</v>
      </c>
      <c r="I168" s="4">
        <f>_xlfn.XLOOKUP(B168,Master[Product_Code],Master[Stock_Qty])</f>
        <v>5</v>
      </c>
      <c r="J168" s="6">
        <f>SUMIFS(
  Sales_Entry[Qty],
  Sales_Entry[Product_Code], Stock_Table[[#This Row],[Product_Code]]
)</f>
        <v>1</v>
      </c>
      <c r="K168" s="4">
        <f>SUMIFS(
  Exchange_Return[Qty],
  Exchange_Return[Product_Code], Stock_Table[[#This Row],[Product_Code]]
)</f>
        <v>0</v>
      </c>
      <c r="L168" s="4">
        <f>I168-J168+K168</f>
        <v>4</v>
      </c>
      <c r="M168" s="2" t="str" cm="1">
        <f t="array" ref="M168">_xlfn.IFS(L168=0,"Out of Stock",L168&gt;=2,"Limited Stock",L168&lt;2,"In Stock")</f>
        <v>Limited Stock</v>
      </c>
    </row>
    <row r="169" spans="2:13">
      <c r="B169" s="2" t="s">
        <v>1635</v>
      </c>
      <c r="C169" s="5" t="str">
        <f>_xlfn.XLOOKUP(B169,Master[Product_Code],Master[Category])</f>
        <v>Innerwear</v>
      </c>
      <c r="D169" s="2" t="str">
        <f>_xlfn.XLOOKUP(B169,Master[Product_Code],Master[Brand])</f>
        <v>V Star</v>
      </c>
      <c r="E169" s="2" t="str">
        <f>_xlfn.XLOOKUP(B169,Master[Product_Code],Master[Style])</f>
        <v>Boxer</v>
      </c>
      <c r="F169" s="2" t="str">
        <f>_xlfn.XLOOKUP(B169,Master[Product_Code],Master[Fabric])</f>
        <v>Cotton</v>
      </c>
      <c r="G169" s="2" t="str">
        <f>_xlfn.XLOOKUP(B169,Master[Product_Code],Master[Size])</f>
        <v>105-110</v>
      </c>
      <c r="H169" s="2" t="str">
        <f>_xlfn.XLOOKUP(B169,Master[Product_Code],Master[Color])</f>
        <v>Beige</v>
      </c>
      <c r="I169" s="4">
        <f>_xlfn.XLOOKUP(B169,Master[Product_Code],Master[Stock_Qty])</f>
        <v>4</v>
      </c>
      <c r="J169" s="6">
        <f>SUMIFS(
  Sales_Entry[Qty],
  Sales_Entry[Product_Code], Stock_Table[[#This Row],[Product_Code]]
)</f>
        <v>1</v>
      </c>
      <c r="K169" s="4">
        <f>SUMIFS(
  Exchange_Return[Qty],
  Exchange_Return[Product_Code], Stock_Table[[#This Row],[Product_Code]]
)</f>
        <v>0</v>
      </c>
      <c r="L169" s="4">
        <f>I169-J169+K169</f>
        <v>3</v>
      </c>
      <c r="M169" s="2" t="str" cm="1">
        <f t="array" ref="M169">_xlfn.IFS(L169=0,"Out of Stock",L169&gt;=2,"Limited Stock",L169&lt;2,"In Stock")</f>
        <v>Limited Stock</v>
      </c>
    </row>
    <row r="170" spans="2:13">
      <c r="B170" s="2" t="s">
        <v>1636</v>
      </c>
      <c r="C170" s="5" t="str">
        <f>_xlfn.XLOOKUP(B170,Master[Product_Code],Master[Category])</f>
        <v>Innerwear</v>
      </c>
      <c r="D170" s="2" t="str">
        <f>_xlfn.XLOOKUP(B170,Master[Product_Code],Master[Brand])</f>
        <v>Lux</v>
      </c>
      <c r="E170" s="2" t="str">
        <f>_xlfn.XLOOKUP(B170,Master[Product_Code],Master[Style])</f>
        <v>V-Cut</v>
      </c>
      <c r="F170" s="2" t="str">
        <f>_xlfn.XLOOKUP(B170,Master[Product_Code],Master[Fabric])</f>
        <v>Cotton</v>
      </c>
      <c r="G170" s="2" t="str">
        <f>_xlfn.XLOOKUP(B170,Master[Product_Code],Master[Size])</f>
        <v>105-110</v>
      </c>
      <c r="H170" s="2" t="str">
        <f>_xlfn.XLOOKUP(B170,Master[Product_Code],Master[Color])</f>
        <v>Royal Blue</v>
      </c>
      <c r="I170" s="4">
        <f>_xlfn.XLOOKUP(B170,Master[Product_Code],Master[Stock_Qty])</f>
        <v>3</v>
      </c>
      <c r="J170" s="6">
        <f>SUMIFS(
  Sales_Entry[Qty],
  Sales_Entry[Product_Code], Stock_Table[[#This Row],[Product_Code]]
)</f>
        <v>1</v>
      </c>
      <c r="K170" s="4">
        <f>SUMIFS(
  Exchange_Return[Qty],
  Exchange_Return[Product_Code], Stock_Table[[#This Row],[Product_Code]]
)</f>
        <v>0</v>
      </c>
      <c r="L170" s="4">
        <f>I170-J170+K170</f>
        <v>2</v>
      </c>
      <c r="M170" s="2" t="str" cm="1">
        <f t="array" ref="M170">_xlfn.IFS(L170=0,"Out of Stock",L170&gt;=2,"Limited Stock",L170&lt;2,"In Stock")</f>
        <v>Limited Stock</v>
      </c>
    </row>
    <row r="171" spans="2:13">
      <c r="B171" s="2" t="s">
        <v>1637</v>
      </c>
      <c r="C171" s="5" t="str">
        <f>_xlfn.XLOOKUP(B171,Master[Product_Code],Master[Category])</f>
        <v>Innerwear</v>
      </c>
      <c r="D171" s="2" t="str">
        <f>_xlfn.XLOOKUP(B171,Master[Product_Code],Master[Brand])</f>
        <v>V Star</v>
      </c>
      <c r="E171" s="2" t="str">
        <f>_xlfn.XLOOKUP(B171,Master[Product_Code],Master[Style])</f>
        <v>V-Cut</v>
      </c>
      <c r="F171" s="2" t="str">
        <f>_xlfn.XLOOKUP(B171,Master[Product_Code],Master[Fabric])</f>
        <v>Cotton</v>
      </c>
      <c r="G171" s="2" t="str">
        <f>_xlfn.XLOOKUP(B171,Master[Product_Code],Master[Size])</f>
        <v>105-110</v>
      </c>
      <c r="H171" s="2" t="str">
        <f>_xlfn.XLOOKUP(B171,Master[Product_Code],Master[Color])</f>
        <v>Cream</v>
      </c>
      <c r="I171" s="4">
        <f>_xlfn.XLOOKUP(B171,Master[Product_Code],Master[Stock_Qty])</f>
        <v>3</v>
      </c>
      <c r="J171" s="6">
        <f>SUMIFS(
  Sales_Entry[Qty],
  Sales_Entry[Product_Code], Stock_Table[[#This Row],[Product_Code]]
)</f>
        <v>3</v>
      </c>
      <c r="K171" s="4">
        <f>SUMIFS(
  Exchange_Return[Qty],
  Exchange_Return[Product_Code], Stock_Table[[#This Row],[Product_Code]]
)</f>
        <v>0</v>
      </c>
      <c r="L171" s="4">
        <f>I171-J171+K171</f>
        <v>0</v>
      </c>
      <c r="M171" s="2" t="str" cm="1">
        <f t="array" ref="M171">_xlfn.IFS(L171=0,"Out of Stock",L171&gt;=2,"Limited Stock",L171&lt;2,"In Stock")</f>
        <v>Out of Stock</v>
      </c>
    </row>
    <row r="172" spans="2:13">
      <c r="B172" s="2" t="s">
        <v>1638</v>
      </c>
      <c r="C172" s="5" t="str">
        <f>_xlfn.XLOOKUP(B172,Master[Product_Code],Master[Category])</f>
        <v>Innerwear</v>
      </c>
      <c r="D172" s="2" t="str">
        <f>_xlfn.XLOOKUP(B172,Master[Product_Code],Master[Brand])</f>
        <v>V Star</v>
      </c>
      <c r="E172" s="2" t="str">
        <f>_xlfn.XLOOKUP(B172,Master[Product_Code],Master[Style])</f>
        <v>Boxer</v>
      </c>
      <c r="F172" s="2" t="str">
        <f>_xlfn.XLOOKUP(B172,Master[Product_Code],Master[Fabric])</f>
        <v>Cotton Blend</v>
      </c>
      <c r="G172" s="2" t="str">
        <f>_xlfn.XLOOKUP(B172,Master[Product_Code],Master[Size])</f>
        <v>105-110</v>
      </c>
      <c r="H172" s="2" t="str">
        <f>_xlfn.XLOOKUP(B172,Master[Product_Code],Master[Color])</f>
        <v>Peach</v>
      </c>
      <c r="I172" s="4">
        <f>_xlfn.XLOOKUP(B172,Master[Product_Code],Master[Stock_Qty])</f>
        <v>4</v>
      </c>
      <c r="J172" s="6">
        <f>SUMIFS(
  Sales_Entry[Qty],
  Sales_Entry[Product_Code], Stock_Table[[#This Row],[Product_Code]]
)</f>
        <v>0</v>
      </c>
      <c r="K172" s="4">
        <f>SUMIFS(
  Exchange_Return[Qty],
  Exchange_Return[Product_Code], Stock_Table[[#This Row],[Product_Code]]
)</f>
        <v>0</v>
      </c>
      <c r="L172" s="4">
        <f>I172-J172+K172</f>
        <v>4</v>
      </c>
      <c r="M172" s="2" t="str" cm="1">
        <f t="array" ref="M172">_xlfn.IFS(L172=0,"Out of Stock",L172&gt;=2,"Limited Stock",L172&lt;2,"In Stock")</f>
        <v>Limited Stock</v>
      </c>
    </row>
    <row r="173" spans="2:13">
      <c r="B173" s="2" t="s">
        <v>1639</v>
      </c>
      <c r="C173" s="5" t="str">
        <f>_xlfn.XLOOKUP(B173,Master[Product_Code],Master[Category])</f>
        <v>Innerwear</v>
      </c>
      <c r="D173" s="2" t="str">
        <f>_xlfn.XLOOKUP(B173,Master[Product_Code],Master[Brand])</f>
        <v>Rupa</v>
      </c>
      <c r="E173" s="2" t="str">
        <f>_xlfn.XLOOKUP(B173,Master[Product_Code],Master[Style])</f>
        <v>V-Cut</v>
      </c>
      <c r="F173" s="2" t="str">
        <f>_xlfn.XLOOKUP(B173,Master[Product_Code],Master[Fabric])</f>
        <v>Cotton</v>
      </c>
      <c r="G173" s="2" t="str">
        <f>_xlfn.XLOOKUP(B173,Master[Product_Code],Master[Size])</f>
        <v>80-85</v>
      </c>
      <c r="H173" s="2" t="str">
        <f>_xlfn.XLOOKUP(B173,Master[Product_Code],Master[Color])</f>
        <v>Bottle Green</v>
      </c>
      <c r="I173" s="4">
        <f>_xlfn.XLOOKUP(B173,Master[Product_Code],Master[Stock_Qty])</f>
        <v>5</v>
      </c>
      <c r="J173" s="6">
        <f>SUMIFS(
  Sales_Entry[Qty],
  Sales_Entry[Product_Code], Stock_Table[[#This Row],[Product_Code]]
)</f>
        <v>0</v>
      </c>
      <c r="K173" s="4">
        <f>SUMIFS(
  Exchange_Return[Qty],
  Exchange_Return[Product_Code], Stock_Table[[#This Row],[Product_Code]]
)</f>
        <v>0</v>
      </c>
      <c r="L173" s="4">
        <f>I173-J173+K173</f>
        <v>5</v>
      </c>
      <c r="M173" s="2" t="str" cm="1">
        <f t="array" ref="M173">_xlfn.IFS(L173=0,"Out of Stock",L173&gt;=2,"Limited Stock",L173&lt;2,"In Stock")</f>
        <v>Limited Stock</v>
      </c>
    </row>
    <row r="174" spans="2:13">
      <c r="B174" s="2" t="s">
        <v>1640</v>
      </c>
      <c r="C174" s="5" t="str">
        <f>_xlfn.XLOOKUP(B174,Master[Product_Code],Master[Category])</f>
        <v>Innerwear</v>
      </c>
      <c r="D174" s="2" t="str">
        <f>_xlfn.XLOOKUP(B174,Master[Product_Code],Master[Brand])</f>
        <v>Dollar</v>
      </c>
      <c r="E174" s="2" t="str">
        <f>_xlfn.XLOOKUP(B174,Master[Product_Code],Master[Style])</f>
        <v>Boxer</v>
      </c>
      <c r="F174" s="2" t="str">
        <f>_xlfn.XLOOKUP(B174,Master[Product_Code],Master[Fabric])</f>
        <v>Cotton</v>
      </c>
      <c r="G174" s="2" t="str">
        <f>_xlfn.XLOOKUP(B174,Master[Product_Code],Master[Size])</f>
        <v>90-100</v>
      </c>
      <c r="H174" s="2" t="str">
        <f>_xlfn.XLOOKUP(B174,Master[Product_Code],Master[Color])</f>
        <v>Navy Blue</v>
      </c>
      <c r="I174" s="4">
        <f>_xlfn.XLOOKUP(B174,Master[Product_Code],Master[Stock_Qty])</f>
        <v>6</v>
      </c>
      <c r="J174" s="6">
        <f>SUMIFS(
  Sales_Entry[Qty],
  Sales_Entry[Product_Code], Stock_Table[[#This Row],[Product_Code]]
)</f>
        <v>5</v>
      </c>
      <c r="K174" s="4">
        <f>SUMIFS(
  Exchange_Return[Qty],
  Exchange_Return[Product_Code], Stock_Table[[#This Row],[Product_Code]]
)</f>
        <v>0</v>
      </c>
      <c r="L174" s="4">
        <f>I174-J174+K174</f>
        <v>1</v>
      </c>
      <c r="M174" s="2" t="str" cm="1">
        <f t="array" ref="M174">_xlfn.IFS(L174=0,"Out of Stock",L174&gt;=2,"Limited Stock",L174&lt;2,"In Stock")</f>
        <v>In Stock</v>
      </c>
    </row>
    <row r="175" spans="2:13">
      <c r="B175" s="2" t="s">
        <v>1641</v>
      </c>
      <c r="C175" s="5" t="str">
        <f>_xlfn.XLOOKUP(B175,Master[Product_Code],Master[Category])</f>
        <v>Innerwear</v>
      </c>
      <c r="D175" s="2" t="str">
        <f>_xlfn.XLOOKUP(B175,Master[Product_Code],Master[Brand])</f>
        <v>V Star</v>
      </c>
      <c r="E175" s="2" t="str">
        <f>_xlfn.XLOOKUP(B175,Master[Product_Code],Master[Style])</f>
        <v>V-Cut</v>
      </c>
      <c r="F175" s="2" t="str">
        <f>_xlfn.XLOOKUP(B175,Master[Product_Code],Master[Fabric])</f>
        <v>Cotton</v>
      </c>
      <c r="G175" s="2" t="str">
        <f>_xlfn.XLOOKUP(B175,Master[Product_Code],Master[Size])</f>
        <v>100-105</v>
      </c>
      <c r="H175" s="2" t="str">
        <f>_xlfn.XLOOKUP(B175,Master[Product_Code],Master[Color])</f>
        <v>Beige</v>
      </c>
      <c r="I175" s="4">
        <f>_xlfn.XLOOKUP(B175,Master[Product_Code],Master[Stock_Qty])</f>
        <v>4</v>
      </c>
      <c r="J175" s="6">
        <f>SUMIFS(
  Sales_Entry[Qty],
  Sales_Entry[Product_Code], Stock_Table[[#This Row],[Product_Code]]
)</f>
        <v>1</v>
      </c>
      <c r="K175" s="4">
        <f>SUMIFS(
  Exchange_Return[Qty],
  Exchange_Return[Product_Code], Stock_Table[[#This Row],[Product_Code]]
)</f>
        <v>0</v>
      </c>
      <c r="L175" s="4">
        <f>I175-J175+K175</f>
        <v>3</v>
      </c>
      <c r="M175" s="2" t="str" cm="1">
        <f t="array" ref="M175">_xlfn.IFS(L175=0,"Out of Stock",L175&gt;=2,"Limited Stock",L175&lt;2,"In Stock")</f>
        <v>Limited Stock</v>
      </c>
    </row>
    <row r="176" spans="2:13">
      <c r="B176" s="2" t="s">
        <v>1642</v>
      </c>
      <c r="C176" s="5" t="str">
        <f>_xlfn.XLOOKUP(B176,Master[Product_Code],Master[Category])</f>
        <v>Innerwear</v>
      </c>
      <c r="D176" s="2" t="str">
        <f>_xlfn.XLOOKUP(B176,Master[Product_Code],Master[Brand])</f>
        <v>Lux</v>
      </c>
      <c r="E176" s="2" t="str">
        <f>_xlfn.XLOOKUP(B176,Master[Product_Code],Master[Style])</f>
        <v>V-Cut</v>
      </c>
      <c r="F176" s="2" t="str">
        <f>_xlfn.XLOOKUP(B176,Master[Product_Code],Master[Fabric])</f>
        <v>Cotton</v>
      </c>
      <c r="G176" s="2" t="str">
        <f>_xlfn.XLOOKUP(B176,Master[Product_Code],Master[Size])</f>
        <v>105-110</v>
      </c>
      <c r="H176" s="2" t="str">
        <f>_xlfn.XLOOKUP(B176,Master[Product_Code],Master[Color])</f>
        <v>Rust</v>
      </c>
      <c r="I176" s="4">
        <f>_xlfn.XLOOKUP(B176,Master[Product_Code],Master[Stock_Qty])</f>
        <v>6</v>
      </c>
      <c r="J176" s="6">
        <f>SUMIFS(
  Sales_Entry[Qty],
  Sales_Entry[Product_Code], Stock_Table[[#This Row],[Product_Code]]
)</f>
        <v>0</v>
      </c>
      <c r="K176" s="4">
        <f>SUMIFS(
  Exchange_Return[Qty],
  Exchange_Return[Product_Code], Stock_Table[[#This Row],[Product_Code]]
)</f>
        <v>0</v>
      </c>
      <c r="L176" s="4">
        <f>I176-J176+K176</f>
        <v>6</v>
      </c>
      <c r="M176" s="2" t="str" cm="1">
        <f t="array" ref="M176">_xlfn.IFS(L176=0,"Out of Stock",L176&gt;=2,"Limited Stock",L176&lt;2,"In Stock")</f>
        <v>Limited Stock</v>
      </c>
    </row>
    <row r="177" spans="2:13">
      <c r="B177" s="2" t="s">
        <v>1643</v>
      </c>
      <c r="C177" s="5" t="str">
        <f>_xlfn.XLOOKUP(B177,Master[Product_Code],Master[Category])</f>
        <v>Innerwear</v>
      </c>
      <c r="D177" s="2" t="str">
        <f>_xlfn.XLOOKUP(B177,Master[Product_Code],Master[Brand])</f>
        <v>V Star</v>
      </c>
      <c r="E177" s="2" t="str">
        <f>_xlfn.XLOOKUP(B177,Master[Product_Code],Master[Style])</f>
        <v>V-Cut</v>
      </c>
      <c r="F177" s="2" t="str">
        <f>_xlfn.XLOOKUP(B177,Master[Product_Code],Master[Fabric])</f>
        <v>Cotton</v>
      </c>
      <c r="G177" s="2" t="str">
        <f>_xlfn.XLOOKUP(B177,Master[Product_Code],Master[Size])</f>
        <v>90-100</v>
      </c>
      <c r="H177" s="2" t="str">
        <f>_xlfn.XLOOKUP(B177,Master[Product_Code],Master[Color])</f>
        <v>Wine</v>
      </c>
      <c r="I177" s="4">
        <f>_xlfn.XLOOKUP(B177,Master[Product_Code],Master[Stock_Qty])</f>
        <v>6</v>
      </c>
      <c r="J177" s="6">
        <f>SUMIFS(
  Sales_Entry[Qty],
  Sales_Entry[Product_Code], Stock_Table[[#This Row],[Product_Code]]
)</f>
        <v>1</v>
      </c>
      <c r="K177" s="4">
        <f>SUMIFS(
  Exchange_Return[Qty],
  Exchange_Return[Product_Code], Stock_Table[[#This Row],[Product_Code]]
)</f>
        <v>0</v>
      </c>
      <c r="L177" s="4">
        <f>I177-J177+K177</f>
        <v>5</v>
      </c>
      <c r="M177" s="2" t="str" cm="1">
        <f t="array" ref="M177">_xlfn.IFS(L177=0,"Out of Stock",L177&gt;=2,"Limited Stock",L177&lt;2,"In Stock")</f>
        <v>Limited Stock</v>
      </c>
    </row>
    <row r="178" spans="2:13">
      <c r="B178" s="2" t="s">
        <v>1644</v>
      </c>
      <c r="C178" s="5" t="str">
        <f>_xlfn.XLOOKUP(B178,Master[Product_Code],Master[Category])</f>
        <v>Innerwear</v>
      </c>
      <c r="D178" s="2" t="str">
        <f>_xlfn.XLOOKUP(B178,Master[Product_Code],Master[Brand])</f>
        <v>Jockey</v>
      </c>
      <c r="E178" s="2" t="str">
        <f>_xlfn.XLOOKUP(B178,Master[Product_Code],Master[Style])</f>
        <v>Boxer</v>
      </c>
      <c r="F178" s="2" t="str">
        <f>_xlfn.XLOOKUP(B178,Master[Product_Code],Master[Fabric])</f>
        <v>Cotton</v>
      </c>
      <c r="G178" s="2" t="str">
        <f>_xlfn.XLOOKUP(B178,Master[Product_Code],Master[Size])</f>
        <v>80-85</v>
      </c>
      <c r="H178" s="2" t="str">
        <f>_xlfn.XLOOKUP(B178,Master[Product_Code],Master[Color])</f>
        <v>Black</v>
      </c>
      <c r="I178" s="4">
        <f>_xlfn.XLOOKUP(B178,Master[Product_Code],Master[Stock_Qty])</f>
        <v>4</v>
      </c>
      <c r="J178" s="6">
        <f>SUMIFS(
  Sales_Entry[Qty],
  Sales_Entry[Product_Code], Stock_Table[[#This Row],[Product_Code]]
)</f>
        <v>4</v>
      </c>
      <c r="K178" s="4">
        <f>SUMIFS(
  Exchange_Return[Qty],
  Exchange_Return[Product_Code], Stock_Table[[#This Row],[Product_Code]]
)</f>
        <v>0</v>
      </c>
      <c r="L178" s="4">
        <f>I178-J178+K178</f>
        <v>0</v>
      </c>
      <c r="M178" s="2" t="str" cm="1">
        <f t="array" ref="M178">_xlfn.IFS(L178=0,"Out of Stock",L178&gt;=2,"Limited Stock",L178&lt;2,"In Stock")</f>
        <v>Out of Stock</v>
      </c>
    </row>
    <row r="179" spans="2:13">
      <c r="B179" s="2" t="s">
        <v>1645</v>
      </c>
      <c r="C179" s="5" t="str">
        <f>_xlfn.XLOOKUP(B179,Master[Product_Code],Master[Category])</f>
        <v>Innerwear</v>
      </c>
      <c r="D179" s="2" t="str">
        <f>_xlfn.XLOOKUP(B179,Master[Product_Code],Master[Brand])</f>
        <v>V Star</v>
      </c>
      <c r="E179" s="2" t="str">
        <f>_xlfn.XLOOKUP(B179,Master[Product_Code],Master[Style])</f>
        <v>V-Cut</v>
      </c>
      <c r="F179" s="2" t="str">
        <f>_xlfn.XLOOKUP(B179,Master[Product_Code],Master[Fabric])</f>
        <v>Cotton Blend</v>
      </c>
      <c r="G179" s="2" t="str">
        <f>_xlfn.XLOOKUP(B179,Master[Product_Code],Master[Size])</f>
        <v>100-105</v>
      </c>
      <c r="H179" s="2" t="str">
        <f>_xlfn.XLOOKUP(B179,Master[Product_Code],Master[Color])</f>
        <v>Wine</v>
      </c>
      <c r="I179" s="4">
        <f>_xlfn.XLOOKUP(B179,Master[Product_Code],Master[Stock_Qty])</f>
        <v>5</v>
      </c>
      <c r="J179" s="6">
        <f>SUMIFS(
  Sales_Entry[Qty],
  Sales_Entry[Product_Code], Stock_Table[[#This Row],[Product_Code]]
)</f>
        <v>3</v>
      </c>
      <c r="K179" s="4">
        <f>SUMIFS(
  Exchange_Return[Qty],
  Exchange_Return[Product_Code], Stock_Table[[#This Row],[Product_Code]]
)</f>
        <v>0</v>
      </c>
      <c r="L179" s="4">
        <f>I179-J179+K179</f>
        <v>2</v>
      </c>
      <c r="M179" s="2" t="str" cm="1">
        <f t="array" ref="M179">_xlfn.IFS(L179=0,"Out of Stock",L179&gt;=2,"Limited Stock",L179&lt;2,"In Stock")</f>
        <v>Limited Stock</v>
      </c>
    </row>
    <row r="180" spans="2:13">
      <c r="B180" s="2" t="s">
        <v>1646</v>
      </c>
      <c r="C180" s="5" t="str">
        <f>_xlfn.XLOOKUP(B180,Master[Product_Code],Master[Category])</f>
        <v>Innerwear</v>
      </c>
      <c r="D180" s="2" t="str">
        <f>_xlfn.XLOOKUP(B180,Master[Product_Code],Master[Brand])</f>
        <v>Rupa</v>
      </c>
      <c r="E180" s="2" t="str">
        <f>_xlfn.XLOOKUP(B180,Master[Product_Code],Master[Style])</f>
        <v>Boxer</v>
      </c>
      <c r="F180" s="2" t="str">
        <f>_xlfn.XLOOKUP(B180,Master[Product_Code],Master[Fabric])</f>
        <v>Cotton Blend</v>
      </c>
      <c r="G180" s="2" t="str">
        <f>_xlfn.XLOOKUP(B180,Master[Product_Code],Master[Size])</f>
        <v>100-105</v>
      </c>
      <c r="H180" s="2" t="str">
        <f>_xlfn.XLOOKUP(B180,Master[Product_Code],Master[Color])</f>
        <v>Sky Blue</v>
      </c>
      <c r="I180" s="4">
        <f>_xlfn.XLOOKUP(B180,Master[Product_Code],Master[Stock_Qty])</f>
        <v>4</v>
      </c>
      <c r="J180" s="6">
        <f>SUMIFS(
  Sales_Entry[Qty],
  Sales_Entry[Product_Code], Stock_Table[[#This Row],[Product_Code]]
)</f>
        <v>1</v>
      </c>
      <c r="K180" s="4">
        <f>SUMIFS(
  Exchange_Return[Qty],
  Exchange_Return[Product_Code], Stock_Table[[#This Row],[Product_Code]]
)</f>
        <v>0</v>
      </c>
      <c r="L180" s="4">
        <f>I180-J180+K180</f>
        <v>3</v>
      </c>
      <c r="M180" s="2" t="str" cm="1">
        <f t="array" ref="M180">_xlfn.IFS(L180=0,"Out of Stock",L180&gt;=2,"Limited Stock",L180&lt;2,"In Stock")</f>
        <v>Limited Stock</v>
      </c>
    </row>
    <row r="181" spans="2:13">
      <c r="B181" s="2" t="s">
        <v>1647</v>
      </c>
      <c r="C181" s="5" t="str">
        <f>_xlfn.XLOOKUP(B181,Master[Product_Code],Master[Category])</f>
        <v>Innerwear</v>
      </c>
      <c r="D181" s="2" t="str">
        <f>_xlfn.XLOOKUP(B181,Master[Product_Code],Master[Brand])</f>
        <v>Lux</v>
      </c>
      <c r="E181" s="2" t="str">
        <f>_xlfn.XLOOKUP(B181,Master[Product_Code],Master[Style])</f>
        <v>V-Cut</v>
      </c>
      <c r="F181" s="2" t="str">
        <f>_xlfn.XLOOKUP(B181,Master[Product_Code],Master[Fabric])</f>
        <v>Cotton Blend</v>
      </c>
      <c r="G181" s="2" t="str">
        <f>_xlfn.XLOOKUP(B181,Master[Product_Code],Master[Size])</f>
        <v>75-80</v>
      </c>
      <c r="H181" s="2" t="str">
        <f>_xlfn.XLOOKUP(B181,Master[Product_Code],Master[Color])</f>
        <v>Maroon</v>
      </c>
      <c r="I181" s="4">
        <f>_xlfn.XLOOKUP(B181,Master[Product_Code],Master[Stock_Qty])</f>
        <v>5</v>
      </c>
      <c r="J181" s="6">
        <f>SUMIFS(
  Sales_Entry[Qty],
  Sales_Entry[Product_Code], Stock_Table[[#This Row],[Product_Code]]
)</f>
        <v>1</v>
      </c>
      <c r="K181" s="4">
        <f>SUMIFS(
  Exchange_Return[Qty],
  Exchange_Return[Product_Code], Stock_Table[[#This Row],[Product_Code]]
)</f>
        <v>0</v>
      </c>
      <c r="L181" s="4">
        <f>I181-J181+K181</f>
        <v>4</v>
      </c>
      <c r="M181" s="2" t="str" cm="1">
        <f t="array" ref="M181">_xlfn.IFS(L181=0,"Out of Stock",L181&gt;=2,"Limited Stock",L181&lt;2,"In Stock")</f>
        <v>Limited Stock</v>
      </c>
    </row>
    <row r="182" spans="2:13">
      <c r="B182" s="2" t="s">
        <v>1648</v>
      </c>
      <c r="C182" s="5" t="str">
        <f>_xlfn.XLOOKUP(B182,Master[Product_Code],Master[Category])</f>
        <v>Innerwear</v>
      </c>
      <c r="D182" s="2" t="str">
        <f>_xlfn.XLOOKUP(B182,Master[Product_Code],Master[Brand])</f>
        <v>Dollar</v>
      </c>
      <c r="E182" s="2" t="str">
        <f>_xlfn.XLOOKUP(B182,Master[Product_Code],Master[Style])</f>
        <v>V-Cut</v>
      </c>
      <c r="F182" s="2" t="str">
        <f>_xlfn.XLOOKUP(B182,Master[Product_Code],Master[Fabric])</f>
        <v>Cotton</v>
      </c>
      <c r="G182" s="2" t="str">
        <f>_xlfn.XLOOKUP(B182,Master[Product_Code],Master[Size])</f>
        <v>80-85</v>
      </c>
      <c r="H182" s="2" t="str">
        <f>_xlfn.XLOOKUP(B182,Master[Product_Code],Master[Color])</f>
        <v>Dark Green</v>
      </c>
      <c r="I182" s="4">
        <f>_xlfn.XLOOKUP(B182,Master[Product_Code],Master[Stock_Qty])</f>
        <v>3</v>
      </c>
      <c r="J182" s="6">
        <f>SUMIFS(
  Sales_Entry[Qty],
  Sales_Entry[Product_Code], Stock_Table[[#This Row],[Product_Code]]
)</f>
        <v>0</v>
      </c>
      <c r="K182" s="4">
        <f>SUMIFS(
  Exchange_Return[Qty],
  Exchange_Return[Product_Code], Stock_Table[[#This Row],[Product_Code]]
)</f>
        <v>0</v>
      </c>
      <c r="L182" s="4">
        <f>I182-J182+K182</f>
        <v>3</v>
      </c>
      <c r="M182" s="2" t="str" cm="1">
        <f t="array" ref="M182">_xlfn.IFS(L182=0,"Out of Stock",L182&gt;=2,"Limited Stock",L182&lt;2,"In Stock")</f>
        <v>Limited Stock</v>
      </c>
    </row>
    <row r="183" spans="2:13">
      <c r="B183" s="2" t="s">
        <v>1649</v>
      </c>
      <c r="C183" s="5" t="str">
        <f>_xlfn.XLOOKUP(B183,Master[Product_Code],Master[Category])</f>
        <v>Innerwear</v>
      </c>
      <c r="D183" s="2" t="str">
        <f>_xlfn.XLOOKUP(B183,Master[Product_Code],Master[Brand])</f>
        <v>Dollar</v>
      </c>
      <c r="E183" s="2" t="str">
        <f>_xlfn.XLOOKUP(B183,Master[Product_Code],Master[Style])</f>
        <v>Boxer</v>
      </c>
      <c r="F183" s="2" t="str">
        <f>_xlfn.XLOOKUP(B183,Master[Product_Code],Master[Fabric])</f>
        <v>Cotton Blend</v>
      </c>
      <c r="G183" s="2" t="str">
        <f>_xlfn.XLOOKUP(B183,Master[Product_Code],Master[Size])</f>
        <v>75-80</v>
      </c>
      <c r="H183" s="2" t="str">
        <f>_xlfn.XLOOKUP(B183,Master[Product_Code],Master[Color])</f>
        <v>Dark Green</v>
      </c>
      <c r="I183" s="4">
        <f>_xlfn.XLOOKUP(B183,Master[Product_Code],Master[Stock_Qty])</f>
        <v>5</v>
      </c>
      <c r="J183" s="6">
        <f>SUMIFS(
  Sales_Entry[Qty],
  Sales_Entry[Product_Code], Stock_Table[[#This Row],[Product_Code]]
)</f>
        <v>1</v>
      </c>
      <c r="K183" s="4">
        <f>SUMIFS(
  Exchange_Return[Qty],
  Exchange_Return[Product_Code], Stock_Table[[#This Row],[Product_Code]]
)</f>
        <v>0</v>
      </c>
      <c r="L183" s="4">
        <f>I183-J183+K183</f>
        <v>4</v>
      </c>
      <c r="M183" s="2" t="str" cm="1">
        <f t="array" ref="M183">_xlfn.IFS(L183=0,"Out of Stock",L183&gt;=2,"Limited Stock",L183&lt;2,"In Stock")</f>
        <v>Limited Stock</v>
      </c>
    </row>
    <row r="184" spans="2:13">
      <c r="B184" s="2" t="s">
        <v>1650</v>
      </c>
      <c r="C184" s="5" t="str">
        <f>_xlfn.XLOOKUP(B184,Master[Product_Code],Master[Category])</f>
        <v>Innerwear</v>
      </c>
      <c r="D184" s="2" t="str">
        <f>_xlfn.XLOOKUP(B184,Master[Product_Code],Master[Brand])</f>
        <v>Jockey</v>
      </c>
      <c r="E184" s="2" t="str">
        <f>_xlfn.XLOOKUP(B184,Master[Product_Code],Master[Style])</f>
        <v>Boxer</v>
      </c>
      <c r="F184" s="2" t="str">
        <f>_xlfn.XLOOKUP(B184,Master[Product_Code],Master[Fabric])</f>
        <v>Cotton Blend</v>
      </c>
      <c r="G184" s="2" t="str">
        <f>_xlfn.XLOOKUP(B184,Master[Product_Code],Master[Size])</f>
        <v>75-80</v>
      </c>
      <c r="H184" s="2" t="str">
        <f>_xlfn.XLOOKUP(B184,Master[Product_Code],Master[Color])</f>
        <v>Black</v>
      </c>
      <c r="I184" s="4">
        <f>_xlfn.XLOOKUP(B184,Master[Product_Code],Master[Stock_Qty])</f>
        <v>5</v>
      </c>
      <c r="J184" s="6">
        <f>SUMIFS(
  Sales_Entry[Qty],
  Sales_Entry[Product_Code], Stock_Table[[#This Row],[Product_Code]]
)</f>
        <v>1</v>
      </c>
      <c r="K184" s="4">
        <f>SUMIFS(
  Exchange_Return[Qty],
  Exchange_Return[Product_Code], Stock_Table[[#This Row],[Product_Code]]
)</f>
        <v>0</v>
      </c>
      <c r="L184" s="4">
        <f>I184-J184+K184</f>
        <v>4</v>
      </c>
      <c r="M184" s="2" t="str" cm="1">
        <f t="array" ref="M184">_xlfn.IFS(L184=0,"Out of Stock",L184&gt;=2,"Limited Stock",L184&lt;2,"In Stock")</f>
        <v>Limited Stock</v>
      </c>
    </row>
    <row r="185" spans="2:13">
      <c r="B185" s="2" t="s">
        <v>1651</v>
      </c>
      <c r="C185" s="5" t="str">
        <f>_xlfn.XLOOKUP(B185,Master[Product_Code],Master[Category])</f>
        <v>Innerwear</v>
      </c>
      <c r="D185" s="2" t="str">
        <f>_xlfn.XLOOKUP(B185,Master[Product_Code],Master[Brand])</f>
        <v>Dollar</v>
      </c>
      <c r="E185" s="2" t="str">
        <f>_xlfn.XLOOKUP(B185,Master[Product_Code],Master[Style])</f>
        <v>V-Cut</v>
      </c>
      <c r="F185" s="2" t="str">
        <f>_xlfn.XLOOKUP(B185,Master[Product_Code],Master[Fabric])</f>
        <v>Cotton Blend</v>
      </c>
      <c r="G185" s="2" t="str">
        <f>_xlfn.XLOOKUP(B185,Master[Product_Code],Master[Size])</f>
        <v>75-80</v>
      </c>
      <c r="H185" s="2" t="str">
        <f>_xlfn.XLOOKUP(B185,Master[Product_Code],Master[Color])</f>
        <v>Dark Green</v>
      </c>
      <c r="I185" s="4">
        <f>_xlfn.XLOOKUP(B185,Master[Product_Code],Master[Stock_Qty])</f>
        <v>3</v>
      </c>
      <c r="J185" s="6">
        <f>SUMIFS(
  Sales_Entry[Qty],
  Sales_Entry[Product_Code], Stock_Table[[#This Row],[Product_Code]]
)</f>
        <v>3</v>
      </c>
      <c r="K185" s="4">
        <f>SUMIFS(
  Exchange_Return[Qty],
  Exchange_Return[Product_Code], Stock_Table[[#This Row],[Product_Code]]
)</f>
        <v>0</v>
      </c>
      <c r="L185" s="4">
        <f>I185-J185+K185</f>
        <v>0</v>
      </c>
      <c r="M185" s="2" t="str" cm="1">
        <f t="array" ref="M185">_xlfn.IFS(L185=0,"Out of Stock",L185&gt;=2,"Limited Stock",L185&lt;2,"In Stock")</f>
        <v>Out of Stock</v>
      </c>
    </row>
    <row r="186" spans="2:13">
      <c r="B186" s="2" t="s">
        <v>1652</v>
      </c>
      <c r="C186" s="5" t="str">
        <f>_xlfn.XLOOKUP(B186,Master[Product_Code],Master[Category])</f>
        <v>Innerwear</v>
      </c>
      <c r="D186" s="2" t="str">
        <f>_xlfn.XLOOKUP(B186,Master[Product_Code],Master[Brand])</f>
        <v>Dollar</v>
      </c>
      <c r="E186" s="2" t="str">
        <f>_xlfn.XLOOKUP(B186,Master[Product_Code],Master[Style])</f>
        <v>V-Cut</v>
      </c>
      <c r="F186" s="2" t="str">
        <f>_xlfn.XLOOKUP(B186,Master[Product_Code],Master[Fabric])</f>
        <v>Cotton Blend</v>
      </c>
      <c r="G186" s="2" t="str">
        <f>_xlfn.XLOOKUP(B186,Master[Product_Code],Master[Size])</f>
        <v>80-85</v>
      </c>
      <c r="H186" s="2" t="str">
        <f>_xlfn.XLOOKUP(B186,Master[Product_Code],Master[Color])</f>
        <v>Mustard</v>
      </c>
      <c r="I186" s="4">
        <f>_xlfn.XLOOKUP(B186,Master[Product_Code],Master[Stock_Qty])</f>
        <v>5</v>
      </c>
      <c r="J186" s="6">
        <f>SUMIFS(
  Sales_Entry[Qty],
  Sales_Entry[Product_Code], Stock_Table[[#This Row],[Product_Code]]
)</f>
        <v>2</v>
      </c>
      <c r="K186" s="4">
        <f>SUMIFS(
  Exchange_Return[Qty],
  Exchange_Return[Product_Code], Stock_Table[[#This Row],[Product_Code]]
)</f>
        <v>0</v>
      </c>
      <c r="L186" s="4">
        <f>I186-J186+K186</f>
        <v>3</v>
      </c>
      <c r="M186" s="2" t="str" cm="1">
        <f t="array" ref="M186">_xlfn.IFS(L186=0,"Out of Stock",L186&gt;=2,"Limited Stock",L186&lt;2,"In Stock")</f>
        <v>Limited Stock</v>
      </c>
    </row>
    <row r="187" spans="2:13">
      <c r="B187" s="2" t="s">
        <v>1653</v>
      </c>
      <c r="C187" s="5" t="str">
        <f>_xlfn.XLOOKUP(B187,Master[Product_Code],Master[Category])</f>
        <v>Innerwear</v>
      </c>
      <c r="D187" s="2" t="str">
        <f>_xlfn.XLOOKUP(B187,Master[Product_Code],Master[Brand])</f>
        <v>V Star</v>
      </c>
      <c r="E187" s="2" t="str">
        <f>_xlfn.XLOOKUP(B187,Master[Product_Code],Master[Style])</f>
        <v>Boxer</v>
      </c>
      <c r="F187" s="2" t="str">
        <f>_xlfn.XLOOKUP(B187,Master[Product_Code],Master[Fabric])</f>
        <v>Cotton</v>
      </c>
      <c r="G187" s="2" t="str">
        <f>_xlfn.XLOOKUP(B187,Master[Product_Code],Master[Size])</f>
        <v>90-100</v>
      </c>
      <c r="H187" s="2" t="str">
        <f>_xlfn.XLOOKUP(B187,Master[Product_Code],Master[Color])</f>
        <v>Charcoal</v>
      </c>
      <c r="I187" s="4">
        <f>_xlfn.XLOOKUP(B187,Master[Product_Code],Master[Stock_Qty])</f>
        <v>6</v>
      </c>
      <c r="J187" s="6">
        <f>SUMIFS(
  Sales_Entry[Qty],
  Sales_Entry[Product_Code], Stock_Table[[#This Row],[Product_Code]]
)</f>
        <v>3</v>
      </c>
      <c r="K187" s="4">
        <f>SUMIFS(
  Exchange_Return[Qty],
  Exchange_Return[Product_Code], Stock_Table[[#This Row],[Product_Code]]
)</f>
        <v>0</v>
      </c>
      <c r="L187" s="4">
        <f>I187-J187+K187</f>
        <v>3</v>
      </c>
      <c r="M187" s="2" t="str" cm="1">
        <f t="array" ref="M187">_xlfn.IFS(L187=0,"Out of Stock",L187&gt;=2,"Limited Stock",L187&lt;2,"In Stock")</f>
        <v>Limited Stock</v>
      </c>
    </row>
    <row r="188" spans="2:13">
      <c r="B188" s="2" t="s">
        <v>1654</v>
      </c>
      <c r="C188" s="5" t="str">
        <f>_xlfn.XLOOKUP(B188,Master[Product_Code],Master[Category])</f>
        <v>Innerwear</v>
      </c>
      <c r="D188" s="2" t="str">
        <f>_xlfn.XLOOKUP(B188,Master[Product_Code],Master[Brand])</f>
        <v>Rupa</v>
      </c>
      <c r="E188" s="2" t="str">
        <f>_xlfn.XLOOKUP(B188,Master[Product_Code],Master[Style])</f>
        <v>Boxer</v>
      </c>
      <c r="F188" s="2" t="str">
        <f>_xlfn.XLOOKUP(B188,Master[Product_Code],Master[Fabric])</f>
        <v>Cotton</v>
      </c>
      <c r="G188" s="2" t="str">
        <f>_xlfn.XLOOKUP(B188,Master[Product_Code],Master[Size])</f>
        <v>90-100</v>
      </c>
      <c r="H188" s="2" t="str">
        <f>_xlfn.XLOOKUP(B188,Master[Product_Code],Master[Color])</f>
        <v>Olive</v>
      </c>
      <c r="I188" s="4">
        <f>_xlfn.XLOOKUP(B188,Master[Product_Code],Master[Stock_Qty])</f>
        <v>6</v>
      </c>
      <c r="J188" s="6">
        <f>SUMIFS(
  Sales_Entry[Qty],
  Sales_Entry[Product_Code], Stock_Table[[#This Row],[Product_Code]]
)</f>
        <v>3</v>
      </c>
      <c r="K188" s="4">
        <f>SUMIFS(
  Exchange_Return[Qty],
  Exchange_Return[Product_Code], Stock_Table[[#This Row],[Product_Code]]
)</f>
        <v>0</v>
      </c>
      <c r="L188" s="4">
        <f>I188-J188+K188</f>
        <v>3</v>
      </c>
      <c r="M188" s="2" t="str" cm="1">
        <f t="array" ref="M188">_xlfn.IFS(L188=0,"Out of Stock",L188&gt;=2,"Limited Stock",L188&lt;2,"In Stock")</f>
        <v>Limited Stock</v>
      </c>
    </row>
    <row r="189" spans="2:13">
      <c r="B189" s="2" t="s">
        <v>1655</v>
      </c>
      <c r="C189" s="5" t="str">
        <f>_xlfn.XLOOKUP(B189,Master[Product_Code],Master[Category])</f>
        <v>Innerwear</v>
      </c>
      <c r="D189" s="2" t="str">
        <f>_xlfn.XLOOKUP(B189,Master[Product_Code],Master[Brand])</f>
        <v>Rupa</v>
      </c>
      <c r="E189" s="2" t="str">
        <f>_xlfn.XLOOKUP(B189,Master[Product_Code],Master[Style])</f>
        <v>V-Cut</v>
      </c>
      <c r="F189" s="2" t="str">
        <f>_xlfn.XLOOKUP(B189,Master[Product_Code],Master[Fabric])</f>
        <v>Cotton Blend</v>
      </c>
      <c r="G189" s="2" t="str">
        <f>_xlfn.XLOOKUP(B189,Master[Product_Code],Master[Size])</f>
        <v>105-110</v>
      </c>
      <c r="H189" s="2" t="str">
        <f>_xlfn.XLOOKUP(B189,Master[Product_Code],Master[Color])</f>
        <v>Olive</v>
      </c>
      <c r="I189" s="4">
        <f>_xlfn.XLOOKUP(B189,Master[Product_Code],Master[Stock_Qty])</f>
        <v>5</v>
      </c>
      <c r="J189" s="6">
        <f>SUMIFS(
  Sales_Entry[Qty],
  Sales_Entry[Product_Code], Stock_Table[[#This Row],[Product_Code]]
)</f>
        <v>2</v>
      </c>
      <c r="K189" s="4">
        <f>SUMIFS(
  Exchange_Return[Qty],
  Exchange_Return[Product_Code], Stock_Table[[#This Row],[Product_Code]]
)</f>
        <v>0</v>
      </c>
      <c r="L189" s="4">
        <f>I189-J189+K189</f>
        <v>3</v>
      </c>
      <c r="M189" s="2" t="str" cm="1">
        <f t="array" ref="M189">_xlfn.IFS(L189=0,"Out of Stock",L189&gt;=2,"Limited Stock",L189&lt;2,"In Stock")</f>
        <v>Limited Stock</v>
      </c>
    </row>
    <row r="190" spans="2:13">
      <c r="B190" s="2" t="s">
        <v>1656</v>
      </c>
      <c r="C190" s="5" t="str">
        <f>_xlfn.XLOOKUP(B190,Master[Product_Code],Master[Category])</f>
        <v>Innerwear</v>
      </c>
      <c r="D190" s="2" t="str">
        <f>_xlfn.XLOOKUP(B190,Master[Product_Code],Master[Brand])</f>
        <v>Dollar</v>
      </c>
      <c r="E190" s="2" t="str">
        <f>_xlfn.XLOOKUP(B190,Master[Product_Code],Master[Style])</f>
        <v>V-Cut</v>
      </c>
      <c r="F190" s="2" t="str">
        <f>_xlfn.XLOOKUP(B190,Master[Product_Code],Master[Fabric])</f>
        <v>Cotton</v>
      </c>
      <c r="G190" s="2" t="str">
        <f>_xlfn.XLOOKUP(B190,Master[Product_Code],Master[Size])</f>
        <v>90-100</v>
      </c>
      <c r="H190" s="2" t="str">
        <f>_xlfn.XLOOKUP(B190,Master[Product_Code],Master[Color])</f>
        <v>Royal Blue</v>
      </c>
      <c r="I190" s="4">
        <f>_xlfn.XLOOKUP(B190,Master[Product_Code],Master[Stock_Qty])</f>
        <v>4</v>
      </c>
      <c r="J190" s="6">
        <f>SUMIFS(
  Sales_Entry[Qty],
  Sales_Entry[Product_Code], Stock_Table[[#This Row],[Product_Code]]
)</f>
        <v>1</v>
      </c>
      <c r="K190" s="4">
        <f>SUMIFS(
  Exchange_Return[Qty],
  Exchange_Return[Product_Code], Stock_Table[[#This Row],[Product_Code]]
)</f>
        <v>0</v>
      </c>
      <c r="L190" s="4">
        <f>I190-J190+K190</f>
        <v>3</v>
      </c>
      <c r="M190" s="2" t="str" cm="1">
        <f t="array" ref="M190">_xlfn.IFS(L190=0,"Out of Stock",L190&gt;=2,"Limited Stock",L190&lt;2,"In Stock")</f>
        <v>Limited Stock</v>
      </c>
    </row>
    <row r="191" spans="2:13">
      <c r="B191" s="2" t="s">
        <v>1657</v>
      </c>
      <c r="C191" s="5" t="str">
        <f>_xlfn.XLOOKUP(B191,Master[Product_Code],Master[Category])</f>
        <v>Innerwear</v>
      </c>
      <c r="D191" s="2" t="str">
        <f>_xlfn.XLOOKUP(B191,Master[Product_Code],Master[Brand])</f>
        <v>Rupa</v>
      </c>
      <c r="E191" s="2" t="str">
        <f>_xlfn.XLOOKUP(B191,Master[Product_Code],Master[Style])</f>
        <v>V-Cut</v>
      </c>
      <c r="F191" s="2" t="str">
        <f>_xlfn.XLOOKUP(B191,Master[Product_Code],Master[Fabric])</f>
        <v>Cotton Blend</v>
      </c>
      <c r="G191" s="2" t="str">
        <f>_xlfn.XLOOKUP(B191,Master[Product_Code],Master[Size])</f>
        <v>80-85</v>
      </c>
      <c r="H191" s="2" t="str">
        <f>_xlfn.XLOOKUP(B191,Master[Product_Code],Master[Color])</f>
        <v>Cream</v>
      </c>
      <c r="I191" s="4">
        <f>_xlfn.XLOOKUP(B191,Master[Product_Code],Master[Stock_Qty])</f>
        <v>6</v>
      </c>
      <c r="J191" s="6">
        <f>SUMIFS(
  Sales_Entry[Qty],
  Sales_Entry[Product_Code], Stock_Table[[#This Row],[Product_Code]]
)</f>
        <v>1</v>
      </c>
      <c r="K191" s="4">
        <f>SUMIFS(
  Exchange_Return[Qty],
  Exchange_Return[Product_Code], Stock_Table[[#This Row],[Product_Code]]
)</f>
        <v>0</v>
      </c>
      <c r="L191" s="4">
        <f>I191-J191+K191</f>
        <v>5</v>
      </c>
      <c r="M191" s="2" t="str" cm="1">
        <f t="array" ref="M191">_xlfn.IFS(L191=0,"Out of Stock",L191&gt;=2,"Limited Stock",L191&lt;2,"In Stock")</f>
        <v>Limited Stock</v>
      </c>
    </row>
    <row r="192" spans="2:13">
      <c r="B192" s="2" t="s">
        <v>1658</v>
      </c>
      <c r="C192" s="5" t="str">
        <f>_xlfn.XLOOKUP(B192,Master[Product_Code],Master[Category])</f>
        <v>Innerwear</v>
      </c>
      <c r="D192" s="2" t="str">
        <f>_xlfn.XLOOKUP(B192,Master[Product_Code],Master[Brand])</f>
        <v>V Star</v>
      </c>
      <c r="E192" s="2" t="str">
        <f>_xlfn.XLOOKUP(B192,Master[Product_Code],Master[Style])</f>
        <v>V-Cut</v>
      </c>
      <c r="F192" s="2" t="str">
        <f>_xlfn.XLOOKUP(B192,Master[Product_Code],Master[Fabric])</f>
        <v>Cotton</v>
      </c>
      <c r="G192" s="2" t="str">
        <f>_xlfn.XLOOKUP(B192,Master[Product_Code],Master[Size])</f>
        <v>100-105</v>
      </c>
      <c r="H192" s="2" t="str">
        <f>_xlfn.XLOOKUP(B192,Master[Product_Code],Master[Color])</f>
        <v>Sky Blue</v>
      </c>
      <c r="I192" s="4">
        <f>_xlfn.XLOOKUP(B192,Master[Product_Code],Master[Stock_Qty])</f>
        <v>6</v>
      </c>
      <c r="J192" s="6">
        <f>SUMIFS(
  Sales_Entry[Qty],
  Sales_Entry[Product_Code], Stock_Table[[#This Row],[Product_Code]]
)</f>
        <v>1</v>
      </c>
      <c r="K192" s="4">
        <f>SUMIFS(
  Exchange_Return[Qty],
  Exchange_Return[Product_Code], Stock_Table[[#This Row],[Product_Code]]
)</f>
        <v>0</v>
      </c>
      <c r="L192" s="4">
        <f>I192-J192+K192</f>
        <v>5</v>
      </c>
      <c r="M192" s="2" t="str" cm="1">
        <f t="array" ref="M192">_xlfn.IFS(L192=0,"Out of Stock",L192&gt;=2,"Limited Stock",L192&lt;2,"In Stock")</f>
        <v>Limited Stock</v>
      </c>
    </row>
    <row r="193" spans="2:13">
      <c r="B193" s="2" t="s">
        <v>1659</v>
      </c>
      <c r="C193" s="5" t="str">
        <f>_xlfn.XLOOKUP(B193,Master[Product_Code],Master[Category])</f>
        <v>Innerwear</v>
      </c>
      <c r="D193" s="2" t="str">
        <f>_xlfn.XLOOKUP(B193,Master[Product_Code],Master[Brand])</f>
        <v>Lux</v>
      </c>
      <c r="E193" s="2" t="str">
        <f>_xlfn.XLOOKUP(B193,Master[Product_Code],Master[Style])</f>
        <v>V-Cut</v>
      </c>
      <c r="F193" s="2" t="str">
        <f>_xlfn.XLOOKUP(B193,Master[Product_Code],Master[Fabric])</f>
        <v>Cotton</v>
      </c>
      <c r="G193" s="2" t="str">
        <f>_xlfn.XLOOKUP(B193,Master[Product_Code],Master[Size])</f>
        <v>105-110</v>
      </c>
      <c r="H193" s="2" t="str">
        <f>_xlfn.XLOOKUP(B193,Master[Product_Code],Master[Color])</f>
        <v>White</v>
      </c>
      <c r="I193" s="4">
        <f>_xlfn.XLOOKUP(B193,Master[Product_Code],Master[Stock_Qty])</f>
        <v>4</v>
      </c>
      <c r="J193" s="6">
        <f>SUMIFS(
  Sales_Entry[Qty],
  Sales_Entry[Product_Code], Stock_Table[[#This Row],[Product_Code]]
)</f>
        <v>2</v>
      </c>
      <c r="K193" s="4">
        <f>SUMIFS(
  Exchange_Return[Qty],
  Exchange_Return[Product_Code], Stock_Table[[#This Row],[Product_Code]]
)</f>
        <v>0</v>
      </c>
      <c r="L193" s="4">
        <f>I193-J193+K193</f>
        <v>2</v>
      </c>
      <c r="M193" s="2" t="str" cm="1">
        <f t="array" ref="M193">_xlfn.IFS(L193=0,"Out of Stock",L193&gt;=2,"Limited Stock",L193&lt;2,"In Stock")</f>
        <v>Limited Stock</v>
      </c>
    </row>
    <row r="194" spans="2:13">
      <c r="B194" s="2" t="s">
        <v>1660</v>
      </c>
      <c r="C194" s="5" t="str">
        <f>_xlfn.XLOOKUP(B194,Master[Product_Code],Master[Category])</f>
        <v>Innerwear</v>
      </c>
      <c r="D194" s="2" t="str">
        <f>_xlfn.XLOOKUP(B194,Master[Product_Code],Master[Brand])</f>
        <v>Lux</v>
      </c>
      <c r="E194" s="2" t="str">
        <f>_xlfn.XLOOKUP(B194,Master[Product_Code],Master[Style])</f>
        <v>Boxer</v>
      </c>
      <c r="F194" s="2" t="str">
        <f>_xlfn.XLOOKUP(B194,Master[Product_Code],Master[Fabric])</f>
        <v>Cotton</v>
      </c>
      <c r="G194" s="2" t="str">
        <f>_xlfn.XLOOKUP(B194,Master[Product_Code],Master[Size])</f>
        <v>105-110</v>
      </c>
      <c r="H194" s="2" t="str">
        <f>_xlfn.XLOOKUP(B194,Master[Product_Code],Master[Color])</f>
        <v>Royal Blue</v>
      </c>
      <c r="I194" s="4">
        <f>_xlfn.XLOOKUP(B194,Master[Product_Code],Master[Stock_Qty])</f>
        <v>3</v>
      </c>
      <c r="J194" s="6">
        <f>SUMIFS(
  Sales_Entry[Qty],
  Sales_Entry[Product_Code], Stock_Table[[#This Row],[Product_Code]]
)</f>
        <v>2</v>
      </c>
      <c r="K194" s="4">
        <f>SUMIFS(
  Exchange_Return[Qty],
  Exchange_Return[Product_Code], Stock_Table[[#This Row],[Product_Code]]
)</f>
        <v>1</v>
      </c>
      <c r="L194" s="4">
        <f>I194-J194+K194</f>
        <v>2</v>
      </c>
      <c r="M194" s="2" t="str" cm="1">
        <f t="array" ref="M194">_xlfn.IFS(L194=0,"Out of Stock",L194&gt;=2,"Limited Stock",L194&lt;2,"In Stock")</f>
        <v>Limited Stock</v>
      </c>
    </row>
    <row r="195" spans="2:13">
      <c r="B195" s="2" t="s">
        <v>1661</v>
      </c>
      <c r="C195" s="5" t="str">
        <f>_xlfn.XLOOKUP(B195,Master[Product_Code],Master[Category])</f>
        <v>Innerwear</v>
      </c>
      <c r="D195" s="2" t="str">
        <f>_xlfn.XLOOKUP(B195,Master[Product_Code],Master[Brand])</f>
        <v>Lux</v>
      </c>
      <c r="E195" s="2" t="str">
        <f>_xlfn.XLOOKUP(B195,Master[Product_Code],Master[Style])</f>
        <v>Boxer</v>
      </c>
      <c r="F195" s="2" t="str">
        <f>_xlfn.XLOOKUP(B195,Master[Product_Code],Master[Fabric])</f>
        <v>Cotton</v>
      </c>
      <c r="G195" s="2" t="str">
        <f>_xlfn.XLOOKUP(B195,Master[Product_Code],Master[Size])</f>
        <v>80-85</v>
      </c>
      <c r="H195" s="2" t="str">
        <f>_xlfn.XLOOKUP(B195,Master[Product_Code],Master[Color])</f>
        <v>Maroon</v>
      </c>
      <c r="I195" s="4">
        <f>_xlfn.XLOOKUP(B195,Master[Product_Code],Master[Stock_Qty])</f>
        <v>6</v>
      </c>
      <c r="J195" s="6">
        <f>SUMIFS(
  Sales_Entry[Qty],
  Sales_Entry[Product_Code], Stock_Table[[#This Row],[Product_Code]]
)</f>
        <v>3</v>
      </c>
      <c r="K195" s="4">
        <f>SUMIFS(
  Exchange_Return[Qty],
  Exchange_Return[Product_Code], Stock_Table[[#This Row],[Product_Code]]
)</f>
        <v>0</v>
      </c>
      <c r="L195" s="4">
        <f>I195-J195+K195</f>
        <v>3</v>
      </c>
      <c r="M195" s="2" t="str" cm="1">
        <f t="array" ref="M195">_xlfn.IFS(L195=0,"Out of Stock",L195&gt;=2,"Limited Stock",L195&lt;2,"In Stock")</f>
        <v>Limited Stock</v>
      </c>
    </row>
    <row r="196" spans="2:13">
      <c r="B196" s="2" t="s">
        <v>1662</v>
      </c>
      <c r="C196" s="5" t="str">
        <f>_xlfn.XLOOKUP(B196,Master[Product_Code],Master[Category])</f>
        <v>Innerwear</v>
      </c>
      <c r="D196" s="2" t="str">
        <f>_xlfn.XLOOKUP(B196,Master[Product_Code],Master[Brand])</f>
        <v>Rupa</v>
      </c>
      <c r="E196" s="2" t="str">
        <f>_xlfn.XLOOKUP(B196,Master[Product_Code],Master[Style])</f>
        <v>Boxer</v>
      </c>
      <c r="F196" s="2" t="str">
        <f>_xlfn.XLOOKUP(B196,Master[Product_Code],Master[Fabric])</f>
        <v>Cotton Blend</v>
      </c>
      <c r="G196" s="2" t="str">
        <f>_xlfn.XLOOKUP(B196,Master[Product_Code],Master[Size])</f>
        <v>90-100</v>
      </c>
      <c r="H196" s="2" t="str">
        <f>_xlfn.XLOOKUP(B196,Master[Product_Code],Master[Color])</f>
        <v>Maroon</v>
      </c>
      <c r="I196" s="4">
        <f>_xlfn.XLOOKUP(B196,Master[Product_Code],Master[Stock_Qty])</f>
        <v>4</v>
      </c>
      <c r="J196" s="6">
        <f>SUMIFS(
  Sales_Entry[Qty],
  Sales_Entry[Product_Code], Stock_Table[[#This Row],[Product_Code]]
)</f>
        <v>3</v>
      </c>
      <c r="K196" s="4">
        <f>SUMIFS(
  Exchange_Return[Qty],
  Exchange_Return[Product_Code], Stock_Table[[#This Row],[Product_Code]]
)</f>
        <v>0</v>
      </c>
      <c r="L196" s="4">
        <f>I196-J196+K196</f>
        <v>1</v>
      </c>
      <c r="M196" s="2" t="str" cm="1">
        <f t="array" ref="M196">_xlfn.IFS(L196=0,"Out of Stock",L196&gt;=2,"Limited Stock",L196&lt;2,"In Stock")</f>
        <v>In Stock</v>
      </c>
    </row>
    <row r="197" spans="2:13">
      <c r="B197" s="2" t="s">
        <v>1663</v>
      </c>
      <c r="C197" s="5" t="str">
        <f>_xlfn.XLOOKUP(B197,Master[Product_Code],Master[Category])</f>
        <v>Innerwear</v>
      </c>
      <c r="D197" s="2" t="str">
        <f>_xlfn.XLOOKUP(B197,Master[Product_Code],Master[Brand])</f>
        <v>V Star</v>
      </c>
      <c r="E197" s="2" t="str">
        <f>_xlfn.XLOOKUP(B197,Master[Product_Code],Master[Style])</f>
        <v>Boxer</v>
      </c>
      <c r="F197" s="2" t="str">
        <f>_xlfn.XLOOKUP(B197,Master[Product_Code],Master[Fabric])</f>
        <v>Cotton</v>
      </c>
      <c r="G197" s="2" t="str">
        <f>_xlfn.XLOOKUP(B197,Master[Product_Code],Master[Size])</f>
        <v>75-80</v>
      </c>
      <c r="H197" s="2" t="str">
        <f>_xlfn.XLOOKUP(B197,Master[Product_Code],Master[Color])</f>
        <v>White</v>
      </c>
      <c r="I197" s="4">
        <f>_xlfn.XLOOKUP(B197,Master[Product_Code],Master[Stock_Qty])</f>
        <v>3</v>
      </c>
      <c r="J197" s="6">
        <f>SUMIFS(
  Sales_Entry[Qty],
  Sales_Entry[Product_Code], Stock_Table[[#This Row],[Product_Code]]
)</f>
        <v>1</v>
      </c>
      <c r="K197" s="4">
        <f>SUMIFS(
  Exchange_Return[Qty],
  Exchange_Return[Product_Code], Stock_Table[[#This Row],[Product_Code]]
)</f>
        <v>0</v>
      </c>
      <c r="L197" s="4">
        <f>I197-J197+K197</f>
        <v>2</v>
      </c>
      <c r="M197" s="2" t="str" cm="1">
        <f t="array" ref="M197">_xlfn.IFS(L197=0,"Out of Stock",L197&gt;=2,"Limited Stock",L197&lt;2,"In Stock")</f>
        <v>Limited Stock</v>
      </c>
    </row>
    <row r="198" spans="2:13">
      <c r="B198" s="2" t="s">
        <v>1664</v>
      </c>
      <c r="C198" s="5" t="str">
        <f>_xlfn.XLOOKUP(B198,Master[Product_Code],Master[Category])</f>
        <v>Innerwear</v>
      </c>
      <c r="D198" s="2" t="str">
        <f>_xlfn.XLOOKUP(B198,Master[Product_Code],Master[Brand])</f>
        <v>Dollar</v>
      </c>
      <c r="E198" s="2" t="str">
        <f>_xlfn.XLOOKUP(B198,Master[Product_Code],Master[Style])</f>
        <v>V-Cut</v>
      </c>
      <c r="F198" s="2" t="str">
        <f>_xlfn.XLOOKUP(B198,Master[Product_Code],Master[Fabric])</f>
        <v>Cotton Blend</v>
      </c>
      <c r="G198" s="2" t="str">
        <f>_xlfn.XLOOKUP(B198,Master[Product_Code],Master[Size])</f>
        <v>80-85</v>
      </c>
      <c r="H198" s="2" t="str">
        <f>_xlfn.XLOOKUP(B198,Master[Product_Code],Master[Color])</f>
        <v>Black</v>
      </c>
      <c r="I198" s="4">
        <f>_xlfn.XLOOKUP(B198,Master[Product_Code],Master[Stock_Qty])</f>
        <v>4</v>
      </c>
      <c r="J198" s="6">
        <f>SUMIFS(
  Sales_Entry[Qty],
  Sales_Entry[Product_Code], Stock_Table[[#This Row],[Product_Code]]
)</f>
        <v>4</v>
      </c>
      <c r="K198" s="4">
        <f>SUMIFS(
  Exchange_Return[Qty],
  Exchange_Return[Product_Code], Stock_Table[[#This Row],[Product_Code]]
)</f>
        <v>0</v>
      </c>
      <c r="L198" s="4">
        <f>I198-J198+K198</f>
        <v>0</v>
      </c>
      <c r="M198" s="2" t="str" cm="1">
        <f t="array" ref="M198">_xlfn.IFS(L198=0,"Out of Stock",L198&gt;=2,"Limited Stock",L198&lt;2,"In Stock")</f>
        <v>Out of Stock</v>
      </c>
    </row>
    <row r="199" spans="2:13">
      <c r="B199" s="2" t="s">
        <v>1665</v>
      </c>
      <c r="C199" s="5" t="str">
        <f>_xlfn.XLOOKUP(B199,Master[Product_Code],Master[Category])</f>
        <v>Innerwear</v>
      </c>
      <c r="D199" s="2" t="str">
        <f>_xlfn.XLOOKUP(B199,Master[Product_Code],Master[Brand])</f>
        <v>Rupa</v>
      </c>
      <c r="E199" s="2" t="str">
        <f>_xlfn.XLOOKUP(B199,Master[Product_Code],Master[Style])</f>
        <v>Boxer</v>
      </c>
      <c r="F199" s="2" t="str">
        <f>_xlfn.XLOOKUP(B199,Master[Product_Code],Master[Fabric])</f>
        <v>Cotton Blend</v>
      </c>
      <c r="G199" s="2" t="str">
        <f>_xlfn.XLOOKUP(B199,Master[Product_Code],Master[Size])</f>
        <v>80-85</v>
      </c>
      <c r="H199" s="2" t="str">
        <f>_xlfn.XLOOKUP(B199,Master[Product_Code],Master[Color])</f>
        <v>Teal</v>
      </c>
      <c r="I199" s="4">
        <f>_xlfn.XLOOKUP(B199,Master[Product_Code],Master[Stock_Qty])</f>
        <v>5</v>
      </c>
      <c r="J199" s="6">
        <f>SUMIFS(
  Sales_Entry[Qty],
  Sales_Entry[Product_Code], Stock_Table[[#This Row],[Product_Code]]
)</f>
        <v>1</v>
      </c>
      <c r="K199" s="4">
        <f>SUMIFS(
  Exchange_Return[Qty],
  Exchange_Return[Product_Code], Stock_Table[[#This Row],[Product_Code]]
)</f>
        <v>0</v>
      </c>
      <c r="L199" s="4">
        <f>I199-J199+K199</f>
        <v>4</v>
      </c>
      <c r="M199" s="2" t="str" cm="1">
        <f t="array" ref="M199">_xlfn.IFS(L199=0,"Out of Stock",L199&gt;=2,"Limited Stock",L199&lt;2,"In Stock")</f>
        <v>Limited Stock</v>
      </c>
    </row>
    <row r="200" spans="2:13">
      <c r="B200" s="2" t="s">
        <v>1666</v>
      </c>
      <c r="C200" s="5" t="str">
        <f>_xlfn.XLOOKUP(B200,Master[Product_Code],Master[Category])</f>
        <v>Innerwear</v>
      </c>
      <c r="D200" s="2" t="str">
        <f>_xlfn.XLOOKUP(B200,Master[Product_Code],Master[Brand])</f>
        <v>Jockey</v>
      </c>
      <c r="E200" s="2" t="str">
        <f>_xlfn.XLOOKUP(B200,Master[Product_Code],Master[Style])</f>
        <v>V-Cut</v>
      </c>
      <c r="F200" s="2" t="str">
        <f>_xlfn.XLOOKUP(B200,Master[Product_Code],Master[Fabric])</f>
        <v>Cotton Blend</v>
      </c>
      <c r="G200" s="2" t="str">
        <f>_xlfn.XLOOKUP(B200,Master[Product_Code],Master[Size])</f>
        <v>80-85</v>
      </c>
      <c r="H200" s="2" t="str">
        <f>_xlfn.XLOOKUP(B200,Master[Product_Code],Master[Color])</f>
        <v>Sky Blue</v>
      </c>
      <c r="I200" s="4">
        <f>_xlfn.XLOOKUP(B200,Master[Product_Code],Master[Stock_Qty])</f>
        <v>4</v>
      </c>
      <c r="J200" s="6">
        <f>SUMIFS(
  Sales_Entry[Qty],
  Sales_Entry[Product_Code], Stock_Table[[#This Row],[Product_Code]]
)</f>
        <v>4</v>
      </c>
      <c r="K200" s="4">
        <f>SUMIFS(
  Exchange_Return[Qty],
  Exchange_Return[Product_Code], Stock_Table[[#This Row],[Product_Code]]
)</f>
        <v>0</v>
      </c>
      <c r="L200" s="4">
        <f>I200-J200+K200</f>
        <v>0</v>
      </c>
      <c r="M200" s="2" t="str" cm="1">
        <f t="array" ref="M200">_xlfn.IFS(L200=0,"Out of Stock",L200&gt;=2,"Limited Stock",L200&lt;2,"In Stock")</f>
        <v>Out of Stock</v>
      </c>
    </row>
    <row r="201" spans="2:13">
      <c r="B201" s="2" t="s">
        <v>1667</v>
      </c>
      <c r="C201" s="5" t="str">
        <f>_xlfn.XLOOKUP(B201,Master[Product_Code],Master[Category])</f>
        <v>Innerwear</v>
      </c>
      <c r="D201" s="2" t="str">
        <f>_xlfn.XLOOKUP(B201,Master[Product_Code],Master[Brand])</f>
        <v>Dollar</v>
      </c>
      <c r="E201" s="2" t="str">
        <f>_xlfn.XLOOKUP(B201,Master[Product_Code],Master[Style])</f>
        <v>Boxer</v>
      </c>
      <c r="F201" s="2" t="str">
        <f>_xlfn.XLOOKUP(B201,Master[Product_Code],Master[Fabric])</f>
        <v>Cotton</v>
      </c>
      <c r="G201" s="2" t="str">
        <f>_xlfn.XLOOKUP(B201,Master[Product_Code],Master[Size])</f>
        <v>100-105</v>
      </c>
      <c r="H201" s="2" t="str">
        <f>_xlfn.XLOOKUP(B201,Master[Product_Code],Master[Color])</f>
        <v>Mustard</v>
      </c>
      <c r="I201" s="4">
        <f>_xlfn.XLOOKUP(B201,Master[Product_Code],Master[Stock_Qty])</f>
        <v>3</v>
      </c>
      <c r="J201" s="6">
        <f>SUMIFS(
  Sales_Entry[Qty],
  Sales_Entry[Product_Code], Stock_Table[[#This Row],[Product_Code]]
)</f>
        <v>0</v>
      </c>
      <c r="K201" s="4">
        <f>SUMIFS(
  Exchange_Return[Qty],
  Exchange_Return[Product_Code], Stock_Table[[#This Row],[Product_Code]]
)</f>
        <v>0</v>
      </c>
      <c r="L201" s="4">
        <f>I201-J201+K201</f>
        <v>3</v>
      </c>
      <c r="M201" s="2" t="str" cm="1">
        <f t="array" ref="M201">_xlfn.IFS(L201=0,"Out of Stock",L201&gt;=2,"Limited Stock",L201&lt;2,"In Stock")</f>
        <v>Limited Stock</v>
      </c>
    </row>
    <row r="202" spans="2:13">
      <c r="B202" s="2" t="s">
        <v>1668</v>
      </c>
      <c r="C202" s="5" t="str">
        <f>_xlfn.XLOOKUP(B202,Master[Product_Code],Master[Category])</f>
        <v>Innerwear</v>
      </c>
      <c r="D202" s="2" t="str">
        <f>_xlfn.XLOOKUP(B202,Master[Product_Code],Master[Brand])</f>
        <v>Lux</v>
      </c>
      <c r="E202" s="2" t="str">
        <f>_xlfn.XLOOKUP(B202,Master[Product_Code],Master[Style])</f>
        <v>V-Cut</v>
      </c>
      <c r="F202" s="2" t="str">
        <f>_xlfn.XLOOKUP(B202,Master[Product_Code],Master[Fabric])</f>
        <v>Cotton</v>
      </c>
      <c r="G202" s="2" t="str">
        <f>_xlfn.XLOOKUP(B202,Master[Product_Code],Master[Size])</f>
        <v>80-85</v>
      </c>
      <c r="H202" s="2" t="str">
        <f>_xlfn.XLOOKUP(B202,Master[Product_Code],Master[Color])</f>
        <v>Bottle Green</v>
      </c>
      <c r="I202" s="4">
        <f>_xlfn.XLOOKUP(B202,Master[Product_Code],Master[Stock_Qty])</f>
        <v>5</v>
      </c>
      <c r="J202" s="6">
        <f>SUMIFS(
  Sales_Entry[Qty],
  Sales_Entry[Product_Code], Stock_Table[[#This Row],[Product_Code]]
)</f>
        <v>1</v>
      </c>
      <c r="K202" s="4">
        <f>SUMIFS(
  Exchange_Return[Qty],
  Exchange_Return[Product_Code], Stock_Table[[#This Row],[Product_Code]]
)</f>
        <v>0</v>
      </c>
      <c r="L202" s="4">
        <f>I202-J202+K202</f>
        <v>4</v>
      </c>
      <c r="M202" s="2" t="str" cm="1">
        <f t="array" ref="M202">_xlfn.IFS(L202=0,"Out of Stock",L202&gt;=2,"Limited Stock",L202&lt;2,"In Stock")</f>
        <v>Limited Stock</v>
      </c>
    </row>
    <row r="203" spans="2:13">
      <c r="B203" s="2" t="s">
        <v>1669</v>
      </c>
      <c r="C203" s="5" t="str">
        <f>_xlfn.XLOOKUP(B203,Master[Product_Code],Master[Category])</f>
        <v>Innerwear</v>
      </c>
      <c r="D203" s="2" t="str">
        <f>_xlfn.XLOOKUP(B203,Master[Product_Code],Master[Brand])</f>
        <v>Jockey</v>
      </c>
      <c r="E203" s="2" t="str">
        <f>_xlfn.XLOOKUP(B203,Master[Product_Code],Master[Style])</f>
        <v>V-Cut</v>
      </c>
      <c r="F203" s="2" t="str">
        <f>_xlfn.XLOOKUP(B203,Master[Product_Code],Master[Fabric])</f>
        <v>Cotton Blend</v>
      </c>
      <c r="G203" s="2" t="str">
        <f>_xlfn.XLOOKUP(B203,Master[Product_Code],Master[Size])</f>
        <v>100-105</v>
      </c>
      <c r="H203" s="2" t="str">
        <f>_xlfn.XLOOKUP(B203,Master[Product_Code],Master[Color])</f>
        <v>Brown</v>
      </c>
      <c r="I203" s="4">
        <f>_xlfn.XLOOKUP(B203,Master[Product_Code],Master[Stock_Qty])</f>
        <v>5</v>
      </c>
      <c r="J203" s="6">
        <f>SUMIFS(
  Sales_Entry[Qty],
  Sales_Entry[Product_Code], Stock_Table[[#This Row],[Product_Code]]
)</f>
        <v>2</v>
      </c>
      <c r="K203" s="4">
        <f>SUMIFS(
  Exchange_Return[Qty],
  Exchange_Return[Product_Code], Stock_Table[[#This Row],[Product_Code]]
)</f>
        <v>0</v>
      </c>
      <c r="L203" s="4">
        <f>I203-J203+K203</f>
        <v>3</v>
      </c>
      <c r="M203" s="2" t="str" cm="1">
        <f t="array" ref="M203">_xlfn.IFS(L203=0,"Out of Stock",L203&gt;=2,"Limited Stock",L203&lt;2,"In Stock")</f>
        <v>Limited Stock</v>
      </c>
    </row>
    <row r="204" spans="2:13">
      <c r="B204" s="2" t="s">
        <v>1670</v>
      </c>
      <c r="C204" s="5" t="str">
        <f>_xlfn.XLOOKUP(B204,Master[Product_Code],Master[Category])</f>
        <v>Innerwear</v>
      </c>
      <c r="D204" s="2" t="str">
        <f>_xlfn.XLOOKUP(B204,Master[Product_Code],Master[Brand])</f>
        <v>Dollar</v>
      </c>
      <c r="E204" s="2" t="str">
        <f>_xlfn.XLOOKUP(B204,Master[Product_Code],Master[Style])</f>
        <v>Boxer</v>
      </c>
      <c r="F204" s="2" t="str">
        <f>_xlfn.XLOOKUP(B204,Master[Product_Code],Master[Fabric])</f>
        <v>Cotton Blend</v>
      </c>
      <c r="G204" s="2" t="str">
        <f>_xlfn.XLOOKUP(B204,Master[Product_Code],Master[Size])</f>
        <v>85-90</v>
      </c>
      <c r="H204" s="2" t="str">
        <f>_xlfn.XLOOKUP(B204,Master[Product_Code],Master[Color])</f>
        <v>Navy Blue</v>
      </c>
      <c r="I204" s="4">
        <f>_xlfn.XLOOKUP(B204,Master[Product_Code],Master[Stock_Qty])</f>
        <v>3</v>
      </c>
      <c r="J204" s="6">
        <f>SUMIFS(
  Sales_Entry[Qty],
  Sales_Entry[Product_Code], Stock_Table[[#This Row],[Product_Code]]
)</f>
        <v>3</v>
      </c>
      <c r="K204" s="4">
        <f>SUMIFS(
  Exchange_Return[Qty],
  Exchange_Return[Product_Code], Stock_Table[[#This Row],[Product_Code]]
)</f>
        <v>0</v>
      </c>
      <c r="L204" s="4">
        <f>I204-J204+K204</f>
        <v>0</v>
      </c>
      <c r="M204" s="2" t="str" cm="1">
        <f t="array" ref="M204">_xlfn.IFS(L204=0,"Out of Stock",L204&gt;=2,"Limited Stock",L204&lt;2,"In Stock")</f>
        <v>Out of Stock</v>
      </c>
    </row>
    <row r="205" spans="2:13">
      <c r="B205" s="2" t="s">
        <v>1671</v>
      </c>
      <c r="C205" s="5" t="str">
        <f>_xlfn.XLOOKUP(B205,Master[Product_Code],Master[Category])</f>
        <v>Innerwear</v>
      </c>
      <c r="D205" s="2" t="str">
        <f>_xlfn.XLOOKUP(B205,Master[Product_Code],Master[Brand])</f>
        <v>Rupa</v>
      </c>
      <c r="E205" s="2" t="str">
        <f>_xlfn.XLOOKUP(B205,Master[Product_Code],Master[Style])</f>
        <v>Boxer</v>
      </c>
      <c r="F205" s="2" t="str">
        <f>_xlfn.XLOOKUP(B205,Master[Product_Code],Master[Fabric])</f>
        <v>Cotton</v>
      </c>
      <c r="G205" s="2" t="str">
        <f>_xlfn.XLOOKUP(B205,Master[Product_Code],Master[Size])</f>
        <v>90-100</v>
      </c>
      <c r="H205" s="2" t="str">
        <f>_xlfn.XLOOKUP(B205,Master[Product_Code],Master[Color])</f>
        <v>Cream</v>
      </c>
      <c r="I205" s="4">
        <f>_xlfn.XLOOKUP(B205,Master[Product_Code],Master[Stock_Qty])</f>
        <v>6</v>
      </c>
      <c r="J205" s="6">
        <f>SUMIFS(
  Sales_Entry[Qty],
  Sales_Entry[Product_Code], Stock_Table[[#This Row],[Product_Code]]
)</f>
        <v>2</v>
      </c>
      <c r="K205" s="4">
        <f>SUMIFS(
  Exchange_Return[Qty],
  Exchange_Return[Product_Code], Stock_Table[[#This Row],[Product_Code]]
)</f>
        <v>0</v>
      </c>
      <c r="L205" s="4">
        <f>I205-J205+K205</f>
        <v>4</v>
      </c>
      <c r="M205" s="2" t="str" cm="1">
        <f t="array" ref="M205">_xlfn.IFS(L205=0,"Out of Stock",L205&gt;=2,"Limited Stock",L205&lt;2,"In Stock")</f>
        <v>Limited Stock</v>
      </c>
    </row>
    <row r="206" spans="2:13">
      <c r="B206" s="2" t="s">
        <v>1672</v>
      </c>
      <c r="C206" s="5" t="str">
        <f>_xlfn.XLOOKUP(B206,Master[Product_Code],Master[Category])</f>
        <v>Innerwear</v>
      </c>
      <c r="D206" s="2" t="str">
        <f>_xlfn.XLOOKUP(B206,Master[Product_Code],Master[Brand])</f>
        <v>Lux</v>
      </c>
      <c r="E206" s="2" t="str">
        <f>_xlfn.XLOOKUP(B206,Master[Product_Code],Master[Style])</f>
        <v>Boxer</v>
      </c>
      <c r="F206" s="2" t="str">
        <f>_xlfn.XLOOKUP(B206,Master[Product_Code],Master[Fabric])</f>
        <v>Cotton Blend</v>
      </c>
      <c r="G206" s="2" t="str">
        <f>_xlfn.XLOOKUP(B206,Master[Product_Code],Master[Size])</f>
        <v>80-85</v>
      </c>
      <c r="H206" s="2" t="str">
        <f>_xlfn.XLOOKUP(B206,Master[Product_Code],Master[Color])</f>
        <v>Navy Blue</v>
      </c>
      <c r="I206" s="4">
        <f>_xlfn.XLOOKUP(B206,Master[Product_Code],Master[Stock_Qty])</f>
        <v>5</v>
      </c>
      <c r="J206" s="6">
        <f>SUMIFS(
  Sales_Entry[Qty],
  Sales_Entry[Product_Code], Stock_Table[[#This Row],[Product_Code]]
)</f>
        <v>0</v>
      </c>
      <c r="K206" s="4">
        <f>SUMIFS(
  Exchange_Return[Qty],
  Exchange_Return[Product_Code], Stock_Table[[#This Row],[Product_Code]]
)</f>
        <v>0</v>
      </c>
      <c r="L206" s="4">
        <f>I206-J206+K206</f>
        <v>5</v>
      </c>
      <c r="M206" s="2" t="str" cm="1">
        <f t="array" ref="M206">_xlfn.IFS(L206=0,"Out of Stock",L206&gt;=2,"Limited Stock",L206&lt;2,"In Stock")</f>
        <v>Limited Stock</v>
      </c>
    </row>
    <row r="207" spans="2:13">
      <c r="B207" s="2" t="s">
        <v>1673</v>
      </c>
      <c r="C207" s="5" t="str">
        <f>_xlfn.XLOOKUP(B207,Master[Product_Code],Master[Category])</f>
        <v>Innerwear</v>
      </c>
      <c r="D207" s="2" t="str">
        <f>_xlfn.XLOOKUP(B207,Master[Product_Code],Master[Brand])</f>
        <v>Rupa</v>
      </c>
      <c r="E207" s="2" t="str">
        <f>_xlfn.XLOOKUP(B207,Master[Product_Code],Master[Style])</f>
        <v>Boxer</v>
      </c>
      <c r="F207" s="2" t="str">
        <f>_xlfn.XLOOKUP(B207,Master[Product_Code],Master[Fabric])</f>
        <v>Cotton Blend</v>
      </c>
      <c r="G207" s="2" t="str">
        <f>_xlfn.XLOOKUP(B207,Master[Product_Code],Master[Size])</f>
        <v>85-90</v>
      </c>
      <c r="H207" s="2" t="str">
        <f>_xlfn.XLOOKUP(B207,Master[Product_Code],Master[Color])</f>
        <v>Peach</v>
      </c>
      <c r="I207" s="4">
        <f>_xlfn.XLOOKUP(B207,Master[Product_Code],Master[Stock_Qty])</f>
        <v>6</v>
      </c>
      <c r="J207" s="6">
        <f>SUMIFS(
  Sales_Entry[Qty],
  Sales_Entry[Product_Code], Stock_Table[[#This Row],[Product_Code]]
)</f>
        <v>0</v>
      </c>
      <c r="K207" s="4">
        <f>SUMIFS(
  Exchange_Return[Qty],
  Exchange_Return[Product_Code], Stock_Table[[#This Row],[Product_Code]]
)</f>
        <v>0</v>
      </c>
      <c r="L207" s="4">
        <f>I207-J207+K207</f>
        <v>6</v>
      </c>
      <c r="M207" s="2" t="str" cm="1">
        <f t="array" ref="M207">_xlfn.IFS(L207=0,"Out of Stock",L207&gt;=2,"Limited Stock",L207&lt;2,"In Stock")</f>
        <v>Limited Stock</v>
      </c>
    </row>
    <row r="208" spans="2:13">
      <c r="B208" s="2" t="s">
        <v>1674</v>
      </c>
      <c r="C208" s="5" t="str">
        <f>_xlfn.XLOOKUP(B208,Master[Product_Code],Master[Category])</f>
        <v>Innerwear</v>
      </c>
      <c r="D208" s="2" t="str">
        <f>_xlfn.XLOOKUP(B208,Master[Product_Code],Master[Brand])</f>
        <v>Jockey</v>
      </c>
      <c r="E208" s="2" t="str">
        <f>_xlfn.XLOOKUP(B208,Master[Product_Code],Master[Style])</f>
        <v>Boxer</v>
      </c>
      <c r="F208" s="2" t="str">
        <f>_xlfn.XLOOKUP(B208,Master[Product_Code],Master[Fabric])</f>
        <v>Cotton</v>
      </c>
      <c r="G208" s="2" t="str">
        <f>_xlfn.XLOOKUP(B208,Master[Product_Code],Master[Size])</f>
        <v>105-110</v>
      </c>
      <c r="H208" s="2" t="str">
        <f>_xlfn.XLOOKUP(B208,Master[Product_Code],Master[Color])</f>
        <v>Charcoal</v>
      </c>
      <c r="I208" s="4">
        <f>_xlfn.XLOOKUP(B208,Master[Product_Code],Master[Stock_Qty])</f>
        <v>6</v>
      </c>
      <c r="J208" s="6">
        <f>SUMIFS(
  Sales_Entry[Qty],
  Sales_Entry[Product_Code], Stock_Table[[#This Row],[Product_Code]]
)</f>
        <v>2</v>
      </c>
      <c r="K208" s="4">
        <f>SUMIFS(
  Exchange_Return[Qty],
  Exchange_Return[Product_Code], Stock_Table[[#This Row],[Product_Code]]
)</f>
        <v>0</v>
      </c>
      <c r="L208" s="4">
        <f>I208-J208+K208</f>
        <v>4</v>
      </c>
      <c r="M208" s="2" t="str" cm="1">
        <f t="array" ref="M208">_xlfn.IFS(L208=0,"Out of Stock",L208&gt;=2,"Limited Stock",L208&lt;2,"In Stock")</f>
        <v>Limited Stock</v>
      </c>
    </row>
    <row r="209" spans="2:13">
      <c r="B209" s="2" t="s">
        <v>1675</v>
      </c>
      <c r="C209" s="5" t="str">
        <f>_xlfn.XLOOKUP(B209,Master[Product_Code],Master[Category])</f>
        <v>Innerwear</v>
      </c>
      <c r="D209" s="2" t="str">
        <f>_xlfn.XLOOKUP(B209,Master[Product_Code],Master[Brand])</f>
        <v>V Star</v>
      </c>
      <c r="E209" s="2" t="str">
        <f>_xlfn.XLOOKUP(B209,Master[Product_Code],Master[Style])</f>
        <v>Boxer</v>
      </c>
      <c r="F209" s="2" t="str">
        <f>_xlfn.XLOOKUP(B209,Master[Product_Code],Master[Fabric])</f>
        <v>Cotton Blend</v>
      </c>
      <c r="G209" s="2" t="str">
        <f>_xlfn.XLOOKUP(B209,Master[Product_Code],Master[Size])</f>
        <v>100-105</v>
      </c>
      <c r="H209" s="2" t="str">
        <f>_xlfn.XLOOKUP(B209,Master[Product_Code],Master[Color])</f>
        <v>Dark Green</v>
      </c>
      <c r="I209" s="4">
        <f>_xlfn.XLOOKUP(B209,Master[Product_Code],Master[Stock_Qty])</f>
        <v>4</v>
      </c>
      <c r="J209" s="6">
        <f>SUMIFS(
  Sales_Entry[Qty],
  Sales_Entry[Product_Code], Stock_Table[[#This Row],[Product_Code]]
)</f>
        <v>4</v>
      </c>
      <c r="K209" s="4">
        <f>SUMIFS(
  Exchange_Return[Qty],
  Exchange_Return[Product_Code], Stock_Table[[#This Row],[Product_Code]]
)</f>
        <v>0</v>
      </c>
      <c r="L209" s="4">
        <f>I209-J209+K209</f>
        <v>0</v>
      </c>
      <c r="M209" s="2" t="str" cm="1">
        <f t="array" ref="M209">_xlfn.IFS(L209=0,"Out of Stock",L209&gt;=2,"Limited Stock",L209&lt;2,"In Stock")</f>
        <v>Out of Stock</v>
      </c>
    </row>
    <row r="210" spans="2:13">
      <c r="B210" s="2" t="s">
        <v>1676</v>
      </c>
      <c r="C210" s="5" t="str">
        <f>_xlfn.XLOOKUP(B210,Master[Product_Code],Master[Category])</f>
        <v>Innerwear</v>
      </c>
      <c r="D210" s="2" t="str">
        <f>_xlfn.XLOOKUP(B210,Master[Product_Code],Master[Brand])</f>
        <v>Lux</v>
      </c>
      <c r="E210" s="2" t="str">
        <f>_xlfn.XLOOKUP(B210,Master[Product_Code],Master[Style])</f>
        <v>Boxer</v>
      </c>
      <c r="F210" s="2" t="str">
        <f>_xlfn.XLOOKUP(B210,Master[Product_Code],Master[Fabric])</f>
        <v>Cotton</v>
      </c>
      <c r="G210" s="2" t="str">
        <f>_xlfn.XLOOKUP(B210,Master[Product_Code],Master[Size])</f>
        <v>105-110</v>
      </c>
      <c r="H210" s="2" t="str">
        <f>_xlfn.XLOOKUP(B210,Master[Product_Code],Master[Color])</f>
        <v>Navy Blue</v>
      </c>
      <c r="I210" s="4">
        <f>_xlfn.XLOOKUP(B210,Master[Product_Code],Master[Stock_Qty])</f>
        <v>4</v>
      </c>
      <c r="J210" s="6">
        <f>SUMIFS(
  Sales_Entry[Qty],
  Sales_Entry[Product_Code], Stock_Table[[#This Row],[Product_Code]]
)</f>
        <v>1</v>
      </c>
      <c r="K210" s="4">
        <f>SUMIFS(
  Exchange_Return[Qty],
  Exchange_Return[Product_Code], Stock_Table[[#This Row],[Product_Code]]
)</f>
        <v>0</v>
      </c>
      <c r="L210" s="4">
        <f>I210-J210+K210</f>
        <v>3</v>
      </c>
      <c r="M210" s="2" t="str" cm="1">
        <f t="array" ref="M210">_xlfn.IFS(L210=0,"Out of Stock",L210&gt;=2,"Limited Stock",L210&lt;2,"In Stock")</f>
        <v>Limited Stock</v>
      </c>
    </row>
    <row r="211" spans="2:13">
      <c r="B211" s="2" t="s">
        <v>1677</v>
      </c>
      <c r="C211" s="5" t="str">
        <f>_xlfn.XLOOKUP(B211,Master[Product_Code],Master[Category])</f>
        <v>Innerwear</v>
      </c>
      <c r="D211" s="2" t="str">
        <f>_xlfn.XLOOKUP(B211,Master[Product_Code],Master[Brand])</f>
        <v>Lux</v>
      </c>
      <c r="E211" s="2" t="str">
        <f>_xlfn.XLOOKUP(B211,Master[Product_Code],Master[Style])</f>
        <v>V-Cut</v>
      </c>
      <c r="F211" s="2" t="str">
        <f>_xlfn.XLOOKUP(B211,Master[Product_Code],Master[Fabric])</f>
        <v>Cotton</v>
      </c>
      <c r="G211" s="2" t="str">
        <f>_xlfn.XLOOKUP(B211,Master[Product_Code],Master[Size])</f>
        <v>85-90</v>
      </c>
      <c r="H211" s="2" t="str">
        <f>_xlfn.XLOOKUP(B211,Master[Product_Code],Master[Color])</f>
        <v>Dark Green</v>
      </c>
      <c r="I211" s="4">
        <f>_xlfn.XLOOKUP(B211,Master[Product_Code],Master[Stock_Qty])</f>
        <v>6</v>
      </c>
      <c r="J211" s="6">
        <f>SUMIFS(
  Sales_Entry[Qty],
  Sales_Entry[Product_Code], Stock_Table[[#This Row],[Product_Code]]
)</f>
        <v>3</v>
      </c>
      <c r="K211" s="4">
        <f>SUMIFS(
  Exchange_Return[Qty],
  Exchange_Return[Product_Code], Stock_Table[[#This Row],[Product_Code]]
)</f>
        <v>0</v>
      </c>
      <c r="L211" s="4">
        <f>I211-J211+K211</f>
        <v>3</v>
      </c>
      <c r="M211" s="2" t="str" cm="1">
        <f t="array" ref="M211">_xlfn.IFS(L211=0,"Out of Stock",L211&gt;=2,"Limited Stock",L211&lt;2,"In Stock")</f>
        <v>Limited Stock</v>
      </c>
    </row>
    <row r="212" spans="2:13">
      <c r="B212" s="2" t="s">
        <v>1678</v>
      </c>
      <c r="C212" s="5" t="str">
        <f>_xlfn.XLOOKUP(B212,Master[Product_Code],Master[Category])</f>
        <v>Innerwear</v>
      </c>
      <c r="D212" s="2" t="str">
        <f>_xlfn.XLOOKUP(B212,Master[Product_Code],Master[Brand])</f>
        <v>Lux</v>
      </c>
      <c r="E212" s="2" t="str">
        <f>_xlfn.XLOOKUP(B212,Master[Product_Code],Master[Style])</f>
        <v>V-Cut</v>
      </c>
      <c r="F212" s="2" t="str">
        <f>_xlfn.XLOOKUP(B212,Master[Product_Code],Master[Fabric])</f>
        <v>Cotton Blend</v>
      </c>
      <c r="G212" s="2" t="str">
        <f>_xlfn.XLOOKUP(B212,Master[Product_Code],Master[Size])</f>
        <v>85-90</v>
      </c>
      <c r="H212" s="2" t="str">
        <f>_xlfn.XLOOKUP(B212,Master[Product_Code],Master[Color])</f>
        <v>Maroon</v>
      </c>
      <c r="I212" s="4">
        <f>_xlfn.XLOOKUP(B212,Master[Product_Code],Master[Stock_Qty])</f>
        <v>5</v>
      </c>
      <c r="J212" s="6">
        <f>SUMIFS(
  Sales_Entry[Qty],
  Sales_Entry[Product_Code], Stock_Table[[#This Row],[Product_Code]]
)</f>
        <v>3</v>
      </c>
      <c r="K212" s="4">
        <f>SUMIFS(
  Exchange_Return[Qty],
  Exchange_Return[Product_Code], Stock_Table[[#This Row],[Product_Code]]
)</f>
        <v>0</v>
      </c>
      <c r="L212" s="4">
        <f>I212-J212+K212</f>
        <v>2</v>
      </c>
      <c r="M212" s="2" t="str" cm="1">
        <f t="array" ref="M212">_xlfn.IFS(L212=0,"Out of Stock",L212&gt;=2,"Limited Stock",L212&lt;2,"In Stock")</f>
        <v>Limited Stock</v>
      </c>
    </row>
    <row r="213" spans="2:13">
      <c r="B213" s="2" t="s">
        <v>1679</v>
      </c>
      <c r="C213" s="5" t="str">
        <f>_xlfn.XLOOKUP(B213,Master[Product_Code],Master[Category])</f>
        <v>Innerwear</v>
      </c>
      <c r="D213" s="2" t="str">
        <f>_xlfn.XLOOKUP(B213,Master[Product_Code],Master[Brand])</f>
        <v>Rupa</v>
      </c>
      <c r="E213" s="2" t="str">
        <f>_xlfn.XLOOKUP(B213,Master[Product_Code],Master[Style])</f>
        <v>Boxer</v>
      </c>
      <c r="F213" s="2" t="str">
        <f>_xlfn.XLOOKUP(B213,Master[Product_Code],Master[Fabric])</f>
        <v>Cotton</v>
      </c>
      <c r="G213" s="2" t="str">
        <f>_xlfn.XLOOKUP(B213,Master[Product_Code],Master[Size])</f>
        <v>80-85</v>
      </c>
      <c r="H213" s="2" t="str">
        <f>_xlfn.XLOOKUP(B213,Master[Product_Code],Master[Color])</f>
        <v>Charcoal</v>
      </c>
      <c r="I213" s="4">
        <f>_xlfn.XLOOKUP(B213,Master[Product_Code],Master[Stock_Qty])</f>
        <v>3</v>
      </c>
      <c r="J213" s="6">
        <f>SUMIFS(
  Sales_Entry[Qty],
  Sales_Entry[Product_Code], Stock_Table[[#This Row],[Product_Code]]
)</f>
        <v>1</v>
      </c>
      <c r="K213" s="4">
        <f>SUMIFS(
  Exchange_Return[Qty],
  Exchange_Return[Product_Code], Stock_Table[[#This Row],[Product_Code]]
)</f>
        <v>0</v>
      </c>
      <c r="L213" s="4">
        <f>I213-J213+K213</f>
        <v>2</v>
      </c>
      <c r="M213" s="2" t="str" cm="1">
        <f t="array" ref="M213">_xlfn.IFS(L213=0,"Out of Stock",L213&gt;=2,"Limited Stock",L213&lt;2,"In Stock")</f>
        <v>Limited Stock</v>
      </c>
    </row>
    <row r="214" spans="2:13">
      <c r="B214" s="2" t="s">
        <v>1680</v>
      </c>
      <c r="C214" s="5" t="str">
        <f>_xlfn.XLOOKUP(B214,Master[Product_Code],Master[Category])</f>
        <v>Innerwear</v>
      </c>
      <c r="D214" s="2" t="str">
        <f>_xlfn.XLOOKUP(B214,Master[Product_Code],Master[Brand])</f>
        <v>Lux</v>
      </c>
      <c r="E214" s="2" t="str">
        <f>_xlfn.XLOOKUP(B214,Master[Product_Code],Master[Style])</f>
        <v>V-Cut</v>
      </c>
      <c r="F214" s="2" t="str">
        <f>_xlfn.XLOOKUP(B214,Master[Product_Code],Master[Fabric])</f>
        <v>Cotton Blend</v>
      </c>
      <c r="G214" s="2" t="str">
        <f>_xlfn.XLOOKUP(B214,Master[Product_Code],Master[Size])</f>
        <v>105-110</v>
      </c>
      <c r="H214" s="2" t="str">
        <f>_xlfn.XLOOKUP(B214,Master[Product_Code],Master[Color])</f>
        <v>Black</v>
      </c>
      <c r="I214" s="4">
        <f>_xlfn.XLOOKUP(B214,Master[Product_Code],Master[Stock_Qty])</f>
        <v>6</v>
      </c>
      <c r="J214" s="6">
        <f>SUMIFS(
  Sales_Entry[Qty],
  Sales_Entry[Product_Code], Stock_Table[[#This Row],[Product_Code]]
)</f>
        <v>1</v>
      </c>
      <c r="K214" s="4">
        <f>SUMIFS(
  Exchange_Return[Qty],
  Exchange_Return[Product_Code], Stock_Table[[#This Row],[Product_Code]]
)</f>
        <v>0</v>
      </c>
      <c r="L214" s="4">
        <f>I214-J214+K214</f>
        <v>5</v>
      </c>
      <c r="M214" s="2" t="str" cm="1">
        <f t="array" ref="M214">_xlfn.IFS(L214=0,"Out of Stock",L214&gt;=2,"Limited Stock",L214&lt;2,"In Stock")</f>
        <v>Limited Stock</v>
      </c>
    </row>
    <row r="215" spans="2:13">
      <c r="B215" s="2" t="s">
        <v>1681</v>
      </c>
      <c r="C215" s="5" t="str">
        <f>_xlfn.XLOOKUP(B215,Master[Product_Code],Master[Category])</f>
        <v>Innerwear</v>
      </c>
      <c r="D215" s="2" t="str">
        <f>_xlfn.XLOOKUP(B215,Master[Product_Code],Master[Brand])</f>
        <v>Lux</v>
      </c>
      <c r="E215" s="2" t="str">
        <f>_xlfn.XLOOKUP(B215,Master[Product_Code],Master[Style])</f>
        <v>V-Cut</v>
      </c>
      <c r="F215" s="2" t="str">
        <f>_xlfn.XLOOKUP(B215,Master[Product_Code],Master[Fabric])</f>
        <v>Cotton</v>
      </c>
      <c r="G215" s="2" t="str">
        <f>_xlfn.XLOOKUP(B215,Master[Product_Code],Master[Size])</f>
        <v>90-100</v>
      </c>
      <c r="H215" s="2" t="str">
        <f>_xlfn.XLOOKUP(B215,Master[Product_Code],Master[Color])</f>
        <v>Royal Blue</v>
      </c>
      <c r="I215" s="4">
        <f>_xlfn.XLOOKUP(B215,Master[Product_Code],Master[Stock_Qty])</f>
        <v>4</v>
      </c>
      <c r="J215" s="6">
        <f>SUMIFS(
  Sales_Entry[Qty],
  Sales_Entry[Product_Code], Stock_Table[[#This Row],[Product_Code]]
)</f>
        <v>0</v>
      </c>
      <c r="K215" s="4">
        <f>SUMIFS(
  Exchange_Return[Qty],
  Exchange_Return[Product_Code], Stock_Table[[#This Row],[Product_Code]]
)</f>
        <v>0</v>
      </c>
      <c r="L215" s="4">
        <f>I215-J215+K215</f>
        <v>4</v>
      </c>
      <c r="M215" s="2" t="str" cm="1">
        <f t="array" ref="M215">_xlfn.IFS(L215=0,"Out of Stock",L215&gt;=2,"Limited Stock",L215&lt;2,"In Stock")</f>
        <v>Limited Stock</v>
      </c>
    </row>
    <row r="216" spans="2:13">
      <c r="B216" s="2" t="s">
        <v>1682</v>
      </c>
      <c r="C216" s="5" t="str">
        <f>_xlfn.XLOOKUP(B216,Master[Product_Code],Master[Category])</f>
        <v>Innerwear</v>
      </c>
      <c r="D216" s="2" t="str">
        <f>_xlfn.XLOOKUP(B216,Master[Product_Code],Master[Brand])</f>
        <v>Rupa</v>
      </c>
      <c r="E216" s="2" t="str">
        <f>_xlfn.XLOOKUP(B216,Master[Product_Code],Master[Style])</f>
        <v>Boxer</v>
      </c>
      <c r="F216" s="2" t="str">
        <f>_xlfn.XLOOKUP(B216,Master[Product_Code],Master[Fabric])</f>
        <v>Cotton</v>
      </c>
      <c r="G216" s="2" t="str">
        <f>_xlfn.XLOOKUP(B216,Master[Product_Code],Master[Size])</f>
        <v>75-80</v>
      </c>
      <c r="H216" s="2" t="str">
        <f>_xlfn.XLOOKUP(B216,Master[Product_Code],Master[Color])</f>
        <v>Charcoal</v>
      </c>
      <c r="I216" s="4">
        <f>_xlfn.XLOOKUP(B216,Master[Product_Code],Master[Stock_Qty])</f>
        <v>3</v>
      </c>
      <c r="J216" s="6">
        <f>SUMIFS(
  Sales_Entry[Qty],
  Sales_Entry[Product_Code], Stock_Table[[#This Row],[Product_Code]]
)</f>
        <v>2</v>
      </c>
      <c r="K216" s="4">
        <f>SUMIFS(
  Exchange_Return[Qty],
  Exchange_Return[Product_Code], Stock_Table[[#This Row],[Product_Code]]
)</f>
        <v>0</v>
      </c>
      <c r="L216" s="4">
        <f>I216-J216+K216</f>
        <v>1</v>
      </c>
      <c r="M216" s="2" t="str" cm="1">
        <f t="array" ref="M216">_xlfn.IFS(L216=0,"Out of Stock",L216&gt;=2,"Limited Stock",L216&lt;2,"In Stock")</f>
        <v>In Stock</v>
      </c>
    </row>
    <row r="217" spans="2:13">
      <c r="B217" s="2" t="s">
        <v>1683</v>
      </c>
      <c r="C217" s="5" t="str">
        <f>_xlfn.XLOOKUP(B217,Master[Product_Code],Master[Category])</f>
        <v>Innerwear</v>
      </c>
      <c r="D217" s="2" t="str">
        <f>_xlfn.XLOOKUP(B217,Master[Product_Code],Master[Brand])</f>
        <v>V Star</v>
      </c>
      <c r="E217" s="2" t="str">
        <f>_xlfn.XLOOKUP(B217,Master[Product_Code],Master[Style])</f>
        <v>Boxer</v>
      </c>
      <c r="F217" s="2" t="str">
        <f>_xlfn.XLOOKUP(B217,Master[Product_Code],Master[Fabric])</f>
        <v>Cotton</v>
      </c>
      <c r="G217" s="2" t="str">
        <f>_xlfn.XLOOKUP(B217,Master[Product_Code],Master[Size])</f>
        <v>80-85</v>
      </c>
      <c r="H217" s="2" t="str">
        <f>_xlfn.XLOOKUP(B217,Master[Product_Code],Master[Color])</f>
        <v>Peach</v>
      </c>
      <c r="I217" s="4">
        <f>_xlfn.XLOOKUP(B217,Master[Product_Code],Master[Stock_Qty])</f>
        <v>4</v>
      </c>
      <c r="J217" s="6">
        <f>SUMIFS(
  Sales_Entry[Qty],
  Sales_Entry[Product_Code], Stock_Table[[#This Row],[Product_Code]]
)</f>
        <v>2</v>
      </c>
      <c r="K217" s="4">
        <f>SUMIFS(
  Exchange_Return[Qty],
  Exchange_Return[Product_Code], Stock_Table[[#This Row],[Product_Code]]
)</f>
        <v>0</v>
      </c>
      <c r="L217" s="4">
        <f>I217-J217+K217</f>
        <v>2</v>
      </c>
      <c r="M217" s="2" t="str" cm="1">
        <f t="array" ref="M217">_xlfn.IFS(L217=0,"Out of Stock",L217&gt;=2,"Limited Stock",L217&lt;2,"In Stock")</f>
        <v>Limited Stock</v>
      </c>
    </row>
    <row r="218" spans="2:13">
      <c r="B218" s="2" t="s">
        <v>1684</v>
      </c>
      <c r="C218" s="5" t="str">
        <f>_xlfn.XLOOKUP(B218,Master[Product_Code],Master[Category])</f>
        <v>Innerwear</v>
      </c>
      <c r="D218" s="2" t="str">
        <f>_xlfn.XLOOKUP(B218,Master[Product_Code],Master[Brand])</f>
        <v>Dollar</v>
      </c>
      <c r="E218" s="2" t="str">
        <f>_xlfn.XLOOKUP(B218,Master[Product_Code],Master[Style])</f>
        <v>Boxer</v>
      </c>
      <c r="F218" s="2" t="str">
        <f>_xlfn.XLOOKUP(B218,Master[Product_Code],Master[Fabric])</f>
        <v>Cotton Blend</v>
      </c>
      <c r="G218" s="2" t="str">
        <f>_xlfn.XLOOKUP(B218,Master[Product_Code],Master[Size])</f>
        <v>105-110</v>
      </c>
      <c r="H218" s="2" t="str">
        <f>_xlfn.XLOOKUP(B218,Master[Product_Code],Master[Color])</f>
        <v>Mustard</v>
      </c>
      <c r="I218" s="4">
        <f>_xlfn.XLOOKUP(B218,Master[Product_Code],Master[Stock_Qty])</f>
        <v>6</v>
      </c>
      <c r="J218" s="6">
        <f>SUMIFS(
  Sales_Entry[Qty],
  Sales_Entry[Product_Code], Stock_Table[[#This Row],[Product_Code]]
)</f>
        <v>2</v>
      </c>
      <c r="K218" s="4">
        <f>SUMIFS(
  Exchange_Return[Qty],
  Exchange_Return[Product_Code], Stock_Table[[#This Row],[Product_Code]]
)</f>
        <v>0</v>
      </c>
      <c r="L218" s="4">
        <f>I218-J218+K218</f>
        <v>4</v>
      </c>
      <c r="M218" s="2" t="str" cm="1">
        <f t="array" ref="M218">_xlfn.IFS(L218=0,"Out of Stock",L218&gt;=2,"Limited Stock",L218&lt;2,"In Stock")</f>
        <v>Limited Stock</v>
      </c>
    </row>
    <row r="219" spans="2:13">
      <c r="B219" s="2" t="s">
        <v>1685</v>
      </c>
      <c r="C219" s="5" t="str">
        <f>_xlfn.XLOOKUP(B219,Master[Product_Code],Master[Category])</f>
        <v>Innerwear</v>
      </c>
      <c r="D219" s="2" t="str">
        <f>_xlfn.XLOOKUP(B219,Master[Product_Code],Master[Brand])</f>
        <v>Dollar</v>
      </c>
      <c r="E219" s="2" t="str">
        <f>_xlfn.XLOOKUP(B219,Master[Product_Code],Master[Style])</f>
        <v>V-Cut</v>
      </c>
      <c r="F219" s="2" t="str">
        <f>_xlfn.XLOOKUP(B219,Master[Product_Code],Master[Fabric])</f>
        <v>Cotton</v>
      </c>
      <c r="G219" s="2" t="str">
        <f>_xlfn.XLOOKUP(B219,Master[Product_Code],Master[Size])</f>
        <v>75-80</v>
      </c>
      <c r="H219" s="2" t="str">
        <f>_xlfn.XLOOKUP(B219,Master[Product_Code],Master[Color])</f>
        <v>White</v>
      </c>
      <c r="I219" s="4">
        <f>_xlfn.XLOOKUP(B219,Master[Product_Code],Master[Stock_Qty])</f>
        <v>4</v>
      </c>
      <c r="J219" s="6">
        <f>SUMIFS(
  Sales_Entry[Qty],
  Sales_Entry[Product_Code], Stock_Table[[#This Row],[Product_Code]]
)</f>
        <v>2</v>
      </c>
      <c r="K219" s="4">
        <f>SUMIFS(
  Exchange_Return[Qty],
  Exchange_Return[Product_Code], Stock_Table[[#This Row],[Product_Code]]
)</f>
        <v>0</v>
      </c>
      <c r="L219" s="4">
        <f>I219-J219+K219</f>
        <v>2</v>
      </c>
      <c r="M219" s="2" t="str" cm="1">
        <f t="array" ref="M219">_xlfn.IFS(L219=0,"Out of Stock",L219&gt;=2,"Limited Stock",L219&lt;2,"In Stock")</f>
        <v>Limited Stock</v>
      </c>
    </row>
    <row r="220" spans="2:13">
      <c r="B220" s="2" t="s">
        <v>1686</v>
      </c>
      <c r="C220" s="5" t="str">
        <f>_xlfn.XLOOKUP(B220,Master[Product_Code],Master[Category])</f>
        <v>Innerwear</v>
      </c>
      <c r="D220" s="2" t="str">
        <f>_xlfn.XLOOKUP(B220,Master[Product_Code],Master[Brand])</f>
        <v>Rupa</v>
      </c>
      <c r="E220" s="2" t="str">
        <f>_xlfn.XLOOKUP(B220,Master[Product_Code],Master[Style])</f>
        <v>V-Cut</v>
      </c>
      <c r="F220" s="2" t="str">
        <f>_xlfn.XLOOKUP(B220,Master[Product_Code],Master[Fabric])</f>
        <v>Cotton Blend</v>
      </c>
      <c r="G220" s="2" t="str">
        <f>_xlfn.XLOOKUP(B220,Master[Product_Code],Master[Size])</f>
        <v>90-100</v>
      </c>
      <c r="H220" s="2" t="str">
        <f>_xlfn.XLOOKUP(B220,Master[Product_Code],Master[Color])</f>
        <v>Cream</v>
      </c>
      <c r="I220" s="4">
        <f>_xlfn.XLOOKUP(B220,Master[Product_Code],Master[Stock_Qty])</f>
        <v>5</v>
      </c>
      <c r="J220" s="6">
        <f>SUMIFS(
  Sales_Entry[Qty],
  Sales_Entry[Product_Code], Stock_Table[[#This Row],[Product_Code]]
)</f>
        <v>1</v>
      </c>
      <c r="K220" s="4">
        <f>SUMIFS(
  Exchange_Return[Qty],
  Exchange_Return[Product_Code], Stock_Table[[#This Row],[Product_Code]]
)</f>
        <v>0</v>
      </c>
      <c r="L220" s="4">
        <f>I220-J220+K220</f>
        <v>4</v>
      </c>
      <c r="M220" s="2" t="str" cm="1">
        <f t="array" ref="M220">_xlfn.IFS(L220=0,"Out of Stock",L220&gt;=2,"Limited Stock",L220&lt;2,"In Stock")</f>
        <v>Limited Stock</v>
      </c>
    </row>
    <row r="221" spans="2:13">
      <c r="B221" s="2" t="s">
        <v>1687</v>
      </c>
      <c r="C221" s="5" t="str">
        <f>_xlfn.XLOOKUP(B221,Master[Product_Code],Master[Category])</f>
        <v>Innerwear</v>
      </c>
      <c r="D221" s="2" t="str">
        <f>_xlfn.XLOOKUP(B221,Master[Product_Code],Master[Brand])</f>
        <v>Dollar</v>
      </c>
      <c r="E221" s="2" t="str">
        <f>_xlfn.XLOOKUP(B221,Master[Product_Code],Master[Style])</f>
        <v>V-Cut</v>
      </c>
      <c r="F221" s="2" t="str">
        <f>_xlfn.XLOOKUP(B221,Master[Product_Code],Master[Fabric])</f>
        <v>Cotton Blend</v>
      </c>
      <c r="G221" s="2" t="str">
        <f>_xlfn.XLOOKUP(B221,Master[Product_Code],Master[Size])</f>
        <v>80-85</v>
      </c>
      <c r="H221" s="2" t="str">
        <f>_xlfn.XLOOKUP(B221,Master[Product_Code],Master[Color])</f>
        <v>Beige</v>
      </c>
      <c r="I221" s="4">
        <f>_xlfn.XLOOKUP(B221,Master[Product_Code],Master[Stock_Qty])</f>
        <v>3</v>
      </c>
      <c r="J221" s="6">
        <f>SUMIFS(
  Sales_Entry[Qty],
  Sales_Entry[Product_Code], Stock_Table[[#This Row],[Product_Code]]
)</f>
        <v>2</v>
      </c>
      <c r="K221" s="4">
        <f>SUMIFS(
  Exchange_Return[Qty],
  Exchange_Return[Product_Code], Stock_Table[[#This Row],[Product_Code]]
)</f>
        <v>0</v>
      </c>
      <c r="L221" s="4">
        <f>I221-J221+K221</f>
        <v>1</v>
      </c>
      <c r="M221" s="2" t="str" cm="1">
        <f t="array" ref="M221">_xlfn.IFS(L221=0,"Out of Stock",L221&gt;=2,"Limited Stock",L221&lt;2,"In Stock")</f>
        <v>In Stock</v>
      </c>
    </row>
    <row r="222" spans="2:13">
      <c r="B222" s="2" t="s">
        <v>1688</v>
      </c>
      <c r="C222" s="5" t="str">
        <f>_xlfn.XLOOKUP(B222,Master[Product_Code],Master[Category])</f>
        <v>Innerwear</v>
      </c>
      <c r="D222" s="2" t="str">
        <f>_xlfn.XLOOKUP(B222,Master[Product_Code],Master[Brand])</f>
        <v>Jockey</v>
      </c>
      <c r="E222" s="2" t="str">
        <f>_xlfn.XLOOKUP(B222,Master[Product_Code],Master[Style])</f>
        <v>V-Cut</v>
      </c>
      <c r="F222" s="2" t="str">
        <f>_xlfn.XLOOKUP(B222,Master[Product_Code],Master[Fabric])</f>
        <v>Cotton</v>
      </c>
      <c r="G222" s="2" t="str">
        <f>_xlfn.XLOOKUP(B222,Master[Product_Code],Master[Size])</f>
        <v>90-100</v>
      </c>
      <c r="H222" s="2" t="str">
        <f>_xlfn.XLOOKUP(B222,Master[Product_Code],Master[Color])</f>
        <v>Royal Blue</v>
      </c>
      <c r="I222" s="4">
        <f>_xlfn.XLOOKUP(B222,Master[Product_Code],Master[Stock_Qty])</f>
        <v>3</v>
      </c>
      <c r="J222" s="6">
        <f>SUMIFS(
  Sales_Entry[Qty],
  Sales_Entry[Product_Code], Stock_Table[[#This Row],[Product_Code]]
)</f>
        <v>1</v>
      </c>
      <c r="K222" s="4">
        <f>SUMIFS(
  Exchange_Return[Qty],
  Exchange_Return[Product_Code], Stock_Table[[#This Row],[Product_Code]]
)</f>
        <v>0</v>
      </c>
      <c r="L222" s="4">
        <f>I222-J222+K222</f>
        <v>2</v>
      </c>
      <c r="M222" s="2" t="str" cm="1">
        <f t="array" ref="M222">_xlfn.IFS(L222=0,"Out of Stock",L222&gt;=2,"Limited Stock",L222&lt;2,"In Stock")</f>
        <v>Limited Stock</v>
      </c>
    </row>
    <row r="223" spans="2:13">
      <c r="B223" s="2" t="s">
        <v>1689</v>
      </c>
      <c r="C223" s="5" t="str">
        <f>_xlfn.XLOOKUP(B223,Master[Product_Code],Master[Category])</f>
        <v>Innerwear</v>
      </c>
      <c r="D223" s="2" t="str">
        <f>_xlfn.XLOOKUP(B223,Master[Product_Code],Master[Brand])</f>
        <v>Jockey</v>
      </c>
      <c r="E223" s="2" t="str">
        <f>_xlfn.XLOOKUP(B223,Master[Product_Code],Master[Style])</f>
        <v>V-Cut</v>
      </c>
      <c r="F223" s="2" t="str">
        <f>_xlfn.XLOOKUP(B223,Master[Product_Code],Master[Fabric])</f>
        <v>Cotton</v>
      </c>
      <c r="G223" s="2" t="str">
        <f>_xlfn.XLOOKUP(B223,Master[Product_Code],Master[Size])</f>
        <v>105-110</v>
      </c>
      <c r="H223" s="2" t="str">
        <f>_xlfn.XLOOKUP(B223,Master[Product_Code],Master[Color])</f>
        <v>Cream</v>
      </c>
      <c r="I223" s="4">
        <f>_xlfn.XLOOKUP(B223,Master[Product_Code],Master[Stock_Qty])</f>
        <v>6</v>
      </c>
      <c r="J223" s="6">
        <f>SUMIFS(
  Sales_Entry[Qty],
  Sales_Entry[Product_Code], Stock_Table[[#This Row],[Product_Code]]
)</f>
        <v>3</v>
      </c>
      <c r="K223" s="4">
        <f>SUMIFS(
  Exchange_Return[Qty],
  Exchange_Return[Product_Code], Stock_Table[[#This Row],[Product_Code]]
)</f>
        <v>0</v>
      </c>
      <c r="L223" s="4">
        <f>I223-J223+K223</f>
        <v>3</v>
      </c>
      <c r="M223" s="2" t="str" cm="1">
        <f t="array" ref="M223">_xlfn.IFS(L223=0,"Out of Stock",L223&gt;=2,"Limited Stock",L223&lt;2,"In Stock")</f>
        <v>Limited Stock</v>
      </c>
    </row>
    <row r="224" spans="2:13">
      <c r="B224" s="2" t="s">
        <v>1690</v>
      </c>
      <c r="C224" s="5" t="str">
        <f>_xlfn.XLOOKUP(B224,Master[Product_Code],Master[Category])</f>
        <v>Innerwear</v>
      </c>
      <c r="D224" s="2" t="str">
        <f>_xlfn.XLOOKUP(B224,Master[Product_Code],Master[Brand])</f>
        <v>Jockey</v>
      </c>
      <c r="E224" s="2" t="str">
        <f>_xlfn.XLOOKUP(B224,Master[Product_Code],Master[Style])</f>
        <v>Boxer</v>
      </c>
      <c r="F224" s="2" t="str">
        <f>_xlfn.XLOOKUP(B224,Master[Product_Code],Master[Fabric])</f>
        <v>Cotton</v>
      </c>
      <c r="G224" s="2" t="str">
        <f>_xlfn.XLOOKUP(B224,Master[Product_Code],Master[Size])</f>
        <v>75-80</v>
      </c>
      <c r="H224" s="2" t="str">
        <f>_xlfn.XLOOKUP(B224,Master[Product_Code],Master[Color])</f>
        <v>Teal</v>
      </c>
      <c r="I224" s="4">
        <f>_xlfn.XLOOKUP(B224,Master[Product_Code],Master[Stock_Qty])</f>
        <v>6</v>
      </c>
      <c r="J224" s="6">
        <f>SUMIFS(
  Sales_Entry[Qty],
  Sales_Entry[Product_Code], Stock_Table[[#This Row],[Product_Code]]
)</f>
        <v>0</v>
      </c>
      <c r="K224" s="4">
        <f>SUMIFS(
  Exchange_Return[Qty],
  Exchange_Return[Product_Code], Stock_Table[[#This Row],[Product_Code]]
)</f>
        <v>0</v>
      </c>
      <c r="L224" s="4">
        <f>I224-J224+K224</f>
        <v>6</v>
      </c>
      <c r="M224" s="2" t="str" cm="1">
        <f t="array" ref="M224">_xlfn.IFS(L224=0,"Out of Stock",L224&gt;=2,"Limited Stock",L224&lt;2,"In Stock")</f>
        <v>Limited Stock</v>
      </c>
    </row>
    <row r="225" spans="2:13">
      <c r="B225" s="2" t="s">
        <v>1691</v>
      </c>
      <c r="C225" s="5" t="str">
        <f>_xlfn.XLOOKUP(B225,Master[Product_Code],Master[Category])</f>
        <v>Innerwear</v>
      </c>
      <c r="D225" s="2" t="str">
        <f>_xlfn.XLOOKUP(B225,Master[Product_Code],Master[Brand])</f>
        <v>Dollar</v>
      </c>
      <c r="E225" s="2" t="str">
        <f>_xlfn.XLOOKUP(B225,Master[Product_Code],Master[Style])</f>
        <v>V-Cut</v>
      </c>
      <c r="F225" s="2" t="str">
        <f>_xlfn.XLOOKUP(B225,Master[Product_Code],Master[Fabric])</f>
        <v>Cotton</v>
      </c>
      <c r="G225" s="2" t="str">
        <f>_xlfn.XLOOKUP(B225,Master[Product_Code],Master[Size])</f>
        <v>75-80</v>
      </c>
      <c r="H225" s="2" t="str">
        <f>_xlfn.XLOOKUP(B225,Master[Product_Code],Master[Color])</f>
        <v>Teal</v>
      </c>
      <c r="I225" s="4">
        <f>_xlfn.XLOOKUP(B225,Master[Product_Code],Master[Stock_Qty])</f>
        <v>5</v>
      </c>
      <c r="J225" s="6">
        <f>SUMIFS(
  Sales_Entry[Qty],
  Sales_Entry[Product_Code], Stock_Table[[#This Row],[Product_Code]]
)</f>
        <v>2</v>
      </c>
      <c r="K225" s="4">
        <f>SUMIFS(
  Exchange_Return[Qty],
  Exchange_Return[Product_Code], Stock_Table[[#This Row],[Product_Code]]
)</f>
        <v>0</v>
      </c>
      <c r="L225" s="4">
        <f>I225-J225+K225</f>
        <v>3</v>
      </c>
      <c r="M225" s="2" t="str" cm="1">
        <f t="array" ref="M225">_xlfn.IFS(L225=0,"Out of Stock",L225&gt;=2,"Limited Stock",L225&lt;2,"In Stock")</f>
        <v>Limited Stock</v>
      </c>
    </row>
    <row r="226" spans="2:13">
      <c r="B226" s="2" t="s">
        <v>1692</v>
      </c>
      <c r="C226" s="5" t="str">
        <f>_xlfn.XLOOKUP(B226,Master[Product_Code],Master[Category])</f>
        <v>Innerwear</v>
      </c>
      <c r="D226" s="2" t="str">
        <f>_xlfn.XLOOKUP(B226,Master[Product_Code],Master[Brand])</f>
        <v>Rupa</v>
      </c>
      <c r="E226" s="2" t="str">
        <f>_xlfn.XLOOKUP(B226,Master[Product_Code],Master[Style])</f>
        <v>Boxer</v>
      </c>
      <c r="F226" s="2" t="str">
        <f>_xlfn.XLOOKUP(B226,Master[Product_Code],Master[Fabric])</f>
        <v>Cotton</v>
      </c>
      <c r="G226" s="2" t="str">
        <f>_xlfn.XLOOKUP(B226,Master[Product_Code],Master[Size])</f>
        <v>100-105</v>
      </c>
      <c r="H226" s="2" t="str">
        <f>_xlfn.XLOOKUP(B226,Master[Product_Code],Master[Color])</f>
        <v>Sky Blue</v>
      </c>
      <c r="I226" s="4">
        <f>_xlfn.XLOOKUP(B226,Master[Product_Code],Master[Stock_Qty])</f>
        <v>3</v>
      </c>
      <c r="J226" s="6">
        <f>SUMIFS(
  Sales_Entry[Qty],
  Sales_Entry[Product_Code], Stock_Table[[#This Row],[Product_Code]]
)</f>
        <v>1</v>
      </c>
      <c r="K226" s="4">
        <f>SUMIFS(
  Exchange_Return[Qty],
  Exchange_Return[Product_Code], Stock_Table[[#This Row],[Product_Code]]
)</f>
        <v>0</v>
      </c>
      <c r="L226" s="4">
        <f>I226-J226+K226</f>
        <v>2</v>
      </c>
      <c r="M226" s="2" t="str" cm="1">
        <f t="array" ref="M226">_xlfn.IFS(L226=0,"Out of Stock",L226&gt;=2,"Limited Stock",L226&lt;2,"In Stock")</f>
        <v>Limited Stock</v>
      </c>
    </row>
    <row r="227" spans="2:13">
      <c r="B227" s="2" t="s">
        <v>1693</v>
      </c>
      <c r="C227" s="5" t="str">
        <f>_xlfn.XLOOKUP(B227,Master[Product_Code],Master[Category])</f>
        <v>Innerwear</v>
      </c>
      <c r="D227" s="2" t="str">
        <f>_xlfn.XLOOKUP(B227,Master[Product_Code],Master[Brand])</f>
        <v>V Star</v>
      </c>
      <c r="E227" s="2" t="str">
        <f>_xlfn.XLOOKUP(B227,Master[Product_Code],Master[Style])</f>
        <v>V-Cut</v>
      </c>
      <c r="F227" s="2" t="str">
        <f>_xlfn.XLOOKUP(B227,Master[Product_Code],Master[Fabric])</f>
        <v>Cotton Blend</v>
      </c>
      <c r="G227" s="2" t="str">
        <f>_xlfn.XLOOKUP(B227,Master[Product_Code],Master[Size])</f>
        <v>80-85</v>
      </c>
      <c r="H227" s="2" t="str">
        <f>_xlfn.XLOOKUP(B227,Master[Product_Code],Master[Color])</f>
        <v>Dark Green</v>
      </c>
      <c r="I227" s="4">
        <f>_xlfn.XLOOKUP(B227,Master[Product_Code],Master[Stock_Qty])</f>
        <v>4</v>
      </c>
      <c r="J227" s="6">
        <f>SUMIFS(
  Sales_Entry[Qty],
  Sales_Entry[Product_Code], Stock_Table[[#This Row],[Product_Code]]
)</f>
        <v>1</v>
      </c>
      <c r="K227" s="4">
        <f>SUMIFS(
  Exchange_Return[Qty],
  Exchange_Return[Product_Code], Stock_Table[[#This Row],[Product_Code]]
)</f>
        <v>0</v>
      </c>
      <c r="L227" s="4">
        <f>I227-J227+K227</f>
        <v>3</v>
      </c>
      <c r="M227" s="2" t="str" cm="1">
        <f t="array" ref="M227">_xlfn.IFS(L227=0,"Out of Stock",L227&gt;=2,"Limited Stock",L227&lt;2,"In Stock")</f>
        <v>Limited Stock</v>
      </c>
    </row>
    <row r="228" spans="2:13">
      <c r="B228" s="2" t="s">
        <v>1694</v>
      </c>
      <c r="C228" s="5" t="str">
        <f>_xlfn.XLOOKUP(B228,Master[Product_Code],Master[Category])</f>
        <v>Innerwear</v>
      </c>
      <c r="D228" s="2" t="str">
        <f>_xlfn.XLOOKUP(B228,Master[Product_Code],Master[Brand])</f>
        <v>Rupa</v>
      </c>
      <c r="E228" s="2" t="str">
        <f>_xlfn.XLOOKUP(B228,Master[Product_Code],Master[Style])</f>
        <v>Boxer</v>
      </c>
      <c r="F228" s="2" t="str">
        <f>_xlfn.XLOOKUP(B228,Master[Product_Code],Master[Fabric])</f>
        <v>Cotton</v>
      </c>
      <c r="G228" s="2" t="str">
        <f>_xlfn.XLOOKUP(B228,Master[Product_Code],Master[Size])</f>
        <v>100-105</v>
      </c>
      <c r="H228" s="2" t="str">
        <f>_xlfn.XLOOKUP(B228,Master[Product_Code],Master[Color])</f>
        <v>Light Grey</v>
      </c>
      <c r="I228" s="4">
        <f>_xlfn.XLOOKUP(B228,Master[Product_Code],Master[Stock_Qty])</f>
        <v>3</v>
      </c>
      <c r="J228" s="6">
        <f>SUMIFS(
  Sales_Entry[Qty],
  Sales_Entry[Product_Code], Stock_Table[[#This Row],[Product_Code]]
)</f>
        <v>1</v>
      </c>
      <c r="K228" s="4">
        <f>SUMIFS(
  Exchange_Return[Qty],
  Exchange_Return[Product_Code], Stock_Table[[#This Row],[Product_Code]]
)</f>
        <v>0</v>
      </c>
      <c r="L228" s="4">
        <f>I228-J228+K228</f>
        <v>2</v>
      </c>
      <c r="M228" s="2" t="str" cm="1">
        <f t="array" ref="M228">_xlfn.IFS(L228=0,"Out of Stock",L228&gt;=2,"Limited Stock",L228&lt;2,"In Stock")</f>
        <v>Limited Stock</v>
      </c>
    </row>
    <row r="229" spans="2:13">
      <c r="B229" s="2" t="s">
        <v>1695</v>
      </c>
      <c r="C229" s="5" t="str">
        <f>_xlfn.XLOOKUP(B229,Master[Product_Code],Master[Category])</f>
        <v>Innerwear</v>
      </c>
      <c r="D229" s="2" t="str">
        <f>_xlfn.XLOOKUP(B229,Master[Product_Code],Master[Brand])</f>
        <v>Lux</v>
      </c>
      <c r="E229" s="2" t="str">
        <f>_xlfn.XLOOKUP(B229,Master[Product_Code],Master[Style])</f>
        <v>V-Cut</v>
      </c>
      <c r="F229" s="2" t="str">
        <f>_xlfn.XLOOKUP(B229,Master[Product_Code],Master[Fabric])</f>
        <v>Cotton Blend</v>
      </c>
      <c r="G229" s="2" t="str">
        <f>_xlfn.XLOOKUP(B229,Master[Product_Code],Master[Size])</f>
        <v>75-80</v>
      </c>
      <c r="H229" s="2" t="str">
        <f>_xlfn.XLOOKUP(B229,Master[Product_Code],Master[Color])</f>
        <v>Brown</v>
      </c>
      <c r="I229" s="4">
        <f>_xlfn.XLOOKUP(B229,Master[Product_Code],Master[Stock_Qty])</f>
        <v>3</v>
      </c>
      <c r="J229" s="6">
        <f>SUMIFS(
  Sales_Entry[Qty],
  Sales_Entry[Product_Code], Stock_Table[[#This Row],[Product_Code]]
)</f>
        <v>0</v>
      </c>
      <c r="K229" s="4">
        <f>SUMIFS(
  Exchange_Return[Qty],
  Exchange_Return[Product_Code], Stock_Table[[#This Row],[Product_Code]]
)</f>
        <v>0</v>
      </c>
      <c r="L229" s="4">
        <f>I229-J229+K229</f>
        <v>3</v>
      </c>
      <c r="M229" s="2" t="str" cm="1">
        <f t="array" ref="M229">_xlfn.IFS(L229=0,"Out of Stock",L229&gt;=2,"Limited Stock",L229&lt;2,"In Stock")</f>
        <v>Limited Stock</v>
      </c>
    </row>
    <row r="230" spans="2:13">
      <c r="B230" s="2" t="s">
        <v>1696</v>
      </c>
      <c r="C230" s="5" t="str">
        <f>_xlfn.XLOOKUP(B230,Master[Product_Code],Master[Category])</f>
        <v>Innerwear</v>
      </c>
      <c r="D230" s="2" t="str">
        <f>_xlfn.XLOOKUP(B230,Master[Product_Code],Master[Brand])</f>
        <v>Dollar</v>
      </c>
      <c r="E230" s="2" t="str">
        <f>_xlfn.XLOOKUP(B230,Master[Product_Code],Master[Style])</f>
        <v>Boxer</v>
      </c>
      <c r="F230" s="2" t="str">
        <f>_xlfn.XLOOKUP(B230,Master[Product_Code],Master[Fabric])</f>
        <v>Cotton</v>
      </c>
      <c r="G230" s="2" t="str">
        <f>_xlfn.XLOOKUP(B230,Master[Product_Code],Master[Size])</f>
        <v>85-90</v>
      </c>
      <c r="H230" s="2" t="str">
        <f>_xlfn.XLOOKUP(B230,Master[Product_Code],Master[Color])</f>
        <v>Rust</v>
      </c>
      <c r="I230" s="4">
        <f>_xlfn.XLOOKUP(B230,Master[Product_Code],Master[Stock_Qty])</f>
        <v>5</v>
      </c>
      <c r="J230" s="6">
        <f>SUMIFS(
  Sales_Entry[Qty],
  Sales_Entry[Product_Code], Stock_Table[[#This Row],[Product_Code]]
)</f>
        <v>2</v>
      </c>
      <c r="K230" s="4">
        <f>SUMIFS(
  Exchange_Return[Qty],
  Exchange_Return[Product_Code], Stock_Table[[#This Row],[Product_Code]]
)</f>
        <v>0</v>
      </c>
      <c r="L230" s="4">
        <f>I230-J230+K230</f>
        <v>3</v>
      </c>
      <c r="M230" s="2" t="str" cm="1">
        <f t="array" ref="M230">_xlfn.IFS(L230=0,"Out of Stock",L230&gt;=2,"Limited Stock",L230&lt;2,"In Stock")</f>
        <v>Limited Stock</v>
      </c>
    </row>
    <row r="231" spans="2:13">
      <c r="B231" s="2" t="s">
        <v>1697</v>
      </c>
      <c r="C231" s="5" t="str">
        <f>_xlfn.XLOOKUP(B231,Master[Product_Code],Master[Category])</f>
        <v>Innerwear</v>
      </c>
      <c r="D231" s="2" t="str">
        <f>_xlfn.XLOOKUP(B231,Master[Product_Code],Master[Brand])</f>
        <v>Lux</v>
      </c>
      <c r="E231" s="2" t="str">
        <f>_xlfn.XLOOKUP(B231,Master[Product_Code],Master[Style])</f>
        <v>Boxer</v>
      </c>
      <c r="F231" s="2" t="str">
        <f>_xlfn.XLOOKUP(B231,Master[Product_Code],Master[Fabric])</f>
        <v>Cotton Blend</v>
      </c>
      <c r="G231" s="2" t="str">
        <f>_xlfn.XLOOKUP(B231,Master[Product_Code],Master[Size])</f>
        <v>105-110</v>
      </c>
      <c r="H231" s="2" t="str">
        <f>_xlfn.XLOOKUP(B231,Master[Product_Code],Master[Color])</f>
        <v>Wine</v>
      </c>
      <c r="I231" s="4">
        <f>_xlfn.XLOOKUP(B231,Master[Product_Code],Master[Stock_Qty])</f>
        <v>3</v>
      </c>
      <c r="J231" s="6">
        <f>SUMIFS(
  Sales_Entry[Qty],
  Sales_Entry[Product_Code], Stock_Table[[#This Row],[Product_Code]]
)</f>
        <v>2</v>
      </c>
      <c r="K231" s="4">
        <f>SUMIFS(
  Exchange_Return[Qty],
  Exchange_Return[Product_Code], Stock_Table[[#This Row],[Product_Code]]
)</f>
        <v>0</v>
      </c>
      <c r="L231" s="4">
        <f>I231-J231+K231</f>
        <v>1</v>
      </c>
      <c r="M231" s="2" t="str" cm="1">
        <f t="array" ref="M231">_xlfn.IFS(L231=0,"Out of Stock",L231&gt;=2,"Limited Stock",L231&lt;2,"In Stock")</f>
        <v>In Stock</v>
      </c>
    </row>
    <row r="232" spans="2:13">
      <c r="B232" s="2" t="s">
        <v>1698</v>
      </c>
      <c r="C232" s="5" t="str">
        <f>_xlfn.XLOOKUP(B232,Master[Product_Code],Master[Category])</f>
        <v>Innerwear</v>
      </c>
      <c r="D232" s="2" t="str">
        <f>_xlfn.XLOOKUP(B232,Master[Product_Code],Master[Brand])</f>
        <v>Rupa</v>
      </c>
      <c r="E232" s="2" t="str">
        <f>_xlfn.XLOOKUP(B232,Master[Product_Code],Master[Style])</f>
        <v>V-Cut</v>
      </c>
      <c r="F232" s="2" t="str">
        <f>_xlfn.XLOOKUP(B232,Master[Product_Code],Master[Fabric])</f>
        <v>Cotton Blend</v>
      </c>
      <c r="G232" s="2" t="str">
        <f>_xlfn.XLOOKUP(B232,Master[Product_Code],Master[Size])</f>
        <v>90-100</v>
      </c>
      <c r="H232" s="2" t="str">
        <f>_xlfn.XLOOKUP(B232,Master[Product_Code],Master[Color])</f>
        <v>Light Grey</v>
      </c>
      <c r="I232" s="4">
        <f>_xlfn.XLOOKUP(B232,Master[Product_Code],Master[Stock_Qty])</f>
        <v>3</v>
      </c>
      <c r="J232" s="6">
        <f>SUMIFS(
  Sales_Entry[Qty],
  Sales_Entry[Product_Code], Stock_Table[[#This Row],[Product_Code]]
)</f>
        <v>0</v>
      </c>
      <c r="K232" s="4">
        <f>SUMIFS(
  Exchange_Return[Qty],
  Exchange_Return[Product_Code], Stock_Table[[#This Row],[Product_Code]]
)</f>
        <v>0</v>
      </c>
      <c r="L232" s="4">
        <f>I232-J232+K232</f>
        <v>3</v>
      </c>
      <c r="M232" s="2" t="str" cm="1">
        <f t="array" ref="M232">_xlfn.IFS(L232=0,"Out of Stock",L232&gt;=2,"Limited Stock",L232&lt;2,"In Stock")</f>
        <v>Limited Stock</v>
      </c>
    </row>
    <row r="233" spans="2:13">
      <c r="B233" s="2" t="s">
        <v>1699</v>
      </c>
      <c r="C233" s="5" t="str">
        <f>_xlfn.XLOOKUP(B233,Master[Product_Code],Master[Category])</f>
        <v>Innerwear</v>
      </c>
      <c r="D233" s="2" t="str">
        <f>_xlfn.XLOOKUP(B233,Master[Product_Code],Master[Brand])</f>
        <v>Rupa</v>
      </c>
      <c r="E233" s="2" t="str">
        <f>_xlfn.XLOOKUP(B233,Master[Product_Code],Master[Style])</f>
        <v>V-Cut</v>
      </c>
      <c r="F233" s="2" t="str">
        <f>_xlfn.XLOOKUP(B233,Master[Product_Code],Master[Fabric])</f>
        <v>Cotton Blend</v>
      </c>
      <c r="G233" s="2" t="str">
        <f>_xlfn.XLOOKUP(B233,Master[Product_Code],Master[Size])</f>
        <v>75-80</v>
      </c>
      <c r="H233" s="2" t="str">
        <f>_xlfn.XLOOKUP(B233,Master[Product_Code],Master[Color])</f>
        <v>Navy Blue</v>
      </c>
      <c r="I233" s="4">
        <f>_xlfn.XLOOKUP(B233,Master[Product_Code],Master[Stock_Qty])</f>
        <v>4</v>
      </c>
      <c r="J233" s="6">
        <f>SUMIFS(
  Sales_Entry[Qty],
  Sales_Entry[Product_Code], Stock_Table[[#This Row],[Product_Code]]
)</f>
        <v>4</v>
      </c>
      <c r="K233" s="4">
        <f>SUMIFS(
  Exchange_Return[Qty],
  Exchange_Return[Product_Code], Stock_Table[[#This Row],[Product_Code]]
)</f>
        <v>0</v>
      </c>
      <c r="L233" s="4">
        <f>I233-J233+K233</f>
        <v>0</v>
      </c>
      <c r="M233" s="2" t="str" cm="1">
        <f t="array" ref="M233">_xlfn.IFS(L233=0,"Out of Stock",L233&gt;=2,"Limited Stock",L233&lt;2,"In Stock")</f>
        <v>Out of Stock</v>
      </c>
    </row>
    <row r="234" spans="2:13">
      <c r="B234" s="2" t="s">
        <v>1700</v>
      </c>
      <c r="C234" s="5" t="str">
        <f>_xlfn.XLOOKUP(B234,Master[Product_Code],Master[Category])</f>
        <v>Innerwear</v>
      </c>
      <c r="D234" s="2" t="str">
        <f>_xlfn.XLOOKUP(B234,Master[Product_Code],Master[Brand])</f>
        <v>Rupa</v>
      </c>
      <c r="E234" s="2" t="str">
        <f>_xlfn.XLOOKUP(B234,Master[Product_Code],Master[Style])</f>
        <v>V-Cut</v>
      </c>
      <c r="F234" s="2" t="str">
        <f>_xlfn.XLOOKUP(B234,Master[Product_Code],Master[Fabric])</f>
        <v>Cotton Blend</v>
      </c>
      <c r="G234" s="2" t="str">
        <f>_xlfn.XLOOKUP(B234,Master[Product_Code],Master[Size])</f>
        <v>90-100</v>
      </c>
      <c r="H234" s="2" t="str">
        <f>_xlfn.XLOOKUP(B234,Master[Product_Code],Master[Color])</f>
        <v>Maroon</v>
      </c>
      <c r="I234" s="4">
        <f>_xlfn.XLOOKUP(B234,Master[Product_Code],Master[Stock_Qty])</f>
        <v>5</v>
      </c>
      <c r="J234" s="6">
        <f>SUMIFS(
  Sales_Entry[Qty],
  Sales_Entry[Product_Code], Stock_Table[[#This Row],[Product_Code]]
)</f>
        <v>4</v>
      </c>
      <c r="K234" s="4">
        <f>SUMIFS(
  Exchange_Return[Qty],
  Exchange_Return[Product_Code], Stock_Table[[#This Row],[Product_Code]]
)</f>
        <v>0</v>
      </c>
      <c r="L234" s="4">
        <f>I234-J234+K234</f>
        <v>1</v>
      </c>
      <c r="M234" s="2" t="str" cm="1">
        <f t="array" ref="M234">_xlfn.IFS(L234=0,"Out of Stock",L234&gt;=2,"Limited Stock",L234&lt;2,"In Stock")</f>
        <v>In Stock</v>
      </c>
    </row>
    <row r="235" spans="2:13">
      <c r="B235" s="2" t="s">
        <v>1701</v>
      </c>
      <c r="C235" s="5" t="str">
        <f>_xlfn.XLOOKUP(B235,Master[Product_Code],Master[Category])</f>
        <v>Innerwear</v>
      </c>
      <c r="D235" s="2" t="str">
        <f>_xlfn.XLOOKUP(B235,Master[Product_Code],Master[Brand])</f>
        <v>Dollar</v>
      </c>
      <c r="E235" s="2" t="str">
        <f>_xlfn.XLOOKUP(B235,Master[Product_Code],Master[Style])</f>
        <v>Boxer</v>
      </c>
      <c r="F235" s="2" t="str">
        <f>_xlfn.XLOOKUP(B235,Master[Product_Code],Master[Fabric])</f>
        <v>Cotton</v>
      </c>
      <c r="G235" s="2" t="str">
        <f>_xlfn.XLOOKUP(B235,Master[Product_Code],Master[Size])</f>
        <v>105-110</v>
      </c>
      <c r="H235" s="2" t="str">
        <f>_xlfn.XLOOKUP(B235,Master[Product_Code],Master[Color])</f>
        <v>Rust</v>
      </c>
      <c r="I235" s="4">
        <f>_xlfn.XLOOKUP(B235,Master[Product_Code],Master[Stock_Qty])</f>
        <v>4</v>
      </c>
      <c r="J235" s="6">
        <f>SUMIFS(
  Sales_Entry[Qty],
  Sales_Entry[Product_Code], Stock_Table[[#This Row],[Product_Code]]
)</f>
        <v>2</v>
      </c>
      <c r="K235" s="4">
        <f>SUMIFS(
  Exchange_Return[Qty],
  Exchange_Return[Product_Code], Stock_Table[[#This Row],[Product_Code]]
)</f>
        <v>0</v>
      </c>
      <c r="L235" s="4">
        <f>I235-J235+K235</f>
        <v>2</v>
      </c>
      <c r="M235" s="2" t="str" cm="1">
        <f t="array" ref="M235">_xlfn.IFS(L235=0,"Out of Stock",L235&gt;=2,"Limited Stock",L235&lt;2,"In Stock")</f>
        <v>Limited Stock</v>
      </c>
    </row>
    <row r="236" spans="2:13">
      <c r="B236" s="2" t="s">
        <v>1702</v>
      </c>
      <c r="C236" s="5" t="str">
        <f>_xlfn.XLOOKUP(B236,Master[Product_Code],Master[Category])</f>
        <v>Innerwear</v>
      </c>
      <c r="D236" s="2" t="str">
        <f>_xlfn.XLOOKUP(B236,Master[Product_Code],Master[Brand])</f>
        <v>V Star</v>
      </c>
      <c r="E236" s="2" t="str">
        <f>_xlfn.XLOOKUP(B236,Master[Product_Code],Master[Style])</f>
        <v>V-Cut</v>
      </c>
      <c r="F236" s="2" t="str">
        <f>_xlfn.XLOOKUP(B236,Master[Product_Code],Master[Fabric])</f>
        <v>Cotton</v>
      </c>
      <c r="G236" s="2" t="str">
        <f>_xlfn.XLOOKUP(B236,Master[Product_Code],Master[Size])</f>
        <v>100-105</v>
      </c>
      <c r="H236" s="2" t="str">
        <f>_xlfn.XLOOKUP(B236,Master[Product_Code],Master[Color])</f>
        <v>Peach</v>
      </c>
      <c r="I236" s="4">
        <f>_xlfn.XLOOKUP(B236,Master[Product_Code],Master[Stock_Qty])</f>
        <v>3</v>
      </c>
      <c r="J236" s="6">
        <f>SUMIFS(
  Sales_Entry[Qty],
  Sales_Entry[Product_Code], Stock_Table[[#This Row],[Product_Code]]
)</f>
        <v>2</v>
      </c>
      <c r="K236" s="4">
        <f>SUMIFS(
  Exchange_Return[Qty],
  Exchange_Return[Product_Code], Stock_Table[[#This Row],[Product_Code]]
)</f>
        <v>0</v>
      </c>
      <c r="L236" s="4">
        <f>I236-J236+K236</f>
        <v>1</v>
      </c>
      <c r="M236" s="2" t="str" cm="1">
        <f t="array" ref="M236">_xlfn.IFS(L236=0,"Out of Stock",L236&gt;=2,"Limited Stock",L236&lt;2,"In Stock")</f>
        <v>In Stock</v>
      </c>
    </row>
    <row r="237" spans="2:13">
      <c r="B237" s="2" t="s">
        <v>1703</v>
      </c>
      <c r="C237" s="5" t="str">
        <f>_xlfn.XLOOKUP(B237,Master[Product_Code],Master[Category])</f>
        <v>Innerwear</v>
      </c>
      <c r="D237" s="2" t="str">
        <f>_xlfn.XLOOKUP(B237,Master[Product_Code],Master[Brand])</f>
        <v>Rupa</v>
      </c>
      <c r="E237" s="2" t="str">
        <f>_xlfn.XLOOKUP(B237,Master[Product_Code],Master[Style])</f>
        <v>Boxer</v>
      </c>
      <c r="F237" s="2" t="str">
        <f>_xlfn.XLOOKUP(B237,Master[Product_Code],Master[Fabric])</f>
        <v>Cotton</v>
      </c>
      <c r="G237" s="2" t="str">
        <f>_xlfn.XLOOKUP(B237,Master[Product_Code],Master[Size])</f>
        <v>90-100</v>
      </c>
      <c r="H237" s="2" t="str">
        <f>_xlfn.XLOOKUP(B237,Master[Product_Code],Master[Color])</f>
        <v>Sky Blue</v>
      </c>
      <c r="I237" s="4">
        <f>_xlfn.XLOOKUP(B237,Master[Product_Code],Master[Stock_Qty])</f>
        <v>6</v>
      </c>
      <c r="J237" s="6">
        <f>SUMIFS(
  Sales_Entry[Qty],
  Sales_Entry[Product_Code], Stock_Table[[#This Row],[Product_Code]]
)</f>
        <v>0</v>
      </c>
      <c r="K237" s="4">
        <f>SUMIFS(
  Exchange_Return[Qty],
  Exchange_Return[Product_Code], Stock_Table[[#This Row],[Product_Code]]
)</f>
        <v>0</v>
      </c>
      <c r="L237" s="4">
        <f>I237-J237+K237</f>
        <v>6</v>
      </c>
      <c r="M237" s="2" t="str" cm="1">
        <f t="array" ref="M237">_xlfn.IFS(L237=0,"Out of Stock",L237&gt;=2,"Limited Stock",L237&lt;2,"In Stock")</f>
        <v>Limited Stock</v>
      </c>
    </row>
    <row r="238" spans="2:13">
      <c r="B238" s="2" t="s">
        <v>1704</v>
      </c>
      <c r="C238" s="5" t="str">
        <f>_xlfn.XLOOKUP(B238,Master[Product_Code],Master[Category])</f>
        <v>Innerwear</v>
      </c>
      <c r="D238" s="2" t="str">
        <f>_xlfn.XLOOKUP(B238,Master[Product_Code],Master[Brand])</f>
        <v>Rupa</v>
      </c>
      <c r="E238" s="2" t="str">
        <f>_xlfn.XLOOKUP(B238,Master[Product_Code],Master[Style])</f>
        <v>Boxer</v>
      </c>
      <c r="F238" s="2" t="str">
        <f>_xlfn.XLOOKUP(B238,Master[Product_Code],Master[Fabric])</f>
        <v>Cotton</v>
      </c>
      <c r="G238" s="2" t="str">
        <f>_xlfn.XLOOKUP(B238,Master[Product_Code],Master[Size])</f>
        <v>75-80</v>
      </c>
      <c r="H238" s="2" t="str">
        <f>_xlfn.XLOOKUP(B238,Master[Product_Code],Master[Color])</f>
        <v>Beige</v>
      </c>
      <c r="I238" s="4">
        <f>_xlfn.XLOOKUP(B238,Master[Product_Code],Master[Stock_Qty])</f>
        <v>5</v>
      </c>
      <c r="J238" s="6">
        <f>SUMIFS(
  Sales_Entry[Qty],
  Sales_Entry[Product_Code], Stock_Table[[#This Row],[Product_Code]]
)</f>
        <v>1</v>
      </c>
      <c r="K238" s="4">
        <f>SUMIFS(
  Exchange_Return[Qty],
  Exchange_Return[Product_Code], Stock_Table[[#This Row],[Product_Code]]
)</f>
        <v>0</v>
      </c>
      <c r="L238" s="4">
        <f>I238-J238+K238</f>
        <v>4</v>
      </c>
      <c r="M238" s="2" t="str" cm="1">
        <f t="array" ref="M238">_xlfn.IFS(L238=0,"Out of Stock",L238&gt;=2,"Limited Stock",L238&lt;2,"In Stock")</f>
        <v>Limited Stock</v>
      </c>
    </row>
    <row r="239" spans="2:13">
      <c r="B239" s="2" t="s">
        <v>1705</v>
      </c>
      <c r="C239" s="5" t="str">
        <f>_xlfn.XLOOKUP(B239,Master[Product_Code],Master[Category])</f>
        <v>Innerwear</v>
      </c>
      <c r="D239" s="2" t="str">
        <f>_xlfn.XLOOKUP(B239,Master[Product_Code],Master[Brand])</f>
        <v>Lux</v>
      </c>
      <c r="E239" s="2" t="str">
        <f>_xlfn.XLOOKUP(B239,Master[Product_Code],Master[Style])</f>
        <v>V-Cut</v>
      </c>
      <c r="F239" s="2" t="str">
        <f>_xlfn.XLOOKUP(B239,Master[Product_Code],Master[Fabric])</f>
        <v>Cotton</v>
      </c>
      <c r="G239" s="2" t="str">
        <f>_xlfn.XLOOKUP(B239,Master[Product_Code],Master[Size])</f>
        <v>105-110</v>
      </c>
      <c r="H239" s="2" t="str">
        <f>_xlfn.XLOOKUP(B239,Master[Product_Code],Master[Color])</f>
        <v>Cream</v>
      </c>
      <c r="I239" s="4">
        <f>_xlfn.XLOOKUP(B239,Master[Product_Code],Master[Stock_Qty])</f>
        <v>5</v>
      </c>
      <c r="J239" s="6">
        <f>SUMIFS(
  Sales_Entry[Qty],
  Sales_Entry[Product_Code], Stock_Table[[#This Row],[Product_Code]]
)</f>
        <v>2</v>
      </c>
      <c r="K239" s="4">
        <f>SUMIFS(
  Exchange_Return[Qty],
  Exchange_Return[Product_Code], Stock_Table[[#This Row],[Product_Code]]
)</f>
        <v>0</v>
      </c>
      <c r="L239" s="4">
        <f>I239-J239+K239</f>
        <v>3</v>
      </c>
      <c r="M239" s="2" t="str" cm="1">
        <f t="array" ref="M239">_xlfn.IFS(L239=0,"Out of Stock",L239&gt;=2,"Limited Stock",L239&lt;2,"In Stock")</f>
        <v>Limited Stock</v>
      </c>
    </row>
    <row r="240" spans="2:13">
      <c r="B240" s="2" t="s">
        <v>1706</v>
      </c>
      <c r="C240" s="5" t="str">
        <f>_xlfn.XLOOKUP(B240,Master[Product_Code],Master[Category])</f>
        <v>Innerwear</v>
      </c>
      <c r="D240" s="2" t="str">
        <f>_xlfn.XLOOKUP(B240,Master[Product_Code],Master[Brand])</f>
        <v>Dollar</v>
      </c>
      <c r="E240" s="2" t="str">
        <f>_xlfn.XLOOKUP(B240,Master[Product_Code],Master[Style])</f>
        <v>Boxer</v>
      </c>
      <c r="F240" s="2" t="str">
        <f>_xlfn.XLOOKUP(B240,Master[Product_Code],Master[Fabric])</f>
        <v>Cotton</v>
      </c>
      <c r="G240" s="2" t="str">
        <f>_xlfn.XLOOKUP(B240,Master[Product_Code],Master[Size])</f>
        <v>75-80</v>
      </c>
      <c r="H240" s="2" t="str">
        <f>_xlfn.XLOOKUP(B240,Master[Product_Code],Master[Color])</f>
        <v>Light Grey</v>
      </c>
      <c r="I240" s="4">
        <f>_xlfn.XLOOKUP(B240,Master[Product_Code],Master[Stock_Qty])</f>
        <v>6</v>
      </c>
      <c r="J240" s="6">
        <f>SUMIFS(
  Sales_Entry[Qty],
  Sales_Entry[Product_Code], Stock_Table[[#This Row],[Product_Code]]
)</f>
        <v>3</v>
      </c>
      <c r="K240" s="4">
        <f>SUMIFS(
  Exchange_Return[Qty],
  Exchange_Return[Product_Code], Stock_Table[[#This Row],[Product_Code]]
)</f>
        <v>0</v>
      </c>
      <c r="L240" s="4">
        <f>I240-J240+K240</f>
        <v>3</v>
      </c>
      <c r="M240" s="2" t="str" cm="1">
        <f t="array" ref="M240">_xlfn.IFS(L240=0,"Out of Stock",L240&gt;=2,"Limited Stock",L240&lt;2,"In Stock")</f>
        <v>Limited Stock</v>
      </c>
    </row>
    <row r="241" spans="2:13">
      <c r="B241" s="2" t="s">
        <v>1707</v>
      </c>
      <c r="C241" s="5" t="str">
        <f>_xlfn.XLOOKUP(B241,Master[Product_Code],Master[Category])</f>
        <v>Innerwear</v>
      </c>
      <c r="D241" s="2" t="str">
        <f>_xlfn.XLOOKUP(B241,Master[Product_Code],Master[Brand])</f>
        <v>Dollar</v>
      </c>
      <c r="E241" s="2" t="str">
        <f>_xlfn.XLOOKUP(B241,Master[Product_Code],Master[Style])</f>
        <v>Boxer</v>
      </c>
      <c r="F241" s="2" t="str">
        <f>_xlfn.XLOOKUP(B241,Master[Product_Code],Master[Fabric])</f>
        <v>Cotton Blend</v>
      </c>
      <c r="G241" s="2" t="str">
        <f>_xlfn.XLOOKUP(B241,Master[Product_Code],Master[Size])</f>
        <v>90-100</v>
      </c>
      <c r="H241" s="2" t="str">
        <f>_xlfn.XLOOKUP(B241,Master[Product_Code],Master[Color])</f>
        <v>Royal Blue</v>
      </c>
      <c r="I241" s="4">
        <f>_xlfn.XLOOKUP(B241,Master[Product_Code],Master[Stock_Qty])</f>
        <v>4</v>
      </c>
      <c r="J241" s="6">
        <f>SUMIFS(
  Sales_Entry[Qty],
  Sales_Entry[Product_Code], Stock_Table[[#This Row],[Product_Code]]
)</f>
        <v>0</v>
      </c>
      <c r="K241" s="4">
        <f>SUMIFS(
  Exchange_Return[Qty],
  Exchange_Return[Product_Code], Stock_Table[[#This Row],[Product_Code]]
)</f>
        <v>0</v>
      </c>
      <c r="L241" s="4">
        <f>I241-J241+K241</f>
        <v>4</v>
      </c>
      <c r="M241" s="2" t="str" cm="1">
        <f t="array" ref="M241">_xlfn.IFS(L241=0,"Out of Stock",L241&gt;=2,"Limited Stock",L241&lt;2,"In Stock")</f>
        <v>Limited Stock</v>
      </c>
    </row>
    <row r="242" spans="2:13">
      <c r="B242" s="2" t="s">
        <v>1708</v>
      </c>
      <c r="C242" s="5" t="str">
        <f>_xlfn.XLOOKUP(B242,Master[Product_Code],Master[Category])</f>
        <v>Innerwear</v>
      </c>
      <c r="D242" s="2" t="str">
        <f>_xlfn.XLOOKUP(B242,Master[Product_Code],Master[Brand])</f>
        <v>Dollar</v>
      </c>
      <c r="E242" s="2" t="str">
        <f>_xlfn.XLOOKUP(B242,Master[Product_Code],Master[Style])</f>
        <v>Boxer</v>
      </c>
      <c r="F242" s="2" t="str">
        <f>_xlfn.XLOOKUP(B242,Master[Product_Code],Master[Fabric])</f>
        <v>Cotton Blend</v>
      </c>
      <c r="G242" s="2" t="str">
        <f>_xlfn.XLOOKUP(B242,Master[Product_Code],Master[Size])</f>
        <v>75-80</v>
      </c>
      <c r="H242" s="2" t="str">
        <f>_xlfn.XLOOKUP(B242,Master[Product_Code],Master[Color])</f>
        <v>Bottle Green</v>
      </c>
      <c r="I242" s="4">
        <f>_xlfn.XLOOKUP(B242,Master[Product_Code],Master[Stock_Qty])</f>
        <v>6</v>
      </c>
      <c r="J242" s="6">
        <f>SUMIFS(
  Sales_Entry[Qty],
  Sales_Entry[Product_Code], Stock_Table[[#This Row],[Product_Code]]
)</f>
        <v>0</v>
      </c>
      <c r="K242" s="4">
        <f>SUMIFS(
  Exchange_Return[Qty],
  Exchange_Return[Product_Code], Stock_Table[[#This Row],[Product_Code]]
)</f>
        <v>0</v>
      </c>
      <c r="L242" s="4">
        <f>I242-J242+K242</f>
        <v>6</v>
      </c>
      <c r="M242" s="2" t="str" cm="1">
        <f t="array" ref="M242">_xlfn.IFS(L242=0,"Out of Stock",L242&gt;=2,"Limited Stock",L242&lt;2,"In Stock")</f>
        <v>Limited Stock</v>
      </c>
    </row>
    <row r="243" spans="2:13">
      <c r="B243" s="2" t="s">
        <v>1709</v>
      </c>
      <c r="C243" s="5" t="str">
        <f>_xlfn.XLOOKUP(B243,Master[Product_Code],Master[Category])</f>
        <v>Innerwear</v>
      </c>
      <c r="D243" s="2" t="str">
        <f>_xlfn.XLOOKUP(B243,Master[Product_Code],Master[Brand])</f>
        <v>Lux</v>
      </c>
      <c r="E243" s="2" t="str">
        <f>_xlfn.XLOOKUP(B243,Master[Product_Code],Master[Style])</f>
        <v>V-Cut</v>
      </c>
      <c r="F243" s="2" t="str">
        <f>_xlfn.XLOOKUP(B243,Master[Product_Code],Master[Fabric])</f>
        <v>Cotton</v>
      </c>
      <c r="G243" s="2" t="str">
        <f>_xlfn.XLOOKUP(B243,Master[Product_Code],Master[Size])</f>
        <v>105-110</v>
      </c>
      <c r="H243" s="2" t="str">
        <f>_xlfn.XLOOKUP(B243,Master[Product_Code],Master[Color])</f>
        <v>Dark Green</v>
      </c>
      <c r="I243" s="4">
        <f>_xlfn.XLOOKUP(B243,Master[Product_Code],Master[Stock_Qty])</f>
        <v>3</v>
      </c>
      <c r="J243" s="6">
        <f>SUMIFS(
  Sales_Entry[Qty],
  Sales_Entry[Product_Code], Stock_Table[[#This Row],[Product_Code]]
)</f>
        <v>1</v>
      </c>
      <c r="K243" s="4">
        <f>SUMIFS(
  Exchange_Return[Qty],
  Exchange_Return[Product_Code], Stock_Table[[#This Row],[Product_Code]]
)</f>
        <v>1</v>
      </c>
      <c r="L243" s="4">
        <f>I243-J243+K243</f>
        <v>3</v>
      </c>
      <c r="M243" s="2" t="str" cm="1">
        <f t="array" ref="M243">_xlfn.IFS(L243=0,"Out of Stock",L243&gt;=2,"Limited Stock",L243&lt;2,"In Stock")</f>
        <v>Limited Stock</v>
      </c>
    </row>
    <row r="244" spans="2:13">
      <c r="B244" s="2" t="s">
        <v>1710</v>
      </c>
      <c r="C244" s="5" t="str">
        <f>_xlfn.XLOOKUP(B244,Master[Product_Code],Master[Category])</f>
        <v>Innerwear</v>
      </c>
      <c r="D244" s="2" t="str">
        <f>_xlfn.XLOOKUP(B244,Master[Product_Code],Master[Brand])</f>
        <v>Lux</v>
      </c>
      <c r="E244" s="2" t="str">
        <f>_xlfn.XLOOKUP(B244,Master[Product_Code],Master[Style])</f>
        <v>Boxer</v>
      </c>
      <c r="F244" s="2" t="str">
        <f>_xlfn.XLOOKUP(B244,Master[Product_Code],Master[Fabric])</f>
        <v>Cotton Blend</v>
      </c>
      <c r="G244" s="2" t="str">
        <f>_xlfn.XLOOKUP(B244,Master[Product_Code],Master[Size])</f>
        <v>80-85</v>
      </c>
      <c r="H244" s="2" t="str">
        <f>_xlfn.XLOOKUP(B244,Master[Product_Code],Master[Color])</f>
        <v>Light Grey</v>
      </c>
      <c r="I244" s="4">
        <f>_xlfn.XLOOKUP(B244,Master[Product_Code],Master[Stock_Qty])</f>
        <v>6</v>
      </c>
      <c r="J244" s="6">
        <f>SUMIFS(
  Sales_Entry[Qty],
  Sales_Entry[Product_Code], Stock_Table[[#This Row],[Product_Code]]
)</f>
        <v>2</v>
      </c>
      <c r="K244" s="4">
        <f>SUMIFS(
  Exchange_Return[Qty],
  Exchange_Return[Product_Code], Stock_Table[[#This Row],[Product_Code]]
)</f>
        <v>0</v>
      </c>
      <c r="L244" s="4">
        <f>I244-J244+K244</f>
        <v>4</v>
      </c>
      <c r="M244" s="2" t="str" cm="1">
        <f t="array" ref="M244">_xlfn.IFS(L244=0,"Out of Stock",L244&gt;=2,"Limited Stock",L244&lt;2,"In Stock")</f>
        <v>Limited Stock</v>
      </c>
    </row>
    <row r="245" spans="2:13">
      <c r="B245" s="2" t="s">
        <v>1711</v>
      </c>
      <c r="C245" s="5" t="str">
        <f>_xlfn.XLOOKUP(B245,Master[Product_Code],Master[Category])</f>
        <v>Innerwear</v>
      </c>
      <c r="D245" s="2" t="str">
        <f>_xlfn.XLOOKUP(B245,Master[Product_Code],Master[Brand])</f>
        <v>Rupa</v>
      </c>
      <c r="E245" s="2" t="str">
        <f>_xlfn.XLOOKUP(B245,Master[Product_Code],Master[Style])</f>
        <v>Boxer</v>
      </c>
      <c r="F245" s="2" t="str">
        <f>_xlfn.XLOOKUP(B245,Master[Product_Code],Master[Fabric])</f>
        <v>Cotton Blend</v>
      </c>
      <c r="G245" s="2" t="str">
        <f>_xlfn.XLOOKUP(B245,Master[Product_Code],Master[Size])</f>
        <v>105-110</v>
      </c>
      <c r="H245" s="2" t="str">
        <f>_xlfn.XLOOKUP(B245,Master[Product_Code],Master[Color])</f>
        <v>Navy Blue</v>
      </c>
      <c r="I245" s="4">
        <f>_xlfn.XLOOKUP(B245,Master[Product_Code],Master[Stock_Qty])</f>
        <v>5</v>
      </c>
      <c r="J245" s="6">
        <f>SUMIFS(
  Sales_Entry[Qty],
  Sales_Entry[Product_Code], Stock_Table[[#This Row],[Product_Code]]
)</f>
        <v>2</v>
      </c>
      <c r="K245" s="4">
        <f>SUMIFS(
  Exchange_Return[Qty],
  Exchange_Return[Product_Code], Stock_Table[[#This Row],[Product_Code]]
)</f>
        <v>0</v>
      </c>
      <c r="L245" s="4">
        <f>I245-J245+K245</f>
        <v>3</v>
      </c>
      <c r="M245" s="2" t="str" cm="1">
        <f t="array" ref="M245">_xlfn.IFS(L245=0,"Out of Stock",L245&gt;=2,"Limited Stock",L245&lt;2,"In Stock")</f>
        <v>Limited Stock</v>
      </c>
    </row>
    <row r="246" spans="2:13">
      <c r="B246" s="2" t="s">
        <v>1712</v>
      </c>
      <c r="C246" s="5" t="str">
        <f>_xlfn.XLOOKUP(B246,Master[Product_Code],Master[Category])</f>
        <v>Innerwear</v>
      </c>
      <c r="D246" s="2" t="str">
        <f>_xlfn.XLOOKUP(B246,Master[Product_Code],Master[Brand])</f>
        <v>Jockey</v>
      </c>
      <c r="E246" s="2" t="str">
        <f>_xlfn.XLOOKUP(B246,Master[Product_Code],Master[Style])</f>
        <v>Boxer</v>
      </c>
      <c r="F246" s="2" t="str">
        <f>_xlfn.XLOOKUP(B246,Master[Product_Code],Master[Fabric])</f>
        <v>Cotton</v>
      </c>
      <c r="G246" s="2" t="str">
        <f>_xlfn.XLOOKUP(B246,Master[Product_Code],Master[Size])</f>
        <v>75-80</v>
      </c>
      <c r="H246" s="2" t="str">
        <f>_xlfn.XLOOKUP(B246,Master[Product_Code],Master[Color])</f>
        <v>Olive</v>
      </c>
      <c r="I246" s="4">
        <f>_xlfn.XLOOKUP(B246,Master[Product_Code],Master[Stock_Qty])</f>
        <v>3</v>
      </c>
      <c r="J246" s="6">
        <f>SUMIFS(
  Sales_Entry[Qty],
  Sales_Entry[Product_Code], Stock_Table[[#This Row],[Product_Code]]
)</f>
        <v>2</v>
      </c>
      <c r="K246" s="4">
        <f>SUMIFS(
  Exchange_Return[Qty],
  Exchange_Return[Product_Code], Stock_Table[[#This Row],[Product_Code]]
)</f>
        <v>0</v>
      </c>
      <c r="L246" s="4">
        <f>I246-J246+K246</f>
        <v>1</v>
      </c>
      <c r="M246" s="2" t="str" cm="1">
        <f t="array" ref="M246">_xlfn.IFS(L246=0,"Out of Stock",L246&gt;=2,"Limited Stock",L246&lt;2,"In Stock")</f>
        <v>In Stock</v>
      </c>
    </row>
    <row r="247" spans="2:13">
      <c r="B247" s="2" t="s">
        <v>1713</v>
      </c>
      <c r="C247" s="5" t="str">
        <f>_xlfn.XLOOKUP(B247,Master[Product_Code],Master[Category])</f>
        <v>Innerwear</v>
      </c>
      <c r="D247" s="2" t="str">
        <f>_xlfn.XLOOKUP(B247,Master[Product_Code],Master[Brand])</f>
        <v>Jockey</v>
      </c>
      <c r="E247" s="2" t="str">
        <f>_xlfn.XLOOKUP(B247,Master[Product_Code],Master[Style])</f>
        <v>V-Cut</v>
      </c>
      <c r="F247" s="2" t="str">
        <f>_xlfn.XLOOKUP(B247,Master[Product_Code],Master[Fabric])</f>
        <v>Cotton Blend</v>
      </c>
      <c r="G247" s="2" t="str">
        <f>_xlfn.XLOOKUP(B247,Master[Product_Code],Master[Size])</f>
        <v>85-90</v>
      </c>
      <c r="H247" s="2" t="str">
        <f>_xlfn.XLOOKUP(B247,Master[Product_Code],Master[Color])</f>
        <v>Navy Blue</v>
      </c>
      <c r="I247" s="4">
        <f>_xlfn.XLOOKUP(B247,Master[Product_Code],Master[Stock_Qty])</f>
        <v>5</v>
      </c>
      <c r="J247" s="6">
        <f>SUMIFS(
  Sales_Entry[Qty],
  Sales_Entry[Product_Code], Stock_Table[[#This Row],[Product_Code]]
)</f>
        <v>3</v>
      </c>
      <c r="K247" s="4">
        <f>SUMIFS(
  Exchange_Return[Qty],
  Exchange_Return[Product_Code], Stock_Table[[#This Row],[Product_Code]]
)</f>
        <v>0</v>
      </c>
      <c r="L247" s="4">
        <f>I247-J247+K247</f>
        <v>2</v>
      </c>
      <c r="M247" s="2" t="str" cm="1">
        <f t="array" ref="M247">_xlfn.IFS(L247=0,"Out of Stock",L247&gt;=2,"Limited Stock",L247&lt;2,"In Stock")</f>
        <v>Limited Stock</v>
      </c>
    </row>
    <row r="248" spans="2:13">
      <c r="B248" s="2" t="s">
        <v>1714</v>
      </c>
      <c r="C248" s="5" t="str">
        <f>_xlfn.XLOOKUP(B248,Master[Product_Code],Master[Category])</f>
        <v>Innerwear</v>
      </c>
      <c r="D248" s="2" t="str">
        <f>_xlfn.XLOOKUP(B248,Master[Product_Code],Master[Brand])</f>
        <v>V Star</v>
      </c>
      <c r="E248" s="2" t="str">
        <f>_xlfn.XLOOKUP(B248,Master[Product_Code],Master[Style])</f>
        <v>Boxer</v>
      </c>
      <c r="F248" s="2" t="str">
        <f>_xlfn.XLOOKUP(B248,Master[Product_Code],Master[Fabric])</f>
        <v>Cotton</v>
      </c>
      <c r="G248" s="2" t="str">
        <f>_xlfn.XLOOKUP(B248,Master[Product_Code],Master[Size])</f>
        <v>105-110</v>
      </c>
      <c r="H248" s="2" t="str">
        <f>_xlfn.XLOOKUP(B248,Master[Product_Code],Master[Color])</f>
        <v>Peach</v>
      </c>
      <c r="I248" s="4">
        <f>_xlfn.XLOOKUP(B248,Master[Product_Code],Master[Stock_Qty])</f>
        <v>3</v>
      </c>
      <c r="J248" s="6">
        <f>SUMIFS(
  Sales_Entry[Qty],
  Sales_Entry[Product_Code], Stock_Table[[#This Row],[Product_Code]]
)</f>
        <v>1</v>
      </c>
      <c r="K248" s="4">
        <f>SUMIFS(
  Exchange_Return[Qty],
  Exchange_Return[Product_Code], Stock_Table[[#This Row],[Product_Code]]
)</f>
        <v>0</v>
      </c>
      <c r="L248" s="4">
        <f>I248-J248+K248</f>
        <v>2</v>
      </c>
      <c r="M248" s="2" t="str" cm="1">
        <f t="array" ref="M248">_xlfn.IFS(L248=0,"Out of Stock",L248&gt;=2,"Limited Stock",L248&lt;2,"In Stock")</f>
        <v>Limited Stock</v>
      </c>
    </row>
    <row r="249" spans="2:13">
      <c r="B249" s="2" t="s">
        <v>1715</v>
      </c>
      <c r="C249" s="5" t="str">
        <f>_xlfn.XLOOKUP(B249,Master[Product_Code],Master[Category])</f>
        <v>Innerwear</v>
      </c>
      <c r="D249" s="2" t="str">
        <f>_xlfn.XLOOKUP(B249,Master[Product_Code],Master[Brand])</f>
        <v>Jockey</v>
      </c>
      <c r="E249" s="2" t="str">
        <f>_xlfn.XLOOKUP(B249,Master[Product_Code],Master[Style])</f>
        <v>V-Cut</v>
      </c>
      <c r="F249" s="2" t="str">
        <f>_xlfn.XLOOKUP(B249,Master[Product_Code],Master[Fabric])</f>
        <v>Cotton</v>
      </c>
      <c r="G249" s="2" t="str">
        <f>_xlfn.XLOOKUP(B249,Master[Product_Code],Master[Size])</f>
        <v>90-100</v>
      </c>
      <c r="H249" s="2" t="str">
        <f>_xlfn.XLOOKUP(B249,Master[Product_Code],Master[Color])</f>
        <v>Maroon</v>
      </c>
      <c r="I249" s="4">
        <f>_xlfn.XLOOKUP(B249,Master[Product_Code],Master[Stock_Qty])</f>
        <v>4</v>
      </c>
      <c r="J249" s="6">
        <f>SUMIFS(
  Sales_Entry[Qty],
  Sales_Entry[Product_Code], Stock_Table[[#This Row],[Product_Code]]
)</f>
        <v>1</v>
      </c>
      <c r="K249" s="4">
        <f>SUMIFS(
  Exchange_Return[Qty],
  Exchange_Return[Product_Code], Stock_Table[[#This Row],[Product_Code]]
)</f>
        <v>0</v>
      </c>
      <c r="L249" s="4">
        <f>I249-J249+K249</f>
        <v>3</v>
      </c>
      <c r="M249" s="2" t="str" cm="1">
        <f t="array" ref="M249">_xlfn.IFS(L249=0,"Out of Stock",L249&gt;=2,"Limited Stock",L249&lt;2,"In Stock")</f>
        <v>Limited Stock</v>
      </c>
    </row>
    <row r="250" spans="2:13">
      <c r="B250" s="2" t="s">
        <v>1716</v>
      </c>
      <c r="C250" s="5" t="str">
        <f>_xlfn.XLOOKUP(B250,Master[Product_Code],Master[Category])</f>
        <v>Innerwear</v>
      </c>
      <c r="D250" s="2" t="str">
        <f>_xlfn.XLOOKUP(B250,Master[Product_Code],Master[Brand])</f>
        <v>V Star</v>
      </c>
      <c r="E250" s="2" t="str">
        <f>_xlfn.XLOOKUP(B250,Master[Product_Code],Master[Style])</f>
        <v>V-Cut</v>
      </c>
      <c r="F250" s="2" t="str">
        <f>_xlfn.XLOOKUP(B250,Master[Product_Code],Master[Fabric])</f>
        <v>Cotton Blend</v>
      </c>
      <c r="G250" s="2" t="str">
        <f>_xlfn.XLOOKUP(B250,Master[Product_Code],Master[Size])</f>
        <v>75-80</v>
      </c>
      <c r="H250" s="2" t="str">
        <f>_xlfn.XLOOKUP(B250,Master[Product_Code],Master[Color])</f>
        <v>Teal</v>
      </c>
      <c r="I250" s="4">
        <f>_xlfn.XLOOKUP(B250,Master[Product_Code],Master[Stock_Qty])</f>
        <v>6</v>
      </c>
      <c r="J250" s="6">
        <f>SUMIFS(
  Sales_Entry[Qty],
  Sales_Entry[Product_Code], Stock_Table[[#This Row],[Product_Code]]
)</f>
        <v>3</v>
      </c>
      <c r="K250" s="4">
        <f>SUMIFS(
  Exchange_Return[Qty],
  Exchange_Return[Product_Code], Stock_Table[[#This Row],[Product_Code]]
)</f>
        <v>0</v>
      </c>
      <c r="L250" s="4">
        <f>I250-J250+K250</f>
        <v>3</v>
      </c>
      <c r="M250" s="2" t="str" cm="1">
        <f t="array" ref="M250">_xlfn.IFS(L250=0,"Out of Stock",L250&gt;=2,"Limited Stock",L250&lt;2,"In Stock")</f>
        <v>Limited Stock</v>
      </c>
    </row>
    <row r="251" spans="2:13">
      <c r="B251" s="2" t="s">
        <v>1717</v>
      </c>
      <c r="C251" s="5" t="str">
        <f>_xlfn.XLOOKUP(B251,Master[Product_Code],Master[Category])</f>
        <v>Innerwear</v>
      </c>
      <c r="D251" s="2" t="str">
        <f>_xlfn.XLOOKUP(B251,Master[Product_Code],Master[Brand])</f>
        <v>Rupa</v>
      </c>
      <c r="E251" s="2" t="str">
        <f>_xlfn.XLOOKUP(B251,Master[Product_Code],Master[Style])</f>
        <v>V-Cut</v>
      </c>
      <c r="F251" s="2" t="str">
        <f>_xlfn.XLOOKUP(B251,Master[Product_Code],Master[Fabric])</f>
        <v>Cotton</v>
      </c>
      <c r="G251" s="2" t="str">
        <f>_xlfn.XLOOKUP(B251,Master[Product_Code],Master[Size])</f>
        <v>75-80</v>
      </c>
      <c r="H251" s="2" t="str">
        <f>_xlfn.XLOOKUP(B251,Master[Product_Code],Master[Color])</f>
        <v>Bottle Green</v>
      </c>
      <c r="I251" s="4">
        <f>_xlfn.XLOOKUP(B251,Master[Product_Code],Master[Stock_Qty])</f>
        <v>5</v>
      </c>
      <c r="J251" s="6">
        <f>SUMIFS(
  Sales_Entry[Qty],
  Sales_Entry[Product_Code], Stock_Table[[#This Row],[Product_Code]]
)</f>
        <v>4</v>
      </c>
      <c r="K251" s="4">
        <f>SUMIFS(
  Exchange_Return[Qty],
  Exchange_Return[Product_Code], Stock_Table[[#This Row],[Product_Code]]
)</f>
        <v>0</v>
      </c>
      <c r="L251" s="4">
        <f>I251-J251+K251</f>
        <v>1</v>
      </c>
      <c r="M251" s="2" t="str" cm="1">
        <f t="array" ref="M251">_xlfn.IFS(L251=0,"Out of Stock",L251&gt;=2,"Limited Stock",L251&lt;2,"In Stock")</f>
        <v>In Stock</v>
      </c>
    </row>
    <row r="252" spans="2:13">
      <c r="B252" s="2" t="s">
        <v>1718</v>
      </c>
      <c r="C252" s="5" t="str">
        <f>_xlfn.XLOOKUP(B252,Master[Product_Code],Master[Category])</f>
        <v>Innerwear</v>
      </c>
      <c r="D252" s="2" t="str">
        <f>_xlfn.XLOOKUP(B252,Master[Product_Code],Master[Brand])</f>
        <v>Rupa</v>
      </c>
      <c r="E252" s="2" t="str">
        <f>_xlfn.XLOOKUP(B252,Master[Product_Code],Master[Style])</f>
        <v>V-Cut</v>
      </c>
      <c r="F252" s="2" t="str">
        <f>_xlfn.XLOOKUP(B252,Master[Product_Code],Master[Fabric])</f>
        <v>Cotton</v>
      </c>
      <c r="G252" s="2" t="str">
        <f>_xlfn.XLOOKUP(B252,Master[Product_Code],Master[Size])</f>
        <v>75-80</v>
      </c>
      <c r="H252" s="2" t="str">
        <f>_xlfn.XLOOKUP(B252,Master[Product_Code],Master[Color])</f>
        <v>Beige</v>
      </c>
      <c r="I252" s="4">
        <f>_xlfn.XLOOKUP(B252,Master[Product_Code],Master[Stock_Qty])</f>
        <v>6</v>
      </c>
      <c r="J252" s="6">
        <f>SUMIFS(
  Sales_Entry[Qty],
  Sales_Entry[Product_Code], Stock_Table[[#This Row],[Product_Code]]
)</f>
        <v>3</v>
      </c>
      <c r="K252" s="4">
        <f>SUMIFS(
  Exchange_Return[Qty],
  Exchange_Return[Product_Code], Stock_Table[[#This Row],[Product_Code]]
)</f>
        <v>0</v>
      </c>
      <c r="L252" s="4">
        <f>I252-J252+K252</f>
        <v>3</v>
      </c>
      <c r="M252" s="2" t="str" cm="1">
        <f t="array" ref="M252">_xlfn.IFS(L252=0,"Out of Stock",L252&gt;=2,"Limited Stock",L252&lt;2,"In Stock")</f>
        <v>Limited Stock</v>
      </c>
    </row>
    <row r="253" spans="2:13">
      <c r="B253" s="2" t="s">
        <v>1719</v>
      </c>
      <c r="C253" s="5" t="str">
        <f>_xlfn.XLOOKUP(B253,Master[Product_Code],Master[Category])</f>
        <v>Innerwear</v>
      </c>
      <c r="D253" s="2" t="str">
        <f>_xlfn.XLOOKUP(B253,Master[Product_Code],Master[Brand])</f>
        <v>Dollar</v>
      </c>
      <c r="E253" s="2" t="str">
        <f>_xlfn.XLOOKUP(B253,Master[Product_Code],Master[Style])</f>
        <v>Boxer</v>
      </c>
      <c r="F253" s="2" t="str">
        <f>_xlfn.XLOOKUP(B253,Master[Product_Code],Master[Fabric])</f>
        <v>Cotton Blend</v>
      </c>
      <c r="G253" s="2" t="str">
        <f>_xlfn.XLOOKUP(B253,Master[Product_Code],Master[Size])</f>
        <v>100-105</v>
      </c>
      <c r="H253" s="2" t="str">
        <f>_xlfn.XLOOKUP(B253,Master[Product_Code],Master[Color])</f>
        <v>Grey</v>
      </c>
      <c r="I253" s="4">
        <f>_xlfn.XLOOKUP(B253,Master[Product_Code],Master[Stock_Qty])</f>
        <v>5</v>
      </c>
      <c r="J253" s="6">
        <f>SUMIFS(
  Sales_Entry[Qty],
  Sales_Entry[Product_Code], Stock_Table[[#This Row],[Product_Code]]
)</f>
        <v>0</v>
      </c>
      <c r="K253" s="4">
        <f>SUMIFS(
  Exchange_Return[Qty],
  Exchange_Return[Product_Code], Stock_Table[[#This Row],[Product_Code]]
)</f>
        <v>0</v>
      </c>
      <c r="L253" s="4">
        <f>I253-J253+K253</f>
        <v>5</v>
      </c>
      <c r="M253" s="2" t="str" cm="1">
        <f t="array" ref="M253">_xlfn.IFS(L253=0,"Out of Stock",L253&gt;=2,"Limited Stock",L253&lt;2,"In Stock")</f>
        <v>Limited Stock</v>
      </c>
    </row>
    <row r="254" spans="2:13">
      <c r="B254" s="2" t="s">
        <v>1720</v>
      </c>
      <c r="C254" s="5" t="str">
        <f>_xlfn.XLOOKUP(B254,Master[Product_Code],Master[Category])</f>
        <v>Innerwear</v>
      </c>
      <c r="D254" s="2" t="str">
        <f>_xlfn.XLOOKUP(B254,Master[Product_Code],Master[Brand])</f>
        <v>Lux</v>
      </c>
      <c r="E254" s="2" t="str">
        <f>_xlfn.XLOOKUP(B254,Master[Product_Code],Master[Style])</f>
        <v>V-Cut</v>
      </c>
      <c r="F254" s="2" t="str">
        <f>_xlfn.XLOOKUP(B254,Master[Product_Code],Master[Fabric])</f>
        <v>Cotton Blend</v>
      </c>
      <c r="G254" s="2" t="str">
        <f>_xlfn.XLOOKUP(B254,Master[Product_Code],Master[Size])</f>
        <v>85-90</v>
      </c>
      <c r="H254" s="2" t="str">
        <f>_xlfn.XLOOKUP(B254,Master[Product_Code],Master[Color])</f>
        <v>Brown</v>
      </c>
      <c r="I254" s="4">
        <f>_xlfn.XLOOKUP(B254,Master[Product_Code],Master[Stock_Qty])</f>
        <v>4</v>
      </c>
      <c r="J254" s="6">
        <f>SUMIFS(
  Sales_Entry[Qty],
  Sales_Entry[Product_Code], Stock_Table[[#This Row],[Product_Code]]
)</f>
        <v>2</v>
      </c>
      <c r="K254" s="4">
        <f>SUMIFS(
  Exchange_Return[Qty],
  Exchange_Return[Product_Code], Stock_Table[[#This Row],[Product_Code]]
)</f>
        <v>0</v>
      </c>
      <c r="L254" s="4">
        <f>I254-J254+K254</f>
        <v>2</v>
      </c>
      <c r="M254" s="2" t="str" cm="1">
        <f t="array" ref="M254">_xlfn.IFS(L254=0,"Out of Stock",L254&gt;=2,"Limited Stock",L254&lt;2,"In Stock")</f>
        <v>Limited Stock</v>
      </c>
    </row>
    <row r="255" spans="2:13">
      <c r="B255" s="2" t="s">
        <v>1721</v>
      </c>
      <c r="C255" s="5" t="str">
        <f>_xlfn.XLOOKUP(B255,Master[Product_Code],Master[Category])</f>
        <v>Innerwear</v>
      </c>
      <c r="D255" s="2" t="str">
        <f>_xlfn.XLOOKUP(B255,Master[Product_Code],Master[Brand])</f>
        <v>Dollar</v>
      </c>
      <c r="E255" s="2" t="str">
        <f>_xlfn.XLOOKUP(B255,Master[Product_Code],Master[Style])</f>
        <v>Boxer</v>
      </c>
      <c r="F255" s="2" t="str">
        <f>_xlfn.XLOOKUP(B255,Master[Product_Code],Master[Fabric])</f>
        <v>Cotton Blend</v>
      </c>
      <c r="G255" s="2" t="str">
        <f>_xlfn.XLOOKUP(B255,Master[Product_Code],Master[Size])</f>
        <v>90-100</v>
      </c>
      <c r="H255" s="2" t="str">
        <f>_xlfn.XLOOKUP(B255,Master[Product_Code],Master[Color])</f>
        <v>Dark Green</v>
      </c>
      <c r="I255" s="4">
        <f>_xlfn.XLOOKUP(B255,Master[Product_Code],Master[Stock_Qty])</f>
        <v>4</v>
      </c>
      <c r="J255" s="6">
        <f>SUMIFS(
  Sales_Entry[Qty],
  Sales_Entry[Product_Code], Stock_Table[[#This Row],[Product_Code]]
)</f>
        <v>0</v>
      </c>
      <c r="K255" s="4">
        <f>SUMIFS(
  Exchange_Return[Qty],
  Exchange_Return[Product_Code], Stock_Table[[#This Row],[Product_Code]]
)</f>
        <v>0</v>
      </c>
      <c r="L255" s="4">
        <f>I255-J255+K255</f>
        <v>4</v>
      </c>
      <c r="M255" s="2" t="str" cm="1">
        <f t="array" ref="M255">_xlfn.IFS(L255=0,"Out of Stock",L255&gt;=2,"Limited Stock",L255&lt;2,"In Stock")</f>
        <v>Limited Stock</v>
      </c>
    </row>
    <row r="256" spans="2:13">
      <c r="B256" s="2" t="s">
        <v>1722</v>
      </c>
      <c r="C256" s="5" t="str">
        <f>_xlfn.XLOOKUP(B256,Master[Product_Code],Master[Category])</f>
        <v>Innerwear</v>
      </c>
      <c r="D256" s="2" t="str">
        <f>_xlfn.XLOOKUP(B256,Master[Product_Code],Master[Brand])</f>
        <v>Dollar</v>
      </c>
      <c r="E256" s="2" t="str">
        <f>_xlfn.XLOOKUP(B256,Master[Product_Code],Master[Style])</f>
        <v>Boxer</v>
      </c>
      <c r="F256" s="2" t="str">
        <f>_xlfn.XLOOKUP(B256,Master[Product_Code],Master[Fabric])</f>
        <v>Cotton</v>
      </c>
      <c r="G256" s="2" t="str">
        <f>_xlfn.XLOOKUP(B256,Master[Product_Code],Master[Size])</f>
        <v>100-105</v>
      </c>
      <c r="H256" s="2" t="str">
        <f>_xlfn.XLOOKUP(B256,Master[Product_Code],Master[Color])</f>
        <v>Royal Blue</v>
      </c>
      <c r="I256" s="4">
        <f>_xlfn.XLOOKUP(B256,Master[Product_Code],Master[Stock_Qty])</f>
        <v>4</v>
      </c>
      <c r="J256" s="6">
        <f>SUMIFS(
  Sales_Entry[Qty],
  Sales_Entry[Product_Code], Stock_Table[[#This Row],[Product_Code]]
)</f>
        <v>1</v>
      </c>
      <c r="K256" s="4">
        <f>SUMIFS(
  Exchange_Return[Qty],
  Exchange_Return[Product_Code], Stock_Table[[#This Row],[Product_Code]]
)</f>
        <v>0</v>
      </c>
      <c r="L256" s="4">
        <f>I256-J256+K256</f>
        <v>3</v>
      </c>
      <c r="M256" s="2" t="str" cm="1">
        <f t="array" ref="M256">_xlfn.IFS(L256=0,"Out of Stock",L256&gt;=2,"Limited Stock",L256&lt;2,"In Stock")</f>
        <v>Limited Stock</v>
      </c>
    </row>
    <row r="257" spans="2:13">
      <c r="B257" s="2" t="s">
        <v>1723</v>
      </c>
      <c r="C257" s="5" t="str">
        <f>_xlfn.XLOOKUP(B257,Master[Product_Code],Master[Category])</f>
        <v>Innerwear</v>
      </c>
      <c r="D257" s="2" t="str">
        <f>_xlfn.XLOOKUP(B257,Master[Product_Code],Master[Brand])</f>
        <v>V Star</v>
      </c>
      <c r="E257" s="2" t="str">
        <f>_xlfn.XLOOKUP(B257,Master[Product_Code],Master[Style])</f>
        <v>V-Cut</v>
      </c>
      <c r="F257" s="2" t="str">
        <f>_xlfn.XLOOKUP(B257,Master[Product_Code],Master[Fabric])</f>
        <v>Cotton Blend</v>
      </c>
      <c r="G257" s="2" t="str">
        <f>_xlfn.XLOOKUP(B257,Master[Product_Code],Master[Size])</f>
        <v>105-110</v>
      </c>
      <c r="H257" s="2" t="str">
        <f>_xlfn.XLOOKUP(B257,Master[Product_Code],Master[Color])</f>
        <v>Mustard</v>
      </c>
      <c r="I257" s="4">
        <f>_xlfn.XLOOKUP(B257,Master[Product_Code],Master[Stock_Qty])</f>
        <v>3</v>
      </c>
      <c r="J257" s="6">
        <f>SUMIFS(
  Sales_Entry[Qty],
  Sales_Entry[Product_Code], Stock_Table[[#This Row],[Product_Code]]
)</f>
        <v>1</v>
      </c>
      <c r="K257" s="4">
        <f>SUMIFS(
  Exchange_Return[Qty],
  Exchange_Return[Product_Code], Stock_Table[[#This Row],[Product_Code]]
)</f>
        <v>0</v>
      </c>
      <c r="L257" s="4">
        <f>I257-J257+K257</f>
        <v>2</v>
      </c>
      <c r="M257" s="2" t="str" cm="1">
        <f t="array" ref="M257">_xlfn.IFS(L257=0,"Out of Stock",L257&gt;=2,"Limited Stock",L257&lt;2,"In Stock")</f>
        <v>Limited Stock</v>
      </c>
    </row>
    <row r="258" spans="2:13">
      <c r="B258" s="2" t="s">
        <v>1724</v>
      </c>
      <c r="C258" s="5" t="str">
        <f>_xlfn.XLOOKUP(B258,Master[Product_Code],Master[Category])</f>
        <v>Innerwear</v>
      </c>
      <c r="D258" s="2" t="str">
        <f>_xlfn.XLOOKUP(B258,Master[Product_Code],Master[Brand])</f>
        <v>Jockey</v>
      </c>
      <c r="E258" s="2" t="str">
        <f>_xlfn.XLOOKUP(B258,Master[Product_Code],Master[Style])</f>
        <v>V-Cut</v>
      </c>
      <c r="F258" s="2" t="str">
        <f>_xlfn.XLOOKUP(B258,Master[Product_Code],Master[Fabric])</f>
        <v>Cotton Blend</v>
      </c>
      <c r="G258" s="2" t="str">
        <f>_xlfn.XLOOKUP(B258,Master[Product_Code],Master[Size])</f>
        <v>85-90</v>
      </c>
      <c r="H258" s="2" t="str">
        <f>_xlfn.XLOOKUP(B258,Master[Product_Code],Master[Color])</f>
        <v>Sky Blue</v>
      </c>
      <c r="I258" s="4">
        <f>_xlfn.XLOOKUP(B258,Master[Product_Code],Master[Stock_Qty])</f>
        <v>6</v>
      </c>
      <c r="J258" s="6">
        <f>SUMIFS(
  Sales_Entry[Qty],
  Sales_Entry[Product_Code], Stock_Table[[#This Row],[Product_Code]]
)</f>
        <v>1</v>
      </c>
      <c r="K258" s="4">
        <f>SUMIFS(
  Exchange_Return[Qty],
  Exchange_Return[Product_Code], Stock_Table[[#This Row],[Product_Code]]
)</f>
        <v>0</v>
      </c>
      <c r="L258" s="4">
        <f>I258-J258+K258</f>
        <v>5</v>
      </c>
      <c r="M258" s="2" t="str" cm="1">
        <f t="array" ref="M258">_xlfn.IFS(L258=0,"Out of Stock",L258&gt;=2,"Limited Stock",L258&lt;2,"In Stock")</f>
        <v>Limited Stock</v>
      </c>
    </row>
    <row r="259" spans="2:13">
      <c r="B259" s="2" t="s">
        <v>1725</v>
      </c>
      <c r="C259" s="5" t="str">
        <f>_xlfn.XLOOKUP(B259,Master[Product_Code],Master[Category])</f>
        <v>Innerwear</v>
      </c>
      <c r="D259" s="2" t="str">
        <f>_xlfn.XLOOKUP(B259,Master[Product_Code],Master[Brand])</f>
        <v>V Star</v>
      </c>
      <c r="E259" s="2" t="str">
        <f>_xlfn.XLOOKUP(B259,Master[Product_Code],Master[Style])</f>
        <v>V-Cut</v>
      </c>
      <c r="F259" s="2" t="str">
        <f>_xlfn.XLOOKUP(B259,Master[Product_Code],Master[Fabric])</f>
        <v>Cotton Blend</v>
      </c>
      <c r="G259" s="2" t="str">
        <f>_xlfn.XLOOKUP(B259,Master[Product_Code],Master[Size])</f>
        <v>80-85</v>
      </c>
      <c r="H259" s="2" t="str">
        <f>_xlfn.XLOOKUP(B259,Master[Product_Code],Master[Color])</f>
        <v>Cream</v>
      </c>
      <c r="I259" s="4">
        <f>_xlfn.XLOOKUP(B259,Master[Product_Code],Master[Stock_Qty])</f>
        <v>3</v>
      </c>
      <c r="J259" s="6">
        <f>SUMIFS(
  Sales_Entry[Qty],
  Sales_Entry[Product_Code], Stock_Table[[#This Row],[Product_Code]]
)</f>
        <v>2</v>
      </c>
      <c r="K259" s="4">
        <f>SUMIFS(
  Exchange_Return[Qty],
  Exchange_Return[Product_Code], Stock_Table[[#This Row],[Product_Code]]
)</f>
        <v>0</v>
      </c>
      <c r="L259" s="4">
        <f>I259-J259+K259</f>
        <v>1</v>
      </c>
      <c r="M259" s="2" t="str" cm="1">
        <f t="array" ref="M259">_xlfn.IFS(L259=0,"Out of Stock",L259&gt;=2,"Limited Stock",L259&lt;2,"In Stock")</f>
        <v>In Stock</v>
      </c>
    </row>
    <row r="260" spans="2:13">
      <c r="B260" s="2" t="s">
        <v>1726</v>
      </c>
      <c r="C260" s="5" t="str">
        <f>_xlfn.XLOOKUP(B260,Master[Product_Code],Master[Category])</f>
        <v>Innerwear</v>
      </c>
      <c r="D260" s="2" t="str">
        <f>_xlfn.XLOOKUP(B260,Master[Product_Code],Master[Brand])</f>
        <v>Rupa</v>
      </c>
      <c r="E260" s="2" t="str">
        <f>_xlfn.XLOOKUP(B260,Master[Product_Code],Master[Style])</f>
        <v>V-Cut</v>
      </c>
      <c r="F260" s="2" t="str">
        <f>_xlfn.XLOOKUP(B260,Master[Product_Code],Master[Fabric])</f>
        <v>Cotton Blend</v>
      </c>
      <c r="G260" s="2" t="str">
        <f>_xlfn.XLOOKUP(B260,Master[Product_Code],Master[Size])</f>
        <v>105-110</v>
      </c>
      <c r="H260" s="2" t="str">
        <f>_xlfn.XLOOKUP(B260,Master[Product_Code],Master[Color])</f>
        <v>Dark Green</v>
      </c>
      <c r="I260" s="4">
        <f>_xlfn.XLOOKUP(B260,Master[Product_Code],Master[Stock_Qty])</f>
        <v>4</v>
      </c>
      <c r="J260" s="6">
        <f>SUMIFS(
  Sales_Entry[Qty],
  Sales_Entry[Product_Code], Stock_Table[[#This Row],[Product_Code]]
)</f>
        <v>0</v>
      </c>
      <c r="K260" s="4">
        <f>SUMIFS(
  Exchange_Return[Qty],
  Exchange_Return[Product_Code], Stock_Table[[#This Row],[Product_Code]]
)</f>
        <v>0</v>
      </c>
      <c r="L260" s="4">
        <f>I260-J260+K260</f>
        <v>4</v>
      </c>
      <c r="M260" s="2" t="str" cm="1">
        <f t="array" ref="M260">_xlfn.IFS(L260=0,"Out of Stock",L260&gt;=2,"Limited Stock",L260&lt;2,"In Stock")</f>
        <v>Limited Stock</v>
      </c>
    </row>
    <row r="261" spans="2:13">
      <c r="B261" s="2" t="s">
        <v>1727</v>
      </c>
      <c r="C261" s="5" t="str">
        <f>_xlfn.XLOOKUP(B261,Master[Product_Code],Master[Category])</f>
        <v>Innerwear</v>
      </c>
      <c r="D261" s="2" t="str">
        <f>_xlfn.XLOOKUP(B261,Master[Product_Code],Master[Brand])</f>
        <v>Rupa</v>
      </c>
      <c r="E261" s="2" t="str">
        <f>_xlfn.XLOOKUP(B261,Master[Product_Code],Master[Style])</f>
        <v>Boxer</v>
      </c>
      <c r="F261" s="2" t="str">
        <f>_xlfn.XLOOKUP(B261,Master[Product_Code],Master[Fabric])</f>
        <v>Cotton</v>
      </c>
      <c r="G261" s="2" t="str">
        <f>_xlfn.XLOOKUP(B261,Master[Product_Code],Master[Size])</f>
        <v>80-85</v>
      </c>
      <c r="H261" s="2" t="str">
        <f>_xlfn.XLOOKUP(B261,Master[Product_Code],Master[Color])</f>
        <v>Light Grey</v>
      </c>
      <c r="I261" s="4">
        <f>_xlfn.XLOOKUP(B261,Master[Product_Code],Master[Stock_Qty])</f>
        <v>3</v>
      </c>
      <c r="J261" s="6">
        <f>SUMIFS(
  Sales_Entry[Qty],
  Sales_Entry[Product_Code], Stock_Table[[#This Row],[Product_Code]]
)</f>
        <v>1</v>
      </c>
      <c r="K261" s="4">
        <f>SUMIFS(
  Exchange_Return[Qty],
  Exchange_Return[Product_Code], Stock_Table[[#This Row],[Product_Code]]
)</f>
        <v>0</v>
      </c>
      <c r="L261" s="4">
        <f>I261-J261+K261</f>
        <v>2</v>
      </c>
      <c r="M261" s="2" t="str" cm="1">
        <f t="array" ref="M261">_xlfn.IFS(L261=0,"Out of Stock",L261&gt;=2,"Limited Stock",L261&lt;2,"In Stock")</f>
        <v>Limited Stock</v>
      </c>
    </row>
    <row r="262" spans="2:13">
      <c r="B262" s="2" t="s">
        <v>1728</v>
      </c>
      <c r="C262" s="5" t="str">
        <f>_xlfn.XLOOKUP(B262,Master[Product_Code],Master[Category])</f>
        <v>Innerwear</v>
      </c>
      <c r="D262" s="2" t="str">
        <f>_xlfn.XLOOKUP(B262,Master[Product_Code],Master[Brand])</f>
        <v>Dollar</v>
      </c>
      <c r="E262" s="2" t="str">
        <f>_xlfn.XLOOKUP(B262,Master[Product_Code],Master[Style])</f>
        <v>V-Cut</v>
      </c>
      <c r="F262" s="2" t="str">
        <f>_xlfn.XLOOKUP(B262,Master[Product_Code],Master[Fabric])</f>
        <v>Cotton Blend</v>
      </c>
      <c r="G262" s="2" t="str">
        <f>_xlfn.XLOOKUP(B262,Master[Product_Code],Master[Size])</f>
        <v>85-90</v>
      </c>
      <c r="H262" s="2" t="str">
        <f>_xlfn.XLOOKUP(B262,Master[Product_Code],Master[Color])</f>
        <v>Wine</v>
      </c>
      <c r="I262" s="4">
        <f>_xlfn.XLOOKUP(B262,Master[Product_Code],Master[Stock_Qty])</f>
        <v>3</v>
      </c>
      <c r="J262" s="6">
        <f>SUMIFS(
  Sales_Entry[Qty],
  Sales_Entry[Product_Code], Stock_Table[[#This Row],[Product_Code]]
)</f>
        <v>3</v>
      </c>
      <c r="K262" s="4">
        <f>SUMIFS(
  Exchange_Return[Qty],
  Exchange_Return[Product_Code], Stock_Table[[#This Row],[Product_Code]]
)</f>
        <v>0</v>
      </c>
      <c r="L262" s="4">
        <f>I262-J262+K262</f>
        <v>0</v>
      </c>
      <c r="M262" s="2" t="str" cm="1">
        <f t="array" ref="M262">_xlfn.IFS(L262=0,"Out of Stock",L262&gt;=2,"Limited Stock",L262&lt;2,"In Stock")</f>
        <v>Out of Stock</v>
      </c>
    </row>
    <row r="263" spans="2:13">
      <c r="B263" s="2" t="s">
        <v>1729</v>
      </c>
      <c r="C263" s="5" t="str">
        <f>_xlfn.XLOOKUP(B263,Master[Product_Code],Master[Category])</f>
        <v>Innerwear</v>
      </c>
      <c r="D263" s="2" t="str">
        <f>_xlfn.XLOOKUP(B263,Master[Product_Code],Master[Brand])</f>
        <v>Jockey</v>
      </c>
      <c r="E263" s="2" t="str">
        <f>_xlfn.XLOOKUP(B263,Master[Product_Code],Master[Style])</f>
        <v>Boxer</v>
      </c>
      <c r="F263" s="2" t="str">
        <f>_xlfn.XLOOKUP(B263,Master[Product_Code],Master[Fabric])</f>
        <v>Cotton Blend</v>
      </c>
      <c r="G263" s="2" t="str">
        <f>_xlfn.XLOOKUP(B263,Master[Product_Code],Master[Size])</f>
        <v>85-90</v>
      </c>
      <c r="H263" s="2" t="str">
        <f>_xlfn.XLOOKUP(B263,Master[Product_Code],Master[Color])</f>
        <v>Teal</v>
      </c>
      <c r="I263" s="4">
        <f>_xlfn.XLOOKUP(B263,Master[Product_Code],Master[Stock_Qty])</f>
        <v>6</v>
      </c>
      <c r="J263" s="6">
        <f>SUMIFS(
  Sales_Entry[Qty],
  Sales_Entry[Product_Code], Stock_Table[[#This Row],[Product_Code]]
)</f>
        <v>0</v>
      </c>
      <c r="K263" s="4">
        <f>SUMIFS(
  Exchange_Return[Qty],
  Exchange_Return[Product_Code], Stock_Table[[#This Row],[Product_Code]]
)</f>
        <v>0</v>
      </c>
      <c r="L263" s="4">
        <f>I263-J263+K263</f>
        <v>6</v>
      </c>
      <c r="M263" s="2" t="str" cm="1">
        <f t="array" ref="M263">_xlfn.IFS(L263=0,"Out of Stock",L263&gt;=2,"Limited Stock",L263&lt;2,"In Stock")</f>
        <v>Limited Stock</v>
      </c>
    </row>
    <row r="264" spans="2:13">
      <c r="B264" s="2" t="s">
        <v>1730</v>
      </c>
      <c r="C264" s="5" t="str">
        <f>_xlfn.XLOOKUP(B264,Master[Product_Code],Master[Category])</f>
        <v>Innerwear</v>
      </c>
      <c r="D264" s="2" t="str">
        <f>_xlfn.XLOOKUP(B264,Master[Product_Code],Master[Brand])</f>
        <v>Dollar</v>
      </c>
      <c r="E264" s="2" t="str">
        <f>_xlfn.XLOOKUP(B264,Master[Product_Code],Master[Style])</f>
        <v>V-Cut</v>
      </c>
      <c r="F264" s="2" t="str">
        <f>_xlfn.XLOOKUP(B264,Master[Product_Code],Master[Fabric])</f>
        <v>Cotton</v>
      </c>
      <c r="G264" s="2" t="str">
        <f>_xlfn.XLOOKUP(B264,Master[Product_Code],Master[Size])</f>
        <v>90-100</v>
      </c>
      <c r="H264" s="2" t="str">
        <f>_xlfn.XLOOKUP(B264,Master[Product_Code],Master[Color])</f>
        <v>Bottle Green</v>
      </c>
      <c r="I264" s="4">
        <f>_xlfn.XLOOKUP(B264,Master[Product_Code],Master[Stock_Qty])</f>
        <v>5</v>
      </c>
      <c r="J264" s="6">
        <f>SUMIFS(
  Sales_Entry[Qty],
  Sales_Entry[Product_Code], Stock_Table[[#This Row],[Product_Code]]
)</f>
        <v>1</v>
      </c>
      <c r="K264" s="4">
        <f>SUMIFS(
  Exchange_Return[Qty],
  Exchange_Return[Product_Code], Stock_Table[[#This Row],[Product_Code]]
)</f>
        <v>0</v>
      </c>
      <c r="L264" s="4">
        <f>I264-J264+K264</f>
        <v>4</v>
      </c>
      <c r="M264" s="2" t="str" cm="1">
        <f t="array" ref="M264">_xlfn.IFS(L264=0,"Out of Stock",L264&gt;=2,"Limited Stock",L264&lt;2,"In Stock")</f>
        <v>Limited Stock</v>
      </c>
    </row>
    <row r="265" spans="2:13">
      <c r="B265" s="2" t="s">
        <v>1731</v>
      </c>
      <c r="C265" s="5" t="str">
        <f>_xlfn.XLOOKUP(B265,Master[Product_Code],Master[Category])</f>
        <v>Innerwear</v>
      </c>
      <c r="D265" s="2" t="str">
        <f>_xlfn.XLOOKUP(B265,Master[Product_Code],Master[Brand])</f>
        <v>V Star</v>
      </c>
      <c r="E265" s="2" t="str">
        <f>_xlfn.XLOOKUP(B265,Master[Product_Code],Master[Style])</f>
        <v>V-Cut</v>
      </c>
      <c r="F265" s="2" t="str">
        <f>_xlfn.XLOOKUP(B265,Master[Product_Code],Master[Fabric])</f>
        <v>Cotton Blend</v>
      </c>
      <c r="G265" s="2" t="str">
        <f>_xlfn.XLOOKUP(B265,Master[Product_Code],Master[Size])</f>
        <v>90-100</v>
      </c>
      <c r="H265" s="2" t="str">
        <f>_xlfn.XLOOKUP(B265,Master[Product_Code],Master[Color])</f>
        <v>Brown</v>
      </c>
      <c r="I265" s="4">
        <f>_xlfn.XLOOKUP(B265,Master[Product_Code],Master[Stock_Qty])</f>
        <v>6</v>
      </c>
      <c r="J265" s="6">
        <f>SUMIFS(
  Sales_Entry[Qty],
  Sales_Entry[Product_Code], Stock_Table[[#This Row],[Product_Code]]
)</f>
        <v>3</v>
      </c>
      <c r="K265" s="4">
        <f>SUMIFS(
  Exchange_Return[Qty],
  Exchange_Return[Product_Code], Stock_Table[[#This Row],[Product_Code]]
)</f>
        <v>0</v>
      </c>
      <c r="L265" s="4">
        <f>I265-J265+K265</f>
        <v>3</v>
      </c>
      <c r="M265" s="2" t="str" cm="1">
        <f t="array" ref="M265">_xlfn.IFS(L265=0,"Out of Stock",L265&gt;=2,"Limited Stock",L265&lt;2,"In Stock")</f>
        <v>Limited Stock</v>
      </c>
    </row>
    <row r="266" spans="2:13">
      <c r="B266" s="2" t="s">
        <v>1732</v>
      </c>
      <c r="C266" s="5" t="str">
        <f>_xlfn.XLOOKUP(B266,Master[Product_Code],Master[Category])</f>
        <v>Innerwear</v>
      </c>
      <c r="D266" s="2" t="str">
        <f>_xlfn.XLOOKUP(B266,Master[Product_Code],Master[Brand])</f>
        <v>V Star</v>
      </c>
      <c r="E266" s="2" t="str">
        <f>_xlfn.XLOOKUP(B266,Master[Product_Code],Master[Style])</f>
        <v>V-Cut</v>
      </c>
      <c r="F266" s="2" t="str">
        <f>_xlfn.XLOOKUP(B266,Master[Product_Code],Master[Fabric])</f>
        <v>Cotton</v>
      </c>
      <c r="G266" s="2" t="str">
        <f>_xlfn.XLOOKUP(B266,Master[Product_Code],Master[Size])</f>
        <v>75-80</v>
      </c>
      <c r="H266" s="2" t="str">
        <f>_xlfn.XLOOKUP(B266,Master[Product_Code],Master[Color])</f>
        <v>Navy Blue</v>
      </c>
      <c r="I266" s="4">
        <f>_xlfn.XLOOKUP(B266,Master[Product_Code],Master[Stock_Qty])</f>
        <v>3</v>
      </c>
      <c r="J266" s="6">
        <f>SUMIFS(
  Sales_Entry[Qty],
  Sales_Entry[Product_Code], Stock_Table[[#This Row],[Product_Code]]
)</f>
        <v>2</v>
      </c>
      <c r="K266" s="4">
        <f>SUMIFS(
  Exchange_Return[Qty],
  Exchange_Return[Product_Code], Stock_Table[[#This Row],[Product_Code]]
)</f>
        <v>0</v>
      </c>
      <c r="L266" s="4">
        <f>I266-J266+K266</f>
        <v>1</v>
      </c>
      <c r="M266" s="2" t="str" cm="1">
        <f t="array" ref="M266">_xlfn.IFS(L266=0,"Out of Stock",L266&gt;=2,"Limited Stock",L266&lt;2,"In Stock")</f>
        <v>In Stock</v>
      </c>
    </row>
    <row r="267" spans="2:13">
      <c r="B267" s="2" t="s">
        <v>1733</v>
      </c>
      <c r="C267" s="5" t="str">
        <f>_xlfn.XLOOKUP(B267,Master[Product_Code],Master[Category])</f>
        <v>Innerwear</v>
      </c>
      <c r="D267" s="2" t="str">
        <f>_xlfn.XLOOKUP(B267,Master[Product_Code],Master[Brand])</f>
        <v>Lux</v>
      </c>
      <c r="E267" s="2" t="str">
        <f>_xlfn.XLOOKUP(B267,Master[Product_Code],Master[Style])</f>
        <v>Boxer</v>
      </c>
      <c r="F267" s="2" t="str">
        <f>_xlfn.XLOOKUP(B267,Master[Product_Code],Master[Fabric])</f>
        <v>Cotton</v>
      </c>
      <c r="G267" s="2" t="str">
        <f>_xlfn.XLOOKUP(B267,Master[Product_Code],Master[Size])</f>
        <v>105-110</v>
      </c>
      <c r="H267" s="2" t="str">
        <f>_xlfn.XLOOKUP(B267,Master[Product_Code],Master[Color])</f>
        <v>Cream</v>
      </c>
      <c r="I267" s="4">
        <f>_xlfn.XLOOKUP(B267,Master[Product_Code],Master[Stock_Qty])</f>
        <v>3</v>
      </c>
      <c r="J267" s="6">
        <f>SUMIFS(
  Sales_Entry[Qty],
  Sales_Entry[Product_Code], Stock_Table[[#This Row],[Product_Code]]
)</f>
        <v>1</v>
      </c>
      <c r="K267" s="4">
        <f>SUMIFS(
  Exchange_Return[Qty],
  Exchange_Return[Product_Code], Stock_Table[[#This Row],[Product_Code]]
)</f>
        <v>0</v>
      </c>
      <c r="L267" s="4">
        <f>I267-J267+K267</f>
        <v>2</v>
      </c>
      <c r="M267" s="2" t="str" cm="1">
        <f t="array" ref="M267">_xlfn.IFS(L267=0,"Out of Stock",L267&gt;=2,"Limited Stock",L267&lt;2,"In Stock")</f>
        <v>Limited Stock</v>
      </c>
    </row>
    <row r="268" spans="2:13">
      <c r="B268" s="2" t="s">
        <v>1734</v>
      </c>
      <c r="C268" s="5" t="str">
        <f>_xlfn.XLOOKUP(B268,Master[Product_Code],Master[Category])</f>
        <v>Innerwear</v>
      </c>
      <c r="D268" s="2" t="str">
        <f>_xlfn.XLOOKUP(B268,Master[Product_Code],Master[Brand])</f>
        <v>Jockey</v>
      </c>
      <c r="E268" s="2" t="str">
        <f>_xlfn.XLOOKUP(B268,Master[Product_Code],Master[Style])</f>
        <v>V-Cut</v>
      </c>
      <c r="F268" s="2" t="str">
        <f>_xlfn.XLOOKUP(B268,Master[Product_Code],Master[Fabric])</f>
        <v>Cotton</v>
      </c>
      <c r="G268" s="2" t="str">
        <f>_xlfn.XLOOKUP(B268,Master[Product_Code],Master[Size])</f>
        <v>90-100</v>
      </c>
      <c r="H268" s="2" t="str">
        <f>_xlfn.XLOOKUP(B268,Master[Product_Code],Master[Color])</f>
        <v>Dark Green</v>
      </c>
      <c r="I268" s="4">
        <f>_xlfn.XLOOKUP(B268,Master[Product_Code],Master[Stock_Qty])</f>
        <v>6</v>
      </c>
      <c r="J268" s="6">
        <f>SUMIFS(
  Sales_Entry[Qty],
  Sales_Entry[Product_Code], Stock_Table[[#This Row],[Product_Code]]
)</f>
        <v>4</v>
      </c>
      <c r="K268" s="4">
        <f>SUMIFS(
  Exchange_Return[Qty],
  Exchange_Return[Product_Code], Stock_Table[[#This Row],[Product_Code]]
)</f>
        <v>0</v>
      </c>
      <c r="L268" s="4">
        <f>I268-J268+K268</f>
        <v>2</v>
      </c>
      <c r="M268" s="2" t="str" cm="1">
        <f t="array" ref="M268">_xlfn.IFS(L268=0,"Out of Stock",L268&gt;=2,"Limited Stock",L268&lt;2,"In Stock")</f>
        <v>Limited Stock</v>
      </c>
    </row>
    <row r="269" spans="2:13">
      <c r="B269" s="2" t="s">
        <v>1735</v>
      </c>
      <c r="C269" s="5" t="str">
        <f>_xlfn.XLOOKUP(B269,Master[Product_Code],Master[Category])</f>
        <v>Innerwear</v>
      </c>
      <c r="D269" s="2" t="str">
        <f>_xlfn.XLOOKUP(B269,Master[Product_Code],Master[Brand])</f>
        <v>Rupa</v>
      </c>
      <c r="E269" s="2" t="str">
        <f>_xlfn.XLOOKUP(B269,Master[Product_Code],Master[Style])</f>
        <v>Boxer</v>
      </c>
      <c r="F269" s="2" t="str">
        <f>_xlfn.XLOOKUP(B269,Master[Product_Code],Master[Fabric])</f>
        <v>Cotton</v>
      </c>
      <c r="G269" s="2" t="str">
        <f>_xlfn.XLOOKUP(B269,Master[Product_Code],Master[Size])</f>
        <v>85-90</v>
      </c>
      <c r="H269" s="2" t="str">
        <f>_xlfn.XLOOKUP(B269,Master[Product_Code],Master[Color])</f>
        <v>Cream</v>
      </c>
      <c r="I269" s="4">
        <f>_xlfn.XLOOKUP(B269,Master[Product_Code],Master[Stock_Qty])</f>
        <v>6</v>
      </c>
      <c r="J269" s="6">
        <f>SUMIFS(
  Sales_Entry[Qty],
  Sales_Entry[Product_Code], Stock_Table[[#This Row],[Product_Code]]
)</f>
        <v>1</v>
      </c>
      <c r="K269" s="4">
        <f>SUMIFS(
  Exchange_Return[Qty],
  Exchange_Return[Product_Code], Stock_Table[[#This Row],[Product_Code]]
)</f>
        <v>0</v>
      </c>
      <c r="L269" s="4">
        <f>I269-J269+K269</f>
        <v>5</v>
      </c>
      <c r="M269" s="2" t="str" cm="1">
        <f t="array" ref="M269">_xlfn.IFS(L269=0,"Out of Stock",L269&gt;=2,"Limited Stock",L269&lt;2,"In Stock")</f>
        <v>Limited Stock</v>
      </c>
    </row>
    <row r="270" spans="2:13">
      <c r="B270" s="2" t="s">
        <v>1736</v>
      </c>
      <c r="C270" s="5" t="str">
        <f>_xlfn.XLOOKUP(B270,Master[Product_Code],Master[Category])</f>
        <v>Innerwear</v>
      </c>
      <c r="D270" s="2" t="str">
        <f>_xlfn.XLOOKUP(B270,Master[Product_Code],Master[Brand])</f>
        <v>Lux</v>
      </c>
      <c r="E270" s="2" t="str">
        <f>_xlfn.XLOOKUP(B270,Master[Product_Code],Master[Style])</f>
        <v>Boxer</v>
      </c>
      <c r="F270" s="2" t="str">
        <f>_xlfn.XLOOKUP(B270,Master[Product_Code],Master[Fabric])</f>
        <v>Cotton</v>
      </c>
      <c r="G270" s="2" t="str">
        <f>_xlfn.XLOOKUP(B270,Master[Product_Code],Master[Size])</f>
        <v>100-105</v>
      </c>
      <c r="H270" s="2" t="str">
        <f>_xlfn.XLOOKUP(B270,Master[Product_Code],Master[Color])</f>
        <v>Brown</v>
      </c>
      <c r="I270" s="4">
        <f>_xlfn.XLOOKUP(B270,Master[Product_Code],Master[Stock_Qty])</f>
        <v>5</v>
      </c>
      <c r="J270" s="6">
        <f>SUMIFS(
  Sales_Entry[Qty],
  Sales_Entry[Product_Code], Stock_Table[[#This Row],[Product_Code]]
)</f>
        <v>5</v>
      </c>
      <c r="K270" s="4">
        <f>SUMIFS(
  Exchange_Return[Qty],
  Exchange_Return[Product_Code], Stock_Table[[#This Row],[Product_Code]]
)</f>
        <v>0</v>
      </c>
      <c r="L270" s="4">
        <f>I270-J270+K270</f>
        <v>0</v>
      </c>
      <c r="M270" s="2" t="str" cm="1">
        <f t="array" ref="M270">_xlfn.IFS(L270=0,"Out of Stock",L270&gt;=2,"Limited Stock",L270&lt;2,"In Stock")</f>
        <v>Out of Stock</v>
      </c>
    </row>
    <row r="271" spans="2:13">
      <c r="B271" s="2" t="s">
        <v>1737</v>
      </c>
      <c r="C271" s="5" t="str">
        <f>_xlfn.XLOOKUP(B271,Master[Product_Code],Master[Category])</f>
        <v>Innerwear</v>
      </c>
      <c r="D271" s="2" t="str">
        <f>_xlfn.XLOOKUP(B271,Master[Product_Code],Master[Brand])</f>
        <v>Dollar</v>
      </c>
      <c r="E271" s="2" t="str">
        <f>_xlfn.XLOOKUP(B271,Master[Product_Code],Master[Style])</f>
        <v>Boxer</v>
      </c>
      <c r="F271" s="2" t="str">
        <f>_xlfn.XLOOKUP(B271,Master[Product_Code],Master[Fabric])</f>
        <v>Cotton</v>
      </c>
      <c r="G271" s="2" t="str">
        <f>_xlfn.XLOOKUP(B271,Master[Product_Code],Master[Size])</f>
        <v>75-80</v>
      </c>
      <c r="H271" s="2" t="str">
        <f>_xlfn.XLOOKUP(B271,Master[Product_Code],Master[Color])</f>
        <v>Bottle Green</v>
      </c>
      <c r="I271" s="4">
        <f>_xlfn.XLOOKUP(B271,Master[Product_Code],Master[Stock_Qty])</f>
        <v>3</v>
      </c>
      <c r="J271" s="6">
        <f>SUMIFS(
  Sales_Entry[Qty],
  Sales_Entry[Product_Code], Stock_Table[[#This Row],[Product_Code]]
)</f>
        <v>1</v>
      </c>
      <c r="K271" s="4">
        <f>SUMIFS(
  Exchange_Return[Qty],
  Exchange_Return[Product_Code], Stock_Table[[#This Row],[Product_Code]]
)</f>
        <v>0</v>
      </c>
      <c r="L271" s="4">
        <f>I271-J271+K271</f>
        <v>2</v>
      </c>
      <c r="M271" s="2" t="str" cm="1">
        <f t="array" ref="M271">_xlfn.IFS(L271=0,"Out of Stock",L271&gt;=2,"Limited Stock",L271&lt;2,"In Stock")</f>
        <v>Limited Stock</v>
      </c>
    </row>
    <row r="272" spans="2:13">
      <c r="B272" s="2" t="s">
        <v>1738</v>
      </c>
      <c r="C272" s="5" t="str">
        <f>_xlfn.XLOOKUP(B272,Master[Product_Code],Master[Category])</f>
        <v>Innerwear</v>
      </c>
      <c r="D272" s="2" t="str">
        <f>_xlfn.XLOOKUP(B272,Master[Product_Code],Master[Brand])</f>
        <v>Lux</v>
      </c>
      <c r="E272" s="2" t="str">
        <f>_xlfn.XLOOKUP(B272,Master[Product_Code],Master[Style])</f>
        <v>V-Cut</v>
      </c>
      <c r="F272" s="2" t="str">
        <f>_xlfn.XLOOKUP(B272,Master[Product_Code],Master[Fabric])</f>
        <v>Cotton Blend</v>
      </c>
      <c r="G272" s="2" t="str">
        <f>_xlfn.XLOOKUP(B272,Master[Product_Code],Master[Size])</f>
        <v>100-105</v>
      </c>
      <c r="H272" s="2" t="str">
        <f>_xlfn.XLOOKUP(B272,Master[Product_Code],Master[Color])</f>
        <v>Royal Blue</v>
      </c>
      <c r="I272" s="4">
        <f>_xlfn.XLOOKUP(B272,Master[Product_Code],Master[Stock_Qty])</f>
        <v>5</v>
      </c>
      <c r="J272" s="6">
        <f>SUMIFS(
  Sales_Entry[Qty],
  Sales_Entry[Product_Code], Stock_Table[[#This Row],[Product_Code]]
)</f>
        <v>1</v>
      </c>
      <c r="K272" s="4">
        <f>SUMIFS(
  Exchange_Return[Qty],
  Exchange_Return[Product_Code], Stock_Table[[#This Row],[Product_Code]]
)</f>
        <v>0</v>
      </c>
      <c r="L272" s="4">
        <f>I272-J272+K272</f>
        <v>4</v>
      </c>
      <c r="M272" s="2" t="str" cm="1">
        <f t="array" ref="M272">_xlfn.IFS(L272=0,"Out of Stock",L272&gt;=2,"Limited Stock",L272&lt;2,"In Stock")</f>
        <v>Limited Stock</v>
      </c>
    </row>
    <row r="273" spans="2:13">
      <c r="B273" s="2" t="s">
        <v>1739</v>
      </c>
      <c r="C273" s="5" t="str">
        <f>_xlfn.XLOOKUP(B273,Master[Product_Code],Master[Category])</f>
        <v>Innerwear</v>
      </c>
      <c r="D273" s="2" t="str">
        <f>_xlfn.XLOOKUP(B273,Master[Product_Code],Master[Brand])</f>
        <v>Rupa</v>
      </c>
      <c r="E273" s="2" t="str">
        <f>_xlfn.XLOOKUP(B273,Master[Product_Code],Master[Style])</f>
        <v>Boxer</v>
      </c>
      <c r="F273" s="2" t="str">
        <f>_xlfn.XLOOKUP(B273,Master[Product_Code],Master[Fabric])</f>
        <v>Cotton</v>
      </c>
      <c r="G273" s="2" t="str">
        <f>_xlfn.XLOOKUP(B273,Master[Product_Code],Master[Size])</f>
        <v>100-105</v>
      </c>
      <c r="H273" s="2" t="str">
        <f>_xlfn.XLOOKUP(B273,Master[Product_Code],Master[Color])</f>
        <v>Rust</v>
      </c>
      <c r="I273" s="4">
        <f>_xlfn.XLOOKUP(B273,Master[Product_Code],Master[Stock_Qty])</f>
        <v>4</v>
      </c>
      <c r="J273" s="6">
        <f>SUMIFS(
  Sales_Entry[Qty],
  Sales_Entry[Product_Code], Stock_Table[[#This Row],[Product_Code]]
)</f>
        <v>0</v>
      </c>
      <c r="K273" s="4">
        <f>SUMIFS(
  Exchange_Return[Qty],
  Exchange_Return[Product_Code], Stock_Table[[#This Row],[Product_Code]]
)</f>
        <v>0</v>
      </c>
      <c r="L273" s="4">
        <f>I273-J273+K273</f>
        <v>4</v>
      </c>
      <c r="M273" s="2" t="str" cm="1">
        <f t="array" ref="M273">_xlfn.IFS(L273=0,"Out of Stock",L273&gt;=2,"Limited Stock",L273&lt;2,"In Stock")</f>
        <v>Limited Stock</v>
      </c>
    </row>
    <row r="274" spans="2:13">
      <c r="B274" s="2" t="s">
        <v>1740</v>
      </c>
      <c r="C274" s="5" t="str">
        <f>_xlfn.XLOOKUP(B274,Master[Product_Code],Master[Category])</f>
        <v>Innerwear</v>
      </c>
      <c r="D274" s="2" t="str">
        <f>_xlfn.XLOOKUP(B274,Master[Product_Code],Master[Brand])</f>
        <v>Lux</v>
      </c>
      <c r="E274" s="2" t="str">
        <f>_xlfn.XLOOKUP(B274,Master[Product_Code],Master[Style])</f>
        <v>Boxer</v>
      </c>
      <c r="F274" s="2" t="str">
        <f>_xlfn.XLOOKUP(B274,Master[Product_Code],Master[Fabric])</f>
        <v>Cotton</v>
      </c>
      <c r="G274" s="2" t="str">
        <f>_xlfn.XLOOKUP(B274,Master[Product_Code],Master[Size])</f>
        <v>105-110</v>
      </c>
      <c r="H274" s="2" t="str">
        <f>_xlfn.XLOOKUP(B274,Master[Product_Code],Master[Color])</f>
        <v>Rust</v>
      </c>
      <c r="I274" s="4">
        <f>_xlfn.XLOOKUP(B274,Master[Product_Code],Master[Stock_Qty])</f>
        <v>4</v>
      </c>
      <c r="J274" s="6">
        <f>SUMIFS(
  Sales_Entry[Qty],
  Sales_Entry[Product_Code], Stock_Table[[#This Row],[Product_Code]]
)</f>
        <v>0</v>
      </c>
      <c r="K274" s="4">
        <f>SUMIFS(
  Exchange_Return[Qty],
  Exchange_Return[Product_Code], Stock_Table[[#This Row],[Product_Code]]
)</f>
        <v>0</v>
      </c>
      <c r="L274" s="4">
        <f>I274-J274+K274</f>
        <v>4</v>
      </c>
      <c r="M274" s="2" t="str" cm="1">
        <f t="array" ref="M274">_xlfn.IFS(L274=0,"Out of Stock",L274&gt;=2,"Limited Stock",L274&lt;2,"In Stock")</f>
        <v>Limited Stock</v>
      </c>
    </row>
    <row r="275" spans="2:13">
      <c r="B275" s="2" t="s">
        <v>1741</v>
      </c>
      <c r="C275" s="5" t="str">
        <f>_xlfn.XLOOKUP(B275,Master[Product_Code],Master[Category])</f>
        <v>Innerwear</v>
      </c>
      <c r="D275" s="2" t="str">
        <f>_xlfn.XLOOKUP(B275,Master[Product_Code],Master[Brand])</f>
        <v>Dollar</v>
      </c>
      <c r="E275" s="2" t="str">
        <f>_xlfn.XLOOKUP(B275,Master[Product_Code],Master[Style])</f>
        <v>V-Cut</v>
      </c>
      <c r="F275" s="2" t="str">
        <f>_xlfn.XLOOKUP(B275,Master[Product_Code],Master[Fabric])</f>
        <v>Cotton Blend</v>
      </c>
      <c r="G275" s="2" t="str">
        <f>_xlfn.XLOOKUP(B275,Master[Product_Code],Master[Size])</f>
        <v>80-85</v>
      </c>
      <c r="H275" s="2" t="str">
        <f>_xlfn.XLOOKUP(B275,Master[Product_Code],Master[Color])</f>
        <v>Sky Blue</v>
      </c>
      <c r="I275" s="4">
        <f>_xlfn.XLOOKUP(B275,Master[Product_Code],Master[Stock_Qty])</f>
        <v>4</v>
      </c>
      <c r="J275" s="6">
        <f>SUMIFS(
  Sales_Entry[Qty],
  Sales_Entry[Product_Code], Stock_Table[[#This Row],[Product_Code]]
)</f>
        <v>2</v>
      </c>
      <c r="K275" s="4">
        <f>SUMIFS(
  Exchange_Return[Qty],
  Exchange_Return[Product_Code], Stock_Table[[#This Row],[Product_Code]]
)</f>
        <v>0</v>
      </c>
      <c r="L275" s="4">
        <f>I275-J275+K275</f>
        <v>2</v>
      </c>
      <c r="M275" s="2" t="str" cm="1">
        <f t="array" ref="M275">_xlfn.IFS(L275=0,"Out of Stock",L275&gt;=2,"Limited Stock",L275&lt;2,"In Stock")</f>
        <v>Limited Stock</v>
      </c>
    </row>
    <row r="276" spans="2:13">
      <c r="B276" s="2" t="s">
        <v>1742</v>
      </c>
      <c r="C276" s="5" t="str">
        <f>_xlfn.XLOOKUP(B276,Master[Product_Code],Master[Category])</f>
        <v>Innerwear</v>
      </c>
      <c r="D276" s="2" t="str">
        <f>_xlfn.XLOOKUP(B276,Master[Product_Code],Master[Brand])</f>
        <v>Lux</v>
      </c>
      <c r="E276" s="2" t="str">
        <f>_xlfn.XLOOKUP(B276,Master[Product_Code],Master[Style])</f>
        <v>Boxer</v>
      </c>
      <c r="F276" s="2" t="str">
        <f>_xlfn.XLOOKUP(B276,Master[Product_Code],Master[Fabric])</f>
        <v>Cotton Blend</v>
      </c>
      <c r="G276" s="2" t="str">
        <f>_xlfn.XLOOKUP(B276,Master[Product_Code],Master[Size])</f>
        <v>100-105</v>
      </c>
      <c r="H276" s="2" t="str">
        <f>_xlfn.XLOOKUP(B276,Master[Product_Code],Master[Color])</f>
        <v>Olive</v>
      </c>
      <c r="I276" s="4">
        <f>_xlfn.XLOOKUP(B276,Master[Product_Code],Master[Stock_Qty])</f>
        <v>5</v>
      </c>
      <c r="J276" s="6">
        <f>SUMIFS(
  Sales_Entry[Qty],
  Sales_Entry[Product_Code], Stock_Table[[#This Row],[Product_Code]]
)</f>
        <v>4</v>
      </c>
      <c r="K276" s="4">
        <f>SUMIFS(
  Exchange_Return[Qty],
  Exchange_Return[Product_Code], Stock_Table[[#This Row],[Product_Code]]
)</f>
        <v>0</v>
      </c>
      <c r="L276" s="4">
        <f>I276-J276+K276</f>
        <v>1</v>
      </c>
      <c r="M276" s="2" t="str" cm="1">
        <f t="array" ref="M276">_xlfn.IFS(L276=0,"Out of Stock",L276&gt;=2,"Limited Stock",L276&lt;2,"In Stock")</f>
        <v>In Stock</v>
      </c>
    </row>
    <row r="277" spans="2:13">
      <c r="B277" s="2" t="s">
        <v>1743</v>
      </c>
      <c r="C277" s="5" t="str">
        <f>_xlfn.XLOOKUP(B277,Master[Product_Code],Master[Category])</f>
        <v>Innerwear</v>
      </c>
      <c r="D277" s="2" t="str">
        <f>_xlfn.XLOOKUP(B277,Master[Product_Code],Master[Brand])</f>
        <v>Lux</v>
      </c>
      <c r="E277" s="2" t="str">
        <f>_xlfn.XLOOKUP(B277,Master[Product_Code],Master[Style])</f>
        <v>V-Cut</v>
      </c>
      <c r="F277" s="2" t="str">
        <f>_xlfn.XLOOKUP(B277,Master[Product_Code],Master[Fabric])</f>
        <v>Cotton</v>
      </c>
      <c r="G277" s="2" t="str">
        <f>_xlfn.XLOOKUP(B277,Master[Product_Code],Master[Size])</f>
        <v>90-100</v>
      </c>
      <c r="H277" s="2" t="str">
        <f>_xlfn.XLOOKUP(B277,Master[Product_Code],Master[Color])</f>
        <v>Black</v>
      </c>
      <c r="I277" s="4">
        <f>_xlfn.XLOOKUP(B277,Master[Product_Code],Master[Stock_Qty])</f>
        <v>4</v>
      </c>
      <c r="J277" s="6">
        <f>SUMIFS(
  Sales_Entry[Qty],
  Sales_Entry[Product_Code], Stock_Table[[#This Row],[Product_Code]]
)</f>
        <v>2</v>
      </c>
      <c r="K277" s="4">
        <f>SUMIFS(
  Exchange_Return[Qty],
  Exchange_Return[Product_Code], Stock_Table[[#This Row],[Product_Code]]
)</f>
        <v>0</v>
      </c>
      <c r="L277" s="4">
        <f>I277-J277+K277</f>
        <v>2</v>
      </c>
      <c r="M277" s="2" t="str" cm="1">
        <f t="array" ref="M277">_xlfn.IFS(L277=0,"Out of Stock",L277&gt;=2,"Limited Stock",L277&lt;2,"In Stock")</f>
        <v>Limited Stock</v>
      </c>
    </row>
    <row r="278" spans="2:13">
      <c r="B278" s="2" t="s">
        <v>1744</v>
      </c>
      <c r="C278" s="5" t="str">
        <f>_xlfn.XLOOKUP(B278,Master[Product_Code],Master[Category])</f>
        <v>Innerwear</v>
      </c>
      <c r="D278" s="2" t="str">
        <f>_xlfn.XLOOKUP(B278,Master[Product_Code],Master[Brand])</f>
        <v>V Star</v>
      </c>
      <c r="E278" s="2" t="str">
        <f>_xlfn.XLOOKUP(B278,Master[Product_Code],Master[Style])</f>
        <v>V-Cut</v>
      </c>
      <c r="F278" s="2" t="str">
        <f>_xlfn.XLOOKUP(B278,Master[Product_Code],Master[Fabric])</f>
        <v>Cotton Blend</v>
      </c>
      <c r="G278" s="2" t="str">
        <f>_xlfn.XLOOKUP(B278,Master[Product_Code],Master[Size])</f>
        <v>75-80</v>
      </c>
      <c r="H278" s="2" t="str">
        <f>_xlfn.XLOOKUP(B278,Master[Product_Code],Master[Color])</f>
        <v>Maroon</v>
      </c>
      <c r="I278" s="4">
        <f>_xlfn.XLOOKUP(B278,Master[Product_Code],Master[Stock_Qty])</f>
        <v>6</v>
      </c>
      <c r="J278" s="6">
        <f>SUMIFS(
  Sales_Entry[Qty],
  Sales_Entry[Product_Code], Stock_Table[[#This Row],[Product_Code]]
)</f>
        <v>2</v>
      </c>
      <c r="K278" s="4">
        <f>SUMIFS(
  Exchange_Return[Qty],
  Exchange_Return[Product_Code], Stock_Table[[#This Row],[Product_Code]]
)</f>
        <v>0</v>
      </c>
      <c r="L278" s="4">
        <f>I278-J278+K278</f>
        <v>4</v>
      </c>
      <c r="M278" s="2" t="str" cm="1">
        <f t="array" ref="M278">_xlfn.IFS(L278=0,"Out of Stock",L278&gt;=2,"Limited Stock",L278&lt;2,"In Stock")</f>
        <v>Limited Stock</v>
      </c>
    </row>
    <row r="279" spans="2:13">
      <c r="B279" s="2" t="s">
        <v>1745</v>
      </c>
      <c r="C279" s="5" t="str">
        <f>_xlfn.XLOOKUP(B279,Master[Product_Code],Master[Category])</f>
        <v>Innerwear</v>
      </c>
      <c r="D279" s="2" t="str">
        <f>_xlfn.XLOOKUP(B279,Master[Product_Code],Master[Brand])</f>
        <v>Rupa</v>
      </c>
      <c r="E279" s="2" t="str">
        <f>_xlfn.XLOOKUP(B279,Master[Product_Code],Master[Style])</f>
        <v>V-Cut</v>
      </c>
      <c r="F279" s="2" t="str">
        <f>_xlfn.XLOOKUP(B279,Master[Product_Code],Master[Fabric])</f>
        <v>Cotton</v>
      </c>
      <c r="G279" s="2" t="str">
        <f>_xlfn.XLOOKUP(B279,Master[Product_Code],Master[Size])</f>
        <v>85-90</v>
      </c>
      <c r="H279" s="2" t="str">
        <f>_xlfn.XLOOKUP(B279,Master[Product_Code],Master[Color])</f>
        <v>Grey</v>
      </c>
      <c r="I279" s="4">
        <f>_xlfn.XLOOKUP(B279,Master[Product_Code],Master[Stock_Qty])</f>
        <v>4</v>
      </c>
      <c r="J279" s="6">
        <f>SUMIFS(
  Sales_Entry[Qty],
  Sales_Entry[Product_Code], Stock_Table[[#This Row],[Product_Code]]
)</f>
        <v>1</v>
      </c>
      <c r="K279" s="4">
        <f>SUMIFS(
  Exchange_Return[Qty],
  Exchange_Return[Product_Code], Stock_Table[[#This Row],[Product_Code]]
)</f>
        <v>0</v>
      </c>
      <c r="L279" s="4">
        <f>I279-J279+K279</f>
        <v>3</v>
      </c>
      <c r="M279" s="2" t="str" cm="1">
        <f t="array" ref="M279">_xlfn.IFS(L279=0,"Out of Stock",L279&gt;=2,"Limited Stock",L279&lt;2,"In Stock")</f>
        <v>Limited Stock</v>
      </c>
    </row>
    <row r="280" spans="2:13">
      <c r="B280" s="2" t="s">
        <v>1746</v>
      </c>
      <c r="C280" s="5" t="str">
        <f>_xlfn.XLOOKUP(B280,Master[Product_Code],Master[Category])</f>
        <v>Innerwear</v>
      </c>
      <c r="D280" s="2" t="str">
        <f>_xlfn.XLOOKUP(B280,Master[Product_Code],Master[Brand])</f>
        <v>Dollar</v>
      </c>
      <c r="E280" s="2" t="str">
        <f>_xlfn.XLOOKUP(B280,Master[Product_Code],Master[Style])</f>
        <v>V-Cut</v>
      </c>
      <c r="F280" s="2" t="str">
        <f>_xlfn.XLOOKUP(B280,Master[Product_Code],Master[Fabric])</f>
        <v>Cotton Blend</v>
      </c>
      <c r="G280" s="2" t="str">
        <f>_xlfn.XLOOKUP(B280,Master[Product_Code],Master[Size])</f>
        <v>75-80</v>
      </c>
      <c r="H280" s="2" t="str">
        <f>_xlfn.XLOOKUP(B280,Master[Product_Code],Master[Color])</f>
        <v>Maroon</v>
      </c>
      <c r="I280" s="4">
        <f>_xlfn.XLOOKUP(B280,Master[Product_Code],Master[Stock_Qty])</f>
        <v>3</v>
      </c>
      <c r="J280" s="6">
        <f>SUMIFS(
  Sales_Entry[Qty],
  Sales_Entry[Product_Code], Stock_Table[[#This Row],[Product_Code]]
)</f>
        <v>0</v>
      </c>
      <c r="K280" s="4">
        <f>SUMIFS(
  Exchange_Return[Qty],
  Exchange_Return[Product_Code], Stock_Table[[#This Row],[Product_Code]]
)</f>
        <v>0</v>
      </c>
      <c r="L280" s="4">
        <f>I280-J280+K280</f>
        <v>3</v>
      </c>
      <c r="M280" s="2" t="str" cm="1">
        <f t="array" ref="M280">_xlfn.IFS(L280=0,"Out of Stock",L280&gt;=2,"Limited Stock",L280&lt;2,"In Stock")</f>
        <v>Limited Stock</v>
      </c>
    </row>
    <row r="281" spans="2:13">
      <c r="B281" s="2" t="s">
        <v>1747</v>
      </c>
      <c r="C281" s="5" t="str">
        <f>_xlfn.XLOOKUP(B281,Master[Product_Code],Master[Category])</f>
        <v>Innerwear</v>
      </c>
      <c r="D281" s="2" t="str">
        <f>_xlfn.XLOOKUP(B281,Master[Product_Code],Master[Brand])</f>
        <v>Lux</v>
      </c>
      <c r="E281" s="2" t="str">
        <f>_xlfn.XLOOKUP(B281,Master[Product_Code],Master[Style])</f>
        <v>Boxer</v>
      </c>
      <c r="F281" s="2" t="str">
        <f>_xlfn.XLOOKUP(B281,Master[Product_Code],Master[Fabric])</f>
        <v>Cotton</v>
      </c>
      <c r="G281" s="2" t="str">
        <f>_xlfn.XLOOKUP(B281,Master[Product_Code],Master[Size])</f>
        <v>75-80</v>
      </c>
      <c r="H281" s="2" t="str">
        <f>_xlfn.XLOOKUP(B281,Master[Product_Code],Master[Color])</f>
        <v>Maroon</v>
      </c>
      <c r="I281" s="4">
        <f>_xlfn.XLOOKUP(B281,Master[Product_Code],Master[Stock_Qty])</f>
        <v>5</v>
      </c>
      <c r="J281" s="6">
        <f>SUMIFS(
  Sales_Entry[Qty],
  Sales_Entry[Product_Code], Stock_Table[[#This Row],[Product_Code]]
)</f>
        <v>0</v>
      </c>
      <c r="K281" s="4">
        <f>SUMIFS(
  Exchange_Return[Qty],
  Exchange_Return[Product_Code], Stock_Table[[#This Row],[Product_Code]]
)</f>
        <v>0</v>
      </c>
      <c r="L281" s="4">
        <f>I281-J281+K281</f>
        <v>5</v>
      </c>
      <c r="M281" s="2" t="str" cm="1">
        <f t="array" ref="M281">_xlfn.IFS(L281=0,"Out of Stock",L281&gt;=2,"Limited Stock",L281&lt;2,"In Stock")</f>
        <v>Limited Stock</v>
      </c>
    </row>
    <row r="282" spans="2:13">
      <c r="B282" s="2" t="s">
        <v>1748</v>
      </c>
      <c r="C282" s="5" t="str">
        <f>_xlfn.XLOOKUP(B282,Master[Product_Code],Master[Category])</f>
        <v>Innerwear</v>
      </c>
      <c r="D282" s="2" t="str">
        <f>_xlfn.XLOOKUP(B282,Master[Product_Code],Master[Brand])</f>
        <v>Rupa</v>
      </c>
      <c r="E282" s="2" t="str">
        <f>_xlfn.XLOOKUP(B282,Master[Product_Code],Master[Style])</f>
        <v>V-Cut</v>
      </c>
      <c r="F282" s="2" t="str">
        <f>_xlfn.XLOOKUP(B282,Master[Product_Code],Master[Fabric])</f>
        <v>Cotton</v>
      </c>
      <c r="G282" s="2" t="str">
        <f>_xlfn.XLOOKUP(B282,Master[Product_Code],Master[Size])</f>
        <v>90-100</v>
      </c>
      <c r="H282" s="2" t="str">
        <f>_xlfn.XLOOKUP(B282,Master[Product_Code],Master[Color])</f>
        <v>Teal</v>
      </c>
      <c r="I282" s="4">
        <f>_xlfn.XLOOKUP(B282,Master[Product_Code],Master[Stock_Qty])</f>
        <v>4</v>
      </c>
      <c r="J282" s="6">
        <f>SUMIFS(
  Sales_Entry[Qty],
  Sales_Entry[Product_Code], Stock_Table[[#This Row],[Product_Code]]
)</f>
        <v>0</v>
      </c>
      <c r="K282" s="4">
        <f>SUMIFS(
  Exchange_Return[Qty],
  Exchange_Return[Product_Code], Stock_Table[[#This Row],[Product_Code]]
)</f>
        <v>0</v>
      </c>
      <c r="L282" s="4">
        <f>I282-J282+K282</f>
        <v>4</v>
      </c>
      <c r="M282" s="2" t="str" cm="1">
        <f t="array" ref="M282">_xlfn.IFS(L282=0,"Out of Stock",L282&gt;=2,"Limited Stock",L282&lt;2,"In Stock")</f>
        <v>Limited Stock</v>
      </c>
    </row>
    <row r="283" spans="2:13">
      <c r="B283" s="2" t="s">
        <v>1749</v>
      </c>
      <c r="C283" s="5" t="str">
        <f>_xlfn.XLOOKUP(B283,Master[Product_Code],Master[Category])</f>
        <v>Innerwear</v>
      </c>
      <c r="D283" s="2" t="str">
        <f>_xlfn.XLOOKUP(B283,Master[Product_Code],Master[Brand])</f>
        <v>Lux</v>
      </c>
      <c r="E283" s="2" t="str">
        <f>_xlfn.XLOOKUP(B283,Master[Product_Code],Master[Style])</f>
        <v>Boxer</v>
      </c>
      <c r="F283" s="2" t="str">
        <f>_xlfn.XLOOKUP(B283,Master[Product_Code],Master[Fabric])</f>
        <v>Cotton</v>
      </c>
      <c r="G283" s="2" t="str">
        <f>_xlfn.XLOOKUP(B283,Master[Product_Code],Master[Size])</f>
        <v>90-100</v>
      </c>
      <c r="H283" s="2" t="str">
        <f>_xlfn.XLOOKUP(B283,Master[Product_Code],Master[Color])</f>
        <v>Navy Blue</v>
      </c>
      <c r="I283" s="4">
        <f>_xlfn.XLOOKUP(B283,Master[Product_Code],Master[Stock_Qty])</f>
        <v>6</v>
      </c>
      <c r="J283" s="6">
        <f>SUMIFS(
  Sales_Entry[Qty],
  Sales_Entry[Product_Code], Stock_Table[[#This Row],[Product_Code]]
)</f>
        <v>1</v>
      </c>
      <c r="K283" s="4">
        <f>SUMIFS(
  Exchange_Return[Qty],
  Exchange_Return[Product_Code], Stock_Table[[#This Row],[Product_Code]]
)</f>
        <v>0</v>
      </c>
      <c r="L283" s="4">
        <f>I283-J283+K283</f>
        <v>5</v>
      </c>
      <c r="M283" s="2" t="str" cm="1">
        <f t="array" ref="M283">_xlfn.IFS(L283=0,"Out of Stock",L283&gt;=2,"Limited Stock",L283&lt;2,"In Stock")</f>
        <v>Limited Stock</v>
      </c>
    </row>
    <row r="284" spans="2:13">
      <c r="B284" s="2" t="s">
        <v>1750</v>
      </c>
      <c r="C284" s="5" t="str">
        <f>_xlfn.XLOOKUP(B284,Master[Product_Code],Master[Category])</f>
        <v>Innerwear</v>
      </c>
      <c r="D284" s="2" t="str">
        <f>_xlfn.XLOOKUP(B284,Master[Product_Code],Master[Brand])</f>
        <v>Rupa</v>
      </c>
      <c r="E284" s="2" t="str">
        <f>_xlfn.XLOOKUP(B284,Master[Product_Code],Master[Style])</f>
        <v>Boxer</v>
      </c>
      <c r="F284" s="2" t="str">
        <f>_xlfn.XLOOKUP(B284,Master[Product_Code],Master[Fabric])</f>
        <v>Cotton Blend</v>
      </c>
      <c r="G284" s="2" t="str">
        <f>_xlfn.XLOOKUP(B284,Master[Product_Code],Master[Size])</f>
        <v>85-90</v>
      </c>
      <c r="H284" s="2" t="str">
        <f>_xlfn.XLOOKUP(B284,Master[Product_Code],Master[Color])</f>
        <v>Cream</v>
      </c>
      <c r="I284" s="4">
        <f>_xlfn.XLOOKUP(B284,Master[Product_Code],Master[Stock_Qty])</f>
        <v>4</v>
      </c>
      <c r="J284" s="6">
        <f>SUMIFS(
  Sales_Entry[Qty],
  Sales_Entry[Product_Code], Stock_Table[[#This Row],[Product_Code]]
)</f>
        <v>1</v>
      </c>
      <c r="K284" s="4">
        <f>SUMIFS(
  Exchange_Return[Qty],
  Exchange_Return[Product_Code], Stock_Table[[#This Row],[Product_Code]]
)</f>
        <v>0</v>
      </c>
      <c r="L284" s="4">
        <f>I284-J284+K284</f>
        <v>3</v>
      </c>
      <c r="M284" s="2" t="str" cm="1">
        <f t="array" ref="M284">_xlfn.IFS(L284=0,"Out of Stock",L284&gt;=2,"Limited Stock",L284&lt;2,"In Stock")</f>
        <v>Limited Stock</v>
      </c>
    </row>
    <row r="285" spans="2:13">
      <c r="B285" s="2" t="s">
        <v>1751</v>
      </c>
      <c r="C285" s="5" t="str">
        <f>_xlfn.XLOOKUP(B285,Master[Product_Code],Master[Category])</f>
        <v>Innerwear</v>
      </c>
      <c r="D285" s="2" t="str">
        <f>_xlfn.XLOOKUP(B285,Master[Product_Code],Master[Brand])</f>
        <v>Dollar</v>
      </c>
      <c r="E285" s="2" t="str">
        <f>_xlfn.XLOOKUP(B285,Master[Product_Code],Master[Style])</f>
        <v>V-Cut</v>
      </c>
      <c r="F285" s="2" t="str">
        <f>_xlfn.XLOOKUP(B285,Master[Product_Code],Master[Fabric])</f>
        <v>Cotton</v>
      </c>
      <c r="G285" s="2" t="str">
        <f>_xlfn.XLOOKUP(B285,Master[Product_Code],Master[Size])</f>
        <v>105-110</v>
      </c>
      <c r="H285" s="2" t="str">
        <f>_xlfn.XLOOKUP(B285,Master[Product_Code],Master[Color])</f>
        <v>Light Grey</v>
      </c>
      <c r="I285" s="4">
        <f>_xlfn.XLOOKUP(B285,Master[Product_Code],Master[Stock_Qty])</f>
        <v>3</v>
      </c>
      <c r="J285" s="6">
        <f>SUMIFS(
  Sales_Entry[Qty],
  Sales_Entry[Product_Code], Stock_Table[[#This Row],[Product_Code]]
)</f>
        <v>2</v>
      </c>
      <c r="K285" s="4">
        <f>SUMIFS(
  Exchange_Return[Qty],
  Exchange_Return[Product_Code], Stock_Table[[#This Row],[Product_Code]]
)</f>
        <v>0</v>
      </c>
      <c r="L285" s="4">
        <f>I285-J285+K285</f>
        <v>1</v>
      </c>
      <c r="M285" s="2" t="str" cm="1">
        <f t="array" ref="M285">_xlfn.IFS(L285=0,"Out of Stock",L285&gt;=2,"Limited Stock",L285&lt;2,"In Stock")</f>
        <v>In Stock</v>
      </c>
    </row>
    <row r="286" spans="2:13">
      <c r="B286" s="2" t="s">
        <v>1752</v>
      </c>
      <c r="C286" s="5" t="str">
        <f>_xlfn.XLOOKUP(B286,Master[Product_Code],Master[Category])</f>
        <v>Innerwear</v>
      </c>
      <c r="D286" s="2" t="str">
        <f>_xlfn.XLOOKUP(B286,Master[Product_Code],Master[Brand])</f>
        <v>Dollar</v>
      </c>
      <c r="E286" s="2" t="str">
        <f>_xlfn.XLOOKUP(B286,Master[Product_Code],Master[Style])</f>
        <v>Boxer</v>
      </c>
      <c r="F286" s="2" t="str">
        <f>_xlfn.XLOOKUP(B286,Master[Product_Code],Master[Fabric])</f>
        <v>Cotton Blend</v>
      </c>
      <c r="G286" s="2" t="str">
        <f>_xlfn.XLOOKUP(B286,Master[Product_Code],Master[Size])</f>
        <v>100-105</v>
      </c>
      <c r="H286" s="2" t="str">
        <f>_xlfn.XLOOKUP(B286,Master[Product_Code],Master[Color])</f>
        <v>Royal Blue</v>
      </c>
      <c r="I286" s="4">
        <f>_xlfn.XLOOKUP(B286,Master[Product_Code],Master[Stock_Qty])</f>
        <v>3</v>
      </c>
      <c r="J286" s="6">
        <f>SUMIFS(
  Sales_Entry[Qty],
  Sales_Entry[Product_Code], Stock_Table[[#This Row],[Product_Code]]
)</f>
        <v>1</v>
      </c>
      <c r="K286" s="4">
        <f>SUMIFS(
  Exchange_Return[Qty],
  Exchange_Return[Product_Code], Stock_Table[[#This Row],[Product_Code]]
)</f>
        <v>0</v>
      </c>
      <c r="L286" s="4">
        <f>I286-J286+K286</f>
        <v>2</v>
      </c>
      <c r="M286" s="2" t="str" cm="1">
        <f t="array" ref="M286">_xlfn.IFS(L286=0,"Out of Stock",L286&gt;=2,"Limited Stock",L286&lt;2,"In Stock")</f>
        <v>Limited Stock</v>
      </c>
    </row>
    <row r="287" spans="2:13">
      <c r="B287" s="2" t="s">
        <v>1753</v>
      </c>
      <c r="C287" s="5" t="str">
        <f>_xlfn.XLOOKUP(B287,Master[Product_Code],Master[Category])</f>
        <v>Innerwear</v>
      </c>
      <c r="D287" s="2" t="str">
        <f>_xlfn.XLOOKUP(B287,Master[Product_Code],Master[Brand])</f>
        <v>V Star</v>
      </c>
      <c r="E287" s="2" t="str">
        <f>_xlfn.XLOOKUP(B287,Master[Product_Code],Master[Style])</f>
        <v>Boxer</v>
      </c>
      <c r="F287" s="2" t="str">
        <f>_xlfn.XLOOKUP(B287,Master[Product_Code],Master[Fabric])</f>
        <v>Cotton</v>
      </c>
      <c r="G287" s="2" t="str">
        <f>_xlfn.XLOOKUP(B287,Master[Product_Code],Master[Size])</f>
        <v>80-85</v>
      </c>
      <c r="H287" s="2" t="str">
        <f>_xlfn.XLOOKUP(B287,Master[Product_Code],Master[Color])</f>
        <v>Royal Blue</v>
      </c>
      <c r="I287" s="4">
        <f>_xlfn.XLOOKUP(B287,Master[Product_Code],Master[Stock_Qty])</f>
        <v>3</v>
      </c>
      <c r="J287" s="6">
        <f>SUMIFS(
  Sales_Entry[Qty],
  Sales_Entry[Product_Code], Stock_Table[[#This Row],[Product_Code]]
)</f>
        <v>1</v>
      </c>
      <c r="K287" s="4">
        <f>SUMIFS(
  Exchange_Return[Qty],
  Exchange_Return[Product_Code], Stock_Table[[#This Row],[Product_Code]]
)</f>
        <v>0</v>
      </c>
      <c r="L287" s="4">
        <f>I287-J287+K287</f>
        <v>2</v>
      </c>
      <c r="M287" s="2" t="str" cm="1">
        <f t="array" ref="M287">_xlfn.IFS(L287=0,"Out of Stock",L287&gt;=2,"Limited Stock",L287&lt;2,"In Stock")</f>
        <v>Limited Stock</v>
      </c>
    </row>
    <row r="288" spans="2:13">
      <c r="B288" s="2" t="s">
        <v>1754</v>
      </c>
      <c r="C288" s="5" t="str">
        <f>_xlfn.XLOOKUP(B288,Master[Product_Code],Master[Category])</f>
        <v>Innerwear</v>
      </c>
      <c r="D288" s="2" t="str">
        <f>_xlfn.XLOOKUP(B288,Master[Product_Code],Master[Brand])</f>
        <v>Lux</v>
      </c>
      <c r="E288" s="2" t="str">
        <f>_xlfn.XLOOKUP(B288,Master[Product_Code],Master[Style])</f>
        <v>V-Cut</v>
      </c>
      <c r="F288" s="2" t="str">
        <f>_xlfn.XLOOKUP(B288,Master[Product_Code],Master[Fabric])</f>
        <v>Cotton</v>
      </c>
      <c r="G288" s="2" t="str">
        <f>_xlfn.XLOOKUP(B288,Master[Product_Code],Master[Size])</f>
        <v>85-90</v>
      </c>
      <c r="H288" s="2" t="str">
        <f>_xlfn.XLOOKUP(B288,Master[Product_Code],Master[Color])</f>
        <v>Sky Blue</v>
      </c>
      <c r="I288" s="4">
        <f>_xlfn.XLOOKUP(B288,Master[Product_Code],Master[Stock_Qty])</f>
        <v>4</v>
      </c>
      <c r="J288" s="6">
        <f>SUMIFS(
  Sales_Entry[Qty],
  Sales_Entry[Product_Code], Stock_Table[[#This Row],[Product_Code]]
)</f>
        <v>2</v>
      </c>
      <c r="K288" s="4">
        <f>SUMIFS(
  Exchange_Return[Qty],
  Exchange_Return[Product_Code], Stock_Table[[#This Row],[Product_Code]]
)</f>
        <v>0</v>
      </c>
      <c r="L288" s="4">
        <f>I288-J288+K288</f>
        <v>2</v>
      </c>
      <c r="M288" s="2" t="str" cm="1">
        <f t="array" ref="M288">_xlfn.IFS(L288=0,"Out of Stock",L288&gt;=2,"Limited Stock",L288&lt;2,"In Stock")</f>
        <v>Limited Stock</v>
      </c>
    </row>
    <row r="289" spans="2:13">
      <c r="B289" s="2" t="s">
        <v>1755</v>
      </c>
      <c r="C289" s="5" t="str">
        <f>_xlfn.XLOOKUP(B289,Master[Product_Code],Master[Category])</f>
        <v>Innerwear</v>
      </c>
      <c r="D289" s="2" t="str">
        <f>_xlfn.XLOOKUP(B289,Master[Product_Code],Master[Brand])</f>
        <v>Dollar</v>
      </c>
      <c r="E289" s="2" t="str">
        <f>_xlfn.XLOOKUP(B289,Master[Product_Code],Master[Style])</f>
        <v>V-Cut</v>
      </c>
      <c r="F289" s="2" t="str">
        <f>_xlfn.XLOOKUP(B289,Master[Product_Code],Master[Fabric])</f>
        <v>Cotton</v>
      </c>
      <c r="G289" s="2" t="str">
        <f>_xlfn.XLOOKUP(B289,Master[Product_Code],Master[Size])</f>
        <v>75-80</v>
      </c>
      <c r="H289" s="2" t="str">
        <f>_xlfn.XLOOKUP(B289,Master[Product_Code],Master[Color])</f>
        <v>Maroon</v>
      </c>
      <c r="I289" s="4">
        <f>_xlfn.XLOOKUP(B289,Master[Product_Code],Master[Stock_Qty])</f>
        <v>5</v>
      </c>
      <c r="J289" s="6">
        <f>SUMIFS(
  Sales_Entry[Qty],
  Sales_Entry[Product_Code], Stock_Table[[#This Row],[Product_Code]]
)</f>
        <v>1</v>
      </c>
      <c r="K289" s="4">
        <f>SUMIFS(
  Exchange_Return[Qty],
  Exchange_Return[Product_Code], Stock_Table[[#This Row],[Product_Code]]
)</f>
        <v>0</v>
      </c>
      <c r="L289" s="4">
        <f>I289-J289+K289</f>
        <v>4</v>
      </c>
      <c r="M289" s="2" t="str" cm="1">
        <f t="array" ref="M289">_xlfn.IFS(L289=0,"Out of Stock",L289&gt;=2,"Limited Stock",L289&lt;2,"In Stock")</f>
        <v>Limited Stock</v>
      </c>
    </row>
    <row r="290" spans="2:13">
      <c r="B290" s="2" t="s">
        <v>1756</v>
      </c>
      <c r="C290" s="5" t="str">
        <f>_xlfn.XLOOKUP(B290,Master[Product_Code],Master[Category])</f>
        <v>Innerwear</v>
      </c>
      <c r="D290" s="2" t="str">
        <f>_xlfn.XLOOKUP(B290,Master[Product_Code],Master[Brand])</f>
        <v>Jockey</v>
      </c>
      <c r="E290" s="2" t="str">
        <f>_xlfn.XLOOKUP(B290,Master[Product_Code],Master[Style])</f>
        <v>V-Cut</v>
      </c>
      <c r="F290" s="2" t="str">
        <f>_xlfn.XLOOKUP(B290,Master[Product_Code],Master[Fabric])</f>
        <v>Cotton</v>
      </c>
      <c r="G290" s="2" t="str">
        <f>_xlfn.XLOOKUP(B290,Master[Product_Code],Master[Size])</f>
        <v>85-90</v>
      </c>
      <c r="H290" s="2" t="str">
        <f>_xlfn.XLOOKUP(B290,Master[Product_Code],Master[Color])</f>
        <v>Dark Green</v>
      </c>
      <c r="I290" s="4">
        <f>_xlfn.XLOOKUP(B290,Master[Product_Code],Master[Stock_Qty])</f>
        <v>5</v>
      </c>
      <c r="J290" s="6">
        <f>SUMIFS(
  Sales_Entry[Qty],
  Sales_Entry[Product_Code], Stock_Table[[#This Row],[Product_Code]]
)</f>
        <v>3</v>
      </c>
      <c r="K290" s="4">
        <f>SUMIFS(
  Exchange_Return[Qty],
  Exchange_Return[Product_Code], Stock_Table[[#This Row],[Product_Code]]
)</f>
        <v>0</v>
      </c>
      <c r="L290" s="4">
        <f>I290-J290+K290</f>
        <v>2</v>
      </c>
      <c r="M290" s="2" t="str" cm="1">
        <f t="array" ref="M290">_xlfn.IFS(L290=0,"Out of Stock",L290&gt;=2,"Limited Stock",L290&lt;2,"In Stock")</f>
        <v>Limited Stock</v>
      </c>
    </row>
    <row r="291" spans="2:13">
      <c r="B291" s="2" t="s">
        <v>834</v>
      </c>
      <c r="C291" s="5" t="str">
        <f>_xlfn.XLOOKUP(B291,Master[Product_Code],Master[Category])</f>
        <v>Jeans</v>
      </c>
      <c r="D291" s="2" t="str">
        <f>_xlfn.XLOOKUP(B291,Master[Product_Code],Master[Brand])</f>
        <v>Wrangler</v>
      </c>
      <c r="E291" s="2" t="str">
        <f>_xlfn.XLOOKUP(B291,Master[Product_Code],Master[Style])</f>
        <v>Baggy</v>
      </c>
      <c r="F291" s="2" t="str">
        <f>_xlfn.XLOOKUP(B291,Master[Product_Code],Master[Fabric])</f>
        <v>Denim</v>
      </c>
      <c r="G291" s="2">
        <f>_xlfn.XLOOKUP(B291,Master[Product_Code],Master[Size])</f>
        <v>44</v>
      </c>
      <c r="H291" s="2" t="str">
        <f>_xlfn.XLOOKUP(B291,Master[Product_Code],Master[Color])</f>
        <v>Peach</v>
      </c>
      <c r="I291" s="4">
        <f>_xlfn.XLOOKUP(B291,Master[Product_Code],Master[Stock_Qty])</f>
        <v>6</v>
      </c>
      <c r="J291" s="6">
        <f>SUMIFS(
  Sales_Entry[Qty],
  Sales_Entry[Product_Code], Stock_Table[[#This Row],[Product_Code]]
)</f>
        <v>0</v>
      </c>
      <c r="K291" s="4">
        <f>SUMIFS(
  Exchange_Return[Qty],
  Exchange_Return[Product_Code], Stock_Table[[#This Row],[Product_Code]]
)</f>
        <v>0</v>
      </c>
      <c r="L291" s="4">
        <f>I291-J291+K291</f>
        <v>6</v>
      </c>
      <c r="M291" s="2" t="str" cm="1">
        <f t="array" ref="M291">_xlfn.IFS(L291=0,"Out of Stock",L291&gt;=2,"Limited Stock",L291&lt;2,"In Stock")</f>
        <v>Limited Stock</v>
      </c>
    </row>
    <row r="292" spans="2:13">
      <c r="B292" s="2" t="s">
        <v>839</v>
      </c>
      <c r="C292" s="5" t="str">
        <f>_xlfn.XLOOKUP(B292,Master[Product_Code],Master[Category])</f>
        <v>Jeans</v>
      </c>
      <c r="D292" s="2" t="str">
        <f>_xlfn.XLOOKUP(B292,Master[Product_Code],Master[Brand])</f>
        <v>Pepe</v>
      </c>
      <c r="E292" s="2" t="str">
        <f>_xlfn.XLOOKUP(B292,Master[Product_Code],Master[Style])</f>
        <v>Baggy</v>
      </c>
      <c r="F292" s="2" t="str">
        <f>_xlfn.XLOOKUP(B292,Master[Product_Code],Master[Fabric])</f>
        <v>Denim</v>
      </c>
      <c r="G292" s="2">
        <f>_xlfn.XLOOKUP(B292,Master[Product_Code],Master[Size])</f>
        <v>42</v>
      </c>
      <c r="H292" s="2" t="str">
        <f>_xlfn.XLOOKUP(B292,Master[Product_Code],Master[Color])</f>
        <v>Maroon</v>
      </c>
      <c r="I292" s="4">
        <f>_xlfn.XLOOKUP(B292,Master[Product_Code],Master[Stock_Qty])</f>
        <v>4</v>
      </c>
      <c r="J292" s="6">
        <f>SUMIFS(
  Sales_Entry[Qty],
  Sales_Entry[Product_Code], Stock_Table[[#This Row],[Product_Code]]
)</f>
        <v>2</v>
      </c>
      <c r="K292" s="4">
        <f>SUMIFS(
  Exchange_Return[Qty],
  Exchange_Return[Product_Code], Stock_Table[[#This Row],[Product_Code]]
)</f>
        <v>0</v>
      </c>
      <c r="L292" s="4">
        <f>I292-J292+K292</f>
        <v>2</v>
      </c>
      <c r="M292" s="2" t="str" cm="1">
        <f t="array" ref="M292">_xlfn.IFS(L292=0,"Out of Stock",L292&gt;=2,"Limited Stock",L292&lt;2,"In Stock")</f>
        <v>Limited Stock</v>
      </c>
    </row>
    <row r="293" spans="2:13">
      <c r="B293" s="2" t="s">
        <v>841</v>
      </c>
      <c r="C293" s="5" t="str">
        <f>_xlfn.XLOOKUP(B293,Master[Product_Code],Master[Category])</f>
        <v>Jeans</v>
      </c>
      <c r="D293" s="2" t="str">
        <f>_xlfn.XLOOKUP(B293,Master[Product_Code],Master[Brand])</f>
        <v>Wrangler</v>
      </c>
      <c r="E293" s="2" t="str">
        <f>_xlfn.XLOOKUP(B293,Master[Product_Code],Master[Style])</f>
        <v>Baggy</v>
      </c>
      <c r="F293" s="2" t="str">
        <f>_xlfn.XLOOKUP(B293,Master[Product_Code],Master[Fabric])</f>
        <v>Denim</v>
      </c>
      <c r="G293" s="2">
        <f>_xlfn.XLOOKUP(B293,Master[Product_Code],Master[Size])</f>
        <v>30</v>
      </c>
      <c r="H293" s="2" t="str">
        <f>_xlfn.XLOOKUP(B293,Master[Product_Code],Master[Color])</f>
        <v>Navy Blue</v>
      </c>
      <c r="I293" s="4">
        <f>_xlfn.XLOOKUP(B293,Master[Product_Code],Master[Stock_Qty])</f>
        <v>4</v>
      </c>
      <c r="J293" s="6">
        <f>SUMIFS(
  Sales_Entry[Qty],
  Sales_Entry[Product_Code], Stock_Table[[#This Row],[Product_Code]]
)</f>
        <v>2</v>
      </c>
      <c r="K293" s="4">
        <f>SUMIFS(
  Exchange_Return[Qty],
  Exchange_Return[Product_Code], Stock_Table[[#This Row],[Product_Code]]
)</f>
        <v>0</v>
      </c>
      <c r="L293" s="4">
        <f>I293-J293+K293</f>
        <v>2</v>
      </c>
      <c r="M293" s="2" t="str" cm="1">
        <f t="array" ref="M293">_xlfn.IFS(L293=0,"Out of Stock",L293&gt;=2,"Limited Stock",L293&lt;2,"In Stock")</f>
        <v>Limited Stock</v>
      </c>
    </row>
    <row r="294" spans="2:13">
      <c r="B294" s="2" t="s">
        <v>842</v>
      </c>
      <c r="C294" s="5" t="str">
        <f>_xlfn.XLOOKUP(B294,Master[Product_Code],Master[Category])</f>
        <v>Jeans</v>
      </c>
      <c r="D294" s="2" t="str">
        <f>_xlfn.XLOOKUP(B294,Master[Product_Code],Master[Brand])</f>
        <v>Spykar</v>
      </c>
      <c r="E294" s="2" t="str">
        <f>_xlfn.XLOOKUP(B294,Master[Product_Code],Master[Style])</f>
        <v>Baggy</v>
      </c>
      <c r="F294" s="2" t="str">
        <f>_xlfn.XLOOKUP(B294,Master[Product_Code],Master[Fabric])</f>
        <v>Denim</v>
      </c>
      <c r="G294" s="2">
        <f>_xlfn.XLOOKUP(B294,Master[Product_Code],Master[Size])</f>
        <v>36</v>
      </c>
      <c r="H294" s="2" t="str">
        <f>_xlfn.XLOOKUP(B294,Master[Product_Code],Master[Color])</f>
        <v>Beige</v>
      </c>
      <c r="I294" s="4">
        <f>_xlfn.XLOOKUP(B294,Master[Product_Code],Master[Stock_Qty])</f>
        <v>6</v>
      </c>
      <c r="J294" s="6">
        <f>SUMIFS(
  Sales_Entry[Qty],
  Sales_Entry[Product_Code], Stock_Table[[#This Row],[Product_Code]]
)</f>
        <v>1</v>
      </c>
      <c r="K294" s="4">
        <f>SUMIFS(
  Exchange_Return[Qty],
  Exchange_Return[Product_Code], Stock_Table[[#This Row],[Product_Code]]
)</f>
        <v>0</v>
      </c>
      <c r="L294" s="4">
        <f>I294-J294+K294</f>
        <v>5</v>
      </c>
      <c r="M294" s="2" t="str" cm="1">
        <f t="array" ref="M294">_xlfn.IFS(L294=0,"Out of Stock",L294&gt;=2,"Limited Stock",L294&lt;2,"In Stock")</f>
        <v>Limited Stock</v>
      </c>
    </row>
    <row r="295" spans="2:13">
      <c r="B295" s="2" t="s">
        <v>844</v>
      </c>
      <c r="C295" s="5" t="str">
        <f>_xlfn.XLOOKUP(B295,Master[Product_Code],Master[Category])</f>
        <v>Jeans</v>
      </c>
      <c r="D295" s="2" t="str">
        <f>_xlfn.XLOOKUP(B295,Master[Product_Code],Master[Brand])</f>
        <v>Levis</v>
      </c>
      <c r="E295" s="2" t="str">
        <f>_xlfn.XLOOKUP(B295,Master[Product_Code],Master[Style])</f>
        <v>Baggy</v>
      </c>
      <c r="F295" s="2" t="str">
        <f>_xlfn.XLOOKUP(B295,Master[Product_Code],Master[Fabric])</f>
        <v>Denim</v>
      </c>
      <c r="G295" s="2">
        <f>_xlfn.XLOOKUP(B295,Master[Product_Code],Master[Size])</f>
        <v>40</v>
      </c>
      <c r="H295" s="2" t="str">
        <f>_xlfn.XLOOKUP(B295,Master[Product_Code],Master[Color])</f>
        <v>Olive</v>
      </c>
      <c r="I295" s="4">
        <f>_xlfn.XLOOKUP(B295,Master[Product_Code],Master[Stock_Qty])</f>
        <v>4</v>
      </c>
      <c r="J295" s="6">
        <f>SUMIFS(
  Sales_Entry[Qty],
  Sales_Entry[Product_Code], Stock_Table[[#This Row],[Product_Code]]
)</f>
        <v>1</v>
      </c>
      <c r="K295" s="4">
        <f>SUMIFS(
  Exchange_Return[Qty],
  Exchange_Return[Product_Code], Stock_Table[[#This Row],[Product_Code]]
)</f>
        <v>0</v>
      </c>
      <c r="L295" s="4">
        <f>I295-J295+K295</f>
        <v>3</v>
      </c>
      <c r="M295" s="2" t="str" cm="1">
        <f t="array" ref="M295">_xlfn.IFS(L295=0,"Out of Stock",L295&gt;=2,"Limited Stock",L295&lt;2,"In Stock")</f>
        <v>Limited Stock</v>
      </c>
    </row>
    <row r="296" spans="2:13">
      <c r="B296" s="2" t="s">
        <v>846</v>
      </c>
      <c r="C296" s="5" t="str">
        <f>_xlfn.XLOOKUP(B296,Master[Product_Code],Master[Category])</f>
        <v>Jeans</v>
      </c>
      <c r="D296" s="2" t="str">
        <f>_xlfn.XLOOKUP(B296,Master[Product_Code],Master[Brand])</f>
        <v>Pepe</v>
      </c>
      <c r="E296" s="2" t="str">
        <f>_xlfn.XLOOKUP(B296,Master[Product_Code],Master[Style])</f>
        <v>Mom Fit</v>
      </c>
      <c r="F296" s="2" t="str">
        <f>_xlfn.XLOOKUP(B296,Master[Product_Code],Master[Fabric])</f>
        <v>Denim</v>
      </c>
      <c r="G296" s="2">
        <f>_xlfn.XLOOKUP(B296,Master[Product_Code],Master[Size])</f>
        <v>36</v>
      </c>
      <c r="H296" s="2" t="str">
        <f>_xlfn.XLOOKUP(B296,Master[Product_Code],Master[Color])</f>
        <v>Navy Blue</v>
      </c>
      <c r="I296" s="4">
        <f>_xlfn.XLOOKUP(B296,Master[Product_Code],Master[Stock_Qty])</f>
        <v>4</v>
      </c>
      <c r="J296" s="6">
        <f>SUMIFS(
  Sales_Entry[Qty],
  Sales_Entry[Product_Code], Stock_Table[[#This Row],[Product_Code]]
)</f>
        <v>5</v>
      </c>
      <c r="K296" s="4">
        <f>SUMIFS(
  Exchange_Return[Qty],
  Exchange_Return[Product_Code], Stock_Table[[#This Row],[Product_Code]]
)</f>
        <v>1</v>
      </c>
      <c r="L296" s="4">
        <f>I296-J296+K296</f>
        <v>0</v>
      </c>
      <c r="M296" s="2" t="str" cm="1">
        <f t="array" ref="M296">_xlfn.IFS(L296=0,"Out of Stock",L296&gt;=2,"Limited Stock",L296&lt;2,"In Stock")</f>
        <v>Out of Stock</v>
      </c>
    </row>
    <row r="297" spans="2:13">
      <c r="B297" s="2" t="s">
        <v>848</v>
      </c>
      <c r="C297" s="5" t="str">
        <f>_xlfn.XLOOKUP(B297,Master[Product_Code],Master[Category])</f>
        <v>Jeans</v>
      </c>
      <c r="D297" s="2" t="str">
        <f>_xlfn.XLOOKUP(B297,Master[Product_Code],Master[Brand])</f>
        <v>Levis</v>
      </c>
      <c r="E297" s="2" t="str">
        <f>_xlfn.XLOOKUP(B297,Master[Product_Code],Master[Style])</f>
        <v>Mom Fit</v>
      </c>
      <c r="F297" s="2" t="str">
        <f>_xlfn.XLOOKUP(B297,Master[Product_Code],Master[Fabric])</f>
        <v>Denim</v>
      </c>
      <c r="G297" s="2">
        <f>_xlfn.XLOOKUP(B297,Master[Product_Code],Master[Size])</f>
        <v>30</v>
      </c>
      <c r="H297" s="2" t="str">
        <f>_xlfn.XLOOKUP(B297,Master[Product_Code],Master[Color])</f>
        <v>Peach</v>
      </c>
      <c r="I297" s="4">
        <f>_xlfn.XLOOKUP(B297,Master[Product_Code],Master[Stock_Qty])</f>
        <v>3</v>
      </c>
      <c r="J297" s="6">
        <f>SUMIFS(
  Sales_Entry[Qty],
  Sales_Entry[Product_Code], Stock_Table[[#This Row],[Product_Code]]
)</f>
        <v>2</v>
      </c>
      <c r="K297" s="4">
        <f>SUMIFS(
  Exchange_Return[Qty],
  Exchange_Return[Product_Code], Stock_Table[[#This Row],[Product_Code]]
)</f>
        <v>0</v>
      </c>
      <c r="L297" s="4">
        <f>I297-J297+K297</f>
        <v>1</v>
      </c>
      <c r="M297" s="2" t="str" cm="1">
        <f t="array" ref="M297">_xlfn.IFS(L297=0,"Out of Stock",L297&gt;=2,"Limited Stock",L297&lt;2,"In Stock")</f>
        <v>In Stock</v>
      </c>
    </row>
    <row r="298" spans="2:13">
      <c r="B298" s="2" t="s">
        <v>849</v>
      </c>
      <c r="C298" s="5" t="str">
        <f>_xlfn.XLOOKUP(B298,Master[Product_Code],Master[Category])</f>
        <v>Jeans</v>
      </c>
      <c r="D298" s="2" t="str">
        <f>_xlfn.XLOOKUP(B298,Master[Product_Code],Master[Brand])</f>
        <v>Levis</v>
      </c>
      <c r="E298" s="2" t="str">
        <f>_xlfn.XLOOKUP(B298,Master[Product_Code],Master[Style])</f>
        <v>Jogger</v>
      </c>
      <c r="F298" s="2" t="str">
        <f>_xlfn.XLOOKUP(B298,Master[Product_Code],Master[Fabric])</f>
        <v>Denim</v>
      </c>
      <c r="G298" s="2">
        <f>_xlfn.XLOOKUP(B298,Master[Product_Code],Master[Size])</f>
        <v>30</v>
      </c>
      <c r="H298" s="2" t="str">
        <f>_xlfn.XLOOKUP(B298,Master[Product_Code],Master[Color])</f>
        <v>Beige</v>
      </c>
      <c r="I298" s="4">
        <f>_xlfn.XLOOKUP(B298,Master[Product_Code],Master[Stock_Qty])</f>
        <v>4</v>
      </c>
      <c r="J298" s="6">
        <f>SUMIFS(
  Sales_Entry[Qty],
  Sales_Entry[Product_Code], Stock_Table[[#This Row],[Product_Code]]
)</f>
        <v>1</v>
      </c>
      <c r="K298" s="4">
        <f>SUMIFS(
  Exchange_Return[Qty],
  Exchange_Return[Product_Code], Stock_Table[[#This Row],[Product_Code]]
)</f>
        <v>0</v>
      </c>
      <c r="L298" s="4">
        <f>I298-J298+K298</f>
        <v>3</v>
      </c>
      <c r="M298" s="2" t="str" cm="1">
        <f t="array" ref="M298">_xlfn.IFS(L298=0,"Out of Stock",L298&gt;=2,"Limited Stock",L298&lt;2,"In Stock")</f>
        <v>Limited Stock</v>
      </c>
    </row>
    <row r="299" spans="2:13">
      <c r="B299" s="2" t="s">
        <v>851</v>
      </c>
      <c r="C299" s="5" t="str">
        <f>_xlfn.XLOOKUP(B299,Master[Product_Code],Master[Category])</f>
        <v>Jeans</v>
      </c>
      <c r="D299" s="2" t="str">
        <f>_xlfn.XLOOKUP(B299,Master[Product_Code],Master[Brand])</f>
        <v>Denim Pro</v>
      </c>
      <c r="E299" s="2" t="str">
        <f>_xlfn.XLOOKUP(B299,Master[Product_Code],Master[Style])</f>
        <v>Baggy</v>
      </c>
      <c r="F299" s="2" t="str">
        <f>_xlfn.XLOOKUP(B299,Master[Product_Code],Master[Fabric])</f>
        <v>Denim</v>
      </c>
      <c r="G299" s="2">
        <f>_xlfn.XLOOKUP(B299,Master[Product_Code],Master[Size])</f>
        <v>34</v>
      </c>
      <c r="H299" s="2" t="str">
        <f>_xlfn.XLOOKUP(B299,Master[Product_Code],Master[Color])</f>
        <v>Charcoal</v>
      </c>
      <c r="I299" s="4">
        <f>_xlfn.XLOOKUP(B299,Master[Product_Code],Master[Stock_Qty])</f>
        <v>5</v>
      </c>
      <c r="J299" s="6">
        <f>SUMIFS(
  Sales_Entry[Qty],
  Sales_Entry[Product_Code], Stock_Table[[#This Row],[Product_Code]]
)</f>
        <v>1</v>
      </c>
      <c r="K299" s="4">
        <f>SUMIFS(
  Exchange_Return[Qty],
  Exchange_Return[Product_Code], Stock_Table[[#This Row],[Product_Code]]
)</f>
        <v>0</v>
      </c>
      <c r="L299" s="4">
        <f>I299-J299+K299</f>
        <v>4</v>
      </c>
      <c r="M299" s="2" t="str" cm="1">
        <f t="array" ref="M299">_xlfn.IFS(L299=0,"Out of Stock",L299&gt;=2,"Limited Stock",L299&lt;2,"In Stock")</f>
        <v>Limited Stock</v>
      </c>
    </row>
    <row r="300" spans="2:13">
      <c r="B300" s="2" t="s">
        <v>853</v>
      </c>
      <c r="C300" s="5" t="str">
        <f>_xlfn.XLOOKUP(B300,Master[Product_Code],Master[Category])</f>
        <v>Jeans</v>
      </c>
      <c r="D300" s="2" t="str">
        <f>_xlfn.XLOOKUP(B300,Master[Product_Code],Master[Brand])</f>
        <v>Denim Pro</v>
      </c>
      <c r="E300" s="2" t="str">
        <f>_xlfn.XLOOKUP(B300,Master[Product_Code],Master[Style])</f>
        <v>Mom Fit</v>
      </c>
      <c r="F300" s="2" t="str">
        <f>_xlfn.XLOOKUP(B300,Master[Product_Code],Master[Fabric])</f>
        <v>Denim</v>
      </c>
      <c r="G300" s="2">
        <f>_xlfn.XLOOKUP(B300,Master[Product_Code],Master[Size])</f>
        <v>44</v>
      </c>
      <c r="H300" s="2" t="str">
        <f>_xlfn.XLOOKUP(B300,Master[Product_Code],Master[Color])</f>
        <v>Olive</v>
      </c>
      <c r="I300" s="4">
        <f>_xlfn.XLOOKUP(B300,Master[Product_Code],Master[Stock_Qty])</f>
        <v>3</v>
      </c>
      <c r="J300" s="6">
        <f>SUMIFS(
  Sales_Entry[Qty],
  Sales_Entry[Product_Code], Stock_Table[[#This Row],[Product_Code]]
)</f>
        <v>0</v>
      </c>
      <c r="K300" s="4">
        <f>SUMIFS(
  Exchange_Return[Qty],
  Exchange_Return[Product_Code], Stock_Table[[#This Row],[Product_Code]]
)</f>
        <v>0</v>
      </c>
      <c r="L300" s="4">
        <f>I300-J300+K300</f>
        <v>3</v>
      </c>
      <c r="M300" s="2" t="str" cm="1">
        <f t="array" ref="M300">_xlfn.IFS(L300=0,"Out of Stock",L300&gt;=2,"Limited Stock",L300&lt;2,"In Stock")</f>
        <v>Limited Stock</v>
      </c>
    </row>
    <row r="301" spans="2:13">
      <c r="B301" s="2" t="s">
        <v>854</v>
      </c>
      <c r="C301" s="5" t="str">
        <f>_xlfn.XLOOKUP(B301,Master[Product_Code],Master[Category])</f>
        <v>Jeans</v>
      </c>
      <c r="D301" s="2" t="str">
        <f>_xlfn.XLOOKUP(B301,Master[Product_Code],Master[Brand])</f>
        <v>Denim Pro</v>
      </c>
      <c r="E301" s="2" t="str">
        <f>_xlfn.XLOOKUP(B301,Master[Product_Code],Master[Style])</f>
        <v>Baggy</v>
      </c>
      <c r="F301" s="2" t="str">
        <f>_xlfn.XLOOKUP(B301,Master[Product_Code],Master[Fabric])</f>
        <v>Denim</v>
      </c>
      <c r="G301" s="2">
        <f>_xlfn.XLOOKUP(B301,Master[Product_Code],Master[Size])</f>
        <v>42</v>
      </c>
      <c r="H301" s="2" t="str">
        <f>_xlfn.XLOOKUP(B301,Master[Product_Code],Master[Color])</f>
        <v>Cream</v>
      </c>
      <c r="I301" s="4">
        <f>_xlfn.XLOOKUP(B301,Master[Product_Code],Master[Stock_Qty])</f>
        <v>5</v>
      </c>
      <c r="J301" s="6">
        <f>SUMIFS(
  Sales_Entry[Qty],
  Sales_Entry[Product_Code], Stock_Table[[#This Row],[Product_Code]]
)</f>
        <v>1</v>
      </c>
      <c r="K301" s="4">
        <f>SUMIFS(
  Exchange_Return[Qty],
  Exchange_Return[Product_Code], Stock_Table[[#This Row],[Product_Code]]
)</f>
        <v>0</v>
      </c>
      <c r="L301" s="4">
        <f>I301-J301+K301</f>
        <v>4</v>
      </c>
      <c r="M301" s="2" t="str" cm="1">
        <f t="array" ref="M301">_xlfn.IFS(L301=0,"Out of Stock",L301&gt;=2,"Limited Stock",L301&lt;2,"In Stock")</f>
        <v>Limited Stock</v>
      </c>
    </row>
    <row r="302" spans="2:13">
      <c r="B302" s="2" t="s">
        <v>855</v>
      </c>
      <c r="C302" s="5" t="str">
        <f>_xlfn.XLOOKUP(B302,Master[Product_Code],Master[Category])</f>
        <v>Jeans</v>
      </c>
      <c r="D302" s="2" t="str">
        <f>_xlfn.XLOOKUP(B302,Master[Product_Code],Master[Brand])</f>
        <v>Levis</v>
      </c>
      <c r="E302" s="2" t="str">
        <f>_xlfn.XLOOKUP(B302,Master[Product_Code],Master[Style])</f>
        <v>Mom Fit</v>
      </c>
      <c r="F302" s="2" t="str">
        <f>_xlfn.XLOOKUP(B302,Master[Product_Code],Master[Fabric])</f>
        <v>Denim</v>
      </c>
      <c r="G302" s="2">
        <f>_xlfn.XLOOKUP(B302,Master[Product_Code],Master[Size])</f>
        <v>42</v>
      </c>
      <c r="H302" s="2" t="str">
        <f>_xlfn.XLOOKUP(B302,Master[Product_Code],Master[Color])</f>
        <v>Light Grey</v>
      </c>
      <c r="I302" s="4">
        <f>_xlfn.XLOOKUP(B302,Master[Product_Code],Master[Stock_Qty])</f>
        <v>6</v>
      </c>
      <c r="J302" s="6">
        <f>SUMIFS(
  Sales_Entry[Qty],
  Sales_Entry[Product_Code], Stock_Table[[#This Row],[Product_Code]]
)</f>
        <v>3</v>
      </c>
      <c r="K302" s="4">
        <f>SUMIFS(
  Exchange_Return[Qty],
  Exchange_Return[Product_Code], Stock_Table[[#This Row],[Product_Code]]
)</f>
        <v>0</v>
      </c>
      <c r="L302" s="4">
        <f>I302-J302+K302</f>
        <v>3</v>
      </c>
      <c r="M302" s="2" t="str" cm="1">
        <f t="array" ref="M302">_xlfn.IFS(L302=0,"Out of Stock",L302&gt;=2,"Limited Stock",L302&lt;2,"In Stock")</f>
        <v>Limited Stock</v>
      </c>
    </row>
    <row r="303" spans="2:13">
      <c r="B303" s="2" t="s">
        <v>856</v>
      </c>
      <c r="C303" s="5" t="str">
        <f>_xlfn.XLOOKUP(B303,Master[Product_Code],Master[Category])</f>
        <v>Jeans</v>
      </c>
      <c r="D303" s="2" t="str">
        <f>_xlfn.XLOOKUP(B303,Master[Product_Code],Master[Brand])</f>
        <v>Denim Pro</v>
      </c>
      <c r="E303" s="2" t="str">
        <f>_xlfn.XLOOKUP(B303,Master[Product_Code],Master[Style])</f>
        <v>Jogger</v>
      </c>
      <c r="F303" s="2" t="str">
        <f>_xlfn.XLOOKUP(B303,Master[Product_Code],Master[Fabric])</f>
        <v>Denim</v>
      </c>
      <c r="G303" s="2">
        <f>_xlfn.XLOOKUP(B303,Master[Product_Code],Master[Size])</f>
        <v>38</v>
      </c>
      <c r="H303" s="2" t="str">
        <f>_xlfn.XLOOKUP(B303,Master[Product_Code],Master[Color])</f>
        <v>Peach</v>
      </c>
      <c r="I303" s="4">
        <f>_xlfn.XLOOKUP(B303,Master[Product_Code],Master[Stock_Qty])</f>
        <v>4</v>
      </c>
      <c r="J303" s="6">
        <f>SUMIFS(
  Sales_Entry[Qty],
  Sales_Entry[Product_Code], Stock_Table[[#This Row],[Product_Code]]
)</f>
        <v>1</v>
      </c>
      <c r="K303" s="4">
        <f>SUMIFS(
  Exchange_Return[Qty],
  Exchange_Return[Product_Code], Stock_Table[[#This Row],[Product_Code]]
)</f>
        <v>0</v>
      </c>
      <c r="L303" s="4">
        <f>I303-J303+K303</f>
        <v>3</v>
      </c>
      <c r="M303" s="2" t="str" cm="1">
        <f t="array" ref="M303">_xlfn.IFS(L303=0,"Out of Stock",L303&gt;=2,"Limited Stock",L303&lt;2,"In Stock")</f>
        <v>Limited Stock</v>
      </c>
    </row>
    <row r="304" spans="2:13">
      <c r="B304" s="2" t="s">
        <v>857</v>
      </c>
      <c r="C304" s="5" t="str">
        <f>_xlfn.XLOOKUP(B304,Master[Product_Code],Master[Category])</f>
        <v>Jeans</v>
      </c>
      <c r="D304" s="2" t="str">
        <f>_xlfn.XLOOKUP(B304,Master[Product_Code],Master[Brand])</f>
        <v>Pepe</v>
      </c>
      <c r="E304" s="2" t="str">
        <f>_xlfn.XLOOKUP(B304,Master[Product_Code],Master[Style])</f>
        <v>Baggy</v>
      </c>
      <c r="F304" s="2" t="str">
        <f>_xlfn.XLOOKUP(B304,Master[Product_Code],Master[Fabric])</f>
        <v>Denim</v>
      </c>
      <c r="G304" s="2">
        <f>_xlfn.XLOOKUP(B304,Master[Product_Code],Master[Size])</f>
        <v>38</v>
      </c>
      <c r="H304" s="2" t="str">
        <f>_xlfn.XLOOKUP(B304,Master[Product_Code],Master[Color])</f>
        <v>Bottle Green</v>
      </c>
      <c r="I304" s="4">
        <f>_xlfn.XLOOKUP(B304,Master[Product_Code],Master[Stock_Qty])</f>
        <v>5</v>
      </c>
      <c r="J304" s="6">
        <f>SUMIFS(
  Sales_Entry[Qty],
  Sales_Entry[Product_Code], Stock_Table[[#This Row],[Product_Code]]
)</f>
        <v>4</v>
      </c>
      <c r="K304" s="4">
        <f>SUMIFS(
  Exchange_Return[Qty],
  Exchange_Return[Product_Code], Stock_Table[[#This Row],[Product_Code]]
)</f>
        <v>0</v>
      </c>
      <c r="L304" s="4">
        <f>I304-J304+K304</f>
        <v>1</v>
      </c>
      <c r="M304" s="2" t="str" cm="1">
        <f t="array" ref="M304">_xlfn.IFS(L304=0,"Out of Stock",L304&gt;=2,"Limited Stock",L304&lt;2,"In Stock")</f>
        <v>In Stock</v>
      </c>
    </row>
    <row r="305" spans="2:13">
      <c r="B305" s="2" t="s">
        <v>858</v>
      </c>
      <c r="C305" s="5" t="str">
        <f>_xlfn.XLOOKUP(B305,Master[Product_Code],Master[Category])</f>
        <v>Jeans</v>
      </c>
      <c r="D305" s="2" t="str">
        <f>_xlfn.XLOOKUP(B305,Master[Product_Code],Master[Brand])</f>
        <v>Wrangler</v>
      </c>
      <c r="E305" s="2" t="str">
        <f>_xlfn.XLOOKUP(B305,Master[Product_Code],Master[Style])</f>
        <v>Mom Fit</v>
      </c>
      <c r="F305" s="2" t="str">
        <f>_xlfn.XLOOKUP(B305,Master[Product_Code],Master[Fabric])</f>
        <v>Denim</v>
      </c>
      <c r="G305" s="2">
        <f>_xlfn.XLOOKUP(B305,Master[Product_Code],Master[Size])</f>
        <v>44</v>
      </c>
      <c r="H305" s="2" t="str">
        <f>_xlfn.XLOOKUP(B305,Master[Product_Code],Master[Color])</f>
        <v>Maroon</v>
      </c>
      <c r="I305" s="4">
        <f>_xlfn.XLOOKUP(B305,Master[Product_Code],Master[Stock_Qty])</f>
        <v>5</v>
      </c>
      <c r="J305" s="6">
        <f>SUMIFS(
  Sales_Entry[Qty],
  Sales_Entry[Product_Code], Stock_Table[[#This Row],[Product_Code]]
)</f>
        <v>1</v>
      </c>
      <c r="K305" s="4">
        <f>SUMIFS(
  Exchange_Return[Qty],
  Exchange_Return[Product_Code], Stock_Table[[#This Row],[Product_Code]]
)</f>
        <v>0</v>
      </c>
      <c r="L305" s="4">
        <f>I305-J305+K305</f>
        <v>4</v>
      </c>
      <c r="M305" s="2" t="str" cm="1">
        <f t="array" ref="M305">_xlfn.IFS(L305=0,"Out of Stock",L305&gt;=2,"Limited Stock",L305&lt;2,"In Stock")</f>
        <v>Limited Stock</v>
      </c>
    </row>
    <row r="306" spans="2:13">
      <c r="B306" s="2" t="s">
        <v>859</v>
      </c>
      <c r="C306" s="5" t="str">
        <f>_xlfn.XLOOKUP(B306,Master[Product_Code],Master[Category])</f>
        <v>Jeans</v>
      </c>
      <c r="D306" s="2" t="str">
        <f>_xlfn.XLOOKUP(B306,Master[Product_Code],Master[Brand])</f>
        <v>Levis</v>
      </c>
      <c r="E306" s="2" t="str">
        <f>_xlfn.XLOOKUP(B306,Master[Product_Code],Master[Style])</f>
        <v>Jogger</v>
      </c>
      <c r="F306" s="2" t="str">
        <f>_xlfn.XLOOKUP(B306,Master[Product_Code],Master[Fabric])</f>
        <v>Denim</v>
      </c>
      <c r="G306" s="2">
        <f>_xlfn.XLOOKUP(B306,Master[Product_Code],Master[Size])</f>
        <v>42</v>
      </c>
      <c r="H306" s="2" t="str">
        <f>_xlfn.XLOOKUP(B306,Master[Product_Code],Master[Color])</f>
        <v>Peach</v>
      </c>
      <c r="I306" s="4">
        <f>_xlfn.XLOOKUP(B306,Master[Product_Code],Master[Stock_Qty])</f>
        <v>5</v>
      </c>
      <c r="J306" s="6">
        <f>SUMIFS(
  Sales_Entry[Qty],
  Sales_Entry[Product_Code], Stock_Table[[#This Row],[Product_Code]]
)</f>
        <v>4</v>
      </c>
      <c r="K306" s="4">
        <f>SUMIFS(
  Exchange_Return[Qty],
  Exchange_Return[Product_Code], Stock_Table[[#This Row],[Product_Code]]
)</f>
        <v>0</v>
      </c>
      <c r="L306" s="4">
        <f>I306-J306+K306</f>
        <v>1</v>
      </c>
      <c r="M306" s="2" t="str" cm="1">
        <f t="array" ref="M306">_xlfn.IFS(L306=0,"Out of Stock",L306&gt;=2,"Limited Stock",L306&lt;2,"In Stock")</f>
        <v>In Stock</v>
      </c>
    </row>
    <row r="307" spans="2:13">
      <c r="B307" s="2" t="s">
        <v>860</v>
      </c>
      <c r="C307" s="5" t="str">
        <f>_xlfn.XLOOKUP(B307,Master[Product_Code],Master[Category])</f>
        <v>Jeans</v>
      </c>
      <c r="D307" s="2" t="str">
        <f>_xlfn.XLOOKUP(B307,Master[Product_Code],Master[Brand])</f>
        <v>Levis</v>
      </c>
      <c r="E307" s="2" t="str">
        <f>_xlfn.XLOOKUP(B307,Master[Product_Code],Master[Style])</f>
        <v>Baggy</v>
      </c>
      <c r="F307" s="2" t="str">
        <f>_xlfn.XLOOKUP(B307,Master[Product_Code],Master[Fabric])</f>
        <v>Denim</v>
      </c>
      <c r="G307" s="2">
        <f>_xlfn.XLOOKUP(B307,Master[Product_Code],Master[Size])</f>
        <v>28</v>
      </c>
      <c r="H307" s="2" t="str">
        <f>_xlfn.XLOOKUP(B307,Master[Product_Code],Master[Color])</f>
        <v>Dark Green</v>
      </c>
      <c r="I307" s="4">
        <f>_xlfn.XLOOKUP(B307,Master[Product_Code],Master[Stock_Qty])</f>
        <v>5</v>
      </c>
      <c r="J307" s="6">
        <f>SUMIFS(
  Sales_Entry[Qty],
  Sales_Entry[Product_Code], Stock_Table[[#This Row],[Product_Code]]
)</f>
        <v>1</v>
      </c>
      <c r="K307" s="4">
        <f>SUMIFS(
  Exchange_Return[Qty],
  Exchange_Return[Product_Code], Stock_Table[[#This Row],[Product_Code]]
)</f>
        <v>0</v>
      </c>
      <c r="L307" s="4">
        <f>I307-J307+K307</f>
        <v>4</v>
      </c>
      <c r="M307" s="2" t="str" cm="1">
        <f t="array" ref="M307">_xlfn.IFS(L307=0,"Out of Stock",L307&gt;=2,"Limited Stock",L307&lt;2,"In Stock")</f>
        <v>Limited Stock</v>
      </c>
    </row>
    <row r="308" spans="2:13">
      <c r="B308" s="2" t="s">
        <v>861</v>
      </c>
      <c r="C308" s="5" t="str">
        <f>_xlfn.XLOOKUP(B308,Master[Product_Code],Master[Category])</f>
        <v>Jeans</v>
      </c>
      <c r="D308" s="2" t="str">
        <f>_xlfn.XLOOKUP(B308,Master[Product_Code],Master[Brand])</f>
        <v>Levis</v>
      </c>
      <c r="E308" s="2" t="str">
        <f>_xlfn.XLOOKUP(B308,Master[Product_Code],Master[Style])</f>
        <v>Jogger</v>
      </c>
      <c r="F308" s="2" t="str">
        <f>_xlfn.XLOOKUP(B308,Master[Product_Code],Master[Fabric])</f>
        <v>Denim</v>
      </c>
      <c r="G308" s="2">
        <f>_xlfn.XLOOKUP(B308,Master[Product_Code],Master[Size])</f>
        <v>40</v>
      </c>
      <c r="H308" s="2" t="str">
        <f>_xlfn.XLOOKUP(B308,Master[Product_Code],Master[Color])</f>
        <v>Charcoal</v>
      </c>
      <c r="I308" s="4">
        <f>_xlfn.XLOOKUP(B308,Master[Product_Code],Master[Stock_Qty])</f>
        <v>4</v>
      </c>
      <c r="J308" s="6">
        <f>SUMIFS(
  Sales_Entry[Qty],
  Sales_Entry[Product_Code], Stock_Table[[#This Row],[Product_Code]]
)</f>
        <v>3</v>
      </c>
      <c r="K308" s="4">
        <f>SUMIFS(
  Exchange_Return[Qty],
  Exchange_Return[Product_Code], Stock_Table[[#This Row],[Product_Code]]
)</f>
        <v>0</v>
      </c>
      <c r="L308" s="4">
        <f>I308-J308+K308</f>
        <v>1</v>
      </c>
      <c r="M308" s="2" t="str" cm="1">
        <f t="array" ref="M308">_xlfn.IFS(L308=0,"Out of Stock",L308&gt;=2,"Limited Stock",L308&lt;2,"In Stock")</f>
        <v>In Stock</v>
      </c>
    </row>
    <row r="309" spans="2:13">
      <c r="B309" s="2" t="s">
        <v>862</v>
      </c>
      <c r="C309" s="5" t="str">
        <f>_xlfn.XLOOKUP(B309,Master[Product_Code],Master[Category])</f>
        <v>Jeans</v>
      </c>
      <c r="D309" s="2" t="str">
        <f>_xlfn.XLOOKUP(B309,Master[Product_Code],Master[Brand])</f>
        <v>Denim Pro</v>
      </c>
      <c r="E309" s="2" t="str">
        <f>_xlfn.XLOOKUP(B309,Master[Product_Code],Master[Style])</f>
        <v>Jogger</v>
      </c>
      <c r="F309" s="2" t="str">
        <f>_xlfn.XLOOKUP(B309,Master[Product_Code],Master[Fabric])</f>
        <v>Denim</v>
      </c>
      <c r="G309" s="2">
        <f>_xlfn.XLOOKUP(B309,Master[Product_Code],Master[Size])</f>
        <v>40</v>
      </c>
      <c r="H309" s="2" t="str">
        <f>_xlfn.XLOOKUP(B309,Master[Product_Code],Master[Color])</f>
        <v>Charcoal</v>
      </c>
      <c r="I309" s="4">
        <f>_xlfn.XLOOKUP(B309,Master[Product_Code],Master[Stock_Qty])</f>
        <v>5</v>
      </c>
      <c r="J309" s="6">
        <f>SUMIFS(
  Sales_Entry[Qty],
  Sales_Entry[Product_Code], Stock_Table[[#This Row],[Product_Code]]
)</f>
        <v>2</v>
      </c>
      <c r="K309" s="4">
        <f>SUMIFS(
  Exchange_Return[Qty],
  Exchange_Return[Product_Code], Stock_Table[[#This Row],[Product_Code]]
)</f>
        <v>0</v>
      </c>
      <c r="L309" s="4">
        <f>I309-J309+K309</f>
        <v>3</v>
      </c>
      <c r="M309" s="2" t="str" cm="1">
        <f t="array" ref="M309">_xlfn.IFS(L309=0,"Out of Stock",L309&gt;=2,"Limited Stock",L309&lt;2,"In Stock")</f>
        <v>Limited Stock</v>
      </c>
    </row>
    <row r="310" spans="2:13">
      <c r="B310" s="2" t="s">
        <v>863</v>
      </c>
      <c r="C310" s="5" t="str">
        <f>_xlfn.XLOOKUP(B310,Master[Product_Code],Master[Category])</f>
        <v>Jeans</v>
      </c>
      <c r="D310" s="2" t="str">
        <f>_xlfn.XLOOKUP(B310,Master[Product_Code],Master[Brand])</f>
        <v>Levis</v>
      </c>
      <c r="E310" s="2" t="str">
        <f>_xlfn.XLOOKUP(B310,Master[Product_Code],Master[Style])</f>
        <v>Jogger</v>
      </c>
      <c r="F310" s="2" t="str">
        <f>_xlfn.XLOOKUP(B310,Master[Product_Code],Master[Fabric])</f>
        <v>Denim</v>
      </c>
      <c r="G310" s="2">
        <f>_xlfn.XLOOKUP(B310,Master[Product_Code],Master[Size])</f>
        <v>44</v>
      </c>
      <c r="H310" s="2" t="str">
        <f>_xlfn.XLOOKUP(B310,Master[Product_Code],Master[Color])</f>
        <v>Royal Blue</v>
      </c>
      <c r="I310" s="4">
        <f>_xlfn.XLOOKUP(B310,Master[Product_Code],Master[Stock_Qty])</f>
        <v>5</v>
      </c>
      <c r="J310" s="6">
        <f>SUMIFS(
  Sales_Entry[Qty],
  Sales_Entry[Product_Code], Stock_Table[[#This Row],[Product_Code]]
)</f>
        <v>2</v>
      </c>
      <c r="K310" s="4">
        <f>SUMIFS(
  Exchange_Return[Qty],
  Exchange_Return[Product_Code], Stock_Table[[#This Row],[Product_Code]]
)</f>
        <v>0</v>
      </c>
      <c r="L310" s="4">
        <f>I310-J310+K310</f>
        <v>3</v>
      </c>
      <c r="M310" s="2" t="str" cm="1">
        <f t="array" ref="M310">_xlfn.IFS(L310=0,"Out of Stock",L310&gt;=2,"Limited Stock",L310&lt;2,"In Stock")</f>
        <v>Limited Stock</v>
      </c>
    </row>
    <row r="311" spans="2:13">
      <c r="B311" s="2" t="s">
        <v>864</v>
      </c>
      <c r="C311" s="5" t="str">
        <f>_xlfn.XLOOKUP(B311,Master[Product_Code],Master[Category])</f>
        <v>Jeans</v>
      </c>
      <c r="D311" s="2" t="str">
        <f>_xlfn.XLOOKUP(B311,Master[Product_Code],Master[Brand])</f>
        <v>Denim Pro</v>
      </c>
      <c r="E311" s="2" t="str">
        <f>_xlfn.XLOOKUP(B311,Master[Product_Code],Master[Style])</f>
        <v>Jogger</v>
      </c>
      <c r="F311" s="2" t="str">
        <f>_xlfn.XLOOKUP(B311,Master[Product_Code],Master[Fabric])</f>
        <v>Denim</v>
      </c>
      <c r="G311" s="2">
        <f>_xlfn.XLOOKUP(B311,Master[Product_Code],Master[Size])</f>
        <v>40</v>
      </c>
      <c r="H311" s="2" t="str">
        <f>_xlfn.XLOOKUP(B311,Master[Product_Code],Master[Color])</f>
        <v>Grey</v>
      </c>
      <c r="I311" s="4">
        <f>_xlfn.XLOOKUP(B311,Master[Product_Code],Master[Stock_Qty])</f>
        <v>3</v>
      </c>
      <c r="J311" s="6">
        <f>SUMIFS(
  Sales_Entry[Qty],
  Sales_Entry[Product_Code], Stock_Table[[#This Row],[Product_Code]]
)</f>
        <v>2</v>
      </c>
      <c r="K311" s="4">
        <f>SUMIFS(
  Exchange_Return[Qty],
  Exchange_Return[Product_Code], Stock_Table[[#This Row],[Product_Code]]
)</f>
        <v>0</v>
      </c>
      <c r="L311" s="4">
        <f>I311-J311+K311</f>
        <v>1</v>
      </c>
      <c r="M311" s="2" t="str" cm="1">
        <f t="array" ref="M311">_xlfn.IFS(L311=0,"Out of Stock",L311&gt;=2,"Limited Stock",L311&lt;2,"In Stock")</f>
        <v>In Stock</v>
      </c>
    </row>
    <row r="312" spans="2:13">
      <c r="B312" s="2" t="s">
        <v>865</v>
      </c>
      <c r="C312" s="5" t="str">
        <f>_xlfn.XLOOKUP(B312,Master[Product_Code],Master[Category])</f>
        <v>Jeans</v>
      </c>
      <c r="D312" s="2" t="str">
        <f>_xlfn.XLOOKUP(B312,Master[Product_Code],Master[Brand])</f>
        <v>Spykar</v>
      </c>
      <c r="E312" s="2" t="str">
        <f>_xlfn.XLOOKUP(B312,Master[Product_Code],Master[Style])</f>
        <v>Baggy</v>
      </c>
      <c r="F312" s="2" t="str">
        <f>_xlfn.XLOOKUP(B312,Master[Product_Code],Master[Fabric])</f>
        <v>Denim</v>
      </c>
      <c r="G312" s="2">
        <f>_xlfn.XLOOKUP(B312,Master[Product_Code],Master[Size])</f>
        <v>42</v>
      </c>
      <c r="H312" s="2" t="str">
        <f>_xlfn.XLOOKUP(B312,Master[Product_Code],Master[Color])</f>
        <v>Royal Blue</v>
      </c>
      <c r="I312" s="4">
        <f>_xlfn.XLOOKUP(B312,Master[Product_Code],Master[Stock_Qty])</f>
        <v>6</v>
      </c>
      <c r="J312" s="6">
        <f>SUMIFS(
  Sales_Entry[Qty],
  Sales_Entry[Product_Code], Stock_Table[[#This Row],[Product_Code]]
)</f>
        <v>3</v>
      </c>
      <c r="K312" s="4">
        <f>SUMIFS(
  Exchange_Return[Qty],
  Exchange_Return[Product_Code], Stock_Table[[#This Row],[Product_Code]]
)</f>
        <v>0</v>
      </c>
      <c r="L312" s="4">
        <f>I312-J312+K312</f>
        <v>3</v>
      </c>
      <c r="M312" s="2" t="str" cm="1">
        <f t="array" ref="M312">_xlfn.IFS(L312=0,"Out of Stock",L312&gt;=2,"Limited Stock",L312&lt;2,"In Stock")</f>
        <v>Limited Stock</v>
      </c>
    </row>
    <row r="313" spans="2:13">
      <c r="B313" s="2" t="s">
        <v>866</v>
      </c>
      <c r="C313" s="5" t="str">
        <f>_xlfn.XLOOKUP(B313,Master[Product_Code],Master[Category])</f>
        <v>Jeans</v>
      </c>
      <c r="D313" s="2" t="str">
        <f>_xlfn.XLOOKUP(B313,Master[Product_Code],Master[Brand])</f>
        <v>Denim Pro</v>
      </c>
      <c r="E313" s="2" t="str">
        <f>_xlfn.XLOOKUP(B313,Master[Product_Code],Master[Style])</f>
        <v>Jogger</v>
      </c>
      <c r="F313" s="2" t="str">
        <f>_xlfn.XLOOKUP(B313,Master[Product_Code],Master[Fabric])</f>
        <v>Denim</v>
      </c>
      <c r="G313" s="2">
        <f>_xlfn.XLOOKUP(B313,Master[Product_Code],Master[Size])</f>
        <v>34</v>
      </c>
      <c r="H313" s="2" t="str">
        <f>_xlfn.XLOOKUP(B313,Master[Product_Code],Master[Color])</f>
        <v>Mustard</v>
      </c>
      <c r="I313" s="4">
        <f>_xlfn.XLOOKUP(B313,Master[Product_Code],Master[Stock_Qty])</f>
        <v>3</v>
      </c>
      <c r="J313" s="6">
        <f>SUMIFS(
  Sales_Entry[Qty],
  Sales_Entry[Product_Code], Stock_Table[[#This Row],[Product_Code]]
)</f>
        <v>1</v>
      </c>
      <c r="K313" s="4">
        <f>SUMIFS(
  Exchange_Return[Qty],
  Exchange_Return[Product_Code], Stock_Table[[#This Row],[Product_Code]]
)</f>
        <v>0</v>
      </c>
      <c r="L313" s="4">
        <f>I313-J313+K313</f>
        <v>2</v>
      </c>
      <c r="M313" s="2" t="str" cm="1">
        <f t="array" ref="M313">_xlfn.IFS(L313=0,"Out of Stock",L313&gt;=2,"Limited Stock",L313&lt;2,"In Stock")</f>
        <v>Limited Stock</v>
      </c>
    </row>
    <row r="314" spans="2:13">
      <c r="B314" s="2" t="s">
        <v>867</v>
      </c>
      <c r="C314" s="5" t="str">
        <f>_xlfn.XLOOKUP(B314,Master[Product_Code],Master[Category])</f>
        <v>Jeans</v>
      </c>
      <c r="D314" s="2" t="str">
        <f>_xlfn.XLOOKUP(B314,Master[Product_Code],Master[Brand])</f>
        <v>Pepe</v>
      </c>
      <c r="E314" s="2" t="str">
        <f>_xlfn.XLOOKUP(B314,Master[Product_Code],Master[Style])</f>
        <v>Jogger</v>
      </c>
      <c r="F314" s="2" t="str">
        <f>_xlfn.XLOOKUP(B314,Master[Product_Code],Master[Fabric])</f>
        <v>Denim</v>
      </c>
      <c r="G314" s="2">
        <f>_xlfn.XLOOKUP(B314,Master[Product_Code],Master[Size])</f>
        <v>32</v>
      </c>
      <c r="H314" s="2" t="str">
        <f>_xlfn.XLOOKUP(B314,Master[Product_Code],Master[Color])</f>
        <v>Sky Blue</v>
      </c>
      <c r="I314" s="4">
        <f>_xlfn.XLOOKUP(B314,Master[Product_Code],Master[Stock_Qty])</f>
        <v>5</v>
      </c>
      <c r="J314" s="6">
        <f>SUMIFS(
  Sales_Entry[Qty],
  Sales_Entry[Product_Code], Stock_Table[[#This Row],[Product_Code]]
)</f>
        <v>2</v>
      </c>
      <c r="K314" s="4">
        <f>SUMIFS(
  Exchange_Return[Qty],
  Exchange_Return[Product_Code], Stock_Table[[#This Row],[Product_Code]]
)</f>
        <v>0</v>
      </c>
      <c r="L314" s="4">
        <f>I314-J314+K314</f>
        <v>3</v>
      </c>
      <c r="M314" s="2" t="str" cm="1">
        <f t="array" ref="M314">_xlfn.IFS(L314=0,"Out of Stock",L314&gt;=2,"Limited Stock",L314&lt;2,"In Stock")</f>
        <v>Limited Stock</v>
      </c>
    </row>
    <row r="315" spans="2:13">
      <c r="B315" s="2" t="s">
        <v>868</v>
      </c>
      <c r="C315" s="5" t="str">
        <f>_xlfn.XLOOKUP(B315,Master[Product_Code],Master[Category])</f>
        <v>Jeans</v>
      </c>
      <c r="D315" s="2" t="str">
        <f>_xlfn.XLOOKUP(B315,Master[Product_Code],Master[Brand])</f>
        <v>Spykar</v>
      </c>
      <c r="E315" s="2" t="str">
        <f>_xlfn.XLOOKUP(B315,Master[Product_Code],Master[Style])</f>
        <v>Jogger</v>
      </c>
      <c r="F315" s="2" t="str">
        <f>_xlfn.XLOOKUP(B315,Master[Product_Code],Master[Fabric])</f>
        <v>Denim</v>
      </c>
      <c r="G315" s="2">
        <f>_xlfn.XLOOKUP(B315,Master[Product_Code],Master[Size])</f>
        <v>28</v>
      </c>
      <c r="H315" s="2" t="str">
        <f>_xlfn.XLOOKUP(B315,Master[Product_Code],Master[Color])</f>
        <v>Charcoal</v>
      </c>
      <c r="I315" s="4">
        <f>_xlfn.XLOOKUP(B315,Master[Product_Code],Master[Stock_Qty])</f>
        <v>3</v>
      </c>
      <c r="J315" s="6">
        <f>SUMIFS(
  Sales_Entry[Qty],
  Sales_Entry[Product_Code], Stock_Table[[#This Row],[Product_Code]]
)</f>
        <v>1</v>
      </c>
      <c r="K315" s="4">
        <f>SUMIFS(
  Exchange_Return[Qty],
  Exchange_Return[Product_Code], Stock_Table[[#This Row],[Product_Code]]
)</f>
        <v>0</v>
      </c>
      <c r="L315" s="4">
        <f>I315-J315+K315</f>
        <v>2</v>
      </c>
      <c r="M315" s="2" t="str" cm="1">
        <f t="array" ref="M315">_xlfn.IFS(L315=0,"Out of Stock",L315&gt;=2,"Limited Stock",L315&lt;2,"In Stock")</f>
        <v>Limited Stock</v>
      </c>
    </row>
    <row r="316" spans="2:13">
      <c r="B316" s="2" t="s">
        <v>869</v>
      </c>
      <c r="C316" s="5" t="str">
        <f>_xlfn.XLOOKUP(B316,Master[Product_Code],Master[Category])</f>
        <v>Jeans</v>
      </c>
      <c r="D316" s="2" t="str">
        <f>_xlfn.XLOOKUP(B316,Master[Product_Code],Master[Brand])</f>
        <v>Pepe</v>
      </c>
      <c r="E316" s="2" t="str">
        <f>_xlfn.XLOOKUP(B316,Master[Product_Code],Master[Style])</f>
        <v>Baggy</v>
      </c>
      <c r="F316" s="2" t="str">
        <f>_xlfn.XLOOKUP(B316,Master[Product_Code],Master[Fabric])</f>
        <v>Denim</v>
      </c>
      <c r="G316" s="2">
        <f>_xlfn.XLOOKUP(B316,Master[Product_Code],Master[Size])</f>
        <v>38</v>
      </c>
      <c r="H316" s="2" t="str">
        <f>_xlfn.XLOOKUP(B316,Master[Product_Code],Master[Color])</f>
        <v>Bottle Green</v>
      </c>
      <c r="I316" s="4">
        <f>_xlfn.XLOOKUP(B316,Master[Product_Code],Master[Stock_Qty])</f>
        <v>5</v>
      </c>
      <c r="J316" s="6">
        <f>SUMIFS(
  Sales_Entry[Qty],
  Sales_Entry[Product_Code], Stock_Table[[#This Row],[Product_Code]]
)</f>
        <v>5</v>
      </c>
      <c r="K316" s="4">
        <f>SUMIFS(
  Exchange_Return[Qty],
  Exchange_Return[Product_Code], Stock_Table[[#This Row],[Product_Code]]
)</f>
        <v>1</v>
      </c>
      <c r="L316" s="4">
        <f>I316-J316+K316</f>
        <v>1</v>
      </c>
      <c r="M316" s="2" t="str" cm="1">
        <f t="array" ref="M316">_xlfn.IFS(L316=0,"Out of Stock",L316&gt;=2,"Limited Stock",L316&lt;2,"In Stock")</f>
        <v>In Stock</v>
      </c>
    </row>
    <row r="317" spans="2:13">
      <c r="B317" s="2" t="s">
        <v>870</v>
      </c>
      <c r="C317" s="5" t="str">
        <f>_xlfn.XLOOKUP(B317,Master[Product_Code],Master[Category])</f>
        <v>Jeans</v>
      </c>
      <c r="D317" s="2" t="str">
        <f>_xlfn.XLOOKUP(B317,Master[Product_Code],Master[Brand])</f>
        <v>Levis</v>
      </c>
      <c r="E317" s="2" t="str">
        <f>_xlfn.XLOOKUP(B317,Master[Product_Code],Master[Style])</f>
        <v>Baggy</v>
      </c>
      <c r="F317" s="2" t="str">
        <f>_xlfn.XLOOKUP(B317,Master[Product_Code],Master[Fabric])</f>
        <v>Denim</v>
      </c>
      <c r="G317" s="2">
        <f>_xlfn.XLOOKUP(B317,Master[Product_Code],Master[Size])</f>
        <v>28</v>
      </c>
      <c r="H317" s="2" t="str">
        <f>_xlfn.XLOOKUP(B317,Master[Product_Code],Master[Color])</f>
        <v>Mustard</v>
      </c>
      <c r="I317" s="4">
        <f>_xlfn.XLOOKUP(B317,Master[Product_Code],Master[Stock_Qty])</f>
        <v>3</v>
      </c>
      <c r="J317" s="6">
        <f>SUMIFS(
  Sales_Entry[Qty],
  Sales_Entry[Product_Code], Stock_Table[[#This Row],[Product_Code]]
)</f>
        <v>3</v>
      </c>
      <c r="K317" s="4">
        <f>SUMIFS(
  Exchange_Return[Qty],
  Exchange_Return[Product_Code], Stock_Table[[#This Row],[Product_Code]]
)</f>
        <v>0</v>
      </c>
      <c r="L317" s="4">
        <f>I317-J317+K317</f>
        <v>0</v>
      </c>
      <c r="M317" s="2" t="str" cm="1">
        <f t="array" ref="M317">_xlfn.IFS(L317=0,"Out of Stock",L317&gt;=2,"Limited Stock",L317&lt;2,"In Stock")</f>
        <v>Out of Stock</v>
      </c>
    </row>
    <row r="318" spans="2:13">
      <c r="B318" s="2" t="s">
        <v>871</v>
      </c>
      <c r="C318" s="5" t="str">
        <f>_xlfn.XLOOKUP(B318,Master[Product_Code],Master[Category])</f>
        <v>Jeans</v>
      </c>
      <c r="D318" s="2" t="str">
        <f>_xlfn.XLOOKUP(B318,Master[Product_Code],Master[Brand])</f>
        <v>Spykar</v>
      </c>
      <c r="E318" s="2" t="str">
        <f>_xlfn.XLOOKUP(B318,Master[Product_Code],Master[Style])</f>
        <v>Mom Fit</v>
      </c>
      <c r="F318" s="2" t="str">
        <f>_xlfn.XLOOKUP(B318,Master[Product_Code],Master[Fabric])</f>
        <v>Denim</v>
      </c>
      <c r="G318" s="2">
        <f>_xlfn.XLOOKUP(B318,Master[Product_Code],Master[Size])</f>
        <v>40</v>
      </c>
      <c r="H318" s="2" t="str">
        <f>_xlfn.XLOOKUP(B318,Master[Product_Code],Master[Color])</f>
        <v>Navy Blue</v>
      </c>
      <c r="I318" s="4">
        <f>_xlfn.XLOOKUP(B318,Master[Product_Code],Master[Stock_Qty])</f>
        <v>6</v>
      </c>
      <c r="J318" s="6">
        <f>SUMIFS(
  Sales_Entry[Qty],
  Sales_Entry[Product_Code], Stock_Table[[#This Row],[Product_Code]]
)</f>
        <v>1</v>
      </c>
      <c r="K318" s="4">
        <f>SUMIFS(
  Exchange_Return[Qty],
  Exchange_Return[Product_Code], Stock_Table[[#This Row],[Product_Code]]
)</f>
        <v>0</v>
      </c>
      <c r="L318" s="4">
        <f>I318-J318+K318</f>
        <v>5</v>
      </c>
      <c r="M318" s="2" t="str" cm="1">
        <f t="array" ref="M318">_xlfn.IFS(L318=0,"Out of Stock",L318&gt;=2,"Limited Stock",L318&lt;2,"In Stock")</f>
        <v>Limited Stock</v>
      </c>
    </row>
    <row r="319" spans="2:13">
      <c r="B319" s="2" t="s">
        <v>872</v>
      </c>
      <c r="C319" s="5" t="str">
        <f>_xlfn.XLOOKUP(B319,Master[Product_Code],Master[Category])</f>
        <v>Jeans</v>
      </c>
      <c r="D319" s="2" t="str">
        <f>_xlfn.XLOOKUP(B319,Master[Product_Code],Master[Brand])</f>
        <v>Spykar</v>
      </c>
      <c r="E319" s="2" t="str">
        <f>_xlfn.XLOOKUP(B319,Master[Product_Code],Master[Style])</f>
        <v>Baggy</v>
      </c>
      <c r="F319" s="2" t="str">
        <f>_xlfn.XLOOKUP(B319,Master[Product_Code],Master[Fabric])</f>
        <v>Denim</v>
      </c>
      <c r="G319" s="2">
        <f>_xlfn.XLOOKUP(B319,Master[Product_Code],Master[Size])</f>
        <v>28</v>
      </c>
      <c r="H319" s="2" t="str">
        <f>_xlfn.XLOOKUP(B319,Master[Product_Code],Master[Color])</f>
        <v>Sky Blue</v>
      </c>
      <c r="I319" s="4">
        <f>_xlfn.XLOOKUP(B319,Master[Product_Code],Master[Stock_Qty])</f>
        <v>4</v>
      </c>
      <c r="J319" s="6">
        <f>SUMIFS(
  Sales_Entry[Qty],
  Sales_Entry[Product_Code], Stock_Table[[#This Row],[Product_Code]]
)</f>
        <v>4</v>
      </c>
      <c r="K319" s="4">
        <f>SUMIFS(
  Exchange_Return[Qty],
  Exchange_Return[Product_Code], Stock_Table[[#This Row],[Product_Code]]
)</f>
        <v>0</v>
      </c>
      <c r="L319" s="4">
        <f>I319-J319+K319</f>
        <v>0</v>
      </c>
      <c r="M319" s="2" t="str" cm="1">
        <f t="array" ref="M319">_xlfn.IFS(L319=0,"Out of Stock",L319&gt;=2,"Limited Stock",L319&lt;2,"In Stock")</f>
        <v>Out of Stock</v>
      </c>
    </row>
    <row r="320" spans="2:13">
      <c r="B320" s="2" t="s">
        <v>873</v>
      </c>
      <c r="C320" s="5" t="str">
        <f>_xlfn.XLOOKUP(B320,Master[Product_Code],Master[Category])</f>
        <v>Jeans</v>
      </c>
      <c r="D320" s="2" t="str">
        <f>_xlfn.XLOOKUP(B320,Master[Product_Code],Master[Brand])</f>
        <v>Levis</v>
      </c>
      <c r="E320" s="2" t="str">
        <f>_xlfn.XLOOKUP(B320,Master[Product_Code],Master[Style])</f>
        <v>Mom Fit</v>
      </c>
      <c r="F320" s="2" t="str">
        <f>_xlfn.XLOOKUP(B320,Master[Product_Code],Master[Fabric])</f>
        <v>Denim</v>
      </c>
      <c r="G320" s="2">
        <f>_xlfn.XLOOKUP(B320,Master[Product_Code],Master[Size])</f>
        <v>34</v>
      </c>
      <c r="H320" s="2" t="str">
        <f>_xlfn.XLOOKUP(B320,Master[Product_Code],Master[Color])</f>
        <v>Cream</v>
      </c>
      <c r="I320" s="4">
        <f>_xlfn.XLOOKUP(B320,Master[Product_Code],Master[Stock_Qty])</f>
        <v>3</v>
      </c>
      <c r="J320" s="6">
        <f>SUMIFS(
  Sales_Entry[Qty],
  Sales_Entry[Product_Code], Stock_Table[[#This Row],[Product_Code]]
)</f>
        <v>2</v>
      </c>
      <c r="K320" s="4">
        <f>SUMIFS(
  Exchange_Return[Qty],
  Exchange_Return[Product_Code], Stock_Table[[#This Row],[Product_Code]]
)</f>
        <v>0</v>
      </c>
      <c r="L320" s="4">
        <f>I320-J320+K320</f>
        <v>1</v>
      </c>
      <c r="M320" s="2" t="str" cm="1">
        <f t="array" ref="M320">_xlfn.IFS(L320=0,"Out of Stock",L320&gt;=2,"Limited Stock",L320&lt;2,"In Stock")</f>
        <v>In Stock</v>
      </c>
    </row>
    <row r="321" spans="2:13">
      <c r="B321" s="2" t="s">
        <v>874</v>
      </c>
      <c r="C321" s="5" t="str">
        <f>_xlfn.XLOOKUP(B321,Master[Product_Code],Master[Category])</f>
        <v>Jeans</v>
      </c>
      <c r="D321" s="2" t="str">
        <f>_xlfn.XLOOKUP(B321,Master[Product_Code],Master[Brand])</f>
        <v>Denim Pro</v>
      </c>
      <c r="E321" s="2" t="str">
        <f>_xlfn.XLOOKUP(B321,Master[Product_Code],Master[Style])</f>
        <v>Mom Fit</v>
      </c>
      <c r="F321" s="2" t="str">
        <f>_xlfn.XLOOKUP(B321,Master[Product_Code],Master[Fabric])</f>
        <v>Denim</v>
      </c>
      <c r="G321" s="2">
        <f>_xlfn.XLOOKUP(B321,Master[Product_Code],Master[Size])</f>
        <v>40</v>
      </c>
      <c r="H321" s="2" t="str">
        <f>_xlfn.XLOOKUP(B321,Master[Product_Code],Master[Color])</f>
        <v>Brown</v>
      </c>
      <c r="I321" s="4">
        <f>_xlfn.XLOOKUP(B321,Master[Product_Code],Master[Stock_Qty])</f>
        <v>5</v>
      </c>
      <c r="J321" s="6">
        <f>SUMIFS(
  Sales_Entry[Qty],
  Sales_Entry[Product_Code], Stock_Table[[#This Row],[Product_Code]]
)</f>
        <v>5</v>
      </c>
      <c r="K321" s="4">
        <f>SUMIFS(
  Exchange_Return[Qty],
  Exchange_Return[Product_Code], Stock_Table[[#This Row],[Product_Code]]
)</f>
        <v>0</v>
      </c>
      <c r="L321" s="4">
        <f>I321-J321+K321</f>
        <v>0</v>
      </c>
      <c r="M321" s="2" t="str" cm="1">
        <f t="array" ref="M321">_xlfn.IFS(L321=0,"Out of Stock",L321&gt;=2,"Limited Stock",L321&lt;2,"In Stock")</f>
        <v>Out of Stock</v>
      </c>
    </row>
    <row r="322" spans="2:13">
      <c r="B322" s="2" t="s">
        <v>875</v>
      </c>
      <c r="C322" s="5" t="str">
        <f>_xlfn.XLOOKUP(B322,Master[Product_Code],Master[Category])</f>
        <v>Jeans</v>
      </c>
      <c r="D322" s="2" t="str">
        <f>_xlfn.XLOOKUP(B322,Master[Product_Code],Master[Brand])</f>
        <v>Denim Pro</v>
      </c>
      <c r="E322" s="2" t="str">
        <f>_xlfn.XLOOKUP(B322,Master[Product_Code],Master[Style])</f>
        <v>Jogger</v>
      </c>
      <c r="F322" s="2" t="str">
        <f>_xlfn.XLOOKUP(B322,Master[Product_Code],Master[Fabric])</f>
        <v>Denim</v>
      </c>
      <c r="G322" s="2">
        <f>_xlfn.XLOOKUP(B322,Master[Product_Code],Master[Size])</f>
        <v>44</v>
      </c>
      <c r="H322" s="2" t="str">
        <f>_xlfn.XLOOKUP(B322,Master[Product_Code],Master[Color])</f>
        <v>Wine</v>
      </c>
      <c r="I322" s="4">
        <f>_xlfn.XLOOKUP(B322,Master[Product_Code],Master[Stock_Qty])</f>
        <v>3</v>
      </c>
      <c r="J322" s="6">
        <f>SUMIFS(
  Sales_Entry[Qty],
  Sales_Entry[Product_Code], Stock_Table[[#This Row],[Product_Code]]
)</f>
        <v>1</v>
      </c>
      <c r="K322" s="4">
        <f>SUMIFS(
  Exchange_Return[Qty],
  Exchange_Return[Product_Code], Stock_Table[[#This Row],[Product_Code]]
)</f>
        <v>0</v>
      </c>
      <c r="L322" s="4">
        <f>I322-J322+K322</f>
        <v>2</v>
      </c>
      <c r="M322" s="2" t="str" cm="1">
        <f t="array" ref="M322">_xlfn.IFS(L322=0,"Out of Stock",L322&gt;=2,"Limited Stock",L322&lt;2,"In Stock")</f>
        <v>Limited Stock</v>
      </c>
    </row>
    <row r="323" spans="2:13">
      <c r="B323" s="2" t="s">
        <v>876</v>
      </c>
      <c r="C323" s="5" t="str">
        <f>_xlfn.XLOOKUP(B323,Master[Product_Code],Master[Category])</f>
        <v>Jeans</v>
      </c>
      <c r="D323" s="2" t="str">
        <f>_xlfn.XLOOKUP(B323,Master[Product_Code],Master[Brand])</f>
        <v>Levis</v>
      </c>
      <c r="E323" s="2" t="str">
        <f>_xlfn.XLOOKUP(B323,Master[Product_Code],Master[Style])</f>
        <v>Jogger</v>
      </c>
      <c r="F323" s="2" t="str">
        <f>_xlfn.XLOOKUP(B323,Master[Product_Code],Master[Fabric])</f>
        <v>Denim</v>
      </c>
      <c r="G323" s="2">
        <f>_xlfn.XLOOKUP(B323,Master[Product_Code],Master[Size])</f>
        <v>34</v>
      </c>
      <c r="H323" s="2" t="str">
        <f>_xlfn.XLOOKUP(B323,Master[Product_Code],Master[Color])</f>
        <v>Teal</v>
      </c>
      <c r="I323" s="4">
        <f>_xlfn.XLOOKUP(B323,Master[Product_Code],Master[Stock_Qty])</f>
        <v>3</v>
      </c>
      <c r="J323" s="6">
        <f>SUMIFS(
  Sales_Entry[Qty],
  Sales_Entry[Product_Code], Stock_Table[[#This Row],[Product_Code]]
)</f>
        <v>1</v>
      </c>
      <c r="K323" s="4">
        <f>SUMIFS(
  Exchange_Return[Qty],
  Exchange_Return[Product_Code], Stock_Table[[#This Row],[Product_Code]]
)</f>
        <v>0</v>
      </c>
      <c r="L323" s="4">
        <f>I323-J323+K323</f>
        <v>2</v>
      </c>
      <c r="M323" s="2" t="str" cm="1">
        <f t="array" ref="M323">_xlfn.IFS(L323=0,"Out of Stock",L323&gt;=2,"Limited Stock",L323&lt;2,"In Stock")</f>
        <v>Limited Stock</v>
      </c>
    </row>
    <row r="324" spans="2:13">
      <c r="B324" s="2" t="s">
        <v>877</v>
      </c>
      <c r="C324" s="5" t="str">
        <f>_xlfn.XLOOKUP(B324,Master[Product_Code],Master[Category])</f>
        <v>Jeans</v>
      </c>
      <c r="D324" s="2" t="str">
        <f>_xlfn.XLOOKUP(B324,Master[Product_Code],Master[Brand])</f>
        <v>Denim Pro</v>
      </c>
      <c r="E324" s="2" t="str">
        <f>_xlfn.XLOOKUP(B324,Master[Product_Code],Master[Style])</f>
        <v>Mom Fit</v>
      </c>
      <c r="F324" s="2" t="str">
        <f>_xlfn.XLOOKUP(B324,Master[Product_Code],Master[Fabric])</f>
        <v>Denim</v>
      </c>
      <c r="G324" s="2">
        <f>_xlfn.XLOOKUP(B324,Master[Product_Code],Master[Size])</f>
        <v>34</v>
      </c>
      <c r="H324" s="2" t="str">
        <f>_xlfn.XLOOKUP(B324,Master[Product_Code],Master[Color])</f>
        <v>Bottle Green</v>
      </c>
      <c r="I324" s="4">
        <f>_xlfn.XLOOKUP(B324,Master[Product_Code],Master[Stock_Qty])</f>
        <v>5</v>
      </c>
      <c r="J324" s="6">
        <f>SUMIFS(
  Sales_Entry[Qty],
  Sales_Entry[Product_Code], Stock_Table[[#This Row],[Product_Code]]
)</f>
        <v>4</v>
      </c>
      <c r="K324" s="4">
        <f>SUMIFS(
  Exchange_Return[Qty],
  Exchange_Return[Product_Code], Stock_Table[[#This Row],[Product_Code]]
)</f>
        <v>0</v>
      </c>
      <c r="L324" s="4">
        <f>I324-J324+K324</f>
        <v>1</v>
      </c>
      <c r="M324" s="2" t="str" cm="1">
        <f t="array" ref="M324">_xlfn.IFS(L324=0,"Out of Stock",L324&gt;=2,"Limited Stock",L324&lt;2,"In Stock")</f>
        <v>In Stock</v>
      </c>
    </row>
    <row r="325" spans="2:13">
      <c r="B325" s="2" t="s">
        <v>878</v>
      </c>
      <c r="C325" s="5" t="str">
        <f>_xlfn.XLOOKUP(B325,Master[Product_Code],Master[Category])</f>
        <v>Jeans</v>
      </c>
      <c r="D325" s="2" t="str">
        <f>_xlfn.XLOOKUP(B325,Master[Product_Code],Master[Brand])</f>
        <v>Spykar</v>
      </c>
      <c r="E325" s="2" t="str">
        <f>_xlfn.XLOOKUP(B325,Master[Product_Code],Master[Style])</f>
        <v>Baggy</v>
      </c>
      <c r="F325" s="2" t="str">
        <f>_xlfn.XLOOKUP(B325,Master[Product_Code],Master[Fabric])</f>
        <v>Denim</v>
      </c>
      <c r="G325" s="2">
        <f>_xlfn.XLOOKUP(B325,Master[Product_Code],Master[Size])</f>
        <v>40</v>
      </c>
      <c r="H325" s="2" t="str">
        <f>_xlfn.XLOOKUP(B325,Master[Product_Code],Master[Color])</f>
        <v>Charcoal</v>
      </c>
      <c r="I325" s="4">
        <f>_xlfn.XLOOKUP(B325,Master[Product_Code],Master[Stock_Qty])</f>
        <v>3</v>
      </c>
      <c r="J325" s="6">
        <f>SUMIFS(
  Sales_Entry[Qty],
  Sales_Entry[Product_Code], Stock_Table[[#This Row],[Product_Code]]
)</f>
        <v>2</v>
      </c>
      <c r="K325" s="4">
        <f>SUMIFS(
  Exchange_Return[Qty],
  Exchange_Return[Product_Code], Stock_Table[[#This Row],[Product_Code]]
)</f>
        <v>0</v>
      </c>
      <c r="L325" s="4">
        <f>I325-J325+K325</f>
        <v>1</v>
      </c>
      <c r="M325" s="2" t="str" cm="1">
        <f t="array" ref="M325">_xlfn.IFS(L325=0,"Out of Stock",L325&gt;=2,"Limited Stock",L325&lt;2,"In Stock")</f>
        <v>In Stock</v>
      </c>
    </row>
    <row r="326" spans="2:13">
      <c r="B326" s="2" t="s">
        <v>879</v>
      </c>
      <c r="C326" s="5" t="str">
        <f>_xlfn.XLOOKUP(B326,Master[Product_Code],Master[Category])</f>
        <v>Jeans</v>
      </c>
      <c r="D326" s="2" t="str">
        <f>_xlfn.XLOOKUP(B326,Master[Product_Code],Master[Brand])</f>
        <v>Locomotive</v>
      </c>
      <c r="E326" s="2" t="str">
        <f>_xlfn.XLOOKUP(B326,Master[Product_Code],Master[Style])</f>
        <v>Jogger</v>
      </c>
      <c r="F326" s="2" t="str">
        <f>_xlfn.XLOOKUP(B326,Master[Product_Code],Master[Fabric])</f>
        <v>Denim</v>
      </c>
      <c r="G326" s="2">
        <f>_xlfn.XLOOKUP(B326,Master[Product_Code],Master[Size])</f>
        <v>32</v>
      </c>
      <c r="H326" s="2" t="str">
        <f>_xlfn.XLOOKUP(B326,Master[Product_Code],Master[Color])</f>
        <v>Teal</v>
      </c>
      <c r="I326" s="4">
        <f>_xlfn.XLOOKUP(B326,Master[Product_Code],Master[Stock_Qty])</f>
        <v>3</v>
      </c>
      <c r="J326" s="6">
        <f>SUMIFS(
  Sales_Entry[Qty],
  Sales_Entry[Product_Code], Stock_Table[[#This Row],[Product_Code]]
)</f>
        <v>0</v>
      </c>
      <c r="K326" s="4">
        <f>SUMIFS(
  Exchange_Return[Qty],
  Exchange_Return[Product_Code], Stock_Table[[#This Row],[Product_Code]]
)</f>
        <v>0</v>
      </c>
      <c r="L326" s="4">
        <f>I326-J326+K326</f>
        <v>3</v>
      </c>
      <c r="M326" s="2" t="str" cm="1">
        <f t="array" ref="M326">_xlfn.IFS(L326=0,"Out of Stock",L326&gt;=2,"Limited Stock",L326&lt;2,"In Stock")</f>
        <v>Limited Stock</v>
      </c>
    </row>
    <row r="327" spans="2:13">
      <c r="B327" s="2" t="s">
        <v>881</v>
      </c>
      <c r="C327" s="5" t="str">
        <f>_xlfn.XLOOKUP(B327,Master[Product_Code],Master[Category])</f>
        <v>Jeans</v>
      </c>
      <c r="D327" s="2" t="str">
        <f>_xlfn.XLOOKUP(B327,Master[Product_Code],Master[Brand])</f>
        <v>Spykar</v>
      </c>
      <c r="E327" s="2" t="str">
        <f>_xlfn.XLOOKUP(B327,Master[Product_Code],Master[Style])</f>
        <v>Baggy</v>
      </c>
      <c r="F327" s="2" t="str">
        <f>_xlfn.XLOOKUP(B327,Master[Product_Code],Master[Fabric])</f>
        <v>Denim</v>
      </c>
      <c r="G327" s="2">
        <f>_xlfn.XLOOKUP(B327,Master[Product_Code],Master[Size])</f>
        <v>38</v>
      </c>
      <c r="H327" s="2" t="str">
        <f>_xlfn.XLOOKUP(B327,Master[Product_Code],Master[Color])</f>
        <v>White</v>
      </c>
      <c r="I327" s="4">
        <f>_xlfn.XLOOKUP(B327,Master[Product_Code],Master[Stock_Qty])</f>
        <v>3</v>
      </c>
      <c r="J327" s="6">
        <f>SUMIFS(
  Sales_Entry[Qty],
  Sales_Entry[Product_Code], Stock_Table[[#This Row],[Product_Code]]
)</f>
        <v>1</v>
      </c>
      <c r="K327" s="4">
        <f>SUMIFS(
  Exchange_Return[Qty],
  Exchange_Return[Product_Code], Stock_Table[[#This Row],[Product_Code]]
)</f>
        <v>0</v>
      </c>
      <c r="L327" s="4">
        <f>I327-J327+K327</f>
        <v>2</v>
      </c>
      <c r="M327" s="2" t="str" cm="1">
        <f t="array" ref="M327">_xlfn.IFS(L327=0,"Out of Stock",L327&gt;=2,"Limited Stock",L327&lt;2,"In Stock")</f>
        <v>Limited Stock</v>
      </c>
    </row>
    <row r="328" spans="2:13">
      <c r="B328" s="2" t="s">
        <v>882</v>
      </c>
      <c r="C328" s="5" t="str">
        <f>_xlfn.XLOOKUP(B328,Master[Product_Code],Master[Category])</f>
        <v>Jeans</v>
      </c>
      <c r="D328" s="2" t="str">
        <f>_xlfn.XLOOKUP(B328,Master[Product_Code],Master[Brand])</f>
        <v>Denim Pro</v>
      </c>
      <c r="E328" s="2" t="str">
        <f>_xlfn.XLOOKUP(B328,Master[Product_Code],Master[Style])</f>
        <v>Mom Fit</v>
      </c>
      <c r="F328" s="2" t="str">
        <f>_xlfn.XLOOKUP(B328,Master[Product_Code],Master[Fabric])</f>
        <v>Denim</v>
      </c>
      <c r="G328" s="2">
        <f>_xlfn.XLOOKUP(B328,Master[Product_Code],Master[Size])</f>
        <v>32</v>
      </c>
      <c r="H328" s="2" t="str">
        <f>_xlfn.XLOOKUP(B328,Master[Product_Code],Master[Color])</f>
        <v>Peach</v>
      </c>
      <c r="I328" s="4">
        <f>_xlfn.XLOOKUP(B328,Master[Product_Code],Master[Stock_Qty])</f>
        <v>4</v>
      </c>
      <c r="J328" s="6">
        <f>SUMIFS(
  Sales_Entry[Qty],
  Sales_Entry[Product_Code], Stock_Table[[#This Row],[Product_Code]]
)</f>
        <v>1</v>
      </c>
      <c r="K328" s="4">
        <f>SUMIFS(
  Exchange_Return[Qty],
  Exchange_Return[Product_Code], Stock_Table[[#This Row],[Product_Code]]
)</f>
        <v>0</v>
      </c>
      <c r="L328" s="4">
        <f>I328-J328+K328</f>
        <v>3</v>
      </c>
      <c r="M328" s="2" t="str" cm="1">
        <f t="array" ref="M328">_xlfn.IFS(L328=0,"Out of Stock",L328&gt;=2,"Limited Stock",L328&lt;2,"In Stock")</f>
        <v>Limited Stock</v>
      </c>
    </row>
    <row r="329" spans="2:13">
      <c r="B329" s="2" t="s">
        <v>883</v>
      </c>
      <c r="C329" s="5" t="str">
        <f>_xlfn.XLOOKUP(B329,Master[Product_Code],Master[Category])</f>
        <v>Jeans</v>
      </c>
      <c r="D329" s="2" t="str">
        <f>_xlfn.XLOOKUP(B329,Master[Product_Code],Master[Brand])</f>
        <v>Locomotive</v>
      </c>
      <c r="E329" s="2" t="str">
        <f>_xlfn.XLOOKUP(B329,Master[Product_Code],Master[Style])</f>
        <v>Jogger</v>
      </c>
      <c r="F329" s="2" t="str">
        <f>_xlfn.XLOOKUP(B329,Master[Product_Code],Master[Fabric])</f>
        <v>Denim</v>
      </c>
      <c r="G329" s="2">
        <f>_xlfn.XLOOKUP(B329,Master[Product_Code],Master[Size])</f>
        <v>42</v>
      </c>
      <c r="H329" s="2" t="str">
        <f>_xlfn.XLOOKUP(B329,Master[Product_Code],Master[Color])</f>
        <v>Grey</v>
      </c>
      <c r="I329" s="4">
        <f>_xlfn.XLOOKUP(B329,Master[Product_Code],Master[Stock_Qty])</f>
        <v>3</v>
      </c>
      <c r="J329" s="6">
        <f>SUMIFS(
  Sales_Entry[Qty],
  Sales_Entry[Product_Code], Stock_Table[[#This Row],[Product_Code]]
)</f>
        <v>3</v>
      </c>
      <c r="K329" s="4">
        <f>SUMIFS(
  Exchange_Return[Qty],
  Exchange_Return[Product_Code], Stock_Table[[#This Row],[Product_Code]]
)</f>
        <v>0</v>
      </c>
      <c r="L329" s="4">
        <f>I329-J329+K329</f>
        <v>0</v>
      </c>
      <c r="M329" s="2" t="str" cm="1">
        <f t="array" ref="M329">_xlfn.IFS(L329=0,"Out of Stock",L329&gt;=2,"Limited Stock",L329&lt;2,"In Stock")</f>
        <v>Out of Stock</v>
      </c>
    </row>
    <row r="330" spans="2:13">
      <c r="B330" s="2" t="s">
        <v>884</v>
      </c>
      <c r="C330" s="5" t="str">
        <f>_xlfn.XLOOKUP(B330,Master[Product_Code],Master[Category])</f>
        <v>Jeans</v>
      </c>
      <c r="D330" s="2" t="str">
        <f>_xlfn.XLOOKUP(B330,Master[Product_Code],Master[Brand])</f>
        <v>Levis</v>
      </c>
      <c r="E330" s="2" t="str">
        <f>_xlfn.XLOOKUP(B330,Master[Product_Code],Master[Style])</f>
        <v>Baggy</v>
      </c>
      <c r="F330" s="2" t="str">
        <f>_xlfn.XLOOKUP(B330,Master[Product_Code],Master[Fabric])</f>
        <v>Denim</v>
      </c>
      <c r="G330" s="2">
        <f>_xlfn.XLOOKUP(B330,Master[Product_Code],Master[Size])</f>
        <v>36</v>
      </c>
      <c r="H330" s="2" t="str">
        <f>_xlfn.XLOOKUP(B330,Master[Product_Code],Master[Color])</f>
        <v>White</v>
      </c>
      <c r="I330" s="4">
        <f>_xlfn.XLOOKUP(B330,Master[Product_Code],Master[Stock_Qty])</f>
        <v>6</v>
      </c>
      <c r="J330" s="6">
        <f>SUMIFS(
  Sales_Entry[Qty],
  Sales_Entry[Product_Code], Stock_Table[[#This Row],[Product_Code]]
)</f>
        <v>5</v>
      </c>
      <c r="K330" s="4">
        <f>SUMIFS(
  Exchange_Return[Qty],
  Exchange_Return[Product_Code], Stock_Table[[#This Row],[Product_Code]]
)</f>
        <v>0</v>
      </c>
      <c r="L330" s="4">
        <f>I330-J330+K330</f>
        <v>1</v>
      </c>
      <c r="M330" s="2" t="str" cm="1">
        <f t="array" ref="M330">_xlfn.IFS(L330=0,"Out of Stock",L330&gt;=2,"Limited Stock",L330&lt;2,"In Stock")</f>
        <v>In Stock</v>
      </c>
    </row>
    <row r="331" spans="2:13">
      <c r="B331" s="2" t="s">
        <v>885</v>
      </c>
      <c r="C331" s="5" t="str">
        <f>_xlfn.XLOOKUP(B331,Master[Product_Code],Master[Category])</f>
        <v>Jeans</v>
      </c>
      <c r="D331" s="2" t="str">
        <f>_xlfn.XLOOKUP(B331,Master[Product_Code],Master[Brand])</f>
        <v>Levis</v>
      </c>
      <c r="E331" s="2" t="str">
        <f>_xlfn.XLOOKUP(B331,Master[Product_Code],Master[Style])</f>
        <v>Jogger</v>
      </c>
      <c r="F331" s="2" t="str">
        <f>_xlfn.XLOOKUP(B331,Master[Product_Code],Master[Fabric])</f>
        <v>Denim</v>
      </c>
      <c r="G331" s="2">
        <f>_xlfn.XLOOKUP(B331,Master[Product_Code],Master[Size])</f>
        <v>44</v>
      </c>
      <c r="H331" s="2" t="str">
        <f>_xlfn.XLOOKUP(B331,Master[Product_Code],Master[Color])</f>
        <v>Peach</v>
      </c>
      <c r="I331" s="4">
        <f>_xlfn.XLOOKUP(B331,Master[Product_Code],Master[Stock_Qty])</f>
        <v>4</v>
      </c>
      <c r="J331" s="6">
        <f>SUMIFS(
  Sales_Entry[Qty],
  Sales_Entry[Product_Code], Stock_Table[[#This Row],[Product_Code]]
)</f>
        <v>0</v>
      </c>
      <c r="K331" s="4">
        <f>SUMIFS(
  Exchange_Return[Qty],
  Exchange_Return[Product_Code], Stock_Table[[#This Row],[Product_Code]]
)</f>
        <v>0</v>
      </c>
      <c r="L331" s="4">
        <f>I331-J331+K331</f>
        <v>4</v>
      </c>
      <c r="M331" s="2" t="str" cm="1">
        <f t="array" ref="M331">_xlfn.IFS(L331=0,"Out of Stock",L331&gt;=2,"Limited Stock",L331&lt;2,"In Stock")</f>
        <v>Limited Stock</v>
      </c>
    </row>
    <row r="332" spans="2:13">
      <c r="B332" s="2" t="s">
        <v>886</v>
      </c>
      <c r="C332" s="5" t="str">
        <f>_xlfn.XLOOKUP(B332,Master[Product_Code],Master[Category])</f>
        <v>Jeans</v>
      </c>
      <c r="D332" s="2" t="str">
        <f>_xlfn.XLOOKUP(B332,Master[Product_Code],Master[Brand])</f>
        <v>Spykar</v>
      </c>
      <c r="E332" s="2" t="str">
        <f>_xlfn.XLOOKUP(B332,Master[Product_Code],Master[Style])</f>
        <v>Jogger</v>
      </c>
      <c r="F332" s="2" t="str">
        <f>_xlfn.XLOOKUP(B332,Master[Product_Code],Master[Fabric])</f>
        <v>Denim</v>
      </c>
      <c r="G332" s="2">
        <f>_xlfn.XLOOKUP(B332,Master[Product_Code],Master[Size])</f>
        <v>38</v>
      </c>
      <c r="H332" s="2" t="str">
        <f>_xlfn.XLOOKUP(B332,Master[Product_Code],Master[Color])</f>
        <v>Cream</v>
      </c>
      <c r="I332" s="4">
        <f>_xlfn.XLOOKUP(B332,Master[Product_Code],Master[Stock_Qty])</f>
        <v>5</v>
      </c>
      <c r="J332" s="6">
        <f>SUMIFS(
  Sales_Entry[Qty],
  Sales_Entry[Product_Code], Stock_Table[[#This Row],[Product_Code]]
)</f>
        <v>0</v>
      </c>
      <c r="K332" s="4">
        <f>SUMIFS(
  Exchange_Return[Qty],
  Exchange_Return[Product_Code], Stock_Table[[#This Row],[Product_Code]]
)</f>
        <v>0</v>
      </c>
      <c r="L332" s="4">
        <f>I332-J332+K332</f>
        <v>5</v>
      </c>
      <c r="M332" s="2" t="str" cm="1">
        <f t="array" ref="M332">_xlfn.IFS(L332=0,"Out of Stock",L332&gt;=2,"Limited Stock",L332&lt;2,"In Stock")</f>
        <v>Limited Stock</v>
      </c>
    </row>
    <row r="333" spans="2:13">
      <c r="B333" s="2" t="s">
        <v>887</v>
      </c>
      <c r="C333" s="5" t="str">
        <f>_xlfn.XLOOKUP(B333,Master[Product_Code],Master[Category])</f>
        <v>Jeans</v>
      </c>
      <c r="D333" s="2" t="str">
        <f>_xlfn.XLOOKUP(B333,Master[Product_Code],Master[Brand])</f>
        <v>Locomotive</v>
      </c>
      <c r="E333" s="2" t="str">
        <f>_xlfn.XLOOKUP(B333,Master[Product_Code],Master[Style])</f>
        <v>Jogger</v>
      </c>
      <c r="F333" s="2" t="str">
        <f>_xlfn.XLOOKUP(B333,Master[Product_Code],Master[Fabric])</f>
        <v>Denim</v>
      </c>
      <c r="G333" s="2">
        <f>_xlfn.XLOOKUP(B333,Master[Product_Code],Master[Size])</f>
        <v>30</v>
      </c>
      <c r="H333" s="2" t="str">
        <f>_xlfn.XLOOKUP(B333,Master[Product_Code],Master[Color])</f>
        <v>Wine</v>
      </c>
      <c r="I333" s="4">
        <f>_xlfn.XLOOKUP(B333,Master[Product_Code],Master[Stock_Qty])</f>
        <v>4</v>
      </c>
      <c r="J333" s="6">
        <f>SUMIFS(
  Sales_Entry[Qty],
  Sales_Entry[Product_Code], Stock_Table[[#This Row],[Product_Code]]
)</f>
        <v>1</v>
      </c>
      <c r="K333" s="4">
        <f>SUMIFS(
  Exchange_Return[Qty],
  Exchange_Return[Product_Code], Stock_Table[[#This Row],[Product_Code]]
)</f>
        <v>0</v>
      </c>
      <c r="L333" s="4">
        <f>I333-J333+K333</f>
        <v>3</v>
      </c>
      <c r="M333" s="2" t="str" cm="1">
        <f t="array" ref="M333">_xlfn.IFS(L333=0,"Out of Stock",L333&gt;=2,"Limited Stock",L333&lt;2,"In Stock")</f>
        <v>Limited Stock</v>
      </c>
    </row>
    <row r="334" spans="2:13">
      <c r="B334" s="2" t="s">
        <v>888</v>
      </c>
      <c r="C334" s="5" t="str">
        <f>_xlfn.XLOOKUP(B334,Master[Product_Code],Master[Category])</f>
        <v>Jeans</v>
      </c>
      <c r="D334" s="2" t="str">
        <f>_xlfn.XLOOKUP(B334,Master[Product_Code],Master[Brand])</f>
        <v>Wrangler</v>
      </c>
      <c r="E334" s="2" t="str">
        <f>_xlfn.XLOOKUP(B334,Master[Product_Code],Master[Style])</f>
        <v>Baggy</v>
      </c>
      <c r="F334" s="2" t="str">
        <f>_xlfn.XLOOKUP(B334,Master[Product_Code],Master[Fabric])</f>
        <v>Denim</v>
      </c>
      <c r="G334" s="2">
        <f>_xlfn.XLOOKUP(B334,Master[Product_Code],Master[Size])</f>
        <v>42</v>
      </c>
      <c r="H334" s="2" t="str">
        <f>_xlfn.XLOOKUP(B334,Master[Product_Code],Master[Color])</f>
        <v>Black</v>
      </c>
      <c r="I334" s="4">
        <f>_xlfn.XLOOKUP(B334,Master[Product_Code],Master[Stock_Qty])</f>
        <v>6</v>
      </c>
      <c r="J334" s="6">
        <f>SUMIFS(
  Sales_Entry[Qty],
  Sales_Entry[Product_Code], Stock_Table[[#This Row],[Product_Code]]
)</f>
        <v>3</v>
      </c>
      <c r="K334" s="4">
        <f>SUMIFS(
  Exchange_Return[Qty],
  Exchange_Return[Product_Code], Stock_Table[[#This Row],[Product_Code]]
)</f>
        <v>0</v>
      </c>
      <c r="L334" s="4">
        <f>I334-J334+K334</f>
        <v>3</v>
      </c>
      <c r="M334" s="2" t="str" cm="1">
        <f t="array" ref="M334">_xlfn.IFS(L334=0,"Out of Stock",L334&gt;=2,"Limited Stock",L334&lt;2,"In Stock")</f>
        <v>Limited Stock</v>
      </c>
    </row>
    <row r="335" spans="2:13">
      <c r="B335" s="2" t="s">
        <v>889</v>
      </c>
      <c r="C335" s="5" t="str">
        <f>_xlfn.XLOOKUP(B335,Master[Product_Code],Master[Category])</f>
        <v>Jeans</v>
      </c>
      <c r="D335" s="2" t="str">
        <f>_xlfn.XLOOKUP(B335,Master[Product_Code],Master[Brand])</f>
        <v>Spykar</v>
      </c>
      <c r="E335" s="2" t="str">
        <f>_xlfn.XLOOKUP(B335,Master[Product_Code],Master[Style])</f>
        <v>Mom Fit</v>
      </c>
      <c r="F335" s="2" t="str">
        <f>_xlfn.XLOOKUP(B335,Master[Product_Code],Master[Fabric])</f>
        <v>Denim</v>
      </c>
      <c r="G335" s="2">
        <f>_xlfn.XLOOKUP(B335,Master[Product_Code],Master[Size])</f>
        <v>34</v>
      </c>
      <c r="H335" s="2" t="str">
        <f>_xlfn.XLOOKUP(B335,Master[Product_Code],Master[Color])</f>
        <v>Mustard</v>
      </c>
      <c r="I335" s="4">
        <f>_xlfn.XLOOKUP(B335,Master[Product_Code],Master[Stock_Qty])</f>
        <v>3</v>
      </c>
      <c r="J335" s="6">
        <f>SUMIFS(
  Sales_Entry[Qty],
  Sales_Entry[Product_Code], Stock_Table[[#This Row],[Product_Code]]
)</f>
        <v>3</v>
      </c>
      <c r="K335" s="4">
        <f>SUMIFS(
  Exchange_Return[Qty],
  Exchange_Return[Product_Code], Stock_Table[[#This Row],[Product_Code]]
)</f>
        <v>0</v>
      </c>
      <c r="L335" s="4">
        <f>I335-J335+K335</f>
        <v>0</v>
      </c>
      <c r="M335" s="2" t="str" cm="1">
        <f t="array" ref="M335">_xlfn.IFS(L335=0,"Out of Stock",L335&gt;=2,"Limited Stock",L335&lt;2,"In Stock")</f>
        <v>Out of Stock</v>
      </c>
    </row>
    <row r="336" spans="2:13">
      <c r="B336" s="2" t="s">
        <v>890</v>
      </c>
      <c r="C336" s="5" t="str">
        <f>_xlfn.XLOOKUP(B336,Master[Product_Code],Master[Category])</f>
        <v>Jeans</v>
      </c>
      <c r="D336" s="2" t="str">
        <f>_xlfn.XLOOKUP(B336,Master[Product_Code],Master[Brand])</f>
        <v>Locomotive</v>
      </c>
      <c r="E336" s="2" t="str">
        <f>_xlfn.XLOOKUP(B336,Master[Product_Code],Master[Style])</f>
        <v>Baggy</v>
      </c>
      <c r="F336" s="2" t="str">
        <f>_xlfn.XLOOKUP(B336,Master[Product_Code],Master[Fabric])</f>
        <v>Denim</v>
      </c>
      <c r="G336" s="2">
        <f>_xlfn.XLOOKUP(B336,Master[Product_Code],Master[Size])</f>
        <v>44</v>
      </c>
      <c r="H336" s="2" t="str">
        <f>_xlfn.XLOOKUP(B336,Master[Product_Code],Master[Color])</f>
        <v>Peach</v>
      </c>
      <c r="I336" s="4">
        <f>_xlfn.XLOOKUP(B336,Master[Product_Code],Master[Stock_Qty])</f>
        <v>4</v>
      </c>
      <c r="J336" s="6">
        <f>SUMIFS(
  Sales_Entry[Qty],
  Sales_Entry[Product_Code], Stock_Table[[#This Row],[Product_Code]]
)</f>
        <v>1</v>
      </c>
      <c r="K336" s="4">
        <f>SUMIFS(
  Exchange_Return[Qty],
  Exchange_Return[Product_Code], Stock_Table[[#This Row],[Product_Code]]
)</f>
        <v>0</v>
      </c>
      <c r="L336" s="4">
        <f>I336-J336+K336</f>
        <v>3</v>
      </c>
      <c r="M336" s="2" t="str" cm="1">
        <f t="array" ref="M336">_xlfn.IFS(L336=0,"Out of Stock",L336&gt;=2,"Limited Stock",L336&lt;2,"In Stock")</f>
        <v>Limited Stock</v>
      </c>
    </row>
    <row r="337" spans="2:13">
      <c r="B337" s="2" t="s">
        <v>891</v>
      </c>
      <c r="C337" s="5" t="str">
        <f>_xlfn.XLOOKUP(B337,Master[Product_Code],Master[Category])</f>
        <v>Jeans</v>
      </c>
      <c r="D337" s="2" t="str">
        <f>_xlfn.XLOOKUP(B337,Master[Product_Code],Master[Brand])</f>
        <v>Wrangler</v>
      </c>
      <c r="E337" s="2" t="str">
        <f>_xlfn.XLOOKUP(B337,Master[Product_Code],Master[Style])</f>
        <v>Baggy</v>
      </c>
      <c r="F337" s="2" t="str">
        <f>_xlfn.XLOOKUP(B337,Master[Product_Code],Master[Fabric])</f>
        <v>Denim</v>
      </c>
      <c r="G337" s="2">
        <f>_xlfn.XLOOKUP(B337,Master[Product_Code],Master[Size])</f>
        <v>38</v>
      </c>
      <c r="H337" s="2" t="str">
        <f>_xlfn.XLOOKUP(B337,Master[Product_Code],Master[Color])</f>
        <v>Sky Blue</v>
      </c>
      <c r="I337" s="4">
        <f>_xlfn.XLOOKUP(B337,Master[Product_Code],Master[Stock_Qty])</f>
        <v>3</v>
      </c>
      <c r="J337" s="6">
        <f>SUMIFS(
  Sales_Entry[Qty],
  Sales_Entry[Product_Code], Stock_Table[[#This Row],[Product_Code]]
)</f>
        <v>1</v>
      </c>
      <c r="K337" s="4">
        <f>SUMIFS(
  Exchange_Return[Qty],
  Exchange_Return[Product_Code], Stock_Table[[#This Row],[Product_Code]]
)</f>
        <v>0</v>
      </c>
      <c r="L337" s="4">
        <f>I337-J337+K337</f>
        <v>2</v>
      </c>
      <c r="M337" s="2" t="str" cm="1">
        <f t="array" ref="M337">_xlfn.IFS(L337=0,"Out of Stock",L337&gt;=2,"Limited Stock",L337&lt;2,"In Stock")</f>
        <v>Limited Stock</v>
      </c>
    </row>
    <row r="338" spans="2:13">
      <c r="B338" s="2" t="s">
        <v>892</v>
      </c>
      <c r="C338" s="5" t="str">
        <f>_xlfn.XLOOKUP(B338,Master[Product_Code],Master[Category])</f>
        <v>Jeans</v>
      </c>
      <c r="D338" s="2" t="str">
        <f>_xlfn.XLOOKUP(B338,Master[Product_Code],Master[Brand])</f>
        <v>Denim Pro</v>
      </c>
      <c r="E338" s="2" t="str">
        <f>_xlfn.XLOOKUP(B338,Master[Product_Code],Master[Style])</f>
        <v>Mom Fit</v>
      </c>
      <c r="F338" s="2" t="str">
        <f>_xlfn.XLOOKUP(B338,Master[Product_Code],Master[Fabric])</f>
        <v>Denim</v>
      </c>
      <c r="G338" s="2">
        <f>_xlfn.XLOOKUP(B338,Master[Product_Code],Master[Size])</f>
        <v>32</v>
      </c>
      <c r="H338" s="2" t="str">
        <f>_xlfn.XLOOKUP(B338,Master[Product_Code],Master[Color])</f>
        <v>Olive</v>
      </c>
      <c r="I338" s="4">
        <f>_xlfn.XLOOKUP(B338,Master[Product_Code],Master[Stock_Qty])</f>
        <v>3</v>
      </c>
      <c r="J338" s="6">
        <f>SUMIFS(
  Sales_Entry[Qty],
  Sales_Entry[Product_Code], Stock_Table[[#This Row],[Product_Code]]
)</f>
        <v>2</v>
      </c>
      <c r="K338" s="4">
        <f>SUMIFS(
  Exchange_Return[Qty],
  Exchange_Return[Product_Code], Stock_Table[[#This Row],[Product_Code]]
)</f>
        <v>0</v>
      </c>
      <c r="L338" s="4">
        <f>I338-J338+K338</f>
        <v>1</v>
      </c>
      <c r="M338" s="2" t="str" cm="1">
        <f t="array" ref="M338">_xlfn.IFS(L338=0,"Out of Stock",L338&gt;=2,"Limited Stock",L338&lt;2,"In Stock")</f>
        <v>In Stock</v>
      </c>
    </row>
    <row r="339" spans="2:13">
      <c r="B339" s="2" t="s">
        <v>893</v>
      </c>
      <c r="C339" s="5" t="str">
        <f>_xlfn.XLOOKUP(B339,Master[Product_Code],Master[Category])</f>
        <v>Jeans</v>
      </c>
      <c r="D339" s="2" t="str">
        <f>_xlfn.XLOOKUP(B339,Master[Product_Code],Master[Brand])</f>
        <v>Pepe</v>
      </c>
      <c r="E339" s="2" t="str">
        <f>_xlfn.XLOOKUP(B339,Master[Product_Code],Master[Style])</f>
        <v>Baggy</v>
      </c>
      <c r="F339" s="2" t="str">
        <f>_xlfn.XLOOKUP(B339,Master[Product_Code],Master[Fabric])</f>
        <v>Denim</v>
      </c>
      <c r="G339" s="2">
        <f>_xlfn.XLOOKUP(B339,Master[Product_Code],Master[Size])</f>
        <v>30</v>
      </c>
      <c r="H339" s="2" t="str">
        <f>_xlfn.XLOOKUP(B339,Master[Product_Code],Master[Color])</f>
        <v>White</v>
      </c>
      <c r="I339" s="4">
        <f>_xlfn.XLOOKUP(B339,Master[Product_Code],Master[Stock_Qty])</f>
        <v>6</v>
      </c>
      <c r="J339" s="6">
        <f>SUMIFS(
  Sales_Entry[Qty],
  Sales_Entry[Product_Code], Stock_Table[[#This Row],[Product_Code]]
)</f>
        <v>2</v>
      </c>
      <c r="K339" s="4">
        <f>SUMIFS(
  Exchange_Return[Qty],
  Exchange_Return[Product_Code], Stock_Table[[#This Row],[Product_Code]]
)</f>
        <v>0</v>
      </c>
      <c r="L339" s="4">
        <f>I339-J339+K339</f>
        <v>4</v>
      </c>
      <c r="M339" s="2" t="str" cm="1">
        <f t="array" ref="M339">_xlfn.IFS(L339=0,"Out of Stock",L339&gt;=2,"Limited Stock",L339&lt;2,"In Stock")</f>
        <v>Limited Stock</v>
      </c>
    </row>
    <row r="340" spans="2:13">
      <c r="B340" s="2" t="s">
        <v>894</v>
      </c>
      <c r="C340" s="5" t="str">
        <f>_xlfn.XLOOKUP(B340,Master[Product_Code],Master[Category])</f>
        <v>Jeans</v>
      </c>
      <c r="D340" s="2" t="str">
        <f>_xlfn.XLOOKUP(B340,Master[Product_Code],Master[Brand])</f>
        <v>Levis</v>
      </c>
      <c r="E340" s="2" t="str">
        <f>_xlfn.XLOOKUP(B340,Master[Product_Code],Master[Style])</f>
        <v>Jogger</v>
      </c>
      <c r="F340" s="2" t="str">
        <f>_xlfn.XLOOKUP(B340,Master[Product_Code],Master[Fabric])</f>
        <v>Denim</v>
      </c>
      <c r="G340" s="2">
        <f>_xlfn.XLOOKUP(B340,Master[Product_Code],Master[Size])</f>
        <v>28</v>
      </c>
      <c r="H340" s="2" t="str">
        <f>_xlfn.XLOOKUP(B340,Master[Product_Code],Master[Color])</f>
        <v>Teal</v>
      </c>
      <c r="I340" s="4">
        <f>_xlfn.XLOOKUP(B340,Master[Product_Code],Master[Stock_Qty])</f>
        <v>4</v>
      </c>
      <c r="J340" s="6">
        <f>SUMIFS(
  Sales_Entry[Qty],
  Sales_Entry[Product_Code], Stock_Table[[#This Row],[Product_Code]]
)</f>
        <v>2</v>
      </c>
      <c r="K340" s="4">
        <f>SUMIFS(
  Exchange_Return[Qty],
  Exchange_Return[Product_Code], Stock_Table[[#This Row],[Product_Code]]
)</f>
        <v>0</v>
      </c>
      <c r="L340" s="4">
        <f>I340-J340+K340</f>
        <v>2</v>
      </c>
      <c r="M340" s="2" t="str" cm="1">
        <f t="array" ref="M340">_xlfn.IFS(L340=0,"Out of Stock",L340&gt;=2,"Limited Stock",L340&lt;2,"In Stock")</f>
        <v>Limited Stock</v>
      </c>
    </row>
    <row r="341" spans="2:13">
      <c r="B341" s="2" t="s">
        <v>895</v>
      </c>
      <c r="C341" s="5" t="str">
        <f>_xlfn.XLOOKUP(B341,Master[Product_Code],Master[Category])</f>
        <v>Jeans</v>
      </c>
      <c r="D341" s="2" t="str">
        <f>_xlfn.XLOOKUP(B341,Master[Product_Code],Master[Brand])</f>
        <v>Denim Pro</v>
      </c>
      <c r="E341" s="2" t="str">
        <f>_xlfn.XLOOKUP(B341,Master[Product_Code],Master[Style])</f>
        <v>Mom Fit</v>
      </c>
      <c r="F341" s="2" t="str">
        <f>_xlfn.XLOOKUP(B341,Master[Product_Code],Master[Fabric])</f>
        <v>Denim</v>
      </c>
      <c r="G341" s="2">
        <f>_xlfn.XLOOKUP(B341,Master[Product_Code],Master[Size])</f>
        <v>34</v>
      </c>
      <c r="H341" s="2" t="str">
        <f>_xlfn.XLOOKUP(B341,Master[Product_Code],Master[Color])</f>
        <v>Peach</v>
      </c>
      <c r="I341" s="4">
        <f>_xlfn.XLOOKUP(B341,Master[Product_Code],Master[Stock_Qty])</f>
        <v>3</v>
      </c>
      <c r="J341" s="6">
        <f>SUMIFS(
  Sales_Entry[Qty],
  Sales_Entry[Product_Code], Stock_Table[[#This Row],[Product_Code]]
)</f>
        <v>3</v>
      </c>
      <c r="K341" s="4">
        <f>SUMIFS(
  Exchange_Return[Qty],
  Exchange_Return[Product_Code], Stock_Table[[#This Row],[Product_Code]]
)</f>
        <v>0</v>
      </c>
      <c r="L341" s="4">
        <f>I341-J341+K341</f>
        <v>0</v>
      </c>
      <c r="M341" s="2" t="str" cm="1">
        <f t="array" ref="M341">_xlfn.IFS(L341=0,"Out of Stock",L341&gt;=2,"Limited Stock",L341&lt;2,"In Stock")</f>
        <v>Out of Stock</v>
      </c>
    </row>
    <row r="342" spans="2:13">
      <c r="B342" s="2" t="s">
        <v>896</v>
      </c>
      <c r="C342" s="5" t="str">
        <f>_xlfn.XLOOKUP(B342,Master[Product_Code],Master[Category])</f>
        <v>Jeans</v>
      </c>
      <c r="D342" s="2" t="str">
        <f>_xlfn.XLOOKUP(B342,Master[Product_Code],Master[Brand])</f>
        <v>Denim Pro</v>
      </c>
      <c r="E342" s="2" t="str">
        <f>_xlfn.XLOOKUP(B342,Master[Product_Code],Master[Style])</f>
        <v>Mom Fit</v>
      </c>
      <c r="F342" s="2" t="str">
        <f>_xlfn.XLOOKUP(B342,Master[Product_Code],Master[Fabric])</f>
        <v>Denim</v>
      </c>
      <c r="G342" s="2">
        <f>_xlfn.XLOOKUP(B342,Master[Product_Code],Master[Size])</f>
        <v>44</v>
      </c>
      <c r="H342" s="2" t="str">
        <f>_xlfn.XLOOKUP(B342,Master[Product_Code],Master[Color])</f>
        <v>Bottle Green</v>
      </c>
      <c r="I342" s="4">
        <f>_xlfn.XLOOKUP(B342,Master[Product_Code],Master[Stock_Qty])</f>
        <v>5</v>
      </c>
      <c r="J342" s="6">
        <f>SUMIFS(
  Sales_Entry[Qty],
  Sales_Entry[Product_Code], Stock_Table[[#This Row],[Product_Code]]
)</f>
        <v>2</v>
      </c>
      <c r="K342" s="4">
        <f>SUMIFS(
  Exchange_Return[Qty],
  Exchange_Return[Product_Code], Stock_Table[[#This Row],[Product_Code]]
)</f>
        <v>0</v>
      </c>
      <c r="L342" s="4">
        <f>I342-J342+K342</f>
        <v>3</v>
      </c>
      <c r="M342" s="2" t="str" cm="1">
        <f t="array" ref="M342">_xlfn.IFS(L342=0,"Out of Stock",L342&gt;=2,"Limited Stock",L342&lt;2,"In Stock")</f>
        <v>Limited Stock</v>
      </c>
    </row>
    <row r="343" spans="2:13">
      <c r="B343" s="2" t="s">
        <v>897</v>
      </c>
      <c r="C343" s="5" t="str">
        <f>_xlfn.XLOOKUP(B343,Master[Product_Code],Master[Category])</f>
        <v>Jeans</v>
      </c>
      <c r="D343" s="2" t="str">
        <f>_xlfn.XLOOKUP(B343,Master[Product_Code],Master[Brand])</f>
        <v>Denim Pro</v>
      </c>
      <c r="E343" s="2" t="str">
        <f>_xlfn.XLOOKUP(B343,Master[Product_Code],Master[Style])</f>
        <v>Mom Fit</v>
      </c>
      <c r="F343" s="2" t="str">
        <f>_xlfn.XLOOKUP(B343,Master[Product_Code],Master[Fabric])</f>
        <v>Denim</v>
      </c>
      <c r="G343" s="2">
        <f>_xlfn.XLOOKUP(B343,Master[Product_Code],Master[Size])</f>
        <v>44</v>
      </c>
      <c r="H343" s="2" t="str">
        <f>_xlfn.XLOOKUP(B343,Master[Product_Code],Master[Color])</f>
        <v>White</v>
      </c>
      <c r="I343" s="4">
        <f>_xlfn.XLOOKUP(B343,Master[Product_Code],Master[Stock_Qty])</f>
        <v>3</v>
      </c>
      <c r="J343" s="6">
        <f>SUMIFS(
  Sales_Entry[Qty],
  Sales_Entry[Product_Code], Stock_Table[[#This Row],[Product_Code]]
)</f>
        <v>1</v>
      </c>
      <c r="K343" s="4">
        <f>SUMIFS(
  Exchange_Return[Qty],
  Exchange_Return[Product_Code], Stock_Table[[#This Row],[Product_Code]]
)</f>
        <v>0</v>
      </c>
      <c r="L343" s="4">
        <f>I343-J343+K343</f>
        <v>2</v>
      </c>
      <c r="M343" s="2" t="str" cm="1">
        <f t="array" ref="M343">_xlfn.IFS(L343=0,"Out of Stock",L343&gt;=2,"Limited Stock",L343&lt;2,"In Stock")</f>
        <v>Limited Stock</v>
      </c>
    </row>
    <row r="344" spans="2:13">
      <c r="B344" s="2" t="s">
        <v>898</v>
      </c>
      <c r="C344" s="5" t="str">
        <f>_xlfn.XLOOKUP(B344,Master[Product_Code],Master[Category])</f>
        <v>Jeans</v>
      </c>
      <c r="D344" s="2" t="str">
        <f>_xlfn.XLOOKUP(B344,Master[Product_Code],Master[Brand])</f>
        <v>Wrangler</v>
      </c>
      <c r="E344" s="2" t="str">
        <f>_xlfn.XLOOKUP(B344,Master[Product_Code],Master[Style])</f>
        <v>Mom Fit</v>
      </c>
      <c r="F344" s="2" t="str">
        <f>_xlfn.XLOOKUP(B344,Master[Product_Code],Master[Fabric])</f>
        <v>Denim</v>
      </c>
      <c r="G344" s="2">
        <f>_xlfn.XLOOKUP(B344,Master[Product_Code],Master[Size])</f>
        <v>44</v>
      </c>
      <c r="H344" s="2" t="str">
        <f>_xlfn.XLOOKUP(B344,Master[Product_Code],Master[Color])</f>
        <v>Sky Blue</v>
      </c>
      <c r="I344" s="4">
        <f>_xlfn.XLOOKUP(B344,Master[Product_Code],Master[Stock_Qty])</f>
        <v>3</v>
      </c>
      <c r="J344" s="6">
        <f>SUMIFS(
  Sales_Entry[Qty],
  Sales_Entry[Product_Code], Stock_Table[[#This Row],[Product_Code]]
)</f>
        <v>1</v>
      </c>
      <c r="K344" s="4">
        <f>SUMIFS(
  Exchange_Return[Qty],
  Exchange_Return[Product_Code], Stock_Table[[#This Row],[Product_Code]]
)</f>
        <v>0</v>
      </c>
      <c r="L344" s="4">
        <f>I344-J344+K344</f>
        <v>2</v>
      </c>
      <c r="M344" s="2" t="str" cm="1">
        <f t="array" ref="M344">_xlfn.IFS(L344=0,"Out of Stock",L344&gt;=2,"Limited Stock",L344&lt;2,"In Stock")</f>
        <v>Limited Stock</v>
      </c>
    </row>
    <row r="345" spans="2:13">
      <c r="B345" s="2" t="s">
        <v>899</v>
      </c>
      <c r="C345" s="5" t="str">
        <f>_xlfn.XLOOKUP(B345,Master[Product_Code],Master[Category])</f>
        <v>Jeans</v>
      </c>
      <c r="D345" s="2" t="str">
        <f>_xlfn.XLOOKUP(B345,Master[Product_Code],Master[Brand])</f>
        <v>Spykar</v>
      </c>
      <c r="E345" s="2" t="str">
        <f>_xlfn.XLOOKUP(B345,Master[Product_Code],Master[Style])</f>
        <v>Jogger</v>
      </c>
      <c r="F345" s="2" t="str">
        <f>_xlfn.XLOOKUP(B345,Master[Product_Code],Master[Fabric])</f>
        <v>Denim</v>
      </c>
      <c r="G345" s="2">
        <f>_xlfn.XLOOKUP(B345,Master[Product_Code],Master[Size])</f>
        <v>34</v>
      </c>
      <c r="H345" s="2" t="str">
        <f>_xlfn.XLOOKUP(B345,Master[Product_Code],Master[Color])</f>
        <v>Grey</v>
      </c>
      <c r="I345" s="4">
        <f>_xlfn.XLOOKUP(B345,Master[Product_Code],Master[Stock_Qty])</f>
        <v>4</v>
      </c>
      <c r="J345" s="6">
        <f>SUMIFS(
  Sales_Entry[Qty],
  Sales_Entry[Product_Code], Stock_Table[[#This Row],[Product_Code]]
)</f>
        <v>1</v>
      </c>
      <c r="K345" s="4">
        <f>SUMIFS(
  Exchange_Return[Qty],
  Exchange_Return[Product_Code], Stock_Table[[#This Row],[Product_Code]]
)</f>
        <v>0</v>
      </c>
      <c r="L345" s="4">
        <f>I345-J345+K345</f>
        <v>3</v>
      </c>
      <c r="M345" s="2" t="str" cm="1">
        <f t="array" ref="M345">_xlfn.IFS(L345=0,"Out of Stock",L345&gt;=2,"Limited Stock",L345&lt;2,"In Stock")</f>
        <v>Limited Stock</v>
      </c>
    </row>
    <row r="346" spans="2:13">
      <c r="B346" s="2" t="s">
        <v>900</v>
      </c>
      <c r="C346" s="5" t="str">
        <f>_xlfn.XLOOKUP(B346,Master[Product_Code],Master[Category])</f>
        <v>Jeans</v>
      </c>
      <c r="D346" s="2" t="str">
        <f>_xlfn.XLOOKUP(B346,Master[Product_Code],Master[Brand])</f>
        <v>Denim Pro</v>
      </c>
      <c r="E346" s="2" t="str">
        <f>_xlfn.XLOOKUP(B346,Master[Product_Code],Master[Style])</f>
        <v>Mom Fit</v>
      </c>
      <c r="F346" s="2" t="str">
        <f>_xlfn.XLOOKUP(B346,Master[Product_Code],Master[Fabric])</f>
        <v>Denim</v>
      </c>
      <c r="G346" s="2">
        <f>_xlfn.XLOOKUP(B346,Master[Product_Code],Master[Size])</f>
        <v>30</v>
      </c>
      <c r="H346" s="2" t="str">
        <f>_xlfn.XLOOKUP(B346,Master[Product_Code],Master[Color])</f>
        <v>Light Grey</v>
      </c>
      <c r="I346" s="4">
        <f>_xlfn.XLOOKUP(B346,Master[Product_Code],Master[Stock_Qty])</f>
        <v>5</v>
      </c>
      <c r="J346" s="6">
        <f>SUMIFS(
  Sales_Entry[Qty],
  Sales_Entry[Product_Code], Stock_Table[[#This Row],[Product_Code]]
)</f>
        <v>3</v>
      </c>
      <c r="K346" s="4">
        <f>SUMIFS(
  Exchange_Return[Qty],
  Exchange_Return[Product_Code], Stock_Table[[#This Row],[Product_Code]]
)</f>
        <v>0</v>
      </c>
      <c r="L346" s="4">
        <f>I346-J346+K346</f>
        <v>2</v>
      </c>
      <c r="M346" s="2" t="str" cm="1">
        <f t="array" ref="M346">_xlfn.IFS(L346=0,"Out of Stock",L346&gt;=2,"Limited Stock",L346&lt;2,"In Stock")</f>
        <v>Limited Stock</v>
      </c>
    </row>
    <row r="347" spans="2:13">
      <c r="B347" s="2" t="s">
        <v>901</v>
      </c>
      <c r="C347" s="5" t="str">
        <f>_xlfn.XLOOKUP(B347,Master[Product_Code],Master[Category])</f>
        <v>Jeans</v>
      </c>
      <c r="D347" s="2" t="str">
        <f>_xlfn.XLOOKUP(B347,Master[Product_Code],Master[Brand])</f>
        <v>Levis</v>
      </c>
      <c r="E347" s="2" t="str">
        <f>_xlfn.XLOOKUP(B347,Master[Product_Code],Master[Style])</f>
        <v>Jogger</v>
      </c>
      <c r="F347" s="2" t="str">
        <f>_xlfn.XLOOKUP(B347,Master[Product_Code],Master[Fabric])</f>
        <v>Denim</v>
      </c>
      <c r="G347" s="2">
        <f>_xlfn.XLOOKUP(B347,Master[Product_Code],Master[Size])</f>
        <v>30</v>
      </c>
      <c r="H347" s="2" t="str">
        <f>_xlfn.XLOOKUP(B347,Master[Product_Code],Master[Color])</f>
        <v>Olive</v>
      </c>
      <c r="I347" s="4">
        <f>_xlfn.XLOOKUP(B347,Master[Product_Code],Master[Stock_Qty])</f>
        <v>4</v>
      </c>
      <c r="J347" s="6">
        <f>SUMIFS(
  Sales_Entry[Qty],
  Sales_Entry[Product_Code], Stock_Table[[#This Row],[Product_Code]]
)</f>
        <v>0</v>
      </c>
      <c r="K347" s="4">
        <f>SUMIFS(
  Exchange_Return[Qty],
  Exchange_Return[Product_Code], Stock_Table[[#This Row],[Product_Code]]
)</f>
        <v>0</v>
      </c>
      <c r="L347" s="4">
        <f>I347-J347+K347</f>
        <v>4</v>
      </c>
      <c r="M347" s="2" t="str" cm="1">
        <f t="array" ref="M347">_xlfn.IFS(L347=0,"Out of Stock",L347&gt;=2,"Limited Stock",L347&lt;2,"In Stock")</f>
        <v>Limited Stock</v>
      </c>
    </row>
    <row r="348" spans="2:13">
      <c r="B348" s="2" t="s">
        <v>902</v>
      </c>
      <c r="C348" s="5" t="str">
        <f>_xlfn.XLOOKUP(B348,Master[Product_Code],Master[Category])</f>
        <v>Jeans</v>
      </c>
      <c r="D348" s="2" t="str">
        <f>_xlfn.XLOOKUP(B348,Master[Product_Code],Master[Brand])</f>
        <v>Levis</v>
      </c>
      <c r="E348" s="2" t="str">
        <f>_xlfn.XLOOKUP(B348,Master[Product_Code],Master[Style])</f>
        <v>Jogger</v>
      </c>
      <c r="F348" s="2" t="str">
        <f>_xlfn.XLOOKUP(B348,Master[Product_Code],Master[Fabric])</f>
        <v>Denim</v>
      </c>
      <c r="G348" s="2">
        <f>_xlfn.XLOOKUP(B348,Master[Product_Code],Master[Size])</f>
        <v>32</v>
      </c>
      <c r="H348" s="2" t="str">
        <f>_xlfn.XLOOKUP(B348,Master[Product_Code],Master[Color])</f>
        <v>Dark Green</v>
      </c>
      <c r="I348" s="4">
        <f>_xlfn.XLOOKUP(B348,Master[Product_Code],Master[Stock_Qty])</f>
        <v>6</v>
      </c>
      <c r="J348" s="6">
        <f>SUMIFS(
  Sales_Entry[Qty],
  Sales_Entry[Product_Code], Stock_Table[[#This Row],[Product_Code]]
)</f>
        <v>1</v>
      </c>
      <c r="K348" s="4">
        <f>SUMIFS(
  Exchange_Return[Qty],
  Exchange_Return[Product_Code], Stock_Table[[#This Row],[Product_Code]]
)</f>
        <v>0</v>
      </c>
      <c r="L348" s="4">
        <f>I348-J348+K348</f>
        <v>5</v>
      </c>
      <c r="M348" s="2" t="str" cm="1">
        <f t="array" ref="M348">_xlfn.IFS(L348=0,"Out of Stock",L348&gt;=2,"Limited Stock",L348&lt;2,"In Stock")</f>
        <v>Limited Stock</v>
      </c>
    </row>
    <row r="349" spans="2:13">
      <c r="B349" s="2" t="s">
        <v>903</v>
      </c>
      <c r="C349" s="5" t="str">
        <f>_xlfn.XLOOKUP(B349,Master[Product_Code],Master[Category])</f>
        <v>Jeans</v>
      </c>
      <c r="D349" s="2" t="str">
        <f>_xlfn.XLOOKUP(B349,Master[Product_Code],Master[Brand])</f>
        <v>Wrangler</v>
      </c>
      <c r="E349" s="2" t="str">
        <f>_xlfn.XLOOKUP(B349,Master[Product_Code],Master[Style])</f>
        <v>Jogger</v>
      </c>
      <c r="F349" s="2" t="str">
        <f>_xlfn.XLOOKUP(B349,Master[Product_Code],Master[Fabric])</f>
        <v>Denim</v>
      </c>
      <c r="G349" s="2">
        <f>_xlfn.XLOOKUP(B349,Master[Product_Code],Master[Size])</f>
        <v>38</v>
      </c>
      <c r="H349" s="2" t="str">
        <f>_xlfn.XLOOKUP(B349,Master[Product_Code],Master[Color])</f>
        <v>Bottle Green</v>
      </c>
      <c r="I349" s="4">
        <f>_xlfn.XLOOKUP(B349,Master[Product_Code],Master[Stock_Qty])</f>
        <v>6</v>
      </c>
      <c r="J349" s="6">
        <f>SUMIFS(
  Sales_Entry[Qty],
  Sales_Entry[Product_Code], Stock_Table[[#This Row],[Product_Code]]
)</f>
        <v>1</v>
      </c>
      <c r="K349" s="4">
        <f>SUMIFS(
  Exchange_Return[Qty],
  Exchange_Return[Product_Code], Stock_Table[[#This Row],[Product_Code]]
)</f>
        <v>0</v>
      </c>
      <c r="L349" s="4">
        <f>I349-J349+K349</f>
        <v>5</v>
      </c>
      <c r="M349" s="2" t="str" cm="1">
        <f t="array" ref="M349">_xlfn.IFS(L349=0,"Out of Stock",L349&gt;=2,"Limited Stock",L349&lt;2,"In Stock")</f>
        <v>Limited Stock</v>
      </c>
    </row>
    <row r="350" spans="2:13">
      <c r="B350" s="2" t="s">
        <v>904</v>
      </c>
      <c r="C350" s="5" t="str">
        <f>_xlfn.XLOOKUP(B350,Master[Product_Code],Master[Category])</f>
        <v>Jeans</v>
      </c>
      <c r="D350" s="2" t="str">
        <f>_xlfn.XLOOKUP(B350,Master[Product_Code],Master[Brand])</f>
        <v>Denim Pro</v>
      </c>
      <c r="E350" s="2" t="str">
        <f>_xlfn.XLOOKUP(B350,Master[Product_Code],Master[Style])</f>
        <v>Baggy</v>
      </c>
      <c r="F350" s="2" t="str">
        <f>_xlfn.XLOOKUP(B350,Master[Product_Code],Master[Fabric])</f>
        <v>Denim</v>
      </c>
      <c r="G350" s="2">
        <f>_xlfn.XLOOKUP(B350,Master[Product_Code],Master[Size])</f>
        <v>44</v>
      </c>
      <c r="H350" s="2" t="str">
        <f>_xlfn.XLOOKUP(B350,Master[Product_Code],Master[Color])</f>
        <v>Grey</v>
      </c>
      <c r="I350" s="4">
        <f>_xlfn.XLOOKUP(B350,Master[Product_Code],Master[Stock_Qty])</f>
        <v>6</v>
      </c>
      <c r="J350" s="6">
        <f>SUMIFS(
  Sales_Entry[Qty],
  Sales_Entry[Product_Code], Stock_Table[[#This Row],[Product_Code]]
)</f>
        <v>0</v>
      </c>
      <c r="K350" s="4">
        <f>SUMIFS(
  Exchange_Return[Qty],
  Exchange_Return[Product_Code], Stock_Table[[#This Row],[Product_Code]]
)</f>
        <v>0</v>
      </c>
      <c r="L350" s="4">
        <f>I350-J350+K350</f>
        <v>6</v>
      </c>
      <c r="M350" s="2" t="str" cm="1">
        <f t="array" ref="M350">_xlfn.IFS(L350=0,"Out of Stock",L350&gt;=2,"Limited Stock",L350&lt;2,"In Stock")</f>
        <v>Limited Stock</v>
      </c>
    </row>
    <row r="351" spans="2:13">
      <c r="B351" s="2" t="s">
        <v>905</v>
      </c>
      <c r="C351" s="5" t="str">
        <f>_xlfn.XLOOKUP(B351,Master[Product_Code],Master[Category])</f>
        <v>Jeans</v>
      </c>
      <c r="D351" s="2" t="str">
        <f>_xlfn.XLOOKUP(B351,Master[Product_Code],Master[Brand])</f>
        <v>Locomotive</v>
      </c>
      <c r="E351" s="2" t="str">
        <f>_xlfn.XLOOKUP(B351,Master[Product_Code],Master[Style])</f>
        <v>Jogger</v>
      </c>
      <c r="F351" s="2" t="str">
        <f>_xlfn.XLOOKUP(B351,Master[Product_Code],Master[Fabric])</f>
        <v>Denim</v>
      </c>
      <c r="G351" s="2">
        <f>_xlfn.XLOOKUP(B351,Master[Product_Code],Master[Size])</f>
        <v>38</v>
      </c>
      <c r="H351" s="2" t="str">
        <f>_xlfn.XLOOKUP(B351,Master[Product_Code],Master[Color])</f>
        <v>Cream</v>
      </c>
      <c r="I351" s="4">
        <f>_xlfn.XLOOKUP(B351,Master[Product_Code],Master[Stock_Qty])</f>
        <v>6</v>
      </c>
      <c r="J351" s="6">
        <f>SUMIFS(
  Sales_Entry[Qty],
  Sales_Entry[Product_Code], Stock_Table[[#This Row],[Product_Code]]
)</f>
        <v>2</v>
      </c>
      <c r="K351" s="4">
        <f>SUMIFS(
  Exchange_Return[Qty],
  Exchange_Return[Product_Code], Stock_Table[[#This Row],[Product_Code]]
)</f>
        <v>0</v>
      </c>
      <c r="L351" s="4">
        <f>I351-J351+K351</f>
        <v>4</v>
      </c>
      <c r="M351" s="2" t="str" cm="1">
        <f t="array" ref="M351">_xlfn.IFS(L351=0,"Out of Stock",L351&gt;=2,"Limited Stock",L351&lt;2,"In Stock")</f>
        <v>Limited Stock</v>
      </c>
    </row>
    <row r="352" spans="2:13">
      <c r="B352" s="2" t="s">
        <v>906</v>
      </c>
      <c r="C352" s="5" t="str">
        <f>_xlfn.XLOOKUP(B352,Master[Product_Code],Master[Category])</f>
        <v>Jeans</v>
      </c>
      <c r="D352" s="2" t="str">
        <f>_xlfn.XLOOKUP(B352,Master[Product_Code],Master[Brand])</f>
        <v>Pepe</v>
      </c>
      <c r="E352" s="2" t="str">
        <f>_xlfn.XLOOKUP(B352,Master[Product_Code],Master[Style])</f>
        <v>Jogger</v>
      </c>
      <c r="F352" s="2" t="str">
        <f>_xlfn.XLOOKUP(B352,Master[Product_Code],Master[Fabric])</f>
        <v>Denim</v>
      </c>
      <c r="G352" s="2">
        <f>_xlfn.XLOOKUP(B352,Master[Product_Code],Master[Size])</f>
        <v>36</v>
      </c>
      <c r="H352" s="2" t="str">
        <f>_xlfn.XLOOKUP(B352,Master[Product_Code],Master[Color])</f>
        <v>Royal Blue</v>
      </c>
      <c r="I352" s="4">
        <f>_xlfn.XLOOKUP(B352,Master[Product_Code],Master[Stock_Qty])</f>
        <v>3</v>
      </c>
      <c r="J352" s="6">
        <f>SUMIFS(
  Sales_Entry[Qty],
  Sales_Entry[Product_Code], Stock_Table[[#This Row],[Product_Code]]
)</f>
        <v>3</v>
      </c>
      <c r="K352" s="4">
        <f>SUMIFS(
  Exchange_Return[Qty],
  Exchange_Return[Product_Code], Stock_Table[[#This Row],[Product_Code]]
)</f>
        <v>0</v>
      </c>
      <c r="L352" s="4">
        <f>I352-J352+K352</f>
        <v>0</v>
      </c>
      <c r="M352" s="2" t="str" cm="1">
        <f t="array" ref="M352">_xlfn.IFS(L352=0,"Out of Stock",L352&gt;=2,"Limited Stock",L352&lt;2,"In Stock")</f>
        <v>Out of Stock</v>
      </c>
    </row>
    <row r="353" spans="2:13">
      <c r="B353" s="2" t="s">
        <v>907</v>
      </c>
      <c r="C353" s="5" t="str">
        <f>_xlfn.XLOOKUP(B353,Master[Product_Code],Master[Category])</f>
        <v>Jeans</v>
      </c>
      <c r="D353" s="2" t="str">
        <f>_xlfn.XLOOKUP(B353,Master[Product_Code],Master[Brand])</f>
        <v>Spykar</v>
      </c>
      <c r="E353" s="2" t="str">
        <f>_xlfn.XLOOKUP(B353,Master[Product_Code],Master[Style])</f>
        <v>Baggy</v>
      </c>
      <c r="F353" s="2" t="str">
        <f>_xlfn.XLOOKUP(B353,Master[Product_Code],Master[Fabric])</f>
        <v>Denim</v>
      </c>
      <c r="G353" s="2">
        <f>_xlfn.XLOOKUP(B353,Master[Product_Code],Master[Size])</f>
        <v>36</v>
      </c>
      <c r="H353" s="2" t="str">
        <f>_xlfn.XLOOKUP(B353,Master[Product_Code],Master[Color])</f>
        <v>Charcoal</v>
      </c>
      <c r="I353" s="4">
        <f>_xlfn.XLOOKUP(B353,Master[Product_Code],Master[Stock_Qty])</f>
        <v>4</v>
      </c>
      <c r="J353" s="6">
        <f>SUMIFS(
  Sales_Entry[Qty],
  Sales_Entry[Product_Code], Stock_Table[[#This Row],[Product_Code]]
)</f>
        <v>1</v>
      </c>
      <c r="K353" s="4">
        <f>SUMIFS(
  Exchange_Return[Qty],
  Exchange_Return[Product_Code], Stock_Table[[#This Row],[Product_Code]]
)</f>
        <v>0</v>
      </c>
      <c r="L353" s="4">
        <f>I353-J353+K353</f>
        <v>3</v>
      </c>
      <c r="M353" s="2" t="str" cm="1">
        <f t="array" ref="M353">_xlfn.IFS(L353=0,"Out of Stock",L353&gt;=2,"Limited Stock",L353&lt;2,"In Stock")</f>
        <v>Limited Stock</v>
      </c>
    </row>
    <row r="354" spans="2:13">
      <c r="B354" s="2" t="s">
        <v>908</v>
      </c>
      <c r="C354" s="5" t="str">
        <f>_xlfn.XLOOKUP(B354,Master[Product_Code],Master[Category])</f>
        <v>Jeans</v>
      </c>
      <c r="D354" s="2" t="str">
        <f>_xlfn.XLOOKUP(B354,Master[Product_Code],Master[Brand])</f>
        <v>Wrangler</v>
      </c>
      <c r="E354" s="2" t="str">
        <f>_xlfn.XLOOKUP(B354,Master[Product_Code],Master[Style])</f>
        <v>Mom Fit</v>
      </c>
      <c r="F354" s="2" t="str">
        <f>_xlfn.XLOOKUP(B354,Master[Product_Code],Master[Fabric])</f>
        <v>Denim</v>
      </c>
      <c r="G354" s="2">
        <f>_xlfn.XLOOKUP(B354,Master[Product_Code],Master[Size])</f>
        <v>44</v>
      </c>
      <c r="H354" s="2" t="str">
        <f>_xlfn.XLOOKUP(B354,Master[Product_Code],Master[Color])</f>
        <v>Wine</v>
      </c>
      <c r="I354" s="4">
        <f>_xlfn.XLOOKUP(B354,Master[Product_Code],Master[Stock_Qty])</f>
        <v>4</v>
      </c>
      <c r="J354" s="6">
        <f>SUMIFS(
  Sales_Entry[Qty],
  Sales_Entry[Product_Code], Stock_Table[[#This Row],[Product_Code]]
)</f>
        <v>1</v>
      </c>
      <c r="K354" s="4">
        <f>SUMIFS(
  Exchange_Return[Qty],
  Exchange_Return[Product_Code], Stock_Table[[#This Row],[Product_Code]]
)</f>
        <v>0</v>
      </c>
      <c r="L354" s="4">
        <f>I354-J354+K354</f>
        <v>3</v>
      </c>
      <c r="M354" s="2" t="str" cm="1">
        <f t="array" ref="M354">_xlfn.IFS(L354=0,"Out of Stock",L354&gt;=2,"Limited Stock",L354&lt;2,"In Stock")</f>
        <v>Limited Stock</v>
      </c>
    </row>
    <row r="355" spans="2:13">
      <c r="B355" s="2" t="s">
        <v>909</v>
      </c>
      <c r="C355" s="5" t="str">
        <f>_xlfn.XLOOKUP(B355,Master[Product_Code],Master[Category])</f>
        <v>Jeans</v>
      </c>
      <c r="D355" s="2" t="str">
        <f>_xlfn.XLOOKUP(B355,Master[Product_Code],Master[Brand])</f>
        <v>Pepe</v>
      </c>
      <c r="E355" s="2" t="str">
        <f>_xlfn.XLOOKUP(B355,Master[Product_Code],Master[Style])</f>
        <v>Baggy</v>
      </c>
      <c r="F355" s="2" t="str">
        <f>_xlfn.XLOOKUP(B355,Master[Product_Code],Master[Fabric])</f>
        <v>Denim</v>
      </c>
      <c r="G355" s="2">
        <f>_xlfn.XLOOKUP(B355,Master[Product_Code],Master[Size])</f>
        <v>32</v>
      </c>
      <c r="H355" s="2" t="str">
        <f>_xlfn.XLOOKUP(B355,Master[Product_Code],Master[Color])</f>
        <v>Maroon</v>
      </c>
      <c r="I355" s="4">
        <f>_xlfn.XLOOKUP(B355,Master[Product_Code],Master[Stock_Qty])</f>
        <v>5</v>
      </c>
      <c r="J355" s="6">
        <f>SUMIFS(
  Sales_Entry[Qty],
  Sales_Entry[Product_Code], Stock_Table[[#This Row],[Product_Code]]
)</f>
        <v>0</v>
      </c>
      <c r="K355" s="4">
        <f>SUMIFS(
  Exchange_Return[Qty],
  Exchange_Return[Product_Code], Stock_Table[[#This Row],[Product_Code]]
)</f>
        <v>0</v>
      </c>
      <c r="L355" s="4">
        <f>I355-J355+K355</f>
        <v>5</v>
      </c>
      <c r="M355" s="2" t="str" cm="1">
        <f t="array" ref="M355">_xlfn.IFS(L355=0,"Out of Stock",L355&gt;=2,"Limited Stock",L355&lt;2,"In Stock")</f>
        <v>Limited Stock</v>
      </c>
    </row>
    <row r="356" spans="2:13">
      <c r="B356" s="2" t="s">
        <v>910</v>
      </c>
      <c r="C356" s="5" t="str">
        <f>_xlfn.XLOOKUP(B356,Master[Product_Code],Master[Category])</f>
        <v>Jeans</v>
      </c>
      <c r="D356" s="2" t="str">
        <f>_xlfn.XLOOKUP(B356,Master[Product_Code],Master[Brand])</f>
        <v>Locomotive</v>
      </c>
      <c r="E356" s="2" t="str">
        <f>_xlfn.XLOOKUP(B356,Master[Product_Code],Master[Style])</f>
        <v>Mom Fit</v>
      </c>
      <c r="F356" s="2" t="str">
        <f>_xlfn.XLOOKUP(B356,Master[Product_Code],Master[Fabric])</f>
        <v>Denim</v>
      </c>
      <c r="G356" s="2">
        <f>_xlfn.XLOOKUP(B356,Master[Product_Code],Master[Size])</f>
        <v>36</v>
      </c>
      <c r="H356" s="2" t="str">
        <f>_xlfn.XLOOKUP(B356,Master[Product_Code],Master[Color])</f>
        <v>Brown</v>
      </c>
      <c r="I356" s="4">
        <f>_xlfn.XLOOKUP(B356,Master[Product_Code],Master[Stock_Qty])</f>
        <v>3</v>
      </c>
      <c r="J356" s="6">
        <f>SUMIFS(
  Sales_Entry[Qty],
  Sales_Entry[Product_Code], Stock_Table[[#This Row],[Product_Code]]
)</f>
        <v>1</v>
      </c>
      <c r="K356" s="4">
        <f>SUMIFS(
  Exchange_Return[Qty],
  Exchange_Return[Product_Code], Stock_Table[[#This Row],[Product_Code]]
)</f>
        <v>0</v>
      </c>
      <c r="L356" s="4">
        <f>I356-J356+K356</f>
        <v>2</v>
      </c>
      <c r="M356" s="2" t="str" cm="1">
        <f t="array" ref="M356">_xlfn.IFS(L356=0,"Out of Stock",L356&gt;=2,"Limited Stock",L356&lt;2,"In Stock")</f>
        <v>Limited Stock</v>
      </c>
    </row>
    <row r="357" spans="2:13">
      <c r="B357" s="2" t="s">
        <v>911</v>
      </c>
      <c r="C357" s="5" t="str">
        <f>_xlfn.XLOOKUP(B357,Master[Product_Code],Master[Category])</f>
        <v>Jeans</v>
      </c>
      <c r="D357" s="2" t="str">
        <f>_xlfn.XLOOKUP(B357,Master[Product_Code],Master[Brand])</f>
        <v>Levis</v>
      </c>
      <c r="E357" s="2" t="str">
        <f>_xlfn.XLOOKUP(B357,Master[Product_Code],Master[Style])</f>
        <v>Jogger</v>
      </c>
      <c r="F357" s="2" t="str">
        <f>_xlfn.XLOOKUP(B357,Master[Product_Code],Master[Fabric])</f>
        <v>Denim</v>
      </c>
      <c r="G357" s="2">
        <f>_xlfn.XLOOKUP(B357,Master[Product_Code],Master[Size])</f>
        <v>30</v>
      </c>
      <c r="H357" s="2" t="str">
        <f>_xlfn.XLOOKUP(B357,Master[Product_Code],Master[Color])</f>
        <v>Mustard</v>
      </c>
      <c r="I357" s="4">
        <f>_xlfn.XLOOKUP(B357,Master[Product_Code],Master[Stock_Qty])</f>
        <v>6</v>
      </c>
      <c r="J357" s="6">
        <f>SUMIFS(
  Sales_Entry[Qty],
  Sales_Entry[Product_Code], Stock_Table[[#This Row],[Product_Code]]
)</f>
        <v>2</v>
      </c>
      <c r="K357" s="4">
        <f>SUMIFS(
  Exchange_Return[Qty],
  Exchange_Return[Product_Code], Stock_Table[[#This Row],[Product_Code]]
)</f>
        <v>0</v>
      </c>
      <c r="L357" s="4">
        <f>I357-J357+K357</f>
        <v>4</v>
      </c>
      <c r="M357" s="2" t="str" cm="1">
        <f t="array" ref="M357">_xlfn.IFS(L357=0,"Out of Stock",L357&gt;=2,"Limited Stock",L357&lt;2,"In Stock")</f>
        <v>Limited Stock</v>
      </c>
    </row>
    <row r="358" spans="2:13">
      <c r="B358" s="2" t="s">
        <v>912</v>
      </c>
      <c r="C358" s="5" t="str">
        <f>_xlfn.XLOOKUP(B358,Master[Product_Code],Master[Category])</f>
        <v>Jeans</v>
      </c>
      <c r="D358" s="2" t="str">
        <f>_xlfn.XLOOKUP(B358,Master[Product_Code],Master[Brand])</f>
        <v>Levis</v>
      </c>
      <c r="E358" s="2" t="str">
        <f>_xlfn.XLOOKUP(B358,Master[Product_Code],Master[Style])</f>
        <v>Jogger</v>
      </c>
      <c r="F358" s="2" t="str">
        <f>_xlfn.XLOOKUP(B358,Master[Product_Code],Master[Fabric])</f>
        <v>Denim</v>
      </c>
      <c r="G358" s="2">
        <f>_xlfn.XLOOKUP(B358,Master[Product_Code],Master[Size])</f>
        <v>36</v>
      </c>
      <c r="H358" s="2" t="str">
        <f>_xlfn.XLOOKUP(B358,Master[Product_Code],Master[Color])</f>
        <v>White</v>
      </c>
      <c r="I358" s="4">
        <f>_xlfn.XLOOKUP(B358,Master[Product_Code],Master[Stock_Qty])</f>
        <v>6</v>
      </c>
      <c r="J358" s="6">
        <f>SUMIFS(
  Sales_Entry[Qty],
  Sales_Entry[Product_Code], Stock_Table[[#This Row],[Product_Code]]
)</f>
        <v>2</v>
      </c>
      <c r="K358" s="4">
        <f>SUMIFS(
  Exchange_Return[Qty],
  Exchange_Return[Product_Code], Stock_Table[[#This Row],[Product_Code]]
)</f>
        <v>0</v>
      </c>
      <c r="L358" s="4">
        <f>I358-J358+K358</f>
        <v>4</v>
      </c>
      <c r="M358" s="2" t="str" cm="1">
        <f t="array" ref="M358">_xlfn.IFS(L358=0,"Out of Stock",L358&gt;=2,"Limited Stock",L358&lt;2,"In Stock")</f>
        <v>Limited Stock</v>
      </c>
    </row>
    <row r="359" spans="2:13">
      <c r="B359" s="2" t="s">
        <v>913</v>
      </c>
      <c r="C359" s="5" t="str">
        <f>_xlfn.XLOOKUP(B359,Master[Product_Code],Master[Category])</f>
        <v>Jeans</v>
      </c>
      <c r="D359" s="2" t="str">
        <f>_xlfn.XLOOKUP(B359,Master[Product_Code],Master[Brand])</f>
        <v>Pepe</v>
      </c>
      <c r="E359" s="2" t="str">
        <f>_xlfn.XLOOKUP(B359,Master[Product_Code],Master[Style])</f>
        <v>Baggy</v>
      </c>
      <c r="F359" s="2" t="str">
        <f>_xlfn.XLOOKUP(B359,Master[Product_Code],Master[Fabric])</f>
        <v>Denim</v>
      </c>
      <c r="G359" s="2">
        <f>_xlfn.XLOOKUP(B359,Master[Product_Code],Master[Size])</f>
        <v>40</v>
      </c>
      <c r="H359" s="2" t="str">
        <f>_xlfn.XLOOKUP(B359,Master[Product_Code],Master[Color])</f>
        <v>Bottle Green</v>
      </c>
      <c r="I359" s="4">
        <f>_xlfn.XLOOKUP(B359,Master[Product_Code],Master[Stock_Qty])</f>
        <v>3</v>
      </c>
      <c r="J359" s="6">
        <f>SUMIFS(
  Sales_Entry[Qty],
  Sales_Entry[Product_Code], Stock_Table[[#This Row],[Product_Code]]
)</f>
        <v>3</v>
      </c>
      <c r="K359" s="4">
        <f>SUMIFS(
  Exchange_Return[Qty],
  Exchange_Return[Product_Code], Stock_Table[[#This Row],[Product_Code]]
)</f>
        <v>0</v>
      </c>
      <c r="L359" s="4">
        <f>I359-J359+K359</f>
        <v>0</v>
      </c>
      <c r="M359" s="2" t="str" cm="1">
        <f t="array" ref="M359">_xlfn.IFS(L359=0,"Out of Stock",L359&gt;=2,"Limited Stock",L359&lt;2,"In Stock")</f>
        <v>Out of Stock</v>
      </c>
    </row>
    <row r="360" spans="2:13">
      <c r="B360" s="2" t="s">
        <v>914</v>
      </c>
      <c r="C360" s="5" t="str">
        <f>_xlfn.XLOOKUP(B360,Master[Product_Code],Master[Category])</f>
        <v>Jeans</v>
      </c>
      <c r="D360" s="2" t="str">
        <f>_xlfn.XLOOKUP(B360,Master[Product_Code],Master[Brand])</f>
        <v>Spykar</v>
      </c>
      <c r="E360" s="2" t="str">
        <f>_xlfn.XLOOKUP(B360,Master[Product_Code],Master[Style])</f>
        <v>Jogger</v>
      </c>
      <c r="F360" s="2" t="str">
        <f>_xlfn.XLOOKUP(B360,Master[Product_Code],Master[Fabric])</f>
        <v>Denim</v>
      </c>
      <c r="G360" s="2">
        <f>_xlfn.XLOOKUP(B360,Master[Product_Code],Master[Size])</f>
        <v>40</v>
      </c>
      <c r="H360" s="2" t="str">
        <f>_xlfn.XLOOKUP(B360,Master[Product_Code],Master[Color])</f>
        <v>White</v>
      </c>
      <c r="I360" s="4">
        <f>_xlfn.XLOOKUP(B360,Master[Product_Code],Master[Stock_Qty])</f>
        <v>5</v>
      </c>
      <c r="J360" s="6">
        <f>SUMIFS(
  Sales_Entry[Qty],
  Sales_Entry[Product_Code], Stock_Table[[#This Row],[Product_Code]]
)</f>
        <v>2</v>
      </c>
      <c r="K360" s="4">
        <f>SUMIFS(
  Exchange_Return[Qty],
  Exchange_Return[Product_Code], Stock_Table[[#This Row],[Product_Code]]
)</f>
        <v>0</v>
      </c>
      <c r="L360" s="4">
        <f>I360-J360+K360</f>
        <v>3</v>
      </c>
      <c r="M360" s="2" t="str" cm="1">
        <f t="array" ref="M360">_xlfn.IFS(L360=0,"Out of Stock",L360&gt;=2,"Limited Stock",L360&lt;2,"In Stock")</f>
        <v>Limited Stock</v>
      </c>
    </row>
    <row r="361" spans="2:13">
      <c r="B361" s="2" t="s">
        <v>915</v>
      </c>
      <c r="C361" s="5" t="str">
        <f>_xlfn.XLOOKUP(B361,Master[Product_Code],Master[Category])</f>
        <v>Jeans</v>
      </c>
      <c r="D361" s="2" t="str">
        <f>_xlfn.XLOOKUP(B361,Master[Product_Code],Master[Brand])</f>
        <v>Pepe</v>
      </c>
      <c r="E361" s="2" t="str">
        <f>_xlfn.XLOOKUP(B361,Master[Product_Code],Master[Style])</f>
        <v>Baggy</v>
      </c>
      <c r="F361" s="2" t="str">
        <f>_xlfn.XLOOKUP(B361,Master[Product_Code],Master[Fabric])</f>
        <v>Denim</v>
      </c>
      <c r="G361" s="2">
        <f>_xlfn.XLOOKUP(B361,Master[Product_Code],Master[Size])</f>
        <v>38</v>
      </c>
      <c r="H361" s="2" t="str">
        <f>_xlfn.XLOOKUP(B361,Master[Product_Code],Master[Color])</f>
        <v>Wine</v>
      </c>
      <c r="I361" s="4">
        <f>_xlfn.XLOOKUP(B361,Master[Product_Code],Master[Stock_Qty])</f>
        <v>4</v>
      </c>
      <c r="J361" s="6">
        <f>SUMIFS(
  Sales_Entry[Qty],
  Sales_Entry[Product_Code], Stock_Table[[#This Row],[Product_Code]]
)</f>
        <v>0</v>
      </c>
      <c r="K361" s="4">
        <f>SUMIFS(
  Exchange_Return[Qty],
  Exchange_Return[Product_Code], Stock_Table[[#This Row],[Product_Code]]
)</f>
        <v>0</v>
      </c>
      <c r="L361" s="4">
        <f>I361-J361+K361</f>
        <v>4</v>
      </c>
      <c r="M361" s="2" t="str" cm="1">
        <f t="array" ref="M361">_xlfn.IFS(L361=0,"Out of Stock",L361&gt;=2,"Limited Stock",L361&lt;2,"In Stock")</f>
        <v>Limited Stock</v>
      </c>
    </row>
    <row r="362" spans="2:13">
      <c r="B362" s="2" t="s">
        <v>916</v>
      </c>
      <c r="C362" s="5" t="str">
        <f>_xlfn.XLOOKUP(B362,Master[Product_Code],Master[Category])</f>
        <v>Jeans</v>
      </c>
      <c r="D362" s="2" t="str">
        <f>_xlfn.XLOOKUP(B362,Master[Product_Code],Master[Brand])</f>
        <v>Pepe</v>
      </c>
      <c r="E362" s="2" t="str">
        <f>_xlfn.XLOOKUP(B362,Master[Product_Code],Master[Style])</f>
        <v>Jogger</v>
      </c>
      <c r="F362" s="2" t="str">
        <f>_xlfn.XLOOKUP(B362,Master[Product_Code],Master[Fabric])</f>
        <v>Denim</v>
      </c>
      <c r="G362" s="2">
        <f>_xlfn.XLOOKUP(B362,Master[Product_Code],Master[Size])</f>
        <v>42</v>
      </c>
      <c r="H362" s="2" t="str">
        <f>_xlfn.XLOOKUP(B362,Master[Product_Code],Master[Color])</f>
        <v>Royal Blue</v>
      </c>
      <c r="I362" s="4">
        <f>_xlfn.XLOOKUP(B362,Master[Product_Code],Master[Stock_Qty])</f>
        <v>3</v>
      </c>
      <c r="J362" s="6">
        <f>SUMIFS(
  Sales_Entry[Qty],
  Sales_Entry[Product_Code], Stock_Table[[#This Row],[Product_Code]]
)</f>
        <v>1</v>
      </c>
      <c r="K362" s="4">
        <f>SUMIFS(
  Exchange_Return[Qty],
  Exchange_Return[Product_Code], Stock_Table[[#This Row],[Product_Code]]
)</f>
        <v>0</v>
      </c>
      <c r="L362" s="4">
        <f>I362-J362+K362</f>
        <v>2</v>
      </c>
      <c r="M362" s="2" t="str" cm="1">
        <f t="array" ref="M362">_xlfn.IFS(L362=0,"Out of Stock",L362&gt;=2,"Limited Stock",L362&lt;2,"In Stock")</f>
        <v>Limited Stock</v>
      </c>
    </row>
    <row r="363" spans="2:13">
      <c r="B363" s="2" t="s">
        <v>917</v>
      </c>
      <c r="C363" s="5" t="str">
        <f>_xlfn.XLOOKUP(B363,Master[Product_Code],Master[Category])</f>
        <v>Jeans</v>
      </c>
      <c r="D363" s="2" t="str">
        <f>_xlfn.XLOOKUP(B363,Master[Product_Code],Master[Brand])</f>
        <v>Levis</v>
      </c>
      <c r="E363" s="2" t="str">
        <f>_xlfn.XLOOKUP(B363,Master[Product_Code],Master[Style])</f>
        <v>Baggy</v>
      </c>
      <c r="F363" s="2" t="str">
        <f>_xlfn.XLOOKUP(B363,Master[Product_Code],Master[Fabric])</f>
        <v>Denim</v>
      </c>
      <c r="G363" s="2">
        <f>_xlfn.XLOOKUP(B363,Master[Product_Code],Master[Size])</f>
        <v>32</v>
      </c>
      <c r="H363" s="2" t="str">
        <f>_xlfn.XLOOKUP(B363,Master[Product_Code],Master[Color])</f>
        <v>Maroon</v>
      </c>
      <c r="I363" s="4">
        <f>_xlfn.XLOOKUP(B363,Master[Product_Code],Master[Stock_Qty])</f>
        <v>5</v>
      </c>
      <c r="J363" s="6">
        <f>SUMIFS(
  Sales_Entry[Qty],
  Sales_Entry[Product_Code], Stock_Table[[#This Row],[Product_Code]]
)</f>
        <v>1</v>
      </c>
      <c r="K363" s="4">
        <f>SUMIFS(
  Exchange_Return[Qty],
  Exchange_Return[Product_Code], Stock_Table[[#This Row],[Product_Code]]
)</f>
        <v>0</v>
      </c>
      <c r="L363" s="4">
        <f>I363-J363+K363</f>
        <v>4</v>
      </c>
      <c r="M363" s="2" t="str" cm="1">
        <f t="array" ref="M363">_xlfn.IFS(L363=0,"Out of Stock",L363&gt;=2,"Limited Stock",L363&lt;2,"In Stock")</f>
        <v>Limited Stock</v>
      </c>
    </row>
    <row r="364" spans="2:13">
      <c r="B364" s="2" t="s">
        <v>918</v>
      </c>
      <c r="C364" s="5" t="str">
        <f>_xlfn.XLOOKUP(B364,Master[Product_Code],Master[Category])</f>
        <v>Jeans</v>
      </c>
      <c r="D364" s="2" t="str">
        <f>_xlfn.XLOOKUP(B364,Master[Product_Code],Master[Brand])</f>
        <v>Levis</v>
      </c>
      <c r="E364" s="2" t="str">
        <f>_xlfn.XLOOKUP(B364,Master[Product_Code],Master[Style])</f>
        <v>Jogger</v>
      </c>
      <c r="F364" s="2" t="str">
        <f>_xlfn.XLOOKUP(B364,Master[Product_Code],Master[Fabric])</f>
        <v>Denim</v>
      </c>
      <c r="G364" s="2">
        <f>_xlfn.XLOOKUP(B364,Master[Product_Code],Master[Size])</f>
        <v>44</v>
      </c>
      <c r="H364" s="2" t="str">
        <f>_xlfn.XLOOKUP(B364,Master[Product_Code],Master[Color])</f>
        <v>Rust</v>
      </c>
      <c r="I364" s="4">
        <f>_xlfn.XLOOKUP(B364,Master[Product_Code],Master[Stock_Qty])</f>
        <v>5</v>
      </c>
      <c r="J364" s="6">
        <f>SUMIFS(
  Sales_Entry[Qty],
  Sales_Entry[Product_Code], Stock_Table[[#This Row],[Product_Code]]
)</f>
        <v>2</v>
      </c>
      <c r="K364" s="4">
        <f>SUMIFS(
  Exchange_Return[Qty],
  Exchange_Return[Product_Code], Stock_Table[[#This Row],[Product_Code]]
)</f>
        <v>0</v>
      </c>
      <c r="L364" s="4">
        <f>I364-J364+K364</f>
        <v>3</v>
      </c>
      <c r="M364" s="2" t="str" cm="1">
        <f t="array" ref="M364">_xlfn.IFS(L364=0,"Out of Stock",L364&gt;=2,"Limited Stock",L364&lt;2,"In Stock")</f>
        <v>Limited Stock</v>
      </c>
    </row>
    <row r="365" spans="2:13">
      <c r="B365" s="2" t="s">
        <v>919</v>
      </c>
      <c r="C365" s="5" t="str">
        <f>_xlfn.XLOOKUP(B365,Master[Product_Code],Master[Category])</f>
        <v>Jeans</v>
      </c>
      <c r="D365" s="2" t="str">
        <f>_xlfn.XLOOKUP(B365,Master[Product_Code],Master[Brand])</f>
        <v>Levis</v>
      </c>
      <c r="E365" s="2" t="str">
        <f>_xlfn.XLOOKUP(B365,Master[Product_Code],Master[Style])</f>
        <v>Jogger</v>
      </c>
      <c r="F365" s="2" t="str">
        <f>_xlfn.XLOOKUP(B365,Master[Product_Code],Master[Fabric])</f>
        <v>Denim</v>
      </c>
      <c r="G365" s="2">
        <f>_xlfn.XLOOKUP(B365,Master[Product_Code],Master[Size])</f>
        <v>32</v>
      </c>
      <c r="H365" s="2" t="str">
        <f>_xlfn.XLOOKUP(B365,Master[Product_Code],Master[Color])</f>
        <v>Maroon</v>
      </c>
      <c r="I365" s="4">
        <f>_xlfn.XLOOKUP(B365,Master[Product_Code],Master[Stock_Qty])</f>
        <v>6</v>
      </c>
      <c r="J365" s="6">
        <f>SUMIFS(
  Sales_Entry[Qty],
  Sales_Entry[Product_Code], Stock_Table[[#This Row],[Product_Code]]
)</f>
        <v>1</v>
      </c>
      <c r="K365" s="4">
        <f>SUMIFS(
  Exchange_Return[Qty],
  Exchange_Return[Product_Code], Stock_Table[[#This Row],[Product_Code]]
)</f>
        <v>0</v>
      </c>
      <c r="L365" s="4">
        <f>I365-J365+K365</f>
        <v>5</v>
      </c>
      <c r="M365" s="2" t="str" cm="1">
        <f t="array" ref="M365">_xlfn.IFS(L365=0,"Out of Stock",L365&gt;=2,"Limited Stock",L365&lt;2,"In Stock")</f>
        <v>Limited Stock</v>
      </c>
    </row>
    <row r="366" spans="2:13">
      <c r="B366" s="2" t="s">
        <v>920</v>
      </c>
      <c r="C366" s="5" t="str">
        <f>_xlfn.XLOOKUP(B366,Master[Product_Code],Master[Category])</f>
        <v>Jeans</v>
      </c>
      <c r="D366" s="2" t="str">
        <f>_xlfn.XLOOKUP(B366,Master[Product_Code],Master[Brand])</f>
        <v>Spykar</v>
      </c>
      <c r="E366" s="2" t="str">
        <f>_xlfn.XLOOKUP(B366,Master[Product_Code],Master[Style])</f>
        <v>Baggy</v>
      </c>
      <c r="F366" s="2" t="str">
        <f>_xlfn.XLOOKUP(B366,Master[Product_Code],Master[Fabric])</f>
        <v>Denim</v>
      </c>
      <c r="G366" s="2">
        <f>_xlfn.XLOOKUP(B366,Master[Product_Code],Master[Size])</f>
        <v>34</v>
      </c>
      <c r="H366" s="2" t="str">
        <f>_xlfn.XLOOKUP(B366,Master[Product_Code],Master[Color])</f>
        <v>Dark Green</v>
      </c>
      <c r="I366" s="4">
        <f>_xlfn.XLOOKUP(B366,Master[Product_Code],Master[Stock_Qty])</f>
        <v>4</v>
      </c>
      <c r="J366" s="6">
        <f>SUMIFS(
  Sales_Entry[Qty],
  Sales_Entry[Product_Code], Stock_Table[[#This Row],[Product_Code]]
)</f>
        <v>1</v>
      </c>
      <c r="K366" s="4">
        <f>SUMIFS(
  Exchange_Return[Qty],
  Exchange_Return[Product_Code], Stock_Table[[#This Row],[Product_Code]]
)</f>
        <v>0</v>
      </c>
      <c r="L366" s="4">
        <f>I366-J366+K366</f>
        <v>3</v>
      </c>
      <c r="M366" s="2" t="str" cm="1">
        <f t="array" ref="M366">_xlfn.IFS(L366=0,"Out of Stock",L366&gt;=2,"Limited Stock",L366&lt;2,"In Stock")</f>
        <v>Limited Stock</v>
      </c>
    </row>
    <row r="367" spans="2:13">
      <c r="B367" s="2" t="s">
        <v>921</v>
      </c>
      <c r="C367" s="5" t="str">
        <f>_xlfn.XLOOKUP(B367,Master[Product_Code],Master[Category])</f>
        <v>Jeans</v>
      </c>
      <c r="D367" s="2" t="str">
        <f>_xlfn.XLOOKUP(B367,Master[Product_Code],Master[Brand])</f>
        <v>Pepe</v>
      </c>
      <c r="E367" s="2" t="str">
        <f>_xlfn.XLOOKUP(B367,Master[Product_Code],Master[Style])</f>
        <v>Baggy</v>
      </c>
      <c r="F367" s="2" t="str">
        <f>_xlfn.XLOOKUP(B367,Master[Product_Code],Master[Fabric])</f>
        <v>Denim</v>
      </c>
      <c r="G367" s="2">
        <f>_xlfn.XLOOKUP(B367,Master[Product_Code],Master[Size])</f>
        <v>38</v>
      </c>
      <c r="H367" s="2" t="str">
        <f>_xlfn.XLOOKUP(B367,Master[Product_Code],Master[Color])</f>
        <v>Light Grey</v>
      </c>
      <c r="I367" s="4">
        <f>_xlfn.XLOOKUP(B367,Master[Product_Code],Master[Stock_Qty])</f>
        <v>3</v>
      </c>
      <c r="J367" s="6">
        <f>SUMIFS(
  Sales_Entry[Qty],
  Sales_Entry[Product_Code], Stock_Table[[#This Row],[Product_Code]]
)</f>
        <v>0</v>
      </c>
      <c r="K367" s="4">
        <f>SUMIFS(
  Exchange_Return[Qty],
  Exchange_Return[Product_Code], Stock_Table[[#This Row],[Product_Code]]
)</f>
        <v>0</v>
      </c>
      <c r="L367" s="4">
        <f>I367-J367+K367</f>
        <v>3</v>
      </c>
      <c r="M367" s="2" t="str" cm="1">
        <f t="array" ref="M367">_xlfn.IFS(L367=0,"Out of Stock",L367&gt;=2,"Limited Stock",L367&lt;2,"In Stock")</f>
        <v>Limited Stock</v>
      </c>
    </row>
    <row r="368" spans="2:13">
      <c r="B368" s="2" t="s">
        <v>922</v>
      </c>
      <c r="C368" s="5" t="str">
        <f>_xlfn.XLOOKUP(B368,Master[Product_Code],Master[Category])</f>
        <v>Jeans</v>
      </c>
      <c r="D368" s="2" t="str">
        <f>_xlfn.XLOOKUP(B368,Master[Product_Code],Master[Brand])</f>
        <v>Denim Pro</v>
      </c>
      <c r="E368" s="2" t="str">
        <f>_xlfn.XLOOKUP(B368,Master[Product_Code],Master[Style])</f>
        <v>Baggy</v>
      </c>
      <c r="F368" s="2" t="str">
        <f>_xlfn.XLOOKUP(B368,Master[Product_Code],Master[Fabric])</f>
        <v>Denim</v>
      </c>
      <c r="G368" s="2">
        <f>_xlfn.XLOOKUP(B368,Master[Product_Code],Master[Size])</f>
        <v>38</v>
      </c>
      <c r="H368" s="2" t="str">
        <f>_xlfn.XLOOKUP(B368,Master[Product_Code],Master[Color])</f>
        <v>Teal</v>
      </c>
      <c r="I368" s="4">
        <f>_xlfn.XLOOKUP(B368,Master[Product_Code],Master[Stock_Qty])</f>
        <v>4</v>
      </c>
      <c r="J368" s="6">
        <f>SUMIFS(
  Sales_Entry[Qty],
  Sales_Entry[Product_Code], Stock_Table[[#This Row],[Product_Code]]
)</f>
        <v>1</v>
      </c>
      <c r="K368" s="4">
        <f>SUMIFS(
  Exchange_Return[Qty],
  Exchange_Return[Product_Code], Stock_Table[[#This Row],[Product_Code]]
)</f>
        <v>0</v>
      </c>
      <c r="L368" s="4">
        <f>I368-J368+K368</f>
        <v>3</v>
      </c>
      <c r="M368" s="2" t="str" cm="1">
        <f t="array" ref="M368">_xlfn.IFS(L368=0,"Out of Stock",L368&gt;=2,"Limited Stock",L368&lt;2,"In Stock")</f>
        <v>Limited Stock</v>
      </c>
    </row>
    <row r="369" spans="2:13">
      <c r="B369" s="2" t="s">
        <v>923</v>
      </c>
      <c r="C369" s="5" t="str">
        <f>_xlfn.XLOOKUP(B369,Master[Product_Code],Master[Category])</f>
        <v>Jeans</v>
      </c>
      <c r="D369" s="2" t="str">
        <f>_xlfn.XLOOKUP(B369,Master[Product_Code],Master[Brand])</f>
        <v>Wrangler</v>
      </c>
      <c r="E369" s="2" t="str">
        <f>_xlfn.XLOOKUP(B369,Master[Product_Code],Master[Style])</f>
        <v>Jogger</v>
      </c>
      <c r="F369" s="2" t="str">
        <f>_xlfn.XLOOKUP(B369,Master[Product_Code],Master[Fabric])</f>
        <v>Denim</v>
      </c>
      <c r="G369" s="2">
        <f>_xlfn.XLOOKUP(B369,Master[Product_Code],Master[Size])</f>
        <v>36</v>
      </c>
      <c r="H369" s="2" t="str">
        <f>_xlfn.XLOOKUP(B369,Master[Product_Code],Master[Color])</f>
        <v>Olive</v>
      </c>
      <c r="I369" s="4">
        <f>_xlfn.XLOOKUP(B369,Master[Product_Code],Master[Stock_Qty])</f>
        <v>5</v>
      </c>
      <c r="J369" s="6">
        <f>SUMIFS(
  Sales_Entry[Qty],
  Sales_Entry[Product_Code], Stock_Table[[#This Row],[Product_Code]]
)</f>
        <v>1</v>
      </c>
      <c r="K369" s="4">
        <f>SUMIFS(
  Exchange_Return[Qty],
  Exchange_Return[Product_Code], Stock_Table[[#This Row],[Product_Code]]
)</f>
        <v>0</v>
      </c>
      <c r="L369" s="4">
        <f>I369-J369+K369</f>
        <v>4</v>
      </c>
      <c r="M369" s="2" t="str" cm="1">
        <f t="array" ref="M369">_xlfn.IFS(L369=0,"Out of Stock",L369&gt;=2,"Limited Stock",L369&lt;2,"In Stock")</f>
        <v>Limited Stock</v>
      </c>
    </row>
    <row r="370" spans="2:13">
      <c r="B370" s="2" t="s">
        <v>924</v>
      </c>
      <c r="C370" s="5" t="str">
        <f>_xlfn.XLOOKUP(B370,Master[Product_Code],Master[Category])</f>
        <v>Jeans</v>
      </c>
      <c r="D370" s="2" t="str">
        <f>_xlfn.XLOOKUP(B370,Master[Product_Code],Master[Brand])</f>
        <v>Levis</v>
      </c>
      <c r="E370" s="2" t="str">
        <f>_xlfn.XLOOKUP(B370,Master[Product_Code],Master[Style])</f>
        <v>Jogger</v>
      </c>
      <c r="F370" s="2" t="str">
        <f>_xlfn.XLOOKUP(B370,Master[Product_Code],Master[Fabric])</f>
        <v>Denim</v>
      </c>
      <c r="G370" s="2">
        <f>_xlfn.XLOOKUP(B370,Master[Product_Code],Master[Size])</f>
        <v>42</v>
      </c>
      <c r="H370" s="2" t="str">
        <f>_xlfn.XLOOKUP(B370,Master[Product_Code],Master[Color])</f>
        <v>White</v>
      </c>
      <c r="I370" s="4">
        <f>_xlfn.XLOOKUP(B370,Master[Product_Code],Master[Stock_Qty])</f>
        <v>4</v>
      </c>
      <c r="J370" s="6">
        <f>SUMIFS(
  Sales_Entry[Qty],
  Sales_Entry[Product_Code], Stock_Table[[#This Row],[Product_Code]]
)</f>
        <v>1</v>
      </c>
      <c r="K370" s="4">
        <f>SUMIFS(
  Exchange_Return[Qty],
  Exchange_Return[Product_Code], Stock_Table[[#This Row],[Product_Code]]
)</f>
        <v>0</v>
      </c>
      <c r="L370" s="4">
        <f>I370-J370+K370</f>
        <v>3</v>
      </c>
      <c r="M370" s="2" t="str" cm="1">
        <f t="array" ref="M370">_xlfn.IFS(L370=0,"Out of Stock",L370&gt;=2,"Limited Stock",L370&lt;2,"In Stock")</f>
        <v>Limited Stock</v>
      </c>
    </row>
    <row r="371" spans="2:13">
      <c r="B371" s="2" t="s">
        <v>925</v>
      </c>
      <c r="C371" s="5" t="str">
        <f>_xlfn.XLOOKUP(B371,Master[Product_Code],Master[Category])</f>
        <v>Jeans</v>
      </c>
      <c r="D371" s="2" t="str">
        <f>_xlfn.XLOOKUP(B371,Master[Product_Code],Master[Brand])</f>
        <v>Denim Pro</v>
      </c>
      <c r="E371" s="2" t="str">
        <f>_xlfn.XLOOKUP(B371,Master[Product_Code],Master[Style])</f>
        <v>Baggy</v>
      </c>
      <c r="F371" s="2" t="str">
        <f>_xlfn.XLOOKUP(B371,Master[Product_Code],Master[Fabric])</f>
        <v>Denim</v>
      </c>
      <c r="G371" s="2">
        <f>_xlfn.XLOOKUP(B371,Master[Product_Code],Master[Size])</f>
        <v>30</v>
      </c>
      <c r="H371" s="2" t="str">
        <f>_xlfn.XLOOKUP(B371,Master[Product_Code],Master[Color])</f>
        <v>Sky Blue</v>
      </c>
      <c r="I371" s="4">
        <f>_xlfn.XLOOKUP(B371,Master[Product_Code],Master[Stock_Qty])</f>
        <v>3</v>
      </c>
      <c r="J371" s="6">
        <f>SUMIFS(
  Sales_Entry[Qty],
  Sales_Entry[Product_Code], Stock_Table[[#This Row],[Product_Code]]
)</f>
        <v>2</v>
      </c>
      <c r="K371" s="4">
        <f>SUMIFS(
  Exchange_Return[Qty],
  Exchange_Return[Product_Code], Stock_Table[[#This Row],[Product_Code]]
)</f>
        <v>0</v>
      </c>
      <c r="L371" s="4">
        <f>I371-J371+K371</f>
        <v>1</v>
      </c>
      <c r="M371" s="2" t="str" cm="1">
        <f t="array" ref="M371">_xlfn.IFS(L371=0,"Out of Stock",L371&gt;=2,"Limited Stock",L371&lt;2,"In Stock")</f>
        <v>In Stock</v>
      </c>
    </row>
    <row r="372" spans="2:13">
      <c r="B372" s="2" t="s">
        <v>926</v>
      </c>
      <c r="C372" s="5" t="str">
        <f>_xlfn.XLOOKUP(B372,Master[Product_Code],Master[Category])</f>
        <v>Jeans</v>
      </c>
      <c r="D372" s="2" t="str">
        <f>_xlfn.XLOOKUP(B372,Master[Product_Code],Master[Brand])</f>
        <v>Locomotive</v>
      </c>
      <c r="E372" s="2" t="str">
        <f>_xlfn.XLOOKUP(B372,Master[Product_Code],Master[Style])</f>
        <v>Mom Fit</v>
      </c>
      <c r="F372" s="2" t="str">
        <f>_xlfn.XLOOKUP(B372,Master[Product_Code],Master[Fabric])</f>
        <v>Denim</v>
      </c>
      <c r="G372" s="2">
        <f>_xlfn.XLOOKUP(B372,Master[Product_Code],Master[Size])</f>
        <v>28</v>
      </c>
      <c r="H372" s="2" t="str">
        <f>_xlfn.XLOOKUP(B372,Master[Product_Code],Master[Color])</f>
        <v>Mustard</v>
      </c>
      <c r="I372" s="4">
        <f>_xlfn.XLOOKUP(B372,Master[Product_Code],Master[Stock_Qty])</f>
        <v>3</v>
      </c>
      <c r="J372" s="6">
        <f>SUMIFS(
  Sales_Entry[Qty],
  Sales_Entry[Product_Code], Stock_Table[[#This Row],[Product_Code]]
)</f>
        <v>1</v>
      </c>
      <c r="K372" s="4">
        <f>SUMIFS(
  Exchange_Return[Qty],
  Exchange_Return[Product_Code], Stock_Table[[#This Row],[Product_Code]]
)</f>
        <v>0</v>
      </c>
      <c r="L372" s="4">
        <f>I372-J372+K372</f>
        <v>2</v>
      </c>
      <c r="M372" s="2" t="str" cm="1">
        <f t="array" ref="M372">_xlfn.IFS(L372=0,"Out of Stock",L372&gt;=2,"Limited Stock",L372&lt;2,"In Stock")</f>
        <v>Limited Stock</v>
      </c>
    </row>
    <row r="373" spans="2:13">
      <c r="B373" s="2" t="s">
        <v>927</v>
      </c>
      <c r="C373" s="5" t="str">
        <f>_xlfn.XLOOKUP(B373,Master[Product_Code],Master[Category])</f>
        <v>Jeans</v>
      </c>
      <c r="D373" s="2" t="str">
        <f>_xlfn.XLOOKUP(B373,Master[Product_Code],Master[Brand])</f>
        <v>Levis</v>
      </c>
      <c r="E373" s="2" t="str">
        <f>_xlfn.XLOOKUP(B373,Master[Product_Code],Master[Style])</f>
        <v>Baggy</v>
      </c>
      <c r="F373" s="2" t="str">
        <f>_xlfn.XLOOKUP(B373,Master[Product_Code],Master[Fabric])</f>
        <v>Denim</v>
      </c>
      <c r="G373" s="2">
        <f>_xlfn.XLOOKUP(B373,Master[Product_Code],Master[Size])</f>
        <v>38</v>
      </c>
      <c r="H373" s="2" t="str">
        <f>_xlfn.XLOOKUP(B373,Master[Product_Code],Master[Color])</f>
        <v>Grey</v>
      </c>
      <c r="I373" s="4">
        <f>_xlfn.XLOOKUP(B373,Master[Product_Code],Master[Stock_Qty])</f>
        <v>4</v>
      </c>
      <c r="J373" s="6">
        <f>SUMIFS(
  Sales_Entry[Qty],
  Sales_Entry[Product_Code], Stock_Table[[#This Row],[Product_Code]]
)</f>
        <v>2</v>
      </c>
      <c r="K373" s="4">
        <f>SUMIFS(
  Exchange_Return[Qty],
  Exchange_Return[Product_Code], Stock_Table[[#This Row],[Product_Code]]
)</f>
        <v>0</v>
      </c>
      <c r="L373" s="4">
        <f>I373-J373+K373</f>
        <v>2</v>
      </c>
      <c r="M373" s="2" t="str" cm="1">
        <f t="array" ref="M373">_xlfn.IFS(L373=0,"Out of Stock",L373&gt;=2,"Limited Stock",L373&lt;2,"In Stock")</f>
        <v>Limited Stock</v>
      </c>
    </row>
    <row r="374" spans="2:13">
      <c r="B374" s="2" t="s">
        <v>928</v>
      </c>
      <c r="C374" s="5" t="str">
        <f>_xlfn.XLOOKUP(B374,Master[Product_Code],Master[Category])</f>
        <v>Jeans</v>
      </c>
      <c r="D374" s="2" t="str">
        <f>_xlfn.XLOOKUP(B374,Master[Product_Code],Master[Brand])</f>
        <v>Locomotive</v>
      </c>
      <c r="E374" s="2" t="str">
        <f>_xlfn.XLOOKUP(B374,Master[Product_Code],Master[Style])</f>
        <v>Jogger</v>
      </c>
      <c r="F374" s="2" t="str">
        <f>_xlfn.XLOOKUP(B374,Master[Product_Code],Master[Fabric])</f>
        <v>Denim</v>
      </c>
      <c r="G374" s="2">
        <f>_xlfn.XLOOKUP(B374,Master[Product_Code],Master[Size])</f>
        <v>44</v>
      </c>
      <c r="H374" s="2" t="str">
        <f>_xlfn.XLOOKUP(B374,Master[Product_Code],Master[Color])</f>
        <v>Peach</v>
      </c>
      <c r="I374" s="4">
        <f>_xlfn.XLOOKUP(B374,Master[Product_Code],Master[Stock_Qty])</f>
        <v>4</v>
      </c>
      <c r="J374" s="6">
        <f>SUMIFS(
  Sales_Entry[Qty],
  Sales_Entry[Product_Code], Stock_Table[[#This Row],[Product_Code]]
)</f>
        <v>0</v>
      </c>
      <c r="K374" s="4">
        <f>SUMIFS(
  Exchange_Return[Qty],
  Exchange_Return[Product_Code], Stock_Table[[#This Row],[Product_Code]]
)</f>
        <v>0</v>
      </c>
      <c r="L374" s="4">
        <f>I374-J374+K374</f>
        <v>4</v>
      </c>
      <c r="M374" s="2" t="str" cm="1">
        <f t="array" ref="M374">_xlfn.IFS(L374=0,"Out of Stock",L374&gt;=2,"Limited Stock",L374&lt;2,"In Stock")</f>
        <v>Limited Stock</v>
      </c>
    </row>
    <row r="375" spans="2:13">
      <c r="B375" s="2" t="s">
        <v>929</v>
      </c>
      <c r="C375" s="5" t="str">
        <f>_xlfn.XLOOKUP(B375,Master[Product_Code],Master[Category])</f>
        <v>Jeans</v>
      </c>
      <c r="D375" s="2" t="str">
        <f>_xlfn.XLOOKUP(B375,Master[Product_Code],Master[Brand])</f>
        <v>Denim Pro</v>
      </c>
      <c r="E375" s="2" t="str">
        <f>_xlfn.XLOOKUP(B375,Master[Product_Code],Master[Style])</f>
        <v>Jogger</v>
      </c>
      <c r="F375" s="2" t="str">
        <f>_xlfn.XLOOKUP(B375,Master[Product_Code],Master[Fabric])</f>
        <v>Denim</v>
      </c>
      <c r="G375" s="2">
        <f>_xlfn.XLOOKUP(B375,Master[Product_Code],Master[Size])</f>
        <v>40</v>
      </c>
      <c r="H375" s="2" t="str">
        <f>_xlfn.XLOOKUP(B375,Master[Product_Code],Master[Color])</f>
        <v>Light Grey</v>
      </c>
      <c r="I375" s="4">
        <f>_xlfn.XLOOKUP(B375,Master[Product_Code],Master[Stock_Qty])</f>
        <v>3</v>
      </c>
      <c r="J375" s="6">
        <f>SUMIFS(
  Sales_Entry[Qty],
  Sales_Entry[Product_Code], Stock_Table[[#This Row],[Product_Code]]
)</f>
        <v>2</v>
      </c>
      <c r="K375" s="4">
        <f>SUMIFS(
  Exchange_Return[Qty],
  Exchange_Return[Product_Code], Stock_Table[[#This Row],[Product_Code]]
)</f>
        <v>0</v>
      </c>
      <c r="L375" s="4">
        <f>I375-J375+K375</f>
        <v>1</v>
      </c>
      <c r="M375" s="2" t="str" cm="1">
        <f t="array" ref="M375">_xlfn.IFS(L375=0,"Out of Stock",L375&gt;=2,"Limited Stock",L375&lt;2,"In Stock")</f>
        <v>In Stock</v>
      </c>
    </row>
    <row r="376" spans="2:13">
      <c r="B376" s="2" t="s">
        <v>930</v>
      </c>
      <c r="C376" s="5" t="str">
        <f>_xlfn.XLOOKUP(B376,Master[Product_Code],Master[Category])</f>
        <v>Jeans</v>
      </c>
      <c r="D376" s="2" t="str">
        <f>_xlfn.XLOOKUP(B376,Master[Product_Code],Master[Brand])</f>
        <v>Spykar</v>
      </c>
      <c r="E376" s="2" t="str">
        <f>_xlfn.XLOOKUP(B376,Master[Product_Code],Master[Style])</f>
        <v>Mom Fit</v>
      </c>
      <c r="F376" s="2" t="str">
        <f>_xlfn.XLOOKUP(B376,Master[Product_Code],Master[Fabric])</f>
        <v>Denim</v>
      </c>
      <c r="G376" s="2">
        <f>_xlfn.XLOOKUP(B376,Master[Product_Code],Master[Size])</f>
        <v>34</v>
      </c>
      <c r="H376" s="2" t="str">
        <f>_xlfn.XLOOKUP(B376,Master[Product_Code],Master[Color])</f>
        <v>Royal Blue</v>
      </c>
      <c r="I376" s="4">
        <f>_xlfn.XLOOKUP(B376,Master[Product_Code],Master[Stock_Qty])</f>
        <v>5</v>
      </c>
      <c r="J376" s="6">
        <f>SUMIFS(
  Sales_Entry[Qty],
  Sales_Entry[Product_Code], Stock_Table[[#This Row],[Product_Code]]
)</f>
        <v>0</v>
      </c>
      <c r="K376" s="4">
        <f>SUMIFS(
  Exchange_Return[Qty],
  Exchange_Return[Product_Code], Stock_Table[[#This Row],[Product_Code]]
)</f>
        <v>0</v>
      </c>
      <c r="L376" s="4">
        <f>I376-J376+K376</f>
        <v>5</v>
      </c>
      <c r="M376" s="2" t="str" cm="1">
        <f t="array" ref="M376">_xlfn.IFS(L376=0,"Out of Stock",L376&gt;=2,"Limited Stock",L376&lt;2,"In Stock")</f>
        <v>Limited Stock</v>
      </c>
    </row>
    <row r="377" spans="2:13">
      <c r="B377" s="2" t="s">
        <v>931</v>
      </c>
      <c r="C377" s="5" t="str">
        <f>_xlfn.XLOOKUP(B377,Master[Product_Code],Master[Category])</f>
        <v>Jeans</v>
      </c>
      <c r="D377" s="2" t="str">
        <f>_xlfn.XLOOKUP(B377,Master[Product_Code],Master[Brand])</f>
        <v>Levis</v>
      </c>
      <c r="E377" s="2" t="str">
        <f>_xlfn.XLOOKUP(B377,Master[Product_Code],Master[Style])</f>
        <v>Jogger</v>
      </c>
      <c r="F377" s="2" t="str">
        <f>_xlfn.XLOOKUP(B377,Master[Product_Code],Master[Fabric])</f>
        <v>Denim</v>
      </c>
      <c r="G377" s="2">
        <f>_xlfn.XLOOKUP(B377,Master[Product_Code],Master[Size])</f>
        <v>30</v>
      </c>
      <c r="H377" s="2" t="str">
        <f>_xlfn.XLOOKUP(B377,Master[Product_Code],Master[Color])</f>
        <v>Rust</v>
      </c>
      <c r="I377" s="4">
        <f>_xlfn.XLOOKUP(B377,Master[Product_Code],Master[Stock_Qty])</f>
        <v>5</v>
      </c>
      <c r="J377" s="6">
        <f>SUMIFS(
  Sales_Entry[Qty],
  Sales_Entry[Product_Code], Stock_Table[[#This Row],[Product_Code]]
)</f>
        <v>2</v>
      </c>
      <c r="K377" s="4">
        <f>SUMIFS(
  Exchange_Return[Qty],
  Exchange_Return[Product_Code], Stock_Table[[#This Row],[Product_Code]]
)</f>
        <v>0</v>
      </c>
      <c r="L377" s="4">
        <f>I377-J377+K377</f>
        <v>3</v>
      </c>
      <c r="M377" s="2" t="str" cm="1">
        <f t="array" ref="M377">_xlfn.IFS(L377=0,"Out of Stock",L377&gt;=2,"Limited Stock",L377&lt;2,"In Stock")</f>
        <v>Limited Stock</v>
      </c>
    </row>
    <row r="378" spans="2:13">
      <c r="B378" s="2" t="s">
        <v>932</v>
      </c>
      <c r="C378" s="5" t="str">
        <f>_xlfn.XLOOKUP(B378,Master[Product_Code],Master[Category])</f>
        <v>Jeans</v>
      </c>
      <c r="D378" s="2" t="str">
        <f>_xlfn.XLOOKUP(B378,Master[Product_Code],Master[Brand])</f>
        <v>Denim Pro</v>
      </c>
      <c r="E378" s="2" t="str">
        <f>_xlfn.XLOOKUP(B378,Master[Product_Code],Master[Style])</f>
        <v>Baggy</v>
      </c>
      <c r="F378" s="2" t="str">
        <f>_xlfn.XLOOKUP(B378,Master[Product_Code],Master[Fabric])</f>
        <v>Denim</v>
      </c>
      <c r="G378" s="2">
        <f>_xlfn.XLOOKUP(B378,Master[Product_Code],Master[Size])</f>
        <v>28</v>
      </c>
      <c r="H378" s="2" t="str">
        <f>_xlfn.XLOOKUP(B378,Master[Product_Code],Master[Color])</f>
        <v>Brown</v>
      </c>
      <c r="I378" s="4">
        <f>_xlfn.XLOOKUP(B378,Master[Product_Code],Master[Stock_Qty])</f>
        <v>6</v>
      </c>
      <c r="J378" s="6">
        <f>SUMIFS(
  Sales_Entry[Qty],
  Sales_Entry[Product_Code], Stock_Table[[#This Row],[Product_Code]]
)</f>
        <v>3</v>
      </c>
      <c r="K378" s="4">
        <f>SUMIFS(
  Exchange_Return[Qty],
  Exchange_Return[Product_Code], Stock_Table[[#This Row],[Product_Code]]
)</f>
        <v>0</v>
      </c>
      <c r="L378" s="4">
        <f>I378-J378+K378</f>
        <v>3</v>
      </c>
      <c r="M378" s="2" t="str" cm="1">
        <f t="array" ref="M378">_xlfn.IFS(L378=0,"Out of Stock",L378&gt;=2,"Limited Stock",L378&lt;2,"In Stock")</f>
        <v>Limited Stock</v>
      </c>
    </row>
    <row r="379" spans="2:13">
      <c r="B379" s="2" t="s">
        <v>933</v>
      </c>
      <c r="C379" s="5" t="str">
        <f>_xlfn.XLOOKUP(B379,Master[Product_Code],Master[Category])</f>
        <v>Jeans</v>
      </c>
      <c r="D379" s="2" t="str">
        <f>_xlfn.XLOOKUP(B379,Master[Product_Code],Master[Brand])</f>
        <v>Levis</v>
      </c>
      <c r="E379" s="2" t="str">
        <f>_xlfn.XLOOKUP(B379,Master[Product_Code],Master[Style])</f>
        <v>Jogger</v>
      </c>
      <c r="F379" s="2" t="str">
        <f>_xlfn.XLOOKUP(B379,Master[Product_Code],Master[Fabric])</f>
        <v>Denim</v>
      </c>
      <c r="G379" s="2">
        <f>_xlfn.XLOOKUP(B379,Master[Product_Code],Master[Size])</f>
        <v>38</v>
      </c>
      <c r="H379" s="2" t="str">
        <f>_xlfn.XLOOKUP(B379,Master[Product_Code],Master[Color])</f>
        <v>Peach</v>
      </c>
      <c r="I379" s="4">
        <f>_xlfn.XLOOKUP(B379,Master[Product_Code],Master[Stock_Qty])</f>
        <v>3</v>
      </c>
      <c r="J379" s="6">
        <f>SUMIFS(
  Sales_Entry[Qty],
  Sales_Entry[Product_Code], Stock_Table[[#This Row],[Product_Code]]
)</f>
        <v>1</v>
      </c>
      <c r="K379" s="4">
        <f>SUMIFS(
  Exchange_Return[Qty],
  Exchange_Return[Product_Code], Stock_Table[[#This Row],[Product_Code]]
)</f>
        <v>0</v>
      </c>
      <c r="L379" s="4">
        <f>I379-J379+K379</f>
        <v>2</v>
      </c>
      <c r="M379" s="2" t="str" cm="1">
        <f t="array" ref="M379">_xlfn.IFS(L379=0,"Out of Stock",L379&gt;=2,"Limited Stock",L379&lt;2,"In Stock")</f>
        <v>Limited Stock</v>
      </c>
    </row>
    <row r="380" spans="2:13">
      <c r="B380" s="2" t="s">
        <v>934</v>
      </c>
      <c r="C380" s="5" t="str">
        <f>_xlfn.XLOOKUP(B380,Master[Product_Code],Master[Category])</f>
        <v>Jeans</v>
      </c>
      <c r="D380" s="2" t="str">
        <f>_xlfn.XLOOKUP(B380,Master[Product_Code],Master[Brand])</f>
        <v>Spykar</v>
      </c>
      <c r="E380" s="2" t="str">
        <f>_xlfn.XLOOKUP(B380,Master[Product_Code],Master[Style])</f>
        <v>Jogger</v>
      </c>
      <c r="F380" s="2" t="str">
        <f>_xlfn.XLOOKUP(B380,Master[Product_Code],Master[Fabric])</f>
        <v>Denim</v>
      </c>
      <c r="G380" s="2">
        <f>_xlfn.XLOOKUP(B380,Master[Product_Code],Master[Size])</f>
        <v>44</v>
      </c>
      <c r="H380" s="2" t="str">
        <f>_xlfn.XLOOKUP(B380,Master[Product_Code],Master[Color])</f>
        <v>Black</v>
      </c>
      <c r="I380" s="4">
        <f>_xlfn.XLOOKUP(B380,Master[Product_Code],Master[Stock_Qty])</f>
        <v>3</v>
      </c>
      <c r="J380" s="6">
        <f>SUMIFS(
  Sales_Entry[Qty],
  Sales_Entry[Product_Code], Stock_Table[[#This Row],[Product_Code]]
)</f>
        <v>2</v>
      </c>
      <c r="K380" s="4">
        <f>SUMIFS(
  Exchange_Return[Qty],
  Exchange_Return[Product_Code], Stock_Table[[#This Row],[Product_Code]]
)</f>
        <v>0</v>
      </c>
      <c r="L380" s="4">
        <f>I380-J380+K380</f>
        <v>1</v>
      </c>
      <c r="M380" s="2" t="str" cm="1">
        <f t="array" ref="M380">_xlfn.IFS(L380=0,"Out of Stock",L380&gt;=2,"Limited Stock",L380&lt;2,"In Stock")</f>
        <v>In Stock</v>
      </c>
    </row>
    <row r="381" spans="2:13">
      <c r="B381" s="2" t="s">
        <v>935</v>
      </c>
      <c r="C381" s="5" t="str">
        <f>_xlfn.XLOOKUP(B381,Master[Product_Code],Master[Category])</f>
        <v>Jeans</v>
      </c>
      <c r="D381" s="2" t="str">
        <f>_xlfn.XLOOKUP(B381,Master[Product_Code],Master[Brand])</f>
        <v>Locomotive</v>
      </c>
      <c r="E381" s="2" t="str">
        <f>_xlfn.XLOOKUP(B381,Master[Product_Code],Master[Style])</f>
        <v>Baggy</v>
      </c>
      <c r="F381" s="2" t="str">
        <f>_xlfn.XLOOKUP(B381,Master[Product_Code],Master[Fabric])</f>
        <v>Denim</v>
      </c>
      <c r="G381" s="2">
        <f>_xlfn.XLOOKUP(B381,Master[Product_Code],Master[Size])</f>
        <v>42</v>
      </c>
      <c r="H381" s="2" t="str">
        <f>_xlfn.XLOOKUP(B381,Master[Product_Code],Master[Color])</f>
        <v>Rust</v>
      </c>
      <c r="I381" s="4">
        <f>_xlfn.XLOOKUP(B381,Master[Product_Code],Master[Stock_Qty])</f>
        <v>4</v>
      </c>
      <c r="J381" s="6">
        <f>SUMIFS(
  Sales_Entry[Qty],
  Sales_Entry[Product_Code], Stock_Table[[#This Row],[Product_Code]]
)</f>
        <v>0</v>
      </c>
      <c r="K381" s="4">
        <f>SUMIFS(
  Exchange_Return[Qty],
  Exchange_Return[Product_Code], Stock_Table[[#This Row],[Product_Code]]
)</f>
        <v>0</v>
      </c>
      <c r="L381" s="4">
        <f>I381-J381+K381</f>
        <v>4</v>
      </c>
      <c r="M381" s="2" t="str" cm="1">
        <f t="array" ref="M381">_xlfn.IFS(L381=0,"Out of Stock",L381&gt;=2,"Limited Stock",L381&lt;2,"In Stock")</f>
        <v>Limited Stock</v>
      </c>
    </row>
    <row r="382" spans="2:13">
      <c r="B382" s="2" t="s">
        <v>936</v>
      </c>
      <c r="C382" s="5" t="str">
        <f>_xlfn.XLOOKUP(B382,Master[Product_Code],Master[Category])</f>
        <v>Jeans</v>
      </c>
      <c r="D382" s="2" t="str">
        <f>_xlfn.XLOOKUP(B382,Master[Product_Code],Master[Brand])</f>
        <v>Wrangler</v>
      </c>
      <c r="E382" s="2" t="str">
        <f>_xlfn.XLOOKUP(B382,Master[Product_Code],Master[Style])</f>
        <v>Jogger</v>
      </c>
      <c r="F382" s="2" t="str">
        <f>_xlfn.XLOOKUP(B382,Master[Product_Code],Master[Fabric])</f>
        <v>Denim</v>
      </c>
      <c r="G382" s="2">
        <f>_xlfn.XLOOKUP(B382,Master[Product_Code],Master[Size])</f>
        <v>38</v>
      </c>
      <c r="H382" s="2" t="str">
        <f>_xlfn.XLOOKUP(B382,Master[Product_Code],Master[Color])</f>
        <v>Brown</v>
      </c>
      <c r="I382" s="4">
        <f>_xlfn.XLOOKUP(B382,Master[Product_Code],Master[Stock_Qty])</f>
        <v>4</v>
      </c>
      <c r="J382" s="6">
        <f>SUMIFS(
  Sales_Entry[Qty],
  Sales_Entry[Product_Code], Stock_Table[[#This Row],[Product_Code]]
)</f>
        <v>1</v>
      </c>
      <c r="K382" s="4">
        <f>SUMIFS(
  Exchange_Return[Qty],
  Exchange_Return[Product_Code], Stock_Table[[#This Row],[Product_Code]]
)</f>
        <v>0</v>
      </c>
      <c r="L382" s="4">
        <f>I382-J382+K382</f>
        <v>3</v>
      </c>
      <c r="M382" s="2" t="str" cm="1">
        <f t="array" ref="M382">_xlfn.IFS(L382=0,"Out of Stock",L382&gt;=2,"Limited Stock",L382&lt;2,"In Stock")</f>
        <v>Limited Stock</v>
      </c>
    </row>
    <row r="383" spans="2:13">
      <c r="B383" s="2" t="s">
        <v>937</v>
      </c>
      <c r="C383" s="5" t="str">
        <f>_xlfn.XLOOKUP(B383,Master[Product_Code],Master[Category])</f>
        <v>Jeans</v>
      </c>
      <c r="D383" s="2" t="str">
        <f>_xlfn.XLOOKUP(B383,Master[Product_Code],Master[Brand])</f>
        <v>Wrangler</v>
      </c>
      <c r="E383" s="2" t="str">
        <f>_xlfn.XLOOKUP(B383,Master[Product_Code],Master[Style])</f>
        <v>Mom Fit</v>
      </c>
      <c r="F383" s="2" t="str">
        <f>_xlfn.XLOOKUP(B383,Master[Product_Code],Master[Fabric])</f>
        <v>Denim</v>
      </c>
      <c r="G383" s="2">
        <f>_xlfn.XLOOKUP(B383,Master[Product_Code],Master[Size])</f>
        <v>40</v>
      </c>
      <c r="H383" s="2" t="str">
        <f>_xlfn.XLOOKUP(B383,Master[Product_Code],Master[Color])</f>
        <v>Black</v>
      </c>
      <c r="I383" s="4">
        <f>_xlfn.XLOOKUP(B383,Master[Product_Code],Master[Stock_Qty])</f>
        <v>5</v>
      </c>
      <c r="J383" s="6">
        <f>SUMIFS(
  Sales_Entry[Qty],
  Sales_Entry[Product_Code], Stock_Table[[#This Row],[Product_Code]]
)</f>
        <v>1</v>
      </c>
      <c r="K383" s="4">
        <f>SUMIFS(
  Exchange_Return[Qty],
  Exchange_Return[Product_Code], Stock_Table[[#This Row],[Product_Code]]
)</f>
        <v>1</v>
      </c>
      <c r="L383" s="4">
        <f>I383-J383+K383</f>
        <v>5</v>
      </c>
      <c r="M383" s="2" t="str" cm="1">
        <f t="array" ref="M383">_xlfn.IFS(L383=0,"Out of Stock",L383&gt;=2,"Limited Stock",L383&lt;2,"In Stock")</f>
        <v>Limited Stock</v>
      </c>
    </row>
    <row r="384" spans="2:13">
      <c r="B384" s="2" t="s">
        <v>938</v>
      </c>
      <c r="C384" s="5" t="str">
        <f>_xlfn.XLOOKUP(B384,Master[Product_Code],Master[Category])</f>
        <v>Jeans</v>
      </c>
      <c r="D384" s="2" t="str">
        <f>_xlfn.XLOOKUP(B384,Master[Product_Code],Master[Brand])</f>
        <v>Spykar</v>
      </c>
      <c r="E384" s="2" t="str">
        <f>_xlfn.XLOOKUP(B384,Master[Product_Code],Master[Style])</f>
        <v>Baggy</v>
      </c>
      <c r="F384" s="2" t="str">
        <f>_xlfn.XLOOKUP(B384,Master[Product_Code],Master[Fabric])</f>
        <v>Denim</v>
      </c>
      <c r="G384" s="2">
        <f>_xlfn.XLOOKUP(B384,Master[Product_Code],Master[Size])</f>
        <v>32</v>
      </c>
      <c r="H384" s="2" t="str">
        <f>_xlfn.XLOOKUP(B384,Master[Product_Code],Master[Color])</f>
        <v>Navy Blue</v>
      </c>
      <c r="I384" s="4">
        <f>_xlfn.XLOOKUP(B384,Master[Product_Code],Master[Stock_Qty])</f>
        <v>6</v>
      </c>
      <c r="J384" s="6">
        <f>SUMIFS(
  Sales_Entry[Qty],
  Sales_Entry[Product_Code], Stock_Table[[#This Row],[Product_Code]]
)</f>
        <v>2</v>
      </c>
      <c r="K384" s="4">
        <f>SUMIFS(
  Exchange_Return[Qty],
  Exchange_Return[Product_Code], Stock_Table[[#This Row],[Product_Code]]
)</f>
        <v>0</v>
      </c>
      <c r="L384" s="4">
        <f>I384-J384+K384</f>
        <v>4</v>
      </c>
      <c r="M384" s="2" t="str" cm="1">
        <f t="array" ref="M384">_xlfn.IFS(L384=0,"Out of Stock",L384&gt;=2,"Limited Stock",L384&lt;2,"In Stock")</f>
        <v>Limited Stock</v>
      </c>
    </row>
    <row r="385" spans="2:13">
      <c r="B385" s="2" t="s">
        <v>939</v>
      </c>
      <c r="C385" s="5" t="str">
        <f>_xlfn.XLOOKUP(B385,Master[Product_Code],Master[Category])</f>
        <v>Jeans</v>
      </c>
      <c r="D385" s="2" t="str">
        <f>_xlfn.XLOOKUP(B385,Master[Product_Code],Master[Brand])</f>
        <v>Denim Pro</v>
      </c>
      <c r="E385" s="2" t="str">
        <f>_xlfn.XLOOKUP(B385,Master[Product_Code],Master[Style])</f>
        <v>Jogger</v>
      </c>
      <c r="F385" s="2" t="str">
        <f>_xlfn.XLOOKUP(B385,Master[Product_Code],Master[Fabric])</f>
        <v>Denim</v>
      </c>
      <c r="G385" s="2">
        <f>_xlfn.XLOOKUP(B385,Master[Product_Code],Master[Size])</f>
        <v>40</v>
      </c>
      <c r="H385" s="2" t="str">
        <f>_xlfn.XLOOKUP(B385,Master[Product_Code],Master[Color])</f>
        <v>Charcoal</v>
      </c>
      <c r="I385" s="4">
        <f>_xlfn.XLOOKUP(B385,Master[Product_Code],Master[Stock_Qty])</f>
        <v>4</v>
      </c>
      <c r="J385" s="6">
        <f>SUMIFS(
  Sales_Entry[Qty],
  Sales_Entry[Product_Code], Stock_Table[[#This Row],[Product_Code]]
)</f>
        <v>3</v>
      </c>
      <c r="K385" s="4">
        <f>SUMIFS(
  Exchange_Return[Qty],
  Exchange_Return[Product_Code], Stock_Table[[#This Row],[Product_Code]]
)</f>
        <v>0</v>
      </c>
      <c r="L385" s="4">
        <f>I385-J385+K385</f>
        <v>1</v>
      </c>
      <c r="M385" s="2" t="str" cm="1">
        <f t="array" ref="M385">_xlfn.IFS(L385=0,"Out of Stock",L385&gt;=2,"Limited Stock",L385&lt;2,"In Stock")</f>
        <v>In Stock</v>
      </c>
    </row>
    <row r="386" spans="2:13">
      <c r="B386" s="2" t="s">
        <v>940</v>
      </c>
      <c r="C386" s="5" t="str">
        <f>_xlfn.XLOOKUP(B386,Master[Product_Code],Master[Category])</f>
        <v>Jeans</v>
      </c>
      <c r="D386" s="2" t="str">
        <f>_xlfn.XLOOKUP(B386,Master[Product_Code],Master[Brand])</f>
        <v>Wrangler</v>
      </c>
      <c r="E386" s="2" t="str">
        <f>_xlfn.XLOOKUP(B386,Master[Product_Code],Master[Style])</f>
        <v>Jogger</v>
      </c>
      <c r="F386" s="2" t="str">
        <f>_xlfn.XLOOKUP(B386,Master[Product_Code],Master[Fabric])</f>
        <v>Denim</v>
      </c>
      <c r="G386" s="2">
        <f>_xlfn.XLOOKUP(B386,Master[Product_Code],Master[Size])</f>
        <v>42</v>
      </c>
      <c r="H386" s="2" t="str">
        <f>_xlfn.XLOOKUP(B386,Master[Product_Code],Master[Color])</f>
        <v>Dark Green</v>
      </c>
      <c r="I386" s="4">
        <f>_xlfn.XLOOKUP(B386,Master[Product_Code],Master[Stock_Qty])</f>
        <v>4</v>
      </c>
      <c r="J386" s="6">
        <f>SUMIFS(
  Sales_Entry[Qty],
  Sales_Entry[Product_Code], Stock_Table[[#This Row],[Product_Code]]
)</f>
        <v>1</v>
      </c>
      <c r="K386" s="4">
        <f>SUMIFS(
  Exchange_Return[Qty],
  Exchange_Return[Product_Code], Stock_Table[[#This Row],[Product_Code]]
)</f>
        <v>0</v>
      </c>
      <c r="L386" s="4">
        <f>I386-J386+K386</f>
        <v>3</v>
      </c>
      <c r="M386" s="2" t="str" cm="1">
        <f t="array" ref="M386">_xlfn.IFS(L386=0,"Out of Stock",L386&gt;=2,"Limited Stock",L386&lt;2,"In Stock")</f>
        <v>Limited Stock</v>
      </c>
    </row>
    <row r="387" spans="2:13">
      <c r="B387" s="2" t="s">
        <v>941</v>
      </c>
      <c r="C387" s="5" t="str">
        <f>_xlfn.XLOOKUP(B387,Master[Product_Code],Master[Category])</f>
        <v>Jeans</v>
      </c>
      <c r="D387" s="2" t="str">
        <f>_xlfn.XLOOKUP(B387,Master[Product_Code],Master[Brand])</f>
        <v>Denim Pro</v>
      </c>
      <c r="E387" s="2" t="str">
        <f>_xlfn.XLOOKUP(B387,Master[Product_Code],Master[Style])</f>
        <v>Mom Fit</v>
      </c>
      <c r="F387" s="2" t="str">
        <f>_xlfn.XLOOKUP(B387,Master[Product_Code],Master[Fabric])</f>
        <v>Denim</v>
      </c>
      <c r="G387" s="2">
        <f>_xlfn.XLOOKUP(B387,Master[Product_Code],Master[Size])</f>
        <v>32</v>
      </c>
      <c r="H387" s="2" t="str">
        <f>_xlfn.XLOOKUP(B387,Master[Product_Code],Master[Color])</f>
        <v>Brown</v>
      </c>
      <c r="I387" s="4">
        <f>_xlfn.XLOOKUP(B387,Master[Product_Code],Master[Stock_Qty])</f>
        <v>4</v>
      </c>
      <c r="J387" s="6">
        <f>SUMIFS(
  Sales_Entry[Qty],
  Sales_Entry[Product_Code], Stock_Table[[#This Row],[Product_Code]]
)</f>
        <v>1</v>
      </c>
      <c r="K387" s="4">
        <f>SUMIFS(
  Exchange_Return[Qty],
  Exchange_Return[Product_Code], Stock_Table[[#This Row],[Product_Code]]
)</f>
        <v>0</v>
      </c>
      <c r="L387" s="4">
        <f>I387-J387+K387</f>
        <v>3</v>
      </c>
      <c r="M387" s="2" t="str" cm="1">
        <f t="array" ref="M387">_xlfn.IFS(L387=0,"Out of Stock",L387&gt;=2,"Limited Stock",L387&lt;2,"In Stock")</f>
        <v>Limited Stock</v>
      </c>
    </row>
    <row r="388" spans="2:13">
      <c r="B388" s="2" t="s">
        <v>942</v>
      </c>
      <c r="C388" s="5" t="str">
        <f>_xlfn.XLOOKUP(B388,Master[Product_Code],Master[Category])</f>
        <v>Jeans</v>
      </c>
      <c r="D388" s="2" t="str">
        <f>_xlfn.XLOOKUP(B388,Master[Product_Code],Master[Brand])</f>
        <v>Spykar</v>
      </c>
      <c r="E388" s="2" t="str">
        <f>_xlfn.XLOOKUP(B388,Master[Product_Code],Master[Style])</f>
        <v>Jogger</v>
      </c>
      <c r="F388" s="2" t="str">
        <f>_xlfn.XLOOKUP(B388,Master[Product_Code],Master[Fabric])</f>
        <v>Denim</v>
      </c>
      <c r="G388" s="2">
        <f>_xlfn.XLOOKUP(B388,Master[Product_Code],Master[Size])</f>
        <v>38</v>
      </c>
      <c r="H388" s="2" t="str">
        <f>_xlfn.XLOOKUP(B388,Master[Product_Code],Master[Color])</f>
        <v>Navy Blue</v>
      </c>
      <c r="I388" s="4">
        <f>_xlfn.XLOOKUP(B388,Master[Product_Code],Master[Stock_Qty])</f>
        <v>3</v>
      </c>
      <c r="J388" s="6">
        <f>SUMIFS(
  Sales_Entry[Qty],
  Sales_Entry[Product_Code], Stock_Table[[#This Row],[Product_Code]]
)</f>
        <v>2</v>
      </c>
      <c r="K388" s="4">
        <f>SUMIFS(
  Exchange_Return[Qty],
  Exchange_Return[Product_Code], Stock_Table[[#This Row],[Product_Code]]
)</f>
        <v>0</v>
      </c>
      <c r="L388" s="4">
        <f>I388-J388+K388</f>
        <v>1</v>
      </c>
      <c r="M388" s="2" t="str" cm="1">
        <f t="array" ref="M388">_xlfn.IFS(L388=0,"Out of Stock",L388&gt;=2,"Limited Stock",L388&lt;2,"In Stock")</f>
        <v>In Stock</v>
      </c>
    </row>
    <row r="389" spans="2:13">
      <c r="B389" s="2" t="s">
        <v>943</v>
      </c>
      <c r="C389" s="5" t="str">
        <f>_xlfn.XLOOKUP(B389,Master[Product_Code],Master[Category])</f>
        <v>Jeans</v>
      </c>
      <c r="D389" s="2" t="str">
        <f>_xlfn.XLOOKUP(B389,Master[Product_Code],Master[Brand])</f>
        <v>Wrangler</v>
      </c>
      <c r="E389" s="2" t="str">
        <f>_xlfn.XLOOKUP(B389,Master[Product_Code],Master[Style])</f>
        <v>Mom Fit</v>
      </c>
      <c r="F389" s="2" t="str">
        <f>_xlfn.XLOOKUP(B389,Master[Product_Code],Master[Fabric])</f>
        <v>Denim</v>
      </c>
      <c r="G389" s="2">
        <f>_xlfn.XLOOKUP(B389,Master[Product_Code],Master[Size])</f>
        <v>38</v>
      </c>
      <c r="H389" s="2" t="str">
        <f>_xlfn.XLOOKUP(B389,Master[Product_Code],Master[Color])</f>
        <v>Bottle Green</v>
      </c>
      <c r="I389" s="4">
        <f>_xlfn.XLOOKUP(B389,Master[Product_Code],Master[Stock_Qty])</f>
        <v>6</v>
      </c>
      <c r="J389" s="6">
        <f>SUMIFS(
  Sales_Entry[Qty],
  Sales_Entry[Product_Code], Stock_Table[[#This Row],[Product_Code]]
)</f>
        <v>1</v>
      </c>
      <c r="K389" s="4">
        <f>SUMIFS(
  Exchange_Return[Qty],
  Exchange_Return[Product_Code], Stock_Table[[#This Row],[Product_Code]]
)</f>
        <v>0</v>
      </c>
      <c r="L389" s="4">
        <f>I389-J389+K389</f>
        <v>5</v>
      </c>
      <c r="M389" s="2" t="str" cm="1">
        <f t="array" ref="M389">_xlfn.IFS(L389=0,"Out of Stock",L389&gt;=2,"Limited Stock",L389&lt;2,"In Stock")</f>
        <v>Limited Stock</v>
      </c>
    </row>
    <row r="390" spans="2:13">
      <c r="B390" s="2" t="s">
        <v>944</v>
      </c>
      <c r="C390" s="5" t="str">
        <f>_xlfn.XLOOKUP(B390,Master[Product_Code],Master[Category])</f>
        <v>Jeans</v>
      </c>
      <c r="D390" s="2" t="str">
        <f>_xlfn.XLOOKUP(B390,Master[Product_Code],Master[Brand])</f>
        <v>Levis</v>
      </c>
      <c r="E390" s="2" t="str">
        <f>_xlfn.XLOOKUP(B390,Master[Product_Code],Master[Style])</f>
        <v>Jogger</v>
      </c>
      <c r="F390" s="2" t="str">
        <f>_xlfn.XLOOKUP(B390,Master[Product_Code],Master[Fabric])</f>
        <v>Denim</v>
      </c>
      <c r="G390" s="2">
        <f>_xlfn.XLOOKUP(B390,Master[Product_Code],Master[Size])</f>
        <v>32</v>
      </c>
      <c r="H390" s="2" t="str">
        <f>_xlfn.XLOOKUP(B390,Master[Product_Code],Master[Color])</f>
        <v>Grey</v>
      </c>
      <c r="I390" s="4">
        <f>_xlfn.XLOOKUP(B390,Master[Product_Code],Master[Stock_Qty])</f>
        <v>3</v>
      </c>
      <c r="J390" s="6">
        <f>SUMIFS(
  Sales_Entry[Qty],
  Sales_Entry[Product_Code], Stock_Table[[#This Row],[Product_Code]]
)</f>
        <v>3</v>
      </c>
      <c r="K390" s="4">
        <f>SUMIFS(
  Exchange_Return[Qty],
  Exchange_Return[Product_Code], Stock_Table[[#This Row],[Product_Code]]
)</f>
        <v>0</v>
      </c>
      <c r="L390" s="4">
        <f>I390-J390+K390</f>
        <v>0</v>
      </c>
      <c r="M390" s="2" t="str" cm="1">
        <f t="array" ref="M390">_xlfn.IFS(L390=0,"Out of Stock",L390&gt;=2,"Limited Stock",L390&lt;2,"In Stock")</f>
        <v>Out of Stock</v>
      </c>
    </row>
    <row r="391" spans="2:13">
      <c r="B391" s="2" t="s">
        <v>945</v>
      </c>
      <c r="C391" s="5" t="str">
        <f>_xlfn.XLOOKUP(B391,Master[Product_Code],Master[Category])</f>
        <v>Jeans</v>
      </c>
      <c r="D391" s="2" t="str">
        <f>_xlfn.XLOOKUP(B391,Master[Product_Code],Master[Brand])</f>
        <v>Spykar</v>
      </c>
      <c r="E391" s="2" t="str">
        <f>_xlfn.XLOOKUP(B391,Master[Product_Code],Master[Style])</f>
        <v>Mom Fit</v>
      </c>
      <c r="F391" s="2" t="str">
        <f>_xlfn.XLOOKUP(B391,Master[Product_Code],Master[Fabric])</f>
        <v>Denim</v>
      </c>
      <c r="G391" s="2">
        <f>_xlfn.XLOOKUP(B391,Master[Product_Code],Master[Size])</f>
        <v>34</v>
      </c>
      <c r="H391" s="2" t="str">
        <f>_xlfn.XLOOKUP(B391,Master[Product_Code],Master[Color])</f>
        <v>Royal Blue</v>
      </c>
      <c r="I391" s="4">
        <f>_xlfn.XLOOKUP(B391,Master[Product_Code],Master[Stock_Qty])</f>
        <v>4</v>
      </c>
      <c r="J391" s="6">
        <f>SUMIFS(
  Sales_Entry[Qty],
  Sales_Entry[Product_Code], Stock_Table[[#This Row],[Product_Code]]
)</f>
        <v>1</v>
      </c>
      <c r="K391" s="4">
        <f>SUMIFS(
  Exchange_Return[Qty],
  Exchange_Return[Product_Code], Stock_Table[[#This Row],[Product_Code]]
)</f>
        <v>0</v>
      </c>
      <c r="L391" s="4">
        <f>I391-J391+K391</f>
        <v>3</v>
      </c>
      <c r="M391" s="2" t="str" cm="1">
        <f t="array" ref="M391">_xlfn.IFS(L391=0,"Out of Stock",L391&gt;=2,"Limited Stock",L391&lt;2,"In Stock")</f>
        <v>Limited Stock</v>
      </c>
    </row>
    <row r="392" spans="2:13">
      <c r="B392" s="2" t="s">
        <v>946</v>
      </c>
      <c r="C392" s="5" t="str">
        <f>_xlfn.XLOOKUP(B392,Master[Product_Code],Master[Category])</f>
        <v>Jeans</v>
      </c>
      <c r="D392" s="2" t="str">
        <f>_xlfn.XLOOKUP(B392,Master[Product_Code],Master[Brand])</f>
        <v>Denim Pro</v>
      </c>
      <c r="E392" s="2" t="str">
        <f>_xlfn.XLOOKUP(B392,Master[Product_Code],Master[Style])</f>
        <v>Mom Fit</v>
      </c>
      <c r="F392" s="2" t="str">
        <f>_xlfn.XLOOKUP(B392,Master[Product_Code],Master[Fabric])</f>
        <v>Denim</v>
      </c>
      <c r="G392" s="2">
        <f>_xlfn.XLOOKUP(B392,Master[Product_Code],Master[Size])</f>
        <v>30</v>
      </c>
      <c r="H392" s="2" t="str">
        <f>_xlfn.XLOOKUP(B392,Master[Product_Code],Master[Color])</f>
        <v>Peach</v>
      </c>
      <c r="I392" s="4">
        <f>_xlfn.XLOOKUP(B392,Master[Product_Code],Master[Stock_Qty])</f>
        <v>4</v>
      </c>
      <c r="J392" s="6">
        <f>SUMIFS(
  Sales_Entry[Qty],
  Sales_Entry[Product_Code], Stock_Table[[#This Row],[Product_Code]]
)</f>
        <v>2</v>
      </c>
      <c r="K392" s="4">
        <f>SUMIFS(
  Exchange_Return[Qty],
  Exchange_Return[Product_Code], Stock_Table[[#This Row],[Product_Code]]
)</f>
        <v>0</v>
      </c>
      <c r="L392" s="4">
        <f>I392-J392+K392</f>
        <v>2</v>
      </c>
      <c r="M392" s="2" t="str" cm="1">
        <f t="array" ref="M392">_xlfn.IFS(L392=0,"Out of Stock",L392&gt;=2,"Limited Stock",L392&lt;2,"In Stock")</f>
        <v>Limited Stock</v>
      </c>
    </row>
    <row r="393" spans="2:13">
      <c r="B393" s="2" t="s">
        <v>947</v>
      </c>
      <c r="C393" s="5" t="str">
        <f>_xlfn.XLOOKUP(B393,Master[Product_Code],Master[Category])</f>
        <v>Jeans</v>
      </c>
      <c r="D393" s="2" t="str">
        <f>_xlfn.XLOOKUP(B393,Master[Product_Code],Master[Brand])</f>
        <v>Locomotive</v>
      </c>
      <c r="E393" s="2" t="str">
        <f>_xlfn.XLOOKUP(B393,Master[Product_Code],Master[Style])</f>
        <v>Baggy</v>
      </c>
      <c r="F393" s="2" t="str">
        <f>_xlfn.XLOOKUP(B393,Master[Product_Code],Master[Fabric])</f>
        <v>Denim</v>
      </c>
      <c r="G393" s="2">
        <f>_xlfn.XLOOKUP(B393,Master[Product_Code],Master[Size])</f>
        <v>32</v>
      </c>
      <c r="H393" s="2" t="str">
        <f>_xlfn.XLOOKUP(B393,Master[Product_Code],Master[Color])</f>
        <v>Rust</v>
      </c>
      <c r="I393" s="4">
        <f>_xlfn.XLOOKUP(B393,Master[Product_Code],Master[Stock_Qty])</f>
        <v>6</v>
      </c>
      <c r="J393" s="6">
        <f>SUMIFS(
  Sales_Entry[Qty],
  Sales_Entry[Product_Code], Stock_Table[[#This Row],[Product_Code]]
)</f>
        <v>1</v>
      </c>
      <c r="K393" s="4">
        <f>SUMIFS(
  Exchange_Return[Qty],
  Exchange_Return[Product_Code], Stock_Table[[#This Row],[Product_Code]]
)</f>
        <v>0</v>
      </c>
      <c r="L393" s="4">
        <f>I393-J393+K393</f>
        <v>5</v>
      </c>
      <c r="M393" s="2" t="str" cm="1">
        <f t="array" ref="M393">_xlfn.IFS(L393=0,"Out of Stock",L393&gt;=2,"Limited Stock",L393&lt;2,"In Stock")</f>
        <v>Limited Stock</v>
      </c>
    </row>
    <row r="394" spans="2:13">
      <c r="B394" s="2" t="s">
        <v>948</v>
      </c>
      <c r="C394" s="5" t="str">
        <f>_xlfn.XLOOKUP(B394,Master[Product_Code],Master[Category])</f>
        <v>Jeans</v>
      </c>
      <c r="D394" s="2" t="str">
        <f>_xlfn.XLOOKUP(B394,Master[Product_Code],Master[Brand])</f>
        <v>Spykar</v>
      </c>
      <c r="E394" s="2" t="str">
        <f>_xlfn.XLOOKUP(B394,Master[Product_Code],Master[Style])</f>
        <v>Mom Fit</v>
      </c>
      <c r="F394" s="2" t="str">
        <f>_xlfn.XLOOKUP(B394,Master[Product_Code],Master[Fabric])</f>
        <v>Denim</v>
      </c>
      <c r="G394" s="2">
        <f>_xlfn.XLOOKUP(B394,Master[Product_Code],Master[Size])</f>
        <v>34</v>
      </c>
      <c r="H394" s="2" t="str">
        <f>_xlfn.XLOOKUP(B394,Master[Product_Code],Master[Color])</f>
        <v>White</v>
      </c>
      <c r="I394" s="4">
        <f>_xlfn.XLOOKUP(B394,Master[Product_Code],Master[Stock_Qty])</f>
        <v>6</v>
      </c>
      <c r="J394" s="6">
        <f>SUMIFS(
  Sales_Entry[Qty],
  Sales_Entry[Product_Code], Stock_Table[[#This Row],[Product_Code]]
)</f>
        <v>2</v>
      </c>
      <c r="K394" s="4">
        <f>SUMIFS(
  Exchange_Return[Qty],
  Exchange_Return[Product_Code], Stock_Table[[#This Row],[Product_Code]]
)</f>
        <v>0</v>
      </c>
      <c r="L394" s="4">
        <f>I394-J394+K394</f>
        <v>4</v>
      </c>
      <c r="M394" s="2" t="str" cm="1">
        <f t="array" ref="M394">_xlfn.IFS(L394=0,"Out of Stock",L394&gt;=2,"Limited Stock",L394&lt;2,"In Stock")</f>
        <v>Limited Stock</v>
      </c>
    </row>
    <row r="395" spans="2:13">
      <c r="B395" s="2" t="s">
        <v>949</v>
      </c>
      <c r="C395" s="5" t="str">
        <f>_xlfn.XLOOKUP(B395,Master[Product_Code],Master[Category])</f>
        <v>Jeans</v>
      </c>
      <c r="D395" s="2" t="str">
        <f>_xlfn.XLOOKUP(B395,Master[Product_Code],Master[Brand])</f>
        <v>Pepe</v>
      </c>
      <c r="E395" s="2" t="str">
        <f>_xlfn.XLOOKUP(B395,Master[Product_Code],Master[Style])</f>
        <v>Baggy</v>
      </c>
      <c r="F395" s="2" t="str">
        <f>_xlfn.XLOOKUP(B395,Master[Product_Code],Master[Fabric])</f>
        <v>Denim</v>
      </c>
      <c r="G395" s="2">
        <f>_xlfn.XLOOKUP(B395,Master[Product_Code],Master[Size])</f>
        <v>34</v>
      </c>
      <c r="H395" s="2" t="str">
        <f>_xlfn.XLOOKUP(B395,Master[Product_Code],Master[Color])</f>
        <v>Grey</v>
      </c>
      <c r="I395" s="4">
        <f>_xlfn.XLOOKUP(B395,Master[Product_Code],Master[Stock_Qty])</f>
        <v>4</v>
      </c>
      <c r="J395" s="6">
        <f>SUMIFS(
  Sales_Entry[Qty],
  Sales_Entry[Product_Code], Stock_Table[[#This Row],[Product_Code]]
)</f>
        <v>2</v>
      </c>
      <c r="K395" s="4">
        <f>SUMIFS(
  Exchange_Return[Qty],
  Exchange_Return[Product_Code], Stock_Table[[#This Row],[Product_Code]]
)</f>
        <v>0</v>
      </c>
      <c r="L395" s="4">
        <f>I395-J395+K395</f>
        <v>2</v>
      </c>
      <c r="M395" s="2" t="str" cm="1">
        <f t="array" ref="M395">_xlfn.IFS(L395=0,"Out of Stock",L395&gt;=2,"Limited Stock",L395&lt;2,"In Stock")</f>
        <v>Limited Stock</v>
      </c>
    </row>
    <row r="396" spans="2:13">
      <c r="B396" s="2" t="s">
        <v>950</v>
      </c>
      <c r="C396" s="5" t="str">
        <f>_xlfn.XLOOKUP(B396,Master[Product_Code],Master[Category])</f>
        <v>Jeans</v>
      </c>
      <c r="D396" s="2" t="str">
        <f>_xlfn.XLOOKUP(B396,Master[Product_Code],Master[Brand])</f>
        <v>Spykar</v>
      </c>
      <c r="E396" s="2" t="str">
        <f>_xlfn.XLOOKUP(B396,Master[Product_Code],Master[Style])</f>
        <v>Baggy</v>
      </c>
      <c r="F396" s="2" t="str">
        <f>_xlfn.XLOOKUP(B396,Master[Product_Code],Master[Fabric])</f>
        <v>Denim</v>
      </c>
      <c r="G396" s="2">
        <f>_xlfn.XLOOKUP(B396,Master[Product_Code],Master[Size])</f>
        <v>38</v>
      </c>
      <c r="H396" s="2" t="str">
        <f>_xlfn.XLOOKUP(B396,Master[Product_Code],Master[Color])</f>
        <v>Cream</v>
      </c>
      <c r="I396" s="4">
        <f>_xlfn.XLOOKUP(B396,Master[Product_Code],Master[Stock_Qty])</f>
        <v>4</v>
      </c>
      <c r="J396" s="6">
        <f>SUMIFS(
  Sales_Entry[Qty],
  Sales_Entry[Product_Code], Stock_Table[[#This Row],[Product_Code]]
)</f>
        <v>2</v>
      </c>
      <c r="K396" s="4">
        <f>SUMIFS(
  Exchange_Return[Qty],
  Exchange_Return[Product_Code], Stock_Table[[#This Row],[Product_Code]]
)</f>
        <v>0</v>
      </c>
      <c r="L396" s="4">
        <f>I396-J396+K396</f>
        <v>2</v>
      </c>
      <c r="M396" s="2" t="str" cm="1">
        <f t="array" ref="M396">_xlfn.IFS(L396=0,"Out of Stock",L396&gt;=2,"Limited Stock",L396&lt;2,"In Stock")</f>
        <v>Limited Stock</v>
      </c>
    </row>
    <row r="397" spans="2:13">
      <c r="B397" s="2" t="s">
        <v>951</v>
      </c>
      <c r="C397" s="5" t="str">
        <f>_xlfn.XLOOKUP(B397,Master[Product_Code],Master[Category])</f>
        <v>Jeans</v>
      </c>
      <c r="D397" s="2" t="str">
        <f>_xlfn.XLOOKUP(B397,Master[Product_Code],Master[Brand])</f>
        <v>Levis</v>
      </c>
      <c r="E397" s="2" t="str">
        <f>_xlfn.XLOOKUP(B397,Master[Product_Code],Master[Style])</f>
        <v>Mom Fit</v>
      </c>
      <c r="F397" s="2" t="str">
        <f>_xlfn.XLOOKUP(B397,Master[Product_Code],Master[Fabric])</f>
        <v>Denim</v>
      </c>
      <c r="G397" s="2">
        <f>_xlfn.XLOOKUP(B397,Master[Product_Code],Master[Size])</f>
        <v>38</v>
      </c>
      <c r="H397" s="2" t="str">
        <f>_xlfn.XLOOKUP(B397,Master[Product_Code],Master[Color])</f>
        <v>Rust</v>
      </c>
      <c r="I397" s="4">
        <f>_xlfn.XLOOKUP(B397,Master[Product_Code],Master[Stock_Qty])</f>
        <v>3</v>
      </c>
      <c r="J397" s="6">
        <f>SUMIFS(
  Sales_Entry[Qty],
  Sales_Entry[Product_Code], Stock_Table[[#This Row],[Product_Code]]
)</f>
        <v>3</v>
      </c>
      <c r="K397" s="4">
        <f>SUMIFS(
  Exchange_Return[Qty],
  Exchange_Return[Product_Code], Stock_Table[[#This Row],[Product_Code]]
)</f>
        <v>0</v>
      </c>
      <c r="L397" s="4">
        <f>I397-J397+K397</f>
        <v>0</v>
      </c>
      <c r="M397" s="2" t="str" cm="1">
        <f t="array" ref="M397">_xlfn.IFS(L397=0,"Out of Stock",L397&gt;=2,"Limited Stock",L397&lt;2,"In Stock")</f>
        <v>Out of Stock</v>
      </c>
    </row>
    <row r="398" spans="2:13">
      <c r="B398" s="2" t="s">
        <v>952</v>
      </c>
      <c r="C398" s="5" t="str">
        <f>_xlfn.XLOOKUP(B398,Master[Product_Code],Master[Category])</f>
        <v>Jeans</v>
      </c>
      <c r="D398" s="2" t="str">
        <f>_xlfn.XLOOKUP(B398,Master[Product_Code],Master[Brand])</f>
        <v>Pepe</v>
      </c>
      <c r="E398" s="2" t="str">
        <f>_xlfn.XLOOKUP(B398,Master[Product_Code],Master[Style])</f>
        <v>Baggy</v>
      </c>
      <c r="F398" s="2" t="str">
        <f>_xlfn.XLOOKUP(B398,Master[Product_Code],Master[Fabric])</f>
        <v>Denim</v>
      </c>
      <c r="G398" s="2">
        <f>_xlfn.XLOOKUP(B398,Master[Product_Code],Master[Size])</f>
        <v>28</v>
      </c>
      <c r="H398" s="2" t="str">
        <f>_xlfn.XLOOKUP(B398,Master[Product_Code],Master[Color])</f>
        <v>Charcoal</v>
      </c>
      <c r="I398" s="4">
        <f>_xlfn.XLOOKUP(B398,Master[Product_Code],Master[Stock_Qty])</f>
        <v>6</v>
      </c>
      <c r="J398" s="6">
        <f>SUMIFS(
  Sales_Entry[Qty],
  Sales_Entry[Product_Code], Stock_Table[[#This Row],[Product_Code]]
)</f>
        <v>1</v>
      </c>
      <c r="K398" s="4">
        <f>SUMIFS(
  Exchange_Return[Qty],
  Exchange_Return[Product_Code], Stock_Table[[#This Row],[Product_Code]]
)</f>
        <v>0</v>
      </c>
      <c r="L398" s="4">
        <f>I398-J398+K398</f>
        <v>5</v>
      </c>
      <c r="M398" s="2" t="str" cm="1">
        <f t="array" ref="M398">_xlfn.IFS(L398=0,"Out of Stock",L398&gt;=2,"Limited Stock",L398&lt;2,"In Stock")</f>
        <v>Limited Stock</v>
      </c>
    </row>
    <row r="399" spans="2:13">
      <c r="B399" s="2" t="s">
        <v>953</v>
      </c>
      <c r="C399" s="5" t="str">
        <f>_xlfn.XLOOKUP(B399,Master[Product_Code],Master[Category])</f>
        <v>Jeans</v>
      </c>
      <c r="D399" s="2" t="str">
        <f>_xlfn.XLOOKUP(B399,Master[Product_Code],Master[Brand])</f>
        <v>Pepe</v>
      </c>
      <c r="E399" s="2" t="str">
        <f>_xlfn.XLOOKUP(B399,Master[Product_Code],Master[Style])</f>
        <v>Jogger</v>
      </c>
      <c r="F399" s="2" t="str">
        <f>_xlfn.XLOOKUP(B399,Master[Product_Code],Master[Fabric])</f>
        <v>Denim</v>
      </c>
      <c r="G399" s="2">
        <f>_xlfn.XLOOKUP(B399,Master[Product_Code],Master[Size])</f>
        <v>44</v>
      </c>
      <c r="H399" s="2" t="str">
        <f>_xlfn.XLOOKUP(B399,Master[Product_Code],Master[Color])</f>
        <v>White</v>
      </c>
      <c r="I399" s="4">
        <f>_xlfn.XLOOKUP(B399,Master[Product_Code],Master[Stock_Qty])</f>
        <v>4</v>
      </c>
      <c r="J399" s="6">
        <f>SUMIFS(
  Sales_Entry[Qty],
  Sales_Entry[Product_Code], Stock_Table[[#This Row],[Product_Code]]
)</f>
        <v>2</v>
      </c>
      <c r="K399" s="4">
        <f>SUMIFS(
  Exchange_Return[Qty],
  Exchange_Return[Product_Code], Stock_Table[[#This Row],[Product_Code]]
)</f>
        <v>0</v>
      </c>
      <c r="L399" s="4">
        <f>I399-J399+K399</f>
        <v>2</v>
      </c>
      <c r="M399" s="2" t="str" cm="1">
        <f t="array" ref="M399">_xlfn.IFS(L399=0,"Out of Stock",L399&gt;=2,"Limited Stock",L399&lt;2,"In Stock")</f>
        <v>Limited Stock</v>
      </c>
    </row>
    <row r="400" spans="2:13">
      <c r="B400" s="2" t="s">
        <v>954</v>
      </c>
      <c r="C400" s="5" t="str">
        <f>_xlfn.XLOOKUP(B400,Master[Product_Code],Master[Category])</f>
        <v>Jeans</v>
      </c>
      <c r="D400" s="2" t="str">
        <f>_xlfn.XLOOKUP(B400,Master[Product_Code],Master[Brand])</f>
        <v>Levis</v>
      </c>
      <c r="E400" s="2" t="str">
        <f>_xlfn.XLOOKUP(B400,Master[Product_Code],Master[Style])</f>
        <v>Baggy</v>
      </c>
      <c r="F400" s="2" t="str">
        <f>_xlfn.XLOOKUP(B400,Master[Product_Code],Master[Fabric])</f>
        <v>Denim</v>
      </c>
      <c r="G400" s="2">
        <f>_xlfn.XLOOKUP(B400,Master[Product_Code],Master[Size])</f>
        <v>36</v>
      </c>
      <c r="H400" s="2" t="str">
        <f>_xlfn.XLOOKUP(B400,Master[Product_Code],Master[Color])</f>
        <v>Cream</v>
      </c>
      <c r="I400" s="4">
        <f>_xlfn.XLOOKUP(B400,Master[Product_Code],Master[Stock_Qty])</f>
        <v>4</v>
      </c>
      <c r="J400" s="6">
        <f>SUMIFS(
  Sales_Entry[Qty],
  Sales_Entry[Product_Code], Stock_Table[[#This Row],[Product_Code]]
)</f>
        <v>4</v>
      </c>
      <c r="K400" s="4">
        <f>SUMIFS(
  Exchange_Return[Qty],
  Exchange_Return[Product_Code], Stock_Table[[#This Row],[Product_Code]]
)</f>
        <v>0</v>
      </c>
      <c r="L400" s="4">
        <f>I400-J400+K400</f>
        <v>0</v>
      </c>
      <c r="M400" s="2" t="str" cm="1">
        <f t="array" ref="M400">_xlfn.IFS(L400=0,"Out of Stock",L400&gt;=2,"Limited Stock",L400&lt;2,"In Stock")</f>
        <v>Out of Stock</v>
      </c>
    </row>
    <row r="401" spans="2:13">
      <c r="B401" s="2" t="s">
        <v>955</v>
      </c>
      <c r="C401" s="5" t="str">
        <f>_xlfn.XLOOKUP(B401,Master[Product_Code],Master[Category])</f>
        <v>Jeans</v>
      </c>
      <c r="D401" s="2" t="str">
        <f>_xlfn.XLOOKUP(B401,Master[Product_Code],Master[Brand])</f>
        <v>Wrangler</v>
      </c>
      <c r="E401" s="2" t="str">
        <f>_xlfn.XLOOKUP(B401,Master[Product_Code],Master[Style])</f>
        <v>Jogger</v>
      </c>
      <c r="F401" s="2" t="str">
        <f>_xlfn.XLOOKUP(B401,Master[Product_Code],Master[Fabric])</f>
        <v>Denim</v>
      </c>
      <c r="G401" s="2">
        <f>_xlfn.XLOOKUP(B401,Master[Product_Code],Master[Size])</f>
        <v>44</v>
      </c>
      <c r="H401" s="2" t="str">
        <f>_xlfn.XLOOKUP(B401,Master[Product_Code],Master[Color])</f>
        <v>Maroon</v>
      </c>
      <c r="I401" s="4">
        <f>_xlfn.XLOOKUP(B401,Master[Product_Code],Master[Stock_Qty])</f>
        <v>6</v>
      </c>
      <c r="J401" s="6">
        <f>SUMIFS(
  Sales_Entry[Qty],
  Sales_Entry[Product_Code], Stock_Table[[#This Row],[Product_Code]]
)</f>
        <v>3</v>
      </c>
      <c r="K401" s="4">
        <f>SUMIFS(
  Exchange_Return[Qty],
  Exchange_Return[Product_Code], Stock_Table[[#This Row],[Product_Code]]
)</f>
        <v>0</v>
      </c>
      <c r="L401" s="4">
        <f>I401-J401+K401</f>
        <v>3</v>
      </c>
      <c r="M401" s="2" t="str" cm="1">
        <f t="array" ref="M401">_xlfn.IFS(L401=0,"Out of Stock",L401&gt;=2,"Limited Stock",L401&lt;2,"In Stock")</f>
        <v>Limited Stock</v>
      </c>
    </row>
    <row r="402" spans="2:13">
      <c r="B402" s="2" t="s">
        <v>956</v>
      </c>
      <c r="C402" s="5" t="str">
        <f>_xlfn.XLOOKUP(B402,Master[Product_Code],Master[Category])</f>
        <v>Jeans</v>
      </c>
      <c r="D402" s="2" t="str">
        <f>_xlfn.XLOOKUP(B402,Master[Product_Code],Master[Brand])</f>
        <v>Denim Pro</v>
      </c>
      <c r="E402" s="2" t="str">
        <f>_xlfn.XLOOKUP(B402,Master[Product_Code],Master[Style])</f>
        <v>Baggy</v>
      </c>
      <c r="F402" s="2" t="str">
        <f>_xlfn.XLOOKUP(B402,Master[Product_Code],Master[Fabric])</f>
        <v>Denim</v>
      </c>
      <c r="G402" s="2">
        <f>_xlfn.XLOOKUP(B402,Master[Product_Code],Master[Size])</f>
        <v>44</v>
      </c>
      <c r="H402" s="2" t="str">
        <f>_xlfn.XLOOKUP(B402,Master[Product_Code],Master[Color])</f>
        <v>Sky Blue</v>
      </c>
      <c r="I402" s="4">
        <f>_xlfn.XLOOKUP(B402,Master[Product_Code],Master[Stock_Qty])</f>
        <v>4</v>
      </c>
      <c r="J402" s="6">
        <f>SUMIFS(
  Sales_Entry[Qty],
  Sales_Entry[Product_Code], Stock_Table[[#This Row],[Product_Code]]
)</f>
        <v>1</v>
      </c>
      <c r="K402" s="4">
        <f>SUMIFS(
  Exchange_Return[Qty],
  Exchange_Return[Product_Code], Stock_Table[[#This Row],[Product_Code]]
)</f>
        <v>0</v>
      </c>
      <c r="L402" s="4">
        <f>I402-J402+K402</f>
        <v>3</v>
      </c>
      <c r="M402" s="2" t="str" cm="1">
        <f t="array" ref="M402">_xlfn.IFS(L402=0,"Out of Stock",L402&gt;=2,"Limited Stock",L402&lt;2,"In Stock")</f>
        <v>Limited Stock</v>
      </c>
    </row>
    <row r="403" spans="2:13">
      <c r="B403" s="2" t="s">
        <v>957</v>
      </c>
      <c r="C403" s="5" t="str">
        <f>_xlfn.XLOOKUP(B403,Master[Product_Code],Master[Category])</f>
        <v>Jeans</v>
      </c>
      <c r="D403" s="2" t="str">
        <f>_xlfn.XLOOKUP(B403,Master[Product_Code],Master[Brand])</f>
        <v>Locomotive</v>
      </c>
      <c r="E403" s="2" t="str">
        <f>_xlfn.XLOOKUP(B403,Master[Product_Code],Master[Style])</f>
        <v>Jogger</v>
      </c>
      <c r="F403" s="2" t="str">
        <f>_xlfn.XLOOKUP(B403,Master[Product_Code],Master[Fabric])</f>
        <v>Denim</v>
      </c>
      <c r="G403" s="2">
        <f>_xlfn.XLOOKUP(B403,Master[Product_Code],Master[Size])</f>
        <v>40</v>
      </c>
      <c r="H403" s="2" t="str">
        <f>_xlfn.XLOOKUP(B403,Master[Product_Code],Master[Color])</f>
        <v>Bottle Green</v>
      </c>
      <c r="I403" s="4">
        <f>_xlfn.XLOOKUP(B403,Master[Product_Code],Master[Stock_Qty])</f>
        <v>5</v>
      </c>
      <c r="J403" s="6">
        <f>SUMIFS(
  Sales_Entry[Qty],
  Sales_Entry[Product_Code], Stock_Table[[#This Row],[Product_Code]]
)</f>
        <v>1</v>
      </c>
      <c r="K403" s="4">
        <f>SUMIFS(
  Exchange_Return[Qty],
  Exchange_Return[Product_Code], Stock_Table[[#This Row],[Product_Code]]
)</f>
        <v>0</v>
      </c>
      <c r="L403" s="4">
        <f>I403-J403+K403</f>
        <v>4</v>
      </c>
      <c r="M403" s="2" t="str" cm="1">
        <f t="array" ref="M403">_xlfn.IFS(L403=0,"Out of Stock",L403&gt;=2,"Limited Stock",L403&lt;2,"In Stock")</f>
        <v>Limited Stock</v>
      </c>
    </row>
    <row r="404" spans="2:13">
      <c r="B404" s="2" t="s">
        <v>958</v>
      </c>
      <c r="C404" s="5" t="str">
        <f>_xlfn.XLOOKUP(B404,Master[Product_Code],Master[Category])</f>
        <v>Jeans</v>
      </c>
      <c r="D404" s="2" t="str">
        <f>_xlfn.XLOOKUP(B404,Master[Product_Code],Master[Brand])</f>
        <v>Pepe</v>
      </c>
      <c r="E404" s="2" t="str">
        <f>_xlfn.XLOOKUP(B404,Master[Product_Code],Master[Style])</f>
        <v>Mom Fit</v>
      </c>
      <c r="F404" s="2" t="str">
        <f>_xlfn.XLOOKUP(B404,Master[Product_Code],Master[Fabric])</f>
        <v>Denim</v>
      </c>
      <c r="G404" s="2">
        <f>_xlfn.XLOOKUP(B404,Master[Product_Code],Master[Size])</f>
        <v>34</v>
      </c>
      <c r="H404" s="2" t="str">
        <f>_xlfn.XLOOKUP(B404,Master[Product_Code],Master[Color])</f>
        <v>Cream</v>
      </c>
      <c r="I404" s="4">
        <f>_xlfn.XLOOKUP(B404,Master[Product_Code],Master[Stock_Qty])</f>
        <v>3</v>
      </c>
      <c r="J404" s="6">
        <f>SUMIFS(
  Sales_Entry[Qty],
  Sales_Entry[Product_Code], Stock_Table[[#This Row],[Product_Code]]
)</f>
        <v>1</v>
      </c>
      <c r="K404" s="4">
        <f>SUMIFS(
  Exchange_Return[Qty],
  Exchange_Return[Product_Code], Stock_Table[[#This Row],[Product_Code]]
)</f>
        <v>0</v>
      </c>
      <c r="L404" s="4">
        <f>I404-J404+K404</f>
        <v>2</v>
      </c>
      <c r="M404" s="2" t="str" cm="1">
        <f t="array" ref="M404">_xlfn.IFS(L404=0,"Out of Stock",L404&gt;=2,"Limited Stock",L404&lt;2,"In Stock")</f>
        <v>Limited Stock</v>
      </c>
    </row>
    <row r="405" spans="2:13">
      <c r="B405" s="2" t="s">
        <v>959</v>
      </c>
      <c r="C405" s="5" t="str">
        <f>_xlfn.XLOOKUP(B405,Master[Product_Code],Master[Category])</f>
        <v>Jeans</v>
      </c>
      <c r="D405" s="2" t="str">
        <f>_xlfn.XLOOKUP(B405,Master[Product_Code],Master[Brand])</f>
        <v>Wrangler</v>
      </c>
      <c r="E405" s="2" t="str">
        <f>_xlfn.XLOOKUP(B405,Master[Product_Code],Master[Style])</f>
        <v>Jogger</v>
      </c>
      <c r="F405" s="2" t="str">
        <f>_xlfn.XLOOKUP(B405,Master[Product_Code],Master[Fabric])</f>
        <v>Denim</v>
      </c>
      <c r="G405" s="2">
        <f>_xlfn.XLOOKUP(B405,Master[Product_Code],Master[Size])</f>
        <v>30</v>
      </c>
      <c r="H405" s="2" t="str">
        <f>_xlfn.XLOOKUP(B405,Master[Product_Code],Master[Color])</f>
        <v>Navy Blue</v>
      </c>
      <c r="I405" s="4">
        <f>_xlfn.XLOOKUP(B405,Master[Product_Code],Master[Stock_Qty])</f>
        <v>3</v>
      </c>
      <c r="J405" s="6">
        <f>SUMIFS(
  Sales_Entry[Qty],
  Sales_Entry[Product_Code], Stock_Table[[#This Row],[Product_Code]]
)</f>
        <v>2</v>
      </c>
      <c r="K405" s="4">
        <f>SUMIFS(
  Exchange_Return[Qty],
  Exchange_Return[Product_Code], Stock_Table[[#This Row],[Product_Code]]
)</f>
        <v>0</v>
      </c>
      <c r="L405" s="4">
        <f>I405-J405+K405</f>
        <v>1</v>
      </c>
      <c r="M405" s="2" t="str" cm="1">
        <f t="array" ref="M405">_xlfn.IFS(L405=0,"Out of Stock",L405&gt;=2,"Limited Stock",L405&lt;2,"In Stock")</f>
        <v>In Stock</v>
      </c>
    </row>
    <row r="406" spans="2:13">
      <c r="B406" s="2" t="s">
        <v>960</v>
      </c>
      <c r="C406" s="5" t="str">
        <f>_xlfn.XLOOKUP(B406,Master[Product_Code],Master[Category])</f>
        <v>Jeans</v>
      </c>
      <c r="D406" s="2" t="str">
        <f>_xlfn.XLOOKUP(B406,Master[Product_Code],Master[Brand])</f>
        <v>Levis</v>
      </c>
      <c r="E406" s="2" t="str">
        <f>_xlfn.XLOOKUP(B406,Master[Product_Code],Master[Style])</f>
        <v>Jogger</v>
      </c>
      <c r="F406" s="2" t="str">
        <f>_xlfn.XLOOKUP(B406,Master[Product_Code],Master[Fabric])</f>
        <v>Denim</v>
      </c>
      <c r="G406" s="2">
        <f>_xlfn.XLOOKUP(B406,Master[Product_Code],Master[Size])</f>
        <v>30</v>
      </c>
      <c r="H406" s="2" t="str">
        <f>_xlfn.XLOOKUP(B406,Master[Product_Code],Master[Color])</f>
        <v>Wine</v>
      </c>
      <c r="I406" s="4">
        <f>_xlfn.XLOOKUP(B406,Master[Product_Code],Master[Stock_Qty])</f>
        <v>6</v>
      </c>
      <c r="J406" s="6">
        <f>SUMIFS(
  Sales_Entry[Qty],
  Sales_Entry[Product_Code], Stock_Table[[#This Row],[Product_Code]]
)</f>
        <v>1</v>
      </c>
      <c r="K406" s="4">
        <f>SUMIFS(
  Exchange_Return[Qty],
  Exchange_Return[Product_Code], Stock_Table[[#This Row],[Product_Code]]
)</f>
        <v>0</v>
      </c>
      <c r="L406" s="4">
        <f>I406-J406+K406</f>
        <v>5</v>
      </c>
      <c r="M406" s="2" t="str" cm="1">
        <f t="array" ref="M406">_xlfn.IFS(L406=0,"Out of Stock",L406&gt;=2,"Limited Stock",L406&lt;2,"In Stock")</f>
        <v>Limited Stock</v>
      </c>
    </row>
    <row r="407" spans="2:13">
      <c r="B407" s="2" t="s">
        <v>961</v>
      </c>
      <c r="C407" s="5" t="str">
        <f>_xlfn.XLOOKUP(B407,Master[Product_Code],Master[Category])</f>
        <v>Jeans</v>
      </c>
      <c r="D407" s="2" t="str">
        <f>_xlfn.XLOOKUP(B407,Master[Product_Code],Master[Brand])</f>
        <v>Locomotive</v>
      </c>
      <c r="E407" s="2" t="str">
        <f>_xlfn.XLOOKUP(B407,Master[Product_Code],Master[Style])</f>
        <v>Jogger</v>
      </c>
      <c r="F407" s="2" t="str">
        <f>_xlfn.XLOOKUP(B407,Master[Product_Code],Master[Fabric])</f>
        <v>Denim</v>
      </c>
      <c r="G407" s="2">
        <f>_xlfn.XLOOKUP(B407,Master[Product_Code],Master[Size])</f>
        <v>40</v>
      </c>
      <c r="H407" s="2" t="str">
        <f>_xlfn.XLOOKUP(B407,Master[Product_Code],Master[Color])</f>
        <v>Dark Green</v>
      </c>
      <c r="I407" s="4">
        <f>_xlfn.XLOOKUP(B407,Master[Product_Code],Master[Stock_Qty])</f>
        <v>6</v>
      </c>
      <c r="J407" s="6">
        <f>SUMIFS(
  Sales_Entry[Qty],
  Sales_Entry[Product_Code], Stock_Table[[#This Row],[Product_Code]]
)</f>
        <v>1</v>
      </c>
      <c r="K407" s="4">
        <f>SUMIFS(
  Exchange_Return[Qty],
  Exchange_Return[Product_Code], Stock_Table[[#This Row],[Product_Code]]
)</f>
        <v>0</v>
      </c>
      <c r="L407" s="4">
        <f>I407-J407+K407</f>
        <v>5</v>
      </c>
      <c r="M407" s="2" t="str" cm="1">
        <f t="array" ref="M407">_xlfn.IFS(L407=0,"Out of Stock",L407&gt;=2,"Limited Stock",L407&lt;2,"In Stock")</f>
        <v>Limited Stock</v>
      </c>
    </row>
    <row r="408" spans="2:13">
      <c r="B408" s="2" t="s">
        <v>962</v>
      </c>
      <c r="C408" s="5" t="str">
        <f>_xlfn.XLOOKUP(B408,Master[Product_Code],Master[Category])</f>
        <v>Jeans</v>
      </c>
      <c r="D408" s="2" t="str">
        <f>_xlfn.XLOOKUP(B408,Master[Product_Code],Master[Brand])</f>
        <v>Spykar</v>
      </c>
      <c r="E408" s="2" t="str">
        <f>_xlfn.XLOOKUP(B408,Master[Product_Code],Master[Style])</f>
        <v>Baggy</v>
      </c>
      <c r="F408" s="2" t="str">
        <f>_xlfn.XLOOKUP(B408,Master[Product_Code],Master[Fabric])</f>
        <v>Denim</v>
      </c>
      <c r="G408" s="2">
        <f>_xlfn.XLOOKUP(B408,Master[Product_Code],Master[Size])</f>
        <v>32</v>
      </c>
      <c r="H408" s="2" t="str">
        <f>_xlfn.XLOOKUP(B408,Master[Product_Code],Master[Color])</f>
        <v>Maroon</v>
      </c>
      <c r="I408" s="4">
        <f>_xlfn.XLOOKUP(B408,Master[Product_Code],Master[Stock_Qty])</f>
        <v>4</v>
      </c>
      <c r="J408" s="6">
        <f>SUMIFS(
  Sales_Entry[Qty],
  Sales_Entry[Product_Code], Stock_Table[[#This Row],[Product_Code]]
)</f>
        <v>1</v>
      </c>
      <c r="K408" s="4">
        <f>SUMIFS(
  Exchange_Return[Qty],
  Exchange_Return[Product_Code], Stock_Table[[#This Row],[Product_Code]]
)</f>
        <v>0</v>
      </c>
      <c r="L408" s="4">
        <f>I408-J408+K408</f>
        <v>3</v>
      </c>
      <c r="M408" s="2" t="str" cm="1">
        <f t="array" ref="M408">_xlfn.IFS(L408=0,"Out of Stock",L408&gt;=2,"Limited Stock",L408&lt;2,"In Stock")</f>
        <v>Limited Stock</v>
      </c>
    </row>
    <row r="409" spans="2:13">
      <c r="B409" s="2" t="s">
        <v>963</v>
      </c>
      <c r="C409" s="5" t="str">
        <f>_xlfn.XLOOKUP(B409,Master[Product_Code],Master[Category])</f>
        <v>Jeans</v>
      </c>
      <c r="D409" s="2" t="str">
        <f>_xlfn.XLOOKUP(B409,Master[Product_Code],Master[Brand])</f>
        <v>Denim Pro</v>
      </c>
      <c r="E409" s="2" t="str">
        <f>_xlfn.XLOOKUP(B409,Master[Product_Code],Master[Style])</f>
        <v>Mom Fit</v>
      </c>
      <c r="F409" s="2" t="str">
        <f>_xlfn.XLOOKUP(B409,Master[Product_Code],Master[Fabric])</f>
        <v>Denim</v>
      </c>
      <c r="G409" s="2">
        <f>_xlfn.XLOOKUP(B409,Master[Product_Code],Master[Size])</f>
        <v>36</v>
      </c>
      <c r="H409" s="2" t="str">
        <f>_xlfn.XLOOKUP(B409,Master[Product_Code],Master[Color])</f>
        <v>Brown</v>
      </c>
      <c r="I409" s="4">
        <f>_xlfn.XLOOKUP(B409,Master[Product_Code],Master[Stock_Qty])</f>
        <v>6</v>
      </c>
      <c r="J409" s="6">
        <f>SUMIFS(
  Sales_Entry[Qty],
  Sales_Entry[Product_Code], Stock_Table[[#This Row],[Product_Code]]
)</f>
        <v>2</v>
      </c>
      <c r="K409" s="4">
        <f>SUMIFS(
  Exchange_Return[Qty],
  Exchange_Return[Product_Code], Stock_Table[[#This Row],[Product_Code]]
)</f>
        <v>0</v>
      </c>
      <c r="L409" s="4">
        <f>I409-J409+K409</f>
        <v>4</v>
      </c>
      <c r="M409" s="2" t="str" cm="1">
        <f t="array" ref="M409">_xlfn.IFS(L409=0,"Out of Stock",L409&gt;=2,"Limited Stock",L409&lt;2,"In Stock")</f>
        <v>Limited Stock</v>
      </c>
    </row>
    <row r="410" spans="2:13">
      <c r="B410" s="2" t="s">
        <v>964</v>
      </c>
      <c r="C410" s="5" t="str">
        <f>_xlfn.XLOOKUP(B410,Master[Product_Code],Master[Category])</f>
        <v>Jeans</v>
      </c>
      <c r="D410" s="2" t="str">
        <f>_xlfn.XLOOKUP(B410,Master[Product_Code],Master[Brand])</f>
        <v>Denim Pro</v>
      </c>
      <c r="E410" s="2" t="str">
        <f>_xlfn.XLOOKUP(B410,Master[Product_Code],Master[Style])</f>
        <v>Mom Fit</v>
      </c>
      <c r="F410" s="2" t="str">
        <f>_xlfn.XLOOKUP(B410,Master[Product_Code],Master[Fabric])</f>
        <v>Denim</v>
      </c>
      <c r="G410" s="2">
        <f>_xlfn.XLOOKUP(B410,Master[Product_Code],Master[Size])</f>
        <v>32</v>
      </c>
      <c r="H410" s="2" t="str">
        <f>_xlfn.XLOOKUP(B410,Master[Product_Code],Master[Color])</f>
        <v>Grey</v>
      </c>
      <c r="I410" s="4">
        <f>_xlfn.XLOOKUP(B410,Master[Product_Code],Master[Stock_Qty])</f>
        <v>3</v>
      </c>
      <c r="J410" s="6">
        <f>SUMIFS(
  Sales_Entry[Qty],
  Sales_Entry[Product_Code], Stock_Table[[#This Row],[Product_Code]]
)</f>
        <v>0</v>
      </c>
      <c r="K410" s="4">
        <f>SUMIFS(
  Exchange_Return[Qty],
  Exchange_Return[Product_Code], Stock_Table[[#This Row],[Product_Code]]
)</f>
        <v>0</v>
      </c>
      <c r="L410" s="4">
        <f>I410-J410+K410</f>
        <v>3</v>
      </c>
      <c r="M410" s="2" t="str" cm="1">
        <f t="array" ref="M410">_xlfn.IFS(L410=0,"Out of Stock",L410&gt;=2,"Limited Stock",L410&lt;2,"In Stock")</f>
        <v>Limited Stock</v>
      </c>
    </row>
    <row r="411" spans="2:13">
      <c r="B411" s="2" t="s">
        <v>965</v>
      </c>
      <c r="C411" s="5" t="str">
        <f>_xlfn.XLOOKUP(B411,Master[Product_Code],Master[Category])</f>
        <v>Jeans</v>
      </c>
      <c r="D411" s="2" t="str">
        <f>_xlfn.XLOOKUP(B411,Master[Product_Code],Master[Brand])</f>
        <v>Wrangler</v>
      </c>
      <c r="E411" s="2" t="str">
        <f>_xlfn.XLOOKUP(B411,Master[Product_Code],Master[Style])</f>
        <v>Mom Fit</v>
      </c>
      <c r="F411" s="2" t="str">
        <f>_xlfn.XLOOKUP(B411,Master[Product_Code],Master[Fabric])</f>
        <v>Denim</v>
      </c>
      <c r="G411" s="2">
        <f>_xlfn.XLOOKUP(B411,Master[Product_Code],Master[Size])</f>
        <v>42</v>
      </c>
      <c r="H411" s="2" t="str">
        <f>_xlfn.XLOOKUP(B411,Master[Product_Code],Master[Color])</f>
        <v>Peach</v>
      </c>
      <c r="I411" s="4">
        <f>_xlfn.XLOOKUP(B411,Master[Product_Code],Master[Stock_Qty])</f>
        <v>3</v>
      </c>
      <c r="J411" s="6">
        <f>SUMIFS(
  Sales_Entry[Qty],
  Sales_Entry[Product_Code], Stock_Table[[#This Row],[Product_Code]]
)</f>
        <v>1</v>
      </c>
      <c r="K411" s="4">
        <f>SUMIFS(
  Exchange_Return[Qty],
  Exchange_Return[Product_Code], Stock_Table[[#This Row],[Product_Code]]
)</f>
        <v>0</v>
      </c>
      <c r="L411" s="4">
        <f>I411-J411+K411</f>
        <v>2</v>
      </c>
      <c r="M411" s="2" t="str" cm="1">
        <f t="array" ref="M411">_xlfn.IFS(L411=0,"Out of Stock",L411&gt;=2,"Limited Stock",L411&lt;2,"In Stock")</f>
        <v>Limited Stock</v>
      </c>
    </row>
    <row r="412" spans="2:13">
      <c r="B412" s="2" t="s">
        <v>966</v>
      </c>
      <c r="C412" s="5" t="str">
        <f>_xlfn.XLOOKUP(B412,Master[Product_Code],Master[Category])</f>
        <v>Jeans</v>
      </c>
      <c r="D412" s="2" t="str">
        <f>_xlfn.XLOOKUP(B412,Master[Product_Code],Master[Brand])</f>
        <v>Levis</v>
      </c>
      <c r="E412" s="2" t="str">
        <f>_xlfn.XLOOKUP(B412,Master[Product_Code],Master[Style])</f>
        <v>Mom Fit</v>
      </c>
      <c r="F412" s="2" t="str">
        <f>_xlfn.XLOOKUP(B412,Master[Product_Code],Master[Fabric])</f>
        <v>Denim</v>
      </c>
      <c r="G412" s="2">
        <f>_xlfn.XLOOKUP(B412,Master[Product_Code],Master[Size])</f>
        <v>42</v>
      </c>
      <c r="H412" s="2" t="str">
        <f>_xlfn.XLOOKUP(B412,Master[Product_Code],Master[Color])</f>
        <v>Cream</v>
      </c>
      <c r="I412" s="4">
        <f>_xlfn.XLOOKUP(B412,Master[Product_Code],Master[Stock_Qty])</f>
        <v>6</v>
      </c>
      <c r="J412" s="6">
        <f>SUMIFS(
  Sales_Entry[Qty],
  Sales_Entry[Product_Code], Stock_Table[[#This Row],[Product_Code]]
)</f>
        <v>1</v>
      </c>
      <c r="K412" s="4">
        <f>SUMIFS(
  Exchange_Return[Qty],
  Exchange_Return[Product_Code], Stock_Table[[#This Row],[Product_Code]]
)</f>
        <v>0</v>
      </c>
      <c r="L412" s="4">
        <f>I412-J412+K412</f>
        <v>5</v>
      </c>
      <c r="M412" s="2" t="str" cm="1">
        <f t="array" ref="M412">_xlfn.IFS(L412=0,"Out of Stock",L412&gt;=2,"Limited Stock",L412&lt;2,"In Stock")</f>
        <v>Limited Stock</v>
      </c>
    </row>
    <row r="413" spans="2:13">
      <c r="B413" s="2" t="s">
        <v>967</v>
      </c>
      <c r="C413" s="5" t="str">
        <f>_xlfn.XLOOKUP(B413,Master[Product_Code],Master[Category])</f>
        <v>Jeans</v>
      </c>
      <c r="D413" s="2" t="str">
        <f>_xlfn.XLOOKUP(B413,Master[Product_Code],Master[Brand])</f>
        <v>Pepe</v>
      </c>
      <c r="E413" s="2" t="str">
        <f>_xlfn.XLOOKUP(B413,Master[Product_Code],Master[Style])</f>
        <v>Jogger</v>
      </c>
      <c r="F413" s="2" t="str">
        <f>_xlfn.XLOOKUP(B413,Master[Product_Code],Master[Fabric])</f>
        <v>Denim</v>
      </c>
      <c r="G413" s="2">
        <f>_xlfn.XLOOKUP(B413,Master[Product_Code],Master[Size])</f>
        <v>34</v>
      </c>
      <c r="H413" s="2" t="str">
        <f>_xlfn.XLOOKUP(B413,Master[Product_Code],Master[Color])</f>
        <v>Dark Green</v>
      </c>
      <c r="I413" s="4">
        <f>_xlfn.XLOOKUP(B413,Master[Product_Code],Master[Stock_Qty])</f>
        <v>5</v>
      </c>
      <c r="J413" s="6">
        <f>SUMIFS(
  Sales_Entry[Qty],
  Sales_Entry[Product_Code], Stock_Table[[#This Row],[Product_Code]]
)</f>
        <v>3</v>
      </c>
      <c r="K413" s="4">
        <f>SUMIFS(
  Exchange_Return[Qty],
  Exchange_Return[Product_Code], Stock_Table[[#This Row],[Product_Code]]
)</f>
        <v>0</v>
      </c>
      <c r="L413" s="4">
        <f>I413-J413+K413</f>
        <v>2</v>
      </c>
      <c r="M413" s="2" t="str" cm="1">
        <f t="array" ref="M413">_xlfn.IFS(L413=0,"Out of Stock",L413&gt;=2,"Limited Stock",L413&lt;2,"In Stock")</f>
        <v>Limited Stock</v>
      </c>
    </row>
    <row r="414" spans="2:13">
      <c r="B414" s="2" t="s">
        <v>968</v>
      </c>
      <c r="C414" s="5" t="str">
        <f>_xlfn.XLOOKUP(B414,Master[Product_Code],Master[Category])</f>
        <v>Jeans</v>
      </c>
      <c r="D414" s="2" t="str">
        <f>_xlfn.XLOOKUP(B414,Master[Product_Code],Master[Brand])</f>
        <v>Denim Pro</v>
      </c>
      <c r="E414" s="2" t="str">
        <f>_xlfn.XLOOKUP(B414,Master[Product_Code],Master[Style])</f>
        <v>Jogger</v>
      </c>
      <c r="F414" s="2" t="str">
        <f>_xlfn.XLOOKUP(B414,Master[Product_Code],Master[Fabric])</f>
        <v>Denim</v>
      </c>
      <c r="G414" s="2">
        <f>_xlfn.XLOOKUP(B414,Master[Product_Code],Master[Size])</f>
        <v>28</v>
      </c>
      <c r="H414" s="2" t="str">
        <f>_xlfn.XLOOKUP(B414,Master[Product_Code],Master[Color])</f>
        <v>Olive</v>
      </c>
      <c r="I414" s="4">
        <f>_xlfn.XLOOKUP(B414,Master[Product_Code],Master[Stock_Qty])</f>
        <v>4</v>
      </c>
      <c r="J414" s="6">
        <f>SUMIFS(
  Sales_Entry[Qty],
  Sales_Entry[Product_Code], Stock_Table[[#This Row],[Product_Code]]
)</f>
        <v>1</v>
      </c>
      <c r="K414" s="4">
        <f>SUMIFS(
  Exchange_Return[Qty],
  Exchange_Return[Product_Code], Stock_Table[[#This Row],[Product_Code]]
)</f>
        <v>0</v>
      </c>
      <c r="L414" s="4">
        <f>I414-J414+K414</f>
        <v>3</v>
      </c>
      <c r="M414" s="2" t="str" cm="1">
        <f t="array" ref="M414">_xlfn.IFS(L414=0,"Out of Stock",L414&gt;=2,"Limited Stock",L414&lt;2,"In Stock")</f>
        <v>Limited Stock</v>
      </c>
    </row>
    <row r="415" spans="2:13">
      <c r="B415" s="2" t="s">
        <v>969</v>
      </c>
      <c r="C415" s="5" t="str">
        <f>_xlfn.XLOOKUP(B415,Master[Product_Code],Master[Category])</f>
        <v>Jeans</v>
      </c>
      <c r="D415" s="2" t="str">
        <f>_xlfn.XLOOKUP(B415,Master[Product_Code],Master[Brand])</f>
        <v>Denim Pro</v>
      </c>
      <c r="E415" s="2" t="str">
        <f>_xlfn.XLOOKUP(B415,Master[Product_Code],Master[Style])</f>
        <v>Baggy</v>
      </c>
      <c r="F415" s="2" t="str">
        <f>_xlfn.XLOOKUP(B415,Master[Product_Code],Master[Fabric])</f>
        <v>Denim</v>
      </c>
      <c r="G415" s="2">
        <f>_xlfn.XLOOKUP(B415,Master[Product_Code],Master[Size])</f>
        <v>32</v>
      </c>
      <c r="H415" s="2" t="str">
        <f>_xlfn.XLOOKUP(B415,Master[Product_Code],Master[Color])</f>
        <v>White</v>
      </c>
      <c r="I415" s="4">
        <f>_xlfn.XLOOKUP(B415,Master[Product_Code],Master[Stock_Qty])</f>
        <v>5</v>
      </c>
      <c r="J415" s="6">
        <f>SUMIFS(
  Sales_Entry[Qty],
  Sales_Entry[Product_Code], Stock_Table[[#This Row],[Product_Code]]
)</f>
        <v>0</v>
      </c>
      <c r="K415" s="4">
        <f>SUMIFS(
  Exchange_Return[Qty],
  Exchange_Return[Product_Code], Stock_Table[[#This Row],[Product_Code]]
)</f>
        <v>0</v>
      </c>
      <c r="L415" s="4">
        <f>I415-J415+K415</f>
        <v>5</v>
      </c>
      <c r="M415" s="2" t="str" cm="1">
        <f t="array" ref="M415">_xlfn.IFS(L415=0,"Out of Stock",L415&gt;=2,"Limited Stock",L415&lt;2,"In Stock")</f>
        <v>Limited Stock</v>
      </c>
    </row>
    <row r="416" spans="2:13">
      <c r="B416" s="2" t="s">
        <v>970</v>
      </c>
      <c r="C416" s="5" t="str">
        <f>_xlfn.XLOOKUP(B416,Master[Product_Code],Master[Category])</f>
        <v>Jeans</v>
      </c>
      <c r="D416" s="2" t="str">
        <f>_xlfn.XLOOKUP(B416,Master[Product_Code],Master[Brand])</f>
        <v>Pepe</v>
      </c>
      <c r="E416" s="2" t="str">
        <f>_xlfn.XLOOKUP(B416,Master[Product_Code],Master[Style])</f>
        <v>Mom Fit</v>
      </c>
      <c r="F416" s="2" t="str">
        <f>_xlfn.XLOOKUP(B416,Master[Product_Code],Master[Fabric])</f>
        <v>Denim</v>
      </c>
      <c r="G416" s="2">
        <f>_xlfn.XLOOKUP(B416,Master[Product_Code],Master[Size])</f>
        <v>40</v>
      </c>
      <c r="H416" s="2" t="str">
        <f>_xlfn.XLOOKUP(B416,Master[Product_Code],Master[Color])</f>
        <v>Olive</v>
      </c>
      <c r="I416" s="4">
        <f>_xlfn.XLOOKUP(B416,Master[Product_Code],Master[Stock_Qty])</f>
        <v>4</v>
      </c>
      <c r="J416" s="6">
        <f>SUMIFS(
  Sales_Entry[Qty],
  Sales_Entry[Product_Code], Stock_Table[[#This Row],[Product_Code]]
)</f>
        <v>0</v>
      </c>
      <c r="K416" s="4">
        <f>SUMIFS(
  Exchange_Return[Qty],
  Exchange_Return[Product_Code], Stock_Table[[#This Row],[Product_Code]]
)</f>
        <v>0</v>
      </c>
      <c r="L416" s="4">
        <f>I416-J416+K416</f>
        <v>4</v>
      </c>
      <c r="M416" s="2" t="str" cm="1">
        <f t="array" ref="M416">_xlfn.IFS(L416=0,"Out of Stock",L416&gt;=2,"Limited Stock",L416&lt;2,"In Stock")</f>
        <v>Limited Stock</v>
      </c>
    </row>
    <row r="417" spans="2:13">
      <c r="B417" s="2" t="s">
        <v>971</v>
      </c>
      <c r="C417" s="5" t="str">
        <f>_xlfn.XLOOKUP(B417,Master[Product_Code],Master[Category])</f>
        <v>Jeans</v>
      </c>
      <c r="D417" s="2" t="str">
        <f>_xlfn.XLOOKUP(B417,Master[Product_Code],Master[Brand])</f>
        <v>Wrangler</v>
      </c>
      <c r="E417" s="2" t="str">
        <f>_xlfn.XLOOKUP(B417,Master[Product_Code],Master[Style])</f>
        <v>Jogger</v>
      </c>
      <c r="F417" s="2" t="str">
        <f>_xlfn.XLOOKUP(B417,Master[Product_Code],Master[Fabric])</f>
        <v>Denim</v>
      </c>
      <c r="G417" s="2">
        <f>_xlfn.XLOOKUP(B417,Master[Product_Code],Master[Size])</f>
        <v>42</v>
      </c>
      <c r="H417" s="2" t="str">
        <f>_xlfn.XLOOKUP(B417,Master[Product_Code],Master[Color])</f>
        <v>Light Grey</v>
      </c>
      <c r="I417" s="4">
        <f>_xlfn.XLOOKUP(B417,Master[Product_Code],Master[Stock_Qty])</f>
        <v>5</v>
      </c>
      <c r="J417" s="6">
        <f>SUMIFS(
  Sales_Entry[Qty],
  Sales_Entry[Product_Code], Stock_Table[[#This Row],[Product_Code]]
)</f>
        <v>0</v>
      </c>
      <c r="K417" s="4">
        <f>SUMIFS(
  Exchange_Return[Qty],
  Exchange_Return[Product_Code], Stock_Table[[#This Row],[Product_Code]]
)</f>
        <v>0</v>
      </c>
      <c r="L417" s="4">
        <f>I417-J417+K417</f>
        <v>5</v>
      </c>
      <c r="M417" s="2" t="str" cm="1">
        <f t="array" ref="M417">_xlfn.IFS(L417=0,"Out of Stock",L417&gt;=2,"Limited Stock",L417&lt;2,"In Stock")</f>
        <v>Limited Stock</v>
      </c>
    </row>
    <row r="418" spans="2:13">
      <c r="B418" s="2" t="s">
        <v>972</v>
      </c>
      <c r="C418" s="5" t="str">
        <f>_xlfn.XLOOKUP(B418,Master[Product_Code],Master[Category])</f>
        <v>Jeans</v>
      </c>
      <c r="D418" s="2" t="str">
        <f>_xlfn.XLOOKUP(B418,Master[Product_Code],Master[Brand])</f>
        <v>Pepe</v>
      </c>
      <c r="E418" s="2" t="str">
        <f>_xlfn.XLOOKUP(B418,Master[Product_Code],Master[Style])</f>
        <v>Baggy</v>
      </c>
      <c r="F418" s="2" t="str">
        <f>_xlfn.XLOOKUP(B418,Master[Product_Code],Master[Fabric])</f>
        <v>Denim</v>
      </c>
      <c r="G418" s="2">
        <f>_xlfn.XLOOKUP(B418,Master[Product_Code],Master[Size])</f>
        <v>38</v>
      </c>
      <c r="H418" s="2" t="str">
        <f>_xlfn.XLOOKUP(B418,Master[Product_Code],Master[Color])</f>
        <v>Rust</v>
      </c>
      <c r="I418" s="4">
        <f>_xlfn.XLOOKUP(B418,Master[Product_Code],Master[Stock_Qty])</f>
        <v>3</v>
      </c>
      <c r="J418" s="6">
        <f>SUMIFS(
  Sales_Entry[Qty],
  Sales_Entry[Product_Code], Stock_Table[[#This Row],[Product_Code]]
)</f>
        <v>3</v>
      </c>
      <c r="K418" s="4">
        <f>SUMIFS(
  Exchange_Return[Qty],
  Exchange_Return[Product_Code], Stock_Table[[#This Row],[Product_Code]]
)</f>
        <v>0</v>
      </c>
      <c r="L418" s="4">
        <f>I418-J418+K418</f>
        <v>0</v>
      </c>
      <c r="M418" s="2" t="str" cm="1">
        <f t="array" ref="M418">_xlfn.IFS(L418=0,"Out of Stock",L418&gt;=2,"Limited Stock",L418&lt;2,"In Stock")</f>
        <v>Out of Stock</v>
      </c>
    </row>
    <row r="419" spans="2:13">
      <c r="B419" s="2" t="s">
        <v>973</v>
      </c>
      <c r="C419" s="5" t="str">
        <f>_xlfn.XLOOKUP(B419,Master[Product_Code],Master[Category])</f>
        <v>Jeans</v>
      </c>
      <c r="D419" s="2" t="str">
        <f>_xlfn.XLOOKUP(B419,Master[Product_Code],Master[Brand])</f>
        <v>Levis</v>
      </c>
      <c r="E419" s="2" t="str">
        <f>_xlfn.XLOOKUP(B419,Master[Product_Code],Master[Style])</f>
        <v>Jogger</v>
      </c>
      <c r="F419" s="2" t="str">
        <f>_xlfn.XLOOKUP(B419,Master[Product_Code],Master[Fabric])</f>
        <v>Denim</v>
      </c>
      <c r="G419" s="2">
        <f>_xlfn.XLOOKUP(B419,Master[Product_Code],Master[Size])</f>
        <v>36</v>
      </c>
      <c r="H419" s="2" t="str">
        <f>_xlfn.XLOOKUP(B419,Master[Product_Code],Master[Color])</f>
        <v>Peach</v>
      </c>
      <c r="I419" s="4">
        <f>_xlfn.XLOOKUP(B419,Master[Product_Code],Master[Stock_Qty])</f>
        <v>4</v>
      </c>
      <c r="J419" s="6">
        <f>SUMIFS(
  Sales_Entry[Qty],
  Sales_Entry[Product_Code], Stock_Table[[#This Row],[Product_Code]]
)</f>
        <v>4</v>
      </c>
      <c r="K419" s="4">
        <f>SUMIFS(
  Exchange_Return[Qty],
  Exchange_Return[Product_Code], Stock_Table[[#This Row],[Product_Code]]
)</f>
        <v>0</v>
      </c>
      <c r="L419" s="4">
        <f>I419-J419+K419</f>
        <v>0</v>
      </c>
      <c r="M419" s="2" t="str" cm="1">
        <f t="array" ref="M419">_xlfn.IFS(L419=0,"Out of Stock",L419&gt;=2,"Limited Stock",L419&lt;2,"In Stock")</f>
        <v>Out of Stock</v>
      </c>
    </row>
    <row r="420" spans="2:13">
      <c r="B420" s="2" t="s">
        <v>974</v>
      </c>
      <c r="C420" s="5" t="str">
        <f>_xlfn.XLOOKUP(B420,Master[Product_Code],Master[Category])</f>
        <v>Jeans</v>
      </c>
      <c r="D420" s="2" t="str">
        <f>_xlfn.XLOOKUP(B420,Master[Product_Code],Master[Brand])</f>
        <v>Denim Pro</v>
      </c>
      <c r="E420" s="2" t="str">
        <f>_xlfn.XLOOKUP(B420,Master[Product_Code],Master[Style])</f>
        <v>Baggy</v>
      </c>
      <c r="F420" s="2" t="str">
        <f>_xlfn.XLOOKUP(B420,Master[Product_Code],Master[Fabric])</f>
        <v>Denim</v>
      </c>
      <c r="G420" s="2">
        <f>_xlfn.XLOOKUP(B420,Master[Product_Code],Master[Size])</f>
        <v>44</v>
      </c>
      <c r="H420" s="2" t="str">
        <f>_xlfn.XLOOKUP(B420,Master[Product_Code],Master[Color])</f>
        <v>Bottle Green</v>
      </c>
      <c r="I420" s="4">
        <f>_xlfn.XLOOKUP(B420,Master[Product_Code],Master[Stock_Qty])</f>
        <v>4</v>
      </c>
      <c r="J420" s="6">
        <f>SUMIFS(
  Sales_Entry[Qty],
  Sales_Entry[Product_Code], Stock_Table[[#This Row],[Product_Code]]
)</f>
        <v>0</v>
      </c>
      <c r="K420" s="4">
        <f>SUMIFS(
  Exchange_Return[Qty],
  Exchange_Return[Product_Code], Stock_Table[[#This Row],[Product_Code]]
)</f>
        <v>0</v>
      </c>
      <c r="L420" s="4">
        <f>I420-J420+K420</f>
        <v>4</v>
      </c>
      <c r="M420" s="2" t="str" cm="1">
        <f t="array" ref="M420">_xlfn.IFS(L420=0,"Out of Stock",L420&gt;=2,"Limited Stock",L420&lt;2,"In Stock")</f>
        <v>Limited Stock</v>
      </c>
    </row>
    <row r="421" spans="2:13">
      <c r="B421" s="2" t="s">
        <v>975</v>
      </c>
      <c r="C421" s="5" t="str">
        <f>_xlfn.XLOOKUP(B421,Master[Product_Code],Master[Category])</f>
        <v>Jeans</v>
      </c>
      <c r="D421" s="2" t="str">
        <f>_xlfn.XLOOKUP(B421,Master[Product_Code],Master[Brand])</f>
        <v>Spykar</v>
      </c>
      <c r="E421" s="2" t="str">
        <f>_xlfn.XLOOKUP(B421,Master[Product_Code],Master[Style])</f>
        <v>Jogger</v>
      </c>
      <c r="F421" s="2" t="str">
        <f>_xlfn.XLOOKUP(B421,Master[Product_Code],Master[Fabric])</f>
        <v>Denim</v>
      </c>
      <c r="G421" s="2">
        <f>_xlfn.XLOOKUP(B421,Master[Product_Code],Master[Size])</f>
        <v>30</v>
      </c>
      <c r="H421" s="2" t="str">
        <f>_xlfn.XLOOKUP(B421,Master[Product_Code],Master[Color])</f>
        <v>Light Grey</v>
      </c>
      <c r="I421" s="4">
        <f>_xlfn.XLOOKUP(B421,Master[Product_Code],Master[Stock_Qty])</f>
        <v>3</v>
      </c>
      <c r="J421" s="6">
        <f>SUMIFS(
  Sales_Entry[Qty],
  Sales_Entry[Product_Code], Stock_Table[[#This Row],[Product_Code]]
)</f>
        <v>3</v>
      </c>
      <c r="K421" s="4">
        <f>SUMIFS(
  Exchange_Return[Qty],
  Exchange_Return[Product_Code], Stock_Table[[#This Row],[Product_Code]]
)</f>
        <v>0</v>
      </c>
      <c r="L421" s="4">
        <f>I421-J421+K421</f>
        <v>0</v>
      </c>
      <c r="M421" s="2" t="str" cm="1">
        <f t="array" ref="M421">_xlfn.IFS(L421=0,"Out of Stock",L421&gt;=2,"Limited Stock",L421&lt;2,"In Stock")</f>
        <v>Out of Stock</v>
      </c>
    </row>
    <row r="422" spans="2:13">
      <c r="B422" s="2" t="s">
        <v>976</v>
      </c>
      <c r="C422" s="5" t="str">
        <f>_xlfn.XLOOKUP(B422,Master[Product_Code],Master[Category])</f>
        <v>Jeans</v>
      </c>
      <c r="D422" s="2" t="str">
        <f>_xlfn.XLOOKUP(B422,Master[Product_Code],Master[Brand])</f>
        <v>Denim Pro</v>
      </c>
      <c r="E422" s="2" t="str">
        <f>_xlfn.XLOOKUP(B422,Master[Product_Code],Master[Style])</f>
        <v>Jogger</v>
      </c>
      <c r="F422" s="2" t="str">
        <f>_xlfn.XLOOKUP(B422,Master[Product_Code],Master[Fabric])</f>
        <v>Denim</v>
      </c>
      <c r="G422" s="2">
        <f>_xlfn.XLOOKUP(B422,Master[Product_Code],Master[Size])</f>
        <v>40</v>
      </c>
      <c r="H422" s="2" t="str">
        <f>_xlfn.XLOOKUP(B422,Master[Product_Code],Master[Color])</f>
        <v>Royal Blue</v>
      </c>
      <c r="I422" s="4">
        <f>_xlfn.XLOOKUP(B422,Master[Product_Code],Master[Stock_Qty])</f>
        <v>5</v>
      </c>
      <c r="J422" s="6">
        <f>SUMIFS(
  Sales_Entry[Qty],
  Sales_Entry[Product_Code], Stock_Table[[#This Row],[Product_Code]]
)</f>
        <v>1</v>
      </c>
      <c r="K422" s="4">
        <f>SUMIFS(
  Exchange_Return[Qty],
  Exchange_Return[Product_Code], Stock_Table[[#This Row],[Product_Code]]
)</f>
        <v>0</v>
      </c>
      <c r="L422" s="4">
        <f>I422-J422+K422</f>
        <v>4</v>
      </c>
      <c r="M422" s="2" t="str" cm="1">
        <f t="array" ref="M422">_xlfn.IFS(L422=0,"Out of Stock",L422&gt;=2,"Limited Stock",L422&lt;2,"In Stock")</f>
        <v>Limited Stock</v>
      </c>
    </row>
    <row r="423" spans="2:13">
      <c r="B423" s="2" t="s">
        <v>977</v>
      </c>
      <c r="C423" s="5" t="str">
        <f>_xlfn.XLOOKUP(B423,Master[Product_Code],Master[Category])</f>
        <v>Jeans</v>
      </c>
      <c r="D423" s="2" t="str">
        <f>_xlfn.XLOOKUP(B423,Master[Product_Code],Master[Brand])</f>
        <v>Locomotive</v>
      </c>
      <c r="E423" s="2" t="str">
        <f>_xlfn.XLOOKUP(B423,Master[Product_Code],Master[Style])</f>
        <v>Jogger</v>
      </c>
      <c r="F423" s="2" t="str">
        <f>_xlfn.XLOOKUP(B423,Master[Product_Code],Master[Fabric])</f>
        <v>Denim</v>
      </c>
      <c r="G423" s="2">
        <f>_xlfn.XLOOKUP(B423,Master[Product_Code],Master[Size])</f>
        <v>32</v>
      </c>
      <c r="H423" s="2" t="str">
        <f>_xlfn.XLOOKUP(B423,Master[Product_Code],Master[Color])</f>
        <v>Royal Blue</v>
      </c>
      <c r="I423" s="4">
        <f>_xlfn.XLOOKUP(B423,Master[Product_Code],Master[Stock_Qty])</f>
        <v>6</v>
      </c>
      <c r="J423" s="6">
        <f>SUMIFS(
  Sales_Entry[Qty],
  Sales_Entry[Product_Code], Stock_Table[[#This Row],[Product_Code]]
)</f>
        <v>1</v>
      </c>
      <c r="K423" s="4">
        <f>SUMIFS(
  Exchange_Return[Qty],
  Exchange_Return[Product_Code], Stock_Table[[#This Row],[Product_Code]]
)</f>
        <v>0</v>
      </c>
      <c r="L423" s="4">
        <f>I423-J423+K423</f>
        <v>5</v>
      </c>
      <c r="M423" s="2" t="str" cm="1">
        <f t="array" ref="M423">_xlfn.IFS(L423=0,"Out of Stock",L423&gt;=2,"Limited Stock",L423&lt;2,"In Stock")</f>
        <v>Limited Stock</v>
      </c>
    </row>
    <row r="424" spans="2:13">
      <c r="B424" s="2" t="s">
        <v>978</v>
      </c>
      <c r="C424" s="5" t="str">
        <f>_xlfn.XLOOKUP(B424,Master[Product_Code],Master[Category])</f>
        <v>Jeans</v>
      </c>
      <c r="D424" s="2" t="str">
        <f>_xlfn.XLOOKUP(B424,Master[Product_Code],Master[Brand])</f>
        <v>Denim Pro</v>
      </c>
      <c r="E424" s="2" t="str">
        <f>_xlfn.XLOOKUP(B424,Master[Product_Code],Master[Style])</f>
        <v>Jogger</v>
      </c>
      <c r="F424" s="2" t="str">
        <f>_xlfn.XLOOKUP(B424,Master[Product_Code],Master[Fabric])</f>
        <v>Denim</v>
      </c>
      <c r="G424" s="2">
        <f>_xlfn.XLOOKUP(B424,Master[Product_Code],Master[Size])</f>
        <v>42</v>
      </c>
      <c r="H424" s="2" t="str">
        <f>_xlfn.XLOOKUP(B424,Master[Product_Code],Master[Color])</f>
        <v>Olive</v>
      </c>
      <c r="I424" s="4">
        <f>_xlfn.XLOOKUP(B424,Master[Product_Code],Master[Stock_Qty])</f>
        <v>4</v>
      </c>
      <c r="J424" s="6">
        <f>SUMIFS(
  Sales_Entry[Qty],
  Sales_Entry[Product_Code], Stock_Table[[#This Row],[Product_Code]]
)</f>
        <v>0</v>
      </c>
      <c r="K424" s="4">
        <f>SUMIFS(
  Exchange_Return[Qty],
  Exchange_Return[Product_Code], Stock_Table[[#This Row],[Product_Code]]
)</f>
        <v>0</v>
      </c>
      <c r="L424" s="4">
        <f>I424-J424+K424</f>
        <v>4</v>
      </c>
      <c r="M424" s="2" t="str" cm="1">
        <f t="array" ref="M424">_xlfn.IFS(L424=0,"Out of Stock",L424&gt;=2,"Limited Stock",L424&lt;2,"In Stock")</f>
        <v>Limited Stock</v>
      </c>
    </row>
    <row r="425" spans="2:13">
      <c r="B425" s="2" t="s">
        <v>979</v>
      </c>
      <c r="C425" s="5" t="str">
        <f>_xlfn.XLOOKUP(B425,Master[Product_Code],Master[Category])</f>
        <v>Jeans</v>
      </c>
      <c r="D425" s="2" t="str">
        <f>_xlfn.XLOOKUP(B425,Master[Product_Code],Master[Brand])</f>
        <v>Wrangler</v>
      </c>
      <c r="E425" s="2" t="str">
        <f>_xlfn.XLOOKUP(B425,Master[Product_Code],Master[Style])</f>
        <v>Mom Fit</v>
      </c>
      <c r="F425" s="2" t="str">
        <f>_xlfn.XLOOKUP(B425,Master[Product_Code],Master[Fabric])</f>
        <v>Denim</v>
      </c>
      <c r="G425" s="2">
        <f>_xlfn.XLOOKUP(B425,Master[Product_Code],Master[Size])</f>
        <v>30</v>
      </c>
      <c r="H425" s="2" t="str">
        <f>_xlfn.XLOOKUP(B425,Master[Product_Code],Master[Color])</f>
        <v>Black</v>
      </c>
      <c r="I425" s="4">
        <f>_xlfn.XLOOKUP(B425,Master[Product_Code],Master[Stock_Qty])</f>
        <v>6</v>
      </c>
      <c r="J425" s="6">
        <f>SUMIFS(
  Sales_Entry[Qty],
  Sales_Entry[Product_Code], Stock_Table[[#This Row],[Product_Code]]
)</f>
        <v>0</v>
      </c>
      <c r="K425" s="4">
        <f>SUMIFS(
  Exchange_Return[Qty],
  Exchange_Return[Product_Code], Stock_Table[[#This Row],[Product_Code]]
)</f>
        <v>0</v>
      </c>
      <c r="L425" s="4">
        <f>I425-J425+K425</f>
        <v>6</v>
      </c>
      <c r="M425" s="2" t="str" cm="1">
        <f t="array" ref="M425">_xlfn.IFS(L425=0,"Out of Stock",L425&gt;=2,"Limited Stock",L425&lt;2,"In Stock")</f>
        <v>Limited Stock</v>
      </c>
    </row>
    <row r="426" spans="2:13">
      <c r="B426" s="2" t="s">
        <v>980</v>
      </c>
      <c r="C426" s="5" t="str">
        <f>_xlfn.XLOOKUP(B426,Master[Product_Code],Master[Category])</f>
        <v>Jeans</v>
      </c>
      <c r="D426" s="2" t="str">
        <f>_xlfn.XLOOKUP(B426,Master[Product_Code],Master[Brand])</f>
        <v>Pepe</v>
      </c>
      <c r="E426" s="2" t="str">
        <f>_xlfn.XLOOKUP(B426,Master[Product_Code],Master[Style])</f>
        <v>Jogger</v>
      </c>
      <c r="F426" s="2" t="str">
        <f>_xlfn.XLOOKUP(B426,Master[Product_Code],Master[Fabric])</f>
        <v>Denim</v>
      </c>
      <c r="G426" s="2">
        <f>_xlfn.XLOOKUP(B426,Master[Product_Code],Master[Size])</f>
        <v>40</v>
      </c>
      <c r="H426" s="2" t="str">
        <f>_xlfn.XLOOKUP(B426,Master[Product_Code],Master[Color])</f>
        <v>Bottle Green</v>
      </c>
      <c r="I426" s="4">
        <f>_xlfn.XLOOKUP(B426,Master[Product_Code],Master[Stock_Qty])</f>
        <v>3</v>
      </c>
      <c r="J426" s="6">
        <f>SUMIFS(
  Sales_Entry[Qty],
  Sales_Entry[Product_Code], Stock_Table[[#This Row],[Product_Code]]
)</f>
        <v>3</v>
      </c>
      <c r="K426" s="4">
        <f>SUMIFS(
  Exchange_Return[Qty],
  Exchange_Return[Product_Code], Stock_Table[[#This Row],[Product_Code]]
)</f>
        <v>0</v>
      </c>
      <c r="L426" s="4">
        <f>I426-J426+K426</f>
        <v>0</v>
      </c>
      <c r="M426" s="2" t="str" cm="1">
        <f t="array" ref="M426">_xlfn.IFS(L426=0,"Out of Stock",L426&gt;=2,"Limited Stock",L426&lt;2,"In Stock")</f>
        <v>Out of Stock</v>
      </c>
    </row>
    <row r="427" spans="2:13">
      <c r="B427" s="2" t="s">
        <v>981</v>
      </c>
      <c r="C427" s="5" t="str">
        <f>_xlfn.XLOOKUP(B427,Master[Product_Code],Master[Category])</f>
        <v>Jeans</v>
      </c>
      <c r="D427" s="2" t="str">
        <f>_xlfn.XLOOKUP(B427,Master[Product_Code],Master[Brand])</f>
        <v>Wrangler</v>
      </c>
      <c r="E427" s="2" t="str">
        <f>_xlfn.XLOOKUP(B427,Master[Product_Code],Master[Style])</f>
        <v>Jogger</v>
      </c>
      <c r="F427" s="2" t="str">
        <f>_xlfn.XLOOKUP(B427,Master[Product_Code],Master[Fabric])</f>
        <v>Denim</v>
      </c>
      <c r="G427" s="2">
        <f>_xlfn.XLOOKUP(B427,Master[Product_Code],Master[Size])</f>
        <v>28</v>
      </c>
      <c r="H427" s="2" t="str">
        <f>_xlfn.XLOOKUP(B427,Master[Product_Code],Master[Color])</f>
        <v>Grey</v>
      </c>
      <c r="I427" s="4">
        <f>_xlfn.XLOOKUP(B427,Master[Product_Code],Master[Stock_Qty])</f>
        <v>5</v>
      </c>
      <c r="J427" s="6">
        <f>SUMIFS(
  Sales_Entry[Qty],
  Sales_Entry[Product_Code], Stock_Table[[#This Row],[Product_Code]]
)</f>
        <v>2</v>
      </c>
      <c r="K427" s="4">
        <f>SUMIFS(
  Exchange_Return[Qty],
  Exchange_Return[Product_Code], Stock_Table[[#This Row],[Product_Code]]
)</f>
        <v>0</v>
      </c>
      <c r="L427" s="4">
        <f>I427-J427+K427</f>
        <v>3</v>
      </c>
      <c r="M427" s="2" t="str" cm="1">
        <f t="array" ref="M427">_xlfn.IFS(L427=0,"Out of Stock",L427&gt;=2,"Limited Stock",L427&lt;2,"In Stock")</f>
        <v>Limited Stock</v>
      </c>
    </row>
    <row r="428" spans="2:13">
      <c r="B428" s="2" t="s">
        <v>982</v>
      </c>
      <c r="C428" s="5" t="str">
        <f>_xlfn.XLOOKUP(B428,Master[Product_Code],Master[Category])</f>
        <v>Jeans</v>
      </c>
      <c r="D428" s="2" t="str">
        <f>_xlfn.XLOOKUP(B428,Master[Product_Code],Master[Brand])</f>
        <v>Pepe</v>
      </c>
      <c r="E428" s="2" t="str">
        <f>_xlfn.XLOOKUP(B428,Master[Product_Code],Master[Style])</f>
        <v>Baggy</v>
      </c>
      <c r="F428" s="2" t="str">
        <f>_xlfn.XLOOKUP(B428,Master[Product_Code],Master[Fabric])</f>
        <v>Denim</v>
      </c>
      <c r="G428" s="2">
        <f>_xlfn.XLOOKUP(B428,Master[Product_Code],Master[Size])</f>
        <v>44</v>
      </c>
      <c r="H428" s="2" t="str">
        <f>_xlfn.XLOOKUP(B428,Master[Product_Code],Master[Color])</f>
        <v>Dark Green</v>
      </c>
      <c r="I428" s="4">
        <f>_xlfn.XLOOKUP(B428,Master[Product_Code],Master[Stock_Qty])</f>
        <v>5</v>
      </c>
      <c r="J428" s="6">
        <f>SUMIFS(
  Sales_Entry[Qty],
  Sales_Entry[Product_Code], Stock_Table[[#This Row],[Product_Code]]
)</f>
        <v>2</v>
      </c>
      <c r="K428" s="4">
        <f>SUMIFS(
  Exchange_Return[Qty],
  Exchange_Return[Product_Code], Stock_Table[[#This Row],[Product_Code]]
)</f>
        <v>0</v>
      </c>
      <c r="L428" s="4">
        <f>I428-J428+K428</f>
        <v>3</v>
      </c>
      <c r="M428" s="2" t="str" cm="1">
        <f t="array" ref="M428">_xlfn.IFS(L428=0,"Out of Stock",L428&gt;=2,"Limited Stock",L428&lt;2,"In Stock")</f>
        <v>Limited Stock</v>
      </c>
    </row>
    <row r="429" spans="2:13">
      <c r="B429" s="2" t="s">
        <v>983</v>
      </c>
      <c r="C429" s="5" t="str">
        <f>_xlfn.XLOOKUP(B429,Master[Product_Code],Master[Category])</f>
        <v>Jeans</v>
      </c>
      <c r="D429" s="2" t="str">
        <f>_xlfn.XLOOKUP(B429,Master[Product_Code],Master[Brand])</f>
        <v>Pepe</v>
      </c>
      <c r="E429" s="2" t="str">
        <f>_xlfn.XLOOKUP(B429,Master[Product_Code],Master[Style])</f>
        <v>Mom Fit</v>
      </c>
      <c r="F429" s="2" t="str">
        <f>_xlfn.XLOOKUP(B429,Master[Product_Code],Master[Fabric])</f>
        <v>Denim</v>
      </c>
      <c r="G429" s="2">
        <f>_xlfn.XLOOKUP(B429,Master[Product_Code],Master[Size])</f>
        <v>38</v>
      </c>
      <c r="H429" s="2" t="str">
        <f>_xlfn.XLOOKUP(B429,Master[Product_Code],Master[Color])</f>
        <v>Rust</v>
      </c>
      <c r="I429" s="4">
        <f>_xlfn.XLOOKUP(B429,Master[Product_Code],Master[Stock_Qty])</f>
        <v>3</v>
      </c>
      <c r="J429" s="6">
        <f>SUMIFS(
  Sales_Entry[Qty],
  Sales_Entry[Product_Code], Stock_Table[[#This Row],[Product_Code]]
)</f>
        <v>3</v>
      </c>
      <c r="K429" s="4">
        <f>SUMIFS(
  Exchange_Return[Qty],
  Exchange_Return[Product_Code], Stock_Table[[#This Row],[Product_Code]]
)</f>
        <v>0</v>
      </c>
      <c r="L429" s="4">
        <f>I429-J429+K429</f>
        <v>0</v>
      </c>
      <c r="M429" s="2" t="str" cm="1">
        <f t="array" ref="M429">_xlfn.IFS(L429=0,"Out of Stock",L429&gt;=2,"Limited Stock",L429&lt;2,"In Stock")</f>
        <v>Out of Stock</v>
      </c>
    </row>
    <row r="430" spans="2:13">
      <c r="B430" s="2" t="s">
        <v>984</v>
      </c>
      <c r="C430" s="5" t="str">
        <f>_xlfn.XLOOKUP(B430,Master[Product_Code],Master[Category])</f>
        <v>Jeans</v>
      </c>
      <c r="D430" s="2" t="str">
        <f>_xlfn.XLOOKUP(B430,Master[Product_Code],Master[Brand])</f>
        <v>Spykar</v>
      </c>
      <c r="E430" s="2" t="str">
        <f>_xlfn.XLOOKUP(B430,Master[Product_Code],Master[Style])</f>
        <v>Mom Fit</v>
      </c>
      <c r="F430" s="2" t="str">
        <f>_xlfn.XLOOKUP(B430,Master[Product_Code],Master[Fabric])</f>
        <v>Denim</v>
      </c>
      <c r="G430" s="2">
        <f>_xlfn.XLOOKUP(B430,Master[Product_Code],Master[Size])</f>
        <v>38</v>
      </c>
      <c r="H430" s="2" t="str">
        <f>_xlfn.XLOOKUP(B430,Master[Product_Code],Master[Color])</f>
        <v>Peach</v>
      </c>
      <c r="I430" s="4">
        <f>_xlfn.XLOOKUP(B430,Master[Product_Code],Master[Stock_Qty])</f>
        <v>6</v>
      </c>
      <c r="J430" s="6">
        <f>SUMIFS(
  Sales_Entry[Qty],
  Sales_Entry[Product_Code], Stock_Table[[#This Row],[Product_Code]]
)</f>
        <v>0</v>
      </c>
      <c r="K430" s="4">
        <f>SUMIFS(
  Exchange_Return[Qty],
  Exchange_Return[Product_Code], Stock_Table[[#This Row],[Product_Code]]
)</f>
        <v>0</v>
      </c>
      <c r="L430" s="4">
        <f>I430-J430+K430</f>
        <v>6</v>
      </c>
      <c r="M430" s="2" t="str" cm="1">
        <f t="array" ref="M430">_xlfn.IFS(L430=0,"Out of Stock",L430&gt;=2,"Limited Stock",L430&lt;2,"In Stock")</f>
        <v>Limited Stock</v>
      </c>
    </row>
    <row r="431" spans="2:13">
      <c r="B431" s="2" t="s">
        <v>985</v>
      </c>
      <c r="C431" s="5" t="str">
        <f>_xlfn.XLOOKUP(B431,Master[Product_Code],Master[Category])</f>
        <v>Jeans</v>
      </c>
      <c r="D431" s="2" t="str">
        <f>_xlfn.XLOOKUP(B431,Master[Product_Code],Master[Brand])</f>
        <v>Pepe</v>
      </c>
      <c r="E431" s="2" t="str">
        <f>_xlfn.XLOOKUP(B431,Master[Product_Code],Master[Style])</f>
        <v>Jogger</v>
      </c>
      <c r="F431" s="2" t="str">
        <f>_xlfn.XLOOKUP(B431,Master[Product_Code],Master[Fabric])</f>
        <v>Denim</v>
      </c>
      <c r="G431" s="2">
        <f>_xlfn.XLOOKUP(B431,Master[Product_Code],Master[Size])</f>
        <v>42</v>
      </c>
      <c r="H431" s="2" t="str">
        <f>_xlfn.XLOOKUP(B431,Master[Product_Code],Master[Color])</f>
        <v>Maroon</v>
      </c>
      <c r="I431" s="4">
        <f>_xlfn.XLOOKUP(B431,Master[Product_Code],Master[Stock_Qty])</f>
        <v>6</v>
      </c>
      <c r="J431" s="6">
        <f>SUMIFS(
  Sales_Entry[Qty],
  Sales_Entry[Product_Code], Stock_Table[[#This Row],[Product_Code]]
)</f>
        <v>0</v>
      </c>
      <c r="K431" s="4">
        <f>SUMIFS(
  Exchange_Return[Qty],
  Exchange_Return[Product_Code], Stock_Table[[#This Row],[Product_Code]]
)</f>
        <v>0</v>
      </c>
      <c r="L431" s="4">
        <f>I431-J431+K431</f>
        <v>6</v>
      </c>
      <c r="M431" s="2" t="str" cm="1">
        <f t="array" ref="M431">_xlfn.IFS(L431=0,"Out of Stock",L431&gt;=2,"Limited Stock",L431&lt;2,"In Stock")</f>
        <v>Limited Stock</v>
      </c>
    </row>
    <row r="432" spans="2:13">
      <c r="B432" s="2" t="s">
        <v>986</v>
      </c>
      <c r="C432" s="5" t="str">
        <f>_xlfn.XLOOKUP(B432,Master[Product_Code],Master[Category])</f>
        <v>Jeans</v>
      </c>
      <c r="D432" s="2" t="str">
        <f>_xlfn.XLOOKUP(B432,Master[Product_Code],Master[Brand])</f>
        <v>Locomotive</v>
      </c>
      <c r="E432" s="2" t="str">
        <f>_xlfn.XLOOKUP(B432,Master[Product_Code],Master[Style])</f>
        <v>Baggy</v>
      </c>
      <c r="F432" s="2" t="str">
        <f>_xlfn.XLOOKUP(B432,Master[Product_Code],Master[Fabric])</f>
        <v>Denim</v>
      </c>
      <c r="G432" s="2">
        <f>_xlfn.XLOOKUP(B432,Master[Product_Code],Master[Size])</f>
        <v>40</v>
      </c>
      <c r="H432" s="2" t="str">
        <f>_xlfn.XLOOKUP(B432,Master[Product_Code],Master[Color])</f>
        <v>White</v>
      </c>
      <c r="I432" s="4">
        <f>_xlfn.XLOOKUP(B432,Master[Product_Code],Master[Stock_Qty])</f>
        <v>5</v>
      </c>
      <c r="J432" s="6">
        <f>SUMIFS(
  Sales_Entry[Qty],
  Sales_Entry[Product_Code], Stock_Table[[#This Row],[Product_Code]]
)</f>
        <v>2</v>
      </c>
      <c r="K432" s="4">
        <f>SUMIFS(
  Exchange_Return[Qty],
  Exchange_Return[Product_Code], Stock_Table[[#This Row],[Product_Code]]
)</f>
        <v>0</v>
      </c>
      <c r="L432" s="4">
        <f>I432-J432+K432</f>
        <v>3</v>
      </c>
      <c r="M432" s="2" t="str" cm="1">
        <f t="array" ref="M432">_xlfn.IFS(L432=0,"Out of Stock",L432&gt;=2,"Limited Stock",L432&lt;2,"In Stock")</f>
        <v>Limited Stock</v>
      </c>
    </row>
    <row r="433" spans="2:13">
      <c r="B433" s="2" t="s">
        <v>987</v>
      </c>
      <c r="C433" s="5" t="str">
        <f>_xlfn.XLOOKUP(B433,Master[Product_Code],Master[Category])</f>
        <v>Jeans</v>
      </c>
      <c r="D433" s="2" t="str">
        <f>_xlfn.XLOOKUP(B433,Master[Product_Code],Master[Brand])</f>
        <v>Denim Pro</v>
      </c>
      <c r="E433" s="2" t="str">
        <f>_xlfn.XLOOKUP(B433,Master[Product_Code],Master[Style])</f>
        <v>Jogger</v>
      </c>
      <c r="F433" s="2" t="str">
        <f>_xlfn.XLOOKUP(B433,Master[Product_Code],Master[Fabric])</f>
        <v>Denim</v>
      </c>
      <c r="G433" s="2">
        <f>_xlfn.XLOOKUP(B433,Master[Product_Code],Master[Size])</f>
        <v>44</v>
      </c>
      <c r="H433" s="2" t="str">
        <f>_xlfn.XLOOKUP(B433,Master[Product_Code],Master[Color])</f>
        <v>Dark Green</v>
      </c>
      <c r="I433" s="4">
        <f>_xlfn.XLOOKUP(B433,Master[Product_Code],Master[Stock_Qty])</f>
        <v>3</v>
      </c>
      <c r="J433" s="6">
        <f>SUMIFS(
  Sales_Entry[Qty],
  Sales_Entry[Product_Code], Stock_Table[[#This Row],[Product_Code]]
)</f>
        <v>0</v>
      </c>
      <c r="K433" s="4">
        <f>SUMIFS(
  Exchange_Return[Qty],
  Exchange_Return[Product_Code], Stock_Table[[#This Row],[Product_Code]]
)</f>
        <v>0</v>
      </c>
      <c r="L433" s="4">
        <f>I433-J433+K433</f>
        <v>3</v>
      </c>
      <c r="M433" s="2" t="str" cm="1">
        <f t="array" ref="M433">_xlfn.IFS(L433=0,"Out of Stock",L433&gt;=2,"Limited Stock",L433&lt;2,"In Stock")</f>
        <v>Limited Stock</v>
      </c>
    </row>
    <row r="434" spans="2:13">
      <c r="B434" s="2" t="s">
        <v>988</v>
      </c>
      <c r="C434" s="5" t="str">
        <f>_xlfn.XLOOKUP(B434,Master[Product_Code],Master[Category])</f>
        <v>Jeans</v>
      </c>
      <c r="D434" s="2" t="str">
        <f>_xlfn.XLOOKUP(B434,Master[Product_Code],Master[Brand])</f>
        <v>Locomotive</v>
      </c>
      <c r="E434" s="2" t="str">
        <f>_xlfn.XLOOKUP(B434,Master[Product_Code],Master[Style])</f>
        <v>Jogger</v>
      </c>
      <c r="F434" s="2" t="str">
        <f>_xlfn.XLOOKUP(B434,Master[Product_Code],Master[Fabric])</f>
        <v>Denim</v>
      </c>
      <c r="G434" s="2">
        <f>_xlfn.XLOOKUP(B434,Master[Product_Code],Master[Size])</f>
        <v>38</v>
      </c>
      <c r="H434" s="2" t="str">
        <f>_xlfn.XLOOKUP(B434,Master[Product_Code],Master[Color])</f>
        <v>Navy Blue</v>
      </c>
      <c r="I434" s="4">
        <f>_xlfn.XLOOKUP(B434,Master[Product_Code],Master[Stock_Qty])</f>
        <v>4</v>
      </c>
      <c r="J434" s="6">
        <f>SUMIFS(
  Sales_Entry[Qty],
  Sales_Entry[Product_Code], Stock_Table[[#This Row],[Product_Code]]
)</f>
        <v>1</v>
      </c>
      <c r="K434" s="4">
        <f>SUMIFS(
  Exchange_Return[Qty],
  Exchange_Return[Product_Code], Stock_Table[[#This Row],[Product_Code]]
)</f>
        <v>0</v>
      </c>
      <c r="L434" s="4">
        <f>I434-J434+K434</f>
        <v>3</v>
      </c>
      <c r="M434" s="2" t="str" cm="1">
        <f t="array" ref="M434">_xlfn.IFS(L434=0,"Out of Stock",L434&gt;=2,"Limited Stock",L434&lt;2,"In Stock")</f>
        <v>Limited Stock</v>
      </c>
    </row>
    <row r="435" spans="2:13">
      <c r="B435" s="2" t="s">
        <v>989</v>
      </c>
      <c r="C435" s="5" t="str">
        <f>_xlfn.XLOOKUP(B435,Master[Product_Code],Master[Category])</f>
        <v>Jeans</v>
      </c>
      <c r="D435" s="2" t="str">
        <f>_xlfn.XLOOKUP(B435,Master[Product_Code],Master[Brand])</f>
        <v>Pepe</v>
      </c>
      <c r="E435" s="2" t="str">
        <f>_xlfn.XLOOKUP(B435,Master[Product_Code],Master[Style])</f>
        <v>Baggy</v>
      </c>
      <c r="F435" s="2" t="str">
        <f>_xlfn.XLOOKUP(B435,Master[Product_Code],Master[Fabric])</f>
        <v>Denim</v>
      </c>
      <c r="G435" s="2">
        <f>_xlfn.XLOOKUP(B435,Master[Product_Code],Master[Size])</f>
        <v>44</v>
      </c>
      <c r="H435" s="2" t="str">
        <f>_xlfn.XLOOKUP(B435,Master[Product_Code],Master[Color])</f>
        <v>Olive</v>
      </c>
      <c r="I435" s="4">
        <f>_xlfn.XLOOKUP(B435,Master[Product_Code],Master[Stock_Qty])</f>
        <v>6</v>
      </c>
      <c r="J435" s="6">
        <f>SUMIFS(
  Sales_Entry[Qty],
  Sales_Entry[Product_Code], Stock_Table[[#This Row],[Product_Code]]
)</f>
        <v>4</v>
      </c>
      <c r="K435" s="4">
        <f>SUMIFS(
  Exchange_Return[Qty],
  Exchange_Return[Product_Code], Stock_Table[[#This Row],[Product_Code]]
)</f>
        <v>0</v>
      </c>
      <c r="L435" s="4">
        <f>I435-J435+K435</f>
        <v>2</v>
      </c>
      <c r="M435" s="2" t="str" cm="1">
        <f t="array" ref="M435">_xlfn.IFS(L435=0,"Out of Stock",L435&gt;=2,"Limited Stock",L435&lt;2,"In Stock")</f>
        <v>Limited Stock</v>
      </c>
    </row>
    <row r="436" spans="2:13">
      <c r="B436" s="2" t="s">
        <v>990</v>
      </c>
      <c r="C436" s="5" t="str">
        <f>_xlfn.XLOOKUP(B436,Master[Product_Code],Master[Category])</f>
        <v>Jeans</v>
      </c>
      <c r="D436" s="2" t="str">
        <f>_xlfn.XLOOKUP(B436,Master[Product_Code],Master[Brand])</f>
        <v>Locomotive</v>
      </c>
      <c r="E436" s="2" t="str">
        <f>_xlfn.XLOOKUP(B436,Master[Product_Code],Master[Style])</f>
        <v>Mom Fit</v>
      </c>
      <c r="F436" s="2" t="str">
        <f>_xlfn.XLOOKUP(B436,Master[Product_Code],Master[Fabric])</f>
        <v>Denim</v>
      </c>
      <c r="G436" s="2">
        <f>_xlfn.XLOOKUP(B436,Master[Product_Code],Master[Size])</f>
        <v>38</v>
      </c>
      <c r="H436" s="2" t="str">
        <f>_xlfn.XLOOKUP(B436,Master[Product_Code],Master[Color])</f>
        <v>White</v>
      </c>
      <c r="I436" s="4">
        <f>_xlfn.XLOOKUP(B436,Master[Product_Code],Master[Stock_Qty])</f>
        <v>5</v>
      </c>
      <c r="J436" s="6">
        <f>SUMIFS(
  Sales_Entry[Qty],
  Sales_Entry[Product_Code], Stock_Table[[#This Row],[Product_Code]]
)</f>
        <v>0</v>
      </c>
      <c r="K436" s="4">
        <f>SUMIFS(
  Exchange_Return[Qty],
  Exchange_Return[Product_Code], Stock_Table[[#This Row],[Product_Code]]
)</f>
        <v>0</v>
      </c>
      <c r="L436" s="4">
        <f>I436-J436+K436</f>
        <v>5</v>
      </c>
      <c r="M436" s="2" t="str" cm="1">
        <f t="array" ref="M436">_xlfn.IFS(L436=0,"Out of Stock",L436&gt;=2,"Limited Stock",L436&lt;2,"In Stock")</f>
        <v>Limited Stock</v>
      </c>
    </row>
    <row r="437" spans="2:13">
      <c r="B437" s="2" t="s">
        <v>991</v>
      </c>
      <c r="C437" s="5" t="str">
        <f>_xlfn.XLOOKUP(B437,Master[Product_Code],Master[Category])</f>
        <v>Jeans</v>
      </c>
      <c r="D437" s="2" t="str">
        <f>_xlfn.XLOOKUP(B437,Master[Product_Code],Master[Brand])</f>
        <v>Pepe</v>
      </c>
      <c r="E437" s="2" t="str">
        <f>_xlfn.XLOOKUP(B437,Master[Product_Code],Master[Style])</f>
        <v>Baggy</v>
      </c>
      <c r="F437" s="2" t="str">
        <f>_xlfn.XLOOKUP(B437,Master[Product_Code],Master[Fabric])</f>
        <v>Denim</v>
      </c>
      <c r="G437" s="2">
        <f>_xlfn.XLOOKUP(B437,Master[Product_Code],Master[Size])</f>
        <v>38</v>
      </c>
      <c r="H437" s="2" t="str">
        <f>_xlfn.XLOOKUP(B437,Master[Product_Code],Master[Color])</f>
        <v>Cream</v>
      </c>
      <c r="I437" s="4">
        <f>_xlfn.XLOOKUP(B437,Master[Product_Code],Master[Stock_Qty])</f>
        <v>5</v>
      </c>
      <c r="J437" s="6">
        <f>SUMIFS(
  Sales_Entry[Qty],
  Sales_Entry[Product_Code], Stock_Table[[#This Row],[Product_Code]]
)</f>
        <v>1</v>
      </c>
      <c r="K437" s="4">
        <f>SUMIFS(
  Exchange_Return[Qty],
  Exchange_Return[Product_Code], Stock_Table[[#This Row],[Product_Code]]
)</f>
        <v>0</v>
      </c>
      <c r="L437" s="4">
        <f>I437-J437+K437</f>
        <v>4</v>
      </c>
      <c r="M437" s="2" t="str" cm="1">
        <f t="array" ref="M437">_xlfn.IFS(L437=0,"Out of Stock",L437&gt;=2,"Limited Stock",L437&lt;2,"In Stock")</f>
        <v>Limited Stock</v>
      </c>
    </row>
    <row r="438" spans="2:13">
      <c r="B438" s="2" t="s">
        <v>992</v>
      </c>
      <c r="C438" s="5" t="str">
        <f>_xlfn.XLOOKUP(B438,Master[Product_Code],Master[Category])</f>
        <v>Jeans</v>
      </c>
      <c r="D438" s="2" t="str">
        <f>_xlfn.XLOOKUP(B438,Master[Product_Code],Master[Brand])</f>
        <v>Locomotive</v>
      </c>
      <c r="E438" s="2" t="str">
        <f>_xlfn.XLOOKUP(B438,Master[Product_Code],Master[Style])</f>
        <v>Baggy</v>
      </c>
      <c r="F438" s="2" t="str">
        <f>_xlfn.XLOOKUP(B438,Master[Product_Code],Master[Fabric])</f>
        <v>Denim</v>
      </c>
      <c r="G438" s="2">
        <f>_xlfn.XLOOKUP(B438,Master[Product_Code],Master[Size])</f>
        <v>30</v>
      </c>
      <c r="H438" s="2" t="str">
        <f>_xlfn.XLOOKUP(B438,Master[Product_Code],Master[Color])</f>
        <v>Teal</v>
      </c>
      <c r="I438" s="4">
        <f>_xlfn.XLOOKUP(B438,Master[Product_Code],Master[Stock_Qty])</f>
        <v>3</v>
      </c>
      <c r="J438" s="6">
        <f>SUMIFS(
  Sales_Entry[Qty],
  Sales_Entry[Product_Code], Stock_Table[[#This Row],[Product_Code]]
)</f>
        <v>2</v>
      </c>
      <c r="K438" s="4">
        <f>SUMIFS(
  Exchange_Return[Qty],
  Exchange_Return[Product_Code], Stock_Table[[#This Row],[Product_Code]]
)</f>
        <v>0</v>
      </c>
      <c r="L438" s="4">
        <f>I438-J438+K438</f>
        <v>1</v>
      </c>
      <c r="M438" s="2" t="str" cm="1">
        <f t="array" ref="M438">_xlfn.IFS(L438=0,"Out of Stock",L438&gt;=2,"Limited Stock",L438&lt;2,"In Stock")</f>
        <v>In Stock</v>
      </c>
    </row>
    <row r="439" spans="2:13">
      <c r="B439" s="2" t="s">
        <v>993</v>
      </c>
      <c r="C439" s="5" t="str">
        <f>_xlfn.XLOOKUP(B439,Master[Product_Code],Master[Category])</f>
        <v>Jeans</v>
      </c>
      <c r="D439" s="2" t="str">
        <f>_xlfn.XLOOKUP(B439,Master[Product_Code],Master[Brand])</f>
        <v>Spykar</v>
      </c>
      <c r="E439" s="2" t="str">
        <f>_xlfn.XLOOKUP(B439,Master[Product_Code],Master[Style])</f>
        <v>Mom Fit</v>
      </c>
      <c r="F439" s="2" t="str">
        <f>_xlfn.XLOOKUP(B439,Master[Product_Code],Master[Fabric])</f>
        <v>Denim</v>
      </c>
      <c r="G439" s="2">
        <f>_xlfn.XLOOKUP(B439,Master[Product_Code],Master[Size])</f>
        <v>44</v>
      </c>
      <c r="H439" s="2" t="str">
        <f>_xlfn.XLOOKUP(B439,Master[Product_Code],Master[Color])</f>
        <v>Black</v>
      </c>
      <c r="I439" s="4">
        <f>_xlfn.XLOOKUP(B439,Master[Product_Code],Master[Stock_Qty])</f>
        <v>6</v>
      </c>
      <c r="J439" s="6">
        <f>SUMIFS(
  Sales_Entry[Qty],
  Sales_Entry[Product_Code], Stock_Table[[#This Row],[Product_Code]]
)</f>
        <v>1</v>
      </c>
      <c r="K439" s="4">
        <f>SUMIFS(
  Exchange_Return[Qty],
  Exchange_Return[Product_Code], Stock_Table[[#This Row],[Product_Code]]
)</f>
        <v>0</v>
      </c>
      <c r="L439" s="4">
        <f>I439-J439+K439</f>
        <v>5</v>
      </c>
      <c r="M439" s="2" t="str" cm="1">
        <f t="array" ref="M439">_xlfn.IFS(L439=0,"Out of Stock",L439&gt;=2,"Limited Stock",L439&lt;2,"In Stock")</f>
        <v>Limited Stock</v>
      </c>
    </row>
    <row r="440" spans="2:13">
      <c r="B440" s="2" t="s">
        <v>994</v>
      </c>
      <c r="C440" s="5" t="str">
        <f>_xlfn.XLOOKUP(B440,Master[Product_Code],Master[Category])</f>
        <v>Jeans</v>
      </c>
      <c r="D440" s="2" t="str">
        <f>_xlfn.XLOOKUP(B440,Master[Product_Code],Master[Brand])</f>
        <v>Locomotive</v>
      </c>
      <c r="E440" s="2" t="str">
        <f>_xlfn.XLOOKUP(B440,Master[Product_Code],Master[Style])</f>
        <v>Mom Fit</v>
      </c>
      <c r="F440" s="2" t="str">
        <f>_xlfn.XLOOKUP(B440,Master[Product_Code],Master[Fabric])</f>
        <v>Denim</v>
      </c>
      <c r="G440" s="2">
        <f>_xlfn.XLOOKUP(B440,Master[Product_Code],Master[Size])</f>
        <v>38</v>
      </c>
      <c r="H440" s="2" t="str">
        <f>_xlfn.XLOOKUP(B440,Master[Product_Code],Master[Color])</f>
        <v>Peach</v>
      </c>
      <c r="I440" s="4">
        <f>_xlfn.XLOOKUP(B440,Master[Product_Code],Master[Stock_Qty])</f>
        <v>5</v>
      </c>
      <c r="J440" s="6">
        <f>SUMIFS(
  Sales_Entry[Qty],
  Sales_Entry[Product_Code], Stock_Table[[#This Row],[Product_Code]]
)</f>
        <v>1</v>
      </c>
      <c r="K440" s="4">
        <f>SUMIFS(
  Exchange_Return[Qty],
  Exchange_Return[Product_Code], Stock_Table[[#This Row],[Product_Code]]
)</f>
        <v>0</v>
      </c>
      <c r="L440" s="4">
        <f>I440-J440+K440</f>
        <v>4</v>
      </c>
      <c r="M440" s="2" t="str" cm="1">
        <f t="array" ref="M440">_xlfn.IFS(L440=0,"Out of Stock",L440&gt;=2,"Limited Stock",L440&lt;2,"In Stock")</f>
        <v>Limited Stock</v>
      </c>
    </row>
    <row r="441" spans="2:13">
      <c r="B441" s="2" t="s">
        <v>995</v>
      </c>
      <c r="C441" s="5" t="str">
        <f>_xlfn.XLOOKUP(B441,Master[Product_Code],Master[Category])</f>
        <v>Jeans</v>
      </c>
      <c r="D441" s="2" t="str">
        <f>_xlfn.XLOOKUP(B441,Master[Product_Code],Master[Brand])</f>
        <v>Wrangler</v>
      </c>
      <c r="E441" s="2" t="str">
        <f>_xlfn.XLOOKUP(B441,Master[Product_Code],Master[Style])</f>
        <v>Mom Fit</v>
      </c>
      <c r="F441" s="2" t="str">
        <f>_xlfn.XLOOKUP(B441,Master[Product_Code],Master[Fabric])</f>
        <v>Denim</v>
      </c>
      <c r="G441" s="2">
        <f>_xlfn.XLOOKUP(B441,Master[Product_Code],Master[Size])</f>
        <v>44</v>
      </c>
      <c r="H441" s="2" t="str">
        <f>_xlfn.XLOOKUP(B441,Master[Product_Code],Master[Color])</f>
        <v>Maroon</v>
      </c>
      <c r="I441" s="4">
        <f>_xlfn.XLOOKUP(B441,Master[Product_Code],Master[Stock_Qty])</f>
        <v>4</v>
      </c>
      <c r="J441" s="6">
        <f>SUMIFS(
  Sales_Entry[Qty],
  Sales_Entry[Product_Code], Stock_Table[[#This Row],[Product_Code]]
)</f>
        <v>2</v>
      </c>
      <c r="K441" s="4">
        <f>SUMIFS(
  Exchange_Return[Qty],
  Exchange_Return[Product_Code], Stock_Table[[#This Row],[Product_Code]]
)</f>
        <v>0</v>
      </c>
      <c r="L441" s="4">
        <f>I441-J441+K441</f>
        <v>2</v>
      </c>
      <c r="M441" s="2" t="str" cm="1">
        <f t="array" ref="M441">_xlfn.IFS(L441=0,"Out of Stock",L441&gt;=2,"Limited Stock",L441&lt;2,"In Stock")</f>
        <v>Limited Stock</v>
      </c>
    </row>
    <row r="442" spans="2:13">
      <c r="B442" s="2" t="s">
        <v>996</v>
      </c>
      <c r="C442" s="5" t="str">
        <f>_xlfn.XLOOKUP(B442,Master[Product_Code],Master[Category])</f>
        <v>Jeans</v>
      </c>
      <c r="D442" s="2" t="str">
        <f>_xlfn.XLOOKUP(B442,Master[Product_Code],Master[Brand])</f>
        <v>Pepe</v>
      </c>
      <c r="E442" s="2" t="str">
        <f>_xlfn.XLOOKUP(B442,Master[Product_Code],Master[Style])</f>
        <v>Baggy</v>
      </c>
      <c r="F442" s="2" t="str">
        <f>_xlfn.XLOOKUP(B442,Master[Product_Code],Master[Fabric])</f>
        <v>Denim</v>
      </c>
      <c r="G442" s="2">
        <f>_xlfn.XLOOKUP(B442,Master[Product_Code],Master[Size])</f>
        <v>44</v>
      </c>
      <c r="H442" s="2" t="str">
        <f>_xlfn.XLOOKUP(B442,Master[Product_Code],Master[Color])</f>
        <v>Sky Blue</v>
      </c>
      <c r="I442" s="4">
        <f>_xlfn.XLOOKUP(B442,Master[Product_Code],Master[Stock_Qty])</f>
        <v>3</v>
      </c>
      <c r="J442" s="6">
        <f>SUMIFS(
  Sales_Entry[Qty],
  Sales_Entry[Product_Code], Stock_Table[[#This Row],[Product_Code]]
)</f>
        <v>3</v>
      </c>
      <c r="K442" s="4">
        <f>SUMIFS(
  Exchange_Return[Qty],
  Exchange_Return[Product_Code], Stock_Table[[#This Row],[Product_Code]]
)</f>
        <v>0</v>
      </c>
      <c r="L442" s="4">
        <f>I442-J442+K442</f>
        <v>0</v>
      </c>
      <c r="M442" s="2" t="str" cm="1">
        <f t="array" ref="M442">_xlfn.IFS(L442=0,"Out of Stock",L442&gt;=2,"Limited Stock",L442&lt;2,"In Stock")</f>
        <v>Out of Stock</v>
      </c>
    </row>
    <row r="443" spans="2:13">
      <c r="B443" s="2" t="s">
        <v>997</v>
      </c>
      <c r="C443" s="5" t="str">
        <f>_xlfn.XLOOKUP(B443,Master[Product_Code],Master[Category])</f>
        <v>Jeans</v>
      </c>
      <c r="D443" s="2" t="str">
        <f>_xlfn.XLOOKUP(B443,Master[Product_Code],Master[Brand])</f>
        <v>Pepe</v>
      </c>
      <c r="E443" s="2" t="str">
        <f>_xlfn.XLOOKUP(B443,Master[Product_Code],Master[Style])</f>
        <v>Jogger</v>
      </c>
      <c r="F443" s="2" t="str">
        <f>_xlfn.XLOOKUP(B443,Master[Product_Code],Master[Fabric])</f>
        <v>Denim</v>
      </c>
      <c r="G443" s="2">
        <f>_xlfn.XLOOKUP(B443,Master[Product_Code],Master[Size])</f>
        <v>38</v>
      </c>
      <c r="H443" s="2" t="str">
        <f>_xlfn.XLOOKUP(B443,Master[Product_Code],Master[Color])</f>
        <v>Cream</v>
      </c>
      <c r="I443" s="4">
        <f>_xlfn.XLOOKUP(B443,Master[Product_Code],Master[Stock_Qty])</f>
        <v>3</v>
      </c>
      <c r="J443" s="6">
        <f>SUMIFS(
  Sales_Entry[Qty],
  Sales_Entry[Product_Code], Stock_Table[[#This Row],[Product_Code]]
)</f>
        <v>1</v>
      </c>
      <c r="K443" s="4">
        <f>SUMIFS(
  Exchange_Return[Qty],
  Exchange_Return[Product_Code], Stock_Table[[#This Row],[Product_Code]]
)</f>
        <v>0</v>
      </c>
      <c r="L443" s="4">
        <f>I443-J443+K443</f>
        <v>2</v>
      </c>
      <c r="M443" s="2" t="str" cm="1">
        <f t="array" ref="M443">_xlfn.IFS(L443=0,"Out of Stock",L443&gt;=2,"Limited Stock",L443&lt;2,"In Stock")</f>
        <v>Limited Stock</v>
      </c>
    </row>
    <row r="444" spans="2:13">
      <c r="B444" s="2" t="s">
        <v>998</v>
      </c>
      <c r="C444" s="5" t="str">
        <f>_xlfn.XLOOKUP(B444,Master[Product_Code],Master[Category])</f>
        <v>Jeans</v>
      </c>
      <c r="D444" s="2" t="str">
        <f>_xlfn.XLOOKUP(B444,Master[Product_Code],Master[Brand])</f>
        <v>Locomotive</v>
      </c>
      <c r="E444" s="2" t="str">
        <f>_xlfn.XLOOKUP(B444,Master[Product_Code],Master[Style])</f>
        <v>Jogger</v>
      </c>
      <c r="F444" s="2" t="str">
        <f>_xlfn.XLOOKUP(B444,Master[Product_Code],Master[Fabric])</f>
        <v>Denim</v>
      </c>
      <c r="G444" s="2">
        <f>_xlfn.XLOOKUP(B444,Master[Product_Code],Master[Size])</f>
        <v>28</v>
      </c>
      <c r="H444" s="2" t="str">
        <f>_xlfn.XLOOKUP(B444,Master[Product_Code],Master[Color])</f>
        <v>Light Grey</v>
      </c>
      <c r="I444" s="4">
        <f>_xlfn.XLOOKUP(B444,Master[Product_Code],Master[Stock_Qty])</f>
        <v>5</v>
      </c>
      <c r="J444" s="6">
        <f>SUMIFS(
  Sales_Entry[Qty],
  Sales_Entry[Product_Code], Stock_Table[[#This Row],[Product_Code]]
)</f>
        <v>0</v>
      </c>
      <c r="K444" s="4">
        <f>SUMIFS(
  Exchange_Return[Qty],
  Exchange_Return[Product_Code], Stock_Table[[#This Row],[Product_Code]]
)</f>
        <v>0</v>
      </c>
      <c r="L444" s="4">
        <f>I444-J444+K444</f>
        <v>5</v>
      </c>
      <c r="M444" s="2" t="str" cm="1">
        <f t="array" ref="M444">_xlfn.IFS(L444=0,"Out of Stock",L444&gt;=2,"Limited Stock",L444&lt;2,"In Stock")</f>
        <v>Limited Stock</v>
      </c>
    </row>
    <row r="445" spans="2:13">
      <c r="B445" s="2" t="s">
        <v>999</v>
      </c>
      <c r="C445" s="5" t="str">
        <f>_xlfn.XLOOKUP(B445,Master[Product_Code],Master[Category])</f>
        <v>Jeans</v>
      </c>
      <c r="D445" s="2" t="str">
        <f>_xlfn.XLOOKUP(B445,Master[Product_Code],Master[Brand])</f>
        <v>Spykar</v>
      </c>
      <c r="E445" s="2" t="str">
        <f>_xlfn.XLOOKUP(B445,Master[Product_Code],Master[Style])</f>
        <v>Baggy</v>
      </c>
      <c r="F445" s="2" t="str">
        <f>_xlfn.XLOOKUP(B445,Master[Product_Code],Master[Fabric])</f>
        <v>Denim</v>
      </c>
      <c r="G445" s="2">
        <f>_xlfn.XLOOKUP(B445,Master[Product_Code],Master[Size])</f>
        <v>34</v>
      </c>
      <c r="H445" s="2" t="str">
        <f>_xlfn.XLOOKUP(B445,Master[Product_Code],Master[Color])</f>
        <v>Brown</v>
      </c>
      <c r="I445" s="4">
        <f>_xlfn.XLOOKUP(B445,Master[Product_Code],Master[Stock_Qty])</f>
        <v>5</v>
      </c>
      <c r="J445" s="6">
        <f>SUMIFS(
  Sales_Entry[Qty],
  Sales_Entry[Product_Code], Stock_Table[[#This Row],[Product_Code]]
)</f>
        <v>1</v>
      </c>
      <c r="K445" s="4">
        <f>SUMIFS(
  Exchange_Return[Qty],
  Exchange_Return[Product_Code], Stock_Table[[#This Row],[Product_Code]]
)</f>
        <v>0</v>
      </c>
      <c r="L445" s="4">
        <f>I445-J445+K445</f>
        <v>4</v>
      </c>
      <c r="M445" s="2" t="str" cm="1">
        <f t="array" ref="M445">_xlfn.IFS(L445=0,"Out of Stock",L445&gt;=2,"Limited Stock",L445&lt;2,"In Stock")</f>
        <v>Limited Stock</v>
      </c>
    </row>
    <row r="446" spans="2:13">
      <c r="B446" s="2" t="s">
        <v>1000</v>
      </c>
      <c r="C446" s="5" t="str">
        <f>_xlfn.XLOOKUP(B446,Master[Product_Code],Master[Category])</f>
        <v>Jeans</v>
      </c>
      <c r="D446" s="2" t="str">
        <f>_xlfn.XLOOKUP(B446,Master[Product_Code],Master[Brand])</f>
        <v>Wrangler</v>
      </c>
      <c r="E446" s="2" t="str">
        <f>_xlfn.XLOOKUP(B446,Master[Product_Code],Master[Style])</f>
        <v>Baggy</v>
      </c>
      <c r="F446" s="2" t="str">
        <f>_xlfn.XLOOKUP(B446,Master[Product_Code],Master[Fabric])</f>
        <v>Denim</v>
      </c>
      <c r="G446" s="2">
        <f>_xlfn.XLOOKUP(B446,Master[Product_Code],Master[Size])</f>
        <v>36</v>
      </c>
      <c r="H446" s="2" t="str">
        <f>_xlfn.XLOOKUP(B446,Master[Product_Code],Master[Color])</f>
        <v>Maroon</v>
      </c>
      <c r="I446" s="4">
        <f>_xlfn.XLOOKUP(B446,Master[Product_Code],Master[Stock_Qty])</f>
        <v>4</v>
      </c>
      <c r="J446" s="6">
        <f>SUMIFS(
  Sales_Entry[Qty],
  Sales_Entry[Product_Code], Stock_Table[[#This Row],[Product_Code]]
)</f>
        <v>4</v>
      </c>
      <c r="K446" s="4">
        <f>SUMIFS(
  Exchange_Return[Qty],
  Exchange_Return[Product_Code], Stock_Table[[#This Row],[Product_Code]]
)</f>
        <v>0</v>
      </c>
      <c r="L446" s="4">
        <f>I446-J446+K446</f>
        <v>0</v>
      </c>
      <c r="M446" s="2" t="str" cm="1">
        <f t="array" ref="M446">_xlfn.IFS(L446=0,"Out of Stock",L446&gt;=2,"Limited Stock",L446&lt;2,"In Stock")</f>
        <v>Out of Stock</v>
      </c>
    </row>
    <row r="447" spans="2:13">
      <c r="B447" s="2" t="s">
        <v>1001</v>
      </c>
      <c r="C447" s="5" t="str">
        <f>_xlfn.XLOOKUP(B447,Master[Product_Code],Master[Category])</f>
        <v>Jeans</v>
      </c>
      <c r="D447" s="2" t="str">
        <f>_xlfn.XLOOKUP(B447,Master[Product_Code],Master[Brand])</f>
        <v>Pepe</v>
      </c>
      <c r="E447" s="2" t="str">
        <f>_xlfn.XLOOKUP(B447,Master[Product_Code],Master[Style])</f>
        <v>Mom Fit</v>
      </c>
      <c r="F447" s="2" t="str">
        <f>_xlfn.XLOOKUP(B447,Master[Product_Code],Master[Fabric])</f>
        <v>Denim</v>
      </c>
      <c r="G447" s="2">
        <f>_xlfn.XLOOKUP(B447,Master[Product_Code],Master[Size])</f>
        <v>34</v>
      </c>
      <c r="H447" s="2" t="str">
        <f>_xlfn.XLOOKUP(B447,Master[Product_Code],Master[Color])</f>
        <v>Dark Green</v>
      </c>
      <c r="I447" s="4">
        <f>_xlfn.XLOOKUP(B447,Master[Product_Code],Master[Stock_Qty])</f>
        <v>5</v>
      </c>
      <c r="J447" s="6">
        <f>SUMIFS(
  Sales_Entry[Qty],
  Sales_Entry[Product_Code], Stock_Table[[#This Row],[Product_Code]]
)</f>
        <v>0</v>
      </c>
      <c r="K447" s="4">
        <f>SUMIFS(
  Exchange_Return[Qty],
  Exchange_Return[Product_Code], Stock_Table[[#This Row],[Product_Code]]
)</f>
        <v>0</v>
      </c>
      <c r="L447" s="4">
        <f>I447-J447+K447</f>
        <v>5</v>
      </c>
      <c r="M447" s="2" t="str" cm="1">
        <f t="array" ref="M447">_xlfn.IFS(L447=0,"Out of Stock",L447&gt;=2,"Limited Stock",L447&lt;2,"In Stock")</f>
        <v>Limited Stock</v>
      </c>
    </row>
    <row r="448" spans="2:13">
      <c r="B448" s="2" t="s">
        <v>1002</v>
      </c>
      <c r="C448" s="5" t="str">
        <f>_xlfn.XLOOKUP(B448,Master[Product_Code],Master[Category])</f>
        <v>Jeans</v>
      </c>
      <c r="D448" s="2" t="str">
        <f>_xlfn.XLOOKUP(B448,Master[Product_Code],Master[Brand])</f>
        <v>Wrangler</v>
      </c>
      <c r="E448" s="2" t="str">
        <f>_xlfn.XLOOKUP(B448,Master[Product_Code],Master[Style])</f>
        <v>Baggy</v>
      </c>
      <c r="F448" s="2" t="str">
        <f>_xlfn.XLOOKUP(B448,Master[Product_Code],Master[Fabric])</f>
        <v>Denim</v>
      </c>
      <c r="G448" s="2">
        <f>_xlfn.XLOOKUP(B448,Master[Product_Code],Master[Size])</f>
        <v>36</v>
      </c>
      <c r="H448" s="2" t="str">
        <f>_xlfn.XLOOKUP(B448,Master[Product_Code],Master[Color])</f>
        <v>Light Grey</v>
      </c>
      <c r="I448" s="4">
        <f>_xlfn.XLOOKUP(B448,Master[Product_Code],Master[Stock_Qty])</f>
        <v>4</v>
      </c>
      <c r="J448" s="6">
        <f>SUMIFS(
  Sales_Entry[Qty],
  Sales_Entry[Product_Code], Stock_Table[[#This Row],[Product_Code]]
)</f>
        <v>1</v>
      </c>
      <c r="K448" s="4">
        <f>SUMIFS(
  Exchange_Return[Qty],
  Exchange_Return[Product_Code], Stock_Table[[#This Row],[Product_Code]]
)</f>
        <v>0</v>
      </c>
      <c r="L448" s="4">
        <f>I448-J448+K448</f>
        <v>3</v>
      </c>
      <c r="M448" s="2" t="str" cm="1">
        <f t="array" ref="M448">_xlfn.IFS(L448=0,"Out of Stock",L448&gt;=2,"Limited Stock",L448&lt;2,"In Stock")</f>
        <v>Limited Stock</v>
      </c>
    </row>
    <row r="449" spans="2:13">
      <c r="B449" s="2" t="s">
        <v>1003</v>
      </c>
      <c r="C449" s="5" t="str">
        <f>_xlfn.XLOOKUP(B449,Master[Product_Code],Master[Category])</f>
        <v>Jeans</v>
      </c>
      <c r="D449" s="2" t="str">
        <f>_xlfn.XLOOKUP(B449,Master[Product_Code],Master[Brand])</f>
        <v>Pepe</v>
      </c>
      <c r="E449" s="2" t="str">
        <f>_xlfn.XLOOKUP(B449,Master[Product_Code],Master[Style])</f>
        <v>Baggy</v>
      </c>
      <c r="F449" s="2" t="str">
        <f>_xlfn.XLOOKUP(B449,Master[Product_Code],Master[Fabric])</f>
        <v>Denim</v>
      </c>
      <c r="G449" s="2">
        <f>_xlfn.XLOOKUP(B449,Master[Product_Code],Master[Size])</f>
        <v>44</v>
      </c>
      <c r="H449" s="2" t="str">
        <f>_xlfn.XLOOKUP(B449,Master[Product_Code],Master[Color])</f>
        <v>Cream</v>
      </c>
      <c r="I449" s="4">
        <f>_xlfn.XLOOKUP(B449,Master[Product_Code],Master[Stock_Qty])</f>
        <v>3</v>
      </c>
      <c r="J449" s="6">
        <f>SUMIFS(
  Sales_Entry[Qty],
  Sales_Entry[Product_Code], Stock_Table[[#This Row],[Product_Code]]
)</f>
        <v>2</v>
      </c>
      <c r="K449" s="4">
        <f>SUMIFS(
  Exchange_Return[Qty],
  Exchange_Return[Product_Code], Stock_Table[[#This Row],[Product_Code]]
)</f>
        <v>0</v>
      </c>
      <c r="L449" s="4">
        <f>I449-J449+K449</f>
        <v>1</v>
      </c>
      <c r="M449" s="2" t="str" cm="1">
        <f t="array" ref="M449">_xlfn.IFS(L449=0,"Out of Stock",L449&gt;=2,"Limited Stock",L449&lt;2,"In Stock")</f>
        <v>In Stock</v>
      </c>
    </row>
    <row r="450" spans="2:13">
      <c r="B450" s="2" t="s">
        <v>1004</v>
      </c>
      <c r="C450" s="5" t="str">
        <f>_xlfn.XLOOKUP(B450,Master[Product_Code],Master[Category])</f>
        <v>Jeans</v>
      </c>
      <c r="D450" s="2" t="str">
        <f>_xlfn.XLOOKUP(B450,Master[Product_Code],Master[Brand])</f>
        <v>Pepe</v>
      </c>
      <c r="E450" s="2" t="str">
        <f>_xlfn.XLOOKUP(B450,Master[Product_Code],Master[Style])</f>
        <v>Baggy</v>
      </c>
      <c r="F450" s="2" t="str">
        <f>_xlfn.XLOOKUP(B450,Master[Product_Code],Master[Fabric])</f>
        <v>Denim</v>
      </c>
      <c r="G450" s="2">
        <f>_xlfn.XLOOKUP(B450,Master[Product_Code],Master[Size])</f>
        <v>30</v>
      </c>
      <c r="H450" s="2" t="str">
        <f>_xlfn.XLOOKUP(B450,Master[Product_Code],Master[Color])</f>
        <v>Rust</v>
      </c>
      <c r="I450" s="4">
        <f>_xlfn.XLOOKUP(B450,Master[Product_Code],Master[Stock_Qty])</f>
        <v>3</v>
      </c>
      <c r="J450" s="6">
        <f>SUMIFS(
  Sales_Entry[Qty],
  Sales_Entry[Product_Code], Stock_Table[[#This Row],[Product_Code]]
)</f>
        <v>1</v>
      </c>
      <c r="K450" s="4">
        <f>SUMIFS(
  Exchange_Return[Qty],
  Exchange_Return[Product_Code], Stock_Table[[#This Row],[Product_Code]]
)</f>
        <v>0</v>
      </c>
      <c r="L450" s="4">
        <f>I450-J450+K450</f>
        <v>2</v>
      </c>
      <c r="M450" s="2" t="str" cm="1">
        <f t="array" ref="M450">_xlfn.IFS(L450=0,"Out of Stock",L450&gt;=2,"Limited Stock",L450&lt;2,"In Stock")</f>
        <v>Limited Stock</v>
      </c>
    </row>
    <row r="451" spans="2:13">
      <c r="B451" s="2" t="s">
        <v>1005</v>
      </c>
      <c r="C451" s="5" t="str">
        <f>_xlfn.XLOOKUP(B451,Master[Product_Code],Master[Category])</f>
        <v>Jeans</v>
      </c>
      <c r="D451" s="2" t="str">
        <f>_xlfn.XLOOKUP(B451,Master[Product_Code],Master[Brand])</f>
        <v>Levis</v>
      </c>
      <c r="E451" s="2" t="str">
        <f>_xlfn.XLOOKUP(B451,Master[Product_Code],Master[Style])</f>
        <v>Baggy</v>
      </c>
      <c r="F451" s="2" t="str">
        <f>_xlfn.XLOOKUP(B451,Master[Product_Code],Master[Fabric])</f>
        <v>Denim</v>
      </c>
      <c r="G451" s="2">
        <f>_xlfn.XLOOKUP(B451,Master[Product_Code],Master[Size])</f>
        <v>42</v>
      </c>
      <c r="H451" s="2" t="str">
        <f>_xlfn.XLOOKUP(B451,Master[Product_Code],Master[Color])</f>
        <v>Royal Blue</v>
      </c>
      <c r="I451" s="4">
        <f>_xlfn.XLOOKUP(B451,Master[Product_Code],Master[Stock_Qty])</f>
        <v>5</v>
      </c>
      <c r="J451" s="6">
        <f>SUMIFS(
  Sales_Entry[Qty],
  Sales_Entry[Product_Code], Stock_Table[[#This Row],[Product_Code]]
)</f>
        <v>0</v>
      </c>
      <c r="K451" s="4">
        <f>SUMIFS(
  Exchange_Return[Qty],
  Exchange_Return[Product_Code], Stock_Table[[#This Row],[Product_Code]]
)</f>
        <v>0</v>
      </c>
      <c r="L451" s="4">
        <f>I451-J451+K451</f>
        <v>5</v>
      </c>
      <c r="M451" s="2" t="str" cm="1">
        <f t="array" ref="M451">_xlfn.IFS(L451=0,"Out of Stock",L451&gt;=2,"Limited Stock",L451&lt;2,"In Stock")</f>
        <v>Limited Stock</v>
      </c>
    </row>
    <row r="452" spans="2:13">
      <c r="B452" s="2" t="s">
        <v>1006</v>
      </c>
      <c r="C452" s="5" t="str">
        <f>_xlfn.XLOOKUP(B452,Master[Product_Code],Master[Category])</f>
        <v>Jeans</v>
      </c>
      <c r="D452" s="2" t="str">
        <f>_xlfn.XLOOKUP(B452,Master[Product_Code],Master[Brand])</f>
        <v>Wrangler</v>
      </c>
      <c r="E452" s="2" t="str">
        <f>_xlfn.XLOOKUP(B452,Master[Product_Code],Master[Style])</f>
        <v>Mom Fit</v>
      </c>
      <c r="F452" s="2" t="str">
        <f>_xlfn.XLOOKUP(B452,Master[Product_Code],Master[Fabric])</f>
        <v>Denim</v>
      </c>
      <c r="G452" s="2">
        <f>_xlfn.XLOOKUP(B452,Master[Product_Code],Master[Size])</f>
        <v>42</v>
      </c>
      <c r="H452" s="2" t="str">
        <f>_xlfn.XLOOKUP(B452,Master[Product_Code],Master[Color])</f>
        <v>Light Grey</v>
      </c>
      <c r="I452" s="4">
        <f>_xlfn.XLOOKUP(B452,Master[Product_Code],Master[Stock_Qty])</f>
        <v>4</v>
      </c>
      <c r="J452" s="6">
        <f>SUMIFS(
  Sales_Entry[Qty],
  Sales_Entry[Product_Code], Stock_Table[[#This Row],[Product_Code]]
)</f>
        <v>3</v>
      </c>
      <c r="K452" s="4">
        <f>SUMIFS(
  Exchange_Return[Qty],
  Exchange_Return[Product_Code], Stock_Table[[#This Row],[Product_Code]]
)</f>
        <v>0</v>
      </c>
      <c r="L452" s="4">
        <f>I452-J452+K452</f>
        <v>1</v>
      </c>
      <c r="M452" s="2" t="str" cm="1">
        <f t="array" ref="M452">_xlfn.IFS(L452=0,"Out of Stock",L452&gt;=2,"Limited Stock",L452&lt;2,"In Stock")</f>
        <v>In Stock</v>
      </c>
    </row>
    <row r="453" spans="2:13">
      <c r="B453" s="2" t="s">
        <v>1007</v>
      </c>
      <c r="C453" s="5" t="str">
        <f>_xlfn.XLOOKUP(B453,Master[Product_Code],Master[Category])</f>
        <v>Jeans</v>
      </c>
      <c r="D453" s="2" t="str">
        <f>_xlfn.XLOOKUP(B453,Master[Product_Code],Master[Brand])</f>
        <v>Denim Pro</v>
      </c>
      <c r="E453" s="2" t="str">
        <f>_xlfn.XLOOKUP(B453,Master[Product_Code],Master[Style])</f>
        <v>Baggy</v>
      </c>
      <c r="F453" s="2" t="str">
        <f>_xlfn.XLOOKUP(B453,Master[Product_Code],Master[Fabric])</f>
        <v>Denim</v>
      </c>
      <c r="G453" s="2">
        <f>_xlfn.XLOOKUP(B453,Master[Product_Code],Master[Size])</f>
        <v>42</v>
      </c>
      <c r="H453" s="2" t="str">
        <f>_xlfn.XLOOKUP(B453,Master[Product_Code],Master[Color])</f>
        <v>Brown</v>
      </c>
      <c r="I453" s="4">
        <f>_xlfn.XLOOKUP(B453,Master[Product_Code],Master[Stock_Qty])</f>
        <v>6</v>
      </c>
      <c r="J453" s="6">
        <f>SUMIFS(
  Sales_Entry[Qty],
  Sales_Entry[Product_Code], Stock_Table[[#This Row],[Product_Code]]
)</f>
        <v>0</v>
      </c>
      <c r="K453" s="4">
        <f>SUMIFS(
  Exchange_Return[Qty],
  Exchange_Return[Product_Code], Stock_Table[[#This Row],[Product_Code]]
)</f>
        <v>0</v>
      </c>
      <c r="L453" s="4">
        <f>I453-J453+K453</f>
        <v>6</v>
      </c>
      <c r="M453" s="2" t="str" cm="1">
        <f t="array" ref="M453">_xlfn.IFS(L453=0,"Out of Stock",L453&gt;=2,"Limited Stock",L453&lt;2,"In Stock")</f>
        <v>Limited Stock</v>
      </c>
    </row>
    <row r="454" spans="2:13">
      <c r="B454" s="2" t="s">
        <v>1008</v>
      </c>
      <c r="C454" s="5" t="str">
        <f>_xlfn.XLOOKUP(B454,Master[Product_Code],Master[Category])</f>
        <v>Jeans</v>
      </c>
      <c r="D454" s="2" t="str">
        <f>_xlfn.XLOOKUP(B454,Master[Product_Code],Master[Brand])</f>
        <v>Spykar</v>
      </c>
      <c r="E454" s="2" t="str">
        <f>_xlfn.XLOOKUP(B454,Master[Product_Code],Master[Style])</f>
        <v>Mom Fit</v>
      </c>
      <c r="F454" s="2" t="str">
        <f>_xlfn.XLOOKUP(B454,Master[Product_Code],Master[Fabric])</f>
        <v>Denim</v>
      </c>
      <c r="G454" s="2">
        <f>_xlfn.XLOOKUP(B454,Master[Product_Code],Master[Size])</f>
        <v>36</v>
      </c>
      <c r="H454" s="2" t="str">
        <f>_xlfn.XLOOKUP(B454,Master[Product_Code],Master[Color])</f>
        <v>Teal</v>
      </c>
      <c r="I454" s="4">
        <f>_xlfn.XLOOKUP(B454,Master[Product_Code],Master[Stock_Qty])</f>
        <v>6</v>
      </c>
      <c r="J454" s="6">
        <f>SUMIFS(
  Sales_Entry[Qty],
  Sales_Entry[Product_Code], Stock_Table[[#This Row],[Product_Code]]
)</f>
        <v>3</v>
      </c>
      <c r="K454" s="4">
        <f>SUMIFS(
  Exchange_Return[Qty],
  Exchange_Return[Product_Code], Stock_Table[[#This Row],[Product_Code]]
)</f>
        <v>0</v>
      </c>
      <c r="L454" s="4">
        <f>I454-J454+K454</f>
        <v>3</v>
      </c>
      <c r="M454" s="2" t="str" cm="1">
        <f t="array" ref="M454">_xlfn.IFS(L454=0,"Out of Stock",L454&gt;=2,"Limited Stock",L454&lt;2,"In Stock")</f>
        <v>Limited Stock</v>
      </c>
    </row>
    <row r="455" spans="2:13">
      <c r="B455" s="2" t="s">
        <v>1009</v>
      </c>
      <c r="C455" s="5" t="str">
        <f>_xlfn.XLOOKUP(B455,Master[Product_Code],Master[Category])</f>
        <v>Jeans</v>
      </c>
      <c r="D455" s="2" t="str">
        <f>_xlfn.XLOOKUP(B455,Master[Product_Code],Master[Brand])</f>
        <v>Denim Pro</v>
      </c>
      <c r="E455" s="2" t="str">
        <f>_xlfn.XLOOKUP(B455,Master[Product_Code],Master[Style])</f>
        <v>Jogger</v>
      </c>
      <c r="F455" s="2" t="str">
        <f>_xlfn.XLOOKUP(B455,Master[Product_Code],Master[Fabric])</f>
        <v>Denim</v>
      </c>
      <c r="G455" s="2">
        <f>_xlfn.XLOOKUP(B455,Master[Product_Code],Master[Size])</f>
        <v>38</v>
      </c>
      <c r="H455" s="2" t="str">
        <f>_xlfn.XLOOKUP(B455,Master[Product_Code],Master[Color])</f>
        <v>Cream</v>
      </c>
      <c r="I455" s="4">
        <f>_xlfn.XLOOKUP(B455,Master[Product_Code],Master[Stock_Qty])</f>
        <v>6</v>
      </c>
      <c r="J455" s="6">
        <f>SUMIFS(
  Sales_Entry[Qty],
  Sales_Entry[Product_Code], Stock_Table[[#This Row],[Product_Code]]
)</f>
        <v>4</v>
      </c>
      <c r="K455" s="4">
        <f>SUMIFS(
  Exchange_Return[Qty],
  Exchange_Return[Product_Code], Stock_Table[[#This Row],[Product_Code]]
)</f>
        <v>0</v>
      </c>
      <c r="L455" s="4">
        <f>I455-J455+K455</f>
        <v>2</v>
      </c>
      <c r="M455" s="2" t="str" cm="1">
        <f t="array" ref="M455">_xlfn.IFS(L455=0,"Out of Stock",L455&gt;=2,"Limited Stock",L455&lt;2,"In Stock")</f>
        <v>Limited Stock</v>
      </c>
    </row>
    <row r="456" spans="2:13">
      <c r="B456" s="2" t="s">
        <v>1010</v>
      </c>
      <c r="C456" s="5" t="str">
        <f>_xlfn.XLOOKUP(B456,Master[Product_Code],Master[Category])</f>
        <v>Jeans</v>
      </c>
      <c r="D456" s="2" t="str">
        <f>_xlfn.XLOOKUP(B456,Master[Product_Code],Master[Brand])</f>
        <v>Pepe</v>
      </c>
      <c r="E456" s="2" t="str">
        <f>_xlfn.XLOOKUP(B456,Master[Product_Code],Master[Style])</f>
        <v>Baggy</v>
      </c>
      <c r="F456" s="2" t="str">
        <f>_xlfn.XLOOKUP(B456,Master[Product_Code],Master[Fabric])</f>
        <v>Denim</v>
      </c>
      <c r="G456" s="2">
        <f>_xlfn.XLOOKUP(B456,Master[Product_Code],Master[Size])</f>
        <v>38</v>
      </c>
      <c r="H456" s="2" t="str">
        <f>_xlfn.XLOOKUP(B456,Master[Product_Code],Master[Color])</f>
        <v>Peach</v>
      </c>
      <c r="I456" s="4">
        <f>_xlfn.XLOOKUP(B456,Master[Product_Code],Master[Stock_Qty])</f>
        <v>6</v>
      </c>
      <c r="J456" s="6">
        <f>SUMIFS(
  Sales_Entry[Qty],
  Sales_Entry[Product_Code], Stock_Table[[#This Row],[Product_Code]]
)</f>
        <v>1</v>
      </c>
      <c r="K456" s="4">
        <f>SUMIFS(
  Exchange_Return[Qty],
  Exchange_Return[Product_Code], Stock_Table[[#This Row],[Product_Code]]
)</f>
        <v>0</v>
      </c>
      <c r="L456" s="4">
        <f>I456-J456+K456</f>
        <v>5</v>
      </c>
      <c r="M456" s="2" t="str" cm="1">
        <f t="array" ref="M456">_xlfn.IFS(L456=0,"Out of Stock",L456&gt;=2,"Limited Stock",L456&lt;2,"In Stock")</f>
        <v>Limited Stock</v>
      </c>
    </row>
    <row r="457" spans="2:13">
      <c r="B457" s="2" t="s">
        <v>1011</v>
      </c>
      <c r="C457" s="5" t="str">
        <f>_xlfn.XLOOKUP(B457,Master[Product_Code],Master[Category])</f>
        <v>Jeans</v>
      </c>
      <c r="D457" s="2" t="str">
        <f>_xlfn.XLOOKUP(B457,Master[Product_Code],Master[Brand])</f>
        <v>Spykar</v>
      </c>
      <c r="E457" s="2" t="str">
        <f>_xlfn.XLOOKUP(B457,Master[Product_Code],Master[Style])</f>
        <v>Baggy</v>
      </c>
      <c r="F457" s="2" t="str">
        <f>_xlfn.XLOOKUP(B457,Master[Product_Code],Master[Fabric])</f>
        <v>Denim</v>
      </c>
      <c r="G457" s="2">
        <f>_xlfn.XLOOKUP(B457,Master[Product_Code],Master[Size])</f>
        <v>32</v>
      </c>
      <c r="H457" s="2" t="str">
        <f>_xlfn.XLOOKUP(B457,Master[Product_Code],Master[Color])</f>
        <v>Wine</v>
      </c>
      <c r="I457" s="4">
        <f>_xlfn.XLOOKUP(B457,Master[Product_Code],Master[Stock_Qty])</f>
        <v>3</v>
      </c>
      <c r="J457" s="6">
        <f>SUMIFS(
  Sales_Entry[Qty],
  Sales_Entry[Product_Code], Stock_Table[[#This Row],[Product_Code]]
)</f>
        <v>1</v>
      </c>
      <c r="K457" s="4">
        <f>SUMIFS(
  Exchange_Return[Qty],
  Exchange_Return[Product_Code], Stock_Table[[#This Row],[Product_Code]]
)</f>
        <v>0</v>
      </c>
      <c r="L457" s="4">
        <f>I457-J457+K457</f>
        <v>2</v>
      </c>
      <c r="M457" s="2" t="str" cm="1">
        <f t="array" ref="M457">_xlfn.IFS(L457=0,"Out of Stock",L457&gt;=2,"Limited Stock",L457&lt;2,"In Stock")</f>
        <v>Limited Stock</v>
      </c>
    </row>
    <row r="458" spans="2:13">
      <c r="B458" s="2" t="s">
        <v>1012</v>
      </c>
      <c r="C458" s="5" t="str">
        <f>_xlfn.XLOOKUP(B458,Master[Product_Code],Master[Category])</f>
        <v>Jeans</v>
      </c>
      <c r="D458" s="2" t="str">
        <f>_xlfn.XLOOKUP(B458,Master[Product_Code],Master[Brand])</f>
        <v>Denim Pro</v>
      </c>
      <c r="E458" s="2" t="str">
        <f>_xlfn.XLOOKUP(B458,Master[Product_Code],Master[Style])</f>
        <v>Mom Fit</v>
      </c>
      <c r="F458" s="2" t="str">
        <f>_xlfn.XLOOKUP(B458,Master[Product_Code],Master[Fabric])</f>
        <v>Denim</v>
      </c>
      <c r="G458" s="2">
        <f>_xlfn.XLOOKUP(B458,Master[Product_Code],Master[Size])</f>
        <v>44</v>
      </c>
      <c r="H458" s="2" t="str">
        <f>_xlfn.XLOOKUP(B458,Master[Product_Code],Master[Color])</f>
        <v>Navy Blue</v>
      </c>
      <c r="I458" s="4">
        <f>_xlfn.XLOOKUP(B458,Master[Product_Code],Master[Stock_Qty])</f>
        <v>5</v>
      </c>
      <c r="J458" s="6">
        <f>SUMIFS(
  Sales_Entry[Qty],
  Sales_Entry[Product_Code], Stock_Table[[#This Row],[Product_Code]]
)</f>
        <v>1</v>
      </c>
      <c r="K458" s="4">
        <f>SUMIFS(
  Exchange_Return[Qty],
  Exchange_Return[Product_Code], Stock_Table[[#This Row],[Product_Code]]
)</f>
        <v>0</v>
      </c>
      <c r="L458" s="4">
        <f>I458-J458+K458</f>
        <v>4</v>
      </c>
      <c r="M458" s="2" t="str" cm="1">
        <f t="array" ref="M458">_xlfn.IFS(L458=0,"Out of Stock",L458&gt;=2,"Limited Stock",L458&lt;2,"In Stock")</f>
        <v>Limited Stock</v>
      </c>
    </row>
    <row r="459" spans="2:13">
      <c r="B459" s="2" t="s">
        <v>1013</v>
      </c>
      <c r="C459" s="5" t="str">
        <f>_xlfn.XLOOKUP(B459,Master[Product_Code],Master[Category])</f>
        <v>Jeans</v>
      </c>
      <c r="D459" s="2" t="str">
        <f>_xlfn.XLOOKUP(B459,Master[Product_Code],Master[Brand])</f>
        <v>Levis</v>
      </c>
      <c r="E459" s="2" t="str">
        <f>_xlfn.XLOOKUP(B459,Master[Product_Code],Master[Style])</f>
        <v>Baggy</v>
      </c>
      <c r="F459" s="2" t="str">
        <f>_xlfn.XLOOKUP(B459,Master[Product_Code],Master[Fabric])</f>
        <v>Denim</v>
      </c>
      <c r="G459" s="2">
        <f>_xlfn.XLOOKUP(B459,Master[Product_Code],Master[Size])</f>
        <v>34</v>
      </c>
      <c r="H459" s="2" t="str">
        <f>_xlfn.XLOOKUP(B459,Master[Product_Code],Master[Color])</f>
        <v>Royal Blue</v>
      </c>
      <c r="I459" s="4">
        <f>_xlfn.XLOOKUP(B459,Master[Product_Code],Master[Stock_Qty])</f>
        <v>4</v>
      </c>
      <c r="J459" s="6">
        <f>SUMIFS(
  Sales_Entry[Qty],
  Sales_Entry[Product_Code], Stock_Table[[#This Row],[Product_Code]]
)</f>
        <v>4</v>
      </c>
      <c r="K459" s="4">
        <f>SUMIFS(
  Exchange_Return[Qty],
  Exchange_Return[Product_Code], Stock_Table[[#This Row],[Product_Code]]
)</f>
        <v>0</v>
      </c>
      <c r="L459" s="4">
        <f>I459-J459+K459</f>
        <v>0</v>
      </c>
      <c r="M459" s="2" t="str" cm="1">
        <f t="array" ref="M459">_xlfn.IFS(L459=0,"Out of Stock",L459&gt;=2,"Limited Stock",L459&lt;2,"In Stock")</f>
        <v>Out of Stock</v>
      </c>
    </row>
    <row r="460" spans="2:13">
      <c r="B460" s="2" t="s">
        <v>1014</v>
      </c>
      <c r="C460" s="5" t="str">
        <f>_xlfn.XLOOKUP(B460,Master[Product_Code],Master[Category])</f>
        <v>Jeans</v>
      </c>
      <c r="D460" s="2" t="str">
        <f>_xlfn.XLOOKUP(B460,Master[Product_Code],Master[Brand])</f>
        <v>Spykar</v>
      </c>
      <c r="E460" s="2" t="str">
        <f>_xlfn.XLOOKUP(B460,Master[Product_Code],Master[Style])</f>
        <v>Baggy</v>
      </c>
      <c r="F460" s="2" t="str">
        <f>_xlfn.XLOOKUP(B460,Master[Product_Code],Master[Fabric])</f>
        <v>Denim</v>
      </c>
      <c r="G460" s="2">
        <f>_xlfn.XLOOKUP(B460,Master[Product_Code],Master[Size])</f>
        <v>30</v>
      </c>
      <c r="H460" s="2" t="str">
        <f>_xlfn.XLOOKUP(B460,Master[Product_Code],Master[Color])</f>
        <v>Mustard</v>
      </c>
      <c r="I460" s="4">
        <f>_xlfn.XLOOKUP(B460,Master[Product_Code],Master[Stock_Qty])</f>
        <v>4</v>
      </c>
      <c r="J460" s="6">
        <f>SUMIFS(
  Sales_Entry[Qty],
  Sales_Entry[Product_Code], Stock_Table[[#This Row],[Product_Code]]
)</f>
        <v>1</v>
      </c>
      <c r="K460" s="4">
        <f>SUMIFS(
  Exchange_Return[Qty],
  Exchange_Return[Product_Code], Stock_Table[[#This Row],[Product_Code]]
)</f>
        <v>0</v>
      </c>
      <c r="L460" s="4">
        <f>I460-J460+K460</f>
        <v>3</v>
      </c>
      <c r="M460" s="2" t="str" cm="1">
        <f t="array" ref="M460">_xlfn.IFS(L460=0,"Out of Stock",L460&gt;=2,"Limited Stock",L460&lt;2,"In Stock")</f>
        <v>Limited Stock</v>
      </c>
    </row>
    <row r="461" spans="2:13">
      <c r="B461" s="2" t="s">
        <v>1015</v>
      </c>
      <c r="C461" s="5" t="str">
        <f>_xlfn.XLOOKUP(B461,Master[Product_Code],Master[Category])</f>
        <v>Jeans</v>
      </c>
      <c r="D461" s="2" t="str">
        <f>_xlfn.XLOOKUP(B461,Master[Product_Code],Master[Brand])</f>
        <v>Denim Pro</v>
      </c>
      <c r="E461" s="2" t="str">
        <f>_xlfn.XLOOKUP(B461,Master[Product_Code],Master[Style])</f>
        <v>Jogger</v>
      </c>
      <c r="F461" s="2" t="str">
        <f>_xlfn.XLOOKUP(B461,Master[Product_Code],Master[Fabric])</f>
        <v>Denim</v>
      </c>
      <c r="G461" s="2">
        <f>_xlfn.XLOOKUP(B461,Master[Product_Code],Master[Size])</f>
        <v>40</v>
      </c>
      <c r="H461" s="2" t="str">
        <f>_xlfn.XLOOKUP(B461,Master[Product_Code],Master[Color])</f>
        <v>Light Grey</v>
      </c>
      <c r="I461" s="4">
        <f>_xlfn.XLOOKUP(B461,Master[Product_Code],Master[Stock_Qty])</f>
        <v>5</v>
      </c>
      <c r="J461" s="6">
        <f>SUMIFS(
  Sales_Entry[Qty],
  Sales_Entry[Product_Code], Stock_Table[[#This Row],[Product_Code]]
)</f>
        <v>2</v>
      </c>
      <c r="K461" s="4">
        <f>SUMIFS(
  Exchange_Return[Qty],
  Exchange_Return[Product_Code], Stock_Table[[#This Row],[Product_Code]]
)</f>
        <v>0</v>
      </c>
      <c r="L461" s="4">
        <f>I461-J461+K461</f>
        <v>3</v>
      </c>
      <c r="M461" s="2" t="str" cm="1">
        <f t="array" ref="M461">_xlfn.IFS(L461=0,"Out of Stock",L461&gt;=2,"Limited Stock",L461&lt;2,"In Stock")</f>
        <v>Limited Stock</v>
      </c>
    </row>
    <row r="462" spans="2:13">
      <c r="B462" s="2" t="s">
        <v>1016</v>
      </c>
      <c r="C462" s="5" t="str">
        <f>_xlfn.XLOOKUP(B462,Master[Product_Code],Master[Category])</f>
        <v>Jeans</v>
      </c>
      <c r="D462" s="2" t="str">
        <f>_xlfn.XLOOKUP(B462,Master[Product_Code],Master[Brand])</f>
        <v>Denim Pro</v>
      </c>
      <c r="E462" s="2" t="str">
        <f>_xlfn.XLOOKUP(B462,Master[Product_Code],Master[Style])</f>
        <v>Mom Fit</v>
      </c>
      <c r="F462" s="2" t="str">
        <f>_xlfn.XLOOKUP(B462,Master[Product_Code],Master[Fabric])</f>
        <v>Denim</v>
      </c>
      <c r="G462" s="2">
        <f>_xlfn.XLOOKUP(B462,Master[Product_Code],Master[Size])</f>
        <v>30</v>
      </c>
      <c r="H462" s="2" t="str">
        <f>_xlfn.XLOOKUP(B462,Master[Product_Code],Master[Color])</f>
        <v>Light Grey</v>
      </c>
      <c r="I462" s="4">
        <f>_xlfn.XLOOKUP(B462,Master[Product_Code],Master[Stock_Qty])</f>
        <v>6</v>
      </c>
      <c r="J462" s="6">
        <f>SUMIFS(
  Sales_Entry[Qty],
  Sales_Entry[Product_Code], Stock_Table[[#This Row],[Product_Code]]
)</f>
        <v>1</v>
      </c>
      <c r="K462" s="4">
        <f>SUMIFS(
  Exchange_Return[Qty],
  Exchange_Return[Product_Code], Stock_Table[[#This Row],[Product_Code]]
)</f>
        <v>0</v>
      </c>
      <c r="L462" s="4">
        <f>I462-J462+K462</f>
        <v>5</v>
      </c>
      <c r="M462" s="2" t="str" cm="1">
        <f t="array" ref="M462">_xlfn.IFS(L462=0,"Out of Stock",L462&gt;=2,"Limited Stock",L462&lt;2,"In Stock")</f>
        <v>Limited Stock</v>
      </c>
    </row>
    <row r="463" spans="2:13">
      <c r="B463" s="2" t="s">
        <v>1017</v>
      </c>
      <c r="C463" s="5" t="str">
        <f>_xlfn.XLOOKUP(B463,Master[Product_Code],Master[Category])</f>
        <v>Jeans</v>
      </c>
      <c r="D463" s="2" t="str">
        <f>_xlfn.XLOOKUP(B463,Master[Product_Code],Master[Brand])</f>
        <v>Locomotive</v>
      </c>
      <c r="E463" s="2" t="str">
        <f>_xlfn.XLOOKUP(B463,Master[Product_Code],Master[Style])</f>
        <v>Jogger</v>
      </c>
      <c r="F463" s="2" t="str">
        <f>_xlfn.XLOOKUP(B463,Master[Product_Code],Master[Fabric])</f>
        <v>Denim</v>
      </c>
      <c r="G463" s="2">
        <f>_xlfn.XLOOKUP(B463,Master[Product_Code],Master[Size])</f>
        <v>38</v>
      </c>
      <c r="H463" s="2" t="str">
        <f>_xlfn.XLOOKUP(B463,Master[Product_Code],Master[Color])</f>
        <v>Dark Green</v>
      </c>
      <c r="I463" s="4">
        <f>_xlfn.XLOOKUP(B463,Master[Product_Code],Master[Stock_Qty])</f>
        <v>3</v>
      </c>
      <c r="J463" s="6">
        <f>SUMIFS(
  Sales_Entry[Qty],
  Sales_Entry[Product_Code], Stock_Table[[#This Row],[Product_Code]]
)</f>
        <v>0</v>
      </c>
      <c r="K463" s="4">
        <f>SUMIFS(
  Exchange_Return[Qty],
  Exchange_Return[Product_Code], Stock_Table[[#This Row],[Product_Code]]
)</f>
        <v>0</v>
      </c>
      <c r="L463" s="4">
        <f>I463-J463+K463</f>
        <v>3</v>
      </c>
      <c r="M463" s="2" t="str" cm="1">
        <f t="array" ref="M463">_xlfn.IFS(L463=0,"Out of Stock",L463&gt;=2,"Limited Stock",L463&lt;2,"In Stock")</f>
        <v>Limited Stock</v>
      </c>
    </row>
    <row r="464" spans="2:13">
      <c r="B464" s="2" t="s">
        <v>1018</v>
      </c>
      <c r="C464" s="5" t="str">
        <f>_xlfn.XLOOKUP(B464,Master[Product_Code],Master[Category])</f>
        <v>Jeans</v>
      </c>
      <c r="D464" s="2" t="str">
        <f>_xlfn.XLOOKUP(B464,Master[Product_Code],Master[Brand])</f>
        <v>Levis</v>
      </c>
      <c r="E464" s="2" t="str">
        <f>_xlfn.XLOOKUP(B464,Master[Product_Code],Master[Style])</f>
        <v>Mom Fit</v>
      </c>
      <c r="F464" s="2" t="str">
        <f>_xlfn.XLOOKUP(B464,Master[Product_Code],Master[Fabric])</f>
        <v>Denim</v>
      </c>
      <c r="G464" s="2">
        <f>_xlfn.XLOOKUP(B464,Master[Product_Code],Master[Size])</f>
        <v>40</v>
      </c>
      <c r="H464" s="2" t="str">
        <f>_xlfn.XLOOKUP(B464,Master[Product_Code],Master[Color])</f>
        <v>Navy Blue</v>
      </c>
      <c r="I464" s="4">
        <f>_xlfn.XLOOKUP(B464,Master[Product_Code],Master[Stock_Qty])</f>
        <v>3</v>
      </c>
      <c r="J464" s="6">
        <f>SUMIFS(
  Sales_Entry[Qty],
  Sales_Entry[Product_Code], Stock_Table[[#This Row],[Product_Code]]
)</f>
        <v>1</v>
      </c>
      <c r="K464" s="4">
        <f>SUMIFS(
  Exchange_Return[Qty],
  Exchange_Return[Product_Code], Stock_Table[[#This Row],[Product_Code]]
)</f>
        <v>0</v>
      </c>
      <c r="L464" s="4">
        <f>I464-J464+K464</f>
        <v>2</v>
      </c>
      <c r="M464" s="2" t="str" cm="1">
        <f t="array" ref="M464">_xlfn.IFS(L464=0,"Out of Stock",L464&gt;=2,"Limited Stock",L464&lt;2,"In Stock")</f>
        <v>Limited Stock</v>
      </c>
    </row>
    <row r="465" spans="2:13">
      <c r="B465" s="2" t="s">
        <v>1019</v>
      </c>
      <c r="C465" s="5" t="str">
        <f>_xlfn.XLOOKUP(B465,Master[Product_Code],Master[Category])</f>
        <v>Jeans</v>
      </c>
      <c r="D465" s="2" t="str">
        <f>_xlfn.XLOOKUP(B465,Master[Product_Code],Master[Brand])</f>
        <v>Locomotive</v>
      </c>
      <c r="E465" s="2" t="str">
        <f>_xlfn.XLOOKUP(B465,Master[Product_Code],Master[Style])</f>
        <v>Baggy</v>
      </c>
      <c r="F465" s="2" t="str">
        <f>_xlfn.XLOOKUP(B465,Master[Product_Code],Master[Fabric])</f>
        <v>Denim</v>
      </c>
      <c r="G465" s="2">
        <f>_xlfn.XLOOKUP(B465,Master[Product_Code],Master[Size])</f>
        <v>42</v>
      </c>
      <c r="H465" s="2" t="str">
        <f>_xlfn.XLOOKUP(B465,Master[Product_Code],Master[Color])</f>
        <v>White</v>
      </c>
      <c r="I465" s="4">
        <f>_xlfn.XLOOKUP(B465,Master[Product_Code],Master[Stock_Qty])</f>
        <v>3</v>
      </c>
      <c r="J465" s="6">
        <f>SUMIFS(
  Sales_Entry[Qty],
  Sales_Entry[Product_Code], Stock_Table[[#This Row],[Product_Code]]
)</f>
        <v>3</v>
      </c>
      <c r="K465" s="4">
        <f>SUMIFS(
  Exchange_Return[Qty],
  Exchange_Return[Product_Code], Stock_Table[[#This Row],[Product_Code]]
)</f>
        <v>0</v>
      </c>
      <c r="L465" s="4">
        <f>I465-J465+K465</f>
        <v>0</v>
      </c>
      <c r="M465" s="2" t="str" cm="1">
        <f t="array" ref="M465">_xlfn.IFS(L465=0,"Out of Stock",L465&gt;=2,"Limited Stock",L465&lt;2,"In Stock")</f>
        <v>Out of Stock</v>
      </c>
    </row>
    <row r="466" spans="2:13">
      <c r="B466" s="2" t="s">
        <v>1020</v>
      </c>
      <c r="C466" s="5" t="str">
        <f>_xlfn.XLOOKUP(B466,Master[Product_Code],Master[Category])</f>
        <v>Jeans</v>
      </c>
      <c r="D466" s="2" t="str">
        <f>_xlfn.XLOOKUP(B466,Master[Product_Code],Master[Brand])</f>
        <v>Spykar</v>
      </c>
      <c r="E466" s="2" t="str">
        <f>_xlfn.XLOOKUP(B466,Master[Product_Code],Master[Style])</f>
        <v>Jogger</v>
      </c>
      <c r="F466" s="2" t="str">
        <f>_xlfn.XLOOKUP(B466,Master[Product_Code],Master[Fabric])</f>
        <v>Denim</v>
      </c>
      <c r="G466" s="2">
        <f>_xlfn.XLOOKUP(B466,Master[Product_Code],Master[Size])</f>
        <v>32</v>
      </c>
      <c r="H466" s="2" t="str">
        <f>_xlfn.XLOOKUP(B466,Master[Product_Code],Master[Color])</f>
        <v>Maroon</v>
      </c>
      <c r="I466" s="4">
        <f>_xlfn.XLOOKUP(B466,Master[Product_Code],Master[Stock_Qty])</f>
        <v>6</v>
      </c>
      <c r="J466" s="6">
        <f>SUMIFS(
  Sales_Entry[Qty],
  Sales_Entry[Product_Code], Stock_Table[[#This Row],[Product_Code]]
)</f>
        <v>1</v>
      </c>
      <c r="K466" s="4">
        <f>SUMIFS(
  Exchange_Return[Qty],
  Exchange_Return[Product_Code], Stock_Table[[#This Row],[Product_Code]]
)</f>
        <v>0</v>
      </c>
      <c r="L466" s="4">
        <f>I466-J466+K466</f>
        <v>5</v>
      </c>
      <c r="M466" s="2" t="str" cm="1">
        <f t="array" ref="M466">_xlfn.IFS(L466=0,"Out of Stock",L466&gt;=2,"Limited Stock",L466&lt;2,"In Stock")</f>
        <v>Limited Stock</v>
      </c>
    </row>
    <row r="467" spans="2:13">
      <c r="B467" s="2" t="s">
        <v>1021</v>
      </c>
      <c r="C467" s="5" t="str">
        <f>_xlfn.XLOOKUP(B467,Master[Product_Code],Master[Category])</f>
        <v>Jeans</v>
      </c>
      <c r="D467" s="2" t="str">
        <f>_xlfn.XLOOKUP(B467,Master[Product_Code],Master[Brand])</f>
        <v>Wrangler</v>
      </c>
      <c r="E467" s="2" t="str">
        <f>_xlfn.XLOOKUP(B467,Master[Product_Code],Master[Style])</f>
        <v>Baggy</v>
      </c>
      <c r="F467" s="2" t="str">
        <f>_xlfn.XLOOKUP(B467,Master[Product_Code],Master[Fabric])</f>
        <v>Denim</v>
      </c>
      <c r="G467" s="2">
        <f>_xlfn.XLOOKUP(B467,Master[Product_Code],Master[Size])</f>
        <v>34</v>
      </c>
      <c r="H467" s="2" t="str">
        <f>_xlfn.XLOOKUP(B467,Master[Product_Code],Master[Color])</f>
        <v>Grey</v>
      </c>
      <c r="I467" s="4">
        <f>_xlfn.XLOOKUP(B467,Master[Product_Code],Master[Stock_Qty])</f>
        <v>5</v>
      </c>
      <c r="J467" s="6">
        <f>SUMIFS(
  Sales_Entry[Qty],
  Sales_Entry[Product_Code], Stock_Table[[#This Row],[Product_Code]]
)</f>
        <v>1</v>
      </c>
      <c r="K467" s="4">
        <f>SUMIFS(
  Exchange_Return[Qty],
  Exchange_Return[Product_Code], Stock_Table[[#This Row],[Product_Code]]
)</f>
        <v>0</v>
      </c>
      <c r="L467" s="4">
        <f>I467-J467+K467</f>
        <v>4</v>
      </c>
      <c r="M467" s="2" t="str" cm="1">
        <f t="array" ref="M467">_xlfn.IFS(L467=0,"Out of Stock",L467&gt;=2,"Limited Stock",L467&lt;2,"In Stock")</f>
        <v>Limited Stock</v>
      </c>
    </row>
    <row r="468" spans="2:13">
      <c r="B468" s="2" t="s">
        <v>1022</v>
      </c>
      <c r="C468" s="5" t="str">
        <f>_xlfn.XLOOKUP(B468,Master[Product_Code],Master[Category])</f>
        <v>Jeans</v>
      </c>
      <c r="D468" s="2" t="str">
        <f>_xlfn.XLOOKUP(B468,Master[Product_Code],Master[Brand])</f>
        <v>Locomotive</v>
      </c>
      <c r="E468" s="2" t="str">
        <f>_xlfn.XLOOKUP(B468,Master[Product_Code],Master[Style])</f>
        <v>Jogger</v>
      </c>
      <c r="F468" s="2" t="str">
        <f>_xlfn.XLOOKUP(B468,Master[Product_Code],Master[Fabric])</f>
        <v>Denim</v>
      </c>
      <c r="G468" s="2">
        <f>_xlfn.XLOOKUP(B468,Master[Product_Code],Master[Size])</f>
        <v>40</v>
      </c>
      <c r="H468" s="2" t="str">
        <f>_xlfn.XLOOKUP(B468,Master[Product_Code],Master[Color])</f>
        <v>Teal</v>
      </c>
      <c r="I468" s="4">
        <f>_xlfn.XLOOKUP(B468,Master[Product_Code],Master[Stock_Qty])</f>
        <v>3</v>
      </c>
      <c r="J468" s="6">
        <f>SUMIFS(
  Sales_Entry[Qty],
  Sales_Entry[Product_Code], Stock_Table[[#This Row],[Product_Code]]
)</f>
        <v>2</v>
      </c>
      <c r="K468" s="4">
        <f>SUMIFS(
  Exchange_Return[Qty],
  Exchange_Return[Product_Code], Stock_Table[[#This Row],[Product_Code]]
)</f>
        <v>0</v>
      </c>
      <c r="L468" s="4">
        <f>I468-J468+K468</f>
        <v>1</v>
      </c>
      <c r="M468" s="2" t="str" cm="1">
        <f t="array" ref="M468">_xlfn.IFS(L468=0,"Out of Stock",L468&gt;=2,"Limited Stock",L468&lt;2,"In Stock")</f>
        <v>In Stock</v>
      </c>
    </row>
    <row r="469" spans="2:13">
      <c r="B469" s="2" t="s">
        <v>1023</v>
      </c>
      <c r="C469" s="5" t="str">
        <f>_xlfn.XLOOKUP(B469,Master[Product_Code],Master[Category])</f>
        <v>Jeans</v>
      </c>
      <c r="D469" s="2" t="str">
        <f>_xlfn.XLOOKUP(B469,Master[Product_Code],Master[Brand])</f>
        <v>Pepe</v>
      </c>
      <c r="E469" s="2" t="str">
        <f>_xlfn.XLOOKUP(B469,Master[Product_Code],Master[Style])</f>
        <v>Jogger</v>
      </c>
      <c r="F469" s="2" t="str">
        <f>_xlfn.XLOOKUP(B469,Master[Product_Code],Master[Fabric])</f>
        <v>Denim</v>
      </c>
      <c r="G469" s="2">
        <f>_xlfn.XLOOKUP(B469,Master[Product_Code],Master[Size])</f>
        <v>32</v>
      </c>
      <c r="H469" s="2" t="str">
        <f>_xlfn.XLOOKUP(B469,Master[Product_Code],Master[Color])</f>
        <v>Brown</v>
      </c>
      <c r="I469" s="4">
        <f>_xlfn.XLOOKUP(B469,Master[Product_Code],Master[Stock_Qty])</f>
        <v>3</v>
      </c>
      <c r="J469" s="6">
        <f>SUMIFS(
  Sales_Entry[Qty],
  Sales_Entry[Product_Code], Stock_Table[[#This Row],[Product_Code]]
)</f>
        <v>3</v>
      </c>
      <c r="K469" s="4">
        <f>SUMIFS(
  Exchange_Return[Qty],
  Exchange_Return[Product_Code], Stock_Table[[#This Row],[Product_Code]]
)</f>
        <v>0</v>
      </c>
      <c r="L469" s="4">
        <f>I469-J469+K469</f>
        <v>0</v>
      </c>
      <c r="M469" s="2" t="str" cm="1">
        <f t="array" ref="M469">_xlfn.IFS(L469=0,"Out of Stock",L469&gt;=2,"Limited Stock",L469&lt;2,"In Stock")</f>
        <v>Out of Stock</v>
      </c>
    </row>
    <row r="470" spans="2:13">
      <c r="B470" s="2" t="s">
        <v>1024</v>
      </c>
      <c r="C470" s="5" t="str">
        <f>_xlfn.XLOOKUP(B470,Master[Product_Code],Master[Category])</f>
        <v>Jeans</v>
      </c>
      <c r="D470" s="2" t="str">
        <f>_xlfn.XLOOKUP(B470,Master[Product_Code],Master[Brand])</f>
        <v>Locomotive</v>
      </c>
      <c r="E470" s="2" t="str">
        <f>_xlfn.XLOOKUP(B470,Master[Product_Code],Master[Style])</f>
        <v>Mom Fit</v>
      </c>
      <c r="F470" s="2" t="str">
        <f>_xlfn.XLOOKUP(B470,Master[Product_Code],Master[Fabric])</f>
        <v>Denim</v>
      </c>
      <c r="G470" s="2">
        <f>_xlfn.XLOOKUP(B470,Master[Product_Code],Master[Size])</f>
        <v>44</v>
      </c>
      <c r="H470" s="2" t="str">
        <f>_xlfn.XLOOKUP(B470,Master[Product_Code],Master[Color])</f>
        <v>Teal</v>
      </c>
      <c r="I470" s="4">
        <f>_xlfn.XLOOKUP(B470,Master[Product_Code],Master[Stock_Qty])</f>
        <v>3</v>
      </c>
      <c r="J470" s="6">
        <f>SUMIFS(
  Sales_Entry[Qty],
  Sales_Entry[Product_Code], Stock_Table[[#This Row],[Product_Code]]
)</f>
        <v>1</v>
      </c>
      <c r="K470" s="4">
        <f>SUMIFS(
  Exchange_Return[Qty],
  Exchange_Return[Product_Code], Stock_Table[[#This Row],[Product_Code]]
)</f>
        <v>0</v>
      </c>
      <c r="L470" s="4">
        <f>I470-J470+K470</f>
        <v>2</v>
      </c>
      <c r="M470" s="2" t="str" cm="1">
        <f t="array" ref="M470">_xlfn.IFS(L470=0,"Out of Stock",L470&gt;=2,"Limited Stock",L470&lt;2,"In Stock")</f>
        <v>Limited Stock</v>
      </c>
    </row>
    <row r="471" spans="2:13">
      <c r="B471" s="2" t="s">
        <v>1025</v>
      </c>
      <c r="C471" s="5" t="str">
        <f>_xlfn.XLOOKUP(B471,Master[Product_Code],Master[Category])</f>
        <v>Jeans</v>
      </c>
      <c r="D471" s="2" t="str">
        <f>_xlfn.XLOOKUP(B471,Master[Product_Code],Master[Brand])</f>
        <v>Wrangler</v>
      </c>
      <c r="E471" s="2" t="str">
        <f>_xlfn.XLOOKUP(B471,Master[Product_Code],Master[Style])</f>
        <v>Mom Fit</v>
      </c>
      <c r="F471" s="2" t="str">
        <f>_xlfn.XLOOKUP(B471,Master[Product_Code],Master[Fabric])</f>
        <v>Denim</v>
      </c>
      <c r="G471" s="2">
        <f>_xlfn.XLOOKUP(B471,Master[Product_Code],Master[Size])</f>
        <v>40</v>
      </c>
      <c r="H471" s="2" t="str">
        <f>_xlfn.XLOOKUP(B471,Master[Product_Code],Master[Color])</f>
        <v>Light Grey</v>
      </c>
      <c r="I471" s="4">
        <f>_xlfn.XLOOKUP(B471,Master[Product_Code],Master[Stock_Qty])</f>
        <v>6</v>
      </c>
      <c r="J471" s="6">
        <f>SUMIFS(
  Sales_Entry[Qty],
  Sales_Entry[Product_Code], Stock_Table[[#This Row],[Product_Code]]
)</f>
        <v>3</v>
      </c>
      <c r="K471" s="4">
        <f>SUMIFS(
  Exchange_Return[Qty],
  Exchange_Return[Product_Code], Stock_Table[[#This Row],[Product_Code]]
)</f>
        <v>0</v>
      </c>
      <c r="L471" s="4">
        <f>I471-J471+K471</f>
        <v>3</v>
      </c>
      <c r="M471" s="2" t="str" cm="1">
        <f t="array" ref="M471">_xlfn.IFS(L471=0,"Out of Stock",L471&gt;=2,"Limited Stock",L471&lt;2,"In Stock")</f>
        <v>Limited Stock</v>
      </c>
    </row>
    <row r="472" spans="2:13">
      <c r="B472" s="2" t="s">
        <v>1026</v>
      </c>
      <c r="C472" s="5" t="str">
        <f>_xlfn.XLOOKUP(B472,Master[Product_Code],Master[Category])</f>
        <v>Jeans</v>
      </c>
      <c r="D472" s="2" t="str">
        <f>_xlfn.XLOOKUP(B472,Master[Product_Code],Master[Brand])</f>
        <v>Wrangler</v>
      </c>
      <c r="E472" s="2" t="str">
        <f>_xlfn.XLOOKUP(B472,Master[Product_Code],Master[Style])</f>
        <v>Jogger</v>
      </c>
      <c r="F472" s="2" t="str">
        <f>_xlfn.XLOOKUP(B472,Master[Product_Code],Master[Fabric])</f>
        <v>Denim</v>
      </c>
      <c r="G472" s="2">
        <f>_xlfn.XLOOKUP(B472,Master[Product_Code],Master[Size])</f>
        <v>40</v>
      </c>
      <c r="H472" s="2" t="str">
        <f>_xlfn.XLOOKUP(B472,Master[Product_Code],Master[Color])</f>
        <v>Rust</v>
      </c>
      <c r="I472" s="4">
        <f>_xlfn.XLOOKUP(B472,Master[Product_Code],Master[Stock_Qty])</f>
        <v>6</v>
      </c>
      <c r="J472" s="6">
        <f>SUMIFS(
  Sales_Entry[Qty],
  Sales_Entry[Product_Code], Stock_Table[[#This Row],[Product_Code]]
)</f>
        <v>2</v>
      </c>
      <c r="K472" s="4">
        <f>SUMIFS(
  Exchange_Return[Qty],
  Exchange_Return[Product_Code], Stock_Table[[#This Row],[Product_Code]]
)</f>
        <v>0</v>
      </c>
      <c r="L472" s="4">
        <f>I472-J472+K472</f>
        <v>4</v>
      </c>
      <c r="M472" s="2" t="str" cm="1">
        <f t="array" ref="M472">_xlfn.IFS(L472=0,"Out of Stock",L472&gt;=2,"Limited Stock",L472&lt;2,"In Stock")</f>
        <v>Limited Stock</v>
      </c>
    </row>
    <row r="473" spans="2:13">
      <c r="B473" s="2" t="s">
        <v>1027</v>
      </c>
      <c r="C473" s="5" t="str">
        <f>_xlfn.XLOOKUP(B473,Master[Product_Code],Master[Category])</f>
        <v>Jeans</v>
      </c>
      <c r="D473" s="2" t="str">
        <f>_xlfn.XLOOKUP(B473,Master[Product_Code],Master[Brand])</f>
        <v>Spykar</v>
      </c>
      <c r="E473" s="2" t="str">
        <f>_xlfn.XLOOKUP(B473,Master[Product_Code],Master[Style])</f>
        <v>Jogger</v>
      </c>
      <c r="F473" s="2" t="str">
        <f>_xlfn.XLOOKUP(B473,Master[Product_Code],Master[Fabric])</f>
        <v>Denim</v>
      </c>
      <c r="G473" s="2">
        <f>_xlfn.XLOOKUP(B473,Master[Product_Code],Master[Size])</f>
        <v>42</v>
      </c>
      <c r="H473" s="2" t="str">
        <f>_xlfn.XLOOKUP(B473,Master[Product_Code],Master[Color])</f>
        <v>Maroon</v>
      </c>
      <c r="I473" s="4">
        <f>_xlfn.XLOOKUP(B473,Master[Product_Code],Master[Stock_Qty])</f>
        <v>4</v>
      </c>
      <c r="J473" s="6">
        <f>SUMIFS(
  Sales_Entry[Qty],
  Sales_Entry[Product_Code], Stock_Table[[#This Row],[Product_Code]]
)</f>
        <v>2</v>
      </c>
      <c r="K473" s="4">
        <f>SUMIFS(
  Exchange_Return[Qty],
  Exchange_Return[Product_Code], Stock_Table[[#This Row],[Product_Code]]
)</f>
        <v>0</v>
      </c>
      <c r="L473" s="4">
        <f>I473-J473+K473</f>
        <v>2</v>
      </c>
      <c r="M473" s="2" t="str" cm="1">
        <f t="array" ref="M473">_xlfn.IFS(L473=0,"Out of Stock",L473&gt;=2,"Limited Stock",L473&lt;2,"In Stock")</f>
        <v>Limited Stock</v>
      </c>
    </row>
    <row r="474" spans="2:13">
      <c r="B474" s="2" t="s">
        <v>1028</v>
      </c>
      <c r="C474" s="5" t="str">
        <f>_xlfn.XLOOKUP(B474,Master[Product_Code],Master[Category])</f>
        <v>Jeans</v>
      </c>
      <c r="D474" s="2" t="str">
        <f>_xlfn.XLOOKUP(B474,Master[Product_Code],Master[Brand])</f>
        <v>Levis</v>
      </c>
      <c r="E474" s="2" t="str">
        <f>_xlfn.XLOOKUP(B474,Master[Product_Code],Master[Style])</f>
        <v>Baggy</v>
      </c>
      <c r="F474" s="2" t="str">
        <f>_xlfn.XLOOKUP(B474,Master[Product_Code],Master[Fabric])</f>
        <v>Denim</v>
      </c>
      <c r="G474" s="2">
        <f>_xlfn.XLOOKUP(B474,Master[Product_Code],Master[Size])</f>
        <v>32</v>
      </c>
      <c r="H474" s="2" t="str">
        <f>_xlfn.XLOOKUP(B474,Master[Product_Code],Master[Color])</f>
        <v>Brown</v>
      </c>
      <c r="I474" s="4">
        <f>_xlfn.XLOOKUP(B474,Master[Product_Code],Master[Stock_Qty])</f>
        <v>4</v>
      </c>
      <c r="J474" s="6">
        <f>SUMIFS(
  Sales_Entry[Qty],
  Sales_Entry[Product_Code], Stock_Table[[#This Row],[Product_Code]]
)</f>
        <v>2</v>
      </c>
      <c r="K474" s="4">
        <f>SUMIFS(
  Exchange_Return[Qty],
  Exchange_Return[Product_Code], Stock_Table[[#This Row],[Product_Code]]
)</f>
        <v>0</v>
      </c>
      <c r="L474" s="4">
        <f>I474-J474+K474</f>
        <v>2</v>
      </c>
      <c r="M474" s="2" t="str" cm="1">
        <f t="array" ref="M474">_xlfn.IFS(L474=0,"Out of Stock",L474&gt;=2,"Limited Stock",L474&lt;2,"In Stock")</f>
        <v>Limited Stock</v>
      </c>
    </row>
    <row r="475" spans="2:13">
      <c r="B475" s="2" t="s">
        <v>1029</v>
      </c>
      <c r="C475" s="5" t="str">
        <f>_xlfn.XLOOKUP(B475,Master[Product_Code],Master[Category])</f>
        <v>Jeans</v>
      </c>
      <c r="D475" s="2" t="str">
        <f>_xlfn.XLOOKUP(B475,Master[Product_Code],Master[Brand])</f>
        <v>Pepe</v>
      </c>
      <c r="E475" s="2" t="str">
        <f>_xlfn.XLOOKUP(B475,Master[Product_Code],Master[Style])</f>
        <v>Mom Fit</v>
      </c>
      <c r="F475" s="2" t="str">
        <f>_xlfn.XLOOKUP(B475,Master[Product_Code],Master[Fabric])</f>
        <v>Denim</v>
      </c>
      <c r="G475" s="2">
        <f>_xlfn.XLOOKUP(B475,Master[Product_Code],Master[Size])</f>
        <v>32</v>
      </c>
      <c r="H475" s="2" t="str">
        <f>_xlfn.XLOOKUP(B475,Master[Product_Code],Master[Color])</f>
        <v>Peach</v>
      </c>
      <c r="I475" s="4">
        <f>_xlfn.XLOOKUP(B475,Master[Product_Code],Master[Stock_Qty])</f>
        <v>6</v>
      </c>
      <c r="J475" s="6">
        <f>SUMIFS(
  Sales_Entry[Qty],
  Sales_Entry[Product_Code], Stock_Table[[#This Row],[Product_Code]]
)</f>
        <v>0</v>
      </c>
      <c r="K475" s="4">
        <f>SUMIFS(
  Exchange_Return[Qty],
  Exchange_Return[Product_Code], Stock_Table[[#This Row],[Product_Code]]
)</f>
        <v>0</v>
      </c>
      <c r="L475" s="4">
        <f>I475-J475+K475</f>
        <v>6</v>
      </c>
      <c r="M475" s="2" t="str" cm="1">
        <f t="array" ref="M475">_xlfn.IFS(L475=0,"Out of Stock",L475&gt;=2,"Limited Stock",L475&lt;2,"In Stock")</f>
        <v>Limited Stock</v>
      </c>
    </row>
    <row r="476" spans="2:13">
      <c r="B476" s="2" t="s">
        <v>1030</v>
      </c>
      <c r="C476" s="5" t="str">
        <f>_xlfn.XLOOKUP(B476,Master[Product_Code],Master[Category])</f>
        <v>Jeans</v>
      </c>
      <c r="D476" s="2" t="str">
        <f>_xlfn.XLOOKUP(B476,Master[Product_Code],Master[Brand])</f>
        <v>Pepe</v>
      </c>
      <c r="E476" s="2" t="str">
        <f>_xlfn.XLOOKUP(B476,Master[Product_Code],Master[Style])</f>
        <v>Mom Fit</v>
      </c>
      <c r="F476" s="2" t="str">
        <f>_xlfn.XLOOKUP(B476,Master[Product_Code],Master[Fabric])</f>
        <v>Denim</v>
      </c>
      <c r="G476" s="2">
        <f>_xlfn.XLOOKUP(B476,Master[Product_Code],Master[Size])</f>
        <v>42</v>
      </c>
      <c r="H476" s="2" t="str">
        <f>_xlfn.XLOOKUP(B476,Master[Product_Code],Master[Color])</f>
        <v>Royal Blue</v>
      </c>
      <c r="I476" s="4">
        <f>_xlfn.XLOOKUP(B476,Master[Product_Code],Master[Stock_Qty])</f>
        <v>6</v>
      </c>
      <c r="J476" s="6">
        <f>SUMIFS(
  Sales_Entry[Qty],
  Sales_Entry[Product_Code], Stock_Table[[#This Row],[Product_Code]]
)</f>
        <v>4</v>
      </c>
      <c r="K476" s="4">
        <f>SUMIFS(
  Exchange_Return[Qty],
  Exchange_Return[Product_Code], Stock_Table[[#This Row],[Product_Code]]
)</f>
        <v>0</v>
      </c>
      <c r="L476" s="4">
        <f>I476-J476+K476</f>
        <v>2</v>
      </c>
      <c r="M476" s="2" t="str" cm="1">
        <f t="array" ref="M476">_xlfn.IFS(L476=0,"Out of Stock",L476&gt;=2,"Limited Stock",L476&lt;2,"In Stock")</f>
        <v>Limited Stock</v>
      </c>
    </row>
    <row r="477" spans="2:13">
      <c r="B477" s="2" t="s">
        <v>1031</v>
      </c>
      <c r="C477" s="5" t="str">
        <f>_xlfn.XLOOKUP(B477,Master[Product_Code],Master[Category])</f>
        <v>Jeans</v>
      </c>
      <c r="D477" s="2" t="str">
        <f>_xlfn.XLOOKUP(B477,Master[Product_Code],Master[Brand])</f>
        <v>Spykar</v>
      </c>
      <c r="E477" s="2" t="str">
        <f>_xlfn.XLOOKUP(B477,Master[Product_Code],Master[Style])</f>
        <v>Baggy</v>
      </c>
      <c r="F477" s="2" t="str">
        <f>_xlfn.XLOOKUP(B477,Master[Product_Code],Master[Fabric])</f>
        <v>Denim</v>
      </c>
      <c r="G477" s="2">
        <f>_xlfn.XLOOKUP(B477,Master[Product_Code],Master[Size])</f>
        <v>44</v>
      </c>
      <c r="H477" s="2" t="str">
        <f>_xlfn.XLOOKUP(B477,Master[Product_Code],Master[Color])</f>
        <v>Cream</v>
      </c>
      <c r="I477" s="4">
        <f>_xlfn.XLOOKUP(B477,Master[Product_Code],Master[Stock_Qty])</f>
        <v>6</v>
      </c>
      <c r="J477" s="6">
        <f>SUMIFS(
  Sales_Entry[Qty],
  Sales_Entry[Product_Code], Stock_Table[[#This Row],[Product_Code]]
)</f>
        <v>4</v>
      </c>
      <c r="K477" s="4">
        <f>SUMIFS(
  Exchange_Return[Qty],
  Exchange_Return[Product_Code], Stock_Table[[#This Row],[Product_Code]]
)</f>
        <v>0</v>
      </c>
      <c r="L477" s="4">
        <f>I477-J477+K477</f>
        <v>2</v>
      </c>
      <c r="M477" s="2" t="str" cm="1">
        <f t="array" ref="M477">_xlfn.IFS(L477=0,"Out of Stock",L477&gt;=2,"Limited Stock",L477&lt;2,"In Stock")</f>
        <v>Limited Stock</v>
      </c>
    </row>
    <row r="478" spans="2:13">
      <c r="B478" s="2" t="s">
        <v>1032</v>
      </c>
      <c r="C478" s="5" t="str">
        <f>_xlfn.XLOOKUP(B478,Master[Product_Code],Master[Category])</f>
        <v>Jeans</v>
      </c>
      <c r="D478" s="2" t="str">
        <f>_xlfn.XLOOKUP(B478,Master[Product_Code],Master[Brand])</f>
        <v>Spykar</v>
      </c>
      <c r="E478" s="2" t="str">
        <f>_xlfn.XLOOKUP(B478,Master[Product_Code],Master[Style])</f>
        <v>Mom Fit</v>
      </c>
      <c r="F478" s="2" t="str">
        <f>_xlfn.XLOOKUP(B478,Master[Product_Code],Master[Fabric])</f>
        <v>Denim</v>
      </c>
      <c r="G478" s="2">
        <f>_xlfn.XLOOKUP(B478,Master[Product_Code],Master[Size])</f>
        <v>28</v>
      </c>
      <c r="H478" s="2" t="str">
        <f>_xlfn.XLOOKUP(B478,Master[Product_Code],Master[Color])</f>
        <v>Light Grey</v>
      </c>
      <c r="I478" s="4">
        <f>_xlfn.XLOOKUP(B478,Master[Product_Code],Master[Stock_Qty])</f>
        <v>6</v>
      </c>
      <c r="J478" s="6">
        <f>SUMIFS(
  Sales_Entry[Qty],
  Sales_Entry[Product_Code], Stock_Table[[#This Row],[Product_Code]]
)</f>
        <v>2</v>
      </c>
      <c r="K478" s="4">
        <f>SUMIFS(
  Exchange_Return[Qty],
  Exchange_Return[Product_Code], Stock_Table[[#This Row],[Product_Code]]
)</f>
        <v>0</v>
      </c>
      <c r="L478" s="4">
        <f>I478-J478+K478</f>
        <v>4</v>
      </c>
      <c r="M478" s="2" t="str" cm="1">
        <f t="array" ref="M478">_xlfn.IFS(L478=0,"Out of Stock",L478&gt;=2,"Limited Stock",L478&lt;2,"In Stock")</f>
        <v>Limited Stock</v>
      </c>
    </row>
    <row r="479" spans="2:13">
      <c r="B479" s="2" t="s">
        <v>1033</v>
      </c>
      <c r="C479" s="5" t="str">
        <f>_xlfn.XLOOKUP(B479,Master[Product_Code],Master[Category])</f>
        <v>Jeans</v>
      </c>
      <c r="D479" s="2" t="str">
        <f>_xlfn.XLOOKUP(B479,Master[Product_Code],Master[Brand])</f>
        <v>Denim Pro</v>
      </c>
      <c r="E479" s="2" t="str">
        <f>_xlfn.XLOOKUP(B479,Master[Product_Code],Master[Style])</f>
        <v>Mom Fit</v>
      </c>
      <c r="F479" s="2" t="str">
        <f>_xlfn.XLOOKUP(B479,Master[Product_Code],Master[Fabric])</f>
        <v>Denim</v>
      </c>
      <c r="G479" s="2">
        <f>_xlfn.XLOOKUP(B479,Master[Product_Code],Master[Size])</f>
        <v>40</v>
      </c>
      <c r="H479" s="2" t="str">
        <f>_xlfn.XLOOKUP(B479,Master[Product_Code],Master[Color])</f>
        <v>Dark Green</v>
      </c>
      <c r="I479" s="4">
        <f>_xlfn.XLOOKUP(B479,Master[Product_Code],Master[Stock_Qty])</f>
        <v>5</v>
      </c>
      <c r="J479" s="6">
        <f>SUMIFS(
  Sales_Entry[Qty],
  Sales_Entry[Product_Code], Stock_Table[[#This Row],[Product_Code]]
)</f>
        <v>1</v>
      </c>
      <c r="K479" s="4">
        <f>SUMIFS(
  Exchange_Return[Qty],
  Exchange_Return[Product_Code], Stock_Table[[#This Row],[Product_Code]]
)</f>
        <v>0</v>
      </c>
      <c r="L479" s="4">
        <f>I479-J479+K479</f>
        <v>4</v>
      </c>
      <c r="M479" s="2" t="str" cm="1">
        <f t="array" ref="M479">_xlfn.IFS(L479=0,"Out of Stock",L479&gt;=2,"Limited Stock",L479&lt;2,"In Stock")</f>
        <v>Limited Stock</v>
      </c>
    </row>
    <row r="480" spans="2:13">
      <c r="B480" s="2" t="s">
        <v>1034</v>
      </c>
      <c r="C480" s="5" t="str">
        <f>_xlfn.XLOOKUP(B480,Master[Product_Code],Master[Category])</f>
        <v>Jeans</v>
      </c>
      <c r="D480" s="2" t="str">
        <f>_xlfn.XLOOKUP(B480,Master[Product_Code],Master[Brand])</f>
        <v>Pepe</v>
      </c>
      <c r="E480" s="2" t="str">
        <f>_xlfn.XLOOKUP(B480,Master[Product_Code],Master[Style])</f>
        <v>Jogger</v>
      </c>
      <c r="F480" s="2" t="str">
        <f>_xlfn.XLOOKUP(B480,Master[Product_Code],Master[Fabric])</f>
        <v>Denim</v>
      </c>
      <c r="G480" s="2">
        <f>_xlfn.XLOOKUP(B480,Master[Product_Code],Master[Size])</f>
        <v>38</v>
      </c>
      <c r="H480" s="2" t="str">
        <f>_xlfn.XLOOKUP(B480,Master[Product_Code],Master[Color])</f>
        <v>Sky Blue</v>
      </c>
      <c r="I480" s="4">
        <f>_xlfn.XLOOKUP(B480,Master[Product_Code],Master[Stock_Qty])</f>
        <v>6</v>
      </c>
      <c r="J480" s="6">
        <f>SUMIFS(
  Sales_Entry[Qty],
  Sales_Entry[Product_Code], Stock_Table[[#This Row],[Product_Code]]
)</f>
        <v>2</v>
      </c>
      <c r="K480" s="4">
        <f>SUMIFS(
  Exchange_Return[Qty],
  Exchange_Return[Product_Code], Stock_Table[[#This Row],[Product_Code]]
)</f>
        <v>0</v>
      </c>
      <c r="L480" s="4">
        <f>I480-J480+K480</f>
        <v>4</v>
      </c>
      <c r="M480" s="2" t="str" cm="1">
        <f t="array" ref="M480">_xlfn.IFS(L480=0,"Out of Stock",L480&gt;=2,"Limited Stock",L480&lt;2,"In Stock")</f>
        <v>Limited Stock</v>
      </c>
    </row>
    <row r="481" spans="2:13">
      <c r="B481" s="2" t="s">
        <v>1035</v>
      </c>
      <c r="C481" s="5" t="str">
        <f>_xlfn.XLOOKUP(B481,Master[Product_Code],Master[Category])</f>
        <v>Jeans</v>
      </c>
      <c r="D481" s="2" t="str">
        <f>_xlfn.XLOOKUP(B481,Master[Product_Code],Master[Brand])</f>
        <v>Pepe</v>
      </c>
      <c r="E481" s="2" t="str">
        <f>_xlfn.XLOOKUP(B481,Master[Product_Code],Master[Style])</f>
        <v>Mom Fit</v>
      </c>
      <c r="F481" s="2" t="str">
        <f>_xlfn.XLOOKUP(B481,Master[Product_Code],Master[Fabric])</f>
        <v>Denim</v>
      </c>
      <c r="G481" s="2">
        <f>_xlfn.XLOOKUP(B481,Master[Product_Code],Master[Size])</f>
        <v>42</v>
      </c>
      <c r="H481" s="2" t="str">
        <f>_xlfn.XLOOKUP(B481,Master[Product_Code],Master[Color])</f>
        <v>Wine</v>
      </c>
      <c r="I481" s="4">
        <f>_xlfn.XLOOKUP(B481,Master[Product_Code],Master[Stock_Qty])</f>
        <v>3</v>
      </c>
      <c r="J481" s="6">
        <f>SUMIFS(
  Sales_Entry[Qty],
  Sales_Entry[Product_Code], Stock_Table[[#This Row],[Product_Code]]
)</f>
        <v>3</v>
      </c>
      <c r="K481" s="4">
        <f>SUMIFS(
  Exchange_Return[Qty],
  Exchange_Return[Product_Code], Stock_Table[[#This Row],[Product_Code]]
)</f>
        <v>0</v>
      </c>
      <c r="L481" s="4">
        <f>I481-J481+K481</f>
        <v>0</v>
      </c>
      <c r="M481" s="2" t="str" cm="1">
        <f t="array" ref="M481">_xlfn.IFS(L481=0,"Out of Stock",L481&gt;=2,"Limited Stock",L481&lt;2,"In Stock")</f>
        <v>Out of Stock</v>
      </c>
    </row>
    <row r="482" spans="2:13">
      <c r="B482" s="2" t="s">
        <v>1036</v>
      </c>
      <c r="C482" s="5" t="str">
        <f>_xlfn.XLOOKUP(B482,Master[Product_Code],Master[Category])</f>
        <v>Jeans</v>
      </c>
      <c r="D482" s="2" t="str">
        <f>_xlfn.XLOOKUP(B482,Master[Product_Code],Master[Brand])</f>
        <v>Locomotive</v>
      </c>
      <c r="E482" s="2" t="str">
        <f>_xlfn.XLOOKUP(B482,Master[Product_Code],Master[Style])</f>
        <v>Mom Fit</v>
      </c>
      <c r="F482" s="2" t="str">
        <f>_xlfn.XLOOKUP(B482,Master[Product_Code],Master[Fabric])</f>
        <v>Denim</v>
      </c>
      <c r="G482" s="2">
        <f>_xlfn.XLOOKUP(B482,Master[Product_Code],Master[Size])</f>
        <v>42</v>
      </c>
      <c r="H482" s="2" t="str">
        <f>_xlfn.XLOOKUP(B482,Master[Product_Code],Master[Color])</f>
        <v>Navy Blue</v>
      </c>
      <c r="I482" s="4">
        <f>_xlfn.XLOOKUP(B482,Master[Product_Code],Master[Stock_Qty])</f>
        <v>5</v>
      </c>
      <c r="J482" s="6">
        <f>SUMIFS(
  Sales_Entry[Qty],
  Sales_Entry[Product_Code], Stock_Table[[#This Row],[Product_Code]]
)</f>
        <v>2</v>
      </c>
      <c r="K482" s="4">
        <f>SUMIFS(
  Exchange_Return[Qty],
  Exchange_Return[Product_Code], Stock_Table[[#This Row],[Product_Code]]
)</f>
        <v>0</v>
      </c>
      <c r="L482" s="4">
        <f>I482-J482+K482</f>
        <v>3</v>
      </c>
      <c r="M482" s="2" t="str" cm="1">
        <f t="array" ref="M482">_xlfn.IFS(L482=0,"Out of Stock",L482&gt;=2,"Limited Stock",L482&lt;2,"In Stock")</f>
        <v>Limited Stock</v>
      </c>
    </row>
    <row r="483" spans="2:13">
      <c r="B483" s="2" t="s">
        <v>1037</v>
      </c>
      <c r="C483" s="5" t="str">
        <f>_xlfn.XLOOKUP(B483,Master[Product_Code],Master[Category])</f>
        <v>Jeans</v>
      </c>
      <c r="D483" s="2" t="str">
        <f>_xlfn.XLOOKUP(B483,Master[Product_Code],Master[Brand])</f>
        <v>Pepe</v>
      </c>
      <c r="E483" s="2" t="str">
        <f>_xlfn.XLOOKUP(B483,Master[Product_Code],Master[Style])</f>
        <v>Baggy</v>
      </c>
      <c r="F483" s="2" t="str">
        <f>_xlfn.XLOOKUP(B483,Master[Product_Code],Master[Fabric])</f>
        <v>Denim</v>
      </c>
      <c r="G483" s="2">
        <f>_xlfn.XLOOKUP(B483,Master[Product_Code],Master[Size])</f>
        <v>42</v>
      </c>
      <c r="H483" s="2" t="str">
        <f>_xlfn.XLOOKUP(B483,Master[Product_Code],Master[Color])</f>
        <v>Cream</v>
      </c>
      <c r="I483" s="4">
        <f>_xlfn.XLOOKUP(B483,Master[Product_Code],Master[Stock_Qty])</f>
        <v>6</v>
      </c>
      <c r="J483" s="6">
        <f>SUMIFS(
  Sales_Entry[Qty],
  Sales_Entry[Product_Code], Stock_Table[[#This Row],[Product_Code]]
)</f>
        <v>0</v>
      </c>
      <c r="K483" s="4">
        <f>SUMIFS(
  Exchange_Return[Qty],
  Exchange_Return[Product_Code], Stock_Table[[#This Row],[Product_Code]]
)</f>
        <v>0</v>
      </c>
      <c r="L483" s="4">
        <f>I483-J483+K483</f>
        <v>6</v>
      </c>
      <c r="M483" s="2" t="str" cm="1">
        <f t="array" ref="M483">_xlfn.IFS(L483=0,"Out of Stock",L483&gt;=2,"Limited Stock",L483&lt;2,"In Stock")</f>
        <v>Limited Stock</v>
      </c>
    </row>
    <row r="484" spans="2:13">
      <c r="B484" s="2" t="s">
        <v>1038</v>
      </c>
      <c r="C484" s="5" t="str">
        <f>_xlfn.XLOOKUP(B484,Master[Product_Code],Master[Category])</f>
        <v>Jeans</v>
      </c>
      <c r="D484" s="2" t="str">
        <f>_xlfn.XLOOKUP(B484,Master[Product_Code],Master[Brand])</f>
        <v>Denim Pro</v>
      </c>
      <c r="E484" s="2" t="str">
        <f>_xlfn.XLOOKUP(B484,Master[Product_Code],Master[Style])</f>
        <v>Baggy</v>
      </c>
      <c r="F484" s="2" t="str">
        <f>_xlfn.XLOOKUP(B484,Master[Product_Code],Master[Fabric])</f>
        <v>Denim</v>
      </c>
      <c r="G484" s="2">
        <f>_xlfn.XLOOKUP(B484,Master[Product_Code],Master[Size])</f>
        <v>38</v>
      </c>
      <c r="H484" s="2" t="str">
        <f>_xlfn.XLOOKUP(B484,Master[Product_Code],Master[Color])</f>
        <v>Brown</v>
      </c>
      <c r="I484" s="4">
        <f>_xlfn.XLOOKUP(B484,Master[Product_Code],Master[Stock_Qty])</f>
        <v>5</v>
      </c>
      <c r="J484" s="6">
        <f>SUMIFS(
  Sales_Entry[Qty],
  Sales_Entry[Product_Code], Stock_Table[[#This Row],[Product_Code]]
)</f>
        <v>3</v>
      </c>
      <c r="K484" s="4">
        <f>SUMIFS(
  Exchange_Return[Qty],
  Exchange_Return[Product_Code], Stock_Table[[#This Row],[Product_Code]]
)</f>
        <v>0</v>
      </c>
      <c r="L484" s="4">
        <f>I484-J484+K484</f>
        <v>2</v>
      </c>
      <c r="M484" s="2" t="str" cm="1">
        <f t="array" ref="M484">_xlfn.IFS(L484=0,"Out of Stock",L484&gt;=2,"Limited Stock",L484&lt;2,"In Stock")</f>
        <v>Limited Stock</v>
      </c>
    </row>
    <row r="485" spans="2:13">
      <c r="B485" s="2" t="s">
        <v>1039</v>
      </c>
      <c r="C485" s="5" t="str">
        <f>_xlfn.XLOOKUP(B485,Master[Product_Code],Master[Category])</f>
        <v>Jeans</v>
      </c>
      <c r="D485" s="2" t="str">
        <f>_xlfn.XLOOKUP(B485,Master[Product_Code],Master[Brand])</f>
        <v>Pepe</v>
      </c>
      <c r="E485" s="2" t="str">
        <f>_xlfn.XLOOKUP(B485,Master[Product_Code],Master[Style])</f>
        <v>Jogger</v>
      </c>
      <c r="F485" s="2" t="str">
        <f>_xlfn.XLOOKUP(B485,Master[Product_Code],Master[Fabric])</f>
        <v>Denim</v>
      </c>
      <c r="G485" s="2">
        <f>_xlfn.XLOOKUP(B485,Master[Product_Code],Master[Size])</f>
        <v>36</v>
      </c>
      <c r="H485" s="2" t="str">
        <f>_xlfn.XLOOKUP(B485,Master[Product_Code],Master[Color])</f>
        <v>White</v>
      </c>
      <c r="I485" s="4">
        <f>_xlfn.XLOOKUP(B485,Master[Product_Code],Master[Stock_Qty])</f>
        <v>6</v>
      </c>
      <c r="J485" s="6">
        <f>SUMIFS(
  Sales_Entry[Qty],
  Sales_Entry[Product_Code], Stock_Table[[#This Row],[Product_Code]]
)</f>
        <v>0</v>
      </c>
      <c r="K485" s="4">
        <f>SUMIFS(
  Exchange_Return[Qty],
  Exchange_Return[Product_Code], Stock_Table[[#This Row],[Product_Code]]
)</f>
        <v>0</v>
      </c>
      <c r="L485" s="4">
        <f>I485-J485+K485</f>
        <v>6</v>
      </c>
      <c r="M485" s="2" t="str" cm="1">
        <f t="array" ref="M485">_xlfn.IFS(L485=0,"Out of Stock",L485&gt;=2,"Limited Stock",L485&lt;2,"In Stock")</f>
        <v>Limited Stock</v>
      </c>
    </row>
    <row r="486" spans="2:13">
      <c r="B486" s="2" t="s">
        <v>1040</v>
      </c>
      <c r="C486" s="5" t="str">
        <f>_xlfn.XLOOKUP(B486,Master[Product_Code],Master[Category])</f>
        <v>Jeans</v>
      </c>
      <c r="D486" s="2" t="str">
        <f>_xlfn.XLOOKUP(B486,Master[Product_Code],Master[Brand])</f>
        <v>Spykar</v>
      </c>
      <c r="E486" s="2" t="str">
        <f>_xlfn.XLOOKUP(B486,Master[Product_Code],Master[Style])</f>
        <v>Jogger</v>
      </c>
      <c r="F486" s="2" t="str">
        <f>_xlfn.XLOOKUP(B486,Master[Product_Code],Master[Fabric])</f>
        <v>Denim</v>
      </c>
      <c r="G486" s="2">
        <f>_xlfn.XLOOKUP(B486,Master[Product_Code],Master[Size])</f>
        <v>36</v>
      </c>
      <c r="H486" s="2" t="str">
        <f>_xlfn.XLOOKUP(B486,Master[Product_Code],Master[Color])</f>
        <v>Royal Blue</v>
      </c>
      <c r="I486" s="4">
        <f>_xlfn.XLOOKUP(B486,Master[Product_Code],Master[Stock_Qty])</f>
        <v>3</v>
      </c>
      <c r="J486" s="6">
        <f>SUMIFS(
  Sales_Entry[Qty],
  Sales_Entry[Product_Code], Stock_Table[[#This Row],[Product_Code]]
)</f>
        <v>0</v>
      </c>
      <c r="K486" s="4">
        <f>SUMIFS(
  Exchange_Return[Qty],
  Exchange_Return[Product_Code], Stock_Table[[#This Row],[Product_Code]]
)</f>
        <v>0</v>
      </c>
      <c r="L486" s="4">
        <f>I486-J486+K486</f>
        <v>3</v>
      </c>
      <c r="M486" s="2" t="str" cm="1">
        <f t="array" ref="M486">_xlfn.IFS(L486=0,"Out of Stock",L486&gt;=2,"Limited Stock",L486&lt;2,"In Stock")</f>
        <v>Limited Stock</v>
      </c>
    </row>
    <row r="487" spans="2:13">
      <c r="B487" s="2" t="s">
        <v>1041</v>
      </c>
      <c r="C487" s="5" t="str">
        <f>_xlfn.XLOOKUP(B487,Master[Product_Code],Master[Category])</f>
        <v>Jeans</v>
      </c>
      <c r="D487" s="2" t="str">
        <f>_xlfn.XLOOKUP(B487,Master[Product_Code],Master[Brand])</f>
        <v>Levis</v>
      </c>
      <c r="E487" s="2" t="str">
        <f>_xlfn.XLOOKUP(B487,Master[Product_Code],Master[Style])</f>
        <v>Mom Fit</v>
      </c>
      <c r="F487" s="2" t="str">
        <f>_xlfn.XLOOKUP(B487,Master[Product_Code],Master[Fabric])</f>
        <v>Denim</v>
      </c>
      <c r="G487" s="2">
        <f>_xlfn.XLOOKUP(B487,Master[Product_Code],Master[Size])</f>
        <v>44</v>
      </c>
      <c r="H487" s="2" t="str">
        <f>_xlfn.XLOOKUP(B487,Master[Product_Code],Master[Color])</f>
        <v>Navy Blue</v>
      </c>
      <c r="I487" s="4">
        <f>_xlfn.XLOOKUP(B487,Master[Product_Code],Master[Stock_Qty])</f>
        <v>5</v>
      </c>
      <c r="J487" s="6">
        <f>SUMIFS(
  Sales_Entry[Qty],
  Sales_Entry[Product_Code], Stock_Table[[#This Row],[Product_Code]]
)</f>
        <v>4</v>
      </c>
      <c r="K487" s="4">
        <f>SUMIFS(
  Exchange_Return[Qty],
  Exchange_Return[Product_Code], Stock_Table[[#This Row],[Product_Code]]
)</f>
        <v>0</v>
      </c>
      <c r="L487" s="4">
        <f>I487-J487+K487</f>
        <v>1</v>
      </c>
      <c r="M487" s="2" t="str" cm="1">
        <f t="array" ref="M487">_xlfn.IFS(L487=0,"Out of Stock",L487&gt;=2,"Limited Stock",L487&lt;2,"In Stock")</f>
        <v>In Stock</v>
      </c>
    </row>
    <row r="488" spans="2:13">
      <c r="B488" s="2" t="s">
        <v>1042</v>
      </c>
      <c r="C488" s="5" t="str">
        <f>_xlfn.XLOOKUP(B488,Master[Product_Code],Master[Category])</f>
        <v>Jeans</v>
      </c>
      <c r="D488" s="2" t="str">
        <f>_xlfn.XLOOKUP(B488,Master[Product_Code],Master[Brand])</f>
        <v>Spykar</v>
      </c>
      <c r="E488" s="2" t="str">
        <f>_xlfn.XLOOKUP(B488,Master[Product_Code],Master[Style])</f>
        <v>Jogger</v>
      </c>
      <c r="F488" s="2" t="str">
        <f>_xlfn.XLOOKUP(B488,Master[Product_Code],Master[Fabric])</f>
        <v>Denim</v>
      </c>
      <c r="G488" s="2">
        <f>_xlfn.XLOOKUP(B488,Master[Product_Code],Master[Size])</f>
        <v>36</v>
      </c>
      <c r="H488" s="2" t="str">
        <f>_xlfn.XLOOKUP(B488,Master[Product_Code],Master[Color])</f>
        <v>Beige</v>
      </c>
      <c r="I488" s="4">
        <f>_xlfn.XLOOKUP(B488,Master[Product_Code],Master[Stock_Qty])</f>
        <v>3</v>
      </c>
      <c r="J488" s="6">
        <f>SUMIFS(
  Sales_Entry[Qty],
  Sales_Entry[Product_Code], Stock_Table[[#This Row],[Product_Code]]
)</f>
        <v>0</v>
      </c>
      <c r="K488" s="4">
        <f>SUMIFS(
  Exchange_Return[Qty],
  Exchange_Return[Product_Code], Stock_Table[[#This Row],[Product_Code]]
)</f>
        <v>0</v>
      </c>
      <c r="L488" s="4">
        <f>I488-J488+K488</f>
        <v>3</v>
      </c>
      <c r="M488" s="2" t="str" cm="1">
        <f t="array" ref="M488">_xlfn.IFS(L488=0,"Out of Stock",L488&gt;=2,"Limited Stock",L488&lt;2,"In Stock")</f>
        <v>Limited Stock</v>
      </c>
    </row>
    <row r="489" spans="2:13">
      <c r="B489" s="2" t="s">
        <v>1043</v>
      </c>
      <c r="C489" s="5" t="str">
        <f>_xlfn.XLOOKUP(B489,Master[Product_Code],Master[Category])</f>
        <v>Jeans</v>
      </c>
      <c r="D489" s="2" t="str">
        <f>_xlfn.XLOOKUP(B489,Master[Product_Code],Master[Brand])</f>
        <v>Pepe</v>
      </c>
      <c r="E489" s="2" t="str">
        <f>_xlfn.XLOOKUP(B489,Master[Product_Code],Master[Style])</f>
        <v>Jogger</v>
      </c>
      <c r="F489" s="2" t="str">
        <f>_xlfn.XLOOKUP(B489,Master[Product_Code],Master[Fabric])</f>
        <v>Denim</v>
      </c>
      <c r="G489" s="2">
        <f>_xlfn.XLOOKUP(B489,Master[Product_Code],Master[Size])</f>
        <v>32</v>
      </c>
      <c r="H489" s="2" t="str">
        <f>_xlfn.XLOOKUP(B489,Master[Product_Code],Master[Color])</f>
        <v>Cream</v>
      </c>
      <c r="I489" s="4">
        <f>_xlfn.XLOOKUP(B489,Master[Product_Code],Master[Stock_Qty])</f>
        <v>5</v>
      </c>
      <c r="J489" s="6">
        <f>SUMIFS(
  Sales_Entry[Qty],
  Sales_Entry[Product_Code], Stock_Table[[#This Row],[Product_Code]]
)</f>
        <v>1</v>
      </c>
      <c r="K489" s="4">
        <f>SUMIFS(
  Exchange_Return[Qty],
  Exchange_Return[Product_Code], Stock_Table[[#This Row],[Product_Code]]
)</f>
        <v>0</v>
      </c>
      <c r="L489" s="4">
        <f>I489-J489+K489</f>
        <v>4</v>
      </c>
      <c r="M489" s="2" t="str" cm="1">
        <f t="array" ref="M489">_xlfn.IFS(L489=0,"Out of Stock",L489&gt;=2,"Limited Stock",L489&lt;2,"In Stock")</f>
        <v>Limited Stock</v>
      </c>
    </row>
    <row r="490" spans="2:13">
      <c r="B490" s="2" t="s">
        <v>1044</v>
      </c>
      <c r="C490" s="5" t="str">
        <f>_xlfn.XLOOKUP(B490,Master[Product_Code],Master[Category])</f>
        <v>Jeans</v>
      </c>
      <c r="D490" s="2" t="str">
        <f>_xlfn.XLOOKUP(B490,Master[Product_Code],Master[Brand])</f>
        <v>Spykar</v>
      </c>
      <c r="E490" s="2" t="str">
        <f>_xlfn.XLOOKUP(B490,Master[Product_Code],Master[Style])</f>
        <v>Baggy</v>
      </c>
      <c r="F490" s="2" t="str">
        <f>_xlfn.XLOOKUP(B490,Master[Product_Code],Master[Fabric])</f>
        <v>Denim</v>
      </c>
      <c r="G490" s="2">
        <f>_xlfn.XLOOKUP(B490,Master[Product_Code],Master[Size])</f>
        <v>42</v>
      </c>
      <c r="H490" s="2" t="str">
        <f>_xlfn.XLOOKUP(B490,Master[Product_Code],Master[Color])</f>
        <v>Olive</v>
      </c>
      <c r="I490" s="4">
        <f>_xlfn.XLOOKUP(B490,Master[Product_Code],Master[Stock_Qty])</f>
        <v>3</v>
      </c>
      <c r="J490" s="6">
        <f>SUMIFS(
  Sales_Entry[Qty],
  Sales_Entry[Product_Code], Stock_Table[[#This Row],[Product_Code]]
)</f>
        <v>1</v>
      </c>
      <c r="K490" s="4">
        <f>SUMIFS(
  Exchange_Return[Qty],
  Exchange_Return[Product_Code], Stock_Table[[#This Row],[Product_Code]]
)</f>
        <v>0</v>
      </c>
      <c r="L490" s="4">
        <f>I490-J490+K490</f>
        <v>2</v>
      </c>
      <c r="M490" s="2" t="str" cm="1">
        <f t="array" ref="M490">_xlfn.IFS(L490=0,"Out of Stock",L490&gt;=2,"Limited Stock",L490&lt;2,"In Stock")</f>
        <v>Limited Stock</v>
      </c>
    </row>
    <row r="491" spans="2:13">
      <c r="B491" s="2" t="s">
        <v>1045</v>
      </c>
      <c r="C491" s="5" t="str">
        <f>_xlfn.XLOOKUP(B491,Master[Product_Code],Master[Category])</f>
        <v>Jeans</v>
      </c>
      <c r="D491" s="2" t="str">
        <f>_xlfn.XLOOKUP(B491,Master[Product_Code],Master[Brand])</f>
        <v>Pepe</v>
      </c>
      <c r="E491" s="2" t="str">
        <f>_xlfn.XLOOKUP(B491,Master[Product_Code],Master[Style])</f>
        <v>Mom Fit</v>
      </c>
      <c r="F491" s="2" t="str">
        <f>_xlfn.XLOOKUP(B491,Master[Product_Code],Master[Fabric])</f>
        <v>Denim</v>
      </c>
      <c r="G491" s="2">
        <f>_xlfn.XLOOKUP(B491,Master[Product_Code],Master[Size])</f>
        <v>42</v>
      </c>
      <c r="H491" s="2" t="str">
        <f>_xlfn.XLOOKUP(B491,Master[Product_Code],Master[Color])</f>
        <v>Bottle Green</v>
      </c>
      <c r="I491" s="4">
        <f>_xlfn.XLOOKUP(B491,Master[Product_Code],Master[Stock_Qty])</f>
        <v>6</v>
      </c>
      <c r="J491" s="6">
        <f>SUMIFS(
  Sales_Entry[Qty],
  Sales_Entry[Product_Code], Stock_Table[[#This Row],[Product_Code]]
)</f>
        <v>1</v>
      </c>
      <c r="K491" s="4">
        <f>SUMIFS(
  Exchange_Return[Qty],
  Exchange_Return[Product_Code], Stock_Table[[#This Row],[Product_Code]]
)</f>
        <v>0</v>
      </c>
      <c r="L491" s="4">
        <f>I491-J491+K491</f>
        <v>5</v>
      </c>
      <c r="M491" s="2" t="str" cm="1">
        <f t="array" ref="M491">_xlfn.IFS(L491=0,"Out of Stock",L491&gt;=2,"Limited Stock",L491&lt;2,"In Stock")</f>
        <v>Limited Stock</v>
      </c>
    </row>
    <row r="492" spans="2:13">
      <c r="B492" s="2" t="s">
        <v>1046</v>
      </c>
      <c r="C492" s="5" t="str">
        <f>_xlfn.XLOOKUP(B492,Master[Product_Code],Master[Category])</f>
        <v>Jeans</v>
      </c>
      <c r="D492" s="2" t="str">
        <f>_xlfn.XLOOKUP(B492,Master[Product_Code],Master[Brand])</f>
        <v>Denim Pro</v>
      </c>
      <c r="E492" s="2" t="str">
        <f>_xlfn.XLOOKUP(B492,Master[Product_Code],Master[Style])</f>
        <v>Baggy</v>
      </c>
      <c r="F492" s="2" t="str">
        <f>_xlfn.XLOOKUP(B492,Master[Product_Code],Master[Fabric])</f>
        <v>Denim</v>
      </c>
      <c r="G492" s="2">
        <f>_xlfn.XLOOKUP(B492,Master[Product_Code],Master[Size])</f>
        <v>34</v>
      </c>
      <c r="H492" s="2" t="str">
        <f>_xlfn.XLOOKUP(B492,Master[Product_Code],Master[Color])</f>
        <v>Light Grey</v>
      </c>
      <c r="I492" s="4">
        <f>_xlfn.XLOOKUP(B492,Master[Product_Code],Master[Stock_Qty])</f>
        <v>5</v>
      </c>
      <c r="J492" s="6">
        <f>SUMIFS(
  Sales_Entry[Qty],
  Sales_Entry[Product_Code], Stock_Table[[#This Row],[Product_Code]]
)</f>
        <v>4</v>
      </c>
      <c r="K492" s="4">
        <f>SUMIFS(
  Exchange_Return[Qty],
  Exchange_Return[Product_Code], Stock_Table[[#This Row],[Product_Code]]
)</f>
        <v>1</v>
      </c>
      <c r="L492" s="4">
        <f>I492-J492+K492</f>
        <v>2</v>
      </c>
      <c r="M492" s="2" t="str" cm="1">
        <f t="array" ref="M492">_xlfn.IFS(L492=0,"Out of Stock",L492&gt;=2,"Limited Stock",L492&lt;2,"In Stock")</f>
        <v>Limited Stock</v>
      </c>
    </row>
    <row r="493" spans="2:13">
      <c r="B493" s="2" t="s">
        <v>1047</v>
      </c>
      <c r="C493" s="5" t="str">
        <f>_xlfn.XLOOKUP(B493,Master[Product_Code],Master[Category])</f>
        <v>Jeans</v>
      </c>
      <c r="D493" s="2" t="str">
        <f>_xlfn.XLOOKUP(B493,Master[Product_Code],Master[Brand])</f>
        <v>Denim Pro</v>
      </c>
      <c r="E493" s="2" t="str">
        <f>_xlfn.XLOOKUP(B493,Master[Product_Code],Master[Style])</f>
        <v>Baggy</v>
      </c>
      <c r="F493" s="2" t="str">
        <f>_xlfn.XLOOKUP(B493,Master[Product_Code],Master[Fabric])</f>
        <v>Denim</v>
      </c>
      <c r="G493" s="2">
        <f>_xlfn.XLOOKUP(B493,Master[Product_Code],Master[Size])</f>
        <v>28</v>
      </c>
      <c r="H493" s="2" t="str">
        <f>_xlfn.XLOOKUP(B493,Master[Product_Code],Master[Color])</f>
        <v>Olive</v>
      </c>
      <c r="I493" s="4">
        <f>_xlfn.XLOOKUP(B493,Master[Product_Code],Master[Stock_Qty])</f>
        <v>6</v>
      </c>
      <c r="J493" s="6">
        <f>SUMIFS(
  Sales_Entry[Qty],
  Sales_Entry[Product_Code], Stock_Table[[#This Row],[Product_Code]]
)</f>
        <v>1</v>
      </c>
      <c r="K493" s="4">
        <f>SUMIFS(
  Exchange_Return[Qty],
  Exchange_Return[Product_Code], Stock_Table[[#This Row],[Product_Code]]
)</f>
        <v>0</v>
      </c>
      <c r="L493" s="4">
        <f>I493-J493+K493</f>
        <v>5</v>
      </c>
      <c r="M493" s="2" t="str" cm="1">
        <f t="array" ref="M493">_xlfn.IFS(L493=0,"Out of Stock",L493&gt;=2,"Limited Stock",L493&lt;2,"In Stock")</f>
        <v>Limited Stock</v>
      </c>
    </row>
    <row r="494" spans="2:13">
      <c r="B494" s="2" t="s">
        <v>1048</v>
      </c>
      <c r="C494" s="5" t="str">
        <f>_xlfn.XLOOKUP(B494,Master[Product_Code],Master[Category])</f>
        <v>Jeans</v>
      </c>
      <c r="D494" s="2" t="str">
        <f>_xlfn.XLOOKUP(B494,Master[Product_Code],Master[Brand])</f>
        <v>Levis</v>
      </c>
      <c r="E494" s="2" t="str">
        <f>_xlfn.XLOOKUP(B494,Master[Product_Code],Master[Style])</f>
        <v>Baggy</v>
      </c>
      <c r="F494" s="2" t="str">
        <f>_xlfn.XLOOKUP(B494,Master[Product_Code],Master[Fabric])</f>
        <v>Denim</v>
      </c>
      <c r="G494" s="2">
        <f>_xlfn.XLOOKUP(B494,Master[Product_Code],Master[Size])</f>
        <v>44</v>
      </c>
      <c r="H494" s="2" t="str">
        <f>_xlfn.XLOOKUP(B494,Master[Product_Code],Master[Color])</f>
        <v>Charcoal</v>
      </c>
      <c r="I494" s="4">
        <f>_xlfn.XLOOKUP(B494,Master[Product_Code],Master[Stock_Qty])</f>
        <v>6</v>
      </c>
      <c r="J494" s="6">
        <f>SUMIFS(
  Sales_Entry[Qty],
  Sales_Entry[Product_Code], Stock_Table[[#This Row],[Product_Code]]
)</f>
        <v>0</v>
      </c>
      <c r="K494" s="4">
        <f>SUMIFS(
  Exchange_Return[Qty],
  Exchange_Return[Product_Code], Stock_Table[[#This Row],[Product_Code]]
)</f>
        <v>0</v>
      </c>
      <c r="L494" s="4">
        <f>I494-J494+K494</f>
        <v>6</v>
      </c>
      <c r="M494" s="2" t="str" cm="1">
        <f t="array" ref="M494">_xlfn.IFS(L494=0,"Out of Stock",L494&gt;=2,"Limited Stock",L494&lt;2,"In Stock")</f>
        <v>Limited Stock</v>
      </c>
    </row>
    <row r="495" spans="2:13">
      <c r="B495" s="2" t="s">
        <v>1049</v>
      </c>
      <c r="C495" s="5" t="str">
        <f>_xlfn.XLOOKUP(B495,Master[Product_Code],Master[Category])</f>
        <v>Jeans</v>
      </c>
      <c r="D495" s="2" t="str">
        <f>_xlfn.XLOOKUP(B495,Master[Product_Code],Master[Brand])</f>
        <v>Denim Pro</v>
      </c>
      <c r="E495" s="2" t="str">
        <f>_xlfn.XLOOKUP(B495,Master[Product_Code],Master[Style])</f>
        <v>Baggy</v>
      </c>
      <c r="F495" s="2" t="str">
        <f>_xlfn.XLOOKUP(B495,Master[Product_Code],Master[Fabric])</f>
        <v>Denim</v>
      </c>
      <c r="G495" s="2">
        <f>_xlfn.XLOOKUP(B495,Master[Product_Code],Master[Size])</f>
        <v>36</v>
      </c>
      <c r="H495" s="2" t="str">
        <f>_xlfn.XLOOKUP(B495,Master[Product_Code],Master[Color])</f>
        <v>Maroon</v>
      </c>
      <c r="I495" s="4">
        <f>_xlfn.XLOOKUP(B495,Master[Product_Code],Master[Stock_Qty])</f>
        <v>6</v>
      </c>
      <c r="J495" s="6">
        <f>SUMIFS(
  Sales_Entry[Qty],
  Sales_Entry[Product_Code], Stock_Table[[#This Row],[Product_Code]]
)</f>
        <v>4</v>
      </c>
      <c r="K495" s="4">
        <f>SUMIFS(
  Exchange_Return[Qty],
  Exchange_Return[Product_Code], Stock_Table[[#This Row],[Product_Code]]
)</f>
        <v>0</v>
      </c>
      <c r="L495" s="4">
        <f>I495-J495+K495</f>
        <v>2</v>
      </c>
      <c r="M495" s="2" t="str" cm="1">
        <f t="array" ref="M495">_xlfn.IFS(L495=0,"Out of Stock",L495&gt;=2,"Limited Stock",L495&lt;2,"In Stock")</f>
        <v>Limited Stock</v>
      </c>
    </row>
    <row r="496" spans="2:13">
      <c r="B496" s="2" t="s">
        <v>1050</v>
      </c>
      <c r="C496" s="5" t="str">
        <f>_xlfn.XLOOKUP(B496,Master[Product_Code],Master[Category])</f>
        <v>Jeans</v>
      </c>
      <c r="D496" s="2" t="str">
        <f>_xlfn.XLOOKUP(B496,Master[Product_Code],Master[Brand])</f>
        <v>Wrangler</v>
      </c>
      <c r="E496" s="2" t="str">
        <f>_xlfn.XLOOKUP(B496,Master[Product_Code],Master[Style])</f>
        <v>Baggy</v>
      </c>
      <c r="F496" s="2" t="str">
        <f>_xlfn.XLOOKUP(B496,Master[Product_Code],Master[Fabric])</f>
        <v>Denim</v>
      </c>
      <c r="G496" s="2">
        <f>_xlfn.XLOOKUP(B496,Master[Product_Code],Master[Size])</f>
        <v>38</v>
      </c>
      <c r="H496" s="2" t="str">
        <f>_xlfn.XLOOKUP(B496,Master[Product_Code],Master[Color])</f>
        <v>Wine</v>
      </c>
      <c r="I496" s="4">
        <f>_xlfn.XLOOKUP(B496,Master[Product_Code],Master[Stock_Qty])</f>
        <v>3</v>
      </c>
      <c r="J496" s="6">
        <f>SUMIFS(
  Sales_Entry[Qty],
  Sales_Entry[Product_Code], Stock_Table[[#This Row],[Product_Code]]
)</f>
        <v>2</v>
      </c>
      <c r="K496" s="4">
        <f>SUMIFS(
  Exchange_Return[Qty],
  Exchange_Return[Product_Code], Stock_Table[[#This Row],[Product_Code]]
)</f>
        <v>0</v>
      </c>
      <c r="L496" s="4">
        <f>I496-J496+K496</f>
        <v>1</v>
      </c>
      <c r="M496" s="2" t="str" cm="1">
        <f t="array" ref="M496">_xlfn.IFS(L496=0,"Out of Stock",L496&gt;=2,"Limited Stock",L496&lt;2,"In Stock")</f>
        <v>In Stock</v>
      </c>
    </row>
    <row r="497" spans="2:13">
      <c r="B497" s="2" t="s">
        <v>1051</v>
      </c>
      <c r="C497" s="5" t="str">
        <f>_xlfn.XLOOKUP(B497,Master[Product_Code],Master[Category])</f>
        <v>Jeans</v>
      </c>
      <c r="D497" s="2" t="str">
        <f>_xlfn.XLOOKUP(B497,Master[Product_Code],Master[Brand])</f>
        <v>Locomotive</v>
      </c>
      <c r="E497" s="2" t="str">
        <f>_xlfn.XLOOKUP(B497,Master[Product_Code],Master[Style])</f>
        <v>Jogger</v>
      </c>
      <c r="F497" s="2" t="str">
        <f>_xlfn.XLOOKUP(B497,Master[Product_Code],Master[Fabric])</f>
        <v>Denim</v>
      </c>
      <c r="G497" s="2">
        <f>_xlfn.XLOOKUP(B497,Master[Product_Code],Master[Size])</f>
        <v>40</v>
      </c>
      <c r="H497" s="2" t="str">
        <f>_xlfn.XLOOKUP(B497,Master[Product_Code],Master[Color])</f>
        <v>Royal Blue</v>
      </c>
      <c r="I497" s="4">
        <f>_xlfn.XLOOKUP(B497,Master[Product_Code],Master[Stock_Qty])</f>
        <v>5</v>
      </c>
      <c r="J497" s="6">
        <f>SUMIFS(
  Sales_Entry[Qty],
  Sales_Entry[Product_Code], Stock_Table[[#This Row],[Product_Code]]
)</f>
        <v>1</v>
      </c>
      <c r="K497" s="4">
        <f>SUMIFS(
  Exchange_Return[Qty],
  Exchange_Return[Product_Code], Stock_Table[[#This Row],[Product_Code]]
)</f>
        <v>0</v>
      </c>
      <c r="L497" s="4">
        <f>I497-J497+K497</f>
        <v>4</v>
      </c>
      <c r="M497" s="2" t="str" cm="1">
        <f t="array" ref="M497">_xlfn.IFS(L497=0,"Out of Stock",L497&gt;=2,"Limited Stock",L497&lt;2,"In Stock")</f>
        <v>Limited Stock</v>
      </c>
    </row>
    <row r="498" spans="2:13">
      <c r="B498" s="2" t="s">
        <v>1052</v>
      </c>
      <c r="C498" s="5" t="str">
        <f>_xlfn.XLOOKUP(B498,Master[Product_Code],Master[Category])</f>
        <v>Jeans</v>
      </c>
      <c r="D498" s="2" t="str">
        <f>_xlfn.XLOOKUP(B498,Master[Product_Code],Master[Brand])</f>
        <v>Wrangler</v>
      </c>
      <c r="E498" s="2" t="str">
        <f>_xlfn.XLOOKUP(B498,Master[Product_Code],Master[Style])</f>
        <v>Baggy</v>
      </c>
      <c r="F498" s="2" t="str">
        <f>_xlfn.XLOOKUP(B498,Master[Product_Code],Master[Fabric])</f>
        <v>Denim</v>
      </c>
      <c r="G498" s="2">
        <f>_xlfn.XLOOKUP(B498,Master[Product_Code],Master[Size])</f>
        <v>36</v>
      </c>
      <c r="H498" s="2" t="str">
        <f>_xlfn.XLOOKUP(B498,Master[Product_Code],Master[Color])</f>
        <v>Light Grey</v>
      </c>
      <c r="I498" s="4">
        <f>_xlfn.XLOOKUP(B498,Master[Product_Code],Master[Stock_Qty])</f>
        <v>6</v>
      </c>
      <c r="J498" s="6">
        <f>SUMIFS(
  Sales_Entry[Qty],
  Sales_Entry[Product_Code], Stock_Table[[#This Row],[Product_Code]]
)</f>
        <v>0</v>
      </c>
      <c r="K498" s="4">
        <f>SUMIFS(
  Exchange_Return[Qty],
  Exchange_Return[Product_Code], Stock_Table[[#This Row],[Product_Code]]
)</f>
        <v>0</v>
      </c>
      <c r="L498" s="4">
        <f>I498-J498+K498</f>
        <v>6</v>
      </c>
      <c r="M498" s="2" t="str" cm="1">
        <f t="array" ref="M498">_xlfn.IFS(L498=0,"Out of Stock",L498&gt;=2,"Limited Stock",L498&lt;2,"In Stock")</f>
        <v>Limited Stock</v>
      </c>
    </row>
    <row r="499" spans="2:13">
      <c r="B499" s="2" t="s">
        <v>1053</v>
      </c>
      <c r="C499" s="5" t="str">
        <f>_xlfn.XLOOKUP(B499,Master[Product_Code],Master[Category])</f>
        <v>Jeans</v>
      </c>
      <c r="D499" s="2" t="str">
        <f>_xlfn.XLOOKUP(B499,Master[Product_Code],Master[Brand])</f>
        <v>Denim Pro</v>
      </c>
      <c r="E499" s="2" t="str">
        <f>_xlfn.XLOOKUP(B499,Master[Product_Code],Master[Style])</f>
        <v>Jogger</v>
      </c>
      <c r="F499" s="2" t="str">
        <f>_xlfn.XLOOKUP(B499,Master[Product_Code],Master[Fabric])</f>
        <v>Denim</v>
      </c>
      <c r="G499" s="2">
        <f>_xlfn.XLOOKUP(B499,Master[Product_Code],Master[Size])</f>
        <v>34</v>
      </c>
      <c r="H499" s="2" t="str">
        <f>_xlfn.XLOOKUP(B499,Master[Product_Code],Master[Color])</f>
        <v>Wine</v>
      </c>
      <c r="I499" s="4">
        <f>_xlfn.XLOOKUP(B499,Master[Product_Code],Master[Stock_Qty])</f>
        <v>5</v>
      </c>
      <c r="J499" s="6">
        <f>SUMIFS(
  Sales_Entry[Qty],
  Sales_Entry[Product_Code], Stock_Table[[#This Row],[Product_Code]]
)</f>
        <v>3</v>
      </c>
      <c r="K499" s="4">
        <f>SUMIFS(
  Exchange_Return[Qty],
  Exchange_Return[Product_Code], Stock_Table[[#This Row],[Product_Code]]
)</f>
        <v>0</v>
      </c>
      <c r="L499" s="4">
        <f>I499-J499+K499</f>
        <v>2</v>
      </c>
      <c r="M499" s="2" t="str" cm="1">
        <f t="array" ref="M499">_xlfn.IFS(L499=0,"Out of Stock",L499&gt;=2,"Limited Stock",L499&lt;2,"In Stock")</f>
        <v>Limited Stock</v>
      </c>
    </row>
    <row r="500" spans="2:13">
      <c r="B500" s="2" t="s">
        <v>1054</v>
      </c>
      <c r="C500" s="5" t="str">
        <f>_xlfn.XLOOKUP(B500,Master[Product_Code],Master[Category])</f>
        <v>Jeans</v>
      </c>
      <c r="D500" s="2" t="str">
        <f>_xlfn.XLOOKUP(B500,Master[Product_Code],Master[Brand])</f>
        <v>Denim Pro</v>
      </c>
      <c r="E500" s="2" t="str">
        <f>_xlfn.XLOOKUP(B500,Master[Product_Code],Master[Style])</f>
        <v>Mom Fit</v>
      </c>
      <c r="F500" s="2" t="str">
        <f>_xlfn.XLOOKUP(B500,Master[Product_Code],Master[Fabric])</f>
        <v>Denim</v>
      </c>
      <c r="G500" s="2">
        <f>_xlfn.XLOOKUP(B500,Master[Product_Code],Master[Size])</f>
        <v>44</v>
      </c>
      <c r="H500" s="2" t="str">
        <f>_xlfn.XLOOKUP(B500,Master[Product_Code],Master[Color])</f>
        <v>Black</v>
      </c>
      <c r="I500" s="4">
        <f>_xlfn.XLOOKUP(B500,Master[Product_Code],Master[Stock_Qty])</f>
        <v>3</v>
      </c>
      <c r="J500" s="6">
        <f>SUMIFS(
  Sales_Entry[Qty],
  Sales_Entry[Product_Code], Stock_Table[[#This Row],[Product_Code]]
)</f>
        <v>1</v>
      </c>
      <c r="K500" s="4">
        <f>SUMIFS(
  Exchange_Return[Qty],
  Exchange_Return[Product_Code], Stock_Table[[#This Row],[Product_Code]]
)</f>
        <v>0</v>
      </c>
      <c r="L500" s="4">
        <f>I500-J500+K500</f>
        <v>2</v>
      </c>
      <c r="M500" s="2" t="str" cm="1">
        <f t="array" ref="M500">_xlfn.IFS(L500=0,"Out of Stock",L500&gt;=2,"Limited Stock",L500&lt;2,"In Stock")</f>
        <v>Limited Stock</v>
      </c>
    </row>
    <row r="501" spans="2:13">
      <c r="B501" s="2" t="s">
        <v>1055</v>
      </c>
      <c r="C501" s="5" t="str">
        <f>_xlfn.XLOOKUP(B501,Master[Product_Code],Master[Category])</f>
        <v>Jeans</v>
      </c>
      <c r="D501" s="2" t="str">
        <f>_xlfn.XLOOKUP(B501,Master[Product_Code],Master[Brand])</f>
        <v>Pepe</v>
      </c>
      <c r="E501" s="2" t="str">
        <f>_xlfn.XLOOKUP(B501,Master[Product_Code],Master[Style])</f>
        <v>Mom Fit</v>
      </c>
      <c r="F501" s="2" t="str">
        <f>_xlfn.XLOOKUP(B501,Master[Product_Code],Master[Fabric])</f>
        <v>Denim</v>
      </c>
      <c r="G501" s="2">
        <f>_xlfn.XLOOKUP(B501,Master[Product_Code],Master[Size])</f>
        <v>30</v>
      </c>
      <c r="H501" s="2" t="str">
        <f>_xlfn.XLOOKUP(B501,Master[Product_Code],Master[Color])</f>
        <v>Wine</v>
      </c>
      <c r="I501" s="4">
        <f>_xlfn.XLOOKUP(B501,Master[Product_Code],Master[Stock_Qty])</f>
        <v>3</v>
      </c>
      <c r="J501" s="6">
        <f>SUMIFS(
  Sales_Entry[Qty],
  Sales_Entry[Product_Code], Stock_Table[[#This Row],[Product_Code]]
)</f>
        <v>3</v>
      </c>
      <c r="K501" s="4">
        <f>SUMIFS(
  Exchange_Return[Qty],
  Exchange_Return[Product_Code], Stock_Table[[#This Row],[Product_Code]]
)</f>
        <v>0</v>
      </c>
      <c r="L501" s="4">
        <f>I501-J501+K501</f>
        <v>0</v>
      </c>
      <c r="M501" s="2" t="str" cm="1">
        <f t="array" ref="M501">_xlfn.IFS(L501=0,"Out of Stock",L501&gt;=2,"Limited Stock",L501&lt;2,"In Stock")</f>
        <v>Out of Stock</v>
      </c>
    </row>
    <row r="502" spans="2:13">
      <c r="B502" s="2" t="s">
        <v>1056</v>
      </c>
      <c r="C502" s="5" t="str">
        <f>_xlfn.XLOOKUP(B502,Master[Product_Code],Master[Category])</f>
        <v>Jeans</v>
      </c>
      <c r="D502" s="2" t="str">
        <f>_xlfn.XLOOKUP(B502,Master[Product_Code],Master[Brand])</f>
        <v>Levis</v>
      </c>
      <c r="E502" s="2" t="str">
        <f>_xlfn.XLOOKUP(B502,Master[Product_Code],Master[Style])</f>
        <v>Baggy</v>
      </c>
      <c r="F502" s="2" t="str">
        <f>_xlfn.XLOOKUP(B502,Master[Product_Code],Master[Fabric])</f>
        <v>Denim</v>
      </c>
      <c r="G502" s="2">
        <f>_xlfn.XLOOKUP(B502,Master[Product_Code],Master[Size])</f>
        <v>36</v>
      </c>
      <c r="H502" s="2" t="str">
        <f>_xlfn.XLOOKUP(B502,Master[Product_Code],Master[Color])</f>
        <v>Beige</v>
      </c>
      <c r="I502" s="4">
        <f>_xlfn.XLOOKUP(B502,Master[Product_Code],Master[Stock_Qty])</f>
        <v>4</v>
      </c>
      <c r="J502" s="6">
        <f>SUMIFS(
  Sales_Entry[Qty],
  Sales_Entry[Product_Code], Stock_Table[[#This Row],[Product_Code]]
)</f>
        <v>3</v>
      </c>
      <c r="K502" s="4">
        <f>SUMIFS(
  Exchange_Return[Qty],
  Exchange_Return[Product_Code], Stock_Table[[#This Row],[Product_Code]]
)</f>
        <v>0</v>
      </c>
      <c r="L502" s="4">
        <f>I502-J502+K502</f>
        <v>1</v>
      </c>
      <c r="M502" s="2" t="str" cm="1">
        <f t="array" ref="M502">_xlfn.IFS(L502=0,"Out of Stock",L502&gt;=2,"Limited Stock",L502&lt;2,"In Stock")</f>
        <v>In Stock</v>
      </c>
    </row>
    <row r="503" spans="2:13">
      <c r="B503" s="2" t="s">
        <v>1057</v>
      </c>
      <c r="C503" s="5" t="str">
        <f>_xlfn.XLOOKUP(B503,Master[Product_Code],Master[Category])</f>
        <v>Jeans</v>
      </c>
      <c r="D503" s="2" t="str">
        <f>_xlfn.XLOOKUP(B503,Master[Product_Code],Master[Brand])</f>
        <v>Pepe</v>
      </c>
      <c r="E503" s="2" t="str">
        <f>_xlfn.XLOOKUP(B503,Master[Product_Code],Master[Style])</f>
        <v>Jogger</v>
      </c>
      <c r="F503" s="2" t="str">
        <f>_xlfn.XLOOKUP(B503,Master[Product_Code],Master[Fabric])</f>
        <v>Denim</v>
      </c>
      <c r="G503" s="2">
        <f>_xlfn.XLOOKUP(B503,Master[Product_Code],Master[Size])</f>
        <v>28</v>
      </c>
      <c r="H503" s="2" t="str">
        <f>_xlfn.XLOOKUP(B503,Master[Product_Code],Master[Color])</f>
        <v>Royal Blue</v>
      </c>
      <c r="I503" s="4">
        <f>_xlfn.XLOOKUP(B503,Master[Product_Code],Master[Stock_Qty])</f>
        <v>4</v>
      </c>
      <c r="J503" s="6">
        <f>SUMIFS(
  Sales_Entry[Qty],
  Sales_Entry[Product_Code], Stock_Table[[#This Row],[Product_Code]]
)</f>
        <v>1</v>
      </c>
      <c r="K503" s="4">
        <f>SUMIFS(
  Exchange_Return[Qty],
  Exchange_Return[Product_Code], Stock_Table[[#This Row],[Product_Code]]
)</f>
        <v>0</v>
      </c>
      <c r="L503" s="4">
        <f>I503-J503+K503</f>
        <v>3</v>
      </c>
      <c r="M503" s="2" t="str" cm="1">
        <f t="array" ref="M503">_xlfn.IFS(L503=0,"Out of Stock",L503&gt;=2,"Limited Stock",L503&lt;2,"In Stock")</f>
        <v>Limited Stock</v>
      </c>
    </row>
    <row r="504" spans="2:13">
      <c r="B504" s="2" t="s">
        <v>1058</v>
      </c>
      <c r="C504" s="5" t="str">
        <f>_xlfn.XLOOKUP(B504,Master[Product_Code],Master[Category])</f>
        <v>Jeans</v>
      </c>
      <c r="D504" s="2" t="str">
        <f>_xlfn.XLOOKUP(B504,Master[Product_Code],Master[Brand])</f>
        <v>Denim Pro</v>
      </c>
      <c r="E504" s="2" t="str">
        <f>_xlfn.XLOOKUP(B504,Master[Product_Code],Master[Style])</f>
        <v>Mom Fit</v>
      </c>
      <c r="F504" s="2" t="str">
        <f>_xlfn.XLOOKUP(B504,Master[Product_Code],Master[Fabric])</f>
        <v>Denim</v>
      </c>
      <c r="G504" s="2">
        <f>_xlfn.XLOOKUP(B504,Master[Product_Code],Master[Size])</f>
        <v>30</v>
      </c>
      <c r="H504" s="2" t="str">
        <f>_xlfn.XLOOKUP(B504,Master[Product_Code],Master[Color])</f>
        <v>Royal Blue</v>
      </c>
      <c r="I504" s="4">
        <f>_xlfn.XLOOKUP(B504,Master[Product_Code],Master[Stock_Qty])</f>
        <v>4</v>
      </c>
      <c r="J504" s="6">
        <f>SUMIFS(
  Sales_Entry[Qty],
  Sales_Entry[Product_Code], Stock_Table[[#This Row],[Product_Code]]
)</f>
        <v>2</v>
      </c>
      <c r="K504" s="4">
        <f>SUMIFS(
  Exchange_Return[Qty],
  Exchange_Return[Product_Code], Stock_Table[[#This Row],[Product_Code]]
)</f>
        <v>0</v>
      </c>
      <c r="L504" s="4">
        <f>I504-J504+K504</f>
        <v>2</v>
      </c>
      <c r="M504" s="2" t="str" cm="1">
        <f t="array" ref="M504">_xlfn.IFS(L504=0,"Out of Stock",L504&gt;=2,"Limited Stock",L504&lt;2,"In Stock")</f>
        <v>Limited Stock</v>
      </c>
    </row>
    <row r="505" spans="2:13">
      <c r="B505" s="2" t="s">
        <v>1059</v>
      </c>
      <c r="C505" s="5" t="str">
        <f>_xlfn.XLOOKUP(B505,Master[Product_Code],Master[Category])</f>
        <v>Jeans</v>
      </c>
      <c r="D505" s="2" t="str">
        <f>_xlfn.XLOOKUP(B505,Master[Product_Code],Master[Brand])</f>
        <v>Denim Pro</v>
      </c>
      <c r="E505" s="2" t="str">
        <f>_xlfn.XLOOKUP(B505,Master[Product_Code],Master[Style])</f>
        <v>Jogger</v>
      </c>
      <c r="F505" s="2" t="str">
        <f>_xlfn.XLOOKUP(B505,Master[Product_Code],Master[Fabric])</f>
        <v>Denim</v>
      </c>
      <c r="G505" s="2">
        <f>_xlfn.XLOOKUP(B505,Master[Product_Code],Master[Size])</f>
        <v>30</v>
      </c>
      <c r="H505" s="2" t="str">
        <f>_xlfn.XLOOKUP(B505,Master[Product_Code],Master[Color])</f>
        <v>Olive</v>
      </c>
      <c r="I505" s="4">
        <f>_xlfn.XLOOKUP(B505,Master[Product_Code],Master[Stock_Qty])</f>
        <v>5</v>
      </c>
      <c r="J505" s="6">
        <f>SUMIFS(
  Sales_Entry[Qty],
  Sales_Entry[Product_Code], Stock_Table[[#This Row],[Product_Code]]
)</f>
        <v>4</v>
      </c>
      <c r="K505" s="4">
        <f>SUMIFS(
  Exchange_Return[Qty],
  Exchange_Return[Product_Code], Stock_Table[[#This Row],[Product_Code]]
)</f>
        <v>1</v>
      </c>
      <c r="L505" s="4">
        <f>I505-J505+K505</f>
        <v>2</v>
      </c>
      <c r="M505" s="2" t="str" cm="1">
        <f t="array" ref="M505">_xlfn.IFS(L505=0,"Out of Stock",L505&gt;=2,"Limited Stock",L505&lt;2,"In Stock")</f>
        <v>Limited Stock</v>
      </c>
    </row>
    <row r="506" spans="2:13">
      <c r="B506" s="2" t="s">
        <v>1060</v>
      </c>
      <c r="C506" s="5" t="str">
        <f>_xlfn.XLOOKUP(B506,Master[Product_Code],Master[Category])</f>
        <v>Jeans</v>
      </c>
      <c r="D506" s="2" t="str">
        <f>_xlfn.XLOOKUP(B506,Master[Product_Code],Master[Brand])</f>
        <v>Levis</v>
      </c>
      <c r="E506" s="2" t="str">
        <f>_xlfn.XLOOKUP(B506,Master[Product_Code],Master[Style])</f>
        <v>Jogger</v>
      </c>
      <c r="F506" s="2" t="str">
        <f>_xlfn.XLOOKUP(B506,Master[Product_Code],Master[Fabric])</f>
        <v>Denim</v>
      </c>
      <c r="G506" s="2">
        <f>_xlfn.XLOOKUP(B506,Master[Product_Code],Master[Size])</f>
        <v>42</v>
      </c>
      <c r="H506" s="2" t="str">
        <f>_xlfn.XLOOKUP(B506,Master[Product_Code],Master[Color])</f>
        <v>Beige</v>
      </c>
      <c r="I506" s="4">
        <f>_xlfn.XLOOKUP(B506,Master[Product_Code],Master[Stock_Qty])</f>
        <v>6</v>
      </c>
      <c r="J506" s="6">
        <f>SUMIFS(
  Sales_Entry[Qty],
  Sales_Entry[Product_Code], Stock_Table[[#This Row],[Product_Code]]
)</f>
        <v>2</v>
      </c>
      <c r="K506" s="4">
        <f>SUMIFS(
  Exchange_Return[Qty],
  Exchange_Return[Product_Code], Stock_Table[[#This Row],[Product_Code]]
)</f>
        <v>0</v>
      </c>
      <c r="L506" s="4">
        <f>I506-J506+K506</f>
        <v>4</v>
      </c>
      <c r="M506" s="2" t="str" cm="1">
        <f t="array" ref="M506">_xlfn.IFS(L506=0,"Out of Stock",L506&gt;=2,"Limited Stock",L506&lt;2,"In Stock")</f>
        <v>Limited Stock</v>
      </c>
    </row>
    <row r="507" spans="2:13">
      <c r="B507" s="2" t="s">
        <v>1061</v>
      </c>
      <c r="C507" s="5" t="str">
        <f>_xlfn.XLOOKUP(B507,Master[Product_Code],Master[Category])</f>
        <v>Jeans</v>
      </c>
      <c r="D507" s="2" t="str">
        <f>_xlfn.XLOOKUP(B507,Master[Product_Code],Master[Brand])</f>
        <v>Denim Pro</v>
      </c>
      <c r="E507" s="2" t="str">
        <f>_xlfn.XLOOKUP(B507,Master[Product_Code],Master[Style])</f>
        <v>Baggy</v>
      </c>
      <c r="F507" s="2" t="str">
        <f>_xlfn.XLOOKUP(B507,Master[Product_Code],Master[Fabric])</f>
        <v>Denim</v>
      </c>
      <c r="G507" s="2">
        <f>_xlfn.XLOOKUP(B507,Master[Product_Code],Master[Size])</f>
        <v>32</v>
      </c>
      <c r="H507" s="2" t="str">
        <f>_xlfn.XLOOKUP(B507,Master[Product_Code],Master[Color])</f>
        <v>Navy Blue</v>
      </c>
      <c r="I507" s="4">
        <f>_xlfn.XLOOKUP(B507,Master[Product_Code],Master[Stock_Qty])</f>
        <v>5</v>
      </c>
      <c r="J507" s="6">
        <f>SUMIFS(
  Sales_Entry[Qty],
  Sales_Entry[Product_Code], Stock_Table[[#This Row],[Product_Code]]
)</f>
        <v>2</v>
      </c>
      <c r="K507" s="4">
        <f>SUMIFS(
  Exchange_Return[Qty],
  Exchange_Return[Product_Code], Stock_Table[[#This Row],[Product_Code]]
)</f>
        <v>0</v>
      </c>
      <c r="L507" s="4">
        <f>I507-J507+K507</f>
        <v>3</v>
      </c>
      <c r="M507" s="2" t="str" cm="1">
        <f t="array" ref="M507">_xlfn.IFS(L507=0,"Out of Stock",L507&gt;=2,"Limited Stock",L507&lt;2,"In Stock")</f>
        <v>Limited Stock</v>
      </c>
    </row>
    <row r="508" spans="2:13">
      <c r="B508" s="2" t="s">
        <v>1062</v>
      </c>
      <c r="C508" s="5" t="str">
        <f>_xlfn.XLOOKUP(B508,Master[Product_Code],Master[Category])</f>
        <v>Jeans</v>
      </c>
      <c r="D508" s="2" t="str">
        <f>_xlfn.XLOOKUP(B508,Master[Product_Code],Master[Brand])</f>
        <v>Pepe</v>
      </c>
      <c r="E508" s="2" t="str">
        <f>_xlfn.XLOOKUP(B508,Master[Product_Code],Master[Style])</f>
        <v>Baggy</v>
      </c>
      <c r="F508" s="2" t="str">
        <f>_xlfn.XLOOKUP(B508,Master[Product_Code],Master[Fabric])</f>
        <v>Denim</v>
      </c>
      <c r="G508" s="2">
        <f>_xlfn.XLOOKUP(B508,Master[Product_Code],Master[Size])</f>
        <v>38</v>
      </c>
      <c r="H508" s="2" t="str">
        <f>_xlfn.XLOOKUP(B508,Master[Product_Code],Master[Color])</f>
        <v>White</v>
      </c>
      <c r="I508" s="4">
        <f>_xlfn.XLOOKUP(B508,Master[Product_Code],Master[Stock_Qty])</f>
        <v>5</v>
      </c>
      <c r="J508" s="6">
        <f>SUMIFS(
  Sales_Entry[Qty],
  Sales_Entry[Product_Code], Stock_Table[[#This Row],[Product_Code]]
)</f>
        <v>1</v>
      </c>
      <c r="K508" s="4">
        <f>SUMIFS(
  Exchange_Return[Qty],
  Exchange_Return[Product_Code], Stock_Table[[#This Row],[Product_Code]]
)</f>
        <v>0</v>
      </c>
      <c r="L508" s="4">
        <f>I508-J508+K508</f>
        <v>4</v>
      </c>
      <c r="M508" s="2" t="str" cm="1">
        <f t="array" ref="M508">_xlfn.IFS(L508=0,"Out of Stock",L508&gt;=2,"Limited Stock",L508&lt;2,"In Stock")</f>
        <v>Limited Stock</v>
      </c>
    </row>
    <row r="509" spans="2:13">
      <c r="B509" s="2" t="s">
        <v>1063</v>
      </c>
      <c r="C509" s="5" t="str">
        <f>_xlfn.XLOOKUP(B509,Master[Product_Code],Master[Category])</f>
        <v>Jeans</v>
      </c>
      <c r="D509" s="2" t="str">
        <f>_xlfn.XLOOKUP(B509,Master[Product_Code],Master[Brand])</f>
        <v>Wrangler</v>
      </c>
      <c r="E509" s="2" t="str">
        <f>_xlfn.XLOOKUP(B509,Master[Product_Code],Master[Style])</f>
        <v>Mom Fit</v>
      </c>
      <c r="F509" s="2" t="str">
        <f>_xlfn.XLOOKUP(B509,Master[Product_Code],Master[Fabric])</f>
        <v>Denim</v>
      </c>
      <c r="G509" s="2">
        <f>_xlfn.XLOOKUP(B509,Master[Product_Code],Master[Size])</f>
        <v>30</v>
      </c>
      <c r="H509" s="2" t="str">
        <f>_xlfn.XLOOKUP(B509,Master[Product_Code],Master[Color])</f>
        <v>Peach</v>
      </c>
      <c r="I509" s="4">
        <f>_xlfn.XLOOKUP(B509,Master[Product_Code],Master[Stock_Qty])</f>
        <v>4</v>
      </c>
      <c r="J509" s="6">
        <f>SUMIFS(
  Sales_Entry[Qty],
  Sales_Entry[Product_Code], Stock_Table[[#This Row],[Product_Code]]
)</f>
        <v>1</v>
      </c>
      <c r="K509" s="4">
        <f>SUMIFS(
  Exchange_Return[Qty],
  Exchange_Return[Product_Code], Stock_Table[[#This Row],[Product_Code]]
)</f>
        <v>0</v>
      </c>
      <c r="L509" s="4">
        <f>I509-J509+K509</f>
        <v>3</v>
      </c>
      <c r="M509" s="2" t="str" cm="1">
        <f t="array" ref="M509">_xlfn.IFS(L509=0,"Out of Stock",L509&gt;=2,"Limited Stock",L509&lt;2,"In Stock")</f>
        <v>Limited Stock</v>
      </c>
    </row>
    <row r="510" spans="2:13">
      <c r="B510" s="2" t="s">
        <v>1064</v>
      </c>
      <c r="C510" s="5" t="str">
        <f>_xlfn.XLOOKUP(B510,Master[Product_Code],Master[Category])</f>
        <v>Jeans</v>
      </c>
      <c r="D510" s="2" t="str">
        <f>_xlfn.XLOOKUP(B510,Master[Product_Code],Master[Brand])</f>
        <v>Levis</v>
      </c>
      <c r="E510" s="2" t="str">
        <f>_xlfn.XLOOKUP(B510,Master[Product_Code],Master[Style])</f>
        <v>Mom Fit</v>
      </c>
      <c r="F510" s="2" t="str">
        <f>_xlfn.XLOOKUP(B510,Master[Product_Code],Master[Fabric])</f>
        <v>Denim</v>
      </c>
      <c r="G510" s="2">
        <f>_xlfn.XLOOKUP(B510,Master[Product_Code],Master[Size])</f>
        <v>30</v>
      </c>
      <c r="H510" s="2" t="str">
        <f>_xlfn.XLOOKUP(B510,Master[Product_Code],Master[Color])</f>
        <v>Maroon</v>
      </c>
      <c r="I510" s="4">
        <f>_xlfn.XLOOKUP(B510,Master[Product_Code],Master[Stock_Qty])</f>
        <v>6</v>
      </c>
      <c r="J510" s="6">
        <f>SUMIFS(
  Sales_Entry[Qty],
  Sales_Entry[Product_Code], Stock_Table[[#This Row],[Product_Code]]
)</f>
        <v>6</v>
      </c>
      <c r="K510" s="4">
        <f>SUMIFS(
  Exchange_Return[Qty],
  Exchange_Return[Product_Code], Stock_Table[[#This Row],[Product_Code]]
)</f>
        <v>0</v>
      </c>
      <c r="L510" s="4">
        <f>I510-J510+K510</f>
        <v>0</v>
      </c>
      <c r="M510" s="2" t="str" cm="1">
        <f t="array" ref="M510">_xlfn.IFS(L510=0,"Out of Stock",L510&gt;=2,"Limited Stock",L510&lt;2,"In Stock")</f>
        <v>Out of Stock</v>
      </c>
    </row>
    <row r="511" spans="2:13">
      <c r="B511" s="2" t="s">
        <v>1065</v>
      </c>
      <c r="C511" s="5" t="str">
        <f>_xlfn.XLOOKUP(B511,Master[Product_Code],Master[Category])</f>
        <v>Jeans</v>
      </c>
      <c r="D511" s="2" t="str">
        <f>_xlfn.XLOOKUP(B511,Master[Product_Code],Master[Brand])</f>
        <v>Locomotive</v>
      </c>
      <c r="E511" s="2" t="str">
        <f>_xlfn.XLOOKUP(B511,Master[Product_Code],Master[Style])</f>
        <v>Jogger</v>
      </c>
      <c r="F511" s="2" t="str">
        <f>_xlfn.XLOOKUP(B511,Master[Product_Code],Master[Fabric])</f>
        <v>Denim</v>
      </c>
      <c r="G511" s="2">
        <f>_xlfn.XLOOKUP(B511,Master[Product_Code],Master[Size])</f>
        <v>42</v>
      </c>
      <c r="H511" s="2" t="str">
        <f>_xlfn.XLOOKUP(B511,Master[Product_Code],Master[Color])</f>
        <v>Beige</v>
      </c>
      <c r="I511" s="4">
        <f>_xlfn.XLOOKUP(B511,Master[Product_Code],Master[Stock_Qty])</f>
        <v>3</v>
      </c>
      <c r="J511" s="6">
        <f>SUMIFS(
  Sales_Entry[Qty],
  Sales_Entry[Product_Code], Stock_Table[[#This Row],[Product_Code]]
)</f>
        <v>1</v>
      </c>
      <c r="K511" s="4">
        <f>SUMIFS(
  Exchange_Return[Qty],
  Exchange_Return[Product_Code], Stock_Table[[#This Row],[Product_Code]]
)</f>
        <v>0</v>
      </c>
      <c r="L511" s="4">
        <f>I511-J511+K511</f>
        <v>2</v>
      </c>
      <c r="M511" s="2" t="str" cm="1">
        <f t="array" ref="M511">_xlfn.IFS(L511=0,"Out of Stock",L511&gt;=2,"Limited Stock",L511&lt;2,"In Stock")</f>
        <v>Limited Stock</v>
      </c>
    </row>
    <row r="512" spans="2:13">
      <c r="B512" s="2" t="s">
        <v>1066</v>
      </c>
      <c r="C512" s="5" t="str">
        <f>_xlfn.XLOOKUP(B512,Master[Product_Code],Master[Category])</f>
        <v>Jeans</v>
      </c>
      <c r="D512" s="2" t="str">
        <f>_xlfn.XLOOKUP(B512,Master[Product_Code],Master[Brand])</f>
        <v>Pepe</v>
      </c>
      <c r="E512" s="2" t="str">
        <f>_xlfn.XLOOKUP(B512,Master[Product_Code],Master[Style])</f>
        <v>Mom Fit</v>
      </c>
      <c r="F512" s="2" t="str">
        <f>_xlfn.XLOOKUP(B512,Master[Product_Code],Master[Fabric])</f>
        <v>Denim</v>
      </c>
      <c r="G512" s="2">
        <f>_xlfn.XLOOKUP(B512,Master[Product_Code],Master[Size])</f>
        <v>42</v>
      </c>
      <c r="H512" s="2" t="str">
        <f>_xlfn.XLOOKUP(B512,Master[Product_Code],Master[Color])</f>
        <v>Black</v>
      </c>
      <c r="I512" s="4">
        <f>_xlfn.XLOOKUP(B512,Master[Product_Code],Master[Stock_Qty])</f>
        <v>6</v>
      </c>
      <c r="J512" s="6">
        <f>SUMIFS(
  Sales_Entry[Qty],
  Sales_Entry[Product_Code], Stock_Table[[#This Row],[Product_Code]]
)</f>
        <v>1</v>
      </c>
      <c r="K512" s="4">
        <f>SUMIFS(
  Exchange_Return[Qty],
  Exchange_Return[Product_Code], Stock_Table[[#This Row],[Product_Code]]
)</f>
        <v>0</v>
      </c>
      <c r="L512" s="4">
        <f>I512-J512+K512</f>
        <v>5</v>
      </c>
      <c r="M512" s="2" t="str" cm="1">
        <f t="array" ref="M512">_xlfn.IFS(L512=0,"Out of Stock",L512&gt;=2,"Limited Stock",L512&lt;2,"In Stock")</f>
        <v>Limited Stock</v>
      </c>
    </row>
    <row r="513" spans="2:13">
      <c r="B513" s="2" t="s">
        <v>1067</v>
      </c>
      <c r="C513" s="5" t="str">
        <f>_xlfn.XLOOKUP(B513,Master[Product_Code],Master[Category])</f>
        <v>Jeans</v>
      </c>
      <c r="D513" s="2" t="str">
        <f>_xlfn.XLOOKUP(B513,Master[Product_Code],Master[Brand])</f>
        <v>Denim Pro</v>
      </c>
      <c r="E513" s="2" t="str">
        <f>_xlfn.XLOOKUP(B513,Master[Product_Code],Master[Style])</f>
        <v>Jogger</v>
      </c>
      <c r="F513" s="2" t="str">
        <f>_xlfn.XLOOKUP(B513,Master[Product_Code],Master[Fabric])</f>
        <v>Denim</v>
      </c>
      <c r="G513" s="2">
        <f>_xlfn.XLOOKUP(B513,Master[Product_Code],Master[Size])</f>
        <v>28</v>
      </c>
      <c r="H513" s="2" t="str">
        <f>_xlfn.XLOOKUP(B513,Master[Product_Code],Master[Color])</f>
        <v>Rust</v>
      </c>
      <c r="I513" s="4">
        <f>_xlfn.XLOOKUP(B513,Master[Product_Code],Master[Stock_Qty])</f>
        <v>5</v>
      </c>
      <c r="J513" s="6">
        <f>SUMIFS(
  Sales_Entry[Qty],
  Sales_Entry[Product_Code], Stock_Table[[#This Row],[Product_Code]]
)</f>
        <v>2</v>
      </c>
      <c r="K513" s="4">
        <f>SUMIFS(
  Exchange_Return[Qty],
  Exchange_Return[Product_Code], Stock_Table[[#This Row],[Product_Code]]
)</f>
        <v>0</v>
      </c>
      <c r="L513" s="4">
        <f>I513-J513+K513</f>
        <v>3</v>
      </c>
      <c r="M513" s="2" t="str" cm="1">
        <f t="array" ref="M513">_xlfn.IFS(L513=0,"Out of Stock",L513&gt;=2,"Limited Stock",L513&lt;2,"In Stock")</f>
        <v>Limited Stock</v>
      </c>
    </row>
    <row r="514" spans="2:13">
      <c r="B514" s="2" t="s">
        <v>1068</v>
      </c>
      <c r="C514" s="5" t="str">
        <f>_xlfn.XLOOKUP(B514,Master[Product_Code],Master[Category])</f>
        <v>Jeans</v>
      </c>
      <c r="D514" s="2" t="str">
        <f>_xlfn.XLOOKUP(B514,Master[Product_Code],Master[Brand])</f>
        <v>Denim Pro</v>
      </c>
      <c r="E514" s="2" t="str">
        <f>_xlfn.XLOOKUP(B514,Master[Product_Code],Master[Style])</f>
        <v>Baggy</v>
      </c>
      <c r="F514" s="2" t="str">
        <f>_xlfn.XLOOKUP(B514,Master[Product_Code],Master[Fabric])</f>
        <v>Denim</v>
      </c>
      <c r="G514" s="2">
        <f>_xlfn.XLOOKUP(B514,Master[Product_Code],Master[Size])</f>
        <v>28</v>
      </c>
      <c r="H514" s="2" t="str">
        <f>_xlfn.XLOOKUP(B514,Master[Product_Code],Master[Color])</f>
        <v>Wine</v>
      </c>
      <c r="I514" s="4">
        <f>_xlfn.XLOOKUP(B514,Master[Product_Code],Master[Stock_Qty])</f>
        <v>6</v>
      </c>
      <c r="J514" s="6">
        <f>SUMIFS(
  Sales_Entry[Qty],
  Sales_Entry[Product_Code], Stock_Table[[#This Row],[Product_Code]]
)</f>
        <v>1</v>
      </c>
      <c r="K514" s="4">
        <f>SUMIFS(
  Exchange_Return[Qty],
  Exchange_Return[Product_Code], Stock_Table[[#This Row],[Product_Code]]
)</f>
        <v>0</v>
      </c>
      <c r="L514" s="4">
        <f>I514-J514+K514</f>
        <v>5</v>
      </c>
      <c r="M514" s="2" t="str" cm="1">
        <f t="array" ref="M514">_xlfn.IFS(L514=0,"Out of Stock",L514&gt;=2,"Limited Stock",L514&lt;2,"In Stock")</f>
        <v>Limited Stock</v>
      </c>
    </row>
    <row r="515" spans="2:13">
      <c r="B515" s="2" t="s">
        <v>1069</v>
      </c>
      <c r="C515" s="5" t="str">
        <f>_xlfn.XLOOKUP(B515,Master[Product_Code],Master[Category])</f>
        <v>Jeans</v>
      </c>
      <c r="D515" s="2" t="str">
        <f>_xlfn.XLOOKUP(B515,Master[Product_Code],Master[Brand])</f>
        <v>Levis</v>
      </c>
      <c r="E515" s="2" t="str">
        <f>_xlfn.XLOOKUP(B515,Master[Product_Code],Master[Style])</f>
        <v>Baggy</v>
      </c>
      <c r="F515" s="2" t="str">
        <f>_xlfn.XLOOKUP(B515,Master[Product_Code],Master[Fabric])</f>
        <v>Denim</v>
      </c>
      <c r="G515" s="2">
        <f>_xlfn.XLOOKUP(B515,Master[Product_Code],Master[Size])</f>
        <v>44</v>
      </c>
      <c r="H515" s="2" t="str">
        <f>_xlfn.XLOOKUP(B515,Master[Product_Code],Master[Color])</f>
        <v>Charcoal</v>
      </c>
      <c r="I515" s="4">
        <f>_xlfn.XLOOKUP(B515,Master[Product_Code],Master[Stock_Qty])</f>
        <v>3</v>
      </c>
      <c r="J515" s="6">
        <f>SUMIFS(
  Sales_Entry[Qty],
  Sales_Entry[Product_Code], Stock_Table[[#This Row],[Product_Code]]
)</f>
        <v>3</v>
      </c>
      <c r="K515" s="4">
        <f>SUMIFS(
  Exchange_Return[Qty],
  Exchange_Return[Product_Code], Stock_Table[[#This Row],[Product_Code]]
)</f>
        <v>0</v>
      </c>
      <c r="L515" s="4">
        <f>I515-J515+K515</f>
        <v>0</v>
      </c>
      <c r="M515" s="2" t="str" cm="1">
        <f t="array" ref="M515">_xlfn.IFS(L515=0,"Out of Stock",L515&gt;=2,"Limited Stock",L515&lt;2,"In Stock")</f>
        <v>Out of Stock</v>
      </c>
    </row>
    <row r="516" spans="2:13">
      <c r="B516" s="2" t="s">
        <v>1070</v>
      </c>
      <c r="C516" s="5" t="str">
        <f>_xlfn.XLOOKUP(B516,Master[Product_Code],Master[Category])</f>
        <v>Jeans</v>
      </c>
      <c r="D516" s="2" t="str">
        <f>_xlfn.XLOOKUP(B516,Master[Product_Code],Master[Brand])</f>
        <v>Denim Pro</v>
      </c>
      <c r="E516" s="2" t="str">
        <f>_xlfn.XLOOKUP(B516,Master[Product_Code],Master[Style])</f>
        <v>Baggy</v>
      </c>
      <c r="F516" s="2" t="str">
        <f>_xlfn.XLOOKUP(B516,Master[Product_Code],Master[Fabric])</f>
        <v>Denim</v>
      </c>
      <c r="G516" s="2">
        <f>_xlfn.XLOOKUP(B516,Master[Product_Code],Master[Size])</f>
        <v>44</v>
      </c>
      <c r="H516" s="2" t="str">
        <f>_xlfn.XLOOKUP(B516,Master[Product_Code],Master[Color])</f>
        <v>Teal</v>
      </c>
      <c r="I516" s="4">
        <f>_xlfn.XLOOKUP(B516,Master[Product_Code],Master[Stock_Qty])</f>
        <v>5</v>
      </c>
      <c r="J516" s="6">
        <f>SUMIFS(
  Sales_Entry[Qty],
  Sales_Entry[Product_Code], Stock_Table[[#This Row],[Product_Code]]
)</f>
        <v>3</v>
      </c>
      <c r="K516" s="4">
        <f>SUMIFS(
  Exchange_Return[Qty],
  Exchange_Return[Product_Code], Stock_Table[[#This Row],[Product_Code]]
)</f>
        <v>0</v>
      </c>
      <c r="L516" s="4">
        <f>I516-J516+K516</f>
        <v>2</v>
      </c>
      <c r="M516" s="2" t="str" cm="1">
        <f t="array" ref="M516">_xlfn.IFS(L516=0,"Out of Stock",L516&gt;=2,"Limited Stock",L516&lt;2,"In Stock")</f>
        <v>Limited Stock</v>
      </c>
    </row>
    <row r="517" spans="2:13">
      <c r="B517" s="2" t="s">
        <v>1071</v>
      </c>
      <c r="C517" s="5" t="str">
        <f>_xlfn.XLOOKUP(B517,Master[Product_Code],Master[Category])</f>
        <v>Jeans</v>
      </c>
      <c r="D517" s="2" t="str">
        <f>_xlfn.XLOOKUP(B517,Master[Product_Code],Master[Brand])</f>
        <v>Wrangler</v>
      </c>
      <c r="E517" s="2" t="str">
        <f>_xlfn.XLOOKUP(B517,Master[Product_Code],Master[Style])</f>
        <v>Baggy</v>
      </c>
      <c r="F517" s="2" t="str">
        <f>_xlfn.XLOOKUP(B517,Master[Product_Code],Master[Fabric])</f>
        <v>Denim</v>
      </c>
      <c r="G517" s="2">
        <f>_xlfn.XLOOKUP(B517,Master[Product_Code],Master[Size])</f>
        <v>30</v>
      </c>
      <c r="H517" s="2" t="str">
        <f>_xlfn.XLOOKUP(B517,Master[Product_Code],Master[Color])</f>
        <v>Teal</v>
      </c>
      <c r="I517" s="4">
        <f>_xlfn.XLOOKUP(B517,Master[Product_Code],Master[Stock_Qty])</f>
        <v>5</v>
      </c>
      <c r="J517" s="6">
        <f>SUMIFS(
  Sales_Entry[Qty],
  Sales_Entry[Product_Code], Stock_Table[[#This Row],[Product_Code]]
)</f>
        <v>0</v>
      </c>
      <c r="K517" s="4">
        <f>SUMIFS(
  Exchange_Return[Qty],
  Exchange_Return[Product_Code], Stock_Table[[#This Row],[Product_Code]]
)</f>
        <v>0</v>
      </c>
      <c r="L517" s="4">
        <f>I517-J517+K517</f>
        <v>5</v>
      </c>
      <c r="M517" s="2" t="str" cm="1">
        <f t="array" ref="M517">_xlfn.IFS(L517=0,"Out of Stock",L517&gt;=2,"Limited Stock",L517&lt;2,"In Stock")</f>
        <v>Limited Stock</v>
      </c>
    </row>
    <row r="518" spans="2:13">
      <c r="B518" s="2" t="s">
        <v>1072</v>
      </c>
      <c r="C518" s="5" t="str">
        <f>_xlfn.XLOOKUP(B518,Master[Product_Code],Master[Category])</f>
        <v>Jeans</v>
      </c>
      <c r="D518" s="2" t="str">
        <f>_xlfn.XLOOKUP(B518,Master[Product_Code],Master[Brand])</f>
        <v>Levis</v>
      </c>
      <c r="E518" s="2" t="str">
        <f>_xlfn.XLOOKUP(B518,Master[Product_Code],Master[Style])</f>
        <v>Baggy</v>
      </c>
      <c r="F518" s="2" t="str">
        <f>_xlfn.XLOOKUP(B518,Master[Product_Code],Master[Fabric])</f>
        <v>Denim</v>
      </c>
      <c r="G518" s="2">
        <f>_xlfn.XLOOKUP(B518,Master[Product_Code],Master[Size])</f>
        <v>32</v>
      </c>
      <c r="H518" s="2" t="str">
        <f>_xlfn.XLOOKUP(B518,Master[Product_Code],Master[Color])</f>
        <v>Dark Green</v>
      </c>
      <c r="I518" s="4">
        <f>_xlfn.XLOOKUP(B518,Master[Product_Code],Master[Stock_Qty])</f>
        <v>3</v>
      </c>
      <c r="J518" s="6">
        <f>SUMIFS(
  Sales_Entry[Qty],
  Sales_Entry[Product_Code], Stock_Table[[#This Row],[Product_Code]]
)</f>
        <v>3</v>
      </c>
      <c r="K518" s="4">
        <f>SUMIFS(
  Exchange_Return[Qty],
  Exchange_Return[Product_Code], Stock_Table[[#This Row],[Product_Code]]
)</f>
        <v>0</v>
      </c>
      <c r="L518" s="4">
        <f>I518-J518+K518</f>
        <v>0</v>
      </c>
      <c r="M518" s="2" t="str" cm="1">
        <f t="array" ref="M518">_xlfn.IFS(L518=0,"Out of Stock",L518&gt;=2,"Limited Stock",L518&lt;2,"In Stock")</f>
        <v>Out of Stock</v>
      </c>
    </row>
    <row r="519" spans="2:13">
      <c r="B519" s="2" t="s">
        <v>1073</v>
      </c>
      <c r="C519" s="5" t="str">
        <f>_xlfn.XLOOKUP(B519,Master[Product_Code],Master[Category])</f>
        <v>Jeans</v>
      </c>
      <c r="D519" s="2" t="str">
        <f>_xlfn.XLOOKUP(B519,Master[Product_Code],Master[Brand])</f>
        <v>Denim Pro</v>
      </c>
      <c r="E519" s="2" t="str">
        <f>_xlfn.XLOOKUP(B519,Master[Product_Code],Master[Style])</f>
        <v>Mom Fit</v>
      </c>
      <c r="F519" s="2" t="str">
        <f>_xlfn.XLOOKUP(B519,Master[Product_Code],Master[Fabric])</f>
        <v>Denim</v>
      </c>
      <c r="G519" s="2">
        <f>_xlfn.XLOOKUP(B519,Master[Product_Code],Master[Size])</f>
        <v>40</v>
      </c>
      <c r="H519" s="2" t="str">
        <f>_xlfn.XLOOKUP(B519,Master[Product_Code],Master[Color])</f>
        <v>Sky Blue</v>
      </c>
      <c r="I519" s="4">
        <f>_xlfn.XLOOKUP(B519,Master[Product_Code],Master[Stock_Qty])</f>
        <v>5</v>
      </c>
      <c r="J519" s="6">
        <f>SUMIFS(
  Sales_Entry[Qty],
  Sales_Entry[Product_Code], Stock_Table[[#This Row],[Product_Code]]
)</f>
        <v>2</v>
      </c>
      <c r="K519" s="4">
        <f>SUMIFS(
  Exchange_Return[Qty],
  Exchange_Return[Product_Code], Stock_Table[[#This Row],[Product_Code]]
)</f>
        <v>0</v>
      </c>
      <c r="L519" s="4">
        <f>I519-J519+K519</f>
        <v>3</v>
      </c>
      <c r="M519" s="2" t="str" cm="1">
        <f t="array" ref="M519">_xlfn.IFS(L519=0,"Out of Stock",L519&gt;=2,"Limited Stock",L519&lt;2,"In Stock")</f>
        <v>Limited Stock</v>
      </c>
    </row>
    <row r="520" spans="2:13">
      <c r="B520" s="2" t="s">
        <v>1074</v>
      </c>
      <c r="C520" s="5" t="str">
        <f>_xlfn.XLOOKUP(B520,Master[Product_Code],Master[Category])</f>
        <v>Jeans</v>
      </c>
      <c r="D520" s="2" t="str">
        <f>_xlfn.XLOOKUP(B520,Master[Product_Code],Master[Brand])</f>
        <v>Pepe</v>
      </c>
      <c r="E520" s="2" t="str">
        <f>_xlfn.XLOOKUP(B520,Master[Product_Code],Master[Style])</f>
        <v>Jogger</v>
      </c>
      <c r="F520" s="2" t="str">
        <f>_xlfn.XLOOKUP(B520,Master[Product_Code],Master[Fabric])</f>
        <v>Denim</v>
      </c>
      <c r="G520" s="2">
        <f>_xlfn.XLOOKUP(B520,Master[Product_Code],Master[Size])</f>
        <v>34</v>
      </c>
      <c r="H520" s="2" t="str">
        <f>_xlfn.XLOOKUP(B520,Master[Product_Code],Master[Color])</f>
        <v>Maroon</v>
      </c>
      <c r="I520" s="4">
        <f>_xlfn.XLOOKUP(B520,Master[Product_Code],Master[Stock_Qty])</f>
        <v>3</v>
      </c>
      <c r="J520" s="6">
        <f>SUMIFS(
  Sales_Entry[Qty],
  Sales_Entry[Product_Code], Stock_Table[[#This Row],[Product_Code]]
)</f>
        <v>3</v>
      </c>
      <c r="K520" s="4">
        <f>SUMIFS(
  Exchange_Return[Qty],
  Exchange_Return[Product_Code], Stock_Table[[#This Row],[Product_Code]]
)</f>
        <v>1</v>
      </c>
      <c r="L520" s="4">
        <f>I520-J520+K520</f>
        <v>1</v>
      </c>
      <c r="M520" s="2" t="str" cm="1">
        <f t="array" ref="M520">_xlfn.IFS(L520=0,"Out of Stock",L520&gt;=2,"Limited Stock",L520&lt;2,"In Stock")</f>
        <v>In Stock</v>
      </c>
    </row>
    <row r="521" spans="2:13">
      <c r="B521" s="2" t="s">
        <v>1075</v>
      </c>
      <c r="C521" s="5" t="str">
        <f>_xlfn.XLOOKUP(B521,Master[Product_Code],Master[Category])</f>
        <v>Jeans</v>
      </c>
      <c r="D521" s="2" t="str">
        <f>_xlfn.XLOOKUP(B521,Master[Product_Code],Master[Brand])</f>
        <v>Pepe</v>
      </c>
      <c r="E521" s="2" t="str">
        <f>_xlfn.XLOOKUP(B521,Master[Product_Code],Master[Style])</f>
        <v>Jogger</v>
      </c>
      <c r="F521" s="2" t="str">
        <f>_xlfn.XLOOKUP(B521,Master[Product_Code],Master[Fabric])</f>
        <v>Denim</v>
      </c>
      <c r="G521" s="2">
        <f>_xlfn.XLOOKUP(B521,Master[Product_Code],Master[Size])</f>
        <v>42</v>
      </c>
      <c r="H521" s="2" t="str">
        <f>_xlfn.XLOOKUP(B521,Master[Product_Code],Master[Color])</f>
        <v>Rust</v>
      </c>
      <c r="I521" s="4">
        <f>_xlfn.XLOOKUP(B521,Master[Product_Code],Master[Stock_Qty])</f>
        <v>3</v>
      </c>
      <c r="J521" s="6">
        <f>SUMIFS(
  Sales_Entry[Qty],
  Sales_Entry[Product_Code], Stock_Table[[#This Row],[Product_Code]]
)</f>
        <v>1</v>
      </c>
      <c r="K521" s="4">
        <f>SUMIFS(
  Exchange_Return[Qty],
  Exchange_Return[Product_Code], Stock_Table[[#This Row],[Product_Code]]
)</f>
        <v>0</v>
      </c>
      <c r="L521" s="4">
        <f>I521-J521+K521</f>
        <v>2</v>
      </c>
      <c r="M521" s="2" t="str" cm="1">
        <f t="array" ref="M521">_xlfn.IFS(L521=0,"Out of Stock",L521&gt;=2,"Limited Stock",L521&lt;2,"In Stock")</f>
        <v>Limited Stock</v>
      </c>
    </row>
    <row r="522" spans="2:13">
      <c r="B522" s="2" t="s">
        <v>1076</v>
      </c>
      <c r="C522" s="5" t="str">
        <f>_xlfn.XLOOKUP(B522,Master[Product_Code],Master[Category])</f>
        <v>Jeans</v>
      </c>
      <c r="D522" s="2" t="str">
        <f>_xlfn.XLOOKUP(B522,Master[Product_Code],Master[Brand])</f>
        <v>Locomotive</v>
      </c>
      <c r="E522" s="2" t="str">
        <f>_xlfn.XLOOKUP(B522,Master[Product_Code],Master[Style])</f>
        <v>Jogger</v>
      </c>
      <c r="F522" s="2" t="str">
        <f>_xlfn.XLOOKUP(B522,Master[Product_Code],Master[Fabric])</f>
        <v>Denim</v>
      </c>
      <c r="G522" s="2">
        <f>_xlfn.XLOOKUP(B522,Master[Product_Code],Master[Size])</f>
        <v>42</v>
      </c>
      <c r="H522" s="2" t="str">
        <f>_xlfn.XLOOKUP(B522,Master[Product_Code],Master[Color])</f>
        <v>Dark Green</v>
      </c>
      <c r="I522" s="4">
        <f>_xlfn.XLOOKUP(B522,Master[Product_Code],Master[Stock_Qty])</f>
        <v>6</v>
      </c>
      <c r="J522" s="6">
        <f>SUMIFS(
  Sales_Entry[Qty],
  Sales_Entry[Product_Code], Stock_Table[[#This Row],[Product_Code]]
)</f>
        <v>1</v>
      </c>
      <c r="K522" s="4">
        <f>SUMIFS(
  Exchange_Return[Qty],
  Exchange_Return[Product_Code], Stock_Table[[#This Row],[Product_Code]]
)</f>
        <v>0</v>
      </c>
      <c r="L522" s="4">
        <f>I522-J522+K522</f>
        <v>5</v>
      </c>
      <c r="M522" s="2" t="str" cm="1">
        <f t="array" ref="M522">_xlfn.IFS(L522=0,"Out of Stock",L522&gt;=2,"Limited Stock",L522&lt;2,"In Stock")</f>
        <v>Limited Stock</v>
      </c>
    </row>
    <row r="523" spans="2:13">
      <c r="B523" s="2" t="s">
        <v>1077</v>
      </c>
      <c r="C523" s="5" t="str">
        <f>_xlfn.XLOOKUP(B523,Master[Product_Code],Master[Category])</f>
        <v>Jeans</v>
      </c>
      <c r="D523" s="2" t="str">
        <f>_xlfn.XLOOKUP(B523,Master[Product_Code],Master[Brand])</f>
        <v>Pepe</v>
      </c>
      <c r="E523" s="2" t="str">
        <f>_xlfn.XLOOKUP(B523,Master[Product_Code],Master[Style])</f>
        <v>Baggy</v>
      </c>
      <c r="F523" s="2" t="str">
        <f>_xlfn.XLOOKUP(B523,Master[Product_Code],Master[Fabric])</f>
        <v>Denim</v>
      </c>
      <c r="G523" s="2">
        <f>_xlfn.XLOOKUP(B523,Master[Product_Code],Master[Size])</f>
        <v>38</v>
      </c>
      <c r="H523" s="2" t="str">
        <f>_xlfn.XLOOKUP(B523,Master[Product_Code],Master[Color])</f>
        <v>White</v>
      </c>
      <c r="I523" s="4">
        <f>_xlfn.XLOOKUP(B523,Master[Product_Code],Master[Stock_Qty])</f>
        <v>6</v>
      </c>
      <c r="J523" s="6">
        <f>SUMIFS(
  Sales_Entry[Qty],
  Sales_Entry[Product_Code], Stock_Table[[#This Row],[Product_Code]]
)</f>
        <v>1</v>
      </c>
      <c r="K523" s="4">
        <f>SUMIFS(
  Exchange_Return[Qty],
  Exchange_Return[Product_Code], Stock_Table[[#This Row],[Product_Code]]
)</f>
        <v>0</v>
      </c>
      <c r="L523" s="4">
        <f>I523-J523+K523</f>
        <v>5</v>
      </c>
      <c r="M523" s="2" t="str" cm="1">
        <f t="array" ref="M523">_xlfn.IFS(L523=0,"Out of Stock",L523&gt;=2,"Limited Stock",L523&lt;2,"In Stock")</f>
        <v>Limited Stock</v>
      </c>
    </row>
    <row r="524" spans="2:13">
      <c r="B524" s="2" t="s">
        <v>1078</v>
      </c>
      <c r="C524" s="5" t="str">
        <f>_xlfn.XLOOKUP(B524,Master[Product_Code],Master[Category])</f>
        <v>Jeans</v>
      </c>
      <c r="D524" s="2" t="str">
        <f>_xlfn.XLOOKUP(B524,Master[Product_Code],Master[Brand])</f>
        <v>Spykar</v>
      </c>
      <c r="E524" s="2" t="str">
        <f>_xlfn.XLOOKUP(B524,Master[Product_Code],Master[Style])</f>
        <v>Jogger</v>
      </c>
      <c r="F524" s="2" t="str">
        <f>_xlfn.XLOOKUP(B524,Master[Product_Code],Master[Fabric])</f>
        <v>Denim</v>
      </c>
      <c r="G524" s="2">
        <f>_xlfn.XLOOKUP(B524,Master[Product_Code],Master[Size])</f>
        <v>44</v>
      </c>
      <c r="H524" s="2" t="str">
        <f>_xlfn.XLOOKUP(B524,Master[Product_Code],Master[Color])</f>
        <v>Maroon</v>
      </c>
      <c r="I524" s="4">
        <f>_xlfn.XLOOKUP(B524,Master[Product_Code],Master[Stock_Qty])</f>
        <v>4</v>
      </c>
      <c r="J524" s="6">
        <f>SUMIFS(
  Sales_Entry[Qty],
  Sales_Entry[Product_Code], Stock_Table[[#This Row],[Product_Code]]
)</f>
        <v>1</v>
      </c>
      <c r="K524" s="4">
        <f>SUMIFS(
  Exchange_Return[Qty],
  Exchange_Return[Product_Code], Stock_Table[[#This Row],[Product_Code]]
)</f>
        <v>0</v>
      </c>
      <c r="L524" s="4">
        <f>I524-J524+K524</f>
        <v>3</v>
      </c>
      <c r="M524" s="2" t="str" cm="1">
        <f t="array" ref="M524">_xlfn.IFS(L524=0,"Out of Stock",L524&gt;=2,"Limited Stock",L524&lt;2,"In Stock")</f>
        <v>Limited Stock</v>
      </c>
    </row>
    <row r="525" spans="2:13">
      <c r="B525" s="2" t="s">
        <v>1079</v>
      </c>
      <c r="C525" s="5" t="str">
        <f>_xlfn.XLOOKUP(B525,Master[Product_Code],Master[Category])</f>
        <v>Jeans</v>
      </c>
      <c r="D525" s="2" t="str">
        <f>_xlfn.XLOOKUP(B525,Master[Product_Code],Master[Brand])</f>
        <v>Pepe</v>
      </c>
      <c r="E525" s="2" t="str">
        <f>_xlfn.XLOOKUP(B525,Master[Product_Code],Master[Style])</f>
        <v>Jogger</v>
      </c>
      <c r="F525" s="2" t="str">
        <f>_xlfn.XLOOKUP(B525,Master[Product_Code],Master[Fabric])</f>
        <v>Denim</v>
      </c>
      <c r="G525" s="2">
        <f>_xlfn.XLOOKUP(B525,Master[Product_Code],Master[Size])</f>
        <v>42</v>
      </c>
      <c r="H525" s="2" t="str">
        <f>_xlfn.XLOOKUP(B525,Master[Product_Code],Master[Color])</f>
        <v>Black</v>
      </c>
      <c r="I525" s="4">
        <f>_xlfn.XLOOKUP(B525,Master[Product_Code],Master[Stock_Qty])</f>
        <v>6</v>
      </c>
      <c r="J525" s="6">
        <f>SUMIFS(
  Sales_Entry[Qty],
  Sales_Entry[Product_Code], Stock_Table[[#This Row],[Product_Code]]
)</f>
        <v>0</v>
      </c>
      <c r="K525" s="4">
        <f>SUMIFS(
  Exchange_Return[Qty],
  Exchange_Return[Product_Code], Stock_Table[[#This Row],[Product_Code]]
)</f>
        <v>0</v>
      </c>
      <c r="L525" s="4">
        <f>I525-J525+K525</f>
        <v>6</v>
      </c>
      <c r="M525" s="2" t="str" cm="1">
        <f t="array" ref="M525">_xlfn.IFS(L525=0,"Out of Stock",L525&gt;=2,"Limited Stock",L525&lt;2,"In Stock")</f>
        <v>Limited Stock</v>
      </c>
    </row>
    <row r="526" spans="2:13">
      <c r="B526" s="2" t="s">
        <v>1080</v>
      </c>
      <c r="C526" s="5" t="str">
        <f>_xlfn.XLOOKUP(B526,Master[Product_Code],Master[Category])</f>
        <v>Jeans</v>
      </c>
      <c r="D526" s="2" t="str">
        <f>_xlfn.XLOOKUP(B526,Master[Product_Code],Master[Brand])</f>
        <v>Locomotive</v>
      </c>
      <c r="E526" s="2" t="str">
        <f>_xlfn.XLOOKUP(B526,Master[Product_Code],Master[Style])</f>
        <v>Mom Fit</v>
      </c>
      <c r="F526" s="2" t="str">
        <f>_xlfn.XLOOKUP(B526,Master[Product_Code],Master[Fabric])</f>
        <v>Denim</v>
      </c>
      <c r="G526" s="2">
        <f>_xlfn.XLOOKUP(B526,Master[Product_Code],Master[Size])</f>
        <v>32</v>
      </c>
      <c r="H526" s="2" t="str">
        <f>_xlfn.XLOOKUP(B526,Master[Product_Code],Master[Color])</f>
        <v>Black</v>
      </c>
      <c r="I526" s="4">
        <f>_xlfn.XLOOKUP(B526,Master[Product_Code],Master[Stock_Qty])</f>
        <v>4</v>
      </c>
      <c r="J526" s="6">
        <f>SUMIFS(
  Sales_Entry[Qty],
  Sales_Entry[Product_Code], Stock_Table[[#This Row],[Product_Code]]
)</f>
        <v>2</v>
      </c>
      <c r="K526" s="4">
        <f>SUMIFS(
  Exchange_Return[Qty],
  Exchange_Return[Product_Code], Stock_Table[[#This Row],[Product_Code]]
)</f>
        <v>0</v>
      </c>
      <c r="L526" s="4">
        <f>I526-J526+K526</f>
        <v>2</v>
      </c>
      <c r="M526" s="2" t="str" cm="1">
        <f t="array" ref="M526">_xlfn.IFS(L526=0,"Out of Stock",L526&gt;=2,"Limited Stock",L526&lt;2,"In Stock")</f>
        <v>Limited Stock</v>
      </c>
    </row>
    <row r="527" spans="2:13">
      <c r="B527" s="2" t="s">
        <v>1081</v>
      </c>
      <c r="C527" s="5" t="str">
        <f>_xlfn.XLOOKUP(B527,Master[Product_Code],Master[Category])</f>
        <v>Jeans</v>
      </c>
      <c r="D527" s="2" t="str">
        <f>_xlfn.XLOOKUP(B527,Master[Product_Code],Master[Brand])</f>
        <v>Pepe</v>
      </c>
      <c r="E527" s="2" t="str">
        <f>_xlfn.XLOOKUP(B527,Master[Product_Code],Master[Style])</f>
        <v>Baggy</v>
      </c>
      <c r="F527" s="2" t="str">
        <f>_xlfn.XLOOKUP(B527,Master[Product_Code],Master[Fabric])</f>
        <v>Denim</v>
      </c>
      <c r="G527" s="2">
        <f>_xlfn.XLOOKUP(B527,Master[Product_Code],Master[Size])</f>
        <v>42</v>
      </c>
      <c r="H527" s="2" t="str">
        <f>_xlfn.XLOOKUP(B527,Master[Product_Code],Master[Color])</f>
        <v>Royal Blue</v>
      </c>
      <c r="I527" s="4">
        <f>_xlfn.XLOOKUP(B527,Master[Product_Code],Master[Stock_Qty])</f>
        <v>4</v>
      </c>
      <c r="J527" s="6">
        <f>SUMIFS(
  Sales_Entry[Qty],
  Sales_Entry[Product_Code], Stock_Table[[#This Row],[Product_Code]]
)</f>
        <v>3</v>
      </c>
      <c r="K527" s="4">
        <f>SUMIFS(
  Exchange_Return[Qty],
  Exchange_Return[Product_Code], Stock_Table[[#This Row],[Product_Code]]
)</f>
        <v>0</v>
      </c>
      <c r="L527" s="4">
        <f>I527-J527+K527</f>
        <v>1</v>
      </c>
      <c r="M527" s="2" t="str" cm="1">
        <f t="array" ref="M527">_xlfn.IFS(L527=0,"Out of Stock",L527&gt;=2,"Limited Stock",L527&lt;2,"In Stock")</f>
        <v>In Stock</v>
      </c>
    </row>
    <row r="528" spans="2:13">
      <c r="B528" s="2" t="s">
        <v>1082</v>
      </c>
      <c r="C528" s="5" t="str">
        <f>_xlfn.XLOOKUP(B528,Master[Product_Code],Master[Category])</f>
        <v>Jeans</v>
      </c>
      <c r="D528" s="2" t="str">
        <f>_xlfn.XLOOKUP(B528,Master[Product_Code],Master[Brand])</f>
        <v>Locomotive</v>
      </c>
      <c r="E528" s="2" t="str">
        <f>_xlfn.XLOOKUP(B528,Master[Product_Code],Master[Style])</f>
        <v>Mom Fit</v>
      </c>
      <c r="F528" s="2" t="str">
        <f>_xlfn.XLOOKUP(B528,Master[Product_Code],Master[Fabric])</f>
        <v>Denim</v>
      </c>
      <c r="G528" s="2">
        <f>_xlfn.XLOOKUP(B528,Master[Product_Code],Master[Size])</f>
        <v>30</v>
      </c>
      <c r="H528" s="2" t="str">
        <f>_xlfn.XLOOKUP(B528,Master[Product_Code],Master[Color])</f>
        <v>Peach</v>
      </c>
      <c r="I528" s="4">
        <f>_xlfn.XLOOKUP(B528,Master[Product_Code],Master[Stock_Qty])</f>
        <v>4</v>
      </c>
      <c r="J528" s="6">
        <f>SUMIFS(
  Sales_Entry[Qty],
  Sales_Entry[Product_Code], Stock_Table[[#This Row],[Product_Code]]
)</f>
        <v>0</v>
      </c>
      <c r="K528" s="4">
        <f>SUMIFS(
  Exchange_Return[Qty],
  Exchange_Return[Product_Code], Stock_Table[[#This Row],[Product_Code]]
)</f>
        <v>0</v>
      </c>
      <c r="L528" s="4">
        <f>I528-J528+K528</f>
        <v>4</v>
      </c>
      <c r="M528" s="2" t="str" cm="1">
        <f t="array" ref="M528">_xlfn.IFS(L528=0,"Out of Stock",L528&gt;=2,"Limited Stock",L528&lt;2,"In Stock")</f>
        <v>Limited Stock</v>
      </c>
    </row>
    <row r="529" spans="2:13">
      <c r="B529" s="2" t="s">
        <v>1083</v>
      </c>
      <c r="C529" s="5" t="str">
        <f>_xlfn.XLOOKUP(B529,Master[Product_Code],Master[Category])</f>
        <v>Jeans</v>
      </c>
      <c r="D529" s="2" t="str">
        <f>_xlfn.XLOOKUP(B529,Master[Product_Code],Master[Brand])</f>
        <v>Spykar</v>
      </c>
      <c r="E529" s="2" t="str">
        <f>_xlfn.XLOOKUP(B529,Master[Product_Code],Master[Style])</f>
        <v>Baggy</v>
      </c>
      <c r="F529" s="2" t="str">
        <f>_xlfn.XLOOKUP(B529,Master[Product_Code],Master[Fabric])</f>
        <v>Denim</v>
      </c>
      <c r="G529" s="2">
        <f>_xlfn.XLOOKUP(B529,Master[Product_Code],Master[Size])</f>
        <v>40</v>
      </c>
      <c r="H529" s="2" t="str">
        <f>_xlfn.XLOOKUP(B529,Master[Product_Code],Master[Color])</f>
        <v>Mustard</v>
      </c>
      <c r="I529" s="4">
        <f>_xlfn.XLOOKUP(B529,Master[Product_Code],Master[Stock_Qty])</f>
        <v>3</v>
      </c>
      <c r="J529" s="6">
        <f>SUMIFS(
  Sales_Entry[Qty],
  Sales_Entry[Product_Code], Stock_Table[[#This Row],[Product_Code]]
)</f>
        <v>3</v>
      </c>
      <c r="K529" s="4">
        <f>SUMIFS(
  Exchange_Return[Qty],
  Exchange_Return[Product_Code], Stock_Table[[#This Row],[Product_Code]]
)</f>
        <v>0</v>
      </c>
      <c r="L529" s="4">
        <f>I529-J529+K529</f>
        <v>0</v>
      </c>
      <c r="M529" s="2" t="str" cm="1">
        <f t="array" ref="M529">_xlfn.IFS(L529=0,"Out of Stock",L529&gt;=2,"Limited Stock",L529&lt;2,"In Stock")</f>
        <v>Out of Stock</v>
      </c>
    </row>
    <row r="530" spans="2:13">
      <c r="B530" s="2" t="s">
        <v>1084</v>
      </c>
      <c r="C530" s="5" t="str">
        <f>_xlfn.XLOOKUP(B530,Master[Product_Code],Master[Category])</f>
        <v>Jeans</v>
      </c>
      <c r="D530" s="2" t="str">
        <f>_xlfn.XLOOKUP(B530,Master[Product_Code],Master[Brand])</f>
        <v>Locomotive</v>
      </c>
      <c r="E530" s="2" t="str">
        <f>_xlfn.XLOOKUP(B530,Master[Product_Code],Master[Style])</f>
        <v>Jogger</v>
      </c>
      <c r="F530" s="2" t="str">
        <f>_xlfn.XLOOKUP(B530,Master[Product_Code],Master[Fabric])</f>
        <v>Denim</v>
      </c>
      <c r="G530" s="2">
        <f>_xlfn.XLOOKUP(B530,Master[Product_Code],Master[Size])</f>
        <v>38</v>
      </c>
      <c r="H530" s="2" t="str">
        <f>_xlfn.XLOOKUP(B530,Master[Product_Code],Master[Color])</f>
        <v>Grey</v>
      </c>
      <c r="I530" s="4">
        <f>_xlfn.XLOOKUP(B530,Master[Product_Code],Master[Stock_Qty])</f>
        <v>3</v>
      </c>
      <c r="J530" s="6">
        <f>SUMIFS(
  Sales_Entry[Qty],
  Sales_Entry[Product_Code], Stock_Table[[#This Row],[Product_Code]]
)</f>
        <v>2</v>
      </c>
      <c r="K530" s="4">
        <f>SUMIFS(
  Exchange_Return[Qty],
  Exchange_Return[Product_Code], Stock_Table[[#This Row],[Product_Code]]
)</f>
        <v>0</v>
      </c>
      <c r="L530" s="4">
        <f>I530-J530+K530</f>
        <v>1</v>
      </c>
      <c r="M530" s="2" t="str" cm="1">
        <f t="array" ref="M530">_xlfn.IFS(L530=0,"Out of Stock",L530&gt;=2,"Limited Stock",L530&lt;2,"In Stock")</f>
        <v>In Stock</v>
      </c>
    </row>
    <row r="531" spans="2:13">
      <c r="B531" s="2" t="s">
        <v>1085</v>
      </c>
      <c r="C531" s="5" t="str">
        <f>_xlfn.XLOOKUP(B531,Master[Product_Code],Master[Category])</f>
        <v>Jeans</v>
      </c>
      <c r="D531" s="2" t="str">
        <f>_xlfn.XLOOKUP(B531,Master[Product_Code],Master[Brand])</f>
        <v>Spykar</v>
      </c>
      <c r="E531" s="2" t="str">
        <f>_xlfn.XLOOKUP(B531,Master[Product_Code],Master[Style])</f>
        <v>Baggy</v>
      </c>
      <c r="F531" s="2" t="str">
        <f>_xlfn.XLOOKUP(B531,Master[Product_Code],Master[Fabric])</f>
        <v>Denim</v>
      </c>
      <c r="G531" s="2">
        <f>_xlfn.XLOOKUP(B531,Master[Product_Code],Master[Size])</f>
        <v>30</v>
      </c>
      <c r="H531" s="2" t="str">
        <f>_xlfn.XLOOKUP(B531,Master[Product_Code],Master[Color])</f>
        <v>Beige</v>
      </c>
      <c r="I531" s="4">
        <f>_xlfn.XLOOKUP(B531,Master[Product_Code],Master[Stock_Qty])</f>
        <v>4</v>
      </c>
      <c r="J531" s="6">
        <f>SUMIFS(
  Sales_Entry[Qty],
  Sales_Entry[Product_Code], Stock_Table[[#This Row],[Product_Code]]
)</f>
        <v>0</v>
      </c>
      <c r="K531" s="4">
        <f>SUMIFS(
  Exchange_Return[Qty],
  Exchange_Return[Product_Code], Stock_Table[[#This Row],[Product_Code]]
)</f>
        <v>0</v>
      </c>
      <c r="L531" s="4">
        <f>I531-J531+K531</f>
        <v>4</v>
      </c>
      <c r="M531" s="2" t="str" cm="1">
        <f t="array" ref="M531">_xlfn.IFS(L531=0,"Out of Stock",L531&gt;=2,"Limited Stock",L531&lt;2,"In Stock")</f>
        <v>Limited Stock</v>
      </c>
    </row>
    <row r="532" spans="2:13">
      <c r="B532" s="2" t="s">
        <v>1086</v>
      </c>
      <c r="C532" s="5" t="str">
        <f>_xlfn.XLOOKUP(B532,Master[Product_Code],Master[Category])</f>
        <v>Jeans</v>
      </c>
      <c r="D532" s="2" t="str">
        <f>_xlfn.XLOOKUP(B532,Master[Product_Code],Master[Brand])</f>
        <v>Levis</v>
      </c>
      <c r="E532" s="2" t="str">
        <f>_xlfn.XLOOKUP(B532,Master[Product_Code],Master[Style])</f>
        <v>Mom Fit</v>
      </c>
      <c r="F532" s="2" t="str">
        <f>_xlfn.XLOOKUP(B532,Master[Product_Code],Master[Fabric])</f>
        <v>Denim</v>
      </c>
      <c r="G532" s="2">
        <f>_xlfn.XLOOKUP(B532,Master[Product_Code],Master[Size])</f>
        <v>44</v>
      </c>
      <c r="H532" s="2" t="str">
        <f>_xlfn.XLOOKUP(B532,Master[Product_Code],Master[Color])</f>
        <v>Olive</v>
      </c>
      <c r="I532" s="4">
        <f>_xlfn.XLOOKUP(B532,Master[Product_Code],Master[Stock_Qty])</f>
        <v>6</v>
      </c>
      <c r="J532" s="6">
        <f>SUMIFS(
  Sales_Entry[Qty],
  Sales_Entry[Product_Code], Stock_Table[[#This Row],[Product_Code]]
)</f>
        <v>4</v>
      </c>
      <c r="K532" s="4">
        <f>SUMIFS(
  Exchange_Return[Qty],
  Exchange_Return[Product_Code], Stock_Table[[#This Row],[Product_Code]]
)</f>
        <v>2</v>
      </c>
      <c r="L532" s="4">
        <f>I532-J532+K532</f>
        <v>4</v>
      </c>
      <c r="M532" s="2" t="str" cm="1">
        <f t="array" ref="M532">_xlfn.IFS(L532=0,"Out of Stock",L532&gt;=2,"Limited Stock",L532&lt;2,"In Stock")</f>
        <v>Limited Stock</v>
      </c>
    </row>
    <row r="533" spans="2:13">
      <c r="B533" s="2" t="s">
        <v>1087</v>
      </c>
      <c r="C533" s="5" t="str">
        <f>_xlfn.XLOOKUP(B533,Master[Product_Code],Master[Category])</f>
        <v>Jeans</v>
      </c>
      <c r="D533" s="2" t="str">
        <f>_xlfn.XLOOKUP(B533,Master[Product_Code],Master[Brand])</f>
        <v>Locomotive</v>
      </c>
      <c r="E533" s="2" t="str">
        <f>_xlfn.XLOOKUP(B533,Master[Product_Code],Master[Style])</f>
        <v>Mom Fit</v>
      </c>
      <c r="F533" s="2" t="str">
        <f>_xlfn.XLOOKUP(B533,Master[Product_Code],Master[Fabric])</f>
        <v>Denim</v>
      </c>
      <c r="G533" s="2">
        <f>_xlfn.XLOOKUP(B533,Master[Product_Code],Master[Size])</f>
        <v>30</v>
      </c>
      <c r="H533" s="2" t="str">
        <f>_xlfn.XLOOKUP(B533,Master[Product_Code],Master[Color])</f>
        <v>Royal Blue</v>
      </c>
      <c r="I533" s="4">
        <f>_xlfn.XLOOKUP(B533,Master[Product_Code],Master[Stock_Qty])</f>
        <v>6</v>
      </c>
      <c r="J533" s="6">
        <f>SUMIFS(
  Sales_Entry[Qty],
  Sales_Entry[Product_Code], Stock_Table[[#This Row],[Product_Code]]
)</f>
        <v>1</v>
      </c>
      <c r="K533" s="4">
        <f>SUMIFS(
  Exchange_Return[Qty],
  Exchange_Return[Product_Code], Stock_Table[[#This Row],[Product_Code]]
)</f>
        <v>0</v>
      </c>
      <c r="L533" s="4">
        <f>I533-J533+K533</f>
        <v>5</v>
      </c>
      <c r="M533" s="2" t="str" cm="1">
        <f t="array" ref="M533">_xlfn.IFS(L533=0,"Out of Stock",L533&gt;=2,"Limited Stock",L533&lt;2,"In Stock")</f>
        <v>Limited Stock</v>
      </c>
    </row>
    <row r="534" spans="2:13">
      <c r="B534" s="2" t="s">
        <v>1088</v>
      </c>
      <c r="C534" s="5" t="str">
        <f>_xlfn.XLOOKUP(B534,Master[Product_Code],Master[Category])</f>
        <v>Jeans</v>
      </c>
      <c r="D534" s="2" t="str">
        <f>_xlfn.XLOOKUP(B534,Master[Product_Code],Master[Brand])</f>
        <v>Spykar</v>
      </c>
      <c r="E534" s="2" t="str">
        <f>_xlfn.XLOOKUP(B534,Master[Product_Code],Master[Style])</f>
        <v>Mom Fit</v>
      </c>
      <c r="F534" s="2" t="str">
        <f>_xlfn.XLOOKUP(B534,Master[Product_Code],Master[Fabric])</f>
        <v>Denim</v>
      </c>
      <c r="G534" s="2">
        <f>_xlfn.XLOOKUP(B534,Master[Product_Code],Master[Size])</f>
        <v>30</v>
      </c>
      <c r="H534" s="2" t="str">
        <f>_xlfn.XLOOKUP(B534,Master[Product_Code],Master[Color])</f>
        <v>Black</v>
      </c>
      <c r="I534" s="4">
        <f>_xlfn.XLOOKUP(B534,Master[Product_Code],Master[Stock_Qty])</f>
        <v>3</v>
      </c>
      <c r="J534" s="6">
        <f>SUMIFS(
  Sales_Entry[Qty],
  Sales_Entry[Product_Code], Stock_Table[[#This Row],[Product_Code]]
)</f>
        <v>0</v>
      </c>
      <c r="K534" s="4">
        <f>SUMIFS(
  Exchange_Return[Qty],
  Exchange_Return[Product_Code], Stock_Table[[#This Row],[Product_Code]]
)</f>
        <v>0</v>
      </c>
      <c r="L534" s="4">
        <f>I534-J534+K534</f>
        <v>3</v>
      </c>
      <c r="M534" s="2" t="str" cm="1">
        <f t="array" ref="M534">_xlfn.IFS(L534=0,"Out of Stock",L534&gt;=2,"Limited Stock",L534&lt;2,"In Stock")</f>
        <v>Limited Stock</v>
      </c>
    </row>
    <row r="535" spans="2:13">
      <c r="B535" s="2" t="s">
        <v>1089</v>
      </c>
      <c r="C535" s="5" t="str">
        <f>_xlfn.XLOOKUP(B535,Master[Product_Code],Master[Category])</f>
        <v>Jeans</v>
      </c>
      <c r="D535" s="2" t="str">
        <f>_xlfn.XLOOKUP(B535,Master[Product_Code],Master[Brand])</f>
        <v>Pepe</v>
      </c>
      <c r="E535" s="2" t="str">
        <f>_xlfn.XLOOKUP(B535,Master[Product_Code],Master[Style])</f>
        <v>Jogger</v>
      </c>
      <c r="F535" s="2" t="str">
        <f>_xlfn.XLOOKUP(B535,Master[Product_Code],Master[Fabric])</f>
        <v>Denim</v>
      </c>
      <c r="G535" s="2">
        <f>_xlfn.XLOOKUP(B535,Master[Product_Code],Master[Size])</f>
        <v>40</v>
      </c>
      <c r="H535" s="2" t="str">
        <f>_xlfn.XLOOKUP(B535,Master[Product_Code],Master[Color])</f>
        <v>Peach</v>
      </c>
      <c r="I535" s="4">
        <f>_xlfn.XLOOKUP(B535,Master[Product_Code],Master[Stock_Qty])</f>
        <v>4</v>
      </c>
      <c r="J535" s="6">
        <f>SUMIFS(
  Sales_Entry[Qty],
  Sales_Entry[Product_Code], Stock_Table[[#This Row],[Product_Code]]
)</f>
        <v>4</v>
      </c>
      <c r="K535" s="4">
        <f>SUMIFS(
  Exchange_Return[Qty],
  Exchange_Return[Product_Code], Stock_Table[[#This Row],[Product_Code]]
)</f>
        <v>0</v>
      </c>
      <c r="L535" s="4">
        <f>I535-J535+K535</f>
        <v>0</v>
      </c>
      <c r="M535" s="2" t="str" cm="1">
        <f t="array" ref="M535">_xlfn.IFS(L535=0,"Out of Stock",L535&gt;=2,"Limited Stock",L535&lt;2,"In Stock")</f>
        <v>Out of Stock</v>
      </c>
    </row>
    <row r="536" spans="2:13">
      <c r="B536" s="2" t="s">
        <v>1090</v>
      </c>
      <c r="C536" s="5" t="str">
        <f>_xlfn.XLOOKUP(B536,Master[Product_Code],Master[Category])</f>
        <v>Jeans</v>
      </c>
      <c r="D536" s="2" t="str">
        <f>_xlfn.XLOOKUP(B536,Master[Product_Code],Master[Brand])</f>
        <v>Spykar</v>
      </c>
      <c r="E536" s="2" t="str">
        <f>_xlfn.XLOOKUP(B536,Master[Product_Code],Master[Style])</f>
        <v>Jogger</v>
      </c>
      <c r="F536" s="2" t="str">
        <f>_xlfn.XLOOKUP(B536,Master[Product_Code],Master[Fabric])</f>
        <v>Denim</v>
      </c>
      <c r="G536" s="2">
        <f>_xlfn.XLOOKUP(B536,Master[Product_Code],Master[Size])</f>
        <v>44</v>
      </c>
      <c r="H536" s="2" t="str">
        <f>_xlfn.XLOOKUP(B536,Master[Product_Code],Master[Color])</f>
        <v>Cream</v>
      </c>
      <c r="I536" s="4">
        <f>_xlfn.XLOOKUP(B536,Master[Product_Code],Master[Stock_Qty])</f>
        <v>6</v>
      </c>
      <c r="J536" s="6">
        <f>SUMIFS(
  Sales_Entry[Qty],
  Sales_Entry[Product_Code], Stock_Table[[#This Row],[Product_Code]]
)</f>
        <v>1</v>
      </c>
      <c r="K536" s="4">
        <f>SUMIFS(
  Exchange_Return[Qty],
  Exchange_Return[Product_Code], Stock_Table[[#This Row],[Product_Code]]
)</f>
        <v>0</v>
      </c>
      <c r="L536" s="4">
        <f>I536-J536+K536</f>
        <v>5</v>
      </c>
      <c r="M536" s="2" t="str" cm="1">
        <f t="array" ref="M536">_xlfn.IFS(L536=0,"Out of Stock",L536&gt;=2,"Limited Stock",L536&lt;2,"In Stock")</f>
        <v>Limited Stock</v>
      </c>
    </row>
    <row r="537" spans="2:13">
      <c r="B537" s="2" t="s">
        <v>1091</v>
      </c>
      <c r="C537" s="5" t="str">
        <f>_xlfn.XLOOKUP(B537,Master[Product_Code],Master[Category])</f>
        <v>Jeans</v>
      </c>
      <c r="D537" s="2" t="str">
        <f>_xlfn.XLOOKUP(B537,Master[Product_Code],Master[Brand])</f>
        <v>Spykar</v>
      </c>
      <c r="E537" s="2" t="str">
        <f>_xlfn.XLOOKUP(B537,Master[Product_Code],Master[Style])</f>
        <v>Jogger</v>
      </c>
      <c r="F537" s="2" t="str">
        <f>_xlfn.XLOOKUP(B537,Master[Product_Code],Master[Fabric])</f>
        <v>Denim</v>
      </c>
      <c r="G537" s="2">
        <f>_xlfn.XLOOKUP(B537,Master[Product_Code],Master[Size])</f>
        <v>32</v>
      </c>
      <c r="H537" s="2" t="str">
        <f>_xlfn.XLOOKUP(B537,Master[Product_Code],Master[Color])</f>
        <v>Peach</v>
      </c>
      <c r="I537" s="4">
        <f>_xlfn.XLOOKUP(B537,Master[Product_Code],Master[Stock_Qty])</f>
        <v>3</v>
      </c>
      <c r="J537" s="6">
        <f>SUMIFS(
  Sales_Entry[Qty],
  Sales_Entry[Product_Code], Stock_Table[[#This Row],[Product_Code]]
)</f>
        <v>1</v>
      </c>
      <c r="K537" s="4">
        <f>SUMIFS(
  Exchange_Return[Qty],
  Exchange_Return[Product_Code], Stock_Table[[#This Row],[Product_Code]]
)</f>
        <v>0</v>
      </c>
      <c r="L537" s="4">
        <f>I537-J537+K537</f>
        <v>2</v>
      </c>
      <c r="M537" s="2" t="str" cm="1">
        <f t="array" ref="M537">_xlfn.IFS(L537=0,"Out of Stock",L537&gt;=2,"Limited Stock",L537&lt;2,"In Stock")</f>
        <v>Limited Stock</v>
      </c>
    </row>
    <row r="538" spans="2:13">
      <c r="B538" s="2" t="s">
        <v>1092</v>
      </c>
      <c r="C538" s="5" t="str">
        <f>_xlfn.XLOOKUP(B538,Master[Product_Code],Master[Category])</f>
        <v>Jeans</v>
      </c>
      <c r="D538" s="2" t="str">
        <f>_xlfn.XLOOKUP(B538,Master[Product_Code],Master[Brand])</f>
        <v>Wrangler</v>
      </c>
      <c r="E538" s="2" t="str">
        <f>_xlfn.XLOOKUP(B538,Master[Product_Code],Master[Style])</f>
        <v>Baggy</v>
      </c>
      <c r="F538" s="2" t="str">
        <f>_xlfn.XLOOKUP(B538,Master[Product_Code],Master[Fabric])</f>
        <v>Denim</v>
      </c>
      <c r="G538" s="2">
        <f>_xlfn.XLOOKUP(B538,Master[Product_Code],Master[Size])</f>
        <v>28</v>
      </c>
      <c r="H538" s="2" t="str">
        <f>_xlfn.XLOOKUP(B538,Master[Product_Code],Master[Color])</f>
        <v>Dark Green</v>
      </c>
      <c r="I538" s="4">
        <f>_xlfn.XLOOKUP(B538,Master[Product_Code],Master[Stock_Qty])</f>
        <v>4</v>
      </c>
      <c r="J538" s="6">
        <f>SUMIFS(
  Sales_Entry[Qty],
  Sales_Entry[Product_Code], Stock_Table[[#This Row],[Product_Code]]
)</f>
        <v>2</v>
      </c>
      <c r="K538" s="4">
        <f>SUMIFS(
  Exchange_Return[Qty],
  Exchange_Return[Product_Code], Stock_Table[[#This Row],[Product_Code]]
)</f>
        <v>0</v>
      </c>
      <c r="L538" s="4">
        <f>I538-J538+K538</f>
        <v>2</v>
      </c>
      <c r="M538" s="2" t="str" cm="1">
        <f t="array" ref="M538">_xlfn.IFS(L538=0,"Out of Stock",L538&gt;=2,"Limited Stock",L538&lt;2,"In Stock")</f>
        <v>Limited Stock</v>
      </c>
    </row>
    <row r="539" spans="2:13">
      <c r="B539" s="2" t="s">
        <v>1093</v>
      </c>
      <c r="C539" s="5" t="str">
        <f>_xlfn.XLOOKUP(B539,Master[Product_Code],Master[Category])</f>
        <v>Jeans</v>
      </c>
      <c r="D539" s="2" t="str">
        <f>_xlfn.XLOOKUP(B539,Master[Product_Code],Master[Brand])</f>
        <v>Pepe</v>
      </c>
      <c r="E539" s="2" t="str">
        <f>_xlfn.XLOOKUP(B539,Master[Product_Code],Master[Style])</f>
        <v>Jogger</v>
      </c>
      <c r="F539" s="2" t="str">
        <f>_xlfn.XLOOKUP(B539,Master[Product_Code],Master[Fabric])</f>
        <v>Denim</v>
      </c>
      <c r="G539" s="2">
        <f>_xlfn.XLOOKUP(B539,Master[Product_Code],Master[Size])</f>
        <v>38</v>
      </c>
      <c r="H539" s="2" t="str">
        <f>_xlfn.XLOOKUP(B539,Master[Product_Code],Master[Color])</f>
        <v>Dark Green</v>
      </c>
      <c r="I539" s="4">
        <f>_xlfn.XLOOKUP(B539,Master[Product_Code],Master[Stock_Qty])</f>
        <v>4</v>
      </c>
      <c r="J539" s="6">
        <f>SUMIFS(
  Sales_Entry[Qty],
  Sales_Entry[Product_Code], Stock_Table[[#This Row],[Product_Code]]
)</f>
        <v>2</v>
      </c>
      <c r="K539" s="4">
        <f>SUMIFS(
  Exchange_Return[Qty],
  Exchange_Return[Product_Code], Stock_Table[[#This Row],[Product_Code]]
)</f>
        <v>0</v>
      </c>
      <c r="L539" s="4">
        <f>I539-J539+K539</f>
        <v>2</v>
      </c>
      <c r="M539" s="2" t="str" cm="1">
        <f t="array" ref="M539">_xlfn.IFS(L539=0,"Out of Stock",L539&gt;=2,"Limited Stock",L539&lt;2,"In Stock")</f>
        <v>Limited Stock</v>
      </c>
    </row>
    <row r="540" spans="2:13">
      <c r="B540" s="2" t="s">
        <v>1094</v>
      </c>
      <c r="C540" s="5" t="str">
        <f>_xlfn.XLOOKUP(B540,Master[Product_Code],Master[Category])</f>
        <v>Jeans</v>
      </c>
      <c r="D540" s="2" t="str">
        <f>_xlfn.XLOOKUP(B540,Master[Product_Code],Master[Brand])</f>
        <v>Denim Pro</v>
      </c>
      <c r="E540" s="2" t="str">
        <f>_xlfn.XLOOKUP(B540,Master[Product_Code],Master[Style])</f>
        <v>Jogger</v>
      </c>
      <c r="F540" s="2" t="str">
        <f>_xlfn.XLOOKUP(B540,Master[Product_Code],Master[Fabric])</f>
        <v>Denim</v>
      </c>
      <c r="G540" s="2">
        <f>_xlfn.XLOOKUP(B540,Master[Product_Code],Master[Size])</f>
        <v>36</v>
      </c>
      <c r="H540" s="2" t="str">
        <f>_xlfn.XLOOKUP(B540,Master[Product_Code],Master[Color])</f>
        <v>White</v>
      </c>
      <c r="I540" s="4">
        <f>_xlfn.XLOOKUP(B540,Master[Product_Code],Master[Stock_Qty])</f>
        <v>4</v>
      </c>
      <c r="J540" s="6">
        <f>SUMIFS(
  Sales_Entry[Qty],
  Sales_Entry[Product_Code], Stock_Table[[#This Row],[Product_Code]]
)</f>
        <v>0</v>
      </c>
      <c r="K540" s="4">
        <f>SUMIFS(
  Exchange_Return[Qty],
  Exchange_Return[Product_Code], Stock_Table[[#This Row],[Product_Code]]
)</f>
        <v>0</v>
      </c>
      <c r="L540" s="4">
        <f>I540-J540+K540</f>
        <v>4</v>
      </c>
      <c r="M540" s="2" t="str" cm="1">
        <f t="array" ref="M540">_xlfn.IFS(L540=0,"Out of Stock",L540&gt;=2,"Limited Stock",L540&lt;2,"In Stock")</f>
        <v>Limited Stock</v>
      </c>
    </row>
    <row r="541" spans="2:13">
      <c r="B541" s="2" t="s">
        <v>1095</v>
      </c>
      <c r="C541" s="5" t="str">
        <f>_xlfn.XLOOKUP(B541,Master[Product_Code],Master[Category])</f>
        <v>Jeans</v>
      </c>
      <c r="D541" s="2" t="str">
        <f>_xlfn.XLOOKUP(B541,Master[Product_Code],Master[Brand])</f>
        <v>Spykar</v>
      </c>
      <c r="E541" s="2" t="str">
        <f>_xlfn.XLOOKUP(B541,Master[Product_Code],Master[Style])</f>
        <v>Jogger</v>
      </c>
      <c r="F541" s="2" t="str">
        <f>_xlfn.XLOOKUP(B541,Master[Product_Code],Master[Fabric])</f>
        <v>Denim</v>
      </c>
      <c r="G541" s="2">
        <f>_xlfn.XLOOKUP(B541,Master[Product_Code],Master[Size])</f>
        <v>42</v>
      </c>
      <c r="H541" s="2" t="str">
        <f>_xlfn.XLOOKUP(B541,Master[Product_Code],Master[Color])</f>
        <v>Olive</v>
      </c>
      <c r="I541" s="4">
        <f>_xlfn.XLOOKUP(B541,Master[Product_Code],Master[Stock_Qty])</f>
        <v>4</v>
      </c>
      <c r="J541" s="6">
        <f>SUMIFS(
  Sales_Entry[Qty],
  Sales_Entry[Product_Code], Stock_Table[[#This Row],[Product_Code]]
)</f>
        <v>0</v>
      </c>
      <c r="K541" s="4">
        <f>SUMIFS(
  Exchange_Return[Qty],
  Exchange_Return[Product_Code], Stock_Table[[#This Row],[Product_Code]]
)</f>
        <v>0</v>
      </c>
      <c r="L541" s="4">
        <f>I541-J541+K541</f>
        <v>4</v>
      </c>
      <c r="M541" s="2" t="str" cm="1">
        <f t="array" ref="M541">_xlfn.IFS(L541=0,"Out of Stock",L541&gt;=2,"Limited Stock",L541&lt;2,"In Stock")</f>
        <v>Limited Stock</v>
      </c>
    </row>
    <row r="542" spans="2:13">
      <c r="B542" s="2" t="s">
        <v>1096</v>
      </c>
      <c r="C542" s="5" t="str">
        <f>_xlfn.XLOOKUP(B542,Master[Product_Code],Master[Category])</f>
        <v>Jeans</v>
      </c>
      <c r="D542" s="2" t="str">
        <f>_xlfn.XLOOKUP(B542,Master[Product_Code],Master[Brand])</f>
        <v>Pepe</v>
      </c>
      <c r="E542" s="2" t="str">
        <f>_xlfn.XLOOKUP(B542,Master[Product_Code],Master[Style])</f>
        <v>Mom Fit</v>
      </c>
      <c r="F542" s="2" t="str">
        <f>_xlfn.XLOOKUP(B542,Master[Product_Code],Master[Fabric])</f>
        <v>Denim</v>
      </c>
      <c r="G542" s="2">
        <f>_xlfn.XLOOKUP(B542,Master[Product_Code],Master[Size])</f>
        <v>36</v>
      </c>
      <c r="H542" s="2" t="str">
        <f>_xlfn.XLOOKUP(B542,Master[Product_Code],Master[Color])</f>
        <v>Grey</v>
      </c>
      <c r="I542" s="4">
        <f>_xlfn.XLOOKUP(B542,Master[Product_Code],Master[Stock_Qty])</f>
        <v>6</v>
      </c>
      <c r="J542" s="6">
        <f>SUMIFS(
  Sales_Entry[Qty],
  Sales_Entry[Product_Code], Stock_Table[[#This Row],[Product_Code]]
)</f>
        <v>3</v>
      </c>
      <c r="K542" s="4">
        <f>SUMIFS(
  Exchange_Return[Qty],
  Exchange_Return[Product_Code], Stock_Table[[#This Row],[Product_Code]]
)</f>
        <v>0</v>
      </c>
      <c r="L542" s="4">
        <f>I542-J542+K542</f>
        <v>3</v>
      </c>
      <c r="M542" s="2" t="str" cm="1">
        <f t="array" ref="M542">_xlfn.IFS(L542=0,"Out of Stock",L542&gt;=2,"Limited Stock",L542&lt;2,"In Stock")</f>
        <v>Limited Stock</v>
      </c>
    </row>
    <row r="543" spans="2:13">
      <c r="B543" s="2" t="s">
        <v>1097</v>
      </c>
      <c r="C543" s="5" t="str">
        <f>_xlfn.XLOOKUP(B543,Master[Product_Code],Master[Category])</f>
        <v>Jeans</v>
      </c>
      <c r="D543" s="2" t="str">
        <f>_xlfn.XLOOKUP(B543,Master[Product_Code],Master[Brand])</f>
        <v>Wrangler</v>
      </c>
      <c r="E543" s="2" t="str">
        <f>_xlfn.XLOOKUP(B543,Master[Product_Code],Master[Style])</f>
        <v>Jogger</v>
      </c>
      <c r="F543" s="2" t="str">
        <f>_xlfn.XLOOKUP(B543,Master[Product_Code],Master[Fabric])</f>
        <v>Denim</v>
      </c>
      <c r="G543" s="2">
        <f>_xlfn.XLOOKUP(B543,Master[Product_Code],Master[Size])</f>
        <v>28</v>
      </c>
      <c r="H543" s="2" t="str">
        <f>_xlfn.XLOOKUP(B543,Master[Product_Code],Master[Color])</f>
        <v>Sky Blue</v>
      </c>
      <c r="I543" s="4">
        <f>_xlfn.XLOOKUP(B543,Master[Product_Code],Master[Stock_Qty])</f>
        <v>3</v>
      </c>
      <c r="J543" s="6">
        <f>SUMIFS(
  Sales_Entry[Qty],
  Sales_Entry[Product_Code], Stock_Table[[#This Row],[Product_Code]]
)</f>
        <v>2</v>
      </c>
      <c r="K543" s="4">
        <f>SUMIFS(
  Exchange_Return[Qty],
  Exchange_Return[Product_Code], Stock_Table[[#This Row],[Product_Code]]
)</f>
        <v>0</v>
      </c>
      <c r="L543" s="4">
        <f>I543-J543+K543</f>
        <v>1</v>
      </c>
      <c r="M543" s="2" t="str" cm="1">
        <f t="array" ref="M543">_xlfn.IFS(L543=0,"Out of Stock",L543&gt;=2,"Limited Stock",L543&lt;2,"In Stock")</f>
        <v>In Stock</v>
      </c>
    </row>
    <row r="544" spans="2:13">
      <c r="B544" s="2" t="s">
        <v>1098</v>
      </c>
      <c r="C544" s="5" t="str">
        <f>_xlfn.XLOOKUP(B544,Master[Product_Code],Master[Category])</f>
        <v>Jeans</v>
      </c>
      <c r="D544" s="2" t="str">
        <f>_xlfn.XLOOKUP(B544,Master[Product_Code],Master[Brand])</f>
        <v>Spykar</v>
      </c>
      <c r="E544" s="2" t="str">
        <f>_xlfn.XLOOKUP(B544,Master[Product_Code],Master[Style])</f>
        <v>Mom Fit</v>
      </c>
      <c r="F544" s="2" t="str">
        <f>_xlfn.XLOOKUP(B544,Master[Product_Code],Master[Fabric])</f>
        <v>Denim</v>
      </c>
      <c r="G544" s="2">
        <f>_xlfn.XLOOKUP(B544,Master[Product_Code],Master[Size])</f>
        <v>42</v>
      </c>
      <c r="H544" s="2" t="str">
        <f>_xlfn.XLOOKUP(B544,Master[Product_Code],Master[Color])</f>
        <v>Wine</v>
      </c>
      <c r="I544" s="4">
        <f>_xlfn.XLOOKUP(B544,Master[Product_Code],Master[Stock_Qty])</f>
        <v>3</v>
      </c>
      <c r="J544" s="6">
        <f>SUMIFS(
  Sales_Entry[Qty],
  Sales_Entry[Product_Code], Stock_Table[[#This Row],[Product_Code]]
)</f>
        <v>1</v>
      </c>
      <c r="K544" s="4">
        <f>SUMIFS(
  Exchange_Return[Qty],
  Exchange_Return[Product_Code], Stock_Table[[#This Row],[Product_Code]]
)</f>
        <v>0</v>
      </c>
      <c r="L544" s="4">
        <f>I544-J544+K544</f>
        <v>2</v>
      </c>
      <c r="M544" s="2" t="str" cm="1">
        <f t="array" ref="M544">_xlfn.IFS(L544=0,"Out of Stock",L544&gt;=2,"Limited Stock",L544&lt;2,"In Stock")</f>
        <v>Limited Stock</v>
      </c>
    </row>
    <row r="545" spans="2:13">
      <c r="B545" s="2" t="s">
        <v>1099</v>
      </c>
      <c r="C545" s="5" t="str">
        <f>_xlfn.XLOOKUP(B545,Master[Product_Code],Master[Category])</f>
        <v>Jeans</v>
      </c>
      <c r="D545" s="2" t="str">
        <f>_xlfn.XLOOKUP(B545,Master[Product_Code],Master[Brand])</f>
        <v>Spykar</v>
      </c>
      <c r="E545" s="2" t="str">
        <f>_xlfn.XLOOKUP(B545,Master[Product_Code],Master[Style])</f>
        <v>Jogger</v>
      </c>
      <c r="F545" s="2" t="str">
        <f>_xlfn.XLOOKUP(B545,Master[Product_Code],Master[Fabric])</f>
        <v>Denim</v>
      </c>
      <c r="G545" s="2">
        <f>_xlfn.XLOOKUP(B545,Master[Product_Code],Master[Size])</f>
        <v>38</v>
      </c>
      <c r="H545" s="2" t="str">
        <f>_xlfn.XLOOKUP(B545,Master[Product_Code],Master[Color])</f>
        <v>Bottle Green</v>
      </c>
      <c r="I545" s="4">
        <f>_xlfn.XLOOKUP(B545,Master[Product_Code],Master[Stock_Qty])</f>
        <v>4</v>
      </c>
      <c r="J545" s="6">
        <f>SUMIFS(
  Sales_Entry[Qty],
  Sales_Entry[Product_Code], Stock_Table[[#This Row],[Product_Code]]
)</f>
        <v>1</v>
      </c>
      <c r="K545" s="4">
        <f>SUMIFS(
  Exchange_Return[Qty],
  Exchange_Return[Product_Code], Stock_Table[[#This Row],[Product_Code]]
)</f>
        <v>0</v>
      </c>
      <c r="L545" s="4">
        <f>I545-J545+K545</f>
        <v>3</v>
      </c>
      <c r="M545" s="2" t="str" cm="1">
        <f t="array" ref="M545">_xlfn.IFS(L545=0,"Out of Stock",L545&gt;=2,"Limited Stock",L545&lt;2,"In Stock")</f>
        <v>Limited Stock</v>
      </c>
    </row>
    <row r="546" spans="2:13">
      <c r="B546" s="2" t="s">
        <v>1100</v>
      </c>
      <c r="C546" s="5" t="str">
        <f>_xlfn.XLOOKUP(B546,Master[Product_Code],Master[Category])</f>
        <v>Jeans</v>
      </c>
      <c r="D546" s="2" t="str">
        <f>_xlfn.XLOOKUP(B546,Master[Product_Code],Master[Brand])</f>
        <v>Denim Pro</v>
      </c>
      <c r="E546" s="2" t="str">
        <f>_xlfn.XLOOKUP(B546,Master[Product_Code],Master[Style])</f>
        <v>Baggy</v>
      </c>
      <c r="F546" s="2" t="str">
        <f>_xlfn.XLOOKUP(B546,Master[Product_Code],Master[Fabric])</f>
        <v>Denim</v>
      </c>
      <c r="G546" s="2">
        <f>_xlfn.XLOOKUP(B546,Master[Product_Code],Master[Size])</f>
        <v>30</v>
      </c>
      <c r="H546" s="2" t="str">
        <f>_xlfn.XLOOKUP(B546,Master[Product_Code],Master[Color])</f>
        <v>Mustard</v>
      </c>
      <c r="I546" s="4">
        <f>_xlfn.XLOOKUP(B546,Master[Product_Code],Master[Stock_Qty])</f>
        <v>4</v>
      </c>
      <c r="J546" s="6">
        <f>SUMIFS(
  Sales_Entry[Qty],
  Sales_Entry[Product_Code], Stock_Table[[#This Row],[Product_Code]]
)</f>
        <v>1</v>
      </c>
      <c r="K546" s="4">
        <f>SUMIFS(
  Exchange_Return[Qty],
  Exchange_Return[Product_Code], Stock_Table[[#This Row],[Product_Code]]
)</f>
        <v>0</v>
      </c>
      <c r="L546" s="4">
        <f>I546-J546+K546</f>
        <v>3</v>
      </c>
      <c r="M546" s="2" t="str" cm="1">
        <f t="array" ref="M546">_xlfn.IFS(L546=0,"Out of Stock",L546&gt;=2,"Limited Stock",L546&lt;2,"In Stock")</f>
        <v>Limited Stock</v>
      </c>
    </row>
    <row r="547" spans="2:13">
      <c r="B547" s="2" t="s">
        <v>1101</v>
      </c>
      <c r="C547" s="5" t="str">
        <f>_xlfn.XLOOKUP(B547,Master[Product_Code],Master[Category])</f>
        <v>Jeans</v>
      </c>
      <c r="D547" s="2" t="str">
        <f>_xlfn.XLOOKUP(B547,Master[Product_Code],Master[Brand])</f>
        <v>Spykar</v>
      </c>
      <c r="E547" s="2" t="str">
        <f>_xlfn.XLOOKUP(B547,Master[Product_Code],Master[Style])</f>
        <v>Jogger</v>
      </c>
      <c r="F547" s="2" t="str">
        <f>_xlfn.XLOOKUP(B547,Master[Product_Code],Master[Fabric])</f>
        <v>Denim</v>
      </c>
      <c r="G547" s="2">
        <f>_xlfn.XLOOKUP(B547,Master[Product_Code],Master[Size])</f>
        <v>34</v>
      </c>
      <c r="H547" s="2" t="str">
        <f>_xlfn.XLOOKUP(B547,Master[Product_Code],Master[Color])</f>
        <v>Rust</v>
      </c>
      <c r="I547" s="4">
        <f>_xlfn.XLOOKUP(B547,Master[Product_Code],Master[Stock_Qty])</f>
        <v>4</v>
      </c>
      <c r="J547" s="6">
        <f>SUMIFS(
  Sales_Entry[Qty],
  Sales_Entry[Product_Code], Stock_Table[[#This Row],[Product_Code]]
)</f>
        <v>1</v>
      </c>
      <c r="K547" s="4">
        <f>SUMIFS(
  Exchange_Return[Qty],
  Exchange_Return[Product_Code], Stock_Table[[#This Row],[Product_Code]]
)</f>
        <v>0</v>
      </c>
      <c r="L547" s="4">
        <f>I547-J547+K547</f>
        <v>3</v>
      </c>
      <c r="M547" s="2" t="str" cm="1">
        <f t="array" ref="M547">_xlfn.IFS(L547=0,"Out of Stock",L547&gt;=2,"Limited Stock",L547&lt;2,"In Stock")</f>
        <v>Limited Stock</v>
      </c>
    </row>
    <row r="548" spans="2:13">
      <c r="B548" s="2" t="s">
        <v>1102</v>
      </c>
      <c r="C548" s="5" t="str">
        <f>_xlfn.XLOOKUP(B548,Master[Product_Code],Master[Category])</f>
        <v>Jeans</v>
      </c>
      <c r="D548" s="2" t="str">
        <f>_xlfn.XLOOKUP(B548,Master[Product_Code],Master[Brand])</f>
        <v>Levis</v>
      </c>
      <c r="E548" s="2" t="str">
        <f>_xlfn.XLOOKUP(B548,Master[Product_Code],Master[Style])</f>
        <v>Jogger</v>
      </c>
      <c r="F548" s="2" t="str">
        <f>_xlfn.XLOOKUP(B548,Master[Product_Code],Master[Fabric])</f>
        <v>Denim</v>
      </c>
      <c r="G548" s="2">
        <f>_xlfn.XLOOKUP(B548,Master[Product_Code],Master[Size])</f>
        <v>28</v>
      </c>
      <c r="H548" s="2" t="str">
        <f>_xlfn.XLOOKUP(B548,Master[Product_Code],Master[Color])</f>
        <v>Bottle Green</v>
      </c>
      <c r="I548" s="4">
        <f>_xlfn.XLOOKUP(B548,Master[Product_Code],Master[Stock_Qty])</f>
        <v>4</v>
      </c>
      <c r="J548" s="6">
        <f>SUMIFS(
  Sales_Entry[Qty],
  Sales_Entry[Product_Code], Stock_Table[[#This Row],[Product_Code]]
)</f>
        <v>1</v>
      </c>
      <c r="K548" s="4">
        <f>SUMIFS(
  Exchange_Return[Qty],
  Exchange_Return[Product_Code], Stock_Table[[#This Row],[Product_Code]]
)</f>
        <v>0</v>
      </c>
      <c r="L548" s="4">
        <f>I548-J548+K548</f>
        <v>3</v>
      </c>
      <c r="M548" s="2" t="str" cm="1">
        <f t="array" ref="M548">_xlfn.IFS(L548=0,"Out of Stock",L548&gt;=2,"Limited Stock",L548&lt;2,"In Stock")</f>
        <v>Limited Stock</v>
      </c>
    </row>
    <row r="549" spans="2:13">
      <c r="B549" s="2" t="s">
        <v>1103</v>
      </c>
      <c r="C549" s="5" t="str">
        <f>_xlfn.XLOOKUP(B549,Master[Product_Code],Master[Category])</f>
        <v>Jeans</v>
      </c>
      <c r="D549" s="2" t="str">
        <f>_xlfn.XLOOKUP(B549,Master[Product_Code],Master[Brand])</f>
        <v>Locomotive</v>
      </c>
      <c r="E549" s="2" t="str">
        <f>_xlfn.XLOOKUP(B549,Master[Product_Code],Master[Style])</f>
        <v>Baggy</v>
      </c>
      <c r="F549" s="2" t="str">
        <f>_xlfn.XLOOKUP(B549,Master[Product_Code],Master[Fabric])</f>
        <v>Denim</v>
      </c>
      <c r="G549" s="2">
        <f>_xlfn.XLOOKUP(B549,Master[Product_Code],Master[Size])</f>
        <v>40</v>
      </c>
      <c r="H549" s="2" t="str">
        <f>_xlfn.XLOOKUP(B549,Master[Product_Code],Master[Color])</f>
        <v>Teal</v>
      </c>
      <c r="I549" s="4">
        <f>_xlfn.XLOOKUP(B549,Master[Product_Code],Master[Stock_Qty])</f>
        <v>4</v>
      </c>
      <c r="J549" s="6">
        <f>SUMIFS(
  Sales_Entry[Qty],
  Sales_Entry[Product_Code], Stock_Table[[#This Row],[Product_Code]]
)</f>
        <v>1</v>
      </c>
      <c r="K549" s="4">
        <f>SUMIFS(
  Exchange_Return[Qty],
  Exchange_Return[Product_Code], Stock_Table[[#This Row],[Product_Code]]
)</f>
        <v>0</v>
      </c>
      <c r="L549" s="4">
        <f>I549-J549+K549</f>
        <v>3</v>
      </c>
      <c r="M549" s="2" t="str" cm="1">
        <f t="array" ref="M549">_xlfn.IFS(L549=0,"Out of Stock",L549&gt;=2,"Limited Stock",L549&lt;2,"In Stock")</f>
        <v>Limited Stock</v>
      </c>
    </row>
    <row r="550" spans="2:13">
      <c r="B550" s="2" t="s">
        <v>1104</v>
      </c>
      <c r="C550" s="5" t="str">
        <f>_xlfn.XLOOKUP(B550,Master[Product_Code],Master[Category])</f>
        <v>Jeans</v>
      </c>
      <c r="D550" s="2" t="str">
        <f>_xlfn.XLOOKUP(B550,Master[Product_Code],Master[Brand])</f>
        <v>Denim Pro</v>
      </c>
      <c r="E550" s="2" t="str">
        <f>_xlfn.XLOOKUP(B550,Master[Product_Code],Master[Style])</f>
        <v>Mom Fit</v>
      </c>
      <c r="F550" s="2" t="str">
        <f>_xlfn.XLOOKUP(B550,Master[Product_Code],Master[Fabric])</f>
        <v>Denim</v>
      </c>
      <c r="G550" s="2">
        <f>_xlfn.XLOOKUP(B550,Master[Product_Code],Master[Size])</f>
        <v>36</v>
      </c>
      <c r="H550" s="2" t="str">
        <f>_xlfn.XLOOKUP(B550,Master[Product_Code],Master[Color])</f>
        <v>Grey</v>
      </c>
      <c r="I550" s="4">
        <f>_xlfn.XLOOKUP(B550,Master[Product_Code],Master[Stock_Qty])</f>
        <v>5</v>
      </c>
      <c r="J550" s="6">
        <f>SUMIFS(
  Sales_Entry[Qty],
  Sales_Entry[Product_Code], Stock_Table[[#This Row],[Product_Code]]
)</f>
        <v>2</v>
      </c>
      <c r="K550" s="4">
        <f>SUMIFS(
  Exchange_Return[Qty],
  Exchange_Return[Product_Code], Stock_Table[[#This Row],[Product_Code]]
)</f>
        <v>0</v>
      </c>
      <c r="L550" s="4">
        <f>I550-J550+K550</f>
        <v>3</v>
      </c>
      <c r="M550" s="2" t="str" cm="1">
        <f t="array" ref="M550">_xlfn.IFS(L550=0,"Out of Stock",L550&gt;=2,"Limited Stock",L550&lt;2,"In Stock")</f>
        <v>Limited Stock</v>
      </c>
    </row>
    <row r="551" spans="2:13">
      <c r="B551" s="2" t="s">
        <v>1105</v>
      </c>
      <c r="C551" s="5" t="str">
        <f>_xlfn.XLOOKUP(B551,Master[Product_Code],Master[Category])</f>
        <v>Jeans</v>
      </c>
      <c r="D551" s="2" t="str">
        <f>_xlfn.XLOOKUP(B551,Master[Product_Code],Master[Brand])</f>
        <v>Pepe</v>
      </c>
      <c r="E551" s="2" t="str">
        <f>_xlfn.XLOOKUP(B551,Master[Product_Code],Master[Style])</f>
        <v>Jogger</v>
      </c>
      <c r="F551" s="2" t="str">
        <f>_xlfn.XLOOKUP(B551,Master[Product_Code],Master[Fabric])</f>
        <v>Denim</v>
      </c>
      <c r="G551" s="2">
        <f>_xlfn.XLOOKUP(B551,Master[Product_Code],Master[Size])</f>
        <v>36</v>
      </c>
      <c r="H551" s="2" t="str">
        <f>_xlfn.XLOOKUP(B551,Master[Product_Code],Master[Color])</f>
        <v>Maroon</v>
      </c>
      <c r="I551" s="4">
        <f>_xlfn.XLOOKUP(B551,Master[Product_Code],Master[Stock_Qty])</f>
        <v>3</v>
      </c>
      <c r="J551" s="6">
        <f>SUMIFS(
  Sales_Entry[Qty],
  Sales_Entry[Product_Code], Stock_Table[[#This Row],[Product_Code]]
)</f>
        <v>1</v>
      </c>
      <c r="K551" s="4">
        <f>SUMIFS(
  Exchange_Return[Qty],
  Exchange_Return[Product_Code], Stock_Table[[#This Row],[Product_Code]]
)</f>
        <v>0</v>
      </c>
      <c r="L551" s="4">
        <f>I551-J551+K551</f>
        <v>2</v>
      </c>
      <c r="M551" s="2" t="str" cm="1">
        <f t="array" ref="M551">_xlfn.IFS(L551=0,"Out of Stock",L551&gt;=2,"Limited Stock",L551&lt;2,"In Stock")</f>
        <v>Limited Stock</v>
      </c>
    </row>
    <row r="552" spans="2:13">
      <c r="B552" s="2" t="s">
        <v>1106</v>
      </c>
      <c r="C552" s="5" t="str">
        <f>_xlfn.XLOOKUP(B552,Master[Product_Code],Master[Category])</f>
        <v>Jeans</v>
      </c>
      <c r="D552" s="2" t="str">
        <f>_xlfn.XLOOKUP(B552,Master[Product_Code],Master[Brand])</f>
        <v>Levis</v>
      </c>
      <c r="E552" s="2" t="str">
        <f>_xlfn.XLOOKUP(B552,Master[Product_Code],Master[Style])</f>
        <v>Baggy</v>
      </c>
      <c r="F552" s="2" t="str">
        <f>_xlfn.XLOOKUP(B552,Master[Product_Code],Master[Fabric])</f>
        <v>Denim</v>
      </c>
      <c r="G552" s="2">
        <f>_xlfn.XLOOKUP(B552,Master[Product_Code],Master[Size])</f>
        <v>32</v>
      </c>
      <c r="H552" s="2" t="str">
        <f>_xlfn.XLOOKUP(B552,Master[Product_Code],Master[Color])</f>
        <v>Mustard</v>
      </c>
      <c r="I552" s="4">
        <f>_xlfn.XLOOKUP(B552,Master[Product_Code],Master[Stock_Qty])</f>
        <v>4</v>
      </c>
      <c r="J552" s="6">
        <f>SUMIFS(
  Sales_Entry[Qty],
  Sales_Entry[Product_Code], Stock_Table[[#This Row],[Product_Code]]
)</f>
        <v>3</v>
      </c>
      <c r="K552" s="4">
        <f>SUMIFS(
  Exchange_Return[Qty],
  Exchange_Return[Product_Code], Stock_Table[[#This Row],[Product_Code]]
)</f>
        <v>0</v>
      </c>
      <c r="L552" s="4">
        <f>I552-J552+K552</f>
        <v>1</v>
      </c>
      <c r="M552" s="2" t="str" cm="1">
        <f t="array" ref="M552">_xlfn.IFS(L552=0,"Out of Stock",L552&gt;=2,"Limited Stock",L552&lt;2,"In Stock")</f>
        <v>In Stock</v>
      </c>
    </row>
    <row r="553" spans="2:13">
      <c r="B553" s="2" t="s">
        <v>1107</v>
      </c>
      <c r="C553" s="5" t="str">
        <f>_xlfn.XLOOKUP(B553,Master[Product_Code],Master[Category])</f>
        <v>Jeans</v>
      </c>
      <c r="D553" s="2" t="str">
        <f>_xlfn.XLOOKUP(B553,Master[Product_Code],Master[Brand])</f>
        <v>Wrangler</v>
      </c>
      <c r="E553" s="2" t="str">
        <f>_xlfn.XLOOKUP(B553,Master[Product_Code],Master[Style])</f>
        <v>Jogger</v>
      </c>
      <c r="F553" s="2" t="str">
        <f>_xlfn.XLOOKUP(B553,Master[Product_Code],Master[Fabric])</f>
        <v>Denim</v>
      </c>
      <c r="G553" s="2">
        <f>_xlfn.XLOOKUP(B553,Master[Product_Code],Master[Size])</f>
        <v>32</v>
      </c>
      <c r="H553" s="2" t="str">
        <f>_xlfn.XLOOKUP(B553,Master[Product_Code],Master[Color])</f>
        <v>Light Grey</v>
      </c>
      <c r="I553" s="4">
        <f>_xlfn.XLOOKUP(B553,Master[Product_Code],Master[Stock_Qty])</f>
        <v>4</v>
      </c>
      <c r="J553" s="6">
        <f>SUMIFS(
  Sales_Entry[Qty],
  Sales_Entry[Product_Code], Stock_Table[[#This Row],[Product_Code]]
)</f>
        <v>1</v>
      </c>
      <c r="K553" s="4">
        <f>SUMIFS(
  Exchange_Return[Qty],
  Exchange_Return[Product_Code], Stock_Table[[#This Row],[Product_Code]]
)</f>
        <v>0</v>
      </c>
      <c r="L553" s="4">
        <f>I553-J553+K553</f>
        <v>3</v>
      </c>
      <c r="M553" s="2" t="str" cm="1">
        <f t="array" ref="M553">_xlfn.IFS(L553=0,"Out of Stock",L553&gt;=2,"Limited Stock",L553&lt;2,"In Stock")</f>
        <v>Limited Stock</v>
      </c>
    </row>
    <row r="554" spans="2:13">
      <c r="B554" s="2" t="s">
        <v>1108</v>
      </c>
      <c r="C554" s="5" t="str">
        <f>_xlfn.XLOOKUP(B554,Master[Product_Code],Master[Category])</f>
        <v>Jeans</v>
      </c>
      <c r="D554" s="2" t="str">
        <f>_xlfn.XLOOKUP(B554,Master[Product_Code],Master[Brand])</f>
        <v>Levis</v>
      </c>
      <c r="E554" s="2" t="str">
        <f>_xlfn.XLOOKUP(B554,Master[Product_Code],Master[Style])</f>
        <v>Jogger</v>
      </c>
      <c r="F554" s="2" t="str">
        <f>_xlfn.XLOOKUP(B554,Master[Product_Code],Master[Fabric])</f>
        <v>Denim</v>
      </c>
      <c r="G554" s="2">
        <f>_xlfn.XLOOKUP(B554,Master[Product_Code],Master[Size])</f>
        <v>34</v>
      </c>
      <c r="H554" s="2" t="str">
        <f>_xlfn.XLOOKUP(B554,Master[Product_Code],Master[Color])</f>
        <v>Light Grey</v>
      </c>
      <c r="I554" s="4">
        <f>_xlfn.XLOOKUP(B554,Master[Product_Code],Master[Stock_Qty])</f>
        <v>6</v>
      </c>
      <c r="J554" s="6">
        <f>SUMIFS(
  Sales_Entry[Qty],
  Sales_Entry[Product_Code], Stock_Table[[#This Row],[Product_Code]]
)</f>
        <v>1</v>
      </c>
      <c r="K554" s="4">
        <f>SUMIFS(
  Exchange_Return[Qty],
  Exchange_Return[Product_Code], Stock_Table[[#This Row],[Product_Code]]
)</f>
        <v>0</v>
      </c>
      <c r="L554" s="4">
        <f>I554-J554+K554</f>
        <v>5</v>
      </c>
      <c r="M554" s="2" t="str" cm="1">
        <f t="array" ref="M554">_xlfn.IFS(L554=0,"Out of Stock",L554&gt;=2,"Limited Stock",L554&lt;2,"In Stock")</f>
        <v>Limited Stock</v>
      </c>
    </row>
    <row r="555" spans="2:13">
      <c r="B555" s="2" t="s">
        <v>1109</v>
      </c>
      <c r="C555" s="5" t="str">
        <f>_xlfn.XLOOKUP(B555,Master[Product_Code],Master[Category])</f>
        <v>Jeans</v>
      </c>
      <c r="D555" s="2" t="str">
        <f>_xlfn.XLOOKUP(B555,Master[Product_Code],Master[Brand])</f>
        <v>Levis</v>
      </c>
      <c r="E555" s="2" t="str">
        <f>_xlfn.XLOOKUP(B555,Master[Product_Code],Master[Style])</f>
        <v>Baggy</v>
      </c>
      <c r="F555" s="2" t="str">
        <f>_xlfn.XLOOKUP(B555,Master[Product_Code],Master[Fabric])</f>
        <v>Denim</v>
      </c>
      <c r="G555" s="2">
        <f>_xlfn.XLOOKUP(B555,Master[Product_Code],Master[Size])</f>
        <v>40</v>
      </c>
      <c r="H555" s="2" t="str">
        <f>_xlfn.XLOOKUP(B555,Master[Product_Code],Master[Color])</f>
        <v>Charcoal</v>
      </c>
      <c r="I555" s="4">
        <f>_xlfn.XLOOKUP(B555,Master[Product_Code],Master[Stock_Qty])</f>
        <v>4</v>
      </c>
      <c r="J555" s="6">
        <f>SUMIFS(
  Sales_Entry[Qty],
  Sales_Entry[Product_Code], Stock_Table[[#This Row],[Product_Code]]
)</f>
        <v>2</v>
      </c>
      <c r="K555" s="4">
        <f>SUMIFS(
  Exchange_Return[Qty],
  Exchange_Return[Product_Code], Stock_Table[[#This Row],[Product_Code]]
)</f>
        <v>0</v>
      </c>
      <c r="L555" s="4">
        <f>I555-J555+K555</f>
        <v>2</v>
      </c>
      <c r="M555" s="2" t="str" cm="1">
        <f t="array" ref="M555">_xlfn.IFS(L555=0,"Out of Stock",L555&gt;=2,"Limited Stock",L555&lt;2,"In Stock")</f>
        <v>Limited Stock</v>
      </c>
    </row>
    <row r="556" spans="2:13">
      <c r="B556" s="2" t="s">
        <v>1110</v>
      </c>
      <c r="C556" s="5" t="str">
        <f>_xlfn.XLOOKUP(B556,Master[Product_Code],Master[Category])</f>
        <v>Jeans</v>
      </c>
      <c r="D556" s="2" t="str">
        <f>_xlfn.XLOOKUP(B556,Master[Product_Code],Master[Brand])</f>
        <v>Levis</v>
      </c>
      <c r="E556" s="2" t="str">
        <f>_xlfn.XLOOKUP(B556,Master[Product_Code],Master[Style])</f>
        <v>Jogger</v>
      </c>
      <c r="F556" s="2" t="str">
        <f>_xlfn.XLOOKUP(B556,Master[Product_Code],Master[Fabric])</f>
        <v>Denim</v>
      </c>
      <c r="G556" s="2">
        <f>_xlfn.XLOOKUP(B556,Master[Product_Code],Master[Size])</f>
        <v>32</v>
      </c>
      <c r="H556" s="2" t="str">
        <f>_xlfn.XLOOKUP(B556,Master[Product_Code],Master[Color])</f>
        <v>Light Grey</v>
      </c>
      <c r="I556" s="4">
        <f>_xlfn.XLOOKUP(B556,Master[Product_Code],Master[Stock_Qty])</f>
        <v>3</v>
      </c>
      <c r="J556" s="6">
        <f>SUMIFS(
  Sales_Entry[Qty],
  Sales_Entry[Product_Code], Stock_Table[[#This Row],[Product_Code]]
)</f>
        <v>1</v>
      </c>
      <c r="K556" s="4">
        <f>SUMIFS(
  Exchange_Return[Qty],
  Exchange_Return[Product_Code], Stock_Table[[#This Row],[Product_Code]]
)</f>
        <v>0</v>
      </c>
      <c r="L556" s="4">
        <f>I556-J556+K556</f>
        <v>2</v>
      </c>
      <c r="M556" s="2" t="str" cm="1">
        <f t="array" ref="M556">_xlfn.IFS(L556=0,"Out of Stock",L556&gt;=2,"Limited Stock",L556&lt;2,"In Stock")</f>
        <v>Limited Stock</v>
      </c>
    </row>
    <row r="557" spans="2:13">
      <c r="B557" s="2" t="s">
        <v>1111</v>
      </c>
      <c r="C557" s="5" t="str">
        <f>_xlfn.XLOOKUP(B557,Master[Product_Code],Master[Category])</f>
        <v>Jeans</v>
      </c>
      <c r="D557" s="2" t="str">
        <f>_xlfn.XLOOKUP(B557,Master[Product_Code],Master[Brand])</f>
        <v>Pepe</v>
      </c>
      <c r="E557" s="2" t="str">
        <f>_xlfn.XLOOKUP(B557,Master[Product_Code],Master[Style])</f>
        <v>Mom Fit</v>
      </c>
      <c r="F557" s="2" t="str">
        <f>_xlfn.XLOOKUP(B557,Master[Product_Code],Master[Fabric])</f>
        <v>Denim</v>
      </c>
      <c r="G557" s="2">
        <f>_xlfn.XLOOKUP(B557,Master[Product_Code],Master[Size])</f>
        <v>44</v>
      </c>
      <c r="H557" s="2" t="str">
        <f>_xlfn.XLOOKUP(B557,Master[Product_Code],Master[Color])</f>
        <v>White</v>
      </c>
      <c r="I557" s="4">
        <f>_xlfn.XLOOKUP(B557,Master[Product_Code],Master[Stock_Qty])</f>
        <v>6</v>
      </c>
      <c r="J557" s="6">
        <f>SUMIFS(
  Sales_Entry[Qty],
  Sales_Entry[Product_Code], Stock_Table[[#This Row],[Product_Code]]
)</f>
        <v>1</v>
      </c>
      <c r="K557" s="4">
        <f>SUMIFS(
  Exchange_Return[Qty],
  Exchange_Return[Product_Code], Stock_Table[[#This Row],[Product_Code]]
)</f>
        <v>0</v>
      </c>
      <c r="L557" s="4">
        <f>I557-J557+K557</f>
        <v>5</v>
      </c>
      <c r="M557" s="2" t="str" cm="1">
        <f t="array" ref="M557">_xlfn.IFS(L557=0,"Out of Stock",L557&gt;=2,"Limited Stock",L557&lt;2,"In Stock")</f>
        <v>Limited Stock</v>
      </c>
    </row>
    <row r="558" spans="2:13">
      <c r="B558" s="2" t="s">
        <v>1112</v>
      </c>
      <c r="C558" s="5" t="str">
        <f>_xlfn.XLOOKUP(B558,Master[Product_Code],Master[Category])</f>
        <v>Jeans</v>
      </c>
      <c r="D558" s="2" t="str">
        <f>_xlfn.XLOOKUP(B558,Master[Product_Code],Master[Brand])</f>
        <v>Levis</v>
      </c>
      <c r="E558" s="2" t="str">
        <f>_xlfn.XLOOKUP(B558,Master[Product_Code],Master[Style])</f>
        <v>Baggy</v>
      </c>
      <c r="F558" s="2" t="str">
        <f>_xlfn.XLOOKUP(B558,Master[Product_Code],Master[Fabric])</f>
        <v>Denim</v>
      </c>
      <c r="G558" s="2">
        <f>_xlfn.XLOOKUP(B558,Master[Product_Code],Master[Size])</f>
        <v>42</v>
      </c>
      <c r="H558" s="2" t="str">
        <f>_xlfn.XLOOKUP(B558,Master[Product_Code],Master[Color])</f>
        <v>Peach</v>
      </c>
      <c r="I558" s="4">
        <f>_xlfn.XLOOKUP(B558,Master[Product_Code],Master[Stock_Qty])</f>
        <v>4</v>
      </c>
      <c r="J558" s="6">
        <f>SUMIFS(
  Sales_Entry[Qty],
  Sales_Entry[Product_Code], Stock_Table[[#This Row],[Product_Code]]
)</f>
        <v>1</v>
      </c>
      <c r="K558" s="4">
        <f>SUMIFS(
  Exchange_Return[Qty],
  Exchange_Return[Product_Code], Stock_Table[[#This Row],[Product_Code]]
)</f>
        <v>0</v>
      </c>
      <c r="L558" s="4">
        <f>I558-J558+K558</f>
        <v>3</v>
      </c>
      <c r="M558" s="2" t="str" cm="1">
        <f t="array" ref="M558">_xlfn.IFS(L558=0,"Out of Stock",L558&gt;=2,"Limited Stock",L558&lt;2,"In Stock")</f>
        <v>Limited Stock</v>
      </c>
    </row>
    <row r="559" spans="2:13">
      <c r="B559" s="2" t="s">
        <v>1113</v>
      </c>
      <c r="C559" s="5" t="str">
        <f>_xlfn.XLOOKUP(B559,Master[Product_Code],Master[Category])</f>
        <v>Jeans</v>
      </c>
      <c r="D559" s="2" t="str">
        <f>_xlfn.XLOOKUP(B559,Master[Product_Code],Master[Brand])</f>
        <v>Locomotive</v>
      </c>
      <c r="E559" s="2" t="str">
        <f>_xlfn.XLOOKUP(B559,Master[Product_Code],Master[Style])</f>
        <v>Mom Fit</v>
      </c>
      <c r="F559" s="2" t="str">
        <f>_xlfn.XLOOKUP(B559,Master[Product_Code],Master[Fabric])</f>
        <v>Denim</v>
      </c>
      <c r="G559" s="2">
        <f>_xlfn.XLOOKUP(B559,Master[Product_Code],Master[Size])</f>
        <v>34</v>
      </c>
      <c r="H559" s="2" t="str">
        <f>_xlfn.XLOOKUP(B559,Master[Product_Code],Master[Color])</f>
        <v>Maroon</v>
      </c>
      <c r="I559" s="4">
        <f>_xlfn.XLOOKUP(B559,Master[Product_Code],Master[Stock_Qty])</f>
        <v>5</v>
      </c>
      <c r="J559" s="6">
        <f>SUMIFS(
  Sales_Entry[Qty],
  Sales_Entry[Product_Code], Stock_Table[[#This Row],[Product_Code]]
)</f>
        <v>0</v>
      </c>
      <c r="K559" s="4">
        <f>SUMIFS(
  Exchange_Return[Qty],
  Exchange_Return[Product_Code], Stock_Table[[#This Row],[Product_Code]]
)</f>
        <v>0</v>
      </c>
      <c r="L559" s="4">
        <f>I559-J559+K559</f>
        <v>5</v>
      </c>
      <c r="M559" s="2" t="str" cm="1">
        <f t="array" ref="M559">_xlfn.IFS(L559=0,"Out of Stock",L559&gt;=2,"Limited Stock",L559&lt;2,"In Stock")</f>
        <v>Limited Stock</v>
      </c>
    </row>
    <row r="560" spans="2:13">
      <c r="B560" s="2" t="s">
        <v>1114</v>
      </c>
      <c r="C560" s="5" t="str">
        <f>_xlfn.XLOOKUP(B560,Master[Product_Code],Master[Category])</f>
        <v>Jeans</v>
      </c>
      <c r="D560" s="2" t="str">
        <f>_xlfn.XLOOKUP(B560,Master[Product_Code],Master[Brand])</f>
        <v>Spykar</v>
      </c>
      <c r="E560" s="2" t="str">
        <f>_xlfn.XLOOKUP(B560,Master[Product_Code],Master[Style])</f>
        <v>Jogger</v>
      </c>
      <c r="F560" s="2" t="str">
        <f>_xlfn.XLOOKUP(B560,Master[Product_Code],Master[Fabric])</f>
        <v>Denim</v>
      </c>
      <c r="G560" s="2">
        <f>_xlfn.XLOOKUP(B560,Master[Product_Code],Master[Size])</f>
        <v>28</v>
      </c>
      <c r="H560" s="2" t="str">
        <f>_xlfn.XLOOKUP(B560,Master[Product_Code],Master[Color])</f>
        <v>Peach</v>
      </c>
      <c r="I560" s="4">
        <f>_xlfn.XLOOKUP(B560,Master[Product_Code],Master[Stock_Qty])</f>
        <v>5</v>
      </c>
      <c r="J560" s="6">
        <f>SUMIFS(
  Sales_Entry[Qty],
  Sales_Entry[Product_Code], Stock_Table[[#This Row],[Product_Code]]
)</f>
        <v>2</v>
      </c>
      <c r="K560" s="4">
        <f>SUMIFS(
  Exchange_Return[Qty],
  Exchange_Return[Product_Code], Stock_Table[[#This Row],[Product_Code]]
)</f>
        <v>0</v>
      </c>
      <c r="L560" s="4">
        <f>I560-J560+K560</f>
        <v>3</v>
      </c>
      <c r="M560" s="2" t="str" cm="1">
        <f t="array" ref="M560">_xlfn.IFS(L560=0,"Out of Stock",L560&gt;=2,"Limited Stock",L560&lt;2,"In Stock")</f>
        <v>Limited Stock</v>
      </c>
    </row>
    <row r="561" spans="2:13">
      <c r="B561" s="2" t="s">
        <v>1115</v>
      </c>
      <c r="C561" s="5" t="str">
        <f>_xlfn.XLOOKUP(B561,Master[Product_Code],Master[Category])</f>
        <v>Jeans</v>
      </c>
      <c r="D561" s="2" t="str">
        <f>_xlfn.XLOOKUP(B561,Master[Product_Code],Master[Brand])</f>
        <v>Denim Pro</v>
      </c>
      <c r="E561" s="2" t="str">
        <f>_xlfn.XLOOKUP(B561,Master[Product_Code],Master[Style])</f>
        <v>Baggy</v>
      </c>
      <c r="F561" s="2" t="str">
        <f>_xlfn.XLOOKUP(B561,Master[Product_Code],Master[Fabric])</f>
        <v>Denim</v>
      </c>
      <c r="G561" s="2">
        <f>_xlfn.XLOOKUP(B561,Master[Product_Code],Master[Size])</f>
        <v>42</v>
      </c>
      <c r="H561" s="2" t="str">
        <f>_xlfn.XLOOKUP(B561,Master[Product_Code],Master[Color])</f>
        <v>Cream</v>
      </c>
      <c r="I561" s="4">
        <f>_xlfn.XLOOKUP(B561,Master[Product_Code],Master[Stock_Qty])</f>
        <v>4</v>
      </c>
      <c r="J561" s="6">
        <f>SUMIFS(
  Sales_Entry[Qty],
  Sales_Entry[Product_Code], Stock_Table[[#This Row],[Product_Code]]
)</f>
        <v>1</v>
      </c>
      <c r="K561" s="4">
        <f>SUMIFS(
  Exchange_Return[Qty],
  Exchange_Return[Product_Code], Stock_Table[[#This Row],[Product_Code]]
)</f>
        <v>0</v>
      </c>
      <c r="L561" s="4">
        <f>I561-J561+K561</f>
        <v>3</v>
      </c>
      <c r="M561" s="2" t="str" cm="1">
        <f t="array" ref="M561">_xlfn.IFS(L561=0,"Out of Stock",L561&gt;=2,"Limited Stock",L561&lt;2,"In Stock")</f>
        <v>Limited Stock</v>
      </c>
    </row>
    <row r="562" spans="2:13">
      <c r="B562" s="2" t="s">
        <v>1116</v>
      </c>
      <c r="C562" s="5" t="str">
        <f>_xlfn.XLOOKUP(B562,Master[Product_Code],Master[Category])</f>
        <v>Jeans</v>
      </c>
      <c r="D562" s="2" t="str">
        <f>_xlfn.XLOOKUP(B562,Master[Product_Code],Master[Brand])</f>
        <v>Denim Pro</v>
      </c>
      <c r="E562" s="2" t="str">
        <f>_xlfn.XLOOKUP(B562,Master[Product_Code],Master[Style])</f>
        <v>Baggy</v>
      </c>
      <c r="F562" s="2" t="str">
        <f>_xlfn.XLOOKUP(B562,Master[Product_Code],Master[Fabric])</f>
        <v>Denim</v>
      </c>
      <c r="G562" s="2">
        <f>_xlfn.XLOOKUP(B562,Master[Product_Code],Master[Size])</f>
        <v>38</v>
      </c>
      <c r="H562" s="2" t="str">
        <f>_xlfn.XLOOKUP(B562,Master[Product_Code],Master[Color])</f>
        <v>Cream</v>
      </c>
      <c r="I562" s="4">
        <f>_xlfn.XLOOKUP(B562,Master[Product_Code],Master[Stock_Qty])</f>
        <v>3</v>
      </c>
      <c r="J562" s="6">
        <f>SUMIFS(
  Sales_Entry[Qty],
  Sales_Entry[Product_Code], Stock_Table[[#This Row],[Product_Code]]
)</f>
        <v>2</v>
      </c>
      <c r="K562" s="4">
        <f>SUMIFS(
  Exchange_Return[Qty],
  Exchange_Return[Product_Code], Stock_Table[[#This Row],[Product_Code]]
)</f>
        <v>0</v>
      </c>
      <c r="L562" s="4">
        <f>I562-J562+K562</f>
        <v>1</v>
      </c>
      <c r="M562" s="2" t="str" cm="1">
        <f t="array" ref="M562">_xlfn.IFS(L562=0,"Out of Stock",L562&gt;=2,"Limited Stock",L562&lt;2,"In Stock")</f>
        <v>In Stock</v>
      </c>
    </row>
    <row r="563" spans="2:13">
      <c r="B563" s="2" t="s">
        <v>1117</v>
      </c>
      <c r="C563" s="5" t="str">
        <f>_xlfn.XLOOKUP(B563,Master[Product_Code],Master[Category])</f>
        <v>Jeans</v>
      </c>
      <c r="D563" s="2" t="str">
        <f>_xlfn.XLOOKUP(B563,Master[Product_Code],Master[Brand])</f>
        <v>Denim Pro</v>
      </c>
      <c r="E563" s="2" t="str">
        <f>_xlfn.XLOOKUP(B563,Master[Product_Code],Master[Style])</f>
        <v>Mom Fit</v>
      </c>
      <c r="F563" s="2" t="str">
        <f>_xlfn.XLOOKUP(B563,Master[Product_Code],Master[Fabric])</f>
        <v>Denim</v>
      </c>
      <c r="G563" s="2">
        <f>_xlfn.XLOOKUP(B563,Master[Product_Code],Master[Size])</f>
        <v>38</v>
      </c>
      <c r="H563" s="2" t="str">
        <f>_xlfn.XLOOKUP(B563,Master[Product_Code],Master[Color])</f>
        <v>Wine</v>
      </c>
      <c r="I563" s="4">
        <f>_xlfn.XLOOKUP(B563,Master[Product_Code],Master[Stock_Qty])</f>
        <v>3</v>
      </c>
      <c r="J563" s="6">
        <f>SUMIFS(
  Sales_Entry[Qty],
  Sales_Entry[Product_Code], Stock_Table[[#This Row],[Product_Code]]
)</f>
        <v>0</v>
      </c>
      <c r="K563" s="4">
        <f>SUMIFS(
  Exchange_Return[Qty],
  Exchange_Return[Product_Code], Stock_Table[[#This Row],[Product_Code]]
)</f>
        <v>0</v>
      </c>
      <c r="L563" s="4">
        <f>I563-J563+K563</f>
        <v>3</v>
      </c>
      <c r="M563" s="2" t="str" cm="1">
        <f t="array" ref="M563">_xlfn.IFS(L563=0,"Out of Stock",L563&gt;=2,"Limited Stock",L563&lt;2,"In Stock")</f>
        <v>Limited Stock</v>
      </c>
    </row>
    <row r="564" spans="2:13">
      <c r="B564" s="2" t="s">
        <v>1118</v>
      </c>
      <c r="C564" s="5" t="str">
        <f>_xlfn.XLOOKUP(B564,Master[Product_Code],Master[Category])</f>
        <v>Jeans</v>
      </c>
      <c r="D564" s="2" t="str">
        <f>_xlfn.XLOOKUP(B564,Master[Product_Code],Master[Brand])</f>
        <v>Levis</v>
      </c>
      <c r="E564" s="2" t="str">
        <f>_xlfn.XLOOKUP(B564,Master[Product_Code],Master[Style])</f>
        <v>Baggy</v>
      </c>
      <c r="F564" s="2" t="str">
        <f>_xlfn.XLOOKUP(B564,Master[Product_Code],Master[Fabric])</f>
        <v>Denim</v>
      </c>
      <c r="G564" s="2">
        <f>_xlfn.XLOOKUP(B564,Master[Product_Code],Master[Size])</f>
        <v>30</v>
      </c>
      <c r="H564" s="2" t="str">
        <f>_xlfn.XLOOKUP(B564,Master[Product_Code],Master[Color])</f>
        <v>Royal Blue</v>
      </c>
      <c r="I564" s="4">
        <f>_xlfn.XLOOKUP(B564,Master[Product_Code],Master[Stock_Qty])</f>
        <v>5</v>
      </c>
      <c r="J564" s="6">
        <f>SUMIFS(
  Sales_Entry[Qty],
  Sales_Entry[Product_Code], Stock_Table[[#This Row],[Product_Code]]
)</f>
        <v>3</v>
      </c>
      <c r="K564" s="4">
        <f>SUMIFS(
  Exchange_Return[Qty],
  Exchange_Return[Product_Code], Stock_Table[[#This Row],[Product_Code]]
)</f>
        <v>1</v>
      </c>
      <c r="L564" s="4">
        <f>I564-J564+K564</f>
        <v>3</v>
      </c>
      <c r="M564" s="2" t="str" cm="1">
        <f t="array" ref="M564">_xlfn.IFS(L564=0,"Out of Stock",L564&gt;=2,"Limited Stock",L564&lt;2,"In Stock")</f>
        <v>Limited Stock</v>
      </c>
    </row>
    <row r="565" spans="2:13">
      <c r="B565" s="2" t="s">
        <v>1119</v>
      </c>
      <c r="C565" s="5" t="str">
        <f>_xlfn.XLOOKUP(B565,Master[Product_Code],Master[Category])</f>
        <v>Jeans</v>
      </c>
      <c r="D565" s="2" t="str">
        <f>_xlfn.XLOOKUP(B565,Master[Product_Code],Master[Brand])</f>
        <v>Pepe</v>
      </c>
      <c r="E565" s="2" t="str">
        <f>_xlfn.XLOOKUP(B565,Master[Product_Code],Master[Style])</f>
        <v>Jogger</v>
      </c>
      <c r="F565" s="2" t="str">
        <f>_xlfn.XLOOKUP(B565,Master[Product_Code],Master[Fabric])</f>
        <v>Denim</v>
      </c>
      <c r="G565" s="2">
        <f>_xlfn.XLOOKUP(B565,Master[Product_Code],Master[Size])</f>
        <v>28</v>
      </c>
      <c r="H565" s="2" t="str">
        <f>_xlfn.XLOOKUP(B565,Master[Product_Code],Master[Color])</f>
        <v>Sky Blue</v>
      </c>
      <c r="I565" s="4">
        <f>_xlfn.XLOOKUP(B565,Master[Product_Code],Master[Stock_Qty])</f>
        <v>6</v>
      </c>
      <c r="J565" s="6">
        <f>SUMIFS(
  Sales_Entry[Qty],
  Sales_Entry[Product_Code], Stock_Table[[#This Row],[Product_Code]]
)</f>
        <v>4</v>
      </c>
      <c r="K565" s="4">
        <f>SUMIFS(
  Exchange_Return[Qty],
  Exchange_Return[Product_Code], Stock_Table[[#This Row],[Product_Code]]
)</f>
        <v>0</v>
      </c>
      <c r="L565" s="4">
        <f>I565-J565+K565</f>
        <v>2</v>
      </c>
      <c r="M565" s="2" t="str" cm="1">
        <f t="array" ref="M565">_xlfn.IFS(L565=0,"Out of Stock",L565&gt;=2,"Limited Stock",L565&lt;2,"In Stock")</f>
        <v>Limited Stock</v>
      </c>
    </row>
    <row r="566" spans="2:13">
      <c r="B566" s="2" t="s">
        <v>1120</v>
      </c>
      <c r="C566" s="5" t="str">
        <f>_xlfn.XLOOKUP(B566,Master[Product_Code],Master[Category])</f>
        <v>Jeans</v>
      </c>
      <c r="D566" s="2" t="str">
        <f>_xlfn.XLOOKUP(B566,Master[Product_Code],Master[Brand])</f>
        <v>Levis</v>
      </c>
      <c r="E566" s="2" t="str">
        <f>_xlfn.XLOOKUP(B566,Master[Product_Code],Master[Style])</f>
        <v>Jogger</v>
      </c>
      <c r="F566" s="2" t="str">
        <f>_xlfn.XLOOKUP(B566,Master[Product_Code],Master[Fabric])</f>
        <v>Denim</v>
      </c>
      <c r="G566" s="2">
        <f>_xlfn.XLOOKUP(B566,Master[Product_Code],Master[Size])</f>
        <v>38</v>
      </c>
      <c r="H566" s="2" t="str">
        <f>_xlfn.XLOOKUP(B566,Master[Product_Code],Master[Color])</f>
        <v>Teal</v>
      </c>
      <c r="I566" s="4">
        <f>_xlfn.XLOOKUP(B566,Master[Product_Code],Master[Stock_Qty])</f>
        <v>4</v>
      </c>
      <c r="J566" s="6">
        <f>SUMIFS(
  Sales_Entry[Qty],
  Sales_Entry[Product_Code], Stock_Table[[#This Row],[Product_Code]]
)</f>
        <v>2</v>
      </c>
      <c r="K566" s="4">
        <f>SUMIFS(
  Exchange_Return[Qty],
  Exchange_Return[Product_Code], Stock_Table[[#This Row],[Product_Code]]
)</f>
        <v>0</v>
      </c>
      <c r="L566" s="4">
        <f>I566-J566+K566</f>
        <v>2</v>
      </c>
      <c r="M566" s="2" t="str" cm="1">
        <f t="array" ref="M566">_xlfn.IFS(L566=0,"Out of Stock",L566&gt;=2,"Limited Stock",L566&lt;2,"In Stock")</f>
        <v>Limited Stock</v>
      </c>
    </row>
    <row r="567" spans="2:13">
      <c r="B567" s="2" t="s">
        <v>1121</v>
      </c>
      <c r="C567" s="5" t="str">
        <f>_xlfn.XLOOKUP(B567,Master[Product_Code],Master[Category])</f>
        <v>Jeans</v>
      </c>
      <c r="D567" s="2" t="str">
        <f>_xlfn.XLOOKUP(B567,Master[Product_Code],Master[Brand])</f>
        <v>Locomotive</v>
      </c>
      <c r="E567" s="2" t="str">
        <f>_xlfn.XLOOKUP(B567,Master[Product_Code],Master[Style])</f>
        <v>Jogger</v>
      </c>
      <c r="F567" s="2" t="str">
        <f>_xlfn.XLOOKUP(B567,Master[Product_Code],Master[Fabric])</f>
        <v>Denim</v>
      </c>
      <c r="G567" s="2">
        <f>_xlfn.XLOOKUP(B567,Master[Product_Code],Master[Size])</f>
        <v>44</v>
      </c>
      <c r="H567" s="2" t="str">
        <f>_xlfn.XLOOKUP(B567,Master[Product_Code],Master[Color])</f>
        <v>Grey</v>
      </c>
      <c r="I567" s="4">
        <f>_xlfn.XLOOKUP(B567,Master[Product_Code],Master[Stock_Qty])</f>
        <v>4</v>
      </c>
      <c r="J567" s="6">
        <f>SUMIFS(
  Sales_Entry[Qty],
  Sales_Entry[Product_Code], Stock_Table[[#This Row],[Product_Code]]
)</f>
        <v>3</v>
      </c>
      <c r="K567" s="4">
        <f>SUMIFS(
  Exchange_Return[Qty],
  Exchange_Return[Product_Code], Stock_Table[[#This Row],[Product_Code]]
)</f>
        <v>0</v>
      </c>
      <c r="L567" s="4">
        <f>I567-J567+K567</f>
        <v>1</v>
      </c>
      <c r="M567" s="2" t="str" cm="1">
        <f t="array" ref="M567">_xlfn.IFS(L567=0,"Out of Stock",L567&gt;=2,"Limited Stock",L567&lt;2,"In Stock")</f>
        <v>In Stock</v>
      </c>
    </row>
    <row r="568" spans="2:13">
      <c r="B568" s="2" t="s">
        <v>1122</v>
      </c>
      <c r="C568" s="5" t="str">
        <f>_xlfn.XLOOKUP(B568,Master[Product_Code],Master[Category])</f>
        <v>Jeans</v>
      </c>
      <c r="D568" s="2" t="str">
        <f>_xlfn.XLOOKUP(B568,Master[Product_Code],Master[Brand])</f>
        <v>Spykar</v>
      </c>
      <c r="E568" s="2" t="str">
        <f>_xlfn.XLOOKUP(B568,Master[Product_Code],Master[Style])</f>
        <v>Jogger</v>
      </c>
      <c r="F568" s="2" t="str">
        <f>_xlfn.XLOOKUP(B568,Master[Product_Code],Master[Fabric])</f>
        <v>Denim</v>
      </c>
      <c r="G568" s="2">
        <f>_xlfn.XLOOKUP(B568,Master[Product_Code],Master[Size])</f>
        <v>42</v>
      </c>
      <c r="H568" s="2" t="str">
        <f>_xlfn.XLOOKUP(B568,Master[Product_Code],Master[Color])</f>
        <v>Light Grey</v>
      </c>
      <c r="I568" s="4">
        <f>_xlfn.XLOOKUP(B568,Master[Product_Code],Master[Stock_Qty])</f>
        <v>4</v>
      </c>
      <c r="J568" s="6">
        <f>SUMIFS(
  Sales_Entry[Qty],
  Sales_Entry[Product_Code], Stock_Table[[#This Row],[Product_Code]]
)</f>
        <v>0</v>
      </c>
      <c r="K568" s="4">
        <f>SUMIFS(
  Exchange_Return[Qty],
  Exchange_Return[Product_Code], Stock_Table[[#This Row],[Product_Code]]
)</f>
        <v>0</v>
      </c>
      <c r="L568" s="4">
        <f>I568-J568+K568</f>
        <v>4</v>
      </c>
      <c r="M568" s="2" t="str" cm="1">
        <f t="array" ref="M568">_xlfn.IFS(L568=0,"Out of Stock",L568&gt;=2,"Limited Stock",L568&lt;2,"In Stock")</f>
        <v>Limited Stock</v>
      </c>
    </row>
    <row r="569" spans="2:13">
      <c r="B569" s="2" t="s">
        <v>1123</v>
      </c>
      <c r="C569" s="5" t="str">
        <f>_xlfn.XLOOKUP(B569,Master[Product_Code],Master[Category])</f>
        <v>Jeans</v>
      </c>
      <c r="D569" s="2" t="str">
        <f>_xlfn.XLOOKUP(B569,Master[Product_Code],Master[Brand])</f>
        <v>Denim Pro</v>
      </c>
      <c r="E569" s="2" t="str">
        <f>_xlfn.XLOOKUP(B569,Master[Product_Code],Master[Style])</f>
        <v>Mom Fit</v>
      </c>
      <c r="F569" s="2" t="str">
        <f>_xlfn.XLOOKUP(B569,Master[Product_Code],Master[Fabric])</f>
        <v>Denim</v>
      </c>
      <c r="G569" s="2">
        <f>_xlfn.XLOOKUP(B569,Master[Product_Code],Master[Size])</f>
        <v>38</v>
      </c>
      <c r="H569" s="2" t="str">
        <f>_xlfn.XLOOKUP(B569,Master[Product_Code],Master[Color])</f>
        <v>Beige</v>
      </c>
      <c r="I569" s="4">
        <f>_xlfn.XLOOKUP(B569,Master[Product_Code],Master[Stock_Qty])</f>
        <v>6</v>
      </c>
      <c r="J569" s="6">
        <f>SUMIFS(
  Sales_Entry[Qty],
  Sales_Entry[Product_Code], Stock_Table[[#This Row],[Product_Code]]
)</f>
        <v>1</v>
      </c>
      <c r="K569" s="4">
        <f>SUMIFS(
  Exchange_Return[Qty],
  Exchange_Return[Product_Code], Stock_Table[[#This Row],[Product_Code]]
)</f>
        <v>0</v>
      </c>
      <c r="L569" s="4">
        <f>I569-J569+K569</f>
        <v>5</v>
      </c>
      <c r="M569" s="2" t="str" cm="1">
        <f t="array" ref="M569">_xlfn.IFS(L569=0,"Out of Stock",L569&gt;=2,"Limited Stock",L569&lt;2,"In Stock")</f>
        <v>Limited Stock</v>
      </c>
    </row>
    <row r="570" spans="2:13">
      <c r="B570" s="2" t="s">
        <v>1124</v>
      </c>
      <c r="C570" s="5" t="str">
        <f>_xlfn.XLOOKUP(B570,Master[Product_Code],Master[Category])</f>
        <v>Jeans</v>
      </c>
      <c r="D570" s="2" t="str">
        <f>_xlfn.XLOOKUP(B570,Master[Product_Code],Master[Brand])</f>
        <v>Pepe</v>
      </c>
      <c r="E570" s="2" t="str">
        <f>_xlfn.XLOOKUP(B570,Master[Product_Code],Master[Style])</f>
        <v>Mom Fit</v>
      </c>
      <c r="F570" s="2" t="str">
        <f>_xlfn.XLOOKUP(B570,Master[Product_Code],Master[Fabric])</f>
        <v>Denim</v>
      </c>
      <c r="G570" s="2">
        <f>_xlfn.XLOOKUP(B570,Master[Product_Code],Master[Size])</f>
        <v>38</v>
      </c>
      <c r="H570" s="2" t="str">
        <f>_xlfn.XLOOKUP(B570,Master[Product_Code],Master[Color])</f>
        <v>Cream</v>
      </c>
      <c r="I570" s="4">
        <f>_xlfn.XLOOKUP(B570,Master[Product_Code],Master[Stock_Qty])</f>
        <v>6</v>
      </c>
      <c r="J570" s="6">
        <f>SUMIFS(
  Sales_Entry[Qty],
  Sales_Entry[Product_Code], Stock_Table[[#This Row],[Product_Code]]
)</f>
        <v>3</v>
      </c>
      <c r="K570" s="4">
        <f>SUMIFS(
  Exchange_Return[Qty],
  Exchange_Return[Product_Code], Stock_Table[[#This Row],[Product_Code]]
)</f>
        <v>0</v>
      </c>
      <c r="L570" s="4">
        <f>I570-J570+K570</f>
        <v>3</v>
      </c>
      <c r="M570" s="2" t="str" cm="1">
        <f t="array" ref="M570">_xlfn.IFS(L570=0,"Out of Stock",L570&gt;=2,"Limited Stock",L570&lt;2,"In Stock")</f>
        <v>Limited Stock</v>
      </c>
    </row>
    <row r="571" spans="2:13">
      <c r="B571" s="2" t="s">
        <v>1125</v>
      </c>
      <c r="C571" s="5" t="str">
        <f>_xlfn.XLOOKUP(B571,Master[Product_Code],Master[Category])</f>
        <v>Jeans</v>
      </c>
      <c r="D571" s="2" t="str">
        <f>_xlfn.XLOOKUP(B571,Master[Product_Code],Master[Brand])</f>
        <v>Locomotive</v>
      </c>
      <c r="E571" s="2" t="str">
        <f>_xlfn.XLOOKUP(B571,Master[Product_Code],Master[Style])</f>
        <v>Mom Fit</v>
      </c>
      <c r="F571" s="2" t="str">
        <f>_xlfn.XLOOKUP(B571,Master[Product_Code],Master[Fabric])</f>
        <v>Denim</v>
      </c>
      <c r="G571" s="2">
        <f>_xlfn.XLOOKUP(B571,Master[Product_Code],Master[Size])</f>
        <v>44</v>
      </c>
      <c r="H571" s="2" t="str">
        <f>_xlfn.XLOOKUP(B571,Master[Product_Code],Master[Color])</f>
        <v>Dark Green</v>
      </c>
      <c r="I571" s="4">
        <f>_xlfn.XLOOKUP(B571,Master[Product_Code],Master[Stock_Qty])</f>
        <v>5</v>
      </c>
      <c r="J571" s="6">
        <f>SUMIFS(
  Sales_Entry[Qty],
  Sales_Entry[Product_Code], Stock_Table[[#This Row],[Product_Code]]
)</f>
        <v>0</v>
      </c>
      <c r="K571" s="4">
        <f>SUMIFS(
  Exchange_Return[Qty],
  Exchange_Return[Product_Code], Stock_Table[[#This Row],[Product_Code]]
)</f>
        <v>0</v>
      </c>
      <c r="L571" s="4">
        <f>I571-J571+K571</f>
        <v>5</v>
      </c>
      <c r="M571" s="2" t="str" cm="1">
        <f t="array" ref="M571">_xlfn.IFS(L571=0,"Out of Stock",L571&gt;=2,"Limited Stock",L571&lt;2,"In Stock")</f>
        <v>Limited Stock</v>
      </c>
    </row>
    <row r="572" spans="2:13">
      <c r="B572" s="2" t="s">
        <v>1126</v>
      </c>
      <c r="C572" s="5" t="str">
        <f>_xlfn.XLOOKUP(B572,Master[Product_Code],Master[Category])</f>
        <v>Jeans</v>
      </c>
      <c r="D572" s="2" t="str">
        <f>_xlfn.XLOOKUP(B572,Master[Product_Code],Master[Brand])</f>
        <v>Locomotive</v>
      </c>
      <c r="E572" s="2" t="str">
        <f>_xlfn.XLOOKUP(B572,Master[Product_Code],Master[Style])</f>
        <v>Baggy</v>
      </c>
      <c r="F572" s="2" t="str">
        <f>_xlfn.XLOOKUP(B572,Master[Product_Code],Master[Fabric])</f>
        <v>Denim</v>
      </c>
      <c r="G572" s="2">
        <f>_xlfn.XLOOKUP(B572,Master[Product_Code],Master[Size])</f>
        <v>34</v>
      </c>
      <c r="H572" s="2" t="str">
        <f>_xlfn.XLOOKUP(B572,Master[Product_Code],Master[Color])</f>
        <v>Cream</v>
      </c>
      <c r="I572" s="4">
        <f>_xlfn.XLOOKUP(B572,Master[Product_Code],Master[Stock_Qty])</f>
        <v>3</v>
      </c>
      <c r="J572" s="6">
        <f>SUMIFS(
  Sales_Entry[Qty],
  Sales_Entry[Product_Code], Stock_Table[[#This Row],[Product_Code]]
)</f>
        <v>0</v>
      </c>
      <c r="K572" s="4">
        <f>SUMIFS(
  Exchange_Return[Qty],
  Exchange_Return[Product_Code], Stock_Table[[#This Row],[Product_Code]]
)</f>
        <v>0</v>
      </c>
      <c r="L572" s="4">
        <f>I572-J572+K572</f>
        <v>3</v>
      </c>
      <c r="M572" s="2" t="str" cm="1">
        <f t="array" ref="M572">_xlfn.IFS(L572=0,"Out of Stock",L572&gt;=2,"Limited Stock",L572&lt;2,"In Stock")</f>
        <v>Limited Stock</v>
      </c>
    </row>
    <row r="573" spans="2:13">
      <c r="B573" s="2" t="s">
        <v>1127</v>
      </c>
      <c r="C573" s="5" t="str">
        <f>_xlfn.XLOOKUP(B573,Master[Product_Code],Master[Category])</f>
        <v>Jeans</v>
      </c>
      <c r="D573" s="2" t="str">
        <f>_xlfn.XLOOKUP(B573,Master[Product_Code],Master[Brand])</f>
        <v>Levis</v>
      </c>
      <c r="E573" s="2" t="str">
        <f>_xlfn.XLOOKUP(B573,Master[Product_Code],Master[Style])</f>
        <v>Mom Fit</v>
      </c>
      <c r="F573" s="2" t="str">
        <f>_xlfn.XLOOKUP(B573,Master[Product_Code],Master[Fabric])</f>
        <v>Denim</v>
      </c>
      <c r="G573" s="2">
        <f>_xlfn.XLOOKUP(B573,Master[Product_Code],Master[Size])</f>
        <v>30</v>
      </c>
      <c r="H573" s="2" t="str">
        <f>_xlfn.XLOOKUP(B573,Master[Product_Code],Master[Color])</f>
        <v>Sky Blue</v>
      </c>
      <c r="I573" s="4">
        <f>_xlfn.XLOOKUP(B573,Master[Product_Code],Master[Stock_Qty])</f>
        <v>4</v>
      </c>
      <c r="J573" s="6">
        <f>SUMIFS(
  Sales_Entry[Qty],
  Sales_Entry[Product_Code], Stock_Table[[#This Row],[Product_Code]]
)</f>
        <v>3</v>
      </c>
      <c r="K573" s="4">
        <f>SUMIFS(
  Exchange_Return[Qty],
  Exchange_Return[Product_Code], Stock_Table[[#This Row],[Product_Code]]
)</f>
        <v>0</v>
      </c>
      <c r="L573" s="4">
        <f>I573-J573+K573</f>
        <v>1</v>
      </c>
      <c r="M573" s="2" t="str" cm="1">
        <f t="array" ref="M573">_xlfn.IFS(L573=0,"Out of Stock",L573&gt;=2,"Limited Stock",L573&lt;2,"In Stock")</f>
        <v>In Stock</v>
      </c>
    </row>
    <row r="574" spans="2:13">
      <c r="B574" s="2" t="s">
        <v>1128</v>
      </c>
      <c r="C574" s="5" t="str">
        <f>_xlfn.XLOOKUP(B574,Master[Product_Code],Master[Category])</f>
        <v>Jeans</v>
      </c>
      <c r="D574" s="2" t="str">
        <f>_xlfn.XLOOKUP(B574,Master[Product_Code],Master[Brand])</f>
        <v>Pepe</v>
      </c>
      <c r="E574" s="2" t="str">
        <f>_xlfn.XLOOKUP(B574,Master[Product_Code],Master[Style])</f>
        <v>Jogger</v>
      </c>
      <c r="F574" s="2" t="str">
        <f>_xlfn.XLOOKUP(B574,Master[Product_Code],Master[Fabric])</f>
        <v>Denim</v>
      </c>
      <c r="G574" s="2">
        <f>_xlfn.XLOOKUP(B574,Master[Product_Code],Master[Size])</f>
        <v>42</v>
      </c>
      <c r="H574" s="2" t="str">
        <f>_xlfn.XLOOKUP(B574,Master[Product_Code],Master[Color])</f>
        <v>Maroon</v>
      </c>
      <c r="I574" s="4">
        <f>_xlfn.XLOOKUP(B574,Master[Product_Code],Master[Stock_Qty])</f>
        <v>4</v>
      </c>
      <c r="J574" s="6">
        <f>SUMIFS(
  Sales_Entry[Qty],
  Sales_Entry[Product_Code], Stock_Table[[#This Row],[Product_Code]]
)</f>
        <v>3</v>
      </c>
      <c r="K574" s="4">
        <f>SUMIFS(
  Exchange_Return[Qty],
  Exchange_Return[Product_Code], Stock_Table[[#This Row],[Product_Code]]
)</f>
        <v>0</v>
      </c>
      <c r="L574" s="4">
        <f>I574-J574+K574</f>
        <v>1</v>
      </c>
      <c r="M574" s="2" t="str" cm="1">
        <f t="array" ref="M574">_xlfn.IFS(L574=0,"Out of Stock",L574&gt;=2,"Limited Stock",L574&lt;2,"In Stock")</f>
        <v>In Stock</v>
      </c>
    </row>
    <row r="575" spans="2:13">
      <c r="B575" s="2" t="s">
        <v>1129</v>
      </c>
      <c r="C575" s="5" t="str">
        <f>_xlfn.XLOOKUP(B575,Master[Product_Code],Master[Category])</f>
        <v>Jeans</v>
      </c>
      <c r="D575" s="2" t="str">
        <f>_xlfn.XLOOKUP(B575,Master[Product_Code],Master[Brand])</f>
        <v>Denim Pro</v>
      </c>
      <c r="E575" s="2" t="str">
        <f>_xlfn.XLOOKUP(B575,Master[Product_Code],Master[Style])</f>
        <v>Mom Fit</v>
      </c>
      <c r="F575" s="2" t="str">
        <f>_xlfn.XLOOKUP(B575,Master[Product_Code],Master[Fabric])</f>
        <v>Denim</v>
      </c>
      <c r="G575" s="2">
        <f>_xlfn.XLOOKUP(B575,Master[Product_Code],Master[Size])</f>
        <v>40</v>
      </c>
      <c r="H575" s="2" t="str">
        <f>_xlfn.XLOOKUP(B575,Master[Product_Code],Master[Color])</f>
        <v>Dark Green</v>
      </c>
      <c r="I575" s="4">
        <f>_xlfn.XLOOKUP(B575,Master[Product_Code],Master[Stock_Qty])</f>
        <v>4</v>
      </c>
      <c r="J575" s="6">
        <f>SUMIFS(
  Sales_Entry[Qty],
  Sales_Entry[Product_Code], Stock_Table[[#This Row],[Product_Code]]
)</f>
        <v>2</v>
      </c>
      <c r="K575" s="4">
        <f>SUMIFS(
  Exchange_Return[Qty],
  Exchange_Return[Product_Code], Stock_Table[[#This Row],[Product_Code]]
)</f>
        <v>0</v>
      </c>
      <c r="L575" s="4">
        <f>I575-J575+K575</f>
        <v>2</v>
      </c>
      <c r="M575" s="2" t="str" cm="1">
        <f t="array" ref="M575">_xlfn.IFS(L575=0,"Out of Stock",L575&gt;=2,"Limited Stock",L575&lt;2,"In Stock")</f>
        <v>Limited Stock</v>
      </c>
    </row>
    <row r="576" spans="2:13">
      <c r="B576" s="2" t="s">
        <v>1130</v>
      </c>
      <c r="C576" s="5" t="str">
        <f>_xlfn.XLOOKUP(B576,Master[Product_Code],Master[Category])</f>
        <v>Jeans</v>
      </c>
      <c r="D576" s="2" t="str">
        <f>_xlfn.XLOOKUP(B576,Master[Product_Code],Master[Brand])</f>
        <v>Wrangler</v>
      </c>
      <c r="E576" s="2" t="str">
        <f>_xlfn.XLOOKUP(B576,Master[Product_Code],Master[Style])</f>
        <v>Baggy</v>
      </c>
      <c r="F576" s="2" t="str">
        <f>_xlfn.XLOOKUP(B576,Master[Product_Code],Master[Fabric])</f>
        <v>Denim</v>
      </c>
      <c r="G576" s="2">
        <f>_xlfn.XLOOKUP(B576,Master[Product_Code],Master[Size])</f>
        <v>28</v>
      </c>
      <c r="H576" s="2" t="str">
        <f>_xlfn.XLOOKUP(B576,Master[Product_Code],Master[Color])</f>
        <v>Brown</v>
      </c>
      <c r="I576" s="4">
        <f>_xlfn.XLOOKUP(B576,Master[Product_Code],Master[Stock_Qty])</f>
        <v>4</v>
      </c>
      <c r="J576" s="6">
        <f>SUMIFS(
  Sales_Entry[Qty],
  Sales_Entry[Product_Code], Stock_Table[[#This Row],[Product_Code]]
)</f>
        <v>0</v>
      </c>
      <c r="K576" s="4">
        <f>SUMIFS(
  Exchange_Return[Qty],
  Exchange_Return[Product_Code], Stock_Table[[#This Row],[Product_Code]]
)</f>
        <v>0</v>
      </c>
      <c r="L576" s="4">
        <f>I576-J576+K576</f>
        <v>4</v>
      </c>
      <c r="M576" s="2" t="str" cm="1">
        <f t="array" ref="M576">_xlfn.IFS(L576=0,"Out of Stock",L576&gt;=2,"Limited Stock",L576&lt;2,"In Stock")</f>
        <v>Limited Stock</v>
      </c>
    </row>
    <row r="577" spans="2:13">
      <c r="B577" s="2" t="s">
        <v>1131</v>
      </c>
      <c r="C577" s="5" t="str">
        <f>_xlfn.XLOOKUP(B577,Master[Product_Code],Master[Category])</f>
        <v>Jeans</v>
      </c>
      <c r="D577" s="2" t="str">
        <f>_xlfn.XLOOKUP(B577,Master[Product_Code],Master[Brand])</f>
        <v>Pepe</v>
      </c>
      <c r="E577" s="2" t="str">
        <f>_xlfn.XLOOKUP(B577,Master[Product_Code],Master[Style])</f>
        <v>Mom Fit</v>
      </c>
      <c r="F577" s="2" t="str">
        <f>_xlfn.XLOOKUP(B577,Master[Product_Code],Master[Fabric])</f>
        <v>Denim</v>
      </c>
      <c r="G577" s="2">
        <f>_xlfn.XLOOKUP(B577,Master[Product_Code],Master[Size])</f>
        <v>40</v>
      </c>
      <c r="H577" s="2" t="str">
        <f>_xlfn.XLOOKUP(B577,Master[Product_Code],Master[Color])</f>
        <v>Light Grey</v>
      </c>
      <c r="I577" s="4">
        <f>_xlfn.XLOOKUP(B577,Master[Product_Code],Master[Stock_Qty])</f>
        <v>5</v>
      </c>
      <c r="J577" s="6">
        <f>SUMIFS(
  Sales_Entry[Qty],
  Sales_Entry[Product_Code], Stock_Table[[#This Row],[Product_Code]]
)</f>
        <v>1</v>
      </c>
      <c r="K577" s="4">
        <f>SUMIFS(
  Exchange_Return[Qty],
  Exchange_Return[Product_Code], Stock_Table[[#This Row],[Product_Code]]
)</f>
        <v>0</v>
      </c>
      <c r="L577" s="4">
        <f>I577-J577+K577</f>
        <v>4</v>
      </c>
      <c r="M577" s="2" t="str" cm="1">
        <f t="array" ref="M577">_xlfn.IFS(L577=0,"Out of Stock",L577&gt;=2,"Limited Stock",L577&lt;2,"In Stock")</f>
        <v>Limited Stock</v>
      </c>
    </row>
    <row r="578" spans="2:13">
      <c r="B578" s="2" t="s">
        <v>1132</v>
      </c>
      <c r="C578" s="5" t="str">
        <f>_xlfn.XLOOKUP(B578,Master[Product_Code],Master[Category])</f>
        <v>Jeans</v>
      </c>
      <c r="D578" s="2" t="str">
        <f>_xlfn.XLOOKUP(B578,Master[Product_Code],Master[Brand])</f>
        <v>Denim Pro</v>
      </c>
      <c r="E578" s="2" t="str">
        <f>_xlfn.XLOOKUP(B578,Master[Product_Code],Master[Style])</f>
        <v>Baggy</v>
      </c>
      <c r="F578" s="2" t="str">
        <f>_xlfn.XLOOKUP(B578,Master[Product_Code],Master[Fabric])</f>
        <v>Denim</v>
      </c>
      <c r="G578" s="2">
        <f>_xlfn.XLOOKUP(B578,Master[Product_Code],Master[Size])</f>
        <v>44</v>
      </c>
      <c r="H578" s="2" t="str">
        <f>_xlfn.XLOOKUP(B578,Master[Product_Code],Master[Color])</f>
        <v>Dark Green</v>
      </c>
      <c r="I578" s="4">
        <f>_xlfn.XLOOKUP(B578,Master[Product_Code],Master[Stock_Qty])</f>
        <v>6</v>
      </c>
      <c r="J578" s="6">
        <f>SUMIFS(
  Sales_Entry[Qty],
  Sales_Entry[Product_Code], Stock_Table[[#This Row],[Product_Code]]
)</f>
        <v>1</v>
      </c>
      <c r="K578" s="4">
        <f>SUMIFS(
  Exchange_Return[Qty],
  Exchange_Return[Product_Code], Stock_Table[[#This Row],[Product_Code]]
)</f>
        <v>0</v>
      </c>
      <c r="L578" s="4">
        <f>I578-J578+K578</f>
        <v>5</v>
      </c>
      <c r="M578" s="2" t="str" cm="1">
        <f t="array" ref="M578">_xlfn.IFS(L578=0,"Out of Stock",L578&gt;=2,"Limited Stock",L578&lt;2,"In Stock")</f>
        <v>Limited Stock</v>
      </c>
    </row>
    <row r="579" spans="2:13">
      <c r="B579" s="2" t="s">
        <v>1133</v>
      </c>
      <c r="C579" s="5" t="str">
        <f>_xlfn.XLOOKUP(B579,Master[Product_Code],Master[Category])</f>
        <v>Jeans</v>
      </c>
      <c r="D579" s="2" t="str">
        <f>_xlfn.XLOOKUP(B579,Master[Product_Code],Master[Brand])</f>
        <v>Wrangler</v>
      </c>
      <c r="E579" s="2" t="str">
        <f>_xlfn.XLOOKUP(B579,Master[Product_Code],Master[Style])</f>
        <v>Jogger</v>
      </c>
      <c r="F579" s="2" t="str">
        <f>_xlfn.XLOOKUP(B579,Master[Product_Code],Master[Fabric])</f>
        <v>Denim</v>
      </c>
      <c r="G579" s="2">
        <f>_xlfn.XLOOKUP(B579,Master[Product_Code],Master[Size])</f>
        <v>36</v>
      </c>
      <c r="H579" s="2" t="str">
        <f>_xlfn.XLOOKUP(B579,Master[Product_Code],Master[Color])</f>
        <v>Olive</v>
      </c>
      <c r="I579" s="4">
        <f>_xlfn.XLOOKUP(B579,Master[Product_Code],Master[Stock_Qty])</f>
        <v>5</v>
      </c>
      <c r="J579" s="6">
        <f>SUMIFS(
  Sales_Entry[Qty],
  Sales_Entry[Product_Code], Stock_Table[[#This Row],[Product_Code]]
)</f>
        <v>1</v>
      </c>
      <c r="K579" s="4">
        <f>SUMIFS(
  Exchange_Return[Qty],
  Exchange_Return[Product_Code], Stock_Table[[#This Row],[Product_Code]]
)</f>
        <v>0</v>
      </c>
      <c r="L579" s="4">
        <f>I579-J579+K579</f>
        <v>4</v>
      </c>
      <c r="M579" s="2" t="str" cm="1">
        <f t="array" ref="M579">_xlfn.IFS(L579=0,"Out of Stock",L579&gt;=2,"Limited Stock",L579&lt;2,"In Stock")</f>
        <v>Limited Stock</v>
      </c>
    </row>
    <row r="580" spans="2:13">
      <c r="B580" s="2" t="s">
        <v>1134</v>
      </c>
      <c r="C580" s="5" t="str">
        <f>_xlfn.XLOOKUP(B580,Master[Product_Code],Master[Category])</f>
        <v>Jeans</v>
      </c>
      <c r="D580" s="2" t="str">
        <f>_xlfn.XLOOKUP(B580,Master[Product_Code],Master[Brand])</f>
        <v>Levis</v>
      </c>
      <c r="E580" s="2" t="str">
        <f>_xlfn.XLOOKUP(B580,Master[Product_Code],Master[Style])</f>
        <v>Baggy</v>
      </c>
      <c r="F580" s="2" t="str">
        <f>_xlfn.XLOOKUP(B580,Master[Product_Code],Master[Fabric])</f>
        <v>Denim</v>
      </c>
      <c r="G580" s="2">
        <f>_xlfn.XLOOKUP(B580,Master[Product_Code],Master[Size])</f>
        <v>28</v>
      </c>
      <c r="H580" s="2" t="str">
        <f>_xlfn.XLOOKUP(B580,Master[Product_Code],Master[Color])</f>
        <v>Maroon</v>
      </c>
      <c r="I580" s="4">
        <f>_xlfn.XLOOKUP(B580,Master[Product_Code],Master[Stock_Qty])</f>
        <v>5</v>
      </c>
      <c r="J580" s="6">
        <f>SUMIFS(
  Sales_Entry[Qty],
  Sales_Entry[Product_Code], Stock_Table[[#This Row],[Product_Code]]
)</f>
        <v>1</v>
      </c>
      <c r="K580" s="4">
        <f>SUMIFS(
  Exchange_Return[Qty],
  Exchange_Return[Product_Code], Stock_Table[[#This Row],[Product_Code]]
)</f>
        <v>0</v>
      </c>
      <c r="L580" s="4">
        <f>I580-J580+K580</f>
        <v>4</v>
      </c>
      <c r="M580" s="2" t="str" cm="1">
        <f t="array" ref="M580">_xlfn.IFS(L580=0,"Out of Stock",L580&gt;=2,"Limited Stock",L580&lt;2,"In Stock")</f>
        <v>Limited Stock</v>
      </c>
    </row>
    <row r="581" spans="2:13">
      <c r="B581" s="2" t="s">
        <v>1135</v>
      </c>
      <c r="C581" s="5" t="str">
        <f>_xlfn.XLOOKUP(B581,Master[Product_Code],Master[Category])</f>
        <v>Jeans</v>
      </c>
      <c r="D581" s="2" t="str">
        <f>_xlfn.XLOOKUP(B581,Master[Product_Code],Master[Brand])</f>
        <v>Levis</v>
      </c>
      <c r="E581" s="2" t="str">
        <f>_xlfn.XLOOKUP(B581,Master[Product_Code],Master[Style])</f>
        <v>Mom Fit</v>
      </c>
      <c r="F581" s="2" t="str">
        <f>_xlfn.XLOOKUP(B581,Master[Product_Code],Master[Fabric])</f>
        <v>Denim</v>
      </c>
      <c r="G581" s="2">
        <f>_xlfn.XLOOKUP(B581,Master[Product_Code],Master[Size])</f>
        <v>44</v>
      </c>
      <c r="H581" s="2" t="str">
        <f>_xlfn.XLOOKUP(B581,Master[Product_Code],Master[Color])</f>
        <v>Brown</v>
      </c>
      <c r="I581" s="4">
        <f>_xlfn.XLOOKUP(B581,Master[Product_Code],Master[Stock_Qty])</f>
        <v>4</v>
      </c>
      <c r="J581" s="6">
        <f>SUMIFS(
  Sales_Entry[Qty],
  Sales_Entry[Product_Code], Stock_Table[[#This Row],[Product_Code]]
)</f>
        <v>2</v>
      </c>
      <c r="K581" s="4">
        <f>SUMIFS(
  Exchange_Return[Qty],
  Exchange_Return[Product_Code], Stock_Table[[#This Row],[Product_Code]]
)</f>
        <v>0</v>
      </c>
      <c r="L581" s="4">
        <f>I581-J581+K581</f>
        <v>2</v>
      </c>
      <c r="M581" s="2" t="str" cm="1">
        <f t="array" ref="M581">_xlfn.IFS(L581=0,"Out of Stock",L581&gt;=2,"Limited Stock",L581&lt;2,"In Stock")</f>
        <v>Limited Stock</v>
      </c>
    </row>
    <row r="582" spans="2:13">
      <c r="B582" s="2" t="s">
        <v>1136</v>
      </c>
      <c r="C582" s="5" t="str">
        <f>_xlfn.XLOOKUP(B582,Master[Product_Code],Master[Category])</f>
        <v>Jeans</v>
      </c>
      <c r="D582" s="2" t="str">
        <f>_xlfn.XLOOKUP(B582,Master[Product_Code],Master[Brand])</f>
        <v>Denim Pro</v>
      </c>
      <c r="E582" s="2" t="str">
        <f>_xlfn.XLOOKUP(B582,Master[Product_Code],Master[Style])</f>
        <v>Jogger</v>
      </c>
      <c r="F582" s="2" t="str">
        <f>_xlfn.XLOOKUP(B582,Master[Product_Code],Master[Fabric])</f>
        <v>Denim</v>
      </c>
      <c r="G582" s="2">
        <f>_xlfn.XLOOKUP(B582,Master[Product_Code],Master[Size])</f>
        <v>32</v>
      </c>
      <c r="H582" s="2" t="str">
        <f>_xlfn.XLOOKUP(B582,Master[Product_Code],Master[Color])</f>
        <v>Charcoal</v>
      </c>
      <c r="I582" s="4">
        <f>_xlfn.XLOOKUP(B582,Master[Product_Code],Master[Stock_Qty])</f>
        <v>3</v>
      </c>
      <c r="J582" s="6">
        <f>SUMIFS(
  Sales_Entry[Qty],
  Sales_Entry[Product_Code], Stock_Table[[#This Row],[Product_Code]]
)</f>
        <v>3</v>
      </c>
      <c r="K582" s="4">
        <f>SUMIFS(
  Exchange_Return[Qty],
  Exchange_Return[Product_Code], Stock_Table[[#This Row],[Product_Code]]
)</f>
        <v>1</v>
      </c>
      <c r="L582" s="4">
        <f>I582-J582+K582</f>
        <v>1</v>
      </c>
      <c r="M582" s="2" t="str" cm="1">
        <f t="array" ref="M582">_xlfn.IFS(L582=0,"Out of Stock",L582&gt;=2,"Limited Stock",L582&lt;2,"In Stock")</f>
        <v>In Stock</v>
      </c>
    </row>
    <row r="583" spans="2:13">
      <c r="B583" s="2" t="s">
        <v>1137</v>
      </c>
      <c r="C583" s="5" t="str">
        <f>_xlfn.XLOOKUP(B583,Master[Product_Code],Master[Category])</f>
        <v>Jeans</v>
      </c>
      <c r="D583" s="2" t="str">
        <f>_xlfn.XLOOKUP(B583,Master[Product_Code],Master[Brand])</f>
        <v>Wrangler</v>
      </c>
      <c r="E583" s="2" t="str">
        <f>_xlfn.XLOOKUP(B583,Master[Product_Code],Master[Style])</f>
        <v>Jogger</v>
      </c>
      <c r="F583" s="2" t="str">
        <f>_xlfn.XLOOKUP(B583,Master[Product_Code],Master[Fabric])</f>
        <v>Denim</v>
      </c>
      <c r="G583" s="2">
        <f>_xlfn.XLOOKUP(B583,Master[Product_Code],Master[Size])</f>
        <v>42</v>
      </c>
      <c r="H583" s="2" t="str">
        <f>_xlfn.XLOOKUP(B583,Master[Product_Code],Master[Color])</f>
        <v>Beige</v>
      </c>
      <c r="I583" s="4">
        <f>_xlfn.XLOOKUP(B583,Master[Product_Code],Master[Stock_Qty])</f>
        <v>5</v>
      </c>
      <c r="J583" s="6">
        <f>SUMIFS(
  Sales_Entry[Qty],
  Sales_Entry[Product_Code], Stock_Table[[#This Row],[Product_Code]]
)</f>
        <v>1</v>
      </c>
      <c r="K583" s="4">
        <f>SUMIFS(
  Exchange_Return[Qty],
  Exchange_Return[Product_Code], Stock_Table[[#This Row],[Product_Code]]
)</f>
        <v>0</v>
      </c>
      <c r="L583" s="4">
        <f>I583-J583+K583</f>
        <v>4</v>
      </c>
      <c r="M583" s="2" t="str" cm="1">
        <f t="array" ref="M583">_xlfn.IFS(L583=0,"Out of Stock",L583&gt;=2,"Limited Stock",L583&lt;2,"In Stock")</f>
        <v>Limited Stock</v>
      </c>
    </row>
    <row r="584" spans="2:13">
      <c r="B584" s="2" t="s">
        <v>1138</v>
      </c>
      <c r="C584" s="5" t="str">
        <f>_xlfn.XLOOKUP(B584,Master[Product_Code],Master[Category])</f>
        <v>Jeans</v>
      </c>
      <c r="D584" s="2" t="str">
        <f>_xlfn.XLOOKUP(B584,Master[Product_Code],Master[Brand])</f>
        <v>Spykar</v>
      </c>
      <c r="E584" s="2" t="str">
        <f>_xlfn.XLOOKUP(B584,Master[Product_Code],Master[Style])</f>
        <v>Jogger</v>
      </c>
      <c r="F584" s="2" t="str">
        <f>_xlfn.XLOOKUP(B584,Master[Product_Code],Master[Fabric])</f>
        <v>Denim</v>
      </c>
      <c r="G584" s="2">
        <f>_xlfn.XLOOKUP(B584,Master[Product_Code],Master[Size])</f>
        <v>38</v>
      </c>
      <c r="H584" s="2" t="str">
        <f>_xlfn.XLOOKUP(B584,Master[Product_Code],Master[Color])</f>
        <v>Teal</v>
      </c>
      <c r="I584" s="4">
        <f>_xlfn.XLOOKUP(B584,Master[Product_Code],Master[Stock_Qty])</f>
        <v>4</v>
      </c>
      <c r="J584" s="6">
        <f>SUMIFS(
  Sales_Entry[Qty],
  Sales_Entry[Product_Code], Stock_Table[[#This Row],[Product_Code]]
)</f>
        <v>2</v>
      </c>
      <c r="K584" s="4">
        <f>SUMIFS(
  Exchange_Return[Qty],
  Exchange_Return[Product_Code], Stock_Table[[#This Row],[Product_Code]]
)</f>
        <v>0</v>
      </c>
      <c r="L584" s="4">
        <f>I584-J584+K584</f>
        <v>2</v>
      </c>
      <c r="M584" s="2" t="str" cm="1">
        <f t="array" ref="M584">_xlfn.IFS(L584=0,"Out of Stock",L584&gt;=2,"Limited Stock",L584&lt;2,"In Stock")</f>
        <v>Limited Stock</v>
      </c>
    </row>
    <row r="585" spans="2:13">
      <c r="B585" s="2" t="s">
        <v>1139</v>
      </c>
      <c r="C585" s="5" t="str">
        <f>_xlfn.XLOOKUP(B585,Master[Product_Code],Master[Category])</f>
        <v>Jeans</v>
      </c>
      <c r="D585" s="2" t="str">
        <f>_xlfn.XLOOKUP(B585,Master[Product_Code],Master[Brand])</f>
        <v>Levis</v>
      </c>
      <c r="E585" s="2" t="str">
        <f>_xlfn.XLOOKUP(B585,Master[Product_Code],Master[Style])</f>
        <v>Jogger</v>
      </c>
      <c r="F585" s="2" t="str">
        <f>_xlfn.XLOOKUP(B585,Master[Product_Code],Master[Fabric])</f>
        <v>Denim</v>
      </c>
      <c r="G585" s="2">
        <f>_xlfn.XLOOKUP(B585,Master[Product_Code],Master[Size])</f>
        <v>44</v>
      </c>
      <c r="H585" s="2" t="str">
        <f>_xlfn.XLOOKUP(B585,Master[Product_Code],Master[Color])</f>
        <v>Brown</v>
      </c>
      <c r="I585" s="4">
        <f>_xlfn.XLOOKUP(B585,Master[Product_Code],Master[Stock_Qty])</f>
        <v>3</v>
      </c>
      <c r="J585" s="6">
        <f>SUMIFS(
  Sales_Entry[Qty],
  Sales_Entry[Product_Code], Stock_Table[[#This Row],[Product_Code]]
)</f>
        <v>2</v>
      </c>
      <c r="K585" s="4">
        <f>SUMIFS(
  Exchange_Return[Qty],
  Exchange_Return[Product_Code], Stock_Table[[#This Row],[Product_Code]]
)</f>
        <v>0</v>
      </c>
      <c r="L585" s="4">
        <f>I585-J585+K585</f>
        <v>1</v>
      </c>
      <c r="M585" s="2" t="str" cm="1">
        <f t="array" ref="M585">_xlfn.IFS(L585=0,"Out of Stock",L585&gt;=2,"Limited Stock",L585&lt;2,"In Stock")</f>
        <v>In Stock</v>
      </c>
    </row>
    <row r="586" spans="2:13">
      <c r="B586" s="2" t="s">
        <v>1140</v>
      </c>
      <c r="C586" s="5" t="str">
        <f>_xlfn.XLOOKUP(B586,Master[Product_Code],Master[Category])</f>
        <v>Jeans</v>
      </c>
      <c r="D586" s="2" t="str">
        <f>_xlfn.XLOOKUP(B586,Master[Product_Code],Master[Brand])</f>
        <v>Pepe</v>
      </c>
      <c r="E586" s="2" t="str">
        <f>_xlfn.XLOOKUP(B586,Master[Product_Code],Master[Style])</f>
        <v>Baggy</v>
      </c>
      <c r="F586" s="2" t="str">
        <f>_xlfn.XLOOKUP(B586,Master[Product_Code],Master[Fabric])</f>
        <v>Denim</v>
      </c>
      <c r="G586" s="2">
        <f>_xlfn.XLOOKUP(B586,Master[Product_Code],Master[Size])</f>
        <v>32</v>
      </c>
      <c r="H586" s="2" t="str">
        <f>_xlfn.XLOOKUP(B586,Master[Product_Code],Master[Color])</f>
        <v>Cream</v>
      </c>
      <c r="I586" s="4">
        <f>_xlfn.XLOOKUP(B586,Master[Product_Code],Master[Stock_Qty])</f>
        <v>5</v>
      </c>
      <c r="J586" s="6">
        <f>SUMIFS(
  Sales_Entry[Qty],
  Sales_Entry[Product_Code], Stock_Table[[#This Row],[Product_Code]]
)</f>
        <v>3</v>
      </c>
      <c r="K586" s="4">
        <f>SUMIFS(
  Exchange_Return[Qty],
  Exchange_Return[Product_Code], Stock_Table[[#This Row],[Product_Code]]
)</f>
        <v>0</v>
      </c>
      <c r="L586" s="4">
        <f>I586-J586+K586</f>
        <v>2</v>
      </c>
      <c r="M586" s="2" t="str" cm="1">
        <f t="array" ref="M586">_xlfn.IFS(L586=0,"Out of Stock",L586&gt;=2,"Limited Stock",L586&lt;2,"In Stock")</f>
        <v>Limited Stock</v>
      </c>
    </row>
    <row r="587" spans="2:13">
      <c r="B587" s="2" t="s">
        <v>1141</v>
      </c>
      <c r="C587" s="5" t="str">
        <f>_xlfn.XLOOKUP(B587,Master[Product_Code],Master[Category])</f>
        <v>Jeans</v>
      </c>
      <c r="D587" s="2" t="str">
        <f>_xlfn.XLOOKUP(B587,Master[Product_Code],Master[Brand])</f>
        <v>Pepe</v>
      </c>
      <c r="E587" s="2" t="str">
        <f>_xlfn.XLOOKUP(B587,Master[Product_Code],Master[Style])</f>
        <v>Jogger</v>
      </c>
      <c r="F587" s="2" t="str">
        <f>_xlfn.XLOOKUP(B587,Master[Product_Code],Master[Fabric])</f>
        <v>Denim</v>
      </c>
      <c r="G587" s="2">
        <f>_xlfn.XLOOKUP(B587,Master[Product_Code],Master[Size])</f>
        <v>36</v>
      </c>
      <c r="H587" s="2" t="str">
        <f>_xlfn.XLOOKUP(B587,Master[Product_Code],Master[Color])</f>
        <v>Peach</v>
      </c>
      <c r="I587" s="4">
        <f>_xlfn.XLOOKUP(B587,Master[Product_Code],Master[Stock_Qty])</f>
        <v>5</v>
      </c>
      <c r="J587" s="6">
        <f>SUMIFS(
  Sales_Entry[Qty],
  Sales_Entry[Product_Code], Stock_Table[[#This Row],[Product_Code]]
)</f>
        <v>2</v>
      </c>
      <c r="K587" s="4">
        <f>SUMIFS(
  Exchange_Return[Qty],
  Exchange_Return[Product_Code], Stock_Table[[#This Row],[Product_Code]]
)</f>
        <v>0</v>
      </c>
      <c r="L587" s="4">
        <f>I587-J587+K587</f>
        <v>3</v>
      </c>
      <c r="M587" s="2" t="str" cm="1">
        <f t="array" ref="M587">_xlfn.IFS(L587=0,"Out of Stock",L587&gt;=2,"Limited Stock",L587&lt;2,"In Stock")</f>
        <v>Limited Stock</v>
      </c>
    </row>
    <row r="588" spans="2:13">
      <c r="B588" s="2" t="s">
        <v>1142</v>
      </c>
      <c r="C588" s="5" t="str">
        <f>_xlfn.XLOOKUP(B588,Master[Product_Code],Master[Category])</f>
        <v>Jeans</v>
      </c>
      <c r="D588" s="2" t="str">
        <f>_xlfn.XLOOKUP(B588,Master[Product_Code],Master[Brand])</f>
        <v>Locomotive</v>
      </c>
      <c r="E588" s="2" t="str">
        <f>_xlfn.XLOOKUP(B588,Master[Product_Code],Master[Style])</f>
        <v>Jogger</v>
      </c>
      <c r="F588" s="2" t="str">
        <f>_xlfn.XLOOKUP(B588,Master[Product_Code],Master[Fabric])</f>
        <v>Denim</v>
      </c>
      <c r="G588" s="2">
        <f>_xlfn.XLOOKUP(B588,Master[Product_Code],Master[Size])</f>
        <v>42</v>
      </c>
      <c r="H588" s="2" t="str">
        <f>_xlfn.XLOOKUP(B588,Master[Product_Code],Master[Color])</f>
        <v>Mustard</v>
      </c>
      <c r="I588" s="4">
        <f>_xlfn.XLOOKUP(B588,Master[Product_Code],Master[Stock_Qty])</f>
        <v>3</v>
      </c>
      <c r="J588" s="6">
        <f>SUMIFS(
  Sales_Entry[Qty],
  Sales_Entry[Product_Code], Stock_Table[[#This Row],[Product_Code]]
)</f>
        <v>0</v>
      </c>
      <c r="K588" s="4">
        <f>SUMIFS(
  Exchange_Return[Qty],
  Exchange_Return[Product_Code], Stock_Table[[#This Row],[Product_Code]]
)</f>
        <v>0</v>
      </c>
      <c r="L588" s="4">
        <f>I588-J588+K588</f>
        <v>3</v>
      </c>
      <c r="M588" s="2" t="str" cm="1">
        <f t="array" ref="M588">_xlfn.IFS(L588=0,"Out of Stock",L588&gt;=2,"Limited Stock",L588&lt;2,"In Stock")</f>
        <v>Limited Stock</v>
      </c>
    </row>
    <row r="589" spans="2:13">
      <c r="B589" s="2" t="s">
        <v>1143</v>
      </c>
      <c r="C589" s="5" t="str">
        <f>_xlfn.XLOOKUP(B589,Master[Product_Code],Master[Category])</f>
        <v>Jeans</v>
      </c>
      <c r="D589" s="2" t="str">
        <f>_xlfn.XLOOKUP(B589,Master[Product_Code],Master[Brand])</f>
        <v>Levis</v>
      </c>
      <c r="E589" s="2" t="str">
        <f>_xlfn.XLOOKUP(B589,Master[Product_Code],Master[Style])</f>
        <v>Mom Fit</v>
      </c>
      <c r="F589" s="2" t="str">
        <f>_xlfn.XLOOKUP(B589,Master[Product_Code],Master[Fabric])</f>
        <v>Denim</v>
      </c>
      <c r="G589" s="2">
        <f>_xlfn.XLOOKUP(B589,Master[Product_Code],Master[Size])</f>
        <v>44</v>
      </c>
      <c r="H589" s="2" t="str">
        <f>_xlfn.XLOOKUP(B589,Master[Product_Code],Master[Color])</f>
        <v>Sky Blue</v>
      </c>
      <c r="I589" s="4">
        <f>_xlfn.XLOOKUP(B589,Master[Product_Code],Master[Stock_Qty])</f>
        <v>5</v>
      </c>
      <c r="J589" s="6">
        <f>SUMIFS(
  Sales_Entry[Qty],
  Sales_Entry[Product_Code], Stock_Table[[#This Row],[Product_Code]]
)</f>
        <v>0</v>
      </c>
      <c r="K589" s="4">
        <f>SUMIFS(
  Exchange_Return[Qty],
  Exchange_Return[Product_Code], Stock_Table[[#This Row],[Product_Code]]
)</f>
        <v>0</v>
      </c>
      <c r="L589" s="4">
        <f>I589-J589+K589</f>
        <v>5</v>
      </c>
      <c r="M589" s="2" t="str" cm="1">
        <f t="array" ref="M589">_xlfn.IFS(L589=0,"Out of Stock",L589&gt;=2,"Limited Stock",L589&lt;2,"In Stock")</f>
        <v>Limited Stock</v>
      </c>
    </row>
    <row r="590" spans="2:13">
      <c r="B590" s="2" t="s">
        <v>1144</v>
      </c>
      <c r="C590" s="5" t="str">
        <f>_xlfn.XLOOKUP(B590,Master[Product_Code],Master[Category])</f>
        <v>Jeans</v>
      </c>
      <c r="D590" s="2" t="str">
        <f>_xlfn.XLOOKUP(B590,Master[Product_Code],Master[Brand])</f>
        <v>Levis</v>
      </c>
      <c r="E590" s="2" t="str">
        <f>_xlfn.XLOOKUP(B590,Master[Product_Code],Master[Style])</f>
        <v>Jogger</v>
      </c>
      <c r="F590" s="2" t="str">
        <f>_xlfn.XLOOKUP(B590,Master[Product_Code],Master[Fabric])</f>
        <v>Denim</v>
      </c>
      <c r="G590" s="2">
        <f>_xlfn.XLOOKUP(B590,Master[Product_Code],Master[Size])</f>
        <v>42</v>
      </c>
      <c r="H590" s="2" t="str">
        <f>_xlfn.XLOOKUP(B590,Master[Product_Code],Master[Color])</f>
        <v>Teal</v>
      </c>
      <c r="I590" s="4">
        <f>_xlfn.XLOOKUP(B590,Master[Product_Code],Master[Stock_Qty])</f>
        <v>3</v>
      </c>
      <c r="J590" s="6">
        <f>SUMIFS(
  Sales_Entry[Qty],
  Sales_Entry[Product_Code], Stock_Table[[#This Row],[Product_Code]]
)</f>
        <v>1</v>
      </c>
      <c r="K590" s="4">
        <f>SUMIFS(
  Exchange_Return[Qty],
  Exchange_Return[Product_Code], Stock_Table[[#This Row],[Product_Code]]
)</f>
        <v>0</v>
      </c>
      <c r="L590" s="4">
        <f>I590-J590+K590</f>
        <v>2</v>
      </c>
      <c r="M590" s="2" t="str" cm="1">
        <f t="array" ref="M590">_xlfn.IFS(L590=0,"Out of Stock",L590&gt;=2,"Limited Stock",L590&lt;2,"In Stock")</f>
        <v>Limited Stock</v>
      </c>
    </row>
    <row r="591" spans="2:13">
      <c r="B591" s="2" t="s">
        <v>1145</v>
      </c>
      <c r="C591" s="5" t="str">
        <f>_xlfn.XLOOKUP(B591,Master[Product_Code],Master[Category])</f>
        <v>Pants</v>
      </c>
      <c r="D591" s="2" t="str">
        <f>_xlfn.XLOOKUP(B591,Master[Product_Code],Master[Brand])</f>
        <v>Raymond</v>
      </c>
      <c r="E591" s="2" t="str">
        <f>_xlfn.XLOOKUP(B591,Master[Product_Code],Master[Style])</f>
        <v>Jogger</v>
      </c>
      <c r="F591" s="2" t="str">
        <f>_xlfn.XLOOKUP(B591,Master[Product_Code],Master[Fabric])</f>
        <v>Cotton Blend</v>
      </c>
      <c r="G591" s="2">
        <f>_xlfn.XLOOKUP(B591,Master[Product_Code],Master[Size])</f>
        <v>34</v>
      </c>
      <c r="H591" s="2" t="str">
        <f>_xlfn.XLOOKUP(B591,Master[Product_Code],Master[Color])</f>
        <v>Light Grey</v>
      </c>
      <c r="I591" s="4">
        <f>_xlfn.XLOOKUP(B591,Master[Product_Code],Master[Stock_Qty])</f>
        <v>4</v>
      </c>
      <c r="J591" s="6">
        <f>SUMIFS(
  Sales_Entry[Qty],
  Sales_Entry[Product_Code], Stock_Table[[#This Row],[Product_Code]]
)</f>
        <v>0</v>
      </c>
      <c r="K591" s="4">
        <f>SUMIFS(
  Exchange_Return[Qty],
  Exchange_Return[Product_Code], Stock_Table[[#This Row],[Product_Code]]
)</f>
        <v>0</v>
      </c>
      <c r="L591" s="4">
        <f>I591-J591+K591</f>
        <v>4</v>
      </c>
      <c r="M591" s="2" t="str" cm="1">
        <f t="array" ref="M591">_xlfn.IFS(L591=0,"Out of Stock",L591&gt;=2,"Limited Stock",L591&lt;2,"In Stock")</f>
        <v>Limited Stock</v>
      </c>
    </row>
    <row r="592" spans="2:13">
      <c r="B592" s="2" t="s">
        <v>1148</v>
      </c>
      <c r="C592" s="5" t="str">
        <f>_xlfn.XLOOKUP(B592,Master[Product_Code],Master[Category])</f>
        <v>Pants</v>
      </c>
      <c r="D592" s="2" t="str">
        <f>_xlfn.XLOOKUP(B592,Master[Product_Code],Master[Brand])</f>
        <v>Peter England</v>
      </c>
      <c r="E592" s="2" t="str">
        <f>_xlfn.XLOOKUP(B592,Master[Product_Code],Master[Style])</f>
        <v>Polofit</v>
      </c>
      <c r="F592" s="2" t="str">
        <f>_xlfn.XLOOKUP(B592,Master[Product_Code],Master[Fabric])</f>
        <v>Lycra</v>
      </c>
      <c r="G592" s="2">
        <f>_xlfn.XLOOKUP(B592,Master[Product_Code],Master[Size])</f>
        <v>44</v>
      </c>
      <c r="H592" s="2" t="str">
        <f>_xlfn.XLOOKUP(B592,Master[Product_Code],Master[Color])</f>
        <v>Cream</v>
      </c>
      <c r="I592" s="4">
        <f>_xlfn.XLOOKUP(B592,Master[Product_Code],Master[Stock_Qty])</f>
        <v>3</v>
      </c>
      <c r="J592" s="6">
        <f>SUMIFS(
  Sales_Entry[Qty],
  Sales_Entry[Product_Code], Stock_Table[[#This Row],[Product_Code]]
)</f>
        <v>3</v>
      </c>
      <c r="K592" s="4">
        <f>SUMIFS(
  Exchange_Return[Qty],
  Exchange_Return[Product_Code], Stock_Table[[#This Row],[Product_Code]]
)</f>
        <v>0</v>
      </c>
      <c r="L592" s="4">
        <f>I592-J592+K592</f>
        <v>0</v>
      </c>
      <c r="M592" s="2" t="str" cm="1">
        <f t="array" ref="M592">_xlfn.IFS(L592=0,"Out of Stock",L592&gt;=2,"Limited Stock",L592&lt;2,"In Stock")</f>
        <v>Out of Stock</v>
      </c>
    </row>
    <row r="593" spans="2:13">
      <c r="B593" s="2" t="s">
        <v>1151</v>
      </c>
      <c r="C593" s="5" t="str">
        <f>_xlfn.XLOOKUP(B593,Master[Product_Code],Master[Category])</f>
        <v>Pants</v>
      </c>
      <c r="D593" s="2" t="str">
        <f>_xlfn.XLOOKUP(B593,Master[Product_Code],Master[Brand])</f>
        <v>Louis Philippe</v>
      </c>
      <c r="E593" s="2" t="str">
        <f>_xlfn.XLOOKUP(B593,Master[Product_Code],Master[Style])</f>
        <v>Kurka</v>
      </c>
      <c r="F593" s="2" t="str">
        <f>_xlfn.XLOOKUP(B593,Master[Product_Code],Master[Fabric])</f>
        <v>Lycra</v>
      </c>
      <c r="G593" s="2">
        <f>_xlfn.XLOOKUP(B593,Master[Product_Code],Master[Size])</f>
        <v>38</v>
      </c>
      <c r="H593" s="2" t="str">
        <f>_xlfn.XLOOKUP(B593,Master[Product_Code],Master[Color])</f>
        <v>Royal Blue</v>
      </c>
      <c r="I593" s="4">
        <f>_xlfn.XLOOKUP(B593,Master[Product_Code],Master[Stock_Qty])</f>
        <v>3</v>
      </c>
      <c r="J593" s="6">
        <f>SUMIFS(
  Sales_Entry[Qty],
  Sales_Entry[Product_Code], Stock_Table[[#This Row],[Product_Code]]
)</f>
        <v>1</v>
      </c>
      <c r="K593" s="4">
        <f>SUMIFS(
  Exchange_Return[Qty],
  Exchange_Return[Product_Code], Stock_Table[[#This Row],[Product_Code]]
)</f>
        <v>0</v>
      </c>
      <c r="L593" s="4">
        <f>I593-J593+K593</f>
        <v>2</v>
      </c>
      <c r="M593" s="2" t="str" cm="1">
        <f t="array" ref="M593">_xlfn.IFS(L593=0,"Out of Stock",L593&gt;=2,"Limited Stock",L593&lt;2,"In Stock")</f>
        <v>Limited Stock</v>
      </c>
    </row>
    <row r="594" spans="2:13">
      <c r="B594" s="2" t="s">
        <v>1154</v>
      </c>
      <c r="C594" s="5" t="str">
        <f>_xlfn.XLOOKUP(B594,Master[Product_Code],Master[Category])</f>
        <v>Pants</v>
      </c>
      <c r="D594" s="2" t="str">
        <f>_xlfn.XLOOKUP(B594,Master[Product_Code],Master[Brand])</f>
        <v>Van Heusen</v>
      </c>
      <c r="E594" s="2" t="str">
        <f>_xlfn.XLOOKUP(B594,Master[Product_Code],Master[Style])</f>
        <v>Boot Cut</v>
      </c>
      <c r="F594" s="2" t="str">
        <f>_xlfn.XLOOKUP(B594,Master[Product_Code],Master[Fabric])</f>
        <v>Cotton</v>
      </c>
      <c r="G594" s="2">
        <f>_xlfn.XLOOKUP(B594,Master[Product_Code],Master[Size])</f>
        <v>40</v>
      </c>
      <c r="H594" s="2" t="str">
        <f>_xlfn.XLOOKUP(B594,Master[Product_Code],Master[Color])</f>
        <v>Teal</v>
      </c>
      <c r="I594" s="4">
        <f>_xlfn.XLOOKUP(B594,Master[Product_Code],Master[Stock_Qty])</f>
        <v>6</v>
      </c>
      <c r="J594" s="6">
        <f>SUMIFS(
  Sales_Entry[Qty],
  Sales_Entry[Product_Code], Stock_Table[[#This Row],[Product_Code]]
)</f>
        <v>3</v>
      </c>
      <c r="K594" s="4">
        <f>SUMIFS(
  Exchange_Return[Qty],
  Exchange_Return[Product_Code], Stock_Table[[#This Row],[Product_Code]]
)</f>
        <v>0</v>
      </c>
      <c r="L594" s="4">
        <f>I594-J594+K594</f>
        <v>3</v>
      </c>
      <c r="M594" s="2" t="str" cm="1">
        <f t="array" ref="M594">_xlfn.IFS(L594=0,"Out of Stock",L594&gt;=2,"Limited Stock",L594&lt;2,"In Stock")</f>
        <v>Limited Stock</v>
      </c>
    </row>
    <row r="595" spans="2:13">
      <c r="B595" s="2" t="s">
        <v>1157</v>
      </c>
      <c r="C595" s="5" t="str">
        <f>_xlfn.XLOOKUP(B595,Master[Product_Code],Master[Category])</f>
        <v>Pants</v>
      </c>
      <c r="D595" s="2" t="str">
        <f>_xlfn.XLOOKUP(B595,Master[Product_Code],Master[Brand])</f>
        <v>Raymond</v>
      </c>
      <c r="E595" s="2" t="str">
        <f>_xlfn.XLOOKUP(B595,Master[Product_Code],Master[Style])</f>
        <v>Korean</v>
      </c>
      <c r="F595" s="2" t="str">
        <f>_xlfn.XLOOKUP(B595,Master[Product_Code],Master[Fabric])</f>
        <v>Lycra</v>
      </c>
      <c r="G595" s="2">
        <f>_xlfn.XLOOKUP(B595,Master[Product_Code],Master[Size])</f>
        <v>38</v>
      </c>
      <c r="H595" s="2" t="str">
        <f>_xlfn.XLOOKUP(B595,Master[Product_Code],Master[Color])</f>
        <v>Brown</v>
      </c>
      <c r="I595" s="4">
        <f>_xlfn.XLOOKUP(B595,Master[Product_Code],Master[Stock_Qty])</f>
        <v>6</v>
      </c>
      <c r="J595" s="6">
        <f>SUMIFS(
  Sales_Entry[Qty],
  Sales_Entry[Product_Code], Stock_Table[[#This Row],[Product_Code]]
)</f>
        <v>1</v>
      </c>
      <c r="K595" s="4">
        <f>SUMIFS(
  Exchange_Return[Qty],
  Exchange_Return[Product_Code], Stock_Table[[#This Row],[Product_Code]]
)</f>
        <v>0</v>
      </c>
      <c r="L595" s="4">
        <f>I595-J595+K595</f>
        <v>5</v>
      </c>
      <c r="M595" s="2" t="str" cm="1">
        <f t="array" ref="M595">_xlfn.IFS(L595=0,"Out of Stock",L595&gt;=2,"Limited Stock",L595&lt;2,"In Stock")</f>
        <v>Limited Stock</v>
      </c>
    </row>
    <row r="596" spans="2:13">
      <c r="B596" s="2" t="s">
        <v>1159</v>
      </c>
      <c r="C596" s="5" t="str">
        <f>_xlfn.XLOOKUP(B596,Master[Product_Code],Master[Category])</f>
        <v>Pants</v>
      </c>
      <c r="D596" s="2" t="str">
        <f>_xlfn.XLOOKUP(B596,Master[Product_Code],Master[Brand])</f>
        <v>Raymond</v>
      </c>
      <c r="E596" s="2" t="str">
        <f>_xlfn.XLOOKUP(B596,Master[Product_Code],Master[Style])</f>
        <v>Kurka</v>
      </c>
      <c r="F596" s="2" t="str">
        <f>_xlfn.XLOOKUP(B596,Master[Product_Code],Master[Fabric])</f>
        <v>Lycra</v>
      </c>
      <c r="G596" s="2">
        <f>_xlfn.XLOOKUP(B596,Master[Product_Code],Master[Size])</f>
        <v>42</v>
      </c>
      <c r="H596" s="2" t="str">
        <f>_xlfn.XLOOKUP(B596,Master[Product_Code],Master[Color])</f>
        <v>Bottle Green</v>
      </c>
      <c r="I596" s="4">
        <f>_xlfn.XLOOKUP(B596,Master[Product_Code],Master[Stock_Qty])</f>
        <v>6</v>
      </c>
      <c r="J596" s="6">
        <f>SUMIFS(
  Sales_Entry[Qty],
  Sales_Entry[Product_Code], Stock_Table[[#This Row],[Product_Code]]
)</f>
        <v>1</v>
      </c>
      <c r="K596" s="4">
        <f>SUMIFS(
  Exchange_Return[Qty],
  Exchange_Return[Product_Code], Stock_Table[[#This Row],[Product_Code]]
)</f>
        <v>0</v>
      </c>
      <c r="L596" s="4">
        <f>I596-J596+K596</f>
        <v>5</v>
      </c>
      <c r="M596" s="2" t="str" cm="1">
        <f t="array" ref="M596">_xlfn.IFS(L596=0,"Out of Stock",L596&gt;=2,"Limited Stock",L596&lt;2,"In Stock")</f>
        <v>Limited Stock</v>
      </c>
    </row>
    <row r="597" spans="2:13">
      <c r="B597" s="2" t="s">
        <v>1160</v>
      </c>
      <c r="C597" s="5" t="str">
        <f>_xlfn.XLOOKUP(B597,Master[Product_Code],Master[Category])</f>
        <v>Pants</v>
      </c>
      <c r="D597" s="2" t="str">
        <f>_xlfn.XLOOKUP(B597,Master[Product_Code],Master[Brand])</f>
        <v>Peter England</v>
      </c>
      <c r="E597" s="2" t="str">
        <f>_xlfn.XLOOKUP(B597,Master[Product_Code],Master[Style])</f>
        <v>Boot Cut</v>
      </c>
      <c r="F597" s="2" t="str">
        <f>_xlfn.XLOOKUP(B597,Master[Product_Code],Master[Fabric])</f>
        <v>Cotton Blend</v>
      </c>
      <c r="G597" s="2">
        <f>_xlfn.XLOOKUP(B597,Master[Product_Code],Master[Size])</f>
        <v>40</v>
      </c>
      <c r="H597" s="2" t="str">
        <f>_xlfn.XLOOKUP(B597,Master[Product_Code],Master[Color])</f>
        <v>Maroon</v>
      </c>
      <c r="I597" s="4">
        <f>_xlfn.XLOOKUP(B597,Master[Product_Code],Master[Stock_Qty])</f>
        <v>3</v>
      </c>
      <c r="J597" s="6">
        <f>SUMIFS(
  Sales_Entry[Qty],
  Sales_Entry[Product_Code], Stock_Table[[#This Row],[Product_Code]]
)</f>
        <v>0</v>
      </c>
      <c r="K597" s="4">
        <f>SUMIFS(
  Exchange_Return[Qty],
  Exchange_Return[Product_Code], Stock_Table[[#This Row],[Product_Code]]
)</f>
        <v>0</v>
      </c>
      <c r="L597" s="4">
        <f>I597-J597+K597</f>
        <v>3</v>
      </c>
      <c r="M597" s="2" t="str" cm="1">
        <f t="array" ref="M597">_xlfn.IFS(L597=0,"Out of Stock",L597&gt;=2,"Limited Stock",L597&lt;2,"In Stock")</f>
        <v>Limited Stock</v>
      </c>
    </row>
    <row r="598" spans="2:13">
      <c r="B598" s="2" t="s">
        <v>1161</v>
      </c>
      <c r="C598" s="5" t="str">
        <f>_xlfn.XLOOKUP(B598,Master[Product_Code],Master[Category])</f>
        <v>Pants</v>
      </c>
      <c r="D598" s="2" t="str">
        <f>_xlfn.XLOOKUP(B598,Master[Product_Code],Master[Brand])</f>
        <v>Peter England</v>
      </c>
      <c r="E598" s="2" t="str">
        <f>_xlfn.XLOOKUP(B598,Master[Product_Code],Master[Style])</f>
        <v>Korean</v>
      </c>
      <c r="F598" s="2" t="str">
        <f>_xlfn.XLOOKUP(B598,Master[Product_Code],Master[Fabric])</f>
        <v>Lycra</v>
      </c>
      <c r="G598" s="2">
        <f>_xlfn.XLOOKUP(B598,Master[Product_Code],Master[Size])</f>
        <v>44</v>
      </c>
      <c r="H598" s="2" t="str">
        <f>_xlfn.XLOOKUP(B598,Master[Product_Code],Master[Color])</f>
        <v>Mustard</v>
      </c>
      <c r="I598" s="4">
        <f>_xlfn.XLOOKUP(B598,Master[Product_Code],Master[Stock_Qty])</f>
        <v>3</v>
      </c>
      <c r="J598" s="6">
        <f>SUMIFS(
  Sales_Entry[Qty],
  Sales_Entry[Product_Code], Stock_Table[[#This Row],[Product_Code]]
)</f>
        <v>1</v>
      </c>
      <c r="K598" s="4">
        <f>SUMIFS(
  Exchange_Return[Qty],
  Exchange_Return[Product_Code], Stock_Table[[#This Row],[Product_Code]]
)</f>
        <v>0</v>
      </c>
      <c r="L598" s="4">
        <f>I598-J598+K598</f>
        <v>2</v>
      </c>
      <c r="M598" s="2" t="str" cm="1">
        <f t="array" ref="M598">_xlfn.IFS(L598=0,"Out of Stock",L598&gt;=2,"Limited Stock",L598&lt;2,"In Stock")</f>
        <v>Limited Stock</v>
      </c>
    </row>
    <row r="599" spans="2:13">
      <c r="B599" s="2" t="s">
        <v>1162</v>
      </c>
      <c r="C599" s="5" t="str">
        <f>_xlfn.XLOOKUP(B599,Master[Product_Code],Master[Category])</f>
        <v>Pants</v>
      </c>
      <c r="D599" s="2" t="str">
        <f>_xlfn.XLOOKUP(B599,Master[Product_Code],Master[Brand])</f>
        <v>Louis Philippe</v>
      </c>
      <c r="E599" s="2" t="str">
        <f>_xlfn.XLOOKUP(B599,Master[Product_Code],Master[Style])</f>
        <v>Polofit</v>
      </c>
      <c r="F599" s="2" t="str">
        <f>_xlfn.XLOOKUP(B599,Master[Product_Code],Master[Fabric])</f>
        <v>Lycra</v>
      </c>
      <c r="G599" s="2">
        <f>_xlfn.XLOOKUP(B599,Master[Product_Code],Master[Size])</f>
        <v>40</v>
      </c>
      <c r="H599" s="2" t="str">
        <f>_xlfn.XLOOKUP(B599,Master[Product_Code],Master[Color])</f>
        <v>Beige</v>
      </c>
      <c r="I599" s="4">
        <f>_xlfn.XLOOKUP(B599,Master[Product_Code],Master[Stock_Qty])</f>
        <v>6</v>
      </c>
      <c r="J599" s="6">
        <f>SUMIFS(
  Sales_Entry[Qty],
  Sales_Entry[Product_Code], Stock_Table[[#This Row],[Product_Code]]
)</f>
        <v>1</v>
      </c>
      <c r="K599" s="4">
        <f>SUMIFS(
  Exchange_Return[Qty],
  Exchange_Return[Product_Code], Stock_Table[[#This Row],[Product_Code]]
)</f>
        <v>0</v>
      </c>
      <c r="L599" s="4">
        <f>I599-J599+K599</f>
        <v>5</v>
      </c>
      <c r="M599" s="2" t="str" cm="1">
        <f t="array" ref="M599">_xlfn.IFS(L599=0,"Out of Stock",L599&gt;=2,"Limited Stock",L599&lt;2,"In Stock")</f>
        <v>Limited Stock</v>
      </c>
    </row>
    <row r="600" spans="2:13">
      <c r="B600" s="2" t="s">
        <v>1163</v>
      </c>
      <c r="C600" s="5" t="str">
        <f>_xlfn.XLOOKUP(B600,Master[Product_Code],Master[Category])</f>
        <v>Pants</v>
      </c>
      <c r="D600" s="2" t="str">
        <f>_xlfn.XLOOKUP(B600,Master[Product_Code],Master[Brand])</f>
        <v>Park Avenue</v>
      </c>
      <c r="E600" s="2" t="str">
        <f>_xlfn.XLOOKUP(B600,Master[Product_Code],Master[Style])</f>
        <v>Boot Cut</v>
      </c>
      <c r="F600" s="2" t="str">
        <f>_xlfn.XLOOKUP(B600,Master[Product_Code],Master[Fabric])</f>
        <v>Cotton Blend</v>
      </c>
      <c r="G600" s="2">
        <f>_xlfn.XLOOKUP(B600,Master[Product_Code],Master[Size])</f>
        <v>32</v>
      </c>
      <c r="H600" s="2" t="str">
        <f>_xlfn.XLOOKUP(B600,Master[Product_Code],Master[Color])</f>
        <v>Grey</v>
      </c>
      <c r="I600" s="4">
        <f>_xlfn.XLOOKUP(B600,Master[Product_Code],Master[Stock_Qty])</f>
        <v>4</v>
      </c>
      <c r="J600" s="6">
        <f>SUMIFS(
  Sales_Entry[Qty],
  Sales_Entry[Product_Code], Stock_Table[[#This Row],[Product_Code]]
)</f>
        <v>2</v>
      </c>
      <c r="K600" s="4">
        <f>SUMIFS(
  Exchange_Return[Qty],
  Exchange_Return[Product_Code], Stock_Table[[#This Row],[Product_Code]]
)</f>
        <v>0</v>
      </c>
      <c r="L600" s="4">
        <f>I600-J600+K600</f>
        <v>2</v>
      </c>
      <c r="M600" s="2" t="str" cm="1">
        <f t="array" ref="M600">_xlfn.IFS(L600=0,"Out of Stock",L600&gt;=2,"Limited Stock",L600&lt;2,"In Stock")</f>
        <v>Limited Stock</v>
      </c>
    </row>
    <row r="601" spans="2:13">
      <c r="B601" s="2" t="s">
        <v>1165</v>
      </c>
      <c r="C601" s="5" t="str">
        <f>_xlfn.XLOOKUP(B601,Master[Product_Code],Master[Category])</f>
        <v>Pants</v>
      </c>
      <c r="D601" s="2" t="str">
        <f>_xlfn.XLOOKUP(B601,Master[Product_Code],Master[Brand])</f>
        <v>Van Heusen</v>
      </c>
      <c r="E601" s="2" t="str">
        <f>_xlfn.XLOOKUP(B601,Master[Product_Code],Master[Style])</f>
        <v>Jogger</v>
      </c>
      <c r="F601" s="2" t="str">
        <f>_xlfn.XLOOKUP(B601,Master[Product_Code],Master[Fabric])</f>
        <v>Poly Viscose</v>
      </c>
      <c r="G601" s="2">
        <f>_xlfn.XLOOKUP(B601,Master[Product_Code],Master[Size])</f>
        <v>28</v>
      </c>
      <c r="H601" s="2" t="str">
        <f>_xlfn.XLOOKUP(B601,Master[Product_Code],Master[Color])</f>
        <v>Brown</v>
      </c>
      <c r="I601" s="4">
        <f>_xlfn.XLOOKUP(B601,Master[Product_Code],Master[Stock_Qty])</f>
        <v>5</v>
      </c>
      <c r="J601" s="6">
        <f>SUMIFS(
  Sales_Entry[Qty],
  Sales_Entry[Product_Code], Stock_Table[[#This Row],[Product_Code]]
)</f>
        <v>3</v>
      </c>
      <c r="K601" s="4">
        <f>SUMIFS(
  Exchange_Return[Qty],
  Exchange_Return[Product_Code], Stock_Table[[#This Row],[Product_Code]]
)</f>
        <v>0</v>
      </c>
      <c r="L601" s="4">
        <f>I601-J601+K601</f>
        <v>2</v>
      </c>
      <c r="M601" s="2" t="str" cm="1">
        <f t="array" ref="M601">_xlfn.IFS(L601=0,"Out of Stock",L601&gt;=2,"Limited Stock",L601&lt;2,"In Stock")</f>
        <v>Limited Stock</v>
      </c>
    </row>
    <row r="602" spans="2:13">
      <c r="B602" s="2" t="s">
        <v>1167</v>
      </c>
      <c r="C602" s="5" t="str">
        <f>_xlfn.XLOOKUP(B602,Master[Product_Code],Master[Category])</f>
        <v>Pants</v>
      </c>
      <c r="D602" s="2" t="str">
        <f>_xlfn.XLOOKUP(B602,Master[Product_Code],Master[Brand])</f>
        <v>Park Avenue</v>
      </c>
      <c r="E602" s="2" t="str">
        <f>_xlfn.XLOOKUP(B602,Master[Product_Code],Master[Style])</f>
        <v>Boot Cut</v>
      </c>
      <c r="F602" s="2" t="str">
        <f>_xlfn.XLOOKUP(B602,Master[Product_Code],Master[Fabric])</f>
        <v>Cotton</v>
      </c>
      <c r="G602" s="2">
        <f>_xlfn.XLOOKUP(B602,Master[Product_Code],Master[Size])</f>
        <v>28</v>
      </c>
      <c r="H602" s="2" t="str">
        <f>_xlfn.XLOOKUP(B602,Master[Product_Code],Master[Color])</f>
        <v>Black</v>
      </c>
      <c r="I602" s="4">
        <f>_xlfn.XLOOKUP(B602,Master[Product_Code],Master[Stock_Qty])</f>
        <v>4</v>
      </c>
      <c r="J602" s="6">
        <f>SUMIFS(
  Sales_Entry[Qty],
  Sales_Entry[Product_Code], Stock_Table[[#This Row],[Product_Code]]
)</f>
        <v>0</v>
      </c>
      <c r="K602" s="4">
        <f>SUMIFS(
  Exchange_Return[Qty],
  Exchange_Return[Product_Code], Stock_Table[[#This Row],[Product_Code]]
)</f>
        <v>0</v>
      </c>
      <c r="L602" s="4">
        <f>I602-J602+K602</f>
        <v>4</v>
      </c>
      <c r="M602" s="2" t="str" cm="1">
        <f t="array" ref="M602">_xlfn.IFS(L602=0,"Out of Stock",L602&gt;=2,"Limited Stock",L602&lt;2,"In Stock")</f>
        <v>Limited Stock</v>
      </c>
    </row>
    <row r="603" spans="2:13">
      <c r="B603" s="2" t="s">
        <v>1168</v>
      </c>
      <c r="C603" s="5" t="str">
        <f>_xlfn.XLOOKUP(B603,Master[Product_Code],Master[Category])</f>
        <v>Pants</v>
      </c>
      <c r="D603" s="2" t="str">
        <f>_xlfn.XLOOKUP(B603,Master[Product_Code],Master[Brand])</f>
        <v>Van Heusen</v>
      </c>
      <c r="E603" s="2" t="str">
        <f>_xlfn.XLOOKUP(B603,Master[Product_Code],Master[Style])</f>
        <v>Boot Cut</v>
      </c>
      <c r="F603" s="2" t="str">
        <f>_xlfn.XLOOKUP(B603,Master[Product_Code],Master[Fabric])</f>
        <v>Cotton</v>
      </c>
      <c r="G603" s="2">
        <f>_xlfn.XLOOKUP(B603,Master[Product_Code],Master[Size])</f>
        <v>36</v>
      </c>
      <c r="H603" s="2" t="str">
        <f>_xlfn.XLOOKUP(B603,Master[Product_Code],Master[Color])</f>
        <v>Bottle Green</v>
      </c>
      <c r="I603" s="4">
        <f>_xlfn.XLOOKUP(B603,Master[Product_Code],Master[Stock_Qty])</f>
        <v>4</v>
      </c>
      <c r="J603" s="6">
        <f>SUMIFS(
  Sales_Entry[Qty],
  Sales_Entry[Product_Code], Stock_Table[[#This Row],[Product_Code]]
)</f>
        <v>2</v>
      </c>
      <c r="K603" s="4">
        <f>SUMIFS(
  Exchange_Return[Qty],
  Exchange_Return[Product_Code], Stock_Table[[#This Row],[Product_Code]]
)</f>
        <v>0</v>
      </c>
      <c r="L603" s="4">
        <f>I603-J603+K603</f>
        <v>2</v>
      </c>
      <c r="M603" s="2" t="str" cm="1">
        <f t="array" ref="M603">_xlfn.IFS(L603=0,"Out of Stock",L603&gt;=2,"Limited Stock",L603&lt;2,"In Stock")</f>
        <v>Limited Stock</v>
      </c>
    </row>
    <row r="604" spans="2:13">
      <c r="B604" s="2" t="s">
        <v>1169</v>
      </c>
      <c r="C604" s="5" t="str">
        <f>_xlfn.XLOOKUP(B604,Master[Product_Code],Master[Category])</f>
        <v>Pants</v>
      </c>
      <c r="D604" s="2" t="str">
        <f>_xlfn.XLOOKUP(B604,Master[Product_Code],Master[Brand])</f>
        <v>Peter England</v>
      </c>
      <c r="E604" s="2" t="str">
        <f>_xlfn.XLOOKUP(B604,Master[Product_Code],Master[Style])</f>
        <v>Polofit</v>
      </c>
      <c r="F604" s="2" t="str">
        <f>_xlfn.XLOOKUP(B604,Master[Product_Code],Master[Fabric])</f>
        <v>Lycra</v>
      </c>
      <c r="G604" s="2">
        <f>_xlfn.XLOOKUP(B604,Master[Product_Code],Master[Size])</f>
        <v>36</v>
      </c>
      <c r="H604" s="2" t="str">
        <f>_xlfn.XLOOKUP(B604,Master[Product_Code],Master[Color])</f>
        <v>Peach</v>
      </c>
      <c r="I604" s="4">
        <f>_xlfn.XLOOKUP(B604,Master[Product_Code],Master[Stock_Qty])</f>
        <v>3</v>
      </c>
      <c r="J604" s="6">
        <f>SUMIFS(
  Sales_Entry[Qty],
  Sales_Entry[Product_Code], Stock_Table[[#This Row],[Product_Code]]
)</f>
        <v>0</v>
      </c>
      <c r="K604" s="4">
        <f>SUMIFS(
  Exchange_Return[Qty],
  Exchange_Return[Product_Code], Stock_Table[[#This Row],[Product_Code]]
)</f>
        <v>0</v>
      </c>
      <c r="L604" s="4">
        <f>I604-J604+K604</f>
        <v>3</v>
      </c>
      <c r="M604" s="2" t="str" cm="1">
        <f t="array" ref="M604">_xlfn.IFS(L604=0,"Out of Stock",L604&gt;=2,"Limited Stock",L604&lt;2,"In Stock")</f>
        <v>Limited Stock</v>
      </c>
    </row>
    <row r="605" spans="2:13">
      <c r="B605" s="2" t="s">
        <v>1170</v>
      </c>
      <c r="C605" s="5" t="str">
        <f>_xlfn.XLOOKUP(B605,Master[Product_Code],Master[Category])</f>
        <v>Pants</v>
      </c>
      <c r="D605" s="2" t="str">
        <f>_xlfn.XLOOKUP(B605,Master[Product_Code],Master[Brand])</f>
        <v>Van Heusen</v>
      </c>
      <c r="E605" s="2" t="str">
        <f>_xlfn.XLOOKUP(B605,Master[Product_Code],Master[Style])</f>
        <v>Jogger</v>
      </c>
      <c r="F605" s="2" t="str">
        <f>_xlfn.XLOOKUP(B605,Master[Product_Code],Master[Fabric])</f>
        <v>Poly Viscose</v>
      </c>
      <c r="G605" s="2">
        <f>_xlfn.XLOOKUP(B605,Master[Product_Code],Master[Size])</f>
        <v>40</v>
      </c>
      <c r="H605" s="2" t="str">
        <f>_xlfn.XLOOKUP(B605,Master[Product_Code],Master[Color])</f>
        <v>Beige</v>
      </c>
      <c r="I605" s="4">
        <f>_xlfn.XLOOKUP(B605,Master[Product_Code],Master[Stock_Qty])</f>
        <v>6</v>
      </c>
      <c r="J605" s="6">
        <f>SUMIFS(
  Sales_Entry[Qty],
  Sales_Entry[Product_Code], Stock_Table[[#This Row],[Product_Code]]
)</f>
        <v>3</v>
      </c>
      <c r="K605" s="4">
        <f>SUMIFS(
  Exchange_Return[Qty],
  Exchange_Return[Product_Code], Stock_Table[[#This Row],[Product_Code]]
)</f>
        <v>0</v>
      </c>
      <c r="L605" s="4">
        <f>I605-J605+K605</f>
        <v>3</v>
      </c>
      <c r="M605" s="2" t="str" cm="1">
        <f t="array" ref="M605">_xlfn.IFS(L605=0,"Out of Stock",L605&gt;=2,"Limited Stock",L605&lt;2,"In Stock")</f>
        <v>Limited Stock</v>
      </c>
    </row>
    <row r="606" spans="2:13">
      <c r="B606" s="2" t="s">
        <v>1171</v>
      </c>
      <c r="C606" s="5" t="str">
        <f>_xlfn.XLOOKUP(B606,Master[Product_Code],Master[Category])</f>
        <v>Pants</v>
      </c>
      <c r="D606" s="2" t="str">
        <f>_xlfn.XLOOKUP(B606,Master[Product_Code],Master[Brand])</f>
        <v>Raymond</v>
      </c>
      <c r="E606" s="2" t="str">
        <f>_xlfn.XLOOKUP(B606,Master[Product_Code],Master[Style])</f>
        <v>Korean</v>
      </c>
      <c r="F606" s="2" t="str">
        <f>_xlfn.XLOOKUP(B606,Master[Product_Code],Master[Fabric])</f>
        <v>Lycra</v>
      </c>
      <c r="G606" s="2">
        <f>_xlfn.XLOOKUP(B606,Master[Product_Code],Master[Size])</f>
        <v>28</v>
      </c>
      <c r="H606" s="2" t="str">
        <f>_xlfn.XLOOKUP(B606,Master[Product_Code],Master[Color])</f>
        <v>Beige</v>
      </c>
      <c r="I606" s="4">
        <f>_xlfn.XLOOKUP(B606,Master[Product_Code],Master[Stock_Qty])</f>
        <v>4</v>
      </c>
      <c r="J606" s="6">
        <f>SUMIFS(
  Sales_Entry[Qty],
  Sales_Entry[Product_Code], Stock_Table[[#This Row],[Product_Code]]
)</f>
        <v>3</v>
      </c>
      <c r="K606" s="4">
        <f>SUMIFS(
  Exchange_Return[Qty],
  Exchange_Return[Product_Code], Stock_Table[[#This Row],[Product_Code]]
)</f>
        <v>0</v>
      </c>
      <c r="L606" s="4">
        <f>I606-J606+K606</f>
        <v>1</v>
      </c>
      <c r="M606" s="2" t="str" cm="1">
        <f t="array" ref="M606">_xlfn.IFS(L606=0,"Out of Stock",L606&gt;=2,"Limited Stock",L606&lt;2,"In Stock")</f>
        <v>In Stock</v>
      </c>
    </row>
    <row r="607" spans="2:13">
      <c r="B607" s="2" t="s">
        <v>1172</v>
      </c>
      <c r="C607" s="5" t="str">
        <f>_xlfn.XLOOKUP(B607,Master[Product_Code],Master[Category])</f>
        <v>Pants</v>
      </c>
      <c r="D607" s="2" t="str">
        <f>_xlfn.XLOOKUP(B607,Master[Product_Code],Master[Brand])</f>
        <v>Raymond</v>
      </c>
      <c r="E607" s="2" t="str">
        <f>_xlfn.XLOOKUP(B607,Master[Product_Code],Master[Style])</f>
        <v>Kurka</v>
      </c>
      <c r="F607" s="2" t="str">
        <f>_xlfn.XLOOKUP(B607,Master[Product_Code],Master[Fabric])</f>
        <v>Lycra</v>
      </c>
      <c r="G607" s="2">
        <f>_xlfn.XLOOKUP(B607,Master[Product_Code],Master[Size])</f>
        <v>42</v>
      </c>
      <c r="H607" s="2" t="str">
        <f>_xlfn.XLOOKUP(B607,Master[Product_Code],Master[Color])</f>
        <v>Maroon</v>
      </c>
      <c r="I607" s="4">
        <f>_xlfn.XLOOKUP(B607,Master[Product_Code],Master[Stock_Qty])</f>
        <v>5</v>
      </c>
      <c r="J607" s="6">
        <f>SUMIFS(
  Sales_Entry[Qty],
  Sales_Entry[Product_Code], Stock_Table[[#This Row],[Product_Code]]
)</f>
        <v>3</v>
      </c>
      <c r="K607" s="4">
        <f>SUMIFS(
  Exchange_Return[Qty],
  Exchange_Return[Product_Code], Stock_Table[[#This Row],[Product_Code]]
)</f>
        <v>0</v>
      </c>
      <c r="L607" s="4">
        <f>I607-J607+K607</f>
        <v>2</v>
      </c>
      <c r="M607" s="2" t="str" cm="1">
        <f t="array" ref="M607">_xlfn.IFS(L607=0,"Out of Stock",L607&gt;=2,"Limited Stock",L607&lt;2,"In Stock")</f>
        <v>Limited Stock</v>
      </c>
    </row>
    <row r="608" spans="2:13">
      <c r="B608" s="2" t="s">
        <v>1173</v>
      </c>
      <c r="C608" s="5" t="str">
        <f>_xlfn.XLOOKUP(B608,Master[Product_Code],Master[Category])</f>
        <v>Pants</v>
      </c>
      <c r="D608" s="2" t="str">
        <f>_xlfn.XLOOKUP(B608,Master[Product_Code],Master[Brand])</f>
        <v>Raymond</v>
      </c>
      <c r="E608" s="2" t="str">
        <f>_xlfn.XLOOKUP(B608,Master[Product_Code],Master[Style])</f>
        <v>Korean</v>
      </c>
      <c r="F608" s="2" t="str">
        <f>_xlfn.XLOOKUP(B608,Master[Product_Code],Master[Fabric])</f>
        <v>Lycra</v>
      </c>
      <c r="G608" s="2">
        <f>_xlfn.XLOOKUP(B608,Master[Product_Code],Master[Size])</f>
        <v>40</v>
      </c>
      <c r="H608" s="2" t="str">
        <f>_xlfn.XLOOKUP(B608,Master[Product_Code],Master[Color])</f>
        <v>Teal</v>
      </c>
      <c r="I608" s="4">
        <f>_xlfn.XLOOKUP(B608,Master[Product_Code],Master[Stock_Qty])</f>
        <v>3</v>
      </c>
      <c r="J608" s="6">
        <f>SUMIFS(
  Sales_Entry[Qty],
  Sales_Entry[Product_Code], Stock_Table[[#This Row],[Product_Code]]
)</f>
        <v>1</v>
      </c>
      <c r="K608" s="4">
        <f>SUMIFS(
  Exchange_Return[Qty],
  Exchange_Return[Product_Code], Stock_Table[[#This Row],[Product_Code]]
)</f>
        <v>0</v>
      </c>
      <c r="L608" s="4">
        <f>I608-J608+K608</f>
        <v>2</v>
      </c>
      <c r="M608" s="2" t="str" cm="1">
        <f t="array" ref="M608">_xlfn.IFS(L608=0,"Out of Stock",L608&gt;=2,"Limited Stock",L608&lt;2,"In Stock")</f>
        <v>Limited Stock</v>
      </c>
    </row>
    <row r="609" spans="2:13">
      <c r="B609" s="2" t="s">
        <v>1174</v>
      </c>
      <c r="C609" s="5" t="str">
        <f>_xlfn.XLOOKUP(B609,Master[Product_Code],Master[Category])</f>
        <v>Pants</v>
      </c>
      <c r="D609" s="2" t="str">
        <f>_xlfn.XLOOKUP(B609,Master[Product_Code],Master[Brand])</f>
        <v>Van Heusen</v>
      </c>
      <c r="E609" s="2" t="str">
        <f>_xlfn.XLOOKUP(B609,Master[Product_Code],Master[Style])</f>
        <v>Jogger</v>
      </c>
      <c r="F609" s="2" t="str">
        <f>_xlfn.XLOOKUP(B609,Master[Product_Code],Master[Fabric])</f>
        <v>Cotton Blend</v>
      </c>
      <c r="G609" s="2">
        <f>_xlfn.XLOOKUP(B609,Master[Product_Code],Master[Size])</f>
        <v>30</v>
      </c>
      <c r="H609" s="2" t="str">
        <f>_xlfn.XLOOKUP(B609,Master[Product_Code],Master[Color])</f>
        <v>Wine</v>
      </c>
      <c r="I609" s="4">
        <f>_xlfn.XLOOKUP(B609,Master[Product_Code],Master[Stock_Qty])</f>
        <v>4</v>
      </c>
      <c r="J609" s="6">
        <f>SUMIFS(
  Sales_Entry[Qty],
  Sales_Entry[Product_Code], Stock_Table[[#This Row],[Product_Code]]
)</f>
        <v>1</v>
      </c>
      <c r="K609" s="4">
        <f>SUMIFS(
  Exchange_Return[Qty],
  Exchange_Return[Product_Code], Stock_Table[[#This Row],[Product_Code]]
)</f>
        <v>0</v>
      </c>
      <c r="L609" s="4">
        <f>I609-J609+K609</f>
        <v>3</v>
      </c>
      <c r="M609" s="2" t="str" cm="1">
        <f t="array" ref="M609">_xlfn.IFS(L609=0,"Out of Stock",L609&gt;=2,"Limited Stock",L609&lt;2,"In Stock")</f>
        <v>Limited Stock</v>
      </c>
    </row>
    <row r="610" spans="2:13">
      <c r="B610" s="2" t="s">
        <v>1175</v>
      </c>
      <c r="C610" s="5" t="str">
        <f>_xlfn.XLOOKUP(B610,Master[Product_Code],Master[Category])</f>
        <v>Pants</v>
      </c>
      <c r="D610" s="2" t="str">
        <f>_xlfn.XLOOKUP(B610,Master[Product_Code],Master[Brand])</f>
        <v>Peter England</v>
      </c>
      <c r="E610" s="2" t="str">
        <f>_xlfn.XLOOKUP(B610,Master[Product_Code],Master[Style])</f>
        <v>Polofit</v>
      </c>
      <c r="F610" s="2" t="str">
        <f>_xlfn.XLOOKUP(B610,Master[Product_Code],Master[Fabric])</f>
        <v>Lycra</v>
      </c>
      <c r="G610" s="2">
        <f>_xlfn.XLOOKUP(B610,Master[Product_Code],Master[Size])</f>
        <v>32</v>
      </c>
      <c r="H610" s="2" t="str">
        <f>_xlfn.XLOOKUP(B610,Master[Product_Code],Master[Color])</f>
        <v>Dark Green</v>
      </c>
      <c r="I610" s="4">
        <f>_xlfn.XLOOKUP(B610,Master[Product_Code],Master[Stock_Qty])</f>
        <v>5</v>
      </c>
      <c r="J610" s="6">
        <f>SUMIFS(
  Sales_Entry[Qty],
  Sales_Entry[Product_Code], Stock_Table[[#This Row],[Product_Code]]
)</f>
        <v>1</v>
      </c>
      <c r="K610" s="4">
        <f>SUMIFS(
  Exchange_Return[Qty],
  Exchange_Return[Product_Code], Stock_Table[[#This Row],[Product_Code]]
)</f>
        <v>0</v>
      </c>
      <c r="L610" s="4">
        <f>I610-J610+K610</f>
        <v>4</v>
      </c>
      <c r="M610" s="2" t="str" cm="1">
        <f t="array" ref="M610">_xlfn.IFS(L610=0,"Out of Stock",L610&gt;=2,"Limited Stock",L610&lt;2,"In Stock")</f>
        <v>Limited Stock</v>
      </c>
    </row>
    <row r="611" spans="2:13">
      <c r="B611" s="2" t="s">
        <v>1176</v>
      </c>
      <c r="C611" s="5" t="str">
        <f>_xlfn.XLOOKUP(B611,Master[Product_Code],Master[Category])</f>
        <v>Pants</v>
      </c>
      <c r="D611" s="2" t="str">
        <f>_xlfn.XLOOKUP(B611,Master[Product_Code],Master[Brand])</f>
        <v>Van Heusen</v>
      </c>
      <c r="E611" s="2" t="str">
        <f>_xlfn.XLOOKUP(B611,Master[Product_Code],Master[Style])</f>
        <v>Korean</v>
      </c>
      <c r="F611" s="2" t="str">
        <f>_xlfn.XLOOKUP(B611,Master[Product_Code],Master[Fabric])</f>
        <v>Lycra</v>
      </c>
      <c r="G611" s="2">
        <f>_xlfn.XLOOKUP(B611,Master[Product_Code],Master[Size])</f>
        <v>38</v>
      </c>
      <c r="H611" s="2" t="str">
        <f>_xlfn.XLOOKUP(B611,Master[Product_Code],Master[Color])</f>
        <v>Sky Blue</v>
      </c>
      <c r="I611" s="4">
        <f>_xlfn.XLOOKUP(B611,Master[Product_Code],Master[Stock_Qty])</f>
        <v>5</v>
      </c>
      <c r="J611" s="6">
        <f>SUMIFS(
  Sales_Entry[Qty],
  Sales_Entry[Product_Code], Stock_Table[[#This Row],[Product_Code]]
)</f>
        <v>2</v>
      </c>
      <c r="K611" s="4">
        <f>SUMIFS(
  Exchange_Return[Qty],
  Exchange_Return[Product_Code], Stock_Table[[#This Row],[Product_Code]]
)</f>
        <v>0</v>
      </c>
      <c r="L611" s="4">
        <f>I611-J611+K611</f>
        <v>3</v>
      </c>
      <c r="M611" s="2" t="str" cm="1">
        <f t="array" ref="M611">_xlfn.IFS(L611=0,"Out of Stock",L611&gt;=2,"Limited Stock",L611&lt;2,"In Stock")</f>
        <v>Limited Stock</v>
      </c>
    </row>
    <row r="612" spans="2:13">
      <c r="B612" s="2" t="s">
        <v>1177</v>
      </c>
      <c r="C612" s="5" t="str">
        <f>_xlfn.XLOOKUP(B612,Master[Product_Code],Master[Category])</f>
        <v>Pants</v>
      </c>
      <c r="D612" s="2" t="str">
        <f>_xlfn.XLOOKUP(B612,Master[Product_Code],Master[Brand])</f>
        <v>Raymond</v>
      </c>
      <c r="E612" s="2" t="str">
        <f>_xlfn.XLOOKUP(B612,Master[Product_Code],Master[Style])</f>
        <v>Kurka</v>
      </c>
      <c r="F612" s="2" t="str">
        <f>_xlfn.XLOOKUP(B612,Master[Product_Code],Master[Fabric])</f>
        <v>Lycra</v>
      </c>
      <c r="G612" s="2">
        <f>_xlfn.XLOOKUP(B612,Master[Product_Code],Master[Size])</f>
        <v>36</v>
      </c>
      <c r="H612" s="2" t="str">
        <f>_xlfn.XLOOKUP(B612,Master[Product_Code],Master[Color])</f>
        <v>Teal</v>
      </c>
      <c r="I612" s="4">
        <f>_xlfn.XLOOKUP(B612,Master[Product_Code],Master[Stock_Qty])</f>
        <v>6</v>
      </c>
      <c r="J612" s="6">
        <f>SUMIFS(
  Sales_Entry[Qty],
  Sales_Entry[Product_Code], Stock_Table[[#This Row],[Product_Code]]
)</f>
        <v>2</v>
      </c>
      <c r="K612" s="4">
        <f>SUMIFS(
  Exchange_Return[Qty],
  Exchange_Return[Product_Code], Stock_Table[[#This Row],[Product_Code]]
)</f>
        <v>0</v>
      </c>
      <c r="L612" s="4">
        <f>I612-J612+K612</f>
        <v>4</v>
      </c>
      <c r="M612" s="2" t="str" cm="1">
        <f t="array" ref="M612">_xlfn.IFS(L612=0,"Out of Stock",L612&gt;=2,"Limited Stock",L612&lt;2,"In Stock")</f>
        <v>Limited Stock</v>
      </c>
    </row>
    <row r="613" spans="2:13">
      <c r="B613" s="2" t="s">
        <v>1178</v>
      </c>
      <c r="C613" s="5" t="str">
        <f>_xlfn.XLOOKUP(B613,Master[Product_Code],Master[Category])</f>
        <v>Pants</v>
      </c>
      <c r="D613" s="2" t="str">
        <f>_xlfn.XLOOKUP(B613,Master[Product_Code],Master[Brand])</f>
        <v>Van Heusen</v>
      </c>
      <c r="E613" s="2" t="str">
        <f>_xlfn.XLOOKUP(B613,Master[Product_Code],Master[Style])</f>
        <v>Kurka</v>
      </c>
      <c r="F613" s="2" t="str">
        <f>_xlfn.XLOOKUP(B613,Master[Product_Code],Master[Fabric])</f>
        <v>Lycra</v>
      </c>
      <c r="G613" s="2">
        <f>_xlfn.XLOOKUP(B613,Master[Product_Code],Master[Size])</f>
        <v>34</v>
      </c>
      <c r="H613" s="2" t="str">
        <f>_xlfn.XLOOKUP(B613,Master[Product_Code],Master[Color])</f>
        <v>Maroon</v>
      </c>
      <c r="I613" s="4">
        <f>_xlfn.XLOOKUP(B613,Master[Product_Code],Master[Stock_Qty])</f>
        <v>4</v>
      </c>
      <c r="J613" s="6">
        <f>SUMIFS(
  Sales_Entry[Qty],
  Sales_Entry[Product_Code], Stock_Table[[#This Row],[Product_Code]]
)</f>
        <v>1</v>
      </c>
      <c r="K613" s="4">
        <f>SUMIFS(
  Exchange_Return[Qty],
  Exchange_Return[Product_Code], Stock_Table[[#This Row],[Product_Code]]
)</f>
        <v>0</v>
      </c>
      <c r="L613" s="4">
        <f>I613-J613+K613</f>
        <v>3</v>
      </c>
      <c r="M613" s="2" t="str" cm="1">
        <f t="array" ref="M613">_xlfn.IFS(L613=0,"Out of Stock",L613&gt;=2,"Limited Stock",L613&lt;2,"In Stock")</f>
        <v>Limited Stock</v>
      </c>
    </row>
    <row r="614" spans="2:13">
      <c r="B614" s="2" t="s">
        <v>1179</v>
      </c>
      <c r="C614" s="5" t="str">
        <f>_xlfn.XLOOKUP(B614,Master[Product_Code],Master[Category])</f>
        <v>Pants</v>
      </c>
      <c r="D614" s="2" t="str">
        <f>_xlfn.XLOOKUP(B614,Master[Product_Code],Master[Brand])</f>
        <v>Park Avenue</v>
      </c>
      <c r="E614" s="2" t="str">
        <f>_xlfn.XLOOKUP(B614,Master[Product_Code],Master[Style])</f>
        <v>Jogger</v>
      </c>
      <c r="F614" s="2" t="str">
        <f>_xlfn.XLOOKUP(B614,Master[Product_Code],Master[Fabric])</f>
        <v>Cotton Blend</v>
      </c>
      <c r="G614" s="2">
        <f>_xlfn.XLOOKUP(B614,Master[Product_Code],Master[Size])</f>
        <v>44</v>
      </c>
      <c r="H614" s="2" t="str">
        <f>_xlfn.XLOOKUP(B614,Master[Product_Code],Master[Color])</f>
        <v>Dark Green</v>
      </c>
      <c r="I614" s="4">
        <f>_xlfn.XLOOKUP(B614,Master[Product_Code],Master[Stock_Qty])</f>
        <v>3</v>
      </c>
      <c r="J614" s="6">
        <f>SUMIFS(
  Sales_Entry[Qty],
  Sales_Entry[Product_Code], Stock_Table[[#This Row],[Product_Code]]
)</f>
        <v>2</v>
      </c>
      <c r="K614" s="4">
        <f>SUMIFS(
  Exchange_Return[Qty],
  Exchange_Return[Product_Code], Stock_Table[[#This Row],[Product_Code]]
)</f>
        <v>0</v>
      </c>
      <c r="L614" s="4">
        <f>I614-J614+K614</f>
        <v>1</v>
      </c>
      <c r="M614" s="2" t="str" cm="1">
        <f t="array" ref="M614">_xlfn.IFS(L614=0,"Out of Stock",L614&gt;=2,"Limited Stock",L614&lt;2,"In Stock")</f>
        <v>In Stock</v>
      </c>
    </row>
    <row r="615" spans="2:13">
      <c r="B615" s="2" t="s">
        <v>1180</v>
      </c>
      <c r="C615" s="5" t="str">
        <f>_xlfn.XLOOKUP(B615,Master[Product_Code],Master[Category])</f>
        <v>Pants</v>
      </c>
      <c r="D615" s="2" t="str">
        <f>_xlfn.XLOOKUP(B615,Master[Product_Code],Master[Brand])</f>
        <v>Louis Philippe</v>
      </c>
      <c r="E615" s="2" t="str">
        <f>_xlfn.XLOOKUP(B615,Master[Product_Code],Master[Style])</f>
        <v>Polofit</v>
      </c>
      <c r="F615" s="2" t="str">
        <f>_xlfn.XLOOKUP(B615,Master[Product_Code],Master[Fabric])</f>
        <v>Lycra</v>
      </c>
      <c r="G615" s="2">
        <f>_xlfn.XLOOKUP(B615,Master[Product_Code],Master[Size])</f>
        <v>32</v>
      </c>
      <c r="H615" s="2" t="str">
        <f>_xlfn.XLOOKUP(B615,Master[Product_Code],Master[Color])</f>
        <v>Black</v>
      </c>
      <c r="I615" s="4">
        <f>_xlfn.XLOOKUP(B615,Master[Product_Code],Master[Stock_Qty])</f>
        <v>6</v>
      </c>
      <c r="J615" s="6">
        <f>SUMIFS(
  Sales_Entry[Qty],
  Sales_Entry[Product_Code], Stock_Table[[#This Row],[Product_Code]]
)</f>
        <v>2</v>
      </c>
      <c r="K615" s="4">
        <f>SUMIFS(
  Exchange_Return[Qty],
  Exchange_Return[Product_Code], Stock_Table[[#This Row],[Product_Code]]
)</f>
        <v>0</v>
      </c>
      <c r="L615" s="4">
        <f>I615-J615+K615</f>
        <v>4</v>
      </c>
      <c r="M615" s="2" t="str" cm="1">
        <f t="array" ref="M615">_xlfn.IFS(L615=0,"Out of Stock",L615&gt;=2,"Limited Stock",L615&lt;2,"In Stock")</f>
        <v>Limited Stock</v>
      </c>
    </row>
    <row r="616" spans="2:13">
      <c r="B616" s="2" t="s">
        <v>1181</v>
      </c>
      <c r="C616" s="5" t="str">
        <f>_xlfn.XLOOKUP(B616,Master[Product_Code],Master[Category])</f>
        <v>Pants</v>
      </c>
      <c r="D616" s="2" t="str">
        <f>_xlfn.XLOOKUP(B616,Master[Product_Code],Master[Brand])</f>
        <v>Van Heusen</v>
      </c>
      <c r="E616" s="2" t="str">
        <f>_xlfn.XLOOKUP(B616,Master[Product_Code],Master[Style])</f>
        <v>Korean</v>
      </c>
      <c r="F616" s="2" t="str">
        <f>_xlfn.XLOOKUP(B616,Master[Product_Code],Master[Fabric])</f>
        <v>Lycra</v>
      </c>
      <c r="G616" s="2">
        <f>_xlfn.XLOOKUP(B616,Master[Product_Code],Master[Size])</f>
        <v>42</v>
      </c>
      <c r="H616" s="2" t="str">
        <f>_xlfn.XLOOKUP(B616,Master[Product_Code],Master[Color])</f>
        <v>Royal Blue</v>
      </c>
      <c r="I616" s="4">
        <f>_xlfn.XLOOKUP(B616,Master[Product_Code],Master[Stock_Qty])</f>
        <v>5</v>
      </c>
      <c r="J616" s="6">
        <f>SUMIFS(
  Sales_Entry[Qty],
  Sales_Entry[Product_Code], Stock_Table[[#This Row],[Product_Code]]
)</f>
        <v>5</v>
      </c>
      <c r="K616" s="4">
        <f>SUMIFS(
  Exchange_Return[Qty],
  Exchange_Return[Product_Code], Stock_Table[[#This Row],[Product_Code]]
)</f>
        <v>0</v>
      </c>
      <c r="L616" s="4">
        <f>I616-J616+K616</f>
        <v>0</v>
      </c>
      <c r="M616" s="2" t="str" cm="1">
        <f t="array" ref="M616">_xlfn.IFS(L616=0,"Out of Stock",L616&gt;=2,"Limited Stock",L616&lt;2,"In Stock")</f>
        <v>Out of Stock</v>
      </c>
    </row>
    <row r="617" spans="2:13">
      <c r="B617" s="2" t="s">
        <v>1182</v>
      </c>
      <c r="C617" s="5" t="str">
        <f>_xlfn.XLOOKUP(B617,Master[Product_Code],Master[Category])</f>
        <v>Pants</v>
      </c>
      <c r="D617" s="2" t="str">
        <f>_xlfn.XLOOKUP(B617,Master[Product_Code],Master[Brand])</f>
        <v>Van Heusen</v>
      </c>
      <c r="E617" s="2" t="str">
        <f>_xlfn.XLOOKUP(B617,Master[Product_Code],Master[Style])</f>
        <v>Polofit</v>
      </c>
      <c r="F617" s="2" t="str">
        <f>_xlfn.XLOOKUP(B617,Master[Product_Code],Master[Fabric])</f>
        <v>Lycra</v>
      </c>
      <c r="G617" s="2">
        <f>_xlfn.XLOOKUP(B617,Master[Product_Code],Master[Size])</f>
        <v>30</v>
      </c>
      <c r="H617" s="2" t="str">
        <f>_xlfn.XLOOKUP(B617,Master[Product_Code],Master[Color])</f>
        <v>Charcoal</v>
      </c>
      <c r="I617" s="4">
        <f>_xlfn.XLOOKUP(B617,Master[Product_Code],Master[Stock_Qty])</f>
        <v>4</v>
      </c>
      <c r="J617" s="6">
        <f>SUMIFS(
  Sales_Entry[Qty],
  Sales_Entry[Product_Code], Stock_Table[[#This Row],[Product_Code]]
)</f>
        <v>4</v>
      </c>
      <c r="K617" s="4">
        <f>SUMIFS(
  Exchange_Return[Qty],
  Exchange_Return[Product_Code], Stock_Table[[#This Row],[Product_Code]]
)</f>
        <v>0</v>
      </c>
      <c r="L617" s="4">
        <f>I617-J617+K617</f>
        <v>0</v>
      </c>
      <c r="M617" s="2" t="str" cm="1">
        <f t="array" ref="M617">_xlfn.IFS(L617=0,"Out of Stock",L617&gt;=2,"Limited Stock",L617&lt;2,"In Stock")</f>
        <v>Out of Stock</v>
      </c>
    </row>
    <row r="618" spans="2:13">
      <c r="B618" s="2" t="s">
        <v>1183</v>
      </c>
      <c r="C618" s="5" t="str">
        <f>_xlfn.XLOOKUP(B618,Master[Product_Code],Master[Category])</f>
        <v>Pants</v>
      </c>
      <c r="D618" s="2" t="str">
        <f>_xlfn.XLOOKUP(B618,Master[Product_Code],Master[Brand])</f>
        <v>Peter England</v>
      </c>
      <c r="E618" s="2" t="str">
        <f>_xlfn.XLOOKUP(B618,Master[Product_Code],Master[Style])</f>
        <v>Kurka</v>
      </c>
      <c r="F618" s="2" t="str">
        <f>_xlfn.XLOOKUP(B618,Master[Product_Code],Master[Fabric])</f>
        <v>Lycra</v>
      </c>
      <c r="G618" s="2">
        <f>_xlfn.XLOOKUP(B618,Master[Product_Code],Master[Size])</f>
        <v>32</v>
      </c>
      <c r="H618" s="2" t="str">
        <f>_xlfn.XLOOKUP(B618,Master[Product_Code],Master[Color])</f>
        <v>Grey</v>
      </c>
      <c r="I618" s="4">
        <f>_xlfn.XLOOKUP(B618,Master[Product_Code],Master[Stock_Qty])</f>
        <v>4</v>
      </c>
      <c r="J618" s="6">
        <f>SUMIFS(
  Sales_Entry[Qty],
  Sales_Entry[Product_Code], Stock_Table[[#This Row],[Product_Code]]
)</f>
        <v>0</v>
      </c>
      <c r="K618" s="4">
        <f>SUMIFS(
  Exchange_Return[Qty],
  Exchange_Return[Product_Code], Stock_Table[[#This Row],[Product_Code]]
)</f>
        <v>0</v>
      </c>
      <c r="L618" s="4">
        <f>I618-J618+K618</f>
        <v>4</v>
      </c>
      <c r="M618" s="2" t="str" cm="1">
        <f t="array" ref="M618">_xlfn.IFS(L618=0,"Out of Stock",L618&gt;=2,"Limited Stock",L618&lt;2,"In Stock")</f>
        <v>Limited Stock</v>
      </c>
    </row>
    <row r="619" spans="2:13">
      <c r="B619" s="2" t="s">
        <v>1184</v>
      </c>
      <c r="C619" s="5" t="str">
        <f>_xlfn.XLOOKUP(B619,Master[Product_Code],Master[Category])</f>
        <v>Pants</v>
      </c>
      <c r="D619" s="2" t="str">
        <f>_xlfn.XLOOKUP(B619,Master[Product_Code],Master[Brand])</f>
        <v>Louis Philippe</v>
      </c>
      <c r="E619" s="2" t="str">
        <f>_xlfn.XLOOKUP(B619,Master[Product_Code],Master[Style])</f>
        <v>Polofit</v>
      </c>
      <c r="F619" s="2" t="str">
        <f>_xlfn.XLOOKUP(B619,Master[Product_Code],Master[Fabric])</f>
        <v>Lycra</v>
      </c>
      <c r="G619" s="2">
        <f>_xlfn.XLOOKUP(B619,Master[Product_Code],Master[Size])</f>
        <v>28</v>
      </c>
      <c r="H619" s="2" t="str">
        <f>_xlfn.XLOOKUP(B619,Master[Product_Code],Master[Color])</f>
        <v>Peach</v>
      </c>
      <c r="I619" s="4">
        <f>_xlfn.XLOOKUP(B619,Master[Product_Code],Master[Stock_Qty])</f>
        <v>6</v>
      </c>
      <c r="J619" s="6">
        <f>SUMIFS(
  Sales_Entry[Qty],
  Sales_Entry[Product_Code], Stock_Table[[#This Row],[Product_Code]]
)</f>
        <v>5</v>
      </c>
      <c r="K619" s="4">
        <f>SUMIFS(
  Exchange_Return[Qty],
  Exchange_Return[Product_Code], Stock_Table[[#This Row],[Product_Code]]
)</f>
        <v>0</v>
      </c>
      <c r="L619" s="4">
        <f>I619-J619+K619</f>
        <v>1</v>
      </c>
      <c r="M619" s="2" t="str" cm="1">
        <f t="array" ref="M619">_xlfn.IFS(L619=0,"Out of Stock",L619&gt;=2,"Limited Stock",L619&lt;2,"In Stock")</f>
        <v>In Stock</v>
      </c>
    </row>
    <row r="620" spans="2:13">
      <c r="B620" s="2" t="s">
        <v>1185</v>
      </c>
      <c r="C620" s="5" t="str">
        <f>_xlfn.XLOOKUP(B620,Master[Product_Code],Master[Category])</f>
        <v>Pants</v>
      </c>
      <c r="D620" s="2" t="str">
        <f>_xlfn.XLOOKUP(B620,Master[Product_Code],Master[Brand])</f>
        <v>Peter England</v>
      </c>
      <c r="E620" s="2" t="str">
        <f>_xlfn.XLOOKUP(B620,Master[Product_Code],Master[Style])</f>
        <v>Polofit</v>
      </c>
      <c r="F620" s="2" t="str">
        <f>_xlfn.XLOOKUP(B620,Master[Product_Code],Master[Fabric])</f>
        <v>Lycra</v>
      </c>
      <c r="G620" s="2">
        <f>_xlfn.XLOOKUP(B620,Master[Product_Code],Master[Size])</f>
        <v>44</v>
      </c>
      <c r="H620" s="2" t="str">
        <f>_xlfn.XLOOKUP(B620,Master[Product_Code],Master[Color])</f>
        <v>Light Grey</v>
      </c>
      <c r="I620" s="4">
        <f>_xlfn.XLOOKUP(B620,Master[Product_Code],Master[Stock_Qty])</f>
        <v>3</v>
      </c>
      <c r="J620" s="6">
        <f>SUMIFS(
  Sales_Entry[Qty],
  Sales_Entry[Product_Code], Stock_Table[[#This Row],[Product_Code]]
)</f>
        <v>0</v>
      </c>
      <c r="K620" s="4">
        <f>SUMIFS(
  Exchange_Return[Qty],
  Exchange_Return[Product_Code], Stock_Table[[#This Row],[Product_Code]]
)</f>
        <v>0</v>
      </c>
      <c r="L620" s="4">
        <f>I620-J620+K620</f>
        <v>3</v>
      </c>
      <c r="M620" s="2" t="str" cm="1">
        <f t="array" ref="M620">_xlfn.IFS(L620=0,"Out of Stock",L620&gt;=2,"Limited Stock",L620&lt;2,"In Stock")</f>
        <v>Limited Stock</v>
      </c>
    </row>
    <row r="621" spans="2:13">
      <c r="B621" s="2" t="s">
        <v>1186</v>
      </c>
      <c r="C621" s="5" t="str">
        <f>_xlfn.XLOOKUP(B621,Master[Product_Code],Master[Category])</f>
        <v>Pants</v>
      </c>
      <c r="D621" s="2" t="str">
        <f>_xlfn.XLOOKUP(B621,Master[Product_Code],Master[Brand])</f>
        <v>Raymond</v>
      </c>
      <c r="E621" s="2" t="str">
        <f>_xlfn.XLOOKUP(B621,Master[Product_Code],Master[Style])</f>
        <v>Korean</v>
      </c>
      <c r="F621" s="2" t="str">
        <f>_xlfn.XLOOKUP(B621,Master[Product_Code],Master[Fabric])</f>
        <v>Lycra</v>
      </c>
      <c r="G621" s="2">
        <f>_xlfn.XLOOKUP(B621,Master[Product_Code],Master[Size])</f>
        <v>30</v>
      </c>
      <c r="H621" s="2" t="str">
        <f>_xlfn.XLOOKUP(B621,Master[Product_Code],Master[Color])</f>
        <v>Brown</v>
      </c>
      <c r="I621" s="4">
        <f>_xlfn.XLOOKUP(B621,Master[Product_Code],Master[Stock_Qty])</f>
        <v>3</v>
      </c>
      <c r="J621" s="6">
        <f>SUMIFS(
  Sales_Entry[Qty],
  Sales_Entry[Product_Code], Stock_Table[[#This Row],[Product_Code]]
)</f>
        <v>2</v>
      </c>
      <c r="K621" s="4">
        <f>SUMIFS(
  Exchange_Return[Qty],
  Exchange_Return[Product_Code], Stock_Table[[#This Row],[Product_Code]]
)</f>
        <v>0</v>
      </c>
      <c r="L621" s="4">
        <f>I621-J621+K621</f>
        <v>1</v>
      </c>
      <c r="M621" s="2" t="str" cm="1">
        <f t="array" ref="M621">_xlfn.IFS(L621=0,"Out of Stock",L621&gt;=2,"Limited Stock",L621&lt;2,"In Stock")</f>
        <v>In Stock</v>
      </c>
    </row>
    <row r="622" spans="2:13">
      <c r="B622" s="2" t="s">
        <v>1187</v>
      </c>
      <c r="C622" s="5" t="str">
        <f>_xlfn.XLOOKUP(B622,Master[Product_Code],Master[Category])</f>
        <v>Pants</v>
      </c>
      <c r="D622" s="2" t="str">
        <f>_xlfn.XLOOKUP(B622,Master[Product_Code],Master[Brand])</f>
        <v>Raymond</v>
      </c>
      <c r="E622" s="2" t="str">
        <f>_xlfn.XLOOKUP(B622,Master[Product_Code],Master[Style])</f>
        <v>Jogger</v>
      </c>
      <c r="F622" s="2" t="str">
        <f>_xlfn.XLOOKUP(B622,Master[Product_Code],Master[Fabric])</f>
        <v>Cotton</v>
      </c>
      <c r="G622" s="2">
        <f>_xlfn.XLOOKUP(B622,Master[Product_Code],Master[Size])</f>
        <v>34</v>
      </c>
      <c r="H622" s="2" t="str">
        <f>_xlfn.XLOOKUP(B622,Master[Product_Code],Master[Color])</f>
        <v>Olive</v>
      </c>
      <c r="I622" s="4">
        <f>_xlfn.XLOOKUP(B622,Master[Product_Code],Master[Stock_Qty])</f>
        <v>5</v>
      </c>
      <c r="J622" s="6">
        <f>SUMIFS(
  Sales_Entry[Qty],
  Sales_Entry[Product_Code], Stock_Table[[#This Row],[Product_Code]]
)</f>
        <v>3</v>
      </c>
      <c r="K622" s="4">
        <f>SUMIFS(
  Exchange_Return[Qty],
  Exchange_Return[Product_Code], Stock_Table[[#This Row],[Product_Code]]
)</f>
        <v>0</v>
      </c>
      <c r="L622" s="4">
        <f>I622-J622+K622</f>
        <v>2</v>
      </c>
      <c r="M622" s="2" t="str" cm="1">
        <f t="array" ref="M622">_xlfn.IFS(L622=0,"Out of Stock",L622&gt;=2,"Limited Stock",L622&lt;2,"In Stock")</f>
        <v>Limited Stock</v>
      </c>
    </row>
    <row r="623" spans="2:13">
      <c r="B623" s="2" t="s">
        <v>1188</v>
      </c>
      <c r="C623" s="5" t="str">
        <f>_xlfn.XLOOKUP(B623,Master[Product_Code],Master[Category])</f>
        <v>Pants</v>
      </c>
      <c r="D623" s="2" t="str">
        <f>_xlfn.XLOOKUP(B623,Master[Product_Code],Master[Brand])</f>
        <v>Raymond</v>
      </c>
      <c r="E623" s="2" t="str">
        <f>_xlfn.XLOOKUP(B623,Master[Product_Code],Master[Style])</f>
        <v>Kurka</v>
      </c>
      <c r="F623" s="2" t="str">
        <f>_xlfn.XLOOKUP(B623,Master[Product_Code],Master[Fabric])</f>
        <v>Lycra</v>
      </c>
      <c r="G623" s="2">
        <f>_xlfn.XLOOKUP(B623,Master[Product_Code],Master[Size])</f>
        <v>36</v>
      </c>
      <c r="H623" s="2" t="str">
        <f>_xlfn.XLOOKUP(B623,Master[Product_Code],Master[Color])</f>
        <v>Light Grey</v>
      </c>
      <c r="I623" s="4">
        <f>_xlfn.XLOOKUP(B623,Master[Product_Code],Master[Stock_Qty])</f>
        <v>5</v>
      </c>
      <c r="J623" s="6">
        <f>SUMIFS(
  Sales_Entry[Qty],
  Sales_Entry[Product_Code], Stock_Table[[#This Row],[Product_Code]]
)</f>
        <v>0</v>
      </c>
      <c r="K623" s="4">
        <f>SUMIFS(
  Exchange_Return[Qty],
  Exchange_Return[Product_Code], Stock_Table[[#This Row],[Product_Code]]
)</f>
        <v>0</v>
      </c>
      <c r="L623" s="4">
        <f>I623-J623+K623</f>
        <v>5</v>
      </c>
      <c r="M623" s="2" t="str" cm="1">
        <f t="array" ref="M623">_xlfn.IFS(L623=0,"Out of Stock",L623&gt;=2,"Limited Stock",L623&lt;2,"In Stock")</f>
        <v>Limited Stock</v>
      </c>
    </row>
    <row r="624" spans="2:13">
      <c r="B624" s="2" t="s">
        <v>1189</v>
      </c>
      <c r="C624" s="5" t="str">
        <f>_xlfn.XLOOKUP(B624,Master[Product_Code],Master[Category])</f>
        <v>Pants</v>
      </c>
      <c r="D624" s="2" t="str">
        <f>_xlfn.XLOOKUP(B624,Master[Product_Code],Master[Brand])</f>
        <v>Peter England</v>
      </c>
      <c r="E624" s="2" t="str">
        <f>_xlfn.XLOOKUP(B624,Master[Product_Code],Master[Style])</f>
        <v>Jogger</v>
      </c>
      <c r="F624" s="2" t="str">
        <f>_xlfn.XLOOKUP(B624,Master[Product_Code],Master[Fabric])</f>
        <v>Cotton Blend</v>
      </c>
      <c r="G624" s="2">
        <f>_xlfn.XLOOKUP(B624,Master[Product_Code],Master[Size])</f>
        <v>34</v>
      </c>
      <c r="H624" s="2" t="str">
        <f>_xlfn.XLOOKUP(B624,Master[Product_Code],Master[Color])</f>
        <v>Wine</v>
      </c>
      <c r="I624" s="4">
        <f>_xlfn.XLOOKUP(B624,Master[Product_Code],Master[Stock_Qty])</f>
        <v>3</v>
      </c>
      <c r="J624" s="6">
        <f>SUMIFS(
  Sales_Entry[Qty],
  Sales_Entry[Product_Code], Stock_Table[[#This Row],[Product_Code]]
)</f>
        <v>3</v>
      </c>
      <c r="K624" s="4">
        <f>SUMIFS(
  Exchange_Return[Qty],
  Exchange_Return[Product_Code], Stock_Table[[#This Row],[Product_Code]]
)</f>
        <v>0</v>
      </c>
      <c r="L624" s="4">
        <f>I624-J624+K624</f>
        <v>0</v>
      </c>
      <c r="M624" s="2" t="str" cm="1">
        <f t="array" ref="M624">_xlfn.IFS(L624=0,"Out of Stock",L624&gt;=2,"Limited Stock",L624&lt;2,"In Stock")</f>
        <v>Out of Stock</v>
      </c>
    </row>
    <row r="625" spans="2:13">
      <c r="B625" s="2" t="s">
        <v>1190</v>
      </c>
      <c r="C625" s="5" t="str">
        <f>_xlfn.XLOOKUP(B625,Master[Product_Code],Master[Category])</f>
        <v>Pants</v>
      </c>
      <c r="D625" s="2" t="str">
        <f>_xlfn.XLOOKUP(B625,Master[Product_Code],Master[Brand])</f>
        <v>Park Avenue</v>
      </c>
      <c r="E625" s="2" t="str">
        <f>_xlfn.XLOOKUP(B625,Master[Product_Code],Master[Style])</f>
        <v>Polofit</v>
      </c>
      <c r="F625" s="2" t="str">
        <f>_xlfn.XLOOKUP(B625,Master[Product_Code],Master[Fabric])</f>
        <v>Lycra</v>
      </c>
      <c r="G625" s="2">
        <f>_xlfn.XLOOKUP(B625,Master[Product_Code],Master[Size])</f>
        <v>34</v>
      </c>
      <c r="H625" s="2" t="str">
        <f>_xlfn.XLOOKUP(B625,Master[Product_Code],Master[Color])</f>
        <v>Grey</v>
      </c>
      <c r="I625" s="4">
        <f>_xlfn.XLOOKUP(B625,Master[Product_Code],Master[Stock_Qty])</f>
        <v>5</v>
      </c>
      <c r="J625" s="6">
        <f>SUMIFS(
  Sales_Entry[Qty],
  Sales_Entry[Product_Code], Stock_Table[[#This Row],[Product_Code]]
)</f>
        <v>0</v>
      </c>
      <c r="K625" s="4">
        <f>SUMIFS(
  Exchange_Return[Qty],
  Exchange_Return[Product_Code], Stock_Table[[#This Row],[Product_Code]]
)</f>
        <v>0</v>
      </c>
      <c r="L625" s="4">
        <f>I625-J625+K625</f>
        <v>5</v>
      </c>
      <c r="M625" s="2" t="str" cm="1">
        <f t="array" ref="M625">_xlfn.IFS(L625=0,"Out of Stock",L625&gt;=2,"Limited Stock",L625&lt;2,"In Stock")</f>
        <v>Limited Stock</v>
      </c>
    </row>
    <row r="626" spans="2:13">
      <c r="B626" s="2" t="s">
        <v>1191</v>
      </c>
      <c r="C626" s="5" t="str">
        <f>_xlfn.XLOOKUP(B626,Master[Product_Code],Master[Category])</f>
        <v>Pants</v>
      </c>
      <c r="D626" s="2" t="str">
        <f>_xlfn.XLOOKUP(B626,Master[Product_Code],Master[Brand])</f>
        <v>Park Avenue</v>
      </c>
      <c r="E626" s="2" t="str">
        <f>_xlfn.XLOOKUP(B626,Master[Product_Code],Master[Style])</f>
        <v>Polofit</v>
      </c>
      <c r="F626" s="2" t="str">
        <f>_xlfn.XLOOKUP(B626,Master[Product_Code],Master[Fabric])</f>
        <v>Lycra</v>
      </c>
      <c r="G626" s="2">
        <f>_xlfn.XLOOKUP(B626,Master[Product_Code],Master[Size])</f>
        <v>30</v>
      </c>
      <c r="H626" s="2" t="str">
        <f>_xlfn.XLOOKUP(B626,Master[Product_Code],Master[Color])</f>
        <v>Grey</v>
      </c>
      <c r="I626" s="4">
        <f>_xlfn.XLOOKUP(B626,Master[Product_Code],Master[Stock_Qty])</f>
        <v>6</v>
      </c>
      <c r="J626" s="6">
        <f>SUMIFS(
  Sales_Entry[Qty],
  Sales_Entry[Product_Code], Stock_Table[[#This Row],[Product_Code]]
)</f>
        <v>4</v>
      </c>
      <c r="K626" s="4">
        <f>SUMIFS(
  Exchange_Return[Qty],
  Exchange_Return[Product_Code], Stock_Table[[#This Row],[Product_Code]]
)</f>
        <v>0</v>
      </c>
      <c r="L626" s="4">
        <f>I626-J626+K626</f>
        <v>2</v>
      </c>
      <c r="M626" s="2" t="str" cm="1">
        <f t="array" ref="M626">_xlfn.IFS(L626=0,"Out of Stock",L626&gt;=2,"Limited Stock",L626&lt;2,"In Stock")</f>
        <v>Limited Stock</v>
      </c>
    </row>
    <row r="627" spans="2:13">
      <c r="B627" s="2" t="s">
        <v>1192</v>
      </c>
      <c r="C627" s="5" t="str">
        <f>_xlfn.XLOOKUP(B627,Master[Product_Code],Master[Category])</f>
        <v>Pants</v>
      </c>
      <c r="D627" s="2" t="str">
        <f>_xlfn.XLOOKUP(B627,Master[Product_Code],Master[Brand])</f>
        <v>Park Avenue</v>
      </c>
      <c r="E627" s="2" t="str">
        <f>_xlfn.XLOOKUP(B627,Master[Product_Code],Master[Style])</f>
        <v>Kurka</v>
      </c>
      <c r="F627" s="2" t="str">
        <f>_xlfn.XLOOKUP(B627,Master[Product_Code],Master[Fabric])</f>
        <v>Lycra</v>
      </c>
      <c r="G627" s="2">
        <f>_xlfn.XLOOKUP(B627,Master[Product_Code],Master[Size])</f>
        <v>30</v>
      </c>
      <c r="H627" s="2" t="str">
        <f>_xlfn.XLOOKUP(B627,Master[Product_Code],Master[Color])</f>
        <v>Olive</v>
      </c>
      <c r="I627" s="4">
        <f>_xlfn.XLOOKUP(B627,Master[Product_Code],Master[Stock_Qty])</f>
        <v>5</v>
      </c>
      <c r="J627" s="6">
        <f>SUMIFS(
  Sales_Entry[Qty],
  Sales_Entry[Product_Code], Stock_Table[[#This Row],[Product_Code]]
)</f>
        <v>2</v>
      </c>
      <c r="K627" s="4">
        <f>SUMIFS(
  Exchange_Return[Qty],
  Exchange_Return[Product_Code], Stock_Table[[#This Row],[Product_Code]]
)</f>
        <v>0</v>
      </c>
      <c r="L627" s="4">
        <f>I627-J627+K627</f>
        <v>3</v>
      </c>
      <c r="M627" s="2" t="str" cm="1">
        <f t="array" ref="M627">_xlfn.IFS(L627=0,"Out of Stock",L627&gt;=2,"Limited Stock",L627&lt;2,"In Stock")</f>
        <v>Limited Stock</v>
      </c>
    </row>
    <row r="628" spans="2:13">
      <c r="B628" s="2" t="s">
        <v>1193</v>
      </c>
      <c r="C628" s="5" t="str">
        <f>_xlfn.XLOOKUP(B628,Master[Product_Code],Master[Category])</f>
        <v>Pants</v>
      </c>
      <c r="D628" s="2" t="str">
        <f>_xlfn.XLOOKUP(B628,Master[Product_Code],Master[Brand])</f>
        <v>Louis Philippe</v>
      </c>
      <c r="E628" s="2" t="str">
        <f>_xlfn.XLOOKUP(B628,Master[Product_Code],Master[Style])</f>
        <v>Kurka</v>
      </c>
      <c r="F628" s="2" t="str">
        <f>_xlfn.XLOOKUP(B628,Master[Product_Code],Master[Fabric])</f>
        <v>Lycra</v>
      </c>
      <c r="G628" s="2">
        <f>_xlfn.XLOOKUP(B628,Master[Product_Code],Master[Size])</f>
        <v>34</v>
      </c>
      <c r="H628" s="2" t="str">
        <f>_xlfn.XLOOKUP(B628,Master[Product_Code],Master[Color])</f>
        <v>Bottle Green</v>
      </c>
      <c r="I628" s="4">
        <f>_xlfn.XLOOKUP(B628,Master[Product_Code],Master[Stock_Qty])</f>
        <v>3</v>
      </c>
      <c r="J628" s="6">
        <f>SUMIFS(
  Sales_Entry[Qty],
  Sales_Entry[Product_Code], Stock_Table[[#This Row],[Product_Code]]
)</f>
        <v>2</v>
      </c>
      <c r="K628" s="4">
        <f>SUMIFS(
  Exchange_Return[Qty],
  Exchange_Return[Product_Code], Stock_Table[[#This Row],[Product_Code]]
)</f>
        <v>0</v>
      </c>
      <c r="L628" s="4">
        <f>I628-J628+K628</f>
        <v>1</v>
      </c>
      <c r="M628" s="2" t="str" cm="1">
        <f t="array" ref="M628">_xlfn.IFS(L628=0,"Out of Stock",L628&gt;=2,"Limited Stock",L628&lt;2,"In Stock")</f>
        <v>In Stock</v>
      </c>
    </row>
    <row r="629" spans="2:13">
      <c r="B629" s="2" t="s">
        <v>1194</v>
      </c>
      <c r="C629" s="5" t="str">
        <f>_xlfn.XLOOKUP(B629,Master[Product_Code],Master[Category])</f>
        <v>Pants</v>
      </c>
      <c r="D629" s="2" t="str">
        <f>_xlfn.XLOOKUP(B629,Master[Product_Code],Master[Brand])</f>
        <v>Raymond</v>
      </c>
      <c r="E629" s="2" t="str">
        <f>_xlfn.XLOOKUP(B629,Master[Product_Code],Master[Style])</f>
        <v>Boot Cut</v>
      </c>
      <c r="F629" s="2" t="str">
        <f>_xlfn.XLOOKUP(B629,Master[Product_Code],Master[Fabric])</f>
        <v>Cotton</v>
      </c>
      <c r="G629" s="2">
        <f>_xlfn.XLOOKUP(B629,Master[Product_Code],Master[Size])</f>
        <v>44</v>
      </c>
      <c r="H629" s="2" t="str">
        <f>_xlfn.XLOOKUP(B629,Master[Product_Code],Master[Color])</f>
        <v>Maroon</v>
      </c>
      <c r="I629" s="4">
        <f>_xlfn.XLOOKUP(B629,Master[Product_Code],Master[Stock_Qty])</f>
        <v>6</v>
      </c>
      <c r="J629" s="6">
        <f>SUMIFS(
  Sales_Entry[Qty],
  Sales_Entry[Product_Code], Stock_Table[[#This Row],[Product_Code]]
)</f>
        <v>0</v>
      </c>
      <c r="K629" s="4">
        <f>SUMIFS(
  Exchange_Return[Qty],
  Exchange_Return[Product_Code], Stock_Table[[#This Row],[Product_Code]]
)</f>
        <v>0</v>
      </c>
      <c r="L629" s="4">
        <f>I629-J629+K629</f>
        <v>6</v>
      </c>
      <c r="M629" s="2" t="str" cm="1">
        <f t="array" ref="M629">_xlfn.IFS(L629=0,"Out of Stock",L629&gt;=2,"Limited Stock",L629&lt;2,"In Stock")</f>
        <v>Limited Stock</v>
      </c>
    </row>
    <row r="630" spans="2:13">
      <c r="B630" s="2" t="s">
        <v>1195</v>
      </c>
      <c r="C630" s="5" t="str">
        <f>_xlfn.XLOOKUP(B630,Master[Product_Code],Master[Category])</f>
        <v>Pants</v>
      </c>
      <c r="D630" s="2" t="str">
        <f>_xlfn.XLOOKUP(B630,Master[Product_Code],Master[Brand])</f>
        <v>Van Heusen</v>
      </c>
      <c r="E630" s="2" t="str">
        <f>_xlfn.XLOOKUP(B630,Master[Product_Code],Master[Style])</f>
        <v>Jogger</v>
      </c>
      <c r="F630" s="2" t="str">
        <f>_xlfn.XLOOKUP(B630,Master[Product_Code],Master[Fabric])</f>
        <v>Cotton Blend</v>
      </c>
      <c r="G630" s="2">
        <f>_xlfn.XLOOKUP(B630,Master[Product_Code],Master[Size])</f>
        <v>28</v>
      </c>
      <c r="H630" s="2" t="str">
        <f>_xlfn.XLOOKUP(B630,Master[Product_Code],Master[Color])</f>
        <v>Navy Blue</v>
      </c>
      <c r="I630" s="4">
        <f>_xlfn.XLOOKUP(B630,Master[Product_Code],Master[Stock_Qty])</f>
        <v>5</v>
      </c>
      <c r="J630" s="6">
        <f>SUMIFS(
  Sales_Entry[Qty],
  Sales_Entry[Product_Code], Stock_Table[[#This Row],[Product_Code]]
)</f>
        <v>2</v>
      </c>
      <c r="K630" s="4">
        <f>SUMIFS(
  Exchange_Return[Qty],
  Exchange_Return[Product_Code], Stock_Table[[#This Row],[Product_Code]]
)</f>
        <v>0</v>
      </c>
      <c r="L630" s="4">
        <f>I630-J630+K630</f>
        <v>3</v>
      </c>
      <c r="M630" s="2" t="str" cm="1">
        <f t="array" ref="M630">_xlfn.IFS(L630=0,"Out of Stock",L630&gt;=2,"Limited Stock",L630&lt;2,"In Stock")</f>
        <v>Limited Stock</v>
      </c>
    </row>
    <row r="631" spans="2:13">
      <c r="B631" s="2" t="s">
        <v>1196</v>
      </c>
      <c r="C631" s="5" t="str">
        <f>_xlfn.XLOOKUP(B631,Master[Product_Code],Master[Category])</f>
        <v>Pants</v>
      </c>
      <c r="D631" s="2" t="str">
        <f>_xlfn.XLOOKUP(B631,Master[Product_Code],Master[Brand])</f>
        <v>Raymond</v>
      </c>
      <c r="E631" s="2" t="str">
        <f>_xlfn.XLOOKUP(B631,Master[Product_Code],Master[Style])</f>
        <v>Boot Cut</v>
      </c>
      <c r="F631" s="2" t="str">
        <f>_xlfn.XLOOKUP(B631,Master[Product_Code],Master[Fabric])</f>
        <v>Poly Viscose</v>
      </c>
      <c r="G631" s="2">
        <f>_xlfn.XLOOKUP(B631,Master[Product_Code],Master[Size])</f>
        <v>42</v>
      </c>
      <c r="H631" s="2" t="str">
        <f>_xlfn.XLOOKUP(B631,Master[Product_Code],Master[Color])</f>
        <v>Royal Blue</v>
      </c>
      <c r="I631" s="4">
        <f>_xlfn.XLOOKUP(B631,Master[Product_Code],Master[Stock_Qty])</f>
        <v>5</v>
      </c>
      <c r="J631" s="6">
        <f>SUMIFS(
  Sales_Entry[Qty],
  Sales_Entry[Product_Code], Stock_Table[[#This Row],[Product_Code]]
)</f>
        <v>0</v>
      </c>
      <c r="K631" s="4">
        <f>SUMIFS(
  Exchange_Return[Qty],
  Exchange_Return[Product_Code], Stock_Table[[#This Row],[Product_Code]]
)</f>
        <v>0</v>
      </c>
      <c r="L631" s="4">
        <f>I631-J631+K631</f>
        <v>5</v>
      </c>
      <c r="M631" s="2" t="str" cm="1">
        <f t="array" ref="M631">_xlfn.IFS(L631=0,"Out of Stock",L631&gt;=2,"Limited Stock",L631&lt;2,"In Stock")</f>
        <v>Limited Stock</v>
      </c>
    </row>
    <row r="632" spans="2:13">
      <c r="B632" s="2" t="s">
        <v>1197</v>
      </c>
      <c r="C632" s="5" t="str">
        <f>_xlfn.XLOOKUP(B632,Master[Product_Code],Master[Category])</f>
        <v>Pants</v>
      </c>
      <c r="D632" s="2" t="str">
        <f>_xlfn.XLOOKUP(B632,Master[Product_Code],Master[Brand])</f>
        <v>Louis Philippe</v>
      </c>
      <c r="E632" s="2" t="str">
        <f>_xlfn.XLOOKUP(B632,Master[Product_Code],Master[Style])</f>
        <v>Kurka</v>
      </c>
      <c r="F632" s="2" t="str">
        <f>_xlfn.XLOOKUP(B632,Master[Product_Code],Master[Fabric])</f>
        <v>Lycra</v>
      </c>
      <c r="G632" s="2">
        <f>_xlfn.XLOOKUP(B632,Master[Product_Code],Master[Size])</f>
        <v>40</v>
      </c>
      <c r="H632" s="2" t="str">
        <f>_xlfn.XLOOKUP(B632,Master[Product_Code],Master[Color])</f>
        <v>Brown</v>
      </c>
      <c r="I632" s="4">
        <f>_xlfn.XLOOKUP(B632,Master[Product_Code],Master[Stock_Qty])</f>
        <v>6</v>
      </c>
      <c r="J632" s="6">
        <f>SUMIFS(
  Sales_Entry[Qty],
  Sales_Entry[Product_Code], Stock_Table[[#This Row],[Product_Code]]
)</f>
        <v>5</v>
      </c>
      <c r="K632" s="4">
        <f>SUMIFS(
  Exchange_Return[Qty],
  Exchange_Return[Product_Code], Stock_Table[[#This Row],[Product_Code]]
)</f>
        <v>1</v>
      </c>
      <c r="L632" s="4">
        <f>I632-J632+K632</f>
        <v>2</v>
      </c>
      <c r="M632" s="2" t="str" cm="1">
        <f t="array" ref="M632">_xlfn.IFS(L632=0,"Out of Stock",L632&gt;=2,"Limited Stock",L632&lt;2,"In Stock")</f>
        <v>Limited Stock</v>
      </c>
    </row>
    <row r="633" spans="2:13">
      <c r="B633" s="2" t="s">
        <v>1198</v>
      </c>
      <c r="C633" s="5" t="str">
        <f>_xlfn.XLOOKUP(B633,Master[Product_Code],Master[Category])</f>
        <v>Pants</v>
      </c>
      <c r="D633" s="2" t="str">
        <f>_xlfn.XLOOKUP(B633,Master[Product_Code],Master[Brand])</f>
        <v>Raymond</v>
      </c>
      <c r="E633" s="2" t="str">
        <f>_xlfn.XLOOKUP(B633,Master[Product_Code],Master[Style])</f>
        <v>Boot Cut</v>
      </c>
      <c r="F633" s="2" t="str">
        <f>_xlfn.XLOOKUP(B633,Master[Product_Code],Master[Fabric])</f>
        <v>Cotton Blend</v>
      </c>
      <c r="G633" s="2">
        <f>_xlfn.XLOOKUP(B633,Master[Product_Code],Master[Size])</f>
        <v>38</v>
      </c>
      <c r="H633" s="2" t="str">
        <f>_xlfn.XLOOKUP(B633,Master[Product_Code],Master[Color])</f>
        <v>Olive</v>
      </c>
      <c r="I633" s="4">
        <f>_xlfn.XLOOKUP(B633,Master[Product_Code],Master[Stock_Qty])</f>
        <v>3</v>
      </c>
      <c r="J633" s="6">
        <f>SUMIFS(
  Sales_Entry[Qty],
  Sales_Entry[Product_Code], Stock_Table[[#This Row],[Product_Code]]
)</f>
        <v>0</v>
      </c>
      <c r="K633" s="4">
        <f>SUMIFS(
  Exchange_Return[Qty],
  Exchange_Return[Product_Code], Stock_Table[[#This Row],[Product_Code]]
)</f>
        <v>0</v>
      </c>
      <c r="L633" s="4">
        <f>I633-J633+K633</f>
        <v>3</v>
      </c>
      <c r="M633" s="2" t="str" cm="1">
        <f t="array" ref="M633">_xlfn.IFS(L633=0,"Out of Stock",L633&gt;=2,"Limited Stock",L633&lt;2,"In Stock")</f>
        <v>Limited Stock</v>
      </c>
    </row>
    <row r="634" spans="2:13">
      <c r="B634" s="2" t="s">
        <v>1199</v>
      </c>
      <c r="C634" s="5" t="str">
        <f>_xlfn.XLOOKUP(B634,Master[Product_Code],Master[Category])</f>
        <v>Pants</v>
      </c>
      <c r="D634" s="2" t="str">
        <f>_xlfn.XLOOKUP(B634,Master[Product_Code],Master[Brand])</f>
        <v>Louis Philippe</v>
      </c>
      <c r="E634" s="2" t="str">
        <f>_xlfn.XLOOKUP(B634,Master[Product_Code],Master[Style])</f>
        <v>Polofit</v>
      </c>
      <c r="F634" s="2" t="str">
        <f>_xlfn.XLOOKUP(B634,Master[Product_Code],Master[Fabric])</f>
        <v>Lycra</v>
      </c>
      <c r="G634" s="2">
        <f>_xlfn.XLOOKUP(B634,Master[Product_Code],Master[Size])</f>
        <v>42</v>
      </c>
      <c r="H634" s="2" t="str">
        <f>_xlfn.XLOOKUP(B634,Master[Product_Code],Master[Color])</f>
        <v>Wine</v>
      </c>
      <c r="I634" s="4">
        <f>_xlfn.XLOOKUP(B634,Master[Product_Code],Master[Stock_Qty])</f>
        <v>3</v>
      </c>
      <c r="J634" s="6">
        <f>SUMIFS(
  Sales_Entry[Qty],
  Sales_Entry[Product_Code], Stock_Table[[#This Row],[Product_Code]]
)</f>
        <v>2</v>
      </c>
      <c r="K634" s="4">
        <f>SUMIFS(
  Exchange_Return[Qty],
  Exchange_Return[Product_Code], Stock_Table[[#This Row],[Product_Code]]
)</f>
        <v>0</v>
      </c>
      <c r="L634" s="4">
        <f>I634-J634+K634</f>
        <v>1</v>
      </c>
      <c r="M634" s="2" t="str" cm="1">
        <f t="array" ref="M634">_xlfn.IFS(L634=0,"Out of Stock",L634&gt;=2,"Limited Stock",L634&lt;2,"In Stock")</f>
        <v>In Stock</v>
      </c>
    </row>
    <row r="635" spans="2:13">
      <c r="B635" s="2" t="s">
        <v>1200</v>
      </c>
      <c r="C635" s="5" t="str">
        <f>_xlfn.XLOOKUP(B635,Master[Product_Code],Master[Category])</f>
        <v>Pants</v>
      </c>
      <c r="D635" s="2" t="str">
        <f>_xlfn.XLOOKUP(B635,Master[Product_Code],Master[Brand])</f>
        <v>Peter England</v>
      </c>
      <c r="E635" s="2" t="str">
        <f>_xlfn.XLOOKUP(B635,Master[Product_Code],Master[Style])</f>
        <v>Boot Cut</v>
      </c>
      <c r="F635" s="2" t="str">
        <f>_xlfn.XLOOKUP(B635,Master[Product_Code],Master[Fabric])</f>
        <v>Poly Viscose</v>
      </c>
      <c r="G635" s="2">
        <f>_xlfn.XLOOKUP(B635,Master[Product_Code],Master[Size])</f>
        <v>30</v>
      </c>
      <c r="H635" s="2" t="str">
        <f>_xlfn.XLOOKUP(B635,Master[Product_Code],Master[Color])</f>
        <v>Olive</v>
      </c>
      <c r="I635" s="4">
        <f>_xlfn.XLOOKUP(B635,Master[Product_Code],Master[Stock_Qty])</f>
        <v>3</v>
      </c>
      <c r="J635" s="6">
        <f>SUMIFS(
  Sales_Entry[Qty],
  Sales_Entry[Product_Code], Stock_Table[[#This Row],[Product_Code]]
)</f>
        <v>1</v>
      </c>
      <c r="K635" s="4">
        <f>SUMIFS(
  Exchange_Return[Qty],
  Exchange_Return[Product_Code], Stock_Table[[#This Row],[Product_Code]]
)</f>
        <v>0</v>
      </c>
      <c r="L635" s="4">
        <f>I635-J635+K635</f>
        <v>2</v>
      </c>
      <c r="M635" s="2" t="str" cm="1">
        <f t="array" ref="M635">_xlfn.IFS(L635=0,"Out of Stock",L635&gt;=2,"Limited Stock",L635&lt;2,"In Stock")</f>
        <v>Limited Stock</v>
      </c>
    </row>
    <row r="636" spans="2:13">
      <c r="B636" s="2" t="s">
        <v>1201</v>
      </c>
      <c r="C636" s="5" t="str">
        <f>_xlfn.XLOOKUP(B636,Master[Product_Code],Master[Category])</f>
        <v>Pants</v>
      </c>
      <c r="D636" s="2" t="str">
        <f>_xlfn.XLOOKUP(B636,Master[Product_Code],Master[Brand])</f>
        <v>Peter England</v>
      </c>
      <c r="E636" s="2" t="str">
        <f>_xlfn.XLOOKUP(B636,Master[Product_Code],Master[Style])</f>
        <v>Korean</v>
      </c>
      <c r="F636" s="2" t="str">
        <f>_xlfn.XLOOKUP(B636,Master[Product_Code],Master[Fabric])</f>
        <v>Lycra</v>
      </c>
      <c r="G636" s="2">
        <f>_xlfn.XLOOKUP(B636,Master[Product_Code],Master[Size])</f>
        <v>40</v>
      </c>
      <c r="H636" s="2" t="str">
        <f>_xlfn.XLOOKUP(B636,Master[Product_Code],Master[Color])</f>
        <v>Sky Blue</v>
      </c>
      <c r="I636" s="4">
        <f>_xlfn.XLOOKUP(B636,Master[Product_Code],Master[Stock_Qty])</f>
        <v>4</v>
      </c>
      <c r="J636" s="6">
        <f>SUMIFS(
  Sales_Entry[Qty],
  Sales_Entry[Product_Code], Stock_Table[[#This Row],[Product_Code]]
)</f>
        <v>4</v>
      </c>
      <c r="K636" s="4">
        <f>SUMIFS(
  Exchange_Return[Qty],
  Exchange_Return[Product_Code], Stock_Table[[#This Row],[Product_Code]]
)</f>
        <v>0</v>
      </c>
      <c r="L636" s="4">
        <f>I636-J636+K636</f>
        <v>0</v>
      </c>
      <c r="M636" s="2" t="str" cm="1">
        <f t="array" ref="M636">_xlfn.IFS(L636=0,"Out of Stock",L636&gt;=2,"Limited Stock",L636&lt;2,"In Stock")</f>
        <v>Out of Stock</v>
      </c>
    </row>
    <row r="637" spans="2:13">
      <c r="B637" s="2" t="s">
        <v>1202</v>
      </c>
      <c r="C637" s="5" t="str">
        <f>_xlfn.XLOOKUP(B637,Master[Product_Code],Master[Category])</f>
        <v>Pants</v>
      </c>
      <c r="D637" s="2" t="str">
        <f>_xlfn.XLOOKUP(B637,Master[Product_Code],Master[Brand])</f>
        <v>Louis Philippe</v>
      </c>
      <c r="E637" s="2" t="str">
        <f>_xlfn.XLOOKUP(B637,Master[Product_Code],Master[Style])</f>
        <v>Korean</v>
      </c>
      <c r="F637" s="2" t="str">
        <f>_xlfn.XLOOKUP(B637,Master[Product_Code],Master[Fabric])</f>
        <v>Lycra</v>
      </c>
      <c r="G637" s="2">
        <f>_xlfn.XLOOKUP(B637,Master[Product_Code],Master[Size])</f>
        <v>36</v>
      </c>
      <c r="H637" s="2" t="str">
        <f>_xlfn.XLOOKUP(B637,Master[Product_Code],Master[Color])</f>
        <v>Rust</v>
      </c>
      <c r="I637" s="4">
        <f>_xlfn.XLOOKUP(B637,Master[Product_Code],Master[Stock_Qty])</f>
        <v>5</v>
      </c>
      <c r="J637" s="6">
        <f>SUMIFS(
  Sales_Entry[Qty],
  Sales_Entry[Product_Code], Stock_Table[[#This Row],[Product_Code]]
)</f>
        <v>2</v>
      </c>
      <c r="K637" s="4">
        <f>SUMIFS(
  Exchange_Return[Qty],
  Exchange_Return[Product_Code], Stock_Table[[#This Row],[Product_Code]]
)</f>
        <v>0</v>
      </c>
      <c r="L637" s="4">
        <f>I637-J637+K637</f>
        <v>3</v>
      </c>
      <c r="M637" s="2" t="str" cm="1">
        <f t="array" ref="M637">_xlfn.IFS(L637=0,"Out of Stock",L637&gt;=2,"Limited Stock",L637&lt;2,"In Stock")</f>
        <v>Limited Stock</v>
      </c>
    </row>
    <row r="638" spans="2:13">
      <c r="B638" s="2" t="s">
        <v>1203</v>
      </c>
      <c r="C638" s="5" t="str">
        <f>_xlfn.XLOOKUP(B638,Master[Product_Code],Master[Category])</f>
        <v>Pants</v>
      </c>
      <c r="D638" s="2" t="str">
        <f>_xlfn.XLOOKUP(B638,Master[Product_Code],Master[Brand])</f>
        <v>Park Avenue</v>
      </c>
      <c r="E638" s="2" t="str">
        <f>_xlfn.XLOOKUP(B638,Master[Product_Code],Master[Style])</f>
        <v>Boot Cut</v>
      </c>
      <c r="F638" s="2" t="str">
        <f>_xlfn.XLOOKUP(B638,Master[Product_Code],Master[Fabric])</f>
        <v>Poly Viscose</v>
      </c>
      <c r="G638" s="2">
        <f>_xlfn.XLOOKUP(B638,Master[Product_Code],Master[Size])</f>
        <v>44</v>
      </c>
      <c r="H638" s="2" t="str">
        <f>_xlfn.XLOOKUP(B638,Master[Product_Code],Master[Color])</f>
        <v>Beige</v>
      </c>
      <c r="I638" s="4">
        <f>_xlfn.XLOOKUP(B638,Master[Product_Code],Master[Stock_Qty])</f>
        <v>4</v>
      </c>
      <c r="J638" s="6">
        <f>SUMIFS(
  Sales_Entry[Qty],
  Sales_Entry[Product_Code], Stock_Table[[#This Row],[Product_Code]]
)</f>
        <v>2</v>
      </c>
      <c r="K638" s="4">
        <f>SUMIFS(
  Exchange_Return[Qty],
  Exchange_Return[Product_Code], Stock_Table[[#This Row],[Product_Code]]
)</f>
        <v>0</v>
      </c>
      <c r="L638" s="4">
        <f>I638-J638+K638</f>
        <v>2</v>
      </c>
      <c r="M638" s="2" t="str" cm="1">
        <f t="array" ref="M638">_xlfn.IFS(L638=0,"Out of Stock",L638&gt;=2,"Limited Stock",L638&lt;2,"In Stock")</f>
        <v>Limited Stock</v>
      </c>
    </row>
    <row r="639" spans="2:13">
      <c r="B639" s="2" t="s">
        <v>1204</v>
      </c>
      <c r="C639" s="5" t="str">
        <f>_xlfn.XLOOKUP(B639,Master[Product_Code],Master[Category])</f>
        <v>Pants</v>
      </c>
      <c r="D639" s="2" t="str">
        <f>_xlfn.XLOOKUP(B639,Master[Product_Code],Master[Brand])</f>
        <v>Raymond</v>
      </c>
      <c r="E639" s="2" t="str">
        <f>_xlfn.XLOOKUP(B639,Master[Product_Code],Master[Style])</f>
        <v>Polofit</v>
      </c>
      <c r="F639" s="2" t="str">
        <f>_xlfn.XLOOKUP(B639,Master[Product_Code],Master[Fabric])</f>
        <v>Lycra</v>
      </c>
      <c r="G639" s="2">
        <f>_xlfn.XLOOKUP(B639,Master[Product_Code],Master[Size])</f>
        <v>42</v>
      </c>
      <c r="H639" s="2" t="str">
        <f>_xlfn.XLOOKUP(B639,Master[Product_Code],Master[Color])</f>
        <v>Peach</v>
      </c>
      <c r="I639" s="4">
        <f>_xlfn.XLOOKUP(B639,Master[Product_Code],Master[Stock_Qty])</f>
        <v>4</v>
      </c>
      <c r="J639" s="6">
        <f>SUMIFS(
  Sales_Entry[Qty],
  Sales_Entry[Product_Code], Stock_Table[[#This Row],[Product_Code]]
)</f>
        <v>3</v>
      </c>
      <c r="K639" s="4">
        <f>SUMIFS(
  Exchange_Return[Qty],
  Exchange_Return[Product_Code], Stock_Table[[#This Row],[Product_Code]]
)</f>
        <v>0</v>
      </c>
      <c r="L639" s="4">
        <f>I639-J639+K639</f>
        <v>1</v>
      </c>
      <c r="M639" s="2" t="str" cm="1">
        <f t="array" ref="M639">_xlfn.IFS(L639=0,"Out of Stock",L639&gt;=2,"Limited Stock",L639&lt;2,"In Stock")</f>
        <v>In Stock</v>
      </c>
    </row>
    <row r="640" spans="2:13">
      <c r="B640" s="2" t="s">
        <v>1205</v>
      </c>
      <c r="C640" s="5" t="str">
        <f>_xlfn.XLOOKUP(B640,Master[Product_Code],Master[Category])</f>
        <v>Pants</v>
      </c>
      <c r="D640" s="2" t="str">
        <f>_xlfn.XLOOKUP(B640,Master[Product_Code],Master[Brand])</f>
        <v>Peter England</v>
      </c>
      <c r="E640" s="2" t="str">
        <f>_xlfn.XLOOKUP(B640,Master[Product_Code],Master[Style])</f>
        <v>Polofit</v>
      </c>
      <c r="F640" s="2" t="str">
        <f>_xlfn.XLOOKUP(B640,Master[Product_Code],Master[Fabric])</f>
        <v>Lycra</v>
      </c>
      <c r="G640" s="2">
        <f>_xlfn.XLOOKUP(B640,Master[Product_Code],Master[Size])</f>
        <v>28</v>
      </c>
      <c r="H640" s="2" t="str">
        <f>_xlfn.XLOOKUP(B640,Master[Product_Code],Master[Color])</f>
        <v>Navy Blue</v>
      </c>
      <c r="I640" s="4">
        <f>_xlfn.XLOOKUP(B640,Master[Product_Code],Master[Stock_Qty])</f>
        <v>6</v>
      </c>
      <c r="J640" s="6">
        <f>SUMIFS(
  Sales_Entry[Qty],
  Sales_Entry[Product_Code], Stock_Table[[#This Row],[Product_Code]]
)</f>
        <v>2</v>
      </c>
      <c r="K640" s="4">
        <f>SUMIFS(
  Exchange_Return[Qty],
  Exchange_Return[Product_Code], Stock_Table[[#This Row],[Product_Code]]
)</f>
        <v>0</v>
      </c>
      <c r="L640" s="4">
        <f>I640-J640+K640</f>
        <v>4</v>
      </c>
      <c r="M640" s="2" t="str" cm="1">
        <f t="array" ref="M640">_xlfn.IFS(L640=0,"Out of Stock",L640&gt;=2,"Limited Stock",L640&lt;2,"In Stock")</f>
        <v>Limited Stock</v>
      </c>
    </row>
    <row r="641" spans="2:13">
      <c r="B641" s="2" t="s">
        <v>1206</v>
      </c>
      <c r="C641" s="5" t="str">
        <f>_xlfn.XLOOKUP(B641,Master[Product_Code],Master[Category])</f>
        <v>Pants</v>
      </c>
      <c r="D641" s="2" t="str">
        <f>_xlfn.XLOOKUP(B641,Master[Product_Code],Master[Brand])</f>
        <v>Raymond</v>
      </c>
      <c r="E641" s="2" t="str">
        <f>_xlfn.XLOOKUP(B641,Master[Product_Code],Master[Style])</f>
        <v>Kurka</v>
      </c>
      <c r="F641" s="2" t="str">
        <f>_xlfn.XLOOKUP(B641,Master[Product_Code],Master[Fabric])</f>
        <v>Lycra</v>
      </c>
      <c r="G641" s="2">
        <f>_xlfn.XLOOKUP(B641,Master[Product_Code],Master[Size])</f>
        <v>38</v>
      </c>
      <c r="H641" s="2" t="str">
        <f>_xlfn.XLOOKUP(B641,Master[Product_Code],Master[Color])</f>
        <v>Maroon</v>
      </c>
      <c r="I641" s="4">
        <f>_xlfn.XLOOKUP(B641,Master[Product_Code],Master[Stock_Qty])</f>
        <v>5</v>
      </c>
      <c r="J641" s="6">
        <f>SUMIFS(
  Sales_Entry[Qty],
  Sales_Entry[Product_Code], Stock_Table[[#This Row],[Product_Code]]
)</f>
        <v>3</v>
      </c>
      <c r="K641" s="4">
        <f>SUMIFS(
  Exchange_Return[Qty],
  Exchange_Return[Product_Code], Stock_Table[[#This Row],[Product_Code]]
)</f>
        <v>0</v>
      </c>
      <c r="L641" s="4">
        <f>I641-J641+K641</f>
        <v>2</v>
      </c>
      <c r="M641" s="2" t="str" cm="1">
        <f t="array" ref="M641">_xlfn.IFS(L641=0,"Out of Stock",L641&gt;=2,"Limited Stock",L641&lt;2,"In Stock")</f>
        <v>Limited Stock</v>
      </c>
    </row>
    <row r="642" spans="2:13">
      <c r="B642" s="2" t="s">
        <v>1207</v>
      </c>
      <c r="C642" s="5" t="str">
        <f>_xlfn.XLOOKUP(B642,Master[Product_Code],Master[Category])</f>
        <v>Pants</v>
      </c>
      <c r="D642" s="2" t="str">
        <f>_xlfn.XLOOKUP(B642,Master[Product_Code],Master[Brand])</f>
        <v>Park Avenue</v>
      </c>
      <c r="E642" s="2" t="str">
        <f>_xlfn.XLOOKUP(B642,Master[Product_Code],Master[Style])</f>
        <v>Polofit</v>
      </c>
      <c r="F642" s="2" t="str">
        <f>_xlfn.XLOOKUP(B642,Master[Product_Code],Master[Fabric])</f>
        <v>Lycra</v>
      </c>
      <c r="G642" s="2">
        <f>_xlfn.XLOOKUP(B642,Master[Product_Code],Master[Size])</f>
        <v>44</v>
      </c>
      <c r="H642" s="2" t="str">
        <f>_xlfn.XLOOKUP(B642,Master[Product_Code],Master[Color])</f>
        <v>Peach</v>
      </c>
      <c r="I642" s="4">
        <f>_xlfn.XLOOKUP(B642,Master[Product_Code],Master[Stock_Qty])</f>
        <v>6</v>
      </c>
      <c r="J642" s="6">
        <f>SUMIFS(
  Sales_Entry[Qty],
  Sales_Entry[Product_Code], Stock_Table[[#This Row],[Product_Code]]
)</f>
        <v>3</v>
      </c>
      <c r="K642" s="4">
        <f>SUMIFS(
  Exchange_Return[Qty],
  Exchange_Return[Product_Code], Stock_Table[[#This Row],[Product_Code]]
)</f>
        <v>0</v>
      </c>
      <c r="L642" s="4">
        <f>I642-J642+K642</f>
        <v>3</v>
      </c>
      <c r="M642" s="2" t="str" cm="1">
        <f t="array" ref="M642">_xlfn.IFS(L642=0,"Out of Stock",L642&gt;=2,"Limited Stock",L642&lt;2,"In Stock")</f>
        <v>Limited Stock</v>
      </c>
    </row>
    <row r="643" spans="2:13">
      <c r="B643" s="2" t="s">
        <v>1208</v>
      </c>
      <c r="C643" s="5" t="str">
        <f>_xlfn.XLOOKUP(B643,Master[Product_Code],Master[Category])</f>
        <v>Pants</v>
      </c>
      <c r="D643" s="2" t="str">
        <f>_xlfn.XLOOKUP(B643,Master[Product_Code],Master[Brand])</f>
        <v>Van Heusen</v>
      </c>
      <c r="E643" s="2" t="str">
        <f>_xlfn.XLOOKUP(B643,Master[Product_Code],Master[Style])</f>
        <v>Boot Cut</v>
      </c>
      <c r="F643" s="2" t="str">
        <f>_xlfn.XLOOKUP(B643,Master[Product_Code],Master[Fabric])</f>
        <v>Poly Viscose</v>
      </c>
      <c r="G643" s="2">
        <f>_xlfn.XLOOKUP(B643,Master[Product_Code],Master[Size])</f>
        <v>44</v>
      </c>
      <c r="H643" s="2" t="str">
        <f>_xlfn.XLOOKUP(B643,Master[Product_Code],Master[Color])</f>
        <v>Beige</v>
      </c>
      <c r="I643" s="4">
        <f>_xlfn.XLOOKUP(B643,Master[Product_Code],Master[Stock_Qty])</f>
        <v>5</v>
      </c>
      <c r="J643" s="6">
        <f>SUMIFS(
  Sales_Entry[Qty],
  Sales_Entry[Product_Code], Stock_Table[[#This Row],[Product_Code]]
)</f>
        <v>0</v>
      </c>
      <c r="K643" s="4">
        <f>SUMIFS(
  Exchange_Return[Qty],
  Exchange_Return[Product_Code], Stock_Table[[#This Row],[Product_Code]]
)</f>
        <v>0</v>
      </c>
      <c r="L643" s="4">
        <f>I643-J643+K643</f>
        <v>5</v>
      </c>
      <c r="M643" s="2" t="str" cm="1">
        <f t="array" ref="M643">_xlfn.IFS(L643=0,"Out of Stock",L643&gt;=2,"Limited Stock",L643&lt;2,"In Stock")</f>
        <v>Limited Stock</v>
      </c>
    </row>
    <row r="644" spans="2:13">
      <c r="B644" s="2" t="s">
        <v>1209</v>
      </c>
      <c r="C644" s="5" t="str">
        <f>_xlfn.XLOOKUP(B644,Master[Product_Code],Master[Category])</f>
        <v>Pants</v>
      </c>
      <c r="D644" s="2" t="str">
        <f>_xlfn.XLOOKUP(B644,Master[Product_Code],Master[Brand])</f>
        <v>Park Avenue</v>
      </c>
      <c r="E644" s="2" t="str">
        <f>_xlfn.XLOOKUP(B644,Master[Product_Code],Master[Style])</f>
        <v>Polofit</v>
      </c>
      <c r="F644" s="2" t="str">
        <f>_xlfn.XLOOKUP(B644,Master[Product_Code],Master[Fabric])</f>
        <v>Lycra</v>
      </c>
      <c r="G644" s="2">
        <f>_xlfn.XLOOKUP(B644,Master[Product_Code],Master[Size])</f>
        <v>40</v>
      </c>
      <c r="H644" s="2" t="str">
        <f>_xlfn.XLOOKUP(B644,Master[Product_Code],Master[Color])</f>
        <v>Sky Blue</v>
      </c>
      <c r="I644" s="4">
        <f>_xlfn.XLOOKUP(B644,Master[Product_Code],Master[Stock_Qty])</f>
        <v>6</v>
      </c>
      <c r="J644" s="6">
        <f>SUMIFS(
  Sales_Entry[Qty],
  Sales_Entry[Product_Code], Stock_Table[[#This Row],[Product_Code]]
)</f>
        <v>0</v>
      </c>
      <c r="K644" s="4">
        <f>SUMIFS(
  Exchange_Return[Qty],
  Exchange_Return[Product_Code], Stock_Table[[#This Row],[Product_Code]]
)</f>
        <v>0</v>
      </c>
      <c r="L644" s="4">
        <f>I644-J644+K644</f>
        <v>6</v>
      </c>
      <c r="M644" s="2" t="str" cm="1">
        <f t="array" ref="M644">_xlfn.IFS(L644=0,"Out of Stock",L644&gt;=2,"Limited Stock",L644&lt;2,"In Stock")</f>
        <v>Limited Stock</v>
      </c>
    </row>
    <row r="645" spans="2:13">
      <c r="B645" s="2" t="s">
        <v>1210</v>
      </c>
      <c r="C645" s="5" t="str">
        <f>_xlfn.XLOOKUP(B645,Master[Product_Code],Master[Category])</f>
        <v>Pants</v>
      </c>
      <c r="D645" s="2" t="str">
        <f>_xlfn.XLOOKUP(B645,Master[Product_Code],Master[Brand])</f>
        <v>Van Heusen</v>
      </c>
      <c r="E645" s="2" t="str">
        <f>_xlfn.XLOOKUP(B645,Master[Product_Code],Master[Style])</f>
        <v>Boot Cut</v>
      </c>
      <c r="F645" s="2" t="str">
        <f>_xlfn.XLOOKUP(B645,Master[Product_Code],Master[Fabric])</f>
        <v>Poly Viscose</v>
      </c>
      <c r="G645" s="2">
        <f>_xlfn.XLOOKUP(B645,Master[Product_Code],Master[Size])</f>
        <v>42</v>
      </c>
      <c r="H645" s="2" t="str">
        <f>_xlfn.XLOOKUP(B645,Master[Product_Code],Master[Color])</f>
        <v>White</v>
      </c>
      <c r="I645" s="4">
        <f>_xlfn.XLOOKUP(B645,Master[Product_Code],Master[Stock_Qty])</f>
        <v>3</v>
      </c>
      <c r="J645" s="6">
        <f>SUMIFS(
  Sales_Entry[Qty],
  Sales_Entry[Product_Code], Stock_Table[[#This Row],[Product_Code]]
)</f>
        <v>2</v>
      </c>
      <c r="K645" s="4">
        <f>SUMIFS(
  Exchange_Return[Qty],
  Exchange_Return[Product_Code], Stock_Table[[#This Row],[Product_Code]]
)</f>
        <v>0</v>
      </c>
      <c r="L645" s="4">
        <f>I645-J645+K645</f>
        <v>1</v>
      </c>
      <c r="M645" s="2" t="str" cm="1">
        <f t="array" ref="M645">_xlfn.IFS(L645=0,"Out of Stock",L645&gt;=2,"Limited Stock",L645&lt;2,"In Stock")</f>
        <v>In Stock</v>
      </c>
    </row>
    <row r="646" spans="2:13">
      <c r="B646" s="2" t="s">
        <v>1211</v>
      </c>
      <c r="C646" s="5" t="str">
        <f>_xlfn.XLOOKUP(B646,Master[Product_Code],Master[Category])</f>
        <v>Pants</v>
      </c>
      <c r="D646" s="2" t="str">
        <f>_xlfn.XLOOKUP(B646,Master[Product_Code],Master[Brand])</f>
        <v>Park Avenue</v>
      </c>
      <c r="E646" s="2" t="str">
        <f>_xlfn.XLOOKUP(B646,Master[Product_Code],Master[Style])</f>
        <v>Korean</v>
      </c>
      <c r="F646" s="2" t="str">
        <f>_xlfn.XLOOKUP(B646,Master[Product_Code],Master[Fabric])</f>
        <v>Lycra</v>
      </c>
      <c r="G646" s="2">
        <f>_xlfn.XLOOKUP(B646,Master[Product_Code],Master[Size])</f>
        <v>32</v>
      </c>
      <c r="H646" s="2" t="str">
        <f>_xlfn.XLOOKUP(B646,Master[Product_Code],Master[Color])</f>
        <v>Peach</v>
      </c>
      <c r="I646" s="4">
        <f>_xlfn.XLOOKUP(B646,Master[Product_Code],Master[Stock_Qty])</f>
        <v>6</v>
      </c>
      <c r="J646" s="6">
        <f>SUMIFS(
  Sales_Entry[Qty],
  Sales_Entry[Product_Code], Stock_Table[[#This Row],[Product_Code]]
)</f>
        <v>1</v>
      </c>
      <c r="K646" s="4">
        <f>SUMIFS(
  Exchange_Return[Qty],
  Exchange_Return[Product_Code], Stock_Table[[#This Row],[Product_Code]]
)</f>
        <v>0</v>
      </c>
      <c r="L646" s="4">
        <f>I646-J646+K646</f>
        <v>5</v>
      </c>
      <c r="M646" s="2" t="str" cm="1">
        <f t="array" ref="M646">_xlfn.IFS(L646=0,"Out of Stock",L646&gt;=2,"Limited Stock",L646&lt;2,"In Stock")</f>
        <v>Limited Stock</v>
      </c>
    </row>
    <row r="647" spans="2:13">
      <c r="B647" s="2" t="s">
        <v>1212</v>
      </c>
      <c r="C647" s="5" t="str">
        <f>_xlfn.XLOOKUP(B647,Master[Product_Code],Master[Category])</f>
        <v>Pants</v>
      </c>
      <c r="D647" s="2" t="str">
        <f>_xlfn.XLOOKUP(B647,Master[Product_Code],Master[Brand])</f>
        <v>Van Heusen</v>
      </c>
      <c r="E647" s="2" t="str">
        <f>_xlfn.XLOOKUP(B647,Master[Product_Code],Master[Style])</f>
        <v>Boot Cut</v>
      </c>
      <c r="F647" s="2" t="str">
        <f>_xlfn.XLOOKUP(B647,Master[Product_Code],Master[Fabric])</f>
        <v>Poly Viscose</v>
      </c>
      <c r="G647" s="2">
        <f>_xlfn.XLOOKUP(B647,Master[Product_Code],Master[Size])</f>
        <v>30</v>
      </c>
      <c r="H647" s="2" t="str">
        <f>_xlfn.XLOOKUP(B647,Master[Product_Code],Master[Color])</f>
        <v>Light Grey</v>
      </c>
      <c r="I647" s="4">
        <f>_xlfn.XLOOKUP(B647,Master[Product_Code],Master[Stock_Qty])</f>
        <v>6</v>
      </c>
      <c r="J647" s="6">
        <f>SUMIFS(
  Sales_Entry[Qty],
  Sales_Entry[Product_Code], Stock_Table[[#This Row],[Product_Code]]
)</f>
        <v>3</v>
      </c>
      <c r="K647" s="4">
        <f>SUMIFS(
  Exchange_Return[Qty],
  Exchange_Return[Product_Code], Stock_Table[[#This Row],[Product_Code]]
)</f>
        <v>0</v>
      </c>
      <c r="L647" s="4">
        <f>I647-J647+K647</f>
        <v>3</v>
      </c>
      <c r="M647" s="2" t="str" cm="1">
        <f t="array" ref="M647">_xlfn.IFS(L647=0,"Out of Stock",L647&gt;=2,"Limited Stock",L647&lt;2,"In Stock")</f>
        <v>Limited Stock</v>
      </c>
    </row>
    <row r="648" spans="2:13">
      <c r="B648" s="2" t="s">
        <v>1213</v>
      </c>
      <c r="C648" s="5" t="str">
        <f>_xlfn.XLOOKUP(B648,Master[Product_Code],Master[Category])</f>
        <v>Pants</v>
      </c>
      <c r="D648" s="2" t="str">
        <f>_xlfn.XLOOKUP(B648,Master[Product_Code],Master[Brand])</f>
        <v>Park Avenue</v>
      </c>
      <c r="E648" s="2" t="str">
        <f>_xlfn.XLOOKUP(B648,Master[Product_Code],Master[Style])</f>
        <v>Jogger</v>
      </c>
      <c r="F648" s="2" t="str">
        <f>_xlfn.XLOOKUP(B648,Master[Product_Code],Master[Fabric])</f>
        <v>Cotton Blend</v>
      </c>
      <c r="G648" s="2">
        <f>_xlfn.XLOOKUP(B648,Master[Product_Code],Master[Size])</f>
        <v>42</v>
      </c>
      <c r="H648" s="2" t="str">
        <f>_xlfn.XLOOKUP(B648,Master[Product_Code],Master[Color])</f>
        <v>Peach</v>
      </c>
      <c r="I648" s="4">
        <f>_xlfn.XLOOKUP(B648,Master[Product_Code],Master[Stock_Qty])</f>
        <v>4</v>
      </c>
      <c r="J648" s="6">
        <f>SUMIFS(
  Sales_Entry[Qty],
  Sales_Entry[Product_Code], Stock_Table[[#This Row],[Product_Code]]
)</f>
        <v>0</v>
      </c>
      <c r="K648" s="4">
        <f>SUMIFS(
  Exchange_Return[Qty],
  Exchange_Return[Product_Code], Stock_Table[[#This Row],[Product_Code]]
)</f>
        <v>0</v>
      </c>
      <c r="L648" s="4">
        <f>I648-J648+K648</f>
        <v>4</v>
      </c>
      <c r="M648" s="2" t="str" cm="1">
        <f t="array" ref="M648">_xlfn.IFS(L648=0,"Out of Stock",L648&gt;=2,"Limited Stock",L648&lt;2,"In Stock")</f>
        <v>Limited Stock</v>
      </c>
    </row>
    <row r="649" spans="2:13">
      <c r="B649" s="2" t="s">
        <v>1214</v>
      </c>
      <c r="C649" s="5" t="str">
        <f>_xlfn.XLOOKUP(B649,Master[Product_Code],Master[Category])</f>
        <v>Pants</v>
      </c>
      <c r="D649" s="2" t="str">
        <f>_xlfn.XLOOKUP(B649,Master[Product_Code],Master[Brand])</f>
        <v>Raymond</v>
      </c>
      <c r="E649" s="2" t="str">
        <f>_xlfn.XLOOKUP(B649,Master[Product_Code],Master[Style])</f>
        <v>Boot Cut</v>
      </c>
      <c r="F649" s="2" t="str">
        <f>_xlfn.XLOOKUP(B649,Master[Product_Code],Master[Fabric])</f>
        <v>Poly Viscose</v>
      </c>
      <c r="G649" s="2">
        <f>_xlfn.XLOOKUP(B649,Master[Product_Code],Master[Size])</f>
        <v>42</v>
      </c>
      <c r="H649" s="2" t="str">
        <f>_xlfn.XLOOKUP(B649,Master[Product_Code],Master[Color])</f>
        <v>Light Grey</v>
      </c>
      <c r="I649" s="4">
        <f>_xlfn.XLOOKUP(B649,Master[Product_Code],Master[Stock_Qty])</f>
        <v>6</v>
      </c>
      <c r="J649" s="6">
        <f>SUMIFS(
  Sales_Entry[Qty],
  Sales_Entry[Product_Code], Stock_Table[[#This Row],[Product_Code]]
)</f>
        <v>0</v>
      </c>
      <c r="K649" s="4">
        <f>SUMIFS(
  Exchange_Return[Qty],
  Exchange_Return[Product_Code], Stock_Table[[#This Row],[Product_Code]]
)</f>
        <v>0</v>
      </c>
      <c r="L649" s="4">
        <f>I649-J649+K649</f>
        <v>6</v>
      </c>
      <c r="M649" s="2" t="str" cm="1">
        <f t="array" ref="M649">_xlfn.IFS(L649=0,"Out of Stock",L649&gt;=2,"Limited Stock",L649&lt;2,"In Stock")</f>
        <v>Limited Stock</v>
      </c>
    </row>
    <row r="650" spans="2:13">
      <c r="B650" s="2" t="s">
        <v>1215</v>
      </c>
      <c r="C650" s="5" t="str">
        <f>_xlfn.XLOOKUP(B650,Master[Product_Code],Master[Category])</f>
        <v>Pants</v>
      </c>
      <c r="D650" s="2" t="str">
        <f>_xlfn.XLOOKUP(B650,Master[Product_Code],Master[Brand])</f>
        <v>Van Heusen</v>
      </c>
      <c r="E650" s="2" t="str">
        <f>_xlfn.XLOOKUP(B650,Master[Product_Code],Master[Style])</f>
        <v>Korean</v>
      </c>
      <c r="F650" s="2" t="str">
        <f>_xlfn.XLOOKUP(B650,Master[Product_Code],Master[Fabric])</f>
        <v>Lycra</v>
      </c>
      <c r="G650" s="2">
        <f>_xlfn.XLOOKUP(B650,Master[Product_Code],Master[Size])</f>
        <v>28</v>
      </c>
      <c r="H650" s="2" t="str">
        <f>_xlfn.XLOOKUP(B650,Master[Product_Code],Master[Color])</f>
        <v>Black</v>
      </c>
      <c r="I650" s="4">
        <f>_xlfn.XLOOKUP(B650,Master[Product_Code],Master[Stock_Qty])</f>
        <v>3</v>
      </c>
      <c r="J650" s="6">
        <f>SUMIFS(
  Sales_Entry[Qty],
  Sales_Entry[Product_Code], Stock_Table[[#This Row],[Product_Code]]
)</f>
        <v>2</v>
      </c>
      <c r="K650" s="4">
        <f>SUMIFS(
  Exchange_Return[Qty],
  Exchange_Return[Product_Code], Stock_Table[[#This Row],[Product_Code]]
)</f>
        <v>0</v>
      </c>
      <c r="L650" s="4">
        <f>I650-J650+K650</f>
        <v>1</v>
      </c>
      <c r="M650" s="2" t="str" cm="1">
        <f t="array" ref="M650">_xlfn.IFS(L650=0,"Out of Stock",L650&gt;=2,"Limited Stock",L650&lt;2,"In Stock")</f>
        <v>In Stock</v>
      </c>
    </row>
    <row r="651" spans="2:13">
      <c r="B651" s="2" t="s">
        <v>1216</v>
      </c>
      <c r="C651" s="5" t="str">
        <f>_xlfn.XLOOKUP(B651,Master[Product_Code],Master[Category])</f>
        <v>Pants</v>
      </c>
      <c r="D651" s="2" t="str">
        <f>_xlfn.XLOOKUP(B651,Master[Product_Code],Master[Brand])</f>
        <v>Van Heusen</v>
      </c>
      <c r="E651" s="2" t="str">
        <f>_xlfn.XLOOKUP(B651,Master[Product_Code],Master[Style])</f>
        <v>Korean</v>
      </c>
      <c r="F651" s="2" t="str">
        <f>_xlfn.XLOOKUP(B651,Master[Product_Code],Master[Fabric])</f>
        <v>Lycra</v>
      </c>
      <c r="G651" s="2">
        <f>_xlfn.XLOOKUP(B651,Master[Product_Code],Master[Size])</f>
        <v>28</v>
      </c>
      <c r="H651" s="2" t="str">
        <f>_xlfn.XLOOKUP(B651,Master[Product_Code],Master[Color])</f>
        <v>Mustard</v>
      </c>
      <c r="I651" s="4">
        <f>_xlfn.XLOOKUP(B651,Master[Product_Code],Master[Stock_Qty])</f>
        <v>6</v>
      </c>
      <c r="J651" s="6">
        <f>SUMIFS(
  Sales_Entry[Qty],
  Sales_Entry[Product_Code], Stock_Table[[#This Row],[Product_Code]]
)</f>
        <v>3</v>
      </c>
      <c r="K651" s="4">
        <f>SUMIFS(
  Exchange_Return[Qty],
  Exchange_Return[Product_Code], Stock_Table[[#This Row],[Product_Code]]
)</f>
        <v>0</v>
      </c>
      <c r="L651" s="4">
        <f>I651-J651+K651</f>
        <v>3</v>
      </c>
      <c r="M651" s="2" t="str" cm="1">
        <f t="array" ref="M651">_xlfn.IFS(L651=0,"Out of Stock",L651&gt;=2,"Limited Stock",L651&lt;2,"In Stock")</f>
        <v>Limited Stock</v>
      </c>
    </row>
    <row r="652" spans="2:13">
      <c r="B652" s="2" t="s">
        <v>1217</v>
      </c>
      <c r="C652" s="5" t="str">
        <f>_xlfn.XLOOKUP(B652,Master[Product_Code],Master[Category])</f>
        <v>Pants</v>
      </c>
      <c r="D652" s="2" t="str">
        <f>_xlfn.XLOOKUP(B652,Master[Product_Code],Master[Brand])</f>
        <v>Louis Philippe</v>
      </c>
      <c r="E652" s="2" t="str">
        <f>_xlfn.XLOOKUP(B652,Master[Product_Code],Master[Style])</f>
        <v>Korean</v>
      </c>
      <c r="F652" s="2" t="str">
        <f>_xlfn.XLOOKUP(B652,Master[Product_Code],Master[Fabric])</f>
        <v>Lycra</v>
      </c>
      <c r="G652" s="2">
        <f>_xlfn.XLOOKUP(B652,Master[Product_Code],Master[Size])</f>
        <v>40</v>
      </c>
      <c r="H652" s="2" t="str">
        <f>_xlfn.XLOOKUP(B652,Master[Product_Code],Master[Color])</f>
        <v>Teal</v>
      </c>
      <c r="I652" s="4">
        <f>_xlfn.XLOOKUP(B652,Master[Product_Code],Master[Stock_Qty])</f>
        <v>3</v>
      </c>
      <c r="J652" s="6">
        <f>SUMIFS(
  Sales_Entry[Qty],
  Sales_Entry[Product_Code], Stock_Table[[#This Row],[Product_Code]]
)</f>
        <v>1</v>
      </c>
      <c r="K652" s="4">
        <f>SUMIFS(
  Exchange_Return[Qty],
  Exchange_Return[Product_Code], Stock_Table[[#This Row],[Product_Code]]
)</f>
        <v>0</v>
      </c>
      <c r="L652" s="4">
        <f>I652-J652+K652</f>
        <v>2</v>
      </c>
      <c r="M652" s="2" t="str" cm="1">
        <f t="array" ref="M652">_xlfn.IFS(L652=0,"Out of Stock",L652&gt;=2,"Limited Stock",L652&lt;2,"In Stock")</f>
        <v>Limited Stock</v>
      </c>
    </row>
    <row r="653" spans="2:13">
      <c r="B653" s="2" t="s">
        <v>1218</v>
      </c>
      <c r="C653" s="5" t="str">
        <f>_xlfn.XLOOKUP(B653,Master[Product_Code],Master[Category])</f>
        <v>Pants</v>
      </c>
      <c r="D653" s="2" t="str">
        <f>_xlfn.XLOOKUP(B653,Master[Product_Code],Master[Brand])</f>
        <v>Peter England</v>
      </c>
      <c r="E653" s="2" t="str">
        <f>_xlfn.XLOOKUP(B653,Master[Product_Code],Master[Style])</f>
        <v>Kurka</v>
      </c>
      <c r="F653" s="2" t="str">
        <f>_xlfn.XLOOKUP(B653,Master[Product_Code],Master[Fabric])</f>
        <v>Lycra</v>
      </c>
      <c r="G653" s="2">
        <f>_xlfn.XLOOKUP(B653,Master[Product_Code],Master[Size])</f>
        <v>36</v>
      </c>
      <c r="H653" s="2" t="str">
        <f>_xlfn.XLOOKUP(B653,Master[Product_Code],Master[Color])</f>
        <v>Light Grey</v>
      </c>
      <c r="I653" s="4">
        <f>_xlfn.XLOOKUP(B653,Master[Product_Code],Master[Stock_Qty])</f>
        <v>3</v>
      </c>
      <c r="J653" s="6">
        <f>SUMIFS(
  Sales_Entry[Qty],
  Sales_Entry[Product_Code], Stock_Table[[#This Row],[Product_Code]]
)</f>
        <v>0</v>
      </c>
      <c r="K653" s="4">
        <f>SUMIFS(
  Exchange_Return[Qty],
  Exchange_Return[Product_Code], Stock_Table[[#This Row],[Product_Code]]
)</f>
        <v>0</v>
      </c>
      <c r="L653" s="4">
        <f>I653-J653+K653</f>
        <v>3</v>
      </c>
      <c r="M653" s="2" t="str" cm="1">
        <f t="array" ref="M653">_xlfn.IFS(L653=0,"Out of Stock",L653&gt;=2,"Limited Stock",L653&lt;2,"In Stock")</f>
        <v>Limited Stock</v>
      </c>
    </row>
    <row r="654" spans="2:13">
      <c r="B654" s="2" t="s">
        <v>1219</v>
      </c>
      <c r="C654" s="5" t="str">
        <f>_xlfn.XLOOKUP(B654,Master[Product_Code],Master[Category])</f>
        <v>Pants</v>
      </c>
      <c r="D654" s="2" t="str">
        <f>_xlfn.XLOOKUP(B654,Master[Product_Code],Master[Brand])</f>
        <v>Raymond</v>
      </c>
      <c r="E654" s="2" t="str">
        <f>_xlfn.XLOOKUP(B654,Master[Product_Code],Master[Style])</f>
        <v>Korean</v>
      </c>
      <c r="F654" s="2" t="str">
        <f>_xlfn.XLOOKUP(B654,Master[Product_Code],Master[Fabric])</f>
        <v>Lycra</v>
      </c>
      <c r="G654" s="2">
        <f>_xlfn.XLOOKUP(B654,Master[Product_Code],Master[Size])</f>
        <v>38</v>
      </c>
      <c r="H654" s="2" t="str">
        <f>_xlfn.XLOOKUP(B654,Master[Product_Code],Master[Color])</f>
        <v>Olive</v>
      </c>
      <c r="I654" s="4">
        <f>_xlfn.XLOOKUP(B654,Master[Product_Code],Master[Stock_Qty])</f>
        <v>3</v>
      </c>
      <c r="J654" s="6">
        <f>SUMIFS(
  Sales_Entry[Qty],
  Sales_Entry[Product_Code], Stock_Table[[#This Row],[Product_Code]]
)</f>
        <v>2</v>
      </c>
      <c r="K654" s="4">
        <f>SUMIFS(
  Exchange_Return[Qty],
  Exchange_Return[Product_Code], Stock_Table[[#This Row],[Product_Code]]
)</f>
        <v>0</v>
      </c>
      <c r="L654" s="4">
        <f>I654-J654+K654</f>
        <v>1</v>
      </c>
      <c r="M654" s="2" t="str" cm="1">
        <f t="array" ref="M654">_xlfn.IFS(L654=0,"Out of Stock",L654&gt;=2,"Limited Stock",L654&lt;2,"In Stock")</f>
        <v>In Stock</v>
      </c>
    </row>
    <row r="655" spans="2:13">
      <c r="B655" s="2" t="s">
        <v>1220</v>
      </c>
      <c r="C655" s="5" t="str">
        <f>_xlfn.XLOOKUP(B655,Master[Product_Code],Master[Category])</f>
        <v>Pants</v>
      </c>
      <c r="D655" s="2" t="str">
        <f>_xlfn.XLOOKUP(B655,Master[Product_Code],Master[Brand])</f>
        <v>Van Heusen</v>
      </c>
      <c r="E655" s="2" t="str">
        <f>_xlfn.XLOOKUP(B655,Master[Product_Code],Master[Style])</f>
        <v>Polofit</v>
      </c>
      <c r="F655" s="2" t="str">
        <f>_xlfn.XLOOKUP(B655,Master[Product_Code],Master[Fabric])</f>
        <v>Lycra</v>
      </c>
      <c r="G655" s="2">
        <f>_xlfn.XLOOKUP(B655,Master[Product_Code],Master[Size])</f>
        <v>40</v>
      </c>
      <c r="H655" s="2" t="str">
        <f>_xlfn.XLOOKUP(B655,Master[Product_Code],Master[Color])</f>
        <v>Light Grey</v>
      </c>
      <c r="I655" s="4">
        <f>_xlfn.XLOOKUP(B655,Master[Product_Code],Master[Stock_Qty])</f>
        <v>6</v>
      </c>
      <c r="J655" s="6">
        <f>SUMIFS(
  Sales_Entry[Qty],
  Sales_Entry[Product_Code], Stock_Table[[#This Row],[Product_Code]]
)</f>
        <v>3</v>
      </c>
      <c r="K655" s="4">
        <f>SUMIFS(
  Exchange_Return[Qty],
  Exchange_Return[Product_Code], Stock_Table[[#This Row],[Product_Code]]
)</f>
        <v>0</v>
      </c>
      <c r="L655" s="4">
        <f>I655-J655+K655</f>
        <v>3</v>
      </c>
      <c r="M655" s="2" t="str" cm="1">
        <f t="array" ref="M655">_xlfn.IFS(L655=0,"Out of Stock",L655&gt;=2,"Limited Stock",L655&lt;2,"In Stock")</f>
        <v>Limited Stock</v>
      </c>
    </row>
    <row r="656" spans="2:13">
      <c r="B656" s="2" t="s">
        <v>1221</v>
      </c>
      <c r="C656" s="5" t="str">
        <f>_xlfn.XLOOKUP(B656,Master[Product_Code],Master[Category])</f>
        <v>Pants</v>
      </c>
      <c r="D656" s="2" t="str">
        <f>_xlfn.XLOOKUP(B656,Master[Product_Code],Master[Brand])</f>
        <v>Raymond</v>
      </c>
      <c r="E656" s="2" t="str">
        <f>_xlfn.XLOOKUP(B656,Master[Product_Code],Master[Style])</f>
        <v>Boot Cut</v>
      </c>
      <c r="F656" s="2" t="str">
        <f>_xlfn.XLOOKUP(B656,Master[Product_Code],Master[Fabric])</f>
        <v>Cotton Blend</v>
      </c>
      <c r="G656" s="2">
        <f>_xlfn.XLOOKUP(B656,Master[Product_Code],Master[Size])</f>
        <v>28</v>
      </c>
      <c r="H656" s="2" t="str">
        <f>_xlfn.XLOOKUP(B656,Master[Product_Code],Master[Color])</f>
        <v>Mustard</v>
      </c>
      <c r="I656" s="4">
        <f>_xlfn.XLOOKUP(B656,Master[Product_Code],Master[Stock_Qty])</f>
        <v>6</v>
      </c>
      <c r="J656" s="6">
        <f>SUMIFS(
  Sales_Entry[Qty],
  Sales_Entry[Product_Code], Stock_Table[[#This Row],[Product_Code]]
)</f>
        <v>1</v>
      </c>
      <c r="K656" s="4">
        <f>SUMIFS(
  Exchange_Return[Qty],
  Exchange_Return[Product_Code], Stock_Table[[#This Row],[Product_Code]]
)</f>
        <v>0</v>
      </c>
      <c r="L656" s="4">
        <f>I656-J656+K656</f>
        <v>5</v>
      </c>
      <c r="M656" s="2" t="str" cm="1">
        <f t="array" ref="M656">_xlfn.IFS(L656=0,"Out of Stock",L656&gt;=2,"Limited Stock",L656&lt;2,"In Stock")</f>
        <v>Limited Stock</v>
      </c>
    </row>
    <row r="657" spans="2:13">
      <c r="B657" s="2" t="s">
        <v>1222</v>
      </c>
      <c r="C657" s="5" t="str">
        <f>_xlfn.XLOOKUP(B657,Master[Product_Code],Master[Category])</f>
        <v>Pants</v>
      </c>
      <c r="D657" s="2" t="str">
        <f>_xlfn.XLOOKUP(B657,Master[Product_Code],Master[Brand])</f>
        <v>Louis Philippe</v>
      </c>
      <c r="E657" s="2" t="str">
        <f>_xlfn.XLOOKUP(B657,Master[Product_Code],Master[Style])</f>
        <v>Korean</v>
      </c>
      <c r="F657" s="2" t="str">
        <f>_xlfn.XLOOKUP(B657,Master[Product_Code],Master[Fabric])</f>
        <v>Lycra</v>
      </c>
      <c r="G657" s="2">
        <f>_xlfn.XLOOKUP(B657,Master[Product_Code],Master[Size])</f>
        <v>30</v>
      </c>
      <c r="H657" s="2" t="str">
        <f>_xlfn.XLOOKUP(B657,Master[Product_Code],Master[Color])</f>
        <v>Peach</v>
      </c>
      <c r="I657" s="4">
        <f>_xlfn.XLOOKUP(B657,Master[Product_Code],Master[Stock_Qty])</f>
        <v>3</v>
      </c>
      <c r="J657" s="6">
        <f>SUMIFS(
  Sales_Entry[Qty],
  Sales_Entry[Product_Code], Stock_Table[[#This Row],[Product_Code]]
)</f>
        <v>2</v>
      </c>
      <c r="K657" s="4">
        <f>SUMIFS(
  Exchange_Return[Qty],
  Exchange_Return[Product_Code], Stock_Table[[#This Row],[Product_Code]]
)</f>
        <v>0</v>
      </c>
      <c r="L657" s="4">
        <f>I657-J657+K657</f>
        <v>1</v>
      </c>
      <c r="M657" s="2" t="str" cm="1">
        <f t="array" ref="M657">_xlfn.IFS(L657=0,"Out of Stock",L657&gt;=2,"Limited Stock",L657&lt;2,"In Stock")</f>
        <v>In Stock</v>
      </c>
    </row>
    <row r="658" spans="2:13">
      <c r="B658" s="2" t="s">
        <v>1223</v>
      </c>
      <c r="C658" s="5" t="str">
        <f>_xlfn.XLOOKUP(B658,Master[Product_Code],Master[Category])</f>
        <v>Pants</v>
      </c>
      <c r="D658" s="2" t="str">
        <f>_xlfn.XLOOKUP(B658,Master[Product_Code],Master[Brand])</f>
        <v>Peter England</v>
      </c>
      <c r="E658" s="2" t="str">
        <f>_xlfn.XLOOKUP(B658,Master[Product_Code],Master[Style])</f>
        <v>Korean</v>
      </c>
      <c r="F658" s="2" t="str">
        <f>_xlfn.XLOOKUP(B658,Master[Product_Code],Master[Fabric])</f>
        <v>Lycra</v>
      </c>
      <c r="G658" s="2">
        <f>_xlfn.XLOOKUP(B658,Master[Product_Code],Master[Size])</f>
        <v>44</v>
      </c>
      <c r="H658" s="2" t="str">
        <f>_xlfn.XLOOKUP(B658,Master[Product_Code],Master[Color])</f>
        <v>Mustard</v>
      </c>
      <c r="I658" s="4">
        <f>_xlfn.XLOOKUP(B658,Master[Product_Code],Master[Stock_Qty])</f>
        <v>4</v>
      </c>
      <c r="J658" s="6">
        <f>SUMIFS(
  Sales_Entry[Qty],
  Sales_Entry[Product_Code], Stock_Table[[#This Row],[Product_Code]]
)</f>
        <v>0</v>
      </c>
      <c r="K658" s="4">
        <f>SUMIFS(
  Exchange_Return[Qty],
  Exchange_Return[Product_Code], Stock_Table[[#This Row],[Product_Code]]
)</f>
        <v>0</v>
      </c>
      <c r="L658" s="4">
        <f>I658-J658+K658</f>
        <v>4</v>
      </c>
      <c r="M658" s="2" t="str" cm="1">
        <f t="array" ref="M658">_xlfn.IFS(L658=0,"Out of Stock",L658&gt;=2,"Limited Stock",L658&lt;2,"In Stock")</f>
        <v>Limited Stock</v>
      </c>
    </row>
    <row r="659" spans="2:13">
      <c r="B659" s="2" t="s">
        <v>1224</v>
      </c>
      <c r="C659" s="5" t="str">
        <f>_xlfn.XLOOKUP(B659,Master[Product_Code],Master[Category])</f>
        <v>Pants</v>
      </c>
      <c r="D659" s="2" t="str">
        <f>_xlfn.XLOOKUP(B659,Master[Product_Code],Master[Brand])</f>
        <v>Van Heusen</v>
      </c>
      <c r="E659" s="2" t="str">
        <f>_xlfn.XLOOKUP(B659,Master[Product_Code],Master[Style])</f>
        <v>Korean</v>
      </c>
      <c r="F659" s="2" t="str">
        <f>_xlfn.XLOOKUP(B659,Master[Product_Code],Master[Fabric])</f>
        <v>Lycra</v>
      </c>
      <c r="G659" s="2">
        <f>_xlfn.XLOOKUP(B659,Master[Product_Code],Master[Size])</f>
        <v>34</v>
      </c>
      <c r="H659" s="2" t="str">
        <f>_xlfn.XLOOKUP(B659,Master[Product_Code],Master[Color])</f>
        <v>Peach</v>
      </c>
      <c r="I659" s="4">
        <f>_xlfn.XLOOKUP(B659,Master[Product_Code],Master[Stock_Qty])</f>
        <v>3</v>
      </c>
      <c r="J659" s="6">
        <f>SUMIFS(
  Sales_Entry[Qty],
  Sales_Entry[Product_Code], Stock_Table[[#This Row],[Product_Code]]
)</f>
        <v>2</v>
      </c>
      <c r="K659" s="4">
        <f>SUMIFS(
  Exchange_Return[Qty],
  Exchange_Return[Product_Code], Stock_Table[[#This Row],[Product_Code]]
)</f>
        <v>0</v>
      </c>
      <c r="L659" s="4">
        <f>I659-J659+K659</f>
        <v>1</v>
      </c>
      <c r="M659" s="2" t="str" cm="1">
        <f t="array" ref="M659">_xlfn.IFS(L659=0,"Out of Stock",L659&gt;=2,"Limited Stock",L659&lt;2,"In Stock")</f>
        <v>In Stock</v>
      </c>
    </row>
    <row r="660" spans="2:13">
      <c r="B660" s="2" t="s">
        <v>1225</v>
      </c>
      <c r="C660" s="5" t="str">
        <f>_xlfn.XLOOKUP(B660,Master[Product_Code],Master[Category])</f>
        <v>Pants</v>
      </c>
      <c r="D660" s="2" t="str">
        <f>_xlfn.XLOOKUP(B660,Master[Product_Code],Master[Brand])</f>
        <v>Peter England</v>
      </c>
      <c r="E660" s="2" t="str">
        <f>_xlfn.XLOOKUP(B660,Master[Product_Code],Master[Style])</f>
        <v>Korean</v>
      </c>
      <c r="F660" s="2" t="str">
        <f>_xlfn.XLOOKUP(B660,Master[Product_Code],Master[Fabric])</f>
        <v>Lycra</v>
      </c>
      <c r="G660" s="2">
        <f>_xlfn.XLOOKUP(B660,Master[Product_Code],Master[Size])</f>
        <v>28</v>
      </c>
      <c r="H660" s="2" t="str">
        <f>_xlfn.XLOOKUP(B660,Master[Product_Code],Master[Color])</f>
        <v>Brown</v>
      </c>
      <c r="I660" s="4">
        <f>_xlfn.XLOOKUP(B660,Master[Product_Code],Master[Stock_Qty])</f>
        <v>6</v>
      </c>
      <c r="J660" s="6">
        <f>SUMIFS(
  Sales_Entry[Qty],
  Sales_Entry[Product_Code], Stock_Table[[#This Row],[Product_Code]]
)</f>
        <v>5</v>
      </c>
      <c r="K660" s="4">
        <f>SUMIFS(
  Exchange_Return[Qty],
  Exchange_Return[Product_Code], Stock_Table[[#This Row],[Product_Code]]
)</f>
        <v>0</v>
      </c>
      <c r="L660" s="4">
        <f>I660-J660+K660</f>
        <v>1</v>
      </c>
      <c r="M660" s="2" t="str" cm="1">
        <f t="array" ref="M660">_xlfn.IFS(L660=0,"Out of Stock",L660&gt;=2,"Limited Stock",L660&lt;2,"In Stock")</f>
        <v>In Stock</v>
      </c>
    </row>
    <row r="661" spans="2:13">
      <c r="B661" s="2" t="s">
        <v>1226</v>
      </c>
      <c r="C661" s="5" t="str">
        <f>_xlfn.XLOOKUP(B661,Master[Product_Code],Master[Category])</f>
        <v>Pants</v>
      </c>
      <c r="D661" s="2" t="str">
        <f>_xlfn.XLOOKUP(B661,Master[Product_Code],Master[Brand])</f>
        <v>Park Avenue</v>
      </c>
      <c r="E661" s="2" t="str">
        <f>_xlfn.XLOOKUP(B661,Master[Product_Code],Master[Style])</f>
        <v>Polofit</v>
      </c>
      <c r="F661" s="2" t="str">
        <f>_xlfn.XLOOKUP(B661,Master[Product_Code],Master[Fabric])</f>
        <v>Lycra</v>
      </c>
      <c r="G661" s="2">
        <f>_xlfn.XLOOKUP(B661,Master[Product_Code],Master[Size])</f>
        <v>30</v>
      </c>
      <c r="H661" s="2" t="str">
        <f>_xlfn.XLOOKUP(B661,Master[Product_Code],Master[Color])</f>
        <v>Light Grey</v>
      </c>
      <c r="I661" s="4">
        <f>_xlfn.XLOOKUP(B661,Master[Product_Code],Master[Stock_Qty])</f>
        <v>5</v>
      </c>
      <c r="J661" s="6">
        <f>SUMIFS(
  Sales_Entry[Qty],
  Sales_Entry[Product_Code], Stock_Table[[#This Row],[Product_Code]]
)</f>
        <v>2</v>
      </c>
      <c r="K661" s="4">
        <f>SUMIFS(
  Exchange_Return[Qty],
  Exchange_Return[Product_Code], Stock_Table[[#This Row],[Product_Code]]
)</f>
        <v>0</v>
      </c>
      <c r="L661" s="4">
        <f>I661-J661+K661</f>
        <v>3</v>
      </c>
      <c r="M661" s="2" t="str" cm="1">
        <f t="array" ref="M661">_xlfn.IFS(L661=0,"Out of Stock",L661&gt;=2,"Limited Stock",L661&lt;2,"In Stock")</f>
        <v>Limited Stock</v>
      </c>
    </row>
    <row r="662" spans="2:13">
      <c r="B662" s="2" t="s">
        <v>1227</v>
      </c>
      <c r="C662" s="5" t="str">
        <f>_xlfn.XLOOKUP(B662,Master[Product_Code],Master[Category])</f>
        <v>Pants</v>
      </c>
      <c r="D662" s="2" t="str">
        <f>_xlfn.XLOOKUP(B662,Master[Product_Code],Master[Brand])</f>
        <v>Raymond</v>
      </c>
      <c r="E662" s="2" t="str">
        <f>_xlfn.XLOOKUP(B662,Master[Product_Code],Master[Style])</f>
        <v>Jogger</v>
      </c>
      <c r="F662" s="2" t="str">
        <f>_xlfn.XLOOKUP(B662,Master[Product_Code],Master[Fabric])</f>
        <v>Cotton Blend</v>
      </c>
      <c r="G662" s="2">
        <f>_xlfn.XLOOKUP(B662,Master[Product_Code],Master[Size])</f>
        <v>42</v>
      </c>
      <c r="H662" s="2" t="str">
        <f>_xlfn.XLOOKUP(B662,Master[Product_Code],Master[Color])</f>
        <v>Bottle Green</v>
      </c>
      <c r="I662" s="4">
        <f>_xlfn.XLOOKUP(B662,Master[Product_Code],Master[Stock_Qty])</f>
        <v>4</v>
      </c>
      <c r="J662" s="6">
        <f>SUMIFS(
  Sales_Entry[Qty],
  Sales_Entry[Product_Code], Stock_Table[[#This Row],[Product_Code]]
)</f>
        <v>3</v>
      </c>
      <c r="K662" s="4">
        <f>SUMIFS(
  Exchange_Return[Qty],
  Exchange_Return[Product_Code], Stock_Table[[#This Row],[Product_Code]]
)</f>
        <v>0</v>
      </c>
      <c r="L662" s="4">
        <f>I662-J662+K662</f>
        <v>1</v>
      </c>
      <c r="M662" s="2" t="str" cm="1">
        <f t="array" ref="M662">_xlfn.IFS(L662=0,"Out of Stock",L662&gt;=2,"Limited Stock",L662&lt;2,"In Stock")</f>
        <v>In Stock</v>
      </c>
    </row>
    <row r="663" spans="2:13">
      <c r="B663" s="2" t="s">
        <v>1228</v>
      </c>
      <c r="C663" s="5" t="str">
        <f>_xlfn.XLOOKUP(B663,Master[Product_Code],Master[Category])</f>
        <v>Pants</v>
      </c>
      <c r="D663" s="2" t="str">
        <f>_xlfn.XLOOKUP(B663,Master[Product_Code],Master[Brand])</f>
        <v>Raymond</v>
      </c>
      <c r="E663" s="2" t="str">
        <f>_xlfn.XLOOKUP(B663,Master[Product_Code],Master[Style])</f>
        <v>Korean</v>
      </c>
      <c r="F663" s="2" t="str">
        <f>_xlfn.XLOOKUP(B663,Master[Product_Code],Master[Fabric])</f>
        <v>Lycra</v>
      </c>
      <c r="G663" s="2">
        <f>_xlfn.XLOOKUP(B663,Master[Product_Code],Master[Size])</f>
        <v>36</v>
      </c>
      <c r="H663" s="2" t="str">
        <f>_xlfn.XLOOKUP(B663,Master[Product_Code],Master[Color])</f>
        <v>Bottle Green</v>
      </c>
      <c r="I663" s="4">
        <f>_xlfn.XLOOKUP(B663,Master[Product_Code],Master[Stock_Qty])</f>
        <v>5</v>
      </c>
      <c r="J663" s="6">
        <f>SUMIFS(
  Sales_Entry[Qty],
  Sales_Entry[Product_Code], Stock_Table[[#This Row],[Product_Code]]
)</f>
        <v>1</v>
      </c>
      <c r="K663" s="4">
        <f>SUMIFS(
  Exchange_Return[Qty],
  Exchange_Return[Product_Code], Stock_Table[[#This Row],[Product_Code]]
)</f>
        <v>0</v>
      </c>
      <c r="L663" s="4">
        <f>I663-J663+K663</f>
        <v>4</v>
      </c>
      <c r="M663" s="2" t="str" cm="1">
        <f t="array" ref="M663">_xlfn.IFS(L663=0,"Out of Stock",L663&gt;=2,"Limited Stock",L663&lt;2,"In Stock")</f>
        <v>Limited Stock</v>
      </c>
    </row>
    <row r="664" spans="2:13">
      <c r="B664" s="2" t="s">
        <v>1229</v>
      </c>
      <c r="C664" s="5" t="str">
        <f>_xlfn.XLOOKUP(B664,Master[Product_Code],Master[Category])</f>
        <v>Pants</v>
      </c>
      <c r="D664" s="2" t="str">
        <f>_xlfn.XLOOKUP(B664,Master[Product_Code],Master[Brand])</f>
        <v>Louis Philippe</v>
      </c>
      <c r="E664" s="2" t="str">
        <f>_xlfn.XLOOKUP(B664,Master[Product_Code],Master[Style])</f>
        <v>Boot Cut</v>
      </c>
      <c r="F664" s="2" t="str">
        <f>_xlfn.XLOOKUP(B664,Master[Product_Code],Master[Fabric])</f>
        <v>Poly Viscose</v>
      </c>
      <c r="G664" s="2">
        <f>_xlfn.XLOOKUP(B664,Master[Product_Code],Master[Size])</f>
        <v>44</v>
      </c>
      <c r="H664" s="2" t="str">
        <f>_xlfn.XLOOKUP(B664,Master[Product_Code],Master[Color])</f>
        <v>Cream</v>
      </c>
      <c r="I664" s="4">
        <f>_xlfn.XLOOKUP(B664,Master[Product_Code],Master[Stock_Qty])</f>
        <v>4</v>
      </c>
      <c r="J664" s="6">
        <f>SUMIFS(
  Sales_Entry[Qty],
  Sales_Entry[Product_Code], Stock_Table[[#This Row],[Product_Code]]
)</f>
        <v>0</v>
      </c>
      <c r="K664" s="4">
        <f>SUMIFS(
  Exchange_Return[Qty],
  Exchange_Return[Product_Code], Stock_Table[[#This Row],[Product_Code]]
)</f>
        <v>0</v>
      </c>
      <c r="L664" s="4">
        <f>I664-J664+K664</f>
        <v>4</v>
      </c>
      <c r="M664" s="2" t="str" cm="1">
        <f t="array" ref="M664">_xlfn.IFS(L664=0,"Out of Stock",L664&gt;=2,"Limited Stock",L664&lt;2,"In Stock")</f>
        <v>Limited Stock</v>
      </c>
    </row>
    <row r="665" spans="2:13">
      <c r="B665" s="2" t="s">
        <v>1230</v>
      </c>
      <c r="C665" s="5" t="str">
        <f>_xlfn.XLOOKUP(B665,Master[Product_Code],Master[Category])</f>
        <v>Pants</v>
      </c>
      <c r="D665" s="2" t="str">
        <f>_xlfn.XLOOKUP(B665,Master[Product_Code],Master[Brand])</f>
        <v>Park Avenue</v>
      </c>
      <c r="E665" s="2" t="str">
        <f>_xlfn.XLOOKUP(B665,Master[Product_Code],Master[Style])</f>
        <v>Kurka</v>
      </c>
      <c r="F665" s="2" t="str">
        <f>_xlfn.XLOOKUP(B665,Master[Product_Code],Master[Fabric])</f>
        <v>Lycra</v>
      </c>
      <c r="G665" s="2">
        <f>_xlfn.XLOOKUP(B665,Master[Product_Code],Master[Size])</f>
        <v>42</v>
      </c>
      <c r="H665" s="2" t="str">
        <f>_xlfn.XLOOKUP(B665,Master[Product_Code],Master[Color])</f>
        <v>Grey</v>
      </c>
      <c r="I665" s="4">
        <f>_xlfn.XLOOKUP(B665,Master[Product_Code],Master[Stock_Qty])</f>
        <v>6</v>
      </c>
      <c r="J665" s="6">
        <f>SUMIFS(
  Sales_Entry[Qty],
  Sales_Entry[Product_Code], Stock_Table[[#This Row],[Product_Code]]
)</f>
        <v>2</v>
      </c>
      <c r="K665" s="4">
        <f>SUMIFS(
  Exchange_Return[Qty],
  Exchange_Return[Product_Code], Stock_Table[[#This Row],[Product_Code]]
)</f>
        <v>0</v>
      </c>
      <c r="L665" s="4">
        <f>I665-J665+K665</f>
        <v>4</v>
      </c>
      <c r="M665" s="2" t="str" cm="1">
        <f t="array" ref="M665">_xlfn.IFS(L665=0,"Out of Stock",L665&gt;=2,"Limited Stock",L665&lt;2,"In Stock")</f>
        <v>Limited Stock</v>
      </c>
    </row>
    <row r="666" spans="2:13">
      <c r="B666" s="2" t="s">
        <v>1231</v>
      </c>
      <c r="C666" s="5" t="str">
        <f>_xlfn.XLOOKUP(B666,Master[Product_Code],Master[Category])</f>
        <v>Pants</v>
      </c>
      <c r="D666" s="2" t="str">
        <f>_xlfn.XLOOKUP(B666,Master[Product_Code],Master[Brand])</f>
        <v>Park Avenue</v>
      </c>
      <c r="E666" s="2" t="str">
        <f>_xlfn.XLOOKUP(B666,Master[Product_Code],Master[Style])</f>
        <v>Jogger</v>
      </c>
      <c r="F666" s="2" t="str">
        <f>_xlfn.XLOOKUP(B666,Master[Product_Code],Master[Fabric])</f>
        <v>Poly Viscose</v>
      </c>
      <c r="G666" s="2">
        <f>_xlfn.XLOOKUP(B666,Master[Product_Code],Master[Size])</f>
        <v>28</v>
      </c>
      <c r="H666" s="2" t="str">
        <f>_xlfn.XLOOKUP(B666,Master[Product_Code],Master[Color])</f>
        <v>Wine</v>
      </c>
      <c r="I666" s="4">
        <f>_xlfn.XLOOKUP(B666,Master[Product_Code],Master[Stock_Qty])</f>
        <v>4</v>
      </c>
      <c r="J666" s="6">
        <f>SUMIFS(
  Sales_Entry[Qty],
  Sales_Entry[Product_Code], Stock_Table[[#This Row],[Product_Code]]
)</f>
        <v>3</v>
      </c>
      <c r="K666" s="4">
        <f>SUMIFS(
  Exchange_Return[Qty],
  Exchange_Return[Product_Code], Stock_Table[[#This Row],[Product_Code]]
)</f>
        <v>0</v>
      </c>
      <c r="L666" s="4">
        <f>I666-J666+K666</f>
        <v>1</v>
      </c>
      <c r="M666" s="2" t="str" cm="1">
        <f t="array" ref="M666">_xlfn.IFS(L666=0,"Out of Stock",L666&gt;=2,"Limited Stock",L666&lt;2,"In Stock")</f>
        <v>In Stock</v>
      </c>
    </row>
    <row r="667" spans="2:13">
      <c r="B667" s="2" t="s">
        <v>1232</v>
      </c>
      <c r="C667" s="5" t="str">
        <f>_xlfn.XLOOKUP(B667,Master[Product_Code],Master[Category])</f>
        <v>Pants</v>
      </c>
      <c r="D667" s="2" t="str">
        <f>_xlfn.XLOOKUP(B667,Master[Product_Code],Master[Brand])</f>
        <v>Louis Philippe</v>
      </c>
      <c r="E667" s="2" t="str">
        <f>_xlfn.XLOOKUP(B667,Master[Product_Code],Master[Style])</f>
        <v>Kurka</v>
      </c>
      <c r="F667" s="2" t="str">
        <f>_xlfn.XLOOKUP(B667,Master[Product_Code],Master[Fabric])</f>
        <v>Lycra</v>
      </c>
      <c r="G667" s="2">
        <f>_xlfn.XLOOKUP(B667,Master[Product_Code],Master[Size])</f>
        <v>32</v>
      </c>
      <c r="H667" s="2" t="str">
        <f>_xlfn.XLOOKUP(B667,Master[Product_Code],Master[Color])</f>
        <v>Brown</v>
      </c>
      <c r="I667" s="4">
        <f>_xlfn.XLOOKUP(B667,Master[Product_Code],Master[Stock_Qty])</f>
        <v>6</v>
      </c>
      <c r="J667" s="6">
        <f>SUMIFS(
  Sales_Entry[Qty],
  Sales_Entry[Product_Code], Stock_Table[[#This Row],[Product_Code]]
)</f>
        <v>2</v>
      </c>
      <c r="K667" s="4">
        <f>SUMIFS(
  Exchange_Return[Qty],
  Exchange_Return[Product_Code], Stock_Table[[#This Row],[Product_Code]]
)</f>
        <v>0</v>
      </c>
      <c r="L667" s="4">
        <f>I667-J667+K667</f>
        <v>4</v>
      </c>
      <c r="M667" s="2" t="str" cm="1">
        <f t="array" ref="M667">_xlfn.IFS(L667=0,"Out of Stock",L667&gt;=2,"Limited Stock",L667&lt;2,"In Stock")</f>
        <v>Limited Stock</v>
      </c>
    </row>
    <row r="668" spans="2:13">
      <c r="B668" s="2" t="s">
        <v>1233</v>
      </c>
      <c r="C668" s="5" t="str">
        <f>_xlfn.XLOOKUP(B668,Master[Product_Code],Master[Category])</f>
        <v>Pants</v>
      </c>
      <c r="D668" s="2" t="str">
        <f>_xlfn.XLOOKUP(B668,Master[Product_Code],Master[Brand])</f>
        <v>Van Heusen</v>
      </c>
      <c r="E668" s="2" t="str">
        <f>_xlfn.XLOOKUP(B668,Master[Product_Code],Master[Style])</f>
        <v>Polofit</v>
      </c>
      <c r="F668" s="2" t="str">
        <f>_xlfn.XLOOKUP(B668,Master[Product_Code],Master[Fabric])</f>
        <v>Lycra</v>
      </c>
      <c r="G668" s="2">
        <f>_xlfn.XLOOKUP(B668,Master[Product_Code],Master[Size])</f>
        <v>34</v>
      </c>
      <c r="H668" s="2" t="str">
        <f>_xlfn.XLOOKUP(B668,Master[Product_Code],Master[Color])</f>
        <v>Bottle Green</v>
      </c>
      <c r="I668" s="4">
        <f>_xlfn.XLOOKUP(B668,Master[Product_Code],Master[Stock_Qty])</f>
        <v>5</v>
      </c>
      <c r="J668" s="6">
        <f>SUMIFS(
  Sales_Entry[Qty],
  Sales_Entry[Product_Code], Stock_Table[[#This Row],[Product_Code]]
)</f>
        <v>2</v>
      </c>
      <c r="K668" s="4">
        <f>SUMIFS(
  Exchange_Return[Qty],
  Exchange_Return[Product_Code], Stock_Table[[#This Row],[Product_Code]]
)</f>
        <v>0</v>
      </c>
      <c r="L668" s="4">
        <f>I668-J668+K668</f>
        <v>3</v>
      </c>
      <c r="M668" s="2" t="str" cm="1">
        <f t="array" ref="M668">_xlfn.IFS(L668=0,"Out of Stock",L668&gt;=2,"Limited Stock",L668&lt;2,"In Stock")</f>
        <v>Limited Stock</v>
      </c>
    </row>
    <row r="669" spans="2:13">
      <c r="B669" s="2" t="s">
        <v>1234</v>
      </c>
      <c r="C669" s="5" t="str">
        <f>_xlfn.XLOOKUP(B669,Master[Product_Code],Master[Category])</f>
        <v>Pants</v>
      </c>
      <c r="D669" s="2" t="str">
        <f>_xlfn.XLOOKUP(B669,Master[Product_Code],Master[Brand])</f>
        <v>Peter England</v>
      </c>
      <c r="E669" s="2" t="str">
        <f>_xlfn.XLOOKUP(B669,Master[Product_Code],Master[Style])</f>
        <v>Korean</v>
      </c>
      <c r="F669" s="2" t="str">
        <f>_xlfn.XLOOKUP(B669,Master[Product_Code],Master[Fabric])</f>
        <v>Lycra</v>
      </c>
      <c r="G669" s="2">
        <f>_xlfn.XLOOKUP(B669,Master[Product_Code],Master[Size])</f>
        <v>34</v>
      </c>
      <c r="H669" s="2" t="str">
        <f>_xlfn.XLOOKUP(B669,Master[Product_Code],Master[Color])</f>
        <v>Rust</v>
      </c>
      <c r="I669" s="4">
        <f>_xlfn.XLOOKUP(B669,Master[Product_Code],Master[Stock_Qty])</f>
        <v>4</v>
      </c>
      <c r="J669" s="6">
        <f>SUMIFS(
  Sales_Entry[Qty],
  Sales_Entry[Product_Code], Stock_Table[[#This Row],[Product_Code]]
)</f>
        <v>2</v>
      </c>
      <c r="K669" s="4">
        <f>SUMIFS(
  Exchange_Return[Qty],
  Exchange_Return[Product_Code], Stock_Table[[#This Row],[Product_Code]]
)</f>
        <v>0</v>
      </c>
      <c r="L669" s="4">
        <f>I669-J669+K669</f>
        <v>2</v>
      </c>
      <c r="M669" s="2" t="str" cm="1">
        <f t="array" ref="M669">_xlfn.IFS(L669=0,"Out of Stock",L669&gt;=2,"Limited Stock",L669&lt;2,"In Stock")</f>
        <v>Limited Stock</v>
      </c>
    </row>
    <row r="670" spans="2:13">
      <c r="B670" s="2" t="s">
        <v>1235</v>
      </c>
      <c r="C670" s="5" t="str">
        <f>_xlfn.XLOOKUP(B670,Master[Product_Code],Master[Category])</f>
        <v>Pants</v>
      </c>
      <c r="D670" s="2" t="str">
        <f>_xlfn.XLOOKUP(B670,Master[Product_Code],Master[Brand])</f>
        <v>Peter England</v>
      </c>
      <c r="E670" s="2" t="str">
        <f>_xlfn.XLOOKUP(B670,Master[Product_Code],Master[Style])</f>
        <v>Kurka</v>
      </c>
      <c r="F670" s="2" t="str">
        <f>_xlfn.XLOOKUP(B670,Master[Product_Code],Master[Fabric])</f>
        <v>Lycra</v>
      </c>
      <c r="G670" s="2">
        <f>_xlfn.XLOOKUP(B670,Master[Product_Code],Master[Size])</f>
        <v>34</v>
      </c>
      <c r="H670" s="2" t="str">
        <f>_xlfn.XLOOKUP(B670,Master[Product_Code],Master[Color])</f>
        <v>Brown</v>
      </c>
      <c r="I670" s="4">
        <f>_xlfn.XLOOKUP(B670,Master[Product_Code],Master[Stock_Qty])</f>
        <v>6</v>
      </c>
      <c r="J670" s="6">
        <f>SUMIFS(
  Sales_Entry[Qty],
  Sales_Entry[Product_Code], Stock_Table[[#This Row],[Product_Code]]
)</f>
        <v>0</v>
      </c>
      <c r="K670" s="4">
        <f>SUMIFS(
  Exchange_Return[Qty],
  Exchange_Return[Product_Code], Stock_Table[[#This Row],[Product_Code]]
)</f>
        <v>0</v>
      </c>
      <c r="L670" s="4">
        <f>I670-J670+K670</f>
        <v>6</v>
      </c>
      <c r="M670" s="2" t="str" cm="1">
        <f t="array" ref="M670">_xlfn.IFS(L670=0,"Out of Stock",L670&gt;=2,"Limited Stock",L670&lt;2,"In Stock")</f>
        <v>Limited Stock</v>
      </c>
    </row>
    <row r="671" spans="2:13">
      <c r="B671" s="2" t="s">
        <v>1236</v>
      </c>
      <c r="C671" s="5" t="str">
        <f>_xlfn.XLOOKUP(B671,Master[Product_Code],Master[Category])</f>
        <v>Pants</v>
      </c>
      <c r="D671" s="2" t="str">
        <f>_xlfn.XLOOKUP(B671,Master[Product_Code],Master[Brand])</f>
        <v>Park Avenue</v>
      </c>
      <c r="E671" s="2" t="str">
        <f>_xlfn.XLOOKUP(B671,Master[Product_Code],Master[Style])</f>
        <v>Boot Cut</v>
      </c>
      <c r="F671" s="2" t="str">
        <f>_xlfn.XLOOKUP(B671,Master[Product_Code],Master[Fabric])</f>
        <v>Poly Viscose</v>
      </c>
      <c r="G671" s="2">
        <f>_xlfn.XLOOKUP(B671,Master[Product_Code],Master[Size])</f>
        <v>28</v>
      </c>
      <c r="H671" s="2" t="str">
        <f>_xlfn.XLOOKUP(B671,Master[Product_Code],Master[Color])</f>
        <v>Grey</v>
      </c>
      <c r="I671" s="4">
        <f>_xlfn.XLOOKUP(B671,Master[Product_Code],Master[Stock_Qty])</f>
        <v>4</v>
      </c>
      <c r="J671" s="6">
        <f>SUMIFS(
  Sales_Entry[Qty],
  Sales_Entry[Product_Code], Stock_Table[[#This Row],[Product_Code]]
)</f>
        <v>3</v>
      </c>
      <c r="K671" s="4">
        <f>SUMIFS(
  Exchange_Return[Qty],
  Exchange_Return[Product_Code], Stock_Table[[#This Row],[Product_Code]]
)</f>
        <v>0</v>
      </c>
      <c r="L671" s="4">
        <f>I671-J671+K671</f>
        <v>1</v>
      </c>
      <c r="M671" s="2" t="str" cm="1">
        <f t="array" ref="M671">_xlfn.IFS(L671=0,"Out of Stock",L671&gt;=2,"Limited Stock",L671&lt;2,"In Stock")</f>
        <v>In Stock</v>
      </c>
    </row>
    <row r="672" spans="2:13">
      <c r="B672" s="2" t="s">
        <v>1237</v>
      </c>
      <c r="C672" s="5" t="str">
        <f>_xlfn.XLOOKUP(B672,Master[Product_Code],Master[Category])</f>
        <v>Pants</v>
      </c>
      <c r="D672" s="2" t="str">
        <f>_xlfn.XLOOKUP(B672,Master[Product_Code],Master[Brand])</f>
        <v>Peter England</v>
      </c>
      <c r="E672" s="2" t="str">
        <f>_xlfn.XLOOKUP(B672,Master[Product_Code],Master[Style])</f>
        <v>Polofit</v>
      </c>
      <c r="F672" s="2" t="str">
        <f>_xlfn.XLOOKUP(B672,Master[Product_Code],Master[Fabric])</f>
        <v>Lycra</v>
      </c>
      <c r="G672" s="2">
        <f>_xlfn.XLOOKUP(B672,Master[Product_Code],Master[Size])</f>
        <v>36</v>
      </c>
      <c r="H672" s="2" t="str">
        <f>_xlfn.XLOOKUP(B672,Master[Product_Code],Master[Color])</f>
        <v>Dark Green</v>
      </c>
      <c r="I672" s="4">
        <f>_xlfn.XLOOKUP(B672,Master[Product_Code],Master[Stock_Qty])</f>
        <v>4</v>
      </c>
      <c r="J672" s="6">
        <f>SUMIFS(
  Sales_Entry[Qty],
  Sales_Entry[Product_Code], Stock_Table[[#This Row],[Product_Code]]
)</f>
        <v>3</v>
      </c>
      <c r="K672" s="4">
        <f>SUMIFS(
  Exchange_Return[Qty],
  Exchange_Return[Product_Code], Stock_Table[[#This Row],[Product_Code]]
)</f>
        <v>0</v>
      </c>
      <c r="L672" s="4">
        <f>I672-J672+K672</f>
        <v>1</v>
      </c>
      <c r="M672" s="2" t="str" cm="1">
        <f t="array" ref="M672">_xlfn.IFS(L672=0,"Out of Stock",L672&gt;=2,"Limited Stock",L672&lt;2,"In Stock")</f>
        <v>In Stock</v>
      </c>
    </row>
    <row r="673" spans="2:13">
      <c r="B673" s="2" t="s">
        <v>1238</v>
      </c>
      <c r="C673" s="5" t="str">
        <f>_xlfn.XLOOKUP(B673,Master[Product_Code],Master[Category])</f>
        <v>Pants</v>
      </c>
      <c r="D673" s="2" t="str">
        <f>_xlfn.XLOOKUP(B673,Master[Product_Code],Master[Brand])</f>
        <v>Raymond</v>
      </c>
      <c r="E673" s="2" t="str">
        <f>_xlfn.XLOOKUP(B673,Master[Product_Code],Master[Style])</f>
        <v>Boot Cut</v>
      </c>
      <c r="F673" s="2" t="str">
        <f>_xlfn.XLOOKUP(B673,Master[Product_Code],Master[Fabric])</f>
        <v>Cotton</v>
      </c>
      <c r="G673" s="2">
        <f>_xlfn.XLOOKUP(B673,Master[Product_Code],Master[Size])</f>
        <v>28</v>
      </c>
      <c r="H673" s="2" t="str">
        <f>_xlfn.XLOOKUP(B673,Master[Product_Code],Master[Color])</f>
        <v>Navy Blue</v>
      </c>
      <c r="I673" s="4">
        <f>_xlfn.XLOOKUP(B673,Master[Product_Code],Master[Stock_Qty])</f>
        <v>5</v>
      </c>
      <c r="J673" s="6">
        <f>SUMIFS(
  Sales_Entry[Qty],
  Sales_Entry[Product_Code], Stock_Table[[#This Row],[Product_Code]]
)</f>
        <v>0</v>
      </c>
      <c r="K673" s="4">
        <f>SUMIFS(
  Exchange_Return[Qty],
  Exchange_Return[Product_Code], Stock_Table[[#This Row],[Product_Code]]
)</f>
        <v>0</v>
      </c>
      <c r="L673" s="4">
        <f>I673-J673+K673</f>
        <v>5</v>
      </c>
      <c r="M673" s="2" t="str" cm="1">
        <f t="array" ref="M673">_xlfn.IFS(L673=0,"Out of Stock",L673&gt;=2,"Limited Stock",L673&lt;2,"In Stock")</f>
        <v>Limited Stock</v>
      </c>
    </row>
    <row r="674" spans="2:13">
      <c r="B674" s="2" t="s">
        <v>1239</v>
      </c>
      <c r="C674" s="5" t="str">
        <f>_xlfn.XLOOKUP(B674,Master[Product_Code],Master[Category])</f>
        <v>Pants</v>
      </c>
      <c r="D674" s="2" t="str">
        <f>_xlfn.XLOOKUP(B674,Master[Product_Code],Master[Brand])</f>
        <v>Van Heusen</v>
      </c>
      <c r="E674" s="2" t="str">
        <f>_xlfn.XLOOKUP(B674,Master[Product_Code],Master[Style])</f>
        <v>Polofit</v>
      </c>
      <c r="F674" s="2" t="str">
        <f>_xlfn.XLOOKUP(B674,Master[Product_Code],Master[Fabric])</f>
        <v>Lycra</v>
      </c>
      <c r="G674" s="2">
        <f>_xlfn.XLOOKUP(B674,Master[Product_Code],Master[Size])</f>
        <v>38</v>
      </c>
      <c r="H674" s="2" t="str">
        <f>_xlfn.XLOOKUP(B674,Master[Product_Code],Master[Color])</f>
        <v>Navy Blue</v>
      </c>
      <c r="I674" s="4">
        <f>_xlfn.XLOOKUP(B674,Master[Product_Code],Master[Stock_Qty])</f>
        <v>6</v>
      </c>
      <c r="J674" s="6">
        <f>SUMIFS(
  Sales_Entry[Qty],
  Sales_Entry[Product_Code], Stock_Table[[#This Row],[Product_Code]]
)</f>
        <v>1</v>
      </c>
      <c r="K674" s="4">
        <f>SUMIFS(
  Exchange_Return[Qty],
  Exchange_Return[Product_Code], Stock_Table[[#This Row],[Product_Code]]
)</f>
        <v>0</v>
      </c>
      <c r="L674" s="4">
        <f>I674-J674+K674</f>
        <v>5</v>
      </c>
      <c r="M674" s="2" t="str" cm="1">
        <f t="array" ref="M674">_xlfn.IFS(L674=0,"Out of Stock",L674&gt;=2,"Limited Stock",L674&lt;2,"In Stock")</f>
        <v>Limited Stock</v>
      </c>
    </row>
    <row r="675" spans="2:13">
      <c r="B675" s="2" t="s">
        <v>1240</v>
      </c>
      <c r="C675" s="5" t="str">
        <f>_xlfn.XLOOKUP(B675,Master[Product_Code],Master[Category])</f>
        <v>Pants</v>
      </c>
      <c r="D675" s="2" t="str">
        <f>_xlfn.XLOOKUP(B675,Master[Product_Code],Master[Brand])</f>
        <v>Peter England</v>
      </c>
      <c r="E675" s="2" t="str">
        <f>_xlfn.XLOOKUP(B675,Master[Product_Code],Master[Style])</f>
        <v>Polofit</v>
      </c>
      <c r="F675" s="2" t="str">
        <f>_xlfn.XLOOKUP(B675,Master[Product_Code],Master[Fabric])</f>
        <v>Lycra</v>
      </c>
      <c r="G675" s="2">
        <f>_xlfn.XLOOKUP(B675,Master[Product_Code],Master[Size])</f>
        <v>44</v>
      </c>
      <c r="H675" s="2" t="str">
        <f>_xlfn.XLOOKUP(B675,Master[Product_Code],Master[Color])</f>
        <v>Sky Blue</v>
      </c>
      <c r="I675" s="4">
        <f>_xlfn.XLOOKUP(B675,Master[Product_Code],Master[Stock_Qty])</f>
        <v>5</v>
      </c>
      <c r="J675" s="6">
        <f>SUMIFS(
  Sales_Entry[Qty],
  Sales_Entry[Product_Code], Stock_Table[[#This Row],[Product_Code]]
)</f>
        <v>2</v>
      </c>
      <c r="K675" s="4">
        <f>SUMIFS(
  Exchange_Return[Qty],
  Exchange_Return[Product_Code], Stock_Table[[#This Row],[Product_Code]]
)</f>
        <v>0</v>
      </c>
      <c r="L675" s="4">
        <f>I675-J675+K675</f>
        <v>3</v>
      </c>
      <c r="M675" s="2" t="str" cm="1">
        <f t="array" ref="M675">_xlfn.IFS(L675=0,"Out of Stock",L675&gt;=2,"Limited Stock",L675&lt;2,"In Stock")</f>
        <v>Limited Stock</v>
      </c>
    </row>
    <row r="676" spans="2:13">
      <c r="B676" s="2" t="s">
        <v>1241</v>
      </c>
      <c r="C676" s="5" t="str">
        <f>_xlfn.XLOOKUP(B676,Master[Product_Code],Master[Category])</f>
        <v>Pants</v>
      </c>
      <c r="D676" s="2" t="str">
        <f>_xlfn.XLOOKUP(B676,Master[Product_Code],Master[Brand])</f>
        <v>Raymond</v>
      </c>
      <c r="E676" s="2" t="str">
        <f>_xlfn.XLOOKUP(B676,Master[Product_Code],Master[Style])</f>
        <v>Kurka</v>
      </c>
      <c r="F676" s="2" t="str">
        <f>_xlfn.XLOOKUP(B676,Master[Product_Code],Master[Fabric])</f>
        <v>Lycra</v>
      </c>
      <c r="G676" s="2">
        <f>_xlfn.XLOOKUP(B676,Master[Product_Code],Master[Size])</f>
        <v>30</v>
      </c>
      <c r="H676" s="2" t="str">
        <f>_xlfn.XLOOKUP(B676,Master[Product_Code],Master[Color])</f>
        <v>Mustard</v>
      </c>
      <c r="I676" s="4">
        <f>_xlfn.XLOOKUP(B676,Master[Product_Code],Master[Stock_Qty])</f>
        <v>5</v>
      </c>
      <c r="J676" s="6">
        <f>SUMIFS(
  Sales_Entry[Qty],
  Sales_Entry[Product_Code], Stock_Table[[#This Row],[Product_Code]]
)</f>
        <v>2</v>
      </c>
      <c r="K676" s="4">
        <f>SUMIFS(
  Exchange_Return[Qty],
  Exchange_Return[Product_Code], Stock_Table[[#This Row],[Product_Code]]
)</f>
        <v>0</v>
      </c>
      <c r="L676" s="4">
        <f>I676-J676+K676</f>
        <v>3</v>
      </c>
      <c r="M676" s="2" t="str" cm="1">
        <f t="array" ref="M676">_xlfn.IFS(L676=0,"Out of Stock",L676&gt;=2,"Limited Stock",L676&lt;2,"In Stock")</f>
        <v>Limited Stock</v>
      </c>
    </row>
    <row r="677" spans="2:13">
      <c r="B677" s="2" t="s">
        <v>1242</v>
      </c>
      <c r="C677" s="5" t="str">
        <f>_xlfn.XLOOKUP(B677,Master[Product_Code],Master[Category])</f>
        <v>Pants</v>
      </c>
      <c r="D677" s="2" t="str">
        <f>_xlfn.XLOOKUP(B677,Master[Product_Code],Master[Brand])</f>
        <v>Louis Philippe</v>
      </c>
      <c r="E677" s="2" t="str">
        <f>_xlfn.XLOOKUP(B677,Master[Product_Code],Master[Style])</f>
        <v>Kurka</v>
      </c>
      <c r="F677" s="2" t="str">
        <f>_xlfn.XLOOKUP(B677,Master[Product_Code],Master[Fabric])</f>
        <v>Lycra</v>
      </c>
      <c r="G677" s="2">
        <f>_xlfn.XLOOKUP(B677,Master[Product_Code],Master[Size])</f>
        <v>34</v>
      </c>
      <c r="H677" s="2" t="str">
        <f>_xlfn.XLOOKUP(B677,Master[Product_Code],Master[Color])</f>
        <v>Maroon</v>
      </c>
      <c r="I677" s="4">
        <f>_xlfn.XLOOKUP(B677,Master[Product_Code],Master[Stock_Qty])</f>
        <v>3</v>
      </c>
      <c r="J677" s="6">
        <f>SUMIFS(
  Sales_Entry[Qty],
  Sales_Entry[Product_Code], Stock_Table[[#This Row],[Product_Code]]
)</f>
        <v>2</v>
      </c>
      <c r="K677" s="4">
        <f>SUMIFS(
  Exchange_Return[Qty],
  Exchange_Return[Product_Code], Stock_Table[[#This Row],[Product_Code]]
)</f>
        <v>0</v>
      </c>
      <c r="L677" s="4">
        <f>I677-J677+K677</f>
        <v>1</v>
      </c>
      <c r="M677" s="2" t="str" cm="1">
        <f t="array" ref="M677">_xlfn.IFS(L677=0,"Out of Stock",L677&gt;=2,"Limited Stock",L677&lt;2,"In Stock")</f>
        <v>In Stock</v>
      </c>
    </row>
    <row r="678" spans="2:13">
      <c r="B678" s="2" t="s">
        <v>1243</v>
      </c>
      <c r="C678" s="5" t="str">
        <f>_xlfn.XLOOKUP(B678,Master[Product_Code],Master[Category])</f>
        <v>Pants</v>
      </c>
      <c r="D678" s="2" t="str">
        <f>_xlfn.XLOOKUP(B678,Master[Product_Code],Master[Brand])</f>
        <v>Peter England</v>
      </c>
      <c r="E678" s="2" t="str">
        <f>_xlfn.XLOOKUP(B678,Master[Product_Code],Master[Style])</f>
        <v>Korean</v>
      </c>
      <c r="F678" s="2" t="str">
        <f>_xlfn.XLOOKUP(B678,Master[Product_Code],Master[Fabric])</f>
        <v>Lycra</v>
      </c>
      <c r="G678" s="2">
        <f>_xlfn.XLOOKUP(B678,Master[Product_Code],Master[Size])</f>
        <v>40</v>
      </c>
      <c r="H678" s="2" t="str">
        <f>_xlfn.XLOOKUP(B678,Master[Product_Code],Master[Color])</f>
        <v>Beige</v>
      </c>
      <c r="I678" s="4">
        <f>_xlfn.XLOOKUP(B678,Master[Product_Code],Master[Stock_Qty])</f>
        <v>3</v>
      </c>
      <c r="J678" s="6">
        <f>SUMIFS(
  Sales_Entry[Qty],
  Sales_Entry[Product_Code], Stock_Table[[#This Row],[Product_Code]]
)</f>
        <v>2</v>
      </c>
      <c r="K678" s="4">
        <f>SUMIFS(
  Exchange_Return[Qty],
  Exchange_Return[Product_Code], Stock_Table[[#This Row],[Product_Code]]
)</f>
        <v>0</v>
      </c>
      <c r="L678" s="4">
        <f>I678-J678+K678</f>
        <v>1</v>
      </c>
      <c r="M678" s="2" t="str" cm="1">
        <f t="array" ref="M678">_xlfn.IFS(L678=0,"Out of Stock",L678&gt;=2,"Limited Stock",L678&lt;2,"In Stock")</f>
        <v>In Stock</v>
      </c>
    </row>
    <row r="679" spans="2:13">
      <c r="B679" s="2" t="s">
        <v>1244</v>
      </c>
      <c r="C679" s="5" t="str">
        <f>_xlfn.XLOOKUP(B679,Master[Product_Code],Master[Category])</f>
        <v>Pants</v>
      </c>
      <c r="D679" s="2" t="str">
        <f>_xlfn.XLOOKUP(B679,Master[Product_Code],Master[Brand])</f>
        <v>Park Avenue</v>
      </c>
      <c r="E679" s="2" t="str">
        <f>_xlfn.XLOOKUP(B679,Master[Product_Code],Master[Style])</f>
        <v>Korean</v>
      </c>
      <c r="F679" s="2" t="str">
        <f>_xlfn.XLOOKUP(B679,Master[Product_Code],Master[Fabric])</f>
        <v>Lycra</v>
      </c>
      <c r="G679" s="2">
        <f>_xlfn.XLOOKUP(B679,Master[Product_Code],Master[Size])</f>
        <v>30</v>
      </c>
      <c r="H679" s="2" t="str">
        <f>_xlfn.XLOOKUP(B679,Master[Product_Code],Master[Color])</f>
        <v>Mustard</v>
      </c>
      <c r="I679" s="4">
        <f>_xlfn.XLOOKUP(B679,Master[Product_Code],Master[Stock_Qty])</f>
        <v>6</v>
      </c>
      <c r="J679" s="6">
        <f>SUMIFS(
  Sales_Entry[Qty],
  Sales_Entry[Product_Code], Stock_Table[[#This Row],[Product_Code]]
)</f>
        <v>1</v>
      </c>
      <c r="K679" s="4">
        <f>SUMIFS(
  Exchange_Return[Qty],
  Exchange_Return[Product_Code], Stock_Table[[#This Row],[Product_Code]]
)</f>
        <v>0</v>
      </c>
      <c r="L679" s="4">
        <f>I679-J679+K679</f>
        <v>5</v>
      </c>
      <c r="M679" s="2" t="str" cm="1">
        <f t="array" ref="M679">_xlfn.IFS(L679=0,"Out of Stock",L679&gt;=2,"Limited Stock",L679&lt;2,"In Stock")</f>
        <v>Limited Stock</v>
      </c>
    </row>
    <row r="680" spans="2:13">
      <c r="B680" s="2" t="s">
        <v>1245</v>
      </c>
      <c r="C680" s="5" t="str">
        <f>_xlfn.XLOOKUP(B680,Master[Product_Code],Master[Category])</f>
        <v>Pants</v>
      </c>
      <c r="D680" s="2" t="str">
        <f>_xlfn.XLOOKUP(B680,Master[Product_Code],Master[Brand])</f>
        <v>Peter England</v>
      </c>
      <c r="E680" s="2" t="str">
        <f>_xlfn.XLOOKUP(B680,Master[Product_Code],Master[Style])</f>
        <v>Korean</v>
      </c>
      <c r="F680" s="2" t="str">
        <f>_xlfn.XLOOKUP(B680,Master[Product_Code],Master[Fabric])</f>
        <v>Lycra</v>
      </c>
      <c r="G680" s="2">
        <f>_xlfn.XLOOKUP(B680,Master[Product_Code],Master[Size])</f>
        <v>38</v>
      </c>
      <c r="H680" s="2" t="str">
        <f>_xlfn.XLOOKUP(B680,Master[Product_Code],Master[Color])</f>
        <v>Peach</v>
      </c>
      <c r="I680" s="4">
        <f>_xlfn.XLOOKUP(B680,Master[Product_Code],Master[Stock_Qty])</f>
        <v>5</v>
      </c>
      <c r="J680" s="6">
        <f>SUMIFS(
  Sales_Entry[Qty],
  Sales_Entry[Product_Code], Stock_Table[[#This Row],[Product_Code]]
)</f>
        <v>2</v>
      </c>
      <c r="K680" s="4">
        <f>SUMIFS(
  Exchange_Return[Qty],
  Exchange_Return[Product_Code], Stock_Table[[#This Row],[Product_Code]]
)</f>
        <v>0</v>
      </c>
      <c r="L680" s="4">
        <f>I680-J680+K680</f>
        <v>3</v>
      </c>
      <c r="M680" s="2" t="str" cm="1">
        <f t="array" ref="M680">_xlfn.IFS(L680=0,"Out of Stock",L680&gt;=2,"Limited Stock",L680&lt;2,"In Stock")</f>
        <v>Limited Stock</v>
      </c>
    </row>
    <row r="681" spans="2:13">
      <c r="B681" s="2" t="s">
        <v>1246</v>
      </c>
      <c r="C681" s="5" t="str">
        <f>_xlfn.XLOOKUP(B681,Master[Product_Code],Master[Category])</f>
        <v>Pants</v>
      </c>
      <c r="D681" s="2" t="str">
        <f>_xlfn.XLOOKUP(B681,Master[Product_Code],Master[Brand])</f>
        <v>Raymond</v>
      </c>
      <c r="E681" s="2" t="str">
        <f>_xlfn.XLOOKUP(B681,Master[Product_Code],Master[Style])</f>
        <v>Jogger</v>
      </c>
      <c r="F681" s="2" t="str">
        <f>_xlfn.XLOOKUP(B681,Master[Product_Code],Master[Fabric])</f>
        <v>Cotton</v>
      </c>
      <c r="G681" s="2">
        <f>_xlfn.XLOOKUP(B681,Master[Product_Code],Master[Size])</f>
        <v>28</v>
      </c>
      <c r="H681" s="2" t="str">
        <f>_xlfn.XLOOKUP(B681,Master[Product_Code],Master[Color])</f>
        <v>Charcoal</v>
      </c>
      <c r="I681" s="4">
        <f>_xlfn.XLOOKUP(B681,Master[Product_Code],Master[Stock_Qty])</f>
        <v>5</v>
      </c>
      <c r="J681" s="6">
        <f>SUMIFS(
  Sales_Entry[Qty],
  Sales_Entry[Product_Code], Stock_Table[[#This Row],[Product_Code]]
)</f>
        <v>4</v>
      </c>
      <c r="K681" s="4">
        <f>SUMIFS(
  Exchange_Return[Qty],
  Exchange_Return[Product_Code], Stock_Table[[#This Row],[Product_Code]]
)</f>
        <v>0</v>
      </c>
      <c r="L681" s="4">
        <f>I681-J681+K681</f>
        <v>1</v>
      </c>
      <c r="M681" s="2" t="str" cm="1">
        <f t="array" ref="M681">_xlfn.IFS(L681=0,"Out of Stock",L681&gt;=2,"Limited Stock",L681&lt;2,"In Stock")</f>
        <v>In Stock</v>
      </c>
    </row>
    <row r="682" spans="2:13">
      <c r="B682" s="2" t="s">
        <v>1247</v>
      </c>
      <c r="C682" s="5" t="str">
        <f>_xlfn.XLOOKUP(B682,Master[Product_Code],Master[Category])</f>
        <v>Pants</v>
      </c>
      <c r="D682" s="2" t="str">
        <f>_xlfn.XLOOKUP(B682,Master[Product_Code],Master[Brand])</f>
        <v>Louis Philippe</v>
      </c>
      <c r="E682" s="2" t="str">
        <f>_xlfn.XLOOKUP(B682,Master[Product_Code],Master[Style])</f>
        <v>Korean</v>
      </c>
      <c r="F682" s="2" t="str">
        <f>_xlfn.XLOOKUP(B682,Master[Product_Code],Master[Fabric])</f>
        <v>Lycra</v>
      </c>
      <c r="G682" s="2">
        <f>_xlfn.XLOOKUP(B682,Master[Product_Code],Master[Size])</f>
        <v>38</v>
      </c>
      <c r="H682" s="2" t="str">
        <f>_xlfn.XLOOKUP(B682,Master[Product_Code],Master[Color])</f>
        <v>Sky Blue</v>
      </c>
      <c r="I682" s="4">
        <f>_xlfn.XLOOKUP(B682,Master[Product_Code],Master[Stock_Qty])</f>
        <v>4</v>
      </c>
      <c r="J682" s="6">
        <f>SUMIFS(
  Sales_Entry[Qty],
  Sales_Entry[Product_Code], Stock_Table[[#This Row],[Product_Code]]
)</f>
        <v>3</v>
      </c>
      <c r="K682" s="4">
        <f>SUMIFS(
  Exchange_Return[Qty],
  Exchange_Return[Product_Code], Stock_Table[[#This Row],[Product_Code]]
)</f>
        <v>1</v>
      </c>
      <c r="L682" s="4">
        <f>I682-J682+K682</f>
        <v>2</v>
      </c>
      <c r="M682" s="2" t="str" cm="1">
        <f t="array" ref="M682">_xlfn.IFS(L682=0,"Out of Stock",L682&gt;=2,"Limited Stock",L682&lt;2,"In Stock")</f>
        <v>Limited Stock</v>
      </c>
    </row>
    <row r="683" spans="2:13">
      <c r="B683" s="2" t="s">
        <v>1248</v>
      </c>
      <c r="C683" s="5" t="str">
        <f>_xlfn.XLOOKUP(B683,Master[Product_Code],Master[Category])</f>
        <v>Pants</v>
      </c>
      <c r="D683" s="2" t="str">
        <f>_xlfn.XLOOKUP(B683,Master[Product_Code],Master[Brand])</f>
        <v>Louis Philippe</v>
      </c>
      <c r="E683" s="2" t="str">
        <f>_xlfn.XLOOKUP(B683,Master[Product_Code],Master[Style])</f>
        <v>Polofit</v>
      </c>
      <c r="F683" s="2" t="str">
        <f>_xlfn.XLOOKUP(B683,Master[Product_Code],Master[Fabric])</f>
        <v>Lycra</v>
      </c>
      <c r="G683" s="2">
        <f>_xlfn.XLOOKUP(B683,Master[Product_Code],Master[Size])</f>
        <v>36</v>
      </c>
      <c r="H683" s="2" t="str">
        <f>_xlfn.XLOOKUP(B683,Master[Product_Code],Master[Color])</f>
        <v>Brown</v>
      </c>
      <c r="I683" s="4">
        <f>_xlfn.XLOOKUP(B683,Master[Product_Code],Master[Stock_Qty])</f>
        <v>3</v>
      </c>
      <c r="J683" s="6">
        <f>SUMIFS(
  Sales_Entry[Qty],
  Sales_Entry[Product_Code], Stock_Table[[#This Row],[Product_Code]]
)</f>
        <v>1</v>
      </c>
      <c r="K683" s="4">
        <f>SUMIFS(
  Exchange_Return[Qty],
  Exchange_Return[Product_Code], Stock_Table[[#This Row],[Product_Code]]
)</f>
        <v>0</v>
      </c>
      <c r="L683" s="4">
        <f>I683-J683+K683</f>
        <v>2</v>
      </c>
      <c r="M683" s="2" t="str" cm="1">
        <f t="array" ref="M683">_xlfn.IFS(L683=0,"Out of Stock",L683&gt;=2,"Limited Stock",L683&lt;2,"In Stock")</f>
        <v>Limited Stock</v>
      </c>
    </row>
    <row r="684" spans="2:13">
      <c r="B684" s="2" t="s">
        <v>1249</v>
      </c>
      <c r="C684" s="5" t="str">
        <f>_xlfn.XLOOKUP(B684,Master[Product_Code],Master[Category])</f>
        <v>Pants</v>
      </c>
      <c r="D684" s="2" t="str">
        <f>_xlfn.XLOOKUP(B684,Master[Product_Code],Master[Brand])</f>
        <v>Van Heusen</v>
      </c>
      <c r="E684" s="2" t="str">
        <f>_xlfn.XLOOKUP(B684,Master[Product_Code],Master[Style])</f>
        <v>Kurka</v>
      </c>
      <c r="F684" s="2" t="str">
        <f>_xlfn.XLOOKUP(B684,Master[Product_Code],Master[Fabric])</f>
        <v>Lycra</v>
      </c>
      <c r="G684" s="2">
        <f>_xlfn.XLOOKUP(B684,Master[Product_Code],Master[Size])</f>
        <v>42</v>
      </c>
      <c r="H684" s="2" t="str">
        <f>_xlfn.XLOOKUP(B684,Master[Product_Code],Master[Color])</f>
        <v>Mustard</v>
      </c>
      <c r="I684" s="4">
        <f>_xlfn.XLOOKUP(B684,Master[Product_Code],Master[Stock_Qty])</f>
        <v>6</v>
      </c>
      <c r="J684" s="6">
        <f>SUMIFS(
  Sales_Entry[Qty],
  Sales_Entry[Product_Code], Stock_Table[[#This Row],[Product_Code]]
)</f>
        <v>2</v>
      </c>
      <c r="K684" s="4">
        <f>SUMIFS(
  Exchange_Return[Qty],
  Exchange_Return[Product_Code], Stock_Table[[#This Row],[Product_Code]]
)</f>
        <v>0</v>
      </c>
      <c r="L684" s="4">
        <f>I684-J684+K684</f>
        <v>4</v>
      </c>
      <c r="M684" s="2" t="str" cm="1">
        <f t="array" ref="M684">_xlfn.IFS(L684=0,"Out of Stock",L684&gt;=2,"Limited Stock",L684&lt;2,"In Stock")</f>
        <v>Limited Stock</v>
      </c>
    </row>
    <row r="685" spans="2:13">
      <c r="B685" s="2" t="s">
        <v>1250</v>
      </c>
      <c r="C685" s="5" t="str">
        <f>_xlfn.XLOOKUP(B685,Master[Product_Code],Master[Category])</f>
        <v>Pants</v>
      </c>
      <c r="D685" s="2" t="str">
        <f>_xlfn.XLOOKUP(B685,Master[Product_Code],Master[Brand])</f>
        <v>Van Heusen</v>
      </c>
      <c r="E685" s="2" t="str">
        <f>_xlfn.XLOOKUP(B685,Master[Product_Code],Master[Style])</f>
        <v>Polofit</v>
      </c>
      <c r="F685" s="2" t="str">
        <f>_xlfn.XLOOKUP(B685,Master[Product_Code],Master[Fabric])</f>
        <v>Lycra</v>
      </c>
      <c r="G685" s="2">
        <f>_xlfn.XLOOKUP(B685,Master[Product_Code],Master[Size])</f>
        <v>42</v>
      </c>
      <c r="H685" s="2" t="str">
        <f>_xlfn.XLOOKUP(B685,Master[Product_Code],Master[Color])</f>
        <v>Bottle Green</v>
      </c>
      <c r="I685" s="4">
        <f>_xlfn.XLOOKUP(B685,Master[Product_Code],Master[Stock_Qty])</f>
        <v>5</v>
      </c>
      <c r="J685" s="6">
        <f>SUMIFS(
  Sales_Entry[Qty],
  Sales_Entry[Product_Code], Stock_Table[[#This Row],[Product_Code]]
)</f>
        <v>2</v>
      </c>
      <c r="K685" s="4">
        <f>SUMIFS(
  Exchange_Return[Qty],
  Exchange_Return[Product_Code], Stock_Table[[#This Row],[Product_Code]]
)</f>
        <v>0</v>
      </c>
      <c r="L685" s="4">
        <f>I685-J685+K685</f>
        <v>3</v>
      </c>
      <c r="M685" s="2" t="str" cm="1">
        <f t="array" ref="M685">_xlfn.IFS(L685=0,"Out of Stock",L685&gt;=2,"Limited Stock",L685&lt;2,"In Stock")</f>
        <v>Limited Stock</v>
      </c>
    </row>
    <row r="686" spans="2:13">
      <c r="B686" s="2" t="s">
        <v>1251</v>
      </c>
      <c r="C686" s="5" t="str">
        <f>_xlfn.XLOOKUP(B686,Master[Product_Code],Master[Category])</f>
        <v>Pants</v>
      </c>
      <c r="D686" s="2" t="str">
        <f>_xlfn.XLOOKUP(B686,Master[Product_Code],Master[Brand])</f>
        <v>Raymond</v>
      </c>
      <c r="E686" s="2" t="str">
        <f>_xlfn.XLOOKUP(B686,Master[Product_Code],Master[Style])</f>
        <v>Kurka</v>
      </c>
      <c r="F686" s="2" t="str">
        <f>_xlfn.XLOOKUP(B686,Master[Product_Code],Master[Fabric])</f>
        <v>Lycra</v>
      </c>
      <c r="G686" s="2">
        <f>_xlfn.XLOOKUP(B686,Master[Product_Code],Master[Size])</f>
        <v>36</v>
      </c>
      <c r="H686" s="2" t="str">
        <f>_xlfn.XLOOKUP(B686,Master[Product_Code],Master[Color])</f>
        <v>Wine</v>
      </c>
      <c r="I686" s="4">
        <f>_xlfn.XLOOKUP(B686,Master[Product_Code],Master[Stock_Qty])</f>
        <v>3</v>
      </c>
      <c r="J686" s="6">
        <f>SUMIFS(
  Sales_Entry[Qty],
  Sales_Entry[Product_Code], Stock_Table[[#This Row],[Product_Code]]
)</f>
        <v>3</v>
      </c>
      <c r="K686" s="4">
        <f>SUMIFS(
  Exchange_Return[Qty],
  Exchange_Return[Product_Code], Stock_Table[[#This Row],[Product_Code]]
)</f>
        <v>0</v>
      </c>
      <c r="L686" s="4">
        <f>I686-J686+K686</f>
        <v>0</v>
      </c>
      <c r="M686" s="2" t="str" cm="1">
        <f t="array" ref="M686">_xlfn.IFS(L686=0,"Out of Stock",L686&gt;=2,"Limited Stock",L686&lt;2,"In Stock")</f>
        <v>Out of Stock</v>
      </c>
    </row>
    <row r="687" spans="2:13">
      <c r="B687" s="2" t="s">
        <v>1252</v>
      </c>
      <c r="C687" s="5" t="str">
        <f>_xlfn.XLOOKUP(B687,Master[Product_Code],Master[Category])</f>
        <v>Pants</v>
      </c>
      <c r="D687" s="2" t="str">
        <f>_xlfn.XLOOKUP(B687,Master[Product_Code],Master[Brand])</f>
        <v>Louis Philippe</v>
      </c>
      <c r="E687" s="2" t="str">
        <f>_xlfn.XLOOKUP(B687,Master[Product_Code],Master[Style])</f>
        <v>Jogger</v>
      </c>
      <c r="F687" s="2" t="str">
        <f>_xlfn.XLOOKUP(B687,Master[Product_Code],Master[Fabric])</f>
        <v>Cotton Blend</v>
      </c>
      <c r="G687" s="2">
        <f>_xlfn.XLOOKUP(B687,Master[Product_Code],Master[Size])</f>
        <v>44</v>
      </c>
      <c r="H687" s="2" t="str">
        <f>_xlfn.XLOOKUP(B687,Master[Product_Code],Master[Color])</f>
        <v>Mustard</v>
      </c>
      <c r="I687" s="4">
        <f>_xlfn.XLOOKUP(B687,Master[Product_Code],Master[Stock_Qty])</f>
        <v>6</v>
      </c>
      <c r="J687" s="6">
        <f>SUMIFS(
  Sales_Entry[Qty],
  Sales_Entry[Product_Code], Stock_Table[[#This Row],[Product_Code]]
)</f>
        <v>2</v>
      </c>
      <c r="K687" s="4">
        <f>SUMIFS(
  Exchange_Return[Qty],
  Exchange_Return[Product_Code], Stock_Table[[#This Row],[Product_Code]]
)</f>
        <v>0</v>
      </c>
      <c r="L687" s="4">
        <f>I687-J687+K687</f>
        <v>4</v>
      </c>
      <c r="M687" s="2" t="str" cm="1">
        <f t="array" ref="M687">_xlfn.IFS(L687=0,"Out of Stock",L687&gt;=2,"Limited Stock",L687&lt;2,"In Stock")</f>
        <v>Limited Stock</v>
      </c>
    </row>
    <row r="688" spans="2:13">
      <c r="B688" s="2" t="s">
        <v>1253</v>
      </c>
      <c r="C688" s="5" t="str">
        <f>_xlfn.XLOOKUP(B688,Master[Product_Code],Master[Category])</f>
        <v>Pants</v>
      </c>
      <c r="D688" s="2" t="str">
        <f>_xlfn.XLOOKUP(B688,Master[Product_Code],Master[Brand])</f>
        <v>Raymond</v>
      </c>
      <c r="E688" s="2" t="str">
        <f>_xlfn.XLOOKUP(B688,Master[Product_Code],Master[Style])</f>
        <v>Polofit</v>
      </c>
      <c r="F688" s="2" t="str">
        <f>_xlfn.XLOOKUP(B688,Master[Product_Code],Master[Fabric])</f>
        <v>Lycra</v>
      </c>
      <c r="G688" s="2">
        <f>_xlfn.XLOOKUP(B688,Master[Product_Code],Master[Size])</f>
        <v>32</v>
      </c>
      <c r="H688" s="2" t="str">
        <f>_xlfn.XLOOKUP(B688,Master[Product_Code],Master[Color])</f>
        <v>Cream</v>
      </c>
      <c r="I688" s="4">
        <f>_xlfn.XLOOKUP(B688,Master[Product_Code],Master[Stock_Qty])</f>
        <v>4</v>
      </c>
      <c r="J688" s="6">
        <f>SUMIFS(
  Sales_Entry[Qty],
  Sales_Entry[Product_Code], Stock_Table[[#This Row],[Product_Code]]
)</f>
        <v>1</v>
      </c>
      <c r="K688" s="4">
        <f>SUMIFS(
  Exchange_Return[Qty],
  Exchange_Return[Product_Code], Stock_Table[[#This Row],[Product_Code]]
)</f>
        <v>0</v>
      </c>
      <c r="L688" s="4">
        <f>I688-J688+K688</f>
        <v>3</v>
      </c>
      <c r="M688" s="2" t="str" cm="1">
        <f t="array" ref="M688">_xlfn.IFS(L688=0,"Out of Stock",L688&gt;=2,"Limited Stock",L688&lt;2,"In Stock")</f>
        <v>Limited Stock</v>
      </c>
    </row>
    <row r="689" spans="2:13">
      <c r="B689" s="2" t="s">
        <v>1254</v>
      </c>
      <c r="C689" s="5" t="str">
        <f>_xlfn.XLOOKUP(B689,Master[Product_Code],Master[Category])</f>
        <v>Pants</v>
      </c>
      <c r="D689" s="2" t="str">
        <f>_xlfn.XLOOKUP(B689,Master[Product_Code],Master[Brand])</f>
        <v>Louis Philippe</v>
      </c>
      <c r="E689" s="2" t="str">
        <f>_xlfn.XLOOKUP(B689,Master[Product_Code],Master[Style])</f>
        <v>Kurka</v>
      </c>
      <c r="F689" s="2" t="str">
        <f>_xlfn.XLOOKUP(B689,Master[Product_Code],Master[Fabric])</f>
        <v>Lycra</v>
      </c>
      <c r="G689" s="2">
        <f>_xlfn.XLOOKUP(B689,Master[Product_Code],Master[Size])</f>
        <v>36</v>
      </c>
      <c r="H689" s="2" t="str">
        <f>_xlfn.XLOOKUP(B689,Master[Product_Code],Master[Color])</f>
        <v>Mustard</v>
      </c>
      <c r="I689" s="4">
        <f>_xlfn.XLOOKUP(B689,Master[Product_Code],Master[Stock_Qty])</f>
        <v>3</v>
      </c>
      <c r="J689" s="6">
        <f>SUMIFS(
  Sales_Entry[Qty],
  Sales_Entry[Product_Code], Stock_Table[[#This Row],[Product_Code]]
)</f>
        <v>1</v>
      </c>
      <c r="K689" s="4">
        <f>SUMIFS(
  Exchange_Return[Qty],
  Exchange_Return[Product_Code], Stock_Table[[#This Row],[Product_Code]]
)</f>
        <v>0</v>
      </c>
      <c r="L689" s="4">
        <f>I689-J689+K689</f>
        <v>2</v>
      </c>
      <c r="M689" s="2" t="str" cm="1">
        <f t="array" ref="M689">_xlfn.IFS(L689=0,"Out of Stock",L689&gt;=2,"Limited Stock",L689&lt;2,"In Stock")</f>
        <v>Limited Stock</v>
      </c>
    </row>
    <row r="690" spans="2:13">
      <c r="B690" s="2" t="s">
        <v>1255</v>
      </c>
      <c r="C690" s="5" t="str">
        <f>_xlfn.XLOOKUP(B690,Master[Product_Code],Master[Category])</f>
        <v>Pants</v>
      </c>
      <c r="D690" s="2" t="str">
        <f>_xlfn.XLOOKUP(B690,Master[Product_Code],Master[Brand])</f>
        <v>Peter England</v>
      </c>
      <c r="E690" s="2" t="str">
        <f>_xlfn.XLOOKUP(B690,Master[Product_Code],Master[Style])</f>
        <v>Kurka</v>
      </c>
      <c r="F690" s="2" t="str">
        <f>_xlfn.XLOOKUP(B690,Master[Product_Code],Master[Fabric])</f>
        <v>Lycra</v>
      </c>
      <c r="G690" s="2">
        <f>_xlfn.XLOOKUP(B690,Master[Product_Code],Master[Size])</f>
        <v>32</v>
      </c>
      <c r="H690" s="2" t="str">
        <f>_xlfn.XLOOKUP(B690,Master[Product_Code],Master[Color])</f>
        <v>Royal Blue</v>
      </c>
      <c r="I690" s="4">
        <f>_xlfn.XLOOKUP(B690,Master[Product_Code],Master[Stock_Qty])</f>
        <v>6</v>
      </c>
      <c r="J690" s="6">
        <f>SUMIFS(
  Sales_Entry[Qty],
  Sales_Entry[Product_Code], Stock_Table[[#This Row],[Product_Code]]
)</f>
        <v>2</v>
      </c>
      <c r="K690" s="4">
        <f>SUMIFS(
  Exchange_Return[Qty],
  Exchange_Return[Product_Code], Stock_Table[[#This Row],[Product_Code]]
)</f>
        <v>0</v>
      </c>
      <c r="L690" s="4">
        <f>I690-J690+K690</f>
        <v>4</v>
      </c>
      <c r="M690" s="2" t="str" cm="1">
        <f t="array" ref="M690">_xlfn.IFS(L690=0,"Out of Stock",L690&gt;=2,"Limited Stock",L690&lt;2,"In Stock")</f>
        <v>Limited Stock</v>
      </c>
    </row>
    <row r="691" spans="2:13">
      <c r="B691" s="2" t="s">
        <v>1256</v>
      </c>
      <c r="C691" s="5" t="str">
        <f>_xlfn.XLOOKUP(B691,Master[Product_Code],Master[Category])</f>
        <v>Pants</v>
      </c>
      <c r="D691" s="2" t="str">
        <f>_xlfn.XLOOKUP(B691,Master[Product_Code],Master[Brand])</f>
        <v>Louis Philippe</v>
      </c>
      <c r="E691" s="2" t="str">
        <f>_xlfn.XLOOKUP(B691,Master[Product_Code],Master[Style])</f>
        <v>Boot Cut</v>
      </c>
      <c r="F691" s="2" t="str">
        <f>_xlfn.XLOOKUP(B691,Master[Product_Code],Master[Fabric])</f>
        <v>Cotton Blend</v>
      </c>
      <c r="G691" s="2">
        <f>_xlfn.XLOOKUP(B691,Master[Product_Code],Master[Size])</f>
        <v>32</v>
      </c>
      <c r="H691" s="2" t="str">
        <f>_xlfn.XLOOKUP(B691,Master[Product_Code],Master[Color])</f>
        <v>Beige</v>
      </c>
      <c r="I691" s="4">
        <f>_xlfn.XLOOKUP(B691,Master[Product_Code],Master[Stock_Qty])</f>
        <v>4</v>
      </c>
      <c r="J691" s="6">
        <f>SUMIFS(
  Sales_Entry[Qty],
  Sales_Entry[Product_Code], Stock_Table[[#This Row],[Product_Code]]
)</f>
        <v>4</v>
      </c>
      <c r="K691" s="4">
        <f>SUMIFS(
  Exchange_Return[Qty],
  Exchange_Return[Product_Code], Stock_Table[[#This Row],[Product_Code]]
)</f>
        <v>0</v>
      </c>
      <c r="L691" s="4">
        <f>I691-J691+K691</f>
        <v>0</v>
      </c>
      <c r="M691" s="2" t="str" cm="1">
        <f t="array" ref="M691">_xlfn.IFS(L691=0,"Out of Stock",L691&gt;=2,"Limited Stock",L691&lt;2,"In Stock")</f>
        <v>Out of Stock</v>
      </c>
    </row>
    <row r="692" spans="2:13">
      <c r="B692" s="2" t="s">
        <v>1257</v>
      </c>
      <c r="C692" s="5" t="str">
        <f>_xlfn.XLOOKUP(B692,Master[Product_Code],Master[Category])</f>
        <v>Pants</v>
      </c>
      <c r="D692" s="2" t="str">
        <f>_xlfn.XLOOKUP(B692,Master[Product_Code],Master[Brand])</f>
        <v>Park Avenue</v>
      </c>
      <c r="E692" s="2" t="str">
        <f>_xlfn.XLOOKUP(B692,Master[Product_Code],Master[Style])</f>
        <v>Korean</v>
      </c>
      <c r="F692" s="2" t="str">
        <f>_xlfn.XLOOKUP(B692,Master[Product_Code],Master[Fabric])</f>
        <v>Lycra</v>
      </c>
      <c r="G692" s="2">
        <f>_xlfn.XLOOKUP(B692,Master[Product_Code],Master[Size])</f>
        <v>34</v>
      </c>
      <c r="H692" s="2" t="str">
        <f>_xlfn.XLOOKUP(B692,Master[Product_Code],Master[Color])</f>
        <v>Navy Blue</v>
      </c>
      <c r="I692" s="4">
        <f>_xlfn.XLOOKUP(B692,Master[Product_Code],Master[Stock_Qty])</f>
        <v>6</v>
      </c>
      <c r="J692" s="6">
        <f>SUMIFS(
  Sales_Entry[Qty],
  Sales_Entry[Product_Code], Stock_Table[[#This Row],[Product_Code]]
)</f>
        <v>2</v>
      </c>
      <c r="K692" s="4">
        <f>SUMIFS(
  Exchange_Return[Qty],
  Exchange_Return[Product_Code], Stock_Table[[#This Row],[Product_Code]]
)</f>
        <v>0</v>
      </c>
      <c r="L692" s="4">
        <f>I692-J692+K692</f>
        <v>4</v>
      </c>
      <c r="M692" s="2" t="str" cm="1">
        <f t="array" ref="M692">_xlfn.IFS(L692=0,"Out of Stock",L692&gt;=2,"Limited Stock",L692&lt;2,"In Stock")</f>
        <v>Limited Stock</v>
      </c>
    </row>
    <row r="693" spans="2:13">
      <c r="B693" s="2" t="s">
        <v>1258</v>
      </c>
      <c r="C693" s="5" t="str">
        <f>_xlfn.XLOOKUP(B693,Master[Product_Code],Master[Category])</f>
        <v>Pants</v>
      </c>
      <c r="D693" s="2" t="str">
        <f>_xlfn.XLOOKUP(B693,Master[Product_Code],Master[Brand])</f>
        <v>Peter England</v>
      </c>
      <c r="E693" s="2" t="str">
        <f>_xlfn.XLOOKUP(B693,Master[Product_Code],Master[Style])</f>
        <v>Boot Cut</v>
      </c>
      <c r="F693" s="2" t="str">
        <f>_xlfn.XLOOKUP(B693,Master[Product_Code],Master[Fabric])</f>
        <v>Poly Viscose</v>
      </c>
      <c r="G693" s="2">
        <f>_xlfn.XLOOKUP(B693,Master[Product_Code],Master[Size])</f>
        <v>34</v>
      </c>
      <c r="H693" s="2" t="str">
        <f>_xlfn.XLOOKUP(B693,Master[Product_Code],Master[Color])</f>
        <v>Black</v>
      </c>
      <c r="I693" s="4">
        <f>_xlfn.XLOOKUP(B693,Master[Product_Code],Master[Stock_Qty])</f>
        <v>3</v>
      </c>
      <c r="J693" s="6">
        <f>SUMIFS(
  Sales_Entry[Qty],
  Sales_Entry[Product_Code], Stock_Table[[#This Row],[Product_Code]]
)</f>
        <v>3</v>
      </c>
      <c r="K693" s="4">
        <f>SUMIFS(
  Exchange_Return[Qty],
  Exchange_Return[Product_Code], Stock_Table[[#This Row],[Product_Code]]
)</f>
        <v>0</v>
      </c>
      <c r="L693" s="4">
        <f>I693-J693+K693</f>
        <v>0</v>
      </c>
      <c r="M693" s="2" t="str" cm="1">
        <f t="array" ref="M693">_xlfn.IFS(L693=0,"Out of Stock",L693&gt;=2,"Limited Stock",L693&lt;2,"In Stock")</f>
        <v>Out of Stock</v>
      </c>
    </row>
    <row r="694" spans="2:13">
      <c r="B694" s="2" t="s">
        <v>1259</v>
      </c>
      <c r="C694" s="5" t="str">
        <f>_xlfn.XLOOKUP(B694,Master[Product_Code],Master[Category])</f>
        <v>Pants</v>
      </c>
      <c r="D694" s="2" t="str">
        <f>_xlfn.XLOOKUP(B694,Master[Product_Code],Master[Brand])</f>
        <v>Park Avenue</v>
      </c>
      <c r="E694" s="2" t="str">
        <f>_xlfn.XLOOKUP(B694,Master[Product_Code],Master[Style])</f>
        <v>Kurka</v>
      </c>
      <c r="F694" s="2" t="str">
        <f>_xlfn.XLOOKUP(B694,Master[Product_Code],Master[Fabric])</f>
        <v>Lycra</v>
      </c>
      <c r="G694" s="2">
        <f>_xlfn.XLOOKUP(B694,Master[Product_Code],Master[Size])</f>
        <v>42</v>
      </c>
      <c r="H694" s="2" t="str">
        <f>_xlfn.XLOOKUP(B694,Master[Product_Code],Master[Color])</f>
        <v>Grey</v>
      </c>
      <c r="I694" s="4">
        <f>_xlfn.XLOOKUP(B694,Master[Product_Code],Master[Stock_Qty])</f>
        <v>5</v>
      </c>
      <c r="J694" s="6">
        <f>SUMIFS(
  Sales_Entry[Qty],
  Sales_Entry[Product_Code], Stock_Table[[#This Row],[Product_Code]]
)</f>
        <v>2</v>
      </c>
      <c r="K694" s="4">
        <f>SUMIFS(
  Exchange_Return[Qty],
  Exchange_Return[Product_Code], Stock_Table[[#This Row],[Product_Code]]
)</f>
        <v>0</v>
      </c>
      <c r="L694" s="4">
        <f>I694-J694+K694</f>
        <v>3</v>
      </c>
      <c r="M694" s="2" t="str" cm="1">
        <f t="array" ref="M694">_xlfn.IFS(L694=0,"Out of Stock",L694&gt;=2,"Limited Stock",L694&lt;2,"In Stock")</f>
        <v>Limited Stock</v>
      </c>
    </row>
    <row r="695" spans="2:13">
      <c r="B695" s="2" t="s">
        <v>1260</v>
      </c>
      <c r="C695" s="5" t="str">
        <f>_xlfn.XLOOKUP(B695,Master[Product_Code],Master[Category])</f>
        <v>Pants</v>
      </c>
      <c r="D695" s="2" t="str">
        <f>_xlfn.XLOOKUP(B695,Master[Product_Code],Master[Brand])</f>
        <v>Peter England</v>
      </c>
      <c r="E695" s="2" t="str">
        <f>_xlfn.XLOOKUP(B695,Master[Product_Code],Master[Style])</f>
        <v>Polofit</v>
      </c>
      <c r="F695" s="2" t="str">
        <f>_xlfn.XLOOKUP(B695,Master[Product_Code],Master[Fabric])</f>
        <v>Lycra</v>
      </c>
      <c r="G695" s="2">
        <f>_xlfn.XLOOKUP(B695,Master[Product_Code],Master[Size])</f>
        <v>40</v>
      </c>
      <c r="H695" s="2" t="str">
        <f>_xlfn.XLOOKUP(B695,Master[Product_Code],Master[Color])</f>
        <v>Royal Blue</v>
      </c>
      <c r="I695" s="4">
        <f>_xlfn.XLOOKUP(B695,Master[Product_Code],Master[Stock_Qty])</f>
        <v>5</v>
      </c>
      <c r="J695" s="6">
        <f>SUMIFS(
  Sales_Entry[Qty],
  Sales_Entry[Product_Code], Stock_Table[[#This Row],[Product_Code]]
)</f>
        <v>0</v>
      </c>
      <c r="K695" s="4">
        <f>SUMIFS(
  Exchange_Return[Qty],
  Exchange_Return[Product_Code], Stock_Table[[#This Row],[Product_Code]]
)</f>
        <v>0</v>
      </c>
      <c r="L695" s="4">
        <f>I695-J695+K695</f>
        <v>5</v>
      </c>
      <c r="M695" s="2" t="str" cm="1">
        <f t="array" ref="M695">_xlfn.IFS(L695=0,"Out of Stock",L695&gt;=2,"Limited Stock",L695&lt;2,"In Stock")</f>
        <v>Limited Stock</v>
      </c>
    </row>
    <row r="696" spans="2:13">
      <c r="B696" s="2" t="s">
        <v>1261</v>
      </c>
      <c r="C696" s="5" t="str">
        <f>_xlfn.XLOOKUP(B696,Master[Product_Code],Master[Category])</f>
        <v>Pants</v>
      </c>
      <c r="D696" s="2" t="str">
        <f>_xlfn.XLOOKUP(B696,Master[Product_Code],Master[Brand])</f>
        <v>Raymond</v>
      </c>
      <c r="E696" s="2" t="str">
        <f>_xlfn.XLOOKUP(B696,Master[Product_Code],Master[Style])</f>
        <v>Korean</v>
      </c>
      <c r="F696" s="2" t="str">
        <f>_xlfn.XLOOKUP(B696,Master[Product_Code],Master[Fabric])</f>
        <v>Lycra</v>
      </c>
      <c r="G696" s="2">
        <f>_xlfn.XLOOKUP(B696,Master[Product_Code],Master[Size])</f>
        <v>30</v>
      </c>
      <c r="H696" s="2" t="str">
        <f>_xlfn.XLOOKUP(B696,Master[Product_Code],Master[Color])</f>
        <v>Black</v>
      </c>
      <c r="I696" s="4">
        <f>_xlfn.XLOOKUP(B696,Master[Product_Code],Master[Stock_Qty])</f>
        <v>6</v>
      </c>
      <c r="J696" s="6">
        <f>SUMIFS(
  Sales_Entry[Qty],
  Sales_Entry[Product_Code], Stock_Table[[#This Row],[Product_Code]]
)</f>
        <v>2</v>
      </c>
      <c r="K696" s="4">
        <f>SUMIFS(
  Exchange_Return[Qty],
  Exchange_Return[Product_Code], Stock_Table[[#This Row],[Product_Code]]
)</f>
        <v>0</v>
      </c>
      <c r="L696" s="4">
        <f>I696-J696+K696</f>
        <v>4</v>
      </c>
      <c r="M696" s="2" t="str" cm="1">
        <f t="array" ref="M696">_xlfn.IFS(L696=0,"Out of Stock",L696&gt;=2,"Limited Stock",L696&lt;2,"In Stock")</f>
        <v>Limited Stock</v>
      </c>
    </row>
    <row r="697" spans="2:13">
      <c r="B697" s="2" t="s">
        <v>1262</v>
      </c>
      <c r="C697" s="5" t="str">
        <f>_xlfn.XLOOKUP(B697,Master[Product_Code],Master[Category])</f>
        <v>Pants</v>
      </c>
      <c r="D697" s="2" t="str">
        <f>_xlfn.XLOOKUP(B697,Master[Product_Code],Master[Brand])</f>
        <v>Louis Philippe</v>
      </c>
      <c r="E697" s="2" t="str">
        <f>_xlfn.XLOOKUP(B697,Master[Product_Code],Master[Style])</f>
        <v>Polofit</v>
      </c>
      <c r="F697" s="2" t="str">
        <f>_xlfn.XLOOKUP(B697,Master[Product_Code],Master[Fabric])</f>
        <v>Lycra</v>
      </c>
      <c r="G697" s="2">
        <f>_xlfn.XLOOKUP(B697,Master[Product_Code],Master[Size])</f>
        <v>34</v>
      </c>
      <c r="H697" s="2" t="str">
        <f>_xlfn.XLOOKUP(B697,Master[Product_Code],Master[Color])</f>
        <v>Grey</v>
      </c>
      <c r="I697" s="4">
        <f>_xlfn.XLOOKUP(B697,Master[Product_Code],Master[Stock_Qty])</f>
        <v>5</v>
      </c>
      <c r="J697" s="6">
        <f>SUMIFS(
  Sales_Entry[Qty],
  Sales_Entry[Product_Code], Stock_Table[[#This Row],[Product_Code]]
)</f>
        <v>2</v>
      </c>
      <c r="K697" s="4">
        <f>SUMIFS(
  Exchange_Return[Qty],
  Exchange_Return[Product_Code], Stock_Table[[#This Row],[Product_Code]]
)</f>
        <v>0</v>
      </c>
      <c r="L697" s="4">
        <f>I697-J697+K697</f>
        <v>3</v>
      </c>
      <c r="M697" s="2" t="str" cm="1">
        <f t="array" ref="M697">_xlfn.IFS(L697=0,"Out of Stock",L697&gt;=2,"Limited Stock",L697&lt;2,"In Stock")</f>
        <v>Limited Stock</v>
      </c>
    </row>
    <row r="698" spans="2:13">
      <c r="B698" s="2" t="s">
        <v>1263</v>
      </c>
      <c r="C698" s="5" t="str">
        <f>_xlfn.XLOOKUP(B698,Master[Product_Code],Master[Category])</f>
        <v>Pants</v>
      </c>
      <c r="D698" s="2" t="str">
        <f>_xlfn.XLOOKUP(B698,Master[Product_Code],Master[Brand])</f>
        <v>Louis Philippe</v>
      </c>
      <c r="E698" s="2" t="str">
        <f>_xlfn.XLOOKUP(B698,Master[Product_Code],Master[Style])</f>
        <v>Boot Cut</v>
      </c>
      <c r="F698" s="2" t="str">
        <f>_xlfn.XLOOKUP(B698,Master[Product_Code],Master[Fabric])</f>
        <v>Cotton</v>
      </c>
      <c r="G698" s="2">
        <f>_xlfn.XLOOKUP(B698,Master[Product_Code],Master[Size])</f>
        <v>40</v>
      </c>
      <c r="H698" s="2" t="str">
        <f>_xlfn.XLOOKUP(B698,Master[Product_Code],Master[Color])</f>
        <v>Grey</v>
      </c>
      <c r="I698" s="4">
        <f>_xlfn.XLOOKUP(B698,Master[Product_Code],Master[Stock_Qty])</f>
        <v>4</v>
      </c>
      <c r="J698" s="6">
        <f>SUMIFS(
  Sales_Entry[Qty],
  Sales_Entry[Product_Code], Stock_Table[[#This Row],[Product_Code]]
)</f>
        <v>2</v>
      </c>
      <c r="K698" s="4">
        <f>SUMIFS(
  Exchange_Return[Qty],
  Exchange_Return[Product_Code], Stock_Table[[#This Row],[Product_Code]]
)</f>
        <v>0</v>
      </c>
      <c r="L698" s="4">
        <f>I698-J698+K698</f>
        <v>2</v>
      </c>
      <c r="M698" s="2" t="str" cm="1">
        <f t="array" ref="M698">_xlfn.IFS(L698=0,"Out of Stock",L698&gt;=2,"Limited Stock",L698&lt;2,"In Stock")</f>
        <v>Limited Stock</v>
      </c>
    </row>
    <row r="699" spans="2:13">
      <c r="B699" s="2" t="s">
        <v>1264</v>
      </c>
      <c r="C699" s="5" t="str">
        <f>_xlfn.XLOOKUP(B699,Master[Product_Code],Master[Category])</f>
        <v>Pants</v>
      </c>
      <c r="D699" s="2" t="str">
        <f>_xlfn.XLOOKUP(B699,Master[Product_Code],Master[Brand])</f>
        <v>Peter England</v>
      </c>
      <c r="E699" s="2" t="str">
        <f>_xlfn.XLOOKUP(B699,Master[Product_Code],Master[Style])</f>
        <v>Boot Cut</v>
      </c>
      <c r="F699" s="2" t="str">
        <f>_xlfn.XLOOKUP(B699,Master[Product_Code],Master[Fabric])</f>
        <v>Cotton</v>
      </c>
      <c r="G699" s="2">
        <f>_xlfn.XLOOKUP(B699,Master[Product_Code],Master[Size])</f>
        <v>40</v>
      </c>
      <c r="H699" s="2" t="str">
        <f>_xlfn.XLOOKUP(B699,Master[Product_Code],Master[Color])</f>
        <v>Maroon</v>
      </c>
      <c r="I699" s="4">
        <f>_xlfn.XLOOKUP(B699,Master[Product_Code],Master[Stock_Qty])</f>
        <v>3</v>
      </c>
      <c r="J699" s="6">
        <f>SUMIFS(
  Sales_Entry[Qty],
  Sales_Entry[Product_Code], Stock_Table[[#This Row],[Product_Code]]
)</f>
        <v>2</v>
      </c>
      <c r="K699" s="4">
        <f>SUMIFS(
  Exchange_Return[Qty],
  Exchange_Return[Product_Code], Stock_Table[[#This Row],[Product_Code]]
)</f>
        <v>0</v>
      </c>
      <c r="L699" s="4">
        <f>I699-J699+K699</f>
        <v>1</v>
      </c>
      <c r="M699" s="2" t="str" cm="1">
        <f t="array" ref="M699">_xlfn.IFS(L699=0,"Out of Stock",L699&gt;=2,"Limited Stock",L699&lt;2,"In Stock")</f>
        <v>In Stock</v>
      </c>
    </row>
    <row r="700" spans="2:13">
      <c r="B700" s="2" t="s">
        <v>1265</v>
      </c>
      <c r="C700" s="5" t="str">
        <f>_xlfn.XLOOKUP(B700,Master[Product_Code],Master[Category])</f>
        <v>Pants</v>
      </c>
      <c r="D700" s="2" t="str">
        <f>_xlfn.XLOOKUP(B700,Master[Product_Code],Master[Brand])</f>
        <v>Van Heusen</v>
      </c>
      <c r="E700" s="2" t="str">
        <f>_xlfn.XLOOKUP(B700,Master[Product_Code],Master[Style])</f>
        <v>Kurka</v>
      </c>
      <c r="F700" s="2" t="str">
        <f>_xlfn.XLOOKUP(B700,Master[Product_Code],Master[Fabric])</f>
        <v>Lycra</v>
      </c>
      <c r="G700" s="2">
        <f>_xlfn.XLOOKUP(B700,Master[Product_Code],Master[Size])</f>
        <v>42</v>
      </c>
      <c r="H700" s="2" t="str">
        <f>_xlfn.XLOOKUP(B700,Master[Product_Code],Master[Color])</f>
        <v>Charcoal</v>
      </c>
      <c r="I700" s="4">
        <f>_xlfn.XLOOKUP(B700,Master[Product_Code],Master[Stock_Qty])</f>
        <v>5</v>
      </c>
      <c r="J700" s="6">
        <f>SUMIFS(
  Sales_Entry[Qty],
  Sales_Entry[Product_Code], Stock_Table[[#This Row],[Product_Code]]
)</f>
        <v>0</v>
      </c>
      <c r="K700" s="4">
        <f>SUMIFS(
  Exchange_Return[Qty],
  Exchange_Return[Product_Code], Stock_Table[[#This Row],[Product_Code]]
)</f>
        <v>0</v>
      </c>
      <c r="L700" s="4">
        <f>I700-J700+K700</f>
        <v>5</v>
      </c>
      <c r="M700" s="2" t="str" cm="1">
        <f t="array" ref="M700">_xlfn.IFS(L700=0,"Out of Stock",L700&gt;=2,"Limited Stock",L700&lt;2,"In Stock")</f>
        <v>Limited Stock</v>
      </c>
    </row>
    <row r="701" spans="2:13">
      <c r="B701" s="2" t="s">
        <v>1266</v>
      </c>
      <c r="C701" s="5" t="str">
        <f>_xlfn.XLOOKUP(B701,Master[Product_Code],Master[Category])</f>
        <v>Pants</v>
      </c>
      <c r="D701" s="2" t="str">
        <f>_xlfn.XLOOKUP(B701,Master[Product_Code],Master[Brand])</f>
        <v>Louis Philippe</v>
      </c>
      <c r="E701" s="2" t="str">
        <f>_xlfn.XLOOKUP(B701,Master[Product_Code],Master[Style])</f>
        <v>Polofit</v>
      </c>
      <c r="F701" s="2" t="str">
        <f>_xlfn.XLOOKUP(B701,Master[Product_Code],Master[Fabric])</f>
        <v>Lycra</v>
      </c>
      <c r="G701" s="2">
        <f>_xlfn.XLOOKUP(B701,Master[Product_Code],Master[Size])</f>
        <v>42</v>
      </c>
      <c r="H701" s="2" t="str">
        <f>_xlfn.XLOOKUP(B701,Master[Product_Code],Master[Color])</f>
        <v>Maroon</v>
      </c>
      <c r="I701" s="4">
        <f>_xlfn.XLOOKUP(B701,Master[Product_Code],Master[Stock_Qty])</f>
        <v>5</v>
      </c>
      <c r="J701" s="6">
        <f>SUMIFS(
  Sales_Entry[Qty],
  Sales_Entry[Product_Code], Stock_Table[[#This Row],[Product_Code]]
)</f>
        <v>3</v>
      </c>
      <c r="K701" s="4">
        <f>SUMIFS(
  Exchange_Return[Qty],
  Exchange_Return[Product_Code], Stock_Table[[#This Row],[Product_Code]]
)</f>
        <v>0</v>
      </c>
      <c r="L701" s="4">
        <f>I701-J701+K701</f>
        <v>2</v>
      </c>
      <c r="M701" s="2" t="str" cm="1">
        <f t="array" ref="M701">_xlfn.IFS(L701=0,"Out of Stock",L701&gt;=2,"Limited Stock",L701&lt;2,"In Stock")</f>
        <v>Limited Stock</v>
      </c>
    </row>
    <row r="702" spans="2:13">
      <c r="B702" s="2" t="s">
        <v>1267</v>
      </c>
      <c r="C702" s="5" t="str">
        <f>_xlfn.XLOOKUP(B702,Master[Product_Code],Master[Category])</f>
        <v>Pants</v>
      </c>
      <c r="D702" s="2" t="str">
        <f>_xlfn.XLOOKUP(B702,Master[Product_Code],Master[Brand])</f>
        <v>Louis Philippe</v>
      </c>
      <c r="E702" s="2" t="str">
        <f>_xlfn.XLOOKUP(B702,Master[Product_Code],Master[Style])</f>
        <v>Kurka</v>
      </c>
      <c r="F702" s="2" t="str">
        <f>_xlfn.XLOOKUP(B702,Master[Product_Code],Master[Fabric])</f>
        <v>Lycra</v>
      </c>
      <c r="G702" s="2">
        <f>_xlfn.XLOOKUP(B702,Master[Product_Code],Master[Size])</f>
        <v>40</v>
      </c>
      <c r="H702" s="2" t="str">
        <f>_xlfn.XLOOKUP(B702,Master[Product_Code],Master[Color])</f>
        <v>Bottle Green</v>
      </c>
      <c r="I702" s="4">
        <f>_xlfn.XLOOKUP(B702,Master[Product_Code],Master[Stock_Qty])</f>
        <v>5</v>
      </c>
      <c r="J702" s="6">
        <f>SUMIFS(
  Sales_Entry[Qty],
  Sales_Entry[Product_Code], Stock_Table[[#This Row],[Product_Code]]
)</f>
        <v>2</v>
      </c>
      <c r="K702" s="4">
        <f>SUMIFS(
  Exchange_Return[Qty],
  Exchange_Return[Product_Code], Stock_Table[[#This Row],[Product_Code]]
)</f>
        <v>0</v>
      </c>
      <c r="L702" s="4">
        <f>I702-J702+K702</f>
        <v>3</v>
      </c>
      <c r="M702" s="2" t="str" cm="1">
        <f t="array" ref="M702">_xlfn.IFS(L702=0,"Out of Stock",L702&gt;=2,"Limited Stock",L702&lt;2,"In Stock")</f>
        <v>Limited Stock</v>
      </c>
    </row>
    <row r="703" spans="2:13">
      <c r="B703" s="2" t="s">
        <v>1268</v>
      </c>
      <c r="C703" s="5" t="str">
        <f>_xlfn.XLOOKUP(B703,Master[Product_Code],Master[Category])</f>
        <v>Pants</v>
      </c>
      <c r="D703" s="2" t="str">
        <f>_xlfn.XLOOKUP(B703,Master[Product_Code],Master[Brand])</f>
        <v>Raymond</v>
      </c>
      <c r="E703" s="2" t="str">
        <f>_xlfn.XLOOKUP(B703,Master[Product_Code],Master[Style])</f>
        <v>Jogger</v>
      </c>
      <c r="F703" s="2" t="str">
        <f>_xlfn.XLOOKUP(B703,Master[Product_Code],Master[Fabric])</f>
        <v>Cotton</v>
      </c>
      <c r="G703" s="2">
        <f>_xlfn.XLOOKUP(B703,Master[Product_Code],Master[Size])</f>
        <v>28</v>
      </c>
      <c r="H703" s="2" t="str">
        <f>_xlfn.XLOOKUP(B703,Master[Product_Code],Master[Color])</f>
        <v>Mustard</v>
      </c>
      <c r="I703" s="4">
        <f>_xlfn.XLOOKUP(B703,Master[Product_Code],Master[Stock_Qty])</f>
        <v>4</v>
      </c>
      <c r="J703" s="6">
        <f>SUMIFS(
  Sales_Entry[Qty],
  Sales_Entry[Product_Code], Stock_Table[[#This Row],[Product_Code]]
)</f>
        <v>3</v>
      </c>
      <c r="K703" s="4">
        <f>SUMIFS(
  Exchange_Return[Qty],
  Exchange_Return[Product_Code], Stock_Table[[#This Row],[Product_Code]]
)</f>
        <v>0</v>
      </c>
      <c r="L703" s="4">
        <f>I703-J703+K703</f>
        <v>1</v>
      </c>
      <c r="M703" s="2" t="str" cm="1">
        <f t="array" ref="M703">_xlfn.IFS(L703=0,"Out of Stock",L703&gt;=2,"Limited Stock",L703&lt;2,"In Stock")</f>
        <v>In Stock</v>
      </c>
    </row>
    <row r="704" spans="2:13">
      <c r="B704" s="2" t="s">
        <v>1269</v>
      </c>
      <c r="C704" s="5" t="str">
        <f>_xlfn.XLOOKUP(B704,Master[Product_Code],Master[Category])</f>
        <v>Pants</v>
      </c>
      <c r="D704" s="2" t="str">
        <f>_xlfn.XLOOKUP(B704,Master[Product_Code],Master[Brand])</f>
        <v>Van Heusen</v>
      </c>
      <c r="E704" s="2" t="str">
        <f>_xlfn.XLOOKUP(B704,Master[Product_Code],Master[Style])</f>
        <v>Jogger</v>
      </c>
      <c r="F704" s="2" t="str">
        <f>_xlfn.XLOOKUP(B704,Master[Product_Code],Master[Fabric])</f>
        <v>Cotton Blend</v>
      </c>
      <c r="G704" s="2">
        <f>_xlfn.XLOOKUP(B704,Master[Product_Code],Master[Size])</f>
        <v>28</v>
      </c>
      <c r="H704" s="2" t="str">
        <f>_xlfn.XLOOKUP(B704,Master[Product_Code],Master[Color])</f>
        <v>Black</v>
      </c>
      <c r="I704" s="4">
        <f>_xlfn.XLOOKUP(B704,Master[Product_Code],Master[Stock_Qty])</f>
        <v>5</v>
      </c>
      <c r="J704" s="6">
        <f>SUMIFS(
  Sales_Entry[Qty],
  Sales_Entry[Product_Code], Stock_Table[[#This Row],[Product_Code]]
)</f>
        <v>1</v>
      </c>
      <c r="K704" s="4">
        <f>SUMIFS(
  Exchange_Return[Qty],
  Exchange_Return[Product_Code], Stock_Table[[#This Row],[Product_Code]]
)</f>
        <v>0</v>
      </c>
      <c r="L704" s="4">
        <f>I704-J704+K704</f>
        <v>4</v>
      </c>
      <c r="M704" s="2" t="str" cm="1">
        <f t="array" ref="M704">_xlfn.IFS(L704=0,"Out of Stock",L704&gt;=2,"Limited Stock",L704&lt;2,"In Stock")</f>
        <v>Limited Stock</v>
      </c>
    </row>
    <row r="705" spans="2:13">
      <c r="B705" s="2" t="s">
        <v>1270</v>
      </c>
      <c r="C705" s="5" t="str">
        <f>_xlfn.XLOOKUP(B705,Master[Product_Code],Master[Category])</f>
        <v>Pants</v>
      </c>
      <c r="D705" s="2" t="str">
        <f>_xlfn.XLOOKUP(B705,Master[Product_Code],Master[Brand])</f>
        <v>Park Avenue</v>
      </c>
      <c r="E705" s="2" t="str">
        <f>_xlfn.XLOOKUP(B705,Master[Product_Code],Master[Style])</f>
        <v>Boot Cut</v>
      </c>
      <c r="F705" s="2" t="str">
        <f>_xlfn.XLOOKUP(B705,Master[Product_Code],Master[Fabric])</f>
        <v>Poly Viscose</v>
      </c>
      <c r="G705" s="2">
        <f>_xlfn.XLOOKUP(B705,Master[Product_Code],Master[Size])</f>
        <v>40</v>
      </c>
      <c r="H705" s="2" t="str">
        <f>_xlfn.XLOOKUP(B705,Master[Product_Code],Master[Color])</f>
        <v>Teal</v>
      </c>
      <c r="I705" s="4">
        <f>_xlfn.XLOOKUP(B705,Master[Product_Code],Master[Stock_Qty])</f>
        <v>4</v>
      </c>
      <c r="J705" s="6">
        <f>SUMIFS(
  Sales_Entry[Qty],
  Sales_Entry[Product_Code], Stock_Table[[#This Row],[Product_Code]]
)</f>
        <v>3</v>
      </c>
      <c r="K705" s="4">
        <f>SUMIFS(
  Exchange_Return[Qty],
  Exchange_Return[Product_Code], Stock_Table[[#This Row],[Product_Code]]
)</f>
        <v>0</v>
      </c>
      <c r="L705" s="4">
        <f>I705-J705+K705</f>
        <v>1</v>
      </c>
      <c r="M705" s="2" t="str" cm="1">
        <f t="array" ref="M705">_xlfn.IFS(L705=0,"Out of Stock",L705&gt;=2,"Limited Stock",L705&lt;2,"In Stock")</f>
        <v>In Stock</v>
      </c>
    </row>
    <row r="706" spans="2:13">
      <c r="B706" s="2" t="s">
        <v>1271</v>
      </c>
      <c r="C706" s="5" t="str">
        <f>_xlfn.XLOOKUP(B706,Master[Product_Code],Master[Category])</f>
        <v>Pants</v>
      </c>
      <c r="D706" s="2" t="str">
        <f>_xlfn.XLOOKUP(B706,Master[Product_Code],Master[Brand])</f>
        <v>Raymond</v>
      </c>
      <c r="E706" s="2" t="str">
        <f>_xlfn.XLOOKUP(B706,Master[Product_Code],Master[Style])</f>
        <v>Jogger</v>
      </c>
      <c r="F706" s="2" t="str">
        <f>_xlfn.XLOOKUP(B706,Master[Product_Code],Master[Fabric])</f>
        <v>Cotton</v>
      </c>
      <c r="G706" s="2">
        <f>_xlfn.XLOOKUP(B706,Master[Product_Code],Master[Size])</f>
        <v>36</v>
      </c>
      <c r="H706" s="2" t="str">
        <f>_xlfn.XLOOKUP(B706,Master[Product_Code],Master[Color])</f>
        <v>Olive</v>
      </c>
      <c r="I706" s="4">
        <f>_xlfn.XLOOKUP(B706,Master[Product_Code],Master[Stock_Qty])</f>
        <v>6</v>
      </c>
      <c r="J706" s="6">
        <f>SUMIFS(
  Sales_Entry[Qty],
  Sales_Entry[Product_Code], Stock_Table[[#This Row],[Product_Code]]
)</f>
        <v>3</v>
      </c>
      <c r="K706" s="4">
        <f>SUMIFS(
  Exchange_Return[Qty],
  Exchange_Return[Product_Code], Stock_Table[[#This Row],[Product_Code]]
)</f>
        <v>0</v>
      </c>
      <c r="L706" s="4">
        <f>I706-J706+K706</f>
        <v>3</v>
      </c>
      <c r="M706" s="2" t="str" cm="1">
        <f t="array" ref="M706">_xlfn.IFS(L706=0,"Out of Stock",L706&gt;=2,"Limited Stock",L706&lt;2,"In Stock")</f>
        <v>Limited Stock</v>
      </c>
    </row>
    <row r="707" spans="2:13">
      <c r="B707" s="2" t="s">
        <v>1272</v>
      </c>
      <c r="C707" s="5" t="str">
        <f>_xlfn.XLOOKUP(B707,Master[Product_Code],Master[Category])</f>
        <v>Pants</v>
      </c>
      <c r="D707" s="2" t="str">
        <f>_xlfn.XLOOKUP(B707,Master[Product_Code],Master[Brand])</f>
        <v>Louis Philippe</v>
      </c>
      <c r="E707" s="2" t="str">
        <f>_xlfn.XLOOKUP(B707,Master[Product_Code],Master[Style])</f>
        <v>Kurka</v>
      </c>
      <c r="F707" s="2" t="str">
        <f>_xlfn.XLOOKUP(B707,Master[Product_Code],Master[Fabric])</f>
        <v>Lycra</v>
      </c>
      <c r="G707" s="2">
        <f>_xlfn.XLOOKUP(B707,Master[Product_Code],Master[Size])</f>
        <v>38</v>
      </c>
      <c r="H707" s="2" t="str">
        <f>_xlfn.XLOOKUP(B707,Master[Product_Code],Master[Color])</f>
        <v>Wine</v>
      </c>
      <c r="I707" s="4">
        <f>_xlfn.XLOOKUP(B707,Master[Product_Code],Master[Stock_Qty])</f>
        <v>6</v>
      </c>
      <c r="J707" s="6">
        <f>SUMIFS(
  Sales_Entry[Qty],
  Sales_Entry[Product_Code], Stock_Table[[#This Row],[Product_Code]]
)</f>
        <v>2</v>
      </c>
      <c r="K707" s="4">
        <f>SUMIFS(
  Exchange_Return[Qty],
  Exchange_Return[Product_Code], Stock_Table[[#This Row],[Product_Code]]
)</f>
        <v>0</v>
      </c>
      <c r="L707" s="4">
        <f>I707-J707+K707</f>
        <v>4</v>
      </c>
      <c r="M707" s="2" t="str" cm="1">
        <f t="array" ref="M707">_xlfn.IFS(L707=0,"Out of Stock",L707&gt;=2,"Limited Stock",L707&lt;2,"In Stock")</f>
        <v>Limited Stock</v>
      </c>
    </row>
    <row r="708" spans="2:13">
      <c r="B708" s="2" t="s">
        <v>1273</v>
      </c>
      <c r="C708" s="5" t="str">
        <f>_xlfn.XLOOKUP(B708,Master[Product_Code],Master[Category])</f>
        <v>Pants</v>
      </c>
      <c r="D708" s="2" t="str">
        <f>_xlfn.XLOOKUP(B708,Master[Product_Code],Master[Brand])</f>
        <v>Van Heusen</v>
      </c>
      <c r="E708" s="2" t="str">
        <f>_xlfn.XLOOKUP(B708,Master[Product_Code],Master[Style])</f>
        <v>Polofit</v>
      </c>
      <c r="F708" s="2" t="str">
        <f>_xlfn.XLOOKUP(B708,Master[Product_Code],Master[Fabric])</f>
        <v>Lycra</v>
      </c>
      <c r="G708" s="2">
        <f>_xlfn.XLOOKUP(B708,Master[Product_Code],Master[Size])</f>
        <v>28</v>
      </c>
      <c r="H708" s="2" t="str">
        <f>_xlfn.XLOOKUP(B708,Master[Product_Code],Master[Color])</f>
        <v>Maroon</v>
      </c>
      <c r="I708" s="4">
        <f>_xlfn.XLOOKUP(B708,Master[Product_Code],Master[Stock_Qty])</f>
        <v>6</v>
      </c>
      <c r="J708" s="6">
        <f>SUMIFS(
  Sales_Entry[Qty],
  Sales_Entry[Product_Code], Stock_Table[[#This Row],[Product_Code]]
)</f>
        <v>2</v>
      </c>
      <c r="K708" s="4">
        <f>SUMIFS(
  Exchange_Return[Qty],
  Exchange_Return[Product_Code], Stock_Table[[#This Row],[Product_Code]]
)</f>
        <v>0</v>
      </c>
      <c r="L708" s="4">
        <f>I708-J708+K708</f>
        <v>4</v>
      </c>
      <c r="M708" s="2" t="str" cm="1">
        <f t="array" ref="M708">_xlfn.IFS(L708=0,"Out of Stock",L708&gt;=2,"Limited Stock",L708&lt;2,"In Stock")</f>
        <v>Limited Stock</v>
      </c>
    </row>
    <row r="709" spans="2:13">
      <c r="B709" s="2" t="s">
        <v>1274</v>
      </c>
      <c r="C709" s="5" t="str">
        <f>_xlfn.XLOOKUP(B709,Master[Product_Code],Master[Category])</f>
        <v>Pants</v>
      </c>
      <c r="D709" s="2" t="str">
        <f>_xlfn.XLOOKUP(B709,Master[Product_Code],Master[Brand])</f>
        <v>Van Heusen</v>
      </c>
      <c r="E709" s="2" t="str">
        <f>_xlfn.XLOOKUP(B709,Master[Product_Code],Master[Style])</f>
        <v>Boot Cut</v>
      </c>
      <c r="F709" s="2" t="str">
        <f>_xlfn.XLOOKUP(B709,Master[Product_Code],Master[Fabric])</f>
        <v>Poly Viscose</v>
      </c>
      <c r="G709" s="2">
        <f>_xlfn.XLOOKUP(B709,Master[Product_Code],Master[Size])</f>
        <v>36</v>
      </c>
      <c r="H709" s="2" t="str">
        <f>_xlfn.XLOOKUP(B709,Master[Product_Code],Master[Color])</f>
        <v>Royal Blue</v>
      </c>
      <c r="I709" s="4">
        <f>_xlfn.XLOOKUP(B709,Master[Product_Code],Master[Stock_Qty])</f>
        <v>5</v>
      </c>
      <c r="J709" s="6">
        <f>SUMIFS(
  Sales_Entry[Qty],
  Sales_Entry[Product_Code], Stock_Table[[#This Row],[Product_Code]]
)</f>
        <v>2</v>
      </c>
      <c r="K709" s="4">
        <f>SUMIFS(
  Exchange_Return[Qty],
  Exchange_Return[Product_Code], Stock_Table[[#This Row],[Product_Code]]
)</f>
        <v>0</v>
      </c>
      <c r="L709" s="4">
        <f>I709-J709+K709</f>
        <v>3</v>
      </c>
      <c r="M709" s="2" t="str" cm="1">
        <f t="array" ref="M709">_xlfn.IFS(L709=0,"Out of Stock",L709&gt;=2,"Limited Stock",L709&lt;2,"In Stock")</f>
        <v>Limited Stock</v>
      </c>
    </row>
    <row r="710" spans="2:13">
      <c r="B710" s="2" t="s">
        <v>1275</v>
      </c>
      <c r="C710" s="5" t="str">
        <f>_xlfn.XLOOKUP(B710,Master[Product_Code],Master[Category])</f>
        <v>Pants</v>
      </c>
      <c r="D710" s="2" t="str">
        <f>_xlfn.XLOOKUP(B710,Master[Product_Code],Master[Brand])</f>
        <v>Van Heusen</v>
      </c>
      <c r="E710" s="2" t="str">
        <f>_xlfn.XLOOKUP(B710,Master[Product_Code],Master[Style])</f>
        <v>Boot Cut</v>
      </c>
      <c r="F710" s="2" t="str">
        <f>_xlfn.XLOOKUP(B710,Master[Product_Code],Master[Fabric])</f>
        <v>Cotton</v>
      </c>
      <c r="G710" s="2">
        <f>_xlfn.XLOOKUP(B710,Master[Product_Code],Master[Size])</f>
        <v>38</v>
      </c>
      <c r="H710" s="2" t="str">
        <f>_xlfn.XLOOKUP(B710,Master[Product_Code],Master[Color])</f>
        <v>Peach</v>
      </c>
      <c r="I710" s="4">
        <f>_xlfn.XLOOKUP(B710,Master[Product_Code],Master[Stock_Qty])</f>
        <v>4</v>
      </c>
      <c r="J710" s="6">
        <f>SUMIFS(
  Sales_Entry[Qty],
  Sales_Entry[Product_Code], Stock_Table[[#This Row],[Product_Code]]
)</f>
        <v>2</v>
      </c>
      <c r="K710" s="4">
        <f>SUMIFS(
  Exchange_Return[Qty],
  Exchange_Return[Product_Code], Stock_Table[[#This Row],[Product_Code]]
)</f>
        <v>0</v>
      </c>
      <c r="L710" s="4">
        <f>I710-J710+K710</f>
        <v>2</v>
      </c>
      <c r="M710" s="2" t="str" cm="1">
        <f t="array" ref="M710">_xlfn.IFS(L710=0,"Out of Stock",L710&gt;=2,"Limited Stock",L710&lt;2,"In Stock")</f>
        <v>Limited Stock</v>
      </c>
    </row>
    <row r="711" spans="2:13">
      <c r="B711" s="2" t="s">
        <v>1276</v>
      </c>
      <c r="C711" s="5" t="str">
        <f>_xlfn.XLOOKUP(B711,Master[Product_Code],Master[Category])</f>
        <v>Pants</v>
      </c>
      <c r="D711" s="2" t="str">
        <f>_xlfn.XLOOKUP(B711,Master[Product_Code],Master[Brand])</f>
        <v>Louis Philippe</v>
      </c>
      <c r="E711" s="2" t="str">
        <f>_xlfn.XLOOKUP(B711,Master[Product_Code],Master[Style])</f>
        <v>Polofit</v>
      </c>
      <c r="F711" s="2" t="str">
        <f>_xlfn.XLOOKUP(B711,Master[Product_Code],Master[Fabric])</f>
        <v>Lycra</v>
      </c>
      <c r="G711" s="2">
        <f>_xlfn.XLOOKUP(B711,Master[Product_Code],Master[Size])</f>
        <v>32</v>
      </c>
      <c r="H711" s="2" t="str">
        <f>_xlfn.XLOOKUP(B711,Master[Product_Code],Master[Color])</f>
        <v>White</v>
      </c>
      <c r="I711" s="4">
        <f>_xlfn.XLOOKUP(B711,Master[Product_Code],Master[Stock_Qty])</f>
        <v>4</v>
      </c>
      <c r="J711" s="6">
        <f>SUMIFS(
  Sales_Entry[Qty],
  Sales_Entry[Product_Code], Stock_Table[[#This Row],[Product_Code]]
)</f>
        <v>3</v>
      </c>
      <c r="K711" s="4">
        <f>SUMIFS(
  Exchange_Return[Qty],
  Exchange_Return[Product_Code], Stock_Table[[#This Row],[Product_Code]]
)</f>
        <v>0</v>
      </c>
      <c r="L711" s="4">
        <f>I711-J711+K711</f>
        <v>1</v>
      </c>
      <c r="M711" s="2" t="str" cm="1">
        <f t="array" ref="M711">_xlfn.IFS(L711=0,"Out of Stock",L711&gt;=2,"Limited Stock",L711&lt;2,"In Stock")</f>
        <v>In Stock</v>
      </c>
    </row>
    <row r="712" spans="2:13">
      <c r="B712" s="2" t="s">
        <v>1277</v>
      </c>
      <c r="C712" s="5" t="str">
        <f>_xlfn.XLOOKUP(B712,Master[Product_Code],Master[Category])</f>
        <v>Pants</v>
      </c>
      <c r="D712" s="2" t="str">
        <f>_xlfn.XLOOKUP(B712,Master[Product_Code],Master[Brand])</f>
        <v>Raymond</v>
      </c>
      <c r="E712" s="2" t="str">
        <f>_xlfn.XLOOKUP(B712,Master[Product_Code],Master[Style])</f>
        <v>Boot Cut</v>
      </c>
      <c r="F712" s="2" t="str">
        <f>_xlfn.XLOOKUP(B712,Master[Product_Code],Master[Fabric])</f>
        <v>Poly Viscose</v>
      </c>
      <c r="G712" s="2">
        <f>_xlfn.XLOOKUP(B712,Master[Product_Code],Master[Size])</f>
        <v>32</v>
      </c>
      <c r="H712" s="2" t="str">
        <f>_xlfn.XLOOKUP(B712,Master[Product_Code],Master[Color])</f>
        <v>Cream</v>
      </c>
      <c r="I712" s="4">
        <f>_xlfn.XLOOKUP(B712,Master[Product_Code],Master[Stock_Qty])</f>
        <v>6</v>
      </c>
      <c r="J712" s="6">
        <f>SUMIFS(
  Sales_Entry[Qty],
  Sales_Entry[Product_Code], Stock_Table[[#This Row],[Product_Code]]
)</f>
        <v>5</v>
      </c>
      <c r="K712" s="4">
        <f>SUMIFS(
  Exchange_Return[Qty],
  Exchange_Return[Product_Code], Stock_Table[[#This Row],[Product_Code]]
)</f>
        <v>0</v>
      </c>
      <c r="L712" s="4">
        <f>I712-J712+K712</f>
        <v>1</v>
      </c>
      <c r="M712" s="2" t="str" cm="1">
        <f t="array" ref="M712">_xlfn.IFS(L712=0,"Out of Stock",L712&gt;=2,"Limited Stock",L712&lt;2,"In Stock")</f>
        <v>In Stock</v>
      </c>
    </row>
    <row r="713" spans="2:13">
      <c r="B713" s="2" t="s">
        <v>1278</v>
      </c>
      <c r="C713" s="5" t="str">
        <f>_xlfn.XLOOKUP(B713,Master[Product_Code],Master[Category])</f>
        <v>Pants</v>
      </c>
      <c r="D713" s="2" t="str">
        <f>_xlfn.XLOOKUP(B713,Master[Product_Code],Master[Brand])</f>
        <v>Louis Philippe</v>
      </c>
      <c r="E713" s="2" t="str">
        <f>_xlfn.XLOOKUP(B713,Master[Product_Code],Master[Style])</f>
        <v>Polofit</v>
      </c>
      <c r="F713" s="2" t="str">
        <f>_xlfn.XLOOKUP(B713,Master[Product_Code],Master[Fabric])</f>
        <v>Lycra</v>
      </c>
      <c r="G713" s="2">
        <f>_xlfn.XLOOKUP(B713,Master[Product_Code],Master[Size])</f>
        <v>38</v>
      </c>
      <c r="H713" s="2" t="str">
        <f>_xlfn.XLOOKUP(B713,Master[Product_Code],Master[Color])</f>
        <v>Dark Green</v>
      </c>
      <c r="I713" s="4">
        <f>_xlfn.XLOOKUP(B713,Master[Product_Code],Master[Stock_Qty])</f>
        <v>6</v>
      </c>
      <c r="J713" s="6">
        <f>SUMIFS(
  Sales_Entry[Qty],
  Sales_Entry[Product_Code], Stock_Table[[#This Row],[Product_Code]]
)</f>
        <v>0</v>
      </c>
      <c r="K713" s="4">
        <f>SUMIFS(
  Exchange_Return[Qty],
  Exchange_Return[Product_Code], Stock_Table[[#This Row],[Product_Code]]
)</f>
        <v>0</v>
      </c>
      <c r="L713" s="4">
        <f>I713-J713+K713</f>
        <v>6</v>
      </c>
      <c r="M713" s="2" t="str" cm="1">
        <f t="array" ref="M713">_xlfn.IFS(L713=0,"Out of Stock",L713&gt;=2,"Limited Stock",L713&lt;2,"In Stock")</f>
        <v>Limited Stock</v>
      </c>
    </row>
    <row r="714" spans="2:13">
      <c r="B714" s="2" t="s">
        <v>1279</v>
      </c>
      <c r="C714" s="5" t="str">
        <f>_xlfn.XLOOKUP(B714,Master[Product_Code],Master[Category])</f>
        <v>Pants</v>
      </c>
      <c r="D714" s="2" t="str">
        <f>_xlfn.XLOOKUP(B714,Master[Product_Code],Master[Brand])</f>
        <v>Louis Philippe</v>
      </c>
      <c r="E714" s="2" t="str">
        <f>_xlfn.XLOOKUP(B714,Master[Product_Code],Master[Style])</f>
        <v>Polofit</v>
      </c>
      <c r="F714" s="2" t="str">
        <f>_xlfn.XLOOKUP(B714,Master[Product_Code],Master[Fabric])</f>
        <v>Lycra</v>
      </c>
      <c r="G714" s="2">
        <f>_xlfn.XLOOKUP(B714,Master[Product_Code],Master[Size])</f>
        <v>32</v>
      </c>
      <c r="H714" s="2" t="str">
        <f>_xlfn.XLOOKUP(B714,Master[Product_Code],Master[Color])</f>
        <v>Sky Blue</v>
      </c>
      <c r="I714" s="4">
        <f>_xlfn.XLOOKUP(B714,Master[Product_Code],Master[Stock_Qty])</f>
        <v>5</v>
      </c>
      <c r="J714" s="6">
        <f>SUMIFS(
  Sales_Entry[Qty],
  Sales_Entry[Product_Code], Stock_Table[[#This Row],[Product_Code]]
)</f>
        <v>2</v>
      </c>
      <c r="K714" s="4">
        <f>SUMIFS(
  Exchange_Return[Qty],
  Exchange_Return[Product_Code], Stock_Table[[#This Row],[Product_Code]]
)</f>
        <v>0</v>
      </c>
      <c r="L714" s="4">
        <f>I714-J714+K714</f>
        <v>3</v>
      </c>
      <c r="M714" s="2" t="str" cm="1">
        <f t="array" ref="M714">_xlfn.IFS(L714=0,"Out of Stock",L714&gt;=2,"Limited Stock",L714&lt;2,"In Stock")</f>
        <v>Limited Stock</v>
      </c>
    </row>
    <row r="715" spans="2:13">
      <c r="B715" s="2" t="s">
        <v>1280</v>
      </c>
      <c r="C715" s="5" t="str">
        <f>_xlfn.XLOOKUP(B715,Master[Product_Code],Master[Category])</f>
        <v>Pants</v>
      </c>
      <c r="D715" s="2" t="str">
        <f>_xlfn.XLOOKUP(B715,Master[Product_Code],Master[Brand])</f>
        <v>Peter England</v>
      </c>
      <c r="E715" s="2" t="str">
        <f>_xlfn.XLOOKUP(B715,Master[Product_Code],Master[Style])</f>
        <v>Korean</v>
      </c>
      <c r="F715" s="2" t="str">
        <f>_xlfn.XLOOKUP(B715,Master[Product_Code],Master[Fabric])</f>
        <v>Lycra</v>
      </c>
      <c r="G715" s="2">
        <f>_xlfn.XLOOKUP(B715,Master[Product_Code],Master[Size])</f>
        <v>32</v>
      </c>
      <c r="H715" s="2" t="str">
        <f>_xlfn.XLOOKUP(B715,Master[Product_Code],Master[Color])</f>
        <v>Wine</v>
      </c>
      <c r="I715" s="4">
        <f>_xlfn.XLOOKUP(B715,Master[Product_Code],Master[Stock_Qty])</f>
        <v>5</v>
      </c>
      <c r="J715" s="6">
        <f>SUMIFS(
  Sales_Entry[Qty],
  Sales_Entry[Product_Code], Stock_Table[[#This Row],[Product_Code]]
)</f>
        <v>1</v>
      </c>
      <c r="K715" s="4">
        <f>SUMIFS(
  Exchange_Return[Qty],
  Exchange_Return[Product_Code], Stock_Table[[#This Row],[Product_Code]]
)</f>
        <v>0</v>
      </c>
      <c r="L715" s="4">
        <f>I715-J715+K715</f>
        <v>4</v>
      </c>
      <c r="M715" s="2" t="str" cm="1">
        <f t="array" ref="M715">_xlfn.IFS(L715=0,"Out of Stock",L715&gt;=2,"Limited Stock",L715&lt;2,"In Stock")</f>
        <v>Limited Stock</v>
      </c>
    </row>
    <row r="716" spans="2:13">
      <c r="B716" s="2" t="s">
        <v>1281</v>
      </c>
      <c r="C716" s="5" t="str">
        <f>_xlfn.XLOOKUP(B716,Master[Product_Code],Master[Category])</f>
        <v>Pants</v>
      </c>
      <c r="D716" s="2" t="str">
        <f>_xlfn.XLOOKUP(B716,Master[Product_Code],Master[Brand])</f>
        <v>Park Avenue</v>
      </c>
      <c r="E716" s="2" t="str">
        <f>_xlfn.XLOOKUP(B716,Master[Product_Code],Master[Style])</f>
        <v>Kurka</v>
      </c>
      <c r="F716" s="2" t="str">
        <f>_xlfn.XLOOKUP(B716,Master[Product_Code],Master[Fabric])</f>
        <v>Lycra</v>
      </c>
      <c r="G716" s="2">
        <f>_xlfn.XLOOKUP(B716,Master[Product_Code],Master[Size])</f>
        <v>28</v>
      </c>
      <c r="H716" s="2" t="str">
        <f>_xlfn.XLOOKUP(B716,Master[Product_Code],Master[Color])</f>
        <v>Wine</v>
      </c>
      <c r="I716" s="4">
        <f>_xlfn.XLOOKUP(B716,Master[Product_Code],Master[Stock_Qty])</f>
        <v>4</v>
      </c>
      <c r="J716" s="6">
        <f>SUMIFS(
  Sales_Entry[Qty],
  Sales_Entry[Product_Code], Stock_Table[[#This Row],[Product_Code]]
)</f>
        <v>0</v>
      </c>
      <c r="K716" s="4">
        <f>SUMIFS(
  Exchange_Return[Qty],
  Exchange_Return[Product_Code], Stock_Table[[#This Row],[Product_Code]]
)</f>
        <v>0</v>
      </c>
      <c r="L716" s="4">
        <f>I716-J716+K716</f>
        <v>4</v>
      </c>
      <c r="M716" s="2" t="str" cm="1">
        <f t="array" ref="M716">_xlfn.IFS(L716=0,"Out of Stock",L716&gt;=2,"Limited Stock",L716&lt;2,"In Stock")</f>
        <v>Limited Stock</v>
      </c>
    </row>
    <row r="717" spans="2:13">
      <c r="B717" s="2" t="s">
        <v>1282</v>
      </c>
      <c r="C717" s="5" t="str">
        <f>_xlfn.XLOOKUP(B717,Master[Product_Code],Master[Category])</f>
        <v>Pants</v>
      </c>
      <c r="D717" s="2" t="str">
        <f>_xlfn.XLOOKUP(B717,Master[Product_Code],Master[Brand])</f>
        <v>Raymond</v>
      </c>
      <c r="E717" s="2" t="str">
        <f>_xlfn.XLOOKUP(B717,Master[Product_Code],Master[Style])</f>
        <v>Kurka</v>
      </c>
      <c r="F717" s="2" t="str">
        <f>_xlfn.XLOOKUP(B717,Master[Product_Code],Master[Fabric])</f>
        <v>Lycra</v>
      </c>
      <c r="G717" s="2">
        <f>_xlfn.XLOOKUP(B717,Master[Product_Code],Master[Size])</f>
        <v>30</v>
      </c>
      <c r="H717" s="2" t="str">
        <f>_xlfn.XLOOKUP(B717,Master[Product_Code],Master[Color])</f>
        <v>Mustard</v>
      </c>
      <c r="I717" s="4">
        <f>_xlfn.XLOOKUP(B717,Master[Product_Code],Master[Stock_Qty])</f>
        <v>3</v>
      </c>
      <c r="J717" s="6">
        <f>SUMIFS(
  Sales_Entry[Qty],
  Sales_Entry[Product_Code], Stock_Table[[#This Row],[Product_Code]]
)</f>
        <v>0</v>
      </c>
      <c r="K717" s="4">
        <f>SUMIFS(
  Exchange_Return[Qty],
  Exchange_Return[Product_Code], Stock_Table[[#This Row],[Product_Code]]
)</f>
        <v>0</v>
      </c>
      <c r="L717" s="4">
        <f>I717-J717+K717</f>
        <v>3</v>
      </c>
      <c r="M717" s="2" t="str" cm="1">
        <f t="array" ref="M717">_xlfn.IFS(L717=0,"Out of Stock",L717&gt;=2,"Limited Stock",L717&lt;2,"In Stock")</f>
        <v>Limited Stock</v>
      </c>
    </row>
    <row r="718" spans="2:13">
      <c r="B718" s="2" t="s">
        <v>1283</v>
      </c>
      <c r="C718" s="5" t="str">
        <f>_xlfn.XLOOKUP(B718,Master[Product_Code],Master[Category])</f>
        <v>Pants</v>
      </c>
      <c r="D718" s="2" t="str">
        <f>_xlfn.XLOOKUP(B718,Master[Product_Code],Master[Brand])</f>
        <v>Raymond</v>
      </c>
      <c r="E718" s="2" t="str">
        <f>_xlfn.XLOOKUP(B718,Master[Product_Code],Master[Style])</f>
        <v>Boot Cut</v>
      </c>
      <c r="F718" s="2" t="str">
        <f>_xlfn.XLOOKUP(B718,Master[Product_Code],Master[Fabric])</f>
        <v>Poly Viscose</v>
      </c>
      <c r="G718" s="2">
        <f>_xlfn.XLOOKUP(B718,Master[Product_Code],Master[Size])</f>
        <v>30</v>
      </c>
      <c r="H718" s="2" t="str">
        <f>_xlfn.XLOOKUP(B718,Master[Product_Code],Master[Color])</f>
        <v>Mustard</v>
      </c>
      <c r="I718" s="4">
        <f>_xlfn.XLOOKUP(B718,Master[Product_Code],Master[Stock_Qty])</f>
        <v>4</v>
      </c>
      <c r="J718" s="6">
        <f>SUMIFS(
  Sales_Entry[Qty],
  Sales_Entry[Product_Code], Stock_Table[[#This Row],[Product_Code]]
)</f>
        <v>0</v>
      </c>
      <c r="K718" s="4">
        <f>SUMIFS(
  Exchange_Return[Qty],
  Exchange_Return[Product_Code], Stock_Table[[#This Row],[Product_Code]]
)</f>
        <v>0</v>
      </c>
      <c r="L718" s="4">
        <f>I718-J718+K718</f>
        <v>4</v>
      </c>
      <c r="M718" s="2" t="str" cm="1">
        <f t="array" ref="M718">_xlfn.IFS(L718=0,"Out of Stock",L718&gt;=2,"Limited Stock",L718&lt;2,"In Stock")</f>
        <v>Limited Stock</v>
      </c>
    </row>
    <row r="719" spans="2:13">
      <c r="B719" s="2" t="s">
        <v>1284</v>
      </c>
      <c r="C719" s="5" t="str">
        <f>_xlfn.XLOOKUP(B719,Master[Product_Code],Master[Category])</f>
        <v>Pants</v>
      </c>
      <c r="D719" s="2" t="str">
        <f>_xlfn.XLOOKUP(B719,Master[Product_Code],Master[Brand])</f>
        <v>Raymond</v>
      </c>
      <c r="E719" s="2" t="str">
        <f>_xlfn.XLOOKUP(B719,Master[Product_Code],Master[Style])</f>
        <v>Boot Cut</v>
      </c>
      <c r="F719" s="2" t="str">
        <f>_xlfn.XLOOKUP(B719,Master[Product_Code],Master[Fabric])</f>
        <v>Cotton Blend</v>
      </c>
      <c r="G719" s="2">
        <f>_xlfn.XLOOKUP(B719,Master[Product_Code],Master[Size])</f>
        <v>42</v>
      </c>
      <c r="H719" s="2" t="str">
        <f>_xlfn.XLOOKUP(B719,Master[Product_Code],Master[Color])</f>
        <v>Cream</v>
      </c>
      <c r="I719" s="4">
        <f>_xlfn.XLOOKUP(B719,Master[Product_Code],Master[Stock_Qty])</f>
        <v>5</v>
      </c>
      <c r="J719" s="6">
        <f>SUMIFS(
  Sales_Entry[Qty],
  Sales_Entry[Product_Code], Stock_Table[[#This Row],[Product_Code]]
)</f>
        <v>0</v>
      </c>
      <c r="K719" s="4">
        <f>SUMIFS(
  Exchange_Return[Qty],
  Exchange_Return[Product_Code], Stock_Table[[#This Row],[Product_Code]]
)</f>
        <v>0</v>
      </c>
      <c r="L719" s="4">
        <f>I719-J719+K719</f>
        <v>5</v>
      </c>
      <c r="M719" s="2" t="str" cm="1">
        <f t="array" ref="M719">_xlfn.IFS(L719=0,"Out of Stock",L719&gt;=2,"Limited Stock",L719&lt;2,"In Stock")</f>
        <v>Limited Stock</v>
      </c>
    </row>
    <row r="720" spans="2:13">
      <c r="B720" s="2" t="s">
        <v>1285</v>
      </c>
      <c r="C720" s="5" t="str">
        <f>_xlfn.XLOOKUP(B720,Master[Product_Code],Master[Category])</f>
        <v>Pants</v>
      </c>
      <c r="D720" s="2" t="str">
        <f>_xlfn.XLOOKUP(B720,Master[Product_Code],Master[Brand])</f>
        <v>Raymond</v>
      </c>
      <c r="E720" s="2" t="str">
        <f>_xlfn.XLOOKUP(B720,Master[Product_Code],Master[Style])</f>
        <v>Korean</v>
      </c>
      <c r="F720" s="2" t="str">
        <f>_xlfn.XLOOKUP(B720,Master[Product_Code],Master[Fabric])</f>
        <v>Lycra</v>
      </c>
      <c r="G720" s="2">
        <f>_xlfn.XLOOKUP(B720,Master[Product_Code],Master[Size])</f>
        <v>42</v>
      </c>
      <c r="H720" s="2" t="str">
        <f>_xlfn.XLOOKUP(B720,Master[Product_Code],Master[Color])</f>
        <v>Mustard</v>
      </c>
      <c r="I720" s="4">
        <f>_xlfn.XLOOKUP(B720,Master[Product_Code],Master[Stock_Qty])</f>
        <v>4</v>
      </c>
      <c r="J720" s="6">
        <f>SUMIFS(
  Sales_Entry[Qty],
  Sales_Entry[Product_Code], Stock_Table[[#This Row],[Product_Code]]
)</f>
        <v>1</v>
      </c>
      <c r="K720" s="4">
        <f>SUMIFS(
  Exchange_Return[Qty],
  Exchange_Return[Product_Code], Stock_Table[[#This Row],[Product_Code]]
)</f>
        <v>0</v>
      </c>
      <c r="L720" s="4">
        <f>I720-J720+K720</f>
        <v>3</v>
      </c>
      <c r="M720" s="2" t="str" cm="1">
        <f t="array" ref="M720">_xlfn.IFS(L720=0,"Out of Stock",L720&gt;=2,"Limited Stock",L720&lt;2,"In Stock")</f>
        <v>Limited Stock</v>
      </c>
    </row>
    <row r="721" spans="2:13">
      <c r="B721" s="2" t="s">
        <v>1286</v>
      </c>
      <c r="C721" s="5" t="str">
        <f>_xlfn.XLOOKUP(B721,Master[Product_Code],Master[Category])</f>
        <v>Pants</v>
      </c>
      <c r="D721" s="2" t="str">
        <f>_xlfn.XLOOKUP(B721,Master[Product_Code],Master[Brand])</f>
        <v>Raymond</v>
      </c>
      <c r="E721" s="2" t="str">
        <f>_xlfn.XLOOKUP(B721,Master[Product_Code],Master[Style])</f>
        <v>Korean</v>
      </c>
      <c r="F721" s="2" t="str">
        <f>_xlfn.XLOOKUP(B721,Master[Product_Code],Master[Fabric])</f>
        <v>Lycra</v>
      </c>
      <c r="G721" s="2">
        <f>_xlfn.XLOOKUP(B721,Master[Product_Code],Master[Size])</f>
        <v>28</v>
      </c>
      <c r="H721" s="2" t="str">
        <f>_xlfn.XLOOKUP(B721,Master[Product_Code],Master[Color])</f>
        <v>Navy Blue</v>
      </c>
      <c r="I721" s="4">
        <f>_xlfn.XLOOKUP(B721,Master[Product_Code],Master[Stock_Qty])</f>
        <v>6</v>
      </c>
      <c r="J721" s="6">
        <f>SUMIFS(
  Sales_Entry[Qty],
  Sales_Entry[Product_Code], Stock_Table[[#This Row],[Product_Code]]
)</f>
        <v>1</v>
      </c>
      <c r="K721" s="4">
        <f>SUMIFS(
  Exchange_Return[Qty],
  Exchange_Return[Product_Code], Stock_Table[[#This Row],[Product_Code]]
)</f>
        <v>0</v>
      </c>
      <c r="L721" s="4">
        <f>I721-J721+K721</f>
        <v>5</v>
      </c>
      <c r="M721" s="2" t="str" cm="1">
        <f t="array" ref="M721">_xlfn.IFS(L721=0,"Out of Stock",L721&gt;=2,"Limited Stock",L721&lt;2,"In Stock")</f>
        <v>Limited Stock</v>
      </c>
    </row>
    <row r="722" spans="2:13">
      <c r="B722" s="2" t="s">
        <v>1287</v>
      </c>
      <c r="C722" s="5" t="str">
        <f>_xlfn.XLOOKUP(B722,Master[Product_Code],Master[Category])</f>
        <v>Pants</v>
      </c>
      <c r="D722" s="2" t="str">
        <f>_xlfn.XLOOKUP(B722,Master[Product_Code],Master[Brand])</f>
        <v>Louis Philippe</v>
      </c>
      <c r="E722" s="2" t="str">
        <f>_xlfn.XLOOKUP(B722,Master[Product_Code],Master[Style])</f>
        <v>Korean</v>
      </c>
      <c r="F722" s="2" t="str">
        <f>_xlfn.XLOOKUP(B722,Master[Product_Code],Master[Fabric])</f>
        <v>Lycra</v>
      </c>
      <c r="G722" s="2">
        <f>_xlfn.XLOOKUP(B722,Master[Product_Code],Master[Size])</f>
        <v>34</v>
      </c>
      <c r="H722" s="2" t="str">
        <f>_xlfn.XLOOKUP(B722,Master[Product_Code],Master[Color])</f>
        <v>Rust</v>
      </c>
      <c r="I722" s="4">
        <f>_xlfn.XLOOKUP(B722,Master[Product_Code],Master[Stock_Qty])</f>
        <v>3</v>
      </c>
      <c r="J722" s="6">
        <f>SUMIFS(
  Sales_Entry[Qty],
  Sales_Entry[Product_Code], Stock_Table[[#This Row],[Product_Code]]
)</f>
        <v>1</v>
      </c>
      <c r="K722" s="4">
        <f>SUMIFS(
  Exchange_Return[Qty],
  Exchange_Return[Product_Code], Stock_Table[[#This Row],[Product_Code]]
)</f>
        <v>0</v>
      </c>
      <c r="L722" s="4">
        <f>I722-J722+K722</f>
        <v>2</v>
      </c>
      <c r="M722" s="2" t="str" cm="1">
        <f t="array" ref="M722">_xlfn.IFS(L722=0,"Out of Stock",L722&gt;=2,"Limited Stock",L722&lt;2,"In Stock")</f>
        <v>Limited Stock</v>
      </c>
    </row>
    <row r="723" spans="2:13">
      <c r="B723" s="2" t="s">
        <v>1288</v>
      </c>
      <c r="C723" s="5" t="str">
        <f>_xlfn.XLOOKUP(B723,Master[Product_Code],Master[Category])</f>
        <v>Pants</v>
      </c>
      <c r="D723" s="2" t="str">
        <f>_xlfn.XLOOKUP(B723,Master[Product_Code],Master[Brand])</f>
        <v>Peter England</v>
      </c>
      <c r="E723" s="2" t="str">
        <f>_xlfn.XLOOKUP(B723,Master[Product_Code],Master[Style])</f>
        <v>Kurka</v>
      </c>
      <c r="F723" s="2" t="str">
        <f>_xlfn.XLOOKUP(B723,Master[Product_Code],Master[Fabric])</f>
        <v>Lycra</v>
      </c>
      <c r="G723" s="2">
        <f>_xlfn.XLOOKUP(B723,Master[Product_Code],Master[Size])</f>
        <v>40</v>
      </c>
      <c r="H723" s="2" t="str">
        <f>_xlfn.XLOOKUP(B723,Master[Product_Code],Master[Color])</f>
        <v>Brown</v>
      </c>
      <c r="I723" s="4">
        <f>_xlfn.XLOOKUP(B723,Master[Product_Code],Master[Stock_Qty])</f>
        <v>4</v>
      </c>
      <c r="J723" s="6">
        <f>SUMIFS(
  Sales_Entry[Qty],
  Sales_Entry[Product_Code], Stock_Table[[#This Row],[Product_Code]]
)</f>
        <v>0</v>
      </c>
      <c r="K723" s="4">
        <f>SUMIFS(
  Exchange_Return[Qty],
  Exchange_Return[Product_Code], Stock_Table[[#This Row],[Product_Code]]
)</f>
        <v>0</v>
      </c>
      <c r="L723" s="4">
        <f>I723-J723+K723</f>
        <v>4</v>
      </c>
      <c r="M723" s="2" t="str" cm="1">
        <f t="array" ref="M723">_xlfn.IFS(L723=0,"Out of Stock",L723&gt;=2,"Limited Stock",L723&lt;2,"In Stock")</f>
        <v>Limited Stock</v>
      </c>
    </row>
    <row r="724" spans="2:13">
      <c r="B724" s="2" t="s">
        <v>1289</v>
      </c>
      <c r="C724" s="5" t="str">
        <f>_xlfn.XLOOKUP(B724,Master[Product_Code],Master[Category])</f>
        <v>Pants</v>
      </c>
      <c r="D724" s="2" t="str">
        <f>_xlfn.XLOOKUP(B724,Master[Product_Code],Master[Brand])</f>
        <v>Van Heusen</v>
      </c>
      <c r="E724" s="2" t="str">
        <f>_xlfn.XLOOKUP(B724,Master[Product_Code],Master[Style])</f>
        <v>Boot Cut</v>
      </c>
      <c r="F724" s="2" t="str">
        <f>_xlfn.XLOOKUP(B724,Master[Product_Code],Master[Fabric])</f>
        <v>Poly Viscose</v>
      </c>
      <c r="G724" s="2">
        <f>_xlfn.XLOOKUP(B724,Master[Product_Code],Master[Size])</f>
        <v>36</v>
      </c>
      <c r="H724" s="2" t="str">
        <f>_xlfn.XLOOKUP(B724,Master[Product_Code],Master[Color])</f>
        <v>Royal Blue</v>
      </c>
      <c r="I724" s="4">
        <f>_xlfn.XLOOKUP(B724,Master[Product_Code],Master[Stock_Qty])</f>
        <v>4</v>
      </c>
      <c r="J724" s="6">
        <f>SUMIFS(
  Sales_Entry[Qty],
  Sales_Entry[Product_Code], Stock_Table[[#This Row],[Product_Code]]
)</f>
        <v>0</v>
      </c>
      <c r="K724" s="4">
        <f>SUMIFS(
  Exchange_Return[Qty],
  Exchange_Return[Product_Code], Stock_Table[[#This Row],[Product_Code]]
)</f>
        <v>0</v>
      </c>
      <c r="L724" s="4">
        <f>I724-J724+K724</f>
        <v>4</v>
      </c>
      <c r="M724" s="2" t="str" cm="1">
        <f t="array" ref="M724">_xlfn.IFS(L724=0,"Out of Stock",L724&gt;=2,"Limited Stock",L724&lt;2,"In Stock")</f>
        <v>Limited Stock</v>
      </c>
    </row>
    <row r="725" spans="2:13">
      <c r="B725" s="2" t="s">
        <v>1290</v>
      </c>
      <c r="C725" s="5" t="str">
        <f>_xlfn.XLOOKUP(B725,Master[Product_Code],Master[Category])</f>
        <v>Pants</v>
      </c>
      <c r="D725" s="2" t="str">
        <f>_xlfn.XLOOKUP(B725,Master[Product_Code],Master[Brand])</f>
        <v>Raymond</v>
      </c>
      <c r="E725" s="2" t="str">
        <f>_xlfn.XLOOKUP(B725,Master[Product_Code],Master[Style])</f>
        <v>Korean</v>
      </c>
      <c r="F725" s="2" t="str">
        <f>_xlfn.XLOOKUP(B725,Master[Product_Code],Master[Fabric])</f>
        <v>Lycra</v>
      </c>
      <c r="G725" s="2">
        <f>_xlfn.XLOOKUP(B725,Master[Product_Code],Master[Size])</f>
        <v>34</v>
      </c>
      <c r="H725" s="2" t="str">
        <f>_xlfn.XLOOKUP(B725,Master[Product_Code],Master[Color])</f>
        <v>Peach</v>
      </c>
      <c r="I725" s="4">
        <f>_xlfn.XLOOKUP(B725,Master[Product_Code],Master[Stock_Qty])</f>
        <v>6</v>
      </c>
      <c r="J725" s="6">
        <f>SUMIFS(
  Sales_Entry[Qty],
  Sales_Entry[Product_Code], Stock_Table[[#This Row],[Product_Code]]
)</f>
        <v>0</v>
      </c>
      <c r="K725" s="4">
        <f>SUMIFS(
  Exchange_Return[Qty],
  Exchange_Return[Product_Code], Stock_Table[[#This Row],[Product_Code]]
)</f>
        <v>0</v>
      </c>
      <c r="L725" s="4">
        <f>I725-J725+K725</f>
        <v>6</v>
      </c>
      <c r="M725" s="2" t="str" cm="1">
        <f t="array" ref="M725">_xlfn.IFS(L725=0,"Out of Stock",L725&gt;=2,"Limited Stock",L725&lt;2,"In Stock")</f>
        <v>Limited Stock</v>
      </c>
    </row>
    <row r="726" spans="2:13">
      <c r="B726" s="2" t="s">
        <v>1291</v>
      </c>
      <c r="C726" s="5" t="str">
        <f>_xlfn.XLOOKUP(B726,Master[Product_Code],Master[Category])</f>
        <v>Pants</v>
      </c>
      <c r="D726" s="2" t="str">
        <f>_xlfn.XLOOKUP(B726,Master[Product_Code],Master[Brand])</f>
        <v>Louis Philippe</v>
      </c>
      <c r="E726" s="2" t="str">
        <f>_xlfn.XLOOKUP(B726,Master[Product_Code],Master[Style])</f>
        <v>Korean</v>
      </c>
      <c r="F726" s="2" t="str">
        <f>_xlfn.XLOOKUP(B726,Master[Product_Code],Master[Fabric])</f>
        <v>Lycra</v>
      </c>
      <c r="G726" s="2">
        <f>_xlfn.XLOOKUP(B726,Master[Product_Code],Master[Size])</f>
        <v>40</v>
      </c>
      <c r="H726" s="2" t="str">
        <f>_xlfn.XLOOKUP(B726,Master[Product_Code],Master[Color])</f>
        <v>Navy Blue</v>
      </c>
      <c r="I726" s="4">
        <f>_xlfn.XLOOKUP(B726,Master[Product_Code],Master[Stock_Qty])</f>
        <v>6</v>
      </c>
      <c r="J726" s="6">
        <f>SUMIFS(
  Sales_Entry[Qty],
  Sales_Entry[Product_Code], Stock_Table[[#This Row],[Product_Code]]
)</f>
        <v>1</v>
      </c>
      <c r="K726" s="4">
        <f>SUMIFS(
  Exchange_Return[Qty],
  Exchange_Return[Product_Code], Stock_Table[[#This Row],[Product_Code]]
)</f>
        <v>1</v>
      </c>
      <c r="L726" s="4">
        <f>I726-J726+K726</f>
        <v>6</v>
      </c>
      <c r="M726" s="2" t="str" cm="1">
        <f t="array" ref="M726">_xlfn.IFS(L726=0,"Out of Stock",L726&gt;=2,"Limited Stock",L726&lt;2,"In Stock")</f>
        <v>Limited Stock</v>
      </c>
    </row>
    <row r="727" spans="2:13">
      <c r="B727" s="2" t="s">
        <v>1292</v>
      </c>
      <c r="C727" s="5" t="str">
        <f>_xlfn.XLOOKUP(B727,Master[Product_Code],Master[Category])</f>
        <v>Pants</v>
      </c>
      <c r="D727" s="2" t="str">
        <f>_xlfn.XLOOKUP(B727,Master[Product_Code],Master[Brand])</f>
        <v>Park Avenue</v>
      </c>
      <c r="E727" s="2" t="str">
        <f>_xlfn.XLOOKUP(B727,Master[Product_Code],Master[Style])</f>
        <v>Kurka</v>
      </c>
      <c r="F727" s="2" t="str">
        <f>_xlfn.XLOOKUP(B727,Master[Product_Code],Master[Fabric])</f>
        <v>Lycra</v>
      </c>
      <c r="G727" s="2">
        <f>_xlfn.XLOOKUP(B727,Master[Product_Code],Master[Size])</f>
        <v>40</v>
      </c>
      <c r="H727" s="2" t="str">
        <f>_xlfn.XLOOKUP(B727,Master[Product_Code],Master[Color])</f>
        <v>Navy Blue</v>
      </c>
      <c r="I727" s="4">
        <f>_xlfn.XLOOKUP(B727,Master[Product_Code],Master[Stock_Qty])</f>
        <v>3</v>
      </c>
      <c r="J727" s="6">
        <f>SUMIFS(
  Sales_Entry[Qty],
  Sales_Entry[Product_Code], Stock_Table[[#This Row],[Product_Code]]
)</f>
        <v>2</v>
      </c>
      <c r="K727" s="4">
        <f>SUMIFS(
  Exchange_Return[Qty],
  Exchange_Return[Product_Code], Stock_Table[[#This Row],[Product_Code]]
)</f>
        <v>0</v>
      </c>
      <c r="L727" s="4">
        <f>I727-J727+K727</f>
        <v>1</v>
      </c>
      <c r="M727" s="2" t="str" cm="1">
        <f t="array" ref="M727">_xlfn.IFS(L727=0,"Out of Stock",L727&gt;=2,"Limited Stock",L727&lt;2,"In Stock")</f>
        <v>In Stock</v>
      </c>
    </row>
    <row r="728" spans="2:13">
      <c r="B728" s="2" t="s">
        <v>1293</v>
      </c>
      <c r="C728" s="5" t="str">
        <f>_xlfn.XLOOKUP(B728,Master[Product_Code],Master[Category])</f>
        <v>Pants</v>
      </c>
      <c r="D728" s="2" t="str">
        <f>_xlfn.XLOOKUP(B728,Master[Product_Code],Master[Brand])</f>
        <v>Van Heusen</v>
      </c>
      <c r="E728" s="2" t="str">
        <f>_xlfn.XLOOKUP(B728,Master[Product_Code],Master[Style])</f>
        <v>Boot Cut</v>
      </c>
      <c r="F728" s="2" t="str">
        <f>_xlfn.XLOOKUP(B728,Master[Product_Code],Master[Fabric])</f>
        <v>Cotton Blend</v>
      </c>
      <c r="G728" s="2">
        <f>_xlfn.XLOOKUP(B728,Master[Product_Code],Master[Size])</f>
        <v>34</v>
      </c>
      <c r="H728" s="2" t="str">
        <f>_xlfn.XLOOKUP(B728,Master[Product_Code],Master[Color])</f>
        <v>Maroon</v>
      </c>
      <c r="I728" s="4">
        <f>_xlfn.XLOOKUP(B728,Master[Product_Code],Master[Stock_Qty])</f>
        <v>6</v>
      </c>
      <c r="J728" s="6">
        <f>SUMIFS(
  Sales_Entry[Qty],
  Sales_Entry[Product_Code], Stock_Table[[#This Row],[Product_Code]]
)</f>
        <v>0</v>
      </c>
      <c r="K728" s="4">
        <f>SUMIFS(
  Exchange_Return[Qty],
  Exchange_Return[Product_Code], Stock_Table[[#This Row],[Product_Code]]
)</f>
        <v>0</v>
      </c>
      <c r="L728" s="4">
        <f>I728-J728+K728</f>
        <v>6</v>
      </c>
      <c r="M728" s="2" t="str" cm="1">
        <f t="array" ref="M728">_xlfn.IFS(L728=0,"Out of Stock",L728&gt;=2,"Limited Stock",L728&lt;2,"In Stock")</f>
        <v>Limited Stock</v>
      </c>
    </row>
    <row r="729" spans="2:13">
      <c r="B729" s="2" t="s">
        <v>1294</v>
      </c>
      <c r="C729" s="5" t="str">
        <f>_xlfn.XLOOKUP(B729,Master[Product_Code],Master[Category])</f>
        <v>Pants</v>
      </c>
      <c r="D729" s="2" t="str">
        <f>_xlfn.XLOOKUP(B729,Master[Product_Code],Master[Brand])</f>
        <v>Park Avenue</v>
      </c>
      <c r="E729" s="2" t="str">
        <f>_xlfn.XLOOKUP(B729,Master[Product_Code],Master[Style])</f>
        <v>Polofit</v>
      </c>
      <c r="F729" s="2" t="str">
        <f>_xlfn.XLOOKUP(B729,Master[Product_Code],Master[Fabric])</f>
        <v>Lycra</v>
      </c>
      <c r="G729" s="2">
        <f>_xlfn.XLOOKUP(B729,Master[Product_Code],Master[Size])</f>
        <v>42</v>
      </c>
      <c r="H729" s="2" t="str">
        <f>_xlfn.XLOOKUP(B729,Master[Product_Code],Master[Color])</f>
        <v>Bottle Green</v>
      </c>
      <c r="I729" s="4">
        <f>_xlfn.XLOOKUP(B729,Master[Product_Code],Master[Stock_Qty])</f>
        <v>3</v>
      </c>
      <c r="J729" s="6">
        <f>SUMIFS(
  Sales_Entry[Qty],
  Sales_Entry[Product_Code], Stock_Table[[#This Row],[Product_Code]]
)</f>
        <v>0</v>
      </c>
      <c r="K729" s="4">
        <f>SUMIFS(
  Exchange_Return[Qty],
  Exchange_Return[Product_Code], Stock_Table[[#This Row],[Product_Code]]
)</f>
        <v>0</v>
      </c>
      <c r="L729" s="4">
        <f>I729-J729+K729</f>
        <v>3</v>
      </c>
      <c r="M729" s="2" t="str" cm="1">
        <f t="array" ref="M729">_xlfn.IFS(L729=0,"Out of Stock",L729&gt;=2,"Limited Stock",L729&lt;2,"In Stock")</f>
        <v>Limited Stock</v>
      </c>
    </row>
    <row r="730" spans="2:13">
      <c r="B730" s="2" t="s">
        <v>1295</v>
      </c>
      <c r="C730" s="5" t="str">
        <f>_xlfn.XLOOKUP(B730,Master[Product_Code],Master[Category])</f>
        <v>Pants</v>
      </c>
      <c r="D730" s="2" t="str">
        <f>_xlfn.XLOOKUP(B730,Master[Product_Code],Master[Brand])</f>
        <v>Van Heusen</v>
      </c>
      <c r="E730" s="2" t="str">
        <f>_xlfn.XLOOKUP(B730,Master[Product_Code],Master[Style])</f>
        <v>Kurka</v>
      </c>
      <c r="F730" s="2" t="str">
        <f>_xlfn.XLOOKUP(B730,Master[Product_Code],Master[Fabric])</f>
        <v>Lycra</v>
      </c>
      <c r="G730" s="2">
        <f>_xlfn.XLOOKUP(B730,Master[Product_Code],Master[Size])</f>
        <v>36</v>
      </c>
      <c r="H730" s="2" t="str">
        <f>_xlfn.XLOOKUP(B730,Master[Product_Code],Master[Color])</f>
        <v>Charcoal</v>
      </c>
      <c r="I730" s="4">
        <f>_xlfn.XLOOKUP(B730,Master[Product_Code],Master[Stock_Qty])</f>
        <v>6</v>
      </c>
      <c r="J730" s="6">
        <f>SUMIFS(
  Sales_Entry[Qty],
  Sales_Entry[Product_Code], Stock_Table[[#This Row],[Product_Code]]
)</f>
        <v>2</v>
      </c>
      <c r="K730" s="4">
        <f>SUMIFS(
  Exchange_Return[Qty],
  Exchange_Return[Product_Code], Stock_Table[[#This Row],[Product_Code]]
)</f>
        <v>0</v>
      </c>
      <c r="L730" s="4">
        <f>I730-J730+K730</f>
        <v>4</v>
      </c>
      <c r="M730" s="2" t="str" cm="1">
        <f t="array" ref="M730">_xlfn.IFS(L730=0,"Out of Stock",L730&gt;=2,"Limited Stock",L730&lt;2,"In Stock")</f>
        <v>Limited Stock</v>
      </c>
    </row>
    <row r="731" spans="2:13">
      <c r="B731" s="2" t="s">
        <v>1296</v>
      </c>
      <c r="C731" s="5" t="str">
        <f>_xlfn.XLOOKUP(B731,Master[Product_Code],Master[Category])</f>
        <v>Pants</v>
      </c>
      <c r="D731" s="2" t="str">
        <f>_xlfn.XLOOKUP(B731,Master[Product_Code],Master[Brand])</f>
        <v>Park Avenue</v>
      </c>
      <c r="E731" s="2" t="str">
        <f>_xlfn.XLOOKUP(B731,Master[Product_Code],Master[Style])</f>
        <v>Polofit</v>
      </c>
      <c r="F731" s="2" t="str">
        <f>_xlfn.XLOOKUP(B731,Master[Product_Code],Master[Fabric])</f>
        <v>Lycra</v>
      </c>
      <c r="G731" s="2">
        <f>_xlfn.XLOOKUP(B731,Master[Product_Code],Master[Size])</f>
        <v>30</v>
      </c>
      <c r="H731" s="2" t="str">
        <f>_xlfn.XLOOKUP(B731,Master[Product_Code],Master[Color])</f>
        <v>White</v>
      </c>
      <c r="I731" s="4">
        <f>_xlfn.XLOOKUP(B731,Master[Product_Code],Master[Stock_Qty])</f>
        <v>3</v>
      </c>
      <c r="J731" s="6">
        <f>SUMIFS(
  Sales_Entry[Qty],
  Sales_Entry[Product_Code], Stock_Table[[#This Row],[Product_Code]]
)</f>
        <v>1</v>
      </c>
      <c r="K731" s="4">
        <f>SUMIFS(
  Exchange_Return[Qty],
  Exchange_Return[Product_Code], Stock_Table[[#This Row],[Product_Code]]
)</f>
        <v>0</v>
      </c>
      <c r="L731" s="4">
        <f>I731-J731+K731</f>
        <v>2</v>
      </c>
      <c r="M731" s="2" t="str" cm="1">
        <f t="array" ref="M731">_xlfn.IFS(L731=0,"Out of Stock",L731&gt;=2,"Limited Stock",L731&lt;2,"In Stock")</f>
        <v>Limited Stock</v>
      </c>
    </row>
    <row r="732" spans="2:13">
      <c r="B732" s="2" t="s">
        <v>1297</v>
      </c>
      <c r="C732" s="5" t="str">
        <f>_xlfn.XLOOKUP(B732,Master[Product_Code],Master[Category])</f>
        <v>Pants</v>
      </c>
      <c r="D732" s="2" t="str">
        <f>_xlfn.XLOOKUP(B732,Master[Product_Code],Master[Brand])</f>
        <v>Louis Philippe</v>
      </c>
      <c r="E732" s="2" t="str">
        <f>_xlfn.XLOOKUP(B732,Master[Product_Code],Master[Style])</f>
        <v>Boot Cut</v>
      </c>
      <c r="F732" s="2" t="str">
        <f>_xlfn.XLOOKUP(B732,Master[Product_Code],Master[Fabric])</f>
        <v>Cotton</v>
      </c>
      <c r="G732" s="2">
        <f>_xlfn.XLOOKUP(B732,Master[Product_Code],Master[Size])</f>
        <v>42</v>
      </c>
      <c r="H732" s="2" t="str">
        <f>_xlfn.XLOOKUP(B732,Master[Product_Code],Master[Color])</f>
        <v>Light Grey</v>
      </c>
      <c r="I732" s="4">
        <f>_xlfn.XLOOKUP(B732,Master[Product_Code],Master[Stock_Qty])</f>
        <v>5</v>
      </c>
      <c r="J732" s="6">
        <f>SUMIFS(
  Sales_Entry[Qty],
  Sales_Entry[Product_Code], Stock_Table[[#This Row],[Product_Code]]
)</f>
        <v>4</v>
      </c>
      <c r="K732" s="4">
        <f>SUMIFS(
  Exchange_Return[Qty],
  Exchange_Return[Product_Code], Stock_Table[[#This Row],[Product_Code]]
)</f>
        <v>0</v>
      </c>
      <c r="L732" s="4">
        <f>I732-J732+K732</f>
        <v>1</v>
      </c>
      <c r="M732" s="2" t="str" cm="1">
        <f t="array" ref="M732">_xlfn.IFS(L732=0,"Out of Stock",L732&gt;=2,"Limited Stock",L732&lt;2,"In Stock")</f>
        <v>In Stock</v>
      </c>
    </row>
    <row r="733" spans="2:13">
      <c r="B733" s="2" t="s">
        <v>1298</v>
      </c>
      <c r="C733" s="5" t="str">
        <f>_xlfn.XLOOKUP(B733,Master[Product_Code],Master[Category])</f>
        <v>Pants</v>
      </c>
      <c r="D733" s="2" t="str">
        <f>_xlfn.XLOOKUP(B733,Master[Product_Code],Master[Brand])</f>
        <v>Van Heusen</v>
      </c>
      <c r="E733" s="2" t="str">
        <f>_xlfn.XLOOKUP(B733,Master[Product_Code],Master[Style])</f>
        <v>Jogger</v>
      </c>
      <c r="F733" s="2" t="str">
        <f>_xlfn.XLOOKUP(B733,Master[Product_Code],Master[Fabric])</f>
        <v>Cotton</v>
      </c>
      <c r="G733" s="2">
        <f>_xlfn.XLOOKUP(B733,Master[Product_Code],Master[Size])</f>
        <v>44</v>
      </c>
      <c r="H733" s="2" t="str">
        <f>_xlfn.XLOOKUP(B733,Master[Product_Code],Master[Color])</f>
        <v>Black</v>
      </c>
      <c r="I733" s="4">
        <f>_xlfn.XLOOKUP(B733,Master[Product_Code],Master[Stock_Qty])</f>
        <v>3</v>
      </c>
      <c r="J733" s="6">
        <f>SUMIFS(
  Sales_Entry[Qty],
  Sales_Entry[Product_Code], Stock_Table[[#This Row],[Product_Code]]
)</f>
        <v>2</v>
      </c>
      <c r="K733" s="4">
        <f>SUMIFS(
  Exchange_Return[Qty],
  Exchange_Return[Product_Code], Stock_Table[[#This Row],[Product_Code]]
)</f>
        <v>0</v>
      </c>
      <c r="L733" s="4">
        <f>I733-J733+K733</f>
        <v>1</v>
      </c>
      <c r="M733" s="2" t="str" cm="1">
        <f t="array" ref="M733">_xlfn.IFS(L733=0,"Out of Stock",L733&gt;=2,"Limited Stock",L733&lt;2,"In Stock")</f>
        <v>In Stock</v>
      </c>
    </row>
    <row r="734" spans="2:13">
      <c r="B734" s="2" t="s">
        <v>1299</v>
      </c>
      <c r="C734" s="5" t="str">
        <f>_xlfn.XLOOKUP(B734,Master[Product_Code],Master[Category])</f>
        <v>Pants</v>
      </c>
      <c r="D734" s="2" t="str">
        <f>_xlfn.XLOOKUP(B734,Master[Product_Code],Master[Brand])</f>
        <v>Louis Philippe</v>
      </c>
      <c r="E734" s="2" t="str">
        <f>_xlfn.XLOOKUP(B734,Master[Product_Code],Master[Style])</f>
        <v>Kurka</v>
      </c>
      <c r="F734" s="2" t="str">
        <f>_xlfn.XLOOKUP(B734,Master[Product_Code],Master[Fabric])</f>
        <v>Lycra</v>
      </c>
      <c r="G734" s="2">
        <f>_xlfn.XLOOKUP(B734,Master[Product_Code],Master[Size])</f>
        <v>40</v>
      </c>
      <c r="H734" s="2" t="str">
        <f>_xlfn.XLOOKUP(B734,Master[Product_Code],Master[Color])</f>
        <v>White</v>
      </c>
      <c r="I734" s="4">
        <f>_xlfn.XLOOKUP(B734,Master[Product_Code],Master[Stock_Qty])</f>
        <v>3</v>
      </c>
      <c r="J734" s="6">
        <f>SUMIFS(
  Sales_Entry[Qty],
  Sales_Entry[Product_Code], Stock_Table[[#This Row],[Product_Code]]
)</f>
        <v>2</v>
      </c>
      <c r="K734" s="4">
        <f>SUMIFS(
  Exchange_Return[Qty],
  Exchange_Return[Product_Code], Stock_Table[[#This Row],[Product_Code]]
)</f>
        <v>0</v>
      </c>
      <c r="L734" s="4">
        <f>I734-J734+K734</f>
        <v>1</v>
      </c>
      <c r="M734" s="2" t="str" cm="1">
        <f t="array" ref="M734">_xlfn.IFS(L734=0,"Out of Stock",L734&gt;=2,"Limited Stock",L734&lt;2,"In Stock")</f>
        <v>In Stock</v>
      </c>
    </row>
    <row r="735" spans="2:13">
      <c r="B735" s="2" t="s">
        <v>1300</v>
      </c>
      <c r="C735" s="5" t="str">
        <f>_xlfn.XLOOKUP(B735,Master[Product_Code],Master[Category])</f>
        <v>Pants</v>
      </c>
      <c r="D735" s="2" t="str">
        <f>_xlfn.XLOOKUP(B735,Master[Product_Code],Master[Brand])</f>
        <v>Van Heusen</v>
      </c>
      <c r="E735" s="2" t="str">
        <f>_xlfn.XLOOKUP(B735,Master[Product_Code],Master[Style])</f>
        <v>Korean</v>
      </c>
      <c r="F735" s="2" t="str">
        <f>_xlfn.XLOOKUP(B735,Master[Product_Code],Master[Fabric])</f>
        <v>Lycra</v>
      </c>
      <c r="G735" s="2">
        <f>_xlfn.XLOOKUP(B735,Master[Product_Code],Master[Size])</f>
        <v>42</v>
      </c>
      <c r="H735" s="2" t="str">
        <f>_xlfn.XLOOKUP(B735,Master[Product_Code],Master[Color])</f>
        <v>Cream</v>
      </c>
      <c r="I735" s="4">
        <f>_xlfn.XLOOKUP(B735,Master[Product_Code],Master[Stock_Qty])</f>
        <v>5</v>
      </c>
      <c r="J735" s="6">
        <f>SUMIFS(
  Sales_Entry[Qty],
  Sales_Entry[Product_Code], Stock_Table[[#This Row],[Product_Code]]
)</f>
        <v>3</v>
      </c>
      <c r="K735" s="4">
        <f>SUMIFS(
  Exchange_Return[Qty],
  Exchange_Return[Product_Code], Stock_Table[[#This Row],[Product_Code]]
)</f>
        <v>0</v>
      </c>
      <c r="L735" s="4">
        <f>I735-J735+K735</f>
        <v>2</v>
      </c>
      <c r="M735" s="2" t="str" cm="1">
        <f t="array" ref="M735">_xlfn.IFS(L735=0,"Out of Stock",L735&gt;=2,"Limited Stock",L735&lt;2,"In Stock")</f>
        <v>Limited Stock</v>
      </c>
    </row>
    <row r="736" spans="2:13">
      <c r="B736" s="2" t="s">
        <v>1301</v>
      </c>
      <c r="C736" s="5" t="str">
        <f>_xlfn.XLOOKUP(B736,Master[Product_Code],Master[Category])</f>
        <v>Pants</v>
      </c>
      <c r="D736" s="2" t="str">
        <f>_xlfn.XLOOKUP(B736,Master[Product_Code],Master[Brand])</f>
        <v>Peter England</v>
      </c>
      <c r="E736" s="2" t="str">
        <f>_xlfn.XLOOKUP(B736,Master[Product_Code],Master[Style])</f>
        <v>Kurka</v>
      </c>
      <c r="F736" s="2" t="str">
        <f>_xlfn.XLOOKUP(B736,Master[Product_Code],Master[Fabric])</f>
        <v>Lycra</v>
      </c>
      <c r="G736" s="2">
        <f>_xlfn.XLOOKUP(B736,Master[Product_Code],Master[Size])</f>
        <v>30</v>
      </c>
      <c r="H736" s="2" t="str">
        <f>_xlfn.XLOOKUP(B736,Master[Product_Code],Master[Color])</f>
        <v>Royal Blue</v>
      </c>
      <c r="I736" s="4">
        <f>_xlfn.XLOOKUP(B736,Master[Product_Code],Master[Stock_Qty])</f>
        <v>5</v>
      </c>
      <c r="J736" s="6">
        <f>SUMIFS(
  Sales_Entry[Qty],
  Sales_Entry[Product_Code], Stock_Table[[#This Row],[Product_Code]]
)</f>
        <v>2</v>
      </c>
      <c r="K736" s="4">
        <f>SUMIFS(
  Exchange_Return[Qty],
  Exchange_Return[Product_Code], Stock_Table[[#This Row],[Product_Code]]
)</f>
        <v>0</v>
      </c>
      <c r="L736" s="4">
        <f>I736-J736+K736</f>
        <v>3</v>
      </c>
      <c r="M736" s="2" t="str" cm="1">
        <f t="array" ref="M736">_xlfn.IFS(L736=0,"Out of Stock",L736&gt;=2,"Limited Stock",L736&lt;2,"In Stock")</f>
        <v>Limited Stock</v>
      </c>
    </row>
    <row r="737" spans="2:13">
      <c r="B737" s="2" t="s">
        <v>1302</v>
      </c>
      <c r="C737" s="5" t="str">
        <f>_xlfn.XLOOKUP(B737,Master[Product_Code],Master[Category])</f>
        <v>Pants</v>
      </c>
      <c r="D737" s="2" t="str">
        <f>_xlfn.XLOOKUP(B737,Master[Product_Code],Master[Brand])</f>
        <v>Raymond</v>
      </c>
      <c r="E737" s="2" t="str">
        <f>_xlfn.XLOOKUP(B737,Master[Product_Code],Master[Style])</f>
        <v>Boot Cut</v>
      </c>
      <c r="F737" s="2" t="str">
        <f>_xlfn.XLOOKUP(B737,Master[Product_Code],Master[Fabric])</f>
        <v>Cotton Blend</v>
      </c>
      <c r="G737" s="2">
        <f>_xlfn.XLOOKUP(B737,Master[Product_Code],Master[Size])</f>
        <v>28</v>
      </c>
      <c r="H737" s="2" t="str">
        <f>_xlfn.XLOOKUP(B737,Master[Product_Code],Master[Color])</f>
        <v>Black</v>
      </c>
      <c r="I737" s="4">
        <f>_xlfn.XLOOKUP(B737,Master[Product_Code],Master[Stock_Qty])</f>
        <v>6</v>
      </c>
      <c r="J737" s="6">
        <f>SUMIFS(
  Sales_Entry[Qty],
  Sales_Entry[Product_Code], Stock_Table[[#This Row],[Product_Code]]
)</f>
        <v>1</v>
      </c>
      <c r="K737" s="4">
        <f>SUMIFS(
  Exchange_Return[Qty],
  Exchange_Return[Product_Code], Stock_Table[[#This Row],[Product_Code]]
)</f>
        <v>0</v>
      </c>
      <c r="L737" s="4">
        <f>I737-J737+K737</f>
        <v>5</v>
      </c>
      <c r="M737" s="2" t="str" cm="1">
        <f t="array" ref="M737">_xlfn.IFS(L737=0,"Out of Stock",L737&gt;=2,"Limited Stock",L737&lt;2,"In Stock")</f>
        <v>Limited Stock</v>
      </c>
    </row>
    <row r="738" spans="2:13">
      <c r="B738" s="2" t="s">
        <v>1303</v>
      </c>
      <c r="C738" s="5" t="str">
        <f>_xlfn.XLOOKUP(B738,Master[Product_Code],Master[Category])</f>
        <v>Pants</v>
      </c>
      <c r="D738" s="2" t="str">
        <f>_xlfn.XLOOKUP(B738,Master[Product_Code],Master[Brand])</f>
        <v>Raymond</v>
      </c>
      <c r="E738" s="2" t="str">
        <f>_xlfn.XLOOKUP(B738,Master[Product_Code],Master[Style])</f>
        <v>Kurka</v>
      </c>
      <c r="F738" s="2" t="str">
        <f>_xlfn.XLOOKUP(B738,Master[Product_Code],Master[Fabric])</f>
        <v>Lycra</v>
      </c>
      <c r="G738" s="2">
        <f>_xlfn.XLOOKUP(B738,Master[Product_Code],Master[Size])</f>
        <v>42</v>
      </c>
      <c r="H738" s="2" t="str">
        <f>_xlfn.XLOOKUP(B738,Master[Product_Code],Master[Color])</f>
        <v>Cream</v>
      </c>
      <c r="I738" s="4">
        <f>_xlfn.XLOOKUP(B738,Master[Product_Code],Master[Stock_Qty])</f>
        <v>6</v>
      </c>
      <c r="J738" s="6">
        <f>SUMIFS(
  Sales_Entry[Qty],
  Sales_Entry[Product_Code], Stock_Table[[#This Row],[Product_Code]]
)</f>
        <v>1</v>
      </c>
      <c r="K738" s="4">
        <f>SUMIFS(
  Exchange_Return[Qty],
  Exchange_Return[Product_Code], Stock_Table[[#This Row],[Product_Code]]
)</f>
        <v>0</v>
      </c>
      <c r="L738" s="4">
        <f>I738-J738+K738</f>
        <v>5</v>
      </c>
      <c r="M738" s="2" t="str" cm="1">
        <f t="array" ref="M738">_xlfn.IFS(L738=0,"Out of Stock",L738&gt;=2,"Limited Stock",L738&lt;2,"In Stock")</f>
        <v>Limited Stock</v>
      </c>
    </row>
    <row r="739" spans="2:13">
      <c r="B739" s="2" t="s">
        <v>1304</v>
      </c>
      <c r="C739" s="5" t="str">
        <f>_xlfn.XLOOKUP(B739,Master[Product_Code],Master[Category])</f>
        <v>Pants</v>
      </c>
      <c r="D739" s="2" t="str">
        <f>_xlfn.XLOOKUP(B739,Master[Product_Code],Master[Brand])</f>
        <v>Park Avenue</v>
      </c>
      <c r="E739" s="2" t="str">
        <f>_xlfn.XLOOKUP(B739,Master[Product_Code],Master[Style])</f>
        <v>Boot Cut</v>
      </c>
      <c r="F739" s="2" t="str">
        <f>_xlfn.XLOOKUP(B739,Master[Product_Code],Master[Fabric])</f>
        <v>Poly Viscose</v>
      </c>
      <c r="G739" s="2">
        <f>_xlfn.XLOOKUP(B739,Master[Product_Code],Master[Size])</f>
        <v>38</v>
      </c>
      <c r="H739" s="2" t="str">
        <f>_xlfn.XLOOKUP(B739,Master[Product_Code],Master[Color])</f>
        <v>Rust</v>
      </c>
      <c r="I739" s="4">
        <f>_xlfn.XLOOKUP(B739,Master[Product_Code],Master[Stock_Qty])</f>
        <v>5</v>
      </c>
      <c r="J739" s="6">
        <f>SUMIFS(
  Sales_Entry[Qty],
  Sales_Entry[Product_Code], Stock_Table[[#This Row],[Product_Code]]
)</f>
        <v>3</v>
      </c>
      <c r="K739" s="4">
        <f>SUMIFS(
  Exchange_Return[Qty],
  Exchange_Return[Product_Code], Stock_Table[[#This Row],[Product_Code]]
)</f>
        <v>0</v>
      </c>
      <c r="L739" s="4">
        <f>I739-J739+K739</f>
        <v>2</v>
      </c>
      <c r="M739" s="2" t="str" cm="1">
        <f t="array" ref="M739">_xlfn.IFS(L739=0,"Out of Stock",L739&gt;=2,"Limited Stock",L739&lt;2,"In Stock")</f>
        <v>Limited Stock</v>
      </c>
    </row>
    <row r="740" spans="2:13">
      <c r="B740" s="2" t="s">
        <v>1305</v>
      </c>
      <c r="C740" s="5" t="str">
        <f>_xlfn.XLOOKUP(B740,Master[Product_Code],Master[Category])</f>
        <v>Pants</v>
      </c>
      <c r="D740" s="2" t="str">
        <f>_xlfn.XLOOKUP(B740,Master[Product_Code],Master[Brand])</f>
        <v>Peter England</v>
      </c>
      <c r="E740" s="2" t="str">
        <f>_xlfn.XLOOKUP(B740,Master[Product_Code],Master[Style])</f>
        <v>Kurka</v>
      </c>
      <c r="F740" s="2" t="str">
        <f>_xlfn.XLOOKUP(B740,Master[Product_Code],Master[Fabric])</f>
        <v>Lycra</v>
      </c>
      <c r="G740" s="2">
        <f>_xlfn.XLOOKUP(B740,Master[Product_Code],Master[Size])</f>
        <v>34</v>
      </c>
      <c r="H740" s="2" t="str">
        <f>_xlfn.XLOOKUP(B740,Master[Product_Code],Master[Color])</f>
        <v>Sky Blue</v>
      </c>
      <c r="I740" s="4">
        <f>_xlfn.XLOOKUP(B740,Master[Product_Code],Master[Stock_Qty])</f>
        <v>3</v>
      </c>
      <c r="J740" s="6">
        <f>SUMIFS(
  Sales_Entry[Qty],
  Sales_Entry[Product_Code], Stock_Table[[#This Row],[Product_Code]]
)</f>
        <v>2</v>
      </c>
      <c r="K740" s="4">
        <f>SUMIFS(
  Exchange_Return[Qty],
  Exchange_Return[Product_Code], Stock_Table[[#This Row],[Product_Code]]
)</f>
        <v>0</v>
      </c>
      <c r="L740" s="4">
        <f>I740-J740+K740</f>
        <v>1</v>
      </c>
      <c r="M740" s="2" t="str" cm="1">
        <f t="array" ref="M740">_xlfn.IFS(L740=0,"Out of Stock",L740&gt;=2,"Limited Stock",L740&lt;2,"In Stock")</f>
        <v>In Stock</v>
      </c>
    </row>
    <row r="741" spans="2:13">
      <c r="B741" s="2" t="s">
        <v>1306</v>
      </c>
      <c r="C741" s="5" t="str">
        <f>_xlfn.XLOOKUP(B741,Master[Product_Code],Master[Category])</f>
        <v>Pants</v>
      </c>
      <c r="D741" s="2" t="str">
        <f>_xlfn.XLOOKUP(B741,Master[Product_Code],Master[Brand])</f>
        <v>Peter England</v>
      </c>
      <c r="E741" s="2" t="str">
        <f>_xlfn.XLOOKUP(B741,Master[Product_Code],Master[Style])</f>
        <v>Polofit</v>
      </c>
      <c r="F741" s="2" t="str">
        <f>_xlfn.XLOOKUP(B741,Master[Product_Code],Master[Fabric])</f>
        <v>Lycra</v>
      </c>
      <c r="G741" s="2">
        <f>_xlfn.XLOOKUP(B741,Master[Product_Code],Master[Size])</f>
        <v>42</v>
      </c>
      <c r="H741" s="2" t="str">
        <f>_xlfn.XLOOKUP(B741,Master[Product_Code],Master[Color])</f>
        <v>Maroon</v>
      </c>
      <c r="I741" s="4">
        <f>_xlfn.XLOOKUP(B741,Master[Product_Code],Master[Stock_Qty])</f>
        <v>4</v>
      </c>
      <c r="J741" s="6">
        <f>SUMIFS(
  Sales_Entry[Qty],
  Sales_Entry[Product_Code], Stock_Table[[#This Row],[Product_Code]]
)</f>
        <v>0</v>
      </c>
      <c r="K741" s="4">
        <f>SUMIFS(
  Exchange_Return[Qty],
  Exchange_Return[Product_Code], Stock_Table[[#This Row],[Product_Code]]
)</f>
        <v>0</v>
      </c>
      <c r="L741" s="4">
        <f>I741-J741+K741</f>
        <v>4</v>
      </c>
      <c r="M741" s="2" t="str" cm="1">
        <f t="array" ref="M741">_xlfn.IFS(L741=0,"Out of Stock",L741&gt;=2,"Limited Stock",L741&lt;2,"In Stock")</f>
        <v>Limited Stock</v>
      </c>
    </row>
    <row r="742" spans="2:13">
      <c r="B742" s="2" t="s">
        <v>1307</v>
      </c>
      <c r="C742" s="5" t="str">
        <f>_xlfn.XLOOKUP(B742,Master[Product_Code],Master[Category])</f>
        <v>Pants</v>
      </c>
      <c r="D742" s="2" t="str">
        <f>_xlfn.XLOOKUP(B742,Master[Product_Code],Master[Brand])</f>
        <v>Park Avenue</v>
      </c>
      <c r="E742" s="2" t="str">
        <f>_xlfn.XLOOKUP(B742,Master[Product_Code],Master[Style])</f>
        <v>Kurka</v>
      </c>
      <c r="F742" s="2" t="str">
        <f>_xlfn.XLOOKUP(B742,Master[Product_Code],Master[Fabric])</f>
        <v>Lycra</v>
      </c>
      <c r="G742" s="2">
        <f>_xlfn.XLOOKUP(B742,Master[Product_Code],Master[Size])</f>
        <v>36</v>
      </c>
      <c r="H742" s="2" t="str">
        <f>_xlfn.XLOOKUP(B742,Master[Product_Code],Master[Color])</f>
        <v>Cream</v>
      </c>
      <c r="I742" s="4">
        <f>_xlfn.XLOOKUP(B742,Master[Product_Code],Master[Stock_Qty])</f>
        <v>4</v>
      </c>
      <c r="J742" s="6">
        <f>SUMIFS(
  Sales_Entry[Qty],
  Sales_Entry[Product_Code], Stock_Table[[#This Row],[Product_Code]]
)</f>
        <v>2</v>
      </c>
      <c r="K742" s="4">
        <f>SUMIFS(
  Exchange_Return[Qty],
  Exchange_Return[Product_Code], Stock_Table[[#This Row],[Product_Code]]
)</f>
        <v>0</v>
      </c>
      <c r="L742" s="4">
        <f>I742-J742+K742</f>
        <v>2</v>
      </c>
      <c r="M742" s="2" t="str" cm="1">
        <f t="array" ref="M742">_xlfn.IFS(L742=0,"Out of Stock",L742&gt;=2,"Limited Stock",L742&lt;2,"In Stock")</f>
        <v>Limited Stock</v>
      </c>
    </row>
    <row r="743" spans="2:13">
      <c r="B743" s="2" t="s">
        <v>1308</v>
      </c>
      <c r="C743" s="5" t="str">
        <f>_xlfn.XLOOKUP(B743,Master[Product_Code],Master[Category])</f>
        <v>Pants</v>
      </c>
      <c r="D743" s="2" t="str">
        <f>_xlfn.XLOOKUP(B743,Master[Product_Code],Master[Brand])</f>
        <v>Louis Philippe</v>
      </c>
      <c r="E743" s="2" t="str">
        <f>_xlfn.XLOOKUP(B743,Master[Product_Code],Master[Style])</f>
        <v>Polofit</v>
      </c>
      <c r="F743" s="2" t="str">
        <f>_xlfn.XLOOKUP(B743,Master[Product_Code],Master[Fabric])</f>
        <v>Lycra</v>
      </c>
      <c r="G743" s="2">
        <f>_xlfn.XLOOKUP(B743,Master[Product_Code],Master[Size])</f>
        <v>32</v>
      </c>
      <c r="H743" s="2" t="str">
        <f>_xlfn.XLOOKUP(B743,Master[Product_Code],Master[Color])</f>
        <v>Maroon</v>
      </c>
      <c r="I743" s="4">
        <f>_xlfn.XLOOKUP(B743,Master[Product_Code],Master[Stock_Qty])</f>
        <v>6</v>
      </c>
      <c r="J743" s="6">
        <f>SUMIFS(
  Sales_Entry[Qty],
  Sales_Entry[Product_Code], Stock_Table[[#This Row],[Product_Code]]
)</f>
        <v>3</v>
      </c>
      <c r="K743" s="4">
        <f>SUMIFS(
  Exchange_Return[Qty],
  Exchange_Return[Product_Code], Stock_Table[[#This Row],[Product_Code]]
)</f>
        <v>0</v>
      </c>
      <c r="L743" s="4">
        <f>I743-J743+K743</f>
        <v>3</v>
      </c>
      <c r="M743" s="2" t="str" cm="1">
        <f t="array" ref="M743">_xlfn.IFS(L743=0,"Out of Stock",L743&gt;=2,"Limited Stock",L743&lt;2,"In Stock")</f>
        <v>Limited Stock</v>
      </c>
    </row>
    <row r="744" spans="2:13">
      <c r="B744" s="2" t="s">
        <v>1309</v>
      </c>
      <c r="C744" s="5" t="str">
        <f>_xlfn.XLOOKUP(B744,Master[Product_Code],Master[Category])</f>
        <v>Pants</v>
      </c>
      <c r="D744" s="2" t="str">
        <f>_xlfn.XLOOKUP(B744,Master[Product_Code],Master[Brand])</f>
        <v>Louis Philippe</v>
      </c>
      <c r="E744" s="2" t="str">
        <f>_xlfn.XLOOKUP(B744,Master[Product_Code],Master[Style])</f>
        <v>Polofit</v>
      </c>
      <c r="F744" s="2" t="str">
        <f>_xlfn.XLOOKUP(B744,Master[Product_Code],Master[Fabric])</f>
        <v>Lycra</v>
      </c>
      <c r="G744" s="2">
        <f>_xlfn.XLOOKUP(B744,Master[Product_Code],Master[Size])</f>
        <v>34</v>
      </c>
      <c r="H744" s="2" t="str">
        <f>_xlfn.XLOOKUP(B744,Master[Product_Code],Master[Color])</f>
        <v>Grey</v>
      </c>
      <c r="I744" s="4">
        <f>_xlfn.XLOOKUP(B744,Master[Product_Code],Master[Stock_Qty])</f>
        <v>5</v>
      </c>
      <c r="J744" s="6">
        <f>SUMIFS(
  Sales_Entry[Qty],
  Sales_Entry[Product_Code], Stock_Table[[#This Row],[Product_Code]]
)</f>
        <v>1</v>
      </c>
      <c r="K744" s="4">
        <f>SUMIFS(
  Exchange_Return[Qty],
  Exchange_Return[Product_Code], Stock_Table[[#This Row],[Product_Code]]
)</f>
        <v>0</v>
      </c>
      <c r="L744" s="4">
        <f>I744-J744+K744</f>
        <v>4</v>
      </c>
      <c r="M744" s="2" t="str" cm="1">
        <f t="array" ref="M744">_xlfn.IFS(L744=0,"Out of Stock",L744&gt;=2,"Limited Stock",L744&lt;2,"In Stock")</f>
        <v>Limited Stock</v>
      </c>
    </row>
    <row r="745" spans="2:13">
      <c r="B745" s="2" t="s">
        <v>1310</v>
      </c>
      <c r="C745" s="5" t="str">
        <f>_xlfn.XLOOKUP(B745,Master[Product_Code],Master[Category])</f>
        <v>Pants</v>
      </c>
      <c r="D745" s="2" t="str">
        <f>_xlfn.XLOOKUP(B745,Master[Product_Code],Master[Brand])</f>
        <v>Louis Philippe</v>
      </c>
      <c r="E745" s="2" t="str">
        <f>_xlfn.XLOOKUP(B745,Master[Product_Code],Master[Style])</f>
        <v>Polofit</v>
      </c>
      <c r="F745" s="2" t="str">
        <f>_xlfn.XLOOKUP(B745,Master[Product_Code],Master[Fabric])</f>
        <v>Lycra</v>
      </c>
      <c r="G745" s="2">
        <f>_xlfn.XLOOKUP(B745,Master[Product_Code],Master[Size])</f>
        <v>28</v>
      </c>
      <c r="H745" s="2" t="str">
        <f>_xlfn.XLOOKUP(B745,Master[Product_Code],Master[Color])</f>
        <v>Sky Blue</v>
      </c>
      <c r="I745" s="4">
        <f>_xlfn.XLOOKUP(B745,Master[Product_Code],Master[Stock_Qty])</f>
        <v>6</v>
      </c>
      <c r="J745" s="6">
        <f>SUMIFS(
  Sales_Entry[Qty],
  Sales_Entry[Product_Code], Stock_Table[[#This Row],[Product_Code]]
)</f>
        <v>1</v>
      </c>
      <c r="K745" s="4">
        <f>SUMIFS(
  Exchange_Return[Qty],
  Exchange_Return[Product_Code], Stock_Table[[#This Row],[Product_Code]]
)</f>
        <v>0</v>
      </c>
      <c r="L745" s="4">
        <f>I745-J745+K745</f>
        <v>5</v>
      </c>
      <c r="M745" s="2" t="str" cm="1">
        <f t="array" ref="M745">_xlfn.IFS(L745=0,"Out of Stock",L745&gt;=2,"Limited Stock",L745&lt;2,"In Stock")</f>
        <v>Limited Stock</v>
      </c>
    </row>
    <row r="746" spans="2:13">
      <c r="B746" s="2" t="s">
        <v>1311</v>
      </c>
      <c r="C746" s="5" t="str">
        <f>_xlfn.XLOOKUP(B746,Master[Product_Code],Master[Category])</f>
        <v>Pants</v>
      </c>
      <c r="D746" s="2" t="str">
        <f>_xlfn.XLOOKUP(B746,Master[Product_Code],Master[Brand])</f>
        <v>Louis Philippe</v>
      </c>
      <c r="E746" s="2" t="str">
        <f>_xlfn.XLOOKUP(B746,Master[Product_Code],Master[Style])</f>
        <v>Jogger</v>
      </c>
      <c r="F746" s="2" t="str">
        <f>_xlfn.XLOOKUP(B746,Master[Product_Code],Master[Fabric])</f>
        <v>Cotton Blend</v>
      </c>
      <c r="G746" s="2">
        <f>_xlfn.XLOOKUP(B746,Master[Product_Code],Master[Size])</f>
        <v>44</v>
      </c>
      <c r="H746" s="2" t="str">
        <f>_xlfn.XLOOKUP(B746,Master[Product_Code],Master[Color])</f>
        <v>Brown</v>
      </c>
      <c r="I746" s="4">
        <f>_xlfn.XLOOKUP(B746,Master[Product_Code],Master[Stock_Qty])</f>
        <v>3</v>
      </c>
      <c r="J746" s="6">
        <f>SUMIFS(
  Sales_Entry[Qty],
  Sales_Entry[Product_Code], Stock_Table[[#This Row],[Product_Code]]
)</f>
        <v>2</v>
      </c>
      <c r="K746" s="4">
        <f>SUMIFS(
  Exchange_Return[Qty],
  Exchange_Return[Product_Code], Stock_Table[[#This Row],[Product_Code]]
)</f>
        <v>0</v>
      </c>
      <c r="L746" s="4">
        <f>I746-J746+K746</f>
        <v>1</v>
      </c>
      <c r="M746" s="2" t="str" cm="1">
        <f t="array" ref="M746">_xlfn.IFS(L746=0,"Out of Stock",L746&gt;=2,"Limited Stock",L746&lt;2,"In Stock")</f>
        <v>In Stock</v>
      </c>
    </row>
    <row r="747" spans="2:13">
      <c r="B747" s="2" t="s">
        <v>1312</v>
      </c>
      <c r="C747" s="5" t="str">
        <f>_xlfn.XLOOKUP(B747,Master[Product_Code],Master[Category])</f>
        <v>Pants</v>
      </c>
      <c r="D747" s="2" t="str">
        <f>_xlfn.XLOOKUP(B747,Master[Product_Code],Master[Brand])</f>
        <v>Louis Philippe</v>
      </c>
      <c r="E747" s="2" t="str">
        <f>_xlfn.XLOOKUP(B747,Master[Product_Code],Master[Style])</f>
        <v>Boot Cut</v>
      </c>
      <c r="F747" s="2" t="str">
        <f>_xlfn.XLOOKUP(B747,Master[Product_Code],Master[Fabric])</f>
        <v>Cotton Blend</v>
      </c>
      <c r="G747" s="2">
        <f>_xlfn.XLOOKUP(B747,Master[Product_Code],Master[Size])</f>
        <v>42</v>
      </c>
      <c r="H747" s="2" t="str">
        <f>_xlfn.XLOOKUP(B747,Master[Product_Code],Master[Color])</f>
        <v>Charcoal</v>
      </c>
      <c r="I747" s="4">
        <f>_xlfn.XLOOKUP(B747,Master[Product_Code],Master[Stock_Qty])</f>
        <v>3</v>
      </c>
      <c r="J747" s="6">
        <f>SUMIFS(
  Sales_Entry[Qty],
  Sales_Entry[Product_Code], Stock_Table[[#This Row],[Product_Code]]
)</f>
        <v>1</v>
      </c>
      <c r="K747" s="4">
        <f>SUMIFS(
  Exchange_Return[Qty],
  Exchange_Return[Product_Code], Stock_Table[[#This Row],[Product_Code]]
)</f>
        <v>0</v>
      </c>
      <c r="L747" s="4">
        <f>I747-J747+K747</f>
        <v>2</v>
      </c>
      <c r="M747" s="2" t="str" cm="1">
        <f t="array" ref="M747">_xlfn.IFS(L747=0,"Out of Stock",L747&gt;=2,"Limited Stock",L747&lt;2,"In Stock")</f>
        <v>Limited Stock</v>
      </c>
    </row>
    <row r="748" spans="2:13">
      <c r="B748" s="2" t="s">
        <v>1313</v>
      </c>
      <c r="C748" s="5" t="str">
        <f>_xlfn.XLOOKUP(B748,Master[Product_Code],Master[Category])</f>
        <v>Pants</v>
      </c>
      <c r="D748" s="2" t="str">
        <f>_xlfn.XLOOKUP(B748,Master[Product_Code],Master[Brand])</f>
        <v>Raymond</v>
      </c>
      <c r="E748" s="2" t="str">
        <f>_xlfn.XLOOKUP(B748,Master[Product_Code],Master[Style])</f>
        <v>Boot Cut</v>
      </c>
      <c r="F748" s="2" t="str">
        <f>_xlfn.XLOOKUP(B748,Master[Product_Code],Master[Fabric])</f>
        <v>Cotton Blend</v>
      </c>
      <c r="G748" s="2">
        <f>_xlfn.XLOOKUP(B748,Master[Product_Code],Master[Size])</f>
        <v>38</v>
      </c>
      <c r="H748" s="2" t="str">
        <f>_xlfn.XLOOKUP(B748,Master[Product_Code],Master[Color])</f>
        <v>Dark Green</v>
      </c>
      <c r="I748" s="4">
        <f>_xlfn.XLOOKUP(B748,Master[Product_Code],Master[Stock_Qty])</f>
        <v>3</v>
      </c>
      <c r="J748" s="6">
        <f>SUMIFS(
  Sales_Entry[Qty],
  Sales_Entry[Product_Code], Stock_Table[[#This Row],[Product_Code]]
)</f>
        <v>2</v>
      </c>
      <c r="K748" s="4">
        <f>SUMIFS(
  Exchange_Return[Qty],
  Exchange_Return[Product_Code], Stock_Table[[#This Row],[Product_Code]]
)</f>
        <v>0</v>
      </c>
      <c r="L748" s="4">
        <f>I748-J748+K748</f>
        <v>1</v>
      </c>
      <c r="M748" s="2" t="str" cm="1">
        <f t="array" ref="M748">_xlfn.IFS(L748=0,"Out of Stock",L748&gt;=2,"Limited Stock",L748&lt;2,"In Stock")</f>
        <v>In Stock</v>
      </c>
    </row>
    <row r="749" spans="2:13">
      <c r="B749" s="2" t="s">
        <v>1314</v>
      </c>
      <c r="C749" s="5" t="str">
        <f>_xlfn.XLOOKUP(B749,Master[Product_Code],Master[Category])</f>
        <v>Pants</v>
      </c>
      <c r="D749" s="2" t="str">
        <f>_xlfn.XLOOKUP(B749,Master[Product_Code],Master[Brand])</f>
        <v>Louis Philippe</v>
      </c>
      <c r="E749" s="2" t="str">
        <f>_xlfn.XLOOKUP(B749,Master[Product_Code],Master[Style])</f>
        <v>Boot Cut</v>
      </c>
      <c r="F749" s="2" t="str">
        <f>_xlfn.XLOOKUP(B749,Master[Product_Code],Master[Fabric])</f>
        <v>Cotton</v>
      </c>
      <c r="G749" s="2">
        <f>_xlfn.XLOOKUP(B749,Master[Product_Code],Master[Size])</f>
        <v>42</v>
      </c>
      <c r="H749" s="2" t="str">
        <f>_xlfn.XLOOKUP(B749,Master[Product_Code],Master[Color])</f>
        <v>Royal Blue</v>
      </c>
      <c r="I749" s="4">
        <f>_xlfn.XLOOKUP(B749,Master[Product_Code],Master[Stock_Qty])</f>
        <v>5</v>
      </c>
      <c r="J749" s="6">
        <f>SUMIFS(
  Sales_Entry[Qty],
  Sales_Entry[Product_Code], Stock_Table[[#This Row],[Product_Code]]
)</f>
        <v>3</v>
      </c>
      <c r="K749" s="4">
        <f>SUMIFS(
  Exchange_Return[Qty],
  Exchange_Return[Product_Code], Stock_Table[[#This Row],[Product_Code]]
)</f>
        <v>0</v>
      </c>
      <c r="L749" s="4">
        <f>I749-J749+K749</f>
        <v>2</v>
      </c>
      <c r="M749" s="2" t="str" cm="1">
        <f t="array" ref="M749">_xlfn.IFS(L749=0,"Out of Stock",L749&gt;=2,"Limited Stock",L749&lt;2,"In Stock")</f>
        <v>Limited Stock</v>
      </c>
    </row>
    <row r="750" spans="2:13">
      <c r="B750" s="2" t="s">
        <v>1315</v>
      </c>
      <c r="C750" s="5" t="str">
        <f>_xlfn.XLOOKUP(B750,Master[Product_Code],Master[Category])</f>
        <v>Pants</v>
      </c>
      <c r="D750" s="2" t="str">
        <f>_xlfn.XLOOKUP(B750,Master[Product_Code],Master[Brand])</f>
        <v>Louis Philippe</v>
      </c>
      <c r="E750" s="2" t="str">
        <f>_xlfn.XLOOKUP(B750,Master[Product_Code],Master[Style])</f>
        <v>Polofit</v>
      </c>
      <c r="F750" s="2" t="str">
        <f>_xlfn.XLOOKUP(B750,Master[Product_Code],Master[Fabric])</f>
        <v>Lycra</v>
      </c>
      <c r="G750" s="2">
        <f>_xlfn.XLOOKUP(B750,Master[Product_Code],Master[Size])</f>
        <v>36</v>
      </c>
      <c r="H750" s="2" t="str">
        <f>_xlfn.XLOOKUP(B750,Master[Product_Code],Master[Color])</f>
        <v>Grey</v>
      </c>
      <c r="I750" s="4">
        <f>_xlfn.XLOOKUP(B750,Master[Product_Code],Master[Stock_Qty])</f>
        <v>6</v>
      </c>
      <c r="J750" s="6">
        <f>SUMIFS(
  Sales_Entry[Qty],
  Sales_Entry[Product_Code], Stock_Table[[#This Row],[Product_Code]]
)</f>
        <v>3</v>
      </c>
      <c r="K750" s="4">
        <f>SUMIFS(
  Exchange_Return[Qty],
  Exchange_Return[Product_Code], Stock_Table[[#This Row],[Product_Code]]
)</f>
        <v>0</v>
      </c>
      <c r="L750" s="4">
        <f>I750-J750+K750</f>
        <v>3</v>
      </c>
      <c r="M750" s="2" t="str" cm="1">
        <f t="array" ref="M750">_xlfn.IFS(L750=0,"Out of Stock",L750&gt;=2,"Limited Stock",L750&lt;2,"In Stock")</f>
        <v>Limited Stock</v>
      </c>
    </row>
    <row r="751" spans="2:13">
      <c r="B751" s="2" t="s">
        <v>1316</v>
      </c>
      <c r="C751" s="5" t="str">
        <f>_xlfn.XLOOKUP(B751,Master[Product_Code],Master[Category])</f>
        <v>Pants</v>
      </c>
      <c r="D751" s="2" t="str">
        <f>_xlfn.XLOOKUP(B751,Master[Product_Code],Master[Brand])</f>
        <v>Louis Philippe</v>
      </c>
      <c r="E751" s="2" t="str">
        <f>_xlfn.XLOOKUP(B751,Master[Product_Code],Master[Style])</f>
        <v>Kurka</v>
      </c>
      <c r="F751" s="2" t="str">
        <f>_xlfn.XLOOKUP(B751,Master[Product_Code],Master[Fabric])</f>
        <v>Lycra</v>
      </c>
      <c r="G751" s="2">
        <f>_xlfn.XLOOKUP(B751,Master[Product_Code],Master[Size])</f>
        <v>34</v>
      </c>
      <c r="H751" s="2" t="str">
        <f>_xlfn.XLOOKUP(B751,Master[Product_Code],Master[Color])</f>
        <v>Light Grey</v>
      </c>
      <c r="I751" s="4">
        <f>_xlfn.XLOOKUP(B751,Master[Product_Code],Master[Stock_Qty])</f>
        <v>5</v>
      </c>
      <c r="J751" s="6">
        <f>SUMIFS(
  Sales_Entry[Qty],
  Sales_Entry[Product_Code], Stock_Table[[#This Row],[Product_Code]]
)</f>
        <v>3</v>
      </c>
      <c r="K751" s="4">
        <f>SUMIFS(
  Exchange_Return[Qty],
  Exchange_Return[Product_Code], Stock_Table[[#This Row],[Product_Code]]
)</f>
        <v>0</v>
      </c>
      <c r="L751" s="4">
        <f>I751-J751+K751</f>
        <v>2</v>
      </c>
      <c r="M751" s="2" t="str" cm="1">
        <f t="array" ref="M751">_xlfn.IFS(L751=0,"Out of Stock",L751&gt;=2,"Limited Stock",L751&lt;2,"In Stock")</f>
        <v>Limited Stock</v>
      </c>
    </row>
    <row r="752" spans="2:13">
      <c r="B752" s="2" t="s">
        <v>1317</v>
      </c>
      <c r="C752" s="5" t="str">
        <f>_xlfn.XLOOKUP(B752,Master[Product_Code],Master[Category])</f>
        <v>Pants</v>
      </c>
      <c r="D752" s="2" t="str">
        <f>_xlfn.XLOOKUP(B752,Master[Product_Code],Master[Brand])</f>
        <v>Louis Philippe</v>
      </c>
      <c r="E752" s="2" t="str">
        <f>_xlfn.XLOOKUP(B752,Master[Product_Code],Master[Style])</f>
        <v>Kurka</v>
      </c>
      <c r="F752" s="2" t="str">
        <f>_xlfn.XLOOKUP(B752,Master[Product_Code],Master[Fabric])</f>
        <v>Lycra</v>
      </c>
      <c r="G752" s="2">
        <f>_xlfn.XLOOKUP(B752,Master[Product_Code],Master[Size])</f>
        <v>40</v>
      </c>
      <c r="H752" s="2" t="str">
        <f>_xlfn.XLOOKUP(B752,Master[Product_Code],Master[Color])</f>
        <v>Bottle Green</v>
      </c>
      <c r="I752" s="4">
        <f>_xlfn.XLOOKUP(B752,Master[Product_Code],Master[Stock_Qty])</f>
        <v>5</v>
      </c>
      <c r="J752" s="6">
        <f>SUMIFS(
  Sales_Entry[Qty],
  Sales_Entry[Product_Code], Stock_Table[[#This Row],[Product_Code]]
)</f>
        <v>1</v>
      </c>
      <c r="K752" s="4">
        <f>SUMIFS(
  Exchange_Return[Qty],
  Exchange_Return[Product_Code], Stock_Table[[#This Row],[Product_Code]]
)</f>
        <v>0</v>
      </c>
      <c r="L752" s="4">
        <f>I752-J752+K752</f>
        <v>4</v>
      </c>
      <c r="M752" s="2" t="str" cm="1">
        <f t="array" ref="M752">_xlfn.IFS(L752=0,"Out of Stock",L752&gt;=2,"Limited Stock",L752&lt;2,"In Stock")</f>
        <v>Limited Stock</v>
      </c>
    </row>
    <row r="753" spans="2:13">
      <c r="B753" s="2" t="s">
        <v>1318</v>
      </c>
      <c r="C753" s="5" t="str">
        <f>_xlfn.XLOOKUP(B753,Master[Product_Code],Master[Category])</f>
        <v>Pants</v>
      </c>
      <c r="D753" s="2" t="str">
        <f>_xlfn.XLOOKUP(B753,Master[Product_Code],Master[Brand])</f>
        <v>Peter England</v>
      </c>
      <c r="E753" s="2" t="str">
        <f>_xlfn.XLOOKUP(B753,Master[Product_Code],Master[Style])</f>
        <v>Jogger</v>
      </c>
      <c r="F753" s="2" t="str">
        <f>_xlfn.XLOOKUP(B753,Master[Product_Code],Master[Fabric])</f>
        <v>Cotton</v>
      </c>
      <c r="G753" s="2">
        <f>_xlfn.XLOOKUP(B753,Master[Product_Code],Master[Size])</f>
        <v>36</v>
      </c>
      <c r="H753" s="2" t="str">
        <f>_xlfn.XLOOKUP(B753,Master[Product_Code],Master[Color])</f>
        <v>Navy Blue</v>
      </c>
      <c r="I753" s="4">
        <f>_xlfn.XLOOKUP(B753,Master[Product_Code],Master[Stock_Qty])</f>
        <v>6</v>
      </c>
      <c r="J753" s="6">
        <f>SUMIFS(
  Sales_Entry[Qty],
  Sales_Entry[Product_Code], Stock_Table[[#This Row],[Product_Code]]
)</f>
        <v>3</v>
      </c>
      <c r="K753" s="4">
        <f>SUMIFS(
  Exchange_Return[Qty],
  Exchange_Return[Product_Code], Stock_Table[[#This Row],[Product_Code]]
)</f>
        <v>0</v>
      </c>
      <c r="L753" s="4">
        <f>I753-J753+K753</f>
        <v>3</v>
      </c>
      <c r="M753" s="2" t="str" cm="1">
        <f t="array" ref="M753">_xlfn.IFS(L753=0,"Out of Stock",L753&gt;=2,"Limited Stock",L753&lt;2,"In Stock")</f>
        <v>Limited Stock</v>
      </c>
    </row>
    <row r="754" spans="2:13">
      <c r="B754" s="2" t="s">
        <v>1319</v>
      </c>
      <c r="C754" s="5" t="str">
        <f>_xlfn.XLOOKUP(B754,Master[Product_Code],Master[Category])</f>
        <v>Pants</v>
      </c>
      <c r="D754" s="2" t="str">
        <f>_xlfn.XLOOKUP(B754,Master[Product_Code],Master[Brand])</f>
        <v>Peter England</v>
      </c>
      <c r="E754" s="2" t="str">
        <f>_xlfn.XLOOKUP(B754,Master[Product_Code],Master[Style])</f>
        <v>Kurka</v>
      </c>
      <c r="F754" s="2" t="str">
        <f>_xlfn.XLOOKUP(B754,Master[Product_Code],Master[Fabric])</f>
        <v>Lycra</v>
      </c>
      <c r="G754" s="2">
        <f>_xlfn.XLOOKUP(B754,Master[Product_Code],Master[Size])</f>
        <v>42</v>
      </c>
      <c r="H754" s="2" t="str">
        <f>_xlfn.XLOOKUP(B754,Master[Product_Code],Master[Color])</f>
        <v>Sky Blue</v>
      </c>
      <c r="I754" s="4">
        <f>_xlfn.XLOOKUP(B754,Master[Product_Code],Master[Stock_Qty])</f>
        <v>6</v>
      </c>
      <c r="J754" s="6">
        <f>SUMIFS(
  Sales_Entry[Qty],
  Sales_Entry[Product_Code], Stock_Table[[#This Row],[Product_Code]]
)</f>
        <v>2</v>
      </c>
      <c r="K754" s="4">
        <f>SUMIFS(
  Exchange_Return[Qty],
  Exchange_Return[Product_Code], Stock_Table[[#This Row],[Product_Code]]
)</f>
        <v>0</v>
      </c>
      <c r="L754" s="4">
        <f>I754-J754+K754</f>
        <v>4</v>
      </c>
      <c r="M754" s="2" t="str" cm="1">
        <f t="array" ref="M754">_xlfn.IFS(L754=0,"Out of Stock",L754&gt;=2,"Limited Stock",L754&lt;2,"In Stock")</f>
        <v>Limited Stock</v>
      </c>
    </row>
    <row r="755" spans="2:13">
      <c r="B755" s="2" t="s">
        <v>1320</v>
      </c>
      <c r="C755" s="5" t="str">
        <f>_xlfn.XLOOKUP(B755,Master[Product_Code],Master[Category])</f>
        <v>Pants</v>
      </c>
      <c r="D755" s="2" t="str">
        <f>_xlfn.XLOOKUP(B755,Master[Product_Code],Master[Brand])</f>
        <v>Van Heusen</v>
      </c>
      <c r="E755" s="2" t="str">
        <f>_xlfn.XLOOKUP(B755,Master[Product_Code],Master[Style])</f>
        <v>Kurka</v>
      </c>
      <c r="F755" s="2" t="str">
        <f>_xlfn.XLOOKUP(B755,Master[Product_Code],Master[Fabric])</f>
        <v>Lycra</v>
      </c>
      <c r="G755" s="2">
        <f>_xlfn.XLOOKUP(B755,Master[Product_Code],Master[Size])</f>
        <v>44</v>
      </c>
      <c r="H755" s="2" t="str">
        <f>_xlfn.XLOOKUP(B755,Master[Product_Code],Master[Color])</f>
        <v>White</v>
      </c>
      <c r="I755" s="4">
        <f>_xlfn.XLOOKUP(B755,Master[Product_Code],Master[Stock_Qty])</f>
        <v>3</v>
      </c>
      <c r="J755" s="6">
        <f>SUMIFS(
  Sales_Entry[Qty],
  Sales_Entry[Product_Code], Stock_Table[[#This Row],[Product_Code]]
)</f>
        <v>2</v>
      </c>
      <c r="K755" s="4">
        <f>SUMIFS(
  Exchange_Return[Qty],
  Exchange_Return[Product_Code], Stock_Table[[#This Row],[Product_Code]]
)</f>
        <v>0</v>
      </c>
      <c r="L755" s="4">
        <f>I755-J755+K755</f>
        <v>1</v>
      </c>
      <c r="M755" s="2" t="str" cm="1">
        <f t="array" ref="M755">_xlfn.IFS(L755=0,"Out of Stock",L755&gt;=2,"Limited Stock",L755&lt;2,"In Stock")</f>
        <v>In Stock</v>
      </c>
    </row>
    <row r="756" spans="2:13">
      <c r="B756" s="2" t="s">
        <v>1321</v>
      </c>
      <c r="C756" s="5" t="str">
        <f>_xlfn.XLOOKUP(B756,Master[Product_Code],Master[Category])</f>
        <v>Pants</v>
      </c>
      <c r="D756" s="2" t="str">
        <f>_xlfn.XLOOKUP(B756,Master[Product_Code],Master[Brand])</f>
        <v>Van Heusen</v>
      </c>
      <c r="E756" s="2" t="str">
        <f>_xlfn.XLOOKUP(B756,Master[Product_Code],Master[Style])</f>
        <v>Korean</v>
      </c>
      <c r="F756" s="2" t="str">
        <f>_xlfn.XLOOKUP(B756,Master[Product_Code],Master[Fabric])</f>
        <v>Lycra</v>
      </c>
      <c r="G756" s="2">
        <f>_xlfn.XLOOKUP(B756,Master[Product_Code],Master[Size])</f>
        <v>32</v>
      </c>
      <c r="H756" s="2" t="str">
        <f>_xlfn.XLOOKUP(B756,Master[Product_Code],Master[Color])</f>
        <v>Olive</v>
      </c>
      <c r="I756" s="4">
        <f>_xlfn.XLOOKUP(B756,Master[Product_Code],Master[Stock_Qty])</f>
        <v>3</v>
      </c>
      <c r="J756" s="6">
        <f>SUMIFS(
  Sales_Entry[Qty],
  Sales_Entry[Product_Code], Stock_Table[[#This Row],[Product_Code]]
)</f>
        <v>2</v>
      </c>
      <c r="K756" s="4">
        <f>SUMIFS(
  Exchange_Return[Qty],
  Exchange_Return[Product_Code], Stock_Table[[#This Row],[Product_Code]]
)</f>
        <v>0</v>
      </c>
      <c r="L756" s="4">
        <f>I756-J756+K756</f>
        <v>1</v>
      </c>
      <c r="M756" s="2" t="str" cm="1">
        <f t="array" ref="M756">_xlfn.IFS(L756=0,"Out of Stock",L756&gt;=2,"Limited Stock",L756&lt;2,"In Stock")</f>
        <v>In Stock</v>
      </c>
    </row>
    <row r="757" spans="2:13">
      <c r="B757" s="2" t="s">
        <v>1322</v>
      </c>
      <c r="C757" s="5" t="str">
        <f>_xlfn.XLOOKUP(B757,Master[Product_Code],Master[Category])</f>
        <v>Pants</v>
      </c>
      <c r="D757" s="2" t="str">
        <f>_xlfn.XLOOKUP(B757,Master[Product_Code],Master[Brand])</f>
        <v>Van Heusen</v>
      </c>
      <c r="E757" s="2" t="str">
        <f>_xlfn.XLOOKUP(B757,Master[Product_Code],Master[Style])</f>
        <v>Boot Cut</v>
      </c>
      <c r="F757" s="2" t="str">
        <f>_xlfn.XLOOKUP(B757,Master[Product_Code],Master[Fabric])</f>
        <v>Cotton</v>
      </c>
      <c r="G757" s="2">
        <f>_xlfn.XLOOKUP(B757,Master[Product_Code],Master[Size])</f>
        <v>34</v>
      </c>
      <c r="H757" s="2" t="str">
        <f>_xlfn.XLOOKUP(B757,Master[Product_Code],Master[Color])</f>
        <v>Sky Blue</v>
      </c>
      <c r="I757" s="4">
        <f>_xlfn.XLOOKUP(B757,Master[Product_Code],Master[Stock_Qty])</f>
        <v>4</v>
      </c>
      <c r="J757" s="6">
        <f>SUMIFS(
  Sales_Entry[Qty],
  Sales_Entry[Product_Code], Stock_Table[[#This Row],[Product_Code]]
)</f>
        <v>0</v>
      </c>
      <c r="K757" s="4">
        <f>SUMIFS(
  Exchange_Return[Qty],
  Exchange_Return[Product_Code], Stock_Table[[#This Row],[Product_Code]]
)</f>
        <v>0</v>
      </c>
      <c r="L757" s="4">
        <f>I757-J757+K757</f>
        <v>4</v>
      </c>
      <c r="M757" s="2" t="str" cm="1">
        <f t="array" ref="M757">_xlfn.IFS(L757=0,"Out of Stock",L757&gt;=2,"Limited Stock",L757&lt;2,"In Stock")</f>
        <v>Limited Stock</v>
      </c>
    </row>
    <row r="758" spans="2:13">
      <c r="B758" s="2" t="s">
        <v>1323</v>
      </c>
      <c r="C758" s="5" t="str">
        <f>_xlfn.XLOOKUP(B758,Master[Product_Code],Master[Category])</f>
        <v>Pants</v>
      </c>
      <c r="D758" s="2" t="str">
        <f>_xlfn.XLOOKUP(B758,Master[Product_Code],Master[Brand])</f>
        <v>Van Heusen</v>
      </c>
      <c r="E758" s="2" t="str">
        <f>_xlfn.XLOOKUP(B758,Master[Product_Code],Master[Style])</f>
        <v>Korean</v>
      </c>
      <c r="F758" s="2" t="str">
        <f>_xlfn.XLOOKUP(B758,Master[Product_Code],Master[Fabric])</f>
        <v>Lycra</v>
      </c>
      <c r="G758" s="2">
        <f>_xlfn.XLOOKUP(B758,Master[Product_Code],Master[Size])</f>
        <v>28</v>
      </c>
      <c r="H758" s="2" t="str">
        <f>_xlfn.XLOOKUP(B758,Master[Product_Code],Master[Color])</f>
        <v>Dark Green</v>
      </c>
      <c r="I758" s="4">
        <f>_xlfn.XLOOKUP(B758,Master[Product_Code],Master[Stock_Qty])</f>
        <v>5</v>
      </c>
      <c r="J758" s="6">
        <f>SUMIFS(
  Sales_Entry[Qty],
  Sales_Entry[Product_Code], Stock_Table[[#This Row],[Product_Code]]
)</f>
        <v>2</v>
      </c>
      <c r="K758" s="4">
        <f>SUMIFS(
  Exchange_Return[Qty],
  Exchange_Return[Product_Code], Stock_Table[[#This Row],[Product_Code]]
)</f>
        <v>0</v>
      </c>
      <c r="L758" s="4">
        <f>I758-J758+K758</f>
        <v>3</v>
      </c>
      <c r="M758" s="2" t="str" cm="1">
        <f t="array" ref="M758">_xlfn.IFS(L758=0,"Out of Stock",L758&gt;=2,"Limited Stock",L758&lt;2,"In Stock")</f>
        <v>Limited Stock</v>
      </c>
    </row>
    <row r="759" spans="2:13">
      <c r="B759" s="2" t="s">
        <v>1324</v>
      </c>
      <c r="C759" s="5" t="str">
        <f>_xlfn.XLOOKUP(B759,Master[Product_Code],Master[Category])</f>
        <v>Pants</v>
      </c>
      <c r="D759" s="2" t="str">
        <f>_xlfn.XLOOKUP(B759,Master[Product_Code],Master[Brand])</f>
        <v>Park Avenue</v>
      </c>
      <c r="E759" s="2" t="str">
        <f>_xlfn.XLOOKUP(B759,Master[Product_Code],Master[Style])</f>
        <v>Jogger</v>
      </c>
      <c r="F759" s="2" t="str">
        <f>_xlfn.XLOOKUP(B759,Master[Product_Code],Master[Fabric])</f>
        <v>Cotton Blend</v>
      </c>
      <c r="G759" s="2">
        <f>_xlfn.XLOOKUP(B759,Master[Product_Code],Master[Size])</f>
        <v>30</v>
      </c>
      <c r="H759" s="2" t="str">
        <f>_xlfn.XLOOKUP(B759,Master[Product_Code],Master[Color])</f>
        <v>White</v>
      </c>
      <c r="I759" s="4">
        <f>_xlfn.XLOOKUP(B759,Master[Product_Code],Master[Stock_Qty])</f>
        <v>6</v>
      </c>
      <c r="J759" s="6">
        <f>SUMIFS(
  Sales_Entry[Qty],
  Sales_Entry[Product_Code], Stock_Table[[#This Row],[Product_Code]]
)</f>
        <v>3</v>
      </c>
      <c r="K759" s="4">
        <f>SUMIFS(
  Exchange_Return[Qty],
  Exchange_Return[Product_Code], Stock_Table[[#This Row],[Product_Code]]
)</f>
        <v>0</v>
      </c>
      <c r="L759" s="4">
        <f>I759-J759+K759</f>
        <v>3</v>
      </c>
      <c r="M759" s="2" t="str" cm="1">
        <f t="array" ref="M759">_xlfn.IFS(L759=0,"Out of Stock",L759&gt;=2,"Limited Stock",L759&lt;2,"In Stock")</f>
        <v>Limited Stock</v>
      </c>
    </row>
    <row r="760" spans="2:13">
      <c r="B760" s="2" t="s">
        <v>1325</v>
      </c>
      <c r="C760" s="5" t="str">
        <f>_xlfn.XLOOKUP(B760,Master[Product_Code],Master[Category])</f>
        <v>Pants</v>
      </c>
      <c r="D760" s="2" t="str">
        <f>_xlfn.XLOOKUP(B760,Master[Product_Code],Master[Brand])</f>
        <v>Raymond</v>
      </c>
      <c r="E760" s="2" t="str">
        <f>_xlfn.XLOOKUP(B760,Master[Product_Code],Master[Style])</f>
        <v>Polofit</v>
      </c>
      <c r="F760" s="2" t="str">
        <f>_xlfn.XLOOKUP(B760,Master[Product_Code],Master[Fabric])</f>
        <v>Lycra</v>
      </c>
      <c r="G760" s="2">
        <f>_xlfn.XLOOKUP(B760,Master[Product_Code],Master[Size])</f>
        <v>30</v>
      </c>
      <c r="H760" s="2" t="str">
        <f>_xlfn.XLOOKUP(B760,Master[Product_Code],Master[Color])</f>
        <v>Dark Green</v>
      </c>
      <c r="I760" s="4">
        <f>_xlfn.XLOOKUP(B760,Master[Product_Code],Master[Stock_Qty])</f>
        <v>3</v>
      </c>
      <c r="J760" s="6">
        <f>SUMIFS(
  Sales_Entry[Qty],
  Sales_Entry[Product_Code], Stock_Table[[#This Row],[Product_Code]]
)</f>
        <v>2</v>
      </c>
      <c r="K760" s="4">
        <f>SUMIFS(
  Exchange_Return[Qty],
  Exchange_Return[Product_Code], Stock_Table[[#This Row],[Product_Code]]
)</f>
        <v>0</v>
      </c>
      <c r="L760" s="4">
        <f>I760-J760+K760</f>
        <v>1</v>
      </c>
      <c r="M760" s="2" t="str" cm="1">
        <f t="array" ref="M760">_xlfn.IFS(L760=0,"Out of Stock",L760&gt;=2,"Limited Stock",L760&lt;2,"In Stock")</f>
        <v>In Stock</v>
      </c>
    </row>
    <row r="761" spans="2:13">
      <c r="B761" s="2" t="s">
        <v>1326</v>
      </c>
      <c r="C761" s="5" t="str">
        <f>_xlfn.XLOOKUP(B761,Master[Product_Code],Master[Category])</f>
        <v>Pants</v>
      </c>
      <c r="D761" s="2" t="str">
        <f>_xlfn.XLOOKUP(B761,Master[Product_Code],Master[Brand])</f>
        <v>Raymond</v>
      </c>
      <c r="E761" s="2" t="str">
        <f>_xlfn.XLOOKUP(B761,Master[Product_Code],Master[Style])</f>
        <v>Kurka</v>
      </c>
      <c r="F761" s="2" t="str">
        <f>_xlfn.XLOOKUP(B761,Master[Product_Code],Master[Fabric])</f>
        <v>Lycra</v>
      </c>
      <c r="G761" s="2">
        <f>_xlfn.XLOOKUP(B761,Master[Product_Code],Master[Size])</f>
        <v>30</v>
      </c>
      <c r="H761" s="2" t="str">
        <f>_xlfn.XLOOKUP(B761,Master[Product_Code],Master[Color])</f>
        <v>Grey</v>
      </c>
      <c r="I761" s="4">
        <f>_xlfn.XLOOKUP(B761,Master[Product_Code],Master[Stock_Qty])</f>
        <v>5</v>
      </c>
      <c r="J761" s="6">
        <f>SUMIFS(
  Sales_Entry[Qty],
  Sales_Entry[Product_Code], Stock_Table[[#This Row],[Product_Code]]
)</f>
        <v>1</v>
      </c>
      <c r="K761" s="4">
        <f>SUMIFS(
  Exchange_Return[Qty],
  Exchange_Return[Product_Code], Stock_Table[[#This Row],[Product_Code]]
)</f>
        <v>0</v>
      </c>
      <c r="L761" s="4">
        <f>I761-J761+K761</f>
        <v>4</v>
      </c>
      <c r="M761" s="2" t="str" cm="1">
        <f t="array" ref="M761">_xlfn.IFS(L761=0,"Out of Stock",L761&gt;=2,"Limited Stock",L761&lt;2,"In Stock")</f>
        <v>Limited Stock</v>
      </c>
    </row>
    <row r="762" spans="2:13">
      <c r="B762" s="2" t="s">
        <v>1327</v>
      </c>
      <c r="C762" s="5" t="str">
        <f>_xlfn.XLOOKUP(B762,Master[Product_Code],Master[Category])</f>
        <v>Pants</v>
      </c>
      <c r="D762" s="2" t="str">
        <f>_xlfn.XLOOKUP(B762,Master[Product_Code],Master[Brand])</f>
        <v>Van Heusen</v>
      </c>
      <c r="E762" s="2" t="str">
        <f>_xlfn.XLOOKUP(B762,Master[Product_Code],Master[Style])</f>
        <v>Boot Cut</v>
      </c>
      <c r="F762" s="2" t="str">
        <f>_xlfn.XLOOKUP(B762,Master[Product_Code],Master[Fabric])</f>
        <v>Cotton Blend</v>
      </c>
      <c r="G762" s="2">
        <f>_xlfn.XLOOKUP(B762,Master[Product_Code],Master[Size])</f>
        <v>42</v>
      </c>
      <c r="H762" s="2" t="str">
        <f>_xlfn.XLOOKUP(B762,Master[Product_Code],Master[Color])</f>
        <v>Sky Blue</v>
      </c>
      <c r="I762" s="4">
        <f>_xlfn.XLOOKUP(B762,Master[Product_Code],Master[Stock_Qty])</f>
        <v>4</v>
      </c>
      <c r="J762" s="6">
        <f>SUMIFS(
  Sales_Entry[Qty],
  Sales_Entry[Product_Code], Stock_Table[[#This Row],[Product_Code]]
)</f>
        <v>2</v>
      </c>
      <c r="K762" s="4">
        <f>SUMIFS(
  Exchange_Return[Qty],
  Exchange_Return[Product_Code], Stock_Table[[#This Row],[Product_Code]]
)</f>
        <v>0</v>
      </c>
      <c r="L762" s="4">
        <f>I762-J762+K762</f>
        <v>2</v>
      </c>
      <c r="M762" s="2" t="str" cm="1">
        <f t="array" ref="M762">_xlfn.IFS(L762=0,"Out of Stock",L762&gt;=2,"Limited Stock",L762&lt;2,"In Stock")</f>
        <v>Limited Stock</v>
      </c>
    </row>
    <row r="763" spans="2:13">
      <c r="B763" s="2" t="s">
        <v>1328</v>
      </c>
      <c r="C763" s="5" t="str">
        <f>_xlfn.XLOOKUP(B763,Master[Product_Code],Master[Category])</f>
        <v>Pants</v>
      </c>
      <c r="D763" s="2" t="str">
        <f>_xlfn.XLOOKUP(B763,Master[Product_Code],Master[Brand])</f>
        <v>Van Heusen</v>
      </c>
      <c r="E763" s="2" t="str">
        <f>_xlfn.XLOOKUP(B763,Master[Product_Code],Master[Style])</f>
        <v>Korean</v>
      </c>
      <c r="F763" s="2" t="str">
        <f>_xlfn.XLOOKUP(B763,Master[Product_Code],Master[Fabric])</f>
        <v>Lycra</v>
      </c>
      <c r="G763" s="2">
        <f>_xlfn.XLOOKUP(B763,Master[Product_Code],Master[Size])</f>
        <v>30</v>
      </c>
      <c r="H763" s="2" t="str">
        <f>_xlfn.XLOOKUP(B763,Master[Product_Code],Master[Color])</f>
        <v>Grey</v>
      </c>
      <c r="I763" s="4">
        <f>_xlfn.XLOOKUP(B763,Master[Product_Code],Master[Stock_Qty])</f>
        <v>6</v>
      </c>
      <c r="J763" s="6">
        <f>SUMIFS(
  Sales_Entry[Qty],
  Sales_Entry[Product_Code], Stock_Table[[#This Row],[Product_Code]]
)</f>
        <v>1</v>
      </c>
      <c r="K763" s="4">
        <f>SUMIFS(
  Exchange_Return[Qty],
  Exchange_Return[Product_Code], Stock_Table[[#This Row],[Product_Code]]
)</f>
        <v>0</v>
      </c>
      <c r="L763" s="4">
        <f>I763-J763+K763</f>
        <v>5</v>
      </c>
      <c r="M763" s="2" t="str" cm="1">
        <f t="array" ref="M763">_xlfn.IFS(L763=0,"Out of Stock",L763&gt;=2,"Limited Stock",L763&lt;2,"In Stock")</f>
        <v>Limited Stock</v>
      </c>
    </row>
    <row r="764" spans="2:13">
      <c r="B764" s="2" t="s">
        <v>1329</v>
      </c>
      <c r="C764" s="5" t="str">
        <f>_xlfn.XLOOKUP(B764,Master[Product_Code],Master[Category])</f>
        <v>Pants</v>
      </c>
      <c r="D764" s="2" t="str">
        <f>_xlfn.XLOOKUP(B764,Master[Product_Code],Master[Brand])</f>
        <v>Raymond</v>
      </c>
      <c r="E764" s="2" t="str">
        <f>_xlfn.XLOOKUP(B764,Master[Product_Code],Master[Style])</f>
        <v>Kurka</v>
      </c>
      <c r="F764" s="2" t="str">
        <f>_xlfn.XLOOKUP(B764,Master[Product_Code],Master[Fabric])</f>
        <v>Lycra</v>
      </c>
      <c r="G764" s="2">
        <f>_xlfn.XLOOKUP(B764,Master[Product_Code],Master[Size])</f>
        <v>38</v>
      </c>
      <c r="H764" s="2" t="str">
        <f>_xlfn.XLOOKUP(B764,Master[Product_Code],Master[Color])</f>
        <v>Brown</v>
      </c>
      <c r="I764" s="4">
        <f>_xlfn.XLOOKUP(B764,Master[Product_Code],Master[Stock_Qty])</f>
        <v>4</v>
      </c>
      <c r="J764" s="6">
        <f>SUMIFS(
  Sales_Entry[Qty],
  Sales_Entry[Product_Code], Stock_Table[[#This Row],[Product_Code]]
)</f>
        <v>2</v>
      </c>
      <c r="K764" s="4">
        <f>SUMIFS(
  Exchange_Return[Qty],
  Exchange_Return[Product_Code], Stock_Table[[#This Row],[Product_Code]]
)</f>
        <v>0</v>
      </c>
      <c r="L764" s="4">
        <f>I764-J764+K764</f>
        <v>2</v>
      </c>
      <c r="M764" s="2" t="str" cm="1">
        <f t="array" ref="M764">_xlfn.IFS(L764=0,"Out of Stock",L764&gt;=2,"Limited Stock",L764&lt;2,"In Stock")</f>
        <v>Limited Stock</v>
      </c>
    </row>
    <row r="765" spans="2:13">
      <c r="B765" s="2" t="s">
        <v>1330</v>
      </c>
      <c r="C765" s="5" t="str">
        <f>_xlfn.XLOOKUP(B765,Master[Product_Code],Master[Category])</f>
        <v>Pants</v>
      </c>
      <c r="D765" s="2" t="str">
        <f>_xlfn.XLOOKUP(B765,Master[Product_Code],Master[Brand])</f>
        <v>Van Heusen</v>
      </c>
      <c r="E765" s="2" t="str">
        <f>_xlfn.XLOOKUP(B765,Master[Product_Code],Master[Style])</f>
        <v>Korean</v>
      </c>
      <c r="F765" s="2" t="str">
        <f>_xlfn.XLOOKUP(B765,Master[Product_Code],Master[Fabric])</f>
        <v>Lycra</v>
      </c>
      <c r="G765" s="2">
        <f>_xlfn.XLOOKUP(B765,Master[Product_Code],Master[Size])</f>
        <v>40</v>
      </c>
      <c r="H765" s="2" t="str">
        <f>_xlfn.XLOOKUP(B765,Master[Product_Code],Master[Color])</f>
        <v>Teal</v>
      </c>
      <c r="I765" s="4">
        <f>_xlfn.XLOOKUP(B765,Master[Product_Code],Master[Stock_Qty])</f>
        <v>4</v>
      </c>
      <c r="J765" s="6">
        <f>SUMIFS(
  Sales_Entry[Qty],
  Sales_Entry[Product_Code], Stock_Table[[#This Row],[Product_Code]]
)</f>
        <v>1</v>
      </c>
      <c r="K765" s="4">
        <f>SUMIFS(
  Exchange_Return[Qty],
  Exchange_Return[Product_Code], Stock_Table[[#This Row],[Product_Code]]
)</f>
        <v>0</v>
      </c>
      <c r="L765" s="4">
        <f>I765-J765+K765</f>
        <v>3</v>
      </c>
      <c r="M765" s="2" t="str" cm="1">
        <f t="array" ref="M765">_xlfn.IFS(L765=0,"Out of Stock",L765&gt;=2,"Limited Stock",L765&lt;2,"In Stock")</f>
        <v>Limited Stock</v>
      </c>
    </row>
    <row r="766" spans="2:13">
      <c r="B766" s="2" t="s">
        <v>1331</v>
      </c>
      <c r="C766" s="5" t="str">
        <f>_xlfn.XLOOKUP(B766,Master[Product_Code],Master[Category])</f>
        <v>Pants</v>
      </c>
      <c r="D766" s="2" t="str">
        <f>_xlfn.XLOOKUP(B766,Master[Product_Code],Master[Brand])</f>
        <v>Park Avenue</v>
      </c>
      <c r="E766" s="2" t="str">
        <f>_xlfn.XLOOKUP(B766,Master[Product_Code],Master[Style])</f>
        <v>Boot Cut</v>
      </c>
      <c r="F766" s="2" t="str">
        <f>_xlfn.XLOOKUP(B766,Master[Product_Code],Master[Fabric])</f>
        <v>Cotton</v>
      </c>
      <c r="G766" s="2">
        <f>_xlfn.XLOOKUP(B766,Master[Product_Code],Master[Size])</f>
        <v>32</v>
      </c>
      <c r="H766" s="2" t="str">
        <f>_xlfn.XLOOKUP(B766,Master[Product_Code],Master[Color])</f>
        <v>Bottle Green</v>
      </c>
      <c r="I766" s="4">
        <f>_xlfn.XLOOKUP(B766,Master[Product_Code],Master[Stock_Qty])</f>
        <v>6</v>
      </c>
      <c r="J766" s="6">
        <f>SUMIFS(
  Sales_Entry[Qty],
  Sales_Entry[Product_Code], Stock_Table[[#This Row],[Product_Code]]
)</f>
        <v>0</v>
      </c>
      <c r="K766" s="4">
        <f>SUMIFS(
  Exchange_Return[Qty],
  Exchange_Return[Product_Code], Stock_Table[[#This Row],[Product_Code]]
)</f>
        <v>0</v>
      </c>
      <c r="L766" s="4">
        <f>I766-J766+K766</f>
        <v>6</v>
      </c>
      <c r="M766" s="2" t="str" cm="1">
        <f t="array" ref="M766">_xlfn.IFS(L766=0,"Out of Stock",L766&gt;=2,"Limited Stock",L766&lt;2,"In Stock")</f>
        <v>Limited Stock</v>
      </c>
    </row>
    <row r="767" spans="2:13">
      <c r="B767" s="2" t="s">
        <v>1332</v>
      </c>
      <c r="C767" s="5" t="str">
        <f>_xlfn.XLOOKUP(B767,Master[Product_Code],Master[Category])</f>
        <v>Pants</v>
      </c>
      <c r="D767" s="2" t="str">
        <f>_xlfn.XLOOKUP(B767,Master[Product_Code],Master[Brand])</f>
        <v>Louis Philippe</v>
      </c>
      <c r="E767" s="2" t="str">
        <f>_xlfn.XLOOKUP(B767,Master[Product_Code],Master[Style])</f>
        <v>Jogger</v>
      </c>
      <c r="F767" s="2" t="str">
        <f>_xlfn.XLOOKUP(B767,Master[Product_Code],Master[Fabric])</f>
        <v>Cotton Blend</v>
      </c>
      <c r="G767" s="2">
        <f>_xlfn.XLOOKUP(B767,Master[Product_Code],Master[Size])</f>
        <v>38</v>
      </c>
      <c r="H767" s="2" t="str">
        <f>_xlfn.XLOOKUP(B767,Master[Product_Code],Master[Color])</f>
        <v>Black</v>
      </c>
      <c r="I767" s="4">
        <f>_xlfn.XLOOKUP(B767,Master[Product_Code],Master[Stock_Qty])</f>
        <v>6</v>
      </c>
      <c r="J767" s="6">
        <f>SUMIFS(
  Sales_Entry[Qty],
  Sales_Entry[Product_Code], Stock_Table[[#This Row],[Product_Code]]
)</f>
        <v>0</v>
      </c>
      <c r="K767" s="4">
        <f>SUMIFS(
  Exchange_Return[Qty],
  Exchange_Return[Product_Code], Stock_Table[[#This Row],[Product_Code]]
)</f>
        <v>0</v>
      </c>
      <c r="L767" s="4">
        <f>I767-J767+K767</f>
        <v>6</v>
      </c>
      <c r="M767" s="2" t="str" cm="1">
        <f t="array" ref="M767">_xlfn.IFS(L767=0,"Out of Stock",L767&gt;=2,"Limited Stock",L767&lt;2,"In Stock")</f>
        <v>Limited Stock</v>
      </c>
    </row>
    <row r="768" spans="2:13">
      <c r="B768" s="2" t="s">
        <v>1333</v>
      </c>
      <c r="C768" s="5" t="str">
        <f>_xlfn.XLOOKUP(B768,Master[Product_Code],Master[Category])</f>
        <v>Pants</v>
      </c>
      <c r="D768" s="2" t="str">
        <f>_xlfn.XLOOKUP(B768,Master[Product_Code],Master[Brand])</f>
        <v>Raymond</v>
      </c>
      <c r="E768" s="2" t="str">
        <f>_xlfn.XLOOKUP(B768,Master[Product_Code],Master[Style])</f>
        <v>Jogger</v>
      </c>
      <c r="F768" s="2" t="str">
        <f>_xlfn.XLOOKUP(B768,Master[Product_Code],Master[Fabric])</f>
        <v>Cotton</v>
      </c>
      <c r="G768" s="2">
        <f>_xlfn.XLOOKUP(B768,Master[Product_Code],Master[Size])</f>
        <v>30</v>
      </c>
      <c r="H768" s="2" t="str">
        <f>_xlfn.XLOOKUP(B768,Master[Product_Code],Master[Color])</f>
        <v>Mustard</v>
      </c>
      <c r="I768" s="4">
        <f>_xlfn.XLOOKUP(B768,Master[Product_Code],Master[Stock_Qty])</f>
        <v>5</v>
      </c>
      <c r="J768" s="6">
        <f>SUMIFS(
  Sales_Entry[Qty],
  Sales_Entry[Product_Code], Stock_Table[[#This Row],[Product_Code]]
)</f>
        <v>3</v>
      </c>
      <c r="K768" s="4">
        <f>SUMIFS(
  Exchange_Return[Qty],
  Exchange_Return[Product_Code], Stock_Table[[#This Row],[Product_Code]]
)</f>
        <v>0</v>
      </c>
      <c r="L768" s="4">
        <f>I768-J768+K768</f>
        <v>2</v>
      </c>
      <c r="M768" s="2" t="str" cm="1">
        <f t="array" ref="M768">_xlfn.IFS(L768=0,"Out of Stock",L768&gt;=2,"Limited Stock",L768&lt;2,"In Stock")</f>
        <v>Limited Stock</v>
      </c>
    </row>
    <row r="769" spans="2:13">
      <c r="B769" s="2" t="s">
        <v>1334</v>
      </c>
      <c r="C769" s="5" t="str">
        <f>_xlfn.XLOOKUP(B769,Master[Product_Code],Master[Category])</f>
        <v>Pants</v>
      </c>
      <c r="D769" s="2" t="str">
        <f>_xlfn.XLOOKUP(B769,Master[Product_Code],Master[Brand])</f>
        <v>Peter England</v>
      </c>
      <c r="E769" s="2" t="str">
        <f>_xlfn.XLOOKUP(B769,Master[Product_Code],Master[Style])</f>
        <v>Boot Cut</v>
      </c>
      <c r="F769" s="2" t="str">
        <f>_xlfn.XLOOKUP(B769,Master[Product_Code],Master[Fabric])</f>
        <v>Cotton</v>
      </c>
      <c r="G769" s="2">
        <f>_xlfn.XLOOKUP(B769,Master[Product_Code],Master[Size])</f>
        <v>40</v>
      </c>
      <c r="H769" s="2" t="str">
        <f>_xlfn.XLOOKUP(B769,Master[Product_Code],Master[Color])</f>
        <v>White</v>
      </c>
      <c r="I769" s="4">
        <f>_xlfn.XLOOKUP(B769,Master[Product_Code],Master[Stock_Qty])</f>
        <v>4</v>
      </c>
      <c r="J769" s="6">
        <f>SUMIFS(
  Sales_Entry[Qty],
  Sales_Entry[Product_Code], Stock_Table[[#This Row],[Product_Code]]
)</f>
        <v>0</v>
      </c>
      <c r="K769" s="4">
        <f>SUMIFS(
  Exchange_Return[Qty],
  Exchange_Return[Product_Code], Stock_Table[[#This Row],[Product_Code]]
)</f>
        <v>0</v>
      </c>
      <c r="L769" s="4">
        <f>I769-J769+K769</f>
        <v>4</v>
      </c>
      <c r="M769" s="2" t="str" cm="1">
        <f t="array" ref="M769">_xlfn.IFS(L769=0,"Out of Stock",L769&gt;=2,"Limited Stock",L769&lt;2,"In Stock")</f>
        <v>Limited Stock</v>
      </c>
    </row>
    <row r="770" spans="2:13">
      <c r="B770" s="2" t="s">
        <v>1335</v>
      </c>
      <c r="C770" s="5" t="str">
        <f>_xlfn.XLOOKUP(B770,Master[Product_Code],Master[Category])</f>
        <v>Pants</v>
      </c>
      <c r="D770" s="2" t="str">
        <f>_xlfn.XLOOKUP(B770,Master[Product_Code],Master[Brand])</f>
        <v>Raymond</v>
      </c>
      <c r="E770" s="2" t="str">
        <f>_xlfn.XLOOKUP(B770,Master[Product_Code],Master[Style])</f>
        <v>Jogger</v>
      </c>
      <c r="F770" s="2" t="str">
        <f>_xlfn.XLOOKUP(B770,Master[Product_Code],Master[Fabric])</f>
        <v>Poly Viscose</v>
      </c>
      <c r="G770" s="2">
        <f>_xlfn.XLOOKUP(B770,Master[Product_Code],Master[Size])</f>
        <v>40</v>
      </c>
      <c r="H770" s="2" t="str">
        <f>_xlfn.XLOOKUP(B770,Master[Product_Code],Master[Color])</f>
        <v>Rust</v>
      </c>
      <c r="I770" s="4">
        <f>_xlfn.XLOOKUP(B770,Master[Product_Code],Master[Stock_Qty])</f>
        <v>5</v>
      </c>
      <c r="J770" s="6">
        <f>SUMIFS(
  Sales_Entry[Qty],
  Sales_Entry[Product_Code], Stock_Table[[#This Row],[Product_Code]]
)</f>
        <v>2</v>
      </c>
      <c r="K770" s="4">
        <f>SUMIFS(
  Exchange_Return[Qty],
  Exchange_Return[Product_Code], Stock_Table[[#This Row],[Product_Code]]
)</f>
        <v>0</v>
      </c>
      <c r="L770" s="4">
        <f>I770-J770+K770</f>
        <v>3</v>
      </c>
      <c r="M770" s="2" t="str" cm="1">
        <f t="array" ref="M770">_xlfn.IFS(L770=0,"Out of Stock",L770&gt;=2,"Limited Stock",L770&lt;2,"In Stock")</f>
        <v>Limited Stock</v>
      </c>
    </row>
    <row r="771" spans="2:13">
      <c r="B771" s="2" t="s">
        <v>1336</v>
      </c>
      <c r="C771" s="5" t="str">
        <f>_xlfn.XLOOKUP(B771,Master[Product_Code],Master[Category])</f>
        <v>Pants</v>
      </c>
      <c r="D771" s="2" t="str">
        <f>_xlfn.XLOOKUP(B771,Master[Product_Code],Master[Brand])</f>
        <v>Van Heusen</v>
      </c>
      <c r="E771" s="2" t="str">
        <f>_xlfn.XLOOKUP(B771,Master[Product_Code],Master[Style])</f>
        <v>Polofit</v>
      </c>
      <c r="F771" s="2" t="str">
        <f>_xlfn.XLOOKUP(B771,Master[Product_Code],Master[Fabric])</f>
        <v>Lycra</v>
      </c>
      <c r="G771" s="2">
        <f>_xlfn.XLOOKUP(B771,Master[Product_Code],Master[Size])</f>
        <v>44</v>
      </c>
      <c r="H771" s="2" t="str">
        <f>_xlfn.XLOOKUP(B771,Master[Product_Code],Master[Color])</f>
        <v>Royal Blue</v>
      </c>
      <c r="I771" s="4">
        <f>_xlfn.XLOOKUP(B771,Master[Product_Code],Master[Stock_Qty])</f>
        <v>4</v>
      </c>
      <c r="J771" s="6">
        <f>SUMIFS(
  Sales_Entry[Qty],
  Sales_Entry[Product_Code], Stock_Table[[#This Row],[Product_Code]]
)</f>
        <v>3</v>
      </c>
      <c r="K771" s="4">
        <f>SUMIFS(
  Exchange_Return[Qty],
  Exchange_Return[Product_Code], Stock_Table[[#This Row],[Product_Code]]
)</f>
        <v>0</v>
      </c>
      <c r="L771" s="4">
        <f>I771-J771+K771</f>
        <v>1</v>
      </c>
      <c r="M771" s="2" t="str" cm="1">
        <f t="array" ref="M771">_xlfn.IFS(L771=0,"Out of Stock",L771&gt;=2,"Limited Stock",L771&lt;2,"In Stock")</f>
        <v>In Stock</v>
      </c>
    </row>
    <row r="772" spans="2:13">
      <c r="B772" s="2" t="s">
        <v>1337</v>
      </c>
      <c r="C772" s="5" t="str">
        <f>_xlfn.XLOOKUP(B772,Master[Product_Code],Master[Category])</f>
        <v>Pants</v>
      </c>
      <c r="D772" s="2" t="str">
        <f>_xlfn.XLOOKUP(B772,Master[Product_Code],Master[Brand])</f>
        <v>Louis Philippe</v>
      </c>
      <c r="E772" s="2" t="str">
        <f>_xlfn.XLOOKUP(B772,Master[Product_Code],Master[Style])</f>
        <v>Boot Cut</v>
      </c>
      <c r="F772" s="2" t="str">
        <f>_xlfn.XLOOKUP(B772,Master[Product_Code],Master[Fabric])</f>
        <v>Cotton Blend</v>
      </c>
      <c r="G772" s="2">
        <f>_xlfn.XLOOKUP(B772,Master[Product_Code],Master[Size])</f>
        <v>34</v>
      </c>
      <c r="H772" s="2" t="str">
        <f>_xlfn.XLOOKUP(B772,Master[Product_Code],Master[Color])</f>
        <v>Dark Green</v>
      </c>
      <c r="I772" s="4">
        <f>_xlfn.XLOOKUP(B772,Master[Product_Code],Master[Stock_Qty])</f>
        <v>6</v>
      </c>
      <c r="J772" s="6">
        <f>SUMIFS(
  Sales_Entry[Qty],
  Sales_Entry[Product_Code], Stock_Table[[#This Row],[Product_Code]]
)</f>
        <v>3</v>
      </c>
      <c r="K772" s="4">
        <f>SUMIFS(
  Exchange_Return[Qty],
  Exchange_Return[Product_Code], Stock_Table[[#This Row],[Product_Code]]
)</f>
        <v>0</v>
      </c>
      <c r="L772" s="4">
        <f>I772-J772+K772</f>
        <v>3</v>
      </c>
      <c r="M772" s="2" t="str" cm="1">
        <f t="array" ref="M772">_xlfn.IFS(L772=0,"Out of Stock",L772&gt;=2,"Limited Stock",L772&lt;2,"In Stock")</f>
        <v>Limited Stock</v>
      </c>
    </row>
    <row r="773" spans="2:13">
      <c r="B773" s="2" t="s">
        <v>1338</v>
      </c>
      <c r="C773" s="5" t="str">
        <f>_xlfn.XLOOKUP(B773,Master[Product_Code],Master[Category])</f>
        <v>Pants</v>
      </c>
      <c r="D773" s="2" t="str">
        <f>_xlfn.XLOOKUP(B773,Master[Product_Code],Master[Brand])</f>
        <v>Van Heusen</v>
      </c>
      <c r="E773" s="2" t="str">
        <f>_xlfn.XLOOKUP(B773,Master[Product_Code],Master[Style])</f>
        <v>Boot Cut</v>
      </c>
      <c r="F773" s="2" t="str">
        <f>_xlfn.XLOOKUP(B773,Master[Product_Code],Master[Fabric])</f>
        <v>Cotton</v>
      </c>
      <c r="G773" s="2">
        <f>_xlfn.XLOOKUP(B773,Master[Product_Code],Master[Size])</f>
        <v>36</v>
      </c>
      <c r="H773" s="2" t="str">
        <f>_xlfn.XLOOKUP(B773,Master[Product_Code],Master[Color])</f>
        <v>Navy Blue</v>
      </c>
      <c r="I773" s="4">
        <f>_xlfn.XLOOKUP(B773,Master[Product_Code],Master[Stock_Qty])</f>
        <v>3</v>
      </c>
      <c r="J773" s="6">
        <f>SUMIFS(
  Sales_Entry[Qty],
  Sales_Entry[Product_Code], Stock_Table[[#This Row],[Product_Code]]
)</f>
        <v>3</v>
      </c>
      <c r="K773" s="4">
        <f>SUMIFS(
  Exchange_Return[Qty],
  Exchange_Return[Product_Code], Stock_Table[[#This Row],[Product_Code]]
)</f>
        <v>0</v>
      </c>
      <c r="L773" s="4">
        <f>I773-J773+K773</f>
        <v>0</v>
      </c>
      <c r="M773" s="2" t="str" cm="1">
        <f t="array" ref="M773">_xlfn.IFS(L773=0,"Out of Stock",L773&gt;=2,"Limited Stock",L773&lt;2,"In Stock")</f>
        <v>Out of Stock</v>
      </c>
    </row>
    <row r="774" spans="2:13">
      <c r="B774" s="2" t="s">
        <v>1339</v>
      </c>
      <c r="C774" s="5" t="str">
        <f>_xlfn.XLOOKUP(B774,Master[Product_Code],Master[Category])</f>
        <v>Pants</v>
      </c>
      <c r="D774" s="2" t="str">
        <f>_xlfn.XLOOKUP(B774,Master[Product_Code],Master[Brand])</f>
        <v>Van Heusen</v>
      </c>
      <c r="E774" s="2" t="str">
        <f>_xlfn.XLOOKUP(B774,Master[Product_Code],Master[Style])</f>
        <v>Boot Cut</v>
      </c>
      <c r="F774" s="2" t="str">
        <f>_xlfn.XLOOKUP(B774,Master[Product_Code],Master[Fabric])</f>
        <v>Cotton Blend</v>
      </c>
      <c r="G774" s="2">
        <f>_xlfn.XLOOKUP(B774,Master[Product_Code],Master[Size])</f>
        <v>32</v>
      </c>
      <c r="H774" s="2" t="str">
        <f>_xlfn.XLOOKUP(B774,Master[Product_Code],Master[Color])</f>
        <v>Wine</v>
      </c>
      <c r="I774" s="4">
        <f>_xlfn.XLOOKUP(B774,Master[Product_Code],Master[Stock_Qty])</f>
        <v>5</v>
      </c>
      <c r="J774" s="6">
        <f>SUMIFS(
  Sales_Entry[Qty],
  Sales_Entry[Product_Code], Stock_Table[[#This Row],[Product_Code]]
)</f>
        <v>1</v>
      </c>
      <c r="K774" s="4">
        <f>SUMIFS(
  Exchange_Return[Qty],
  Exchange_Return[Product_Code], Stock_Table[[#This Row],[Product_Code]]
)</f>
        <v>0</v>
      </c>
      <c r="L774" s="4">
        <f>I774-J774+K774</f>
        <v>4</v>
      </c>
      <c r="M774" s="2" t="str" cm="1">
        <f t="array" ref="M774">_xlfn.IFS(L774=0,"Out of Stock",L774&gt;=2,"Limited Stock",L774&lt;2,"In Stock")</f>
        <v>Limited Stock</v>
      </c>
    </row>
    <row r="775" spans="2:13">
      <c r="B775" s="2" t="s">
        <v>1340</v>
      </c>
      <c r="C775" s="5" t="str">
        <f>_xlfn.XLOOKUP(B775,Master[Product_Code],Master[Category])</f>
        <v>Pants</v>
      </c>
      <c r="D775" s="2" t="str">
        <f>_xlfn.XLOOKUP(B775,Master[Product_Code],Master[Brand])</f>
        <v>Raymond</v>
      </c>
      <c r="E775" s="2" t="str">
        <f>_xlfn.XLOOKUP(B775,Master[Product_Code],Master[Style])</f>
        <v>Jogger</v>
      </c>
      <c r="F775" s="2" t="str">
        <f>_xlfn.XLOOKUP(B775,Master[Product_Code],Master[Fabric])</f>
        <v>Cotton Blend</v>
      </c>
      <c r="G775" s="2">
        <f>_xlfn.XLOOKUP(B775,Master[Product_Code],Master[Size])</f>
        <v>36</v>
      </c>
      <c r="H775" s="2" t="str">
        <f>_xlfn.XLOOKUP(B775,Master[Product_Code],Master[Color])</f>
        <v>Wine</v>
      </c>
      <c r="I775" s="4">
        <f>_xlfn.XLOOKUP(B775,Master[Product_Code],Master[Stock_Qty])</f>
        <v>5</v>
      </c>
      <c r="J775" s="6">
        <f>SUMIFS(
  Sales_Entry[Qty],
  Sales_Entry[Product_Code], Stock_Table[[#This Row],[Product_Code]]
)</f>
        <v>1</v>
      </c>
      <c r="K775" s="4">
        <f>SUMIFS(
  Exchange_Return[Qty],
  Exchange_Return[Product_Code], Stock_Table[[#This Row],[Product_Code]]
)</f>
        <v>0</v>
      </c>
      <c r="L775" s="4">
        <f>I775-J775+K775</f>
        <v>4</v>
      </c>
      <c r="M775" s="2" t="str" cm="1">
        <f t="array" ref="M775">_xlfn.IFS(L775=0,"Out of Stock",L775&gt;=2,"Limited Stock",L775&lt;2,"In Stock")</f>
        <v>Limited Stock</v>
      </c>
    </row>
    <row r="776" spans="2:13">
      <c r="B776" s="2" t="s">
        <v>1341</v>
      </c>
      <c r="C776" s="5" t="str">
        <f>_xlfn.XLOOKUP(B776,Master[Product_Code],Master[Category])</f>
        <v>Pants</v>
      </c>
      <c r="D776" s="2" t="str">
        <f>_xlfn.XLOOKUP(B776,Master[Product_Code],Master[Brand])</f>
        <v>Peter England</v>
      </c>
      <c r="E776" s="2" t="str">
        <f>_xlfn.XLOOKUP(B776,Master[Product_Code],Master[Style])</f>
        <v>Polofit</v>
      </c>
      <c r="F776" s="2" t="str">
        <f>_xlfn.XLOOKUP(B776,Master[Product_Code],Master[Fabric])</f>
        <v>Lycra</v>
      </c>
      <c r="G776" s="2">
        <f>_xlfn.XLOOKUP(B776,Master[Product_Code],Master[Size])</f>
        <v>44</v>
      </c>
      <c r="H776" s="2" t="str">
        <f>_xlfn.XLOOKUP(B776,Master[Product_Code],Master[Color])</f>
        <v>Light Grey</v>
      </c>
      <c r="I776" s="4">
        <f>_xlfn.XLOOKUP(B776,Master[Product_Code],Master[Stock_Qty])</f>
        <v>5</v>
      </c>
      <c r="J776" s="6">
        <f>SUMIFS(
  Sales_Entry[Qty],
  Sales_Entry[Product_Code], Stock_Table[[#This Row],[Product_Code]]
)</f>
        <v>2</v>
      </c>
      <c r="K776" s="4">
        <f>SUMIFS(
  Exchange_Return[Qty],
  Exchange_Return[Product_Code], Stock_Table[[#This Row],[Product_Code]]
)</f>
        <v>0</v>
      </c>
      <c r="L776" s="4">
        <f>I776-J776+K776</f>
        <v>3</v>
      </c>
      <c r="M776" s="2" t="str" cm="1">
        <f t="array" ref="M776">_xlfn.IFS(L776=0,"Out of Stock",L776&gt;=2,"Limited Stock",L776&lt;2,"In Stock")</f>
        <v>Limited Stock</v>
      </c>
    </row>
    <row r="777" spans="2:13">
      <c r="B777" s="2" t="s">
        <v>1342</v>
      </c>
      <c r="C777" s="5" t="str">
        <f>_xlfn.XLOOKUP(B777,Master[Product_Code],Master[Category])</f>
        <v>Pants</v>
      </c>
      <c r="D777" s="2" t="str">
        <f>_xlfn.XLOOKUP(B777,Master[Product_Code],Master[Brand])</f>
        <v>Van Heusen</v>
      </c>
      <c r="E777" s="2" t="str">
        <f>_xlfn.XLOOKUP(B777,Master[Product_Code],Master[Style])</f>
        <v>Boot Cut</v>
      </c>
      <c r="F777" s="2" t="str">
        <f>_xlfn.XLOOKUP(B777,Master[Product_Code],Master[Fabric])</f>
        <v>Cotton Blend</v>
      </c>
      <c r="G777" s="2">
        <f>_xlfn.XLOOKUP(B777,Master[Product_Code],Master[Size])</f>
        <v>30</v>
      </c>
      <c r="H777" s="2" t="str">
        <f>_xlfn.XLOOKUP(B777,Master[Product_Code],Master[Color])</f>
        <v>White</v>
      </c>
      <c r="I777" s="4">
        <f>_xlfn.XLOOKUP(B777,Master[Product_Code],Master[Stock_Qty])</f>
        <v>5</v>
      </c>
      <c r="J777" s="6">
        <f>SUMIFS(
  Sales_Entry[Qty],
  Sales_Entry[Product_Code], Stock_Table[[#This Row],[Product_Code]]
)</f>
        <v>2</v>
      </c>
      <c r="K777" s="4">
        <f>SUMIFS(
  Exchange_Return[Qty],
  Exchange_Return[Product_Code], Stock_Table[[#This Row],[Product_Code]]
)</f>
        <v>0</v>
      </c>
      <c r="L777" s="4">
        <f>I777-J777+K777</f>
        <v>3</v>
      </c>
      <c r="M777" s="2" t="str" cm="1">
        <f t="array" ref="M777">_xlfn.IFS(L777=0,"Out of Stock",L777&gt;=2,"Limited Stock",L777&lt;2,"In Stock")</f>
        <v>Limited Stock</v>
      </c>
    </row>
    <row r="778" spans="2:13">
      <c r="B778" s="2" t="s">
        <v>1343</v>
      </c>
      <c r="C778" s="5" t="str">
        <f>_xlfn.XLOOKUP(B778,Master[Product_Code],Master[Category])</f>
        <v>Pants</v>
      </c>
      <c r="D778" s="2" t="str">
        <f>_xlfn.XLOOKUP(B778,Master[Product_Code],Master[Brand])</f>
        <v>Park Avenue</v>
      </c>
      <c r="E778" s="2" t="str">
        <f>_xlfn.XLOOKUP(B778,Master[Product_Code],Master[Style])</f>
        <v>Korean</v>
      </c>
      <c r="F778" s="2" t="str">
        <f>_xlfn.XLOOKUP(B778,Master[Product_Code],Master[Fabric])</f>
        <v>Lycra</v>
      </c>
      <c r="G778" s="2">
        <f>_xlfn.XLOOKUP(B778,Master[Product_Code],Master[Size])</f>
        <v>28</v>
      </c>
      <c r="H778" s="2" t="str">
        <f>_xlfn.XLOOKUP(B778,Master[Product_Code],Master[Color])</f>
        <v>Sky Blue</v>
      </c>
      <c r="I778" s="4">
        <f>_xlfn.XLOOKUP(B778,Master[Product_Code],Master[Stock_Qty])</f>
        <v>6</v>
      </c>
      <c r="J778" s="6">
        <f>SUMIFS(
  Sales_Entry[Qty],
  Sales_Entry[Product_Code], Stock_Table[[#This Row],[Product_Code]]
)</f>
        <v>2</v>
      </c>
      <c r="K778" s="4">
        <f>SUMIFS(
  Exchange_Return[Qty],
  Exchange_Return[Product_Code], Stock_Table[[#This Row],[Product_Code]]
)</f>
        <v>0</v>
      </c>
      <c r="L778" s="4">
        <f>I778-J778+K778</f>
        <v>4</v>
      </c>
      <c r="M778" s="2" t="str" cm="1">
        <f t="array" ref="M778">_xlfn.IFS(L778=0,"Out of Stock",L778&gt;=2,"Limited Stock",L778&lt;2,"In Stock")</f>
        <v>Limited Stock</v>
      </c>
    </row>
    <row r="779" spans="2:13">
      <c r="B779" s="2" t="s">
        <v>1344</v>
      </c>
      <c r="C779" s="5" t="str">
        <f>_xlfn.XLOOKUP(B779,Master[Product_Code],Master[Category])</f>
        <v>Pants</v>
      </c>
      <c r="D779" s="2" t="str">
        <f>_xlfn.XLOOKUP(B779,Master[Product_Code],Master[Brand])</f>
        <v>Park Avenue</v>
      </c>
      <c r="E779" s="2" t="str">
        <f>_xlfn.XLOOKUP(B779,Master[Product_Code],Master[Style])</f>
        <v>Polofit</v>
      </c>
      <c r="F779" s="2" t="str">
        <f>_xlfn.XLOOKUP(B779,Master[Product_Code],Master[Fabric])</f>
        <v>Lycra</v>
      </c>
      <c r="G779" s="2">
        <f>_xlfn.XLOOKUP(B779,Master[Product_Code],Master[Size])</f>
        <v>38</v>
      </c>
      <c r="H779" s="2" t="str">
        <f>_xlfn.XLOOKUP(B779,Master[Product_Code],Master[Color])</f>
        <v>Charcoal</v>
      </c>
      <c r="I779" s="4">
        <f>_xlfn.XLOOKUP(B779,Master[Product_Code],Master[Stock_Qty])</f>
        <v>4</v>
      </c>
      <c r="J779" s="6">
        <f>SUMIFS(
  Sales_Entry[Qty],
  Sales_Entry[Product_Code], Stock_Table[[#This Row],[Product_Code]]
)</f>
        <v>1</v>
      </c>
      <c r="K779" s="4">
        <f>SUMIFS(
  Exchange_Return[Qty],
  Exchange_Return[Product_Code], Stock_Table[[#This Row],[Product_Code]]
)</f>
        <v>0</v>
      </c>
      <c r="L779" s="4">
        <f>I779-J779+K779</f>
        <v>3</v>
      </c>
      <c r="M779" s="2" t="str" cm="1">
        <f t="array" ref="M779">_xlfn.IFS(L779=0,"Out of Stock",L779&gt;=2,"Limited Stock",L779&lt;2,"In Stock")</f>
        <v>Limited Stock</v>
      </c>
    </row>
    <row r="780" spans="2:13">
      <c r="B780" s="2" t="s">
        <v>1345</v>
      </c>
      <c r="C780" s="5" t="str">
        <f>_xlfn.XLOOKUP(B780,Master[Product_Code],Master[Category])</f>
        <v>Pants</v>
      </c>
      <c r="D780" s="2" t="str">
        <f>_xlfn.XLOOKUP(B780,Master[Product_Code],Master[Brand])</f>
        <v>Van Heusen</v>
      </c>
      <c r="E780" s="2" t="str">
        <f>_xlfn.XLOOKUP(B780,Master[Product_Code],Master[Style])</f>
        <v>Korean</v>
      </c>
      <c r="F780" s="2" t="str">
        <f>_xlfn.XLOOKUP(B780,Master[Product_Code],Master[Fabric])</f>
        <v>Lycra</v>
      </c>
      <c r="G780" s="2">
        <f>_xlfn.XLOOKUP(B780,Master[Product_Code],Master[Size])</f>
        <v>32</v>
      </c>
      <c r="H780" s="2" t="str">
        <f>_xlfn.XLOOKUP(B780,Master[Product_Code],Master[Color])</f>
        <v>Rust</v>
      </c>
      <c r="I780" s="4">
        <f>_xlfn.XLOOKUP(B780,Master[Product_Code],Master[Stock_Qty])</f>
        <v>4</v>
      </c>
      <c r="J780" s="6">
        <f>SUMIFS(
  Sales_Entry[Qty],
  Sales_Entry[Product_Code], Stock_Table[[#This Row],[Product_Code]]
)</f>
        <v>2</v>
      </c>
      <c r="K780" s="4">
        <f>SUMIFS(
  Exchange_Return[Qty],
  Exchange_Return[Product_Code], Stock_Table[[#This Row],[Product_Code]]
)</f>
        <v>0</v>
      </c>
      <c r="L780" s="4">
        <f>I780-J780+K780</f>
        <v>2</v>
      </c>
      <c r="M780" s="2" t="str" cm="1">
        <f t="array" ref="M780">_xlfn.IFS(L780=0,"Out of Stock",L780&gt;=2,"Limited Stock",L780&lt;2,"In Stock")</f>
        <v>Limited Stock</v>
      </c>
    </row>
    <row r="781" spans="2:13">
      <c r="B781" s="2" t="s">
        <v>1346</v>
      </c>
      <c r="C781" s="5" t="str">
        <f>_xlfn.XLOOKUP(B781,Master[Product_Code],Master[Category])</f>
        <v>Pants</v>
      </c>
      <c r="D781" s="2" t="str">
        <f>_xlfn.XLOOKUP(B781,Master[Product_Code],Master[Brand])</f>
        <v>Van Heusen</v>
      </c>
      <c r="E781" s="2" t="str">
        <f>_xlfn.XLOOKUP(B781,Master[Product_Code],Master[Style])</f>
        <v>Jogger</v>
      </c>
      <c r="F781" s="2" t="str">
        <f>_xlfn.XLOOKUP(B781,Master[Product_Code],Master[Fabric])</f>
        <v>Cotton Blend</v>
      </c>
      <c r="G781" s="2">
        <f>_xlfn.XLOOKUP(B781,Master[Product_Code],Master[Size])</f>
        <v>34</v>
      </c>
      <c r="H781" s="2" t="str">
        <f>_xlfn.XLOOKUP(B781,Master[Product_Code],Master[Color])</f>
        <v>Teal</v>
      </c>
      <c r="I781" s="4">
        <f>_xlfn.XLOOKUP(B781,Master[Product_Code],Master[Stock_Qty])</f>
        <v>6</v>
      </c>
      <c r="J781" s="6">
        <f>SUMIFS(
  Sales_Entry[Qty],
  Sales_Entry[Product_Code], Stock_Table[[#This Row],[Product_Code]]
)</f>
        <v>0</v>
      </c>
      <c r="K781" s="4">
        <f>SUMIFS(
  Exchange_Return[Qty],
  Exchange_Return[Product_Code], Stock_Table[[#This Row],[Product_Code]]
)</f>
        <v>0</v>
      </c>
      <c r="L781" s="4">
        <f>I781-J781+K781</f>
        <v>6</v>
      </c>
      <c r="M781" s="2" t="str" cm="1">
        <f t="array" ref="M781">_xlfn.IFS(L781=0,"Out of Stock",L781&gt;=2,"Limited Stock",L781&lt;2,"In Stock")</f>
        <v>Limited Stock</v>
      </c>
    </row>
    <row r="782" spans="2:13">
      <c r="B782" s="2" t="s">
        <v>1347</v>
      </c>
      <c r="C782" s="5" t="str">
        <f>_xlfn.XLOOKUP(B782,Master[Product_Code],Master[Category])</f>
        <v>Pants</v>
      </c>
      <c r="D782" s="2" t="str">
        <f>_xlfn.XLOOKUP(B782,Master[Product_Code],Master[Brand])</f>
        <v>Peter England</v>
      </c>
      <c r="E782" s="2" t="str">
        <f>_xlfn.XLOOKUP(B782,Master[Product_Code],Master[Style])</f>
        <v>Boot Cut</v>
      </c>
      <c r="F782" s="2" t="str">
        <f>_xlfn.XLOOKUP(B782,Master[Product_Code],Master[Fabric])</f>
        <v>Poly Viscose</v>
      </c>
      <c r="G782" s="2">
        <f>_xlfn.XLOOKUP(B782,Master[Product_Code],Master[Size])</f>
        <v>30</v>
      </c>
      <c r="H782" s="2" t="str">
        <f>_xlfn.XLOOKUP(B782,Master[Product_Code],Master[Color])</f>
        <v>Navy Blue</v>
      </c>
      <c r="I782" s="4">
        <f>_xlfn.XLOOKUP(B782,Master[Product_Code],Master[Stock_Qty])</f>
        <v>3</v>
      </c>
      <c r="J782" s="6">
        <f>SUMIFS(
  Sales_Entry[Qty],
  Sales_Entry[Product_Code], Stock_Table[[#This Row],[Product_Code]]
)</f>
        <v>1</v>
      </c>
      <c r="K782" s="4">
        <f>SUMIFS(
  Exchange_Return[Qty],
  Exchange_Return[Product_Code], Stock_Table[[#This Row],[Product_Code]]
)</f>
        <v>0</v>
      </c>
      <c r="L782" s="4">
        <f>I782-J782+K782</f>
        <v>2</v>
      </c>
      <c r="M782" s="2" t="str" cm="1">
        <f t="array" ref="M782">_xlfn.IFS(L782=0,"Out of Stock",L782&gt;=2,"Limited Stock",L782&lt;2,"In Stock")</f>
        <v>Limited Stock</v>
      </c>
    </row>
    <row r="783" spans="2:13">
      <c r="B783" s="2" t="s">
        <v>1348</v>
      </c>
      <c r="C783" s="5" t="str">
        <f>_xlfn.XLOOKUP(B783,Master[Product_Code],Master[Category])</f>
        <v>Pants</v>
      </c>
      <c r="D783" s="2" t="str">
        <f>_xlfn.XLOOKUP(B783,Master[Product_Code],Master[Brand])</f>
        <v>Peter England</v>
      </c>
      <c r="E783" s="2" t="str">
        <f>_xlfn.XLOOKUP(B783,Master[Product_Code],Master[Style])</f>
        <v>Boot Cut</v>
      </c>
      <c r="F783" s="2" t="str">
        <f>_xlfn.XLOOKUP(B783,Master[Product_Code],Master[Fabric])</f>
        <v>Cotton</v>
      </c>
      <c r="G783" s="2">
        <f>_xlfn.XLOOKUP(B783,Master[Product_Code],Master[Size])</f>
        <v>42</v>
      </c>
      <c r="H783" s="2" t="str">
        <f>_xlfn.XLOOKUP(B783,Master[Product_Code],Master[Color])</f>
        <v>Navy Blue</v>
      </c>
      <c r="I783" s="4">
        <f>_xlfn.XLOOKUP(B783,Master[Product_Code],Master[Stock_Qty])</f>
        <v>5</v>
      </c>
      <c r="J783" s="6">
        <f>SUMIFS(
  Sales_Entry[Qty],
  Sales_Entry[Product_Code], Stock_Table[[#This Row],[Product_Code]]
)</f>
        <v>2</v>
      </c>
      <c r="K783" s="4">
        <f>SUMIFS(
  Exchange_Return[Qty],
  Exchange_Return[Product_Code], Stock_Table[[#This Row],[Product_Code]]
)</f>
        <v>0</v>
      </c>
      <c r="L783" s="4">
        <f>I783-J783+K783</f>
        <v>3</v>
      </c>
      <c r="M783" s="2" t="str" cm="1">
        <f t="array" ref="M783">_xlfn.IFS(L783=0,"Out of Stock",L783&gt;=2,"Limited Stock",L783&lt;2,"In Stock")</f>
        <v>Limited Stock</v>
      </c>
    </row>
    <row r="784" spans="2:13">
      <c r="B784" s="2" t="s">
        <v>1349</v>
      </c>
      <c r="C784" s="5" t="str">
        <f>_xlfn.XLOOKUP(B784,Master[Product_Code],Master[Category])</f>
        <v>Pants</v>
      </c>
      <c r="D784" s="2" t="str">
        <f>_xlfn.XLOOKUP(B784,Master[Product_Code],Master[Brand])</f>
        <v>Park Avenue</v>
      </c>
      <c r="E784" s="2" t="str">
        <f>_xlfn.XLOOKUP(B784,Master[Product_Code],Master[Style])</f>
        <v>Boot Cut</v>
      </c>
      <c r="F784" s="2" t="str">
        <f>_xlfn.XLOOKUP(B784,Master[Product_Code],Master[Fabric])</f>
        <v>Cotton Blend</v>
      </c>
      <c r="G784" s="2">
        <f>_xlfn.XLOOKUP(B784,Master[Product_Code],Master[Size])</f>
        <v>44</v>
      </c>
      <c r="H784" s="2" t="str">
        <f>_xlfn.XLOOKUP(B784,Master[Product_Code],Master[Color])</f>
        <v>Wine</v>
      </c>
      <c r="I784" s="4">
        <f>_xlfn.XLOOKUP(B784,Master[Product_Code],Master[Stock_Qty])</f>
        <v>6</v>
      </c>
      <c r="J784" s="6">
        <f>SUMIFS(
  Sales_Entry[Qty],
  Sales_Entry[Product_Code], Stock_Table[[#This Row],[Product_Code]]
)</f>
        <v>0</v>
      </c>
      <c r="K784" s="4">
        <f>SUMIFS(
  Exchange_Return[Qty],
  Exchange_Return[Product_Code], Stock_Table[[#This Row],[Product_Code]]
)</f>
        <v>0</v>
      </c>
      <c r="L784" s="4">
        <f>I784-J784+K784</f>
        <v>6</v>
      </c>
      <c r="M784" s="2" t="str" cm="1">
        <f t="array" ref="M784">_xlfn.IFS(L784=0,"Out of Stock",L784&gt;=2,"Limited Stock",L784&lt;2,"In Stock")</f>
        <v>Limited Stock</v>
      </c>
    </row>
    <row r="785" spans="2:13">
      <c r="B785" s="2" t="s">
        <v>1350</v>
      </c>
      <c r="C785" s="5" t="str">
        <f>_xlfn.XLOOKUP(B785,Master[Product_Code],Master[Category])</f>
        <v>Pants</v>
      </c>
      <c r="D785" s="2" t="str">
        <f>_xlfn.XLOOKUP(B785,Master[Product_Code],Master[Brand])</f>
        <v>Park Avenue</v>
      </c>
      <c r="E785" s="2" t="str">
        <f>_xlfn.XLOOKUP(B785,Master[Product_Code],Master[Style])</f>
        <v>Boot Cut</v>
      </c>
      <c r="F785" s="2" t="str">
        <f>_xlfn.XLOOKUP(B785,Master[Product_Code],Master[Fabric])</f>
        <v>Cotton Blend</v>
      </c>
      <c r="G785" s="2">
        <f>_xlfn.XLOOKUP(B785,Master[Product_Code],Master[Size])</f>
        <v>40</v>
      </c>
      <c r="H785" s="2" t="str">
        <f>_xlfn.XLOOKUP(B785,Master[Product_Code],Master[Color])</f>
        <v>Cream</v>
      </c>
      <c r="I785" s="4">
        <f>_xlfn.XLOOKUP(B785,Master[Product_Code],Master[Stock_Qty])</f>
        <v>6</v>
      </c>
      <c r="J785" s="6">
        <f>SUMIFS(
  Sales_Entry[Qty],
  Sales_Entry[Product_Code], Stock_Table[[#This Row],[Product_Code]]
)</f>
        <v>2</v>
      </c>
      <c r="K785" s="4">
        <f>SUMIFS(
  Exchange_Return[Qty],
  Exchange_Return[Product_Code], Stock_Table[[#This Row],[Product_Code]]
)</f>
        <v>0</v>
      </c>
      <c r="L785" s="4">
        <f>I785-J785+K785</f>
        <v>4</v>
      </c>
      <c r="M785" s="2" t="str" cm="1">
        <f t="array" ref="M785">_xlfn.IFS(L785=0,"Out of Stock",L785&gt;=2,"Limited Stock",L785&lt;2,"In Stock")</f>
        <v>Limited Stock</v>
      </c>
    </row>
    <row r="786" spans="2:13">
      <c r="B786" s="2" t="s">
        <v>1351</v>
      </c>
      <c r="C786" s="5" t="str">
        <f>_xlfn.XLOOKUP(B786,Master[Product_Code],Master[Category])</f>
        <v>Pants</v>
      </c>
      <c r="D786" s="2" t="str">
        <f>_xlfn.XLOOKUP(B786,Master[Product_Code],Master[Brand])</f>
        <v>Peter England</v>
      </c>
      <c r="E786" s="2" t="str">
        <f>_xlfn.XLOOKUP(B786,Master[Product_Code],Master[Style])</f>
        <v>Kurka</v>
      </c>
      <c r="F786" s="2" t="str">
        <f>_xlfn.XLOOKUP(B786,Master[Product_Code],Master[Fabric])</f>
        <v>Lycra</v>
      </c>
      <c r="G786" s="2">
        <f>_xlfn.XLOOKUP(B786,Master[Product_Code],Master[Size])</f>
        <v>32</v>
      </c>
      <c r="H786" s="2" t="str">
        <f>_xlfn.XLOOKUP(B786,Master[Product_Code],Master[Color])</f>
        <v>Peach</v>
      </c>
      <c r="I786" s="4">
        <f>_xlfn.XLOOKUP(B786,Master[Product_Code],Master[Stock_Qty])</f>
        <v>6</v>
      </c>
      <c r="J786" s="6">
        <f>SUMIFS(
  Sales_Entry[Qty],
  Sales_Entry[Product_Code], Stock_Table[[#This Row],[Product_Code]]
)</f>
        <v>1</v>
      </c>
      <c r="K786" s="4">
        <f>SUMIFS(
  Exchange_Return[Qty],
  Exchange_Return[Product_Code], Stock_Table[[#This Row],[Product_Code]]
)</f>
        <v>0</v>
      </c>
      <c r="L786" s="4">
        <f>I786-J786+K786</f>
        <v>5</v>
      </c>
      <c r="M786" s="2" t="str" cm="1">
        <f t="array" ref="M786">_xlfn.IFS(L786=0,"Out of Stock",L786&gt;=2,"Limited Stock",L786&lt;2,"In Stock")</f>
        <v>Limited Stock</v>
      </c>
    </row>
    <row r="787" spans="2:13">
      <c r="B787" s="2" t="s">
        <v>1352</v>
      </c>
      <c r="C787" s="5" t="str">
        <f>_xlfn.XLOOKUP(B787,Master[Product_Code],Master[Category])</f>
        <v>Pants</v>
      </c>
      <c r="D787" s="2" t="str">
        <f>_xlfn.XLOOKUP(B787,Master[Product_Code],Master[Brand])</f>
        <v>Park Avenue</v>
      </c>
      <c r="E787" s="2" t="str">
        <f>_xlfn.XLOOKUP(B787,Master[Product_Code],Master[Style])</f>
        <v>Jogger</v>
      </c>
      <c r="F787" s="2" t="str">
        <f>_xlfn.XLOOKUP(B787,Master[Product_Code],Master[Fabric])</f>
        <v>Cotton</v>
      </c>
      <c r="G787" s="2">
        <f>_xlfn.XLOOKUP(B787,Master[Product_Code],Master[Size])</f>
        <v>34</v>
      </c>
      <c r="H787" s="2" t="str">
        <f>_xlfn.XLOOKUP(B787,Master[Product_Code],Master[Color])</f>
        <v>Cream</v>
      </c>
      <c r="I787" s="4">
        <f>_xlfn.XLOOKUP(B787,Master[Product_Code],Master[Stock_Qty])</f>
        <v>6</v>
      </c>
      <c r="J787" s="6">
        <f>SUMIFS(
  Sales_Entry[Qty],
  Sales_Entry[Product_Code], Stock_Table[[#This Row],[Product_Code]]
)</f>
        <v>0</v>
      </c>
      <c r="K787" s="4">
        <f>SUMIFS(
  Exchange_Return[Qty],
  Exchange_Return[Product_Code], Stock_Table[[#This Row],[Product_Code]]
)</f>
        <v>0</v>
      </c>
      <c r="L787" s="4">
        <f>I787-J787+K787</f>
        <v>6</v>
      </c>
      <c r="M787" s="2" t="str" cm="1">
        <f t="array" ref="M787">_xlfn.IFS(L787=0,"Out of Stock",L787&gt;=2,"Limited Stock",L787&lt;2,"In Stock")</f>
        <v>Limited Stock</v>
      </c>
    </row>
    <row r="788" spans="2:13">
      <c r="B788" s="2" t="s">
        <v>1353</v>
      </c>
      <c r="C788" s="5" t="str">
        <f>_xlfn.XLOOKUP(B788,Master[Product_Code],Master[Category])</f>
        <v>Pants</v>
      </c>
      <c r="D788" s="2" t="str">
        <f>_xlfn.XLOOKUP(B788,Master[Product_Code],Master[Brand])</f>
        <v>Peter England</v>
      </c>
      <c r="E788" s="2" t="str">
        <f>_xlfn.XLOOKUP(B788,Master[Product_Code],Master[Style])</f>
        <v>Jogger</v>
      </c>
      <c r="F788" s="2" t="str">
        <f>_xlfn.XLOOKUP(B788,Master[Product_Code],Master[Fabric])</f>
        <v>Poly Viscose</v>
      </c>
      <c r="G788" s="2">
        <f>_xlfn.XLOOKUP(B788,Master[Product_Code],Master[Size])</f>
        <v>30</v>
      </c>
      <c r="H788" s="2" t="str">
        <f>_xlfn.XLOOKUP(B788,Master[Product_Code],Master[Color])</f>
        <v>Royal Blue</v>
      </c>
      <c r="I788" s="4">
        <f>_xlfn.XLOOKUP(B788,Master[Product_Code],Master[Stock_Qty])</f>
        <v>6</v>
      </c>
      <c r="J788" s="6">
        <f>SUMIFS(
  Sales_Entry[Qty],
  Sales_Entry[Product_Code], Stock_Table[[#This Row],[Product_Code]]
)</f>
        <v>1</v>
      </c>
      <c r="K788" s="4">
        <f>SUMIFS(
  Exchange_Return[Qty],
  Exchange_Return[Product_Code], Stock_Table[[#This Row],[Product_Code]]
)</f>
        <v>0</v>
      </c>
      <c r="L788" s="4">
        <f>I788-J788+K788</f>
        <v>5</v>
      </c>
      <c r="M788" s="2" t="str" cm="1">
        <f t="array" ref="M788">_xlfn.IFS(L788=0,"Out of Stock",L788&gt;=2,"Limited Stock",L788&lt;2,"In Stock")</f>
        <v>Limited Stock</v>
      </c>
    </row>
    <row r="789" spans="2:13">
      <c r="B789" s="2" t="s">
        <v>1354</v>
      </c>
      <c r="C789" s="5" t="str">
        <f>_xlfn.XLOOKUP(B789,Master[Product_Code],Master[Category])</f>
        <v>Pants</v>
      </c>
      <c r="D789" s="2" t="str">
        <f>_xlfn.XLOOKUP(B789,Master[Product_Code],Master[Brand])</f>
        <v>Raymond</v>
      </c>
      <c r="E789" s="2" t="str">
        <f>_xlfn.XLOOKUP(B789,Master[Product_Code],Master[Style])</f>
        <v>Korean</v>
      </c>
      <c r="F789" s="2" t="str">
        <f>_xlfn.XLOOKUP(B789,Master[Product_Code],Master[Fabric])</f>
        <v>Lycra</v>
      </c>
      <c r="G789" s="2">
        <f>_xlfn.XLOOKUP(B789,Master[Product_Code],Master[Size])</f>
        <v>36</v>
      </c>
      <c r="H789" s="2" t="str">
        <f>_xlfn.XLOOKUP(B789,Master[Product_Code],Master[Color])</f>
        <v>White</v>
      </c>
      <c r="I789" s="4">
        <f>_xlfn.XLOOKUP(B789,Master[Product_Code],Master[Stock_Qty])</f>
        <v>4</v>
      </c>
      <c r="J789" s="6">
        <f>SUMIFS(
  Sales_Entry[Qty],
  Sales_Entry[Product_Code], Stock_Table[[#This Row],[Product_Code]]
)</f>
        <v>2</v>
      </c>
      <c r="K789" s="4">
        <f>SUMIFS(
  Exchange_Return[Qty],
  Exchange_Return[Product_Code], Stock_Table[[#This Row],[Product_Code]]
)</f>
        <v>0</v>
      </c>
      <c r="L789" s="4">
        <f>I789-J789+K789</f>
        <v>2</v>
      </c>
      <c r="M789" s="2" t="str" cm="1">
        <f t="array" ref="M789">_xlfn.IFS(L789=0,"Out of Stock",L789&gt;=2,"Limited Stock",L789&lt;2,"In Stock")</f>
        <v>Limited Stock</v>
      </c>
    </row>
    <row r="790" spans="2:13">
      <c r="B790" s="2" t="s">
        <v>1355</v>
      </c>
      <c r="C790" s="5" t="str">
        <f>_xlfn.XLOOKUP(B790,Master[Product_Code],Master[Category])</f>
        <v>Pants</v>
      </c>
      <c r="D790" s="2" t="str">
        <f>_xlfn.XLOOKUP(B790,Master[Product_Code],Master[Brand])</f>
        <v>Van Heusen</v>
      </c>
      <c r="E790" s="2" t="str">
        <f>_xlfn.XLOOKUP(B790,Master[Product_Code],Master[Style])</f>
        <v>Korean</v>
      </c>
      <c r="F790" s="2" t="str">
        <f>_xlfn.XLOOKUP(B790,Master[Product_Code],Master[Fabric])</f>
        <v>Lycra</v>
      </c>
      <c r="G790" s="2">
        <f>_xlfn.XLOOKUP(B790,Master[Product_Code],Master[Size])</f>
        <v>36</v>
      </c>
      <c r="H790" s="2" t="str">
        <f>_xlfn.XLOOKUP(B790,Master[Product_Code],Master[Color])</f>
        <v>Brown</v>
      </c>
      <c r="I790" s="4">
        <f>_xlfn.XLOOKUP(B790,Master[Product_Code],Master[Stock_Qty])</f>
        <v>6</v>
      </c>
      <c r="J790" s="6">
        <f>SUMIFS(
  Sales_Entry[Qty],
  Sales_Entry[Product_Code], Stock_Table[[#This Row],[Product_Code]]
)</f>
        <v>2</v>
      </c>
      <c r="K790" s="4">
        <f>SUMIFS(
  Exchange_Return[Qty],
  Exchange_Return[Product_Code], Stock_Table[[#This Row],[Product_Code]]
)</f>
        <v>0</v>
      </c>
      <c r="L790" s="4">
        <f>I790-J790+K790</f>
        <v>4</v>
      </c>
      <c r="M790" s="2" t="str" cm="1">
        <f t="array" ref="M790">_xlfn.IFS(L790=0,"Out of Stock",L790&gt;=2,"Limited Stock",L790&lt;2,"In Stock")</f>
        <v>Limited Stock</v>
      </c>
    </row>
    <row r="791" spans="2:13">
      <c r="B791" s="2" t="s">
        <v>1356</v>
      </c>
      <c r="C791" s="5" t="str">
        <f>_xlfn.XLOOKUP(B791,Master[Product_Code],Master[Category])</f>
        <v>Pants</v>
      </c>
      <c r="D791" s="2" t="str">
        <f>_xlfn.XLOOKUP(B791,Master[Product_Code],Master[Brand])</f>
        <v>Peter England</v>
      </c>
      <c r="E791" s="2" t="str">
        <f>_xlfn.XLOOKUP(B791,Master[Product_Code],Master[Style])</f>
        <v>Kurka</v>
      </c>
      <c r="F791" s="2" t="str">
        <f>_xlfn.XLOOKUP(B791,Master[Product_Code],Master[Fabric])</f>
        <v>Lycra</v>
      </c>
      <c r="G791" s="2">
        <f>_xlfn.XLOOKUP(B791,Master[Product_Code],Master[Size])</f>
        <v>40</v>
      </c>
      <c r="H791" s="2" t="str">
        <f>_xlfn.XLOOKUP(B791,Master[Product_Code],Master[Color])</f>
        <v>White</v>
      </c>
      <c r="I791" s="4">
        <f>_xlfn.XLOOKUP(B791,Master[Product_Code],Master[Stock_Qty])</f>
        <v>5</v>
      </c>
      <c r="J791" s="6">
        <f>SUMIFS(
  Sales_Entry[Qty],
  Sales_Entry[Product_Code], Stock_Table[[#This Row],[Product_Code]]
)</f>
        <v>4</v>
      </c>
      <c r="K791" s="4">
        <f>SUMIFS(
  Exchange_Return[Qty],
  Exchange_Return[Product_Code], Stock_Table[[#This Row],[Product_Code]]
)</f>
        <v>0</v>
      </c>
      <c r="L791" s="4">
        <f>I791-J791+K791</f>
        <v>1</v>
      </c>
      <c r="M791" s="2" t="str" cm="1">
        <f t="array" ref="M791">_xlfn.IFS(L791=0,"Out of Stock",L791&gt;=2,"Limited Stock",L791&lt;2,"In Stock")</f>
        <v>In Stock</v>
      </c>
    </row>
    <row r="792" spans="2:13">
      <c r="B792" s="2" t="s">
        <v>1357</v>
      </c>
      <c r="C792" s="5" t="str">
        <f>_xlfn.XLOOKUP(B792,Master[Product_Code],Master[Category])</f>
        <v>Pants</v>
      </c>
      <c r="D792" s="2" t="str">
        <f>_xlfn.XLOOKUP(B792,Master[Product_Code],Master[Brand])</f>
        <v>Peter England</v>
      </c>
      <c r="E792" s="2" t="str">
        <f>_xlfn.XLOOKUP(B792,Master[Product_Code],Master[Style])</f>
        <v>Kurka</v>
      </c>
      <c r="F792" s="2" t="str">
        <f>_xlfn.XLOOKUP(B792,Master[Product_Code],Master[Fabric])</f>
        <v>Lycra</v>
      </c>
      <c r="G792" s="2">
        <f>_xlfn.XLOOKUP(B792,Master[Product_Code],Master[Size])</f>
        <v>42</v>
      </c>
      <c r="H792" s="2" t="str">
        <f>_xlfn.XLOOKUP(B792,Master[Product_Code],Master[Color])</f>
        <v>Black</v>
      </c>
      <c r="I792" s="4">
        <f>_xlfn.XLOOKUP(B792,Master[Product_Code],Master[Stock_Qty])</f>
        <v>3</v>
      </c>
      <c r="J792" s="6">
        <f>SUMIFS(
  Sales_Entry[Qty],
  Sales_Entry[Product_Code], Stock_Table[[#This Row],[Product_Code]]
)</f>
        <v>0</v>
      </c>
      <c r="K792" s="4">
        <f>SUMIFS(
  Exchange_Return[Qty],
  Exchange_Return[Product_Code], Stock_Table[[#This Row],[Product_Code]]
)</f>
        <v>0</v>
      </c>
      <c r="L792" s="4">
        <f>I792-J792+K792</f>
        <v>3</v>
      </c>
      <c r="M792" s="2" t="str" cm="1">
        <f t="array" ref="M792">_xlfn.IFS(L792=0,"Out of Stock",L792&gt;=2,"Limited Stock",L792&lt;2,"In Stock")</f>
        <v>Limited Stock</v>
      </c>
    </row>
    <row r="793" spans="2:13">
      <c r="B793" s="2" t="s">
        <v>1358</v>
      </c>
      <c r="C793" s="5" t="str">
        <f>_xlfn.XLOOKUP(B793,Master[Product_Code],Master[Category])</f>
        <v>Pants</v>
      </c>
      <c r="D793" s="2" t="str">
        <f>_xlfn.XLOOKUP(B793,Master[Product_Code],Master[Brand])</f>
        <v>Van Heusen</v>
      </c>
      <c r="E793" s="2" t="str">
        <f>_xlfn.XLOOKUP(B793,Master[Product_Code],Master[Style])</f>
        <v>Polofit</v>
      </c>
      <c r="F793" s="2" t="str">
        <f>_xlfn.XLOOKUP(B793,Master[Product_Code],Master[Fabric])</f>
        <v>Lycra</v>
      </c>
      <c r="G793" s="2">
        <f>_xlfn.XLOOKUP(B793,Master[Product_Code],Master[Size])</f>
        <v>40</v>
      </c>
      <c r="H793" s="2" t="str">
        <f>_xlfn.XLOOKUP(B793,Master[Product_Code],Master[Color])</f>
        <v>Peach</v>
      </c>
      <c r="I793" s="4">
        <f>_xlfn.XLOOKUP(B793,Master[Product_Code],Master[Stock_Qty])</f>
        <v>5</v>
      </c>
      <c r="J793" s="6">
        <f>SUMIFS(
  Sales_Entry[Qty],
  Sales_Entry[Product_Code], Stock_Table[[#This Row],[Product_Code]]
)</f>
        <v>1</v>
      </c>
      <c r="K793" s="4">
        <f>SUMIFS(
  Exchange_Return[Qty],
  Exchange_Return[Product_Code], Stock_Table[[#This Row],[Product_Code]]
)</f>
        <v>0</v>
      </c>
      <c r="L793" s="4">
        <f>I793-J793+K793</f>
        <v>4</v>
      </c>
      <c r="M793" s="2" t="str" cm="1">
        <f t="array" ref="M793">_xlfn.IFS(L793=0,"Out of Stock",L793&gt;=2,"Limited Stock",L793&lt;2,"In Stock")</f>
        <v>Limited Stock</v>
      </c>
    </row>
    <row r="794" spans="2:13">
      <c r="B794" s="2" t="s">
        <v>1359</v>
      </c>
      <c r="C794" s="5" t="str">
        <f>_xlfn.XLOOKUP(B794,Master[Product_Code],Master[Category])</f>
        <v>Pants</v>
      </c>
      <c r="D794" s="2" t="str">
        <f>_xlfn.XLOOKUP(B794,Master[Product_Code],Master[Brand])</f>
        <v>Louis Philippe</v>
      </c>
      <c r="E794" s="2" t="str">
        <f>_xlfn.XLOOKUP(B794,Master[Product_Code],Master[Style])</f>
        <v>Korean</v>
      </c>
      <c r="F794" s="2" t="str">
        <f>_xlfn.XLOOKUP(B794,Master[Product_Code],Master[Fabric])</f>
        <v>Lycra</v>
      </c>
      <c r="G794" s="2">
        <f>_xlfn.XLOOKUP(B794,Master[Product_Code],Master[Size])</f>
        <v>42</v>
      </c>
      <c r="H794" s="2" t="str">
        <f>_xlfn.XLOOKUP(B794,Master[Product_Code],Master[Color])</f>
        <v>Royal Blue</v>
      </c>
      <c r="I794" s="4">
        <f>_xlfn.XLOOKUP(B794,Master[Product_Code],Master[Stock_Qty])</f>
        <v>4</v>
      </c>
      <c r="J794" s="6">
        <f>SUMIFS(
  Sales_Entry[Qty],
  Sales_Entry[Product_Code], Stock_Table[[#This Row],[Product_Code]]
)</f>
        <v>4</v>
      </c>
      <c r="K794" s="4">
        <f>SUMIFS(
  Exchange_Return[Qty],
  Exchange_Return[Product_Code], Stock_Table[[#This Row],[Product_Code]]
)</f>
        <v>0</v>
      </c>
      <c r="L794" s="4">
        <f>I794-J794+K794</f>
        <v>0</v>
      </c>
      <c r="M794" s="2" t="str" cm="1">
        <f t="array" ref="M794">_xlfn.IFS(L794=0,"Out of Stock",L794&gt;=2,"Limited Stock",L794&lt;2,"In Stock")</f>
        <v>Out of Stock</v>
      </c>
    </row>
    <row r="795" spans="2:13">
      <c r="B795" s="2" t="s">
        <v>1360</v>
      </c>
      <c r="C795" s="5" t="str">
        <f>_xlfn.XLOOKUP(B795,Master[Product_Code],Master[Category])</f>
        <v>Pants</v>
      </c>
      <c r="D795" s="2" t="str">
        <f>_xlfn.XLOOKUP(B795,Master[Product_Code],Master[Brand])</f>
        <v>Park Avenue</v>
      </c>
      <c r="E795" s="2" t="str">
        <f>_xlfn.XLOOKUP(B795,Master[Product_Code],Master[Style])</f>
        <v>Boot Cut</v>
      </c>
      <c r="F795" s="2" t="str">
        <f>_xlfn.XLOOKUP(B795,Master[Product_Code],Master[Fabric])</f>
        <v>Poly Viscose</v>
      </c>
      <c r="G795" s="2">
        <f>_xlfn.XLOOKUP(B795,Master[Product_Code],Master[Size])</f>
        <v>42</v>
      </c>
      <c r="H795" s="2" t="str">
        <f>_xlfn.XLOOKUP(B795,Master[Product_Code],Master[Color])</f>
        <v>Maroon</v>
      </c>
      <c r="I795" s="4">
        <f>_xlfn.XLOOKUP(B795,Master[Product_Code],Master[Stock_Qty])</f>
        <v>5</v>
      </c>
      <c r="J795" s="6">
        <f>SUMIFS(
  Sales_Entry[Qty],
  Sales_Entry[Product_Code], Stock_Table[[#This Row],[Product_Code]]
)</f>
        <v>3</v>
      </c>
      <c r="K795" s="4">
        <f>SUMIFS(
  Exchange_Return[Qty],
  Exchange_Return[Product_Code], Stock_Table[[#This Row],[Product_Code]]
)</f>
        <v>0</v>
      </c>
      <c r="L795" s="4">
        <f>I795-J795+K795</f>
        <v>2</v>
      </c>
      <c r="M795" s="2" t="str" cm="1">
        <f t="array" ref="M795">_xlfn.IFS(L795=0,"Out of Stock",L795&gt;=2,"Limited Stock",L795&lt;2,"In Stock")</f>
        <v>Limited Stock</v>
      </c>
    </row>
    <row r="796" spans="2:13">
      <c r="B796" s="2" t="s">
        <v>1361</v>
      </c>
      <c r="C796" s="5" t="str">
        <f>_xlfn.XLOOKUP(B796,Master[Product_Code],Master[Category])</f>
        <v>Pants</v>
      </c>
      <c r="D796" s="2" t="str">
        <f>_xlfn.XLOOKUP(B796,Master[Product_Code],Master[Brand])</f>
        <v>Park Avenue</v>
      </c>
      <c r="E796" s="2" t="str">
        <f>_xlfn.XLOOKUP(B796,Master[Product_Code],Master[Style])</f>
        <v>Jogger</v>
      </c>
      <c r="F796" s="2" t="str">
        <f>_xlfn.XLOOKUP(B796,Master[Product_Code],Master[Fabric])</f>
        <v>Poly Viscose</v>
      </c>
      <c r="G796" s="2">
        <f>_xlfn.XLOOKUP(B796,Master[Product_Code],Master[Size])</f>
        <v>40</v>
      </c>
      <c r="H796" s="2" t="str">
        <f>_xlfn.XLOOKUP(B796,Master[Product_Code],Master[Color])</f>
        <v>Charcoal</v>
      </c>
      <c r="I796" s="4">
        <f>_xlfn.XLOOKUP(B796,Master[Product_Code],Master[Stock_Qty])</f>
        <v>6</v>
      </c>
      <c r="J796" s="6">
        <f>SUMIFS(
  Sales_Entry[Qty],
  Sales_Entry[Product_Code], Stock_Table[[#This Row],[Product_Code]]
)</f>
        <v>0</v>
      </c>
      <c r="K796" s="4">
        <f>SUMIFS(
  Exchange_Return[Qty],
  Exchange_Return[Product_Code], Stock_Table[[#This Row],[Product_Code]]
)</f>
        <v>0</v>
      </c>
      <c r="L796" s="4">
        <f>I796-J796+K796</f>
        <v>6</v>
      </c>
      <c r="M796" s="2" t="str" cm="1">
        <f t="array" ref="M796">_xlfn.IFS(L796=0,"Out of Stock",L796&gt;=2,"Limited Stock",L796&lt;2,"In Stock")</f>
        <v>Limited Stock</v>
      </c>
    </row>
    <row r="797" spans="2:13">
      <c r="B797" s="2" t="s">
        <v>1362</v>
      </c>
      <c r="C797" s="5" t="str">
        <f>_xlfn.XLOOKUP(B797,Master[Product_Code],Master[Category])</f>
        <v>Pants</v>
      </c>
      <c r="D797" s="2" t="str">
        <f>_xlfn.XLOOKUP(B797,Master[Product_Code],Master[Brand])</f>
        <v>Park Avenue</v>
      </c>
      <c r="E797" s="2" t="str">
        <f>_xlfn.XLOOKUP(B797,Master[Product_Code],Master[Style])</f>
        <v>Polofit</v>
      </c>
      <c r="F797" s="2" t="str">
        <f>_xlfn.XLOOKUP(B797,Master[Product_Code],Master[Fabric])</f>
        <v>Lycra</v>
      </c>
      <c r="G797" s="2">
        <f>_xlfn.XLOOKUP(B797,Master[Product_Code],Master[Size])</f>
        <v>42</v>
      </c>
      <c r="H797" s="2" t="str">
        <f>_xlfn.XLOOKUP(B797,Master[Product_Code],Master[Color])</f>
        <v>Beige</v>
      </c>
      <c r="I797" s="4">
        <f>_xlfn.XLOOKUP(B797,Master[Product_Code],Master[Stock_Qty])</f>
        <v>3</v>
      </c>
      <c r="J797" s="6">
        <f>SUMIFS(
  Sales_Entry[Qty],
  Sales_Entry[Product_Code], Stock_Table[[#This Row],[Product_Code]]
)</f>
        <v>2</v>
      </c>
      <c r="K797" s="4">
        <f>SUMIFS(
  Exchange_Return[Qty],
  Exchange_Return[Product_Code], Stock_Table[[#This Row],[Product_Code]]
)</f>
        <v>0</v>
      </c>
      <c r="L797" s="4">
        <f>I797-J797+K797</f>
        <v>1</v>
      </c>
      <c r="M797" s="2" t="str" cm="1">
        <f t="array" ref="M797">_xlfn.IFS(L797=0,"Out of Stock",L797&gt;=2,"Limited Stock",L797&lt;2,"In Stock")</f>
        <v>In Stock</v>
      </c>
    </row>
    <row r="798" spans="2:13">
      <c r="B798" s="2" t="s">
        <v>1363</v>
      </c>
      <c r="C798" s="5" t="str">
        <f>_xlfn.XLOOKUP(B798,Master[Product_Code],Master[Category])</f>
        <v>Pants</v>
      </c>
      <c r="D798" s="2" t="str">
        <f>_xlfn.XLOOKUP(B798,Master[Product_Code],Master[Brand])</f>
        <v>Raymond</v>
      </c>
      <c r="E798" s="2" t="str">
        <f>_xlfn.XLOOKUP(B798,Master[Product_Code],Master[Style])</f>
        <v>Jogger</v>
      </c>
      <c r="F798" s="2" t="str">
        <f>_xlfn.XLOOKUP(B798,Master[Product_Code],Master[Fabric])</f>
        <v>Cotton Blend</v>
      </c>
      <c r="G798" s="2">
        <f>_xlfn.XLOOKUP(B798,Master[Product_Code],Master[Size])</f>
        <v>36</v>
      </c>
      <c r="H798" s="2" t="str">
        <f>_xlfn.XLOOKUP(B798,Master[Product_Code],Master[Color])</f>
        <v>Dark Green</v>
      </c>
      <c r="I798" s="4">
        <f>_xlfn.XLOOKUP(B798,Master[Product_Code],Master[Stock_Qty])</f>
        <v>3</v>
      </c>
      <c r="J798" s="6">
        <f>SUMIFS(
  Sales_Entry[Qty],
  Sales_Entry[Product_Code], Stock_Table[[#This Row],[Product_Code]]
)</f>
        <v>3</v>
      </c>
      <c r="K798" s="4">
        <f>SUMIFS(
  Exchange_Return[Qty],
  Exchange_Return[Product_Code], Stock_Table[[#This Row],[Product_Code]]
)</f>
        <v>0</v>
      </c>
      <c r="L798" s="4">
        <f>I798-J798+K798</f>
        <v>0</v>
      </c>
      <c r="M798" s="2" t="str" cm="1">
        <f t="array" ref="M798">_xlfn.IFS(L798=0,"Out of Stock",L798&gt;=2,"Limited Stock",L798&lt;2,"In Stock")</f>
        <v>Out of Stock</v>
      </c>
    </row>
    <row r="799" spans="2:13">
      <c r="B799" s="2" t="s">
        <v>1364</v>
      </c>
      <c r="C799" s="5" t="str">
        <f>_xlfn.XLOOKUP(B799,Master[Product_Code],Master[Category])</f>
        <v>Pants</v>
      </c>
      <c r="D799" s="2" t="str">
        <f>_xlfn.XLOOKUP(B799,Master[Product_Code],Master[Brand])</f>
        <v>Park Avenue</v>
      </c>
      <c r="E799" s="2" t="str">
        <f>_xlfn.XLOOKUP(B799,Master[Product_Code],Master[Style])</f>
        <v>Polofit</v>
      </c>
      <c r="F799" s="2" t="str">
        <f>_xlfn.XLOOKUP(B799,Master[Product_Code],Master[Fabric])</f>
        <v>Lycra</v>
      </c>
      <c r="G799" s="2">
        <f>_xlfn.XLOOKUP(B799,Master[Product_Code],Master[Size])</f>
        <v>44</v>
      </c>
      <c r="H799" s="2" t="str">
        <f>_xlfn.XLOOKUP(B799,Master[Product_Code],Master[Color])</f>
        <v>Light Grey</v>
      </c>
      <c r="I799" s="4">
        <f>_xlfn.XLOOKUP(B799,Master[Product_Code],Master[Stock_Qty])</f>
        <v>3</v>
      </c>
      <c r="J799" s="6">
        <f>SUMIFS(
  Sales_Entry[Qty],
  Sales_Entry[Product_Code], Stock_Table[[#This Row],[Product_Code]]
)</f>
        <v>1</v>
      </c>
      <c r="K799" s="4">
        <f>SUMIFS(
  Exchange_Return[Qty],
  Exchange_Return[Product_Code], Stock_Table[[#This Row],[Product_Code]]
)</f>
        <v>0</v>
      </c>
      <c r="L799" s="4">
        <f>I799-J799+K799</f>
        <v>2</v>
      </c>
      <c r="M799" s="2" t="str" cm="1">
        <f t="array" ref="M799">_xlfn.IFS(L799=0,"Out of Stock",L799&gt;=2,"Limited Stock",L799&lt;2,"In Stock")</f>
        <v>Limited Stock</v>
      </c>
    </row>
    <row r="800" spans="2:13">
      <c r="B800" s="2" t="s">
        <v>1365</v>
      </c>
      <c r="C800" s="5" t="str">
        <f>_xlfn.XLOOKUP(B800,Master[Product_Code],Master[Category])</f>
        <v>Pants</v>
      </c>
      <c r="D800" s="2" t="str">
        <f>_xlfn.XLOOKUP(B800,Master[Product_Code],Master[Brand])</f>
        <v>Park Avenue</v>
      </c>
      <c r="E800" s="2" t="str">
        <f>_xlfn.XLOOKUP(B800,Master[Product_Code],Master[Style])</f>
        <v>Kurka</v>
      </c>
      <c r="F800" s="2" t="str">
        <f>_xlfn.XLOOKUP(B800,Master[Product_Code],Master[Fabric])</f>
        <v>Lycra</v>
      </c>
      <c r="G800" s="2">
        <f>_xlfn.XLOOKUP(B800,Master[Product_Code],Master[Size])</f>
        <v>44</v>
      </c>
      <c r="H800" s="2" t="str">
        <f>_xlfn.XLOOKUP(B800,Master[Product_Code],Master[Color])</f>
        <v>Black</v>
      </c>
      <c r="I800" s="4">
        <f>_xlfn.XLOOKUP(B800,Master[Product_Code],Master[Stock_Qty])</f>
        <v>3</v>
      </c>
      <c r="J800" s="6">
        <f>SUMIFS(
  Sales_Entry[Qty],
  Sales_Entry[Product_Code], Stock_Table[[#This Row],[Product_Code]]
)</f>
        <v>1</v>
      </c>
      <c r="K800" s="4">
        <f>SUMIFS(
  Exchange_Return[Qty],
  Exchange_Return[Product_Code], Stock_Table[[#This Row],[Product_Code]]
)</f>
        <v>0</v>
      </c>
      <c r="L800" s="4">
        <f>I800-J800+K800</f>
        <v>2</v>
      </c>
      <c r="M800" s="2" t="str" cm="1">
        <f t="array" ref="M800">_xlfn.IFS(L800=0,"Out of Stock",L800&gt;=2,"Limited Stock",L800&lt;2,"In Stock")</f>
        <v>Limited Stock</v>
      </c>
    </row>
    <row r="801" spans="2:13">
      <c r="B801" s="2" t="s">
        <v>1366</v>
      </c>
      <c r="C801" s="5" t="str">
        <f>_xlfn.XLOOKUP(B801,Master[Product_Code],Master[Category])</f>
        <v>Pants</v>
      </c>
      <c r="D801" s="2" t="str">
        <f>_xlfn.XLOOKUP(B801,Master[Product_Code],Master[Brand])</f>
        <v>Park Avenue</v>
      </c>
      <c r="E801" s="2" t="str">
        <f>_xlfn.XLOOKUP(B801,Master[Product_Code],Master[Style])</f>
        <v>Kurka</v>
      </c>
      <c r="F801" s="2" t="str">
        <f>_xlfn.XLOOKUP(B801,Master[Product_Code],Master[Fabric])</f>
        <v>Lycra</v>
      </c>
      <c r="G801" s="2">
        <f>_xlfn.XLOOKUP(B801,Master[Product_Code],Master[Size])</f>
        <v>36</v>
      </c>
      <c r="H801" s="2" t="str">
        <f>_xlfn.XLOOKUP(B801,Master[Product_Code],Master[Color])</f>
        <v>Grey</v>
      </c>
      <c r="I801" s="4">
        <f>_xlfn.XLOOKUP(B801,Master[Product_Code],Master[Stock_Qty])</f>
        <v>4</v>
      </c>
      <c r="J801" s="6">
        <f>SUMIFS(
  Sales_Entry[Qty],
  Sales_Entry[Product_Code], Stock_Table[[#This Row],[Product_Code]]
)</f>
        <v>0</v>
      </c>
      <c r="K801" s="4">
        <f>SUMIFS(
  Exchange_Return[Qty],
  Exchange_Return[Product_Code], Stock_Table[[#This Row],[Product_Code]]
)</f>
        <v>0</v>
      </c>
      <c r="L801" s="4">
        <f>I801-J801+K801</f>
        <v>4</v>
      </c>
      <c r="M801" s="2" t="str" cm="1">
        <f t="array" ref="M801">_xlfn.IFS(L801=0,"Out of Stock",L801&gt;=2,"Limited Stock",L801&lt;2,"In Stock")</f>
        <v>Limited Stock</v>
      </c>
    </row>
    <row r="802" spans="2:13">
      <c r="B802" s="2" t="s">
        <v>1367</v>
      </c>
      <c r="C802" s="5" t="str">
        <f>_xlfn.XLOOKUP(B802,Master[Product_Code],Master[Category])</f>
        <v>Pants</v>
      </c>
      <c r="D802" s="2" t="str">
        <f>_xlfn.XLOOKUP(B802,Master[Product_Code],Master[Brand])</f>
        <v>Park Avenue</v>
      </c>
      <c r="E802" s="2" t="str">
        <f>_xlfn.XLOOKUP(B802,Master[Product_Code],Master[Style])</f>
        <v>Boot Cut</v>
      </c>
      <c r="F802" s="2" t="str">
        <f>_xlfn.XLOOKUP(B802,Master[Product_Code],Master[Fabric])</f>
        <v>Cotton</v>
      </c>
      <c r="G802" s="2">
        <f>_xlfn.XLOOKUP(B802,Master[Product_Code],Master[Size])</f>
        <v>44</v>
      </c>
      <c r="H802" s="2" t="str">
        <f>_xlfn.XLOOKUP(B802,Master[Product_Code],Master[Color])</f>
        <v>Royal Blue</v>
      </c>
      <c r="I802" s="4">
        <f>_xlfn.XLOOKUP(B802,Master[Product_Code],Master[Stock_Qty])</f>
        <v>5</v>
      </c>
      <c r="J802" s="6">
        <f>SUMIFS(
  Sales_Entry[Qty],
  Sales_Entry[Product_Code], Stock_Table[[#This Row],[Product_Code]]
)</f>
        <v>2</v>
      </c>
      <c r="K802" s="4">
        <f>SUMIFS(
  Exchange_Return[Qty],
  Exchange_Return[Product_Code], Stock_Table[[#This Row],[Product_Code]]
)</f>
        <v>0</v>
      </c>
      <c r="L802" s="4">
        <f>I802-J802+K802</f>
        <v>3</v>
      </c>
      <c r="M802" s="2" t="str" cm="1">
        <f t="array" ref="M802">_xlfn.IFS(L802=0,"Out of Stock",L802&gt;=2,"Limited Stock",L802&lt;2,"In Stock")</f>
        <v>Limited Stock</v>
      </c>
    </row>
    <row r="803" spans="2:13">
      <c r="B803" s="2" t="s">
        <v>1368</v>
      </c>
      <c r="C803" s="5" t="str">
        <f>_xlfn.XLOOKUP(B803,Master[Product_Code],Master[Category])</f>
        <v>Pants</v>
      </c>
      <c r="D803" s="2" t="str">
        <f>_xlfn.XLOOKUP(B803,Master[Product_Code],Master[Brand])</f>
        <v>Park Avenue</v>
      </c>
      <c r="E803" s="2" t="str">
        <f>_xlfn.XLOOKUP(B803,Master[Product_Code],Master[Style])</f>
        <v>Polofit</v>
      </c>
      <c r="F803" s="2" t="str">
        <f>_xlfn.XLOOKUP(B803,Master[Product_Code],Master[Fabric])</f>
        <v>Lycra</v>
      </c>
      <c r="G803" s="2">
        <f>_xlfn.XLOOKUP(B803,Master[Product_Code],Master[Size])</f>
        <v>28</v>
      </c>
      <c r="H803" s="2" t="str">
        <f>_xlfn.XLOOKUP(B803,Master[Product_Code],Master[Color])</f>
        <v>Mustard</v>
      </c>
      <c r="I803" s="4">
        <f>_xlfn.XLOOKUP(B803,Master[Product_Code],Master[Stock_Qty])</f>
        <v>6</v>
      </c>
      <c r="J803" s="6">
        <f>SUMIFS(
  Sales_Entry[Qty],
  Sales_Entry[Product_Code], Stock_Table[[#This Row],[Product_Code]]
)</f>
        <v>1</v>
      </c>
      <c r="K803" s="4">
        <f>SUMIFS(
  Exchange_Return[Qty],
  Exchange_Return[Product_Code], Stock_Table[[#This Row],[Product_Code]]
)</f>
        <v>0</v>
      </c>
      <c r="L803" s="4">
        <f>I803-J803+K803</f>
        <v>5</v>
      </c>
      <c r="M803" s="2" t="str" cm="1">
        <f t="array" ref="M803">_xlfn.IFS(L803=0,"Out of Stock",L803&gt;=2,"Limited Stock",L803&lt;2,"In Stock")</f>
        <v>Limited Stock</v>
      </c>
    </row>
    <row r="804" spans="2:13">
      <c r="B804" s="2" t="s">
        <v>1369</v>
      </c>
      <c r="C804" s="5" t="str">
        <f>_xlfn.XLOOKUP(B804,Master[Product_Code],Master[Category])</f>
        <v>Pants</v>
      </c>
      <c r="D804" s="2" t="str">
        <f>_xlfn.XLOOKUP(B804,Master[Product_Code],Master[Brand])</f>
        <v>Louis Philippe</v>
      </c>
      <c r="E804" s="2" t="str">
        <f>_xlfn.XLOOKUP(B804,Master[Product_Code],Master[Style])</f>
        <v>Polofit</v>
      </c>
      <c r="F804" s="2" t="str">
        <f>_xlfn.XLOOKUP(B804,Master[Product_Code],Master[Fabric])</f>
        <v>Lycra</v>
      </c>
      <c r="G804" s="2">
        <f>_xlfn.XLOOKUP(B804,Master[Product_Code],Master[Size])</f>
        <v>38</v>
      </c>
      <c r="H804" s="2" t="str">
        <f>_xlfn.XLOOKUP(B804,Master[Product_Code],Master[Color])</f>
        <v>Rust</v>
      </c>
      <c r="I804" s="4">
        <f>_xlfn.XLOOKUP(B804,Master[Product_Code],Master[Stock_Qty])</f>
        <v>5</v>
      </c>
      <c r="J804" s="6">
        <f>SUMIFS(
  Sales_Entry[Qty],
  Sales_Entry[Product_Code], Stock_Table[[#This Row],[Product_Code]]
)</f>
        <v>1</v>
      </c>
      <c r="K804" s="4">
        <f>SUMIFS(
  Exchange_Return[Qty],
  Exchange_Return[Product_Code], Stock_Table[[#This Row],[Product_Code]]
)</f>
        <v>0</v>
      </c>
      <c r="L804" s="4">
        <f>I804-J804+K804</f>
        <v>4</v>
      </c>
      <c r="M804" s="2" t="str" cm="1">
        <f t="array" ref="M804">_xlfn.IFS(L804=0,"Out of Stock",L804&gt;=2,"Limited Stock",L804&lt;2,"In Stock")</f>
        <v>Limited Stock</v>
      </c>
    </row>
    <row r="805" spans="2:13">
      <c r="B805" s="2" t="s">
        <v>1370</v>
      </c>
      <c r="C805" s="5" t="str">
        <f>_xlfn.XLOOKUP(B805,Master[Product_Code],Master[Category])</f>
        <v>Pants</v>
      </c>
      <c r="D805" s="2" t="str">
        <f>_xlfn.XLOOKUP(B805,Master[Product_Code],Master[Brand])</f>
        <v>Raymond</v>
      </c>
      <c r="E805" s="2" t="str">
        <f>_xlfn.XLOOKUP(B805,Master[Product_Code],Master[Style])</f>
        <v>Polofit</v>
      </c>
      <c r="F805" s="2" t="str">
        <f>_xlfn.XLOOKUP(B805,Master[Product_Code],Master[Fabric])</f>
        <v>Lycra</v>
      </c>
      <c r="G805" s="2">
        <f>_xlfn.XLOOKUP(B805,Master[Product_Code],Master[Size])</f>
        <v>32</v>
      </c>
      <c r="H805" s="2" t="str">
        <f>_xlfn.XLOOKUP(B805,Master[Product_Code],Master[Color])</f>
        <v>Brown</v>
      </c>
      <c r="I805" s="4">
        <f>_xlfn.XLOOKUP(B805,Master[Product_Code],Master[Stock_Qty])</f>
        <v>4</v>
      </c>
      <c r="J805" s="6">
        <f>SUMIFS(
  Sales_Entry[Qty],
  Sales_Entry[Product_Code], Stock_Table[[#This Row],[Product_Code]]
)</f>
        <v>0</v>
      </c>
      <c r="K805" s="4">
        <f>SUMIFS(
  Exchange_Return[Qty],
  Exchange_Return[Product_Code], Stock_Table[[#This Row],[Product_Code]]
)</f>
        <v>0</v>
      </c>
      <c r="L805" s="4">
        <f>I805-J805+K805</f>
        <v>4</v>
      </c>
      <c r="M805" s="2" t="str" cm="1">
        <f t="array" ref="M805">_xlfn.IFS(L805=0,"Out of Stock",L805&gt;=2,"Limited Stock",L805&lt;2,"In Stock")</f>
        <v>Limited Stock</v>
      </c>
    </row>
    <row r="806" spans="2:13">
      <c r="B806" s="2" t="s">
        <v>1371</v>
      </c>
      <c r="C806" s="5" t="str">
        <f>_xlfn.XLOOKUP(B806,Master[Product_Code],Master[Category])</f>
        <v>Pants</v>
      </c>
      <c r="D806" s="2" t="str">
        <f>_xlfn.XLOOKUP(B806,Master[Product_Code],Master[Brand])</f>
        <v>Van Heusen</v>
      </c>
      <c r="E806" s="2" t="str">
        <f>_xlfn.XLOOKUP(B806,Master[Product_Code],Master[Style])</f>
        <v>Polofit</v>
      </c>
      <c r="F806" s="2" t="str">
        <f>_xlfn.XLOOKUP(B806,Master[Product_Code],Master[Fabric])</f>
        <v>Lycra</v>
      </c>
      <c r="G806" s="2">
        <f>_xlfn.XLOOKUP(B806,Master[Product_Code],Master[Size])</f>
        <v>36</v>
      </c>
      <c r="H806" s="2" t="str">
        <f>_xlfn.XLOOKUP(B806,Master[Product_Code],Master[Color])</f>
        <v>Bottle Green</v>
      </c>
      <c r="I806" s="4">
        <f>_xlfn.XLOOKUP(B806,Master[Product_Code],Master[Stock_Qty])</f>
        <v>4</v>
      </c>
      <c r="J806" s="6">
        <f>SUMIFS(
  Sales_Entry[Qty],
  Sales_Entry[Product_Code], Stock_Table[[#This Row],[Product_Code]]
)</f>
        <v>1</v>
      </c>
      <c r="K806" s="4">
        <f>SUMIFS(
  Exchange_Return[Qty],
  Exchange_Return[Product_Code], Stock_Table[[#This Row],[Product_Code]]
)</f>
        <v>0</v>
      </c>
      <c r="L806" s="4">
        <f>I806-J806+K806</f>
        <v>3</v>
      </c>
      <c r="M806" s="2" t="str" cm="1">
        <f t="array" ref="M806">_xlfn.IFS(L806=0,"Out of Stock",L806&gt;=2,"Limited Stock",L806&lt;2,"In Stock")</f>
        <v>Limited Stock</v>
      </c>
    </row>
    <row r="807" spans="2:13">
      <c r="B807" s="2" t="s">
        <v>1372</v>
      </c>
      <c r="C807" s="5" t="str">
        <f>_xlfn.XLOOKUP(B807,Master[Product_Code],Master[Category])</f>
        <v>Pants</v>
      </c>
      <c r="D807" s="2" t="str">
        <f>_xlfn.XLOOKUP(B807,Master[Product_Code],Master[Brand])</f>
        <v>Park Avenue</v>
      </c>
      <c r="E807" s="2" t="str">
        <f>_xlfn.XLOOKUP(B807,Master[Product_Code],Master[Style])</f>
        <v>Korean</v>
      </c>
      <c r="F807" s="2" t="str">
        <f>_xlfn.XLOOKUP(B807,Master[Product_Code],Master[Fabric])</f>
        <v>Lycra</v>
      </c>
      <c r="G807" s="2">
        <f>_xlfn.XLOOKUP(B807,Master[Product_Code],Master[Size])</f>
        <v>28</v>
      </c>
      <c r="H807" s="2" t="str">
        <f>_xlfn.XLOOKUP(B807,Master[Product_Code],Master[Color])</f>
        <v>White</v>
      </c>
      <c r="I807" s="4">
        <f>_xlfn.XLOOKUP(B807,Master[Product_Code],Master[Stock_Qty])</f>
        <v>5</v>
      </c>
      <c r="J807" s="6">
        <f>SUMIFS(
  Sales_Entry[Qty],
  Sales_Entry[Product_Code], Stock_Table[[#This Row],[Product_Code]]
)</f>
        <v>3</v>
      </c>
      <c r="K807" s="4">
        <f>SUMIFS(
  Exchange_Return[Qty],
  Exchange_Return[Product_Code], Stock_Table[[#This Row],[Product_Code]]
)</f>
        <v>0</v>
      </c>
      <c r="L807" s="4">
        <f>I807-J807+K807</f>
        <v>2</v>
      </c>
      <c r="M807" s="2" t="str" cm="1">
        <f t="array" ref="M807">_xlfn.IFS(L807=0,"Out of Stock",L807&gt;=2,"Limited Stock",L807&lt;2,"In Stock")</f>
        <v>Limited Stock</v>
      </c>
    </row>
    <row r="808" spans="2:13">
      <c r="B808" s="2" t="s">
        <v>1373</v>
      </c>
      <c r="C808" s="5" t="str">
        <f>_xlfn.XLOOKUP(B808,Master[Product_Code],Master[Category])</f>
        <v>Pants</v>
      </c>
      <c r="D808" s="2" t="str">
        <f>_xlfn.XLOOKUP(B808,Master[Product_Code],Master[Brand])</f>
        <v>Raymond</v>
      </c>
      <c r="E808" s="2" t="str">
        <f>_xlfn.XLOOKUP(B808,Master[Product_Code],Master[Style])</f>
        <v>Korean</v>
      </c>
      <c r="F808" s="2" t="str">
        <f>_xlfn.XLOOKUP(B808,Master[Product_Code],Master[Fabric])</f>
        <v>Lycra</v>
      </c>
      <c r="G808" s="2">
        <f>_xlfn.XLOOKUP(B808,Master[Product_Code],Master[Size])</f>
        <v>40</v>
      </c>
      <c r="H808" s="2" t="str">
        <f>_xlfn.XLOOKUP(B808,Master[Product_Code],Master[Color])</f>
        <v>Mustard</v>
      </c>
      <c r="I808" s="4">
        <f>_xlfn.XLOOKUP(B808,Master[Product_Code],Master[Stock_Qty])</f>
        <v>5</v>
      </c>
      <c r="J808" s="6">
        <f>SUMIFS(
  Sales_Entry[Qty],
  Sales_Entry[Product_Code], Stock_Table[[#This Row],[Product_Code]]
)</f>
        <v>4</v>
      </c>
      <c r="K808" s="4">
        <f>SUMIFS(
  Exchange_Return[Qty],
  Exchange_Return[Product_Code], Stock_Table[[#This Row],[Product_Code]]
)</f>
        <v>0</v>
      </c>
      <c r="L808" s="4">
        <f>I808-J808+K808</f>
        <v>1</v>
      </c>
      <c r="M808" s="2" t="str" cm="1">
        <f t="array" ref="M808">_xlfn.IFS(L808=0,"Out of Stock",L808&gt;=2,"Limited Stock",L808&lt;2,"In Stock")</f>
        <v>In Stock</v>
      </c>
    </row>
    <row r="809" spans="2:13">
      <c r="B809" s="2" t="s">
        <v>1374</v>
      </c>
      <c r="C809" s="5" t="str">
        <f>_xlfn.XLOOKUP(B809,Master[Product_Code],Master[Category])</f>
        <v>Pants</v>
      </c>
      <c r="D809" s="2" t="str">
        <f>_xlfn.XLOOKUP(B809,Master[Product_Code],Master[Brand])</f>
        <v>Raymond</v>
      </c>
      <c r="E809" s="2" t="str">
        <f>_xlfn.XLOOKUP(B809,Master[Product_Code],Master[Style])</f>
        <v>Polofit</v>
      </c>
      <c r="F809" s="2" t="str">
        <f>_xlfn.XLOOKUP(B809,Master[Product_Code],Master[Fabric])</f>
        <v>Lycra</v>
      </c>
      <c r="G809" s="2">
        <f>_xlfn.XLOOKUP(B809,Master[Product_Code],Master[Size])</f>
        <v>34</v>
      </c>
      <c r="H809" s="2" t="str">
        <f>_xlfn.XLOOKUP(B809,Master[Product_Code],Master[Color])</f>
        <v>Royal Blue</v>
      </c>
      <c r="I809" s="4">
        <f>_xlfn.XLOOKUP(B809,Master[Product_Code],Master[Stock_Qty])</f>
        <v>4</v>
      </c>
      <c r="J809" s="6">
        <f>SUMIFS(
  Sales_Entry[Qty],
  Sales_Entry[Product_Code], Stock_Table[[#This Row],[Product_Code]]
)</f>
        <v>1</v>
      </c>
      <c r="K809" s="4">
        <f>SUMIFS(
  Exchange_Return[Qty],
  Exchange_Return[Product_Code], Stock_Table[[#This Row],[Product_Code]]
)</f>
        <v>0</v>
      </c>
      <c r="L809" s="4">
        <f>I809-J809+K809</f>
        <v>3</v>
      </c>
      <c r="M809" s="2" t="str" cm="1">
        <f t="array" ref="M809">_xlfn.IFS(L809=0,"Out of Stock",L809&gt;=2,"Limited Stock",L809&lt;2,"In Stock")</f>
        <v>Limited Stock</v>
      </c>
    </row>
    <row r="810" spans="2:13">
      <c r="B810" s="2" t="s">
        <v>1375</v>
      </c>
      <c r="C810" s="5" t="str">
        <f>_xlfn.XLOOKUP(B810,Master[Product_Code],Master[Category])</f>
        <v>Pants</v>
      </c>
      <c r="D810" s="2" t="str">
        <f>_xlfn.XLOOKUP(B810,Master[Product_Code],Master[Brand])</f>
        <v>Park Avenue</v>
      </c>
      <c r="E810" s="2" t="str">
        <f>_xlfn.XLOOKUP(B810,Master[Product_Code],Master[Style])</f>
        <v>Jogger</v>
      </c>
      <c r="F810" s="2" t="str">
        <f>_xlfn.XLOOKUP(B810,Master[Product_Code],Master[Fabric])</f>
        <v>Poly Viscose</v>
      </c>
      <c r="G810" s="2">
        <f>_xlfn.XLOOKUP(B810,Master[Product_Code],Master[Size])</f>
        <v>30</v>
      </c>
      <c r="H810" s="2" t="str">
        <f>_xlfn.XLOOKUP(B810,Master[Product_Code],Master[Color])</f>
        <v>Beige</v>
      </c>
      <c r="I810" s="4">
        <f>_xlfn.XLOOKUP(B810,Master[Product_Code],Master[Stock_Qty])</f>
        <v>3</v>
      </c>
      <c r="J810" s="6">
        <f>SUMIFS(
  Sales_Entry[Qty],
  Sales_Entry[Product_Code], Stock_Table[[#This Row],[Product_Code]]
)</f>
        <v>2</v>
      </c>
      <c r="K810" s="4">
        <f>SUMIFS(
  Exchange_Return[Qty],
  Exchange_Return[Product_Code], Stock_Table[[#This Row],[Product_Code]]
)</f>
        <v>0</v>
      </c>
      <c r="L810" s="4">
        <f>I810-J810+K810</f>
        <v>1</v>
      </c>
      <c r="M810" s="2" t="str" cm="1">
        <f t="array" ref="M810">_xlfn.IFS(L810=0,"Out of Stock",L810&gt;=2,"Limited Stock",L810&lt;2,"In Stock")</f>
        <v>In Stock</v>
      </c>
    </row>
    <row r="811" spans="2:13">
      <c r="B811" s="2" t="s">
        <v>1376</v>
      </c>
      <c r="C811" s="5" t="str">
        <f>_xlfn.XLOOKUP(B811,Master[Product_Code],Master[Category])</f>
        <v>Pants</v>
      </c>
      <c r="D811" s="2" t="str">
        <f>_xlfn.XLOOKUP(B811,Master[Product_Code],Master[Brand])</f>
        <v>Louis Philippe</v>
      </c>
      <c r="E811" s="2" t="str">
        <f>_xlfn.XLOOKUP(B811,Master[Product_Code],Master[Style])</f>
        <v>Jogger</v>
      </c>
      <c r="F811" s="2" t="str">
        <f>_xlfn.XLOOKUP(B811,Master[Product_Code],Master[Fabric])</f>
        <v>Poly Viscose</v>
      </c>
      <c r="G811" s="2">
        <f>_xlfn.XLOOKUP(B811,Master[Product_Code],Master[Size])</f>
        <v>30</v>
      </c>
      <c r="H811" s="2" t="str">
        <f>_xlfn.XLOOKUP(B811,Master[Product_Code],Master[Color])</f>
        <v>Peach</v>
      </c>
      <c r="I811" s="4">
        <f>_xlfn.XLOOKUP(B811,Master[Product_Code],Master[Stock_Qty])</f>
        <v>3</v>
      </c>
      <c r="J811" s="6">
        <f>SUMIFS(
  Sales_Entry[Qty],
  Sales_Entry[Product_Code], Stock_Table[[#This Row],[Product_Code]]
)</f>
        <v>1</v>
      </c>
      <c r="K811" s="4">
        <f>SUMIFS(
  Exchange_Return[Qty],
  Exchange_Return[Product_Code], Stock_Table[[#This Row],[Product_Code]]
)</f>
        <v>0</v>
      </c>
      <c r="L811" s="4">
        <f>I811-J811+K811</f>
        <v>2</v>
      </c>
      <c r="M811" s="2" t="str" cm="1">
        <f t="array" ref="M811">_xlfn.IFS(L811=0,"Out of Stock",L811&gt;=2,"Limited Stock",L811&lt;2,"In Stock")</f>
        <v>Limited Stock</v>
      </c>
    </row>
    <row r="812" spans="2:13">
      <c r="B812" s="2" t="s">
        <v>1377</v>
      </c>
      <c r="C812" s="5" t="str">
        <f>_xlfn.XLOOKUP(B812,Master[Product_Code],Master[Category])</f>
        <v>Pants</v>
      </c>
      <c r="D812" s="2" t="str">
        <f>_xlfn.XLOOKUP(B812,Master[Product_Code],Master[Brand])</f>
        <v>Peter England</v>
      </c>
      <c r="E812" s="2" t="str">
        <f>_xlfn.XLOOKUP(B812,Master[Product_Code],Master[Style])</f>
        <v>Polofit</v>
      </c>
      <c r="F812" s="2" t="str">
        <f>_xlfn.XLOOKUP(B812,Master[Product_Code],Master[Fabric])</f>
        <v>Lycra</v>
      </c>
      <c r="G812" s="2">
        <f>_xlfn.XLOOKUP(B812,Master[Product_Code],Master[Size])</f>
        <v>44</v>
      </c>
      <c r="H812" s="2" t="str">
        <f>_xlfn.XLOOKUP(B812,Master[Product_Code],Master[Color])</f>
        <v>Light Grey</v>
      </c>
      <c r="I812" s="4">
        <f>_xlfn.XLOOKUP(B812,Master[Product_Code],Master[Stock_Qty])</f>
        <v>3</v>
      </c>
      <c r="J812" s="6">
        <f>SUMIFS(
  Sales_Entry[Qty],
  Sales_Entry[Product_Code], Stock_Table[[#This Row],[Product_Code]]
)</f>
        <v>0</v>
      </c>
      <c r="K812" s="4">
        <f>SUMIFS(
  Exchange_Return[Qty],
  Exchange_Return[Product_Code], Stock_Table[[#This Row],[Product_Code]]
)</f>
        <v>0</v>
      </c>
      <c r="L812" s="4">
        <f>I812-J812+K812</f>
        <v>3</v>
      </c>
      <c r="M812" s="2" t="str" cm="1">
        <f t="array" ref="M812">_xlfn.IFS(L812=0,"Out of Stock",L812&gt;=2,"Limited Stock",L812&lt;2,"In Stock")</f>
        <v>Limited Stock</v>
      </c>
    </row>
    <row r="813" spans="2:13">
      <c r="B813" s="2" t="s">
        <v>1378</v>
      </c>
      <c r="C813" s="5" t="str">
        <f>_xlfn.XLOOKUP(B813,Master[Product_Code],Master[Category])</f>
        <v>Pants</v>
      </c>
      <c r="D813" s="2" t="str">
        <f>_xlfn.XLOOKUP(B813,Master[Product_Code],Master[Brand])</f>
        <v>Park Avenue</v>
      </c>
      <c r="E813" s="2" t="str">
        <f>_xlfn.XLOOKUP(B813,Master[Product_Code],Master[Style])</f>
        <v>Kurka</v>
      </c>
      <c r="F813" s="2" t="str">
        <f>_xlfn.XLOOKUP(B813,Master[Product_Code],Master[Fabric])</f>
        <v>Lycra</v>
      </c>
      <c r="G813" s="2">
        <f>_xlfn.XLOOKUP(B813,Master[Product_Code],Master[Size])</f>
        <v>40</v>
      </c>
      <c r="H813" s="2" t="str">
        <f>_xlfn.XLOOKUP(B813,Master[Product_Code],Master[Color])</f>
        <v>Cream</v>
      </c>
      <c r="I813" s="4">
        <f>_xlfn.XLOOKUP(B813,Master[Product_Code],Master[Stock_Qty])</f>
        <v>3</v>
      </c>
      <c r="J813" s="6">
        <f>SUMIFS(
  Sales_Entry[Qty],
  Sales_Entry[Product_Code], Stock_Table[[#This Row],[Product_Code]]
)</f>
        <v>0</v>
      </c>
      <c r="K813" s="4">
        <f>SUMIFS(
  Exchange_Return[Qty],
  Exchange_Return[Product_Code], Stock_Table[[#This Row],[Product_Code]]
)</f>
        <v>0</v>
      </c>
      <c r="L813" s="4">
        <f>I813-J813+K813</f>
        <v>3</v>
      </c>
      <c r="M813" s="2" t="str" cm="1">
        <f t="array" ref="M813">_xlfn.IFS(L813=0,"Out of Stock",L813&gt;=2,"Limited Stock",L813&lt;2,"In Stock")</f>
        <v>Limited Stock</v>
      </c>
    </row>
    <row r="814" spans="2:13">
      <c r="B814" s="2" t="s">
        <v>1379</v>
      </c>
      <c r="C814" s="5" t="str">
        <f>_xlfn.XLOOKUP(B814,Master[Product_Code],Master[Category])</f>
        <v>Pants</v>
      </c>
      <c r="D814" s="2" t="str">
        <f>_xlfn.XLOOKUP(B814,Master[Product_Code],Master[Brand])</f>
        <v>Park Avenue</v>
      </c>
      <c r="E814" s="2" t="str">
        <f>_xlfn.XLOOKUP(B814,Master[Product_Code],Master[Style])</f>
        <v>Kurka</v>
      </c>
      <c r="F814" s="2" t="str">
        <f>_xlfn.XLOOKUP(B814,Master[Product_Code],Master[Fabric])</f>
        <v>Lycra</v>
      </c>
      <c r="G814" s="2">
        <f>_xlfn.XLOOKUP(B814,Master[Product_Code],Master[Size])</f>
        <v>38</v>
      </c>
      <c r="H814" s="2" t="str">
        <f>_xlfn.XLOOKUP(B814,Master[Product_Code],Master[Color])</f>
        <v>Dark Green</v>
      </c>
      <c r="I814" s="4">
        <f>_xlfn.XLOOKUP(B814,Master[Product_Code],Master[Stock_Qty])</f>
        <v>4</v>
      </c>
      <c r="J814" s="6">
        <f>SUMIFS(
  Sales_Entry[Qty],
  Sales_Entry[Product_Code], Stock_Table[[#This Row],[Product_Code]]
)</f>
        <v>0</v>
      </c>
      <c r="K814" s="4">
        <f>SUMIFS(
  Exchange_Return[Qty],
  Exchange_Return[Product_Code], Stock_Table[[#This Row],[Product_Code]]
)</f>
        <v>0</v>
      </c>
      <c r="L814" s="4">
        <f>I814-J814+K814</f>
        <v>4</v>
      </c>
      <c r="M814" s="2" t="str" cm="1">
        <f t="array" ref="M814">_xlfn.IFS(L814=0,"Out of Stock",L814&gt;=2,"Limited Stock",L814&lt;2,"In Stock")</f>
        <v>Limited Stock</v>
      </c>
    </row>
    <row r="815" spans="2:13">
      <c r="B815" s="2" t="s">
        <v>1380</v>
      </c>
      <c r="C815" s="5" t="str">
        <f>_xlfn.XLOOKUP(B815,Master[Product_Code],Master[Category])</f>
        <v>Pants</v>
      </c>
      <c r="D815" s="2" t="str">
        <f>_xlfn.XLOOKUP(B815,Master[Product_Code],Master[Brand])</f>
        <v>Park Avenue</v>
      </c>
      <c r="E815" s="2" t="str">
        <f>_xlfn.XLOOKUP(B815,Master[Product_Code],Master[Style])</f>
        <v>Boot Cut</v>
      </c>
      <c r="F815" s="2" t="str">
        <f>_xlfn.XLOOKUP(B815,Master[Product_Code],Master[Fabric])</f>
        <v>Cotton Blend</v>
      </c>
      <c r="G815" s="2">
        <f>_xlfn.XLOOKUP(B815,Master[Product_Code],Master[Size])</f>
        <v>42</v>
      </c>
      <c r="H815" s="2" t="str">
        <f>_xlfn.XLOOKUP(B815,Master[Product_Code],Master[Color])</f>
        <v>White</v>
      </c>
      <c r="I815" s="4">
        <f>_xlfn.XLOOKUP(B815,Master[Product_Code],Master[Stock_Qty])</f>
        <v>3</v>
      </c>
      <c r="J815" s="6">
        <f>SUMIFS(
  Sales_Entry[Qty],
  Sales_Entry[Product_Code], Stock_Table[[#This Row],[Product_Code]]
)</f>
        <v>0</v>
      </c>
      <c r="K815" s="4">
        <f>SUMIFS(
  Exchange_Return[Qty],
  Exchange_Return[Product_Code], Stock_Table[[#This Row],[Product_Code]]
)</f>
        <v>0</v>
      </c>
      <c r="L815" s="4">
        <f>I815-J815+K815</f>
        <v>3</v>
      </c>
      <c r="M815" s="2" t="str" cm="1">
        <f t="array" ref="M815">_xlfn.IFS(L815=0,"Out of Stock",L815&gt;=2,"Limited Stock",L815&lt;2,"In Stock")</f>
        <v>Limited Stock</v>
      </c>
    </row>
    <row r="816" spans="2:13">
      <c r="B816" s="2" t="s">
        <v>1381</v>
      </c>
      <c r="C816" s="5" t="str">
        <f>_xlfn.XLOOKUP(B816,Master[Product_Code],Master[Category])</f>
        <v>Pants</v>
      </c>
      <c r="D816" s="2" t="str">
        <f>_xlfn.XLOOKUP(B816,Master[Product_Code],Master[Brand])</f>
        <v>Park Avenue</v>
      </c>
      <c r="E816" s="2" t="str">
        <f>_xlfn.XLOOKUP(B816,Master[Product_Code],Master[Style])</f>
        <v>Korean</v>
      </c>
      <c r="F816" s="2" t="str">
        <f>_xlfn.XLOOKUP(B816,Master[Product_Code],Master[Fabric])</f>
        <v>Lycra</v>
      </c>
      <c r="G816" s="2">
        <f>_xlfn.XLOOKUP(B816,Master[Product_Code],Master[Size])</f>
        <v>32</v>
      </c>
      <c r="H816" s="2" t="str">
        <f>_xlfn.XLOOKUP(B816,Master[Product_Code],Master[Color])</f>
        <v>Black</v>
      </c>
      <c r="I816" s="4">
        <f>_xlfn.XLOOKUP(B816,Master[Product_Code],Master[Stock_Qty])</f>
        <v>3</v>
      </c>
      <c r="J816" s="6">
        <f>SUMIFS(
  Sales_Entry[Qty],
  Sales_Entry[Product_Code], Stock_Table[[#This Row],[Product_Code]]
)</f>
        <v>3</v>
      </c>
      <c r="K816" s="4">
        <f>SUMIFS(
  Exchange_Return[Qty],
  Exchange_Return[Product_Code], Stock_Table[[#This Row],[Product_Code]]
)</f>
        <v>0</v>
      </c>
      <c r="L816" s="4">
        <f>I816-J816+K816</f>
        <v>0</v>
      </c>
      <c r="M816" s="2" t="str" cm="1">
        <f t="array" ref="M816">_xlfn.IFS(L816=0,"Out of Stock",L816&gt;=2,"Limited Stock",L816&lt;2,"In Stock")</f>
        <v>Out of Stock</v>
      </c>
    </row>
    <row r="817" spans="2:13">
      <c r="B817" s="2" t="s">
        <v>1382</v>
      </c>
      <c r="C817" s="5" t="str">
        <f>_xlfn.XLOOKUP(B817,Master[Product_Code],Master[Category])</f>
        <v>Pants</v>
      </c>
      <c r="D817" s="2" t="str">
        <f>_xlfn.XLOOKUP(B817,Master[Product_Code],Master[Brand])</f>
        <v>Van Heusen</v>
      </c>
      <c r="E817" s="2" t="str">
        <f>_xlfn.XLOOKUP(B817,Master[Product_Code],Master[Style])</f>
        <v>Jogger</v>
      </c>
      <c r="F817" s="2" t="str">
        <f>_xlfn.XLOOKUP(B817,Master[Product_Code],Master[Fabric])</f>
        <v>Poly Viscose</v>
      </c>
      <c r="G817" s="2">
        <f>_xlfn.XLOOKUP(B817,Master[Product_Code],Master[Size])</f>
        <v>40</v>
      </c>
      <c r="H817" s="2" t="str">
        <f>_xlfn.XLOOKUP(B817,Master[Product_Code],Master[Color])</f>
        <v>Teal</v>
      </c>
      <c r="I817" s="4">
        <f>_xlfn.XLOOKUP(B817,Master[Product_Code],Master[Stock_Qty])</f>
        <v>4</v>
      </c>
      <c r="J817" s="6">
        <f>SUMIFS(
  Sales_Entry[Qty],
  Sales_Entry[Product_Code], Stock_Table[[#This Row],[Product_Code]]
)</f>
        <v>1</v>
      </c>
      <c r="K817" s="4">
        <f>SUMIFS(
  Exchange_Return[Qty],
  Exchange_Return[Product_Code], Stock_Table[[#This Row],[Product_Code]]
)</f>
        <v>0</v>
      </c>
      <c r="L817" s="4">
        <f>I817-J817+K817</f>
        <v>3</v>
      </c>
      <c r="M817" s="2" t="str" cm="1">
        <f t="array" ref="M817">_xlfn.IFS(L817=0,"Out of Stock",L817&gt;=2,"Limited Stock",L817&lt;2,"In Stock")</f>
        <v>Limited Stock</v>
      </c>
    </row>
    <row r="818" spans="2:13">
      <c r="B818" s="2" t="s">
        <v>1383</v>
      </c>
      <c r="C818" s="5" t="str">
        <f>_xlfn.XLOOKUP(B818,Master[Product_Code],Master[Category])</f>
        <v>Pants</v>
      </c>
      <c r="D818" s="2" t="str">
        <f>_xlfn.XLOOKUP(B818,Master[Product_Code],Master[Brand])</f>
        <v>Park Avenue</v>
      </c>
      <c r="E818" s="2" t="str">
        <f>_xlfn.XLOOKUP(B818,Master[Product_Code],Master[Style])</f>
        <v>Korean</v>
      </c>
      <c r="F818" s="2" t="str">
        <f>_xlfn.XLOOKUP(B818,Master[Product_Code],Master[Fabric])</f>
        <v>Lycra</v>
      </c>
      <c r="G818" s="2">
        <f>_xlfn.XLOOKUP(B818,Master[Product_Code],Master[Size])</f>
        <v>32</v>
      </c>
      <c r="H818" s="2" t="str">
        <f>_xlfn.XLOOKUP(B818,Master[Product_Code],Master[Color])</f>
        <v>Dark Green</v>
      </c>
      <c r="I818" s="4">
        <f>_xlfn.XLOOKUP(B818,Master[Product_Code],Master[Stock_Qty])</f>
        <v>3</v>
      </c>
      <c r="J818" s="6">
        <f>SUMIFS(
  Sales_Entry[Qty],
  Sales_Entry[Product_Code], Stock_Table[[#This Row],[Product_Code]]
)</f>
        <v>1</v>
      </c>
      <c r="K818" s="4">
        <f>SUMIFS(
  Exchange_Return[Qty],
  Exchange_Return[Product_Code], Stock_Table[[#This Row],[Product_Code]]
)</f>
        <v>0</v>
      </c>
      <c r="L818" s="4">
        <f>I818-J818+K818</f>
        <v>2</v>
      </c>
      <c r="M818" s="2" t="str" cm="1">
        <f t="array" ref="M818">_xlfn.IFS(L818=0,"Out of Stock",L818&gt;=2,"Limited Stock",L818&lt;2,"In Stock")</f>
        <v>Limited Stock</v>
      </c>
    </row>
    <row r="819" spans="2:13">
      <c r="B819" s="2" t="s">
        <v>1384</v>
      </c>
      <c r="C819" s="5" t="str">
        <f>_xlfn.XLOOKUP(B819,Master[Product_Code],Master[Category])</f>
        <v>Pants</v>
      </c>
      <c r="D819" s="2" t="str">
        <f>_xlfn.XLOOKUP(B819,Master[Product_Code],Master[Brand])</f>
        <v>Raymond</v>
      </c>
      <c r="E819" s="2" t="str">
        <f>_xlfn.XLOOKUP(B819,Master[Product_Code],Master[Style])</f>
        <v>Boot Cut</v>
      </c>
      <c r="F819" s="2" t="str">
        <f>_xlfn.XLOOKUP(B819,Master[Product_Code],Master[Fabric])</f>
        <v>Cotton Blend</v>
      </c>
      <c r="G819" s="2">
        <f>_xlfn.XLOOKUP(B819,Master[Product_Code],Master[Size])</f>
        <v>30</v>
      </c>
      <c r="H819" s="2" t="str">
        <f>_xlfn.XLOOKUP(B819,Master[Product_Code],Master[Color])</f>
        <v>Maroon</v>
      </c>
      <c r="I819" s="4">
        <f>_xlfn.XLOOKUP(B819,Master[Product_Code],Master[Stock_Qty])</f>
        <v>5</v>
      </c>
      <c r="J819" s="6">
        <f>SUMIFS(
  Sales_Entry[Qty],
  Sales_Entry[Product_Code], Stock_Table[[#This Row],[Product_Code]]
)</f>
        <v>0</v>
      </c>
      <c r="K819" s="4">
        <f>SUMIFS(
  Exchange_Return[Qty],
  Exchange_Return[Product_Code], Stock_Table[[#This Row],[Product_Code]]
)</f>
        <v>0</v>
      </c>
      <c r="L819" s="4">
        <f>I819-J819+K819</f>
        <v>5</v>
      </c>
      <c r="M819" s="2" t="str" cm="1">
        <f t="array" ref="M819">_xlfn.IFS(L819=0,"Out of Stock",L819&gt;=2,"Limited Stock",L819&lt;2,"In Stock")</f>
        <v>Limited Stock</v>
      </c>
    </row>
    <row r="820" spans="2:13">
      <c r="B820" s="2" t="s">
        <v>1385</v>
      </c>
      <c r="C820" s="5" t="str">
        <f>_xlfn.XLOOKUP(B820,Master[Product_Code],Master[Category])</f>
        <v>Pants</v>
      </c>
      <c r="D820" s="2" t="str">
        <f>_xlfn.XLOOKUP(B820,Master[Product_Code],Master[Brand])</f>
        <v>Peter England</v>
      </c>
      <c r="E820" s="2" t="str">
        <f>_xlfn.XLOOKUP(B820,Master[Product_Code],Master[Style])</f>
        <v>Jogger</v>
      </c>
      <c r="F820" s="2" t="str">
        <f>_xlfn.XLOOKUP(B820,Master[Product_Code],Master[Fabric])</f>
        <v>Cotton Blend</v>
      </c>
      <c r="G820" s="2">
        <f>_xlfn.XLOOKUP(B820,Master[Product_Code],Master[Size])</f>
        <v>38</v>
      </c>
      <c r="H820" s="2" t="str">
        <f>_xlfn.XLOOKUP(B820,Master[Product_Code],Master[Color])</f>
        <v>Mustard</v>
      </c>
      <c r="I820" s="4">
        <f>_xlfn.XLOOKUP(B820,Master[Product_Code],Master[Stock_Qty])</f>
        <v>5</v>
      </c>
      <c r="J820" s="6">
        <f>SUMIFS(
  Sales_Entry[Qty],
  Sales_Entry[Product_Code], Stock_Table[[#This Row],[Product_Code]]
)</f>
        <v>1</v>
      </c>
      <c r="K820" s="4">
        <f>SUMIFS(
  Exchange_Return[Qty],
  Exchange_Return[Product_Code], Stock_Table[[#This Row],[Product_Code]]
)</f>
        <v>0</v>
      </c>
      <c r="L820" s="4">
        <f>I820-J820+K820</f>
        <v>4</v>
      </c>
      <c r="M820" s="2" t="str" cm="1">
        <f t="array" ref="M820">_xlfn.IFS(L820=0,"Out of Stock",L820&gt;=2,"Limited Stock",L820&lt;2,"In Stock")</f>
        <v>Limited Stock</v>
      </c>
    </row>
    <row r="821" spans="2:13">
      <c r="B821" s="2" t="s">
        <v>1386</v>
      </c>
      <c r="C821" s="5" t="str">
        <f>_xlfn.XLOOKUP(B821,Master[Product_Code],Master[Category])</f>
        <v>Pants</v>
      </c>
      <c r="D821" s="2" t="str">
        <f>_xlfn.XLOOKUP(B821,Master[Product_Code],Master[Brand])</f>
        <v>Van Heusen</v>
      </c>
      <c r="E821" s="2" t="str">
        <f>_xlfn.XLOOKUP(B821,Master[Product_Code],Master[Style])</f>
        <v>Kurka</v>
      </c>
      <c r="F821" s="2" t="str">
        <f>_xlfn.XLOOKUP(B821,Master[Product_Code],Master[Fabric])</f>
        <v>Lycra</v>
      </c>
      <c r="G821" s="2">
        <f>_xlfn.XLOOKUP(B821,Master[Product_Code],Master[Size])</f>
        <v>38</v>
      </c>
      <c r="H821" s="2" t="str">
        <f>_xlfn.XLOOKUP(B821,Master[Product_Code],Master[Color])</f>
        <v>Mustard</v>
      </c>
      <c r="I821" s="4">
        <f>_xlfn.XLOOKUP(B821,Master[Product_Code],Master[Stock_Qty])</f>
        <v>4</v>
      </c>
      <c r="J821" s="6">
        <f>SUMIFS(
  Sales_Entry[Qty],
  Sales_Entry[Product_Code], Stock_Table[[#This Row],[Product_Code]]
)</f>
        <v>0</v>
      </c>
      <c r="K821" s="4">
        <f>SUMIFS(
  Exchange_Return[Qty],
  Exchange_Return[Product_Code], Stock_Table[[#This Row],[Product_Code]]
)</f>
        <v>0</v>
      </c>
      <c r="L821" s="4">
        <f>I821-J821+K821</f>
        <v>4</v>
      </c>
      <c r="M821" s="2" t="str" cm="1">
        <f t="array" ref="M821">_xlfn.IFS(L821=0,"Out of Stock",L821&gt;=2,"Limited Stock",L821&lt;2,"In Stock")</f>
        <v>Limited Stock</v>
      </c>
    </row>
    <row r="822" spans="2:13">
      <c r="B822" s="2" t="s">
        <v>1387</v>
      </c>
      <c r="C822" s="5" t="str">
        <f>_xlfn.XLOOKUP(B822,Master[Product_Code],Master[Category])</f>
        <v>Pants</v>
      </c>
      <c r="D822" s="2" t="str">
        <f>_xlfn.XLOOKUP(B822,Master[Product_Code],Master[Brand])</f>
        <v>Park Avenue</v>
      </c>
      <c r="E822" s="2" t="str">
        <f>_xlfn.XLOOKUP(B822,Master[Product_Code],Master[Style])</f>
        <v>Korean</v>
      </c>
      <c r="F822" s="2" t="str">
        <f>_xlfn.XLOOKUP(B822,Master[Product_Code],Master[Fabric])</f>
        <v>Lycra</v>
      </c>
      <c r="G822" s="2">
        <f>_xlfn.XLOOKUP(B822,Master[Product_Code],Master[Size])</f>
        <v>32</v>
      </c>
      <c r="H822" s="2" t="str">
        <f>_xlfn.XLOOKUP(B822,Master[Product_Code],Master[Color])</f>
        <v>Black</v>
      </c>
      <c r="I822" s="4">
        <f>_xlfn.XLOOKUP(B822,Master[Product_Code],Master[Stock_Qty])</f>
        <v>6</v>
      </c>
      <c r="J822" s="6">
        <f>SUMIFS(
  Sales_Entry[Qty],
  Sales_Entry[Product_Code], Stock_Table[[#This Row],[Product_Code]]
)</f>
        <v>2</v>
      </c>
      <c r="K822" s="4">
        <f>SUMIFS(
  Exchange_Return[Qty],
  Exchange_Return[Product_Code], Stock_Table[[#This Row],[Product_Code]]
)</f>
        <v>0</v>
      </c>
      <c r="L822" s="4">
        <f>I822-J822+K822</f>
        <v>4</v>
      </c>
      <c r="M822" s="2" t="str" cm="1">
        <f t="array" ref="M822">_xlfn.IFS(L822=0,"Out of Stock",L822&gt;=2,"Limited Stock",L822&lt;2,"In Stock")</f>
        <v>Limited Stock</v>
      </c>
    </row>
    <row r="823" spans="2:13">
      <c r="B823" s="2" t="s">
        <v>1388</v>
      </c>
      <c r="C823" s="5" t="str">
        <f>_xlfn.XLOOKUP(B823,Master[Product_Code],Master[Category])</f>
        <v>Pants</v>
      </c>
      <c r="D823" s="2" t="str">
        <f>_xlfn.XLOOKUP(B823,Master[Product_Code],Master[Brand])</f>
        <v>Raymond</v>
      </c>
      <c r="E823" s="2" t="str">
        <f>_xlfn.XLOOKUP(B823,Master[Product_Code],Master[Style])</f>
        <v>Kurka</v>
      </c>
      <c r="F823" s="2" t="str">
        <f>_xlfn.XLOOKUP(B823,Master[Product_Code],Master[Fabric])</f>
        <v>Lycra</v>
      </c>
      <c r="G823" s="2">
        <f>_xlfn.XLOOKUP(B823,Master[Product_Code],Master[Size])</f>
        <v>44</v>
      </c>
      <c r="H823" s="2" t="str">
        <f>_xlfn.XLOOKUP(B823,Master[Product_Code],Master[Color])</f>
        <v>Peach</v>
      </c>
      <c r="I823" s="4">
        <f>_xlfn.XLOOKUP(B823,Master[Product_Code],Master[Stock_Qty])</f>
        <v>6</v>
      </c>
      <c r="J823" s="6">
        <f>SUMIFS(
  Sales_Entry[Qty],
  Sales_Entry[Product_Code], Stock_Table[[#This Row],[Product_Code]]
)</f>
        <v>2</v>
      </c>
      <c r="K823" s="4">
        <f>SUMIFS(
  Exchange_Return[Qty],
  Exchange_Return[Product_Code], Stock_Table[[#This Row],[Product_Code]]
)</f>
        <v>0</v>
      </c>
      <c r="L823" s="4">
        <f>I823-J823+K823</f>
        <v>4</v>
      </c>
      <c r="M823" s="2" t="str" cm="1">
        <f t="array" ref="M823">_xlfn.IFS(L823=0,"Out of Stock",L823&gt;=2,"Limited Stock",L823&lt;2,"In Stock")</f>
        <v>Limited Stock</v>
      </c>
    </row>
    <row r="824" spans="2:13">
      <c r="B824" s="2" t="s">
        <v>1389</v>
      </c>
      <c r="C824" s="5" t="str">
        <f>_xlfn.XLOOKUP(B824,Master[Product_Code],Master[Category])</f>
        <v>Pants</v>
      </c>
      <c r="D824" s="2" t="str">
        <f>_xlfn.XLOOKUP(B824,Master[Product_Code],Master[Brand])</f>
        <v>Raymond</v>
      </c>
      <c r="E824" s="2" t="str">
        <f>_xlfn.XLOOKUP(B824,Master[Product_Code],Master[Style])</f>
        <v>Polofit</v>
      </c>
      <c r="F824" s="2" t="str">
        <f>_xlfn.XLOOKUP(B824,Master[Product_Code],Master[Fabric])</f>
        <v>Lycra</v>
      </c>
      <c r="G824" s="2">
        <f>_xlfn.XLOOKUP(B824,Master[Product_Code],Master[Size])</f>
        <v>28</v>
      </c>
      <c r="H824" s="2" t="str">
        <f>_xlfn.XLOOKUP(B824,Master[Product_Code],Master[Color])</f>
        <v>Cream</v>
      </c>
      <c r="I824" s="4">
        <f>_xlfn.XLOOKUP(B824,Master[Product_Code],Master[Stock_Qty])</f>
        <v>3</v>
      </c>
      <c r="J824" s="6">
        <f>SUMIFS(
  Sales_Entry[Qty],
  Sales_Entry[Product_Code], Stock_Table[[#This Row],[Product_Code]]
)</f>
        <v>1</v>
      </c>
      <c r="K824" s="4">
        <f>SUMIFS(
  Exchange_Return[Qty],
  Exchange_Return[Product_Code], Stock_Table[[#This Row],[Product_Code]]
)</f>
        <v>0</v>
      </c>
      <c r="L824" s="4">
        <f>I824-J824+K824</f>
        <v>2</v>
      </c>
      <c r="M824" s="2" t="str" cm="1">
        <f t="array" ref="M824">_xlfn.IFS(L824=0,"Out of Stock",L824&gt;=2,"Limited Stock",L824&lt;2,"In Stock")</f>
        <v>Limited Stock</v>
      </c>
    </row>
    <row r="825" spans="2:13">
      <c r="B825" s="2" t="s">
        <v>1390</v>
      </c>
      <c r="C825" s="5" t="str">
        <f>_xlfn.XLOOKUP(B825,Master[Product_Code],Master[Category])</f>
        <v>Pants</v>
      </c>
      <c r="D825" s="2" t="str">
        <f>_xlfn.XLOOKUP(B825,Master[Product_Code],Master[Brand])</f>
        <v>Louis Philippe</v>
      </c>
      <c r="E825" s="2" t="str">
        <f>_xlfn.XLOOKUP(B825,Master[Product_Code],Master[Style])</f>
        <v>Jogger</v>
      </c>
      <c r="F825" s="2" t="str">
        <f>_xlfn.XLOOKUP(B825,Master[Product_Code],Master[Fabric])</f>
        <v>Poly Viscose</v>
      </c>
      <c r="G825" s="2">
        <f>_xlfn.XLOOKUP(B825,Master[Product_Code],Master[Size])</f>
        <v>40</v>
      </c>
      <c r="H825" s="2" t="str">
        <f>_xlfn.XLOOKUP(B825,Master[Product_Code],Master[Color])</f>
        <v>Olive</v>
      </c>
      <c r="I825" s="4">
        <f>_xlfn.XLOOKUP(B825,Master[Product_Code],Master[Stock_Qty])</f>
        <v>3</v>
      </c>
      <c r="J825" s="6">
        <f>SUMIFS(
  Sales_Entry[Qty],
  Sales_Entry[Product_Code], Stock_Table[[#This Row],[Product_Code]]
)</f>
        <v>3</v>
      </c>
      <c r="K825" s="4">
        <f>SUMIFS(
  Exchange_Return[Qty],
  Exchange_Return[Product_Code], Stock_Table[[#This Row],[Product_Code]]
)</f>
        <v>0</v>
      </c>
      <c r="L825" s="4">
        <f>I825-J825+K825</f>
        <v>0</v>
      </c>
      <c r="M825" s="2" t="str" cm="1">
        <f t="array" ref="M825">_xlfn.IFS(L825=0,"Out of Stock",L825&gt;=2,"Limited Stock",L825&lt;2,"In Stock")</f>
        <v>Out of Stock</v>
      </c>
    </row>
    <row r="826" spans="2:13">
      <c r="B826" s="2" t="s">
        <v>1391</v>
      </c>
      <c r="C826" s="5" t="str">
        <f>_xlfn.XLOOKUP(B826,Master[Product_Code],Master[Category])</f>
        <v>Pants</v>
      </c>
      <c r="D826" s="2" t="str">
        <f>_xlfn.XLOOKUP(B826,Master[Product_Code],Master[Brand])</f>
        <v>Louis Philippe</v>
      </c>
      <c r="E826" s="2" t="str">
        <f>_xlfn.XLOOKUP(B826,Master[Product_Code],Master[Style])</f>
        <v>Korean</v>
      </c>
      <c r="F826" s="2" t="str">
        <f>_xlfn.XLOOKUP(B826,Master[Product_Code],Master[Fabric])</f>
        <v>Lycra</v>
      </c>
      <c r="G826" s="2">
        <f>_xlfn.XLOOKUP(B826,Master[Product_Code],Master[Size])</f>
        <v>42</v>
      </c>
      <c r="H826" s="2" t="str">
        <f>_xlfn.XLOOKUP(B826,Master[Product_Code],Master[Color])</f>
        <v>Black</v>
      </c>
      <c r="I826" s="4">
        <f>_xlfn.XLOOKUP(B826,Master[Product_Code],Master[Stock_Qty])</f>
        <v>4</v>
      </c>
      <c r="J826" s="6">
        <f>SUMIFS(
  Sales_Entry[Qty],
  Sales_Entry[Product_Code], Stock_Table[[#This Row],[Product_Code]]
)</f>
        <v>2</v>
      </c>
      <c r="K826" s="4">
        <f>SUMIFS(
  Exchange_Return[Qty],
  Exchange_Return[Product_Code], Stock_Table[[#This Row],[Product_Code]]
)</f>
        <v>0</v>
      </c>
      <c r="L826" s="4">
        <f>I826-J826+K826</f>
        <v>2</v>
      </c>
      <c r="M826" s="2" t="str" cm="1">
        <f t="array" ref="M826">_xlfn.IFS(L826=0,"Out of Stock",L826&gt;=2,"Limited Stock",L826&lt;2,"In Stock")</f>
        <v>Limited Stock</v>
      </c>
    </row>
    <row r="827" spans="2:13">
      <c r="B827" s="2" t="s">
        <v>1392</v>
      </c>
      <c r="C827" s="5" t="str">
        <f>_xlfn.XLOOKUP(B827,Master[Product_Code],Master[Category])</f>
        <v>Pants</v>
      </c>
      <c r="D827" s="2" t="str">
        <f>_xlfn.XLOOKUP(B827,Master[Product_Code],Master[Brand])</f>
        <v>Van Heusen</v>
      </c>
      <c r="E827" s="2" t="str">
        <f>_xlfn.XLOOKUP(B827,Master[Product_Code],Master[Style])</f>
        <v>Korean</v>
      </c>
      <c r="F827" s="2" t="str">
        <f>_xlfn.XLOOKUP(B827,Master[Product_Code],Master[Fabric])</f>
        <v>Lycra</v>
      </c>
      <c r="G827" s="2">
        <f>_xlfn.XLOOKUP(B827,Master[Product_Code],Master[Size])</f>
        <v>30</v>
      </c>
      <c r="H827" s="2" t="str">
        <f>_xlfn.XLOOKUP(B827,Master[Product_Code],Master[Color])</f>
        <v>Royal Blue</v>
      </c>
      <c r="I827" s="4">
        <f>_xlfn.XLOOKUP(B827,Master[Product_Code],Master[Stock_Qty])</f>
        <v>5</v>
      </c>
      <c r="J827" s="6">
        <f>SUMIFS(
  Sales_Entry[Qty],
  Sales_Entry[Product_Code], Stock_Table[[#This Row],[Product_Code]]
)</f>
        <v>0</v>
      </c>
      <c r="K827" s="4">
        <f>SUMIFS(
  Exchange_Return[Qty],
  Exchange_Return[Product_Code], Stock_Table[[#This Row],[Product_Code]]
)</f>
        <v>0</v>
      </c>
      <c r="L827" s="4">
        <f>I827-J827+K827</f>
        <v>5</v>
      </c>
      <c r="M827" s="2" t="str" cm="1">
        <f t="array" ref="M827">_xlfn.IFS(L827=0,"Out of Stock",L827&gt;=2,"Limited Stock",L827&lt;2,"In Stock")</f>
        <v>Limited Stock</v>
      </c>
    </row>
    <row r="828" spans="2:13">
      <c r="B828" s="2" t="s">
        <v>1393</v>
      </c>
      <c r="C828" s="5" t="str">
        <f>_xlfn.XLOOKUP(B828,Master[Product_Code],Master[Category])</f>
        <v>Pants</v>
      </c>
      <c r="D828" s="2" t="str">
        <f>_xlfn.XLOOKUP(B828,Master[Product_Code],Master[Brand])</f>
        <v>Peter England</v>
      </c>
      <c r="E828" s="2" t="str">
        <f>_xlfn.XLOOKUP(B828,Master[Product_Code],Master[Style])</f>
        <v>Boot Cut</v>
      </c>
      <c r="F828" s="2" t="str">
        <f>_xlfn.XLOOKUP(B828,Master[Product_Code],Master[Fabric])</f>
        <v>Poly Viscose</v>
      </c>
      <c r="G828" s="2">
        <f>_xlfn.XLOOKUP(B828,Master[Product_Code],Master[Size])</f>
        <v>28</v>
      </c>
      <c r="H828" s="2" t="str">
        <f>_xlfn.XLOOKUP(B828,Master[Product_Code],Master[Color])</f>
        <v>Beige</v>
      </c>
      <c r="I828" s="4">
        <f>_xlfn.XLOOKUP(B828,Master[Product_Code],Master[Stock_Qty])</f>
        <v>6</v>
      </c>
      <c r="J828" s="6">
        <f>SUMIFS(
  Sales_Entry[Qty],
  Sales_Entry[Product_Code], Stock_Table[[#This Row],[Product_Code]]
)</f>
        <v>4</v>
      </c>
      <c r="K828" s="4">
        <f>SUMIFS(
  Exchange_Return[Qty],
  Exchange_Return[Product_Code], Stock_Table[[#This Row],[Product_Code]]
)</f>
        <v>0</v>
      </c>
      <c r="L828" s="4">
        <f>I828-J828+K828</f>
        <v>2</v>
      </c>
      <c r="M828" s="2" t="str" cm="1">
        <f t="array" ref="M828">_xlfn.IFS(L828=0,"Out of Stock",L828&gt;=2,"Limited Stock",L828&lt;2,"In Stock")</f>
        <v>Limited Stock</v>
      </c>
    </row>
    <row r="829" spans="2:13">
      <c r="B829" s="2" t="s">
        <v>1394</v>
      </c>
      <c r="C829" s="5" t="str">
        <f>_xlfn.XLOOKUP(B829,Master[Product_Code],Master[Category])</f>
        <v>Pants</v>
      </c>
      <c r="D829" s="2" t="str">
        <f>_xlfn.XLOOKUP(B829,Master[Product_Code],Master[Brand])</f>
        <v>Park Avenue</v>
      </c>
      <c r="E829" s="2" t="str">
        <f>_xlfn.XLOOKUP(B829,Master[Product_Code],Master[Style])</f>
        <v>Kurka</v>
      </c>
      <c r="F829" s="2" t="str">
        <f>_xlfn.XLOOKUP(B829,Master[Product_Code],Master[Fabric])</f>
        <v>Lycra</v>
      </c>
      <c r="G829" s="2">
        <f>_xlfn.XLOOKUP(B829,Master[Product_Code],Master[Size])</f>
        <v>34</v>
      </c>
      <c r="H829" s="2" t="str">
        <f>_xlfn.XLOOKUP(B829,Master[Product_Code],Master[Color])</f>
        <v>Rust</v>
      </c>
      <c r="I829" s="4">
        <f>_xlfn.XLOOKUP(B829,Master[Product_Code],Master[Stock_Qty])</f>
        <v>3</v>
      </c>
      <c r="J829" s="6">
        <f>SUMIFS(
  Sales_Entry[Qty],
  Sales_Entry[Product_Code], Stock_Table[[#This Row],[Product_Code]]
)</f>
        <v>1</v>
      </c>
      <c r="K829" s="4">
        <f>SUMIFS(
  Exchange_Return[Qty],
  Exchange_Return[Product_Code], Stock_Table[[#This Row],[Product_Code]]
)</f>
        <v>0</v>
      </c>
      <c r="L829" s="4">
        <f>I829-J829+K829</f>
        <v>2</v>
      </c>
      <c r="M829" s="2" t="str" cm="1">
        <f t="array" ref="M829">_xlfn.IFS(L829=0,"Out of Stock",L829&gt;=2,"Limited Stock",L829&lt;2,"In Stock")</f>
        <v>Limited Stock</v>
      </c>
    </row>
    <row r="830" spans="2:13">
      <c r="B830" s="2" t="s">
        <v>1395</v>
      </c>
      <c r="C830" s="5" t="str">
        <f>_xlfn.XLOOKUP(B830,Master[Product_Code],Master[Category])</f>
        <v>Pants</v>
      </c>
      <c r="D830" s="2" t="str">
        <f>_xlfn.XLOOKUP(B830,Master[Product_Code],Master[Brand])</f>
        <v>Park Avenue</v>
      </c>
      <c r="E830" s="2" t="str">
        <f>_xlfn.XLOOKUP(B830,Master[Product_Code],Master[Style])</f>
        <v>Jogger</v>
      </c>
      <c r="F830" s="2" t="str">
        <f>_xlfn.XLOOKUP(B830,Master[Product_Code],Master[Fabric])</f>
        <v>Poly Viscose</v>
      </c>
      <c r="G830" s="2">
        <f>_xlfn.XLOOKUP(B830,Master[Product_Code],Master[Size])</f>
        <v>32</v>
      </c>
      <c r="H830" s="2" t="str">
        <f>_xlfn.XLOOKUP(B830,Master[Product_Code],Master[Color])</f>
        <v>Dark Green</v>
      </c>
      <c r="I830" s="4">
        <f>_xlfn.XLOOKUP(B830,Master[Product_Code],Master[Stock_Qty])</f>
        <v>4</v>
      </c>
      <c r="J830" s="6">
        <f>SUMIFS(
  Sales_Entry[Qty],
  Sales_Entry[Product_Code], Stock_Table[[#This Row],[Product_Code]]
)</f>
        <v>1</v>
      </c>
      <c r="K830" s="4">
        <f>SUMIFS(
  Exchange_Return[Qty],
  Exchange_Return[Product_Code], Stock_Table[[#This Row],[Product_Code]]
)</f>
        <v>0</v>
      </c>
      <c r="L830" s="4">
        <f>I830-J830+K830</f>
        <v>3</v>
      </c>
      <c r="M830" s="2" t="str" cm="1">
        <f t="array" ref="M830">_xlfn.IFS(L830=0,"Out of Stock",L830&gt;=2,"Limited Stock",L830&lt;2,"In Stock")</f>
        <v>Limited Stock</v>
      </c>
    </row>
    <row r="831" spans="2:13">
      <c r="B831" s="2" t="s">
        <v>1396</v>
      </c>
      <c r="C831" s="5" t="str">
        <f>_xlfn.XLOOKUP(B831,Master[Product_Code],Master[Category])</f>
        <v>Pants</v>
      </c>
      <c r="D831" s="2" t="str">
        <f>_xlfn.XLOOKUP(B831,Master[Product_Code],Master[Brand])</f>
        <v>Park Avenue</v>
      </c>
      <c r="E831" s="2" t="str">
        <f>_xlfn.XLOOKUP(B831,Master[Product_Code],Master[Style])</f>
        <v>Jogger</v>
      </c>
      <c r="F831" s="2" t="str">
        <f>_xlfn.XLOOKUP(B831,Master[Product_Code],Master[Fabric])</f>
        <v>Cotton Blend</v>
      </c>
      <c r="G831" s="2">
        <f>_xlfn.XLOOKUP(B831,Master[Product_Code],Master[Size])</f>
        <v>32</v>
      </c>
      <c r="H831" s="2" t="str">
        <f>_xlfn.XLOOKUP(B831,Master[Product_Code],Master[Color])</f>
        <v>Navy Blue</v>
      </c>
      <c r="I831" s="4">
        <f>_xlfn.XLOOKUP(B831,Master[Product_Code],Master[Stock_Qty])</f>
        <v>4</v>
      </c>
      <c r="J831" s="6">
        <f>SUMIFS(
  Sales_Entry[Qty],
  Sales_Entry[Product_Code], Stock_Table[[#This Row],[Product_Code]]
)</f>
        <v>2</v>
      </c>
      <c r="K831" s="4">
        <f>SUMIFS(
  Exchange_Return[Qty],
  Exchange_Return[Product_Code], Stock_Table[[#This Row],[Product_Code]]
)</f>
        <v>0</v>
      </c>
      <c r="L831" s="4">
        <f>I831-J831+K831</f>
        <v>2</v>
      </c>
      <c r="M831" s="2" t="str" cm="1">
        <f t="array" ref="M831">_xlfn.IFS(L831=0,"Out of Stock",L831&gt;=2,"Limited Stock",L831&lt;2,"In Stock")</f>
        <v>Limited Stock</v>
      </c>
    </row>
    <row r="832" spans="2:13">
      <c r="B832" s="2" t="s">
        <v>1397</v>
      </c>
      <c r="C832" s="5" t="str">
        <f>_xlfn.XLOOKUP(B832,Master[Product_Code],Master[Category])</f>
        <v>Pants</v>
      </c>
      <c r="D832" s="2" t="str">
        <f>_xlfn.XLOOKUP(B832,Master[Product_Code],Master[Brand])</f>
        <v>Peter England</v>
      </c>
      <c r="E832" s="2" t="str">
        <f>_xlfn.XLOOKUP(B832,Master[Product_Code],Master[Style])</f>
        <v>Korean</v>
      </c>
      <c r="F832" s="2" t="str">
        <f>_xlfn.XLOOKUP(B832,Master[Product_Code],Master[Fabric])</f>
        <v>Lycra</v>
      </c>
      <c r="G832" s="2">
        <f>_xlfn.XLOOKUP(B832,Master[Product_Code],Master[Size])</f>
        <v>34</v>
      </c>
      <c r="H832" s="2" t="str">
        <f>_xlfn.XLOOKUP(B832,Master[Product_Code],Master[Color])</f>
        <v>Wine</v>
      </c>
      <c r="I832" s="4">
        <f>_xlfn.XLOOKUP(B832,Master[Product_Code],Master[Stock_Qty])</f>
        <v>5</v>
      </c>
      <c r="J832" s="6">
        <f>SUMIFS(
  Sales_Entry[Qty],
  Sales_Entry[Product_Code], Stock_Table[[#This Row],[Product_Code]]
)</f>
        <v>3</v>
      </c>
      <c r="K832" s="4">
        <f>SUMIFS(
  Exchange_Return[Qty],
  Exchange_Return[Product_Code], Stock_Table[[#This Row],[Product_Code]]
)</f>
        <v>0</v>
      </c>
      <c r="L832" s="4">
        <f>I832-J832+K832</f>
        <v>2</v>
      </c>
      <c r="M832" s="2" t="str" cm="1">
        <f t="array" ref="M832">_xlfn.IFS(L832=0,"Out of Stock",L832&gt;=2,"Limited Stock",L832&lt;2,"In Stock")</f>
        <v>Limited Stock</v>
      </c>
    </row>
    <row r="833" spans="2:13">
      <c r="B833" s="2" t="s">
        <v>1398</v>
      </c>
      <c r="C833" s="5" t="str">
        <f>_xlfn.XLOOKUP(B833,Master[Product_Code],Master[Category])</f>
        <v>Pants</v>
      </c>
      <c r="D833" s="2" t="str">
        <f>_xlfn.XLOOKUP(B833,Master[Product_Code],Master[Brand])</f>
        <v>Raymond</v>
      </c>
      <c r="E833" s="2" t="str">
        <f>_xlfn.XLOOKUP(B833,Master[Product_Code],Master[Style])</f>
        <v>Jogger</v>
      </c>
      <c r="F833" s="2" t="str">
        <f>_xlfn.XLOOKUP(B833,Master[Product_Code],Master[Fabric])</f>
        <v>Cotton Blend</v>
      </c>
      <c r="G833" s="2">
        <f>_xlfn.XLOOKUP(B833,Master[Product_Code],Master[Size])</f>
        <v>36</v>
      </c>
      <c r="H833" s="2" t="str">
        <f>_xlfn.XLOOKUP(B833,Master[Product_Code],Master[Color])</f>
        <v>Dark Green</v>
      </c>
      <c r="I833" s="4">
        <f>_xlfn.XLOOKUP(B833,Master[Product_Code],Master[Stock_Qty])</f>
        <v>6</v>
      </c>
      <c r="J833" s="6">
        <f>SUMIFS(
  Sales_Entry[Qty],
  Sales_Entry[Product_Code], Stock_Table[[#This Row],[Product_Code]]
)</f>
        <v>0</v>
      </c>
      <c r="K833" s="4">
        <f>SUMIFS(
  Exchange_Return[Qty],
  Exchange_Return[Product_Code], Stock_Table[[#This Row],[Product_Code]]
)</f>
        <v>0</v>
      </c>
      <c r="L833" s="4">
        <f>I833-J833+K833</f>
        <v>6</v>
      </c>
      <c r="M833" s="2" t="str" cm="1">
        <f t="array" ref="M833">_xlfn.IFS(L833=0,"Out of Stock",L833&gt;=2,"Limited Stock",L833&lt;2,"In Stock")</f>
        <v>Limited Stock</v>
      </c>
    </row>
    <row r="834" spans="2:13">
      <c r="B834" s="2" t="s">
        <v>1399</v>
      </c>
      <c r="C834" s="5" t="str">
        <f>_xlfn.XLOOKUP(B834,Master[Product_Code],Master[Category])</f>
        <v>Pants</v>
      </c>
      <c r="D834" s="2" t="str">
        <f>_xlfn.XLOOKUP(B834,Master[Product_Code],Master[Brand])</f>
        <v>Louis Philippe</v>
      </c>
      <c r="E834" s="2" t="str">
        <f>_xlfn.XLOOKUP(B834,Master[Product_Code],Master[Style])</f>
        <v>Polofit</v>
      </c>
      <c r="F834" s="2" t="str">
        <f>_xlfn.XLOOKUP(B834,Master[Product_Code],Master[Fabric])</f>
        <v>Lycra</v>
      </c>
      <c r="G834" s="2">
        <f>_xlfn.XLOOKUP(B834,Master[Product_Code],Master[Size])</f>
        <v>40</v>
      </c>
      <c r="H834" s="2" t="str">
        <f>_xlfn.XLOOKUP(B834,Master[Product_Code],Master[Color])</f>
        <v>Bottle Green</v>
      </c>
      <c r="I834" s="4">
        <f>_xlfn.XLOOKUP(B834,Master[Product_Code],Master[Stock_Qty])</f>
        <v>5</v>
      </c>
      <c r="J834" s="6">
        <f>SUMIFS(
  Sales_Entry[Qty],
  Sales_Entry[Product_Code], Stock_Table[[#This Row],[Product_Code]]
)</f>
        <v>0</v>
      </c>
      <c r="K834" s="4">
        <f>SUMIFS(
  Exchange_Return[Qty],
  Exchange_Return[Product_Code], Stock_Table[[#This Row],[Product_Code]]
)</f>
        <v>0</v>
      </c>
      <c r="L834" s="4">
        <f>I834-J834+K834</f>
        <v>5</v>
      </c>
      <c r="M834" s="2" t="str" cm="1">
        <f t="array" ref="M834">_xlfn.IFS(L834=0,"Out of Stock",L834&gt;=2,"Limited Stock",L834&lt;2,"In Stock")</f>
        <v>Limited Stock</v>
      </c>
    </row>
    <row r="835" spans="2:13">
      <c r="B835" s="2" t="s">
        <v>1400</v>
      </c>
      <c r="C835" s="5" t="str">
        <f>_xlfn.XLOOKUP(B835,Master[Product_Code],Master[Category])</f>
        <v>Pants</v>
      </c>
      <c r="D835" s="2" t="str">
        <f>_xlfn.XLOOKUP(B835,Master[Product_Code],Master[Brand])</f>
        <v>Park Avenue</v>
      </c>
      <c r="E835" s="2" t="str">
        <f>_xlfn.XLOOKUP(B835,Master[Product_Code],Master[Style])</f>
        <v>Boot Cut</v>
      </c>
      <c r="F835" s="2" t="str">
        <f>_xlfn.XLOOKUP(B835,Master[Product_Code],Master[Fabric])</f>
        <v>Poly Viscose</v>
      </c>
      <c r="G835" s="2">
        <f>_xlfn.XLOOKUP(B835,Master[Product_Code],Master[Size])</f>
        <v>38</v>
      </c>
      <c r="H835" s="2" t="str">
        <f>_xlfn.XLOOKUP(B835,Master[Product_Code],Master[Color])</f>
        <v>Wine</v>
      </c>
      <c r="I835" s="4">
        <f>_xlfn.XLOOKUP(B835,Master[Product_Code],Master[Stock_Qty])</f>
        <v>3</v>
      </c>
      <c r="J835" s="6">
        <f>SUMIFS(
  Sales_Entry[Qty],
  Sales_Entry[Product_Code], Stock_Table[[#This Row],[Product_Code]]
)</f>
        <v>3</v>
      </c>
      <c r="K835" s="4">
        <f>SUMIFS(
  Exchange_Return[Qty],
  Exchange_Return[Product_Code], Stock_Table[[#This Row],[Product_Code]]
)</f>
        <v>0</v>
      </c>
      <c r="L835" s="4">
        <f>I835-J835+K835</f>
        <v>0</v>
      </c>
      <c r="M835" s="2" t="str" cm="1">
        <f t="array" ref="M835">_xlfn.IFS(L835=0,"Out of Stock",L835&gt;=2,"Limited Stock",L835&lt;2,"In Stock")</f>
        <v>Out of Stock</v>
      </c>
    </row>
    <row r="836" spans="2:13">
      <c r="B836" s="2" t="s">
        <v>1401</v>
      </c>
      <c r="C836" s="5" t="str">
        <f>_xlfn.XLOOKUP(B836,Master[Product_Code],Master[Category])</f>
        <v>Pants</v>
      </c>
      <c r="D836" s="2" t="str">
        <f>_xlfn.XLOOKUP(B836,Master[Product_Code],Master[Brand])</f>
        <v>Raymond</v>
      </c>
      <c r="E836" s="2" t="str">
        <f>_xlfn.XLOOKUP(B836,Master[Product_Code],Master[Style])</f>
        <v>Korean</v>
      </c>
      <c r="F836" s="2" t="str">
        <f>_xlfn.XLOOKUP(B836,Master[Product_Code],Master[Fabric])</f>
        <v>Lycra</v>
      </c>
      <c r="G836" s="2">
        <f>_xlfn.XLOOKUP(B836,Master[Product_Code],Master[Size])</f>
        <v>44</v>
      </c>
      <c r="H836" s="2" t="str">
        <f>_xlfn.XLOOKUP(B836,Master[Product_Code],Master[Color])</f>
        <v>Cream</v>
      </c>
      <c r="I836" s="4">
        <f>_xlfn.XLOOKUP(B836,Master[Product_Code],Master[Stock_Qty])</f>
        <v>5</v>
      </c>
      <c r="J836" s="6">
        <f>SUMIFS(
  Sales_Entry[Qty],
  Sales_Entry[Product_Code], Stock_Table[[#This Row],[Product_Code]]
)</f>
        <v>1</v>
      </c>
      <c r="K836" s="4">
        <f>SUMIFS(
  Exchange_Return[Qty],
  Exchange_Return[Product_Code], Stock_Table[[#This Row],[Product_Code]]
)</f>
        <v>0</v>
      </c>
      <c r="L836" s="4">
        <f>I836-J836+K836</f>
        <v>4</v>
      </c>
      <c r="M836" s="2" t="str" cm="1">
        <f t="array" ref="M836">_xlfn.IFS(L836=0,"Out of Stock",L836&gt;=2,"Limited Stock",L836&lt;2,"In Stock")</f>
        <v>Limited Stock</v>
      </c>
    </row>
    <row r="837" spans="2:13">
      <c r="B837" s="2" t="s">
        <v>1402</v>
      </c>
      <c r="C837" s="5" t="str">
        <f>_xlfn.XLOOKUP(B837,Master[Product_Code],Master[Category])</f>
        <v>Pants</v>
      </c>
      <c r="D837" s="2" t="str">
        <f>_xlfn.XLOOKUP(B837,Master[Product_Code],Master[Brand])</f>
        <v>Louis Philippe</v>
      </c>
      <c r="E837" s="2" t="str">
        <f>_xlfn.XLOOKUP(B837,Master[Product_Code],Master[Style])</f>
        <v>Kurka</v>
      </c>
      <c r="F837" s="2" t="str">
        <f>_xlfn.XLOOKUP(B837,Master[Product_Code],Master[Fabric])</f>
        <v>Lycra</v>
      </c>
      <c r="G837" s="2">
        <f>_xlfn.XLOOKUP(B837,Master[Product_Code],Master[Size])</f>
        <v>30</v>
      </c>
      <c r="H837" s="2" t="str">
        <f>_xlfn.XLOOKUP(B837,Master[Product_Code],Master[Color])</f>
        <v>Light Grey</v>
      </c>
      <c r="I837" s="4">
        <f>_xlfn.XLOOKUP(B837,Master[Product_Code],Master[Stock_Qty])</f>
        <v>3</v>
      </c>
      <c r="J837" s="6">
        <f>SUMIFS(
  Sales_Entry[Qty],
  Sales_Entry[Product_Code], Stock_Table[[#This Row],[Product_Code]]
)</f>
        <v>2</v>
      </c>
      <c r="K837" s="4">
        <f>SUMIFS(
  Exchange_Return[Qty],
  Exchange_Return[Product_Code], Stock_Table[[#This Row],[Product_Code]]
)</f>
        <v>0</v>
      </c>
      <c r="L837" s="4">
        <f>I837-J837+K837</f>
        <v>1</v>
      </c>
      <c r="M837" s="2" t="str" cm="1">
        <f t="array" ref="M837">_xlfn.IFS(L837=0,"Out of Stock",L837&gt;=2,"Limited Stock",L837&lt;2,"In Stock")</f>
        <v>In Stock</v>
      </c>
    </row>
    <row r="838" spans="2:13">
      <c r="B838" s="2" t="s">
        <v>1403</v>
      </c>
      <c r="C838" s="5" t="str">
        <f>_xlfn.XLOOKUP(B838,Master[Product_Code],Master[Category])</f>
        <v>Pants</v>
      </c>
      <c r="D838" s="2" t="str">
        <f>_xlfn.XLOOKUP(B838,Master[Product_Code],Master[Brand])</f>
        <v>Louis Philippe</v>
      </c>
      <c r="E838" s="2" t="str">
        <f>_xlfn.XLOOKUP(B838,Master[Product_Code],Master[Style])</f>
        <v>Polofit</v>
      </c>
      <c r="F838" s="2" t="str">
        <f>_xlfn.XLOOKUP(B838,Master[Product_Code],Master[Fabric])</f>
        <v>Lycra</v>
      </c>
      <c r="G838" s="2">
        <f>_xlfn.XLOOKUP(B838,Master[Product_Code],Master[Size])</f>
        <v>34</v>
      </c>
      <c r="H838" s="2" t="str">
        <f>_xlfn.XLOOKUP(B838,Master[Product_Code],Master[Color])</f>
        <v>Olive</v>
      </c>
      <c r="I838" s="4">
        <f>_xlfn.XLOOKUP(B838,Master[Product_Code],Master[Stock_Qty])</f>
        <v>5</v>
      </c>
      <c r="J838" s="6">
        <f>SUMIFS(
  Sales_Entry[Qty],
  Sales_Entry[Product_Code], Stock_Table[[#This Row],[Product_Code]]
)</f>
        <v>3</v>
      </c>
      <c r="K838" s="4">
        <f>SUMIFS(
  Exchange_Return[Qty],
  Exchange_Return[Product_Code], Stock_Table[[#This Row],[Product_Code]]
)</f>
        <v>0</v>
      </c>
      <c r="L838" s="4">
        <f>I838-J838+K838</f>
        <v>2</v>
      </c>
      <c r="M838" s="2" t="str" cm="1">
        <f t="array" ref="M838">_xlfn.IFS(L838=0,"Out of Stock",L838&gt;=2,"Limited Stock",L838&lt;2,"In Stock")</f>
        <v>Limited Stock</v>
      </c>
    </row>
    <row r="839" spans="2:13">
      <c r="B839" s="2" t="s">
        <v>1404</v>
      </c>
      <c r="C839" s="5" t="str">
        <f>_xlfn.XLOOKUP(B839,Master[Product_Code],Master[Category])</f>
        <v>Pants</v>
      </c>
      <c r="D839" s="2" t="str">
        <f>_xlfn.XLOOKUP(B839,Master[Product_Code],Master[Brand])</f>
        <v>Raymond</v>
      </c>
      <c r="E839" s="2" t="str">
        <f>_xlfn.XLOOKUP(B839,Master[Product_Code],Master[Style])</f>
        <v>Polofit</v>
      </c>
      <c r="F839" s="2" t="str">
        <f>_xlfn.XLOOKUP(B839,Master[Product_Code],Master[Fabric])</f>
        <v>Lycra</v>
      </c>
      <c r="G839" s="2">
        <f>_xlfn.XLOOKUP(B839,Master[Product_Code],Master[Size])</f>
        <v>42</v>
      </c>
      <c r="H839" s="2" t="str">
        <f>_xlfn.XLOOKUP(B839,Master[Product_Code],Master[Color])</f>
        <v>Bottle Green</v>
      </c>
      <c r="I839" s="4">
        <f>_xlfn.XLOOKUP(B839,Master[Product_Code],Master[Stock_Qty])</f>
        <v>3</v>
      </c>
      <c r="J839" s="6">
        <f>SUMIFS(
  Sales_Entry[Qty],
  Sales_Entry[Product_Code], Stock_Table[[#This Row],[Product_Code]]
)</f>
        <v>3</v>
      </c>
      <c r="K839" s="4">
        <f>SUMIFS(
  Exchange_Return[Qty],
  Exchange_Return[Product_Code], Stock_Table[[#This Row],[Product_Code]]
)</f>
        <v>0</v>
      </c>
      <c r="L839" s="4">
        <f>I839-J839+K839</f>
        <v>0</v>
      </c>
      <c r="M839" s="2" t="str" cm="1">
        <f t="array" ref="M839">_xlfn.IFS(L839=0,"Out of Stock",L839&gt;=2,"Limited Stock",L839&lt;2,"In Stock")</f>
        <v>Out of Stock</v>
      </c>
    </row>
    <row r="840" spans="2:13">
      <c r="B840" s="2" t="s">
        <v>1405</v>
      </c>
      <c r="C840" s="5" t="str">
        <f>_xlfn.XLOOKUP(B840,Master[Product_Code],Master[Category])</f>
        <v>Pants</v>
      </c>
      <c r="D840" s="2" t="str">
        <f>_xlfn.XLOOKUP(B840,Master[Product_Code],Master[Brand])</f>
        <v>Van Heusen</v>
      </c>
      <c r="E840" s="2" t="str">
        <f>_xlfn.XLOOKUP(B840,Master[Product_Code],Master[Style])</f>
        <v>Korean</v>
      </c>
      <c r="F840" s="2" t="str">
        <f>_xlfn.XLOOKUP(B840,Master[Product_Code],Master[Fabric])</f>
        <v>Lycra</v>
      </c>
      <c r="G840" s="2">
        <f>_xlfn.XLOOKUP(B840,Master[Product_Code],Master[Size])</f>
        <v>30</v>
      </c>
      <c r="H840" s="2" t="str">
        <f>_xlfn.XLOOKUP(B840,Master[Product_Code],Master[Color])</f>
        <v>Peach</v>
      </c>
      <c r="I840" s="4">
        <f>_xlfn.XLOOKUP(B840,Master[Product_Code],Master[Stock_Qty])</f>
        <v>4</v>
      </c>
      <c r="J840" s="6">
        <f>SUMIFS(
  Sales_Entry[Qty],
  Sales_Entry[Product_Code], Stock_Table[[#This Row],[Product_Code]]
)</f>
        <v>2</v>
      </c>
      <c r="K840" s="4">
        <f>SUMIFS(
  Exchange_Return[Qty],
  Exchange_Return[Product_Code], Stock_Table[[#This Row],[Product_Code]]
)</f>
        <v>0</v>
      </c>
      <c r="L840" s="4">
        <f>I840-J840+K840</f>
        <v>2</v>
      </c>
      <c r="M840" s="2" t="str" cm="1">
        <f t="array" ref="M840">_xlfn.IFS(L840=0,"Out of Stock",L840&gt;=2,"Limited Stock",L840&lt;2,"In Stock")</f>
        <v>Limited Stock</v>
      </c>
    </row>
    <row r="841" spans="2:13">
      <c r="B841" s="2" t="s">
        <v>1406</v>
      </c>
      <c r="C841" s="5" t="str">
        <f>_xlfn.XLOOKUP(B841,Master[Product_Code],Master[Category])</f>
        <v>Pants</v>
      </c>
      <c r="D841" s="2" t="str">
        <f>_xlfn.XLOOKUP(B841,Master[Product_Code],Master[Brand])</f>
        <v>Raymond</v>
      </c>
      <c r="E841" s="2" t="str">
        <f>_xlfn.XLOOKUP(B841,Master[Product_Code],Master[Style])</f>
        <v>Korean</v>
      </c>
      <c r="F841" s="2" t="str">
        <f>_xlfn.XLOOKUP(B841,Master[Product_Code],Master[Fabric])</f>
        <v>Lycra</v>
      </c>
      <c r="G841" s="2">
        <f>_xlfn.XLOOKUP(B841,Master[Product_Code],Master[Size])</f>
        <v>34</v>
      </c>
      <c r="H841" s="2" t="str">
        <f>_xlfn.XLOOKUP(B841,Master[Product_Code],Master[Color])</f>
        <v>Navy Blue</v>
      </c>
      <c r="I841" s="4">
        <f>_xlfn.XLOOKUP(B841,Master[Product_Code],Master[Stock_Qty])</f>
        <v>6</v>
      </c>
      <c r="J841" s="6">
        <f>SUMIFS(
  Sales_Entry[Qty],
  Sales_Entry[Product_Code], Stock_Table[[#This Row],[Product_Code]]
)</f>
        <v>1</v>
      </c>
      <c r="K841" s="4">
        <f>SUMIFS(
  Exchange_Return[Qty],
  Exchange_Return[Product_Code], Stock_Table[[#This Row],[Product_Code]]
)</f>
        <v>0</v>
      </c>
      <c r="L841" s="4">
        <f>I841-J841+K841</f>
        <v>5</v>
      </c>
      <c r="M841" s="2" t="str" cm="1">
        <f t="array" ref="M841">_xlfn.IFS(L841=0,"Out of Stock",L841&gt;=2,"Limited Stock",L841&lt;2,"In Stock")</f>
        <v>Limited Stock</v>
      </c>
    </row>
    <row r="842" spans="2:13">
      <c r="B842" s="2" t="s">
        <v>1407</v>
      </c>
      <c r="C842" s="5" t="str">
        <f>_xlfn.XLOOKUP(B842,Master[Product_Code],Master[Category])</f>
        <v>Pants</v>
      </c>
      <c r="D842" s="2" t="str">
        <f>_xlfn.XLOOKUP(B842,Master[Product_Code],Master[Brand])</f>
        <v>Louis Philippe</v>
      </c>
      <c r="E842" s="2" t="str">
        <f>_xlfn.XLOOKUP(B842,Master[Product_Code],Master[Style])</f>
        <v>Jogger</v>
      </c>
      <c r="F842" s="2" t="str">
        <f>_xlfn.XLOOKUP(B842,Master[Product_Code],Master[Fabric])</f>
        <v>Cotton</v>
      </c>
      <c r="G842" s="2">
        <f>_xlfn.XLOOKUP(B842,Master[Product_Code],Master[Size])</f>
        <v>30</v>
      </c>
      <c r="H842" s="2" t="str">
        <f>_xlfn.XLOOKUP(B842,Master[Product_Code],Master[Color])</f>
        <v>White</v>
      </c>
      <c r="I842" s="4">
        <f>_xlfn.XLOOKUP(B842,Master[Product_Code],Master[Stock_Qty])</f>
        <v>3</v>
      </c>
      <c r="J842" s="6">
        <f>SUMIFS(
  Sales_Entry[Qty],
  Sales_Entry[Product_Code], Stock_Table[[#This Row],[Product_Code]]
)</f>
        <v>1</v>
      </c>
      <c r="K842" s="4">
        <f>SUMIFS(
  Exchange_Return[Qty],
  Exchange_Return[Product_Code], Stock_Table[[#This Row],[Product_Code]]
)</f>
        <v>0</v>
      </c>
      <c r="L842" s="4">
        <f>I842-J842+K842</f>
        <v>2</v>
      </c>
      <c r="M842" s="2" t="str" cm="1">
        <f t="array" ref="M842">_xlfn.IFS(L842=0,"Out of Stock",L842&gt;=2,"Limited Stock",L842&lt;2,"In Stock")</f>
        <v>Limited Stock</v>
      </c>
    </row>
    <row r="843" spans="2:13">
      <c r="B843" s="2" t="s">
        <v>1408</v>
      </c>
      <c r="C843" s="5" t="str">
        <f>_xlfn.XLOOKUP(B843,Master[Product_Code],Master[Category])</f>
        <v>Pants</v>
      </c>
      <c r="D843" s="2" t="str">
        <f>_xlfn.XLOOKUP(B843,Master[Product_Code],Master[Brand])</f>
        <v>Van Heusen</v>
      </c>
      <c r="E843" s="2" t="str">
        <f>_xlfn.XLOOKUP(B843,Master[Product_Code],Master[Style])</f>
        <v>Polofit</v>
      </c>
      <c r="F843" s="2" t="str">
        <f>_xlfn.XLOOKUP(B843,Master[Product_Code],Master[Fabric])</f>
        <v>Lycra</v>
      </c>
      <c r="G843" s="2">
        <f>_xlfn.XLOOKUP(B843,Master[Product_Code],Master[Size])</f>
        <v>28</v>
      </c>
      <c r="H843" s="2" t="str">
        <f>_xlfn.XLOOKUP(B843,Master[Product_Code],Master[Color])</f>
        <v>Cream</v>
      </c>
      <c r="I843" s="4">
        <f>_xlfn.XLOOKUP(B843,Master[Product_Code],Master[Stock_Qty])</f>
        <v>3</v>
      </c>
      <c r="J843" s="6">
        <f>SUMIFS(
  Sales_Entry[Qty],
  Sales_Entry[Product_Code], Stock_Table[[#This Row],[Product_Code]]
)</f>
        <v>1</v>
      </c>
      <c r="K843" s="4">
        <f>SUMIFS(
  Exchange_Return[Qty],
  Exchange_Return[Product_Code], Stock_Table[[#This Row],[Product_Code]]
)</f>
        <v>0</v>
      </c>
      <c r="L843" s="4">
        <f>I843-J843+K843</f>
        <v>2</v>
      </c>
      <c r="M843" s="2" t="str" cm="1">
        <f t="array" ref="M843">_xlfn.IFS(L843=0,"Out of Stock",L843&gt;=2,"Limited Stock",L843&lt;2,"In Stock")</f>
        <v>Limited Stock</v>
      </c>
    </row>
    <row r="844" spans="2:13">
      <c r="B844" s="2" t="s">
        <v>1409</v>
      </c>
      <c r="C844" s="5" t="str">
        <f>_xlfn.XLOOKUP(B844,Master[Product_Code],Master[Category])</f>
        <v>Pants</v>
      </c>
      <c r="D844" s="2" t="str">
        <f>_xlfn.XLOOKUP(B844,Master[Product_Code],Master[Brand])</f>
        <v>Park Avenue</v>
      </c>
      <c r="E844" s="2" t="str">
        <f>_xlfn.XLOOKUP(B844,Master[Product_Code],Master[Style])</f>
        <v>Boot Cut</v>
      </c>
      <c r="F844" s="2" t="str">
        <f>_xlfn.XLOOKUP(B844,Master[Product_Code],Master[Fabric])</f>
        <v>Cotton</v>
      </c>
      <c r="G844" s="2">
        <f>_xlfn.XLOOKUP(B844,Master[Product_Code],Master[Size])</f>
        <v>30</v>
      </c>
      <c r="H844" s="2" t="str">
        <f>_xlfn.XLOOKUP(B844,Master[Product_Code],Master[Color])</f>
        <v>White</v>
      </c>
      <c r="I844" s="4">
        <f>_xlfn.XLOOKUP(B844,Master[Product_Code],Master[Stock_Qty])</f>
        <v>3</v>
      </c>
      <c r="J844" s="6">
        <f>SUMIFS(
  Sales_Entry[Qty],
  Sales_Entry[Product_Code], Stock_Table[[#This Row],[Product_Code]]
)</f>
        <v>1</v>
      </c>
      <c r="K844" s="4">
        <f>SUMIFS(
  Exchange_Return[Qty],
  Exchange_Return[Product_Code], Stock_Table[[#This Row],[Product_Code]]
)</f>
        <v>0</v>
      </c>
      <c r="L844" s="4">
        <f>I844-J844+K844</f>
        <v>2</v>
      </c>
      <c r="M844" s="2" t="str" cm="1">
        <f t="array" ref="M844">_xlfn.IFS(L844=0,"Out of Stock",L844&gt;=2,"Limited Stock",L844&lt;2,"In Stock")</f>
        <v>Limited Stock</v>
      </c>
    </row>
    <row r="845" spans="2:13">
      <c r="B845" s="2" t="s">
        <v>1410</v>
      </c>
      <c r="C845" s="5" t="str">
        <f>_xlfn.XLOOKUP(B845,Master[Product_Code],Master[Category])</f>
        <v>Pants</v>
      </c>
      <c r="D845" s="2" t="str">
        <f>_xlfn.XLOOKUP(B845,Master[Product_Code],Master[Brand])</f>
        <v>Louis Philippe</v>
      </c>
      <c r="E845" s="2" t="str">
        <f>_xlfn.XLOOKUP(B845,Master[Product_Code],Master[Style])</f>
        <v>Boot Cut</v>
      </c>
      <c r="F845" s="2" t="str">
        <f>_xlfn.XLOOKUP(B845,Master[Product_Code],Master[Fabric])</f>
        <v>Cotton</v>
      </c>
      <c r="G845" s="2">
        <f>_xlfn.XLOOKUP(B845,Master[Product_Code],Master[Size])</f>
        <v>40</v>
      </c>
      <c r="H845" s="2" t="str">
        <f>_xlfn.XLOOKUP(B845,Master[Product_Code],Master[Color])</f>
        <v>Charcoal</v>
      </c>
      <c r="I845" s="4">
        <f>_xlfn.XLOOKUP(B845,Master[Product_Code],Master[Stock_Qty])</f>
        <v>3</v>
      </c>
      <c r="J845" s="6">
        <f>SUMIFS(
  Sales_Entry[Qty],
  Sales_Entry[Product_Code], Stock_Table[[#This Row],[Product_Code]]
)</f>
        <v>1</v>
      </c>
      <c r="K845" s="4">
        <f>SUMIFS(
  Exchange_Return[Qty],
  Exchange_Return[Product_Code], Stock_Table[[#This Row],[Product_Code]]
)</f>
        <v>0</v>
      </c>
      <c r="L845" s="4">
        <f>I845-J845+K845</f>
        <v>2</v>
      </c>
      <c r="M845" s="2" t="str" cm="1">
        <f t="array" ref="M845">_xlfn.IFS(L845=0,"Out of Stock",L845&gt;=2,"Limited Stock",L845&lt;2,"In Stock")</f>
        <v>Limited Stock</v>
      </c>
    </row>
    <row r="846" spans="2:13">
      <c r="B846" s="2" t="s">
        <v>1411</v>
      </c>
      <c r="C846" s="5" t="str">
        <f>_xlfn.XLOOKUP(B846,Master[Product_Code],Master[Category])</f>
        <v>Pants</v>
      </c>
      <c r="D846" s="2" t="str">
        <f>_xlfn.XLOOKUP(B846,Master[Product_Code],Master[Brand])</f>
        <v>Louis Philippe</v>
      </c>
      <c r="E846" s="2" t="str">
        <f>_xlfn.XLOOKUP(B846,Master[Product_Code],Master[Style])</f>
        <v>Boot Cut</v>
      </c>
      <c r="F846" s="2" t="str">
        <f>_xlfn.XLOOKUP(B846,Master[Product_Code],Master[Fabric])</f>
        <v>Poly Viscose</v>
      </c>
      <c r="G846" s="2">
        <f>_xlfn.XLOOKUP(B846,Master[Product_Code],Master[Size])</f>
        <v>30</v>
      </c>
      <c r="H846" s="2" t="str">
        <f>_xlfn.XLOOKUP(B846,Master[Product_Code],Master[Color])</f>
        <v>Mustard</v>
      </c>
      <c r="I846" s="4">
        <f>_xlfn.XLOOKUP(B846,Master[Product_Code],Master[Stock_Qty])</f>
        <v>3</v>
      </c>
      <c r="J846" s="6">
        <f>SUMIFS(
  Sales_Entry[Qty],
  Sales_Entry[Product_Code], Stock_Table[[#This Row],[Product_Code]]
)</f>
        <v>2</v>
      </c>
      <c r="K846" s="4">
        <f>SUMIFS(
  Exchange_Return[Qty],
  Exchange_Return[Product_Code], Stock_Table[[#This Row],[Product_Code]]
)</f>
        <v>0</v>
      </c>
      <c r="L846" s="4">
        <f>I846-J846+K846</f>
        <v>1</v>
      </c>
      <c r="M846" s="2" t="str" cm="1">
        <f t="array" ref="M846">_xlfn.IFS(L846=0,"Out of Stock",L846&gt;=2,"Limited Stock",L846&lt;2,"In Stock")</f>
        <v>In Stock</v>
      </c>
    </row>
    <row r="847" spans="2:13">
      <c r="B847" s="2" t="s">
        <v>1412</v>
      </c>
      <c r="C847" s="5" t="str">
        <f>_xlfn.XLOOKUP(B847,Master[Product_Code],Master[Category])</f>
        <v>Pants</v>
      </c>
      <c r="D847" s="2" t="str">
        <f>_xlfn.XLOOKUP(B847,Master[Product_Code],Master[Brand])</f>
        <v>Park Avenue</v>
      </c>
      <c r="E847" s="2" t="str">
        <f>_xlfn.XLOOKUP(B847,Master[Product_Code],Master[Style])</f>
        <v>Korean</v>
      </c>
      <c r="F847" s="2" t="str">
        <f>_xlfn.XLOOKUP(B847,Master[Product_Code],Master[Fabric])</f>
        <v>Lycra</v>
      </c>
      <c r="G847" s="2">
        <f>_xlfn.XLOOKUP(B847,Master[Product_Code],Master[Size])</f>
        <v>34</v>
      </c>
      <c r="H847" s="2" t="str">
        <f>_xlfn.XLOOKUP(B847,Master[Product_Code],Master[Color])</f>
        <v>Sky Blue</v>
      </c>
      <c r="I847" s="4">
        <f>_xlfn.XLOOKUP(B847,Master[Product_Code],Master[Stock_Qty])</f>
        <v>3</v>
      </c>
      <c r="J847" s="6">
        <f>SUMIFS(
  Sales_Entry[Qty],
  Sales_Entry[Product_Code], Stock_Table[[#This Row],[Product_Code]]
)</f>
        <v>0</v>
      </c>
      <c r="K847" s="4">
        <f>SUMIFS(
  Exchange_Return[Qty],
  Exchange_Return[Product_Code], Stock_Table[[#This Row],[Product_Code]]
)</f>
        <v>0</v>
      </c>
      <c r="L847" s="4">
        <f>I847-J847+K847</f>
        <v>3</v>
      </c>
      <c r="M847" s="2" t="str" cm="1">
        <f t="array" ref="M847">_xlfn.IFS(L847=0,"Out of Stock",L847&gt;=2,"Limited Stock",L847&lt;2,"In Stock")</f>
        <v>Limited Stock</v>
      </c>
    </row>
    <row r="848" spans="2:13">
      <c r="B848" s="2" t="s">
        <v>1413</v>
      </c>
      <c r="C848" s="5" t="str">
        <f>_xlfn.XLOOKUP(B848,Master[Product_Code],Master[Category])</f>
        <v>Pants</v>
      </c>
      <c r="D848" s="2" t="str">
        <f>_xlfn.XLOOKUP(B848,Master[Product_Code],Master[Brand])</f>
        <v>Park Avenue</v>
      </c>
      <c r="E848" s="2" t="str">
        <f>_xlfn.XLOOKUP(B848,Master[Product_Code],Master[Style])</f>
        <v>Polofit</v>
      </c>
      <c r="F848" s="2" t="str">
        <f>_xlfn.XLOOKUP(B848,Master[Product_Code],Master[Fabric])</f>
        <v>Lycra</v>
      </c>
      <c r="G848" s="2">
        <f>_xlfn.XLOOKUP(B848,Master[Product_Code],Master[Size])</f>
        <v>34</v>
      </c>
      <c r="H848" s="2" t="str">
        <f>_xlfn.XLOOKUP(B848,Master[Product_Code],Master[Color])</f>
        <v>Light Grey</v>
      </c>
      <c r="I848" s="4">
        <f>_xlfn.XLOOKUP(B848,Master[Product_Code],Master[Stock_Qty])</f>
        <v>4</v>
      </c>
      <c r="J848" s="6">
        <f>SUMIFS(
  Sales_Entry[Qty],
  Sales_Entry[Product_Code], Stock_Table[[#This Row],[Product_Code]]
)</f>
        <v>2</v>
      </c>
      <c r="K848" s="4">
        <f>SUMIFS(
  Exchange_Return[Qty],
  Exchange_Return[Product_Code], Stock_Table[[#This Row],[Product_Code]]
)</f>
        <v>0</v>
      </c>
      <c r="L848" s="4">
        <f>I848-J848+K848</f>
        <v>2</v>
      </c>
      <c r="M848" s="2" t="str" cm="1">
        <f t="array" ref="M848">_xlfn.IFS(L848=0,"Out of Stock",L848&gt;=2,"Limited Stock",L848&lt;2,"In Stock")</f>
        <v>Limited Stock</v>
      </c>
    </row>
    <row r="849" spans="2:13">
      <c r="B849" s="2" t="s">
        <v>1414</v>
      </c>
      <c r="C849" s="5" t="str">
        <f>_xlfn.XLOOKUP(B849,Master[Product_Code],Master[Category])</f>
        <v>Pants</v>
      </c>
      <c r="D849" s="2" t="str">
        <f>_xlfn.XLOOKUP(B849,Master[Product_Code],Master[Brand])</f>
        <v>Park Avenue</v>
      </c>
      <c r="E849" s="2" t="str">
        <f>_xlfn.XLOOKUP(B849,Master[Product_Code],Master[Style])</f>
        <v>Korean</v>
      </c>
      <c r="F849" s="2" t="str">
        <f>_xlfn.XLOOKUP(B849,Master[Product_Code],Master[Fabric])</f>
        <v>Lycra</v>
      </c>
      <c r="G849" s="2">
        <f>_xlfn.XLOOKUP(B849,Master[Product_Code],Master[Size])</f>
        <v>40</v>
      </c>
      <c r="H849" s="2" t="str">
        <f>_xlfn.XLOOKUP(B849,Master[Product_Code],Master[Color])</f>
        <v>Peach</v>
      </c>
      <c r="I849" s="4">
        <f>_xlfn.XLOOKUP(B849,Master[Product_Code],Master[Stock_Qty])</f>
        <v>6</v>
      </c>
      <c r="J849" s="6">
        <f>SUMIFS(
  Sales_Entry[Qty],
  Sales_Entry[Product_Code], Stock_Table[[#This Row],[Product_Code]]
)</f>
        <v>1</v>
      </c>
      <c r="K849" s="4">
        <f>SUMIFS(
  Exchange_Return[Qty],
  Exchange_Return[Product_Code], Stock_Table[[#This Row],[Product_Code]]
)</f>
        <v>0</v>
      </c>
      <c r="L849" s="4">
        <f>I849-J849+K849</f>
        <v>5</v>
      </c>
      <c r="M849" s="2" t="str" cm="1">
        <f t="array" ref="M849">_xlfn.IFS(L849=0,"Out of Stock",L849&gt;=2,"Limited Stock",L849&lt;2,"In Stock")</f>
        <v>Limited Stock</v>
      </c>
    </row>
    <row r="850" spans="2:13">
      <c r="B850" s="2" t="s">
        <v>1415</v>
      </c>
      <c r="C850" s="5" t="str">
        <f>_xlfn.XLOOKUP(B850,Master[Product_Code],Master[Category])</f>
        <v>Pants</v>
      </c>
      <c r="D850" s="2" t="str">
        <f>_xlfn.XLOOKUP(B850,Master[Product_Code],Master[Brand])</f>
        <v>Peter England</v>
      </c>
      <c r="E850" s="2" t="str">
        <f>_xlfn.XLOOKUP(B850,Master[Product_Code],Master[Style])</f>
        <v>Kurka</v>
      </c>
      <c r="F850" s="2" t="str">
        <f>_xlfn.XLOOKUP(B850,Master[Product_Code],Master[Fabric])</f>
        <v>Lycra</v>
      </c>
      <c r="G850" s="2">
        <f>_xlfn.XLOOKUP(B850,Master[Product_Code],Master[Size])</f>
        <v>28</v>
      </c>
      <c r="H850" s="2" t="str">
        <f>_xlfn.XLOOKUP(B850,Master[Product_Code],Master[Color])</f>
        <v>Maroon</v>
      </c>
      <c r="I850" s="4">
        <f>_xlfn.XLOOKUP(B850,Master[Product_Code],Master[Stock_Qty])</f>
        <v>5</v>
      </c>
      <c r="J850" s="6">
        <f>SUMIFS(
  Sales_Entry[Qty],
  Sales_Entry[Product_Code], Stock_Table[[#This Row],[Product_Code]]
)</f>
        <v>1</v>
      </c>
      <c r="K850" s="4">
        <f>SUMIFS(
  Exchange_Return[Qty],
  Exchange_Return[Product_Code], Stock_Table[[#This Row],[Product_Code]]
)</f>
        <v>0</v>
      </c>
      <c r="L850" s="4">
        <f>I850-J850+K850</f>
        <v>4</v>
      </c>
      <c r="M850" s="2" t="str" cm="1">
        <f t="array" ref="M850">_xlfn.IFS(L850=0,"Out of Stock",L850&gt;=2,"Limited Stock",L850&lt;2,"In Stock")</f>
        <v>Limited Stock</v>
      </c>
    </row>
    <row r="851" spans="2:13">
      <c r="B851" s="2" t="s">
        <v>1416</v>
      </c>
      <c r="C851" s="5" t="str">
        <f>_xlfn.XLOOKUP(B851,Master[Product_Code],Master[Category])</f>
        <v>Pants</v>
      </c>
      <c r="D851" s="2" t="str">
        <f>_xlfn.XLOOKUP(B851,Master[Product_Code],Master[Brand])</f>
        <v>Louis Philippe</v>
      </c>
      <c r="E851" s="2" t="str">
        <f>_xlfn.XLOOKUP(B851,Master[Product_Code],Master[Style])</f>
        <v>Jogger</v>
      </c>
      <c r="F851" s="2" t="str">
        <f>_xlfn.XLOOKUP(B851,Master[Product_Code],Master[Fabric])</f>
        <v>Cotton Blend</v>
      </c>
      <c r="G851" s="2">
        <f>_xlfn.XLOOKUP(B851,Master[Product_Code],Master[Size])</f>
        <v>38</v>
      </c>
      <c r="H851" s="2" t="str">
        <f>_xlfn.XLOOKUP(B851,Master[Product_Code],Master[Color])</f>
        <v>Brown</v>
      </c>
      <c r="I851" s="4">
        <f>_xlfn.XLOOKUP(B851,Master[Product_Code],Master[Stock_Qty])</f>
        <v>4</v>
      </c>
      <c r="J851" s="6">
        <f>SUMIFS(
  Sales_Entry[Qty],
  Sales_Entry[Product_Code], Stock_Table[[#This Row],[Product_Code]]
)</f>
        <v>2</v>
      </c>
      <c r="K851" s="4">
        <f>SUMIFS(
  Exchange_Return[Qty],
  Exchange_Return[Product_Code], Stock_Table[[#This Row],[Product_Code]]
)</f>
        <v>0</v>
      </c>
      <c r="L851" s="4">
        <f>I851-J851+K851</f>
        <v>2</v>
      </c>
      <c r="M851" s="2" t="str" cm="1">
        <f t="array" ref="M851">_xlfn.IFS(L851=0,"Out of Stock",L851&gt;=2,"Limited Stock",L851&lt;2,"In Stock")</f>
        <v>Limited Stock</v>
      </c>
    </row>
    <row r="852" spans="2:13">
      <c r="B852" s="2" t="s">
        <v>1417</v>
      </c>
      <c r="C852" s="5" t="str">
        <f>_xlfn.XLOOKUP(B852,Master[Product_Code],Master[Category])</f>
        <v>Pants</v>
      </c>
      <c r="D852" s="2" t="str">
        <f>_xlfn.XLOOKUP(B852,Master[Product_Code],Master[Brand])</f>
        <v>Louis Philippe</v>
      </c>
      <c r="E852" s="2" t="str">
        <f>_xlfn.XLOOKUP(B852,Master[Product_Code],Master[Style])</f>
        <v>Korean</v>
      </c>
      <c r="F852" s="2" t="str">
        <f>_xlfn.XLOOKUP(B852,Master[Product_Code],Master[Fabric])</f>
        <v>Lycra</v>
      </c>
      <c r="G852" s="2">
        <f>_xlfn.XLOOKUP(B852,Master[Product_Code],Master[Size])</f>
        <v>38</v>
      </c>
      <c r="H852" s="2" t="str">
        <f>_xlfn.XLOOKUP(B852,Master[Product_Code],Master[Color])</f>
        <v>Brown</v>
      </c>
      <c r="I852" s="4">
        <f>_xlfn.XLOOKUP(B852,Master[Product_Code],Master[Stock_Qty])</f>
        <v>5</v>
      </c>
      <c r="J852" s="6">
        <f>SUMIFS(
  Sales_Entry[Qty],
  Sales_Entry[Product_Code], Stock_Table[[#This Row],[Product_Code]]
)</f>
        <v>2</v>
      </c>
      <c r="K852" s="4">
        <f>SUMIFS(
  Exchange_Return[Qty],
  Exchange_Return[Product_Code], Stock_Table[[#This Row],[Product_Code]]
)</f>
        <v>0</v>
      </c>
      <c r="L852" s="4">
        <f>I852-J852+K852</f>
        <v>3</v>
      </c>
      <c r="M852" s="2" t="str" cm="1">
        <f t="array" ref="M852">_xlfn.IFS(L852=0,"Out of Stock",L852&gt;=2,"Limited Stock",L852&lt;2,"In Stock")</f>
        <v>Limited Stock</v>
      </c>
    </row>
    <row r="853" spans="2:13">
      <c r="B853" s="2" t="s">
        <v>1418</v>
      </c>
      <c r="C853" s="5" t="str">
        <f>_xlfn.XLOOKUP(B853,Master[Product_Code],Master[Category])</f>
        <v>Pants</v>
      </c>
      <c r="D853" s="2" t="str">
        <f>_xlfn.XLOOKUP(B853,Master[Product_Code],Master[Brand])</f>
        <v>Park Avenue</v>
      </c>
      <c r="E853" s="2" t="str">
        <f>_xlfn.XLOOKUP(B853,Master[Product_Code],Master[Style])</f>
        <v>Jogger</v>
      </c>
      <c r="F853" s="2" t="str">
        <f>_xlfn.XLOOKUP(B853,Master[Product_Code],Master[Fabric])</f>
        <v>Cotton Blend</v>
      </c>
      <c r="G853" s="2">
        <f>_xlfn.XLOOKUP(B853,Master[Product_Code],Master[Size])</f>
        <v>32</v>
      </c>
      <c r="H853" s="2" t="str">
        <f>_xlfn.XLOOKUP(B853,Master[Product_Code],Master[Color])</f>
        <v>White</v>
      </c>
      <c r="I853" s="4">
        <f>_xlfn.XLOOKUP(B853,Master[Product_Code],Master[Stock_Qty])</f>
        <v>4</v>
      </c>
      <c r="J853" s="6">
        <f>SUMIFS(
  Sales_Entry[Qty],
  Sales_Entry[Product_Code], Stock_Table[[#This Row],[Product_Code]]
)</f>
        <v>0</v>
      </c>
      <c r="K853" s="4">
        <f>SUMIFS(
  Exchange_Return[Qty],
  Exchange_Return[Product_Code], Stock_Table[[#This Row],[Product_Code]]
)</f>
        <v>0</v>
      </c>
      <c r="L853" s="4">
        <f>I853-J853+K853</f>
        <v>4</v>
      </c>
      <c r="M853" s="2" t="str" cm="1">
        <f t="array" ref="M853">_xlfn.IFS(L853=0,"Out of Stock",L853&gt;=2,"Limited Stock",L853&lt;2,"In Stock")</f>
        <v>Limited Stock</v>
      </c>
    </row>
    <row r="854" spans="2:13">
      <c r="B854" s="2" t="s">
        <v>1419</v>
      </c>
      <c r="C854" s="5" t="str">
        <f>_xlfn.XLOOKUP(B854,Master[Product_Code],Master[Category])</f>
        <v>Pants</v>
      </c>
      <c r="D854" s="2" t="str">
        <f>_xlfn.XLOOKUP(B854,Master[Product_Code],Master[Brand])</f>
        <v>Park Avenue</v>
      </c>
      <c r="E854" s="2" t="str">
        <f>_xlfn.XLOOKUP(B854,Master[Product_Code],Master[Style])</f>
        <v>Polofit</v>
      </c>
      <c r="F854" s="2" t="str">
        <f>_xlfn.XLOOKUP(B854,Master[Product_Code],Master[Fabric])</f>
        <v>Lycra</v>
      </c>
      <c r="G854" s="2">
        <f>_xlfn.XLOOKUP(B854,Master[Product_Code],Master[Size])</f>
        <v>38</v>
      </c>
      <c r="H854" s="2" t="str">
        <f>_xlfn.XLOOKUP(B854,Master[Product_Code],Master[Color])</f>
        <v>Grey</v>
      </c>
      <c r="I854" s="4">
        <f>_xlfn.XLOOKUP(B854,Master[Product_Code],Master[Stock_Qty])</f>
        <v>4</v>
      </c>
      <c r="J854" s="6">
        <f>SUMIFS(
  Sales_Entry[Qty],
  Sales_Entry[Product_Code], Stock_Table[[#This Row],[Product_Code]]
)</f>
        <v>3</v>
      </c>
      <c r="K854" s="4">
        <f>SUMIFS(
  Exchange_Return[Qty],
  Exchange_Return[Product_Code], Stock_Table[[#This Row],[Product_Code]]
)</f>
        <v>0</v>
      </c>
      <c r="L854" s="4">
        <f>I854-J854+K854</f>
        <v>1</v>
      </c>
      <c r="M854" s="2" t="str" cm="1">
        <f t="array" ref="M854">_xlfn.IFS(L854=0,"Out of Stock",L854&gt;=2,"Limited Stock",L854&lt;2,"In Stock")</f>
        <v>In Stock</v>
      </c>
    </row>
    <row r="855" spans="2:13">
      <c r="B855" s="2" t="s">
        <v>1420</v>
      </c>
      <c r="C855" s="5" t="str">
        <f>_xlfn.XLOOKUP(B855,Master[Product_Code],Master[Category])</f>
        <v>Pants</v>
      </c>
      <c r="D855" s="2" t="str">
        <f>_xlfn.XLOOKUP(B855,Master[Product_Code],Master[Brand])</f>
        <v>Peter England</v>
      </c>
      <c r="E855" s="2" t="str">
        <f>_xlfn.XLOOKUP(B855,Master[Product_Code],Master[Style])</f>
        <v>Polofit</v>
      </c>
      <c r="F855" s="2" t="str">
        <f>_xlfn.XLOOKUP(B855,Master[Product_Code],Master[Fabric])</f>
        <v>Lycra</v>
      </c>
      <c r="G855" s="2">
        <f>_xlfn.XLOOKUP(B855,Master[Product_Code],Master[Size])</f>
        <v>34</v>
      </c>
      <c r="H855" s="2" t="str">
        <f>_xlfn.XLOOKUP(B855,Master[Product_Code],Master[Color])</f>
        <v>Peach</v>
      </c>
      <c r="I855" s="4">
        <f>_xlfn.XLOOKUP(B855,Master[Product_Code],Master[Stock_Qty])</f>
        <v>6</v>
      </c>
      <c r="J855" s="6">
        <f>SUMIFS(
  Sales_Entry[Qty],
  Sales_Entry[Product_Code], Stock_Table[[#This Row],[Product_Code]]
)</f>
        <v>1</v>
      </c>
      <c r="K855" s="4">
        <f>SUMIFS(
  Exchange_Return[Qty],
  Exchange_Return[Product_Code], Stock_Table[[#This Row],[Product_Code]]
)</f>
        <v>0</v>
      </c>
      <c r="L855" s="4">
        <f>I855-J855+K855</f>
        <v>5</v>
      </c>
      <c r="M855" s="2" t="str" cm="1">
        <f t="array" ref="M855">_xlfn.IFS(L855=0,"Out of Stock",L855&gt;=2,"Limited Stock",L855&lt;2,"In Stock")</f>
        <v>Limited Stock</v>
      </c>
    </row>
    <row r="856" spans="2:13">
      <c r="B856" s="2" t="s">
        <v>1421</v>
      </c>
      <c r="C856" s="5" t="str">
        <f>_xlfn.XLOOKUP(B856,Master[Product_Code],Master[Category])</f>
        <v>Pants</v>
      </c>
      <c r="D856" s="2" t="str">
        <f>_xlfn.XLOOKUP(B856,Master[Product_Code],Master[Brand])</f>
        <v>Van Heusen</v>
      </c>
      <c r="E856" s="2" t="str">
        <f>_xlfn.XLOOKUP(B856,Master[Product_Code],Master[Style])</f>
        <v>Jogger</v>
      </c>
      <c r="F856" s="2" t="str">
        <f>_xlfn.XLOOKUP(B856,Master[Product_Code],Master[Fabric])</f>
        <v>Cotton Blend</v>
      </c>
      <c r="G856" s="2">
        <f>_xlfn.XLOOKUP(B856,Master[Product_Code],Master[Size])</f>
        <v>38</v>
      </c>
      <c r="H856" s="2" t="str">
        <f>_xlfn.XLOOKUP(B856,Master[Product_Code],Master[Color])</f>
        <v>Royal Blue</v>
      </c>
      <c r="I856" s="4">
        <f>_xlfn.XLOOKUP(B856,Master[Product_Code],Master[Stock_Qty])</f>
        <v>5</v>
      </c>
      <c r="J856" s="6">
        <f>SUMIFS(
  Sales_Entry[Qty],
  Sales_Entry[Product_Code], Stock_Table[[#This Row],[Product_Code]]
)</f>
        <v>2</v>
      </c>
      <c r="K856" s="4">
        <f>SUMIFS(
  Exchange_Return[Qty],
  Exchange_Return[Product_Code], Stock_Table[[#This Row],[Product_Code]]
)</f>
        <v>0</v>
      </c>
      <c r="L856" s="4">
        <f>I856-J856+K856</f>
        <v>3</v>
      </c>
      <c r="M856" s="2" t="str" cm="1">
        <f t="array" ref="M856">_xlfn.IFS(L856=0,"Out of Stock",L856&gt;=2,"Limited Stock",L856&lt;2,"In Stock")</f>
        <v>Limited Stock</v>
      </c>
    </row>
    <row r="857" spans="2:13">
      <c r="B857" s="2" t="s">
        <v>1422</v>
      </c>
      <c r="C857" s="5" t="str">
        <f>_xlfn.XLOOKUP(B857,Master[Product_Code],Master[Category])</f>
        <v>Pants</v>
      </c>
      <c r="D857" s="2" t="str">
        <f>_xlfn.XLOOKUP(B857,Master[Product_Code],Master[Brand])</f>
        <v>Van Heusen</v>
      </c>
      <c r="E857" s="2" t="str">
        <f>_xlfn.XLOOKUP(B857,Master[Product_Code],Master[Style])</f>
        <v>Kurka</v>
      </c>
      <c r="F857" s="2" t="str">
        <f>_xlfn.XLOOKUP(B857,Master[Product_Code],Master[Fabric])</f>
        <v>Lycra</v>
      </c>
      <c r="G857" s="2">
        <f>_xlfn.XLOOKUP(B857,Master[Product_Code],Master[Size])</f>
        <v>42</v>
      </c>
      <c r="H857" s="2" t="str">
        <f>_xlfn.XLOOKUP(B857,Master[Product_Code],Master[Color])</f>
        <v>White</v>
      </c>
      <c r="I857" s="4">
        <f>_xlfn.XLOOKUP(B857,Master[Product_Code],Master[Stock_Qty])</f>
        <v>6</v>
      </c>
      <c r="J857" s="6">
        <f>SUMIFS(
  Sales_Entry[Qty],
  Sales_Entry[Product_Code], Stock_Table[[#This Row],[Product_Code]]
)</f>
        <v>1</v>
      </c>
      <c r="K857" s="4">
        <f>SUMIFS(
  Exchange_Return[Qty],
  Exchange_Return[Product_Code], Stock_Table[[#This Row],[Product_Code]]
)</f>
        <v>0</v>
      </c>
      <c r="L857" s="4">
        <f>I857-J857+K857</f>
        <v>5</v>
      </c>
      <c r="M857" s="2" t="str" cm="1">
        <f t="array" ref="M857">_xlfn.IFS(L857=0,"Out of Stock",L857&gt;=2,"Limited Stock",L857&lt;2,"In Stock")</f>
        <v>Limited Stock</v>
      </c>
    </row>
    <row r="858" spans="2:13">
      <c r="B858" s="2" t="s">
        <v>1423</v>
      </c>
      <c r="C858" s="5" t="str">
        <f>_xlfn.XLOOKUP(B858,Master[Product_Code],Master[Category])</f>
        <v>Pants</v>
      </c>
      <c r="D858" s="2" t="str">
        <f>_xlfn.XLOOKUP(B858,Master[Product_Code],Master[Brand])</f>
        <v>Raymond</v>
      </c>
      <c r="E858" s="2" t="str">
        <f>_xlfn.XLOOKUP(B858,Master[Product_Code],Master[Style])</f>
        <v>Kurka</v>
      </c>
      <c r="F858" s="2" t="str">
        <f>_xlfn.XLOOKUP(B858,Master[Product_Code],Master[Fabric])</f>
        <v>Lycra</v>
      </c>
      <c r="G858" s="2">
        <f>_xlfn.XLOOKUP(B858,Master[Product_Code],Master[Size])</f>
        <v>34</v>
      </c>
      <c r="H858" s="2" t="str">
        <f>_xlfn.XLOOKUP(B858,Master[Product_Code],Master[Color])</f>
        <v>Cream</v>
      </c>
      <c r="I858" s="4">
        <f>_xlfn.XLOOKUP(B858,Master[Product_Code],Master[Stock_Qty])</f>
        <v>4</v>
      </c>
      <c r="J858" s="6">
        <f>SUMIFS(
  Sales_Entry[Qty],
  Sales_Entry[Product_Code], Stock_Table[[#This Row],[Product_Code]]
)</f>
        <v>2</v>
      </c>
      <c r="K858" s="4">
        <f>SUMIFS(
  Exchange_Return[Qty],
  Exchange_Return[Product_Code], Stock_Table[[#This Row],[Product_Code]]
)</f>
        <v>0</v>
      </c>
      <c r="L858" s="4">
        <f>I858-J858+K858</f>
        <v>2</v>
      </c>
      <c r="M858" s="2" t="str" cm="1">
        <f t="array" ref="M858">_xlfn.IFS(L858=0,"Out of Stock",L858&gt;=2,"Limited Stock",L858&lt;2,"In Stock")</f>
        <v>Limited Stock</v>
      </c>
    </row>
    <row r="859" spans="2:13">
      <c r="B859" s="2" t="s">
        <v>1424</v>
      </c>
      <c r="C859" s="5" t="str">
        <f>_xlfn.XLOOKUP(B859,Master[Product_Code],Master[Category])</f>
        <v>Pants</v>
      </c>
      <c r="D859" s="2" t="str">
        <f>_xlfn.XLOOKUP(B859,Master[Product_Code],Master[Brand])</f>
        <v>Louis Philippe</v>
      </c>
      <c r="E859" s="2" t="str">
        <f>_xlfn.XLOOKUP(B859,Master[Product_Code],Master[Style])</f>
        <v>Korean</v>
      </c>
      <c r="F859" s="2" t="str">
        <f>_xlfn.XLOOKUP(B859,Master[Product_Code],Master[Fabric])</f>
        <v>Lycra</v>
      </c>
      <c r="G859" s="2">
        <f>_xlfn.XLOOKUP(B859,Master[Product_Code],Master[Size])</f>
        <v>40</v>
      </c>
      <c r="H859" s="2" t="str">
        <f>_xlfn.XLOOKUP(B859,Master[Product_Code],Master[Color])</f>
        <v>Grey</v>
      </c>
      <c r="I859" s="4">
        <f>_xlfn.XLOOKUP(B859,Master[Product_Code],Master[Stock_Qty])</f>
        <v>6</v>
      </c>
      <c r="J859" s="6">
        <f>SUMIFS(
  Sales_Entry[Qty],
  Sales_Entry[Product_Code], Stock_Table[[#This Row],[Product_Code]]
)</f>
        <v>1</v>
      </c>
      <c r="K859" s="4">
        <f>SUMIFS(
  Exchange_Return[Qty],
  Exchange_Return[Product_Code], Stock_Table[[#This Row],[Product_Code]]
)</f>
        <v>0</v>
      </c>
      <c r="L859" s="4">
        <f>I859-J859+K859</f>
        <v>5</v>
      </c>
      <c r="M859" s="2" t="str" cm="1">
        <f t="array" ref="M859">_xlfn.IFS(L859=0,"Out of Stock",L859&gt;=2,"Limited Stock",L859&lt;2,"In Stock")</f>
        <v>Limited Stock</v>
      </c>
    </row>
    <row r="860" spans="2:13">
      <c r="B860" s="2" t="s">
        <v>1425</v>
      </c>
      <c r="C860" s="5" t="str">
        <f>_xlfn.XLOOKUP(B860,Master[Product_Code],Master[Category])</f>
        <v>Pants</v>
      </c>
      <c r="D860" s="2" t="str">
        <f>_xlfn.XLOOKUP(B860,Master[Product_Code],Master[Brand])</f>
        <v>Raymond</v>
      </c>
      <c r="E860" s="2" t="str">
        <f>_xlfn.XLOOKUP(B860,Master[Product_Code],Master[Style])</f>
        <v>Korean</v>
      </c>
      <c r="F860" s="2" t="str">
        <f>_xlfn.XLOOKUP(B860,Master[Product_Code],Master[Fabric])</f>
        <v>Lycra</v>
      </c>
      <c r="G860" s="2">
        <f>_xlfn.XLOOKUP(B860,Master[Product_Code],Master[Size])</f>
        <v>30</v>
      </c>
      <c r="H860" s="2" t="str">
        <f>_xlfn.XLOOKUP(B860,Master[Product_Code],Master[Color])</f>
        <v>Teal</v>
      </c>
      <c r="I860" s="4">
        <f>_xlfn.XLOOKUP(B860,Master[Product_Code],Master[Stock_Qty])</f>
        <v>3</v>
      </c>
      <c r="J860" s="6">
        <f>SUMIFS(
  Sales_Entry[Qty],
  Sales_Entry[Product_Code], Stock_Table[[#This Row],[Product_Code]]
)</f>
        <v>0</v>
      </c>
      <c r="K860" s="4">
        <f>SUMIFS(
  Exchange_Return[Qty],
  Exchange_Return[Product_Code], Stock_Table[[#This Row],[Product_Code]]
)</f>
        <v>0</v>
      </c>
      <c r="L860" s="4">
        <f>I860-J860+K860</f>
        <v>3</v>
      </c>
      <c r="M860" s="2" t="str" cm="1">
        <f t="array" ref="M860">_xlfn.IFS(L860=0,"Out of Stock",L860&gt;=2,"Limited Stock",L860&lt;2,"In Stock")</f>
        <v>Limited Stock</v>
      </c>
    </row>
    <row r="861" spans="2:13">
      <c r="B861" s="2" t="s">
        <v>1426</v>
      </c>
      <c r="C861" s="5" t="str">
        <f>_xlfn.XLOOKUP(B861,Master[Product_Code],Master[Category])</f>
        <v>Pants</v>
      </c>
      <c r="D861" s="2" t="str">
        <f>_xlfn.XLOOKUP(B861,Master[Product_Code],Master[Brand])</f>
        <v>Raymond</v>
      </c>
      <c r="E861" s="2" t="str">
        <f>_xlfn.XLOOKUP(B861,Master[Product_Code],Master[Style])</f>
        <v>Kurka</v>
      </c>
      <c r="F861" s="2" t="str">
        <f>_xlfn.XLOOKUP(B861,Master[Product_Code],Master[Fabric])</f>
        <v>Lycra</v>
      </c>
      <c r="G861" s="2">
        <f>_xlfn.XLOOKUP(B861,Master[Product_Code],Master[Size])</f>
        <v>42</v>
      </c>
      <c r="H861" s="2" t="str">
        <f>_xlfn.XLOOKUP(B861,Master[Product_Code],Master[Color])</f>
        <v>Grey</v>
      </c>
      <c r="I861" s="4">
        <f>_xlfn.XLOOKUP(B861,Master[Product_Code],Master[Stock_Qty])</f>
        <v>5</v>
      </c>
      <c r="J861" s="6">
        <f>SUMIFS(
  Sales_Entry[Qty],
  Sales_Entry[Product_Code], Stock_Table[[#This Row],[Product_Code]]
)</f>
        <v>1</v>
      </c>
      <c r="K861" s="4">
        <f>SUMIFS(
  Exchange_Return[Qty],
  Exchange_Return[Product_Code], Stock_Table[[#This Row],[Product_Code]]
)</f>
        <v>0</v>
      </c>
      <c r="L861" s="4">
        <f>I861-J861+K861</f>
        <v>4</v>
      </c>
      <c r="M861" s="2" t="str" cm="1">
        <f t="array" ref="M861">_xlfn.IFS(L861=0,"Out of Stock",L861&gt;=2,"Limited Stock",L861&lt;2,"In Stock")</f>
        <v>Limited Stock</v>
      </c>
    </row>
    <row r="862" spans="2:13">
      <c r="B862" s="2" t="s">
        <v>1427</v>
      </c>
      <c r="C862" s="5" t="str">
        <f>_xlfn.XLOOKUP(B862,Master[Product_Code],Master[Category])</f>
        <v>Pants</v>
      </c>
      <c r="D862" s="2" t="str">
        <f>_xlfn.XLOOKUP(B862,Master[Product_Code],Master[Brand])</f>
        <v>Raymond</v>
      </c>
      <c r="E862" s="2" t="str">
        <f>_xlfn.XLOOKUP(B862,Master[Product_Code],Master[Style])</f>
        <v>Kurka</v>
      </c>
      <c r="F862" s="2" t="str">
        <f>_xlfn.XLOOKUP(B862,Master[Product_Code],Master[Fabric])</f>
        <v>Lycra</v>
      </c>
      <c r="G862" s="2">
        <f>_xlfn.XLOOKUP(B862,Master[Product_Code],Master[Size])</f>
        <v>36</v>
      </c>
      <c r="H862" s="2" t="str">
        <f>_xlfn.XLOOKUP(B862,Master[Product_Code],Master[Color])</f>
        <v>Olive</v>
      </c>
      <c r="I862" s="4">
        <f>_xlfn.XLOOKUP(B862,Master[Product_Code],Master[Stock_Qty])</f>
        <v>4</v>
      </c>
      <c r="J862" s="6">
        <f>SUMIFS(
  Sales_Entry[Qty],
  Sales_Entry[Product_Code], Stock_Table[[#This Row],[Product_Code]]
)</f>
        <v>0</v>
      </c>
      <c r="K862" s="4">
        <f>SUMIFS(
  Exchange_Return[Qty],
  Exchange_Return[Product_Code], Stock_Table[[#This Row],[Product_Code]]
)</f>
        <v>0</v>
      </c>
      <c r="L862" s="4">
        <f>I862-J862+K862</f>
        <v>4</v>
      </c>
      <c r="M862" s="2" t="str" cm="1">
        <f t="array" ref="M862">_xlfn.IFS(L862=0,"Out of Stock",L862&gt;=2,"Limited Stock",L862&lt;2,"In Stock")</f>
        <v>Limited Stock</v>
      </c>
    </row>
    <row r="863" spans="2:13">
      <c r="B863" s="2" t="s">
        <v>1428</v>
      </c>
      <c r="C863" s="5" t="str">
        <f>_xlfn.XLOOKUP(B863,Master[Product_Code],Master[Category])</f>
        <v>Pants</v>
      </c>
      <c r="D863" s="2" t="str">
        <f>_xlfn.XLOOKUP(B863,Master[Product_Code],Master[Brand])</f>
        <v>Peter England</v>
      </c>
      <c r="E863" s="2" t="str">
        <f>_xlfn.XLOOKUP(B863,Master[Product_Code],Master[Style])</f>
        <v>Korean</v>
      </c>
      <c r="F863" s="2" t="str">
        <f>_xlfn.XLOOKUP(B863,Master[Product_Code],Master[Fabric])</f>
        <v>Lycra</v>
      </c>
      <c r="G863" s="2">
        <f>_xlfn.XLOOKUP(B863,Master[Product_Code],Master[Size])</f>
        <v>34</v>
      </c>
      <c r="H863" s="2" t="str">
        <f>_xlfn.XLOOKUP(B863,Master[Product_Code],Master[Color])</f>
        <v>Olive</v>
      </c>
      <c r="I863" s="4">
        <f>_xlfn.XLOOKUP(B863,Master[Product_Code],Master[Stock_Qty])</f>
        <v>4</v>
      </c>
      <c r="J863" s="6">
        <f>SUMIFS(
  Sales_Entry[Qty],
  Sales_Entry[Product_Code], Stock_Table[[#This Row],[Product_Code]]
)</f>
        <v>1</v>
      </c>
      <c r="K863" s="4">
        <f>SUMIFS(
  Exchange_Return[Qty],
  Exchange_Return[Product_Code], Stock_Table[[#This Row],[Product_Code]]
)</f>
        <v>0</v>
      </c>
      <c r="L863" s="4">
        <f>I863-J863+K863</f>
        <v>3</v>
      </c>
      <c r="M863" s="2" t="str" cm="1">
        <f t="array" ref="M863">_xlfn.IFS(L863=0,"Out of Stock",L863&gt;=2,"Limited Stock",L863&lt;2,"In Stock")</f>
        <v>Limited Stock</v>
      </c>
    </row>
    <row r="864" spans="2:13">
      <c r="B864" s="2" t="s">
        <v>1429</v>
      </c>
      <c r="C864" s="5" t="str">
        <f>_xlfn.XLOOKUP(B864,Master[Product_Code],Master[Category])</f>
        <v>Pants</v>
      </c>
      <c r="D864" s="2" t="str">
        <f>_xlfn.XLOOKUP(B864,Master[Product_Code],Master[Brand])</f>
        <v>Peter England</v>
      </c>
      <c r="E864" s="2" t="str">
        <f>_xlfn.XLOOKUP(B864,Master[Product_Code],Master[Style])</f>
        <v>Korean</v>
      </c>
      <c r="F864" s="2" t="str">
        <f>_xlfn.XLOOKUP(B864,Master[Product_Code],Master[Fabric])</f>
        <v>Lycra</v>
      </c>
      <c r="G864" s="2">
        <f>_xlfn.XLOOKUP(B864,Master[Product_Code],Master[Size])</f>
        <v>28</v>
      </c>
      <c r="H864" s="2" t="str">
        <f>_xlfn.XLOOKUP(B864,Master[Product_Code],Master[Color])</f>
        <v>Maroon</v>
      </c>
      <c r="I864" s="4">
        <f>_xlfn.XLOOKUP(B864,Master[Product_Code],Master[Stock_Qty])</f>
        <v>6</v>
      </c>
      <c r="J864" s="6">
        <f>SUMIFS(
  Sales_Entry[Qty],
  Sales_Entry[Product_Code], Stock_Table[[#This Row],[Product_Code]]
)</f>
        <v>3</v>
      </c>
      <c r="K864" s="4">
        <f>SUMIFS(
  Exchange_Return[Qty],
  Exchange_Return[Product_Code], Stock_Table[[#This Row],[Product_Code]]
)</f>
        <v>0</v>
      </c>
      <c r="L864" s="4">
        <f>I864-J864+K864</f>
        <v>3</v>
      </c>
      <c r="M864" s="2" t="str" cm="1">
        <f t="array" ref="M864">_xlfn.IFS(L864=0,"Out of Stock",L864&gt;=2,"Limited Stock",L864&lt;2,"In Stock")</f>
        <v>Limited Stock</v>
      </c>
    </row>
    <row r="865" spans="2:13">
      <c r="B865" s="2" t="s">
        <v>1430</v>
      </c>
      <c r="C865" s="5" t="str">
        <f>_xlfn.XLOOKUP(B865,Master[Product_Code],Master[Category])</f>
        <v>Pants</v>
      </c>
      <c r="D865" s="2" t="str">
        <f>_xlfn.XLOOKUP(B865,Master[Product_Code],Master[Brand])</f>
        <v>Raymond</v>
      </c>
      <c r="E865" s="2" t="str">
        <f>_xlfn.XLOOKUP(B865,Master[Product_Code],Master[Style])</f>
        <v>Korean</v>
      </c>
      <c r="F865" s="2" t="str">
        <f>_xlfn.XLOOKUP(B865,Master[Product_Code],Master[Fabric])</f>
        <v>Lycra</v>
      </c>
      <c r="G865" s="2">
        <f>_xlfn.XLOOKUP(B865,Master[Product_Code],Master[Size])</f>
        <v>36</v>
      </c>
      <c r="H865" s="2" t="str">
        <f>_xlfn.XLOOKUP(B865,Master[Product_Code],Master[Color])</f>
        <v>Cream</v>
      </c>
      <c r="I865" s="4">
        <f>_xlfn.XLOOKUP(B865,Master[Product_Code],Master[Stock_Qty])</f>
        <v>4</v>
      </c>
      <c r="J865" s="6">
        <f>SUMIFS(
  Sales_Entry[Qty],
  Sales_Entry[Product_Code], Stock_Table[[#This Row],[Product_Code]]
)</f>
        <v>0</v>
      </c>
      <c r="K865" s="4">
        <f>SUMIFS(
  Exchange_Return[Qty],
  Exchange_Return[Product_Code], Stock_Table[[#This Row],[Product_Code]]
)</f>
        <v>0</v>
      </c>
      <c r="L865" s="4">
        <f>I865-J865+K865</f>
        <v>4</v>
      </c>
      <c r="M865" s="2" t="str" cm="1">
        <f t="array" ref="M865">_xlfn.IFS(L865=0,"Out of Stock",L865&gt;=2,"Limited Stock",L865&lt;2,"In Stock")</f>
        <v>Limited Stock</v>
      </c>
    </row>
    <row r="866" spans="2:13">
      <c r="B866" s="2" t="s">
        <v>1431</v>
      </c>
      <c r="C866" s="5" t="str">
        <f>_xlfn.XLOOKUP(B866,Master[Product_Code],Master[Category])</f>
        <v>Pants</v>
      </c>
      <c r="D866" s="2" t="str">
        <f>_xlfn.XLOOKUP(B866,Master[Product_Code],Master[Brand])</f>
        <v>Van Heusen</v>
      </c>
      <c r="E866" s="2" t="str">
        <f>_xlfn.XLOOKUP(B866,Master[Product_Code],Master[Style])</f>
        <v>Kurka</v>
      </c>
      <c r="F866" s="2" t="str">
        <f>_xlfn.XLOOKUP(B866,Master[Product_Code],Master[Fabric])</f>
        <v>Lycra</v>
      </c>
      <c r="G866" s="2">
        <f>_xlfn.XLOOKUP(B866,Master[Product_Code],Master[Size])</f>
        <v>40</v>
      </c>
      <c r="H866" s="2" t="str">
        <f>_xlfn.XLOOKUP(B866,Master[Product_Code],Master[Color])</f>
        <v>Navy Blue</v>
      </c>
      <c r="I866" s="4">
        <f>_xlfn.XLOOKUP(B866,Master[Product_Code],Master[Stock_Qty])</f>
        <v>3</v>
      </c>
      <c r="J866" s="6">
        <f>SUMIFS(
  Sales_Entry[Qty],
  Sales_Entry[Product_Code], Stock_Table[[#This Row],[Product_Code]]
)</f>
        <v>3</v>
      </c>
      <c r="K866" s="4">
        <f>SUMIFS(
  Exchange_Return[Qty],
  Exchange_Return[Product_Code], Stock_Table[[#This Row],[Product_Code]]
)</f>
        <v>0</v>
      </c>
      <c r="L866" s="4">
        <f>I866-J866+K866</f>
        <v>0</v>
      </c>
      <c r="M866" s="2" t="str" cm="1">
        <f t="array" ref="M866">_xlfn.IFS(L866=0,"Out of Stock",L866&gt;=2,"Limited Stock",L866&lt;2,"In Stock")</f>
        <v>Out of Stock</v>
      </c>
    </row>
    <row r="867" spans="2:13">
      <c r="B867" s="2" t="s">
        <v>1432</v>
      </c>
      <c r="C867" s="5" t="str">
        <f>_xlfn.XLOOKUP(B867,Master[Product_Code],Master[Category])</f>
        <v>Pants</v>
      </c>
      <c r="D867" s="2" t="str">
        <f>_xlfn.XLOOKUP(B867,Master[Product_Code],Master[Brand])</f>
        <v>Peter England</v>
      </c>
      <c r="E867" s="2" t="str">
        <f>_xlfn.XLOOKUP(B867,Master[Product_Code],Master[Style])</f>
        <v>Kurka</v>
      </c>
      <c r="F867" s="2" t="str">
        <f>_xlfn.XLOOKUP(B867,Master[Product_Code],Master[Fabric])</f>
        <v>Lycra</v>
      </c>
      <c r="G867" s="2">
        <f>_xlfn.XLOOKUP(B867,Master[Product_Code],Master[Size])</f>
        <v>44</v>
      </c>
      <c r="H867" s="2" t="str">
        <f>_xlfn.XLOOKUP(B867,Master[Product_Code],Master[Color])</f>
        <v>Rust</v>
      </c>
      <c r="I867" s="4">
        <f>_xlfn.XLOOKUP(B867,Master[Product_Code],Master[Stock_Qty])</f>
        <v>5</v>
      </c>
      <c r="J867" s="6">
        <f>SUMIFS(
  Sales_Entry[Qty],
  Sales_Entry[Product_Code], Stock_Table[[#This Row],[Product_Code]]
)</f>
        <v>2</v>
      </c>
      <c r="K867" s="4">
        <f>SUMIFS(
  Exchange_Return[Qty],
  Exchange_Return[Product_Code], Stock_Table[[#This Row],[Product_Code]]
)</f>
        <v>0</v>
      </c>
      <c r="L867" s="4">
        <f>I867-J867+K867</f>
        <v>3</v>
      </c>
      <c r="M867" s="2" t="str" cm="1">
        <f t="array" ref="M867">_xlfn.IFS(L867=0,"Out of Stock",L867&gt;=2,"Limited Stock",L867&lt;2,"In Stock")</f>
        <v>Limited Stock</v>
      </c>
    </row>
    <row r="868" spans="2:13">
      <c r="B868" s="2" t="s">
        <v>1433</v>
      </c>
      <c r="C868" s="5" t="str">
        <f>_xlfn.XLOOKUP(B868,Master[Product_Code],Master[Category])</f>
        <v>Pants</v>
      </c>
      <c r="D868" s="2" t="str">
        <f>_xlfn.XLOOKUP(B868,Master[Product_Code],Master[Brand])</f>
        <v>Park Avenue</v>
      </c>
      <c r="E868" s="2" t="str">
        <f>_xlfn.XLOOKUP(B868,Master[Product_Code],Master[Style])</f>
        <v>Boot Cut</v>
      </c>
      <c r="F868" s="2" t="str">
        <f>_xlfn.XLOOKUP(B868,Master[Product_Code],Master[Fabric])</f>
        <v>Cotton Blend</v>
      </c>
      <c r="G868" s="2">
        <f>_xlfn.XLOOKUP(B868,Master[Product_Code],Master[Size])</f>
        <v>34</v>
      </c>
      <c r="H868" s="2" t="str">
        <f>_xlfn.XLOOKUP(B868,Master[Product_Code],Master[Color])</f>
        <v>White</v>
      </c>
      <c r="I868" s="4">
        <f>_xlfn.XLOOKUP(B868,Master[Product_Code],Master[Stock_Qty])</f>
        <v>4</v>
      </c>
      <c r="J868" s="6">
        <f>SUMIFS(
  Sales_Entry[Qty],
  Sales_Entry[Product_Code], Stock_Table[[#This Row],[Product_Code]]
)</f>
        <v>0</v>
      </c>
      <c r="K868" s="4">
        <f>SUMIFS(
  Exchange_Return[Qty],
  Exchange_Return[Product_Code], Stock_Table[[#This Row],[Product_Code]]
)</f>
        <v>0</v>
      </c>
      <c r="L868" s="4">
        <f>I868-J868+K868</f>
        <v>4</v>
      </c>
      <c r="M868" s="2" t="str" cm="1">
        <f t="array" ref="M868">_xlfn.IFS(L868=0,"Out of Stock",L868&gt;=2,"Limited Stock",L868&lt;2,"In Stock")</f>
        <v>Limited Stock</v>
      </c>
    </row>
    <row r="869" spans="2:13">
      <c r="B869" s="2" t="s">
        <v>1434</v>
      </c>
      <c r="C869" s="5" t="str">
        <f>_xlfn.XLOOKUP(B869,Master[Product_Code],Master[Category])</f>
        <v>Pants</v>
      </c>
      <c r="D869" s="2" t="str">
        <f>_xlfn.XLOOKUP(B869,Master[Product_Code],Master[Brand])</f>
        <v>Van Heusen</v>
      </c>
      <c r="E869" s="2" t="str">
        <f>_xlfn.XLOOKUP(B869,Master[Product_Code],Master[Style])</f>
        <v>Kurka</v>
      </c>
      <c r="F869" s="2" t="str">
        <f>_xlfn.XLOOKUP(B869,Master[Product_Code],Master[Fabric])</f>
        <v>Lycra</v>
      </c>
      <c r="G869" s="2">
        <f>_xlfn.XLOOKUP(B869,Master[Product_Code],Master[Size])</f>
        <v>34</v>
      </c>
      <c r="H869" s="2" t="str">
        <f>_xlfn.XLOOKUP(B869,Master[Product_Code],Master[Color])</f>
        <v>White</v>
      </c>
      <c r="I869" s="4">
        <f>_xlfn.XLOOKUP(B869,Master[Product_Code],Master[Stock_Qty])</f>
        <v>5</v>
      </c>
      <c r="J869" s="6">
        <f>SUMIFS(
  Sales_Entry[Qty],
  Sales_Entry[Product_Code], Stock_Table[[#This Row],[Product_Code]]
)</f>
        <v>0</v>
      </c>
      <c r="K869" s="4">
        <f>SUMIFS(
  Exchange_Return[Qty],
  Exchange_Return[Product_Code], Stock_Table[[#This Row],[Product_Code]]
)</f>
        <v>0</v>
      </c>
      <c r="L869" s="4">
        <f>I869-J869+K869</f>
        <v>5</v>
      </c>
      <c r="M869" s="2" t="str" cm="1">
        <f t="array" ref="M869">_xlfn.IFS(L869=0,"Out of Stock",L869&gt;=2,"Limited Stock",L869&lt;2,"In Stock")</f>
        <v>Limited Stock</v>
      </c>
    </row>
    <row r="870" spans="2:13">
      <c r="B870" s="2" t="s">
        <v>1435</v>
      </c>
      <c r="C870" s="5" t="str">
        <f>_xlfn.XLOOKUP(B870,Master[Product_Code],Master[Category])</f>
        <v>Pants</v>
      </c>
      <c r="D870" s="2" t="str">
        <f>_xlfn.XLOOKUP(B870,Master[Product_Code],Master[Brand])</f>
        <v>Park Avenue</v>
      </c>
      <c r="E870" s="2" t="str">
        <f>_xlfn.XLOOKUP(B870,Master[Product_Code],Master[Style])</f>
        <v>Jogger</v>
      </c>
      <c r="F870" s="2" t="str">
        <f>_xlfn.XLOOKUP(B870,Master[Product_Code],Master[Fabric])</f>
        <v>Poly Viscose</v>
      </c>
      <c r="G870" s="2">
        <f>_xlfn.XLOOKUP(B870,Master[Product_Code],Master[Size])</f>
        <v>34</v>
      </c>
      <c r="H870" s="2" t="str">
        <f>_xlfn.XLOOKUP(B870,Master[Product_Code],Master[Color])</f>
        <v>Navy Blue</v>
      </c>
      <c r="I870" s="4">
        <f>_xlfn.XLOOKUP(B870,Master[Product_Code],Master[Stock_Qty])</f>
        <v>6</v>
      </c>
      <c r="J870" s="6">
        <f>SUMIFS(
  Sales_Entry[Qty],
  Sales_Entry[Product_Code], Stock_Table[[#This Row],[Product_Code]]
)</f>
        <v>1</v>
      </c>
      <c r="K870" s="4">
        <f>SUMIFS(
  Exchange_Return[Qty],
  Exchange_Return[Product_Code], Stock_Table[[#This Row],[Product_Code]]
)</f>
        <v>0</v>
      </c>
      <c r="L870" s="4">
        <f>I870-J870+K870</f>
        <v>5</v>
      </c>
      <c r="M870" s="2" t="str" cm="1">
        <f t="array" ref="M870">_xlfn.IFS(L870=0,"Out of Stock",L870&gt;=2,"Limited Stock",L870&lt;2,"In Stock")</f>
        <v>Limited Stock</v>
      </c>
    </row>
    <row r="871" spans="2:13">
      <c r="B871" s="2" t="s">
        <v>1436</v>
      </c>
      <c r="C871" s="5" t="str">
        <f>_xlfn.XLOOKUP(B871,Master[Product_Code],Master[Category])</f>
        <v>Pants</v>
      </c>
      <c r="D871" s="2" t="str">
        <f>_xlfn.XLOOKUP(B871,Master[Product_Code],Master[Brand])</f>
        <v>Park Avenue</v>
      </c>
      <c r="E871" s="2" t="str">
        <f>_xlfn.XLOOKUP(B871,Master[Product_Code],Master[Style])</f>
        <v>Polofit</v>
      </c>
      <c r="F871" s="2" t="str">
        <f>_xlfn.XLOOKUP(B871,Master[Product_Code],Master[Fabric])</f>
        <v>Lycra</v>
      </c>
      <c r="G871" s="2">
        <f>_xlfn.XLOOKUP(B871,Master[Product_Code],Master[Size])</f>
        <v>44</v>
      </c>
      <c r="H871" s="2" t="str">
        <f>_xlfn.XLOOKUP(B871,Master[Product_Code],Master[Color])</f>
        <v>Rust</v>
      </c>
      <c r="I871" s="4">
        <f>_xlfn.XLOOKUP(B871,Master[Product_Code],Master[Stock_Qty])</f>
        <v>5</v>
      </c>
      <c r="J871" s="6">
        <f>SUMIFS(
  Sales_Entry[Qty],
  Sales_Entry[Product_Code], Stock_Table[[#This Row],[Product_Code]]
)</f>
        <v>2</v>
      </c>
      <c r="K871" s="4">
        <f>SUMIFS(
  Exchange_Return[Qty],
  Exchange_Return[Product_Code], Stock_Table[[#This Row],[Product_Code]]
)</f>
        <v>0</v>
      </c>
      <c r="L871" s="4">
        <f>I871-J871+K871</f>
        <v>3</v>
      </c>
      <c r="M871" s="2" t="str" cm="1">
        <f t="array" ref="M871">_xlfn.IFS(L871=0,"Out of Stock",L871&gt;=2,"Limited Stock",L871&lt;2,"In Stock")</f>
        <v>Limited Stock</v>
      </c>
    </row>
    <row r="872" spans="2:13">
      <c r="B872" s="2" t="s">
        <v>1437</v>
      </c>
      <c r="C872" s="5" t="str">
        <f>_xlfn.XLOOKUP(B872,Master[Product_Code],Master[Category])</f>
        <v>Pants</v>
      </c>
      <c r="D872" s="2" t="str">
        <f>_xlfn.XLOOKUP(B872,Master[Product_Code],Master[Brand])</f>
        <v>Park Avenue</v>
      </c>
      <c r="E872" s="2" t="str">
        <f>_xlfn.XLOOKUP(B872,Master[Product_Code],Master[Style])</f>
        <v>Boot Cut</v>
      </c>
      <c r="F872" s="2" t="str">
        <f>_xlfn.XLOOKUP(B872,Master[Product_Code],Master[Fabric])</f>
        <v>Cotton</v>
      </c>
      <c r="G872" s="2">
        <f>_xlfn.XLOOKUP(B872,Master[Product_Code],Master[Size])</f>
        <v>38</v>
      </c>
      <c r="H872" s="2" t="str">
        <f>_xlfn.XLOOKUP(B872,Master[Product_Code],Master[Color])</f>
        <v>Teal</v>
      </c>
      <c r="I872" s="4">
        <f>_xlfn.XLOOKUP(B872,Master[Product_Code],Master[Stock_Qty])</f>
        <v>6</v>
      </c>
      <c r="J872" s="6">
        <f>SUMIFS(
  Sales_Entry[Qty],
  Sales_Entry[Product_Code], Stock_Table[[#This Row],[Product_Code]]
)</f>
        <v>1</v>
      </c>
      <c r="K872" s="4">
        <f>SUMIFS(
  Exchange_Return[Qty],
  Exchange_Return[Product_Code], Stock_Table[[#This Row],[Product_Code]]
)</f>
        <v>0</v>
      </c>
      <c r="L872" s="4">
        <f>I872-J872+K872</f>
        <v>5</v>
      </c>
      <c r="M872" s="2" t="str" cm="1">
        <f t="array" ref="M872">_xlfn.IFS(L872=0,"Out of Stock",L872&gt;=2,"Limited Stock",L872&lt;2,"In Stock")</f>
        <v>Limited Stock</v>
      </c>
    </row>
    <row r="873" spans="2:13">
      <c r="B873" s="2" t="s">
        <v>1438</v>
      </c>
      <c r="C873" s="5" t="str">
        <f>_xlfn.XLOOKUP(B873,Master[Product_Code],Master[Category])</f>
        <v>Pants</v>
      </c>
      <c r="D873" s="2" t="str">
        <f>_xlfn.XLOOKUP(B873,Master[Product_Code],Master[Brand])</f>
        <v>Louis Philippe</v>
      </c>
      <c r="E873" s="2" t="str">
        <f>_xlfn.XLOOKUP(B873,Master[Product_Code],Master[Style])</f>
        <v>Korean</v>
      </c>
      <c r="F873" s="2" t="str">
        <f>_xlfn.XLOOKUP(B873,Master[Product_Code],Master[Fabric])</f>
        <v>Lycra</v>
      </c>
      <c r="G873" s="2">
        <f>_xlfn.XLOOKUP(B873,Master[Product_Code],Master[Size])</f>
        <v>40</v>
      </c>
      <c r="H873" s="2" t="str">
        <f>_xlfn.XLOOKUP(B873,Master[Product_Code],Master[Color])</f>
        <v>Light Grey</v>
      </c>
      <c r="I873" s="4">
        <f>_xlfn.XLOOKUP(B873,Master[Product_Code],Master[Stock_Qty])</f>
        <v>3</v>
      </c>
      <c r="J873" s="6">
        <f>SUMIFS(
  Sales_Entry[Qty],
  Sales_Entry[Product_Code], Stock_Table[[#This Row],[Product_Code]]
)</f>
        <v>3</v>
      </c>
      <c r="K873" s="4">
        <f>SUMIFS(
  Exchange_Return[Qty],
  Exchange_Return[Product_Code], Stock_Table[[#This Row],[Product_Code]]
)</f>
        <v>0</v>
      </c>
      <c r="L873" s="4">
        <f>I873-J873+K873</f>
        <v>0</v>
      </c>
      <c r="M873" s="2" t="str" cm="1">
        <f t="array" ref="M873">_xlfn.IFS(L873=0,"Out of Stock",L873&gt;=2,"Limited Stock",L873&lt;2,"In Stock")</f>
        <v>Out of Stock</v>
      </c>
    </row>
    <row r="874" spans="2:13">
      <c r="B874" s="2" t="s">
        <v>1439</v>
      </c>
      <c r="C874" s="5" t="str">
        <f>_xlfn.XLOOKUP(B874,Master[Product_Code],Master[Category])</f>
        <v>Pants</v>
      </c>
      <c r="D874" s="2" t="str">
        <f>_xlfn.XLOOKUP(B874,Master[Product_Code],Master[Brand])</f>
        <v>Peter England</v>
      </c>
      <c r="E874" s="2" t="str">
        <f>_xlfn.XLOOKUP(B874,Master[Product_Code],Master[Style])</f>
        <v>Kurka</v>
      </c>
      <c r="F874" s="2" t="str">
        <f>_xlfn.XLOOKUP(B874,Master[Product_Code],Master[Fabric])</f>
        <v>Lycra</v>
      </c>
      <c r="G874" s="2">
        <f>_xlfn.XLOOKUP(B874,Master[Product_Code],Master[Size])</f>
        <v>34</v>
      </c>
      <c r="H874" s="2" t="str">
        <f>_xlfn.XLOOKUP(B874,Master[Product_Code],Master[Color])</f>
        <v>Rust</v>
      </c>
      <c r="I874" s="4">
        <f>_xlfn.XLOOKUP(B874,Master[Product_Code],Master[Stock_Qty])</f>
        <v>4</v>
      </c>
      <c r="J874" s="6">
        <f>SUMIFS(
  Sales_Entry[Qty],
  Sales_Entry[Product_Code], Stock_Table[[#This Row],[Product_Code]]
)</f>
        <v>2</v>
      </c>
      <c r="K874" s="4">
        <f>SUMIFS(
  Exchange_Return[Qty],
  Exchange_Return[Product_Code], Stock_Table[[#This Row],[Product_Code]]
)</f>
        <v>0</v>
      </c>
      <c r="L874" s="4">
        <f>I874-J874+K874</f>
        <v>2</v>
      </c>
      <c r="M874" s="2" t="str" cm="1">
        <f t="array" ref="M874">_xlfn.IFS(L874=0,"Out of Stock",L874&gt;=2,"Limited Stock",L874&lt;2,"In Stock")</f>
        <v>Limited Stock</v>
      </c>
    </row>
    <row r="875" spans="2:13">
      <c r="B875" s="2" t="s">
        <v>1440</v>
      </c>
      <c r="C875" s="5" t="str">
        <f>_xlfn.XLOOKUP(B875,Master[Product_Code],Master[Category])</f>
        <v>Pants</v>
      </c>
      <c r="D875" s="2" t="str">
        <f>_xlfn.XLOOKUP(B875,Master[Product_Code],Master[Brand])</f>
        <v>Louis Philippe</v>
      </c>
      <c r="E875" s="2" t="str">
        <f>_xlfn.XLOOKUP(B875,Master[Product_Code],Master[Style])</f>
        <v>Boot Cut</v>
      </c>
      <c r="F875" s="2" t="str">
        <f>_xlfn.XLOOKUP(B875,Master[Product_Code],Master[Fabric])</f>
        <v>Cotton Blend</v>
      </c>
      <c r="G875" s="2">
        <f>_xlfn.XLOOKUP(B875,Master[Product_Code],Master[Size])</f>
        <v>32</v>
      </c>
      <c r="H875" s="2" t="str">
        <f>_xlfn.XLOOKUP(B875,Master[Product_Code],Master[Color])</f>
        <v>Teal</v>
      </c>
      <c r="I875" s="4">
        <f>_xlfn.XLOOKUP(B875,Master[Product_Code],Master[Stock_Qty])</f>
        <v>5</v>
      </c>
      <c r="J875" s="6">
        <f>SUMIFS(
  Sales_Entry[Qty],
  Sales_Entry[Product_Code], Stock_Table[[#This Row],[Product_Code]]
)</f>
        <v>0</v>
      </c>
      <c r="K875" s="4">
        <f>SUMIFS(
  Exchange_Return[Qty],
  Exchange_Return[Product_Code], Stock_Table[[#This Row],[Product_Code]]
)</f>
        <v>0</v>
      </c>
      <c r="L875" s="4">
        <f>I875-J875+K875</f>
        <v>5</v>
      </c>
      <c r="M875" s="2" t="str" cm="1">
        <f t="array" ref="M875">_xlfn.IFS(L875=0,"Out of Stock",L875&gt;=2,"Limited Stock",L875&lt;2,"In Stock")</f>
        <v>Limited Stock</v>
      </c>
    </row>
    <row r="876" spans="2:13">
      <c r="B876" s="2" t="s">
        <v>1441</v>
      </c>
      <c r="C876" s="5" t="str">
        <f>_xlfn.XLOOKUP(B876,Master[Product_Code],Master[Category])</f>
        <v>Pants</v>
      </c>
      <c r="D876" s="2" t="str">
        <f>_xlfn.XLOOKUP(B876,Master[Product_Code],Master[Brand])</f>
        <v>Raymond</v>
      </c>
      <c r="E876" s="2" t="str">
        <f>_xlfn.XLOOKUP(B876,Master[Product_Code],Master[Style])</f>
        <v>Kurka</v>
      </c>
      <c r="F876" s="2" t="str">
        <f>_xlfn.XLOOKUP(B876,Master[Product_Code],Master[Fabric])</f>
        <v>Lycra</v>
      </c>
      <c r="G876" s="2">
        <f>_xlfn.XLOOKUP(B876,Master[Product_Code],Master[Size])</f>
        <v>36</v>
      </c>
      <c r="H876" s="2" t="str">
        <f>_xlfn.XLOOKUP(B876,Master[Product_Code],Master[Color])</f>
        <v>Cream</v>
      </c>
      <c r="I876" s="4">
        <f>_xlfn.XLOOKUP(B876,Master[Product_Code],Master[Stock_Qty])</f>
        <v>5</v>
      </c>
      <c r="J876" s="6">
        <f>SUMIFS(
  Sales_Entry[Qty],
  Sales_Entry[Product_Code], Stock_Table[[#This Row],[Product_Code]]
)</f>
        <v>0</v>
      </c>
      <c r="K876" s="4">
        <f>SUMIFS(
  Exchange_Return[Qty],
  Exchange_Return[Product_Code], Stock_Table[[#This Row],[Product_Code]]
)</f>
        <v>0</v>
      </c>
      <c r="L876" s="4">
        <f>I876-J876+K876</f>
        <v>5</v>
      </c>
      <c r="M876" s="2" t="str" cm="1">
        <f t="array" ref="M876">_xlfn.IFS(L876=0,"Out of Stock",L876&gt;=2,"Limited Stock",L876&lt;2,"In Stock")</f>
        <v>Limited Stock</v>
      </c>
    </row>
    <row r="877" spans="2:13">
      <c r="B877" s="2" t="s">
        <v>1442</v>
      </c>
      <c r="C877" s="5" t="str">
        <f>_xlfn.XLOOKUP(B877,Master[Product_Code],Master[Category])</f>
        <v>Pants</v>
      </c>
      <c r="D877" s="2" t="str">
        <f>_xlfn.XLOOKUP(B877,Master[Product_Code],Master[Brand])</f>
        <v>Park Avenue</v>
      </c>
      <c r="E877" s="2" t="str">
        <f>_xlfn.XLOOKUP(B877,Master[Product_Code],Master[Style])</f>
        <v>Polofit</v>
      </c>
      <c r="F877" s="2" t="str">
        <f>_xlfn.XLOOKUP(B877,Master[Product_Code],Master[Fabric])</f>
        <v>Lycra</v>
      </c>
      <c r="G877" s="2">
        <f>_xlfn.XLOOKUP(B877,Master[Product_Code],Master[Size])</f>
        <v>44</v>
      </c>
      <c r="H877" s="2" t="str">
        <f>_xlfn.XLOOKUP(B877,Master[Product_Code],Master[Color])</f>
        <v>Royal Blue</v>
      </c>
      <c r="I877" s="4">
        <f>_xlfn.XLOOKUP(B877,Master[Product_Code],Master[Stock_Qty])</f>
        <v>5</v>
      </c>
      <c r="J877" s="6">
        <f>SUMIFS(
  Sales_Entry[Qty],
  Sales_Entry[Product_Code], Stock_Table[[#This Row],[Product_Code]]
)</f>
        <v>0</v>
      </c>
      <c r="K877" s="4">
        <f>SUMIFS(
  Exchange_Return[Qty],
  Exchange_Return[Product_Code], Stock_Table[[#This Row],[Product_Code]]
)</f>
        <v>0</v>
      </c>
      <c r="L877" s="4">
        <f>I877-J877+K877</f>
        <v>5</v>
      </c>
      <c r="M877" s="2" t="str" cm="1">
        <f t="array" ref="M877">_xlfn.IFS(L877=0,"Out of Stock",L877&gt;=2,"Limited Stock",L877&lt;2,"In Stock")</f>
        <v>Limited Stock</v>
      </c>
    </row>
    <row r="878" spans="2:13">
      <c r="B878" s="2" t="s">
        <v>1443</v>
      </c>
      <c r="C878" s="5" t="str">
        <f>_xlfn.XLOOKUP(B878,Master[Product_Code],Master[Category])</f>
        <v>Pants</v>
      </c>
      <c r="D878" s="2" t="str">
        <f>_xlfn.XLOOKUP(B878,Master[Product_Code],Master[Brand])</f>
        <v>Louis Philippe</v>
      </c>
      <c r="E878" s="2" t="str">
        <f>_xlfn.XLOOKUP(B878,Master[Product_Code],Master[Style])</f>
        <v>Boot Cut</v>
      </c>
      <c r="F878" s="2" t="str">
        <f>_xlfn.XLOOKUP(B878,Master[Product_Code],Master[Fabric])</f>
        <v>Poly Viscose</v>
      </c>
      <c r="G878" s="2">
        <f>_xlfn.XLOOKUP(B878,Master[Product_Code],Master[Size])</f>
        <v>40</v>
      </c>
      <c r="H878" s="2" t="str">
        <f>_xlfn.XLOOKUP(B878,Master[Product_Code],Master[Color])</f>
        <v>Teal</v>
      </c>
      <c r="I878" s="4">
        <f>_xlfn.XLOOKUP(B878,Master[Product_Code],Master[Stock_Qty])</f>
        <v>6</v>
      </c>
      <c r="J878" s="6">
        <f>SUMIFS(
  Sales_Entry[Qty],
  Sales_Entry[Product_Code], Stock_Table[[#This Row],[Product_Code]]
)</f>
        <v>2</v>
      </c>
      <c r="K878" s="4">
        <f>SUMIFS(
  Exchange_Return[Qty],
  Exchange_Return[Product_Code], Stock_Table[[#This Row],[Product_Code]]
)</f>
        <v>0</v>
      </c>
      <c r="L878" s="4">
        <f>I878-J878+K878</f>
        <v>4</v>
      </c>
      <c r="M878" s="2" t="str" cm="1">
        <f t="array" ref="M878">_xlfn.IFS(L878=0,"Out of Stock",L878&gt;=2,"Limited Stock",L878&lt;2,"In Stock")</f>
        <v>Limited Stock</v>
      </c>
    </row>
    <row r="879" spans="2:13">
      <c r="B879" s="2" t="s">
        <v>1444</v>
      </c>
      <c r="C879" s="5" t="str">
        <f>_xlfn.XLOOKUP(B879,Master[Product_Code],Master[Category])</f>
        <v>Pants</v>
      </c>
      <c r="D879" s="2" t="str">
        <f>_xlfn.XLOOKUP(B879,Master[Product_Code],Master[Brand])</f>
        <v>Van Heusen</v>
      </c>
      <c r="E879" s="2" t="str">
        <f>_xlfn.XLOOKUP(B879,Master[Product_Code],Master[Style])</f>
        <v>Boot Cut</v>
      </c>
      <c r="F879" s="2" t="str">
        <f>_xlfn.XLOOKUP(B879,Master[Product_Code],Master[Fabric])</f>
        <v>Cotton</v>
      </c>
      <c r="G879" s="2">
        <f>_xlfn.XLOOKUP(B879,Master[Product_Code],Master[Size])</f>
        <v>32</v>
      </c>
      <c r="H879" s="2" t="str">
        <f>_xlfn.XLOOKUP(B879,Master[Product_Code],Master[Color])</f>
        <v>Cream</v>
      </c>
      <c r="I879" s="4">
        <f>_xlfn.XLOOKUP(B879,Master[Product_Code],Master[Stock_Qty])</f>
        <v>4</v>
      </c>
      <c r="J879" s="6">
        <f>SUMIFS(
  Sales_Entry[Qty],
  Sales_Entry[Product_Code], Stock_Table[[#This Row],[Product_Code]]
)</f>
        <v>1</v>
      </c>
      <c r="K879" s="4">
        <f>SUMIFS(
  Exchange_Return[Qty],
  Exchange_Return[Product_Code], Stock_Table[[#This Row],[Product_Code]]
)</f>
        <v>0</v>
      </c>
      <c r="L879" s="4">
        <f>I879-J879+K879</f>
        <v>3</v>
      </c>
      <c r="M879" s="2" t="str" cm="1">
        <f t="array" ref="M879">_xlfn.IFS(L879=0,"Out of Stock",L879&gt;=2,"Limited Stock",L879&lt;2,"In Stock")</f>
        <v>Limited Stock</v>
      </c>
    </row>
    <row r="880" spans="2:13">
      <c r="B880" s="2" t="s">
        <v>1445</v>
      </c>
      <c r="C880" s="5" t="str">
        <f>_xlfn.XLOOKUP(B880,Master[Product_Code],Master[Category])</f>
        <v>Pants</v>
      </c>
      <c r="D880" s="2" t="str">
        <f>_xlfn.XLOOKUP(B880,Master[Product_Code],Master[Brand])</f>
        <v>Raymond</v>
      </c>
      <c r="E880" s="2" t="str">
        <f>_xlfn.XLOOKUP(B880,Master[Product_Code],Master[Style])</f>
        <v>Korean</v>
      </c>
      <c r="F880" s="2" t="str">
        <f>_xlfn.XLOOKUP(B880,Master[Product_Code],Master[Fabric])</f>
        <v>Lycra</v>
      </c>
      <c r="G880" s="2">
        <f>_xlfn.XLOOKUP(B880,Master[Product_Code],Master[Size])</f>
        <v>36</v>
      </c>
      <c r="H880" s="2" t="str">
        <f>_xlfn.XLOOKUP(B880,Master[Product_Code],Master[Color])</f>
        <v>Wine</v>
      </c>
      <c r="I880" s="4">
        <f>_xlfn.XLOOKUP(B880,Master[Product_Code],Master[Stock_Qty])</f>
        <v>3</v>
      </c>
      <c r="J880" s="6">
        <f>SUMIFS(
  Sales_Entry[Qty],
  Sales_Entry[Product_Code], Stock_Table[[#This Row],[Product_Code]]
)</f>
        <v>1</v>
      </c>
      <c r="K880" s="4">
        <f>SUMIFS(
  Exchange_Return[Qty],
  Exchange_Return[Product_Code], Stock_Table[[#This Row],[Product_Code]]
)</f>
        <v>0</v>
      </c>
      <c r="L880" s="4">
        <f>I880-J880+K880</f>
        <v>2</v>
      </c>
      <c r="M880" s="2" t="str" cm="1">
        <f t="array" ref="M880">_xlfn.IFS(L880=0,"Out of Stock",L880&gt;=2,"Limited Stock",L880&lt;2,"In Stock")</f>
        <v>Limited Stock</v>
      </c>
    </row>
    <row r="881" spans="2:13">
      <c r="B881" s="2" t="s">
        <v>1446</v>
      </c>
      <c r="C881" s="5" t="str">
        <f>_xlfn.XLOOKUP(B881,Master[Product_Code],Master[Category])</f>
        <v>Pants</v>
      </c>
      <c r="D881" s="2" t="str">
        <f>_xlfn.XLOOKUP(B881,Master[Product_Code],Master[Brand])</f>
        <v>Peter England</v>
      </c>
      <c r="E881" s="2" t="str">
        <f>_xlfn.XLOOKUP(B881,Master[Product_Code],Master[Style])</f>
        <v>Polofit</v>
      </c>
      <c r="F881" s="2" t="str">
        <f>_xlfn.XLOOKUP(B881,Master[Product_Code],Master[Fabric])</f>
        <v>Lycra</v>
      </c>
      <c r="G881" s="2">
        <f>_xlfn.XLOOKUP(B881,Master[Product_Code],Master[Size])</f>
        <v>30</v>
      </c>
      <c r="H881" s="2" t="str">
        <f>_xlfn.XLOOKUP(B881,Master[Product_Code],Master[Color])</f>
        <v>Teal</v>
      </c>
      <c r="I881" s="4">
        <f>_xlfn.XLOOKUP(B881,Master[Product_Code],Master[Stock_Qty])</f>
        <v>3</v>
      </c>
      <c r="J881" s="6">
        <f>SUMIFS(
  Sales_Entry[Qty],
  Sales_Entry[Product_Code], Stock_Table[[#This Row],[Product_Code]]
)</f>
        <v>1</v>
      </c>
      <c r="K881" s="4">
        <f>SUMIFS(
  Exchange_Return[Qty],
  Exchange_Return[Product_Code], Stock_Table[[#This Row],[Product_Code]]
)</f>
        <v>0</v>
      </c>
      <c r="L881" s="4">
        <f>I881-J881+K881</f>
        <v>2</v>
      </c>
      <c r="M881" s="2" t="str" cm="1">
        <f t="array" ref="M881">_xlfn.IFS(L881=0,"Out of Stock",L881&gt;=2,"Limited Stock",L881&lt;2,"In Stock")</f>
        <v>Limited Stock</v>
      </c>
    </row>
    <row r="882" spans="2:13">
      <c r="B882" s="2" t="s">
        <v>1447</v>
      </c>
      <c r="C882" s="5" t="str">
        <f>_xlfn.XLOOKUP(B882,Master[Product_Code],Master[Category])</f>
        <v>Pants</v>
      </c>
      <c r="D882" s="2" t="str">
        <f>_xlfn.XLOOKUP(B882,Master[Product_Code],Master[Brand])</f>
        <v>Peter England</v>
      </c>
      <c r="E882" s="2" t="str">
        <f>_xlfn.XLOOKUP(B882,Master[Product_Code],Master[Style])</f>
        <v>Korean</v>
      </c>
      <c r="F882" s="2" t="str">
        <f>_xlfn.XLOOKUP(B882,Master[Product_Code],Master[Fabric])</f>
        <v>Lycra</v>
      </c>
      <c r="G882" s="2">
        <f>_xlfn.XLOOKUP(B882,Master[Product_Code],Master[Size])</f>
        <v>38</v>
      </c>
      <c r="H882" s="2" t="str">
        <f>_xlfn.XLOOKUP(B882,Master[Product_Code],Master[Color])</f>
        <v>Beige</v>
      </c>
      <c r="I882" s="4">
        <f>_xlfn.XLOOKUP(B882,Master[Product_Code],Master[Stock_Qty])</f>
        <v>5</v>
      </c>
      <c r="J882" s="6">
        <f>SUMIFS(
  Sales_Entry[Qty],
  Sales_Entry[Product_Code], Stock_Table[[#This Row],[Product_Code]]
)</f>
        <v>3</v>
      </c>
      <c r="K882" s="4">
        <f>SUMIFS(
  Exchange_Return[Qty],
  Exchange_Return[Product_Code], Stock_Table[[#This Row],[Product_Code]]
)</f>
        <v>1</v>
      </c>
      <c r="L882" s="4">
        <f>I882-J882+K882</f>
        <v>3</v>
      </c>
      <c r="M882" s="2" t="str" cm="1">
        <f t="array" ref="M882">_xlfn.IFS(L882=0,"Out of Stock",L882&gt;=2,"Limited Stock",L882&lt;2,"In Stock")</f>
        <v>Limited Stock</v>
      </c>
    </row>
    <row r="883" spans="2:13">
      <c r="B883" s="2" t="s">
        <v>1448</v>
      </c>
      <c r="C883" s="5" t="str">
        <f>_xlfn.XLOOKUP(B883,Master[Product_Code],Master[Category])</f>
        <v>Pants</v>
      </c>
      <c r="D883" s="2" t="str">
        <f>_xlfn.XLOOKUP(B883,Master[Product_Code],Master[Brand])</f>
        <v>Van Heusen</v>
      </c>
      <c r="E883" s="2" t="str">
        <f>_xlfn.XLOOKUP(B883,Master[Product_Code],Master[Style])</f>
        <v>Kurka</v>
      </c>
      <c r="F883" s="2" t="str">
        <f>_xlfn.XLOOKUP(B883,Master[Product_Code],Master[Fabric])</f>
        <v>Lycra</v>
      </c>
      <c r="G883" s="2">
        <f>_xlfn.XLOOKUP(B883,Master[Product_Code],Master[Size])</f>
        <v>32</v>
      </c>
      <c r="H883" s="2" t="str">
        <f>_xlfn.XLOOKUP(B883,Master[Product_Code],Master[Color])</f>
        <v>Dark Green</v>
      </c>
      <c r="I883" s="4">
        <f>_xlfn.XLOOKUP(B883,Master[Product_Code],Master[Stock_Qty])</f>
        <v>5</v>
      </c>
      <c r="J883" s="6">
        <f>SUMIFS(
  Sales_Entry[Qty],
  Sales_Entry[Product_Code], Stock_Table[[#This Row],[Product_Code]]
)</f>
        <v>3</v>
      </c>
      <c r="K883" s="4">
        <f>SUMIFS(
  Exchange_Return[Qty],
  Exchange_Return[Product_Code], Stock_Table[[#This Row],[Product_Code]]
)</f>
        <v>0</v>
      </c>
      <c r="L883" s="4">
        <f>I883-J883+K883</f>
        <v>2</v>
      </c>
      <c r="M883" s="2" t="str" cm="1">
        <f t="array" ref="M883">_xlfn.IFS(L883=0,"Out of Stock",L883&gt;=2,"Limited Stock",L883&lt;2,"In Stock")</f>
        <v>Limited Stock</v>
      </c>
    </row>
    <row r="884" spans="2:13">
      <c r="B884" s="2" t="s">
        <v>1449</v>
      </c>
      <c r="C884" s="5" t="str">
        <f>_xlfn.XLOOKUP(B884,Master[Product_Code],Master[Category])</f>
        <v>Pants</v>
      </c>
      <c r="D884" s="2" t="str">
        <f>_xlfn.XLOOKUP(B884,Master[Product_Code],Master[Brand])</f>
        <v>Van Heusen</v>
      </c>
      <c r="E884" s="2" t="str">
        <f>_xlfn.XLOOKUP(B884,Master[Product_Code],Master[Style])</f>
        <v>Korean</v>
      </c>
      <c r="F884" s="2" t="str">
        <f>_xlfn.XLOOKUP(B884,Master[Product_Code],Master[Fabric])</f>
        <v>Lycra</v>
      </c>
      <c r="G884" s="2">
        <f>_xlfn.XLOOKUP(B884,Master[Product_Code],Master[Size])</f>
        <v>40</v>
      </c>
      <c r="H884" s="2" t="str">
        <f>_xlfn.XLOOKUP(B884,Master[Product_Code],Master[Color])</f>
        <v>Rust</v>
      </c>
      <c r="I884" s="4">
        <f>_xlfn.XLOOKUP(B884,Master[Product_Code],Master[Stock_Qty])</f>
        <v>3</v>
      </c>
      <c r="J884" s="6">
        <f>SUMIFS(
  Sales_Entry[Qty],
  Sales_Entry[Product_Code], Stock_Table[[#This Row],[Product_Code]]
)</f>
        <v>2</v>
      </c>
      <c r="K884" s="4">
        <f>SUMIFS(
  Exchange_Return[Qty],
  Exchange_Return[Product_Code], Stock_Table[[#This Row],[Product_Code]]
)</f>
        <v>0</v>
      </c>
      <c r="L884" s="4">
        <f>I884-J884+K884</f>
        <v>1</v>
      </c>
      <c r="M884" s="2" t="str" cm="1">
        <f t="array" ref="M884">_xlfn.IFS(L884=0,"Out of Stock",L884&gt;=2,"Limited Stock",L884&lt;2,"In Stock")</f>
        <v>In Stock</v>
      </c>
    </row>
    <row r="885" spans="2:13">
      <c r="B885" s="2" t="s">
        <v>1450</v>
      </c>
      <c r="C885" s="5" t="str">
        <f>_xlfn.XLOOKUP(B885,Master[Product_Code],Master[Category])</f>
        <v>Pants</v>
      </c>
      <c r="D885" s="2" t="str">
        <f>_xlfn.XLOOKUP(B885,Master[Product_Code],Master[Brand])</f>
        <v>Park Avenue</v>
      </c>
      <c r="E885" s="2" t="str">
        <f>_xlfn.XLOOKUP(B885,Master[Product_Code],Master[Style])</f>
        <v>Kurka</v>
      </c>
      <c r="F885" s="2" t="str">
        <f>_xlfn.XLOOKUP(B885,Master[Product_Code],Master[Fabric])</f>
        <v>Lycra</v>
      </c>
      <c r="G885" s="2">
        <f>_xlfn.XLOOKUP(B885,Master[Product_Code],Master[Size])</f>
        <v>34</v>
      </c>
      <c r="H885" s="2" t="str">
        <f>_xlfn.XLOOKUP(B885,Master[Product_Code],Master[Color])</f>
        <v>Charcoal</v>
      </c>
      <c r="I885" s="4">
        <f>_xlfn.XLOOKUP(B885,Master[Product_Code],Master[Stock_Qty])</f>
        <v>4</v>
      </c>
      <c r="J885" s="6">
        <f>SUMIFS(
  Sales_Entry[Qty],
  Sales_Entry[Product_Code], Stock_Table[[#This Row],[Product_Code]]
)</f>
        <v>3</v>
      </c>
      <c r="K885" s="4">
        <f>SUMIFS(
  Exchange_Return[Qty],
  Exchange_Return[Product_Code], Stock_Table[[#This Row],[Product_Code]]
)</f>
        <v>0</v>
      </c>
      <c r="L885" s="4">
        <f>I885-J885+K885</f>
        <v>1</v>
      </c>
      <c r="M885" s="2" t="str" cm="1">
        <f t="array" ref="M885">_xlfn.IFS(L885=0,"Out of Stock",L885&gt;=2,"Limited Stock",L885&lt;2,"In Stock")</f>
        <v>In Stock</v>
      </c>
    </row>
    <row r="886" spans="2:13">
      <c r="B886" s="2" t="s">
        <v>1451</v>
      </c>
      <c r="C886" s="5" t="str">
        <f>_xlfn.XLOOKUP(B886,Master[Product_Code],Master[Category])</f>
        <v>Pants</v>
      </c>
      <c r="D886" s="2" t="str">
        <f>_xlfn.XLOOKUP(B886,Master[Product_Code],Master[Brand])</f>
        <v>Peter England</v>
      </c>
      <c r="E886" s="2" t="str">
        <f>_xlfn.XLOOKUP(B886,Master[Product_Code],Master[Style])</f>
        <v>Jogger</v>
      </c>
      <c r="F886" s="2" t="str">
        <f>_xlfn.XLOOKUP(B886,Master[Product_Code],Master[Fabric])</f>
        <v>Cotton Blend</v>
      </c>
      <c r="G886" s="2">
        <f>_xlfn.XLOOKUP(B886,Master[Product_Code],Master[Size])</f>
        <v>44</v>
      </c>
      <c r="H886" s="2" t="str">
        <f>_xlfn.XLOOKUP(B886,Master[Product_Code],Master[Color])</f>
        <v>Cream</v>
      </c>
      <c r="I886" s="4">
        <f>_xlfn.XLOOKUP(B886,Master[Product_Code],Master[Stock_Qty])</f>
        <v>6</v>
      </c>
      <c r="J886" s="6">
        <f>SUMIFS(
  Sales_Entry[Qty],
  Sales_Entry[Product_Code], Stock_Table[[#This Row],[Product_Code]]
)</f>
        <v>1</v>
      </c>
      <c r="K886" s="4">
        <f>SUMIFS(
  Exchange_Return[Qty],
  Exchange_Return[Product_Code], Stock_Table[[#This Row],[Product_Code]]
)</f>
        <v>0</v>
      </c>
      <c r="L886" s="4">
        <f>I886-J886+K886</f>
        <v>5</v>
      </c>
      <c r="M886" s="2" t="str" cm="1">
        <f t="array" ref="M886">_xlfn.IFS(L886=0,"Out of Stock",L886&gt;=2,"Limited Stock",L886&lt;2,"In Stock")</f>
        <v>Limited Stock</v>
      </c>
    </row>
    <row r="887" spans="2:13">
      <c r="B887" s="2" t="s">
        <v>1452</v>
      </c>
      <c r="C887" s="5" t="str">
        <f>_xlfn.XLOOKUP(B887,Master[Product_Code],Master[Category])</f>
        <v>Pants</v>
      </c>
      <c r="D887" s="2" t="str">
        <f>_xlfn.XLOOKUP(B887,Master[Product_Code],Master[Brand])</f>
        <v>Raymond</v>
      </c>
      <c r="E887" s="2" t="str">
        <f>_xlfn.XLOOKUP(B887,Master[Product_Code],Master[Style])</f>
        <v>Korean</v>
      </c>
      <c r="F887" s="2" t="str">
        <f>_xlfn.XLOOKUP(B887,Master[Product_Code],Master[Fabric])</f>
        <v>Lycra</v>
      </c>
      <c r="G887" s="2">
        <f>_xlfn.XLOOKUP(B887,Master[Product_Code],Master[Size])</f>
        <v>40</v>
      </c>
      <c r="H887" s="2" t="str">
        <f>_xlfn.XLOOKUP(B887,Master[Product_Code],Master[Color])</f>
        <v>Bottle Green</v>
      </c>
      <c r="I887" s="4">
        <f>_xlfn.XLOOKUP(B887,Master[Product_Code],Master[Stock_Qty])</f>
        <v>4</v>
      </c>
      <c r="J887" s="6">
        <f>SUMIFS(
  Sales_Entry[Qty],
  Sales_Entry[Product_Code], Stock_Table[[#This Row],[Product_Code]]
)</f>
        <v>0</v>
      </c>
      <c r="K887" s="4">
        <f>SUMIFS(
  Exchange_Return[Qty],
  Exchange_Return[Product_Code], Stock_Table[[#This Row],[Product_Code]]
)</f>
        <v>0</v>
      </c>
      <c r="L887" s="4">
        <f>I887-J887+K887</f>
        <v>4</v>
      </c>
      <c r="M887" s="2" t="str" cm="1">
        <f t="array" ref="M887">_xlfn.IFS(L887=0,"Out of Stock",L887&gt;=2,"Limited Stock",L887&lt;2,"In Stock")</f>
        <v>Limited Stock</v>
      </c>
    </row>
    <row r="888" spans="2:13">
      <c r="B888" s="2" t="s">
        <v>1453</v>
      </c>
      <c r="C888" s="5" t="str">
        <f>_xlfn.XLOOKUP(B888,Master[Product_Code],Master[Category])</f>
        <v>Pants</v>
      </c>
      <c r="D888" s="2" t="str">
        <f>_xlfn.XLOOKUP(B888,Master[Product_Code],Master[Brand])</f>
        <v>Louis Philippe</v>
      </c>
      <c r="E888" s="2" t="str">
        <f>_xlfn.XLOOKUP(B888,Master[Product_Code],Master[Style])</f>
        <v>Jogger</v>
      </c>
      <c r="F888" s="2" t="str">
        <f>_xlfn.XLOOKUP(B888,Master[Product_Code],Master[Fabric])</f>
        <v>Cotton</v>
      </c>
      <c r="G888" s="2">
        <f>_xlfn.XLOOKUP(B888,Master[Product_Code],Master[Size])</f>
        <v>38</v>
      </c>
      <c r="H888" s="2" t="str">
        <f>_xlfn.XLOOKUP(B888,Master[Product_Code],Master[Color])</f>
        <v>Maroon</v>
      </c>
      <c r="I888" s="4">
        <f>_xlfn.XLOOKUP(B888,Master[Product_Code],Master[Stock_Qty])</f>
        <v>4</v>
      </c>
      <c r="J888" s="6">
        <f>SUMIFS(
  Sales_Entry[Qty],
  Sales_Entry[Product_Code], Stock_Table[[#This Row],[Product_Code]]
)</f>
        <v>2</v>
      </c>
      <c r="K888" s="4">
        <f>SUMIFS(
  Exchange_Return[Qty],
  Exchange_Return[Product_Code], Stock_Table[[#This Row],[Product_Code]]
)</f>
        <v>0</v>
      </c>
      <c r="L888" s="4">
        <f>I888-J888+K888</f>
        <v>2</v>
      </c>
      <c r="M888" s="2" t="str" cm="1">
        <f t="array" ref="M888">_xlfn.IFS(L888=0,"Out of Stock",L888&gt;=2,"Limited Stock",L888&lt;2,"In Stock")</f>
        <v>Limited Stock</v>
      </c>
    </row>
    <row r="889" spans="2:13">
      <c r="B889" s="2" t="s">
        <v>1454</v>
      </c>
      <c r="C889" s="5" t="str">
        <f>_xlfn.XLOOKUP(B889,Master[Product_Code],Master[Category])</f>
        <v>Pants</v>
      </c>
      <c r="D889" s="2" t="str">
        <f>_xlfn.XLOOKUP(B889,Master[Product_Code],Master[Brand])</f>
        <v>Raymond</v>
      </c>
      <c r="E889" s="2" t="str">
        <f>_xlfn.XLOOKUP(B889,Master[Product_Code],Master[Style])</f>
        <v>Boot Cut</v>
      </c>
      <c r="F889" s="2" t="str">
        <f>_xlfn.XLOOKUP(B889,Master[Product_Code],Master[Fabric])</f>
        <v>Cotton Blend</v>
      </c>
      <c r="G889" s="2">
        <f>_xlfn.XLOOKUP(B889,Master[Product_Code],Master[Size])</f>
        <v>38</v>
      </c>
      <c r="H889" s="2" t="str">
        <f>_xlfn.XLOOKUP(B889,Master[Product_Code],Master[Color])</f>
        <v>Mustard</v>
      </c>
      <c r="I889" s="4">
        <f>_xlfn.XLOOKUP(B889,Master[Product_Code],Master[Stock_Qty])</f>
        <v>4</v>
      </c>
      <c r="J889" s="6">
        <f>SUMIFS(
  Sales_Entry[Qty],
  Sales_Entry[Product_Code], Stock_Table[[#This Row],[Product_Code]]
)</f>
        <v>3</v>
      </c>
      <c r="K889" s="4">
        <f>SUMIFS(
  Exchange_Return[Qty],
  Exchange_Return[Product_Code], Stock_Table[[#This Row],[Product_Code]]
)</f>
        <v>0</v>
      </c>
      <c r="L889" s="4">
        <f>I889-J889+K889</f>
        <v>1</v>
      </c>
      <c r="M889" s="2" t="str" cm="1">
        <f t="array" ref="M889">_xlfn.IFS(L889=0,"Out of Stock",L889&gt;=2,"Limited Stock",L889&lt;2,"In Stock")</f>
        <v>In Stock</v>
      </c>
    </row>
    <row r="890" spans="2:13">
      <c r="B890" s="2" t="s">
        <v>1455</v>
      </c>
      <c r="C890" s="5" t="str">
        <f>_xlfn.XLOOKUP(B890,Master[Product_Code],Master[Category])</f>
        <v>Pants</v>
      </c>
      <c r="D890" s="2" t="str">
        <f>_xlfn.XLOOKUP(B890,Master[Product_Code],Master[Brand])</f>
        <v>Louis Philippe</v>
      </c>
      <c r="E890" s="2" t="str">
        <f>_xlfn.XLOOKUP(B890,Master[Product_Code],Master[Style])</f>
        <v>Boot Cut</v>
      </c>
      <c r="F890" s="2" t="str">
        <f>_xlfn.XLOOKUP(B890,Master[Product_Code],Master[Fabric])</f>
        <v>Cotton Blend</v>
      </c>
      <c r="G890" s="2">
        <f>_xlfn.XLOOKUP(B890,Master[Product_Code],Master[Size])</f>
        <v>44</v>
      </c>
      <c r="H890" s="2" t="str">
        <f>_xlfn.XLOOKUP(B890,Master[Product_Code],Master[Color])</f>
        <v>Brown</v>
      </c>
      <c r="I890" s="4">
        <f>_xlfn.XLOOKUP(B890,Master[Product_Code],Master[Stock_Qty])</f>
        <v>5</v>
      </c>
      <c r="J890" s="6">
        <f>SUMIFS(
  Sales_Entry[Qty],
  Sales_Entry[Product_Code], Stock_Table[[#This Row],[Product_Code]]
)</f>
        <v>5</v>
      </c>
      <c r="K890" s="4">
        <f>SUMIFS(
  Exchange_Return[Qty],
  Exchange_Return[Product_Code], Stock_Table[[#This Row],[Product_Code]]
)</f>
        <v>0</v>
      </c>
      <c r="L890" s="4">
        <f>I890-J890+K890</f>
        <v>0</v>
      </c>
      <c r="M890" s="2" t="str" cm="1">
        <f t="array" ref="M890">_xlfn.IFS(L890=0,"Out of Stock",L890&gt;=2,"Limited Stock",L890&lt;2,"In Stock")</f>
        <v>Out of Stock</v>
      </c>
    </row>
    <row r="891" spans="2:13">
      <c r="B891" s="2" t="s">
        <v>11</v>
      </c>
      <c r="C891" s="5" t="str">
        <f>_xlfn.XLOOKUP(B891,Master[Product_Code],Master[Category])</f>
        <v>Shirt</v>
      </c>
      <c r="D891" s="2" t="str">
        <f>_xlfn.XLOOKUP(B891,Master[Product_Code],Master[Brand])</f>
        <v>L7</v>
      </c>
      <c r="E891" s="2" t="str">
        <f>_xlfn.XLOOKUP(B891,Master[Product_Code],Master[Style])</f>
        <v>Formal</v>
      </c>
      <c r="F891" s="2" t="str">
        <f>_xlfn.XLOOKUP(B891,Master[Product_Code],Master[Fabric])</f>
        <v>Cotton Blend</v>
      </c>
      <c r="G891" s="2" t="str">
        <f>_xlfn.XLOOKUP(B891,Master[Product_Code],Master[Size])</f>
        <v>M</v>
      </c>
      <c r="H891" s="2" t="str">
        <f>_xlfn.XLOOKUP(B891,Master[Product_Code],Master[Color])</f>
        <v>Charcoal</v>
      </c>
      <c r="I891" s="4">
        <f>_xlfn.XLOOKUP(B891,Master[Product_Code],Master[Stock_Qty])</f>
        <v>4</v>
      </c>
      <c r="J891" s="6">
        <f>SUMIFS(
  Sales_Entry[Qty],
  Sales_Entry[Product_Code], Stock_Table[[#This Row],[Product_Code]]
)</f>
        <v>3</v>
      </c>
      <c r="K891" s="6">
        <f>SUMIFS(
  Exchange_Return[Qty],
  Exchange_Return[Product_Code], Stock_Table[[#This Row],[Product_Code]]
)</f>
        <v>0</v>
      </c>
      <c r="L891" s="4">
        <f>I891-J891+K891</f>
        <v>1</v>
      </c>
      <c r="M891" s="2" t="str" cm="1">
        <f t="array" ref="M891">_xlfn.IFS(L891=0,"Out of Stock",L891&gt;=2,"Limited Stock",L891&lt;2,"In Stock")</f>
        <v>In Stock</v>
      </c>
    </row>
    <row r="892" spans="2:13">
      <c r="B892" s="2" t="s">
        <v>18</v>
      </c>
      <c r="C892" s="5" t="str">
        <f>_xlfn.XLOOKUP(B892,Master[Product_Code],Master[Category])</f>
        <v>Shirt</v>
      </c>
      <c r="D892" s="2" t="str">
        <f>_xlfn.XLOOKUP(B892,Master[Product_Code],Master[Brand])</f>
        <v>L7</v>
      </c>
      <c r="E892" s="2" t="str">
        <f>_xlfn.XLOOKUP(B892,Master[Product_Code],Master[Style])</f>
        <v>Partywear</v>
      </c>
      <c r="F892" s="2" t="str">
        <f>_xlfn.XLOOKUP(B892,Master[Product_Code],Master[Fabric])</f>
        <v>Cotton</v>
      </c>
      <c r="G892" s="2" t="str">
        <f>_xlfn.XLOOKUP(B892,Master[Product_Code],Master[Size])</f>
        <v>XXL</v>
      </c>
      <c r="H892" s="2" t="str">
        <f>_xlfn.XLOOKUP(B892,Master[Product_Code],Master[Color])</f>
        <v>Bottle Green</v>
      </c>
      <c r="I892" s="4">
        <f>_xlfn.XLOOKUP(B892,Master[Product_Code],Master[Stock_Qty])</f>
        <v>3</v>
      </c>
      <c r="J892" s="6">
        <f>SUMIFS(
  Sales_Entry[Qty],
  Sales_Entry[Product_Code], Stock_Table[[#This Row],[Product_Code]]
)</f>
        <v>1</v>
      </c>
      <c r="K892" s="4">
        <f>SUMIFS(
  Exchange_Return[Qty],
  Exchange_Return[Product_Code], Stock_Table[[#This Row],[Product_Code]]
)</f>
        <v>0</v>
      </c>
      <c r="L892" s="4">
        <f>I892-J892+K892</f>
        <v>2</v>
      </c>
      <c r="M892" s="2" t="str" cm="1">
        <f t="array" ref="M892">_xlfn.IFS(L892=0,"Out of Stock",L892&gt;=2,"Limited Stock",L892&lt;2,"In Stock")</f>
        <v>Limited Stock</v>
      </c>
    </row>
    <row r="893" spans="2:13">
      <c r="B893" s="2" t="s">
        <v>23</v>
      </c>
      <c r="C893" s="5" t="str">
        <f>_xlfn.XLOOKUP(B893,Master[Product_Code],Master[Category])</f>
        <v>Shirt</v>
      </c>
      <c r="D893" s="2" t="str">
        <f>_xlfn.XLOOKUP(B893,Master[Product_Code],Master[Brand])</f>
        <v>L7</v>
      </c>
      <c r="E893" s="2" t="str">
        <f>_xlfn.XLOOKUP(B893,Master[Product_Code],Master[Style])</f>
        <v>Formal</v>
      </c>
      <c r="F893" s="2" t="str">
        <f>_xlfn.XLOOKUP(B893,Master[Product_Code],Master[Fabric])</f>
        <v>Lycra</v>
      </c>
      <c r="G893" s="2" t="str">
        <f>_xlfn.XLOOKUP(B893,Master[Product_Code],Master[Size])</f>
        <v>XXL</v>
      </c>
      <c r="H893" s="2" t="str">
        <f>_xlfn.XLOOKUP(B893,Master[Product_Code],Master[Color])</f>
        <v>Royal Blue</v>
      </c>
      <c r="I893" s="4">
        <f>_xlfn.XLOOKUP(B893,Master[Product_Code],Master[Stock_Qty])</f>
        <v>3</v>
      </c>
      <c r="J893" s="6">
        <f>SUMIFS(
  Sales_Entry[Qty],
  Sales_Entry[Product_Code], Stock_Table[[#This Row],[Product_Code]]
)</f>
        <v>1</v>
      </c>
      <c r="K893" s="4">
        <f>SUMIFS(
  Exchange_Return[Qty],
  Exchange_Return[Product_Code], Stock_Table[[#This Row],[Product_Code]]
)</f>
        <v>0</v>
      </c>
      <c r="L893" s="4">
        <f>I893-J893+K893</f>
        <v>2</v>
      </c>
      <c r="M893" s="2" t="str" cm="1">
        <f t="array" ref="M893">_xlfn.IFS(L893=0,"Out of Stock",L893&gt;=2,"Limited Stock",L893&lt;2,"In Stock")</f>
        <v>Limited Stock</v>
      </c>
    </row>
    <row r="894" spans="2:13">
      <c r="B894" s="2" t="s">
        <v>26</v>
      </c>
      <c r="C894" s="5" t="str">
        <f>_xlfn.XLOOKUP(B894,Master[Product_Code],Master[Category])</f>
        <v>Shirt</v>
      </c>
      <c r="D894" s="2" t="str">
        <f>_xlfn.XLOOKUP(B894,Master[Product_Code],Master[Brand])</f>
        <v>G Studio</v>
      </c>
      <c r="E894" s="2" t="str">
        <f>_xlfn.XLOOKUP(B894,Master[Product_Code],Master[Style])</f>
        <v>Partywear</v>
      </c>
      <c r="F894" s="2" t="str">
        <f>_xlfn.XLOOKUP(B894,Master[Product_Code],Master[Fabric])</f>
        <v>Polyester</v>
      </c>
      <c r="G894" s="2" t="str">
        <f>_xlfn.XLOOKUP(B894,Master[Product_Code],Master[Size])</f>
        <v>M</v>
      </c>
      <c r="H894" s="2" t="str">
        <f>_xlfn.XLOOKUP(B894,Master[Product_Code],Master[Color])</f>
        <v>Cream</v>
      </c>
      <c r="I894" s="4">
        <f>_xlfn.XLOOKUP(B894,Master[Product_Code],Master[Stock_Qty])</f>
        <v>5</v>
      </c>
      <c r="J894" s="6">
        <f>SUMIFS(
  Sales_Entry[Qty],
  Sales_Entry[Product_Code], Stock_Table[[#This Row],[Product_Code]]
)</f>
        <v>4</v>
      </c>
      <c r="K894" s="4">
        <f>SUMIFS(
  Exchange_Return[Qty],
  Exchange_Return[Product_Code], Stock_Table[[#This Row],[Product_Code]]
)</f>
        <v>0</v>
      </c>
      <c r="L894" s="4">
        <f>I894-J894+K894</f>
        <v>1</v>
      </c>
      <c r="M894" s="2" t="str" cm="1">
        <f t="array" ref="M894">_xlfn.IFS(L894=0,"Out of Stock",L894&gt;=2,"Limited Stock",L894&lt;2,"In Stock")</f>
        <v>In Stock</v>
      </c>
    </row>
    <row r="895" spans="2:13">
      <c r="B895" s="2" t="s">
        <v>30</v>
      </c>
      <c r="C895" s="5" t="str">
        <f>_xlfn.XLOOKUP(B895,Master[Product_Code],Master[Category])</f>
        <v>Shirt</v>
      </c>
      <c r="D895" s="2" t="str">
        <f>_xlfn.XLOOKUP(B895,Master[Product_Code],Master[Brand])</f>
        <v>Zara</v>
      </c>
      <c r="E895" s="2" t="str">
        <f>_xlfn.XLOOKUP(B895,Master[Product_Code],Master[Style])</f>
        <v>Formal</v>
      </c>
      <c r="F895" s="2" t="str">
        <f>_xlfn.XLOOKUP(B895,Master[Product_Code],Master[Fabric])</f>
        <v>Polyester</v>
      </c>
      <c r="G895" s="2" t="str">
        <f>_xlfn.XLOOKUP(B895,Master[Product_Code],Master[Size])</f>
        <v>L</v>
      </c>
      <c r="H895" s="2" t="str">
        <f>_xlfn.XLOOKUP(B895,Master[Product_Code],Master[Color])</f>
        <v>Beige</v>
      </c>
      <c r="I895" s="4">
        <f>_xlfn.XLOOKUP(B895,Master[Product_Code],Master[Stock_Qty])</f>
        <v>4</v>
      </c>
      <c r="J895" s="6">
        <f>SUMIFS(
  Sales_Entry[Qty],
  Sales_Entry[Product_Code], Stock_Table[[#This Row],[Product_Code]]
)</f>
        <v>2</v>
      </c>
      <c r="K895" s="4">
        <f>SUMIFS(
  Exchange_Return[Qty],
  Exchange_Return[Product_Code], Stock_Table[[#This Row],[Product_Code]]
)</f>
        <v>0</v>
      </c>
      <c r="L895" s="4">
        <f>I895-J895+K895</f>
        <v>2</v>
      </c>
      <c r="M895" s="2" t="str" cm="1">
        <f t="array" ref="M895">_xlfn.IFS(L895=0,"Out of Stock",L895&gt;=2,"Limited Stock",L895&lt;2,"In Stock")</f>
        <v>Limited Stock</v>
      </c>
    </row>
    <row r="896" spans="2:13">
      <c r="B896" s="2" t="s">
        <v>34</v>
      </c>
      <c r="C896" s="5" t="str">
        <f>_xlfn.XLOOKUP(B896,Master[Product_Code],Master[Category])</f>
        <v>Shirt</v>
      </c>
      <c r="D896" s="2" t="str">
        <f>_xlfn.XLOOKUP(B896,Master[Product_Code],Master[Brand])</f>
        <v>British</v>
      </c>
      <c r="E896" s="2" t="str">
        <f>_xlfn.XLOOKUP(B896,Master[Product_Code],Master[Style])</f>
        <v>Formal</v>
      </c>
      <c r="F896" s="2" t="str">
        <f>_xlfn.XLOOKUP(B896,Master[Product_Code],Master[Fabric])</f>
        <v>Cotton</v>
      </c>
      <c r="G896" s="2" t="str">
        <f>_xlfn.XLOOKUP(B896,Master[Product_Code],Master[Size])</f>
        <v>XL</v>
      </c>
      <c r="H896" s="2" t="str">
        <f>_xlfn.XLOOKUP(B896,Master[Product_Code],Master[Color])</f>
        <v>Sky Blue</v>
      </c>
      <c r="I896" s="4">
        <f>_xlfn.XLOOKUP(B896,Master[Product_Code],Master[Stock_Qty])</f>
        <v>5</v>
      </c>
      <c r="J896" s="6">
        <f>SUMIFS(
  Sales_Entry[Qty],
  Sales_Entry[Product_Code], Stock_Table[[#This Row],[Product_Code]]
)</f>
        <v>1</v>
      </c>
      <c r="K896" s="4">
        <f>SUMIFS(
  Exchange_Return[Qty],
  Exchange_Return[Product_Code], Stock_Table[[#This Row],[Product_Code]]
)</f>
        <v>0</v>
      </c>
      <c r="L896" s="4">
        <f>I896-J896+K896</f>
        <v>4</v>
      </c>
      <c r="M896" s="2" t="str" cm="1">
        <f t="array" ref="M896">_xlfn.IFS(L896=0,"Out of Stock",L896&gt;=2,"Limited Stock",L896&lt;2,"In Stock")</f>
        <v>Limited Stock</v>
      </c>
    </row>
    <row r="897" spans="2:13">
      <c r="B897" s="2" t="s">
        <v>38</v>
      </c>
      <c r="C897" s="5" t="str">
        <f>_xlfn.XLOOKUP(B897,Master[Product_Code],Master[Category])</f>
        <v>Shirt</v>
      </c>
      <c r="D897" s="2" t="str">
        <f>_xlfn.XLOOKUP(B897,Master[Product_Code],Master[Brand])</f>
        <v>British</v>
      </c>
      <c r="E897" s="2" t="str">
        <f>_xlfn.XLOOKUP(B897,Master[Product_Code],Master[Style])</f>
        <v>Partywear</v>
      </c>
      <c r="F897" s="2" t="str">
        <f>_xlfn.XLOOKUP(B897,Master[Product_Code],Master[Fabric])</f>
        <v>Cotton Blend</v>
      </c>
      <c r="G897" s="2" t="str">
        <f>_xlfn.XLOOKUP(B897,Master[Product_Code],Master[Size])</f>
        <v>S</v>
      </c>
      <c r="H897" s="2" t="str">
        <f>_xlfn.XLOOKUP(B897,Master[Product_Code],Master[Color])</f>
        <v>Cream</v>
      </c>
      <c r="I897" s="4">
        <f>_xlfn.XLOOKUP(B897,Master[Product_Code],Master[Stock_Qty])</f>
        <v>3</v>
      </c>
      <c r="J897" s="6">
        <f>SUMIFS(
  Sales_Entry[Qty],
  Sales_Entry[Product_Code], Stock_Table[[#This Row],[Product_Code]]
)</f>
        <v>1</v>
      </c>
      <c r="K897" s="4">
        <f>SUMIFS(
  Exchange_Return[Qty],
  Exchange_Return[Product_Code], Stock_Table[[#This Row],[Product_Code]]
)</f>
        <v>0</v>
      </c>
      <c r="L897" s="4">
        <f>I897-J897+K897</f>
        <v>2</v>
      </c>
      <c r="M897" s="2" t="str" cm="1">
        <f t="array" ref="M897">_xlfn.IFS(L897=0,"Out of Stock",L897&gt;=2,"Limited Stock",L897&lt;2,"In Stock")</f>
        <v>Limited Stock</v>
      </c>
    </row>
    <row r="898" spans="2:13">
      <c r="B898" s="2" t="s">
        <v>40</v>
      </c>
      <c r="C898" s="5" t="str">
        <f>_xlfn.XLOOKUP(B898,Master[Product_Code],Master[Category])</f>
        <v>Shirt</v>
      </c>
      <c r="D898" s="2" t="str">
        <f>_xlfn.XLOOKUP(B898,Master[Product_Code],Master[Brand])</f>
        <v>L7</v>
      </c>
      <c r="E898" s="2" t="str">
        <f>_xlfn.XLOOKUP(B898,Master[Product_Code],Master[Style])</f>
        <v>Partywear</v>
      </c>
      <c r="F898" s="2" t="str">
        <f>_xlfn.XLOOKUP(B898,Master[Product_Code],Master[Fabric])</f>
        <v>Cotton Blend</v>
      </c>
      <c r="G898" s="2" t="str">
        <f>_xlfn.XLOOKUP(B898,Master[Product_Code],Master[Size])</f>
        <v>XXL</v>
      </c>
      <c r="H898" s="2" t="str">
        <f>_xlfn.XLOOKUP(B898,Master[Product_Code],Master[Color])</f>
        <v>Teal</v>
      </c>
      <c r="I898" s="4">
        <f>_xlfn.XLOOKUP(B898,Master[Product_Code],Master[Stock_Qty])</f>
        <v>4</v>
      </c>
      <c r="J898" s="6">
        <f>SUMIFS(
  Sales_Entry[Qty],
  Sales_Entry[Product_Code], Stock_Table[[#This Row],[Product_Code]]
)</f>
        <v>2</v>
      </c>
      <c r="K898" s="4">
        <f>SUMIFS(
  Exchange_Return[Qty],
  Exchange_Return[Product_Code], Stock_Table[[#This Row],[Product_Code]]
)</f>
        <v>0</v>
      </c>
      <c r="L898" s="4">
        <f>I898-J898+K898</f>
        <v>2</v>
      </c>
      <c r="M898" s="2" t="str" cm="1">
        <f t="array" ref="M898">_xlfn.IFS(L898=0,"Out of Stock",L898&gt;=2,"Limited Stock",L898&lt;2,"In Stock")</f>
        <v>Limited Stock</v>
      </c>
    </row>
    <row r="899" spans="2:13">
      <c r="B899" s="2" t="s">
        <v>42</v>
      </c>
      <c r="C899" s="5" t="str">
        <f>_xlfn.XLOOKUP(B899,Master[Product_Code],Master[Category])</f>
        <v>Shirt</v>
      </c>
      <c r="D899" s="2" t="str">
        <f>_xlfn.XLOOKUP(B899,Master[Product_Code],Master[Brand])</f>
        <v>L7</v>
      </c>
      <c r="E899" s="2" t="str">
        <f>_xlfn.XLOOKUP(B899,Master[Product_Code],Master[Style])</f>
        <v>Formal</v>
      </c>
      <c r="F899" s="2" t="str">
        <f>_xlfn.XLOOKUP(B899,Master[Product_Code],Master[Fabric])</f>
        <v>Lycra</v>
      </c>
      <c r="G899" s="2" t="str">
        <f>_xlfn.XLOOKUP(B899,Master[Product_Code],Master[Size])</f>
        <v>L</v>
      </c>
      <c r="H899" s="2" t="str">
        <f>_xlfn.XLOOKUP(B899,Master[Product_Code],Master[Color])</f>
        <v>Navy Blue</v>
      </c>
      <c r="I899" s="4">
        <f>_xlfn.XLOOKUP(B899,Master[Product_Code],Master[Stock_Qty])</f>
        <v>4</v>
      </c>
      <c r="J899" s="6">
        <f>SUMIFS(
  Sales_Entry[Qty],
  Sales_Entry[Product_Code], Stock_Table[[#This Row],[Product_Code]]
)</f>
        <v>2</v>
      </c>
      <c r="K899" s="4">
        <f>SUMIFS(
  Exchange_Return[Qty],
  Exchange_Return[Product_Code], Stock_Table[[#This Row],[Product_Code]]
)</f>
        <v>0</v>
      </c>
      <c r="L899" s="4">
        <f>I899-J899+K899</f>
        <v>2</v>
      </c>
      <c r="M899" s="2" t="str" cm="1">
        <f t="array" ref="M899">_xlfn.IFS(L899=0,"Out of Stock",L899&gt;=2,"Limited Stock",L899&lt;2,"In Stock")</f>
        <v>Limited Stock</v>
      </c>
    </row>
    <row r="900" spans="2:13">
      <c r="B900" s="2" t="s">
        <v>44</v>
      </c>
      <c r="C900" s="5" t="str">
        <f>_xlfn.XLOOKUP(B900,Master[Product_Code],Master[Category])</f>
        <v>Shirt</v>
      </c>
      <c r="D900" s="2" t="str">
        <f>_xlfn.XLOOKUP(B900,Master[Product_Code],Master[Brand])</f>
        <v>L7</v>
      </c>
      <c r="E900" s="2" t="str">
        <f>_xlfn.XLOOKUP(B900,Master[Product_Code],Master[Style])</f>
        <v>Casual</v>
      </c>
      <c r="F900" s="2" t="str">
        <f>_xlfn.XLOOKUP(B900,Master[Product_Code],Master[Fabric])</f>
        <v>Cotton Blend</v>
      </c>
      <c r="G900" s="2" t="str">
        <f>_xlfn.XLOOKUP(B900,Master[Product_Code],Master[Size])</f>
        <v>XL</v>
      </c>
      <c r="H900" s="2" t="str">
        <f>_xlfn.XLOOKUP(B900,Master[Product_Code],Master[Color])</f>
        <v>Teal</v>
      </c>
      <c r="I900" s="4">
        <f>_xlfn.XLOOKUP(B900,Master[Product_Code],Master[Stock_Qty])</f>
        <v>4</v>
      </c>
      <c r="J900" s="6">
        <f>SUMIFS(
  Sales_Entry[Qty],
  Sales_Entry[Product_Code], Stock_Table[[#This Row],[Product_Code]]
)</f>
        <v>3</v>
      </c>
      <c r="K900" s="4">
        <f>SUMIFS(
  Exchange_Return[Qty],
  Exchange_Return[Product_Code], Stock_Table[[#This Row],[Product_Code]]
)</f>
        <v>0</v>
      </c>
      <c r="L900" s="4">
        <f>I900-J900+K900</f>
        <v>1</v>
      </c>
      <c r="M900" s="2" t="str" cm="1">
        <f t="array" ref="M900">_xlfn.IFS(L900=0,"Out of Stock",L900&gt;=2,"Limited Stock",L900&lt;2,"In Stock")</f>
        <v>In Stock</v>
      </c>
    </row>
    <row r="901" spans="2:13">
      <c r="B901" s="2" t="s">
        <v>46</v>
      </c>
      <c r="C901" s="5" t="str">
        <f>_xlfn.XLOOKUP(B901,Master[Product_Code],Master[Category])</f>
        <v>Shirt</v>
      </c>
      <c r="D901" s="2" t="str">
        <f>_xlfn.XLOOKUP(B901,Master[Product_Code],Master[Brand])</f>
        <v>British</v>
      </c>
      <c r="E901" s="2" t="str">
        <f>_xlfn.XLOOKUP(B901,Master[Product_Code],Master[Style])</f>
        <v>Formal</v>
      </c>
      <c r="F901" s="2" t="str">
        <f>_xlfn.XLOOKUP(B901,Master[Product_Code],Master[Fabric])</f>
        <v>Cotton Blend</v>
      </c>
      <c r="G901" s="2" t="str">
        <f>_xlfn.XLOOKUP(B901,Master[Product_Code],Master[Size])</f>
        <v>S</v>
      </c>
      <c r="H901" s="2" t="str">
        <f>_xlfn.XLOOKUP(B901,Master[Product_Code],Master[Color])</f>
        <v>Royal Blue</v>
      </c>
      <c r="I901" s="4">
        <f>_xlfn.XLOOKUP(B901,Master[Product_Code],Master[Stock_Qty])</f>
        <v>4</v>
      </c>
      <c r="J901" s="6">
        <f>SUMIFS(
  Sales_Entry[Qty],
  Sales_Entry[Product_Code], Stock_Table[[#This Row],[Product_Code]]
)</f>
        <v>0</v>
      </c>
      <c r="K901" s="4">
        <f>SUMIFS(
  Exchange_Return[Qty],
  Exchange_Return[Product_Code], Stock_Table[[#This Row],[Product_Code]]
)</f>
        <v>0</v>
      </c>
      <c r="L901" s="4">
        <f>I901-J901+K901</f>
        <v>4</v>
      </c>
      <c r="M901" s="2" t="str" cm="1">
        <f t="array" ref="M901">_xlfn.IFS(L901=0,"Out of Stock",L901&gt;=2,"Limited Stock",L901&lt;2,"In Stock")</f>
        <v>Limited Stock</v>
      </c>
    </row>
    <row r="902" spans="2:13">
      <c r="B902" s="2" t="s">
        <v>47</v>
      </c>
      <c r="C902" s="5" t="str">
        <f>_xlfn.XLOOKUP(B902,Master[Product_Code],Master[Category])</f>
        <v>Shirt</v>
      </c>
      <c r="D902" s="2" t="str">
        <f>_xlfn.XLOOKUP(B902,Master[Product_Code],Master[Brand])</f>
        <v>G Studio</v>
      </c>
      <c r="E902" s="2" t="str">
        <f>_xlfn.XLOOKUP(B902,Master[Product_Code],Master[Style])</f>
        <v>Formal</v>
      </c>
      <c r="F902" s="2" t="str">
        <f>_xlfn.XLOOKUP(B902,Master[Product_Code],Master[Fabric])</f>
        <v>Polyester</v>
      </c>
      <c r="G902" s="2" t="str">
        <f>_xlfn.XLOOKUP(B902,Master[Product_Code],Master[Size])</f>
        <v>XL</v>
      </c>
      <c r="H902" s="2" t="str">
        <f>_xlfn.XLOOKUP(B902,Master[Product_Code],Master[Color])</f>
        <v>Beige</v>
      </c>
      <c r="I902" s="4">
        <f>_xlfn.XLOOKUP(B902,Master[Product_Code],Master[Stock_Qty])</f>
        <v>4</v>
      </c>
      <c r="J902" s="6">
        <f>SUMIFS(
  Sales_Entry[Qty],
  Sales_Entry[Product_Code], Stock_Table[[#This Row],[Product_Code]]
)</f>
        <v>3</v>
      </c>
      <c r="K902" s="4">
        <f>SUMIFS(
  Exchange_Return[Qty],
  Exchange_Return[Product_Code], Stock_Table[[#This Row],[Product_Code]]
)</f>
        <v>0</v>
      </c>
      <c r="L902" s="4">
        <f>I902-J902+K902</f>
        <v>1</v>
      </c>
      <c r="M902" s="2" t="str" cm="1">
        <f t="array" ref="M902">_xlfn.IFS(L902=0,"Out of Stock",L902&gt;=2,"Limited Stock",L902&lt;2,"In Stock")</f>
        <v>In Stock</v>
      </c>
    </row>
    <row r="903" spans="2:13">
      <c r="B903" s="2" t="s">
        <v>48</v>
      </c>
      <c r="C903" s="5" t="str">
        <f>_xlfn.XLOOKUP(B903,Master[Product_Code],Master[Category])</f>
        <v>Shirt</v>
      </c>
      <c r="D903" s="2" t="str">
        <f>_xlfn.XLOOKUP(B903,Master[Product_Code],Master[Brand])</f>
        <v>British</v>
      </c>
      <c r="E903" s="2" t="str">
        <f>_xlfn.XLOOKUP(B903,Master[Product_Code],Master[Style])</f>
        <v>Formal</v>
      </c>
      <c r="F903" s="2" t="str">
        <f>_xlfn.XLOOKUP(B903,Master[Product_Code],Master[Fabric])</f>
        <v>Lycra</v>
      </c>
      <c r="G903" s="2" t="str">
        <f>_xlfn.XLOOKUP(B903,Master[Product_Code],Master[Size])</f>
        <v>S</v>
      </c>
      <c r="H903" s="2" t="str">
        <f>_xlfn.XLOOKUP(B903,Master[Product_Code],Master[Color])</f>
        <v>Mustard</v>
      </c>
      <c r="I903" s="4">
        <f>_xlfn.XLOOKUP(B903,Master[Product_Code],Master[Stock_Qty])</f>
        <v>6</v>
      </c>
      <c r="J903" s="6">
        <f>SUMIFS(
  Sales_Entry[Qty],
  Sales_Entry[Product_Code], Stock_Table[[#This Row],[Product_Code]]
)</f>
        <v>2</v>
      </c>
      <c r="K903" s="4">
        <f>SUMIFS(
  Exchange_Return[Qty],
  Exchange_Return[Product_Code], Stock_Table[[#This Row],[Product_Code]]
)</f>
        <v>0</v>
      </c>
      <c r="L903" s="4">
        <f>I903-J903+K903</f>
        <v>4</v>
      </c>
      <c r="M903" s="2" t="str" cm="1">
        <f t="array" ref="M903">_xlfn.IFS(L903=0,"Out of Stock",L903&gt;=2,"Limited Stock",L903&lt;2,"In Stock")</f>
        <v>Limited Stock</v>
      </c>
    </row>
    <row r="904" spans="2:13">
      <c r="B904" s="2" t="s">
        <v>50</v>
      </c>
      <c r="C904" s="5" t="str">
        <f>_xlfn.XLOOKUP(B904,Master[Product_Code],Master[Category])</f>
        <v>Shirt</v>
      </c>
      <c r="D904" s="2" t="str">
        <f>_xlfn.XLOOKUP(B904,Master[Product_Code],Master[Brand])</f>
        <v>L7</v>
      </c>
      <c r="E904" s="2" t="str">
        <f>_xlfn.XLOOKUP(B904,Master[Product_Code],Master[Style])</f>
        <v>Formal</v>
      </c>
      <c r="F904" s="2" t="str">
        <f>_xlfn.XLOOKUP(B904,Master[Product_Code],Master[Fabric])</f>
        <v>Cotton Blend</v>
      </c>
      <c r="G904" s="2" t="str">
        <f>_xlfn.XLOOKUP(B904,Master[Product_Code],Master[Size])</f>
        <v>M</v>
      </c>
      <c r="H904" s="2" t="str">
        <f>_xlfn.XLOOKUP(B904,Master[Product_Code],Master[Color])</f>
        <v>Peach</v>
      </c>
      <c r="I904" s="4">
        <f>_xlfn.XLOOKUP(B904,Master[Product_Code],Master[Stock_Qty])</f>
        <v>6</v>
      </c>
      <c r="J904" s="6">
        <f>SUMIFS(
  Sales_Entry[Qty],
  Sales_Entry[Product_Code], Stock_Table[[#This Row],[Product_Code]]
)</f>
        <v>4</v>
      </c>
      <c r="K904" s="4">
        <f>SUMIFS(
  Exchange_Return[Qty],
  Exchange_Return[Product_Code], Stock_Table[[#This Row],[Product_Code]]
)</f>
        <v>1</v>
      </c>
      <c r="L904" s="4">
        <f>I904-J904+K904</f>
        <v>3</v>
      </c>
      <c r="M904" s="2" t="str" cm="1">
        <f t="array" ref="M904">_xlfn.IFS(L904=0,"Out of Stock",L904&gt;=2,"Limited Stock",L904&lt;2,"In Stock")</f>
        <v>Limited Stock</v>
      </c>
    </row>
    <row r="905" spans="2:13">
      <c r="B905" s="2" t="s">
        <v>52</v>
      </c>
      <c r="C905" s="5" t="str">
        <f>_xlfn.XLOOKUP(B905,Master[Product_Code],Master[Category])</f>
        <v>Shirt</v>
      </c>
      <c r="D905" s="2" t="str">
        <f>_xlfn.XLOOKUP(B905,Master[Product_Code],Master[Brand])</f>
        <v>Max</v>
      </c>
      <c r="E905" s="2" t="str">
        <f>_xlfn.XLOOKUP(B905,Master[Product_Code],Master[Style])</f>
        <v>Formal</v>
      </c>
      <c r="F905" s="2" t="str">
        <f>_xlfn.XLOOKUP(B905,Master[Product_Code],Master[Fabric])</f>
        <v>Cotton Blend</v>
      </c>
      <c r="G905" s="2" t="str">
        <f>_xlfn.XLOOKUP(B905,Master[Product_Code],Master[Size])</f>
        <v>M</v>
      </c>
      <c r="H905" s="2" t="str">
        <f>_xlfn.XLOOKUP(B905,Master[Product_Code],Master[Color])</f>
        <v>Charcoal</v>
      </c>
      <c r="I905" s="4">
        <f>_xlfn.XLOOKUP(B905,Master[Product_Code],Master[Stock_Qty])</f>
        <v>5</v>
      </c>
      <c r="J905" s="6">
        <f>SUMIFS(
  Sales_Entry[Qty],
  Sales_Entry[Product_Code], Stock_Table[[#This Row],[Product_Code]]
)</f>
        <v>1</v>
      </c>
      <c r="K905" s="4">
        <f>SUMIFS(
  Exchange_Return[Qty],
  Exchange_Return[Product_Code], Stock_Table[[#This Row],[Product_Code]]
)</f>
        <v>0</v>
      </c>
      <c r="L905" s="4">
        <f>I905-J905+K905</f>
        <v>4</v>
      </c>
      <c r="M905" s="2" t="str" cm="1">
        <f t="array" ref="M905">_xlfn.IFS(L905=0,"Out of Stock",L905&gt;=2,"Limited Stock",L905&lt;2,"In Stock")</f>
        <v>Limited Stock</v>
      </c>
    </row>
    <row r="906" spans="2:13">
      <c r="B906" s="2" t="s">
        <v>54</v>
      </c>
      <c r="C906" s="5" t="str">
        <f>_xlfn.XLOOKUP(B906,Master[Product_Code],Master[Category])</f>
        <v>Shirt</v>
      </c>
      <c r="D906" s="2" t="str">
        <f>_xlfn.XLOOKUP(B906,Master[Product_Code],Master[Brand])</f>
        <v>Luke &amp; Burg</v>
      </c>
      <c r="E906" s="2" t="str">
        <f>_xlfn.XLOOKUP(B906,Master[Product_Code],Master[Style])</f>
        <v>Partywear</v>
      </c>
      <c r="F906" s="2" t="str">
        <f>_xlfn.XLOOKUP(B906,Master[Product_Code],Master[Fabric])</f>
        <v>Polyester</v>
      </c>
      <c r="G906" s="2" t="str">
        <f>_xlfn.XLOOKUP(B906,Master[Product_Code],Master[Size])</f>
        <v>L</v>
      </c>
      <c r="H906" s="2" t="str">
        <f>_xlfn.XLOOKUP(B906,Master[Product_Code],Master[Color])</f>
        <v>Charcoal</v>
      </c>
      <c r="I906" s="4">
        <f>_xlfn.XLOOKUP(B906,Master[Product_Code],Master[Stock_Qty])</f>
        <v>4</v>
      </c>
      <c r="J906" s="6">
        <f>SUMIFS(
  Sales_Entry[Qty],
  Sales_Entry[Product_Code], Stock_Table[[#This Row],[Product_Code]]
)</f>
        <v>2</v>
      </c>
      <c r="K906" s="4">
        <f>SUMIFS(
  Exchange_Return[Qty],
  Exchange_Return[Product_Code], Stock_Table[[#This Row],[Product_Code]]
)</f>
        <v>0</v>
      </c>
      <c r="L906" s="4">
        <f>I906-J906+K906</f>
        <v>2</v>
      </c>
      <c r="M906" s="2" t="str" cm="1">
        <f t="array" ref="M906">_xlfn.IFS(L906=0,"Out of Stock",L906&gt;=2,"Limited Stock",L906&lt;2,"In Stock")</f>
        <v>Limited Stock</v>
      </c>
    </row>
    <row r="907" spans="2:13">
      <c r="B907" s="2" t="s">
        <v>56</v>
      </c>
      <c r="C907" s="5" t="str">
        <f>_xlfn.XLOOKUP(B907,Master[Product_Code],Master[Category])</f>
        <v>Shirt</v>
      </c>
      <c r="D907" s="2" t="str">
        <f>_xlfn.XLOOKUP(B907,Master[Product_Code],Master[Brand])</f>
        <v>Max</v>
      </c>
      <c r="E907" s="2" t="str">
        <f>_xlfn.XLOOKUP(B907,Master[Product_Code],Master[Style])</f>
        <v>Formal</v>
      </c>
      <c r="F907" s="2" t="str">
        <f>_xlfn.XLOOKUP(B907,Master[Product_Code],Master[Fabric])</f>
        <v>Cotton</v>
      </c>
      <c r="G907" s="2" t="str">
        <f>_xlfn.XLOOKUP(B907,Master[Product_Code],Master[Size])</f>
        <v>S</v>
      </c>
      <c r="H907" s="2" t="str">
        <f>_xlfn.XLOOKUP(B907,Master[Product_Code],Master[Color])</f>
        <v>Maroon</v>
      </c>
      <c r="I907" s="4">
        <f>_xlfn.XLOOKUP(B907,Master[Product_Code],Master[Stock_Qty])</f>
        <v>4</v>
      </c>
      <c r="J907" s="6">
        <f>SUMIFS(
  Sales_Entry[Qty],
  Sales_Entry[Product_Code], Stock_Table[[#This Row],[Product_Code]]
)</f>
        <v>1</v>
      </c>
      <c r="K907" s="4">
        <f>SUMIFS(
  Exchange_Return[Qty],
  Exchange_Return[Product_Code], Stock_Table[[#This Row],[Product_Code]]
)</f>
        <v>0</v>
      </c>
      <c r="L907" s="4">
        <f>I907-J907+K907</f>
        <v>3</v>
      </c>
      <c r="M907" s="2" t="str" cm="1">
        <f t="array" ref="M907">_xlfn.IFS(L907=0,"Out of Stock",L907&gt;=2,"Limited Stock",L907&lt;2,"In Stock")</f>
        <v>Limited Stock</v>
      </c>
    </row>
    <row r="908" spans="2:13">
      <c r="B908" s="2" t="s">
        <v>58</v>
      </c>
      <c r="C908" s="5" t="str">
        <f>_xlfn.XLOOKUP(B908,Master[Product_Code],Master[Category])</f>
        <v>Shirt</v>
      </c>
      <c r="D908" s="2" t="str">
        <f>_xlfn.XLOOKUP(B908,Master[Product_Code],Master[Brand])</f>
        <v>Luke &amp; Burg</v>
      </c>
      <c r="E908" s="2" t="str">
        <f>_xlfn.XLOOKUP(B908,Master[Product_Code],Master[Style])</f>
        <v>Partywear</v>
      </c>
      <c r="F908" s="2" t="str">
        <f>_xlfn.XLOOKUP(B908,Master[Product_Code],Master[Fabric])</f>
        <v>Cotton</v>
      </c>
      <c r="G908" s="2" t="str">
        <f>_xlfn.XLOOKUP(B908,Master[Product_Code],Master[Size])</f>
        <v>XL</v>
      </c>
      <c r="H908" s="2" t="str">
        <f>_xlfn.XLOOKUP(B908,Master[Product_Code],Master[Color])</f>
        <v>Rust</v>
      </c>
      <c r="I908" s="4">
        <f>_xlfn.XLOOKUP(B908,Master[Product_Code],Master[Stock_Qty])</f>
        <v>6</v>
      </c>
      <c r="J908" s="6">
        <f>SUMIFS(
  Sales_Entry[Qty],
  Sales_Entry[Product_Code], Stock_Table[[#This Row],[Product_Code]]
)</f>
        <v>3</v>
      </c>
      <c r="K908" s="4">
        <f>SUMIFS(
  Exchange_Return[Qty],
  Exchange_Return[Product_Code], Stock_Table[[#This Row],[Product_Code]]
)</f>
        <v>0</v>
      </c>
      <c r="L908" s="4">
        <f>I908-J908+K908</f>
        <v>3</v>
      </c>
      <c r="M908" s="2" t="str" cm="1">
        <f t="array" ref="M908">_xlfn.IFS(L908=0,"Out of Stock",L908&gt;=2,"Limited Stock",L908&lt;2,"In Stock")</f>
        <v>Limited Stock</v>
      </c>
    </row>
    <row r="909" spans="2:13">
      <c r="B909" s="2" t="s">
        <v>60</v>
      </c>
      <c r="C909" s="5" t="str">
        <f>_xlfn.XLOOKUP(B909,Master[Product_Code],Master[Category])</f>
        <v>Shirt</v>
      </c>
      <c r="D909" s="2" t="str">
        <f>_xlfn.XLOOKUP(B909,Master[Product_Code],Master[Brand])</f>
        <v>Thailand</v>
      </c>
      <c r="E909" s="2" t="str">
        <f>_xlfn.XLOOKUP(B909,Master[Product_Code],Master[Style])</f>
        <v>Partywear</v>
      </c>
      <c r="F909" s="2" t="str">
        <f>_xlfn.XLOOKUP(B909,Master[Product_Code],Master[Fabric])</f>
        <v>Cotton</v>
      </c>
      <c r="G909" s="2" t="str">
        <f>_xlfn.XLOOKUP(B909,Master[Product_Code],Master[Size])</f>
        <v>S</v>
      </c>
      <c r="H909" s="2" t="str">
        <f>_xlfn.XLOOKUP(B909,Master[Product_Code],Master[Color])</f>
        <v>Dark Green</v>
      </c>
      <c r="I909" s="4">
        <f>_xlfn.XLOOKUP(B909,Master[Product_Code],Master[Stock_Qty])</f>
        <v>5</v>
      </c>
      <c r="J909" s="6">
        <f>SUMIFS(
  Sales_Entry[Qty],
  Sales_Entry[Product_Code], Stock_Table[[#This Row],[Product_Code]]
)</f>
        <v>4</v>
      </c>
      <c r="K909" s="4">
        <f>SUMIFS(
  Exchange_Return[Qty],
  Exchange_Return[Product_Code], Stock_Table[[#This Row],[Product_Code]]
)</f>
        <v>0</v>
      </c>
      <c r="L909" s="4">
        <f>I909-J909+K909</f>
        <v>1</v>
      </c>
      <c r="M909" s="2" t="str" cm="1">
        <f t="array" ref="M909">_xlfn.IFS(L909=0,"Out of Stock",L909&gt;=2,"Limited Stock",L909&lt;2,"In Stock")</f>
        <v>In Stock</v>
      </c>
    </row>
    <row r="910" spans="2:13">
      <c r="B910" s="2" t="s">
        <v>63</v>
      </c>
      <c r="C910" s="5" t="str">
        <f>_xlfn.XLOOKUP(B910,Master[Product_Code],Master[Category])</f>
        <v>Shirt</v>
      </c>
      <c r="D910" s="2" t="str">
        <f>_xlfn.XLOOKUP(B910,Master[Product_Code],Master[Brand])</f>
        <v>British</v>
      </c>
      <c r="E910" s="2" t="str">
        <f>_xlfn.XLOOKUP(B910,Master[Product_Code],Master[Style])</f>
        <v>Formal</v>
      </c>
      <c r="F910" s="2" t="str">
        <f>_xlfn.XLOOKUP(B910,Master[Product_Code],Master[Fabric])</f>
        <v>Cotton Blend</v>
      </c>
      <c r="G910" s="2" t="str">
        <f>_xlfn.XLOOKUP(B910,Master[Product_Code],Master[Size])</f>
        <v>XL</v>
      </c>
      <c r="H910" s="2" t="str">
        <f>_xlfn.XLOOKUP(B910,Master[Product_Code],Master[Color])</f>
        <v>Olive</v>
      </c>
      <c r="I910" s="4">
        <f>_xlfn.XLOOKUP(B910,Master[Product_Code],Master[Stock_Qty])</f>
        <v>6</v>
      </c>
      <c r="J910" s="6">
        <f>SUMIFS(
  Sales_Entry[Qty],
  Sales_Entry[Product_Code], Stock_Table[[#This Row],[Product_Code]]
)</f>
        <v>4</v>
      </c>
      <c r="K910" s="4">
        <f>SUMIFS(
  Exchange_Return[Qty],
  Exchange_Return[Product_Code], Stock_Table[[#This Row],[Product_Code]]
)</f>
        <v>0</v>
      </c>
      <c r="L910" s="4">
        <f>I910-J910+K910</f>
        <v>2</v>
      </c>
      <c r="M910" s="2" t="str" cm="1">
        <f t="array" ref="M910">_xlfn.IFS(L910=0,"Out of Stock",L910&gt;=2,"Limited Stock",L910&lt;2,"In Stock")</f>
        <v>Limited Stock</v>
      </c>
    </row>
    <row r="911" spans="2:13">
      <c r="B911" s="2" t="s">
        <v>65</v>
      </c>
      <c r="C911" s="5" t="str">
        <f>_xlfn.XLOOKUP(B911,Master[Product_Code],Master[Category])</f>
        <v>Shirt</v>
      </c>
      <c r="D911" s="2" t="str">
        <f>_xlfn.XLOOKUP(B911,Master[Product_Code],Master[Brand])</f>
        <v>Thailand</v>
      </c>
      <c r="E911" s="2" t="str">
        <f>_xlfn.XLOOKUP(B911,Master[Product_Code],Master[Style])</f>
        <v>Partywear</v>
      </c>
      <c r="F911" s="2" t="str">
        <f>_xlfn.XLOOKUP(B911,Master[Product_Code],Master[Fabric])</f>
        <v>Lycra</v>
      </c>
      <c r="G911" s="2" t="str">
        <f>_xlfn.XLOOKUP(B911,Master[Product_Code],Master[Size])</f>
        <v>XXL</v>
      </c>
      <c r="H911" s="2" t="str">
        <f>_xlfn.XLOOKUP(B911,Master[Product_Code],Master[Color])</f>
        <v>Sky Blue</v>
      </c>
      <c r="I911" s="4">
        <f>_xlfn.XLOOKUP(B911,Master[Product_Code],Master[Stock_Qty])</f>
        <v>5</v>
      </c>
      <c r="J911" s="6">
        <f>SUMIFS(
  Sales_Entry[Qty],
  Sales_Entry[Product_Code], Stock_Table[[#This Row],[Product_Code]]
)</f>
        <v>1</v>
      </c>
      <c r="K911" s="4">
        <f>SUMIFS(
  Exchange_Return[Qty],
  Exchange_Return[Product_Code], Stock_Table[[#This Row],[Product_Code]]
)</f>
        <v>0</v>
      </c>
      <c r="L911" s="4">
        <f>I911-J911+K911</f>
        <v>4</v>
      </c>
      <c r="M911" s="2" t="str" cm="1">
        <f t="array" ref="M911">_xlfn.IFS(L911=0,"Out of Stock",L911&gt;=2,"Limited Stock",L911&lt;2,"In Stock")</f>
        <v>Limited Stock</v>
      </c>
    </row>
    <row r="912" spans="2:13">
      <c r="B912" s="2" t="s">
        <v>66</v>
      </c>
      <c r="C912" s="5" t="str">
        <f>_xlfn.XLOOKUP(B912,Master[Product_Code],Master[Category])</f>
        <v>Shirt</v>
      </c>
      <c r="D912" s="2" t="str">
        <f>_xlfn.XLOOKUP(B912,Master[Product_Code],Master[Brand])</f>
        <v>H&amp;M</v>
      </c>
      <c r="E912" s="2" t="str">
        <f>_xlfn.XLOOKUP(B912,Master[Product_Code],Master[Style])</f>
        <v>Partywear</v>
      </c>
      <c r="F912" s="2" t="str">
        <f>_xlfn.XLOOKUP(B912,Master[Product_Code],Master[Fabric])</f>
        <v>Lycra</v>
      </c>
      <c r="G912" s="2" t="str">
        <f>_xlfn.XLOOKUP(B912,Master[Product_Code],Master[Size])</f>
        <v>M</v>
      </c>
      <c r="H912" s="2" t="str">
        <f>_xlfn.XLOOKUP(B912,Master[Product_Code],Master[Color])</f>
        <v>Teal</v>
      </c>
      <c r="I912" s="4">
        <f>_xlfn.XLOOKUP(B912,Master[Product_Code],Master[Stock_Qty])</f>
        <v>4</v>
      </c>
      <c r="J912" s="6">
        <f>SUMIFS(
  Sales_Entry[Qty],
  Sales_Entry[Product_Code], Stock_Table[[#This Row],[Product_Code]]
)</f>
        <v>2</v>
      </c>
      <c r="K912" s="4">
        <f>SUMIFS(
  Exchange_Return[Qty],
  Exchange_Return[Product_Code], Stock_Table[[#This Row],[Product_Code]]
)</f>
        <v>0</v>
      </c>
      <c r="L912" s="4">
        <f>I912-J912+K912</f>
        <v>2</v>
      </c>
      <c r="M912" s="2" t="str" cm="1">
        <f t="array" ref="M912">_xlfn.IFS(L912=0,"Out of Stock",L912&gt;=2,"Limited Stock",L912&lt;2,"In Stock")</f>
        <v>Limited Stock</v>
      </c>
    </row>
    <row r="913" spans="2:13">
      <c r="B913" s="2" t="s">
        <v>68</v>
      </c>
      <c r="C913" s="5" t="str">
        <f>_xlfn.XLOOKUP(B913,Master[Product_Code],Master[Category])</f>
        <v>Shirt</v>
      </c>
      <c r="D913" s="2" t="str">
        <f>_xlfn.XLOOKUP(B913,Master[Product_Code],Master[Brand])</f>
        <v>H&amp;M</v>
      </c>
      <c r="E913" s="2" t="str">
        <f>_xlfn.XLOOKUP(B913,Master[Product_Code],Master[Style])</f>
        <v>Formal</v>
      </c>
      <c r="F913" s="2" t="str">
        <f>_xlfn.XLOOKUP(B913,Master[Product_Code],Master[Fabric])</f>
        <v>Cotton Blend</v>
      </c>
      <c r="G913" s="2" t="str">
        <f>_xlfn.XLOOKUP(B913,Master[Product_Code],Master[Size])</f>
        <v>XL</v>
      </c>
      <c r="H913" s="2" t="str">
        <f>_xlfn.XLOOKUP(B913,Master[Product_Code],Master[Color])</f>
        <v>Black</v>
      </c>
      <c r="I913" s="4">
        <f>_xlfn.XLOOKUP(B913,Master[Product_Code],Master[Stock_Qty])</f>
        <v>3</v>
      </c>
      <c r="J913" s="6">
        <f>SUMIFS(
  Sales_Entry[Qty],
  Sales_Entry[Product_Code], Stock_Table[[#This Row],[Product_Code]]
)</f>
        <v>1</v>
      </c>
      <c r="K913" s="4">
        <f>SUMIFS(
  Exchange_Return[Qty],
  Exchange_Return[Product_Code], Stock_Table[[#This Row],[Product_Code]]
)</f>
        <v>0</v>
      </c>
      <c r="L913" s="4">
        <f>I913-J913+K913</f>
        <v>2</v>
      </c>
      <c r="M913" s="2" t="str" cm="1">
        <f t="array" ref="M913">_xlfn.IFS(L913=0,"Out of Stock",L913&gt;=2,"Limited Stock",L913&lt;2,"In Stock")</f>
        <v>Limited Stock</v>
      </c>
    </row>
    <row r="914" spans="2:13">
      <c r="B914" s="2" t="s">
        <v>70</v>
      </c>
      <c r="C914" s="5" t="str">
        <f>_xlfn.XLOOKUP(B914,Master[Product_Code],Master[Category])</f>
        <v>Shirt</v>
      </c>
      <c r="D914" s="2" t="str">
        <f>_xlfn.XLOOKUP(B914,Master[Product_Code],Master[Brand])</f>
        <v>Thailand</v>
      </c>
      <c r="E914" s="2" t="str">
        <f>_xlfn.XLOOKUP(B914,Master[Product_Code],Master[Style])</f>
        <v>Formal</v>
      </c>
      <c r="F914" s="2" t="str">
        <f>_xlfn.XLOOKUP(B914,Master[Product_Code],Master[Fabric])</f>
        <v>Cotton</v>
      </c>
      <c r="G914" s="2" t="str">
        <f>_xlfn.XLOOKUP(B914,Master[Product_Code],Master[Size])</f>
        <v>M</v>
      </c>
      <c r="H914" s="2" t="str">
        <f>_xlfn.XLOOKUP(B914,Master[Product_Code],Master[Color])</f>
        <v>Light Grey</v>
      </c>
      <c r="I914" s="4">
        <f>_xlfn.XLOOKUP(B914,Master[Product_Code],Master[Stock_Qty])</f>
        <v>3</v>
      </c>
      <c r="J914" s="6">
        <f>SUMIFS(
  Sales_Entry[Qty],
  Sales_Entry[Product_Code], Stock_Table[[#This Row],[Product_Code]]
)</f>
        <v>3</v>
      </c>
      <c r="K914" s="4">
        <f>SUMIFS(
  Exchange_Return[Qty],
  Exchange_Return[Product_Code], Stock_Table[[#This Row],[Product_Code]]
)</f>
        <v>0</v>
      </c>
      <c r="L914" s="4">
        <f>I914-J914+K914</f>
        <v>0</v>
      </c>
      <c r="M914" s="2" t="str" cm="1">
        <f t="array" ref="M914">_xlfn.IFS(L914=0,"Out of Stock",L914&gt;=2,"Limited Stock",L914&lt;2,"In Stock")</f>
        <v>Out of Stock</v>
      </c>
    </row>
    <row r="915" spans="2:13">
      <c r="B915" s="2" t="s">
        <v>72</v>
      </c>
      <c r="C915" s="5" t="str">
        <f>_xlfn.XLOOKUP(B915,Master[Product_Code],Master[Category])</f>
        <v>Shirt</v>
      </c>
      <c r="D915" s="2" t="str">
        <f>_xlfn.XLOOKUP(B915,Master[Product_Code],Master[Brand])</f>
        <v>Max</v>
      </c>
      <c r="E915" s="2" t="str">
        <f>_xlfn.XLOOKUP(B915,Master[Product_Code],Master[Style])</f>
        <v>Formal</v>
      </c>
      <c r="F915" s="2" t="str">
        <f>_xlfn.XLOOKUP(B915,Master[Product_Code],Master[Fabric])</f>
        <v>Lycra</v>
      </c>
      <c r="G915" s="2" t="str">
        <f>_xlfn.XLOOKUP(B915,Master[Product_Code],Master[Size])</f>
        <v>M</v>
      </c>
      <c r="H915" s="2" t="str">
        <f>_xlfn.XLOOKUP(B915,Master[Product_Code],Master[Color])</f>
        <v>Peach</v>
      </c>
      <c r="I915" s="4">
        <f>_xlfn.XLOOKUP(B915,Master[Product_Code],Master[Stock_Qty])</f>
        <v>4</v>
      </c>
      <c r="J915" s="6">
        <f>SUMIFS(
  Sales_Entry[Qty],
  Sales_Entry[Product_Code], Stock_Table[[#This Row],[Product_Code]]
)</f>
        <v>1</v>
      </c>
      <c r="K915" s="4">
        <f>SUMIFS(
  Exchange_Return[Qty],
  Exchange_Return[Product_Code], Stock_Table[[#This Row],[Product_Code]]
)</f>
        <v>0</v>
      </c>
      <c r="L915" s="4">
        <f>I915-J915+K915</f>
        <v>3</v>
      </c>
      <c r="M915" s="2" t="str" cm="1">
        <f t="array" ref="M915">_xlfn.IFS(L915=0,"Out of Stock",L915&gt;=2,"Limited Stock",L915&lt;2,"In Stock")</f>
        <v>Limited Stock</v>
      </c>
    </row>
    <row r="916" spans="2:13">
      <c r="B916" s="2" t="s">
        <v>73</v>
      </c>
      <c r="C916" s="5" t="str">
        <f>_xlfn.XLOOKUP(B916,Master[Product_Code],Master[Category])</f>
        <v>Shirt</v>
      </c>
      <c r="D916" s="2" t="str">
        <f>_xlfn.XLOOKUP(B916,Master[Product_Code],Master[Brand])</f>
        <v>H&amp;M</v>
      </c>
      <c r="E916" s="2" t="str">
        <f>_xlfn.XLOOKUP(B916,Master[Product_Code],Master[Style])</f>
        <v>Partywear</v>
      </c>
      <c r="F916" s="2" t="str">
        <f>_xlfn.XLOOKUP(B916,Master[Product_Code],Master[Fabric])</f>
        <v>Polyester</v>
      </c>
      <c r="G916" s="2" t="str">
        <f>_xlfn.XLOOKUP(B916,Master[Product_Code],Master[Size])</f>
        <v>M</v>
      </c>
      <c r="H916" s="2" t="str">
        <f>_xlfn.XLOOKUP(B916,Master[Product_Code],Master[Color])</f>
        <v>Dark Green</v>
      </c>
      <c r="I916" s="4">
        <f>_xlfn.XLOOKUP(B916,Master[Product_Code],Master[Stock_Qty])</f>
        <v>4</v>
      </c>
      <c r="J916" s="6">
        <f>SUMIFS(
  Sales_Entry[Qty],
  Sales_Entry[Product_Code], Stock_Table[[#This Row],[Product_Code]]
)</f>
        <v>1</v>
      </c>
      <c r="K916" s="4">
        <f>SUMIFS(
  Exchange_Return[Qty],
  Exchange_Return[Product_Code], Stock_Table[[#This Row],[Product_Code]]
)</f>
        <v>0</v>
      </c>
      <c r="L916" s="4">
        <f>I916-J916+K916</f>
        <v>3</v>
      </c>
      <c r="M916" s="2" t="str" cm="1">
        <f t="array" ref="M916">_xlfn.IFS(L916=0,"Out of Stock",L916&gt;=2,"Limited Stock",L916&lt;2,"In Stock")</f>
        <v>Limited Stock</v>
      </c>
    </row>
    <row r="917" spans="2:13">
      <c r="B917" s="2" t="s">
        <v>74</v>
      </c>
      <c r="C917" s="5" t="str">
        <f>_xlfn.XLOOKUP(B917,Master[Product_Code],Master[Category])</f>
        <v>Shirt</v>
      </c>
      <c r="D917" s="2" t="str">
        <f>_xlfn.XLOOKUP(B917,Master[Product_Code],Master[Brand])</f>
        <v>Thailand</v>
      </c>
      <c r="E917" s="2" t="str">
        <f>_xlfn.XLOOKUP(B917,Master[Product_Code],Master[Style])</f>
        <v>Casual</v>
      </c>
      <c r="F917" s="2" t="str">
        <f>_xlfn.XLOOKUP(B917,Master[Product_Code],Master[Fabric])</f>
        <v>Cotton Blend</v>
      </c>
      <c r="G917" s="2" t="str">
        <f>_xlfn.XLOOKUP(B917,Master[Product_Code],Master[Size])</f>
        <v>XL</v>
      </c>
      <c r="H917" s="2" t="str">
        <f>_xlfn.XLOOKUP(B917,Master[Product_Code],Master[Color])</f>
        <v>Wine</v>
      </c>
      <c r="I917" s="4">
        <f>_xlfn.XLOOKUP(B917,Master[Product_Code],Master[Stock_Qty])</f>
        <v>6</v>
      </c>
      <c r="J917" s="6">
        <f>SUMIFS(
  Sales_Entry[Qty],
  Sales_Entry[Product_Code], Stock_Table[[#This Row],[Product_Code]]
)</f>
        <v>1</v>
      </c>
      <c r="K917" s="4">
        <f>SUMIFS(
  Exchange_Return[Qty],
  Exchange_Return[Product_Code], Stock_Table[[#This Row],[Product_Code]]
)</f>
        <v>0</v>
      </c>
      <c r="L917" s="4">
        <f>I917-J917+K917</f>
        <v>5</v>
      </c>
      <c r="M917" s="2" t="str" cm="1">
        <f t="array" ref="M917">_xlfn.IFS(L917=0,"Out of Stock",L917&gt;=2,"Limited Stock",L917&lt;2,"In Stock")</f>
        <v>Limited Stock</v>
      </c>
    </row>
    <row r="918" spans="2:13">
      <c r="B918" s="2" t="s">
        <v>76</v>
      </c>
      <c r="C918" s="5" t="str">
        <f>_xlfn.XLOOKUP(B918,Master[Product_Code],Master[Category])</f>
        <v>Shirt</v>
      </c>
      <c r="D918" s="2" t="str">
        <f>_xlfn.XLOOKUP(B918,Master[Product_Code],Master[Brand])</f>
        <v>G Studio</v>
      </c>
      <c r="E918" s="2" t="str">
        <f>_xlfn.XLOOKUP(B918,Master[Product_Code],Master[Style])</f>
        <v>Formal</v>
      </c>
      <c r="F918" s="2" t="str">
        <f>_xlfn.XLOOKUP(B918,Master[Product_Code],Master[Fabric])</f>
        <v>Cotton</v>
      </c>
      <c r="G918" s="2" t="str">
        <f>_xlfn.XLOOKUP(B918,Master[Product_Code],Master[Size])</f>
        <v>L</v>
      </c>
      <c r="H918" s="2" t="str">
        <f>_xlfn.XLOOKUP(B918,Master[Product_Code],Master[Color])</f>
        <v>Black</v>
      </c>
      <c r="I918" s="4">
        <f>_xlfn.XLOOKUP(B918,Master[Product_Code],Master[Stock_Qty])</f>
        <v>4</v>
      </c>
      <c r="J918" s="6">
        <f>SUMIFS(
  Sales_Entry[Qty],
  Sales_Entry[Product_Code], Stock_Table[[#This Row],[Product_Code]]
)</f>
        <v>1</v>
      </c>
      <c r="K918" s="4">
        <f>SUMIFS(
  Exchange_Return[Qty],
  Exchange_Return[Product_Code], Stock_Table[[#This Row],[Product_Code]]
)</f>
        <v>0</v>
      </c>
      <c r="L918" s="4">
        <f>I918-J918+K918</f>
        <v>3</v>
      </c>
      <c r="M918" s="2" t="str" cm="1">
        <f t="array" ref="M918">_xlfn.IFS(L918=0,"Out of Stock",L918&gt;=2,"Limited Stock",L918&lt;2,"In Stock")</f>
        <v>Limited Stock</v>
      </c>
    </row>
    <row r="919" spans="2:13">
      <c r="B919" s="2" t="s">
        <v>77</v>
      </c>
      <c r="C919" s="5" t="str">
        <f>_xlfn.XLOOKUP(B919,Master[Product_Code],Master[Category])</f>
        <v>Shirt</v>
      </c>
      <c r="D919" s="2" t="str">
        <f>_xlfn.XLOOKUP(B919,Master[Product_Code],Master[Brand])</f>
        <v>G Studio</v>
      </c>
      <c r="E919" s="2" t="str">
        <f>_xlfn.XLOOKUP(B919,Master[Product_Code],Master[Style])</f>
        <v>Formal</v>
      </c>
      <c r="F919" s="2" t="str">
        <f>_xlfn.XLOOKUP(B919,Master[Product_Code],Master[Fabric])</f>
        <v>Cotton</v>
      </c>
      <c r="G919" s="2" t="str">
        <f>_xlfn.XLOOKUP(B919,Master[Product_Code],Master[Size])</f>
        <v>S</v>
      </c>
      <c r="H919" s="2" t="str">
        <f>_xlfn.XLOOKUP(B919,Master[Product_Code],Master[Color])</f>
        <v>Charcoal</v>
      </c>
      <c r="I919" s="4">
        <f>_xlfn.XLOOKUP(B919,Master[Product_Code],Master[Stock_Qty])</f>
        <v>3</v>
      </c>
      <c r="J919" s="6">
        <f>SUMIFS(
  Sales_Entry[Qty],
  Sales_Entry[Product_Code], Stock_Table[[#This Row],[Product_Code]]
)</f>
        <v>2</v>
      </c>
      <c r="K919" s="4">
        <f>SUMIFS(
  Exchange_Return[Qty],
  Exchange_Return[Product_Code], Stock_Table[[#This Row],[Product_Code]]
)</f>
        <v>0</v>
      </c>
      <c r="L919" s="4">
        <f>I919-J919+K919</f>
        <v>1</v>
      </c>
      <c r="M919" s="2" t="str" cm="1">
        <f t="array" ref="M919">_xlfn.IFS(L919=0,"Out of Stock",L919&gt;=2,"Limited Stock",L919&lt;2,"In Stock")</f>
        <v>In Stock</v>
      </c>
    </row>
    <row r="920" spans="2:13">
      <c r="B920" s="2" t="s">
        <v>78</v>
      </c>
      <c r="C920" s="5" t="str">
        <f>_xlfn.XLOOKUP(B920,Master[Product_Code],Master[Category])</f>
        <v>Shirt</v>
      </c>
      <c r="D920" s="2" t="str">
        <f>_xlfn.XLOOKUP(B920,Master[Product_Code],Master[Brand])</f>
        <v>British</v>
      </c>
      <c r="E920" s="2" t="str">
        <f>_xlfn.XLOOKUP(B920,Master[Product_Code],Master[Style])</f>
        <v>Formal</v>
      </c>
      <c r="F920" s="2" t="str">
        <f>_xlfn.XLOOKUP(B920,Master[Product_Code],Master[Fabric])</f>
        <v>Lycra</v>
      </c>
      <c r="G920" s="2" t="str">
        <f>_xlfn.XLOOKUP(B920,Master[Product_Code],Master[Size])</f>
        <v>L</v>
      </c>
      <c r="H920" s="2" t="str">
        <f>_xlfn.XLOOKUP(B920,Master[Product_Code],Master[Color])</f>
        <v>Peach</v>
      </c>
      <c r="I920" s="4">
        <f>_xlfn.XLOOKUP(B920,Master[Product_Code],Master[Stock_Qty])</f>
        <v>4</v>
      </c>
      <c r="J920" s="6">
        <f>SUMIFS(
  Sales_Entry[Qty],
  Sales_Entry[Product_Code], Stock_Table[[#This Row],[Product_Code]]
)</f>
        <v>2</v>
      </c>
      <c r="K920" s="4">
        <f>SUMIFS(
  Exchange_Return[Qty],
  Exchange_Return[Product_Code], Stock_Table[[#This Row],[Product_Code]]
)</f>
        <v>0</v>
      </c>
      <c r="L920" s="4">
        <f>I920-J920+K920</f>
        <v>2</v>
      </c>
      <c r="M920" s="2" t="str" cm="1">
        <f t="array" ref="M920">_xlfn.IFS(L920=0,"Out of Stock",L920&gt;=2,"Limited Stock",L920&lt;2,"In Stock")</f>
        <v>Limited Stock</v>
      </c>
    </row>
    <row r="921" spans="2:13">
      <c r="B921" s="2" t="s">
        <v>79</v>
      </c>
      <c r="C921" s="5" t="str">
        <f>_xlfn.XLOOKUP(B921,Master[Product_Code],Master[Category])</f>
        <v>Shirt</v>
      </c>
      <c r="D921" s="2" t="str">
        <f>_xlfn.XLOOKUP(B921,Master[Product_Code],Master[Brand])</f>
        <v>USD</v>
      </c>
      <c r="E921" s="2" t="str">
        <f>_xlfn.XLOOKUP(B921,Master[Product_Code],Master[Style])</f>
        <v>Partywear</v>
      </c>
      <c r="F921" s="2" t="str">
        <f>_xlfn.XLOOKUP(B921,Master[Product_Code],Master[Fabric])</f>
        <v>Polyester</v>
      </c>
      <c r="G921" s="2" t="str">
        <f>_xlfn.XLOOKUP(B921,Master[Product_Code],Master[Size])</f>
        <v>M</v>
      </c>
      <c r="H921" s="2" t="str">
        <f>_xlfn.XLOOKUP(B921,Master[Product_Code],Master[Color])</f>
        <v>Peach</v>
      </c>
      <c r="I921" s="4">
        <f>_xlfn.XLOOKUP(B921,Master[Product_Code],Master[Stock_Qty])</f>
        <v>6</v>
      </c>
      <c r="J921" s="6">
        <f>SUMIFS(
  Sales_Entry[Qty],
  Sales_Entry[Product_Code], Stock_Table[[#This Row],[Product_Code]]
)</f>
        <v>3</v>
      </c>
      <c r="K921" s="4">
        <f>SUMIFS(
  Exchange_Return[Qty],
  Exchange_Return[Product_Code], Stock_Table[[#This Row],[Product_Code]]
)</f>
        <v>0</v>
      </c>
      <c r="L921" s="4">
        <f>I921-J921+K921</f>
        <v>3</v>
      </c>
      <c r="M921" s="2" t="str" cm="1">
        <f t="array" ref="M921">_xlfn.IFS(L921=0,"Out of Stock",L921&gt;=2,"Limited Stock",L921&lt;2,"In Stock")</f>
        <v>Limited Stock</v>
      </c>
    </row>
    <row r="922" spans="2:13">
      <c r="B922" s="2" t="s">
        <v>81</v>
      </c>
      <c r="C922" s="5" t="str">
        <f>_xlfn.XLOOKUP(B922,Master[Product_Code],Master[Category])</f>
        <v>Shirt</v>
      </c>
      <c r="D922" s="2" t="str">
        <f>_xlfn.XLOOKUP(B922,Master[Product_Code],Master[Brand])</f>
        <v>L7</v>
      </c>
      <c r="E922" s="2" t="str">
        <f>_xlfn.XLOOKUP(B922,Master[Product_Code],Master[Style])</f>
        <v>Formal</v>
      </c>
      <c r="F922" s="2" t="str">
        <f>_xlfn.XLOOKUP(B922,Master[Product_Code],Master[Fabric])</f>
        <v>Polyester</v>
      </c>
      <c r="G922" s="2" t="str">
        <f>_xlfn.XLOOKUP(B922,Master[Product_Code],Master[Size])</f>
        <v>L</v>
      </c>
      <c r="H922" s="2" t="str">
        <f>_xlfn.XLOOKUP(B922,Master[Product_Code],Master[Color])</f>
        <v>Bottle Green</v>
      </c>
      <c r="I922" s="4">
        <f>_xlfn.XLOOKUP(B922,Master[Product_Code],Master[Stock_Qty])</f>
        <v>6</v>
      </c>
      <c r="J922" s="6">
        <f>SUMIFS(
  Sales_Entry[Qty],
  Sales_Entry[Product_Code], Stock_Table[[#This Row],[Product_Code]]
)</f>
        <v>0</v>
      </c>
      <c r="K922" s="4">
        <f>SUMIFS(
  Exchange_Return[Qty],
  Exchange_Return[Product_Code], Stock_Table[[#This Row],[Product_Code]]
)</f>
        <v>0</v>
      </c>
      <c r="L922" s="4">
        <f>I922-J922+K922</f>
        <v>6</v>
      </c>
      <c r="M922" s="2" t="str" cm="1">
        <f t="array" ref="M922">_xlfn.IFS(L922=0,"Out of Stock",L922&gt;=2,"Limited Stock",L922&lt;2,"In Stock")</f>
        <v>Limited Stock</v>
      </c>
    </row>
    <row r="923" spans="2:13">
      <c r="B923" s="2" t="s">
        <v>82</v>
      </c>
      <c r="C923" s="5" t="str">
        <f>_xlfn.XLOOKUP(B923,Master[Product_Code],Master[Category])</f>
        <v>Shirt</v>
      </c>
      <c r="D923" s="2" t="str">
        <f>_xlfn.XLOOKUP(B923,Master[Product_Code],Master[Brand])</f>
        <v>Zara</v>
      </c>
      <c r="E923" s="2" t="str">
        <f>_xlfn.XLOOKUP(B923,Master[Product_Code],Master[Style])</f>
        <v>Partywear</v>
      </c>
      <c r="F923" s="2" t="str">
        <f>_xlfn.XLOOKUP(B923,Master[Product_Code],Master[Fabric])</f>
        <v>Cotton</v>
      </c>
      <c r="G923" s="2" t="str">
        <f>_xlfn.XLOOKUP(B923,Master[Product_Code],Master[Size])</f>
        <v>S</v>
      </c>
      <c r="H923" s="2" t="str">
        <f>_xlfn.XLOOKUP(B923,Master[Product_Code],Master[Color])</f>
        <v>Rust</v>
      </c>
      <c r="I923" s="4">
        <f>_xlfn.XLOOKUP(B923,Master[Product_Code],Master[Stock_Qty])</f>
        <v>5</v>
      </c>
      <c r="J923" s="6">
        <f>SUMIFS(
  Sales_Entry[Qty],
  Sales_Entry[Product_Code], Stock_Table[[#This Row],[Product_Code]]
)</f>
        <v>1</v>
      </c>
      <c r="K923" s="4">
        <f>SUMIFS(
  Exchange_Return[Qty],
  Exchange_Return[Product_Code], Stock_Table[[#This Row],[Product_Code]]
)</f>
        <v>0</v>
      </c>
      <c r="L923" s="4">
        <f>I923-J923+K923</f>
        <v>4</v>
      </c>
      <c r="M923" s="2" t="str" cm="1">
        <f t="array" ref="M923">_xlfn.IFS(L923=0,"Out of Stock",L923&gt;=2,"Limited Stock",L923&lt;2,"In Stock")</f>
        <v>Limited Stock</v>
      </c>
    </row>
    <row r="924" spans="2:13">
      <c r="B924" s="2" t="s">
        <v>83</v>
      </c>
      <c r="C924" s="5" t="str">
        <f>_xlfn.XLOOKUP(B924,Master[Product_Code],Master[Category])</f>
        <v>Shirt</v>
      </c>
      <c r="D924" s="2" t="str">
        <f>_xlfn.XLOOKUP(B924,Master[Product_Code],Master[Brand])</f>
        <v>L7</v>
      </c>
      <c r="E924" s="2" t="str">
        <f>_xlfn.XLOOKUP(B924,Master[Product_Code],Master[Style])</f>
        <v>Formal</v>
      </c>
      <c r="F924" s="2" t="str">
        <f>_xlfn.XLOOKUP(B924,Master[Product_Code],Master[Fabric])</f>
        <v>Lycra</v>
      </c>
      <c r="G924" s="2" t="str">
        <f>_xlfn.XLOOKUP(B924,Master[Product_Code],Master[Size])</f>
        <v>M</v>
      </c>
      <c r="H924" s="2" t="str">
        <f>_xlfn.XLOOKUP(B924,Master[Product_Code],Master[Color])</f>
        <v>Dark Green</v>
      </c>
      <c r="I924" s="4">
        <f>_xlfn.XLOOKUP(B924,Master[Product_Code],Master[Stock_Qty])</f>
        <v>6</v>
      </c>
      <c r="J924" s="6">
        <f>SUMIFS(
  Sales_Entry[Qty],
  Sales_Entry[Product_Code], Stock_Table[[#This Row],[Product_Code]]
)</f>
        <v>0</v>
      </c>
      <c r="K924" s="4">
        <f>SUMIFS(
  Exchange_Return[Qty],
  Exchange_Return[Product_Code], Stock_Table[[#This Row],[Product_Code]]
)</f>
        <v>0</v>
      </c>
      <c r="L924" s="4">
        <f>I924-J924+K924</f>
        <v>6</v>
      </c>
      <c r="M924" s="2" t="str" cm="1">
        <f t="array" ref="M924">_xlfn.IFS(L924=0,"Out of Stock",L924&gt;=2,"Limited Stock",L924&lt;2,"In Stock")</f>
        <v>Limited Stock</v>
      </c>
    </row>
    <row r="925" spans="2:13">
      <c r="B925" s="2" t="s">
        <v>84</v>
      </c>
      <c r="C925" s="5" t="str">
        <f>_xlfn.XLOOKUP(B925,Master[Product_Code],Master[Category])</f>
        <v>Shirt</v>
      </c>
      <c r="D925" s="2" t="str">
        <f>_xlfn.XLOOKUP(B925,Master[Product_Code],Master[Brand])</f>
        <v>Luke &amp; Burg</v>
      </c>
      <c r="E925" s="2" t="str">
        <f>_xlfn.XLOOKUP(B925,Master[Product_Code],Master[Style])</f>
        <v>Formal</v>
      </c>
      <c r="F925" s="2" t="str">
        <f>_xlfn.XLOOKUP(B925,Master[Product_Code],Master[Fabric])</f>
        <v>Cotton Blend</v>
      </c>
      <c r="G925" s="2" t="str">
        <f>_xlfn.XLOOKUP(B925,Master[Product_Code],Master[Size])</f>
        <v>XL</v>
      </c>
      <c r="H925" s="2" t="str">
        <f>_xlfn.XLOOKUP(B925,Master[Product_Code],Master[Color])</f>
        <v>Charcoal</v>
      </c>
      <c r="I925" s="4">
        <f>_xlfn.XLOOKUP(B925,Master[Product_Code],Master[Stock_Qty])</f>
        <v>3</v>
      </c>
      <c r="J925" s="6">
        <f>SUMIFS(
  Sales_Entry[Qty],
  Sales_Entry[Product_Code], Stock_Table[[#This Row],[Product_Code]]
)</f>
        <v>2</v>
      </c>
      <c r="K925" s="4">
        <f>SUMIFS(
  Exchange_Return[Qty],
  Exchange_Return[Product_Code], Stock_Table[[#This Row],[Product_Code]]
)</f>
        <v>0</v>
      </c>
      <c r="L925" s="4">
        <f>I925-J925+K925</f>
        <v>1</v>
      </c>
      <c r="M925" s="2" t="str" cm="1">
        <f t="array" ref="M925">_xlfn.IFS(L925=0,"Out of Stock",L925&gt;=2,"Limited Stock",L925&lt;2,"In Stock")</f>
        <v>In Stock</v>
      </c>
    </row>
    <row r="926" spans="2:13">
      <c r="B926" s="2" t="s">
        <v>85</v>
      </c>
      <c r="C926" s="5" t="str">
        <f>_xlfn.XLOOKUP(B926,Master[Product_Code],Master[Category])</f>
        <v>Shirt</v>
      </c>
      <c r="D926" s="2" t="str">
        <f>_xlfn.XLOOKUP(B926,Master[Product_Code],Master[Brand])</f>
        <v>H&amp;M</v>
      </c>
      <c r="E926" s="2" t="str">
        <f>_xlfn.XLOOKUP(B926,Master[Product_Code],Master[Style])</f>
        <v>Formal</v>
      </c>
      <c r="F926" s="2" t="str">
        <f>_xlfn.XLOOKUP(B926,Master[Product_Code],Master[Fabric])</f>
        <v>Cotton</v>
      </c>
      <c r="G926" s="2" t="str">
        <f>_xlfn.XLOOKUP(B926,Master[Product_Code],Master[Size])</f>
        <v>XXL</v>
      </c>
      <c r="H926" s="2" t="str">
        <f>_xlfn.XLOOKUP(B926,Master[Product_Code],Master[Color])</f>
        <v>Black</v>
      </c>
      <c r="I926" s="4">
        <f>_xlfn.XLOOKUP(B926,Master[Product_Code],Master[Stock_Qty])</f>
        <v>3</v>
      </c>
      <c r="J926" s="6">
        <f>SUMIFS(
  Sales_Entry[Qty],
  Sales_Entry[Product_Code], Stock_Table[[#This Row],[Product_Code]]
)</f>
        <v>1</v>
      </c>
      <c r="K926" s="4">
        <f>SUMIFS(
  Exchange_Return[Qty],
  Exchange_Return[Product_Code], Stock_Table[[#This Row],[Product_Code]]
)</f>
        <v>0</v>
      </c>
      <c r="L926" s="4">
        <f>I926-J926+K926</f>
        <v>2</v>
      </c>
      <c r="M926" s="2" t="str" cm="1">
        <f t="array" ref="M926">_xlfn.IFS(L926=0,"Out of Stock",L926&gt;=2,"Limited Stock",L926&lt;2,"In Stock")</f>
        <v>Limited Stock</v>
      </c>
    </row>
    <row r="927" spans="2:13">
      <c r="B927" s="2" t="s">
        <v>86</v>
      </c>
      <c r="C927" s="5" t="str">
        <f>_xlfn.XLOOKUP(B927,Master[Product_Code],Master[Category])</f>
        <v>Shirt</v>
      </c>
      <c r="D927" s="2" t="str">
        <f>_xlfn.XLOOKUP(B927,Master[Product_Code],Master[Brand])</f>
        <v>G Studio</v>
      </c>
      <c r="E927" s="2" t="str">
        <f>_xlfn.XLOOKUP(B927,Master[Product_Code],Master[Style])</f>
        <v>Formal</v>
      </c>
      <c r="F927" s="2" t="str">
        <f>_xlfn.XLOOKUP(B927,Master[Product_Code],Master[Fabric])</f>
        <v>Polyester</v>
      </c>
      <c r="G927" s="2" t="str">
        <f>_xlfn.XLOOKUP(B927,Master[Product_Code],Master[Size])</f>
        <v>XL</v>
      </c>
      <c r="H927" s="2" t="str">
        <f>_xlfn.XLOOKUP(B927,Master[Product_Code],Master[Color])</f>
        <v>Peach</v>
      </c>
      <c r="I927" s="4">
        <f>_xlfn.XLOOKUP(B927,Master[Product_Code],Master[Stock_Qty])</f>
        <v>4</v>
      </c>
      <c r="J927" s="6">
        <f>SUMIFS(
  Sales_Entry[Qty],
  Sales_Entry[Product_Code], Stock_Table[[#This Row],[Product_Code]]
)</f>
        <v>1</v>
      </c>
      <c r="K927" s="4">
        <f>SUMIFS(
  Exchange_Return[Qty],
  Exchange_Return[Product_Code], Stock_Table[[#This Row],[Product_Code]]
)</f>
        <v>0</v>
      </c>
      <c r="L927" s="4">
        <f>I927-J927+K927</f>
        <v>3</v>
      </c>
      <c r="M927" s="2" t="str" cm="1">
        <f t="array" ref="M927">_xlfn.IFS(L927=0,"Out of Stock",L927&gt;=2,"Limited Stock",L927&lt;2,"In Stock")</f>
        <v>Limited Stock</v>
      </c>
    </row>
    <row r="928" spans="2:13">
      <c r="B928" s="2" t="s">
        <v>87</v>
      </c>
      <c r="C928" s="5" t="str">
        <f>_xlfn.XLOOKUP(B928,Master[Product_Code],Master[Category])</f>
        <v>Shirt</v>
      </c>
      <c r="D928" s="2" t="str">
        <f>_xlfn.XLOOKUP(B928,Master[Product_Code],Master[Brand])</f>
        <v>Luke &amp; Burg</v>
      </c>
      <c r="E928" s="2" t="str">
        <f>_xlfn.XLOOKUP(B928,Master[Product_Code],Master[Style])</f>
        <v>Formal</v>
      </c>
      <c r="F928" s="2" t="str">
        <f>_xlfn.XLOOKUP(B928,Master[Product_Code],Master[Fabric])</f>
        <v>Lycra</v>
      </c>
      <c r="G928" s="2" t="str">
        <f>_xlfn.XLOOKUP(B928,Master[Product_Code],Master[Size])</f>
        <v>XL</v>
      </c>
      <c r="H928" s="2" t="str">
        <f>_xlfn.XLOOKUP(B928,Master[Product_Code],Master[Color])</f>
        <v>Black</v>
      </c>
      <c r="I928" s="4">
        <f>_xlfn.XLOOKUP(B928,Master[Product_Code],Master[Stock_Qty])</f>
        <v>6</v>
      </c>
      <c r="J928" s="6">
        <f>SUMIFS(
  Sales_Entry[Qty],
  Sales_Entry[Product_Code], Stock_Table[[#This Row],[Product_Code]]
)</f>
        <v>5</v>
      </c>
      <c r="K928" s="4">
        <f>SUMIFS(
  Exchange_Return[Qty],
  Exchange_Return[Product_Code], Stock_Table[[#This Row],[Product_Code]]
)</f>
        <v>0</v>
      </c>
      <c r="L928" s="4">
        <f>I928-J928+K928</f>
        <v>1</v>
      </c>
      <c r="M928" s="2" t="str" cm="1">
        <f t="array" ref="M928">_xlfn.IFS(L928=0,"Out of Stock",L928&gt;=2,"Limited Stock",L928&lt;2,"In Stock")</f>
        <v>In Stock</v>
      </c>
    </row>
    <row r="929" spans="2:13">
      <c r="B929" s="2" t="s">
        <v>88</v>
      </c>
      <c r="C929" s="5" t="str">
        <f>_xlfn.XLOOKUP(B929,Master[Product_Code],Master[Category])</f>
        <v>Shirt</v>
      </c>
      <c r="D929" s="2" t="str">
        <f>_xlfn.XLOOKUP(B929,Master[Product_Code],Master[Brand])</f>
        <v>Max</v>
      </c>
      <c r="E929" s="2" t="str">
        <f>_xlfn.XLOOKUP(B929,Master[Product_Code],Master[Style])</f>
        <v>Casual</v>
      </c>
      <c r="F929" s="2" t="str">
        <f>_xlfn.XLOOKUP(B929,Master[Product_Code],Master[Fabric])</f>
        <v>Polyester</v>
      </c>
      <c r="G929" s="2" t="str">
        <f>_xlfn.XLOOKUP(B929,Master[Product_Code],Master[Size])</f>
        <v>XXL</v>
      </c>
      <c r="H929" s="2" t="str">
        <f>_xlfn.XLOOKUP(B929,Master[Product_Code],Master[Color])</f>
        <v>Peach</v>
      </c>
      <c r="I929" s="4">
        <f>_xlfn.XLOOKUP(B929,Master[Product_Code],Master[Stock_Qty])</f>
        <v>4</v>
      </c>
      <c r="J929" s="6">
        <f>SUMIFS(
  Sales_Entry[Qty],
  Sales_Entry[Product_Code], Stock_Table[[#This Row],[Product_Code]]
)</f>
        <v>1</v>
      </c>
      <c r="K929" s="4">
        <f>SUMIFS(
  Exchange_Return[Qty],
  Exchange_Return[Product_Code], Stock_Table[[#This Row],[Product_Code]]
)</f>
        <v>0</v>
      </c>
      <c r="L929" s="4">
        <f>I929-J929+K929</f>
        <v>3</v>
      </c>
      <c r="M929" s="2" t="str" cm="1">
        <f t="array" ref="M929">_xlfn.IFS(L929=0,"Out of Stock",L929&gt;=2,"Limited Stock",L929&lt;2,"In Stock")</f>
        <v>Limited Stock</v>
      </c>
    </row>
    <row r="930" spans="2:13">
      <c r="B930" s="2" t="s">
        <v>89</v>
      </c>
      <c r="C930" s="5" t="str">
        <f>_xlfn.XLOOKUP(B930,Master[Product_Code],Master[Category])</f>
        <v>Shirt</v>
      </c>
      <c r="D930" s="2" t="str">
        <f>_xlfn.XLOOKUP(B930,Master[Product_Code],Master[Brand])</f>
        <v>Thailand</v>
      </c>
      <c r="E930" s="2" t="str">
        <f>_xlfn.XLOOKUP(B930,Master[Product_Code],Master[Style])</f>
        <v>Formal</v>
      </c>
      <c r="F930" s="2" t="str">
        <f>_xlfn.XLOOKUP(B930,Master[Product_Code],Master[Fabric])</f>
        <v>Cotton</v>
      </c>
      <c r="G930" s="2" t="str">
        <f>_xlfn.XLOOKUP(B930,Master[Product_Code],Master[Size])</f>
        <v>XXL</v>
      </c>
      <c r="H930" s="2" t="str">
        <f>_xlfn.XLOOKUP(B930,Master[Product_Code],Master[Color])</f>
        <v>Dark Green</v>
      </c>
      <c r="I930" s="4">
        <f>_xlfn.XLOOKUP(B930,Master[Product_Code],Master[Stock_Qty])</f>
        <v>3</v>
      </c>
      <c r="J930" s="6">
        <f>SUMIFS(
  Sales_Entry[Qty],
  Sales_Entry[Product_Code], Stock_Table[[#This Row],[Product_Code]]
)</f>
        <v>3</v>
      </c>
      <c r="K930" s="4">
        <f>SUMIFS(
  Exchange_Return[Qty],
  Exchange_Return[Product_Code], Stock_Table[[#This Row],[Product_Code]]
)</f>
        <v>0</v>
      </c>
      <c r="L930" s="4">
        <f>I930-J930+K930</f>
        <v>0</v>
      </c>
      <c r="M930" s="2" t="str" cm="1">
        <f t="array" ref="M930">_xlfn.IFS(L930=0,"Out of Stock",L930&gt;=2,"Limited Stock",L930&lt;2,"In Stock")</f>
        <v>Out of Stock</v>
      </c>
    </row>
    <row r="931" spans="2:13">
      <c r="B931" s="2" t="s">
        <v>90</v>
      </c>
      <c r="C931" s="5" t="str">
        <f>_xlfn.XLOOKUP(B931,Master[Product_Code],Master[Category])</f>
        <v>Shirt</v>
      </c>
      <c r="D931" s="2" t="str">
        <f>_xlfn.XLOOKUP(B931,Master[Product_Code],Master[Brand])</f>
        <v>British</v>
      </c>
      <c r="E931" s="2" t="str">
        <f>_xlfn.XLOOKUP(B931,Master[Product_Code],Master[Style])</f>
        <v>Formal</v>
      </c>
      <c r="F931" s="2" t="str">
        <f>_xlfn.XLOOKUP(B931,Master[Product_Code],Master[Fabric])</f>
        <v>Cotton</v>
      </c>
      <c r="G931" s="2" t="str">
        <f>_xlfn.XLOOKUP(B931,Master[Product_Code],Master[Size])</f>
        <v>XXL</v>
      </c>
      <c r="H931" s="2" t="str">
        <f>_xlfn.XLOOKUP(B931,Master[Product_Code],Master[Color])</f>
        <v>Peach</v>
      </c>
      <c r="I931" s="4">
        <f>_xlfn.XLOOKUP(B931,Master[Product_Code],Master[Stock_Qty])</f>
        <v>4</v>
      </c>
      <c r="J931" s="6">
        <f>SUMIFS(
  Sales_Entry[Qty],
  Sales_Entry[Product_Code], Stock_Table[[#This Row],[Product_Code]]
)</f>
        <v>1</v>
      </c>
      <c r="K931" s="4">
        <f>SUMIFS(
  Exchange_Return[Qty],
  Exchange_Return[Product_Code], Stock_Table[[#This Row],[Product_Code]]
)</f>
        <v>0</v>
      </c>
      <c r="L931" s="4">
        <f>I931-J931+K931</f>
        <v>3</v>
      </c>
      <c r="M931" s="2" t="str" cm="1">
        <f t="array" ref="M931">_xlfn.IFS(L931=0,"Out of Stock",L931&gt;=2,"Limited Stock",L931&lt;2,"In Stock")</f>
        <v>Limited Stock</v>
      </c>
    </row>
    <row r="932" spans="2:13">
      <c r="B932" s="2" t="s">
        <v>91</v>
      </c>
      <c r="C932" s="5" t="str">
        <f>_xlfn.XLOOKUP(B932,Master[Product_Code],Master[Category])</f>
        <v>Shirt</v>
      </c>
      <c r="D932" s="2" t="str">
        <f>_xlfn.XLOOKUP(B932,Master[Product_Code],Master[Brand])</f>
        <v>H&amp;M</v>
      </c>
      <c r="E932" s="2" t="str">
        <f>_xlfn.XLOOKUP(B932,Master[Product_Code],Master[Style])</f>
        <v>Formal</v>
      </c>
      <c r="F932" s="2" t="str">
        <f>_xlfn.XLOOKUP(B932,Master[Product_Code],Master[Fabric])</f>
        <v>Lycra</v>
      </c>
      <c r="G932" s="2" t="str">
        <f>_xlfn.XLOOKUP(B932,Master[Product_Code],Master[Size])</f>
        <v>S</v>
      </c>
      <c r="H932" s="2" t="str">
        <f>_xlfn.XLOOKUP(B932,Master[Product_Code],Master[Color])</f>
        <v>Royal Blue</v>
      </c>
      <c r="I932" s="4">
        <f>_xlfn.XLOOKUP(B932,Master[Product_Code],Master[Stock_Qty])</f>
        <v>3</v>
      </c>
      <c r="J932" s="6">
        <f>SUMIFS(
  Sales_Entry[Qty],
  Sales_Entry[Product_Code], Stock_Table[[#This Row],[Product_Code]]
)</f>
        <v>1</v>
      </c>
      <c r="K932" s="4">
        <f>SUMIFS(
  Exchange_Return[Qty],
  Exchange_Return[Product_Code], Stock_Table[[#This Row],[Product_Code]]
)</f>
        <v>0</v>
      </c>
      <c r="L932" s="4">
        <f>I932-J932+K932</f>
        <v>2</v>
      </c>
      <c r="M932" s="2" t="str" cm="1">
        <f t="array" ref="M932">_xlfn.IFS(L932=0,"Out of Stock",L932&gt;=2,"Limited Stock",L932&lt;2,"In Stock")</f>
        <v>Limited Stock</v>
      </c>
    </row>
    <row r="933" spans="2:13">
      <c r="B933" s="2" t="s">
        <v>92</v>
      </c>
      <c r="C933" s="5" t="str">
        <f>_xlfn.XLOOKUP(B933,Master[Product_Code],Master[Category])</f>
        <v>Shirt</v>
      </c>
      <c r="D933" s="2" t="str">
        <f>_xlfn.XLOOKUP(B933,Master[Product_Code],Master[Brand])</f>
        <v>G Studio</v>
      </c>
      <c r="E933" s="2" t="str">
        <f>_xlfn.XLOOKUP(B933,Master[Product_Code],Master[Style])</f>
        <v>Casual</v>
      </c>
      <c r="F933" s="2" t="str">
        <f>_xlfn.XLOOKUP(B933,Master[Product_Code],Master[Fabric])</f>
        <v>Cotton</v>
      </c>
      <c r="G933" s="2" t="str">
        <f>_xlfn.XLOOKUP(B933,Master[Product_Code],Master[Size])</f>
        <v>XXL</v>
      </c>
      <c r="H933" s="2" t="str">
        <f>_xlfn.XLOOKUP(B933,Master[Product_Code],Master[Color])</f>
        <v>Charcoal</v>
      </c>
      <c r="I933" s="4">
        <f>_xlfn.XLOOKUP(B933,Master[Product_Code],Master[Stock_Qty])</f>
        <v>3</v>
      </c>
      <c r="J933" s="6">
        <f>SUMIFS(
  Sales_Entry[Qty],
  Sales_Entry[Product_Code], Stock_Table[[#This Row],[Product_Code]]
)</f>
        <v>2</v>
      </c>
      <c r="K933" s="4">
        <f>SUMIFS(
  Exchange_Return[Qty],
  Exchange_Return[Product_Code], Stock_Table[[#This Row],[Product_Code]]
)</f>
        <v>0</v>
      </c>
      <c r="L933" s="4">
        <f>I933-J933+K933</f>
        <v>1</v>
      </c>
      <c r="M933" s="2" t="str" cm="1">
        <f t="array" ref="M933">_xlfn.IFS(L933=0,"Out of Stock",L933&gt;=2,"Limited Stock",L933&lt;2,"In Stock")</f>
        <v>In Stock</v>
      </c>
    </row>
    <row r="934" spans="2:13">
      <c r="B934" s="2" t="s">
        <v>93</v>
      </c>
      <c r="C934" s="5" t="str">
        <f>_xlfn.XLOOKUP(B934,Master[Product_Code],Master[Category])</f>
        <v>Shirt</v>
      </c>
      <c r="D934" s="2" t="str">
        <f>_xlfn.XLOOKUP(B934,Master[Product_Code],Master[Brand])</f>
        <v>L7</v>
      </c>
      <c r="E934" s="2" t="str">
        <f>_xlfn.XLOOKUP(B934,Master[Product_Code],Master[Style])</f>
        <v>Casual</v>
      </c>
      <c r="F934" s="2" t="str">
        <f>_xlfn.XLOOKUP(B934,Master[Product_Code],Master[Fabric])</f>
        <v>Cotton Blend</v>
      </c>
      <c r="G934" s="2" t="str">
        <f>_xlfn.XLOOKUP(B934,Master[Product_Code],Master[Size])</f>
        <v>L</v>
      </c>
      <c r="H934" s="2" t="str">
        <f>_xlfn.XLOOKUP(B934,Master[Product_Code],Master[Color])</f>
        <v>Grey</v>
      </c>
      <c r="I934" s="4">
        <f>_xlfn.XLOOKUP(B934,Master[Product_Code],Master[Stock_Qty])</f>
        <v>5</v>
      </c>
      <c r="J934" s="6">
        <f>SUMIFS(
  Sales_Entry[Qty],
  Sales_Entry[Product_Code], Stock_Table[[#This Row],[Product_Code]]
)</f>
        <v>4</v>
      </c>
      <c r="K934" s="4">
        <f>SUMIFS(
  Exchange_Return[Qty],
  Exchange_Return[Product_Code], Stock_Table[[#This Row],[Product_Code]]
)</f>
        <v>0</v>
      </c>
      <c r="L934" s="4">
        <f>I934-J934+K934</f>
        <v>1</v>
      </c>
      <c r="M934" s="2" t="str" cm="1">
        <f t="array" ref="M934">_xlfn.IFS(L934=0,"Out of Stock",L934&gt;=2,"Limited Stock",L934&lt;2,"In Stock")</f>
        <v>In Stock</v>
      </c>
    </row>
    <row r="935" spans="2:13">
      <c r="B935" s="2" t="s">
        <v>95</v>
      </c>
      <c r="C935" s="5" t="str">
        <f>_xlfn.XLOOKUP(B935,Master[Product_Code],Master[Category])</f>
        <v>Shirt</v>
      </c>
      <c r="D935" s="2" t="str">
        <f>_xlfn.XLOOKUP(B935,Master[Product_Code],Master[Brand])</f>
        <v>Thailand</v>
      </c>
      <c r="E935" s="2" t="str">
        <f>_xlfn.XLOOKUP(B935,Master[Product_Code],Master[Style])</f>
        <v>Casual</v>
      </c>
      <c r="F935" s="2" t="str">
        <f>_xlfn.XLOOKUP(B935,Master[Product_Code],Master[Fabric])</f>
        <v>Lycra</v>
      </c>
      <c r="G935" s="2" t="str">
        <f>_xlfn.XLOOKUP(B935,Master[Product_Code],Master[Size])</f>
        <v>L</v>
      </c>
      <c r="H935" s="2" t="str">
        <f>_xlfn.XLOOKUP(B935,Master[Product_Code],Master[Color])</f>
        <v>Cream</v>
      </c>
      <c r="I935" s="4">
        <f>_xlfn.XLOOKUP(B935,Master[Product_Code],Master[Stock_Qty])</f>
        <v>5</v>
      </c>
      <c r="J935" s="6">
        <f>SUMIFS(
  Sales_Entry[Qty],
  Sales_Entry[Product_Code], Stock_Table[[#This Row],[Product_Code]]
)</f>
        <v>2</v>
      </c>
      <c r="K935" s="4">
        <f>SUMIFS(
  Exchange_Return[Qty],
  Exchange_Return[Product_Code], Stock_Table[[#This Row],[Product_Code]]
)</f>
        <v>0</v>
      </c>
      <c r="L935" s="4">
        <f>I935-J935+K935</f>
        <v>3</v>
      </c>
      <c r="M935" s="2" t="str" cm="1">
        <f t="array" ref="M935">_xlfn.IFS(L935=0,"Out of Stock",L935&gt;=2,"Limited Stock",L935&lt;2,"In Stock")</f>
        <v>Limited Stock</v>
      </c>
    </row>
    <row r="936" spans="2:13">
      <c r="B936" s="2" t="s">
        <v>96</v>
      </c>
      <c r="C936" s="5" t="str">
        <f>_xlfn.XLOOKUP(B936,Master[Product_Code],Master[Category])</f>
        <v>Shirt</v>
      </c>
      <c r="D936" s="2" t="str">
        <f>_xlfn.XLOOKUP(B936,Master[Product_Code],Master[Brand])</f>
        <v>L7</v>
      </c>
      <c r="E936" s="2" t="str">
        <f>_xlfn.XLOOKUP(B936,Master[Product_Code],Master[Style])</f>
        <v>Formal</v>
      </c>
      <c r="F936" s="2" t="str">
        <f>_xlfn.XLOOKUP(B936,Master[Product_Code],Master[Fabric])</f>
        <v>Polyester</v>
      </c>
      <c r="G936" s="2" t="str">
        <f>_xlfn.XLOOKUP(B936,Master[Product_Code],Master[Size])</f>
        <v>XXL</v>
      </c>
      <c r="H936" s="2" t="str">
        <f>_xlfn.XLOOKUP(B936,Master[Product_Code],Master[Color])</f>
        <v>Light Grey</v>
      </c>
      <c r="I936" s="4">
        <f>_xlfn.XLOOKUP(B936,Master[Product_Code],Master[Stock_Qty])</f>
        <v>3</v>
      </c>
      <c r="J936" s="6">
        <f>SUMIFS(
  Sales_Entry[Qty],
  Sales_Entry[Product_Code], Stock_Table[[#This Row],[Product_Code]]
)</f>
        <v>3</v>
      </c>
      <c r="K936" s="4">
        <f>SUMIFS(
  Exchange_Return[Qty],
  Exchange_Return[Product_Code], Stock_Table[[#This Row],[Product_Code]]
)</f>
        <v>0</v>
      </c>
      <c r="L936" s="4">
        <f>I936-J936+K936</f>
        <v>0</v>
      </c>
      <c r="M936" s="2" t="str" cm="1">
        <f t="array" ref="M936">_xlfn.IFS(L936=0,"Out of Stock",L936&gt;=2,"Limited Stock",L936&lt;2,"In Stock")</f>
        <v>Out of Stock</v>
      </c>
    </row>
    <row r="937" spans="2:13">
      <c r="B937" s="2" t="s">
        <v>97</v>
      </c>
      <c r="C937" s="5" t="str">
        <f>_xlfn.XLOOKUP(B937,Master[Product_Code],Master[Category])</f>
        <v>Shirt</v>
      </c>
      <c r="D937" s="2" t="str">
        <f>_xlfn.XLOOKUP(B937,Master[Product_Code],Master[Brand])</f>
        <v>H&amp;M</v>
      </c>
      <c r="E937" s="2" t="str">
        <f>_xlfn.XLOOKUP(B937,Master[Product_Code],Master[Style])</f>
        <v>Formal</v>
      </c>
      <c r="F937" s="2" t="str">
        <f>_xlfn.XLOOKUP(B937,Master[Product_Code],Master[Fabric])</f>
        <v>Cotton Blend</v>
      </c>
      <c r="G937" s="2" t="str">
        <f>_xlfn.XLOOKUP(B937,Master[Product_Code],Master[Size])</f>
        <v>M</v>
      </c>
      <c r="H937" s="2" t="str">
        <f>_xlfn.XLOOKUP(B937,Master[Product_Code],Master[Color])</f>
        <v>Teal</v>
      </c>
      <c r="I937" s="4">
        <f>_xlfn.XLOOKUP(B937,Master[Product_Code],Master[Stock_Qty])</f>
        <v>3</v>
      </c>
      <c r="J937" s="6">
        <f>SUMIFS(
  Sales_Entry[Qty],
  Sales_Entry[Product_Code], Stock_Table[[#This Row],[Product_Code]]
)</f>
        <v>2</v>
      </c>
      <c r="K937" s="4">
        <f>SUMIFS(
  Exchange_Return[Qty],
  Exchange_Return[Product_Code], Stock_Table[[#This Row],[Product_Code]]
)</f>
        <v>0</v>
      </c>
      <c r="L937" s="4">
        <f>I937-J937+K937</f>
        <v>1</v>
      </c>
      <c r="M937" s="2" t="str" cm="1">
        <f t="array" ref="M937">_xlfn.IFS(L937=0,"Out of Stock",L937&gt;=2,"Limited Stock",L937&lt;2,"In Stock")</f>
        <v>In Stock</v>
      </c>
    </row>
    <row r="938" spans="2:13">
      <c r="B938" s="2" t="s">
        <v>98</v>
      </c>
      <c r="C938" s="5" t="str">
        <f>_xlfn.XLOOKUP(B938,Master[Product_Code],Master[Category])</f>
        <v>Shirt</v>
      </c>
      <c r="D938" s="2" t="str">
        <f>_xlfn.XLOOKUP(B938,Master[Product_Code],Master[Brand])</f>
        <v>G Studio</v>
      </c>
      <c r="E938" s="2" t="str">
        <f>_xlfn.XLOOKUP(B938,Master[Product_Code],Master[Style])</f>
        <v>Casual</v>
      </c>
      <c r="F938" s="2" t="str">
        <f>_xlfn.XLOOKUP(B938,Master[Product_Code],Master[Fabric])</f>
        <v>Cotton Blend</v>
      </c>
      <c r="G938" s="2" t="str">
        <f>_xlfn.XLOOKUP(B938,Master[Product_Code],Master[Size])</f>
        <v>M</v>
      </c>
      <c r="H938" s="2" t="str">
        <f>_xlfn.XLOOKUP(B938,Master[Product_Code],Master[Color])</f>
        <v>Cream</v>
      </c>
      <c r="I938" s="4">
        <f>_xlfn.XLOOKUP(B938,Master[Product_Code],Master[Stock_Qty])</f>
        <v>5</v>
      </c>
      <c r="J938" s="6">
        <f>SUMIFS(
  Sales_Entry[Qty],
  Sales_Entry[Product_Code], Stock_Table[[#This Row],[Product_Code]]
)</f>
        <v>1</v>
      </c>
      <c r="K938" s="4">
        <f>SUMIFS(
  Exchange_Return[Qty],
  Exchange_Return[Product_Code], Stock_Table[[#This Row],[Product_Code]]
)</f>
        <v>0</v>
      </c>
      <c r="L938" s="4">
        <f>I938-J938+K938</f>
        <v>4</v>
      </c>
      <c r="M938" s="2" t="str" cm="1">
        <f t="array" ref="M938">_xlfn.IFS(L938=0,"Out of Stock",L938&gt;=2,"Limited Stock",L938&lt;2,"In Stock")</f>
        <v>Limited Stock</v>
      </c>
    </row>
    <row r="939" spans="2:13">
      <c r="B939" s="2" t="s">
        <v>99</v>
      </c>
      <c r="C939" s="5" t="str">
        <f>_xlfn.XLOOKUP(B939,Master[Product_Code],Master[Category])</f>
        <v>Shirt</v>
      </c>
      <c r="D939" s="2" t="str">
        <f>_xlfn.XLOOKUP(B939,Master[Product_Code],Master[Brand])</f>
        <v>H&amp;M</v>
      </c>
      <c r="E939" s="2" t="str">
        <f>_xlfn.XLOOKUP(B939,Master[Product_Code],Master[Style])</f>
        <v>Formal</v>
      </c>
      <c r="F939" s="2" t="str">
        <f>_xlfn.XLOOKUP(B939,Master[Product_Code],Master[Fabric])</f>
        <v>Cotton Blend</v>
      </c>
      <c r="G939" s="2" t="str">
        <f>_xlfn.XLOOKUP(B939,Master[Product_Code],Master[Size])</f>
        <v>S</v>
      </c>
      <c r="H939" s="2" t="str">
        <f>_xlfn.XLOOKUP(B939,Master[Product_Code],Master[Color])</f>
        <v>Maroon</v>
      </c>
      <c r="I939" s="4">
        <f>_xlfn.XLOOKUP(B939,Master[Product_Code],Master[Stock_Qty])</f>
        <v>5</v>
      </c>
      <c r="J939" s="6">
        <f>SUMIFS(
  Sales_Entry[Qty],
  Sales_Entry[Product_Code], Stock_Table[[#This Row],[Product_Code]]
)</f>
        <v>4</v>
      </c>
      <c r="K939" s="4">
        <f>SUMIFS(
  Exchange_Return[Qty],
  Exchange_Return[Product_Code], Stock_Table[[#This Row],[Product_Code]]
)</f>
        <v>0</v>
      </c>
      <c r="L939" s="4">
        <f>I939-J939+K939</f>
        <v>1</v>
      </c>
      <c r="M939" s="2" t="str" cm="1">
        <f t="array" ref="M939">_xlfn.IFS(L939=0,"Out of Stock",L939&gt;=2,"Limited Stock",L939&lt;2,"In Stock")</f>
        <v>In Stock</v>
      </c>
    </row>
    <row r="940" spans="2:13">
      <c r="B940" s="2" t="s">
        <v>100</v>
      </c>
      <c r="C940" s="5" t="str">
        <f>_xlfn.XLOOKUP(B940,Master[Product_Code],Master[Category])</f>
        <v>Shirt</v>
      </c>
      <c r="D940" s="2" t="str">
        <f>_xlfn.XLOOKUP(B940,Master[Product_Code],Master[Brand])</f>
        <v>L7</v>
      </c>
      <c r="E940" s="2" t="str">
        <f>_xlfn.XLOOKUP(B940,Master[Product_Code],Master[Style])</f>
        <v>Partywear</v>
      </c>
      <c r="F940" s="2" t="str">
        <f>_xlfn.XLOOKUP(B940,Master[Product_Code],Master[Fabric])</f>
        <v>Lycra</v>
      </c>
      <c r="G940" s="2" t="str">
        <f>_xlfn.XLOOKUP(B940,Master[Product_Code],Master[Size])</f>
        <v>L</v>
      </c>
      <c r="H940" s="2" t="str">
        <f>_xlfn.XLOOKUP(B940,Master[Product_Code],Master[Color])</f>
        <v>Brown</v>
      </c>
      <c r="I940" s="4">
        <f>_xlfn.XLOOKUP(B940,Master[Product_Code],Master[Stock_Qty])</f>
        <v>4</v>
      </c>
      <c r="J940" s="6">
        <f>SUMIFS(
  Sales_Entry[Qty],
  Sales_Entry[Product_Code], Stock_Table[[#This Row],[Product_Code]]
)</f>
        <v>1</v>
      </c>
      <c r="K940" s="4">
        <f>SUMIFS(
  Exchange_Return[Qty],
  Exchange_Return[Product_Code], Stock_Table[[#This Row],[Product_Code]]
)</f>
        <v>0</v>
      </c>
      <c r="L940" s="4">
        <f>I940-J940+K940</f>
        <v>3</v>
      </c>
      <c r="M940" s="2" t="str" cm="1">
        <f t="array" ref="M940">_xlfn.IFS(L940=0,"Out of Stock",L940&gt;=2,"Limited Stock",L940&lt;2,"In Stock")</f>
        <v>Limited Stock</v>
      </c>
    </row>
    <row r="941" spans="2:13">
      <c r="B941" s="2" t="s">
        <v>102</v>
      </c>
      <c r="C941" s="5" t="str">
        <f>_xlfn.XLOOKUP(B941,Master[Product_Code],Master[Category])</f>
        <v>Shirt</v>
      </c>
      <c r="D941" s="2" t="str">
        <f>_xlfn.XLOOKUP(B941,Master[Product_Code],Master[Brand])</f>
        <v>British</v>
      </c>
      <c r="E941" s="2" t="str">
        <f>_xlfn.XLOOKUP(B941,Master[Product_Code],Master[Style])</f>
        <v>Formal</v>
      </c>
      <c r="F941" s="2" t="str">
        <f>_xlfn.XLOOKUP(B941,Master[Product_Code],Master[Fabric])</f>
        <v>Cotton Blend</v>
      </c>
      <c r="G941" s="2" t="str">
        <f>_xlfn.XLOOKUP(B941,Master[Product_Code],Master[Size])</f>
        <v>XXL</v>
      </c>
      <c r="H941" s="2" t="str">
        <f>_xlfn.XLOOKUP(B941,Master[Product_Code],Master[Color])</f>
        <v>Peach</v>
      </c>
      <c r="I941" s="4">
        <f>_xlfn.XLOOKUP(B941,Master[Product_Code],Master[Stock_Qty])</f>
        <v>5</v>
      </c>
      <c r="J941" s="6">
        <f>SUMIFS(
  Sales_Entry[Qty],
  Sales_Entry[Product_Code], Stock_Table[[#This Row],[Product_Code]]
)</f>
        <v>4</v>
      </c>
      <c r="K941" s="4">
        <f>SUMIFS(
  Exchange_Return[Qty],
  Exchange_Return[Product_Code], Stock_Table[[#This Row],[Product_Code]]
)</f>
        <v>0</v>
      </c>
      <c r="L941" s="4">
        <f>I941-J941+K941</f>
        <v>1</v>
      </c>
      <c r="M941" s="2" t="str" cm="1">
        <f t="array" ref="M941">_xlfn.IFS(L941=0,"Out of Stock",L941&gt;=2,"Limited Stock",L941&lt;2,"In Stock")</f>
        <v>In Stock</v>
      </c>
    </row>
    <row r="942" spans="2:13">
      <c r="B942" s="2" t="s">
        <v>103</v>
      </c>
      <c r="C942" s="5" t="str">
        <f>_xlfn.XLOOKUP(B942,Master[Product_Code],Master[Category])</f>
        <v>Shirt</v>
      </c>
      <c r="D942" s="2" t="str">
        <f>_xlfn.XLOOKUP(B942,Master[Product_Code],Master[Brand])</f>
        <v>Zara</v>
      </c>
      <c r="E942" s="2" t="str">
        <f>_xlfn.XLOOKUP(B942,Master[Product_Code],Master[Style])</f>
        <v>Formal</v>
      </c>
      <c r="F942" s="2" t="str">
        <f>_xlfn.XLOOKUP(B942,Master[Product_Code],Master[Fabric])</f>
        <v>Polyester</v>
      </c>
      <c r="G942" s="2" t="str">
        <f>_xlfn.XLOOKUP(B942,Master[Product_Code],Master[Size])</f>
        <v>L</v>
      </c>
      <c r="H942" s="2" t="str">
        <f>_xlfn.XLOOKUP(B942,Master[Product_Code],Master[Color])</f>
        <v>White</v>
      </c>
      <c r="I942" s="4">
        <f>_xlfn.XLOOKUP(B942,Master[Product_Code],Master[Stock_Qty])</f>
        <v>3</v>
      </c>
      <c r="J942" s="6">
        <f>SUMIFS(
  Sales_Entry[Qty],
  Sales_Entry[Product_Code], Stock_Table[[#This Row],[Product_Code]]
)</f>
        <v>2</v>
      </c>
      <c r="K942" s="4">
        <f>SUMIFS(
  Exchange_Return[Qty],
  Exchange_Return[Product_Code], Stock_Table[[#This Row],[Product_Code]]
)</f>
        <v>0</v>
      </c>
      <c r="L942" s="4">
        <f>I942-J942+K942</f>
        <v>1</v>
      </c>
      <c r="M942" s="2" t="str" cm="1">
        <f t="array" ref="M942">_xlfn.IFS(L942=0,"Out of Stock",L942&gt;=2,"Limited Stock",L942&lt;2,"In Stock")</f>
        <v>In Stock</v>
      </c>
    </row>
    <row r="943" spans="2:13">
      <c r="B943" s="2" t="s">
        <v>105</v>
      </c>
      <c r="C943" s="5" t="str">
        <f>_xlfn.XLOOKUP(B943,Master[Product_Code],Master[Category])</f>
        <v>Shirt</v>
      </c>
      <c r="D943" s="2" t="str">
        <f>_xlfn.XLOOKUP(B943,Master[Product_Code],Master[Brand])</f>
        <v>USD</v>
      </c>
      <c r="E943" s="2" t="str">
        <f>_xlfn.XLOOKUP(B943,Master[Product_Code],Master[Style])</f>
        <v>Partywear</v>
      </c>
      <c r="F943" s="2" t="str">
        <f>_xlfn.XLOOKUP(B943,Master[Product_Code],Master[Fabric])</f>
        <v>Cotton Blend</v>
      </c>
      <c r="G943" s="2" t="str">
        <f>_xlfn.XLOOKUP(B943,Master[Product_Code],Master[Size])</f>
        <v>M</v>
      </c>
      <c r="H943" s="2" t="str">
        <f>_xlfn.XLOOKUP(B943,Master[Product_Code],Master[Color])</f>
        <v>Cream</v>
      </c>
      <c r="I943" s="4">
        <f>_xlfn.XLOOKUP(B943,Master[Product_Code],Master[Stock_Qty])</f>
        <v>6</v>
      </c>
      <c r="J943" s="6">
        <f>SUMIFS(
  Sales_Entry[Qty],
  Sales_Entry[Product_Code], Stock_Table[[#This Row],[Product_Code]]
)</f>
        <v>3</v>
      </c>
      <c r="K943" s="4">
        <f>SUMIFS(
  Exchange_Return[Qty],
  Exchange_Return[Product_Code], Stock_Table[[#This Row],[Product_Code]]
)</f>
        <v>0</v>
      </c>
      <c r="L943" s="4">
        <f>I943-J943+K943</f>
        <v>3</v>
      </c>
      <c r="M943" s="2" t="str" cm="1">
        <f t="array" ref="M943">_xlfn.IFS(L943=0,"Out of Stock",L943&gt;=2,"Limited Stock",L943&lt;2,"In Stock")</f>
        <v>Limited Stock</v>
      </c>
    </row>
    <row r="944" spans="2:13">
      <c r="B944" s="2" t="s">
        <v>106</v>
      </c>
      <c r="C944" s="5" t="str">
        <f>_xlfn.XLOOKUP(B944,Master[Product_Code],Master[Category])</f>
        <v>Shirt</v>
      </c>
      <c r="D944" s="2" t="str">
        <f>_xlfn.XLOOKUP(B944,Master[Product_Code],Master[Brand])</f>
        <v>Zara</v>
      </c>
      <c r="E944" s="2" t="str">
        <f>_xlfn.XLOOKUP(B944,Master[Product_Code],Master[Style])</f>
        <v>Formal</v>
      </c>
      <c r="F944" s="2" t="str">
        <f>_xlfn.XLOOKUP(B944,Master[Product_Code],Master[Fabric])</f>
        <v>Cotton</v>
      </c>
      <c r="G944" s="2" t="str">
        <f>_xlfn.XLOOKUP(B944,Master[Product_Code],Master[Size])</f>
        <v>M</v>
      </c>
      <c r="H944" s="2" t="str">
        <f>_xlfn.XLOOKUP(B944,Master[Product_Code],Master[Color])</f>
        <v>Dark Green</v>
      </c>
      <c r="I944" s="4">
        <f>_xlfn.XLOOKUP(B944,Master[Product_Code],Master[Stock_Qty])</f>
        <v>3</v>
      </c>
      <c r="J944" s="6">
        <f>SUMIFS(
  Sales_Entry[Qty],
  Sales_Entry[Product_Code], Stock_Table[[#This Row],[Product_Code]]
)</f>
        <v>3</v>
      </c>
      <c r="K944" s="4">
        <f>SUMIFS(
  Exchange_Return[Qty],
  Exchange_Return[Product_Code], Stock_Table[[#This Row],[Product_Code]]
)</f>
        <v>0</v>
      </c>
      <c r="L944" s="4">
        <f>I944-J944+K944</f>
        <v>0</v>
      </c>
      <c r="M944" s="2" t="str" cm="1">
        <f t="array" ref="M944">_xlfn.IFS(L944=0,"Out of Stock",L944&gt;=2,"Limited Stock",L944&lt;2,"In Stock")</f>
        <v>Out of Stock</v>
      </c>
    </row>
    <row r="945" spans="2:13">
      <c r="B945" s="2" t="s">
        <v>107</v>
      </c>
      <c r="C945" s="5" t="str">
        <f>_xlfn.XLOOKUP(B945,Master[Product_Code],Master[Category])</f>
        <v>Shirt</v>
      </c>
      <c r="D945" s="2" t="str">
        <f>_xlfn.XLOOKUP(B945,Master[Product_Code],Master[Brand])</f>
        <v>British</v>
      </c>
      <c r="E945" s="2" t="str">
        <f>_xlfn.XLOOKUP(B945,Master[Product_Code],Master[Style])</f>
        <v>Partywear</v>
      </c>
      <c r="F945" s="2" t="str">
        <f>_xlfn.XLOOKUP(B945,Master[Product_Code],Master[Fabric])</f>
        <v>Lycra</v>
      </c>
      <c r="G945" s="2" t="str">
        <f>_xlfn.XLOOKUP(B945,Master[Product_Code],Master[Size])</f>
        <v>XL</v>
      </c>
      <c r="H945" s="2" t="str">
        <f>_xlfn.XLOOKUP(B945,Master[Product_Code],Master[Color])</f>
        <v>Maroon</v>
      </c>
      <c r="I945" s="4">
        <f>_xlfn.XLOOKUP(B945,Master[Product_Code],Master[Stock_Qty])</f>
        <v>3</v>
      </c>
      <c r="J945" s="6">
        <f>SUMIFS(
  Sales_Entry[Qty],
  Sales_Entry[Product_Code], Stock_Table[[#This Row],[Product_Code]]
)</f>
        <v>2</v>
      </c>
      <c r="K945" s="4">
        <f>SUMIFS(
  Exchange_Return[Qty],
  Exchange_Return[Product_Code], Stock_Table[[#This Row],[Product_Code]]
)</f>
        <v>0</v>
      </c>
      <c r="L945" s="4">
        <f>I945-J945+K945</f>
        <v>1</v>
      </c>
      <c r="M945" s="2" t="str" cm="1">
        <f t="array" ref="M945">_xlfn.IFS(L945=0,"Out of Stock",L945&gt;=2,"Limited Stock",L945&lt;2,"In Stock")</f>
        <v>In Stock</v>
      </c>
    </row>
    <row r="946" spans="2:13">
      <c r="B946" s="2" t="s">
        <v>108</v>
      </c>
      <c r="C946" s="5" t="str">
        <f>_xlfn.XLOOKUP(B946,Master[Product_Code],Master[Category])</f>
        <v>Shirt</v>
      </c>
      <c r="D946" s="2" t="str">
        <f>_xlfn.XLOOKUP(B946,Master[Product_Code],Master[Brand])</f>
        <v>British</v>
      </c>
      <c r="E946" s="2" t="str">
        <f>_xlfn.XLOOKUP(B946,Master[Product_Code],Master[Style])</f>
        <v>Formal</v>
      </c>
      <c r="F946" s="2" t="str">
        <f>_xlfn.XLOOKUP(B946,Master[Product_Code],Master[Fabric])</f>
        <v>Cotton Blend</v>
      </c>
      <c r="G946" s="2" t="str">
        <f>_xlfn.XLOOKUP(B946,Master[Product_Code],Master[Size])</f>
        <v>M</v>
      </c>
      <c r="H946" s="2" t="str">
        <f>_xlfn.XLOOKUP(B946,Master[Product_Code],Master[Color])</f>
        <v>Charcoal</v>
      </c>
      <c r="I946" s="4">
        <f>_xlfn.XLOOKUP(B946,Master[Product_Code],Master[Stock_Qty])</f>
        <v>3</v>
      </c>
      <c r="J946" s="6">
        <f>SUMIFS(
  Sales_Entry[Qty],
  Sales_Entry[Product_Code], Stock_Table[[#This Row],[Product_Code]]
)</f>
        <v>0</v>
      </c>
      <c r="K946" s="4">
        <f>SUMIFS(
  Exchange_Return[Qty],
  Exchange_Return[Product_Code], Stock_Table[[#This Row],[Product_Code]]
)</f>
        <v>0</v>
      </c>
      <c r="L946" s="4">
        <f>I946-J946+K946</f>
        <v>3</v>
      </c>
      <c r="M946" s="2" t="str" cm="1">
        <f t="array" ref="M946">_xlfn.IFS(L946=0,"Out of Stock",L946&gt;=2,"Limited Stock",L946&lt;2,"In Stock")</f>
        <v>Limited Stock</v>
      </c>
    </row>
    <row r="947" spans="2:13">
      <c r="B947" s="2" t="s">
        <v>109</v>
      </c>
      <c r="C947" s="5" t="str">
        <f>_xlfn.XLOOKUP(B947,Master[Product_Code],Master[Category])</f>
        <v>Shirt</v>
      </c>
      <c r="D947" s="2" t="str">
        <f>_xlfn.XLOOKUP(B947,Master[Product_Code],Master[Brand])</f>
        <v>H&amp;M</v>
      </c>
      <c r="E947" s="2" t="str">
        <f>_xlfn.XLOOKUP(B947,Master[Product_Code],Master[Style])</f>
        <v>Casual</v>
      </c>
      <c r="F947" s="2" t="str">
        <f>_xlfn.XLOOKUP(B947,Master[Product_Code],Master[Fabric])</f>
        <v>Lycra</v>
      </c>
      <c r="G947" s="2" t="str">
        <f>_xlfn.XLOOKUP(B947,Master[Product_Code],Master[Size])</f>
        <v>M</v>
      </c>
      <c r="H947" s="2" t="str">
        <f>_xlfn.XLOOKUP(B947,Master[Product_Code],Master[Color])</f>
        <v>Olive</v>
      </c>
      <c r="I947" s="4">
        <f>_xlfn.XLOOKUP(B947,Master[Product_Code],Master[Stock_Qty])</f>
        <v>4</v>
      </c>
      <c r="J947" s="6">
        <f>SUMIFS(
  Sales_Entry[Qty],
  Sales_Entry[Product_Code], Stock_Table[[#This Row],[Product_Code]]
)</f>
        <v>3</v>
      </c>
      <c r="K947" s="4">
        <f>SUMIFS(
  Exchange_Return[Qty],
  Exchange_Return[Product_Code], Stock_Table[[#This Row],[Product_Code]]
)</f>
        <v>0</v>
      </c>
      <c r="L947" s="4">
        <f>I947-J947+K947</f>
        <v>1</v>
      </c>
      <c r="M947" s="2" t="str" cm="1">
        <f t="array" ref="M947">_xlfn.IFS(L947=0,"Out of Stock",L947&gt;=2,"Limited Stock",L947&lt;2,"In Stock")</f>
        <v>In Stock</v>
      </c>
    </row>
    <row r="948" spans="2:13">
      <c r="B948" s="2" t="s">
        <v>110</v>
      </c>
      <c r="C948" s="5" t="str">
        <f>_xlfn.XLOOKUP(B948,Master[Product_Code],Master[Category])</f>
        <v>Shirt</v>
      </c>
      <c r="D948" s="2" t="str">
        <f>_xlfn.XLOOKUP(B948,Master[Product_Code],Master[Brand])</f>
        <v>Luke &amp; Burg</v>
      </c>
      <c r="E948" s="2" t="str">
        <f>_xlfn.XLOOKUP(B948,Master[Product_Code],Master[Style])</f>
        <v>Formal</v>
      </c>
      <c r="F948" s="2" t="str">
        <f>_xlfn.XLOOKUP(B948,Master[Product_Code],Master[Fabric])</f>
        <v>Lycra</v>
      </c>
      <c r="G948" s="2" t="str">
        <f>_xlfn.XLOOKUP(B948,Master[Product_Code],Master[Size])</f>
        <v>L</v>
      </c>
      <c r="H948" s="2" t="str">
        <f>_xlfn.XLOOKUP(B948,Master[Product_Code],Master[Color])</f>
        <v>Bottle Green</v>
      </c>
      <c r="I948" s="4">
        <f>_xlfn.XLOOKUP(B948,Master[Product_Code],Master[Stock_Qty])</f>
        <v>4</v>
      </c>
      <c r="J948" s="6">
        <f>SUMIFS(
  Sales_Entry[Qty],
  Sales_Entry[Product_Code], Stock_Table[[#This Row],[Product_Code]]
)</f>
        <v>2</v>
      </c>
      <c r="K948" s="4">
        <f>SUMIFS(
  Exchange_Return[Qty],
  Exchange_Return[Product_Code], Stock_Table[[#This Row],[Product_Code]]
)</f>
        <v>0</v>
      </c>
      <c r="L948" s="4">
        <f>I948-J948+K948</f>
        <v>2</v>
      </c>
      <c r="M948" s="2" t="str" cm="1">
        <f t="array" ref="M948">_xlfn.IFS(L948=0,"Out of Stock",L948&gt;=2,"Limited Stock",L948&lt;2,"In Stock")</f>
        <v>Limited Stock</v>
      </c>
    </row>
    <row r="949" spans="2:13">
      <c r="B949" s="2" t="s">
        <v>111</v>
      </c>
      <c r="C949" s="5" t="str">
        <f>_xlfn.XLOOKUP(B949,Master[Product_Code],Master[Category])</f>
        <v>Shirt</v>
      </c>
      <c r="D949" s="2" t="str">
        <f>_xlfn.XLOOKUP(B949,Master[Product_Code],Master[Brand])</f>
        <v>USD</v>
      </c>
      <c r="E949" s="2" t="str">
        <f>_xlfn.XLOOKUP(B949,Master[Product_Code],Master[Style])</f>
        <v>Partywear</v>
      </c>
      <c r="F949" s="2" t="str">
        <f>_xlfn.XLOOKUP(B949,Master[Product_Code],Master[Fabric])</f>
        <v>Cotton</v>
      </c>
      <c r="G949" s="2" t="str">
        <f>_xlfn.XLOOKUP(B949,Master[Product_Code],Master[Size])</f>
        <v>XL</v>
      </c>
      <c r="H949" s="2" t="str">
        <f>_xlfn.XLOOKUP(B949,Master[Product_Code],Master[Color])</f>
        <v>White</v>
      </c>
      <c r="I949" s="4">
        <f>_xlfn.XLOOKUP(B949,Master[Product_Code],Master[Stock_Qty])</f>
        <v>6</v>
      </c>
      <c r="J949" s="6">
        <f>SUMIFS(
  Sales_Entry[Qty],
  Sales_Entry[Product_Code], Stock_Table[[#This Row],[Product_Code]]
)</f>
        <v>2</v>
      </c>
      <c r="K949" s="4">
        <f>SUMIFS(
  Exchange_Return[Qty],
  Exchange_Return[Product_Code], Stock_Table[[#This Row],[Product_Code]]
)</f>
        <v>0</v>
      </c>
      <c r="L949" s="4">
        <f>I949-J949+K949</f>
        <v>4</v>
      </c>
      <c r="M949" s="2" t="str" cm="1">
        <f t="array" ref="M949">_xlfn.IFS(L949=0,"Out of Stock",L949&gt;=2,"Limited Stock",L949&lt;2,"In Stock")</f>
        <v>Limited Stock</v>
      </c>
    </row>
    <row r="950" spans="2:13">
      <c r="B950" s="2" t="s">
        <v>112</v>
      </c>
      <c r="C950" s="5" t="str">
        <f>_xlfn.XLOOKUP(B950,Master[Product_Code],Master[Category])</f>
        <v>Shirt</v>
      </c>
      <c r="D950" s="2" t="str">
        <f>_xlfn.XLOOKUP(B950,Master[Product_Code],Master[Brand])</f>
        <v>G Studio</v>
      </c>
      <c r="E950" s="2" t="str">
        <f>_xlfn.XLOOKUP(B950,Master[Product_Code],Master[Style])</f>
        <v>Casual</v>
      </c>
      <c r="F950" s="2" t="str">
        <f>_xlfn.XLOOKUP(B950,Master[Product_Code],Master[Fabric])</f>
        <v>Cotton Blend</v>
      </c>
      <c r="G950" s="2" t="str">
        <f>_xlfn.XLOOKUP(B950,Master[Product_Code],Master[Size])</f>
        <v>L</v>
      </c>
      <c r="H950" s="2" t="str">
        <f>_xlfn.XLOOKUP(B950,Master[Product_Code],Master[Color])</f>
        <v>Charcoal</v>
      </c>
      <c r="I950" s="4">
        <f>_xlfn.XLOOKUP(B950,Master[Product_Code],Master[Stock_Qty])</f>
        <v>4</v>
      </c>
      <c r="J950" s="6">
        <f>SUMIFS(
  Sales_Entry[Qty],
  Sales_Entry[Product_Code], Stock_Table[[#This Row],[Product_Code]]
)</f>
        <v>1</v>
      </c>
      <c r="K950" s="4">
        <f>SUMIFS(
  Exchange_Return[Qty],
  Exchange_Return[Product_Code], Stock_Table[[#This Row],[Product_Code]]
)</f>
        <v>0</v>
      </c>
      <c r="L950" s="4">
        <f>I950-J950+K950</f>
        <v>3</v>
      </c>
      <c r="M950" s="2" t="str" cm="1">
        <f t="array" ref="M950">_xlfn.IFS(L950=0,"Out of Stock",L950&gt;=2,"Limited Stock",L950&lt;2,"In Stock")</f>
        <v>Limited Stock</v>
      </c>
    </row>
    <row r="951" spans="2:13">
      <c r="B951" s="2" t="s">
        <v>113</v>
      </c>
      <c r="C951" s="5" t="str">
        <f>_xlfn.XLOOKUP(B951,Master[Product_Code],Master[Category])</f>
        <v>Shirt</v>
      </c>
      <c r="D951" s="2" t="str">
        <f>_xlfn.XLOOKUP(B951,Master[Product_Code],Master[Brand])</f>
        <v>G Studio</v>
      </c>
      <c r="E951" s="2" t="str">
        <f>_xlfn.XLOOKUP(B951,Master[Product_Code],Master[Style])</f>
        <v>Casual</v>
      </c>
      <c r="F951" s="2" t="str">
        <f>_xlfn.XLOOKUP(B951,Master[Product_Code],Master[Fabric])</f>
        <v>Cotton Blend</v>
      </c>
      <c r="G951" s="2" t="str">
        <f>_xlfn.XLOOKUP(B951,Master[Product_Code],Master[Size])</f>
        <v>L</v>
      </c>
      <c r="H951" s="2" t="str">
        <f>_xlfn.XLOOKUP(B951,Master[Product_Code],Master[Color])</f>
        <v>Navy Blue</v>
      </c>
      <c r="I951" s="4">
        <f>_xlfn.XLOOKUP(B951,Master[Product_Code],Master[Stock_Qty])</f>
        <v>5</v>
      </c>
      <c r="J951" s="6">
        <f>SUMIFS(
  Sales_Entry[Qty],
  Sales_Entry[Product_Code], Stock_Table[[#This Row],[Product_Code]]
)</f>
        <v>0</v>
      </c>
      <c r="K951" s="4">
        <f>SUMIFS(
  Exchange_Return[Qty],
  Exchange_Return[Product_Code], Stock_Table[[#This Row],[Product_Code]]
)</f>
        <v>0</v>
      </c>
      <c r="L951" s="4">
        <f>I951-J951+K951</f>
        <v>5</v>
      </c>
      <c r="M951" s="2" t="str" cm="1">
        <f t="array" ref="M951">_xlfn.IFS(L951=0,"Out of Stock",L951&gt;=2,"Limited Stock",L951&lt;2,"In Stock")</f>
        <v>Limited Stock</v>
      </c>
    </row>
    <row r="952" spans="2:13">
      <c r="B952" s="2" t="s">
        <v>114</v>
      </c>
      <c r="C952" s="5" t="str">
        <f>_xlfn.XLOOKUP(B952,Master[Product_Code],Master[Category])</f>
        <v>Shirt</v>
      </c>
      <c r="D952" s="2" t="str">
        <f>_xlfn.XLOOKUP(B952,Master[Product_Code],Master[Brand])</f>
        <v>H&amp;M</v>
      </c>
      <c r="E952" s="2" t="str">
        <f>_xlfn.XLOOKUP(B952,Master[Product_Code],Master[Style])</f>
        <v>Casual</v>
      </c>
      <c r="F952" s="2" t="str">
        <f>_xlfn.XLOOKUP(B952,Master[Product_Code],Master[Fabric])</f>
        <v>Cotton Blend</v>
      </c>
      <c r="G952" s="2" t="str">
        <f>_xlfn.XLOOKUP(B952,Master[Product_Code],Master[Size])</f>
        <v>S</v>
      </c>
      <c r="H952" s="2" t="str">
        <f>_xlfn.XLOOKUP(B952,Master[Product_Code],Master[Color])</f>
        <v>Sky Blue</v>
      </c>
      <c r="I952" s="4">
        <f>_xlfn.XLOOKUP(B952,Master[Product_Code],Master[Stock_Qty])</f>
        <v>5</v>
      </c>
      <c r="J952" s="6">
        <f>SUMIFS(
  Sales_Entry[Qty],
  Sales_Entry[Product_Code], Stock_Table[[#This Row],[Product_Code]]
)</f>
        <v>2</v>
      </c>
      <c r="K952" s="4">
        <f>SUMIFS(
  Exchange_Return[Qty],
  Exchange_Return[Product_Code], Stock_Table[[#This Row],[Product_Code]]
)</f>
        <v>0</v>
      </c>
      <c r="L952" s="4">
        <f>I952-J952+K952</f>
        <v>3</v>
      </c>
      <c r="M952" s="2" t="str" cm="1">
        <f t="array" ref="M952">_xlfn.IFS(L952=0,"Out of Stock",L952&gt;=2,"Limited Stock",L952&lt;2,"In Stock")</f>
        <v>Limited Stock</v>
      </c>
    </row>
    <row r="953" spans="2:13">
      <c r="B953" s="2" t="s">
        <v>115</v>
      </c>
      <c r="C953" s="5" t="str">
        <f>_xlfn.XLOOKUP(B953,Master[Product_Code],Master[Category])</f>
        <v>Shirt</v>
      </c>
      <c r="D953" s="2" t="str">
        <f>_xlfn.XLOOKUP(B953,Master[Product_Code],Master[Brand])</f>
        <v>Thailand</v>
      </c>
      <c r="E953" s="2" t="str">
        <f>_xlfn.XLOOKUP(B953,Master[Product_Code],Master[Style])</f>
        <v>Formal</v>
      </c>
      <c r="F953" s="2" t="str">
        <f>_xlfn.XLOOKUP(B953,Master[Product_Code],Master[Fabric])</f>
        <v>Cotton</v>
      </c>
      <c r="G953" s="2" t="str">
        <f>_xlfn.XLOOKUP(B953,Master[Product_Code],Master[Size])</f>
        <v>XXL</v>
      </c>
      <c r="H953" s="2" t="str">
        <f>_xlfn.XLOOKUP(B953,Master[Product_Code],Master[Color])</f>
        <v>Bottle Green</v>
      </c>
      <c r="I953" s="4">
        <f>_xlfn.XLOOKUP(B953,Master[Product_Code],Master[Stock_Qty])</f>
        <v>5</v>
      </c>
      <c r="J953" s="6">
        <f>SUMIFS(
  Sales_Entry[Qty],
  Sales_Entry[Product_Code], Stock_Table[[#This Row],[Product_Code]]
)</f>
        <v>5</v>
      </c>
      <c r="K953" s="4">
        <f>SUMIFS(
  Exchange_Return[Qty],
  Exchange_Return[Product_Code], Stock_Table[[#This Row],[Product_Code]]
)</f>
        <v>0</v>
      </c>
      <c r="L953" s="4">
        <f>I953-J953+K953</f>
        <v>0</v>
      </c>
      <c r="M953" s="2" t="str" cm="1">
        <f t="array" ref="M953">_xlfn.IFS(L953=0,"Out of Stock",L953&gt;=2,"Limited Stock",L953&lt;2,"In Stock")</f>
        <v>Out of Stock</v>
      </c>
    </row>
    <row r="954" spans="2:13">
      <c r="B954" s="2" t="s">
        <v>116</v>
      </c>
      <c r="C954" s="5" t="str">
        <f>_xlfn.XLOOKUP(B954,Master[Product_Code],Master[Category])</f>
        <v>Shirt</v>
      </c>
      <c r="D954" s="2" t="str">
        <f>_xlfn.XLOOKUP(B954,Master[Product_Code],Master[Brand])</f>
        <v>British</v>
      </c>
      <c r="E954" s="2" t="str">
        <f>_xlfn.XLOOKUP(B954,Master[Product_Code],Master[Style])</f>
        <v>Casual</v>
      </c>
      <c r="F954" s="2" t="str">
        <f>_xlfn.XLOOKUP(B954,Master[Product_Code],Master[Fabric])</f>
        <v>Cotton</v>
      </c>
      <c r="G954" s="2" t="str">
        <f>_xlfn.XLOOKUP(B954,Master[Product_Code],Master[Size])</f>
        <v>XL</v>
      </c>
      <c r="H954" s="2" t="str">
        <f>_xlfn.XLOOKUP(B954,Master[Product_Code],Master[Color])</f>
        <v>Light Grey</v>
      </c>
      <c r="I954" s="4">
        <f>_xlfn.XLOOKUP(B954,Master[Product_Code],Master[Stock_Qty])</f>
        <v>4</v>
      </c>
      <c r="J954" s="6">
        <f>SUMIFS(
  Sales_Entry[Qty],
  Sales_Entry[Product_Code], Stock_Table[[#This Row],[Product_Code]]
)</f>
        <v>1</v>
      </c>
      <c r="K954" s="4">
        <f>SUMIFS(
  Exchange_Return[Qty],
  Exchange_Return[Product_Code], Stock_Table[[#This Row],[Product_Code]]
)</f>
        <v>0</v>
      </c>
      <c r="L954" s="4">
        <f>I954-J954+K954</f>
        <v>3</v>
      </c>
      <c r="M954" s="2" t="str" cm="1">
        <f t="array" ref="M954">_xlfn.IFS(L954=0,"Out of Stock",L954&gt;=2,"Limited Stock",L954&lt;2,"In Stock")</f>
        <v>Limited Stock</v>
      </c>
    </row>
    <row r="955" spans="2:13">
      <c r="B955" s="2" t="s">
        <v>117</v>
      </c>
      <c r="C955" s="5" t="str">
        <f>_xlfn.XLOOKUP(B955,Master[Product_Code],Master[Category])</f>
        <v>Shirt</v>
      </c>
      <c r="D955" s="2" t="str">
        <f>_xlfn.XLOOKUP(B955,Master[Product_Code],Master[Brand])</f>
        <v>Zara</v>
      </c>
      <c r="E955" s="2" t="str">
        <f>_xlfn.XLOOKUP(B955,Master[Product_Code],Master[Style])</f>
        <v>Partywear</v>
      </c>
      <c r="F955" s="2" t="str">
        <f>_xlfn.XLOOKUP(B955,Master[Product_Code],Master[Fabric])</f>
        <v>Polyester</v>
      </c>
      <c r="G955" s="2" t="str">
        <f>_xlfn.XLOOKUP(B955,Master[Product_Code],Master[Size])</f>
        <v>S</v>
      </c>
      <c r="H955" s="2" t="str">
        <f>_xlfn.XLOOKUP(B955,Master[Product_Code],Master[Color])</f>
        <v>Wine</v>
      </c>
      <c r="I955" s="4">
        <f>_xlfn.XLOOKUP(B955,Master[Product_Code],Master[Stock_Qty])</f>
        <v>4</v>
      </c>
      <c r="J955" s="6">
        <f>SUMIFS(
  Sales_Entry[Qty],
  Sales_Entry[Product_Code], Stock_Table[[#This Row],[Product_Code]]
)</f>
        <v>0</v>
      </c>
      <c r="K955" s="4">
        <f>SUMIFS(
  Exchange_Return[Qty],
  Exchange_Return[Product_Code], Stock_Table[[#This Row],[Product_Code]]
)</f>
        <v>0</v>
      </c>
      <c r="L955" s="4">
        <f>I955-J955+K955</f>
        <v>4</v>
      </c>
      <c r="M955" s="2" t="str" cm="1">
        <f t="array" ref="M955">_xlfn.IFS(L955=0,"Out of Stock",L955&gt;=2,"Limited Stock",L955&lt;2,"In Stock")</f>
        <v>Limited Stock</v>
      </c>
    </row>
    <row r="956" spans="2:13">
      <c r="B956" s="2" t="s">
        <v>118</v>
      </c>
      <c r="C956" s="5" t="str">
        <f>_xlfn.XLOOKUP(B956,Master[Product_Code],Master[Category])</f>
        <v>Shirt</v>
      </c>
      <c r="D956" s="2" t="str">
        <f>_xlfn.XLOOKUP(B956,Master[Product_Code],Master[Brand])</f>
        <v>Luke &amp; Burg</v>
      </c>
      <c r="E956" s="2" t="str">
        <f>_xlfn.XLOOKUP(B956,Master[Product_Code],Master[Style])</f>
        <v>Formal</v>
      </c>
      <c r="F956" s="2" t="str">
        <f>_xlfn.XLOOKUP(B956,Master[Product_Code],Master[Fabric])</f>
        <v>Cotton Blend</v>
      </c>
      <c r="G956" s="2" t="str">
        <f>_xlfn.XLOOKUP(B956,Master[Product_Code],Master[Size])</f>
        <v>XXL</v>
      </c>
      <c r="H956" s="2" t="str">
        <f>_xlfn.XLOOKUP(B956,Master[Product_Code],Master[Color])</f>
        <v>Mustard</v>
      </c>
      <c r="I956" s="4">
        <f>_xlfn.XLOOKUP(B956,Master[Product_Code],Master[Stock_Qty])</f>
        <v>3</v>
      </c>
      <c r="J956" s="6">
        <f>SUMIFS(
  Sales_Entry[Qty],
  Sales_Entry[Product_Code], Stock_Table[[#This Row],[Product_Code]]
)</f>
        <v>1</v>
      </c>
      <c r="K956" s="4">
        <f>SUMIFS(
  Exchange_Return[Qty],
  Exchange_Return[Product_Code], Stock_Table[[#This Row],[Product_Code]]
)</f>
        <v>0</v>
      </c>
      <c r="L956" s="4">
        <f>I956-J956+K956</f>
        <v>2</v>
      </c>
      <c r="M956" s="2" t="str" cm="1">
        <f t="array" ref="M956">_xlfn.IFS(L956=0,"Out of Stock",L956&gt;=2,"Limited Stock",L956&lt;2,"In Stock")</f>
        <v>Limited Stock</v>
      </c>
    </row>
    <row r="957" spans="2:13">
      <c r="B957" s="2" t="s">
        <v>119</v>
      </c>
      <c r="C957" s="5" t="str">
        <f>_xlfn.XLOOKUP(B957,Master[Product_Code],Master[Category])</f>
        <v>Shirt</v>
      </c>
      <c r="D957" s="2" t="str">
        <f>_xlfn.XLOOKUP(B957,Master[Product_Code],Master[Brand])</f>
        <v>Thailand</v>
      </c>
      <c r="E957" s="2" t="str">
        <f>_xlfn.XLOOKUP(B957,Master[Product_Code],Master[Style])</f>
        <v>Partywear</v>
      </c>
      <c r="F957" s="2" t="str">
        <f>_xlfn.XLOOKUP(B957,Master[Product_Code],Master[Fabric])</f>
        <v>Cotton Blend</v>
      </c>
      <c r="G957" s="2" t="str">
        <f>_xlfn.XLOOKUP(B957,Master[Product_Code],Master[Size])</f>
        <v>XL</v>
      </c>
      <c r="H957" s="2" t="str">
        <f>_xlfn.XLOOKUP(B957,Master[Product_Code],Master[Color])</f>
        <v>Mustard</v>
      </c>
      <c r="I957" s="4">
        <f>_xlfn.XLOOKUP(B957,Master[Product_Code],Master[Stock_Qty])</f>
        <v>6</v>
      </c>
      <c r="J957" s="6">
        <f>SUMIFS(
  Sales_Entry[Qty],
  Sales_Entry[Product_Code], Stock_Table[[#This Row],[Product_Code]]
)</f>
        <v>0</v>
      </c>
      <c r="K957" s="4">
        <f>SUMIFS(
  Exchange_Return[Qty],
  Exchange_Return[Product_Code], Stock_Table[[#This Row],[Product_Code]]
)</f>
        <v>0</v>
      </c>
      <c r="L957" s="4">
        <f>I957-J957+K957</f>
        <v>6</v>
      </c>
      <c r="M957" s="2" t="str" cm="1">
        <f t="array" ref="M957">_xlfn.IFS(L957=0,"Out of Stock",L957&gt;=2,"Limited Stock",L957&lt;2,"In Stock")</f>
        <v>Limited Stock</v>
      </c>
    </row>
    <row r="958" spans="2:13">
      <c r="B958" s="2" t="s">
        <v>120</v>
      </c>
      <c r="C958" s="5" t="str">
        <f>_xlfn.XLOOKUP(B958,Master[Product_Code],Master[Category])</f>
        <v>Shirt</v>
      </c>
      <c r="D958" s="2" t="str">
        <f>_xlfn.XLOOKUP(B958,Master[Product_Code],Master[Brand])</f>
        <v>Thailand</v>
      </c>
      <c r="E958" s="2" t="str">
        <f>_xlfn.XLOOKUP(B958,Master[Product_Code],Master[Style])</f>
        <v>Partywear</v>
      </c>
      <c r="F958" s="2" t="str">
        <f>_xlfn.XLOOKUP(B958,Master[Product_Code],Master[Fabric])</f>
        <v>Lycra</v>
      </c>
      <c r="G958" s="2" t="str">
        <f>_xlfn.XLOOKUP(B958,Master[Product_Code],Master[Size])</f>
        <v>M</v>
      </c>
      <c r="H958" s="2" t="str">
        <f>_xlfn.XLOOKUP(B958,Master[Product_Code],Master[Color])</f>
        <v>Bottle Green</v>
      </c>
      <c r="I958" s="4">
        <f>_xlfn.XLOOKUP(B958,Master[Product_Code],Master[Stock_Qty])</f>
        <v>6</v>
      </c>
      <c r="J958" s="6">
        <f>SUMIFS(
  Sales_Entry[Qty],
  Sales_Entry[Product_Code], Stock_Table[[#This Row],[Product_Code]]
)</f>
        <v>2</v>
      </c>
      <c r="K958" s="4">
        <f>SUMIFS(
  Exchange_Return[Qty],
  Exchange_Return[Product_Code], Stock_Table[[#This Row],[Product_Code]]
)</f>
        <v>0</v>
      </c>
      <c r="L958" s="4">
        <f>I958-J958+K958</f>
        <v>4</v>
      </c>
      <c r="M958" s="2" t="str" cm="1">
        <f t="array" ref="M958">_xlfn.IFS(L958=0,"Out of Stock",L958&gt;=2,"Limited Stock",L958&lt;2,"In Stock")</f>
        <v>Limited Stock</v>
      </c>
    </row>
    <row r="959" spans="2:13">
      <c r="B959" s="2" t="s">
        <v>121</v>
      </c>
      <c r="C959" s="5" t="str">
        <f>_xlfn.XLOOKUP(B959,Master[Product_Code],Master[Category])</f>
        <v>Shirt</v>
      </c>
      <c r="D959" s="2" t="str">
        <f>_xlfn.XLOOKUP(B959,Master[Product_Code],Master[Brand])</f>
        <v>USD</v>
      </c>
      <c r="E959" s="2" t="str">
        <f>_xlfn.XLOOKUP(B959,Master[Product_Code],Master[Style])</f>
        <v>Partywear</v>
      </c>
      <c r="F959" s="2" t="str">
        <f>_xlfn.XLOOKUP(B959,Master[Product_Code],Master[Fabric])</f>
        <v>Cotton Blend</v>
      </c>
      <c r="G959" s="2" t="str">
        <f>_xlfn.XLOOKUP(B959,Master[Product_Code],Master[Size])</f>
        <v>XL</v>
      </c>
      <c r="H959" s="2" t="str">
        <f>_xlfn.XLOOKUP(B959,Master[Product_Code],Master[Color])</f>
        <v>Dark Green</v>
      </c>
      <c r="I959" s="4">
        <f>_xlfn.XLOOKUP(B959,Master[Product_Code],Master[Stock_Qty])</f>
        <v>3</v>
      </c>
      <c r="J959" s="6">
        <f>SUMIFS(
  Sales_Entry[Qty],
  Sales_Entry[Product_Code], Stock_Table[[#This Row],[Product_Code]]
)</f>
        <v>3</v>
      </c>
      <c r="K959" s="4">
        <f>SUMIFS(
  Exchange_Return[Qty],
  Exchange_Return[Product_Code], Stock_Table[[#This Row],[Product_Code]]
)</f>
        <v>0</v>
      </c>
      <c r="L959" s="4">
        <f>I959-J959+K959</f>
        <v>0</v>
      </c>
      <c r="M959" s="2" t="str" cm="1">
        <f t="array" ref="M959">_xlfn.IFS(L959=0,"Out of Stock",L959&gt;=2,"Limited Stock",L959&lt;2,"In Stock")</f>
        <v>Out of Stock</v>
      </c>
    </row>
    <row r="960" spans="2:13">
      <c r="B960" s="2" t="s">
        <v>122</v>
      </c>
      <c r="C960" s="5" t="str">
        <f>_xlfn.XLOOKUP(B960,Master[Product_Code],Master[Category])</f>
        <v>Shirt</v>
      </c>
      <c r="D960" s="2" t="str">
        <f>_xlfn.XLOOKUP(B960,Master[Product_Code],Master[Brand])</f>
        <v>Thailand</v>
      </c>
      <c r="E960" s="2" t="str">
        <f>_xlfn.XLOOKUP(B960,Master[Product_Code],Master[Style])</f>
        <v>Formal</v>
      </c>
      <c r="F960" s="2" t="str">
        <f>_xlfn.XLOOKUP(B960,Master[Product_Code],Master[Fabric])</f>
        <v>Polyester</v>
      </c>
      <c r="G960" s="2" t="str">
        <f>_xlfn.XLOOKUP(B960,Master[Product_Code],Master[Size])</f>
        <v>XXL</v>
      </c>
      <c r="H960" s="2" t="str">
        <f>_xlfn.XLOOKUP(B960,Master[Product_Code],Master[Color])</f>
        <v>Royal Blue</v>
      </c>
      <c r="I960" s="4">
        <f>_xlfn.XLOOKUP(B960,Master[Product_Code],Master[Stock_Qty])</f>
        <v>5</v>
      </c>
      <c r="J960" s="6">
        <f>SUMIFS(
  Sales_Entry[Qty],
  Sales_Entry[Product_Code], Stock_Table[[#This Row],[Product_Code]]
)</f>
        <v>1</v>
      </c>
      <c r="K960" s="4">
        <f>SUMIFS(
  Exchange_Return[Qty],
  Exchange_Return[Product_Code], Stock_Table[[#This Row],[Product_Code]]
)</f>
        <v>0</v>
      </c>
      <c r="L960" s="4">
        <f>I960-J960+K960</f>
        <v>4</v>
      </c>
      <c r="M960" s="2" t="str" cm="1">
        <f t="array" ref="M960">_xlfn.IFS(L960=0,"Out of Stock",L960&gt;=2,"Limited Stock",L960&lt;2,"In Stock")</f>
        <v>Limited Stock</v>
      </c>
    </row>
    <row r="961" spans="2:13">
      <c r="B961" s="2" t="s">
        <v>123</v>
      </c>
      <c r="C961" s="5" t="str">
        <f>_xlfn.XLOOKUP(B961,Master[Product_Code],Master[Category])</f>
        <v>Shirt</v>
      </c>
      <c r="D961" s="2" t="str">
        <f>_xlfn.XLOOKUP(B961,Master[Product_Code],Master[Brand])</f>
        <v>Max</v>
      </c>
      <c r="E961" s="2" t="str">
        <f>_xlfn.XLOOKUP(B961,Master[Product_Code],Master[Style])</f>
        <v>Casual</v>
      </c>
      <c r="F961" s="2" t="str">
        <f>_xlfn.XLOOKUP(B961,Master[Product_Code],Master[Fabric])</f>
        <v>Lycra</v>
      </c>
      <c r="G961" s="2" t="str">
        <f>_xlfn.XLOOKUP(B961,Master[Product_Code],Master[Size])</f>
        <v>XXL</v>
      </c>
      <c r="H961" s="2" t="str">
        <f>_xlfn.XLOOKUP(B961,Master[Product_Code],Master[Color])</f>
        <v>Peach</v>
      </c>
      <c r="I961" s="4">
        <f>_xlfn.XLOOKUP(B961,Master[Product_Code],Master[Stock_Qty])</f>
        <v>4</v>
      </c>
      <c r="J961" s="6">
        <f>SUMIFS(
  Sales_Entry[Qty],
  Sales_Entry[Product_Code], Stock_Table[[#This Row],[Product_Code]]
)</f>
        <v>0</v>
      </c>
      <c r="K961" s="4">
        <f>SUMIFS(
  Exchange_Return[Qty],
  Exchange_Return[Product_Code], Stock_Table[[#This Row],[Product_Code]]
)</f>
        <v>0</v>
      </c>
      <c r="L961" s="4">
        <f>I961-J961+K961</f>
        <v>4</v>
      </c>
      <c r="M961" s="2" t="str" cm="1">
        <f t="array" ref="M961">_xlfn.IFS(L961=0,"Out of Stock",L961&gt;=2,"Limited Stock",L961&lt;2,"In Stock")</f>
        <v>Limited Stock</v>
      </c>
    </row>
    <row r="962" spans="2:13">
      <c r="B962" s="2" t="s">
        <v>124</v>
      </c>
      <c r="C962" s="5" t="str">
        <f>_xlfn.XLOOKUP(B962,Master[Product_Code],Master[Category])</f>
        <v>Shirt</v>
      </c>
      <c r="D962" s="2" t="str">
        <f>_xlfn.XLOOKUP(B962,Master[Product_Code],Master[Brand])</f>
        <v>L7</v>
      </c>
      <c r="E962" s="2" t="str">
        <f>_xlfn.XLOOKUP(B962,Master[Product_Code],Master[Style])</f>
        <v>Casual</v>
      </c>
      <c r="F962" s="2" t="str">
        <f>_xlfn.XLOOKUP(B962,Master[Product_Code],Master[Fabric])</f>
        <v>Cotton Blend</v>
      </c>
      <c r="G962" s="2" t="str">
        <f>_xlfn.XLOOKUP(B962,Master[Product_Code],Master[Size])</f>
        <v>S</v>
      </c>
      <c r="H962" s="2" t="str">
        <f>_xlfn.XLOOKUP(B962,Master[Product_Code],Master[Color])</f>
        <v>Charcoal</v>
      </c>
      <c r="I962" s="4">
        <f>_xlfn.XLOOKUP(B962,Master[Product_Code],Master[Stock_Qty])</f>
        <v>5</v>
      </c>
      <c r="J962" s="6">
        <f>SUMIFS(
  Sales_Entry[Qty],
  Sales_Entry[Product_Code], Stock_Table[[#This Row],[Product_Code]]
)</f>
        <v>1</v>
      </c>
      <c r="K962" s="4">
        <f>SUMIFS(
  Exchange_Return[Qty],
  Exchange_Return[Product_Code], Stock_Table[[#This Row],[Product_Code]]
)</f>
        <v>0</v>
      </c>
      <c r="L962" s="4">
        <f>I962-J962+K962</f>
        <v>4</v>
      </c>
      <c r="M962" s="2" t="str" cm="1">
        <f t="array" ref="M962">_xlfn.IFS(L962=0,"Out of Stock",L962&gt;=2,"Limited Stock",L962&lt;2,"In Stock")</f>
        <v>Limited Stock</v>
      </c>
    </row>
    <row r="963" spans="2:13">
      <c r="B963" s="2" t="s">
        <v>125</v>
      </c>
      <c r="C963" s="5" t="str">
        <f>_xlfn.XLOOKUP(B963,Master[Product_Code],Master[Category])</f>
        <v>Shirt</v>
      </c>
      <c r="D963" s="2" t="str">
        <f>_xlfn.XLOOKUP(B963,Master[Product_Code],Master[Brand])</f>
        <v>G Studio</v>
      </c>
      <c r="E963" s="2" t="str">
        <f>_xlfn.XLOOKUP(B963,Master[Product_Code],Master[Style])</f>
        <v>Formal</v>
      </c>
      <c r="F963" s="2" t="str">
        <f>_xlfn.XLOOKUP(B963,Master[Product_Code],Master[Fabric])</f>
        <v>Cotton</v>
      </c>
      <c r="G963" s="2" t="str">
        <f>_xlfn.XLOOKUP(B963,Master[Product_Code],Master[Size])</f>
        <v>S</v>
      </c>
      <c r="H963" s="2" t="str">
        <f>_xlfn.XLOOKUP(B963,Master[Product_Code],Master[Color])</f>
        <v>Charcoal</v>
      </c>
      <c r="I963" s="4">
        <f>_xlfn.XLOOKUP(B963,Master[Product_Code],Master[Stock_Qty])</f>
        <v>6</v>
      </c>
      <c r="J963" s="6">
        <f>SUMIFS(
  Sales_Entry[Qty],
  Sales_Entry[Product_Code], Stock_Table[[#This Row],[Product_Code]]
)</f>
        <v>3</v>
      </c>
      <c r="K963" s="4">
        <f>SUMIFS(
  Exchange_Return[Qty],
  Exchange_Return[Product_Code], Stock_Table[[#This Row],[Product_Code]]
)</f>
        <v>0</v>
      </c>
      <c r="L963" s="4">
        <f>I963-J963+K963</f>
        <v>3</v>
      </c>
      <c r="M963" s="2" t="str" cm="1">
        <f t="array" ref="M963">_xlfn.IFS(L963=0,"Out of Stock",L963&gt;=2,"Limited Stock",L963&lt;2,"In Stock")</f>
        <v>Limited Stock</v>
      </c>
    </row>
    <row r="964" spans="2:13">
      <c r="B964" s="2" t="s">
        <v>126</v>
      </c>
      <c r="C964" s="5" t="str">
        <f>_xlfn.XLOOKUP(B964,Master[Product_Code],Master[Category])</f>
        <v>Shirt</v>
      </c>
      <c r="D964" s="2" t="str">
        <f>_xlfn.XLOOKUP(B964,Master[Product_Code],Master[Brand])</f>
        <v>L7</v>
      </c>
      <c r="E964" s="2" t="str">
        <f>_xlfn.XLOOKUP(B964,Master[Product_Code],Master[Style])</f>
        <v>Casual</v>
      </c>
      <c r="F964" s="2" t="str">
        <f>_xlfn.XLOOKUP(B964,Master[Product_Code],Master[Fabric])</f>
        <v>Polyester</v>
      </c>
      <c r="G964" s="2" t="str">
        <f>_xlfn.XLOOKUP(B964,Master[Product_Code],Master[Size])</f>
        <v>XXL</v>
      </c>
      <c r="H964" s="2" t="str">
        <f>_xlfn.XLOOKUP(B964,Master[Product_Code],Master[Color])</f>
        <v>Grey</v>
      </c>
      <c r="I964" s="4">
        <f>_xlfn.XLOOKUP(B964,Master[Product_Code],Master[Stock_Qty])</f>
        <v>6</v>
      </c>
      <c r="J964" s="6">
        <f>SUMIFS(
  Sales_Entry[Qty],
  Sales_Entry[Product_Code], Stock_Table[[#This Row],[Product_Code]]
)</f>
        <v>1</v>
      </c>
      <c r="K964" s="4">
        <f>SUMIFS(
  Exchange_Return[Qty],
  Exchange_Return[Product_Code], Stock_Table[[#This Row],[Product_Code]]
)</f>
        <v>0</v>
      </c>
      <c r="L964" s="4">
        <f>I964-J964+K964</f>
        <v>5</v>
      </c>
      <c r="M964" s="2" t="str" cm="1">
        <f t="array" ref="M964">_xlfn.IFS(L964=0,"Out of Stock",L964&gt;=2,"Limited Stock",L964&lt;2,"In Stock")</f>
        <v>Limited Stock</v>
      </c>
    </row>
    <row r="965" spans="2:13">
      <c r="B965" s="2" t="s">
        <v>127</v>
      </c>
      <c r="C965" s="5" t="str">
        <f>_xlfn.XLOOKUP(B965,Master[Product_Code],Master[Category])</f>
        <v>Shirt</v>
      </c>
      <c r="D965" s="2" t="str">
        <f>_xlfn.XLOOKUP(B965,Master[Product_Code],Master[Brand])</f>
        <v>Luke &amp; Burg</v>
      </c>
      <c r="E965" s="2" t="str">
        <f>_xlfn.XLOOKUP(B965,Master[Product_Code],Master[Style])</f>
        <v>Formal</v>
      </c>
      <c r="F965" s="2" t="str">
        <f>_xlfn.XLOOKUP(B965,Master[Product_Code],Master[Fabric])</f>
        <v>Lycra</v>
      </c>
      <c r="G965" s="2" t="str">
        <f>_xlfn.XLOOKUP(B965,Master[Product_Code],Master[Size])</f>
        <v>S</v>
      </c>
      <c r="H965" s="2" t="str">
        <f>_xlfn.XLOOKUP(B965,Master[Product_Code],Master[Color])</f>
        <v>Sky Blue</v>
      </c>
      <c r="I965" s="4">
        <f>_xlfn.XLOOKUP(B965,Master[Product_Code],Master[Stock_Qty])</f>
        <v>6</v>
      </c>
      <c r="J965" s="6">
        <f>SUMIFS(
  Sales_Entry[Qty],
  Sales_Entry[Product_Code], Stock_Table[[#This Row],[Product_Code]]
)</f>
        <v>2</v>
      </c>
      <c r="K965" s="4">
        <f>SUMIFS(
  Exchange_Return[Qty],
  Exchange_Return[Product_Code], Stock_Table[[#This Row],[Product_Code]]
)</f>
        <v>0</v>
      </c>
      <c r="L965" s="4">
        <f>I965-J965+K965</f>
        <v>4</v>
      </c>
      <c r="M965" s="2" t="str" cm="1">
        <f t="array" ref="M965">_xlfn.IFS(L965=0,"Out of Stock",L965&gt;=2,"Limited Stock",L965&lt;2,"In Stock")</f>
        <v>Limited Stock</v>
      </c>
    </row>
    <row r="966" spans="2:13">
      <c r="B966" s="2" t="s">
        <v>128</v>
      </c>
      <c r="C966" s="5" t="str">
        <f>_xlfn.XLOOKUP(B966,Master[Product_Code],Master[Category])</f>
        <v>Shirt</v>
      </c>
      <c r="D966" s="2" t="str">
        <f>_xlfn.XLOOKUP(B966,Master[Product_Code],Master[Brand])</f>
        <v>USD</v>
      </c>
      <c r="E966" s="2" t="str">
        <f>_xlfn.XLOOKUP(B966,Master[Product_Code],Master[Style])</f>
        <v>Partywear</v>
      </c>
      <c r="F966" s="2" t="str">
        <f>_xlfn.XLOOKUP(B966,Master[Product_Code],Master[Fabric])</f>
        <v>Polyester</v>
      </c>
      <c r="G966" s="2" t="str">
        <f>_xlfn.XLOOKUP(B966,Master[Product_Code],Master[Size])</f>
        <v>S</v>
      </c>
      <c r="H966" s="2" t="str">
        <f>_xlfn.XLOOKUP(B966,Master[Product_Code],Master[Color])</f>
        <v>Dark Green</v>
      </c>
      <c r="I966" s="4">
        <f>_xlfn.XLOOKUP(B966,Master[Product_Code],Master[Stock_Qty])</f>
        <v>4</v>
      </c>
      <c r="J966" s="6">
        <f>SUMIFS(
  Sales_Entry[Qty],
  Sales_Entry[Product_Code], Stock_Table[[#This Row],[Product_Code]]
)</f>
        <v>2</v>
      </c>
      <c r="K966" s="4">
        <f>SUMIFS(
  Exchange_Return[Qty],
  Exchange_Return[Product_Code], Stock_Table[[#This Row],[Product_Code]]
)</f>
        <v>0</v>
      </c>
      <c r="L966" s="4">
        <f>I966-J966+K966</f>
        <v>2</v>
      </c>
      <c r="M966" s="2" t="str" cm="1">
        <f t="array" ref="M966">_xlfn.IFS(L966=0,"Out of Stock",L966&gt;=2,"Limited Stock",L966&lt;2,"In Stock")</f>
        <v>Limited Stock</v>
      </c>
    </row>
    <row r="967" spans="2:13">
      <c r="B967" s="2" t="s">
        <v>129</v>
      </c>
      <c r="C967" s="5" t="str">
        <f>_xlfn.XLOOKUP(B967,Master[Product_Code],Master[Category])</f>
        <v>Shirt</v>
      </c>
      <c r="D967" s="2" t="str">
        <f>_xlfn.XLOOKUP(B967,Master[Product_Code],Master[Brand])</f>
        <v>L7</v>
      </c>
      <c r="E967" s="2" t="str">
        <f>_xlfn.XLOOKUP(B967,Master[Product_Code],Master[Style])</f>
        <v>Casual</v>
      </c>
      <c r="F967" s="2" t="str">
        <f>_xlfn.XLOOKUP(B967,Master[Product_Code],Master[Fabric])</f>
        <v>Lycra</v>
      </c>
      <c r="G967" s="2" t="str">
        <f>_xlfn.XLOOKUP(B967,Master[Product_Code],Master[Size])</f>
        <v>XL</v>
      </c>
      <c r="H967" s="2" t="str">
        <f>_xlfn.XLOOKUP(B967,Master[Product_Code],Master[Color])</f>
        <v>Wine</v>
      </c>
      <c r="I967" s="4">
        <f>_xlfn.XLOOKUP(B967,Master[Product_Code],Master[Stock_Qty])</f>
        <v>5</v>
      </c>
      <c r="J967" s="6">
        <f>SUMIFS(
  Sales_Entry[Qty],
  Sales_Entry[Product_Code], Stock_Table[[#This Row],[Product_Code]]
)</f>
        <v>4</v>
      </c>
      <c r="K967" s="4">
        <f>SUMIFS(
  Exchange_Return[Qty],
  Exchange_Return[Product_Code], Stock_Table[[#This Row],[Product_Code]]
)</f>
        <v>0</v>
      </c>
      <c r="L967" s="4">
        <f>I967-J967+K967</f>
        <v>1</v>
      </c>
      <c r="M967" s="2" t="str" cm="1">
        <f t="array" ref="M967">_xlfn.IFS(L967=0,"Out of Stock",L967&gt;=2,"Limited Stock",L967&lt;2,"In Stock")</f>
        <v>In Stock</v>
      </c>
    </row>
    <row r="968" spans="2:13">
      <c r="B968" s="2" t="s">
        <v>130</v>
      </c>
      <c r="C968" s="5" t="str">
        <f>_xlfn.XLOOKUP(B968,Master[Product_Code],Master[Category])</f>
        <v>Shirt</v>
      </c>
      <c r="D968" s="2" t="str">
        <f>_xlfn.XLOOKUP(B968,Master[Product_Code],Master[Brand])</f>
        <v>Max</v>
      </c>
      <c r="E968" s="2" t="str">
        <f>_xlfn.XLOOKUP(B968,Master[Product_Code],Master[Style])</f>
        <v>Partywear</v>
      </c>
      <c r="F968" s="2" t="str">
        <f>_xlfn.XLOOKUP(B968,Master[Product_Code],Master[Fabric])</f>
        <v>Polyester</v>
      </c>
      <c r="G968" s="2" t="str">
        <f>_xlfn.XLOOKUP(B968,Master[Product_Code],Master[Size])</f>
        <v>XXL</v>
      </c>
      <c r="H968" s="2" t="str">
        <f>_xlfn.XLOOKUP(B968,Master[Product_Code],Master[Color])</f>
        <v>Cream</v>
      </c>
      <c r="I968" s="4">
        <f>_xlfn.XLOOKUP(B968,Master[Product_Code],Master[Stock_Qty])</f>
        <v>4</v>
      </c>
      <c r="J968" s="6">
        <f>SUMIFS(
  Sales_Entry[Qty],
  Sales_Entry[Product_Code], Stock_Table[[#This Row],[Product_Code]]
)</f>
        <v>1</v>
      </c>
      <c r="K968" s="4">
        <f>SUMIFS(
  Exchange_Return[Qty],
  Exchange_Return[Product_Code], Stock_Table[[#This Row],[Product_Code]]
)</f>
        <v>0</v>
      </c>
      <c r="L968" s="4">
        <f>I968-J968+K968</f>
        <v>3</v>
      </c>
      <c r="M968" s="2" t="str" cm="1">
        <f t="array" ref="M968">_xlfn.IFS(L968=0,"Out of Stock",L968&gt;=2,"Limited Stock",L968&lt;2,"In Stock")</f>
        <v>Limited Stock</v>
      </c>
    </row>
    <row r="969" spans="2:13">
      <c r="B969" s="2" t="s">
        <v>131</v>
      </c>
      <c r="C969" s="5" t="str">
        <f>_xlfn.XLOOKUP(B969,Master[Product_Code],Master[Category])</f>
        <v>Shirt</v>
      </c>
      <c r="D969" s="2" t="str">
        <f>_xlfn.XLOOKUP(B969,Master[Product_Code],Master[Brand])</f>
        <v>Max</v>
      </c>
      <c r="E969" s="2" t="str">
        <f>_xlfn.XLOOKUP(B969,Master[Product_Code],Master[Style])</f>
        <v>Casual</v>
      </c>
      <c r="F969" s="2" t="str">
        <f>_xlfn.XLOOKUP(B969,Master[Product_Code],Master[Fabric])</f>
        <v>Cotton Blend</v>
      </c>
      <c r="G969" s="2" t="str">
        <f>_xlfn.XLOOKUP(B969,Master[Product_Code],Master[Size])</f>
        <v>M</v>
      </c>
      <c r="H969" s="2" t="str">
        <f>_xlfn.XLOOKUP(B969,Master[Product_Code],Master[Color])</f>
        <v>Beige</v>
      </c>
      <c r="I969" s="4">
        <f>_xlfn.XLOOKUP(B969,Master[Product_Code],Master[Stock_Qty])</f>
        <v>6</v>
      </c>
      <c r="J969" s="6">
        <f>SUMIFS(
  Sales_Entry[Qty],
  Sales_Entry[Product_Code], Stock_Table[[#This Row],[Product_Code]]
)</f>
        <v>0</v>
      </c>
      <c r="K969" s="4">
        <f>SUMIFS(
  Exchange_Return[Qty],
  Exchange_Return[Product_Code], Stock_Table[[#This Row],[Product_Code]]
)</f>
        <v>0</v>
      </c>
      <c r="L969" s="4">
        <f>I969-J969+K969</f>
        <v>6</v>
      </c>
      <c r="M969" s="2" t="str" cm="1">
        <f t="array" ref="M969">_xlfn.IFS(L969=0,"Out of Stock",L969&gt;=2,"Limited Stock",L969&lt;2,"In Stock")</f>
        <v>Limited Stock</v>
      </c>
    </row>
    <row r="970" spans="2:13">
      <c r="B970" s="2" t="s">
        <v>132</v>
      </c>
      <c r="C970" s="5" t="str">
        <f>_xlfn.XLOOKUP(B970,Master[Product_Code],Master[Category])</f>
        <v>Shirt</v>
      </c>
      <c r="D970" s="2" t="str">
        <f>_xlfn.XLOOKUP(B970,Master[Product_Code],Master[Brand])</f>
        <v>G Studio</v>
      </c>
      <c r="E970" s="2" t="str">
        <f>_xlfn.XLOOKUP(B970,Master[Product_Code],Master[Style])</f>
        <v>Casual</v>
      </c>
      <c r="F970" s="2" t="str">
        <f>_xlfn.XLOOKUP(B970,Master[Product_Code],Master[Fabric])</f>
        <v>Polyester</v>
      </c>
      <c r="G970" s="2" t="str">
        <f>_xlfn.XLOOKUP(B970,Master[Product_Code],Master[Size])</f>
        <v>S</v>
      </c>
      <c r="H970" s="2" t="str">
        <f>_xlfn.XLOOKUP(B970,Master[Product_Code],Master[Color])</f>
        <v>Brown</v>
      </c>
      <c r="I970" s="4">
        <f>_xlfn.XLOOKUP(B970,Master[Product_Code],Master[Stock_Qty])</f>
        <v>4</v>
      </c>
      <c r="J970" s="6">
        <f>SUMIFS(
  Sales_Entry[Qty],
  Sales_Entry[Product_Code], Stock_Table[[#This Row],[Product_Code]]
)</f>
        <v>1</v>
      </c>
      <c r="K970" s="4">
        <f>SUMIFS(
  Exchange_Return[Qty],
  Exchange_Return[Product_Code], Stock_Table[[#This Row],[Product_Code]]
)</f>
        <v>0</v>
      </c>
      <c r="L970" s="4">
        <f>I970-J970+K970</f>
        <v>3</v>
      </c>
      <c r="M970" s="2" t="str" cm="1">
        <f t="array" ref="M970">_xlfn.IFS(L970=0,"Out of Stock",L970&gt;=2,"Limited Stock",L970&lt;2,"In Stock")</f>
        <v>Limited Stock</v>
      </c>
    </row>
    <row r="971" spans="2:13">
      <c r="B971" s="2" t="s">
        <v>133</v>
      </c>
      <c r="C971" s="5" t="str">
        <f>_xlfn.XLOOKUP(B971,Master[Product_Code],Master[Category])</f>
        <v>Shirt</v>
      </c>
      <c r="D971" s="2" t="str">
        <f>_xlfn.XLOOKUP(B971,Master[Product_Code],Master[Brand])</f>
        <v>British</v>
      </c>
      <c r="E971" s="2" t="str">
        <f>_xlfn.XLOOKUP(B971,Master[Product_Code],Master[Style])</f>
        <v>Casual</v>
      </c>
      <c r="F971" s="2" t="str">
        <f>_xlfn.XLOOKUP(B971,Master[Product_Code],Master[Fabric])</f>
        <v>Cotton</v>
      </c>
      <c r="G971" s="2" t="str">
        <f>_xlfn.XLOOKUP(B971,Master[Product_Code],Master[Size])</f>
        <v>M</v>
      </c>
      <c r="H971" s="2" t="str">
        <f>_xlfn.XLOOKUP(B971,Master[Product_Code],Master[Color])</f>
        <v>Maroon</v>
      </c>
      <c r="I971" s="4">
        <f>_xlfn.XLOOKUP(B971,Master[Product_Code],Master[Stock_Qty])</f>
        <v>4</v>
      </c>
      <c r="J971" s="6">
        <f>SUMIFS(
  Sales_Entry[Qty],
  Sales_Entry[Product_Code], Stock_Table[[#This Row],[Product_Code]]
)</f>
        <v>2</v>
      </c>
      <c r="K971" s="4">
        <f>SUMIFS(
  Exchange_Return[Qty],
  Exchange_Return[Product_Code], Stock_Table[[#This Row],[Product_Code]]
)</f>
        <v>0</v>
      </c>
      <c r="L971" s="4">
        <f>I971-J971+K971</f>
        <v>2</v>
      </c>
      <c r="M971" s="2" t="str" cm="1">
        <f t="array" ref="M971">_xlfn.IFS(L971=0,"Out of Stock",L971&gt;=2,"Limited Stock",L971&lt;2,"In Stock")</f>
        <v>Limited Stock</v>
      </c>
    </row>
    <row r="972" spans="2:13">
      <c r="B972" s="2" t="s">
        <v>134</v>
      </c>
      <c r="C972" s="5" t="str">
        <f>_xlfn.XLOOKUP(B972,Master[Product_Code],Master[Category])</f>
        <v>Shirt</v>
      </c>
      <c r="D972" s="2" t="str">
        <f>_xlfn.XLOOKUP(B972,Master[Product_Code],Master[Brand])</f>
        <v>USD</v>
      </c>
      <c r="E972" s="2" t="str">
        <f>_xlfn.XLOOKUP(B972,Master[Product_Code],Master[Style])</f>
        <v>Partywear</v>
      </c>
      <c r="F972" s="2" t="str">
        <f>_xlfn.XLOOKUP(B972,Master[Product_Code],Master[Fabric])</f>
        <v>Lycra</v>
      </c>
      <c r="G972" s="2" t="str">
        <f>_xlfn.XLOOKUP(B972,Master[Product_Code],Master[Size])</f>
        <v>S</v>
      </c>
      <c r="H972" s="2" t="str">
        <f>_xlfn.XLOOKUP(B972,Master[Product_Code],Master[Color])</f>
        <v>Bottle Green</v>
      </c>
      <c r="I972" s="4">
        <f>_xlfn.XLOOKUP(B972,Master[Product_Code],Master[Stock_Qty])</f>
        <v>6</v>
      </c>
      <c r="J972" s="6">
        <f>SUMIFS(
  Sales_Entry[Qty],
  Sales_Entry[Product_Code], Stock_Table[[#This Row],[Product_Code]]
)</f>
        <v>2</v>
      </c>
      <c r="K972" s="4">
        <f>SUMIFS(
  Exchange_Return[Qty],
  Exchange_Return[Product_Code], Stock_Table[[#This Row],[Product_Code]]
)</f>
        <v>0</v>
      </c>
      <c r="L972" s="4">
        <f>I972-J972+K972</f>
        <v>4</v>
      </c>
      <c r="M972" s="2" t="str" cm="1">
        <f t="array" ref="M972">_xlfn.IFS(L972=0,"Out of Stock",L972&gt;=2,"Limited Stock",L972&lt;2,"In Stock")</f>
        <v>Limited Stock</v>
      </c>
    </row>
    <row r="973" spans="2:13">
      <c r="B973" s="2" t="s">
        <v>135</v>
      </c>
      <c r="C973" s="5" t="str">
        <f>_xlfn.XLOOKUP(B973,Master[Product_Code],Master[Category])</f>
        <v>Shirt</v>
      </c>
      <c r="D973" s="2" t="str">
        <f>_xlfn.XLOOKUP(B973,Master[Product_Code],Master[Brand])</f>
        <v>H&amp;M</v>
      </c>
      <c r="E973" s="2" t="str">
        <f>_xlfn.XLOOKUP(B973,Master[Product_Code],Master[Style])</f>
        <v>Casual</v>
      </c>
      <c r="F973" s="2" t="str">
        <f>_xlfn.XLOOKUP(B973,Master[Product_Code],Master[Fabric])</f>
        <v>Polyester</v>
      </c>
      <c r="G973" s="2" t="str">
        <f>_xlfn.XLOOKUP(B973,Master[Product_Code],Master[Size])</f>
        <v>S</v>
      </c>
      <c r="H973" s="2" t="str">
        <f>_xlfn.XLOOKUP(B973,Master[Product_Code],Master[Color])</f>
        <v>Grey</v>
      </c>
      <c r="I973" s="4">
        <f>_xlfn.XLOOKUP(B973,Master[Product_Code],Master[Stock_Qty])</f>
        <v>6</v>
      </c>
      <c r="J973" s="6">
        <f>SUMIFS(
  Sales_Entry[Qty],
  Sales_Entry[Product_Code], Stock_Table[[#This Row],[Product_Code]]
)</f>
        <v>2</v>
      </c>
      <c r="K973" s="4">
        <f>SUMIFS(
  Exchange_Return[Qty],
  Exchange_Return[Product_Code], Stock_Table[[#This Row],[Product_Code]]
)</f>
        <v>0</v>
      </c>
      <c r="L973" s="4">
        <f>I973-J973+K973</f>
        <v>4</v>
      </c>
      <c r="M973" s="2" t="str" cm="1">
        <f t="array" ref="M973">_xlfn.IFS(L973=0,"Out of Stock",L973&gt;=2,"Limited Stock",L973&lt;2,"In Stock")</f>
        <v>Limited Stock</v>
      </c>
    </row>
    <row r="974" spans="2:13">
      <c r="B974" s="2" t="s">
        <v>136</v>
      </c>
      <c r="C974" s="5" t="str">
        <f>_xlfn.XLOOKUP(B974,Master[Product_Code],Master[Category])</f>
        <v>Shirt</v>
      </c>
      <c r="D974" s="2" t="str">
        <f>_xlfn.XLOOKUP(B974,Master[Product_Code],Master[Brand])</f>
        <v>Zara</v>
      </c>
      <c r="E974" s="2" t="str">
        <f>_xlfn.XLOOKUP(B974,Master[Product_Code],Master[Style])</f>
        <v>Partywear</v>
      </c>
      <c r="F974" s="2" t="str">
        <f>_xlfn.XLOOKUP(B974,Master[Product_Code],Master[Fabric])</f>
        <v>Polyester</v>
      </c>
      <c r="G974" s="2" t="str">
        <f>_xlfn.XLOOKUP(B974,Master[Product_Code],Master[Size])</f>
        <v>XL</v>
      </c>
      <c r="H974" s="2" t="str">
        <f>_xlfn.XLOOKUP(B974,Master[Product_Code],Master[Color])</f>
        <v>Black</v>
      </c>
      <c r="I974" s="4">
        <f>_xlfn.XLOOKUP(B974,Master[Product_Code],Master[Stock_Qty])</f>
        <v>5</v>
      </c>
      <c r="J974" s="6">
        <f>SUMIFS(
  Sales_Entry[Qty],
  Sales_Entry[Product_Code], Stock_Table[[#This Row],[Product_Code]]
)</f>
        <v>2</v>
      </c>
      <c r="K974" s="4">
        <f>SUMIFS(
  Exchange_Return[Qty],
  Exchange_Return[Product_Code], Stock_Table[[#This Row],[Product_Code]]
)</f>
        <v>0</v>
      </c>
      <c r="L974" s="4">
        <f>I974-J974+K974</f>
        <v>3</v>
      </c>
      <c r="M974" s="2" t="str" cm="1">
        <f t="array" ref="M974">_xlfn.IFS(L974=0,"Out of Stock",L974&gt;=2,"Limited Stock",L974&lt;2,"In Stock")</f>
        <v>Limited Stock</v>
      </c>
    </row>
    <row r="975" spans="2:13">
      <c r="B975" s="2" t="s">
        <v>137</v>
      </c>
      <c r="C975" s="5" t="str">
        <f>_xlfn.XLOOKUP(B975,Master[Product_Code],Master[Category])</f>
        <v>Shirt</v>
      </c>
      <c r="D975" s="2" t="str">
        <f>_xlfn.XLOOKUP(B975,Master[Product_Code],Master[Brand])</f>
        <v>Luke &amp; Burg</v>
      </c>
      <c r="E975" s="2" t="str">
        <f>_xlfn.XLOOKUP(B975,Master[Product_Code],Master[Style])</f>
        <v>Casual</v>
      </c>
      <c r="F975" s="2" t="str">
        <f>_xlfn.XLOOKUP(B975,Master[Product_Code],Master[Fabric])</f>
        <v>Lycra</v>
      </c>
      <c r="G975" s="2" t="str">
        <f>_xlfn.XLOOKUP(B975,Master[Product_Code],Master[Size])</f>
        <v>XL</v>
      </c>
      <c r="H975" s="2" t="str">
        <f>_xlfn.XLOOKUP(B975,Master[Product_Code],Master[Color])</f>
        <v>Charcoal</v>
      </c>
      <c r="I975" s="4">
        <f>_xlfn.XLOOKUP(B975,Master[Product_Code],Master[Stock_Qty])</f>
        <v>5</v>
      </c>
      <c r="J975" s="6">
        <f>SUMIFS(
  Sales_Entry[Qty],
  Sales_Entry[Product_Code], Stock_Table[[#This Row],[Product_Code]]
)</f>
        <v>0</v>
      </c>
      <c r="K975" s="4">
        <f>SUMIFS(
  Exchange_Return[Qty],
  Exchange_Return[Product_Code], Stock_Table[[#This Row],[Product_Code]]
)</f>
        <v>0</v>
      </c>
      <c r="L975" s="4">
        <f>I975-J975+K975</f>
        <v>5</v>
      </c>
      <c r="M975" s="2" t="str" cm="1">
        <f t="array" ref="M975">_xlfn.IFS(L975=0,"Out of Stock",L975&gt;=2,"Limited Stock",L975&lt;2,"In Stock")</f>
        <v>Limited Stock</v>
      </c>
    </row>
    <row r="976" spans="2:13">
      <c r="B976" s="2" t="s">
        <v>138</v>
      </c>
      <c r="C976" s="5" t="str">
        <f>_xlfn.XLOOKUP(B976,Master[Product_Code],Master[Category])</f>
        <v>Shirt</v>
      </c>
      <c r="D976" s="2" t="str">
        <f>_xlfn.XLOOKUP(B976,Master[Product_Code],Master[Brand])</f>
        <v>Max</v>
      </c>
      <c r="E976" s="2" t="str">
        <f>_xlfn.XLOOKUP(B976,Master[Product_Code],Master[Style])</f>
        <v>Formal</v>
      </c>
      <c r="F976" s="2" t="str">
        <f>_xlfn.XLOOKUP(B976,Master[Product_Code],Master[Fabric])</f>
        <v>Polyester</v>
      </c>
      <c r="G976" s="2" t="str">
        <f>_xlfn.XLOOKUP(B976,Master[Product_Code],Master[Size])</f>
        <v>L</v>
      </c>
      <c r="H976" s="2" t="str">
        <f>_xlfn.XLOOKUP(B976,Master[Product_Code],Master[Color])</f>
        <v>Rust</v>
      </c>
      <c r="I976" s="4">
        <f>_xlfn.XLOOKUP(B976,Master[Product_Code],Master[Stock_Qty])</f>
        <v>4</v>
      </c>
      <c r="J976" s="6">
        <f>SUMIFS(
  Sales_Entry[Qty],
  Sales_Entry[Product_Code], Stock_Table[[#This Row],[Product_Code]]
)</f>
        <v>1</v>
      </c>
      <c r="K976" s="4">
        <f>SUMIFS(
  Exchange_Return[Qty],
  Exchange_Return[Product_Code], Stock_Table[[#This Row],[Product_Code]]
)</f>
        <v>0</v>
      </c>
      <c r="L976" s="4">
        <f>I976-J976+K976</f>
        <v>3</v>
      </c>
      <c r="M976" s="2" t="str" cm="1">
        <f t="array" ref="M976">_xlfn.IFS(L976=0,"Out of Stock",L976&gt;=2,"Limited Stock",L976&lt;2,"In Stock")</f>
        <v>Limited Stock</v>
      </c>
    </row>
    <row r="977" spans="2:13">
      <c r="B977" s="2" t="s">
        <v>139</v>
      </c>
      <c r="C977" s="5" t="str">
        <f>_xlfn.XLOOKUP(B977,Master[Product_Code],Master[Category])</f>
        <v>Shirt</v>
      </c>
      <c r="D977" s="2" t="str">
        <f>_xlfn.XLOOKUP(B977,Master[Product_Code],Master[Brand])</f>
        <v>Max</v>
      </c>
      <c r="E977" s="2" t="str">
        <f>_xlfn.XLOOKUP(B977,Master[Product_Code],Master[Style])</f>
        <v>Formal</v>
      </c>
      <c r="F977" s="2" t="str">
        <f>_xlfn.XLOOKUP(B977,Master[Product_Code],Master[Fabric])</f>
        <v>Cotton</v>
      </c>
      <c r="G977" s="2" t="str">
        <f>_xlfn.XLOOKUP(B977,Master[Product_Code],Master[Size])</f>
        <v>XL</v>
      </c>
      <c r="H977" s="2" t="str">
        <f>_xlfn.XLOOKUP(B977,Master[Product_Code],Master[Color])</f>
        <v>Light Grey</v>
      </c>
      <c r="I977" s="4">
        <f>_xlfn.XLOOKUP(B977,Master[Product_Code],Master[Stock_Qty])</f>
        <v>3</v>
      </c>
      <c r="J977" s="6">
        <f>SUMIFS(
  Sales_Entry[Qty],
  Sales_Entry[Product_Code], Stock_Table[[#This Row],[Product_Code]]
)</f>
        <v>0</v>
      </c>
      <c r="K977" s="4">
        <f>SUMIFS(
  Exchange_Return[Qty],
  Exchange_Return[Product_Code], Stock_Table[[#This Row],[Product_Code]]
)</f>
        <v>0</v>
      </c>
      <c r="L977" s="4">
        <f>I977-J977+K977</f>
        <v>3</v>
      </c>
      <c r="M977" s="2" t="str" cm="1">
        <f t="array" ref="M977">_xlfn.IFS(L977=0,"Out of Stock",L977&gt;=2,"Limited Stock",L977&lt;2,"In Stock")</f>
        <v>Limited Stock</v>
      </c>
    </row>
    <row r="978" spans="2:13">
      <c r="B978" s="2" t="s">
        <v>140</v>
      </c>
      <c r="C978" s="5" t="str">
        <f>_xlfn.XLOOKUP(B978,Master[Product_Code],Master[Category])</f>
        <v>Shirt</v>
      </c>
      <c r="D978" s="2" t="str">
        <f>_xlfn.XLOOKUP(B978,Master[Product_Code],Master[Brand])</f>
        <v>Luke &amp; Burg</v>
      </c>
      <c r="E978" s="2" t="str">
        <f>_xlfn.XLOOKUP(B978,Master[Product_Code],Master[Style])</f>
        <v>Formal</v>
      </c>
      <c r="F978" s="2" t="str">
        <f>_xlfn.XLOOKUP(B978,Master[Product_Code],Master[Fabric])</f>
        <v>Polyester</v>
      </c>
      <c r="G978" s="2" t="str">
        <f>_xlfn.XLOOKUP(B978,Master[Product_Code],Master[Size])</f>
        <v>M</v>
      </c>
      <c r="H978" s="2" t="str">
        <f>_xlfn.XLOOKUP(B978,Master[Product_Code],Master[Color])</f>
        <v>White</v>
      </c>
      <c r="I978" s="4">
        <f>_xlfn.XLOOKUP(B978,Master[Product_Code],Master[Stock_Qty])</f>
        <v>5</v>
      </c>
      <c r="J978" s="6">
        <f>SUMIFS(
  Sales_Entry[Qty],
  Sales_Entry[Product_Code], Stock_Table[[#This Row],[Product_Code]]
)</f>
        <v>5</v>
      </c>
      <c r="K978" s="4">
        <f>SUMIFS(
  Exchange_Return[Qty],
  Exchange_Return[Product_Code], Stock_Table[[#This Row],[Product_Code]]
)</f>
        <v>0</v>
      </c>
      <c r="L978" s="4">
        <f>I978-J978+K978</f>
        <v>0</v>
      </c>
      <c r="M978" s="2" t="str" cm="1">
        <f t="array" ref="M978">_xlfn.IFS(L978=0,"Out of Stock",L978&gt;=2,"Limited Stock",L978&lt;2,"In Stock")</f>
        <v>Out of Stock</v>
      </c>
    </row>
    <row r="979" spans="2:13">
      <c r="B979" s="2" t="s">
        <v>141</v>
      </c>
      <c r="C979" s="5" t="str">
        <f>_xlfn.XLOOKUP(B979,Master[Product_Code],Master[Category])</f>
        <v>Shirt</v>
      </c>
      <c r="D979" s="2" t="str">
        <f>_xlfn.XLOOKUP(B979,Master[Product_Code],Master[Brand])</f>
        <v>British</v>
      </c>
      <c r="E979" s="2" t="str">
        <f>_xlfn.XLOOKUP(B979,Master[Product_Code],Master[Style])</f>
        <v>Formal</v>
      </c>
      <c r="F979" s="2" t="str">
        <f>_xlfn.XLOOKUP(B979,Master[Product_Code],Master[Fabric])</f>
        <v>Polyester</v>
      </c>
      <c r="G979" s="2" t="str">
        <f>_xlfn.XLOOKUP(B979,Master[Product_Code],Master[Size])</f>
        <v>L</v>
      </c>
      <c r="H979" s="2" t="str">
        <f>_xlfn.XLOOKUP(B979,Master[Product_Code],Master[Color])</f>
        <v>Mustard</v>
      </c>
      <c r="I979" s="4">
        <f>_xlfn.XLOOKUP(B979,Master[Product_Code],Master[Stock_Qty])</f>
        <v>6</v>
      </c>
      <c r="J979" s="6">
        <f>SUMIFS(
  Sales_Entry[Qty],
  Sales_Entry[Product_Code], Stock_Table[[#This Row],[Product_Code]]
)</f>
        <v>0</v>
      </c>
      <c r="K979" s="4">
        <f>SUMIFS(
  Exchange_Return[Qty],
  Exchange_Return[Product_Code], Stock_Table[[#This Row],[Product_Code]]
)</f>
        <v>0</v>
      </c>
      <c r="L979" s="4">
        <f>I979-J979+K979</f>
        <v>6</v>
      </c>
      <c r="M979" s="2" t="str" cm="1">
        <f t="array" ref="M979">_xlfn.IFS(L979=0,"Out of Stock",L979&gt;=2,"Limited Stock",L979&lt;2,"In Stock")</f>
        <v>Limited Stock</v>
      </c>
    </row>
    <row r="980" spans="2:13">
      <c r="B980" s="2" t="s">
        <v>142</v>
      </c>
      <c r="C980" s="5" t="str">
        <f>_xlfn.XLOOKUP(B980,Master[Product_Code],Master[Category])</f>
        <v>Shirt</v>
      </c>
      <c r="D980" s="2" t="str">
        <f>_xlfn.XLOOKUP(B980,Master[Product_Code],Master[Brand])</f>
        <v>Luke &amp; Burg</v>
      </c>
      <c r="E980" s="2" t="str">
        <f>_xlfn.XLOOKUP(B980,Master[Product_Code],Master[Style])</f>
        <v>Casual</v>
      </c>
      <c r="F980" s="2" t="str">
        <f>_xlfn.XLOOKUP(B980,Master[Product_Code],Master[Fabric])</f>
        <v>Cotton</v>
      </c>
      <c r="G980" s="2" t="str">
        <f>_xlfn.XLOOKUP(B980,Master[Product_Code],Master[Size])</f>
        <v>XL</v>
      </c>
      <c r="H980" s="2" t="str">
        <f>_xlfn.XLOOKUP(B980,Master[Product_Code],Master[Color])</f>
        <v>Black</v>
      </c>
      <c r="I980" s="4">
        <f>_xlfn.XLOOKUP(B980,Master[Product_Code],Master[Stock_Qty])</f>
        <v>3</v>
      </c>
      <c r="J980" s="6">
        <f>SUMIFS(
  Sales_Entry[Qty],
  Sales_Entry[Product_Code], Stock_Table[[#This Row],[Product_Code]]
)</f>
        <v>2</v>
      </c>
      <c r="K980" s="4">
        <f>SUMIFS(
  Exchange_Return[Qty],
  Exchange_Return[Product_Code], Stock_Table[[#This Row],[Product_Code]]
)</f>
        <v>0</v>
      </c>
      <c r="L980" s="4">
        <f>I980-J980+K980</f>
        <v>1</v>
      </c>
      <c r="M980" s="2" t="str" cm="1">
        <f t="array" ref="M980">_xlfn.IFS(L980=0,"Out of Stock",L980&gt;=2,"Limited Stock",L980&lt;2,"In Stock")</f>
        <v>In Stock</v>
      </c>
    </row>
    <row r="981" spans="2:13">
      <c r="B981" s="2" t="s">
        <v>143</v>
      </c>
      <c r="C981" s="5" t="str">
        <f>_xlfn.XLOOKUP(B981,Master[Product_Code],Master[Category])</f>
        <v>Shirt</v>
      </c>
      <c r="D981" s="2" t="str">
        <f>_xlfn.XLOOKUP(B981,Master[Product_Code],Master[Brand])</f>
        <v>G Studio</v>
      </c>
      <c r="E981" s="2" t="str">
        <f>_xlfn.XLOOKUP(B981,Master[Product_Code],Master[Style])</f>
        <v>Partywear</v>
      </c>
      <c r="F981" s="2" t="str">
        <f>_xlfn.XLOOKUP(B981,Master[Product_Code],Master[Fabric])</f>
        <v>Cotton</v>
      </c>
      <c r="G981" s="2" t="str">
        <f>_xlfn.XLOOKUP(B981,Master[Product_Code],Master[Size])</f>
        <v>S</v>
      </c>
      <c r="H981" s="2" t="str">
        <f>_xlfn.XLOOKUP(B981,Master[Product_Code],Master[Color])</f>
        <v>Black</v>
      </c>
      <c r="I981" s="4">
        <f>_xlfn.XLOOKUP(B981,Master[Product_Code],Master[Stock_Qty])</f>
        <v>4</v>
      </c>
      <c r="J981" s="6">
        <f>SUMIFS(
  Sales_Entry[Qty],
  Sales_Entry[Product_Code], Stock_Table[[#This Row],[Product_Code]]
)</f>
        <v>1</v>
      </c>
      <c r="K981" s="4">
        <f>SUMIFS(
  Exchange_Return[Qty],
  Exchange_Return[Product_Code], Stock_Table[[#This Row],[Product_Code]]
)</f>
        <v>0</v>
      </c>
      <c r="L981" s="4">
        <f>I981-J981+K981</f>
        <v>3</v>
      </c>
      <c r="M981" s="2" t="str" cm="1">
        <f t="array" ref="M981">_xlfn.IFS(L981=0,"Out of Stock",L981&gt;=2,"Limited Stock",L981&lt;2,"In Stock")</f>
        <v>Limited Stock</v>
      </c>
    </row>
    <row r="982" spans="2:13">
      <c r="B982" s="2" t="s">
        <v>144</v>
      </c>
      <c r="C982" s="5" t="str">
        <f>_xlfn.XLOOKUP(B982,Master[Product_Code],Master[Category])</f>
        <v>Shirt</v>
      </c>
      <c r="D982" s="2" t="str">
        <f>_xlfn.XLOOKUP(B982,Master[Product_Code],Master[Brand])</f>
        <v>Zara</v>
      </c>
      <c r="E982" s="2" t="str">
        <f>_xlfn.XLOOKUP(B982,Master[Product_Code],Master[Style])</f>
        <v>Partywear</v>
      </c>
      <c r="F982" s="2" t="str">
        <f>_xlfn.XLOOKUP(B982,Master[Product_Code],Master[Fabric])</f>
        <v>Lycra</v>
      </c>
      <c r="G982" s="2" t="str">
        <f>_xlfn.XLOOKUP(B982,Master[Product_Code],Master[Size])</f>
        <v>M</v>
      </c>
      <c r="H982" s="2" t="str">
        <f>_xlfn.XLOOKUP(B982,Master[Product_Code],Master[Color])</f>
        <v>Maroon</v>
      </c>
      <c r="I982" s="4">
        <f>_xlfn.XLOOKUP(B982,Master[Product_Code],Master[Stock_Qty])</f>
        <v>6</v>
      </c>
      <c r="J982" s="6">
        <f>SUMIFS(
  Sales_Entry[Qty],
  Sales_Entry[Product_Code], Stock_Table[[#This Row],[Product_Code]]
)</f>
        <v>6</v>
      </c>
      <c r="K982" s="4">
        <f>SUMIFS(
  Exchange_Return[Qty],
  Exchange_Return[Product_Code], Stock_Table[[#This Row],[Product_Code]]
)</f>
        <v>0</v>
      </c>
      <c r="L982" s="4">
        <f>I982-J982+K982</f>
        <v>0</v>
      </c>
      <c r="M982" s="2" t="str" cm="1">
        <f t="array" ref="M982">_xlfn.IFS(L982=0,"Out of Stock",L982&gt;=2,"Limited Stock",L982&lt;2,"In Stock")</f>
        <v>Out of Stock</v>
      </c>
    </row>
    <row r="983" spans="2:13">
      <c r="B983" s="2" t="s">
        <v>145</v>
      </c>
      <c r="C983" s="5" t="str">
        <f>_xlfn.XLOOKUP(B983,Master[Product_Code],Master[Category])</f>
        <v>Shirt</v>
      </c>
      <c r="D983" s="2" t="str">
        <f>_xlfn.XLOOKUP(B983,Master[Product_Code],Master[Brand])</f>
        <v>L7</v>
      </c>
      <c r="E983" s="2" t="str">
        <f>_xlfn.XLOOKUP(B983,Master[Product_Code],Master[Style])</f>
        <v>Partywear</v>
      </c>
      <c r="F983" s="2" t="str">
        <f>_xlfn.XLOOKUP(B983,Master[Product_Code],Master[Fabric])</f>
        <v>Lycra</v>
      </c>
      <c r="G983" s="2" t="str">
        <f>_xlfn.XLOOKUP(B983,Master[Product_Code],Master[Size])</f>
        <v>XL</v>
      </c>
      <c r="H983" s="2" t="str">
        <f>_xlfn.XLOOKUP(B983,Master[Product_Code],Master[Color])</f>
        <v>Beige</v>
      </c>
      <c r="I983" s="4">
        <f>_xlfn.XLOOKUP(B983,Master[Product_Code],Master[Stock_Qty])</f>
        <v>5</v>
      </c>
      <c r="J983" s="6">
        <f>SUMIFS(
  Sales_Entry[Qty],
  Sales_Entry[Product_Code], Stock_Table[[#This Row],[Product_Code]]
)</f>
        <v>1</v>
      </c>
      <c r="K983" s="4">
        <f>SUMIFS(
  Exchange_Return[Qty],
  Exchange_Return[Product_Code], Stock_Table[[#This Row],[Product_Code]]
)</f>
        <v>0</v>
      </c>
      <c r="L983" s="4">
        <f>I983-J983+K983</f>
        <v>4</v>
      </c>
      <c r="M983" s="2" t="str" cm="1">
        <f t="array" ref="M983">_xlfn.IFS(L983=0,"Out of Stock",L983&gt;=2,"Limited Stock",L983&lt;2,"In Stock")</f>
        <v>Limited Stock</v>
      </c>
    </row>
    <row r="984" spans="2:13">
      <c r="B984" s="2" t="s">
        <v>146</v>
      </c>
      <c r="C984" s="5" t="str">
        <f>_xlfn.XLOOKUP(B984,Master[Product_Code],Master[Category])</f>
        <v>Shirt</v>
      </c>
      <c r="D984" s="2" t="str">
        <f>_xlfn.XLOOKUP(B984,Master[Product_Code],Master[Brand])</f>
        <v>L7</v>
      </c>
      <c r="E984" s="2" t="str">
        <f>_xlfn.XLOOKUP(B984,Master[Product_Code],Master[Style])</f>
        <v>Formal</v>
      </c>
      <c r="F984" s="2" t="str">
        <f>_xlfn.XLOOKUP(B984,Master[Product_Code],Master[Fabric])</f>
        <v>Cotton Blend</v>
      </c>
      <c r="G984" s="2" t="str">
        <f>_xlfn.XLOOKUP(B984,Master[Product_Code],Master[Size])</f>
        <v>S</v>
      </c>
      <c r="H984" s="2" t="str">
        <f>_xlfn.XLOOKUP(B984,Master[Product_Code],Master[Color])</f>
        <v>Light Grey</v>
      </c>
      <c r="I984" s="4">
        <f>_xlfn.XLOOKUP(B984,Master[Product_Code],Master[Stock_Qty])</f>
        <v>3</v>
      </c>
      <c r="J984" s="6">
        <f>SUMIFS(
  Sales_Entry[Qty],
  Sales_Entry[Product_Code], Stock_Table[[#This Row],[Product_Code]]
)</f>
        <v>3</v>
      </c>
      <c r="K984" s="4">
        <f>SUMIFS(
  Exchange_Return[Qty],
  Exchange_Return[Product_Code], Stock_Table[[#This Row],[Product_Code]]
)</f>
        <v>0</v>
      </c>
      <c r="L984" s="4">
        <f>I984-J984+K984</f>
        <v>0</v>
      </c>
      <c r="M984" s="2" t="str" cm="1">
        <f t="array" ref="M984">_xlfn.IFS(L984=0,"Out of Stock",L984&gt;=2,"Limited Stock",L984&lt;2,"In Stock")</f>
        <v>Out of Stock</v>
      </c>
    </row>
    <row r="985" spans="2:13">
      <c r="B985" s="2" t="s">
        <v>147</v>
      </c>
      <c r="C985" s="5" t="str">
        <f>_xlfn.XLOOKUP(B985,Master[Product_Code],Master[Category])</f>
        <v>Shirt</v>
      </c>
      <c r="D985" s="2" t="str">
        <f>_xlfn.XLOOKUP(B985,Master[Product_Code],Master[Brand])</f>
        <v>Luke &amp; Burg</v>
      </c>
      <c r="E985" s="2" t="str">
        <f>_xlfn.XLOOKUP(B985,Master[Product_Code],Master[Style])</f>
        <v>Casual</v>
      </c>
      <c r="F985" s="2" t="str">
        <f>_xlfn.XLOOKUP(B985,Master[Product_Code],Master[Fabric])</f>
        <v>Lycra</v>
      </c>
      <c r="G985" s="2" t="str">
        <f>_xlfn.XLOOKUP(B985,Master[Product_Code],Master[Size])</f>
        <v>S</v>
      </c>
      <c r="H985" s="2" t="str">
        <f>_xlfn.XLOOKUP(B985,Master[Product_Code],Master[Color])</f>
        <v>Light Grey</v>
      </c>
      <c r="I985" s="4">
        <f>_xlfn.XLOOKUP(B985,Master[Product_Code],Master[Stock_Qty])</f>
        <v>4</v>
      </c>
      <c r="J985" s="6">
        <f>SUMIFS(
  Sales_Entry[Qty],
  Sales_Entry[Product_Code], Stock_Table[[#This Row],[Product_Code]]
)</f>
        <v>3</v>
      </c>
      <c r="K985" s="4">
        <f>SUMIFS(
  Exchange_Return[Qty],
  Exchange_Return[Product_Code], Stock_Table[[#This Row],[Product_Code]]
)</f>
        <v>0</v>
      </c>
      <c r="L985" s="4">
        <f>I985-J985+K985</f>
        <v>1</v>
      </c>
      <c r="M985" s="2" t="str" cm="1">
        <f t="array" ref="M985">_xlfn.IFS(L985=0,"Out of Stock",L985&gt;=2,"Limited Stock",L985&lt;2,"In Stock")</f>
        <v>In Stock</v>
      </c>
    </row>
    <row r="986" spans="2:13">
      <c r="B986" s="2" t="s">
        <v>148</v>
      </c>
      <c r="C986" s="5" t="str">
        <f>_xlfn.XLOOKUP(B986,Master[Product_Code],Master[Category])</f>
        <v>Shirt</v>
      </c>
      <c r="D986" s="2" t="str">
        <f>_xlfn.XLOOKUP(B986,Master[Product_Code],Master[Brand])</f>
        <v>Thailand</v>
      </c>
      <c r="E986" s="2" t="str">
        <f>_xlfn.XLOOKUP(B986,Master[Product_Code],Master[Style])</f>
        <v>Partywear</v>
      </c>
      <c r="F986" s="2" t="str">
        <f>_xlfn.XLOOKUP(B986,Master[Product_Code],Master[Fabric])</f>
        <v>Cotton</v>
      </c>
      <c r="G986" s="2" t="str">
        <f>_xlfn.XLOOKUP(B986,Master[Product_Code],Master[Size])</f>
        <v>XXL</v>
      </c>
      <c r="H986" s="2" t="str">
        <f>_xlfn.XLOOKUP(B986,Master[Product_Code],Master[Color])</f>
        <v>White</v>
      </c>
      <c r="I986" s="4">
        <f>_xlfn.XLOOKUP(B986,Master[Product_Code],Master[Stock_Qty])</f>
        <v>5</v>
      </c>
      <c r="J986" s="6">
        <f>SUMIFS(
  Sales_Entry[Qty],
  Sales_Entry[Product_Code], Stock_Table[[#This Row],[Product_Code]]
)</f>
        <v>2</v>
      </c>
      <c r="K986" s="4">
        <f>SUMIFS(
  Exchange_Return[Qty],
  Exchange_Return[Product_Code], Stock_Table[[#This Row],[Product_Code]]
)</f>
        <v>0</v>
      </c>
      <c r="L986" s="4">
        <f>I986-J986+K986</f>
        <v>3</v>
      </c>
      <c r="M986" s="2" t="str" cm="1">
        <f t="array" ref="M986">_xlfn.IFS(L986=0,"Out of Stock",L986&gt;=2,"Limited Stock",L986&lt;2,"In Stock")</f>
        <v>Limited Stock</v>
      </c>
    </row>
    <row r="987" spans="2:13">
      <c r="B987" s="2" t="s">
        <v>149</v>
      </c>
      <c r="C987" s="5" t="str">
        <f>_xlfn.XLOOKUP(B987,Master[Product_Code],Master[Category])</f>
        <v>Shirt</v>
      </c>
      <c r="D987" s="2" t="str">
        <f>_xlfn.XLOOKUP(B987,Master[Product_Code],Master[Brand])</f>
        <v>Luke &amp; Burg</v>
      </c>
      <c r="E987" s="2" t="str">
        <f>_xlfn.XLOOKUP(B987,Master[Product_Code],Master[Style])</f>
        <v>Partywear</v>
      </c>
      <c r="F987" s="2" t="str">
        <f>_xlfn.XLOOKUP(B987,Master[Product_Code],Master[Fabric])</f>
        <v>Cotton Blend</v>
      </c>
      <c r="G987" s="2" t="str">
        <f>_xlfn.XLOOKUP(B987,Master[Product_Code],Master[Size])</f>
        <v>S</v>
      </c>
      <c r="H987" s="2" t="str">
        <f>_xlfn.XLOOKUP(B987,Master[Product_Code],Master[Color])</f>
        <v>Wine</v>
      </c>
      <c r="I987" s="4">
        <f>_xlfn.XLOOKUP(B987,Master[Product_Code],Master[Stock_Qty])</f>
        <v>5</v>
      </c>
      <c r="J987" s="6">
        <f>SUMIFS(
  Sales_Entry[Qty],
  Sales_Entry[Product_Code], Stock_Table[[#This Row],[Product_Code]]
)</f>
        <v>3</v>
      </c>
      <c r="K987" s="4">
        <f>SUMIFS(
  Exchange_Return[Qty],
  Exchange_Return[Product_Code], Stock_Table[[#This Row],[Product_Code]]
)</f>
        <v>0</v>
      </c>
      <c r="L987" s="4">
        <f>I987-J987+K987</f>
        <v>2</v>
      </c>
      <c r="M987" s="2" t="str" cm="1">
        <f t="array" ref="M987">_xlfn.IFS(L987=0,"Out of Stock",L987&gt;=2,"Limited Stock",L987&lt;2,"In Stock")</f>
        <v>Limited Stock</v>
      </c>
    </row>
    <row r="988" spans="2:13">
      <c r="B988" s="2" t="s">
        <v>150</v>
      </c>
      <c r="C988" s="5" t="str">
        <f>_xlfn.XLOOKUP(B988,Master[Product_Code],Master[Category])</f>
        <v>Shirt</v>
      </c>
      <c r="D988" s="2" t="str">
        <f>_xlfn.XLOOKUP(B988,Master[Product_Code],Master[Brand])</f>
        <v>Luke &amp; Burg</v>
      </c>
      <c r="E988" s="2" t="str">
        <f>_xlfn.XLOOKUP(B988,Master[Product_Code],Master[Style])</f>
        <v>Casual</v>
      </c>
      <c r="F988" s="2" t="str">
        <f>_xlfn.XLOOKUP(B988,Master[Product_Code],Master[Fabric])</f>
        <v>Cotton</v>
      </c>
      <c r="G988" s="2" t="str">
        <f>_xlfn.XLOOKUP(B988,Master[Product_Code],Master[Size])</f>
        <v>XL</v>
      </c>
      <c r="H988" s="2" t="str">
        <f>_xlfn.XLOOKUP(B988,Master[Product_Code],Master[Color])</f>
        <v>Teal</v>
      </c>
      <c r="I988" s="4">
        <f>_xlfn.XLOOKUP(B988,Master[Product_Code],Master[Stock_Qty])</f>
        <v>6</v>
      </c>
      <c r="J988" s="6">
        <f>SUMIFS(
  Sales_Entry[Qty],
  Sales_Entry[Product_Code], Stock_Table[[#This Row],[Product_Code]]
)</f>
        <v>1</v>
      </c>
      <c r="K988" s="4">
        <f>SUMIFS(
  Exchange_Return[Qty],
  Exchange_Return[Product_Code], Stock_Table[[#This Row],[Product_Code]]
)</f>
        <v>0</v>
      </c>
      <c r="L988" s="4">
        <f>I988-J988+K988</f>
        <v>5</v>
      </c>
      <c r="M988" s="2" t="str" cm="1">
        <f t="array" ref="M988">_xlfn.IFS(L988=0,"Out of Stock",L988&gt;=2,"Limited Stock",L988&lt;2,"In Stock")</f>
        <v>Limited Stock</v>
      </c>
    </row>
    <row r="989" spans="2:13">
      <c r="B989" s="2" t="s">
        <v>151</v>
      </c>
      <c r="C989" s="5" t="str">
        <f>_xlfn.XLOOKUP(B989,Master[Product_Code],Master[Category])</f>
        <v>Shirt</v>
      </c>
      <c r="D989" s="2" t="str">
        <f>_xlfn.XLOOKUP(B989,Master[Product_Code],Master[Brand])</f>
        <v>USD</v>
      </c>
      <c r="E989" s="2" t="str">
        <f>_xlfn.XLOOKUP(B989,Master[Product_Code],Master[Style])</f>
        <v>Casual</v>
      </c>
      <c r="F989" s="2" t="str">
        <f>_xlfn.XLOOKUP(B989,Master[Product_Code],Master[Fabric])</f>
        <v>Lycra</v>
      </c>
      <c r="G989" s="2" t="str">
        <f>_xlfn.XLOOKUP(B989,Master[Product_Code],Master[Size])</f>
        <v>XXL</v>
      </c>
      <c r="H989" s="2" t="str">
        <f>_xlfn.XLOOKUP(B989,Master[Product_Code],Master[Color])</f>
        <v>Beige</v>
      </c>
      <c r="I989" s="4">
        <f>_xlfn.XLOOKUP(B989,Master[Product_Code],Master[Stock_Qty])</f>
        <v>6</v>
      </c>
      <c r="J989" s="6">
        <f>SUMIFS(
  Sales_Entry[Qty],
  Sales_Entry[Product_Code], Stock_Table[[#This Row],[Product_Code]]
)</f>
        <v>1</v>
      </c>
      <c r="K989" s="4">
        <f>SUMIFS(
  Exchange_Return[Qty],
  Exchange_Return[Product_Code], Stock_Table[[#This Row],[Product_Code]]
)</f>
        <v>0</v>
      </c>
      <c r="L989" s="4">
        <f>I989-J989+K989</f>
        <v>5</v>
      </c>
      <c r="M989" s="2" t="str" cm="1">
        <f t="array" ref="M989">_xlfn.IFS(L989=0,"Out of Stock",L989&gt;=2,"Limited Stock",L989&lt;2,"In Stock")</f>
        <v>Limited Stock</v>
      </c>
    </row>
    <row r="990" spans="2:13">
      <c r="B990" s="2" t="s">
        <v>152</v>
      </c>
      <c r="C990" s="5" t="str">
        <f>_xlfn.XLOOKUP(B990,Master[Product_Code],Master[Category])</f>
        <v>Shirt</v>
      </c>
      <c r="D990" s="2" t="str">
        <f>_xlfn.XLOOKUP(B990,Master[Product_Code],Master[Brand])</f>
        <v>Luke &amp; Burg</v>
      </c>
      <c r="E990" s="2" t="str">
        <f>_xlfn.XLOOKUP(B990,Master[Product_Code],Master[Style])</f>
        <v>Partywear</v>
      </c>
      <c r="F990" s="2" t="str">
        <f>_xlfn.XLOOKUP(B990,Master[Product_Code],Master[Fabric])</f>
        <v>Cotton Blend</v>
      </c>
      <c r="G990" s="2" t="str">
        <f>_xlfn.XLOOKUP(B990,Master[Product_Code],Master[Size])</f>
        <v>L</v>
      </c>
      <c r="H990" s="2" t="str">
        <f>_xlfn.XLOOKUP(B990,Master[Product_Code],Master[Color])</f>
        <v>Charcoal</v>
      </c>
      <c r="I990" s="4">
        <f>_xlfn.XLOOKUP(B990,Master[Product_Code],Master[Stock_Qty])</f>
        <v>3</v>
      </c>
      <c r="J990" s="6">
        <f>SUMIFS(
  Sales_Entry[Qty],
  Sales_Entry[Product_Code], Stock_Table[[#This Row],[Product_Code]]
)</f>
        <v>2</v>
      </c>
      <c r="K990" s="4">
        <f>SUMIFS(
  Exchange_Return[Qty],
  Exchange_Return[Product_Code], Stock_Table[[#This Row],[Product_Code]]
)</f>
        <v>0</v>
      </c>
      <c r="L990" s="4">
        <f>I990-J990+K990</f>
        <v>1</v>
      </c>
      <c r="M990" s="2" t="str" cm="1">
        <f t="array" ref="M990">_xlfn.IFS(L990=0,"Out of Stock",L990&gt;=2,"Limited Stock",L990&lt;2,"In Stock")</f>
        <v>In Stock</v>
      </c>
    </row>
    <row r="991" spans="2:13">
      <c r="B991" s="2" t="s">
        <v>153</v>
      </c>
      <c r="C991" s="5" t="str">
        <f>_xlfn.XLOOKUP(B991,Master[Product_Code],Master[Category])</f>
        <v>Shirt</v>
      </c>
      <c r="D991" s="2" t="str">
        <f>_xlfn.XLOOKUP(B991,Master[Product_Code],Master[Brand])</f>
        <v>Max</v>
      </c>
      <c r="E991" s="2" t="str">
        <f>_xlfn.XLOOKUP(B991,Master[Product_Code],Master[Style])</f>
        <v>Formal</v>
      </c>
      <c r="F991" s="2" t="str">
        <f>_xlfn.XLOOKUP(B991,Master[Product_Code],Master[Fabric])</f>
        <v>Polyester</v>
      </c>
      <c r="G991" s="2" t="str">
        <f>_xlfn.XLOOKUP(B991,Master[Product_Code],Master[Size])</f>
        <v>XXL</v>
      </c>
      <c r="H991" s="2" t="str">
        <f>_xlfn.XLOOKUP(B991,Master[Product_Code],Master[Color])</f>
        <v>Royal Blue</v>
      </c>
      <c r="I991" s="4">
        <f>_xlfn.XLOOKUP(B991,Master[Product_Code],Master[Stock_Qty])</f>
        <v>6</v>
      </c>
      <c r="J991" s="6">
        <f>SUMIFS(
  Sales_Entry[Qty],
  Sales_Entry[Product_Code], Stock_Table[[#This Row],[Product_Code]]
)</f>
        <v>3</v>
      </c>
      <c r="K991" s="4">
        <f>SUMIFS(
  Exchange_Return[Qty],
  Exchange_Return[Product_Code], Stock_Table[[#This Row],[Product_Code]]
)</f>
        <v>0</v>
      </c>
      <c r="L991" s="4">
        <f>I991-J991+K991</f>
        <v>3</v>
      </c>
      <c r="M991" s="2" t="str" cm="1">
        <f t="array" ref="M991">_xlfn.IFS(L991=0,"Out of Stock",L991&gt;=2,"Limited Stock",L991&lt;2,"In Stock")</f>
        <v>Limited Stock</v>
      </c>
    </row>
    <row r="992" spans="2:13">
      <c r="B992" s="2" t="s">
        <v>154</v>
      </c>
      <c r="C992" s="5" t="str">
        <f>_xlfn.XLOOKUP(B992,Master[Product_Code],Master[Category])</f>
        <v>Shirt</v>
      </c>
      <c r="D992" s="2" t="str">
        <f>_xlfn.XLOOKUP(B992,Master[Product_Code],Master[Brand])</f>
        <v>Zara</v>
      </c>
      <c r="E992" s="2" t="str">
        <f>_xlfn.XLOOKUP(B992,Master[Product_Code],Master[Style])</f>
        <v>Casual</v>
      </c>
      <c r="F992" s="2" t="str">
        <f>_xlfn.XLOOKUP(B992,Master[Product_Code],Master[Fabric])</f>
        <v>Cotton Blend</v>
      </c>
      <c r="G992" s="2" t="str">
        <f>_xlfn.XLOOKUP(B992,Master[Product_Code],Master[Size])</f>
        <v>M</v>
      </c>
      <c r="H992" s="2" t="str">
        <f>_xlfn.XLOOKUP(B992,Master[Product_Code],Master[Color])</f>
        <v>Peach</v>
      </c>
      <c r="I992" s="4">
        <f>_xlfn.XLOOKUP(B992,Master[Product_Code],Master[Stock_Qty])</f>
        <v>4</v>
      </c>
      <c r="J992" s="6">
        <f>SUMIFS(
  Sales_Entry[Qty],
  Sales_Entry[Product_Code], Stock_Table[[#This Row],[Product_Code]]
)</f>
        <v>1</v>
      </c>
      <c r="K992" s="4">
        <f>SUMIFS(
  Exchange_Return[Qty],
  Exchange_Return[Product_Code], Stock_Table[[#This Row],[Product_Code]]
)</f>
        <v>0</v>
      </c>
      <c r="L992" s="4">
        <f>I992-J992+K992</f>
        <v>3</v>
      </c>
      <c r="M992" s="2" t="str" cm="1">
        <f t="array" ref="M992">_xlfn.IFS(L992=0,"Out of Stock",L992&gt;=2,"Limited Stock",L992&lt;2,"In Stock")</f>
        <v>Limited Stock</v>
      </c>
    </row>
    <row r="993" spans="2:13">
      <c r="B993" s="2" t="s">
        <v>155</v>
      </c>
      <c r="C993" s="5" t="str">
        <f>_xlfn.XLOOKUP(B993,Master[Product_Code],Master[Category])</f>
        <v>Shirt</v>
      </c>
      <c r="D993" s="2" t="str">
        <f>_xlfn.XLOOKUP(B993,Master[Product_Code],Master[Brand])</f>
        <v>Thailand</v>
      </c>
      <c r="E993" s="2" t="str">
        <f>_xlfn.XLOOKUP(B993,Master[Product_Code],Master[Style])</f>
        <v>Casual</v>
      </c>
      <c r="F993" s="2" t="str">
        <f>_xlfn.XLOOKUP(B993,Master[Product_Code],Master[Fabric])</f>
        <v>Cotton Blend</v>
      </c>
      <c r="G993" s="2" t="str">
        <f>_xlfn.XLOOKUP(B993,Master[Product_Code],Master[Size])</f>
        <v>XXL</v>
      </c>
      <c r="H993" s="2" t="str">
        <f>_xlfn.XLOOKUP(B993,Master[Product_Code],Master[Color])</f>
        <v>Beige</v>
      </c>
      <c r="I993" s="4">
        <f>_xlfn.XLOOKUP(B993,Master[Product_Code],Master[Stock_Qty])</f>
        <v>3</v>
      </c>
      <c r="J993" s="6">
        <f>SUMIFS(
  Sales_Entry[Qty],
  Sales_Entry[Product_Code], Stock_Table[[#This Row],[Product_Code]]
)</f>
        <v>1</v>
      </c>
      <c r="K993" s="4">
        <f>SUMIFS(
  Exchange_Return[Qty],
  Exchange_Return[Product_Code], Stock_Table[[#This Row],[Product_Code]]
)</f>
        <v>0</v>
      </c>
      <c r="L993" s="4">
        <f>I993-J993+K993</f>
        <v>2</v>
      </c>
      <c r="M993" s="2" t="str" cm="1">
        <f t="array" ref="M993">_xlfn.IFS(L993=0,"Out of Stock",L993&gt;=2,"Limited Stock",L993&lt;2,"In Stock")</f>
        <v>Limited Stock</v>
      </c>
    </row>
    <row r="994" spans="2:13">
      <c r="B994" s="2" t="s">
        <v>156</v>
      </c>
      <c r="C994" s="5" t="str">
        <f>_xlfn.XLOOKUP(B994,Master[Product_Code],Master[Category])</f>
        <v>Shirt</v>
      </c>
      <c r="D994" s="2" t="str">
        <f>_xlfn.XLOOKUP(B994,Master[Product_Code],Master[Brand])</f>
        <v>G Studio</v>
      </c>
      <c r="E994" s="2" t="str">
        <f>_xlfn.XLOOKUP(B994,Master[Product_Code],Master[Style])</f>
        <v>Formal</v>
      </c>
      <c r="F994" s="2" t="str">
        <f>_xlfn.XLOOKUP(B994,Master[Product_Code],Master[Fabric])</f>
        <v>Lycra</v>
      </c>
      <c r="G994" s="2" t="str">
        <f>_xlfn.XLOOKUP(B994,Master[Product_Code],Master[Size])</f>
        <v>XL</v>
      </c>
      <c r="H994" s="2" t="str">
        <f>_xlfn.XLOOKUP(B994,Master[Product_Code],Master[Color])</f>
        <v>Peach</v>
      </c>
      <c r="I994" s="4">
        <f>_xlfn.XLOOKUP(B994,Master[Product_Code],Master[Stock_Qty])</f>
        <v>4</v>
      </c>
      <c r="J994" s="6">
        <f>SUMIFS(
  Sales_Entry[Qty],
  Sales_Entry[Product_Code], Stock_Table[[#This Row],[Product_Code]]
)</f>
        <v>3</v>
      </c>
      <c r="K994" s="4">
        <f>SUMIFS(
  Exchange_Return[Qty],
  Exchange_Return[Product_Code], Stock_Table[[#This Row],[Product_Code]]
)</f>
        <v>0</v>
      </c>
      <c r="L994" s="4">
        <f>I994-J994+K994</f>
        <v>1</v>
      </c>
      <c r="M994" s="2" t="str" cm="1">
        <f t="array" ref="M994">_xlfn.IFS(L994=0,"Out of Stock",L994&gt;=2,"Limited Stock",L994&lt;2,"In Stock")</f>
        <v>In Stock</v>
      </c>
    </row>
    <row r="995" spans="2:13">
      <c r="B995" s="2" t="s">
        <v>157</v>
      </c>
      <c r="C995" s="5" t="str">
        <f>_xlfn.XLOOKUP(B995,Master[Product_Code],Master[Category])</f>
        <v>Shirt</v>
      </c>
      <c r="D995" s="2" t="str">
        <f>_xlfn.XLOOKUP(B995,Master[Product_Code],Master[Brand])</f>
        <v>Max</v>
      </c>
      <c r="E995" s="2" t="str">
        <f>_xlfn.XLOOKUP(B995,Master[Product_Code],Master[Style])</f>
        <v>Partywear</v>
      </c>
      <c r="F995" s="2" t="str">
        <f>_xlfn.XLOOKUP(B995,Master[Product_Code],Master[Fabric])</f>
        <v>Polyester</v>
      </c>
      <c r="G995" s="2" t="str">
        <f>_xlfn.XLOOKUP(B995,Master[Product_Code],Master[Size])</f>
        <v>XL</v>
      </c>
      <c r="H995" s="2" t="str">
        <f>_xlfn.XLOOKUP(B995,Master[Product_Code],Master[Color])</f>
        <v>Black</v>
      </c>
      <c r="I995" s="4">
        <f>_xlfn.XLOOKUP(B995,Master[Product_Code],Master[Stock_Qty])</f>
        <v>3</v>
      </c>
      <c r="J995" s="6">
        <f>SUMIFS(
  Sales_Entry[Qty],
  Sales_Entry[Product_Code], Stock_Table[[#This Row],[Product_Code]]
)</f>
        <v>0</v>
      </c>
      <c r="K995" s="4">
        <f>SUMIFS(
  Exchange_Return[Qty],
  Exchange_Return[Product_Code], Stock_Table[[#This Row],[Product_Code]]
)</f>
        <v>0</v>
      </c>
      <c r="L995" s="4">
        <f>I995-J995+K995</f>
        <v>3</v>
      </c>
      <c r="M995" s="2" t="str" cm="1">
        <f t="array" ref="M995">_xlfn.IFS(L995=0,"Out of Stock",L995&gt;=2,"Limited Stock",L995&lt;2,"In Stock")</f>
        <v>Limited Stock</v>
      </c>
    </row>
    <row r="996" spans="2:13">
      <c r="B996" s="2" t="s">
        <v>158</v>
      </c>
      <c r="C996" s="5" t="str">
        <f>_xlfn.XLOOKUP(B996,Master[Product_Code],Master[Category])</f>
        <v>Shirt</v>
      </c>
      <c r="D996" s="2" t="str">
        <f>_xlfn.XLOOKUP(B996,Master[Product_Code],Master[Brand])</f>
        <v>G Studio</v>
      </c>
      <c r="E996" s="2" t="str">
        <f>_xlfn.XLOOKUP(B996,Master[Product_Code],Master[Style])</f>
        <v>Casual</v>
      </c>
      <c r="F996" s="2" t="str">
        <f>_xlfn.XLOOKUP(B996,Master[Product_Code],Master[Fabric])</f>
        <v>Lycra</v>
      </c>
      <c r="G996" s="2" t="str">
        <f>_xlfn.XLOOKUP(B996,Master[Product_Code],Master[Size])</f>
        <v>L</v>
      </c>
      <c r="H996" s="2" t="str">
        <f>_xlfn.XLOOKUP(B996,Master[Product_Code],Master[Color])</f>
        <v>Light Grey</v>
      </c>
      <c r="I996" s="4">
        <f>_xlfn.XLOOKUP(B996,Master[Product_Code],Master[Stock_Qty])</f>
        <v>5</v>
      </c>
      <c r="J996" s="6">
        <f>SUMIFS(
  Sales_Entry[Qty],
  Sales_Entry[Product_Code], Stock_Table[[#This Row],[Product_Code]]
)</f>
        <v>3</v>
      </c>
      <c r="K996" s="4">
        <f>SUMIFS(
  Exchange_Return[Qty],
  Exchange_Return[Product_Code], Stock_Table[[#This Row],[Product_Code]]
)</f>
        <v>0</v>
      </c>
      <c r="L996" s="4">
        <f>I996-J996+K996</f>
        <v>2</v>
      </c>
      <c r="M996" s="2" t="str" cm="1">
        <f t="array" ref="M996">_xlfn.IFS(L996=0,"Out of Stock",L996&gt;=2,"Limited Stock",L996&lt;2,"In Stock")</f>
        <v>Limited Stock</v>
      </c>
    </row>
    <row r="997" spans="2:13">
      <c r="B997" s="2" t="s">
        <v>159</v>
      </c>
      <c r="C997" s="5" t="str">
        <f>_xlfn.XLOOKUP(B997,Master[Product_Code],Master[Category])</f>
        <v>Shirt</v>
      </c>
      <c r="D997" s="2" t="str">
        <f>_xlfn.XLOOKUP(B997,Master[Product_Code],Master[Brand])</f>
        <v>H&amp;M</v>
      </c>
      <c r="E997" s="2" t="str">
        <f>_xlfn.XLOOKUP(B997,Master[Product_Code],Master[Style])</f>
        <v>Partywear</v>
      </c>
      <c r="F997" s="2" t="str">
        <f>_xlfn.XLOOKUP(B997,Master[Product_Code],Master[Fabric])</f>
        <v>Cotton Blend</v>
      </c>
      <c r="G997" s="2" t="str">
        <f>_xlfn.XLOOKUP(B997,Master[Product_Code],Master[Size])</f>
        <v>XL</v>
      </c>
      <c r="H997" s="2" t="str">
        <f>_xlfn.XLOOKUP(B997,Master[Product_Code],Master[Color])</f>
        <v>Dark Green</v>
      </c>
      <c r="I997" s="4">
        <f>_xlfn.XLOOKUP(B997,Master[Product_Code],Master[Stock_Qty])</f>
        <v>5</v>
      </c>
      <c r="J997" s="6">
        <f>SUMIFS(
  Sales_Entry[Qty],
  Sales_Entry[Product_Code], Stock_Table[[#This Row],[Product_Code]]
)</f>
        <v>1</v>
      </c>
      <c r="K997" s="4">
        <f>SUMIFS(
  Exchange_Return[Qty],
  Exchange_Return[Product_Code], Stock_Table[[#This Row],[Product_Code]]
)</f>
        <v>0</v>
      </c>
      <c r="L997" s="4">
        <f>I997-J997+K997</f>
        <v>4</v>
      </c>
      <c r="M997" s="2" t="str" cm="1">
        <f t="array" ref="M997">_xlfn.IFS(L997=0,"Out of Stock",L997&gt;=2,"Limited Stock",L997&lt;2,"In Stock")</f>
        <v>Limited Stock</v>
      </c>
    </row>
    <row r="998" spans="2:13">
      <c r="B998" s="2" t="s">
        <v>160</v>
      </c>
      <c r="C998" s="5" t="str">
        <f>_xlfn.XLOOKUP(B998,Master[Product_Code],Master[Category])</f>
        <v>Shirt</v>
      </c>
      <c r="D998" s="2" t="str">
        <f>_xlfn.XLOOKUP(B998,Master[Product_Code],Master[Brand])</f>
        <v>Max</v>
      </c>
      <c r="E998" s="2" t="str">
        <f>_xlfn.XLOOKUP(B998,Master[Product_Code],Master[Style])</f>
        <v>Casual</v>
      </c>
      <c r="F998" s="2" t="str">
        <f>_xlfn.XLOOKUP(B998,Master[Product_Code],Master[Fabric])</f>
        <v>Cotton Blend</v>
      </c>
      <c r="G998" s="2" t="str">
        <f>_xlfn.XLOOKUP(B998,Master[Product_Code],Master[Size])</f>
        <v>L</v>
      </c>
      <c r="H998" s="2" t="str">
        <f>_xlfn.XLOOKUP(B998,Master[Product_Code],Master[Color])</f>
        <v>Charcoal</v>
      </c>
      <c r="I998" s="4">
        <f>_xlfn.XLOOKUP(B998,Master[Product_Code],Master[Stock_Qty])</f>
        <v>3</v>
      </c>
      <c r="J998" s="6">
        <f>SUMIFS(
  Sales_Entry[Qty],
  Sales_Entry[Product_Code], Stock_Table[[#This Row],[Product_Code]]
)</f>
        <v>2</v>
      </c>
      <c r="K998" s="4">
        <f>SUMIFS(
  Exchange_Return[Qty],
  Exchange_Return[Product_Code], Stock_Table[[#This Row],[Product_Code]]
)</f>
        <v>0</v>
      </c>
      <c r="L998" s="4">
        <f>I998-J998+K998</f>
        <v>1</v>
      </c>
      <c r="M998" s="2" t="str" cm="1">
        <f t="array" ref="M998">_xlfn.IFS(L998=0,"Out of Stock",L998&gt;=2,"Limited Stock",L998&lt;2,"In Stock")</f>
        <v>In Stock</v>
      </c>
    </row>
    <row r="999" spans="2:13">
      <c r="B999" s="2" t="s">
        <v>161</v>
      </c>
      <c r="C999" s="5" t="str">
        <f>_xlfn.XLOOKUP(B999,Master[Product_Code],Master[Category])</f>
        <v>Shirt</v>
      </c>
      <c r="D999" s="2" t="str">
        <f>_xlfn.XLOOKUP(B999,Master[Product_Code],Master[Brand])</f>
        <v>G Studio</v>
      </c>
      <c r="E999" s="2" t="str">
        <f>_xlfn.XLOOKUP(B999,Master[Product_Code],Master[Style])</f>
        <v>Casual</v>
      </c>
      <c r="F999" s="2" t="str">
        <f>_xlfn.XLOOKUP(B999,Master[Product_Code],Master[Fabric])</f>
        <v>Cotton</v>
      </c>
      <c r="G999" s="2" t="str">
        <f>_xlfn.XLOOKUP(B999,Master[Product_Code],Master[Size])</f>
        <v>XXL</v>
      </c>
      <c r="H999" s="2" t="str">
        <f>_xlfn.XLOOKUP(B999,Master[Product_Code],Master[Color])</f>
        <v>Olive</v>
      </c>
      <c r="I999" s="4">
        <f>_xlfn.XLOOKUP(B999,Master[Product_Code],Master[Stock_Qty])</f>
        <v>4</v>
      </c>
      <c r="J999" s="6">
        <f>SUMIFS(
  Sales_Entry[Qty],
  Sales_Entry[Product_Code], Stock_Table[[#This Row],[Product_Code]]
)</f>
        <v>0</v>
      </c>
      <c r="K999" s="4">
        <f>SUMIFS(
  Exchange_Return[Qty],
  Exchange_Return[Product_Code], Stock_Table[[#This Row],[Product_Code]]
)</f>
        <v>0</v>
      </c>
      <c r="L999" s="4">
        <f>I999-J999+K999</f>
        <v>4</v>
      </c>
      <c r="M999" s="2" t="str" cm="1">
        <f t="array" ref="M999">_xlfn.IFS(L999=0,"Out of Stock",L999&gt;=2,"Limited Stock",L999&lt;2,"In Stock")</f>
        <v>Limited Stock</v>
      </c>
    </row>
    <row r="1000" spans="2:13">
      <c r="B1000" s="2" t="s">
        <v>162</v>
      </c>
      <c r="C1000" s="5" t="str">
        <f>_xlfn.XLOOKUP(B1000,Master[Product_Code],Master[Category])</f>
        <v>Shirt</v>
      </c>
      <c r="D1000" s="2" t="str">
        <f>_xlfn.XLOOKUP(B1000,Master[Product_Code],Master[Brand])</f>
        <v>Max</v>
      </c>
      <c r="E1000" s="2" t="str">
        <f>_xlfn.XLOOKUP(B1000,Master[Product_Code],Master[Style])</f>
        <v>Casual</v>
      </c>
      <c r="F1000" s="2" t="str">
        <f>_xlfn.XLOOKUP(B1000,Master[Product_Code],Master[Fabric])</f>
        <v>Cotton Blend</v>
      </c>
      <c r="G1000" s="2" t="str">
        <f>_xlfn.XLOOKUP(B1000,Master[Product_Code],Master[Size])</f>
        <v>S</v>
      </c>
      <c r="H1000" s="2" t="str">
        <f>_xlfn.XLOOKUP(B1000,Master[Product_Code],Master[Color])</f>
        <v>Grey</v>
      </c>
      <c r="I1000" s="4">
        <f>_xlfn.XLOOKUP(B1000,Master[Product_Code],Master[Stock_Qty])</f>
        <v>5</v>
      </c>
      <c r="J1000" s="6">
        <f>SUMIFS(
  Sales_Entry[Qty],
  Sales_Entry[Product_Code], Stock_Table[[#This Row],[Product_Code]]
)</f>
        <v>2</v>
      </c>
      <c r="K1000" s="4">
        <f>SUMIFS(
  Exchange_Return[Qty],
  Exchange_Return[Product_Code], Stock_Table[[#This Row],[Product_Code]]
)</f>
        <v>0</v>
      </c>
      <c r="L1000" s="4">
        <f>I1000-J1000+K1000</f>
        <v>3</v>
      </c>
      <c r="M1000" s="2" t="str" cm="1">
        <f t="array" ref="M1000">_xlfn.IFS(L1000=0,"Out of Stock",L1000&gt;=2,"Limited Stock",L1000&lt;2,"In Stock")</f>
        <v>Limited Stock</v>
      </c>
    </row>
    <row r="1001" spans="2:13">
      <c r="B1001" s="2" t="s">
        <v>163</v>
      </c>
      <c r="C1001" s="5" t="str">
        <f>_xlfn.XLOOKUP(B1001,Master[Product_Code],Master[Category])</f>
        <v>Shirt</v>
      </c>
      <c r="D1001" s="2" t="str">
        <f>_xlfn.XLOOKUP(B1001,Master[Product_Code],Master[Brand])</f>
        <v>British</v>
      </c>
      <c r="E1001" s="2" t="str">
        <f>_xlfn.XLOOKUP(B1001,Master[Product_Code],Master[Style])</f>
        <v>Formal</v>
      </c>
      <c r="F1001" s="2" t="str">
        <f>_xlfn.XLOOKUP(B1001,Master[Product_Code],Master[Fabric])</f>
        <v>Cotton Blend</v>
      </c>
      <c r="G1001" s="2" t="str">
        <f>_xlfn.XLOOKUP(B1001,Master[Product_Code],Master[Size])</f>
        <v>S</v>
      </c>
      <c r="H1001" s="2" t="str">
        <f>_xlfn.XLOOKUP(B1001,Master[Product_Code],Master[Color])</f>
        <v>Dark Green</v>
      </c>
      <c r="I1001" s="4">
        <f>_xlfn.XLOOKUP(B1001,Master[Product_Code],Master[Stock_Qty])</f>
        <v>4</v>
      </c>
      <c r="J1001" s="6">
        <f>SUMIFS(
  Sales_Entry[Qty],
  Sales_Entry[Product_Code], Stock_Table[[#This Row],[Product_Code]]
)</f>
        <v>2</v>
      </c>
      <c r="K1001" s="4">
        <f>SUMIFS(
  Exchange_Return[Qty],
  Exchange_Return[Product_Code], Stock_Table[[#This Row],[Product_Code]]
)</f>
        <v>0</v>
      </c>
      <c r="L1001" s="4">
        <f>I1001-J1001+K1001</f>
        <v>2</v>
      </c>
      <c r="M1001" s="2" t="str" cm="1">
        <f t="array" ref="M1001">_xlfn.IFS(L1001=0,"Out of Stock",L1001&gt;=2,"Limited Stock",L1001&lt;2,"In Stock")</f>
        <v>Limited Stock</v>
      </c>
    </row>
    <row r="1002" spans="2:13">
      <c r="B1002" s="2" t="s">
        <v>164</v>
      </c>
      <c r="C1002" s="5" t="str">
        <f>_xlfn.XLOOKUP(B1002,Master[Product_Code],Master[Category])</f>
        <v>Shirt</v>
      </c>
      <c r="D1002" s="2" t="str">
        <f>_xlfn.XLOOKUP(B1002,Master[Product_Code],Master[Brand])</f>
        <v>Zara</v>
      </c>
      <c r="E1002" s="2" t="str">
        <f>_xlfn.XLOOKUP(B1002,Master[Product_Code],Master[Style])</f>
        <v>Formal</v>
      </c>
      <c r="F1002" s="2" t="str">
        <f>_xlfn.XLOOKUP(B1002,Master[Product_Code],Master[Fabric])</f>
        <v>Cotton Blend</v>
      </c>
      <c r="G1002" s="2" t="str">
        <f>_xlfn.XLOOKUP(B1002,Master[Product_Code],Master[Size])</f>
        <v>M</v>
      </c>
      <c r="H1002" s="2" t="str">
        <f>_xlfn.XLOOKUP(B1002,Master[Product_Code],Master[Color])</f>
        <v>Peach</v>
      </c>
      <c r="I1002" s="4">
        <f>_xlfn.XLOOKUP(B1002,Master[Product_Code],Master[Stock_Qty])</f>
        <v>3</v>
      </c>
      <c r="J1002" s="6">
        <f>SUMIFS(
  Sales_Entry[Qty],
  Sales_Entry[Product_Code], Stock_Table[[#This Row],[Product_Code]]
)</f>
        <v>2</v>
      </c>
      <c r="K1002" s="4">
        <f>SUMIFS(
  Exchange_Return[Qty],
  Exchange_Return[Product_Code], Stock_Table[[#This Row],[Product_Code]]
)</f>
        <v>0</v>
      </c>
      <c r="L1002" s="4">
        <f>I1002-J1002+K1002</f>
        <v>1</v>
      </c>
      <c r="M1002" s="2" t="str" cm="1">
        <f t="array" ref="M1002">_xlfn.IFS(L1002=0,"Out of Stock",L1002&gt;=2,"Limited Stock",L1002&lt;2,"In Stock")</f>
        <v>In Stock</v>
      </c>
    </row>
    <row r="1003" spans="2:13">
      <c r="B1003" s="2" t="s">
        <v>165</v>
      </c>
      <c r="C1003" s="5" t="str">
        <f>_xlfn.XLOOKUP(B1003,Master[Product_Code],Master[Category])</f>
        <v>Shirt</v>
      </c>
      <c r="D1003" s="2" t="str">
        <f>_xlfn.XLOOKUP(B1003,Master[Product_Code],Master[Brand])</f>
        <v>Zara</v>
      </c>
      <c r="E1003" s="2" t="str">
        <f>_xlfn.XLOOKUP(B1003,Master[Product_Code],Master[Style])</f>
        <v>Partywear</v>
      </c>
      <c r="F1003" s="2" t="str">
        <f>_xlfn.XLOOKUP(B1003,Master[Product_Code],Master[Fabric])</f>
        <v>Cotton Blend</v>
      </c>
      <c r="G1003" s="2" t="str">
        <f>_xlfn.XLOOKUP(B1003,Master[Product_Code],Master[Size])</f>
        <v>XL</v>
      </c>
      <c r="H1003" s="2" t="str">
        <f>_xlfn.XLOOKUP(B1003,Master[Product_Code],Master[Color])</f>
        <v>Peach</v>
      </c>
      <c r="I1003" s="4">
        <f>_xlfn.XLOOKUP(B1003,Master[Product_Code],Master[Stock_Qty])</f>
        <v>6</v>
      </c>
      <c r="J1003" s="6">
        <f>SUMIFS(
  Sales_Entry[Qty],
  Sales_Entry[Product_Code], Stock_Table[[#This Row],[Product_Code]]
)</f>
        <v>1</v>
      </c>
      <c r="K1003" s="4">
        <f>SUMIFS(
  Exchange_Return[Qty],
  Exchange_Return[Product_Code], Stock_Table[[#This Row],[Product_Code]]
)</f>
        <v>0</v>
      </c>
      <c r="L1003" s="4">
        <f>I1003-J1003+K1003</f>
        <v>5</v>
      </c>
      <c r="M1003" s="2" t="str" cm="1">
        <f t="array" ref="M1003">_xlfn.IFS(L1003=0,"Out of Stock",L1003&gt;=2,"Limited Stock",L1003&lt;2,"In Stock")</f>
        <v>Limited Stock</v>
      </c>
    </row>
    <row r="1004" spans="2:13">
      <c r="B1004" s="2" t="s">
        <v>166</v>
      </c>
      <c r="C1004" s="5" t="str">
        <f>_xlfn.XLOOKUP(B1004,Master[Product_Code],Master[Category])</f>
        <v>Shirt</v>
      </c>
      <c r="D1004" s="2" t="str">
        <f>_xlfn.XLOOKUP(B1004,Master[Product_Code],Master[Brand])</f>
        <v>USD</v>
      </c>
      <c r="E1004" s="2" t="str">
        <f>_xlfn.XLOOKUP(B1004,Master[Product_Code],Master[Style])</f>
        <v>Formal</v>
      </c>
      <c r="F1004" s="2" t="str">
        <f>_xlfn.XLOOKUP(B1004,Master[Product_Code],Master[Fabric])</f>
        <v>Cotton Blend</v>
      </c>
      <c r="G1004" s="2" t="str">
        <f>_xlfn.XLOOKUP(B1004,Master[Product_Code],Master[Size])</f>
        <v>XL</v>
      </c>
      <c r="H1004" s="2" t="str">
        <f>_xlfn.XLOOKUP(B1004,Master[Product_Code],Master[Color])</f>
        <v>Sky Blue</v>
      </c>
      <c r="I1004" s="4">
        <f>_xlfn.XLOOKUP(B1004,Master[Product_Code],Master[Stock_Qty])</f>
        <v>3</v>
      </c>
      <c r="J1004" s="6">
        <f>SUMIFS(
  Sales_Entry[Qty],
  Sales_Entry[Product_Code], Stock_Table[[#This Row],[Product_Code]]
)</f>
        <v>1</v>
      </c>
      <c r="K1004" s="4">
        <f>SUMIFS(
  Exchange_Return[Qty],
  Exchange_Return[Product_Code], Stock_Table[[#This Row],[Product_Code]]
)</f>
        <v>0</v>
      </c>
      <c r="L1004" s="4">
        <f>I1004-J1004+K1004</f>
        <v>2</v>
      </c>
      <c r="M1004" s="2" t="str" cm="1">
        <f t="array" ref="M1004">_xlfn.IFS(L1004=0,"Out of Stock",L1004&gt;=2,"Limited Stock",L1004&lt;2,"In Stock")</f>
        <v>Limited Stock</v>
      </c>
    </row>
    <row r="1005" spans="2:13">
      <c r="B1005" s="2" t="s">
        <v>167</v>
      </c>
      <c r="C1005" s="5" t="str">
        <f>_xlfn.XLOOKUP(B1005,Master[Product_Code],Master[Category])</f>
        <v>Shirt</v>
      </c>
      <c r="D1005" s="2" t="str">
        <f>_xlfn.XLOOKUP(B1005,Master[Product_Code],Master[Brand])</f>
        <v>Max</v>
      </c>
      <c r="E1005" s="2" t="str">
        <f>_xlfn.XLOOKUP(B1005,Master[Product_Code],Master[Style])</f>
        <v>Formal</v>
      </c>
      <c r="F1005" s="2" t="str">
        <f>_xlfn.XLOOKUP(B1005,Master[Product_Code],Master[Fabric])</f>
        <v>Cotton</v>
      </c>
      <c r="G1005" s="2" t="str">
        <f>_xlfn.XLOOKUP(B1005,Master[Product_Code],Master[Size])</f>
        <v>M</v>
      </c>
      <c r="H1005" s="2" t="str">
        <f>_xlfn.XLOOKUP(B1005,Master[Product_Code],Master[Color])</f>
        <v>Maroon</v>
      </c>
      <c r="I1005" s="4">
        <f>_xlfn.XLOOKUP(B1005,Master[Product_Code],Master[Stock_Qty])</f>
        <v>5</v>
      </c>
      <c r="J1005" s="6">
        <f>SUMIFS(
  Sales_Entry[Qty],
  Sales_Entry[Product_Code], Stock_Table[[#This Row],[Product_Code]]
)</f>
        <v>0</v>
      </c>
      <c r="K1005" s="4">
        <f>SUMIFS(
  Exchange_Return[Qty],
  Exchange_Return[Product_Code], Stock_Table[[#This Row],[Product_Code]]
)</f>
        <v>0</v>
      </c>
      <c r="L1005" s="4">
        <f>I1005-J1005+K1005</f>
        <v>5</v>
      </c>
      <c r="M1005" s="2" t="str" cm="1">
        <f t="array" ref="M1005">_xlfn.IFS(L1005=0,"Out of Stock",L1005&gt;=2,"Limited Stock",L1005&lt;2,"In Stock")</f>
        <v>Limited Stock</v>
      </c>
    </row>
    <row r="1006" spans="2:13">
      <c r="B1006" s="2" t="s">
        <v>168</v>
      </c>
      <c r="C1006" s="5" t="str">
        <f>_xlfn.XLOOKUP(B1006,Master[Product_Code],Master[Category])</f>
        <v>Shirt</v>
      </c>
      <c r="D1006" s="2" t="str">
        <f>_xlfn.XLOOKUP(B1006,Master[Product_Code],Master[Brand])</f>
        <v>G Studio</v>
      </c>
      <c r="E1006" s="2" t="str">
        <f>_xlfn.XLOOKUP(B1006,Master[Product_Code],Master[Style])</f>
        <v>Formal</v>
      </c>
      <c r="F1006" s="2" t="str">
        <f>_xlfn.XLOOKUP(B1006,Master[Product_Code],Master[Fabric])</f>
        <v>Polyester</v>
      </c>
      <c r="G1006" s="2" t="str">
        <f>_xlfn.XLOOKUP(B1006,Master[Product_Code],Master[Size])</f>
        <v>XXL</v>
      </c>
      <c r="H1006" s="2" t="str">
        <f>_xlfn.XLOOKUP(B1006,Master[Product_Code],Master[Color])</f>
        <v>Royal Blue</v>
      </c>
      <c r="I1006" s="4">
        <f>_xlfn.XLOOKUP(B1006,Master[Product_Code],Master[Stock_Qty])</f>
        <v>4</v>
      </c>
      <c r="J1006" s="6">
        <f>SUMIFS(
  Sales_Entry[Qty],
  Sales_Entry[Product_Code], Stock_Table[[#This Row],[Product_Code]]
)</f>
        <v>2</v>
      </c>
      <c r="K1006" s="4">
        <f>SUMIFS(
  Exchange_Return[Qty],
  Exchange_Return[Product_Code], Stock_Table[[#This Row],[Product_Code]]
)</f>
        <v>0</v>
      </c>
      <c r="L1006" s="4">
        <f>I1006-J1006+K1006</f>
        <v>2</v>
      </c>
      <c r="M1006" s="2" t="str" cm="1">
        <f t="array" ref="M1006">_xlfn.IFS(L1006=0,"Out of Stock",L1006&gt;=2,"Limited Stock",L1006&lt;2,"In Stock")</f>
        <v>Limited Stock</v>
      </c>
    </row>
    <row r="1007" spans="2:13">
      <c r="B1007" s="2" t="s">
        <v>169</v>
      </c>
      <c r="C1007" s="5" t="str">
        <f>_xlfn.XLOOKUP(B1007,Master[Product_Code],Master[Category])</f>
        <v>Shirt</v>
      </c>
      <c r="D1007" s="2" t="str">
        <f>_xlfn.XLOOKUP(B1007,Master[Product_Code],Master[Brand])</f>
        <v>H&amp;M</v>
      </c>
      <c r="E1007" s="2" t="str">
        <f>_xlfn.XLOOKUP(B1007,Master[Product_Code],Master[Style])</f>
        <v>Casual</v>
      </c>
      <c r="F1007" s="2" t="str">
        <f>_xlfn.XLOOKUP(B1007,Master[Product_Code],Master[Fabric])</f>
        <v>Polyester</v>
      </c>
      <c r="G1007" s="2" t="str">
        <f>_xlfn.XLOOKUP(B1007,Master[Product_Code],Master[Size])</f>
        <v>XL</v>
      </c>
      <c r="H1007" s="2" t="str">
        <f>_xlfn.XLOOKUP(B1007,Master[Product_Code],Master[Color])</f>
        <v>Brown</v>
      </c>
      <c r="I1007" s="4">
        <f>_xlfn.XLOOKUP(B1007,Master[Product_Code],Master[Stock_Qty])</f>
        <v>6</v>
      </c>
      <c r="J1007" s="6">
        <f>SUMIFS(
  Sales_Entry[Qty],
  Sales_Entry[Product_Code], Stock_Table[[#This Row],[Product_Code]]
)</f>
        <v>3</v>
      </c>
      <c r="K1007" s="4">
        <f>SUMIFS(
  Exchange_Return[Qty],
  Exchange_Return[Product_Code], Stock_Table[[#This Row],[Product_Code]]
)</f>
        <v>0</v>
      </c>
      <c r="L1007" s="4">
        <f>I1007-J1007+K1007</f>
        <v>3</v>
      </c>
      <c r="M1007" s="2" t="str" cm="1">
        <f t="array" ref="M1007">_xlfn.IFS(L1007=0,"Out of Stock",L1007&gt;=2,"Limited Stock",L1007&lt;2,"In Stock")</f>
        <v>Limited Stock</v>
      </c>
    </row>
    <row r="1008" spans="2:13">
      <c r="B1008" s="2" t="s">
        <v>170</v>
      </c>
      <c r="C1008" s="5" t="str">
        <f>_xlfn.XLOOKUP(B1008,Master[Product_Code],Master[Category])</f>
        <v>Shirt</v>
      </c>
      <c r="D1008" s="2" t="str">
        <f>_xlfn.XLOOKUP(B1008,Master[Product_Code],Master[Brand])</f>
        <v>Zara</v>
      </c>
      <c r="E1008" s="2" t="str">
        <f>_xlfn.XLOOKUP(B1008,Master[Product_Code],Master[Style])</f>
        <v>Partywear</v>
      </c>
      <c r="F1008" s="2" t="str">
        <f>_xlfn.XLOOKUP(B1008,Master[Product_Code],Master[Fabric])</f>
        <v>Cotton</v>
      </c>
      <c r="G1008" s="2" t="str">
        <f>_xlfn.XLOOKUP(B1008,Master[Product_Code],Master[Size])</f>
        <v>M</v>
      </c>
      <c r="H1008" s="2" t="str">
        <f>_xlfn.XLOOKUP(B1008,Master[Product_Code],Master[Color])</f>
        <v>Grey</v>
      </c>
      <c r="I1008" s="4">
        <f>_xlfn.XLOOKUP(B1008,Master[Product_Code],Master[Stock_Qty])</f>
        <v>5</v>
      </c>
      <c r="J1008" s="6">
        <f>SUMIFS(
  Sales_Entry[Qty],
  Sales_Entry[Product_Code], Stock_Table[[#This Row],[Product_Code]]
)</f>
        <v>1</v>
      </c>
      <c r="K1008" s="4">
        <f>SUMIFS(
  Exchange_Return[Qty],
  Exchange_Return[Product_Code], Stock_Table[[#This Row],[Product_Code]]
)</f>
        <v>0</v>
      </c>
      <c r="L1008" s="4">
        <f>I1008-J1008+K1008</f>
        <v>4</v>
      </c>
      <c r="M1008" s="2" t="str" cm="1">
        <f t="array" ref="M1008">_xlfn.IFS(L1008=0,"Out of Stock",L1008&gt;=2,"Limited Stock",L1008&lt;2,"In Stock")</f>
        <v>Limited Stock</v>
      </c>
    </row>
    <row r="1009" spans="2:13">
      <c r="B1009" s="2" t="s">
        <v>171</v>
      </c>
      <c r="C1009" s="5" t="str">
        <f>_xlfn.XLOOKUP(B1009,Master[Product_Code],Master[Category])</f>
        <v>Shirt</v>
      </c>
      <c r="D1009" s="2" t="str">
        <f>_xlfn.XLOOKUP(B1009,Master[Product_Code],Master[Brand])</f>
        <v>L7</v>
      </c>
      <c r="E1009" s="2" t="str">
        <f>_xlfn.XLOOKUP(B1009,Master[Product_Code],Master[Style])</f>
        <v>Formal</v>
      </c>
      <c r="F1009" s="2" t="str">
        <f>_xlfn.XLOOKUP(B1009,Master[Product_Code],Master[Fabric])</f>
        <v>Lycra</v>
      </c>
      <c r="G1009" s="2" t="str">
        <f>_xlfn.XLOOKUP(B1009,Master[Product_Code],Master[Size])</f>
        <v>M</v>
      </c>
      <c r="H1009" s="2" t="str">
        <f>_xlfn.XLOOKUP(B1009,Master[Product_Code],Master[Color])</f>
        <v>Dark Green</v>
      </c>
      <c r="I1009" s="4">
        <f>_xlfn.XLOOKUP(B1009,Master[Product_Code],Master[Stock_Qty])</f>
        <v>3</v>
      </c>
      <c r="J1009" s="6">
        <f>SUMIFS(
  Sales_Entry[Qty],
  Sales_Entry[Product_Code], Stock_Table[[#This Row],[Product_Code]]
)</f>
        <v>3</v>
      </c>
      <c r="K1009" s="4">
        <f>SUMIFS(
  Exchange_Return[Qty],
  Exchange_Return[Product_Code], Stock_Table[[#This Row],[Product_Code]]
)</f>
        <v>0</v>
      </c>
      <c r="L1009" s="4">
        <f>I1009-J1009+K1009</f>
        <v>0</v>
      </c>
      <c r="M1009" s="2" t="str" cm="1">
        <f t="array" ref="M1009">_xlfn.IFS(L1009=0,"Out of Stock",L1009&gt;=2,"Limited Stock",L1009&lt;2,"In Stock")</f>
        <v>Out of Stock</v>
      </c>
    </row>
    <row r="1010" spans="2:13">
      <c r="B1010" s="2" t="s">
        <v>172</v>
      </c>
      <c r="C1010" s="5" t="str">
        <f>_xlfn.XLOOKUP(B1010,Master[Product_Code],Master[Category])</f>
        <v>Shirt</v>
      </c>
      <c r="D1010" s="2" t="str">
        <f>_xlfn.XLOOKUP(B1010,Master[Product_Code],Master[Brand])</f>
        <v>Zara</v>
      </c>
      <c r="E1010" s="2" t="str">
        <f>_xlfn.XLOOKUP(B1010,Master[Product_Code],Master[Style])</f>
        <v>Casual</v>
      </c>
      <c r="F1010" s="2" t="str">
        <f>_xlfn.XLOOKUP(B1010,Master[Product_Code],Master[Fabric])</f>
        <v>Polyester</v>
      </c>
      <c r="G1010" s="2" t="str">
        <f>_xlfn.XLOOKUP(B1010,Master[Product_Code],Master[Size])</f>
        <v>XXL</v>
      </c>
      <c r="H1010" s="2" t="str">
        <f>_xlfn.XLOOKUP(B1010,Master[Product_Code],Master[Color])</f>
        <v>Peach</v>
      </c>
      <c r="I1010" s="4">
        <f>_xlfn.XLOOKUP(B1010,Master[Product_Code],Master[Stock_Qty])</f>
        <v>5</v>
      </c>
      <c r="J1010" s="6">
        <f>SUMIFS(
  Sales_Entry[Qty],
  Sales_Entry[Product_Code], Stock_Table[[#This Row],[Product_Code]]
)</f>
        <v>1</v>
      </c>
      <c r="K1010" s="4">
        <f>SUMIFS(
  Exchange_Return[Qty],
  Exchange_Return[Product_Code], Stock_Table[[#This Row],[Product_Code]]
)</f>
        <v>0</v>
      </c>
      <c r="L1010" s="4">
        <f>I1010-J1010+K1010</f>
        <v>4</v>
      </c>
      <c r="M1010" s="2" t="str" cm="1">
        <f t="array" ref="M1010">_xlfn.IFS(L1010=0,"Out of Stock",L1010&gt;=2,"Limited Stock",L1010&lt;2,"In Stock")</f>
        <v>Limited Stock</v>
      </c>
    </row>
    <row r="1011" spans="2:13">
      <c r="B1011" s="2" t="s">
        <v>173</v>
      </c>
      <c r="C1011" s="5" t="str">
        <f>_xlfn.XLOOKUP(B1011,Master[Product_Code],Master[Category])</f>
        <v>Shirt</v>
      </c>
      <c r="D1011" s="2" t="str">
        <f>_xlfn.XLOOKUP(B1011,Master[Product_Code],Master[Brand])</f>
        <v>G Studio</v>
      </c>
      <c r="E1011" s="2" t="str">
        <f>_xlfn.XLOOKUP(B1011,Master[Product_Code],Master[Style])</f>
        <v>Casual</v>
      </c>
      <c r="F1011" s="2" t="str">
        <f>_xlfn.XLOOKUP(B1011,Master[Product_Code],Master[Fabric])</f>
        <v>Cotton Blend</v>
      </c>
      <c r="G1011" s="2" t="str">
        <f>_xlfn.XLOOKUP(B1011,Master[Product_Code],Master[Size])</f>
        <v>XL</v>
      </c>
      <c r="H1011" s="2" t="str">
        <f>_xlfn.XLOOKUP(B1011,Master[Product_Code],Master[Color])</f>
        <v>Navy Blue</v>
      </c>
      <c r="I1011" s="4">
        <f>_xlfn.XLOOKUP(B1011,Master[Product_Code],Master[Stock_Qty])</f>
        <v>4</v>
      </c>
      <c r="J1011" s="6">
        <f>SUMIFS(
  Sales_Entry[Qty],
  Sales_Entry[Product_Code], Stock_Table[[#This Row],[Product_Code]]
)</f>
        <v>0</v>
      </c>
      <c r="K1011" s="4">
        <f>SUMIFS(
  Exchange_Return[Qty],
  Exchange_Return[Product_Code], Stock_Table[[#This Row],[Product_Code]]
)</f>
        <v>0</v>
      </c>
      <c r="L1011" s="4">
        <f>I1011-J1011+K1011</f>
        <v>4</v>
      </c>
      <c r="M1011" s="2" t="str" cm="1">
        <f t="array" ref="M1011">_xlfn.IFS(L1011=0,"Out of Stock",L1011&gt;=2,"Limited Stock",L1011&lt;2,"In Stock")</f>
        <v>Limited Stock</v>
      </c>
    </row>
    <row r="1012" spans="2:13">
      <c r="B1012" s="2" t="s">
        <v>174</v>
      </c>
      <c r="C1012" s="5" t="str">
        <f>_xlfn.XLOOKUP(B1012,Master[Product_Code],Master[Category])</f>
        <v>Shirt</v>
      </c>
      <c r="D1012" s="2" t="str">
        <f>_xlfn.XLOOKUP(B1012,Master[Product_Code],Master[Brand])</f>
        <v>G Studio</v>
      </c>
      <c r="E1012" s="2" t="str">
        <f>_xlfn.XLOOKUP(B1012,Master[Product_Code],Master[Style])</f>
        <v>Casual</v>
      </c>
      <c r="F1012" s="2" t="str">
        <f>_xlfn.XLOOKUP(B1012,Master[Product_Code],Master[Fabric])</f>
        <v>Cotton</v>
      </c>
      <c r="G1012" s="2" t="str">
        <f>_xlfn.XLOOKUP(B1012,Master[Product_Code],Master[Size])</f>
        <v>XXL</v>
      </c>
      <c r="H1012" s="2" t="str">
        <f>_xlfn.XLOOKUP(B1012,Master[Product_Code],Master[Color])</f>
        <v>Charcoal</v>
      </c>
      <c r="I1012" s="4">
        <f>_xlfn.XLOOKUP(B1012,Master[Product_Code],Master[Stock_Qty])</f>
        <v>4</v>
      </c>
      <c r="J1012" s="6">
        <f>SUMIFS(
  Sales_Entry[Qty],
  Sales_Entry[Product_Code], Stock_Table[[#This Row],[Product_Code]]
)</f>
        <v>4</v>
      </c>
      <c r="K1012" s="4">
        <f>SUMIFS(
  Exchange_Return[Qty],
  Exchange_Return[Product_Code], Stock_Table[[#This Row],[Product_Code]]
)</f>
        <v>0</v>
      </c>
      <c r="L1012" s="4">
        <f>I1012-J1012+K1012</f>
        <v>0</v>
      </c>
      <c r="M1012" s="2" t="str" cm="1">
        <f t="array" ref="M1012">_xlfn.IFS(L1012=0,"Out of Stock",L1012&gt;=2,"Limited Stock",L1012&lt;2,"In Stock")</f>
        <v>Out of Stock</v>
      </c>
    </row>
    <row r="1013" spans="2:13">
      <c r="B1013" s="2" t="s">
        <v>175</v>
      </c>
      <c r="C1013" s="5" t="str">
        <f>_xlfn.XLOOKUP(B1013,Master[Product_Code],Master[Category])</f>
        <v>Shirt</v>
      </c>
      <c r="D1013" s="2" t="str">
        <f>_xlfn.XLOOKUP(B1013,Master[Product_Code],Master[Brand])</f>
        <v>USD</v>
      </c>
      <c r="E1013" s="2" t="str">
        <f>_xlfn.XLOOKUP(B1013,Master[Product_Code],Master[Style])</f>
        <v>Formal</v>
      </c>
      <c r="F1013" s="2" t="str">
        <f>_xlfn.XLOOKUP(B1013,Master[Product_Code],Master[Fabric])</f>
        <v>Cotton</v>
      </c>
      <c r="G1013" s="2" t="str">
        <f>_xlfn.XLOOKUP(B1013,Master[Product_Code],Master[Size])</f>
        <v>M</v>
      </c>
      <c r="H1013" s="2" t="str">
        <f>_xlfn.XLOOKUP(B1013,Master[Product_Code],Master[Color])</f>
        <v>Brown</v>
      </c>
      <c r="I1013" s="4">
        <f>_xlfn.XLOOKUP(B1013,Master[Product_Code],Master[Stock_Qty])</f>
        <v>5</v>
      </c>
      <c r="J1013" s="6">
        <f>SUMIFS(
  Sales_Entry[Qty],
  Sales_Entry[Product_Code], Stock_Table[[#This Row],[Product_Code]]
)</f>
        <v>2</v>
      </c>
      <c r="K1013" s="4">
        <f>SUMIFS(
  Exchange_Return[Qty],
  Exchange_Return[Product_Code], Stock_Table[[#This Row],[Product_Code]]
)</f>
        <v>0</v>
      </c>
      <c r="L1013" s="4">
        <f>I1013-J1013+K1013</f>
        <v>3</v>
      </c>
      <c r="M1013" s="2" t="str" cm="1">
        <f t="array" ref="M1013">_xlfn.IFS(L1013=0,"Out of Stock",L1013&gt;=2,"Limited Stock",L1013&lt;2,"In Stock")</f>
        <v>Limited Stock</v>
      </c>
    </row>
    <row r="1014" spans="2:13">
      <c r="B1014" s="2" t="s">
        <v>176</v>
      </c>
      <c r="C1014" s="5" t="str">
        <f>_xlfn.XLOOKUP(B1014,Master[Product_Code],Master[Category])</f>
        <v>Shirt</v>
      </c>
      <c r="D1014" s="2" t="str">
        <f>_xlfn.XLOOKUP(B1014,Master[Product_Code],Master[Brand])</f>
        <v>L7</v>
      </c>
      <c r="E1014" s="2" t="str">
        <f>_xlfn.XLOOKUP(B1014,Master[Product_Code],Master[Style])</f>
        <v>Casual</v>
      </c>
      <c r="F1014" s="2" t="str">
        <f>_xlfn.XLOOKUP(B1014,Master[Product_Code],Master[Fabric])</f>
        <v>Cotton Blend</v>
      </c>
      <c r="G1014" s="2" t="str">
        <f>_xlfn.XLOOKUP(B1014,Master[Product_Code],Master[Size])</f>
        <v>XL</v>
      </c>
      <c r="H1014" s="2" t="str">
        <f>_xlfn.XLOOKUP(B1014,Master[Product_Code],Master[Color])</f>
        <v>Beige</v>
      </c>
      <c r="I1014" s="4">
        <f>_xlfn.XLOOKUP(B1014,Master[Product_Code],Master[Stock_Qty])</f>
        <v>6</v>
      </c>
      <c r="J1014" s="6">
        <f>SUMIFS(
  Sales_Entry[Qty],
  Sales_Entry[Product_Code], Stock_Table[[#This Row],[Product_Code]]
)</f>
        <v>0</v>
      </c>
      <c r="K1014" s="4">
        <f>SUMIFS(
  Exchange_Return[Qty],
  Exchange_Return[Product_Code], Stock_Table[[#This Row],[Product_Code]]
)</f>
        <v>0</v>
      </c>
      <c r="L1014" s="4">
        <f>I1014-J1014+K1014</f>
        <v>6</v>
      </c>
      <c r="M1014" s="2" t="str" cm="1">
        <f t="array" ref="M1014">_xlfn.IFS(L1014=0,"Out of Stock",L1014&gt;=2,"Limited Stock",L1014&lt;2,"In Stock")</f>
        <v>Limited Stock</v>
      </c>
    </row>
    <row r="1015" spans="2:13">
      <c r="B1015" s="2" t="s">
        <v>177</v>
      </c>
      <c r="C1015" s="5" t="str">
        <f>_xlfn.XLOOKUP(B1015,Master[Product_Code],Master[Category])</f>
        <v>Shirt</v>
      </c>
      <c r="D1015" s="2" t="str">
        <f>_xlfn.XLOOKUP(B1015,Master[Product_Code],Master[Brand])</f>
        <v>L7</v>
      </c>
      <c r="E1015" s="2" t="str">
        <f>_xlfn.XLOOKUP(B1015,Master[Product_Code],Master[Style])</f>
        <v>Partywear</v>
      </c>
      <c r="F1015" s="2" t="str">
        <f>_xlfn.XLOOKUP(B1015,Master[Product_Code],Master[Fabric])</f>
        <v>Cotton</v>
      </c>
      <c r="G1015" s="2" t="str">
        <f>_xlfn.XLOOKUP(B1015,Master[Product_Code],Master[Size])</f>
        <v>XL</v>
      </c>
      <c r="H1015" s="2" t="str">
        <f>_xlfn.XLOOKUP(B1015,Master[Product_Code],Master[Color])</f>
        <v>Mustard</v>
      </c>
      <c r="I1015" s="4">
        <f>_xlfn.XLOOKUP(B1015,Master[Product_Code],Master[Stock_Qty])</f>
        <v>5</v>
      </c>
      <c r="J1015" s="6">
        <f>SUMIFS(
  Sales_Entry[Qty],
  Sales_Entry[Product_Code], Stock_Table[[#This Row],[Product_Code]]
)</f>
        <v>3</v>
      </c>
      <c r="K1015" s="4">
        <f>SUMIFS(
  Exchange_Return[Qty],
  Exchange_Return[Product_Code], Stock_Table[[#This Row],[Product_Code]]
)</f>
        <v>0</v>
      </c>
      <c r="L1015" s="4">
        <f>I1015-J1015+K1015</f>
        <v>2</v>
      </c>
      <c r="M1015" s="2" t="str" cm="1">
        <f t="array" ref="M1015">_xlfn.IFS(L1015=0,"Out of Stock",L1015&gt;=2,"Limited Stock",L1015&lt;2,"In Stock")</f>
        <v>Limited Stock</v>
      </c>
    </row>
    <row r="1016" spans="2:13">
      <c r="B1016" s="2" t="s">
        <v>178</v>
      </c>
      <c r="C1016" s="5" t="str">
        <f>_xlfn.XLOOKUP(B1016,Master[Product_Code],Master[Category])</f>
        <v>Shirt</v>
      </c>
      <c r="D1016" s="2" t="str">
        <f>_xlfn.XLOOKUP(B1016,Master[Product_Code],Master[Brand])</f>
        <v>L7</v>
      </c>
      <c r="E1016" s="2" t="str">
        <f>_xlfn.XLOOKUP(B1016,Master[Product_Code],Master[Style])</f>
        <v>Formal</v>
      </c>
      <c r="F1016" s="2" t="str">
        <f>_xlfn.XLOOKUP(B1016,Master[Product_Code],Master[Fabric])</f>
        <v>Cotton</v>
      </c>
      <c r="G1016" s="2" t="str">
        <f>_xlfn.XLOOKUP(B1016,Master[Product_Code],Master[Size])</f>
        <v>L</v>
      </c>
      <c r="H1016" s="2" t="str">
        <f>_xlfn.XLOOKUP(B1016,Master[Product_Code],Master[Color])</f>
        <v>Light Grey</v>
      </c>
      <c r="I1016" s="4">
        <f>_xlfn.XLOOKUP(B1016,Master[Product_Code],Master[Stock_Qty])</f>
        <v>3</v>
      </c>
      <c r="J1016" s="6">
        <f>SUMIFS(
  Sales_Entry[Qty],
  Sales_Entry[Product_Code], Stock_Table[[#This Row],[Product_Code]]
)</f>
        <v>3</v>
      </c>
      <c r="K1016" s="4">
        <f>SUMIFS(
  Exchange_Return[Qty],
  Exchange_Return[Product_Code], Stock_Table[[#This Row],[Product_Code]]
)</f>
        <v>0</v>
      </c>
      <c r="L1016" s="4">
        <f>I1016-J1016+K1016</f>
        <v>0</v>
      </c>
      <c r="M1016" s="2" t="str" cm="1">
        <f t="array" ref="M1016">_xlfn.IFS(L1016=0,"Out of Stock",L1016&gt;=2,"Limited Stock",L1016&lt;2,"In Stock")</f>
        <v>Out of Stock</v>
      </c>
    </row>
    <row r="1017" spans="2:13">
      <c r="B1017" s="2" t="s">
        <v>179</v>
      </c>
      <c r="C1017" s="5" t="str">
        <f>_xlfn.XLOOKUP(B1017,Master[Product_Code],Master[Category])</f>
        <v>Shirt</v>
      </c>
      <c r="D1017" s="2" t="str">
        <f>_xlfn.XLOOKUP(B1017,Master[Product_Code],Master[Brand])</f>
        <v>USD</v>
      </c>
      <c r="E1017" s="2" t="str">
        <f>_xlfn.XLOOKUP(B1017,Master[Product_Code],Master[Style])</f>
        <v>Casual</v>
      </c>
      <c r="F1017" s="2" t="str">
        <f>_xlfn.XLOOKUP(B1017,Master[Product_Code],Master[Fabric])</f>
        <v>Polyester</v>
      </c>
      <c r="G1017" s="2" t="str">
        <f>_xlfn.XLOOKUP(B1017,Master[Product_Code],Master[Size])</f>
        <v>L</v>
      </c>
      <c r="H1017" s="2" t="str">
        <f>_xlfn.XLOOKUP(B1017,Master[Product_Code],Master[Color])</f>
        <v>Olive</v>
      </c>
      <c r="I1017" s="4">
        <f>_xlfn.XLOOKUP(B1017,Master[Product_Code],Master[Stock_Qty])</f>
        <v>6</v>
      </c>
      <c r="J1017" s="6">
        <f>SUMIFS(
  Sales_Entry[Qty],
  Sales_Entry[Product_Code], Stock_Table[[#This Row],[Product_Code]]
)</f>
        <v>2</v>
      </c>
      <c r="K1017" s="4">
        <f>SUMIFS(
  Exchange_Return[Qty],
  Exchange_Return[Product_Code], Stock_Table[[#This Row],[Product_Code]]
)</f>
        <v>0</v>
      </c>
      <c r="L1017" s="4">
        <f>I1017-J1017+K1017</f>
        <v>4</v>
      </c>
      <c r="M1017" s="2" t="str" cm="1">
        <f t="array" ref="M1017">_xlfn.IFS(L1017=0,"Out of Stock",L1017&gt;=2,"Limited Stock",L1017&lt;2,"In Stock")</f>
        <v>Limited Stock</v>
      </c>
    </row>
    <row r="1018" spans="2:13">
      <c r="B1018" s="2" t="s">
        <v>180</v>
      </c>
      <c r="C1018" s="5" t="str">
        <f>_xlfn.XLOOKUP(B1018,Master[Product_Code],Master[Category])</f>
        <v>Shirt</v>
      </c>
      <c r="D1018" s="2" t="str">
        <f>_xlfn.XLOOKUP(B1018,Master[Product_Code],Master[Brand])</f>
        <v>Max</v>
      </c>
      <c r="E1018" s="2" t="str">
        <f>_xlfn.XLOOKUP(B1018,Master[Product_Code],Master[Style])</f>
        <v>Formal</v>
      </c>
      <c r="F1018" s="2" t="str">
        <f>_xlfn.XLOOKUP(B1018,Master[Product_Code],Master[Fabric])</f>
        <v>Polyester</v>
      </c>
      <c r="G1018" s="2" t="str">
        <f>_xlfn.XLOOKUP(B1018,Master[Product_Code],Master[Size])</f>
        <v>L</v>
      </c>
      <c r="H1018" s="2" t="str">
        <f>_xlfn.XLOOKUP(B1018,Master[Product_Code],Master[Color])</f>
        <v>Bottle Green</v>
      </c>
      <c r="I1018" s="4">
        <f>_xlfn.XLOOKUP(B1018,Master[Product_Code],Master[Stock_Qty])</f>
        <v>5</v>
      </c>
      <c r="J1018" s="6">
        <f>SUMIFS(
  Sales_Entry[Qty],
  Sales_Entry[Product_Code], Stock_Table[[#This Row],[Product_Code]]
)</f>
        <v>3</v>
      </c>
      <c r="K1018" s="4">
        <f>SUMIFS(
  Exchange_Return[Qty],
  Exchange_Return[Product_Code], Stock_Table[[#This Row],[Product_Code]]
)</f>
        <v>0</v>
      </c>
      <c r="L1018" s="4">
        <f>I1018-J1018+K1018</f>
        <v>2</v>
      </c>
      <c r="M1018" s="2" t="str" cm="1">
        <f t="array" ref="M1018">_xlfn.IFS(L1018=0,"Out of Stock",L1018&gt;=2,"Limited Stock",L1018&lt;2,"In Stock")</f>
        <v>Limited Stock</v>
      </c>
    </row>
    <row r="1019" spans="2:13">
      <c r="B1019" s="2" t="s">
        <v>181</v>
      </c>
      <c r="C1019" s="5" t="str">
        <f>_xlfn.XLOOKUP(B1019,Master[Product_Code],Master[Category])</f>
        <v>Shirt</v>
      </c>
      <c r="D1019" s="2" t="str">
        <f>_xlfn.XLOOKUP(B1019,Master[Product_Code],Master[Brand])</f>
        <v>L7</v>
      </c>
      <c r="E1019" s="2" t="str">
        <f>_xlfn.XLOOKUP(B1019,Master[Product_Code],Master[Style])</f>
        <v>Formal</v>
      </c>
      <c r="F1019" s="2" t="str">
        <f>_xlfn.XLOOKUP(B1019,Master[Product_Code],Master[Fabric])</f>
        <v>Cotton Blend</v>
      </c>
      <c r="G1019" s="2" t="str">
        <f>_xlfn.XLOOKUP(B1019,Master[Product_Code],Master[Size])</f>
        <v>XL</v>
      </c>
      <c r="H1019" s="2" t="str">
        <f>_xlfn.XLOOKUP(B1019,Master[Product_Code],Master[Color])</f>
        <v>Peach</v>
      </c>
      <c r="I1019" s="4">
        <f>_xlfn.XLOOKUP(B1019,Master[Product_Code],Master[Stock_Qty])</f>
        <v>5</v>
      </c>
      <c r="J1019" s="6">
        <f>SUMIFS(
  Sales_Entry[Qty],
  Sales_Entry[Product_Code], Stock_Table[[#This Row],[Product_Code]]
)</f>
        <v>1</v>
      </c>
      <c r="K1019" s="4">
        <f>SUMIFS(
  Exchange_Return[Qty],
  Exchange_Return[Product_Code], Stock_Table[[#This Row],[Product_Code]]
)</f>
        <v>0</v>
      </c>
      <c r="L1019" s="4">
        <f>I1019-J1019+K1019</f>
        <v>4</v>
      </c>
      <c r="M1019" s="2" t="str" cm="1">
        <f t="array" ref="M1019">_xlfn.IFS(L1019=0,"Out of Stock",L1019&gt;=2,"Limited Stock",L1019&lt;2,"In Stock")</f>
        <v>Limited Stock</v>
      </c>
    </row>
    <row r="1020" spans="2:13">
      <c r="B1020" s="2" t="s">
        <v>182</v>
      </c>
      <c r="C1020" s="5" t="str">
        <f>_xlfn.XLOOKUP(B1020,Master[Product_Code],Master[Category])</f>
        <v>Shirt</v>
      </c>
      <c r="D1020" s="2" t="str">
        <f>_xlfn.XLOOKUP(B1020,Master[Product_Code],Master[Brand])</f>
        <v>Luke &amp; Burg</v>
      </c>
      <c r="E1020" s="2" t="str">
        <f>_xlfn.XLOOKUP(B1020,Master[Product_Code],Master[Style])</f>
        <v>Partywear</v>
      </c>
      <c r="F1020" s="2" t="str">
        <f>_xlfn.XLOOKUP(B1020,Master[Product_Code],Master[Fabric])</f>
        <v>Cotton</v>
      </c>
      <c r="G1020" s="2" t="str">
        <f>_xlfn.XLOOKUP(B1020,Master[Product_Code],Master[Size])</f>
        <v>XL</v>
      </c>
      <c r="H1020" s="2" t="str">
        <f>_xlfn.XLOOKUP(B1020,Master[Product_Code],Master[Color])</f>
        <v>Navy Blue</v>
      </c>
      <c r="I1020" s="4">
        <f>_xlfn.XLOOKUP(B1020,Master[Product_Code],Master[Stock_Qty])</f>
        <v>5</v>
      </c>
      <c r="J1020" s="6">
        <f>SUMIFS(
  Sales_Entry[Qty],
  Sales_Entry[Product_Code], Stock_Table[[#This Row],[Product_Code]]
)</f>
        <v>2</v>
      </c>
      <c r="K1020" s="4">
        <f>SUMIFS(
  Exchange_Return[Qty],
  Exchange_Return[Product_Code], Stock_Table[[#This Row],[Product_Code]]
)</f>
        <v>0</v>
      </c>
      <c r="L1020" s="4">
        <f>I1020-J1020+K1020</f>
        <v>3</v>
      </c>
      <c r="M1020" s="2" t="str" cm="1">
        <f t="array" ref="M1020">_xlfn.IFS(L1020=0,"Out of Stock",L1020&gt;=2,"Limited Stock",L1020&lt;2,"In Stock")</f>
        <v>Limited Stock</v>
      </c>
    </row>
    <row r="1021" spans="2:13">
      <c r="B1021" s="2" t="s">
        <v>183</v>
      </c>
      <c r="C1021" s="5" t="str">
        <f>_xlfn.XLOOKUP(B1021,Master[Product_Code],Master[Category])</f>
        <v>Shirt</v>
      </c>
      <c r="D1021" s="2" t="str">
        <f>_xlfn.XLOOKUP(B1021,Master[Product_Code],Master[Brand])</f>
        <v>British</v>
      </c>
      <c r="E1021" s="2" t="str">
        <f>_xlfn.XLOOKUP(B1021,Master[Product_Code],Master[Style])</f>
        <v>Formal</v>
      </c>
      <c r="F1021" s="2" t="str">
        <f>_xlfn.XLOOKUP(B1021,Master[Product_Code],Master[Fabric])</f>
        <v>Polyester</v>
      </c>
      <c r="G1021" s="2" t="str">
        <f>_xlfn.XLOOKUP(B1021,Master[Product_Code],Master[Size])</f>
        <v>XXL</v>
      </c>
      <c r="H1021" s="2" t="str">
        <f>_xlfn.XLOOKUP(B1021,Master[Product_Code],Master[Color])</f>
        <v>Black</v>
      </c>
      <c r="I1021" s="4">
        <f>_xlfn.XLOOKUP(B1021,Master[Product_Code],Master[Stock_Qty])</f>
        <v>6</v>
      </c>
      <c r="J1021" s="6">
        <f>SUMIFS(
  Sales_Entry[Qty],
  Sales_Entry[Product_Code], Stock_Table[[#This Row],[Product_Code]]
)</f>
        <v>3</v>
      </c>
      <c r="K1021" s="4">
        <f>SUMIFS(
  Exchange_Return[Qty],
  Exchange_Return[Product_Code], Stock_Table[[#This Row],[Product_Code]]
)</f>
        <v>0</v>
      </c>
      <c r="L1021" s="4">
        <f>I1021-J1021+K1021</f>
        <v>3</v>
      </c>
      <c r="M1021" s="2" t="str" cm="1">
        <f t="array" ref="M1021">_xlfn.IFS(L1021=0,"Out of Stock",L1021&gt;=2,"Limited Stock",L1021&lt;2,"In Stock")</f>
        <v>Limited Stock</v>
      </c>
    </row>
    <row r="1022" spans="2:13">
      <c r="B1022" s="2" t="s">
        <v>184</v>
      </c>
      <c r="C1022" s="5" t="str">
        <f>_xlfn.XLOOKUP(B1022,Master[Product_Code],Master[Category])</f>
        <v>Shirt</v>
      </c>
      <c r="D1022" s="2" t="str">
        <f>_xlfn.XLOOKUP(B1022,Master[Product_Code],Master[Brand])</f>
        <v>Zara</v>
      </c>
      <c r="E1022" s="2" t="str">
        <f>_xlfn.XLOOKUP(B1022,Master[Product_Code],Master[Style])</f>
        <v>Formal</v>
      </c>
      <c r="F1022" s="2" t="str">
        <f>_xlfn.XLOOKUP(B1022,Master[Product_Code],Master[Fabric])</f>
        <v>Cotton Blend</v>
      </c>
      <c r="G1022" s="2" t="str">
        <f>_xlfn.XLOOKUP(B1022,Master[Product_Code],Master[Size])</f>
        <v>XXL</v>
      </c>
      <c r="H1022" s="2" t="str">
        <f>_xlfn.XLOOKUP(B1022,Master[Product_Code],Master[Color])</f>
        <v>Peach</v>
      </c>
      <c r="I1022" s="4">
        <f>_xlfn.XLOOKUP(B1022,Master[Product_Code],Master[Stock_Qty])</f>
        <v>6</v>
      </c>
      <c r="J1022" s="6">
        <f>SUMIFS(
  Sales_Entry[Qty],
  Sales_Entry[Product_Code], Stock_Table[[#This Row],[Product_Code]]
)</f>
        <v>2</v>
      </c>
      <c r="K1022" s="4">
        <f>SUMIFS(
  Exchange_Return[Qty],
  Exchange_Return[Product_Code], Stock_Table[[#This Row],[Product_Code]]
)</f>
        <v>0</v>
      </c>
      <c r="L1022" s="4">
        <f>I1022-J1022+K1022</f>
        <v>4</v>
      </c>
      <c r="M1022" s="2" t="str" cm="1">
        <f t="array" ref="M1022">_xlfn.IFS(L1022=0,"Out of Stock",L1022&gt;=2,"Limited Stock",L1022&lt;2,"In Stock")</f>
        <v>Limited Stock</v>
      </c>
    </row>
    <row r="1023" spans="2:13">
      <c r="B1023" s="2" t="s">
        <v>185</v>
      </c>
      <c r="C1023" s="5" t="str">
        <f>_xlfn.XLOOKUP(B1023,Master[Product_Code],Master[Category])</f>
        <v>Shirt</v>
      </c>
      <c r="D1023" s="2" t="str">
        <f>_xlfn.XLOOKUP(B1023,Master[Product_Code],Master[Brand])</f>
        <v>Zara</v>
      </c>
      <c r="E1023" s="2" t="str">
        <f>_xlfn.XLOOKUP(B1023,Master[Product_Code],Master[Style])</f>
        <v>Formal</v>
      </c>
      <c r="F1023" s="2" t="str">
        <f>_xlfn.XLOOKUP(B1023,Master[Product_Code],Master[Fabric])</f>
        <v>Cotton Blend</v>
      </c>
      <c r="G1023" s="2" t="str">
        <f>_xlfn.XLOOKUP(B1023,Master[Product_Code],Master[Size])</f>
        <v>XXL</v>
      </c>
      <c r="H1023" s="2" t="str">
        <f>_xlfn.XLOOKUP(B1023,Master[Product_Code],Master[Color])</f>
        <v>Maroon</v>
      </c>
      <c r="I1023" s="4">
        <f>_xlfn.XLOOKUP(B1023,Master[Product_Code],Master[Stock_Qty])</f>
        <v>5</v>
      </c>
      <c r="J1023" s="6">
        <f>SUMIFS(
  Sales_Entry[Qty],
  Sales_Entry[Product_Code], Stock_Table[[#This Row],[Product_Code]]
)</f>
        <v>0</v>
      </c>
      <c r="K1023" s="4">
        <f>SUMIFS(
  Exchange_Return[Qty],
  Exchange_Return[Product_Code], Stock_Table[[#This Row],[Product_Code]]
)</f>
        <v>0</v>
      </c>
      <c r="L1023" s="4">
        <f>I1023-J1023+K1023</f>
        <v>5</v>
      </c>
      <c r="M1023" s="2" t="str" cm="1">
        <f t="array" ref="M1023">_xlfn.IFS(L1023=0,"Out of Stock",L1023&gt;=2,"Limited Stock",L1023&lt;2,"In Stock")</f>
        <v>Limited Stock</v>
      </c>
    </row>
    <row r="1024" spans="2:13">
      <c r="B1024" s="2" t="s">
        <v>186</v>
      </c>
      <c r="C1024" s="5" t="str">
        <f>_xlfn.XLOOKUP(B1024,Master[Product_Code],Master[Category])</f>
        <v>Shirt</v>
      </c>
      <c r="D1024" s="2" t="str">
        <f>_xlfn.XLOOKUP(B1024,Master[Product_Code],Master[Brand])</f>
        <v>Max</v>
      </c>
      <c r="E1024" s="2" t="str">
        <f>_xlfn.XLOOKUP(B1024,Master[Product_Code],Master[Style])</f>
        <v>Formal</v>
      </c>
      <c r="F1024" s="2" t="str">
        <f>_xlfn.XLOOKUP(B1024,Master[Product_Code],Master[Fabric])</f>
        <v>Cotton</v>
      </c>
      <c r="G1024" s="2" t="str">
        <f>_xlfn.XLOOKUP(B1024,Master[Product_Code],Master[Size])</f>
        <v>XXL</v>
      </c>
      <c r="H1024" s="2" t="str">
        <f>_xlfn.XLOOKUP(B1024,Master[Product_Code],Master[Color])</f>
        <v>Charcoal</v>
      </c>
      <c r="I1024" s="4">
        <f>_xlfn.XLOOKUP(B1024,Master[Product_Code],Master[Stock_Qty])</f>
        <v>4</v>
      </c>
      <c r="J1024" s="6">
        <f>SUMIFS(
  Sales_Entry[Qty],
  Sales_Entry[Product_Code], Stock_Table[[#This Row],[Product_Code]]
)</f>
        <v>0</v>
      </c>
      <c r="K1024" s="4">
        <f>SUMIFS(
  Exchange_Return[Qty],
  Exchange_Return[Product_Code], Stock_Table[[#This Row],[Product_Code]]
)</f>
        <v>0</v>
      </c>
      <c r="L1024" s="4">
        <f>I1024-J1024+K1024</f>
        <v>4</v>
      </c>
      <c r="M1024" s="2" t="str" cm="1">
        <f t="array" ref="M1024">_xlfn.IFS(L1024=0,"Out of Stock",L1024&gt;=2,"Limited Stock",L1024&lt;2,"In Stock")</f>
        <v>Limited Stock</v>
      </c>
    </row>
    <row r="1025" spans="2:13">
      <c r="B1025" s="2" t="s">
        <v>187</v>
      </c>
      <c r="C1025" s="5" t="str">
        <f>_xlfn.XLOOKUP(B1025,Master[Product_Code],Master[Category])</f>
        <v>Shirt</v>
      </c>
      <c r="D1025" s="2" t="str">
        <f>_xlfn.XLOOKUP(B1025,Master[Product_Code],Master[Brand])</f>
        <v>H&amp;M</v>
      </c>
      <c r="E1025" s="2" t="str">
        <f>_xlfn.XLOOKUP(B1025,Master[Product_Code],Master[Style])</f>
        <v>Formal</v>
      </c>
      <c r="F1025" s="2" t="str">
        <f>_xlfn.XLOOKUP(B1025,Master[Product_Code],Master[Fabric])</f>
        <v>Polyester</v>
      </c>
      <c r="G1025" s="2" t="str">
        <f>_xlfn.XLOOKUP(B1025,Master[Product_Code],Master[Size])</f>
        <v>S</v>
      </c>
      <c r="H1025" s="2" t="str">
        <f>_xlfn.XLOOKUP(B1025,Master[Product_Code],Master[Color])</f>
        <v>Charcoal</v>
      </c>
      <c r="I1025" s="4">
        <f>_xlfn.XLOOKUP(B1025,Master[Product_Code],Master[Stock_Qty])</f>
        <v>3</v>
      </c>
      <c r="J1025" s="6">
        <f>SUMIFS(
  Sales_Entry[Qty],
  Sales_Entry[Product_Code], Stock_Table[[#This Row],[Product_Code]]
)</f>
        <v>1</v>
      </c>
      <c r="K1025" s="4">
        <f>SUMIFS(
  Exchange_Return[Qty],
  Exchange_Return[Product_Code], Stock_Table[[#This Row],[Product_Code]]
)</f>
        <v>0</v>
      </c>
      <c r="L1025" s="4">
        <f>I1025-J1025+K1025</f>
        <v>2</v>
      </c>
      <c r="M1025" s="2" t="str" cm="1">
        <f t="array" ref="M1025">_xlfn.IFS(L1025=0,"Out of Stock",L1025&gt;=2,"Limited Stock",L1025&lt;2,"In Stock")</f>
        <v>Limited Stock</v>
      </c>
    </row>
    <row r="1026" spans="2:13">
      <c r="B1026" s="2" t="s">
        <v>188</v>
      </c>
      <c r="C1026" s="5" t="str">
        <f>_xlfn.XLOOKUP(B1026,Master[Product_Code],Master[Category])</f>
        <v>Shirt</v>
      </c>
      <c r="D1026" s="2" t="str">
        <f>_xlfn.XLOOKUP(B1026,Master[Product_Code],Master[Brand])</f>
        <v>L7</v>
      </c>
      <c r="E1026" s="2" t="str">
        <f>_xlfn.XLOOKUP(B1026,Master[Product_Code],Master[Style])</f>
        <v>Partywear</v>
      </c>
      <c r="F1026" s="2" t="str">
        <f>_xlfn.XLOOKUP(B1026,Master[Product_Code],Master[Fabric])</f>
        <v>Lycra</v>
      </c>
      <c r="G1026" s="2" t="str">
        <f>_xlfn.XLOOKUP(B1026,Master[Product_Code],Master[Size])</f>
        <v>XL</v>
      </c>
      <c r="H1026" s="2" t="str">
        <f>_xlfn.XLOOKUP(B1026,Master[Product_Code],Master[Color])</f>
        <v>Brown</v>
      </c>
      <c r="I1026" s="4">
        <f>_xlfn.XLOOKUP(B1026,Master[Product_Code],Master[Stock_Qty])</f>
        <v>5</v>
      </c>
      <c r="J1026" s="6">
        <f>SUMIFS(
  Sales_Entry[Qty],
  Sales_Entry[Product_Code], Stock_Table[[#This Row],[Product_Code]]
)</f>
        <v>3</v>
      </c>
      <c r="K1026" s="4">
        <f>SUMIFS(
  Exchange_Return[Qty],
  Exchange_Return[Product_Code], Stock_Table[[#This Row],[Product_Code]]
)</f>
        <v>1</v>
      </c>
      <c r="L1026" s="4">
        <f>I1026-J1026+K1026</f>
        <v>3</v>
      </c>
      <c r="M1026" s="2" t="str" cm="1">
        <f t="array" ref="M1026">_xlfn.IFS(L1026=0,"Out of Stock",L1026&gt;=2,"Limited Stock",L1026&lt;2,"In Stock")</f>
        <v>Limited Stock</v>
      </c>
    </row>
    <row r="1027" spans="2:13">
      <c r="B1027" s="2" t="s">
        <v>189</v>
      </c>
      <c r="C1027" s="5" t="str">
        <f>_xlfn.XLOOKUP(B1027,Master[Product_Code],Master[Category])</f>
        <v>Shirt</v>
      </c>
      <c r="D1027" s="2" t="str">
        <f>_xlfn.XLOOKUP(B1027,Master[Product_Code],Master[Brand])</f>
        <v>Max</v>
      </c>
      <c r="E1027" s="2" t="str">
        <f>_xlfn.XLOOKUP(B1027,Master[Product_Code],Master[Style])</f>
        <v>Casual</v>
      </c>
      <c r="F1027" s="2" t="str">
        <f>_xlfn.XLOOKUP(B1027,Master[Product_Code],Master[Fabric])</f>
        <v>Lycra</v>
      </c>
      <c r="G1027" s="2" t="str">
        <f>_xlfn.XLOOKUP(B1027,Master[Product_Code],Master[Size])</f>
        <v>XL</v>
      </c>
      <c r="H1027" s="2" t="str">
        <f>_xlfn.XLOOKUP(B1027,Master[Product_Code],Master[Color])</f>
        <v>Dark Green</v>
      </c>
      <c r="I1027" s="4">
        <f>_xlfn.XLOOKUP(B1027,Master[Product_Code],Master[Stock_Qty])</f>
        <v>4</v>
      </c>
      <c r="J1027" s="6">
        <f>SUMIFS(
  Sales_Entry[Qty],
  Sales_Entry[Product_Code], Stock_Table[[#This Row],[Product_Code]]
)</f>
        <v>1</v>
      </c>
      <c r="K1027" s="4">
        <f>SUMIFS(
  Exchange_Return[Qty],
  Exchange_Return[Product_Code], Stock_Table[[#This Row],[Product_Code]]
)</f>
        <v>1</v>
      </c>
      <c r="L1027" s="4">
        <f>I1027-J1027+K1027</f>
        <v>4</v>
      </c>
      <c r="M1027" s="2" t="str" cm="1">
        <f t="array" ref="M1027">_xlfn.IFS(L1027=0,"Out of Stock",L1027&gt;=2,"Limited Stock",L1027&lt;2,"In Stock")</f>
        <v>Limited Stock</v>
      </c>
    </row>
    <row r="1028" spans="2:13">
      <c r="B1028" s="2" t="s">
        <v>190</v>
      </c>
      <c r="C1028" s="5" t="str">
        <f>_xlfn.XLOOKUP(B1028,Master[Product_Code],Master[Category])</f>
        <v>Shirt</v>
      </c>
      <c r="D1028" s="2" t="str">
        <f>_xlfn.XLOOKUP(B1028,Master[Product_Code],Master[Brand])</f>
        <v>G Studio</v>
      </c>
      <c r="E1028" s="2" t="str">
        <f>_xlfn.XLOOKUP(B1028,Master[Product_Code],Master[Style])</f>
        <v>Partywear</v>
      </c>
      <c r="F1028" s="2" t="str">
        <f>_xlfn.XLOOKUP(B1028,Master[Product_Code],Master[Fabric])</f>
        <v>Lycra</v>
      </c>
      <c r="G1028" s="2" t="str">
        <f>_xlfn.XLOOKUP(B1028,Master[Product_Code],Master[Size])</f>
        <v>S</v>
      </c>
      <c r="H1028" s="2" t="str">
        <f>_xlfn.XLOOKUP(B1028,Master[Product_Code],Master[Color])</f>
        <v>Beige</v>
      </c>
      <c r="I1028" s="4">
        <f>_xlfn.XLOOKUP(B1028,Master[Product_Code],Master[Stock_Qty])</f>
        <v>6</v>
      </c>
      <c r="J1028" s="6">
        <f>SUMIFS(
  Sales_Entry[Qty],
  Sales_Entry[Product_Code], Stock_Table[[#This Row],[Product_Code]]
)</f>
        <v>1</v>
      </c>
      <c r="K1028" s="4">
        <f>SUMIFS(
  Exchange_Return[Qty],
  Exchange_Return[Product_Code], Stock_Table[[#This Row],[Product_Code]]
)</f>
        <v>0</v>
      </c>
      <c r="L1028" s="4">
        <f>I1028-J1028+K1028</f>
        <v>5</v>
      </c>
      <c r="M1028" s="2" t="str" cm="1">
        <f t="array" ref="M1028">_xlfn.IFS(L1028=0,"Out of Stock",L1028&gt;=2,"Limited Stock",L1028&lt;2,"In Stock")</f>
        <v>Limited Stock</v>
      </c>
    </row>
    <row r="1029" spans="2:13">
      <c r="B1029" s="2" t="s">
        <v>191</v>
      </c>
      <c r="C1029" s="5" t="str">
        <f>_xlfn.XLOOKUP(B1029,Master[Product_Code],Master[Category])</f>
        <v>Shirt</v>
      </c>
      <c r="D1029" s="2" t="str">
        <f>_xlfn.XLOOKUP(B1029,Master[Product_Code],Master[Brand])</f>
        <v>H&amp;M</v>
      </c>
      <c r="E1029" s="2" t="str">
        <f>_xlfn.XLOOKUP(B1029,Master[Product_Code],Master[Style])</f>
        <v>Casual</v>
      </c>
      <c r="F1029" s="2" t="str">
        <f>_xlfn.XLOOKUP(B1029,Master[Product_Code],Master[Fabric])</f>
        <v>Cotton</v>
      </c>
      <c r="G1029" s="2" t="str">
        <f>_xlfn.XLOOKUP(B1029,Master[Product_Code],Master[Size])</f>
        <v>L</v>
      </c>
      <c r="H1029" s="2" t="str">
        <f>_xlfn.XLOOKUP(B1029,Master[Product_Code],Master[Color])</f>
        <v>Brown</v>
      </c>
      <c r="I1029" s="4">
        <f>_xlfn.XLOOKUP(B1029,Master[Product_Code],Master[Stock_Qty])</f>
        <v>6</v>
      </c>
      <c r="J1029" s="6">
        <f>SUMIFS(
  Sales_Entry[Qty],
  Sales_Entry[Product_Code], Stock_Table[[#This Row],[Product_Code]]
)</f>
        <v>0</v>
      </c>
      <c r="K1029" s="4">
        <f>SUMIFS(
  Exchange_Return[Qty],
  Exchange_Return[Product_Code], Stock_Table[[#This Row],[Product_Code]]
)</f>
        <v>0</v>
      </c>
      <c r="L1029" s="4">
        <f>I1029-J1029+K1029</f>
        <v>6</v>
      </c>
      <c r="M1029" s="2" t="str" cm="1">
        <f t="array" ref="M1029">_xlfn.IFS(L1029=0,"Out of Stock",L1029&gt;=2,"Limited Stock",L1029&lt;2,"In Stock")</f>
        <v>Limited Stock</v>
      </c>
    </row>
    <row r="1030" spans="2:13">
      <c r="B1030" s="2" t="s">
        <v>192</v>
      </c>
      <c r="C1030" s="5" t="str">
        <f>_xlfn.XLOOKUP(B1030,Master[Product_Code],Master[Category])</f>
        <v>Shirt</v>
      </c>
      <c r="D1030" s="2" t="str">
        <f>_xlfn.XLOOKUP(B1030,Master[Product_Code],Master[Brand])</f>
        <v>USD</v>
      </c>
      <c r="E1030" s="2" t="str">
        <f>_xlfn.XLOOKUP(B1030,Master[Product_Code],Master[Style])</f>
        <v>Casual</v>
      </c>
      <c r="F1030" s="2" t="str">
        <f>_xlfn.XLOOKUP(B1030,Master[Product_Code],Master[Fabric])</f>
        <v>Polyester</v>
      </c>
      <c r="G1030" s="2" t="str">
        <f>_xlfn.XLOOKUP(B1030,Master[Product_Code],Master[Size])</f>
        <v>L</v>
      </c>
      <c r="H1030" s="2" t="str">
        <f>_xlfn.XLOOKUP(B1030,Master[Product_Code],Master[Color])</f>
        <v>Mustard</v>
      </c>
      <c r="I1030" s="4">
        <f>_xlfn.XLOOKUP(B1030,Master[Product_Code],Master[Stock_Qty])</f>
        <v>6</v>
      </c>
      <c r="J1030" s="6">
        <f>SUMIFS(
  Sales_Entry[Qty],
  Sales_Entry[Product_Code], Stock_Table[[#This Row],[Product_Code]]
)</f>
        <v>3</v>
      </c>
      <c r="K1030" s="4">
        <f>SUMIFS(
  Exchange_Return[Qty],
  Exchange_Return[Product_Code], Stock_Table[[#This Row],[Product_Code]]
)</f>
        <v>0</v>
      </c>
      <c r="L1030" s="4">
        <f>I1030-J1030+K1030</f>
        <v>3</v>
      </c>
      <c r="M1030" s="2" t="str" cm="1">
        <f t="array" ref="M1030">_xlfn.IFS(L1030=0,"Out of Stock",L1030&gt;=2,"Limited Stock",L1030&lt;2,"In Stock")</f>
        <v>Limited Stock</v>
      </c>
    </row>
    <row r="1031" spans="2:13">
      <c r="B1031" s="2" t="s">
        <v>193</v>
      </c>
      <c r="C1031" s="5" t="str">
        <f>_xlfn.XLOOKUP(B1031,Master[Product_Code],Master[Category])</f>
        <v>Shirt</v>
      </c>
      <c r="D1031" s="2" t="str">
        <f>_xlfn.XLOOKUP(B1031,Master[Product_Code],Master[Brand])</f>
        <v>British</v>
      </c>
      <c r="E1031" s="2" t="str">
        <f>_xlfn.XLOOKUP(B1031,Master[Product_Code],Master[Style])</f>
        <v>Formal</v>
      </c>
      <c r="F1031" s="2" t="str">
        <f>_xlfn.XLOOKUP(B1031,Master[Product_Code],Master[Fabric])</f>
        <v>Lycra</v>
      </c>
      <c r="G1031" s="2" t="str">
        <f>_xlfn.XLOOKUP(B1031,Master[Product_Code],Master[Size])</f>
        <v>XXL</v>
      </c>
      <c r="H1031" s="2" t="str">
        <f>_xlfn.XLOOKUP(B1031,Master[Product_Code],Master[Color])</f>
        <v>Rust</v>
      </c>
      <c r="I1031" s="4">
        <f>_xlfn.XLOOKUP(B1031,Master[Product_Code],Master[Stock_Qty])</f>
        <v>4</v>
      </c>
      <c r="J1031" s="6">
        <f>SUMIFS(
  Sales_Entry[Qty],
  Sales_Entry[Product_Code], Stock_Table[[#This Row],[Product_Code]]
)</f>
        <v>2</v>
      </c>
      <c r="K1031" s="4">
        <f>SUMIFS(
  Exchange_Return[Qty],
  Exchange_Return[Product_Code], Stock_Table[[#This Row],[Product_Code]]
)</f>
        <v>0</v>
      </c>
      <c r="L1031" s="4">
        <f>I1031-J1031+K1031</f>
        <v>2</v>
      </c>
      <c r="M1031" s="2" t="str" cm="1">
        <f t="array" ref="M1031">_xlfn.IFS(L1031=0,"Out of Stock",L1031&gt;=2,"Limited Stock",L1031&lt;2,"In Stock")</f>
        <v>Limited Stock</v>
      </c>
    </row>
    <row r="1032" spans="2:13">
      <c r="B1032" s="2" t="s">
        <v>194</v>
      </c>
      <c r="C1032" s="5" t="str">
        <f>_xlfn.XLOOKUP(B1032,Master[Product_Code],Master[Category])</f>
        <v>Shirt</v>
      </c>
      <c r="D1032" s="2" t="str">
        <f>_xlfn.XLOOKUP(B1032,Master[Product_Code],Master[Brand])</f>
        <v>Luke &amp; Burg</v>
      </c>
      <c r="E1032" s="2" t="str">
        <f>_xlfn.XLOOKUP(B1032,Master[Product_Code],Master[Style])</f>
        <v>Formal</v>
      </c>
      <c r="F1032" s="2" t="str">
        <f>_xlfn.XLOOKUP(B1032,Master[Product_Code],Master[Fabric])</f>
        <v>Cotton Blend</v>
      </c>
      <c r="G1032" s="2" t="str">
        <f>_xlfn.XLOOKUP(B1032,Master[Product_Code],Master[Size])</f>
        <v>XL</v>
      </c>
      <c r="H1032" s="2" t="str">
        <f>_xlfn.XLOOKUP(B1032,Master[Product_Code],Master[Color])</f>
        <v>Rust</v>
      </c>
      <c r="I1032" s="4">
        <f>_xlfn.XLOOKUP(B1032,Master[Product_Code],Master[Stock_Qty])</f>
        <v>6</v>
      </c>
      <c r="J1032" s="6">
        <f>SUMIFS(
  Sales_Entry[Qty],
  Sales_Entry[Product_Code], Stock_Table[[#This Row],[Product_Code]]
)</f>
        <v>0</v>
      </c>
      <c r="K1032" s="4">
        <f>SUMIFS(
  Exchange_Return[Qty],
  Exchange_Return[Product_Code], Stock_Table[[#This Row],[Product_Code]]
)</f>
        <v>0</v>
      </c>
      <c r="L1032" s="4">
        <f>I1032-J1032+K1032</f>
        <v>6</v>
      </c>
      <c r="M1032" s="2" t="str" cm="1">
        <f t="array" ref="M1032">_xlfn.IFS(L1032=0,"Out of Stock",L1032&gt;=2,"Limited Stock",L1032&lt;2,"In Stock")</f>
        <v>Limited Stock</v>
      </c>
    </row>
    <row r="1033" spans="2:13">
      <c r="B1033" s="2" t="s">
        <v>195</v>
      </c>
      <c r="C1033" s="5" t="str">
        <f>_xlfn.XLOOKUP(B1033,Master[Product_Code],Master[Category])</f>
        <v>Shirt</v>
      </c>
      <c r="D1033" s="2" t="str">
        <f>_xlfn.XLOOKUP(B1033,Master[Product_Code],Master[Brand])</f>
        <v>USD</v>
      </c>
      <c r="E1033" s="2" t="str">
        <f>_xlfn.XLOOKUP(B1033,Master[Product_Code],Master[Style])</f>
        <v>Casual</v>
      </c>
      <c r="F1033" s="2" t="str">
        <f>_xlfn.XLOOKUP(B1033,Master[Product_Code],Master[Fabric])</f>
        <v>Cotton</v>
      </c>
      <c r="G1033" s="2" t="str">
        <f>_xlfn.XLOOKUP(B1033,Master[Product_Code],Master[Size])</f>
        <v>M</v>
      </c>
      <c r="H1033" s="2" t="str">
        <f>_xlfn.XLOOKUP(B1033,Master[Product_Code],Master[Color])</f>
        <v>Wine</v>
      </c>
      <c r="I1033" s="4">
        <f>_xlfn.XLOOKUP(B1033,Master[Product_Code],Master[Stock_Qty])</f>
        <v>5</v>
      </c>
      <c r="J1033" s="6">
        <f>SUMIFS(
  Sales_Entry[Qty],
  Sales_Entry[Product_Code], Stock_Table[[#This Row],[Product_Code]]
)</f>
        <v>1</v>
      </c>
      <c r="K1033" s="4">
        <f>SUMIFS(
  Exchange_Return[Qty],
  Exchange_Return[Product_Code], Stock_Table[[#This Row],[Product_Code]]
)</f>
        <v>0</v>
      </c>
      <c r="L1033" s="4">
        <f>I1033-J1033+K1033</f>
        <v>4</v>
      </c>
      <c r="M1033" s="2" t="str" cm="1">
        <f t="array" ref="M1033">_xlfn.IFS(L1033=0,"Out of Stock",L1033&gt;=2,"Limited Stock",L1033&lt;2,"In Stock")</f>
        <v>Limited Stock</v>
      </c>
    </row>
    <row r="1034" spans="2:13">
      <c r="B1034" s="2" t="s">
        <v>196</v>
      </c>
      <c r="C1034" s="5" t="str">
        <f>_xlfn.XLOOKUP(B1034,Master[Product_Code],Master[Category])</f>
        <v>Shirt</v>
      </c>
      <c r="D1034" s="2" t="str">
        <f>_xlfn.XLOOKUP(B1034,Master[Product_Code],Master[Brand])</f>
        <v>L7</v>
      </c>
      <c r="E1034" s="2" t="str">
        <f>_xlfn.XLOOKUP(B1034,Master[Product_Code],Master[Style])</f>
        <v>Casual</v>
      </c>
      <c r="F1034" s="2" t="str">
        <f>_xlfn.XLOOKUP(B1034,Master[Product_Code],Master[Fabric])</f>
        <v>Cotton</v>
      </c>
      <c r="G1034" s="2" t="str">
        <f>_xlfn.XLOOKUP(B1034,Master[Product_Code],Master[Size])</f>
        <v>XXL</v>
      </c>
      <c r="H1034" s="2" t="str">
        <f>_xlfn.XLOOKUP(B1034,Master[Product_Code],Master[Color])</f>
        <v>Cream</v>
      </c>
      <c r="I1034" s="4">
        <f>_xlfn.XLOOKUP(B1034,Master[Product_Code],Master[Stock_Qty])</f>
        <v>3</v>
      </c>
      <c r="J1034" s="6">
        <f>SUMIFS(
  Sales_Entry[Qty],
  Sales_Entry[Product_Code], Stock_Table[[#This Row],[Product_Code]]
)</f>
        <v>0</v>
      </c>
      <c r="K1034" s="4">
        <f>SUMIFS(
  Exchange_Return[Qty],
  Exchange_Return[Product_Code], Stock_Table[[#This Row],[Product_Code]]
)</f>
        <v>0</v>
      </c>
      <c r="L1034" s="4">
        <f>I1034-J1034+K1034</f>
        <v>3</v>
      </c>
      <c r="M1034" s="2" t="str" cm="1">
        <f t="array" ref="M1034">_xlfn.IFS(L1034=0,"Out of Stock",L1034&gt;=2,"Limited Stock",L1034&lt;2,"In Stock")</f>
        <v>Limited Stock</v>
      </c>
    </row>
    <row r="1035" spans="2:13">
      <c r="B1035" s="2" t="s">
        <v>197</v>
      </c>
      <c r="C1035" s="5" t="str">
        <f>_xlfn.XLOOKUP(B1035,Master[Product_Code],Master[Category])</f>
        <v>Shirt</v>
      </c>
      <c r="D1035" s="2" t="str">
        <f>_xlfn.XLOOKUP(B1035,Master[Product_Code],Master[Brand])</f>
        <v>USD</v>
      </c>
      <c r="E1035" s="2" t="str">
        <f>_xlfn.XLOOKUP(B1035,Master[Product_Code],Master[Style])</f>
        <v>Casual</v>
      </c>
      <c r="F1035" s="2" t="str">
        <f>_xlfn.XLOOKUP(B1035,Master[Product_Code],Master[Fabric])</f>
        <v>Lycra</v>
      </c>
      <c r="G1035" s="2" t="str">
        <f>_xlfn.XLOOKUP(B1035,Master[Product_Code],Master[Size])</f>
        <v>S</v>
      </c>
      <c r="H1035" s="2" t="str">
        <f>_xlfn.XLOOKUP(B1035,Master[Product_Code],Master[Color])</f>
        <v>Peach</v>
      </c>
      <c r="I1035" s="4">
        <f>_xlfn.XLOOKUP(B1035,Master[Product_Code],Master[Stock_Qty])</f>
        <v>5</v>
      </c>
      <c r="J1035" s="6">
        <f>SUMIFS(
  Sales_Entry[Qty],
  Sales_Entry[Product_Code], Stock_Table[[#This Row],[Product_Code]]
)</f>
        <v>0</v>
      </c>
      <c r="K1035" s="4">
        <f>SUMIFS(
  Exchange_Return[Qty],
  Exchange_Return[Product_Code], Stock_Table[[#This Row],[Product_Code]]
)</f>
        <v>0</v>
      </c>
      <c r="L1035" s="4">
        <f>I1035-J1035+K1035</f>
        <v>5</v>
      </c>
      <c r="M1035" s="2" t="str" cm="1">
        <f t="array" ref="M1035">_xlfn.IFS(L1035=0,"Out of Stock",L1035&gt;=2,"Limited Stock",L1035&lt;2,"In Stock")</f>
        <v>Limited Stock</v>
      </c>
    </row>
    <row r="1036" spans="2:13">
      <c r="B1036" s="2" t="s">
        <v>198</v>
      </c>
      <c r="C1036" s="5" t="str">
        <f>_xlfn.XLOOKUP(B1036,Master[Product_Code],Master[Category])</f>
        <v>Shirt</v>
      </c>
      <c r="D1036" s="2" t="str">
        <f>_xlfn.XLOOKUP(B1036,Master[Product_Code],Master[Brand])</f>
        <v>Luke &amp; Burg</v>
      </c>
      <c r="E1036" s="2" t="str">
        <f>_xlfn.XLOOKUP(B1036,Master[Product_Code],Master[Style])</f>
        <v>Partywear</v>
      </c>
      <c r="F1036" s="2" t="str">
        <f>_xlfn.XLOOKUP(B1036,Master[Product_Code],Master[Fabric])</f>
        <v>Cotton</v>
      </c>
      <c r="G1036" s="2" t="str">
        <f>_xlfn.XLOOKUP(B1036,Master[Product_Code],Master[Size])</f>
        <v>L</v>
      </c>
      <c r="H1036" s="2" t="str">
        <f>_xlfn.XLOOKUP(B1036,Master[Product_Code],Master[Color])</f>
        <v>Dark Green</v>
      </c>
      <c r="I1036" s="4">
        <f>_xlfn.XLOOKUP(B1036,Master[Product_Code],Master[Stock_Qty])</f>
        <v>6</v>
      </c>
      <c r="J1036" s="6">
        <f>SUMIFS(
  Sales_Entry[Qty],
  Sales_Entry[Product_Code], Stock_Table[[#This Row],[Product_Code]]
)</f>
        <v>1</v>
      </c>
      <c r="K1036" s="4">
        <f>SUMIFS(
  Exchange_Return[Qty],
  Exchange_Return[Product_Code], Stock_Table[[#This Row],[Product_Code]]
)</f>
        <v>0</v>
      </c>
      <c r="L1036" s="4">
        <f>I1036-J1036+K1036</f>
        <v>5</v>
      </c>
      <c r="M1036" s="2" t="str" cm="1">
        <f t="array" ref="M1036">_xlfn.IFS(L1036=0,"Out of Stock",L1036&gt;=2,"Limited Stock",L1036&lt;2,"In Stock")</f>
        <v>Limited Stock</v>
      </c>
    </row>
    <row r="1037" spans="2:13">
      <c r="B1037" s="2" t="s">
        <v>199</v>
      </c>
      <c r="C1037" s="5" t="str">
        <f>_xlfn.XLOOKUP(B1037,Master[Product_Code],Master[Category])</f>
        <v>Shirt</v>
      </c>
      <c r="D1037" s="2" t="str">
        <f>_xlfn.XLOOKUP(B1037,Master[Product_Code],Master[Brand])</f>
        <v>Max</v>
      </c>
      <c r="E1037" s="2" t="str">
        <f>_xlfn.XLOOKUP(B1037,Master[Product_Code],Master[Style])</f>
        <v>Partywear</v>
      </c>
      <c r="F1037" s="2" t="str">
        <f>_xlfn.XLOOKUP(B1037,Master[Product_Code],Master[Fabric])</f>
        <v>Cotton</v>
      </c>
      <c r="G1037" s="2" t="str">
        <f>_xlfn.XLOOKUP(B1037,Master[Product_Code],Master[Size])</f>
        <v>XXL</v>
      </c>
      <c r="H1037" s="2" t="str">
        <f>_xlfn.XLOOKUP(B1037,Master[Product_Code],Master[Color])</f>
        <v>Navy Blue</v>
      </c>
      <c r="I1037" s="4">
        <f>_xlfn.XLOOKUP(B1037,Master[Product_Code],Master[Stock_Qty])</f>
        <v>4</v>
      </c>
      <c r="J1037" s="6">
        <f>SUMIFS(
  Sales_Entry[Qty],
  Sales_Entry[Product_Code], Stock_Table[[#This Row],[Product_Code]]
)</f>
        <v>1</v>
      </c>
      <c r="K1037" s="4">
        <f>SUMIFS(
  Exchange_Return[Qty],
  Exchange_Return[Product_Code], Stock_Table[[#This Row],[Product_Code]]
)</f>
        <v>0</v>
      </c>
      <c r="L1037" s="4">
        <f>I1037-J1037+K1037</f>
        <v>3</v>
      </c>
      <c r="M1037" s="2" t="str" cm="1">
        <f t="array" ref="M1037">_xlfn.IFS(L1037=0,"Out of Stock",L1037&gt;=2,"Limited Stock",L1037&lt;2,"In Stock")</f>
        <v>Limited Stock</v>
      </c>
    </row>
    <row r="1038" spans="2:13">
      <c r="B1038" s="2" t="s">
        <v>200</v>
      </c>
      <c r="C1038" s="5" t="str">
        <f>_xlfn.XLOOKUP(B1038,Master[Product_Code],Master[Category])</f>
        <v>Shirt</v>
      </c>
      <c r="D1038" s="2" t="str">
        <f>_xlfn.XLOOKUP(B1038,Master[Product_Code],Master[Brand])</f>
        <v>Thailand</v>
      </c>
      <c r="E1038" s="2" t="str">
        <f>_xlfn.XLOOKUP(B1038,Master[Product_Code],Master[Style])</f>
        <v>Formal</v>
      </c>
      <c r="F1038" s="2" t="str">
        <f>_xlfn.XLOOKUP(B1038,Master[Product_Code],Master[Fabric])</f>
        <v>Cotton</v>
      </c>
      <c r="G1038" s="2" t="str">
        <f>_xlfn.XLOOKUP(B1038,Master[Product_Code],Master[Size])</f>
        <v>XL</v>
      </c>
      <c r="H1038" s="2" t="str">
        <f>_xlfn.XLOOKUP(B1038,Master[Product_Code],Master[Color])</f>
        <v>Sky Blue</v>
      </c>
      <c r="I1038" s="4">
        <f>_xlfn.XLOOKUP(B1038,Master[Product_Code],Master[Stock_Qty])</f>
        <v>3</v>
      </c>
      <c r="J1038" s="6">
        <f>SUMIFS(
  Sales_Entry[Qty],
  Sales_Entry[Product_Code], Stock_Table[[#This Row],[Product_Code]]
)</f>
        <v>1</v>
      </c>
      <c r="K1038" s="4">
        <f>SUMIFS(
  Exchange_Return[Qty],
  Exchange_Return[Product_Code], Stock_Table[[#This Row],[Product_Code]]
)</f>
        <v>0</v>
      </c>
      <c r="L1038" s="4">
        <f>I1038-J1038+K1038</f>
        <v>2</v>
      </c>
      <c r="M1038" s="2" t="str" cm="1">
        <f t="array" ref="M1038">_xlfn.IFS(L1038=0,"Out of Stock",L1038&gt;=2,"Limited Stock",L1038&lt;2,"In Stock")</f>
        <v>Limited Stock</v>
      </c>
    </row>
    <row r="1039" spans="2:13">
      <c r="B1039" s="2" t="s">
        <v>201</v>
      </c>
      <c r="C1039" s="5" t="str">
        <f>_xlfn.XLOOKUP(B1039,Master[Product_Code],Master[Category])</f>
        <v>Shirt</v>
      </c>
      <c r="D1039" s="2" t="str">
        <f>_xlfn.XLOOKUP(B1039,Master[Product_Code],Master[Brand])</f>
        <v>USD</v>
      </c>
      <c r="E1039" s="2" t="str">
        <f>_xlfn.XLOOKUP(B1039,Master[Product_Code],Master[Style])</f>
        <v>Partywear</v>
      </c>
      <c r="F1039" s="2" t="str">
        <f>_xlfn.XLOOKUP(B1039,Master[Product_Code],Master[Fabric])</f>
        <v>Cotton Blend</v>
      </c>
      <c r="G1039" s="2" t="str">
        <f>_xlfn.XLOOKUP(B1039,Master[Product_Code],Master[Size])</f>
        <v>S</v>
      </c>
      <c r="H1039" s="2" t="str">
        <f>_xlfn.XLOOKUP(B1039,Master[Product_Code],Master[Color])</f>
        <v>White</v>
      </c>
      <c r="I1039" s="4">
        <f>_xlfn.XLOOKUP(B1039,Master[Product_Code],Master[Stock_Qty])</f>
        <v>5</v>
      </c>
      <c r="J1039" s="6">
        <f>SUMIFS(
  Sales_Entry[Qty],
  Sales_Entry[Product_Code], Stock_Table[[#This Row],[Product_Code]]
)</f>
        <v>2</v>
      </c>
      <c r="K1039" s="4">
        <f>SUMIFS(
  Exchange_Return[Qty],
  Exchange_Return[Product_Code], Stock_Table[[#This Row],[Product_Code]]
)</f>
        <v>0</v>
      </c>
      <c r="L1039" s="4">
        <f>I1039-J1039+K1039</f>
        <v>3</v>
      </c>
      <c r="M1039" s="2" t="str" cm="1">
        <f t="array" ref="M1039">_xlfn.IFS(L1039=0,"Out of Stock",L1039&gt;=2,"Limited Stock",L1039&lt;2,"In Stock")</f>
        <v>Limited Stock</v>
      </c>
    </row>
    <row r="1040" spans="2:13">
      <c r="B1040" s="2" t="s">
        <v>202</v>
      </c>
      <c r="C1040" s="5" t="str">
        <f>_xlfn.XLOOKUP(B1040,Master[Product_Code],Master[Category])</f>
        <v>Shirt</v>
      </c>
      <c r="D1040" s="2" t="str">
        <f>_xlfn.XLOOKUP(B1040,Master[Product_Code],Master[Brand])</f>
        <v>Zara</v>
      </c>
      <c r="E1040" s="2" t="str">
        <f>_xlfn.XLOOKUP(B1040,Master[Product_Code],Master[Style])</f>
        <v>Casual</v>
      </c>
      <c r="F1040" s="2" t="str">
        <f>_xlfn.XLOOKUP(B1040,Master[Product_Code],Master[Fabric])</f>
        <v>Cotton Blend</v>
      </c>
      <c r="G1040" s="2" t="str">
        <f>_xlfn.XLOOKUP(B1040,Master[Product_Code],Master[Size])</f>
        <v>L</v>
      </c>
      <c r="H1040" s="2" t="str">
        <f>_xlfn.XLOOKUP(B1040,Master[Product_Code],Master[Color])</f>
        <v>Bottle Green</v>
      </c>
      <c r="I1040" s="4">
        <f>_xlfn.XLOOKUP(B1040,Master[Product_Code],Master[Stock_Qty])</f>
        <v>4</v>
      </c>
      <c r="J1040" s="6">
        <f>SUMIFS(
  Sales_Entry[Qty],
  Sales_Entry[Product_Code], Stock_Table[[#This Row],[Product_Code]]
)</f>
        <v>0</v>
      </c>
      <c r="K1040" s="4">
        <f>SUMIFS(
  Exchange_Return[Qty],
  Exchange_Return[Product_Code], Stock_Table[[#This Row],[Product_Code]]
)</f>
        <v>0</v>
      </c>
      <c r="L1040" s="4">
        <f>I1040-J1040+K1040</f>
        <v>4</v>
      </c>
      <c r="M1040" s="2" t="str" cm="1">
        <f t="array" ref="M1040">_xlfn.IFS(L1040=0,"Out of Stock",L1040&gt;=2,"Limited Stock",L1040&lt;2,"In Stock")</f>
        <v>Limited Stock</v>
      </c>
    </row>
    <row r="1041" spans="2:13">
      <c r="B1041" s="2" t="s">
        <v>203</v>
      </c>
      <c r="C1041" s="5" t="str">
        <f>_xlfn.XLOOKUP(B1041,Master[Product_Code],Master[Category])</f>
        <v>Shirt</v>
      </c>
      <c r="D1041" s="2" t="str">
        <f>_xlfn.XLOOKUP(B1041,Master[Product_Code],Master[Brand])</f>
        <v>H&amp;M</v>
      </c>
      <c r="E1041" s="2" t="str">
        <f>_xlfn.XLOOKUP(B1041,Master[Product_Code],Master[Style])</f>
        <v>Casual</v>
      </c>
      <c r="F1041" s="2" t="str">
        <f>_xlfn.XLOOKUP(B1041,Master[Product_Code],Master[Fabric])</f>
        <v>Lycra</v>
      </c>
      <c r="G1041" s="2" t="str">
        <f>_xlfn.XLOOKUP(B1041,Master[Product_Code],Master[Size])</f>
        <v>M</v>
      </c>
      <c r="H1041" s="2" t="str">
        <f>_xlfn.XLOOKUP(B1041,Master[Product_Code],Master[Color])</f>
        <v>Olive</v>
      </c>
      <c r="I1041" s="4">
        <f>_xlfn.XLOOKUP(B1041,Master[Product_Code],Master[Stock_Qty])</f>
        <v>3</v>
      </c>
      <c r="J1041" s="6">
        <f>SUMIFS(
  Sales_Entry[Qty],
  Sales_Entry[Product_Code], Stock_Table[[#This Row],[Product_Code]]
)</f>
        <v>3</v>
      </c>
      <c r="K1041" s="4">
        <f>SUMIFS(
  Exchange_Return[Qty],
  Exchange_Return[Product_Code], Stock_Table[[#This Row],[Product_Code]]
)</f>
        <v>1</v>
      </c>
      <c r="L1041" s="4">
        <f>I1041-J1041+K1041</f>
        <v>1</v>
      </c>
      <c r="M1041" s="2" t="str" cm="1">
        <f t="array" ref="M1041">_xlfn.IFS(L1041=0,"Out of Stock",L1041&gt;=2,"Limited Stock",L1041&lt;2,"In Stock")</f>
        <v>In Stock</v>
      </c>
    </row>
    <row r="1042" spans="2:13">
      <c r="B1042" s="2" t="s">
        <v>204</v>
      </c>
      <c r="C1042" s="5" t="str">
        <f>_xlfn.XLOOKUP(B1042,Master[Product_Code],Master[Category])</f>
        <v>Shirt</v>
      </c>
      <c r="D1042" s="2" t="str">
        <f>_xlfn.XLOOKUP(B1042,Master[Product_Code],Master[Brand])</f>
        <v>Luke &amp; Burg</v>
      </c>
      <c r="E1042" s="2" t="str">
        <f>_xlfn.XLOOKUP(B1042,Master[Product_Code],Master[Style])</f>
        <v>Partywear</v>
      </c>
      <c r="F1042" s="2" t="str">
        <f>_xlfn.XLOOKUP(B1042,Master[Product_Code],Master[Fabric])</f>
        <v>Lycra</v>
      </c>
      <c r="G1042" s="2" t="str">
        <f>_xlfn.XLOOKUP(B1042,Master[Product_Code],Master[Size])</f>
        <v>XL</v>
      </c>
      <c r="H1042" s="2" t="str">
        <f>_xlfn.XLOOKUP(B1042,Master[Product_Code],Master[Color])</f>
        <v>Light Grey</v>
      </c>
      <c r="I1042" s="4">
        <f>_xlfn.XLOOKUP(B1042,Master[Product_Code],Master[Stock_Qty])</f>
        <v>4</v>
      </c>
      <c r="J1042" s="6">
        <f>SUMIFS(
  Sales_Entry[Qty],
  Sales_Entry[Product_Code], Stock_Table[[#This Row],[Product_Code]]
)</f>
        <v>2</v>
      </c>
      <c r="K1042" s="4">
        <f>SUMIFS(
  Exchange_Return[Qty],
  Exchange_Return[Product_Code], Stock_Table[[#This Row],[Product_Code]]
)</f>
        <v>0</v>
      </c>
      <c r="L1042" s="4">
        <f>I1042-J1042+K1042</f>
        <v>2</v>
      </c>
      <c r="M1042" s="2" t="str" cm="1">
        <f t="array" ref="M1042">_xlfn.IFS(L1042=0,"Out of Stock",L1042&gt;=2,"Limited Stock",L1042&lt;2,"In Stock")</f>
        <v>Limited Stock</v>
      </c>
    </row>
    <row r="1043" spans="2:13">
      <c r="B1043" s="2" t="s">
        <v>205</v>
      </c>
      <c r="C1043" s="5" t="str">
        <f>_xlfn.XLOOKUP(B1043,Master[Product_Code],Master[Category])</f>
        <v>Shirt</v>
      </c>
      <c r="D1043" s="2" t="str">
        <f>_xlfn.XLOOKUP(B1043,Master[Product_Code],Master[Brand])</f>
        <v>Max</v>
      </c>
      <c r="E1043" s="2" t="str">
        <f>_xlfn.XLOOKUP(B1043,Master[Product_Code],Master[Style])</f>
        <v>Partywear</v>
      </c>
      <c r="F1043" s="2" t="str">
        <f>_xlfn.XLOOKUP(B1043,Master[Product_Code],Master[Fabric])</f>
        <v>Cotton Blend</v>
      </c>
      <c r="G1043" s="2" t="str">
        <f>_xlfn.XLOOKUP(B1043,Master[Product_Code],Master[Size])</f>
        <v>XL</v>
      </c>
      <c r="H1043" s="2" t="str">
        <f>_xlfn.XLOOKUP(B1043,Master[Product_Code],Master[Color])</f>
        <v>Beige</v>
      </c>
      <c r="I1043" s="4">
        <f>_xlfn.XLOOKUP(B1043,Master[Product_Code],Master[Stock_Qty])</f>
        <v>3</v>
      </c>
      <c r="J1043" s="6">
        <f>SUMIFS(
  Sales_Entry[Qty],
  Sales_Entry[Product_Code], Stock_Table[[#This Row],[Product_Code]]
)</f>
        <v>1</v>
      </c>
      <c r="K1043" s="4">
        <f>SUMIFS(
  Exchange_Return[Qty],
  Exchange_Return[Product_Code], Stock_Table[[#This Row],[Product_Code]]
)</f>
        <v>0</v>
      </c>
      <c r="L1043" s="4">
        <f>I1043-J1043+K1043</f>
        <v>2</v>
      </c>
      <c r="M1043" s="2" t="str" cm="1">
        <f t="array" ref="M1043">_xlfn.IFS(L1043=0,"Out of Stock",L1043&gt;=2,"Limited Stock",L1043&lt;2,"In Stock")</f>
        <v>Limited Stock</v>
      </c>
    </row>
    <row r="1044" spans="2:13">
      <c r="B1044" s="2" t="s">
        <v>206</v>
      </c>
      <c r="C1044" s="5" t="str">
        <f>_xlfn.XLOOKUP(B1044,Master[Product_Code],Master[Category])</f>
        <v>Shirt</v>
      </c>
      <c r="D1044" s="2" t="str">
        <f>_xlfn.XLOOKUP(B1044,Master[Product_Code],Master[Brand])</f>
        <v>Max</v>
      </c>
      <c r="E1044" s="2" t="str">
        <f>_xlfn.XLOOKUP(B1044,Master[Product_Code],Master[Style])</f>
        <v>Casual</v>
      </c>
      <c r="F1044" s="2" t="str">
        <f>_xlfn.XLOOKUP(B1044,Master[Product_Code],Master[Fabric])</f>
        <v>Lycra</v>
      </c>
      <c r="G1044" s="2" t="str">
        <f>_xlfn.XLOOKUP(B1044,Master[Product_Code],Master[Size])</f>
        <v>S</v>
      </c>
      <c r="H1044" s="2" t="str">
        <f>_xlfn.XLOOKUP(B1044,Master[Product_Code],Master[Color])</f>
        <v>Cream</v>
      </c>
      <c r="I1044" s="4">
        <f>_xlfn.XLOOKUP(B1044,Master[Product_Code],Master[Stock_Qty])</f>
        <v>5</v>
      </c>
      <c r="J1044" s="6">
        <f>SUMIFS(
  Sales_Entry[Qty],
  Sales_Entry[Product_Code], Stock_Table[[#This Row],[Product_Code]]
)</f>
        <v>0</v>
      </c>
      <c r="K1044" s="4">
        <f>SUMIFS(
  Exchange_Return[Qty],
  Exchange_Return[Product_Code], Stock_Table[[#This Row],[Product_Code]]
)</f>
        <v>0</v>
      </c>
      <c r="L1044" s="4">
        <f>I1044-J1044+K1044</f>
        <v>5</v>
      </c>
      <c r="M1044" s="2" t="str" cm="1">
        <f t="array" ref="M1044">_xlfn.IFS(L1044=0,"Out of Stock",L1044&gt;=2,"Limited Stock",L1044&lt;2,"In Stock")</f>
        <v>Limited Stock</v>
      </c>
    </row>
    <row r="1045" spans="2:13">
      <c r="B1045" s="2" t="s">
        <v>207</v>
      </c>
      <c r="C1045" s="5" t="str">
        <f>_xlfn.XLOOKUP(B1045,Master[Product_Code],Master[Category])</f>
        <v>Shirt</v>
      </c>
      <c r="D1045" s="2" t="str">
        <f>_xlfn.XLOOKUP(B1045,Master[Product_Code],Master[Brand])</f>
        <v>Thailand</v>
      </c>
      <c r="E1045" s="2" t="str">
        <f>_xlfn.XLOOKUP(B1045,Master[Product_Code],Master[Style])</f>
        <v>Partywear</v>
      </c>
      <c r="F1045" s="2" t="str">
        <f>_xlfn.XLOOKUP(B1045,Master[Product_Code],Master[Fabric])</f>
        <v>Polyester</v>
      </c>
      <c r="G1045" s="2" t="str">
        <f>_xlfn.XLOOKUP(B1045,Master[Product_Code],Master[Size])</f>
        <v>L</v>
      </c>
      <c r="H1045" s="2" t="str">
        <f>_xlfn.XLOOKUP(B1045,Master[Product_Code],Master[Color])</f>
        <v>Cream</v>
      </c>
      <c r="I1045" s="4">
        <f>_xlfn.XLOOKUP(B1045,Master[Product_Code],Master[Stock_Qty])</f>
        <v>5</v>
      </c>
      <c r="J1045" s="6">
        <f>SUMIFS(
  Sales_Entry[Qty],
  Sales_Entry[Product_Code], Stock_Table[[#This Row],[Product_Code]]
)</f>
        <v>0</v>
      </c>
      <c r="K1045" s="4">
        <f>SUMIFS(
  Exchange_Return[Qty],
  Exchange_Return[Product_Code], Stock_Table[[#This Row],[Product_Code]]
)</f>
        <v>0</v>
      </c>
      <c r="L1045" s="4">
        <f>I1045-J1045+K1045</f>
        <v>5</v>
      </c>
      <c r="M1045" s="2" t="str" cm="1">
        <f t="array" ref="M1045">_xlfn.IFS(L1045=0,"Out of Stock",L1045&gt;=2,"Limited Stock",L1045&lt;2,"In Stock")</f>
        <v>Limited Stock</v>
      </c>
    </row>
    <row r="1046" spans="2:13">
      <c r="B1046" s="2" t="s">
        <v>208</v>
      </c>
      <c r="C1046" s="5" t="str">
        <f>_xlfn.XLOOKUP(B1046,Master[Product_Code],Master[Category])</f>
        <v>Shirt</v>
      </c>
      <c r="D1046" s="2" t="str">
        <f>_xlfn.XLOOKUP(B1046,Master[Product_Code],Master[Brand])</f>
        <v>Luke &amp; Burg</v>
      </c>
      <c r="E1046" s="2" t="str">
        <f>_xlfn.XLOOKUP(B1046,Master[Product_Code],Master[Style])</f>
        <v>Casual</v>
      </c>
      <c r="F1046" s="2" t="str">
        <f>_xlfn.XLOOKUP(B1046,Master[Product_Code],Master[Fabric])</f>
        <v>Cotton</v>
      </c>
      <c r="G1046" s="2" t="str">
        <f>_xlfn.XLOOKUP(B1046,Master[Product_Code],Master[Size])</f>
        <v>M</v>
      </c>
      <c r="H1046" s="2" t="str">
        <f>_xlfn.XLOOKUP(B1046,Master[Product_Code],Master[Color])</f>
        <v>Rust</v>
      </c>
      <c r="I1046" s="4">
        <f>_xlfn.XLOOKUP(B1046,Master[Product_Code],Master[Stock_Qty])</f>
        <v>5</v>
      </c>
      <c r="J1046" s="6">
        <f>SUMIFS(
  Sales_Entry[Qty],
  Sales_Entry[Product_Code], Stock_Table[[#This Row],[Product_Code]]
)</f>
        <v>2</v>
      </c>
      <c r="K1046" s="4">
        <f>SUMIFS(
  Exchange_Return[Qty],
  Exchange_Return[Product_Code], Stock_Table[[#This Row],[Product_Code]]
)</f>
        <v>0</v>
      </c>
      <c r="L1046" s="4">
        <f>I1046-J1046+K1046</f>
        <v>3</v>
      </c>
      <c r="M1046" s="2" t="str" cm="1">
        <f t="array" ref="M1046">_xlfn.IFS(L1046=0,"Out of Stock",L1046&gt;=2,"Limited Stock",L1046&lt;2,"In Stock")</f>
        <v>Limited Stock</v>
      </c>
    </row>
    <row r="1047" spans="2:13">
      <c r="B1047" s="2" t="s">
        <v>209</v>
      </c>
      <c r="C1047" s="5" t="str">
        <f>_xlfn.XLOOKUP(B1047,Master[Product_Code],Master[Category])</f>
        <v>Shirt</v>
      </c>
      <c r="D1047" s="2" t="str">
        <f>_xlfn.XLOOKUP(B1047,Master[Product_Code],Master[Brand])</f>
        <v>Thailand</v>
      </c>
      <c r="E1047" s="2" t="str">
        <f>_xlfn.XLOOKUP(B1047,Master[Product_Code],Master[Style])</f>
        <v>Partywear</v>
      </c>
      <c r="F1047" s="2" t="str">
        <f>_xlfn.XLOOKUP(B1047,Master[Product_Code],Master[Fabric])</f>
        <v>Cotton Blend</v>
      </c>
      <c r="G1047" s="2" t="str">
        <f>_xlfn.XLOOKUP(B1047,Master[Product_Code],Master[Size])</f>
        <v>S</v>
      </c>
      <c r="H1047" s="2" t="str">
        <f>_xlfn.XLOOKUP(B1047,Master[Product_Code],Master[Color])</f>
        <v>Rust</v>
      </c>
      <c r="I1047" s="4">
        <f>_xlfn.XLOOKUP(B1047,Master[Product_Code],Master[Stock_Qty])</f>
        <v>5</v>
      </c>
      <c r="J1047" s="6">
        <f>SUMIFS(
  Sales_Entry[Qty],
  Sales_Entry[Product_Code], Stock_Table[[#This Row],[Product_Code]]
)</f>
        <v>1</v>
      </c>
      <c r="K1047" s="4">
        <f>SUMIFS(
  Exchange_Return[Qty],
  Exchange_Return[Product_Code], Stock_Table[[#This Row],[Product_Code]]
)</f>
        <v>0</v>
      </c>
      <c r="L1047" s="4">
        <f>I1047-J1047+K1047</f>
        <v>4</v>
      </c>
      <c r="M1047" s="2" t="str" cm="1">
        <f t="array" ref="M1047">_xlfn.IFS(L1047=0,"Out of Stock",L1047&gt;=2,"Limited Stock",L1047&lt;2,"In Stock")</f>
        <v>Limited Stock</v>
      </c>
    </row>
    <row r="1048" spans="2:13">
      <c r="B1048" s="2" t="s">
        <v>210</v>
      </c>
      <c r="C1048" s="5" t="str">
        <f>_xlfn.XLOOKUP(B1048,Master[Product_Code],Master[Category])</f>
        <v>Shirt</v>
      </c>
      <c r="D1048" s="2" t="str">
        <f>_xlfn.XLOOKUP(B1048,Master[Product_Code],Master[Brand])</f>
        <v>Zara</v>
      </c>
      <c r="E1048" s="2" t="str">
        <f>_xlfn.XLOOKUP(B1048,Master[Product_Code],Master[Style])</f>
        <v>Partywear</v>
      </c>
      <c r="F1048" s="2" t="str">
        <f>_xlfn.XLOOKUP(B1048,Master[Product_Code],Master[Fabric])</f>
        <v>Polyester</v>
      </c>
      <c r="G1048" s="2" t="str">
        <f>_xlfn.XLOOKUP(B1048,Master[Product_Code],Master[Size])</f>
        <v>L</v>
      </c>
      <c r="H1048" s="2" t="str">
        <f>_xlfn.XLOOKUP(B1048,Master[Product_Code],Master[Color])</f>
        <v>Charcoal</v>
      </c>
      <c r="I1048" s="4">
        <f>_xlfn.XLOOKUP(B1048,Master[Product_Code],Master[Stock_Qty])</f>
        <v>5</v>
      </c>
      <c r="J1048" s="6">
        <f>SUMIFS(
  Sales_Entry[Qty],
  Sales_Entry[Product_Code], Stock_Table[[#This Row],[Product_Code]]
)</f>
        <v>0</v>
      </c>
      <c r="K1048" s="4">
        <f>SUMIFS(
  Exchange_Return[Qty],
  Exchange_Return[Product_Code], Stock_Table[[#This Row],[Product_Code]]
)</f>
        <v>0</v>
      </c>
      <c r="L1048" s="4">
        <f>I1048-J1048+K1048</f>
        <v>5</v>
      </c>
      <c r="M1048" s="2" t="str" cm="1">
        <f t="array" ref="M1048">_xlfn.IFS(L1048=0,"Out of Stock",L1048&gt;=2,"Limited Stock",L1048&lt;2,"In Stock")</f>
        <v>Limited Stock</v>
      </c>
    </row>
    <row r="1049" spans="2:13">
      <c r="B1049" s="2" t="s">
        <v>211</v>
      </c>
      <c r="C1049" s="5" t="str">
        <f>_xlfn.XLOOKUP(B1049,Master[Product_Code],Master[Category])</f>
        <v>Shirt</v>
      </c>
      <c r="D1049" s="2" t="str">
        <f>_xlfn.XLOOKUP(B1049,Master[Product_Code],Master[Brand])</f>
        <v>G Studio</v>
      </c>
      <c r="E1049" s="2" t="str">
        <f>_xlfn.XLOOKUP(B1049,Master[Product_Code],Master[Style])</f>
        <v>Partywear</v>
      </c>
      <c r="F1049" s="2" t="str">
        <f>_xlfn.XLOOKUP(B1049,Master[Product_Code],Master[Fabric])</f>
        <v>Cotton Blend</v>
      </c>
      <c r="G1049" s="2" t="str">
        <f>_xlfn.XLOOKUP(B1049,Master[Product_Code],Master[Size])</f>
        <v>M</v>
      </c>
      <c r="H1049" s="2" t="str">
        <f>_xlfn.XLOOKUP(B1049,Master[Product_Code],Master[Color])</f>
        <v>Sky Blue</v>
      </c>
      <c r="I1049" s="4">
        <f>_xlfn.XLOOKUP(B1049,Master[Product_Code],Master[Stock_Qty])</f>
        <v>3</v>
      </c>
      <c r="J1049" s="6">
        <f>SUMIFS(
  Sales_Entry[Qty],
  Sales_Entry[Product_Code], Stock_Table[[#This Row],[Product_Code]]
)</f>
        <v>2</v>
      </c>
      <c r="K1049" s="4">
        <f>SUMIFS(
  Exchange_Return[Qty],
  Exchange_Return[Product_Code], Stock_Table[[#This Row],[Product_Code]]
)</f>
        <v>0</v>
      </c>
      <c r="L1049" s="4">
        <f>I1049-J1049+K1049</f>
        <v>1</v>
      </c>
      <c r="M1049" s="2" t="str" cm="1">
        <f t="array" ref="M1049">_xlfn.IFS(L1049=0,"Out of Stock",L1049&gt;=2,"Limited Stock",L1049&lt;2,"In Stock")</f>
        <v>In Stock</v>
      </c>
    </row>
    <row r="1050" spans="2:13">
      <c r="B1050" s="2" t="s">
        <v>212</v>
      </c>
      <c r="C1050" s="5" t="str">
        <f>_xlfn.XLOOKUP(B1050,Master[Product_Code],Master[Category])</f>
        <v>Shirt</v>
      </c>
      <c r="D1050" s="2" t="str">
        <f>_xlfn.XLOOKUP(B1050,Master[Product_Code],Master[Brand])</f>
        <v>Max</v>
      </c>
      <c r="E1050" s="2" t="str">
        <f>_xlfn.XLOOKUP(B1050,Master[Product_Code],Master[Style])</f>
        <v>Formal</v>
      </c>
      <c r="F1050" s="2" t="str">
        <f>_xlfn.XLOOKUP(B1050,Master[Product_Code],Master[Fabric])</f>
        <v>Cotton Blend</v>
      </c>
      <c r="G1050" s="2" t="str">
        <f>_xlfn.XLOOKUP(B1050,Master[Product_Code],Master[Size])</f>
        <v>M</v>
      </c>
      <c r="H1050" s="2" t="str">
        <f>_xlfn.XLOOKUP(B1050,Master[Product_Code],Master[Color])</f>
        <v>Navy Blue</v>
      </c>
      <c r="I1050" s="4">
        <f>_xlfn.XLOOKUP(B1050,Master[Product_Code],Master[Stock_Qty])</f>
        <v>5</v>
      </c>
      <c r="J1050" s="6">
        <f>SUMIFS(
  Sales_Entry[Qty],
  Sales_Entry[Product_Code], Stock_Table[[#This Row],[Product_Code]]
)</f>
        <v>2</v>
      </c>
      <c r="K1050" s="4">
        <f>SUMIFS(
  Exchange_Return[Qty],
  Exchange_Return[Product_Code], Stock_Table[[#This Row],[Product_Code]]
)</f>
        <v>0</v>
      </c>
      <c r="L1050" s="4">
        <f>I1050-J1050+K1050</f>
        <v>3</v>
      </c>
      <c r="M1050" s="2" t="str" cm="1">
        <f t="array" ref="M1050">_xlfn.IFS(L1050=0,"Out of Stock",L1050&gt;=2,"Limited Stock",L1050&lt;2,"In Stock")</f>
        <v>Limited Stock</v>
      </c>
    </row>
    <row r="1051" spans="2:13">
      <c r="B1051" s="2" t="s">
        <v>213</v>
      </c>
      <c r="C1051" s="5" t="str">
        <f>_xlfn.XLOOKUP(B1051,Master[Product_Code],Master[Category])</f>
        <v>Shirt</v>
      </c>
      <c r="D1051" s="2" t="str">
        <f>_xlfn.XLOOKUP(B1051,Master[Product_Code],Master[Brand])</f>
        <v>Luke &amp; Burg</v>
      </c>
      <c r="E1051" s="2" t="str">
        <f>_xlfn.XLOOKUP(B1051,Master[Product_Code],Master[Style])</f>
        <v>Formal</v>
      </c>
      <c r="F1051" s="2" t="str">
        <f>_xlfn.XLOOKUP(B1051,Master[Product_Code],Master[Fabric])</f>
        <v>Lycra</v>
      </c>
      <c r="G1051" s="2" t="str">
        <f>_xlfn.XLOOKUP(B1051,Master[Product_Code],Master[Size])</f>
        <v>M</v>
      </c>
      <c r="H1051" s="2" t="str">
        <f>_xlfn.XLOOKUP(B1051,Master[Product_Code],Master[Color])</f>
        <v>Dark Green</v>
      </c>
      <c r="I1051" s="4">
        <f>_xlfn.XLOOKUP(B1051,Master[Product_Code],Master[Stock_Qty])</f>
        <v>5</v>
      </c>
      <c r="J1051" s="6">
        <f>SUMIFS(
  Sales_Entry[Qty],
  Sales_Entry[Product_Code], Stock_Table[[#This Row],[Product_Code]]
)</f>
        <v>5</v>
      </c>
      <c r="K1051" s="4">
        <f>SUMIFS(
  Exchange_Return[Qty],
  Exchange_Return[Product_Code], Stock_Table[[#This Row],[Product_Code]]
)</f>
        <v>0</v>
      </c>
      <c r="L1051" s="4">
        <f>I1051-J1051+K1051</f>
        <v>0</v>
      </c>
      <c r="M1051" s="2" t="str" cm="1">
        <f t="array" ref="M1051">_xlfn.IFS(L1051=0,"Out of Stock",L1051&gt;=2,"Limited Stock",L1051&lt;2,"In Stock")</f>
        <v>Out of Stock</v>
      </c>
    </row>
    <row r="1052" spans="2:13">
      <c r="B1052" s="2" t="s">
        <v>214</v>
      </c>
      <c r="C1052" s="5" t="str">
        <f>_xlfn.XLOOKUP(B1052,Master[Product_Code],Master[Category])</f>
        <v>Shirt</v>
      </c>
      <c r="D1052" s="2" t="str">
        <f>_xlfn.XLOOKUP(B1052,Master[Product_Code],Master[Brand])</f>
        <v>H&amp;M</v>
      </c>
      <c r="E1052" s="2" t="str">
        <f>_xlfn.XLOOKUP(B1052,Master[Product_Code],Master[Style])</f>
        <v>Casual</v>
      </c>
      <c r="F1052" s="2" t="str">
        <f>_xlfn.XLOOKUP(B1052,Master[Product_Code],Master[Fabric])</f>
        <v>Lycra</v>
      </c>
      <c r="G1052" s="2" t="str">
        <f>_xlfn.XLOOKUP(B1052,Master[Product_Code],Master[Size])</f>
        <v>L</v>
      </c>
      <c r="H1052" s="2" t="str">
        <f>_xlfn.XLOOKUP(B1052,Master[Product_Code],Master[Color])</f>
        <v>Peach</v>
      </c>
      <c r="I1052" s="4">
        <f>_xlfn.XLOOKUP(B1052,Master[Product_Code],Master[Stock_Qty])</f>
        <v>5</v>
      </c>
      <c r="J1052" s="6">
        <f>SUMIFS(
  Sales_Entry[Qty],
  Sales_Entry[Product_Code], Stock_Table[[#This Row],[Product_Code]]
)</f>
        <v>3</v>
      </c>
      <c r="K1052" s="4">
        <f>SUMIFS(
  Exchange_Return[Qty],
  Exchange_Return[Product_Code], Stock_Table[[#This Row],[Product_Code]]
)</f>
        <v>0</v>
      </c>
      <c r="L1052" s="4">
        <f>I1052-J1052+K1052</f>
        <v>2</v>
      </c>
      <c r="M1052" s="2" t="str" cm="1">
        <f t="array" ref="M1052">_xlfn.IFS(L1052=0,"Out of Stock",L1052&gt;=2,"Limited Stock",L1052&lt;2,"In Stock")</f>
        <v>Limited Stock</v>
      </c>
    </row>
    <row r="1053" spans="2:13">
      <c r="B1053" s="2" t="s">
        <v>215</v>
      </c>
      <c r="C1053" s="5" t="str">
        <f>_xlfn.XLOOKUP(B1053,Master[Product_Code],Master[Category])</f>
        <v>Shirt</v>
      </c>
      <c r="D1053" s="2" t="str">
        <f>_xlfn.XLOOKUP(B1053,Master[Product_Code],Master[Brand])</f>
        <v>British</v>
      </c>
      <c r="E1053" s="2" t="str">
        <f>_xlfn.XLOOKUP(B1053,Master[Product_Code],Master[Style])</f>
        <v>Formal</v>
      </c>
      <c r="F1053" s="2" t="str">
        <f>_xlfn.XLOOKUP(B1053,Master[Product_Code],Master[Fabric])</f>
        <v>Polyester</v>
      </c>
      <c r="G1053" s="2" t="str">
        <f>_xlfn.XLOOKUP(B1053,Master[Product_Code],Master[Size])</f>
        <v>S</v>
      </c>
      <c r="H1053" s="2" t="str">
        <f>_xlfn.XLOOKUP(B1053,Master[Product_Code],Master[Color])</f>
        <v>Maroon</v>
      </c>
      <c r="I1053" s="4">
        <f>_xlfn.XLOOKUP(B1053,Master[Product_Code],Master[Stock_Qty])</f>
        <v>4</v>
      </c>
      <c r="J1053" s="6">
        <f>SUMIFS(
  Sales_Entry[Qty],
  Sales_Entry[Product_Code], Stock_Table[[#This Row],[Product_Code]]
)</f>
        <v>0</v>
      </c>
      <c r="K1053" s="4">
        <f>SUMIFS(
  Exchange_Return[Qty],
  Exchange_Return[Product_Code], Stock_Table[[#This Row],[Product_Code]]
)</f>
        <v>0</v>
      </c>
      <c r="L1053" s="4">
        <f>I1053-J1053+K1053</f>
        <v>4</v>
      </c>
      <c r="M1053" s="2" t="str" cm="1">
        <f t="array" ref="M1053">_xlfn.IFS(L1053=0,"Out of Stock",L1053&gt;=2,"Limited Stock",L1053&lt;2,"In Stock")</f>
        <v>Limited Stock</v>
      </c>
    </row>
    <row r="1054" spans="2:13">
      <c r="B1054" s="2" t="s">
        <v>216</v>
      </c>
      <c r="C1054" s="5" t="str">
        <f>_xlfn.XLOOKUP(B1054,Master[Product_Code],Master[Category])</f>
        <v>Shirt</v>
      </c>
      <c r="D1054" s="2" t="str">
        <f>_xlfn.XLOOKUP(B1054,Master[Product_Code],Master[Brand])</f>
        <v>Luke &amp; Burg</v>
      </c>
      <c r="E1054" s="2" t="str">
        <f>_xlfn.XLOOKUP(B1054,Master[Product_Code],Master[Style])</f>
        <v>Partywear</v>
      </c>
      <c r="F1054" s="2" t="str">
        <f>_xlfn.XLOOKUP(B1054,Master[Product_Code],Master[Fabric])</f>
        <v>Cotton Blend</v>
      </c>
      <c r="G1054" s="2" t="str">
        <f>_xlfn.XLOOKUP(B1054,Master[Product_Code],Master[Size])</f>
        <v>S</v>
      </c>
      <c r="H1054" s="2" t="str">
        <f>_xlfn.XLOOKUP(B1054,Master[Product_Code],Master[Color])</f>
        <v>Rust</v>
      </c>
      <c r="I1054" s="4">
        <f>_xlfn.XLOOKUP(B1054,Master[Product_Code],Master[Stock_Qty])</f>
        <v>3</v>
      </c>
      <c r="J1054" s="6">
        <f>SUMIFS(
  Sales_Entry[Qty],
  Sales_Entry[Product_Code], Stock_Table[[#This Row],[Product_Code]]
)</f>
        <v>2</v>
      </c>
      <c r="K1054" s="4">
        <f>SUMIFS(
  Exchange_Return[Qty],
  Exchange_Return[Product_Code], Stock_Table[[#This Row],[Product_Code]]
)</f>
        <v>0</v>
      </c>
      <c r="L1054" s="4">
        <f>I1054-J1054+K1054</f>
        <v>1</v>
      </c>
      <c r="M1054" s="2" t="str" cm="1">
        <f t="array" ref="M1054">_xlfn.IFS(L1054=0,"Out of Stock",L1054&gt;=2,"Limited Stock",L1054&lt;2,"In Stock")</f>
        <v>In Stock</v>
      </c>
    </row>
    <row r="1055" spans="2:13">
      <c r="B1055" s="2" t="s">
        <v>217</v>
      </c>
      <c r="C1055" s="5" t="str">
        <f>_xlfn.XLOOKUP(B1055,Master[Product_Code],Master[Category])</f>
        <v>Shirt</v>
      </c>
      <c r="D1055" s="2" t="str">
        <f>_xlfn.XLOOKUP(B1055,Master[Product_Code],Master[Brand])</f>
        <v>H&amp;M</v>
      </c>
      <c r="E1055" s="2" t="str">
        <f>_xlfn.XLOOKUP(B1055,Master[Product_Code],Master[Style])</f>
        <v>Formal</v>
      </c>
      <c r="F1055" s="2" t="str">
        <f>_xlfn.XLOOKUP(B1055,Master[Product_Code],Master[Fabric])</f>
        <v>Polyester</v>
      </c>
      <c r="G1055" s="2" t="str">
        <f>_xlfn.XLOOKUP(B1055,Master[Product_Code],Master[Size])</f>
        <v>L</v>
      </c>
      <c r="H1055" s="2" t="str">
        <f>_xlfn.XLOOKUP(B1055,Master[Product_Code],Master[Color])</f>
        <v>Beige</v>
      </c>
      <c r="I1055" s="4">
        <f>_xlfn.XLOOKUP(B1055,Master[Product_Code],Master[Stock_Qty])</f>
        <v>6</v>
      </c>
      <c r="J1055" s="6">
        <f>SUMIFS(
  Sales_Entry[Qty],
  Sales_Entry[Product_Code], Stock_Table[[#This Row],[Product_Code]]
)</f>
        <v>1</v>
      </c>
      <c r="K1055" s="4">
        <f>SUMIFS(
  Exchange_Return[Qty],
  Exchange_Return[Product_Code], Stock_Table[[#This Row],[Product_Code]]
)</f>
        <v>0</v>
      </c>
      <c r="L1055" s="4">
        <f>I1055-J1055+K1055</f>
        <v>5</v>
      </c>
      <c r="M1055" s="2" t="str" cm="1">
        <f t="array" ref="M1055">_xlfn.IFS(L1055=0,"Out of Stock",L1055&gt;=2,"Limited Stock",L1055&lt;2,"In Stock")</f>
        <v>Limited Stock</v>
      </c>
    </row>
    <row r="1056" spans="2:13">
      <c r="B1056" s="2" t="s">
        <v>218</v>
      </c>
      <c r="C1056" s="5" t="str">
        <f>_xlfn.XLOOKUP(B1056,Master[Product_Code],Master[Category])</f>
        <v>Shirt</v>
      </c>
      <c r="D1056" s="2" t="str">
        <f>_xlfn.XLOOKUP(B1056,Master[Product_Code],Master[Brand])</f>
        <v>British</v>
      </c>
      <c r="E1056" s="2" t="str">
        <f>_xlfn.XLOOKUP(B1056,Master[Product_Code],Master[Style])</f>
        <v>Formal</v>
      </c>
      <c r="F1056" s="2" t="str">
        <f>_xlfn.XLOOKUP(B1056,Master[Product_Code],Master[Fabric])</f>
        <v>Lycra</v>
      </c>
      <c r="G1056" s="2" t="str">
        <f>_xlfn.XLOOKUP(B1056,Master[Product_Code],Master[Size])</f>
        <v>XL</v>
      </c>
      <c r="H1056" s="2" t="str">
        <f>_xlfn.XLOOKUP(B1056,Master[Product_Code],Master[Color])</f>
        <v>Black</v>
      </c>
      <c r="I1056" s="4">
        <f>_xlfn.XLOOKUP(B1056,Master[Product_Code],Master[Stock_Qty])</f>
        <v>5</v>
      </c>
      <c r="J1056" s="6">
        <f>SUMIFS(
  Sales_Entry[Qty],
  Sales_Entry[Product_Code], Stock_Table[[#This Row],[Product_Code]]
)</f>
        <v>3</v>
      </c>
      <c r="K1056" s="4">
        <f>SUMIFS(
  Exchange_Return[Qty],
  Exchange_Return[Product_Code], Stock_Table[[#This Row],[Product_Code]]
)</f>
        <v>0</v>
      </c>
      <c r="L1056" s="4">
        <f>I1056-J1056+K1056</f>
        <v>2</v>
      </c>
      <c r="M1056" s="2" t="str" cm="1">
        <f t="array" ref="M1056">_xlfn.IFS(L1056=0,"Out of Stock",L1056&gt;=2,"Limited Stock",L1056&lt;2,"In Stock")</f>
        <v>Limited Stock</v>
      </c>
    </row>
    <row r="1057" spans="2:13">
      <c r="B1057" s="2" t="s">
        <v>219</v>
      </c>
      <c r="C1057" s="5" t="str">
        <f>_xlfn.XLOOKUP(B1057,Master[Product_Code],Master[Category])</f>
        <v>Shirt</v>
      </c>
      <c r="D1057" s="2" t="str">
        <f>_xlfn.XLOOKUP(B1057,Master[Product_Code],Master[Brand])</f>
        <v>G Studio</v>
      </c>
      <c r="E1057" s="2" t="str">
        <f>_xlfn.XLOOKUP(B1057,Master[Product_Code],Master[Style])</f>
        <v>Partywear</v>
      </c>
      <c r="F1057" s="2" t="str">
        <f>_xlfn.XLOOKUP(B1057,Master[Product_Code],Master[Fabric])</f>
        <v>Cotton</v>
      </c>
      <c r="G1057" s="2" t="str">
        <f>_xlfn.XLOOKUP(B1057,Master[Product_Code],Master[Size])</f>
        <v>XL</v>
      </c>
      <c r="H1057" s="2" t="str">
        <f>_xlfn.XLOOKUP(B1057,Master[Product_Code],Master[Color])</f>
        <v>Brown</v>
      </c>
      <c r="I1057" s="4">
        <f>_xlfn.XLOOKUP(B1057,Master[Product_Code],Master[Stock_Qty])</f>
        <v>6</v>
      </c>
      <c r="J1057" s="6">
        <f>SUMIFS(
  Sales_Entry[Qty],
  Sales_Entry[Product_Code], Stock_Table[[#This Row],[Product_Code]]
)</f>
        <v>1</v>
      </c>
      <c r="K1057" s="4">
        <f>SUMIFS(
  Exchange_Return[Qty],
  Exchange_Return[Product_Code], Stock_Table[[#This Row],[Product_Code]]
)</f>
        <v>0</v>
      </c>
      <c r="L1057" s="4">
        <f>I1057-J1057+K1057</f>
        <v>5</v>
      </c>
      <c r="M1057" s="2" t="str" cm="1">
        <f t="array" ref="M1057">_xlfn.IFS(L1057=0,"Out of Stock",L1057&gt;=2,"Limited Stock",L1057&lt;2,"In Stock")</f>
        <v>Limited Stock</v>
      </c>
    </row>
    <row r="1058" spans="2:13">
      <c r="B1058" s="2" t="s">
        <v>220</v>
      </c>
      <c r="C1058" s="5" t="str">
        <f>_xlfn.XLOOKUP(B1058,Master[Product_Code],Master[Category])</f>
        <v>Shirt</v>
      </c>
      <c r="D1058" s="2" t="str">
        <f>_xlfn.XLOOKUP(B1058,Master[Product_Code],Master[Brand])</f>
        <v>USD</v>
      </c>
      <c r="E1058" s="2" t="str">
        <f>_xlfn.XLOOKUP(B1058,Master[Product_Code],Master[Style])</f>
        <v>Formal</v>
      </c>
      <c r="F1058" s="2" t="str">
        <f>_xlfn.XLOOKUP(B1058,Master[Product_Code],Master[Fabric])</f>
        <v>Cotton</v>
      </c>
      <c r="G1058" s="2" t="str">
        <f>_xlfn.XLOOKUP(B1058,Master[Product_Code],Master[Size])</f>
        <v>L</v>
      </c>
      <c r="H1058" s="2" t="str">
        <f>_xlfn.XLOOKUP(B1058,Master[Product_Code],Master[Color])</f>
        <v>Peach</v>
      </c>
      <c r="I1058" s="4">
        <f>_xlfn.XLOOKUP(B1058,Master[Product_Code],Master[Stock_Qty])</f>
        <v>3</v>
      </c>
      <c r="J1058" s="6">
        <f>SUMIFS(
  Sales_Entry[Qty],
  Sales_Entry[Product_Code], Stock_Table[[#This Row],[Product_Code]]
)</f>
        <v>1</v>
      </c>
      <c r="K1058" s="4">
        <f>SUMIFS(
  Exchange_Return[Qty],
  Exchange_Return[Product_Code], Stock_Table[[#This Row],[Product_Code]]
)</f>
        <v>0</v>
      </c>
      <c r="L1058" s="4">
        <f>I1058-J1058+K1058</f>
        <v>2</v>
      </c>
      <c r="M1058" s="2" t="str" cm="1">
        <f t="array" ref="M1058">_xlfn.IFS(L1058=0,"Out of Stock",L1058&gt;=2,"Limited Stock",L1058&lt;2,"In Stock")</f>
        <v>Limited Stock</v>
      </c>
    </row>
    <row r="1059" spans="2:13">
      <c r="B1059" s="2" t="s">
        <v>221</v>
      </c>
      <c r="C1059" s="5" t="str">
        <f>_xlfn.XLOOKUP(B1059,Master[Product_Code],Master[Category])</f>
        <v>Shirt</v>
      </c>
      <c r="D1059" s="2" t="str">
        <f>_xlfn.XLOOKUP(B1059,Master[Product_Code],Master[Brand])</f>
        <v>G Studio</v>
      </c>
      <c r="E1059" s="2" t="str">
        <f>_xlfn.XLOOKUP(B1059,Master[Product_Code],Master[Style])</f>
        <v>Partywear</v>
      </c>
      <c r="F1059" s="2" t="str">
        <f>_xlfn.XLOOKUP(B1059,Master[Product_Code],Master[Fabric])</f>
        <v>Lycra</v>
      </c>
      <c r="G1059" s="2" t="str">
        <f>_xlfn.XLOOKUP(B1059,Master[Product_Code],Master[Size])</f>
        <v>XL</v>
      </c>
      <c r="H1059" s="2" t="str">
        <f>_xlfn.XLOOKUP(B1059,Master[Product_Code],Master[Color])</f>
        <v>Cream</v>
      </c>
      <c r="I1059" s="4">
        <f>_xlfn.XLOOKUP(B1059,Master[Product_Code],Master[Stock_Qty])</f>
        <v>5</v>
      </c>
      <c r="J1059" s="6">
        <f>SUMIFS(
  Sales_Entry[Qty],
  Sales_Entry[Product_Code], Stock_Table[[#This Row],[Product_Code]]
)</f>
        <v>1</v>
      </c>
      <c r="K1059" s="4">
        <f>SUMIFS(
  Exchange_Return[Qty],
  Exchange_Return[Product_Code], Stock_Table[[#This Row],[Product_Code]]
)</f>
        <v>0</v>
      </c>
      <c r="L1059" s="4">
        <f>I1059-J1059+K1059</f>
        <v>4</v>
      </c>
      <c r="M1059" s="2" t="str" cm="1">
        <f t="array" ref="M1059">_xlfn.IFS(L1059=0,"Out of Stock",L1059&gt;=2,"Limited Stock",L1059&lt;2,"In Stock")</f>
        <v>Limited Stock</v>
      </c>
    </row>
    <row r="1060" spans="2:13">
      <c r="B1060" s="2" t="s">
        <v>222</v>
      </c>
      <c r="C1060" s="5" t="str">
        <f>_xlfn.XLOOKUP(B1060,Master[Product_Code],Master[Category])</f>
        <v>Shirt</v>
      </c>
      <c r="D1060" s="2" t="str">
        <f>_xlfn.XLOOKUP(B1060,Master[Product_Code],Master[Brand])</f>
        <v>H&amp;M</v>
      </c>
      <c r="E1060" s="2" t="str">
        <f>_xlfn.XLOOKUP(B1060,Master[Product_Code],Master[Style])</f>
        <v>Casual</v>
      </c>
      <c r="F1060" s="2" t="str">
        <f>_xlfn.XLOOKUP(B1060,Master[Product_Code],Master[Fabric])</f>
        <v>Lycra</v>
      </c>
      <c r="G1060" s="2" t="str">
        <f>_xlfn.XLOOKUP(B1060,Master[Product_Code],Master[Size])</f>
        <v>XL</v>
      </c>
      <c r="H1060" s="2" t="str">
        <f>_xlfn.XLOOKUP(B1060,Master[Product_Code],Master[Color])</f>
        <v>Sky Blue</v>
      </c>
      <c r="I1060" s="4">
        <f>_xlfn.XLOOKUP(B1060,Master[Product_Code],Master[Stock_Qty])</f>
        <v>6</v>
      </c>
      <c r="J1060" s="6">
        <f>SUMIFS(
  Sales_Entry[Qty],
  Sales_Entry[Product_Code], Stock_Table[[#This Row],[Product_Code]]
)</f>
        <v>2</v>
      </c>
      <c r="K1060" s="4">
        <f>SUMIFS(
  Exchange_Return[Qty],
  Exchange_Return[Product_Code], Stock_Table[[#This Row],[Product_Code]]
)</f>
        <v>0</v>
      </c>
      <c r="L1060" s="4">
        <f>I1060-J1060+K1060</f>
        <v>4</v>
      </c>
      <c r="M1060" s="2" t="str" cm="1">
        <f t="array" ref="M1060">_xlfn.IFS(L1060=0,"Out of Stock",L1060&gt;=2,"Limited Stock",L1060&lt;2,"In Stock")</f>
        <v>Limited Stock</v>
      </c>
    </row>
    <row r="1061" spans="2:13">
      <c r="B1061" s="2" t="s">
        <v>223</v>
      </c>
      <c r="C1061" s="5" t="str">
        <f>_xlfn.XLOOKUP(B1061,Master[Product_Code],Master[Category])</f>
        <v>Shirt</v>
      </c>
      <c r="D1061" s="2" t="str">
        <f>_xlfn.XLOOKUP(B1061,Master[Product_Code],Master[Brand])</f>
        <v>Luke &amp; Burg</v>
      </c>
      <c r="E1061" s="2" t="str">
        <f>_xlfn.XLOOKUP(B1061,Master[Product_Code],Master[Style])</f>
        <v>Casual</v>
      </c>
      <c r="F1061" s="2" t="str">
        <f>_xlfn.XLOOKUP(B1061,Master[Product_Code],Master[Fabric])</f>
        <v>Cotton</v>
      </c>
      <c r="G1061" s="2" t="str">
        <f>_xlfn.XLOOKUP(B1061,Master[Product_Code],Master[Size])</f>
        <v>L</v>
      </c>
      <c r="H1061" s="2" t="str">
        <f>_xlfn.XLOOKUP(B1061,Master[Product_Code],Master[Color])</f>
        <v>Grey</v>
      </c>
      <c r="I1061" s="4">
        <f>_xlfn.XLOOKUP(B1061,Master[Product_Code],Master[Stock_Qty])</f>
        <v>6</v>
      </c>
      <c r="J1061" s="6">
        <f>SUMIFS(
  Sales_Entry[Qty],
  Sales_Entry[Product_Code], Stock_Table[[#This Row],[Product_Code]]
)</f>
        <v>2</v>
      </c>
      <c r="K1061" s="4">
        <f>SUMIFS(
  Exchange_Return[Qty],
  Exchange_Return[Product_Code], Stock_Table[[#This Row],[Product_Code]]
)</f>
        <v>0</v>
      </c>
      <c r="L1061" s="4">
        <f>I1061-J1061+K1061</f>
        <v>4</v>
      </c>
      <c r="M1061" s="2" t="str" cm="1">
        <f t="array" ref="M1061">_xlfn.IFS(L1061=0,"Out of Stock",L1061&gt;=2,"Limited Stock",L1061&lt;2,"In Stock")</f>
        <v>Limited Stock</v>
      </c>
    </row>
    <row r="1062" spans="2:13">
      <c r="B1062" s="2" t="s">
        <v>224</v>
      </c>
      <c r="C1062" s="5" t="str">
        <f>_xlfn.XLOOKUP(B1062,Master[Product_Code],Master[Category])</f>
        <v>Shirt</v>
      </c>
      <c r="D1062" s="2" t="str">
        <f>_xlfn.XLOOKUP(B1062,Master[Product_Code],Master[Brand])</f>
        <v>G Studio</v>
      </c>
      <c r="E1062" s="2" t="str">
        <f>_xlfn.XLOOKUP(B1062,Master[Product_Code],Master[Style])</f>
        <v>Casual</v>
      </c>
      <c r="F1062" s="2" t="str">
        <f>_xlfn.XLOOKUP(B1062,Master[Product_Code],Master[Fabric])</f>
        <v>Cotton</v>
      </c>
      <c r="G1062" s="2" t="str">
        <f>_xlfn.XLOOKUP(B1062,Master[Product_Code],Master[Size])</f>
        <v>L</v>
      </c>
      <c r="H1062" s="2" t="str">
        <f>_xlfn.XLOOKUP(B1062,Master[Product_Code],Master[Color])</f>
        <v>Dark Green</v>
      </c>
      <c r="I1062" s="4">
        <f>_xlfn.XLOOKUP(B1062,Master[Product_Code],Master[Stock_Qty])</f>
        <v>5</v>
      </c>
      <c r="J1062" s="6">
        <f>SUMIFS(
  Sales_Entry[Qty],
  Sales_Entry[Product_Code], Stock_Table[[#This Row],[Product_Code]]
)</f>
        <v>1</v>
      </c>
      <c r="K1062" s="4">
        <f>SUMIFS(
  Exchange_Return[Qty],
  Exchange_Return[Product_Code], Stock_Table[[#This Row],[Product_Code]]
)</f>
        <v>0</v>
      </c>
      <c r="L1062" s="4">
        <f>I1062-J1062+K1062</f>
        <v>4</v>
      </c>
      <c r="M1062" s="2" t="str" cm="1">
        <f t="array" ref="M1062">_xlfn.IFS(L1062=0,"Out of Stock",L1062&gt;=2,"Limited Stock",L1062&lt;2,"In Stock")</f>
        <v>Limited Stock</v>
      </c>
    </row>
    <row r="1063" spans="2:13">
      <c r="B1063" s="2" t="s">
        <v>225</v>
      </c>
      <c r="C1063" s="5" t="str">
        <f>_xlfn.XLOOKUP(B1063,Master[Product_Code],Master[Category])</f>
        <v>Shirt</v>
      </c>
      <c r="D1063" s="2" t="str">
        <f>_xlfn.XLOOKUP(B1063,Master[Product_Code],Master[Brand])</f>
        <v>Luke &amp; Burg</v>
      </c>
      <c r="E1063" s="2" t="str">
        <f>_xlfn.XLOOKUP(B1063,Master[Product_Code],Master[Style])</f>
        <v>Casual</v>
      </c>
      <c r="F1063" s="2" t="str">
        <f>_xlfn.XLOOKUP(B1063,Master[Product_Code],Master[Fabric])</f>
        <v>Lycra</v>
      </c>
      <c r="G1063" s="2" t="str">
        <f>_xlfn.XLOOKUP(B1063,Master[Product_Code],Master[Size])</f>
        <v>S</v>
      </c>
      <c r="H1063" s="2" t="str">
        <f>_xlfn.XLOOKUP(B1063,Master[Product_Code],Master[Color])</f>
        <v>Cream</v>
      </c>
      <c r="I1063" s="4">
        <f>_xlfn.XLOOKUP(B1063,Master[Product_Code],Master[Stock_Qty])</f>
        <v>3</v>
      </c>
      <c r="J1063" s="6">
        <f>SUMIFS(
  Sales_Entry[Qty],
  Sales_Entry[Product_Code], Stock_Table[[#This Row],[Product_Code]]
)</f>
        <v>2</v>
      </c>
      <c r="K1063" s="4">
        <f>SUMIFS(
  Exchange_Return[Qty],
  Exchange_Return[Product_Code], Stock_Table[[#This Row],[Product_Code]]
)</f>
        <v>0</v>
      </c>
      <c r="L1063" s="4">
        <f>I1063-J1063+K1063</f>
        <v>1</v>
      </c>
      <c r="M1063" s="2" t="str" cm="1">
        <f t="array" ref="M1063">_xlfn.IFS(L1063=0,"Out of Stock",L1063&gt;=2,"Limited Stock",L1063&lt;2,"In Stock")</f>
        <v>In Stock</v>
      </c>
    </row>
    <row r="1064" spans="2:13">
      <c r="B1064" s="2" t="s">
        <v>226</v>
      </c>
      <c r="C1064" s="5" t="str">
        <f>_xlfn.XLOOKUP(B1064,Master[Product_Code],Master[Category])</f>
        <v>Shirt</v>
      </c>
      <c r="D1064" s="2" t="str">
        <f>_xlfn.XLOOKUP(B1064,Master[Product_Code],Master[Brand])</f>
        <v>G Studio</v>
      </c>
      <c r="E1064" s="2" t="str">
        <f>_xlfn.XLOOKUP(B1064,Master[Product_Code],Master[Style])</f>
        <v>Partywear</v>
      </c>
      <c r="F1064" s="2" t="str">
        <f>_xlfn.XLOOKUP(B1064,Master[Product_Code],Master[Fabric])</f>
        <v>Cotton</v>
      </c>
      <c r="G1064" s="2" t="str">
        <f>_xlfn.XLOOKUP(B1064,Master[Product_Code],Master[Size])</f>
        <v>S</v>
      </c>
      <c r="H1064" s="2" t="str">
        <f>_xlfn.XLOOKUP(B1064,Master[Product_Code],Master[Color])</f>
        <v>Mustard</v>
      </c>
      <c r="I1064" s="4">
        <f>_xlfn.XLOOKUP(B1064,Master[Product_Code],Master[Stock_Qty])</f>
        <v>4</v>
      </c>
      <c r="J1064" s="6">
        <f>SUMIFS(
  Sales_Entry[Qty],
  Sales_Entry[Product_Code], Stock_Table[[#This Row],[Product_Code]]
)</f>
        <v>1</v>
      </c>
      <c r="K1064" s="4">
        <f>SUMIFS(
  Exchange_Return[Qty],
  Exchange_Return[Product_Code], Stock_Table[[#This Row],[Product_Code]]
)</f>
        <v>0</v>
      </c>
      <c r="L1064" s="4">
        <f>I1064-J1064+K1064</f>
        <v>3</v>
      </c>
      <c r="M1064" s="2" t="str" cm="1">
        <f t="array" ref="M1064">_xlfn.IFS(L1064=0,"Out of Stock",L1064&gt;=2,"Limited Stock",L1064&lt;2,"In Stock")</f>
        <v>Limited Stock</v>
      </c>
    </row>
    <row r="1065" spans="2:13">
      <c r="B1065" s="2" t="s">
        <v>227</v>
      </c>
      <c r="C1065" s="5" t="str">
        <f>_xlfn.XLOOKUP(B1065,Master[Product_Code],Master[Category])</f>
        <v>Shirt</v>
      </c>
      <c r="D1065" s="2" t="str">
        <f>_xlfn.XLOOKUP(B1065,Master[Product_Code],Master[Brand])</f>
        <v>G Studio</v>
      </c>
      <c r="E1065" s="2" t="str">
        <f>_xlfn.XLOOKUP(B1065,Master[Product_Code],Master[Style])</f>
        <v>Formal</v>
      </c>
      <c r="F1065" s="2" t="str">
        <f>_xlfn.XLOOKUP(B1065,Master[Product_Code],Master[Fabric])</f>
        <v>Lycra</v>
      </c>
      <c r="G1065" s="2" t="str">
        <f>_xlfn.XLOOKUP(B1065,Master[Product_Code],Master[Size])</f>
        <v>XXL</v>
      </c>
      <c r="H1065" s="2" t="str">
        <f>_xlfn.XLOOKUP(B1065,Master[Product_Code],Master[Color])</f>
        <v>Grey</v>
      </c>
      <c r="I1065" s="4">
        <f>_xlfn.XLOOKUP(B1065,Master[Product_Code],Master[Stock_Qty])</f>
        <v>4</v>
      </c>
      <c r="J1065" s="6">
        <f>SUMIFS(
  Sales_Entry[Qty],
  Sales_Entry[Product_Code], Stock_Table[[#This Row],[Product_Code]]
)</f>
        <v>2</v>
      </c>
      <c r="K1065" s="4">
        <f>SUMIFS(
  Exchange_Return[Qty],
  Exchange_Return[Product_Code], Stock_Table[[#This Row],[Product_Code]]
)</f>
        <v>0</v>
      </c>
      <c r="L1065" s="4">
        <f>I1065-J1065+K1065</f>
        <v>2</v>
      </c>
      <c r="M1065" s="2" t="str" cm="1">
        <f t="array" ref="M1065">_xlfn.IFS(L1065=0,"Out of Stock",L1065&gt;=2,"Limited Stock",L1065&lt;2,"In Stock")</f>
        <v>Limited Stock</v>
      </c>
    </row>
    <row r="1066" spans="2:13">
      <c r="B1066" s="2" t="s">
        <v>228</v>
      </c>
      <c r="C1066" s="5" t="str">
        <f>_xlfn.XLOOKUP(B1066,Master[Product_Code],Master[Category])</f>
        <v>Shirt</v>
      </c>
      <c r="D1066" s="2" t="str">
        <f>_xlfn.XLOOKUP(B1066,Master[Product_Code],Master[Brand])</f>
        <v>USD</v>
      </c>
      <c r="E1066" s="2" t="str">
        <f>_xlfn.XLOOKUP(B1066,Master[Product_Code],Master[Style])</f>
        <v>Partywear</v>
      </c>
      <c r="F1066" s="2" t="str">
        <f>_xlfn.XLOOKUP(B1066,Master[Product_Code],Master[Fabric])</f>
        <v>Cotton</v>
      </c>
      <c r="G1066" s="2" t="str">
        <f>_xlfn.XLOOKUP(B1066,Master[Product_Code],Master[Size])</f>
        <v>L</v>
      </c>
      <c r="H1066" s="2" t="str">
        <f>_xlfn.XLOOKUP(B1066,Master[Product_Code],Master[Color])</f>
        <v>Maroon</v>
      </c>
      <c r="I1066" s="4">
        <f>_xlfn.XLOOKUP(B1066,Master[Product_Code],Master[Stock_Qty])</f>
        <v>4</v>
      </c>
      <c r="J1066" s="6">
        <f>SUMIFS(
  Sales_Entry[Qty],
  Sales_Entry[Product_Code], Stock_Table[[#This Row],[Product_Code]]
)</f>
        <v>0</v>
      </c>
      <c r="K1066" s="4">
        <f>SUMIFS(
  Exchange_Return[Qty],
  Exchange_Return[Product_Code], Stock_Table[[#This Row],[Product_Code]]
)</f>
        <v>0</v>
      </c>
      <c r="L1066" s="4">
        <f>I1066-J1066+K1066</f>
        <v>4</v>
      </c>
      <c r="M1066" s="2" t="str" cm="1">
        <f t="array" ref="M1066">_xlfn.IFS(L1066=0,"Out of Stock",L1066&gt;=2,"Limited Stock",L1066&lt;2,"In Stock")</f>
        <v>Limited Stock</v>
      </c>
    </row>
    <row r="1067" spans="2:13">
      <c r="B1067" s="2" t="s">
        <v>229</v>
      </c>
      <c r="C1067" s="5" t="str">
        <f>_xlfn.XLOOKUP(B1067,Master[Product_Code],Master[Category])</f>
        <v>Shirt</v>
      </c>
      <c r="D1067" s="2" t="str">
        <f>_xlfn.XLOOKUP(B1067,Master[Product_Code],Master[Brand])</f>
        <v>Thailand</v>
      </c>
      <c r="E1067" s="2" t="str">
        <f>_xlfn.XLOOKUP(B1067,Master[Product_Code],Master[Style])</f>
        <v>Formal</v>
      </c>
      <c r="F1067" s="2" t="str">
        <f>_xlfn.XLOOKUP(B1067,Master[Product_Code],Master[Fabric])</f>
        <v>Cotton</v>
      </c>
      <c r="G1067" s="2" t="str">
        <f>_xlfn.XLOOKUP(B1067,Master[Product_Code],Master[Size])</f>
        <v>S</v>
      </c>
      <c r="H1067" s="2" t="str">
        <f>_xlfn.XLOOKUP(B1067,Master[Product_Code],Master[Color])</f>
        <v>Maroon</v>
      </c>
      <c r="I1067" s="4">
        <f>_xlfn.XLOOKUP(B1067,Master[Product_Code],Master[Stock_Qty])</f>
        <v>3</v>
      </c>
      <c r="J1067" s="6">
        <f>SUMIFS(
  Sales_Entry[Qty],
  Sales_Entry[Product_Code], Stock_Table[[#This Row],[Product_Code]]
)</f>
        <v>3</v>
      </c>
      <c r="K1067" s="4">
        <f>SUMIFS(
  Exchange_Return[Qty],
  Exchange_Return[Product_Code], Stock_Table[[#This Row],[Product_Code]]
)</f>
        <v>0</v>
      </c>
      <c r="L1067" s="4">
        <f>I1067-J1067+K1067</f>
        <v>0</v>
      </c>
      <c r="M1067" s="2" t="str" cm="1">
        <f t="array" ref="M1067">_xlfn.IFS(L1067=0,"Out of Stock",L1067&gt;=2,"Limited Stock",L1067&lt;2,"In Stock")</f>
        <v>Out of Stock</v>
      </c>
    </row>
    <row r="1068" spans="2:13">
      <c r="B1068" s="2" t="s">
        <v>230</v>
      </c>
      <c r="C1068" s="5" t="str">
        <f>_xlfn.XLOOKUP(B1068,Master[Product_Code],Master[Category])</f>
        <v>Shirt</v>
      </c>
      <c r="D1068" s="2" t="str">
        <f>_xlfn.XLOOKUP(B1068,Master[Product_Code],Master[Brand])</f>
        <v>G Studio</v>
      </c>
      <c r="E1068" s="2" t="str">
        <f>_xlfn.XLOOKUP(B1068,Master[Product_Code],Master[Style])</f>
        <v>Partywear</v>
      </c>
      <c r="F1068" s="2" t="str">
        <f>_xlfn.XLOOKUP(B1068,Master[Product_Code],Master[Fabric])</f>
        <v>Cotton Blend</v>
      </c>
      <c r="G1068" s="2" t="str">
        <f>_xlfn.XLOOKUP(B1068,Master[Product_Code],Master[Size])</f>
        <v>S</v>
      </c>
      <c r="H1068" s="2" t="str">
        <f>_xlfn.XLOOKUP(B1068,Master[Product_Code],Master[Color])</f>
        <v>Olive</v>
      </c>
      <c r="I1068" s="4">
        <f>_xlfn.XLOOKUP(B1068,Master[Product_Code],Master[Stock_Qty])</f>
        <v>5</v>
      </c>
      <c r="J1068" s="6">
        <f>SUMIFS(
  Sales_Entry[Qty],
  Sales_Entry[Product_Code], Stock_Table[[#This Row],[Product_Code]]
)</f>
        <v>3</v>
      </c>
      <c r="K1068" s="4">
        <f>SUMIFS(
  Exchange_Return[Qty],
  Exchange_Return[Product_Code], Stock_Table[[#This Row],[Product_Code]]
)</f>
        <v>0</v>
      </c>
      <c r="L1068" s="4">
        <f>I1068-J1068+K1068</f>
        <v>2</v>
      </c>
      <c r="M1068" s="2" t="str" cm="1">
        <f t="array" ref="M1068">_xlfn.IFS(L1068=0,"Out of Stock",L1068&gt;=2,"Limited Stock",L1068&lt;2,"In Stock")</f>
        <v>Limited Stock</v>
      </c>
    </row>
    <row r="1069" spans="2:13">
      <c r="B1069" s="2" t="s">
        <v>231</v>
      </c>
      <c r="C1069" s="5" t="str">
        <f>_xlfn.XLOOKUP(B1069,Master[Product_Code],Master[Category])</f>
        <v>Shirt</v>
      </c>
      <c r="D1069" s="2" t="str">
        <f>_xlfn.XLOOKUP(B1069,Master[Product_Code],Master[Brand])</f>
        <v>USD</v>
      </c>
      <c r="E1069" s="2" t="str">
        <f>_xlfn.XLOOKUP(B1069,Master[Product_Code],Master[Style])</f>
        <v>Partywear</v>
      </c>
      <c r="F1069" s="2" t="str">
        <f>_xlfn.XLOOKUP(B1069,Master[Product_Code],Master[Fabric])</f>
        <v>Polyester</v>
      </c>
      <c r="G1069" s="2" t="str">
        <f>_xlfn.XLOOKUP(B1069,Master[Product_Code],Master[Size])</f>
        <v>XXL</v>
      </c>
      <c r="H1069" s="2" t="str">
        <f>_xlfn.XLOOKUP(B1069,Master[Product_Code],Master[Color])</f>
        <v>Sky Blue</v>
      </c>
      <c r="I1069" s="4">
        <f>_xlfn.XLOOKUP(B1069,Master[Product_Code],Master[Stock_Qty])</f>
        <v>3</v>
      </c>
      <c r="J1069" s="6">
        <f>SUMIFS(
  Sales_Entry[Qty],
  Sales_Entry[Product_Code], Stock_Table[[#This Row],[Product_Code]]
)</f>
        <v>1</v>
      </c>
      <c r="K1069" s="4">
        <f>SUMIFS(
  Exchange_Return[Qty],
  Exchange_Return[Product_Code], Stock_Table[[#This Row],[Product_Code]]
)</f>
        <v>0</v>
      </c>
      <c r="L1069" s="4">
        <f>I1069-J1069+K1069</f>
        <v>2</v>
      </c>
      <c r="M1069" s="2" t="str" cm="1">
        <f t="array" ref="M1069">_xlfn.IFS(L1069=0,"Out of Stock",L1069&gt;=2,"Limited Stock",L1069&lt;2,"In Stock")</f>
        <v>Limited Stock</v>
      </c>
    </row>
    <row r="1070" spans="2:13">
      <c r="B1070" s="2" t="s">
        <v>232</v>
      </c>
      <c r="C1070" s="5" t="str">
        <f>_xlfn.XLOOKUP(B1070,Master[Product_Code],Master[Category])</f>
        <v>Shirt</v>
      </c>
      <c r="D1070" s="2" t="str">
        <f>_xlfn.XLOOKUP(B1070,Master[Product_Code],Master[Brand])</f>
        <v>Max</v>
      </c>
      <c r="E1070" s="2" t="str">
        <f>_xlfn.XLOOKUP(B1070,Master[Product_Code],Master[Style])</f>
        <v>Casual</v>
      </c>
      <c r="F1070" s="2" t="str">
        <f>_xlfn.XLOOKUP(B1070,Master[Product_Code],Master[Fabric])</f>
        <v>Cotton</v>
      </c>
      <c r="G1070" s="2" t="str">
        <f>_xlfn.XLOOKUP(B1070,Master[Product_Code],Master[Size])</f>
        <v>XL</v>
      </c>
      <c r="H1070" s="2" t="str">
        <f>_xlfn.XLOOKUP(B1070,Master[Product_Code],Master[Color])</f>
        <v>Wine</v>
      </c>
      <c r="I1070" s="4">
        <f>_xlfn.XLOOKUP(B1070,Master[Product_Code],Master[Stock_Qty])</f>
        <v>4</v>
      </c>
      <c r="J1070" s="6">
        <f>SUMIFS(
  Sales_Entry[Qty],
  Sales_Entry[Product_Code], Stock_Table[[#This Row],[Product_Code]]
)</f>
        <v>1</v>
      </c>
      <c r="K1070" s="4">
        <f>SUMIFS(
  Exchange_Return[Qty],
  Exchange_Return[Product_Code], Stock_Table[[#This Row],[Product_Code]]
)</f>
        <v>0</v>
      </c>
      <c r="L1070" s="4">
        <f>I1070-J1070+K1070</f>
        <v>3</v>
      </c>
      <c r="M1070" s="2" t="str" cm="1">
        <f t="array" ref="M1070">_xlfn.IFS(L1070=0,"Out of Stock",L1070&gt;=2,"Limited Stock",L1070&lt;2,"In Stock")</f>
        <v>Limited Stock</v>
      </c>
    </row>
    <row r="1071" spans="2:13">
      <c r="B1071" s="2" t="s">
        <v>233</v>
      </c>
      <c r="C1071" s="5" t="str">
        <f>_xlfn.XLOOKUP(B1071,Master[Product_Code],Master[Category])</f>
        <v>Shirt</v>
      </c>
      <c r="D1071" s="2" t="str">
        <f>_xlfn.XLOOKUP(B1071,Master[Product_Code],Master[Brand])</f>
        <v>Zara</v>
      </c>
      <c r="E1071" s="2" t="str">
        <f>_xlfn.XLOOKUP(B1071,Master[Product_Code],Master[Style])</f>
        <v>Partywear</v>
      </c>
      <c r="F1071" s="2" t="str">
        <f>_xlfn.XLOOKUP(B1071,Master[Product_Code],Master[Fabric])</f>
        <v>Cotton Blend</v>
      </c>
      <c r="G1071" s="2" t="str">
        <f>_xlfn.XLOOKUP(B1071,Master[Product_Code],Master[Size])</f>
        <v>XL</v>
      </c>
      <c r="H1071" s="2" t="str">
        <f>_xlfn.XLOOKUP(B1071,Master[Product_Code],Master[Color])</f>
        <v>Black</v>
      </c>
      <c r="I1071" s="4">
        <f>_xlfn.XLOOKUP(B1071,Master[Product_Code],Master[Stock_Qty])</f>
        <v>3</v>
      </c>
      <c r="J1071" s="6">
        <f>SUMIFS(
  Sales_Entry[Qty],
  Sales_Entry[Product_Code], Stock_Table[[#This Row],[Product_Code]]
)</f>
        <v>2</v>
      </c>
      <c r="K1071" s="4">
        <f>SUMIFS(
  Exchange_Return[Qty],
  Exchange_Return[Product_Code], Stock_Table[[#This Row],[Product_Code]]
)</f>
        <v>0</v>
      </c>
      <c r="L1071" s="4">
        <f>I1071-J1071+K1071</f>
        <v>1</v>
      </c>
      <c r="M1071" s="2" t="str" cm="1">
        <f t="array" ref="M1071">_xlfn.IFS(L1071=0,"Out of Stock",L1071&gt;=2,"Limited Stock",L1071&lt;2,"In Stock")</f>
        <v>In Stock</v>
      </c>
    </row>
    <row r="1072" spans="2:13">
      <c r="B1072" s="2" t="s">
        <v>234</v>
      </c>
      <c r="C1072" s="5" t="str">
        <f>_xlfn.XLOOKUP(B1072,Master[Product_Code],Master[Category])</f>
        <v>Shirt</v>
      </c>
      <c r="D1072" s="2" t="str">
        <f>_xlfn.XLOOKUP(B1072,Master[Product_Code],Master[Brand])</f>
        <v>Luke &amp; Burg</v>
      </c>
      <c r="E1072" s="2" t="str">
        <f>_xlfn.XLOOKUP(B1072,Master[Product_Code],Master[Style])</f>
        <v>Casual</v>
      </c>
      <c r="F1072" s="2" t="str">
        <f>_xlfn.XLOOKUP(B1072,Master[Product_Code],Master[Fabric])</f>
        <v>Cotton</v>
      </c>
      <c r="G1072" s="2" t="str">
        <f>_xlfn.XLOOKUP(B1072,Master[Product_Code],Master[Size])</f>
        <v>XL</v>
      </c>
      <c r="H1072" s="2" t="str">
        <f>_xlfn.XLOOKUP(B1072,Master[Product_Code],Master[Color])</f>
        <v>Cream</v>
      </c>
      <c r="I1072" s="4">
        <f>_xlfn.XLOOKUP(B1072,Master[Product_Code],Master[Stock_Qty])</f>
        <v>3</v>
      </c>
      <c r="J1072" s="6">
        <f>SUMIFS(
  Sales_Entry[Qty],
  Sales_Entry[Product_Code], Stock_Table[[#This Row],[Product_Code]]
)</f>
        <v>2</v>
      </c>
      <c r="K1072" s="4">
        <f>SUMIFS(
  Exchange_Return[Qty],
  Exchange_Return[Product_Code], Stock_Table[[#This Row],[Product_Code]]
)</f>
        <v>0</v>
      </c>
      <c r="L1072" s="4">
        <f>I1072-J1072+K1072</f>
        <v>1</v>
      </c>
      <c r="M1072" s="2" t="str" cm="1">
        <f t="array" ref="M1072">_xlfn.IFS(L1072=0,"Out of Stock",L1072&gt;=2,"Limited Stock",L1072&lt;2,"In Stock")</f>
        <v>In Stock</v>
      </c>
    </row>
    <row r="1073" spans="2:13">
      <c r="B1073" s="2" t="s">
        <v>235</v>
      </c>
      <c r="C1073" s="5" t="str">
        <f>_xlfn.XLOOKUP(B1073,Master[Product_Code],Master[Category])</f>
        <v>Shirt</v>
      </c>
      <c r="D1073" s="2" t="str">
        <f>_xlfn.XLOOKUP(B1073,Master[Product_Code],Master[Brand])</f>
        <v>L7</v>
      </c>
      <c r="E1073" s="2" t="str">
        <f>_xlfn.XLOOKUP(B1073,Master[Product_Code],Master[Style])</f>
        <v>Casual</v>
      </c>
      <c r="F1073" s="2" t="str">
        <f>_xlfn.XLOOKUP(B1073,Master[Product_Code],Master[Fabric])</f>
        <v>Lycra</v>
      </c>
      <c r="G1073" s="2" t="str">
        <f>_xlfn.XLOOKUP(B1073,Master[Product_Code],Master[Size])</f>
        <v>S</v>
      </c>
      <c r="H1073" s="2" t="str">
        <f>_xlfn.XLOOKUP(B1073,Master[Product_Code],Master[Color])</f>
        <v>Maroon</v>
      </c>
      <c r="I1073" s="4">
        <f>_xlfn.XLOOKUP(B1073,Master[Product_Code],Master[Stock_Qty])</f>
        <v>5</v>
      </c>
      <c r="J1073" s="6">
        <f>SUMIFS(
  Sales_Entry[Qty],
  Sales_Entry[Product_Code], Stock_Table[[#This Row],[Product_Code]]
)</f>
        <v>3</v>
      </c>
      <c r="K1073" s="4">
        <f>SUMIFS(
  Exchange_Return[Qty],
  Exchange_Return[Product_Code], Stock_Table[[#This Row],[Product_Code]]
)</f>
        <v>0</v>
      </c>
      <c r="L1073" s="4">
        <f>I1073-J1073+K1073</f>
        <v>2</v>
      </c>
      <c r="M1073" s="2" t="str" cm="1">
        <f t="array" ref="M1073">_xlfn.IFS(L1073=0,"Out of Stock",L1073&gt;=2,"Limited Stock",L1073&lt;2,"In Stock")</f>
        <v>Limited Stock</v>
      </c>
    </row>
    <row r="1074" spans="2:13">
      <c r="B1074" s="2" t="s">
        <v>236</v>
      </c>
      <c r="C1074" s="5" t="str">
        <f>_xlfn.XLOOKUP(B1074,Master[Product_Code],Master[Category])</f>
        <v>Shirt</v>
      </c>
      <c r="D1074" s="2" t="str">
        <f>_xlfn.XLOOKUP(B1074,Master[Product_Code],Master[Brand])</f>
        <v>H&amp;M</v>
      </c>
      <c r="E1074" s="2" t="str">
        <f>_xlfn.XLOOKUP(B1074,Master[Product_Code],Master[Style])</f>
        <v>Partywear</v>
      </c>
      <c r="F1074" s="2" t="str">
        <f>_xlfn.XLOOKUP(B1074,Master[Product_Code],Master[Fabric])</f>
        <v>Cotton Blend</v>
      </c>
      <c r="G1074" s="2" t="str">
        <f>_xlfn.XLOOKUP(B1074,Master[Product_Code],Master[Size])</f>
        <v>XL</v>
      </c>
      <c r="H1074" s="2" t="str">
        <f>_xlfn.XLOOKUP(B1074,Master[Product_Code],Master[Color])</f>
        <v>Royal Blue</v>
      </c>
      <c r="I1074" s="4">
        <f>_xlfn.XLOOKUP(B1074,Master[Product_Code],Master[Stock_Qty])</f>
        <v>5</v>
      </c>
      <c r="J1074" s="6">
        <f>SUMIFS(
  Sales_Entry[Qty],
  Sales_Entry[Product_Code], Stock_Table[[#This Row],[Product_Code]]
)</f>
        <v>1</v>
      </c>
      <c r="K1074" s="4">
        <f>SUMIFS(
  Exchange_Return[Qty],
  Exchange_Return[Product_Code], Stock_Table[[#This Row],[Product_Code]]
)</f>
        <v>0</v>
      </c>
      <c r="L1074" s="4">
        <f>I1074-J1074+K1074</f>
        <v>4</v>
      </c>
      <c r="M1074" s="2" t="str" cm="1">
        <f t="array" ref="M1074">_xlfn.IFS(L1074=0,"Out of Stock",L1074&gt;=2,"Limited Stock",L1074&lt;2,"In Stock")</f>
        <v>Limited Stock</v>
      </c>
    </row>
    <row r="1075" spans="2:13">
      <c r="B1075" s="2" t="s">
        <v>237</v>
      </c>
      <c r="C1075" s="5" t="str">
        <f>_xlfn.XLOOKUP(B1075,Master[Product_Code],Master[Category])</f>
        <v>Shirt</v>
      </c>
      <c r="D1075" s="2" t="str">
        <f>_xlfn.XLOOKUP(B1075,Master[Product_Code],Master[Brand])</f>
        <v>H&amp;M</v>
      </c>
      <c r="E1075" s="2" t="str">
        <f>_xlfn.XLOOKUP(B1075,Master[Product_Code],Master[Style])</f>
        <v>Partywear</v>
      </c>
      <c r="F1075" s="2" t="str">
        <f>_xlfn.XLOOKUP(B1075,Master[Product_Code],Master[Fabric])</f>
        <v>Polyester</v>
      </c>
      <c r="G1075" s="2" t="str">
        <f>_xlfn.XLOOKUP(B1075,Master[Product_Code],Master[Size])</f>
        <v>S</v>
      </c>
      <c r="H1075" s="2" t="str">
        <f>_xlfn.XLOOKUP(B1075,Master[Product_Code],Master[Color])</f>
        <v>Sky Blue</v>
      </c>
      <c r="I1075" s="4">
        <f>_xlfn.XLOOKUP(B1075,Master[Product_Code],Master[Stock_Qty])</f>
        <v>4</v>
      </c>
      <c r="J1075" s="6">
        <f>SUMIFS(
  Sales_Entry[Qty],
  Sales_Entry[Product_Code], Stock_Table[[#This Row],[Product_Code]]
)</f>
        <v>1</v>
      </c>
      <c r="K1075" s="4">
        <f>SUMIFS(
  Exchange_Return[Qty],
  Exchange_Return[Product_Code], Stock_Table[[#This Row],[Product_Code]]
)</f>
        <v>0</v>
      </c>
      <c r="L1075" s="4">
        <f>I1075-J1075+K1075</f>
        <v>3</v>
      </c>
      <c r="M1075" s="2" t="str" cm="1">
        <f t="array" ref="M1075">_xlfn.IFS(L1075=0,"Out of Stock",L1075&gt;=2,"Limited Stock",L1075&lt;2,"In Stock")</f>
        <v>Limited Stock</v>
      </c>
    </row>
    <row r="1076" spans="2:13">
      <c r="B1076" s="2" t="s">
        <v>238</v>
      </c>
      <c r="C1076" s="5" t="str">
        <f>_xlfn.XLOOKUP(B1076,Master[Product_Code],Master[Category])</f>
        <v>Shirt</v>
      </c>
      <c r="D1076" s="2" t="str">
        <f>_xlfn.XLOOKUP(B1076,Master[Product_Code],Master[Brand])</f>
        <v>Max</v>
      </c>
      <c r="E1076" s="2" t="str">
        <f>_xlfn.XLOOKUP(B1076,Master[Product_Code],Master[Style])</f>
        <v>Formal</v>
      </c>
      <c r="F1076" s="2" t="str">
        <f>_xlfn.XLOOKUP(B1076,Master[Product_Code],Master[Fabric])</f>
        <v>Polyester</v>
      </c>
      <c r="G1076" s="2" t="str">
        <f>_xlfn.XLOOKUP(B1076,Master[Product_Code],Master[Size])</f>
        <v>L</v>
      </c>
      <c r="H1076" s="2" t="str">
        <f>_xlfn.XLOOKUP(B1076,Master[Product_Code],Master[Color])</f>
        <v>Cream</v>
      </c>
      <c r="I1076" s="4">
        <f>_xlfn.XLOOKUP(B1076,Master[Product_Code],Master[Stock_Qty])</f>
        <v>6</v>
      </c>
      <c r="J1076" s="6">
        <f>SUMIFS(
  Sales_Entry[Qty],
  Sales_Entry[Product_Code], Stock_Table[[#This Row],[Product_Code]]
)</f>
        <v>0</v>
      </c>
      <c r="K1076" s="4">
        <f>SUMIFS(
  Exchange_Return[Qty],
  Exchange_Return[Product_Code], Stock_Table[[#This Row],[Product_Code]]
)</f>
        <v>0</v>
      </c>
      <c r="L1076" s="4">
        <f>I1076-J1076+K1076</f>
        <v>6</v>
      </c>
      <c r="M1076" s="2" t="str" cm="1">
        <f t="array" ref="M1076">_xlfn.IFS(L1076=0,"Out of Stock",L1076&gt;=2,"Limited Stock",L1076&lt;2,"In Stock")</f>
        <v>Limited Stock</v>
      </c>
    </row>
    <row r="1077" spans="2:13">
      <c r="B1077" s="2" t="s">
        <v>239</v>
      </c>
      <c r="C1077" s="5" t="str">
        <f>_xlfn.XLOOKUP(B1077,Master[Product_Code],Master[Category])</f>
        <v>Shirt</v>
      </c>
      <c r="D1077" s="2" t="str">
        <f>_xlfn.XLOOKUP(B1077,Master[Product_Code],Master[Brand])</f>
        <v>L7</v>
      </c>
      <c r="E1077" s="2" t="str">
        <f>_xlfn.XLOOKUP(B1077,Master[Product_Code],Master[Style])</f>
        <v>Casual</v>
      </c>
      <c r="F1077" s="2" t="str">
        <f>_xlfn.XLOOKUP(B1077,Master[Product_Code],Master[Fabric])</f>
        <v>Polyester</v>
      </c>
      <c r="G1077" s="2" t="str">
        <f>_xlfn.XLOOKUP(B1077,Master[Product_Code],Master[Size])</f>
        <v>L</v>
      </c>
      <c r="H1077" s="2" t="str">
        <f>_xlfn.XLOOKUP(B1077,Master[Product_Code],Master[Color])</f>
        <v>Beige</v>
      </c>
      <c r="I1077" s="4">
        <f>_xlfn.XLOOKUP(B1077,Master[Product_Code],Master[Stock_Qty])</f>
        <v>5</v>
      </c>
      <c r="J1077" s="6">
        <f>SUMIFS(
  Sales_Entry[Qty],
  Sales_Entry[Product_Code], Stock_Table[[#This Row],[Product_Code]]
)</f>
        <v>1</v>
      </c>
      <c r="K1077" s="4">
        <f>SUMIFS(
  Exchange_Return[Qty],
  Exchange_Return[Product_Code], Stock_Table[[#This Row],[Product_Code]]
)</f>
        <v>0</v>
      </c>
      <c r="L1077" s="4">
        <f>I1077-J1077+K1077</f>
        <v>4</v>
      </c>
      <c r="M1077" s="2" t="str" cm="1">
        <f t="array" ref="M1077">_xlfn.IFS(L1077=0,"Out of Stock",L1077&gt;=2,"Limited Stock",L1077&lt;2,"In Stock")</f>
        <v>Limited Stock</v>
      </c>
    </row>
    <row r="1078" spans="2:13">
      <c r="B1078" s="2" t="s">
        <v>240</v>
      </c>
      <c r="C1078" s="5" t="str">
        <f>_xlfn.XLOOKUP(B1078,Master[Product_Code],Master[Category])</f>
        <v>Shirt</v>
      </c>
      <c r="D1078" s="2" t="str">
        <f>_xlfn.XLOOKUP(B1078,Master[Product_Code],Master[Brand])</f>
        <v>Max</v>
      </c>
      <c r="E1078" s="2" t="str">
        <f>_xlfn.XLOOKUP(B1078,Master[Product_Code],Master[Style])</f>
        <v>Formal</v>
      </c>
      <c r="F1078" s="2" t="str">
        <f>_xlfn.XLOOKUP(B1078,Master[Product_Code],Master[Fabric])</f>
        <v>Cotton</v>
      </c>
      <c r="G1078" s="2" t="str">
        <f>_xlfn.XLOOKUP(B1078,Master[Product_Code],Master[Size])</f>
        <v>S</v>
      </c>
      <c r="H1078" s="2" t="str">
        <f>_xlfn.XLOOKUP(B1078,Master[Product_Code],Master[Color])</f>
        <v>Navy Blue</v>
      </c>
      <c r="I1078" s="4">
        <f>_xlfn.XLOOKUP(B1078,Master[Product_Code],Master[Stock_Qty])</f>
        <v>6</v>
      </c>
      <c r="J1078" s="6">
        <f>SUMIFS(
  Sales_Entry[Qty],
  Sales_Entry[Product_Code], Stock_Table[[#This Row],[Product_Code]]
)</f>
        <v>0</v>
      </c>
      <c r="K1078" s="4">
        <f>SUMIFS(
  Exchange_Return[Qty],
  Exchange_Return[Product_Code], Stock_Table[[#This Row],[Product_Code]]
)</f>
        <v>0</v>
      </c>
      <c r="L1078" s="4">
        <f>I1078-J1078+K1078</f>
        <v>6</v>
      </c>
      <c r="M1078" s="2" t="str" cm="1">
        <f t="array" ref="M1078">_xlfn.IFS(L1078=0,"Out of Stock",L1078&gt;=2,"Limited Stock",L1078&lt;2,"In Stock")</f>
        <v>Limited Stock</v>
      </c>
    </row>
    <row r="1079" spans="2:13">
      <c r="B1079" s="2" t="s">
        <v>241</v>
      </c>
      <c r="C1079" s="5" t="str">
        <f>_xlfn.XLOOKUP(B1079,Master[Product_Code],Master[Category])</f>
        <v>Shirt</v>
      </c>
      <c r="D1079" s="2" t="str">
        <f>_xlfn.XLOOKUP(B1079,Master[Product_Code],Master[Brand])</f>
        <v>British</v>
      </c>
      <c r="E1079" s="2" t="str">
        <f>_xlfn.XLOOKUP(B1079,Master[Product_Code],Master[Style])</f>
        <v>Formal</v>
      </c>
      <c r="F1079" s="2" t="str">
        <f>_xlfn.XLOOKUP(B1079,Master[Product_Code],Master[Fabric])</f>
        <v>Cotton</v>
      </c>
      <c r="G1079" s="2" t="str">
        <f>_xlfn.XLOOKUP(B1079,Master[Product_Code],Master[Size])</f>
        <v>XXL</v>
      </c>
      <c r="H1079" s="2" t="str">
        <f>_xlfn.XLOOKUP(B1079,Master[Product_Code],Master[Color])</f>
        <v>Dark Green</v>
      </c>
      <c r="I1079" s="4">
        <f>_xlfn.XLOOKUP(B1079,Master[Product_Code],Master[Stock_Qty])</f>
        <v>5</v>
      </c>
      <c r="J1079" s="6">
        <f>SUMIFS(
  Sales_Entry[Qty],
  Sales_Entry[Product_Code], Stock_Table[[#This Row],[Product_Code]]
)</f>
        <v>1</v>
      </c>
      <c r="K1079" s="4">
        <f>SUMIFS(
  Exchange_Return[Qty],
  Exchange_Return[Product_Code], Stock_Table[[#This Row],[Product_Code]]
)</f>
        <v>0</v>
      </c>
      <c r="L1079" s="4">
        <f>I1079-J1079+K1079</f>
        <v>4</v>
      </c>
      <c r="M1079" s="2" t="str" cm="1">
        <f t="array" ref="M1079">_xlfn.IFS(L1079=0,"Out of Stock",L1079&gt;=2,"Limited Stock",L1079&lt;2,"In Stock")</f>
        <v>Limited Stock</v>
      </c>
    </row>
    <row r="1080" spans="2:13">
      <c r="B1080" s="2" t="s">
        <v>242</v>
      </c>
      <c r="C1080" s="5" t="str">
        <f>_xlfn.XLOOKUP(B1080,Master[Product_Code],Master[Category])</f>
        <v>Shirt</v>
      </c>
      <c r="D1080" s="2" t="str">
        <f>_xlfn.XLOOKUP(B1080,Master[Product_Code],Master[Brand])</f>
        <v>L7</v>
      </c>
      <c r="E1080" s="2" t="str">
        <f>_xlfn.XLOOKUP(B1080,Master[Product_Code],Master[Style])</f>
        <v>Casual</v>
      </c>
      <c r="F1080" s="2" t="str">
        <f>_xlfn.XLOOKUP(B1080,Master[Product_Code],Master[Fabric])</f>
        <v>Cotton Blend</v>
      </c>
      <c r="G1080" s="2" t="str">
        <f>_xlfn.XLOOKUP(B1080,Master[Product_Code],Master[Size])</f>
        <v>XL</v>
      </c>
      <c r="H1080" s="2" t="str">
        <f>_xlfn.XLOOKUP(B1080,Master[Product_Code],Master[Color])</f>
        <v>White</v>
      </c>
      <c r="I1080" s="4">
        <f>_xlfn.XLOOKUP(B1080,Master[Product_Code],Master[Stock_Qty])</f>
        <v>5</v>
      </c>
      <c r="J1080" s="6">
        <f>SUMIFS(
  Sales_Entry[Qty],
  Sales_Entry[Product_Code], Stock_Table[[#This Row],[Product_Code]]
)</f>
        <v>2</v>
      </c>
      <c r="K1080" s="4">
        <f>SUMIFS(
  Exchange_Return[Qty],
  Exchange_Return[Product_Code], Stock_Table[[#This Row],[Product_Code]]
)</f>
        <v>0</v>
      </c>
      <c r="L1080" s="4">
        <f>I1080-J1080+K1080</f>
        <v>3</v>
      </c>
      <c r="M1080" s="2" t="str" cm="1">
        <f t="array" ref="M1080">_xlfn.IFS(L1080=0,"Out of Stock",L1080&gt;=2,"Limited Stock",L1080&lt;2,"In Stock")</f>
        <v>Limited Stock</v>
      </c>
    </row>
    <row r="1081" spans="2:13">
      <c r="B1081" s="2" t="s">
        <v>243</v>
      </c>
      <c r="C1081" s="5" t="str">
        <f>_xlfn.XLOOKUP(B1081,Master[Product_Code],Master[Category])</f>
        <v>Shirt</v>
      </c>
      <c r="D1081" s="2" t="str">
        <f>_xlfn.XLOOKUP(B1081,Master[Product_Code],Master[Brand])</f>
        <v>Thailand</v>
      </c>
      <c r="E1081" s="2" t="str">
        <f>_xlfn.XLOOKUP(B1081,Master[Product_Code],Master[Style])</f>
        <v>Casual</v>
      </c>
      <c r="F1081" s="2" t="str">
        <f>_xlfn.XLOOKUP(B1081,Master[Product_Code],Master[Fabric])</f>
        <v>Cotton</v>
      </c>
      <c r="G1081" s="2" t="str">
        <f>_xlfn.XLOOKUP(B1081,Master[Product_Code],Master[Size])</f>
        <v>XXL</v>
      </c>
      <c r="H1081" s="2" t="str">
        <f>_xlfn.XLOOKUP(B1081,Master[Product_Code],Master[Color])</f>
        <v>Wine</v>
      </c>
      <c r="I1081" s="4">
        <f>_xlfn.XLOOKUP(B1081,Master[Product_Code],Master[Stock_Qty])</f>
        <v>4</v>
      </c>
      <c r="J1081" s="6">
        <f>SUMIFS(
  Sales_Entry[Qty],
  Sales_Entry[Product_Code], Stock_Table[[#This Row],[Product_Code]]
)</f>
        <v>5</v>
      </c>
      <c r="K1081" s="4">
        <f>SUMIFS(
  Exchange_Return[Qty],
  Exchange_Return[Product_Code], Stock_Table[[#This Row],[Product_Code]]
)</f>
        <v>1</v>
      </c>
      <c r="L1081" s="4">
        <f>I1081-J1081+K1081</f>
        <v>0</v>
      </c>
      <c r="M1081" s="2" t="str" cm="1">
        <f t="array" ref="M1081">_xlfn.IFS(L1081=0,"Out of Stock",L1081&gt;=2,"Limited Stock",L1081&lt;2,"In Stock")</f>
        <v>Out of Stock</v>
      </c>
    </row>
    <row r="1082" spans="2:13">
      <c r="B1082" s="2" t="s">
        <v>244</v>
      </c>
      <c r="C1082" s="5" t="str">
        <f>_xlfn.XLOOKUP(B1082,Master[Product_Code],Master[Category])</f>
        <v>Shirt</v>
      </c>
      <c r="D1082" s="2" t="str">
        <f>_xlfn.XLOOKUP(B1082,Master[Product_Code],Master[Brand])</f>
        <v>Max</v>
      </c>
      <c r="E1082" s="2" t="str">
        <f>_xlfn.XLOOKUP(B1082,Master[Product_Code],Master[Style])</f>
        <v>Formal</v>
      </c>
      <c r="F1082" s="2" t="str">
        <f>_xlfn.XLOOKUP(B1082,Master[Product_Code],Master[Fabric])</f>
        <v>Cotton</v>
      </c>
      <c r="G1082" s="2" t="str">
        <f>_xlfn.XLOOKUP(B1082,Master[Product_Code],Master[Size])</f>
        <v>L</v>
      </c>
      <c r="H1082" s="2" t="str">
        <f>_xlfn.XLOOKUP(B1082,Master[Product_Code],Master[Color])</f>
        <v>Dark Green</v>
      </c>
      <c r="I1082" s="4">
        <f>_xlfn.XLOOKUP(B1082,Master[Product_Code],Master[Stock_Qty])</f>
        <v>5</v>
      </c>
      <c r="J1082" s="6">
        <f>SUMIFS(
  Sales_Entry[Qty],
  Sales_Entry[Product_Code], Stock_Table[[#This Row],[Product_Code]]
)</f>
        <v>1</v>
      </c>
      <c r="K1082" s="4">
        <f>SUMIFS(
  Exchange_Return[Qty],
  Exchange_Return[Product_Code], Stock_Table[[#This Row],[Product_Code]]
)</f>
        <v>0</v>
      </c>
      <c r="L1082" s="4">
        <f>I1082-J1082+K1082</f>
        <v>4</v>
      </c>
      <c r="M1082" s="2" t="str" cm="1">
        <f t="array" ref="M1082">_xlfn.IFS(L1082=0,"Out of Stock",L1082&gt;=2,"Limited Stock",L1082&lt;2,"In Stock")</f>
        <v>Limited Stock</v>
      </c>
    </row>
    <row r="1083" spans="2:13">
      <c r="B1083" s="2" t="s">
        <v>245</v>
      </c>
      <c r="C1083" s="5" t="str">
        <f>_xlfn.XLOOKUP(B1083,Master[Product_Code],Master[Category])</f>
        <v>Shirt</v>
      </c>
      <c r="D1083" s="2" t="str">
        <f>_xlfn.XLOOKUP(B1083,Master[Product_Code],Master[Brand])</f>
        <v>Thailand</v>
      </c>
      <c r="E1083" s="2" t="str">
        <f>_xlfn.XLOOKUP(B1083,Master[Product_Code],Master[Style])</f>
        <v>Partywear</v>
      </c>
      <c r="F1083" s="2" t="str">
        <f>_xlfn.XLOOKUP(B1083,Master[Product_Code],Master[Fabric])</f>
        <v>Lycra</v>
      </c>
      <c r="G1083" s="2" t="str">
        <f>_xlfn.XLOOKUP(B1083,Master[Product_Code],Master[Size])</f>
        <v>XL</v>
      </c>
      <c r="H1083" s="2" t="str">
        <f>_xlfn.XLOOKUP(B1083,Master[Product_Code],Master[Color])</f>
        <v>Dark Green</v>
      </c>
      <c r="I1083" s="4">
        <f>_xlfn.XLOOKUP(B1083,Master[Product_Code],Master[Stock_Qty])</f>
        <v>3</v>
      </c>
      <c r="J1083" s="6">
        <f>SUMIFS(
  Sales_Entry[Qty],
  Sales_Entry[Product_Code], Stock_Table[[#This Row],[Product_Code]]
)</f>
        <v>0</v>
      </c>
      <c r="K1083" s="4">
        <f>SUMIFS(
  Exchange_Return[Qty],
  Exchange_Return[Product_Code], Stock_Table[[#This Row],[Product_Code]]
)</f>
        <v>0</v>
      </c>
      <c r="L1083" s="4">
        <f>I1083-J1083+K1083</f>
        <v>3</v>
      </c>
      <c r="M1083" s="2" t="str" cm="1">
        <f t="array" ref="M1083">_xlfn.IFS(L1083=0,"Out of Stock",L1083&gt;=2,"Limited Stock",L1083&lt;2,"In Stock")</f>
        <v>Limited Stock</v>
      </c>
    </row>
    <row r="1084" spans="2:13">
      <c r="B1084" s="2" t="s">
        <v>246</v>
      </c>
      <c r="C1084" s="5" t="str">
        <f>_xlfn.XLOOKUP(B1084,Master[Product_Code],Master[Category])</f>
        <v>Shirt</v>
      </c>
      <c r="D1084" s="2" t="str">
        <f>_xlfn.XLOOKUP(B1084,Master[Product_Code],Master[Brand])</f>
        <v>Thailand</v>
      </c>
      <c r="E1084" s="2" t="str">
        <f>_xlfn.XLOOKUP(B1084,Master[Product_Code],Master[Style])</f>
        <v>Formal</v>
      </c>
      <c r="F1084" s="2" t="str">
        <f>_xlfn.XLOOKUP(B1084,Master[Product_Code],Master[Fabric])</f>
        <v>Lycra</v>
      </c>
      <c r="G1084" s="2" t="str">
        <f>_xlfn.XLOOKUP(B1084,Master[Product_Code],Master[Size])</f>
        <v>L</v>
      </c>
      <c r="H1084" s="2" t="str">
        <f>_xlfn.XLOOKUP(B1084,Master[Product_Code],Master[Color])</f>
        <v>Brown</v>
      </c>
      <c r="I1084" s="4">
        <f>_xlfn.XLOOKUP(B1084,Master[Product_Code],Master[Stock_Qty])</f>
        <v>5</v>
      </c>
      <c r="J1084" s="6">
        <f>SUMIFS(
  Sales_Entry[Qty],
  Sales_Entry[Product_Code], Stock_Table[[#This Row],[Product_Code]]
)</f>
        <v>2</v>
      </c>
      <c r="K1084" s="4">
        <f>SUMIFS(
  Exchange_Return[Qty],
  Exchange_Return[Product_Code], Stock_Table[[#This Row],[Product_Code]]
)</f>
        <v>0</v>
      </c>
      <c r="L1084" s="4">
        <f>I1084-J1084+K1084</f>
        <v>3</v>
      </c>
      <c r="M1084" s="2" t="str" cm="1">
        <f t="array" ref="M1084">_xlfn.IFS(L1084=0,"Out of Stock",L1084&gt;=2,"Limited Stock",L1084&lt;2,"In Stock")</f>
        <v>Limited Stock</v>
      </c>
    </row>
    <row r="1085" spans="2:13">
      <c r="B1085" s="2" t="s">
        <v>247</v>
      </c>
      <c r="C1085" s="5" t="str">
        <f>_xlfn.XLOOKUP(B1085,Master[Product_Code],Master[Category])</f>
        <v>Shirt</v>
      </c>
      <c r="D1085" s="2" t="str">
        <f>_xlfn.XLOOKUP(B1085,Master[Product_Code],Master[Brand])</f>
        <v>Zara</v>
      </c>
      <c r="E1085" s="2" t="str">
        <f>_xlfn.XLOOKUP(B1085,Master[Product_Code],Master[Style])</f>
        <v>Formal</v>
      </c>
      <c r="F1085" s="2" t="str">
        <f>_xlfn.XLOOKUP(B1085,Master[Product_Code],Master[Fabric])</f>
        <v>Lycra</v>
      </c>
      <c r="G1085" s="2" t="str">
        <f>_xlfn.XLOOKUP(B1085,Master[Product_Code],Master[Size])</f>
        <v>XXL</v>
      </c>
      <c r="H1085" s="2" t="str">
        <f>_xlfn.XLOOKUP(B1085,Master[Product_Code],Master[Color])</f>
        <v>Rust</v>
      </c>
      <c r="I1085" s="4">
        <f>_xlfn.XLOOKUP(B1085,Master[Product_Code],Master[Stock_Qty])</f>
        <v>3</v>
      </c>
      <c r="J1085" s="6">
        <f>SUMIFS(
  Sales_Entry[Qty],
  Sales_Entry[Product_Code], Stock_Table[[#This Row],[Product_Code]]
)</f>
        <v>3</v>
      </c>
      <c r="K1085" s="4">
        <f>SUMIFS(
  Exchange_Return[Qty],
  Exchange_Return[Product_Code], Stock_Table[[#This Row],[Product_Code]]
)</f>
        <v>1</v>
      </c>
      <c r="L1085" s="4">
        <f>I1085-J1085+K1085</f>
        <v>1</v>
      </c>
      <c r="M1085" s="2" t="str" cm="1">
        <f t="array" ref="M1085">_xlfn.IFS(L1085=0,"Out of Stock",L1085&gt;=2,"Limited Stock",L1085&lt;2,"In Stock")</f>
        <v>In Stock</v>
      </c>
    </row>
    <row r="1086" spans="2:13">
      <c r="B1086" s="2" t="s">
        <v>248</v>
      </c>
      <c r="C1086" s="5" t="str">
        <f>_xlfn.XLOOKUP(B1086,Master[Product_Code],Master[Category])</f>
        <v>Shirt</v>
      </c>
      <c r="D1086" s="2" t="str">
        <f>_xlfn.XLOOKUP(B1086,Master[Product_Code],Master[Brand])</f>
        <v>Zara</v>
      </c>
      <c r="E1086" s="2" t="str">
        <f>_xlfn.XLOOKUP(B1086,Master[Product_Code],Master[Style])</f>
        <v>Formal</v>
      </c>
      <c r="F1086" s="2" t="str">
        <f>_xlfn.XLOOKUP(B1086,Master[Product_Code],Master[Fabric])</f>
        <v>Lycra</v>
      </c>
      <c r="G1086" s="2" t="str">
        <f>_xlfn.XLOOKUP(B1086,Master[Product_Code],Master[Size])</f>
        <v>XL</v>
      </c>
      <c r="H1086" s="2" t="str">
        <f>_xlfn.XLOOKUP(B1086,Master[Product_Code],Master[Color])</f>
        <v>Bottle Green</v>
      </c>
      <c r="I1086" s="4">
        <f>_xlfn.XLOOKUP(B1086,Master[Product_Code],Master[Stock_Qty])</f>
        <v>6</v>
      </c>
      <c r="J1086" s="6">
        <f>SUMIFS(
  Sales_Entry[Qty],
  Sales_Entry[Product_Code], Stock_Table[[#This Row],[Product_Code]]
)</f>
        <v>1</v>
      </c>
      <c r="K1086" s="4">
        <f>SUMIFS(
  Exchange_Return[Qty],
  Exchange_Return[Product_Code], Stock_Table[[#This Row],[Product_Code]]
)</f>
        <v>0</v>
      </c>
      <c r="L1086" s="4">
        <f>I1086-J1086+K1086</f>
        <v>5</v>
      </c>
      <c r="M1086" s="2" t="str" cm="1">
        <f t="array" ref="M1086">_xlfn.IFS(L1086=0,"Out of Stock",L1086&gt;=2,"Limited Stock",L1086&lt;2,"In Stock")</f>
        <v>Limited Stock</v>
      </c>
    </row>
    <row r="1087" spans="2:13">
      <c r="B1087" s="2" t="s">
        <v>249</v>
      </c>
      <c r="C1087" s="5" t="str">
        <f>_xlfn.XLOOKUP(B1087,Master[Product_Code],Master[Category])</f>
        <v>Shirt</v>
      </c>
      <c r="D1087" s="2" t="str">
        <f>_xlfn.XLOOKUP(B1087,Master[Product_Code],Master[Brand])</f>
        <v>USD</v>
      </c>
      <c r="E1087" s="2" t="str">
        <f>_xlfn.XLOOKUP(B1087,Master[Product_Code],Master[Style])</f>
        <v>Casual</v>
      </c>
      <c r="F1087" s="2" t="str">
        <f>_xlfn.XLOOKUP(B1087,Master[Product_Code],Master[Fabric])</f>
        <v>Cotton Blend</v>
      </c>
      <c r="G1087" s="2" t="str">
        <f>_xlfn.XLOOKUP(B1087,Master[Product_Code],Master[Size])</f>
        <v>L</v>
      </c>
      <c r="H1087" s="2" t="str">
        <f>_xlfn.XLOOKUP(B1087,Master[Product_Code],Master[Color])</f>
        <v>Light Grey</v>
      </c>
      <c r="I1087" s="4">
        <f>_xlfn.XLOOKUP(B1087,Master[Product_Code],Master[Stock_Qty])</f>
        <v>3</v>
      </c>
      <c r="J1087" s="6">
        <f>SUMIFS(
  Sales_Entry[Qty],
  Sales_Entry[Product_Code], Stock_Table[[#This Row],[Product_Code]]
)</f>
        <v>1</v>
      </c>
      <c r="K1087" s="4">
        <f>SUMIFS(
  Exchange_Return[Qty],
  Exchange_Return[Product_Code], Stock_Table[[#This Row],[Product_Code]]
)</f>
        <v>0</v>
      </c>
      <c r="L1087" s="4">
        <f>I1087-J1087+K1087</f>
        <v>2</v>
      </c>
      <c r="M1087" s="2" t="str" cm="1">
        <f t="array" ref="M1087">_xlfn.IFS(L1087=0,"Out of Stock",L1087&gt;=2,"Limited Stock",L1087&lt;2,"In Stock")</f>
        <v>Limited Stock</v>
      </c>
    </row>
    <row r="1088" spans="2:13">
      <c r="B1088" s="2" t="s">
        <v>250</v>
      </c>
      <c r="C1088" s="5" t="str">
        <f>_xlfn.XLOOKUP(B1088,Master[Product_Code],Master[Category])</f>
        <v>Shirt</v>
      </c>
      <c r="D1088" s="2" t="str">
        <f>_xlfn.XLOOKUP(B1088,Master[Product_Code],Master[Brand])</f>
        <v>Zara</v>
      </c>
      <c r="E1088" s="2" t="str">
        <f>_xlfn.XLOOKUP(B1088,Master[Product_Code],Master[Style])</f>
        <v>Formal</v>
      </c>
      <c r="F1088" s="2" t="str">
        <f>_xlfn.XLOOKUP(B1088,Master[Product_Code],Master[Fabric])</f>
        <v>Lycra</v>
      </c>
      <c r="G1088" s="2" t="str">
        <f>_xlfn.XLOOKUP(B1088,Master[Product_Code],Master[Size])</f>
        <v>XXL</v>
      </c>
      <c r="H1088" s="2" t="str">
        <f>_xlfn.XLOOKUP(B1088,Master[Product_Code],Master[Color])</f>
        <v>White</v>
      </c>
      <c r="I1088" s="4">
        <f>_xlfn.XLOOKUP(B1088,Master[Product_Code],Master[Stock_Qty])</f>
        <v>3</v>
      </c>
      <c r="J1088" s="6">
        <f>SUMIFS(
  Sales_Entry[Qty],
  Sales_Entry[Product_Code], Stock_Table[[#This Row],[Product_Code]]
)</f>
        <v>1</v>
      </c>
      <c r="K1088" s="4">
        <f>SUMIFS(
  Exchange_Return[Qty],
  Exchange_Return[Product_Code], Stock_Table[[#This Row],[Product_Code]]
)</f>
        <v>0</v>
      </c>
      <c r="L1088" s="4">
        <f>I1088-J1088+K1088</f>
        <v>2</v>
      </c>
      <c r="M1088" s="2" t="str" cm="1">
        <f t="array" ref="M1088">_xlfn.IFS(L1088=0,"Out of Stock",L1088&gt;=2,"Limited Stock",L1088&lt;2,"In Stock")</f>
        <v>Limited Stock</v>
      </c>
    </row>
    <row r="1089" spans="2:13">
      <c r="B1089" s="2" t="s">
        <v>251</v>
      </c>
      <c r="C1089" s="5" t="str">
        <f>_xlfn.XLOOKUP(B1089,Master[Product_Code],Master[Category])</f>
        <v>Shirt</v>
      </c>
      <c r="D1089" s="2" t="str">
        <f>_xlfn.XLOOKUP(B1089,Master[Product_Code],Master[Brand])</f>
        <v>Max</v>
      </c>
      <c r="E1089" s="2" t="str">
        <f>_xlfn.XLOOKUP(B1089,Master[Product_Code],Master[Style])</f>
        <v>Partywear</v>
      </c>
      <c r="F1089" s="2" t="str">
        <f>_xlfn.XLOOKUP(B1089,Master[Product_Code],Master[Fabric])</f>
        <v>Polyester</v>
      </c>
      <c r="G1089" s="2" t="str">
        <f>_xlfn.XLOOKUP(B1089,Master[Product_Code],Master[Size])</f>
        <v>XL</v>
      </c>
      <c r="H1089" s="2" t="str">
        <f>_xlfn.XLOOKUP(B1089,Master[Product_Code],Master[Color])</f>
        <v>Royal Blue</v>
      </c>
      <c r="I1089" s="4">
        <f>_xlfn.XLOOKUP(B1089,Master[Product_Code],Master[Stock_Qty])</f>
        <v>6</v>
      </c>
      <c r="J1089" s="6">
        <f>SUMIFS(
  Sales_Entry[Qty],
  Sales_Entry[Product_Code], Stock_Table[[#This Row],[Product_Code]]
)</f>
        <v>2</v>
      </c>
      <c r="K1089" s="4">
        <f>SUMIFS(
  Exchange_Return[Qty],
  Exchange_Return[Product_Code], Stock_Table[[#This Row],[Product_Code]]
)</f>
        <v>0</v>
      </c>
      <c r="L1089" s="4">
        <f>I1089-J1089+K1089</f>
        <v>4</v>
      </c>
      <c r="M1089" s="2" t="str" cm="1">
        <f t="array" ref="M1089">_xlfn.IFS(L1089=0,"Out of Stock",L1089&gt;=2,"Limited Stock",L1089&lt;2,"In Stock")</f>
        <v>Limited Stock</v>
      </c>
    </row>
    <row r="1090" spans="2:13">
      <c r="B1090" s="2" t="s">
        <v>252</v>
      </c>
      <c r="C1090" s="5" t="str">
        <f>_xlfn.XLOOKUP(B1090,Master[Product_Code],Master[Category])</f>
        <v>Shirt</v>
      </c>
      <c r="D1090" s="2" t="str">
        <f>_xlfn.XLOOKUP(B1090,Master[Product_Code],Master[Brand])</f>
        <v>Thailand</v>
      </c>
      <c r="E1090" s="2" t="str">
        <f>_xlfn.XLOOKUP(B1090,Master[Product_Code],Master[Style])</f>
        <v>Formal</v>
      </c>
      <c r="F1090" s="2" t="str">
        <f>_xlfn.XLOOKUP(B1090,Master[Product_Code],Master[Fabric])</f>
        <v>Cotton</v>
      </c>
      <c r="G1090" s="2" t="str">
        <f>_xlfn.XLOOKUP(B1090,Master[Product_Code],Master[Size])</f>
        <v>L</v>
      </c>
      <c r="H1090" s="2" t="str">
        <f>_xlfn.XLOOKUP(B1090,Master[Product_Code],Master[Color])</f>
        <v>Bottle Green</v>
      </c>
      <c r="I1090" s="4">
        <f>_xlfn.XLOOKUP(B1090,Master[Product_Code],Master[Stock_Qty])</f>
        <v>3</v>
      </c>
      <c r="J1090" s="6">
        <f>SUMIFS(
  Sales_Entry[Qty],
  Sales_Entry[Product_Code], Stock_Table[[#This Row],[Product_Code]]
)</f>
        <v>0</v>
      </c>
      <c r="K1090" s="4">
        <f>SUMIFS(
  Exchange_Return[Qty],
  Exchange_Return[Product_Code], Stock_Table[[#This Row],[Product_Code]]
)</f>
        <v>0</v>
      </c>
      <c r="L1090" s="4">
        <f>I1090-J1090+K1090</f>
        <v>3</v>
      </c>
      <c r="M1090" s="2" t="str" cm="1">
        <f t="array" ref="M1090">_xlfn.IFS(L1090=0,"Out of Stock",L1090&gt;=2,"Limited Stock",L1090&lt;2,"In Stock")</f>
        <v>Limited Stock</v>
      </c>
    </row>
    <row r="1091" spans="2:13">
      <c r="B1091" s="2" t="s">
        <v>253</v>
      </c>
      <c r="C1091" s="5" t="str">
        <f>_xlfn.XLOOKUP(B1091,Master[Product_Code],Master[Category])</f>
        <v>Shirt</v>
      </c>
      <c r="D1091" s="2" t="str">
        <f>_xlfn.XLOOKUP(B1091,Master[Product_Code],Master[Brand])</f>
        <v>Max</v>
      </c>
      <c r="E1091" s="2" t="str">
        <f>_xlfn.XLOOKUP(B1091,Master[Product_Code],Master[Style])</f>
        <v>Partywear</v>
      </c>
      <c r="F1091" s="2" t="str">
        <f>_xlfn.XLOOKUP(B1091,Master[Product_Code],Master[Fabric])</f>
        <v>Cotton Blend</v>
      </c>
      <c r="G1091" s="2" t="str">
        <f>_xlfn.XLOOKUP(B1091,Master[Product_Code],Master[Size])</f>
        <v>S</v>
      </c>
      <c r="H1091" s="2" t="str">
        <f>_xlfn.XLOOKUP(B1091,Master[Product_Code],Master[Color])</f>
        <v>Charcoal</v>
      </c>
      <c r="I1091" s="4">
        <f>_xlfn.XLOOKUP(B1091,Master[Product_Code],Master[Stock_Qty])</f>
        <v>6</v>
      </c>
      <c r="J1091" s="6">
        <f>SUMIFS(
  Sales_Entry[Qty],
  Sales_Entry[Product_Code], Stock_Table[[#This Row],[Product_Code]]
)</f>
        <v>0</v>
      </c>
      <c r="K1091" s="4">
        <f>SUMIFS(
  Exchange_Return[Qty],
  Exchange_Return[Product_Code], Stock_Table[[#This Row],[Product_Code]]
)</f>
        <v>0</v>
      </c>
      <c r="L1091" s="4">
        <f>I1091-J1091+K1091</f>
        <v>6</v>
      </c>
      <c r="M1091" s="2" t="str" cm="1">
        <f t="array" ref="M1091">_xlfn.IFS(L1091=0,"Out of Stock",L1091&gt;=2,"Limited Stock",L1091&lt;2,"In Stock")</f>
        <v>Limited Stock</v>
      </c>
    </row>
    <row r="1092" spans="2:13">
      <c r="B1092" s="2" t="s">
        <v>254</v>
      </c>
      <c r="C1092" s="5" t="str">
        <f>_xlfn.XLOOKUP(B1092,Master[Product_Code],Master[Category])</f>
        <v>Shirt</v>
      </c>
      <c r="D1092" s="2" t="str">
        <f>_xlfn.XLOOKUP(B1092,Master[Product_Code],Master[Brand])</f>
        <v>Zara</v>
      </c>
      <c r="E1092" s="2" t="str">
        <f>_xlfn.XLOOKUP(B1092,Master[Product_Code],Master[Style])</f>
        <v>Formal</v>
      </c>
      <c r="F1092" s="2" t="str">
        <f>_xlfn.XLOOKUP(B1092,Master[Product_Code],Master[Fabric])</f>
        <v>Lycra</v>
      </c>
      <c r="G1092" s="2" t="str">
        <f>_xlfn.XLOOKUP(B1092,Master[Product_Code],Master[Size])</f>
        <v>L</v>
      </c>
      <c r="H1092" s="2" t="str">
        <f>_xlfn.XLOOKUP(B1092,Master[Product_Code],Master[Color])</f>
        <v>Grey</v>
      </c>
      <c r="I1092" s="4">
        <f>_xlfn.XLOOKUP(B1092,Master[Product_Code],Master[Stock_Qty])</f>
        <v>4</v>
      </c>
      <c r="J1092" s="6">
        <f>SUMIFS(
  Sales_Entry[Qty],
  Sales_Entry[Product_Code], Stock_Table[[#This Row],[Product_Code]]
)</f>
        <v>0</v>
      </c>
      <c r="K1092" s="4">
        <f>SUMIFS(
  Exchange_Return[Qty],
  Exchange_Return[Product_Code], Stock_Table[[#This Row],[Product_Code]]
)</f>
        <v>0</v>
      </c>
      <c r="L1092" s="4">
        <f>I1092-J1092+K1092</f>
        <v>4</v>
      </c>
      <c r="M1092" s="2" t="str" cm="1">
        <f t="array" ref="M1092">_xlfn.IFS(L1092=0,"Out of Stock",L1092&gt;=2,"Limited Stock",L1092&lt;2,"In Stock")</f>
        <v>Limited Stock</v>
      </c>
    </row>
    <row r="1093" spans="2:13">
      <c r="B1093" s="2" t="s">
        <v>255</v>
      </c>
      <c r="C1093" s="5" t="str">
        <f>_xlfn.XLOOKUP(B1093,Master[Product_Code],Master[Category])</f>
        <v>Shirt</v>
      </c>
      <c r="D1093" s="2" t="str">
        <f>_xlfn.XLOOKUP(B1093,Master[Product_Code],Master[Brand])</f>
        <v>Thailand</v>
      </c>
      <c r="E1093" s="2" t="str">
        <f>_xlfn.XLOOKUP(B1093,Master[Product_Code],Master[Style])</f>
        <v>Casual</v>
      </c>
      <c r="F1093" s="2" t="str">
        <f>_xlfn.XLOOKUP(B1093,Master[Product_Code],Master[Fabric])</f>
        <v>Cotton Blend</v>
      </c>
      <c r="G1093" s="2" t="str">
        <f>_xlfn.XLOOKUP(B1093,Master[Product_Code],Master[Size])</f>
        <v>S</v>
      </c>
      <c r="H1093" s="2" t="str">
        <f>_xlfn.XLOOKUP(B1093,Master[Product_Code],Master[Color])</f>
        <v>Black</v>
      </c>
      <c r="I1093" s="4">
        <f>_xlfn.XLOOKUP(B1093,Master[Product_Code],Master[Stock_Qty])</f>
        <v>6</v>
      </c>
      <c r="J1093" s="6">
        <f>SUMIFS(
  Sales_Entry[Qty],
  Sales_Entry[Product_Code], Stock_Table[[#This Row],[Product_Code]]
)</f>
        <v>4</v>
      </c>
      <c r="K1093" s="4">
        <f>SUMIFS(
  Exchange_Return[Qty],
  Exchange_Return[Product_Code], Stock_Table[[#This Row],[Product_Code]]
)</f>
        <v>0</v>
      </c>
      <c r="L1093" s="4">
        <f>I1093-J1093+K1093</f>
        <v>2</v>
      </c>
      <c r="M1093" s="2" t="str" cm="1">
        <f t="array" ref="M1093">_xlfn.IFS(L1093=0,"Out of Stock",L1093&gt;=2,"Limited Stock",L1093&lt;2,"In Stock")</f>
        <v>Limited Stock</v>
      </c>
    </row>
    <row r="1094" spans="2:13">
      <c r="B1094" s="2" t="s">
        <v>256</v>
      </c>
      <c r="C1094" s="5" t="str">
        <f>_xlfn.XLOOKUP(B1094,Master[Product_Code],Master[Category])</f>
        <v>Shirt</v>
      </c>
      <c r="D1094" s="2" t="str">
        <f>_xlfn.XLOOKUP(B1094,Master[Product_Code],Master[Brand])</f>
        <v>Luke &amp; Burg</v>
      </c>
      <c r="E1094" s="2" t="str">
        <f>_xlfn.XLOOKUP(B1094,Master[Product_Code],Master[Style])</f>
        <v>Formal</v>
      </c>
      <c r="F1094" s="2" t="str">
        <f>_xlfn.XLOOKUP(B1094,Master[Product_Code],Master[Fabric])</f>
        <v>Lycra</v>
      </c>
      <c r="G1094" s="2" t="str">
        <f>_xlfn.XLOOKUP(B1094,Master[Product_Code],Master[Size])</f>
        <v>XL</v>
      </c>
      <c r="H1094" s="2" t="str">
        <f>_xlfn.XLOOKUP(B1094,Master[Product_Code],Master[Color])</f>
        <v>Dark Green</v>
      </c>
      <c r="I1094" s="4">
        <f>_xlfn.XLOOKUP(B1094,Master[Product_Code],Master[Stock_Qty])</f>
        <v>4</v>
      </c>
      <c r="J1094" s="6">
        <f>SUMIFS(
  Sales_Entry[Qty],
  Sales_Entry[Product_Code], Stock_Table[[#This Row],[Product_Code]]
)</f>
        <v>1</v>
      </c>
      <c r="K1094" s="4">
        <f>SUMIFS(
  Exchange_Return[Qty],
  Exchange_Return[Product_Code], Stock_Table[[#This Row],[Product_Code]]
)</f>
        <v>0</v>
      </c>
      <c r="L1094" s="4">
        <f>I1094-J1094+K1094</f>
        <v>3</v>
      </c>
      <c r="M1094" s="2" t="str" cm="1">
        <f t="array" ref="M1094">_xlfn.IFS(L1094=0,"Out of Stock",L1094&gt;=2,"Limited Stock",L1094&lt;2,"In Stock")</f>
        <v>Limited Stock</v>
      </c>
    </row>
    <row r="1095" spans="2:13">
      <c r="B1095" s="2" t="s">
        <v>257</v>
      </c>
      <c r="C1095" s="5" t="str">
        <f>_xlfn.XLOOKUP(B1095,Master[Product_Code],Master[Category])</f>
        <v>Shirt</v>
      </c>
      <c r="D1095" s="2" t="str">
        <f>_xlfn.XLOOKUP(B1095,Master[Product_Code],Master[Brand])</f>
        <v>H&amp;M</v>
      </c>
      <c r="E1095" s="2" t="str">
        <f>_xlfn.XLOOKUP(B1095,Master[Product_Code],Master[Style])</f>
        <v>Partywear</v>
      </c>
      <c r="F1095" s="2" t="str">
        <f>_xlfn.XLOOKUP(B1095,Master[Product_Code],Master[Fabric])</f>
        <v>Cotton Blend</v>
      </c>
      <c r="G1095" s="2" t="str">
        <f>_xlfn.XLOOKUP(B1095,Master[Product_Code],Master[Size])</f>
        <v>S</v>
      </c>
      <c r="H1095" s="2" t="str">
        <f>_xlfn.XLOOKUP(B1095,Master[Product_Code],Master[Color])</f>
        <v>Rust</v>
      </c>
      <c r="I1095" s="4">
        <f>_xlfn.XLOOKUP(B1095,Master[Product_Code],Master[Stock_Qty])</f>
        <v>3</v>
      </c>
      <c r="J1095" s="6">
        <f>SUMIFS(
  Sales_Entry[Qty],
  Sales_Entry[Product_Code], Stock_Table[[#This Row],[Product_Code]]
)</f>
        <v>3</v>
      </c>
      <c r="K1095" s="4">
        <f>SUMIFS(
  Exchange_Return[Qty],
  Exchange_Return[Product_Code], Stock_Table[[#This Row],[Product_Code]]
)</f>
        <v>0</v>
      </c>
      <c r="L1095" s="4">
        <f>I1095-J1095+K1095</f>
        <v>0</v>
      </c>
      <c r="M1095" s="2" t="str" cm="1">
        <f t="array" ref="M1095">_xlfn.IFS(L1095=0,"Out of Stock",L1095&gt;=2,"Limited Stock",L1095&lt;2,"In Stock")</f>
        <v>Out of Stock</v>
      </c>
    </row>
    <row r="1096" spans="2:13">
      <c r="B1096" s="2" t="s">
        <v>258</v>
      </c>
      <c r="C1096" s="5" t="str">
        <f>_xlfn.XLOOKUP(B1096,Master[Product_Code],Master[Category])</f>
        <v>Shirt</v>
      </c>
      <c r="D1096" s="2" t="str">
        <f>_xlfn.XLOOKUP(B1096,Master[Product_Code],Master[Brand])</f>
        <v>Zara</v>
      </c>
      <c r="E1096" s="2" t="str">
        <f>_xlfn.XLOOKUP(B1096,Master[Product_Code],Master[Style])</f>
        <v>Casual</v>
      </c>
      <c r="F1096" s="2" t="str">
        <f>_xlfn.XLOOKUP(B1096,Master[Product_Code],Master[Fabric])</f>
        <v>Cotton</v>
      </c>
      <c r="G1096" s="2" t="str">
        <f>_xlfn.XLOOKUP(B1096,Master[Product_Code],Master[Size])</f>
        <v>L</v>
      </c>
      <c r="H1096" s="2" t="str">
        <f>_xlfn.XLOOKUP(B1096,Master[Product_Code],Master[Color])</f>
        <v>Light Grey</v>
      </c>
      <c r="I1096" s="4">
        <f>_xlfn.XLOOKUP(B1096,Master[Product_Code],Master[Stock_Qty])</f>
        <v>6</v>
      </c>
      <c r="J1096" s="6">
        <f>SUMIFS(
  Sales_Entry[Qty],
  Sales_Entry[Product_Code], Stock_Table[[#This Row],[Product_Code]]
)</f>
        <v>3</v>
      </c>
      <c r="K1096" s="4">
        <f>SUMIFS(
  Exchange_Return[Qty],
  Exchange_Return[Product_Code], Stock_Table[[#This Row],[Product_Code]]
)</f>
        <v>0</v>
      </c>
      <c r="L1096" s="4">
        <f>I1096-J1096+K1096</f>
        <v>3</v>
      </c>
      <c r="M1096" s="2" t="str" cm="1">
        <f t="array" ref="M1096">_xlfn.IFS(L1096=0,"Out of Stock",L1096&gt;=2,"Limited Stock",L1096&lt;2,"In Stock")</f>
        <v>Limited Stock</v>
      </c>
    </row>
    <row r="1097" spans="2:13">
      <c r="B1097" s="2" t="s">
        <v>259</v>
      </c>
      <c r="C1097" s="5" t="str">
        <f>_xlfn.XLOOKUP(B1097,Master[Product_Code],Master[Category])</f>
        <v>Shirt</v>
      </c>
      <c r="D1097" s="2" t="str">
        <f>_xlfn.XLOOKUP(B1097,Master[Product_Code],Master[Brand])</f>
        <v>Luke &amp; Burg</v>
      </c>
      <c r="E1097" s="2" t="str">
        <f>_xlfn.XLOOKUP(B1097,Master[Product_Code],Master[Style])</f>
        <v>Partywear</v>
      </c>
      <c r="F1097" s="2" t="str">
        <f>_xlfn.XLOOKUP(B1097,Master[Product_Code],Master[Fabric])</f>
        <v>Polyester</v>
      </c>
      <c r="G1097" s="2" t="str">
        <f>_xlfn.XLOOKUP(B1097,Master[Product_Code],Master[Size])</f>
        <v>L</v>
      </c>
      <c r="H1097" s="2" t="str">
        <f>_xlfn.XLOOKUP(B1097,Master[Product_Code],Master[Color])</f>
        <v>Sky Blue</v>
      </c>
      <c r="I1097" s="4">
        <f>_xlfn.XLOOKUP(B1097,Master[Product_Code],Master[Stock_Qty])</f>
        <v>6</v>
      </c>
      <c r="J1097" s="6">
        <f>SUMIFS(
  Sales_Entry[Qty],
  Sales_Entry[Product_Code], Stock_Table[[#This Row],[Product_Code]]
)</f>
        <v>2</v>
      </c>
      <c r="K1097" s="4">
        <f>SUMIFS(
  Exchange_Return[Qty],
  Exchange_Return[Product_Code], Stock_Table[[#This Row],[Product_Code]]
)</f>
        <v>0</v>
      </c>
      <c r="L1097" s="4">
        <f>I1097-J1097+K1097</f>
        <v>4</v>
      </c>
      <c r="M1097" s="2" t="str" cm="1">
        <f t="array" ref="M1097">_xlfn.IFS(L1097=0,"Out of Stock",L1097&gt;=2,"Limited Stock",L1097&lt;2,"In Stock")</f>
        <v>Limited Stock</v>
      </c>
    </row>
    <row r="1098" spans="2:13">
      <c r="B1098" s="2" t="s">
        <v>260</v>
      </c>
      <c r="C1098" s="5" t="str">
        <f>_xlfn.XLOOKUP(B1098,Master[Product_Code],Master[Category])</f>
        <v>Shirt</v>
      </c>
      <c r="D1098" s="2" t="str">
        <f>_xlfn.XLOOKUP(B1098,Master[Product_Code],Master[Brand])</f>
        <v>British</v>
      </c>
      <c r="E1098" s="2" t="str">
        <f>_xlfn.XLOOKUP(B1098,Master[Product_Code],Master[Style])</f>
        <v>Formal</v>
      </c>
      <c r="F1098" s="2" t="str">
        <f>_xlfn.XLOOKUP(B1098,Master[Product_Code],Master[Fabric])</f>
        <v>Polyester</v>
      </c>
      <c r="G1098" s="2" t="str">
        <f>_xlfn.XLOOKUP(B1098,Master[Product_Code],Master[Size])</f>
        <v>L</v>
      </c>
      <c r="H1098" s="2" t="str">
        <f>_xlfn.XLOOKUP(B1098,Master[Product_Code],Master[Color])</f>
        <v>Navy Blue</v>
      </c>
      <c r="I1098" s="4">
        <f>_xlfn.XLOOKUP(B1098,Master[Product_Code],Master[Stock_Qty])</f>
        <v>6</v>
      </c>
      <c r="J1098" s="6">
        <f>SUMIFS(
  Sales_Entry[Qty],
  Sales_Entry[Product_Code], Stock_Table[[#This Row],[Product_Code]]
)</f>
        <v>1</v>
      </c>
      <c r="K1098" s="4">
        <f>SUMIFS(
  Exchange_Return[Qty],
  Exchange_Return[Product_Code], Stock_Table[[#This Row],[Product_Code]]
)</f>
        <v>0</v>
      </c>
      <c r="L1098" s="4">
        <f>I1098-J1098+K1098</f>
        <v>5</v>
      </c>
      <c r="M1098" s="2" t="str" cm="1">
        <f t="array" ref="M1098">_xlfn.IFS(L1098=0,"Out of Stock",L1098&gt;=2,"Limited Stock",L1098&lt;2,"In Stock")</f>
        <v>Limited Stock</v>
      </c>
    </row>
    <row r="1099" spans="2:13">
      <c r="B1099" s="2" t="s">
        <v>261</v>
      </c>
      <c r="C1099" s="5" t="str">
        <f>_xlfn.XLOOKUP(B1099,Master[Product_Code],Master[Category])</f>
        <v>Shirt</v>
      </c>
      <c r="D1099" s="2" t="str">
        <f>_xlfn.XLOOKUP(B1099,Master[Product_Code],Master[Brand])</f>
        <v>L7</v>
      </c>
      <c r="E1099" s="2" t="str">
        <f>_xlfn.XLOOKUP(B1099,Master[Product_Code],Master[Style])</f>
        <v>Formal</v>
      </c>
      <c r="F1099" s="2" t="str">
        <f>_xlfn.XLOOKUP(B1099,Master[Product_Code],Master[Fabric])</f>
        <v>Polyester</v>
      </c>
      <c r="G1099" s="2" t="str">
        <f>_xlfn.XLOOKUP(B1099,Master[Product_Code],Master[Size])</f>
        <v>XXL</v>
      </c>
      <c r="H1099" s="2" t="str">
        <f>_xlfn.XLOOKUP(B1099,Master[Product_Code],Master[Color])</f>
        <v>Rust</v>
      </c>
      <c r="I1099" s="4">
        <f>_xlfn.XLOOKUP(B1099,Master[Product_Code],Master[Stock_Qty])</f>
        <v>3</v>
      </c>
      <c r="J1099" s="6">
        <f>SUMIFS(
  Sales_Entry[Qty],
  Sales_Entry[Product_Code], Stock_Table[[#This Row],[Product_Code]]
)</f>
        <v>3</v>
      </c>
      <c r="K1099" s="4">
        <f>SUMIFS(
  Exchange_Return[Qty],
  Exchange_Return[Product_Code], Stock_Table[[#This Row],[Product_Code]]
)</f>
        <v>0</v>
      </c>
      <c r="L1099" s="4">
        <f>I1099-J1099+K1099</f>
        <v>0</v>
      </c>
      <c r="M1099" s="2" t="str" cm="1">
        <f t="array" ref="M1099">_xlfn.IFS(L1099=0,"Out of Stock",L1099&gt;=2,"Limited Stock",L1099&lt;2,"In Stock")</f>
        <v>Out of Stock</v>
      </c>
    </row>
    <row r="1100" spans="2:13">
      <c r="B1100" s="2" t="s">
        <v>262</v>
      </c>
      <c r="C1100" s="5" t="str">
        <f>_xlfn.XLOOKUP(B1100,Master[Product_Code],Master[Category])</f>
        <v>Shirt</v>
      </c>
      <c r="D1100" s="2" t="str">
        <f>_xlfn.XLOOKUP(B1100,Master[Product_Code],Master[Brand])</f>
        <v>Thailand</v>
      </c>
      <c r="E1100" s="2" t="str">
        <f>_xlfn.XLOOKUP(B1100,Master[Product_Code],Master[Style])</f>
        <v>Partywear</v>
      </c>
      <c r="F1100" s="2" t="str">
        <f>_xlfn.XLOOKUP(B1100,Master[Product_Code],Master[Fabric])</f>
        <v>Cotton Blend</v>
      </c>
      <c r="G1100" s="2" t="str">
        <f>_xlfn.XLOOKUP(B1100,Master[Product_Code],Master[Size])</f>
        <v>M</v>
      </c>
      <c r="H1100" s="2" t="str">
        <f>_xlfn.XLOOKUP(B1100,Master[Product_Code],Master[Color])</f>
        <v>Mustard</v>
      </c>
      <c r="I1100" s="4">
        <f>_xlfn.XLOOKUP(B1100,Master[Product_Code],Master[Stock_Qty])</f>
        <v>4</v>
      </c>
      <c r="J1100" s="6">
        <f>SUMIFS(
  Sales_Entry[Qty],
  Sales_Entry[Product_Code], Stock_Table[[#This Row],[Product_Code]]
)</f>
        <v>3</v>
      </c>
      <c r="K1100" s="4">
        <f>SUMIFS(
  Exchange_Return[Qty],
  Exchange_Return[Product_Code], Stock_Table[[#This Row],[Product_Code]]
)</f>
        <v>0</v>
      </c>
      <c r="L1100" s="4">
        <f>I1100-J1100+K1100</f>
        <v>1</v>
      </c>
      <c r="M1100" s="2" t="str" cm="1">
        <f t="array" ref="M1100">_xlfn.IFS(L1100=0,"Out of Stock",L1100&gt;=2,"Limited Stock",L1100&lt;2,"In Stock")</f>
        <v>In Stock</v>
      </c>
    </row>
    <row r="1101" spans="2:13">
      <c r="B1101" s="2" t="s">
        <v>263</v>
      </c>
      <c r="C1101" s="5" t="str">
        <f>_xlfn.XLOOKUP(B1101,Master[Product_Code],Master[Category])</f>
        <v>Shirt</v>
      </c>
      <c r="D1101" s="2" t="str">
        <f>_xlfn.XLOOKUP(B1101,Master[Product_Code],Master[Brand])</f>
        <v>H&amp;M</v>
      </c>
      <c r="E1101" s="2" t="str">
        <f>_xlfn.XLOOKUP(B1101,Master[Product_Code],Master[Style])</f>
        <v>Partywear</v>
      </c>
      <c r="F1101" s="2" t="str">
        <f>_xlfn.XLOOKUP(B1101,Master[Product_Code],Master[Fabric])</f>
        <v>Cotton</v>
      </c>
      <c r="G1101" s="2" t="str">
        <f>_xlfn.XLOOKUP(B1101,Master[Product_Code],Master[Size])</f>
        <v>XXL</v>
      </c>
      <c r="H1101" s="2" t="str">
        <f>_xlfn.XLOOKUP(B1101,Master[Product_Code],Master[Color])</f>
        <v>Wine</v>
      </c>
      <c r="I1101" s="4">
        <f>_xlfn.XLOOKUP(B1101,Master[Product_Code],Master[Stock_Qty])</f>
        <v>4</v>
      </c>
      <c r="J1101" s="6">
        <f>SUMIFS(
  Sales_Entry[Qty],
  Sales_Entry[Product_Code], Stock_Table[[#This Row],[Product_Code]]
)</f>
        <v>1</v>
      </c>
      <c r="K1101" s="4">
        <f>SUMIFS(
  Exchange_Return[Qty],
  Exchange_Return[Product_Code], Stock_Table[[#This Row],[Product_Code]]
)</f>
        <v>0</v>
      </c>
      <c r="L1101" s="4">
        <f>I1101-J1101+K1101</f>
        <v>3</v>
      </c>
      <c r="M1101" s="2" t="str" cm="1">
        <f t="array" ref="M1101">_xlfn.IFS(L1101=0,"Out of Stock",L1101&gt;=2,"Limited Stock",L1101&lt;2,"In Stock")</f>
        <v>Limited Stock</v>
      </c>
    </row>
    <row r="1102" spans="2:13">
      <c r="B1102" s="2" t="s">
        <v>264</v>
      </c>
      <c r="C1102" s="5" t="str">
        <f>_xlfn.XLOOKUP(B1102,Master[Product_Code],Master[Category])</f>
        <v>Shirt</v>
      </c>
      <c r="D1102" s="2" t="str">
        <f>_xlfn.XLOOKUP(B1102,Master[Product_Code],Master[Brand])</f>
        <v>British</v>
      </c>
      <c r="E1102" s="2" t="str">
        <f>_xlfn.XLOOKUP(B1102,Master[Product_Code],Master[Style])</f>
        <v>Casual</v>
      </c>
      <c r="F1102" s="2" t="str">
        <f>_xlfn.XLOOKUP(B1102,Master[Product_Code],Master[Fabric])</f>
        <v>Lycra</v>
      </c>
      <c r="G1102" s="2" t="str">
        <f>_xlfn.XLOOKUP(B1102,Master[Product_Code],Master[Size])</f>
        <v>M</v>
      </c>
      <c r="H1102" s="2" t="str">
        <f>_xlfn.XLOOKUP(B1102,Master[Product_Code],Master[Color])</f>
        <v>Sky Blue</v>
      </c>
      <c r="I1102" s="4">
        <f>_xlfn.XLOOKUP(B1102,Master[Product_Code],Master[Stock_Qty])</f>
        <v>4</v>
      </c>
      <c r="J1102" s="6">
        <f>SUMIFS(
  Sales_Entry[Qty],
  Sales_Entry[Product_Code], Stock_Table[[#This Row],[Product_Code]]
)</f>
        <v>1</v>
      </c>
      <c r="K1102" s="4">
        <f>SUMIFS(
  Exchange_Return[Qty],
  Exchange_Return[Product_Code], Stock_Table[[#This Row],[Product_Code]]
)</f>
        <v>0</v>
      </c>
      <c r="L1102" s="4">
        <f>I1102-J1102+K1102</f>
        <v>3</v>
      </c>
      <c r="M1102" s="2" t="str" cm="1">
        <f t="array" ref="M1102">_xlfn.IFS(L1102=0,"Out of Stock",L1102&gt;=2,"Limited Stock",L1102&lt;2,"In Stock")</f>
        <v>Limited Stock</v>
      </c>
    </row>
    <row r="1103" spans="2:13">
      <c r="B1103" s="2" t="s">
        <v>265</v>
      </c>
      <c r="C1103" s="5" t="str">
        <f>_xlfn.XLOOKUP(B1103,Master[Product_Code],Master[Category])</f>
        <v>Shirt</v>
      </c>
      <c r="D1103" s="2" t="str">
        <f>_xlfn.XLOOKUP(B1103,Master[Product_Code],Master[Brand])</f>
        <v>G Studio</v>
      </c>
      <c r="E1103" s="2" t="str">
        <f>_xlfn.XLOOKUP(B1103,Master[Product_Code],Master[Style])</f>
        <v>Formal</v>
      </c>
      <c r="F1103" s="2" t="str">
        <f>_xlfn.XLOOKUP(B1103,Master[Product_Code],Master[Fabric])</f>
        <v>Lycra</v>
      </c>
      <c r="G1103" s="2" t="str">
        <f>_xlfn.XLOOKUP(B1103,Master[Product_Code],Master[Size])</f>
        <v>S</v>
      </c>
      <c r="H1103" s="2" t="str">
        <f>_xlfn.XLOOKUP(B1103,Master[Product_Code],Master[Color])</f>
        <v>Olive</v>
      </c>
      <c r="I1103" s="4">
        <f>_xlfn.XLOOKUP(B1103,Master[Product_Code],Master[Stock_Qty])</f>
        <v>6</v>
      </c>
      <c r="J1103" s="6">
        <f>SUMIFS(
  Sales_Entry[Qty],
  Sales_Entry[Product_Code], Stock_Table[[#This Row],[Product_Code]]
)</f>
        <v>2</v>
      </c>
      <c r="K1103" s="4">
        <f>SUMIFS(
  Exchange_Return[Qty],
  Exchange_Return[Product_Code], Stock_Table[[#This Row],[Product_Code]]
)</f>
        <v>0</v>
      </c>
      <c r="L1103" s="4">
        <f>I1103-J1103+K1103</f>
        <v>4</v>
      </c>
      <c r="M1103" s="2" t="str" cm="1">
        <f t="array" ref="M1103">_xlfn.IFS(L1103=0,"Out of Stock",L1103&gt;=2,"Limited Stock",L1103&lt;2,"In Stock")</f>
        <v>Limited Stock</v>
      </c>
    </row>
    <row r="1104" spans="2:13">
      <c r="B1104" s="2" t="s">
        <v>266</v>
      </c>
      <c r="C1104" s="5" t="str">
        <f>_xlfn.XLOOKUP(B1104,Master[Product_Code],Master[Category])</f>
        <v>Shirt</v>
      </c>
      <c r="D1104" s="2" t="str">
        <f>_xlfn.XLOOKUP(B1104,Master[Product_Code],Master[Brand])</f>
        <v>Max</v>
      </c>
      <c r="E1104" s="2" t="str">
        <f>_xlfn.XLOOKUP(B1104,Master[Product_Code],Master[Style])</f>
        <v>Partywear</v>
      </c>
      <c r="F1104" s="2" t="str">
        <f>_xlfn.XLOOKUP(B1104,Master[Product_Code],Master[Fabric])</f>
        <v>Cotton Blend</v>
      </c>
      <c r="G1104" s="2" t="str">
        <f>_xlfn.XLOOKUP(B1104,Master[Product_Code],Master[Size])</f>
        <v>L</v>
      </c>
      <c r="H1104" s="2" t="str">
        <f>_xlfn.XLOOKUP(B1104,Master[Product_Code],Master[Color])</f>
        <v>Maroon</v>
      </c>
      <c r="I1104" s="4">
        <f>_xlfn.XLOOKUP(B1104,Master[Product_Code],Master[Stock_Qty])</f>
        <v>6</v>
      </c>
      <c r="J1104" s="6">
        <f>SUMIFS(
  Sales_Entry[Qty],
  Sales_Entry[Product_Code], Stock_Table[[#This Row],[Product_Code]]
)</f>
        <v>2</v>
      </c>
      <c r="K1104" s="4">
        <f>SUMIFS(
  Exchange_Return[Qty],
  Exchange_Return[Product_Code], Stock_Table[[#This Row],[Product_Code]]
)</f>
        <v>0</v>
      </c>
      <c r="L1104" s="4">
        <f>I1104-J1104+K1104</f>
        <v>4</v>
      </c>
      <c r="M1104" s="2" t="str" cm="1">
        <f t="array" ref="M1104">_xlfn.IFS(L1104=0,"Out of Stock",L1104&gt;=2,"Limited Stock",L1104&lt;2,"In Stock")</f>
        <v>Limited Stock</v>
      </c>
    </row>
    <row r="1105" spans="2:13">
      <c r="B1105" s="2" t="s">
        <v>267</v>
      </c>
      <c r="C1105" s="5" t="str">
        <f>_xlfn.XLOOKUP(B1105,Master[Product_Code],Master[Category])</f>
        <v>Shirt</v>
      </c>
      <c r="D1105" s="2" t="str">
        <f>_xlfn.XLOOKUP(B1105,Master[Product_Code],Master[Brand])</f>
        <v>Max</v>
      </c>
      <c r="E1105" s="2" t="str">
        <f>_xlfn.XLOOKUP(B1105,Master[Product_Code],Master[Style])</f>
        <v>Casual</v>
      </c>
      <c r="F1105" s="2" t="str">
        <f>_xlfn.XLOOKUP(B1105,Master[Product_Code],Master[Fabric])</f>
        <v>Cotton Blend</v>
      </c>
      <c r="G1105" s="2" t="str">
        <f>_xlfn.XLOOKUP(B1105,Master[Product_Code],Master[Size])</f>
        <v>L</v>
      </c>
      <c r="H1105" s="2" t="str">
        <f>_xlfn.XLOOKUP(B1105,Master[Product_Code],Master[Color])</f>
        <v>Light Grey</v>
      </c>
      <c r="I1105" s="4">
        <f>_xlfn.XLOOKUP(B1105,Master[Product_Code],Master[Stock_Qty])</f>
        <v>3</v>
      </c>
      <c r="J1105" s="6">
        <f>SUMIFS(
  Sales_Entry[Qty],
  Sales_Entry[Product_Code], Stock_Table[[#This Row],[Product_Code]]
)</f>
        <v>1</v>
      </c>
      <c r="K1105" s="4">
        <f>SUMIFS(
  Exchange_Return[Qty],
  Exchange_Return[Product_Code], Stock_Table[[#This Row],[Product_Code]]
)</f>
        <v>0</v>
      </c>
      <c r="L1105" s="4">
        <f>I1105-J1105+K1105</f>
        <v>2</v>
      </c>
      <c r="M1105" s="2" t="str" cm="1">
        <f t="array" ref="M1105">_xlfn.IFS(L1105=0,"Out of Stock",L1105&gt;=2,"Limited Stock",L1105&lt;2,"In Stock")</f>
        <v>Limited Stock</v>
      </c>
    </row>
    <row r="1106" spans="2:13">
      <c r="B1106" s="2" t="s">
        <v>268</v>
      </c>
      <c r="C1106" s="5" t="str">
        <f>_xlfn.XLOOKUP(B1106,Master[Product_Code],Master[Category])</f>
        <v>Shirt</v>
      </c>
      <c r="D1106" s="2" t="str">
        <f>_xlfn.XLOOKUP(B1106,Master[Product_Code],Master[Brand])</f>
        <v>H&amp;M</v>
      </c>
      <c r="E1106" s="2" t="str">
        <f>_xlfn.XLOOKUP(B1106,Master[Product_Code],Master[Style])</f>
        <v>Formal</v>
      </c>
      <c r="F1106" s="2" t="str">
        <f>_xlfn.XLOOKUP(B1106,Master[Product_Code],Master[Fabric])</f>
        <v>Cotton Blend</v>
      </c>
      <c r="G1106" s="2" t="str">
        <f>_xlfn.XLOOKUP(B1106,Master[Product_Code],Master[Size])</f>
        <v>XL</v>
      </c>
      <c r="H1106" s="2" t="str">
        <f>_xlfn.XLOOKUP(B1106,Master[Product_Code],Master[Color])</f>
        <v>Cream</v>
      </c>
      <c r="I1106" s="4">
        <f>_xlfn.XLOOKUP(B1106,Master[Product_Code],Master[Stock_Qty])</f>
        <v>3</v>
      </c>
      <c r="J1106" s="6">
        <f>SUMIFS(
  Sales_Entry[Qty],
  Sales_Entry[Product_Code], Stock_Table[[#This Row],[Product_Code]]
)</f>
        <v>0</v>
      </c>
      <c r="K1106" s="4">
        <f>SUMIFS(
  Exchange_Return[Qty],
  Exchange_Return[Product_Code], Stock_Table[[#This Row],[Product_Code]]
)</f>
        <v>0</v>
      </c>
      <c r="L1106" s="4">
        <f>I1106-J1106+K1106</f>
        <v>3</v>
      </c>
      <c r="M1106" s="2" t="str" cm="1">
        <f t="array" ref="M1106">_xlfn.IFS(L1106=0,"Out of Stock",L1106&gt;=2,"Limited Stock",L1106&lt;2,"In Stock")</f>
        <v>Limited Stock</v>
      </c>
    </row>
    <row r="1107" spans="2:13">
      <c r="B1107" s="2" t="s">
        <v>269</v>
      </c>
      <c r="C1107" s="5" t="str">
        <f>_xlfn.XLOOKUP(B1107,Master[Product_Code],Master[Category])</f>
        <v>Shirt</v>
      </c>
      <c r="D1107" s="2" t="str">
        <f>_xlfn.XLOOKUP(B1107,Master[Product_Code],Master[Brand])</f>
        <v>British</v>
      </c>
      <c r="E1107" s="2" t="str">
        <f>_xlfn.XLOOKUP(B1107,Master[Product_Code],Master[Style])</f>
        <v>Casual</v>
      </c>
      <c r="F1107" s="2" t="str">
        <f>_xlfn.XLOOKUP(B1107,Master[Product_Code],Master[Fabric])</f>
        <v>Cotton</v>
      </c>
      <c r="G1107" s="2" t="str">
        <f>_xlfn.XLOOKUP(B1107,Master[Product_Code],Master[Size])</f>
        <v>S</v>
      </c>
      <c r="H1107" s="2" t="str">
        <f>_xlfn.XLOOKUP(B1107,Master[Product_Code],Master[Color])</f>
        <v>Royal Blue</v>
      </c>
      <c r="I1107" s="4">
        <f>_xlfn.XLOOKUP(B1107,Master[Product_Code],Master[Stock_Qty])</f>
        <v>6</v>
      </c>
      <c r="J1107" s="6">
        <f>SUMIFS(
  Sales_Entry[Qty],
  Sales_Entry[Product_Code], Stock_Table[[#This Row],[Product_Code]]
)</f>
        <v>3</v>
      </c>
      <c r="K1107" s="4">
        <f>SUMIFS(
  Exchange_Return[Qty],
  Exchange_Return[Product_Code], Stock_Table[[#This Row],[Product_Code]]
)</f>
        <v>0</v>
      </c>
      <c r="L1107" s="4">
        <f>I1107-J1107+K1107</f>
        <v>3</v>
      </c>
      <c r="M1107" s="2" t="str" cm="1">
        <f t="array" ref="M1107">_xlfn.IFS(L1107=0,"Out of Stock",L1107&gt;=2,"Limited Stock",L1107&lt;2,"In Stock")</f>
        <v>Limited Stock</v>
      </c>
    </row>
    <row r="1108" spans="2:13">
      <c r="B1108" s="2" t="s">
        <v>270</v>
      </c>
      <c r="C1108" s="5" t="str">
        <f>_xlfn.XLOOKUP(B1108,Master[Product_Code],Master[Category])</f>
        <v>Shirt</v>
      </c>
      <c r="D1108" s="2" t="str">
        <f>_xlfn.XLOOKUP(B1108,Master[Product_Code],Master[Brand])</f>
        <v>H&amp;M</v>
      </c>
      <c r="E1108" s="2" t="str">
        <f>_xlfn.XLOOKUP(B1108,Master[Product_Code],Master[Style])</f>
        <v>Partywear</v>
      </c>
      <c r="F1108" s="2" t="str">
        <f>_xlfn.XLOOKUP(B1108,Master[Product_Code],Master[Fabric])</f>
        <v>Cotton</v>
      </c>
      <c r="G1108" s="2" t="str">
        <f>_xlfn.XLOOKUP(B1108,Master[Product_Code],Master[Size])</f>
        <v>XL</v>
      </c>
      <c r="H1108" s="2" t="str">
        <f>_xlfn.XLOOKUP(B1108,Master[Product_Code],Master[Color])</f>
        <v>Light Grey</v>
      </c>
      <c r="I1108" s="4">
        <f>_xlfn.XLOOKUP(B1108,Master[Product_Code],Master[Stock_Qty])</f>
        <v>4</v>
      </c>
      <c r="J1108" s="6">
        <f>SUMIFS(
  Sales_Entry[Qty],
  Sales_Entry[Product_Code], Stock_Table[[#This Row],[Product_Code]]
)</f>
        <v>2</v>
      </c>
      <c r="K1108" s="4">
        <f>SUMIFS(
  Exchange_Return[Qty],
  Exchange_Return[Product_Code], Stock_Table[[#This Row],[Product_Code]]
)</f>
        <v>1</v>
      </c>
      <c r="L1108" s="4">
        <f>I1108-J1108+K1108</f>
        <v>3</v>
      </c>
      <c r="M1108" s="2" t="str" cm="1">
        <f t="array" ref="M1108">_xlfn.IFS(L1108=0,"Out of Stock",L1108&gt;=2,"Limited Stock",L1108&lt;2,"In Stock")</f>
        <v>Limited Stock</v>
      </c>
    </row>
    <row r="1109" spans="2:13">
      <c r="B1109" s="2" t="s">
        <v>271</v>
      </c>
      <c r="C1109" s="5" t="str">
        <f>_xlfn.XLOOKUP(B1109,Master[Product_Code],Master[Category])</f>
        <v>Shirt</v>
      </c>
      <c r="D1109" s="2" t="str">
        <f>_xlfn.XLOOKUP(B1109,Master[Product_Code],Master[Brand])</f>
        <v>Max</v>
      </c>
      <c r="E1109" s="2" t="str">
        <f>_xlfn.XLOOKUP(B1109,Master[Product_Code],Master[Style])</f>
        <v>Partywear</v>
      </c>
      <c r="F1109" s="2" t="str">
        <f>_xlfn.XLOOKUP(B1109,Master[Product_Code],Master[Fabric])</f>
        <v>Lycra</v>
      </c>
      <c r="G1109" s="2" t="str">
        <f>_xlfn.XLOOKUP(B1109,Master[Product_Code],Master[Size])</f>
        <v>S</v>
      </c>
      <c r="H1109" s="2" t="str">
        <f>_xlfn.XLOOKUP(B1109,Master[Product_Code],Master[Color])</f>
        <v>Cream</v>
      </c>
      <c r="I1109" s="4">
        <f>_xlfn.XLOOKUP(B1109,Master[Product_Code],Master[Stock_Qty])</f>
        <v>3</v>
      </c>
      <c r="J1109" s="6">
        <f>SUMIFS(
  Sales_Entry[Qty],
  Sales_Entry[Product_Code], Stock_Table[[#This Row],[Product_Code]]
)</f>
        <v>1</v>
      </c>
      <c r="K1109" s="4">
        <f>SUMIFS(
  Exchange_Return[Qty],
  Exchange_Return[Product_Code], Stock_Table[[#This Row],[Product_Code]]
)</f>
        <v>0</v>
      </c>
      <c r="L1109" s="4">
        <f>I1109-J1109+K1109</f>
        <v>2</v>
      </c>
      <c r="M1109" s="2" t="str" cm="1">
        <f t="array" ref="M1109">_xlfn.IFS(L1109=0,"Out of Stock",L1109&gt;=2,"Limited Stock",L1109&lt;2,"In Stock")</f>
        <v>Limited Stock</v>
      </c>
    </row>
    <row r="1110" spans="2:13">
      <c r="B1110" s="2" t="s">
        <v>272</v>
      </c>
      <c r="C1110" s="5" t="str">
        <f>_xlfn.XLOOKUP(B1110,Master[Product_Code],Master[Category])</f>
        <v>Shirt</v>
      </c>
      <c r="D1110" s="2" t="str">
        <f>_xlfn.XLOOKUP(B1110,Master[Product_Code],Master[Brand])</f>
        <v>British</v>
      </c>
      <c r="E1110" s="2" t="str">
        <f>_xlfn.XLOOKUP(B1110,Master[Product_Code],Master[Style])</f>
        <v>Partywear</v>
      </c>
      <c r="F1110" s="2" t="str">
        <f>_xlfn.XLOOKUP(B1110,Master[Product_Code],Master[Fabric])</f>
        <v>Cotton</v>
      </c>
      <c r="G1110" s="2" t="str">
        <f>_xlfn.XLOOKUP(B1110,Master[Product_Code],Master[Size])</f>
        <v>XXL</v>
      </c>
      <c r="H1110" s="2" t="str">
        <f>_xlfn.XLOOKUP(B1110,Master[Product_Code],Master[Color])</f>
        <v>Olive</v>
      </c>
      <c r="I1110" s="4">
        <f>_xlfn.XLOOKUP(B1110,Master[Product_Code],Master[Stock_Qty])</f>
        <v>3</v>
      </c>
      <c r="J1110" s="6">
        <f>SUMIFS(
  Sales_Entry[Qty],
  Sales_Entry[Product_Code], Stock_Table[[#This Row],[Product_Code]]
)</f>
        <v>1</v>
      </c>
      <c r="K1110" s="4">
        <f>SUMIFS(
  Exchange_Return[Qty],
  Exchange_Return[Product_Code], Stock_Table[[#This Row],[Product_Code]]
)</f>
        <v>0</v>
      </c>
      <c r="L1110" s="4">
        <f>I1110-J1110+K1110</f>
        <v>2</v>
      </c>
      <c r="M1110" s="2" t="str" cm="1">
        <f t="array" ref="M1110">_xlfn.IFS(L1110=0,"Out of Stock",L1110&gt;=2,"Limited Stock",L1110&lt;2,"In Stock")</f>
        <v>Limited Stock</v>
      </c>
    </row>
    <row r="1111" spans="2:13">
      <c r="B1111" s="2" t="s">
        <v>273</v>
      </c>
      <c r="C1111" s="5" t="str">
        <f>_xlfn.XLOOKUP(B1111,Master[Product_Code],Master[Category])</f>
        <v>Shirt</v>
      </c>
      <c r="D1111" s="2" t="str">
        <f>_xlfn.XLOOKUP(B1111,Master[Product_Code],Master[Brand])</f>
        <v>Max</v>
      </c>
      <c r="E1111" s="2" t="str">
        <f>_xlfn.XLOOKUP(B1111,Master[Product_Code],Master[Style])</f>
        <v>Casual</v>
      </c>
      <c r="F1111" s="2" t="str">
        <f>_xlfn.XLOOKUP(B1111,Master[Product_Code],Master[Fabric])</f>
        <v>Lycra</v>
      </c>
      <c r="G1111" s="2" t="str">
        <f>_xlfn.XLOOKUP(B1111,Master[Product_Code],Master[Size])</f>
        <v>L</v>
      </c>
      <c r="H1111" s="2" t="str">
        <f>_xlfn.XLOOKUP(B1111,Master[Product_Code],Master[Color])</f>
        <v>Teal</v>
      </c>
      <c r="I1111" s="4">
        <f>_xlfn.XLOOKUP(B1111,Master[Product_Code],Master[Stock_Qty])</f>
        <v>5</v>
      </c>
      <c r="J1111" s="6">
        <f>SUMIFS(
  Sales_Entry[Qty],
  Sales_Entry[Product_Code], Stock_Table[[#This Row],[Product_Code]]
)</f>
        <v>2</v>
      </c>
      <c r="K1111" s="4">
        <f>SUMIFS(
  Exchange_Return[Qty],
  Exchange_Return[Product_Code], Stock_Table[[#This Row],[Product_Code]]
)</f>
        <v>0</v>
      </c>
      <c r="L1111" s="4">
        <f>I1111-J1111+K1111</f>
        <v>3</v>
      </c>
      <c r="M1111" s="2" t="str" cm="1">
        <f t="array" ref="M1111">_xlfn.IFS(L1111=0,"Out of Stock",L1111&gt;=2,"Limited Stock",L1111&lt;2,"In Stock")</f>
        <v>Limited Stock</v>
      </c>
    </row>
    <row r="1112" spans="2:13">
      <c r="B1112" s="2" t="s">
        <v>274</v>
      </c>
      <c r="C1112" s="5" t="str">
        <f>_xlfn.XLOOKUP(B1112,Master[Product_Code],Master[Category])</f>
        <v>Shirt</v>
      </c>
      <c r="D1112" s="2" t="str">
        <f>_xlfn.XLOOKUP(B1112,Master[Product_Code],Master[Brand])</f>
        <v>Luke &amp; Burg</v>
      </c>
      <c r="E1112" s="2" t="str">
        <f>_xlfn.XLOOKUP(B1112,Master[Product_Code],Master[Style])</f>
        <v>Casual</v>
      </c>
      <c r="F1112" s="2" t="str">
        <f>_xlfn.XLOOKUP(B1112,Master[Product_Code],Master[Fabric])</f>
        <v>Cotton</v>
      </c>
      <c r="G1112" s="2" t="str">
        <f>_xlfn.XLOOKUP(B1112,Master[Product_Code],Master[Size])</f>
        <v>L</v>
      </c>
      <c r="H1112" s="2" t="str">
        <f>_xlfn.XLOOKUP(B1112,Master[Product_Code],Master[Color])</f>
        <v>Navy Blue</v>
      </c>
      <c r="I1112" s="4">
        <f>_xlfn.XLOOKUP(B1112,Master[Product_Code],Master[Stock_Qty])</f>
        <v>5</v>
      </c>
      <c r="J1112" s="6">
        <f>SUMIFS(
  Sales_Entry[Qty],
  Sales_Entry[Product_Code], Stock_Table[[#This Row],[Product_Code]]
)</f>
        <v>2</v>
      </c>
      <c r="K1112" s="4">
        <f>SUMIFS(
  Exchange_Return[Qty],
  Exchange_Return[Product_Code], Stock_Table[[#This Row],[Product_Code]]
)</f>
        <v>0</v>
      </c>
      <c r="L1112" s="4">
        <f>I1112-J1112+K1112</f>
        <v>3</v>
      </c>
      <c r="M1112" s="2" t="str" cm="1">
        <f t="array" ref="M1112">_xlfn.IFS(L1112=0,"Out of Stock",L1112&gt;=2,"Limited Stock",L1112&lt;2,"In Stock")</f>
        <v>Limited Stock</v>
      </c>
    </row>
    <row r="1113" spans="2:13">
      <c r="B1113" s="2" t="s">
        <v>275</v>
      </c>
      <c r="C1113" s="5" t="str">
        <f>_xlfn.XLOOKUP(B1113,Master[Product_Code],Master[Category])</f>
        <v>Shirt</v>
      </c>
      <c r="D1113" s="2" t="str">
        <f>_xlfn.XLOOKUP(B1113,Master[Product_Code],Master[Brand])</f>
        <v>H&amp;M</v>
      </c>
      <c r="E1113" s="2" t="str">
        <f>_xlfn.XLOOKUP(B1113,Master[Product_Code],Master[Style])</f>
        <v>Partywear</v>
      </c>
      <c r="F1113" s="2" t="str">
        <f>_xlfn.XLOOKUP(B1113,Master[Product_Code],Master[Fabric])</f>
        <v>Polyester</v>
      </c>
      <c r="G1113" s="2" t="str">
        <f>_xlfn.XLOOKUP(B1113,Master[Product_Code],Master[Size])</f>
        <v>L</v>
      </c>
      <c r="H1113" s="2" t="str">
        <f>_xlfn.XLOOKUP(B1113,Master[Product_Code],Master[Color])</f>
        <v>Beige</v>
      </c>
      <c r="I1113" s="4">
        <f>_xlfn.XLOOKUP(B1113,Master[Product_Code],Master[Stock_Qty])</f>
        <v>4</v>
      </c>
      <c r="J1113" s="6">
        <f>SUMIFS(
  Sales_Entry[Qty],
  Sales_Entry[Product_Code], Stock_Table[[#This Row],[Product_Code]]
)</f>
        <v>3</v>
      </c>
      <c r="K1113" s="4">
        <f>SUMIFS(
  Exchange_Return[Qty],
  Exchange_Return[Product_Code], Stock_Table[[#This Row],[Product_Code]]
)</f>
        <v>0</v>
      </c>
      <c r="L1113" s="4">
        <f>I1113-J1113+K1113</f>
        <v>1</v>
      </c>
      <c r="M1113" s="2" t="str" cm="1">
        <f t="array" ref="M1113">_xlfn.IFS(L1113=0,"Out of Stock",L1113&gt;=2,"Limited Stock",L1113&lt;2,"In Stock")</f>
        <v>In Stock</v>
      </c>
    </row>
    <row r="1114" spans="2:13">
      <c r="B1114" s="2" t="s">
        <v>276</v>
      </c>
      <c r="C1114" s="5" t="str">
        <f>_xlfn.XLOOKUP(B1114,Master[Product_Code],Master[Category])</f>
        <v>Shirt</v>
      </c>
      <c r="D1114" s="2" t="str">
        <f>_xlfn.XLOOKUP(B1114,Master[Product_Code],Master[Brand])</f>
        <v>L7</v>
      </c>
      <c r="E1114" s="2" t="str">
        <f>_xlfn.XLOOKUP(B1114,Master[Product_Code],Master[Style])</f>
        <v>Partywear</v>
      </c>
      <c r="F1114" s="2" t="str">
        <f>_xlfn.XLOOKUP(B1114,Master[Product_Code],Master[Fabric])</f>
        <v>Lycra</v>
      </c>
      <c r="G1114" s="2" t="str">
        <f>_xlfn.XLOOKUP(B1114,Master[Product_Code],Master[Size])</f>
        <v>L</v>
      </c>
      <c r="H1114" s="2" t="str">
        <f>_xlfn.XLOOKUP(B1114,Master[Product_Code],Master[Color])</f>
        <v>Brown</v>
      </c>
      <c r="I1114" s="4">
        <f>_xlfn.XLOOKUP(B1114,Master[Product_Code],Master[Stock_Qty])</f>
        <v>6</v>
      </c>
      <c r="J1114" s="6">
        <f>SUMIFS(
  Sales_Entry[Qty],
  Sales_Entry[Product_Code], Stock_Table[[#This Row],[Product_Code]]
)</f>
        <v>1</v>
      </c>
      <c r="K1114" s="4">
        <f>SUMIFS(
  Exchange_Return[Qty],
  Exchange_Return[Product_Code], Stock_Table[[#This Row],[Product_Code]]
)</f>
        <v>0</v>
      </c>
      <c r="L1114" s="4">
        <f>I1114-J1114+K1114</f>
        <v>5</v>
      </c>
      <c r="M1114" s="2" t="str" cm="1">
        <f t="array" ref="M1114">_xlfn.IFS(L1114=0,"Out of Stock",L1114&gt;=2,"Limited Stock",L1114&lt;2,"In Stock")</f>
        <v>Limited Stock</v>
      </c>
    </row>
    <row r="1115" spans="2:13">
      <c r="B1115" s="2" t="s">
        <v>277</v>
      </c>
      <c r="C1115" s="5" t="str">
        <f>_xlfn.XLOOKUP(B1115,Master[Product_Code],Master[Category])</f>
        <v>Shirt</v>
      </c>
      <c r="D1115" s="2" t="str">
        <f>_xlfn.XLOOKUP(B1115,Master[Product_Code],Master[Brand])</f>
        <v>L7</v>
      </c>
      <c r="E1115" s="2" t="str">
        <f>_xlfn.XLOOKUP(B1115,Master[Product_Code],Master[Style])</f>
        <v>Casual</v>
      </c>
      <c r="F1115" s="2" t="str">
        <f>_xlfn.XLOOKUP(B1115,Master[Product_Code],Master[Fabric])</f>
        <v>Polyester</v>
      </c>
      <c r="G1115" s="2" t="str">
        <f>_xlfn.XLOOKUP(B1115,Master[Product_Code],Master[Size])</f>
        <v>L</v>
      </c>
      <c r="H1115" s="2" t="str">
        <f>_xlfn.XLOOKUP(B1115,Master[Product_Code],Master[Color])</f>
        <v>Maroon</v>
      </c>
      <c r="I1115" s="4">
        <f>_xlfn.XLOOKUP(B1115,Master[Product_Code],Master[Stock_Qty])</f>
        <v>3</v>
      </c>
      <c r="J1115" s="6">
        <f>SUMIFS(
  Sales_Entry[Qty],
  Sales_Entry[Product_Code], Stock_Table[[#This Row],[Product_Code]]
)</f>
        <v>3</v>
      </c>
      <c r="K1115" s="4">
        <f>SUMIFS(
  Exchange_Return[Qty],
  Exchange_Return[Product_Code], Stock_Table[[#This Row],[Product_Code]]
)</f>
        <v>0</v>
      </c>
      <c r="L1115" s="4">
        <f>I1115-J1115+K1115</f>
        <v>0</v>
      </c>
      <c r="M1115" s="2" t="str" cm="1">
        <f t="array" ref="M1115">_xlfn.IFS(L1115=0,"Out of Stock",L1115&gt;=2,"Limited Stock",L1115&lt;2,"In Stock")</f>
        <v>Out of Stock</v>
      </c>
    </row>
    <row r="1116" spans="2:13">
      <c r="B1116" s="2" t="s">
        <v>278</v>
      </c>
      <c r="C1116" s="5" t="str">
        <f>_xlfn.XLOOKUP(B1116,Master[Product_Code],Master[Category])</f>
        <v>Shirt</v>
      </c>
      <c r="D1116" s="2" t="str">
        <f>_xlfn.XLOOKUP(B1116,Master[Product_Code],Master[Brand])</f>
        <v>Luke &amp; Burg</v>
      </c>
      <c r="E1116" s="2" t="str">
        <f>_xlfn.XLOOKUP(B1116,Master[Product_Code],Master[Style])</f>
        <v>Partywear</v>
      </c>
      <c r="F1116" s="2" t="str">
        <f>_xlfn.XLOOKUP(B1116,Master[Product_Code],Master[Fabric])</f>
        <v>Cotton Blend</v>
      </c>
      <c r="G1116" s="2" t="str">
        <f>_xlfn.XLOOKUP(B1116,Master[Product_Code],Master[Size])</f>
        <v>S</v>
      </c>
      <c r="H1116" s="2" t="str">
        <f>_xlfn.XLOOKUP(B1116,Master[Product_Code],Master[Color])</f>
        <v>Teal</v>
      </c>
      <c r="I1116" s="4">
        <f>_xlfn.XLOOKUP(B1116,Master[Product_Code],Master[Stock_Qty])</f>
        <v>5</v>
      </c>
      <c r="J1116" s="6">
        <f>SUMIFS(
  Sales_Entry[Qty],
  Sales_Entry[Product_Code], Stock_Table[[#This Row],[Product_Code]]
)</f>
        <v>2</v>
      </c>
      <c r="K1116" s="4">
        <f>SUMIFS(
  Exchange_Return[Qty],
  Exchange_Return[Product_Code], Stock_Table[[#This Row],[Product_Code]]
)</f>
        <v>0</v>
      </c>
      <c r="L1116" s="4">
        <f>I1116-J1116+K1116</f>
        <v>3</v>
      </c>
      <c r="M1116" s="2" t="str" cm="1">
        <f t="array" ref="M1116">_xlfn.IFS(L1116=0,"Out of Stock",L1116&gt;=2,"Limited Stock",L1116&lt;2,"In Stock")</f>
        <v>Limited Stock</v>
      </c>
    </row>
    <row r="1117" spans="2:13">
      <c r="B1117" s="2" t="s">
        <v>279</v>
      </c>
      <c r="C1117" s="5" t="str">
        <f>_xlfn.XLOOKUP(B1117,Master[Product_Code],Master[Category])</f>
        <v>Shirt</v>
      </c>
      <c r="D1117" s="2" t="str">
        <f>_xlfn.XLOOKUP(B1117,Master[Product_Code],Master[Brand])</f>
        <v>G Studio</v>
      </c>
      <c r="E1117" s="2" t="str">
        <f>_xlfn.XLOOKUP(B1117,Master[Product_Code],Master[Style])</f>
        <v>Casual</v>
      </c>
      <c r="F1117" s="2" t="str">
        <f>_xlfn.XLOOKUP(B1117,Master[Product_Code],Master[Fabric])</f>
        <v>Polyester</v>
      </c>
      <c r="G1117" s="2" t="str">
        <f>_xlfn.XLOOKUP(B1117,Master[Product_Code],Master[Size])</f>
        <v>M</v>
      </c>
      <c r="H1117" s="2" t="str">
        <f>_xlfn.XLOOKUP(B1117,Master[Product_Code],Master[Color])</f>
        <v>Charcoal</v>
      </c>
      <c r="I1117" s="4">
        <f>_xlfn.XLOOKUP(B1117,Master[Product_Code],Master[Stock_Qty])</f>
        <v>4</v>
      </c>
      <c r="J1117" s="6">
        <f>SUMIFS(
  Sales_Entry[Qty],
  Sales_Entry[Product_Code], Stock_Table[[#This Row],[Product_Code]]
)</f>
        <v>0</v>
      </c>
      <c r="K1117" s="4">
        <f>SUMIFS(
  Exchange_Return[Qty],
  Exchange_Return[Product_Code], Stock_Table[[#This Row],[Product_Code]]
)</f>
        <v>0</v>
      </c>
      <c r="L1117" s="4">
        <f>I1117-J1117+K1117</f>
        <v>4</v>
      </c>
      <c r="M1117" s="2" t="str" cm="1">
        <f t="array" ref="M1117">_xlfn.IFS(L1117=0,"Out of Stock",L1117&gt;=2,"Limited Stock",L1117&lt;2,"In Stock")</f>
        <v>Limited Stock</v>
      </c>
    </row>
    <row r="1118" spans="2:13">
      <c r="B1118" s="2" t="s">
        <v>280</v>
      </c>
      <c r="C1118" s="5" t="str">
        <f>_xlfn.XLOOKUP(B1118,Master[Product_Code],Master[Category])</f>
        <v>Shirt</v>
      </c>
      <c r="D1118" s="2" t="str">
        <f>_xlfn.XLOOKUP(B1118,Master[Product_Code],Master[Brand])</f>
        <v>L7</v>
      </c>
      <c r="E1118" s="2" t="str">
        <f>_xlfn.XLOOKUP(B1118,Master[Product_Code],Master[Style])</f>
        <v>Casual</v>
      </c>
      <c r="F1118" s="2" t="str">
        <f>_xlfn.XLOOKUP(B1118,Master[Product_Code],Master[Fabric])</f>
        <v>Cotton</v>
      </c>
      <c r="G1118" s="2" t="str">
        <f>_xlfn.XLOOKUP(B1118,Master[Product_Code],Master[Size])</f>
        <v>XXL</v>
      </c>
      <c r="H1118" s="2" t="str">
        <f>_xlfn.XLOOKUP(B1118,Master[Product_Code],Master[Color])</f>
        <v>Dark Green</v>
      </c>
      <c r="I1118" s="4">
        <f>_xlfn.XLOOKUP(B1118,Master[Product_Code],Master[Stock_Qty])</f>
        <v>3</v>
      </c>
      <c r="J1118" s="6">
        <f>SUMIFS(
  Sales_Entry[Qty],
  Sales_Entry[Product_Code], Stock_Table[[#This Row],[Product_Code]]
)</f>
        <v>2</v>
      </c>
      <c r="K1118" s="4">
        <f>SUMIFS(
  Exchange_Return[Qty],
  Exchange_Return[Product_Code], Stock_Table[[#This Row],[Product_Code]]
)</f>
        <v>0</v>
      </c>
      <c r="L1118" s="4">
        <f>I1118-J1118+K1118</f>
        <v>1</v>
      </c>
      <c r="M1118" s="2" t="str" cm="1">
        <f t="array" ref="M1118">_xlfn.IFS(L1118=0,"Out of Stock",L1118&gt;=2,"Limited Stock",L1118&lt;2,"In Stock")</f>
        <v>In Stock</v>
      </c>
    </row>
    <row r="1119" spans="2:13">
      <c r="B1119" s="2" t="s">
        <v>281</v>
      </c>
      <c r="C1119" s="5" t="str">
        <f>_xlfn.XLOOKUP(B1119,Master[Product_Code],Master[Category])</f>
        <v>Shirt</v>
      </c>
      <c r="D1119" s="2" t="str">
        <f>_xlfn.XLOOKUP(B1119,Master[Product_Code],Master[Brand])</f>
        <v>British</v>
      </c>
      <c r="E1119" s="2" t="str">
        <f>_xlfn.XLOOKUP(B1119,Master[Product_Code],Master[Style])</f>
        <v>Partywear</v>
      </c>
      <c r="F1119" s="2" t="str">
        <f>_xlfn.XLOOKUP(B1119,Master[Product_Code],Master[Fabric])</f>
        <v>Lycra</v>
      </c>
      <c r="G1119" s="2" t="str">
        <f>_xlfn.XLOOKUP(B1119,Master[Product_Code],Master[Size])</f>
        <v>XXL</v>
      </c>
      <c r="H1119" s="2" t="str">
        <f>_xlfn.XLOOKUP(B1119,Master[Product_Code],Master[Color])</f>
        <v>Rust</v>
      </c>
      <c r="I1119" s="4">
        <f>_xlfn.XLOOKUP(B1119,Master[Product_Code],Master[Stock_Qty])</f>
        <v>4</v>
      </c>
      <c r="J1119" s="6">
        <f>SUMIFS(
  Sales_Entry[Qty],
  Sales_Entry[Product_Code], Stock_Table[[#This Row],[Product_Code]]
)</f>
        <v>1</v>
      </c>
      <c r="K1119" s="4">
        <f>SUMIFS(
  Exchange_Return[Qty],
  Exchange_Return[Product_Code], Stock_Table[[#This Row],[Product_Code]]
)</f>
        <v>0</v>
      </c>
      <c r="L1119" s="4">
        <f>I1119-J1119+K1119</f>
        <v>3</v>
      </c>
      <c r="M1119" s="2" t="str" cm="1">
        <f t="array" ref="M1119">_xlfn.IFS(L1119=0,"Out of Stock",L1119&gt;=2,"Limited Stock",L1119&lt;2,"In Stock")</f>
        <v>Limited Stock</v>
      </c>
    </row>
    <row r="1120" spans="2:13">
      <c r="B1120" s="2" t="s">
        <v>282</v>
      </c>
      <c r="C1120" s="5" t="str">
        <f>_xlfn.XLOOKUP(B1120,Master[Product_Code],Master[Category])</f>
        <v>Shirt</v>
      </c>
      <c r="D1120" s="2" t="str">
        <f>_xlfn.XLOOKUP(B1120,Master[Product_Code],Master[Brand])</f>
        <v>USD</v>
      </c>
      <c r="E1120" s="2" t="str">
        <f>_xlfn.XLOOKUP(B1120,Master[Product_Code],Master[Style])</f>
        <v>Partywear</v>
      </c>
      <c r="F1120" s="2" t="str">
        <f>_xlfn.XLOOKUP(B1120,Master[Product_Code],Master[Fabric])</f>
        <v>Lycra</v>
      </c>
      <c r="G1120" s="2" t="str">
        <f>_xlfn.XLOOKUP(B1120,Master[Product_Code],Master[Size])</f>
        <v>XL</v>
      </c>
      <c r="H1120" s="2" t="str">
        <f>_xlfn.XLOOKUP(B1120,Master[Product_Code],Master[Color])</f>
        <v>White</v>
      </c>
      <c r="I1120" s="4">
        <f>_xlfn.XLOOKUP(B1120,Master[Product_Code],Master[Stock_Qty])</f>
        <v>6</v>
      </c>
      <c r="J1120" s="6">
        <f>SUMIFS(
  Sales_Entry[Qty],
  Sales_Entry[Product_Code], Stock_Table[[#This Row],[Product_Code]]
)</f>
        <v>1</v>
      </c>
      <c r="K1120" s="4">
        <f>SUMIFS(
  Exchange_Return[Qty],
  Exchange_Return[Product_Code], Stock_Table[[#This Row],[Product_Code]]
)</f>
        <v>0</v>
      </c>
      <c r="L1120" s="4">
        <f>I1120-J1120+K1120</f>
        <v>5</v>
      </c>
      <c r="M1120" s="2" t="str" cm="1">
        <f t="array" ref="M1120">_xlfn.IFS(L1120=0,"Out of Stock",L1120&gt;=2,"Limited Stock",L1120&lt;2,"In Stock")</f>
        <v>Limited Stock</v>
      </c>
    </row>
    <row r="1121" spans="2:13">
      <c r="B1121" s="2" t="s">
        <v>283</v>
      </c>
      <c r="C1121" s="5" t="str">
        <f>_xlfn.XLOOKUP(B1121,Master[Product_Code],Master[Category])</f>
        <v>Shirt</v>
      </c>
      <c r="D1121" s="2" t="str">
        <f>_xlfn.XLOOKUP(B1121,Master[Product_Code],Master[Brand])</f>
        <v>G Studio</v>
      </c>
      <c r="E1121" s="2" t="str">
        <f>_xlfn.XLOOKUP(B1121,Master[Product_Code],Master[Style])</f>
        <v>Casual</v>
      </c>
      <c r="F1121" s="2" t="str">
        <f>_xlfn.XLOOKUP(B1121,Master[Product_Code],Master[Fabric])</f>
        <v>Cotton Blend</v>
      </c>
      <c r="G1121" s="2" t="str">
        <f>_xlfn.XLOOKUP(B1121,Master[Product_Code],Master[Size])</f>
        <v>XL</v>
      </c>
      <c r="H1121" s="2" t="str">
        <f>_xlfn.XLOOKUP(B1121,Master[Product_Code],Master[Color])</f>
        <v>Charcoal</v>
      </c>
      <c r="I1121" s="4">
        <f>_xlfn.XLOOKUP(B1121,Master[Product_Code],Master[Stock_Qty])</f>
        <v>4</v>
      </c>
      <c r="J1121" s="6">
        <f>SUMIFS(
  Sales_Entry[Qty],
  Sales_Entry[Product_Code], Stock_Table[[#This Row],[Product_Code]]
)</f>
        <v>0</v>
      </c>
      <c r="K1121" s="4">
        <f>SUMIFS(
  Exchange_Return[Qty],
  Exchange_Return[Product_Code], Stock_Table[[#This Row],[Product_Code]]
)</f>
        <v>0</v>
      </c>
      <c r="L1121" s="4">
        <f>I1121-J1121+K1121</f>
        <v>4</v>
      </c>
      <c r="M1121" s="2" t="str" cm="1">
        <f t="array" ref="M1121">_xlfn.IFS(L1121=0,"Out of Stock",L1121&gt;=2,"Limited Stock",L1121&lt;2,"In Stock")</f>
        <v>Limited Stock</v>
      </c>
    </row>
    <row r="1122" spans="2:13">
      <c r="B1122" s="2" t="s">
        <v>284</v>
      </c>
      <c r="C1122" s="5" t="str">
        <f>_xlfn.XLOOKUP(B1122,Master[Product_Code],Master[Category])</f>
        <v>Shirt</v>
      </c>
      <c r="D1122" s="2" t="str">
        <f>_xlfn.XLOOKUP(B1122,Master[Product_Code],Master[Brand])</f>
        <v>Max</v>
      </c>
      <c r="E1122" s="2" t="str">
        <f>_xlfn.XLOOKUP(B1122,Master[Product_Code],Master[Style])</f>
        <v>Formal</v>
      </c>
      <c r="F1122" s="2" t="str">
        <f>_xlfn.XLOOKUP(B1122,Master[Product_Code],Master[Fabric])</f>
        <v>Cotton Blend</v>
      </c>
      <c r="G1122" s="2" t="str">
        <f>_xlfn.XLOOKUP(B1122,Master[Product_Code],Master[Size])</f>
        <v>XXL</v>
      </c>
      <c r="H1122" s="2" t="str">
        <f>_xlfn.XLOOKUP(B1122,Master[Product_Code],Master[Color])</f>
        <v>Cream</v>
      </c>
      <c r="I1122" s="4">
        <f>_xlfn.XLOOKUP(B1122,Master[Product_Code],Master[Stock_Qty])</f>
        <v>6</v>
      </c>
      <c r="J1122" s="6">
        <f>SUMIFS(
  Sales_Entry[Qty],
  Sales_Entry[Product_Code], Stock_Table[[#This Row],[Product_Code]]
)</f>
        <v>3</v>
      </c>
      <c r="K1122" s="4">
        <f>SUMIFS(
  Exchange_Return[Qty],
  Exchange_Return[Product_Code], Stock_Table[[#This Row],[Product_Code]]
)</f>
        <v>0</v>
      </c>
      <c r="L1122" s="4">
        <f>I1122-J1122+K1122</f>
        <v>3</v>
      </c>
      <c r="M1122" s="2" t="str" cm="1">
        <f t="array" ref="M1122">_xlfn.IFS(L1122=0,"Out of Stock",L1122&gt;=2,"Limited Stock",L1122&lt;2,"In Stock")</f>
        <v>Limited Stock</v>
      </c>
    </row>
    <row r="1123" spans="2:13">
      <c r="B1123" s="2" t="s">
        <v>285</v>
      </c>
      <c r="C1123" s="5" t="str">
        <f>_xlfn.XLOOKUP(B1123,Master[Product_Code],Master[Category])</f>
        <v>Shirt</v>
      </c>
      <c r="D1123" s="2" t="str">
        <f>_xlfn.XLOOKUP(B1123,Master[Product_Code],Master[Brand])</f>
        <v>Thailand</v>
      </c>
      <c r="E1123" s="2" t="str">
        <f>_xlfn.XLOOKUP(B1123,Master[Product_Code],Master[Style])</f>
        <v>Casual</v>
      </c>
      <c r="F1123" s="2" t="str">
        <f>_xlfn.XLOOKUP(B1123,Master[Product_Code],Master[Fabric])</f>
        <v>Polyester</v>
      </c>
      <c r="G1123" s="2" t="str">
        <f>_xlfn.XLOOKUP(B1123,Master[Product_Code],Master[Size])</f>
        <v>M</v>
      </c>
      <c r="H1123" s="2" t="str">
        <f>_xlfn.XLOOKUP(B1123,Master[Product_Code],Master[Color])</f>
        <v>Grey</v>
      </c>
      <c r="I1123" s="4">
        <f>_xlfn.XLOOKUP(B1123,Master[Product_Code],Master[Stock_Qty])</f>
        <v>4</v>
      </c>
      <c r="J1123" s="6">
        <f>SUMIFS(
  Sales_Entry[Qty],
  Sales_Entry[Product_Code], Stock_Table[[#This Row],[Product_Code]]
)</f>
        <v>2</v>
      </c>
      <c r="K1123" s="4">
        <f>SUMIFS(
  Exchange_Return[Qty],
  Exchange_Return[Product_Code], Stock_Table[[#This Row],[Product_Code]]
)</f>
        <v>0</v>
      </c>
      <c r="L1123" s="4">
        <f>I1123-J1123+K1123</f>
        <v>2</v>
      </c>
      <c r="M1123" s="2" t="str" cm="1">
        <f t="array" ref="M1123">_xlfn.IFS(L1123=0,"Out of Stock",L1123&gt;=2,"Limited Stock",L1123&lt;2,"In Stock")</f>
        <v>Limited Stock</v>
      </c>
    </row>
    <row r="1124" spans="2:13">
      <c r="B1124" s="2" t="s">
        <v>286</v>
      </c>
      <c r="C1124" s="5" t="str">
        <f>_xlfn.XLOOKUP(B1124,Master[Product_Code],Master[Category])</f>
        <v>Shirt</v>
      </c>
      <c r="D1124" s="2" t="str">
        <f>_xlfn.XLOOKUP(B1124,Master[Product_Code],Master[Brand])</f>
        <v>Thailand</v>
      </c>
      <c r="E1124" s="2" t="str">
        <f>_xlfn.XLOOKUP(B1124,Master[Product_Code],Master[Style])</f>
        <v>Formal</v>
      </c>
      <c r="F1124" s="2" t="str">
        <f>_xlfn.XLOOKUP(B1124,Master[Product_Code],Master[Fabric])</f>
        <v>Polyester</v>
      </c>
      <c r="G1124" s="2" t="str">
        <f>_xlfn.XLOOKUP(B1124,Master[Product_Code],Master[Size])</f>
        <v>L</v>
      </c>
      <c r="H1124" s="2" t="str">
        <f>_xlfn.XLOOKUP(B1124,Master[Product_Code],Master[Color])</f>
        <v>Dark Green</v>
      </c>
      <c r="I1124" s="4">
        <f>_xlfn.XLOOKUP(B1124,Master[Product_Code],Master[Stock_Qty])</f>
        <v>3</v>
      </c>
      <c r="J1124" s="6">
        <f>SUMIFS(
  Sales_Entry[Qty],
  Sales_Entry[Product_Code], Stock_Table[[#This Row],[Product_Code]]
)</f>
        <v>1</v>
      </c>
      <c r="K1124" s="4">
        <f>SUMIFS(
  Exchange_Return[Qty],
  Exchange_Return[Product_Code], Stock_Table[[#This Row],[Product_Code]]
)</f>
        <v>0</v>
      </c>
      <c r="L1124" s="4">
        <f>I1124-J1124+K1124</f>
        <v>2</v>
      </c>
      <c r="M1124" s="2" t="str" cm="1">
        <f t="array" ref="M1124">_xlfn.IFS(L1124=0,"Out of Stock",L1124&gt;=2,"Limited Stock",L1124&lt;2,"In Stock")</f>
        <v>Limited Stock</v>
      </c>
    </row>
    <row r="1125" spans="2:13">
      <c r="B1125" s="2" t="s">
        <v>287</v>
      </c>
      <c r="C1125" s="5" t="str">
        <f>_xlfn.XLOOKUP(B1125,Master[Product_Code],Master[Category])</f>
        <v>Shirt</v>
      </c>
      <c r="D1125" s="2" t="str">
        <f>_xlfn.XLOOKUP(B1125,Master[Product_Code],Master[Brand])</f>
        <v>H&amp;M</v>
      </c>
      <c r="E1125" s="2" t="str">
        <f>_xlfn.XLOOKUP(B1125,Master[Product_Code],Master[Style])</f>
        <v>Formal</v>
      </c>
      <c r="F1125" s="2" t="str">
        <f>_xlfn.XLOOKUP(B1125,Master[Product_Code],Master[Fabric])</f>
        <v>Cotton Blend</v>
      </c>
      <c r="G1125" s="2" t="str">
        <f>_xlfn.XLOOKUP(B1125,Master[Product_Code],Master[Size])</f>
        <v>S</v>
      </c>
      <c r="H1125" s="2" t="str">
        <f>_xlfn.XLOOKUP(B1125,Master[Product_Code],Master[Color])</f>
        <v>Olive</v>
      </c>
      <c r="I1125" s="4">
        <f>_xlfn.XLOOKUP(B1125,Master[Product_Code],Master[Stock_Qty])</f>
        <v>5</v>
      </c>
      <c r="J1125" s="6">
        <f>SUMIFS(
  Sales_Entry[Qty],
  Sales_Entry[Product_Code], Stock_Table[[#This Row],[Product_Code]]
)</f>
        <v>3</v>
      </c>
      <c r="K1125" s="4">
        <f>SUMIFS(
  Exchange_Return[Qty],
  Exchange_Return[Product_Code], Stock_Table[[#This Row],[Product_Code]]
)</f>
        <v>0</v>
      </c>
      <c r="L1125" s="4">
        <f>I1125-J1125+K1125</f>
        <v>2</v>
      </c>
      <c r="M1125" s="2" t="str" cm="1">
        <f t="array" ref="M1125">_xlfn.IFS(L1125=0,"Out of Stock",L1125&gt;=2,"Limited Stock",L1125&lt;2,"In Stock")</f>
        <v>Limited Stock</v>
      </c>
    </row>
    <row r="1126" spans="2:13">
      <c r="B1126" s="2" t="s">
        <v>288</v>
      </c>
      <c r="C1126" s="5" t="str">
        <f>_xlfn.XLOOKUP(B1126,Master[Product_Code],Master[Category])</f>
        <v>Shirt</v>
      </c>
      <c r="D1126" s="2" t="str">
        <f>_xlfn.XLOOKUP(B1126,Master[Product_Code],Master[Brand])</f>
        <v>H&amp;M</v>
      </c>
      <c r="E1126" s="2" t="str">
        <f>_xlfn.XLOOKUP(B1126,Master[Product_Code],Master[Style])</f>
        <v>Formal</v>
      </c>
      <c r="F1126" s="2" t="str">
        <f>_xlfn.XLOOKUP(B1126,Master[Product_Code],Master[Fabric])</f>
        <v>Polyester</v>
      </c>
      <c r="G1126" s="2" t="str">
        <f>_xlfn.XLOOKUP(B1126,Master[Product_Code],Master[Size])</f>
        <v>S</v>
      </c>
      <c r="H1126" s="2" t="str">
        <f>_xlfn.XLOOKUP(B1126,Master[Product_Code],Master[Color])</f>
        <v>Charcoal</v>
      </c>
      <c r="I1126" s="4">
        <f>_xlfn.XLOOKUP(B1126,Master[Product_Code],Master[Stock_Qty])</f>
        <v>6</v>
      </c>
      <c r="J1126" s="6">
        <f>SUMIFS(
  Sales_Entry[Qty],
  Sales_Entry[Product_Code], Stock_Table[[#This Row],[Product_Code]]
)</f>
        <v>0</v>
      </c>
      <c r="K1126" s="4">
        <f>SUMIFS(
  Exchange_Return[Qty],
  Exchange_Return[Product_Code], Stock_Table[[#This Row],[Product_Code]]
)</f>
        <v>0</v>
      </c>
      <c r="L1126" s="4">
        <f>I1126-J1126+K1126</f>
        <v>6</v>
      </c>
      <c r="M1126" s="2" t="str" cm="1">
        <f t="array" ref="M1126">_xlfn.IFS(L1126=0,"Out of Stock",L1126&gt;=2,"Limited Stock",L1126&lt;2,"In Stock")</f>
        <v>Limited Stock</v>
      </c>
    </row>
    <row r="1127" spans="2:13">
      <c r="B1127" s="2" t="s">
        <v>289</v>
      </c>
      <c r="C1127" s="5" t="str">
        <f>_xlfn.XLOOKUP(B1127,Master[Product_Code],Master[Category])</f>
        <v>Shirt</v>
      </c>
      <c r="D1127" s="2" t="str">
        <f>_xlfn.XLOOKUP(B1127,Master[Product_Code],Master[Brand])</f>
        <v>British</v>
      </c>
      <c r="E1127" s="2" t="str">
        <f>_xlfn.XLOOKUP(B1127,Master[Product_Code],Master[Style])</f>
        <v>Formal</v>
      </c>
      <c r="F1127" s="2" t="str">
        <f>_xlfn.XLOOKUP(B1127,Master[Product_Code],Master[Fabric])</f>
        <v>Polyester</v>
      </c>
      <c r="G1127" s="2" t="str">
        <f>_xlfn.XLOOKUP(B1127,Master[Product_Code],Master[Size])</f>
        <v>S</v>
      </c>
      <c r="H1127" s="2" t="str">
        <f>_xlfn.XLOOKUP(B1127,Master[Product_Code],Master[Color])</f>
        <v>Rust</v>
      </c>
      <c r="I1127" s="4">
        <f>_xlfn.XLOOKUP(B1127,Master[Product_Code],Master[Stock_Qty])</f>
        <v>5</v>
      </c>
      <c r="J1127" s="6">
        <f>SUMIFS(
  Sales_Entry[Qty],
  Sales_Entry[Product_Code], Stock_Table[[#This Row],[Product_Code]]
)</f>
        <v>0</v>
      </c>
      <c r="K1127" s="4">
        <f>SUMIFS(
  Exchange_Return[Qty],
  Exchange_Return[Product_Code], Stock_Table[[#This Row],[Product_Code]]
)</f>
        <v>0</v>
      </c>
      <c r="L1127" s="4">
        <f>I1127-J1127+K1127</f>
        <v>5</v>
      </c>
      <c r="M1127" s="2" t="str" cm="1">
        <f t="array" ref="M1127">_xlfn.IFS(L1127=0,"Out of Stock",L1127&gt;=2,"Limited Stock",L1127&lt;2,"In Stock")</f>
        <v>Limited Stock</v>
      </c>
    </row>
    <row r="1128" spans="2:13">
      <c r="B1128" s="2" t="s">
        <v>290</v>
      </c>
      <c r="C1128" s="5" t="str">
        <f>_xlfn.XLOOKUP(B1128,Master[Product_Code],Master[Category])</f>
        <v>Shirt</v>
      </c>
      <c r="D1128" s="2" t="str">
        <f>_xlfn.XLOOKUP(B1128,Master[Product_Code],Master[Brand])</f>
        <v>Luke &amp; Burg</v>
      </c>
      <c r="E1128" s="2" t="str">
        <f>_xlfn.XLOOKUP(B1128,Master[Product_Code],Master[Style])</f>
        <v>Formal</v>
      </c>
      <c r="F1128" s="2" t="str">
        <f>_xlfn.XLOOKUP(B1128,Master[Product_Code],Master[Fabric])</f>
        <v>Cotton Blend</v>
      </c>
      <c r="G1128" s="2" t="str">
        <f>_xlfn.XLOOKUP(B1128,Master[Product_Code],Master[Size])</f>
        <v>M</v>
      </c>
      <c r="H1128" s="2" t="str">
        <f>_xlfn.XLOOKUP(B1128,Master[Product_Code],Master[Color])</f>
        <v>Black</v>
      </c>
      <c r="I1128" s="4">
        <f>_xlfn.XLOOKUP(B1128,Master[Product_Code],Master[Stock_Qty])</f>
        <v>5</v>
      </c>
      <c r="J1128" s="6">
        <f>SUMIFS(
  Sales_Entry[Qty],
  Sales_Entry[Product_Code], Stock_Table[[#This Row],[Product_Code]]
)</f>
        <v>3</v>
      </c>
      <c r="K1128" s="4">
        <f>SUMIFS(
  Exchange_Return[Qty],
  Exchange_Return[Product_Code], Stock_Table[[#This Row],[Product_Code]]
)</f>
        <v>0</v>
      </c>
      <c r="L1128" s="4">
        <f>I1128-J1128+K1128</f>
        <v>2</v>
      </c>
      <c r="M1128" s="2" t="str" cm="1">
        <f t="array" ref="M1128">_xlfn.IFS(L1128=0,"Out of Stock",L1128&gt;=2,"Limited Stock",L1128&lt;2,"In Stock")</f>
        <v>Limited Stock</v>
      </c>
    </row>
    <row r="1129" spans="2:13">
      <c r="B1129" s="2" t="s">
        <v>291</v>
      </c>
      <c r="C1129" s="5" t="str">
        <f>_xlfn.XLOOKUP(B1129,Master[Product_Code],Master[Category])</f>
        <v>Shirt</v>
      </c>
      <c r="D1129" s="2" t="str">
        <f>_xlfn.XLOOKUP(B1129,Master[Product_Code],Master[Brand])</f>
        <v>British</v>
      </c>
      <c r="E1129" s="2" t="str">
        <f>_xlfn.XLOOKUP(B1129,Master[Product_Code],Master[Style])</f>
        <v>Formal</v>
      </c>
      <c r="F1129" s="2" t="str">
        <f>_xlfn.XLOOKUP(B1129,Master[Product_Code],Master[Fabric])</f>
        <v>Lycra</v>
      </c>
      <c r="G1129" s="2" t="str">
        <f>_xlfn.XLOOKUP(B1129,Master[Product_Code],Master[Size])</f>
        <v>S</v>
      </c>
      <c r="H1129" s="2" t="str">
        <f>_xlfn.XLOOKUP(B1129,Master[Product_Code],Master[Color])</f>
        <v>Brown</v>
      </c>
      <c r="I1129" s="4">
        <f>_xlfn.XLOOKUP(B1129,Master[Product_Code],Master[Stock_Qty])</f>
        <v>6</v>
      </c>
      <c r="J1129" s="6">
        <f>SUMIFS(
  Sales_Entry[Qty],
  Sales_Entry[Product_Code], Stock_Table[[#This Row],[Product_Code]]
)</f>
        <v>2</v>
      </c>
      <c r="K1129" s="4">
        <f>SUMIFS(
  Exchange_Return[Qty],
  Exchange_Return[Product_Code], Stock_Table[[#This Row],[Product_Code]]
)</f>
        <v>0</v>
      </c>
      <c r="L1129" s="4">
        <f>I1129-J1129+K1129</f>
        <v>4</v>
      </c>
      <c r="M1129" s="2" t="str" cm="1">
        <f t="array" ref="M1129">_xlfn.IFS(L1129=0,"Out of Stock",L1129&gt;=2,"Limited Stock",L1129&lt;2,"In Stock")</f>
        <v>Limited Stock</v>
      </c>
    </row>
    <row r="1130" spans="2:13">
      <c r="B1130" s="2" t="s">
        <v>292</v>
      </c>
      <c r="C1130" s="5" t="str">
        <f>_xlfn.XLOOKUP(B1130,Master[Product_Code],Master[Category])</f>
        <v>Shirt</v>
      </c>
      <c r="D1130" s="2" t="str">
        <f>_xlfn.XLOOKUP(B1130,Master[Product_Code],Master[Brand])</f>
        <v>USD</v>
      </c>
      <c r="E1130" s="2" t="str">
        <f>_xlfn.XLOOKUP(B1130,Master[Product_Code],Master[Style])</f>
        <v>Partywear</v>
      </c>
      <c r="F1130" s="2" t="str">
        <f>_xlfn.XLOOKUP(B1130,Master[Product_Code],Master[Fabric])</f>
        <v>Polyester</v>
      </c>
      <c r="G1130" s="2" t="str">
        <f>_xlfn.XLOOKUP(B1130,Master[Product_Code],Master[Size])</f>
        <v>XL</v>
      </c>
      <c r="H1130" s="2" t="str">
        <f>_xlfn.XLOOKUP(B1130,Master[Product_Code],Master[Color])</f>
        <v>Royal Blue</v>
      </c>
      <c r="I1130" s="4">
        <f>_xlfn.XLOOKUP(B1130,Master[Product_Code],Master[Stock_Qty])</f>
        <v>3</v>
      </c>
      <c r="J1130" s="6">
        <f>SUMIFS(
  Sales_Entry[Qty],
  Sales_Entry[Product_Code], Stock_Table[[#This Row],[Product_Code]]
)</f>
        <v>2</v>
      </c>
      <c r="K1130" s="4">
        <f>SUMIFS(
  Exchange_Return[Qty],
  Exchange_Return[Product_Code], Stock_Table[[#This Row],[Product_Code]]
)</f>
        <v>0</v>
      </c>
      <c r="L1130" s="4">
        <f>I1130-J1130+K1130</f>
        <v>1</v>
      </c>
      <c r="M1130" s="2" t="str" cm="1">
        <f t="array" ref="M1130">_xlfn.IFS(L1130=0,"Out of Stock",L1130&gt;=2,"Limited Stock",L1130&lt;2,"In Stock")</f>
        <v>In Stock</v>
      </c>
    </row>
    <row r="1131" spans="2:13">
      <c r="B1131" s="2" t="s">
        <v>293</v>
      </c>
      <c r="C1131" s="5" t="str">
        <f>_xlfn.XLOOKUP(B1131,Master[Product_Code],Master[Category])</f>
        <v>Shirt</v>
      </c>
      <c r="D1131" s="2" t="str">
        <f>_xlfn.XLOOKUP(B1131,Master[Product_Code],Master[Brand])</f>
        <v>Zara</v>
      </c>
      <c r="E1131" s="2" t="str">
        <f>_xlfn.XLOOKUP(B1131,Master[Product_Code],Master[Style])</f>
        <v>Casual</v>
      </c>
      <c r="F1131" s="2" t="str">
        <f>_xlfn.XLOOKUP(B1131,Master[Product_Code],Master[Fabric])</f>
        <v>Lycra</v>
      </c>
      <c r="G1131" s="2" t="str">
        <f>_xlfn.XLOOKUP(B1131,Master[Product_Code],Master[Size])</f>
        <v>M</v>
      </c>
      <c r="H1131" s="2" t="str">
        <f>_xlfn.XLOOKUP(B1131,Master[Product_Code],Master[Color])</f>
        <v>Dark Green</v>
      </c>
      <c r="I1131" s="4">
        <f>_xlfn.XLOOKUP(B1131,Master[Product_Code],Master[Stock_Qty])</f>
        <v>6</v>
      </c>
      <c r="J1131" s="6">
        <f>SUMIFS(
  Sales_Entry[Qty],
  Sales_Entry[Product_Code], Stock_Table[[#This Row],[Product_Code]]
)</f>
        <v>4</v>
      </c>
      <c r="K1131" s="4">
        <f>SUMIFS(
  Exchange_Return[Qty],
  Exchange_Return[Product_Code], Stock_Table[[#This Row],[Product_Code]]
)</f>
        <v>0</v>
      </c>
      <c r="L1131" s="4">
        <f>I1131-J1131+K1131</f>
        <v>2</v>
      </c>
      <c r="M1131" s="2" t="str" cm="1">
        <f t="array" ref="M1131">_xlfn.IFS(L1131=0,"Out of Stock",L1131&gt;=2,"Limited Stock",L1131&lt;2,"In Stock")</f>
        <v>Limited Stock</v>
      </c>
    </row>
    <row r="1132" spans="2:13">
      <c r="B1132" s="2" t="s">
        <v>294</v>
      </c>
      <c r="C1132" s="5" t="str">
        <f>_xlfn.XLOOKUP(B1132,Master[Product_Code],Master[Category])</f>
        <v>Shirt</v>
      </c>
      <c r="D1132" s="2" t="str">
        <f>_xlfn.XLOOKUP(B1132,Master[Product_Code],Master[Brand])</f>
        <v>Thailand</v>
      </c>
      <c r="E1132" s="2" t="str">
        <f>_xlfn.XLOOKUP(B1132,Master[Product_Code],Master[Style])</f>
        <v>Formal</v>
      </c>
      <c r="F1132" s="2" t="str">
        <f>_xlfn.XLOOKUP(B1132,Master[Product_Code],Master[Fabric])</f>
        <v>Cotton Blend</v>
      </c>
      <c r="G1132" s="2" t="str">
        <f>_xlfn.XLOOKUP(B1132,Master[Product_Code],Master[Size])</f>
        <v>S</v>
      </c>
      <c r="H1132" s="2" t="str">
        <f>_xlfn.XLOOKUP(B1132,Master[Product_Code],Master[Color])</f>
        <v>White</v>
      </c>
      <c r="I1132" s="4">
        <f>_xlfn.XLOOKUP(B1132,Master[Product_Code],Master[Stock_Qty])</f>
        <v>4</v>
      </c>
      <c r="J1132" s="6">
        <f>SUMIFS(
  Sales_Entry[Qty],
  Sales_Entry[Product_Code], Stock_Table[[#This Row],[Product_Code]]
)</f>
        <v>3</v>
      </c>
      <c r="K1132" s="4">
        <f>SUMIFS(
  Exchange_Return[Qty],
  Exchange_Return[Product_Code], Stock_Table[[#This Row],[Product_Code]]
)</f>
        <v>0</v>
      </c>
      <c r="L1132" s="4">
        <f>I1132-J1132+K1132</f>
        <v>1</v>
      </c>
      <c r="M1132" s="2" t="str" cm="1">
        <f t="array" ref="M1132">_xlfn.IFS(L1132=0,"Out of Stock",L1132&gt;=2,"Limited Stock",L1132&lt;2,"In Stock")</f>
        <v>In Stock</v>
      </c>
    </row>
    <row r="1133" spans="2:13">
      <c r="B1133" s="2" t="s">
        <v>295</v>
      </c>
      <c r="C1133" s="5" t="str">
        <f>_xlfn.XLOOKUP(B1133,Master[Product_Code],Master[Category])</f>
        <v>Shirt</v>
      </c>
      <c r="D1133" s="2" t="str">
        <f>_xlfn.XLOOKUP(B1133,Master[Product_Code],Master[Brand])</f>
        <v>Max</v>
      </c>
      <c r="E1133" s="2" t="str">
        <f>_xlfn.XLOOKUP(B1133,Master[Product_Code],Master[Style])</f>
        <v>Formal</v>
      </c>
      <c r="F1133" s="2" t="str">
        <f>_xlfn.XLOOKUP(B1133,Master[Product_Code],Master[Fabric])</f>
        <v>Cotton</v>
      </c>
      <c r="G1133" s="2" t="str">
        <f>_xlfn.XLOOKUP(B1133,Master[Product_Code],Master[Size])</f>
        <v>XL</v>
      </c>
      <c r="H1133" s="2" t="str">
        <f>_xlfn.XLOOKUP(B1133,Master[Product_Code],Master[Color])</f>
        <v>Royal Blue</v>
      </c>
      <c r="I1133" s="4">
        <f>_xlfn.XLOOKUP(B1133,Master[Product_Code],Master[Stock_Qty])</f>
        <v>3</v>
      </c>
      <c r="J1133" s="6">
        <f>SUMIFS(
  Sales_Entry[Qty],
  Sales_Entry[Product_Code], Stock_Table[[#This Row],[Product_Code]]
)</f>
        <v>1</v>
      </c>
      <c r="K1133" s="4">
        <f>SUMIFS(
  Exchange_Return[Qty],
  Exchange_Return[Product_Code], Stock_Table[[#This Row],[Product_Code]]
)</f>
        <v>0</v>
      </c>
      <c r="L1133" s="4">
        <f>I1133-J1133+K1133</f>
        <v>2</v>
      </c>
      <c r="M1133" s="2" t="str" cm="1">
        <f t="array" ref="M1133">_xlfn.IFS(L1133=0,"Out of Stock",L1133&gt;=2,"Limited Stock",L1133&lt;2,"In Stock")</f>
        <v>Limited Stock</v>
      </c>
    </row>
    <row r="1134" spans="2:13">
      <c r="B1134" s="2" t="s">
        <v>296</v>
      </c>
      <c r="C1134" s="5" t="str">
        <f>_xlfn.XLOOKUP(B1134,Master[Product_Code],Master[Category])</f>
        <v>Shirt</v>
      </c>
      <c r="D1134" s="2" t="str">
        <f>_xlfn.XLOOKUP(B1134,Master[Product_Code],Master[Brand])</f>
        <v>H&amp;M</v>
      </c>
      <c r="E1134" s="2" t="str">
        <f>_xlfn.XLOOKUP(B1134,Master[Product_Code],Master[Style])</f>
        <v>Partywear</v>
      </c>
      <c r="F1134" s="2" t="str">
        <f>_xlfn.XLOOKUP(B1134,Master[Product_Code],Master[Fabric])</f>
        <v>Lycra</v>
      </c>
      <c r="G1134" s="2" t="str">
        <f>_xlfn.XLOOKUP(B1134,Master[Product_Code],Master[Size])</f>
        <v>M</v>
      </c>
      <c r="H1134" s="2" t="str">
        <f>_xlfn.XLOOKUP(B1134,Master[Product_Code],Master[Color])</f>
        <v>Brown</v>
      </c>
      <c r="I1134" s="4">
        <f>_xlfn.XLOOKUP(B1134,Master[Product_Code],Master[Stock_Qty])</f>
        <v>6</v>
      </c>
      <c r="J1134" s="6">
        <f>SUMIFS(
  Sales_Entry[Qty],
  Sales_Entry[Product_Code], Stock_Table[[#This Row],[Product_Code]]
)</f>
        <v>1</v>
      </c>
      <c r="K1134" s="4">
        <f>SUMIFS(
  Exchange_Return[Qty],
  Exchange_Return[Product_Code], Stock_Table[[#This Row],[Product_Code]]
)</f>
        <v>1</v>
      </c>
      <c r="L1134" s="4">
        <f>I1134-J1134+K1134</f>
        <v>6</v>
      </c>
      <c r="M1134" s="2" t="str" cm="1">
        <f t="array" ref="M1134">_xlfn.IFS(L1134=0,"Out of Stock",L1134&gt;=2,"Limited Stock",L1134&lt;2,"In Stock")</f>
        <v>Limited Stock</v>
      </c>
    </row>
    <row r="1135" spans="2:13">
      <c r="B1135" s="2" t="s">
        <v>297</v>
      </c>
      <c r="C1135" s="5" t="str">
        <f>_xlfn.XLOOKUP(B1135,Master[Product_Code],Master[Category])</f>
        <v>Shirt</v>
      </c>
      <c r="D1135" s="2" t="str">
        <f>_xlfn.XLOOKUP(B1135,Master[Product_Code],Master[Brand])</f>
        <v>British</v>
      </c>
      <c r="E1135" s="2" t="str">
        <f>_xlfn.XLOOKUP(B1135,Master[Product_Code],Master[Style])</f>
        <v>Formal</v>
      </c>
      <c r="F1135" s="2" t="str">
        <f>_xlfn.XLOOKUP(B1135,Master[Product_Code],Master[Fabric])</f>
        <v>Polyester</v>
      </c>
      <c r="G1135" s="2" t="str">
        <f>_xlfn.XLOOKUP(B1135,Master[Product_Code],Master[Size])</f>
        <v>M</v>
      </c>
      <c r="H1135" s="2" t="str">
        <f>_xlfn.XLOOKUP(B1135,Master[Product_Code],Master[Color])</f>
        <v>Navy Blue</v>
      </c>
      <c r="I1135" s="4">
        <f>_xlfn.XLOOKUP(B1135,Master[Product_Code],Master[Stock_Qty])</f>
        <v>5</v>
      </c>
      <c r="J1135" s="6">
        <f>SUMIFS(
  Sales_Entry[Qty],
  Sales_Entry[Product_Code], Stock_Table[[#This Row],[Product_Code]]
)</f>
        <v>0</v>
      </c>
      <c r="K1135" s="4">
        <f>SUMIFS(
  Exchange_Return[Qty],
  Exchange_Return[Product_Code], Stock_Table[[#This Row],[Product_Code]]
)</f>
        <v>0</v>
      </c>
      <c r="L1135" s="4">
        <f>I1135-J1135+K1135</f>
        <v>5</v>
      </c>
      <c r="M1135" s="2" t="str" cm="1">
        <f t="array" ref="M1135">_xlfn.IFS(L1135=0,"Out of Stock",L1135&gt;=2,"Limited Stock",L1135&lt;2,"In Stock")</f>
        <v>Limited Stock</v>
      </c>
    </row>
    <row r="1136" spans="2:13">
      <c r="B1136" s="2" t="s">
        <v>298</v>
      </c>
      <c r="C1136" s="5" t="str">
        <f>_xlfn.XLOOKUP(B1136,Master[Product_Code],Master[Category])</f>
        <v>Shirt</v>
      </c>
      <c r="D1136" s="2" t="str">
        <f>_xlfn.XLOOKUP(B1136,Master[Product_Code],Master[Brand])</f>
        <v>H&amp;M</v>
      </c>
      <c r="E1136" s="2" t="str">
        <f>_xlfn.XLOOKUP(B1136,Master[Product_Code],Master[Style])</f>
        <v>Partywear</v>
      </c>
      <c r="F1136" s="2" t="str">
        <f>_xlfn.XLOOKUP(B1136,Master[Product_Code],Master[Fabric])</f>
        <v>Cotton</v>
      </c>
      <c r="G1136" s="2" t="str">
        <f>_xlfn.XLOOKUP(B1136,Master[Product_Code],Master[Size])</f>
        <v>XL</v>
      </c>
      <c r="H1136" s="2" t="str">
        <f>_xlfn.XLOOKUP(B1136,Master[Product_Code],Master[Color])</f>
        <v>Peach</v>
      </c>
      <c r="I1136" s="4">
        <f>_xlfn.XLOOKUP(B1136,Master[Product_Code],Master[Stock_Qty])</f>
        <v>3</v>
      </c>
      <c r="J1136" s="6">
        <f>SUMIFS(
  Sales_Entry[Qty],
  Sales_Entry[Product_Code], Stock_Table[[#This Row],[Product_Code]]
)</f>
        <v>1</v>
      </c>
      <c r="K1136" s="4">
        <f>SUMIFS(
  Exchange_Return[Qty],
  Exchange_Return[Product_Code], Stock_Table[[#This Row],[Product_Code]]
)</f>
        <v>0</v>
      </c>
      <c r="L1136" s="4">
        <f>I1136-J1136+K1136</f>
        <v>2</v>
      </c>
      <c r="M1136" s="2" t="str" cm="1">
        <f t="array" ref="M1136">_xlfn.IFS(L1136=0,"Out of Stock",L1136&gt;=2,"Limited Stock",L1136&lt;2,"In Stock")</f>
        <v>Limited Stock</v>
      </c>
    </row>
    <row r="1137" spans="2:13">
      <c r="B1137" s="2" t="s">
        <v>299</v>
      </c>
      <c r="C1137" s="5" t="str">
        <f>_xlfn.XLOOKUP(B1137,Master[Product_Code],Master[Category])</f>
        <v>Shirt</v>
      </c>
      <c r="D1137" s="2" t="str">
        <f>_xlfn.XLOOKUP(B1137,Master[Product_Code],Master[Brand])</f>
        <v>Luke &amp; Burg</v>
      </c>
      <c r="E1137" s="2" t="str">
        <f>_xlfn.XLOOKUP(B1137,Master[Product_Code],Master[Style])</f>
        <v>Casual</v>
      </c>
      <c r="F1137" s="2" t="str">
        <f>_xlfn.XLOOKUP(B1137,Master[Product_Code],Master[Fabric])</f>
        <v>Cotton Blend</v>
      </c>
      <c r="G1137" s="2" t="str">
        <f>_xlfn.XLOOKUP(B1137,Master[Product_Code],Master[Size])</f>
        <v>S</v>
      </c>
      <c r="H1137" s="2" t="str">
        <f>_xlfn.XLOOKUP(B1137,Master[Product_Code],Master[Color])</f>
        <v>Teal</v>
      </c>
      <c r="I1137" s="4">
        <f>_xlfn.XLOOKUP(B1137,Master[Product_Code],Master[Stock_Qty])</f>
        <v>3</v>
      </c>
      <c r="J1137" s="6">
        <f>SUMIFS(
  Sales_Entry[Qty],
  Sales_Entry[Product_Code], Stock_Table[[#This Row],[Product_Code]]
)</f>
        <v>2</v>
      </c>
      <c r="K1137" s="4">
        <f>SUMIFS(
  Exchange_Return[Qty],
  Exchange_Return[Product_Code], Stock_Table[[#This Row],[Product_Code]]
)</f>
        <v>1</v>
      </c>
      <c r="L1137" s="4">
        <f>I1137-J1137+K1137</f>
        <v>2</v>
      </c>
      <c r="M1137" s="2" t="str" cm="1">
        <f t="array" ref="M1137">_xlfn.IFS(L1137=0,"Out of Stock",L1137&gt;=2,"Limited Stock",L1137&lt;2,"In Stock")</f>
        <v>Limited Stock</v>
      </c>
    </row>
    <row r="1138" spans="2:13">
      <c r="B1138" s="2" t="s">
        <v>300</v>
      </c>
      <c r="C1138" s="5" t="str">
        <f>_xlfn.XLOOKUP(B1138,Master[Product_Code],Master[Category])</f>
        <v>Shirt</v>
      </c>
      <c r="D1138" s="2" t="str">
        <f>_xlfn.XLOOKUP(B1138,Master[Product_Code],Master[Brand])</f>
        <v>G Studio</v>
      </c>
      <c r="E1138" s="2" t="str">
        <f>_xlfn.XLOOKUP(B1138,Master[Product_Code],Master[Style])</f>
        <v>Partywear</v>
      </c>
      <c r="F1138" s="2" t="str">
        <f>_xlfn.XLOOKUP(B1138,Master[Product_Code],Master[Fabric])</f>
        <v>Cotton</v>
      </c>
      <c r="G1138" s="2" t="str">
        <f>_xlfn.XLOOKUP(B1138,Master[Product_Code],Master[Size])</f>
        <v>XXL</v>
      </c>
      <c r="H1138" s="2" t="str">
        <f>_xlfn.XLOOKUP(B1138,Master[Product_Code],Master[Color])</f>
        <v>Mustard</v>
      </c>
      <c r="I1138" s="4">
        <f>_xlfn.XLOOKUP(B1138,Master[Product_Code],Master[Stock_Qty])</f>
        <v>4</v>
      </c>
      <c r="J1138" s="6">
        <f>SUMIFS(
  Sales_Entry[Qty],
  Sales_Entry[Product_Code], Stock_Table[[#This Row],[Product_Code]]
)</f>
        <v>0</v>
      </c>
      <c r="K1138" s="4">
        <f>SUMIFS(
  Exchange_Return[Qty],
  Exchange_Return[Product_Code], Stock_Table[[#This Row],[Product_Code]]
)</f>
        <v>0</v>
      </c>
      <c r="L1138" s="4">
        <f>I1138-J1138+K1138</f>
        <v>4</v>
      </c>
      <c r="M1138" s="2" t="str" cm="1">
        <f t="array" ref="M1138">_xlfn.IFS(L1138=0,"Out of Stock",L1138&gt;=2,"Limited Stock",L1138&lt;2,"In Stock")</f>
        <v>Limited Stock</v>
      </c>
    </row>
    <row r="1139" spans="2:13">
      <c r="B1139" s="2" t="s">
        <v>301</v>
      </c>
      <c r="C1139" s="5" t="str">
        <f>_xlfn.XLOOKUP(B1139,Master[Product_Code],Master[Category])</f>
        <v>Shirt</v>
      </c>
      <c r="D1139" s="2" t="str">
        <f>_xlfn.XLOOKUP(B1139,Master[Product_Code],Master[Brand])</f>
        <v>British</v>
      </c>
      <c r="E1139" s="2" t="str">
        <f>_xlfn.XLOOKUP(B1139,Master[Product_Code],Master[Style])</f>
        <v>Partywear</v>
      </c>
      <c r="F1139" s="2" t="str">
        <f>_xlfn.XLOOKUP(B1139,Master[Product_Code],Master[Fabric])</f>
        <v>Cotton Blend</v>
      </c>
      <c r="G1139" s="2" t="str">
        <f>_xlfn.XLOOKUP(B1139,Master[Product_Code],Master[Size])</f>
        <v>M</v>
      </c>
      <c r="H1139" s="2" t="str">
        <f>_xlfn.XLOOKUP(B1139,Master[Product_Code],Master[Color])</f>
        <v>Cream</v>
      </c>
      <c r="I1139" s="4">
        <f>_xlfn.XLOOKUP(B1139,Master[Product_Code],Master[Stock_Qty])</f>
        <v>6</v>
      </c>
      <c r="J1139" s="6">
        <f>SUMIFS(
  Sales_Entry[Qty],
  Sales_Entry[Product_Code], Stock_Table[[#This Row],[Product_Code]]
)</f>
        <v>2</v>
      </c>
      <c r="K1139" s="4">
        <f>SUMIFS(
  Exchange_Return[Qty],
  Exchange_Return[Product_Code], Stock_Table[[#This Row],[Product_Code]]
)</f>
        <v>0</v>
      </c>
      <c r="L1139" s="4">
        <f>I1139-J1139+K1139</f>
        <v>4</v>
      </c>
      <c r="M1139" s="2" t="str" cm="1">
        <f t="array" ref="M1139">_xlfn.IFS(L1139=0,"Out of Stock",L1139&gt;=2,"Limited Stock",L1139&lt;2,"In Stock")</f>
        <v>Limited Stock</v>
      </c>
    </row>
    <row r="1140" spans="2:13">
      <c r="B1140" s="2" t="s">
        <v>302</v>
      </c>
      <c r="C1140" s="5" t="str">
        <f>_xlfn.XLOOKUP(B1140,Master[Product_Code],Master[Category])</f>
        <v>Shirt</v>
      </c>
      <c r="D1140" s="2" t="str">
        <f>_xlfn.XLOOKUP(B1140,Master[Product_Code],Master[Brand])</f>
        <v>USD</v>
      </c>
      <c r="E1140" s="2" t="str">
        <f>_xlfn.XLOOKUP(B1140,Master[Product_Code],Master[Style])</f>
        <v>Formal</v>
      </c>
      <c r="F1140" s="2" t="str">
        <f>_xlfn.XLOOKUP(B1140,Master[Product_Code],Master[Fabric])</f>
        <v>Cotton</v>
      </c>
      <c r="G1140" s="2" t="str">
        <f>_xlfn.XLOOKUP(B1140,Master[Product_Code],Master[Size])</f>
        <v>XL</v>
      </c>
      <c r="H1140" s="2" t="str">
        <f>_xlfn.XLOOKUP(B1140,Master[Product_Code],Master[Color])</f>
        <v>White</v>
      </c>
      <c r="I1140" s="4">
        <f>_xlfn.XLOOKUP(B1140,Master[Product_Code],Master[Stock_Qty])</f>
        <v>5</v>
      </c>
      <c r="J1140" s="6">
        <f>SUMIFS(
  Sales_Entry[Qty],
  Sales_Entry[Product_Code], Stock_Table[[#This Row],[Product_Code]]
)</f>
        <v>2</v>
      </c>
      <c r="K1140" s="4">
        <f>SUMIFS(
  Exchange_Return[Qty],
  Exchange_Return[Product_Code], Stock_Table[[#This Row],[Product_Code]]
)</f>
        <v>0</v>
      </c>
      <c r="L1140" s="4">
        <f>I1140-J1140+K1140</f>
        <v>3</v>
      </c>
      <c r="M1140" s="2" t="str" cm="1">
        <f t="array" ref="M1140">_xlfn.IFS(L1140=0,"Out of Stock",L1140&gt;=2,"Limited Stock",L1140&lt;2,"In Stock")</f>
        <v>Limited Stock</v>
      </c>
    </row>
    <row r="1141" spans="2:13">
      <c r="B1141" s="2" t="s">
        <v>303</v>
      </c>
      <c r="C1141" s="5" t="str">
        <f>_xlfn.XLOOKUP(B1141,Master[Product_Code],Master[Category])</f>
        <v>Shirt</v>
      </c>
      <c r="D1141" s="2" t="str">
        <f>_xlfn.XLOOKUP(B1141,Master[Product_Code],Master[Brand])</f>
        <v>Zara</v>
      </c>
      <c r="E1141" s="2" t="str">
        <f>_xlfn.XLOOKUP(B1141,Master[Product_Code],Master[Style])</f>
        <v>Formal</v>
      </c>
      <c r="F1141" s="2" t="str">
        <f>_xlfn.XLOOKUP(B1141,Master[Product_Code],Master[Fabric])</f>
        <v>Cotton</v>
      </c>
      <c r="G1141" s="2" t="str">
        <f>_xlfn.XLOOKUP(B1141,Master[Product_Code],Master[Size])</f>
        <v>L</v>
      </c>
      <c r="H1141" s="2" t="str">
        <f>_xlfn.XLOOKUP(B1141,Master[Product_Code],Master[Color])</f>
        <v>Brown</v>
      </c>
      <c r="I1141" s="4">
        <f>_xlfn.XLOOKUP(B1141,Master[Product_Code],Master[Stock_Qty])</f>
        <v>6</v>
      </c>
      <c r="J1141" s="6">
        <f>SUMIFS(
  Sales_Entry[Qty],
  Sales_Entry[Product_Code], Stock_Table[[#This Row],[Product_Code]]
)</f>
        <v>2</v>
      </c>
      <c r="K1141" s="4">
        <f>SUMIFS(
  Exchange_Return[Qty],
  Exchange_Return[Product_Code], Stock_Table[[#This Row],[Product_Code]]
)</f>
        <v>0</v>
      </c>
      <c r="L1141" s="4">
        <f>I1141-J1141+K1141</f>
        <v>4</v>
      </c>
      <c r="M1141" s="2" t="str" cm="1">
        <f t="array" ref="M1141">_xlfn.IFS(L1141=0,"Out of Stock",L1141&gt;=2,"Limited Stock",L1141&lt;2,"In Stock")</f>
        <v>Limited Stock</v>
      </c>
    </row>
    <row r="1142" spans="2:13">
      <c r="B1142" s="2" t="s">
        <v>304</v>
      </c>
      <c r="C1142" s="5" t="str">
        <f>_xlfn.XLOOKUP(B1142,Master[Product_Code],Master[Category])</f>
        <v>Shirt</v>
      </c>
      <c r="D1142" s="2" t="str">
        <f>_xlfn.XLOOKUP(B1142,Master[Product_Code],Master[Brand])</f>
        <v>H&amp;M</v>
      </c>
      <c r="E1142" s="2" t="str">
        <f>_xlfn.XLOOKUP(B1142,Master[Product_Code],Master[Style])</f>
        <v>Casual</v>
      </c>
      <c r="F1142" s="2" t="str">
        <f>_xlfn.XLOOKUP(B1142,Master[Product_Code],Master[Fabric])</f>
        <v>Cotton Blend</v>
      </c>
      <c r="G1142" s="2" t="str">
        <f>_xlfn.XLOOKUP(B1142,Master[Product_Code],Master[Size])</f>
        <v>S</v>
      </c>
      <c r="H1142" s="2" t="str">
        <f>_xlfn.XLOOKUP(B1142,Master[Product_Code],Master[Color])</f>
        <v>Grey</v>
      </c>
      <c r="I1142" s="4">
        <f>_xlfn.XLOOKUP(B1142,Master[Product_Code],Master[Stock_Qty])</f>
        <v>5</v>
      </c>
      <c r="J1142" s="6">
        <f>SUMIFS(
  Sales_Entry[Qty],
  Sales_Entry[Product_Code], Stock_Table[[#This Row],[Product_Code]]
)</f>
        <v>0</v>
      </c>
      <c r="K1142" s="4">
        <f>SUMIFS(
  Exchange_Return[Qty],
  Exchange_Return[Product_Code], Stock_Table[[#This Row],[Product_Code]]
)</f>
        <v>0</v>
      </c>
      <c r="L1142" s="4">
        <f>I1142-J1142+K1142</f>
        <v>5</v>
      </c>
      <c r="M1142" s="2" t="str" cm="1">
        <f t="array" ref="M1142">_xlfn.IFS(L1142=0,"Out of Stock",L1142&gt;=2,"Limited Stock",L1142&lt;2,"In Stock")</f>
        <v>Limited Stock</v>
      </c>
    </row>
    <row r="1143" spans="2:13">
      <c r="B1143" s="2" t="s">
        <v>305</v>
      </c>
      <c r="C1143" s="5" t="str">
        <f>_xlfn.XLOOKUP(B1143,Master[Product_Code],Master[Category])</f>
        <v>Shirt</v>
      </c>
      <c r="D1143" s="2" t="str">
        <f>_xlfn.XLOOKUP(B1143,Master[Product_Code],Master[Brand])</f>
        <v>Zara</v>
      </c>
      <c r="E1143" s="2" t="str">
        <f>_xlfn.XLOOKUP(B1143,Master[Product_Code],Master[Style])</f>
        <v>Partywear</v>
      </c>
      <c r="F1143" s="2" t="str">
        <f>_xlfn.XLOOKUP(B1143,Master[Product_Code],Master[Fabric])</f>
        <v>Cotton Blend</v>
      </c>
      <c r="G1143" s="2" t="str">
        <f>_xlfn.XLOOKUP(B1143,Master[Product_Code],Master[Size])</f>
        <v>L</v>
      </c>
      <c r="H1143" s="2" t="str">
        <f>_xlfn.XLOOKUP(B1143,Master[Product_Code],Master[Color])</f>
        <v>Sky Blue</v>
      </c>
      <c r="I1143" s="4">
        <f>_xlfn.XLOOKUP(B1143,Master[Product_Code],Master[Stock_Qty])</f>
        <v>5</v>
      </c>
      <c r="J1143" s="6">
        <f>SUMIFS(
  Sales_Entry[Qty],
  Sales_Entry[Product_Code], Stock_Table[[#This Row],[Product_Code]]
)</f>
        <v>2</v>
      </c>
      <c r="K1143" s="4">
        <f>SUMIFS(
  Exchange_Return[Qty],
  Exchange_Return[Product_Code], Stock_Table[[#This Row],[Product_Code]]
)</f>
        <v>0</v>
      </c>
      <c r="L1143" s="4">
        <f>I1143-J1143+K1143</f>
        <v>3</v>
      </c>
      <c r="M1143" s="2" t="str" cm="1">
        <f t="array" ref="M1143">_xlfn.IFS(L1143=0,"Out of Stock",L1143&gt;=2,"Limited Stock",L1143&lt;2,"In Stock")</f>
        <v>Limited Stock</v>
      </c>
    </row>
    <row r="1144" spans="2:13">
      <c r="B1144" s="2" t="s">
        <v>306</v>
      </c>
      <c r="C1144" s="5" t="str">
        <f>_xlfn.XLOOKUP(B1144,Master[Product_Code],Master[Category])</f>
        <v>Shirt</v>
      </c>
      <c r="D1144" s="2" t="str">
        <f>_xlfn.XLOOKUP(B1144,Master[Product_Code],Master[Brand])</f>
        <v>Luke &amp; Burg</v>
      </c>
      <c r="E1144" s="2" t="str">
        <f>_xlfn.XLOOKUP(B1144,Master[Product_Code],Master[Style])</f>
        <v>Partywear</v>
      </c>
      <c r="F1144" s="2" t="str">
        <f>_xlfn.XLOOKUP(B1144,Master[Product_Code],Master[Fabric])</f>
        <v>Polyester</v>
      </c>
      <c r="G1144" s="2" t="str">
        <f>_xlfn.XLOOKUP(B1144,Master[Product_Code],Master[Size])</f>
        <v>XL</v>
      </c>
      <c r="H1144" s="2" t="str">
        <f>_xlfn.XLOOKUP(B1144,Master[Product_Code],Master[Color])</f>
        <v>Mustard</v>
      </c>
      <c r="I1144" s="4">
        <f>_xlfn.XLOOKUP(B1144,Master[Product_Code],Master[Stock_Qty])</f>
        <v>4</v>
      </c>
      <c r="J1144" s="6">
        <f>SUMIFS(
  Sales_Entry[Qty],
  Sales_Entry[Product_Code], Stock_Table[[#This Row],[Product_Code]]
)</f>
        <v>4</v>
      </c>
      <c r="K1144" s="4">
        <f>SUMIFS(
  Exchange_Return[Qty],
  Exchange_Return[Product_Code], Stock_Table[[#This Row],[Product_Code]]
)</f>
        <v>0</v>
      </c>
      <c r="L1144" s="4">
        <f>I1144-J1144+K1144</f>
        <v>0</v>
      </c>
      <c r="M1144" s="2" t="str" cm="1">
        <f t="array" ref="M1144">_xlfn.IFS(L1144=0,"Out of Stock",L1144&gt;=2,"Limited Stock",L1144&lt;2,"In Stock")</f>
        <v>Out of Stock</v>
      </c>
    </row>
    <row r="1145" spans="2:13">
      <c r="B1145" s="2" t="s">
        <v>307</v>
      </c>
      <c r="C1145" s="5" t="str">
        <f>_xlfn.XLOOKUP(B1145,Master[Product_Code],Master[Category])</f>
        <v>Shirt</v>
      </c>
      <c r="D1145" s="2" t="str">
        <f>_xlfn.XLOOKUP(B1145,Master[Product_Code],Master[Brand])</f>
        <v>Max</v>
      </c>
      <c r="E1145" s="2" t="str">
        <f>_xlfn.XLOOKUP(B1145,Master[Product_Code],Master[Style])</f>
        <v>Casual</v>
      </c>
      <c r="F1145" s="2" t="str">
        <f>_xlfn.XLOOKUP(B1145,Master[Product_Code],Master[Fabric])</f>
        <v>Cotton Blend</v>
      </c>
      <c r="G1145" s="2" t="str">
        <f>_xlfn.XLOOKUP(B1145,Master[Product_Code],Master[Size])</f>
        <v>S</v>
      </c>
      <c r="H1145" s="2" t="str">
        <f>_xlfn.XLOOKUP(B1145,Master[Product_Code],Master[Color])</f>
        <v>Bottle Green</v>
      </c>
      <c r="I1145" s="4">
        <f>_xlfn.XLOOKUP(B1145,Master[Product_Code],Master[Stock_Qty])</f>
        <v>3</v>
      </c>
      <c r="J1145" s="6">
        <f>SUMIFS(
  Sales_Entry[Qty],
  Sales_Entry[Product_Code], Stock_Table[[#This Row],[Product_Code]]
)</f>
        <v>1</v>
      </c>
      <c r="K1145" s="4">
        <f>SUMIFS(
  Exchange_Return[Qty],
  Exchange_Return[Product_Code], Stock_Table[[#This Row],[Product_Code]]
)</f>
        <v>0</v>
      </c>
      <c r="L1145" s="4">
        <f>I1145-J1145+K1145</f>
        <v>2</v>
      </c>
      <c r="M1145" s="2" t="str" cm="1">
        <f t="array" ref="M1145">_xlfn.IFS(L1145=0,"Out of Stock",L1145&gt;=2,"Limited Stock",L1145&lt;2,"In Stock")</f>
        <v>Limited Stock</v>
      </c>
    </row>
    <row r="1146" spans="2:13">
      <c r="B1146" s="2" t="s">
        <v>308</v>
      </c>
      <c r="C1146" s="5" t="str">
        <f>_xlfn.XLOOKUP(B1146,Master[Product_Code],Master[Category])</f>
        <v>Shirt</v>
      </c>
      <c r="D1146" s="2" t="str">
        <f>_xlfn.XLOOKUP(B1146,Master[Product_Code],Master[Brand])</f>
        <v>USD</v>
      </c>
      <c r="E1146" s="2" t="str">
        <f>_xlfn.XLOOKUP(B1146,Master[Product_Code],Master[Style])</f>
        <v>Partywear</v>
      </c>
      <c r="F1146" s="2" t="str">
        <f>_xlfn.XLOOKUP(B1146,Master[Product_Code],Master[Fabric])</f>
        <v>Cotton Blend</v>
      </c>
      <c r="G1146" s="2" t="str">
        <f>_xlfn.XLOOKUP(B1146,Master[Product_Code],Master[Size])</f>
        <v>L</v>
      </c>
      <c r="H1146" s="2" t="str">
        <f>_xlfn.XLOOKUP(B1146,Master[Product_Code],Master[Color])</f>
        <v>Sky Blue</v>
      </c>
      <c r="I1146" s="4">
        <f>_xlfn.XLOOKUP(B1146,Master[Product_Code],Master[Stock_Qty])</f>
        <v>3</v>
      </c>
      <c r="J1146" s="6">
        <f>SUMIFS(
  Sales_Entry[Qty],
  Sales_Entry[Product_Code], Stock_Table[[#This Row],[Product_Code]]
)</f>
        <v>2</v>
      </c>
      <c r="K1146" s="4">
        <f>SUMIFS(
  Exchange_Return[Qty],
  Exchange_Return[Product_Code], Stock_Table[[#This Row],[Product_Code]]
)</f>
        <v>0</v>
      </c>
      <c r="L1146" s="4">
        <f>I1146-J1146+K1146</f>
        <v>1</v>
      </c>
      <c r="M1146" s="2" t="str" cm="1">
        <f t="array" ref="M1146">_xlfn.IFS(L1146=0,"Out of Stock",L1146&gt;=2,"Limited Stock",L1146&lt;2,"In Stock")</f>
        <v>In Stock</v>
      </c>
    </row>
    <row r="1147" spans="2:13">
      <c r="B1147" s="2" t="s">
        <v>309</v>
      </c>
      <c r="C1147" s="5" t="str">
        <f>_xlfn.XLOOKUP(B1147,Master[Product_Code],Master[Category])</f>
        <v>Shirt</v>
      </c>
      <c r="D1147" s="2" t="str">
        <f>_xlfn.XLOOKUP(B1147,Master[Product_Code],Master[Brand])</f>
        <v>Thailand</v>
      </c>
      <c r="E1147" s="2" t="str">
        <f>_xlfn.XLOOKUP(B1147,Master[Product_Code],Master[Style])</f>
        <v>Casual</v>
      </c>
      <c r="F1147" s="2" t="str">
        <f>_xlfn.XLOOKUP(B1147,Master[Product_Code],Master[Fabric])</f>
        <v>Polyester</v>
      </c>
      <c r="G1147" s="2" t="str">
        <f>_xlfn.XLOOKUP(B1147,Master[Product_Code],Master[Size])</f>
        <v>XXL</v>
      </c>
      <c r="H1147" s="2" t="str">
        <f>_xlfn.XLOOKUP(B1147,Master[Product_Code],Master[Color])</f>
        <v>Bottle Green</v>
      </c>
      <c r="I1147" s="4">
        <f>_xlfn.XLOOKUP(B1147,Master[Product_Code],Master[Stock_Qty])</f>
        <v>4</v>
      </c>
      <c r="J1147" s="6">
        <f>SUMIFS(
  Sales_Entry[Qty],
  Sales_Entry[Product_Code], Stock_Table[[#This Row],[Product_Code]]
)</f>
        <v>1</v>
      </c>
      <c r="K1147" s="4">
        <f>SUMIFS(
  Exchange_Return[Qty],
  Exchange_Return[Product_Code], Stock_Table[[#This Row],[Product_Code]]
)</f>
        <v>0</v>
      </c>
      <c r="L1147" s="4">
        <f>I1147-J1147+K1147</f>
        <v>3</v>
      </c>
      <c r="M1147" s="2" t="str" cm="1">
        <f t="array" ref="M1147">_xlfn.IFS(L1147=0,"Out of Stock",L1147&gt;=2,"Limited Stock",L1147&lt;2,"In Stock")</f>
        <v>Limited Stock</v>
      </c>
    </row>
    <row r="1148" spans="2:13">
      <c r="B1148" s="2" t="s">
        <v>310</v>
      </c>
      <c r="C1148" s="5" t="str">
        <f>_xlfn.XLOOKUP(B1148,Master[Product_Code],Master[Category])</f>
        <v>Shirt</v>
      </c>
      <c r="D1148" s="2" t="str">
        <f>_xlfn.XLOOKUP(B1148,Master[Product_Code],Master[Brand])</f>
        <v>Max</v>
      </c>
      <c r="E1148" s="2" t="str">
        <f>_xlfn.XLOOKUP(B1148,Master[Product_Code],Master[Style])</f>
        <v>Casual</v>
      </c>
      <c r="F1148" s="2" t="str">
        <f>_xlfn.XLOOKUP(B1148,Master[Product_Code],Master[Fabric])</f>
        <v>Polyester</v>
      </c>
      <c r="G1148" s="2" t="str">
        <f>_xlfn.XLOOKUP(B1148,Master[Product_Code],Master[Size])</f>
        <v>S</v>
      </c>
      <c r="H1148" s="2" t="str">
        <f>_xlfn.XLOOKUP(B1148,Master[Product_Code],Master[Color])</f>
        <v>Teal</v>
      </c>
      <c r="I1148" s="4">
        <f>_xlfn.XLOOKUP(B1148,Master[Product_Code],Master[Stock_Qty])</f>
        <v>6</v>
      </c>
      <c r="J1148" s="6">
        <f>SUMIFS(
  Sales_Entry[Qty],
  Sales_Entry[Product_Code], Stock_Table[[#This Row],[Product_Code]]
)</f>
        <v>3</v>
      </c>
      <c r="K1148" s="4">
        <f>SUMIFS(
  Exchange_Return[Qty],
  Exchange_Return[Product_Code], Stock_Table[[#This Row],[Product_Code]]
)</f>
        <v>0</v>
      </c>
      <c r="L1148" s="4">
        <f>I1148-J1148+K1148</f>
        <v>3</v>
      </c>
      <c r="M1148" s="2" t="str" cm="1">
        <f t="array" ref="M1148">_xlfn.IFS(L1148=0,"Out of Stock",L1148&gt;=2,"Limited Stock",L1148&lt;2,"In Stock")</f>
        <v>Limited Stock</v>
      </c>
    </row>
    <row r="1149" spans="2:13">
      <c r="B1149" s="2" t="s">
        <v>311</v>
      </c>
      <c r="C1149" s="5" t="str">
        <f>_xlfn.XLOOKUP(B1149,Master[Product_Code],Master[Category])</f>
        <v>Shirt</v>
      </c>
      <c r="D1149" s="2" t="str">
        <f>_xlfn.XLOOKUP(B1149,Master[Product_Code],Master[Brand])</f>
        <v>Zara</v>
      </c>
      <c r="E1149" s="2" t="str">
        <f>_xlfn.XLOOKUP(B1149,Master[Product_Code],Master[Style])</f>
        <v>Formal</v>
      </c>
      <c r="F1149" s="2" t="str">
        <f>_xlfn.XLOOKUP(B1149,Master[Product_Code],Master[Fabric])</f>
        <v>Polyester</v>
      </c>
      <c r="G1149" s="2" t="str">
        <f>_xlfn.XLOOKUP(B1149,Master[Product_Code],Master[Size])</f>
        <v>L</v>
      </c>
      <c r="H1149" s="2" t="str">
        <f>_xlfn.XLOOKUP(B1149,Master[Product_Code],Master[Color])</f>
        <v>Wine</v>
      </c>
      <c r="I1149" s="4">
        <f>_xlfn.XLOOKUP(B1149,Master[Product_Code],Master[Stock_Qty])</f>
        <v>4</v>
      </c>
      <c r="J1149" s="6">
        <f>SUMIFS(
  Sales_Entry[Qty],
  Sales_Entry[Product_Code], Stock_Table[[#This Row],[Product_Code]]
)</f>
        <v>3</v>
      </c>
      <c r="K1149" s="4">
        <f>SUMIFS(
  Exchange_Return[Qty],
  Exchange_Return[Product_Code], Stock_Table[[#This Row],[Product_Code]]
)</f>
        <v>1</v>
      </c>
      <c r="L1149" s="4">
        <f>I1149-J1149+K1149</f>
        <v>2</v>
      </c>
      <c r="M1149" s="2" t="str" cm="1">
        <f t="array" ref="M1149">_xlfn.IFS(L1149=0,"Out of Stock",L1149&gt;=2,"Limited Stock",L1149&lt;2,"In Stock")</f>
        <v>Limited Stock</v>
      </c>
    </row>
    <row r="1150" spans="2:13">
      <c r="B1150" s="2" t="s">
        <v>312</v>
      </c>
      <c r="C1150" s="5" t="str">
        <f>_xlfn.XLOOKUP(B1150,Master[Product_Code],Master[Category])</f>
        <v>Shirt</v>
      </c>
      <c r="D1150" s="2" t="str">
        <f>_xlfn.XLOOKUP(B1150,Master[Product_Code],Master[Brand])</f>
        <v>USD</v>
      </c>
      <c r="E1150" s="2" t="str">
        <f>_xlfn.XLOOKUP(B1150,Master[Product_Code],Master[Style])</f>
        <v>Partywear</v>
      </c>
      <c r="F1150" s="2" t="str">
        <f>_xlfn.XLOOKUP(B1150,Master[Product_Code],Master[Fabric])</f>
        <v>Polyester</v>
      </c>
      <c r="G1150" s="2" t="str">
        <f>_xlfn.XLOOKUP(B1150,Master[Product_Code],Master[Size])</f>
        <v>S</v>
      </c>
      <c r="H1150" s="2" t="str">
        <f>_xlfn.XLOOKUP(B1150,Master[Product_Code],Master[Color])</f>
        <v>Maroon</v>
      </c>
      <c r="I1150" s="4">
        <f>_xlfn.XLOOKUP(B1150,Master[Product_Code],Master[Stock_Qty])</f>
        <v>3</v>
      </c>
      <c r="J1150" s="6">
        <f>SUMIFS(
  Sales_Entry[Qty],
  Sales_Entry[Product_Code], Stock_Table[[#This Row],[Product_Code]]
)</f>
        <v>3</v>
      </c>
      <c r="K1150" s="4">
        <f>SUMIFS(
  Exchange_Return[Qty],
  Exchange_Return[Product_Code], Stock_Table[[#This Row],[Product_Code]]
)</f>
        <v>0</v>
      </c>
      <c r="L1150" s="4">
        <f>I1150-J1150+K1150</f>
        <v>0</v>
      </c>
      <c r="M1150" s="2" t="str" cm="1">
        <f t="array" ref="M1150">_xlfn.IFS(L1150=0,"Out of Stock",L1150&gt;=2,"Limited Stock",L1150&lt;2,"In Stock")</f>
        <v>Out of Stock</v>
      </c>
    </row>
    <row r="1151" spans="2:13">
      <c r="B1151" s="2" t="s">
        <v>313</v>
      </c>
      <c r="C1151" s="5" t="str">
        <f>_xlfn.XLOOKUP(B1151,Master[Product_Code],Master[Category])</f>
        <v>Shirt</v>
      </c>
      <c r="D1151" s="2" t="str">
        <f>_xlfn.XLOOKUP(B1151,Master[Product_Code],Master[Brand])</f>
        <v>British</v>
      </c>
      <c r="E1151" s="2" t="str">
        <f>_xlfn.XLOOKUP(B1151,Master[Product_Code],Master[Style])</f>
        <v>Casual</v>
      </c>
      <c r="F1151" s="2" t="str">
        <f>_xlfn.XLOOKUP(B1151,Master[Product_Code],Master[Fabric])</f>
        <v>Polyester</v>
      </c>
      <c r="G1151" s="2" t="str">
        <f>_xlfn.XLOOKUP(B1151,Master[Product_Code],Master[Size])</f>
        <v>XXL</v>
      </c>
      <c r="H1151" s="2" t="str">
        <f>_xlfn.XLOOKUP(B1151,Master[Product_Code],Master[Color])</f>
        <v>White</v>
      </c>
      <c r="I1151" s="4">
        <f>_xlfn.XLOOKUP(B1151,Master[Product_Code],Master[Stock_Qty])</f>
        <v>4</v>
      </c>
      <c r="J1151" s="6">
        <f>SUMIFS(
  Sales_Entry[Qty],
  Sales_Entry[Product_Code], Stock_Table[[#This Row],[Product_Code]]
)</f>
        <v>1</v>
      </c>
      <c r="K1151" s="4">
        <f>SUMIFS(
  Exchange_Return[Qty],
  Exchange_Return[Product_Code], Stock_Table[[#This Row],[Product_Code]]
)</f>
        <v>0</v>
      </c>
      <c r="L1151" s="4">
        <f>I1151-J1151+K1151</f>
        <v>3</v>
      </c>
      <c r="M1151" s="2" t="str" cm="1">
        <f t="array" ref="M1151">_xlfn.IFS(L1151=0,"Out of Stock",L1151&gt;=2,"Limited Stock",L1151&lt;2,"In Stock")</f>
        <v>Limited Stock</v>
      </c>
    </row>
    <row r="1152" spans="2:13">
      <c r="B1152" s="2" t="s">
        <v>314</v>
      </c>
      <c r="C1152" s="5" t="str">
        <f>_xlfn.XLOOKUP(B1152,Master[Product_Code],Master[Category])</f>
        <v>Shirt</v>
      </c>
      <c r="D1152" s="2" t="str">
        <f>_xlfn.XLOOKUP(B1152,Master[Product_Code],Master[Brand])</f>
        <v>Max</v>
      </c>
      <c r="E1152" s="2" t="str">
        <f>_xlfn.XLOOKUP(B1152,Master[Product_Code],Master[Style])</f>
        <v>Casual</v>
      </c>
      <c r="F1152" s="2" t="str">
        <f>_xlfn.XLOOKUP(B1152,Master[Product_Code],Master[Fabric])</f>
        <v>Cotton Blend</v>
      </c>
      <c r="G1152" s="2" t="str">
        <f>_xlfn.XLOOKUP(B1152,Master[Product_Code],Master[Size])</f>
        <v>XL</v>
      </c>
      <c r="H1152" s="2" t="str">
        <f>_xlfn.XLOOKUP(B1152,Master[Product_Code],Master[Color])</f>
        <v>Navy Blue</v>
      </c>
      <c r="I1152" s="4">
        <f>_xlfn.XLOOKUP(B1152,Master[Product_Code],Master[Stock_Qty])</f>
        <v>4</v>
      </c>
      <c r="J1152" s="6">
        <f>SUMIFS(
  Sales_Entry[Qty],
  Sales_Entry[Product_Code], Stock_Table[[#This Row],[Product_Code]]
)</f>
        <v>3</v>
      </c>
      <c r="K1152" s="4">
        <f>SUMIFS(
  Exchange_Return[Qty],
  Exchange_Return[Product_Code], Stock_Table[[#This Row],[Product_Code]]
)</f>
        <v>0</v>
      </c>
      <c r="L1152" s="4">
        <f>I1152-J1152+K1152</f>
        <v>1</v>
      </c>
      <c r="M1152" s="2" t="str" cm="1">
        <f t="array" ref="M1152">_xlfn.IFS(L1152=0,"Out of Stock",L1152&gt;=2,"Limited Stock",L1152&lt;2,"In Stock")</f>
        <v>In Stock</v>
      </c>
    </row>
    <row r="1153" spans="2:13">
      <c r="B1153" s="2" t="s">
        <v>315</v>
      </c>
      <c r="C1153" s="5" t="str">
        <f>_xlfn.XLOOKUP(B1153,Master[Product_Code],Master[Category])</f>
        <v>Shirt</v>
      </c>
      <c r="D1153" s="2" t="str">
        <f>_xlfn.XLOOKUP(B1153,Master[Product_Code],Master[Brand])</f>
        <v>British</v>
      </c>
      <c r="E1153" s="2" t="str">
        <f>_xlfn.XLOOKUP(B1153,Master[Product_Code],Master[Style])</f>
        <v>Casual</v>
      </c>
      <c r="F1153" s="2" t="str">
        <f>_xlfn.XLOOKUP(B1153,Master[Product_Code],Master[Fabric])</f>
        <v>Cotton Blend</v>
      </c>
      <c r="G1153" s="2" t="str">
        <f>_xlfn.XLOOKUP(B1153,Master[Product_Code],Master[Size])</f>
        <v>L</v>
      </c>
      <c r="H1153" s="2" t="str">
        <f>_xlfn.XLOOKUP(B1153,Master[Product_Code],Master[Color])</f>
        <v>Charcoal</v>
      </c>
      <c r="I1153" s="4">
        <f>_xlfn.XLOOKUP(B1153,Master[Product_Code],Master[Stock_Qty])</f>
        <v>3</v>
      </c>
      <c r="J1153" s="6">
        <f>SUMIFS(
  Sales_Entry[Qty],
  Sales_Entry[Product_Code], Stock_Table[[#This Row],[Product_Code]]
)</f>
        <v>3</v>
      </c>
      <c r="K1153" s="4">
        <f>SUMIFS(
  Exchange_Return[Qty],
  Exchange_Return[Product_Code], Stock_Table[[#This Row],[Product_Code]]
)</f>
        <v>0</v>
      </c>
      <c r="L1153" s="4">
        <f>I1153-J1153+K1153</f>
        <v>0</v>
      </c>
      <c r="M1153" s="2" t="str" cm="1">
        <f t="array" ref="M1153">_xlfn.IFS(L1153=0,"Out of Stock",L1153&gt;=2,"Limited Stock",L1153&lt;2,"In Stock")</f>
        <v>Out of Stock</v>
      </c>
    </row>
    <row r="1154" spans="2:13">
      <c r="B1154" s="2" t="s">
        <v>316</v>
      </c>
      <c r="C1154" s="5" t="str">
        <f>_xlfn.XLOOKUP(B1154,Master[Product_Code],Master[Category])</f>
        <v>Shirt</v>
      </c>
      <c r="D1154" s="2" t="str">
        <f>_xlfn.XLOOKUP(B1154,Master[Product_Code],Master[Brand])</f>
        <v>USD</v>
      </c>
      <c r="E1154" s="2" t="str">
        <f>_xlfn.XLOOKUP(B1154,Master[Product_Code],Master[Style])</f>
        <v>Casual</v>
      </c>
      <c r="F1154" s="2" t="str">
        <f>_xlfn.XLOOKUP(B1154,Master[Product_Code],Master[Fabric])</f>
        <v>Polyester</v>
      </c>
      <c r="G1154" s="2" t="str">
        <f>_xlfn.XLOOKUP(B1154,Master[Product_Code],Master[Size])</f>
        <v>XXL</v>
      </c>
      <c r="H1154" s="2" t="str">
        <f>_xlfn.XLOOKUP(B1154,Master[Product_Code],Master[Color])</f>
        <v>Sky Blue</v>
      </c>
      <c r="I1154" s="4">
        <f>_xlfn.XLOOKUP(B1154,Master[Product_Code],Master[Stock_Qty])</f>
        <v>5</v>
      </c>
      <c r="J1154" s="6">
        <f>SUMIFS(
  Sales_Entry[Qty],
  Sales_Entry[Product_Code], Stock_Table[[#This Row],[Product_Code]]
)</f>
        <v>0</v>
      </c>
      <c r="K1154" s="4">
        <f>SUMIFS(
  Exchange_Return[Qty],
  Exchange_Return[Product_Code], Stock_Table[[#This Row],[Product_Code]]
)</f>
        <v>0</v>
      </c>
      <c r="L1154" s="4">
        <f>I1154-J1154+K1154</f>
        <v>5</v>
      </c>
      <c r="M1154" s="2" t="str" cm="1">
        <f t="array" ref="M1154">_xlfn.IFS(L1154=0,"Out of Stock",L1154&gt;=2,"Limited Stock",L1154&lt;2,"In Stock")</f>
        <v>Limited Stock</v>
      </c>
    </row>
    <row r="1155" spans="2:13">
      <c r="B1155" s="2" t="s">
        <v>317</v>
      </c>
      <c r="C1155" s="5" t="str">
        <f>_xlfn.XLOOKUP(B1155,Master[Product_Code],Master[Category])</f>
        <v>Shirt</v>
      </c>
      <c r="D1155" s="2" t="str">
        <f>_xlfn.XLOOKUP(B1155,Master[Product_Code],Master[Brand])</f>
        <v>Thailand</v>
      </c>
      <c r="E1155" s="2" t="str">
        <f>_xlfn.XLOOKUP(B1155,Master[Product_Code],Master[Style])</f>
        <v>Partywear</v>
      </c>
      <c r="F1155" s="2" t="str">
        <f>_xlfn.XLOOKUP(B1155,Master[Product_Code],Master[Fabric])</f>
        <v>Polyester</v>
      </c>
      <c r="G1155" s="2" t="str">
        <f>_xlfn.XLOOKUP(B1155,Master[Product_Code],Master[Size])</f>
        <v>M</v>
      </c>
      <c r="H1155" s="2" t="str">
        <f>_xlfn.XLOOKUP(B1155,Master[Product_Code],Master[Color])</f>
        <v>Royal Blue</v>
      </c>
      <c r="I1155" s="4">
        <f>_xlfn.XLOOKUP(B1155,Master[Product_Code],Master[Stock_Qty])</f>
        <v>5</v>
      </c>
      <c r="J1155" s="6">
        <f>SUMIFS(
  Sales_Entry[Qty],
  Sales_Entry[Product_Code], Stock_Table[[#This Row],[Product_Code]]
)</f>
        <v>2</v>
      </c>
      <c r="K1155" s="4">
        <f>SUMIFS(
  Exchange_Return[Qty],
  Exchange_Return[Product_Code], Stock_Table[[#This Row],[Product_Code]]
)</f>
        <v>0</v>
      </c>
      <c r="L1155" s="4">
        <f>I1155-J1155+K1155</f>
        <v>3</v>
      </c>
      <c r="M1155" s="2" t="str" cm="1">
        <f t="array" ref="M1155">_xlfn.IFS(L1155=0,"Out of Stock",L1155&gt;=2,"Limited Stock",L1155&lt;2,"In Stock")</f>
        <v>Limited Stock</v>
      </c>
    </row>
    <row r="1156" spans="2:13">
      <c r="B1156" s="2" t="s">
        <v>318</v>
      </c>
      <c r="C1156" s="5" t="str">
        <f>_xlfn.XLOOKUP(B1156,Master[Product_Code],Master[Category])</f>
        <v>Shirt</v>
      </c>
      <c r="D1156" s="2" t="str">
        <f>_xlfn.XLOOKUP(B1156,Master[Product_Code],Master[Brand])</f>
        <v>Max</v>
      </c>
      <c r="E1156" s="2" t="str">
        <f>_xlfn.XLOOKUP(B1156,Master[Product_Code],Master[Style])</f>
        <v>Formal</v>
      </c>
      <c r="F1156" s="2" t="str">
        <f>_xlfn.XLOOKUP(B1156,Master[Product_Code],Master[Fabric])</f>
        <v>Cotton</v>
      </c>
      <c r="G1156" s="2" t="str">
        <f>_xlfn.XLOOKUP(B1156,Master[Product_Code],Master[Size])</f>
        <v>M</v>
      </c>
      <c r="H1156" s="2" t="str">
        <f>_xlfn.XLOOKUP(B1156,Master[Product_Code],Master[Color])</f>
        <v>Navy Blue</v>
      </c>
      <c r="I1156" s="4">
        <f>_xlfn.XLOOKUP(B1156,Master[Product_Code],Master[Stock_Qty])</f>
        <v>6</v>
      </c>
      <c r="J1156" s="6">
        <f>SUMIFS(
  Sales_Entry[Qty],
  Sales_Entry[Product_Code], Stock_Table[[#This Row],[Product_Code]]
)</f>
        <v>3</v>
      </c>
      <c r="K1156" s="4">
        <f>SUMIFS(
  Exchange_Return[Qty],
  Exchange_Return[Product_Code], Stock_Table[[#This Row],[Product_Code]]
)</f>
        <v>0</v>
      </c>
      <c r="L1156" s="4">
        <f>I1156-J1156+K1156</f>
        <v>3</v>
      </c>
      <c r="M1156" s="2" t="str" cm="1">
        <f t="array" ref="M1156">_xlfn.IFS(L1156=0,"Out of Stock",L1156&gt;=2,"Limited Stock",L1156&lt;2,"In Stock")</f>
        <v>Limited Stock</v>
      </c>
    </row>
    <row r="1157" spans="2:13">
      <c r="B1157" s="2" t="s">
        <v>319</v>
      </c>
      <c r="C1157" s="5" t="str">
        <f>_xlfn.XLOOKUP(B1157,Master[Product_Code],Master[Category])</f>
        <v>Shirt</v>
      </c>
      <c r="D1157" s="2" t="str">
        <f>_xlfn.XLOOKUP(B1157,Master[Product_Code],Master[Brand])</f>
        <v>Max</v>
      </c>
      <c r="E1157" s="2" t="str">
        <f>_xlfn.XLOOKUP(B1157,Master[Product_Code],Master[Style])</f>
        <v>Formal</v>
      </c>
      <c r="F1157" s="2" t="str">
        <f>_xlfn.XLOOKUP(B1157,Master[Product_Code],Master[Fabric])</f>
        <v>Cotton Blend</v>
      </c>
      <c r="G1157" s="2" t="str">
        <f>_xlfn.XLOOKUP(B1157,Master[Product_Code],Master[Size])</f>
        <v>L</v>
      </c>
      <c r="H1157" s="2" t="str">
        <f>_xlfn.XLOOKUP(B1157,Master[Product_Code],Master[Color])</f>
        <v>Navy Blue</v>
      </c>
      <c r="I1157" s="4">
        <f>_xlfn.XLOOKUP(B1157,Master[Product_Code],Master[Stock_Qty])</f>
        <v>5</v>
      </c>
      <c r="J1157" s="6">
        <f>SUMIFS(
  Sales_Entry[Qty],
  Sales_Entry[Product_Code], Stock_Table[[#This Row],[Product_Code]]
)</f>
        <v>0</v>
      </c>
      <c r="K1157" s="4">
        <f>SUMIFS(
  Exchange_Return[Qty],
  Exchange_Return[Product_Code], Stock_Table[[#This Row],[Product_Code]]
)</f>
        <v>0</v>
      </c>
      <c r="L1157" s="4">
        <f>I1157-J1157+K1157</f>
        <v>5</v>
      </c>
      <c r="M1157" s="2" t="str" cm="1">
        <f t="array" ref="M1157">_xlfn.IFS(L1157=0,"Out of Stock",L1157&gt;=2,"Limited Stock",L1157&lt;2,"In Stock")</f>
        <v>Limited Stock</v>
      </c>
    </row>
    <row r="1158" spans="2:13">
      <c r="B1158" s="2" t="s">
        <v>320</v>
      </c>
      <c r="C1158" s="5" t="str">
        <f>_xlfn.XLOOKUP(B1158,Master[Product_Code],Master[Category])</f>
        <v>Shirt</v>
      </c>
      <c r="D1158" s="2" t="str">
        <f>_xlfn.XLOOKUP(B1158,Master[Product_Code],Master[Brand])</f>
        <v>Thailand</v>
      </c>
      <c r="E1158" s="2" t="str">
        <f>_xlfn.XLOOKUP(B1158,Master[Product_Code],Master[Style])</f>
        <v>Formal</v>
      </c>
      <c r="F1158" s="2" t="str">
        <f>_xlfn.XLOOKUP(B1158,Master[Product_Code],Master[Fabric])</f>
        <v>Lycra</v>
      </c>
      <c r="G1158" s="2" t="str">
        <f>_xlfn.XLOOKUP(B1158,Master[Product_Code],Master[Size])</f>
        <v>L</v>
      </c>
      <c r="H1158" s="2" t="str">
        <f>_xlfn.XLOOKUP(B1158,Master[Product_Code],Master[Color])</f>
        <v>Wine</v>
      </c>
      <c r="I1158" s="4">
        <f>_xlfn.XLOOKUP(B1158,Master[Product_Code],Master[Stock_Qty])</f>
        <v>4</v>
      </c>
      <c r="J1158" s="6">
        <f>SUMIFS(
  Sales_Entry[Qty],
  Sales_Entry[Product_Code], Stock_Table[[#This Row],[Product_Code]]
)</f>
        <v>2</v>
      </c>
      <c r="K1158" s="4">
        <f>SUMIFS(
  Exchange_Return[Qty],
  Exchange_Return[Product_Code], Stock_Table[[#This Row],[Product_Code]]
)</f>
        <v>0</v>
      </c>
      <c r="L1158" s="4">
        <f>I1158-J1158+K1158</f>
        <v>2</v>
      </c>
      <c r="M1158" s="2" t="str" cm="1">
        <f t="array" ref="M1158">_xlfn.IFS(L1158=0,"Out of Stock",L1158&gt;=2,"Limited Stock",L1158&lt;2,"In Stock")</f>
        <v>Limited Stock</v>
      </c>
    </row>
    <row r="1159" spans="2:13">
      <c r="B1159" s="2" t="s">
        <v>321</v>
      </c>
      <c r="C1159" s="5" t="str">
        <f>_xlfn.XLOOKUP(B1159,Master[Product_Code],Master[Category])</f>
        <v>Shirt</v>
      </c>
      <c r="D1159" s="2" t="str">
        <f>_xlfn.XLOOKUP(B1159,Master[Product_Code],Master[Brand])</f>
        <v>G Studio</v>
      </c>
      <c r="E1159" s="2" t="str">
        <f>_xlfn.XLOOKUP(B1159,Master[Product_Code],Master[Style])</f>
        <v>Formal</v>
      </c>
      <c r="F1159" s="2" t="str">
        <f>_xlfn.XLOOKUP(B1159,Master[Product_Code],Master[Fabric])</f>
        <v>Lycra</v>
      </c>
      <c r="G1159" s="2" t="str">
        <f>_xlfn.XLOOKUP(B1159,Master[Product_Code],Master[Size])</f>
        <v>XL</v>
      </c>
      <c r="H1159" s="2" t="str">
        <f>_xlfn.XLOOKUP(B1159,Master[Product_Code],Master[Color])</f>
        <v>Black</v>
      </c>
      <c r="I1159" s="4">
        <f>_xlfn.XLOOKUP(B1159,Master[Product_Code],Master[Stock_Qty])</f>
        <v>5</v>
      </c>
      <c r="J1159" s="6">
        <f>SUMIFS(
  Sales_Entry[Qty],
  Sales_Entry[Product_Code], Stock_Table[[#This Row],[Product_Code]]
)</f>
        <v>1</v>
      </c>
      <c r="K1159" s="4">
        <f>SUMIFS(
  Exchange_Return[Qty],
  Exchange_Return[Product_Code], Stock_Table[[#This Row],[Product_Code]]
)</f>
        <v>0</v>
      </c>
      <c r="L1159" s="4">
        <f>I1159-J1159+K1159</f>
        <v>4</v>
      </c>
      <c r="M1159" s="2" t="str" cm="1">
        <f t="array" ref="M1159">_xlfn.IFS(L1159=0,"Out of Stock",L1159&gt;=2,"Limited Stock",L1159&lt;2,"In Stock")</f>
        <v>Limited Stock</v>
      </c>
    </row>
    <row r="1160" spans="2:13">
      <c r="B1160" s="2" t="s">
        <v>322</v>
      </c>
      <c r="C1160" s="5" t="str">
        <f>_xlfn.XLOOKUP(B1160,Master[Product_Code],Master[Category])</f>
        <v>Shirt</v>
      </c>
      <c r="D1160" s="2" t="str">
        <f>_xlfn.XLOOKUP(B1160,Master[Product_Code],Master[Brand])</f>
        <v>British</v>
      </c>
      <c r="E1160" s="2" t="str">
        <f>_xlfn.XLOOKUP(B1160,Master[Product_Code],Master[Style])</f>
        <v>Casual</v>
      </c>
      <c r="F1160" s="2" t="str">
        <f>_xlfn.XLOOKUP(B1160,Master[Product_Code],Master[Fabric])</f>
        <v>Lycra</v>
      </c>
      <c r="G1160" s="2" t="str">
        <f>_xlfn.XLOOKUP(B1160,Master[Product_Code],Master[Size])</f>
        <v>XXL</v>
      </c>
      <c r="H1160" s="2" t="str">
        <f>_xlfn.XLOOKUP(B1160,Master[Product_Code],Master[Color])</f>
        <v>Navy Blue</v>
      </c>
      <c r="I1160" s="4">
        <f>_xlfn.XLOOKUP(B1160,Master[Product_Code],Master[Stock_Qty])</f>
        <v>3</v>
      </c>
      <c r="J1160" s="6">
        <f>SUMIFS(
  Sales_Entry[Qty],
  Sales_Entry[Product_Code], Stock_Table[[#This Row],[Product_Code]]
)</f>
        <v>0</v>
      </c>
      <c r="K1160" s="4">
        <f>SUMIFS(
  Exchange_Return[Qty],
  Exchange_Return[Product_Code], Stock_Table[[#This Row],[Product_Code]]
)</f>
        <v>0</v>
      </c>
      <c r="L1160" s="4">
        <f>I1160-J1160+K1160</f>
        <v>3</v>
      </c>
      <c r="M1160" s="2" t="str" cm="1">
        <f t="array" ref="M1160">_xlfn.IFS(L1160=0,"Out of Stock",L1160&gt;=2,"Limited Stock",L1160&lt;2,"In Stock")</f>
        <v>Limited Stock</v>
      </c>
    </row>
    <row r="1161" spans="2:13">
      <c r="B1161" s="2" t="s">
        <v>323</v>
      </c>
      <c r="C1161" s="5" t="str">
        <f>_xlfn.XLOOKUP(B1161,Master[Product_Code],Master[Category])</f>
        <v>Shirt</v>
      </c>
      <c r="D1161" s="2" t="str">
        <f>_xlfn.XLOOKUP(B1161,Master[Product_Code],Master[Brand])</f>
        <v>Luke &amp; Burg</v>
      </c>
      <c r="E1161" s="2" t="str">
        <f>_xlfn.XLOOKUP(B1161,Master[Product_Code],Master[Style])</f>
        <v>Partywear</v>
      </c>
      <c r="F1161" s="2" t="str">
        <f>_xlfn.XLOOKUP(B1161,Master[Product_Code],Master[Fabric])</f>
        <v>Polyester</v>
      </c>
      <c r="G1161" s="2" t="str">
        <f>_xlfn.XLOOKUP(B1161,Master[Product_Code],Master[Size])</f>
        <v>XXL</v>
      </c>
      <c r="H1161" s="2" t="str">
        <f>_xlfn.XLOOKUP(B1161,Master[Product_Code],Master[Color])</f>
        <v>Bottle Green</v>
      </c>
      <c r="I1161" s="4">
        <f>_xlfn.XLOOKUP(B1161,Master[Product_Code],Master[Stock_Qty])</f>
        <v>6</v>
      </c>
      <c r="J1161" s="6">
        <f>SUMIFS(
  Sales_Entry[Qty],
  Sales_Entry[Product_Code], Stock_Table[[#This Row],[Product_Code]]
)</f>
        <v>1</v>
      </c>
      <c r="K1161" s="4">
        <f>SUMIFS(
  Exchange_Return[Qty],
  Exchange_Return[Product_Code], Stock_Table[[#This Row],[Product_Code]]
)</f>
        <v>0</v>
      </c>
      <c r="L1161" s="4">
        <f>I1161-J1161+K1161</f>
        <v>5</v>
      </c>
      <c r="M1161" s="2" t="str" cm="1">
        <f t="array" ref="M1161">_xlfn.IFS(L1161=0,"Out of Stock",L1161&gt;=2,"Limited Stock",L1161&lt;2,"In Stock")</f>
        <v>Limited Stock</v>
      </c>
    </row>
    <row r="1162" spans="2:13">
      <c r="B1162" s="2" t="s">
        <v>324</v>
      </c>
      <c r="C1162" s="5" t="str">
        <f>_xlfn.XLOOKUP(B1162,Master[Product_Code],Master[Category])</f>
        <v>Shirt</v>
      </c>
      <c r="D1162" s="2" t="str">
        <f>_xlfn.XLOOKUP(B1162,Master[Product_Code],Master[Brand])</f>
        <v>L7</v>
      </c>
      <c r="E1162" s="2" t="str">
        <f>_xlfn.XLOOKUP(B1162,Master[Product_Code],Master[Style])</f>
        <v>Formal</v>
      </c>
      <c r="F1162" s="2" t="str">
        <f>_xlfn.XLOOKUP(B1162,Master[Product_Code],Master[Fabric])</f>
        <v>Cotton Blend</v>
      </c>
      <c r="G1162" s="2" t="str">
        <f>_xlfn.XLOOKUP(B1162,Master[Product_Code],Master[Size])</f>
        <v>S</v>
      </c>
      <c r="H1162" s="2" t="str">
        <f>_xlfn.XLOOKUP(B1162,Master[Product_Code],Master[Color])</f>
        <v>Cream</v>
      </c>
      <c r="I1162" s="4">
        <f>_xlfn.XLOOKUP(B1162,Master[Product_Code],Master[Stock_Qty])</f>
        <v>6</v>
      </c>
      <c r="J1162" s="6">
        <f>SUMIFS(
  Sales_Entry[Qty],
  Sales_Entry[Product_Code], Stock_Table[[#This Row],[Product_Code]]
)</f>
        <v>1</v>
      </c>
      <c r="K1162" s="4">
        <f>SUMIFS(
  Exchange_Return[Qty],
  Exchange_Return[Product_Code], Stock_Table[[#This Row],[Product_Code]]
)</f>
        <v>0</v>
      </c>
      <c r="L1162" s="4">
        <f>I1162-J1162+K1162</f>
        <v>5</v>
      </c>
      <c r="M1162" s="2" t="str" cm="1">
        <f t="array" ref="M1162">_xlfn.IFS(L1162=0,"Out of Stock",L1162&gt;=2,"Limited Stock",L1162&lt;2,"In Stock")</f>
        <v>Limited Stock</v>
      </c>
    </row>
    <row r="1163" spans="2:13">
      <c r="B1163" s="2" t="s">
        <v>325</v>
      </c>
      <c r="C1163" s="5" t="str">
        <f>_xlfn.XLOOKUP(B1163,Master[Product_Code],Master[Category])</f>
        <v>Shirt</v>
      </c>
      <c r="D1163" s="2" t="str">
        <f>_xlfn.XLOOKUP(B1163,Master[Product_Code],Master[Brand])</f>
        <v>H&amp;M</v>
      </c>
      <c r="E1163" s="2" t="str">
        <f>_xlfn.XLOOKUP(B1163,Master[Product_Code],Master[Style])</f>
        <v>Casual</v>
      </c>
      <c r="F1163" s="2" t="str">
        <f>_xlfn.XLOOKUP(B1163,Master[Product_Code],Master[Fabric])</f>
        <v>Lycra</v>
      </c>
      <c r="G1163" s="2" t="str">
        <f>_xlfn.XLOOKUP(B1163,Master[Product_Code],Master[Size])</f>
        <v>XXL</v>
      </c>
      <c r="H1163" s="2" t="str">
        <f>_xlfn.XLOOKUP(B1163,Master[Product_Code],Master[Color])</f>
        <v>Light Grey</v>
      </c>
      <c r="I1163" s="4">
        <f>_xlfn.XLOOKUP(B1163,Master[Product_Code],Master[Stock_Qty])</f>
        <v>4</v>
      </c>
      <c r="J1163" s="6">
        <f>SUMIFS(
  Sales_Entry[Qty],
  Sales_Entry[Product_Code], Stock_Table[[#This Row],[Product_Code]]
)</f>
        <v>1</v>
      </c>
      <c r="K1163" s="4">
        <f>SUMIFS(
  Exchange_Return[Qty],
  Exchange_Return[Product_Code], Stock_Table[[#This Row],[Product_Code]]
)</f>
        <v>0</v>
      </c>
      <c r="L1163" s="4">
        <f>I1163-J1163+K1163</f>
        <v>3</v>
      </c>
      <c r="M1163" s="2" t="str" cm="1">
        <f t="array" ref="M1163">_xlfn.IFS(L1163=0,"Out of Stock",L1163&gt;=2,"Limited Stock",L1163&lt;2,"In Stock")</f>
        <v>Limited Stock</v>
      </c>
    </row>
    <row r="1164" spans="2:13">
      <c r="B1164" s="2" t="s">
        <v>326</v>
      </c>
      <c r="C1164" s="5" t="str">
        <f>_xlfn.XLOOKUP(B1164,Master[Product_Code],Master[Category])</f>
        <v>Shirt</v>
      </c>
      <c r="D1164" s="2" t="str">
        <f>_xlfn.XLOOKUP(B1164,Master[Product_Code],Master[Brand])</f>
        <v>USD</v>
      </c>
      <c r="E1164" s="2" t="str">
        <f>_xlfn.XLOOKUP(B1164,Master[Product_Code],Master[Style])</f>
        <v>Casual</v>
      </c>
      <c r="F1164" s="2" t="str">
        <f>_xlfn.XLOOKUP(B1164,Master[Product_Code],Master[Fabric])</f>
        <v>Cotton</v>
      </c>
      <c r="G1164" s="2" t="str">
        <f>_xlfn.XLOOKUP(B1164,Master[Product_Code],Master[Size])</f>
        <v>S</v>
      </c>
      <c r="H1164" s="2" t="str">
        <f>_xlfn.XLOOKUP(B1164,Master[Product_Code],Master[Color])</f>
        <v>Wine</v>
      </c>
      <c r="I1164" s="4">
        <f>_xlfn.XLOOKUP(B1164,Master[Product_Code],Master[Stock_Qty])</f>
        <v>4</v>
      </c>
      <c r="J1164" s="6">
        <f>SUMIFS(
  Sales_Entry[Qty],
  Sales_Entry[Product_Code], Stock_Table[[#This Row],[Product_Code]]
)</f>
        <v>3</v>
      </c>
      <c r="K1164" s="4">
        <f>SUMIFS(
  Exchange_Return[Qty],
  Exchange_Return[Product_Code], Stock_Table[[#This Row],[Product_Code]]
)</f>
        <v>0</v>
      </c>
      <c r="L1164" s="4">
        <f>I1164-J1164+K1164</f>
        <v>1</v>
      </c>
      <c r="M1164" s="2" t="str" cm="1">
        <f t="array" ref="M1164">_xlfn.IFS(L1164=0,"Out of Stock",L1164&gt;=2,"Limited Stock",L1164&lt;2,"In Stock")</f>
        <v>In Stock</v>
      </c>
    </row>
    <row r="1165" spans="2:13">
      <c r="B1165" s="2" t="s">
        <v>327</v>
      </c>
      <c r="C1165" s="5" t="str">
        <f>_xlfn.XLOOKUP(B1165,Master[Product_Code],Master[Category])</f>
        <v>Shirt</v>
      </c>
      <c r="D1165" s="2" t="str">
        <f>_xlfn.XLOOKUP(B1165,Master[Product_Code],Master[Brand])</f>
        <v>USD</v>
      </c>
      <c r="E1165" s="2" t="str">
        <f>_xlfn.XLOOKUP(B1165,Master[Product_Code],Master[Style])</f>
        <v>Formal</v>
      </c>
      <c r="F1165" s="2" t="str">
        <f>_xlfn.XLOOKUP(B1165,Master[Product_Code],Master[Fabric])</f>
        <v>Cotton Blend</v>
      </c>
      <c r="G1165" s="2" t="str">
        <f>_xlfn.XLOOKUP(B1165,Master[Product_Code],Master[Size])</f>
        <v>M</v>
      </c>
      <c r="H1165" s="2" t="str">
        <f>_xlfn.XLOOKUP(B1165,Master[Product_Code],Master[Color])</f>
        <v>Teal</v>
      </c>
      <c r="I1165" s="4">
        <f>_xlfn.XLOOKUP(B1165,Master[Product_Code],Master[Stock_Qty])</f>
        <v>5</v>
      </c>
      <c r="J1165" s="6">
        <f>SUMIFS(
  Sales_Entry[Qty],
  Sales_Entry[Product_Code], Stock_Table[[#This Row],[Product_Code]]
)</f>
        <v>1</v>
      </c>
      <c r="K1165" s="4">
        <f>SUMIFS(
  Exchange_Return[Qty],
  Exchange_Return[Product_Code], Stock_Table[[#This Row],[Product_Code]]
)</f>
        <v>0</v>
      </c>
      <c r="L1165" s="4">
        <f>I1165-J1165+K1165</f>
        <v>4</v>
      </c>
      <c r="M1165" s="2" t="str" cm="1">
        <f t="array" ref="M1165">_xlfn.IFS(L1165=0,"Out of Stock",L1165&gt;=2,"Limited Stock",L1165&lt;2,"In Stock")</f>
        <v>Limited Stock</v>
      </c>
    </row>
    <row r="1166" spans="2:13">
      <c r="B1166" s="2" t="s">
        <v>328</v>
      </c>
      <c r="C1166" s="5" t="str">
        <f>_xlfn.XLOOKUP(B1166,Master[Product_Code],Master[Category])</f>
        <v>Shirt</v>
      </c>
      <c r="D1166" s="2" t="str">
        <f>_xlfn.XLOOKUP(B1166,Master[Product_Code],Master[Brand])</f>
        <v>L7</v>
      </c>
      <c r="E1166" s="2" t="str">
        <f>_xlfn.XLOOKUP(B1166,Master[Product_Code],Master[Style])</f>
        <v>Casual</v>
      </c>
      <c r="F1166" s="2" t="str">
        <f>_xlfn.XLOOKUP(B1166,Master[Product_Code],Master[Fabric])</f>
        <v>Lycra</v>
      </c>
      <c r="G1166" s="2" t="str">
        <f>_xlfn.XLOOKUP(B1166,Master[Product_Code],Master[Size])</f>
        <v>XXL</v>
      </c>
      <c r="H1166" s="2" t="str">
        <f>_xlfn.XLOOKUP(B1166,Master[Product_Code],Master[Color])</f>
        <v>Beige</v>
      </c>
      <c r="I1166" s="4">
        <f>_xlfn.XLOOKUP(B1166,Master[Product_Code],Master[Stock_Qty])</f>
        <v>4</v>
      </c>
      <c r="J1166" s="6">
        <f>SUMIFS(
  Sales_Entry[Qty],
  Sales_Entry[Product_Code], Stock_Table[[#This Row],[Product_Code]]
)</f>
        <v>3</v>
      </c>
      <c r="K1166" s="4">
        <f>SUMIFS(
  Exchange_Return[Qty],
  Exchange_Return[Product_Code], Stock_Table[[#This Row],[Product_Code]]
)</f>
        <v>0</v>
      </c>
      <c r="L1166" s="4">
        <f>I1166-J1166+K1166</f>
        <v>1</v>
      </c>
      <c r="M1166" s="2" t="str" cm="1">
        <f t="array" ref="M1166">_xlfn.IFS(L1166=0,"Out of Stock",L1166&gt;=2,"Limited Stock",L1166&lt;2,"In Stock")</f>
        <v>In Stock</v>
      </c>
    </row>
    <row r="1167" spans="2:13">
      <c r="B1167" s="2" t="s">
        <v>329</v>
      </c>
      <c r="C1167" s="5" t="str">
        <f>_xlfn.XLOOKUP(B1167,Master[Product_Code],Master[Category])</f>
        <v>Shirt</v>
      </c>
      <c r="D1167" s="2" t="str">
        <f>_xlfn.XLOOKUP(B1167,Master[Product_Code],Master[Brand])</f>
        <v>Thailand</v>
      </c>
      <c r="E1167" s="2" t="str">
        <f>_xlfn.XLOOKUP(B1167,Master[Product_Code],Master[Style])</f>
        <v>Partywear</v>
      </c>
      <c r="F1167" s="2" t="str">
        <f>_xlfn.XLOOKUP(B1167,Master[Product_Code],Master[Fabric])</f>
        <v>Cotton</v>
      </c>
      <c r="G1167" s="2" t="str">
        <f>_xlfn.XLOOKUP(B1167,Master[Product_Code],Master[Size])</f>
        <v>XXL</v>
      </c>
      <c r="H1167" s="2" t="str">
        <f>_xlfn.XLOOKUP(B1167,Master[Product_Code],Master[Color])</f>
        <v>Olive</v>
      </c>
      <c r="I1167" s="4">
        <f>_xlfn.XLOOKUP(B1167,Master[Product_Code],Master[Stock_Qty])</f>
        <v>4</v>
      </c>
      <c r="J1167" s="6">
        <f>SUMIFS(
  Sales_Entry[Qty],
  Sales_Entry[Product_Code], Stock_Table[[#This Row],[Product_Code]]
)</f>
        <v>2</v>
      </c>
      <c r="K1167" s="4">
        <f>SUMIFS(
  Exchange_Return[Qty],
  Exchange_Return[Product_Code], Stock_Table[[#This Row],[Product_Code]]
)</f>
        <v>0</v>
      </c>
      <c r="L1167" s="4">
        <f>I1167-J1167+K1167</f>
        <v>2</v>
      </c>
      <c r="M1167" s="2" t="str" cm="1">
        <f t="array" ref="M1167">_xlfn.IFS(L1167=0,"Out of Stock",L1167&gt;=2,"Limited Stock",L1167&lt;2,"In Stock")</f>
        <v>Limited Stock</v>
      </c>
    </row>
    <row r="1168" spans="2:13">
      <c r="B1168" s="2" t="s">
        <v>330</v>
      </c>
      <c r="C1168" s="5" t="str">
        <f>_xlfn.XLOOKUP(B1168,Master[Product_Code],Master[Category])</f>
        <v>Shirt</v>
      </c>
      <c r="D1168" s="2" t="str">
        <f>_xlfn.XLOOKUP(B1168,Master[Product_Code],Master[Brand])</f>
        <v>British</v>
      </c>
      <c r="E1168" s="2" t="str">
        <f>_xlfn.XLOOKUP(B1168,Master[Product_Code],Master[Style])</f>
        <v>Partywear</v>
      </c>
      <c r="F1168" s="2" t="str">
        <f>_xlfn.XLOOKUP(B1168,Master[Product_Code],Master[Fabric])</f>
        <v>Cotton</v>
      </c>
      <c r="G1168" s="2" t="str">
        <f>_xlfn.XLOOKUP(B1168,Master[Product_Code],Master[Size])</f>
        <v>S</v>
      </c>
      <c r="H1168" s="2" t="str">
        <f>_xlfn.XLOOKUP(B1168,Master[Product_Code],Master[Color])</f>
        <v>Navy Blue</v>
      </c>
      <c r="I1168" s="4">
        <f>_xlfn.XLOOKUP(B1168,Master[Product_Code],Master[Stock_Qty])</f>
        <v>3</v>
      </c>
      <c r="J1168" s="6">
        <f>SUMIFS(
  Sales_Entry[Qty],
  Sales_Entry[Product_Code], Stock_Table[[#This Row],[Product_Code]]
)</f>
        <v>0</v>
      </c>
      <c r="K1168" s="4">
        <f>SUMIFS(
  Exchange_Return[Qty],
  Exchange_Return[Product_Code], Stock_Table[[#This Row],[Product_Code]]
)</f>
        <v>0</v>
      </c>
      <c r="L1168" s="4">
        <f>I1168-J1168+K1168</f>
        <v>3</v>
      </c>
      <c r="M1168" s="2" t="str" cm="1">
        <f t="array" ref="M1168">_xlfn.IFS(L1168=0,"Out of Stock",L1168&gt;=2,"Limited Stock",L1168&lt;2,"In Stock")</f>
        <v>Limited Stock</v>
      </c>
    </row>
    <row r="1169" spans="2:13">
      <c r="B1169" s="2" t="s">
        <v>331</v>
      </c>
      <c r="C1169" s="5" t="str">
        <f>_xlfn.XLOOKUP(B1169,Master[Product_Code],Master[Category])</f>
        <v>Shirt</v>
      </c>
      <c r="D1169" s="2" t="str">
        <f>_xlfn.XLOOKUP(B1169,Master[Product_Code],Master[Brand])</f>
        <v>Thailand</v>
      </c>
      <c r="E1169" s="2" t="str">
        <f>_xlfn.XLOOKUP(B1169,Master[Product_Code],Master[Style])</f>
        <v>Partywear</v>
      </c>
      <c r="F1169" s="2" t="str">
        <f>_xlfn.XLOOKUP(B1169,Master[Product_Code],Master[Fabric])</f>
        <v>Lycra</v>
      </c>
      <c r="G1169" s="2" t="str">
        <f>_xlfn.XLOOKUP(B1169,Master[Product_Code],Master[Size])</f>
        <v>XXL</v>
      </c>
      <c r="H1169" s="2" t="str">
        <f>_xlfn.XLOOKUP(B1169,Master[Product_Code],Master[Color])</f>
        <v>Bottle Green</v>
      </c>
      <c r="I1169" s="4">
        <f>_xlfn.XLOOKUP(B1169,Master[Product_Code],Master[Stock_Qty])</f>
        <v>3</v>
      </c>
      <c r="J1169" s="6">
        <f>SUMIFS(
  Sales_Entry[Qty],
  Sales_Entry[Product_Code], Stock_Table[[#This Row],[Product_Code]]
)</f>
        <v>3</v>
      </c>
      <c r="K1169" s="4">
        <f>SUMIFS(
  Exchange_Return[Qty],
  Exchange_Return[Product_Code], Stock_Table[[#This Row],[Product_Code]]
)</f>
        <v>0</v>
      </c>
      <c r="L1169" s="4">
        <f>I1169-J1169+K1169</f>
        <v>0</v>
      </c>
      <c r="M1169" s="2" t="str" cm="1">
        <f t="array" ref="M1169">_xlfn.IFS(L1169=0,"Out of Stock",L1169&gt;=2,"Limited Stock",L1169&lt;2,"In Stock")</f>
        <v>Out of Stock</v>
      </c>
    </row>
    <row r="1170" spans="2:13">
      <c r="B1170" s="2" t="s">
        <v>332</v>
      </c>
      <c r="C1170" s="5" t="str">
        <f>_xlfn.XLOOKUP(B1170,Master[Product_Code],Master[Category])</f>
        <v>Shirt</v>
      </c>
      <c r="D1170" s="2" t="str">
        <f>_xlfn.XLOOKUP(B1170,Master[Product_Code],Master[Brand])</f>
        <v>H&amp;M</v>
      </c>
      <c r="E1170" s="2" t="str">
        <f>_xlfn.XLOOKUP(B1170,Master[Product_Code],Master[Style])</f>
        <v>Casual</v>
      </c>
      <c r="F1170" s="2" t="str">
        <f>_xlfn.XLOOKUP(B1170,Master[Product_Code],Master[Fabric])</f>
        <v>Cotton Blend</v>
      </c>
      <c r="G1170" s="2" t="str">
        <f>_xlfn.XLOOKUP(B1170,Master[Product_Code],Master[Size])</f>
        <v>XL</v>
      </c>
      <c r="H1170" s="2" t="str">
        <f>_xlfn.XLOOKUP(B1170,Master[Product_Code],Master[Color])</f>
        <v>Charcoal</v>
      </c>
      <c r="I1170" s="4">
        <f>_xlfn.XLOOKUP(B1170,Master[Product_Code],Master[Stock_Qty])</f>
        <v>6</v>
      </c>
      <c r="J1170" s="6">
        <f>SUMIFS(
  Sales_Entry[Qty],
  Sales_Entry[Product_Code], Stock_Table[[#This Row],[Product_Code]]
)</f>
        <v>2</v>
      </c>
      <c r="K1170" s="4">
        <f>SUMIFS(
  Exchange_Return[Qty],
  Exchange_Return[Product_Code], Stock_Table[[#This Row],[Product_Code]]
)</f>
        <v>0</v>
      </c>
      <c r="L1170" s="4">
        <f>I1170-J1170+K1170</f>
        <v>4</v>
      </c>
      <c r="M1170" s="2" t="str" cm="1">
        <f t="array" ref="M1170">_xlfn.IFS(L1170=0,"Out of Stock",L1170&gt;=2,"Limited Stock",L1170&lt;2,"In Stock")</f>
        <v>Limited Stock</v>
      </c>
    </row>
    <row r="1171" spans="2:13">
      <c r="B1171" s="2" t="s">
        <v>333</v>
      </c>
      <c r="C1171" s="5" t="str">
        <f>_xlfn.XLOOKUP(B1171,Master[Product_Code],Master[Category])</f>
        <v>Shirt</v>
      </c>
      <c r="D1171" s="2" t="str">
        <f>_xlfn.XLOOKUP(B1171,Master[Product_Code],Master[Brand])</f>
        <v>Max</v>
      </c>
      <c r="E1171" s="2" t="str">
        <f>_xlfn.XLOOKUP(B1171,Master[Product_Code],Master[Style])</f>
        <v>Formal</v>
      </c>
      <c r="F1171" s="2" t="str">
        <f>_xlfn.XLOOKUP(B1171,Master[Product_Code],Master[Fabric])</f>
        <v>Cotton</v>
      </c>
      <c r="G1171" s="2" t="str">
        <f>_xlfn.XLOOKUP(B1171,Master[Product_Code],Master[Size])</f>
        <v>M</v>
      </c>
      <c r="H1171" s="2" t="str">
        <f>_xlfn.XLOOKUP(B1171,Master[Product_Code],Master[Color])</f>
        <v>Cream</v>
      </c>
      <c r="I1171" s="4">
        <f>_xlfn.XLOOKUP(B1171,Master[Product_Code],Master[Stock_Qty])</f>
        <v>6</v>
      </c>
      <c r="J1171" s="6">
        <f>SUMIFS(
  Sales_Entry[Qty],
  Sales_Entry[Product_Code], Stock_Table[[#This Row],[Product_Code]]
)</f>
        <v>1</v>
      </c>
      <c r="K1171" s="4">
        <f>SUMIFS(
  Exchange_Return[Qty],
  Exchange_Return[Product_Code], Stock_Table[[#This Row],[Product_Code]]
)</f>
        <v>0</v>
      </c>
      <c r="L1171" s="4">
        <f>I1171-J1171+K1171</f>
        <v>5</v>
      </c>
      <c r="M1171" s="2" t="str" cm="1">
        <f t="array" ref="M1171">_xlfn.IFS(L1171=0,"Out of Stock",L1171&gt;=2,"Limited Stock",L1171&lt;2,"In Stock")</f>
        <v>Limited Stock</v>
      </c>
    </row>
    <row r="1172" spans="2:13">
      <c r="B1172" s="2" t="s">
        <v>334</v>
      </c>
      <c r="C1172" s="5" t="str">
        <f>_xlfn.XLOOKUP(B1172,Master[Product_Code],Master[Category])</f>
        <v>Shirt</v>
      </c>
      <c r="D1172" s="2" t="str">
        <f>_xlfn.XLOOKUP(B1172,Master[Product_Code],Master[Brand])</f>
        <v>Max</v>
      </c>
      <c r="E1172" s="2" t="str">
        <f>_xlfn.XLOOKUP(B1172,Master[Product_Code],Master[Style])</f>
        <v>Formal</v>
      </c>
      <c r="F1172" s="2" t="str">
        <f>_xlfn.XLOOKUP(B1172,Master[Product_Code],Master[Fabric])</f>
        <v>Cotton Blend</v>
      </c>
      <c r="G1172" s="2" t="str">
        <f>_xlfn.XLOOKUP(B1172,Master[Product_Code],Master[Size])</f>
        <v>XXL</v>
      </c>
      <c r="H1172" s="2" t="str">
        <f>_xlfn.XLOOKUP(B1172,Master[Product_Code],Master[Color])</f>
        <v>Maroon</v>
      </c>
      <c r="I1172" s="4">
        <f>_xlfn.XLOOKUP(B1172,Master[Product_Code],Master[Stock_Qty])</f>
        <v>5</v>
      </c>
      <c r="J1172" s="6">
        <f>SUMIFS(
  Sales_Entry[Qty],
  Sales_Entry[Product_Code], Stock_Table[[#This Row],[Product_Code]]
)</f>
        <v>2</v>
      </c>
      <c r="K1172" s="4">
        <f>SUMIFS(
  Exchange_Return[Qty],
  Exchange_Return[Product_Code], Stock_Table[[#This Row],[Product_Code]]
)</f>
        <v>0</v>
      </c>
      <c r="L1172" s="4">
        <f>I1172-J1172+K1172</f>
        <v>3</v>
      </c>
      <c r="M1172" s="2" t="str" cm="1">
        <f t="array" ref="M1172">_xlfn.IFS(L1172=0,"Out of Stock",L1172&gt;=2,"Limited Stock",L1172&lt;2,"In Stock")</f>
        <v>Limited Stock</v>
      </c>
    </row>
    <row r="1173" spans="2:13">
      <c r="B1173" s="2" t="s">
        <v>335</v>
      </c>
      <c r="C1173" s="5" t="str">
        <f>_xlfn.XLOOKUP(B1173,Master[Product_Code],Master[Category])</f>
        <v>Shirt</v>
      </c>
      <c r="D1173" s="2" t="str">
        <f>_xlfn.XLOOKUP(B1173,Master[Product_Code],Master[Brand])</f>
        <v>British</v>
      </c>
      <c r="E1173" s="2" t="str">
        <f>_xlfn.XLOOKUP(B1173,Master[Product_Code],Master[Style])</f>
        <v>Partywear</v>
      </c>
      <c r="F1173" s="2" t="str">
        <f>_xlfn.XLOOKUP(B1173,Master[Product_Code],Master[Fabric])</f>
        <v>Cotton Blend</v>
      </c>
      <c r="G1173" s="2" t="str">
        <f>_xlfn.XLOOKUP(B1173,Master[Product_Code],Master[Size])</f>
        <v>XL</v>
      </c>
      <c r="H1173" s="2" t="str">
        <f>_xlfn.XLOOKUP(B1173,Master[Product_Code],Master[Color])</f>
        <v>Maroon</v>
      </c>
      <c r="I1173" s="4">
        <f>_xlfn.XLOOKUP(B1173,Master[Product_Code],Master[Stock_Qty])</f>
        <v>5</v>
      </c>
      <c r="J1173" s="6">
        <f>SUMIFS(
  Sales_Entry[Qty],
  Sales_Entry[Product_Code], Stock_Table[[#This Row],[Product_Code]]
)</f>
        <v>1</v>
      </c>
      <c r="K1173" s="4">
        <f>SUMIFS(
  Exchange_Return[Qty],
  Exchange_Return[Product_Code], Stock_Table[[#This Row],[Product_Code]]
)</f>
        <v>0</v>
      </c>
      <c r="L1173" s="4">
        <f>I1173-J1173+K1173</f>
        <v>4</v>
      </c>
      <c r="M1173" s="2" t="str" cm="1">
        <f t="array" ref="M1173">_xlfn.IFS(L1173=0,"Out of Stock",L1173&gt;=2,"Limited Stock",L1173&lt;2,"In Stock")</f>
        <v>Limited Stock</v>
      </c>
    </row>
    <row r="1174" spans="2:13">
      <c r="B1174" s="2" t="s">
        <v>336</v>
      </c>
      <c r="C1174" s="5" t="str">
        <f>_xlfn.XLOOKUP(B1174,Master[Product_Code],Master[Category])</f>
        <v>Shirt</v>
      </c>
      <c r="D1174" s="2" t="str">
        <f>_xlfn.XLOOKUP(B1174,Master[Product_Code],Master[Brand])</f>
        <v>H&amp;M</v>
      </c>
      <c r="E1174" s="2" t="str">
        <f>_xlfn.XLOOKUP(B1174,Master[Product_Code],Master[Style])</f>
        <v>Formal</v>
      </c>
      <c r="F1174" s="2" t="str">
        <f>_xlfn.XLOOKUP(B1174,Master[Product_Code],Master[Fabric])</f>
        <v>Cotton Blend</v>
      </c>
      <c r="G1174" s="2" t="str">
        <f>_xlfn.XLOOKUP(B1174,Master[Product_Code],Master[Size])</f>
        <v>M</v>
      </c>
      <c r="H1174" s="2" t="str">
        <f>_xlfn.XLOOKUP(B1174,Master[Product_Code],Master[Color])</f>
        <v>Cream</v>
      </c>
      <c r="I1174" s="4">
        <f>_xlfn.XLOOKUP(B1174,Master[Product_Code],Master[Stock_Qty])</f>
        <v>3</v>
      </c>
      <c r="J1174" s="6">
        <f>SUMIFS(
  Sales_Entry[Qty],
  Sales_Entry[Product_Code], Stock_Table[[#This Row],[Product_Code]]
)</f>
        <v>0</v>
      </c>
      <c r="K1174" s="4">
        <f>SUMIFS(
  Exchange_Return[Qty],
  Exchange_Return[Product_Code], Stock_Table[[#This Row],[Product_Code]]
)</f>
        <v>0</v>
      </c>
      <c r="L1174" s="4">
        <f>I1174-J1174+K1174</f>
        <v>3</v>
      </c>
      <c r="M1174" s="2" t="str" cm="1">
        <f t="array" ref="M1174">_xlfn.IFS(L1174=0,"Out of Stock",L1174&gt;=2,"Limited Stock",L1174&lt;2,"In Stock")</f>
        <v>Limited Stock</v>
      </c>
    </row>
    <row r="1175" spans="2:13">
      <c r="B1175" s="2" t="s">
        <v>337</v>
      </c>
      <c r="C1175" s="5" t="str">
        <f>_xlfn.XLOOKUP(B1175,Master[Product_Code],Master[Category])</f>
        <v>Shirt</v>
      </c>
      <c r="D1175" s="2" t="str">
        <f>_xlfn.XLOOKUP(B1175,Master[Product_Code],Master[Brand])</f>
        <v>Max</v>
      </c>
      <c r="E1175" s="2" t="str">
        <f>_xlfn.XLOOKUP(B1175,Master[Product_Code],Master[Style])</f>
        <v>Formal</v>
      </c>
      <c r="F1175" s="2" t="str">
        <f>_xlfn.XLOOKUP(B1175,Master[Product_Code],Master[Fabric])</f>
        <v>Lycra</v>
      </c>
      <c r="G1175" s="2" t="str">
        <f>_xlfn.XLOOKUP(B1175,Master[Product_Code],Master[Size])</f>
        <v>S</v>
      </c>
      <c r="H1175" s="2" t="str">
        <f>_xlfn.XLOOKUP(B1175,Master[Product_Code],Master[Color])</f>
        <v>White</v>
      </c>
      <c r="I1175" s="4">
        <f>_xlfn.XLOOKUP(B1175,Master[Product_Code],Master[Stock_Qty])</f>
        <v>5</v>
      </c>
      <c r="J1175" s="6">
        <f>SUMIFS(
  Sales_Entry[Qty],
  Sales_Entry[Product_Code], Stock_Table[[#This Row],[Product_Code]]
)</f>
        <v>0</v>
      </c>
      <c r="K1175" s="4">
        <f>SUMIFS(
  Exchange_Return[Qty],
  Exchange_Return[Product_Code], Stock_Table[[#This Row],[Product_Code]]
)</f>
        <v>0</v>
      </c>
      <c r="L1175" s="4">
        <f>I1175-J1175+K1175</f>
        <v>5</v>
      </c>
      <c r="M1175" s="2" t="str" cm="1">
        <f t="array" ref="M1175">_xlfn.IFS(L1175=0,"Out of Stock",L1175&gt;=2,"Limited Stock",L1175&lt;2,"In Stock")</f>
        <v>Limited Stock</v>
      </c>
    </row>
    <row r="1176" spans="2:13">
      <c r="B1176" s="2" t="s">
        <v>338</v>
      </c>
      <c r="C1176" s="5" t="str">
        <f>_xlfn.XLOOKUP(B1176,Master[Product_Code],Master[Category])</f>
        <v>Shirt</v>
      </c>
      <c r="D1176" s="2" t="str">
        <f>_xlfn.XLOOKUP(B1176,Master[Product_Code],Master[Brand])</f>
        <v>Luke &amp; Burg</v>
      </c>
      <c r="E1176" s="2" t="str">
        <f>_xlfn.XLOOKUP(B1176,Master[Product_Code],Master[Style])</f>
        <v>Formal</v>
      </c>
      <c r="F1176" s="2" t="str">
        <f>_xlfn.XLOOKUP(B1176,Master[Product_Code],Master[Fabric])</f>
        <v>Lycra</v>
      </c>
      <c r="G1176" s="2" t="str">
        <f>_xlfn.XLOOKUP(B1176,Master[Product_Code],Master[Size])</f>
        <v>L</v>
      </c>
      <c r="H1176" s="2" t="str">
        <f>_xlfn.XLOOKUP(B1176,Master[Product_Code],Master[Color])</f>
        <v>Light Grey</v>
      </c>
      <c r="I1176" s="4">
        <f>_xlfn.XLOOKUP(B1176,Master[Product_Code],Master[Stock_Qty])</f>
        <v>5</v>
      </c>
      <c r="J1176" s="6">
        <f>SUMIFS(
  Sales_Entry[Qty],
  Sales_Entry[Product_Code], Stock_Table[[#This Row],[Product_Code]]
)</f>
        <v>4</v>
      </c>
      <c r="K1176" s="4">
        <f>SUMIFS(
  Exchange_Return[Qty],
  Exchange_Return[Product_Code], Stock_Table[[#This Row],[Product_Code]]
)</f>
        <v>0</v>
      </c>
      <c r="L1176" s="4">
        <f>I1176-J1176+K1176</f>
        <v>1</v>
      </c>
      <c r="M1176" s="2" t="str" cm="1">
        <f t="array" ref="M1176">_xlfn.IFS(L1176=0,"Out of Stock",L1176&gt;=2,"Limited Stock",L1176&lt;2,"In Stock")</f>
        <v>In Stock</v>
      </c>
    </row>
    <row r="1177" spans="2:13">
      <c r="B1177" s="2" t="s">
        <v>339</v>
      </c>
      <c r="C1177" s="5" t="str">
        <f>_xlfn.XLOOKUP(B1177,Master[Product_Code],Master[Category])</f>
        <v>Shirt</v>
      </c>
      <c r="D1177" s="2" t="str">
        <f>_xlfn.XLOOKUP(B1177,Master[Product_Code],Master[Brand])</f>
        <v>USD</v>
      </c>
      <c r="E1177" s="2" t="str">
        <f>_xlfn.XLOOKUP(B1177,Master[Product_Code],Master[Style])</f>
        <v>Casual</v>
      </c>
      <c r="F1177" s="2" t="str">
        <f>_xlfn.XLOOKUP(B1177,Master[Product_Code],Master[Fabric])</f>
        <v>Polyester</v>
      </c>
      <c r="G1177" s="2" t="str">
        <f>_xlfn.XLOOKUP(B1177,Master[Product_Code],Master[Size])</f>
        <v>XL</v>
      </c>
      <c r="H1177" s="2" t="str">
        <f>_xlfn.XLOOKUP(B1177,Master[Product_Code],Master[Color])</f>
        <v>Brown</v>
      </c>
      <c r="I1177" s="4">
        <f>_xlfn.XLOOKUP(B1177,Master[Product_Code],Master[Stock_Qty])</f>
        <v>6</v>
      </c>
      <c r="J1177" s="6">
        <f>SUMIFS(
  Sales_Entry[Qty],
  Sales_Entry[Product_Code], Stock_Table[[#This Row],[Product_Code]]
)</f>
        <v>0</v>
      </c>
      <c r="K1177" s="4">
        <f>SUMIFS(
  Exchange_Return[Qty],
  Exchange_Return[Product_Code], Stock_Table[[#This Row],[Product_Code]]
)</f>
        <v>0</v>
      </c>
      <c r="L1177" s="4">
        <f>I1177-J1177+K1177</f>
        <v>6</v>
      </c>
      <c r="M1177" s="2" t="str" cm="1">
        <f t="array" ref="M1177">_xlfn.IFS(L1177=0,"Out of Stock",L1177&gt;=2,"Limited Stock",L1177&lt;2,"In Stock")</f>
        <v>Limited Stock</v>
      </c>
    </row>
    <row r="1178" spans="2:13">
      <c r="B1178" s="2" t="s">
        <v>340</v>
      </c>
      <c r="C1178" s="5" t="str">
        <f>_xlfn.XLOOKUP(B1178,Master[Product_Code],Master[Category])</f>
        <v>Shirt</v>
      </c>
      <c r="D1178" s="2" t="str">
        <f>_xlfn.XLOOKUP(B1178,Master[Product_Code],Master[Brand])</f>
        <v>L7</v>
      </c>
      <c r="E1178" s="2" t="str">
        <f>_xlfn.XLOOKUP(B1178,Master[Product_Code],Master[Style])</f>
        <v>Casual</v>
      </c>
      <c r="F1178" s="2" t="str">
        <f>_xlfn.XLOOKUP(B1178,Master[Product_Code],Master[Fabric])</f>
        <v>Polyester</v>
      </c>
      <c r="G1178" s="2" t="str">
        <f>_xlfn.XLOOKUP(B1178,Master[Product_Code],Master[Size])</f>
        <v>M</v>
      </c>
      <c r="H1178" s="2" t="str">
        <f>_xlfn.XLOOKUP(B1178,Master[Product_Code],Master[Color])</f>
        <v>Grey</v>
      </c>
      <c r="I1178" s="4">
        <f>_xlfn.XLOOKUP(B1178,Master[Product_Code],Master[Stock_Qty])</f>
        <v>5</v>
      </c>
      <c r="J1178" s="6">
        <f>SUMIFS(
  Sales_Entry[Qty],
  Sales_Entry[Product_Code], Stock_Table[[#This Row],[Product_Code]]
)</f>
        <v>3</v>
      </c>
      <c r="K1178" s="4">
        <f>SUMIFS(
  Exchange_Return[Qty],
  Exchange_Return[Product_Code], Stock_Table[[#This Row],[Product_Code]]
)</f>
        <v>0</v>
      </c>
      <c r="L1178" s="4">
        <f>I1178-J1178+K1178</f>
        <v>2</v>
      </c>
      <c r="M1178" s="2" t="str" cm="1">
        <f t="array" ref="M1178">_xlfn.IFS(L1178=0,"Out of Stock",L1178&gt;=2,"Limited Stock",L1178&lt;2,"In Stock")</f>
        <v>Limited Stock</v>
      </c>
    </row>
    <row r="1179" spans="2:13">
      <c r="B1179" s="2" t="s">
        <v>341</v>
      </c>
      <c r="C1179" s="5" t="str">
        <f>_xlfn.XLOOKUP(B1179,Master[Product_Code],Master[Category])</f>
        <v>Shirt</v>
      </c>
      <c r="D1179" s="2" t="str">
        <f>_xlfn.XLOOKUP(B1179,Master[Product_Code],Master[Brand])</f>
        <v>Zara</v>
      </c>
      <c r="E1179" s="2" t="str">
        <f>_xlfn.XLOOKUP(B1179,Master[Product_Code],Master[Style])</f>
        <v>Casual</v>
      </c>
      <c r="F1179" s="2" t="str">
        <f>_xlfn.XLOOKUP(B1179,Master[Product_Code],Master[Fabric])</f>
        <v>Polyester</v>
      </c>
      <c r="G1179" s="2" t="str">
        <f>_xlfn.XLOOKUP(B1179,Master[Product_Code],Master[Size])</f>
        <v>XXL</v>
      </c>
      <c r="H1179" s="2" t="str">
        <f>_xlfn.XLOOKUP(B1179,Master[Product_Code],Master[Color])</f>
        <v>Peach</v>
      </c>
      <c r="I1179" s="4">
        <f>_xlfn.XLOOKUP(B1179,Master[Product_Code],Master[Stock_Qty])</f>
        <v>5</v>
      </c>
      <c r="J1179" s="6">
        <f>SUMIFS(
  Sales_Entry[Qty],
  Sales_Entry[Product_Code], Stock_Table[[#This Row],[Product_Code]]
)</f>
        <v>5</v>
      </c>
      <c r="K1179" s="4">
        <f>SUMIFS(
  Exchange_Return[Qty],
  Exchange_Return[Product_Code], Stock_Table[[#This Row],[Product_Code]]
)</f>
        <v>0</v>
      </c>
      <c r="L1179" s="4">
        <f>I1179-J1179+K1179</f>
        <v>0</v>
      </c>
      <c r="M1179" s="2" t="str" cm="1">
        <f t="array" ref="M1179">_xlfn.IFS(L1179=0,"Out of Stock",L1179&gt;=2,"Limited Stock",L1179&lt;2,"In Stock")</f>
        <v>Out of Stock</v>
      </c>
    </row>
    <row r="1180" spans="2:13">
      <c r="B1180" s="2" t="s">
        <v>342</v>
      </c>
      <c r="C1180" s="5" t="str">
        <f>_xlfn.XLOOKUP(B1180,Master[Product_Code],Master[Category])</f>
        <v>Shirt</v>
      </c>
      <c r="D1180" s="2" t="str">
        <f>_xlfn.XLOOKUP(B1180,Master[Product_Code],Master[Brand])</f>
        <v>Zara</v>
      </c>
      <c r="E1180" s="2" t="str">
        <f>_xlfn.XLOOKUP(B1180,Master[Product_Code],Master[Style])</f>
        <v>Formal</v>
      </c>
      <c r="F1180" s="2" t="str">
        <f>_xlfn.XLOOKUP(B1180,Master[Product_Code],Master[Fabric])</f>
        <v>Polyester</v>
      </c>
      <c r="G1180" s="2" t="str">
        <f>_xlfn.XLOOKUP(B1180,Master[Product_Code],Master[Size])</f>
        <v>M</v>
      </c>
      <c r="H1180" s="2" t="str">
        <f>_xlfn.XLOOKUP(B1180,Master[Product_Code],Master[Color])</f>
        <v>Beige</v>
      </c>
      <c r="I1180" s="4">
        <f>_xlfn.XLOOKUP(B1180,Master[Product_Code],Master[Stock_Qty])</f>
        <v>5</v>
      </c>
      <c r="J1180" s="6">
        <f>SUMIFS(
  Sales_Entry[Qty],
  Sales_Entry[Product_Code], Stock_Table[[#This Row],[Product_Code]]
)</f>
        <v>0</v>
      </c>
      <c r="K1180" s="4">
        <f>SUMIFS(
  Exchange_Return[Qty],
  Exchange_Return[Product_Code], Stock_Table[[#This Row],[Product_Code]]
)</f>
        <v>0</v>
      </c>
      <c r="L1180" s="4">
        <f>I1180-J1180+K1180</f>
        <v>5</v>
      </c>
      <c r="M1180" s="2" t="str" cm="1">
        <f t="array" ref="M1180">_xlfn.IFS(L1180=0,"Out of Stock",L1180&gt;=2,"Limited Stock",L1180&lt;2,"In Stock")</f>
        <v>Limited Stock</v>
      </c>
    </row>
    <row r="1181" spans="2:13">
      <c r="B1181" s="2" t="s">
        <v>343</v>
      </c>
      <c r="C1181" s="5" t="str">
        <f>_xlfn.XLOOKUP(B1181,Master[Product_Code],Master[Category])</f>
        <v>Shirt</v>
      </c>
      <c r="D1181" s="2" t="str">
        <f>_xlfn.XLOOKUP(B1181,Master[Product_Code],Master[Brand])</f>
        <v>Luke &amp; Burg</v>
      </c>
      <c r="E1181" s="2" t="str">
        <f>_xlfn.XLOOKUP(B1181,Master[Product_Code],Master[Style])</f>
        <v>Casual</v>
      </c>
      <c r="F1181" s="2" t="str">
        <f>_xlfn.XLOOKUP(B1181,Master[Product_Code],Master[Fabric])</f>
        <v>Cotton</v>
      </c>
      <c r="G1181" s="2" t="str">
        <f>_xlfn.XLOOKUP(B1181,Master[Product_Code],Master[Size])</f>
        <v>XL</v>
      </c>
      <c r="H1181" s="2" t="str">
        <f>_xlfn.XLOOKUP(B1181,Master[Product_Code],Master[Color])</f>
        <v>White</v>
      </c>
      <c r="I1181" s="4">
        <f>_xlfn.XLOOKUP(B1181,Master[Product_Code],Master[Stock_Qty])</f>
        <v>4</v>
      </c>
      <c r="J1181" s="6">
        <f>SUMIFS(
  Sales_Entry[Qty],
  Sales_Entry[Product_Code], Stock_Table[[#This Row],[Product_Code]]
)</f>
        <v>2</v>
      </c>
      <c r="K1181" s="4">
        <f>SUMIFS(
  Exchange_Return[Qty],
  Exchange_Return[Product_Code], Stock_Table[[#This Row],[Product_Code]]
)</f>
        <v>0</v>
      </c>
      <c r="L1181" s="4">
        <f>I1181-J1181+K1181</f>
        <v>2</v>
      </c>
      <c r="M1181" s="2" t="str" cm="1">
        <f t="array" ref="M1181">_xlfn.IFS(L1181=0,"Out of Stock",L1181&gt;=2,"Limited Stock",L1181&lt;2,"In Stock")</f>
        <v>Limited Stock</v>
      </c>
    </row>
    <row r="1182" spans="2:13">
      <c r="B1182" s="2" t="s">
        <v>344</v>
      </c>
      <c r="C1182" s="5" t="str">
        <f>_xlfn.XLOOKUP(B1182,Master[Product_Code],Master[Category])</f>
        <v>Shirt</v>
      </c>
      <c r="D1182" s="2" t="str">
        <f>_xlfn.XLOOKUP(B1182,Master[Product_Code],Master[Brand])</f>
        <v>H&amp;M</v>
      </c>
      <c r="E1182" s="2" t="str">
        <f>_xlfn.XLOOKUP(B1182,Master[Product_Code],Master[Style])</f>
        <v>Casual</v>
      </c>
      <c r="F1182" s="2" t="str">
        <f>_xlfn.XLOOKUP(B1182,Master[Product_Code],Master[Fabric])</f>
        <v>Cotton</v>
      </c>
      <c r="G1182" s="2" t="str">
        <f>_xlfn.XLOOKUP(B1182,Master[Product_Code],Master[Size])</f>
        <v>XL</v>
      </c>
      <c r="H1182" s="2" t="str">
        <f>_xlfn.XLOOKUP(B1182,Master[Product_Code],Master[Color])</f>
        <v>Wine</v>
      </c>
      <c r="I1182" s="4">
        <f>_xlfn.XLOOKUP(B1182,Master[Product_Code],Master[Stock_Qty])</f>
        <v>6</v>
      </c>
      <c r="J1182" s="6">
        <f>SUMIFS(
  Sales_Entry[Qty],
  Sales_Entry[Product_Code], Stock_Table[[#This Row],[Product_Code]]
)</f>
        <v>4</v>
      </c>
      <c r="K1182" s="4">
        <f>SUMIFS(
  Exchange_Return[Qty],
  Exchange_Return[Product_Code], Stock_Table[[#This Row],[Product_Code]]
)</f>
        <v>0</v>
      </c>
      <c r="L1182" s="4">
        <f>I1182-J1182+K1182</f>
        <v>2</v>
      </c>
      <c r="M1182" s="2" t="str" cm="1">
        <f t="array" ref="M1182">_xlfn.IFS(L1182=0,"Out of Stock",L1182&gt;=2,"Limited Stock",L1182&lt;2,"In Stock")</f>
        <v>Limited Stock</v>
      </c>
    </row>
    <row r="1183" spans="2:13">
      <c r="B1183" s="2" t="s">
        <v>345</v>
      </c>
      <c r="C1183" s="5" t="str">
        <f>_xlfn.XLOOKUP(B1183,Master[Product_Code],Master[Category])</f>
        <v>Shirt</v>
      </c>
      <c r="D1183" s="2" t="str">
        <f>_xlfn.XLOOKUP(B1183,Master[Product_Code],Master[Brand])</f>
        <v>H&amp;M</v>
      </c>
      <c r="E1183" s="2" t="str">
        <f>_xlfn.XLOOKUP(B1183,Master[Product_Code],Master[Style])</f>
        <v>Casual</v>
      </c>
      <c r="F1183" s="2" t="str">
        <f>_xlfn.XLOOKUP(B1183,Master[Product_Code],Master[Fabric])</f>
        <v>Cotton</v>
      </c>
      <c r="G1183" s="2" t="str">
        <f>_xlfn.XLOOKUP(B1183,Master[Product_Code],Master[Size])</f>
        <v>M</v>
      </c>
      <c r="H1183" s="2" t="str">
        <f>_xlfn.XLOOKUP(B1183,Master[Product_Code],Master[Color])</f>
        <v>Sky Blue</v>
      </c>
      <c r="I1183" s="4">
        <f>_xlfn.XLOOKUP(B1183,Master[Product_Code],Master[Stock_Qty])</f>
        <v>6</v>
      </c>
      <c r="J1183" s="6">
        <f>SUMIFS(
  Sales_Entry[Qty],
  Sales_Entry[Product_Code], Stock_Table[[#This Row],[Product_Code]]
)</f>
        <v>1</v>
      </c>
      <c r="K1183" s="4">
        <f>SUMIFS(
  Exchange_Return[Qty],
  Exchange_Return[Product_Code], Stock_Table[[#This Row],[Product_Code]]
)</f>
        <v>0</v>
      </c>
      <c r="L1183" s="4">
        <f>I1183-J1183+K1183</f>
        <v>5</v>
      </c>
      <c r="M1183" s="2" t="str" cm="1">
        <f t="array" ref="M1183">_xlfn.IFS(L1183=0,"Out of Stock",L1183&gt;=2,"Limited Stock",L1183&lt;2,"In Stock")</f>
        <v>Limited Stock</v>
      </c>
    </row>
    <row r="1184" spans="2:13">
      <c r="B1184" s="2" t="s">
        <v>346</v>
      </c>
      <c r="C1184" s="5" t="str">
        <f>_xlfn.XLOOKUP(B1184,Master[Product_Code],Master[Category])</f>
        <v>Shirt</v>
      </c>
      <c r="D1184" s="2" t="str">
        <f>_xlfn.XLOOKUP(B1184,Master[Product_Code],Master[Brand])</f>
        <v>British</v>
      </c>
      <c r="E1184" s="2" t="str">
        <f>_xlfn.XLOOKUP(B1184,Master[Product_Code],Master[Style])</f>
        <v>Partywear</v>
      </c>
      <c r="F1184" s="2" t="str">
        <f>_xlfn.XLOOKUP(B1184,Master[Product_Code],Master[Fabric])</f>
        <v>Cotton Blend</v>
      </c>
      <c r="G1184" s="2" t="str">
        <f>_xlfn.XLOOKUP(B1184,Master[Product_Code],Master[Size])</f>
        <v>M</v>
      </c>
      <c r="H1184" s="2" t="str">
        <f>_xlfn.XLOOKUP(B1184,Master[Product_Code],Master[Color])</f>
        <v>Grey</v>
      </c>
      <c r="I1184" s="4">
        <f>_xlfn.XLOOKUP(B1184,Master[Product_Code],Master[Stock_Qty])</f>
        <v>6</v>
      </c>
      <c r="J1184" s="6">
        <f>SUMIFS(
  Sales_Entry[Qty],
  Sales_Entry[Product_Code], Stock_Table[[#This Row],[Product_Code]]
)</f>
        <v>4</v>
      </c>
      <c r="K1184" s="4">
        <f>SUMIFS(
  Exchange_Return[Qty],
  Exchange_Return[Product_Code], Stock_Table[[#This Row],[Product_Code]]
)</f>
        <v>0</v>
      </c>
      <c r="L1184" s="4">
        <f>I1184-J1184+K1184</f>
        <v>2</v>
      </c>
      <c r="M1184" s="2" t="str" cm="1">
        <f t="array" ref="M1184">_xlfn.IFS(L1184=0,"Out of Stock",L1184&gt;=2,"Limited Stock",L1184&lt;2,"In Stock")</f>
        <v>Limited Stock</v>
      </c>
    </row>
    <row r="1185" spans="2:13">
      <c r="B1185" s="2" t="s">
        <v>347</v>
      </c>
      <c r="C1185" s="5" t="str">
        <f>_xlfn.XLOOKUP(B1185,Master[Product_Code],Master[Category])</f>
        <v>Shirt</v>
      </c>
      <c r="D1185" s="2" t="str">
        <f>_xlfn.XLOOKUP(B1185,Master[Product_Code],Master[Brand])</f>
        <v>Zara</v>
      </c>
      <c r="E1185" s="2" t="str">
        <f>_xlfn.XLOOKUP(B1185,Master[Product_Code],Master[Style])</f>
        <v>Formal</v>
      </c>
      <c r="F1185" s="2" t="str">
        <f>_xlfn.XLOOKUP(B1185,Master[Product_Code],Master[Fabric])</f>
        <v>Cotton</v>
      </c>
      <c r="G1185" s="2" t="str">
        <f>_xlfn.XLOOKUP(B1185,Master[Product_Code],Master[Size])</f>
        <v>M</v>
      </c>
      <c r="H1185" s="2" t="str">
        <f>_xlfn.XLOOKUP(B1185,Master[Product_Code],Master[Color])</f>
        <v>Mustard</v>
      </c>
      <c r="I1185" s="4">
        <f>_xlfn.XLOOKUP(B1185,Master[Product_Code],Master[Stock_Qty])</f>
        <v>6</v>
      </c>
      <c r="J1185" s="6">
        <f>SUMIFS(
  Sales_Entry[Qty],
  Sales_Entry[Product_Code], Stock_Table[[#This Row],[Product_Code]]
)</f>
        <v>2</v>
      </c>
      <c r="K1185" s="4">
        <f>SUMIFS(
  Exchange_Return[Qty],
  Exchange_Return[Product_Code], Stock_Table[[#This Row],[Product_Code]]
)</f>
        <v>0</v>
      </c>
      <c r="L1185" s="4">
        <f>I1185-J1185+K1185</f>
        <v>4</v>
      </c>
      <c r="M1185" s="2" t="str" cm="1">
        <f t="array" ref="M1185">_xlfn.IFS(L1185=0,"Out of Stock",L1185&gt;=2,"Limited Stock",L1185&lt;2,"In Stock")</f>
        <v>Limited Stock</v>
      </c>
    </row>
    <row r="1186" spans="2:13">
      <c r="B1186" s="2" t="s">
        <v>348</v>
      </c>
      <c r="C1186" s="5" t="str">
        <f>_xlfn.XLOOKUP(B1186,Master[Product_Code],Master[Category])</f>
        <v>Shirt</v>
      </c>
      <c r="D1186" s="2" t="str">
        <f>_xlfn.XLOOKUP(B1186,Master[Product_Code],Master[Brand])</f>
        <v>Max</v>
      </c>
      <c r="E1186" s="2" t="str">
        <f>_xlfn.XLOOKUP(B1186,Master[Product_Code],Master[Style])</f>
        <v>Formal</v>
      </c>
      <c r="F1186" s="2" t="str">
        <f>_xlfn.XLOOKUP(B1186,Master[Product_Code],Master[Fabric])</f>
        <v>Lycra</v>
      </c>
      <c r="G1186" s="2" t="str">
        <f>_xlfn.XLOOKUP(B1186,Master[Product_Code],Master[Size])</f>
        <v>L</v>
      </c>
      <c r="H1186" s="2" t="str">
        <f>_xlfn.XLOOKUP(B1186,Master[Product_Code],Master[Color])</f>
        <v>Royal Blue</v>
      </c>
      <c r="I1186" s="4">
        <f>_xlfn.XLOOKUP(B1186,Master[Product_Code],Master[Stock_Qty])</f>
        <v>5</v>
      </c>
      <c r="J1186" s="6">
        <f>SUMIFS(
  Sales_Entry[Qty],
  Sales_Entry[Product_Code], Stock_Table[[#This Row],[Product_Code]]
)</f>
        <v>1</v>
      </c>
      <c r="K1186" s="4">
        <f>SUMIFS(
  Exchange_Return[Qty],
  Exchange_Return[Product_Code], Stock_Table[[#This Row],[Product_Code]]
)</f>
        <v>0</v>
      </c>
      <c r="L1186" s="4">
        <f>I1186-J1186+K1186</f>
        <v>4</v>
      </c>
      <c r="M1186" s="2" t="str" cm="1">
        <f t="array" ref="M1186">_xlfn.IFS(L1186=0,"Out of Stock",L1186&gt;=2,"Limited Stock",L1186&lt;2,"In Stock")</f>
        <v>Limited Stock</v>
      </c>
    </row>
    <row r="1187" spans="2:13">
      <c r="B1187" s="2" t="s">
        <v>349</v>
      </c>
      <c r="C1187" s="5" t="str">
        <f>_xlfn.XLOOKUP(B1187,Master[Product_Code],Master[Category])</f>
        <v>Shirt</v>
      </c>
      <c r="D1187" s="2" t="str">
        <f>_xlfn.XLOOKUP(B1187,Master[Product_Code],Master[Brand])</f>
        <v>Luke &amp; Burg</v>
      </c>
      <c r="E1187" s="2" t="str">
        <f>_xlfn.XLOOKUP(B1187,Master[Product_Code],Master[Style])</f>
        <v>Partywear</v>
      </c>
      <c r="F1187" s="2" t="str">
        <f>_xlfn.XLOOKUP(B1187,Master[Product_Code],Master[Fabric])</f>
        <v>Cotton Blend</v>
      </c>
      <c r="G1187" s="2" t="str">
        <f>_xlfn.XLOOKUP(B1187,Master[Product_Code],Master[Size])</f>
        <v>XXL</v>
      </c>
      <c r="H1187" s="2" t="str">
        <f>_xlfn.XLOOKUP(B1187,Master[Product_Code],Master[Color])</f>
        <v>Mustard</v>
      </c>
      <c r="I1187" s="4">
        <f>_xlfn.XLOOKUP(B1187,Master[Product_Code],Master[Stock_Qty])</f>
        <v>6</v>
      </c>
      <c r="J1187" s="6">
        <f>SUMIFS(
  Sales_Entry[Qty],
  Sales_Entry[Product_Code], Stock_Table[[#This Row],[Product_Code]]
)</f>
        <v>0</v>
      </c>
      <c r="K1187" s="4">
        <f>SUMIFS(
  Exchange_Return[Qty],
  Exchange_Return[Product_Code], Stock_Table[[#This Row],[Product_Code]]
)</f>
        <v>0</v>
      </c>
      <c r="L1187" s="4">
        <f>I1187-J1187+K1187</f>
        <v>6</v>
      </c>
      <c r="M1187" s="2" t="str" cm="1">
        <f t="array" ref="M1187">_xlfn.IFS(L1187=0,"Out of Stock",L1187&gt;=2,"Limited Stock",L1187&lt;2,"In Stock")</f>
        <v>Limited Stock</v>
      </c>
    </row>
    <row r="1188" spans="2:13">
      <c r="B1188" s="2" t="s">
        <v>350</v>
      </c>
      <c r="C1188" s="5" t="str">
        <f>_xlfn.XLOOKUP(B1188,Master[Product_Code],Master[Category])</f>
        <v>Shirt</v>
      </c>
      <c r="D1188" s="2" t="str">
        <f>_xlfn.XLOOKUP(B1188,Master[Product_Code],Master[Brand])</f>
        <v>Thailand</v>
      </c>
      <c r="E1188" s="2" t="str">
        <f>_xlfn.XLOOKUP(B1188,Master[Product_Code],Master[Style])</f>
        <v>Casual</v>
      </c>
      <c r="F1188" s="2" t="str">
        <f>_xlfn.XLOOKUP(B1188,Master[Product_Code],Master[Fabric])</f>
        <v>Cotton</v>
      </c>
      <c r="G1188" s="2" t="str">
        <f>_xlfn.XLOOKUP(B1188,Master[Product_Code],Master[Size])</f>
        <v>L</v>
      </c>
      <c r="H1188" s="2" t="str">
        <f>_xlfn.XLOOKUP(B1188,Master[Product_Code],Master[Color])</f>
        <v>Mustard</v>
      </c>
      <c r="I1188" s="4">
        <f>_xlfn.XLOOKUP(B1188,Master[Product_Code],Master[Stock_Qty])</f>
        <v>3</v>
      </c>
      <c r="J1188" s="6">
        <f>SUMIFS(
  Sales_Entry[Qty],
  Sales_Entry[Product_Code], Stock_Table[[#This Row],[Product_Code]]
)</f>
        <v>1</v>
      </c>
      <c r="K1188" s="4">
        <f>SUMIFS(
  Exchange_Return[Qty],
  Exchange_Return[Product_Code], Stock_Table[[#This Row],[Product_Code]]
)</f>
        <v>0</v>
      </c>
      <c r="L1188" s="4">
        <f>I1188-J1188+K1188</f>
        <v>2</v>
      </c>
      <c r="M1188" s="2" t="str" cm="1">
        <f t="array" ref="M1188">_xlfn.IFS(L1188=0,"Out of Stock",L1188&gt;=2,"Limited Stock",L1188&lt;2,"In Stock")</f>
        <v>Limited Stock</v>
      </c>
    </row>
    <row r="1189" spans="2:13">
      <c r="B1189" s="2" t="s">
        <v>351</v>
      </c>
      <c r="C1189" s="5" t="str">
        <f>_xlfn.XLOOKUP(B1189,Master[Product_Code],Master[Category])</f>
        <v>Shirt</v>
      </c>
      <c r="D1189" s="2" t="str">
        <f>_xlfn.XLOOKUP(B1189,Master[Product_Code],Master[Brand])</f>
        <v>Thailand</v>
      </c>
      <c r="E1189" s="2" t="str">
        <f>_xlfn.XLOOKUP(B1189,Master[Product_Code],Master[Style])</f>
        <v>Partywear</v>
      </c>
      <c r="F1189" s="2" t="str">
        <f>_xlfn.XLOOKUP(B1189,Master[Product_Code],Master[Fabric])</f>
        <v>Cotton</v>
      </c>
      <c r="G1189" s="2" t="str">
        <f>_xlfn.XLOOKUP(B1189,Master[Product_Code],Master[Size])</f>
        <v>XXL</v>
      </c>
      <c r="H1189" s="2" t="str">
        <f>_xlfn.XLOOKUP(B1189,Master[Product_Code],Master[Color])</f>
        <v>Peach</v>
      </c>
      <c r="I1189" s="4">
        <f>_xlfn.XLOOKUP(B1189,Master[Product_Code],Master[Stock_Qty])</f>
        <v>5</v>
      </c>
      <c r="J1189" s="6">
        <f>SUMIFS(
  Sales_Entry[Qty],
  Sales_Entry[Product_Code], Stock_Table[[#This Row],[Product_Code]]
)</f>
        <v>1</v>
      </c>
      <c r="K1189" s="4">
        <f>SUMIFS(
  Exchange_Return[Qty],
  Exchange_Return[Product_Code], Stock_Table[[#This Row],[Product_Code]]
)</f>
        <v>0</v>
      </c>
      <c r="L1189" s="4">
        <f>I1189-J1189+K1189</f>
        <v>4</v>
      </c>
      <c r="M1189" s="2" t="str" cm="1">
        <f t="array" ref="M1189">_xlfn.IFS(L1189=0,"Out of Stock",L1189&gt;=2,"Limited Stock",L1189&lt;2,"In Stock")</f>
        <v>Limited Stock</v>
      </c>
    </row>
    <row r="1190" spans="2:13">
      <c r="B1190" s="2" t="s">
        <v>352</v>
      </c>
      <c r="C1190" s="5" t="str">
        <f>_xlfn.XLOOKUP(B1190,Master[Product_Code],Master[Category])</f>
        <v>Shirt</v>
      </c>
      <c r="D1190" s="2" t="str">
        <f>_xlfn.XLOOKUP(B1190,Master[Product_Code],Master[Brand])</f>
        <v>G Studio</v>
      </c>
      <c r="E1190" s="2" t="str">
        <f>_xlfn.XLOOKUP(B1190,Master[Product_Code],Master[Style])</f>
        <v>Partywear</v>
      </c>
      <c r="F1190" s="2" t="str">
        <f>_xlfn.XLOOKUP(B1190,Master[Product_Code],Master[Fabric])</f>
        <v>Cotton</v>
      </c>
      <c r="G1190" s="2" t="str">
        <f>_xlfn.XLOOKUP(B1190,Master[Product_Code],Master[Size])</f>
        <v>XXL</v>
      </c>
      <c r="H1190" s="2" t="str">
        <f>_xlfn.XLOOKUP(B1190,Master[Product_Code],Master[Color])</f>
        <v>Peach</v>
      </c>
      <c r="I1190" s="4">
        <f>_xlfn.XLOOKUP(B1190,Master[Product_Code],Master[Stock_Qty])</f>
        <v>4</v>
      </c>
      <c r="J1190" s="6">
        <f>SUMIFS(
  Sales_Entry[Qty],
  Sales_Entry[Product_Code], Stock_Table[[#This Row],[Product_Code]]
)</f>
        <v>0</v>
      </c>
      <c r="K1190" s="4">
        <f>SUMIFS(
  Exchange_Return[Qty],
  Exchange_Return[Product_Code], Stock_Table[[#This Row],[Product_Code]]
)</f>
        <v>0</v>
      </c>
      <c r="L1190" s="4">
        <f>I1190-J1190+K1190</f>
        <v>4</v>
      </c>
      <c r="M1190" s="2" t="str" cm="1">
        <f t="array" ref="M1190">_xlfn.IFS(L1190=0,"Out of Stock",L1190&gt;=2,"Limited Stock",L1190&lt;2,"In Stock")</f>
        <v>Limited Stock</v>
      </c>
    </row>
    <row r="1191" spans="2:13">
      <c r="B1191" s="2" t="s">
        <v>353</v>
      </c>
      <c r="C1191" s="5" t="str">
        <f>_xlfn.XLOOKUP(B1191,Master[Product_Code],Master[Category])</f>
        <v>Shirt</v>
      </c>
      <c r="D1191" s="2" t="str">
        <f>_xlfn.XLOOKUP(B1191,Master[Product_Code],Master[Brand])</f>
        <v>Luke &amp; Burg</v>
      </c>
      <c r="E1191" s="2" t="str">
        <f>_xlfn.XLOOKUP(B1191,Master[Product_Code],Master[Style])</f>
        <v>Formal</v>
      </c>
      <c r="F1191" s="2" t="str">
        <f>_xlfn.XLOOKUP(B1191,Master[Product_Code],Master[Fabric])</f>
        <v>Lycra</v>
      </c>
      <c r="G1191" s="2" t="str">
        <f>_xlfn.XLOOKUP(B1191,Master[Product_Code],Master[Size])</f>
        <v>S</v>
      </c>
      <c r="H1191" s="2" t="str">
        <f>_xlfn.XLOOKUP(B1191,Master[Product_Code],Master[Color])</f>
        <v>Light Grey</v>
      </c>
      <c r="I1191" s="4">
        <f>_xlfn.XLOOKUP(B1191,Master[Product_Code],Master[Stock_Qty])</f>
        <v>3</v>
      </c>
      <c r="J1191" s="6">
        <f>SUMIFS(
  Sales_Entry[Qty],
  Sales_Entry[Product_Code], Stock_Table[[#This Row],[Product_Code]]
)</f>
        <v>0</v>
      </c>
      <c r="K1191" s="4">
        <f>SUMIFS(
  Exchange_Return[Qty],
  Exchange_Return[Product_Code], Stock_Table[[#This Row],[Product_Code]]
)</f>
        <v>0</v>
      </c>
      <c r="L1191" s="4">
        <f>I1191-J1191+K1191</f>
        <v>3</v>
      </c>
      <c r="M1191" s="2" t="str" cm="1">
        <f t="array" ref="M1191">_xlfn.IFS(L1191=0,"Out of Stock",L1191&gt;=2,"Limited Stock",L1191&lt;2,"In Stock")</f>
        <v>Limited Stock</v>
      </c>
    </row>
    <row r="1192" spans="2:13">
      <c r="B1192" s="2" t="s">
        <v>354</v>
      </c>
      <c r="C1192" s="5" t="str">
        <f>_xlfn.XLOOKUP(B1192,Master[Product_Code],Master[Category])</f>
        <v>Shirt</v>
      </c>
      <c r="D1192" s="2" t="str">
        <f>_xlfn.XLOOKUP(B1192,Master[Product_Code],Master[Brand])</f>
        <v>Zara</v>
      </c>
      <c r="E1192" s="2" t="str">
        <f>_xlfn.XLOOKUP(B1192,Master[Product_Code],Master[Style])</f>
        <v>Casual</v>
      </c>
      <c r="F1192" s="2" t="str">
        <f>_xlfn.XLOOKUP(B1192,Master[Product_Code],Master[Fabric])</f>
        <v>Cotton Blend</v>
      </c>
      <c r="G1192" s="2" t="str">
        <f>_xlfn.XLOOKUP(B1192,Master[Product_Code],Master[Size])</f>
        <v>XL</v>
      </c>
      <c r="H1192" s="2" t="str">
        <f>_xlfn.XLOOKUP(B1192,Master[Product_Code],Master[Color])</f>
        <v>Maroon</v>
      </c>
      <c r="I1192" s="4">
        <f>_xlfn.XLOOKUP(B1192,Master[Product_Code],Master[Stock_Qty])</f>
        <v>6</v>
      </c>
      <c r="J1192" s="6">
        <f>SUMIFS(
  Sales_Entry[Qty],
  Sales_Entry[Product_Code], Stock_Table[[#This Row],[Product_Code]]
)</f>
        <v>3</v>
      </c>
      <c r="K1192" s="4">
        <f>SUMIFS(
  Exchange_Return[Qty],
  Exchange_Return[Product_Code], Stock_Table[[#This Row],[Product_Code]]
)</f>
        <v>0</v>
      </c>
      <c r="L1192" s="4">
        <f>I1192-J1192+K1192</f>
        <v>3</v>
      </c>
      <c r="M1192" s="2" t="str" cm="1">
        <f t="array" ref="M1192">_xlfn.IFS(L1192=0,"Out of Stock",L1192&gt;=2,"Limited Stock",L1192&lt;2,"In Stock")</f>
        <v>Limited Stock</v>
      </c>
    </row>
    <row r="1193" spans="2:13">
      <c r="B1193" s="2" t="s">
        <v>355</v>
      </c>
      <c r="C1193" s="5" t="str">
        <f>_xlfn.XLOOKUP(B1193,Master[Product_Code],Master[Category])</f>
        <v>Shirt</v>
      </c>
      <c r="D1193" s="2" t="str">
        <f>_xlfn.XLOOKUP(B1193,Master[Product_Code],Master[Brand])</f>
        <v>G Studio</v>
      </c>
      <c r="E1193" s="2" t="str">
        <f>_xlfn.XLOOKUP(B1193,Master[Product_Code],Master[Style])</f>
        <v>Casual</v>
      </c>
      <c r="F1193" s="2" t="str">
        <f>_xlfn.XLOOKUP(B1193,Master[Product_Code],Master[Fabric])</f>
        <v>Polyester</v>
      </c>
      <c r="G1193" s="2" t="str">
        <f>_xlfn.XLOOKUP(B1193,Master[Product_Code],Master[Size])</f>
        <v>S</v>
      </c>
      <c r="H1193" s="2" t="str">
        <f>_xlfn.XLOOKUP(B1193,Master[Product_Code],Master[Color])</f>
        <v>Maroon</v>
      </c>
      <c r="I1193" s="4">
        <f>_xlfn.XLOOKUP(B1193,Master[Product_Code],Master[Stock_Qty])</f>
        <v>4</v>
      </c>
      <c r="J1193" s="6">
        <f>SUMIFS(
  Sales_Entry[Qty],
  Sales_Entry[Product_Code], Stock_Table[[#This Row],[Product_Code]]
)</f>
        <v>3</v>
      </c>
      <c r="K1193" s="4">
        <f>SUMIFS(
  Exchange_Return[Qty],
  Exchange_Return[Product_Code], Stock_Table[[#This Row],[Product_Code]]
)</f>
        <v>0</v>
      </c>
      <c r="L1193" s="4">
        <f>I1193-J1193+K1193</f>
        <v>1</v>
      </c>
      <c r="M1193" s="2" t="str" cm="1">
        <f t="array" ref="M1193">_xlfn.IFS(L1193=0,"Out of Stock",L1193&gt;=2,"Limited Stock",L1193&lt;2,"In Stock")</f>
        <v>In Stock</v>
      </c>
    </row>
    <row r="1194" spans="2:13">
      <c r="B1194" s="2" t="s">
        <v>356</v>
      </c>
      <c r="C1194" s="5" t="str">
        <f>_xlfn.XLOOKUP(B1194,Master[Product_Code],Master[Category])</f>
        <v>Shirt</v>
      </c>
      <c r="D1194" s="2" t="str">
        <f>_xlfn.XLOOKUP(B1194,Master[Product_Code],Master[Brand])</f>
        <v>British</v>
      </c>
      <c r="E1194" s="2" t="str">
        <f>_xlfn.XLOOKUP(B1194,Master[Product_Code],Master[Style])</f>
        <v>Partywear</v>
      </c>
      <c r="F1194" s="2" t="str">
        <f>_xlfn.XLOOKUP(B1194,Master[Product_Code],Master[Fabric])</f>
        <v>Polyester</v>
      </c>
      <c r="G1194" s="2" t="str">
        <f>_xlfn.XLOOKUP(B1194,Master[Product_Code],Master[Size])</f>
        <v>XXL</v>
      </c>
      <c r="H1194" s="2" t="str">
        <f>_xlfn.XLOOKUP(B1194,Master[Product_Code],Master[Color])</f>
        <v>Rust</v>
      </c>
      <c r="I1194" s="4">
        <f>_xlfn.XLOOKUP(B1194,Master[Product_Code],Master[Stock_Qty])</f>
        <v>5</v>
      </c>
      <c r="J1194" s="6">
        <f>SUMIFS(
  Sales_Entry[Qty],
  Sales_Entry[Product_Code], Stock_Table[[#This Row],[Product_Code]]
)</f>
        <v>1</v>
      </c>
      <c r="K1194" s="4">
        <f>SUMIFS(
  Exchange_Return[Qty],
  Exchange_Return[Product_Code], Stock_Table[[#This Row],[Product_Code]]
)</f>
        <v>0</v>
      </c>
      <c r="L1194" s="4">
        <f>I1194-J1194+K1194</f>
        <v>4</v>
      </c>
      <c r="M1194" s="2" t="str" cm="1">
        <f t="array" ref="M1194">_xlfn.IFS(L1194=0,"Out of Stock",L1194&gt;=2,"Limited Stock",L1194&lt;2,"In Stock")</f>
        <v>Limited Stock</v>
      </c>
    </row>
    <row r="1195" spans="2:13">
      <c r="B1195" s="2" t="s">
        <v>357</v>
      </c>
      <c r="C1195" s="5" t="str">
        <f>_xlfn.XLOOKUP(B1195,Master[Product_Code],Master[Category])</f>
        <v>Shirt</v>
      </c>
      <c r="D1195" s="2" t="str">
        <f>_xlfn.XLOOKUP(B1195,Master[Product_Code],Master[Brand])</f>
        <v>Max</v>
      </c>
      <c r="E1195" s="2" t="str">
        <f>_xlfn.XLOOKUP(B1195,Master[Product_Code],Master[Style])</f>
        <v>Partywear</v>
      </c>
      <c r="F1195" s="2" t="str">
        <f>_xlfn.XLOOKUP(B1195,Master[Product_Code],Master[Fabric])</f>
        <v>Cotton Blend</v>
      </c>
      <c r="G1195" s="2" t="str">
        <f>_xlfn.XLOOKUP(B1195,Master[Product_Code],Master[Size])</f>
        <v>XXL</v>
      </c>
      <c r="H1195" s="2" t="str">
        <f>_xlfn.XLOOKUP(B1195,Master[Product_Code],Master[Color])</f>
        <v>Teal</v>
      </c>
      <c r="I1195" s="4">
        <f>_xlfn.XLOOKUP(B1195,Master[Product_Code],Master[Stock_Qty])</f>
        <v>5</v>
      </c>
      <c r="J1195" s="6">
        <f>SUMIFS(
  Sales_Entry[Qty],
  Sales_Entry[Product_Code], Stock_Table[[#This Row],[Product_Code]]
)</f>
        <v>2</v>
      </c>
      <c r="K1195" s="4">
        <f>SUMIFS(
  Exchange_Return[Qty],
  Exchange_Return[Product_Code], Stock_Table[[#This Row],[Product_Code]]
)</f>
        <v>0</v>
      </c>
      <c r="L1195" s="4">
        <f>I1195-J1195+K1195</f>
        <v>3</v>
      </c>
      <c r="M1195" s="2" t="str" cm="1">
        <f t="array" ref="M1195">_xlfn.IFS(L1195=0,"Out of Stock",L1195&gt;=2,"Limited Stock",L1195&lt;2,"In Stock")</f>
        <v>Limited Stock</v>
      </c>
    </row>
    <row r="1196" spans="2:13">
      <c r="B1196" s="2" t="s">
        <v>358</v>
      </c>
      <c r="C1196" s="5" t="str">
        <f>_xlfn.XLOOKUP(B1196,Master[Product_Code],Master[Category])</f>
        <v>Shirt</v>
      </c>
      <c r="D1196" s="2" t="str">
        <f>_xlfn.XLOOKUP(B1196,Master[Product_Code],Master[Brand])</f>
        <v>Max</v>
      </c>
      <c r="E1196" s="2" t="str">
        <f>_xlfn.XLOOKUP(B1196,Master[Product_Code],Master[Style])</f>
        <v>Formal</v>
      </c>
      <c r="F1196" s="2" t="str">
        <f>_xlfn.XLOOKUP(B1196,Master[Product_Code],Master[Fabric])</f>
        <v>Lycra</v>
      </c>
      <c r="G1196" s="2" t="str">
        <f>_xlfn.XLOOKUP(B1196,Master[Product_Code],Master[Size])</f>
        <v>L</v>
      </c>
      <c r="H1196" s="2" t="str">
        <f>_xlfn.XLOOKUP(B1196,Master[Product_Code],Master[Color])</f>
        <v>Dark Green</v>
      </c>
      <c r="I1196" s="4">
        <f>_xlfn.XLOOKUP(B1196,Master[Product_Code],Master[Stock_Qty])</f>
        <v>5</v>
      </c>
      <c r="J1196" s="6">
        <f>SUMIFS(
  Sales_Entry[Qty],
  Sales_Entry[Product_Code], Stock_Table[[#This Row],[Product_Code]]
)</f>
        <v>1</v>
      </c>
      <c r="K1196" s="4">
        <f>SUMIFS(
  Exchange_Return[Qty],
  Exchange_Return[Product_Code], Stock_Table[[#This Row],[Product_Code]]
)</f>
        <v>0</v>
      </c>
      <c r="L1196" s="4">
        <f>I1196-J1196+K1196</f>
        <v>4</v>
      </c>
      <c r="M1196" s="2" t="str" cm="1">
        <f t="array" ref="M1196">_xlfn.IFS(L1196=0,"Out of Stock",L1196&gt;=2,"Limited Stock",L1196&lt;2,"In Stock")</f>
        <v>Limited Stock</v>
      </c>
    </row>
    <row r="1197" spans="2:13">
      <c r="B1197" s="2" t="s">
        <v>359</v>
      </c>
      <c r="C1197" s="5" t="str">
        <f>_xlfn.XLOOKUP(B1197,Master[Product_Code],Master[Category])</f>
        <v>Shirt</v>
      </c>
      <c r="D1197" s="2" t="str">
        <f>_xlfn.XLOOKUP(B1197,Master[Product_Code],Master[Brand])</f>
        <v>Thailand</v>
      </c>
      <c r="E1197" s="2" t="str">
        <f>_xlfn.XLOOKUP(B1197,Master[Product_Code],Master[Style])</f>
        <v>Casual</v>
      </c>
      <c r="F1197" s="2" t="str">
        <f>_xlfn.XLOOKUP(B1197,Master[Product_Code],Master[Fabric])</f>
        <v>Lycra</v>
      </c>
      <c r="G1197" s="2" t="str">
        <f>_xlfn.XLOOKUP(B1197,Master[Product_Code],Master[Size])</f>
        <v>XL</v>
      </c>
      <c r="H1197" s="2" t="str">
        <f>_xlfn.XLOOKUP(B1197,Master[Product_Code],Master[Color])</f>
        <v>Mustard</v>
      </c>
      <c r="I1197" s="4">
        <f>_xlfn.XLOOKUP(B1197,Master[Product_Code],Master[Stock_Qty])</f>
        <v>6</v>
      </c>
      <c r="J1197" s="6">
        <f>SUMIFS(
  Sales_Entry[Qty],
  Sales_Entry[Product_Code], Stock_Table[[#This Row],[Product_Code]]
)</f>
        <v>2</v>
      </c>
      <c r="K1197" s="4">
        <f>SUMIFS(
  Exchange_Return[Qty],
  Exchange_Return[Product_Code], Stock_Table[[#This Row],[Product_Code]]
)</f>
        <v>0</v>
      </c>
      <c r="L1197" s="4">
        <f>I1197-J1197+K1197</f>
        <v>4</v>
      </c>
      <c r="M1197" s="2" t="str" cm="1">
        <f t="array" ref="M1197">_xlfn.IFS(L1197=0,"Out of Stock",L1197&gt;=2,"Limited Stock",L1197&lt;2,"In Stock")</f>
        <v>Limited Stock</v>
      </c>
    </row>
    <row r="1198" spans="2:13">
      <c r="B1198" s="2" t="s">
        <v>360</v>
      </c>
      <c r="C1198" s="5" t="str">
        <f>_xlfn.XLOOKUP(B1198,Master[Product_Code],Master[Category])</f>
        <v>Shirt</v>
      </c>
      <c r="D1198" s="2" t="str">
        <f>_xlfn.XLOOKUP(B1198,Master[Product_Code],Master[Brand])</f>
        <v>H&amp;M</v>
      </c>
      <c r="E1198" s="2" t="str">
        <f>_xlfn.XLOOKUP(B1198,Master[Product_Code],Master[Style])</f>
        <v>Partywear</v>
      </c>
      <c r="F1198" s="2" t="str">
        <f>_xlfn.XLOOKUP(B1198,Master[Product_Code],Master[Fabric])</f>
        <v>Cotton Blend</v>
      </c>
      <c r="G1198" s="2" t="str">
        <f>_xlfn.XLOOKUP(B1198,Master[Product_Code],Master[Size])</f>
        <v>L</v>
      </c>
      <c r="H1198" s="2" t="str">
        <f>_xlfn.XLOOKUP(B1198,Master[Product_Code],Master[Color])</f>
        <v>Sky Blue</v>
      </c>
      <c r="I1198" s="4">
        <f>_xlfn.XLOOKUP(B1198,Master[Product_Code],Master[Stock_Qty])</f>
        <v>6</v>
      </c>
      <c r="J1198" s="6">
        <f>SUMIFS(
  Sales_Entry[Qty],
  Sales_Entry[Product_Code], Stock_Table[[#This Row],[Product_Code]]
)</f>
        <v>2</v>
      </c>
      <c r="K1198" s="4">
        <f>SUMIFS(
  Exchange_Return[Qty],
  Exchange_Return[Product_Code], Stock_Table[[#This Row],[Product_Code]]
)</f>
        <v>0</v>
      </c>
      <c r="L1198" s="4">
        <f>I1198-J1198+K1198</f>
        <v>4</v>
      </c>
      <c r="M1198" s="2" t="str" cm="1">
        <f t="array" ref="M1198">_xlfn.IFS(L1198=0,"Out of Stock",L1198&gt;=2,"Limited Stock",L1198&lt;2,"In Stock")</f>
        <v>Limited Stock</v>
      </c>
    </row>
    <row r="1199" spans="2:13">
      <c r="B1199" s="2" t="s">
        <v>361</v>
      </c>
      <c r="C1199" s="5" t="str">
        <f>_xlfn.XLOOKUP(B1199,Master[Product_Code],Master[Category])</f>
        <v>Shirt</v>
      </c>
      <c r="D1199" s="2" t="str">
        <f>_xlfn.XLOOKUP(B1199,Master[Product_Code],Master[Brand])</f>
        <v>Luke &amp; Burg</v>
      </c>
      <c r="E1199" s="2" t="str">
        <f>_xlfn.XLOOKUP(B1199,Master[Product_Code],Master[Style])</f>
        <v>Casual</v>
      </c>
      <c r="F1199" s="2" t="str">
        <f>_xlfn.XLOOKUP(B1199,Master[Product_Code],Master[Fabric])</f>
        <v>Lycra</v>
      </c>
      <c r="G1199" s="2" t="str">
        <f>_xlfn.XLOOKUP(B1199,Master[Product_Code],Master[Size])</f>
        <v>L</v>
      </c>
      <c r="H1199" s="2" t="str">
        <f>_xlfn.XLOOKUP(B1199,Master[Product_Code],Master[Color])</f>
        <v>White</v>
      </c>
      <c r="I1199" s="4">
        <f>_xlfn.XLOOKUP(B1199,Master[Product_Code],Master[Stock_Qty])</f>
        <v>5</v>
      </c>
      <c r="J1199" s="6">
        <f>SUMIFS(
  Sales_Entry[Qty],
  Sales_Entry[Product_Code], Stock_Table[[#This Row],[Product_Code]]
)</f>
        <v>0</v>
      </c>
      <c r="K1199" s="4">
        <f>SUMIFS(
  Exchange_Return[Qty],
  Exchange_Return[Product_Code], Stock_Table[[#This Row],[Product_Code]]
)</f>
        <v>0</v>
      </c>
      <c r="L1199" s="4">
        <f>I1199-J1199+K1199</f>
        <v>5</v>
      </c>
      <c r="M1199" s="2" t="str" cm="1">
        <f t="array" ref="M1199">_xlfn.IFS(L1199=0,"Out of Stock",L1199&gt;=2,"Limited Stock",L1199&lt;2,"In Stock")</f>
        <v>Limited Stock</v>
      </c>
    </row>
    <row r="1200" spans="2:13">
      <c r="B1200" s="2" t="s">
        <v>362</v>
      </c>
      <c r="C1200" s="5" t="str">
        <f>_xlfn.XLOOKUP(B1200,Master[Product_Code],Master[Category])</f>
        <v>Shirt</v>
      </c>
      <c r="D1200" s="2" t="str">
        <f>_xlfn.XLOOKUP(B1200,Master[Product_Code],Master[Brand])</f>
        <v>L7</v>
      </c>
      <c r="E1200" s="2" t="str">
        <f>_xlfn.XLOOKUP(B1200,Master[Product_Code],Master[Style])</f>
        <v>Casual</v>
      </c>
      <c r="F1200" s="2" t="str">
        <f>_xlfn.XLOOKUP(B1200,Master[Product_Code],Master[Fabric])</f>
        <v>Polyester</v>
      </c>
      <c r="G1200" s="2" t="str">
        <f>_xlfn.XLOOKUP(B1200,Master[Product_Code],Master[Size])</f>
        <v>L</v>
      </c>
      <c r="H1200" s="2" t="str">
        <f>_xlfn.XLOOKUP(B1200,Master[Product_Code],Master[Color])</f>
        <v>Peach</v>
      </c>
      <c r="I1200" s="4">
        <f>_xlfn.XLOOKUP(B1200,Master[Product_Code],Master[Stock_Qty])</f>
        <v>4</v>
      </c>
      <c r="J1200" s="6">
        <f>SUMIFS(
  Sales_Entry[Qty],
  Sales_Entry[Product_Code], Stock_Table[[#This Row],[Product_Code]]
)</f>
        <v>3</v>
      </c>
      <c r="K1200" s="4">
        <f>SUMIFS(
  Exchange_Return[Qty],
  Exchange_Return[Product_Code], Stock_Table[[#This Row],[Product_Code]]
)</f>
        <v>0</v>
      </c>
      <c r="L1200" s="4">
        <f>I1200-J1200+K1200</f>
        <v>1</v>
      </c>
      <c r="M1200" s="2" t="str" cm="1">
        <f t="array" ref="M1200">_xlfn.IFS(L1200=0,"Out of Stock",L1200&gt;=2,"Limited Stock",L1200&lt;2,"In Stock")</f>
        <v>In Stock</v>
      </c>
    </row>
    <row r="1201" spans="2:13">
      <c r="B1201" s="2" t="s">
        <v>363</v>
      </c>
      <c r="C1201" s="5" t="str">
        <f>_xlfn.XLOOKUP(B1201,Master[Product_Code],Master[Category])</f>
        <v>Shirt</v>
      </c>
      <c r="D1201" s="2" t="str">
        <f>_xlfn.XLOOKUP(B1201,Master[Product_Code],Master[Brand])</f>
        <v>H&amp;M</v>
      </c>
      <c r="E1201" s="2" t="str">
        <f>_xlfn.XLOOKUP(B1201,Master[Product_Code],Master[Style])</f>
        <v>Casual</v>
      </c>
      <c r="F1201" s="2" t="str">
        <f>_xlfn.XLOOKUP(B1201,Master[Product_Code],Master[Fabric])</f>
        <v>Cotton Blend</v>
      </c>
      <c r="G1201" s="2" t="str">
        <f>_xlfn.XLOOKUP(B1201,Master[Product_Code],Master[Size])</f>
        <v>M</v>
      </c>
      <c r="H1201" s="2" t="str">
        <f>_xlfn.XLOOKUP(B1201,Master[Product_Code],Master[Color])</f>
        <v>Sky Blue</v>
      </c>
      <c r="I1201" s="4">
        <f>_xlfn.XLOOKUP(B1201,Master[Product_Code],Master[Stock_Qty])</f>
        <v>4</v>
      </c>
      <c r="J1201" s="6">
        <f>SUMIFS(
  Sales_Entry[Qty],
  Sales_Entry[Product_Code], Stock_Table[[#This Row],[Product_Code]]
)</f>
        <v>2</v>
      </c>
      <c r="K1201" s="4">
        <f>SUMIFS(
  Exchange_Return[Qty],
  Exchange_Return[Product_Code], Stock_Table[[#This Row],[Product_Code]]
)</f>
        <v>0</v>
      </c>
      <c r="L1201" s="4">
        <f>I1201-J1201+K1201</f>
        <v>2</v>
      </c>
      <c r="M1201" s="2" t="str" cm="1">
        <f t="array" ref="M1201">_xlfn.IFS(L1201=0,"Out of Stock",L1201&gt;=2,"Limited Stock",L1201&lt;2,"In Stock")</f>
        <v>Limited Stock</v>
      </c>
    </row>
    <row r="1202" spans="2:13">
      <c r="B1202" s="2" t="s">
        <v>364</v>
      </c>
      <c r="C1202" s="5" t="str">
        <f>_xlfn.XLOOKUP(B1202,Master[Product_Code],Master[Category])</f>
        <v>Shirt</v>
      </c>
      <c r="D1202" s="2" t="str">
        <f>_xlfn.XLOOKUP(B1202,Master[Product_Code],Master[Brand])</f>
        <v>Zara</v>
      </c>
      <c r="E1202" s="2" t="str">
        <f>_xlfn.XLOOKUP(B1202,Master[Product_Code],Master[Style])</f>
        <v>Partywear</v>
      </c>
      <c r="F1202" s="2" t="str">
        <f>_xlfn.XLOOKUP(B1202,Master[Product_Code],Master[Fabric])</f>
        <v>Lycra</v>
      </c>
      <c r="G1202" s="2" t="str">
        <f>_xlfn.XLOOKUP(B1202,Master[Product_Code],Master[Size])</f>
        <v>M</v>
      </c>
      <c r="H1202" s="2" t="str">
        <f>_xlfn.XLOOKUP(B1202,Master[Product_Code],Master[Color])</f>
        <v>White</v>
      </c>
      <c r="I1202" s="4">
        <f>_xlfn.XLOOKUP(B1202,Master[Product_Code],Master[Stock_Qty])</f>
        <v>3</v>
      </c>
      <c r="J1202" s="6">
        <f>SUMIFS(
  Sales_Entry[Qty],
  Sales_Entry[Product_Code], Stock_Table[[#This Row],[Product_Code]]
)</f>
        <v>2</v>
      </c>
      <c r="K1202" s="4">
        <f>SUMIFS(
  Exchange_Return[Qty],
  Exchange_Return[Product_Code], Stock_Table[[#This Row],[Product_Code]]
)</f>
        <v>0</v>
      </c>
      <c r="L1202" s="4">
        <f>I1202-J1202+K1202</f>
        <v>1</v>
      </c>
      <c r="M1202" s="2" t="str" cm="1">
        <f t="array" ref="M1202">_xlfn.IFS(L1202=0,"Out of Stock",L1202&gt;=2,"Limited Stock",L1202&lt;2,"In Stock")</f>
        <v>In Stock</v>
      </c>
    </row>
    <row r="1203" spans="2:13">
      <c r="B1203" s="2" t="s">
        <v>365</v>
      </c>
      <c r="C1203" s="5" t="str">
        <f>_xlfn.XLOOKUP(B1203,Master[Product_Code],Master[Category])</f>
        <v>Shirt</v>
      </c>
      <c r="D1203" s="2" t="str">
        <f>_xlfn.XLOOKUP(B1203,Master[Product_Code],Master[Brand])</f>
        <v>British</v>
      </c>
      <c r="E1203" s="2" t="str">
        <f>_xlfn.XLOOKUP(B1203,Master[Product_Code],Master[Style])</f>
        <v>Partywear</v>
      </c>
      <c r="F1203" s="2" t="str">
        <f>_xlfn.XLOOKUP(B1203,Master[Product_Code],Master[Fabric])</f>
        <v>Polyester</v>
      </c>
      <c r="G1203" s="2" t="str">
        <f>_xlfn.XLOOKUP(B1203,Master[Product_Code],Master[Size])</f>
        <v>S</v>
      </c>
      <c r="H1203" s="2" t="str">
        <f>_xlfn.XLOOKUP(B1203,Master[Product_Code],Master[Color])</f>
        <v>Maroon</v>
      </c>
      <c r="I1203" s="4">
        <f>_xlfn.XLOOKUP(B1203,Master[Product_Code],Master[Stock_Qty])</f>
        <v>3</v>
      </c>
      <c r="J1203" s="6">
        <f>SUMIFS(
  Sales_Entry[Qty],
  Sales_Entry[Product_Code], Stock_Table[[#This Row],[Product_Code]]
)</f>
        <v>0</v>
      </c>
      <c r="K1203" s="4">
        <f>SUMIFS(
  Exchange_Return[Qty],
  Exchange_Return[Product_Code], Stock_Table[[#This Row],[Product_Code]]
)</f>
        <v>0</v>
      </c>
      <c r="L1203" s="4">
        <f>I1203-J1203+K1203</f>
        <v>3</v>
      </c>
      <c r="M1203" s="2" t="str" cm="1">
        <f t="array" ref="M1203">_xlfn.IFS(L1203=0,"Out of Stock",L1203&gt;=2,"Limited Stock",L1203&lt;2,"In Stock")</f>
        <v>Limited Stock</v>
      </c>
    </row>
    <row r="1204" spans="2:13">
      <c r="B1204" s="2" t="s">
        <v>366</v>
      </c>
      <c r="C1204" s="5" t="str">
        <f>_xlfn.XLOOKUP(B1204,Master[Product_Code],Master[Category])</f>
        <v>Shirt</v>
      </c>
      <c r="D1204" s="2" t="str">
        <f>_xlfn.XLOOKUP(B1204,Master[Product_Code],Master[Brand])</f>
        <v>USD</v>
      </c>
      <c r="E1204" s="2" t="str">
        <f>_xlfn.XLOOKUP(B1204,Master[Product_Code],Master[Style])</f>
        <v>Casual</v>
      </c>
      <c r="F1204" s="2" t="str">
        <f>_xlfn.XLOOKUP(B1204,Master[Product_Code],Master[Fabric])</f>
        <v>Polyester</v>
      </c>
      <c r="G1204" s="2" t="str">
        <f>_xlfn.XLOOKUP(B1204,Master[Product_Code],Master[Size])</f>
        <v>XL</v>
      </c>
      <c r="H1204" s="2" t="str">
        <f>_xlfn.XLOOKUP(B1204,Master[Product_Code],Master[Color])</f>
        <v>Grey</v>
      </c>
      <c r="I1204" s="4">
        <f>_xlfn.XLOOKUP(B1204,Master[Product_Code],Master[Stock_Qty])</f>
        <v>5</v>
      </c>
      <c r="J1204" s="6">
        <f>SUMIFS(
  Sales_Entry[Qty],
  Sales_Entry[Product_Code], Stock_Table[[#This Row],[Product_Code]]
)</f>
        <v>1</v>
      </c>
      <c r="K1204" s="4">
        <f>SUMIFS(
  Exchange_Return[Qty],
  Exchange_Return[Product_Code], Stock_Table[[#This Row],[Product_Code]]
)</f>
        <v>0</v>
      </c>
      <c r="L1204" s="4">
        <f>I1204-J1204+K1204</f>
        <v>4</v>
      </c>
      <c r="M1204" s="2" t="str" cm="1">
        <f t="array" ref="M1204">_xlfn.IFS(L1204=0,"Out of Stock",L1204&gt;=2,"Limited Stock",L1204&lt;2,"In Stock")</f>
        <v>Limited Stock</v>
      </c>
    </row>
    <row r="1205" spans="2:13">
      <c r="B1205" s="2" t="s">
        <v>367</v>
      </c>
      <c r="C1205" s="5" t="str">
        <f>_xlfn.XLOOKUP(B1205,Master[Product_Code],Master[Category])</f>
        <v>Shirt</v>
      </c>
      <c r="D1205" s="2" t="str">
        <f>_xlfn.XLOOKUP(B1205,Master[Product_Code],Master[Brand])</f>
        <v>Thailand</v>
      </c>
      <c r="E1205" s="2" t="str">
        <f>_xlfn.XLOOKUP(B1205,Master[Product_Code],Master[Style])</f>
        <v>Partywear</v>
      </c>
      <c r="F1205" s="2" t="str">
        <f>_xlfn.XLOOKUP(B1205,Master[Product_Code],Master[Fabric])</f>
        <v>Cotton</v>
      </c>
      <c r="G1205" s="2" t="str">
        <f>_xlfn.XLOOKUP(B1205,Master[Product_Code],Master[Size])</f>
        <v>S</v>
      </c>
      <c r="H1205" s="2" t="str">
        <f>_xlfn.XLOOKUP(B1205,Master[Product_Code],Master[Color])</f>
        <v>Light Grey</v>
      </c>
      <c r="I1205" s="4">
        <f>_xlfn.XLOOKUP(B1205,Master[Product_Code],Master[Stock_Qty])</f>
        <v>4</v>
      </c>
      <c r="J1205" s="6">
        <f>SUMIFS(
  Sales_Entry[Qty],
  Sales_Entry[Product_Code], Stock_Table[[#This Row],[Product_Code]]
)</f>
        <v>2</v>
      </c>
      <c r="K1205" s="4">
        <f>SUMIFS(
  Exchange_Return[Qty],
  Exchange_Return[Product_Code], Stock_Table[[#This Row],[Product_Code]]
)</f>
        <v>0</v>
      </c>
      <c r="L1205" s="4">
        <f>I1205-J1205+K1205</f>
        <v>2</v>
      </c>
      <c r="M1205" s="2" t="str" cm="1">
        <f t="array" ref="M1205">_xlfn.IFS(L1205=0,"Out of Stock",L1205&gt;=2,"Limited Stock",L1205&lt;2,"In Stock")</f>
        <v>Limited Stock</v>
      </c>
    </row>
    <row r="1206" spans="2:13">
      <c r="B1206" s="2" t="s">
        <v>368</v>
      </c>
      <c r="C1206" s="5" t="str">
        <f>_xlfn.XLOOKUP(B1206,Master[Product_Code],Master[Category])</f>
        <v>Shirt</v>
      </c>
      <c r="D1206" s="2" t="str">
        <f>_xlfn.XLOOKUP(B1206,Master[Product_Code],Master[Brand])</f>
        <v>Zara</v>
      </c>
      <c r="E1206" s="2" t="str">
        <f>_xlfn.XLOOKUP(B1206,Master[Product_Code],Master[Style])</f>
        <v>Formal</v>
      </c>
      <c r="F1206" s="2" t="str">
        <f>_xlfn.XLOOKUP(B1206,Master[Product_Code],Master[Fabric])</f>
        <v>Polyester</v>
      </c>
      <c r="G1206" s="2" t="str">
        <f>_xlfn.XLOOKUP(B1206,Master[Product_Code],Master[Size])</f>
        <v>M</v>
      </c>
      <c r="H1206" s="2" t="str">
        <f>_xlfn.XLOOKUP(B1206,Master[Product_Code],Master[Color])</f>
        <v>White</v>
      </c>
      <c r="I1206" s="4">
        <f>_xlfn.XLOOKUP(B1206,Master[Product_Code],Master[Stock_Qty])</f>
        <v>6</v>
      </c>
      <c r="J1206" s="6">
        <f>SUMIFS(
  Sales_Entry[Qty],
  Sales_Entry[Product_Code], Stock_Table[[#This Row],[Product_Code]]
)</f>
        <v>2</v>
      </c>
      <c r="K1206" s="4">
        <f>SUMIFS(
  Exchange_Return[Qty],
  Exchange_Return[Product_Code], Stock_Table[[#This Row],[Product_Code]]
)</f>
        <v>0</v>
      </c>
      <c r="L1206" s="4">
        <f>I1206-J1206+K1206</f>
        <v>4</v>
      </c>
      <c r="M1206" s="2" t="str" cm="1">
        <f t="array" ref="M1206">_xlfn.IFS(L1206=0,"Out of Stock",L1206&gt;=2,"Limited Stock",L1206&lt;2,"In Stock")</f>
        <v>Limited Stock</v>
      </c>
    </row>
    <row r="1207" spans="2:13">
      <c r="B1207" s="2" t="s">
        <v>369</v>
      </c>
      <c r="C1207" s="5" t="str">
        <f>_xlfn.XLOOKUP(B1207,Master[Product_Code],Master[Category])</f>
        <v>Shirt</v>
      </c>
      <c r="D1207" s="2" t="str">
        <f>_xlfn.XLOOKUP(B1207,Master[Product_Code],Master[Brand])</f>
        <v>Max</v>
      </c>
      <c r="E1207" s="2" t="str">
        <f>_xlfn.XLOOKUP(B1207,Master[Product_Code],Master[Style])</f>
        <v>Formal</v>
      </c>
      <c r="F1207" s="2" t="str">
        <f>_xlfn.XLOOKUP(B1207,Master[Product_Code],Master[Fabric])</f>
        <v>Cotton Blend</v>
      </c>
      <c r="G1207" s="2" t="str">
        <f>_xlfn.XLOOKUP(B1207,Master[Product_Code],Master[Size])</f>
        <v>S</v>
      </c>
      <c r="H1207" s="2" t="str">
        <f>_xlfn.XLOOKUP(B1207,Master[Product_Code],Master[Color])</f>
        <v>Black</v>
      </c>
      <c r="I1207" s="4">
        <f>_xlfn.XLOOKUP(B1207,Master[Product_Code],Master[Stock_Qty])</f>
        <v>5</v>
      </c>
      <c r="J1207" s="6">
        <f>SUMIFS(
  Sales_Entry[Qty],
  Sales_Entry[Product_Code], Stock_Table[[#This Row],[Product_Code]]
)</f>
        <v>1</v>
      </c>
      <c r="K1207" s="4">
        <f>SUMIFS(
  Exchange_Return[Qty],
  Exchange_Return[Product_Code], Stock_Table[[#This Row],[Product_Code]]
)</f>
        <v>0</v>
      </c>
      <c r="L1207" s="4">
        <f>I1207-J1207+K1207</f>
        <v>4</v>
      </c>
      <c r="M1207" s="2" t="str" cm="1">
        <f t="array" ref="M1207">_xlfn.IFS(L1207=0,"Out of Stock",L1207&gt;=2,"Limited Stock",L1207&lt;2,"In Stock")</f>
        <v>Limited Stock</v>
      </c>
    </row>
    <row r="1208" spans="2:13">
      <c r="B1208" s="2" t="s">
        <v>370</v>
      </c>
      <c r="C1208" s="5" t="str">
        <f>_xlfn.XLOOKUP(B1208,Master[Product_Code],Master[Category])</f>
        <v>Shirt</v>
      </c>
      <c r="D1208" s="2" t="str">
        <f>_xlfn.XLOOKUP(B1208,Master[Product_Code],Master[Brand])</f>
        <v>L7</v>
      </c>
      <c r="E1208" s="2" t="str">
        <f>_xlfn.XLOOKUP(B1208,Master[Product_Code],Master[Style])</f>
        <v>Casual</v>
      </c>
      <c r="F1208" s="2" t="str">
        <f>_xlfn.XLOOKUP(B1208,Master[Product_Code],Master[Fabric])</f>
        <v>Cotton Blend</v>
      </c>
      <c r="G1208" s="2" t="str">
        <f>_xlfn.XLOOKUP(B1208,Master[Product_Code],Master[Size])</f>
        <v>XL</v>
      </c>
      <c r="H1208" s="2" t="str">
        <f>_xlfn.XLOOKUP(B1208,Master[Product_Code],Master[Color])</f>
        <v>Dark Green</v>
      </c>
      <c r="I1208" s="4">
        <f>_xlfn.XLOOKUP(B1208,Master[Product_Code],Master[Stock_Qty])</f>
        <v>6</v>
      </c>
      <c r="J1208" s="6">
        <f>SUMIFS(
  Sales_Entry[Qty],
  Sales_Entry[Product_Code], Stock_Table[[#This Row],[Product_Code]]
)</f>
        <v>1</v>
      </c>
      <c r="K1208" s="4">
        <f>SUMIFS(
  Exchange_Return[Qty],
  Exchange_Return[Product_Code], Stock_Table[[#This Row],[Product_Code]]
)</f>
        <v>0</v>
      </c>
      <c r="L1208" s="4">
        <f>I1208-J1208+K1208</f>
        <v>5</v>
      </c>
      <c r="M1208" s="2" t="str" cm="1">
        <f t="array" ref="M1208">_xlfn.IFS(L1208=0,"Out of Stock",L1208&gt;=2,"Limited Stock",L1208&lt;2,"In Stock")</f>
        <v>Limited Stock</v>
      </c>
    </row>
    <row r="1209" spans="2:13">
      <c r="B1209" s="2" t="s">
        <v>371</v>
      </c>
      <c r="C1209" s="5" t="str">
        <f>_xlfn.XLOOKUP(B1209,Master[Product_Code],Master[Category])</f>
        <v>Shirt</v>
      </c>
      <c r="D1209" s="2" t="str">
        <f>_xlfn.XLOOKUP(B1209,Master[Product_Code],Master[Brand])</f>
        <v>USD</v>
      </c>
      <c r="E1209" s="2" t="str">
        <f>_xlfn.XLOOKUP(B1209,Master[Product_Code],Master[Style])</f>
        <v>Partywear</v>
      </c>
      <c r="F1209" s="2" t="str">
        <f>_xlfn.XLOOKUP(B1209,Master[Product_Code],Master[Fabric])</f>
        <v>Polyester</v>
      </c>
      <c r="G1209" s="2" t="str">
        <f>_xlfn.XLOOKUP(B1209,Master[Product_Code],Master[Size])</f>
        <v>L</v>
      </c>
      <c r="H1209" s="2" t="str">
        <f>_xlfn.XLOOKUP(B1209,Master[Product_Code],Master[Color])</f>
        <v>Grey</v>
      </c>
      <c r="I1209" s="4">
        <f>_xlfn.XLOOKUP(B1209,Master[Product_Code],Master[Stock_Qty])</f>
        <v>3</v>
      </c>
      <c r="J1209" s="6">
        <f>SUMIFS(
  Sales_Entry[Qty],
  Sales_Entry[Product_Code], Stock_Table[[#This Row],[Product_Code]]
)</f>
        <v>2</v>
      </c>
      <c r="K1209" s="4">
        <f>SUMIFS(
  Exchange_Return[Qty],
  Exchange_Return[Product_Code], Stock_Table[[#This Row],[Product_Code]]
)</f>
        <v>0</v>
      </c>
      <c r="L1209" s="4">
        <f>I1209-J1209+K1209</f>
        <v>1</v>
      </c>
      <c r="M1209" s="2" t="str" cm="1">
        <f t="array" ref="M1209">_xlfn.IFS(L1209=0,"Out of Stock",L1209&gt;=2,"Limited Stock",L1209&lt;2,"In Stock")</f>
        <v>In Stock</v>
      </c>
    </row>
    <row r="1210" spans="2:13">
      <c r="B1210" s="2" t="s">
        <v>372</v>
      </c>
      <c r="C1210" s="5" t="str">
        <f>_xlfn.XLOOKUP(B1210,Master[Product_Code],Master[Category])</f>
        <v>Shirt</v>
      </c>
      <c r="D1210" s="2" t="str">
        <f>_xlfn.XLOOKUP(B1210,Master[Product_Code],Master[Brand])</f>
        <v>USD</v>
      </c>
      <c r="E1210" s="2" t="str">
        <f>_xlfn.XLOOKUP(B1210,Master[Product_Code],Master[Style])</f>
        <v>Partywear</v>
      </c>
      <c r="F1210" s="2" t="str">
        <f>_xlfn.XLOOKUP(B1210,Master[Product_Code],Master[Fabric])</f>
        <v>Polyester</v>
      </c>
      <c r="G1210" s="2" t="str">
        <f>_xlfn.XLOOKUP(B1210,Master[Product_Code],Master[Size])</f>
        <v>L</v>
      </c>
      <c r="H1210" s="2" t="str">
        <f>_xlfn.XLOOKUP(B1210,Master[Product_Code],Master[Color])</f>
        <v>Olive</v>
      </c>
      <c r="I1210" s="4">
        <f>_xlfn.XLOOKUP(B1210,Master[Product_Code],Master[Stock_Qty])</f>
        <v>3</v>
      </c>
      <c r="J1210" s="6">
        <f>SUMIFS(
  Sales_Entry[Qty],
  Sales_Entry[Product_Code], Stock_Table[[#This Row],[Product_Code]]
)</f>
        <v>3</v>
      </c>
      <c r="K1210" s="4">
        <f>SUMIFS(
  Exchange_Return[Qty],
  Exchange_Return[Product_Code], Stock_Table[[#This Row],[Product_Code]]
)</f>
        <v>0</v>
      </c>
      <c r="L1210" s="4">
        <f>I1210-J1210+K1210</f>
        <v>0</v>
      </c>
      <c r="M1210" s="2" t="str" cm="1">
        <f t="array" ref="M1210">_xlfn.IFS(L1210=0,"Out of Stock",L1210&gt;=2,"Limited Stock",L1210&lt;2,"In Stock")</f>
        <v>Out of Stock</v>
      </c>
    </row>
    <row r="1211" spans="2:13">
      <c r="B1211" s="2" t="s">
        <v>373</v>
      </c>
      <c r="C1211" s="5" t="str">
        <f>_xlfn.XLOOKUP(B1211,Master[Product_Code],Master[Category])</f>
        <v>Shirt</v>
      </c>
      <c r="D1211" s="2" t="str">
        <f>_xlfn.XLOOKUP(B1211,Master[Product_Code],Master[Brand])</f>
        <v>British</v>
      </c>
      <c r="E1211" s="2" t="str">
        <f>_xlfn.XLOOKUP(B1211,Master[Product_Code],Master[Style])</f>
        <v>Casual</v>
      </c>
      <c r="F1211" s="2" t="str">
        <f>_xlfn.XLOOKUP(B1211,Master[Product_Code],Master[Fabric])</f>
        <v>Lycra</v>
      </c>
      <c r="G1211" s="2" t="str">
        <f>_xlfn.XLOOKUP(B1211,Master[Product_Code],Master[Size])</f>
        <v>M</v>
      </c>
      <c r="H1211" s="2" t="str">
        <f>_xlfn.XLOOKUP(B1211,Master[Product_Code],Master[Color])</f>
        <v>Royal Blue</v>
      </c>
      <c r="I1211" s="4">
        <f>_xlfn.XLOOKUP(B1211,Master[Product_Code],Master[Stock_Qty])</f>
        <v>6</v>
      </c>
      <c r="J1211" s="6">
        <f>SUMIFS(
  Sales_Entry[Qty],
  Sales_Entry[Product_Code], Stock_Table[[#This Row],[Product_Code]]
)</f>
        <v>2</v>
      </c>
      <c r="K1211" s="4">
        <f>SUMIFS(
  Exchange_Return[Qty],
  Exchange_Return[Product_Code], Stock_Table[[#This Row],[Product_Code]]
)</f>
        <v>0</v>
      </c>
      <c r="L1211" s="4">
        <f>I1211-J1211+K1211</f>
        <v>4</v>
      </c>
      <c r="M1211" s="2" t="str" cm="1">
        <f t="array" ref="M1211">_xlfn.IFS(L1211=0,"Out of Stock",L1211&gt;=2,"Limited Stock",L1211&lt;2,"In Stock")</f>
        <v>Limited Stock</v>
      </c>
    </row>
    <row r="1212" spans="2:13">
      <c r="B1212" s="2" t="s">
        <v>374</v>
      </c>
      <c r="C1212" s="5" t="str">
        <f>_xlfn.XLOOKUP(B1212,Master[Product_Code],Master[Category])</f>
        <v>Shirt</v>
      </c>
      <c r="D1212" s="2" t="str">
        <f>_xlfn.XLOOKUP(B1212,Master[Product_Code],Master[Brand])</f>
        <v>Luke &amp; Burg</v>
      </c>
      <c r="E1212" s="2" t="str">
        <f>_xlfn.XLOOKUP(B1212,Master[Product_Code],Master[Style])</f>
        <v>Partywear</v>
      </c>
      <c r="F1212" s="2" t="str">
        <f>_xlfn.XLOOKUP(B1212,Master[Product_Code],Master[Fabric])</f>
        <v>Cotton Blend</v>
      </c>
      <c r="G1212" s="2" t="str">
        <f>_xlfn.XLOOKUP(B1212,Master[Product_Code],Master[Size])</f>
        <v>S</v>
      </c>
      <c r="H1212" s="2" t="str">
        <f>_xlfn.XLOOKUP(B1212,Master[Product_Code],Master[Color])</f>
        <v>Rust</v>
      </c>
      <c r="I1212" s="4">
        <f>_xlfn.XLOOKUP(B1212,Master[Product_Code],Master[Stock_Qty])</f>
        <v>3</v>
      </c>
      <c r="J1212" s="6">
        <f>SUMIFS(
  Sales_Entry[Qty],
  Sales_Entry[Product_Code], Stock_Table[[#This Row],[Product_Code]]
)</f>
        <v>3</v>
      </c>
      <c r="K1212" s="4">
        <f>SUMIFS(
  Exchange_Return[Qty],
  Exchange_Return[Product_Code], Stock_Table[[#This Row],[Product_Code]]
)</f>
        <v>0</v>
      </c>
      <c r="L1212" s="4">
        <f>I1212-J1212+K1212</f>
        <v>0</v>
      </c>
      <c r="M1212" s="2" t="str" cm="1">
        <f t="array" ref="M1212">_xlfn.IFS(L1212=0,"Out of Stock",L1212&gt;=2,"Limited Stock",L1212&lt;2,"In Stock")</f>
        <v>Out of Stock</v>
      </c>
    </row>
    <row r="1213" spans="2:13">
      <c r="B1213" s="2" t="s">
        <v>375</v>
      </c>
      <c r="C1213" s="5" t="str">
        <f>_xlfn.XLOOKUP(B1213,Master[Product_Code],Master[Category])</f>
        <v>Shirt</v>
      </c>
      <c r="D1213" s="2" t="str">
        <f>_xlfn.XLOOKUP(B1213,Master[Product_Code],Master[Brand])</f>
        <v>USD</v>
      </c>
      <c r="E1213" s="2" t="str">
        <f>_xlfn.XLOOKUP(B1213,Master[Product_Code],Master[Style])</f>
        <v>Casual</v>
      </c>
      <c r="F1213" s="2" t="str">
        <f>_xlfn.XLOOKUP(B1213,Master[Product_Code],Master[Fabric])</f>
        <v>Cotton Blend</v>
      </c>
      <c r="G1213" s="2" t="str">
        <f>_xlfn.XLOOKUP(B1213,Master[Product_Code],Master[Size])</f>
        <v>M</v>
      </c>
      <c r="H1213" s="2" t="str">
        <f>_xlfn.XLOOKUP(B1213,Master[Product_Code],Master[Color])</f>
        <v>Black</v>
      </c>
      <c r="I1213" s="4">
        <f>_xlfn.XLOOKUP(B1213,Master[Product_Code],Master[Stock_Qty])</f>
        <v>5</v>
      </c>
      <c r="J1213" s="6">
        <f>SUMIFS(
  Sales_Entry[Qty],
  Sales_Entry[Product_Code], Stock_Table[[#This Row],[Product_Code]]
)</f>
        <v>0</v>
      </c>
      <c r="K1213" s="4">
        <f>SUMIFS(
  Exchange_Return[Qty],
  Exchange_Return[Product_Code], Stock_Table[[#This Row],[Product_Code]]
)</f>
        <v>0</v>
      </c>
      <c r="L1213" s="4">
        <f>I1213-J1213+K1213</f>
        <v>5</v>
      </c>
      <c r="M1213" s="2" t="str" cm="1">
        <f t="array" ref="M1213">_xlfn.IFS(L1213=0,"Out of Stock",L1213&gt;=2,"Limited Stock",L1213&lt;2,"In Stock")</f>
        <v>Limited Stock</v>
      </c>
    </row>
    <row r="1214" spans="2:13">
      <c r="B1214" s="2" t="s">
        <v>376</v>
      </c>
      <c r="C1214" s="5" t="str">
        <f>_xlfn.XLOOKUP(B1214,Master[Product_Code],Master[Category])</f>
        <v>Shirt</v>
      </c>
      <c r="D1214" s="2" t="str">
        <f>_xlfn.XLOOKUP(B1214,Master[Product_Code],Master[Brand])</f>
        <v>G Studio</v>
      </c>
      <c r="E1214" s="2" t="str">
        <f>_xlfn.XLOOKUP(B1214,Master[Product_Code],Master[Style])</f>
        <v>Casual</v>
      </c>
      <c r="F1214" s="2" t="str">
        <f>_xlfn.XLOOKUP(B1214,Master[Product_Code],Master[Fabric])</f>
        <v>Cotton Blend</v>
      </c>
      <c r="G1214" s="2" t="str">
        <f>_xlfn.XLOOKUP(B1214,Master[Product_Code],Master[Size])</f>
        <v>L</v>
      </c>
      <c r="H1214" s="2" t="str">
        <f>_xlfn.XLOOKUP(B1214,Master[Product_Code],Master[Color])</f>
        <v>Brown</v>
      </c>
      <c r="I1214" s="4">
        <f>_xlfn.XLOOKUP(B1214,Master[Product_Code],Master[Stock_Qty])</f>
        <v>3</v>
      </c>
      <c r="J1214" s="6">
        <f>SUMIFS(
  Sales_Entry[Qty],
  Sales_Entry[Product_Code], Stock_Table[[#This Row],[Product_Code]]
)</f>
        <v>2</v>
      </c>
      <c r="K1214" s="4">
        <f>SUMIFS(
  Exchange_Return[Qty],
  Exchange_Return[Product_Code], Stock_Table[[#This Row],[Product_Code]]
)</f>
        <v>0</v>
      </c>
      <c r="L1214" s="4">
        <f>I1214-J1214+K1214</f>
        <v>1</v>
      </c>
      <c r="M1214" s="2" t="str" cm="1">
        <f t="array" ref="M1214">_xlfn.IFS(L1214=0,"Out of Stock",L1214&gt;=2,"Limited Stock",L1214&lt;2,"In Stock")</f>
        <v>In Stock</v>
      </c>
    </row>
    <row r="1215" spans="2:13">
      <c r="B1215" s="2" t="s">
        <v>377</v>
      </c>
      <c r="C1215" s="5" t="str">
        <f>_xlfn.XLOOKUP(B1215,Master[Product_Code],Master[Category])</f>
        <v>Shirt</v>
      </c>
      <c r="D1215" s="2" t="str">
        <f>_xlfn.XLOOKUP(B1215,Master[Product_Code],Master[Brand])</f>
        <v>British</v>
      </c>
      <c r="E1215" s="2" t="str">
        <f>_xlfn.XLOOKUP(B1215,Master[Product_Code],Master[Style])</f>
        <v>Partywear</v>
      </c>
      <c r="F1215" s="2" t="str">
        <f>_xlfn.XLOOKUP(B1215,Master[Product_Code],Master[Fabric])</f>
        <v>Lycra</v>
      </c>
      <c r="G1215" s="2" t="str">
        <f>_xlfn.XLOOKUP(B1215,Master[Product_Code],Master[Size])</f>
        <v>S</v>
      </c>
      <c r="H1215" s="2" t="str">
        <f>_xlfn.XLOOKUP(B1215,Master[Product_Code],Master[Color])</f>
        <v>Sky Blue</v>
      </c>
      <c r="I1215" s="4">
        <f>_xlfn.XLOOKUP(B1215,Master[Product_Code],Master[Stock_Qty])</f>
        <v>6</v>
      </c>
      <c r="J1215" s="6">
        <f>SUMIFS(
  Sales_Entry[Qty],
  Sales_Entry[Product_Code], Stock_Table[[#This Row],[Product_Code]]
)</f>
        <v>3</v>
      </c>
      <c r="K1215" s="4">
        <f>SUMIFS(
  Exchange_Return[Qty],
  Exchange_Return[Product_Code], Stock_Table[[#This Row],[Product_Code]]
)</f>
        <v>0</v>
      </c>
      <c r="L1215" s="4">
        <f>I1215-J1215+K1215</f>
        <v>3</v>
      </c>
      <c r="M1215" s="2" t="str" cm="1">
        <f t="array" ref="M1215">_xlfn.IFS(L1215=0,"Out of Stock",L1215&gt;=2,"Limited Stock",L1215&lt;2,"In Stock")</f>
        <v>Limited Stock</v>
      </c>
    </row>
    <row r="1216" spans="2:13">
      <c r="B1216" s="2" t="s">
        <v>378</v>
      </c>
      <c r="C1216" s="5" t="str">
        <f>_xlfn.XLOOKUP(B1216,Master[Product_Code],Master[Category])</f>
        <v>Shirt</v>
      </c>
      <c r="D1216" s="2" t="str">
        <f>_xlfn.XLOOKUP(B1216,Master[Product_Code],Master[Brand])</f>
        <v>USD</v>
      </c>
      <c r="E1216" s="2" t="str">
        <f>_xlfn.XLOOKUP(B1216,Master[Product_Code],Master[Style])</f>
        <v>Casual</v>
      </c>
      <c r="F1216" s="2" t="str">
        <f>_xlfn.XLOOKUP(B1216,Master[Product_Code],Master[Fabric])</f>
        <v>Cotton Blend</v>
      </c>
      <c r="G1216" s="2" t="str">
        <f>_xlfn.XLOOKUP(B1216,Master[Product_Code],Master[Size])</f>
        <v>S</v>
      </c>
      <c r="H1216" s="2" t="str">
        <f>_xlfn.XLOOKUP(B1216,Master[Product_Code],Master[Color])</f>
        <v>Brown</v>
      </c>
      <c r="I1216" s="4">
        <f>_xlfn.XLOOKUP(B1216,Master[Product_Code],Master[Stock_Qty])</f>
        <v>5</v>
      </c>
      <c r="J1216" s="6">
        <f>SUMIFS(
  Sales_Entry[Qty],
  Sales_Entry[Product_Code], Stock_Table[[#This Row],[Product_Code]]
)</f>
        <v>0</v>
      </c>
      <c r="K1216" s="4">
        <f>SUMIFS(
  Exchange_Return[Qty],
  Exchange_Return[Product_Code], Stock_Table[[#This Row],[Product_Code]]
)</f>
        <v>0</v>
      </c>
      <c r="L1216" s="4">
        <f>I1216-J1216+K1216</f>
        <v>5</v>
      </c>
      <c r="M1216" s="2" t="str" cm="1">
        <f t="array" ref="M1216">_xlfn.IFS(L1216=0,"Out of Stock",L1216&gt;=2,"Limited Stock",L1216&lt;2,"In Stock")</f>
        <v>Limited Stock</v>
      </c>
    </row>
    <row r="1217" spans="2:13">
      <c r="B1217" s="2" t="s">
        <v>379</v>
      </c>
      <c r="C1217" s="5" t="str">
        <f>_xlfn.XLOOKUP(B1217,Master[Product_Code],Master[Category])</f>
        <v>Shirt</v>
      </c>
      <c r="D1217" s="2" t="str">
        <f>_xlfn.XLOOKUP(B1217,Master[Product_Code],Master[Brand])</f>
        <v>G Studio</v>
      </c>
      <c r="E1217" s="2" t="str">
        <f>_xlfn.XLOOKUP(B1217,Master[Product_Code],Master[Style])</f>
        <v>Formal</v>
      </c>
      <c r="F1217" s="2" t="str">
        <f>_xlfn.XLOOKUP(B1217,Master[Product_Code],Master[Fabric])</f>
        <v>Lycra</v>
      </c>
      <c r="G1217" s="2" t="str">
        <f>_xlfn.XLOOKUP(B1217,Master[Product_Code],Master[Size])</f>
        <v>XL</v>
      </c>
      <c r="H1217" s="2" t="str">
        <f>_xlfn.XLOOKUP(B1217,Master[Product_Code],Master[Color])</f>
        <v>Maroon</v>
      </c>
      <c r="I1217" s="4">
        <f>_xlfn.XLOOKUP(B1217,Master[Product_Code],Master[Stock_Qty])</f>
        <v>6</v>
      </c>
      <c r="J1217" s="6">
        <f>SUMIFS(
  Sales_Entry[Qty],
  Sales_Entry[Product_Code], Stock_Table[[#This Row],[Product_Code]]
)</f>
        <v>3</v>
      </c>
      <c r="K1217" s="4">
        <f>SUMIFS(
  Exchange_Return[Qty],
  Exchange_Return[Product_Code], Stock_Table[[#This Row],[Product_Code]]
)</f>
        <v>0</v>
      </c>
      <c r="L1217" s="4">
        <f>I1217-J1217+K1217</f>
        <v>3</v>
      </c>
      <c r="M1217" s="2" t="str" cm="1">
        <f t="array" ref="M1217">_xlfn.IFS(L1217=0,"Out of Stock",L1217&gt;=2,"Limited Stock",L1217&lt;2,"In Stock")</f>
        <v>Limited Stock</v>
      </c>
    </row>
    <row r="1218" spans="2:13">
      <c r="B1218" s="2" t="s">
        <v>380</v>
      </c>
      <c r="C1218" s="5" t="str">
        <f>_xlfn.XLOOKUP(B1218,Master[Product_Code],Master[Category])</f>
        <v>Shirt</v>
      </c>
      <c r="D1218" s="2" t="str">
        <f>_xlfn.XLOOKUP(B1218,Master[Product_Code],Master[Brand])</f>
        <v>British</v>
      </c>
      <c r="E1218" s="2" t="str">
        <f>_xlfn.XLOOKUP(B1218,Master[Product_Code],Master[Style])</f>
        <v>Casual</v>
      </c>
      <c r="F1218" s="2" t="str">
        <f>_xlfn.XLOOKUP(B1218,Master[Product_Code],Master[Fabric])</f>
        <v>Polyester</v>
      </c>
      <c r="G1218" s="2" t="str">
        <f>_xlfn.XLOOKUP(B1218,Master[Product_Code],Master[Size])</f>
        <v>XXL</v>
      </c>
      <c r="H1218" s="2" t="str">
        <f>_xlfn.XLOOKUP(B1218,Master[Product_Code],Master[Color])</f>
        <v>Grey</v>
      </c>
      <c r="I1218" s="4">
        <f>_xlfn.XLOOKUP(B1218,Master[Product_Code],Master[Stock_Qty])</f>
        <v>4</v>
      </c>
      <c r="J1218" s="6">
        <f>SUMIFS(
  Sales_Entry[Qty],
  Sales_Entry[Product_Code], Stock_Table[[#This Row],[Product_Code]]
)</f>
        <v>2</v>
      </c>
      <c r="K1218" s="4">
        <f>SUMIFS(
  Exchange_Return[Qty],
  Exchange_Return[Product_Code], Stock_Table[[#This Row],[Product_Code]]
)</f>
        <v>0</v>
      </c>
      <c r="L1218" s="4">
        <f>I1218-J1218+K1218</f>
        <v>2</v>
      </c>
      <c r="M1218" s="2" t="str" cm="1">
        <f t="array" ref="M1218">_xlfn.IFS(L1218=0,"Out of Stock",L1218&gt;=2,"Limited Stock",L1218&lt;2,"In Stock")</f>
        <v>Limited Stock</v>
      </c>
    </row>
    <row r="1219" spans="2:13">
      <c r="B1219" s="2" t="s">
        <v>381</v>
      </c>
      <c r="C1219" s="5" t="str">
        <f>_xlfn.XLOOKUP(B1219,Master[Product_Code],Master[Category])</f>
        <v>Shirt</v>
      </c>
      <c r="D1219" s="2" t="str">
        <f>_xlfn.XLOOKUP(B1219,Master[Product_Code],Master[Brand])</f>
        <v>L7</v>
      </c>
      <c r="E1219" s="2" t="str">
        <f>_xlfn.XLOOKUP(B1219,Master[Product_Code],Master[Style])</f>
        <v>Partywear</v>
      </c>
      <c r="F1219" s="2" t="str">
        <f>_xlfn.XLOOKUP(B1219,Master[Product_Code],Master[Fabric])</f>
        <v>Polyester</v>
      </c>
      <c r="G1219" s="2" t="str">
        <f>_xlfn.XLOOKUP(B1219,Master[Product_Code],Master[Size])</f>
        <v>XXL</v>
      </c>
      <c r="H1219" s="2" t="str">
        <f>_xlfn.XLOOKUP(B1219,Master[Product_Code],Master[Color])</f>
        <v>Teal</v>
      </c>
      <c r="I1219" s="4">
        <f>_xlfn.XLOOKUP(B1219,Master[Product_Code],Master[Stock_Qty])</f>
        <v>3</v>
      </c>
      <c r="J1219" s="6">
        <f>SUMIFS(
  Sales_Entry[Qty],
  Sales_Entry[Product_Code], Stock_Table[[#This Row],[Product_Code]]
)</f>
        <v>1</v>
      </c>
      <c r="K1219" s="4">
        <f>SUMIFS(
  Exchange_Return[Qty],
  Exchange_Return[Product_Code], Stock_Table[[#This Row],[Product_Code]]
)</f>
        <v>0</v>
      </c>
      <c r="L1219" s="4">
        <f>I1219-J1219+K1219</f>
        <v>2</v>
      </c>
      <c r="M1219" s="2" t="str" cm="1">
        <f t="array" ref="M1219">_xlfn.IFS(L1219=0,"Out of Stock",L1219&gt;=2,"Limited Stock",L1219&lt;2,"In Stock")</f>
        <v>Limited Stock</v>
      </c>
    </row>
    <row r="1220" spans="2:13">
      <c r="B1220" s="2" t="s">
        <v>382</v>
      </c>
      <c r="C1220" s="5" t="str">
        <f>_xlfn.XLOOKUP(B1220,Master[Product_Code],Master[Category])</f>
        <v>Shirt</v>
      </c>
      <c r="D1220" s="2" t="str">
        <f>_xlfn.XLOOKUP(B1220,Master[Product_Code],Master[Brand])</f>
        <v>L7</v>
      </c>
      <c r="E1220" s="2" t="str">
        <f>_xlfn.XLOOKUP(B1220,Master[Product_Code],Master[Style])</f>
        <v>Formal</v>
      </c>
      <c r="F1220" s="2" t="str">
        <f>_xlfn.XLOOKUP(B1220,Master[Product_Code],Master[Fabric])</f>
        <v>Lycra</v>
      </c>
      <c r="G1220" s="2" t="str">
        <f>_xlfn.XLOOKUP(B1220,Master[Product_Code],Master[Size])</f>
        <v>XXL</v>
      </c>
      <c r="H1220" s="2" t="str">
        <f>_xlfn.XLOOKUP(B1220,Master[Product_Code],Master[Color])</f>
        <v>Dark Green</v>
      </c>
      <c r="I1220" s="4">
        <f>_xlfn.XLOOKUP(B1220,Master[Product_Code],Master[Stock_Qty])</f>
        <v>4</v>
      </c>
      <c r="J1220" s="6">
        <f>SUMIFS(
  Sales_Entry[Qty],
  Sales_Entry[Product_Code], Stock_Table[[#This Row],[Product_Code]]
)</f>
        <v>3</v>
      </c>
      <c r="K1220" s="4">
        <f>SUMIFS(
  Exchange_Return[Qty],
  Exchange_Return[Product_Code], Stock_Table[[#This Row],[Product_Code]]
)</f>
        <v>0</v>
      </c>
      <c r="L1220" s="4">
        <f>I1220-J1220+K1220</f>
        <v>1</v>
      </c>
      <c r="M1220" s="2" t="str" cm="1">
        <f t="array" ref="M1220">_xlfn.IFS(L1220=0,"Out of Stock",L1220&gt;=2,"Limited Stock",L1220&lt;2,"In Stock")</f>
        <v>In Stock</v>
      </c>
    </row>
    <row r="1221" spans="2:13">
      <c r="B1221" s="2" t="s">
        <v>383</v>
      </c>
      <c r="C1221" s="5" t="str">
        <f>_xlfn.XLOOKUP(B1221,Master[Product_Code],Master[Category])</f>
        <v>Shirt</v>
      </c>
      <c r="D1221" s="2" t="str">
        <f>_xlfn.XLOOKUP(B1221,Master[Product_Code],Master[Brand])</f>
        <v>British</v>
      </c>
      <c r="E1221" s="2" t="str">
        <f>_xlfn.XLOOKUP(B1221,Master[Product_Code],Master[Style])</f>
        <v>Partywear</v>
      </c>
      <c r="F1221" s="2" t="str">
        <f>_xlfn.XLOOKUP(B1221,Master[Product_Code],Master[Fabric])</f>
        <v>Polyester</v>
      </c>
      <c r="G1221" s="2" t="str">
        <f>_xlfn.XLOOKUP(B1221,Master[Product_Code],Master[Size])</f>
        <v>S</v>
      </c>
      <c r="H1221" s="2" t="str">
        <f>_xlfn.XLOOKUP(B1221,Master[Product_Code],Master[Color])</f>
        <v>Grey</v>
      </c>
      <c r="I1221" s="4">
        <f>_xlfn.XLOOKUP(B1221,Master[Product_Code],Master[Stock_Qty])</f>
        <v>6</v>
      </c>
      <c r="J1221" s="6">
        <f>SUMIFS(
  Sales_Entry[Qty],
  Sales_Entry[Product_Code], Stock_Table[[#This Row],[Product_Code]]
)</f>
        <v>0</v>
      </c>
      <c r="K1221" s="4">
        <f>SUMIFS(
  Exchange_Return[Qty],
  Exchange_Return[Product_Code], Stock_Table[[#This Row],[Product_Code]]
)</f>
        <v>0</v>
      </c>
      <c r="L1221" s="4">
        <f>I1221-J1221+K1221</f>
        <v>6</v>
      </c>
      <c r="M1221" s="2" t="str" cm="1">
        <f t="array" ref="M1221">_xlfn.IFS(L1221=0,"Out of Stock",L1221&gt;=2,"Limited Stock",L1221&lt;2,"In Stock")</f>
        <v>Limited Stock</v>
      </c>
    </row>
    <row r="1222" spans="2:13">
      <c r="B1222" s="2" t="s">
        <v>384</v>
      </c>
      <c r="C1222" s="5" t="str">
        <f>_xlfn.XLOOKUP(B1222,Master[Product_Code],Master[Category])</f>
        <v>Shirt</v>
      </c>
      <c r="D1222" s="2" t="str">
        <f>_xlfn.XLOOKUP(B1222,Master[Product_Code],Master[Brand])</f>
        <v>H&amp;M</v>
      </c>
      <c r="E1222" s="2" t="str">
        <f>_xlfn.XLOOKUP(B1222,Master[Product_Code],Master[Style])</f>
        <v>Casual</v>
      </c>
      <c r="F1222" s="2" t="str">
        <f>_xlfn.XLOOKUP(B1222,Master[Product_Code],Master[Fabric])</f>
        <v>Cotton</v>
      </c>
      <c r="G1222" s="2" t="str">
        <f>_xlfn.XLOOKUP(B1222,Master[Product_Code],Master[Size])</f>
        <v>XL</v>
      </c>
      <c r="H1222" s="2" t="str">
        <f>_xlfn.XLOOKUP(B1222,Master[Product_Code],Master[Color])</f>
        <v>Maroon</v>
      </c>
      <c r="I1222" s="4">
        <f>_xlfn.XLOOKUP(B1222,Master[Product_Code],Master[Stock_Qty])</f>
        <v>6</v>
      </c>
      <c r="J1222" s="6">
        <f>SUMIFS(
  Sales_Entry[Qty],
  Sales_Entry[Product_Code], Stock_Table[[#This Row],[Product_Code]]
)</f>
        <v>4</v>
      </c>
      <c r="K1222" s="4">
        <f>SUMIFS(
  Exchange_Return[Qty],
  Exchange_Return[Product_Code], Stock_Table[[#This Row],[Product_Code]]
)</f>
        <v>1</v>
      </c>
      <c r="L1222" s="4">
        <f>I1222-J1222+K1222</f>
        <v>3</v>
      </c>
      <c r="M1222" s="2" t="str" cm="1">
        <f t="array" ref="M1222">_xlfn.IFS(L1222=0,"Out of Stock",L1222&gt;=2,"Limited Stock",L1222&lt;2,"In Stock")</f>
        <v>Limited Stock</v>
      </c>
    </row>
    <row r="1223" spans="2:13">
      <c r="B1223" s="2" t="s">
        <v>385</v>
      </c>
      <c r="C1223" s="5" t="str">
        <f>_xlfn.XLOOKUP(B1223,Master[Product_Code],Master[Category])</f>
        <v>Shirt</v>
      </c>
      <c r="D1223" s="2" t="str">
        <f>_xlfn.XLOOKUP(B1223,Master[Product_Code],Master[Brand])</f>
        <v>Zara</v>
      </c>
      <c r="E1223" s="2" t="str">
        <f>_xlfn.XLOOKUP(B1223,Master[Product_Code],Master[Style])</f>
        <v>Partywear</v>
      </c>
      <c r="F1223" s="2" t="str">
        <f>_xlfn.XLOOKUP(B1223,Master[Product_Code],Master[Fabric])</f>
        <v>Polyester</v>
      </c>
      <c r="G1223" s="2" t="str">
        <f>_xlfn.XLOOKUP(B1223,Master[Product_Code],Master[Size])</f>
        <v>L</v>
      </c>
      <c r="H1223" s="2" t="str">
        <f>_xlfn.XLOOKUP(B1223,Master[Product_Code],Master[Color])</f>
        <v>Black</v>
      </c>
      <c r="I1223" s="4">
        <f>_xlfn.XLOOKUP(B1223,Master[Product_Code],Master[Stock_Qty])</f>
        <v>6</v>
      </c>
      <c r="J1223" s="6">
        <f>SUMIFS(
  Sales_Entry[Qty],
  Sales_Entry[Product_Code], Stock_Table[[#This Row],[Product_Code]]
)</f>
        <v>1</v>
      </c>
      <c r="K1223" s="4">
        <f>SUMIFS(
  Exchange_Return[Qty],
  Exchange_Return[Product_Code], Stock_Table[[#This Row],[Product_Code]]
)</f>
        <v>0</v>
      </c>
      <c r="L1223" s="4">
        <f>I1223-J1223+K1223</f>
        <v>5</v>
      </c>
      <c r="M1223" s="2" t="str" cm="1">
        <f t="array" ref="M1223">_xlfn.IFS(L1223=0,"Out of Stock",L1223&gt;=2,"Limited Stock",L1223&lt;2,"In Stock")</f>
        <v>Limited Stock</v>
      </c>
    </row>
    <row r="1224" spans="2:13">
      <c r="B1224" s="2" t="s">
        <v>386</v>
      </c>
      <c r="C1224" s="5" t="str">
        <f>_xlfn.XLOOKUP(B1224,Master[Product_Code],Master[Category])</f>
        <v>Shirt</v>
      </c>
      <c r="D1224" s="2" t="str">
        <f>_xlfn.XLOOKUP(B1224,Master[Product_Code],Master[Brand])</f>
        <v>Zara</v>
      </c>
      <c r="E1224" s="2" t="str">
        <f>_xlfn.XLOOKUP(B1224,Master[Product_Code],Master[Style])</f>
        <v>Partywear</v>
      </c>
      <c r="F1224" s="2" t="str">
        <f>_xlfn.XLOOKUP(B1224,Master[Product_Code],Master[Fabric])</f>
        <v>Lycra</v>
      </c>
      <c r="G1224" s="2" t="str">
        <f>_xlfn.XLOOKUP(B1224,Master[Product_Code],Master[Size])</f>
        <v>XXL</v>
      </c>
      <c r="H1224" s="2" t="str">
        <f>_xlfn.XLOOKUP(B1224,Master[Product_Code],Master[Color])</f>
        <v>Navy Blue</v>
      </c>
      <c r="I1224" s="4">
        <f>_xlfn.XLOOKUP(B1224,Master[Product_Code],Master[Stock_Qty])</f>
        <v>3</v>
      </c>
      <c r="J1224" s="6">
        <f>SUMIFS(
  Sales_Entry[Qty],
  Sales_Entry[Product_Code], Stock_Table[[#This Row],[Product_Code]]
)</f>
        <v>1</v>
      </c>
      <c r="K1224" s="4">
        <f>SUMIFS(
  Exchange_Return[Qty],
  Exchange_Return[Product_Code], Stock_Table[[#This Row],[Product_Code]]
)</f>
        <v>0</v>
      </c>
      <c r="L1224" s="4">
        <f>I1224-J1224+K1224</f>
        <v>2</v>
      </c>
      <c r="M1224" s="2" t="str" cm="1">
        <f t="array" ref="M1224">_xlfn.IFS(L1224=0,"Out of Stock",L1224&gt;=2,"Limited Stock",L1224&lt;2,"In Stock")</f>
        <v>Limited Stock</v>
      </c>
    </row>
    <row r="1225" spans="2:13">
      <c r="B1225" s="2" t="s">
        <v>387</v>
      </c>
      <c r="C1225" s="5" t="str">
        <f>_xlfn.XLOOKUP(B1225,Master[Product_Code],Master[Category])</f>
        <v>Shirt</v>
      </c>
      <c r="D1225" s="2" t="str">
        <f>_xlfn.XLOOKUP(B1225,Master[Product_Code],Master[Brand])</f>
        <v>British</v>
      </c>
      <c r="E1225" s="2" t="str">
        <f>_xlfn.XLOOKUP(B1225,Master[Product_Code],Master[Style])</f>
        <v>Partywear</v>
      </c>
      <c r="F1225" s="2" t="str">
        <f>_xlfn.XLOOKUP(B1225,Master[Product_Code],Master[Fabric])</f>
        <v>Cotton</v>
      </c>
      <c r="G1225" s="2" t="str">
        <f>_xlfn.XLOOKUP(B1225,Master[Product_Code],Master[Size])</f>
        <v>XXL</v>
      </c>
      <c r="H1225" s="2" t="str">
        <f>_xlfn.XLOOKUP(B1225,Master[Product_Code],Master[Color])</f>
        <v>White</v>
      </c>
      <c r="I1225" s="4">
        <f>_xlfn.XLOOKUP(B1225,Master[Product_Code],Master[Stock_Qty])</f>
        <v>3</v>
      </c>
      <c r="J1225" s="6">
        <f>SUMIFS(
  Sales_Entry[Qty],
  Sales_Entry[Product_Code], Stock_Table[[#This Row],[Product_Code]]
)</f>
        <v>1</v>
      </c>
      <c r="K1225" s="4">
        <f>SUMIFS(
  Exchange_Return[Qty],
  Exchange_Return[Product_Code], Stock_Table[[#This Row],[Product_Code]]
)</f>
        <v>0</v>
      </c>
      <c r="L1225" s="4">
        <f>I1225-J1225+K1225</f>
        <v>2</v>
      </c>
      <c r="M1225" s="2" t="str" cm="1">
        <f t="array" ref="M1225">_xlfn.IFS(L1225=0,"Out of Stock",L1225&gt;=2,"Limited Stock",L1225&lt;2,"In Stock")</f>
        <v>Limited Stock</v>
      </c>
    </row>
    <row r="1226" spans="2:13">
      <c r="B1226" s="2" t="s">
        <v>388</v>
      </c>
      <c r="C1226" s="5" t="str">
        <f>_xlfn.XLOOKUP(B1226,Master[Product_Code],Master[Category])</f>
        <v>Shirt</v>
      </c>
      <c r="D1226" s="2" t="str">
        <f>_xlfn.XLOOKUP(B1226,Master[Product_Code],Master[Brand])</f>
        <v>Zara</v>
      </c>
      <c r="E1226" s="2" t="str">
        <f>_xlfn.XLOOKUP(B1226,Master[Product_Code],Master[Style])</f>
        <v>Casual</v>
      </c>
      <c r="F1226" s="2" t="str">
        <f>_xlfn.XLOOKUP(B1226,Master[Product_Code],Master[Fabric])</f>
        <v>Polyester</v>
      </c>
      <c r="G1226" s="2" t="str">
        <f>_xlfn.XLOOKUP(B1226,Master[Product_Code],Master[Size])</f>
        <v>M</v>
      </c>
      <c r="H1226" s="2" t="str">
        <f>_xlfn.XLOOKUP(B1226,Master[Product_Code],Master[Color])</f>
        <v>Maroon</v>
      </c>
      <c r="I1226" s="4">
        <f>_xlfn.XLOOKUP(B1226,Master[Product_Code],Master[Stock_Qty])</f>
        <v>6</v>
      </c>
      <c r="J1226" s="6">
        <f>SUMIFS(
  Sales_Entry[Qty],
  Sales_Entry[Product_Code], Stock_Table[[#This Row],[Product_Code]]
)</f>
        <v>3</v>
      </c>
      <c r="K1226" s="4">
        <f>SUMIFS(
  Exchange_Return[Qty],
  Exchange_Return[Product_Code], Stock_Table[[#This Row],[Product_Code]]
)</f>
        <v>0</v>
      </c>
      <c r="L1226" s="4">
        <f>I1226-J1226+K1226</f>
        <v>3</v>
      </c>
      <c r="M1226" s="2" t="str" cm="1">
        <f t="array" ref="M1226">_xlfn.IFS(L1226=0,"Out of Stock",L1226&gt;=2,"Limited Stock",L1226&lt;2,"In Stock")</f>
        <v>Limited Stock</v>
      </c>
    </row>
    <row r="1227" spans="2:13">
      <c r="B1227" s="2" t="s">
        <v>389</v>
      </c>
      <c r="C1227" s="5" t="str">
        <f>_xlfn.XLOOKUP(B1227,Master[Product_Code],Master[Category])</f>
        <v>Shirt</v>
      </c>
      <c r="D1227" s="2" t="str">
        <f>_xlfn.XLOOKUP(B1227,Master[Product_Code],Master[Brand])</f>
        <v>Luke &amp; Burg</v>
      </c>
      <c r="E1227" s="2" t="str">
        <f>_xlfn.XLOOKUP(B1227,Master[Product_Code],Master[Style])</f>
        <v>Casual</v>
      </c>
      <c r="F1227" s="2" t="str">
        <f>_xlfn.XLOOKUP(B1227,Master[Product_Code],Master[Fabric])</f>
        <v>Polyester</v>
      </c>
      <c r="G1227" s="2" t="str">
        <f>_xlfn.XLOOKUP(B1227,Master[Product_Code],Master[Size])</f>
        <v>XL</v>
      </c>
      <c r="H1227" s="2" t="str">
        <f>_xlfn.XLOOKUP(B1227,Master[Product_Code],Master[Color])</f>
        <v>Navy Blue</v>
      </c>
      <c r="I1227" s="4">
        <f>_xlfn.XLOOKUP(B1227,Master[Product_Code],Master[Stock_Qty])</f>
        <v>4</v>
      </c>
      <c r="J1227" s="6">
        <f>SUMIFS(
  Sales_Entry[Qty],
  Sales_Entry[Product_Code], Stock_Table[[#This Row],[Product_Code]]
)</f>
        <v>0</v>
      </c>
      <c r="K1227" s="4">
        <f>SUMIFS(
  Exchange_Return[Qty],
  Exchange_Return[Product_Code], Stock_Table[[#This Row],[Product_Code]]
)</f>
        <v>0</v>
      </c>
      <c r="L1227" s="4">
        <f>I1227-J1227+K1227</f>
        <v>4</v>
      </c>
      <c r="M1227" s="2" t="str" cm="1">
        <f t="array" ref="M1227">_xlfn.IFS(L1227=0,"Out of Stock",L1227&gt;=2,"Limited Stock",L1227&lt;2,"In Stock")</f>
        <v>Limited Stock</v>
      </c>
    </row>
    <row r="1228" spans="2:13">
      <c r="B1228" s="2" t="s">
        <v>390</v>
      </c>
      <c r="C1228" s="5" t="str">
        <f>_xlfn.XLOOKUP(B1228,Master[Product_Code],Master[Category])</f>
        <v>Shirt</v>
      </c>
      <c r="D1228" s="2" t="str">
        <f>_xlfn.XLOOKUP(B1228,Master[Product_Code],Master[Brand])</f>
        <v>British</v>
      </c>
      <c r="E1228" s="2" t="str">
        <f>_xlfn.XLOOKUP(B1228,Master[Product_Code],Master[Style])</f>
        <v>Formal</v>
      </c>
      <c r="F1228" s="2" t="str">
        <f>_xlfn.XLOOKUP(B1228,Master[Product_Code],Master[Fabric])</f>
        <v>Lycra</v>
      </c>
      <c r="G1228" s="2" t="str">
        <f>_xlfn.XLOOKUP(B1228,Master[Product_Code],Master[Size])</f>
        <v>XXL</v>
      </c>
      <c r="H1228" s="2" t="str">
        <f>_xlfn.XLOOKUP(B1228,Master[Product_Code],Master[Color])</f>
        <v>Rust</v>
      </c>
      <c r="I1228" s="4">
        <f>_xlfn.XLOOKUP(B1228,Master[Product_Code],Master[Stock_Qty])</f>
        <v>4</v>
      </c>
      <c r="J1228" s="6">
        <f>SUMIFS(
  Sales_Entry[Qty],
  Sales_Entry[Product_Code], Stock_Table[[#This Row],[Product_Code]]
)</f>
        <v>1</v>
      </c>
      <c r="K1228" s="4">
        <f>SUMIFS(
  Exchange_Return[Qty],
  Exchange_Return[Product_Code], Stock_Table[[#This Row],[Product_Code]]
)</f>
        <v>0</v>
      </c>
      <c r="L1228" s="4">
        <f>I1228-J1228+K1228</f>
        <v>3</v>
      </c>
      <c r="M1228" s="2" t="str" cm="1">
        <f t="array" ref="M1228">_xlfn.IFS(L1228=0,"Out of Stock",L1228&gt;=2,"Limited Stock",L1228&lt;2,"In Stock")</f>
        <v>Limited Stock</v>
      </c>
    </row>
    <row r="1229" spans="2:13">
      <c r="B1229" s="2" t="s">
        <v>391</v>
      </c>
      <c r="C1229" s="5" t="str">
        <f>_xlfn.XLOOKUP(B1229,Master[Product_Code],Master[Category])</f>
        <v>Shirt</v>
      </c>
      <c r="D1229" s="2" t="str">
        <f>_xlfn.XLOOKUP(B1229,Master[Product_Code],Master[Brand])</f>
        <v>G Studio</v>
      </c>
      <c r="E1229" s="2" t="str">
        <f>_xlfn.XLOOKUP(B1229,Master[Product_Code],Master[Style])</f>
        <v>Formal</v>
      </c>
      <c r="F1229" s="2" t="str">
        <f>_xlfn.XLOOKUP(B1229,Master[Product_Code],Master[Fabric])</f>
        <v>Cotton</v>
      </c>
      <c r="G1229" s="2" t="str">
        <f>_xlfn.XLOOKUP(B1229,Master[Product_Code],Master[Size])</f>
        <v>L</v>
      </c>
      <c r="H1229" s="2" t="str">
        <f>_xlfn.XLOOKUP(B1229,Master[Product_Code],Master[Color])</f>
        <v>Cream</v>
      </c>
      <c r="I1229" s="4">
        <f>_xlfn.XLOOKUP(B1229,Master[Product_Code],Master[Stock_Qty])</f>
        <v>6</v>
      </c>
      <c r="J1229" s="6">
        <f>SUMIFS(
  Sales_Entry[Qty],
  Sales_Entry[Product_Code], Stock_Table[[#This Row],[Product_Code]]
)</f>
        <v>4</v>
      </c>
      <c r="K1229" s="4">
        <f>SUMIFS(
  Exchange_Return[Qty],
  Exchange_Return[Product_Code], Stock_Table[[#This Row],[Product_Code]]
)</f>
        <v>0</v>
      </c>
      <c r="L1229" s="4">
        <f>I1229-J1229+K1229</f>
        <v>2</v>
      </c>
      <c r="M1229" s="2" t="str" cm="1">
        <f t="array" ref="M1229">_xlfn.IFS(L1229=0,"Out of Stock",L1229&gt;=2,"Limited Stock",L1229&lt;2,"In Stock")</f>
        <v>Limited Stock</v>
      </c>
    </row>
    <row r="1230" spans="2:13">
      <c r="B1230" s="2" t="s">
        <v>392</v>
      </c>
      <c r="C1230" s="5" t="str">
        <f>_xlfn.XLOOKUP(B1230,Master[Product_Code],Master[Category])</f>
        <v>Shirt</v>
      </c>
      <c r="D1230" s="2" t="str">
        <f>_xlfn.XLOOKUP(B1230,Master[Product_Code],Master[Brand])</f>
        <v>Luke &amp; Burg</v>
      </c>
      <c r="E1230" s="2" t="str">
        <f>_xlfn.XLOOKUP(B1230,Master[Product_Code],Master[Style])</f>
        <v>Formal</v>
      </c>
      <c r="F1230" s="2" t="str">
        <f>_xlfn.XLOOKUP(B1230,Master[Product_Code],Master[Fabric])</f>
        <v>Lycra</v>
      </c>
      <c r="G1230" s="2" t="str">
        <f>_xlfn.XLOOKUP(B1230,Master[Product_Code],Master[Size])</f>
        <v>XL</v>
      </c>
      <c r="H1230" s="2" t="str">
        <f>_xlfn.XLOOKUP(B1230,Master[Product_Code],Master[Color])</f>
        <v>Teal</v>
      </c>
      <c r="I1230" s="4">
        <f>_xlfn.XLOOKUP(B1230,Master[Product_Code],Master[Stock_Qty])</f>
        <v>4</v>
      </c>
      <c r="J1230" s="6">
        <f>SUMIFS(
  Sales_Entry[Qty],
  Sales_Entry[Product_Code], Stock_Table[[#This Row],[Product_Code]]
)</f>
        <v>3</v>
      </c>
      <c r="K1230" s="4">
        <f>SUMIFS(
  Exchange_Return[Qty],
  Exchange_Return[Product_Code], Stock_Table[[#This Row],[Product_Code]]
)</f>
        <v>0</v>
      </c>
      <c r="L1230" s="4">
        <f>I1230-J1230+K1230</f>
        <v>1</v>
      </c>
      <c r="M1230" s="2" t="str" cm="1">
        <f t="array" ref="M1230">_xlfn.IFS(L1230=0,"Out of Stock",L1230&gt;=2,"Limited Stock",L1230&lt;2,"In Stock")</f>
        <v>In Stock</v>
      </c>
    </row>
    <row r="1231" spans="2:13">
      <c r="B1231" s="2" t="s">
        <v>393</v>
      </c>
      <c r="C1231" s="5" t="str">
        <f>_xlfn.XLOOKUP(B1231,Master[Product_Code],Master[Category])</f>
        <v>Shirt</v>
      </c>
      <c r="D1231" s="2" t="str">
        <f>_xlfn.XLOOKUP(B1231,Master[Product_Code],Master[Brand])</f>
        <v>G Studio</v>
      </c>
      <c r="E1231" s="2" t="str">
        <f>_xlfn.XLOOKUP(B1231,Master[Product_Code],Master[Style])</f>
        <v>Partywear</v>
      </c>
      <c r="F1231" s="2" t="str">
        <f>_xlfn.XLOOKUP(B1231,Master[Product_Code],Master[Fabric])</f>
        <v>Cotton</v>
      </c>
      <c r="G1231" s="2" t="str">
        <f>_xlfn.XLOOKUP(B1231,Master[Product_Code],Master[Size])</f>
        <v>S</v>
      </c>
      <c r="H1231" s="2" t="str">
        <f>_xlfn.XLOOKUP(B1231,Master[Product_Code],Master[Color])</f>
        <v>Bottle Green</v>
      </c>
      <c r="I1231" s="4">
        <f>_xlfn.XLOOKUP(B1231,Master[Product_Code],Master[Stock_Qty])</f>
        <v>3</v>
      </c>
      <c r="J1231" s="6">
        <f>SUMIFS(
  Sales_Entry[Qty],
  Sales_Entry[Product_Code], Stock_Table[[#This Row],[Product_Code]]
)</f>
        <v>2</v>
      </c>
      <c r="K1231" s="4">
        <f>SUMIFS(
  Exchange_Return[Qty],
  Exchange_Return[Product_Code], Stock_Table[[#This Row],[Product_Code]]
)</f>
        <v>0</v>
      </c>
      <c r="L1231" s="4">
        <f>I1231-J1231+K1231</f>
        <v>1</v>
      </c>
      <c r="M1231" s="2" t="str" cm="1">
        <f t="array" ref="M1231">_xlfn.IFS(L1231=0,"Out of Stock",L1231&gt;=2,"Limited Stock",L1231&lt;2,"In Stock")</f>
        <v>In Stock</v>
      </c>
    </row>
    <row r="1232" spans="2:13">
      <c r="B1232" s="2" t="s">
        <v>394</v>
      </c>
      <c r="C1232" s="5" t="str">
        <f>_xlfn.XLOOKUP(B1232,Master[Product_Code],Master[Category])</f>
        <v>Shirt</v>
      </c>
      <c r="D1232" s="2" t="str">
        <f>_xlfn.XLOOKUP(B1232,Master[Product_Code],Master[Brand])</f>
        <v>G Studio</v>
      </c>
      <c r="E1232" s="2" t="str">
        <f>_xlfn.XLOOKUP(B1232,Master[Product_Code],Master[Style])</f>
        <v>Formal</v>
      </c>
      <c r="F1232" s="2" t="str">
        <f>_xlfn.XLOOKUP(B1232,Master[Product_Code],Master[Fabric])</f>
        <v>Cotton</v>
      </c>
      <c r="G1232" s="2" t="str">
        <f>_xlfn.XLOOKUP(B1232,Master[Product_Code],Master[Size])</f>
        <v>XXL</v>
      </c>
      <c r="H1232" s="2" t="str">
        <f>_xlfn.XLOOKUP(B1232,Master[Product_Code],Master[Color])</f>
        <v>White</v>
      </c>
      <c r="I1232" s="4">
        <f>_xlfn.XLOOKUP(B1232,Master[Product_Code],Master[Stock_Qty])</f>
        <v>6</v>
      </c>
      <c r="J1232" s="6">
        <f>SUMIFS(
  Sales_Entry[Qty],
  Sales_Entry[Product_Code], Stock_Table[[#This Row],[Product_Code]]
)</f>
        <v>2</v>
      </c>
      <c r="K1232" s="4">
        <f>SUMIFS(
  Exchange_Return[Qty],
  Exchange_Return[Product_Code], Stock_Table[[#This Row],[Product_Code]]
)</f>
        <v>1</v>
      </c>
      <c r="L1232" s="4">
        <f>I1232-J1232+K1232</f>
        <v>5</v>
      </c>
      <c r="M1232" s="2" t="str" cm="1">
        <f t="array" ref="M1232">_xlfn.IFS(L1232=0,"Out of Stock",L1232&gt;=2,"Limited Stock",L1232&lt;2,"In Stock")</f>
        <v>Limited Stock</v>
      </c>
    </row>
    <row r="1233" spans="2:13">
      <c r="B1233" s="2" t="s">
        <v>395</v>
      </c>
      <c r="C1233" s="5" t="str">
        <f>_xlfn.XLOOKUP(B1233,Master[Product_Code],Master[Category])</f>
        <v>Shirt</v>
      </c>
      <c r="D1233" s="2" t="str">
        <f>_xlfn.XLOOKUP(B1233,Master[Product_Code],Master[Brand])</f>
        <v>Zara</v>
      </c>
      <c r="E1233" s="2" t="str">
        <f>_xlfn.XLOOKUP(B1233,Master[Product_Code],Master[Style])</f>
        <v>Formal</v>
      </c>
      <c r="F1233" s="2" t="str">
        <f>_xlfn.XLOOKUP(B1233,Master[Product_Code],Master[Fabric])</f>
        <v>Cotton</v>
      </c>
      <c r="G1233" s="2" t="str">
        <f>_xlfn.XLOOKUP(B1233,Master[Product_Code],Master[Size])</f>
        <v>XL</v>
      </c>
      <c r="H1233" s="2" t="str">
        <f>_xlfn.XLOOKUP(B1233,Master[Product_Code],Master[Color])</f>
        <v>Cream</v>
      </c>
      <c r="I1233" s="4">
        <f>_xlfn.XLOOKUP(B1233,Master[Product_Code],Master[Stock_Qty])</f>
        <v>4</v>
      </c>
      <c r="J1233" s="6">
        <f>SUMIFS(
  Sales_Entry[Qty],
  Sales_Entry[Product_Code], Stock_Table[[#This Row],[Product_Code]]
)</f>
        <v>1</v>
      </c>
      <c r="K1233" s="4">
        <f>SUMIFS(
  Exchange_Return[Qty],
  Exchange_Return[Product_Code], Stock_Table[[#This Row],[Product_Code]]
)</f>
        <v>0</v>
      </c>
      <c r="L1233" s="4">
        <f>I1233-J1233+K1233</f>
        <v>3</v>
      </c>
      <c r="M1233" s="2" t="str" cm="1">
        <f t="array" ref="M1233">_xlfn.IFS(L1233=0,"Out of Stock",L1233&gt;=2,"Limited Stock",L1233&lt;2,"In Stock")</f>
        <v>Limited Stock</v>
      </c>
    </row>
    <row r="1234" spans="2:13">
      <c r="B1234" s="2" t="s">
        <v>396</v>
      </c>
      <c r="C1234" s="5" t="str">
        <f>_xlfn.XLOOKUP(B1234,Master[Product_Code],Master[Category])</f>
        <v>Shirt</v>
      </c>
      <c r="D1234" s="2" t="str">
        <f>_xlfn.XLOOKUP(B1234,Master[Product_Code],Master[Brand])</f>
        <v>G Studio</v>
      </c>
      <c r="E1234" s="2" t="str">
        <f>_xlfn.XLOOKUP(B1234,Master[Product_Code],Master[Style])</f>
        <v>Formal</v>
      </c>
      <c r="F1234" s="2" t="str">
        <f>_xlfn.XLOOKUP(B1234,Master[Product_Code],Master[Fabric])</f>
        <v>Lycra</v>
      </c>
      <c r="G1234" s="2" t="str">
        <f>_xlfn.XLOOKUP(B1234,Master[Product_Code],Master[Size])</f>
        <v>XXL</v>
      </c>
      <c r="H1234" s="2" t="str">
        <f>_xlfn.XLOOKUP(B1234,Master[Product_Code],Master[Color])</f>
        <v>Brown</v>
      </c>
      <c r="I1234" s="4">
        <f>_xlfn.XLOOKUP(B1234,Master[Product_Code],Master[Stock_Qty])</f>
        <v>4</v>
      </c>
      <c r="J1234" s="6">
        <f>SUMIFS(
  Sales_Entry[Qty],
  Sales_Entry[Product_Code], Stock_Table[[#This Row],[Product_Code]]
)</f>
        <v>0</v>
      </c>
      <c r="K1234" s="4">
        <f>SUMIFS(
  Exchange_Return[Qty],
  Exchange_Return[Product_Code], Stock_Table[[#This Row],[Product_Code]]
)</f>
        <v>0</v>
      </c>
      <c r="L1234" s="4">
        <f>I1234-J1234+K1234</f>
        <v>4</v>
      </c>
      <c r="M1234" s="2" t="str" cm="1">
        <f t="array" ref="M1234">_xlfn.IFS(L1234=0,"Out of Stock",L1234&gt;=2,"Limited Stock",L1234&lt;2,"In Stock")</f>
        <v>Limited Stock</v>
      </c>
    </row>
    <row r="1235" spans="2:13">
      <c r="B1235" s="2" t="s">
        <v>397</v>
      </c>
      <c r="C1235" s="5" t="str">
        <f>_xlfn.XLOOKUP(B1235,Master[Product_Code],Master[Category])</f>
        <v>Shirt</v>
      </c>
      <c r="D1235" s="2" t="str">
        <f>_xlfn.XLOOKUP(B1235,Master[Product_Code],Master[Brand])</f>
        <v>British</v>
      </c>
      <c r="E1235" s="2" t="str">
        <f>_xlfn.XLOOKUP(B1235,Master[Product_Code],Master[Style])</f>
        <v>Partywear</v>
      </c>
      <c r="F1235" s="2" t="str">
        <f>_xlfn.XLOOKUP(B1235,Master[Product_Code],Master[Fabric])</f>
        <v>Cotton Blend</v>
      </c>
      <c r="G1235" s="2" t="str">
        <f>_xlfn.XLOOKUP(B1235,Master[Product_Code],Master[Size])</f>
        <v>M</v>
      </c>
      <c r="H1235" s="2" t="str">
        <f>_xlfn.XLOOKUP(B1235,Master[Product_Code],Master[Color])</f>
        <v>Brown</v>
      </c>
      <c r="I1235" s="4">
        <f>_xlfn.XLOOKUP(B1235,Master[Product_Code],Master[Stock_Qty])</f>
        <v>4</v>
      </c>
      <c r="J1235" s="6">
        <f>SUMIFS(
  Sales_Entry[Qty],
  Sales_Entry[Product_Code], Stock_Table[[#This Row],[Product_Code]]
)</f>
        <v>2</v>
      </c>
      <c r="K1235" s="4">
        <f>SUMIFS(
  Exchange_Return[Qty],
  Exchange_Return[Product_Code], Stock_Table[[#This Row],[Product_Code]]
)</f>
        <v>0</v>
      </c>
      <c r="L1235" s="4">
        <f>I1235-J1235+K1235</f>
        <v>2</v>
      </c>
      <c r="M1235" s="2" t="str" cm="1">
        <f t="array" ref="M1235">_xlfn.IFS(L1235=0,"Out of Stock",L1235&gt;=2,"Limited Stock",L1235&lt;2,"In Stock")</f>
        <v>Limited Stock</v>
      </c>
    </row>
    <row r="1236" spans="2:13">
      <c r="B1236" s="2" t="s">
        <v>398</v>
      </c>
      <c r="C1236" s="5" t="str">
        <f>_xlfn.XLOOKUP(B1236,Master[Product_Code],Master[Category])</f>
        <v>Shirt</v>
      </c>
      <c r="D1236" s="2" t="str">
        <f>_xlfn.XLOOKUP(B1236,Master[Product_Code],Master[Brand])</f>
        <v>H&amp;M</v>
      </c>
      <c r="E1236" s="2" t="str">
        <f>_xlfn.XLOOKUP(B1236,Master[Product_Code],Master[Style])</f>
        <v>Formal</v>
      </c>
      <c r="F1236" s="2" t="str">
        <f>_xlfn.XLOOKUP(B1236,Master[Product_Code],Master[Fabric])</f>
        <v>Polyester</v>
      </c>
      <c r="G1236" s="2" t="str">
        <f>_xlfn.XLOOKUP(B1236,Master[Product_Code],Master[Size])</f>
        <v>L</v>
      </c>
      <c r="H1236" s="2" t="str">
        <f>_xlfn.XLOOKUP(B1236,Master[Product_Code],Master[Color])</f>
        <v>Beige</v>
      </c>
      <c r="I1236" s="4">
        <f>_xlfn.XLOOKUP(B1236,Master[Product_Code],Master[Stock_Qty])</f>
        <v>3</v>
      </c>
      <c r="J1236" s="6">
        <f>SUMIFS(
  Sales_Entry[Qty],
  Sales_Entry[Product_Code], Stock_Table[[#This Row],[Product_Code]]
)</f>
        <v>3</v>
      </c>
      <c r="K1236" s="4">
        <f>SUMIFS(
  Exchange_Return[Qty],
  Exchange_Return[Product_Code], Stock_Table[[#This Row],[Product_Code]]
)</f>
        <v>0</v>
      </c>
      <c r="L1236" s="4">
        <f>I1236-J1236+K1236</f>
        <v>0</v>
      </c>
      <c r="M1236" s="2" t="str" cm="1">
        <f t="array" ref="M1236">_xlfn.IFS(L1236=0,"Out of Stock",L1236&gt;=2,"Limited Stock",L1236&lt;2,"In Stock")</f>
        <v>Out of Stock</v>
      </c>
    </row>
    <row r="1237" spans="2:13">
      <c r="B1237" s="2" t="s">
        <v>399</v>
      </c>
      <c r="C1237" s="5" t="str">
        <f>_xlfn.XLOOKUP(B1237,Master[Product_Code],Master[Category])</f>
        <v>Shirt</v>
      </c>
      <c r="D1237" s="2" t="str">
        <f>_xlfn.XLOOKUP(B1237,Master[Product_Code],Master[Brand])</f>
        <v>USD</v>
      </c>
      <c r="E1237" s="2" t="str">
        <f>_xlfn.XLOOKUP(B1237,Master[Product_Code],Master[Style])</f>
        <v>Partywear</v>
      </c>
      <c r="F1237" s="2" t="str">
        <f>_xlfn.XLOOKUP(B1237,Master[Product_Code],Master[Fabric])</f>
        <v>Polyester</v>
      </c>
      <c r="G1237" s="2" t="str">
        <f>_xlfn.XLOOKUP(B1237,Master[Product_Code],Master[Size])</f>
        <v>XXL</v>
      </c>
      <c r="H1237" s="2" t="str">
        <f>_xlfn.XLOOKUP(B1237,Master[Product_Code],Master[Color])</f>
        <v>Peach</v>
      </c>
      <c r="I1237" s="4">
        <f>_xlfn.XLOOKUP(B1237,Master[Product_Code],Master[Stock_Qty])</f>
        <v>3</v>
      </c>
      <c r="J1237" s="6">
        <f>SUMIFS(
  Sales_Entry[Qty],
  Sales_Entry[Product_Code], Stock_Table[[#This Row],[Product_Code]]
)</f>
        <v>0</v>
      </c>
      <c r="K1237" s="4">
        <f>SUMIFS(
  Exchange_Return[Qty],
  Exchange_Return[Product_Code], Stock_Table[[#This Row],[Product_Code]]
)</f>
        <v>0</v>
      </c>
      <c r="L1237" s="4">
        <f>I1237-J1237+K1237</f>
        <v>3</v>
      </c>
      <c r="M1237" s="2" t="str" cm="1">
        <f t="array" ref="M1237">_xlfn.IFS(L1237=0,"Out of Stock",L1237&gt;=2,"Limited Stock",L1237&lt;2,"In Stock")</f>
        <v>Limited Stock</v>
      </c>
    </row>
    <row r="1238" spans="2:13">
      <c r="B1238" s="2" t="s">
        <v>400</v>
      </c>
      <c r="C1238" s="5" t="str">
        <f>_xlfn.XLOOKUP(B1238,Master[Product_Code],Master[Category])</f>
        <v>Shirt</v>
      </c>
      <c r="D1238" s="2" t="str">
        <f>_xlfn.XLOOKUP(B1238,Master[Product_Code],Master[Brand])</f>
        <v>Luke &amp; Burg</v>
      </c>
      <c r="E1238" s="2" t="str">
        <f>_xlfn.XLOOKUP(B1238,Master[Product_Code],Master[Style])</f>
        <v>Partywear</v>
      </c>
      <c r="F1238" s="2" t="str">
        <f>_xlfn.XLOOKUP(B1238,Master[Product_Code],Master[Fabric])</f>
        <v>Cotton Blend</v>
      </c>
      <c r="G1238" s="2" t="str">
        <f>_xlfn.XLOOKUP(B1238,Master[Product_Code],Master[Size])</f>
        <v>XL</v>
      </c>
      <c r="H1238" s="2" t="str">
        <f>_xlfn.XLOOKUP(B1238,Master[Product_Code],Master[Color])</f>
        <v>Bottle Green</v>
      </c>
      <c r="I1238" s="4">
        <f>_xlfn.XLOOKUP(B1238,Master[Product_Code],Master[Stock_Qty])</f>
        <v>4</v>
      </c>
      <c r="J1238" s="6">
        <f>SUMIFS(
  Sales_Entry[Qty],
  Sales_Entry[Product_Code], Stock_Table[[#This Row],[Product_Code]]
)</f>
        <v>0</v>
      </c>
      <c r="K1238" s="4">
        <f>SUMIFS(
  Exchange_Return[Qty],
  Exchange_Return[Product_Code], Stock_Table[[#This Row],[Product_Code]]
)</f>
        <v>0</v>
      </c>
      <c r="L1238" s="4">
        <f>I1238-J1238+K1238</f>
        <v>4</v>
      </c>
      <c r="M1238" s="2" t="str" cm="1">
        <f t="array" ref="M1238">_xlfn.IFS(L1238=0,"Out of Stock",L1238&gt;=2,"Limited Stock",L1238&lt;2,"In Stock")</f>
        <v>Limited Stock</v>
      </c>
    </row>
    <row r="1239" spans="2:13">
      <c r="B1239" s="2" t="s">
        <v>401</v>
      </c>
      <c r="C1239" s="5" t="str">
        <f>_xlfn.XLOOKUP(B1239,Master[Product_Code],Master[Category])</f>
        <v>Shirt</v>
      </c>
      <c r="D1239" s="2" t="str">
        <f>_xlfn.XLOOKUP(B1239,Master[Product_Code],Master[Brand])</f>
        <v>Luke &amp; Burg</v>
      </c>
      <c r="E1239" s="2" t="str">
        <f>_xlfn.XLOOKUP(B1239,Master[Product_Code],Master[Style])</f>
        <v>Formal</v>
      </c>
      <c r="F1239" s="2" t="str">
        <f>_xlfn.XLOOKUP(B1239,Master[Product_Code],Master[Fabric])</f>
        <v>Polyester</v>
      </c>
      <c r="G1239" s="2" t="str">
        <f>_xlfn.XLOOKUP(B1239,Master[Product_Code],Master[Size])</f>
        <v>M</v>
      </c>
      <c r="H1239" s="2" t="str">
        <f>_xlfn.XLOOKUP(B1239,Master[Product_Code],Master[Color])</f>
        <v>Charcoal</v>
      </c>
      <c r="I1239" s="4">
        <f>_xlfn.XLOOKUP(B1239,Master[Product_Code],Master[Stock_Qty])</f>
        <v>5</v>
      </c>
      <c r="J1239" s="6">
        <f>SUMIFS(
  Sales_Entry[Qty],
  Sales_Entry[Product_Code], Stock_Table[[#This Row],[Product_Code]]
)</f>
        <v>0</v>
      </c>
      <c r="K1239" s="4">
        <f>SUMIFS(
  Exchange_Return[Qty],
  Exchange_Return[Product_Code], Stock_Table[[#This Row],[Product_Code]]
)</f>
        <v>0</v>
      </c>
      <c r="L1239" s="4">
        <f>I1239-J1239+K1239</f>
        <v>5</v>
      </c>
      <c r="M1239" s="2" t="str" cm="1">
        <f t="array" ref="M1239">_xlfn.IFS(L1239=0,"Out of Stock",L1239&gt;=2,"Limited Stock",L1239&lt;2,"In Stock")</f>
        <v>Limited Stock</v>
      </c>
    </row>
    <row r="1240" spans="2:13">
      <c r="B1240" s="2" t="s">
        <v>402</v>
      </c>
      <c r="C1240" s="5" t="str">
        <f>_xlfn.XLOOKUP(B1240,Master[Product_Code],Master[Category])</f>
        <v>Shirt</v>
      </c>
      <c r="D1240" s="2" t="str">
        <f>_xlfn.XLOOKUP(B1240,Master[Product_Code],Master[Brand])</f>
        <v>USD</v>
      </c>
      <c r="E1240" s="2" t="str">
        <f>_xlfn.XLOOKUP(B1240,Master[Product_Code],Master[Style])</f>
        <v>Casual</v>
      </c>
      <c r="F1240" s="2" t="str">
        <f>_xlfn.XLOOKUP(B1240,Master[Product_Code],Master[Fabric])</f>
        <v>Cotton</v>
      </c>
      <c r="G1240" s="2" t="str">
        <f>_xlfn.XLOOKUP(B1240,Master[Product_Code],Master[Size])</f>
        <v>XXL</v>
      </c>
      <c r="H1240" s="2" t="str">
        <f>_xlfn.XLOOKUP(B1240,Master[Product_Code],Master[Color])</f>
        <v>Bottle Green</v>
      </c>
      <c r="I1240" s="4">
        <f>_xlfn.XLOOKUP(B1240,Master[Product_Code],Master[Stock_Qty])</f>
        <v>6</v>
      </c>
      <c r="J1240" s="6">
        <f>SUMIFS(
  Sales_Entry[Qty],
  Sales_Entry[Product_Code], Stock_Table[[#This Row],[Product_Code]]
)</f>
        <v>0</v>
      </c>
      <c r="K1240" s="4">
        <f>SUMIFS(
  Exchange_Return[Qty],
  Exchange_Return[Product_Code], Stock_Table[[#This Row],[Product_Code]]
)</f>
        <v>0</v>
      </c>
      <c r="L1240" s="4">
        <f>I1240-J1240+K1240</f>
        <v>6</v>
      </c>
      <c r="M1240" s="2" t="str" cm="1">
        <f t="array" ref="M1240">_xlfn.IFS(L1240=0,"Out of Stock",L1240&gt;=2,"Limited Stock",L1240&lt;2,"In Stock")</f>
        <v>Limited Stock</v>
      </c>
    </row>
    <row r="1241" spans="2:13">
      <c r="B1241" s="2" t="s">
        <v>403</v>
      </c>
      <c r="C1241" s="5" t="str">
        <f>_xlfn.XLOOKUP(B1241,Master[Product_Code],Master[Category])</f>
        <v>T-Shirt</v>
      </c>
      <c r="D1241" s="2" t="str">
        <f>_xlfn.XLOOKUP(B1241,Master[Product_Code],Master[Brand])</f>
        <v>Roadster</v>
      </c>
      <c r="E1241" s="2" t="str">
        <f>_xlfn.XLOOKUP(B1241,Master[Product_Code],Master[Style])</f>
        <v>Full Sleeve</v>
      </c>
      <c r="F1241" s="2" t="str">
        <f>_xlfn.XLOOKUP(B1241,Master[Product_Code],Master[Fabric])</f>
        <v>Cotton Blend</v>
      </c>
      <c r="G1241" s="2" t="str">
        <f>_xlfn.XLOOKUP(B1241,Master[Product_Code],Master[Size])</f>
        <v>M</v>
      </c>
      <c r="H1241" s="2" t="str">
        <f>_xlfn.XLOOKUP(B1241,Master[Product_Code],Master[Color])</f>
        <v>Beige</v>
      </c>
      <c r="I1241" s="4">
        <f>_xlfn.XLOOKUP(B1241,Master[Product_Code],Master[Stock_Qty])</f>
        <v>4</v>
      </c>
      <c r="J1241" s="6">
        <f>SUMIFS(
  Sales_Entry[Qty],
  Sales_Entry[Product_Code], Stock_Table[[#This Row],[Product_Code]]
)</f>
        <v>3</v>
      </c>
      <c r="K1241" s="4">
        <f>SUMIFS(
  Exchange_Return[Qty],
  Exchange_Return[Product_Code], Stock_Table[[#This Row],[Product_Code]]
)</f>
        <v>0</v>
      </c>
      <c r="L1241" s="4">
        <f>I1241-J1241+K1241</f>
        <v>1</v>
      </c>
      <c r="M1241" s="2" t="str" cm="1">
        <f t="array" ref="M1241">_xlfn.IFS(L1241=0,"Out of Stock",L1241&gt;=2,"Limited Stock",L1241&lt;2,"In Stock")</f>
        <v>In Stock</v>
      </c>
    </row>
    <row r="1242" spans="2:13">
      <c r="B1242" s="2" t="s">
        <v>407</v>
      </c>
      <c r="C1242" s="5" t="str">
        <f>_xlfn.XLOOKUP(B1242,Master[Product_Code],Master[Category])</f>
        <v>T-Shirt</v>
      </c>
      <c r="D1242" s="2" t="str">
        <f>_xlfn.XLOOKUP(B1242,Master[Product_Code],Master[Brand])</f>
        <v>Campus</v>
      </c>
      <c r="E1242" s="2" t="str">
        <f>_xlfn.XLOOKUP(B1242,Master[Product_Code],Master[Style])</f>
        <v>Half Sleeve</v>
      </c>
      <c r="F1242" s="2" t="str">
        <f>_xlfn.XLOOKUP(B1242,Master[Product_Code],Master[Fabric])</f>
        <v>Cotton Blend</v>
      </c>
      <c r="G1242" s="2" t="str">
        <f>_xlfn.XLOOKUP(B1242,Master[Product_Code],Master[Size])</f>
        <v>L</v>
      </c>
      <c r="H1242" s="2" t="str">
        <f>_xlfn.XLOOKUP(B1242,Master[Product_Code],Master[Color])</f>
        <v>Navy Blue</v>
      </c>
      <c r="I1242" s="4">
        <f>_xlfn.XLOOKUP(B1242,Master[Product_Code],Master[Stock_Qty])</f>
        <v>4</v>
      </c>
      <c r="J1242" s="6">
        <f>SUMIFS(
  Sales_Entry[Qty],
  Sales_Entry[Product_Code], Stock_Table[[#This Row],[Product_Code]]
)</f>
        <v>0</v>
      </c>
      <c r="K1242" s="4">
        <f>SUMIFS(
  Exchange_Return[Qty],
  Exchange_Return[Product_Code], Stock_Table[[#This Row],[Product_Code]]
)</f>
        <v>0</v>
      </c>
      <c r="L1242" s="4">
        <f>I1242-J1242+K1242</f>
        <v>4</v>
      </c>
      <c r="M1242" s="2" t="str" cm="1">
        <f t="array" ref="M1242">_xlfn.IFS(L1242=0,"Out of Stock",L1242&gt;=2,"Limited Stock",L1242&lt;2,"In Stock")</f>
        <v>Limited Stock</v>
      </c>
    </row>
    <row r="1243" spans="2:13">
      <c r="B1243" s="2" t="s">
        <v>410</v>
      </c>
      <c r="C1243" s="5" t="str">
        <f>_xlfn.XLOOKUP(B1243,Master[Product_Code],Master[Category])</f>
        <v>T-Shirt</v>
      </c>
      <c r="D1243" s="2" t="str">
        <f>_xlfn.XLOOKUP(B1243,Master[Product_Code],Master[Brand])</f>
        <v>Thailand</v>
      </c>
      <c r="E1243" s="2" t="str">
        <f>_xlfn.XLOOKUP(B1243,Master[Product_Code],Master[Style])</f>
        <v>Sleeveless</v>
      </c>
      <c r="F1243" s="2" t="str">
        <f>_xlfn.XLOOKUP(B1243,Master[Product_Code],Master[Fabric])</f>
        <v>Poly Cotton</v>
      </c>
      <c r="G1243" s="2" t="str">
        <f>_xlfn.XLOOKUP(B1243,Master[Product_Code],Master[Size])</f>
        <v>XXL</v>
      </c>
      <c r="H1243" s="2" t="str">
        <f>_xlfn.XLOOKUP(B1243,Master[Product_Code],Master[Color])</f>
        <v>Royal Blue</v>
      </c>
      <c r="I1243" s="4">
        <f>_xlfn.XLOOKUP(B1243,Master[Product_Code],Master[Stock_Qty])</f>
        <v>3</v>
      </c>
      <c r="J1243" s="6">
        <f>SUMIFS(
  Sales_Entry[Qty],
  Sales_Entry[Product_Code], Stock_Table[[#This Row],[Product_Code]]
)</f>
        <v>2</v>
      </c>
      <c r="K1243" s="4">
        <f>SUMIFS(
  Exchange_Return[Qty],
  Exchange_Return[Product_Code], Stock_Table[[#This Row],[Product_Code]]
)</f>
        <v>0</v>
      </c>
      <c r="L1243" s="4">
        <f>I1243-J1243+K1243</f>
        <v>1</v>
      </c>
      <c r="M1243" s="2" t="str" cm="1">
        <f t="array" ref="M1243">_xlfn.IFS(L1243=0,"Out of Stock",L1243&gt;=2,"Limited Stock",L1243&lt;2,"In Stock")</f>
        <v>In Stock</v>
      </c>
    </row>
    <row r="1244" spans="2:13">
      <c r="B1244" s="2" t="s">
        <v>413</v>
      </c>
      <c r="C1244" s="5" t="str">
        <f>_xlfn.XLOOKUP(B1244,Master[Product_Code],Master[Category])</f>
        <v>T-Shirt</v>
      </c>
      <c r="D1244" s="2" t="str">
        <f>_xlfn.XLOOKUP(B1244,Master[Product_Code],Master[Brand])</f>
        <v>Turkey</v>
      </c>
      <c r="E1244" s="2" t="str">
        <f>_xlfn.XLOOKUP(B1244,Master[Product_Code],Master[Style])</f>
        <v>Hoodie</v>
      </c>
      <c r="F1244" s="2" t="str">
        <f>_xlfn.XLOOKUP(B1244,Master[Product_Code],Master[Fabric])</f>
        <v>Poly Cotton</v>
      </c>
      <c r="G1244" s="2" t="str">
        <f>_xlfn.XLOOKUP(B1244,Master[Product_Code],Master[Size])</f>
        <v>XXL</v>
      </c>
      <c r="H1244" s="2" t="str">
        <f>_xlfn.XLOOKUP(B1244,Master[Product_Code],Master[Color])</f>
        <v>Grey</v>
      </c>
      <c r="I1244" s="4">
        <f>_xlfn.XLOOKUP(B1244,Master[Product_Code],Master[Stock_Qty])</f>
        <v>6</v>
      </c>
      <c r="J1244" s="6">
        <f>SUMIFS(
  Sales_Entry[Qty],
  Sales_Entry[Product_Code], Stock_Table[[#This Row],[Product_Code]]
)</f>
        <v>1</v>
      </c>
      <c r="K1244" s="4">
        <f>SUMIFS(
  Exchange_Return[Qty],
  Exchange_Return[Product_Code], Stock_Table[[#This Row],[Product_Code]]
)</f>
        <v>0</v>
      </c>
      <c r="L1244" s="4">
        <f>I1244-J1244+K1244</f>
        <v>5</v>
      </c>
      <c r="M1244" s="2" t="str" cm="1">
        <f t="array" ref="M1244">_xlfn.IFS(L1244=0,"Out of Stock",L1244&gt;=2,"Limited Stock",L1244&lt;2,"In Stock")</f>
        <v>Limited Stock</v>
      </c>
    </row>
    <row r="1245" spans="2:13">
      <c r="B1245" s="2" t="s">
        <v>416</v>
      </c>
      <c r="C1245" s="5" t="str">
        <f>_xlfn.XLOOKUP(B1245,Master[Product_Code],Master[Category])</f>
        <v>T-Shirt</v>
      </c>
      <c r="D1245" s="2" t="str">
        <f>_xlfn.XLOOKUP(B1245,Master[Product_Code],Master[Brand])</f>
        <v>Urban Monkey</v>
      </c>
      <c r="E1245" s="2" t="str">
        <f>_xlfn.XLOOKUP(B1245,Master[Product_Code],Master[Style])</f>
        <v>3/4 Sleeve</v>
      </c>
      <c r="F1245" s="2" t="str">
        <f>_xlfn.XLOOKUP(B1245,Master[Product_Code],Master[Fabric])</f>
        <v>Cotton Blend</v>
      </c>
      <c r="G1245" s="2" t="str">
        <f>_xlfn.XLOOKUP(B1245,Master[Product_Code],Master[Size])</f>
        <v>S</v>
      </c>
      <c r="H1245" s="2" t="str">
        <f>_xlfn.XLOOKUP(B1245,Master[Product_Code],Master[Color])</f>
        <v>Grey</v>
      </c>
      <c r="I1245" s="4">
        <f>_xlfn.XLOOKUP(B1245,Master[Product_Code],Master[Stock_Qty])</f>
        <v>4</v>
      </c>
      <c r="J1245" s="6">
        <f>SUMIFS(
  Sales_Entry[Qty],
  Sales_Entry[Product_Code], Stock_Table[[#This Row],[Product_Code]]
)</f>
        <v>2</v>
      </c>
      <c r="K1245" s="4">
        <f>SUMIFS(
  Exchange_Return[Qty],
  Exchange_Return[Product_Code], Stock_Table[[#This Row],[Product_Code]]
)</f>
        <v>0</v>
      </c>
      <c r="L1245" s="4">
        <f>I1245-J1245+K1245</f>
        <v>2</v>
      </c>
      <c r="M1245" s="2" t="str" cm="1">
        <f t="array" ref="M1245">_xlfn.IFS(L1245=0,"Out of Stock",L1245&gt;=2,"Limited Stock",L1245&lt;2,"In Stock")</f>
        <v>Limited Stock</v>
      </c>
    </row>
    <row r="1246" spans="2:13">
      <c r="B1246" s="2" t="s">
        <v>419</v>
      </c>
      <c r="C1246" s="5" t="str">
        <f>_xlfn.XLOOKUP(B1246,Master[Product_Code],Master[Category])</f>
        <v>T-Shirt</v>
      </c>
      <c r="D1246" s="2" t="str">
        <f>_xlfn.XLOOKUP(B1246,Master[Product_Code],Master[Brand])</f>
        <v>Zara</v>
      </c>
      <c r="E1246" s="2" t="str">
        <f>_xlfn.XLOOKUP(B1246,Master[Product_Code],Master[Style])</f>
        <v>Sleeveless</v>
      </c>
      <c r="F1246" s="2" t="str">
        <f>_xlfn.XLOOKUP(B1246,Master[Product_Code],Master[Fabric])</f>
        <v>Cotton</v>
      </c>
      <c r="G1246" s="2" t="str">
        <f>_xlfn.XLOOKUP(B1246,Master[Product_Code],Master[Size])</f>
        <v>XXL</v>
      </c>
      <c r="H1246" s="2" t="str">
        <f>_xlfn.XLOOKUP(B1246,Master[Product_Code],Master[Color])</f>
        <v>Grey</v>
      </c>
      <c r="I1246" s="4">
        <f>_xlfn.XLOOKUP(B1246,Master[Product_Code],Master[Stock_Qty])</f>
        <v>6</v>
      </c>
      <c r="J1246" s="6">
        <f>SUMIFS(
  Sales_Entry[Qty],
  Sales_Entry[Product_Code], Stock_Table[[#This Row],[Product_Code]]
)</f>
        <v>2</v>
      </c>
      <c r="K1246" s="4">
        <f>SUMIFS(
  Exchange_Return[Qty],
  Exchange_Return[Product_Code], Stock_Table[[#This Row],[Product_Code]]
)</f>
        <v>0</v>
      </c>
      <c r="L1246" s="4">
        <f>I1246-J1246+K1246</f>
        <v>4</v>
      </c>
      <c r="M1246" s="2" t="str" cm="1">
        <f t="array" ref="M1246">_xlfn.IFS(L1246=0,"Out of Stock",L1246&gt;=2,"Limited Stock",L1246&lt;2,"In Stock")</f>
        <v>Limited Stock</v>
      </c>
    </row>
    <row r="1247" spans="2:13">
      <c r="B1247" s="2" t="s">
        <v>420</v>
      </c>
      <c r="C1247" s="5" t="str">
        <f>_xlfn.XLOOKUP(B1247,Master[Product_Code],Master[Category])</f>
        <v>T-Shirt</v>
      </c>
      <c r="D1247" s="2" t="str">
        <f>_xlfn.XLOOKUP(B1247,Master[Product_Code],Master[Brand])</f>
        <v>Roadster</v>
      </c>
      <c r="E1247" s="2" t="str">
        <f>_xlfn.XLOOKUP(B1247,Master[Product_Code],Master[Style])</f>
        <v>3/4 Sleeve</v>
      </c>
      <c r="F1247" s="2" t="str">
        <f>_xlfn.XLOOKUP(B1247,Master[Product_Code],Master[Fabric])</f>
        <v>Cotton Blend</v>
      </c>
      <c r="G1247" s="2" t="str">
        <f>_xlfn.XLOOKUP(B1247,Master[Product_Code],Master[Size])</f>
        <v>XL</v>
      </c>
      <c r="H1247" s="2" t="str">
        <f>_xlfn.XLOOKUP(B1247,Master[Product_Code],Master[Color])</f>
        <v>Cream</v>
      </c>
      <c r="I1247" s="4">
        <f>_xlfn.XLOOKUP(B1247,Master[Product_Code],Master[Stock_Qty])</f>
        <v>5</v>
      </c>
      <c r="J1247" s="6">
        <f>SUMIFS(
  Sales_Entry[Qty],
  Sales_Entry[Product_Code], Stock_Table[[#This Row],[Product_Code]]
)</f>
        <v>4</v>
      </c>
      <c r="K1247" s="4">
        <f>SUMIFS(
  Exchange_Return[Qty],
  Exchange_Return[Product_Code], Stock_Table[[#This Row],[Product_Code]]
)</f>
        <v>0</v>
      </c>
      <c r="L1247" s="4">
        <f>I1247-J1247+K1247</f>
        <v>1</v>
      </c>
      <c r="M1247" s="2" t="str" cm="1">
        <f t="array" ref="M1247">_xlfn.IFS(L1247=0,"Out of Stock",L1247&gt;=2,"Limited Stock",L1247&lt;2,"In Stock")</f>
        <v>In Stock</v>
      </c>
    </row>
    <row r="1248" spans="2:13">
      <c r="B1248" s="2" t="s">
        <v>421</v>
      </c>
      <c r="C1248" s="5" t="str">
        <f>_xlfn.XLOOKUP(B1248,Master[Product_Code],Master[Category])</f>
        <v>T-Shirt</v>
      </c>
      <c r="D1248" s="2" t="str">
        <f>_xlfn.XLOOKUP(B1248,Master[Product_Code],Master[Brand])</f>
        <v>Thailand</v>
      </c>
      <c r="E1248" s="2" t="str">
        <f>_xlfn.XLOOKUP(B1248,Master[Product_Code],Master[Style])</f>
        <v>3/4 Sleeve</v>
      </c>
      <c r="F1248" s="2" t="str">
        <f>_xlfn.XLOOKUP(B1248,Master[Product_Code],Master[Fabric])</f>
        <v>Poly Cotton</v>
      </c>
      <c r="G1248" s="2" t="str">
        <f>_xlfn.XLOOKUP(B1248,Master[Product_Code],Master[Size])</f>
        <v>XL</v>
      </c>
      <c r="H1248" s="2" t="str">
        <f>_xlfn.XLOOKUP(B1248,Master[Product_Code],Master[Color])</f>
        <v>Cream</v>
      </c>
      <c r="I1248" s="4">
        <f>_xlfn.XLOOKUP(B1248,Master[Product_Code],Master[Stock_Qty])</f>
        <v>3</v>
      </c>
      <c r="J1248" s="6">
        <f>SUMIFS(
  Sales_Entry[Qty],
  Sales_Entry[Product_Code], Stock_Table[[#This Row],[Product_Code]]
)</f>
        <v>0</v>
      </c>
      <c r="K1248" s="4">
        <f>SUMIFS(
  Exchange_Return[Qty],
  Exchange_Return[Product_Code], Stock_Table[[#This Row],[Product_Code]]
)</f>
        <v>0</v>
      </c>
      <c r="L1248" s="4">
        <f>I1248-J1248+K1248</f>
        <v>3</v>
      </c>
      <c r="M1248" s="2" t="str" cm="1">
        <f t="array" ref="M1248">_xlfn.IFS(L1248=0,"Out of Stock",L1248&gt;=2,"Limited Stock",L1248&lt;2,"In Stock")</f>
        <v>Limited Stock</v>
      </c>
    </row>
    <row r="1249" spans="2:13">
      <c r="B1249" s="2" t="s">
        <v>422</v>
      </c>
      <c r="C1249" s="5" t="str">
        <f>_xlfn.XLOOKUP(B1249,Master[Product_Code],Master[Category])</f>
        <v>T-Shirt</v>
      </c>
      <c r="D1249" s="2" t="str">
        <f>_xlfn.XLOOKUP(B1249,Master[Product_Code],Master[Brand])</f>
        <v>Max</v>
      </c>
      <c r="E1249" s="2" t="str">
        <f>_xlfn.XLOOKUP(B1249,Master[Product_Code],Master[Style])</f>
        <v>3/4 Sleeve</v>
      </c>
      <c r="F1249" s="2" t="str">
        <f>_xlfn.XLOOKUP(B1249,Master[Product_Code],Master[Fabric])</f>
        <v>Cotton</v>
      </c>
      <c r="G1249" s="2" t="str">
        <f>_xlfn.XLOOKUP(B1249,Master[Product_Code],Master[Size])</f>
        <v>L</v>
      </c>
      <c r="H1249" s="2" t="str">
        <f>_xlfn.XLOOKUP(B1249,Master[Product_Code],Master[Color])</f>
        <v>Mustard</v>
      </c>
      <c r="I1249" s="4">
        <f>_xlfn.XLOOKUP(B1249,Master[Product_Code],Master[Stock_Qty])</f>
        <v>6</v>
      </c>
      <c r="J1249" s="6">
        <f>SUMIFS(
  Sales_Entry[Qty],
  Sales_Entry[Product_Code], Stock_Table[[#This Row],[Product_Code]]
)</f>
        <v>1</v>
      </c>
      <c r="K1249" s="4">
        <f>SUMIFS(
  Exchange_Return[Qty],
  Exchange_Return[Product_Code], Stock_Table[[#This Row],[Product_Code]]
)</f>
        <v>0</v>
      </c>
      <c r="L1249" s="4">
        <f>I1249-J1249+K1249</f>
        <v>5</v>
      </c>
      <c r="M1249" s="2" t="str" cm="1">
        <f t="array" ref="M1249">_xlfn.IFS(L1249=0,"Out of Stock",L1249&gt;=2,"Limited Stock",L1249&lt;2,"In Stock")</f>
        <v>Limited Stock</v>
      </c>
    </row>
    <row r="1250" spans="2:13">
      <c r="B1250" s="2" t="s">
        <v>423</v>
      </c>
      <c r="C1250" s="5" t="str">
        <f>_xlfn.XLOOKUP(B1250,Master[Product_Code],Master[Category])</f>
        <v>T-Shirt</v>
      </c>
      <c r="D1250" s="2" t="str">
        <f>_xlfn.XLOOKUP(B1250,Master[Product_Code],Master[Brand])</f>
        <v>Roadster</v>
      </c>
      <c r="E1250" s="2" t="str">
        <f>_xlfn.XLOOKUP(B1250,Master[Product_Code],Master[Style])</f>
        <v>Full Sleeve</v>
      </c>
      <c r="F1250" s="2" t="str">
        <f>_xlfn.XLOOKUP(B1250,Master[Product_Code],Master[Fabric])</f>
        <v>Poly Cotton</v>
      </c>
      <c r="G1250" s="2" t="str">
        <f>_xlfn.XLOOKUP(B1250,Master[Product_Code],Master[Size])</f>
        <v>M</v>
      </c>
      <c r="H1250" s="2" t="str">
        <f>_xlfn.XLOOKUP(B1250,Master[Product_Code],Master[Color])</f>
        <v>Black</v>
      </c>
      <c r="I1250" s="4">
        <f>_xlfn.XLOOKUP(B1250,Master[Product_Code],Master[Stock_Qty])</f>
        <v>5</v>
      </c>
      <c r="J1250" s="6">
        <f>SUMIFS(
  Sales_Entry[Qty],
  Sales_Entry[Product_Code], Stock_Table[[#This Row],[Product_Code]]
)</f>
        <v>1</v>
      </c>
      <c r="K1250" s="4">
        <f>SUMIFS(
  Exchange_Return[Qty],
  Exchange_Return[Product_Code], Stock_Table[[#This Row],[Product_Code]]
)</f>
        <v>0</v>
      </c>
      <c r="L1250" s="4">
        <f>I1250-J1250+K1250</f>
        <v>4</v>
      </c>
      <c r="M1250" s="2" t="str" cm="1">
        <f t="array" ref="M1250">_xlfn.IFS(L1250=0,"Out of Stock",L1250&gt;=2,"Limited Stock",L1250&lt;2,"In Stock")</f>
        <v>Limited Stock</v>
      </c>
    </row>
    <row r="1251" spans="2:13">
      <c r="B1251" s="2" t="s">
        <v>424</v>
      </c>
      <c r="C1251" s="5" t="str">
        <f>_xlfn.XLOOKUP(B1251,Master[Product_Code],Master[Category])</f>
        <v>T-Shirt</v>
      </c>
      <c r="D1251" s="2" t="str">
        <f>_xlfn.XLOOKUP(B1251,Master[Product_Code],Master[Brand])</f>
        <v>Roadster</v>
      </c>
      <c r="E1251" s="2" t="str">
        <f>_xlfn.XLOOKUP(B1251,Master[Product_Code],Master[Style])</f>
        <v>Hoodie</v>
      </c>
      <c r="F1251" s="2" t="str">
        <f>_xlfn.XLOOKUP(B1251,Master[Product_Code],Master[Fabric])</f>
        <v>Poly Cotton</v>
      </c>
      <c r="G1251" s="2" t="str">
        <f>_xlfn.XLOOKUP(B1251,Master[Product_Code],Master[Size])</f>
        <v>XL</v>
      </c>
      <c r="H1251" s="2" t="str">
        <f>_xlfn.XLOOKUP(B1251,Master[Product_Code],Master[Color])</f>
        <v>Brown</v>
      </c>
      <c r="I1251" s="4">
        <f>_xlfn.XLOOKUP(B1251,Master[Product_Code],Master[Stock_Qty])</f>
        <v>4</v>
      </c>
      <c r="J1251" s="6">
        <f>SUMIFS(
  Sales_Entry[Qty],
  Sales_Entry[Product_Code], Stock_Table[[#This Row],[Product_Code]]
)</f>
        <v>0</v>
      </c>
      <c r="K1251" s="4">
        <f>SUMIFS(
  Exchange_Return[Qty],
  Exchange_Return[Product_Code], Stock_Table[[#This Row],[Product_Code]]
)</f>
        <v>0</v>
      </c>
      <c r="L1251" s="4">
        <f>I1251-J1251+K1251</f>
        <v>4</v>
      </c>
      <c r="M1251" s="2" t="str" cm="1">
        <f t="array" ref="M1251">_xlfn.IFS(L1251=0,"Out of Stock",L1251&gt;=2,"Limited Stock",L1251&lt;2,"In Stock")</f>
        <v>Limited Stock</v>
      </c>
    </row>
    <row r="1252" spans="2:13">
      <c r="B1252" s="2" t="s">
        <v>425</v>
      </c>
      <c r="C1252" s="5" t="str">
        <f>_xlfn.XLOOKUP(B1252,Master[Product_Code],Master[Category])</f>
        <v>T-Shirt</v>
      </c>
      <c r="D1252" s="2" t="str">
        <f>_xlfn.XLOOKUP(B1252,Master[Product_Code],Master[Brand])</f>
        <v>Thailand</v>
      </c>
      <c r="E1252" s="2" t="str">
        <f>_xlfn.XLOOKUP(B1252,Master[Product_Code],Master[Style])</f>
        <v>Full Sleeve</v>
      </c>
      <c r="F1252" s="2" t="str">
        <f>_xlfn.XLOOKUP(B1252,Master[Product_Code],Master[Fabric])</f>
        <v>Cotton Blend</v>
      </c>
      <c r="G1252" s="2" t="str">
        <f>_xlfn.XLOOKUP(B1252,Master[Product_Code],Master[Size])</f>
        <v>XXL</v>
      </c>
      <c r="H1252" s="2" t="str">
        <f>_xlfn.XLOOKUP(B1252,Master[Product_Code],Master[Color])</f>
        <v>Charcoal</v>
      </c>
      <c r="I1252" s="4">
        <f>_xlfn.XLOOKUP(B1252,Master[Product_Code],Master[Stock_Qty])</f>
        <v>6</v>
      </c>
      <c r="J1252" s="6">
        <f>SUMIFS(
  Sales_Entry[Qty],
  Sales_Entry[Product_Code], Stock_Table[[#This Row],[Product_Code]]
)</f>
        <v>3</v>
      </c>
      <c r="K1252" s="4">
        <f>SUMIFS(
  Exchange_Return[Qty],
  Exchange_Return[Product_Code], Stock_Table[[#This Row],[Product_Code]]
)</f>
        <v>0</v>
      </c>
      <c r="L1252" s="4">
        <f>I1252-J1252+K1252</f>
        <v>3</v>
      </c>
      <c r="M1252" s="2" t="str" cm="1">
        <f t="array" ref="M1252">_xlfn.IFS(L1252=0,"Out of Stock",L1252&gt;=2,"Limited Stock",L1252&lt;2,"In Stock")</f>
        <v>Limited Stock</v>
      </c>
    </row>
    <row r="1253" spans="2:13">
      <c r="B1253" s="2" t="s">
        <v>426</v>
      </c>
      <c r="C1253" s="5" t="str">
        <f>_xlfn.XLOOKUP(B1253,Master[Product_Code],Master[Category])</f>
        <v>T-Shirt</v>
      </c>
      <c r="D1253" s="2" t="str">
        <f>_xlfn.XLOOKUP(B1253,Master[Product_Code],Master[Brand])</f>
        <v>Campus</v>
      </c>
      <c r="E1253" s="2" t="str">
        <f>_xlfn.XLOOKUP(B1253,Master[Product_Code],Master[Style])</f>
        <v>3/4 Sleeve</v>
      </c>
      <c r="F1253" s="2" t="str">
        <f>_xlfn.XLOOKUP(B1253,Master[Product_Code],Master[Fabric])</f>
        <v>Cotton Blend</v>
      </c>
      <c r="G1253" s="2" t="str">
        <f>_xlfn.XLOOKUP(B1253,Master[Product_Code],Master[Size])</f>
        <v>XL</v>
      </c>
      <c r="H1253" s="2" t="str">
        <f>_xlfn.XLOOKUP(B1253,Master[Product_Code],Master[Color])</f>
        <v>Peach</v>
      </c>
      <c r="I1253" s="4">
        <f>_xlfn.XLOOKUP(B1253,Master[Product_Code],Master[Stock_Qty])</f>
        <v>6</v>
      </c>
      <c r="J1253" s="6">
        <f>SUMIFS(
  Sales_Entry[Qty],
  Sales_Entry[Product_Code], Stock_Table[[#This Row],[Product_Code]]
)</f>
        <v>3</v>
      </c>
      <c r="K1253" s="4">
        <f>SUMIFS(
  Exchange_Return[Qty],
  Exchange_Return[Product_Code], Stock_Table[[#This Row],[Product_Code]]
)</f>
        <v>0</v>
      </c>
      <c r="L1253" s="4">
        <f>I1253-J1253+K1253</f>
        <v>3</v>
      </c>
      <c r="M1253" s="2" t="str" cm="1">
        <f t="array" ref="M1253">_xlfn.IFS(L1253=0,"Out of Stock",L1253&gt;=2,"Limited Stock",L1253&lt;2,"In Stock")</f>
        <v>Limited Stock</v>
      </c>
    </row>
    <row r="1254" spans="2:13">
      <c r="B1254" s="2" t="s">
        <v>427</v>
      </c>
      <c r="C1254" s="5" t="str">
        <f>_xlfn.XLOOKUP(B1254,Master[Product_Code],Master[Category])</f>
        <v>T-Shirt</v>
      </c>
      <c r="D1254" s="2" t="str">
        <f>_xlfn.XLOOKUP(B1254,Master[Product_Code],Master[Brand])</f>
        <v>Campus</v>
      </c>
      <c r="E1254" s="2" t="str">
        <f>_xlfn.XLOOKUP(B1254,Master[Product_Code],Master[Style])</f>
        <v>3/4 Sleeve</v>
      </c>
      <c r="F1254" s="2" t="str">
        <f>_xlfn.XLOOKUP(B1254,Master[Product_Code],Master[Fabric])</f>
        <v>Cotton</v>
      </c>
      <c r="G1254" s="2" t="str">
        <f>_xlfn.XLOOKUP(B1254,Master[Product_Code],Master[Size])</f>
        <v>M</v>
      </c>
      <c r="H1254" s="2" t="str">
        <f>_xlfn.XLOOKUP(B1254,Master[Product_Code],Master[Color])</f>
        <v>Dark Green</v>
      </c>
      <c r="I1254" s="4">
        <f>_xlfn.XLOOKUP(B1254,Master[Product_Code],Master[Stock_Qty])</f>
        <v>6</v>
      </c>
      <c r="J1254" s="6">
        <f>SUMIFS(
  Sales_Entry[Qty],
  Sales_Entry[Product_Code], Stock_Table[[#This Row],[Product_Code]]
)</f>
        <v>3</v>
      </c>
      <c r="K1254" s="4">
        <f>SUMIFS(
  Exchange_Return[Qty],
  Exchange_Return[Product_Code], Stock_Table[[#This Row],[Product_Code]]
)</f>
        <v>0</v>
      </c>
      <c r="L1254" s="4">
        <f>I1254-J1254+K1254</f>
        <v>3</v>
      </c>
      <c r="M1254" s="2" t="str" cm="1">
        <f t="array" ref="M1254">_xlfn.IFS(L1254=0,"Out of Stock",L1254&gt;=2,"Limited Stock",L1254&lt;2,"In Stock")</f>
        <v>Limited Stock</v>
      </c>
    </row>
    <row r="1255" spans="2:13">
      <c r="B1255" s="2" t="s">
        <v>428</v>
      </c>
      <c r="C1255" s="5" t="str">
        <f>_xlfn.XLOOKUP(B1255,Master[Product_Code],Master[Category])</f>
        <v>T-Shirt</v>
      </c>
      <c r="D1255" s="2" t="str">
        <f>_xlfn.XLOOKUP(B1255,Master[Product_Code],Master[Brand])</f>
        <v>Roadster</v>
      </c>
      <c r="E1255" s="2" t="str">
        <f>_xlfn.XLOOKUP(B1255,Master[Product_Code],Master[Style])</f>
        <v>Half Sleeve</v>
      </c>
      <c r="F1255" s="2" t="str">
        <f>_xlfn.XLOOKUP(B1255,Master[Product_Code],Master[Fabric])</f>
        <v>Poly Cotton</v>
      </c>
      <c r="G1255" s="2" t="str">
        <f>_xlfn.XLOOKUP(B1255,Master[Product_Code],Master[Size])</f>
        <v>S</v>
      </c>
      <c r="H1255" s="2" t="str">
        <f>_xlfn.XLOOKUP(B1255,Master[Product_Code],Master[Color])</f>
        <v>Navy Blue</v>
      </c>
      <c r="I1255" s="4">
        <f>_xlfn.XLOOKUP(B1255,Master[Product_Code],Master[Stock_Qty])</f>
        <v>3</v>
      </c>
      <c r="J1255" s="6">
        <f>SUMIFS(
  Sales_Entry[Qty],
  Sales_Entry[Product_Code], Stock_Table[[#This Row],[Product_Code]]
)</f>
        <v>3</v>
      </c>
      <c r="K1255" s="4">
        <f>SUMIFS(
  Exchange_Return[Qty],
  Exchange_Return[Product_Code], Stock_Table[[#This Row],[Product_Code]]
)</f>
        <v>0</v>
      </c>
      <c r="L1255" s="4">
        <f>I1255-J1255+K1255</f>
        <v>0</v>
      </c>
      <c r="M1255" s="2" t="str" cm="1">
        <f t="array" ref="M1255">_xlfn.IFS(L1255=0,"Out of Stock",L1255&gt;=2,"Limited Stock",L1255&lt;2,"In Stock")</f>
        <v>Out of Stock</v>
      </c>
    </row>
    <row r="1256" spans="2:13">
      <c r="B1256" s="2" t="s">
        <v>429</v>
      </c>
      <c r="C1256" s="5" t="str">
        <f>_xlfn.XLOOKUP(B1256,Master[Product_Code],Master[Category])</f>
        <v>T-Shirt</v>
      </c>
      <c r="D1256" s="2" t="str">
        <f>_xlfn.XLOOKUP(B1256,Master[Product_Code],Master[Brand])</f>
        <v>Max</v>
      </c>
      <c r="E1256" s="2" t="str">
        <f>_xlfn.XLOOKUP(B1256,Master[Product_Code],Master[Style])</f>
        <v>Full Sleeve</v>
      </c>
      <c r="F1256" s="2" t="str">
        <f>_xlfn.XLOOKUP(B1256,Master[Product_Code],Master[Fabric])</f>
        <v>Poly Cotton</v>
      </c>
      <c r="G1256" s="2" t="str">
        <f>_xlfn.XLOOKUP(B1256,Master[Product_Code],Master[Size])</f>
        <v>M</v>
      </c>
      <c r="H1256" s="2" t="str">
        <f>_xlfn.XLOOKUP(B1256,Master[Product_Code],Master[Color])</f>
        <v>Navy Blue</v>
      </c>
      <c r="I1256" s="4">
        <f>_xlfn.XLOOKUP(B1256,Master[Product_Code],Master[Stock_Qty])</f>
        <v>4</v>
      </c>
      <c r="J1256" s="6">
        <f>SUMIFS(
  Sales_Entry[Qty],
  Sales_Entry[Product_Code], Stock_Table[[#This Row],[Product_Code]]
)</f>
        <v>2</v>
      </c>
      <c r="K1256" s="4">
        <f>SUMIFS(
  Exchange_Return[Qty],
  Exchange_Return[Product_Code], Stock_Table[[#This Row],[Product_Code]]
)</f>
        <v>0</v>
      </c>
      <c r="L1256" s="4">
        <f>I1256-J1256+K1256</f>
        <v>2</v>
      </c>
      <c r="M1256" s="2" t="str" cm="1">
        <f t="array" ref="M1256">_xlfn.IFS(L1256=0,"Out of Stock",L1256&gt;=2,"Limited Stock",L1256&lt;2,"In Stock")</f>
        <v>Limited Stock</v>
      </c>
    </row>
    <row r="1257" spans="2:13">
      <c r="B1257" s="2" t="s">
        <v>430</v>
      </c>
      <c r="C1257" s="5" t="str">
        <f>_xlfn.XLOOKUP(B1257,Master[Product_Code],Master[Category])</f>
        <v>T-Shirt</v>
      </c>
      <c r="D1257" s="2" t="str">
        <f>_xlfn.XLOOKUP(B1257,Master[Product_Code],Master[Brand])</f>
        <v>Turkey</v>
      </c>
      <c r="E1257" s="2" t="str">
        <f>_xlfn.XLOOKUP(B1257,Master[Product_Code],Master[Style])</f>
        <v>Hoodie</v>
      </c>
      <c r="F1257" s="2" t="str">
        <f>_xlfn.XLOOKUP(B1257,Master[Product_Code],Master[Fabric])</f>
        <v>Cotton Blend</v>
      </c>
      <c r="G1257" s="2" t="str">
        <f>_xlfn.XLOOKUP(B1257,Master[Product_Code],Master[Size])</f>
        <v>L</v>
      </c>
      <c r="H1257" s="2" t="str">
        <f>_xlfn.XLOOKUP(B1257,Master[Product_Code],Master[Color])</f>
        <v>White</v>
      </c>
      <c r="I1257" s="4">
        <f>_xlfn.XLOOKUP(B1257,Master[Product_Code],Master[Stock_Qty])</f>
        <v>6</v>
      </c>
      <c r="J1257" s="6">
        <f>SUMIFS(
  Sales_Entry[Qty],
  Sales_Entry[Product_Code], Stock_Table[[#This Row],[Product_Code]]
)</f>
        <v>0</v>
      </c>
      <c r="K1257" s="4">
        <f>SUMIFS(
  Exchange_Return[Qty],
  Exchange_Return[Product_Code], Stock_Table[[#This Row],[Product_Code]]
)</f>
        <v>0</v>
      </c>
      <c r="L1257" s="4">
        <f>I1257-J1257+K1257</f>
        <v>6</v>
      </c>
      <c r="M1257" s="2" t="str" cm="1">
        <f t="array" ref="M1257">_xlfn.IFS(L1257=0,"Out of Stock",L1257&gt;=2,"Limited Stock",L1257&lt;2,"In Stock")</f>
        <v>Limited Stock</v>
      </c>
    </row>
    <row r="1258" spans="2:13">
      <c r="B1258" s="2" t="s">
        <v>431</v>
      </c>
      <c r="C1258" s="5" t="str">
        <f>_xlfn.XLOOKUP(B1258,Master[Product_Code],Master[Category])</f>
        <v>T-Shirt</v>
      </c>
      <c r="D1258" s="2" t="str">
        <f>_xlfn.XLOOKUP(B1258,Master[Product_Code],Master[Brand])</f>
        <v>Max</v>
      </c>
      <c r="E1258" s="2" t="str">
        <f>_xlfn.XLOOKUP(B1258,Master[Product_Code],Master[Style])</f>
        <v>Half Sleeve</v>
      </c>
      <c r="F1258" s="2" t="str">
        <f>_xlfn.XLOOKUP(B1258,Master[Product_Code],Master[Fabric])</f>
        <v>Cotton</v>
      </c>
      <c r="G1258" s="2" t="str">
        <f>_xlfn.XLOOKUP(B1258,Master[Product_Code],Master[Size])</f>
        <v>XXL</v>
      </c>
      <c r="H1258" s="2" t="str">
        <f>_xlfn.XLOOKUP(B1258,Master[Product_Code],Master[Color])</f>
        <v>Dark Green</v>
      </c>
      <c r="I1258" s="4">
        <f>_xlfn.XLOOKUP(B1258,Master[Product_Code],Master[Stock_Qty])</f>
        <v>6</v>
      </c>
      <c r="J1258" s="6">
        <f>SUMIFS(
  Sales_Entry[Qty],
  Sales_Entry[Product_Code], Stock_Table[[#This Row],[Product_Code]]
)</f>
        <v>0</v>
      </c>
      <c r="K1258" s="4">
        <f>SUMIFS(
  Exchange_Return[Qty],
  Exchange_Return[Product_Code], Stock_Table[[#This Row],[Product_Code]]
)</f>
        <v>0</v>
      </c>
      <c r="L1258" s="4">
        <f>I1258-J1258+K1258</f>
        <v>6</v>
      </c>
      <c r="M1258" s="2" t="str" cm="1">
        <f t="array" ref="M1258">_xlfn.IFS(L1258=0,"Out of Stock",L1258&gt;=2,"Limited Stock",L1258&lt;2,"In Stock")</f>
        <v>Limited Stock</v>
      </c>
    </row>
    <row r="1259" spans="2:13">
      <c r="B1259" s="2" t="s">
        <v>432</v>
      </c>
      <c r="C1259" s="5" t="str">
        <f>_xlfn.XLOOKUP(B1259,Master[Product_Code],Master[Category])</f>
        <v>T-Shirt</v>
      </c>
      <c r="D1259" s="2" t="str">
        <f>_xlfn.XLOOKUP(B1259,Master[Product_Code],Master[Brand])</f>
        <v>Zara</v>
      </c>
      <c r="E1259" s="2" t="str">
        <f>_xlfn.XLOOKUP(B1259,Master[Product_Code],Master[Style])</f>
        <v>Hoodie</v>
      </c>
      <c r="F1259" s="2" t="str">
        <f>_xlfn.XLOOKUP(B1259,Master[Product_Code],Master[Fabric])</f>
        <v>Poly Cotton</v>
      </c>
      <c r="G1259" s="2" t="str">
        <f>_xlfn.XLOOKUP(B1259,Master[Product_Code],Master[Size])</f>
        <v>L</v>
      </c>
      <c r="H1259" s="2" t="str">
        <f>_xlfn.XLOOKUP(B1259,Master[Product_Code],Master[Color])</f>
        <v>Dark Green</v>
      </c>
      <c r="I1259" s="4">
        <f>_xlfn.XLOOKUP(B1259,Master[Product_Code],Master[Stock_Qty])</f>
        <v>5</v>
      </c>
      <c r="J1259" s="6">
        <f>SUMIFS(
  Sales_Entry[Qty],
  Sales_Entry[Product_Code], Stock_Table[[#This Row],[Product_Code]]
)</f>
        <v>3</v>
      </c>
      <c r="K1259" s="4">
        <f>SUMIFS(
  Exchange_Return[Qty],
  Exchange_Return[Product_Code], Stock_Table[[#This Row],[Product_Code]]
)</f>
        <v>0</v>
      </c>
      <c r="L1259" s="4">
        <f>I1259-J1259+K1259</f>
        <v>2</v>
      </c>
      <c r="M1259" s="2" t="str" cm="1">
        <f t="array" ref="M1259">_xlfn.IFS(L1259=0,"Out of Stock",L1259&gt;=2,"Limited Stock",L1259&lt;2,"In Stock")</f>
        <v>Limited Stock</v>
      </c>
    </row>
    <row r="1260" spans="2:13">
      <c r="B1260" s="2" t="s">
        <v>433</v>
      </c>
      <c r="C1260" s="5" t="str">
        <f>_xlfn.XLOOKUP(B1260,Master[Product_Code],Master[Category])</f>
        <v>T-Shirt</v>
      </c>
      <c r="D1260" s="2" t="str">
        <f>_xlfn.XLOOKUP(B1260,Master[Product_Code],Master[Brand])</f>
        <v>Roadster</v>
      </c>
      <c r="E1260" s="2" t="str">
        <f>_xlfn.XLOOKUP(B1260,Master[Product_Code],Master[Style])</f>
        <v>Sleeveless</v>
      </c>
      <c r="F1260" s="2" t="str">
        <f>_xlfn.XLOOKUP(B1260,Master[Product_Code],Master[Fabric])</f>
        <v>Cotton</v>
      </c>
      <c r="G1260" s="2" t="str">
        <f>_xlfn.XLOOKUP(B1260,Master[Product_Code],Master[Size])</f>
        <v>S</v>
      </c>
      <c r="H1260" s="2" t="str">
        <f>_xlfn.XLOOKUP(B1260,Master[Product_Code],Master[Color])</f>
        <v>Sky Blue</v>
      </c>
      <c r="I1260" s="4">
        <f>_xlfn.XLOOKUP(B1260,Master[Product_Code],Master[Stock_Qty])</f>
        <v>4</v>
      </c>
      <c r="J1260" s="6">
        <f>SUMIFS(
  Sales_Entry[Qty],
  Sales_Entry[Product_Code], Stock_Table[[#This Row],[Product_Code]]
)</f>
        <v>1</v>
      </c>
      <c r="K1260" s="4">
        <f>SUMIFS(
  Exchange_Return[Qty],
  Exchange_Return[Product_Code], Stock_Table[[#This Row],[Product_Code]]
)</f>
        <v>0</v>
      </c>
      <c r="L1260" s="4">
        <f>I1260-J1260+K1260</f>
        <v>3</v>
      </c>
      <c r="M1260" s="2" t="str" cm="1">
        <f t="array" ref="M1260">_xlfn.IFS(L1260=0,"Out of Stock",L1260&gt;=2,"Limited Stock",L1260&lt;2,"In Stock")</f>
        <v>Limited Stock</v>
      </c>
    </row>
    <row r="1261" spans="2:13">
      <c r="B1261" s="2" t="s">
        <v>434</v>
      </c>
      <c r="C1261" s="5" t="str">
        <f>_xlfn.XLOOKUP(B1261,Master[Product_Code],Master[Category])</f>
        <v>T-Shirt</v>
      </c>
      <c r="D1261" s="2" t="str">
        <f>_xlfn.XLOOKUP(B1261,Master[Product_Code],Master[Brand])</f>
        <v>Turkey</v>
      </c>
      <c r="E1261" s="2" t="str">
        <f>_xlfn.XLOOKUP(B1261,Master[Product_Code],Master[Style])</f>
        <v>Hoodie</v>
      </c>
      <c r="F1261" s="2" t="str">
        <f>_xlfn.XLOOKUP(B1261,Master[Product_Code],Master[Fabric])</f>
        <v>Poly Cotton</v>
      </c>
      <c r="G1261" s="2" t="str">
        <f>_xlfn.XLOOKUP(B1261,Master[Product_Code],Master[Size])</f>
        <v>L</v>
      </c>
      <c r="H1261" s="2" t="str">
        <f>_xlfn.XLOOKUP(B1261,Master[Product_Code],Master[Color])</f>
        <v>Teal</v>
      </c>
      <c r="I1261" s="4">
        <f>_xlfn.XLOOKUP(B1261,Master[Product_Code],Master[Stock_Qty])</f>
        <v>5</v>
      </c>
      <c r="J1261" s="6">
        <f>SUMIFS(
  Sales_Entry[Qty],
  Sales_Entry[Product_Code], Stock_Table[[#This Row],[Product_Code]]
)</f>
        <v>1</v>
      </c>
      <c r="K1261" s="4">
        <f>SUMIFS(
  Exchange_Return[Qty],
  Exchange_Return[Product_Code], Stock_Table[[#This Row],[Product_Code]]
)</f>
        <v>0</v>
      </c>
      <c r="L1261" s="4">
        <f>I1261-J1261+K1261</f>
        <v>4</v>
      </c>
      <c r="M1261" s="2" t="str" cm="1">
        <f t="array" ref="M1261">_xlfn.IFS(L1261=0,"Out of Stock",L1261&gt;=2,"Limited Stock",L1261&lt;2,"In Stock")</f>
        <v>Limited Stock</v>
      </c>
    </row>
    <row r="1262" spans="2:13">
      <c r="B1262" s="2" t="s">
        <v>435</v>
      </c>
      <c r="C1262" s="5" t="str">
        <f>_xlfn.XLOOKUP(B1262,Master[Product_Code],Master[Category])</f>
        <v>T-Shirt</v>
      </c>
      <c r="D1262" s="2" t="str">
        <f>_xlfn.XLOOKUP(B1262,Master[Product_Code],Master[Brand])</f>
        <v>Zara</v>
      </c>
      <c r="E1262" s="2" t="str">
        <f>_xlfn.XLOOKUP(B1262,Master[Product_Code],Master[Style])</f>
        <v>3/4 Sleeve</v>
      </c>
      <c r="F1262" s="2" t="str">
        <f>_xlfn.XLOOKUP(B1262,Master[Product_Code],Master[Fabric])</f>
        <v>Cotton Blend</v>
      </c>
      <c r="G1262" s="2" t="str">
        <f>_xlfn.XLOOKUP(B1262,Master[Product_Code],Master[Size])</f>
        <v>XL</v>
      </c>
      <c r="H1262" s="2" t="str">
        <f>_xlfn.XLOOKUP(B1262,Master[Product_Code],Master[Color])</f>
        <v>Light Grey</v>
      </c>
      <c r="I1262" s="4">
        <f>_xlfn.XLOOKUP(B1262,Master[Product_Code],Master[Stock_Qty])</f>
        <v>4</v>
      </c>
      <c r="J1262" s="6">
        <f>SUMIFS(
  Sales_Entry[Qty],
  Sales_Entry[Product_Code], Stock_Table[[#This Row],[Product_Code]]
)</f>
        <v>0</v>
      </c>
      <c r="K1262" s="4">
        <f>SUMIFS(
  Exchange_Return[Qty],
  Exchange_Return[Product_Code], Stock_Table[[#This Row],[Product_Code]]
)</f>
        <v>0</v>
      </c>
      <c r="L1262" s="4">
        <f>I1262-J1262+K1262</f>
        <v>4</v>
      </c>
      <c r="M1262" s="2" t="str" cm="1">
        <f t="array" ref="M1262">_xlfn.IFS(L1262=0,"Out of Stock",L1262&gt;=2,"Limited Stock",L1262&lt;2,"In Stock")</f>
        <v>Limited Stock</v>
      </c>
    </row>
    <row r="1263" spans="2:13">
      <c r="B1263" s="2" t="s">
        <v>436</v>
      </c>
      <c r="C1263" s="5" t="str">
        <f>_xlfn.XLOOKUP(B1263,Master[Product_Code],Master[Category])</f>
        <v>T-Shirt</v>
      </c>
      <c r="D1263" s="2" t="str">
        <f>_xlfn.XLOOKUP(B1263,Master[Product_Code],Master[Brand])</f>
        <v>Turkey</v>
      </c>
      <c r="E1263" s="2" t="str">
        <f>_xlfn.XLOOKUP(B1263,Master[Product_Code],Master[Style])</f>
        <v>3/4 Sleeve</v>
      </c>
      <c r="F1263" s="2" t="str">
        <f>_xlfn.XLOOKUP(B1263,Master[Product_Code],Master[Fabric])</f>
        <v>Poly Cotton</v>
      </c>
      <c r="G1263" s="2" t="str">
        <f>_xlfn.XLOOKUP(B1263,Master[Product_Code],Master[Size])</f>
        <v>S</v>
      </c>
      <c r="H1263" s="2" t="str">
        <f>_xlfn.XLOOKUP(B1263,Master[Product_Code],Master[Color])</f>
        <v>White</v>
      </c>
      <c r="I1263" s="4">
        <f>_xlfn.XLOOKUP(B1263,Master[Product_Code],Master[Stock_Qty])</f>
        <v>3</v>
      </c>
      <c r="J1263" s="6">
        <f>SUMIFS(
  Sales_Entry[Qty],
  Sales_Entry[Product_Code], Stock_Table[[#This Row],[Product_Code]]
)</f>
        <v>1</v>
      </c>
      <c r="K1263" s="4">
        <f>SUMIFS(
  Exchange_Return[Qty],
  Exchange_Return[Product_Code], Stock_Table[[#This Row],[Product_Code]]
)</f>
        <v>0</v>
      </c>
      <c r="L1263" s="4">
        <f>I1263-J1263+K1263</f>
        <v>2</v>
      </c>
      <c r="M1263" s="2" t="str" cm="1">
        <f t="array" ref="M1263">_xlfn.IFS(L1263=0,"Out of Stock",L1263&gt;=2,"Limited Stock",L1263&lt;2,"In Stock")</f>
        <v>Limited Stock</v>
      </c>
    </row>
    <row r="1264" spans="2:13">
      <c r="B1264" s="2" t="s">
        <v>437</v>
      </c>
      <c r="C1264" s="5" t="str">
        <f>_xlfn.XLOOKUP(B1264,Master[Product_Code],Master[Category])</f>
        <v>T-Shirt</v>
      </c>
      <c r="D1264" s="2" t="str">
        <f>_xlfn.XLOOKUP(B1264,Master[Product_Code],Master[Brand])</f>
        <v>Max</v>
      </c>
      <c r="E1264" s="2" t="str">
        <f>_xlfn.XLOOKUP(B1264,Master[Product_Code],Master[Style])</f>
        <v>Sleeveless</v>
      </c>
      <c r="F1264" s="2" t="str">
        <f>_xlfn.XLOOKUP(B1264,Master[Product_Code],Master[Fabric])</f>
        <v>Poly Cotton</v>
      </c>
      <c r="G1264" s="2" t="str">
        <f>_xlfn.XLOOKUP(B1264,Master[Product_Code],Master[Size])</f>
        <v>XL</v>
      </c>
      <c r="H1264" s="2" t="str">
        <f>_xlfn.XLOOKUP(B1264,Master[Product_Code],Master[Color])</f>
        <v>White</v>
      </c>
      <c r="I1264" s="4">
        <f>_xlfn.XLOOKUP(B1264,Master[Product_Code],Master[Stock_Qty])</f>
        <v>3</v>
      </c>
      <c r="J1264" s="6">
        <f>SUMIFS(
  Sales_Entry[Qty],
  Sales_Entry[Product_Code], Stock_Table[[#This Row],[Product_Code]]
)</f>
        <v>1</v>
      </c>
      <c r="K1264" s="4">
        <f>SUMIFS(
  Exchange_Return[Qty],
  Exchange_Return[Product_Code], Stock_Table[[#This Row],[Product_Code]]
)</f>
        <v>0</v>
      </c>
      <c r="L1264" s="4">
        <f>I1264-J1264+K1264</f>
        <v>2</v>
      </c>
      <c r="M1264" s="2" t="str" cm="1">
        <f t="array" ref="M1264">_xlfn.IFS(L1264=0,"Out of Stock",L1264&gt;=2,"Limited Stock",L1264&lt;2,"In Stock")</f>
        <v>Limited Stock</v>
      </c>
    </row>
    <row r="1265" spans="2:13">
      <c r="B1265" s="2" t="s">
        <v>438</v>
      </c>
      <c r="C1265" s="5" t="str">
        <f>_xlfn.XLOOKUP(B1265,Master[Product_Code],Master[Category])</f>
        <v>T-Shirt</v>
      </c>
      <c r="D1265" s="2" t="str">
        <f>_xlfn.XLOOKUP(B1265,Master[Product_Code],Master[Brand])</f>
        <v>Turkey</v>
      </c>
      <c r="E1265" s="2" t="str">
        <f>_xlfn.XLOOKUP(B1265,Master[Product_Code],Master[Style])</f>
        <v>Half Sleeve</v>
      </c>
      <c r="F1265" s="2" t="str">
        <f>_xlfn.XLOOKUP(B1265,Master[Product_Code],Master[Fabric])</f>
        <v>Cotton Blend</v>
      </c>
      <c r="G1265" s="2" t="str">
        <f>_xlfn.XLOOKUP(B1265,Master[Product_Code],Master[Size])</f>
        <v>XL</v>
      </c>
      <c r="H1265" s="2" t="str">
        <f>_xlfn.XLOOKUP(B1265,Master[Product_Code],Master[Color])</f>
        <v>Mustard</v>
      </c>
      <c r="I1265" s="4">
        <f>_xlfn.XLOOKUP(B1265,Master[Product_Code],Master[Stock_Qty])</f>
        <v>3</v>
      </c>
      <c r="J1265" s="6">
        <f>SUMIFS(
  Sales_Entry[Qty],
  Sales_Entry[Product_Code], Stock_Table[[#This Row],[Product_Code]]
)</f>
        <v>1</v>
      </c>
      <c r="K1265" s="4">
        <f>SUMIFS(
  Exchange_Return[Qty],
  Exchange_Return[Product_Code], Stock_Table[[#This Row],[Product_Code]]
)</f>
        <v>0</v>
      </c>
      <c r="L1265" s="4">
        <f>I1265-J1265+K1265</f>
        <v>2</v>
      </c>
      <c r="M1265" s="2" t="str" cm="1">
        <f t="array" ref="M1265">_xlfn.IFS(L1265=0,"Out of Stock",L1265&gt;=2,"Limited Stock",L1265&lt;2,"In Stock")</f>
        <v>Limited Stock</v>
      </c>
    </row>
    <row r="1266" spans="2:13">
      <c r="B1266" s="2" t="s">
        <v>439</v>
      </c>
      <c r="C1266" s="5" t="str">
        <f>_xlfn.XLOOKUP(B1266,Master[Product_Code],Master[Category])</f>
        <v>T-Shirt</v>
      </c>
      <c r="D1266" s="2" t="str">
        <f>_xlfn.XLOOKUP(B1266,Master[Product_Code],Master[Brand])</f>
        <v>Zara</v>
      </c>
      <c r="E1266" s="2" t="str">
        <f>_xlfn.XLOOKUP(B1266,Master[Product_Code],Master[Style])</f>
        <v>Full Sleeve</v>
      </c>
      <c r="F1266" s="2" t="str">
        <f>_xlfn.XLOOKUP(B1266,Master[Product_Code],Master[Fabric])</f>
        <v>Cotton</v>
      </c>
      <c r="G1266" s="2" t="str">
        <f>_xlfn.XLOOKUP(B1266,Master[Product_Code],Master[Size])</f>
        <v>XXL</v>
      </c>
      <c r="H1266" s="2" t="str">
        <f>_xlfn.XLOOKUP(B1266,Master[Product_Code],Master[Color])</f>
        <v>Peach</v>
      </c>
      <c r="I1266" s="4">
        <f>_xlfn.XLOOKUP(B1266,Master[Product_Code],Master[Stock_Qty])</f>
        <v>5</v>
      </c>
      <c r="J1266" s="6">
        <f>SUMIFS(
  Sales_Entry[Qty],
  Sales_Entry[Product_Code], Stock_Table[[#This Row],[Product_Code]]
)</f>
        <v>1</v>
      </c>
      <c r="K1266" s="4">
        <f>SUMIFS(
  Exchange_Return[Qty],
  Exchange_Return[Product_Code], Stock_Table[[#This Row],[Product_Code]]
)</f>
        <v>0</v>
      </c>
      <c r="L1266" s="4">
        <f>I1266-J1266+K1266</f>
        <v>4</v>
      </c>
      <c r="M1266" s="2" t="str" cm="1">
        <f t="array" ref="M1266">_xlfn.IFS(L1266=0,"Out of Stock",L1266&gt;=2,"Limited Stock",L1266&lt;2,"In Stock")</f>
        <v>Limited Stock</v>
      </c>
    </row>
    <row r="1267" spans="2:13">
      <c r="B1267" s="2" t="s">
        <v>440</v>
      </c>
      <c r="C1267" s="5" t="str">
        <f>_xlfn.XLOOKUP(B1267,Master[Product_Code],Master[Category])</f>
        <v>T-Shirt</v>
      </c>
      <c r="D1267" s="2" t="str">
        <f>_xlfn.XLOOKUP(B1267,Master[Product_Code],Master[Brand])</f>
        <v>Zara</v>
      </c>
      <c r="E1267" s="2" t="str">
        <f>_xlfn.XLOOKUP(B1267,Master[Product_Code],Master[Style])</f>
        <v>3/4 Sleeve</v>
      </c>
      <c r="F1267" s="2" t="str">
        <f>_xlfn.XLOOKUP(B1267,Master[Product_Code],Master[Fabric])</f>
        <v>Poly Cotton</v>
      </c>
      <c r="G1267" s="2" t="str">
        <f>_xlfn.XLOOKUP(B1267,Master[Product_Code],Master[Size])</f>
        <v>XXL</v>
      </c>
      <c r="H1267" s="2" t="str">
        <f>_xlfn.XLOOKUP(B1267,Master[Product_Code],Master[Color])</f>
        <v>White</v>
      </c>
      <c r="I1267" s="4">
        <f>_xlfn.XLOOKUP(B1267,Master[Product_Code],Master[Stock_Qty])</f>
        <v>4</v>
      </c>
      <c r="J1267" s="6">
        <f>SUMIFS(
  Sales_Entry[Qty],
  Sales_Entry[Product_Code], Stock_Table[[#This Row],[Product_Code]]
)</f>
        <v>1</v>
      </c>
      <c r="K1267" s="4">
        <f>SUMIFS(
  Exchange_Return[Qty],
  Exchange_Return[Product_Code], Stock_Table[[#This Row],[Product_Code]]
)</f>
        <v>0</v>
      </c>
      <c r="L1267" s="4">
        <f>I1267-J1267+K1267</f>
        <v>3</v>
      </c>
      <c r="M1267" s="2" t="str" cm="1">
        <f t="array" ref="M1267">_xlfn.IFS(L1267=0,"Out of Stock",L1267&gt;=2,"Limited Stock",L1267&lt;2,"In Stock")</f>
        <v>Limited Stock</v>
      </c>
    </row>
    <row r="1268" spans="2:13">
      <c r="B1268" s="2" t="s">
        <v>441</v>
      </c>
      <c r="C1268" s="5" t="str">
        <f>_xlfn.XLOOKUP(B1268,Master[Product_Code],Master[Category])</f>
        <v>T-Shirt</v>
      </c>
      <c r="D1268" s="2" t="str">
        <f>_xlfn.XLOOKUP(B1268,Master[Product_Code],Master[Brand])</f>
        <v>Zara</v>
      </c>
      <c r="E1268" s="2" t="str">
        <f>_xlfn.XLOOKUP(B1268,Master[Product_Code],Master[Style])</f>
        <v>Full Sleeve</v>
      </c>
      <c r="F1268" s="2" t="str">
        <f>_xlfn.XLOOKUP(B1268,Master[Product_Code],Master[Fabric])</f>
        <v>Poly Cotton</v>
      </c>
      <c r="G1268" s="2" t="str">
        <f>_xlfn.XLOOKUP(B1268,Master[Product_Code],Master[Size])</f>
        <v>M</v>
      </c>
      <c r="H1268" s="2" t="str">
        <f>_xlfn.XLOOKUP(B1268,Master[Product_Code],Master[Color])</f>
        <v>Rust</v>
      </c>
      <c r="I1268" s="4">
        <f>_xlfn.XLOOKUP(B1268,Master[Product_Code],Master[Stock_Qty])</f>
        <v>3</v>
      </c>
      <c r="J1268" s="6">
        <f>SUMIFS(
  Sales_Entry[Qty],
  Sales_Entry[Product_Code], Stock_Table[[#This Row],[Product_Code]]
)</f>
        <v>0</v>
      </c>
      <c r="K1268" s="4">
        <f>SUMIFS(
  Exchange_Return[Qty],
  Exchange_Return[Product_Code], Stock_Table[[#This Row],[Product_Code]]
)</f>
        <v>0</v>
      </c>
      <c r="L1268" s="4">
        <f>I1268-J1268+K1268</f>
        <v>3</v>
      </c>
      <c r="M1268" s="2" t="str" cm="1">
        <f t="array" ref="M1268">_xlfn.IFS(L1268=0,"Out of Stock",L1268&gt;=2,"Limited Stock",L1268&lt;2,"In Stock")</f>
        <v>Limited Stock</v>
      </c>
    </row>
    <row r="1269" spans="2:13">
      <c r="B1269" s="2" t="s">
        <v>442</v>
      </c>
      <c r="C1269" s="5" t="str">
        <f>_xlfn.XLOOKUP(B1269,Master[Product_Code],Master[Category])</f>
        <v>T-Shirt</v>
      </c>
      <c r="D1269" s="2" t="str">
        <f>_xlfn.XLOOKUP(B1269,Master[Product_Code],Master[Brand])</f>
        <v>Turkey</v>
      </c>
      <c r="E1269" s="2" t="str">
        <f>_xlfn.XLOOKUP(B1269,Master[Product_Code],Master[Style])</f>
        <v>Hoodie</v>
      </c>
      <c r="F1269" s="2" t="str">
        <f>_xlfn.XLOOKUP(B1269,Master[Product_Code],Master[Fabric])</f>
        <v>Cotton</v>
      </c>
      <c r="G1269" s="2" t="str">
        <f>_xlfn.XLOOKUP(B1269,Master[Product_Code],Master[Size])</f>
        <v>XXL</v>
      </c>
      <c r="H1269" s="2" t="str">
        <f>_xlfn.XLOOKUP(B1269,Master[Product_Code],Master[Color])</f>
        <v>Rust</v>
      </c>
      <c r="I1269" s="4">
        <f>_xlfn.XLOOKUP(B1269,Master[Product_Code],Master[Stock_Qty])</f>
        <v>5</v>
      </c>
      <c r="J1269" s="6">
        <f>SUMIFS(
  Sales_Entry[Qty],
  Sales_Entry[Product_Code], Stock_Table[[#This Row],[Product_Code]]
)</f>
        <v>1</v>
      </c>
      <c r="K1269" s="4">
        <f>SUMIFS(
  Exchange_Return[Qty],
  Exchange_Return[Product_Code], Stock_Table[[#This Row],[Product_Code]]
)</f>
        <v>0</v>
      </c>
      <c r="L1269" s="4">
        <f>I1269-J1269+K1269</f>
        <v>4</v>
      </c>
      <c r="M1269" s="2" t="str" cm="1">
        <f t="array" ref="M1269">_xlfn.IFS(L1269=0,"Out of Stock",L1269&gt;=2,"Limited Stock",L1269&lt;2,"In Stock")</f>
        <v>Limited Stock</v>
      </c>
    </row>
    <row r="1270" spans="2:13">
      <c r="B1270" s="2" t="s">
        <v>443</v>
      </c>
      <c r="C1270" s="5" t="str">
        <f>_xlfn.XLOOKUP(B1270,Master[Product_Code],Master[Category])</f>
        <v>T-Shirt</v>
      </c>
      <c r="D1270" s="2" t="str">
        <f>_xlfn.XLOOKUP(B1270,Master[Product_Code],Master[Brand])</f>
        <v>Urban Monkey</v>
      </c>
      <c r="E1270" s="2" t="str">
        <f>_xlfn.XLOOKUP(B1270,Master[Product_Code],Master[Style])</f>
        <v>Full Sleeve</v>
      </c>
      <c r="F1270" s="2" t="str">
        <f>_xlfn.XLOOKUP(B1270,Master[Product_Code],Master[Fabric])</f>
        <v>Poly Cotton</v>
      </c>
      <c r="G1270" s="2" t="str">
        <f>_xlfn.XLOOKUP(B1270,Master[Product_Code],Master[Size])</f>
        <v>S</v>
      </c>
      <c r="H1270" s="2" t="str">
        <f>_xlfn.XLOOKUP(B1270,Master[Product_Code],Master[Color])</f>
        <v>Wine</v>
      </c>
      <c r="I1270" s="4">
        <f>_xlfn.XLOOKUP(B1270,Master[Product_Code],Master[Stock_Qty])</f>
        <v>5</v>
      </c>
      <c r="J1270" s="6">
        <f>SUMIFS(
  Sales_Entry[Qty],
  Sales_Entry[Product_Code], Stock_Table[[#This Row],[Product_Code]]
)</f>
        <v>2</v>
      </c>
      <c r="K1270" s="4">
        <f>SUMIFS(
  Exchange_Return[Qty],
  Exchange_Return[Product_Code], Stock_Table[[#This Row],[Product_Code]]
)</f>
        <v>0</v>
      </c>
      <c r="L1270" s="4">
        <f>I1270-J1270+K1270</f>
        <v>3</v>
      </c>
      <c r="M1270" s="2" t="str" cm="1">
        <f t="array" ref="M1270">_xlfn.IFS(L1270=0,"Out of Stock",L1270&gt;=2,"Limited Stock",L1270&lt;2,"In Stock")</f>
        <v>Limited Stock</v>
      </c>
    </row>
    <row r="1271" spans="2:13">
      <c r="B1271" s="2" t="s">
        <v>444</v>
      </c>
      <c r="C1271" s="5" t="str">
        <f>_xlfn.XLOOKUP(B1271,Master[Product_Code],Master[Category])</f>
        <v>T-Shirt</v>
      </c>
      <c r="D1271" s="2" t="str">
        <f>_xlfn.XLOOKUP(B1271,Master[Product_Code],Master[Brand])</f>
        <v>Zara</v>
      </c>
      <c r="E1271" s="2" t="str">
        <f>_xlfn.XLOOKUP(B1271,Master[Product_Code],Master[Style])</f>
        <v>Sleeveless</v>
      </c>
      <c r="F1271" s="2" t="str">
        <f>_xlfn.XLOOKUP(B1271,Master[Product_Code],Master[Fabric])</f>
        <v>Cotton</v>
      </c>
      <c r="G1271" s="2" t="str">
        <f>_xlfn.XLOOKUP(B1271,Master[Product_Code],Master[Size])</f>
        <v>S</v>
      </c>
      <c r="H1271" s="2" t="str">
        <f>_xlfn.XLOOKUP(B1271,Master[Product_Code],Master[Color])</f>
        <v>Mustard</v>
      </c>
      <c r="I1271" s="4">
        <f>_xlfn.XLOOKUP(B1271,Master[Product_Code],Master[Stock_Qty])</f>
        <v>6</v>
      </c>
      <c r="J1271" s="6">
        <f>SUMIFS(
  Sales_Entry[Qty],
  Sales_Entry[Product_Code], Stock_Table[[#This Row],[Product_Code]]
)</f>
        <v>4</v>
      </c>
      <c r="K1271" s="4">
        <f>SUMIFS(
  Exchange_Return[Qty],
  Exchange_Return[Product_Code], Stock_Table[[#This Row],[Product_Code]]
)</f>
        <v>1</v>
      </c>
      <c r="L1271" s="4">
        <f>I1271-J1271+K1271</f>
        <v>3</v>
      </c>
      <c r="M1271" s="2" t="str" cm="1">
        <f t="array" ref="M1271">_xlfn.IFS(L1271=0,"Out of Stock",L1271&gt;=2,"Limited Stock",L1271&lt;2,"In Stock")</f>
        <v>Limited Stock</v>
      </c>
    </row>
    <row r="1272" spans="2:13">
      <c r="B1272" s="2" t="s">
        <v>445</v>
      </c>
      <c r="C1272" s="5" t="str">
        <f>_xlfn.XLOOKUP(B1272,Master[Product_Code],Master[Category])</f>
        <v>T-Shirt</v>
      </c>
      <c r="D1272" s="2" t="str">
        <f>_xlfn.XLOOKUP(B1272,Master[Product_Code],Master[Brand])</f>
        <v>Zara</v>
      </c>
      <c r="E1272" s="2" t="str">
        <f>_xlfn.XLOOKUP(B1272,Master[Product_Code],Master[Style])</f>
        <v>3/4 Sleeve</v>
      </c>
      <c r="F1272" s="2" t="str">
        <f>_xlfn.XLOOKUP(B1272,Master[Product_Code],Master[Fabric])</f>
        <v>Cotton Blend</v>
      </c>
      <c r="G1272" s="2" t="str">
        <f>_xlfn.XLOOKUP(B1272,Master[Product_Code],Master[Size])</f>
        <v>XL</v>
      </c>
      <c r="H1272" s="2" t="str">
        <f>_xlfn.XLOOKUP(B1272,Master[Product_Code],Master[Color])</f>
        <v>Charcoal</v>
      </c>
      <c r="I1272" s="4">
        <f>_xlfn.XLOOKUP(B1272,Master[Product_Code],Master[Stock_Qty])</f>
        <v>5</v>
      </c>
      <c r="J1272" s="6">
        <f>SUMIFS(
  Sales_Entry[Qty],
  Sales_Entry[Product_Code], Stock_Table[[#This Row],[Product_Code]]
)</f>
        <v>2</v>
      </c>
      <c r="K1272" s="4">
        <f>SUMIFS(
  Exchange_Return[Qty],
  Exchange_Return[Product_Code], Stock_Table[[#This Row],[Product_Code]]
)</f>
        <v>0</v>
      </c>
      <c r="L1272" s="4">
        <f>I1272-J1272+K1272</f>
        <v>3</v>
      </c>
      <c r="M1272" s="2" t="str" cm="1">
        <f t="array" ref="M1272">_xlfn.IFS(L1272=0,"Out of Stock",L1272&gt;=2,"Limited Stock",L1272&lt;2,"In Stock")</f>
        <v>Limited Stock</v>
      </c>
    </row>
    <row r="1273" spans="2:13">
      <c r="B1273" s="2" t="s">
        <v>446</v>
      </c>
      <c r="C1273" s="5" t="str">
        <f>_xlfn.XLOOKUP(B1273,Master[Product_Code],Master[Category])</f>
        <v>T-Shirt</v>
      </c>
      <c r="D1273" s="2" t="str">
        <f>_xlfn.XLOOKUP(B1273,Master[Product_Code],Master[Brand])</f>
        <v>Max</v>
      </c>
      <c r="E1273" s="2" t="str">
        <f>_xlfn.XLOOKUP(B1273,Master[Product_Code],Master[Style])</f>
        <v>Sleeveless</v>
      </c>
      <c r="F1273" s="2" t="str">
        <f>_xlfn.XLOOKUP(B1273,Master[Product_Code],Master[Fabric])</f>
        <v>Cotton</v>
      </c>
      <c r="G1273" s="2" t="str">
        <f>_xlfn.XLOOKUP(B1273,Master[Product_Code],Master[Size])</f>
        <v>XXL</v>
      </c>
      <c r="H1273" s="2" t="str">
        <f>_xlfn.XLOOKUP(B1273,Master[Product_Code],Master[Color])</f>
        <v>Rust</v>
      </c>
      <c r="I1273" s="4">
        <f>_xlfn.XLOOKUP(B1273,Master[Product_Code],Master[Stock_Qty])</f>
        <v>3</v>
      </c>
      <c r="J1273" s="6">
        <f>SUMIFS(
  Sales_Entry[Qty],
  Sales_Entry[Product_Code], Stock_Table[[#This Row],[Product_Code]]
)</f>
        <v>3</v>
      </c>
      <c r="K1273" s="4">
        <f>SUMIFS(
  Exchange_Return[Qty],
  Exchange_Return[Product_Code], Stock_Table[[#This Row],[Product_Code]]
)</f>
        <v>0</v>
      </c>
      <c r="L1273" s="4">
        <f>I1273-J1273+K1273</f>
        <v>0</v>
      </c>
      <c r="M1273" s="2" t="str" cm="1">
        <f t="array" ref="M1273">_xlfn.IFS(L1273=0,"Out of Stock",L1273&gt;=2,"Limited Stock",L1273&lt;2,"In Stock")</f>
        <v>Out of Stock</v>
      </c>
    </row>
    <row r="1274" spans="2:13">
      <c r="B1274" s="2" t="s">
        <v>447</v>
      </c>
      <c r="C1274" s="5" t="str">
        <f>_xlfn.XLOOKUP(B1274,Master[Product_Code],Master[Category])</f>
        <v>T-Shirt</v>
      </c>
      <c r="D1274" s="2" t="str">
        <f>_xlfn.XLOOKUP(B1274,Master[Product_Code],Master[Brand])</f>
        <v>Thailand</v>
      </c>
      <c r="E1274" s="2" t="str">
        <f>_xlfn.XLOOKUP(B1274,Master[Product_Code],Master[Style])</f>
        <v>Full Sleeve</v>
      </c>
      <c r="F1274" s="2" t="str">
        <f>_xlfn.XLOOKUP(B1274,Master[Product_Code],Master[Fabric])</f>
        <v>Poly Cotton</v>
      </c>
      <c r="G1274" s="2" t="str">
        <f>_xlfn.XLOOKUP(B1274,Master[Product_Code],Master[Size])</f>
        <v>S</v>
      </c>
      <c r="H1274" s="2" t="str">
        <f>_xlfn.XLOOKUP(B1274,Master[Product_Code],Master[Color])</f>
        <v>Navy Blue</v>
      </c>
      <c r="I1274" s="4">
        <f>_xlfn.XLOOKUP(B1274,Master[Product_Code],Master[Stock_Qty])</f>
        <v>5</v>
      </c>
      <c r="J1274" s="6">
        <f>SUMIFS(
  Sales_Entry[Qty],
  Sales_Entry[Product_Code], Stock_Table[[#This Row],[Product_Code]]
)</f>
        <v>0</v>
      </c>
      <c r="K1274" s="4">
        <f>SUMIFS(
  Exchange_Return[Qty],
  Exchange_Return[Product_Code], Stock_Table[[#This Row],[Product_Code]]
)</f>
        <v>0</v>
      </c>
      <c r="L1274" s="4">
        <f>I1274-J1274+K1274</f>
        <v>5</v>
      </c>
      <c r="M1274" s="2" t="str" cm="1">
        <f t="array" ref="M1274">_xlfn.IFS(L1274=0,"Out of Stock",L1274&gt;=2,"Limited Stock",L1274&lt;2,"In Stock")</f>
        <v>Limited Stock</v>
      </c>
    </row>
    <row r="1275" spans="2:13">
      <c r="B1275" s="2" t="s">
        <v>448</v>
      </c>
      <c r="C1275" s="5" t="str">
        <f>_xlfn.XLOOKUP(B1275,Master[Product_Code],Master[Category])</f>
        <v>T-Shirt</v>
      </c>
      <c r="D1275" s="2" t="str">
        <f>_xlfn.XLOOKUP(B1275,Master[Product_Code],Master[Brand])</f>
        <v>Max</v>
      </c>
      <c r="E1275" s="2" t="str">
        <f>_xlfn.XLOOKUP(B1275,Master[Product_Code],Master[Style])</f>
        <v>Full Sleeve</v>
      </c>
      <c r="F1275" s="2" t="str">
        <f>_xlfn.XLOOKUP(B1275,Master[Product_Code],Master[Fabric])</f>
        <v>Poly Cotton</v>
      </c>
      <c r="G1275" s="2" t="str">
        <f>_xlfn.XLOOKUP(B1275,Master[Product_Code],Master[Size])</f>
        <v>XL</v>
      </c>
      <c r="H1275" s="2" t="str">
        <f>_xlfn.XLOOKUP(B1275,Master[Product_Code],Master[Color])</f>
        <v>Mustard</v>
      </c>
      <c r="I1275" s="4">
        <f>_xlfn.XLOOKUP(B1275,Master[Product_Code],Master[Stock_Qty])</f>
        <v>5</v>
      </c>
      <c r="J1275" s="6">
        <f>SUMIFS(
  Sales_Entry[Qty],
  Sales_Entry[Product_Code], Stock_Table[[#This Row],[Product_Code]]
)</f>
        <v>2</v>
      </c>
      <c r="K1275" s="4">
        <f>SUMIFS(
  Exchange_Return[Qty],
  Exchange_Return[Product_Code], Stock_Table[[#This Row],[Product_Code]]
)</f>
        <v>0</v>
      </c>
      <c r="L1275" s="4">
        <f>I1275-J1275+K1275</f>
        <v>3</v>
      </c>
      <c r="M1275" s="2" t="str" cm="1">
        <f t="array" ref="M1275">_xlfn.IFS(L1275=0,"Out of Stock",L1275&gt;=2,"Limited Stock",L1275&lt;2,"In Stock")</f>
        <v>Limited Stock</v>
      </c>
    </row>
    <row r="1276" spans="2:13">
      <c r="B1276" s="2" t="s">
        <v>449</v>
      </c>
      <c r="C1276" s="5" t="str">
        <f>_xlfn.XLOOKUP(B1276,Master[Product_Code],Master[Category])</f>
        <v>T-Shirt</v>
      </c>
      <c r="D1276" s="2" t="str">
        <f>_xlfn.XLOOKUP(B1276,Master[Product_Code],Master[Brand])</f>
        <v>Zara</v>
      </c>
      <c r="E1276" s="2" t="str">
        <f>_xlfn.XLOOKUP(B1276,Master[Product_Code],Master[Style])</f>
        <v>Half Sleeve</v>
      </c>
      <c r="F1276" s="2" t="str">
        <f>_xlfn.XLOOKUP(B1276,Master[Product_Code],Master[Fabric])</f>
        <v>Cotton Blend</v>
      </c>
      <c r="G1276" s="2" t="str">
        <f>_xlfn.XLOOKUP(B1276,Master[Product_Code],Master[Size])</f>
        <v>XL</v>
      </c>
      <c r="H1276" s="2" t="str">
        <f>_xlfn.XLOOKUP(B1276,Master[Product_Code],Master[Color])</f>
        <v>Teal</v>
      </c>
      <c r="I1276" s="4">
        <f>_xlfn.XLOOKUP(B1276,Master[Product_Code],Master[Stock_Qty])</f>
        <v>5</v>
      </c>
      <c r="J1276" s="6">
        <f>SUMIFS(
  Sales_Entry[Qty],
  Sales_Entry[Product_Code], Stock_Table[[#This Row],[Product_Code]]
)</f>
        <v>3</v>
      </c>
      <c r="K1276" s="4">
        <f>SUMIFS(
  Exchange_Return[Qty],
  Exchange_Return[Product_Code], Stock_Table[[#This Row],[Product_Code]]
)</f>
        <v>0</v>
      </c>
      <c r="L1276" s="4">
        <f>I1276-J1276+K1276</f>
        <v>2</v>
      </c>
      <c r="M1276" s="2" t="str" cm="1">
        <f t="array" ref="M1276">_xlfn.IFS(L1276=0,"Out of Stock",L1276&gt;=2,"Limited Stock",L1276&lt;2,"In Stock")</f>
        <v>Limited Stock</v>
      </c>
    </row>
    <row r="1277" spans="2:13">
      <c r="B1277" s="2" t="s">
        <v>450</v>
      </c>
      <c r="C1277" s="5" t="str">
        <f>_xlfn.XLOOKUP(B1277,Master[Product_Code],Master[Category])</f>
        <v>T-Shirt</v>
      </c>
      <c r="D1277" s="2" t="str">
        <f>_xlfn.XLOOKUP(B1277,Master[Product_Code],Master[Brand])</f>
        <v>Turkey</v>
      </c>
      <c r="E1277" s="2" t="str">
        <f>_xlfn.XLOOKUP(B1277,Master[Product_Code],Master[Style])</f>
        <v>Half Sleeve</v>
      </c>
      <c r="F1277" s="2" t="str">
        <f>_xlfn.XLOOKUP(B1277,Master[Product_Code],Master[Fabric])</f>
        <v>Cotton</v>
      </c>
      <c r="G1277" s="2" t="str">
        <f>_xlfn.XLOOKUP(B1277,Master[Product_Code],Master[Size])</f>
        <v>XL</v>
      </c>
      <c r="H1277" s="2" t="str">
        <f>_xlfn.XLOOKUP(B1277,Master[Product_Code],Master[Color])</f>
        <v>Cream</v>
      </c>
      <c r="I1277" s="4">
        <f>_xlfn.XLOOKUP(B1277,Master[Product_Code],Master[Stock_Qty])</f>
        <v>6</v>
      </c>
      <c r="J1277" s="6">
        <f>SUMIFS(
  Sales_Entry[Qty],
  Sales_Entry[Product_Code], Stock_Table[[#This Row],[Product_Code]]
)</f>
        <v>2</v>
      </c>
      <c r="K1277" s="4">
        <f>SUMIFS(
  Exchange_Return[Qty],
  Exchange_Return[Product_Code], Stock_Table[[#This Row],[Product_Code]]
)</f>
        <v>0</v>
      </c>
      <c r="L1277" s="4">
        <f>I1277-J1277+K1277</f>
        <v>4</v>
      </c>
      <c r="M1277" s="2" t="str" cm="1">
        <f t="array" ref="M1277">_xlfn.IFS(L1277=0,"Out of Stock",L1277&gt;=2,"Limited Stock",L1277&lt;2,"In Stock")</f>
        <v>Limited Stock</v>
      </c>
    </row>
    <row r="1278" spans="2:13">
      <c r="B1278" s="2" t="s">
        <v>451</v>
      </c>
      <c r="C1278" s="5" t="str">
        <f>_xlfn.XLOOKUP(B1278,Master[Product_Code],Master[Category])</f>
        <v>T-Shirt</v>
      </c>
      <c r="D1278" s="2" t="str">
        <f>_xlfn.XLOOKUP(B1278,Master[Product_Code],Master[Brand])</f>
        <v>Zara</v>
      </c>
      <c r="E1278" s="2" t="str">
        <f>_xlfn.XLOOKUP(B1278,Master[Product_Code],Master[Style])</f>
        <v>Half Sleeve</v>
      </c>
      <c r="F1278" s="2" t="str">
        <f>_xlfn.XLOOKUP(B1278,Master[Product_Code],Master[Fabric])</f>
        <v>Cotton Blend</v>
      </c>
      <c r="G1278" s="2" t="str">
        <f>_xlfn.XLOOKUP(B1278,Master[Product_Code],Master[Size])</f>
        <v>XXL</v>
      </c>
      <c r="H1278" s="2" t="str">
        <f>_xlfn.XLOOKUP(B1278,Master[Product_Code],Master[Color])</f>
        <v>Navy Blue</v>
      </c>
      <c r="I1278" s="4">
        <f>_xlfn.XLOOKUP(B1278,Master[Product_Code],Master[Stock_Qty])</f>
        <v>5</v>
      </c>
      <c r="J1278" s="6">
        <f>SUMIFS(
  Sales_Entry[Qty],
  Sales_Entry[Product_Code], Stock_Table[[#This Row],[Product_Code]]
)</f>
        <v>0</v>
      </c>
      <c r="K1278" s="4">
        <f>SUMIFS(
  Exchange_Return[Qty],
  Exchange_Return[Product_Code], Stock_Table[[#This Row],[Product_Code]]
)</f>
        <v>0</v>
      </c>
      <c r="L1278" s="4">
        <f>I1278-J1278+K1278</f>
        <v>5</v>
      </c>
      <c r="M1278" s="2" t="str" cm="1">
        <f t="array" ref="M1278">_xlfn.IFS(L1278=0,"Out of Stock",L1278&gt;=2,"Limited Stock",L1278&lt;2,"In Stock")</f>
        <v>Limited Stock</v>
      </c>
    </row>
    <row r="1279" spans="2:13">
      <c r="B1279" s="2" t="s">
        <v>452</v>
      </c>
      <c r="C1279" s="5" t="str">
        <f>_xlfn.XLOOKUP(B1279,Master[Product_Code],Master[Category])</f>
        <v>T-Shirt</v>
      </c>
      <c r="D1279" s="2" t="str">
        <f>_xlfn.XLOOKUP(B1279,Master[Product_Code],Master[Brand])</f>
        <v>Zara</v>
      </c>
      <c r="E1279" s="2" t="str">
        <f>_xlfn.XLOOKUP(B1279,Master[Product_Code],Master[Style])</f>
        <v>3/4 Sleeve</v>
      </c>
      <c r="F1279" s="2" t="str">
        <f>_xlfn.XLOOKUP(B1279,Master[Product_Code],Master[Fabric])</f>
        <v>Cotton Blend</v>
      </c>
      <c r="G1279" s="2" t="str">
        <f>_xlfn.XLOOKUP(B1279,Master[Product_Code],Master[Size])</f>
        <v>XL</v>
      </c>
      <c r="H1279" s="2" t="str">
        <f>_xlfn.XLOOKUP(B1279,Master[Product_Code],Master[Color])</f>
        <v>Navy Blue</v>
      </c>
      <c r="I1279" s="4">
        <f>_xlfn.XLOOKUP(B1279,Master[Product_Code],Master[Stock_Qty])</f>
        <v>4</v>
      </c>
      <c r="J1279" s="6">
        <f>SUMIFS(
  Sales_Entry[Qty],
  Sales_Entry[Product_Code], Stock_Table[[#This Row],[Product_Code]]
)</f>
        <v>1</v>
      </c>
      <c r="K1279" s="4">
        <f>SUMIFS(
  Exchange_Return[Qty],
  Exchange_Return[Product_Code], Stock_Table[[#This Row],[Product_Code]]
)</f>
        <v>0</v>
      </c>
      <c r="L1279" s="4">
        <f>I1279-J1279+K1279</f>
        <v>3</v>
      </c>
      <c r="M1279" s="2" t="str" cm="1">
        <f t="array" ref="M1279">_xlfn.IFS(L1279=0,"Out of Stock",L1279&gt;=2,"Limited Stock",L1279&lt;2,"In Stock")</f>
        <v>Limited Stock</v>
      </c>
    </row>
    <row r="1280" spans="2:13">
      <c r="B1280" s="2" t="s">
        <v>453</v>
      </c>
      <c r="C1280" s="5" t="str">
        <f>_xlfn.XLOOKUP(B1280,Master[Product_Code],Master[Category])</f>
        <v>T-Shirt</v>
      </c>
      <c r="D1280" s="2" t="str">
        <f>_xlfn.XLOOKUP(B1280,Master[Product_Code],Master[Brand])</f>
        <v>Roadster</v>
      </c>
      <c r="E1280" s="2" t="str">
        <f>_xlfn.XLOOKUP(B1280,Master[Product_Code],Master[Style])</f>
        <v>Full Sleeve</v>
      </c>
      <c r="F1280" s="2" t="str">
        <f>_xlfn.XLOOKUP(B1280,Master[Product_Code],Master[Fabric])</f>
        <v>Poly Cotton</v>
      </c>
      <c r="G1280" s="2" t="str">
        <f>_xlfn.XLOOKUP(B1280,Master[Product_Code],Master[Size])</f>
        <v>XL</v>
      </c>
      <c r="H1280" s="2" t="str">
        <f>_xlfn.XLOOKUP(B1280,Master[Product_Code],Master[Color])</f>
        <v>Olive</v>
      </c>
      <c r="I1280" s="4">
        <f>_xlfn.XLOOKUP(B1280,Master[Product_Code],Master[Stock_Qty])</f>
        <v>4</v>
      </c>
      <c r="J1280" s="6">
        <f>SUMIFS(
  Sales_Entry[Qty],
  Sales_Entry[Product_Code], Stock_Table[[#This Row],[Product_Code]]
)</f>
        <v>4</v>
      </c>
      <c r="K1280" s="4">
        <f>SUMIFS(
  Exchange_Return[Qty],
  Exchange_Return[Product_Code], Stock_Table[[#This Row],[Product_Code]]
)</f>
        <v>0</v>
      </c>
      <c r="L1280" s="4">
        <f>I1280-J1280+K1280</f>
        <v>0</v>
      </c>
      <c r="M1280" s="2" t="str" cm="1">
        <f t="array" ref="M1280">_xlfn.IFS(L1280=0,"Out of Stock",L1280&gt;=2,"Limited Stock",L1280&lt;2,"In Stock")</f>
        <v>Out of Stock</v>
      </c>
    </row>
    <row r="1281" spans="2:13">
      <c r="B1281" s="2" t="s">
        <v>454</v>
      </c>
      <c r="C1281" s="5" t="str">
        <f>_xlfn.XLOOKUP(B1281,Master[Product_Code],Master[Category])</f>
        <v>T-Shirt</v>
      </c>
      <c r="D1281" s="2" t="str">
        <f>_xlfn.XLOOKUP(B1281,Master[Product_Code],Master[Brand])</f>
        <v>Thailand</v>
      </c>
      <c r="E1281" s="2" t="str">
        <f>_xlfn.XLOOKUP(B1281,Master[Product_Code],Master[Style])</f>
        <v>3/4 Sleeve</v>
      </c>
      <c r="F1281" s="2" t="str">
        <f>_xlfn.XLOOKUP(B1281,Master[Product_Code],Master[Fabric])</f>
        <v>Cotton Blend</v>
      </c>
      <c r="G1281" s="2" t="str">
        <f>_xlfn.XLOOKUP(B1281,Master[Product_Code],Master[Size])</f>
        <v>M</v>
      </c>
      <c r="H1281" s="2" t="str">
        <f>_xlfn.XLOOKUP(B1281,Master[Product_Code],Master[Color])</f>
        <v>Navy Blue</v>
      </c>
      <c r="I1281" s="4">
        <f>_xlfn.XLOOKUP(B1281,Master[Product_Code],Master[Stock_Qty])</f>
        <v>4</v>
      </c>
      <c r="J1281" s="6">
        <f>SUMIFS(
  Sales_Entry[Qty],
  Sales_Entry[Product_Code], Stock_Table[[#This Row],[Product_Code]]
)</f>
        <v>2</v>
      </c>
      <c r="K1281" s="4">
        <f>SUMIFS(
  Exchange_Return[Qty],
  Exchange_Return[Product_Code], Stock_Table[[#This Row],[Product_Code]]
)</f>
        <v>0</v>
      </c>
      <c r="L1281" s="4">
        <f>I1281-J1281+K1281</f>
        <v>2</v>
      </c>
      <c r="M1281" s="2" t="str" cm="1">
        <f t="array" ref="M1281">_xlfn.IFS(L1281=0,"Out of Stock",L1281&gt;=2,"Limited Stock",L1281&lt;2,"In Stock")</f>
        <v>Limited Stock</v>
      </c>
    </row>
    <row r="1282" spans="2:13">
      <c r="B1282" s="2" t="s">
        <v>455</v>
      </c>
      <c r="C1282" s="5" t="str">
        <f>_xlfn.XLOOKUP(B1282,Master[Product_Code],Master[Category])</f>
        <v>T-Shirt</v>
      </c>
      <c r="D1282" s="2" t="str">
        <f>_xlfn.XLOOKUP(B1282,Master[Product_Code],Master[Brand])</f>
        <v>Thailand</v>
      </c>
      <c r="E1282" s="2" t="str">
        <f>_xlfn.XLOOKUP(B1282,Master[Product_Code],Master[Style])</f>
        <v>Sleeveless</v>
      </c>
      <c r="F1282" s="2" t="str">
        <f>_xlfn.XLOOKUP(B1282,Master[Product_Code],Master[Fabric])</f>
        <v>Cotton Blend</v>
      </c>
      <c r="G1282" s="2" t="str">
        <f>_xlfn.XLOOKUP(B1282,Master[Product_Code],Master[Size])</f>
        <v>XL</v>
      </c>
      <c r="H1282" s="2" t="str">
        <f>_xlfn.XLOOKUP(B1282,Master[Product_Code],Master[Color])</f>
        <v>Navy Blue</v>
      </c>
      <c r="I1282" s="4">
        <f>_xlfn.XLOOKUP(B1282,Master[Product_Code],Master[Stock_Qty])</f>
        <v>5</v>
      </c>
      <c r="J1282" s="6">
        <f>SUMIFS(
  Sales_Entry[Qty],
  Sales_Entry[Product_Code], Stock_Table[[#This Row],[Product_Code]]
)</f>
        <v>2</v>
      </c>
      <c r="K1282" s="4">
        <f>SUMIFS(
  Exchange_Return[Qty],
  Exchange_Return[Product_Code], Stock_Table[[#This Row],[Product_Code]]
)</f>
        <v>0</v>
      </c>
      <c r="L1282" s="4">
        <f>I1282-J1282+K1282</f>
        <v>3</v>
      </c>
      <c r="M1282" s="2" t="str" cm="1">
        <f t="array" ref="M1282">_xlfn.IFS(L1282=0,"Out of Stock",L1282&gt;=2,"Limited Stock",L1282&lt;2,"In Stock")</f>
        <v>Limited Stock</v>
      </c>
    </row>
    <row r="1283" spans="2:13">
      <c r="B1283" s="2" t="s">
        <v>456</v>
      </c>
      <c r="C1283" s="5" t="str">
        <f>_xlfn.XLOOKUP(B1283,Master[Product_Code],Master[Category])</f>
        <v>T-Shirt</v>
      </c>
      <c r="D1283" s="2" t="str">
        <f>_xlfn.XLOOKUP(B1283,Master[Product_Code],Master[Brand])</f>
        <v>Turkey</v>
      </c>
      <c r="E1283" s="2" t="str">
        <f>_xlfn.XLOOKUP(B1283,Master[Product_Code],Master[Style])</f>
        <v>Sleeveless</v>
      </c>
      <c r="F1283" s="2" t="str">
        <f>_xlfn.XLOOKUP(B1283,Master[Product_Code],Master[Fabric])</f>
        <v>Poly Cotton</v>
      </c>
      <c r="G1283" s="2" t="str">
        <f>_xlfn.XLOOKUP(B1283,Master[Product_Code],Master[Size])</f>
        <v>XXL</v>
      </c>
      <c r="H1283" s="2" t="str">
        <f>_xlfn.XLOOKUP(B1283,Master[Product_Code],Master[Color])</f>
        <v>Grey</v>
      </c>
      <c r="I1283" s="4">
        <f>_xlfn.XLOOKUP(B1283,Master[Product_Code],Master[Stock_Qty])</f>
        <v>6</v>
      </c>
      <c r="J1283" s="6">
        <f>SUMIFS(
  Sales_Entry[Qty],
  Sales_Entry[Product_Code], Stock_Table[[#This Row],[Product_Code]]
)</f>
        <v>2</v>
      </c>
      <c r="K1283" s="4">
        <f>SUMIFS(
  Exchange_Return[Qty],
  Exchange_Return[Product_Code], Stock_Table[[#This Row],[Product_Code]]
)</f>
        <v>0</v>
      </c>
      <c r="L1283" s="4">
        <f>I1283-J1283+K1283</f>
        <v>4</v>
      </c>
      <c r="M1283" s="2" t="str" cm="1">
        <f t="array" ref="M1283">_xlfn.IFS(L1283=0,"Out of Stock",L1283&gt;=2,"Limited Stock",L1283&lt;2,"In Stock")</f>
        <v>Limited Stock</v>
      </c>
    </row>
    <row r="1284" spans="2:13">
      <c r="B1284" s="2" t="s">
        <v>457</v>
      </c>
      <c r="C1284" s="5" t="str">
        <f>_xlfn.XLOOKUP(B1284,Master[Product_Code],Master[Category])</f>
        <v>T-Shirt</v>
      </c>
      <c r="D1284" s="2" t="str">
        <f>_xlfn.XLOOKUP(B1284,Master[Product_Code],Master[Brand])</f>
        <v>Turkey</v>
      </c>
      <c r="E1284" s="2" t="str">
        <f>_xlfn.XLOOKUP(B1284,Master[Product_Code],Master[Style])</f>
        <v>3/4 Sleeve</v>
      </c>
      <c r="F1284" s="2" t="str">
        <f>_xlfn.XLOOKUP(B1284,Master[Product_Code],Master[Fabric])</f>
        <v>Cotton</v>
      </c>
      <c r="G1284" s="2" t="str">
        <f>_xlfn.XLOOKUP(B1284,Master[Product_Code],Master[Size])</f>
        <v>XL</v>
      </c>
      <c r="H1284" s="2" t="str">
        <f>_xlfn.XLOOKUP(B1284,Master[Product_Code],Master[Color])</f>
        <v>Mustard</v>
      </c>
      <c r="I1284" s="4">
        <f>_xlfn.XLOOKUP(B1284,Master[Product_Code],Master[Stock_Qty])</f>
        <v>6</v>
      </c>
      <c r="J1284" s="6">
        <f>SUMIFS(
  Sales_Entry[Qty],
  Sales_Entry[Product_Code], Stock_Table[[#This Row],[Product_Code]]
)</f>
        <v>3</v>
      </c>
      <c r="K1284" s="4">
        <f>SUMIFS(
  Exchange_Return[Qty],
  Exchange_Return[Product_Code], Stock_Table[[#This Row],[Product_Code]]
)</f>
        <v>0</v>
      </c>
      <c r="L1284" s="4">
        <f>I1284-J1284+K1284</f>
        <v>3</v>
      </c>
      <c r="M1284" s="2" t="str" cm="1">
        <f t="array" ref="M1284">_xlfn.IFS(L1284=0,"Out of Stock",L1284&gt;=2,"Limited Stock",L1284&lt;2,"In Stock")</f>
        <v>Limited Stock</v>
      </c>
    </row>
    <row r="1285" spans="2:13">
      <c r="B1285" s="2" t="s">
        <v>458</v>
      </c>
      <c r="C1285" s="5" t="str">
        <f>_xlfn.XLOOKUP(B1285,Master[Product_Code],Master[Category])</f>
        <v>T-Shirt</v>
      </c>
      <c r="D1285" s="2" t="str">
        <f>_xlfn.XLOOKUP(B1285,Master[Product_Code],Master[Brand])</f>
        <v>Max</v>
      </c>
      <c r="E1285" s="2" t="str">
        <f>_xlfn.XLOOKUP(B1285,Master[Product_Code],Master[Style])</f>
        <v>3/4 Sleeve</v>
      </c>
      <c r="F1285" s="2" t="str">
        <f>_xlfn.XLOOKUP(B1285,Master[Product_Code],Master[Fabric])</f>
        <v>Cotton Blend</v>
      </c>
      <c r="G1285" s="2" t="str">
        <f>_xlfn.XLOOKUP(B1285,Master[Product_Code],Master[Size])</f>
        <v>XXL</v>
      </c>
      <c r="H1285" s="2" t="str">
        <f>_xlfn.XLOOKUP(B1285,Master[Product_Code],Master[Color])</f>
        <v>Maroon</v>
      </c>
      <c r="I1285" s="4">
        <f>_xlfn.XLOOKUP(B1285,Master[Product_Code],Master[Stock_Qty])</f>
        <v>5</v>
      </c>
      <c r="J1285" s="6">
        <f>SUMIFS(
  Sales_Entry[Qty],
  Sales_Entry[Product_Code], Stock_Table[[#This Row],[Product_Code]]
)</f>
        <v>4</v>
      </c>
      <c r="K1285" s="4">
        <f>SUMIFS(
  Exchange_Return[Qty],
  Exchange_Return[Product_Code], Stock_Table[[#This Row],[Product_Code]]
)</f>
        <v>0</v>
      </c>
      <c r="L1285" s="4">
        <f>I1285-J1285+K1285</f>
        <v>1</v>
      </c>
      <c r="M1285" s="2" t="str" cm="1">
        <f t="array" ref="M1285">_xlfn.IFS(L1285=0,"Out of Stock",L1285&gt;=2,"Limited Stock",L1285&lt;2,"In Stock")</f>
        <v>In Stock</v>
      </c>
    </row>
    <row r="1286" spans="2:13">
      <c r="B1286" s="2" t="s">
        <v>459</v>
      </c>
      <c r="C1286" s="5" t="str">
        <f>_xlfn.XLOOKUP(B1286,Master[Product_Code],Master[Category])</f>
        <v>T-Shirt</v>
      </c>
      <c r="D1286" s="2" t="str">
        <f>_xlfn.XLOOKUP(B1286,Master[Product_Code],Master[Brand])</f>
        <v>Roadster</v>
      </c>
      <c r="E1286" s="2" t="str">
        <f>_xlfn.XLOOKUP(B1286,Master[Product_Code],Master[Style])</f>
        <v>Full Sleeve</v>
      </c>
      <c r="F1286" s="2" t="str">
        <f>_xlfn.XLOOKUP(B1286,Master[Product_Code],Master[Fabric])</f>
        <v>Cotton Blend</v>
      </c>
      <c r="G1286" s="2" t="str">
        <f>_xlfn.XLOOKUP(B1286,Master[Product_Code],Master[Size])</f>
        <v>L</v>
      </c>
      <c r="H1286" s="2" t="str">
        <f>_xlfn.XLOOKUP(B1286,Master[Product_Code],Master[Color])</f>
        <v>Olive</v>
      </c>
      <c r="I1286" s="4">
        <f>_xlfn.XLOOKUP(B1286,Master[Product_Code],Master[Stock_Qty])</f>
        <v>6</v>
      </c>
      <c r="J1286" s="6">
        <f>SUMIFS(
  Sales_Entry[Qty],
  Sales_Entry[Product_Code], Stock_Table[[#This Row],[Product_Code]]
)</f>
        <v>3</v>
      </c>
      <c r="K1286" s="4">
        <f>SUMIFS(
  Exchange_Return[Qty],
  Exchange_Return[Product_Code], Stock_Table[[#This Row],[Product_Code]]
)</f>
        <v>0</v>
      </c>
      <c r="L1286" s="4">
        <f>I1286-J1286+K1286</f>
        <v>3</v>
      </c>
      <c r="M1286" s="2" t="str" cm="1">
        <f t="array" ref="M1286">_xlfn.IFS(L1286=0,"Out of Stock",L1286&gt;=2,"Limited Stock",L1286&lt;2,"In Stock")</f>
        <v>Limited Stock</v>
      </c>
    </row>
    <row r="1287" spans="2:13">
      <c r="B1287" s="2" t="s">
        <v>460</v>
      </c>
      <c r="C1287" s="5" t="str">
        <f>_xlfn.XLOOKUP(B1287,Master[Product_Code],Master[Category])</f>
        <v>T-Shirt</v>
      </c>
      <c r="D1287" s="2" t="str">
        <f>_xlfn.XLOOKUP(B1287,Master[Product_Code],Master[Brand])</f>
        <v>Thailand</v>
      </c>
      <c r="E1287" s="2" t="str">
        <f>_xlfn.XLOOKUP(B1287,Master[Product_Code],Master[Style])</f>
        <v>Sleeveless</v>
      </c>
      <c r="F1287" s="2" t="str">
        <f>_xlfn.XLOOKUP(B1287,Master[Product_Code],Master[Fabric])</f>
        <v>Poly Cotton</v>
      </c>
      <c r="G1287" s="2" t="str">
        <f>_xlfn.XLOOKUP(B1287,Master[Product_Code],Master[Size])</f>
        <v>M</v>
      </c>
      <c r="H1287" s="2" t="str">
        <f>_xlfn.XLOOKUP(B1287,Master[Product_Code],Master[Color])</f>
        <v>Mustard</v>
      </c>
      <c r="I1287" s="4">
        <f>_xlfn.XLOOKUP(B1287,Master[Product_Code],Master[Stock_Qty])</f>
        <v>6</v>
      </c>
      <c r="J1287" s="6">
        <f>SUMIFS(
  Sales_Entry[Qty],
  Sales_Entry[Product_Code], Stock_Table[[#This Row],[Product_Code]]
)</f>
        <v>3</v>
      </c>
      <c r="K1287" s="4">
        <f>SUMIFS(
  Exchange_Return[Qty],
  Exchange_Return[Product_Code], Stock_Table[[#This Row],[Product_Code]]
)</f>
        <v>0</v>
      </c>
      <c r="L1287" s="4">
        <f>I1287-J1287+K1287</f>
        <v>3</v>
      </c>
      <c r="M1287" s="2" t="str" cm="1">
        <f t="array" ref="M1287">_xlfn.IFS(L1287=0,"Out of Stock",L1287&gt;=2,"Limited Stock",L1287&lt;2,"In Stock")</f>
        <v>Limited Stock</v>
      </c>
    </row>
    <row r="1288" spans="2:13">
      <c r="B1288" s="2" t="s">
        <v>461</v>
      </c>
      <c r="C1288" s="5" t="str">
        <f>_xlfn.XLOOKUP(B1288,Master[Product_Code],Master[Category])</f>
        <v>T-Shirt</v>
      </c>
      <c r="D1288" s="2" t="str">
        <f>_xlfn.XLOOKUP(B1288,Master[Product_Code],Master[Brand])</f>
        <v>Urban Monkey</v>
      </c>
      <c r="E1288" s="2" t="str">
        <f>_xlfn.XLOOKUP(B1288,Master[Product_Code],Master[Style])</f>
        <v>Sleeveless</v>
      </c>
      <c r="F1288" s="2" t="str">
        <f>_xlfn.XLOOKUP(B1288,Master[Product_Code],Master[Fabric])</f>
        <v>Cotton Blend</v>
      </c>
      <c r="G1288" s="2" t="str">
        <f>_xlfn.XLOOKUP(B1288,Master[Product_Code],Master[Size])</f>
        <v>S</v>
      </c>
      <c r="H1288" s="2" t="str">
        <f>_xlfn.XLOOKUP(B1288,Master[Product_Code],Master[Color])</f>
        <v>Light Grey</v>
      </c>
      <c r="I1288" s="4">
        <f>_xlfn.XLOOKUP(B1288,Master[Product_Code],Master[Stock_Qty])</f>
        <v>4</v>
      </c>
      <c r="J1288" s="6">
        <f>SUMIFS(
  Sales_Entry[Qty],
  Sales_Entry[Product_Code], Stock_Table[[#This Row],[Product_Code]]
)</f>
        <v>3</v>
      </c>
      <c r="K1288" s="4">
        <f>SUMIFS(
  Exchange_Return[Qty],
  Exchange_Return[Product_Code], Stock_Table[[#This Row],[Product_Code]]
)</f>
        <v>0</v>
      </c>
      <c r="L1288" s="4">
        <f>I1288-J1288+K1288</f>
        <v>1</v>
      </c>
      <c r="M1288" s="2" t="str" cm="1">
        <f t="array" ref="M1288">_xlfn.IFS(L1288=0,"Out of Stock",L1288&gt;=2,"Limited Stock",L1288&lt;2,"In Stock")</f>
        <v>In Stock</v>
      </c>
    </row>
    <row r="1289" spans="2:13">
      <c r="B1289" s="2" t="s">
        <v>462</v>
      </c>
      <c r="C1289" s="5" t="str">
        <f>_xlfn.XLOOKUP(B1289,Master[Product_Code],Master[Category])</f>
        <v>T-Shirt</v>
      </c>
      <c r="D1289" s="2" t="str">
        <f>_xlfn.XLOOKUP(B1289,Master[Product_Code],Master[Brand])</f>
        <v>Roadster</v>
      </c>
      <c r="E1289" s="2" t="str">
        <f>_xlfn.XLOOKUP(B1289,Master[Product_Code],Master[Style])</f>
        <v>Full Sleeve</v>
      </c>
      <c r="F1289" s="2" t="str">
        <f>_xlfn.XLOOKUP(B1289,Master[Product_Code],Master[Fabric])</f>
        <v>Poly Cotton</v>
      </c>
      <c r="G1289" s="2" t="str">
        <f>_xlfn.XLOOKUP(B1289,Master[Product_Code],Master[Size])</f>
        <v>XXL</v>
      </c>
      <c r="H1289" s="2" t="str">
        <f>_xlfn.XLOOKUP(B1289,Master[Product_Code],Master[Color])</f>
        <v>Black</v>
      </c>
      <c r="I1289" s="4">
        <f>_xlfn.XLOOKUP(B1289,Master[Product_Code],Master[Stock_Qty])</f>
        <v>6</v>
      </c>
      <c r="J1289" s="6">
        <f>SUMIFS(
  Sales_Entry[Qty],
  Sales_Entry[Product_Code], Stock_Table[[#This Row],[Product_Code]]
)</f>
        <v>2</v>
      </c>
      <c r="K1289" s="4">
        <f>SUMIFS(
  Exchange_Return[Qty],
  Exchange_Return[Product_Code], Stock_Table[[#This Row],[Product_Code]]
)</f>
        <v>0</v>
      </c>
      <c r="L1289" s="4">
        <f>I1289-J1289+K1289</f>
        <v>4</v>
      </c>
      <c r="M1289" s="2" t="str" cm="1">
        <f t="array" ref="M1289">_xlfn.IFS(L1289=0,"Out of Stock",L1289&gt;=2,"Limited Stock",L1289&lt;2,"In Stock")</f>
        <v>Limited Stock</v>
      </c>
    </row>
    <row r="1290" spans="2:13">
      <c r="B1290" s="2" t="s">
        <v>463</v>
      </c>
      <c r="C1290" s="5" t="str">
        <f>_xlfn.XLOOKUP(B1290,Master[Product_Code],Master[Category])</f>
        <v>T-Shirt</v>
      </c>
      <c r="D1290" s="2" t="str">
        <f>_xlfn.XLOOKUP(B1290,Master[Product_Code],Master[Brand])</f>
        <v>Turkey</v>
      </c>
      <c r="E1290" s="2" t="str">
        <f>_xlfn.XLOOKUP(B1290,Master[Product_Code],Master[Style])</f>
        <v>Sleeveless</v>
      </c>
      <c r="F1290" s="2" t="str">
        <f>_xlfn.XLOOKUP(B1290,Master[Product_Code],Master[Fabric])</f>
        <v>Cotton Blend</v>
      </c>
      <c r="G1290" s="2" t="str">
        <f>_xlfn.XLOOKUP(B1290,Master[Product_Code],Master[Size])</f>
        <v>S</v>
      </c>
      <c r="H1290" s="2" t="str">
        <f>_xlfn.XLOOKUP(B1290,Master[Product_Code],Master[Color])</f>
        <v>Bottle Green</v>
      </c>
      <c r="I1290" s="4">
        <f>_xlfn.XLOOKUP(B1290,Master[Product_Code],Master[Stock_Qty])</f>
        <v>6</v>
      </c>
      <c r="J1290" s="6">
        <f>SUMIFS(
  Sales_Entry[Qty],
  Sales_Entry[Product_Code], Stock_Table[[#This Row],[Product_Code]]
)</f>
        <v>3</v>
      </c>
      <c r="K1290" s="4">
        <f>SUMIFS(
  Exchange_Return[Qty],
  Exchange_Return[Product_Code], Stock_Table[[#This Row],[Product_Code]]
)</f>
        <v>0</v>
      </c>
      <c r="L1290" s="4">
        <f>I1290-J1290+K1290</f>
        <v>3</v>
      </c>
      <c r="M1290" s="2" t="str" cm="1">
        <f t="array" ref="M1290">_xlfn.IFS(L1290=0,"Out of Stock",L1290&gt;=2,"Limited Stock",L1290&lt;2,"In Stock")</f>
        <v>Limited Stock</v>
      </c>
    </row>
    <row r="1291" spans="2:13">
      <c r="B1291" s="2" t="s">
        <v>464</v>
      </c>
      <c r="C1291" s="5" t="str">
        <f>_xlfn.XLOOKUP(B1291,Master[Product_Code],Master[Category])</f>
        <v>T-Shirt</v>
      </c>
      <c r="D1291" s="2" t="str">
        <f>_xlfn.XLOOKUP(B1291,Master[Product_Code],Master[Brand])</f>
        <v>Campus</v>
      </c>
      <c r="E1291" s="2" t="str">
        <f>_xlfn.XLOOKUP(B1291,Master[Product_Code],Master[Style])</f>
        <v>3/4 Sleeve</v>
      </c>
      <c r="F1291" s="2" t="str">
        <f>_xlfn.XLOOKUP(B1291,Master[Product_Code],Master[Fabric])</f>
        <v>Cotton</v>
      </c>
      <c r="G1291" s="2" t="str">
        <f>_xlfn.XLOOKUP(B1291,Master[Product_Code],Master[Size])</f>
        <v>L</v>
      </c>
      <c r="H1291" s="2" t="str">
        <f>_xlfn.XLOOKUP(B1291,Master[Product_Code],Master[Color])</f>
        <v>Maroon</v>
      </c>
      <c r="I1291" s="4">
        <f>_xlfn.XLOOKUP(B1291,Master[Product_Code],Master[Stock_Qty])</f>
        <v>6</v>
      </c>
      <c r="J1291" s="6">
        <f>SUMIFS(
  Sales_Entry[Qty],
  Sales_Entry[Product_Code], Stock_Table[[#This Row],[Product_Code]]
)</f>
        <v>1</v>
      </c>
      <c r="K1291" s="4">
        <f>SUMIFS(
  Exchange_Return[Qty],
  Exchange_Return[Product_Code], Stock_Table[[#This Row],[Product_Code]]
)</f>
        <v>0</v>
      </c>
      <c r="L1291" s="4">
        <f>I1291-J1291+K1291</f>
        <v>5</v>
      </c>
      <c r="M1291" s="2" t="str" cm="1">
        <f t="array" ref="M1291">_xlfn.IFS(L1291=0,"Out of Stock",L1291&gt;=2,"Limited Stock",L1291&lt;2,"In Stock")</f>
        <v>Limited Stock</v>
      </c>
    </row>
    <row r="1292" spans="2:13">
      <c r="B1292" s="2" t="s">
        <v>465</v>
      </c>
      <c r="C1292" s="5" t="str">
        <f>_xlfn.XLOOKUP(B1292,Master[Product_Code],Master[Category])</f>
        <v>T-Shirt</v>
      </c>
      <c r="D1292" s="2" t="str">
        <f>_xlfn.XLOOKUP(B1292,Master[Product_Code],Master[Brand])</f>
        <v>Zara</v>
      </c>
      <c r="E1292" s="2" t="str">
        <f>_xlfn.XLOOKUP(B1292,Master[Product_Code],Master[Style])</f>
        <v>Sleeveless</v>
      </c>
      <c r="F1292" s="2" t="str">
        <f>_xlfn.XLOOKUP(B1292,Master[Product_Code],Master[Fabric])</f>
        <v>Poly Cotton</v>
      </c>
      <c r="G1292" s="2" t="str">
        <f>_xlfn.XLOOKUP(B1292,Master[Product_Code],Master[Size])</f>
        <v>XL</v>
      </c>
      <c r="H1292" s="2" t="str">
        <f>_xlfn.XLOOKUP(B1292,Master[Product_Code],Master[Color])</f>
        <v>Light Grey</v>
      </c>
      <c r="I1292" s="4">
        <f>_xlfn.XLOOKUP(B1292,Master[Product_Code],Master[Stock_Qty])</f>
        <v>6</v>
      </c>
      <c r="J1292" s="6">
        <f>SUMIFS(
  Sales_Entry[Qty],
  Sales_Entry[Product_Code], Stock_Table[[#This Row],[Product_Code]]
)</f>
        <v>2</v>
      </c>
      <c r="K1292" s="4">
        <f>SUMIFS(
  Exchange_Return[Qty],
  Exchange_Return[Product_Code], Stock_Table[[#This Row],[Product_Code]]
)</f>
        <v>0</v>
      </c>
      <c r="L1292" s="4">
        <f>I1292-J1292+K1292</f>
        <v>4</v>
      </c>
      <c r="M1292" s="2" t="str" cm="1">
        <f t="array" ref="M1292">_xlfn.IFS(L1292=0,"Out of Stock",L1292&gt;=2,"Limited Stock",L1292&lt;2,"In Stock")</f>
        <v>Limited Stock</v>
      </c>
    </row>
    <row r="1293" spans="2:13">
      <c r="B1293" s="2" t="s">
        <v>466</v>
      </c>
      <c r="C1293" s="5" t="str">
        <f>_xlfn.XLOOKUP(B1293,Master[Product_Code],Master[Category])</f>
        <v>T-Shirt</v>
      </c>
      <c r="D1293" s="2" t="str">
        <f>_xlfn.XLOOKUP(B1293,Master[Product_Code],Master[Brand])</f>
        <v>Roadster</v>
      </c>
      <c r="E1293" s="2" t="str">
        <f>_xlfn.XLOOKUP(B1293,Master[Product_Code],Master[Style])</f>
        <v>Sleeveless</v>
      </c>
      <c r="F1293" s="2" t="str">
        <f>_xlfn.XLOOKUP(B1293,Master[Product_Code],Master[Fabric])</f>
        <v>Poly Cotton</v>
      </c>
      <c r="G1293" s="2" t="str">
        <f>_xlfn.XLOOKUP(B1293,Master[Product_Code],Master[Size])</f>
        <v>S</v>
      </c>
      <c r="H1293" s="2" t="str">
        <f>_xlfn.XLOOKUP(B1293,Master[Product_Code],Master[Color])</f>
        <v>Teal</v>
      </c>
      <c r="I1293" s="4">
        <f>_xlfn.XLOOKUP(B1293,Master[Product_Code],Master[Stock_Qty])</f>
        <v>3</v>
      </c>
      <c r="J1293" s="6">
        <f>SUMIFS(
  Sales_Entry[Qty],
  Sales_Entry[Product_Code], Stock_Table[[#This Row],[Product_Code]]
)</f>
        <v>2</v>
      </c>
      <c r="K1293" s="4">
        <f>SUMIFS(
  Exchange_Return[Qty],
  Exchange_Return[Product_Code], Stock_Table[[#This Row],[Product_Code]]
)</f>
        <v>0</v>
      </c>
      <c r="L1293" s="4">
        <f>I1293-J1293+K1293</f>
        <v>1</v>
      </c>
      <c r="M1293" s="2" t="str" cm="1">
        <f t="array" ref="M1293">_xlfn.IFS(L1293=0,"Out of Stock",L1293&gt;=2,"Limited Stock",L1293&lt;2,"In Stock")</f>
        <v>In Stock</v>
      </c>
    </row>
    <row r="1294" spans="2:13">
      <c r="B1294" s="2" t="s">
        <v>467</v>
      </c>
      <c r="C1294" s="5" t="str">
        <f>_xlfn.XLOOKUP(B1294,Master[Product_Code],Master[Category])</f>
        <v>T-Shirt</v>
      </c>
      <c r="D1294" s="2" t="str">
        <f>_xlfn.XLOOKUP(B1294,Master[Product_Code],Master[Brand])</f>
        <v>Urban Monkey</v>
      </c>
      <c r="E1294" s="2" t="str">
        <f>_xlfn.XLOOKUP(B1294,Master[Product_Code],Master[Style])</f>
        <v>Full Sleeve</v>
      </c>
      <c r="F1294" s="2" t="str">
        <f>_xlfn.XLOOKUP(B1294,Master[Product_Code],Master[Fabric])</f>
        <v>Poly Cotton</v>
      </c>
      <c r="G1294" s="2" t="str">
        <f>_xlfn.XLOOKUP(B1294,Master[Product_Code],Master[Size])</f>
        <v>L</v>
      </c>
      <c r="H1294" s="2" t="str">
        <f>_xlfn.XLOOKUP(B1294,Master[Product_Code],Master[Color])</f>
        <v>Olive</v>
      </c>
      <c r="I1294" s="4">
        <f>_xlfn.XLOOKUP(B1294,Master[Product_Code],Master[Stock_Qty])</f>
        <v>3</v>
      </c>
      <c r="J1294" s="6">
        <f>SUMIFS(
  Sales_Entry[Qty],
  Sales_Entry[Product_Code], Stock_Table[[#This Row],[Product_Code]]
)</f>
        <v>3</v>
      </c>
      <c r="K1294" s="4">
        <f>SUMIFS(
  Exchange_Return[Qty],
  Exchange_Return[Product_Code], Stock_Table[[#This Row],[Product_Code]]
)</f>
        <v>0</v>
      </c>
      <c r="L1294" s="4">
        <f>I1294-J1294+K1294</f>
        <v>0</v>
      </c>
      <c r="M1294" s="2" t="str" cm="1">
        <f t="array" ref="M1294">_xlfn.IFS(L1294=0,"Out of Stock",L1294&gt;=2,"Limited Stock",L1294&lt;2,"In Stock")</f>
        <v>Out of Stock</v>
      </c>
    </row>
    <row r="1295" spans="2:13">
      <c r="B1295" s="2" t="s">
        <v>468</v>
      </c>
      <c r="C1295" s="5" t="str">
        <f>_xlfn.XLOOKUP(B1295,Master[Product_Code],Master[Category])</f>
        <v>T-Shirt</v>
      </c>
      <c r="D1295" s="2" t="str">
        <f>_xlfn.XLOOKUP(B1295,Master[Product_Code],Master[Brand])</f>
        <v>Campus</v>
      </c>
      <c r="E1295" s="2" t="str">
        <f>_xlfn.XLOOKUP(B1295,Master[Product_Code],Master[Style])</f>
        <v>Sleeveless</v>
      </c>
      <c r="F1295" s="2" t="str">
        <f>_xlfn.XLOOKUP(B1295,Master[Product_Code],Master[Fabric])</f>
        <v>Cotton Blend</v>
      </c>
      <c r="G1295" s="2" t="str">
        <f>_xlfn.XLOOKUP(B1295,Master[Product_Code],Master[Size])</f>
        <v>XL</v>
      </c>
      <c r="H1295" s="2" t="str">
        <f>_xlfn.XLOOKUP(B1295,Master[Product_Code],Master[Color])</f>
        <v>Sky Blue</v>
      </c>
      <c r="I1295" s="4">
        <f>_xlfn.XLOOKUP(B1295,Master[Product_Code],Master[Stock_Qty])</f>
        <v>3</v>
      </c>
      <c r="J1295" s="6">
        <f>SUMIFS(
  Sales_Entry[Qty],
  Sales_Entry[Product_Code], Stock_Table[[#This Row],[Product_Code]]
)</f>
        <v>2</v>
      </c>
      <c r="K1295" s="4">
        <f>SUMIFS(
  Exchange_Return[Qty],
  Exchange_Return[Product_Code], Stock_Table[[#This Row],[Product_Code]]
)</f>
        <v>0</v>
      </c>
      <c r="L1295" s="4">
        <f>I1295-J1295+K1295</f>
        <v>1</v>
      </c>
      <c r="M1295" s="2" t="str" cm="1">
        <f t="array" ref="M1295">_xlfn.IFS(L1295=0,"Out of Stock",L1295&gt;=2,"Limited Stock",L1295&lt;2,"In Stock")</f>
        <v>In Stock</v>
      </c>
    </row>
    <row r="1296" spans="2:13">
      <c r="B1296" s="2" t="s">
        <v>469</v>
      </c>
      <c r="C1296" s="5" t="str">
        <f>_xlfn.XLOOKUP(B1296,Master[Product_Code],Master[Category])</f>
        <v>T-Shirt</v>
      </c>
      <c r="D1296" s="2" t="str">
        <f>_xlfn.XLOOKUP(B1296,Master[Product_Code],Master[Brand])</f>
        <v>Thailand</v>
      </c>
      <c r="E1296" s="2" t="str">
        <f>_xlfn.XLOOKUP(B1296,Master[Product_Code],Master[Style])</f>
        <v>Full Sleeve</v>
      </c>
      <c r="F1296" s="2" t="str">
        <f>_xlfn.XLOOKUP(B1296,Master[Product_Code],Master[Fabric])</f>
        <v>Poly Cotton</v>
      </c>
      <c r="G1296" s="2" t="str">
        <f>_xlfn.XLOOKUP(B1296,Master[Product_Code],Master[Size])</f>
        <v>XXL</v>
      </c>
      <c r="H1296" s="2" t="str">
        <f>_xlfn.XLOOKUP(B1296,Master[Product_Code],Master[Color])</f>
        <v>Dark Green</v>
      </c>
      <c r="I1296" s="4">
        <f>_xlfn.XLOOKUP(B1296,Master[Product_Code],Master[Stock_Qty])</f>
        <v>4</v>
      </c>
      <c r="J1296" s="6">
        <f>SUMIFS(
  Sales_Entry[Qty],
  Sales_Entry[Product_Code], Stock_Table[[#This Row],[Product_Code]]
)</f>
        <v>0</v>
      </c>
      <c r="K1296" s="4">
        <f>SUMIFS(
  Exchange_Return[Qty],
  Exchange_Return[Product_Code], Stock_Table[[#This Row],[Product_Code]]
)</f>
        <v>0</v>
      </c>
      <c r="L1296" s="4">
        <f>I1296-J1296+K1296</f>
        <v>4</v>
      </c>
      <c r="M1296" s="2" t="str" cm="1">
        <f t="array" ref="M1296">_xlfn.IFS(L1296=0,"Out of Stock",L1296&gt;=2,"Limited Stock",L1296&lt;2,"In Stock")</f>
        <v>Limited Stock</v>
      </c>
    </row>
    <row r="1297" spans="2:13">
      <c r="B1297" s="2" t="s">
        <v>470</v>
      </c>
      <c r="C1297" s="5" t="str">
        <f>_xlfn.XLOOKUP(B1297,Master[Product_Code],Master[Category])</f>
        <v>T-Shirt</v>
      </c>
      <c r="D1297" s="2" t="str">
        <f>_xlfn.XLOOKUP(B1297,Master[Product_Code],Master[Brand])</f>
        <v>Thailand</v>
      </c>
      <c r="E1297" s="2" t="str">
        <f>_xlfn.XLOOKUP(B1297,Master[Product_Code],Master[Style])</f>
        <v>Sleeveless</v>
      </c>
      <c r="F1297" s="2" t="str">
        <f>_xlfn.XLOOKUP(B1297,Master[Product_Code],Master[Fabric])</f>
        <v>Cotton Blend</v>
      </c>
      <c r="G1297" s="2" t="str">
        <f>_xlfn.XLOOKUP(B1297,Master[Product_Code],Master[Size])</f>
        <v>XXL</v>
      </c>
      <c r="H1297" s="2" t="str">
        <f>_xlfn.XLOOKUP(B1297,Master[Product_Code],Master[Color])</f>
        <v>Wine</v>
      </c>
      <c r="I1297" s="4">
        <f>_xlfn.XLOOKUP(B1297,Master[Product_Code],Master[Stock_Qty])</f>
        <v>4</v>
      </c>
      <c r="J1297" s="6">
        <f>SUMIFS(
  Sales_Entry[Qty],
  Sales_Entry[Product_Code], Stock_Table[[#This Row],[Product_Code]]
)</f>
        <v>2</v>
      </c>
      <c r="K1297" s="4">
        <f>SUMIFS(
  Exchange_Return[Qty],
  Exchange_Return[Product_Code], Stock_Table[[#This Row],[Product_Code]]
)</f>
        <v>0</v>
      </c>
      <c r="L1297" s="4">
        <f>I1297-J1297+K1297</f>
        <v>2</v>
      </c>
      <c r="M1297" s="2" t="str" cm="1">
        <f t="array" ref="M1297">_xlfn.IFS(L1297=0,"Out of Stock",L1297&gt;=2,"Limited Stock",L1297&lt;2,"In Stock")</f>
        <v>Limited Stock</v>
      </c>
    </row>
    <row r="1298" spans="2:13">
      <c r="B1298" s="2" t="s">
        <v>471</v>
      </c>
      <c r="C1298" s="5" t="str">
        <f>_xlfn.XLOOKUP(B1298,Master[Product_Code],Master[Category])</f>
        <v>T-Shirt</v>
      </c>
      <c r="D1298" s="2" t="str">
        <f>_xlfn.XLOOKUP(B1298,Master[Product_Code],Master[Brand])</f>
        <v>Zara</v>
      </c>
      <c r="E1298" s="2" t="str">
        <f>_xlfn.XLOOKUP(B1298,Master[Product_Code],Master[Style])</f>
        <v>Sleeveless</v>
      </c>
      <c r="F1298" s="2" t="str">
        <f>_xlfn.XLOOKUP(B1298,Master[Product_Code],Master[Fabric])</f>
        <v>Cotton</v>
      </c>
      <c r="G1298" s="2" t="str">
        <f>_xlfn.XLOOKUP(B1298,Master[Product_Code],Master[Size])</f>
        <v>L</v>
      </c>
      <c r="H1298" s="2" t="str">
        <f>_xlfn.XLOOKUP(B1298,Master[Product_Code],Master[Color])</f>
        <v>Bottle Green</v>
      </c>
      <c r="I1298" s="4">
        <f>_xlfn.XLOOKUP(B1298,Master[Product_Code],Master[Stock_Qty])</f>
        <v>3</v>
      </c>
      <c r="J1298" s="6">
        <f>SUMIFS(
  Sales_Entry[Qty],
  Sales_Entry[Product_Code], Stock_Table[[#This Row],[Product_Code]]
)</f>
        <v>1</v>
      </c>
      <c r="K1298" s="4">
        <f>SUMIFS(
  Exchange_Return[Qty],
  Exchange_Return[Product_Code], Stock_Table[[#This Row],[Product_Code]]
)</f>
        <v>0</v>
      </c>
      <c r="L1298" s="4">
        <f>I1298-J1298+K1298</f>
        <v>2</v>
      </c>
      <c r="M1298" s="2" t="str" cm="1">
        <f t="array" ref="M1298">_xlfn.IFS(L1298=0,"Out of Stock",L1298&gt;=2,"Limited Stock",L1298&lt;2,"In Stock")</f>
        <v>Limited Stock</v>
      </c>
    </row>
    <row r="1299" spans="2:13">
      <c r="B1299" s="2" t="s">
        <v>472</v>
      </c>
      <c r="C1299" s="5" t="str">
        <f>_xlfn.XLOOKUP(B1299,Master[Product_Code],Master[Category])</f>
        <v>T-Shirt</v>
      </c>
      <c r="D1299" s="2" t="str">
        <f>_xlfn.XLOOKUP(B1299,Master[Product_Code],Master[Brand])</f>
        <v>Urban Monkey</v>
      </c>
      <c r="E1299" s="2" t="str">
        <f>_xlfn.XLOOKUP(B1299,Master[Product_Code],Master[Style])</f>
        <v>Full Sleeve</v>
      </c>
      <c r="F1299" s="2" t="str">
        <f>_xlfn.XLOOKUP(B1299,Master[Product_Code],Master[Fabric])</f>
        <v>Cotton Blend</v>
      </c>
      <c r="G1299" s="2" t="str">
        <f>_xlfn.XLOOKUP(B1299,Master[Product_Code],Master[Size])</f>
        <v>L</v>
      </c>
      <c r="H1299" s="2" t="str">
        <f>_xlfn.XLOOKUP(B1299,Master[Product_Code],Master[Color])</f>
        <v>Mustard</v>
      </c>
      <c r="I1299" s="4">
        <f>_xlfn.XLOOKUP(B1299,Master[Product_Code],Master[Stock_Qty])</f>
        <v>6</v>
      </c>
      <c r="J1299" s="6">
        <f>SUMIFS(
  Sales_Entry[Qty],
  Sales_Entry[Product_Code], Stock_Table[[#This Row],[Product_Code]]
)</f>
        <v>0</v>
      </c>
      <c r="K1299" s="4">
        <f>SUMIFS(
  Exchange_Return[Qty],
  Exchange_Return[Product_Code], Stock_Table[[#This Row],[Product_Code]]
)</f>
        <v>0</v>
      </c>
      <c r="L1299" s="4">
        <f>I1299-J1299+K1299</f>
        <v>6</v>
      </c>
      <c r="M1299" s="2" t="str" cm="1">
        <f t="array" ref="M1299">_xlfn.IFS(L1299=0,"Out of Stock",L1299&gt;=2,"Limited Stock",L1299&lt;2,"In Stock")</f>
        <v>Limited Stock</v>
      </c>
    </row>
    <row r="1300" spans="2:13">
      <c r="B1300" s="2" t="s">
        <v>473</v>
      </c>
      <c r="C1300" s="5" t="str">
        <f>_xlfn.XLOOKUP(B1300,Master[Product_Code],Master[Category])</f>
        <v>T-Shirt</v>
      </c>
      <c r="D1300" s="2" t="str">
        <f>_xlfn.XLOOKUP(B1300,Master[Product_Code],Master[Brand])</f>
        <v>Roadster</v>
      </c>
      <c r="E1300" s="2" t="str">
        <f>_xlfn.XLOOKUP(B1300,Master[Product_Code],Master[Style])</f>
        <v>Sleeveless</v>
      </c>
      <c r="F1300" s="2" t="str">
        <f>_xlfn.XLOOKUP(B1300,Master[Product_Code],Master[Fabric])</f>
        <v>Cotton Blend</v>
      </c>
      <c r="G1300" s="2" t="str">
        <f>_xlfn.XLOOKUP(B1300,Master[Product_Code],Master[Size])</f>
        <v>XL</v>
      </c>
      <c r="H1300" s="2" t="str">
        <f>_xlfn.XLOOKUP(B1300,Master[Product_Code],Master[Color])</f>
        <v>Sky Blue</v>
      </c>
      <c r="I1300" s="4">
        <f>_xlfn.XLOOKUP(B1300,Master[Product_Code],Master[Stock_Qty])</f>
        <v>6</v>
      </c>
      <c r="J1300" s="6">
        <f>SUMIFS(
  Sales_Entry[Qty],
  Sales_Entry[Product_Code], Stock_Table[[#This Row],[Product_Code]]
)</f>
        <v>2</v>
      </c>
      <c r="K1300" s="4">
        <f>SUMIFS(
  Exchange_Return[Qty],
  Exchange_Return[Product_Code], Stock_Table[[#This Row],[Product_Code]]
)</f>
        <v>0</v>
      </c>
      <c r="L1300" s="4">
        <f>I1300-J1300+K1300</f>
        <v>4</v>
      </c>
      <c r="M1300" s="2" t="str" cm="1">
        <f t="array" ref="M1300">_xlfn.IFS(L1300=0,"Out of Stock",L1300&gt;=2,"Limited Stock",L1300&lt;2,"In Stock")</f>
        <v>Limited Stock</v>
      </c>
    </row>
    <row r="1301" spans="2:13">
      <c r="B1301" s="2" t="s">
        <v>474</v>
      </c>
      <c r="C1301" s="5" t="str">
        <f>_xlfn.XLOOKUP(B1301,Master[Product_Code],Master[Category])</f>
        <v>T-Shirt</v>
      </c>
      <c r="D1301" s="2" t="str">
        <f>_xlfn.XLOOKUP(B1301,Master[Product_Code],Master[Brand])</f>
        <v>Campus</v>
      </c>
      <c r="E1301" s="2" t="str">
        <f>_xlfn.XLOOKUP(B1301,Master[Product_Code],Master[Style])</f>
        <v>Sleeveless</v>
      </c>
      <c r="F1301" s="2" t="str">
        <f>_xlfn.XLOOKUP(B1301,Master[Product_Code],Master[Fabric])</f>
        <v>Cotton Blend</v>
      </c>
      <c r="G1301" s="2" t="str">
        <f>_xlfn.XLOOKUP(B1301,Master[Product_Code],Master[Size])</f>
        <v>S</v>
      </c>
      <c r="H1301" s="2" t="str">
        <f>_xlfn.XLOOKUP(B1301,Master[Product_Code],Master[Color])</f>
        <v>Brown</v>
      </c>
      <c r="I1301" s="4">
        <f>_xlfn.XLOOKUP(B1301,Master[Product_Code],Master[Stock_Qty])</f>
        <v>3</v>
      </c>
      <c r="J1301" s="6">
        <f>SUMIFS(
  Sales_Entry[Qty],
  Sales_Entry[Product_Code], Stock_Table[[#This Row],[Product_Code]]
)</f>
        <v>1</v>
      </c>
      <c r="K1301" s="4">
        <f>SUMIFS(
  Exchange_Return[Qty],
  Exchange_Return[Product_Code], Stock_Table[[#This Row],[Product_Code]]
)</f>
        <v>0</v>
      </c>
      <c r="L1301" s="4">
        <f>I1301-J1301+K1301</f>
        <v>2</v>
      </c>
      <c r="M1301" s="2" t="str" cm="1">
        <f t="array" ref="M1301">_xlfn.IFS(L1301=0,"Out of Stock",L1301&gt;=2,"Limited Stock",L1301&lt;2,"In Stock")</f>
        <v>Limited Stock</v>
      </c>
    </row>
    <row r="1302" spans="2:13">
      <c r="B1302" s="2" t="s">
        <v>475</v>
      </c>
      <c r="C1302" s="5" t="str">
        <f>_xlfn.XLOOKUP(B1302,Master[Product_Code],Master[Category])</f>
        <v>T-Shirt</v>
      </c>
      <c r="D1302" s="2" t="str">
        <f>_xlfn.XLOOKUP(B1302,Master[Product_Code],Master[Brand])</f>
        <v>Zara</v>
      </c>
      <c r="E1302" s="2" t="str">
        <f>_xlfn.XLOOKUP(B1302,Master[Product_Code],Master[Style])</f>
        <v>Half Sleeve</v>
      </c>
      <c r="F1302" s="2" t="str">
        <f>_xlfn.XLOOKUP(B1302,Master[Product_Code],Master[Fabric])</f>
        <v>Cotton Blend</v>
      </c>
      <c r="G1302" s="2" t="str">
        <f>_xlfn.XLOOKUP(B1302,Master[Product_Code],Master[Size])</f>
        <v>S</v>
      </c>
      <c r="H1302" s="2" t="str">
        <f>_xlfn.XLOOKUP(B1302,Master[Product_Code],Master[Color])</f>
        <v>Olive</v>
      </c>
      <c r="I1302" s="4">
        <f>_xlfn.XLOOKUP(B1302,Master[Product_Code],Master[Stock_Qty])</f>
        <v>4</v>
      </c>
      <c r="J1302" s="6">
        <f>SUMIFS(
  Sales_Entry[Qty],
  Sales_Entry[Product_Code], Stock_Table[[#This Row],[Product_Code]]
)</f>
        <v>0</v>
      </c>
      <c r="K1302" s="4">
        <f>SUMIFS(
  Exchange_Return[Qty],
  Exchange_Return[Product_Code], Stock_Table[[#This Row],[Product_Code]]
)</f>
        <v>0</v>
      </c>
      <c r="L1302" s="4">
        <f>I1302-J1302+K1302</f>
        <v>4</v>
      </c>
      <c r="M1302" s="2" t="str" cm="1">
        <f t="array" ref="M1302">_xlfn.IFS(L1302=0,"Out of Stock",L1302&gt;=2,"Limited Stock",L1302&lt;2,"In Stock")</f>
        <v>Limited Stock</v>
      </c>
    </row>
    <row r="1303" spans="2:13">
      <c r="B1303" s="2" t="s">
        <v>476</v>
      </c>
      <c r="C1303" s="5" t="str">
        <f>_xlfn.XLOOKUP(B1303,Master[Product_Code],Master[Category])</f>
        <v>T-Shirt</v>
      </c>
      <c r="D1303" s="2" t="str">
        <f>_xlfn.XLOOKUP(B1303,Master[Product_Code],Master[Brand])</f>
        <v>Turkey</v>
      </c>
      <c r="E1303" s="2" t="str">
        <f>_xlfn.XLOOKUP(B1303,Master[Product_Code],Master[Style])</f>
        <v>Hoodie</v>
      </c>
      <c r="F1303" s="2" t="str">
        <f>_xlfn.XLOOKUP(B1303,Master[Product_Code],Master[Fabric])</f>
        <v>Cotton</v>
      </c>
      <c r="G1303" s="2" t="str">
        <f>_xlfn.XLOOKUP(B1303,Master[Product_Code],Master[Size])</f>
        <v>L</v>
      </c>
      <c r="H1303" s="2" t="str">
        <f>_xlfn.XLOOKUP(B1303,Master[Product_Code],Master[Color])</f>
        <v>Dark Green</v>
      </c>
      <c r="I1303" s="4">
        <f>_xlfn.XLOOKUP(B1303,Master[Product_Code],Master[Stock_Qty])</f>
        <v>6</v>
      </c>
      <c r="J1303" s="6">
        <f>SUMIFS(
  Sales_Entry[Qty],
  Sales_Entry[Product_Code], Stock_Table[[#This Row],[Product_Code]]
)</f>
        <v>1</v>
      </c>
      <c r="K1303" s="4">
        <f>SUMIFS(
  Exchange_Return[Qty],
  Exchange_Return[Product_Code], Stock_Table[[#This Row],[Product_Code]]
)</f>
        <v>0</v>
      </c>
      <c r="L1303" s="4">
        <f>I1303-J1303+K1303</f>
        <v>5</v>
      </c>
      <c r="M1303" s="2" t="str" cm="1">
        <f t="array" ref="M1303">_xlfn.IFS(L1303=0,"Out of Stock",L1303&gt;=2,"Limited Stock",L1303&lt;2,"In Stock")</f>
        <v>Limited Stock</v>
      </c>
    </row>
    <row r="1304" spans="2:13">
      <c r="B1304" s="2" t="s">
        <v>477</v>
      </c>
      <c r="C1304" s="5" t="str">
        <f>_xlfn.XLOOKUP(B1304,Master[Product_Code],Master[Category])</f>
        <v>T-Shirt</v>
      </c>
      <c r="D1304" s="2" t="str">
        <f>_xlfn.XLOOKUP(B1304,Master[Product_Code],Master[Brand])</f>
        <v>Turkey</v>
      </c>
      <c r="E1304" s="2" t="str">
        <f>_xlfn.XLOOKUP(B1304,Master[Product_Code],Master[Style])</f>
        <v>Sleeveless</v>
      </c>
      <c r="F1304" s="2" t="str">
        <f>_xlfn.XLOOKUP(B1304,Master[Product_Code],Master[Fabric])</f>
        <v>Poly Cotton</v>
      </c>
      <c r="G1304" s="2" t="str">
        <f>_xlfn.XLOOKUP(B1304,Master[Product_Code],Master[Size])</f>
        <v>M</v>
      </c>
      <c r="H1304" s="2" t="str">
        <f>_xlfn.XLOOKUP(B1304,Master[Product_Code],Master[Color])</f>
        <v>Olive</v>
      </c>
      <c r="I1304" s="4">
        <f>_xlfn.XLOOKUP(B1304,Master[Product_Code],Master[Stock_Qty])</f>
        <v>6</v>
      </c>
      <c r="J1304" s="6">
        <f>SUMIFS(
  Sales_Entry[Qty],
  Sales_Entry[Product_Code], Stock_Table[[#This Row],[Product_Code]]
)</f>
        <v>2</v>
      </c>
      <c r="K1304" s="4">
        <f>SUMIFS(
  Exchange_Return[Qty],
  Exchange_Return[Product_Code], Stock_Table[[#This Row],[Product_Code]]
)</f>
        <v>0</v>
      </c>
      <c r="L1304" s="4">
        <f>I1304-J1304+K1304</f>
        <v>4</v>
      </c>
      <c r="M1304" s="2" t="str" cm="1">
        <f t="array" ref="M1304">_xlfn.IFS(L1304=0,"Out of Stock",L1304&gt;=2,"Limited Stock",L1304&lt;2,"In Stock")</f>
        <v>Limited Stock</v>
      </c>
    </row>
    <row r="1305" spans="2:13">
      <c r="B1305" s="2" t="s">
        <v>478</v>
      </c>
      <c r="C1305" s="5" t="str">
        <f>_xlfn.XLOOKUP(B1305,Master[Product_Code],Master[Category])</f>
        <v>T-Shirt</v>
      </c>
      <c r="D1305" s="2" t="str">
        <f>_xlfn.XLOOKUP(B1305,Master[Product_Code],Master[Brand])</f>
        <v>Zara</v>
      </c>
      <c r="E1305" s="2" t="str">
        <f>_xlfn.XLOOKUP(B1305,Master[Product_Code],Master[Style])</f>
        <v>Hoodie</v>
      </c>
      <c r="F1305" s="2" t="str">
        <f>_xlfn.XLOOKUP(B1305,Master[Product_Code],Master[Fabric])</f>
        <v>Cotton</v>
      </c>
      <c r="G1305" s="2" t="str">
        <f>_xlfn.XLOOKUP(B1305,Master[Product_Code],Master[Size])</f>
        <v>XL</v>
      </c>
      <c r="H1305" s="2" t="str">
        <f>_xlfn.XLOOKUP(B1305,Master[Product_Code],Master[Color])</f>
        <v>Light Grey</v>
      </c>
      <c r="I1305" s="4">
        <f>_xlfn.XLOOKUP(B1305,Master[Product_Code],Master[Stock_Qty])</f>
        <v>6</v>
      </c>
      <c r="J1305" s="6">
        <f>SUMIFS(
  Sales_Entry[Qty],
  Sales_Entry[Product_Code], Stock_Table[[#This Row],[Product_Code]]
)</f>
        <v>1</v>
      </c>
      <c r="K1305" s="4">
        <f>SUMIFS(
  Exchange_Return[Qty],
  Exchange_Return[Product_Code], Stock_Table[[#This Row],[Product_Code]]
)</f>
        <v>0</v>
      </c>
      <c r="L1305" s="4">
        <f>I1305-J1305+K1305</f>
        <v>5</v>
      </c>
      <c r="M1305" s="2" t="str" cm="1">
        <f t="array" ref="M1305">_xlfn.IFS(L1305=0,"Out of Stock",L1305&gt;=2,"Limited Stock",L1305&lt;2,"In Stock")</f>
        <v>Limited Stock</v>
      </c>
    </row>
    <row r="1306" spans="2:13">
      <c r="B1306" s="2" t="s">
        <v>479</v>
      </c>
      <c r="C1306" s="5" t="str">
        <f>_xlfn.XLOOKUP(B1306,Master[Product_Code],Master[Category])</f>
        <v>T-Shirt</v>
      </c>
      <c r="D1306" s="2" t="str">
        <f>_xlfn.XLOOKUP(B1306,Master[Product_Code],Master[Brand])</f>
        <v>Zara</v>
      </c>
      <c r="E1306" s="2" t="str">
        <f>_xlfn.XLOOKUP(B1306,Master[Product_Code],Master[Style])</f>
        <v>Full Sleeve</v>
      </c>
      <c r="F1306" s="2" t="str">
        <f>_xlfn.XLOOKUP(B1306,Master[Product_Code],Master[Fabric])</f>
        <v>Cotton</v>
      </c>
      <c r="G1306" s="2" t="str">
        <f>_xlfn.XLOOKUP(B1306,Master[Product_Code],Master[Size])</f>
        <v>L</v>
      </c>
      <c r="H1306" s="2" t="str">
        <f>_xlfn.XLOOKUP(B1306,Master[Product_Code],Master[Color])</f>
        <v>Navy Blue</v>
      </c>
      <c r="I1306" s="4">
        <f>_xlfn.XLOOKUP(B1306,Master[Product_Code],Master[Stock_Qty])</f>
        <v>3</v>
      </c>
      <c r="J1306" s="6">
        <f>SUMIFS(
  Sales_Entry[Qty],
  Sales_Entry[Product_Code], Stock_Table[[#This Row],[Product_Code]]
)</f>
        <v>2</v>
      </c>
      <c r="K1306" s="4">
        <f>SUMIFS(
  Exchange_Return[Qty],
  Exchange_Return[Product_Code], Stock_Table[[#This Row],[Product_Code]]
)</f>
        <v>0</v>
      </c>
      <c r="L1306" s="4">
        <f>I1306-J1306+K1306</f>
        <v>1</v>
      </c>
      <c r="M1306" s="2" t="str" cm="1">
        <f t="array" ref="M1306">_xlfn.IFS(L1306=0,"Out of Stock",L1306&gt;=2,"Limited Stock",L1306&lt;2,"In Stock")</f>
        <v>In Stock</v>
      </c>
    </row>
    <row r="1307" spans="2:13">
      <c r="B1307" s="2" t="s">
        <v>480</v>
      </c>
      <c r="C1307" s="5" t="str">
        <f>_xlfn.XLOOKUP(B1307,Master[Product_Code],Master[Category])</f>
        <v>T-Shirt</v>
      </c>
      <c r="D1307" s="2" t="str">
        <f>_xlfn.XLOOKUP(B1307,Master[Product_Code],Master[Brand])</f>
        <v>Turkey</v>
      </c>
      <c r="E1307" s="2" t="str">
        <f>_xlfn.XLOOKUP(B1307,Master[Product_Code],Master[Style])</f>
        <v>3/4 Sleeve</v>
      </c>
      <c r="F1307" s="2" t="str">
        <f>_xlfn.XLOOKUP(B1307,Master[Product_Code],Master[Fabric])</f>
        <v>Cotton Blend</v>
      </c>
      <c r="G1307" s="2" t="str">
        <f>_xlfn.XLOOKUP(B1307,Master[Product_Code],Master[Size])</f>
        <v>M</v>
      </c>
      <c r="H1307" s="2" t="str">
        <f>_xlfn.XLOOKUP(B1307,Master[Product_Code],Master[Color])</f>
        <v>Cream</v>
      </c>
      <c r="I1307" s="4">
        <f>_xlfn.XLOOKUP(B1307,Master[Product_Code],Master[Stock_Qty])</f>
        <v>3</v>
      </c>
      <c r="J1307" s="6">
        <f>SUMIFS(
  Sales_Entry[Qty],
  Sales_Entry[Product_Code], Stock_Table[[#This Row],[Product_Code]]
)</f>
        <v>2</v>
      </c>
      <c r="K1307" s="4">
        <f>SUMIFS(
  Exchange_Return[Qty],
  Exchange_Return[Product_Code], Stock_Table[[#This Row],[Product_Code]]
)</f>
        <v>0</v>
      </c>
      <c r="L1307" s="4">
        <f>I1307-J1307+K1307</f>
        <v>1</v>
      </c>
      <c r="M1307" s="2" t="str" cm="1">
        <f t="array" ref="M1307">_xlfn.IFS(L1307=0,"Out of Stock",L1307&gt;=2,"Limited Stock",L1307&lt;2,"In Stock")</f>
        <v>In Stock</v>
      </c>
    </row>
    <row r="1308" spans="2:13">
      <c r="B1308" s="2" t="s">
        <v>481</v>
      </c>
      <c r="C1308" s="5" t="str">
        <f>_xlfn.XLOOKUP(B1308,Master[Product_Code],Master[Category])</f>
        <v>T-Shirt</v>
      </c>
      <c r="D1308" s="2" t="str">
        <f>_xlfn.XLOOKUP(B1308,Master[Product_Code],Master[Brand])</f>
        <v>Campus</v>
      </c>
      <c r="E1308" s="2" t="str">
        <f>_xlfn.XLOOKUP(B1308,Master[Product_Code],Master[Style])</f>
        <v>Sleeveless</v>
      </c>
      <c r="F1308" s="2" t="str">
        <f>_xlfn.XLOOKUP(B1308,Master[Product_Code],Master[Fabric])</f>
        <v>Poly Cotton</v>
      </c>
      <c r="G1308" s="2" t="str">
        <f>_xlfn.XLOOKUP(B1308,Master[Product_Code],Master[Size])</f>
        <v>L</v>
      </c>
      <c r="H1308" s="2" t="str">
        <f>_xlfn.XLOOKUP(B1308,Master[Product_Code],Master[Color])</f>
        <v>Royal Blue</v>
      </c>
      <c r="I1308" s="4">
        <f>_xlfn.XLOOKUP(B1308,Master[Product_Code],Master[Stock_Qty])</f>
        <v>6</v>
      </c>
      <c r="J1308" s="6">
        <f>SUMIFS(
  Sales_Entry[Qty],
  Sales_Entry[Product_Code], Stock_Table[[#This Row],[Product_Code]]
)</f>
        <v>2</v>
      </c>
      <c r="K1308" s="4">
        <f>SUMIFS(
  Exchange_Return[Qty],
  Exchange_Return[Product_Code], Stock_Table[[#This Row],[Product_Code]]
)</f>
        <v>0</v>
      </c>
      <c r="L1308" s="4">
        <f>I1308-J1308+K1308</f>
        <v>4</v>
      </c>
      <c r="M1308" s="2" t="str" cm="1">
        <f t="array" ref="M1308">_xlfn.IFS(L1308=0,"Out of Stock",L1308&gt;=2,"Limited Stock",L1308&lt;2,"In Stock")</f>
        <v>Limited Stock</v>
      </c>
    </row>
    <row r="1309" spans="2:13">
      <c r="B1309" s="2" t="s">
        <v>482</v>
      </c>
      <c r="C1309" s="5" t="str">
        <f>_xlfn.XLOOKUP(B1309,Master[Product_Code],Master[Category])</f>
        <v>T-Shirt</v>
      </c>
      <c r="D1309" s="2" t="str">
        <f>_xlfn.XLOOKUP(B1309,Master[Product_Code],Master[Brand])</f>
        <v>Max</v>
      </c>
      <c r="E1309" s="2" t="str">
        <f>_xlfn.XLOOKUP(B1309,Master[Product_Code],Master[Style])</f>
        <v>Hoodie</v>
      </c>
      <c r="F1309" s="2" t="str">
        <f>_xlfn.XLOOKUP(B1309,Master[Product_Code],Master[Fabric])</f>
        <v>Cotton</v>
      </c>
      <c r="G1309" s="2" t="str">
        <f>_xlfn.XLOOKUP(B1309,Master[Product_Code],Master[Size])</f>
        <v>L</v>
      </c>
      <c r="H1309" s="2" t="str">
        <f>_xlfn.XLOOKUP(B1309,Master[Product_Code],Master[Color])</f>
        <v>Teal</v>
      </c>
      <c r="I1309" s="4">
        <f>_xlfn.XLOOKUP(B1309,Master[Product_Code],Master[Stock_Qty])</f>
        <v>6</v>
      </c>
      <c r="J1309" s="6">
        <f>SUMIFS(
  Sales_Entry[Qty],
  Sales_Entry[Product_Code], Stock_Table[[#This Row],[Product_Code]]
)</f>
        <v>4</v>
      </c>
      <c r="K1309" s="4">
        <f>SUMIFS(
  Exchange_Return[Qty],
  Exchange_Return[Product_Code], Stock_Table[[#This Row],[Product_Code]]
)</f>
        <v>0</v>
      </c>
      <c r="L1309" s="4">
        <f>I1309-J1309+K1309</f>
        <v>2</v>
      </c>
      <c r="M1309" s="2" t="str" cm="1">
        <f t="array" ref="M1309">_xlfn.IFS(L1309=0,"Out of Stock",L1309&gt;=2,"Limited Stock",L1309&lt;2,"In Stock")</f>
        <v>Limited Stock</v>
      </c>
    </row>
    <row r="1310" spans="2:13">
      <c r="B1310" s="2" t="s">
        <v>483</v>
      </c>
      <c r="C1310" s="5" t="str">
        <f>_xlfn.XLOOKUP(B1310,Master[Product_Code],Master[Category])</f>
        <v>T-Shirt</v>
      </c>
      <c r="D1310" s="2" t="str">
        <f>_xlfn.XLOOKUP(B1310,Master[Product_Code],Master[Brand])</f>
        <v>Turkey</v>
      </c>
      <c r="E1310" s="2" t="str">
        <f>_xlfn.XLOOKUP(B1310,Master[Product_Code],Master[Style])</f>
        <v>3/4 Sleeve</v>
      </c>
      <c r="F1310" s="2" t="str">
        <f>_xlfn.XLOOKUP(B1310,Master[Product_Code],Master[Fabric])</f>
        <v>Poly Cotton</v>
      </c>
      <c r="G1310" s="2" t="str">
        <f>_xlfn.XLOOKUP(B1310,Master[Product_Code],Master[Size])</f>
        <v>XXL</v>
      </c>
      <c r="H1310" s="2" t="str">
        <f>_xlfn.XLOOKUP(B1310,Master[Product_Code],Master[Color])</f>
        <v>Navy Blue</v>
      </c>
      <c r="I1310" s="4">
        <f>_xlfn.XLOOKUP(B1310,Master[Product_Code],Master[Stock_Qty])</f>
        <v>4</v>
      </c>
      <c r="J1310" s="6">
        <f>SUMIFS(
  Sales_Entry[Qty],
  Sales_Entry[Product_Code], Stock_Table[[#This Row],[Product_Code]]
)</f>
        <v>2</v>
      </c>
      <c r="K1310" s="4">
        <f>SUMIFS(
  Exchange_Return[Qty],
  Exchange_Return[Product_Code], Stock_Table[[#This Row],[Product_Code]]
)</f>
        <v>0</v>
      </c>
      <c r="L1310" s="4">
        <f>I1310-J1310+K1310</f>
        <v>2</v>
      </c>
      <c r="M1310" s="2" t="str" cm="1">
        <f t="array" ref="M1310">_xlfn.IFS(L1310=0,"Out of Stock",L1310&gt;=2,"Limited Stock",L1310&lt;2,"In Stock")</f>
        <v>Limited Stock</v>
      </c>
    </row>
    <row r="1311" spans="2:13">
      <c r="B1311" s="2" t="s">
        <v>484</v>
      </c>
      <c r="C1311" s="5" t="str">
        <f>_xlfn.XLOOKUP(B1311,Master[Product_Code],Master[Category])</f>
        <v>T-Shirt</v>
      </c>
      <c r="D1311" s="2" t="str">
        <f>_xlfn.XLOOKUP(B1311,Master[Product_Code],Master[Brand])</f>
        <v>Zara</v>
      </c>
      <c r="E1311" s="2" t="str">
        <f>_xlfn.XLOOKUP(B1311,Master[Product_Code],Master[Style])</f>
        <v>Full Sleeve</v>
      </c>
      <c r="F1311" s="2" t="str">
        <f>_xlfn.XLOOKUP(B1311,Master[Product_Code],Master[Fabric])</f>
        <v>Cotton Blend</v>
      </c>
      <c r="G1311" s="2" t="str">
        <f>_xlfn.XLOOKUP(B1311,Master[Product_Code],Master[Size])</f>
        <v>S</v>
      </c>
      <c r="H1311" s="2" t="str">
        <f>_xlfn.XLOOKUP(B1311,Master[Product_Code],Master[Color])</f>
        <v>Olive</v>
      </c>
      <c r="I1311" s="4">
        <f>_xlfn.XLOOKUP(B1311,Master[Product_Code],Master[Stock_Qty])</f>
        <v>5</v>
      </c>
      <c r="J1311" s="6">
        <f>SUMIFS(
  Sales_Entry[Qty],
  Sales_Entry[Product_Code], Stock_Table[[#This Row],[Product_Code]]
)</f>
        <v>3</v>
      </c>
      <c r="K1311" s="4">
        <f>SUMIFS(
  Exchange_Return[Qty],
  Exchange_Return[Product_Code], Stock_Table[[#This Row],[Product_Code]]
)</f>
        <v>0</v>
      </c>
      <c r="L1311" s="4">
        <f>I1311-J1311+K1311</f>
        <v>2</v>
      </c>
      <c r="M1311" s="2" t="str" cm="1">
        <f t="array" ref="M1311">_xlfn.IFS(L1311=0,"Out of Stock",L1311&gt;=2,"Limited Stock",L1311&lt;2,"In Stock")</f>
        <v>Limited Stock</v>
      </c>
    </row>
    <row r="1312" spans="2:13">
      <c r="B1312" s="2" t="s">
        <v>485</v>
      </c>
      <c r="C1312" s="5" t="str">
        <f>_xlfn.XLOOKUP(B1312,Master[Product_Code],Master[Category])</f>
        <v>T-Shirt</v>
      </c>
      <c r="D1312" s="2" t="str">
        <f>_xlfn.XLOOKUP(B1312,Master[Product_Code],Master[Brand])</f>
        <v>Turkey</v>
      </c>
      <c r="E1312" s="2" t="str">
        <f>_xlfn.XLOOKUP(B1312,Master[Product_Code],Master[Style])</f>
        <v>Hoodie</v>
      </c>
      <c r="F1312" s="2" t="str">
        <f>_xlfn.XLOOKUP(B1312,Master[Product_Code],Master[Fabric])</f>
        <v>Cotton Blend</v>
      </c>
      <c r="G1312" s="2" t="str">
        <f>_xlfn.XLOOKUP(B1312,Master[Product_Code],Master[Size])</f>
        <v>XL</v>
      </c>
      <c r="H1312" s="2" t="str">
        <f>_xlfn.XLOOKUP(B1312,Master[Product_Code],Master[Color])</f>
        <v>Royal Blue</v>
      </c>
      <c r="I1312" s="4">
        <f>_xlfn.XLOOKUP(B1312,Master[Product_Code],Master[Stock_Qty])</f>
        <v>4</v>
      </c>
      <c r="J1312" s="6">
        <f>SUMIFS(
  Sales_Entry[Qty],
  Sales_Entry[Product_Code], Stock_Table[[#This Row],[Product_Code]]
)</f>
        <v>1</v>
      </c>
      <c r="K1312" s="4">
        <f>SUMIFS(
  Exchange_Return[Qty],
  Exchange_Return[Product_Code], Stock_Table[[#This Row],[Product_Code]]
)</f>
        <v>0</v>
      </c>
      <c r="L1312" s="4">
        <f>I1312-J1312+K1312</f>
        <v>3</v>
      </c>
      <c r="M1312" s="2" t="str" cm="1">
        <f t="array" ref="M1312">_xlfn.IFS(L1312=0,"Out of Stock",L1312&gt;=2,"Limited Stock",L1312&lt;2,"In Stock")</f>
        <v>Limited Stock</v>
      </c>
    </row>
    <row r="1313" spans="2:13">
      <c r="B1313" s="2" t="s">
        <v>486</v>
      </c>
      <c r="C1313" s="5" t="str">
        <f>_xlfn.XLOOKUP(B1313,Master[Product_Code],Master[Category])</f>
        <v>T-Shirt</v>
      </c>
      <c r="D1313" s="2" t="str">
        <f>_xlfn.XLOOKUP(B1313,Master[Product_Code],Master[Brand])</f>
        <v>Max</v>
      </c>
      <c r="E1313" s="2" t="str">
        <f>_xlfn.XLOOKUP(B1313,Master[Product_Code],Master[Style])</f>
        <v>Sleeveless</v>
      </c>
      <c r="F1313" s="2" t="str">
        <f>_xlfn.XLOOKUP(B1313,Master[Product_Code],Master[Fabric])</f>
        <v>Cotton</v>
      </c>
      <c r="G1313" s="2" t="str">
        <f>_xlfn.XLOOKUP(B1313,Master[Product_Code],Master[Size])</f>
        <v>XL</v>
      </c>
      <c r="H1313" s="2" t="str">
        <f>_xlfn.XLOOKUP(B1313,Master[Product_Code],Master[Color])</f>
        <v>Dark Green</v>
      </c>
      <c r="I1313" s="4">
        <f>_xlfn.XLOOKUP(B1313,Master[Product_Code],Master[Stock_Qty])</f>
        <v>4</v>
      </c>
      <c r="J1313" s="6">
        <f>SUMIFS(
  Sales_Entry[Qty],
  Sales_Entry[Product_Code], Stock_Table[[#This Row],[Product_Code]]
)</f>
        <v>2</v>
      </c>
      <c r="K1313" s="4">
        <f>SUMIFS(
  Exchange_Return[Qty],
  Exchange_Return[Product_Code], Stock_Table[[#This Row],[Product_Code]]
)</f>
        <v>0</v>
      </c>
      <c r="L1313" s="4">
        <f>I1313-J1313+K1313</f>
        <v>2</v>
      </c>
      <c r="M1313" s="2" t="str" cm="1">
        <f t="array" ref="M1313">_xlfn.IFS(L1313=0,"Out of Stock",L1313&gt;=2,"Limited Stock",L1313&lt;2,"In Stock")</f>
        <v>Limited Stock</v>
      </c>
    </row>
    <row r="1314" spans="2:13">
      <c r="B1314" s="2" t="s">
        <v>487</v>
      </c>
      <c r="C1314" s="5" t="str">
        <f>_xlfn.XLOOKUP(B1314,Master[Product_Code],Master[Category])</f>
        <v>T-Shirt</v>
      </c>
      <c r="D1314" s="2" t="str">
        <f>_xlfn.XLOOKUP(B1314,Master[Product_Code],Master[Brand])</f>
        <v>Turkey</v>
      </c>
      <c r="E1314" s="2" t="str">
        <f>_xlfn.XLOOKUP(B1314,Master[Product_Code],Master[Style])</f>
        <v>Sleeveless</v>
      </c>
      <c r="F1314" s="2" t="str">
        <f>_xlfn.XLOOKUP(B1314,Master[Product_Code],Master[Fabric])</f>
        <v>Cotton Blend</v>
      </c>
      <c r="G1314" s="2" t="str">
        <f>_xlfn.XLOOKUP(B1314,Master[Product_Code],Master[Size])</f>
        <v>M</v>
      </c>
      <c r="H1314" s="2" t="str">
        <f>_xlfn.XLOOKUP(B1314,Master[Product_Code],Master[Color])</f>
        <v>Olive</v>
      </c>
      <c r="I1314" s="4">
        <f>_xlfn.XLOOKUP(B1314,Master[Product_Code],Master[Stock_Qty])</f>
        <v>5</v>
      </c>
      <c r="J1314" s="6">
        <f>SUMIFS(
  Sales_Entry[Qty],
  Sales_Entry[Product_Code], Stock_Table[[#This Row],[Product_Code]]
)</f>
        <v>2</v>
      </c>
      <c r="K1314" s="4">
        <f>SUMIFS(
  Exchange_Return[Qty],
  Exchange_Return[Product_Code], Stock_Table[[#This Row],[Product_Code]]
)</f>
        <v>0</v>
      </c>
      <c r="L1314" s="4">
        <f>I1314-J1314+K1314</f>
        <v>3</v>
      </c>
      <c r="M1314" s="2" t="str" cm="1">
        <f t="array" ref="M1314">_xlfn.IFS(L1314=0,"Out of Stock",L1314&gt;=2,"Limited Stock",L1314&lt;2,"In Stock")</f>
        <v>Limited Stock</v>
      </c>
    </row>
    <row r="1315" spans="2:13">
      <c r="B1315" s="2" t="s">
        <v>488</v>
      </c>
      <c r="C1315" s="5" t="str">
        <f>_xlfn.XLOOKUP(B1315,Master[Product_Code],Master[Category])</f>
        <v>T-Shirt</v>
      </c>
      <c r="D1315" s="2" t="str">
        <f>_xlfn.XLOOKUP(B1315,Master[Product_Code],Master[Brand])</f>
        <v>Roadster</v>
      </c>
      <c r="E1315" s="2" t="str">
        <f>_xlfn.XLOOKUP(B1315,Master[Product_Code],Master[Style])</f>
        <v>Half Sleeve</v>
      </c>
      <c r="F1315" s="2" t="str">
        <f>_xlfn.XLOOKUP(B1315,Master[Product_Code],Master[Fabric])</f>
        <v>Cotton Blend</v>
      </c>
      <c r="G1315" s="2" t="str">
        <f>_xlfn.XLOOKUP(B1315,Master[Product_Code],Master[Size])</f>
        <v>S</v>
      </c>
      <c r="H1315" s="2" t="str">
        <f>_xlfn.XLOOKUP(B1315,Master[Product_Code],Master[Color])</f>
        <v>Peach</v>
      </c>
      <c r="I1315" s="4">
        <f>_xlfn.XLOOKUP(B1315,Master[Product_Code],Master[Stock_Qty])</f>
        <v>4</v>
      </c>
      <c r="J1315" s="6">
        <f>SUMIFS(
  Sales_Entry[Qty],
  Sales_Entry[Product_Code], Stock_Table[[#This Row],[Product_Code]]
)</f>
        <v>2</v>
      </c>
      <c r="K1315" s="4">
        <f>SUMIFS(
  Exchange_Return[Qty],
  Exchange_Return[Product_Code], Stock_Table[[#This Row],[Product_Code]]
)</f>
        <v>0</v>
      </c>
      <c r="L1315" s="4">
        <f>I1315-J1315+K1315</f>
        <v>2</v>
      </c>
      <c r="M1315" s="2" t="str" cm="1">
        <f t="array" ref="M1315">_xlfn.IFS(L1315=0,"Out of Stock",L1315&gt;=2,"Limited Stock",L1315&lt;2,"In Stock")</f>
        <v>Limited Stock</v>
      </c>
    </row>
    <row r="1316" spans="2:13">
      <c r="B1316" s="2" t="s">
        <v>489</v>
      </c>
      <c r="C1316" s="5" t="str">
        <f>_xlfn.XLOOKUP(B1316,Master[Product_Code],Master[Category])</f>
        <v>T-Shirt</v>
      </c>
      <c r="D1316" s="2" t="str">
        <f>_xlfn.XLOOKUP(B1316,Master[Product_Code],Master[Brand])</f>
        <v>Urban Monkey</v>
      </c>
      <c r="E1316" s="2" t="str">
        <f>_xlfn.XLOOKUP(B1316,Master[Product_Code],Master[Style])</f>
        <v>Sleeveless</v>
      </c>
      <c r="F1316" s="2" t="str">
        <f>_xlfn.XLOOKUP(B1316,Master[Product_Code],Master[Fabric])</f>
        <v>Poly Cotton</v>
      </c>
      <c r="G1316" s="2" t="str">
        <f>_xlfn.XLOOKUP(B1316,Master[Product_Code],Master[Size])</f>
        <v>XXL</v>
      </c>
      <c r="H1316" s="2" t="str">
        <f>_xlfn.XLOOKUP(B1316,Master[Product_Code],Master[Color])</f>
        <v>Peach</v>
      </c>
      <c r="I1316" s="4">
        <f>_xlfn.XLOOKUP(B1316,Master[Product_Code],Master[Stock_Qty])</f>
        <v>6</v>
      </c>
      <c r="J1316" s="6">
        <f>SUMIFS(
  Sales_Entry[Qty],
  Sales_Entry[Product_Code], Stock_Table[[#This Row],[Product_Code]]
)</f>
        <v>2</v>
      </c>
      <c r="K1316" s="4">
        <f>SUMIFS(
  Exchange_Return[Qty],
  Exchange_Return[Product_Code], Stock_Table[[#This Row],[Product_Code]]
)</f>
        <v>0</v>
      </c>
      <c r="L1316" s="4">
        <f>I1316-J1316+K1316</f>
        <v>4</v>
      </c>
      <c r="M1316" s="2" t="str" cm="1">
        <f t="array" ref="M1316">_xlfn.IFS(L1316=0,"Out of Stock",L1316&gt;=2,"Limited Stock",L1316&lt;2,"In Stock")</f>
        <v>Limited Stock</v>
      </c>
    </row>
    <row r="1317" spans="2:13">
      <c r="B1317" s="2" t="s">
        <v>490</v>
      </c>
      <c r="C1317" s="5" t="str">
        <f>_xlfn.XLOOKUP(B1317,Master[Product_Code],Master[Category])</f>
        <v>T-Shirt</v>
      </c>
      <c r="D1317" s="2" t="str">
        <f>_xlfn.XLOOKUP(B1317,Master[Product_Code],Master[Brand])</f>
        <v>Max</v>
      </c>
      <c r="E1317" s="2" t="str">
        <f>_xlfn.XLOOKUP(B1317,Master[Product_Code],Master[Style])</f>
        <v>Sleeveless</v>
      </c>
      <c r="F1317" s="2" t="str">
        <f>_xlfn.XLOOKUP(B1317,Master[Product_Code],Master[Fabric])</f>
        <v>Poly Cotton</v>
      </c>
      <c r="G1317" s="2" t="str">
        <f>_xlfn.XLOOKUP(B1317,Master[Product_Code],Master[Size])</f>
        <v>XL</v>
      </c>
      <c r="H1317" s="2" t="str">
        <f>_xlfn.XLOOKUP(B1317,Master[Product_Code],Master[Color])</f>
        <v>Peach</v>
      </c>
      <c r="I1317" s="4">
        <f>_xlfn.XLOOKUP(B1317,Master[Product_Code],Master[Stock_Qty])</f>
        <v>4</v>
      </c>
      <c r="J1317" s="6">
        <f>SUMIFS(
  Sales_Entry[Qty],
  Sales_Entry[Product_Code], Stock_Table[[#This Row],[Product_Code]]
)</f>
        <v>3</v>
      </c>
      <c r="K1317" s="4">
        <f>SUMIFS(
  Exchange_Return[Qty],
  Exchange_Return[Product_Code], Stock_Table[[#This Row],[Product_Code]]
)</f>
        <v>0</v>
      </c>
      <c r="L1317" s="4">
        <f>I1317-J1317+K1317</f>
        <v>1</v>
      </c>
      <c r="M1317" s="2" t="str" cm="1">
        <f t="array" ref="M1317">_xlfn.IFS(L1317=0,"Out of Stock",L1317&gt;=2,"Limited Stock",L1317&lt;2,"In Stock")</f>
        <v>In Stock</v>
      </c>
    </row>
    <row r="1318" spans="2:13">
      <c r="B1318" s="2" t="s">
        <v>491</v>
      </c>
      <c r="C1318" s="5" t="str">
        <f>_xlfn.XLOOKUP(B1318,Master[Product_Code],Master[Category])</f>
        <v>T-Shirt</v>
      </c>
      <c r="D1318" s="2" t="str">
        <f>_xlfn.XLOOKUP(B1318,Master[Product_Code],Master[Brand])</f>
        <v>Roadster</v>
      </c>
      <c r="E1318" s="2" t="str">
        <f>_xlfn.XLOOKUP(B1318,Master[Product_Code],Master[Style])</f>
        <v>Half Sleeve</v>
      </c>
      <c r="F1318" s="2" t="str">
        <f>_xlfn.XLOOKUP(B1318,Master[Product_Code],Master[Fabric])</f>
        <v>Cotton</v>
      </c>
      <c r="G1318" s="2" t="str">
        <f>_xlfn.XLOOKUP(B1318,Master[Product_Code],Master[Size])</f>
        <v>L</v>
      </c>
      <c r="H1318" s="2" t="str">
        <f>_xlfn.XLOOKUP(B1318,Master[Product_Code],Master[Color])</f>
        <v>White</v>
      </c>
      <c r="I1318" s="4">
        <f>_xlfn.XLOOKUP(B1318,Master[Product_Code],Master[Stock_Qty])</f>
        <v>5</v>
      </c>
      <c r="J1318" s="6">
        <f>SUMIFS(
  Sales_Entry[Qty],
  Sales_Entry[Product_Code], Stock_Table[[#This Row],[Product_Code]]
)</f>
        <v>2</v>
      </c>
      <c r="K1318" s="4">
        <f>SUMIFS(
  Exchange_Return[Qty],
  Exchange_Return[Product_Code], Stock_Table[[#This Row],[Product_Code]]
)</f>
        <v>0</v>
      </c>
      <c r="L1318" s="4">
        <f>I1318-J1318+K1318</f>
        <v>3</v>
      </c>
      <c r="M1318" s="2" t="str" cm="1">
        <f t="array" ref="M1318">_xlfn.IFS(L1318=0,"Out of Stock",L1318&gt;=2,"Limited Stock",L1318&lt;2,"In Stock")</f>
        <v>Limited Stock</v>
      </c>
    </row>
    <row r="1319" spans="2:13">
      <c r="B1319" s="2" t="s">
        <v>492</v>
      </c>
      <c r="C1319" s="5" t="str">
        <f>_xlfn.XLOOKUP(B1319,Master[Product_Code],Master[Category])</f>
        <v>T-Shirt</v>
      </c>
      <c r="D1319" s="2" t="str">
        <f>_xlfn.XLOOKUP(B1319,Master[Product_Code],Master[Brand])</f>
        <v>Roadster</v>
      </c>
      <c r="E1319" s="2" t="str">
        <f>_xlfn.XLOOKUP(B1319,Master[Product_Code],Master[Style])</f>
        <v>3/4 Sleeve</v>
      </c>
      <c r="F1319" s="2" t="str">
        <f>_xlfn.XLOOKUP(B1319,Master[Product_Code],Master[Fabric])</f>
        <v>Cotton</v>
      </c>
      <c r="G1319" s="2" t="str">
        <f>_xlfn.XLOOKUP(B1319,Master[Product_Code],Master[Size])</f>
        <v>XL</v>
      </c>
      <c r="H1319" s="2" t="str">
        <f>_xlfn.XLOOKUP(B1319,Master[Product_Code],Master[Color])</f>
        <v>Light Grey</v>
      </c>
      <c r="I1319" s="4">
        <f>_xlfn.XLOOKUP(B1319,Master[Product_Code],Master[Stock_Qty])</f>
        <v>6</v>
      </c>
      <c r="J1319" s="6">
        <f>SUMIFS(
  Sales_Entry[Qty],
  Sales_Entry[Product_Code], Stock_Table[[#This Row],[Product_Code]]
)</f>
        <v>3</v>
      </c>
      <c r="K1319" s="4">
        <f>SUMIFS(
  Exchange_Return[Qty],
  Exchange_Return[Product_Code], Stock_Table[[#This Row],[Product_Code]]
)</f>
        <v>0</v>
      </c>
      <c r="L1319" s="4">
        <f>I1319-J1319+K1319</f>
        <v>3</v>
      </c>
      <c r="M1319" s="2" t="str" cm="1">
        <f t="array" ref="M1319">_xlfn.IFS(L1319=0,"Out of Stock",L1319&gt;=2,"Limited Stock",L1319&lt;2,"In Stock")</f>
        <v>Limited Stock</v>
      </c>
    </row>
    <row r="1320" spans="2:13">
      <c r="B1320" s="2" t="s">
        <v>493</v>
      </c>
      <c r="C1320" s="5" t="str">
        <f>_xlfn.XLOOKUP(B1320,Master[Product_Code],Master[Category])</f>
        <v>T-Shirt</v>
      </c>
      <c r="D1320" s="2" t="str">
        <f>_xlfn.XLOOKUP(B1320,Master[Product_Code],Master[Brand])</f>
        <v>Roadster</v>
      </c>
      <c r="E1320" s="2" t="str">
        <f>_xlfn.XLOOKUP(B1320,Master[Product_Code],Master[Style])</f>
        <v>Half Sleeve</v>
      </c>
      <c r="F1320" s="2" t="str">
        <f>_xlfn.XLOOKUP(B1320,Master[Product_Code],Master[Fabric])</f>
        <v>Poly Cotton</v>
      </c>
      <c r="G1320" s="2" t="str">
        <f>_xlfn.XLOOKUP(B1320,Master[Product_Code],Master[Size])</f>
        <v>S</v>
      </c>
      <c r="H1320" s="2" t="str">
        <f>_xlfn.XLOOKUP(B1320,Master[Product_Code],Master[Color])</f>
        <v>Beige</v>
      </c>
      <c r="I1320" s="4">
        <f>_xlfn.XLOOKUP(B1320,Master[Product_Code],Master[Stock_Qty])</f>
        <v>5</v>
      </c>
      <c r="J1320" s="6">
        <f>SUMIFS(
  Sales_Entry[Qty],
  Sales_Entry[Product_Code], Stock_Table[[#This Row],[Product_Code]]
)</f>
        <v>1</v>
      </c>
      <c r="K1320" s="4">
        <f>SUMIFS(
  Exchange_Return[Qty],
  Exchange_Return[Product_Code], Stock_Table[[#This Row],[Product_Code]]
)</f>
        <v>0</v>
      </c>
      <c r="L1320" s="4">
        <f>I1320-J1320+K1320</f>
        <v>4</v>
      </c>
      <c r="M1320" s="2" t="str" cm="1">
        <f t="array" ref="M1320">_xlfn.IFS(L1320=0,"Out of Stock",L1320&gt;=2,"Limited Stock",L1320&lt;2,"In Stock")</f>
        <v>Limited Stock</v>
      </c>
    </row>
    <row r="1321" spans="2:13">
      <c r="B1321" s="2" t="s">
        <v>494</v>
      </c>
      <c r="C1321" s="5" t="str">
        <f>_xlfn.XLOOKUP(B1321,Master[Product_Code],Master[Category])</f>
        <v>T-Shirt</v>
      </c>
      <c r="D1321" s="2" t="str">
        <f>_xlfn.XLOOKUP(B1321,Master[Product_Code],Master[Brand])</f>
        <v>Urban Monkey</v>
      </c>
      <c r="E1321" s="2" t="str">
        <f>_xlfn.XLOOKUP(B1321,Master[Product_Code],Master[Style])</f>
        <v>Half Sleeve</v>
      </c>
      <c r="F1321" s="2" t="str">
        <f>_xlfn.XLOOKUP(B1321,Master[Product_Code],Master[Fabric])</f>
        <v>Poly Cotton</v>
      </c>
      <c r="G1321" s="2" t="str">
        <f>_xlfn.XLOOKUP(B1321,Master[Product_Code],Master[Size])</f>
        <v>XL</v>
      </c>
      <c r="H1321" s="2" t="str">
        <f>_xlfn.XLOOKUP(B1321,Master[Product_Code],Master[Color])</f>
        <v>Dark Green</v>
      </c>
      <c r="I1321" s="4">
        <f>_xlfn.XLOOKUP(B1321,Master[Product_Code],Master[Stock_Qty])</f>
        <v>4</v>
      </c>
      <c r="J1321" s="6">
        <f>SUMIFS(
  Sales_Entry[Qty],
  Sales_Entry[Product_Code], Stock_Table[[#This Row],[Product_Code]]
)</f>
        <v>3</v>
      </c>
      <c r="K1321" s="4">
        <f>SUMIFS(
  Exchange_Return[Qty],
  Exchange_Return[Product_Code], Stock_Table[[#This Row],[Product_Code]]
)</f>
        <v>0</v>
      </c>
      <c r="L1321" s="4">
        <f>I1321-J1321+K1321</f>
        <v>1</v>
      </c>
      <c r="M1321" s="2" t="str" cm="1">
        <f t="array" ref="M1321">_xlfn.IFS(L1321=0,"Out of Stock",L1321&gt;=2,"Limited Stock",L1321&lt;2,"In Stock")</f>
        <v>In Stock</v>
      </c>
    </row>
    <row r="1322" spans="2:13">
      <c r="B1322" s="2" t="s">
        <v>495</v>
      </c>
      <c r="C1322" s="5" t="str">
        <f>_xlfn.XLOOKUP(B1322,Master[Product_Code],Master[Category])</f>
        <v>T-Shirt</v>
      </c>
      <c r="D1322" s="2" t="str">
        <f>_xlfn.XLOOKUP(B1322,Master[Product_Code],Master[Brand])</f>
        <v>Zara</v>
      </c>
      <c r="E1322" s="2" t="str">
        <f>_xlfn.XLOOKUP(B1322,Master[Product_Code],Master[Style])</f>
        <v>Full Sleeve</v>
      </c>
      <c r="F1322" s="2" t="str">
        <f>_xlfn.XLOOKUP(B1322,Master[Product_Code],Master[Fabric])</f>
        <v>Cotton Blend</v>
      </c>
      <c r="G1322" s="2" t="str">
        <f>_xlfn.XLOOKUP(B1322,Master[Product_Code],Master[Size])</f>
        <v>S</v>
      </c>
      <c r="H1322" s="2" t="str">
        <f>_xlfn.XLOOKUP(B1322,Master[Product_Code],Master[Color])</f>
        <v>Cream</v>
      </c>
      <c r="I1322" s="4">
        <f>_xlfn.XLOOKUP(B1322,Master[Product_Code],Master[Stock_Qty])</f>
        <v>5</v>
      </c>
      <c r="J1322" s="6">
        <f>SUMIFS(
  Sales_Entry[Qty],
  Sales_Entry[Product_Code], Stock_Table[[#This Row],[Product_Code]]
)</f>
        <v>4</v>
      </c>
      <c r="K1322" s="4">
        <f>SUMIFS(
  Exchange_Return[Qty],
  Exchange_Return[Product_Code], Stock_Table[[#This Row],[Product_Code]]
)</f>
        <v>0</v>
      </c>
      <c r="L1322" s="4">
        <f>I1322-J1322+K1322</f>
        <v>1</v>
      </c>
      <c r="M1322" s="2" t="str" cm="1">
        <f t="array" ref="M1322">_xlfn.IFS(L1322=0,"Out of Stock",L1322&gt;=2,"Limited Stock",L1322&lt;2,"In Stock")</f>
        <v>In Stock</v>
      </c>
    </row>
    <row r="1323" spans="2:13">
      <c r="B1323" s="2" t="s">
        <v>496</v>
      </c>
      <c r="C1323" s="5" t="str">
        <f>_xlfn.XLOOKUP(B1323,Master[Product_Code],Master[Category])</f>
        <v>T-Shirt</v>
      </c>
      <c r="D1323" s="2" t="str">
        <f>_xlfn.XLOOKUP(B1323,Master[Product_Code],Master[Brand])</f>
        <v>Urban Monkey</v>
      </c>
      <c r="E1323" s="2" t="str">
        <f>_xlfn.XLOOKUP(B1323,Master[Product_Code],Master[Style])</f>
        <v>Half Sleeve</v>
      </c>
      <c r="F1323" s="2" t="str">
        <f>_xlfn.XLOOKUP(B1323,Master[Product_Code],Master[Fabric])</f>
        <v>Cotton Blend</v>
      </c>
      <c r="G1323" s="2" t="str">
        <f>_xlfn.XLOOKUP(B1323,Master[Product_Code],Master[Size])</f>
        <v>S</v>
      </c>
      <c r="H1323" s="2" t="str">
        <f>_xlfn.XLOOKUP(B1323,Master[Product_Code],Master[Color])</f>
        <v>Charcoal</v>
      </c>
      <c r="I1323" s="4">
        <f>_xlfn.XLOOKUP(B1323,Master[Product_Code],Master[Stock_Qty])</f>
        <v>4</v>
      </c>
      <c r="J1323" s="6">
        <f>SUMIFS(
  Sales_Entry[Qty],
  Sales_Entry[Product_Code], Stock_Table[[#This Row],[Product_Code]]
)</f>
        <v>2</v>
      </c>
      <c r="K1323" s="4">
        <f>SUMIFS(
  Exchange_Return[Qty],
  Exchange_Return[Product_Code], Stock_Table[[#This Row],[Product_Code]]
)</f>
        <v>0</v>
      </c>
      <c r="L1323" s="4">
        <f>I1323-J1323+K1323</f>
        <v>2</v>
      </c>
      <c r="M1323" s="2" t="str" cm="1">
        <f t="array" ref="M1323">_xlfn.IFS(L1323=0,"Out of Stock",L1323&gt;=2,"Limited Stock",L1323&lt;2,"In Stock")</f>
        <v>Limited Stock</v>
      </c>
    </row>
    <row r="1324" spans="2:13">
      <c r="B1324" s="2" t="s">
        <v>497</v>
      </c>
      <c r="C1324" s="5" t="str">
        <f>_xlfn.XLOOKUP(B1324,Master[Product_Code],Master[Category])</f>
        <v>T-Shirt</v>
      </c>
      <c r="D1324" s="2" t="str">
        <f>_xlfn.XLOOKUP(B1324,Master[Product_Code],Master[Brand])</f>
        <v>Roadster</v>
      </c>
      <c r="E1324" s="2" t="str">
        <f>_xlfn.XLOOKUP(B1324,Master[Product_Code],Master[Style])</f>
        <v>3/4 Sleeve</v>
      </c>
      <c r="F1324" s="2" t="str">
        <f>_xlfn.XLOOKUP(B1324,Master[Product_Code],Master[Fabric])</f>
        <v>Poly Cotton</v>
      </c>
      <c r="G1324" s="2" t="str">
        <f>_xlfn.XLOOKUP(B1324,Master[Product_Code],Master[Size])</f>
        <v>XXL</v>
      </c>
      <c r="H1324" s="2" t="str">
        <f>_xlfn.XLOOKUP(B1324,Master[Product_Code],Master[Color])</f>
        <v>Bottle Green</v>
      </c>
      <c r="I1324" s="4">
        <f>_xlfn.XLOOKUP(B1324,Master[Product_Code],Master[Stock_Qty])</f>
        <v>4</v>
      </c>
      <c r="J1324" s="6">
        <f>SUMIFS(
  Sales_Entry[Qty],
  Sales_Entry[Product_Code], Stock_Table[[#This Row],[Product_Code]]
)</f>
        <v>2</v>
      </c>
      <c r="K1324" s="4">
        <f>SUMIFS(
  Exchange_Return[Qty],
  Exchange_Return[Product_Code], Stock_Table[[#This Row],[Product_Code]]
)</f>
        <v>0</v>
      </c>
      <c r="L1324" s="4">
        <f>I1324-J1324+K1324</f>
        <v>2</v>
      </c>
      <c r="M1324" s="2" t="str" cm="1">
        <f t="array" ref="M1324">_xlfn.IFS(L1324=0,"Out of Stock",L1324&gt;=2,"Limited Stock",L1324&lt;2,"In Stock")</f>
        <v>Limited Stock</v>
      </c>
    </row>
    <row r="1325" spans="2:13">
      <c r="B1325" s="2" t="s">
        <v>498</v>
      </c>
      <c r="C1325" s="5" t="str">
        <f>_xlfn.XLOOKUP(B1325,Master[Product_Code],Master[Category])</f>
        <v>T-Shirt</v>
      </c>
      <c r="D1325" s="2" t="str">
        <f>_xlfn.XLOOKUP(B1325,Master[Product_Code],Master[Brand])</f>
        <v>Turkey</v>
      </c>
      <c r="E1325" s="2" t="str">
        <f>_xlfn.XLOOKUP(B1325,Master[Product_Code],Master[Style])</f>
        <v>Full Sleeve</v>
      </c>
      <c r="F1325" s="2" t="str">
        <f>_xlfn.XLOOKUP(B1325,Master[Product_Code],Master[Fabric])</f>
        <v>Cotton</v>
      </c>
      <c r="G1325" s="2" t="str">
        <f>_xlfn.XLOOKUP(B1325,Master[Product_Code],Master[Size])</f>
        <v>S</v>
      </c>
      <c r="H1325" s="2" t="str">
        <f>_xlfn.XLOOKUP(B1325,Master[Product_Code],Master[Color])</f>
        <v>Light Grey</v>
      </c>
      <c r="I1325" s="4">
        <f>_xlfn.XLOOKUP(B1325,Master[Product_Code],Master[Stock_Qty])</f>
        <v>5</v>
      </c>
      <c r="J1325" s="6">
        <f>SUMIFS(
  Sales_Entry[Qty],
  Sales_Entry[Product_Code], Stock_Table[[#This Row],[Product_Code]]
)</f>
        <v>1</v>
      </c>
      <c r="K1325" s="4">
        <f>SUMIFS(
  Exchange_Return[Qty],
  Exchange_Return[Product_Code], Stock_Table[[#This Row],[Product_Code]]
)</f>
        <v>0</v>
      </c>
      <c r="L1325" s="4">
        <f>I1325-J1325+K1325</f>
        <v>4</v>
      </c>
      <c r="M1325" s="2" t="str" cm="1">
        <f t="array" ref="M1325">_xlfn.IFS(L1325=0,"Out of Stock",L1325&gt;=2,"Limited Stock",L1325&lt;2,"In Stock")</f>
        <v>Limited Stock</v>
      </c>
    </row>
    <row r="1326" spans="2:13">
      <c r="B1326" s="2" t="s">
        <v>499</v>
      </c>
      <c r="C1326" s="5" t="str">
        <f>_xlfn.XLOOKUP(B1326,Master[Product_Code],Master[Category])</f>
        <v>T-Shirt</v>
      </c>
      <c r="D1326" s="2" t="str">
        <f>_xlfn.XLOOKUP(B1326,Master[Product_Code],Master[Brand])</f>
        <v>Thailand</v>
      </c>
      <c r="E1326" s="2" t="str">
        <f>_xlfn.XLOOKUP(B1326,Master[Product_Code],Master[Style])</f>
        <v>Hoodie</v>
      </c>
      <c r="F1326" s="2" t="str">
        <f>_xlfn.XLOOKUP(B1326,Master[Product_Code],Master[Fabric])</f>
        <v>Poly Cotton</v>
      </c>
      <c r="G1326" s="2" t="str">
        <f>_xlfn.XLOOKUP(B1326,Master[Product_Code],Master[Size])</f>
        <v>M</v>
      </c>
      <c r="H1326" s="2" t="str">
        <f>_xlfn.XLOOKUP(B1326,Master[Product_Code],Master[Color])</f>
        <v>Mustard</v>
      </c>
      <c r="I1326" s="4">
        <f>_xlfn.XLOOKUP(B1326,Master[Product_Code],Master[Stock_Qty])</f>
        <v>5</v>
      </c>
      <c r="J1326" s="6">
        <f>SUMIFS(
  Sales_Entry[Qty],
  Sales_Entry[Product_Code], Stock_Table[[#This Row],[Product_Code]]
)</f>
        <v>1</v>
      </c>
      <c r="K1326" s="4">
        <f>SUMIFS(
  Exchange_Return[Qty],
  Exchange_Return[Product_Code], Stock_Table[[#This Row],[Product_Code]]
)</f>
        <v>0</v>
      </c>
      <c r="L1326" s="4">
        <f>I1326-J1326+K1326</f>
        <v>4</v>
      </c>
      <c r="M1326" s="2" t="str" cm="1">
        <f t="array" ref="M1326">_xlfn.IFS(L1326=0,"Out of Stock",L1326&gt;=2,"Limited Stock",L1326&lt;2,"In Stock")</f>
        <v>Limited Stock</v>
      </c>
    </row>
    <row r="1327" spans="2:13">
      <c r="B1327" s="2" t="s">
        <v>500</v>
      </c>
      <c r="C1327" s="5" t="str">
        <f>_xlfn.XLOOKUP(B1327,Master[Product_Code],Master[Category])</f>
        <v>T-Shirt</v>
      </c>
      <c r="D1327" s="2" t="str">
        <f>_xlfn.XLOOKUP(B1327,Master[Product_Code],Master[Brand])</f>
        <v>Roadster</v>
      </c>
      <c r="E1327" s="2" t="str">
        <f>_xlfn.XLOOKUP(B1327,Master[Product_Code],Master[Style])</f>
        <v>3/4 Sleeve</v>
      </c>
      <c r="F1327" s="2" t="str">
        <f>_xlfn.XLOOKUP(B1327,Master[Product_Code],Master[Fabric])</f>
        <v>Poly Cotton</v>
      </c>
      <c r="G1327" s="2" t="str">
        <f>_xlfn.XLOOKUP(B1327,Master[Product_Code],Master[Size])</f>
        <v>S</v>
      </c>
      <c r="H1327" s="2" t="str">
        <f>_xlfn.XLOOKUP(B1327,Master[Product_Code],Master[Color])</f>
        <v>Maroon</v>
      </c>
      <c r="I1327" s="4">
        <f>_xlfn.XLOOKUP(B1327,Master[Product_Code],Master[Stock_Qty])</f>
        <v>6</v>
      </c>
      <c r="J1327" s="6">
        <f>SUMIFS(
  Sales_Entry[Qty],
  Sales_Entry[Product_Code], Stock_Table[[#This Row],[Product_Code]]
)</f>
        <v>3</v>
      </c>
      <c r="K1327" s="4">
        <f>SUMIFS(
  Exchange_Return[Qty],
  Exchange_Return[Product_Code], Stock_Table[[#This Row],[Product_Code]]
)</f>
        <v>0</v>
      </c>
      <c r="L1327" s="4">
        <f>I1327-J1327+K1327</f>
        <v>3</v>
      </c>
      <c r="M1327" s="2" t="str" cm="1">
        <f t="array" ref="M1327">_xlfn.IFS(L1327=0,"Out of Stock",L1327&gt;=2,"Limited Stock",L1327&lt;2,"In Stock")</f>
        <v>Limited Stock</v>
      </c>
    </row>
    <row r="1328" spans="2:13">
      <c r="B1328" s="2" t="s">
        <v>501</v>
      </c>
      <c r="C1328" s="5" t="str">
        <f>_xlfn.XLOOKUP(B1328,Master[Product_Code],Master[Category])</f>
        <v>T-Shirt</v>
      </c>
      <c r="D1328" s="2" t="str">
        <f>_xlfn.XLOOKUP(B1328,Master[Product_Code],Master[Brand])</f>
        <v>Thailand</v>
      </c>
      <c r="E1328" s="2" t="str">
        <f>_xlfn.XLOOKUP(B1328,Master[Product_Code],Master[Style])</f>
        <v>Full Sleeve</v>
      </c>
      <c r="F1328" s="2" t="str">
        <f>_xlfn.XLOOKUP(B1328,Master[Product_Code],Master[Fabric])</f>
        <v>Poly Cotton</v>
      </c>
      <c r="G1328" s="2" t="str">
        <f>_xlfn.XLOOKUP(B1328,Master[Product_Code],Master[Size])</f>
        <v>M</v>
      </c>
      <c r="H1328" s="2" t="str">
        <f>_xlfn.XLOOKUP(B1328,Master[Product_Code],Master[Color])</f>
        <v>Charcoal</v>
      </c>
      <c r="I1328" s="4">
        <f>_xlfn.XLOOKUP(B1328,Master[Product_Code],Master[Stock_Qty])</f>
        <v>4</v>
      </c>
      <c r="J1328" s="6">
        <f>SUMIFS(
  Sales_Entry[Qty],
  Sales_Entry[Product_Code], Stock_Table[[#This Row],[Product_Code]]
)</f>
        <v>1</v>
      </c>
      <c r="K1328" s="4">
        <f>SUMIFS(
  Exchange_Return[Qty],
  Exchange_Return[Product_Code], Stock_Table[[#This Row],[Product_Code]]
)</f>
        <v>0</v>
      </c>
      <c r="L1328" s="4">
        <f>I1328-J1328+K1328</f>
        <v>3</v>
      </c>
      <c r="M1328" s="2" t="str" cm="1">
        <f t="array" ref="M1328">_xlfn.IFS(L1328=0,"Out of Stock",L1328&gt;=2,"Limited Stock",L1328&lt;2,"In Stock")</f>
        <v>Limited Stock</v>
      </c>
    </row>
    <row r="1329" spans="2:13">
      <c r="B1329" s="2" t="s">
        <v>502</v>
      </c>
      <c r="C1329" s="5" t="str">
        <f>_xlfn.XLOOKUP(B1329,Master[Product_Code],Master[Category])</f>
        <v>T-Shirt</v>
      </c>
      <c r="D1329" s="2" t="str">
        <f>_xlfn.XLOOKUP(B1329,Master[Product_Code],Master[Brand])</f>
        <v>Thailand</v>
      </c>
      <c r="E1329" s="2" t="str">
        <f>_xlfn.XLOOKUP(B1329,Master[Product_Code],Master[Style])</f>
        <v>Full Sleeve</v>
      </c>
      <c r="F1329" s="2" t="str">
        <f>_xlfn.XLOOKUP(B1329,Master[Product_Code],Master[Fabric])</f>
        <v>Poly Cotton</v>
      </c>
      <c r="G1329" s="2" t="str">
        <f>_xlfn.XLOOKUP(B1329,Master[Product_Code],Master[Size])</f>
        <v>XL</v>
      </c>
      <c r="H1329" s="2" t="str">
        <f>_xlfn.XLOOKUP(B1329,Master[Product_Code],Master[Color])</f>
        <v>Peach</v>
      </c>
      <c r="I1329" s="4">
        <f>_xlfn.XLOOKUP(B1329,Master[Product_Code],Master[Stock_Qty])</f>
        <v>4</v>
      </c>
      <c r="J1329" s="6">
        <f>SUMIFS(
  Sales_Entry[Qty],
  Sales_Entry[Product_Code], Stock_Table[[#This Row],[Product_Code]]
)</f>
        <v>2</v>
      </c>
      <c r="K1329" s="4">
        <f>SUMIFS(
  Exchange_Return[Qty],
  Exchange_Return[Product_Code], Stock_Table[[#This Row],[Product_Code]]
)</f>
        <v>0</v>
      </c>
      <c r="L1329" s="4">
        <f>I1329-J1329+K1329</f>
        <v>2</v>
      </c>
      <c r="M1329" s="2" t="str" cm="1">
        <f t="array" ref="M1329">_xlfn.IFS(L1329=0,"Out of Stock",L1329&gt;=2,"Limited Stock",L1329&lt;2,"In Stock")</f>
        <v>Limited Stock</v>
      </c>
    </row>
    <row r="1330" spans="2:13">
      <c r="B1330" s="2" t="s">
        <v>503</v>
      </c>
      <c r="C1330" s="5" t="str">
        <f>_xlfn.XLOOKUP(B1330,Master[Product_Code],Master[Category])</f>
        <v>T-Shirt</v>
      </c>
      <c r="D1330" s="2" t="str">
        <f>_xlfn.XLOOKUP(B1330,Master[Product_Code],Master[Brand])</f>
        <v>Campus</v>
      </c>
      <c r="E1330" s="2" t="str">
        <f>_xlfn.XLOOKUP(B1330,Master[Product_Code],Master[Style])</f>
        <v>3/4 Sleeve</v>
      </c>
      <c r="F1330" s="2" t="str">
        <f>_xlfn.XLOOKUP(B1330,Master[Product_Code],Master[Fabric])</f>
        <v>Poly Cotton</v>
      </c>
      <c r="G1330" s="2" t="str">
        <f>_xlfn.XLOOKUP(B1330,Master[Product_Code],Master[Size])</f>
        <v>XL</v>
      </c>
      <c r="H1330" s="2" t="str">
        <f>_xlfn.XLOOKUP(B1330,Master[Product_Code],Master[Color])</f>
        <v>Rust</v>
      </c>
      <c r="I1330" s="4">
        <f>_xlfn.XLOOKUP(B1330,Master[Product_Code],Master[Stock_Qty])</f>
        <v>6</v>
      </c>
      <c r="J1330" s="6">
        <f>SUMIFS(
  Sales_Entry[Qty],
  Sales_Entry[Product_Code], Stock_Table[[#This Row],[Product_Code]]
)</f>
        <v>2</v>
      </c>
      <c r="K1330" s="4">
        <f>SUMIFS(
  Exchange_Return[Qty],
  Exchange_Return[Product_Code], Stock_Table[[#This Row],[Product_Code]]
)</f>
        <v>0</v>
      </c>
      <c r="L1330" s="4">
        <f>I1330-J1330+K1330</f>
        <v>4</v>
      </c>
      <c r="M1330" s="2" t="str" cm="1">
        <f t="array" ref="M1330">_xlfn.IFS(L1330=0,"Out of Stock",L1330&gt;=2,"Limited Stock",L1330&lt;2,"In Stock")</f>
        <v>Limited Stock</v>
      </c>
    </row>
    <row r="1331" spans="2:13">
      <c r="B1331" s="2" t="s">
        <v>504</v>
      </c>
      <c r="C1331" s="5" t="str">
        <f>_xlfn.XLOOKUP(B1331,Master[Product_Code],Master[Category])</f>
        <v>T-Shirt</v>
      </c>
      <c r="D1331" s="2" t="str">
        <f>_xlfn.XLOOKUP(B1331,Master[Product_Code],Master[Brand])</f>
        <v>Campus</v>
      </c>
      <c r="E1331" s="2" t="str">
        <f>_xlfn.XLOOKUP(B1331,Master[Product_Code],Master[Style])</f>
        <v>Half Sleeve</v>
      </c>
      <c r="F1331" s="2" t="str">
        <f>_xlfn.XLOOKUP(B1331,Master[Product_Code],Master[Fabric])</f>
        <v>Cotton Blend</v>
      </c>
      <c r="G1331" s="2" t="str">
        <f>_xlfn.XLOOKUP(B1331,Master[Product_Code],Master[Size])</f>
        <v>XXL</v>
      </c>
      <c r="H1331" s="2" t="str">
        <f>_xlfn.XLOOKUP(B1331,Master[Product_Code],Master[Color])</f>
        <v>Beige</v>
      </c>
      <c r="I1331" s="4">
        <f>_xlfn.XLOOKUP(B1331,Master[Product_Code],Master[Stock_Qty])</f>
        <v>5</v>
      </c>
      <c r="J1331" s="6">
        <f>SUMIFS(
  Sales_Entry[Qty],
  Sales_Entry[Product_Code], Stock_Table[[#This Row],[Product_Code]]
)</f>
        <v>6</v>
      </c>
      <c r="K1331" s="4">
        <f>SUMIFS(
  Exchange_Return[Qty],
  Exchange_Return[Product_Code], Stock_Table[[#This Row],[Product_Code]]
)</f>
        <v>1</v>
      </c>
      <c r="L1331" s="4">
        <f>I1331-J1331+K1331</f>
        <v>0</v>
      </c>
      <c r="M1331" s="2" t="str" cm="1">
        <f t="array" ref="M1331">_xlfn.IFS(L1331=0,"Out of Stock",L1331&gt;=2,"Limited Stock",L1331&lt;2,"In Stock")</f>
        <v>Out of Stock</v>
      </c>
    </row>
    <row r="1332" spans="2:13">
      <c r="B1332" s="2" t="s">
        <v>505</v>
      </c>
      <c r="C1332" s="5" t="str">
        <f>_xlfn.XLOOKUP(B1332,Master[Product_Code],Master[Category])</f>
        <v>T-Shirt</v>
      </c>
      <c r="D1332" s="2" t="str">
        <f>_xlfn.XLOOKUP(B1332,Master[Product_Code],Master[Brand])</f>
        <v>Max</v>
      </c>
      <c r="E1332" s="2" t="str">
        <f>_xlfn.XLOOKUP(B1332,Master[Product_Code],Master[Style])</f>
        <v>3/4 Sleeve</v>
      </c>
      <c r="F1332" s="2" t="str">
        <f>_xlfn.XLOOKUP(B1332,Master[Product_Code],Master[Fabric])</f>
        <v>Poly Cotton</v>
      </c>
      <c r="G1332" s="2" t="str">
        <f>_xlfn.XLOOKUP(B1332,Master[Product_Code],Master[Size])</f>
        <v>S</v>
      </c>
      <c r="H1332" s="2" t="str">
        <f>_xlfn.XLOOKUP(B1332,Master[Product_Code],Master[Color])</f>
        <v>Navy Blue</v>
      </c>
      <c r="I1332" s="4">
        <f>_xlfn.XLOOKUP(B1332,Master[Product_Code],Master[Stock_Qty])</f>
        <v>6</v>
      </c>
      <c r="J1332" s="6">
        <f>SUMIFS(
  Sales_Entry[Qty],
  Sales_Entry[Product_Code], Stock_Table[[#This Row],[Product_Code]]
)</f>
        <v>2</v>
      </c>
      <c r="K1332" s="4">
        <f>SUMIFS(
  Exchange_Return[Qty],
  Exchange_Return[Product_Code], Stock_Table[[#This Row],[Product_Code]]
)</f>
        <v>0</v>
      </c>
      <c r="L1332" s="4">
        <f>I1332-J1332+K1332</f>
        <v>4</v>
      </c>
      <c r="M1332" s="2" t="str" cm="1">
        <f t="array" ref="M1332">_xlfn.IFS(L1332=0,"Out of Stock",L1332&gt;=2,"Limited Stock",L1332&lt;2,"In Stock")</f>
        <v>Limited Stock</v>
      </c>
    </row>
    <row r="1333" spans="2:13">
      <c r="B1333" s="2" t="s">
        <v>506</v>
      </c>
      <c r="C1333" s="5" t="str">
        <f>_xlfn.XLOOKUP(B1333,Master[Product_Code],Master[Category])</f>
        <v>T-Shirt</v>
      </c>
      <c r="D1333" s="2" t="str">
        <f>_xlfn.XLOOKUP(B1333,Master[Product_Code],Master[Brand])</f>
        <v>Campus</v>
      </c>
      <c r="E1333" s="2" t="str">
        <f>_xlfn.XLOOKUP(B1333,Master[Product_Code],Master[Style])</f>
        <v>3/4 Sleeve</v>
      </c>
      <c r="F1333" s="2" t="str">
        <f>_xlfn.XLOOKUP(B1333,Master[Product_Code],Master[Fabric])</f>
        <v>Cotton</v>
      </c>
      <c r="G1333" s="2" t="str">
        <f>_xlfn.XLOOKUP(B1333,Master[Product_Code],Master[Size])</f>
        <v>XXL</v>
      </c>
      <c r="H1333" s="2" t="str">
        <f>_xlfn.XLOOKUP(B1333,Master[Product_Code],Master[Color])</f>
        <v>Rust</v>
      </c>
      <c r="I1333" s="4">
        <f>_xlfn.XLOOKUP(B1333,Master[Product_Code],Master[Stock_Qty])</f>
        <v>4</v>
      </c>
      <c r="J1333" s="6">
        <f>SUMIFS(
  Sales_Entry[Qty],
  Sales_Entry[Product_Code], Stock_Table[[#This Row],[Product_Code]]
)</f>
        <v>2</v>
      </c>
      <c r="K1333" s="4">
        <f>SUMIFS(
  Exchange_Return[Qty],
  Exchange_Return[Product_Code], Stock_Table[[#This Row],[Product_Code]]
)</f>
        <v>0</v>
      </c>
      <c r="L1333" s="4">
        <f>I1333-J1333+K1333</f>
        <v>2</v>
      </c>
      <c r="M1333" s="2" t="str" cm="1">
        <f t="array" ref="M1333">_xlfn.IFS(L1333=0,"Out of Stock",L1333&gt;=2,"Limited Stock",L1333&lt;2,"In Stock")</f>
        <v>Limited Stock</v>
      </c>
    </row>
    <row r="1334" spans="2:13">
      <c r="B1334" s="2" t="s">
        <v>507</v>
      </c>
      <c r="C1334" s="5" t="str">
        <f>_xlfn.XLOOKUP(B1334,Master[Product_Code],Master[Category])</f>
        <v>T-Shirt</v>
      </c>
      <c r="D1334" s="2" t="str">
        <f>_xlfn.XLOOKUP(B1334,Master[Product_Code],Master[Brand])</f>
        <v>Urban Monkey</v>
      </c>
      <c r="E1334" s="2" t="str">
        <f>_xlfn.XLOOKUP(B1334,Master[Product_Code],Master[Style])</f>
        <v>Full Sleeve</v>
      </c>
      <c r="F1334" s="2" t="str">
        <f>_xlfn.XLOOKUP(B1334,Master[Product_Code],Master[Fabric])</f>
        <v>Cotton Blend</v>
      </c>
      <c r="G1334" s="2" t="str">
        <f>_xlfn.XLOOKUP(B1334,Master[Product_Code],Master[Size])</f>
        <v>L</v>
      </c>
      <c r="H1334" s="2" t="str">
        <f>_xlfn.XLOOKUP(B1334,Master[Product_Code],Master[Color])</f>
        <v>Mustard</v>
      </c>
      <c r="I1334" s="4">
        <f>_xlfn.XLOOKUP(B1334,Master[Product_Code],Master[Stock_Qty])</f>
        <v>5</v>
      </c>
      <c r="J1334" s="6">
        <f>SUMIFS(
  Sales_Entry[Qty],
  Sales_Entry[Product_Code], Stock_Table[[#This Row],[Product_Code]]
)</f>
        <v>0</v>
      </c>
      <c r="K1334" s="4">
        <f>SUMIFS(
  Exchange_Return[Qty],
  Exchange_Return[Product_Code], Stock_Table[[#This Row],[Product_Code]]
)</f>
        <v>0</v>
      </c>
      <c r="L1334" s="4">
        <f>I1334-J1334+K1334</f>
        <v>5</v>
      </c>
      <c r="M1334" s="2" t="str" cm="1">
        <f t="array" ref="M1334">_xlfn.IFS(L1334=0,"Out of Stock",L1334&gt;=2,"Limited Stock",L1334&lt;2,"In Stock")</f>
        <v>Limited Stock</v>
      </c>
    </row>
    <row r="1335" spans="2:13">
      <c r="B1335" s="2" t="s">
        <v>508</v>
      </c>
      <c r="C1335" s="5" t="str">
        <f>_xlfn.XLOOKUP(B1335,Master[Product_Code],Master[Category])</f>
        <v>T-Shirt</v>
      </c>
      <c r="D1335" s="2" t="str">
        <f>_xlfn.XLOOKUP(B1335,Master[Product_Code],Master[Brand])</f>
        <v>Roadster</v>
      </c>
      <c r="E1335" s="2" t="str">
        <f>_xlfn.XLOOKUP(B1335,Master[Product_Code],Master[Style])</f>
        <v>Hoodie</v>
      </c>
      <c r="F1335" s="2" t="str">
        <f>_xlfn.XLOOKUP(B1335,Master[Product_Code],Master[Fabric])</f>
        <v>Cotton</v>
      </c>
      <c r="G1335" s="2" t="str">
        <f>_xlfn.XLOOKUP(B1335,Master[Product_Code],Master[Size])</f>
        <v>XXL</v>
      </c>
      <c r="H1335" s="2" t="str">
        <f>_xlfn.XLOOKUP(B1335,Master[Product_Code],Master[Color])</f>
        <v>Peach</v>
      </c>
      <c r="I1335" s="4">
        <f>_xlfn.XLOOKUP(B1335,Master[Product_Code],Master[Stock_Qty])</f>
        <v>5</v>
      </c>
      <c r="J1335" s="6">
        <f>SUMIFS(
  Sales_Entry[Qty],
  Sales_Entry[Product_Code], Stock_Table[[#This Row],[Product_Code]]
)</f>
        <v>2</v>
      </c>
      <c r="K1335" s="4">
        <f>SUMIFS(
  Exchange_Return[Qty],
  Exchange_Return[Product_Code], Stock_Table[[#This Row],[Product_Code]]
)</f>
        <v>0</v>
      </c>
      <c r="L1335" s="4">
        <f>I1335-J1335+K1335</f>
        <v>3</v>
      </c>
      <c r="M1335" s="2" t="str" cm="1">
        <f t="array" ref="M1335">_xlfn.IFS(L1335=0,"Out of Stock",L1335&gt;=2,"Limited Stock",L1335&lt;2,"In Stock")</f>
        <v>Limited Stock</v>
      </c>
    </row>
    <row r="1336" spans="2:13">
      <c r="B1336" s="2" t="s">
        <v>509</v>
      </c>
      <c r="C1336" s="5" t="str">
        <f>_xlfn.XLOOKUP(B1336,Master[Product_Code],Master[Category])</f>
        <v>T-Shirt</v>
      </c>
      <c r="D1336" s="2" t="str">
        <f>_xlfn.XLOOKUP(B1336,Master[Product_Code],Master[Brand])</f>
        <v>Urban Monkey</v>
      </c>
      <c r="E1336" s="2" t="str">
        <f>_xlfn.XLOOKUP(B1336,Master[Product_Code],Master[Style])</f>
        <v>Half Sleeve</v>
      </c>
      <c r="F1336" s="2" t="str">
        <f>_xlfn.XLOOKUP(B1336,Master[Product_Code],Master[Fabric])</f>
        <v>Cotton</v>
      </c>
      <c r="G1336" s="2" t="str">
        <f>_xlfn.XLOOKUP(B1336,Master[Product_Code],Master[Size])</f>
        <v>S</v>
      </c>
      <c r="H1336" s="2" t="str">
        <f>_xlfn.XLOOKUP(B1336,Master[Product_Code],Master[Color])</f>
        <v>Cream</v>
      </c>
      <c r="I1336" s="4">
        <f>_xlfn.XLOOKUP(B1336,Master[Product_Code],Master[Stock_Qty])</f>
        <v>3</v>
      </c>
      <c r="J1336" s="6">
        <f>SUMIFS(
  Sales_Entry[Qty],
  Sales_Entry[Product_Code], Stock_Table[[#This Row],[Product_Code]]
)</f>
        <v>2</v>
      </c>
      <c r="K1336" s="4">
        <f>SUMIFS(
  Exchange_Return[Qty],
  Exchange_Return[Product_Code], Stock_Table[[#This Row],[Product_Code]]
)</f>
        <v>0</v>
      </c>
      <c r="L1336" s="4">
        <f>I1336-J1336+K1336</f>
        <v>1</v>
      </c>
      <c r="M1336" s="2" t="str" cm="1">
        <f t="array" ref="M1336">_xlfn.IFS(L1336=0,"Out of Stock",L1336&gt;=2,"Limited Stock",L1336&lt;2,"In Stock")</f>
        <v>In Stock</v>
      </c>
    </row>
    <row r="1337" spans="2:13">
      <c r="B1337" s="2" t="s">
        <v>510</v>
      </c>
      <c r="C1337" s="5" t="str">
        <f>_xlfn.XLOOKUP(B1337,Master[Product_Code],Master[Category])</f>
        <v>T-Shirt</v>
      </c>
      <c r="D1337" s="2" t="str">
        <f>_xlfn.XLOOKUP(B1337,Master[Product_Code],Master[Brand])</f>
        <v>Urban Monkey</v>
      </c>
      <c r="E1337" s="2" t="str">
        <f>_xlfn.XLOOKUP(B1337,Master[Product_Code],Master[Style])</f>
        <v>Full Sleeve</v>
      </c>
      <c r="F1337" s="2" t="str">
        <f>_xlfn.XLOOKUP(B1337,Master[Product_Code],Master[Fabric])</f>
        <v>Cotton Blend</v>
      </c>
      <c r="G1337" s="2" t="str">
        <f>_xlfn.XLOOKUP(B1337,Master[Product_Code],Master[Size])</f>
        <v>XL</v>
      </c>
      <c r="H1337" s="2" t="str">
        <f>_xlfn.XLOOKUP(B1337,Master[Product_Code],Master[Color])</f>
        <v>Black</v>
      </c>
      <c r="I1337" s="4">
        <f>_xlfn.XLOOKUP(B1337,Master[Product_Code],Master[Stock_Qty])</f>
        <v>6</v>
      </c>
      <c r="J1337" s="6">
        <f>SUMIFS(
  Sales_Entry[Qty],
  Sales_Entry[Product_Code], Stock_Table[[#This Row],[Product_Code]]
)</f>
        <v>1</v>
      </c>
      <c r="K1337" s="4">
        <f>SUMIFS(
  Exchange_Return[Qty],
  Exchange_Return[Product_Code], Stock_Table[[#This Row],[Product_Code]]
)</f>
        <v>0</v>
      </c>
      <c r="L1337" s="4">
        <f>I1337-J1337+K1337</f>
        <v>5</v>
      </c>
      <c r="M1337" s="2" t="str" cm="1">
        <f t="array" ref="M1337">_xlfn.IFS(L1337=0,"Out of Stock",L1337&gt;=2,"Limited Stock",L1337&lt;2,"In Stock")</f>
        <v>Limited Stock</v>
      </c>
    </row>
    <row r="1338" spans="2:13">
      <c r="B1338" s="2" t="s">
        <v>511</v>
      </c>
      <c r="C1338" s="5" t="str">
        <f>_xlfn.XLOOKUP(B1338,Master[Product_Code],Master[Category])</f>
        <v>T-Shirt</v>
      </c>
      <c r="D1338" s="2" t="str">
        <f>_xlfn.XLOOKUP(B1338,Master[Product_Code],Master[Brand])</f>
        <v>Campus</v>
      </c>
      <c r="E1338" s="2" t="str">
        <f>_xlfn.XLOOKUP(B1338,Master[Product_Code],Master[Style])</f>
        <v>Full Sleeve</v>
      </c>
      <c r="F1338" s="2" t="str">
        <f>_xlfn.XLOOKUP(B1338,Master[Product_Code],Master[Fabric])</f>
        <v>Poly Cotton</v>
      </c>
      <c r="G1338" s="2" t="str">
        <f>_xlfn.XLOOKUP(B1338,Master[Product_Code],Master[Size])</f>
        <v>L</v>
      </c>
      <c r="H1338" s="2" t="str">
        <f>_xlfn.XLOOKUP(B1338,Master[Product_Code],Master[Color])</f>
        <v>Olive</v>
      </c>
      <c r="I1338" s="4">
        <f>_xlfn.XLOOKUP(B1338,Master[Product_Code],Master[Stock_Qty])</f>
        <v>5</v>
      </c>
      <c r="J1338" s="6">
        <f>SUMIFS(
  Sales_Entry[Qty],
  Sales_Entry[Product_Code], Stock_Table[[#This Row],[Product_Code]]
)</f>
        <v>5</v>
      </c>
      <c r="K1338" s="4">
        <f>SUMIFS(
  Exchange_Return[Qty],
  Exchange_Return[Product_Code], Stock_Table[[#This Row],[Product_Code]]
)</f>
        <v>0</v>
      </c>
      <c r="L1338" s="4">
        <f>I1338-J1338+K1338</f>
        <v>0</v>
      </c>
      <c r="M1338" s="2" t="str" cm="1">
        <f t="array" ref="M1338">_xlfn.IFS(L1338=0,"Out of Stock",L1338&gt;=2,"Limited Stock",L1338&lt;2,"In Stock")</f>
        <v>Out of Stock</v>
      </c>
    </row>
    <row r="1339" spans="2:13">
      <c r="B1339" s="2" t="s">
        <v>512</v>
      </c>
      <c r="C1339" s="5" t="str">
        <f>_xlfn.XLOOKUP(B1339,Master[Product_Code],Master[Category])</f>
        <v>T-Shirt</v>
      </c>
      <c r="D1339" s="2" t="str">
        <f>_xlfn.XLOOKUP(B1339,Master[Product_Code],Master[Brand])</f>
        <v>Campus</v>
      </c>
      <c r="E1339" s="2" t="str">
        <f>_xlfn.XLOOKUP(B1339,Master[Product_Code],Master[Style])</f>
        <v>3/4 Sleeve</v>
      </c>
      <c r="F1339" s="2" t="str">
        <f>_xlfn.XLOOKUP(B1339,Master[Product_Code],Master[Fabric])</f>
        <v>Cotton Blend</v>
      </c>
      <c r="G1339" s="2" t="str">
        <f>_xlfn.XLOOKUP(B1339,Master[Product_Code],Master[Size])</f>
        <v>S</v>
      </c>
      <c r="H1339" s="2" t="str">
        <f>_xlfn.XLOOKUP(B1339,Master[Product_Code],Master[Color])</f>
        <v>Teal</v>
      </c>
      <c r="I1339" s="4">
        <f>_xlfn.XLOOKUP(B1339,Master[Product_Code],Master[Stock_Qty])</f>
        <v>4</v>
      </c>
      <c r="J1339" s="6">
        <f>SUMIFS(
  Sales_Entry[Qty],
  Sales_Entry[Product_Code], Stock_Table[[#This Row],[Product_Code]]
)</f>
        <v>1</v>
      </c>
      <c r="K1339" s="4">
        <f>SUMIFS(
  Exchange_Return[Qty],
  Exchange_Return[Product_Code], Stock_Table[[#This Row],[Product_Code]]
)</f>
        <v>0</v>
      </c>
      <c r="L1339" s="4">
        <f>I1339-J1339+K1339</f>
        <v>3</v>
      </c>
      <c r="M1339" s="2" t="str" cm="1">
        <f t="array" ref="M1339">_xlfn.IFS(L1339=0,"Out of Stock",L1339&gt;=2,"Limited Stock",L1339&lt;2,"In Stock")</f>
        <v>Limited Stock</v>
      </c>
    </row>
    <row r="1340" spans="2:13">
      <c r="B1340" s="2" t="s">
        <v>513</v>
      </c>
      <c r="C1340" s="5" t="str">
        <f>_xlfn.XLOOKUP(B1340,Master[Product_Code],Master[Category])</f>
        <v>T-Shirt</v>
      </c>
      <c r="D1340" s="2" t="str">
        <f>_xlfn.XLOOKUP(B1340,Master[Product_Code],Master[Brand])</f>
        <v>Max</v>
      </c>
      <c r="E1340" s="2" t="str">
        <f>_xlfn.XLOOKUP(B1340,Master[Product_Code],Master[Style])</f>
        <v>3/4 Sleeve</v>
      </c>
      <c r="F1340" s="2" t="str">
        <f>_xlfn.XLOOKUP(B1340,Master[Product_Code],Master[Fabric])</f>
        <v>Poly Cotton</v>
      </c>
      <c r="G1340" s="2" t="str">
        <f>_xlfn.XLOOKUP(B1340,Master[Product_Code],Master[Size])</f>
        <v>M</v>
      </c>
      <c r="H1340" s="2" t="str">
        <f>_xlfn.XLOOKUP(B1340,Master[Product_Code],Master[Color])</f>
        <v>Bottle Green</v>
      </c>
      <c r="I1340" s="4">
        <f>_xlfn.XLOOKUP(B1340,Master[Product_Code],Master[Stock_Qty])</f>
        <v>3</v>
      </c>
      <c r="J1340" s="6">
        <f>SUMIFS(
  Sales_Entry[Qty],
  Sales_Entry[Product_Code], Stock_Table[[#This Row],[Product_Code]]
)</f>
        <v>3</v>
      </c>
      <c r="K1340" s="4">
        <f>SUMIFS(
  Exchange_Return[Qty],
  Exchange_Return[Product_Code], Stock_Table[[#This Row],[Product_Code]]
)</f>
        <v>0</v>
      </c>
      <c r="L1340" s="4">
        <f>I1340-J1340+K1340</f>
        <v>0</v>
      </c>
      <c r="M1340" s="2" t="str" cm="1">
        <f t="array" ref="M1340">_xlfn.IFS(L1340=0,"Out of Stock",L1340&gt;=2,"Limited Stock",L1340&lt;2,"In Stock")</f>
        <v>Out of Stock</v>
      </c>
    </row>
    <row r="1341" spans="2:13">
      <c r="B1341" s="2" t="s">
        <v>514</v>
      </c>
      <c r="C1341" s="5" t="str">
        <f>_xlfn.XLOOKUP(B1341,Master[Product_Code],Master[Category])</f>
        <v>T-Shirt</v>
      </c>
      <c r="D1341" s="2" t="str">
        <f>_xlfn.XLOOKUP(B1341,Master[Product_Code],Master[Brand])</f>
        <v>Zara</v>
      </c>
      <c r="E1341" s="2" t="str">
        <f>_xlfn.XLOOKUP(B1341,Master[Product_Code],Master[Style])</f>
        <v>Half Sleeve</v>
      </c>
      <c r="F1341" s="2" t="str">
        <f>_xlfn.XLOOKUP(B1341,Master[Product_Code],Master[Fabric])</f>
        <v>Cotton</v>
      </c>
      <c r="G1341" s="2" t="str">
        <f>_xlfn.XLOOKUP(B1341,Master[Product_Code],Master[Size])</f>
        <v>XL</v>
      </c>
      <c r="H1341" s="2" t="str">
        <f>_xlfn.XLOOKUP(B1341,Master[Product_Code],Master[Color])</f>
        <v>Navy Blue</v>
      </c>
      <c r="I1341" s="4">
        <f>_xlfn.XLOOKUP(B1341,Master[Product_Code],Master[Stock_Qty])</f>
        <v>4</v>
      </c>
      <c r="J1341" s="6">
        <f>SUMIFS(
  Sales_Entry[Qty],
  Sales_Entry[Product_Code], Stock_Table[[#This Row],[Product_Code]]
)</f>
        <v>4</v>
      </c>
      <c r="K1341" s="4">
        <f>SUMIFS(
  Exchange_Return[Qty],
  Exchange_Return[Product_Code], Stock_Table[[#This Row],[Product_Code]]
)</f>
        <v>0</v>
      </c>
      <c r="L1341" s="4">
        <f>I1341-J1341+K1341</f>
        <v>0</v>
      </c>
      <c r="M1341" s="2" t="str" cm="1">
        <f t="array" ref="M1341">_xlfn.IFS(L1341=0,"Out of Stock",L1341&gt;=2,"Limited Stock",L1341&lt;2,"In Stock")</f>
        <v>Out of Stock</v>
      </c>
    </row>
    <row r="1342" spans="2:13">
      <c r="B1342" s="2" t="s">
        <v>515</v>
      </c>
      <c r="C1342" s="5" t="str">
        <f>_xlfn.XLOOKUP(B1342,Master[Product_Code],Master[Category])</f>
        <v>T-Shirt</v>
      </c>
      <c r="D1342" s="2" t="str">
        <f>_xlfn.XLOOKUP(B1342,Master[Product_Code],Master[Brand])</f>
        <v>Turkey</v>
      </c>
      <c r="E1342" s="2" t="str">
        <f>_xlfn.XLOOKUP(B1342,Master[Product_Code],Master[Style])</f>
        <v>Hoodie</v>
      </c>
      <c r="F1342" s="2" t="str">
        <f>_xlfn.XLOOKUP(B1342,Master[Product_Code],Master[Fabric])</f>
        <v>Poly Cotton</v>
      </c>
      <c r="G1342" s="2" t="str">
        <f>_xlfn.XLOOKUP(B1342,Master[Product_Code],Master[Size])</f>
        <v>XL</v>
      </c>
      <c r="H1342" s="2" t="str">
        <f>_xlfn.XLOOKUP(B1342,Master[Product_Code],Master[Color])</f>
        <v>Black</v>
      </c>
      <c r="I1342" s="4">
        <f>_xlfn.XLOOKUP(B1342,Master[Product_Code],Master[Stock_Qty])</f>
        <v>3</v>
      </c>
      <c r="J1342" s="6">
        <f>SUMIFS(
  Sales_Entry[Qty],
  Sales_Entry[Product_Code], Stock_Table[[#This Row],[Product_Code]]
)</f>
        <v>1</v>
      </c>
      <c r="K1342" s="4">
        <f>SUMIFS(
  Exchange_Return[Qty],
  Exchange_Return[Product_Code], Stock_Table[[#This Row],[Product_Code]]
)</f>
        <v>0</v>
      </c>
      <c r="L1342" s="4">
        <f>I1342-J1342+K1342</f>
        <v>2</v>
      </c>
      <c r="M1342" s="2" t="str" cm="1">
        <f t="array" ref="M1342">_xlfn.IFS(L1342=0,"Out of Stock",L1342&gt;=2,"Limited Stock",L1342&lt;2,"In Stock")</f>
        <v>Limited Stock</v>
      </c>
    </row>
    <row r="1343" spans="2:13">
      <c r="B1343" s="2" t="s">
        <v>516</v>
      </c>
      <c r="C1343" s="5" t="str">
        <f>_xlfn.XLOOKUP(B1343,Master[Product_Code],Master[Category])</f>
        <v>T-Shirt</v>
      </c>
      <c r="D1343" s="2" t="str">
        <f>_xlfn.XLOOKUP(B1343,Master[Product_Code],Master[Brand])</f>
        <v>Thailand</v>
      </c>
      <c r="E1343" s="2" t="str">
        <f>_xlfn.XLOOKUP(B1343,Master[Product_Code],Master[Style])</f>
        <v>Half Sleeve</v>
      </c>
      <c r="F1343" s="2" t="str">
        <f>_xlfn.XLOOKUP(B1343,Master[Product_Code],Master[Fabric])</f>
        <v>Cotton Blend</v>
      </c>
      <c r="G1343" s="2" t="str">
        <f>_xlfn.XLOOKUP(B1343,Master[Product_Code],Master[Size])</f>
        <v>M</v>
      </c>
      <c r="H1343" s="2" t="str">
        <f>_xlfn.XLOOKUP(B1343,Master[Product_Code],Master[Color])</f>
        <v>Peach</v>
      </c>
      <c r="I1343" s="4">
        <f>_xlfn.XLOOKUP(B1343,Master[Product_Code],Master[Stock_Qty])</f>
        <v>3</v>
      </c>
      <c r="J1343" s="6">
        <f>SUMIFS(
  Sales_Entry[Qty],
  Sales_Entry[Product_Code], Stock_Table[[#This Row],[Product_Code]]
)</f>
        <v>2</v>
      </c>
      <c r="K1343" s="4">
        <f>SUMIFS(
  Exchange_Return[Qty],
  Exchange_Return[Product_Code], Stock_Table[[#This Row],[Product_Code]]
)</f>
        <v>0</v>
      </c>
      <c r="L1343" s="4">
        <f>I1343-J1343+K1343</f>
        <v>1</v>
      </c>
      <c r="M1343" s="2" t="str" cm="1">
        <f t="array" ref="M1343">_xlfn.IFS(L1343=0,"Out of Stock",L1343&gt;=2,"Limited Stock",L1343&lt;2,"In Stock")</f>
        <v>In Stock</v>
      </c>
    </row>
    <row r="1344" spans="2:13">
      <c r="B1344" s="2" t="s">
        <v>517</v>
      </c>
      <c r="C1344" s="5" t="str">
        <f>_xlfn.XLOOKUP(B1344,Master[Product_Code],Master[Category])</f>
        <v>T-Shirt</v>
      </c>
      <c r="D1344" s="2" t="str">
        <f>_xlfn.XLOOKUP(B1344,Master[Product_Code],Master[Brand])</f>
        <v>Max</v>
      </c>
      <c r="E1344" s="2" t="str">
        <f>_xlfn.XLOOKUP(B1344,Master[Product_Code],Master[Style])</f>
        <v>Half Sleeve</v>
      </c>
      <c r="F1344" s="2" t="str">
        <f>_xlfn.XLOOKUP(B1344,Master[Product_Code],Master[Fabric])</f>
        <v>Poly Cotton</v>
      </c>
      <c r="G1344" s="2" t="str">
        <f>_xlfn.XLOOKUP(B1344,Master[Product_Code],Master[Size])</f>
        <v>S</v>
      </c>
      <c r="H1344" s="2" t="str">
        <f>_xlfn.XLOOKUP(B1344,Master[Product_Code],Master[Color])</f>
        <v>Sky Blue</v>
      </c>
      <c r="I1344" s="4">
        <f>_xlfn.XLOOKUP(B1344,Master[Product_Code],Master[Stock_Qty])</f>
        <v>5</v>
      </c>
      <c r="J1344" s="6">
        <f>SUMIFS(
  Sales_Entry[Qty],
  Sales_Entry[Product_Code], Stock_Table[[#This Row],[Product_Code]]
)</f>
        <v>0</v>
      </c>
      <c r="K1344" s="4">
        <f>SUMIFS(
  Exchange_Return[Qty],
  Exchange_Return[Product_Code], Stock_Table[[#This Row],[Product_Code]]
)</f>
        <v>0</v>
      </c>
      <c r="L1344" s="4">
        <f>I1344-J1344+K1344</f>
        <v>5</v>
      </c>
      <c r="M1344" s="2" t="str" cm="1">
        <f t="array" ref="M1344">_xlfn.IFS(L1344=0,"Out of Stock",L1344&gt;=2,"Limited Stock",L1344&lt;2,"In Stock")</f>
        <v>Limited Stock</v>
      </c>
    </row>
    <row r="1345" spans="2:13">
      <c r="B1345" s="2" t="s">
        <v>518</v>
      </c>
      <c r="C1345" s="5" t="str">
        <f>_xlfn.XLOOKUP(B1345,Master[Product_Code],Master[Category])</f>
        <v>T-Shirt</v>
      </c>
      <c r="D1345" s="2" t="str">
        <f>_xlfn.XLOOKUP(B1345,Master[Product_Code],Master[Brand])</f>
        <v>Thailand</v>
      </c>
      <c r="E1345" s="2" t="str">
        <f>_xlfn.XLOOKUP(B1345,Master[Product_Code],Master[Style])</f>
        <v>Full Sleeve</v>
      </c>
      <c r="F1345" s="2" t="str">
        <f>_xlfn.XLOOKUP(B1345,Master[Product_Code],Master[Fabric])</f>
        <v>Cotton Blend</v>
      </c>
      <c r="G1345" s="2" t="str">
        <f>_xlfn.XLOOKUP(B1345,Master[Product_Code],Master[Size])</f>
        <v>M</v>
      </c>
      <c r="H1345" s="2" t="str">
        <f>_xlfn.XLOOKUP(B1345,Master[Product_Code],Master[Color])</f>
        <v>Maroon</v>
      </c>
      <c r="I1345" s="4">
        <f>_xlfn.XLOOKUP(B1345,Master[Product_Code],Master[Stock_Qty])</f>
        <v>3</v>
      </c>
      <c r="J1345" s="6">
        <f>SUMIFS(
  Sales_Entry[Qty],
  Sales_Entry[Product_Code], Stock_Table[[#This Row],[Product_Code]]
)</f>
        <v>2</v>
      </c>
      <c r="K1345" s="4">
        <f>SUMIFS(
  Exchange_Return[Qty],
  Exchange_Return[Product_Code], Stock_Table[[#This Row],[Product_Code]]
)</f>
        <v>0</v>
      </c>
      <c r="L1345" s="4">
        <f>I1345-J1345+K1345</f>
        <v>1</v>
      </c>
      <c r="M1345" s="2" t="str" cm="1">
        <f t="array" ref="M1345">_xlfn.IFS(L1345=0,"Out of Stock",L1345&gt;=2,"Limited Stock",L1345&lt;2,"In Stock")</f>
        <v>In Stock</v>
      </c>
    </row>
    <row r="1346" spans="2:13">
      <c r="B1346" s="2" t="s">
        <v>519</v>
      </c>
      <c r="C1346" s="5" t="str">
        <f>_xlfn.XLOOKUP(B1346,Master[Product_Code],Master[Category])</f>
        <v>T-Shirt</v>
      </c>
      <c r="D1346" s="2" t="str">
        <f>_xlfn.XLOOKUP(B1346,Master[Product_Code],Master[Brand])</f>
        <v>Roadster</v>
      </c>
      <c r="E1346" s="2" t="str">
        <f>_xlfn.XLOOKUP(B1346,Master[Product_Code],Master[Style])</f>
        <v>Half Sleeve</v>
      </c>
      <c r="F1346" s="2" t="str">
        <f>_xlfn.XLOOKUP(B1346,Master[Product_Code],Master[Fabric])</f>
        <v>Poly Cotton</v>
      </c>
      <c r="G1346" s="2" t="str">
        <f>_xlfn.XLOOKUP(B1346,Master[Product_Code],Master[Size])</f>
        <v>M</v>
      </c>
      <c r="H1346" s="2" t="str">
        <f>_xlfn.XLOOKUP(B1346,Master[Product_Code],Master[Color])</f>
        <v>Cream</v>
      </c>
      <c r="I1346" s="4">
        <f>_xlfn.XLOOKUP(B1346,Master[Product_Code],Master[Stock_Qty])</f>
        <v>5</v>
      </c>
      <c r="J1346" s="6">
        <f>SUMIFS(
  Sales_Entry[Qty],
  Sales_Entry[Product_Code], Stock_Table[[#This Row],[Product_Code]]
)</f>
        <v>2</v>
      </c>
      <c r="K1346" s="4">
        <f>SUMIFS(
  Exchange_Return[Qty],
  Exchange_Return[Product_Code], Stock_Table[[#This Row],[Product_Code]]
)</f>
        <v>0</v>
      </c>
      <c r="L1346" s="4">
        <f>I1346-J1346+K1346</f>
        <v>3</v>
      </c>
      <c r="M1346" s="2" t="str" cm="1">
        <f t="array" ref="M1346">_xlfn.IFS(L1346=0,"Out of Stock",L1346&gt;=2,"Limited Stock",L1346&lt;2,"In Stock")</f>
        <v>Limited Stock</v>
      </c>
    </row>
    <row r="1347" spans="2:13">
      <c r="B1347" s="2" t="s">
        <v>520</v>
      </c>
      <c r="C1347" s="5" t="str">
        <f>_xlfn.XLOOKUP(B1347,Master[Product_Code],Master[Category])</f>
        <v>T-Shirt</v>
      </c>
      <c r="D1347" s="2" t="str">
        <f>_xlfn.XLOOKUP(B1347,Master[Product_Code],Master[Brand])</f>
        <v>Turkey</v>
      </c>
      <c r="E1347" s="2" t="str">
        <f>_xlfn.XLOOKUP(B1347,Master[Product_Code],Master[Style])</f>
        <v>Full Sleeve</v>
      </c>
      <c r="F1347" s="2" t="str">
        <f>_xlfn.XLOOKUP(B1347,Master[Product_Code],Master[Fabric])</f>
        <v>Cotton Blend</v>
      </c>
      <c r="G1347" s="2" t="str">
        <f>_xlfn.XLOOKUP(B1347,Master[Product_Code],Master[Size])</f>
        <v>XXL</v>
      </c>
      <c r="H1347" s="2" t="str">
        <f>_xlfn.XLOOKUP(B1347,Master[Product_Code],Master[Color])</f>
        <v>Cream</v>
      </c>
      <c r="I1347" s="4">
        <f>_xlfn.XLOOKUP(B1347,Master[Product_Code],Master[Stock_Qty])</f>
        <v>4</v>
      </c>
      <c r="J1347" s="6">
        <f>SUMIFS(
  Sales_Entry[Qty],
  Sales_Entry[Product_Code], Stock_Table[[#This Row],[Product_Code]]
)</f>
        <v>2</v>
      </c>
      <c r="K1347" s="4">
        <f>SUMIFS(
  Exchange_Return[Qty],
  Exchange_Return[Product_Code], Stock_Table[[#This Row],[Product_Code]]
)</f>
        <v>0</v>
      </c>
      <c r="L1347" s="4">
        <f>I1347-J1347+K1347</f>
        <v>2</v>
      </c>
      <c r="M1347" s="2" t="str" cm="1">
        <f t="array" ref="M1347">_xlfn.IFS(L1347=0,"Out of Stock",L1347&gt;=2,"Limited Stock",L1347&lt;2,"In Stock")</f>
        <v>Limited Stock</v>
      </c>
    </row>
    <row r="1348" spans="2:13">
      <c r="B1348" s="2" t="s">
        <v>521</v>
      </c>
      <c r="C1348" s="5" t="str">
        <f>_xlfn.XLOOKUP(B1348,Master[Product_Code],Master[Category])</f>
        <v>T-Shirt</v>
      </c>
      <c r="D1348" s="2" t="str">
        <f>_xlfn.XLOOKUP(B1348,Master[Product_Code],Master[Brand])</f>
        <v>Zara</v>
      </c>
      <c r="E1348" s="2" t="str">
        <f>_xlfn.XLOOKUP(B1348,Master[Product_Code],Master[Style])</f>
        <v>Full Sleeve</v>
      </c>
      <c r="F1348" s="2" t="str">
        <f>_xlfn.XLOOKUP(B1348,Master[Product_Code],Master[Fabric])</f>
        <v>Cotton</v>
      </c>
      <c r="G1348" s="2" t="str">
        <f>_xlfn.XLOOKUP(B1348,Master[Product_Code],Master[Size])</f>
        <v>XXL</v>
      </c>
      <c r="H1348" s="2" t="str">
        <f>_xlfn.XLOOKUP(B1348,Master[Product_Code],Master[Color])</f>
        <v>Rust</v>
      </c>
      <c r="I1348" s="4">
        <f>_xlfn.XLOOKUP(B1348,Master[Product_Code],Master[Stock_Qty])</f>
        <v>5</v>
      </c>
      <c r="J1348" s="6">
        <f>SUMIFS(
  Sales_Entry[Qty],
  Sales_Entry[Product_Code], Stock_Table[[#This Row],[Product_Code]]
)</f>
        <v>3</v>
      </c>
      <c r="K1348" s="4">
        <f>SUMIFS(
  Exchange_Return[Qty],
  Exchange_Return[Product_Code], Stock_Table[[#This Row],[Product_Code]]
)</f>
        <v>0</v>
      </c>
      <c r="L1348" s="4">
        <f>I1348-J1348+K1348</f>
        <v>2</v>
      </c>
      <c r="M1348" s="2" t="str" cm="1">
        <f t="array" ref="M1348">_xlfn.IFS(L1348=0,"Out of Stock",L1348&gt;=2,"Limited Stock",L1348&lt;2,"In Stock")</f>
        <v>Limited Stock</v>
      </c>
    </row>
    <row r="1349" spans="2:13">
      <c r="B1349" s="2" t="s">
        <v>522</v>
      </c>
      <c r="C1349" s="5" t="str">
        <f>_xlfn.XLOOKUP(B1349,Master[Product_Code],Master[Category])</f>
        <v>T-Shirt</v>
      </c>
      <c r="D1349" s="2" t="str">
        <f>_xlfn.XLOOKUP(B1349,Master[Product_Code],Master[Brand])</f>
        <v>Thailand</v>
      </c>
      <c r="E1349" s="2" t="str">
        <f>_xlfn.XLOOKUP(B1349,Master[Product_Code],Master[Style])</f>
        <v>Full Sleeve</v>
      </c>
      <c r="F1349" s="2" t="str">
        <f>_xlfn.XLOOKUP(B1349,Master[Product_Code],Master[Fabric])</f>
        <v>Cotton</v>
      </c>
      <c r="G1349" s="2" t="str">
        <f>_xlfn.XLOOKUP(B1349,Master[Product_Code],Master[Size])</f>
        <v>L</v>
      </c>
      <c r="H1349" s="2" t="str">
        <f>_xlfn.XLOOKUP(B1349,Master[Product_Code],Master[Color])</f>
        <v>Navy Blue</v>
      </c>
      <c r="I1349" s="4">
        <f>_xlfn.XLOOKUP(B1349,Master[Product_Code],Master[Stock_Qty])</f>
        <v>4</v>
      </c>
      <c r="J1349" s="6">
        <f>SUMIFS(
  Sales_Entry[Qty],
  Sales_Entry[Product_Code], Stock_Table[[#This Row],[Product_Code]]
)</f>
        <v>1</v>
      </c>
      <c r="K1349" s="4">
        <f>SUMIFS(
  Exchange_Return[Qty],
  Exchange_Return[Product_Code], Stock_Table[[#This Row],[Product_Code]]
)</f>
        <v>0</v>
      </c>
      <c r="L1349" s="4">
        <f>I1349-J1349+K1349</f>
        <v>3</v>
      </c>
      <c r="M1349" s="2" t="str" cm="1">
        <f t="array" ref="M1349">_xlfn.IFS(L1349=0,"Out of Stock",L1349&gt;=2,"Limited Stock",L1349&lt;2,"In Stock")</f>
        <v>Limited Stock</v>
      </c>
    </row>
    <row r="1350" spans="2:13">
      <c r="B1350" s="2" t="s">
        <v>523</v>
      </c>
      <c r="C1350" s="5" t="str">
        <f>_xlfn.XLOOKUP(B1350,Master[Product_Code],Master[Category])</f>
        <v>T-Shirt</v>
      </c>
      <c r="D1350" s="2" t="str">
        <f>_xlfn.XLOOKUP(B1350,Master[Product_Code],Master[Brand])</f>
        <v>Roadster</v>
      </c>
      <c r="E1350" s="2" t="str">
        <f>_xlfn.XLOOKUP(B1350,Master[Product_Code],Master[Style])</f>
        <v>Hoodie</v>
      </c>
      <c r="F1350" s="2" t="str">
        <f>_xlfn.XLOOKUP(B1350,Master[Product_Code],Master[Fabric])</f>
        <v>Poly Cotton</v>
      </c>
      <c r="G1350" s="2" t="str">
        <f>_xlfn.XLOOKUP(B1350,Master[Product_Code],Master[Size])</f>
        <v>XXL</v>
      </c>
      <c r="H1350" s="2" t="str">
        <f>_xlfn.XLOOKUP(B1350,Master[Product_Code],Master[Color])</f>
        <v>Brown</v>
      </c>
      <c r="I1350" s="4">
        <f>_xlfn.XLOOKUP(B1350,Master[Product_Code],Master[Stock_Qty])</f>
        <v>3</v>
      </c>
      <c r="J1350" s="6">
        <f>SUMIFS(
  Sales_Entry[Qty],
  Sales_Entry[Product_Code], Stock_Table[[#This Row],[Product_Code]]
)</f>
        <v>2</v>
      </c>
      <c r="K1350" s="4">
        <f>SUMIFS(
  Exchange_Return[Qty],
  Exchange_Return[Product_Code], Stock_Table[[#This Row],[Product_Code]]
)</f>
        <v>0</v>
      </c>
      <c r="L1350" s="4">
        <f>I1350-J1350+K1350</f>
        <v>1</v>
      </c>
      <c r="M1350" s="2" t="str" cm="1">
        <f t="array" ref="M1350">_xlfn.IFS(L1350=0,"Out of Stock",L1350&gt;=2,"Limited Stock",L1350&lt;2,"In Stock")</f>
        <v>In Stock</v>
      </c>
    </row>
    <row r="1351" spans="2:13">
      <c r="B1351" s="2" t="s">
        <v>524</v>
      </c>
      <c r="C1351" s="5" t="str">
        <f>_xlfn.XLOOKUP(B1351,Master[Product_Code],Master[Category])</f>
        <v>T-Shirt</v>
      </c>
      <c r="D1351" s="2" t="str">
        <f>_xlfn.XLOOKUP(B1351,Master[Product_Code],Master[Brand])</f>
        <v>Thailand</v>
      </c>
      <c r="E1351" s="2" t="str">
        <f>_xlfn.XLOOKUP(B1351,Master[Product_Code],Master[Style])</f>
        <v>Full Sleeve</v>
      </c>
      <c r="F1351" s="2" t="str">
        <f>_xlfn.XLOOKUP(B1351,Master[Product_Code],Master[Fabric])</f>
        <v>Poly Cotton</v>
      </c>
      <c r="G1351" s="2" t="str">
        <f>_xlfn.XLOOKUP(B1351,Master[Product_Code],Master[Size])</f>
        <v>XXL</v>
      </c>
      <c r="H1351" s="2" t="str">
        <f>_xlfn.XLOOKUP(B1351,Master[Product_Code],Master[Color])</f>
        <v>Wine</v>
      </c>
      <c r="I1351" s="4">
        <f>_xlfn.XLOOKUP(B1351,Master[Product_Code],Master[Stock_Qty])</f>
        <v>4</v>
      </c>
      <c r="J1351" s="6">
        <f>SUMIFS(
  Sales_Entry[Qty],
  Sales_Entry[Product_Code], Stock_Table[[#This Row],[Product_Code]]
)</f>
        <v>3</v>
      </c>
      <c r="K1351" s="4">
        <f>SUMIFS(
  Exchange_Return[Qty],
  Exchange_Return[Product_Code], Stock_Table[[#This Row],[Product_Code]]
)</f>
        <v>0</v>
      </c>
      <c r="L1351" s="4">
        <f>I1351-J1351+K1351</f>
        <v>1</v>
      </c>
      <c r="M1351" s="2" t="str" cm="1">
        <f t="array" ref="M1351">_xlfn.IFS(L1351=0,"Out of Stock",L1351&gt;=2,"Limited Stock",L1351&lt;2,"In Stock")</f>
        <v>In Stock</v>
      </c>
    </row>
    <row r="1352" spans="2:13">
      <c r="B1352" s="2" t="s">
        <v>525</v>
      </c>
      <c r="C1352" s="5" t="str">
        <f>_xlfn.XLOOKUP(B1352,Master[Product_Code],Master[Category])</f>
        <v>T-Shirt</v>
      </c>
      <c r="D1352" s="2" t="str">
        <f>_xlfn.XLOOKUP(B1352,Master[Product_Code],Master[Brand])</f>
        <v>Max</v>
      </c>
      <c r="E1352" s="2" t="str">
        <f>_xlfn.XLOOKUP(B1352,Master[Product_Code],Master[Style])</f>
        <v>3/4 Sleeve</v>
      </c>
      <c r="F1352" s="2" t="str">
        <f>_xlfn.XLOOKUP(B1352,Master[Product_Code],Master[Fabric])</f>
        <v>Poly Cotton</v>
      </c>
      <c r="G1352" s="2" t="str">
        <f>_xlfn.XLOOKUP(B1352,Master[Product_Code],Master[Size])</f>
        <v>S</v>
      </c>
      <c r="H1352" s="2" t="str">
        <f>_xlfn.XLOOKUP(B1352,Master[Product_Code],Master[Color])</f>
        <v>Charcoal</v>
      </c>
      <c r="I1352" s="4">
        <f>_xlfn.XLOOKUP(B1352,Master[Product_Code],Master[Stock_Qty])</f>
        <v>6</v>
      </c>
      <c r="J1352" s="6">
        <f>SUMIFS(
  Sales_Entry[Qty],
  Sales_Entry[Product_Code], Stock_Table[[#This Row],[Product_Code]]
)</f>
        <v>3</v>
      </c>
      <c r="K1352" s="4">
        <f>SUMIFS(
  Exchange_Return[Qty],
  Exchange_Return[Product_Code], Stock_Table[[#This Row],[Product_Code]]
)</f>
        <v>0</v>
      </c>
      <c r="L1352" s="4">
        <f>I1352-J1352+K1352</f>
        <v>3</v>
      </c>
      <c r="M1352" s="2" t="str" cm="1">
        <f t="array" ref="M1352">_xlfn.IFS(L1352=0,"Out of Stock",L1352&gt;=2,"Limited Stock",L1352&lt;2,"In Stock")</f>
        <v>Limited Stock</v>
      </c>
    </row>
    <row r="1353" spans="2:13">
      <c r="B1353" s="2" t="s">
        <v>526</v>
      </c>
      <c r="C1353" s="5" t="str">
        <f>_xlfn.XLOOKUP(B1353,Master[Product_Code],Master[Category])</f>
        <v>T-Shirt</v>
      </c>
      <c r="D1353" s="2" t="str">
        <f>_xlfn.XLOOKUP(B1353,Master[Product_Code],Master[Brand])</f>
        <v>Zara</v>
      </c>
      <c r="E1353" s="2" t="str">
        <f>_xlfn.XLOOKUP(B1353,Master[Product_Code],Master[Style])</f>
        <v>Full Sleeve</v>
      </c>
      <c r="F1353" s="2" t="str">
        <f>_xlfn.XLOOKUP(B1353,Master[Product_Code],Master[Fabric])</f>
        <v>Cotton Blend</v>
      </c>
      <c r="G1353" s="2" t="str">
        <f>_xlfn.XLOOKUP(B1353,Master[Product_Code],Master[Size])</f>
        <v>XXL</v>
      </c>
      <c r="H1353" s="2" t="str">
        <f>_xlfn.XLOOKUP(B1353,Master[Product_Code],Master[Color])</f>
        <v>Navy Blue</v>
      </c>
      <c r="I1353" s="4">
        <f>_xlfn.XLOOKUP(B1353,Master[Product_Code],Master[Stock_Qty])</f>
        <v>3</v>
      </c>
      <c r="J1353" s="6">
        <f>SUMIFS(
  Sales_Entry[Qty],
  Sales_Entry[Product_Code], Stock_Table[[#This Row],[Product_Code]]
)</f>
        <v>2</v>
      </c>
      <c r="K1353" s="4">
        <f>SUMIFS(
  Exchange_Return[Qty],
  Exchange_Return[Product_Code], Stock_Table[[#This Row],[Product_Code]]
)</f>
        <v>0</v>
      </c>
      <c r="L1353" s="4">
        <f>I1353-J1353+K1353</f>
        <v>1</v>
      </c>
      <c r="M1353" s="2" t="str" cm="1">
        <f t="array" ref="M1353">_xlfn.IFS(L1353=0,"Out of Stock",L1353&gt;=2,"Limited Stock",L1353&lt;2,"In Stock")</f>
        <v>In Stock</v>
      </c>
    </row>
    <row r="1354" spans="2:13">
      <c r="B1354" s="2" t="s">
        <v>527</v>
      </c>
      <c r="C1354" s="5" t="str">
        <f>_xlfn.XLOOKUP(B1354,Master[Product_Code],Master[Category])</f>
        <v>T-Shirt</v>
      </c>
      <c r="D1354" s="2" t="str">
        <f>_xlfn.XLOOKUP(B1354,Master[Product_Code],Master[Brand])</f>
        <v>Thailand</v>
      </c>
      <c r="E1354" s="2" t="str">
        <f>_xlfn.XLOOKUP(B1354,Master[Product_Code],Master[Style])</f>
        <v>Full Sleeve</v>
      </c>
      <c r="F1354" s="2" t="str">
        <f>_xlfn.XLOOKUP(B1354,Master[Product_Code],Master[Fabric])</f>
        <v>Cotton Blend</v>
      </c>
      <c r="G1354" s="2" t="str">
        <f>_xlfn.XLOOKUP(B1354,Master[Product_Code],Master[Size])</f>
        <v>XXL</v>
      </c>
      <c r="H1354" s="2" t="str">
        <f>_xlfn.XLOOKUP(B1354,Master[Product_Code],Master[Color])</f>
        <v>Bottle Green</v>
      </c>
      <c r="I1354" s="4">
        <f>_xlfn.XLOOKUP(B1354,Master[Product_Code],Master[Stock_Qty])</f>
        <v>5</v>
      </c>
      <c r="J1354" s="6">
        <f>SUMIFS(
  Sales_Entry[Qty],
  Sales_Entry[Product_Code], Stock_Table[[#This Row],[Product_Code]]
)</f>
        <v>1</v>
      </c>
      <c r="K1354" s="4">
        <f>SUMIFS(
  Exchange_Return[Qty],
  Exchange_Return[Product_Code], Stock_Table[[#This Row],[Product_Code]]
)</f>
        <v>1</v>
      </c>
      <c r="L1354" s="4">
        <f>I1354-J1354+K1354</f>
        <v>5</v>
      </c>
      <c r="M1354" s="2" t="str" cm="1">
        <f t="array" ref="M1354">_xlfn.IFS(L1354=0,"Out of Stock",L1354&gt;=2,"Limited Stock",L1354&lt;2,"In Stock")</f>
        <v>Limited Stock</v>
      </c>
    </row>
    <row r="1355" spans="2:13">
      <c r="B1355" s="2" t="s">
        <v>528</v>
      </c>
      <c r="C1355" s="5" t="str">
        <f>_xlfn.XLOOKUP(B1355,Master[Product_Code],Master[Category])</f>
        <v>T-Shirt</v>
      </c>
      <c r="D1355" s="2" t="str">
        <f>_xlfn.XLOOKUP(B1355,Master[Product_Code],Master[Brand])</f>
        <v>Campus</v>
      </c>
      <c r="E1355" s="2" t="str">
        <f>_xlfn.XLOOKUP(B1355,Master[Product_Code],Master[Style])</f>
        <v>Full Sleeve</v>
      </c>
      <c r="F1355" s="2" t="str">
        <f>_xlfn.XLOOKUP(B1355,Master[Product_Code],Master[Fabric])</f>
        <v>Cotton Blend</v>
      </c>
      <c r="G1355" s="2" t="str">
        <f>_xlfn.XLOOKUP(B1355,Master[Product_Code],Master[Size])</f>
        <v>S</v>
      </c>
      <c r="H1355" s="2" t="str">
        <f>_xlfn.XLOOKUP(B1355,Master[Product_Code],Master[Color])</f>
        <v>Black</v>
      </c>
      <c r="I1355" s="4">
        <f>_xlfn.XLOOKUP(B1355,Master[Product_Code],Master[Stock_Qty])</f>
        <v>3</v>
      </c>
      <c r="J1355" s="6">
        <f>SUMIFS(
  Sales_Entry[Qty],
  Sales_Entry[Product_Code], Stock_Table[[#This Row],[Product_Code]]
)</f>
        <v>1</v>
      </c>
      <c r="K1355" s="4">
        <f>SUMIFS(
  Exchange_Return[Qty],
  Exchange_Return[Product_Code], Stock_Table[[#This Row],[Product_Code]]
)</f>
        <v>0</v>
      </c>
      <c r="L1355" s="4">
        <f>I1355-J1355+K1355</f>
        <v>2</v>
      </c>
      <c r="M1355" s="2" t="str" cm="1">
        <f t="array" ref="M1355">_xlfn.IFS(L1355=0,"Out of Stock",L1355&gt;=2,"Limited Stock",L1355&lt;2,"In Stock")</f>
        <v>Limited Stock</v>
      </c>
    </row>
    <row r="1356" spans="2:13">
      <c r="B1356" s="2" t="s">
        <v>529</v>
      </c>
      <c r="C1356" s="5" t="str">
        <f>_xlfn.XLOOKUP(B1356,Master[Product_Code],Master[Category])</f>
        <v>T-Shirt</v>
      </c>
      <c r="D1356" s="2" t="str">
        <f>_xlfn.XLOOKUP(B1356,Master[Product_Code],Master[Brand])</f>
        <v>Thailand</v>
      </c>
      <c r="E1356" s="2" t="str">
        <f>_xlfn.XLOOKUP(B1356,Master[Product_Code],Master[Style])</f>
        <v>Full Sleeve</v>
      </c>
      <c r="F1356" s="2" t="str">
        <f>_xlfn.XLOOKUP(B1356,Master[Product_Code],Master[Fabric])</f>
        <v>Cotton</v>
      </c>
      <c r="G1356" s="2" t="str">
        <f>_xlfn.XLOOKUP(B1356,Master[Product_Code],Master[Size])</f>
        <v>S</v>
      </c>
      <c r="H1356" s="2" t="str">
        <f>_xlfn.XLOOKUP(B1356,Master[Product_Code],Master[Color])</f>
        <v>Rust</v>
      </c>
      <c r="I1356" s="4">
        <f>_xlfn.XLOOKUP(B1356,Master[Product_Code],Master[Stock_Qty])</f>
        <v>5</v>
      </c>
      <c r="J1356" s="6">
        <f>SUMIFS(
  Sales_Entry[Qty],
  Sales_Entry[Product_Code], Stock_Table[[#This Row],[Product_Code]]
)</f>
        <v>1</v>
      </c>
      <c r="K1356" s="4">
        <f>SUMIFS(
  Exchange_Return[Qty],
  Exchange_Return[Product_Code], Stock_Table[[#This Row],[Product_Code]]
)</f>
        <v>0</v>
      </c>
      <c r="L1356" s="4">
        <f>I1356-J1356+K1356</f>
        <v>4</v>
      </c>
      <c r="M1356" s="2" t="str" cm="1">
        <f t="array" ref="M1356">_xlfn.IFS(L1356=0,"Out of Stock",L1356&gt;=2,"Limited Stock",L1356&lt;2,"In Stock")</f>
        <v>Limited Stock</v>
      </c>
    </row>
    <row r="1357" spans="2:13">
      <c r="B1357" s="2" t="s">
        <v>530</v>
      </c>
      <c r="C1357" s="5" t="str">
        <f>_xlfn.XLOOKUP(B1357,Master[Product_Code],Master[Category])</f>
        <v>T-Shirt</v>
      </c>
      <c r="D1357" s="2" t="str">
        <f>_xlfn.XLOOKUP(B1357,Master[Product_Code],Master[Brand])</f>
        <v>Campus</v>
      </c>
      <c r="E1357" s="2" t="str">
        <f>_xlfn.XLOOKUP(B1357,Master[Product_Code],Master[Style])</f>
        <v>Hoodie</v>
      </c>
      <c r="F1357" s="2" t="str">
        <f>_xlfn.XLOOKUP(B1357,Master[Product_Code],Master[Fabric])</f>
        <v>Cotton Blend</v>
      </c>
      <c r="G1357" s="2" t="str">
        <f>_xlfn.XLOOKUP(B1357,Master[Product_Code],Master[Size])</f>
        <v>XL</v>
      </c>
      <c r="H1357" s="2" t="str">
        <f>_xlfn.XLOOKUP(B1357,Master[Product_Code],Master[Color])</f>
        <v>Rust</v>
      </c>
      <c r="I1357" s="4">
        <f>_xlfn.XLOOKUP(B1357,Master[Product_Code],Master[Stock_Qty])</f>
        <v>3</v>
      </c>
      <c r="J1357" s="6">
        <f>SUMIFS(
  Sales_Entry[Qty],
  Sales_Entry[Product_Code], Stock_Table[[#This Row],[Product_Code]]
)</f>
        <v>2</v>
      </c>
      <c r="K1357" s="4">
        <f>SUMIFS(
  Exchange_Return[Qty],
  Exchange_Return[Product_Code], Stock_Table[[#This Row],[Product_Code]]
)</f>
        <v>0</v>
      </c>
      <c r="L1357" s="4">
        <f>I1357-J1357+K1357</f>
        <v>1</v>
      </c>
      <c r="M1357" s="2" t="str" cm="1">
        <f t="array" ref="M1357">_xlfn.IFS(L1357=0,"Out of Stock",L1357&gt;=2,"Limited Stock",L1357&lt;2,"In Stock")</f>
        <v>In Stock</v>
      </c>
    </row>
    <row r="1358" spans="2:13">
      <c r="B1358" s="2" t="s">
        <v>531</v>
      </c>
      <c r="C1358" s="5" t="str">
        <f>_xlfn.XLOOKUP(B1358,Master[Product_Code],Master[Category])</f>
        <v>T-Shirt</v>
      </c>
      <c r="D1358" s="2" t="str">
        <f>_xlfn.XLOOKUP(B1358,Master[Product_Code],Master[Brand])</f>
        <v>Roadster</v>
      </c>
      <c r="E1358" s="2" t="str">
        <f>_xlfn.XLOOKUP(B1358,Master[Product_Code],Master[Style])</f>
        <v>Hoodie</v>
      </c>
      <c r="F1358" s="2" t="str">
        <f>_xlfn.XLOOKUP(B1358,Master[Product_Code],Master[Fabric])</f>
        <v>Poly Cotton</v>
      </c>
      <c r="G1358" s="2" t="str">
        <f>_xlfn.XLOOKUP(B1358,Master[Product_Code],Master[Size])</f>
        <v>M</v>
      </c>
      <c r="H1358" s="2" t="str">
        <f>_xlfn.XLOOKUP(B1358,Master[Product_Code],Master[Color])</f>
        <v>Beige</v>
      </c>
      <c r="I1358" s="4">
        <f>_xlfn.XLOOKUP(B1358,Master[Product_Code],Master[Stock_Qty])</f>
        <v>3</v>
      </c>
      <c r="J1358" s="6">
        <f>SUMIFS(
  Sales_Entry[Qty],
  Sales_Entry[Product_Code], Stock_Table[[#This Row],[Product_Code]]
)</f>
        <v>1</v>
      </c>
      <c r="K1358" s="4">
        <f>SUMIFS(
  Exchange_Return[Qty],
  Exchange_Return[Product_Code], Stock_Table[[#This Row],[Product_Code]]
)</f>
        <v>0</v>
      </c>
      <c r="L1358" s="4">
        <f>I1358-J1358+K1358</f>
        <v>2</v>
      </c>
      <c r="M1358" s="2" t="str" cm="1">
        <f t="array" ref="M1358">_xlfn.IFS(L1358=0,"Out of Stock",L1358&gt;=2,"Limited Stock",L1358&lt;2,"In Stock")</f>
        <v>Limited Stock</v>
      </c>
    </row>
    <row r="1359" spans="2:13">
      <c r="B1359" s="2" t="s">
        <v>532</v>
      </c>
      <c r="C1359" s="5" t="str">
        <f>_xlfn.XLOOKUP(B1359,Master[Product_Code],Master[Category])</f>
        <v>T-Shirt</v>
      </c>
      <c r="D1359" s="2" t="str">
        <f>_xlfn.XLOOKUP(B1359,Master[Product_Code],Master[Brand])</f>
        <v>Zara</v>
      </c>
      <c r="E1359" s="2" t="str">
        <f>_xlfn.XLOOKUP(B1359,Master[Product_Code],Master[Style])</f>
        <v>Hoodie</v>
      </c>
      <c r="F1359" s="2" t="str">
        <f>_xlfn.XLOOKUP(B1359,Master[Product_Code],Master[Fabric])</f>
        <v>Cotton</v>
      </c>
      <c r="G1359" s="2" t="str">
        <f>_xlfn.XLOOKUP(B1359,Master[Product_Code],Master[Size])</f>
        <v>M</v>
      </c>
      <c r="H1359" s="2" t="str">
        <f>_xlfn.XLOOKUP(B1359,Master[Product_Code],Master[Color])</f>
        <v>Dark Green</v>
      </c>
      <c r="I1359" s="4">
        <f>_xlfn.XLOOKUP(B1359,Master[Product_Code],Master[Stock_Qty])</f>
        <v>5</v>
      </c>
      <c r="J1359" s="6">
        <f>SUMIFS(
  Sales_Entry[Qty],
  Sales_Entry[Product_Code], Stock_Table[[#This Row],[Product_Code]]
)</f>
        <v>0</v>
      </c>
      <c r="K1359" s="4">
        <f>SUMIFS(
  Exchange_Return[Qty],
  Exchange_Return[Product_Code], Stock_Table[[#This Row],[Product_Code]]
)</f>
        <v>0</v>
      </c>
      <c r="L1359" s="4">
        <f>I1359-J1359+K1359</f>
        <v>5</v>
      </c>
      <c r="M1359" s="2" t="str" cm="1">
        <f t="array" ref="M1359">_xlfn.IFS(L1359=0,"Out of Stock",L1359&gt;=2,"Limited Stock",L1359&lt;2,"In Stock")</f>
        <v>Limited Stock</v>
      </c>
    </row>
    <row r="1360" spans="2:13">
      <c r="B1360" s="2" t="s">
        <v>533</v>
      </c>
      <c r="C1360" s="5" t="str">
        <f>_xlfn.XLOOKUP(B1360,Master[Product_Code],Master[Category])</f>
        <v>T-Shirt</v>
      </c>
      <c r="D1360" s="2" t="str">
        <f>_xlfn.XLOOKUP(B1360,Master[Product_Code],Master[Brand])</f>
        <v>Roadster</v>
      </c>
      <c r="E1360" s="2" t="str">
        <f>_xlfn.XLOOKUP(B1360,Master[Product_Code],Master[Style])</f>
        <v>Half Sleeve</v>
      </c>
      <c r="F1360" s="2" t="str">
        <f>_xlfn.XLOOKUP(B1360,Master[Product_Code],Master[Fabric])</f>
        <v>Cotton Blend</v>
      </c>
      <c r="G1360" s="2" t="str">
        <f>_xlfn.XLOOKUP(B1360,Master[Product_Code],Master[Size])</f>
        <v>XL</v>
      </c>
      <c r="H1360" s="2" t="str">
        <f>_xlfn.XLOOKUP(B1360,Master[Product_Code],Master[Color])</f>
        <v>Charcoal</v>
      </c>
      <c r="I1360" s="4">
        <f>_xlfn.XLOOKUP(B1360,Master[Product_Code],Master[Stock_Qty])</f>
        <v>3</v>
      </c>
      <c r="J1360" s="6">
        <f>SUMIFS(
  Sales_Entry[Qty],
  Sales_Entry[Product_Code], Stock_Table[[#This Row],[Product_Code]]
)</f>
        <v>3</v>
      </c>
      <c r="K1360" s="4">
        <f>SUMIFS(
  Exchange_Return[Qty],
  Exchange_Return[Product_Code], Stock_Table[[#This Row],[Product_Code]]
)</f>
        <v>0</v>
      </c>
      <c r="L1360" s="4">
        <f>I1360-J1360+K1360</f>
        <v>0</v>
      </c>
      <c r="M1360" s="2" t="str" cm="1">
        <f t="array" ref="M1360">_xlfn.IFS(L1360=0,"Out of Stock",L1360&gt;=2,"Limited Stock",L1360&lt;2,"In Stock")</f>
        <v>Out of Stock</v>
      </c>
    </row>
    <row r="1361" spans="2:13">
      <c r="B1361" s="2" t="s">
        <v>534</v>
      </c>
      <c r="C1361" s="5" t="str">
        <f>_xlfn.XLOOKUP(B1361,Master[Product_Code],Master[Category])</f>
        <v>T-Shirt</v>
      </c>
      <c r="D1361" s="2" t="str">
        <f>_xlfn.XLOOKUP(B1361,Master[Product_Code],Master[Brand])</f>
        <v>Zara</v>
      </c>
      <c r="E1361" s="2" t="str">
        <f>_xlfn.XLOOKUP(B1361,Master[Product_Code],Master[Style])</f>
        <v>Sleeveless</v>
      </c>
      <c r="F1361" s="2" t="str">
        <f>_xlfn.XLOOKUP(B1361,Master[Product_Code],Master[Fabric])</f>
        <v>Cotton</v>
      </c>
      <c r="G1361" s="2" t="str">
        <f>_xlfn.XLOOKUP(B1361,Master[Product_Code],Master[Size])</f>
        <v>XL</v>
      </c>
      <c r="H1361" s="2" t="str">
        <f>_xlfn.XLOOKUP(B1361,Master[Product_Code],Master[Color])</f>
        <v>Royal Blue</v>
      </c>
      <c r="I1361" s="4">
        <f>_xlfn.XLOOKUP(B1361,Master[Product_Code],Master[Stock_Qty])</f>
        <v>3</v>
      </c>
      <c r="J1361" s="6">
        <f>SUMIFS(
  Sales_Entry[Qty],
  Sales_Entry[Product_Code], Stock_Table[[#This Row],[Product_Code]]
)</f>
        <v>1</v>
      </c>
      <c r="K1361" s="4">
        <f>SUMIFS(
  Exchange_Return[Qty],
  Exchange_Return[Product_Code], Stock_Table[[#This Row],[Product_Code]]
)</f>
        <v>0</v>
      </c>
      <c r="L1361" s="4">
        <f>I1361-J1361+K1361</f>
        <v>2</v>
      </c>
      <c r="M1361" s="2" t="str" cm="1">
        <f t="array" ref="M1361">_xlfn.IFS(L1361=0,"Out of Stock",L1361&gt;=2,"Limited Stock",L1361&lt;2,"In Stock")</f>
        <v>Limited Stock</v>
      </c>
    </row>
    <row r="1362" spans="2:13">
      <c r="B1362" s="2" t="s">
        <v>535</v>
      </c>
      <c r="C1362" s="5" t="str">
        <f>_xlfn.XLOOKUP(B1362,Master[Product_Code],Master[Category])</f>
        <v>T-Shirt</v>
      </c>
      <c r="D1362" s="2" t="str">
        <f>_xlfn.XLOOKUP(B1362,Master[Product_Code],Master[Brand])</f>
        <v>Campus</v>
      </c>
      <c r="E1362" s="2" t="str">
        <f>_xlfn.XLOOKUP(B1362,Master[Product_Code],Master[Style])</f>
        <v>Full Sleeve</v>
      </c>
      <c r="F1362" s="2" t="str">
        <f>_xlfn.XLOOKUP(B1362,Master[Product_Code],Master[Fabric])</f>
        <v>Cotton</v>
      </c>
      <c r="G1362" s="2" t="str">
        <f>_xlfn.XLOOKUP(B1362,Master[Product_Code],Master[Size])</f>
        <v>S</v>
      </c>
      <c r="H1362" s="2" t="str">
        <f>_xlfn.XLOOKUP(B1362,Master[Product_Code],Master[Color])</f>
        <v>Maroon</v>
      </c>
      <c r="I1362" s="4">
        <f>_xlfn.XLOOKUP(B1362,Master[Product_Code],Master[Stock_Qty])</f>
        <v>3</v>
      </c>
      <c r="J1362" s="6">
        <f>SUMIFS(
  Sales_Entry[Qty],
  Sales_Entry[Product_Code], Stock_Table[[#This Row],[Product_Code]]
)</f>
        <v>3</v>
      </c>
      <c r="K1362" s="4">
        <f>SUMIFS(
  Exchange_Return[Qty],
  Exchange_Return[Product_Code], Stock_Table[[#This Row],[Product_Code]]
)</f>
        <v>0</v>
      </c>
      <c r="L1362" s="4">
        <f>I1362-J1362+K1362</f>
        <v>0</v>
      </c>
      <c r="M1362" s="2" t="str" cm="1">
        <f t="array" ref="M1362">_xlfn.IFS(L1362=0,"Out of Stock",L1362&gt;=2,"Limited Stock",L1362&lt;2,"In Stock")</f>
        <v>Out of Stock</v>
      </c>
    </row>
    <row r="1363" spans="2:13">
      <c r="B1363" s="2" t="s">
        <v>536</v>
      </c>
      <c r="C1363" s="5" t="str">
        <f>_xlfn.XLOOKUP(B1363,Master[Product_Code],Master[Category])</f>
        <v>T-Shirt</v>
      </c>
      <c r="D1363" s="2" t="str">
        <f>_xlfn.XLOOKUP(B1363,Master[Product_Code],Master[Brand])</f>
        <v>Max</v>
      </c>
      <c r="E1363" s="2" t="str">
        <f>_xlfn.XLOOKUP(B1363,Master[Product_Code],Master[Style])</f>
        <v>3/4 Sleeve</v>
      </c>
      <c r="F1363" s="2" t="str">
        <f>_xlfn.XLOOKUP(B1363,Master[Product_Code],Master[Fabric])</f>
        <v>Poly Cotton</v>
      </c>
      <c r="G1363" s="2" t="str">
        <f>_xlfn.XLOOKUP(B1363,Master[Product_Code],Master[Size])</f>
        <v>XXL</v>
      </c>
      <c r="H1363" s="2" t="str">
        <f>_xlfn.XLOOKUP(B1363,Master[Product_Code],Master[Color])</f>
        <v>Beige</v>
      </c>
      <c r="I1363" s="4">
        <f>_xlfn.XLOOKUP(B1363,Master[Product_Code],Master[Stock_Qty])</f>
        <v>4</v>
      </c>
      <c r="J1363" s="6">
        <f>SUMIFS(
  Sales_Entry[Qty],
  Sales_Entry[Product_Code], Stock_Table[[#This Row],[Product_Code]]
)</f>
        <v>0</v>
      </c>
      <c r="K1363" s="4">
        <f>SUMIFS(
  Exchange_Return[Qty],
  Exchange_Return[Product_Code], Stock_Table[[#This Row],[Product_Code]]
)</f>
        <v>0</v>
      </c>
      <c r="L1363" s="4">
        <f>I1363-J1363+K1363</f>
        <v>4</v>
      </c>
      <c r="M1363" s="2" t="str" cm="1">
        <f t="array" ref="M1363">_xlfn.IFS(L1363=0,"Out of Stock",L1363&gt;=2,"Limited Stock",L1363&lt;2,"In Stock")</f>
        <v>Limited Stock</v>
      </c>
    </row>
    <row r="1364" spans="2:13">
      <c r="B1364" s="2" t="s">
        <v>537</v>
      </c>
      <c r="C1364" s="5" t="str">
        <f>_xlfn.XLOOKUP(B1364,Master[Product_Code],Master[Category])</f>
        <v>T-Shirt</v>
      </c>
      <c r="D1364" s="2" t="str">
        <f>_xlfn.XLOOKUP(B1364,Master[Product_Code],Master[Brand])</f>
        <v>Turkey</v>
      </c>
      <c r="E1364" s="2" t="str">
        <f>_xlfn.XLOOKUP(B1364,Master[Product_Code],Master[Style])</f>
        <v>3/4 Sleeve</v>
      </c>
      <c r="F1364" s="2" t="str">
        <f>_xlfn.XLOOKUP(B1364,Master[Product_Code],Master[Fabric])</f>
        <v>Poly Cotton</v>
      </c>
      <c r="G1364" s="2" t="str">
        <f>_xlfn.XLOOKUP(B1364,Master[Product_Code],Master[Size])</f>
        <v>S</v>
      </c>
      <c r="H1364" s="2" t="str">
        <f>_xlfn.XLOOKUP(B1364,Master[Product_Code],Master[Color])</f>
        <v>Black</v>
      </c>
      <c r="I1364" s="4">
        <f>_xlfn.XLOOKUP(B1364,Master[Product_Code],Master[Stock_Qty])</f>
        <v>5</v>
      </c>
      <c r="J1364" s="6">
        <f>SUMIFS(
  Sales_Entry[Qty],
  Sales_Entry[Product_Code], Stock_Table[[#This Row],[Product_Code]]
)</f>
        <v>2</v>
      </c>
      <c r="K1364" s="4">
        <f>SUMIFS(
  Exchange_Return[Qty],
  Exchange_Return[Product_Code], Stock_Table[[#This Row],[Product_Code]]
)</f>
        <v>0</v>
      </c>
      <c r="L1364" s="4">
        <f>I1364-J1364+K1364</f>
        <v>3</v>
      </c>
      <c r="M1364" s="2" t="str" cm="1">
        <f t="array" ref="M1364">_xlfn.IFS(L1364=0,"Out of Stock",L1364&gt;=2,"Limited Stock",L1364&lt;2,"In Stock")</f>
        <v>Limited Stock</v>
      </c>
    </row>
    <row r="1365" spans="2:13">
      <c r="B1365" s="2" t="s">
        <v>538</v>
      </c>
      <c r="C1365" s="5" t="str">
        <f>_xlfn.XLOOKUP(B1365,Master[Product_Code],Master[Category])</f>
        <v>T-Shirt</v>
      </c>
      <c r="D1365" s="2" t="str">
        <f>_xlfn.XLOOKUP(B1365,Master[Product_Code],Master[Brand])</f>
        <v>Thailand</v>
      </c>
      <c r="E1365" s="2" t="str">
        <f>_xlfn.XLOOKUP(B1365,Master[Product_Code],Master[Style])</f>
        <v>Hoodie</v>
      </c>
      <c r="F1365" s="2" t="str">
        <f>_xlfn.XLOOKUP(B1365,Master[Product_Code],Master[Fabric])</f>
        <v>Cotton</v>
      </c>
      <c r="G1365" s="2" t="str">
        <f>_xlfn.XLOOKUP(B1365,Master[Product_Code],Master[Size])</f>
        <v>L</v>
      </c>
      <c r="H1365" s="2" t="str">
        <f>_xlfn.XLOOKUP(B1365,Master[Product_Code],Master[Color])</f>
        <v>Light Grey</v>
      </c>
      <c r="I1365" s="4">
        <f>_xlfn.XLOOKUP(B1365,Master[Product_Code],Master[Stock_Qty])</f>
        <v>3</v>
      </c>
      <c r="J1365" s="6">
        <f>SUMIFS(
  Sales_Entry[Qty],
  Sales_Entry[Product_Code], Stock_Table[[#This Row],[Product_Code]]
)</f>
        <v>0</v>
      </c>
      <c r="K1365" s="4">
        <f>SUMIFS(
  Exchange_Return[Qty],
  Exchange_Return[Product_Code], Stock_Table[[#This Row],[Product_Code]]
)</f>
        <v>0</v>
      </c>
      <c r="L1365" s="4">
        <f>I1365-J1365+K1365</f>
        <v>3</v>
      </c>
      <c r="M1365" s="2" t="str" cm="1">
        <f t="array" ref="M1365">_xlfn.IFS(L1365=0,"Out of Stock",L1365&gt;=2,"Limited Stock",L1365&lt;2,"In Stock")</f>
        <v>Limited Stock</v>
      </c>
    </row>
    <row r="1366" spans="2:13">
      <c r="B1366" s="2" t="s">
        <v>539</v>
      </c>
      <c r="C1366" s="5" t="str">
        <f>_xlfn.XLOOKUP(B1366,Master[Product_Code],Master[Category])</f>
        <v>T-Shirt</v>
      </c>
      <c r="D1366" s="2" t="str">
        <f>_xlfn.XLOOKUP(B1366,Master[Product_Code],Master[Brand])</f>
        <v>Max</v>
      </c>
      <c r="E1366" s="2" t="str">
        <f>_xlfn.XLOOKUP(B1366,Master[Product_Code],Master[Style])</f>
        <v>Hoodie</v>
      </c>
      <c r="F1366" s="2" t="str">
        <f>_xlfn.XLOOKUP(B1366,Master[Product_Code],Master[Fabric])</f>
        <v>Cotton Blend</v>
      </c>
      <c r="G1366" s="2" t="str">
        <f>_xlfn.XLOOKUP(B1366,Master[Product_Code],Master[Size])</f>
        <v>S</v>
      </c>
      <c r="H1366" s="2" t="str">
        <f>_xlfn.XLOOKUP(B1366,Master[Product_Code],Master[Color])</f>
        <v>Peach</v>
      </c>
      <c r="I1366" s="4">
        <f>_xlfn.XLOOKUP(B1366,Master[Product_Code],Master[Stock_Qty])</f>
        <v>4</v>
      </c>
      <c r="J1366" s="6">
        <f>SUMIFS(
  Sales_Entry[Qty],
  Sales_Entry[Product_Code], Stock_Table[[#This Row],[Product_Code]]
)</f>
        <v>1</v>
      </c>
      <c r="K1366" s="4">
        <f>SUMIFS(
  Exchange_Return[Qty],
  Exchange_Return[Product_Code], Stock_Table[[#This Row],[Product_Code]]
)</f>
        <v>0</v>
      </c>
      <c r="L1366" s="4">
        <f>I1366-J1366+K1366</f>
        <v>3</v>
      </c>
      <c r="M1366" s="2" t="str" cm="1">
        <f t="array" ref="M1366">_xlfn.IFS(L1366=0,"Out of Stock",L1366&gt;=2,"Limited Stock",L1366&lt;2,"In Stock")</f>
        <v>Limited Stock</v>
      </c>
    </row>
    <row r="1367" spans="2:13">
      <c r="B1367" s="2" t="s">
        <v>540</v>
      </c>
      <c r="C1367" s="5" t="str">
        <f>_xlfn.XLOOKUP(B1367,Master[Product_Code],Master[Category])</f>
        <v>T-Shirt</v>
      </c>
      <c r="D1367" s="2" t="str">
        <f>_xlfn.XLOOKUP(B1367,Master[Product_Code],Master[Brand])</f>
        <v>Turkey</v>
      </c>
      <c r="E1367" s="2" t="str">
        <f>_xlfn.XLOOKUP(B1367,Master[Product_Code],Master[Style])</f>
        <v>3/4 Sleeve</v>
      </c>
      <c r="F1367" s="2" t="str">
        <f>_xlfn.XLOOKUP(B1367,Master[Product_Code],Master[Fabric])</f>
        <v>Cotton</v>
      </c>
      <c r="G1367" s="2" t="str">
        <f>_xlfn.XLOOKUP(B1367,Master[Product_Code],Master[Size])</f>
        <v>XXL</v>
      </c>
      <c r="H1367" s="2" t="str">
        <f>_xlfn.XLOOKUP(B1367,Master[Product_Code],Master[Color])</f>
        <v>Sky Blue</v>
      </c>
      <c r="I1367" s="4">
        <f>_xlfn.XLOOKUP(B1367,Master[Product_Code],Master[Stock_Qty])</f>
        <v>4</v>
      </c>
      <c r="J1367" s="6">
        <f>SUMIFS(
  Sales_Entry[Qty],
  Sales_Entry[Product_Code], Stock_Table[[#This Row],[Product_Code]]
)</f>
        <v>2</v>
      </c>
      <c r="K1367" s="4">
        <f>SUMIFS(
  Exchange_Return[Qty],
  Exchange_Return[Product_Code], Stock_Table[[#This Row],[Product_Code]]
)</f>
        <v>0</v>
      </c>
      <c r="L1367" s="4">
        <f>I1367-J1367+K1367</f>
        <v>2</v>
      </c>
      <c r="M1367" s="2" t="str" cm="1">
        <f t="array" ref="M1367">_xlfn.IFS(L1367=0,"Out of Stock",L1367&gt;=2,"Limited Stock",L1367&lt;2,"In Stock")</f>
        <v>Limited Stock</v>
      </c>
    </row>
    <row r="1368" spans="2:13">
      <c r="B1368" s="2" t="s">
        <v>541</v>
      </c>
      <c r="C1368" s="5" t="str">
        <f>_xlfn.XLOOKUP(B1368,Master[Product_Code],Master[Category])</f>
        <v>T-Shirt</v>
      </c>
      <c r="D1368" s="2" t="str">
        <f>_xlfn.XLOOKUP(B1368,Master[Product_Code],Master[Brand])</f>
        <v>Roadster</v>
      </c>
      <c r="E1368" s="2" t="str">
        <f>_xlfn.XLOOKUP(B1368,Master[Product_Code],Master[Style])</f>
        <v>Half Sleeve</v>
      </c>
      <c r="F1368" s="2" t="str">
        <f>_xlfn.XLOOKUP(B1368,Master[Product_Code],Master[Fabric])</f>
        <v>Cotton</v>
      </c>
      <c r="G1368" s="2" t="str">
        <f>_xlfn.XLOOKUP(B1368,Master[Product_Code],Master[Size])</f>
        <v>S</v>
      </c>
      <c r="H1368" s="2" t="str">
        <f>_xlfn.XLOOKUP(B1368,Master[Product_Code],Master[Color])</f>
        <v>Charcoal</v>
      </c>
      <c r="I1368" s="4">
        <f>_xlfn.XLOOKUP(B1368,Master[Product_Code],Master[Stock_Qty])</f>
        <v>3</v>
      </c>
      <c r="J1368" s="6">
        <f>SUMIFS(
  Sales_Entry[Qty],
  Sales_Entry[Product_Code], Stock_Table[[#This Row],[Product_Code]]
)</f>
        <v>1</v>
      </c>
      <c r="K1368" s="4">
        <f>SUMIFS(
  Exchange_Return[Qty],
  Exchange_Return[Product_Code], Stock_Table[[#This Row],[Product_Code]]
)</f>
        <v>0</v>
      </c>
      <c r="L1368" s="4">
        <f>I1368-J1368+K1368</f>
        <v>2</v>
      </c>
      <c r="M1368" s="2" t="str" cm="1">
        <f t="array" ref="M1368">_xlfn.IFS(L1368=0,"Out of Stock",L1368&gt;=2,"Limited Stock",L1368&lt;2,"In Stock")</f>
        <v>Limited Stock</v>
      </c>
    </row>
    <row r="1369" spans="2:13">
      <c r="B1369" s="2" t="s">
        <v>542</v>
      </c>
      <c r="C1369" s="5" t="str">
        <f>_xlfn.XLOOKUP(B1369,Master[Product_Code],Master[Category])</f>
        <v>T-Shirt</v>
      </c>
      <c r="D1369" s="2" t="str">
        <f>_xlfn.XLOOKUP(B1369,Master[Product_Code],Master[Brand])</f>
        <v>Thailand</v>
      </c>
      <c r="E1369" s="2" t="str">
        <f>_xlfn.XLOOKUP(B1369,Master[Product_Code],Master[Style])</f>
        <v>Sleeveless</v>
      </c>
      <c r="F1369" s="2" t="str">
        <f>_xlfn.XLOOKUP(B1369,Master[Product_Code],Master[Fabric])</f>
        <v>Cotton</v>
      </c>
      <c r="G1369" s="2" t="str">
        <f>_xlfn.XLOOKUP(B1369,Master[Product_Code],Master[Size])</f>
        <v>M</v>
      </c>
      <c r="H1369" s="2" t="str">
        <f>_xlfn.XLOOKUP(B1369,Master[Product_Code],Master[Color])</f>
        <v>White</v>
      </c>
      <c r="I1369" s="4">
        <f>_xlfn.XLOOKUP(B1369,Master[Product_Code],Master[Stock_Qty])</f>
        <v>6</v>
      </c>
      <c r="J1369" s="6">
        <f>SUMIFS(
  Sales_Entry[Qty],
  Sales_Entry[Product_Code], Stock_Table[[#This Row],[Product_Code]]
)</f>
        <v>2</v>
      </c>
      <c r="K1369" s="4">
        <f>SUMIFS(
  Exchange_Return[Qty],
  Exchange_Return[Product_Code], Stock_Table[[#This Row],[Product_Code]]
)</f>
        <v>0</v>
      </c>
      <c r="L1369" s="4">
        <f>I1369-J1369+K1369</f>
        <v>4</v>
      </c>
      <c r="M1369" s="2" t="str" cm="1">
        <f t="array" ref="M1369">_xlfn.IFS(L1369=0,"Out of Stock",L1369&gt;=2,"Limited Stock",L1369&lt;2,"In Stock")</f>
        <v>Limited Stock</v>
      </c>
    </row>
    <row r="1370" spans="2:13">
      <c r="B1370" s="2" t="s">
        <v>543</v>
      </c>
      <c r="C1370" s="5" t="str">
        <f>_xlfn.XLOOKUP(B1370,Master[Product_Code],Master[Category])</f>
        <v>T-Shirt</v>
      </c>
      <c r="D1370" s="2" t="str">
        <f>_xlfn.XLOOKUP(B1370,Master[Product_Code],Master[Brand])</f>
        <v>Thailand</v>
      </c>
      <c r="E1370" s="2" t="str">
        <f>_xlfn.XLOOKUP(B1370,Master[Product_Code],Master[Style])</f>
        <v>Full Sleeve</v>
      </c>
      <c r="F1370" s="2" t="str">
        <f>_xlfn.XLOOKUP(B1370,Master[Product_Code],Master[Fabric])</f>
        <v>Cotton Blend</v>
      </c>
      <c r="G1370" s="2" t="str">
        <f>_xlfn.XLOOKUP(B1370,Master[Product_Code],Master[Size])</f>
        <v>L</v>
      </c>
      <c r="H1370" s="2" t="str">
        <f>_xlfn.XLOOKUP(B1370,Master[Product_Code],Master[Color])</f>
        <v>Beige</v>
      </c>
      <c r="I1370" s="4">
        <f>_xlfn.XLOOKUP(B1370,Master[Product_Code],Master[Stock_Qty])</f>
        <v>3</v>
      </c>
      <c r="J1370" s="6">
        <f>SUMIFS(
  Sales_Entry[Qty],
  Sales_Entry[Product_Code], Stock_Table[[#This Row],[Product_Code]]
)</f>
        <v>2</v>
      </c>
      <c r="K1370" s="4">
        <f>SUMIFS(
  Exchange_Return[Qty],
  Exchange_Return[Product_Code], Stock_Table[[#This Row],[Product_Code]]
)</f>
        <v>0</v>
      </c>
      <c r="L1370" s="4">
        <f>I1370-J1370+K1370</f>
        <v>1</v>
      </c>
      <c r="M1370" s="2" t="str" cm="1">
        <f t="array" ref="M1370">_xlfn.IFS(L1370=0,"Out of Stock",L1370&gt;=2,"Limited Stock",L1370&lt;2,"In Stock")</f>
        <v>In Stock</v>
      </c>
    </row>
    <row r="1371" spans="2:13">
      <c r="B1371" s="2" t="s">
        <v>544</v>
      </c>
      <c r="C1371" s="5" t="str">
        <f>_xlfn.XLOOKUP(B1371,Master[Product_Code],Master[Category])</f>
        <v>T-Shirt</v>
      </c>
      <c r="D1371" s="2" t="str">
        <f>_xlfn.XLOOKUP(B1371,Master[Product_Code],Master[Brand])</f>
        <v>Thailand</v>
      </c>
      <c r="E1371" s="2" t="str">
        <f>_xlfn.XLOOKUP(B1371,Master[Product_Code],Master[Style])</f>
        <v>Half Sleeve</v>
      </c>
      <c r="F1371" s="2" t="str">
        <f>_xlfn.XLOOKUP(B1371,Master[Product_Code],Master[Fabric])</f>
        <v>Poly Cotton</v>
      </c>
      <c r="G1371" s="2" t="str">
        <f>_xlfn.XLOOKUP(B1371,Master[Product_Code],Master[Size])</f>
        <v>S</v>
      </c>
      <c r="H1371" s="2" t="str">
        <f>_xlfn.XLOOKUP(B1371,Master[Product_Code],Master[Color])</f>
        <v>Olive</v>
      </c>
      <c r="I1371" s="4">
        <f>_xlfn.XLOOKUP(B1371,Master[Product_Code],Master[Stock_Qty])</f>
        <v>4</v>
      </c>
      <c r="J1371" s="6">
        <f>SUMIFS(
  Sales_Entry[Qty],
  Sales_Entry[Product_Code], Stock_Table[[#This Row],[Product_Code]]
)</f>
        <v>2</v>
      </c>
      <c r="K1371" s="4">
        <f>SUMIFS(
  Exchange_Return[Qty],
  Exchange_Return[Product_Code], Stock_Table[[#This Row],[Product_Code]]
)</f>
        <v>0</v>
      </c>
      <c r="L1371" s="4">
        <f>I1371-J1371+K1371</f>
        <v>2</v>
      </c>
      <c r="M1371" s="2" t="str" cm="1">
        <f t="array" ref="M1371">_xlfn.IFS(L1371=0,"Out of Stock",L1371&gt;=2,"Limited Stock",L1371&lt;2,"In Stock")</f>
        <v>Limited Stock</v>
      </c>
    </row>
    <row r="1372" spans="2:13">
      <c r="B1372" s="2" t="s">
        <v>545</v>
      </c>
      <c r="C1372" s="5" t="str">
        <f>_xlfn.XLOOKUP(B1372,Master[Product_Code],Master[Category])</f>
        <v>T-Shirt</v>
      </c>
      <c r="D1372" s="2" t="str">
        <f>_xlfn.XLOOKUP(B1372,Master[Product_Code],Master[Brand])</f>
        <v>Zara</v>
      </c>
      <c r="E1372" s="2" t="str">
        <f>_xlfn.XLOOKUP(B1372,Master[Product_Code],Master[Style])</f>
        <v>Sleeveless</v>
      </c>
      <c r="F1372" s="2" t="str">
        <f>_xlfn.XLOOKUP(B1372,Master[Product_Code],Master[Fabric])</f>
        <v>Cotton</v>
      </c>
      <c r="G1372" s="2" t="str">
        <f>_xlfn.XLOOKUP(B1372,Master[Product_Code],Master[Size])</f>
        <v>XL</v>
      </c>
      <c r="H1372" s="2" t="str">
        <f>_xlfn.XLOOKUP(B1372,Master[Product_Code],Master[Color])</f>
        <v>Brown</v>
      </c>
      <c r="I1372" s="4">
        <f>_xlfn.XLOOKUP(B1372,Master[Product_Code],Master[Stock_Qty])</f>
        <v>5</v>
      </c>
      <c r="J1372" s="6">
        <f>SUMIFS(
  Sales_Entry[Qty],
  Sales_Entry[Product_Code], Stock_Table[[#This Row],[Product_Code]]
)</f>
        <v>1</v>
      </c>
      <c r="K1372" s="4">
        <f>SUMIFS(
  Exchange_Return[Qty],
  Exchange_Return[Product_Code], Stock_Table[[#This Row],[Product_Code]]
)</f>
        <v>0</v>
      </c>
      <c r="L1372" s="4">
        <f>I1372-J1372+K1372</f>
        <v>4</v>
      </c>
      <c r="M1372" s="2" t="str" cm="1">
        <f t="array" ref="M1372">_xlfn.IFS(L1372=0,"Out of Stock",L1372&gt;=2,"Limited Stock",L1372&lt;2,"In Stock")</f>
        <v>Limited Stock</v>
      </c>
    </row>
    <row r="1373" spans="2:13">
      <c r="B1373" s="2" t="s">
        <v>546</v>
      </c>
      <c r="C1373" s="5" t="str">
        <f>_xlfn.XLOOKUP(B1373,Master[Product_Code],Master[Category])</f>
        <v>T-Shirt</v>
      </c>
      <c r="D1373" s="2" t="str">
        <f>_xlfn.XLOOKUP(B1373,Master[Product_Code],Master[Brand])</f>
        <v>Zara</v>
      </c>
      <c r="E1373" s="2" t="str">
        <f>_xlfn.XLOOKUP(B1373,Master[Product_Code],Master[Style])</f>
        <v>Hoodie</v>
      </c>
      <c r="F1373" s="2" t="str">
        <f>_xlfn.XLOOKUP(B1373,Master[Product_Code],Master[Fabric])</f>
        <v>Cotton Blend</v>
      </c>
      <c r="G1373" s="2" t="str">
        <f>_xlfn.XLOOKUP(B1373,Master[Product_Code],Master[Size])</f>
        <v>S</v>
      </c>
      <c r="H1373" s="2" t="str">
        <f>_xlfn.XLOOKUP(B1373,Master[Product_Code],Master[Color])</f>
        <v>Teal</v>
      </c>
      <c r="I1373" s="4">
        <f>_xlfn.XLOOKUP(B1373,Master[Product_Code],Master[Stock_Qty])</f>
        <v>4</v>
      </c>
      <c r="J1373" s="6">
        <f>SUMIFS(
  Sales_Entry[Qty],
  Sales_Entry[Product_Code], Stock_Table[[#This Row],[Product_Code]]
)</f>
        <v>1</v>
      </c>
      <c r="K1373" s="4">
        <f>SUMIFS(
  Exchange_Return[Qty],
  Exchange_Return[Product_Code], Stock_Table[[#This Row],[Product_Code]]
)</f>
        <v>0</v>
      </c>
      <c r="L1373" s="4">
        <f>I1373-J1373+K1373</f>
        <v>3</v>
      </c>
      <c r="M1373" s="2" t="str" cm="1">
        <f t="array" ref="M1373">_xlfn.IFS(L1373=0,"Out of Stock",L1373&gt;=2,"Limited Stock",L1373&lt;2,"In Stock")</f>
        <v>Limited Stock</v>
      </c>
    </row>
    <row r="1374" spans="2:13">
      <c r="B1374" s="2" t="s">
        <v>547</v>
      </c>
      <c r="C1374" s="5" t="str">
        <f>_xlfn.XLOOKUP(B1374,Master[Product_Code],Master[Category])</f>
        <v>T-Shirt</v>
      </c>
      <c r="D1374" s="2" t="str">
        <f>_xlfn.XLOOKUP(B1374,Master[Product_Code],Master[Brand])</f>
        <v>Roadster</v>
      </c>
      <c r="E1374" s="2" t="str">
        <f>_xlfn.XLOOKUP(B1374,Master[Product_Code],Master[Style])</f>
        <v>3/4 Sleeve</v>
      </c>
      <c r="F1374" s="2" t="str">
        <f>_xlfn.XLOOKUP(B1374,Master[Product_Code],Master[Fabric])</f>
        <v>Poly Cotton</v>
      </c>
      <c r="G1374" s="2" t="str">
        <f>_xlfn.XLOOKUP(B1374,Master[Product_Code],Master[Size])</f>
        <v>XXL</v>
      </c>
      <c r="H1374" s="2" t="str">
        <f>_xlfn.XLOOKUP(B1374,Master[Product_Code],Master[Color])</f>
        <v>Charcoal</v>
      </c>
      <c r="I1374" s="4">
        <f>_xlfn.XLOOKUP(B1374,Master[Product_Code],Master[Stock_Qty])</f>
        <v>6</v>
      </c>
      <c r="J1374" s="6">
        <f>SUMIFS(
  Sales_Entry[Qty],
  Sales_Entry[Product_Code], Stock_Table[[#This Row],[Product_Code]]
)</f>
        <v>1</v>
      </c>
      <c r="K1374" s="4">
        <f>SUMIFS(
  Exchange_Return[Qty],
  Exchange_Return[Product_Code], Stock_Table[[#This Row],[Product_Code]]
)</f>
        <v>0</v>
      </c>
      <c r="L1374" s="4">
        <f>I1374-J1374+K1374</f>
        <v>5</v>
      </c>
      <c r="M1374" s="2" t="str" cm="1">
        <f t="array" ref="M1374">_xlfn.IFS(L1374=0,"Out of Stock",L1374&gt;=2,"Limited Stock",L1374&lt;2,"In Stock")</f>
        <v>Limited Stock</v>
      </c>
    </row>
    <row r="1375" spans="2:13">
      <c r="B1375" s="2" t="s">
        <v>548</v>
      </c>
      <c r="C1375" s="5" t="str">
        <f>_xlfn.XLOOKUP(B1375,Master[Product_Code],Master[Category])</f>
        <v>T-Shirt</v>
      </c>
      <c r="D1375" s="2" t="str">
        <f>_xlfn.XLOOKUP(B1375,Master[Product_Code],Master[Brand])</f>
        <v>Roadster</v>
      </c>
      <c r="E1375" s="2" t="str">
        <f>_xlfn.XLOOKUP(B1375,Master[Product_Code],Master[Style])</f>
        <v>Sleeveless</v>
      </c>
      <c r="F1375" s="2" t="str">
        <f>_xlfn.XLOOKUP(B1375,Master[Product_Code],Master[Fabric])</f>
        <v>Cotton</v>
      </c>
      <c r="G1375" s="2" t="str">
        <f>_xlfn.XLOOKUP(B1375,Master[Product_Code],Master[Size])</f>
        <v>XXL</v>
      </c>
      <c r="H1375" s="2" t="str">
        <f>_xlfn.XLOOKUP(B1375,Master[Product_Code],Master[Color])</f>
        <v>Charcoal</v>
      </c>
      <c r="I1375" s="4">
        <f>_xlfn.XLOOKUP(B1375,Master[Product_Code],Master[Stock_Qty])</f>
        <v>4</v>
      </c>
      <c r="J1375" s="6">
        <f>SUMIFS(
  Sales_Entry[Qty],
  Sales_Entry[Product_Code], Stock_Table[[#This Row],[Product_Code]]
)</f>
        <v>1</v>
      </c>
      <c r="K1375" s="4">
        <f>SUMIFS(
  Exchange_Return[Qty],
  Exchange_Return[Product_Code], Stock_Table[[#This Row],[Product_Code]]
)</f>
        <v>0</v>
      </c>
      <c r="L1375" s="4">
        <f>I1375-J1375+K1375</f>
        <v>3</v>
      </c>
      <c r="M1375" s="2" t="str" cm="1">
        <f t="array" ref="M1375">_xlfn.IFS(L1375=0,"Out of Stock",L1375&gt;=2,"Limited Stock",L1375&lt;2,"In Stock")</f>
        <v>Limited Stock</v>
      </c>
    </row>
    <row r="1376" spans="2:13">
      <c r="B1376" s="2" t="s">
        <v>549</v>
      </c>
      <c r="C1376" s="5" t="str">
        <f>_xlfn.XLOOKUP(B1376,Master[Product_Code],Master[Category])</f>
        <v>T-Shirt</v>
      </c>
      <c r="D1376" s="2" t="str">
        <f>_xlfn.XLOOKUP(B1376,Master[Product_Code],Master[Brand])</f>
        <v>Max</v>
      </c>
      <c r="E1376" s="2" t="str">
        <f>_xlfn.XLOOKUP(B1376,Master[Product_Code],Master[Style])</f>
        <v>Half Sleeve</v>
      </c>
      <c r="F1376" s="2" t="str">
        <f>_xlfn.XLOOKUP(B1376,Master[Product_Code],Master[Fabric])</f>
        <v>Cotton</v>
      </c>
      <c r="G1376" s="2" t="str">
        <f>_xlfn.XLOOKUP(B1376,Master[Product_Code],Master[Size])</f>
        <v>XXL</v>
      </c>
      <c r="H1376" s="2" t="str">
        <f>_xlfn.XLOOKUP(B1376,Master[Product_Code],Master[Color])</f>
        <v>Teal</v>
      </c>
      <c r="I1376" s="4">
        <f>_xlfn.XLOOKUP(B1376,Master[Product_Code],Master[Stock_Qty])</f>
        <v>3</v>
      </c>
      <c r="J1376" s="6">
        <f>SUMIFS(
  Sales_Entry[Qty],
  Sales_Entry[Product_Code], Stock_Table[[#This Row],[Product_Code]]
)</f>
        <v>3</v>
      </c>
      <c r="K1376" s="4">
        <f>SUMIFS(
  Exchange_Return[Qty],
  Exchange_Return[Product_Code], Stock_Table[[#This Row],[Product_Code]]
)</f>
        <v>0</v>
      </c>
      <c r="L1376" s="4">
        <f>I1376-J1376+K1376</f>
        <v>0</v>
      </c>
      <c r="M1376" s="2" t="str" cm="1">
        <f t="array" ref="M1376">_xlfn.IFS(L1376=0,"Out of Stock",L1376&gt;=2,"Limited Stock",L1376&lt;2,"In Stock")</f>
        <v>Out of Stock</v>
      </c>
    </row>
    <row r="1377" spans="2:13">
      <c r="B1377" s="2" t="s">
        <v>550</v>
      </c>
      <c r="C1377" s="5" t="str">
        <f>_xlfn.XLOOKUP(B1377,Master[Product_Code],Master[Category])</f>
        <v>T-Shirt</v>
      </c>
      <c r="D1377" s="2" t="str">
        <f>_xlfn.XLOOKUP(B1377,Master[Product_Code],Master[Brand])</f>
        <v>Zara</v>
      </c>
      <c r="E1377" s="2" t="str">
        <f>_xlfn.XLOOKUP(B1377,Master[Product_Code],Master[Style])</f>
        <v>Sleeveless</v>
      </c>
      <c r="F1377" s="2" t="str">
        <f>_xlfn.XLOOKUP(B1377,Master[Product_Code],Master[Fabric])</f>
        <v>Poly Cotton</v>
      </c>
      <c r="G1377" s="2" t="str">
        <f>_xlfn.XLOOKUP(B1377,Master[Product_Code],Master[Size])</f>
        <v>L</v>
      </c>
      <c r="H1377" s="2" t="str">
        <f>_xlfn.XLOOKUP(B1377,Master[Product_Code],Master[Color])</f>
        <v>Sky Blue</v>
      </c>
      <c r="I1377" s="4">
        <f>_xlfn.XLOOKUP(B1377,Master[Product_Code],Master[Stock_Qty])</f>
        <v>4</v>
      </c>
      <c r="J1377" s="6">
        <f>SUMIFS(
  Sales_Entry[Qty],
  Sales_Entry[Product_Code], Stock_Table[[#This Row],[Product_Code]]
)</f>
        <v>4</v>
      </c>
      <c r="K1377" s="4">
        <f>SUMIFS(
  Exchange_Return[Qty],
  Exchange_Return[Product_Code], Stock_Table[[#This Row],[Product_Code]]
)</f>
        <v>0</v>
      </c>
      <c r="L1377" s="4">
        <f>I1377-J1377+K1377</f>
        <v>0</v>
      </c>
      <c r="M1377" s="2" t="str" cm="1">
        <f t="array" ref="M1377">_xlfn.IFS(L1377=0,"Out of Stock",L1377&gt;=2,"Limited Stock",L1377&lt;2,"In Stock")</f>
        <v>Out of Stock</v>
      </c>
    </row>
    <row r="1378" spans="2:13">
      <c r="B1378" s="2" t="s">
        <v>551</v>
      </c>
      <c r="C1378" s="5" t="str">
        <f>_xlfn.XLOOKUP(B1378,Master[Product_Code],Master[Category])</f>
        <v>T-Shirt</v>
      </c>
      <c r="D1378" s="2" t="str">
        <f>_xlfn.XLOOKUP(B1378,Master[Product_Code],Master[Brand])</f>
        <v>Turkey</v>
      </c>
      <c r="E1378" s="2" t="str">
        <f>_xlfn.XLOOKUP(B1378,Master[Product_Code],Master[Style])</f>
        <v>Sleeveless</v>
      </c>
      <c r="F1378" s="2" t="str">
        <f>_xlfn.XLOOKUP(B1378,Master[Product_Code],Master[Fabric])</f>
        <v>Cotton Blend</v>
      </c>
      <c r="G1378" s="2" t="str">
        <f>_xlfn.XLOOKUP(B1378,Master[Product_Code],Master[Size])</f>
        <v>S</v>
      </c>
      <c r="H1378" s="2" t="str">
        <f>_xlfn.XLOOKUP(B1378,Master[Product_Code],Master[Color])</f>
        <v>Maroon</v>
      </c>
      <c r="I1378" s="4">
        <f>_xlfn.XLOOKUP(B1378,Master[Product_Code],Master[Stock_Qty])</f>
        <v>5</v>
      </c>
      <c r="J1378" s="6">
        <f>SUMIFS(
  Sales_Entry[Qty],
  Sales_Entry[Product_Code], Stock_Table[[#This Row],[Product_Code]]
)</f>
        <v>2</v>
      </c>
      <c r="K1378" s="4">
        <f>SUMIFS(
  Exchange_Return[Qty],
  Exchange_Return[Product_Code], Stock_Table[[#This Row],[Product_Code]]
)</f>
        <v>0</v>
      </c>
      <c r="L1378" s="4">
        <f>I1378-J1378+K1378</f>
        <v>3</v>
      </c>
      <c r="M1378" s="2" t="str" cm="1">
        <f t="array" ref="M1378">_xlfn.IFS(L1378=0,"Out of Stock",L1378&gt;=2,"Limited Stock",L1378&lt;2,"In Stock")</f>
        <v>Limited Stock</v>
      </c>
    </row>
    <row r="1379" spans="2:13">
      <c r="B1379" s="2" t="s">
        <v>552</v>
      </c>
      <c r="C1379" s="5" t="str">
        <f>_xlfn.XLOOKUP(B1379,Master[Product_Code],Master[Category])</f>
        <v>T-Shirt</v>
      </c>
      <c r="D1379" s="2" t="str">
        <f>_xlfn.XLOOKUP(B1379,Master[Product_Code],Master[Brand])</f>
        <v>Zara</v>
      </c>
      <c r="E1379" s="2" t="str">
        <f>_xlfn.XLOOKUP(B1379,Master[Product_Code],Master[Style])</f>
        <v>Full Sleeve</v>
      </c>
      <c r="F1379" s="2" t="str">
        <f>_xlfn.XLOOKUP(B1379,Master[Product_Code],Master[Fabric])</f>
        <v>Poly Cotton</v>
      </c>
      <c r="G1379" s="2" t="str">
        <f>_xlfn.XLOOKUP(B1379,Master[Product_Code],Master[Size])</f>
        <v>XL</v>
      </c>
      <c r="H1379" s="2" t="str">
        <f>_xlfn.XLOOKUP(B1379,Master[Product_Code],Master[Color])</f>
        <v>Teal</v>
      </c>
      <c r="I1379" s="4">
        <f>_xlfn.XLOOKUP(B1379,Master[Product_Code],Master[Stock_Qty])</f>
        <v>6</v>
      </c>
      <c r="J1379" s="6">
        <f>SUMIFS(
  Sales_Entry[Qty],
  Sales_Entry[Product_Code], Stock_Table[[#This Row],[Product_Code]]
)</f>
        <v>1</v>
      </c>
      <c r="K1379" s="4">
        <f>SUMIFS(
  Exchange_Return[Qty],
  Exchange_Return[Product_Code], Stock_Table[[#This Row],[Product_Code]]
)</f>
        <v>0</v>
      </c>
      <c r="L1379" s="4">
        <f>I1379-J1379+K1379</f>
        <v>5</v>
      </c>
      <c r="M1379" s="2" t="str" cm="1">
        <f t="array" ref="M1379">_xlfn.IFS(L1379=0,"Out of Stock",L1379&gt;=2,"Limited Stock",L1379&lt;2,"In Stock")</f>
        <v>Limited Stock</v>
      </c>
    </row>
    <row r="1380" spans="2:13">
      <c r="B1380" s="2" t="s">
        <v>553</v>
      </c>
      <c r="C1380" s="5" t="str">
        <f>_xlfn.XLOOKUP(B1380,Master[Product_Code],Master[Category])</f>
        <v>T-Shirt</v>
      </c>
      <c r="D1380" s="2" t="str">
        <f>_xlfn.XLOOKUP(B1380,Master[Product_Code],Master[Brand])</f>
        <v>Zara</v>
      </c>
      <c r="E1380" s="2" t="str">
        <f>_xlfn.XLOOKUP(B1380,Master[Product_Code],Master[Style])</f>
        <v>Hoodie</v>
      </c>
      <c r="F1380" s="2" t="str">
        <f>_xlfn.XLOOKUP(B1380,Master[Product_Code],Master[Fabric])</f>
        <v>Cotton</v>
      </c>
      <c r="G1380" s="2" t="str">
        <f>_xlfn.XLOOKUP(B1380,Master[Product_Code],Master[Size])</f>
        <v>XXL</v>
      </c>
      <c r="H1380" s="2" t="str">
        <f>_xlfn.XLOOKUP(B1380,Master[Product_Code],Master[Color])</f>
        <v>Maroon</v>
      </c>
      <c r="I1380" s="4">
        <f>_xlfn.XLOOKUP(B1380,Master[Product_Code],Master[Stock_Qty])</f>
        <v>6</v>
      </c>
      <c r="J1380" s="6">
        <f>SUMIFS(
  Sales_Entry[Qty],
  Sales_Entry[Product_Code], Stock_Table[[#This Row],[Product_Code]]
)</f>
        <v>1</v>
      </c>
      <c r="K1380" s="4">
        <f>SUMIFS(
  Exchange_Return[Qty],
  Exchange_Return[Product_Code], Stock_Table[[#This Row],[Product_Code]]
)</f>
        <v>0</v>
      </c>
      <c r="L1380" s="4">
        <f>I1380-J1380+K1380</f>
        <v>5</v>
      </c>
      <c r="M1380" s="2" t="str" cm="1">
        <f t="array" ref="M1380">_xlfn.IFS(L1380=0,"Out of Stock",L1380&gt;=2,"Limited Stock",L1380&lt;2,"In Stock")</f>
        <v>Limited Stock</v>
      </c>
    </row>
    <row r="1381" spans="2:13">
      <c r="B1381" s="2" t="s">
        <v>554</v>
      </c>
      <c r="C1381" s="5" t="str">
        <f>_xlfn.XLOOKUP(B1381,Master[Product_Code],Master[Category])</f>
        <v>T-Shirt</v>
      </c>
      <c r="D1381" s="2" t="str">
        <f>_xlfn.XLOOKUP(B1381,Master[Product_Code],Master[Brand])</f>
        <v>Roadster</v>
      </c>
      <c r="E1381" s="2" t="str">
        <f>_xlfn.XLOOKUP(B1381,Master[Product_Code],Master[Style])</f>
        <v>Hoodie</v>
      </c>
      <c r="F1381" s="2" t="str">
        <f>_xlfn.XLOOKUP(B1381,Master[Product_Code],Master[Fabric])</f>
        <v>Cotton</v>
      </c>
      <c r="G1381" s="2" t="str">
        <f>_xlfn.XLOOKUP(B1381,Master[Product_Code],Master[Size])</f>
        <v>XL</v>
      </c>
      <c r="H1381" s="2" t="str">
        <f>_xlfn.XLOOKUP(B1381,Master[Product_Code],Master[Color])</f>
        <v>Maroon</v>
      </c>
      <c r="I1381" s="4">
        <f>_xlfn.XLOOKUP(B1381,Master[Product_Code],Master[Stock_Qty])</f>
        <v>4</v>
      </c>
      <c r="J1381" s="6">
        <f>SUMIFS(
  Sales_Entry[Qty],
  Sales_Entry[Product_Code], Stock_Table[[#This Row],[Product_Code]]
)</f>
        <v>2</v>
      </c>
      <c r="K1381" s="4">
        <f>SUMIFS(
  Exchange_Return[Qty],
  Exchange_Return[Product_Code], Stock_Table[[#This Row],[Product_Code]]
)</f>
        <v>0</v>
      </c>
      <c r="L1381" s="4">
        <f>I1381-J1381+K1381</f>
        <v>2</v>
      </c>
      <c r="M1381" s="2" t="str" cm="1">
        <f t="array" ref="M1381">_xlfn.IFS(L1381=0,"Out of Stock",L1381&gt;=2,"Limited Stock",L1381&lt;2,"In Stock")</f>
        <v>Limited Stock</v>
      </c>
    </row>
    <row r="1382" spans="2:13">
      <c r="B1382" s="2" t="s">
        <v>555</v>
      </c>
      <c r="C1382" s="5" t="str">
        <f>_xlfn.XLOOKUP(B1382,Master[Product_Code],Master[Category])</f>
        <v>T-Shirt</v>
      </c>
      <c r="D1382" s="2" t="str">
        <f>_xlfn.XLOOKUP(B1382,Master[Product_Code],Master[Brand])</f>
        <v>Thailand</v>
      </c>
      <c r="E1382" s="2" t="str">
        <f>_xlfn.XLOOKUP(B1382,Master[Product_Code],Master[Style])</f>
        <v>3/4 Sleeve</v>
      </c>
      <c r="F1382" s="2" t="str">
        <f>_xlfn.XLOOKUP(B1382,Master[Product_Code],Master[Fabric])</f>
        <v>Cotton Blend</v>
      </c>
      <c r="G1382" s="2" t="str">
        <f>_xlfn.XLOOKUP(B1382,Master[Product_Code],Master[Size])</f>
        <v>L</v>
      </c>
      <c r="H1382" s="2" t="str">
        <f>_xlfn.XLOOKUP(B1382,Master[Product_Code],Master[Color])</f>
        <v>Mustard</v>
      </c>
      <c r="I1382" s="4">
        <f>_xlfn.XLOOKUP(B1382,Master[Product_Code],Master[Stock_Qty])</f>
        <v>6</v>
      </c>
      <c r="J1382" s="6">
        <f>SUMIFS(
  Sales_Entry[Qty],
  Sales_Entry[Product_Code], Stock_Table[[#This Row],[Product_Code]]
)</f>
        <v>0</v>
      </c>
      <c r="K1382" s="4">
        <f>SUMIFS(
  Exchange_Return[Qty],
  Exchange_Return[Product_Code], Stock_Table[[#This Row],[Product_Code]]
)</f>
        <v>0</v>
      </c>
      <c r="L1382" s="4">
        <f>I1382-J1382+K1382</f>
        <v>6</v>
      </c>
      <c r="M1382" s="2" t="str" cm="1">
        <f t="array" ref="M1382">_xlfn.IFS(L1382=0,"Out of Stock",L1382&gt;=2,"Limited Stock",L1382&lt;2,"In Stock")</f>
        <v>Limited Stock</v>
      </c>
    </row>
    <row r="1383" spans="2:13">
      <c r="B1383" s="2" t="s">
        <v>556</v>
      </c>
      <c r="C1383" s="5" t="str">
        <f>_xlfn.XLOOKUP(B1383,Master[Product_Code],Master[Category])</f>
        <v>T-Shirt</v>
      </c>
      <c r="D1383" s="2" t="str">
        <f>_xlfn.XLOOKUP(B1383,Master[Product_Code],Master[Brand])</f>
        <v>Turkey</v>
      </c>
      <c r="E1383" s="2" t="str">
        <f>_xlfn.XLOOKUP(B1383,Master[Product_Code],Master[Style])</f>
        <v>Half Sleeve</v>
      </c>
      <c r="F1383" s="2" t="str">
        <f>_xlfn.XLOOKUP(B1383,Master[Product_Code],Master[Fabric])</f>
        <v>Cotton</v>
      </c>
      <c r="G1383" s="2" t="str">
        <f>_xlfn.XLOOKUP(B1383,Master[Product_Code],Master[Size])</f>
        <v>M</v>
      </c>
      <c r="H1383" s="2" t="str">
        <f>_xlfn.XLOOKUP(B1383,Master[Product_Code],Master[Color])</f>
        <v>Light Grey</v>
      </c>
      <c r="I1383" s="4">
        <f>_xlfn.XLOOKUP(B1383,Master[Product_Code],Master[Stock_Qty])</f>
        <v>3</v>
      </c>
      <c r="J1383" s="6">
        <f>SUMIFS(
  Sales_Entry[Qty],
  Sales_Entry[Product_Code], Stock_Table[[#This Row],[Product_Code]]
)</f>
        <v>3</v>
      </c>
      <c r="K1383" s="4">
        <f>SUMIFS(
  Exchange_Return[Qty],
  Exchange_Return[Product_Code], Stock_Table[[#This Row],[Product_Code]]
)</f>
        <v>0</v>
      </c>
      <c r="L1383" s="4">
        <f>I1383-J1383+K1383</f>
        <v>0</v>
      </c>
      <c r="M1383" s="2" t="str" cm="1">
        <f t="array" ref="M1383">_xlfn.IFS(L1383=0,"Out of Stock",L1383&gt;=2,"Limited Stock",L1383&lt;2,"In Stock")</f>
        <v>Out of Stock</v>
      </c>
    </row>
    <row r="1384" spans="2:13">
      <c r="B1384" s="2" t="s">
        <v>557</v>
      </c>
      <c r="C1384" s="5" t="str">
        <f>_xlfn.XLOOKUP(B1384,Master[Product_Code],Master[Category])</f>
        <v>T-Shirt</v>
      </c>
      <c r="D1384" s="2" t="str">
        <f>_xlfn.XLOOKUP(B1384,Master[Product_Code],Master[Brand])</f>
        <v>Zara</v>
      </c>
      <c r="E1384" s="2" t="str">
        <f>_xlfn.XLOOKUP(B1384,Master[Product_Code],Master[Style])</f>
        <v>Full Sleeve</v>
      </c>
      <c r="F1384" s="2" t="str">
        <f>_xlfn.XLOOKUP(B1384,Master[Product_Code],Master[Fabric])</f>
        <v>Cotton Blend</v>
      </c>
      <c r="G1384" s="2" t="str">
        <f>_xlfn.XLOOKUP(B1384,Master[Product_Code],Master[Size])</f>
        <v>XL</v>
      </c>
      <c r="H1384" s="2" t="str">
        <f>_xlfn.XLOOKUP(B1384,Master[Product_Code],Master[Color])</f>
        <v>Mustard</v>
      </c>
      <c r="I1384" s="4">
        <f>_xlfn.XLOOKUP(B1384,Master[Product_Code],Master[Stock_Qty])</f>
        <v>6</v>
      </c>
      <c r="J1384" s="6">
        <f>SUMIFS(
  Sales_Entry[Qty],
  Sales_Entry[Product_Code], Stock_Table[[#This Row],[Product_Code]]
)</f>
        <v>1</v>
      </c>
      <c r="K1384" s="4">
        <f>SUMIFS(
  Exchange_Return[Qty],
  Exchange_Return[Product_Code], Stock_Table[[#This Row],[Product_Code]]
)</f>
        <v>0</v>
      </c>
      <c r="L1384" s="4">
        <f>I1384-J1384+K1384</f>
        <v>5</v>
      </c>
      <c r="M1384" s="2" t="str" cm="1">
        <f t="array" ref="M1384">_xlfn.IFS(L1384=0,"Out of Stock",L1384&gt;=2,"Limited Stock",L1384&lt;2,"In Stock")</f>
        <v>Limited Stock</v>
      </c>
    </row>
    <row r="1385" spans="2:13">
      <c r="B1385" s="2" t="s">
        <v>558</v>
      </c>
      <c r="C1385" s="5" t="str">
        <f>_xlfn.XLOOKUP(B1385,Master[Product_Code],Master[Category])</f>
        <v>T-Shirt</v>
      </c>
      <c r="D1385" s="2" t="str">
        <f>_xlfn.XLOOKUP(B1385,Master[Product_Code],Master[Brand])</f>
        <v>Roadster</v>
      </c>
      <c r="E1385" s="2" t="str">
        <f>_xlfn.XLOOKUP(B1385,Master[Product_Code],Master[Style])</f>
        <v>3/4 Sleeve</v>
      </c>
      <c r="F1385" s="2" t="str">
        <f>_xlfn.XLOOKUP(B1385,Master[Product_Code],Master[Fabric])</f>
        <v>Cotton</v>
      </c>
      <c r="G1385" s="2" t="str">
        <f>_xlfn.XLOOKUP(B1385,Master[Product_Code],Master[Size])</f>
        <v>XL</v>
      </c>
      <c r="H1385" s="2" t="str">
        <f>_xlfn.XLOOKUP(B1385,Master[Product_Code],Master[Color])</f>
        <v>Brown</v>
      </c>
      <c r="I1385" s="4">
        <f>_xlfn.XLOOKUP(B1385,Master[Product_Code],Master[Stock_Qty])</f>
        <v>6</v>
      </c>
      <c r="J1385" s="6">
        <f>SUMIFS(
  Sales_Entry[Qty],
  Sales_Entry[Product_Code], Stock_Table[[#This Row],[Product_Code]]
)</f>
        <v>2</v>
      </c>
      <c r="K1385" s="4">
        <f>SUMIFS(
  Exchange_Return[Qty],
  Exchange_Return[Product_Code], Stock_Table[[#This Row],[Product_Code]]
)</f>
        <v>0</v>
      </c>
      <c r="L1385" s="4">
        <f>I1385-J1385+K1385</f>
        <v>4</v>
      </c>
      <c r="M1385" s="2" t="str" cm="1">
        <f t="array" ref="M1385">_xlfn.IFS(L1385=0,"Out of Stock",L1385&gt;=2,"Limited Stock",L1385&lt;2,"In Stock")</f>
        <v>Limited Stock</v>
      </c>
    </row>
    <row r="1386" spans="2:13">
      <c r="B1386" s="2" t="s">
        <v>559</v>
      </c>
      <c r="C1386" s="5" t="str">
        <f>_xlfn.XLOOKUP(B1386,Master[Product_Code],Master[Category])</f>
        <v>T-Shirt</v>
      </c>
      <c r="D1386" s="2" t="str">
        <f>_xlfn.XLOOKUP(B1386,Master[Product_Code],Master[Brand])</f>
        <v>Urban Monkey</v>
      </c>
      <c r="E1386" s="2" t="str">
        <f>_xlfn.XLOOKUP(B1386,Master[Product_Code],Master[Style])</f>
        <v>Half Sleeve</v>
      </c>
      <c r="F1386" s="2" t="str">
        <f>_xlfn.XLOOKUP(B1386,Master[Product_Code],Master[Fabric])</f>
        <v>Cotton</v>
      </c>
      <c r="G1386" s="2" t="str">
        <f>_xlfn.XLOOKUP(B1386,Master[Product_Code],Master[Size])</f>
        <v>M</v>
      </c>
      <c r="H1386" s="2" t="str">
        <f>_xlfn.XLOOKUP(B1386,Master[Product_Code],Master[Color])</f>
        <v>Brown</v>
      </c>
      <c r="I1386" s="4">
        <f>_xlfn.XLOOKUP(B1386,Master[Product_Code],Master[Stock_Qty])</f>
        <v>3</v>
      </c>
      <c r="J1386" s="6">
        <f>SUMIFS(
  Sales_Entry[Qty],
  Sales_Entry[Product_Code], Stock_Table[[#This Row],[Product_Code]]
)</f>
        <v>3</v>
      </c>
      <c r="K1386" s="4">
        <f>SUMIFS(
  Exchange_Return[Qty],
  Exchange_Return[Product_Code], Stock_Table[[#This Row],[Product_Code]]
)</f>
        <v>0</v>
      </c>
      <c r="L1386" s="4">
        <f>I1386-J1386+K1386</f>
        <v>0</v>
      </c>
      <c r="M1386" s="2" t="str" cm="1">
        <f t="array" ref="M1386">_xlfn.IFS(L1386=0,"Out of Stock",L1386&gt;=2,"Limited Stock",L1386&lt;2,"In Stock")</f>
        <v>Out of Stock</v>
      </c>
    </row>
    <row r="1387" spans="2:13">
      <c r="B1387" s="2" t="s">
        <v>560</v>
      </c>
      <c r="C1387" s="5" t="str">
        <f>_xlfn.XLOOKUP(B1387,Master[Product_Code],Master[Category])</f>
        <v>T-Shirt</v>
      </c>
      <c r="D1387" s="2" t="str">
        <f>_xlfn.XLOOKUP(B1387,Master[Product_Code],Master[Brand])</f>
        <v>Urban Monkey</v>
      </c>
      <c r="E1387" s="2" t="str">
        <f>_xlfn.XLOOKUP(B1387,Master[Product_Code],Master[Style])</f>
        <v>3/4 Sleeve</v>
      </c>
      <c r="F1387" s="2" t="str">
        <f>_xlfn.XLOOKUP(B1387,Master[Product_Code],Master[Fabric])</f>
        <v>Cotton</v>
      </c>
      <c r="G1387" s="2" t="str">
        <f>_xlfn.XLOOKUP(B1387,Master[Product_Code],Master[Size])</f>
        <v>S</v>
      </c>
      <c r="H1387" s="2" t="str">
        <f>_xlfn.XLOOKUP(B1387,Master[Product_Code],Master[Color])</f>
        <v>Charcoal</v>
      </c>
      <c r="I1387" s="4">
        <f>_xlfn.XLOOKUP(B1387,Master[Product_Code],Master[Stock_Qty])</f>
        <v>5</v>
      </c>
      <c r="J1387" s="6">
        <f>SUMIFS(
  Sales_Entry[Qty],
  Sales_Entry[Product_Code], Stock_Table[[#This Row],[Product_Code]]
)</f>
        <v>4</v>
      </c>
      <c r="K1387" s="4">
        <f>SUMIFS(
  Exchange_Return[Qty],
  Exchange_Return[Product_Code], Stock_Table[[#This Row],[Product_Code]]
)</f>
        <v>0</v>
      </c>
      <c r="L1387" s="4">
        <f>I1387-J1387+K1387</f>
        <v>1</v>
      </c>
      <c r="M1387" s="2" t="str" cm="1">
        <f t="array" ref="M1387">_xlfn.IFS(L1387=0,"Out of Stock",L1387&gt;=2,"Limited Stock",L1387&lt;2,"In Stock")</f>
        <v>In Stock</v>
      </c>
    </row>
    <row r="1388" spans="2:13">
      <c r="B1388" s="2" t="s">
        <v>561</v>
      </c>
      <c r="C1388" s="5" t="str">
        <f>_xlfn.XLOOKUP(B1388,Master[Product_Code],Master[Category])</f>
        <v>T-Shirt</v>
      </c>
      <c r="D1388" s="2" t="str">
        <f>_xlfn.XLOOKUP(B1388,Master[Product_Code],Master[Brand])</f>
        <v>Roadster</v>
      </c>
      <c r="E1388" s="2" t="str">
        <f>_xlfn.XLOOKUP(B1388,Master[Product_Code],Master[Style])</f>
        <v>Half Sleeve</v>
      </c>
      <c r="F1388" s="2" t="str">
        <f>_xlfn.XLOOKUP(B1388,Master[Product_Code],Master[Fabric])</f>
        <v>Poly Cotton</v>
      </c>
      <c r="G1388" s="2" t="str">
        <f>_xlfn.XLOOKUP(B1388,Master[Product_Code],Master[Size])</f>
        <v>L</v>
      </c>
      <c r="H1388" s="2" t="str">
        <f>_xlfn.XLOOKUP(B1388,Master[Product_Code],Master[Color])</f>
        <v>Beige</v>
      </c>
      <c r="I1388" s="4">
        <f>_xlfn.XLOOKUP(B1388,Master[Product_Code],Master[Stock_Qty])</f>
        <v>4</v>
      </c>
      <c r="J1388" s="6">
        <f>SUMIFS(
  Sales_Entry[Qty],
  Sales_Entry[Product_Code], Stock_Table[[#This Row],[Product_Code]]
)</f>
        <v>1</v>
      </c>
      <c r="K1388" s="4">
        <f>SUMIFS(
  Exchange_Return[Qty],
  Exchange_Return[Product_Code], Stock_Table[[#This Row],[Product_Code]]
)</f>
        <v>0</v>
      </c>
      <c r="L1388" s="4">
        <f>I1388-J1388+K1388</f>
        <v>3</v>
      </c>
      <c r="M1388" s="2" t="str" cm="1">
        <f t="array" ref="M1388">_xlfn.IFS(L1388=0,"Out of Stock",L1388&gt;=2,"Limited Stock",L1388&lt;2,"In Stock")</f>
        <v>Limited Stock</v>
      </c>
    </row>
    <row r="1389" spans="2:13">
      <c r="B1389" s="2" t="s">
        <v>562</v>
      </c>
      <c r="C1389" s="5" t="str">
        <f>_xlfn.XLOOKUP(B1389,Master[Product_Code],Master[Category])</f>
        <v>T-Shirt</v>
      </c>
      <c r="D1389" s="2" t="str">
        <f>_xlfn.XLOOKUP(B1389,Master[Product_Code],Master[Brand])</f>
        <v>Max</v>
      </c>
      <c r="E1389" s="2" t="str">
        <f>_xlfn.XLOOKUP(B1389,Master[Product_Code],Master[Style])</f>
        <v>Sleeveless</v>
      </c>
      <c r="F1389" s="2" t="str">
        <f>_xlfn.XLOOKUP(B1389,Master[Product_Code],Master[Fabric])</f>
        <v>Poly Cotton</v>
      </c>
      <c r="G1389" s="2" t="str">
        <f>_xlfn.XLOOKUP(B1389,Master[Product_Code],Master[Size])</f>
        <v>XXL</v>
      </c>
      <c r="H1389" s="2" t="str">
        <f>_xlfn.XLOOKUP(B1389,Master[Product_Code],Master[Color])</f>
        <v>Charcoal</v>
      </c>
      <c r="I1389" s="4">
        <f>_xlfn.XLOOKUP(B1389,Master[Product_Code],Master[Stock_Qty])</f>
        <v>3</v>
      </c>
      <c r="J1389" s="6">
        <f>SUMIFS(
  Sales_Entry[Qty],
  Sales_Entry[Product_Code], Stock_Table[[#This Row],[Product_Code]]
)</f>
        <v>1</v>
      </c>
      <c r="K1389" s="4">
        <f>SUMIFS(
  Exchange_Return[Qty],
  Exchange_Return[Product_Code], Stock_Table[[#This Row],[Product_Code]]
)</f>
        <v>0</v>
      </c>
      <c r="L1389" s="4">
        <f>I1389-J1389+K1389</f>
        <v>2</v>
      </c>
      <c r="M1389" s="2" t="str" cm="1">
        <f t="array" ref="M1389">_xlfn.IFS(L1389=0,"Out of Stock",L1389&gt;=2,"Limited Stock",L1389&lt;2,"In Stock")</f>
        <v>Limited Stock</v>
      </c>
    </row>
    <row r="1390" spans="2:13">
      <c r="B1390" s="2" t="s">
        <v>563</v>
      </c>
      <c r="C1390" s="5" t="str">
        <f>_xlfn.XLOOKUP(B1390,Master[Product_Code],Master[Category])</f>
        <v>T-Shirt</v>
      </c>
      <c r="D1390" s="2" t="str">
        <f>_xlfn.XLOOKUP(B1390,Master[Product_Code],Master[Brand])</f>
        <v>Zara</v>
      </c>
      <c r="E1390" s="2" t="str">
        <f>_xlfn.XLOOKUP(B1390,Master[Product_Code],Master[Style])</f>
        <v>Full Sleeve</v>
      </c>
      <c r="F1390" s="2" t="str">
        <f>_xlfn.XLOOKUP(B1390,Master[Product_Code],Master[Fabric])</f>
        <v>Cotton</v>
      </c>
      <c r="G1390" s="2" t="str">
        <f>_xlfn.XLOOKUP(B1390,Master[Product_Code],Master[Size])</f>
        <v>S</v>
      </c>
      <c r="H1390" s="2" t="str">
        <f>_xlfn.XLOOKUP(B1390,Master[Product_Code],Master[Color])</f>
        <v>White</v>
      </c>
      <c r="I1390" s="4">
        <f>_xlfn.XLOOKUP(B1390,Master[Product_Code],Master[Stock_Qty])</f>
        <v>4</v>
      </c>
      <c r="J1390" s="6">
        <f>SUMIFS(
  Sales_Entry[Qty],
  Sales_Entry[Product_Code], Stock_Table[[#This Row],[Product_Code]]
)</f>
        <v>4</v>
      </c>
      <c r="K1390" s="4">
        <f>SUMIFS(
  Exchange_Return[Qty],
  Exchange_Return[Product_Code], Stock_Table[[#This Row],[Product_Code]]
)</f>
        <v>0</v>
      </c>
      <c r="L1390" s="4">
        <f>I1390-J1390+K1390</f>
        <v>0</v>
      </c>
      <c r="M1390" s="2" t="str" cm="1">
        <f t="array" ref="M1390">_xlfn.IFS(L1390=0,"Out of Stock",L1390&gt;=2,"Limited Stock",L1390&lt;2,"In Stock")</f>
        <v>Out of Stock</v>
      </c>
    </row>
    <row r="1391" spans="2:13">
      <c r="B1391" s="2" t="s">
        <v>564</v>
      </c>
      <c r="C1391" s="5" t="str">
        <f>_xlfn.XLOOKUP(B1391,Master[Product_Code],Master[Category])</f>
        <v>T-Shirt</v>
      </c>
      <c r="D1391" s="2" t="str">
        <f>_xlfn.XLOOKUP(B1391,Master[Product_Code],Master[Brand])</f>
        <v>Turkey</v>
      </c>
      <c r="E1391" s="2" t="str">
        <f>_xlfn.XLOOKUP(B1391,Master[Product_Code],Master[Style])</f>
        <v>Sleeveless</v>
      </c>
      <c r="F1391" s="2" t="str">
        <f>_xlfn.XLOOKUP(B1391,Master[Product_Code],Master[Fabric])</f>
        <v>Cotton Blend</v>
      </c>
      <c r="G1391" s="2" t="str">
        <f>_xlfn.XLOOKUP(B1391,Master[Product_Code],Master[Size])</f>
        <v>S</v>
      </c>
      <c r="H1391" s="2" t="str">
        <f>_xlfn.XLOOKUP(B1391,Master[Product_Code],Master[Color])</f>
        <v>Light Grey</v>
      </c>
      <c r="I1391" s="4">
        <f>_xlfn.XLOOKUP(B1391,Master[Product_Code],Master[Stock_Qty])</f>
        <v>5</v>
      </c>
      <c r="J1391" s="6">
        <f>SUMIFS(
  Sales_Entry[Qty],
  Sales_Entry[Product_Code], Stock_Table[[#This Row],[Product_Code]]
)</f>
        <v>3</v>
      </c>
      <c r="K1391" s="4">
        <f>SUMIFS(
  Exchange_Return[Qty],
  Exchange_Return[Product_Code], Stock_Table[[#This Row],[Product_Code]]
)</f>
        <v>0</v>
      </c>
      <c r="L1391" s="4">
        <f>I1391-J1391+K1391</f>
        <v>2</v>
      </c>
      <c r="M1391" s="2" t="str" cm="1">
        <f t="array" ref="M1391">_xlfn.IFS(L1391=0,"Out of Stock",L1391&gt;=2,"Limited Stock",L1391&lt;2,"In Stock")</f>
        <v>Limited Stock</v>
      </c>
    </row>
    <row r="1392" spans="2:13">
      <c r="B1392" s="2" t="s">
        <v>565</v>
      </c>
      <c r="C1392" s="5" t="str">
        <f>_xlfn.XLOOKUP(B1392,Master[Product_Code],Master[Category])</f>
        <v>T-Shirt</v>
      </c>
      <c r="D1392" s="2" t="str">
        <f>_xlfn.XLOOKUP(B1392,Master[Product_Code],Master[Brand])</f>
        <v>Zara</v>
      </c>
      <c r="E1392" s="2" t="str">
        <f>_xlfn.XLOOKUP(B1392,Master[Product_Code],Master[Style])</f>
        <v>Half Sleeve</v>
      </c>
      <c r="F1392" s="2" t="str">
        <f>_xlfn.XLOOKUP(B1392,Master[Product_Code],Master[Fabric])</f>
        <v>Cotton</v>
      </c>
      <c r="G1392" s="2" t="str">
        <f>_xlfn.XLOOKUP(B1392,Master[Product_Code],Master[Size])</f>
        <v>XL</v>
      </c>
      <c r="H1392" s="2" t="str">
        <f>_xlfn.XLOOKUP(B1392,Master[Product_Code],Master[Color])</f>
        <v>Maroon</v>
      </c>
      <c r="I1392" s="4">
        <f>_xlfn.XLOOKUP(B1392,Master[Product_Code],Master[Stock_Qty])</f>
        <v>3</v>
      </c>
      <c r="J1392" s="6">
        <f>SUMIFS(
  Sales_Entry[Qty],
  Sales_Entry[Product_Code], Stock_Table[[#This Row],[Product_Code]]
)</f>
        <v>0</v>
      </c>
      <c r="K1392" s="4">
        <f>SUMIFS(
  Exchange_Return[Qty],
  Exchange_Return[Product_Code], Stock_Table[[#This Row],[Product_Code]]
)</f>
        <v>0</v>
      </c>
      <c r="L1392" s="4">
        <f>I1392-J1392+K1392</f>
        <v>3</v>
      </c>
      <c r="M1392" s="2" t="str" cm="1">
        <f t="array" ref="M1392">_xlfn.IFS(L1392=0,"Out of Stock",L1392&gt;=2,"Limited Stock",L1392&lt;2,"In Stock")</f>
        <v>Limited Stock</v>
      </c>
    </row>
    <row r="1393" spans="2:13">
      <c r="B1393" s="2" t="s">
        <v>566</v>
      </c>
      <c r="C1393" s="5" t="str">
        <f>_xlfn.XLOOKUP(B1393,Master[Product_Code],Master[Category])</f>
        <v>T-Shirt</v>
      </c>
      <c r="D1393" s="2" t="str">
        <f>_xlfn.XLOOKUP(B1393,Master[Product_Code],Master[Brand])</f>
        <v>Zara</v>
      </c>
      <c r="E1393" s="2" t="str">
        <f>_xlfn.XLOOKUP(B1393,Master[Product_Code],Master[Style])</f>
        <v>Half Sleeve</v>
      </c>
      <c r="F1393" s="2" t="str">
        <f>_xlfn.XLOOKUP(B1393,Master[Product_Code],Master[Fabric])</f>
        <v>Cotton Blend</v>
      </c>
      <c r="G1393" s="2" t="str">
        <f>_xlfn.XLOOKUP(B1393,Master[Product_Code],Master[Size])</f>
        <v>S</v>
      </c>
      <c r="H1393" s="2" t="str">
        <f>_xlfn.XLOOKUP(B1393,Master[Product_Code],Master[Color])</f>
        <v>Olive</v>
      </c>
      <c r="I1393" s="4">
        <f>_xlfn.XLOOKUP(B1393,Master[Product_Code],Master[Stock_Qty])</f>
        <v>6</v>
      </c>
      <c r="J1393" s="6">
        <f>SUMIFS(
  Sales_Entry[Qty],
  Sales_Entry[Product_Code], Stock_Table[[#This Row],[Product_Code]]
)</f>
        <v>1</v>
      </c>
      <c r="K1393" s="4">
        <f>SUMIFS(
  Exchange_Return[Qty],
  Exchange_Return[Product_Code], Stock_Table[[#This Row],[Product_Code]]
)</f>
        <v>0</v>
      </c>
      <c r="L1393" s="4">
        <f>I1393-J1393+K1393</f>
        <v>5</v>
      </c>
      <c r="M1393" s="2" t="str" cm="1">
        <f t="array" ref="M1393">_xlfn.IFS(L1393=0,"Out of Stock",L1393&gt;=2,"Limited Stock",L1393&lt;2,"In Stock")</f>
        <v>Limited Stock</v>
      </c>
    </row>
    <row r="1394" spans="2:13">
      <c r="B1394" s="2" t="s">
        <v>567</v>
      </c>
      <c r="C1394" s="5" t="str">
        <f>_xlfn.XLOOKUP(B1394,Master[Product_Code],Master[Category])</f>
        <v>T-Shirt</v>
      </c>
      <c r="D1394" s="2" t="str">
        <f>_xlfn.XLOOKUP(B1394,Master[Product_Code],Master[Brand])</f>
        <v>Max</v>
      </c>
      <c r="E1394" s="2" t="str">
        <f>_xlfn.XLOOKUP(B1394,Master[Product_Code],Master[Style])</f>
        <v>Sleeveless</v>
      </c>
      <c r="F1394" s="2" t="str">
        <f>_xlfn.XLOOKUP(B1394,Master[Product_Code],Master[Fabric])</f>
        <v>Cotton</v>
      </c>
      <c r="G1394" s="2" t="str">
        <f>_xlfn.XLOOKUP(B1394,Master[Product_Code],Master[Size])</f>
        <v>XL</v>
      </c>
      <c r="H1394" s="2" t="str">
        <f>_xlfn.XLOOKUP(B1394,Master[Product_Code],Master[Color])</f>
        <v>Bottle Green</v>
      </c>
      <c r="I1394" s="4">
        <f>_xlfn.XLOOKUP(B1394,Master[Product_Code],Master[Stock_Qty])</f>
        <v>4</v>
      </c>
      <c r="J1394" s="6">
        <f>SUMIFS(
  Sales_Entry[Qty],
  Sales_Entry[Product_Code], Stock_Table[[#This Row],[Product_Code]]
)</f>
        <v>2</v>
      </c>
      <c r="K1394" s="4">
        <f>SUMIFS(
  Exchange_Return[Qty],
  Exchange_Return[Product_Code], Stock_Table[[#This Row],[Product_Code]]
)</f>
        <v>0</v>
      </c>
      <c r="L1394" s="4">
        <f>I1394-J1394+K1394</f>
        <v>2</v>
      </c>
      <c r="M1394" s="2" t="str" cm="1">
        <f t="array" ref="M1394">_xlfn.IFS(L1394=0,"Out of Stock",L1394&gt;=2,"Limited Stock",L1394&lt;2,"In Stock")</f>
        <v>Limited Stock</v>
      </c>
    </row>
    <row r="1395" spans="2:13">
      <c r="B1395" s="2" t="s">
        <v>568</v>
      </c>
      <c r="C1395" s="5" t="str">
        <f>_xlfn.XLOOKUP(B1395,Master[Product_Code],Master[Category])</f>
        <v>T-Shirt</v>
      </c>
      <c r="D1395" s="2" t="str">
        <f>_xlfn.XLOOKUP(B1395,Master[Product_Code],Master[Brand])</f>
        <v>Turkey</v>
      </c>
      <c r="E1395" s="2" t="str">
        <f>_xlfn.XLOOKUP(B1395,Master[Product_Code],Master[Style])</f>
        <v>Full Sleeve</v>
      </c>
      <c r="F1395" s="2" t="str">
        <f>_xlfn.XLOOKUP(B1395,Master[Product_Code],Master[Fabric])</f>
        <v>Cotton Blend</v>
      </c>
      <c r="G1395" s="2" t="str">
        <f>_xlfn.XLOOKUP(B1395,Master[Product_Code],Master[Size])</f>
        <v>L</v>
      </c>
      <c r="H1395" s="2" t="str">
        <f>_xlfn.XLOOKUP(B1395,Master[Product_Code],Master[Color])</f>
        <v>Cream</v>
      </c>
      <c r="I1395" s="4">
        <f>_xlfn.XLOOKUP(B1395,Master[Product_Code],Master[Stock_Qty])</f>
        <v>4</v>
      </c>
      <c r="J1395" s="6">
        <f>SUMIFS(
  Sales_Entry[Qty],
  Sales_Entry[Product_Code], Stock_Table[[#This Row],[Product_Code]]
)</f>
        <v>2</v>
      </c>
      <c r="K1395" s="4">
        <f>SUMIFS(
  Exchange_Return[Qty],
  Exchange_Return[Product_Code], Stock_Table[[#This Row],[Product_Code]]
)</f>
        <v>0</v>
      </c>
      <c r="L1395" s="4">
        <f>I1395-J1395+K1395</f>
        <v>2</v>
      </c>
      <c r="M1395" s="2" t="str" cm="1">
        <f t="array" ref="M1395">_xlfn.IFS(L1395=0,"Out of Stock",L1395&gt;=2,"Limited Stock",L1395&lt;2,"In Stock")</f>
        <v>Limited Stock</v>
      </c>
    </row>
    <row r="1396" spans="2:13">
      <c r="B1396" s="2" t="s">
        <v>569</v>
      </c>
      <c r="C1396" s="5" t="str">
        <f>_xlfn.XLOOKUP(B1396,Master[Product_Code],Master[Category])</f>
        <v>T-Shirt</v>
      </c>
      <c r="D1396" s="2" t="str">
        <f>_xlfn.XLOOKUP(B1396,Master[Product_Code],Master[Brand])</f>
        <v>Roadster</v>
      </c>
      <c r="E1396" s="2" t="str">
        <f>_xlfn.XLOOKUP(B1396,Master[Product_Code],Master[Style])</f>
        <v>Hoodie</v>
      </c>
      <c r="F1396" s="2" t="str">
        <f>_xlfn.XLOOKUP(B1396,Master[Product_Code],Master[Fabric])</f>
        <v>Poly Cotton</v>
      </c>
      <c r="G1396" s="2" t="str">
        <f>_xlfn.XLOOKUP(B1396,Master[Product_Code],Master[Size])</f>
        <v>M</v>
      </c>
      <c r="H1396" s="2" t="str">
        <f>_xlfn.XLOOKUP(B1396,Master[Product_Code],Master[Color])</f>
        <v>Brown</v>
      </c>
      <c r="I1396" s="4">
        <f>_xlfn.XLOOKUP(B1396,Master[Product_Code],Master[Stock_Qty])</f>
        <v>6</v>
      </c>
      <c r="J1396" s="6">
        <f>SUMIFS(
  Sales_Entry[Qty],
  Sales_Entry[Product_Code], Stock_Table[[#This Row],[Product_Code]]
)</f>
        <v>2</v>
      </c>
      <c r="K1396" s="4">
        <f>SUMIFS(
  Exchange_Return[Qty],
  Exchange_Return[Product_Code], Stock_Table[[#This Row],[Product_Code]]
)</f>
        <v>0</v>
      </c>
      <c r="L1396" s="4">
        <f>I1396-J1396+K1396</f>
        <v>4</v>
      </c>
      <c r="M1396" s="2" t="str" cm="1">
        <f t="array" ref="M1396">_xlfn.IFS(L1396=0,"Out of Stock",L1396&gt;=2,"Limited Stock",L1396&lt;2,"In Stock")</f>
        <v>Limited Stock</v>
      </c>
    </row>
    <row r="1397" spans="2:13">
      <c r="B1397" s="2" t="s">
        <v>570</v>
      </c>
      <c r="C1397" s="5" t="str">
        <f>_xlfn.XLOOKUP(B1397,Master[Product_Code],Master[Category])</f>
        <v>T-Shirt</v>
      </c>
      <c r="D1397" s="2" t="str">
        <f>_xlfn.XLOOKUP(B1397,Master[Product_Code],Master[Brand])</f>
        <v>Roadster</v>
      </c>
      <c r="E1397" s="2" t="str">
        <f>_xlfn.XLOOKUP(B1397,Master[Product_Code],Master[Style])</f>
        <v>Sleeveless</v>
      </c>
      <c r="F1397" s="2" t="str">
        <f>_xlfn.XLOOKUP(B1397,Master[Product_Code],Master[Fabric])</f>
        <v>Cotton</v>
      </c>
      <c r="G1397" s="2" t="str">
        <f>_xlfn.XLOOKUP(B1397,Master[Product_Code],Master[Size])</f>
        <v>S</v>
      </c>
      <c r="H1397" s="2" t="str">
        <f>_xlfn.XLOOKUP(B1397,Master[Product_Code],Master[Color])</f>
        <v>Beige</v>
      </c>
      <c r="I1397" s="4">
        <f>_xlfn.XLOOKUP(B1397,Master[Product_Code],Master[Stock_Qty])</f>
        <v>6</v>
      </c>
      <c r="J1397" s="6">
        <f>SUMIFS(
  Sales_Entry[Qty],
  Sales_Entry[Product_Code], Stock_Table[[#This Row],[Product_Code]]
)</f>
        <v>2</v>
      </c>
      <c r="K1397" s="4">
        <f>SUMIFS(
  Exchange_Return[Qty],
  Exchange_Return[Product_Code], Stock_Table[[#This Row],[Product_Code]]
)</f>
        <v>0</v>
      </c>
      <c r="L1397" s="4">
        <f>I1397-J1397+K1397</f>
        <v>4</v>
      </c>
      <c r="M1397" s="2" t="str" cm="1">
        <f t="array" ref="M1397">_xlfn.IFS(L1397=0,"Out of Stock",L1397&gt;=2,"Limited Stock",L1397&lt;2,"In Stock")</f>
        <v>Limited Stock</v>
      </c>
    </row>
    <row r="1398" spans="2:13">
      <c r="B1398" s="2" t="s">
        <v>571</v>
      </c>
      <c r="C1398" s="5" t="str">
        <f>_xlfn.XLOOKUP(B1398,Master[Product_Code],Master[Category])</f>
        <v>T-Shirt</v>
      </c>
      <c r="D1398" s="2" t="str">
        <f>_xlfn.XLOOKUP(B1398,Master[Product_Code],Master[Brand])</f>
        <v>Max</v>
      </c>
      <c r="E1398" s="2" t="str">
        <f>_xlfn.XLOOKUP(B1398,Master[Product_Code],Master[Style])</f>
        <v>Full Sleeve</v>
      </c>
      <c r="F1398" s="2" t="str">
        <f>_xlfn.XLOOKUP(B1398,Master[Product_Code],Master[Fabric])</f>
        <v>Poly Cotton</v>
      </c>
      <c r="G1398" s="2" t="str">
        <f>_xlfn.XLOOKUP(B1398,Master[Product_Code],Master[Size])</f>
        <v>XXL</v>
      </c>
      <c r="H1398" s="2" t="str">
        <f>_xlfn.XLOOKUP(B1398,Master[Product_Code],Master[Color])</f>
        <v>Charcoal</v>
      </c>
      <c r="I1398" s="4">
        <f>_xlfn.XLOOKUP(B1398,Master[Product_Code],Master[Stock_Qty])</f>
        <v>3</v>
      </c>
      <c r="J1398" s="6">
        <f>SUMIFS(
  Sales_Entry[Qty],
  Sales_Entry[Product_Code], Stock_Table[[#This Row],[Product_Code]]
)</f>
        <v>2</v>
      </c>
      <c r="K1398" s="4">
        <f>SUMIFS(
  Exchange_Return[Qty],
  Exchange_Return[Product_Code], Stock_Table[[#This Row],[Product_Code]]
)</f>
        <v>0</v>
      </c>
      <c r="L1398" s="4">
        <f>I1398-J1398+K1398</f>
        <v>1</v>
      </c>
      <c r="M1398" s="2" t="str" cm="1">
        <f t="array" ref="M1398">_xlfn.IFS(L1398=0,"Out of Stock",L1398&gt;=2,"Limited Stock",L1398&lt;2,"In Stock")</f>
        <v>In Stock</v>
      </c>
    </row>
    <row r="1399" spans="2:13">
      <c r="B1399" s="2" t="s">
        <v>572</v>
      </c>
      <c r="C1399" s="5" t="str">
        <f>_xlfn.XLOOKUP(B1399,Master[Product_Code],Master[Category])</f>
        <v>T-Shirt</v>
      </c>
      <c r="D1399" s="2" t="str">
        <f>_xlfn.XLOOKUP(B1399,Master[Product_Code],Master[Brand])</f>
        <v>Urban Monkey</v>
      </c>
      <c r="E1399" s="2" t="str">
        <f>_xlfn.XLOOKUP(B1399,Master[Product_Code],Master[Style])</f>
        <v>3/4 Sleeve</v>
      </c>
      <c r="F1399" s="2" t="str">
        <f>_xlfn.XLOOKUP(B1399,Master[Product_Code],Master[Fabric])</f>
        <v>Cotton Blend</v>
      </c>
      <c r="G1399" s="2" t="str">
        <f>_xlfn.XLOOKUP(B1399,Master[Product_Code],Master[Size])</f>
        <v>XXL</v>
      </c>
      <c r="H1399" s="2" t="str">
        <f>_xlfn.XLOOKUP(B1399,Master[Product_Code],Master[Color])</f>
        <v>Peach</v>
      </c>
      <c r="I1399" s="4">
        <f>_xlfn.XLOOKUP(B1399,Master[Product_Code],Master[Stock_Qty])</f>
        <v>5</v>
      </c>
      <c r="J1399" s="6">
        <f>SUMIFS(
  Sales_Entry[Qty],
  Sales_Entry[Product_Code], Stock_Table[[#This Row],[Product_Code]]
)</f>
        <v>1</v>
      </c>
      <c r="K1399" s="4">
        <f>SUMIFS(
  Exchange_Return[Qty],
  Exchange_Return[Product_Code], Stock_Table[[#This Row],[Product_Code]]
)</f>
        <v>0</v>
      </c>
      <c r="L1399" s="4">
        <f>I1399-J1399+K1399</f>
        <v>4</v>
      </c>
      <c r="M1399" s="2" t="str" cm="1">
        <f t="array" ref="M1399">_xlfn.IFS(L1399=0,"Out of Stock",L1399&gt;=2,"Limited Stock",L1399&lt;2,"In Stock")</f>
        <v>Limited Stock</v>
      </c>
    </row>
    <row r="1400" spans="2:13">
      <c r="B1400" s="2" t="s">
        <v>573</v>
      </c>
      <c r="C1400" s="5" t="str">
        <f>_xlfn.XLOOKUP(B1400,Master[Product_Code],Master[Category])</f>
        <v>T-Shirt</v>
      </c>
      <c r="D1400" s="2" t="str">
        <f>_xlfn.XLOOKUP(B1400,Master[Product_Code],Master[Brand])</f>
        <v>Roadster</v>
      </c>
      <c r="E1400" s="2" t="str">
        <f>_xlfn.XLOOKUP(B1400,Master[Product_Code],Master[Style])</f>
        <v>3/4 Sleeve</v>
      </c>
      <c r="F1400" s="2" t="str">
        <f>_xlfn.XLOOKUP(B1400,Master[Product_Code],Master[Fabric])</f>
        <v>Cotton Blend</v>
      </c>
      <c r="G1400" s="2" t="str">
        <f>_xlfn.XLOOKUP(B1400,Master[Product_Code],Master[Size])</f>
        <v>L</v>
      </c>
      <c r="H1400" s="2" t="str">
        <f>_xlfn.XLOOKUP(B1400,Master[Product_Code],Master[Color])</f>
        <v>Olive</v>
      </c>
      <c r="I1400" s="4">
        <f>_xlfn.XLOOKUP(B1400,Master[Product_Code],Master[Stock_Qty])</f>
        <v>3</v>
      </c>
      <c r="J1400" s="6">
        <f>SUMIFS(
  Sales_Entry[Qty],
  Sales_Entry[Product_Code], Stock_Table[[#This Row],[Product_Code]]
)</f>
        <v>0</v>
      </c>
      <c r="K1400" s="4">
        <f>SUMIFS(
  Exchange_Return[Qty],
  Exchange_Return[Product_Code], Stock_Table[[#This Row],[Product_Code]]
)</f>
        <v>0</v>
      </c>
      <c r="L1400" s="4">
        <f>I1400-J1400+K1400</f>
        <v>3</v>
      </c>
      <c r="M1400" s="2" t="str" cm="1">
        <f t="array" ref="M1400">_xlfn.IFS(L1400=0,"Out of Stock",L1400&gt;=2,"Limited Stock",L1400&lt;2,"In Stock")</f>
        <v>Limited Stock</v>
      </c>
    </row>
    <row r="1401" spans="2:13">
      <c r="B1401" s="2" t="s">
        <v>574</v>
      </c>
      <c r="C1401" s="5" t="str">
        <f>_xlfn.XLOOKUP(B1401,Master[Product_Code],Master[Category])</f>
        <v>T-Shirt</v>
      </c>
      <c r="D1401" s="2" t="str">
        <f>_xlfn.XLOOKUP(B1401,Master[Product_Code],Master[Brand])</f>
        <v>Roadster</v>
      </c>
      <c r="E1401" s="2" t="str">
        <f>_xlfn.XLOOKUP(B1401,Master[Product_Code],Master[Style])</f>
        <v>Full Sleeve</v>
      </c>
      <c r="F1401" s="2" t="str">
        <f>_xlfn.XLOOKUP(B1401,Master[Product_Code],Master[Fabric])</f>
        <v>Cotton</v>
      </c>
      <c r="G1401" s="2" t="str">
        <f>_xlfn.XLOOKUP(B1401,Master[Product_Code],Master[Size])</f>
        <v>L</v>
      </c>
      <c r="H1401" s="2" t="str">
        <f>_xlfn.XLOOKUP(B1401,Master[Product_Code],Master[Color])</f>
        <v>White</v>
      </c>
      <c r="I1401" s="4">
        <f>_xlfn.XLOOKUP(B1401,Master[Product_Code],Master[Stock_Qty])</f>
        <v>6</v>
      </c>
      <c r="J1401" s="6">
        <f>SUMIFS(
  Sales_Entry[Qty],
  Sales_Entry[Product_Code], Stock_Table[[#This Row],[Product_Code]]
)</f>
        <v>1</v>
      </c>
      <c r="K1401" s="4">
        <f>SUMIFS(
  Exchange_Return[Qty],
  Exchange_Return[Product_Code], Stock_Table[[#This Row],[Product_Code]]
)</f>
        <v>0</v>
      </c>
      <c r="L1401" s="4">
        <f>I1401-J1401+K1401</f>
        <v>5</v>
      </c>
      <c r="M1401" s="2" t="str" cm="1">
        <f t="array" ref="M1401">_xlfn.IFS(L1401=0,"Out of Stock",L1401&gt;=2,"Limited Stock",L1401&lt;2,"In Stock")</f>
        <v>Limited Stock</v>
      </c>
    </row>
    <row r="1402" spans="2:13">
      <c r="B1402" s="2" t="s">
        <v>575</v>
      </c>
      <c r="C1402" s="5" t="str">
        <f>_xlfn.XLOOKUP(B1402,Master[Product_Code],Master[Category])</f>
        <v>T-Shirt</v>
      </c>
      <c r="D1402" s="2" t="str">
        <f>_xlfn.XLOOKUP(B1402,Master[Product_Code],Master[Brand])</f>
        <v>Thailand</v>
      </c>
      <c r="E1402" s="2" t="str">
        <f>_xlfn.XLOOKUP(B1402,Master[Product_Code],Master[Style])</f>
        <v>Hoodie</v>
      </c>
      <c r="F1402" s="2" t="str">
        <f>_xlfn.XLOOKUP(B1402,Master[Product_Code],Master[Fabric])</f>
        <v>Cotton</v>
      </c>
      <c r="G1402" s="2" t="str">
        <f>_xlfn.XLOOKUP(B1402,Master[Product_Code],Master[Size])</f>
        <v>M</v>
      </c>
      <c r="H1402" s="2" t="str">
        <f>_xlfn.XLOOKUP(B1402,Master[Product_Code],Master[Color])</f>
        <v>Sky Blue</v>
      </c>
      <c r="I1402" s="4">
        <f>_xlfn.XLOOKUP(B1402,Master[Product_Code],Master[Stock_Qty])</f>
        <v>4</v>
      </c>
      <c r="J1402" s="6">
        <f>SUMIFS(
  Sales_Entry[Qty],
  Sales_Entry[Product_Code], Stock_Table[[#This Row],[Product_Code]]
)</f>
        <v>4</v>
      </c>
      <c r="K1402" s="4">
        <f>SUMIFS(
  Exchange_Return[Qty],
  Exchange_Return[Product_Code], Stock_Table[[#This Row],[Product_Code]]
)</f>
        <v>0</v>
      </c>
      <c r="L1402" s="4">
        <f>I1402-J1402+K1402</f>
        <v>0</v>
      </c>
      <c r="M1402" s="2" t="str" cm="1">
        <f t="array" ref="M1402">_xlfn.IFS(L1402=0,"Out of Stock",L1402&gt;=2,"Limited Stock",L1402&lt;2,"In Stock")</f>
        <v>Out of Stock</v>
      </c>
    </row>
    <row r="1403" spans="2:13">
      <c r="B1403" s="2" t="s">
        <v>576</v>
      </c>
      <c r="C1403" s="5" t="str">
        <f>_xlfn.XLOOKUP(B1403,Master[Product_Code],Master[Category])</f>
        <v>T-Shirt</v>
      </c>
      <c r="D1403" s="2" t="str">
        <f>_xlfn.XLOOKUP(B1403,Master[Product_Code],Master[Brand])</f>
        <v>Turkey</v>
      </c>
      <c r="E1403" s="2" t="str">
        <f>_xlfn.XLOOKUP(B1403,Master[Product_Code],Master[Style])</f>
        <v>3/4 Sleeve</v>
      </c>
      <c r="F1403" s="2" t="str">
        <f>_xlfn.XLOOKUP(B1403,Master[Product_Code],Master[Fabric])</f>
        <v>Poly Cotton</v>
      </c>
      <c r="G1403" s="2" t="str">
        <f>_xlfn.XLOOKUP(B1403,Master[Product_Code],Master[Size])</f>
        <v>S</v>
      </c>
      <c r="H1403" s="2" t="str">
        <f>_xlfn.XLOOKUP(B1403,Master[Product_Code],Master[Color])</f>
        <v>Charcoal</v>
      </c>
      <c r="I1403" s="4">
        <f>_xlfn.XLOOKUP(B1403,Master[Product_Code],Master[Stock_Qty])</f>
        <v>6</v>
      </c>
      <c r="J1403" s="6">
        <f>SUMIFS(
  Sales_Entry[Qty],
  Sales_Entry[Product_Code], Stock_Table[[#This Row],[Product_Code]]
)</f>
        <v>3</v>
      </c>
      <c r="K1403" s="4">
        <f>SUMIFS(
  Exchange_Return[Qty],
  Exchange_Return[Product_Code], Stock_Table[[#This Row],[Product_Code]]
)</f>
        <v>0</v>
      </c>
      <c r="L1403" s="4">
        <f>I1403-J1403+K1403</f>
        <v>3</v>
      </c>
      <c r="M1403" s="2" t="str" cm="1">
        <f t="array" ref="M1403">_xlfn.IFS(L1403=0,"Out of Stock",L1403&gt;=2,"Limited Stock",L1403&lt;2,"In Stock")</f>
        <v>Limited Stock</v>
      </c>
    </row>
    <row r="1404" spans="2:13">
      <c r="B1404" s="2" t="s">
        <v>577</v>
      </c>
      <c r="C1404" s="5" t="str">
        <f>_xlfn.XLOOKUP(B1404,Master[Product_Code],Master[Category])</f>
        <v>T-Shirt</v>
      </c>
      <c r="D1404" s="2" t="str">
        <f>_xlfn.XLOOKUP(B1404,Master[Product_Code],Master[Brand])</f>
        <v>Urban Monkey</v>
      </c>
      <c r="E1404" s="2" t="str">
        <f>_xlfn.XLOOKUP(B1404,Master[Product_Code],Master[Style])</f>
        <v>Full Sleeve</v>
      </c>
      <c r="F1404" s="2" t="str">
        <f>_xlfn.XLOOKUP(B1404,Master[Product_Code],Master[Fabric])</f>
        <v>Cotton</v>
      </c>
      <c r="G1404" s="2" t="str">
        <f>_xlfn.XLOOKUP(B1404,Master[Product_Code],Master[Size])</f>
        <v>M</v>
      </c>
      <c r="H1404" s="2" t="str">
        <f>_xlfn.XLOOKUP(B1404,Master[Product_Code],Master[Color])</f>
        <v>Light Grey</v>
      </c>
      <c r="I1404" s="4">
        <f>_xlfn.XLOOKUP(B1404,Master[Product_Code],Master[Stock_Qty])</f>
        <v>5</v>
      </c>
      <c r="J1404" s="6">
        <f>SUMIFS(
  Sales_Entry[Qty],
  Sales_Entry[Product_Code], Stock_Table[[#This Row],[Product_Code]]
)</f>
        <v>0</v>
      </c>
      <c r="K1404" s="4">
        <f>SUMIFS(
  Exchange_Return[Qty],
  Exchange_Return[Product_Code], Stock_Table[[#This Row],[Product_Code]]
)</f>
        <v>0</v>
      </c>
      <c r="L1404" s="4">
        <f>I1404-J1404+K1404</f>
        <v>5</v>
      </c>
      <c r="M1404" s="2" t="str" cm="1">
        <f t="array" ref="M1404">_xlfn.IFS(L1404=0,"Out of Stock",L1404&gt;=2,"Limited Stock",L1404&lt;2,"In Stock")</f>
        <v>Limited Stock</v>
      </c>
    </row>
    <row r="1405" spans="2:13">
      <c r="B1405" s="2" t="s">
        <v>578</v>
      </c>
      <c r="C1405" s="5" t="str">
        <f>_xlfn.XLOOKUP(B1405,Master[Product_Code],Master[Category])</f>
        <v>T-Shirt</v>
      </c>
      <c r="D1405" s="2" t="str">
        <f>_xlfn.XLOOKUP(B1405,Master[Product_Code],Master[Brand])</f>
        <v>Campus</v>
      </c>
      <c r="E1405" s="2" t="str">
        <f>_xlfn.XLOOKUP(B1405,Master[Product_Code],Master[Style])</f>
        <v>3/4 Sleeve</v>
      </c>
      <c r="F1405" s="2" t="str">
        <f>_xlfn.XLOOKUP(B1405,Master[Product_Code],Master[Fabric])</f>
        <v>Poly Cotton</v>
      </c>
      <c r="G1405" s="2" t="str">
        <f>_xlfn.XLOOKUP(B1405,Master[Product_Code],Master[Size])</f>
        <v>S</v>
      </c>
      <c r="H1405" s="2" t="str">
        <f>_xlfn.XLOOKUP(B1405,Master[Product_Code],Master[Color])</f>
        <v>Teal</v>
      </c>
      <c r="I1405" s="4">
        <f>_xlfn.XLOOKUP(B1405,Master[Product_Code],Master[Stock_Qty])</f>
        <v>4</v>
      </c>
      <c r="J1405" s="6">
        <f>SUMIFS(
  Sales_Entry[Qty],
  Sales_Entry[Product_Code], Stock_Table[[#This Row],[Product_Code]]
)</f>
        <v>2</v>
      </c>
      <c r="K1405" s="4">
        <f>SUMIFS(
  Exchange_Return[Qty],
  Exchange_Return[Product_Code], Stock_Table[[#This Row],[Product_Code]]
)</f>
        <v>0</v>
      </c>
      <c r="L1405" s="4">
        <f>I1405-J1405+K1405</f>
        <v>2</v>
      </c>
      <c r="M1405" s="2" t="str" cm="1">
        <f t="array" ref="M1405">_xlfn.IFS(L1405=0,"Out of Stock",L1405&gt;=2,"Limited Stock",L1405&lt;2,"In Stock")</f>
        <v>Limited Stock</v>
      </c>
    </row>
    <row r="1406" spans="2:13">
      <c r="B1406" s="2" t="s">
        <v>579</v>
      </c>
      <c r="C1406" s="5" t="str">
        <f>_xlfn.XLOOKUP(B1406,Master[Product_Code],Master[Category])</f>
        <v>T-Shirt</v>
      </c>
      <c r="D1406" s="2" t="str">
        <f>_xlfn.XLOOKUP(B1406,Master[Product_Code],Master[Brand])</f>
        <v>Turkey</v>
      </c>
      <c r="E1406" s="2" t="str">
        <f>_xlfn.XLOOKUP(B1406,Master[Product_Code],Master[Style])</f>
        <v>Sleeveless</v>
      </c>
      <c r="F1406" s="2" t="str">
        <f>_xlfn.XLOOKUP(B1406,Master[Product_Code],Master[Fabric])</f>
        <v>Poly Cotton</v>
      </c>
      <c r="G1406" s="2" t="str">
        <f>_xlfn.XLOOKUP(B1406,Master[Product_Code],Master[Size])</f>
        <v>L</v>
      </c>
      <c r="H1406" s="2" t="str">
        <f>_xlfn.XLOOKUP(B1406,Master[Product_Code],Master[Color])</f>
        <v>Olive</v>
      </c>
      <c r="I1406" s="4">
        <f>_xlfn.XLOOKUP(B1406,Master[Product_Code],Master[Stock_Qty])</f>
        <v>6</v>
      </c>
      <c r="J1406" s="6">
        <f>SUMIFS(
  Sales_Entry[Qty],
  Sales_Entry[Product_Code], Stock_Table[[#This Row],[Product_Code]]
)</f>
        <v>2</v>
      </c>
      <c r="K1406" s="4">
        <f>SUMIFS(
  Exchange_Return[Qty],
  Exchange_Return[Product_Code], Stock_Table[[#This Row],[Product_Code]]
)</f>
        <v>0</v>
      </c>
      <c r="L1406" s="4">
        <f>I1406-J1406+K1406</f>
        <v>4</v>
      </c>
      <c r="M1406" s="2" t="str" cm="1">
        <f t="array" ref="M1406">_xlfn.IFS(L1406=0,"Out of Stock",L1406&gt;=2,"Limited Stock",L1406&lt;2,"In Stock")</f>
        <v>Limited Stock</v>
      </c>
    </row>
    <row r="1407" spans="2:13">
      <c r="B1407" s="2" t="s">
        <v>580</v>
      </c>
      <c r="C1407" s="5" t="str">
        <f>_xlfn.XLOOKUP(B1407,Master[Product_Code],Master[Category])</f>
        <v>T-Shirt</v>
      </c>
      <c r="D1407" s="2" t="str">
        <f>_xlfn.XLOOKUP(B1407,Master[Product_Code],Master[Brand])</f>
        <v>Zara</v>
      </c>
      <c r="E1407" s="2" t="str">
        <f>_xlfn.XLOOKUP(B1407,Master[Product_Code],Master[Style])</f>
        <v>Half Sleeve</v>
      </c>
      <c r="F1407" s="2" t="str">
        <f>_xlfn.XLOOKUP(B1407,Master[Product_Code],Master[Fabric])</f>
        <v>Cotton</v>
      </c>
      <c r="G1407" s="2" t="str">
        <f>_xlfn.XLOOKUP(B1407,Master[Product_Code],Master[Size])</f>
        <v>XXL</v>
      </c>
      <c r="H1407" s="2" t="str">
        <f>_xlfn.XLOOKUP(B1407,Master[Product_Code],Master[Color])</f>
        <v>Charcoal</v>
      </c>
      <c r="I1407" s="4">
        <f>_xlfn.XLOOKUP(B1407,Master[Product_Code],Master[Stock_Qty])</f>
        <v>3</v>
      </c>
      <c r="J1407" s="6">
        <f>SUMIFS(
  Sales_Entry[Qty],
  Sales_Entry[Product_Code], Stock_Table[[#This Row],[Product_Code]]
)</f>
        <v>0</v>
      </c>
      <c r="K1407" s="4">
        <f>SUMIFS(
  Exchange_Return[Qty],
  Exchange_Return[Product_Code], Stock_Table[[#This Row],[Product_Code]]
)</f>
        <v>0</v>
      </c>
      <c r="L1407" s="4">
        <f>I1407-J1407+K1407</f>
        <v>3</v>
      </c>
      <c r="M1407" s="2" t="str" cm="1">
        <f t="array" ref="M1407">_xlfn.IFS(L1407=0,"Out of Stock",L1407&gt;=2,"Limited Stock",L1407&lt;2,"In Stock")</f>
        <v>Limited Stock</v>
      </c>
    </row>
    <row r="1408" spans="2:13">
      <c r="B1408" s="2" t="s">
        <v>581</v>
      </c>
      <c r="C1408" s="5" t="str">
        <f>_xlfn.XLOOKUP(B1408,Master[Product_Code],Master[Category])</f>
        <v>T-Shirt</v>
      </c>
      <c r="D1408" s="2" t="str">
        <f>_xlfn.XLOOKUP(B1408,Master[Product_Code],Master[Brand])</f>
        <v>Max</v>
      </c>
      <c r="E1408" s="2" t="str">
        <f>_xlfn.XLOOKUP(B1408,Master[Product_Code],Master[Style])</f>
        <v>Half Sleeve</v>
      </c>
      <c r="F1408" s="2" t="str">
        <f>_xlfn.XLOOKUP(B1408,Master[Product_Code],Master[Fabric])</f>
        <v>Cotton Blend</v>
      </c>
      <c r="G1408" s="2" t="str">
        <f>_xlfn.XLOOKUP(B1408,Master[Product_Code],Master[Size])</f>
        <v>XXL</v>
      </c>
      <c r="H1408" s="2" t="str">
        <f>_xlfn.XLOOKUP(B1408,Master[Product_Code],Master[Color])</f>
        <v>Grey</v>
      </c>
      <c r="I1408" s="4">
        <f>_xlfn.XLOOKUP(B1408,Master[Product_Code],Master[Stock_Qty])</f>
        <v>4</v>
      </c>
      <c r="J1408" s="6">
        <f>SUMIFS(
  Sales_Entry[Qty],
  Sales_Entry[Product_Code], Stock_Table[[#This Row],[Product_Code]]
)</f>
        <v>1</v>
      </c>
      <c r="K1408" s="4">
        <f>SUMIFS(
  Exchange_Return[Qty],
  Exchange_Return[Product_Code], Stock_Table[[#This Row],[Product_Code]]
)</f>
        <v>0</v>
      </c>
      <c r="L1408" s="4">
        <f>I1408-J1408+K1408</f>
        <v>3</v>
      </c>
      <c r="M1408" s="2" t="str" cm="1">
        <f t="array" ref="M1408">_xlfn.IFS(L1408=0,"Out of Stock",L1408&gt;=2,"Limited Stock",L1408&lt;2,"In Stock")</f>
        <v>Limited Stock</v>
      </c>
    </row>
    <row r="1409" spans="2:13">
      <c r="B1409" s="2" t="s">
        <v>582</v>
      </c>
      <c r="C1409" s="5" t="str">
        <f>_xlfn.XLOOKUP(B1409,Master[Product_Code],Master[Category])</f>
        <v>T-Shirt</v>
      </c>
      <c r="D1409" s="2" t="str">
        <f>_xlfn.XLOOKUP(B1409,Master[Product_Code],Master[Brand])</f>
        <v>Campus</v>
      </c>
      <c r="E1409" s="2" t="str">
        <f>_xlfn.XLOOKUP(B1409,Master[Product_Code],Master[Style])</f>
        <v>Full Sleeve</v>
      </c>
      <c r="F1409" s="2" t="str">
        <f>_xlfn.XLOOKUP(B1409,Master[Product_Code],Master[Fabric])</f>
        <v>Cotton Blend</v>
      </c>
      <c r="G1409" s="2" t="str">
        <f>_xlfn.XLOOKUP(B1409,Master[Product_Code],Master[Size])</f>
        <v>S</v>
      </c>
      <c r="H1409" s="2" t="str">
        <f>_xlfn.XLOOKUP(B1409,Master[Product_Code],Master[Color])</f>
        <v>Black</v>
      </c>
      <c r="I1409" s="4">
        <f>_xlfn.XLOOKUP(B1409,Master[Product_Code],Master[Stock_Qty])</f>
        <v>4</v>
      </c>
      <c r="J1409" s="6">
        <f>SUMIFS(
  Sales_Entry[Qty],
  Sales_Entry[Product_Code], Stock_Table[[#This Row],[Product_Code]]
)</f>
        <v>2</v>
      </c>
      <c r="K1409" s="4">
        <f>SUMIFS(
  Exchange_Return[Qty],
  Exchange_Return[Product_Code], Stock_Table[[#This Row],[Product_Code]]
)</f>
        <v>0</v>
      </c>
      <c r="L1409" s="4">
        <f>I1409-J1409+K1409</f>
        <v>2</v>
      </c>
      <c r="M1409" s="2" t="str" cm="1">
        <f t="array" ref="M1409">_xlfn.IFS(L1409=0,"Out of Stock",L1409&gt;=2,"Limited Stock",L1409&lt;2,"In Stock")</f>
        <v>Limited Stock</v>
      </c>
    </row>
    <row r="1410" spans="2:13">
      <c r="B1410" s="2" t="s">
        <v>583</v>
      </c>
      <c r="C1410" s="5" t="str">
        <f>_xlfn.XLOOKUP(B1410,Master[Product_Code],Master[Category])</f>
        <v>T-Shirt</v>
      </c>
      <c r="D1410" s="2" t="str">
        <f>_xlfn.XLOOKUP(B1410,Master[Product_Code],Master[Brand])</f>
        <v>Campus</v>
      </c>
      <c r="E1410" s="2" t="str">
        <f>_xlfn.XLOOKUP(B1410,Master[Product_Code],Master[Style])</f>
        <v>Full Sleeve</v>
      </c>
      <c r="F1410" s="2" t="str">
        <f>_xlfn.XLOOKUP(B1410,Master[Product_Code],Master[Fabric])</f>
        <v>Cotton</v>
      </c>
      <c r="G1410" s="2" t="str">
        <f>_xlfn.XLOOKUP(B1410,Master[Product_Code],Master[Size])</f>
        <v>XXL</v>
      </c>
      <c r="H1410" s="2" t="str">
        <f>_xlfn.XLOOKUP(B1410,Master[Product_Code],Master[Color])</f>
        <v>Teal</v>
      </c>
      <c r="I1410" s="4">
        <f>_xlfn.XLOOKUP(B1410,Master[Product_Code],Master[Stock_Qty])</f>
        <v>3</v>
      </c>
      <c r="J1410" s="6">
        <f>SUMIFS(
  Sales_Entry[Qty],
  Sales_Entry[Product_Code], Stock_Table[[#This Row],[Product_Code]]
)</f>
        <v>1</v>
      </c>
      <c r="K1410" s="4">
        <f>SUMIFS(
  Exchange_Return[Qty],
  Exchange_Return[Product_Code], Stock_Table[[#This Row],[Product_Code]]
)</f>
        <v>0</v>
      </c>
      <c r="L1410" s="4">
        <f>I1410-J1410+K1410</f>
        <v>2</v>
      </c>
      <c r="M1410" s="2" t="str" cm="1">
        <f t="array" ref="M1410">_xlfn.IFS(L1410=0,"Out of Stock",L1410&gt;=2,"Limited Stock",L1410&lt;2,"In Stock")</f>
        <v>Limited Stock</v>
      </c>
    </row>
    <row r="1411" spans="2:13">
      <c r="B1411" s="2" t="s">
        <v>584</v>
      </c>
      <c r="C1411" s="5" t="str">
        <f>_xlfn.XLOOKUP(B1411,Master[Product_Code],Master[Category])</f>
        <v>T-Shirt</v>
      </c>
      <c r="D1411" s="2" t="str">
        <f>_xlfn.XLOOKUP(B1411,Master[Product_Code],Master[Brand])</f>
        <v>Campus</v>
      </c>
      <c r="E1411" s="2" t="str">
        <f>_xlfn.XLOOKUP(B1411,Master[Product_Code],Master[Style])</f>
        <v>Sleeveless</v>
      </c>
      <c r="F1411" s="2" t="str">
        <f>_xlfn.XLOOKUP(B1411,Master[Product_Code],Master[Fabric])</f>
        <v>Poly Cotton</v>
      </c>
      <c r="G1411" s="2" t="str">
        <f>_xlfn.XLOOKUP(B1411,Master[Product_Code],Master[Size])</f>
        <v>S</v>
      </c>
      <c r="H1411" s="2" t="str">
        <f>_xlfn.XLOOKUP(B1411,Master[Product_Code],Master[Color])</f>
        <v>Mustard</v>
      </c>
      <c r="I1411" s="4">
        <f>_xlfn.XLOOKUP(B1411,Master[Product_Code],Master[Stock_Qty])</f>
        <v>5</v>
      </c>
      <c r="J1411" s="6">
        <f>SUMIFS(
  Sales_Entry[Qty],
  Sales_Entry[Product_Code], Stock_Table[[#This Row],[Product_Code]]
)</f>
        <v>2</v>
      </c>
      <c r="K1411" s="4">
        <f>SUMIFS(
  Exchange_Return[Qty],
  Exchange_Return[Product_Code], Stock_Table[[#This Row],[Product_Code]]
)</f>
        <v>0</v>
      </c>
      <c r="L1411" s="4">
        <f>I1411-J1411+K1411</f>
        <v>3</v>
      </c>
      <c r="M1411" s="2" t="str" cm="1">
        <f t="array" ref="M1411">_xlfn.IFS(L1411=0,"Out of Stock",L1411&gt;=2,"Limited Stock",L1411&lt;2,"In Stock")</f>
        <v>Limited Stock</v>
      </c>
    </row>
    <row r="1412" spans="2:13">
      <c r="B1412" s="2" t="s">
        <v>585</v>
      </c>
      <c r="C1412" s="5" t="str">
        <f>_xlfn.XLOOKUP(B1412,Master[Product_Code],Master[Category])</f>
        <v>T-Shirt</v>
      </c>
      <c r="D1412" s="2" t="str">
        <f>_xlfn.XLOOKUP(B1412,Master[Product_Code],Master[Brand])</f>
        <v>Turkey</v>
      </c>
      <c r="E1412" s="2" t="str">
        <f>_xlfn.XLOOKUP(B1412,Master[Product_Code],Master[Style])</f>
        <v>Full Sleeve</v>
      </c>
      <c r="F1412" s="2" t="str">
        <f>_xlfn.XLOOKUP(B1412,Master[Product_Code],Master[Fabric])</f>
        <v>Poly Cotton</v>
      </c>
      <c r="G1412" s="2" t="str">
        <f>_xlfn.XLOOKUP(B1412,Master[Product_Code],Master[Size])</f>
        <v>XL</v>
      </c>
      <c r="H1412" s="2" t="str">
        <f>_xlfn.XLOOKUP(B1412,Master[Product_Code],Master[Color])</f>
        <v>Peach</v>
      </c>
      <c r="I1412" s="4">
        <f>_xlfn.XLOOKUP(B1412,Master[Product_Code],Master[Stock_Qty])</f>
        <v>5</v>
      </c>
      <c r="J1412" s="6">
        <f>SUMIFS(
  Sales_Entry[Qty],
  Sales_Entry[Product_Code], Stock_Table[[#This Row],[Product_Code]]
)</f>
        <v>3</v>
      </c>
      <c r="K1412" s="4">
        <f>SUMIFS(
  Exchange_Return[Qty],
  Exchange_Return[Product_Code], Stock_Table[[#This Row],[Product_Code]]
)</f>
        <v>0</v>
      </c>
      <c r="L1412" s="4">
        <f>I1412-J1412+K1412</f>
        <v>2</v>
      </c>
      <c r="M1412" s="2" t="str" cm="1">
        <f t="array" ref="M1412">_xlfn.IFS(L1412=0,"Out of Stock",L1412&gt;=2,"Limited Stock",L1412&lt;2,"In Stock")</f>
        <v>Limited Stock</v>
      </c>
    </row>
    <row r="1413" spans="2:13">
      <c r="B1413" s="2" t="s">
        <v>586</v>
      </c>
      <c r="C1413" s="5" t="str">
        <f>_xlfn.XLOOKUP(B1413,Master[Product_Code],Master[Category])</f>
        <v>T-Shirt</v>
      </c>
      <c r="D1413" s="2" t="str">
        <f>_xlfn.XLOOKUP(B1413,Master[Product_Code],Master[Brand])</f>
        <v>Campus</v>
      </c>
      <c r="E1413" s="2" t="str">
        <f>_xlfn.XLOOKUP(B1413,Master[Product_Code],Master[Style])</f>
        <v>Hoodie</v>
      </c>
      <c r="F1413" s="2" t="str">
        <f>_xlfn.XLOOKUP(B1413,Master[Product_Code],Master[Fabric])</f>
        <v>Poly Cotton</v>
      </c>
      <c r="G1413" s="2" t="str">
        <f>_xlfn.XLOOKUP(B1413,Master[Product_Code],Master[Size])</f>
        <v>XXL</v>
      </c>
      <c r="H1413" s="2" t="str">
        <f>_xlfn.XLOOKUP(B1413,Master[Product_Code],Master[Color])</f>
        <v>Teal</v>
      </c>
      <c r="I1413" s="4">
        <f>_xlfn.XLOOKUP(B1413,Master[Product_Code],Master[Stock_Qty])</f>
        <v>4</v>
      </c>
      <c r="J1413" s="6">
        <f>SUMIFS(
  Sales_Entry[Qty],
  Sales_Entry[Product_Code], Stock_Table[[#This Row],[Product_Code]]
)</f>
        <v>1</v>
      </c>
      <c r="K1413" s="4">
        <f>SUMIFS(
  Exchange_Return[Qty],
  Exchange_Return[Product_Code], Stock_Table[[#This Row],[Product_Code]]
)</f>
        <v>0</v>
      </c>
      <c r="L1413" s="4">
        <f>I1413-J1413+K1413</f>
        <v>3</v>
      </c>
      <c r="M1413" s="2" t="str" cm="1">
        <f t="array" ref="M1413">_xlfn.IFS(L1413=0,"Out of Stock",L1413&gt;=2,"Limited Stock",L1413&lt;2,"In Stock")</f>
        <v>Limited Stock</v>
      </c>
    </row>
    <row r="1414" spans="2:13">
      <c r="B1414" s="2" t="s">
        <v>587</v>
      </c>
      <c r="C1414" s="5" t="str">
        <f>_xlfn.XLOOKUP(B1414,Master[Product_Code],Master[Category])</f>
        <v>T-Shirt</v>
      </c>
      <c r="D1414" s="2" t="str">
        <f>_xlfn.XLOOKUP(B1414,Master[Product_Code],Master[Brand])</f>
        <v>Roadster</v>
      </c>
      <c r="E1414" s="2" t="str">
        <f>_xlfn.XLOOKUP(B1414,Master[Product_Code],Master[Style])</f>
        <v>Full Sleeve</v>
      </c>
      <c r="F1414" s="2" t="str">
        <f>_xlfn.XLOOKUP(B1414,Master[Product_Code],Master[Fabric])</f>
        <v>Cotton Blend</v>
      </c>
      <c r="G1414" s="2" t="str">
        <f>_xlfn.XLOOKUP(B1414,Master[Product_Code],Master[Size])</f>
        <v>L</v>
      </c>
      <c r="H1414" s="2" t="str">
        <f>_xlfn.XLOOKUP(B1414,Master[Product_Code],Master[Color])</f>
        <v>Brown</v>
      </c>
      <c r="I1414" s="4">
        <f>_xlfn.XLOOKUP(B1414,Master[Product_Code],Master[Stock_Qty])</f>
        <v>4</v>
      </c>
      <c r="J1414" s="6">
        <f>SUMIFS(
  Sales_Entry[Qty],
  Sales_Entry[Product_Code], Stock_Table[[#This Row],[Product_Code]]
)</f>
        <v>1</v>
      </c>
      <c r="K1414" s="4">
        <f>SUMIFS(
  Exchange_Return[Qty],
  Exchange_Return[Product_Code], Stock_Table[[#This Row],[Product_Code]]
)</f>
        <v>0</v>
      </c>
      <c r="L1414" s="4">
        <f>I1414-J1414+K1414</f>
        <v>3</v>
      </c>
      <c r="M1414" s="2" t="str" cm="1">
        <f t="array" ref="M1414">_xlfn.IFS(L1414=0,"Out of Stock",L1414&gt;=2,"Limited Stock",L1414&lt;2,"In Stock")</f>
        <v>Limited Stock</v>
      </c>
    </row>
    <row r="1415" spans="2:13">
      <c r="B1415" s="2" t="s">
        <v>588</v>
      </c>
      <c r="C1415" s="5" t="str">
        <f>_xlfn.XLOOKUP(B1415,Master[Product_Code],Master[Category])</f>
        <v>T-Shirt</v>
      </c>
      <c r="D1415" s="2" t="str">
        <f>_xlfn.XLOOKUP(B1415,Master[Product_Code],Master[Brand])</f>
        <v>Campus</v>
      </c>
      <c r="E1415" s="2" t="str">
        <f>_xlfn.XLOOKUP(B1415,Master[Product_Code],Master[Style])</f>
        <v>Half Sleeve</v>
      </c>
      <c r="F1415" s="2" t="str">
        <f>_xlfn.XLOOKUP(B1415,Master[Product_Code],Master[Fabric])</f>
        <v>Poly Cotton</v>
      </c>
      <c r="G1415" s="2" t="str">
        <f>_xlfn.XLOOKUP(B1415,Master[Product_Code],Master[Size])</f>
        <v>XXL</v>
      </c>
      <c r="H1415" s="2" t="str">
        <f>_xlfn.XLOOKUP(B1415,Master[Product_Code],Master[Color])</f>
        <v>Rust</v>
      </c>
      <c r="I1415" s="4">
        <f>_xlfn.XLOOKUP(B1415,Master[Product_Code],Master[Stock_Qty])</f>
        <v>3</v>
      </c>
      <c r="J1415" s="6">
        <f>SUMIFS(
  Sales_Entry[Qty],
  Sales_Entry[Product_Code], Stock_Table[[#This Row],[Product_Code]]
)</f>
        <v>0</v>
      </c>
      <c r="K1415" s="4">
        <f>SUMIFS(
  Exchange_Return[Qty],
  Exchange_Return[Product_Code], Stock_Table[[#This Row],[Product_Code]]
)</f>
        <v>0</v>
      </c>
      <c r="L1415" s="4">
        <f>I1415-J1415+K1415</f>
        <v>3</v>
      </c>
      <c r="M1415" s="2" t="str" cm="1">
        <f t="array" ref="M1415">_xlfn.IFS(L1415=0,"Out of Stock",L1415&gt;=2,"Limited Stock",L1415&lt;2,"In Stock")</f>
        <v>Limited Stock</v>
      </c>
    </row>
    <row r="1416" spans="2:13">
      <c r="B1416" s="2" t="s">
        <v>589</v>
      </c>
      <c r="C1416" s="5" t="str">
        <f>_xlfn.XLOOKUP(B1416,Master[Product_Code],Master[Category])</f>
        <v>T-Shirt</v>
      </c>
      <c r="D1416" s="2" t="str">
        <f>_xlfn.XLOOKUP(B1416,Master[Product_Code],Master[Brand])</f>
        <v>Roadster</v>
      </c>
      <c r="E1416" s="2" t="str">
        <f>_xlfn.XLOOKUP(B1416,Master[Product_Code],Master[Style])</f>
        <v>3/4 Sleeve</v>
      </c>
      <c r="F1416" s="2" t="str">
        <f>_xlfn.XLOOKUP(B1416,Master[Product_Code],Master[Fabric])</f>
        <v>Poly Cotton</v>
      </c>
      <c r="G1416" s="2" t="str">
        <f>_xlfn.XLOOKUP(B1416,Master[Product_Code],Master[Size])</f>
        <v>M</v>
      </c>
      <c r="H1416" s="2" t="str">
        <f>_xlfn.XLOOKUP(B1416,Master[Product_Code],Master[Color])</f>
        <v>Light Grey</v>
      </c>
      <c r="I1416" s="4">
        <f>_xlfn.XLOOKUP(B1416,Master[Product_Code],Master[Stock_Qty])</f>
        <v>3</v>
      </c>
      <c r="J1416" s="6">
        <f>SUMIFS(
  Sales_Entry[Qty],
  Sales_Entry[Product_Code], Stock_Table[[#This Row],[Product_Code]]
)</f>
        <v>0</v>
      </c>
      <c r="K1416" s="4">
        <f>SUMIFS(
  Exchange_Return[Qty],
  Exchange_Return[Product_Code], Stock_Table[[#This Row],[Product_Code]]
)</f>
        <v>0</v>
      </c>
      <c r="L1416" s="4">
        <f>I1416-J1416+K1416</f>
        <v>3</v>
      </c>
      <c r="M1416" s="2" t="str" cm="1">
        <f t="array" ref="M1416">_xlfn.IFS(L1416=0,"Out of Stock",L1416&gt;=2,"Limited Stock",L1416&lt;2,"In Stock")</f>
        <v>Limited Stock</v>
      </c>
    </row>
    <row r="1417" spans="2:13">
      <c r="B1417" s="2" t="s">
        <v>590</v>
      </c>
      <c r="C1417" s="5" t="str">
        <f>_xlfn.XLOOKUP(B1417,Master[Product_Code],Master[Category])</f>
        <v>T-Shirt</v>
      </c>
      <c r="D1417" s="2" t="str">
        <f>_xlfn.XLOOKUP(B1417,Master[Product_Code],Master[Brand])</f>
        <v>Turkey</v>
      </c>
      <c r="E1417" s="2" t="str">
        <f>_xlfn.XLOOKUP(B1417,Master[Product_Code],Master[Style])</f>
        <v>3/4 Sleeve</v>
      </c>
      <c r="F1417" s="2" t="str">
        <f>_xlfn.XLOOKUP(B1417,Master[Product_Code],Master[Fabric])</f>
        <v>Poly Cotton</v>
      </c>
      <c r="G1417" s="2" t="str">
        <f>_xlfn.XLOOKUP(B1417,Master[Product_Code],Master[Size])</f>
        <v>S</v>
      </c>
      <c r="H1417" s="2" t="str">
        <f>_xlfn.XLOOKUP(B1417,Master[Product_Code],Master[Color])</f>
        <v>Charcoal</v>
      </c>
      <c r="I1417" s="4">
        <f>_xlfn.XLOOKUP(B1417,Master[Product_Code],Master[Stock_Qty])</f>
        <v>5</v>
      </c>
      <c r="J1417" s="6">
        <f>SUMIFS(
  Sales_Entry[Qty],
  Sales_Entry[Product_Code], Stock_Table[[#This Row],[Product_Code]]
)</f>
        <v>1</v>
      </c>
      <c r="K1417" s="4">
        <f>SUMIFS(
  Exchange_Return[Qty],
  Exchange_Return[Product_Code], Stock_Table[[#This Row],[Product_Code]]
)</f>
        <v>0</v>
      </c>
      <c r="L1417" s="4">
        <f>I1417-J1417+K1417</f>
        <v>4</v>
      </c>
      <c r="M1417" s="2" t="str" cm="1">
        <f t="array" ref="M1417">_xlfn.IFS(L1417=0,"Out of Stock",L1417&gt;=2,"Limited Stock",L1417&lt;2,"In Stock")</f>
        <v>Limited Stock</v>
      </c>
    </row>
    <row r="1418" spans="2:13">
      <c r="B1418" s="2" t="s">
        <v>591</v>
      </c>
      <c r="C1418" s="5" t="str">
        <f>_xlfn.XLOOKUP(B1418,Master[Product_Code],Master[Category])</f>
        <v>T-Shirt</v>
      </c>
      <c r="D1418" s="2" t="str">
        <f>_xlfn.XLOOKUP(B1418,Master[Product_Code],Master[Brand])</f>
        <v>Turkey</v>
      </c>
      <c r="E1418" s="2" t="str">
        <f>_xlfn.XLOOKUP(B1418,Master[Product_Code],Master[Style])</f>
        <v>Half Sleeve</v>
      </c>
      <c r="F1418" s="2" t="str">
        <f>_xlfn.XLOOKUP(B1418,Master[Product_Code],Master[Fabric])</f>
        <v>Poly Cotton</v>
      </c>
      <c r="G1418" s="2" t="str">
        <f>_xlfn.XLOOKUP(B1418,Master[Product_Code],Master[Size])</f>
        <v>L</v>
      </c>
      <c r="H1418" s="2" t="str">
        <f>_xlfn.XLOOKUP(B1418,Master[Product_Code],Master[Color])</f>
        <v>Cream</v>
      </c>
      <c r="I1418" s="4">
        <f>_xlfn.XLOOKUP(B1418,Master[Product_Code],Master[Stock_Qty])</f>
        <v>3</v>
      </c>
      <c r="J1418" s="6">
        <f>SUMIFS(
  Sales_Entry[Qty],
  Sales_Entry[Product_Code], Stock_Table[[#This Row],[Product_Code]]
)</f>
        <v>1</v>
      </c>
      <c r="K1418" s="4">
        <f>SUMIFS(
  Exchange_Return[Qty],
  Exchange_Return[Product_Code], Stock_Table[[#This Row],[Product_Code]]
)</f>
        <v>0</v>
      </c>
      <c r="L1418" s="4">
        <f>I1418-J1418+K1418</f>
        <v>2</v>
      </c>
      <c r="M1418" s="2" t="str" cm="1">
        <f t="array" ref="M1418">_xlfn.IFS(L1418=0,"Out of Stock",L1418&gt;=2,"Limited Stock",L1418&lt;2,"In Stock")</f>
        <v>Limited Stock</v>
      </c>
    </row>
    <row r="1419" spans="2:13">
      <c r="B1419" s="2" t="s">
        <v>592</v>
      </c>
      <c r="C1419" s="5" t="str">
        <f>_xlfn.XLOOKUP(B1419,Master[Product_Code],Master[Category])</f>
        <v>T-Shirt</v>
      </c>
      <c r="D1419" s="2" t="str">
        <f>_xlfn.XLOOKUP(B1419,Master[Product_Code],Master[Brand])</f>
        <v>Turkey</v>
      </c>
      <c r="E1419" s="2" t="str">
        <f>_xlfn.XLOOKUP(B1419,Master[Product_Code],Master[Style])</f>
        <v>Full Sleeve</v>
      </c>
      <c r="F1419" s="2" t="str">
        <f>_xlfn.XLOOKUP(B1419,Master[Product_Code],Master[Fabric])</f>
        <v>Poly Cotton</v>
      </c>
      <c r="G1419" s="2" t="str">
        <f>_xlfn.XLOOKUP(B1419,Master[Product_Code],Master[Size])</f>
        <v>S</v>
      </c>
      <c r="H1419" s="2" t="str">
        <f>_xlfn.XLOOKUP(B1419,Master[Product_Code],Master[Color])</f>
        <v>Teal</v>
      </c>
      <c r="I1419" s="4">
        <f>_xlfn.XLOOKUP(B1419,Master[Product_Code],Master[Stock_Qty])</f>
        <v>5</v>
      </c>
      <c r="J1419" s="6">
        <f>SUMIFS(
  Sales_Entry[Qty],
  Sales_Entry[Product_Code], Stock_Table[[#This Row],[Product_Code]]
)</f>
        <v>2</v>
      </c>
      <c r="K1419" s="4">
        <f>SUMIFS(
  Exchange_Return[Qty],
  Exchange_Return[Product_Code], Stock_Table[[#This Row],[Product_Code]]
)</f>
        <v>0</v>
      </c>
      <c r="L1419" s="4">
        <f>I1419-J1419+K1419</f>
        <v>3</v>
      </c>
      <c r="M1419" s="2" t="str" cm="1">
        <f t="array" ref="M1419">_xlfn.IFS(L1419=0,"Out of Stock",L1419&gt;=2,"Limited Stock",L1419&lt;2,"In Stock")</f>
        <v>Limited Stock</v>
      </c>
    </row>
    <row r="1420" spans="2:13">
      <c r="B1420" s="2" t="s">
        <v>593</v>
      </c>
      <c r="C1420" s="5" t="str">
        <f>_xlfn.XLOOKUP(B1420,Master[Product_Code],Master[Category])</f>
        <v>T-Shirt</v>
      </c>
      <c r="D1420" s="2" t="str">
        <f>_xlfn.XLOOKUP(B1420,Master[Product_Code],Master[Brand])</f>
        <v>Campus</v>
      </c>
      <c r="E1420" s="2" t="str">
        <f>_xlfn.XLOOKUP(B1420,Master[Product_Code],Master[Style])</f>
        <v>Half Sleeve</v>
      </c>
      <c r="F1420" s="2" t="str">
        <f>_xlfn.XLOOKUP(B1420,Master[Product_Code],Master[Fabric])</f>
        <v>Cotton</v>
      </c>
      <c r="G1420" s="2" t="str">
        <f>_xlfn.XLOOKUP(B1420,Master[Product_Code],Master[Size])</f>
        <v>XL</v>
      </c>
      <c r="H1420" s="2" t="str">
        <f>_xlfn.XLOOKUP(B1420,Master[Product_Code],Master[Color])</f>
        <v>Cream</v>
      </c>
      <c r="I1420" s="4">
        <f>_xlfn.XLOOKUP(B1420,Master[Product_Code],Master[Stock_Qty])</f>
        <v>6</v>
      </c>
      <c r="J1420" s="6">
        <f>SUMIFS(
  Sales_Entry[Qty],
  Sales_Entry[Product_Code], Stock_Table[[#This Row],[Product_Code]]
)</f>
        <v>1</v>
      </c>
      <c r="K1420" s="4">
        <f>SUMIFS(
  Exchange_Return[Qty],
  Exchange_Return[Product_Code], Stock_Table[[#This Row],[Product_Code]]
)</f>
        <v>0</v>
      </c>
      <c r="L1420" s="4">
        <f>I1420-J1420+K1420</f>
        <v>5</v>
      </c>
      <c r="M1420" s="2" t="str" cm="1">
        <f t="array" ref="M1420">_xlfn.IFS(L1420=0,"Out of Stock",L1420&gt;=2,"Limited Stock",L1420&lt;2,"In Stock")</f>
        <v>Limited Stock</v>
      </c>
    </row>
    <row r="1421" spans="2:13">
      <c r="B1421" s="2" t="s">
        <v>594</v>
      </c>
      <c r="C1421" s="5" t="str">
        <f>_xlfn.XLOOKUP(B1421,Master[Product_Code],Master[Category])</f>
        <v>T-Shirt</v>
      </c>
      <c r="D1421" s="2" t="str">
        <f>_xlfn.XLOOKUP(B1421,Master[Product_Code],Master[Brand])</f>
        <v>Max</v>
      </c>
      <c r="E1421" s="2" t="str">
        <f>_xlfn.XLOOKUP(B1421,Master[Product_Code],Master[Style])</f>
        <v>Sleeveless</v>
      </c>
      <c r="F1421" s="2" t="str">
        <f>_xlfn.XLOOKUP(B1421,Master[Product_Code],Master[Fabric])</f>
        <v>Cotton Blend</v>
      </c>
      <c r="G1421" s="2" t="str">
        <f>_xlfn.XLOOKUP(B1421,Master[Product_Code],Master[Size])</f>
        <v>L</v>
      </c>
      <c r="H1421" s="2" t="str">
        <f>_xlfn.XLOOKUP(B1421,Master[Product_Code],Master[Color])</f>
        <v>Dark Green</v>
      </c>
      <c r="I1421" s="4">
        <f>_xlfn.XLOOKUP(B1421,Master[Product_Code],Master[Stock_Qty])</f>
        <v>6</v>
      </c>
      <c r="J1421" s="6">
        <f>SUMIFS(
  Sales_Entry[Qty],
  Sales_Entry[Product_Code], Stock_Table[[#This Row],[Product_Code]]
)</f>
        <v>2</v>
      </c>
      <c r="K1421" s="4">
        <f>SUMIFS(
  Exchange_Return[Qty],
  Exchange_Return[Product_Code], Stock_Table[[#This Row],[Product_Code]]
)</f>
        <v>0</v>
      </c>
      <c r="L1421" s="4">
        <f>I1421-J1421+K1421</f>
        <v>4</v>
      </c>
      <c r="M1421" s="2" t="str" cm="1">
        <f t="array" ref="M1421">_xlfn.IFS(L1421=0,"Out of Stock",L1421&gt;=2,"Limited Stock",L1421&lt;2,"In Stock")</f>
        <v>Limited Stock</v>
      </c>
    </row>
    <row r="1422" spans="2:13">
      <c r="B1422" s="2" t="s">
        <v>595</v>
      </c>
      <c r="C1422" s="5" t="str">
        <f>_xlfn.XLOOKUP(B1422,Master[Product_Code],Master[Category])</f>
        <v>T-Shirt</v>
      </c>
      <c r="D1422" s="2" t="str">
        <f>_xlfn.XLOOKUP(B1422,Master[Product_Code],Master[Brand])</f>
        <v>Urban Monkey</v>
      </c>
      <c r="E1422" s="2" t="str">
        <f>_xlfn.XLOOKUP(B1422,Master[Product_Code],Master[Style])</f>
        <v>Sleeveless</v>
      </c>
      <c r="F1422" s="2" t="str">
        <f>_xlfn.XLOOKUP(B1422,Master[Product_Code],Master[Fabric])</f>
        <v>Poly Cotton</v>
      </c>
      <c r="G1422" s="2" t="str">
        <f>_xlfn.XLOOKUP(B1422,Master[Product_Code],Master[Size])</f>
        <v>M</v>
      </c>
      <c r="H1422" s="2" t="str">
        <f>_xlfn.XLOOKUP(B1422,Master[Product_Code],Master[Color])</f>
        <v>Olive</v>
      </c>
      <c r="I1422" s="4">
        <f>_xlfn.XLOOKUP(B1422,Master[Product_Code],Master[Stock_Qty])</f>
        <v>6</v>
      </c>
      <c r="J1422" s="6">
        <f>SUMIFS(
  Sales_Entry[Qty],
  Sales_Entry[Product_Code], Stock_Table[[#This Row],[Product_Code]]
)</f>
        <v>4</v>
      </c>
      <c r="K1422" s="4">
        <f>SUMIFS(
  Exchange_Return[Qty],
  Exchange_Return[Product_Code], Stock_Table[[#This Row],[Product_Code]]
)</f>
        <v>0</v>
      </c>
      <c r="L1422" s="4">
        <f>I1422-J1422+K1422</f>
        <v>2</v>
      </c>
      <c r="M1422" s="2" t="str" cm="1">
        <f t="array" ref="M1422">_xlfn.IFS(L1422=0,"Out of Stock",L1422&gt;=2,"Limited Stock",L1422&lt;2,"In Stock")</f>
        <v>Limited Stock</v>
      </c>
    </row>
    <row r="1423" spans="2:13">
      <c r="B1423" s="2" t="s">
        <v>596</v>
      </c>
      <c r="C1423" s="5" t="str">
        <f>_xlfn.XLOOKUP(B1423,Master[Product_Code],Master[Category])</f>
        <v>T-Shirt</v>
      </c>
      <c r="D1423" s="2" t="str">
        <f>_xlfn.XLOOKUP(B1423,Master[Product_Code],Master[Brand])</f>
        <v>Urban Monkey</v>
      </c>
      <c r="E1423" s="2" t="str">
        <f>_xlfn.XLOOKUP(B1423,Master[Product_Code],Master[Style])</f>
        <v>Half Sleeve</v>
      </c>
      <c r="F1423" s="2" t="str">
        <f>_xlfn.XLOOKUP(B1423,Master[Product_Code],Master[Fabric])</f>
        <v>Cotton Blend</v>
      </c>
      <c r="G1423" s="2" t="str">
        <f>_xlfn.XLOOKUP(B1423,Master[Product_Code],Master[Size])</f>
        <v>S</v>
      </c>
      <c r="H1423" s="2" t="str">
        <f>_xlfn.XLOOKUP(B1423,Master[Product_Code],Master[Color])</f>
        <v>Mustard</v>
      </c>
      <c r="I1423" s="4">
        <f>_xlfn.XLOOKUP(B1423,Master[Product_Code],Master[Stock_Qty])</f>
        <v>5</v>
      </c>
      <c r="J1423" s="6">
        <f>SUMIFS(
  Sales_Entry[Qty],
  Sales_Entry[Product_Code], Stock_Table[[#This Row],[Product_Code]]
)</f>
        <v>2</v>
      </c>
      <c r="K1423" s="4">
        <f>SUMIFS(
  Exchange_Return[Qty],
  Exchange_Return[Product_Code], Stock_Table[[#This Row],[Product_Code]]
)</f>
        <v>0</v>
      </c>
      <c r="L1423" s="4">
        <f>I1423-J1423+K1423</f>
        <v>3</v>
      </c>
      <c r="M1423" s="2" t="str" cm="1">
        <f t="array" ref="M1423">_xlfn.IFS(L1423=0,"Out of Stock",L1423&gt;=2,"Limited Stock",L1423&lt;2,"In Stock")</f>
        <v>Limited Stock</v>
      </c>
    </row>
    <row r="1424" spans="2:13">
      <c r="B1424" s="2" t="s">
        <v>597</v>
      </c>
      <c r="C1424" s="5" t="str">
        <f>_xlfn.XLOOKUP(B1424,Master[Product_Code],Master[Category])</f>
        <v>T-Shirt</v>
      </c>
      <c r="D1424" s="2" t="str">
        <f>_xlfn.XLOOKUP(B1424,Master[Product_Code],Master[Brand])</f>
        <v>Zara</v>
      </c>
      <c r="E1424" s="2" t="str">
        <f>_xlfn.XLOOKUP(B1424,Master[Product_Code],Master[Style])</f>
        <v>3/4 Sleeve</v>
      </c>
      <c r="F1424" s="2" t="str">
        <f>_xlfn.XLOOKUP(B1424,Master[Product_Code],Master[Fabric])</f>
        <v>Cotton</v>
      </c>
      <c r="G1424" s="2" t="str">
        <f>_xlfn.XLOOKUP(B1424,Master[Product_Code],Master[Size])</f>
        <v>XL</v>
      </c>
      <c r="H1424" s="2" t="str">
        <f>_xlfn.XLOOKUP(B1424,Master[Product_Code],Master[Color])</f>
        <v>Olive</v>
      </c>
      <c r="I1424" s="4">
        <f>_xlfn.XLOOKUP(B1424,Master[Product_Code],Master[Stock_Qty])</f>
        <v>3</v>
      </c>
      <c r="J1424" s="6">
        <f>SUMIFS(
  Sales_Entry[Qty],
  Sales_Entry[Product_Code], Stock_Table[[#This Row],[Product_Code]]
)</f>
        <v>3</v>
      </c>
      <c r="K1424" s="4">
        <f>SUMIFS(
  Exchange_Return[Qty],
  Exchange_Return[Product_Code], Stock_Table[[#This Row],[Product_Code]]
)</f>
        <v>0</v>
      </c>
      <c r="L1424" s="4">
        <f>I1424-J1424+K1424</f>
        <v>0</v>
      </c>
      <c r="M1424" s="2" t="str" cm="1">
        <f t="array" ref="M1424">_xlfn.IFS(L1424=0,"Out of Stock",L1424&gt;=2,"Limited Stock",L1424&lt;2,"In Stock")</f>
        <v>Out of Stock</v>
      </c>
    </row>
    <row r="1425" spans="2:13">
      <c r="B1425" s="2" t="s">
        <v>598</v>
      </c>
      <c r="C1425" s="5" t="str">
        <f>_xlfn.XLOOKUP(B1425,Master[Product_Code],Master[Category])</f>
        <v>T-Shirt</v>
      </c>
      <c r="D1425" s="2" t="str">
        <f>_xlfn.XLOOKUP(B1425,Master[Product_Code],Master[Brand])</f>
        <v>Zara</v>
      </c>
      <c r="E1425" s="2" t="str">
        <f>_xlfn.XLOOKUP(B1425,Master[Product_Code],Master[Style])</f>
        <v>3/4 Sleeve</v>
      </c>
      <c r="F1425" s="2" t="str">
        <f>_xlfn.XLOOKUP(B1425,Master[Product_Code],Master[Fabric])</f>
        <v>Poly Cotton</v>
      </c>
      <c r="G1425" s="2" t="str">
        <f>_xlfn.XLOOKUP(B1425,Master[Product_Code],Master[Size])</f>
        <v>XXL</v>
      </c>
      <c r="H1425" s="2" t="str">
        <f>_xlfn.XLOOKUP(B1425,Master[Product_Code],Master[Color])</f>
        <v>Peach</v>
      </c>
      <c r="I1425" s="4">
        <f>_xlfn.XLOOKUP(B1425,Master[Product_Code],Master[Stock_Qty])</f>
        <v>3</v>
      </c>
      <c r="J1425" s="6">
        <f>SUMIFS(
  Sales_Entry[Qty],
  Sales_Entry[Product_Code], Stock_Table[[#This Row],[Product_Code]]
)</f>
        <v>3</v>
      </c>
      <c r="K1425" s="4">
        <f>SUMIFS(
  Exchange_Return[Qty],
  Exchange_Return[Product_Code], Stock_Table[[#This Row],[Product_Code]]
)</f>
        <v>0</v>
      </c>
      <c r="L1425" s="4">
        <f>I1425-J1425+K1425</f>
        <v>0</v>
      </c>
      <c r="M1425" s="2" t="str" cm="1">
        <f t="array" ref="M1425">_xlfn.IFS(L1425=0,"Out of Stock",L1425&gt;=2,"Limited Stock",L1425&lt;2,"In Stock")</f>
        <v>Out of Stock</v>
      </c>
    </row>
    <row r="1426" spans="2:13">
      <c r="B1426" s="2" t="s">
        <v>599</v>
      </c>
      <c r="C1426" s="5" t="str">
        <f>_xlfn.XLOOKUP(B1426,Master[Product_Code],Master[Category])</f>
        <v>T-Shirt</v>
      </c>
      <c r="D1426" s="2" t="str">
        <f>_xlfn.XLOOKUP(B1426,Master[Product_Code],Master[Brand])</f>
        <v>Campus</v>
      </c>
      <c r="E1426" s="2" t="str">
        <f>_xlfn.XLOOKUP(B1426,Master[Product_Code],Master[Style])</f>
        <v>Full Sleeve</v>
      </c>
      <c r="F1426" s="2" t="str">
        <f>_xlfn.XLOOKUP(B1426,Master[Product_Code],Master[Fabric])</f>
        <v>Poly Cotton</v>
      </c>
      <c r="G1426" s="2" t="str">
        <f>_xlfn.XLOOKUP(B1426,Master[Product_Code],Master[Size])</f>
        <v>XL</v>
      </c>
      <c r="H1426" s="2" t="str">
        <f>_xlfn.XLOOKUP(B1426,Master[Product_Code],Master[Color])</f>
        <v>Olive</v>
      </c>
      <c r="I1426" s="4">
        <f>_xlfn.XLOOKUP(B1426,Master[Product_Code],Master[Stock_Qty])</f>
        <v>3</v>
      </c>
      <c r="J1426" s="6">
        <f>SUMIFS(
  Sales_Entry[Qty],
  Sales_Entry[Product_Code], Stock_Table[[#This Row],[Product_Code]]
)</f>
        <v>2</v>
      </c>
      <c r="K1426" s="4">
        <f>SUMIFS(
  Exchange_Return[Qty],
  Exchange_Return[Product_Code], Stock_Table[[#This Row],[Product_Code]]
)</f>
        <v>0</v>
      </c>
      <c r="L1426" s="4">
        <f>I1426-J1426+K1426</f>
        <v>1</v>
      </c>
      <c r="M1426" s="2" t="str" cm="1">
        <f t="array" ref="M1426">_xlfn.IFS(L1426=0,"Out of Stock",L1426&gt;=2,"Limited Stock",L1426&lt;2,"In Stock")</f>
        <v>In Stock</v>
      </c>
    </row>
    <row r="1427" spans="2:13">
      <c r="B1427" s="2" t="s">
        <v>600</v>
      </c>
      <c r="C1427" s="5" t="str">
        <f>_xlfn.XLOOKUP(B1427,Master[Product_Code],Master[Category])</f>
        <v>T-Shirt</v>
      </c>
      <c r="D1427" s="2" t="str">
        <f>_xlfn.XLOOKUP(B1427,Master[Product_Code],Master[Brand])</f>
        <v>Thailand</v>
      </c>
      <c r="E1427" s="2" t="str">
        <f>_xlfn.XLOOKUP(B1427,Master[Product_Code],Master[Style])</f>
        <v>Full Sleeve</v>
      </c>
      <c r="F1427" s="2" t="str">
        <f>_xlfn.XLOOKUP(B1427,Master[Product_Code],Master[Fabric])</f>
        <v>Cotton</v>
      </c>
      <c r="G1427" s="2" t="str">
        <f>_xlfn.XLOOKUP(B1427,Master[Product_Code],Master[Size])</f>
        <v>XL</v>
      </c>
      <c r="H1427" s="2" t="str">
        <f>_xlfn.XLOOKUP(B1427,Master[Product_Code],Master[Color])</f>
        <v>Dark Green</v>
      </c>
      <c r="I1427" s="4">
        <f>_xlfn.XLOOKUP(B1427,Master[Product_Code],Master[Stock_Qty])</f>
        <v>5</v>
      </c>
      <c r="J1427" s="6">
        <f>SUMIFS(
  Sales_Entry[Qty],
  Sales_Entry[Product_Code], Stock_Table[[#This Row],[Product_Code]]
)</f>
        <v>2</v>
      </c>
      <c r="K1427" s="4">
        <f>SUMIFS(
  Exchange_Return[Qty],
  Exchange_Return[Product_Code], Stock_Table[[#This Row],[Product_Code]]
)</f>
        <v>0</v>
      </c>
      <c r="L1427" s="4">
        <f>I1427-J1427+K1427</f>
        <v>3</v>
      </c>
      <c r="M1427" s="2" t="str" cm="1">
        <f t="array" ref="M1427">_xlfn.IFS(L1427=0,"Out of Stock",L1427&gt;=2,"Limited Stock",L1427&lt;2,"In Stock")</f>
        <v>Limited Stock</v>
      </c>
    </row>
    <row r="1428" spans="2:13">
      <c r="B1428" s="2" t="s">
        <v>601</v>
      </c>
      <c r="C1428" s="5" t="str">
        <f>_xlfn.XLOOKUP(B1428,Master[Product_Code],Master[Category])</f>
        <v>T-Shirt</v>
      </c>
      <c r="D1428" s="2" t="str">
        <f>_xlfn.XLOOKUP(B1428,Master[Product_Code],Master[Brand])</f>
        <v>Thailand</v>
      </c>
      <c r="E1428" s="2" t="str">
        <f>_xlfn.XLOOKUP(B1428,Master[Product_Code],Master[Style])</f>
        <v>3/4 Sleeve</v>
      </c>
      <c r="F1428" s="2" t="str">
        <f>_xlfn.XLOOKUP(B1428,Master[Product_Code],Master[Fabric])</f>
        <v>Cotton</v>
      </c>
      <c r="G1428" s="2" t="str">
        <f>_xlfn.XLOOKUP(B1428,Master[Product_Code],Master[Size])</f>
        <v>S</v>
      </c>
      <c r="H1428" s="2" t="str">
        <f>_xlfn.XLOOKUP(B1428,Master[Product_Code],Master[Color])</f>
        <v>White</v>
      </c>
      <c r="I1428" s="4">
        <f>_xlfn.XLOOKUP(B1428,Master[Product_Code],Master[Stock_Qty])</f>
        <v>6</v>
      </c>
      <c r="J1428" s="6">
        <f>SUMIFS(
  Sales_Entry[Qty],
  Sales_Entry[Product_Code], Stock_Table[[#This Row],[Product_Code]]
)</f>
        <v>0</v>
      </c>
      <c r="K1428" s="4">
        <f>SUMIFS(
  Exchange_Return[Qty],
  Exchange_Return[Product_Code], Stock_Table[[#This Row],[Product_Code]]
)</f>
        <v>0</v>
      </c>
      <c r="L1428" s="4">
        <f>I1428-J1428+K1428</f>
        <v>6</v>
      </c>
      <c r="M1428" s="2" t="str" cm="1">
        <f t="array" ref="M1428">_xlfn.IFS(L1428=0,"Out of Stock",L1428&gt;=2,"Limited Stock",L1428&lt;2,"In Stock")</f>
        <v>Limited Stock</v>
      </c>
    </row>
    <row r="1429" spans="2:13">
      <c r="B1429" s="2" t="s">
        <v>602</v>
      </c>
      <c r="C1429" s="5" t="str">
        <f>_xlfn.XLOOKUP(B1429,Master[Product_Code],Master[Category])</f>
        <v>T-Shirt</v>
      </c>
      <c r="D1429" s="2" t="str">
        <f>_xlfn.XLOOKUP(B1429,Master[Product_Code],Master[Brand])</f>
        <v>Roadster</v>
      </c>
      <c r="E1429" s="2" t="str">
        <f>_xlfn.XLOOKUP(B1429,Master[Product_Code],Master[Style])</f>
        <v>Sleeveless</v>
      </c>
      <c r="F1429" s="2" t="str">
        <f>_xlfn.XLOOKUP(B1429,Master[Product_Code],Master[Fabric])</f>
        <v>Cotton</v>
      </c>
      <c r="G1429" s="2" t="str">
        <f>_xlfn.XLOOKUP(B1429,Master[Product_Code],Master[Size])</f>
        <v>S</v>
      </c>
      <c r="H1429" s="2" t="str">
        <f>_xlfn.XLOOKUP(B1429,Master[Product_Code],Master[Color])</f>
        <v>Teal</v>
      </c>
      <c r="I1429" s="4">
        <f>_xlfn.XLOOKUP(B1429,Master[Product_Code],Master[Stock_Qty])</f>
        <v>3</v>
      </c>
      <c r="J1429" s="6">
        <f>SUMIFS(
  Sales_Entry[Qty],
  Sales_Entry[Product_Code], Stock_Table[[#This Row],[Product_Code]]
)</f>
        <v>1</v>
      </c>
      <c r="K1429" s="4">
        <f>SUMIFS(
  Exchange_Return[Qty],
  Exchange_Return[Product_Code], Stock_Table[[#This Row],[Product_Code]]
)</f>
        <v>0</v>
      </c>
      <c r="L1429" s="4">
        <f>I1429-J1429+K1429</f>
        <v>2</v>
      </c>
      <c r="M1429" s="2" t="str" cm="1">
        <f t="array" ref="M1429">_xlfn.IFS(L1429=0,"Out of Stock",L1429&gt;=2,"Limited Stock",L1429&lt;2,"In Stock")</f>
        <v>Limited Stock</v>
      </c>
    </row>
    <row r="1430" spans="2:13">
      <c r="B1430" s="2" t="s">
        <v>603</v>
      </c>
      <c r="C1430" s="5" t="str">
        <f>_xlfn.XLOOKUP(B1430,Master[Product_Code],Master[Category])</f>
        <v>T-Shirt</v>
      </c>
      <c r="D1430" s="2" t="str">
        <f>_xlfn.XLOOKUP(B1430,Master[Product_Code],Master[Brand])</f>
        <v>Zara</v>
      </c>
      <c r="E1430" s="2" t="str">
        <f>_xlfn.XLOOKUP(B1430,Master[Product_Code],Master[Style])</f>
        <v>3/4 Sleeve</v>
      </c>
      <c r="F1430" s="2" t="str">
        <f>_xlfn.XLOOKUP(B1430,Master[Product_Code],Master[Fabric])</f>
        <v>Poly Cotton</v>
      </c>
      <c r="G1430" s="2" t="str">
        <f>_xlfn.XLOOKUP(B1430,Master[Product_Code],Master[Size])</f>
        <v>XXL</v>
      </c>
      <c r="H1430" s="2" t="str">
        <f>_xlfn.XLOOKUP(B1430,Master[Product_Code],Master[Color])</f>
        <v>Peach</v>
      </c>
      <c r="I1430" s="4">
        <f>_xlfn.XLOOKUP(B1430,Master[Product_Code],Master[Stock_Qty])</f>
        <v>4</v>
      </c>
      <c r="J1430" s="6">
        <f>SUMIFS(
  Sales_Entry[Qty],
  Sales_Entry[Product_Code], Stock_Table[[#This Row],[Product_Code]]
)</f>
        <v>1</v>
      </c>
      <c r="K1430" s="4">
        <f>SUMIFS(
  Exchange_Return[Qty],
  Exchange_Return[Product_Code], Stock_Table[[#This Row],[Product_Code]]
)</f>
        <v>0</v>
      </c>
      <c r="L1430" s="4">
        <f>I1430-J1430+K1430</f>
        <v>3</v>
      </c>
      <c r="M1430" s="2" t="str" cm="1">
        <f t="array" ref="M1430">_xlfn.IFS(L1430=0,"Out of Stock",L1430&gt;=2,"Limited Stock",L1430&lt;2,"In Stock")</f>
        <v>Limited Stock</v>
      </c>
    </row>
    <row r="1431" spans="2:13">
      <c r="B1431" s="2" t="s">
        <v>604</v>
      </c>
      <c r="C1431" s="5" t="str">
        <f>_xlfn.XLOOKUP(B1431,Master[Product_Code],Master[Category])</f>
        <v>T-Shirt</v>
      </c>
      <c r="D1431" s="2" t="str">
        <f>_xlfn.XLOOKUP(B1431,Master[Product_Code],Master[Brand])</f>
        <v>Zara</v>
      </c>
      <c r="E1431" s="2" t="str">
        <f>_xlfn.XLOOKUP(B1431,Master[Product_Code],Master[Style])</f>
        <v>Full Sleeve</v>
      </c>
      <c r="F1431" s="2" t="str">
        <f>_xlfn.XLOOKUP(B1431,Master[Product_Code],Master[Fabric])</f>
        <v>Cotton</v>
      </c>
      <c r="G1431" s="2" t="str">
        <f>_xlfn.XLOOKUP(B1431,Master[Product_Code],Master[Size])</f>
        <v>L</v>
      </c>
      <c r="H1431" s="2" t="str">
        <f>_xlfn.XLOOKUP(B1431,Master[Product_Code],Master[Color])</f>
        <v>Navy Blue</v>
      </c>
      <c r="I1431" s="4">
        <f>_xlfn.XLOOKUP(B1431,Master[Product_Code],Master[Stock_Qty])</f>
        <v>6</v>
      </c>
      <c r="J1431" s="6">
        <f>SUMIFS(
  Sales_Entry[Qty],
  Sales_Entry[Product_Code], Stock_Table[[#This Row],[Product_Code]]
)</f>
        <v>1</v>
      </c>
      <c r="K1431" s="4">
        <f>SUMIFS(
  Exchange_Return[Qty],
  Exchange_Return[Product_Code], Stock_Table[[#This Row],[Product_Code]]
)</f>
        <v>0</v>
      </c>
      <c r="L1431" s="4">
        <f>I1431-J1431+K1431</f>
        <v>5</v>
      </c>
      <c r="M1431" s="2" t="str" cm="1">
        <f t="array" ref="M1431">_xlfn.IFS(L1431=0,"Out of Stock",L1431&gt;=2,"Limited Stock",L1431&lt;2,"In Stock")</f>
        <v>Limited Stock</v>
      </c>
    </row>
    <row r="1432" spans="2:13">
      <c r="B1432" s="2" t="s">
        <v>605</v>
      </c>
      <c r="C1432" s="5" t="str">
        <f>_xlfn.XLOOKUP(B1432,Master[Product_Code],Master[Category])</f>
        <v>T-Shirt</v>
      </c>
      <c r="D1432" s="2" t="str">
        <f>_xlfn.XLOOKUP(B1432,Master[Product_Code],Master[Brand])</f>
        <v>Thailand</v>
      </c>
      <c r="E1432" s="2" t="str">
        <f>_xlfn.XLOOKUP(B1432,Master[Product_Code],Master[Style])</f>
        <v>Sleeveless</v>
      </c>
      <c r="F1432" s="2" t="str">
        <f>_xlfn.XLOOKUP(B1432,Master[Product_Code],Master[Fabric])</f>
        <v>Cotton Blend</v>
      </c>
      <c r="G1432" s="2" t="str">
        <f>_xlfn.XLOOKUP(B1432,Master[Product_Code],Master[Size])</f>
        <v>XL</v>
      </c>
      <c r="H1432" s="2" t="str">
        <f>_xlfn.XLOOKUP(B1432,Master[Product_Code],Master[Color])</f>
        <v>Beige</v>
      </c>
      <c r="I1432" s="4">
        <f>_xlfn.XLOOKUP(B1432,Master[Product_Code],Master[Stock_Qty])</f>
        <v>3</v>
      </c>
      <c r="J1432" s="6">
        <f>SUMIFS(
  Sales_Entry[Qty],
  Sales_Entry[Product_Code], Stock_Table[[#This Row],[Product_Code]]
)</f>
        <v>0</v>
      </c>
      <c r="K1432" s="4">
        <f>SUMIFS(
  Exchange_Return[Qty],
  Exchange_Return[Product_Code], Stock_Table[[#This Row],[Product_Code]]
)</f>
        <v>0</v>
      </c>
      <c r="L1432" s="4">
        <f>I1432-J1432+K1432</f>
        <v>3</v>
      </c>
      <c r="M1432" s="2" t="str" cm="1">
        <f t="array" ref="M1432">_xlfn.IFS(L1432=0,"Out of Stock",L1432&gt;=2,"Limited Stock",L1432&lt;2,"In Stock")</f>
        <v>Limited Stock</v>
      </c>
    </row>
    <row r="1433" spans="2:13">
      <c r="B1433" s="2" t="s">
        <v>606</v>
      </c>
      <c r="C1433" s="5" t="str">
        <f>_xlfn.XLOOKUP(B1433,Master[Product_Code],Master[Category])</f>
        <v>T-Shirt</v>
      </c>
      <c r="D1433" s="2" t="str">
        <f>_xlfn.XLOOKUP(B1433,Master[Product_Code],Master[Brand])</f>
        <v>Roadster</v>
      </c>
      <c r="E1433" s="2" t="str">
        <f>_xlfn.XLOOKUP(B1433,Master[Product_Code],Master[Style])</f>
        <v>Sleeveless</v>
      </c>
      <c r="F1433" s="2" t="str">
        <f>_xlfn.XLOOKUP(B1433,Master[Product_Code],Master[Fabric])</f>
        <v>Cotton</v>
      </c>
      <c r="G1433" s="2" t="str">
        <f>_xlfn.XLOOKUP(B1433,Master[Product_Code],Master[Size])</f>
        <v>L</v>
      </c>
      <c r="H1433" s="2" t="str">
        <f>_xlfn.XLOOKUP(B1433,Master[Product_Code],Master[Color])</f>
        <v>Rust</v>
      </c>
      <c r="I1433" s="4">
        <f>_xlfn.XLOOKUP(B1433,Master[Product_Code],Master[Stock_Qty])</f>
        <v>5</v>
      </c>
      <c r="J1433" s="6">
        <f>SUMIFS(
  Sales_Entry[Qty],
  Sales_Entry[Product_Code], Stock_Table[[#This Row],[Product_Code]]
)</f>
        <v>1</v>
      </c>
      <c r="K1433" s="4">
        <f>SUMIFS(
  Exchange_Return[Qty],
  Exchange_Return[Product_Code], Stock_Table[[#This Row],[Product_Code]]
)</f>
        <v>0</v>
      </c>
      <c r="L1433" s="4">
        <f>I1433-J1433+K1433</f>
        <v>4</v>
      </c>
      <c r="M1433" s="2" t="str" cm="1">
        <f t="array" ref="M1433">_xlfn.IFS(L1433=0,"Out of Stock",L1433&gt;=2,"Limited Stock",L1433&lt;2,"In Stock")</f>
        <v>Limited Stock</v>
      </c>
    </row>
    <row r="1434" spans="2:13">
      <c r="B1434" s="2" t="s">
        <v>607</v>
      </c>
      <c r="C1434" s="5" t="str">
        <f>_xlfn.XLOOKUP(B1434,Master[Product_Code],Master[Category])</f>
        <v>T-Shirt</v>
      </c>
      <c r="D1434" s="2" t="str">
        <f>_xlfn.XLOOKUP(B1434,Master[Product_Code],Master[Brand])</f>
        <v>Max</v>
      </c>
      <c r="E1434" s="2" t="str">
        <f>_xlfn.XLOOKUP(B1434,Master[Product_Code],Master[Style])</f>
        <v>Half Sleeve</v>
      </c>
      <c r="F1434" s="2" t="str">
        <f>_xlfn.XLOOKUP(B1434,Master[Product_Code],Master[Fabric])</f>
        <v>Cotton Blend</v>
      </c>
      <c r="G1434" s="2" t="str">
        <f>_xlfn.XLOOKUP(B1434,Master[Product_Code],Master[Size])</f>
        <v>XL</v>
      </c>
      <c r="H1434" s="2" t="str">
        <f>_xlfn.XLOOKUP(B1434,Master[Product_Code],Master[Color])</f>
        <v>Cream</v>
      </c>
      <c r="I1434" s="4">
        <f>_xlfn.XLOOKUP(B1434,Master[Product_Code],Master[Stock_Qty])</f>
        <v>5</v>
      </c>
      <c r="J1434" s="6">
        <f>SUMIFS(
  Sales_Entry[Qty],
  Sales_Entry[Product_Code], Stock_Table[[#This Row],[Product_Code]]
)</f>
        <v>4</v>
      </c>
      <c r="K1434" s="4">
        <f>SUMIFS(
  Exchange_Return[Qty],
  Exchange_Return[Product_Code], Stock_Table[[#This Row],[Product_Code]]
)</f>
        <v>0</v>
      </c>
      <c r="L1434" s="4">
        <f>I1434-J1434+K1434</f>
        <v>1</v>
      </c>
      <c r="M1434" s="2" t="str" cm="1">
        <f t="array" ref="M1434">_xlfn.IFS(L1434=0,"Out of Stock",L1434&gt;=2,"Limited Stock",L1434&lt;2,"In Stock")</f>
        <v>In Stock</v>
      </c>
    </row>
    <row r="1435" spans="2:13">
      <c r="B1435" s="2" t="s">
        <v>608</v>
      </c>
      <c r="C1435" s="5" t="str">
        <f>_xlfn.XLOOKUP(B1435,Master[Product_Code],Master[Category])</f>
        <v>T-Shirt</v>
      </c>
      <c r="D1435" s="2" t="str">
        <f>_xlfn.XLOOKUP(B1435,Master[Product_Code],Master[Brand])</f>
        <v>Urban Monkey</v>
      </c>
      <c r="E1435" s="2" t="str">
        <f>_xlfn.XLOOKUP(B1435,Master[Product_Code],Master[Style])</f>
        <v>3/4 Sleeve</v>
      </c>
      <c r="F1435" s="2" t="str">
        <f>_xlfn.XLOOKUP(B1435,Master[Product_Code],Master[Fabric])</f>
        <v>Poly Cotton</v>
      </c>
      <c r="G1435" s="2" t="str">
        <f>_xlfn.XLOOKUP(B1435,Master[Product_Code],Master[Size])</f>
        <v>S</v>
      </c>
      <c r="H1435" s="2" t="str">
        <f>_xlfn.XLOOKUP(B1435,Master[Product_Code],Master[Color])</f>
        <v>Maroon</v>
      </c>
      <c r="I1435" s="4">
        <f>_xlfn.XLOOKUP(B1435,Master[Product_Code],Master[Stock_Qty])</f>
        <v>3</v>
      </c>
      <c r="J1435" s="6">
        <f>SUMIFS(
  Sales_Entry[Qty],
  Sales_Entry[Product_Code], Stock_Table[[#This Row],[Product_Code]]
)</f>
        <v>3</v>
      </c>
      <c r="K1435" s="4">
        <f>SUMIFS(
  Exchange_Return[Qty],
  Exchange_Return[Product_Code], Stock_Table[[#This Row],[Product_Code]]
)</f>
        <v>0</v>
      </c>
      <c r="L1435" s="4">
        <f>I1435-J1435+K1435</f>
        <v>0</v>
      </c>
      <c r="M1435" s="2" t="str" cm="1">
        <f t="array" ref="M1435">_xlfn.IFS(L1435=0,"Out of Stock",L1435&gt;=2,"Limited Stock",L1435&lt;2,"In Stock")</f>
        <v>Out of Stock</v>
      </c>
    </row>
    <row r="1436" spans="2:13">
      <c r="B1436" s="2" t="s">
        <v>609</v>
      </c>
      <c r="C1436" s="5" t="str">
        <f>_xlfn.XLOOKUP(B1436,Master[Product_Code],Master[Category])</f>
        <v>T-Shirt</v>
      </c>
      <c r="D1436" s="2" t="str">
        <f>_xlfn.XLOOKUP(B1436,Master[Product_Code],Master[Brand])</f>
        <v>Campus</v>
      </c>
      <c r="E1436" s="2" t="str">
        <f>_xlfn.XLOOKUP(B1436,Master[Product_Code],Master[Style])</f>
        <v>3/4 Sleeve</v>
      </c>
      <c r="F1436" s="2" t="str">
        <f>_xlfn.XLOOKUP(B1436,Master[Product_Code],Master[Fabric])</f>
        <v>Poly Cotton</v>
      </c>
      <c r="G1436" s="2" t="str">
        <f>_xlfn.XLOOKUP(B1436,Master[Product_Code],Master[Size])</f>
        <v>XL</v>
      </c>
      <c r="H1436" s="2" t="str">
        <f>_xlfn.XLOOKUP(B1436,Master[Product_Code],Master[Color])</f>
        <v>Light Grey</v>
      </c>
      <c r="I1436" s="4">
        <f>_xlfn.XLOOKUP(B1436,Master[Product_Code],Master[Stock_Qty])</f>
        <v>4</v>
      </c>
      <c r="J1436" s="6">
        <f>SUMIFS(
  Sales_Entry[Qty],
  Sales_Entry[Product_Code], Stock_Table[[#This Row],[Product_Code]]
)</f>
        <v>3</v>
      </c>
      <c r="K1436" s="4">
        <f>SUMIFS(
  Exchange_Return[Qty],
  Exchange_Return[Product_Code], Stock_Table[[#This Row],[Product_Code]]
)</f>
        <v>0</v>
      </c>
      <c r="L1436" s="4">
        <f>I1436-J1436+K1436</f>
        <v>1</v>
      </c>
      <c r="M1436" s="2" t="str" cm="1">
        <f t="array" ref="M1436">_xlfn.IFS(L1436=0,"Out of Stock",L1436&gt;=2,"Limited Stock",L1436&lt;2,"In Stock")</f>
        <v>In Stock</v>
      </c>
    </row>
    <row r="1437" spans="2:13">
      <c r="B1437" s="2" t="s">
        <v>610</v>
      </c>
      <c r="C1437" s="5" t="str">
        <f>_xlfn.XLOOKUP(B1437,Master[Product_Code],Master[Category])</f>
        <v>T-Shirt</v>
      </c>
      <c r="D1437" s="2" t="str">
        <f>_xlfn.XLOOKUP(B1437,Master[Product_Code],Master[Brand])</f>
        <v>Zara</v>
      </c>
      <c r="E1437" s="2" t="str">
        <f>_xlfn.XLOOKUP(B1437,Master[Product_Code],Master[Style])</f>
        <v>Sleeveless</v>
      </c>
      <c r="F1437" s="2" t="str">
        <f>_xlfn.XLOOKUP(B1437,Master[Product_Code],Master[Fabric])</f>
        <v>Poly Cotton</v>
      </c>
      <c r="G1437" s="2" t="str">
        <f>_xlfn.XLOOKUP(B1437,Master[Product_Code],Master[Size])</f>
        <v>XL</v>
      </c>
      <c r="H1437" s="2" t="str">
        <f>_xlfn.XLOOKUP(B1437,Master[Product_Code],Master[Color])</f>
        <v>Dark Green</v>
      </c>
      <c r="I1437" s="4">
        <f>_xlfn.XLOOKUP(B1437,Master[Product_Code],Master[Stock_Qty])</f>
        <v>6</v>
      </c>
      <c r="J1437" s="6">
        <f>SUMIFS(
  Sales_Entry[Qty],
  Sales_Entry[Product_Code], Stock_Table[[#This Row],[Product_Code]]
)</f>
        <v>1</v>
      </c>
      <c r="K1437" s="4">
        <f>SUMIFS(
  Exchange_Return[Qty],
  Exchange_Return[Product_Code], Stock_Table[[#This Row],[Product_Code]]
)</f>
        <v>0</v>
      </c>
      <c r="L1437" s="4">
        <f>I1437-J1437+K1437</f>
        <v>5</v>
      </c>
      <c r="M1437" s="2" t="str" cm="1">
        <f t="array" ref="M1437">_xlfn.IFS(L1437=0,"Out of Stock",L1437&gt;=2,"Limited Stock",L1437&lt;2,"In Stock")</f>
        <v>Limited Stock</v>
      </c>
    </row>
    <row r="1438" spans="2:13">
      <c r="B1438" s="2" t="s">
        <v>611</v>
      </c>
      <c r="C1438" s="5" t="str">
        <f>_xlfn.XLOOKUP(B1438,Master[Product_Code],Master[Category])</f>
        <v>T-Shirt</v>
      </c>
      <c r="D1438" s="2" t="str">
        <f>_xlfn.XLOOKUP(B1438,Master[Product_Code],Master[Brand])</f>
        <v>Turkey</v>
      </c>
      <c r="E1438" s="2" t="str">
        <f>_xlfn.XLOOKUP(B1438,Master[Product_Code],Master[Style])</f>
        <v>Sleeveless</v>
      </c>
      <c r="F1438" s="2" t="str">
        <f>_xlfn.XLOOKUP(B1438,Master[Product_Code],Master[Fabric])</f>
        <v>Cotton Blend</v>
      </c>
      <c r="G1438" s="2" t="str">
        <f>_xlfn.XLOOKUP(B1438,Master[Product_Code],Master[Size])</f>
        <v>S</v>
      </c>
      <c r="H1438" s="2" t="str">
        <f>_xlfn.XLOOKUP(B1438,Master[Product_Code],Master[Color])</f>
        <v>Rust</v>
      </c>
      <c r="I1438" s="4">
        <f>_xlfn.XLOOKUP(B1438,Master[Product_Code],Master[Stock_Qty])</f>
        <v>3</v>
      </c>
      <c r="J1438" s="6">
        <f>SUMIFS(
  Sales_Entry[Qty],
  Sales_Entry[Product_Code], Stock_Table[[#This Row],[Product_Code]]
)</f>
        <v>2</v>
      </c>
      <c r="K1438" s="4">
        <f>SUMIFS(
  Exchange_Return[Qty],
  Exchange_Return[Product_Code], Stock_Table[[#This Row],[Product_Code]]
)</f>
        <v>0</v>
      </c>
      <c r="L1438" s="4">
        <f>I1438-J1438+K1438</f>
        <v>1</v>
      </c>
      <c r="M1438" s="2" t="str" cm="1">
        <f t="array" ref="M1438">_xlfn.IFS(L1438=0,"Out of Stock",L1438&gt;=2,"Limited Stock",L1438&lt;2,"In Stock")</f>
        <v>In Stock</v>
      </c>
    </row>
    <row r="1439" spans="2:13">
      <c r="B1439" s="2" t="s">
        <v>612</v>
      </c>
      <c r="C1439" s="5" t="str">
        <f>_xlfn.XLOOKUP(B1439,Master[Product_Code],Master[Category])</f>
        <v>T-Shirt</v>
      </c>
      <c r="D1439" s="2" t="str">
        <f>_xlfn.XLOOKUP(B1439,Master[Product_Code],Master[Brand])</f>
        <v>Roadster</v>
      </c>
      <c r="E1439" s="2" t="str">
        <f>_xlfn.XLOOKUP(B1439,Master[Product_Code],Master[Style])</f>
        <v>Hoodie</v>
      </c>
      <c r="F1439" s="2" t="str">
        <f>_xlfn.XLOOKUP(B1439,Master[Product_Code],Master[Fabric])</f>
        <v>Poly Cotton</v>
      </c>
      <c r="G1439" s="2" t="str">
        <f>_xlfn.XLOOKUP(B1439,Master[Product_Code],Master[Size])</f>
        <v>XXL</v>
      </c>
      <c r="H1439" s="2" t="str">
        <f>_xlfn.XLOOKUP(B1439,Master[Product_Code],Master[Color])</f>
        <v>Maroon</v>
      </c>
      <c r="I1439" s="4">
        <f>_xlfn.XLOOKUP(B1439,Master[Product_Code],Master[Stock_Qty])</f>
        <v>3</v>
      </c>
      <c r="J1439" s="6">
        <f>SUMIFS(
  Sales_Entry[Qty],
  Sales_Entry[Product_Code], Stock_Table[[#This Row],[Product_Code]]
)</f>
        <v>3</v>
      </c>
      <c r="K1439" s="4">
        <f>SUMIFS(
  Exchange_Return[Qty],
  Exchange_Return[Product_Code], Stock_Table[[#This Row],[Product_Code]]
)</f>
        <v>0</v>
      </c>
      <c r="L1439" s="4">
        <f>I1439-J1439+K1439</f>
        <v>0</v>
      </c>
      <c r="M1439" s="2" t="str" cm="1">
        <f t="array" ref="M1439">_xlfn.IFS(L1439=0,"Out of Stock",L1439&gt;=2,"Limited Stock",L1439&lt;2,"In Stock")</f>
        <v>Out of Stock</v>
      </c>
    </row>
    <row r="1440" spans="2:13">
      <c r="B1440" s="2" t="s">
        <v>613</v>
      </c>
      <c r="C1440" s="5" t="str">
        <f>_xlfn.XLOOKUP(B1440,Master[Product_Code],Master[Category])</f>
        <v>T-Shirt</v>
      </c>
      <c r="D1440" s="2" t="str">
        <f>_xlfn.XLOOKUP(B1440,Master[Product_Code],Master[Brand])</f>
        <v>Max</v>
      </c>
      <c r="E1440" s="2" t="str">
        <f>_xlfn.XLOOKUP(B1440,Master[Product_Code],Master[Style])</f>
        <v>Full Sleeve</v>
      </c>
      <c r="F1440" s="2" t="str">
        <f>_xlfn.XLOOKUP(B1440,Master[Product_Code],Master[Fabric])</f>
        <v>Cotton</v>
      </c>
      <c r="G1440" s="2" t="str">
        <f>_xlfn.XLOOKUP(B1440,Master[Product_Code],Master[Size])</f>
        <v>M</v>
      </c>
      <c r="H1440" s="2" t="str">
        <f>_xlfn.XLOOKUP(B1440,Master[Product_Code],Master[Color])</f>
        <v>Grey</v>
      </c>
      <c r="I1440" s="4">
        <f>_xlfn.XLOOKUP(B1440,Master[Product_Code],Master[Stock_Qty])</f>
        <v>4</v>
      </c>
      <c r="J1440" s="6">
        <f>SUMIFS(
  Sales_Entry[Qty],
  Sales_Entry[Product_Code], Stock_Table[[#This Row],[Product_Code]]
)</f>
        <v>2</v>
      </c>
      <c r="K1440" s="4">
        <f>SUMIFS(
  Exchange_Return[Qty],
  Exchange_Return[Product_Code], Stock_Table[[#This Row],[Product_Code]]
)</f>
        <v>0</v>
      </c>
      <c r="L1440" s="4">
        <f>I1440-J1440+K1440</f>
        <v>2</v>
      </c>
      <c r="M1440" s="2" t="str" cm="1">
        <f t="array" ref="M1440">_xlfn.IFS(L1440=0,"Out of Stock",L1440&gt;=2,"Limited Stock",L1440&lt;2,"In Stock")</f>
        <v>Limited Stock</v>
      </c>
    </row>
    <row r="1441" spans="2:13">
      <c r="B1441" s="2" t="s">
        <v>614</v>
      </c>
      <c r="C1441" s="5" t="str">
        <f>_xlfn.XLOOKUP(B1441,Master[Product_Code],Master[Category])</f>
        <v>T-Shirt</v>
      </c>
      <c r="D1441" s="2" t="str">
        <f>_xlfn.XLOOKUP(B1441,Master[Product_Code],Master[Brand])</f>
        <v>Max</v>
      </c>
      <c r="E1441" s="2" t="str">
        <f>_xlfn.XLOOKUP(B1441,Master[Product_Code],Master[Style])</f>
        <v>Half Sleeve</v>
      </c>
      <c r="F1441" s="2" t="str">
        <f>_xlfn.XLOOKUP(B1441,Master[Product_Code],Master[Fabric])</f>
        <v>Poly Cotton</v>
      </c>
      <c r="G1441" s="2" t="str">
        <f>_xlfn.XLOOKUP(B1441,Master[Product_Code],Master[Size])</f>
        <v>XL</v>
      </c>
      <c r="H1441" s="2" t="str">
        <f>_xlfn.XLOOKUP(B1441,Master[Product_Code],Master[Color])</f>
        <v>Grey</v>
      </c>
      <c r="I1441" s="4">
        <f>_xlfn.XLOOKUP(B1441,Master[Product_Code],Master[Stock_Qty])</f>
        <v>4</v>
      </c>
      <c r="J1441" s="6">
        <f>SUMIFS(
  Sales_Entry[Qty],
  Sales_Entry[Product_Code], Stock_Table[[#This Row],[Product_Code]]
)</f>
        <v>0</v>
      </c>
      <c r="K1441" s="4">
        <f>SUMIFS(
  Exchange_Return[Qty],
  Exchange_Return[Product_Code], Stock_Table[[#This Row],[Product_Code]]
)</f>
        <v>0</v>
      </c>
      <c r="L1441" s="4">
        <f>I1441-J1441+K1441</f>
        <v>4</v>
      </c>
      <c r="M1441" s="2" t="str" cm="1">
        <f t="array" ref="M1441">_xlfn.IFS(L1441=0,"Out of Stock",L1441&gt;=2,"Limited Stock",L1441&lt;2,"In Stock")</f>
        <v>Limited Stock</v>
      </c>
    </row>
    <row r="1442" spans="2:13">
      <c r="B1442" s="2" t="s">
        <v>615</v>
      </c>
      <c r="C1442" s="5" t="str">
        <f>_xlfn.XLOOKUP(B1442,Master[Product_Code],Master[Category])</f>
        <v>T-Shirt</v>
      </c>
      <c r="D1442" s="2" t="str">
        <f>_xlfn.XLOOKUP(B1442,Master[Product_Code],Master[Brand])</f>
        <v>Thailand</v>
      </c>
      <c r="E1442" s="2" t="str">
        <f>_xlfn.XLOOKUP(B1442,Master[Product_Code],Master[Style])</f>
        <v>3/4 Sleeve</v>
      </c>
      <c r="F1442" s="2" t="str">
        <f>_xlfn.XLOOKUP(B1442,Master[Product_Code],Master[Fabric])</f>
        <v>Poly Cotton</v>
      </c>
      <c r="G1442" s="2" t="str">
        <f>_xlfn.XLOOKUP(B1442,Master[Product_Code],Master[Size])</f>
        <v>S</v>
      </c>
      <c r="H1442" s="2" t="str">
        <f>_xlfn.XLOOKUP(B1442,Master[Product_Code],Master[Color])</f>
        <v>Navy Blue</v>
      </c>
      <c r="I1442" s="4">
        <f>_xlfn.XLOOKUP(B1442,Master[Product_Code],Master[Stock_Qty])</f>
        <v>6</v>
      </c>
      <c r="J1442" s="6">
        <f>SUMIFS(
  Sales_Entry[Qty],
  Sales_Entry[Product_Code], Stock_Table[[#This Row],[Product_Code]]
)</f>
        <v>2</v>
      </c>
      <c r="K1442" s="4">
        <f>SUMIFS(
  Exchange_Return[Qty],
  Exchange_Return[Product_Code], Stock_Table[[#This Row],[Product_Code]]
)</f>
        <v>0</v>
      </c>
      <c r="L1442" s="4">
        <f>I1442-J1442+K1442</f>
        <v>4</v>
      </c>
      <c r="M1442" s="2" t="str" cm="1">
        <f t="array" ref="M1442">_xlfn.IFS(L1442=0,"Out of Stock",L1442&gt;=2,"Limited Stock",L1442&lt;2,"In Stock")</f>
        <v>Limited Stock</v>
      </c>
    </row>
    <row r="1443" spans="2:13">
      <c r="B1443" s="2" t="s">
        <v>616</v>
      </c>
      <c r="C1443" s="5" t="str">
        <f>_xlfn.XLOOKUP(B1443,Master[Product_Code],Master[Category])</f>
        <v>T-Shirt</v>
      </c>
      <c r="D1443" s="2" t="str">
        <f>_xlfn.XLOOKUP(B1443,Master[Product_Code],Master[Brand])</f>
        <v>Max</v>
      </c>
      <c r="E1443" s="2" t="str">
        <f>_xlfn.XLOOKUP(B1443,Master[Product_Code],Master[Style])</f>
        <v>Hoodie</v>
      </c>
      <c r="F1443" s="2" t="str">
        <f>_xlfn.XLOOKUP(B1443,Master[Product_Code],Master[Fabric])</f>
        <v>Cotton Blend</v>
      </c>
      <c r="G1443" s="2" t="str">
        <f>_xlfn.XLOOKUP(B1443,Master[Product_Code],Master[Size])</f>
        <v>L</v>
      </c>
      <c r="H1443" s="2" t="str">
        <f>_xlfn.XLOOKUP(B1443,Master[Product_Code],Master[Color])</f>
        <v>Wine</v>
      </c>
      <c r="I1443" s="4">
        <f>_xlfn.XLOOKUP(B1443,Master[Product_Code],Master[Stock_Qty])</f>
        <v>6</v>
      </c>
      <c r="J1443" s="6">
        <f>SUMIFS(
  Sales_Entry[Qty],
  Sales_Entry[Product_Code], Stock_Table[[#This Row],[Product_Code]]
)</f>
        <v>1</v>
      </c>
      <c r="K1443" s="4">
        <f>SUMIFS(
  Exchange_Return[Qty],
  Exchange_Return[Product_Code], Stock_Table[[#This Row],[Product_Code]]
)</f>
        <v>0</v>
      </c>
      <c r="L1443" s="4">
        <f>I1443-J1443+K1443</f>
        <v>5</v>
      </c>
      <c r="M1443" s="2" t="str" cm="1">
        <f t="array" ref="M1443">_xlfn.IFS(L1443=0,"Out of Stock",L1443&gt;=2,"Limited Stock",L1443&lt;2,"In Stock")</f>
        <v>Limited Stock</v>
      </c>
    </row>
    <row r="1444" spans="2:13">
      <c r="B1444" s="2" t="s">
        <v>617</v>
      </c>
      <c r="C1444" s="5" t="str">
        <f>_xlfn.XLOOKUP(B1444,Master[Product_Code],Master[Category])</f>
        <v>T-Shirt</v>
      </c>
      <c r="D1444" s="2" t="str">
        <f>_xlfn.XLOOKUP(B1444,Master[Product_Code],Master[Brand])</f>
        <v>Urban Monkey</v>
      </c>
      <c r="E1444" s="2" t="str">
        <f>_xlfn.XLOOKUP(B1444,Master[Product_Code],Master[Style])</f>
        <v>Hoodie</v>
      </c>
      <c r="F1444" s="2" t="str">
        <f>_xlfn.XLOOKUP(B1444,Master[Product_Code],Master[Fabric])</f>
        <v>Poly Cotton</v>
      </c>
      <c r="G1444" s="2" t="str">
        <f>_xlfn.XLOOKUP(B1444,Master[Product_Code],Master[Size])</f>
        <v>XXL</v>
      </c>
      <c r="H1444" s="2" t="str">
        <f>_xlfn.XLOOKUP(B1444,Master[Product_Code],Master[Color])</f>
        <v>Bottle Green</v>
      </c>
      <c r="I1444" s="4">
        <f>_xlfn.XLOOKUP(B1444,Master[Product_Code],Master[Stock_Qty])</f>
        <v>3</v>
      </c>
      <c r="J1444" s="6">
        <f>SUMIFS(
  Sales_Entry[Qty],
  Sales_Entry[Product_Code], Stock_Table[[#This Row],[Product_Code]]
)</f>
        <v>0</v>
      </c>
      <c r="K1444" s="4">
        <f>SUMIFS(
  Exchange_Return[Qty],
  Exchange_Return[Product_Code], Stock_Table[[#This Row],[Product_Code]]
)</f>
        <v>0</v>
      </c>
      <c r="L1444" s="4">
        <f>I1444-J1444+K1444</f>
        <v>3</v>
      </c>
      <c r="M1444" s="2" t="str" cm="1">
        <f t="array" ref="M1444">_xlfn.IFS(L1444=0,"Out of Stock",L1444&gt;=2,"Limited Stock",L1444&lt;2,"In Stock")</f>
        <v>Limited Stock</v>
      </c>
    </row>
    <row r="1445" spans="2:13">
      <c r="B1445" s="2" t="s">
        <v>618</v>
      </c>
      <c r="C1445" s="5" t="str">
        <f>_xlfn.XLOOKUP(B1445,Master[Product_Code],Master[Category])</f>
        <v>T-Shirt</v>
      </c>
      <c r="D1445" s="2" t="str">
        <f>_xlfn.XLOOKUP(B1445,Master[Product_Code],Master[Brand])</f>
        <v>Turkey</v>
      </c>
      <c r="E1445" s="2" t="str">
        <f>_xlfn.XLOOKUP(B1445,Master[Product_Code],Master[Style])</f>
        <v>Full Sleeve</v>
      </c>
      <c r="F1445" s="2" t="str">
        <f>_xlfn.XLOOKUP(B1445,Master[Product_Code],Master[Fabric])</f>
        <v>Poly Cotton</v>
      </c>
      <c r="G1445" s="2" t="str">
        <f>_xlfn.XLOOKUP(B1445,Master[Product_Code],Master[Size])</f>
        <v>XXL</v>
      </c>
      <c r="H1445" s="2" t="str">
        <f>_xlfn.XLOOKUP(B1445,Master[Product_Code],Master[Color])</f>
        <v>Light Grey</v>
      </c>
      <c r="I1445" s="4">
        <f>_xlfn.XLOOKUP(B1445,Master[Product_Code],Master[Stock_Qty])</f>
        <v>3</v>
      </c>
      <c r="J1445" s="6">
        <f>SUMIFS(
  Sales_Entry[Qty],
  Sales_Entry[Product_Code], Stock_Table[[#This Row],[Product_Code]]
)</f>
        <v>1</v>
      </c>
      <c r="K1445" s="4">
        <f>SUMIFS(
  Exchange_Return[Qty],
  Exchange_Return[Product_Code], Stock_Table[[#This Row],[Product_Code]]
)</f>
        <v>0</v>
      </c>
      <c r="L1445" s="4">
        <f>I1445-J1445+K1445</f>
        <v>2</v>
      </c>
      <c r="M1445" s="2" t="str" cm="1">
        <f t="array" ref="M1445">_xlfn.IFS(L1445=0,"Out of Stock",L1445&gt;=2,"Limited Stock",L1445&lt;2,"In Stock")</f>
        <v>Limited Stock</v>
      </c>
    </row>
    <row r="1446" spans="2:13">
      <c r="B1446" s="2" t="s">
        <v>619</v>
      </c>
      <c r="C1446" s="5" t="str">
        <f>_xlfn.XLOOKUP(B1446,Master[Product_Code],Master[Category])</f>
        <v>T-Shirt</v>
      </c>
      <c r="D1446" s="2" t="str">
        <f>_xlfn.XLOOKUP(B1446,Master[Product_Code],Master[Brand])</f>
        <v>Roadster</v>
      </c>
      <c r="E1446" s="2" t="str">
        <f>_xlfn.XLOOKUP(B1446,Master[Product_Code],Master[Style])</f>
        <v>Half Sleeve</v>
      </c>
      <c r="F1446" s="2" t="str">
        <f>_xlfn.XLOOKUP(B1446,Master[Product_Code],Master[Fabric])</f>
        <v>Cotton Blend</v>
      </c>
      <c r="G1446" s="2" t="str">
        <f>_xlfn.XLOOKUP(B1446,Master[Product_Code],Master[Size])</f>
        <v>XXL</v>
      </c>
      <c r="H1446" s="2" t="str">
        <f>_xlfn.XLOOKUP(B1446,Master[Product_Code],Master[Color])</f>
        <v>Teal</v>
      </c>
      <c r="I1446" s="4">
        <f>_xlfn.XLOOKUP(B1446,Master[Product_Code],Master[Stock_Qty])</f>
        <v>6</v>
      </c>
      <c r="J1446" s="6">
        <f>SUMIFS(
  Sales_Entry[Qty],
  Sales_Entry[Product_Code], Stock_Table[[#This Row],[Product_Code]]
)</f>
        <v>1</v>
      </c>
      <c r="K1446" s="4">
        <f>SUMIFS(
  Exchange_Return[Qty],
  Exchange_Return[Product_Code], Stock_Table[[#This Row],[Product_Code]]
)</f>
        <v>0</v>
      </c>
      <c r="L1446" s="4">
        <f>I1446-J1446+K1446</f>
        <v>5</v>
      </c>
      <c r="M1446" s="2" t="str" cm="1">
        <f t="array" ref="M1446">_xlfn.IFS(L1446=0,"Out of Stock",L1446&gt;=2,"Limited Stock",L1446&lt;2,"In Stock")</f>
        <v>Limited Stock</v>
      </c>
    </row>
    <row r="1447" spans="2:13">
      <c r="B1447" s="2" t="s">
        <v>620</v>
      </c>
      <c r="C1447" s="5" t="str">
        <f>_xlfn.XLOOKUP(B1447,Master[Product_Code],Master[Category])</f>
        <v>T-Shirt</v>
      </c>
      <c r="D1447" s="2" t="str">
        <f>_xlfn.XLOOKUP(B1447,Master[Product_Code],Master[Brand])</f>
        <v>Max</v>
      </c>
      <c r="E1447" s="2" t="str">
        <f>_xlfn.XLOOKUP(B1447,Master[Product_Code],Master[Style])</f>
        <v>Sleeveless</v>
      </c>
      <c r="F1447" s="2" t="str">
        <f>_xlfn.XLOOKUP(B1447,Master[Product_Code],Master[Fabric])</f>
        <v>Poly Cotton</v>
      </c>
      <c r="G1447" s="2" t="str">
        <f>_xlfn.XLOOKUP(B1447,Master[Product_Code],Master[Size])</f>
        <v>XXL</v>
      </c>
      <c r="H1447" s="2" t="str">
        <f>_xlfn.XLOOKUP(B1447,Master[Product_Code],Master[Color])</f>
        <v>Peach</v>
      </c>
      <c r="I1447" s="4">
        <f>_xlfn.XLOOKUP(B1447,Master[Product_Code],Master[Stock_Qty])</f>
        <v>3</v>
      </c>
      <c r="J1447" s="6">
        <f>SUMIFS(
  Sales_Entry[Qty],
  Sales_Entry[Product_Code], Stock_Table[[#This Row],[Product_Code]]
)</f>
        <v>2</v>
      </c>
      <c r="K1447" s="4">
        <f>SUMIFS(
  Exchange_Return[Qty],
  Exchange_Return[Product_Code], Stock_Table[[#This Row],[Product_Code]]
)</f>
        <v>0</v>
      </c>
      <c r="L1447" s="4">
        <f>I1447-J1447+K1447</f>
        <v>1</v>
      </c>
      <c r="M1447" s="2" t="str" cm="1">
        <f t="array" ref="M1447">_xlfn.IFS(L1447=0,"Out of Stock",L1447&gt;=2,"Limited Stock",L1447&lt;2,"In Stock")</f>
        <v>In Stock</v>
      </c>
    </row>
    <row r="1448" spans="2:13">
      <c r="B1448" s="2" t="s">
        <v>621</v>
      </c>
      <c r="C1448" s="5" t="str">
        <f>_xlfn.XLOOKUP(B1448,Master[Product_Code],Master[Category])</f>
        <v>T-Shirt</v>
      </c>
      <c r="D1448" s="2" t="str">
        <f>_xlfn.XLOOKUP(B1448,Master[Product_Code],Master[Brand])</f>
        <v>Thailand</v>
      </c>
      <c r="E1448" s="2" t="str">
        <f>_xlfn.XLOOKUP(B1448,Master[Product_Code],Master[Style])</f>
        <v>Sleeveless</v>
      </c>
      <c r="F1448" s="2" t="str">
        <f>_xlfn.XLOOKUP(B1448,Master[Product_Code],Master[Fabric])</f>
        <v>Cotton</v>
      </c>
      <c r="G1448" s="2" t="str">
        <f>_xlfn.XLOOKUP(B1448,Master[Product_Code],Master[Size])</f>
        <v>XXL</v>
      </c>
      <c r="H1448" s="2" t="str">
        <f>_xlfn.XLOOKUP(B1448,Master[Product_Code],Master[Color])</f>
        <v>Royal Blue</v>
      </c>
      <c r="I1448" s="4">
        <f>_xlfn.XLOOKUP(B1448,Master[Product_Code],Master[Stock_Qty])</f>
        <v>6</v>
      </c>
      <c r="J1448" s="6">
        <f>SUMIFS(
  Sales_Entry[Qty],
  Sales_Entry[Product_Code], Stock_Table[[#This Row],[Product_Code]]
)</f>
        <v>2</v>
      </c>
      <c r="K1448" s="4">
        <f>SUMIFS(
  Exchange_Return[Qty],
  Exchange_Return[Product_Code], Stock_Table[[#This Row],[Product_Code]]
)</f>
        <v>0</v>
      </c>
      <c r="L1448" s="4">
        <f>I1448-J1448+K1448</f>
        <v>4</v>
      </c>
      <c r="M1448" s="2" t="str" cm="1">
        <f t="array" ref="M1448">_xlfn.IFS(L1448=0,"Out of Stock",L1448&gt;=2,"Limited Stock",L1448&lt;2,"In Stock")</f>
        <v>Limited Stock</v>
      </c>
    </row>
    <row r="1449" spans="2:13">
      <c r="B1449" s="2" t="s">
        <v>622</v>
      </c>
      <c r="C1449" s="5" t="str">
        <f>_xlfn.XLOOKUP(B1449,Master[Product_Code],Master[Category])</f>
        <v>T-Shirt</v>
      </c>
      <c r="D1449" s="2" t="str">
        <f>_xlfn.XLOOKUP(B1449,Master[Product_Code],Master[Brand])</f>
        <v>Max</v>
      </c>
      <c r="E1449" s="2" t="str">
        <f>_xlfn.XLOOKUP(B1449,Master[Product_Code],Master[Style])</f>
        <v>3/4 Sleeve</v>
      </c>
      <c r="F1449" s="2" t="str">
        <f>_xlfn.XLOOKUP(B1449,Master[Product_Code],Master[Fabric])</f>
        <v>Poly Cotton</v>
      </c>
      <c r="G1449" s="2" t="str">
        <f>_xlfn.XLOOKUP(B1449,Master[Product_Code],Master[Size])</f>
        <v>M</v>
      </c>
      <c r="H1449" s="2" t="str">
        <f>_xlfn.XLOOKUP(B1449,Master[Product_Code],Master[Color])</f>
        <v>White</v>
      </c>
      <c r="I1449" s="4">
        <f>_xlfn.XLOOKUP(B1449,Master[Product_Code],Master[Stock_Qty])</f>
        <v>6</v>
      </c>
      <c r="J1449" s="6">
        <f>SUMIFS(
  Sales_Entry[Qty],
  Sales_Entry[Product_Code], Stock_Table[[#This Row],[Product_Code]]
)</f>
        <v>1</v>
      </c>
      <c r="K1449" s="4">
        <f>SUMIFS(
  Exchange_Return[Qty],
  Exchange_Return[Product_Code], Stock_Table[[#This Row],[Product_Code]]
)</f>
        <v>0</v>
      </c>
      <c r="L1449" s="4">
        <f>I1449-J1449+K1449</f>
        <v>5</v>
      </c>
      <c r="M1449" s="2" t="str" cm="1">
        <f t="array" ref="M1449">_xlfn.IFS(L1449=0,"Out of Stock",L1449&gt;=2,"Limited Stock",L1449&lt;2,"In Stock")</f>
        <v>Limited Stock</v>
      </c>
    </row>
    <row r="1450" spans="2:13">
      <c r="B1450" s="2" t="s">
        <v>623</v>
      </c>
      <c r="C1450" s="5" t="str">
        <f>_xlfn.XLOOKUP(B1450,Master[Product_Code],Master[Category])</f>
        <v>T-Shirt</v>
      </c>
      <c r="D1450" s="2" t="str">
        <f>_xlfn.XLOOKUP(B1450,Master[Product_Code],Master[Brand])</f>
        <v>Thailand</v>
      </c>
      <c r="E1450" s="2" t="str">
        <f>_xlfn.XLOOKUP(B1450,Master[Product_Code],Master[Style])</f>
        <v>Half Sleeve</v>
      </c>
      <c r="F1450" s="2" t="str">
        <f>_xlfn.XLOOKUP(B1450,Master[Product_Code],Master[Fabric])</f>
        <v>Cotton Blend</v>
      </c>
      <c r="G1450" s="2" t="str">
        <f>_xlfn.XLOOKUP(B1450,Master[Product_Code],Master[Size])</f>
        <v>L</v>
      </c>
      <c r="H1450" s="2" t="str">
        <f>_xlfn.XLOOKUP(B1450,Master[Product_Code],Master[Color])</f>
        <v>Brown</v>
      </c>
      <c r="I1450" s="4">
        <f>_xlfn.XLOOKUP(B1450,Master[Product_Code],Master[Stock_Qty])</f>
        <v>5</v>
      </c>
      <c r="J1450" s="6">
        <f>SUMIFS(
  Sales_Entry[Qty],
  Sales_Entry[Product_Code], Stock_Table[[#This Row],[Product_Code]]
)</f>
        <v>0</v>
      </c>
      <c r="K1450" s="4">
        <f>SUMIFS(
  Exchange_Return[Qty],
  Exchange_Return[Product_Code], Stock_Table[[#This Row],[Product_Code]]
)</f>
        <v>0</v>
      </c>
      <c r="L1450" s="4">
        <f>I1450-J1450+K1450</f>
        <v>5</v>
      </c>
      <c r="M1450" s="2" t="str" cm="1">
        <f t="array" ref="M1450">_xlfn.IFS(L1450=0,"Out of Stock",L1450&gt;=2,"Limited Stock",L1450&lt;2,"In Stock")</f>
        <v>Limited Stock</v>
      </c>
    </row>
    <row r="1451" spans="2:13">
      <c r="B1451" s="2" t="s">
        <v>624</v>
      </c>
      <c r="C1451" s="5" t="str">
        <f>_xlfn.XLOOKUP(B1451,Master[Product_Code],Master[Category])</f>
        <v>T-Shirt</v>
      </c>
      <c r="D1451" s="2" t="str">
        <f>_xlfn.XLOOKUP(B1451,Master[Product_Code],Master[Brand])</f>
        <v>Urban Monkey</v>
      </c>
      <c r="E1451" s="2" t="str">
        <f>_xlfn.XLOOKUP(B1451,Master[Product_Code],Master[Style])</f>
        <v>Half Sleeve</v>
      </c>
      <c r="F1451" s="2" t="str">
        <f>_xlfn.XLOOKUP(B1451,Master[Product_Code],Master[Fabric])</f>
        <v>Cotton</v>
      </c>
      <c r="G1451" s="2" t="str">
        <f>_xlfn.XLOOKUP(B1451,Master[Product_Code],Master[Size])</f>
        <v>M</v>
      </c>
      <c r="H1451" s="2" t="str">
        <f>_xlfn.XLOOKUP(B1451,Master[Product_Code],Master[Color])</f>
        <v>Brown</v>
      </c>
      <c r="I1451" s="4">
        <f>_xlfn.XLOOKUP(B1451,Master[Product_Code],Master[Stock_Qty])</f>
        <v>6</v>
      </c>
      <c r="J1451" s="6">
        <f>SUMIFS(
  Sales_Entry[Qty],
  Sales_Entry[Product_Code], Stock_Table[[#This Row],[Product_Code]]
)</f>
        <v>1</v>
      </c>
      <c r="K1451" s="4">
        <f>SUMIFS(
  Exchange_Return[Qty],
  Exchange_Return[Product_Code], Stock_Table[[#This Row],[Product_Code]]
)</f>
        <v>0</v>
      </c>
      <c r="L1451" s="4">
        <f>I1451-J1451+K1451</f>
        <v>5</v>
      </c>
      <c r="M1451" s="2" t="str" cm="1">
        <f t="array" ref="M1451">_xlfn.IFS(L1451=0,"Out of Stock",L1451&gt;=2,"Limited Stock",L1451&lt;2,"In Stock")</f>
        <v>Limited Stock</v>
      </c>
    </row>
    <row r="1452" spans="2:13">
      <c r="B1452" s="2" t="s">
        <v>625</v>
      </c>
      <c r="C1452" s="5" t="str">
        <f>_xlfn.XLOOKUP(B1452,Master[Product_Code],Master[Category])</f>
        <v>T-Shirt</v>
      </c>
      <c r="D1452" s="2" t="str">
        <f>_xlfn.XLOOKUP(B1452,Master[Product_Code],Master[Brand])</f>
        <v>Thailand</v>
      </c>
      <c r="E1452" s="2" t="str">
        <f>_xlfn.XLOOKUP(B1452,Master[Product_Code],Master[Style])</f>
        <v>Sleeveless</v>
      </c>
      <c r="F1452" s="2" t="str">
        <f>_xlfn.XLOOKUP(B1452,Master[Product_Code],Master[Fabric])</f>
        <v>Poly Cotton</v>
      </c>
      <c r="G1452" s="2" t="str">
        <f>_xlfn.XLOOKUP(B1452,Master[Product_Code],Master[Size])</f>
        <v>S</v>
      </c>
      <c r="H1452" s="2" t="str">
        <f>_xlfn.XLOOKUP(B1452,Master[Product_Code],Master[Color])</f>
        <v>Grey</v>
      </c>
      <c r="I1452" s="4">
        <f>_xlfn.XLOOKUP(B1452,Master[Product_Code],Master[Stock_Qty])</f>
        <v>6</v>
      </c>
      <c r="J1452" s="6">
        <f>SUMIFS(
  Sales_Entry[Qty],
  Sales_Entry[Product_Code], Stock_Table[[#This Row],[Product_Code]]
)</f>
        <v>2</v>
      </c>
      <c r="K1452" s="4">
        <f>SUMIFS(
  Exchange_Return[Qty],
  Exchange_Return[Product_Code], Stock_Table[[#This Row],[Product_Code]]
)</f>
        <v>0</v>
      </c>
      <c r="L1452" s="4">
        <f>I1452-J1452+K1452</f>
        <v>4</v>
      </c>
      <c r="M1452" s="2" t="str" cm="1">
        <f t="array" ref="M1452">_xlfn.IFS(L1452=0,"Out of Stock",L1452&gt;=2,"Limited Stock",L1452&lt;2,"In Stock")</f>
        <v>Limited Stock</v>
      </c>
    </row>
    <row r="1453" spans="2:13">
      <c r="B1453" s="2" t="s">
        <v>626</v>
      </c>
      <c r="C1453" s="5" t="str">
        <f>_xlfn.XLOOKUP(B1453,Master[Product_Code],Master[Category])</f>
        <v>T-Shirt</v>
      </c>
      <c r="D1453" s="2" t="str">
        <f>_xlfn.XLOOKUP(B1453,Master[Product_Code],Master[Brand])</f>
        <v>Urban Monkey</v>
      </c>
      <c r="E1453" s="2" t="str">
        <f>_xlfn.XLOOKUP(B1453,Master[Product_Code],Master[Style])</f>
        <v>Sleeveless</v>
      </c>
      <c r="F1453" s="2" t="str">
        <f>_xlfn.XLOOKUP(B1453,Master[Product_Code],Master[Fabric])</f>
        <v>Poly Cotton</v>
      </c>
      <c r="G1453" s="2" t="str">
        <f>_xlfn.XLOOKUP(B1453,Master[Product_Code],Master[Size])</f>
        <v>XL</v>
      </c>
      <c r="H1453" s="2" t="str">
        <f>_xlfn.XLOOKUP(B1453,Master[Product_Code],Master[Color])</f>
        <v>Wine</v>
      </c>
      <c r="I1453" s="4">
        <f>_xlfn.XLOOKUP(B1453,Master[Product_Code],Master[Stock_Qty])</f>
        <v>5</v>
      </c>
      <c r="J1453" s="6">
        <f>SUMIFS(
  Sales_Entry[Qty],
  Sales_Entry[Product_Code], Stock_Table[[#This Row],[Product_Code]]
)</f>
        <v>5</v>
      </c>
      <c r="K1453" s="4">
        <f>SUMIFS(
  Exchange_Return[Qty],
  Exchange_Return[Product_Code], Stock_Table[[#This Row],[Product_Code]]
)</f>
        <v>0</v>
      </c>
      <c r="L1453" s="4">
        <f>I1453-J1453+K1453</f>
        <v>0</v>
      </c>
      <c r="M1453" s="2" t="str" cm="1">
        <f t="array" ref="M1453">_xlfn.IFS(L1453=0,"Out of Stock",L1453&gt;=2,"Limited Stock",L1453&lt;2,"In Stock")</f>
        <v>Out of Stock</v>
      </c>
    </row>
    <row r="1454" spans="2:13">
      <c r="B1454" s="2" t="s">
        <v>627</v>
      </c>
      <c r="C1454" s="5" t="str">
        <f>_xlfn.XLOOKUP(B1454,Master[Product_Code],Master[Category])</f>
        <v>T-Shirt</v>
      </c>
      <c r="D1454" s="2" t="str">
        <f>_xlfn.XLOOKUP(B1454,Master[Product_Code],Master[Brand])</f>
        <v>Roadster</v>
      </c>
      <c r="E1454" s="2" t="str">
        <f>_xlfn.XLOOKUP(B1454,Master[Product_Code],Master[Style])</f>
        <v>Full Sleeve</v>
      </c>
      <c r="F1454" s="2" t="str">
        <f>_xlfn.XLOOKUP(B1454,Master[Product_Code],Master[Fabric])</f>
        <v>Cotton</v>
      </c>
      <c r="G1454" s="2" t="str">
        <f>_xlfn.XLOOKUP(B1454,Master[Product_Code],Master[Size])</f>
        <v>L</v>
      </c>
      <c r="H1454" s="2" t="str">
        <f>_xlfn.XLOOKUP(B1454,Master[Product_Code],Master[Color])</f>
        <v>Wine</v>
      </c>
      <c r="I1454" s="4">
        <f>_xlfn.XLOOKUP(B1454,Master[Product_Code],Master[Stock_Qty])</f>
        <v>6</v>
      </c>
      <c r="J1454" s="6">
        <f>SUMIFS(
  Sales_Entry[Qty],
  Sales_Entry[Product_Code], Stock_Table[[#This Row],[Product_Code]]
)</f>
        <v>3</v>
      </c>
      <c r="K1454" s="4">
        <f>SUMIFS(
  Exchange_Return[Qty],
  Exchange_Return[Product_Code], Stock_Table[[#This Row],[Product_Code]]
)</f>
        <v>0</v>
      </c>
      <c r="L1454" s="4">
        <f>I1454-J1454+K1454</f>
        <v>3</v>
      </c>
      <c r="M1454" s="2" t="str" cm="1">
        <f t="array" ref="M1454">_xlfn.IFS(L1454=0,"Out of Stock",L1454&gt;=2,"Limited Stock",L1454&lt;2,"In Stock")</f>
        <v>Limited Stock</v>
      </c>
    </row>
    <row r="1455" spans="2:13">
      <c r="B1455" s="2" t="s">
        <v>628</v>
      </c>
      <c r="C1455" s="5" t="str">
        <f>_xlfn.XLOOKUP(B1455,Master[Product_Code],Master[Category])</f>
        <v>T-Shirt</v>
      </c>
      <c r="D1455" s="2" t="str">
        <f>_xlfn.XLOOKUP(B1455,Master[Product_Code],Master[Brand])</f>
        <v>Urban Monkey</v>
      </c>
      <c r="E1455" s="2" t="str">
        <f>_xlfn.XLOOKUP(B1455,Master[Product_Code],Master[Style])</f>
        <v>Hoodie</v>
      </c>
      <c r="F1455" s="2" t="str">
        <f>_xlfn.XLOOKUP(B1455,Master[Product_Code],Master[Fabric])</f>
        <v>Poly Cotton</v>
      </c>
      <c r="G1455" s="2" t="str">
        <f>_xlfn.XLOOKUP(B1455,Master[Product_Code],Master[Size])</f>
        <v>S</v>
      </c>
      <c r="H1455" s="2" t="str">
        <f>_xlfn.XLOOKUP(B1455,Master[Product_Code],Master[Color])</f>
        <v>Olive</v>
      </c>
      <c r="I1455" s="4">
        <f>_xlfn.XLOOKUP(B1455,Master[Product_Code],Master[Stock_Qty])</f>
        <v>4</v>
      </c>
      <c r="J1455" s="6">
        <f>SUMIFS(
  Sales_Entry[Qty],
  Sales_Entry[Product_Code], Stock_Table[[#This Row],[Product_Code]]
)</f>
        <v>2</v>
      </c>
      <c r="K1455" s="4">
        <f>SUMIFS(
  Exchange_Return[Qty],
  Exchange_Return[Product_Code], Stock_Table[[#This Row],[Product_Code]]
)</f>
        <v>0</v>
      </c>
      <c r="L1455" s="4">
        <f>I1455-J1455+K1455</f>
        <v>2</v>
      </c>
      <c r="M1455" s="2" t="str" cm="1">
        <f t="array" ref="M1455">_xlfn.IFS(L1455=0,"Out of Stock",L1455&gt;=2,"Limited Stock",L1455&lt;2,"In Stock")</f>
        <v>Limited Stock</v>
      </c>
    </row>
    <row r="1456" spans="2:13">
      <c r="B1456" s="2" t="s">
        <v>629</v>
      </c>
      <c r="C1456" s="5" t="str">
        <f>_xlfn.XLOOKUP(B1456,Master[Product_Code],Master[Category])</f>
        <v>T-Shirt</v>
      </c>
      <c r="D1456" s="2" t="str">
        <f>_xlfn.XLOOKUP(B1456,Master[Product_Code],Master[Brand])</f>
        <v>Urban Monkey</v>
      </c>
      <c r="E1456" s="2" t="str">
        <f>_xlfn.XLOOKUP(B1456,Master[Product_Code],Master[Style])</f>
        <v>Half Sleeve</v>
      </c>
      <c r="F1456" s="2" t="str">
        <f>_xlfn.XLOOKUP(B1456,Master[Product_Code],Master[Fabric])</f>
        <v>Cotton</v>
      </c>
      <c r="G1456" s="2" t="str">
        <f>_xlfn.XLOOKUP(B1456,Master[Product_Code],Master[Size])</f>
        <v>S</v>
      </c>
      <c r="H1456" s="2" t="str">
        <f>_xlfn.XLOOKUP(B1456,Master[Product_Code],Master[Color])</f>
        <v>Cream</v>
      </c>
      <c r="I1456" s="4">
        <f>_xlfn.XLOOKUP(B1456,Master[Product_Code],Master[Stock_Qty])</f>
        <v>4</v>
      </c>
      <c r="J1456" s="6">
        <f>SUMIFS(
  Sales_Entry[Qty],
  Sales_Entry[Product_Code], Stock_Table[[#This Row],[Product_Code]]
)</f>
        <v>4</v>
      </c>
      <c r="K1456" s="4">
        <f>SUMIFS(
  Exchange_Return[Qty],
  Exchange_Return[Product_Code], Stock_Table[[#This Row],[Product_Code]]
)</f>
        <v>0</v>
      </c>
      <c r="L1456" s="4">
        <f>I1456-J1456+K1456</f>
        <v>0</v>
      </c>
      <c r="M1456" s="2" t="str" cm="1">
        <f t="array" ref="M1456">_xlfn.IFS(L1456=0,"Out of Stock",L1456&gt;=2,"Limited Stock",L1456&lt;2,"In Stock")</f>
        <v>Out of Stock</v>
      </c>
    </row>
    <row r="1457" spans="2:13">
      <c r="B1457" s="2" t="s">
        <v>630</v>
      </c>
      <c r="C1457" s="5" t="str">
        <f>_xlfn.XLOOKUP(B1457,Master[Product_Code],Master[Category])</f>
        <v>T-Shirt</v>
      </c>
      <c r="D1457" s="2" t="str">
        <f>_xlfn.XLOOKUP(B1457,Master[Product_Code],Master[Brand])</f>
        <v>Campus</v>
      </c>
      <c r="E1457" s="2" t="str">
        <f>_xlfn.XLOOKUP(B1457,Master[Product_Code],Master[Style])</f>
        <v>Full Sleeve</v>
      </c>
      <c r="F1457" s="2" t="str">
        <f>_xlfn.XLOOKUP(B1457,Master[Product_Code],Master[Fabric])</f>
        <v>Cotton Blend</v>
      </c>
      <c r="G1457" s="2" t="str">
        <f>_xlfn.XLOOKUP(B1457,Master[Product_Code],Master[Size])</f>
        <v>L</v>
      </c>
      <c r="H1457" s="2" t="str">
        <f>_xlfn.XLOOKUP(B1457,Master[Product_Code],Master[Color])</f>
        <v>Cream</v>
      </c>
      <c r="I1457" s="4">
        <f>_xlfn.XLOOKUP(B1457,Master[Product_Code],Master[Stock_Qty])</f>
        <v>6</v>
      </c>
      <c r="J1457" s="6">
        <f>SUMIFS(
  Sales_Entry[Qty],
  Sales_Entry[Product_Code], Stock_Table[[#This Row],[Product_Code]]
)</f>
        <v>0</v>
      </c>
      <c r="K1457" s="4">
        <f>SUMIFS(
  Exchange_Return[Qty],
  Exchange_Return[Product_Code], Stock_Table[[#This Row],[Product_Code]]
)</f>
        <v>0</v>
      </c>
      <c r="L1457" s="4">
        <f>I1457-J1457+K1457</f>
        <v>6</v>
      </c>
      <c r="M1457" s="2" t="str" cm="1">
        <f t="array" ref="M1457">_xlfn.IFS(L1457=0,"Out of Stock",L1457&gt;=2,"Limited Stock",L1457&lt;2,"In Stock")</f>
        <v>Limited Stock</v>
      </c>
    </row>
    <row r="1458" spans="2:13">
      <c r="B1458" s="2" t="s">
        <v>631</v>
      </c>
      <c r="C1458" s="5" t="str">
        <f>_xlfn.XLOOKUP(B1458,Master[Product_Code],Master[Category])</f>
        <v>T-Shirt</v>
      </c>
      <c r="D1458" s="2" t="str">
        <f>_xlfn.XLOOKUP(B1458,Master[Product_Code],Master[Brand])</f>
        <v>Zara</v>
      </c>
      <c r="E1458" s="2" t="str">
        <f>_xlfn.XLOOKUP(B1458,Master[Product_Code],Master[Style])</f>
        <v>Half Sleeve</v>
      </c>
      <c r="F1458" s="2" t="str">
        <f>_xlfn.XLOOKUP(B1458,Master[Product_Code],Master[Fabric])</f>
        <v>Cotton</v>
      </c>
      <c r="G1458" s="2" t="str">
        <f>_xlfn.XLOOKUP(B1458,Master[Product_Code],Master[Size])</f>
        <v>L</v>
      </c>
      <c r="H1458" s="2" t="str">
        <f>_xlfn.XLOOKUP(B1458,Master[Product_Code],Master[Color])</f>
        <v>Peach</v>
      </c>
      <c r="I1458" s="4">
        <f>_xlfn.XLOOKUP(B1458,Master[Product_Code],Master[Stock_Qty])</f>
        <v>6</v>
      </c>
      <c r="J1458" s="6">
        <f>SUMIFS(
  Sales_Entry[Qty],
  Sales_Entry[Product_Code], Stock_Table[[#This Row],[Product_Code]]
)</f>
        <v>1</v>
      </c>
      <c r="K1458" s="4">
        <f>SUMIFS(
  Exchange_Return[Qty],
  Exchange_Return[Product_Code], Stock_Table[[#This Row],[Product_Code]]
)</f>
        <v>0</v>
      </c>
      <c r="L1458" s="4">
        <f>I1458-J1458+K1458</f>
        <v>5</v>
      </c>
      <c r="M1458" s="2" t="str" cm="1">
        <f t="array" ref="M1458">_xlfn.IFS(L1458=0,"Out of Stock",L1458&gt;=2,"Limited Stock",L1458&lt;2,"In Stock")</f>
        <v>Limited Stock</v>
      </c>
    </row>
    <row r="1459" spans="2:13">
      <c r="B1459" s="2" t="s">
        <v>632</v>
      </c>
      <c r="C1459" s="5" t="str">
        <f>_xlfn.XLOOKUP(B1459,Master[Product_Code],Master[Category])</f>
        <v>T-Shirt</v>
      </c>
      <c r="D1459" s="2" t="str">
        <f>_xlfn.XLOOKUP(B1459,Master[Product_Code],Master[Brand])</f>
        <v>Urban Monkey</v>
      </c>
      <c r="E1459" s="2" t="str">
        <f>_xlfn.XLOOKUP(B1459,Master[Product_Code],Master[Style])</f>
        <v>Sleeveless</v>
      </c>
      <c r="F1459" s="2" t="str">
        <f>_xlfn.XLOOKUP(B1459,Master[Product_Code],Master[Fabric])</f>
        <v>Poly Cotton</v>
      </c>
      <c r="G1459" s="2" t="str">
        <f>_xlfn.XLOOKUP(B1459,Master[Product_Code],Master[Size])</f>
        <v>XXL</v>
      </c>
      <c r="H1459" s="2" t="str">
        <f>_xlfn.XLOOKUP(B1459,Master[Product_Code],Master[Color])</f>
        <v>Teal</v>
      </c>
      <c r="I1459" s="4">
        <f>_xlfn.XLOOKUP(B1459,Master[Product_Code],Master[Stock_Qty])</f>
        <v>5</v>
      </c>
      <c r="J1459" s="6">
        <f>SUMIFS(
  Sales_Entry[Qty],
  Sales_Entry[Product_Code], Stock_Table[[#This Row],[Product_Code]]
)</f>
        <v>2</v>
      </c>
      <c r="K1459" s="4">
        <f>SUMIFS(
  Exchange_Return[Qty],
  Exchange_Return[Product_Code], Stock_Table[[#This Row],[Product_Code]]
)</f>
        <v>0</v>
      </c>
      <c r="L1459" s="4">
        <f>I1459-J1459+K1459</f>
        <v>3</v>
      </c>
      <c r="M1459" s="2" t="str" cm="1">
        <f t="array" ref="M1459">_xlfn.IFS(L1459=0,"Out of Stock",L1459&gt;=2,"Limited Stock",L1459&lt;2,"In Stock")</f>
        <v>Limited Stock</v>
      </c>
    </row>
    <row r="1460" spans="2:13">
      <c r="B1460" s="2" t="s">
        <v>633</v>
      </c>
      <c r="C1460" s="5" t="str">
        <f>_xlfn.XLOOKUP(B1460,Master[Product_Code],Master[Category])</f>
        <v>T-Shirt</v>
      </c>
      <c r="D1460" s="2" t="str">
        <f>_xlfn.XLOOKUP(B1460,Master[Product_Code],Master[Brand])</f>
        <v>Urban Monkey</v>
      </c>
      <c r="E1460" s="2" t="str">
        <f>_xlfn.XLOOKUP(B1460,Master[Product_Code],Master[Style])</f>
        <v>3/4 Sleeve</v>
      </c>
      <c r="F1460" s="2" t="str">
        <f>_xlfn.XLOOKUP(B1460,Master[Product_Code],Master[Fabric])</f>
        <v>Poly Cotton</v>
      </c>
      <c r="G1460" s="2" t="str">
        <f>_xlfn.XLOOKUP(B1460,Master[Product_Code],Master[Size])</f>
        <v>S</v>
      </c>
      <c r="H1460" s="2" t="str">
        <f>_xlfn.XLOOKUP(B1460,Master[Product_Code],Master[Color])</f>
        <v>Brown</v>
      </c>
      <c r="I1460" s="4">
        <f>_xlfn.XLOOKUP(B1460,Master[Product_Code],Master[Stock_Qty])</f>
        <v>3</v>
      </c>
      <c r="J1460" s="6">
        <f>SUMIFS(
  Sales_Entry[Qty],
  Sales_Entry[Product_Code], Stock_Table[[#This Row],[Product_Code]]
)</f>
        <v>1</v>
      </c>
      <c r="K1460" s="4">
        <f>SUMIFS(
  Exchange_Return[Qty],
  Exchange_Return[Product_Code], Stock_Table[[#This Row],[Product_Code]]
)</f>
        <v>0</v>
      </c>
      <c r="L1460" s="4">
        <f>I1460-J1460+K1460</f>
        <v>2</v>
      </c>
      <c r="M1460" s="2" t="str" cm="1">
        <f t="array" ref="M1460">_xlfn.IFS(L1460=0,"Out of Stock",L1460&gt;=2,"Limited Stock",L1460&lt;2,"In Stock")</f>
        <v>Limited Stock</v>
      </c>
    </row>
    <row r="1461" spans="2:13">
      <c r="B1461" s="2" t="s">
        <v>634</v>
      </c>
      <c r="C1461" s="5" t="str">
        <f>_xlfn.XLOOKUP(B1461,Master[Product_Code],Master[Category])</f>
        <v>T-Shirt</v>
      </c>
      <c r="D1461" s="2" t="str">
        <f>_xlfn.XLOOKUP(B1461,Master[Product_Code],Master[Brand])</f>
        <v>Zara</v>
      </c>
      <c r="E1461" s="2" t="str">
        <f>_xlfn.XLOOKUP(B1461,Master[Product_Code],Master[Style])</f>
        <v>Full Sleeve</v>
      </c>
      <c r="F1461" s="2" t="str">
        <f>_xlfn.XLOOKUP(B1461,Master[Product_Code],Master[Fabric])</f>
        <v>Poly Cotton</v>
      </c>
      <c r="G1461" s="2" t="str">
        <f>_xlfn.XLOOKUP(B1461,Master[Product_Code],Master[Size])</f>
        <v>M</v>
      </c>
      <c r="H1461" s="2" t="str">
        <f>_xlfn.XLOOKUP(B1461,Master[Product_Code],Master[Color])</f>
        <v>Charcoal</v>
      </c>
      <c r="I1461" s="4">
        <f>_xlfn.XLOOKUP(B1461,Master[Product_Code],Master[Stock_Qty])</f>
        <v>4</v>
      </c>
      <c r="J1461" s="6">
        <f>SUMIFS(
  Sales_Entry[Qty],
  Sales_Entry[Product_Code], Stock_Table[[#This Row],[Product_Code]]
)</f>
        <v>4</v>
      </c>
      <c r="K1461" s="4">
        <f>SUMIFS(
  Exchange_Return[Qty],
  Exchange_Return[Product_Code], Stock_Table[[#This Row],[Product_Code]]
)</f>
        <v>0</v>
      </c>
      <c r="L1461" s="4">
        <f>I1461-J1461+K1461</f>
        <v>0</v>
      </c>
      <c r="M1461" s="2" t="str" cm="1">
        <f t="array" ref="M1461">_xlfn.IFS(L1461=0,"Out of Stock",L1461&gt;=2,"Limited Stock",L1461&lt;2,"In Stock")</f>
        <v>Out of Stock</v>
      </c>
    </row>
    <row r="1462" spans="2:13">
      <c r="B1462" s="2" t="s">
        <v>635</v>
      </c>
      <c r="C1462" s="5" t="str">
        <f>_xlfn.XLOOKUP(B1462,Master[Product_Code],Master[Category])</f>
        <v>T-Shirt</v>
      </c>
      <c r="D1462" s="2" t="str">
        <f>_xlfn.XLOOKUP(B1462,Master[Product_Code],Master[Brand])</f>
        <v>Turkey</v>
      </c>
      <c r="E1462" s="2" t="str">
        <f>_xlfn.XLOOKUP(B1462,Master[Product_Code],Master[Style])</f>
        <v>3/4 Sleeve</v>
      </c>
      <c r="F1462" s="2" t="str">
        <f>_xlfn.XLOOKUP(B1462,Master[Product_Code],Master[Fabric])</f>
        <v>Poly Cotton</v>
      </c>
      <c r="G1462" s="2" t="str">
        <f>_xlfn.XLOOKUP(B1462,Master[Product_Code],Master[Size])</f>
        <v>XL</v>
      </c>
      <c r="H1462" s="2" t="str">
        <f>_xlfn.XLOOKUP(B1462,Master[Product_Code],Master[Color])</f>
        <v>Wine</v>
      </c>
      <c r="I1462" s="4">
        <f>_xlfn.XLOOKUP(B1462,Master[Product_Code],Master[Stock_Qty])</f>
        <v>3</v>
      </c>
      <c r="J1462" s="6">
        <f>SUMIFS(
  Sales_Entry[Qty],
  Sales_Entry[Product_Code], Stock_Table[[#This Row],[Product_Code]]
)</f>
        <v>1</v>
      </c>
      <c r="K1462" s="4">
        <f>SUMIFS(
  Exchange_Return[Qty],
  Exchange_Return[Product_Code], Stock_Table[[#This Row],[Product_Code]]
)</f>
        <v>0</v>
      </c>
      <c r="L1462" s="4">
        <f>I1462-J1462+K1462</f>
        <v>2</v>
      </c>
      <c r="M1462" s="2" t="str" cm="1">
        <f t="array" ref="M1462">_xlfn.IFS(L1462=0,"Out of Stock",L1462&gt;=2,"Limited Stock",L1462&lt;2,"In Stock")</f>
        <v>Limited Stock</v>
      </c>
    </row>
    <row r="1463" spans="2:13">
      <c r="B1463" s="2" t="s">
        <v>636</v>
      </c>
      <c r="C1463" s="5" t="str">
        <f>_xlfn.XLOOKUP(B1463,Master[Product_Code],Master[Category])</f>
        <v>T-Shirt</v>
      </c>
      <c r="D1463" s="2" t="str">
        <f>_xlfn.XLOOKUP(B1463,Master[Product_Code],Master[Brand])</f>
        <v>Zara</v>
      </c>
      <c r="E1463" s="2" t="str">
        <f>_xlfn.XLOOKUP(B1463,Master[Product_Code],Master[Style])</f>
        <v>Sleeveless</v>
      </c>
      <c r="F1463" s="2" t="str">
        <f>_xlfn.XLOOKUP(B1463,Master[Product_Code],Master[Fabric])</f>
        <v>Cotton</v>
      </c>
      <c r="G1463" s="2" t="str">
        <f>_xlfn.XLOOKUP(B1463,Master[Product_Code],Master[Size])</f>
        <v>M</v>
      </c>
      <c r="H1463" s="2" t="str">
        <f>_xlfn.XLOOKUP(B1463,Master[Product_Code],Master[Color])</f>
        <v>Royal Blue</v>
      </c>
      <c r="I1463" s="4">
        <f>_xlfn.XLOOKUP(B1463,Master[Product_Code],Master[Stock_Qty])</f>
        <v>3</v>
      </c>
      <c r="J1463" s="6">
        <f>SUMIFS(
  Sales_Entry[Qty],
  Sales_Entry[Product_Code], Stock_Table[[#This Row],[Product_Code]]
)</f>
        <v>1</v>
      </c>
      <c r="K1463" s="4">
        <f>SUMIFS(
  Exchange_Return[Qty],
  Exchange_Return[Product_Code], Stock_Table[[#This Row],[Product_Code]]
)</f>
        <v>0</v>
      </c>
      <c r="L1463" s="4">
        <f>I1463-J1463+K1463</f>
        <v>2</v>
      </c>
      <c r="M1463" s="2" t="str" cm="1">
        <f t="array" ref="M1463">_xlfn.IFS(L1463=0,"Out of Stock",L1463&gt;=2,"Limited Stock",L1463&lt;2,"In Stock")</f>
        <v>Limited Stock</v>
      </c>
    </row>
    <row r="1464" spans="2:13">
      <c r="B1464" s="2" t="s">
        <v>637</v>
      </c>
      <c r="C1464" s="5" t="str">
        <f>_xlfn.XLOOKUP(B1464,Master[Product_Code],Master[Category])</f>
        <v>T-Shirt</v>
      </c>
      <c r="D1464" s="2" t="str">
        <f>_xlfn.XLOOKUP(B1464,Master[Product_Code],Master[Brand])</f>
        <v>Thailand</v>
      </c>
      <c r="E1464" s="2" t="str">
        <f>_xlfn.XLOOKUP(B1464,Master[Product_Code],Master[Style])</f>
        <v>Hoodie</v>
      </c>
      <c r="F1464" s="2" t="str">
        <f>_xlfn.XLOOKUP(B1464,Master[Product_Code],Master[Fabric])</f>
        <v>Cotton Blend</v>
      </c>
      <c r="G1464" s="2" t="str">
        <f>_xlfn.XLOOKUP(B1464,Master[Product_Code],Master[Size])</f>
        <v>L</v>
      </c>
      <c r="H1464" s="2" t="str">
        <f>_xlfn.XLOOKUP(B1464,Master[Product_Code],Master[Color])</f>
        <v>Bottle Green</v>
      </c>
      <c r="I1464" s="4">
        <f>_xlfn.XLOOKUP(B1464,Master[Product_Code],Master[Stock_Qty])</f>
        <v>6</v>
      </c>
      <c r="J1464" s="6">
        <f>SUMIFS(
  Sales_Entry[Qty],
  Sales_Entry[Product_Code], Stock_Table[[#This Row],[Product_Code]]
)</f>
        <v>2</v>
      </c>
      <c r="K1464" s="4">
        <f>SUMIFS(
  Exchange_Return[Qty],
  Exchange_Return[Product_Code], Stock_Table[[#This Row],[Product_Code]]
)</f>
        <v>0</v>
      </c>
      <c r="L1464" s="4">
        <f>I1464-J1464+K1464</f>
        <v>4</v>
      </c>
      <c r="M1464" s="2" t="str" cm="1">
        <f t="array" ref="M1464">_xlfn.IFS(L1464=0,"Out of Stock",L1464&gt;=2,"Limited Stock",L1464&lt;2,"In Stock")</f>
        <v>Limited Stock</v>
      </c>
    </row>
    <row r="1465" spans="2:13">
      <c r="B1465" s="2" t="s">
        <v>638</v>
      </c>
      <c r="C1465" s="5" t="str">
        <f>_xlfn.XLOOKUP(B1465,Master[Product_Code],Master[Category])</f>
        <v>T-Shirt</v>
      </c>
      <c r="D1465" s="2" t="str">
        <f>_xlfn.XLOOKUP(B1465,Master[Product_Code],Master[Brand])</f>
        <v>Max</v>
      </c>
      <c r="E1465" s="2" t="str">
        <f>_xlfn.XLOOKUP(B1465,Master[Product_Code],Master[Style])</f>
        <v>3/4 Sleeve</v>
      </c>
      <c r="F1465" s="2" t="str">
        <f>_xlfn.XLOOKUP(B1465,Master[Product_Code],Master[Fabric])</f>
        <v>Cotton</v>
      </c>
      <c r="G1465" s="2" t="str">
        <f>_xlfn.XLOOKUP(B1465,Master[Product_Code],Master[Size])</f>
        <v>XL</v>
      </c>
      <c r="H1465" s="2" t="str">
        <f>_xlfn.XLOOKUP(B1465,Master[Product_Code],Master[Color])</f>
        <v>Brown</v>
      </c>
      <c r="I1465" s="4">
        <f>_xlfn.XLOOKUP(B1465,Master[Product_Code],Master[Stock_Qty])</f>
        <v>6</v>
      </c>
      <c r="J1465" s="6">
        <f>SUMIFS(
  Sales_Entry[Qty],
  Sales_Entry[Product_Code], Stock_Table[[#This Row],[Product_Code]]
)</f>
        <v>2</v>
      </c>
      <c r="K1465" s="4">
        <f>SUMIFS(
  Exchange_Return[Qty],
  Exchange_Return[Product_Code], Stock_Table[[#This Row],[Product_Code]]
)</f>
        <v>0</v>
      </c>
      <c r="L1465" s="4">
        <f>I1465-J1465+K1465</f>
        <v>4</v>
      </c>
      <c r="M1465" s="2" t="str" cm="1">
        <f t="array" ref="M1465">_xlfn.IFS(L1465=0,"Out of Stock",L1465&gt;=2,"Limited Stock",L1465&lt;2,"In Stock")</f>
        <v>Limited Stock</v>
      </c>
    </row>
    <row r="1466" spans="2:13">
      <c r="B1466" s="2" t="s">
        <v>639</v>
      </c>
      <c r="C1466" s="5" t="str">
        <f>_xlfn.XLOOKUP(B1466,Master[Product_Code],Master[Category])</f>
        <v>T-Shirt</v>
      </c>
      <c r="D1466" s="2" t="str">
        <f>_xlfn.XLOOKUP(B1466,Master[Product_Code],Master[Brand])</f>
        <v>Zara</v>
      </c>
      <c r="E1466" s="2" t="str">
        <f>_xlfn.XLOOKUP(B1466,Master[Product_Code],Master[Style])</f>
        <v>Half Sleeve</v>
      </c>
      <c r="F1466" s="2" t="str">
        <f>_xlfn.XLOOKUP(B1466,Master[Product_Code],Master[Fabric])</f>
        <v>Poly Cotton</v>
      </c>
      <c r="G1466" s="2" t="str">
        <f>_xlfn.XLOOKUP(B1466,Master[Product_Code],Master[Size])</f>
        <v>L</v>
      </c>
      <c r="H1466" s="2" t="str">
        <f>_xlfn.XLOOKUP(B1466,Master[Product_Code],Master[Color])</f>
        <v>Dark Green</v>
      </c>
      <c r="I1466" s="4">
        <f>_xlfn.XLOOKUP(B1466,Master[Product_Code],Master[Stock_Qty])</f>
        <v>5</v>
      </c>
      <c r="J1466" s="6">
        <f>SUMIFS(
  Sales_Entry[Qty],
  Sales_Entry[Product_Code], Stock_Table[[#This Row],[Product_Code]]
)</f>
        <v>1</v>
      </c>
      <c r="K1466" s="4">
        <f>SUMIFS(
  Exchange_Return[Qty],
  Exchange_Return[Product_Code], Stock_Table[[#This Row],[Product_Code]]
)</f>
        <v>0</v>
      </c>
      <c r="L1466" s="4">
        <f>I1466-J1466+K1466</f>
        <v>4</v>
      </c>
      <c r="M1466" s="2" t="str" cm="1">
        <f t="array" ref="M1466">_xlfn.IFS(L1466=0,"Out of Stock",L1466&gt;=2,"Limited Stock",L1466&lt;2,"In Stock")</f>
        <v>Limited Stock</v>
      </c>
    </row>
    <row r="1467" spans="2:13">
      <c r="B1467" s="2" t="s">
        <v>640</v>
      </c>
      <c r="C1467" s="5" t="str">
        <f>_xlfn.XLOOKUP(B1467,Master[Product_Code],Master[Category])</f>
        <v>T-Shirt</v>
      </c>
      <c r="D1467" s="2" t="str">
        <f>_xlfn.XLOOKUP(B1467,Master[Product_Code],Master[Brand])</f>
        <v>Campus</v>
      </c>
      <c r="E1467" s="2" t="str">
        <f>_xlfn.XLOOKUP(B1467,Master[Product_Code],Master[Style])</f>
        <v>Half Sleeve</v>
      </c>
      <c r="F1467" s="2" t="str">
        <f>_xlfn.XLOOKUP(B1467,Master[Product_Code],Master[Fabric])</f>
        <v>Cotton Blend</v>
      </c>
      <c r="G1467" s="2" t="str">
        <f>_xlfn.XLOOKUP(B1467,Master[Product_Code],Master[Size])</f>
        <v>S</v>
      </c>
      <c r="H1467" s="2" t="str">
        <f>_xlfn.XLOOKUP(B1467,Master[Product_Code],Master[Color])</f>
        <v>Mustard</v>
      </c>
      <c r="I1467" s="4">
        <f>_xlfn.XLOOKUP(B1467,Master[Product_Code],Master[Stock_Qty])</f>
        <v>5</v>
      </c>
      <c r="J1467" s="6">
        <f>SUMIFS(
  Sales_Entry[Qty],
  Sales_Entry[Product_Code], Stock_Table[[#This Row],[Product_Code]]
)</f>
        <v>2</v>
      </c>
      <c r="K1467" s="4">
        <f>SUMIFS(
  Exchange_Return[Qty],
  Exchange_Return[Product_Code], Stock_Table[[#This Row],[Product_Code]]
)</f>
        <v>0</v>
      </c>
      <c r="L1467" s="4">
        <f>I1467-J1467+K1467</f>
        <v>3</v>
      </c>
      <c r="M1467" s="2" t="str" cm="1">
        <f t="array" ref="M1467">_xlfn.IFS(L1467=0,"Out of Stock",L1467&gt;=2,"Limited Stock",L1467&lt;2,"In Stock")</f>
        <v>Limited Stock</v>
      </c>
    </row>
    <row r="1468" spans="2:13">
      <c r="B1468" s="2" t="s">
        <v>641</v>
      </c>
      <c r="C1468" s="5" t="str">
        <f>_xlfn.XLOOKUP(B1468,Master[Product_Code],Master[Category])</f>
        <v>T-Shirt</v>
      </c>
      <c r="D1468" s="2" t="str">
        <f>_xlfn.XLOOKUP(B1468,Master[Product_Code],Master[Brand])</f>
        <v>Thailand</v>
      </c>
      <c r="E1468" s="2" t="str">
        <f>_xlfn.XLOOKUP(B1468,Master[Product_Code],Master[Style])</f>
        <v>3/4 Sleeve</v>
      </c>
      <c r="F1468" s="2" t="str">
        <f>_xlfn.XLOOKUP(B1468,Master[Product_Code],Master[Fabric])</f>
        <v>Cotton Blend</v>
      </c>
      <c r="G1468" s="2" t="str">
        <f>_xlfn.XLOOKUP(B1468,Master[Product_Code],Master[Size])</f>
        <v>L</v>
      </c>
      <c r="H1468" s="2" t="str">
        <f>_xlfn.XLOOKUP(B1468,Master[Product_Code],Master[Color])</f>
        <v>Grey</v>
      </c>
      <c r="I1468" s="4">
        <f>_xlfn.XLOOKUP(B1468,Master[Product_Code],Master[Stock_Qty])</f>
        <v>4</v>
      </c>
      <c r="J1468" s="6">
        <f>SUMIFS(
  Sales_Entry[Qty],
  Sales_Entry[Product_Code], Stock_Table[[#This Row],[Product_Code]]
)</f>
        <v>1</v>
      </c>
      <c r="K1468" s="4">
        <f>SUMIFS(
  Exchange_Return[Qty],
  Exchange_Return[Product_Code], Stock_Table[[#This Row],[Product_Code]]
)</f>
        <v>0</v>
      </c>
      <c r="L1468" s="4">
        <f>I1468-J1468+K1468</f>
        <v>3</v>
      </c>
      <c r="M1468" s="2" t="str" cm="1">
        <f t="array" ref="M1468">_xlfn.IFS(L1468=0,"Out of Stock",L1468&gt;=2,"Limited Stock",L1468&lt;2,"In Stock")</f>
        <v>Limited Stock</v>
      </c>
    </row>
    <row r="1469" spans="2:13">
      <c r="B1469" s="2" t="s">
        <v>642</v>
      </c>
      <c r="C1469" s="5" t="str">
        <f>_xlfn.XLOOKUP(B1469,Master[Product_Code],Master[Category])</f>
        <v>T-Shirt</v>
      </c>
      <c r="D1469" s="2" t="str">
        <f>_xlfn.XLOOKUP(B1469,Master[Product_Code],Master[Brand])</f>
        <v>Urban Monkey</v>
      </c>
      <c r="E1469" s="2" t="str">
        <f>_xlfn.XLOOKUP(B1469,Master[Product_Code],Master[Style])</f>
        <v>Full Sleeve</v>
      </c>
      <c r="F1469" s="2" t="str">
        <f>_xlfn.XLOOKUP(B1469,Master[Product_Code],Master[Fabric])</f>
        <v>Cotton</v>
      </c>
      <c r="G1469" s="2" t="str">
        <f>_xlfn.XLOOKUP(B1469,Master[Product_Code],Master[Size])</f>
        <v>XXL</v>
      </c>
      <c r="H1469" s="2" t="str">
        <f>_xlfn.XLOOKUP(B1469,Master[Product_Code],Master[Color])</f>
        <v>Rust</v>
      </c>
      <c r="I1469" s="4">
        <f>_xlfn.XLOOKUP(B1469,Master[Product_Code],Master[Stock_Qty])</f>
        <v>5</v>
      </c>
      <c r="J1469" s="6">
        <f>SUMIFS(
  Sales_Entry[Qty],
  Sales_Entry[Product_Code], Stock_Table[[#This Row],[Product_Code]]
)</f>
        <v>2</v>
      </c>
      <c r="K1469" s="4">
        <f>SUMIFS(
  Exchange_Return[Qty],
  Exchange_Return[Product_Code], Stock_Table[[#This Row],[Product_Code]]
)</f>
        <v>0</v>
      </c>
      <c r="L1469" s="4">
        <f>I1469-J1469+K1469</f>
        <v>3</v>
      </c>
      <c r="M1469" s="2" t="str" cm="1">
        <f t="array" ref="M1469">_xlfn.IFS(L1469=0,"Out of Stock",L1469&gt;=2,"Limited Stock",L1469&lt;2,"In Stock")</f>
        <v>Limited Stock</v>
      </c>
    </row>
    <row r="1470" spans="2:13">
      <c r="B1470" s="2" t="s">
        <v>643</v>
      </c>
      <c r="C1470" s="5" t="str">
        <f>_xlfn.XLOOKUP(B1470,Master[Product_Code],Master[Category])</f>
        <v>T-Shirt</v>
      </c>
      <c r="D1470" s="2" t="str">
        <f>_xlfn.XLOOKUP(B1470,Master[Product_Code],Master[Brand])</f>
        <v>Turkey</v>
      </c>
      <c r="E1470" s="2" t="str">
        <f>_xlfn.XLOOKUP(B1470,Master[Product_Code],Master[Style])</f>
        <v>Half Sleeve</v>
      </c>
      <c r="F1470" s="2" t="str">
        <f>_xlfn.XLOOKUP(B1470,Master[Product_Code],Master[Fabric])</f>
        <v>Poly Cotton</v>
      </c>
      <c r="G1470" s="2" t="str">
        <f>_xlfn.XLOOKUP(B1470,Master[Product_Code],Master[Size])</f>
        <v>XL</v>
      </c>
      <c r="H1470" s="2" t="str">
        <f>_xlfn.XLOOKUP(B1470,Master[Product_Code],Master[Color])</f>
        <v>Brown</v>
      </c>
      <c r="I1470" s="4">
        <f>_xlfn.XLOOKUP(B1470,Master[Product_Code],Master[Stock_Qty])</f>
        <v>5</v>
      </c>
      <c r="J1470" s="6">
        <f>SUMIFS(
  Sales_Entry[Qty],
  Sales_Entry[Product_Code], Stock_Table[[#This Row],[Product_Code]]
)</f>
        <v>4</v>
      </c>
      <c r="K1470" s="4">
        <f>SUMIFS(
  Exchange_Return[Qty],
  Exchange_Return[Product_Code], Stock_Table[[#This Row],[Product_Code]]
)</f>
        <v>1</v>
      </c>
      <c r="L1470" s="4">
        <f>I1470-J1470+K1470</f>
        <v>2</v>
      </c>
      <c r="M1470" s="2" t="str" cm="1">
        <f t="array" ref="M1470">_xlfn.IFS(L1470=0,"Out of Stock",L1470&gt;=2,"Limited Stock",L1470&lt;2,"In Stock")</f>
        <v>Limited Stock</v>
      </c>
    </row>
    <row r="1471" spans="2:13">
      <c r="B1471" s="2" t="s">
        <v>644</v>
      </c>
      <c r="C1471" s="5" t="str">
        <f>_xlfn.XLOOKUP(B1471,Master[Product_Code],Master[Category])</f>
        <v>T-Shirt</v>
      </c>
      <c r="D1471" s="2" t="str">
        <f>_xlfn.XLOOKUP(B1471,Master[Product_Code],Master[Brand])</f>
        <v>Max</v>
      </c>
      <c r="E1471" s="2" t="str">
        <f>_xlfn.XLOOKUP(B1471,Master[Product_Code],Master[Style])</f>
        <v>Sleeveless</v>
      </c>
      <c r="F1471" s="2" t="str">
        <f>_xlfn.XLOOKUP(B1471,Master[Product_Code],Master[Fabric])</f>
        <v>Poly Cotton</v>
      </c>
      <c r="G1471" s="2" t="str">
        <f>_xlfn.XLOOKUP(B1471,Master[Product_Code],Master[Size])</f>
        <v>S</v>
      </c>
      <c r="H1471" s="2" t="str">
        <f>_xlfn.XLOOKUP(B1471,Master[Product_Code],Master[Color])</f>
        <v>Light Grey</v>
      </c>
      <c r="I1471" s="4">
        <f>_xlfn.XLOOKUP(B1471,Master[Product_Code],Master[Stock_Qty])</f>
        <v>4</v>
      </c>
      <c r="J1471" s="6">
        <f>SUMIFS(
  Sales_Entry[Qty],
  Sales_Entry[Product_Code], Stock_Table[[#This Row],[Product_Code]]
)</f>
        <v>1</v>
      </c>
      <c r="K1471" s="4">
        <f>SUMIFS(
  Exchange_Return[Qty],
  Exchange_Return[Product_Code], Stock_Table[[#This Row],[Product_Code]]
)</f>
        <v>0</v>
      </c>
      <c r="L1471" s="4">
        <f>I1471-J1471+K1471</f>
        <v>3</v>
      </c>
      <c r="M1471" s="2" t="str" cm="1">
        <f t="array" ref="M1471">_xlfn.IFS(L1471=0,"Out of Stock",L1471&gt;=2,"Limited Stock",L1471&lt;2,"In Stock")</f>
        <v>Limited Stock</v>
      </c>
    </row>
    <row r="1472" spans="2:13">
      <c r="B1472" s="2" t="s">
        <v>645</v>
      </c>
      <c r="C1472" s="5" t="str">
        <f>_xlfn.XLOOKUP(B1472,Master[Product_Code],Master[Category])</f>
        <v>T-Shirt</v>
      </c>
      <c r="D1472" s="2" t="str">
        <f>_xlfn.XLOOKUP(B1472,Master[Product_Code],Master[Brand])</f>
        <v>Campus</v>
      </c>
      <c r="E1472" s="2" t="str">
        <f>_xlfn.XLOOKUP(B1472,Master[Product_Code],Master[Style])</f>
        <v>Full Sleeve</v>
      </c>
      <c r="F1472" s="2" t="str">
        <f>_xlfn.XLOOKUP(B1472,Master[Product_Code],Master[Fabric])</f>
        <v>Poly Cotton</v>
      </c>
      <c r="G1472" s="2" t="str">
        <f>_xlfn.XLOOKUP(B1472,Master[Product_Code],Master[Size])</f>
        <v>XXL</v>
      </c>
      <c r="H1472" s="2" t="str">
        <f>_xlfn.XLOOKUP(B1472,Master[Product_Code],Master[Color])</f>
        <v>Peach</v>
      </c>
      <c r="I1472" s="4">
        <f>_xlfn.XLOOKUP(B1472,Master[Product_Code],Master[Stock_Qty])</f>
        <v>5</v>
      </c>
      <c r="J1472" s="6">
        <f>SUMIFS(
  Sales_Entry[Qty],
  Sales_Entry[Product_Code], Stock_Table[[#This Row],[Product_Code]]
)</f>
        <v>0</v>
      </c>
      <c r="K1472" s="4">
        <f>SUMIFS(
  Exchange_Return[Qty],
  Exchange_Return[Product_Code], Stock_Table[[#This Row],[Product_Code]]
)</f>
        <v>0</v>
      </c>
      <c r="L1472" s="4">
        <f>I1472-J1472+K1472</f>
        <v>5</v>
      </c>
      <c r="M1472" s="2" t="str" cm="1">
        <f t="array" ref="M1472">_xlfn.IFS(L1472=0,"Out of Stock",L1472&gt;=2,"Limited Stock",L1472&lt;2,"In Stock")</f>
        <v>Limited Stock</v>
      </c>
    </row>
    <row r="1473" spans="2:13">
      <c r="B1473" s="2" t="s">
        <v>646</v>
      </c>
      <c r="C1473" s="5" t="str">
        <f>_xlfn.XLOOKUP(B1473,Master[Product_Code],Master[Category])</f>
        <v>T-Shirt</v>
      </c>
      <c r="D1473" s="2" t="str">
        <f>_xlfn.XLOOKUP(B1473,Master[Product_Code],Master[Brand])</f>
        <v>Thailand</v>
      </c>
      <c r="E1473" s="2" t="str">
        <f>_xlfn.XLOOKUP(B1473,Master[Product_Code],Master[Style])</f>
        <v>Full Sleeve</v>
      </c>
      <c r="F1473" s="2" t="str">
        <f>_xlfn.XLOOKUP(B1473,Master[Product_Code],Master[Fabric])</f>
        <v>Poly Cotton</v>
      </c>
      <c r="G1473" s="2" t="str">
        <f>_xlfn.XLOOKUP(B1473,Master[Product_Code],Master[Size])</f>
        <v>XXL</v>
      </c>
      <c r="H1473" s="2" t="str">
        <f>_xlfn.XLOOKUP(B1473,Master[Product_Code],Master[Color])</f>
        <v>Olive</v>
      </c>
      <c r="I1473" s="4">
        <f>_xlfn.XLOOKUP(B1473,Master[Product_Code],Master[Stock_Qty])</f>
        <v>5</v>
      </c>
      <c r="J1473" s="6">
        <f>SUMIFS(
  Sales_Entry[Qty],
  Sales_Entry[Product_Code], Stock_Table[[#This Row],[Product_Code]]
)</f>
        <v>2</v>
      </c>
      <c r="K1473" s="4">
        <f>SUMIFS(
  Exchange_Return[Qty],
  Exchange_Return[Product_Code], Stock_Table[[#This Row],[Product_Code]]
)</f>
        <v>0</v>
      </c>
      <c r="L1473" s="4">
        <f>I1473-J1473+K1473</f>
        <v>3</v>
      </c>
      <c r="M1473" s="2" t="str" cm="1">
        <f t="array" ref="M1473">_xlfn.IFS(L1473=0,"Out of Stock",L1473&gt;=2,"Limited Stock",L1473&lt;2,"In Stock")</f>
        <v>Limited Stock</v>
      </c>
    </row>
    <row r="1474" spans="2:13">
      <c r="B1474" s="2" t="s">
        <v>647</v>
      </c>
      <c r="C1474" s="5" t="str">
        <f>_xlfn.XLOOKUP(B1474,Master[Product_Code],Master[Category])</f>
        <v>T-Shirt</v>
      </c>
      <c r="D1474" s="2" t="str">
        <f>_xlfn.XLOOKUP(B1474,Master[Product_Code],Master[Brand])</f>
        <v>Max</v>
      </c>
      <c r="E1474" s="2" t="str">
        <f>_xlfn.XLOOKUP(B1474,Master[Product_Code],Master[Style])</f>
        <v>Full Sleeve</v>
      </c>
      <c r="F1474" s="2" t="str">
        <f>_xlfn.XLOOKUP(B1474,Master[Product_Code],Master[Fabric])</f>
        <v>Poly Cotton</v>
      </c>
      <c r="G1474" s="2" t="str">
        <f>_xlfn.XLOOKUP(B1474,Master[Product_Code],Master[Size])</f>
        <v>L</v>
      </c>
      <c r="H1474" s="2" t="str">
        <f>_xlfn.XLOOKUP(B1474,Master[Product_Code],Master[Color])</f>
        <v>Dark Green</v>
      </c>
      <c r="I1474" s="4">
        <f>_xlfn.XLOOKUP(B1474,Master[Product_Code],Master[Stock_Qty])</f>
        <v>4</v>
      </c>
      <c r="J1474" s="6">
        <f>SUMIFS(
  Sales_Entry[Qty],
  Sales_Entry[Product_Code], Stock_Table[[#This Row],[Product_Code]]
)</f>
        <v>0</v>
      </c>
      <c r="K1474" s="4">
        <f>SUMIFS(
  Exchange_Return[Qty],
  Exchange_Return[Product_Code], Stock_Table[[#This Row],[Product_Code]]
)</f>
        <v>0</v>
      </c>
      <c r="L1474" s="4">
        <f>I1474-J1474+K1474</f>
        <v>4</v>
      </c>
      <c r="M1474" s="2" t="str" cm="1">
        <f t="array" ref="M1474">_xlfn.IFS(L1474=0,"Out of Stock",L1474&gt;=2,"Limited Stock",L1474&lt;2,"In Stock")</f>
        <v>Limited Stock</v>
      </c>
    </row>
    <row r="1475" spans="2:13">
      <c r="B1475" s="2" t="s">
        <v>648</v>
      </c>
      <c r="C1475" s="5" t="str">
        <f>_xlfn.XLOOKUP(B1475,Master[Product_Code],Master[Category])</f>
        <v>T-Shirt</v>
      </c>
      <c r="D1475" s="2" t="str">
        <f>_xlfn.XLOOKUP(B1475,Master[Product_Code],Master[Brand])</f>
        <v>Thailand</v>
      </c>
      <c r="E1475" s="2" t="str">
        <f>_xlfn.XLOOKUP(B1475,Master[Product_Code],Master[Style])</f>
        <v>Half Sleeve</v>
      </c>
      <c r="F1475" s="2" t="str">
        <f>_xlfn.XLOOKUP(B1475,Master[Product_Code],Master[Fabric])</f>
        <v>Cotton</v>
      </c>
      <c r="G1475" s="2" t="str">
        <f>_xlfn.XLOOKUP(B1475,Master[Product_Code],Master[Size])</f>
        <v>L</v>
      </c>
      <c r="H1475" s="2" t="str">
        <f>_xlfn.XLOOKUP(B1475,Master[Product_Code],Master[Color])</f>
        <v>Charcoal</v>
      </c>
      <c r="I1475" s="4">
        <f>_xlfn.XLOOKUP(B1475,Master[Product_Code],Master[Stock_Qty])</f>
        <v>5</v>
      </c>
      <c r="J1475" s="6">
        <f>SUMIFS(
  Sales_Entry[Qty],
  Sales_Entry[Product_Code], Stock_Table[[#This Row],[Product_Code]]
)</f>
        <v>2</v>
      </c>
      <c r="K1475" s="4">
        <f>SUMIFS(
  Exchange_Return[Qty],
  Exchange_Return[Product_Code], Stock_Table[[#This Row],[Product_Code]]
)</f>
        <v>0</v>
      </c>
      <c r="L1475" s="4">
        <f>I1475-J1475+K1475</f>
        <v>3</v>
      </c>
      <c r="M1475" s="2" t="str" cm="1">
        <f t="array" ref="M1475">_xlfn.IFS(L1475=0,"Out of Stock",L1475&gt;=2,"Limited Stock",L1475&lt;2,"In Stock")</f>
        <v>Limited Stock</v>
      </c>
    </row>
    <row r="1476" spans="2:13">
      <c r="B1476" s="2" t="s">
        <v>649</v>
      </c>
      <c r="C1476" s="5" t="str">
        <f>_xlfn.XLOOKUP(B1476,Master[Product_Code],Master[Category])</f>
        <v>T-Shirt</v>
      </c>
      <c r="D1476" s="2" t="str">
        <f>_xlfn.XLOOKUP(B1476,Master[Product_Code],Master[Brand])</f>
        <v>Urban Monkey</v>
      </c>
      <c r="E1476" s="2" t="str">
        <f>_xlfn.XLOOKUP(B1476,Master[Product_Code],Master[Style])</f>
        <v>3/4 Sleeve</v>
      </c>
      <c r="F1476" s="2" t="str">
        <f>_xlfn.XLOOKUP(B1476,Master[Product_Code],Master[Fabric])</f>
        <v>Cotton Blend</v>
      </c>
      <c r="G1476" s="2" t="str">
        <f>_xlfn.XLOOKUP(B1476,Master[Product_Code],Master[Size])</f>
        <v>L</v>
      </c>
      <c r="H1476" s="2" t="str">
        <f>_xlfn.XLOOKUP(B1476,Master[Product_Code],Master[Color])</f>
        <v>Light Grey</v>
      </c>
      <c r="I1476" s="4">
        <f>_xlfn.XLOOKUP(B1476,Master[Product_Code],Master[Stock_Qty])</f>
        <v>5</v>
      </c>
      <c r="J1476" s="6">
        <f>SUMIFS(
  Sales_Entry[Qty],
  Sales_Entry[Product_Code], Stock_Table[[#This Row],[Product_Code]]
)</f>
        <v>1</v>
      </c>
      <c r="K1476" s="4">
        <f>SUMIFS(
  Exchange_Return[Qty],
  Exchange_Return[Product_Code], Stock_Table[[#This Row],[Product_Code]]
)</f>
        <v>0</v>
      </c>
      <c r="L1476" s="4">
        <f>I1476-J1476+K1476</f>
        <v>4</v>
      </c>
      <c r="M1476" s="2" t="str" cm="1">
        <f t="array" ref="M1476">_xlfn.IFS(L1476=0,"Out of Stock",L1476&gt;=2,"Limited Stock",L1476&lt;2,"In Stock")</f>
        <v>Limited Stock</v>
      </c>
    </row>
    <row r="1477" spans="2:13">
      <c r="B1477" s="2" t="s">
        <v>650</v>
      </c>
      <c r="C1477" s="5" t="str">
        <f>_xlfn.XLOOKUP(B1477,Master[Product_Code],Master[Category])</f>
        <v>T-Shirt</v>
      </c>
      <c r="D1477" s="2" t="str">
        <f>_xlfn.XLOOKUP(B1477,Master[Product_Code],Master[Brand])</f>
        <v>Urban Monkey</v>
      </c>
      <c r="E1477" s="2" t="str">
        <f>_xlfn.XLOOKUP(B1477,Master[Product_Code],Master[Style])</f>
        <v>Half Sleeve</v>
      </c>
      <c r="F1477" s="2" t="str">
        <f>_xlfn.XLOOKUP(B1477,Master[Product_Code],Master[Fabric])</f>
        <v>Cotton Blend</v>
      </c>
      <c r="G1477" s="2" t="str">
        <f>_xlfn.XLOOKUP(B1477,Master[Product_Code],Master[Size])</f>
        <v>S</v>
      </c>
      <c r="H1477" s="2" t="str">
        <f>_xlfn.XLOOKUP(B1477,Master[Product_Code],Master[Color])</f>
        <v>Light Grey</v>
      </c>
      <c r="I1477" s="4">
        <f>_xlfn.XLOOKUP(B1477,Master[Product_Code],Master[Stock_Qty])</f>
        <v>3</v>
      </c>
      <c r="J1477" s="6">
        <f>SUMIFS(
  Sales_Entry[Qty],
  Sales_Entry[Product_Code], Stock_Table[[#This Row],[Product_Code]]
)</f>
        <v>1</v>
      </c>
      <c r="K1477" s="4">
        <f>SUMIFS(
  Exchange_Return[Qty],
  Exchange_Return[Product_Code], Stock_Table[[#This Row],[Product_Code]]
)</f>
        <v>0</v>
      </c>
      <c r="L1477" s="4">
        <f>I1477-J1477+K1477</f>
        <v>2</v>
      </c>
      <c r="M1477" s="2" t="str" cm="1">
        <f t="array" ref="M1477">_xlfn.IFS(L1477=0,"Out of Stock",L1477&gt;=2,"Limited Stock",L1477&lt;2,"In Stock")</f>
        <v>Limited Stock</v>
      </c>
    </row>
    <row r="1478" spans="2:13">
      <c r="B1478" s="2" t="s">
        <v>651</v>
      </c>
      <c r="C1478" s="5" t="str">
        <f>_xlfn.XLOOKUP(B1478,Master[Product_Code],Master[Category])</f>
        <v>T-Shirt</v>
      </c>
      <c r="D1478" s="2" t="str">
        <f>_xlfn.XLOOKUP(B1478,Master[Product_Code],Master[Brand])</f>
        <v>Turkey</v>
      </c>
      <c r="E1478" s="2" t="str">
        <f>_xlfn.XLOOKUP(B1478,Master[Product_Code],Master[Style])</f>
        <v>Hoodie</v>
      </c>
      <c r="F1478" s="2" t="str">
        <f>_xlfn.XLOOKUP(B1478,Master[Product_Code],Master[Fabric])</f>
        <v>Cotton</v>
      </c>
      <c r="G1478" s="2" t="str">
        <f>_xlfn.XLOOKUP(B1478,Master[Product_Code],Master[Size])</f>
        <v>XL</v>
      </c>
      <c r="H1478" s="2" t="str">
        <f>_xlfn.XLOOKUP(B1478,Master[Product_Code],Master[Color])</f>
        <v>Wine</v>
      </c>
      <c r="I1478" s="4">
        <f>_xlfn.XLOOKUP(B1478,Master[Product_Code],Master[Stock_Qty])</f>
        <v>5</v>
      </c>
      <c r="J1478" s="6">
        <f>SUMIFS(
  Sales_Entry[Qty],
  Sales_Entry[Product_Code], Stock_Table[[#This Row],[Product_Code]]
)</f>
        <v>1</v>
      </c>
      <c r="K1478" s="4">
        <f>SUMIFS(
  Exchange_Return[Qty],
  Exchange_Return[Product_Code], Stock_Table[[#This Row],[Product_Code]]
)</f>
        <v>0</v>
      </c>
      <c r="L1478" s="4">
        <f>I1478-J1478+K1478</f>
        <v>4</v>
      </c>
      <c r="M1478" s="2" t="str" cm="1">
        <f t="array" ref="M1478">_xlfn.IFS(L1478=0,"Out of Stock",L1478&gt;=2,"Limited Stock",L1478&lt;2,"In Stock")</f>
        <v>Limited Stock</v>
      </c>
    </row>
    <row r="1479" spans="2:13">
      <c r="B1479" s="2" t="s">
        <v>652</v>
      </c>
      <c r="C1479" s="5" t="str">
        <f>_xlfn.XLOOKUP(B1479,Master[Product_Code],Master[Category])</f>
        <v>T-Shirt</v>
      </c>
      <c r="D1479" s="2" t="str">
        <f>_xlfn.XLOOKUP(B1479,Master[Product_Code],Master[Brand])</f>
        <v>Zara</v>
      </c>
      <c r="E1479" s="2" t="str">
        <f>_xlfn.XLOOKUP(B1479,Master[Product_Code],Master[Style])</f>
        <v>Full Sleeve</v>
      </c>
      <c r="F1479" s="2" t="str">
        <f>_xlfn.XLOOKUP(B1479,Master[Product_Code],Master[Fabric])</f>
        <v>Cotton</v>
      </c>
      <c r="G1479" s="2" t="str">
        <f>_xlfn.XLOOKUP(B1479,Master[Product_Code],Master[Size])</f>
        <v>M</v>
      </c>
      <c r="H1479" s="2" t="str">
        <f>_xlfn.XLOOKUP(B1479,Master[Product_Code],Master[Color])</f>
        <v>Mustard</v>
      </c>
      <c r="I1479" s="4">
        <f>_xlfn.XLOOKUP(B1479,Master[Product_Code],Master[Stock_Qty])</f>
        <v>6</v>
      </c>
      <c r="J1479" s="6">
        <f>SUMIFS(
  Sales_Entry[Qty],
  Sales_Entry[Product_Code], Stock_Table[[#This Row],[Product_Code]]
)</f>
        <v>2</v>
      </c>
      <c r="K1479" s="4">
        <f>SUMIFS(
  Exchange_Return[Qty],
  Exchange_Return[Product_Code], Stock_Table[[#This Row],[Product_Code]]
)</f>
        <v>0</v>
      </c>
      <c r="L1479" s="4">
        <f>I1479-J1479+K1479</f>
        <v>4</v>
      </c>
      <c r="M1479" s="2" t="str" cm="1">
        <f t="array" ref="M1479">_xlfn.IFS(L1479=0,"Out of Stock",L1479&gt;=2,"Limited Stock",L1479&lt;2,"In Stock")</f>
        <v>Limited Stock</v>
      </c>
    </row>
    <row r="1480" spans="2:13">
      <c r="B1480" s="2" t="s">
        <v>653</v>
      </c>
      <c r="C1480" s="5" t="str">
        <f>_xlfn.XLOOKUP(B1480,Master[Product_Code],Master[Category])</f>
        <v>T-Shirt</v>
      </c>
      <c r="D1480" s="2" t="str">
        <f>_xlfn.XLOOKUP(B1480,Master[Product_Code],Master[Brand])</f>
        <v>Max</v>
      </c>
      <c r="E1480" s="2" t="str">
        <f>_xlfn.XLOOKUP(B1480,Master[Product_Code],Master[Style])</f>
        <v>Full Sleeve</v>
      </c>
      <c r="F1480" s="2" t="str">
        <f>_xlfn.XLOOKUP(B1480,Master[Product_Code],Master[Fabric])</f>
        <v>Cotton Blend</v>
      </c>
      <c r="G1480" s="2" t="str">
        <f>_xlfn.XLOOKUP(B1480,Master[Product_Code],Master[Size])</f>
        <v>M</v>
      </c>
      <c r="H1480" s="2" t="str">
        <f>_xlfn.XLOOKUP(B1480,Master[Product_Code],Master[Color])</f>
        <v>Navy Blue</v>
      </c>
      <c r="I1480" s="4">
        <f>_xlfn.XLOOKUP(B1480,Master[Product_Code],Master[Stock_Qty])</f>
        <v>6</v>
      </c>
      <c r="J1480" s="6">
        <f>SUMIFS(
  Sales_Entry[Qty],
  Sales_Entry[Product_Code], Stock_Table[[#This Row],[Product_Code]]
)</f>
        <v>4</v>
      </c>
      <c r="K1480" s="4">
        <f>SUMIFS(
  Exchange_Return[Qty],
  Exchange_Return[Product_Code], Stock_Table[[#This Row],[Product_Code]]
)</f>
        <v>0</v>
      </c>
      <c r="L1480" s="4">
        <f>I1480-J1480+K1480</f>
        <v>2</v>
      </c>
      <c r="M1480" s="2" t="str" cm="1">
        <f t="array" ref="M1480">_xlfn.IFS(L1480=0,"Out of Stock",L1480&gt;=2,"Limited Stock",L1480&lt;2,"In Stock")</f>
        <v>Limited Stock</v>
      </c>
    </row>
    <row r="1481" spans="2:13">
      <c r="B1481" s="2" t="s">
        <v>654</v>
      </c>
      <c r="C1481" s="5" t="str">
        <f>_xlfn.XLOOKUP(B1481,Master[Product_Code],Master[Category])</f>
        <v>T-Shirt</v>
      </c>
      <c r="D1481" s="2" t="str">
        <f>_xlfn.XLOOKUP(B1481,Master[Product_Code],Master[Brand])</f>
        <v>Campus</v>
      </c>
      <c r="E1481" s="2" t="str">
        <f>_xlfn.XLOOKUP(B1481,Master[Product_Code],Master[Style])</f>
        <v>Full Sleeve</v>
      </c>
      <c r="F1481" s="2" t="str">
        <f>_xlfn.XLOOKUP(B1481,Master[Product_Code],Master[Fabric])</f>
        <v>Cotton Blend</v>
      </c>
      <c r="G1481" s="2" t="str">
        <f>_xlfn.XLOOKUP(B1481,Master[Product_Code],Master[Size])</f>
        <v>S</v>
      </c>
      <c r="H1481" s="2" t="str">
        <f>_xlfn.XLOOKUP(B1481,Master[Product_Code],Master[Color])</f>
        <v>Black</v>
      </c>
      <c r="I1481" s="4">
        <f>_xlfn.XLOOKUP(B1481,Master[Product_Code],Master[Stock_Qty])</f>
        <v>6</v>
      </c>
      <c r="J1481" s="6">
        <f>SUMIFS(
  Sales_Entry[Qty],
  Sales_Entry[Product_Code], Stock_Table[[#This Row],[Product_Code]]
)</f>
        <v>1</v>
      </c>
      <c r="K1481" s="4">
        <f>SUMIFS(
  Exchange_Return[Qty],
  Exchange_Return[Product_Code], Stock_Table[[#This Row],[Product_Code]]
)</f>
        <v>0</v>
      </c>
      <c r="L1481" s="4">
        <f>I1481-J1481+K1481</f>
        <v>5</v>
      </c>
      <c r="M1481" s="2" t="str" cm="1">
        <f t="array" ref="M1481">_xlfn.IFS(L1481=0,"Out of Stock",L1481&gt;=2,"Limited Stock",L1481&lt;2,"In Stock")</f>
        <v>Limited Stock</v>
      </c>
    </row>
    <row r="1482" spans="2:13">
      <c r="B1482" s="2" t="s">
        <v>655</v>
      </c>
      <c r="C1482" s="5" t="str">
        <f>_xlfn.XLOOKUP(B1482,Master[Product_Code],Master[Category])</f>
        <v>T-Shirt</v>
      </c>
      <c r="D1482" s="2" t="str">
        <f>_xlfn.XLOOKUP(B1482,Master[Product_Code],Master[Brand])</f>
        <v>Turkey</v>
      </c>
      <c r="E1482" s="2" t="str">
        <f>_xlfn.XLOOKUP(B1482,Master[Product_Code],Master[Style])</f>
        <v>Full Sleeve</v>
      </c>
      <c r="F1482" s="2" t="str">
        <f>_xlfn.XLOOKUP(B1482,Master[Product_Code],Master[Fabric])</f>
        <v>Poly Cotton</v>
      </c>
      <c r="G1482" s="2" t="str">
        <f>_xlfn.XLOOKUP(B1482,Master[Product_Code],Master[Size])</f>
        <v>M</v>
      </c>
      <c r="H1482" s="2" t="str">
        <f>_xlfn.XLOOKUP(B1482,Master[Product_Code],Master[Color])</f>
        <v>Peach</v>
      </c>
      <c r="I1482" s="4">
        <f>_xlfn.XLOOKUP(B1482,Master[Product_Code],Master[Stock_Qty])</f>
        <v>3</v>
      </c>
      <c r="J1482" s="6">
        <f>SUMIFS(
  Sales_Entry[Qty],
  Sales_Entry[Product_Code], Stock_Table[[#This Row],[Product_Code]]
)</f>
        <v>3</v>
      </c>
      <c r="K1482" s="4">
        <f>SUMIFS(
  Exchange_Return[Qty],
  Exchange_Return[Product_Code], Stock_Table[[#This Row],[Product_Code]]
)</f>
        <v>0</v>
      </c>
      <c r="L1482" s="4">
        <f>I1482-J1482+K1482</f>
        <v>0</v>
      </c>
      <c r="M1482" s="2" t="str" cm="1">
        <f t="array" ref="M1482">_xlfn.IFS(L1482=0,"Out of Stock",L1482&gt;=2,"Limited Stock",L1482&lt;2,"In Stock")</f>
        <v>Out of Stock</v>
      </c>
    </row>
    <row r="1483" spans="2:13">
      <c r="B1483" s="2" t="s">
        <v>656</v>
      </c>
      <c r="C1483" s="5" t="str">
        <f>_xlfn.XLOOKUP(B1483,Master[Product_Code],Master[Category])</f>
        <v>T-Shirt</v>
      </c>
      <c r="D1483" s="2" t="str">
        <f>_xlfn.XLOOKUP(B1483,Master[Product_Code],Master[Brand])</f>
        <v>Roadster</v>
      </c>
      <c r="E1483" s="2" t="str">
        <f>_xlfn.XLOOKUP(B1483,Master[Product_Code],Master[Style])</f>
        <v>Sleeveless</v>
      </c>
      <c r="F1483" s="2" t="str">
        <f>_xlfn.XLOOKUP(B1483,Master[Product_Code],Master[Fabric])</f>
        <v>Poly Cotton</v>
      </c>
      <c r="G1483" s="2" t="str">
        <f>_xlfn.XLOOKUP(B1483,Master[Product_Code],Master[Size])</f>
        <v>XL</v>
      </c>
      <c r="H1483" s="2" t="str">
        <f>_xlfn.XLOOKUP(B1483,Master[Product_Code],Master[Color])</f>
        <v>Rust</v>
      </c>
      <c r="I1483" s="4">
        <f>_xlfn.XLOOKUP(B1483,Master[Product_Code],Master[Stock_Qty])</f>
        <v>6</v>
      </c>
      <c r="J1483" s="6">
        <f>SUMIFS(
  Sales_Entry[Qty],
  Sales_Entry[Product_Code], Stock_Table[[#This Row],[Product_Code]]
)</f>
        <v>1</v>
      </c>
      <c r="K1483" s="4">
        <f>SUMIFS(
  Exchange_Return[Qty],
  Exchange_Return[Product_Code], Stock_Table[[#This Row],[Product_Code]]
)</f>
        <v>0</v>
      </c>
      <c r="L1483" s="4">
        <f>I1483-J1483+K1483</f>
        <v>5</v>
      </c>
      <c r="M1483" s="2" t="str" cm="1">
        <f t="array" ref="M1483">_xlfn.IFS(L1483=0,"Out of Stock",L1483&gt;=2,"Limited Stock",L1483&lt;2,"In Stock")</f>
        <v>Limited Stock</v>
      </c>
    </row>
    <row r="1484" spans="2:13">
      <c r="B1484" s="2" t="s">
        <v>657</v>
      </c>
      <c r="C1484" s="5" t="str">
        <f>_xlfn.XLOOKUP(B1484,Master[Product_Code],Master[Category])</f>
        <v>T-Shirt</v>
      </c>
      <c r="D1484" s="2" t="str">
        <f>_xlfn.XLOOKUP(B1484,Master[Product_Code],Master[Brand])</f>
        <v>Max</v>
      </c>
      <c r="E1484" s="2" t="str">
        <f>_xlfn.XLOOKUP(B1484,Master[Product_Code],Master[Style])</f>
        <v>Half Sleeve</v>
      </c>
      <c r="F1484" s="2" t="str">
        <f>_xlfn.XLOOKUP(B1484,Master[Product_Code],Master[Fabric])</f>
        <v>Cotton</v>
      </c>
      <c r="G1484" s="2" t="str">
        <f>_xlfn.XLOOKUP(B1484,Master[Product_Code],Master[Size])</f>
        <v>XXL</v>
      </c>
      <c r="H1484" s="2" t="str">
        <f>_xlfn.XLOOKUP(B1484,Master[Product_Code],Master[Color])</f>
        <v>Grey</v>
      </c>
      <c r="I1484" s="4">
        <f>_xlfn.XLOOKUP(B1484,Master[Product_Code],Master[Stock_Qty])</f>
        <v>5</v>
      </c>
      <c r="J1484" s="6">
        <f>SUMIFS(
  Sales_Entry[Qty],
  Sales_Entry[Product_Code], Stock_Table[[#This Row],[Product_Code]]
)</f>
        <v>0</v>
      </c>
      <c r="K1484" s="4">
        <f>SUMIFS(
  Exchange_Return[Qty],
  Exchange_Return[Product_Code], Stock_Table[[#This Row],[Product_Code]]
)</f>
        <v>0</v>
      </c>
      <c r="L1484" s="4">
        <f>I1484-J1484+K1484</f>
        <v>5</v>
      </c>
      <c r="M1484" s="2" t="str" cm="1">
        <f t="array" ref="M1484">_xlfn.IFS(L1484=0,"Out of Stock",L1484&gt;=2,"Limited Stock",L1484&lt;2,"In Stock")</f>
        <v>Limited Stock</v>
      </c>
    </row>
    <row r="1485" spans="2:13">
      <c r="B1485" s="2" t="s">
        <v>658</v>
      </c>
      <c r="C1485" s="5" t="str">
        <f>_xlfn.XLOOKUP(B1485,Master[Product_Code],Master[Category])</f>
        <v>T-Shirt</v>
      </c>
      <c r="D1485" s="2" t="str">
        <f>_xlfn.XLOOKUP(B1485,Master[Product_Code],Master[Brand])</f>
        <v>Thailand</v>
      </c>
      <c r="E1485" s="2" t="str">
        <f>_xlfn.XLOOKUP(B1485,Master[Product_Code],Master[Style])</f>
        <v>Hoodie</v>
      </c>
      <c r="F1485" s="2" t="str">
        <f>_xlfn.XLOOKUP(B1485,Master[Product_Code],Master[Fabric])</f>
        <v>Cotton</v>
      </c>
      <c r="G1485" s="2" t="str">
        <f>_xlfn.XLOOKUP(B1485,Master[Product_Code],Master[Size])</f>
        <v>S</v>
      </c>
      <c r="H1485" s="2" t="str">
        <f>_xlfn.XLOOKUP(B1485,Master[Product_Code],Master[Color])</f>
        <v>Black</v>
      </c>
      <c r="I1485" s="4">
        <f>_xlfn.XLOOKUP(B1485,Master[Product_Code],Master[Stock_Qty])</f>
        <v>4</v>
      </c>
      <c r="J1485" s="6">
        <f>SUMIFS(
  Sales_Entry[Qty],
  Sales_Entry[Product_Code], Stock_Table[[#This Row],[Product_Code]]
)</f>
        <v>0</v>
      </c>
      <c r="K1485" s="4">
        <f>SUMIFS(
  Exchange_Return[Qty],
  Exchange_Return[Product_Code], Stock_Table[[#This Row],[Product_Code]]
)</f>
        <v>0</v>
      </c>
      <c r="L1485" s="4">
        <f>I1485-J1485+K1485</f>
        <v>4</v>
      </c>
      <c r="M1485" s="2" t="str" cm="1">
        <f t="array" ref="M1485">_xlfn.IFS(L1485=0,"Out of Stock",L1485&gt;=2,"Limited Stock",L1485&lt;2,"In Stock")</f>
        <v>Limited Stock</v>
      </c>
    </row>
    <row r="1486" spans="2:13">
      <c r="B1486" s="2" t="s">
        <v>659</v>
      </c>
      <c r="C1486" s="5" t="str">
        <f>_xlfn.XLOOKUP(B1486,Master[Product_Code],Master[Category])</f>
        <v>T-Shirt</v>
      </c>
      <c r="D1486" s="2" t="str">
        <f>_xlfn.XLOOKUP(B1486,Master[Product_Code],Master[Brand])</f>
        <v>Campus</v>
      </c>
      <c r="E1486" s="2" t="str">
        <f>_xlfn.XLOOKUP(B1486,Master[Product_Code],Master[Style])</f>
        <v>3/4 Sleeve</v>
      </c>
      <c r="F1486" s="2" t="str">
        <f>_xlfn.XLOOKUP(B1486,Master[Product_Code],Master[Fabric])</f>
        <v>Cotton Blend</v>
      </c>
      <c r="G1486" s="2" t="str">
        <f>_xlfn.XLOOKUP(B1486,Master[Product_Code],Master[Size])</f>
        <v>M</v>
      </c>
      <c r="H1486" s="2" t="str">
        <f>_xlfn.XLOOKUP(B1486,Master[Product_Code],Master[Color])</f>
        <v>Sky Blue</v>
      </c>
      <c r="I1486" s="4">
        <f>_xlfn.XLOOKUP(B1486,Master[Product_Code],Master[Stock_Qty])</f>
        <v>6</v>
      </c>
      <c r="J1486" s="6">
        <f>SUMIFS(
  Sales_Entry[Qty],
  Sales_Entry[Product_Code], Stock_Table[[#This Row],[Product_Code]]
)</f>
        <v>4</v>
      </c>
      <c r="K1486" s="4">
        <f>SUMIFS(
  Exchange_Return[Qty],
  Exchange_Return[Product_Code], Stock_Table[[#This Row],[Product_Code]]
)</f>
        <v>0</v>
      </c>
      <c r="L1486" s="4">
        <f>I1486-J1486+K1486</f>
        <v>2</v>
      </c>
      <c r="M1486" s="2" t="str" cm="1">
        <f t="array" ref="M1486">_xlfn.IFS(L1486=0,"Out of Stock",L1486&gt;=2,"Limited Stock",L1486&lt;2,"In Stock")</f>
        <v>Limited Stock</v>
      </c>
    </row>
    <row r="1487" spans="2:13">
      <c r="B1487" s="2" t="s">
        <v>660</v>
      </c>
      <c r="C1487" s="5" t="str">
        <f>_xlfn.XLOOKUP(B1487,Master[Product_Code],Master[Category])</f>
        <v>T-Shirt</v>
      </c>
      <c r="D1487" s="2" t="str">
        <f>_xlfn.XLOOKUP(B1487,Master[Product_Code],Master[Brand])</f>
        <v>Roadster</v>
      </c>
      <c r="E1487" s="2" t="str">
        <f>_xlfn.XLOOKUP(B1487,Master[Product_Code],Master[Style])</f>
        <v>3/4 Sleeve</v>
      </c>
      <c r="F1487" s="2" t="str">
        <f>_xlfn.XLOOKUP(B1487,Master[Product_Code],Master[Fabric])</f>
        <v>Cotton</v>
      </c>
      <c r="G1487" s="2" t="str">
        <f>_xlfn.XLOOKUP(B1487,Master[Product_Code],Master[Size])</f>
        <v>S</v>
      </c>
      <c r="H1487" s="2" t="str">
        <f>_xlfn.XLOOKUP(B1487,Master[Product_Code],Master[Color])</f>
        <v>White</v>
      </c>
      <c r="I1487" s="4">
        <f>_xlfn.XLOOKUP(B1487,Master[Product_Code],Master[Stock_Qty])</f>
        <v>5</v>
      </c>
      <c r="J1487" s="6">
        <f>SUMIFS(
  Sales_Entry[Qty],
  Sales_Entry[Product_Code], Stock_Table[[#This Row],[Product_Code]]
)</f>
        <v>0</v>
      </c>
      <c r="K1487" s="4">
        <f>SUMIFS(
  Exchange_Return[Qty],
  Exchange_Return[Product_Code], Stock_Table[[#This Row],[Product_Code]]
)</f>
        <v>0</v>
      </c>
      <c r="L1487" s="4">
        <f>I1487-J1487+K1487</f>
        <v>5</v>
      </c>
      <c r="M1487" s="2" t="str" cm="1">
        <f t="array" ref="M1487">_xlfn.IFS(L1487=0,"Out of Stock",L1487&gt;=2,"Limited Stock",L1487&lt;2,"In Stock")</f>
        <v>Limited Stock</v>
      </c>
    </row>
    <row r="1488" spans="2:13">
      <c r="B1488" s="2" t="s">
        <v>661</v>
      </c>
      <c r="C1488" s="5" t="str">
        <f>_xlfn.XLOOKUP(B1488,Master[Product_Code],Master[Category])</f>
        <v>T-Shirt</v>
      </c>
      <c r="D1488" s="2" t="str">
        <f>_xlfn.XLOOKUP(B1488,Master[Product_Code],Master[Brand])</f>
        <v>Max</v>
      </c>
      <c r="E1488" s="2" t="str">
        <f>_xlfn.XLOOKUP(B1488,Master[Product_Code],Master[Style])</f>
        <v>Hoodie</v>
      </c>
      <c r="F1488" s="2" t="str">
        <f>_xlfn.XLOOKUP(B1488,Master[Product_Code],Master[Fabric])</f>
        <v>Poly Cotton</v>
      </c>
      <c r="G1488" s="2" t="str">
        <f>_xlfn.XLOOKUP(B1488,Master[Product_Code],Master[Size])</f>
        <v>XXL</v>
      </c>
      <c r="H1488" s="2" t="str">
        <f>_xlfn.XLOOKUP(B1488,Master[Product_Code],Master[Color])</f>
        <v>Mustard</v>
      </c>
      <c r="I1488" s="4">
        <f>_xlfn.XLOOKUP(B1488,Master[Product_Code],Master[Stock_Qty])</f>
        <v>6</v>
      </c>
      <c r="J1488" s="6">
        <f>SUMIFS(
  Sales_Entry[Qty],
  Sales_Entry[Product_Code], Stock_Table[[#This Row],[Product_Code]]
)</f>
        <v>1</v>
      </c>
      <c r="K1488" s="4">
        <f>SUMIFS(
  Exchange_Return[Qty],
  Exchange_Return[Product_Code], Stock_Table[[#This Row],[Product_Code]]
)</f>
        <v>0</v>
      </c>
      <c r="L1488" s="4">
        <f>I1488-J1488+K1488</f>
        <v>5</v>
      </c>
      <c r="M1488" s="2" t="str" cm="1">
        <f t="array" ref="M1488">_xlfn.IFS(L1488=0,"Out of Stock",L1488&gt;=2,"Limited Stock",L1488&lt;2,"In Stock")</f>
        <v>Limited Stock</v>
      </c>
    </row>
    <row r="1489" spans="2:13">
      <c r="B1489" s="2" t="s">
        <v>662</v>
      </c>
      <c r="C1489" s="5" t="str">
        <f>_xlfn.XLOOKUP(B1489,Master[Product_Code],Master[Category])</f>
        <v>T-Shirt</v>
      </c>
      <c r="D1489" s="2" t="str">
        <f>_xlfn.XLOOKUP(B1489,Master[Product_Code],Master[Brand])</f>
        <v>Turkey</v>
      </c>
      <c r="E1489" s="2" t="str">
        <f>_xlfn.XLOOKUP(B1489,Master[Product_Code],Master[Style])</f>
        <v>3/4 Sleeve</v>
      </c>
      <c r="F1489" s="2" t="str">
        <f>_xlfn.XLOOKUP(B1489,Master[Product_Code],Master[Fabric])</f>
        <v>Cotton Blend</v>
      </c>
      <c r="G1489" s="2" t="str">
        <f>_xlfn.XLOOKUP(B1489,Master[Product_Code],Master[Size])</f>
        <v>L</v>
      </c>
      <c r="H1489" s="2" t="str">
        <f>_xlfn.XLOOKUP(B1489,Master[Product_Code],Master[Color])</f>
        <v>Grey</v>
      </c>
      <c r="I1489" s="4">
        <f>_xlfn.XLOOKUP(B1489,Master[Product_Code],Master[Stock_Qty])</f>
        <v>4</v>
      </c>
      <c r="J1489" s="6">
        <f>SUMIFS(
  Sales_Entry[Qty],
  Sales_Entry[Product_Code], Stock_Table[[#This Row],[Product_Code]]
)</f>
        <v>4</v>
      </c>
      <c r="K1489" s="4">
        <f>SUMIFS(
  Exchange_Return[Qty],
  Exchange_Return[Product_Code], Stock_Table[[#This Row],[Product_Code]]
)</f>
        <v>0</v>
      </c>
      <c r="L1489" s="4">
        <f>I1489-J1489+K1489</f>
        <v>0</v>
      </c>
      <c r="M1489" s="2" t="str" cm="1">
        <f t="array" ref="M1489">_xlfn.IFS(L1489=0,"Out of Stock",L1489&gt;=2,"Limited Stock",L1489&lt;2,"In Stock")</f>
        <v>Out of Stock</v>
      </c>
    </row>
    <row r="1490" spans="2:13">
      <c r="B1490" s="2" t="s">
        <v>663</v>
      </c>
      <c r="C1490" s="5" t="str">
        <f>_xlfn.XLOOKUP(B1490,Master[Product_Code],Master[Category])</f>
        <v>T-Shirt</v>
      </c>
      <c r="D1490" s="2" t="str">
        <f>_xlfn.XLOOKUP(B1490,Master[Product_Code],Master[Brand])</f>
        <v>Zara</v>
      </c>
      <c r="E1490" s="2" t="str">
        <f>_xlfn.XLOOKUP(B1490,Master[Product_Code],Master[Style])</f>
        <v>Full Sleeve</v>
      </c>
      <c r="F1490" s="2" t="str">
        <f>_xlfn.XLOOKUP(B1490,Master[Product_Code],Master[Fabric])</f>
        <v>Cotton</v>
      </c>
      <c r="G1490" s="2" t="str">
        <f>_xlfn.XLOOKUP(B1490,Master[Product_Code],Master[Size])</f>
        <v>M</v>
      </c>
      <c r="H1490" s="2" t="str">
        <f>_xlfn.XLOOKUP(B1490,Master[Product_Code],Master[Color])</f>
        <v>Grey</v>
      </c>
      <c r="I1490" s="4">
        <f>_xlfn.XLOOKUP(B1490,Master[Product_Code],Master[Stock_Qty])</f>
        <v>3</v>
      </c>
      <c r="J1490" s="6">
        <f>SUMIFS(
  Sales_Entry[Qty],
  Sales_Entry[Product_Code], Stock_Table[[#This Row],[Product_Code]]
)</f>
        <v>1</v>
      </c>
      <c r="K1490" s="4">
        <f>SUMIFS(
  Exchange_Return[Qty],
  Exchange_Return[Product_Code], Stock_Table[[#This Row],[Product_Code]]
)</f>
        <v>0</v>
      </c>
      <c r="L1490" s="4">
        <f>I1490-J1490+K1490</f>
        <v>2</v>
      </c>
      <c r="M1490" s="2" t="str" cm="1">
        <f t="array" ref="M1490">_xlfn.IFS(L1490=0,"Out of Stock",L1490&gt;=2,"Limited Stock",L1490&lt;2,"In Stock")</f>
        <v>Limited Stock</v>
      </c>
    </row>
    <row r="1491" spans="2:13">
      <c r="B1491" s="2" t="s">
        <v>664</v>
      </c>
      <c r="C1491" s="5" t="str">
        <f>_xlfn.XLOOKUP(B1491,Master[Product_Code],Master[Category])</f>
        <v>T-Shirt</v>
      </c>
      <c r="D1491" s="2" t="str">
        <f>_xlfn.XLOOKUP(B1491,Master[Product_Code],Master[Brand])</f>
        <v>Roadster</v>
      </c>
      <c r="E1491" s="2" t="str">
        <f>_xlfn.XLOOKUP(B1491,Master[Product_Code],Master[Style])</f>
        <v>Full Sleeve</v>
      </c>
      <c r="F1491" s="2" t="str">
        <f>_xlfn.XLOOKUP(B1491,Master[Product_Code],Master[Fabric])</f>
        <v>Cotton</v>
      </c>
      <c r="G1491" s="2" t="str">
        <f>_xlfn.XLOOKUP(B1491,Master[Product_Code],Master[Size])</f>
        <v>L</v>
      </c>
      <c r="H1491" s="2" t="str">
        <f>_xlfn.XLOOKUP(B1491,Master[Product_Code],Master[Color])</f>
        <v>White</v>
      </c>
      <c r="I1491" s="4">
        <f>_xlfn.XLOOKUP(B1491,Master[Product_Code],Master[Stock_Qty])</f>
        <v>6</v>
      </c>
      <c r="J1491" s="6">
        <f>SUMIFS(
  Sales_Entry[Qty],
  Sales_Entry[Product_Code], Stock_Table[[#This Row],[Product_Code]]
)</f>
        <v>1</v>
      </c>
      <c r="K1491" s="4">
        <f>SUMIFS(
  Exchange_Return[Qty],
  Exchange_Return[Product_Code], Stock_Table[[#This Row],[Product_Code]]
)</f>
        <v>0</v>
      </c>
      <c r="L1491" s="4">
        <f>I1491-J1491+K1491</f>
        <v>5</v>
      </c>
      <c r="M1491" s="2" t="str" cm="1">
        <f t="array" ref="M1491">_xlfn.IFS(L1491=0,"Out of Stock",L1491&gt;=2,"Limited Stock",L1491&lt;2,"In Stock")</f>
        <v>Limited Stock</v>
      </c>
    </row>
    <row r="1492" spans="2:13">
      <c r="B1492" s="2" t="s">
        <v>665</v>
      </c>
      <c r="C1492" s="5" t="str">
        <f>_xlfn.XLOOKUP(B1492,Master[Product_Code],Master[Category])</f>
        <v>T-Shirt</v>
      </c>
      <c r="D1492" s="2" t="str">
        <f>_xlfn.XLOOKUP(B1492,Master[Product_Code],Master[Brand])</f>
        <v>Thailand</v>
      </c>
      <c r="E1492" s="2" t="str">
        <f>_xlfn.XLOOKUP(B1492,Master[Product_Code],Master[Style])</f>
        <v>Hoodie</v>
      </c>
      <c r="F1492" s="2" t="str">
        <f>_xlfn.XLOOKUP(B1492,Master[Product_Code],Master[Fabric])</f>
        <v>Poly Cotton</v>
      </c>
      <c r="G1492" s="2" t="str">
        <f>_xlfn.XLOOKUP(B1492,Master[Product_Code],Master[Size])</f>
        <v>S</v>
      </c>
      <c r="H1492" s="2" t="str">
        <f>_xlfn.XLOOKUP(B1492,Master[Product_Code],Master[Color])</f>
        <v>Royal Blue</v>
      </c>
      <c r="I1492" s="4">
        <f>_xlfn.XLOOKUP(B1492,Master[Product_Code],Master[Stock_Qty])</f>
        <v>3</v>
      </c>
      <c r="J1492" s="6">
        <f>SUMIFS(
  Sales_Entry[Qty],
  Sales_Entry[Product_Code], Stock_Table[[#This Row],[Product_Code]]
)</f>
        <v>0</v>
      </c>
      <c r="K1492" s="4">
        <f>SUMIFS(
  Exchange_Return[Qty],
  Exchange_Return[Product_Code], Stock_Table[[#This Row],[Product_Code]]
)</f>
        <v>0</v>
      </c>
      <c r="L1492" s="4">
        <f>I1492-J1492+K1492</f>
        <v>3</v>
      </c>
      <c r="M1492" s="2" t="str" cm="1">
        <f t="array" ref="M1492">_xlfn.IFS(L1492=0,"Out of Stock",L1492&gt;=2,"Limited Stock",L1492&lt;2,"In Stock")</f>
        <v>Limited Stock</v>
      </c>
    </row>
    <row r="1493" spans="2:13">
      <c r="B1493" s="2" t="s">
        <v>666</v>
      </c>
      <c r="C1493" s="5" t="str">
        <f>_xlfn.XLOOKUP(B1493,Master[Product_Code],Master[Category])</f>
        <v>T-Shirt</v>
      </c>
      <c r="D1493" s="2" t="str">
        <f>_xlfn.XLOOKUP(B1493,Master[Product_Code],Master[Brand])</f>
        <v>Zara</v>
      </c>
      <c r="E1493" s="2" t="str">
        <f>_xlfn.XLOOKUP(B1493,Master[Product_Code],Master[Style])</f>
        <v>Half Sleeve</v>
      </c>
      <c r="F1493" s="2" t="str">
        <f>_xlfn.XLOOKUP(B1493,Master[Product_Code],Master[Fabric])</f>
        <v>Cotton</v>
      </c>
      <c r="G1493" s="2" t="str">
        <f>_xlfn.XLOOKUP(B1493,Master[Product_Code],Master[Size])</f>
        <v>S</v>
      </c>
      <c r="H1493" s="2" t="str">
        <f>_xlfn.XLOOKUP(B1493,Master[Product_Code],Master[Color])</f>
        <v>Bottle Green</v>
      </c>
      <c r="I1493" s="4">
        <f>_xlfn.XLOOKUP(B1493,Master[Product_Code],Master[Stock_Qty])</f>
        <v>6</v>
      </c>
      <c r="J1493" s="6">
        <f>SUMIFS(
  Sales_Entry[Qty],
  Sales_Entry[Product_Code], Stock_Table[[#This Row],[Product_Code]]
)</f>
        <v>2</v>
      </c>
      <c r="K1493" s="4">
        <f>SUMIFS(
  Exchange_Return[Qty],
  Exchange_Return[Product_Code], Stock_Table[[#This Row],[Product_Code]]
)</f>
        <v>0</v>
      </c>
      <c r="L1493" s="4">
        <f>I1493-J1493+K1493</f>
        <v>4</v>
      </c>
      <c r="M1493" s="2" t="str" cm="1">
        <f t="array" ref="M1493">_xlfn.IFS(L1493=0,"Out of Stock",L1493&gt;=2,"Limited Stock",L1493&lt;2,"In Stock")</f>
        <v>Limited Stock</v>
      </c>
    </row>
    <row r="1494" spans="2:13">
      <c r="B1494" s="2" t="s">
        <v>667</v>
      </c>
      <c r="C1494" s="5" t="str">
        <f>_xlfn.XLOOKUP(B1494,Master[Product_Code],Master[Category])</f>
        <v>T-Shirt</v>
      </c>
      <c r="D1494" s="2" t="str">
        <f>_xlfn.XLOOKUP(B1494,Master[Product_Code],Master[Brand])</f>
        <v>Zara</v>
      </c>
      <c r="E1494" s="2" t="str">
        <f>_xlfn.XLOOKUP(B1494,Master[Product_Code],Master[Style])</f>
        <v>Hoodie</v>
      </c>
      <c r="F1494" s="2" t="str">
        <f>_xlfn.XLOOKUP(B1494,Master[Product_Code],Master[Fabric])</f>
        <v>Cotton Blend</v>
      </c>
      <c r="G1494" s="2" t="str">
        <f>_xlfn.XLOOKUP(B1494,Master[Product_Code],Master[Size])</f>
        <v>XL</v>
      </c>
      <c r="H1494" s="2" t="str">
        <f>_xlfn.XLOOKUP(B1494,Master[Product_Code],Master[Color])</f>
        <v>Maroon</v>
      </c>
      <c r="I1494" s="4">
        <f>_xlfn.XLOOKUP(B1494,Master[Product_Code],Master[Stock_Qty])</f>
        <v>4</v>
      </c>
      <c r="J1494" s="6">
        <f>SUMIFS(
  Sales_Entry[Qty],
  Sales_Entry[Product_Code], Stock_Table[[#This Row],[Product_Code]]
)</f>
        <v>1</v>
      </c>
      <c r="K1494" s="4">
        <f>SUMIFS(
  Exchange_Return[Qty],
  Exchange_Return[Product_Code], Stock_Table[[#This Row],[Product_Code]]
)</f>
        <v>0</v>
      </c>
      <c r="L1494" s="4">
        <f>I1494-J1494+K1494</f>
        <v>3</v>
      </c>
      <c r="M1494" s="2" t="str" cm="1">
        <f t="array" ref="M1494">_xlfn.IFS(L1494=0,"Out of Stock",L1494&gt;=2,"Limited Stock",L1494&lt;2,"In Stock")</f>
        <v>Limited Stock</v>
      </c>
    </row>
    <row r="1495" spans="2:13">
      <c r="B1495" s="2" t="s">
        <v>668</v>
      </c>
      <c r="C1495" s="5" t="str">
        <f>_xlfn.XLOOKUP(B1495,Master[Product_Code],Master[Category])</f>
        <v>T-Shirt</v>
      </c>
      <c r="D1495" s="2" t="str">
        <f>_xlfn.XLOOKUP(B1495,Master[Product_Code],Master[Brand])</f>
        <v>Campus</v>
      </c>
      <c r="E1495" s="2" t="str">
        <f>_xlfn.XLOOKUP(B1495,Master[Product_Code],Master[Style])</f>
        <v>Half Sleeve</v>
      </c>
      <c r="F1495" s="2" t="str">
        <f>_xlfn.XLOOKUP(B1495,Master[Product_Code],Master[Fabric])</f>
        <v>Cotton Blend</v>
      </c>
      <c r="G1495" s="2" t="str">
        <f>_xlfn.XLOOKUP(B1495,Master[Product_Code],Master[Size])</f>
        <v>XL</v>
      </c>
      <c r="H1495" s="2" t="str">
        <f>_xlfn.XLOOKUP(B1495,Master[Product_Code],Master[Color])</f>
        <v>Sky Blue</v>
      </c>
      <c r="I1495" s="4">
        <f>_xlfn.XLOOKUP(B1495,Master[Product_Code],Master[Stock_Qty])</f>
        <v>5</v>
      </c>
      <c r="J1495" s="6">
        <f>SUMIFS(
  Sales_Entry[Qty],
  Sales_Entry[Product_Code], Stock_Table[[#This Row],[Product_Code]]
)</f>
        <v>1</v>
      </c>
      <c r="K1495" s="4">
        <f>SUMIFS(
  Exchange_Return[Qty],
  Exchange_Return[Product_Code], Stock_Table[[#This Row],[Product_Code]]
)</f>
        <v>0</v>
      </c>
      <c r="L1495" s="4">
        <f>I1495-J1495+K1495</f>
        <v>4</v>
      </c>
      <c r="M1495" s="2" t="str" cm="1">
        <f t="array" ref="M1495">_xlfn.IFS(L1495=0,"Out of Stock",L1495&gt;=2,"Limited Stock",L1495&lt;2,"In Stock")</f>
        <v>Limited Stock</v>
      </c>
    </row>
    <row r="1496" spans="2:13">
      <c r="B1496" s="2" t="s">
        <v>669</v>
      </c>
      <c r="C1496" s="5" t="str">
        <f>_xlfn.XLOOKUP(B1496,Master[Product_Code],Master[Category])</f>
        <v>T-Shirt</v>
      </c>
      <c r="D1496" s="2" t="str">
        <f>_xlfn.XLOOKUP(B1496,Master[Product_Code],Master[Brand])</f>
        <v>Roadster</v>
      </c>
      <c r="E1496" s="2" t="str">
        <f>_xlfn.XLOOKUP(B1496,Master[Product_Code],Master[Style])</f>
        <v>Full Sleeve</v>
      </c>
      <c r="F1496" s="2" t="str">
        <f>_xlfn.XLOOKUP(B1496,Master[Product_Code],Master[Fabric])</f>
        <v>Cotton Blend</v>
      </c>
      <c r="G1496" s="2" t="str">
        <f>_xlfn.XLOOKUP(B1496,Master[Product_Code],Master[Size])</f>
        <v>S</v>
      </c>
      <c r="H1496" s="2" t="str">
        <f>_xlfn.XLOOKUP(B1496,Master[Product_Code],Master[Color])</f>
        <v>Wine</v>
      </c>
      <c r="I1496" s="4">
        <f>_xlfn.XLOOKUP(B1496,Master[Product_Code],Master[Stock_Qty])</f>
        <v>3</v>
      </c>
      <c r="J1496" s="6">
        <f>SUMIFS(
  Sales_Entry[Qty],
  Sales_Entry[Product_Code], Stock_Table[[#This Row],[Product_Code]]
)</f>
        <v>3</v>
      </c>
      <c r="K1496" s="4">
        <f>SUMIFS(
  Exchange_Return[Qty],
  Exchange_Return[Product_Code], Stock_Table[[#This Row],[Product_Code]]
)</f>
        <v>0</v>
      </c>
      <c r="L1496" s="4">
        <f>I1496-J1496+K1496</f>
        <v>0</v>
      </c>
      <c r="M1496" s="2" t="str" cm="1">
        <f t="array" ref="M1496">_xlfn.IFS(L1496=0,"Out of Stock",L1496&gt;=2,"Limited Stock",L1496&lt;2,"In Stock")</f>
        <v>Out of Stock</v>
      </c>
    </row>
    <row r="1497" spans="2:13">
      <c r="B1497" s="2" t="s">
        <v>670</v>
      </c>
      <c r="C1497" s="5" t="str">
        <f>_xlfn.XLOOKUP(B1497,Master[Product_Code],Master[Category])</f>
        <v>T-Shirt</v>
      </c>
      <c r="D1497" s="2" t="str">
        <f>_xlfn.XLOOKUP(B1497,Master[Product_Code],Master[Brand])</f>
        <v>Zara</v>
      </c>
      <c r="E1497" s="2" t="str">
        <f>_xlfn.XLOOKUP(B1497,Master[Product_Code],Master[Style])</f>
        <v>Half Sleeve</v>
      </c>
      <c r="F1497" s="2" t="str">
        <f>_xlfn.XLOOKUP(B1497,Master[Product_Code],Master[Fabric])</f>
        <v>Cotton Blend</v>
      </c>
      <c r="G1497" s="2" t="str">
        <f>_xlfn.XLOOKUP(B1497,Master[Product_Code],Master[Size])</f>
        <v>M</v>
      </c>
      <c r="H1497" s="2" t="str">
        <f>_xlfn.XLOOKUP(B1497,Master[Product_Code],Master[Color])</f>
        <v>Royal Blue</v>
      </c>
      <c r="I1497" s="4">
        <f>_xlfn.XLOOKUP(B1497,Master[Product_Code],Master[Stock_Qty])</f>
        <v>4</v>
      </c>
      <c r="J1497" s="6">
        <f>SUMIFS(
  Sales_Entry[Qty],
  Sales_Entry[Product_Code], Stock_Table[[#This Row],[Product_Code]]
)</f>
        <v>1</v>
      </c>
      <c r="K1497" s="4">
        <f>SUMIFS(
  Exchange_Return[Qty],
  Exchange_Return[Product_Code], Stock_Table[[#This Row],[Product_Code]]
)</f>
        <v>0</v>
      </c>
      <c r="L1497" s="4">
        <f>I1497-J1497+K1497</f>
        <v>3</v>
      </c>
      <c r="M1497" s="2" t="str" cm="1">
        <f t="array" ref="M1497">_xlfn.IFS(L1497=0,"Out of Stock",L1497&gt;=2,"Limited Stock",L1497&lt;2,"In Stock")</f>
        <v>Limited Stock</v>
      </c>
    </row>
    <row r="1498" spans="2:13">
      <c r="B1498" s="2" t="s">
        <v>671</v>
      </c>
      <c r="C1498" s="5" t="str">
        <f>_xlfn.XLOOKUP(B1498,Master[Product_Code],Master[Category])</f>
        <v>T-Shirt</v>
      </c>
      <c r="D1498" s="2" t="str">
        <f>_xlfn.XLOOKUP(B1498,Master[Product_Code],Master[Brand])</f>
        <v>Urban Monkey</v>
      </c>
      <c r="E1498" s="2" t="str">
        <f>_xlfn.XLOOKUP(B1498,Master[Product_Code],Master[Style])</f>
        <v>Hoodie</v>
      </c>
      <c r="F1498" s="2" t="str">
        <f>_xlfn.XLOOKUP(B1498,Master[Product_Code],Master[Fabric])</f>
        <v>Cotton</v>
      </c>
      <c r="G1498" s="2" t="str">
        <f>_xlfn.XLOOKUP(B1498,Master[Product_Code],Master[Size])</f>
        <v>L</v>
      </c>
      <c r="H1498" s="2" t="str">
        <f>_xlfn.XLOOKUP(B1498,Master[Product_Code],Master[Color])</f>
        <v>Bottle Green</v>
      </c>
      <c r="I1498" s="4">
        <f>_xlfn.XLOOKUP(B1498,Master[Product_Code],Master[Stock_Qty])</f>
        <v>5</v>
      </c>
      <c r="J1498" s="6">
        <f>SUMIFS(
  Sales_Entry[Qty],
  Sales_Entry[Product_Code], Stock_Table[[#This Row],[Product_Code]]
)</f>
        <v>1</v>
      </c>
      <c r="K1498" s="4">
        <f>SUMIFS(
  Exchange_Return[Qty],
  Exchange_Return[Product_Code], Stock_Table[[#This Row],[Product_Code]]
)</f>
        <v>0</v>
      </c>
      <c r="L1498" s="4">
        <f>I1498-J1498+K1498</f>
        <v>4</v>
      </c>
      <c r="M1498" s="2" t="str" cm="1">
        <f t="array" ref="M1498">_xlfn.IFS(L1498=0,"Out of Stock",L1498&gt;=2,"Limited Stock",L1498&lt;2,"In Stock")</f>
        <v>Limited Stock</v>
      </c>
    </row>
    <row r="1499" spans="2:13">
      <c r="B1499" s="2" t="s">
        <v>672</v>
      </c>
      <c r="C1499" s="5" t="str">
        <f>_xlfn.XLOOKUP(B1499,Master[Product_Code],Master[Category])</f>
        <v>T-Shirt</v>
      </c>
      <c r="D1499" s="2" t="str">
        <f>_xlfn.XLOOKUP(B1499,Master[Product_Code],Master[Brand])</f>
        <v>Zara</v>
      </c>
      <c r="E1499" s="2" t="str">
        <f>_xlfn.XLOOKUP(B1499,Master[Product_Code],Master[Style])</f>
        <v>Hoodie</v>
      </c>
      <c r="F1499" s="2" t="str">
        <f>_xlfn.XLOOKUP(B1499,Master[Product_Code],Master[Fabric])</f>
        <v>Cotton Blend</v>
      </c>
      <c r="G1499" s="2" t="str">
        <f>_xlfn.XLOOKUP(B1499,Master[Product_Code],Master[Size])</f>
        <v>M</v>
      </c>
      <c r="H1499" s="2" t="str">
        <f>_xlfn.XLOOKUP(B1499,Master[Product_Code],Master[Color])</f>
        <v>Peach</v>
      </c>
      <c r="I1499" s="4">
        <f>_xlfn.XLOOKUP(B1499,Master[Product_Code],Master[Stock_Qty])</f>
        <v>5</v>
      </c>
      <c r="J1499" s="6">
        <f>SUMIFS(
  Sales_Entry[Qty],
  Sales_Entry[Product_Code], Stock_Table[[#This Row],[Product_Code]]
)</f>
        <v>0</v>
      </c>
      <c r="K1499" s="4">
        <f>SUMIFS(
  Exchange_Return[Qty],
  Exchange_Return[Product_Code], Stock_Table[[#This Row],[Product_Code]]
)</f>
        <v>0</v>
      </c>
      <c r="L1499" s="4">
        <f>I1499-J1499+K1499</f>
        <v>5</v>
      </c>
      <c r="M1499" s="2" t="str" cm="1">
        <f t="array" ref="M1499">_xlfn.IFS(L1499=0,"Out of Stock",L1499&gt;=2,"Limited Stock",L1499&lt;2,"In Stock")</f>
        <v>Limited Stock</v>
      </c>
    </row>
    <row r="1500" spans="2:13">
      <c r="B1500" s="2" t="s">
        <v>673</v>
      </c>
      <c r="C1500" s="5" t="str">
        <f>_xlfn.XLOOKUP(B1500,Master[Product_Code],Master[Category])</f>
        <v>T-Shirt</v>
      </c>
      <c r="D1500" s="2" t="str">
        <f>_xlfn.XLOOKUP(B1500,Master[Product_Code],Master[Brand])</f>
        <v>Zara</v>
      </c>
      <c r="E1500" s="2" t="str">
        <f>_xlfn.XLOOKUP(B1500,Master[Product_Code],Master[Style])</f>
        <v>Half Sleeve</v>
      </c>
      <c r="F1500" s="2" t="str">
        <f>_xlfn.XLOOKUP(B1500,Master[Product_Code],Master[Fabric])</f>
        <v>Poly Cotton</v>
      </c>
      <c r="G1500" s="2" t="str">
        <f>_xlfn.XLOOKUP(B1500,Master[Product_Code],Master[Size])</f>
        <v>S</v>
      </c>
      <c r="H1500" s="2" t="str">
        <f>_xlfn.XLOOKUP(B1500,Master[Product_Code],Master[Color])</f>
        <v>Sky Blue</v>
      </c>
      <c r="I1500" s="4">
        <f>_xlfn.XLOOKUP(B1500,Master[Product_Code],Master[Stock_Qty])</f>
        <v>6</v>
      </c>
      <c r="J1500" s="6">
        <f>SUMIFS(
  Sales_Entry[Qty],
  Sales_Entry[Product_Code], Stock_Table[[#This Row],[Product_Code]]
)</f>
        <v>2</v>
      </c>
      <c r="K1500" s="4">
        <f>SUMIFS(
  Exchange_Return[Qty],
  Exchange_Return[Product_Code], Stock_Table[[#This Row],[Product_Code]]
)</f>
        <v>1</v>
      </c>
      <c r="L1500" s="4">
        <f>I1500-J1500+K1500</f>
        <v>5</v>
      </c>
      <c r="M1500" s="2" t="str" cm="1">
        <f t="array" ref="M1500">_xlfn.IFS(L1500=0,"Out of Stock",L1500&gt;=2,"Limited Stock",L1500&lt;2,"In Stock")</f>
        <v>Limited Stock</v>
      </c>
    </row>
    <row r="1501" spans="2:13">
      <c r="B1501" s="2" t="s">
        <v>674</v>
      </c>
      <c r="C1501" s="5" t="str">
        <f>_xlfn.XLOOKUP(B1501,Master[Product_Code],Master[Category])</f>
        <v>T-Shirt</v>
      </c>
      <c r="D1501" s="2" t="str">
        <f>_xlfn.XLOOKUP(B1501,Master[Product_Code],Master[Brand])</f>
        <v>Zara</v>
      </c>
      <c r="E1501" s="2" t="str">
        <f>_xlfn.XLOOKUP(B1501,Master[Product_Code],Master[Style])</f>
        <v>Hoodie</v>
      </c>
      <c r="F1501" s="2" t="str">
        <f>_xlfn.XLOOKUP(B1501,Master[Product_Code],Master[Fabric])</f>
        <v>Cotton</v>
      </c>
      <c r="G1501" s="2" t="str">
        <f>_xlfn.XLOOKUP(B1501,Master[Product_Code],Master[Size])</f>
        <v>S</v>
      </c>
      <c r="H1501" s="2" t="str">
        <f>_xlfn.XLOOKUP(B1501,Master[Product_Code],Master[Color])</f>
        <v>Beige</v>
      </c>
      <c r="I1501" s="4">
        <f>_xlfn.XLOOKUP(B1501,Master[Product_Code],Master[Stock_Qty])</f>
        <v>4</v>
      </c>
      <c r="J1501" s="6">
        <f>SUMIFS(
  Sales_Entry[Qty],
  Sales_Entry[Product_Code], Stock_Table[[#This Row],[Product_Code]]
)</f>
        <v>3</v>
      </c>
      <c r="K1501" s="4">
        <f>SUMIFS(
  Exchange_Return[Qty],
  Exchange_Return[Product_Code], Stock_Table[[#This Row],[Product_Code]]
)</f>
        <v>0</v>
      </c>
      <c r="L1501" s="4">
        <f>I1501-J1501+K1501</f>
        <v>1</v>
      </c>
      <c r="M1501" s="2" t="str" cm="1">
        <f t="array" ref="M1501">_xlfn.IFS(L1501=0,"Out of Stock",L1501&gt;=2,"Limited Stock",L1501&lt;2,"In Stock")</f>
        <v>In Stock</v>
      </c>
    </row>
    <row r="1502" spans="2:13">
      <c r="B1502" s="2" t="s">
        <v>675</v>
      </c>
      <c r="C1502" s="5" t="str">
        <f>_xlfn.XLOOKUP(B1502,Master[Product_Code],Master[Category])</f>
        <v>T-Shirt</v>
      </c>
      <c r="D1502" s="2" t="str">
        <f>_xlfn.XLOOKUP(B1502,Master[Product_Code],Master[Brand])</f>
        <v>Thailand</v>
      </c>
      <c r="E1502" s="2" t="str">
        <f>_xlfn.XLOOKUP(B1502,Master[Product_Code],Master[Style])</f>
        <v>3/4 Sleeve</v>
      </c>
      <c r="F1502" s="2" t="str">
        <f>_xlfn.XLOOKUP(B1502,Master[Product_Code],Master[Fabric])</f>
        <v>Cotton Blend</v>
      </c>
      <c r="G1502" s="2" t="str">
        <f>_xlfn.XLOOKUP(B1502,Master[Product_Code],Master[Size])</f>
        <v>S</v>
      </c>
      <c r="H1502" s="2" t="str">
        <f>_xlfn.XLOOKUP(B1502,Master[Product_Code],Master[Color])</f>
        <v>Sky Blue</v>
      </c>
      <c r="I1502" s="4">
        <f>_xlfn.XLOOKUP(B1502,Master[Product_Code],Master[Stock_Qty])</f>
        <v>4</v>
      </c>
      <c r="J1502" s="6">
        <f>SUMIFS(
  Sales_Entry[Qty],
  Sales_Entry[Product_Code], Stock_Table[[#This Row],[Product_Code]]
)</f>
        <v>0</v>
      </c>
      <c r="K1502" s="4">
        <f>SUMIFS(
  Exchange_Return[Qty],
  Exchange_Return[Product_Code], Stock_Table[[#This Row],[Product_Code]]
)</f>
        <v>0</v>
      </c>
      <c r="L1502" s="4">
        <f>I1502-J1502+K1502</f>
        <v>4</v>
      </c>
      <c r="M1502" s="2" t="str" cm="1">
        <f t="array" ref="M1502">_xlfn.IFS(L1502=0,"Out of Stock",L1502&gt;=2,"Limited Stock",L1502&lt;2,"In Stock")</f>
        <v>Limited Stock</v>
      </c>
    </row>
    <row r="1503" spans="2:13">
      <c r="B1503" s="2" t="s">
        <v>676</v>
      </c>
      <c r="C1503" s="5" t="str">
        <f>_xlfn.XLOOKUP(B1503,Master[Product_Code],Master[Category])</f>
        <v>T-Shirt</v>
      </c>
      <c r="D1503" s="2" t="str">
        <f>_xlfn.XLOOKUP(B1503,Master[Product_Code],Master[Brand])</f>
        <v>Urban Monkey</v>
      </c>
      <c r="E1503" s="2" t="str">
        <f>_xlfn.XLOOKUP(B1503,Master[Product_Code],Master[Style])</f>
        <v>3/4 Sleeve</v>
      </c>
      <c r="F1503" s="2" t="str">
        <f>_xlfn.XLOOKUP(B1503,Master[Product_Code],Master[Fabric])</f>
        <v>Cotton Blend</v>
      </c>
      <c r="G1503" s="2" t="str">
        <f>_xlfn.XLOOKUP(B1503,Master[Product_Code],Master[Size])</f>
        <v>L</v>
      </c>
      <c r="H1503" s="2" t="str">
        <f>_xlfn.XLOOKUP(B1503,Master[Product_Code],Master[Color])</f>
        <v>Bottle Green</v>
      </c>
      <c r="I1503" s="4">
        <f>_xlfn.XLOOKUP(B1503,Master[Product_Code],Master[Stock_Qty])</f>
        <v>3</v>
      </c>
      <c r="J1503" s="6">
        <f>SUMIFS(
  Sales_Entry[Qty],
  Sales_Entry[Product_Code], Stock_Table[[#This Row],[Product_Code]]
)</f>
        <v>1</v>
      </c>
      <c r="K1503" s="4">
        <f>SUMIFS(
  Exchange_Return[Qty],
  Exchange_Return[Product_Code], Stock_Table[[#This Row],[Product_Code]]
)</f>
        <v>0</v>
      </c>
      <c r="L1503" s="4">
        <f>I1503-J1503+K1503</f>
        <v>2</v>
      </c>
      <c r="M1503" s="2" t="str" cm="1">
        <f t="array" ref="M1503">_xlfn.IFS(L1503=0,"Out of Stock",L1503&gt;=2,"Limited Stock",L1503&lt;2,"In Stock")</f>
        <v>Limited Stock</v>
      </c>
    </row>
    <row r="1504" spans="2:13">
      <c r="B1504" s="2" t="s">
        <v>677</v>
      </c>
      <c r="C1504" s="5" t="str">
        <f>_xlfn.XLOOKUP(B1504,Master[Product_Code],Master[Category])</f>
        <v>T-Shirt</v>
      </c>
      <c r="D1504" s="2" t="str">
        <f>_xlfn.XLOOKUP(B1504,Master[Product_Code],Master[Brand])</f>
        <v>Urban Monkey</v>
      </c>
      <c r="E1504" s="2" t="str">
        <f>_xlfn.XLOOKUP(B1504,Master[Product_Code],Master[Style])</f>
        <v>Half Sleeve</v>
      </c>
      <c r="F1504" s="2" t="str">
        <f>_xlfn.XLOOKUP(B1504,Master[Product_Code],Master[Fabric])</f>
        <v>Cotton</v>
      </c>
      <c r="G1504" s="2" t="str">
        <f>_xlfn.XLOOKUP(B1504,Master[Product_Code],Master[Size])</f>
        <v>M</v>
      </c>
      <c r="H1504" s="2" t="str">
        <f>_xlfn.XLOOKUP(B1504,Master[Product_Code],Master[Color])</f>
        <v>Olive</v>
      </c>
      <c r="I1504" s="4">
        <f>_xlfn.XLOOKUP(B1504,Master[Product_Code],Master[Stock_Qty])</f>
        <v>5</v>
      </c>
      <c r="J1504" s="6">
        <f>SUMIFS(
  Sales_Entry[Qty],
  Sales_Entry[Product_Code], Stock_Table[[#This Row],[Product_Code]]
)</f>
        <v>1</v>
      </c>
      <c r="K1504" s="4">
        <f>SUMIFS(
  Exchange_Return[Qty],
  Exchange_Return[Product_Code], Stock_Table[[#This Row],[Product_Code]]
)</f>
        <v>0</v>
      </c>
      <c r="L1504" s="4">
        <f>I1504-J1504+K1504</f>
        <v>4</v>
      </c>
      <c r="M1504" s="2" t="str" cm="1">
        <f t="array" ref="M1504">_xlfn.IFS(L1504=0,"Out of Stock",L1504&gt;=2,"Limited Stock",L1504&lt;2,"In Stock")</f>
        <v>Limited Stock</v>
      </c>
    </row>
    <row r="1505" spans="2:13">
      <c r="B1505" s="2" t="s">
        <v>678</v>
      </c>
      <c r="C1505" s="5" t="str">
        <f>_xlfn.XLOOKUP(B1505,Master[Product_Code],Master[Category])</f>
        <v>T-Shirt</v>
      </c>
      <c r="D1505" s="2" t="str">
        <f>_xlfn.XLOOKUP(B1505,Master[Product_Code],Master[Brand])</f>
        <v>Max</v>
      </c>
      <c r="E1505" s="2" t="str">
        <f>_xlfn.XLOOKUP(B1505,Master[Product_Code],Master[Style])</f>
        <v>Hoodie</v>
      </c>
      <c r="F1505" s="2" t="str">
        <f>_xlfn.XLOOKUP(B1505,Master[Product_Code],Master[Fabric])</f>
        <v>Cotton Blend</v>
      </c>
      <c r="G1505" s="2" t="str">
        <f>_xlfn.XLOOKUP(B1505,Master[Product_Code],Master[Size])</f>
        <v>S</v>
      </c>
      <c r="H1505" s="2" t="str">
        <f>_xlfn.XLOOKUP(B1505,Master[Product_Code],Master[Color])</f>
        <v>Teal</v>
      </c>
      <c r="I1505" s="4">
        <f>_xlfn.XLOOKUP(B1505,Master[Product_Code],Master[Stock_Qty])</f>
        <v>5</v>
      </c>
      <c r="J1505" s="6">
        <f>SUMIFS(
  Sales_Entry[Qty],
  Sales_Entry[Product_Code], Stock_Table[[#This Row],[Product_Code]]
)</f>
        <v>0</v>
      </c>
      <c r="K1505" s="4">
        <f>SUMIFS(
  Exchange_Return[Qty],
  Exchange_Return[Product_Code], Stock_Table[[#This Row],[Product_Code]]
)</f>
        <v>0</v>
      </c>
      <c r="L1505" s="4">
        <f>I1505-J1505+K1505</f>
        <v>5</v>
      </c>
      <c r="M1505" s="2" t="str" cm="1">
        <f t="array" ref="M1505">_xlfn.IFS(L1505=0,"Out of Stock",L1505&gt;=2,"Limited Stock",L1505&lt;2,"In Stock")</f>
        <v>Limited Stock</v>
      </c>
    </row>
    <row r="1506" spans="2:13">
      <c r="B1506" s="2" t="s">
        <v>679</v>
      </c>
      <c r="C1506" s="5" t="str">
        <f>_xlfn.XLOOKUP(B1506,Master[Product_Code],Master[Category])</f>
        <v>T-Shirt</v>
      </c>
      <c r="D1506" s="2" t="str">
        <f>_xlfn.XLOOKUP(B1506,Master[Product_Code],Master[Brand])</f>
        <v>Zara</v>
      </c>
      <c r="E1506" s="2" t="str">
        <f>_xlfn.XLOOKUP(B1506,Master[Product_Code],Master[Style])</f>
        <v>Sleeveless</v>
      </c>
      <c r="F1506" s="2" t="str">
        <f>_xlfn.XLOOKUP(B1506,Master[Product_Code],Master[Fabric])</f>
        <v>Cotton Blend</v>
      </c>
      <c r="G1506" s="2" t="str">
        <f>_xlfn.XLOOKUP(B1506,Master[Product_Code],Master[Size])</f>
        <v>XL</v>
      </c>
      <c r="H1506" s="2" t="str">
        <f>_xlfn.XLOOKUP(B1506,Master[Product_Code],Master[Color])</f>
        <v>Beige</v>
      </c>
      <c r="I1506" s="4">
        <f>_xlfn.XLOOKUP(B1506,Master[Product_Code],Master[Stock_Qty])</f>
        <v>6</v>
      </c>
      <c r="J1506" s="6">
        <f>SUMIFS(
  Sales_Entry[Qty],
  Sales_Entry[Product_Code], Stock_Table[[#This Row],[Product_Code]]
)</f>
        <v>0</v>
      </c>
      <c r="K1506" s="4">
        <f>SUMIFS(
  Exchange_Return[Qty],
  Exchange_Return[Product_Code], Stock_Table[[#This Row],[Product_Code]]
)</f>
        <v>0</v>
      </c>
      <c r="L1506" s="4">
        <f>I1506-J1506+K1506</f>
        <v>6</v>
      </c>
      <c r="M1506" s="2" t="str" cm="1">
        <f t="array" ref="M1506">_xlfn.IFS(L1506=0,"Out of Stock",L1506&gt;=2,"Limited Stock",L1506&lt;2,"In Stock")</f>
        <v>Limited Stock</v>
      </c>
    </row>
    <row r="1507" spans="2:13">
      <c r="B1507" s="2" t="s">
        <v>680</v>
      </c>
      <c r="C1507" s="5" t="str">
        <f>_xlfn.XLOOKUP(B1507,Master[Product_Code],Master[Category])</f>
        <v>T-Shirt</v>
      </c>
      <c r="D1507" s="2" t="str">
        <f>_xlfn.XLOOKUP(B1507,Master[Product_Code],Master[Brand])</f>
        <v>Urban Monkey</v>
      </c>
      <c r="E1507" s="2" t="str">
        <f>_xlfn.XLOOKUP(B1507,Master[Product_Code],Master[Style])</f>
        <v>Sleeveless</v>
      </c>
      <c r="F1507" s="2" t="str">
        <f>_xlfn.XLOOKUP(B1507,Master[Product_Code],Master[Fabric])</f>
        <v>Cotton Blend</v>
      </c>
      <c r="G1507" s="2" t="str">
        <f>_xlfn.XLOOKUP(B1507,Master[Product_Code],Master[Size])</f>
        <v>M</v>
      </c>
      <c r="H1507" s="2" t="str">
        <f>_xlfn.XLOOKUP(B1507,Master[Product_Code],Master[Color])</f>
        <v>Sky Blue</v>
      </c>
      <c r="I1507" s="4">
        <f>_xlfn.XLOOKUP(B1507,Master[Product_Code],Master[Stock_Qty])</f>
        <v>4</v>
      </c>
      <c r="J1507" s="6">
        <f>SUMIFS(
  Sales_Entry[Qty],
  Sales_Entry[Product_Code], Stock_Table[[#This Row],[Product_Code]]
)</f>
        <v>2</v>
      </c>
      <c r="K1507" s="4">
        <f>SUMIFS(
  Exchange_Return[Qty],
  Exchange_Return[Product_Code], Stock_Table[[#This Row],[Product_Code]]
)</f>
        <v>0</v>
      </c>
      <c r="L1507" s="4">
        <f>I1507-J1507+K1507</f>
        <v>2</v>
      </c>
      <c r="M1507" s="2" t="str" cm="1">
        <f t="array" ref="M1507">_xlfn.IFS(L1507=0,"Out of Stock",L1507&gt;=2,"Limited Stock",L1507&lt;2,"In Stock")</f>
        <v>Limited Stock</v>
      </c>
    </row>
    <row r="1508" spans="2:13">
      <c r="B1508" s="2" t="s">
        <v>681</v>
      </c>
      <c r="C1508" s="5" t="str">
        <f>_xlfn.XLOOKUP(B1508,Master[Product_Code],Master[Category])</f>
        <v>T-Shirt</v>
      </c>
      <c r="D1508" s="2" t="str">
        <f>_xlfn.XLOOKUP(B1508,Master[Product_Code],Master[Brand])</f>
        <v>Campus</v>
      </c>
      <c r="E1508" s="2" t="str">
        <f>_xlfn.XLOOKUP(B1508,Master[Product_Code],Master[Style])</f>
        <v>Half Sleeve</v>
      </c>
      <c r="F1508" s="2" t="str">
        <f>_xlfn.XLOOKUP(B1508,Master[Product_Code],Master[Fabric])</f>
        <v>Cotton</v>
      </c>
      <c r="G1508" s="2" t="str">
        <f>_xlfn.XLOOKUP(B1508,Master[Product_Code],Master[Size])</f>
        <v>S</v>
      </c>
      <c r="H1508" s="2" t="str">
        <f>_xlfn.XLOOKUP(B1508,Master[Product_Code],Master[Color])</f>
        <v>Bottle Green</v>
      </c>
      <c r="I1508" s="4">
        <f>_xlfn.XLOOKUP(B1508,Master[Product_Code],Master[Stock_Qty])</f>
        <v>6</v>
      </c>
      <c r="J1508" s="6">
        <f>SUMIFS(
  Sales_Entry[Qty],
  Sales_Entry[Product_Code], Stock_Table[[#This Row],[Product_Code]]
)</f>
        <v>0</v>
      </c>
      <c r="K1508" s="4">
        <f>SUMIFS(
  Exchange_Return[Qty],
  Exchange_Return[Product_Code], Stock_Table[[#This Row],[Product_Code]]
)</f>
        <v>0</v>
      </c>
      <c r="L1508" s="4">
        <f>I1508-J1508+K1508</f>
        <v>6</v>
      </c>
      <c r="M1508" s="2" t="str" cm="1">
        <f t="array" ref="M1508">_xlfn.IFS(L1508=0,"Out of Stock",L1508&gt;=2,"Limited Stock",L1508&lt;2,"In Stock")</f>
        <v>Limited Stock</v>
      </c>
    </row>
    <row r="1509" spans="2:13">
      <c r="B1509" s="2" t="s">
        <v>682</v>
      </c>
      <c r="C1509" s="5" t="str">
        <f>_xlfn.XLOOKUP(B1509,Master[Product_Code],Master[Category])</f>
        <v>T-Shirt</v>
      </c>
      <c r="D1509" s="2" t="str">
        <f>_xlfn.XLOOKUP(B1509,Master[Product_Code],Master[Brand])</f>
        <v>Campus</v>
      </c>
      <c r="E1509" s="2" t="str">
        <f>_xlfn.XLOOKUP(B1509,Master[Product_Code],Master[Style])</f>
        <v>Sleeveless</v>
      </c>
      <c r="F1509" s="2" t="str">
        <f>_xlfn.XLOOKUP(B1509,Master[Product_Code],Master[Fabric])</f>
        <v>Cotton</v>
      </c>
      <c r="G1509" s="2" t="str">
        <f>_xlfn.XLOOKUP(B1509,Master[Product_Code],Master[Size])</f>
        <v>XXL</v>
      </c>
      <c r="H1509" s="2" t="str">
        <f>_xlfn.XLOOKUP(B1509,Master[Product_Code],Master[Color])</f>
        <v>Rust</v>
      </c>
      <c r="I1509" s="4">
        <f>_xlfn.XLOOKUP(B1509,Master[Product_Code],Master[Stock_Qty])</f>
        <v>5</v>
      </c>
      <c r="J1509" s="6">
        <f>SUMIFS(
  Sales_Entry[Qty],
  Sales_Entry[Product_Code], Stock_Table[[#This Row],[Product_Code]]
)</f>
        <v>2</v>
      </c>
      <c r="K1509" s="4">
        <f>SUMIFS(
  Exchange_Return[Qty],
  Exchange_Return[Product_Code], Stock_Table[[#This Row],[Product_Code]]
)</f>
        <v>1</v>
      </c>
      <c r="L1509" s="4">
        <f>I1509-J1509+K1509</f>
        <v>4</v>
      </c>
      <c r="M1509" s="2" t="str" cm="1">
        <f t="array" ref="M1509">_xlfn.IFS(L1509=0,"Out of Stock",L1509&gt;=2,"Limited Stock",L1509&lt;2,"In Stock")</f>
        <v>Limited Stock</v>
      </c>
    </row>
    <row r="1510" spans="2:13">
      <c r="B1510" s="2" t="s">
        <v>683</v>
      </c>
      <c r="C1510" s="5" t="str">
        <f>_xlfn.XLOOKUP(B1510,Master[Product_Code],Master[Category])</f>
        <v>T-Shirt</v>
      </c>
      <c r="D1510" s="2" t="str">
        <f>_xlfn.XLOOKUP(B1510,Master[Product_Code],Master[Brand])</f>
        <v>Zara</v>
      </c>
      <c r="E1510" s="2" t="str">
        <f>_xlfn.XLOOKUP(B1510,Master[Product_Code],Master[Style])</f>
        <v>Full Sleeve</v>
      </c>
      <c r="F1510" s="2" t="str">
        <f>_xlfn.XLOOKUP(B1510,Master[Product_Code],Master[Fabric])</f>
        <v>Cotton Blend</v>
      </c>
      <c r="G1510" s="2" t="str">
        <f>_xlfn.XLOOKUP(B1510,Master[Product_Code],Master[Size])</f>
        <v>XL</v>
      </c>
      <c r="H1510" s="2" t="str">
        <f>_xlfn.XLOOKUP(B1510,Master[Product_Code],Master[Color])</f>
        <v>Sky Blue</v>
      </c>
      <c r="I1510" s="4">
        <f>_xlfn.XLOOKUP(B1510,Master[Product_Code],Master[Stock_Qty])</f>
        <v>6</v>
      </c>
      <c r="J1510" s="6">
        <f>SUMIFS(
  Sales_Entry[Qty],
  Sales_Entry[Product_Code], Stock_Table[[#This Row],[Product_Code]]
)</f>
        <v>3</v>
      </c>
      <c r="K1510" s="4">
        <f>SUMIFS(
  Exchange_Return[Qty],
  Exchange_Return[Product_Code], Stock_Table[[#This Row],[Product_Code]]
)</f>
        <v>0</v>
      </c>
      <c r="L1510" s="4">
        <f>I1510-J1510+K1510</f>
        <v>3</v>
      </c>
      <c r="M1510" s="2" t="str" cm="1">
        <f t="array" ref="M1510">_xlfn.IFS(L1510=0,"Out of Stock",L1510&gt;=2,"Limited Stock",L1510&lt;2,"In Stock")</f>
        <v>Limited Stock</v>
      </c>
    </row>
    <row r="1511" spans="2:13">
      <c r="B1511" s="2" t="s">
        <v>684</v>
      </c>
      <c r="C1511" s="5" t="str">
        <f>_xlfn.XLOOKUP(B1511,Master[Product_Code],Master[Category])</f>
        <v>T-Shirt</v>
      </c>
      <c r="D1511" s="2" t="str">
        <f>_xlfn.XLOOKUP(B1511,Master[Product_Code],Master[Brand])</f>
        <v>Zara</v>
      </c>
      <c r="E1511" s="2" t="str">
        <f>_xlfn.XLOOKUP(B1511,Master[Product_Code],Master[Style])</f>
        <v>Half Sleeve</v>
      </c>
      <c r="F1511" s="2" t="str">
        <f>_xlfn.XLOOKUP(B1511,Master[Product_Code],Master[Fabric])</f>
        <v>Cotton Blend</v>
      </c>
      <c r="G1511" s="2" t="str">
        <f>_xlfn.XLOOKUP(B1511,Master[Product_Code],Master[Size])</f>
        <v>L</v>
      </c>
      <c r="H1511" s="2" t="str">
        <f>_xlfn.XLOOKUP(B1511,Master[Product_Code],Master[Color])</f>
        <v>Black</v>
      </c>
      <c r="I1511" s="4">
        <f>_xlfn.XLOOKUP(B1511,Master[Product_Code],Master[Stock_Qty])</f>
        <v>4</v>
      </c>
      <c r="J1511" s="6">
        <f>SUMIFS(
  Sales_Entry[Qty],
  Sales_Entry[Product_Code], Stock_Table[[#This Row],[Product_Code]]
)</f>
        <v>1</v>
      </c>
      <c r="K1511" s="4">
        <f>SUMIFS(
  Exchange_Return[Qty],
  Exchange_Return[Product_Code], Stock_Table[[#This Row],[Product_Code]]
)</f>
        <v>0</v>
      </c>
      <c r="L1511" s="4">
        <f>I1511-J1511+K1511</f>
        <v>3</v>
      </c>
      <c r="M1511" s="2" t="str" cm="1">
        <f t="array" ref="M1511">_xlfn.IFS(L1511=0,"Out of Stock",L1511&gt;=2,"Limited Stock",L1511&lt;2,"In Stock")</f>
        <v>Limited Stock</v>
      </c>
    </row>
    <row r="1512" spans="2:13">
      <c r="B1512" s="2" t="s">
        <v>685</v>
      </c>
      <c r="C1512" s="5" t="str">
        <f>_xlfn.XLOOKUP(B1512,Master[Product_Code],Master[Category])</f>
        <v>T-Shirt</v>
      </c>
      <c r="D1512" s="2" t="str">
        <f>_xlfn.XLOOKUP(B1512,Master[Product_Code],Master[Brand])</f>
        <v>Urban Monkey</v>
      </c>
      <c r="E1512" s="2" t="str">
        <f>_xlfn.XLOOKUP(B1512,Master[Product_Code],Master[Style])</f>
        <v>3/4 Sleeve</v>
      </c>
      <c r="F1512" s="2" t="str">
        <f>_xlfn.XLOOKUP(B1512,Master[Product_Code],Master[Fabric])</f>
        <v>Poly Cotton</v>
      </c>
      <c r="G1512" s="2" t="str">
        <f>_xlfn.XLOOKUP(B1512,Master[Product_Code],Master[Size])</f>
        <v>XXL</v>
      </c>
      <c r="H1512" s="2" t="str">
        <f>_xlfn.XLOOKUP(B1512,Master[Product_Code],Master[Color])</f>
        <v>Royal Blue</v>
      </c>
      <c r="I1512" s="4">
        <f>_xlfn.XLOOKUP(B1512,Master[Product_Code],Master[Stock_Qty])</f>
        <v>3</v>
      </c>
      <c r="J1512" s="6">
        <f>SUMIFS(
  Sales_Entry[Qty],
  Sales_Entry[Product_Code], Stock_Table[[#This Row],[Product_Code]]
)</f>
        <v>0</v>
      </c>
      <c r="K1512" s="4">
        <f>SUMIFS(
  Exchange_Return[Qty],
  Exchange_Return[Product_Code], Stock_Table[[#This Row],[Product_Code]]
)</f>
        <v>0</v>
      </c>
      <c r="L1512" s="4">
        <f>I1512-J1512+K1512</f>
        <v>3</v>
      </c>
      <c r="M1512" s="2" t="str" cm="1">
        <f t="array" ref="M1512">_xlfn.IFS(L1512=0,"Out of Stock",L1512&gt;=2,"Limited Stock",L1512&lt;2,"In Stock")</f>
        <v>Limited Stock</v>
      </c>
    </row>
    <row r="1513" spans="2:13">
      <c r="B1513" s="2" t="s">
        <v>686</v>
      </c>
      <c r="C1513" s="5" t="str">
        <f>_xlfn.XLOOKUP(B1513,Master[Product_Code],Master[Category])</f>
        <v>T-Shirt</v>
      </c>
      <c r="D1513" s="2" t="str">
        <f>_xlfn.XLOOKUP(B1513,Master[Product_Code],Master[Brand])</f>
        <v>Campus</v>
      </c>
      <c r="E1513" s="2" t="str">
        <f>_xlfn.XLOOKUP(B1513,Master[Product_Code],Master[Style])</f>
        <v>Full Sleeve</v>
      </c>
      <c r="F1513" s="2" t="str">
        <f>_xlfn.XLOOKUP(B1513,Master[Product_Code],Master[Fabric])</f>
        <v>Cotton Blend</v>
      </c>
      <c r="G1513" s="2" t="str">
        <f>_xlfn.XLOOKUP(B1513,Master[Product_Code],Master[Size])</f>
        <v>L</v>
      </c>
      <c r="H1513" s="2" t="str">
        <f>_xlfn.XLOOKUP(B1513,Master[Product_Code],Master[Color])</f>
        <v>Rust</v>
      </c>
      <c r="I1513" s="4">
        <f>_xlfn.XLOOKUP(B1513,Master[Product_Code],Master[Stock_Qty])</f>
        <v>4</v>
      </c>
      <c r="J1513" s="6">
        <f>SUMIFS(
  Sales_Entry[Qty],
  Sales_Entry[Product_Code], Stock_Table[[#This Row],[Product_Code]]
)</f>
        <v>1</v>
      </c>
      <c r="K1513" s="4">
        <f>SUMIFS(
  Exchange_Return[Qty],
  Exchange_Return[Product_Code], Stock_Table[[#This Row],[Product_Code]]
)</f>
        <v>0</v>
      </c>
      <c r="L1513" s="4">
        <f>I1513-J1513+K1513</f>
        <v>3</v>
      </c>
      <c r="M1513" s="2" t="str" cm="1">
        <f t="array" ref="M1513">_xlfn.IFS(L1513=0,"Out of Stock",L1513&gt;=2,"Limited Stock",L1513&lt;2,"In Stock")</f>
        <v>Limited Stock</v>
      </c>
    </row>
    <row r="1514" spans="2:13">
      <c r="B1514" s="2" t="s">
        <v>687</v>
      </c>
      <c r="C1514" s="5" t="str">
        <f>_xlfn.XLOOKUP(B1514,Master[Product_Code],Master[Category])</f>
        <v>T-Shirt</v>
      </c>
      <c r="D1514" s="2" t="str">
        <f>_xlfn.XLOOKUP(B1514,Master[Product_Code],Master[Brand])</f>
        <v>Roadster</v>
      </c>
      <c r="E1514" s="2" t="str">
        <f>_xlfn.XLOOKUP(B1514,Master[Product_Code],Master[Style])</f>
        <v>Half Sleeve</v>
      </c>
      <c r="F1514" s="2" t="str">
        <f>_xlfn.XLOOKUP(B1514,Master[Product_Code],Master[Fabric])</f>
        <v>Cotton</v>
      </c>
      <c r="G1514" s="2" t="str">
        <f>_xlfn.XLOOKUP(B1514,Master[Product_Code],Master[Size])</f>
        <v>M</v>
      </c>
      <c r="H1514" s="2" t="str">
        <f>_xlfn.XLOOKUP(B1514,Master[Product_Code],Master[Color])</f>
        <v>Wine</v>
      </c>
      <c r="I1514" s="4">
        <f>_xlfn.XLOOKUP(B1514,Master[Product_Code],Master[Stock_Qty])</f>
        <v>6</v>
      </c>
      <c r="J1514" s="6">
        <f>SUMIFS(
  Sales_Entry[Qty],
  Sales_Entry[Product_Code], Stock_Table[[#This Row],[Product_Code]]
)</f>
        <v>2</v>
      </c>
      <c r="K1514" s="4">
        <f>SUMIFS(
  Exchange_Return[Qty],
  Exchange_Return[Product_Code], Stock_Table[[#This Row],[Product_Code]]
)</f>
        <v>0</v>
      </c>
      <c r="L1514" s="4">
        <f>I1514-J1514+K1514</f>
        <v>4</v>
      </c>
      <c r="M1514" s="2" t="str" cm="1">
        <f t="array" ref="M1514">_xlfn.IFS(L1514=0,"Out of Stock",L1514&gt;=2,"Limited Stock",L1514&lt;2,"In Stock")</f>
        <v>Limited Stock</v>
      </c>
    </row>
    <row r="1515" spans="2:13">
      <c r="B1515" s="2" t="s">
        <v>688</v>
      </c>
      <c r="C1515" s="5" t="str">
        <f>_xlfn.XLOOKUP(B1515,Master[Product_Code],Master[Category])</f>
        <v>T-Shirt</v>
      </c>
      <c r="D1515" s="2" t="str">
        <f>_xlfn.XLOOKUP(B1515,Master[Product_Code],Master[Brand])</f>
        <v>Urban Monkey</v>
      </c>
      <c r="E1515" s="2" t="str">
        <f>_xlfn.XLOOKUP(B1515,Master[Product_Code],Master[Style])</f>
        <v>Full Sleeve</v>
      </c>
      <c r="F1515" s="2" t="str">
        <f>_xlfn.XLOOKUP(B1515,Master[Product_Code],Master[Fabric])</f>
        <v>Cotton</v>
      </c>
      <c r="G1515" s="2" t="str">
        <f>_xlfn.XLOOKUP(B1515,Master[Product_Code],Master[Size])</f>
        <v>XL</v>
      </c>
      <c r="H1515" s="2" t="str">
        <f>_xlfn.XLOOKUP(B1515,Master[Product_Code],Master[Color])</f>
        <v>Mustard</v>
      </c>
      <c r="I1515" s="4">
        <f>_xlfn.XLOOKUP(B1515,Master[Product_Code],Master[Stock_Qty])</f>
        <v>4</v>
      </c>
      <c r="J1515" s="6">
        <f>SUMIFS(
  Sales_Entry[Qty],
  Sales_Entry[Product_Code], Stock_Table[[#This Row],[Product_Code]]
)</f>
        <v>1</v>
      </c>
      <c r="K1515" s="4">
        <f>SUMIFS(
  Exchange_Return[Qty],
  Exchange_Return[Product_Code], Stock_Table[[#This Row],[Product_Code]]
)</f>
        <v>0</v>
      </c>
      <c r="L1515" s="4">
        <f>I1515-J1515+K1515</f>
        <v>3</v>
      </c>
      <c r="M1515" s="2" t="str" cm="1">
        <f t="array" ref="M1515">_xlfn.IFS(L1515=0,"Out of Stock",L1515&gt;=2,"Limited Stock",L1515&lt;2,"In Stock")</f>
        <v>Limited Stock</v>
      </c>
    </row>
    <row r="1516" spans="2:13">
      <c r="B1516" s="2" t="s">
        <v>689</v>
      </c>
      <c r="C1516" s="5" t="str">
        <f>_xlfn.XLOOKUP(B1516,Master[Product_Code],Master[Category])</f>
        <v>T-Shirt</v>
      </c>
      <c r="D1516" s="2" t="str">
        <f>_xlfn.XLOOKUP(B1516,Master[Product_Code],Master[Brand])</f>
        <v>Thailand</v>
      </c>
      <c r="E1516" s="2" t="str">
        <f>_xlfn.XLOOKUP(B1516,Master[Product_Code],Master[Style])</f>
        <v>Half Sleeve</v>
      </c>
      <c r="F1516" s="2" t="str">
        <f>_xlfn.XLOOKUP(B1516,Master[Product_Code],Master[Fabric])</f>
        <v>Poly Cotton</v>
      </c>
      <c r="G1516" s="2" t="str">
        <f>_xlfn.XLOOKUP(B1516,Master[Product_Code],Master[Size])</f>
        <v>M</v>
      </c>
      <c r="H1516" s="2" t="str">
        <f>_xlfn.XLOOKUP(B1516,Master[Product_Code],Master[Color])</f>
        <v>Dark Green</v>
      </c>
      <c r="I1516" s="4">
        <f>_xlfn.XLOOKUP(B1516,Master[Product_Code],Master[Stock_Qty])</f>
        <v>6</v>
      </c>
      <c r="J1516" s="6">
        <f>SUMIFS(
  Sales_Entry[Qty],
  Sales_Entry[Product_Code], Stock_Table[[#This Row],[Product_Code]]
)</f>
        <v>1</v>
      </c>
      <c r="K1516" s="4">
        <f>SUMIFS(
  Exchange_Return[Qty],
  Exchange_Return[Product_Code], Stock_Table[[#This Row],[Product_Code]]
)</f>
        <v>0</v>
      </c>
      <c r="L1516" s="4">
        <f>I1516-J1516+K1516</f>
        <v>5</v>
      </c>
      <c r="M1516" s="2" t="str" cm="1">
        <f t="array" ref="M1516">_xlfn.IFS(L1516=0,"Out of Stock",L1516&gt;=2,"Limited Stock",L1516&lt;2,"In Stock")</f>
        <v>Limited Stock</v>
      </c>
    </row>
    <row r="1517" spans="2:13">
      <c r="B1517" s="2" t="s">
        <v>690</v>
      </c>
      <c r="C1517" s="5" t="str">
        <f>_xlfn.XLOOKUP(B1517,Master[Product_Code],Master[Category])</f>
        <v>T-Shirt</v>
      </c>
      <c r="D1517" s="2" t="str">
        <f>_xlfn.XLOOKUP(B1517,Master[Product_Code],Master[Brand])</f>
        <v>Urban Monkey</v>
      </c>
      <c r="E1517" s="2" t="str">
        <f>_xlfn.XLOOKUP(B1517,Master[Product_Code],Master[Style])</f>
        <v>Full Sleeve</v>
      </c>
      <c r="F1517" s="2" t="str">
        <f>_xlfn.XLOOKUP(B1517,Master[Product_Code],Master[Fabric])</f>
        <v>Cotton</v>
      </c>
      <c r="G1517" s="2" t="str">
        <f>_xlfn.XLOOKUP(B1517,Master[Product_Code],Master[Size])</f>
        <v>XL</v>
      </c>
      <c r="H1517" s="2" t="str">
        <f>_xlfn.XLOOKUP(B1517,Master[Product_Code],Master[Color])</f>
        <v>Cream</v>
      </c>
      <c r="I1517" s="4">
        <f>_xlfn.XLOOKUP(B1517,Master[Product_Code],Master[Stock_Qty])</f>
        <v>6</v>
      </c>
      <c r="J1517" s="6">
        <f>SUMIFS(
  Sales_Entry[Qty],
  Sales_Entry[Product_Code], Stock_Table[[#This Row],[Product_Code]]
)</f>
        <v>3</v>
      </c>
      <c r="K1517" s="4">
        <f>SUMIFS(
  Exchange_Return[Qty],
  Exchange_Return[Product_Code], Stock_Table[[#This Row],[Product_Code]]
)</f>
        <v>0</v>
      </c>
      <c r="L1517" s="4">
        <f>I1517-J1517+K1517</f>
        <v>3</v>
      </c>
      <c r="M1517" s="2" t="str" cm="1">
        <f t="array" ref="M1517">_xlfn.IFS(L1517=0,"Out of Stock",L1517&gt;=2,"Limited Stock",L1517&lt;2,"In Stock")</f>
        <v>Limited Stock</v>
      </c>
    </row>
    <row r="1518" spans="2:13">
      <c r="B1518" s="2" t="s">
        <v>691</v>
      </c>
      <c r="C1518" s="5" t="str">
        <f>_xlfn.XLOOKUP(B1518,Master[Product_Code],Master[Category])</f>
        <v>T-Shirt</v>
      </c>
      <c r="D1518" s="2" t="str">
        <f>_xlfn.XLOOKUP(B1518,Master[Product_Code],Master[Brand])</f>
        <v>Urban Monkey</v>
      </c>
      <c r="E1518" s="2" t="str">
        <f>_xlfn.XLOOKUP(B1518,Master[Product_Code],Master[Style])</f>
        <v>Sleeveless</v>
      </c>
      <c r="F1518" s="2" t="str">
        <f>_xlfn.XLOOKUP(B1518,Master[Product_Code],Master[Fabric])</f>
        <v>Cotton Blend</v>
      </c>
      <c r="G1518" s="2" t="str">
        <f>_xlfn.XLOOKUP(B1518,Master[Product_Code],Master[Size])</f>
        <v>L</v>
      </c>
      <c r="H1518" s="2" t="str">
        <f>_xlfn.XLOOKUP(B1518,Master[Product_Code],Master[Color])</f>
        <v>Sky Blue</v>
      </c>
      <c r="I1518" s="4">
        <f>_xlfn.XLOOKUP(B1518,Master[Product_Code],Master[Stock_Qty])</f>
        <v>6</v>
      </c>
      <c r="J1518" s="6">
        <f>SUMIFS(
  Sales_Entry[Qty],
  Sales_Entry[Product_Code], Stock_Table[[#This Row],[Product_Code]]
)</f>
        <v>3</v>
      </c>
      <c r="K1518" s="4">
        <f>SUMIFS(
  Exchange_Return[Qty],
  Exchange_Return[Product_Code], Stock_Table[[#This Row],[Product_Code]]
)</f>
        <v>0</v>
      </c>
      <c r="L1518" s="4">
        <f>I1518-J1518+K1518</f>
        <v>3</v>
      </c>
      <c r="M1518" s="2" t="str" cm="1">
        <f t="array" ref="M1518">_xlfn.IFS(L1518=0,"Out of Stock",L1518&gt;=2,"Limited Stock",L1518&lt;2,"In Stock")</f>
        <v>Limited Stock</v>
      </c>
    </row>
    <row r="1519" spans="2:13">
      <c r="B1519" s="2" t="s">
        <v>692</v>
      </c>
      <c r="C1519" s="5" t="str">
        <f>_xlfn.XLOOKUP(B1519,Master[Product_Code],Master[Category])</f>
        <v>T-Shirt</v>
      </c>
      <c r="D1519" s="2" t="str">
        <f>_xlfn.XLOOKUP(B1519,Master[Product_Code],Master[Brand])</f>
        <v>Campus</v>
      </c>
      <c r="E1519" s="2" t="str">
        <f>_xlfn.XLOOKUP(B1519,Master[Product_Code],Master[Style])</f>
        <v>Half Sleeve</v>
      </c>
      <c r="F1519" s="2" t="str">
        <f>_xlfn.XLOOKUP(B1519,Master[Product_Code],Master[Fabric])</f>
        <v>Cotton</v>
      </c>
      <c r="G1519" s="2" t="str">
        <f>_xlfn.XLOOKUP(B1519,Master[Product_Code],Master[Size])</f>
        <v>XL</v>
      </c>
      <c r="H1519" s="2" t="str">
        <f>_xlfn.XLOOKUP(B1519,Master[Product_Code],Master[Color])</f>
        <v>Bottle Green</v>
      </c>
      <c r="I1519" s="4">
        <f>_xlfn.XLOOKUP(B1519,Master[Product_Code],Master[Stock_Qty])</f>
        <v>3</v>
      </c>
      <c r="J1519" s="6">
        <f>SUMIFS(
  Sales_Entry[Qty],
  Sales_Entry[Product_Code], Stock_Table[[#This Row],[Product_Code]]
)</f>
        <v>1</v>
      </c>
      <c r="K1519" s="4">
        <f>SUMIFS(
  Exchange_Return[Qty],
  Exchange_Return[Product_Code], Stock_Table[[#This Row],[Product_Code]]
)</f>
        <v>0</v>
      </c>
      <c r="L1519" s="4">
        <f>I1519-J1519+K1519</f>
        <v>2</v>
      </c>
      <c r="M1519" s="2" t="str" cm="1">
        <f t="array" ref="M1519">_xlfn.IFS(L1519=0,"Out of Stock",L1519&gt;=2,"Limited Stock",L1519&lt;2,"In Stock")</f>
        <v>Limited Stock</v>
      </c>
    </row>
    <row r="1520" spans="2:13">
      <c r="B1520" s="2" t="s">
        <v>693</v>
      </c>
      <c r="C1520" s="5" t="str">
        <f>_xlfn.XLOOKUP(B1520,Master[Product_Code],Master[Category])</f>
        <v>T-Shirt</v>
      </c>
      <c r="D1520" s="2" t="str">
        <f>_xlfn.XLOOKUP(B1520,Master[Product_Code],Master[Brand])</f>
        <v>Roadster</v>
      </c>
      <c r="E1520" s="2" t="str">
        <f>_xlfn.XLOOKUP(B1520,Master[Product_Code],Master[Style])</f>
        <v>Half Sleeve</v>
      </c>
      <c r="F1520" s="2" t="str">
        <f>_xlfn.XLOOKUP(B1520,Master[Product_Code],Master[Fabric])</f>
        <v>Cotton</v>
      </c>
      <c r="G1520" s="2" t="str">
        <f>_xlfn.XLOOKUP(B1520,Master[Product_Code],Master[Size])</f>
        <v>XXL</v>
      </c>
      <c r="H1520" s="2" t="str">
        <f>_xlfn.XLOOKUP(B1520,Master[Product_Code],Master[Color])</f>
        <v>Royal Blue</v>
      </c>
      <c r="I1520" s="4">
        <f>_xlfn.XLOOKUP(B1520,Master[Product_Code],Master[Stock_Qty])</f>
        <v>5</v>
      </c>
      <c r="J1520" s="6">
        <f>SUMIFS(
  Sales_Entry[Qty],
  Sales_Entry[Product_Code], Stock_Table[[#This Row],[Product_Code]]
)</f>
        <v>3</v>
      </c>
      <c r="K1520" s="4">
        <f>SUMIFS(
  Exchange_Return[Qty],
  Exchange_Return[Product_Code], Stock_Table[[#This Row],[Product_Code]]
)</f>
        <v>0</v>
      </c>
      <c r="L1520" s="4">
        <f>I1520-J1520+K1520</f>
        <v>2</v>
      </c>
      <c r="M1520" s="2" t="str" cm="1">
        <f t="array" ref="M1520">_xlfn.IFS(L1520=0,"Out of Stock",L1520&gt;=2,"Limited Stock",L1520&lt;2,"In Stock")</f>
        <v>Limited Stock</v>
      </c>
    </row>
    <row r="1521" spans="2:13">
      <c r="B1521" s="2" t="s">
        <v>694</v>
      </c>
      <c r="C1521" s="5" t="str">
        <f>_xlfn.XLOOKUP(B1521,Master[Product_Code],Master[Category])</f>
        <v>T-Shirt</v>
      </c>
      <c r="D1521" s="2" t="str">
        <f>_xlfn.XLOOKUP(B1521,Master[Product_Code],Master[Brand])</f>
        <v>Roadster</v>
      </c>
      <c r="E1521" s="2" t="str">
        <f>_xlfn.XLOOKUP(B1521,Master[Product_Code],Master[Style])</f>
        <v>Full Sleeve</v>
      </c>
      <c r="F1521" s="2" t="str">
        <f>_xlfn.XLOOKUP(B1521,Master[Product_Code],Master[Fabric])</f>
        <v>Poly Cotton</v>
      </c>
      <c r="G1521" s="2" t="str">
        <f>_xlfn.XLOOKUP(B1521,Master[Product_Code],Master[Size])</f>
        <v>XL</v>
      </c>
      <c r="H1521" s="2" t="str">
        <f>_xlfn.XLOOKUP(B1521,Master[Product_Code],Master[Color])</f>
        <v>Mustard</v>
      </c>
      <c r="I1521" s="4">
        <f>_xlfn.XLOOKUP(B1521,Master[Product_Code],Master[Stock_Qty])</f>
        <v>5</v>
      </c>
      <c r="J1521" s="6">
        <f>SUMIFS(
  Sales_Entry[Qty],
  Sales_Entry[Product_Code], Stock_Table[[#This Row],[Product_Code]]
)</f>
        <v>2</v>
      </c>
      <c r="K1521" s="4">
        <f>SUMIFS(
  Exchange_Return[Qty],
  Exchange_Return[Product_Code], Stock_Table[[#This Row],[Product_Code]]
)</f>
        <v>0</v>
      </c>
      <c r="L1521" s="4">
        <f>I1521-J1521+K1521</f>
        <v>3</v>
      </c>
      <c r="M1521" s="2" t="str" cm="1">
        <f t="array" ref="M1521">_xlfn.IFS(L1521=0,"Out of Stock",L1521&gt;=2,"Limited Stock",L1521&lt;2,"In Stock")</f>
        <v>Limited Stock</v>
      </c>
    </row>
    <row r="1522" spans="2:13">
      <c r="B1522" s="2" t="s">
        <v>695</v>
      </c>
      <c r="C1522" s="5" t="str">
        <f>_xlfn.XLOOKUP(B1522,Master[Product_Code],Master[Category])</f>
        <v>T-Shirt</v>
      </c>
      <c r="D1522" s="2" t="str">
        <f>_xlfn.XLOOKUP(B1522,Master[Product_Code],Master[Brand])</f>
        <v>Urban Monkey</v>
      </c>
      <c r="E1522" s="2" t="str">
        <f>_xlfn.XLOOKUP(B1522,Master[Product_Code],Master[Style])</f>
        <v>Full Sleeve</v>
      </c>
      <c r="F1522" s="2" t="str">
        <f>_xlfn.XLOOKUP(B1522,Master[Product_Code],Master[Fabric])</f>
        <v>Cotton Blend</v>
      </c>
      <c r="G1522" s="2" t="str">
        <f>_xlfn.XLOOKUP(B1522,Master[Product_Code],Master[Size])</f>
        <v>L</v>
      </c>
      <c r="H1522" s="2" t="str">
        <f>_xlfn.XLOOKUP(B1522,Master[Product_Code],Master[Color])</f>
        <v>Dark Green</v>
      </c>
      <c r="I1522" s="4">
        <f>_xlfn.XLOOKUP(B1522,Master[Product_Code],Master[Stock_Qty])</f>
        <v>6</v>
      </c>
      <c r="J1522" s="6">
        <f>SUMIFS(
  Sales_Entry[Qty],
  Sales_Entry[Product_Code], Stock_Table[[#This Row],[Product_Code]]
)</f>
        <v>1</v>
      </c>
      <c r="K1522" s="4">
        <f>SUMIFS(
  Exchange_Return[Qty],
  Exchange_Return[Product_Code], Stock_Table[[#This Row],[Product_Code]]
)</f>
        <v>0</v>
      </c>
      <c r="L1522" s="4">
        <f>I1522-J1522+K1522</f>
        <v>5</v>
      </c>
      <c r="M1522" s="2" t="str" cm="1">
        <f t="array" ref="M1522">_xlfn.IFS(L1522=0,"Out of Stock",L1522&gt;=2,"Limited Stock",L1522&lt;2,"In Stock")</f>
        <v>Limited Stock</v>
      </c>
    </row>
    <row r="1523" spans="2:13">
      <c r="B1523" s="2" t="s">
        <v>696</v>
      </c>
      <c r="C1523" s="5" t="str">
        <f>_xlfn.XLOOKUP(B1523,Master[Product_Code],Master[Category])</f>
        <v>T-Shirt</v>
      </c>
      <c r="D1523" s="2" t="str">
        <f>_xlfn.XLOOKUP(B1523,Master[Product_Code],Master[Brand])</f>
        <v>Campus</v>
      </c>
      <c r="E1523" s="2" t="str">
        <f>_xlfn.XLOOKUP(B1523,Master[Product_Code],Master[Style])</f>
        <v>3/4 Sleeve</v>
      </c>
      <c r="F1523" s="2" t="str">
        <f>_xlfn.XLOOKUP(B1523,Master[Product_Code],Master[Fabric])</f>
        <v>Poly Cotton</v>
      </c>
      <c r="G1523" s="2" t="str">
        <f>_xlfn.XLOOKUP(B1523,Master[Product_Code],Master[Size])</f>
        <v>XL</v>
      </c>
      <c r="H1523" s="2" t="str">
        <f>_xlfn.XLOOKUP(B1523,Master[Product_Code],Master[Color])</f>
        <v>Sky Blue</v>
      </c>
      <c r="I1523" s="4">
        <f>_xlfn.XLOOKUP(B1523,Master[Product_Code],Master[Stock_Qty])</f>
        <v>3</v>
      </c>
      <c r="J1523" s="6">
        <f>SUMIFS(
  Sales_Entry[Qty],
  Sales_Entry[Product_Code], Stock_Table[[#This Row],[Product_Code]]
)</f>
        <v>2</v>
      </c>
      <c r="K1523" s="4">
        <f>SUMIFS(
  Exchange_Return[Qty],
  Exchange_Return[Product_Code], Stock_Table[[#This Row],[Product_Code]]
)</f>
        <v>0</v>
      </c>
      <c r="L1523" s="4">
        <f>I1523-J1523+K1523</f>
        <v>1</v>
      </c>
      <c r="M1523" s="2" t="str" cm="1">
        <f t="array" ref="M1523">_xlfn.IFS(L1523=0,"Out of Stock",L1523&gt;=2,"Limited Stock",L1523&lt;2,"In Stock")</f>
        <v>In Stock</v>
      </c>
    </row>
    <row r="1524" spans="2:13">
      <c r="B1524" s="2" t="s">
        <v>697</v>
      </c>
      <c r="C1524" s="5" t="str">
        <f>_xlfn.XLOOKUP(B1524,Master[Product_Code],Master[Category])</f>
        <v>T-Shirt</v>
      </c>
      <c r="D1524" s="2" t="str">
        <f>_xlfn.XLOOKUP(B1524,Master[Product_Code],Master[Brand])</f>
        <v>Campus</v>
      </c>
      <c r="E1524" s="2" t="str">
        <f>_xlfn.XLOOKUP(B1524,Master[Product_Code],Master[Style])</f>
        <v>Full Sleeve</v>
      </c>
      <c r="F1524" s="2" t="str">
        <f>_xlfn.XLOOKUP(B1524,Master[Product_Code],Master[Fabric])</f>
        <v>Cotton</v>
      </c>
      <c r="G1524" s="2" t="str">
        <f>_xlfn.XLOOKUP(B1524,Master[Product_Code],Master[Size])</f>
        <v>L</v>
      </c>
      <c r="H1524" s="2" t="str">
        <f>_xlfn.XLOOKUP(B1524,Master[Product_Code],Master[Color])</f>
        <v>Teal</v>
      </c>
      <c r="I1524" s="4">
        <f>_xlfn.XLOOKUP(B1524,Master[Product_Code],Master[Stock_Qty])</f>
        <v>5</v>
      </c>
      <c r="J1524" s="6">
        <f>SUMIFS(
  Sales_Entry[Qty],
  Sales_Entry[Product_Code], Stock_Table[[#This Row],[Product_Code]]
)</f>
        <v>4</v>
      </c>
      <c r="K1524" s="4">
        <f>SUMIFS(
  Exchange_Return[Qty],
  Exchange_Return[Product_Code], Stock_Table[[#This Row],[Product_Code]]
)</f>
        <v>0</v>
      </c>
      <c r="L1524" s="4">
        <f>I1524-J1524+K1524</f>
        <v>1</v>
      </c>
      <c r="M1524" s="2" t="str" cm="1">
        <f t="array" ref="M1524">_xlfn.IFS(L1524=0,"Out of Stock",L1524&gt;=2,"Limited Stock",L1524&lt;2,"In Stock")</f>
        <v>In Stock</v>
      </c>
    </row>
    <row r="1525" spans="2:13">
      <c r="B1525" s="2" t="s">
        <v>698</v>
      </c>
      <c r="C1525" s="5" t="str">
        <f>_xlfn.XLOOKUP(B1525,Master[Product_Code],Master[Category])</f>
        <v>T-Shirt</v>
      </c>
      <c r="D1525" s="2" t="str">
        <f>_xlfn.XLOOKUP(B1525,Master[Product_Code],Master[Brand])</f>
        <v>Roadster</v>
      </c>
      <c r="E1525" s="2" t="str">
        <f>_xlfn.XLOOKUP(B1525,Master[Product_Code],Master[Style])</f>
        <v>3/4 Sleeve</v>
      </c>
      <c r="F1525" s="2" t="str">
        <f>_xlfn.XLOOKUP(B1525,Master[Product_Code],Master[Fabric])</f>
        <v>Poly Cotton</v>
      </c>
      <c r="G1525" s="2" t="str">
        <f>_xlfn.XLOOKUP(B1525,Master[Product_Code],Master[Size])</f>
        <v>S</v>
      </c>
      <c r="H1525" s="2" t="str">
        <f>_xlfn.XLOOKUP(B1525,Master[Product_Code],Master[Color])</f>
        <v>White</v>
      </c>
      <c r="I1525" s="4">
        <f>_xlfn.XLOOKUP(B1525,Master[Product_Code],Master[Stock_Qty])</f>
        <v>4</v>
      </c>
      <c r="J1525" s="6">
        <f>SUMIFS(
  Sales_Entry[Qty],
  Sales_Entry[Product_Code], Stock_Table[[#This Row],[Product_Code]]
)</f>
        <v>0</v>
      </c>
      <c r="K1525" s="4">
        <f>SUMIFS(
  Exchange_Return[Qty],
  Exchange_Return[Product_Code], Stock_Table[[#This Row],[Product_Code]]
)</f>
        <v>0</v>
      </c>
      <c r="L1525" s="4">
        <f>I1525-J1525+K1525</f>
        <v>4</v>
      </c>
      <c r="M1525" s="2" t="str" cm="1">
        <f t="array" ref="M1525">_xlfn.IFS(L1525=0,"Out of Stock",L1525&gt;=2,"Limited Stock",L1525&lt;2,"In Stock")</f>
        <v>Limited Stock</v>
      </c>
    </row>
    <row r="1526" spans="2:13">
      <c r="B1526" s="2" t="s">
        <v>699</v>
      </c>
      <c r="C1526" s="5" t="str">
        <f>_xlfn.XLOOKUP(B1526,Master[Product_Code],Master[Category])</f>
        <v>T-Shirt</v>
      </c>
      <c r="D1526" s="2" t="str">
        <f>_xlfn.XLOOKUP(B1526,Master[Product_Code],Master[Brand])</f>
        <v>Turkey</v>
      </c>
      <c r="E1526" s="2" t="str">
        <f>_xlfn.XLOOKUP(B1526,Master[Product_Code],Master[Style])</f>
        <v>Sleeveless</v>
      </c>
      <c r="F1526" s="2" t="str">
        <f>_xlfn.XLOOKUP(B1526,Master[Product_Code],Master[Fabric])</f>
        <v>Cotton</v>
      </c>
      <c r="G1526" s="2" t="str">
        <f>_xlfn.XLOOKUP(B1526,Master[Product_Code],Master[Size])</f>
        <v>L</v>
      </c>
      <c r="H1526" s="2" t="str">
        <f>_xlfn.XLOOKUP(B1526,Master[Product_Code],Master[Color])</f>
        <v>Royal Blue</v>
      </c>
      <c r="I1526" s="4">
        <f>_xlfn.XLOOKUP(B1526,Master[Product_Code],Master[Stock_Qty])</f>
        <v>4</v>
      </c>
      <c r="J1526" s="6">
        <f>SUMIFS(
  Sales_Entry[Qty],
  Sales_Entry[Product_Code], Stock_Table[[#This Row],[Product_Code]]
)</f>
        <v>2</v>
      </c>
      <c r="K1526" s="4">
        <f>SUMIFS(
  Exchange_Return[Qty],
  Exchange_Return[Product_Code], Stock_Table[[#This Row],[Product_Code]]
)</f>
        <v>1</v>
      </c>
      <c r="L1526" s="4">
        <f>I1526-J1526+K1526</f>
        <v>3</v>
      </c>
      <c r="M1526" s="2" t="str" cm="1">
        <f t="array" ref="M1526">_xlfn.IFS(L1526=0,"Out of Stock",L1526&gt;=2,"Limited Stock",L1526&lt;2,"In Stock")</f>
        <v>Limited Stock</v>
      </c>
    </row>
    <row r="1527" spans="2:13">
      <c r="B1527" s="2" t="s">
        <v>700</v>
      </c>
      <c r="C1527" s="5" t="str">
        <f>_xlfn.XLOOKUP(B1527,Master[Product_Code],Master[Category])</f>
        <v>T-Shirt</v>
      </c>
      <c r="D1527" s="2" t="str">
        <f>_xlfn.XLOOKUP(B1527,Master[Product_Code],Master[Brand])</f>
        <v>Zara</v>
      </c>
      <c r="E1527" s="2" t="str">
        <f>_xlfn.XLOOKUP(B1527,Master[Product_Code],Master[Style])</f>
        <v>Sleeveless</v>
      </c>
      <c r="F1527" s="2" t="str">
        <f>_xlfn.XLOOKUP(B1527,Master[Product_Code],Master[Fabric])</f>
        <v>Cotton</v>
      </c>
      <c r="G1527" s="2" t="str">
        <f>_xlfn.XLOOKUP(B1527,Master[Product_Code],Master[Size])</f>
        <v>XL</v>
      </c>
      <c r="H1527" s="2" t="str">
        <f>_xlfn.XLOOKUP(B1527,Master[Product_Code],Master[Color])</f>
        <v>Grey</v>
      </c>
      <c r="I1527" s="4">
        <f>_xlfn.XLOOKUP(B1527,Master[Product_Code],Master[Stock_Qty])</f>
        <v>5</v>
      </c>
      <c r="J1527" s="6">
        <f>SUMIFS(
  Sales_Entry[Qty],
  Sales_Entry[Product_Code], Stock_Table[[#This Row],[Product_Code]]
)</f>
        <v>3</v>
      </c>
      <c r="K1527" s="4">
        <f>SUMIFS(
  Exchange_Return[Qty],
  Exchange_Return[Product_Code], Stock_Table[[#This Row],[Product_Code]]
)</f>
        <v>0</v>
      </c>
      <c r="L1527" s="4">
        <f>I1527-J1527+K1527</f>
        <v>2</v>
      </c>
      <c r="M1527" s="2" t="str" cm="1">
        <f t="array" ref="M1527">_xlfn.IFS(L1527=0,"Out of Stock",L1527&gt;=2,"Limited Stock",L1527&lt;2,"In Stock")</f>
        <v>Limited Stock</v>
      </c>
    </row>
    <row r="1528" spans="2:13">
      <c r="B1528" s="2" t="s">
        <v>701</v>
      </c>
      <c r="C1528" s="5" t="str">
        <f>_xlfn.XLOOKUP(B1528,Master[Product_Code],Master[Category])</f>
        <v>T-Shirt</v>
      </c>
      <c r="D1528" s="2" t="str">
        <f>_xlfn.XLOOKUP(B1528,Master[Product_Code],Master[Brand])</f>
        <v>Urban Monkey</v>
      </c>
      <c r="E1528" s="2" t="str">
        <f>_xlfn.XLOOKUP(B1528,Master[Product_Code],Master[Style])</f>
        <v>Sleeveless</v>
      </c>
      <c r="F1528" s="2" t="str">
        <f>_xlfn.XLOOKUP(B1528,Master[Product_Code],Master[Fabric])</f>
        <v>Cotton</v>
      </c>
      <c r="G1528" s="2" t="str">
        <f>_xlfn.XLOOKUP(B1528,Master[Product_Code],Master[Size])</f>
        <v>XXL</v>
      </c>
      <c r="H1528" s="2" t="str">
        <f>_xlfn.XLOOKUP(B1528,Master[Product_Code],Master[Color])</f>
        <v>Sky Blue</v>
      </c>
      <c r="I1528" s="4">
        <f>_xlfn.XLOOKUP(B1528,Master[Product_Code],Master[Stock_Qty])</f>
        <v>6</v>
      </c>
      <c r="J1528" s="6">
        <f>SUMIFS(
  Sales_Entry[Qty],
  Sales_Entry[Product_Code], Stock_Table[[#This Row],[Product_Code]]
)</f>
        <v>2</v>
      </c>
      <c r="K1528" s="4">
        <f>SUMIFS(
  Exchange_Return[Qty],
  Exchange_Return[Product_Code], Stock_Table[[#This Row],[Product_Code]]
)</f>
        <v>0</v>
      </c>
      <c r="L1528" s="4">
        <f>I1528-J1528+K1528</f>
        <v>4</v>
      </c>
      <c r="M1528" s="2" t="str" cm="1">
        <f t="array" ref="M1528">_xlfn.IFS(L1528=0,"Out of Stock",L1528&gt;=2,"Limited Stock",L1528&lt;2,"In Stock")</f>
        <v>Limited Stock</v>
      </c>
    </row>
    <row r="1529" spans="2:13">
      <c r="B1529" s="2" t="s">
        <v>702</v>
      </c>
      <c r="C1529" s="5" t="str">
        <f>_xlfn.XLOOKUP(B1529,Master[Product_Code],Master[Category])</f>
        <v>T-Shirt</v>
      </c>
      <c r="D1529" s="2" t="str">
        <f>_xlfn.XLOOKUP(B1529,Master[Product_Code],Master[Brand])</f>
        <v>Campus</v>
      </c>
      <c r="E1529" s="2" t="str">
        <f>_xlfn.XLOOKUP(B1529,Master[Product_Code],Master[Style])</f>
        <v>Hoodie</v>
      </c>
      <c r="F1529" s="2" t="str">
        <f>_xlfn.XLOOKUP(B1529,Master[Product_Code],Master[Fabric])</f>
        <v>Poly Cotton</v>
      </c>
      <c r="G1529" s="2" t="str">
        <f>_xlfn.XLOOKUP(B1529,Master[Product_Code],Master[Size])</f>
        <v>M</v>
      </c>
      <c r="H1529" s="2" t="str">
        <f>_xlfn.XLOOKUP(B1529,Master[Product_Code],Master[Color])</f>
        <v>Peach</v>
      </c>
      <c r="I1529" s="4">
        <f>_xlfn.XLOOKUP(B1529,Master[Product_Code],Master[Stock_Qty])</f>
        <v>3</v>
      </c>
      <c r="J1529" s="6">
        <f>SUMIFS(
  Sales_Entry[Qty],
  Sales_Entry[Product_Code], Stock_Table[[#This Row],[Product_Code]]
)</f>
        <v>2</v>
      </c>
      <c r="K1529" s="4">
        <f>SUMIFS(
  Exchange_Return[Qty],
  Exchange_Return[Product_Code], Stock_Table[[#This Row],[Product_Code]]
)</f>
        <v>0</v>
      </c>
      <c r="L1529" s="4">
        <f>I1529-J1529+K1529</f>
        <v>1</v>
      </c>
      <c r="M1529" s="2" t="str" cm="1">
        <f t="array" ref="M1529">_xlfn.IFS(L1529=0,"Out of Stock",L1529&gt;=2,"Limited Stock",L1529&lt;2,"In Stock")</f>
        <v>In Stock</v>
      </c>
    </row>
    <row r="1530" spans="2:13">
      <c r="B1530" s="2" t="s">
        <v>703</v>
      </c>
      <c r="C1530" s="5" t="str">
        <f>_xlfn.XLOOKUP(B1530,Master[Product_Code],Master[Category])</f>
        <v>T-Shirt</v>
      </c>
      <c r="D1530" s="2" t="str">
        <f>_xlfn.XLOOKUP(B1530,Master[Product_Code],Master[Brand])</f>
        <v>Campus</v>
      </c>
      <c r="E1530" s="2" t="str">
        <f>_xlfn.XLOOKUP(B1530,Master[Product_Code],Master[Style])</f>
        <v>Half Sleeve</v>
      </c>
      <c r="F1530" s="2" t="str">
        <f>_xlfn.XLOOKUP(B1530,Master[Product_Code],Master[Fabric])</f>
        <v>Poly Cotton</v>
      </c>
      <c r="G1530" s="2" t="str">
        <f>_xlfn.XLOOKUP(B1530,Master[Product_Code],Master[Size])</f>
        <v>XL</v>
      </c>
      <c r="H1530" s="2" t="str">
        <f>_xlfn.XLOOKUP(B1530,Master[Product_Code],Master[Color])</f>
        <v>Light Grey</v>
      </c>
      <c r="I1530" s="4">
        <f>_xlfn.XLOOKUP(B1530,Master[Product_Code],Master[Stock_Qty])</f>
        <v>6</v>
      </c>
      <c r="J1530" s="6">
        <f>SUMIFS(
  Sales_Entry[Qty],
  Sales_Entry[Product_Code], Stock_Table[[#This Row],[Product_Code]]
)</f>
        <v>2</v>
      </c>
      <c r="K1530" s="4">
        <f>SUMIFS(
  Exchange_Return[Qty],
  Exchange_Return[Product_Code], Stock_Table[[#This Row],[Product_Code]]
)</f>
        <v>0</v>
      </c>
      <c r="L1530" s="4">
        <f>I1530-J1530+K1530</f>
        <v>4</v>
      </c>
      <c r="M1530" s="2" t="str" cm="1">
        <f t="array" ref="M1530">_xlfn.IFS(L1530=0,"Out of Stock",L1530&gt;=2,"Limited Stock",L1530&lt;2,"In Stock")</f>
        <v>Limited Stock</v>
      </c>
    </row>
    <row r="1531" spans="2:13">
      <c r="B1531" s="2" t="s">
        <v>704</v>
      </c>
      <c r="C1531" s="5" t="str">
        <f>_xlfn.XLOOKUP(B1531,Master[Product_Code],Master[Category])</f>
        <v>T-Shirt</v>
      </c>
      <c r="D1531" s="2" t="str">
        <f>_xlfn.XLOOKUP(B1531,Master[Product_Code],Master[Brand])</f>
        <v>Urban Monkey</v>
      </c>
      <c r="E1531" s="2" t="str">
        <f>_xlfn.XLOOKUP(B1531,Master[Product_Code],Master[Style])</f>
        <v>Full Sleeve</v>
      </c>
      <c r="F1531" s="2" t="str">
        <f>_xlfn.XLOOKUP(B1531,Master[Product_Code],Master[Fabric])</f>
        <v>Poly Cotton</v>
      </c>
      <c r="G1531" s="2" t="str">
        <f>_xlfn.XLOOKUP(B1531,Master[Product_Code],Master[Size])</f>
        <v>XXL</v>
      </c>
      <c r="H1531" s="2" t="str">
        <f>_xlfn.XLOOKUP(B1531,Master[Product_Code],Master[Color])</f>
        <v>Olive</v>
      </c>
      <c r="I1531" s="4">
        <f>_xlfn.XLOOKUP(B1531,Master[Product_Code],Master[Stock_Qty])</f>
        <v>4</v>
      </c>
      <c r="J1531" s="6">
        <f>SUMIFS(
  Sales_Entry[Qty],
  Sales_Entry[Product_Code], Stock_Table[[#This Row],[Product_Code]]
)</f>
        <v>2</v>
      </c>
      <c r="K1531" s="4">
        <f>SUMIFS(
  Exchange_Return[Qty],
  Exchange_Return[Product_Code], Stock_Table[[#This Row],[Product_Code]]
)</f>
        <v>0</v>
      </c>
      <c r="L1531" s="4">
        <f>I1531-J1531+K1531</f>
        <v>2</v>
      </c>
      <c r="M1531" s="2" t="str" cm="1">
        <f t="array" ref="M1531">_xlfn.IFS(L1531=0,"Out of Stock",L1531&gt;=2,"Limited Stock",L1531&lt;2,"In Stock")</f>
        <v>Limited Stock</v>
      </c>
    </row>
    <row r="1532" spans="2:13">
      <c r="B1532" s="2" t="s">
        <v>705</v>
      </c>
      <c r="C1532" s="5" t="str">
        <f>_xlfn.XLOOKUP(B1532,Master[Product_Code],Master[Category])</f>
        <v>T-Shirt</v>
      </c>
      <c r="D1532" s="2" t="str">
        <f>_xlfn.XLOOKUP(B1532,Master[Product_Code],Master[Brand])</f>
        <v>Max</v>
      </c>
      <c r="E1532" s="2" t="str">
        <f>_xlfn.XLOOKUP(B1532,Master[Product_Code],Master[Style])</f>
        <v>Hoodie</v>
      </c>
      <c r="F1532" s="2" t="str">
        <f>_xlfn.XLOOKUP(B1532,Master[Product_Code],Master[Fabric])</f>
        <v>Poly Cotton</v>
      </c>
      <c r="G1532" s="2" t="str">
        <f>_xlfn.XLOOKUP(B1532,Master[Product_Code],Master[Size])</f>
        <v>L</v>
      </c>
      <c r="H1532" s="2" t="str">
        <f>_xlfn.XLOOKUP(B1532,Master[Product_Code],Master[Color])</f>
        <v>Wine</v>
      </c>
      <c r="I1532" s="4">
        <f>_xlfn.XLOOKUP(B1532,Master[Product_Code],Master[Stock_Qty])</f>
        <v>6</v>
      </c>
      <c r="J1532" s="6">
        <f>SUMIFS(
  Sales_Entry[Qty],
  Sales_Entry[Product_Code], Stock_Table[[#This Row],[Product_Code]]
)</f>
        <v>1</v>
      </c>
      <c r="K1532" s="4">
        <f>SUMIFS(
  Exchange_Return[Qty],
  Exchange_Return[Product_Code], Stock_Table[[#This Row],[Product_Code]]
)</f>
        <v>0</v>
      </c>
      <c r="L1532" s="4">
        <f>I1532-J1532+K1532</f>
        <v>5</v>
      </c>
      <c r="M1532" s="2" t="str" cm="1">
        <f t="array" ref="M1532">_xlfn.IFS(L1532=0,"Out of Stock",L1532&gt;=2,"Limited Stock",L1532&lt;2,"In Stock")</f>
        <v>Limited Stock</v>
      </c>
    </row>
    <row r="1533" spans="2:13">
      <c r="B1533" s="2" t="s">
        <v>706</v>
      </c>
      <c r="C1533" s="5" t="str">
        <f>_xlfn.XLOOKUP(B1533,Master[Product_Code],Master[Category])</f>
        <v>T-Shirt</v>
      </c>
      <c r="D1533" s="2" t="str">
        <f>_xlfn.XLOOKUP(B1533,Master[Product_Code],Master[Brand])</f>
        <v>Roadster</v>
      </c>
      <c r="E1533" s="2" t="str">
        <f>_xlfn.XLOOKUP(B1533,Master[Product_Code],Master[Style])</f>
        <v>Full Sleeve</v>
      </c>
      <c r="F1533" s="2" t="str">
        <f>_xlfn.XLOOKUP(B1533,Master[Product_Code],Master[Fabric])</f>
        <v>Cotton Blend</v>
      </c>
      <c r="G1533" s="2" t="str">
        <f>_xlfn.XLOOKUP(B1533,Master[Product_Code],Master[Size])</f>
        <v>XL</v>
      </c>
      <c r="H1533" s="2" t="str">
        <f>_xlfn.XLOOKUP(B1533,Master[Product_Code],Master[Color])</f>
        <v>Mustard</v>
      </c>
      <c r="I1533" s="4">
        <f>_xlfn.XLOOKUP(B1533,Master[Product_Code],Master[Stock_Qty])</f>
        <v>5</v>
      </c>
      <c r="J1533" s="6">
        <f>SUMIFS(
  Sales_Entry[Qty],
  Sales_Entry[Product_Code], Stock_Table[[#This Row],[Product_Code]]
)</f>
        <v>1</v>
      </c>
      <c r="K1533" s="4">
        <f>SUMIFS(
  Exchange_Return[Qty],
  Exchange_Return[Product_Code], Stock_Table[[#This Row],[Product_Code]]
)</f>
        <v>0</v>
      </c>
      <c r="L1533" s="4">
        <f>I1533-J1533+K1533</f>
        <v>4</v>
      </c>
      <c r="M1533" s="2" t="str" cm="1">
        <f t="array" ref="M1533">_xlfn.IFS(L1533=0,"Out of Stock",L1533&gt;=2,"Limited Stock",L1533&lt;2,"In Stock")</f>
        <v>Limited Stock</v>
      </c>
    </row>
    <row r="1534" spans="2:13">
      <c r="B1534" s="2" t="s">
        <v>707</v>
      </c>
      <c r="C1534" s="5" t="str">
        <f>_xlfn.XLOOKUP(B1534,Master[Product_Code],Master[Category])</f>
        <v>T-Shirt</v>
      </c>
      <c r="D1534" s="2" t="str">
        <f>_xlfn.XLOOKUP(B1534,Master[Product_Code],Master[Brand])</f>
        <v>Urban Monkey</v>
      </c>
      <c r="E1534" s="2" t="str">
        <f>_xlfn.XLOOKUP(B1534,Master[Product_Code],Master[Style])</f>
        <v>Full Sleeve</v>
      </c>
      <c r="F1534" s="2" t="str">
        <f>_xlfn.XLOOKUP(B1534,Master[Product_Code],Master[Fabric])</f>
        <v>Cotton</v>
      </c>
      <c r="G1534" s="2" t="str">
        <f>_xlfn.XLOOKUP(B1534,Master[Product_Code],Master[Size])</f>
        <v>XL</v>
      </c>
      <c r="H1534" s="2" t="str">
        <f>_xlfn.XLOOKUP(B1534,Master[Product_Code],Master[Color])</f>
        <v>Royal Blue</v>
      </c>
      <c r="I1534" s="4">
        <f>_xlfn.XLOOKUP(B1534,Master[Product_Code],Master[Stock_Qty])</f>
        <v>5</v>
      </c>
      <c r="J1534" s="6">
        <f>SUMIFS(
  Sales_Entry[Qty],
  Sales_Entry[Product_Code], Stock_Table[[#This Row],[Product_Code]]
)</f>
        <v>2</v>
      </c>
      <c r="K1534" s="4">
        <f>SUMIFS(
  Exchange_Return[Qty],
  Exchange_Return[Product_Code], Stock_Table[[#This Row],[Product_Code]]
)</f>
        <v>0</v>
      </c>
      <c r="L1534" s="4">
        <f>I1534-J1534+K1534</f>
        <v>3</v>
      </c>
      <c r="M1534" s="2" t="str" cm="1">
        <f t="array" ref="M1534">_xlfn.IFS(L1534=0,"Out of Stock",L1534&gt;=2,"Limited Stock",L1534&lt;2,"In Stock")</f>
        <v>Limited Stock</v>
      </c>
    </row>
    <row r="1535" spans="2:13">
      <c r="B1535" s="2" t="s">
        <v>708</v>
      </c>
      <c r="C1535" s="5" t="str">
        <f>_xlfn.XLOOKUP(B1535,Master[Product_Code],Master[Category])</f>
        <v>T-Shirt</v>
      </c>
      <c r="D1535" s="2" t="str">
        <f>_xlfn.XLOOKUP(B1535,Master[Product_Code],Master[Brand])</f>
        <v>Roadster</v>
      </c>
      <c r="E1535" s="2" t="str">
        <f>_xlfn.XLOOKUP(B1535,Master[Product_Code],Master[Style])</f>
        <v>3/4 Sleeve</v>
      </c>
      <c r="F1535" s="2" t="str">
        <f>_xlfn.XLOOKUP(B1535,Master[Product_Code],Master[Fabric])</f>
        <v>Poly Cotton</v>
      </c>
      <c r="G1535" s="2" t="str">
        <f>_xlfn.XLOOKUP(B1535,Master[Product_Code],Master[Size])</f>
        <v>XXL</v>
      </c>
      <c r="H1535" s="2" t="str">
        <f>_xlfn.XLOOKUP(B1535,Master[Product_Code],Master[Color])</f>
        <v>Grey</v>
      </c>
      <c r="I1535" s="4">
        <f>_xlfn.XLOOKUP(B1535,Master[Product_Code],Master[Stock_Qty])</f>
        <v>4</v>
      </c>
      <c r="J1535" s="6">
        <f>SUMIFS(
  Sales_Entry[Qty],
  Sales_Entry[Product_Code], Stock_Table[[#This Row],[Product_Code]]
)</f>
        <v>2</v>
      </c>
      <c r="K1535" s="4">
        <f>SUMIFS(
  Exchange_Return[Qty],
  Exchange_Return[Product_Code], Stock_Table[[#This Row],[Product_Code]]
)</f>
        <v>0</v>
      </c>
      <c r="L1535" s="4">
        <f>I1535-J1535+K1535</f>
        <v>2</v>
      </c>
      <c r="M1535" s="2" t="str" cm="1">
        <f t="array" ref="M1535">_xlfn.IFS(L1535=0,"Out of Stock",L1535&gt;=2,"Limited Stock",L1535&lt;2,"In Stock")</f>
        <v>Limited Stock</v>
      </c>
    </row>
    <row r="1536" spans="2:13">
      <c r="B1536" s="2" t="s">
        <v>709</v>
      </c>
      <c r="C1536" s="5" t="str">
        <f>_xlfn.XLOOKUP(B1536,Master[Product_Code],Master[Category])</f>
        <v>T-Shirt</v>
      </c>
      <c r="D1536" s="2" t="str">
        <f>_xlfn.XLOOKUP(B1536,Master[Product_Code],Master[Brand])</f>
        <v>Roadster</v>
      </c>
      <c r="E1536" s="2" t="str">
        <f>_xlfn.XLOOKUP(B1536,Master[Product_Code],Master[Style])</f>
        <v>3/4 Sleeve</v>
      </c>
      <c r="F1536" s="2" t="str">
        <f>_xlfn.XLOOKUP(B1536,Master[Product_Code],Master[Fabric])</f>
        <v>Poly Cotton</v>
      </c>
      <c r="G1536" s="2" t="str">
        <f>_xlfn.XLOOKUP(B1536,Master[Product_Code],Master[Size])</f>
        <v>L</v>
      </c>
      <c r="H1536" s="2" t="str">
        <f>_xlfn.XLOOKUP(B1536,Master[Product_Code],Master[Color])</f>
        <v>Maroon</v>
      </c>
      <c r="I1536" s="4">
        <f>_xlfn.XLOOKUP(B1536,Master[Product_Code],Master[Stock_Qty])</f>
        <v>4</v>
      </c>
      <c r="J1536" s="6">
        <f>SUMIFS(
  Sales_Entry[Qty],
  Sales_Entry[Product_Code], Stock_Table[[#This Row],[Product_Code]]
)</f>
        <v>0</v>
      </c>
      <c r="K1536" s="4">
        <f>SUMIFS(
  Exchange_Return[Qty],
  Exchange_Return[Product_Code], Stock_Table[[#This Row],[Product_Code]]
)</f>
        <v>0</v>
      </c>
      <c r="L1536" s="4">
        <f>I1536-J1536+K1536</f>
        <v>4</v>
      </c>
      <c r="M1536" s="2" t="str" cm="1">
        <f t="array" ref="M1536">_xlfn.IFS(L1536=0,"Out of Stock",L1536&gt;=2,"Limited Stock",L1536&lt;2,"In Stock")</f>
        <v>Limited Stock</v>
      </c>
    </row>
    <row r="1537" spans="2:13">
      <c r="B1537" s="2" t="s">
        <v>710</v>
      </c>
      <c r="C1537" s="5" t="str">
        <f>_xlfn.XLOOKUP(B1537,Master[Product_Code],Master[Category])</f>
        <v>T-Shirt</v>
      </c>
      <c r="D1537" s="2" t="str">
        <f>_xlfn.XLOOKUP(B1537,Master[Product_Code],Master[Brand])</f>
        <v>Roadster</v>
      </c>
      <c r="E1537" s="2" t="str">
        <f>_xlfn.XLOOKUP(B1537,Master[Product_Code],Master[Style])</f>
        <v>3/4 Sleeve</v>
      </c>
      <c r="F1537" s="2" t="str">
        <f>_xlfn.XLOOKUP(B1537,Master[Product_Code],Master[Fabric])</f>
        <v>Poly Cotton</v>
      </c>
      <c r="G1537" s="2" t="str">
        <f>_xlfn.XLOOKUP(B1537,Master[Product_Code],Master[Size])</f>
        <v>S</v>
      </c>
      <c r="H1537" s="2" t="str">
        <f>_xlfn.XLOOKUP(B1537,Master[Product_Code],Master[Color])</f>
        <v>Teal</v>
      </c>
      <c r="I1537" s="4">
        <f>_xlfn.XLOOKUP(B1537,Master[Product_Code],Master[Stock_Qty])</f>
        <v>6</v>
      </c>
      <c r="J1537" s="6">
        <f>SUMIFS(
  Sales_Entry[Qty],
  Sales_Entry[Product_Code], Stock_Table[[#This Row],[Product_Code]]
)</f>
        <v>2</v>
      </c>
      <c r="K1537" s="4">
        <f>SUMIFS(
  Exchange_Return[Qty],
  Exchange_Return[Product_Code], Stock_Table[[#This Row],[Product_Code]]
)</f>
        <v>0</v>
      </c>
      <c r="L1537" s="4">
        <f>I1537-J1537+K1537</f>
        <v>4</v>
      </c>
      <c r="M1537" s="2" t="str" cm="1">
        <f t="array" ref="M1537">_xlfn.IFS(L1537=0,"Out of Stock",L1537&gt;=2,"Limited Stock",L1537&lt;2,"In Stock")</f>
        <v>Limited Stock</v>
      </c>
    </row>
    <row r="1538" spans="2:13">
      <c r="B1538" s="2" t="s">
        <v>711</v>
      </c>
      <c r="C1538" s="5" t="str">
        <f>_xlfn.XLOOKUP(B1538,Master[Product_Code],Master[Category])</f>
        <v>T-Shirt</v>
      </c>
      <c r="D1538" s="2" t="str">
        <f>_xlfn.XLOOKUP(B1538,Master[Product_Code],Master[Brand])</f>
        <v>Roadster</v>
      </c>
      <c r="E1538" s="2" t="str">
        <f>_xlfn.XLOOKUP(B1538,Master[Product_Code],Master[Style])</f>
        <v>Sleeveless</v>
      </c>
      <c r="F1538" s="2" t="str">
        <f>_xlfn.XLOOKUP(B1538,Master[Product_Code],Master[Fabric])</f>
        <v>Poly Cotton</v>
      </c>
      <c r="G1538" s="2" t="str">
        <f>_xlfn.XLOOKUP(B1538,Master[Product_Code],Master[Size])</f>
        <v>XXL</v>
      </c>
      <c r="H1538" s="2" t="str">
        <f>_xlfn.XLOOKUP(B1538,Master[Product_Code],Master[Color])</f>
        <v>Brown</v>
      </c>
      <c r="I1538" s="4">
        <f>_xlfn.XLOOKUP(B1538,Master[Product_Code],Master[Stock_Qty])</f>
        <v>6</v>
      </c>
      <c r="J1538" s="6">
        <f>SUMIFS(
  Sales_Entry[Qty],
  Sales_Entry[Product_Code], Stock_Table[[#This Row],[Product_Code]]
)</f>
        <v>1</v>
      </c>
      <c r="K1538" s="4">
        <f>SUMIFS(
  Exchange_Return[Qty],
  Exchange_Return[Product_Code], Stock_Table[[#This Row],[Product_Code]]
)</f>
        <v>0</v>
      </c>
      <c r="L1538" s="4">
        <f>I1538-J1538+K1538</f>
        <v>5</v>
      </c>
      <c r="M1538" s="2" t="str" cm="1">
        <f t="array" ref="M1538">_xlfn.IFS(L1538=0,"Out of Stock",L1538&gt;=2,"Limited Stock",L1538&lt;2,"In Stock")</f>
        <v>Limited Stock</v>
      </c>
    </row>
    <row r="1539" spans="2:13">
      <c r="B1539" s="2" t="s">
        <v>712</v>
      </c>
      <c r="C1539" s="5" t="str">
        <f>_xlfn.XLOOKUP(B1539,Master[Product_Code],Master[Category])</f>
        <v>T-Shirt</v>
      </c>
      <c r="D1539" s="2" t="str">
        <f>_xlfn.XLOOKUP(B1539,Master[Product_Code],Master[Brand])</f>
        <v>Roadster</v>
      </c>
      <c r="E1539" s="2" t="str">
        <f>_xlfn.XLOOKUP(B1539,Master[Product_Code],Master[Style])</f>
        <v>Half Sleeve</v>
      </c>
      <c r="F1539" s="2" t="str">
        <f>_xlfn.XLOOKUP(B1539,Master[Product_Code],Master[Fabric])</f>
        <v>Cotton</v>
      </c>
      <c r="G1539" s="2" t="str">
        <f>_xlfn.XLOOKUP(B1539,Master[Product_Code],Master[Size])</f>
        <v>XL</v>
      </c>
      <c r="H1539" s="2" t="str">
        <f>_xlfn.XLOOKUP(B1539,Master[Product_Code],Master[Color])</f>
        <v>Maroon</v>
      </c>
      <c r="I1539" s="4">
        <f>_xlfn.XLOOKUP(B1539,Master[Product_Code],Master[Stock_Qty])</f>
        <v>3</v>
      </c>
      <c r="J1539" s="6">
        <f>SUMIFS(
  Sales_Entry[Qty],
  Sales_Entry[Product_Code], Stock_Table[[#This Row],[Product_Code]]
)</f>
        <v>1</v>
      </c>
      <c r="K1539" s="4">
        <f>SUMIFS(
  Exchange_Return[Qty],
  Exchange_Return[Product_Code], Stock_Table[[#This Row],[Product_Code]]
)</f>
        <v>0</v>
      </c>
      <c r="L1539" s="4">
        <f>I1539-J1539+K1539</f>
        <v>2</v>
      </c>
      <c r="M1539" s="2" t="str" cm="1">
        <f t="array" ref="M1539">_xlfn.IFS(L1539=0,"Out of Stock",L1539&gt;=2,"Limited Stock",L1539&lt;2,"In Stock")</f>
        <v>Limited Stock</v>
      </c>
    </row>
    <row r="1540" spans="2:13">
      <c r="B1540" s="2" t="s">
        <v>713</v>
      </c>
      <c r="C1540" s="5" t="str">
        <f>_xlfn.XLOOKUP(B1540,Master[Product_Code],Master[Category])</f>
        <v>T-Shirt</v>
      </c>
      <c r="D1540" s="2" t="str">
        <f>_xlfn.XLOOKUP(B1540,Master[Product_Code],Master[Brand])</f>
        <v>Zara</v>
      </c>
      <c r="E1540" s="2" t="str">
        <f>_xlfn.XLOOKUP(B1540,Master[Product_Code],Master[Style])</f>
        <v>Full Sleeve</v>
      </c>
      <c r="F1540" s="2" t="str">
        <f>_xlfn.XLOOKUP(B1540,Master[Product_Code],Master[Fabric])</f>
        <v>Cotton Blend</v>
      </c>
      <c r="G1540" s="2" t="str">
        <f>_xlfn.XLOOKUP(B1540,Master[Product_Code],Master[Size])</f>
        <v>M</v>
      </c>
      <c r="H1540" s="2" t="str">
        <f>_xlfn.XLOOKUP(B1540,Master[Product_Code],Master[Color])</f>
        <v>Brown</v>
      </c>
      <c r="I1540" s="4">
        <f>_xlfn.XLOOKUP(B1540,Master[Product_Code],Master[Stock_Qty])</f>
        <v>5</v>
      </c>
      <c r="J1540" s="6">
        <f>SUMIFS(
  Sales_Entry[Qty],
  Sales_Entry[Product_Code], Stock_Table[[#This Row],[Product_Code]]
)</f>
        <v>0</v>
      </c>
      <c r="K1540" s="4">
        <f>SUMIFS(
  Exchange_Return[Qty],
  Exchange_Return[Product_Code], Stock_Table[[#This Row],[Product_Code]]
)</f>
        <v>0</v>
      </c>
      <c r="L1540" s="4">
        <f>I1540-J1540+K1540</f>
        <v>5</v>
      </c>
      <c r="M1540" s="2" t="str" cm="1">
        <f t="array" ref="M1540">_xlfn.IFS(L1540=0,"Out of Stock",L1540&gt;=2,"Limited Stock",L1540&lt;2,"In Stock")</f>
        <v>Limited Stock</v>
      </c>
    </row>
    <row r="1541" spans="2:13">
      <c r="B1541" s="2" t="s">
        <v>714</v>
      </c>
      <c r="C1541" s="5" t="str">
        <f>_xlfn.XLOOKUP(B1541,Master[Product_Code],Master[Category])</f>
        <v>T-Shirt</v>
      </c>
      <c r="D1541" s="2" t="str">
        <f>_xlfn.XLOOKUP(B1541,Master[Product_Code],Master[Brand])</f>
        <v>Urban Monkey</v>
      </c>
      <c r="E1541" s="2" t="str">
        <f>_xlfn.XLOOKUP(B1541,Master[Product_Code],Master[Style])</f>
        <v>Half Sleeve</v>
      </c>
      <c r="F1541" s="2" t="str">
        <f>_xlfn.XLOOKUP(B1541,Master[Product_Code],Master[Fabric])</f>
        <v>Poly Cotton</v>
      </c>
      <c r="G1541" s="2" t="str">
        <f>_xlfn.XLOOKUP(B1541,Master[Product_Code],Master[Size])</f>
        <v>L</v>
      </c>
      <c r="H1541" s="2" t="str">
        <f>_xlfn.XLOOKUP(B1541,Master[Product_Code],Master[Color])</f>
        <v>Grey</v>
      </c>
      <c r="I1541" s="4">
        <f>_xlfn.XLOOKUP(B1541,Master[Product_Code],Master[Stock_Qty])</f>
        <v>3</v>
      </c>
      <c r="J1541" s="6">
        <f>SUMIFS(
  Sales_Entry[Qty],
  Sales_Entry[Product_Code], Stock_Table[[#This Row],[Product_Code]]
)</f>
        <v>2</v>
      </c>
      <c r="K1541" s="4">
        <f>SUMIFS(
  Exchange_Return[Qty],
  Exchange_Return[Product_Code], Stock_Table[[#This Row],[Product_Code]]
)</f>
        <v>0</v>
      </c>
      <c r="L1541" s="4">
        <f>I1541-J1541+K1541</f>
        <v>1</v>
      </c>
      <c r="M1541" s="2" t="str" cm="1">
        <f t="array" ref="M1541">_xlfn.IFS(L1541=0,"Out of Stock",L1541&gt;=2,"Limited Stock",L1541&lt;2,"In Stock")</f>
        <v>In Stock</v>
      </c>
    </row>
    <row r="1542" spans="2:13">
      <c r="B1542" s="2" t="s">
        <v>715</v>
      </c>
      <c r="C1542" s="5" t="str">
        <f>_xlfn.XLOOKUP(B1542,Master[Product_Code],Master[Category])</f>
        <v>T-Shirt</v>
      </c>
      <c r="D1542" s="2" t="str">
        <f>_xlfn.XLOOKUP(B1542,Master[Product_Code],Master[Brand])</f>
        <v>Urban Monkey</v>
      </c>
      <c r="E1542" s="2" t="str">
        <f>_xlfn.XLOOKUP(B1542,Master[Product_Code],Master[Style])</f>
        <v>Sleeveless</v>
      </c>
      <c r="F1542" s="2" t="str">
        <f>_xlfn.XLOOKUP(B1542,Master[Product_Code],Master[Fabric])</f>
        <v>Cotton</v>
      </c>
      <c r="G1542" s="2" t="str">
        <f>_xlfn.XLOOKUP(B1542,Master[Product_Code],Master[Size])</f>
        <v>XXL</v>
      </c>
      <c r="H1542" s="2" t="str">
        <f>_xlfn.XLOOKUP(B1542,Master[Product_Code],Master[Color])</f>
        <v>Dark Green</v>
      </c>
      <c r="I1542" s="4">
        <f>_xlfn.XLOOKUP(B1542,Master[Product_Code],Master[Stock_Qty])</f>
        <v>4</v>
      </c>
      <c r="J1542" s="6">
        <f>SUMIFS(
  Sales_Entry[Qty],
  Sales_Entry[Product_Code], Stock_Table[[#This Row],[Product_Code]]
)</f>
        <v>2</v>
      </c>
      <c r="K1542" s="4">
        <f>SUMIFS(
  Exchange_Return[Qty],
  Exchange_Return[Product_Code], Stock_Table[[#This Row],[Product_Code]]
)</f>
        <v>0</v>
      </c>
      <c r="L1542" s="4">
        <f>I1542-J1542+K1542</f>
        <v>2</v>
      </c>
      <c r="M1542" s="2" t="str" cm="1">
        <f t="array" ref="M1542">_xlfn.IFS(L1542=0,"Out of Stock",L1542&gt;=2,"Limited Stock",L1542&lt;2,"In Stock")</f>
        <v>Limited Stock</v>
      </c>
    </row>
    <row r="1543" spans="2:13">
      <c r="B1543" s="2" t="s">
        <v>716</v>
      </c>
      <c r="C1543" s="5" t="str">
        <f>_xlfn.XLOOKUP(B1543,Master[Product_Code],Master[Category])</f>
        <v>T-Shirt</v>
      </c>
      <c r="D1543" s="2" t="str">
        <f>_xlfn.XLOOKUP(B1543,Master[Product_Code],Master[Brand])</f>
        <v>Campus</v>
      </c>
      <c r="E1543" s="2" t="str">
        <f>_xlfn.XLOOKUP(B1543,Master[Product_Code],Master[Style])</f>
        <v>Hoodie</v>
      </c>
      <c r="F1543" s="2" t="str">
        <f>_xlfn.XLOOKUP(B1543,Master[Product_Code],Master[Fabric])</f>
        <v>Cotton Blend</v>
      </c>
      <c r="G1543" s="2" t="str">
        <f>_xlfn.XLOOKUP(B1543,Master[Product_Code],Master[Size])</f>
        <v>M</v>
      </c>
      <c r="H1543" s="2" t="str">
        <f>_xlfn.XLOOKUP(B1543,Master[Product_Code],Master[Color])</f>
        <v>Wine</v>
      </c>
      <c r="I1543" s="4">
        <f>_xlfn.XLOOKUP(B1543,Master[Product_Code],Master[Stock_Qty])</f>
        <v>5</v>
      </c>
      <c r="J1543" s="6">
        <f>SUMIFS(
  Sales_Entry[Qty],
  Sales_Entry[Product_Code], Stock_Table[[#This Row],[Product_Code]]
)</f>
        <v>1</v>
      </c>
      <c r="K1543" s="4">
        <f>SUMIFS(
  Exchange_Return[Qty],
  Exchange_Return[Product_Code], Stock_Table[[#This Row],[Product_Code]]
)</f>
        <v>0</v>
      </c>
      <c r="L1543" s="4">
        <f>I1543-J1543+K1543</f>
        <v>4</v>
      </c>
      <c r="M1543" s="2" t="str" cm="1">
        <f t="array" ref="M1543">_xlfn.IFS(L1543=0,"Out of Stock",L1543&gt;=2,"Limited Stock",L1543&lt;2,"In Stock")</f>
        <v>Limited Stock</v>
      </c>
    </row>
    <row r="1544" spans="2:13">
      <c r="B1544" s="2" t="s">
        <v>717</v>
      </c>
      <c r="C1544" s="5" t="str">
        <f>_xlfn.XLOOKUP(B1544,Master[Product_Code],Master[Category])</f>
        <v>T-Shirt</v>
      </c>
      <c r="D1544" s="2" t="str">
        <f>_xlfn.XLOOKUP(B1544,Master[Product_Code],Master[Brand])</f>
        <v>Campus</v>
      </c>
      <c r="E1544" s="2" t="str">
        <f>_xlfn.XLOOKUP(B1544,Master[Product_Code],Master[Style])</f>
        <v>Half Sleeve</v>
      </c>
      <c r="F1544" s="2" t="str">
        <f>_xlfn.XLOOKUP(B1544,Master[Product_Code],Master[Fabric])</f>
        <v>Cotton Blend</v>
      </c>
      <c r="G1544" s="2" t="str">
        <f>_xlfn.XLOOKUP(B1544,Master[Product_Code],Master[Size])</f>
        <v>XL</v>
      </c>
      <c r="H1544" s="2" t="str">
        <f>_xlfn.XLOOKUP(B1544,Master[Product_Code],Master[Color])</f>
        <v>Bottle Green</v>
      </c>
      <c r="I1544" s="4">
        <f>_xlfn.XLOOKUP(B1544,Master[Product_Code],Master[Stock_Qty])</f>
        <v>5</v>
      </c>
      <c r="J1544" s="6">
        <f>SUMIFS(
  Sales_Entry[Qty],
  Sales_Entry[Product_Code], Stock_Table[[#This Row],[Product_Code]]
)</f>
        <v>2</v>
      </c>
      <c r="K1544" s="4">
        <f>SUMIFS(
  Exchange_Return[Qty],
  Exchange_Return[Product_Code], Stock_Table[[#This Row],[Product_Code]]
)</f>
        <v>0</v>
      </c>
      <c r="L1544" s="4">
        <f>I1544-J1544+K1544</f>
        <v>3</v>
      </c>
      <c r="M1544" s="2" t="str" cm="1">
        <f t="array" ref="M1544">_xlfn.IFS(L1544=0,"Out of Stock",L1544&gt;=2,"Limited Stock",L1544&lt;2,"In Stock")</f>
        <v>Limited Stock</v>
      </c>
    </row>
    <row r="1545" spans="2:13">
      <c r="B1545" s="2" t="s">
        <v>718</v>
      </c>
      <c r="C1545" s="5" t="str">
        <f>_xlfn.XLOOKUP(B1545,Master[Product_Code],Master[Category])</f>
        <v>T-Shirt</v>
      </c>
      <c r="D1545" s="2" t="str">
        <f>_xlfn.XLOOKUP(B1545,Master[Product_Code],Master[Brand])</f>
        <v>Zara</v>
      </c>
      <c r="E1545" s="2" t="str">
        <f>_xlfn.XLOOKUP(B1545,Master[Product_Code],Master[Style])</f>
        <v>Half Sleeve</v>
      </c>
      <c r="F1545" s="2" t="str">
        <f>_xlfn.XLOOKUP(B1545,Master[Product_Code],Master[Fabric])</f>
        <v>Poly Cotton</v>
      </c>
      <c r="G1545" s="2" t="str">
        <f>_xlfn.XLOOKUP(B1545,Master[Product_Code],Master[Size])</f>
        <v>L</v>
      </c>
      <c r="H1545" s="2" t="str">
        <f>_xlfn.XLOOKUP(B1545,Master[Product_Code],Master[Color])</f>
        <v>Grey</v>
      </c>
      <c r="I1545" s="4">
        <f>_xlfn.XLOOKUP(B1545,Master[Product_Code],Master[Stock_Qty])</f>
        <v>6</v>
      </c>
      <c r="J1545" s="6">
        <f>SUMIFS(
  Sales_Entry[Qty],
  Sales_Entry[Product_Code], Stock_Table[[#This Row],[Product_Code]]
)</f>
        <v>2</v>
      </c>
      <c r="K1545" s="4">
        <f>SUMIFS(
  Exchange_Return[Qty],
  Exchange_Return[Product_Code], Stock_Table[[#This Row],[Product_Code]]
)</f>
        <v>0</v>
      </c>
      <c r="L1545" s="4">
        <f>I1545-J1545+K1545</f>
        <v>4</v>
      </c>
      <c r="M1545" s="2" t="str" cm="1">
        <f t="array" ref="M1545">_xlfn.IFS(L1545=0,"Out of Stock",L1545&gt;=2,"Limited Stock",L1545&lt;2,"In Stock")</f>
        <v>Limited Stock</v>
      </c>
    </row>
    <row r="1546" spans="2:13">
      <c r="B1546" s="2" t="s">
        <v>719</v>
      </c>
      <c r="C1546" s="5" t="str">
        <f>_xlfn.XLOOKUP(B1546,Master[Product_Code],Master[Category])</f>
        <v>T-Shirt</v>
      </c>
      <c r="D1546" s="2" t="str">
        <f>_xlfn.XLOOKUP(B1546,Master[Product_Code],Master[Brand])</f>
        <v>Campus</v>
      </c>
      <c r="E1546" s="2" t="str">
        <f>_xlfn.XLOOKUP(B1546,Master[Product_Code],Master[Style])</f>
        <v>3/4 Sleeve</v>
      </c>
      <c r="F1546" s="2" t="str">
        <f>_xlfn.XLOOKUP(B1546,Master[Product_Code],Master[Fabric])</f>
        <v>Poly Cotton</v>
      </c>
      <c r="G1546" s="2" t="str">
        <f>_xlfn.XLOOKUP(B1546,Master[Product_Code],Master[Size])</f>
        <v>XXL</v>
      </c>
      <c r="H1546" s="2" t="str">
        <f>_xlfn.XLOOKUP(B1546,Master[Product_Code],Master[Color])</f>
        <v>Royal Blue</v>
      </c>
      <c r="I1546" s="4">
        <f>_xlfn.XLOOKUP(B1546,Master[Product_Code],Master[Stock_Qty])</f>
        <v>4</v>
      </c>
      <c r="J1546" s="6">
        <f>SUMIFS(
  Sales_Entry[Qty],
  Sales_Entry[Product_Code], Stock_Table[[#This Row],[Product_Code]]
)</f>
        <v>1</v>
      </c>
      <c r="K1546" s="4">
        <f>SUMIFS(
  Exchange_Return[Qty],
  Exchange_Return[Product_Code], Stock_Table[[#This Row],[Product_Code]]
)</f>
        <v>0</v>
      </c>
      <c r="L1546" s="4">
        <f>I1546-J1546+K1546</f>
        <v>3</v>
      </c>
      <c r="M1546" s="2" t="str" cm="1">
        <f t="array" ref="M1546">_xlfn.IFS(L1546=0,"Out of Stock",L1546&gt;=2,"Limited Stock",L1546&lt;2,"In Stock")</f>
        <v>Limited Stock</v>
      </c>
    </row>
    <row r="1547" spans="2:13">
      <c r="B1547" s="2" t="s">
        <v>720</v>
      </c>
      <c r="C1547" s="5" t="str">
        <f>_xlfn.XLOOKUP(B1547,Master[Product_Code],Master[Category])</f>
        <v>T-Shirt</v>
      </c>
      <c r="D1547" s="2" t="str">
        <f>_xlfn.XLOOKUP(B1547,Master[Product_Code],Master[Brand])</f>
        <v>Turkey</v>
      </c>
      <c r="E1547" s="2" t="str">
        <f>_xlfn.XLOOKUP(B1547,Master[Product_Code],Master[Style])</f>
        <v>3/4 Sleeve</v>
      </c>
      <c r="F1547" s="2" t="str">
        <f>_xlfn.XLOOKUP(B1547,Master[Product_Code],Master[Fabric])</f>
        <v>Cotton Blend</v>
      </c>
      <c r="G1547" s="2" t="str">
        <f>_xlfn.XLOOKUP(B1547,Master[Product_Code],Master[Size])</f>
        <v>M</v>
      </c>
      <c r="H1547" s="2" t="str">
        <f>_xlfn.XLOOKUP(B1547,Master[Product_Code],Master[Color])</f>
        <v>Navy Blue</v>
      </c>
      <c r="I1547" s="4">
        <f>_xlfn.XLOOKUP(B1547,Master[Product_Code],Master[Stock_Qty])</f>
        <v>4</v>
      </c>
      <c r="J1547" s="6">
        <f>SUMIFS(
  Sales_Entry[Qty],
  Sales_Entry[Product_Code], Stock_Table[[#This Row],[Product_Code]]
)</f>
        <v>0</v>
      </c>
      <c r="K1547" s="4">
        <f>SUMIFS(
  Exchange_Return[Qty],
  Exchange_Return[Product_Code], Stock_Table[[#This Row],[Product_Code]]
)</f>
        <v>0</v>
      </c>
      <c r="L1547" s="4">
        <f>I1547-J1547+K1547</f>
        <v>4</v>
      </c>
      <c r="M1547" s="2" t="str" cm="1">
        <f t="array" ref="M1547">_xlfn.IFS(L1547=0,"Out of Stock",L1547&gt;=2,"Limited Stock",L1547&lt;2,"In Stock")</f>
        <v>Limited Stock</v>
      </c>
    </row>
    <row r="1548" spans="2:13">
      <c r="B1548" s="2" t="s">
        <v>721</v>
      </c>
      <c r="C1548" s="5" t="str">
        <f>_xlfn.XLOOKUP(B1548,Master[Product_Code],Master[Category])</f>
        <v>T-Shirt</v>
      </c>
      <c r="D1548" s="2" t="str">
        <f>_xlfn.XLOOKUP(B1548,Master[Product_Code],Master[Brand])</f>
        <v>Campus</v>
      </c>
      <c r="E1548" s="2" t="str">
        <f>_xlfn.XLOOKUP(B1548,Master[Product_Code],Master[Style])</f>
        <v>Hoodie</v>
      </c>
      <c r="F1548" s="2" t="str">
        <f>_xlfn.XLOOKUP(B1548,Master[Product_Code],Master[Fabric])</f>
        <v>Cotton</v>
      </c>
      <c r="G1548" s="2" t="str">
        <f>_xlfn.XLOOKUP(B1548,Master[Product_Code],Master[Size])</f>
        <v>XL</v>
      </c>
      <c r="H1548" s="2" t="str">
        <f>_xlfn.XLOOKUP(B1548,Master[Product_Code],Master[Color])</f>
        <v>White</v>
      </c>
      <c r="I1548" s="4">
        <f>_xlfn.XLOOKUP(B1548,Master[Product_Code],Master[Stock_Qty])</f>
        <v>6</v>
      </c>
      <c r="J1548" s="6">
        <f>SUMIFS(
  Sales_Entry[Qty],
  Sales_Entry[Product_Code], Stock_Table[[#This Row],[Product_Code]]
)</f>
        <v>3</v>
      </c>
      <c r="K1548" s="4">
        <f>SUMIFS(
  Exchange_Return[Qty],
  Exchange_Return[Product_Code], Stock_Table[[#This Row],[Product_Code]]
)</f>
        <v>0</v>
      </c>
      <c r="L1548" s="4">
        <f>I1548-J1548+K1548</f>
        <v>3</v>
      </c>
      <c r="M1548" s="2" t="str" cm="1">
        <f t="array" ref="M1548">_xlfn.IFS(L1548=0,"Out of Stock",L1548&gt;=2,"Limited Stock",L1548&lt;2,"In Stock")</f>
        <v>Limited Stock</v>
      </c>
    </row>
    <row r="1549" spans="2:13">
      <c r="B1549" s="2" t="s">
        <v>722</v>
      </c>
      <c r="C1549" s="5" t="str">
        <f>_xlfn.XLOOKUP(B1549,Master[Product_Code],Master[Category])</f>
        <v>T-Shirt</v>
      </c>
      <c r="D1549" s="2" t="str">
        <f>_xlfn.XLOOKUP(B1549,Master[Product_Code],Master[Brand])</f>
        <v>Roadster</v>
      </c>
      <c r="E1549" s="2" t="str">
        <f>_xlfn.XLOOKUP(B1549,Master[Product_Code],Master[Style])</f>
        <v>3/4 Sleeve</v>
      </c>
      <c r="F1549" s="2" t="str">
        <f>_xlfn.XLOOKUP(B1549,Master[Product_Code],Master[Fabric])</f>
        <v>Cotton</v>
      </c>
      <c r="G1549" s="2" t="str">
        <f>_xlfn.XLOOKUP(B1549,Master[Product_Code],Master[Size])</f>
        <v>M</v>
      </c>
      <c r="H1549" s="2" t="str">
        <f>_xlfn.XLOOKUP(B1549,Master[Product_Code],Master[Color])</f>
        <v>Light Grey</v>
      </c>
      <c r="I1549" s="4">
        <f>_xlfn.XLOOKUP(B1549,Master[Product_Code],Master[Stock_Qty])</f>
        <v>5</v>
      </c>
      <c r="J1549" s="6">
        <f>SUMIFS(
  Sales_Entry[Qty],
  Sales_Entry[Product_Code], Stock_Table[[#This Row],[Product_Code]]
)</f>
        <v>2</v>
      </c>
      <c r="K1549" s="4">
        <f>SUMIFS(
  Exchange_Return[Qty],
  Exchange_Return[Product_Code], Stock_Table[[#This Row],[Product_Code]]
)</f>
        <v>0</v>
      </c>
      <c r="L1549" s="4">
        <f>I1549-J1549+K1549</f>
        <v>3</v>
      </c>
      <c r="M1549" s="2" t="str" cm="1">
        <f t="array" ref="M1549">_xlfn.IFS(L1549=0,"Out of Stock",L1549&gt;=2,"Limited Stock",L1549&lt;2,"In Stock")</f>
        <v>Limited Stock</v>
      </c>
    </row>
    <row r="1550" spans="2:13">
      <c r="B1550" s="2" t="s">
        <v>723</v>
      </c>
      <c r="C1550" s="5" t="str">
        <f>_xlfn.XLOOKUP(B1550,Master[Product_Code],Master[Category])</f>
        <v>T-Shirt</v>
      </c>
      <c r="D1550" s="2" t="str">
        <f>_xlfn.XLOOKUP(B1550,Master[Product_Code],Master[Brand])</f>
        <v>Thailand</v>
      </c>
      <c r="E1550" s="2" t="str">
        <f>_xlfn.XLOOKUP(B1550,Master[Product_Code],Master[Style])</f>
        <v>Sleeveless</v>
      </c>
      <c r="F1550" s="2" t="str">
        <f>_xlfn.XLOOKUP(B1550,Master[Product_Code],Master[Fabric])</f>
        <v>Poly Cotton</v>
      </c>
      <c r="G1550" s="2" t="str">
        <f>_xlfn.XLOOKUP(B1550,Master[Product_Code],Master[Size])</f>
        <v>M</v>
      </c>
      <c r="H1550" s="2" t="str">
        <f>_xlfn.XLOOKUP(B1550,Master[Product_Code],Master[Color])</f>
        <v>White</v>
      </c>
      <c r="I1550" s="4">
        <f>_xlfn.XLOOKUP(B1550,Master[Product_Code],Master[Stock_Qty])</f>
        <v>4</v>
      </c>
      <c r="J1550" s="6">
        <f>SUMIFS(
  Sales_Entry[Qty],
  Sales_Entry[Product_Code], Stock_Table[[#This Row],[Product_Code]]
)</f>
        <v>1</v>
      </c>
      <c r="K1550" s="4">
        <f>SUMIFS(
  Exchange_Return[Qty],
  Exchange_Return[Product_Code], Stock_Table[[#This Row],[Product_Code]]
)</f>
        <v>0</v>
      </c>
      <c r="L1550" s="4">
        <f>I1550-J1550+K1550</f>
        <v>3</v>
      </c>
      <c r="M1550" s="2" t="str" cm="1">
        <f t="array" ref="M1550">_xlfn.IFS(L1550=0,"Out of Stock",L1550&gt;=2,"Limited Stock",L1550&lt;2,"In Stock")</f>
        <v>Limited Stock</v>
      </c>
    </row>
    <row r="1551" spans="2:13">
      <c r="B1551" s="2" t="s">
        <v>724</v>
      </c>
      <c r="C1551" s="5" t="str">
        <f>_xlfn.XLOOKUP(B1551,Master[Product_Code],Master[Category])</f>
        <v>T-Shirt</v>
      </c>
      <c r="D1551" s="2" t="str">
        <f>_xlfn.XLOOKUP(B1551,Master[Product_Code],Master[Brand])</f>
        <v>Roadster</v>
      </c>
      <c r="E1551" s="2" t="str">
        <f>_xlfn.XLOOKUP(B1551,Master[Product_Code],Master[Style])</f>
        <v>Half Sleeve</v>
      </c>
      <c r="F1551" s="2" t="str">
        <f>_xlfn.XLOOKUP(B1551,Master[Product_Code],Master[Fabric])</f>
        <v>Poly Cotton</v>
      </c>
      <c r="G1551" s="2" t="str">
        <f>_xlfn.XLOOKUP(B1551,Master[Product_Code],Master[Size])</f>
        <v>XXL</v>
      </c>
      <c r="H1551" s="2" t="str">
        <f>_xlfn.XLOOKUP(B1551,Master[Product_Code],Master[Color])</f>
        <v>Brown</v>
      </c>
      <c r="I1551" s="4">
        <f>_xlfn.XLOOKUP(B1551,Master[Product_Code],Master[Stock_Qty])</f>
        <v>6</v>
      </c>
      <c r="J1551" s="6">
        <f>SUMIFS(
  Sales_Entry[Qty],
  Sales_Entry[Product_Code], Stock_Table[[#This Row],[Product_Code]]
)</f>
        <v>1</v>
      </c>
      <c r="K1551" s="4">
        <f>SUMIFS(
  Exchange_Return[Qty],
  Exchange_Return[Product_Code], Stock_Table[[#This Row],[Product_Code]]
)</f>
        <v>0</v>
      </c>
      <c r="L1551" s="4">
        <f>I1551-J1551+K1551</f>
        <v>5</v>
      </c>
      <c r="M1551" s="2" t="str" cm="1">
        <f t="array" ref="M1551">_xlfn.IFS(L1551=0,"Out of Stock",L1551&gt;=2,"Limited Stock",L1551&lt;2,"In Stock")</f>
        <v>Limited Stock</v>
      </c>
    </row>
    <row r="1552" spans="2:13">
      <c r="B1552" s="2" t="s">
        <v>725</v>
      </c>
      <c r="C1552" s="5" t="str">
        <f>_xlfn.XLOOKUP(B1552,Master[Product_Code],Master[Category])</f>
        <v>T-Shirt</v>
      </c>
      <c r="D1552" s="2" t="str">
        <f>_xlfn.XLOOKUP(B1552,Master[Product_Code],Master[Brand])</f>
        <v>Roadster</v>
      </c>
      <c r="E1552" s="2" t="str">
        <f>_xlfn.XLOOKUP(B1552,Master[Product_Code],Master[Style])</f>
        <v>3/4 Sleeve</v>
      </c>
      <c r="F1552" s="2" t="str">
        <f>_xlfn.XLOOKUP(B1552,Master[Product_Code],Master[Fabric])</f>
        <v>Cotton</v>
      </c>
      <c r="G1552" s="2" t="str">
        <f>_xlfn.XLOOKUP(B1552,Master[Product_Code],Master[Size])</f>
        <v>L</v>
      </c>
      <c r="H1552" s="2" t="str">
        <f>_xlfn.XLOOKUP(B1552,Master[Product_Code],Master[Color])</f>
        <v>Wine</v>
      </c>
      <c r="I1552" s="4">
        <f>_xlfn.XLOOKUP(B1552,Master[Product_Code],Master[Stock_Qty])</f>
        <v>4</v>
      </c>
      <c r="J1552" s="6">
        <f>SUMIFS(
  Sales_Entry[Qty],
  Sales_Entry[Product_Code], Stock_Table[[#This Row],[Product_Code]]
)</f>
        <v>4</v>
      </c>
      <c r="K1552" s="4">
        <f>SUMIFS(
  Exchange_Return[Qty],
  Exchange_Return[Product_Code], Stock_Table[[#This Row],[Product_Code]]
)</f>
        <v>1</v>
      </c>
      <c r="L1552" s="4">
        <f>I1552-J1552+K1552</f>
        <v>1</v>
      </c>
      <c r="M1552" s="2" t="str" cm="1">
        <f t="array" ref="M1552">_xlfn.IFS(L1552=0,"Out of Stock",L1552&gt;=2,"Limited Stock",L1552&lt;2,"In Stock")</f>
        <v>In Stock</v>
      </c>
    </row>
    <row r="1553" spans="2:13">
      <c r="B1553" s="2" t="s">
        <v>726</v>
      </c>
      <c r="C1553" s="5" t="str">
        <f>_xlfn.XLOOKUP(B1553,Master[Product_Code],Master[Category])</f>
        <v>T-Shirt</v>
      </c>
      <c r="D1553" s="2" t="str">
        <f>_xlfn.XLOOKUP(B1553,Master[Product_Code],Master[Brand])</f>
        <v>Roadster</v>
      </c>
      <c r="E1553" s="2" t="str">
        <f>_xlfn.XLOOKUP(B1553,Master[Product_Code],Master[Style])</f>
        <v>Half Sleeve</v>
      </c>
      <c r="F1553" s="2" t="str">
        <f>_xlfn.XLOOKUP(B1553,Master[Product_Code],Master[Fabric])</f>
        <v>Poly Cotton</v>
      </c>
      <c r="G1553" s="2" t="str">
        <f>_xlfn.XLOOKUP(B1553,Master[Product_Code],Master[Size])</f>
        <v>M</v>
      </c>
      <c r="H1553" s="2" t="str">
        <f>_xlfn.XLOOKUP(B1553,Master[Product_Code],Master[Color])</f>
        <v>Bottle Green</v>
      </c>
      <c r="I1553" s="4">
        <f>_xlfn.XLOOKUP(B1553,Master[Product_Code],Master[Stock_Qty])</f>
        <v>6</v>
      </c>
      <c r="J1553" s="6">
        <f>SUMIFS(
  Sales_Entry[Qty],
  Sales_Entry[Product_Code], Stock_Table[[#This Row],[Product_Code]]
)</f>
        <v>3</v>
      </c>
      <c r="K1553" s="4">
        <f>SUMIFS(
  Exchange_Return[Qty],
  Exchange_Return[Product_Code], Stock_Table[[#This Row],[Product_Code]]
)</f>
        <v>0</v>
      </c>
      <c r="L1553" s="4">
        <f>I1553-J1553+K1553</f>
        <v>3</v>
      </c>
      <c r="M1553" s="2" t="str" cm="1">
        <f t="array" ref="M1553">_xlfn.IFS(L1553=0,"Out of Stock",L1553&gt;=2,"Limited Stock",L1553&lt;2,"In Stock")</f>
        <v>Limited Stock</v>
      </c>
    </row>
    <row r="1554" spans="2:13">
      <c r="B1554" s="2" t="s">
        <v>727</v>
      </c>
      <c r="C1554" s="5" t="str">
        <f>_xlfn.XLOOKUP(B1554,Master[Product_Code],Master[Category])</f>
        <v>T-Shirt</v>
      </c>
      <c r="D1554" s="2" t="str">
        <f>_xlfn.XLOOKUP(B1554,Master[Product_Code],Master[Brand])</f>
        <v>Thailand</v>
      </c>
      <c r="E1554" s="2" t="str">
        <f>_xlfn.XLOOKUP(B1554,Master[Product_Code],Master[Style])</f>
        <v>Full Sleeve</v>
      </c>
      <c r="F1554" s="2" t="str">
        <f>_xlfn.XLOOKUP(B1554,Master[Product_Code],Master[Fabric])</f>
        <v>Cotton</v>
      </c>
      <c r="G1554" s="2" t="str">
        <f>_xlfn.XLOOKUP(B1554,Master[Product_Code],Master[Size])</f>
        <v>L</v>
      </c>
      <c r="H1554" s="2" t="str">
        <f>_xlfn.XLOOKUP(B1554,Master[Product_Code],Master[Color])</f>
        <v>Mustard</v>
      </c>
      <c r="I1554" s="4">
        <f>_xlfn.XLOOKUP(B1554,Master[Product_Code],Master[Stock_Qty])</f>
        <v>5</v>
      </c>
      <c r="J1554" s="6">
        <f>SUMIFS(
  Sales_Entry[Qty],
  Sales_Entry[Product_Code], Stock_Table[[#This Row],[Product_Code]]
)</f>
        <v>0</v>
      </c>
      <c r="K1554" s="4">
        <f>SUMIFS(
  Exchange_Return[Qty],
  Exchange_Return[Product_Code], Stock_Table[[#This Row],[Product_Code]]
)</f>
        <v>0</v>
      </c>
      <c r="L1554" s="4">
        <f>I1554-J1554+K1554</f>
        <v>5</v>
      </c>
      <c r="M1554" s="2" t="str" cm="1">
        <f t="array" ref="M1554">_xlfn.IFS(L1554=0,"Out of Stock",L1554&gt;=2,"Limited Stock",L1554&lt;2,"In Stock")</f>
        <v>Limited Stock</v>
      </c>
    </row>
    <row r="1555" spans="2:13">
      <c r="B1555" s="2" t="s">
        <v>728</v>
      </c>
      <c r="C1555" s="5" t="str">
        <f>_xlfn.XLOOKUP(B1555,Master[Product_Code],Master[Category])</f>
        <v>T-Shirt</v>
      </c>
      <c r="D1555" s="2" t="str">
        <f>_xlfn.XLOOKUP(B1555,Master[Product_Code],Master[Brand])</f>
        <v>Turkey</v>
      </c>
      <c r="E1555" s="2" t="str">
        <f>_xlfn.XLOOKUP(B1555,Master[Product_Code],Master[Style])</f>
        <v>Hoodie</v>
      </c>
      <c r="F1555" s="2" t="str">
        <f>_xlfn.XLOOKUP(B1555,Master[Product_Code],Master[Fabric])</f>
        <v>Poly Cotton</v>
      </c>
      <c r="G1555" s="2" t="str">
        <f>_xlfn.XLOOKUP(B1555,Master[Product_Code],Master[Size])</f>
        <v>XL</v>
      </c>
      <c r="H1555" s="2" t="str">
        <f>_xlfn.XLOOKUP(B1555,Master[Product_Code],Master[Color])</f>
        <v>Dark Green</v>
      </c>
      <c r="I1555" s="4">
        <f>_xlfn.XLOOKUP(B1555,Master[Product_Code],Master[Stock_Qty])</f>
        <v>3</v>
      </c>
      <c r="J1555" s="6">
        <f>SUMIFS(
  Sales_Entry[Qty],
  Sales_Entry[Product_Code], Stock_Table[[#This Row],[Product_Code]]
)</f>
        <v>2</v>
      </c>
      <c r="K1555" s="4">
        <f>SUMIFS(
  Exchange_Return[Qty],
  Exchange_Return[Product_Code], Stock_Table[[#This Row],[Product_Code]]
)</f>
        <v>0</v>
      </c>
      <c r="L1555" s="4">
        <f>I1555-J1555+K1555</f>
        <v>1</v>
      </c>
      <c r="M1555" s="2" t="str" cm="1">
        <f t="array" ref="M1555">_xlfn.IFS(L1555=0,"Out of Stock",L1555&gt;=2,"Limited Stock",L1555&lt;2,"In Stock")</f>
        <v>In Stock</v>
      </c>
    </row>
    <row r="1556" spans="2:13">
      <c r="B1556" s="2" t="s">
        <v>729</v>
      </c>
      <c r="C1556" s="5" t="str">
        <f>_xlfn.XLOOKUP(B1556,Master[Product_Code],Master[Category])</f>
        <v>T-Shirt</v>
      </c>
      <c r="D1556" s="2" t="str">
        <f>_xlfn.XLOOKUP(B1556,Master[Product_Code],Master[Brand])</f>
        <v>Campus</v>
      </c>
      <c r="E1556" s="2" t="str">
        <f>_xlfn.XLOOKUP(B1556,Master[Product_Code],Master[Style])</f>
        <v>3/4 Sleeve</v>
      </c>
      <c r="F1556" s="2" t="str">
        <f>_xlfn.XLOOKUP(B1556,Master[Product_Code],Master[Fabric])</f>
        <v>Cotton Blend</v>
      </c>
      <c r="G1556" s="2" t="str">
        <f>_xlfn.XLOOKUP(B1556,Master[Product_Code],Master[Size])</f>
        <v>M</v>
      </c>
      <c r="H1556" s="2" t="str">
        <f>_xlfn.XLOOKUP(B1556,Master[Product_Code],Master[Color])</f>
        <v>Royal Blue</v>
      </c>
      <c r="I1556" s="4">
        <f>_xlfn.XLOOKUP(B1556,Master[Product_Code],Master[Stock_Qty])</f>
        <v>4</v>
      </c>
      <c r="J1556" s="6">
        <f>SUMIFS(
  Sales_Entry[Qty],
  Sales_Entry[Product_Code], Stock_Table[[#This Row],[Product_Code]]
)</f>
        <v>2</v>
      </c>
      <c r="K1556" s="4">
        <f>SUMIFS(
  Exchange_Return[Qty],
  Exchange_Return[Product_Code], Stock_Table[[#This Row],[Product_Code]]
)</f>
        <v>0</v>
      </c>
      <c r="L1556" s="4">
        <f>I1556-J1556+K1556</f>
        <v>2</v>
      </c>
      <c r="M1556" s="2" t="str" cm="1">
        <f t="array" ref="M1556">_xlfn.IFS(L1556=0,"Out of Stock",L1556&gt;=2,"Limited Stock",L1556&lt;2,"In Stock")</f>
        <v>Limited Stock</v>
      </c>
    </row>
    <row r="1557" spans="2:13">
      <c r="B1557" s="2" t="s">
        <v>730</v>
      </c>
      <c r="C1557" s="5" t="str">
        <f>_xlfn.XLOOKUP(B1557,Master[Product_Code],Master[Category])</f>
        <v>T-Shirt</v>
      </c>
      <c r="D1557" s="2" t="str">
        <f>_xlfn.XLOOKUP(B1557,Master[Product_Code],Master[Brand])</f>
        <v>Campus</v>
      </c>
      <c r="E1557" s="2" t="str">
        <f>_xlfn.XLOOKUP(B1557,Master[Product_Code],Master[Style])</f>
        <v>3/4 Sleeve</v>
      </c>
      <c r="F1557" s="2" t="str">
        <f>_xlfn.XLOOKUP(B1557,Master[Product_Code],Master[Fabric])</f>
        <v>Cotton Blend</v>
      </c>
      <c r="G1557" s="2" t="str">
        <f>_xlfn.XLOOKUP(B1557,Master[Product_Code],Master[Size])</f>
        <v>S</v>
      </c>
      <c r="H1557" s="2" t="str">
        <f>_xlfn.XLOOKUP(B1557,Master[Product_Code],Master[Color])</f>
        <v>Rust</v>
      </c>
      <c r="I1557" s="4">
        <f>_xlfn.XLOOKUP(B1557,Master[Product_Code],Master[Stock_Qty])</f>
        <v>5</v>
      </c>
      <c r="J1557" s="6">
        <f>SUMIFS(
  Sales_Entry[Qty],
  Sales_Entry[Product_Code], Stock_Table[[#This Row],[Product_Code]]
)</f>
        <v>3</v>
      </c>
      <c r="K1557" s="4">
        <f>SUMIFS(
  Exchange_Return[Qty],
  Exchange_Return[Product_Code], Stock_Table[[#This Row],[Product_Code]]
)</f>
        <v>0</v>
      </c>
      <c r="L1557" s="4">
        <f>I1557-J1557+K1557</f>
        <v>2</v>
      </c>
      <c r="M1557" s="2" t="str" cm="1">
        <f t="array" ref="M1557">_xlfn.IFS(L1557=0,"Out of Stock",L1557&gt;=2,"Limited Stock",L1557&lt;2,"In Stock")</f>
        <v>Limited Stock</v>
      </c>
    </row>
    <row r="1558" spans="2:13">
      <c r="B1558" s="2" t="s">
        <v>731</v>
      </c>
      <c r="C1558" s="5" t="str">
        <f>_xlfn.XLOOKUP(B1558,Master[Product_Code],Master[Category])</f>
        <v>T-Shirt</v>
      </c>
      <c r="D1558" s="2" t="str">
        <f>_xlfn.XLOOKUP(B1558,Master[Product_Code],Master[Brand])</f>
        <v>Campus</v>
      </c>
      <c r="E1558" s="2" t="str">
        <f>_xlfn.XLOOKUP(B1558,Master[Product_Code],Master[Style])</f>
        <v>3/4 Sleeve</v>
      </c>
      <c r="F1558" s="2" t="str">
        <f>_xlfn.XLOOKUP(B1558,Master[Product_Code],Master[Fabric])</f>
        <v>Cotton</v>
      </c>
      <c r="G1558" s="2" t="str">
        <f>_xlfn.XLOOKUP(B1558,Master[Product_Code],Master[Size])</f>
        <v>XXL</v>
      </c>
      <c r="H1558" s="2" t="str">
        <f>_xlfn.XLOOKUP(B1558,Master[Product_Code],Master[Color])</f>
        <v>Teal</v>
      </c>
      <c r="I1558" s="4">
        <f>_xlfn.XLOOKUP(B1558,Master[Product_Code],Master[Stock_Qty])</f>
        <v>6</v>
      </c>
      <c r="J1558" s="6">
        <f>SUMIFS(
  Sales_Entry[Qty],
  Sales_Entry[Product_Code], Stock_Table[[#This Row],[Product_Code]]
)</f>
        <v>3</v>
      </c>
      <c r="K1558" s="4">
        <f>SUMIFS(
  Exchange_Return[Qty],
  Exchange_Return[Product_Code], Stock_Table[[#This Row],[Product_Code]]
)</f>
        <v>0</v>
      </c>
      <c r="L1558" s="4">
        <f>I1558-J1558+K1558</f>
        <v>3</v>
      </c>
      <c r="M1558" s="2" t="str" cm="1">
        <f t="array" ref="M1558">_xlfn.IFS(L1558=0,"Out of Stock",L1558&gt;=2,"Limited Stock",L1558&lt;2,"In Stock")</f>
        <v>Limited Stock</v>
      </c>
    </row>
    <row r="1559" spans="2:13">
      <c r="B1559" s="2" t="s">
        <v>732</v>
      </c>
      <c r="C1559" s="5" t="str">
        <f>_xlfn.XLOOKUP(B1559,Master[Product_Code],Master[Category])</f>
        <v>T-Shirt</v>
      </c>
      <c r="D1559" s="2" t="str">
        <f>_xlfn.XLOOKUP(B1559,Master[Product_Code],Master[Brand])</f>
        <v>Zara</v>
      </c>
      <c r="E1559" s="2" t="str">
        <f>_xlfn.XLOOKUP(B1559,Master[Product_Code],Master[Style])</f>
        <v>3/4 Sleeve</v>
      </c>
      <c r="F1559" s="2" t="str">
        <f>_xlfn.XLOOKUP(B1559,Master[Product_Code],Master[Fabric])</f>
        <v>Poly Cotton</v>
      </c>
      <c r="G1559" s="2" t="str">
        <f>_xlfn.XLOOKUP(B1559,Master[Product_Code],Master[Size])</f>
        <v>M</v>
      </c>
      <c r="H1559" s="2" t="str">
        <f>_xlfn.XLOOKUP(B1559,Master[Product_Code],Master[Color])</f>
        <v>Mustard</v>
      </c>
      <c r="I1559" s="4">
        <f>_xlfn.XLOOKUP(B1559,Master[Product_Code],Master[Stock_Qty])</f>
        <v>3</v>
      </c>
      <c r="J1559" s="6">
        <f>SUMIFS(
  Sales_Entry[Qty],
  Sales_Entry[Product_Code], Stock_Table[[#This Row],[Product_Code]]
)</f>
        <v>0</v>
      </c>
      <c r="K1559" s="4">
        <f>SUMIFS(
  Exchange_Return[Qty],
  Exchange_Return[Product_Code], Stock_Table[[#This Row],[Product_Code]]
)</f>
        <v>0</v>
      </c>
      <c r="L1559" s="4">
        <f>I1559-J1559+K1559</f>
        <v>3</v>
      </c>
      <c r="M1559" s="2" t="str" cm="1">
        <f t="array" ref="M1559">_xlfn.IFS(L1559=0,"Out of Stock",L1559&gt;=2,"Limited Stock",L1559&lt;2,"In Stock")</f>
        <v>Limited Stock</v>
      </c>
    </row>
    <row r="1560" spans="2:13">
      <c r="B1560" s="2" t="s">
        <v>733</v>
      </c>
      <c r="C1560" s="5" t="str">
        <f>_xlfn.XLOOKUP(B1560,Master[Product_Code],Master[Category])</f>
        <v>T-Shirt</v>
      </c>
      <c r="D1560" s="2" t="str">
        <f>_xlfn.XLOOKUP(B1560,Master[Product_Code],Master[Brand])</f>
        <v>Turkey</v>
      </c>
      <c r="E1560" s="2" t="str">
        <f>_xlfn.XLOOKUP(B1560,Master[Product_Code],Master[Style])</f>
        <v>Hoodie</v>
      </c>
      <c r="F1560" s="2" t="str">
        <f>_xlfn.XLOOKUP(B1560,Master[Product_Code],Master[Fabric])</f>
        <v>Poly Cotton</v>
      </c>
      <c r="G1560" s="2" t="str">
        <f>_xlfn.XLOOKUP(B1560,Master[Product_Code],Master[Size])</f>
        <v>S</v>
      </c>
      <c r="H1560" s="2" t="str">
        <f>_xlfn.XLOOKUP(B1560,Master[Product_Code],Master[Color])</f>
        <v>Navy Blue</v>
      </c>
      <c r="I1560" s="4">
        <f>_xlfn.XLOOKUP(B1560,Master[Product_Code],Master[Stock_Qty])</f>
        <v>4</v>
      </c>
      <c r="J1560" s="6">
        <f>SUMIFS(
  Sales_Entry[Qty],
  Sales_Entry[Product_Code], Stock_Table[[#This Row],[Product_Code]]
)</f>
        <v>3</v>
      </c>
      <c r="K1560" s="4">
        <f>SUMIFS(
  Exchange_Return[Qty],
  Exchange_Return[Product_Code], Stock_Table[[#This Row],[Product_Code]]
)</f>
        <v>0</v>
      </c>
      <c r="L1560" s="4">
        <f>I1560-J1560+K1560</f>
        <v>1</v>
      </c>
      <c r="M1560" s="2" t="str" cm="1">
        <f t="array" ref="M1560">_xlfn.IFS(L1560=0,"Out of Stock",L1560&gt;=2,"Limited Stock",L1560&lt;2,"In Stock")</f>
        <v>In Stock</v>
      </c>
    </row>
    <row r="1561" spans="2:13">
      <c r="B1561" s="2" t="s">
        <v>734</v>
      </c>
      <c r="C1561" s="5" t="str">
        <f>_xlfn.XLOOKUP(B1561,Master[Product_Code],Master[Category])</f>
        <v>T-Shirt</v>
      </c>
      <c r="D1561" s="2" t="str">
        <f>_xlfn.XLOOKUP(B1561,Master[Product_Code],Master[Brand])</f>
        <v>Campus</v>
      </c>
      <c r="E1561" s="2" t="str">
        <f>_xlfn.XLOOKUP(B1561,Master[Product_Code],Master[Style])</f>
        <v>Full Sleeve</v>
      </c>
      <c r="F1561" s="2" t="str">
        <f>_xlfn.XLOOKUP(B1561,Master[Product_Code],Master[Fabric])</f>
        <v>Poly Cotton</v>
      </c>
      <c r="G1561" s="2" t="str">
        <f>_xlfn.XLOOKUP(B1561,Master[Product_Code],Master[Size])</f>
        <v>XL</v>
      </c>
      <c r="H1561" s="2" t="str">
        <f>_xlfn.XLOOKUP(B1561,Master[Product_Code],Master[Color])</f>
        <v>Sky Blue</v>
      </c>
      <c r="I1561" s="4">
        <f>_xlfn.XLOOKUP(B1561,Master[Product_Code],Master[Stock_Qty])</f>
        <v>4</v>
      </c>
      <c r="J1561" s="6">
        <f>SUMIFS(
  Sales_Entry[Qty],
  Sales_Entry[Product_Code], Stock_Table[[#This Row],[Product_Code]]
)</f>
        <v>0</v>
      </c>
      <c r="K1561" s="4">
        <f>SUMIFS(
  Exchange_Return[Qty],
  Exchange_Return[Product_Code], Stock_Table[[#This Row],[Product_Code]]
)</f>
        <v>0</v>
      </c>
      <c r="L1561" s="4">
        <f>I1561-J1561+K1561</f>
        <v>4</v>
      </c>
      <c r="M1561" s="2" t="str" cm="1">
        <f t="array" ref="M1561">_xlfn.IFS(L1561=0,"Out of Stock",L1561&gt;=2,"Limited Stock",L1561&lt;2,"In Stock")</f>
        <v>Limited Stock</v>
      </c>
    </row>
    <row r="1562" spans="2:13">
      <c r="B1562" s="2" t="s">
        <v>735</v>
      </c>
      <c r="C1562" s="5" t="str">
        <f>_xlfn.XLOOKUP(B1562,Master[Product_Code],Master[Category])</f>
        <v>T-Shirt</v>
      </c>
      <c r="D1562" s="2" t="str">
        <f>_xlfn.XLOOKUP(B1562,Master[Product_Code],Master[Brand])</f>
        <v>Urban Monkey</v>
      </c>
      <c r="E1562" s="2" t="str">
        <f>_xlfn.XLOOKUP(B1562,Master[Product_Code],Master[Style])</f>
        <v>Sleeveless</v>
      </c>
      <c r="F1562" s="2" t="str">
        <f>_xlfn.XLOOKUP(B1562,Master[Product_Code],Master[Fabric])</f>
        <v>Poly Cotton</v>
      </c>
      <c r="G1562" s="2" t="str">
        <f>_xlfn.XLOOKUP(B1562,Master[Product_Code],Master[Size])</f>
        <v>S</v>
      </c>
      <c r="H1562" s="2" t="str">
        <f>_xlfn.XLOOKUP(B1562,Master[Product_Code],Master[Color])</f>
        <v>Maroon</v>
      </c>
      <c r="I1562" s="4">
        <f>_xlfn.XLOOKUP(B1562,Master[Product_Code],Master[Stock_Qty])</f>
        <v>3</v>
      </c>
      <c r="J1562" s="6">
        <f>SUMIFS(
  Sales_Entry[Qty],
  Sales_Entry[Product_Code], Stock_Table[[#This Row],[Product_Code]]
)</f>
        <v>3</v>
      </c>
      <c r="K1562" s="4">
        <f>SUMIFS(
  Exchange_Return[Qty],
  Exchange_Return[Product_Code], Stock_Table[[#This Row],[Product_Code]]
)</f>
        <v>0</v>
      </c>
      <c r="L1562" s="4">
        <f>I1562-J1562+K1562</f>
        <v>0</v>
      </c>
      <c r="M1562" s="2" t="str" cm="1">
        <f t="array" ref="M1562">_xlfn.IFS(L1562=0,"Out of Stock",L1562&gt;=2,"Limited Stock",L1562&lt;2,"In Stock")</f>
        <v>Out of Stock</v>
      </c>
    </row>
    <row r="1563" spans="2:13">
      <c r="B1563" s="2" t="s">
        <v>736</v>
      </c>
      <c r="C1563" s="5" t="str">
        <f>_xlfn.XLOOKUP(B1563,Master[Product_Code],Master[Category])</f>
        <v>T-Shirt</v>
      </c>
      <c r="D1563" s="2" t="str">
        <f>_xlfn.XLOOKUP(B1563,Master[Product_Code],Master[Brand])</f>
        <v>Campus</v>
      </c>
      <c r="E1563" s="2" t="str">
        <f>_xlfn.XLOOKUP(B1563,Master[Product_Code],Master[Style])</f>
        <v>3/4 Sleeve</v>
      </c>
      <c r="F1563" s="2" t="str">
        <f>_xlfn.XLOOKUP(B1563,Master[Product_Code],Master[Fabric])</f>
        <v>Cotton</v>
      </c>
      <c r="G1563" s="2" t="str">
        <f>_xlfn.XLOOKUP(B1563,Master[Product_Code],Master[Size])</f>
        <v>S</v>
      </c>
      <c r="H1563" s="2" t="str">
        <f>_xlfn.XLOOKUP(B1563,Master[Product_Code],Master[Color])</f>
        <v>Navy Blue</v>
      </c>
      <c r="I1563" s="4">
        <f>_xlfn.XLOOKUP(B1563,Master[Product_Code],Master[Stock_Qty])</f>
        <v>3</v>
      </c>
      <c r="J1563" s="6">
        <f>SUMIFS(
  Sales_Entry[Qty],
  Sales_Entry[Product_Code], Stock_Table[[#This Row],[Product_Code]]
)</f>
        <v>1</v>
      </c>
      <c r="K1563" s="4">
        <f>SUMIFS(
  Exchange_Return[Qty],
  Exchange_Return[Product_Code], Stock_Table[[#This Row],[Product_Code]]
)</f>
        <v>0</v>
      </c>
      <c r="L1563" s="4">
        <f>I1563-J1563+K1563</f>
        <v>2</v>
      </c>
      <c r="M1563" s="2" t="str" cm="1">
        <f t="array" ref="M1563">_xlfn.IFS(L1563=0,"Out of Stock",L1563&gt;=2,"Limited Stock",L1563&lt;2,"In Stock")</f>
        <v>Limited Stock</v>
      </c>
    </row>
    <row r="1564" spans="2:13">
      <c r="B1564" s="2" t="s">
        <v>737</v>
      </c>
      <c r="C1564" s="5" t="str">
        <f>_xlfn.XLOOKUP(B1564,Master[Product_Code],Master[Category])</f>
        <v>T-Shirt</v>
      </c>
      <c r="D1564" s="2" t="str">
        <f>_xlfn.XLOOKUP(B1564,Master[Product_Code],Master[Brand])</f>
        <v>Urban Monkey</v>
      </c>
      <c r="E1564" s="2" t="str">
        <f>_xlfn.XLOOKUP(B1564,Master[Product_Code],Master[Style])</f>
        <v>3/4 Sleeve</v>
      </c>
      <c r="F1564" s="2" t="str">
        <f>_xlfn.XLOOKUP(B1564,Master[Product_Code],Master[Fabric])</f>
        <v>Poly Cotton</v>
      </c>
      <c r="G1564" s="2" t="str">
        <f>_xlfn.XLOOKUP(B1564,Master[Product_Code],Master[Size])</f>
        <v>S</v>
      </c>
      <c r="H1564" s="2" t="str">
        <f>_xlfn.XLOOKUP(B1564,Master[Product_Code],Master[Color])</f>
        <v>Light Grey</v>
      </c>
      <c r="I1564" s="4">
        <f>_xlfn.XLOOKUP(B1564,Master[Product_Code],Master[Stock_Qty])</f>
        <v>4</v>
      </c>
      <c r="J1564" s="6">
        <f>SUMIFS(
  Sales_Entry[Qty],
  Sales_Entry[Product_Code], Stock_Table[[#This Row],[Product_Code]]
)</f>
        <v>0</v>
      </c>
      <c r="K1564" s="4">
        <f>SUMIFS(
  Exchange_Return[Qty],
  Exchange_Return[Product_Code], Stock_Table[[#This Row],[Product_Code]]
)</f>
        <v>0</v>
      </c>
      <c r="L1564" s="4">
        <f>I1564-J1564+K1564</f>
        <v>4</v>
      </c>
      <c r="M1564" s="2" t="str" cm="1">
        <f t="array" ref="M1564">_xlfn.IFS(L1564=0,"Out of Stock",L1564&gt;=2,"Limited Stock",L1564&lt;2,"In Stock")</f>
        <v>Limited Stock</v>
      </c>
    </row>
    <row r="1565" spans="2:13">
      <c r="B1565" s="2" t="s">
        <v>738</v>
      </c>
      <c r="C1565" s="5" t="str">
        <f>_xlfn.XLOOKUP(B1565,Master[Product_Code],Master[Category])</f>
        <v>T-Shirt</v>
      </c>
      <c r="D1565" s="2" t="str">
        <f>_xlfn.XLOOKUP(B1565,Master[Product_Code],Master[Brand])</f>
        <v>Max</v>
      </c>
      <c r="E1565" s="2" t="str">
        <f>_xlfn.XLOOKUP(B1565,Master[Product_Code],Master[Style])</f>
        <v>Sleeveless</v>
      </c>
      <c r="F1565" s="2" t="str">
        <f>_xlfn.XLOOKUP(B1565,Master[Product_Code],Master[Fabric])</f>
        <v>Cotton Blend</v>
      </c>
      <c r="G1565" s="2" t="str">
        <f>_xlfn.XLOOKUP(B1565,Master[Product_Code],Master[Size])</f>
        <v>XL</v>
      </c>
      <c r="H1565" s="2" t="str">
        <f>_xlfn.XLOOKUP(B1565,Master[Product_Code],Master[Color])</f>
        <v>Bottle Green</v>
      </c>
      <c r="I1565" s="4">
        <f>_xlfn.XLOOKUP(B1565,Master[Product_Code],Master[Stock_Qty])</f>
        <v>5</v>
      </c>
      <c r="J1565" s="6">
        <f>SUMIFS(
  Sales_Entry[Qty],
  Sales_Entry[Product_Code], Stock_Table[[#This Row],[Product_Code]]
)</f>
        <v>1</v>
      </c>
      <c r="K1565" s="4">
        <f>SUMIFS(
  Exchange_Return[Qty],
  Exchange_Return[Product_Code], Stock_Table[[#This Row],[Product_Code]]
)</f>
        <v>0</v>
      </c>
      <c r="L1565" s="4">
        <f>I1565-J1565+K1565</f>
        <v>4</v>
      </c>
      <c r="M1565" s="2" t="str" cm="1">
        <f t="array" ref="M1565">_xlfn.IFS(L1565=0,"Out of Stock",L1565&gt;=2,"Limited Stock",L1565&lt;2,"In Stock")</f>
        <v>Limited Stock</v>
      </c>
    </row>
    <row r="1566" spans="2:13">
      <c r="B1566" s="2" t="s">
        <v>739</v>
      </c>
      <c r="C1566" s="5" t="str">
        <f>_xlfn.XLOOKUP(B1566,Master[Product_Code],Master[Category])</f>
        <v>T-Shirt</v>
      </c>
      <c r="D1566" s="2" t="str">
        <f>_xlfn.XLOOKUP(B1566,Master[Product_Code],Master[Brand])</f>
        <v>Max</v>
      </c>
      <c r="E1566" s="2" t="str">
        <f>_xlfn.XLOOKUP(B1566,Master[Product_Code],Master[Style])</f>
        <v>Half Sleeve</v>
      </c>
      <c r="F1566" s="2" t="str">
        <f>_xlfn.XLOOKUP(B1566,Master[Product_Code],Master[Fabric])</f>
        <v>Poly Cotton</v>
      </c>
      <c r="G1566" s="2" t="str">
        <f>_xlfn.XLOOKUP(B1566,Master[Product_Code],Master[Size])</f>
        <v>S</v>
      </c>
      <c r="H1566" s="2" t="str">
        <f>_xlfn.XLOOKUP(B1566,Master[Product_Code],Master[Color])</f>
        <v>Royal Blue</v>
      </c>
      <c r="I1566" s="4">
        <f>_xlfn.XLOOKUP(B1566,Master[Product_Code],Master[Stock_Qty])</f>
        <v>3</v>
      </c>
      <c r="J1566" s="6">
        <f>SUMIFS(
  Sales_Entry[Qty],
  Sales_Entry[Product_Code], Stock_Table[[#This Row],[Product_Code]]
)</f>
        <v>2</v>
      </c>
      <c r="K1566" s="4">
        <f>SUMIFS(
  Exchange_Return[Qty],
  Exchange_Return[Product_Code], Stock_Table[[#This Row],[Product_Code]]
)</f>
        <v>0</v>
      </c>
      <c r="L1566" s="4">
        <f>I1566-J1566+K1566</f>
        <v>1</v>
      </c>
      <c r="M1566" s="2" t="str" cm="1">
        <f t="array" ref="M1566">_xlfn.IFS(L1566=0,"Out of Stock",L1566&gt;=2,"Limited Stock",L1566&lt;2,"In Stock")</f>
        <v>In Stock</v>
      </c>
    </row>
    <row r="1567" spans="2:13">
      <c r="B1567" s="2" t="s">
        <v>740</v>
      </c>
      <c r="C1567" s="5" t="str">
        <f>_xlfn.XLOOKUP(B1567,Master[Product_Code],Master[Category])</f>
        <v>T-Shirt</v>
      </c>
      <c r="D1567" s="2" t="str">
        <f>_xlfn.XLOOKUP(B1567,Master[Product_Code],Master[Brand])</f>
        <v>Campus</v>
      </c>
      <c r="E1567" s="2" t="str">
        <f>_xlfn.XLOOKUP(B1567,Master[Product_Code],Master[Style])</f>
        <v>Hoodie</v>
      </c>
      <c r="F1567" s="2" t="str">
        <f>_xlfn.XLOOKUP(B1567,Master[Product_Code],Master[Fabric])</f>
        <v>Cotton</v>
      </c>
      <c r="G1567" s="2" t="str">
        <f>_xlfn.XLOOKUP(B1567,Master[Product_Code],Master[Size])</f>
        <v>S</v>
      </c>
      <c r="H1567" s="2" t="str">
        <f>_xlfn.XLOOKUP(B1567,Master[Product_Code],Master[Color])</f>
        <v>Teal</v>
      </c>
      <c r="I1567" s="4">
        <f>_xlfn.XLOOKUP(B1567,Master[Product_Code],Master[Stock_Qty])</f>
        <v>3</v>
      </c>
      <c r="J1567" s="6">
        <f>SUMIFS(
  Sales_Entry[Qty],
  Sales_Entry[Product_Code], Stock_Table[[#This Row],[Product_Code]]
)</f>
        <v>1</v>
      </c>
      <c r="K1567" s="4">
        <f>SUMIFS(
  Exchange_Return[Qty],
  Exchange_Return[Product_Code], Stock_Table[[#This Row],[Product_Code]]
)</f>
        <v>0</v>
      </c>
      <c r="L1567" s="4">
        <f>I1567-J1567+K1567</f>
        <v>2</v>
      </c>
      <c r="M1567" s="2" t="str" cm="1">
        <f t="array" ref="M1567">_xlfn.IFS(L1567=0,"Out of Stock",L1567&gt;=2,"Limited Stock",L1567&lt;2,"In Stock")</f>
        <v>Limited Stock</v>
      </c>
    </row>
    <row r="1568" spans="2:13">
      <c r="B1568" s="2" t="s">
        <v>741</v>
      </c>
      <c r="C1568" s="5" t="str">
        <f>_xlfn.XLOOKUP(B1568,Master[Product_Code],Master[Category])</f>
        <v>T-Shirt</v>
      </c>
      <c r="D1568" s="2" t="str">
        <f>_xlfn.XLOOKUP(B1568,Master[Product_Code],Master[Brand])</f>
        <v>Urban Monkey</v>
      </c>
      <c r="E1568" s="2" t="str">
        <f>_xlfn.XLOOKUP(B1568,Master[Product_Code],Master[Style])</f>
        <v>3/4 Sleeve</v>
      </c>
      <c r="F1568" s="2" t="str">
        <f>_xlfn.XLOOKUP(B1568,Master[Product_Code],Master[Fabric])</f>
        <v>Poly Cotton</v>
      </c>
      <c r="G1568" s="2" t="str">
        <f>_xlfn.XLOOKUP(B1568,Master[Product_Code],Master[Size])</f>
        <v>S</v>
      </c>
      <c r="H1568" s="2" t="str">
        <f>_xlfn.XLOOKUP(B1568,Master[Product_Code],Master[Color])</f>
        <v>Brown</v>
      </c>
      <c r="I1568" s="4">
        <f>_xlfn.XLOOKUP(B1568,Master[Product_Code],Master[Stock_Qty])</f>
        <v>6</v>
      </c>
      <c r="J1568" s="6">
        <f>SUMIFS(
  Sales_Entry[Qty],
  Sales_Entry[Product_Code], Stock_Table[[#This Row],[Product_Code]]
)</f>
        <v>2</v>
      </c>
      <c r="K1568" s="4">
        <f>SUMIFS(
  Exchange_Return[Qty],
  Exchange_Return[Product_Code], Stock_Table[[#This Row],[Product_Code]]
)</f>
        <v>0</v>
      </c>
      <c r="L1568" s="4">
        <f>I1568-J1568+K1568</f>
        <v>4</v>
      </c>
      <c r="M1568" s="2" t="str" cm="1">
        <f t="array" ref="M1568">_xlfn.IFS(L1568=0,"Out of Stock",L1568&gt;=2,"Limited Stock",L1568&lt;2,"In Stock")</f>
        <v>Limited Stock</v>
      </c>
    </row>
    <row r="1569" spans="2:13">
      <c r="B1569" s="2" t="s">
        <v>742</v>
      </c>
      <c r="C1569" s="5" t="str">
        <f>_xlfn.XLOOKUP(B1569,Master[Product_Code],Master[Category])</f>
        <v>T-Shirt</v>
      </c>
      <c r="D1569" s="2" t="str">
        <f>_xlfn.XLOOKUP(B1569,Master[Product_Code],Master[Brand])</f>
        <v>Max</v>
      </c>
      <c r="E1569" s="2" t="str">
        <f>_xlfn.XLOOKUP(B1569,Master[Product_Code],Master[Style])</f>
        <v>Half Sleeve</v>
      </c>
      <c r="F1569" s="2" t="str">
        <f>_xlfn.XLOOKUP(B1569,Master[Product_Code],Master[Fabric])</f>
        <v>Cotton Blend</v>
      </c>
      <c r="G1569" s="2" t="str">
        <f>_xlfn.XLOOKUP(B1569,Master[Product_Code],Master[Size])</f>
        <v>M</v>
      </c>
      <c r="H1569" s="2" t="str">
        <f>_xlfn.XLOOKUP(B1569,Master[Product_Code],Master[Color])</f>
        <v>Dark Green</v>
      </c>
      <c r="I1569" s="4">
        <f>_xlfn.XLOOKUP(B1569,Master[Product_Code],Master[Stock_Qty])</f>
        <v>4</v>
      </c>
      <c r="J1569" s="6">
        <f>SUMIFS(
  Sales_Entry[Qty],
  Sales_Entry[Product_Code], Stock_Table[[#This Row],[Product_Code]]
)</f>
        <v>0</v>
      </c>
      <c r="K1569" s="4">
        <f>SUMIFS(
  Exchange_Return[Qty],
  Exchange_Return[Product_Code], Stock_Table[[#This Row],[Product_Code]]
)</f>
        <v>0</v>
      </c>
      <c r="L1569" s="4">
        <f>I1569-J1569+K1569</f>
        <v>4</v>
      </c>
      <c r="M1569" s="2" t="str" cm="1">
        <f t="array" ref="M1569">_xlfn.IFS(L1569=0,"Out of Stock",L1569&gt;=2,"Limited Stock",L1569&lt;2,"In Stock")</f>
        <v>Limited Stock</v>
      </c>
    </row>
    <row r="1570" spans="2:13">
      <c r="B1570" s="2" t="s">
        <v>743</v>
      </c>
      <c r="C1570" s="5" t="str">
        <f>_xlfn.XLOOKUP(B1570,Master[Product_Code],Master[Category])</f>
        <v>T-Shirt</v>
      </c>
      <c r="D1570" s="2" t="str">
        <f>_xlfn.XLOOKUP(B1570,Master[Product_Code],Master[Brand])</f>
        <v>Campus</v>
      </c>
      <c r="E1570" s="2" t="str">
        <f>_xlfn.XLOOKUP(B1570,Master[Product_Code],Master[Style])</f>
        <v>Sleeveless</v>
      </c>
      <c r="F1570" s="2" t="str">
        <f>_xlfn.XLOOKUP(B1570,Master[Product_Code],Master[Fabric])</f>
        <v>Poly Cotton</v>
      </c>
      <c r="G1570" s="2" t="str">
        <f>_xlfn.XLOOKUP(B1570,Master[Product_Code],Master[Size])</f>
        <v>L</v>
      </c>
      <c r="H1570" s="2" t="str">
        <f>_xlfn.XLOOKUP(B1570,Master[Product_Code],Master[Color])</f>
        <v>Maroon</v>
      </c>
      <c r="I1570" s="4">
        <f>_xlfn.XLOOKUP(B1570,Master[Product_Code],Master[Stock_Qty])</f>
        <v>5</v>
      </c>
      <c r="J1570" s="6">
        <f>SUMIFS(
  Sales_Entry[Qty],
  Sales_Entry[Product_Code], Stock_Table[[#This Row],[Product_Code]]
)</f>
        <v>4</v>
      </c>
      <c r="K1570" s="4">
        <f>SUMIFS(
  Exchange_Return[Qty],
  Exchange_Return[Product_Code], Stock_Table[[#This Row],[Product_Code]]
)</f>
        <v>0</v>
      </c>
      <c r="L1570" s="4">
        <f>I1570-J1570+K1570</f>
        <v>1</v>
      </c>
      <c r="M1570" s="2" t="str" cm="1">
        <f t="array" ref="M1570">_xlfn.IFS(L1570=0,"Out of Stock",L1570&gt;=2,"Limited Stock",L1570&lt;2,"In Stock")</f>
        <v>In Stock</v>
      </c>
    </row>
    <row r="1571" spans="2:13">
      <c r="B1571" s="2" t="s">
        <v>744</v>
      </c>
      <c r="C1571" s="5" t="str">
        <f>_xlfn.XLOOKUP(B1571,Master[Product_Code],Master[Category])</f>
        <v>T-Shirt</v>
      </c>
      <c r="D1571" s="2" t="str">
        <f>_xlfn.XLOOKUP(B1571,Master[Product_Code],Master[Brand])</f>
        <v>Urban Monkey</v>
      </c>
      <c r="E1571" s="2" t="str">
        <f>_xlfn.XLOOKUP(B1571,Master[Product_Code],Master[Style])</f>
        <v>3/4 Sleeve</v>
      </c>
      <c r="F1571" s="2" t="str">
        <f>_xlfn.XLOOKUP(B1571,Master[Product_Code],Master[Fabric])</f>
        <v>Cotton</v>
      </c>
      <c r="G1571" s="2" t="str">
        <f>_xlfn.XLOOKUP(B1571,Master[Product_Code],Master[Size])</f>
        <v>XXL</v>
      </c>
      <c r="H1571" s="2" t="str">
        <f>_xlfn.XLOOKUP(B1571,Master[Product_Code],Master[Color])</f>
        <v>Dark Green</v>
      </c>
      <c r="I1571" s="4">
        <f>_xlfn.XLOOKUP(B1571,Master[Product_Code],Master[Stock_Qty])</f>
        <v>4</v>
      </c>
      <c r="J1571" s="6">
        <f>SUMIFS(
  Sales_Entry[Qty],
  Sales_Entry[Product_Code], Stock_Table[[#This Row],[Product_Code]]
)</f>
        <v>1</v>
      </c>
      <c r="K1571" s="4">
        <f>SUMIFS(
  Exchange_Return[Qty],
  Exchange_Return[Product_Code], Stock_Table[[#This Row],[Product_Code]]
)</f>
        <v>0</v>
      </c>
      <c r="L1571" s="4">
        <f>I1571-J1571+K1571</f>
        <v>3</v>
      </c>
      <c r="M1571" s="2" t="str" cm="1">
        <f t="array" ref="M1571">_xlfn.IFS(L1571=0,"Out of Stock",L1571&gt;=2,"Limited Stock",L1571&lt;2,"In Stock")</f>
        <v>Limited Stock</v>
      </c>
    </row>
    <row r="1572" spans="2:13">
      <c r="B1572" s="2" t="s">
        <v>745</v>
      </c>
      <c r="C1572" s="5" t="str">
        <f>_xlfn.XLOOKUP(B1572,Master[Product_Code],Master[Category])</f>
        <v>T-Shirt</v>
      </c>
      <c r="D1572" s="2" t="str">
        <f>_xlfn.XLOOKUP(B1572,Master[Product_Code],Master[Brand])</f>
        <v>Zara</v>
      </c>
      <c r="E1572" s="2" t="str">
        <f>_xlfn.XLOOKUP(B1572,Master[Product_Code],Master[Style])</f>
        <v>Half Sleeve</v>
      </c>
      <c r="F1572" s="2" t="str">
        <f>_xlfn.XLOOKUP(B1572,Master[Product_Code],Master[Fabric])</f>
        <v>Poly Cotton</v>
      </c>
      <c r="G1572" s="2" t="str">
        <f>_xlfn.XLOOKUP(B1572,Master[Product_Code],Master[Size])</f>
        <v>XXL</v>
      </c>
      <c r="H1572" s="2" t="str">
        <f>_xlfn.XLOOKUP(B1572,Master[Product_Code],Master[Color])</f>
        <v>Rust</v>
      </c>
      <c r="I1572" s="4">
        <f>_xlfn.XLOOKUP(B1572,Master[Product_Code],Master[Stock_Qty])</f>
        <v>3</v>
      </c>
      <c r="J1572" s="6">
        <f>SUMIFS(
  Sales_Entry[Qty],
  Sales_Entry[Product_Code], Stock_Table[[#This Row],[Product_Code]]
)</f>
        <v>0</v>
      </c>
      <c r="K1572" s="4">
        <f>SUMIFS(
  Exchange_Return[Qty],
  Exchange_Return[Product_Code], Stock_Table[[#This Row],[Product_Code]]
)</f>
        <v>0</v>
      </c>
      <c r="L1572" s="4">
        <f>I1572-J1572+K1572</f>
        <v>3</v>
      </c>
      <c r="M1572" s="2" t="str" cm="1">
        <f t="array" ref="M1572">_xlfn.IFS(L1572=0,"Out of Stock",L1572&gt;=2,"Limited Stock",L1572&lt;2,"In Stock")</f>
        <v>Limited Stock</v>
      </c>
    </row>
    <row r="1573" spans="2:13">
      <c r="B1573" s="2" t="s">
        <v>746</v>
      </c>
      <c r="C1573" s="5" t="str">
        <f>_xlfn.XLOOKUP(B1573,Master[Product_Code],Master[Category])</f>
        <v>T-Shirt</v>
      </c>
      <c r="D1573" s="2" t="str">
        <f>_xlfn.XLOOKUP(B1573,Master[Product_Code],Master[Brand])</f>
        <v>Turkey</v>
      </c>
      <c r="E1573" s="2" t="str">
        <f>_xlfn.XLOOKUP(B1573,Master[Product_Code],Master[Style])</f>
        <v>3/4 Sleeve</v>
      </c>
      <c r="F1573" s="2" t="str">
        <f>_xlfn.XLOOKUP(B1573,Master[Product_Code],Master[Fabric])</f>
        <v>Cotton</v>
      </c>
      <c r="G1573" s="2" t="str">
        <f>_xlfn.XLOOKUP(B1573,Master[Product_Code],Master[Size])</f>
        <v>XL</v>
      </c>
      <c r="H1573" s="2" t="str">
        <f>_xlfn.XLOOKUP(B1573,Master[Product_Code],Master[Color])</f>
        <v>Wine</v>
      </c>
      <c r="I1573" s="4">
        <f>_xlfn.XLOOKUP(B1573,Master[Product_Code],Master[Stock_Qty])</f>
        <v>4</v>
      </c>
      <c r="J1573" s="6">
        <f>SUMIFS(
  Sales_Entry[Qty],
  Sales_Entry[Product_Code], Stock_Table[[#This Row],[Product_Code]]
)</f>
        <v>1</v>
      </c>
      <c r="K1573" s="4">
        <f>SUMIFS(
  Exchange_Return[Qty],
  Exchange_Return[Product_Code], Stock_Table[[#This Row],[Product_Code]]
)</f>
        <v>0</v>
      </c>
      <c r="L1573" s="4">
        <f>I1573-J1573+K1573</f>
        <v>3</v>
      </c>
      <c r="M1573" s="2" t="str" cm="1">
        <f t="array" ref="M1573">_xlfn.IFS(L1573=0,"Out of Stock",L1573&gt;=2,"Limited Stock",L1573&lt;2,"In Stock")</f>
        <v>Limited Stock</v>
      </c>
    </row>
    <row r="1574" spans="2:13">
      <c r="B1574" s="2" t="s">
        <v>747</v>
      </c>
      <c r="C1574" s="5" t="str">
        <f>_xlfn.XLOOKUP(B1574,Master[Product_Code],Master[Category])</f>
        <v>T-Shirt</v>
      </c>
      <c r="D1574" s="2" t="str">
        <f>_xlfn.XLOOKUP(B1574,Master[Product_Code],Master[Brand])</f>
        <v>Turkey</v>
      </c>
      <c r="E1574" s="2" t="str">
        <f>_xlfn.XLOOKUP(B1574,Master[Product_Code],Master[Style])</f>
        <v>Full Sleeve</v>
      </c>
      <c r="F1574" s="2" t="str">
        <f>_xlfn.XLOOKUP(B1574,Master[Product_Code],Master[Fabric])</f>
        <v>Poly Cotton</v>
      </c>
      <c r="G1574" s="2" t="str">
        <f>_xlfn.XLOOKUP(B1574,Master[Product_Code],Master[Size])</f>
        <v>L</v>
      </c>
      <c r="H1574" s="2" t="str">
        <f>_xlfn.XLOOKUP(B1574,Master[Product_Code],Master[Color])</f>
        <v>Grey</v>
      </c>
      <c r="I1574" s="4">
        <f>_xlfn.XLOOKUP(B1574,Master[Product_Code],Master[Stock_Qty])</f>
        <v>3</v>
      </c>
      <c r="J1574" s="6">
        <f>SUMIFS(
  Sales_Entry[Qty],
  Sales_Entry[Product_Code], Stock_Table[[#This Row],[Product_Code]]
)</f>
        <v>2</v>
      </c>
      <c r="K1574" s="4">
        <f>SUMIFS(
  Exchange_Return[Qty],
  Exchange_Return[Product_Code], Stock_Table[[#This Row],[Product_Code]]
)</f>
        <v>0</v>
      </c>
      <c r="L1574" s="4">
        <f>I1574-J1574+K1574</f>
        <v>1</v>
      </c>
      <c r="M1574" s="2" t="str" cm="1">
        <f t="array" ref="M1574">_xlfn.IFS(L1574=0,"Out of Stock",L1574&gt;=2,"Limited Stock",L1574&lt;2,"In Stock")</f>
        <v>In Stock</v>
      </c>
    </row>
    <row r="1575" spans="2:13">
      <c r="B1575" s="2" t="s">
        <v>748</v>
      </c>
      <c r="C1575" s="5" t="str">
        <f>_xlfn.XLOOKUP(B1575,Master[Product_Code],Master[Category])</f>
        <v>T-Shirt</v>
      </c>
      <c r="D1575" s="2" t="str">
        <f>_xlfn.XLOOKUP(B1575,Master[Product_Code],Master[Brand])</f>
        <v>Campus</v>
      </c>
      <c r="E1575" s="2" t="str">
        <f>_xlfn.XLOOKUP(B1575,Master[Product_Code],Master[Style])</f>
        <v>Hoodie</v>
      </c>
      <c r="F1575" s="2" t="str">
        <f>_xlfn.XLOOKUP(B1575,Master[Product_Code],Master[Fabric])</f>
        <v>Cotton</v>
      </c>
      <c r="G1575" s="2" t="str">
        <f>_xlfn.XLOOKUP(B1575,Master[Product_Code],Master[Size])</f>
        <v>XXL</v>
      </c>
      <c r="H1575" s="2" t="str">
        <f>_xlfn.XLOOKUP(B1575,Master[Product_Code],Master[Color])</f>
        <v>Cream</v>
      </c>
      <c r="I1575" s="4">
        <f>_xlfn.XLOOKUP(B1575,Master[Product_Code],Master[Stock_Qty])</f>
        <v>3</v>
      </c>
      <c r="J1575" s="6">
        <f>SUMIFS(
  Sales_Entry[Qty],
  Sales_Entry[Product_Code], Stock_Table[[#This Row],[Product_Code]]
)</f>
        <v>1</v>
      </c>
      <c r="K1575" s="4">
        <f>SUMIFS(
  Exchange_Return[Qty],
  Exchange_Return[Product_Code], Stock_Table[[#This Row],[Product_Code]]
)</f>
        <v>0</v>
      </c>
      <c r="L1575" s="4">
        <f>I1575-J1575+K1575</f>
        <v>2</v>
      </c>
      <c r="M1575" s="2" t="str" cm="1">
        <f t="array" ref="M1575">_xlfn.IFS(L1575=0,"Out of Stock",L1575&gt;=2,"Limited Stock",L1575&lt;2,"In Stock")</f>
        <v>Limited Stock</v>
      </c>
    </row>
    <row r="1576" spans="2:13">
      <c r="B1576" s="2" t="s">
        <v>749</v>
      </c>
      <c r="C1576" s="5" t="str">
        <f>_xlfn.XLOOKUP(B1576,Master[Product_Code],Master[Category])</f>
        <v>T-Shirt</v>
      </c>
      <c r="D1576" s="2" t="str">
        <f>_xlfn.XLOOKUP(B1576,Master[Product_Code],Master[Brand])</f>
        <v>Campus</v>
      </c>
      <c r="E1576" s="2" t="str">
        <f>_xlfn.XLOOKUP(B1576,Master[Product_Code],Master[Style])</f>
        <v>Half Sleeve</v>
      </c>
      <c r="F1576" s="2" t="str">
        <f>_xlfn.XLOOKUP(B1576,Master[Product_Code],Master[Fabric])</f>
        <v>Cotton Blend</v>
      </c>
      <c r="G1576" s="2" t="str">
        <f>_xlfn.XLOOKUP(B1576,Master[Product_Code],Master[Size])</f>
        <v>S</v>
      </c>
      <c r="H1576" s="2" t="str">
        <f>_xlfn.XLOOKUP(B1576,Master[Product_Code],Master[Color])</f>
        <v>Grey</v>
      </c>
      <c r="I1576" s="4">
        <f>_xlfn.XLOOKUP(B1576,Master[Product_Code],Master[Stock_Qty])</f>
        <v>6</v>
      </c>
      <c r="J1576" s="6">
        <f>SUMIFS(
  Sales_Entry[Qty],
  Sales_Entry[Product_Code], Stock_Table[[#This Row],[Product_Code]]
)</f>
        <v>0</v>
      </c>
      <c r="K1576" s="4">
        <f>SUMIFS(
  Exchange_Return[Qty],
  Exchange_Return[Product_Code], Stock_Table[[#This Row],[Product_Code]]
)</f>
        <v>0</v>
      </c>
      <c r="L1576" s="4">
        <f>I1576-J1576+K1576</f>
        <v>6</v>
      </c>
      <c r="M1576" s="2" t="str" cm="1">
        <f t="array" ref="M1576">_xlfn.IFS(L1576=0,"Out of Stock",L1576&gt;=2,"Limited Stock",L1576&lt;2,"In Stock")</f>
        <v>Limited Stock</v>
      </c>
    </row>
    <row r="1577" spans="2:13">
      <c r="B1577" s="2" t="s">
        <v>750</v>
      </c>
      <c r="C1577" s="5" t="str">
        <f>_xlfn.XLOOKUP(B1577,Master[Product_Code],Master[Category])</f>
        <v>T-Shirt</v>
      </c>
      <c r="D1577" s="2" t="str">
        <f>_xlfn.XLOOKUP(B1577,Master[Product_Code],Master[Brand])</f>
        <v>Thailand</v>
      </c>
      <c r="E1577" s="2" t="str">
        <f>_xlfn.XLOOKUP(B1577,Master[Product_Code],Master[Style])</f>
        <v>Full Sleeve</v>
      </c>
      <c r="F1577" s="2" t="str">
        <f>_xlfn.XLOOKUP(B1577,Master[Product_Code],Master[Fabric])</f>
        <v>Poly Cotton</v>
      </c>
      <c r="G1577" s="2" t="str">
        <f>_xlfn.XLOOKUP(B1577,Master[Product_Code],Master[Size])</f>
        <v>M</v>
      </c>
      <c r="H1577" s="2" t="str">
        <f>_xlfn.XLOOKUP(B1577,Master[Product_Code],Master[Color])</f>
        <v>Sky Blue</v>
      </c>
      <c r="I1577" s="4">
        <f>_xlfn.XLOOKUP(B1577,Master[Product_Code],Master[Stock_Qty])</f>
        <v>5</v>
      </c>
      <c r="J1577" s="6">
        <f>SUMIFS(
  Sales_Entry[Qty],
  Sales_Entry[Product_Code], Stock_Table[[#This Row],[Product_Code]]
)</f>
        <v>2</v>
      </c>
      <c r="K1577" s="4">
        <f>SUMIFS(
  Exchange_Return[Qty],
  Exchange_Return[Product_Code], Stock_Table[[#This Row],[Product_Code]]
)</f>
        <v>0</v>
      </c>
      <c r="L1577" s="4">
        <f>I1577-J1577+K1577</f>
        <v>3</v>
      </c>
      <c r="M1577" s="2" t="str" cm="1">
        <f t="array" ref="M1577">_xlfn.IFS(L1577=0,"Out of Stock",L1577&gt;=2,"Limited Stock",L1577&lt;2,"In Stock")</f>
        <v>Limited Stock</v>
      </c>
    </row>
    <row r="1578" spans="2:13">
      <c r="B1578" s="2" t="s">
        <v>751</v>
      </c>
      <c r="C1578" s="5" t="str">
        <f>_xlfn.XLOOKUP(B1578,Master[Product_Code],Master[Category])</f>
        <v>T-Shirt</v>
      </c>
      <c r="D1578" s="2" t="str">
        <f>_xlfn.XLOOKUP(B1578,Master[Product_Code],Master[Brand])</f>
        <v>Zara</v>
      </c>
      <c r="E1578" s="2" t="str">
        <f>_xlfn.XLOOKUP(B1578,Master[Product_Code],Master[Style])</f>
        <v>Full Sleeve</v>
      </c>
      <c r="F1578" s="2" t="str">
        <f>_xlfn.XLOOKUP(B1578,Master[Product_Code],Master[Fabric])</f>
        <v>Cotton Blend</v>
      </c>
      <c r="G1578" s="2" t="str">
        <f>_xlfn.XLOOKUP(B1578,Master[Product_Code],Master[Size])</f>
        <v>XL</v>
      </c>
      <c r="H1578" s="2" t="str">
        <f>_xlfn.XLOOKUP(B1578,Master[Product_Code],Master[Color])</f>
        <v>Cream</v>
      </c>
      <c r="I1578" s="4">
        <f>_xlfn.XLOOKUP(B1578,Master[Product_Code],Master[Stock_Qty])</f>
        <v>5</v>
      </c>
      <c r="J1578" s="6">
        <f>SUMIFS(
  Sales_Entry[Qty],
  Sales_Entry[Product_Code], Stock_Table[[#This Row],[Product_Code]]
)</f>
        <v>2</v>
      </c>
      <c r="K1578" s="4">
        <f>SUMIFS(
  Exchange_Return[Qty],
  Exchange_Return[Product_Code], Stock_Table[[#This Row],[Product_Code]]
)</f>
        <v>0</v>
      </c>
      <c r="L1578" s="4">
        <f>I1578-J1578+K1578</f>
        <v>3</v>
      </c>
      <c r="M1578" s="2" t="str" cm="1">
        <f t="array" ref="M1578">_xlfn.IFS(L1578=0,"Out of Stock",L1578&gt;=2,"Limited Stock",L1578&lt;2,"In Stock")</f>
        <v>Limited Stock</v>
      </c>
    </row>
    <row r="1579" spans="2:13">
      <c r="B1579" s="2" t="s">
        <v>752</v>
      </c>
      <c r="C1579" s="5" t="str">
        <f>_xlfn.XLOOKUP(B1579,Master[Product_Code],Master[Category])</f>
        <v>T-Shirt</v>
      </c>
      <c r="D1579" s="2" t="str">
        <f>_xlfn.XLOOKUP(B1579,Master[Product_Code],Master[Brand])</f>
        <v>Campus</v>
      </c>
      <c r="E1579" s="2" t="str">
        <f>_xlfn.XLOOKUP(B1579,Master[Product_Code],Master[Style])</f>
        <v>3/4 Sleeve</v>
      </c>
      <c r="F1579" s="2" t="str">
        <f>_xlfn.XLOOKUP(B1579,Master[Product_Code],Master[Fabric])</f>
        <v>Poly Cotton</v>
      </c>
      <c r="G1579" s="2" t="str">
        <f>_xlfn.XLOOKUP(B1579,Master[Product_Code],Master[Size])</f>
        <v>XXL</v>
      </c>
      <c r="H1579" s="2" t="str">
        <f>_xlfn.XLOOKUP(B1579,Master[Product_Code],Master[Color])</f>
        <v>Maroon</v>
      </c>
      <c r="I1579" s="4">
        <f>_xlfn.XLOOKUP(B1579,Master[Product_Code],Master[Stock_Qty])</f>
        <v>5</v>
      </c>
      <c r="J1579" s="6">
        <f>SUMIFS(
  Sales_Entry[Qty],
  Sales_Entry[Product_Code], Stock_Table[[#This Row],[Product_Code]]
)</f>
        <v>2</v>
      </c>
      <c r="K1579" s="4">
        <f>SUMIFS(
  Exchange_Return[Qty],
  Exchange_Return[Product_Code], Stock_Table[[#This Row],[Product_Code]]
)</f>
        <v>0</v>
      </c>
      <c r="L1579" s="4">
        <f>I1579-J1579+K1579</f>
        <v>3</v>
      </c>
      <c r="M1579" s="2" t="str" cm="1">
        <f t="array" ref="M1579">_xlfn.IFS(L1579=0,"Out of Stock",L1579&gt;=2,"Limited Stock",L1579&lt;2,"In Stock")</f>
        <v>Limited Stock</v>
      </c>
    </row>
    <row r="1580" spans="2:13">
      <c r="B1580" s="2" t="s">
        <v>753</v>
      </c>
      <c r="C1580" s="5" t="str">
        <f>_xlfn.XLOOKUP(B1580,Master[Product_Code],Master[Category])</f>
        <v>T-Shirt</v>
      </c>
      <c r="D1580" s="2" t="str">
        <f>_xlfn.XLOOKUP(B1580,Master[Product_Code],Master[Brand])</f>
        <v>Max</v>
      </c>
      <c r="E1580" s="2" t="str">
        <f>_xlfn.XLOOKUP(B1580,Master[Product_Code],Master[Style])</f>
        <v>Full Sleeve</v>
      </c>
      <c r="F1580" s="2" t="str">
        <f>_xlfn.XLOOKUP(B1580,Master[Product_Code],Master[Fabric])</f>
        <v>Cotton</v>
      </c>
      <c r="G1580" s="2" t="str">
        <f>_xlfn.XLOOKUP(B1580,Master[Product_Code],Master[Size])</f>
        <v>L</v>
      </c>
      <c r="H1580" s="2" t="str">
        <f>_xlfn.XLOOKUP(B1580,Master[Product_Code],Master[Color])</f>
        <v>Charcoal</v>
      </c>
      <c r="I1580" s="4">
        <f>_xlfn.XLOOKUP(B1580,Master[Product_Code],Master[Stock_Qty])</f>
        <v>4</v>
      </c>
      <c r="J1580" s="6">
        <f>SUMIFS(
  Sales_Entry[Qty],
  Sales_Entry[Product_Code], Stock_Table[[#This Row],[Product_Code]]
)</f>
        <v>4</v>
      </c>
      <c r="K1580" s="4">
        <f>SUMIFS(
  Exchange_Return[Qty],
  Exchange_Return[Product_Code], Stock_Table[[#This Row],[Product_Code]]
)</f>
        <v>0</v>
      </c>
      <c r="L1580" s="4">
        <f>I1580-J1580+K1580</f>
        <v>0</v>
      </c>
      <c r="M1580" s="2" t="str" cm="1">
        <f t="array" ref="M1580">_xlfn.IFS(L1580=0,"Out of Stock",L1580&gt;=2,"Limited Stock",L1580&lt;2,"In Stock")</f>
        <v>Out of Stock</v>
      </c>
    </row>
    <row r="1581" spans="2:13">
      <c r="B1581" s="2" t="s">
        <v>754</v>
      </c>
      <c r="C1581" s="5" t="str">
        <f>_xlfn.XLOOKUP(B1581,Master[Product_Code],Master[Category])</f>
        <v>T-Shirt</v>
      </c>
      <c r="D1581" s="2" t="str">
        <f>_xlfn.XLOOKUP(B1581,Master[Product_Code],Master[Brand])</f>
        <v>Campus</v>
      </c>
      <c r="E1581" s="2" t="str">
        <f>_xlfn.XLOOKUP(B1581,Master[Product_Code],Master[Style])</f>
        <v>Sleeveless</v>
      </c>
      <c r="F1581" s="2" t="str">
        <f>_xlfn.XLOOKUP(B1581,Master[Product_Code],Master[Fabric])</f>
        <v>Cotton Blend</v>
      </c>
      <c r="G1581" s="2" t="str">
        <f>_xlfn.XLOOKUP(B1581,Master[Product_Code],Master[Size])</f>
        <v>L</v>
      </c>
      <c r="H1581" s="2" t="str">
        <f>_xlfn.XLOOKUP(B1581,Master[Product_Code],Master[Color])</f>
        <v>Maroon</v>
      </c>
      <c r="I1581" s="4">
        <f>_xlfn.XLOOKUP(B1581,Master[Product_Code],Master[Stock_Qty])</f>
        <v>5</v>
      </c>
      <c r="J1581" s="6">
        <f>SUMIFS(
  Sales_Entry[Qty],
  Sales_Entry[Product_Code], Stock_Table[[#This Row],[Product_Code]]
)</f>
        <v>5</v>
      </c>
      <c r="K1581" s="4">
        <f>SUMIFS(
  Exchange_Return[Qty],
  Exchange_Return[Product_Code], Stock_Table[[#This Row],[Product_Code]]
)</f>
        <v>0</v>
      </c>
      <c r="L1581" s="4">
        <f>I1581-J1581+K1581</f>
        <v>0</v>
      </c>
      <c r="M1581" s="2" t="str" cm="1">
        <f t="array" ref="M1581">_xlfn.IFS(L1581=0,"Out of Stock",L1581&gt;=2,"Limited Stock",L1581&lt;2,"In Stock")</f>
        <v>Out of Stock</v>
      </c>
    </row>
    <row r="1582" spans="2:13">
      <c r="B1582" s="2" t="s">
        <v>755</v>
      </c>
      <c r="C1582" s="5" t="str">
        <f>_xlfn.XLOOKUP(B1582,Master[Product_Code],Master[Category])</f>
        <v>T-Shirt</v>
      </c>
      <c r="D1582" s="2" t="str">
        <f>_xlfn.XLOOKUP(B1582,Master[Product_Code],Master[Brand])</f>
        <v>Max</v>
      </c>
      <c r="E1582" s="2" t="str">
        <f>_xlfn.XLOOKUP(B1582,Master[Product_Code],Master[Style])</f>
        <v>Sleeveless</v>
      </c>
      <c r="F1582" s="2" t="str">
        <f>_xlfn.XLOOKUP(B1582,Master[Product_Code],Master[Fabric])</f>
        <v>Cotton Blend</v>
      </c>
      <c r="G1582" s="2" t="str">
        <f>_xlfn.XLOOKUP(B1582,Master[Product_Code],Master[Size])</f>
        <v>L</v>
      </c>
      <c r="H1582" s="2" t="str">
        <f>_xlfn.XLOOKUP(B1582,Master[Product_Code],Master[Color])</f>
        <v>Peach</v>
      </c>
      <c r="I1582" s="4">
        <f>_xlfn.XLOOKUP(B1582,Master[Product_Code],Master[Stock_Qty])</f>
        <v>3</v>
      </c>
      <c r="J1582" s="6">
        <f>SUMIFS(
  Sales_Entry[Qty],
  Sales_Entry[Product_Code], Stock_Table[[#This Row],[Product_Code]]
)</f>
        <v>2</v>
      </c>
      <c r="K1582" s="4">
        <f>SUMIFS(
  Exchange_Return[Qty],
  Exchange_Return[Product_Code], Stock_Table[[#This Row],[Product_Code]]
)</f>
        <v>0</v>
      </c>
      <c r="L1582" s="4">
        <f>I1582-J1582+K1582</f>
        <v>1</v>
      </c>
      <c r="M1582" s="2" t="str" cm="1">
        <f t="array" ref="M1582">_xlfn.IFS(L1582=0,"Out of Stock",L1582&gt;=2,"Limited Stock",L1582&lt;2,"In Stock")</f>
        <v>In Stock</v>
      </c>
    </row>
    <row r="1583" spans="2:13">
      <c r="B1583" s="2" t="s">
        <v>756</v>
      </c>
      <c r="C1583" s="5" t="str">
        <f>_xlfn.XLOOKUP(B1583,Master[Product_Code],Master[Category])</f>
        <v>T-Shirt</v>
      </c>
      <c r="D1583" s="2" t="str">
        <f>_xlfn.XLOOKUP(B1583,Master[Product_Code],Master[Brand])</f>
        <v>Campus</v>
      </c>
      <c r="E1583" s="2" t="str">
        <f>_xlfn.XLOOKUP(B1583,Master[Product_Code],Master[Style])</f>
        <v>Hoodie</v>
      </c>
      <c r="F1583" s="2" t="str">
        <f>_xlfn.XLOOKUP(B1583,Master[Product_Code],Master[Fabric])</f>
        <v>Cotton</v>
      </c>
      <c r="G1583" s="2" t="str">
        <f>_xlfn.XLOOKUP(B1583,Master[Product_Code],Master[Size])</f>
        <v>L</v>
      </c>
      <c r="H1583" s="2" t="str">
        <f>_xlfn.XLOOKUP(B1583,Master[Product_Code],Master[Color])</f>
        <v>Maroon</v>
      </c>
      <c r="I1583" s="4">
        <f>_xlfn.XLOOKUP(B1583,Master[Product_Code],Master[Stock_Qty])</f>
        <v>4</v>
      </c>
      <c r="J1583" s="6">
        <f>SUMIFS(
  Sales_Entry[Qty],
  Sales_Entry[Product_Code], Stock_Table[[#This Row],[Product_Code]]
)</f>
        <v>0</v>
      </c>
      <c r="K1583" s="4">
        <f>SUMIFS(
  Exchange_Return[Qty],
  Exchange_Return[Product_Code], Stock_Table[[#This Row],[Product_Code]]
)</f>
        <v>0</v>
      </c>
      <c r="L1583" s="4">
        <f>I1583-J1583+K1583</f>
        <v>4</v>
      </c>
      <c r="M1583" s="2" t="str" cm="1">
        <f t="array" ref="M1583">_xlfn.IFS(L1583=0,"Out of Stock",L1583&gt;=2,"Limited Stock",L1583&lt;2,"In Stock")</f>
        <v>Limited Stock</v>
      </c>
    </row>
    <row r="1584" spans="2:13">
      <c r="B1584" s="2" t="s">
        <v>757</v>
      </c>
      <c r="C1584" s="5" t="str">
        <f>_xlfn.XLOOKUP(B1584,Master[Product_Code],Master[Category])</f>
        <v>T-Shirt</v>
      </c>
      <c r="D1584" s="2" t="str">
        <f>_xlfn.XLOOKUP(B1584,Master[Product_Code],Master[Brand])</f>
        <v>Campus</v>
      </c>
      <c r="E1584" s="2" t="str">
        <f>_xlfn.XLOOKUP(B1584,Master[Product_Code],Master[Style])</f>
        <v>Half Sleeve</v>
      </c>
      <c r="F1584" s="2" t="str">
        <f>_xlfn.XLOOKUP(B1584,Master[Product_Code],Master[Fabric])</f>
        <v>Poly Cotton</v>
      </c>
      <c r="G1584" s="2" t="str">
        <f>_xlfn.XLOOKUP(B1584,Master[Product_Code],Master[Size])</f>
        <v>S</v>
      </c>
      <c r="H1584" s="2" t="str">
        <f>_xlfn.XLOOKUP(B1584,Master[Product_Code],Master[Color])</f>
        <v>Black</v>
      </c>
      <c r="I1584" s="4">
        <f>_xlfn.XLOOKUP(B1584,Master[Product_Code],Master[Stock_Qty])</f>
        <v>3</v>
      </c>
      <c r="J1584" s="6">
        <f>SUMIFS(
  Sales_Entry[Qty],
  Sales_Entry[Product_Code], Stock_Table[[#This Row],[Product_Code]]
)</f>
        <v>1</v>
      </c>
      <c r="K1584" s="4">
        <f>SUMIFS(
  Exchange_Return[Qty],
  Exchange_Return[Product_Code], Stock_Table[[#This Row],[Product_Code]]
)</f>
        <v>0</v>
      </c>
      <c r="L1584" s="4">
        <f>I1584-J1584+K1584</f>
        <v>2</v>
      </c>
      <c r="M1584" s="2" t="str" cm="1">
        <f t="array" ref="M1584">_xlfn.IFS(L1584=0,"Out of Stock",L1584&gt;=2,"Limited Stock",L1584&lt;2,"In Stock")</f>
        <v>Limited Stock</v>
      </c>
    </row>
    <row r="1585" spans="2:13">
      <c r="B1585" s="2" t="s">
        <v>758</v>
      </c>
      <c r="C1585" s="5" t="str">
        <f>_xlfn.XLOOKUP(B1585,Master[Product_Code],Master[Category])</f>
        <v>T-Shirt</v>
      </c>
      <c r="D1585" s="2" t="str">
        <f>_xlfn.XLOOKUP(B1585,Master[Product_Code],Master[Brand])</f>
        <v>Roadster</v>
      </c>
      <c r="E1585" s="2" t="str">
        <f>_xlfn.XLOOKUP(B1585,Master[Product_Code],Master[Style])</f>
        <v>Sleeveless</v>
      </c>
      <c r="F1585" s="2" t="str">
        <f>_xlfn.XLOOKUP(B1585,Master[Product_Code],Master[Fabric])</f>
        <v>Poly Cotton</v>
      </c>
      <c r="G1585" s="2" t="str">
        <f>_xlfn.XLOOKUP(B1585,Master[Product_Code],Master[Size])</f>
        <v>M</v>
      </c>
      <c r="H1585" s="2" t="str">
        <f>_xlfn.XLOOKUP(B1585,Master[Product_Code],Master[Color])</f>
        <v>White</v>
      </c>
      <c r="I1585" s="4">
        <f>_xlfn.XLOOKUP(B1585,Master[Product_Code],Master[Stock_Qty])</f>
        <v>5</v>
      </c>
      <c r="J1585" s="6">
        <f>SUMIFS(
  Sales_Entry[Qty],
  Sales_Entry[Product_Code], Stock_Table[[#This Row],[Product_Code]]
)</f>
        <v>1</v>
      </c>
      <c r="K1585" s="4">
        <f>SUMIFS(
  Exchange_Return[Qty],
  Exchange_Return[Product_Code], Stock_Table[[#This Row],[Product_Code]]
)</f>
        <v>0</v>
      </c>
      <c r="L1585" s="4">
        <f>I1585-J1585+K1585</f>
        <v>4</v>
      </c>
      <c r="M1585" s="2" t="str" cm="1">
        <f t="array" ref="M1585">_xlfn.IFS(L1585=0,"Out of Stock",L1585&gt;=2,"Limited Stock",L1585&lt;2,"In Stock")</f>
        <v>Limited Stock</v>
      </c>
    </row>
    <row r="1586" spans="2:13">
      <c r="B1586" s="2" t="s">
        <v>759</v>
      </c>
      <c r="C1586" s="5" t="str">
        <f>_xlfn.XLOOKUP(B1586,Master[Product_Code],Master[Category])</f>
        <v>T-Shirt</v>
      </c>
      <c r="D1586" s="2" t="str">
        <f>_xlfn.XLOOKUP(B1586,Master[Product_Code],Master[Brand])</f>
        <v>Roadster</v>
      </c>
      <c r="E1586" s="2" t="str">
        <f>_xlfn.XLOOKUP(B1586,Master[Product_Code],Master[Style])</f>
        <v>Sleeveless</v>
      </c>
      <c r="F1586" s="2" t="str">
        <f>_xlfn.XLOOKUP(B1586,Master[Product_Code],Master[Fabric])</f>
        <v>Poly Cotton</v>
      </c>
      <c r="G1586" s="2" t="str">
        <f>_xlfn.XLOOKUP(B1586,Master[Product_Code],Master[Size])</f>
        <v>M</v>
      </c>
      <c r="H1586" s="2" t="str">
        <f>_xlfn.XLOOKUP(B1586,Master[Product_Code],Master[Color])</f>
        <v>Teal</v>
      </c>
      <c r="I1586" s="4">
        <f>_xlfn.XLOOKUP(B1586,Master[Product_Code],Master[Stock_Qty])</f>
        <v>6</v>
      </c>
      <c r="J1586" s="6">
        <f>SUMIFS(
  Sales_Entry[Qty],
  Sales_Entry[Product_Code], Stock_Table[[#This Row],[Product_Code]]
)</f>
        <v>3</v>
      </c>
      <c r="K1586" s="4">
        <f>SUMIFS(
  Exchange_Return[Qty],
  Exchange_Return[Product_Code], Stock_Table[[#This Row],[Product_Code]]
)</f>
        <v>0</v>
      </c>
      <c r="L1586" s="4">
        <f>I1586-J1586+K1586</f>
        <v>3</v>
      </c>
      <c r="M1586" s="2" t="str" cm="1">
        <f t="array" ref="M1586">_xlfn.IFS(L1586=0,"Out of Stock",L1586&gt;=2,"Limited Stock",L1586&lt;2,"In Stock")</f>
        <v>Limited Stock</v>
      </c>
    </row>
    <row r="1587" spans="2:13">
      <c r="B1587" s="2" t="s">
        <v>760</v>
      </c>
      <c r="C1587" s="5" t="str">
        <f>_xlfn.XLOOKUP(B1587,Master[Product_Code],Master[Category])</f>
        <v>T-Shirt</v>
      </c>
      <c r="D1587" s="2" t="str">
        <f>_xlfn.XLOOKUP(B1587,Master[Product_Code],Master[Brand])</f>
        <v>Urban Monkey</v>
      </c>
      <c r="E1587" s="2" t="str">
        <f>_xlfn.XLOOKUP(B1587,Master[Product_Code],Master[Style])</f>
        <v>Hoodie</v>
      </c>
      <c r="F1587" s="2" t="str">
        <f>_xlfn.XLOOKUP(B1587,Master[Product_Code],Master[Fabric])</f>
        <v>Poly Cotton</v>
      </c>
      <c r="G1587" s="2" t="str">
        <f>_xlfn.XLOOKUP(B1587,Master[Product_Code],Master[Size])</f>
        <v>L</v>
      </c>
      <c r="H1587" s="2" t="str">
        <f>_xlfn.XLOOKUP(B1587,Master[Product_Code],Master[Color])</f>
        <v>Maroon</v>
      </c>
      <c r="I1587" s="4">
        <f>_xlfn.XLOOKUP(B1587,Master[Product_Code],Master[Stock_Qty])</f>
        <v>6</v>
      </c>
      <c r="J1587" s="6">
        <f>SUMIFS(
  Sales_Entry[Qty],
  Sales_Entry[Product_Code], Stock_Table[[#This Row],[Product_Code]]
)</f>
        <v>1</v>
      </c>
      <c r="K1587" s="4">
        <f>SUMIFS(
  Exchange_Return[Qty],
  Exchange_Return[Product_Code], Stock_Table[[#This Row],[Product_Code]]
)</f>
        <v>0</v>
      </c>
      <c r="L1587" s="4">
        <f>I1587-J1587+K1587</f>
        <v>5</v>
      </c>
      <c r="M1587" s="2" t="str" cm="1">
        <f t="array" ref="M1587">_xlfn.IFS(L1587=0,"Out of Stock",L1587&gt;=2,"Limited Stock",L1587&lt;2,"In Stock")</f>
        <v>Limited Stock</v>
      </c>
    </row>
    <row r="1588" spans="2:13">
      <c r="B1588" s="2" t="s">
        <v>761</v>
      </c>
      <c r="C1588" s="5" t="str">
        <f>_xlfn.XLOOKUP(B1588,Master[Product_Code],Master[Category])</f>
        <v>T-Shirt</v>
      </c>
      <c r="D1588" s="2" t="str">
        <f>_xlfn.XLOOKUP(B1588,Master[Product_Code],Master[Brand])</f>
        <v>Roadster</v>
      </c>
      <c r="E1588" s="2" t="str">
        <f>_xlfn.XLOOKUP(B1588,Master[Product_Code],Master[Style])</f>
        <v>Half Sleeve</v>
      </c>
      <c r="F1588" s="2" t="str">
        <f>_xlfn.XLOOKUP(B1588,Master[Product_Code],Master[Fabric])</f>
        <v>Cotton Blend</v>
      </c>
      <c r="G1588" s="2" t="str">
        <f>_xlfn.XLOOKUP(B1588,Master[Product_Code],Master[Size])</f>
        <v>L</v>
      </c>
      <c r="H1588" s="2" t="str">
        <f>_xlfn.XLOOKUP(B1588,Master[Product_Code],Master[Color])</f>
        <v>Wine</v>
      </c>
      <c r="I1588" s="4">
        <f>_xlfn.XLOOKUP(B1588,Master[Product_Code],Master[Stock_Qty])</f>
        <v>3</v>
      </c>
      <c r="J1588" s="6">
        <f>SUMIFS(
  Sales_Entry[Qty],
  Sales_Entry[Product_Code], Stock_Table[[#This Row],[Product_Code]]
)</f>
        <v>0</v>
      </c>
      <c r="K1588" s="4">
        <f>SUMIFS(
  Exchange_Return[Qty],
  Exchange_Return[Product_Code], Stock_Table[[#This Row],[Product_Code]]
)</f>
        <v>0</v>
      </c>
      <c r="L1588" s="4">
        <f>I1588-J1588+K1588</f>
        <v>3</v>
      </c>
      <c r="M1588" s="2" t="str" cm="1">
        <f t="array" ref="M1588">_xlfn.IFS(L1588=0,"Out of Stock",L1588&gt;=2,"Limited Stock",L1588&lt;2,"In Stock")</f>
        <v>Limited Stock</v>
      </c>
    </row>
    <row r="1589" spans="2:13">
      <c r="B1589" s="2" t="s">
        <v>762</v>
      </c>
      <c r="C1589" s="5" t="str">
        <f>_xlfn.XLOOKUP(B1589,Master[Product_Code],Master[Category])</f>
        <v>T-Shirt</v>
      </c>
      <c r="D1589" s="2" t="str">
        <f>_xlfn.XLOOKUP(B1589,Master[Product_Code],Master[Brand])</f>
        <v>Turkey</v>
      </c>
      <c r="E1589" s="2" t="str">
        <f>_xlfn.XLOOKUP(B1589,Master[Product_Code],Master[Style])</f>
        <v>Hoodie</v>
      </c>
      <c r="F1589" s="2" t="str">
        <f>_xlfn.XLOOKUP(B1589,Master[Product_Code],Master[Fabric])</f>
        <v>Poly Cotton</v>
      </c>
      <c r="G1589" s="2" t="str">
        <f>_xlfn.XLOOKUP(B1589,Master[Product_Code],Master[Size])</f>
        <v>M</v>
      </c>
      <c r="H1589" s="2" t="str">
        <f>_xlfn.XLOOKUP(B1589,Master[Product_Code],Master[Color])</f>
        <v>Wine</v>
      </c>
      <c r="I1589" s="4">
        <f>_xlfn.XLOOKUP(B1589,Master[Product_Code],Master[Stock_Qty])</f>
        <v>4</v>
      </c>
      <c r="J1589" s="6">
        <f>SUMIFS(
  Sales_Entry[Qty],
  Sales_Entry[Product_Code], Stock_Table[[#This Row],[Product_Code]]
)</f>
        <v>3</v>
      </c>
      <c r="K1589" s="4">
        <f>SUMIFS(
  Exchange_Return[Qty],
  Exchange_Return[Product_Code], Stock_Table[[#This Row],[Product_Code]]
)</f>
        <v>0</v>
      </c>
      <c r="L1589" s="4">
        <f>I1589-J1589+K1589</f>
        <v>1</v>
      </c>
      <c r="M1589" s="2" t="str" cm="1">
        <f t="array" ref="M1589">_xlfn.IFS(L1589=0,"Out of Stock",L1589&gt;=2,"Limited Stock",L1589&lt;2,"In Stock")</f>
        <v>In Stock</v>
      </c>
    </row>
    <row r="1590" spans="2:13">
      <c r="B1590" s="2" t="s">
        <v>763</v>
      </c>
      <c r="C1590" s="5" t="str">
        <f>_xlfn.XLOOKUP(B1590,Master[Product_Code],Master[Category])</f>
        <v>T-Shirt</v>
      </c>
      <c r="D1590" s="2" t="str">
        <f>_xlfn.XLOOKUP(B1590,Master[Product_Code],Master[Brand])</f>
        <v>Turkey</v>
      </c>
      <c r="E1590" s="2" t="str">
        <f>_xlfn.XLOOKUP(B1590,Master[Product_Code],Master[Style])</f>
        <v>Full Sleeve</v>
      </c>
      <c r="F1590" s="2" t="str">
        <f>_xlfn.XLOOKUP(B1590,Master[Product_Code],Master[Fabric])</f>
        <v>Poly Cotton</v>
      </c>
      <c r="G1590" s="2" t="str">
        <f>_xlfn.XLOOKUP(B1590,Master[Product_Code],Master[Size])</f>
        <v>XXL</v>
      </c>
      <c r="H1590" s="2" t="str">
        <f>_xlfn.XLOOKUP(B1590,Master[Product_Code],Master[Color])</f>
        <v>Maroon</v>
      </c>
      <c r="I1590" s="4">
        <f>_xlfn.XLOOKUP(B1590,Master[Product_Code],Master[Stock_Qty])</f>
        <v>6</v>
      </c>
      <c r="J1590" s="6">
        <f>SUMIFS(
  Sales_Entry[Qty],
  Sales_Entry[Product_Code], Stock_Table[[#This Row],[Product_Code]]
)</f>
        <v>5</v>
      </c>
      <c r="K1590" s="4">
        <f>SUMIFS(
  Exchange_Return[Qty],
  Exchange_Return[Product_Code], Stock_Table[[#This Row],[Product_Code]]
)</f>
        <v>0</v>
      </c>
      <c r="L1590" s="4">
        <f>I1590-J1590+K1590</f>
        <v>1</v>
      </c>
      <c r="M1590" s="2" t="str" cm="1">
        <f t="array" ref="M1590">_xlfn.IFS(L1590=0,"Out of Stock",L1590&gt;=2,"Limited Stock",L1590&lt;2,"In Stock")</f>
        <v>In Stock</v>
      </c>
    </row>
    <row r="1591" spans="2:13">
      <c r="B1591" s="2" t="s">
        <v>764</v>
      </c>
      <c r="C1591" s="5" t="str">
        <f>_xlfn.XLOOKUP(B1591,Master[Product_Code],Master[Category])</f>
        <v>T-Shirt</v>
      </c>
      <c r="D1591" s="2" t="str">
        <f>_xlfn.XLOOKUP(B1591,Master[Product_Code],Master[Brand])</f>
        <v>Zara</v>
      </c>
      <c r="E1591" s="2" t="str">
        <f>_xlfn.XLOOKUP(B1591,Master[Product_Code],Master[Style])</f>
        <v>Full Sleeve</v>
      </c>
      <c r="F1591" s="2" t="str">
        <f>_xlfn.XLOOKUP(B1591,Master[Product_Code],Master[Fabric])</f>
        <v>Cotton Blend</v>
      </c>
      <c r="G1591" s="2" t="str">
        <f>_xlfn.XLOOKUP(B1591,Master[Product_Code],Master[Size])</f>
        <v>M</v>
      </c>
      <c r="H1591" s="2" t="str">
        <f>_xlfn.XLOOKUP(B1591,Master[Product_Code],Master[Color])</f>
        <v>Navy Blue</v>
      </c>
      <c r="I1591" s="4">
        <f>_xlfn.XLOOKUP(B1591,Master[Product_Code],Master[Stock_Qty])</f>
        <v>5</v>
      </c>
      <c r="J1591" s="6">
        <f>SUMIFS(
  Sales_Entry[Qty],
  Sales_Entry[Product_Code], Stock_Table[[#This Row],[Product_Code]]
)</f>
        <v>3</v>
      </c>
      <c r="K1591" s="4">
        <f>SUMIFS(
  Exchange_Return[Qty],
  Exchange_Return[Product_Code], Stock_Table[[#This Row],[Product_Code]]
)</f>
        <v>0</v>
      </c>
      <c r="L1591" s="4">
        <f>I1591-J1591+K1591</f>
        <v>2</v>
      </c>
      <c r="M1591" s="2" t="str" cm="1">
        <f t="array" ref="M1591">_xlfn.IFS(L1591=0,"Out of Stock",L1591&gt;=2,"Limited Stock",L1591&lt;2,"In Stock")</f>
        <v>Limited Stock</v>
      </c>
    </row>
    <row r="1592" spans="2:13">
      <c r="B1592" s="2" t="s">
        <v>765</v>
      </c>
      <c r="C1592" s="5" t="str">
        <f>_xlfn.XLOOKUP(B1592,Master[Product_Code],Master[Category])</f>
        <v>T-Shirt</v>
      </c>
      <c r="D1592" s="2" t="str">
        <f>_xlfn.XLOOKUP(B1592,Master[Product_Code],Master[Brand])</f>
        <v>Turkey</v>
      </c>
      <c r="E1592" s="2" t="str">
        <f>_xlfn.XLOOKUP(B1592,Master[Product_Code],Master[Style])</f>
        <v>Half Sleeve</v>
      </c>
      <c r="F1592" s="2" t="str">
        <f>_xlfn.XLOOKUP(B1592,Master[Product_Code],Master[Fabric])</f>
        <v>Poly Cotton</v>
      </c>
      <c r="G1592" s="2" t="str">
        <f>_xlfn.XLOOKUP(B1592,Master[Product_Code],Master[Size])</f>
        <v>M</v>
      </c>
      <c r="H1592" s="2" t="str">
        <f>_xlfn.XLOOKUP(B1592,Master[Product_Code],Master[Color])</f>
        <v>Wine</v>
      </c>
      <c r="I1592" s="4">
        <f>_xlfn.XLOOKUP(B1592,Master[Product_Code],Master[Stock_Qty])</f>
        <v>5</v>
      </c>
      <c r="J1592" s="6">
        <f>SUMIFS(
  Sales_Entry[Qty],
  Sales_Entry[Product_Code], Stock_Table[[#This Row],[Product_Code]]
)</f>
        <v>1</v>
      </c>
      <c r="K1592" s="4">
        <f>SUMIFS(
  Exchange_Return[Qty],
  Exchange_Return[Product_Code], Stock_Table[[#This Row],[Product_Code]]
)</f>
        <v>0</v>
      </c>
      <c r="L1592" s="4">
        <f>I1592-J1592+K1592</f>
        <v>4</v>
      </c>
      <c r="M1592" s="2" t="str" cm="1">
        <f t="array" ref="M1592">_xlfn.IFS(L1592=0,"Out of Stock",L1592&gt;=2,"Limited Stock",L1592&lt;2,"In Stock")</f>
        <v>Limited Stock</v>
      </c>
    </row>
    <row r="1593" spans="2:13">
      <c r="B1593" s="2" t="s">
        <v>766</v>
      </c>
      <c r="C1593" s="5" t="str">
        <f>_xlfn.XLOOKUP(B1593,Master[Product_Code],Master[Category])</f>
        <v>T-Shirt</v>
      </c>
      <c r="D1593" s="2" t="str">
        <f>_xlfn.XLOOKUP(B1593,Master[Product_Code],Master[Brand])</f>
        <v>Max</v>
      </c>
      <c r="E1593" s="2" t="str">
        <f>_xlfn.XLOOKUP(B1593,Master[Product_Code],Master[Style])</f>
        <v>Sleeveless</v>
      </c>
      <c r="F1593" s="2" t="str">
        <f>_xlfn.XLOOKUP(B1593,Master[Product_Code],Master[Fabric])</f>
        <v>Cotton</v>
      </c>
      <c r="G1593" s="2" t="str">
        <f>_xlfn.XLOOKUP(B1593,Master[Product_Code],Master[Size])</f>
        <v>S</v>
      </c>
      <c r="H1593" s="2" t="str">
        <f>_xlfn.XLOOKUP(B1593,Master[Product_Code],Master[Color])</f>
        <v>Mustard</v>
      </c>
      <c r="I1593" s="4">
        <f>_xlfn.XLOOKUP(B1593,Master[Product_Code],Master[Stock_Qty])</f>
        <v>3</v>
      </c>
      <c r="J1593" s="6">
        <f>SUMIFS(
  Sales_Entry[Qty],
  Sales_Entry[Product_Code], Stock_Table[[#This Row],[Product_Code]]
)</f>
        <v>2</v>
      </c>
      <c r="K1593" s="4">
        <f>SUMIFS(
  Exchange_Return[Qty],
  Exchange_Return[Product_Code], Stock_Table[[#This Row],[Product_Code]]
)</f>
        <v>0</v>
      </c>
      <c r="L1593" s="4">
        <f>I1593-J1593+K1593</f>
        <v>1</v>
      </c>
      <c r="M1593" s="2" t="str" cm="1">
        <f t="array" ref="M1593">_xlfn.IFS(L1593=0,"Out of Stock",L1593&gt;=2,"Limited Stock",L1593&lt;2,"In Stock")</f>
        <v>In Stock</v>
      </c>
    </row>
    <row r="1594" spans="2:13">
      <c r="B1594" s="2" t="s">
        <v>767</v>
      </c>
      <c r="C1594" s="5" t="str">
        <f>_xlfn.XLOOKUP(B1594,Master[Product_Code],Master[Category])</f>
        <v>T-Shirt</v>
      </c>
      <c r="D1594" s="2" t="str">
        <f>_xlfn.XLOOKUP(B1594,Master[Product_Code],Master[Brand])</f>
        <v>Roadster</v>
      </c>
      <c r="E1594" s="2" t="str">
        <f>_xlfn.XLOOKUP(B1594,Master[Product_Code],Master[Style])</f>
        <v>3/4 Sleeve</v>
      </c>
      <c r="F1594" s="2" t="str">
        <f>_xlfn.XLOOKUP(B1594,Master[Product_Code],Master[Fabric])</f>
        <v>Poly Cotton</v>
      </c>
      <c r="G1594" s="2" t="str">
        <f>_xlfn.XLOOKUP(B1594,Master[Product_Code],Master[Size])</f>
        <v>L</v>
      </c>
      <c r="H1594" s="2" t="str">
        <f>_xlfn.XLOOKUP(B1594,Master[Product_Code],Master[Color])</f>
        <v>Light Grey</v>
      </c>
      <c r="I1594" s="4">
        <f>_xlfn.XLOOKUP(B1594,Master[Product_Code],Master[Stock_Qty])</f>
        <v>4</v>
      </c>
      <c r="J1594" s="6">
        <f>SUMIFS(
  Sales_Entry[Qty],
  Sales_Entry[Product_Code], Stock_Table[[#This Row],[Product_Code]]
)</f>
        <v>2</v>
      </c>
      <c r="K1594" s="4">
        <f>SUMIFS(
  Exchange_Return[Qty],
  Exchange_Return[Product_Code], Stock_Table[[#This Row],[Product_Code]]
)</f>
        <v>0</v>
      </c>
      <c r="L1594" s="4">
        <f>I1594-J1594+K1594</f>
        <v>2</v>
      </c>
      <c r="M1594" s="2" t="str" cm="1">
        <f t="array" ref="M1594">_xlfn.IFS(L1594=0,"Out of Stock",L1594&gt;=2,"Limited Stock",L1594&lt;2,"In Stock")</f>
        <v>Limited Stock</v>
      </c>
    </row>
    <row r="1595" spans="2:13">
      <c r="B1595" s="2" t="s">
        <v>768</v>
      </c>
      <c r="C1595" s="5" t="str">
        <f>_xlfn.XLOOKUP(B1595,Master[Product_Code],Master[Category])</f>
        <v>T-Shirt</v>
      </c>
      <c r="D1595" s="2" t="str">
        <f>_xlfn.XLOOKUP(B1595,Master[Product_Code],Master[Brand])</f>
        <v>Campus</v>
      </c>
      <c r="E1595" s="2" t="str">
        <f>_xlfn.XLOOKUP(B1595,Master[Product_Code],Master[Style])</f>
        <v>Sleeveless</v>
      </c>
      <c r="F1595" s="2" t="str">
        <f>_xlfn.XLOOKUP(B1595,Master[Product_Code],Master[Fabric])</f>
        <v>Cotton Blend</v>
      </c>
      <c r="G1595" s="2" t="str">
        <f>_xlfn.XLOOKUP(B1595,Master[Product_Code],Master[Size])</f>
        <v>XXL</v>
      </c>
      <c r="H1595" s="2" t="str">
        <f>_xlfn.XLOOKUP(B1595,Master[Product_Code],Master[Color])</f>
        <v>Navy Blue</v>
      </c>
      <c r="I1595" s="4">
        <f>_xlfn.XLOOKUP(B1595,Master[Product_Code],Master[Stock_Qty])</f>
        <v>5</v>
      </c>
      <c r="J1595" s="6">
        <f>SUMIFS(
  Sales_Entry[Qty],
  Sales_Entry[Product_Code], Stock_Table[[#This Row],[Product_Code]]
)</f>
        <v>0</v>
      </c>
      <c r="K1595" s="4">
        <f>SUMIFS(
  Exchange_Return[Qty],
  Exchange_Return[Product_Code], Stock_Table[[#This Row],[Product_Code]]
)</f>
        <v>0</v>
      </c>
      <c r="L1595" s="4">
        <f>I1595-J1595+K1595</f>
        <v>5</v>
      </c>
      <c r="M1595" s="2" t="str" cm="1">
        <f t="array" ref="M1595">_xlfn.IFS(L1595=0,"Out of Stock",L1595&gt;=2,"Limited Stock",L1595&lt;2,"In Stock")</f>
        <v>Limited Stock</v>
      </c>
    </row>
    <row r="1596" spans="2:13">
      <c r="B1596" s="2" t="s">
        <v>769</v>
      </c>
      <c r="C1596" s="5" t="str">
        <f>_xlfn.XLOOKUP(B1596,Master[Product_Code],Master[Category])</f>
        <v>T-Shirt</v>
      </c>
      <c r="D1596" s="2" t="str">
        <f>_xlfn.XLOOKUP(B1596,Master[Product_Code],Master[Brand])</f>
        <v>Turkey</v>
      </c>
      <c r="E1596" s="2" t="str">
        <f>_xlfn.XLOOKUP(B1596,Master[Product_Code],Master[Style])</f>
        <v>Hoodie</v>
      </c>
      <c r="F1596" s="2" t="str">
        <f>_xlfn.XLOOKUP(B1596,Master[Product_Code],Master[Fabric])</f>
        <v>Cotton Blend</v>
      </c>
      <c r="G1596" s="2" t="str">
        <f>_xlfn.XLOOKUP(B1596,Master[Product_Code],Master[Size])</f>
        <v>L</v>
      </c>
      <c r="H1596" s="2" t="str">
        <f>_xlfn.XLOOKUP(B1596,Master[Product_Code],Master[Color])</f>
        <v>Teal</v>
      </c>
      <c r="I1596" s="4">
        <f>_xlfn.XLOOKUP(B1596,Master[Product_Code],Master[Stock_Qty])</f>
        <v>6</v>
      </c>
      <c r="J1596" s="6">
        <f>SUMIFS(
  Sales_Entry[Qty],
  Sales_Entry[Product_Code], Stock_Table[[#This Row],[Product_Code]]
)</f>
        <v>4</v>
      </c>
      <c r="K1596" s="4">
        <f>SUMIFS(
  Exchange_Return[Qty],
  Exchange_Return[Product_Code], Stock_Table[[#This Row],[Product_Code]]
)</f>
        <v>0</v>
      </c>
      <c r="L1596" s="4">
        <f>I1596-J1596+K1596</f>
        <v>2</v>
      </c>
      <c r="M1596" s="2" t="str" cm="1">
        <f t="array" ref="M1596">_xlfn.IFS(L1596=0,"Out of Stock",L1596&gt;=2,"Limited Stock",L1596&lt;2,"In Stock")</f>
        <v>Limited Stock</v>
      </c>
    </row>
    <row r="1597" spans="2:13">
      <c r="B1597" s="2" t="s">
        <v>770</v>
      </c>
      <c r="C1597" s="5" t="str">
        <f>_xlfn.XLOOKUP(B1597,Master[Product_Code],Master[Category])</f>
        <v>T-Shirt</v>
      </c>
      <c r="D1597" s="2" t="str">
        <f>_xlfn.XLOOKUP(B1597,Master[Product_Code],Master[Brand])</f>
        <v>Roadster</v>
      </c>
      <c r="E1597" s="2" t="str">
        <f>_xlfn.XLOOKUP(B1597,Master[Product_Code],Master[Style])</f>
        <v>Half Sleeve</v>
      </c>
      <c r="F1597" s="2" t="str">
        <f>_xlfn.XLOOKUP(B1597,Master[Product_Code],Master[Fabric])</f>
        <v>Poly Cotton</v>
      </c>
      <c r="G1597" s="2" t="str">
        <f>_xlfn.XLOOKUP(B1597,Master[Product_Code],Master[Size])</f>
        <v>M</v>
      </c>
      <c r="H1597" s="2" t="str">
        <f>_xlfn.XLOOKUP(B1597,Master[Product_Code],Master[Color])</f>
        <v>Cream</v>
      </c>
      <c r="I1597" s="4">
        <f>_xlfn.XLOOKUP(B1597,Master[Product_Code],Master[Stock_Qty])</f>
        <v>4</v>
      </c>
      <c r="J1597" s="6">
        <f>SUMIFS(
  Sales_Entry[Qty],
  Sales_Entry[Product_Code], Stock_Table[[#This Row],[Product_Code]]
)</f>
        <v>2</v>
      </c>
      <c r="K1597" s="4">
        <f>SUMIFS(
  Exchange_Return[Qty],
  Exchange_Return[Product_Code], Stock_Table[[#This Row],[Product_Code]]
)</f>
        <v>0</v>
      </c>
      <c r="L1597" s="4">
        <f>I1597-J1597+K1597</f>
        <v>2</v>
      </c>
      <c r="M1597" s="2" t="str" cm="1">
        <f t="array" ref="M1597">_xlfn.IFS(L1597=0,"Out of Stock",L1597&gt;=2,"Limited Stock",L1597&lt;2,"In Stock")</f>
        <v>Limited Stock</v>
      </c>
    </row>
    <row r="1598" spans="2:13">
      <c r="B1598" s="2" t="s">
        <v>771</v>
      </c>
      <c r="C1598" s="5" t="str">
        <f>_xlfn.XLOOKUP(B1598,Master[Product_Code],Master[Category])</f>
        <v>T-Shirt</v>
      </c>
      <c r="D1598" s="2" t="str">
        <f>_xlfn.XLOOKUP(B1598,Master[Product_Code],Master[Brand])</f>
        <v>Zara</v>
      </c>
      <c r="E1598" s="2" t="str">
        <f>_xlfn.XLOOKUP(B1598,Master[Product_Code],Master[Style])</f>
        <v>Hoodie</v>
      </c>
      <c r="F1598" s="2" t="str">
        <f>_xlfn.XLOOKUP(B1598,Master[Product_Code],Master[Fabric])</f>
        <v>Poly Cotton</v>
      </c>
      <c r="G1598" s="2" t="str">
        <f>_xlfn.XLOOKUP(B1598,Master[Product_Code],Master[Size])</f>
        <v>L</v>
      </c>
      <c r="H1598" s="2" t="str">
        <f>_xlfn.XLOOKUP(B1598,Master[Product_Code],Master[Color])</f>
        <v>Grey</v>
      </c>
      <c r="I1598" s="4">
        <f>_xlfn.XLOOKUP(B1598,Master[Product_Code],Master[Stock_Qty])</f>
        <v>4</v>
      </c>
      <c r="J1598" s="6">
        <f>SUMIFS(
  Sales_Entry[Qty],
  Sales_Entry[Product_Code], Stock_Table[[#This Row],[Product_Code]]
)</f>
        <v>2</v>
      </c>
      <c r="K1598" s="4">
        <f>SUMIFS(
  Exchange_Return[Qty],
  Exchange_Return[Product_Code], Stock_Table[[#This Row],[Product_Code]]
)</f>
        <v>0</v>
      </c>
      <c r="L1598" s="4">
        <f>I1598-J1598+K1598</f>
        <v>2</v>
      </c>
      <c r="M1598" s="2" t="str" cm="1">
        <f t="array" ref="M1598">_xlfn.IFS(L1598=0,"Out of Stock",L1598&gt;=2,"Limited Stock",L1598&lt;2,"In Stock")</f>
        <v>Limited Stock</v>
      </c>
    </row>
    <row r="1599" spans="2:13">
      <c r="B1599" s="2" t="s">
        <v>772</v>
      </c>
      <c r="C1599" s="5" t="str">
        <f>_xlfn.XLOOKUP(B1599,Master[Product_Code],Master[Category])</f>
        <v>T-Shirt</v>
      </c>
      <c r="D1599" s="2" t="str">
        <f>_xlfn.XLOOKUP(B1599,Master[Product_Code],Master[Brand])</f>
        <v>Turkey</v>
      </c>
      <c r="E1599" s="2" t="str">
        <f>_xlfn.XLOOKUP(B1599,Master[Product_Code],Master[Style])</f>
        <v>3/4 Sleeve</v>
      </c>
      <c r="F1599" s="2" t="str">
        <f>_xlfn.XLOOKUP(B1599,Master[Product_Code],Master[Fabric])</f>
        <v>Poly Cotton</v>
      </c>
      <c r="G1599" s="2" t="str">
        <f>_xlfn.XLOOKUP(B1599,Master[Product_Code],Master[Size])</f>
        <v>S</v>
      </c>
      <c r="H1599" s="2" t="str">
        <f>_xlfn.XLOOKUP(B1599,Master[Product_Code],Master[Color])</f>
        <v>Charcoal</v>
      </c>
      <c r="I1599" s="4">
        <f>_xlfn.XLOOKUP(B1599,Master[Product_Code],Master[Stock_Qty])</f>
        <v>6</v>
      </c>
      <c r="J1599" s="6">
        <f>SUMIFS(
  Sales_Entry[Qty],
  Sales_Entry[Product_Code], Stock_Table[[#This Row],[Product_Code]]
)</f>
        <v>1</v>
      </c>
      <c r="K1599" s="4">
        <f>SUMIFS(
  Exchange_Return[Qty],
  Exchange_Return[Product_Code], Stock_Table[[#This Row],[Product_Code]]
)</f>
        <v>0</v>
      </c>
      <c r="L1599" s="4">
        <f>I1599-J1599+K1599</f>
        <v>5</v>
      </c>
      <c r="M1599" s="2" t="str" cm="1">
        <f t="array" ref="M1599">_xlfn.IFS(L1599=0,"Out of Stock",L1599&gt;=2,"Limited Stock",L1599&lt;2,"In Stock")</f>
        <v>Limited Stock</v>
      </c>
    </row>
    <row r="1600" spans="2:13">
      <c r="B1600" s="2" t="s">
        <v>773</v>
      </c>
      <c r="C1600" s="5" t="str">
        <f>_xlfn.XLOOKUP(B1600,Master[Product_Code],Master[Category])</f>
        <v>T-Shirt</v>
      </c>
      <c r="D1600" s="2" t="str">
        <f>_xlfn.XLOOKUP(B1600,Master[Product_Code],Master[Brand])</f>
        <v>Campus</v>
      </c>
      <c r="E1600" s="2" t="str">
        <f>_xlfn.XLOOKUP(B1600,Master[Product_Code],Master[Style])</f>
        <v>Half Sleeve</v>
      </c>
      <c r="F1600" s="2" t="str">
        <f>_xlfn.XLOOKUP(B1600,Master[Product_Code],Master[Fabric])</f>
        <v>Cotton Blend</v>
      </c>
      <c r="G1600" s="2" t="str">
        <f>_xlfn.XLOOKUP(B1600,Master[Product_Code],Master[Size])</f>
        <v>XL</v>
      </c>
      <c r="H1600" s="2" t="str">
        <f>_xlfn.XLOOKUP(B1600,Master[Product_Code],Master[Color])</f>
        <v>Peach</v>
      </c>
      <c r="I1600" s="4">
        <f>_xlfn.XLOOKUP(B1600,Master[Product_Code],Master[Stock_Qty])</f>
        <v>4</v>
      </c>
      <c r="J1600" s="6">
        <f>SUMIFS(
  Sales_Entry[Qty],
  Sales_Entry[Product_Code], Stock_Table[[#This Row],[Product_Code]]
)</f>
        <v>2</v>
      </c>
      <c r="K1600" s="4">
        <f>SUMIFS(
  Exchange_Return[Qty],
  Exchange_Return[Product_Code], Stock_Table[[#This Row],[Product_Code]]
)</f>
        <v>0</v>
      </c>
      <c r="L1600" s="4">
        <f>I1600-J1600+K1600</f>
        <v>2</v>
      </c>
      <c r="M1600" s="2" t="str" cm="1">
        <f t="array" ref="M1600">_xlfn.IFS(L1600=0,"Out of Stock",L1600&gt;=2,"Limited Stock",L1600&lt;2,"In Stock")</f>
        <v>Limited Stock</v>
      </c>
    </row>
    <row r="1601" spans="2:13">
      <c r="B1601" s="2" t="s">
        <v>774</v>
      </c>
      <c r="C1601" s="5" t="str">
        <f>_xlfn.XLOOKUP(B1601,Master[Product_Code],Master[Category])</f>
        <v>T-Shirt</v>
      </c>
      <c r="D1601" s="2" t="str">
        <f>_xlfn.XLOOKUP(B1601,Master[Product_Code],Master[Brand])</f>
        <v>Turkey</v>
      </c>
      <c r="E1601" s="2" t="str">
        <f>_xlfn.XLOOKUP(B1601,Master[Product_Code],Master[Style])</f>
        <v>Sleeveless</v>
      </c>
      <c r="F1601" s="2" t="str">
        <f>_xlfn.XLOOKUP(B1601,Master[Product_Code],Master[Fabric])</f>
        <v>Cotton</v>
      </c>
      <c r="G1601" s="2" t="str">
        <f>_xlfn.XLOOKUP(B1601,Master[Product_Code],Master[Size])</f>
        <v>M</v>
      </c>
      <c r="H1601" s="2" t="str">
        <f>_xlfn.XLOOKUP(B1601,Master[Product_Code],Master[Color])</f>
        <v>White</v>
      </c>
      <c r="I1601" s="4">
        <f>_xlfn.XLOOKUP(B1601,Master[Product_Code],Master[Stock_Qty])</f>
        <v>4</v>
      </c>
      <c r="J1601" s="6">
        <f>SUMIFS(
  Sales_Entry[Qty],
  Sales_Entry[Product_Code], Stock_Table[[#This Row],[Product_Code]]
)</f>
        <v>0</v>
      </c>
      <c r="K1601" s="4">
        <f>SUMIFS(
  Exchange_Return[Qty],
  Exchange_Return[Product_Code], Stock_Table[[#This Row],[Product_Code]]
)</f>
        <v>0</v>
      </c>
      <c r="L1601" s="4">
        <f>I1601-J1601+K1601</f>
        <v>4</v>
      </c>
      <c r="M1601" s="2" t="str" cm="1">
        <f t="array" ref="M1601">_xlfn.IFS(L1601=0,"Out of Stock",L1601&gt;=2,"Limited Stock",L1601&lt;2,"In Stock")</f>
        <v>Limited Stock</v>
      </c>
    </row>
    <row r="1602" spans="2:13">
      <c r="B1602" s="2" t="s">
        <v>775</v>
      </c>
      <c r="C1602" s="5" t="str">
        <f>_xlfn.XLOOKUP(B1602,Master[Product_Code],Master[Category])</f>
        <v>T-Shirt</v>
      </c>
      <c r="D1602" s="2" t="str">
        <f>_xlfn.XLOOKUP(B1602,Master[Product_Code],Master[Brand])</f>
        <v>Roadster</v>
      </c>
      <c r="E1602" s="2" t="str">
        <f>_xlfn.XLOOKUP(B1602,Master[Product_Code],Master[Style])</f>
        <v>Full Sleeve</v>
      </c>
      <c r="F1602" s="2" t="str">
        <f>_xlfn.XLOOKUP(B1602,Master[Product_Code],Master[Fabric])</f>
        <v>Cotton</v>
      </c>
      <c r="G1602" s="2" t="str">
        <f>_xlfn.XLOOKUP(B1602,Master[Product_Code],Master[Size])</f>
        <v>XXL</v>
      </c>
      <c r="H1602" s="2" t="str">
        <f>_xlfn.XLOOKUP(B1602,Master[Product_Code],Master[Color])</f>
        <v>White</v>
      </c>
      <c r="I1602" s="4">
        <f>_xlfn.XLOOKUP(B1602,Master[Product_Code],Master[Stock_Qty])</f>
        <v>4</v>
      </c>
      <c r="J1602" s="6">
        <f>SUMIFS(
  Sales_Entry[Qty],
  Sales_Entry[Product_Code], Stock_Table[[#This Row],[Product_Code]]
)</f>
        <v>1</v>
      </c>
      <c r="K1602" s="4">
        <f>SUMIFS(
  Exchange_Return[Qty],
  Exchange_Return[Product_Code], Stock_Table[[#This Row],[Product_Code]]
)</f>
        <v>0</v>
      </c>
      <c r="L1602" s="4">
        <f>I1602-J1602+K1602</f>
        <v>3</v>
      </c>
      <c r="M1602" s="2" t="str" cm="1">
        <f t="array" ref="M1602">_xlfn.IFS(L1602=0,"Out of Stock",L1602&gt;=2,"Limited Stock",L1602&lt;2,"In Stock")</f>
        <v>Limited Stock</v>
      </c>
    </row>
    <row r="1603" spans="2:13">
      <c r="B1603" s="2" t="s">
        <v>776</v>
      </c>
      <c r="C1603" s="5" t="str">
        <f>_xlfn.XLOOKUP(B1603,Master[Product_Code],Master[Category])</f>
        <v>T-Shirt</v>
      </c>
      <c r="D1603" s="2" t="str">
        <f>_xlfn.XLOOKUP(B1603,Master[Product_Code],Master[Brand])</f>
        <v>Turkey</v>
      </c>
      <c r="E1603" s="2" t="str">
        <f>_xlfn.XLOOKUP(B1603,Master[Product_Code],Master[Style])</f>
        <v>3/4 Sleeve</v>
      </c>
      <c r="F1603" s="2" t="str">
        <f>_xlfn.XLOOKUP(B1603,Master[Product_Code],Master[Fabric])</f>
        <v>Cotton</v>
      </c>
      <c r="G1603" s="2" t="str">
        <f>_xlfn.XLOOKUP(B1603,Master[Product_Code],Master[Size])</f>
        <v>XXL</v>
      </c>
      <c r="H1603" s="2" t="str">
        <f>_xlfn.XLOOKUP(B1603,Master[Product_Code],Master[Color])</f>
        <v>Rust</v>
      </c>
      <c r="I1603" s="4">
        <f>_xlfn.XLOOKUP(B1603,Master[Product_Code],Master[Stock_Qty])</f>
        <v>3</v>
      </c>
      <c r="J1603" s="6">
        <f>SUMIFS(
  Sales_Entry[Qty],
  Sales_Entry[Product_Code], Stock_Table[[#This Row],[Product_Code]]
)</f>
        <v>2</v>
      </c>
      <c r="K1603" s="4">
        <f>SUMIFS(
  Exchange_Return[Qty],
  Exchange_Return[Product_Code], Stock_Table[[#This Row],[Product_Code]]
)</f>
        <v>0</v>
      </c>
      <c r="L1603" s="4">
        <f>I1603-J1603+K1603</f>
        <v>1</v>
      </c>
      <c r="M1603" s="2" t="str" cm="1">
        <f t="array" ref="M1603">_xlfn.IFS(L1603=0,"Out of Stock",L1603&gt;=2,"Limited Stock",L1603&lt;2,"In Stock")</f>
        <v>In Stock</v>
      </c>
    </row>
    <row r="1604" spans="2:13">
      <c r="B1604" s="2" t="s">
        <v>777</v>
      </c>
      <c r="C1604" s="5" t="str">
        <f>_xlfn.XLOOKUP(B1604,Master[Product_Code],Master[Category])</f>
        <v>T-Shirt</v>
      </c>
      <c r="D1604" s="2" t="str">
        <f>_xlfn.XLOOKUP(B1604,Master[Product_Code],Master[Brand])</f>
        <v>Campus</v>
      </c>
      <c r="E1604" s="2" t="str">
        <f>_xlfn.XLOOKUP(B1604,Master[Product_Code],Master[Style])</f>
        <v>3/4 Sleeve</v>
      </c>
      <c r="F1604" s="2" t="str">
        <f>_xlfn.XLOOKUP(B1604,Master[Product_Code],Master[Fabric])</f>
        <v>Cotton</v>
      </c>
      <c r="G1604" s="2" t="str">
        <f>_xlfn.XLOOKUP(B1604,Master[Product_Code],Master[Size])</f>
        <v>M</v>
      </c>
      <c r="H1604" s="2" t="str">
        <f>_xlfn.XLOOKUP(B1604,Master[Product_Code],Master[Color])</f>
        <v>Cream</v>
      </c>
      <c r="I1604" s="4">
        <f>_xlfn.XLOOKUP(B1604,Master[Product_Code],Master[Stock_Qty])</f>
        <v>6</v>
      </c>
      <c r="J1604" s="6">
        <f>SUMIFS(
  Sales_Entry[Qty],
  Sales_Entry[Product_Code], Stock_Table[[#This Row],[Product_Code]]
)</f>
        <v>4</v>
      </c>
      <c r="K1604" s="4">
        <f>SUMIFS(
  Exchange_Return[Qty],
  Exchange_Return[Product_Code], Stock_Table[[#This Row],[Product_Code]]
)</f>
        <v>0</v>
      </c>
      <c r="L1604" s="4">
        <f>I1604-J1604+K1604</f>
        <v>2</v>
      </c>
      <c r="M1604" s="2" t="str" cm="1">
        <f t="array" ref="M1604">_xlfn.IFS(L1604=0,"Out of Stock",L1604&gt;=2,"Limited Stock",L1604&lt;2,"In Stock")</f>
        <v>Limited Stock</v>
      </c>
    </row>
    <row r="1605" spans="2:13">
      <c r="B1605" s="2" t="s">
        <v>778</v>
      </c>
      <c r="C1605" s="5" t="str">
        <f>_xlfn.XLOOKUP(B1605,Master[Product_Code],Master[Category])</f>
        <v>T-Shirt</v>
      </c>
      <c r="D1605" s="2" t="str">
        <f>_xlfn.XLOOKUP(B1605,Master[Product_Code],Master[Brand])</f>
        <v>Turkey</v>
      </c>
      <c r="E1605" s="2" t="str">
        <f>_xlfn.XLOOKUP(B1605,Master[Product_Code],Master[Style])</f>
        <v>Full Sleeve</v>
      </c>
      <c r="F1605" s="2" t="str">
        <f>_xlfn.XLOOKUP(B1605,Master[Product_Code],Master[Fabric])</f>
        <v>Cotton Blend</v>
      </c>
      <c r="G1605" s="2" t="str">
        <f>_xlfn.XLOOKUP(B1605,Master[Product_Code],Master[Size])</f>
        <v>XXL</v>
      </c>
      <c r="H1605" s="2" t="str">
        <f>_xlfn.XLOOKUP(B1605,Master[Product_Code],Master[Color])</f>
        <v>Maroon</v>
      </c>
      <c r="I1605" s="4">
        <f>_xlfn.XLOOKUP(B1605,Master[Product_Code],Master[Stock_Qty])</f>
        <v>4</v>
      </c>
      <c r="J1605" s="6">
        <f>SUMIFS(
  Sales_Entry[Qty],
  Sales_Entry[Product_Code], Stock_Table[[#This Row],[Product_Code]]
)</f>
        <v>4</v>
      </c>
      <c r="K1605" s="4">
        <f>SUMIFS(
  Exchange_Return[Qty],
  Exchange_Return[Product_Code], Stock_Table[[#This Row],[Product_Code]]
)</f>
        <v>0</v>
      </c>
      <c r="L1605" s="4">
        <f>I1605-J1605+K1605</f>
        <v>0</v>
      </c>
      <c r="M1605" s="2" t="str" cm="1">
        <f t="array" ref="M1605">_xlfn.IFS(L1605=0,"Out of Stock",L1605&gt;=2,"Limited Stock",L1605&lt;2,"In Stock")</f>
        <v>Out of Stock</v>
      </c>
    </row>
    <row r="1606" spans="2:13">
      <c r="B1606" s="2" t="s">
        <v>779</v>
      </c>
      <c r="C1606" s="5" t="str">
        <f>_xlfn.XLOOKUP(B1606,Master[Product_Code],Master[Category])</f>
        <v>T-Shirt</v>
      </c>
      <c r="D1606" s="2" t="str">
        <f>_xlfn.XLOOKUP(B1606,Master[Product_Code],Master[Brand])</f>
        <v>Campus</v>
      </c>
      <c r="E1606" s="2" t="str">
        <f>_xlfn.XLOOKUP(B1606,Master[Product_Code],Master[Style])</f>
        <v>Hoodie</v>
      </c>
      <c r="F1606" s="2" t="str">
        <f>_xlfn.XLOOKUP(B1606,Master[Product_Code],Master[Fabric])</f>
        <v>Cotton Blend</v>
      </c>
      <c r="G1606" s="2" t="str">
        <f>_xlfn.XLOOKUP(B1606,Master[Product_Code],Master[Size])</f>
        <v>M</v>
      </c>
      <c r="H1606" s="2" t="str">
        <f>_xlfn.XLOOKUP(B1606,Master[Product_Code],Master[Color])</f>
        <v>Mustard</v>
      </c>
      <c r="I1606" s="4">
        <f>_xlfn.XLOOKUP(B1606,Master[Product_Code],Master[Stock_Qty])</f>
        <v>6</v>
      </c>
      <c r="J1606" s="6">
        <f>SUMIFS(
  Sales_Entry[Qty],
  Sales_Entry[Product_Code], Stock_Table[[#This Row],[Product_Code]]
)</f>
        <v>4</v>
      </c>
      <c r="K1606" s="4">
        <f>SUMIFS(
  Exchange_Return[Qty],
  Exchange_Return[Product_Code], Stock_Table[[#This Row],[Product_Code]]
)</f>
        <v>0</v>
      </c>
      <c r="L1606" s="4">
        <f>I1606-J1606+K1606</f>
        <v>2</v>
      </c>
      <c r="M1606" s="2" t="str" cm="1">
        <f t="array" ref="M1606">_xlfn.IFS(L1606=0,"Out of Stock",L1606&gt;=2,"Limited Stock",L1606&lt;2,"In Stock")</f>
        <v>Limited Stock</v>
      </c>
    </row>
    <row r="1607" spans="2:13">
      <c r="B1607" s="2" t="s">
        <v>780</v>
      </c>
      <c r="C1607" s="5" t="str">
        <f>_xlfn.XLOOKUP(B1607,Master[Product_Code],Master[Category])</f>
        <v>T-Shirt</v>
      </c>
      <c r="D1607" s="2" t="str">
        <f>_xlfn.XLOOKUP(B1607,Master[Product_Code],Master[Brand])</f>
        <v>Roadster</v>
      </c>
      <c r="E1607" s="2" t="str">
        <f>_xlfn.XLOOKUP(B1607,Master[Product_Code],Master[Style])</f>
        <v>Half Sleeve</v>
      </c>
      <c r="F1607" s="2" t="str">
        <f>_xlfn.XLOOKUP(B1607,Master[Product_Code],Master[Fabric])</f>
        <v>Cotton</v>
      </c>
      <c r="G1607" s="2" t="str">
        <f>_xlfn.XLOOKUP(B1607,Master[Product_Code],Master[Size])</f>
        <v>XL</v>
      </c>
      <c r="H1607" s="2" t="str">
        <f>_xlfn.XLOOKUP(B1607,Master[Product_Code],Master[Color])</f>
        <v>Rust</v>
      </c>
      <c r="I1607" s="4">
        <f>_xlfn.XLOOKUP(B1607,Master[Product_Code],Master[Stock_Qty])</f>
        <v>4</v>
      </c>
      <c r="J1607" s="6">
        <f>SUMIFS(
  Sales_Entry[Qty],
  Sales_Entry[Product_Code], Stock_Table[[#This Row],[Product_Code]]
)</f>
        <v>0</v>
      </c>
      <c r="K1607" s="4">
        <f>SUMIFS(
  Exchange_Return[Qty],
  Exchange_Return[Product_Code], Stock_Table[[#This Row],[Product_Code]]
)</f>
        <v>0</v>
      </c>
      <c r="L1607" s="4">
        <f>I1607-J1607+K1607</f>
        <v>4</v>
      </c>
      <c r="M1607" s="2" t="str" cm="1">
        <f t="array" ref="M1607">_xlfn.IFS(L1607=0,"Out of Stock",L1607&gt;=2,"Limited Stock",L1607&lt;2,"In Stock")</f>
        <v>Limited Stock</v>
      </c>
    </row>
    <row r="1608" spans="2:13">
      <c r="B1608" s="2" t="s">
        <v>781</v>
      </c>
      <c r="C1608" s="5" t="str">
        <f>_xlfn.XLOOKUP(B1608,Master[Product_Code],Master[Category])</f>
        <v>T-Shirt</v>
      </c>
      <c r="D1608" s="2" t="str">
        <f>_xlfn.XLOOKUP(B1608,Master[Product_Code],Master[Brand])</f>
        <v>Zara</v>
      </c>
      <c r="E1608" s="2" t="str">
        <f>_xlfn.XLOOKUP(B1608,Master[Product_Code],Master[Style])</f>
        <v>Full Sleeve</v>
      </c>
      <c r="F1608" s="2" t="str">
        <f>_xlfn.XLOOKUP(B1608,Master[Product_Code],Master[Fabric])</f>
        <v>Poly Cotton</v>
      </c>
      <c r="G1608" s="2" t="str">
        <f>_xlfn.XLOOKUP(B1608,Master[Product_Code],Master[Size])</f>
        <v>XXL</v>
      </c>
      <c r="H1608" s="2" t="str">
        <f>_xlfn.XLOOKUP(B1608,Master[Product_Code],Master[Color])</f>
        <v>Bottle Green</v>
      </c>
      <c r="I1608" s="4">
        <f>_xlfn.XLOOKUP(B1608,Master[Product_Code],Master[Stock_Qty])</f>
        <v>4</v>
      </c>
      <c r="J1608" s="6">
        <f>SUMIFS(
  Sales_Entry[Qty],
  Sales_Entry[Product_Code], Stock_Table[[#This Row],[Product_Code]]
)</f>
        <v>1</v>
      </c>
      <c r="K1608" s="4">
        <f>SUMIFS(
  Exchange_Return[Qty],
  Exchange_Return[Product_Code], Stock_Table[[#This Row],[Product_Code]]
)</f>
        <v>0</v>
      </c>
      <c r="L1608" s="4">
        <f>I1608-J1608+K1608</f>
        <v>3</v>
      </c>
      <c r="M1608" s="2" t="str" cm="1">
        <f t="array" ref="M1608">_xlfn.IFS(L1608=0,"Out of Stock",L1608&gt;=2,"Limited Stock",L1608&lt;2,"In Stock")</f>
        <v>Limited Stock</v>
      </c>
    </row>
    <row r="1609" spans="2:13">
      <c r="B1609" s="2" t="s">
        <v>782</v>
      </c>
      <c r="C1609" s="5" t="str">
        <f>_xlfn.XLOOKUP(B1609,Master[Product_Code],Master[Category])</f>
        <v>T-Shirt</v>
      </c>
      <c r="D1609" s="2" t="str">
        <f>_xlfn.XLOOKUP(B1609,Master[Product_Code],Master[Brand])</f>
        <v>Zara</v>
      </c>
      <c r="E1609" s="2" t="str">
        <f>_xlfn.XLOOKUP(B1609,Master[Product_Code],Master[Style])</f>
        <v>Full Sleeve</v>
      </c>
      <c r="F1609" s="2" t="str">
        <f>_xlfn.XLOOKUP(B1609,Master[Product_Code],Master[Fabric])</f>
        <v>Cotton Blend</v>
      </c>
      <c r="G1609" s="2" t="str">
        <f>_xlfn.XLOOKUP(B1609,Master[Product_Code],Master[Size])</f>
        <v>XXL</v>
      </c>
      <c r="H1609" s="2" t="str">
        <f>_xlfn.XLOOKUP(B1609,Master[Product_Code],Master[Color])</f>
        <v>Royal Blue</v>
      </c>
      <c r="I1609" s="4">
        <f>_xlfn.XLOOKUP(B1609,Master[Product_Code],Master[Stock_Qty])</f>
        <v>3</v>
      </c>
      <c r="J1609" s="6">
        <f>SUMIFS(
  Sales_Entry[Qty],
  Sales_Entry[Product_Code], Stock_Table[[#This Row],[Product_Code]]
)</f>
        <v>0</v>
      </c>
      <c r="K1609" s="4">
        <f>SUMIFS(
  Exchange_Return[Qty],
  Exchange_Return[Product_Code], Stock_Table[[#This Row],[Product_Code]]
)</f>
        <v>0</v>
      </c>
      <c r="L1609" s="4">
        <f>I1609-J1609+K1609</f>
        <v>3</v>
      </c>
      <c r="M1609" s="2" t="str" cm="1">
        <f t="array" ref="M1609">_xlfn.IFS(L1609=0,"Out of Stock",L1609&gt;=2,"Limited Stock",L1609&lt;2,"In Stock")</f>
        <v>Limited Stock</v>
      </c>
    </row>
    <row r="1610" spans="2:13">
      <c r="B1610" s="2" t="s">
        <v>783</v>
      </c>
      <c r="C1610" s="5" t="str">
        <f>_xlfn.XLOOKUP(B1610,Master[Product_Code],Master[Category])</f>
        <v>T-Shirt</v>
      </c>
      <c r="D1610" s="2" t="str">
        <f>_xlfn.XLOOKUP(B1610,Master[Product_Code],Master[Brand])</f>
        <v>Roadster</v>
      </c>
      <c r="E1610" s="2" t="str">
        <f>_xlfn.XLOOKUP(B1610,Master[Product_Code],Master[Style])</f>
        <v>Half Sleeve</v>
      </c>
      <c r="F1610" s="2" t="str">
        <f>_xlfn.XLOOKUP(B1610,Master[Product_Code],Master[Fabric])</f>
        <v>Cotton</v>
      </c>
      <c r="G1610" s="2" t="str">
        <f>_xlfn.XLOOKUP(B1610,Master[Product_Code],Master[Size])</f>
        <v>XL</v>
      </c>
      <c r="H1610" s="2" t="str">
        <f>_xlfn.XLOOKUP(B1610,Master[Product_Code],Master[Color])</f>
        <v>Maroon</v>
      </c>
      <c r="I1610" s="4">
        <f>_xlfn.XLOOKUP(B1610,Master[Product_Code],Master[Stock_Qty])</f>
        <v>3</v>
      </c>
      <c r="J1610" s="6">
        <f>SUMIFS(
  Sales_Entry[Qty],
  Sales_Entry[Product_Code], Stock_Table[[#This Row],[Product_Code]]
)</f>
        <v>2</v>
      </c>
      <c r="K1610" s="4">
        <f>SUMIFS(
  Exchange_Return[Qty],
  Exchange_Return[Product_Code], Stock_Table[[#This Row],[Product_Code]]
)</f>
        <v>0</v>
      </c>
      <c r="L1610" s="4">
        <f>I1610-J1610+K1610</f>
        <v>1</v>
      </c>
      <c r="M1610" s="2" t="str" cm="1">
        <f t="array" ref="M1610">_xlfn.IFS(L1610=0,"Out of Stock",L1610&gt;=2,"Limited Stock",L1610&lt;2,"In Stock")</f>
        <v>In Stock</v>
      </c>
    </row>
    <row r="1611" spans="2:13">
      <c r="B1611" s="2" t="s">
        <v>784</v>
      </c>
      <c r="C1611" s="5" t="str">
        <f>_xlfn.XLOOKUP(B1611,Master[Product_Code],Master[Category])</f>
        <v>T-Shirt</v>
      </c>
      <c r="D1611" s="2" t="str">
        <f>_xlfn.XLOOKUP(B1611,Master[Product_Code],Master[Brand])</f>
        <v>Campus</v>
      </c>
      <c r="E1611" s="2" t="str">
        <f>_xlfn.XLOOKUP(B1611,Master[Product_Code],Master[Style])</f>
        <v>Sleeveless</v>
      </c>
      <c r="F1611" s="2" t="str">
        <f>_xlfn.XLOOKUP(B1611,Master[Product_Code],Master[Fabric])</f>
        <v>Poly Cotton</v>
      </c>
      <c r="G1611" s="2" t="str">
        <f>_xlfn.XLOOKUP(B1611,Master[Product_Code],Master[Size])</f>
        <v>XL</v>
      </c>
      <c r="H1611" s="2" t="str">
        <f>_xlfn.XLOOKUP(B1611,Master[Product_Code],Master[Color])</f>
        <v>Teal</v>
      </c>
      <c r="I1611" s="4">
        <f>_xlfn.XLOOKUP(B1611,Master[Product_Code],Master[Stock_Qty])</f>
        <v>3</v>
      </c>
      <c r="J1611" s="6">
        <f>SUMIFS(
  Sales_Entry[Qty],
  Sales_Entry[Product_Code], Stock_Table[[#This Row],[Product_Code]]
)</f>
        <v>1</v>
      </c>
      <c r="K1611" s="4">
        <f>SUMIFS(
  Exchange_Return[Qty],
  Exchange_Return[Product_Code], Stock_Table[[#This Row],[Product_Code]]
)</f>
        <v>0</v>
      </c>
      <c r="L1611" s="4">
        <f>I1611-J1611+K1611</f>
        <v>2</v>
      </c>
      <c r="M1611" s="2" t="str" cm="1">
        <f t="array" ref="M1611">_xlfn.IFS(L1611=0,"Out of Stock",L1611&gt;=2,"Limited Stock",L1611&lt;2,"In Stock")</f>
        <v>Limited Stock</v>
      </c>
    </row>
    <row r="1612" spans="2:13">
      <c r="B1612" s="2" t="s">
        <v>785</v>
      </c>
      <c r="C1612" s="5" t="str">
        <f>_xlfn.XLOOKUP(B1612,Master[Product_Code],Master[Category])</f>
        <v>T-Shirt</v>
      </c>
      <c r="D1612" s="2" t="str">
        <f>_xlfn.XLOOKUP(B1612,Master[Product_Code],Master[Brand])</f>
        <v>Roadster</v>
      </c>
      <c r="E1612" s="2" t="str">
        <f>_xlfn.XLOOKUP(B1612,Master[Product_Code],Master[Style])</f>
        <v>Sleeveless</v>
      </c>
      <c r="F1612" s="2" t="str">
        <f>_xlfn.XLOOKUP(B1612,Master[Product_Code],Master[Fabric])</f>
        <v>Cotton</v>
      </c>
      <c r="G1612" s="2" t="str">
        <f>_xlfn.XLOOKUP(B1612,Master[Product_Code],Master[Size])</f>
        <v>XL</v>
      </c>
      <c r="H1612" s="2" t="str">
        <f>_xlfn.XLOOKUP(B1612,Master[Product_Code],Master[Color])</f>
        <v>Rust</v>
      </c>
      <c r="I1612" s="4">
        <f>_xlfn.XLOOKUP(B1612,Master[Product_Code],Master[Stock_Qty])</f>
        <v>5</v>
      </c>
      <c r="J1612" s="6">
        <f>SUMIFS(
  Sales_Entry[Qty],
  Sales_Entry[Product_Code], Stock_Table[[#This Row],[Product_Code]]
)</f>
        <v>2</v>
      </c>
      <c r="K1612" s="4">
        <f>SUMIFS(
  Exchange_Return[Qty],
  Exchange_Return[Product_Code], Stock_Table[[#This Row],[Product_Code]]
)</f>
        <v>0</v>
      </c>
      <c r="L1612" s="4">
        <f>I1612-J1612+K1612</f>
        <v>3</v>
      </c>
      <c r="M1612" s="2" t="str" cm="1">
        <f t="array" ref="M1612">_xlfn.IFS(L1612=0,"Out of Stock",L1612&gt;=2,"Limited Stock",L1612&lt;2,"In Stock")</f>
        <v>Limited Stock</v>
      </c>
    </row>
    <row r="1613" spans="2:13">
      <c r="B1613" s="2" t="s">
        <v>786</v>
      </c>
      <c r="C1613" s="5" t="str">
        <f>_xlfn.XLOOKUP(B1613,Master[Product_Code],Master[Category])</f>
        <v>T-Shirt</v>
      </c>
      <c r="D1613" s="2" t="str">
        <f>_xlfn.XLOOKUP(B1613,Master[Product_Code],Master[Brand])</f>
        <v>Urban Monkey</v>
      </c>
      <c r="E1613" s="2" t="str">
        <f>_xlfn.XLOOKUP(B1613,Master[Product_Code],Master[Style])</f>
        <v>Hoodie</v>
      </c>
      <c r="F1613" s="2" t="str">
        <f>_xlfn.XLOOKUP(B1613,Master[Product_Code],Master[Fabric])</f>
        <v>Cotton</v>
      </c>
      <c r="G1613" s="2" t="str">
        <f>_xlfn.XLOOKUP(B1613,Master[Product_Code],Master[Size])</f>
        <v>XL</v>
      </c>
      <c r="H1613" s="2" t="str">
        <f>_xlfn.XLOOKUP(B1613,Master[Product_Code],Master[Color])</f>
        <v>Maroon</v>
      </c>
      <c r="I1613" s="4">
        <f>_xlfn.XLOOKUP(B1613,Master[Product_Code],Master[Stock_Qty])</f>
        <v>5</v>
      </c>
      <c r="J1613" s="6">
        <f>SUMIFS(
  Sales_Entry[Qty],
  Sales_Entry[Product_Code], Stock_Table[[#This Row],[Product_Code]]
)</f>
        <v>1</v>
      </c>
      <c r="K1613" s="4">
        <f>SUMIFS(
  Exchange_Return[Qty],
  Exchange_Return[Product_Code], Stock_Table[[#This Row],[Product_Code]]
)</f>
        <v>0</v>
      </c>
      <c r="L1613" s="4">
        <f>I1613-J1613+K1613</f>
        <v>4</v>
      </c>
      <c r="M1613" s="2" t="str" cm="1">
        <f t="array" ref="M1613">_xlfn.IFS(L1613=0,"Out of Stock",L1613&gt;=2,"Limited Stock",L1613&lt;2,"In Stock")</f>
        <v>Limited Stock</v>
      </c>
    </row>
    <row r="1614" spans="2:13">
      <c r="B1614" s="2" t="s">
        <v>787</v>
      </c>
      <c r="C1614" s="5" t="str">
        <f>_xlfn.XLOOKUP(B1614,Master[Product_Code],Master[Category])</f>
        <v>T-Shirt</v>
      </c>
      <c r="D1614" s="2" t="str">
        <f>_xlfn.XLOOKUP(B1614,Master[Product_Code],Master[Brand])</f>
        <v>Urban Monkey</v>
      </c>
      <c r="E1614" s="2" t="str">
        <f>_xlfn.XLOOKUP(B1614,Master[Product_Code],Master[Style])</f>
        <v>Full Sleeve</v>
      </c>
      <c r="F1614" s="2" t="str">
        <f>_xlfn.XLOOKUP(B1614,Master[Product_Code],Master[Fabric])</f>
        <v>Cotton</v>
      </c>
      <c r="G1614" s="2" t="str">
        <f>_xlfn.XLOOKUP(B1614,Master[Product_Code],Master[Size])</f>
        <v>L</v>
      </c>
      <c r="H1614" s="2" t="str">
        <f>_xlfn.XLOOKUP(B1614,Master[Product_Code],Master[Color])</f>
        <v>Royal Blue</v>
      </c>
      <c r="I1614" s="4">
        <f>_xlfn.XLOOKUP(B1614,Master[Product_Code],Master[Stock_Qty])</f>
        <v>6</v>
      </c>
      <c r="J1614" s="6">
        <f>SUMIFS(
  Sales_Entry[Qty],
  Sales_Entry[Product_Code], Stock_Table[[#This Row],[Product_Code]]
)</f>
        <v>1</v>
      </c>
      <c r="K1614" s="4">
        <f>SUMIFS(
  Exchange_Return[Qty],
  Exchange_Return[Product_Code], Stock_Table[[#This Row],[Product_Code]]
)</f>
        <v>0</v>
      </c>
      <c r="L1614" s="4">
        <f>I1614-J1614+K1614</f>
        <v>5</v>
      </c>
      <c r="M1614" s="2" t="str" cm="1">
        <f t="array" ref="M1614">_xlfn.IFS(L1614=0,"Out of Stock",L1614&gt;=2,"Limited Stock",L1614&lt;2,"In Stock")</f>
        <v>Limited Stock</v>
      </c>
    </row>
    <row r="1615" spans="2:13">
      <c r="B1615" s="2" t="s">
        <v>788</v>
      </c>
      <c r="C1615" s="5" t="str">
        <f>_xlfn.XLOOKUP(B1615,Master[Product_Code],Master[Category])</f>
        <v>T-Shirt</v>
      </c>
      <c r="D1615" s="2" t="str">
        <f>_xlfn.XLOOKUP(B1615,Master[Product_Code],Master[Brand])</f>
        <v>Turkey</v>
      </c>
      <c r="E1615" s="2" t="str">
        <f>_xlfn.XLOOKUP(B1615,Master[Product_Code],Master[Style])</f>
        <v>Half Sleeve</v>
      </c>
      <c r="F1615" s="2" t="str">
        <f>_xlfn.XLOOKUP(B1615,Master[Product_Code],Master[Fabric])</f>
        <v>Poly Cotton</v>
      </c>
      <c r="G1615" s="2" t="str">
        <f>_xlfn.XLOOKUP(B1615,Master[Product_Code],Master[Size])</f>
        <v>S</v>
      </c>
      <c r="H1615" s="2" t="str">
        <f>_xlfn.XLOOKUP(B1615,Master[Product_Code],Master[Color])</f>
        <v>Light Grey</v>
      </c>
      <c r="I1615" s="4">
        <f>_xlfn.XLOOKUP(B1615,Master[Product_Code],Master[Stock_Qty])</f>
        <v>3</v>
      </c>
      <c r="J1615" s="6">
        <f>SUMIFS(
  Sales_Entry[Qty],
  Sales_Entry[Product_Code], Stock_Table[[#This Row],[Product_Code]]
)</f>
        <v>2</v>
      </c>
      <c r="K1615" s="4">
        <f>SUMIFS(
  Exchange_Return[Qty],
  Exchange_Return[Product_Code], Stock_Table[[#This Row],[Product_Code]]
)</f>
        <v>0</v>
      </c>
      <c r="L1615" s="4">
        <f>I1615-J1615+K1615</f>
        <v>1</v>
      </c>
      <c r="M1615" s="2" t="str" cm="1">
        <f t="array" ref="M1615">_xlfn.IFS(L1615=0,"Out of Stock",L1615&gt;=2,"Limited Stock",L1615&lt;2,"In Stock")</f>
        <v>In Stock</v>
      </c>
    </row>
    <row r="1616" spans="2:13">
      <c r="B1616" s="2" t="s">
        <v>789</v>
      </c>
      <c r="C1616" s="5" t="str">
        <f>_xlfn.XLOOKUP(B1616,Master[Product_Code],Master[Category])</f>
        <v>T-Shirt</v>
      </c>
      <c r="D1616" s="2" t="str">
        <f>_xlfn.XLOOKUP(B1616,Master[Product_Code],Master[Brand])</f>
        <v>Zara</v>
      </c>
      <c r="E1616" s="2" t="str">
        <f>_xlfn.XLOOKUP(B1616,Master[Product_Code],Master[Style])</f>
        <v>Sleeveless</v>
      </c>
      <c r="F1616" s="2" t="str">
        <f>_xlfn.XLOOKUP(B1616,Master[Product_Code],Master[Fabric])</f>
        <v>Poly Cotton</v>
      </c>
      <c r="G1616" s="2" t="str">
        <f>_xlfn.XLOOKUP(B1616,Master[Product_Code],Master[Size])</f>
        <v>M</v>
      </c>
      <c r="H1616" s="2" t="str">
        <f>_xlfn.XLOOKUP(B1616,Master[Product_Code],Master[Color])</f>
        <v>Mustard</v>
      </c>
      <c r="I1616" s="4">
        <f>_xlfn.XLOOKUP(B1616,Master[Product_Code],Master[Stock_Qty])</f>
        <v>6</v>
      </c>
      <c r="J1616" s="6">
        <f>SUMIFS(
  Sales_Entry[Qty],
  Sales_Entry[Product_Code], Stock_Table[[#This Row],[Product_Code]]
)</f>
        <v>1</v>
      </c>
      <c r="K1616" s="4">
        <f>SUMIFS(
  Exchange_Return[Qty],
  Exchange_Return[Product_Code], Stock_Table[[#This Row],[Product_Code]]
)</f>
        <v>0</v>
      </c>
      <c r="L1616" s="4">
        <f>I1616-J1616+K1616</f>
        <v>5</v>
      </c>
      <c r="M1616" s="2" t="str" cm="1">
        <f t="array" ref="M1616">_xlfn.IFS(L1616=0,"Out of Stock",L1616&gt;=2,"Limited Stock",L1616&lt;2,"In Stock")</f>
        <v>Limited Stock</v>
      </c>
    </row>
    <row r="1617" spans="2:13">
      <c r="B1617" s="2" t="s">
        <v>790</v>
      </c>
      <c r="C1617" s="5" t="str">
        <f>_xlfn.XLOOKUP(B1617,Master[Product_Code],Master[Category])</f>
        <v>T-Shirt</v>
      </c>
      <c r="D1617" s="2" t="str">
        <f>_xlfn.XLOOKUP(B1617,Master[Product_Code],Master[Brand])</f>
        <v>Zara</v>
      </c>
      <c r="E1617" s="2" t="str">
        <f>_xlfn.XLOOKUP(B1617,Master[Product_Code],Master[Style])</f>
        <v>Full Sleeve</v>
      </c>
      <c r="F1617" s="2" t="str">
        <f>_xlfn.XLOOKUP(B1617,Master[Product_Code],Master[Fabric])</f>
        <v>Cotton Blend</v>
      </c>
      <c r="G1617" s="2" t="str">
        <f>_xlfn.XLOOKUP(B1617,Master[Product_Code],Master[Size])</f>
        <v>XXL</v>
      </c>
      <c r="H1617" s="2" t="str">
        <f>_xlfn.XLOOKUP(B1617,Master[Product_Code],Master[Color])</f>
        <v>Beige</v>
      </c>
      <c r="I1617" s="4">
        <f>_xlfn.XLOOKUP(B1617,Master[Product_Code],Master[Stock_Qty])</f>
        <v>5</v>
      </c>
      <c r="J1617" s="6">
        <f>SUMIFS(
  Sales_Entry[Qty],
  Sales_Entry[Product_Code], Stock_Table[[#This Row],[Product_Code]]
)</f>
        <v>0</v>
      </c>
      <c r="K1617" s="4">
        <f>SUMIFS(
  Exchange_Return[Qty],
  Exchange_Return[Product_Code], Stock_Table[[#This Row],[Product_Code]]
)</f>
        <v>0</v>
      </c>
      <c r="L1617" s="4">
        <f>I1617-J1617+K1617</f>
        <v>5</v>
      </c>
      <c r="M1617" s="2" t="str" cm="1">
        <f t="array" ref="M1617">_xlfn.IFS(L1617=0,"Out of Stock",L1617&gt;=2,"Limited Stock",L1617&lt;2,"In Stock")</f>
        <v>Limited Stock</v>
      </c>
    </row>
    <row r="1618" spans="2:13">
      <c r="B1618" s="2" t="s">
        <v>791</v>
      </c>
      <c r="C1618" s="5" t="str">
        <f>_xlfn.XLOOKUP(B1618,Master[Product_Code],Master[Category])</f>
        <v>T-Shirt</v>
      </c>
      <c r="D1618" s="2" t="str">
        <f>_xlfn.XLOOKUP(B1618,Master[Product_Code],Master[Brand])</f>
        <v>Max</v>
      </c>
      <c r="E1618" s="2" t="str">
        <f>_xlfn.XLOOKUP(B1618,Master[Product_Code],Master[Style])</f>
        <v>Hoodie</v>
      </c>
      <c r="F1618" s="2" t="str">
        <f>_xlfn.XLOOKUP(B1618,Master[Product_Code],Master[Fabric])</f>
        <v>Cotton Blend</v>
      </c>
      <c r="G1618" s="2" t="str">
        <f>_xlfn.XLOOKUP(B1618,Master[Product_Code],Master[Size])</f>
        <v>XXL</v>
      </c>
      <c r="H1618" s="2" t="str">
        <f>_xlfn.XLOOKUP(B1618,Master[Product_Code],Master[Color])</f>
        <v>Beige</v>
      </c>
      <c r="I1618" s="4">
        <f>_xlfn.XLOOKUP(B1618,Master[Product_Code],Master[Stock_Qty])</f>
        <v>6</v>
      </c>
      <c r="J1618" s="6">
        <f>SUMIFS(
  Sales_Entry[Qty],
  Sales_Entry[Product_Code], Stock_Table[[#This Row],[Product_Code]]
)</f>
        <v>5</v>
      </c>
      <c r="K1618" s="4">
        <f>SUMIFS(
  Exchange_Return[Qty],
  Exchange_Return[Product_Code], Stock_Table[[#This Row],[Product_Code]]
)</f>
        <v>0</v>
      </c>
      <c r="L1618" s="4">
        <f>I1618-J1618+K1618</f>
        <v>1</v>
      </c>
      <c r="M1618" s="2" t="str" cm="1">
        <f t="array" ref="M1618">_xlfn.IFS(L1618=0,"Out of Stock",L1618&gt;=2,"Limited Stock",L1618&lt;2,"In Stock")</f>
        <v>In Stock</v>
      </c>
    </row>
    <row r="1619" spans="2:13">
      <c r="B1619" s="2" t="s">
        <v>792</v>
      </c>
      <c r="C1619" s="5" t="str">
        <f>_xlfn.XLOOKUP(B1619,Master[Product_Code],Master[Category])</f>
        <v>T-Shirt</v>
      </c>
      <c r="D1619" s="2" t="str">
        <f>_xlfn.XLOOKUP(B1619,Master[Product_Code],Master[Brand])</f>
        <v>Turkey</v>
      </c>
      <c r="E1619" s="2" t="str">
        <f>_xlfn.XLOOKUP(B1619,Master[Product_Code],Master[Style])</f>
        <v>Sleeveless</v>
      </c>
      <c r="F1619" s="2" t="str">
        <f>_xlfn.XLOOKUP(B1619,Master[Product_Code],Master[Fabric])</f>
        <v>Poly Cotton</v>
      </c>
      <c r="G1619" s="2" t="str">
        <f>_xlfn.XLOOKUP(B1619,Master[Product_Code],Master[Size])</f>
        <v>XXL</v>
      </c>
      <c r="H1619" s="2" t="str">
        <f>_xlfn.XLOOKUP(B1619,Master[Product_Code],Master[Color])</f>
        <v>Peach</v>
      </c>
      <c r="I1619" s="4">
        <f>_xlfn.XLOOKUP(B1619,Master[Product_Code],Master[Stock_Qty])</f>
        <v>4</v>
      </c>
      <c r="J1619" s="6">
        <f>SUMIFS(
  Sales_Entry[Qty],
  Sales_Entry[Product_Code], Stock_Table[[#This Row],[Product_Code]]
)</f>
        <v>3</v>
      </c>
      <c r="K1619" s="4">
        <f>SUMIFS(
  Exchange_Return[Qty],
  Exchange_Return[Product_Code], Stock_Table[[#This Row],[Product_Code]]
)</f>
        <v>0</v>
      </c>
      <c r="L1619" s="4">
        <f>I1619-J1619+K1619</f>
        <v>1</v>
      </c>
      <c r="M1619" s="2" t="str" cm="1">
        <f t="array" ref="M1619">_xlfn.IFS(L1619=0,"Out of Stock",L1619&gt;=2,"Limited Stock",L1619&lt;2,"In Stock")</f>
        <v>In Stock</v>
      </c>
    </row>
    <row r="1620" spans="2:13">
      <c r="B1620" s="2" t="s">
        <v>793</v>
      </c>
      <c r="C1620" s="5" t="str">
        <f>_xlfn.XLOOKUP(B1620,Master[Product_Code],Master[Category])</f>
        <v>T-Shirt</v>
      </c>
      <c r="D1620" s="2" t="str">
        <f>_xlfn.XLOOKUP(B1620,Master[Product_Code],Master[Brand])</f>
        <v>Roadster</v>
      </c>
      <c r="E1620" s="2" t="str">
        <f>_xlfn.XLOOKUP(B1620,Master[Product_Code],Master[Style])</f>
        <v>Hoodie</v>
      </c>
      <c r="F1620" s="2" t="str">
        <f>_xlfn.XLOOKUP(B1620,Master[Product_Code],Master[Fabric])</f>
        <v>Cotton Blend</v>
      </c>
      <c r="G1620" s="2" t="str">
        <f>_xlfn.XLOOKUP(B1620,Master[Product_Code],Master[Size])</f>
        <v>L</v>
      </c>
      <c r="H1620" s="2" t="str">
        <f>_xlfn.XLOOKUP(B1620,Master[Product_Code],Master[Color])</f>
        <v>Brown</v>
      </c>
      <c r="I1620" s="4">
        <f>_xlfn.XLOOKUP(B1620,Master[Product_Code],Master[Stock_Qty])</f>
        <v>5</v>
      </c>
      <c r="J1620" s="6">
        <f>SUMIFS(
  Sales_Entry[Qty],
  Sales_Entry[Product_Code], Stock_Table[[#This Row],[Product_Code]]
)</f>
        <v>0</v>
      </c>
      <c r="K1620" s="4">
        <f>SUMIFS(
  Exchange_Return[Qty],
  Exchange_Return[Product_Code], Stock_Table[[#This Row],[Product_Code]]
)</f>
        <v>0</v>
      </c>
      <c r="L1620" s="4">
        <f>I1620-J1620+K1620</f>
        <v>5</v>
      </c>
      <c r="M1620" s="2" t="str" cm="1">
        <f t="array" ref="M1620">_xlfn.IFS(L1620=0,"Out of Stock",L1620&gt;=2,"Limited Stock",L1620&lt;2,"In Stock")</f>
        <v>Limited Stock</v>
      </c>
    </row>
    <row r="1621" spans="2:13">
      <c r="B1621" s="2" t="s">
        <v>794</v>
      </c>
      <c r="C1621" s="5" t="str">
        <f>_xlfn.XLOOKUP(B1621,Master[Product_Code],Master[Category])</f>
        <v>T-Shirt</v>
      </c>
      <c r="D1621" s="2" t="str">
        <f>_xlfn.XLOOKUP(B1621,Master[Product_Code],Master[Brand])</f>
        <v>Max</v>
      </c>
      <c r="E1621" s="2" t="str">
        <f>_xlfn.XLOOKUP(B1621,Master[Product_Code],Master[Style])</f>
        <v>Full Sleeve</v>
      </c>
      <c r="F1621" s="2" t="str">
        <f>_xlfn.XLOOKUP(B1621,Master[Product_Code],Master[Fabric])</f>
        <v>Poly Cotton</v>
      </c>
      <c r="G1621" s="2" t="str">
        <f>_xlfn.XLOOKUP(B1621,Master[Product_Code],Master[Size])</f>
        <v>S</v>
      </c>
      <c r="H1621" s="2" t="str">
        <f>_xlfn.XLOOKUP(B1621,Master[Product_Code],Master[Color])</f>
        <v>Charcoal</v>
      </c>
      <c r="I1621" s="4">
        <f>_xlfn.XLOOKUP(B1621,Master[Product_Code],Master[Stock_Qty])</f>
        <v>6</v>
      </c>
      <c r="J1621" s="6">
        <f>SUMIFS(
  Sales_Entry[Qty],
  Sales_Entry[Product_Code], Stock_Table[[#This Row],[Product_Code]]
)</f>
        <v>2</v>
      </c>
      <c r="K1621" s="4">
        <f>SUMIFS(
  Exchange_Return[Qty],
  Exchange_Return[Product_Code], Stock_Table[[#This Row],[Product_Code]]
)</f>
        <v>0</v>
      </c>
      <c r="L1621" s="4">
        <f>I1621-J1621+K1621</f>
        <v>4</v>
      </c>
      <c r="M1621" s="2" t="str" cm="1">
        <f t="array" ref="M1621">_xlfn.IFS(L1621=0,"Out of Stock",L1621&gt;=2,"Limited Stock",L1621&lt;2,"In Stock")</f>
        <v>Limited Stock</v>
      </c>
    </row>
    <row r="1622" spans="2:13">
      <c r="B1622" s="2" t="s">
        <v>795</v>
      </c>
      <c r="C1622" s="5" t="str">
        <f>_xlfn.XLOOKUP(B1622,Master[Product_Code],Master[Category])</f>
        <v>T-Shirt</v>
      </c>
      <c r="D1622" s="2" t="str">
        <f>_xlfn.XLOOKUP(B1622,Master[Product_Code],Master[Brand])</f>
        <v>Turkey</v>
      </c>
      <c r="E1622" s="2" t="str">
        <f>_xlfn.XLOOKUP(B1622,Master[Product_Code],Master[Style])</f>
        <v>Half Sleeve</v>
      </c>
      <c r="F1622" s="2" t="str">
        <f>_xlfn.XLOOKUP(B1622,Master[Product_Code],Master[Fabric])</f>
        <v>Cotton</v>
      </c>
      <c r="G1622" s="2" t="str">
        <f>_xlfn.XLOOKUP(B1622,Master[Product_Code],Master[Size])</f>
        <v>XXL</v>
      </c>
      <c r="H1622" s="2" t="str">
        <f>_xlfn.XLOOKUP(B1622,Master[Product_Code],Master[Color])</f>
        <v>Rust</v>
      </c>
      <c r="I1622" s="4">
        <f>_xlfn.XLOOKUP(B1622,Master[Product_Code],Master[Stock_Qty])</f>
        <v>5</v>
      </c>
      <c r="J1622" s="6">
        <f>SUMIFS(
  Sales_Entry[Qty],
  Sales_Entry[Product_Code], Stock_Table[[#This Row],[Product_Code]]
)</f>
        <v>2</v>
      </c>
      <c r="K1622" s="4">
        <f>SUMIFS(
  Exchange_Return[Qty],
  Exchange_Return[Product_Code], Stock_Table[[#This Row],[Product_Code]]
)</f>
        <v>0</v>
      </c>
      <c r="L1622" s="4">
        <f>I1622-J1622+K1622</f>
        <v>3</v>
      </c>
      <c r="M1622" s="2" t="str" cm="1">
        <f t="array" ref="M1622">_xlfn.IFS(L1622=0,"Out of Stock",L1622&gt;=2,"Limited Stock",L1622&lt;2,"In Stock")</f>
        <v>Limited Stock</v>
      </c>
    </row>
    <row r="1623" spans="2:13">
      <c r="B1623" s="2" t="s">
        <v>796</v>
      </c>
      <c r="C1623" s="5" t="str">
        <f>_xlfn.XLOOKUP(B1623,Master[Product_Code],Master[Category])</f>
        <v>T-Shirt</v>
      </c>
      <c r="D1623" s="2" t="str">
        <f>_xlfn.XLOOKUP(B1623,Master[Product_Code],Master[Brand])</f>
        <v>Roadster</v>
      </c>
      <c r="E1623" s="2" t="str">
        <f>_xlfn.XLOOKUP(B1623,Master[Product_Code],Master[Style])</f>
        <v>Half Sleeve</v>
      </c>
      <c r="F1623" s="2" t="str">
        <f>_xlfn.XLOOKUP(B1623,Master[Product_Code],Master[Fabric])</f>
        <v>Cotton</v>
      </c>
      <c r="G1623" s="2" t="str">
        <f>_xlfn.XLOOKUP(B1623,Master[Product_Code],Master[Size])</f>
        <v>XL</v>
      </c>
      <c r="H1623" s="2" t="str">
        <f>_xlfn.XLOOKUP(B1623,Master[Product_Code],Master[Color])</f>
        <v>Black</v>
      </c>
      <c r="I1623" s="4">
        <f>_xlfn.XLOOKUP(B1623,Master[Product_Code],Master[Stock_Qty])</f>
        <v>3</v>
      </c>
      <c r="J1623" s="6">
        <f>SUMIFS(
  Sales_Entry[Qty],
  Sales_Entry[Product_Code], Stock_Table[[#This Row],[Product_Code]]
)</f>
        <v>0</v>
      </c>
      <c r="K1623" s="4">
        <f>SUMIFS(
  Exchange_Return[Qty],
  Exchange_Return[Product_Code], Stock_Table[[#This Row],[Product_Code]]
)</f>
        <v>0</v>
      </c>
      <c r="L1623" s="4">
        <f>I1623-J1623+K1623</f>
        <v>3</v>
      </c>
      <c r="M1623" s="2" t="str" cm="1">
        <f t="array" ref="M1623">_xlfn.IFS(L1623=0,"Out of Stock",L1623&gt;=2,"Limited Stock",L1623&lt;2,"In Stock")</f>
        <v>Limited Stock</v>
      </c>
    </row>
    <row r="1624" spans="2:13">
      <c r="B1624" s="2" t="s">
        <v>797</v>
      </c>
      <c r="C1624" s="5" t="str">
        <f>_xlfn.XLOOKUP(B1624,Master[Product_Code],Master[Category])</f>
        <v>T-Shirt</v>
      </c>
      <c r="D1624" s="2" t="str">
        <f>_xlfn.XLOOKUP(B1624,Master[Product_Code],Master[Brand])</f>
        <v>Max</v>
      </c>
      <c r="E1624" s="2" t="str">
        <f>_xlfn.XLOOKUP(B1624,Master[Product_Code],Master[Style])</f>
        <v>Hoodie</v>
      </c>
      <c r="F1624" s="2" t="str">
        <f>_xlfn.XLOOKUP(B1624,Master[Product_Code],Master[Fabric])</f>
        <v>Cotton Blend</v>
      </c>
      <c r="G1624" s="2" t="str">
        <f>_xlfn.XLOOKUP(B1624,Master[Product_Code],Master[Size])</f>
        <v>S</v>
      </c>
      <c r="H1624" s="2" t="str">
        <f>_xlfn.XLOOKUP(B1624,Master[Product_Code],Master[Color])</f>
        <v>Navy Blue</v>
      </c>
      <c r="I1624" s="4">
        <f>_xlfn.XLOOKUP(B1624,Master[Product_Code],Master[Stock_Qty])</f>
        <v>5</v>
      </c>
      <c r="J1624" s="6">
        <f>SUMIFS(
  Sales_Entry[Qty],
  Sales_Entry[Product_Code], Stock_Table[[#This Row],[Product_Code]]
)</f>
        <v>1</v>
      </c>
      <c r="K1624" s="4">
        <f>SUMIFS(
  Exchange_Return[Qty],
  Exchange_Return[Product_Code], Stock_Table[[#This Row],[Product_Code]]
)</f>
        <v>0</v>
      </c>
      <c r="L1624" s="4">
        <f>I1624-J1624+K1624</f>
        <v>4</v>
      </c>
      <c r="M1624" s="2" t="str" cm="1">
        <f t="array" ref="M1624">_xlfn.IFS(L1624=0,"Out of Stock",L1624&gt;=2,"Limited Stock",L1624&lt;2,"In Stock")</f>
        <v>Limited Stock</v>
      </c>
    </row>
    <row r="1625" spans="2:13">
      <c r="B1625" s="2" t="s">
        <v>798</v>
      </c>
      <c r="C1625" s="5" t="str">
        <f>_xlfn.XLOOKUP(B1625,Master[Product_Code],Master[Category])</f>
        <v>T-Shirt</v>
      </c>
      <c r="D1625" s="2" t="str">
        <f>_xlfn.XLOOKUP(B1625,Master[Product_Code],Master[Brand])</f>
        <v>Thailand</v>
      </c>
      <c r="E1625" s="2" t="str">
        <f>_xlfn.XLOOKUP(B1625,Master[Product_Code],Master[Style])</f>
        <v>Half Sleeve</v>
      </c>
      <c r="F1625" s="2" t="str">
        <f>_xlfn.XLOOKUP(B1625,Master[Product_Code],Master[Fabric])</f>
        <v>Poly Cotton</v>
      </c>
      <c r="G1625" s="2" t="str">
        <f>_xlfn.XLOOKUP(B1625,Master[Product_Code],Master[Size])</f>
        <v>S</v>
      </c>
      <c r="H1625" s="2" t="str">
        <f>_xlfn.XLOOKUP(B1625,Master[Product_Code],Master[Color])</f>
        <v>Rust</v>
      </c>
      <c r="I1625" s="4">
        <f>_xlfn.XLOOKUP(B1625,Master[Product_Code],Master[Stock_Qty])</f>
        <v>6</v>
      </c>
      <c r="J1625" s="6">
        <f>SUMIFS(
  Sales_Entry[Qty],
  Sales_Entry[Product_Code], Stock_Table[[#This Row],[Product_Code]]
)</f>
        <v>1</v>
      </c>
      <c r="K1625" s="4">
        <f>SUMIFS(
  Exchange_Return[Qty],
  Exchange_Return[Product_Code], Stock_Table[[#This Row],[Product_Code]]
)</f>
        <v>0</v>
      </c>
      <c r="L1625" s="4">
        <f>I1625-J1625+K1625</f>
        <v>5</v>
      </c>
      <c r="M1625" s="2" t="str" cm="1">
        <f t="array" ref="M1625">_xlfn.IFS(L1625=0,"Out of Stock",L1625&gt;=2,"Limited Stock",L1625&lt;2,"In Stock")</f>
        <v>Limited Stock</v>
      </c>
    </row>
    <row r="1626" spans="2:13">
      <c r="B1626" s="2" t="s">
        <v>799</v>
      </c>
      <c r="C1626" s="5" t="str">
        <f>_xlfn.XLOOKUP(B1626,Master[Product_Code],Master[Category])</f>
        <v>T-Shirt</v>
      </c>
      <c r="D1626" s="2" t="str">
        <f>_xlfn.XLOOKUP(B1626,Master[Product_Code],Master[Brand])</f>
        <v>Campus</v>
      </c>
      <c r="E1626" s="2" t="str">
        <f>_xlfn.XLOOKUP(B1626,Master[Product_Code],Master[Style])</f>
        <v>Hoodie</v>
      </c>
      <c r="F1626" s="2" t="str">
        <f>_xlfn.XLOOKUP(B1626,Master[Product_Code],Master[Fabric])</f>
        <v>Cotton Blend</v>
      </c>
      <c r="G1626" s="2" t="str">
        <f>_xlfn.XLOOKUP(B1626,Master[Product_Code],Master[Size])</f>
        <v>XXL</v>
      </c>
      <c r="H1626" s="2" t="str">
        <f>_xlfn.XLOOKUP(B1626,Master[Product_Code],Master[Color])</f>
        <v>White</v>
      </c>
      <c r="I1626" s="4">
        <f>_xlfn.XLOOKUP(B1626,Master[Product_Code],Master[Stock_Qty])</f>
        <v>4</v>
      </c>
      <c r="J1626" s="6">
        <f>SUMIFS(
  Sales_Entry[Qty],
  Sales_Entry[Product_Code], Stock_Table[[#This Row],[Product_Code]]
)</f>
        <v>1</v>
      </c>
      <c r="K1626" s="4">
        <f>SUMIFS(
  Exchange_Return[Qty],
  Exchange_Return[Product_Code], Stock_Table[[#This Row],[Product_Code]]
)</f>
        <v>0</v>
      </c>
      <c r="L1626" s="4">
        <f>I1626-J1626+K1626</f>
        <v>3</v>
      </c>
      <c r="M1626" s="2" t="str" cm="1">
        <f t="array" ref="M1626">_xlfn.IFS(L1626=0,"Out of Stock",L1626&gt;=2,"Limited Stock",L1626&lt;2,"In Stock")</f>
        <v>Limited Stock</v>
      </c>
    </row>
    <row r="1627" spans="2:13">
      <c r="B1627" s="2" t="s">
        <v>800</v>
      </c>
      <c r="C1627" s="5" t="str">
        <f>_xlfn.XLOOKUP(B1627,Master[Product_Code],Master[Category])</f>
        <v>T-Shirt</v>
      </c>
      <c r="D1627" s="2" t="str">
        <f>_xlfn.XLOOKUP(B1627,Master[Product_Code],Master[Brand])</f>
        <v>Max</v>
      </c>
      <c r="E1627" s="2" t="str">
        <f>_xlfn.XLOOKUP(B1627,Master[Product_Code],Master[Style])</f>
        <v>Sleeveless</v>
      </c>
      <c r="F1627" s="2" t="str">
        <f>_xlfn.XLOOKUP(B1627,Master[Product_Code],Master[Fabric])</f>
        <v>Cotton</v>
      </c>
      <c r="G1627" s="2" t="str">
        <f>_xlfn.XLOOKUP(B1627,Master[Product_Code],Master[Size])</f>
        <v>M</v>
      </c>
      <c r="H1627" s="2" t="str">
        <f>_xlfn.XLOOKUP(B1627,Master[Product_Code],Master[Color])</f>
        <v>Wine</v>
      </c>
      <c r="I1627" s="4">
        <f>_xlfn.XLOOKUP(B1627,Master[Product_Code],Master[Stock_Qty])</f>
        <v>5</v>
      </c>
      <c r="J1627" s="6">
        <f>SUMIFS(
  Sales_Entry[Qty],
  Sales_Entry[Product_Code], Stock_Table[[#This Row],[Product_Code]]
)</f>
        <v>1</v>
      </c>
      <c r="K1627" s="4">
        <f>SUMIFS(
  Exchange_Return[Qty],
  Exchange_Return[Product_Code], Stock_Table[[#This Row],[Product_Code]]
)</f>
        <v>0</v>
      </c>
      <c r="L1627" s="4">
        <f>I1627-J1627+K1627</f>
        <v>4</v>
      </c>
      <c r="M1627" s="2" t="str" cm="1">
        <f t="array" ref="M1627">_xlfn.IFS(L1627=0,"Out of Stock",L1627&gt;=2,"Limited Stock",L1627&lt;2,"In Stock")</f>
        <v>Limited Stock</v>
      </c>
    </row>
    <row r="1628" spans="2:13">
      <c r="B1628" s="2" t="s">
        <v>801</v>
      </c>
      <c r="C1628" s="5" t="str">
        <f>_xlfn.XLOOKUP(B1628,Master[Product_Code],Master[Category])</f>
        <v>T-Shirt</v>
      </c>
      <c r="D1628" s="2" t="str">
        <f>_xlfn.XLOOKUP(B1628,Master[Product_Code],Master[Brand])</f>
        <v>Zara</v>
      </c>
      <c r="E1628" s="2" t="str">
        <f>_xlfn.XLOOKUP(B1628,Master[Product_Code],Master[Style])</f>
        <v>Hoodie</v>
      </c>
      <c r="F1628" s="2" t="str">
        <f>_xlfn.XLOOKUP(B1628,Master[Product_Code],Master[Fabric])</f>
        <v>Poly Cotton</v>
      </c>
      <c r="G1628" s="2" t="str">
        <f>_xlfn.XLOOKUP(B1628,Master[Product_Code],Master[Size])</f>
        <v>XXL</v>
      </c>
      <c r="H1628" s="2" t="str">
        <f>_xlfn.XLOOKUP(B1628,Master[Product_Code],Master[Color])</f>
        <v>Charcoal</v>
      </c>
      <c r="I1628" s="4">
        <f>_xlfn.XLOOKUP(B1628,Master[Product_Code],Master[Stock_Qty])</f>
        <v>4</v>
      </c>
      <c r="J1628" s="6">
        <f>SUMIFS(
  Sales_Entry[Qty],
  Sales_Entry[Product_Code], Stock_Table[[#This Row],[Product_Code]]
)</f>
        <v>1</v>
      </c>
      <c r="K1628" s="4">
        <f>SUMIFS(
  Exchange_Return[Qty],
  Exchange_Return[Product_Code], Stock_Table[[#This Row],[Product_Code]]
)</f>
        <v>0</v>
      </c>
      <c r="L1628" s="4">
        <f>I1628-J1628+K1628</f>
        <v>3</v>
      </c>
      <c r="M1628" s="2" t="str" cm="1">
        <f t="array" ref="M1628">_xlfn.IFS(L1628=0,"Out of Stock",L1628&gt;=2,"Limited Stock",L1628&lt;2,"In Stock")</f>
        <v>Limited Stock</v>
      </c>
    </row>
    <row r="1629" spans="2:13">
      <c r="B1629" s="2" t="s">
        <v>802</v>
      </c>
      <c r="C1629" s="5" t="str">
        <f>_xlfn.XLOOKUP(B1629,Master[Product_Code],Master[Category])</f>
        <v>T-Shirt</v>
      </c>
      <c r="D1629" s="2" t="str">
        <f>_xlfn.XLOOKUP(B1629,Master[Product_Code],Master[Brand])</f>
        <v>Zara</v>
      </c>
      <c r="E1629" s="2" t="str">
        <f>_xlfn.XLOOKUP(B1629,Master[Product_Code],Master[Style])</f>
        <v>3/4 Sleeve</v>
      </c>
      <c r="F1629" s="2" t="str">
        <f>_xlfn.XLOOKUP(B1629,Master[Product_Code],Master[Fabric])</f>
        <v>Cotton</v>
      </c>
      <c r="G1629" s="2" t="str">
        <f>_xlfn.XLOOKUP(B1629,Master[Product_Code],Master[Size])</f>
        <v>S</v>
      </c>
      <c r="H1629" s="2" t="str">
        <f>_xlfn.XLOOKUP(B1629,Master[Product_Code],Master[Color])</f>
        <v>Olive</v>
      </c>
      <c r="I1629" s="4">
        <f>_xlfn.XLOOKUP(B1629,Master[Product_Code],Master[Stock_Qty])</f>
        <v>3</v>
      </c>
      <c r="J1629" s="6">
        <f>SUMIFS(
  Sales_Entry[Qty],
  Sales_Entry[Product_Code], Stock_Table[[#This Row],[Product_Code]]
)</f>
        <v>3</v>
      </c>
      <c r="K1629" s="4">
        <f>SUMIFS(
  Exchange_Return[Qty],
  Exchange_Return[Product_Code], Stock_Table[[#This Row],[Product_Code]]
)</f>
        <v>0</v>
      </c>
      <c r="L1629" s="4">
        <f>I1629-J1629+K1629</f>
        <v>0</v>
      </c>
      <c r="M1629" s="2" t="str" cm="1">
        <f t="array" ref="M1629">_xlfn.IFS(L1629=0,"Out of Stock",L1629&gt;=2,"Limited Stock",L1629&lt;2,"In Stock")</f>
        <v>Out of Stock</v>
      </c>
    </row>
    <row r="1630" spans="2:13">
      <c r="B1630" s="2" t="s">
        <v>803</v>
      </c>
      <c r="C1630" s="5" t="str">
        <f>_xlfn.XLOOKUP(B1630,Master[Product_Code],Master[Category])</f>
        <v>T-Shirt</v>
      </c>
      <c r="D1630" s="2" t="str">
        <f>_xlfn.XLOOKUP(B1630,Master[Product_Code],Master[Brand])</f>
        <v>Urban Monkey</v>
      </c>
      <c r="E1630" s="2" t="str">
        <f>_xlfn.XLOOKUP(B1630,Master[Product_Code],Master[Style])</f>
        <v>Sleeveless</v>
      </c>
      <c r="F1630" s="2" t="str">
        <f>_xlfn.XLOOKUP(B1630,Master[Product_Code],Master[Fabric])</f>
        <v>Cotton Blend</v>
      </c>
      <c r="G1630" s="2" t="str">
        <f>_xlfn.XLOOKUP(B1630,Master[Product_Code],Master[Size])</f>
        <v>XL</v>
      </c>
      <c r="H1630" s="2" t="str">
        <f>_xlfn.XLOOKUP(B1630,Master[Product_Code],Master[Color])</f>
        <v>Rust</v>
      </c>
      <c r="I1630" s="4">
        <f>_xlfn.XLOOKUP(B1630,Master[Product_Code],Master[Stock_Qty])</f>
        <v>4</v>
      </c>
      <c r="J1630" s="6">
        <f>SUMIFS(
  Sales_Entry[Qty],
  Sales_Entry[Product_Code], Stock_Table[[#This Row],[Product_Code]]
)</f>
        <v>1</v>
      </c>
      <c r="K1630" s="4">
        <f>SUMIFS(
  Exchange_Return[Qty],
  Exchange_Return[Product_Code], Stock_Table[[#This Row],[Product_Code]]
)</f>
        <v>0</v>
      </c>
      <c r="L1630" s="4">
        <f>I1630-J1630+K1630</f>
        <v>3</v>
      </c>
      <c r="M1630" s="2" t="str" cm="1">
        <f t="array" ref="M1630">_xlfn.IFS(L1630=0,"Out of Stock",L1630&gt;=2,"Limited Stock",L1630&lt;2,"In Stock")</f>
        <v>Limited Stock</v>
      </c>
    </row>
    <row r="1631" spans="2:13">
      <c r="B1631" s="2" t="s">
        <v>804</v>
      </c>
      <c r="C1631" s="5" t="str">
        <f>_xlfn.XLOOKUP(B1631,Master[Product_Code],Master[Category])</f>
        <v>T-Shirt</v>
      </c>
      <c r="D1631" s="2" t="str">
        <f>_xlfn.XLOOKUP(B1631,Master[Product_Code],Master[Brand])</f>
        <v>Zara</v>
      </c>
      <c r="E1631" s="2" t="str">
        <f>_xlfn.XLOOKUP(B1631,Master[Product_Code],Master[Style])</f>
        <v>Half Sleeve</v>
      </c>
      <c r="F1631" s="2" t="str">
        <f>_xlfn.XLOOKUP(B1631,Master[Product_Code],Master[Fabric])</f>
        <v>Cotton</v>
      </c>
      <c r="G1631" s="2" t="str">
        <f>_xlfn.XLOOKUP(B1631,Master[Product_Code],Master[Size])</f>
        <v>XXL</v>
      </c>
      <c r="H1631" s="2" t="str">
        <f>_xlfn.XLOOKUP(B1631,Master[Product_Code],Master[Color])</f>
        <v>Brown</v>
      </c>
      <c r="I1631" s="4">
        <f>_xlfn.XLOOKUP(B1631,Master[Product_Code],Master[Stock_Qty])</f>
        <v>5</v>
      </c>
      <c r="J1631" s="6">
        <f>SUMIFS(
  Sales_Entry[Qty],
  Sales_Entry[Product_Code], Stock_Table[[#This Row],[Product_Code]]
)</f>
        <v>2</v>
      </c>
      <c r="K1631" s="4">
        <f>SUMIFS(
  Exchange_Return[Qty],
  Exchange_Return[Product_Code], Stock_Table[[#This Row],[Product_Code]]
)</f>
        <v>0</v>
      </c>
      <c r="L1631" s="4">
        <f>I1631-J1631+K1631</f>
        <v>3</v>
      </c>
      <c r="M1631" s="2" t="str" cm="1">
        <f t="array" ref="M1631">_xlfn.IFS(L1631=0,"Out of Stock",L1631&gt;=2,"Limited Stock",L1631&lt;2,"In Stock")</f>
        <v>Limited Stock</v>
      </c>
    </row>
    <row r="1632" spans="2:13">
      <c r="B1632" s="2" t="s">
        <v>805</v>
      </c>
      <c r="C1632" s="5" t="str">
        <f>_xlfn.XLOOKUP(B1632,Master[Product_Code],Master[Category])</f>
        <v>T-Shirt</v>
      </c>
      <c r="D1632" s="2" t="str">
        <f>_xlfn.XLOOKUP(B1632,Master[Product_Code],Master[Brand])</f>
        <v>Urban Monkey</v>
      </c>
      <c r="E1632" s="2" t="str">
        <f>_xlfn.XLOOKUP(B1632,Master[Product_Code],Master[Style])</f>
        <v>3/4 Sleeve</v>
      </c>
      <c r="F1632" s="2" t="str">
        <f>_xlfn.XLOOKUP(B1632,Master[Product_Code],Master[Fabric])</f>
        <v>Cotton</v>
      </c>
      <c r="G1632" s="2" t="str">
        <f>_xlfn.XLOOKUP(B1632,Master[Product_Code],Master[Size])</f>
        <v>XXL</v>
      </c>
      <c r="H1632" s="2" t="str">
        <f>_xlfn.XLOOKUP(B1632,Master[Product_Code],Master[Color])</f>
        <v>Grey</v>
      </c>
      <c r="I1632" s="4">
        <f>_xlfn.XLOOKUP(B1632,Master[Product_Code],Master[Stock_Qty])</f>
        <v>6</v>
      </c>
      <c r="J1632" s="6">
        <f>SUMIFS(
  Sales_Entry[Qty],
  Sales_Entry[Product_Code], Stock_Table[[#This Row],[Product_Code]]
)</f>
        <v>0</v>
      </c>
      <c r="K1632" s="4">
        <f>SUMIFS(
  Exchange_Return[Qty],
  Exchange_Return[Product_Code], Stock_Table[[#This Row],[Product_Code]]
)</f>
        <v>0</v>
      </c>
      <c r="L1632" s="4">
        <f>I1632-J1632+K1632</f>
        <v>6</v>
      </c>
      <c r="M1632" s="2" t="str" cm="1">
        <f t="array" ref="M1632">_xlfn.IFS(L1632=0,"Out of Stock",L1632&gt;=2,"Limited Stock",L1632&lt;2,"In Stock")</f>
        <v>Limited Stock</v>
      </c>
    </row>
    <row r="1633" spans="2:13">
      <c r="B1633" s="2" t="s">
        <v>806</v>
      </c>
      <c r="C1633" s="5" t="str">
        <f>_xlfn.XLOOKUP(B1633,Master[Product_Code],Master[Category])</f>
        <v>T-Shirt</v>
      </c>
      <c r="D1633" s="2" t="str">
        <f>_xlfn.XLOOKUP(B1633,Master[Product_Code],Master[Brand])</f>
        <v>Roadster</v>
      </c>
      <c r="E1633" s="2" t="str">
        <f>_xlfn.XLOOKUP(B1633,Master[Product_Code],Master[Style])</f>
        <v>Half Sleeve</v>
      </c>
      <c r="F1633" s="2" t="str">
        <f>_xlfn.XLOOKUP(B1633,Master[Product_Code],Master[Fabric])</f>
        <v>Cotton Blend</v>
      </c>
      <c r="G1633" s="2" t="str">
        <f>_xlfn.XLOOKUP(B1633,Master[Product_Code],Master[Size])</f>
        <v>M</v>
      </c>
      <c r="H1633" s="2" t="str">
        <f>_xlfn.XLOOKUP(B1633,Master[Product_Code],Master[Color])</f>
        <v>Bottle Green</v>
      </c>
      <c r="I1633" s="4">
        <f>_xlfn.XLOOKUP(B1633,Master[Product_Code],Master[Stock_Qty])</f>
        <v>3</v>
      </c>
      <c r="J1633" s="6">
        <f>SUMIFS(
  Sales_Entry[Qty],
  Sales_Entry[Product_Code], Stock_Table[[#This Row],[Product_Code]]
)</f>
        <v>4</v>
      </c>
      <c r="K1633" s="4">
        <f>SUMIFS(
  Exchange_Return[Qty],
  Exchange_Return[Product_Code], Stock_Table[[#This Row],[Product_Code]]
)</f>
        <v>1</v>
      </c>
      <c r="L1633" s="4">
        <f>I1633-J1633+K1633</f>
        <v>0</v>
      </c>
      <c r="M1633" s="2" t="str" cm="1">
        <f t="array" ref="M1633">_xlfn.IFS(L1633=0,"Out of Stock",L1633&gt;=2,"Limited Stock",L1633&lt;2,"In Stock")</f>
        <v>Out of Stock</v>
      </c>
    </row>
    <row r="1634" spans="2:13">
      <c r="B1634" s="2" t="s">
        <v>807</v>
      </c>
      <c r="C1634" s="5" t="str">
        <f>_xlfn.XLOOKUP(B1634,Master[Product_Code],Master[Category])</f>
        <v>T-Shirt</v>
      </c>
      <c r="D1634" s="2" t="str">
        <f>_xlfn.XLOOKUP(B1634,Master[Product_Code],Master[Brand])</f>
        <v>Zara</v>
      </c>
      <c r="E1634" s="2" t="str">
        <f>_xlfn.XLOOKUP(B1634,Master[Product_Code],Master[Style])</f>
        <v>Hoodie</v>
      </c>
      <c r="F1634" s="2" t="str">
        <f>_xlfn.XLOOKUP(B1634,Master[Product_Code],Master[Fabric])</f>
        <v>Cotton Blend</v>
      </c>
      <c r="G1634" s="2" t="str">
        <f>_xlfn.XLOOKUP(B1634,Master[Product_Code],Master[Size])</f>
        <v>L</v>
      </c>
      <c r="H1634" s="2" t="str">
        <f>_xlfn.XLOOKUP(B1634,Master[Product_Code],Master[Color])</f>
        <v>Sky Blue</v>
      </c>
      <c r="I1634" s="4">
        <f>_xlfn.XLOOKUP(B1634,Master[Product_Code],Master[Stock_Qty])</f>
        <v>5</v>
      </c>
      <c r="J1634" s="6">
        <f>SUMIFS(
  Sales_Entry[Qty],
  Sales_Entry[Product_Code], Stock_Table[[#This Row],[Product_Code]]
)</f>
        <v>2</v>
      </c>
      <c r="K1634" s="4">
        <f>SUMIFS(
  Exchange_Return[Qty],
  Exchange_Return[Product_Code], Stock_Table[[#This Row],[Product_Code]]
)</f>
        <v>0</v>
      </c>
      <c r="L1634" s="4">
        <f>I1634-J1634+K1634</f>
        <v>3</v>
      </c>
      <c r="M1634" s="2" t="str" cm="1">
        <f t="array" ref="M1634">_xlfn.IFS(L1634=0,"Out of Stock",L1634&gt;=2,"Limited Stock",L1634&lt;2,"In Stock")</f>
        <v>Limited Stock</v>
      </c>
    </row>
    <row r="1635" spans="2:13">
      <c r="B1635" s="2" t="s">
        <v>808</v>
      </c>
      <c r="C1635" s="5" t="str">
        <f>_xlfn.XLOOKUP(B1635,Master[Product_Code],Master[Category])</f>
        <v>T-Shirt</v>
      </c>
      <c r="D1635" s="2" t="str">
        <f>_xlfn.XLOOKUP(B1635,Master[Product_Code],Master[Brand])</f>
        <v>Urban Monkey</v>
      </c>
      <c r="E1635" s="2" t="str">
        <f>_xlfn.XLOOKUP(B1635,Master[Product_Code],Master[Style])</f>
        <v>Hoodie</v>
      </c>
      <c r="F1635" s="2" t="str">
        <f>_xlfn.XLOOKUP(B1635,Master[Product_Code],Master[Fabric])</f>
        <v>Cotton Blend</v>
      </c>
      <c r="G1635" s="2" t="str">
        <f>_xlfn.XLOOKUP(B1635,Master[Product_Code],Master[Size])</f>
        <v>XL</v>
      </c>
      <c r="H1635" s="2" t="str">
        <f>_xlfn.XLOOKUP(B1635,Master[Product_Code],Master[Color])</f>
        <v>Rust</v>
      </c>
      <c r="I1635" s="4">
        <f>_xlfn.XLOOKUP(B1635,Master[Product_Code],Master[Stock_Qty])</f>
        <v>6</v>
      </c>
      <c r="J1635" s="6">
        <f>SUMIFS(
  Sales_Entry[Qty],
  Sales_Entry[Product_Code], Stock_Table[[#This Row],[Product_Code]]
)</f>
        <v>2</v>
      </c>
      <c r="K1635" s="4">
        <f>SUMIFS(
  Exchange_Return[Qty],
  Exchange_Return[Product_Code], Stock_Table[[#This Row],[Product_Code]]
)</f>
        <v>0</v>
      </c>
      <c r="L1635" s="4">
        <f>I1635-J1635+K1635</f>
        <v>4</v>
      </c>
      <c r="M1635" s="2" t="str" cm="1">
        <f t="array" ref="M1635">_xlfn.IFS(L1635=0,"Out of Stock",L1635&gt;=2,"Limited Stock",L1635&lt;2,"In Stock")</f>
        <v>Limited Stock</v>
      </c>
    </row>
    <row r="1636" spans="2:13">
      <c r="B1636" s="2" t="s">
        <v>809</v>
      </c>
      <c r="C1636" s="5" t="str">
        <f>_xlfn.XLOOKUP(B1636,Master[Product_Code],Master[Category])</f>
        <v>T-Shirt</v>
      </c>
      <c r="D1636" s="2" t="str">
        <f>_xlfn.XLOOKUP(B1636,Master[Product_Code],Master[Brand])</f>
        <v>Urban Monkey</v>
      </c>
      <c r="E1636" s="2" t="str">
        <f>_xlfn.XLOOKUP(B1636,Master[Product_Code],Master[Style])</f>
        <v>3/4 Sleeve</v>
      </c>
      <c r="F1636" s="2" t="str">
        <f>_xlfn.XLOOKUP(B1636,Master[Product_Code],Master[Fabric])</f>
        <v>Cotton Blend</v>
      </c>
      <c r="G1636" s="2" t="str">
        <f>_xlfn.XLOOKUP(B1636,Master[Product_Code],Master[Size])</f>
        <v>XL</v>
      </c>
      <c r="H1636" s="2" t="str">
        <f>_xlfn.XLOOKUP(B1636,Master[Product_Code],Master[Color])</f>
        <v>Light Grey</v>
      </c>
      <c r="I1636" s="4">
        <f>_xlfn.XLOOKUP(B1636,Master[Product_Code],Master[Stock_Qty])</f>
        <v>3</v>
      </c>
      <c r="J1636" s="6">
        <f>SUMIFS(
  Sales_Entry[Qty],
  Sales_Entry[Product_Code], Stock_Table[[#This Row],[Product_Code]]
)</f>
        <v>3</v>
      </c>
      <c r="K1636" s="4">
        <f>SUMIFS(
  Exchange_Return[Qty],
  Exchange_Return[Product_Code], Stock_Table[[#This Row],[Product_Code]]
)</f>
        <v>0</v>
      </c>
      <c r="L1636" s="4">
        <f>I1636-J1636+K1636</f>
        <v>0</v>
      </c>
      <c r="M1636" s="2" t="str" cm="1">
        <f t="array" ref="M1636">_xlfn.IFS(L1636=0,"Out of Stock",L1636&gt;=2,"Limited Stock",L1636&lt;2,"In Stock")</f>
        <v>Out of Stock</v>
      </c>
    </row>
    <row r="1637" spans="2:13">
      <c r="B1637" s="2" t="s">
        <v>810</v>
      </c>
      <c r="C1637" s="5" t="str">
        <f>_xlfn.XLOOKUP(B1637,Master[Product_Code],Master[Category])</f>
        <v>T-Shirt</v>
      </c>
      <c r="D1637" s="2" t="str">
        <f>_xlfn.XLOOKUP(B1637,Master[Product_Code],Master[Brand])</f>
        <v>Zara</v>
      </c>
      <c r="E1637" s="2" t="str">
        <f>_xlfn.XLOOKUP(B1637,Master[Product_Code],Master[Style])</f>
        <v>3/4 Sleeve</v>
      </c>
      <c r="F1637" s="2" t="str">
        <f>_xlfn.XLOOKUP(B1637,Master[Product_Code],Master[Fabric])</f>
        <v>Cotton</v>
      </c>
      <c r="G1637" s="2" t="str">
        <f>_xlfn.XLOOKUP(B1637,Master[Product_Code],Master[Size])</f>
        <v>XL</v>
      </c>
      <c r="H1637" s="2" t="str">
        <f>_xlfn.XLOOKUP(B1637,Master[Product_Code],Master[Color])</f>
        <v>Charcoal</v>
      </c>
      <c r="I1637" s="4">
        <f>_xlfn.XLOOKUP(B1637,Master[Product_Code],Master[Stock_Qty])</f>
        <v>4</v>
      </c>
      <c r="J1637" s="6">
        <f>SUMIFS(
  Sales_Entry[Qty],
  Sales_Entry[Product_Code], Stock_Table[[#This Row],[Product_Code]]
)</f>
        <v>3</v>
      </c>
      <c r="K1637" s="4">
        <f>SUMIFS(
  Exchange_Return[Qty],
  Exchange_Return[Product_Code], Stock_Table[[#This Row],[Product_Code]]
)</f>
        <v>0</v>
      </c>
      <c r="L1637" s="4">
        <f>I1637-J1637+K1637</f>
        <v>1</v>
      </c>
      <c r="M1637" s="2" t="str" cm="1">
        <f t="array" ref="M1637">_xlfn.IFS(L1637=0,"Out of Stock",L1637&gt;=2,"Limited Stock",L1637&lt;2,"In Stock")</f>
        <v>In Stock</v>
      </c>
    </row>
    <row r="1638" spans="2:13">
      <c r="B1638" s="2" t="s">
        <v>811</v>
      </c>
      <c r="C1638" s="5" t="str">
        <f>_xlfn.XLOOKUP(B1638,Master[Product_Code],Master[Category])</f>
        <v>T-Shirt</v>
      </c>
      <c r="D1638" s="2" t="str">
        <f>_xlfn.XLOOKUP(B1638,Master[Product_Code],Master[Brand])</f>
        <v>Max</v>
      </c>
      <c r="E1638" s="2" t="str">
        <f>_xlfn.XLOOKUP(B1638,Master[Product_Code],Master[Style])</f>
        <v>3/4 Sleeve</v>
      </c>
      <c r="F1638" s="2" t="str">
        <f>_xlfn.XLOOKUP(B1638,Master[Product_Code],Master[Fabric])</f>
        <v>Poly Cotton</v>
      </c>
      <c r="G1638" s="2" t="str">
        <f>_xlfn.XLOOKUP(B1638,Master[Product_Code],Master[Size])</f>
        <v>XXL</v>
      </c>
      <c r="H1638" s="2" t="str">
        <f>_xlfn.XLOOKUP(B1638,Master[Product_Code],Master[Color])</f>
        <v>Black</v>
      </c>
      <c r="I1638" s="4">
        <f>_xlfn.XLOOKUP(B1638,Master[Product_Code],Master[Stock_Qty])</f>
        <v>5</v>
      </c>
      <c r="J1638" s="6">
        <f>SUMIFS(
  Sales_Entry[Qty],
  Sales_Entry[Product_Code], Stock_Table[[#This Row],[Product_Code]]
)</f>
        <v>0</v>
      </c>
      <c r="K1638" s="4">
        <f>SUMIFS(
  Exchange_Return[Qty],
  Exchange_Return[Product_Code], Stock_Table[[#This Row],[Product_Code]]
)</f>
        <v>0</v>
      </c>
      <c r="L1638" s="4">
        <f>I1638-J1638+K1638</f>
        <v>5</v>
      </c>
      <c r="M1638" s="2" t="str" cm="1">
        <f t="array" ref="M1638">_xlfn.IFS(L1638=0,"Out of Stock",L1638&gt;=2,"Limited Stock",L1638&lt;2,"In Stock")</f>
        <v>Limited Stock</v>
      </c>
    </row>
    <row r="1639" spans="2:13">
      <c r="B1639" s="2" t="s">
        <v>812</v>
      </c>
      <c r="C1639" s="5" t="str">
        <f>_xlfn.XLOOKUP(B1639,Master[Product_Code],Master[Category])</f>
        <v>T-Shirt</v>
      </c>
      <c r="D1639" s="2" t="str">
        <f>_xlfn.XLOOKUP(B1639,Master[Product_Code],Master[Brand])</f>
        <v>Thailand</v>
      </c>
      <c r="E1639" s="2" t="str">
        <f>_xlfn.XLOOKUP(B1639,Master[Product_Code],Master[Style])</f>
        <v>Half Sleeve</v>
      </c>
      <c r="F1639" s="2" t="str">
        <f>_xlfn.XLOOKUP(B1639,Master[Product_Code],Master[Fabric])</f>
        <v>Cotton Blend</v>
      </c>
      <c r="G1639" s="2" t="str">
        <f>_xlfn.XLOOKUP(B1639,Master[Product_Code],Master[Size])</f>
        <v>L</v>
      </c>
      <c r="H1639" s="2" t="str">
        <f>_xlfn.XLOOKUP(B1639,Master[Product_Code],Master[Color])</f>
        <v>Navy Blue</v>
      </c>
      <c r="I1639" s="4">
        <f>_xlfn.XLOOKUP(B1639,Master[Product_Code],Master[Stock_Qty])</f>
        <v>4</v>
      </c>
      <c r="J1639" s="6">
        <f>SUMIFS(
  Sales_Entry[Qty],
  Sales_Entry[Product_Code], Stock_Table[[#This Row],[Product_Code]]
)</f>
        <v>1</v>
      </c>
      <c r="K1639" s="4">
        <f>SUMIFS(
  Exchange_Return[Qty],
  Exchange_Return[Product_Code], Stock_Table[[#This Row],[Product_Code]]
)</f>
        <v>0</v>
      </c>
      <c r="L1639" s="4">
        <f>I1639-J1639+K1639</f>
        <v>3</v>
      </c>
      <c r="M1639" s="2" t="str" cm="1">
        <f t="array" ref="M1639">_xlfn.IFS(L1639=0,"Out of Stock",L1639&gt;=2,"Limited Stock",L1639&lt;2,"In Stock")</f>
        <v>Limited Stock</v>
      </c>
    </row>
    <row r="1640" spans="2:13">
      <c r="B1640" s="2" t="s">
        <v>813</v>
      </c>
      <c r="C1640" s="5" t="str">
        <f>_xlfn.XLOOKUP(B1640,Master[Product_Code],Master[Category])</f>
        <v>T-Shirt</v>
      </c>
      <c r="D1640" s="2" t="str">
        <f>_xlfn.XLOOKUP(B1640,Master[Product_Code],Master[Brand])</f>
        <v>Thailand</v>
      </c>
      <c r="E1640" s="2" t="str">
        <f>_xlfn.XLOOKUP(B1640,Master[Product_Code],Master[Style])</f>
        <v>3/4 Sleeve</v>
      </c>
      <c r="F1640" s="2" t="str">
        <f>_xlfn.XLOOKUP(B1640,Master[Product_Code],Master[Fabric])</f>
        <v>Cotton</v>
      </c>
      <c r="G1640" s="2" t="str">
        <f>_xlfn.XLOOKUP(B1640,Master[Product_Code],Master[Size])</f>
        <v>XXL</v>
      </c>
      <c r="H1640" s="2" t="str">
        <f>_xlfn.XLOOKUP(B1640,Master[Product_Code],Master[Color])</f>
        <v>Beige</v>
      </c>
      <c r="I1640" s="4">
        <f>_xlfn.XLOOKUP(B1640,Master[Product_Code],Master[Stock_Qty])</f>
        <v>4</v>
      </c>
      <c r="J1640" s="6">
        <f>SUMIFS(
  Sales_Entry[Qty],
  Sales_Entry[Product_Code], Stock_Table[[#This Row],[Product_Code]]
)</f>
        <v>2</v>
      </c>
      <c r="K1640" s="4">
        <f>SUMIFS(
  Exchange_Return[Qty],
  Exchange_Return[Product_Code], Stock_Table[[#This Row],[Product_Code]]
)</f>
        <v>0</v>
      </c>
      <c r="L1640" s="4">
        <f>I1640-J1640+K1640</f>
        <v>2</v>
      </c>
      <c r="M1640" s="2" t="str" cm="1">
        <f t="array" ref="M1640">_xlfn.IFS(L1640=0,"Out of Stock",L1640&gt;=2,"Limited Stock",L1640&lt;2,"In Stock")</f>
        <v>Limited Stock</v>
      </c>
    </row>
    <row r="1641" spans="2:13">
      <c r="B1641" s="2" t="s">
        <v>814</v>
      </c>
      <c r="C1641" s="5" t="str">
        <f>_xlfn.XLOOKUP(B1641,Master[Product_Code],Master[Category])</f>
        <v>T-Shirt</v>
      </c>
      <c r="D1641" s="2" t="str">
        <f>_xlfn.XLOOKUP(B1641,Master[Product_Code],Master[Brand])</f>
        <v>Campus</v>
      </c>
      <c r="E1641" s="2" t="str">
        <f>_xlfn.XLOOKUP(B1641,Master[Product_Code],Master[Style])</f>
        <v>Full Sleeve</v>
      </c>
      <c r="F1641" s="2" t="str">
        <f>_xlfn.XLOOKUP(B1641,Master[Product_Code],Master[Fabric])</f>
        <v>Cotton Blend</v>
      </c>
      <c r="G1641" s="2" t="str">
        <f>_xlfn.XLOOKUP(B1641,Master[Product_Code],Master[Size])</f>
        <v>M</v>
      </c>
      <c r="H1641" s="2" t="str">
        <f>_xlfn.XLOOKUP(B1641,Master[Product_Code],Master[Color])</f>
        <v>Charcoal</v>
      </c>
      <c r="I1641" s="4">
        <f>_xlfn.XLOOKUP(B1641,Master[Product_Code],Master[Stock_Qty])</f>
        <v>4</v>
      </c>
      <c r="J1641" s="6">
        <f>SUMIFS(
  Sales_Entry[Qty],
  Sales_Entry[Product_Code], Stock_Table[[#This Row],[Product_Code]]
)</f>
        <v>0</v>
      </c>
      <c r="K1641" s="4">
        <f>SUMIFS(
  Exchange_Return[Qty],
  Exchange_Return[Product_Code], Stock_Table[[#This Row],[Product_Code]]
)</f>
        <v>0</v>
      </c>
      <c r="L1641" s="4">
        <f>I1641-J1641+K1641</f>
        <v>4</v>
      </c>
      <c r="M1641" s="2" t="str" cm="1">
        <f t="array" ref="M1641">_xlfn.IFS(L1641=0,"Out of Stock",L1641&gt;=2,"Limited Stock",L1641&lt;2,"In Stock")</f>
        <v>Limited Stock</v>
      </c>
    </row>
    <row r="1642" spans="2:13">
      <c r="B1642" s="2" t="s">
        <v>815</v>
      </c>
      <c r="C1642" s="5" t="str">
        <f>_xlfn.XLOOKUP(B1642,Master[Product_Code],Master[Category])</f>
        <v>T-Shirt</v>
      </c>
      <c r="D1642" s="2" t="str">
        <f>_xlfn.XLOOKUP(B1642,Master[Product_Code],Master[Brand])</f>
        <v>Turkey</v>
      </c>
      <c r="E1642" s="2" t="str">
        <f>_xlfn.XLOOKUP(B1642,Master[Product_Code],Master[Style])</f>
        <v>Full Sleeve</v>
      </c>
      <c r="F1642" s="2" t="str">
        <f>_xlfn.XLOOKUP(B1642,Master[Product_Code],Master[Fabric])</f>
        <v>Cotton</v>
      </c>
      <c r="G1642" s="2" t="str">
        <f>_xlfn.XLOOKUP(B1642,Master[Product_Code],Master[Size])</f>
        <v>M</v>
      </c>
      <c r="H1642" s="2" t="str">
        <f>_xlfn.XLOOKUP(B1642,Master[Product_Code],Master[Color])</f>
        <v>Royal Blue</v>
      </c>
      <c r="I1642" s="4">
        <f>_xlfn.XLOOKUP(B1642,Master[Product_Code],Master[Stock_Qty])</f>
        <v>5</v>
      </c>
      <c r="J1642" s="6">
        <f>SUMIFS(
  Sales_Entry[Qty],
  Sales_Entry[Product_Code], Stock_Table[[#This Row],[Product_Code]]
)</f>
        <v>2</v>
      </c>
      <c r="K1642" s="4">
        <f>SUMIFS(
  Exchange_Return[Qty],
  Exchange_Return[Product_Code], Stock_Table[[#This Row],[Product_Code]]
)</f>
        <v>0</v>
      </c>
      <c r="L1642" s="4">
        <f>I1642-J1642+K1642</f>
        <v>3</v>
      </c>
      <c r="M1642" s="2" t="str" cm="1">
        <f t="array" ref="M1642">_xlfn.IFS(L1642=0,"Out of Stock",L1642&gt;=2,"Limited Stock",L1642&lt;2,"In Stock")</f>
        <v>Limited Stock</v>
      </c>
    </row>
    <row r="1643" spans="2:13">
      <c r="B1643" s="2" t="s">
        <v>816</v>
      </c>
      <c r="C1643" s="5" t="str">
        <f>_xlfn.XLOOKUP(B1643,Master[Product_Code],Master[Category])</f>
        <v>T-Shirt</v>
      </c>
      <c r="D1643" s="2" t="str">
        <f>_xlfn.XLOOKUP(B1643,Master[Product_Code],Master[Brand])</f>
        <v>Urban Monkey</v>
      </c>
      <c r="E1643" s="2" t="str">
        <f>_xlfn.XLOOKUP(B1643,Master[Product_Code],Master[Style])</f>
        <v>Half Sleeve</v>
      </c>
      <c r="F1643" s="2" t="str">
        <f>_xlfn.XLOOKUP(B1643,Master[Product_Code],Master[Fabric])</f>
        <v>Cotton</v>
      </c>
      <c r="G1643" s="2" t="str">
        <f>_xlfn.XLOOKUP(B1643,Master[Product_Code],Master[Size])</f>
        <v>S</v>
      </c>
      <c r="H1643" s="2" t="str">
        <f>_xlfn.XLOOKUP(B1643,Master[Product_Code],Master[Color])</f>
        <v>Peach</v>
      </c>
      <c r="I1643" s="4">
        <f>_xlfn.XLOOKUP(B1643,Master[Product_Code],Master[Stock_Qty])</f>
        <v>3</v>
      </c>
      <c r="J1643" s="6">
        <f>SUMIFS(
  Sales_Entry[Qty],
  Sales_Entry[Product_Code], Stock_Table[[#This Row],[Product_Code]]
)</f>
        <v>0</v>
      </c>
      <c r="K1643" s="4">
        <f>SUMIFS(
  Exchange_Return[Qty],
  Exchange_Return[Product_Code], Stock_Table[[#This Row],[Product_Code]]
)</f>
        <v>0</v>
      </c>
      <c r="L1643" s="4">
        <f>I1643-J1643+K1643</f>
        <v>3</v>
      </c>
      <c r="M1643" s="2" t="str" cm="1">
        <f t="array" ref="M1643">_xlfn.IFS(L1643=0,"Out of Stock",L1643&gt;=2,"Limited Stock",L1643&lt;2,"In Stock")</f>
        <v>Limited Stock</v>
      </c>
    </row>
    <row r="1644" spans="2:13">
      <c r="B1644" s="2" t="s">
        <v>817</v>
      </c>
      <c r="C1644" s="5" t="str">
        <f>_xlfn.XLOOKUP(B1644,Master[Product_Code],Master[Category])</f>
        <v>T-Shirt</v>
      </c>
      <c r="D1644" s="2" t="str">
        <f>_xlfn.XLOOKUP(B1644,Master[Product_Code],Master[Brand])</f>
        <v>Zara</v>
      </c>
      <c r="E1644" s="2" t="str">
        <f>_xlfn.XLOOKUP(B1644,Master[Product_Code],Master[Style])</f>
        <v>Sleeveless</v>
      </c>
      <c r="F1644" s="2" t="str">
        <f>_xlfn.XLOOKUP(B1644,Master[Product_Code],Master[Fabric])</f>
        <v>Cotton Blend</v>
      </c>
      <c r="G1644" s="2" t="str">
        <f>_xlfn.XLOOKUP(B1644,Master[Product_Code],Master[Size])</f>
        <v>XXL</v>
      </c>
      <c r="H1644" s="2" t="str">
        <f>_xlfn.XLOOKUP(B1644,Master[Product_Code],Master[Color])</f>
        <v>Mustard</v>
      </c>
      <c r="I1644" s="4">
        <f>_xlfn.XLOOKUP(B1644,Master[Product_Code],Master[Stock_Qty])</f>
        <v>6</v>
      </c>
      <c r="J1644" s="6">
        <f>SUMIFS(
  Sales_Entry[Qty],
  Sales_Entry[Product_Code], Stock_Table[[#This Row],[Product_Code]]
)</f>
        <v>1</v>
      </c>
      <c r="K1644" s="4">
        <f>SUMIFS(
  Exchange_Return[Qty],
  Exchange_Return[Product_Code], Stock_Table[[#This Row],[Product_Code]]
)</f>
        <v>0</v>
      </c>
      <c r="L1644" s="4">
        <f>I1644-J1644+K1644</f>
        <v>5</v>
      </c>
      <c r="M1644" s="2" t="str" cm="1">
        <f t="array" ref="M1644">_xlfn.IFS(L1644=0,"Out of Stock",L1644&gt;=2,"Limited Stock",L1644&lt;2,"In Stock")</f>
        <v>Limited Stock</v>
      </c>
    </row>
    <row r="1645" spans="2:13">
      <c r="B1645" s="2" t="s">
        <v>818</v>
      </c>
      <c r="C1645" s="5" t="str">
        <f>_xlfn.XLOOKUP(B1645,Master[Product_Code],Master[Category])</f>
        <v>T-Shirt</v>
      </c>
      <c r="D1645" s="2" t="str">
        <f>_xlfn.XLOOKUP(B1645,Master[Product_Code],Master[Brand])</f>
        <v>Urban Monkey</v>
      </c>
      <c r="E1645" s="2" t="str">
        <f>_xlfn.XLOOKUP(B1645,Master[Product_Code],Master[Style])</f>
        <v>3/4 Sleeve</v>
      </c>
      <c r="F1645" s="2" t="str">
        <f>_xlfn.XLOOKUP(B1645,Master[Product_Code],Master[Fabric])</f>
        <v>Cotton Blend</v>
      </c>
      <c r="G1645" s="2" t="str">
        <f>_xlfn.XLOOKUP(B1645,Master[Product_Code],Master[Size])</f>
        <v>M</v>
      </c>
      <c r="H1645" s="2" t="str">
        <f>_xlfn.XLOOKUP(B1645,Master[Product_Code],Master[Color])</f>
        <v>Wine</v>
      </c>
      <c r="I1645" s="4">
        <f>_xlfn.XLOOKUP(B1645,Master[Product_Code],Master[Stock_Qty])</f>
        <v>5</v>
      </c>
      <c r="J1645" s="6">
        <f>SUMIFS(
  Sales_Entry[Qty],
  Sales_Entry[Product_Code], Stock_Table[[#This Row],[Product_Code]]
)</f>
        <v>5</v>
      </c>
      <c r="K1645" s="4">
        <f>SUMIFS(
  Exchange_Return[Qty],
  Exchange_Return[Product_Code], Stock_Table[[#This Row],[Product_Code]]
)</f>
        <v>0</v>
      </c>
      <c r="L1645" s="4">
        <f>I1645-J1645+K1645</f>
        <v>0</v>
      </c>
      <c r="M1645" s="2" t="str" cm="1">
        <f t="array" ref="M1645">_xlfn.IFS(L1645=0,"Out of Stock",L1645&gt;=2,"Limited Stock",L1645&lt;2,"In Stock")</f>
        <v>Out of Stock</v>
      </c>
    </row>
    <row r="1646" spans="2:13">
      <c r="B1646" s="2" t="s">
        <v>819</v>
      </c>
      <c r="C1646" s="5" t="str">
        <f>_xlfn.XLOOKUP(B1646,Master[Product_Code],Master[Category])</f>
        <v>T-Shirt</v>
      </c>
      <c r="D1646" s="2" t="str">
        <f>_xlfn.XLOOKUP(B1646,Master[Product_Code],Master[Brand])</f>
        <v>Turkey</v>
      </c>
      <c r="E1646" s="2" t="str">
        <f>_xlfn.XLOOKUP(B1646,Master[Product_Code],Master[Style])</f>
        <v>Hoodie</v>
      </c>
      <c r="F1646" s="2" t="str">
        <f>_xlfn.XLOOKUP(B1646,Master[Product_Code],Master[Fabric])</f>
        <v>Cotton</v>
      </c>
      <c r="G1646" s="2" t="str">
        <f>_xlfn.XLOOKUP(B1646,Master[Product_Code],Master[Size])</f>
        <v>S</v>
      </c>
      <c r="H1646" s="2" t="str">
        <f>_xlfn.XLOOKUP(B1646,Master[Product_Code],Master[Color])</f>
        <v>Wine</v>
      </c>
      <c r="I1646" s="4">
        <f>_xlfn.XLOOKUP(B1646,Master[Product_Code],Master[Stock_Qty])</f>
        <v>6</v>
      </c>
      <c r="J1646" s="6">
        <f>SUMIFS(
  Sales_Entry[Qty],
  Sales_Entry[Product_Code], Stock_Table[[#This Row],[Product_Code]]
)</f>
        <v>0</v>
      </c>
      <c r="K1646" s="4">
        <f>SUMIFS(
  Exchange_Return[Qty],
  Exchange_Return[Product_Code], Stock_Table[[#This Row],[Product_Code]]
)</f>
        <v>0</v>
      </c>
      <c r="L1646" s="4">
        <f>I1646-J1646+K1646</f>
        <v>6</v>
      </c>
      <c r="M1646" s="2" t="str" cm="1">
        <f t="array" ref="M1646">_xlfn.IFS(L1646=0,"Out of Stock",L1646&gt;=2,"Limited Stock",L1646&lt;2,"In Stock")</f>
        <v>Limited Stock</v>
      </c>
    </row>
    <row r="1647" spans="2:13">
      <c r="B1647" s="2" t="s">
        <v>820</v>
      </c>
      <c r="C1647" s="5" t="str">
        <f>_xlfn.XLOOKUP(B1647,Master[Product_Code],Master[Category])</f>
        <v>T-Shirt</v>
      </c>
      <c r="D1647" s="2" t="str">
        <f>_xlfn.XLOOKUP(B1647,Master[Product_Code],Master[Brand])</f>
        <v>Roadster</v>
      </c>
      <c r="E1647" s="2" t="str">
        <f>_xlfn.XLOOKUP(B1647,Master[Product_Code],Master[Style])</f>
        <v>Half Sleeve</v>
      </c>
      <c r="F1647" s="2" t="str">
        <f>_xlfn.XLOOKUP(B1647,Master[Product_Code],Master[Fabric])</f>
        <v>Poly Cotton</v>
      </c>
      <c r="G1647" s="2" t="str">
        <f>_xlfn.XLOOKUP(B1647,Master[Product_Code],Master[Size])</f>
        <v>L</v>
      </c>
      <c r="H1647" s="2" t="str">
        <f>_xlfn.XLOOKUP(B1647,Master[Product_Code],Master[Color])</f>
        <v>Rust</v>
      </c>
      <c r="I1647" s="4">
        <f>_xlfn.XLOOKUP(B1647,Master[Product_Code],Master[Stock_Qty])</f>
        <v>4</v>
      </c>
      <c r="J1647" s="6">
        <f>SUMIFS(
  Sales_Entry[Qty],
  Sales_Entry[Product_Code], Stock_Table[[#This Row],[Product_Code]]
)</f>
        <v>3</v>
      </c>
      <c r="K1647" s="4">
        <f>SUMIFS(
  Exchange_Return[Qty],
  Exchange_Return[Product_Code], Stock_Table[[#This Row],[Product_Code]]
)</f>
        <v>0</v>
      </c>
      <c r="L1647" s="4">
        <f>I1647-J1647+K1647</f>
        <v>1</v>
      </c>
      <c r="M1647" s="2" t="str" cm="1">
        <f t="array" ref="M1647">_xlfn.IFS(L1647=0,"Out of Stock",L1647&gt;=2,"Limited Stock",L1647&lt;2,"In Stock")</f>
        <v>In Stock</v>
      </c>
    </row>
    <row r="1648" spans="2:13">
      <c r="B1648" s="2" t="s">
        <v>821</v>
      </c>
      <c r="C1648" s="5" t="str">
        <f>_xlfn.XLOOKUP(B1648,Master[Product_Code],Master[Category])</f>
        <v>T-Shirt</v>
      </c>
      <c r="D1648" s="2" t="str">
        <f>_xlfn.XLOOKUP(B1648,Master[Product_Code],Master[Brand])</f>
        <v>Zara</v>
      </c>
      <c r="E1648" s="2" t="str">
        <f>_xlfn.XLOOKUP(B1648,Master[Product_Code],Master[Style])</f>
        <v>Hoodie</v>
      </c>
      <c r="F1648" s="2" t="str">
        <f>_xlfn.XLOOKUP(B1648,Master[Product_Code],Master[Fabric])</f>
        <v>Cotton Blend</v>
      </c>
      <c r="G1648" s="2" t="str">
        <f>_xlfn.XLOOKUP(B1648,Master[Product_Code],Master[Size])</f>
        <v>L</v>
      </c>
      <c r="H1648" s="2" t="str">
        <f>_xlfn.XLOOKUP(B1648,Master[Product_Code],Master[Color])</f>
        <v>Black</v>
      </c>
      <c r="I1648" s="4">
        <f>_xlfn.XLOOKUP(B1648,Master[Product_Code],Master[Stock_Qty])</f>
        <v>3</v>
      </c>
      <c r="J1648" s="6">
        <f>SUMIFS(
  Sales_Entry[Qty],
  Sales_Entry[Product_Code], Stock_Table[[#This Row],[Product_Code]]
)</f>
        <v>2</v>
      </c>
      <c r="K1648" s="4">
        <f>SUMIFS(
  Exchange_Return[Qty],
  Exchange_Return[Product_Code], Stock_Table[[#This Row],[Product_Code]]
)</f>
        <v>0</v>
      </c>
      <c r="L1648" s="4">
        <f>I1648-J1648+K1648</f>
        <v>1</v>
      </c>
      <c r="M1648" s="2" t="str" cm="1">
        <f t="array" ref="M1648">_xlfn.IFS(L1648=0,"Out of Stock",L1648&gt;=2,"Limited Stock",L1648&lt;2,"In Stock")</f>
        <v>In Stock</v>
      </c>
    </row>
    <row r="1649" spans="2:13">
      <c r="B1649" s="2" t="s">
        <v>822</v>
      </c>
      <c r="C1649" s="5" t="str">
        <f>_xlfn.XLOOKUP(B1649,Master[Product_Code],Master[Category])</f>
        <v>T-Shirt</v>
      </c>
      <c r="D1649" s="2" t="str">
        <f>_xlfn.XLOOKUP(B1649,Master[Product_Code],Master[Brand])</f>
        <v>Turkey</v>
      </c>
      <c r="E1649" s="2" t="str">
        <f>_xlfn.XLOOKUP(B1649,Master[Product_Code],Master[Style])</f>
        <v>Sleeveless</v>
      </c>
      <c r="F1649" s="2" t="str">
        <f>_xlfn.XLOOKUP(B1649,Master[Product_Code],Master[Fabric])</f>
        <v>Poly Cotton</v>
      </c>
      <c r="G1649" s="2" t="str">
        <f>_xlfn.XLOOKUP(B1649,Master[Product_Code],Master[Size])</f>
        <v>S</v>
      </c>
      <c r="H1649" s="2" t="str">
        <f>_xlfn.XLOOKUP(B1649,Master[Product_Code],Master[Color])</f>
        <v>Mustard</v>
      </c>
      <c r="I1649" s="4">
        <f>_xlfn.XLOOKUP(B1649,Master[Product_Code],Master[Stock_Qty])</f>
        <v>5</v>
      </c>
      <c r="J1649" s="6">
        <f>SUMIFS(
  Sales_Entry[Qty],
  Sales_Entry[Product_Code], Stock_Table[[#This Row],[Product_Code]]
)</f>
        <v>1</v>
      </c>
      <c r="K1649" s="4">
        <f>SUMIFS(
  Exchange_Return[Qty],
  Exchange_Return[Product_Code], Stock_Table[[#This Row],[Product_Code]]
)</f>
        <v>0</v>
      </c>
      <c r="L1649" s="4">
        <f>I1649-J1649+K1649</f>
        <v>4</v>
      </c>
      <c r="M1649" s="2" t="str" cm="1">
        <f t="array" ref="M1649">_xlfn.IFS(L1649=0,"Out of Stock",L1649&gt;=2,"Limited Stock",L1649&lt;2,"In Stock")</f>
        <v>Limited Stock</v>
      </c>
    </row>
    <row r="1650" spans="2:13">
      <c r="B1650" s="2" t="s">
        <v>823</v>
      </c>
      <c r="C1650" s="5" t="str">
        <f>_xlfn.XLOOKUP(B1650,Master[Product_Code],Master[Category])</f>
        <v>T-Shirt</v>
      </c>
      <c r="D1650" s="2" t="str">
        <f>_xlfn.XLOOKUP(B1650,Master[Product_Code],Master[Brand])</f>
        <v>Urban Monkey</v>
      </c>
      <c r="E1650" s="2" t="str">
        <f>_xlfn.XLOOKUP(B1650,Master[Product_Code],Master[Style])</f>
        <v>3/4 Sleeve</v>
      </c>
      <c r="F1650" s="2" t="str">
        <f>_xlfn.XLOOKUP(B1650,Master[Product_Code],Master[Fabric])</f>
        <v>Cotton</v>
      </c>
      <c r="G1650" s="2" t="str">
        <f>_xlfn.XLOOKUP(B1650,Master[Product_Code],Master[Size])</f>
        <v>XXL</v>
      </c>
      <c r="H1650" s="2" t="str">
        <f>_xlfn.XLOOKUP(B1650,Master[Product_Code],Master[Color])</f>
        <v>Beige</v>
      </c>
      <c r="I1650" s="4">
        <f>_xlfn.XLOOKUP(B1650,Master[Product_Code],Master[Stock_Qty])</f>
        <v>4</v>
      </c>
      <c r="J1650" s="6">
        <f>SUMIFS(
  Sales_Entry[Qty],
  Sales_Entry[Product_Code], Stock_Table[[#This Row],[Product_Code]]
)</f>
        <v>3</v>
      </c>
      <c r="K1650" s="4">
        <f>SUMIFS(
  Exchange_Return[Qty],
  Exchange_Return[Product_Code], Stock_Table[[#This Row],[Product_Code]]
)</f>
        <v>0</v>
      </c>
      <c r="L1650" s="4">
        <f>I1650-J1650+K1650</f>
        <v>1</v>
      </c>
      <c r="M1650" s="2" t="str" cm="1">
        <f t="array" ref="M1650">_xlfn.IFS(L1650=0,"Out of Stock",L1650&gt;=2,"Limited Stock",L1650&lt;2,"In Stock")</f>
        <v>In Stock</v>
      </c>
    </row>
    <row r="1651" spans="2:13">
      <c r="B1651" s="2" t="s">
        <v>824</v>
      </c>
      <c r="C1651" s="5" t="str">
        <f>_xlfn.XLOOKUP(B1651,Master[Product_Code],Master[Category])</f>
        <v>T-Shirt</v>
      </c>
      <c r="D1651" s="2" t="str">
        <f>_xlfn.XLOOKUP(B1651,Master[Product_Code],Master[Brand])</f>
        <v>Max</v>
      </c>
      <c r="E1651" s="2" t="str">
        <f>_xlfn.XLOOKUP(B1651,Master[Product_Code],Master[Style])</f>
        <v>Hoodie</v>
      </c>
      <c r="F1651" s="2" t="str">
        <f>_xlfn.XLOOKUP(B1651,Master[Product_Code],Master[Fabric])</f>
        <v>Cotton Blend</v>
      </c>
      <c r="G1651" s="2" t="str">
        <f>_xlfn.XLOOKUP(B1651,Master[Product_Code],Master[Size])</f>
        <v>L</v>
      </c>
      <c r="H1651" s="2" t="str">
        <f>_xlfn.XLOOKUP(B1651,Master[Product_Code],Master[Color])</f>
        <v>Olive</v>
      </c>
      <c r="I1651" s="4">
        <f>_xlfn.XLOOKUP(B1651,Master[Product_Code],Master[Stock_Qty])</f>
        <v>6</v>
      </c>
      <c r="J1651" s="6">
        <f>SUMIFS(
  Sales_Entry[Qty],
  Sales_Entry[Product_Code], Stock_Table[[#This Row],[Product_Code]]
)</f>
        <v>1</v>
      </c>
      <c r="K1651" s="4">
        <f>SUMIFS(
  Exchange_Return[Qty],
  Exchange_Return[Product_Code], Stock_Table[[#This Row],[Product_Code]]
)</f>
        <v>0</v>
      </c>
      <c r="L1651" s="4">
        <f>I1651-J1651+K1651</f>
        <v>5</v>
      </c>
      <c r="M1651" s="2" t="str" cm="1">
        <f t="array" ref="M1651">_xlfn.IFS(L1651=0,"Out of Stock",L1651&gt;=2,"Limited Stock",L1651&lt;2,"In Stock")</f>
        <v>Limited Stock</v>
      </c>
    </row>
    <row r="1652" spans="2:13">
      <c r="B1652" s="2" t="s">
        <v>825</v>
      </c>
      <c r="C1652" s="5" t="str">
        <f>_xlfn.XLOOKUP(B1652,Master[Product_Code],Master[Category])</f>
        <v>T-Shirt</v>
      </c>
      <c r="D1652" s="2" t="str">
        <f>_xlfn.XLOOKUP(B1652,Master[Product_Code],Master[Brand])</f>
        <v>Turkey</v>
      </c>
      <c r="E1652" s="2" t="str">
        <f>_xlfn.XLOOKUP(B1652,Master[Product_Code],Master[Style])</f>
        <v>Sleeveless</v>
      </c>
      <c r="F1652" s="2" t="str">
        <f>_xlfn.XLOOKUP(B1652,Master[Product_Code],Master[Fabric])</f>
        <v>Poly Cotton</v>
      </c>
      <c r="G1652" s="2" t="str">
        <f>_xlfn.XLOOKUP(B1652,Master[Product_Code],Master[Size])</f>
        <v>L</v>
      </c>
      <c r="H1652" s="2" t="str">
        <f>_xlfn.XLOOKUP(B1652,Master[Product_Code],Master[Color])</f>
        <v>Teal</v>
      </c>
      <c r="I1652" s="4">
        <f>_xlfn.XLOOKUP(B1652,Master[Product_Code],Master[Stock_Qty])</f>
        <v>6</v>
      </c>
      <c r="J1652" s="6">
        <f>SUMIFS(
  Sales_Entry[Qty],
  Sales_Entry[Product_Code], Stock_Table[[#This Row],[Product_Code]]
)</f>
        <v>1</v>
      </c>
      <c r="K1652" s="4">
        <f>SUMIFS(
  Exchange_Return[Qty],
  Exchange_Return[Product_Code], Stock_Table[[#This Row],[Product_Code]]
)</f>
        <v>0</v>
      </c>
      <c r="L1652" s="4">
        <f>I1652-J1652+K1652</f>
        <v>5</v>
      </c>
      <c r="M1652" s="2" t="str" cm="1">
        <f t="array" ref="M1652">_xlfn.IFS(L1652=0,"Out of Stock",L1652&gt;=2,"Limited Stock",L1652&lt;2,"In Stock")</f>
        <v>Limited Stock</v>
      </c>
    </row>
    <row r="1653" spans="2:13">
      <c r="B1653" s="2" t="s">
        <v>826</v>
      </c>
      <c r="C1653" s="5" t="str">
        <f>_xlfn.XLOOKUP(B1653,Master[Product_Code],Master[Category])</f>
        <v>T-Shirt</v>
      </c>
      <c r="D1653" s="2" t="str">
        <f>_xlfn.XLOOKUP(B1653,Master[Product_Code],Master[Brand])</f>
        <v>Max</v>
      </c>
      <c r="E1653" s="2" t="str">
        <f>_xlfn.XLOOKUP(B1653,Master[Product_Code],Master[Style])</f>
        <v>Full Sleeve</v>
      </c>
      <c r="F1653" s="2" t="str">
        <f>_xlfn.XLOOKUP(B1653,Master[Product_Code],Master[Fabric])</f>
        <v>Poly Cotton</v>
      </c>
      <c r="G1653" s="2" t="str">
        <f>_xlfn.XLOOKUP(B1653,Master[Product_Code],Master[Size])</f>
        <v>M</v>
      </c>
      <c r="H1653" s="2" t="str">
        <f>_xlfn.XLOOKUP(B1653,Master[Product_Code],Master[Color])</f>
        <v>Light Grey</v>
      </c>
      <c r="I1653" s="4">
        <f>_xlfn.XLOOKUP(B1653,Master[Product_Code],Master[Stock_Qty])</f>
        <v>4</v>
      </c>
      <c r="J1653" s="6">
        <f>SUMIFS(
  Sales_Entry[Qty],
  Sales_Entry[Product_Code], Stock_Table[[#This Row],[Product_Code]]
)</f>
        <v>1</v>
      </c>
      <c r="K1653" s="4">
        <f>SUMIFS(
  Exchange_Return[Qty],
  Exchange_Return[Product_Code], Stock_Table[[#This Row],[Product_Code]]
)</f>
        <v>0</v>
      </c>
      <c r="L1653" s="4">
        <f>I1653-J1653+K1653</f>
        <v>3</v>
      </c>
      <c r="M1653" s="2" t="str" cm="1">
        <f t="array" ref="M1653">_xlfn.IFS(L1653=0,"Out of Stock",L1653&gt;=2,"Limited Stock",L1653&lt;2,"In Stock")</f>
        <v>Limited Stock</v>
      </c>
    </row>
    <row r="1654" spans="2:13">
      <c r="B1654" s="2" t="s">
        <v>827</v>
      </c>
      <c r="C1654" s="5" t="str">
        <f>_xlfn.XLOOKUP(B1654,Master[Product_Code],Master[Category])</f>
        <v>T-Shirt</v>
      </c>
      <c r="D1654" s="2" t="str">
        <f>_xlfn.XLOOKUP(B1654,Master[Product_Code],Master[Brand])</f>
        <v>Campus</v>
      </c>
      <c r="E1654" s="2" t="str">
        <f>_xlfn.XLOOKUP(B1654,Master[Product_Code],Master[Style])</f>
        <v>3/4 Sleeve</v>
      </c>
      <c r="F1654" s="2" t="str">
        <f>_xlfn.XLOOKUP(B1654,Master[Product_Code],Master[Fabric])</f>
        <v>Cotton</v>
      </c>
      <c r="G1654" s="2" t="str">
        <f>_xlfn.XLOOKUP(B1654,Master[Product_Code],Master[Size])</f>
        <v>XXL</v>
      </c>
      <c r="H1654" s="2" t="str">
        <f>_xlfn.XLOOKUP(B1654,Master[Product_Code],Master[Color])</f>
        <v>Bottle Green</v>
      </c>
      <c r="I1654" s="4">
        <f>_xlfn.XLOOKUP(B1654,Master[Product_Code],Master[Stock_Qty])</f>
        <v>6</v>
      </c>
      <c r="J1654" s="6">
        <f>SUMIFS(
  Sales_Entry[Qty],
  Sales_Entry[Product_Code], Stock_Table[[#This Row],[Product_Code]]
)</f>
        <v>2</v>
      </c>
      <c r="K1654" s="4">
        <f>SUMIFS(
  Exchange_Return[Qty],
  Exchange_Return[Product_Code], Stock_Table[[#This Row],[Product_Code]]
)</f>
        <v>0</v>
      </c>
      <c r="L1654" s="4">
        <f>I1654-J1654+K1654</f>
        <v>4</v>
      </c>
      <c r="M1654" s="2" t="str" cm="1">
        <f t="array" ref="M1654">_xlfn.IFS(L1654=0,"Out of Stock",L1654&gt;=2,"Limited Stock",L1654&lt;2,"In Stock")</f>
        <v>Limited Stock</v>
      </c>
    </row>
    <row r="1655" spans="2:13">
      <c r="B1655" s="2" t="s">
        <v>828</v>
      </c>
      <c r="C1655" s="5" t="str">
        <f>_xlfn.XLOOKUP(B1655,Master[Product_Code],Master[Category])</f>
        <v>T-Shirt</v>
      </c>
      <c r="D1655" s="2" t="str">
        <f>_xlfn.XLOOKUP(B1655,Master[Product_Code],Master[Brand])</f>
        <v>Turkey</v>
      </c>
      <c r="E1655" s="2" t="str">
        <f>_xlfn.XLOOKUP(B1655,Master[Product_Code],Master[Style])</f>
        <v>Full Sleeve</v>
      </c>
      <c r="F1655" s="2" t="str">
        <f>_xlfn.XLOOKUP(B1655,Master[Product_Code],Master[Fabric])</f>
        <v>Cotton Blend</v>
      </c>
      <c r="G1655" s="2" t="str">
        <f>_xlfn.XLOOKUP(B1655,Master[Product_Code],Master[Size])</f>
        <v>S</v>
      </c>
      <c r="H1655" s="2" t="str">
        <f>_xlfn.XLOOKUP(B1655,Master[Product_Code],Master[Color])</f>
        <v>Olive</v>
      </c>
      <c r="I1655" s="4">
        <f>_xlfn.XLOOKUP(B1655,Master[Product_Code],Master[Stock_Qty])</f>
        <v>6</v>
      </c>
      <c r="J1655" s="6">
        <f>SUMIFS(
  Sales_Entry[Qty],
  Sales_Entry[Product_Code], Stock_Table[[#This Row],[Product_Code]]
)</f>
        <v>2</v>
      </c>
      <c r="K1655" s="4">
        <f>SUMIFS(
  Exchange_Return[Qty],
  Exchange_Return[Product_Code], Stock_Table[[#This Row],[Product_Code]]
)</f>
        <v>0</v>
      </c>
      <c r="L1655" s="4">
        <f>I1655-J1655+K1655</f>
        <v>4</v>
      </c>
      <c r="M1655" s="2" t="str" cm="1">
        <f t="array" ref="M1655">_xlfn.IFS(L1655=0,"Out of Stock",L1655&gt;=2,"Limited Stock",L1655&lt;2,"In Stock")</f>
        <v>Limited Stock</v>
      </c>
    </row>
    <row r="1656" spans="2:13">
      <c r="B1656" s="2" t="s">
        <v>829</v>
      </c>
      <c r="C1656" s="5" t="str">
        <f>_xlfn.XLOOKUP(B1656,Master[Product_Code],Master[Category])</f>
        <v>T-Shirt</v>
      </c>
      <c r="D1656" s="2" t="str">
        <f>_xlfn.XLOOKUP(B1656,Master[Product_Code],Master[Brand])</f>
        <v>Turkey</v>
      </c>
      <c r="E1656" s="2" t="str">
        <f>_xlfn.XLOOKUP(B1656,Master[Product_Code],Master[Style])</f>
        <v>Hoodie</v>
      </c>
      <c r="F1656" s="2" t="str">
        <f>_xlfn.XLOOKUP(B1656,Master[Product_Code],Master[Fabric])</f>
        <v>Poly Cotton</v>
      </c>
      <c r="G1656" s="2" t="str">
        <f>_xlfn.XLOOKUP(B1656,Master[Product_Code],Master[Size])</f>
        <v>L</v>
      </c>
      <c r="H1656" s="2" t="str">
        <f>_xlfn.XLOOKUP(B1656,Master[Product_Code],Master[Color])</f>
        <v>Peach</v>
      </c>
      <c r="I1656" s="4">
        <f>_xlfn.XLOOKUP(B1656,Master[Product_Code],Master[Stock_Qty])</f>
        <v>5</v>
      </c>
      <c r="J1656" s="6">
        <f>SUMIFS(
  Sales_Entry[Qty],
  Sales_Entry[Product_Code], Stock_Table[[#This Row],[Product_Code]]
)</f>
        <v>2</v>
      </c>
      <c r="K1656" s="4">
        <f>SUMIFS(
  Exchange_Return[Qty],
  Exchange_Return[Product_Code], Stock_Table[[#This Row],[Product_Code]]
)</f>
        <v>0</v>
      </c>
      <c r="L1656" s="4">
        <f>I1656-J1656+K1656</f>
        <v>3</v>
      </c>
      <c r="M1656" s="2" t="str" cm="1">
        <f t="array" ref="M1656">_xlfn.IFS(L1656=0,"Out of Stock",L1656&gt;=2,"Limited Stock",L1656&lt;2,"In Stock")</f>
        <v>Limited Stock</v>
      </c>
    </row>
    <row r="1657" spans="2:13">
      <c r="B1657" s="2" t="s">
        <v>830</v>
      </c>
      <c r="C1657" s="5" t="str">
        <f>_xlfn.XLOOKUP(B1657,Master[Product_Code],Master[Category])</f>
        <v>T-Shirt</v>
      </c>
      <c r="D1657" s="2" t="str">
        <f>_xlfn.XLOOKUP(B1657,Master[Product_Code],Master[Brand])</f>
        <v>Roadster</v>
      </c>
      <c r="E1657" s="2" t="str">
        <f>_xlfn.XLOOKUP(B1657,Master[Product_Code],Master[Style])</f>
        <v>Hoodie</v>
      </c>
      <c r="F1657" s="2" t="str">
        <f>_xlfn.XLOOKUP(B1657,Master[Product_Code],Master[Fabric])</f>
        <v>Cotton</v>
      </c>
      <c r="G1657" s="2" t="str">
        <f>_xlfn.XLOOKUP(B1657,Master[Product_Code],Master[Size])</f>
        <v>XL</v>
      </c>
      <c r="H1657" s="2" t="str">
        <f>_xlfn.XLOOKUP(B1657,Master[Product_Code],Master[Color])</f>
        <v>Sky Blue</v>
      </c>
      <c r="I1657" s="4">
        <f>_xlfn.XLOOKUP(B1657,Master[Product_Code],Master[Stock_Qty])</f>
        <v>4</v>
      </c>
      <c r="J1657" s="6">
        <f>SUMIFS(
  Sales_Entry[Qty],
  Sales_Entry[Product_Code], Stock_Table[[#This Row],[Product_Code]]
)</f>
        <v>0</v>
      </c>
      <c r="K1657" s="4">
        <f>SUMIFS(
  Exchange_Return[Qty],
  Exchange_Return[Product_Code], Stock_Table[[#This Row],[Product_Code]]
)</f>
        <v>0</v>
      </c>
      <c r="L1657" s="4">
        <f>I1657-J1657+K1657</f>
        <v>4</v>
      </c>
      <c r="M1657" s="2" t="str" cm="1">
        <f t="array" ref="M1657">_xlfn.IFS(L1657=0,"Out of Stock",L1657&gt;=2,"Limited Stock",L1657&lt;2,"In Stock")</f>
        <v>Limited Stock</v>
      </c>
    </row>
    <row r="1658" spans="2:13">
      <c r="B1658" s="2" t="s">
        <v>831</v>
      </c>
      <c r="C1658" s="5" t="str">
        <f>_xlfn.XLOOKUP(B1658,Master[Product_Code],Master[Category])</f>
        <v>T-Shirt</v>
      </c>
      <c r="D1658" s="2" t="str">
        <f>_xlfn.XLOOKUP(B1658,Master[Product_Code],Master[Brand])</f>
        <v>Turkey</v>
      </c>
      <c r="E1658" s="2" t="str">
        <f>_xlfn.XLOOKUP(B1658,Master[Product_Code],Master[Style])</f>
        <v>3/4 Sleeve</v>
      </c>
      <c r="F1658" s="2" t="str">
        <f>_xlfn.XLOOKUP(B1658,Master[Product_Code],Master[Fabric])</f>
        <v>Cotton Blend</v>
      </c>
      <c r="G1658" s="2" t="str">
        <f>_xlfn.XLOOKUP(B1658,Master[Product_Code],Master[Size])</f>
        <v>S</v>
      </c>
      <c r="H1658" s="2" t="str">
        <f>_xlfn.XLOOKUP(B1658,Master[Product_Code],Master[Color])</f>
        <v>Cream</v>
      </c>
      <c r="I1658" s="4">
        <f>_xlfn.XLOOKUP(B1658,Master[Product_Code],Master[Stock_Qty])</f>
        <v>5</v>
      </c>
      <c r="J1658" s="6">
        <f>SUMIFS(
  Sales_Entry[Qty],
  Sales_Entry[Product_Code], Stock_Table[[#This Row],[Product_Code]]
)</f>
        <v>2</v>
      </c>
      <c r="K1658" s="4">
        <f>SUMIFS(
  Exchange_Return[Qty],
  Exchange_Return[Product_Code], Stock_Table[[#This Row],[Product_Code]]
)</f>
        <v>0</v>
      </c>
      <c r="L1658" s="4">
        <f>I1658-J1658+K1658</f>
        <v>3</v>
      </c>
      <c r="M1658" s="2" t="str" cm="1">
        <f t="array" ref="M1658">_xlfn.IFS(L1658=0,"Out of Stock",L1658&gt;=2,"Limited Stock",L1658&lt;2,"In Stock")</f>
        <v>Limited Stock</v>
      </c>
    </row>
    <row r="1659" spans="2:13">
      <c r="B1659" s="2" t="s">
        <v>832</v>
      </c>
      <c r="C1659" s="5" t="str">
        <f>_xlfn.XLOOKUP(B1659,Master[Product_Code],Master[Category])</f>
        <v>T-Shirt</v>
      </c>
      <c r="D1659" s="2" t="str">
        <f>_xlfn.XLOOKUP(B1659,Master[Product_Code],Master[Brand])</f>
        <v>Thailand</v>
      </c>
      <c r="E1659" s="2" t="str">
        <f>_xlfn.XLOOKUP(B1659,Master[Product_Code],Master[Style])</f>
        <v>3/4 Sleeve</v>
      </c>
      <c r="F1659" s="2" t="str">
        <f>_xlfn.XLOOKUP(B1659,Master[Product_Code],Master[Fabric])</f>
        <v>Poly Cotton</v>
      </c>
      <c r="G1659" s="2" t="str">
        <f>_xlfn.XLOOKUP(B1659,Master[Product_Code],Master[Size])</f>
        <v>XXL</v>
      </c>
      <c r="H1659" s="2" t="str">
        <f>_xlfn.XLOOKUP(B1659,Master[Product_Code],Master[Color])</f>
        <v>Beige</v>
      </c>
      <c r="I1659" s="4">
        <f>_xlfn.XLOOKUP(B1659,Master[Product_Code],Master[Stock_Qty])</f>
        <v>5</v>
      </c>
      <c r="J1659" s="6">
        <f>SUMIFS(
  Sales_Entry[Qty],
  Sales_Entry[Product_Code], Stock_Table[[#This Row],[Product_Code]]
)</f>
        <v>5</v>
      </c>
      <c r="K1659" s="4">
        <f>SUMIFS(
  Exchange_Return[Qty],
  Exchange_Return[Product_Code], Stock_Table[[#This Row],[Product_Code]]
)</f>
        <v>0</v>
      </c>
      <c r="L1659" s="4">
        <f>I1659-J1659+K1659</f>
        <v>0</v>
      </c>
      <c r="M1659" s="2" t="str" cm="1">
        <f t="array" ref="M1659">_xlfn.IFS(L1659=0,"Out of Stock",L1659&gt;=2,"Limited Stock",L1659&lt;2,"In Stock")</f>
        <v>Out of Stock</v>
      </c>
    </row>
    <row r="1660" spans="2:13">
      <c r="B1660" s="2" t="s">
        <v>833</v>
      </c>
      <c r="C1660" s="5" t="str">
        <f>_xlfn.XLOOKUP(B1660,Master[Product_Code],Master[Category])</f>
        <v>T-Shirt</v>
      </c>
      <c r="D1660" s="2" t="str">
        <f>_xlfn.XLOOKUP(B1660,Master[Product_Code],Master[Brand])</f>
        <v>Max</v>
      </c>
      <c r="E1660" s="2" t="str">
        <f>_xlfn.XLOOKUP(B1660,Master[Product_Code],Master[Style])</f>
        <v>Half Sleeve</v>
      </c>
      <c r="F1660" s="2" t="str">
        <f>_xlfn.XLOOKUP(B1660,Master[Product_Code],Master[Fabric])</f>
        <v>Cotton Blend</v>
      </c>
      <c r="G1660" s="2" t="str">
        <f>_xlfn.XLOOKUP(B1660,Master[Product_Code],Master[Size])</f>
        <v>XXL</v>
      </c>
      <c r="H1660" s="2" t="str">
        <f>_xlfn.XLOOKUP(B1660,Master[Product_Code],Master[Color])</f>
        <v>Grey</v>
      </c>
      <c r="I1660" s="4">
        <f>_xlfn.XLOOKUP(B1660,Master[Product_Code],Master[Stock_Qty])</f>
        <v>4</v>
      </c>
      <c r="J1660" s="6">
        <f>SUMIFS(
  Sales_Entry[Qty],
  Sales_Entry[Product_Code], Stock_Table[[#This Row],[Product_Code]]
)</f>
        <v>0</v>
      </c>
      <c r="K1660" s="4">
        <f>SUMIFS(
  Exchange_Return[Qty],
  Exchange_Return[Product_Code], Stock_Table[[#This Row],[Product_Code]]
)</f>
        <v>0</v>
      </c>
      <c r="L1660" s="4">
        <f>I1660-J1660+K1660</f>
        <v>4</v>
      </c>
      <c r="M1660" s="2" t="str" cm="1">
        <f t="array" ref="M1660">_xlfn.IFS(L1660=0,"Out of Stock",L1660&gt;=2,"Limited Stock",L1660&lt;2,"In Stock")</f>
        <v>Limited Stock</v>
      </c>
    </row>
  </sheetData>
  <mergeCells count="1">
    <mergeCell ref="C1:I1"/>
  </mergeCells>
  <conditionalFormatting sqref="M4:M1660">
    <cfRule type="containsText" dxfId="54" priority="3" operator="containsText" text="Out of Stock">
      <formula>NOT(ISERROR(SEARCH("Out of Stock",M4)))</formula>
    </cfRule>
  </conditionalFormatting>
  <conditionalFormatting sqref="M4:M1660">
    <cfRule type="containsText" dxfId="53" priority="2" operator="containsText" text="Limited Stock">
      <formula>NOT(ISERROR(SEARCH("Limited Stock",M4)))</formula>
    </cfRule>
  </conditionalFormatting>
  <conditionalFormatting sqref="M4:M1660">
    <cfRule type="containsText" dxfId="52" priority="1" operator="containsText" text="In Stock">
      <formula>NOT(ISERROR(SEARCH("In Stock",M4)))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9A9E-E133-4CF4-8E49-623FD5415530}">
  <dimension ref="A1:N2778"/>
  <sheetViews>
    <sheetView workbookViewId="0">
      <selection activeCell="C1" sqref="C1:G1"/>
    </sheetView>
  </sheetViews>
  <sheetFormatPr defaultRowHeight="14.25"/>
  <cols>
    <col min="1" max="1" width="5" style="2" customWidth="1"/>
    <col min="2" max="2" width="11.42578125" style="2" customWidth="1"/>
    <col min="3" max="3" width="13.42578125" style="2" customWidth="1"/>
    <col min="4" max="4" width="17.85546875" style="2" bestFit="1" customWidth="1"/>
    <col min="5" max="5" width="6.42578125" style="8" bestFit="1" customWidth="1"/>
    <col min="6" max="7" width="13.85546875" style="8" bestFit="1" customWidth="1"/>
    <col min="8" max="8" width="10.42578125" style="8" bestFit="1" customWidth="1"/>
    <col min="9" max="9" width="12.28515625" style="8" bestFit="1" customWidth="1"/>
    <col min="10" max="10" width="8" style="8" bestFit="1" customWidth="1"/>
    <col min="11" max="11" width="12.85546875" style="2" bestFit="1" customWidth="1"/>
    <col min="12" max="12" width="11.140625" style="2" customWidth="1"/>
    <col min="13" max="13" width="12.140625" style="2" bestFit="1" customWidth="1"/>
    <col min="14" max="14" width="6.85546875" style="2" customWidth="1"/>
    <col min="15" max="16384" width="9.140625" style="2"/>
  </cols>
  <sheetData>
    <row r="1" spans="1:14" ht="81.75" customHeight="1">
      <c r="A1" s="14"/>
      <c r="B1" s="15"/>
      <c r="C1" s="47" t="s">
        <v>1763</v>
      </c>
      <c r="D1" s="47"/>
      <c r="E1" s="47"/>
      <c r="F1" s="47"/>
      <c r="G1" s="47"/>
      <c r="H1" s="17"/>
      <c r="I1" s="17"/>
      <c r="J1" s="18"/>
      <c r="K1" s="19"/>
      <c r="L1" s="19"/>
      <c r="M1" s="20"/>
      <c r="N1" s="31"/>
    </row>
    <row r="3" spans="1:14" ht="15">
      <c r="B3" s="34" t="s">
        <v>1764</v>
      </c>
      <c r="C3" s="34" t="s">
        <v>1765</v>
      </c>
      <c r="D3" s="35" t="s">
        <v>1</v>
      </c>
      <c r="E3" s="34" t="s">
        <v>1766</v>
      </c>
      <c r="F3" s="36" t="s">
        <v>2</v>
      </c>
      <c r="G3" s="36" t="s">
        <v>3</v>
      </c>
      <c r="H3" s="36" t="s">
        <v>4</v>
      </c>
      <c r="I3" s="36" t="s">
        <v>5</v>
      </c>
      <c r="J3" s="36" t="s">
        <v>6</v>
      </c>
      <c r="K3" s="36" t="s">
        <v>7</v>
      </c>
      <c r="L3" s="34" t="s">
        <v>1767</v>
      </c>
    </row>
    <row r="4" spans="1:14">
      <c r="B4" s="2" t="s">
        <v>1768</v>
      </c>
      <c r="C4" s="7">
        <v>45931</v>
      </c>
      <c r="D4" s="2" t="s">
        <v>1356</v>
      </c>
      <c r="E4" s="4">
        <v>1</v>
      </c>
      <c r="F4" s="8" t="str">
        <f>_xlfn.XLOOKUP(D4,Master[Product_Code],Master[Category])</f>
        <v>Pants</v>
      </c>
      <c r="G4" s="8" t="str">
        <f>_xlfn.XLOOKUP(D4,Master[Product_Code],Master[Brand])</f>
        <v>Peter England</v>
      </c>
      <c r="H4" s="8" t="str">
        <f>_xlfn.XLOOKUP(D4,Master[Product_Code],Master[Style])</f>
        <v>Kurka</v>
      </c>
      <c r="I4" s="8" t="str">
        <f>_xlfn.XLOOKUP(D4,Master[Product_Code],Master[Fabric])</f>
        <v>Lycra</v>
      </c>
      <c r="J4" s="8">
        <f>_xlfn.XLOOKUP(D4,Master[Product_Code],Master[Size])</f>
        <v>40</v>
      </c>
      <c r="K4" s="8" t="str">
        <f>_xlfn.XLOOKUP(D4,Master[Product_Code],Master[Color])</f>
        <v>White</v>
      </c>
      <c r="L4" s="3">
        <f>_xlfn.XLOOKUP(D4,Master[Product_Code],Master[Selling_Price])</f>
        <v>710</v>
      </c>
    </row>
    <row r="5" spans="1:14">
      <c r="B5" s="2" t="s">
        <v>1769</v>
      </c>
      <c r="C5" s="7">
        <v>45931</v>
      </c>
      <c r="D5" s="2" t="s">
        <v>384</v>
      </c>
      <c r="E5" s="4">
        <v>1</v>
      </c>
      <c r="F5" s="8" t="str">
        <f>_xlfn.XLOOKUP(D5,Master[Product_Code],Master[Category])</f>
        <v>Shirt</v>
      </c>
      <c r="G5" s="8" t="str">
        <f>_xlfn.XLOOKUP(D5,Master[Product_Code],Master[Brand])</f>
        <v>H&amp;M</v>
      </c>
      <c r="H5" s="8" t="str">
        <f>_xlfn.XLOOKUP(D5,Master[Product_Code],Master[Style])</f>
        <v>Casual</v>
      </c>
      <c r="I5" s="8" t="str">
        <f>_xlfn.XLOOKUP(D5,Master[Product_Code],Master[Fabric])</f>
        <v>Cotton</v>
      </c>
      <c r="J5" s="8" t="str">
        <f>_xlfn.XLOOKUP(D5,Master[Product_Code],Master[Size])</f>
        <v>XL</v>
      </c>
      <c r="K5" s="8" t="str">
        <f>_xlfn.XLOOKUP(D5,Master[Product_Code],Master[Color])</f>
        <v>Maroon</v>
      </c>
      <c r="L5" s="3">
        <f>_xlfn.XLOOKUP(D5,Master[Product_Code],Master[Selling_Price])</f>
        <v>660</v>
      </c>
    </row>
    <row r="6" spans="1:14">
      <c r="B6" s="2" t="s">
        <v>1769</v>
      </c>
      <c r="C6" s="7">
        <v>45931</v>
      </c>
      <c r="D6" s="2" t="s">
        <v>754</v>
      </c>
      <c r="E6" s="4">
        <v>1</v>
      </c>
      <c r="F6" s="8" t="str">
        <f>_xlfn.XLOOKUP(D6,Master[Product_Code],Master[Category])</f>
        <v>T-Shirt</v>
      </c>
      <c r="G6" s="8" t="str">
        <f>_xlfn.XLOOKUP(D6,Master[Product_Code],Master[Brand])</f>
        <v>Campus</v>
      </c>
      <c r="H6" s="8" t="str">
        <f>_xlfn.XLOOKUP(D6,Master[Product_Code],Master[Style])</f>
        <v>Sleeveless</v>
      </c>
      <c r="I6" s="8" t="str">
        <f>_xlfn.XLOOKUP(D6,Master[Product_Code],Master[Fabric])</f>
        <v>Cotton Blend</v>
      </c>
      <c r="J6" s="8" t="str">
        <f>_xlfn.XLOOKUP(D6,Master[Product_Code],Master[Size])</f>
        <v>L</v>
      </c>
      <c r="K6" s="8" t="str">
        <f>_xlfn.XLOOKUP(D6,Master[Product_Code],Master[Color])</f>
        <v>Maroon</v>
      </c>
      <c r="L6" s="3">
        <f>_xlfn.XLOOKUP(D6,Master[Product_Code],Master[Selling_Price])</f>
        <v>720</v>
      </c>
    </row>
    <row r="7" spans="1:14">
      <c r="B7" s="2" t="s">
        <v>1770</v>
      </c>
      <c r="C7" s="7">
        <v>45931</v>
      </c>
      <c r="D7" s="2" t="s">
        <v>379</v>
      </c>
      <c r="E7" s="4">
        <v>1</v>
      </c>
      <c r="F7" s="8" t="str">
        <f>_xlfn.XLOOKUP(D7,Master[Product_Code],Master[Category])</f>
        <v>Shirt</v>
      </c>
      <c r="G7" s="8" t="str">
        <f>_xlfn.XLOOKUP(D7,Master[Product_Code],Master[Brand])</f>
        <v>G Studio</v>
      </c>
      <c r="H7" s="8" t="str">
        <f>_xlfn.XLOOKUP(D7,Master[Product_Code],Master[Style])</f>
        <v>Formal</v>
      </c>
      <c r="I7" s="8" t="str">
        <f>_xlfn.XLOOKUP(D7,Master[Product_Code],Master[Fabric])</f>
        <v>Lycra</v>
      </c>
      <c r="J7" s="8" t="str">
        <f>_xlfn.XLOOKUP(D7,Master[Product_Code],Master[Size])</f>
        <v>XL</v>
      </c>
      <c r="K7" s="8" t="str">
        <f>_xlfn.XLOOKUP(D7,Master[Product_Code],Master[Color])</f>
        <v>Maroon</v>
      </c>
      <c r="L7" s="3">
        <f>_xlfn.XLOOKUP(D7,Master[Product_Code],Master[Selling_Price])</f>
        <v>850</v>
      </c>
    </row>
    <row r="8" spans="1:14">
      <c r="B8" s="2" t="s">
        <v>1770</v>
      </c>
      <c r="C8" s="7">
        <v>45931</v>
      </c>
      <c r="D8" s="2" t="s">
        <v>556</v>
      </c>
      <c r="E8" s="4">
        <v>1</v>
      </c>
      <c r="F8" s="8" t="str">
        <f>_xlfn.XLOOKUP(D8,Master[Product_Code],Master[Category])</f>
        <v>T-Shirt</v>
      </c>
      <c r="G8" s="8" t="str">
        <f>_xlfn.XLOOKUP(D8,Master[Product_Code],Master[Brand])</f>
        <v>Turkey</v>
      </c>
      <c r="H8" s="8" t="str">
        <f>_xlfn.XLOOKUP(D8,Master[Product_Code],Master[Style])</f>
        <v>Half Sleeve</v>
      </c>
      <c r="I8" s="8" t="str">
        <f>_xlfn.XLOOKUP(D8,Master[Product_Code],Master[Fabric])</f>
        <v>Cotton</v>
      </c>
      <c r="J8" s="8" t="str">
        <f>_xlfn.XLOOKUP(D8,Master[Product_Code],Master[Size])</f>
        <v>M</v>
      </c>
      <c r="K8" s="8" t="str">
        <f>_xlfn.XLOOKUP(D8,Master[Product_Code],Master[Color])</f>
        <v>Light Grey</v>
      </c>
      <c r="L8" s="3">
        <f>_xlfn.XLOOKUP(D8,Master[Product_Code],Master[Selling_Price])</f>
        <v>400</v>
      </c>
    </row>
    <row r="9" spans="1:14">
      <c r="B9" s="2" t="s">
        <v>1770</v>
      </c>
      <c r="C9" s="7">
        <v>45931</v>
      </c>
      <c r="D9" s="2" t="s">
        <v>258</v>
      </c>
      <c r="E9" s="4">
        <v>1</v>
      </c>
      <c r="F9" s="8" t="str">
        <f>_xlfn.XLOOKUP(D9,Master[Product_Code],Master[Category])</f>
        <v>Shirt</v>
      </c>
      <c r="G9" s="8" t="str">
        <f>_xlfn.XLOOKUP(D9,Master[Product_Code],Master[Brand])</f>
        <v>Zara</v>
      </c>
      <c r="H9" s="8" t="str">
        <f>_xlfn.XLOOKUP(D9,Master[Product_Code],Master[Style])</f>
        <v>Casual</v>
      </c>
      <c r="I9" s="8" t="str">
        <f>_xlfn.XLOOKUP(D9,Master[Product_Code],Master[Fabric])</f>
        <v>Cotton</v>
      </c>
      <c r="J9" s="8" t="str">
        <f>_xlfn.XLOOKUP(D9,Master[Product_Code],Master[Size])</f>
        <v>L</v>
      </c>
      <c r="K9" s="8" t="str">
        <f>_xlfn.XLOOKUP(D9,Master[Product_Code],Master[Color])</f>
        <v>Light Grey</v>
      </c>
      <c r="L9" s="3">
        <f>_xlfn.XLOOKUP(D9,Master[Product_Code],Master[Selling_Price])</f>
        <v>780</v>
      </c>
    </row>
    <row r="10" spans="1:14">
      <c r="B10" s="2" t="s">
        <v>1770</v>
      </c>
      <c r="C10" s="7">
        <v>45931</v>
      </c>
      <c r="D10" s="2" t="s">
        <v>1111</v>
      </c>
      <c r="E10" s="4">
        <v>1</v>
      </c>
      <c r="F10" s="8" t="str">
        <f>_xlfn.XLOOKUP(D10,Master[Product_Code],Master[Category])</f>
        <v>Jeans</v>
      </c>
      <c r="G10" s="8" t="str">
        <f>_xlfn.XLOOKUP(D10,Master[Product_Code],Master[Brand])</f>
        <v>Pepe</v>
      </c>
      <c r="H10" s="8" t="str">
        <f>_xlfn.XLOOKUP(D10,Master[Product_Code],Master[Style])</f>
        <v>Mom Fit</v>
      </c>
      <c r="I10" s="8" t="str">
        <f>_xlfn.XLOOKUP(D10,Master[Product_Code],Master[Fabric])</f>
        <v>Denim</v>
      </c>
      <c r="J10" s="8">
        <f>_xlfn.XLOOKUP(D10,Master[Product_Code],Master[Size])</f>
        <v>44</v>
      </c>
      <c r="K10" s="8" t="str">
        <f>_xlfn.XLOOKUP(D10,Master[Product_Code],Master[Color])</f>
        <v>White</v>
      </c>
      <c r="L10" s="3">
        <f>_xlfn.XLOOKUP(D10,Master[Product_Code],Master[Selling_Price])</f>
        <v>920</v>
      </c>
    </row>
    <row r="11" spans="1:14">
      <c r="B11" s="2" t="s">
        <v>1771</v>
      </c>
      <c r="C11" s="7">
        <v>45931</v>
      </c>
      <c r="D11" s="2" t="s">
        <v>1106</v>
      </c>
      <c r="E11" s="4">
        <v>1</v>
      </c>
      <c r="F11" s="8" t="str">
        <f>_xlfn.XLOOKUP(D11,Master[Product_Code],Master[Category])</f>
        <v>Jeans</v>
      </c>
      <c r="G11" s="8" t="str">
        <f>_xlfn.XLOOKUP(D11,Master[Product_Code],Master[Brand])</f>
        <v>Levis</v>
      </c>
      <c r="H11" s="8" t="str">
        <f>_xlfn.XLOOKUP(D11,Master[Product_Code],Master[Style])</f>
        <v>Baggy</v>
      </c>
      <c r="I11" s="8" t="str">
        <f>_xlfn.XLOOKUP(D11,Master[Product_Code],Master[Fabric])</f>
        <v>Denim</v>
      </c>
      <c r="J11" s="8">
        <f>_xlfn.XLOOKUP(D11,Master[Product_Code],Master[Size])</f>
        <v>32</v>
      </c>
      <c r="K11" s="8" t="str">
        <f>_xlfn.XLOOKUP(D11,Master[Product_Code],Master[Color])</f>
        <v>Mustard</v>
      </c>
      <c r="L11" s="3">
        <f>_xlfn.XLOOKUP(D11,Master[Product_Code],Master[Selling_Price])</f>
        <v>1080</v>
      </c>
    </row>
    <row r="12" spans="1:14">
      <c r="B12" s="2" t="s">
        <v>1771</v>
      </c>
      <c r="C12" s="7">
        <v>45931</v>
      </c>
      <c r="D12" s="2" t="s">
        <v>1157</v>
      </c>
      <c r="E12" s="4">
        <v>1</v>
      </c>
      <c r="F12" s="8" t="str">
        <f>_xlfn.XLOOKUP(D12,Master[Product_Code],Master[Category])</f>
        <v>Pants</v>
      </c>
      <c r="G12" s="8" t="str">
        <f>_xlfn.XLOOKUP(D12,Master[Product_Code],Master[Brand])</f>
        <v>Raymond</v>
      </c>
      <c r="H12" s="8" t="str">
        <f>_xlfn.XLOOKUP(D12,Master[Product_Code],Master[Style])</f>
        <v>Korean</v>
      </c>
      <c r="I12" s="8" t="str">
        <f>_xlfn.XLOOKUP(D12,Master[Product_Code],Master[Fabric])</f>
        <v>Lycra</v>
      </c>
      <c r="J12" s="8">
        <f>_xlfn.XLOOKUP(D12,Master[Product_Code],Master[Size])</f>
        <v>38</v>
      </c>
      <c r="K12" s="8" t="str">
        <f>_xlfn.XLOOKUP(D12,Master[Product_Code],Master[Color])</f>
        <v>Brown</v>
      </c>
      <c r="L12" s="3">
        <f>_xlfn.XLOOKUP(D12,Master[Product_Code],Master[Selling_Price])</f>
        <v>830</v>
      </c>
    </row>
    <row r="13" spans="1:14">
      <c r="B13" s="2" t="s">
        <v>1771</v>
      </c>
      <c r="C13" s="7">
        <v>45931</v>
      </c>
      <c r="D13" s="2" t="s">
        <v>1461</v>
      </c>
      <c r="E13" s="4">
        <v>1</v>
      </c>
      <c r="F13" s="8" t="str">
        <f>_xlfn.XLOOKUP(D13,Master[Product_Code],Master[Category])</f>
        <v>Innerwear</v>
      </c>
      <c r="G13" s="8" t="str">
        <f>_xlfn.XLOOKUP(D13,Master[Product_Code],Master[Brand])</f>
        <v>Rupa</v>
      </c>
      <c r="H13" s="8" t="str">
        <f>_xlfn.XLOOKUP(D13,Master[Product_Code],Master[Style])</f>
        <v>Boxer</v>
      </c>
      <c r="I13" s="8" t="str">
        <f>_xlfn.XLOOKUP(D13,Master[Product_Code],Master[Fabric])</f>
        <v>Cotton</v>
      </c>
      <c r="J13" s="8" t="str">
        <f>_xlfn.XLOOKUP(D13,Master[Product_Code],Master[Size])</f>
        <v>100-105</v>
      </c>
      <c r="K13" s="8" t="str">
        <f>_xlfn.XLOOKUP(D13,Master[Product_Code],Master[Color])</f>
        <v>Rust</v>
      </c>
      <c r="L13" s="3">
        <f>_xlfn.XLOOKUP(D13,Master[Product_Code],Master[Selling_Price])</f>
        <v>160</v>
      </c>
    </row>
    <row r="14" spans="1:14">
      <c r="B14" s="2" t="s">
        <v>1771</v>
      </c>
      <c r="C14" s="7">
        <v>45931</v>
      </c>
      <c r="D14" s="2" t="s">
        <v>867</v>
      </c>
      <c r="E14" s="4">
        <v>1</v>
      </c>
      <c r="F14" s="8" t="str">
        <f>_xlfn.XLOOKUP(D14,Master[Product_Code],Master[Category])</f>
        <v>Jeans</v>
      </c>
      <c r="G14" s="8" t="str">
        <f>_xlfn.XLOOKUP(D14,Master[Product_Code],Master[Brand])</f>
        <v>Pepe</v>
      </c>
      <c r="H14" s="8" t="str">
        <f>_xlfn.XLOOKUP(D14,Master[Product_Code],Master[Style])</f>
        <v>Jogger</v>
      </c>
      <c r="I14" s="8" t="str">
        <f>_xlfn.XLOOKUP(D14,Master[Product_Code],Master[Fabric])</f>
        <v>Denim</v>
      </c>
      <c r="J14" s="8">
        <f>_xlfn.XLOOKUP(D14,Master[Product_Code],Master[Size])</f>
        <v>32</v>
      </c>
      <c r="K14" s="8" t="str">
        <f>_xlfn.XLOOKUP(D14,Master[Product_Code],Master[Color])</f>
        <v>Sky Blue</v>
      </c>
      <c r="L14" s="3">
        <f>_xlfn.XLOOKUP(D14,Master[Product_Code],Master[Selling_Price])</f>
        <v>820</v>
      </c>
    </row>
    <row r="15" spans="1:14">
      <c r="B15" s="2" t="s">
        <v>1772</v>
      </c>
      <c r="C15" s="7">
        <v>45931</v>
      </c>
      <c r="D15" s="2" t="s">
        <v>607</v>
      </c>
      <c r="E15" s="4">
        <v>1</v>
      </c>
      <c r="F15" s="8" t="str">
        <f>_xlfn.XLOOKUP(D15,Master[Product_Code],Master[Category])</f>
        <v>T-Shirt</v>
      </c>
      <c r="G15" s="8" t="str">
        <f>_xlfn.XLOOKUP(D15,Master[Product_Code],Master[Brand])</f>
        <v>Max</v>
      </c>
      <c r="H15" s="8" t="str">
        <f>_xlfn.XLOOKUP(D15,Master[Product_Code],Master[Style])</f>
        <v>Half Sleeve</v>
      </c>
      <c r="I15" s="8" t="str">
        <f>_xlfn.XLOOKUP(D15,Master[Product_Code],Master[Fabric])</f>
        <v>Cotton Blend</v>
      </c>
      <c r="J15" s="8" t="str">
        <f>_xlfn.XLOOKUP(D15,Master[Product_Code],Master[Size])</f>
        <v>XL</v>
      </c>
      <c r="K15" s="8" t="str">
        <f>_xlfn.XLOOKUP(D15,Master[Product_Code],Master[Color])</f>
        <v>Cream</v>
      </c>
      <c r="L15" s="3">
        <f>_xlfn.XLOOKUP(D15,Master[Product_Code],Master[Selling_Price])</f>
        <v>340</v>
      </c>
    </row>
    <row r="16" spans="1:14">
      <c r="B16" s="2" t="s">
        <v>1772</v>
      </c>
      <c r="C16" s="7">
        <v>45931</v>
      </c>
      <c r="D16" s="2" t="s">
        <v>1428</v>
      </c>
      <c r="E16" s="4">
        <v>1</v>
      </c>
      <c r="F16" s="8" t="str">
        <f>_xlfn.XLOOKUP(D16,Master[Product_Code],Master[Category])</f>
        <v>Pants</v>
      </c>
      <c r="G16" s="8" t="str">
        <f>_xlfn.XLOOKUP(D16,Master[Product_Code],Master[Brand])</f>
        <v>Peter England</v>
      </c>
      <c r="H16" s="8" t="str">
        <f>_xlfn.XLOOKUP(D16,Master[Product_Code],Master[Style])</f>
        <v>Korean</v>
      </c>
      <c r="I16" s="8" t="str">
        <f>_xlfn.XLOOKUP(D16,Master[Product_Code],Master[Fabric])</f>
        <v>Lycra</v>
      </c>
      <c r="J16" s="8">
        <f>_xlfn.XLOOKUP(D16,Master[Product_Code],Master[Size])</f>
        <v>34</v>
      </c>
      <c r="K16" s="8" t="str">
        <f>_xlfn.XLOOKUP(D16,Master[Product_Code],Master[Color])</f>
        <v>Olive</v>
      </c>
      <c r="L16" s="3">
        <f>_xlfn.XLOOKUP(D16,Master[Product_Code],Master[Selling_Price])</f>
        <v>790</v>
      </c>
    </row>
    <row r="17" spans="2:12">
      <c r="B17" s="2" t="s">
        <v>1773</v>
      </c>
      <c r="C17" s="7">
        <v>45931</v>
      </c>
      <c r="D17" s="2" t="s">
        <v>726</v>
      </c>
      <c r="E17" s="4">
        <v>1</v>
      </c>
      <c r="F17" s="8" t="str">
        <f>_xlfn.XLOOKUP(D17,Master[Product_Code],Master[Category])</f>
        <v>T-Shirt</v>
      </c>
      <c r="G17" s="8" t="str">
        <f>_xlfn.XLOOKUP(D17,Master[Product_Code],Master[Brand])</f>
        <v>Roadster</v>
      </c>
      <c r="H17" s="8" t="str">
        <f>_xlfn.XLOOKUP(D17,Master[Product_Code],Master[Style])</f>
        <v>Half Sleeve</v>
      </c>
      <c r="I17" s="8" t="str">
        <f>_xlfn.XLOOKUP(D17,Master[Product_Code],Master[Fabric])</f>
        <v>Poly Cotton</v>
      </c>
      <c r="J17" s="8" t="str">
        <f>_xlfn.XLOOKUP(D17,Master[Product_Code],Master[Size])</f>
        <v>M</v>
      </c>
      <c r="K17" s="8" t="str">
        <f>_xlfn.XLOOKUP(D17,Master[Product_Code],Master[Color])</f>
        <v>Bottle Green</v>
      </c>
      <c r="L17" s="3">
        <f>_xlfn.XLOOKUP(D17,Master[Product_Code],Master[Selling_Price])</f>
        <v>340</v>
      </c>
    </row>
    <row r="18" spans="2:12">
      <c r="B18" s="2" t="s">
        <v>1773</v>
      </c>
      <c r="C18" s="7">
        <v>45931</v>
      </c>
      <c r="D18" s="2" t="s">
        <v>1295</v>
      </c>
      <c r="E18" s="4">
        <v>1</v>
      </c>
      <c r="F18" s="8" t="str">
        <f>_xlfn.XLOOKUP(D18,Master[Product_Code],Master[Category])</f>
        <v>Pants</v>
      </c>
      <c r="G18" s="8" t="str">
        <f>_xlfn.XLOOKUP(D18,Master[Product_Code],Master[Brand])</f>
        <v>Van Heusen</v>
      </c>
      <c r="H18" s="8" t="str">
        <f>_xlfn.XLOOKUP(D18,Master[Product_Code],Master[Style])</f>
        <v>Kurka</v>
      </c>
      <c r="I18" s="8" t="str">
        <f>_xlfn.XLOOKUP(D18,Master[Product_Code],Master[Fabric])</f>
        <v>Lycra</v>
      </c>
      <c r="J18" s="8">
        <f>_xlfn.XLOOKUP(D18,Master[Product_Code],Master[Size])</f>
        <v>36</v>
      </c>
      <c r="K18" s="8" t="str">
        <f>_xlfn.XLOOKUP(D18,Master[Product_Code],Master[Color])</f>
        <v>Charcoal</v>
      </c>
      <c r="L18" s="3">
        <f>_xlfn.XLOOKUP(D18,Master[Product_Code],Master[Selling_Price])</f>
        <v>870</v>
      </c>
    </row>
    <row r="19" spans="2:12">
      <c r="B19" s="2" t="s">
        <v>1773</v>
      </c>
      <c r="C19" s="7">
        <v>45931</v>
      </c>
      <c r="D19" s="2" t="s">
        <v>1179</v>
      </c>
      <c r="E19" s="4">
        <v>1</v>
      </c>
      <c r="F19" s="8" t="str">
        <f>_xlfn.XLOOKUP(D19,Master[Product_Code],Master[Category])</f>
        <v>Pants</v>
      </c>
      <c r="G19" s="8" t="str">
        <f>_xlfn.XLOOKUP(D19,Master[Product_Code],Master[Brand])</f>
        <v>Park Avenue</v>
      </c>
      <c r="H19" s="8" t="str">
        <f>_xlfn.XLOOKUP(D19,Master[Product_Code],Master[Style])</f>
        <v>Jogger</v>
      </c>
      <c r="I19" s="8" t="str">
        <f>_xlfn.XLOOKUP(D19,Master[Product_Code],Master[Fabric])</f>
        <v>Cotton Blend</v>
      </c>
      <c r="J19" s="8">
        <f>_xlfn.XLOOKUP(D19,Master[Product_Code],Master[Size])</f>
        <v>44</v>
      </c>
      <c r="K19" s="8" t="str">
        <f>_xlfn.XLOOKUP(D19,Master[Product_Code],Master[Color])</f>
        <v>Dark Green</v>
      </c>
      <c r="L19" s="3">
        <f>_xlfn.XLOOKUP(D19,Master[Product_Code],Master[Selling_Price])</f>
        <v>770</v>
      </c>
    </row>
    <row r="20" spans="2:12">
      <c r="B20" s="2" t="s">
        <v>1773</v>
      </c>
      <c r="C20" s="7">
        <v>45931</v>
      </c>
      <c r="D20" s="2" t="s">
        <v>792</v>
      </c>
      <c r="E20" s="4">
        <v>1</v>
      </c>
      <c r="F20" s="8" t="str">
        <f>_xlfn.XLOOKUP(D20,Master[Product_Code],Master[Category])</f>
        <v>T-Shirt</v>
      </c>
      <c r="G20" s="8" t="str">
        <f>_xlfn.XLOOKUP(D20,Master[Product_Code],Master[Brand])</f>
        <v>Turkey</v>
      </c>
      <c r="H20" s="8" t="str">
        <f>_xlfn.XLOOKUP(D20,Master[Product_Code],Master[Style])</f>
        <v>Sleeveless</v>
      </c>
      <c r="I20" s="8" t="str">
        <f>_xlfn.XLOOKUP(D20,Master[Product_Code],Master[Fabric])</f>
        <v>Poly Cotton</v>
      </c>
      <c r="J20" s="8" t="str">
        <f>_xlfn.XLOOKUP(D20,Master[Product_Code],Master[Size])</f>
        <v>XXL</v>
      </c>
      <c r="K20" s="8" t="str">
        <f>_xlfn.XLOOKUP(D20,Master[Product_Code],Master[Color])</f>
        <v>Peach</v>
      </c>
      <c r="L20" s="3">
        <f>_xlfn.XLOOKUP(D20,Master[Product_Code],Master[Selling_Price])</f>
        <v>750</v>
      </c>
    </row>
    <row r="21" spans="2:12">
      <c r="B21" s="2" t="s">
        <v>1774</v>
      </c>
      <c r="C21" s="7">
        <v>45931</v>
      </c>
      <c r="D21" s="2" t="s">
        <v>280</v>
      </c>
      <c r="E21" s="4">
        <v>1</v>
      </c>
      <c r="F21" s="8" t="str">
        <f>_xlfn.XLOOKUP(D21,Master[Product_Code],Master[Category])</f>
        <v>Shirt</v>
      </c>
      <c r="G21" s="8" t="str">
        <f>_xlfn.XLOOKUP(D21,Master[Product_Code],Master[Brand])</f>
        <v>L7</v>
      </c>
      <c r="H21" s="8" t="str">
        <f>_xlfn.XLOOKUP(D21,Master[Product_Code],Master[Style])</f>
        <v>Casual</v>
      </c>
      <c r="I21" s="8" t="str">
        <f>_xlfn.XLOOKUP(D21,Master[Product_Code],Master[Fabric])</f>
        <v>Cotton</v>
      </c>
      <c r="J21" s="8" t="str">
        <f>_xlfn.XLOOKUP(D21,Master[Product_Code],Master[Size])</f>
        <v>XXL</v>
      </c>
      <c r="K21" s="8" t="str">
        <f>_xlfn.XLOOKUP(D21,Master[Product_Code],Master[Color])</f>
        <v>Dark Green</v>
      </c>
      <c r="L21" s="3">
        <f>_xlfn.XLOOKUP(D21,Master[Product_Code],Master[Selling_Price])</f>
        <v>680</v>
      </c>
    </row>
    <row r="22" spans="2:12">
      <c r="B22" s="2" t="s">
        <v>1775</v>
      </c>
      <c r="C22" s="7">
        <v>45931</v>
      </c>
      <c r="D22" s="2" t="s">
        <v>1408</v>
      </c>
      <c r="E22" s="4">
        <v>1</v>
      </c>
      <c r="F22" s="8" t="str">
        <f>_xlfn.XLOOKUP(D22,Master[Product_Code],Master[Category])</f>
        <v>Pants</v>
      </c>
      <c r="G22" s="8" t="str">
        <f>_xlfn.XLOOKUP(D22,Master[Product_Code],Master[Brand])</f>
        <v>Van Heusen</v>
      </c>
      <c r="H22" s="8" t="str">
        <f>_xlfn.XLOOKUP(D22,Master[Product_Code],Master[Style])</f>
        <v>Polofit</v>
      </c>
      <c r="I22" s="8" t="str">
        <f>_xlfn.XLOOKUP(D22,Master[Product_Code],Master[Fabric])</f>
        <v>Lycra</v>
      </c>
      <c r="J22" s="8">
        <f>_xlfn.XLOOKUP(D22,Master[Product_Code],Master[Size])</f>
        <v>28</v>
      </c>
      <c r="K22" s="8" t="str">
        <f>_xlfn.XLOOKUP(D22,Master[Product_Code],Master[Color])</f>
        <v>Cream</v>
      </c>
      <c r="L22" s="3">
        <f>_xlfn.XLOOKUP(D22,Master[Product_Code],Master[Selling_Price])</f>
        <v>830</v>
      </c>
    </row>
    <row r="23" spans="2:12">
      <c r="B23" s="2" t="s">
        <v>1775</v>
      </c>
      <c r="C23" s="7">
        <v>45931</v>
      </c>
      <c r="D23" s="2" t="s">
        <v>1342</v>
      </c>
      <c r="E23" s="4">
        <v>1</v>
      </c>
      <c r="F23" s="8" t="str">
        <f>_xlfn.XLOOKUP(D23,Master[Product_Code],Master[Category])</f>
        <v>Pants</v>
      </c>
      <c r="G23" s="8" t="str">
        <f>_xlfn.XLOOKUP(D23,Master[Product_Code],Master[Brand])</f>
        <v>Van Heusen</v>
      </c>
      <c r="H23" s="8" t="str">
        <f>_xlfn.XLOOKUP(D23,Master[Product_Code],Master[Style])</f>
        <v>Boot Cut</v>
      </c>
      <c r="I23" s="8" t="str">
        <f>_xlfn.XLOOKUP(D23,Master[Product_Code],Master[Fabric])</f>
        <v>Cotton Blend</v>
      </c>
      <c r="J23" s="8">
        <f>_xlfn.XLOOKUP(D23,Master[Product_Code],Master[Size])</f>
        <v>30</v>
      </c>
      <c r="K23" s="8" t="str">
        <f>_xlfn.XLOOKUP(D23,Master[Product_Code],Master[Color])</f>
        <v>White</v>
      </c>
      <c r="L23" s="3">
        <f>_xlfn.XLOOKUP(D23,Master[Product_Code],Master[Selling_Price])</f>
        <v>780</v>
      </c>
    </row>
    <row r="24" spans="2:12">
      <c r="B24" s="2" t="s">
        <v>1775</v>
      </c>
      <c r="C24" s="7">
        <v>45931</v>
      </c>
      <c r="D24" s="2" t="s">
        <v>1514</v>
      </c>
      <c r="E24" s="4">
        <v>1</v>
      </c>
      <c r="F24" s="8" t="str">
        <f>_xlfn.XLOOKUP(D24,Master[Product_Code],Master[Category])</f>
        <v>Innerwear</v>
      </c>
      <c r="G24" s="8" t="str">
        <f>_xlfn.XLOOKUP(D24,Master[Product_Code],Master[Brand])</f>
        <v>Jockey</v>
      </c>
      <c r="H24" s="8" t="str">
        <f>_xlfn.XLOOKUP(D24,Master[Product_Code],Master[Style])</f>
        <v>Boxer</v>
      </c>
      <c r="I24" s="8" t="str">
        <f>_xlfn.XLOOKUP(D24,Master[Product_Code],Master[Fabric])</f>
        <v>Cotton</v>
      </c>
      <c r="J24" s="8" t="str">
        <f>_xlfn.XLOOKUP(D24,Master[Product_Code],Master[Size])</f>
        <v>105-110</v>
      </c>
      <c r="K24" s="8" t="str">
        <f>_xlfn.XLOOKUP(D24,Master[Product_Code],Master[Color])</f>
        <v>Grey</v>
      </c>
      <c r="L24" s="3">
        <f>_xlfn.XLOOKUP(D24,Master[Product_Code],Master[Selling_Price])</f>
        <v>170</v>
      </c>
    </row>
    <row r="25" spans="2:12">
      <c r="B25" s="2" t="s">
        <v>1775</v>
      </c>
      <c r="C25" s="7">
        <v>45931</v>
      </c>
      <c r="D25" s="2" t="s">
        <v>1704</v>
      </c>
      <c r="E25" s="4">
        <v>1</v>
      </c>
      <c r="F25" s="8" t="str">
        <f>_xlfn.XLOOKUP(D25,Master[Product_Code],Master[Category])</f>
        <v>Innerwear</v>
      </c>
      <c r="G25" s="8" t="str">
        <f>_xlfn.XLOOKUP(D25,Master[Product_Code],Master[Brand])</f>
        <v>Rupa</v>
      </c>
      <c r="H25" s="8" t="str">
        <f>_xlfn.XLOOKUP(D25,Master[Product_Code],Master[Style])</f>
        <v>Boxer</v>
      </c>
      <c r="I25" s="8" t="str">
        <f>_xlfn.XLOOKUP(D25,Master[Product_Code],Master[Fabric])</f>
        <v>Cotton</v>
      </c>
      <c r="J25" s="8" t="str">
        <f>_xlfn.XLOOKUP(D25,Master[Product_Code],Master[Size])</f>
        <v>75-80</v>
      </c>
      <c r="K25" s="8" t="str">
        <f>_xlfn.XLOOKUP(D25,Master[Product_Code],Master[Color])</f>
        <v>Beige</v>
      </c>
      <c r="L25" s="3">
        <f>_xlfn.XLOOKUP(D25,Master[Product_Code],Master[Selling_Price])</f>
        <v>150</v>
      </c>
    </row>
    <row r="26" spans="2:12">
      <c r="B26" s="2" t="s">
        <v>1776</v>
      </c>
      <c r="C26" s="7">
        <v>45931</v>
      </c>
      <c r="D26" s="2" t="s">
        <v>313</v>
      </c>
      <c r="E26" s="4">
        <v>1</v>
      </c>
      <c r="F26" s="8" t="str">
        <f>_xlfn.XLOOKUP(D26,Master[Product_Code],Master[Category])</f>
        <v>Shirt</v>
      </c>
      <c r="G26" s="8" t="str">
        <f>_xlfn.XLOOKUP(D26,Master[Product_Code],Master[Brand])</f>
        <v>British</v>
      </c>
      <c r="H26" s="8" t="str">
        <f>_xlfn.XLOOKUP(D26,Master[Product_Code],Master[Style])</f>
        <v>Casual</v>
      </c>
      <c r="I26" s="8" t="str">
        <f>_xlfn.XLOOKUP(D26,Master[Product_Code],Master[Fabric])</f>
        <v>Polyester</v>
      </c>
      <c r="J26" s="8" t="str">
        <f>_xlfn.XLOOKUP(D26,Master[Product_Code],Master[Size])</f>
        <v>XXL</v>
      </c>
      <c r="K26" s="8" t="str">
        <f>_xlfn.XLOOKUP(D26,Master[Product_Code],Master[Color])</f>
        <v>White</v>
      </c>
      <c r="L26" s="3">
        <f>_xlfn.XLOOKUP(D26,Master[Product_Code],Master[Selling_Price])</f>
        <v>710</v>
      </c>
    </row>
    <row r="27" spans="2:12">
      <c r="B27" s="2" t="s">
        <v>1777</v>
      </c>
      <c r="C27" s="7">
        <v>45931</v>
      </c>
      <c r="D27" s="2" t="s">
        <v>306</v>
      </c>
      <c r="E27" s="4">
        <v>1</v>
      </c>
      <c r="F27" s="8" t="str">
        <f>_xlfn.XLOOKUP(D27,Master[Product_Code],Master[Category])</f>
        <v>Shirt</v>
      </c>
      <c r="G27" s="8" t="str">
        <f>_xlfn.XLOOKUP(D27,Master[Product_Code],Master[Brand])</f>
        <v>Luke &amp; Burg</v>
      </c>
      <c r="H27" s="8" t="str">
        <f>_xlfn.XLOOKUP(D27,Master[Product_Code],Master[Style])</f>
        <v>Partywear</v>
      </c>
      <c r="I27" s="8" t="str">
        <f>_xlfn.XLOOKUP(D27,Master[Product_Code],Master[Fabric])</f>
        <v>Polyester</v>
      </c>
      <c r="J27" s="8" t="str">
        <f>_xlfn.XLOOKUP(D27,Master[Product_Code],Master[Size])</f>
        <v>XL</v>
      </c>
      <c r="K27" s="8" t="str">
        <f>_xlfn.XLOOKUP(D27,Master[Product_Code],Master[Color])</f>
        <v>Mustard</v>
      </c>
      <c r="L27" s="3">
        <f>_xlfn.XLOOKUP(D27,Master[Product_Code],Master[Selling_Price])</f>
        <v>780</v>
      </c>
    </row>
    <row r="28" spans="2:12">
      <c r="B28" s="2" t="s">
        <v>1777</v>
      </c>
      <c r="C28" s="7">
        <v>45931</v>
      </c>
      <c r="D28" s="2" t="s">
        <v>1517</v>
      </c>
      <c r="E28" s="4">
        <v>1</v>
      </c>
      <c r="F28" s="8" t="str">
        <f>_xlfn.XLOOKUP(D28,Master[Product_Code],Master[Category])</f>
        <v>Innerwear</v>
      </c>
      <c r="G28" s="8" t="str">
        <f>_xlfn.XLOOKUP(D28,Master[Product_Code],Master[Brand])</f>
        <v>Jockey</v>
      </c>
      <c r="H28" s="8" t="str">
        <f>_xlfn.XLOOKUP(D28,Master[Product_Code],Master[Style])</f>
        <v>Boxer</v>
      </c>
      <c r="I28" s="8" t="str">
        <f>_xlfn.XLOOKUP(D28,Master[Product_Code],Master[Fabric])</f>
        <v>Cotton Blend</v>
      </c>
      <c r="J28" s="8" t="str">
        <f>_xlfn.XLOOKUP(D28,Master[Product_Code],Master[Size])</f>
        <v>100-105</v>
      </c>
      <c r="K28" s="8" t="str">
        <f>_xlfn.XLOOKUP(D28,Master[Product_Code],Master[Color])</f>
        <v>Royal Blue</v>
      </c>
      <c r="L28" s="3">
        <f>_xlfn.XLOOKUP(D28,Master[Product_Code],Master[Selling_Price])</f>
        <v>130</v>
      </c>
    </row>
    <row r="29" spans="2:12">
      <c r="B29" s="2" t="s">
        <v>1777</v>
      </c>
      <c r="C29" s="7">
        <v>45931</v>
      </c>
      <c r="D29" s="2" t="s">
        <v>344</v>
      </c>
      <c r="E29" s="4">
        <v>1</v>
      </c>
      <c r="F29" s="8" t="str">
        <f>_xlfn.XLOOKUP(D29,Master[Product_Code],Master[Category])</f>
        <v>Shirt</v>
      </c>
      <c r="G29" s="8" t="str">
        <f>_xlfn.XLOOKUP(D29,Master[Product_Code],Master[Brand])</f>
        <v>H&amp;M</v>
      </c>
      <c r="H29" s="8" t="str">
        <f>_xlfn.XLOOKUP(D29,Master[Product_Code],Master[Style])</f>
        <v>Casual</v>
      </c>
      <c r="I29" s="8" t="str">
        <f>_xlfn.XLOOKUP(D29,Master[Product_Code],Master[Fabric])</f>
        <v>Cotton</v>
      </c>
      <c r="J29" s="8" t="str">
        <f>_xlfn.XLOOKUP(D29,Master[Product_Code],Master[Size])</f>
        <v>XL</v>
      </c>
      <c r="K29" s="8" t="str">
        <f>_xlfn.XLOOKUP(D29,Master[Product_Code],Master[Color])</f>
        <v>Wine</v>
      </c>
      <c r="L29" s="3">
        <f>_xlfn.XLOOKUP(D29,Master[Product_Code],Master[Selling_Price])</f>
        <v>760</v>
      </c>
    </row>
    <row r="30" spans="2:12">
      <c r="B30" s="2" t="s">
        <v>1777</v>
      </c>
      <c r="C30" s="7">
        <v>45931</v>
      </c>
      <c r="D30" s="2" t="s">
        <v>809</v>
      </c>
      <c r="E30" s="4">
        <v>1</v>
      </c>
      <c r="F30" s="8" t="str">
        <f>_xlfn.XLOOKUP(D30,Master[Product_Code],Master[Category])</f>
        <v>T-Shirt</v>
      </c>
      <c r="G30" s="8" t="str">
        <f>_xlfn.XLOOKUP(D30,Master[Product_Code],Master[Brand])</f>
        <v>Urban Monkey</v>
      </c>
      <c r="H30" s="8" t="str">
        <f>_xlfn.XLOOKUP(D30,Master[Product_Code],Master[Style])</f>
        <v>3/4 Sleeve</v>
      </c>
      <c r="I30" s="8" t="str">
        <f>_xlfn.XLOOKUP(D30,Master[Product_Code],Master[Fabric])</f>
        <v>Cotton Blend</v>
      </c>
      <c r="J30" s="8" t="str">
        <f>_xlfn.XLOOKUP(D30,Master[Product_Code],Master[Size])</f>
        <v>XL</v>
      </c>
      <c r="K30" s="8" t="str">
        <f>_xlfn.XLOOKUP(D30,Master[Product_Code],Master[Color])</f>
        <v>Light Grey</v>
      </c>
      <c r="L30" s="3">
        <f>_xlfn.XLOOKUP(D30,Master[Product_Code],Master[Selling_Price])</f>
        <v>380</v>
      </c>
    </row>
    <row r="31" spans="2:12">
      <c r="B31" s="2" t="s">
        <v>1778</v>
      </c>
      <c r="C31" s="7">
        <v>45931</v>
      </c>
      <c r="D31" s="2" t="s">
        <v>382</v>
      </c>
      <c r="E31" s="4">
        <v>1</v>
      </c>
      <c r="F31" s="8" t="str">
        <f>_xlfn.XLOOKUP(D31,Master[Product_Code],Master[Category])</f>
        <v>Shirt</v>
      </c>
      <c r="G31" s="8" t="str">
        <f>_xlfn.XLOOKUP(D31,Master[Product_Code],Master[Brand])</f>
        <v>L7</v>
      </c>
      <c r="H31" s="8" t="str">
        <f>_xlfn.XLOOKUP(D31,Master[Product_Code],Master[Style])</f>
        <v>Formal</v>
      </c>
      <c r="I31" s="8" t="str">
        <f>_xlfn.XLOOKUP(D31,Master[Product_Code],Master[Fabric])</f>
        <v>Lycra</v>
      </c>
      <c r="J31" s="8" t="str">
        <f>_xlfn.XLOOKUP(D31,Master[Product_Code],Master[Size])</f>
        <v>XXL</v>
      </c>
      <c r="K31" s="8" t="str">
        <f>_xlfn.XLOOKUP(D31,Master[Product_Code],Master[Color])</f>
        <v>Dark Green</v>
      </c>
      <c r="L31" s="3">
        <f>_xlfn.XLOOKUP(D31,Master[Product_Code],Master[Selling_Price])</f>
        <v>830</v>
      </c>
    </row>
    <row r="32" spans="2:12">
      <c r="B32" s="2" t="s">
        <v>1779</v>
      </c>
      <c r="C32" s="7">
        <v>45931</v>
      </c>
      <c r="D32" s="2" t="s">
        <v>1687</v>
      </c>
      <c r="E32" s="4">
        <v>1</v>
      </c>
      <c r="F32" s="8" t="str">
        <f>_xlfn.XLOOKUP(D32,Master[Product_Code],Master[Category])</f>
        <v>Innerwear</v>
      </c>
      <c r="G32" s="8" t="str">
        <f>_xlfn.XLOOKUP(D32,Master[Product_Code],Master[Brand])</f>
        <v>Dollar</v>
      </c>
      <c r="H32" s="8" t="str">
        <f>_xlfn.XLOOKUP(D32,Master[Product_Code],Master[Style])</f>
        <v>V-Cut</v>
      </c>
      <c r="I32" s="8" t="str">
        <f>_xlfn.XLOOKUP(D32,Master[Product_Code],Master[Fabric])</f>
        <v>Cotton Blend</v>
      </c>
      <c r="J32" s="8" t="str">
        <f>_xlfn.XLOOKUP(D32,Master[Product_Code],Master[Size])</f>
        <v>80-85</v>
      </c>
      <c r="K32" s="8" t="str">
        <f>_xlfn.XLOOKUP(D32,Master[Product_Code],Master[Color])</f>
        <v>Beige</v>
      </c>
      <c r="L32" s="3">
        <f>_xlfn.XLOOKUP(D32,Master[Product_Code],Master[Selling_Price])</f>
        <v>190</v>
      </c>
    </row>
    <row r="33" spans="2:12">
      <c r="B33" s="2" t="s">
        <v>1779</v>
      </c>
      <c r="C33" s="7">
        <v>45931</v>
      </c>
      <c r="D33" s="2" t="s">
        <v>762</v>
      </c>
      <c r="E33" s="4">
        <v>1</v>
      </c>
      <c r="F33" s="8" t="str">
        <f>_xlfn.XLOOKUP(D33,Master[Product_Code],Master[Category])</f>
        <v>T-Shirt</v>
      </c>
      <c r="G33" s="8" t="str">
        <f>_xlfn.XLOOKUP(D33,Master[Product_Code],Master[Brand])</f>
        <v>Turkey</v>
      </c>
      <c r="H33" s="8" t="str">
        <f>_xlfn.XLOOKUP(D33,Master[Product_Code],Master[Style])</f>
        <v>Hoodie</v>
      </c>
      <c r="I33" s="8" t="str">
        <f>_xlfn.XLOOKUP(D33,Master[Product_Code],Master[Fabric])</f>
        <v>Poly Cotton</v>
      </c>
      <c r="J33" s="8" t="str">
        <f>_xlfn.XLOOKUP(D33,Master[Product_Code],Master[Size])</f>
        <v>M</v>
      </c>
      <c r="K33" s="8" t="str">
        <f>_xlfn.XLOOKUP(D33,Master[Product_Code],Master[Color])</f>
        <v>Wine</v>
      </c>
      <c r="L33" s="3">
        <f>_xlfn.XLOOKUP(D33,Master[Product_Code],Master[Selling_Price])</f>
        <v>680</v>
      </c>
    </row>
    <row r="34" spans="2:12">
      <c r="B34" s="2" t="s">
        <v>1780</v>
      </c>
      <c r="C34" s="7">
        <v>45931</v>
      </c>
      <c r="D34" s="2" t="s">
        <v>524</v>
      </c>
      <c r="E34" s="4">
        <v>1</v>
      </c>
      <c r="F34" s="8" t="str">
        <f>_xlfn.XLOOKUP(D34,Master[Product_Code],Master[Category])</f>
        <v>T-Shirt</v>
      </c>
      <c r="G34" s="8" t="str">
        <f>_xlfn.XLOOKUP(D34,Master[Product_Code],Master[Brand])</f>
        <v>Thailand</v>
      </c>
      <c r="H34" s="8" t="str">
        <f>_xlfn.XLOOKUP(D34,Master[Product_Code],Master[Style])</f>
        <v>Full Sleeve</v>
      </c>
      <c r="I34" s="8" t="str">
        <f>_xlfn.XLOOKUP(D34,Master[Product_Code],Master[Fabric])</f>
        <v>Poly Cotton</v>
      </c>
      <c r="J34" s="8" t="str">
        <f>_xlfn.XLOOKUP(D34,Master[Product_Code],Master[Size])</f>
        <v>XXL</v>
      </c>
      <c r="K34" s="8" t="str">
        <f>_xlfn.XLOOKUP(D34,Master[Product_Code],Master[Color])</f>
        <v>Wine</v>
      </c>
      <c r="L34" s="3">
        <f>_xlfn.XLOOKUP(D34,Master[Product_Code],Master[Selling_Price])</f>
        <v>680</v>
      </c>
    </row>
    <row r="35" spans="2:12">
      <c r="B35" s="2" t="s">
        <v>1780</v>
      </c>
      <c r="C35" s="7">
        <v>45931</v>
      </c>
      <c r="D35" s="2" t="s">
        <v>1394</v>
      </c>
      <c r="E35" s="4">
        <v>1</v>
      </c>
      <c r="F35" s="8" t="str">
        <f>_xlfn.XLOOKUP(D35,Master[Product_Code],Master[Category])</f>
        <v>Pants</v>
      </c>
      <c r="G35" s="8" t="str">
        <f>_xlfn.XLOOKUP(D35,Master[Product_Code],Master[Brand])</f>
        <v>Park Avenue</v>
      </c>
      <c r="H35" s="8" t="str">
        <f>_xlfn.XLOOKUP(D35,Master[Product_Code],Master[Style])</f>
        <v>Kurka</v>
      </c>
      <c r="I35" s="8" t="str">
        <f>_xlfn.XLOOKUP(D35,Master[Product_Code],Master[Fabric])</f>
        <v>Lycra</v>
      </c>
      <c r="J35" s="8">
        <f>_xlfn.XLOOKUP(D35,Master[Product_Code],Master[Size])</f>
        <v>34</v>
      </c>
      <c r="K35" s="8" t="str">
        <f>_xlfn.XLOOKUP(D35,Master[Product_Code],Master[Color])</f>
        <v>Rust</v>
      </c>
      <c r="L35" s="3">
        <f>_xlfn.XLOOKUP(D35,Master[Product_Code],Master[Selling_Price])</f>
        <v>950</v>
      </c>
    </row>
    <row r="36" spans="2:12">
      <c r="B36" s="2" t="s">
        <v>1781</v>
      </c>
      <c r="C36" s="7">
        <v>45931</v>
      </c>
      <c r="D36" s="2" t="s">
        <v>1140</v>
      </c>
      <c r="E36" s="4">
        <v>1</v>
      </c>
      <c r="F36" s="8" t="str">
        <f>_xlfn.XLOOKUP(D36,Master[Product_Code],Master[Category])</f>
        <v>Jeans</v>
      </c>
      <c r="G36" s="8" t="str">
        <f>_xlfn.XLOOKUP(D36,Master[Product_Code],Master[Brand])</f>
        <v>Pepe</v>
      </c>
      <c r="H36" s="8" t="str">
        <f>_xlfn.XLOOKUP(D36,Master[Product_Code],Master[Style])</f>
        <v>Baggy</v>
      </c>
      <c r="I36" s="8" t="str">
        <f>_xlfn.XLOOKUP(D36,Master[Product_Code],Master[Fabric])</f>
        <v>Denim</v>
      </c>
      <c r="J36" s="8">
        <f>_xlfn.XLOOKUP(D36,Master[Product_Code],Master[Size])</f>
        <v>32</v>
      </c>
      <c r="K36" s="8" t="str">
        <f>_xlfn.XLOOKUP(D36,Master[Product_Code],Master[Color])</f>
        <v>Cream</v>
      </c>
      <c r="L36" s="3">
        <f>_xlfn.XLOOKUP(D36,Master[Product_Code],Master[Selling_Price])</f>
        <v>1100</v>
      </c>
    </row>
    <row r="37" spans="2:12">
      <c r="B37" s="2" t="s">
        <v>1781</v>
      </c>
      <c r="C37" s="7">
        <v>45931</v>
      </c>
      <c r="D37" s="2" t="s">
        <v>792</v>
      </c>
      <c r="E37" s="4">
        <v>1</v>
      </c>
      <c r="F37" s="8" t="str">
        <f>_xlfn.XLOOKUP(D37,Master[Product_Code],Master[Category])</f>
        <v>T-Shirt</v>
      </c>
      <c r="G37" s="8" t="str">
        <f>_xlfn.XLOOKUP(D37,Master[Product_Code],Master[Brand])</f>
        <v>Turkey</v>
      </c>
      <c r="H37" s="8" t="str">
        <f>_xlfn.XLOOKUP(D37,Master[Product_Code],Master[Style])</f>
        <v>Sleeveless</v>
      </c>
      <c r="I37" s="8" t="str">
        <f>_xlfn.XLOOKUP(D37,Master[Product_Code],Master[Fabric])</f>
        <v>Poly Cotton</v>
      </c>
      <c r="J37" s="8" t="str">
        <f>_xlfn.XLOOKUP(D37,Master[Product_Code],Master[Size])</f>
        <v>XXL</v>
      </c>
      <c r="K37" s="8" t="str">
        <f>_xlfn.XLOOKUP(D37,Master[Product_Code],Master[Color])</f>
        <v>Peach</v>
      </c>
      <c r="L37" s="3">
        <f>_xlfn.XLOOKUP(D37,Master[Product_Code],Master[Selling_Price])</f>
        <v>750</v>
      </c>
    </row>
    <row r="38" spans="2:12">
      <c r="B38" s="2" t="s">
        <v>1781</v>
      </c>
      <c r="C38" s="7">
        <v>45931</v>
      </c>
      <c r="D38" s="2" t="s">
        <v>1058</v>
      </c>
      <c r="E38" s="4">
        <v>1</v>
      </c>
      <c r="F38" s="8" t="str">
        <f>_xlfn.XLOOKUP(D38,Master[Product_Code],Master[Category])</f>
        <v>Jeans</v>
      </c>
      <c r="G38" s="8" t="str">
        <f>_xlfn.XLOOKUP(D38,Master[Product_Code],Master[Brand])</f>
        <v>Denim Pro</v>
      </c>
      <c r="H38" s="8" t="str">
        <f>_xlfn.XLOOKUP(D38,Master[Product_Code],Master[Style])</f>
        <v>Mom Fit</v>
      </c>
      <c r="I38" s="8" t="str">
        <f>_xlfn.XLOOKUP(D38,Master[Product_Code],Master[Fabric])</f>
        <v>Denim</v>
      </c>
      <c r="J38" s="8">
        <f>_xlfn.XLOOKUP(D38,Master[Product_Code],Master[Size])</f>
        <v>30</v>
      </c>
      <c r="K38" s="8" t="str">
        <f>_xlfn.XLOOKUP(D38,Master[Product_Code],Master[Color])</f>
        <v>Royal Blue</v>
      </c>
      <c r="L38" s="3">
        <f>_xlfn.XLOOKUP(D38,Master[Product_Code],Master[Selling_Price])</f>
        <v>980</v>
      </c>
    </row>
    <row r="39" spans="2:12">
      <c r="B39" s="2" t="s">
        <v>1782</v>
      </c>
      <c r="C39" s="7">
        <v>45931</v>
      </c>
      <c r="D39" s="2" t="s">
        <v>299</v>
      </c>
      <c r="E39" s="4">
        <v>1</v>
      </c>
      <c r="F39" s="8" t="str">
        <f>_xlfn.XLOOKUP(D39,Master[Product_Code],Master[Category])</f>
        <v>Shirt</v>
      </c>
      <c r="G39" s="8" t="str">
        <f>_xlfn.XLOOKUP(D39,Master[Product_Code],Master[Brand])</f>
        <v>Luke &amp; Burg</v>
      </c>
      <c r="H39" s="8" t="str">
        <f>_xlfn.XLOOKUP(D39,Master[Product_Code],Master[Style])</f>
        <v>Casual</v>
      </c>
      <c r="I39" s="8" t="str">
        <f>_xlfn.XLOOKUP(D39,Master[Product_Code],Master[Fabric])</f>
        <v>Cotton Blend</v>
      </c>
      <c r="J39" s="8" t="str">
        <f>_xlfn.XLOOKUP(D39,Master[Product_Code],Master[Size])</f>
        <v>S</v>
      </c>
      <c r="K39" s="8" t="str">
        <f>_xlfn.XLOOKUP(D39,Master[Product_Code],Master[Color])</f>
        <v>Teal</v>
      </c>
      <c r="L39" s="3">
        <f>_xlfn.XLOOKUP(D39,Master[Product_Code],Master[Selling_Price])</f>
        <v>860</v>
      </c>
    </row>
    <row r="40" spans="2:12">
      <c r="B40" s="2" t="s">
        <v>1782</v>
      </c>
      <c r="C40" s="7">
        <v>45931</v>
      </c>
      <c r="D40" s="2" t="s">
        <v>1178</v>
      </c>
      <c r="E40" s="4">
        <v>1</v>
      </c>
      <c r="F40" s="8" t="str">
        <f>_xlfn.XLOOKUP(D40,Master[Product_Code],Master[Category])</f>
        <v>Pants</v>
      </c>
      <c r="G40" s="8" t="str">
        <f>_xlfn.XLOOKUP(D40,Master[Product_Code],Master[Brand])</f>
        <v>Van Heusen</v>
      </c>
      <c r="H40" s="8" t="str">
        <f>_xlfn.XLOOKUP(D40,Master[Product_Code],Master[Style])</f>
        <v>Kurka</v>
      </c>
      <c r="I40" s="8" t="str">
        <f>_xlfn.XLOOKUP(D40,Master[Product_Code],Master[Fabric])</f>
        <v>Lycra</v>
      </c>
      <c r="J40" s="8">
        <f>_xlfn.XLOOKUP(D40,Master[Product_Code],Master[Size])</f>
        <v>34</v>
      </c>
      <c r="K40" s="8" t="str">
        <f>_xlfn.XLOOKUP(D40,Master[Product_Code],Master[Color])</f>
        <v>Maroon</v>
      </c>
      <c r="L40" s="3">
        <f>_xlfn.XLOOKUP(D40,Master[Product_Code],Master[Selling_Price])</f>
        <v>850</v>
      </c>
    </row>
    <row r="41" spans="2:12">
      <c r="B41" s="2" t="s">
        <v>1783</v>
      </c>
      <c r="C41" s="7">
        <v>45931</v>
      </c>
      <c r="D41" s="2" t="s">
        <v>643</v>
      </c>
      <c r="E41" s="4">
        <v>1</v>
      </c>
      <c r="F41" s="8" t="str">
        <f>_xlfn.XLOOKUP(D41,Master[Product_Code],Master[Category])</f>
        <v>T-Shirt</v>
      </c>
      <c r="G41" s="8" t="str">
        <f>_xlfn.XLOOKUP(D41,Master[Product_Code],Master[Brand])</f>
        <v>Turkey</v>
      </c>
      <c r="H41" s="8" t="str">
        <f>_xlfn.XLOOKUP(D41,Master[Product_Code],Master[Style])</f>
        <v>Half Sleeve</v>
      </c>
      <c r="I41" s="8" t="str">
        <f>_xlfn.XLOOKUP(D41,Master[Product_Code],Master[Fabric])</f>
        <v>Poly Cotton</v>
      </c>
      <c r="J41" s="8" t="str">
        <f>_xlfn.XLOOKUP(D41,Master[Product_Code],Master[Size])</f>
        <v>XL</v>
      </c>
      <c r="K41" s="8" t="str">
        <f>_xlfn.XLOOKUP(D41,Master[Product_Code],Master[Color])</f>
        <v>Brown</v>
      </c>
      <c r="L41" s="3">
        <f>_xlfn.XLOOKUP(D41,Master[Product_Code],Master[Selling_Price])</f>
        <v>700</v>
      </c>
    </row>
    <row r="42" spans="2:12">
      <c r="B42" s="2" t="s">
        <v>1783</v>
      </c>
      <c r="C42" s="7">
        <v>45931</v>
      </c>
      <c r="D42" s="2" t="s">
        <v>963</v>
      </c>
      <c r="E42" s="4">
        <v>1</v>
      </c>
      <c r="F42" s="8" t="str">
        <f>_xlfn.XLOOKUP(D42,Master[Product_Code],Master[Category])</f>
        <v>Jeans</v>
      </c>
      <c r="G42" s="8" t="str">
        <f>_xlfn.XLOOKUP(D42,Master[Product_Code],Master[Brand])</f>
        <v>Denim Pro</v>
      </c>
      <c r="H42" s="8" t="str">
        <f>_xlfn.XLOOKUP(D42,Master[Product_Code],Master[Style])</f>
        <v>Mom Fit</v>
      </c>
      <c r="I42" s="8" t="str">
        <f>_xlfn.XLOOKUP(D42,Master[Product_Code],Master[Fabric])</f>
        <v>Denim</v>
      </c>
      <c r="J42" s="8">
        <f>_xlfn.XLOOKUP(D42,Master[Product_Code],Master[Size])</f>
        <v>36</v>
      </c>
      <c r="K42" s="8" t="str">
        <f>_xlfn.XLOOKUP(D42,Master[Product_Code],Master[Color])</f>
        <v>Brown</v>
      </c>
      <c r="L42" s="3">
        <f>_xlfn.XLOOKUP(D42,Master[Product_Code],Master[Selling_Price])</f>
        <v>1040</v>
      </c>
    </row>
    <row r="43" spans="2:12">
      <c r="B43" s="2" t="s">
        <v>1783</v>
      </c>
      <c r="C43" s="7">
        <v>45931</v>
      </c>
      <c r="D43" s="2" t="s">
        <v>1523</v>
      </c>
      <c r="E43" s="4">
        <v>1</v>
      </c>
      <c r="F43" s="8" t="str">
        <f>_xlfn.XLOOKUP(D43,Master[Product_Code],Master[Category])</f>
        <v>Innerwear</v>
      </c>
      <c r="G43" s="8" t="str">
        <f>_xlfn.XLOOKUP(D43,Master[Product_Code],Master[Brand])</f>
        <v>Dollar</v>
      </c>
      <c r="H43" s="8" t="str">
        <f>_xlfn.XLOOKUP(D43,Master[Product_Code],Master[Style])</f>
        <v>V-Cut</v>
      </c>
      <c r="I43" s="8" t="str">
        <f>_xlfn.XLOOKUP(D43,Master[Product_Code],Master[Fabric])</f>
        <v>Cotton Blend</v>
      </c>
      <c r="J43" s="8" t="str">
        <f>_xlfn.XLOOKUP(D43,Master[Product_Code],Master[Size])</f>
        <v>75-80</v>
      </c>
      <c r="K43" s="8" t="str">
        <f>_xlfn.XLOOKUP(D43,Master[Product_Code],Master[Color])</f>
        <v>Sky Blue</v>
      </c>
      <c r="L43" s="3">
        <f>_xlfn.XLOOKUP(D43,Master[Product_Code],Master[Selling_Price])</f>
        <v>180</v>
      </c>
    </row>
    <row r="44" spans="2:12">
      <c r="B44" s="2" t="s">
        <v>1784</v>
      </c>
      <c r="C44" s="7">
        <v>45931</v>
      </c>
      <c r="D44" s="2" t="s">
        <v>115</v>
      </c>
      <c r="E44" s="4">
        <v>1</v>
      </c>
      <c r="F44" s="8" t="str">
        <f>_xlfn.XLOOKUP(D44,Master[Product_Code],Master[Category])</f>
        <v>Shirt</v>
      </c>
      <c r="G44" s="8" t="str">
        <f>_xlfn.XLOOKUP(D44,Master[Product_Code],Master[Brand])</f>
        <v>Thailand</v>
      </c>
      <c r="H44" s="8" t="str">
        <f>_xlfn.XLOOKUP(D44,Master[Product_Code],Master[Style])</f>
        <v>Formal</v>
      </c>
      <c r="I44" s="8" t="str">
        <f>_xlfn.XLOOKUP(D44,Master[Product_Code],Master[Fabric])</f>
        <v>Cotton</v>
      </c>
      <c r="J44" s="8" t="str">
        <f>_xlfn.XLOOKUP(D44,Master[Product_Code],Master[Size])</f>
        <v>XXL</v>
      </c>
      <c r="K44" s="8" t="str">
        <f>_xlfn.XLOOKUP(D44,Master[Product_Code],Master[Color])</f>
        <v>Bottle Green</v>
      </c>
      <c r="L44" s="3">
        <f>_xlfn.XLOOKUP(D44,Master[Product_Code],Master[Selling_Price])</f>
        <v>690</v>
      </c>
    </row>
    <row r="45" spans="2:12">
      <c r="B45" s="2" t="s">
        <v>1784</v>
      </c>
      <c r="C45" s="7">
        <v>45931</v>
      </c>
      <c r="D45" s="2" t="s">
        <v>488</v>
      </c>
      <c r="E45" s="4">
        <v>1</v>
      </c>
      <c r="F45" s="8" t="str">
        <f>_xlfn.XLOOKUP(D45,Master[Product_Code],Master[Category])</f>
        <v>T-Shirt</v>
      </c>
      <c r="G45" s="8" t="str">
        <f>_xlfn.XLOOKUP(D45,Master[Product_Code],Master[Brand])</f>
        <v>Roadster</v>
      </c>
      <c r="H45" s="8" t="str">
        <f>_xlfn.XLOOKUP(D45,Master[Product_Code],Master[Style])</f>
        <v>Half Sleeve</v>
      </c>
      <c r="I45" s="8" t="str">
        <f>_xlfn.XLOOKUP(D45,Master[Product_Code],Master[Fabric])</f>
        <v>Cotton Blend</v>
      </c>
      <c r="J45" s="8" t="str">
        <f>_xlfn.XLOOKUP(D45,Master[Product_Code],Master[Size])</f>
        <v>S</v>
      </c>
      <c r="K45" s="8" t="str">
        <f>_xlfn.XLOOKUP(D45,Master[Product_Code],Master[Color])</f>
        <v>Peach</v>
      </c>
      <c r="L45" s="3">
        <f>_xlfn.XLOOKUP(D45,Master[Product_Code],Master[Selling_Price])</f>
        <v>530</v>
      </c>
    </row>
    <row r="46" spans="2:12">
      <c r="B46" s="2" t="s">
        <v>1784</v>
      </c>
      <c r="C46" s="7">
        <v>45931</v>
      </c>
      <c r="D46" s="2" t="s">
        <v>1751</v>
      </c>
      <c r="E46" s="4">
        <v>1</v>
      </c>
      <c r="F46" s="8" t="str">
        <f>_xlfn.XLOOKUP(D46,Master[Product_Code],Master[Category])</f>
        <v>Innerwear</v>
      </c>
      <c r="G46" s="8" t="str">
        <f>_xlfn.XLOOKUP(D46,Master[Product_Code],Master[Brand])</f>
        <v>Dollar</v>
      </c>
      <c r="H46" s="8" t="str">
        <f>_xlfn.XLOOKUP(D46,Master[Product_Code],Master[Style])</f>
        <v>V-Cut</v>
      </c>
      <c r="I46" s="8" t="str">
        <f>_xlfn.XLOOKUP(D46,Master[Product_Code],Master[Fabric])</f>
        <v>Cotton</v>
      </c>
      <c r="J46" s="8" t="str">
        <f>_xlfn.XLOOKUP(D46,Master[Product_Code],Master[Size])</f>
        <v>105-110</v>
      </c>
      <c r="K46" s="8" t="str">
        <f>_xlfn.XLOOKUP(D46,Master[Product_Code],Master[Color])</f>
        <v>Light Grey</v>
      </c>
      <c r="L46" s="3">
        <f>_xlfn.XLOOKUP(D46,Master[Product_Code],Master[Selling_Price])</f>
        <v>130</v>
      </c>
    </row>
    <row r="47" spans="2:12">
      <c r="B47" s="2" t="s">
        <v>1784</v>
      </c>
      <c r="C47" s="7">
        <v>45931</v>
      </c>
      <c r="D47" s="2" t="s">
        <v>594</v>
      </c>
      <c r="E47" s="4">
        <v>1</v>
      </c>
      <c r="F47" s="8" t="str">
        <f>_xlfn.XLOOKUP(D47,Master[Product_Code],Master[Category])</f>
        <v>T-Shirt</v>
      </c>
      <c r="G47" s="8" t="str">
        <f>_xlfn.XLOOKUP(D47,Master[Product_Code],Master[Brand])</f>
        <v>Max</v>
      </c>
      <c r="H47" s="8" t="str">
        <f>_xlfn.XLOOKUP(D47,Master[Product_Code],Master[Style])</f>
        <v>Sleeveless</v>
      </c>
      <c r="I47" s="8" t="str">
        <f>_xlfn.XLOOKUP(D47,Master[Product_Code],Master[Fabric])</f>
        <v>Cotton Blend</v>
      </c>
      <c r="J47" s="8" t="str">
        <f>_xlfn.XLOOKUP(D47,Master[Product_Code],Master[Size])</f>
        <v>L</v>
      </c>
      <c r="K47" s="8" t="str">
        <f>_xlfn.XLOOKUP(D47,Master[Product_Code],Master[Color])</f>
        <v>Dark Green</v>
      </c>
      <c r="L47" s="3">
        <f>_xlfn.XLOOKUP(D47,Master[Product_Code],Master[Selling_Price])</f>
        <v>330</v>
      </c>
    </row>
    <row r="48" spans="2:12">
      <c r="B48" s="2" t="s">
        <v>1785</v>
      </c>
      <c r="C48" s="7">
        <v>45932</v>
      </c>
      <c r="D48" s="2" t="s">
        <v>1662</v>
      </c>
      <c r="E48" s="4">
        <v>1</v>
      </c>
      <c r="F48" s="8" t="str">
        <f>_xlfn.XLOOKUP(D48,Master[Product_Code],Master[Category])</f>
        <v>Innerwear</v>
      </c>
      <c r="G48" s="8" t="str">
        <f>_xlfn.XLOOKUP(D48,Master[Product_Code],Master[Brand])</f>
        <v>Rupa</v>
      </c>
      <c r="H48" s="8" t="str">
        <f>_xlfn.XLOOKUP(D48,Master[Product_Code],Master[Style])</f>
        <v>Boxer</v>
      </c>
      <c r="I48" s="8" t="str">
        <f>_xlfn.XLOOKUP(D48,Master[Product_Code],Master[Fabric])</f>
        <v>Cotton Blend</v>
      </c>
      <c r="J48" s="8" t="str">
        <f>_xlfn.XLOOKUP(D48,Master[Product_Code],Master[Size])</f>
        <v>90-100</v>
      </c>
      <c r="K48" s="8" t="str">
        <f>_xlfn.XLOOKUP(D48,Master[Product_Code],Master[Color])</f>
        <v>Maroon</v>
      </c>
      <c r="L48" s="3">
        <f>_xlfn.XLOOKUP(D48,Master[Product_Code],Master[Selling_Price])</f>
        <v>180</v>
      </c>
    </row>
    <row r="49" spans="2:12">
      <c r="B49" s="2" t="s">
        <v>1786</v>
      </c>
      <c r="C49" s="7">
        <v>45932</v>
      </c>
      <c r="D49" s="2" t="s">
        <v>1056</v>
      </c>
      <c r="E49" s="4">
        <v>1</v>
      </c>
      <c r="F49" s="8" t="str">
        <f>_xlfn.XLOOKUP(D49,Master[Product_Code],Master[Category])</f>
        <v>Jeans</v>
      </c>
      <c r="G49" s="8" t="str">
        <f>_xlfn.XLOOKUP(D49,Master[Product_Code],Master[Brand])</f>
        <v>Levis</v>
      </c>
      <c r="H49" s="8" t="str">
        <f>_xlfn.XLOOKUP(D49,Master[Product_Code],Master[Style])</f>
        <v>Baggy</v>
      </c>
      <c r="I49" s="8" t="str">
        <f>_xlfn.XLOOKUP(D49,Master[Product_Code],Master[Fabric])</f>
        <v>Denim</v>
      </c>
      <c r="J49" s="8">
        <f>_xlfn.XLOOKUP(D49,Master[Product_Code],Master[Size])</f>
        <v>36</v>
      </c>
      <c r="K49" s="8" t="str">
        <f>_xlfn.XLOOKUP(D49,Master[Product_Code],Master[Color])</f>
        <v>Beige</v>
      </c>
      <c r="L49" s="3">
        <f>_xlfn.XLOOKUP(D49,Master[Product_Code],Master[Selling_Price])</f>
        <v>1010</v>
      </c>
    </row>
    <row r="50" spans="2:12">
      <c r="B50" s="2" t="s">
        <v>1786</v>
      </c>
      <c r="C50" s="7">
        <v>45932</v>
      </c>
      <c r="D50" s="2" t="s">
        <v>449</v>
      </c>
      <c r="E50" s="4">
        <v>1</v>
      </c>
      <c r="F50" s="8" t="str">
        <f>_xlfn.XLOOKUP(D50,Master[Product_Code],Master[Category])</f>
        <v>T-Shirt</v>
      </c>
      <c r="G50" s="8" t="str">
        <f>_xlfn.XLOOKUP(D50,Master[Product_Code],Master[Brand])</f>
        <v>Zara</v>
      </c>
      <c r="H50" s="8" t="str">
        <f>_xlfn.XLOOKUP(D50,Master[Product_Code],Master[Style])</f>
        <v>Half Sleeve</v>
      </c>
      <c r="I50" s="8" t="str">
        <f>_xlfn.XLOOKUP(D50,Master[Product_Code],Master[Fabric])</f>
        <v>Cotton Blend</v>
      </c>
      <c r="J50" s="8" t="str">
        <f>_xlfn.XLOOKUP(D50,Master[Product_Code],Master[Size])</f>
        <v>XL</v>
      </c>
      <c r="K50" s="8" t="str">
        <f>_xlfn.XLOOKUP(D50,Master[Product_Code],Master[Color])</f>
        <v>Teal</v>
      </c>
      <c r="L50" s="3">
        <f>_xlfn.XLOOKUP(D50,Master[Product_Code],Master[Selling_Price])</f>
        <v>280</v>
      </c>
    </row>
    <row r="51" spans="2:12">
      <c r="B51" s="2" t="s">
        <v>1786</v>
      </c>
      <c r="C51" s="7">
        <v>45932</v>
      </c>
      <c r="D51" s="2" t="s">
        <v>556</v>
      </c>
      <c r="E51" s="4">
        <v>1</v>
      </c>
      <c r="F51" s="8" t="str">
        <f>_xlfn.XLOOKUP(D51,Master[Product_Code],Master[Category])</f>
        <v>T-Shirt</v>
      </c>
      <c r="G51" s="8" t="str">
        <f>_xlfn.XLOOKUP(D51,Master[Product_Code],Master[Brand])</f>
        <v>Turkey</v>
      </c>
      <c r="H51" s="8" t="str">
        <f>_xlfn.XLOOKUP(D51,Master[Product_Code],Master[Style])</f>
        <v>Half Sleeve</v>
      </c>
      <c r="I51" s="8" t="str">
        <f>_xlfn.XLOOKUP(D51,Master[Product_Code],Master[Fabric])</f>
        <v>Cotton</v>
      </c>
      <c r="J51" s="8" t="str">
        <f>_xlfn.XLOOKUP(D51,Master[Product_Code],Master[Size])</f>
        <v>M</v>
      </c>
      <c r="K51" s="8" t="str">
        <f>_xlfn.XLOOKUP(D51,Master[Product_Code],Master[Color])</f>
        <v>Light Grey</v>
      </c>
      <c r="L51" s="3">
        <f>_xlfn.XLOOKUP(D51,Master[Product_Code],Master[Selling_Price])</f>
        <v>400</v>
      </c>
    </row>
    <row r="52" spans="2:12">
      <c r="B52" s="2" t="s">
        <v>1787</v>
      </c>
      <c r="C52" s="7">
        <v>45932</v>
      </c>
      <c r="D52" s="2" t="s">
        <v>642</v>
      </c>
      <c r="E52" s="4">
        <v>1</v>
      </c>
      <c r="F52" s="8" t="str">
        <f>_xlfn.XLOOKUP(D52,Master[Product_Code],Master[Category])</f>
        <v>T-Shirt</v>
      </c>
      <c r="G52" s="8" t="str">
        <f>_xlfn.XLOOKUP(D52,Master[Product_Code],Master[Brand])</f>
        <v>Urban Monkey</v>
      </c>
      <c r="H52" s="8" t="str">
        <f>_xlfn.XLOOKUP(D52,Master[Product_Code],Master[Style])</f>
        <v>Full Sleeve</v>
      </c>
      <c r="I52" s="8" t="str">
        <f>_xlfn.XLOOKUP(D52,Master[Product_Code],Master[Fabric])</f>
        <v>Cotton</v>
      </c>
      <c r="J52" s="8" t="str">
        <f>_xlfn.XLOOKUP(D52,Master[Product_Code],Master[Size])</f>
        <v>XXL</v>
      </c>
      <c r="K52" s="8" t="str">
        <f>_xlfn.XLOOKUP(D52,Master[Product_Code],Master[Color])</f>
        <v>Rust</v>
      </c>
      <c r="L52" s="3">
        <f>_xlfn.XLOOKUP(D52,Master[Product_Code],Master[Selling_Price])</f>
        <v>580</v>
      </c>
    </row>
    <row r="53" spans="2:12">
      <c r="B53" s="2" t="s">
        <v>1787</v>
      </c>
      <c r="C53" s="7">
        <v>45932</v>
      </c>
      <c r="D53" s="2" t="s">
        <v>1022</v>
      </c>
      <c r="E53" s="4">
        <v>1</v>
      </c>
      <c r="F53" s="8" t="str">
        <f>_xlfn.XLOOKUP(D53,Master[Product_Code],Master[Category])</f>
        <v>Jeans</v>
      </c>
      <c r="G53" s="8" t="str">
        <f>_xlfn.XLOOKUP(D53,Master[Product_Code],Master[Brand])</f>
        <v>Locomotive</v>
      </c>
      <c r="H53" s="8" t="str">
        <f>_xlfn.XLOOKUP(D53,Master[Product_Code],Master[Style])</f>
        <v>Jogger</v>
      </c>
      <c r="I53" s="8" t="str">
        <f>_xlfn.XLOOKUP(D53,Master[Product_Code],Master[Fabric])</f>
        <v>Denim</v>
      </c>
      <c r="J53" s="8">
        <f>_xlfn.XLOOKUP(D53,Master[Product_Code],Master[Size])</f>
        <v>40</v>
      </c>
      <c r="K53" s="8" t="str">
        <f>_xlfn.XLOOKUP(D53,Master[Product_Code],Master[Color])</f>
        <v>Teal</v>
      </c>
      <c r="L53" s="3">
        <f>_xlfn.XLOOKUP(D53,Master[Product_Code],Master[Selling_Price])</f>
        <v>880</v>
      </c>
    </row>
    <row r="54" spans="2:12">
      <c r="B54" s="2" t="s">
        <v>1787</v>
      </c>
      <c r="C54" s="7">
        <v>45932</v>
      </c>
      <c r="D54" s="2" t="s">
        <v>1567</v>
      </c>
      <c r="E54" s="4">
        <v>1</v>
      </c>
      <c r="F54" s="8" t="str">
        <f>_xlfn.XLOOKUP(D54,Master[Product_Code],Master[Category])</f>
        <v>Innerwear</v>
      </c>
      <c r="G54" s="8" t="str">
        <f>_xlfn.XLOOKUP(D54,Master[Product_Code],Master[Brand])</f>
        <v>Rupa</v>
      </c>
      <c r="H54" s="8" t="str">
        <f>_xlfn.XLOOKUP(D54,Master[Product_Code],Master[Style])</f>
        <v>Boxer</v>
      </c>
      <c r="I54" s="8" t="str">
        <f>_xlfn.XLOOKUP(D54,Master[Product_Code],Master[Fabric])</f>
        <v>Cotton</v>
      </c>
      <c r="J54" s="8" t="str">
        <f>_xlfn.XLOOKUP(D54,Master[Product_Code],Master[Size])</f>
        <v>105-110</v>
      </c>
      <c r="K54" s="8" t="str">
        <f>_xlfn.XLOOKUP(D54,Master[Product_Code],Master[Color])</f>
        <v>Brown</v>
      </c>
      <c r="L54" s="3">
        <f>_xlfn.XLOOKUP(D54,Master[Product_Code],Master[Selling_Price])</f>
        <v>110</v>
      </c>
    </row>
    <row r="55" spans="2:12">
      <c r="B55" s="2" t="s">
        <v>1788</v>
      </c>
      <c r="C55" s="7">
        <v>45932</v>
      </c>
      <c r="D55" s="2" t="s">
        <v>92</v>
      </c>
      <c r="E55" s="4">
        <v>1</v>
      </c>
      <c r="F55" s="8" t="str">
        <f>_xlfn.XLOOKUP(D55,Master[Product_Code],Master[Category])</f>
        <v>Shirt</v>
      </c>
      <c r="G55" s="8" t="str">
        <f>_xlfn.XLOOKUP(D55,Master[Product_Code],Master[Brand])</f>
        <v>G Studio</v>
      </c>
      <c r="H55" s="8" t="str">
        <f>_xlfn.XLOOKUP(D55,Master[Product_Code],Master[Style])</f>
        <v>Casual</v>
      </c>
      <c r="I55" s="8" t="str">
        <f>_xlfn.XLOOKUP(D55,Master[Product_Code],Master[Fabric])</f>
        <v>Cotton</v>
      </c>
      <c r="J55" s="8" t="str">
        <f>_xlfn.XLOOKUP(D55,Master[Product_Code],Master[Size])</f>
        <v>XXL</v>
      </c>
      <c r="K55" s="8" t="str">
        <f>_xlfn.XLOOKUP(D55,Master[Product_Code],Master[Color])</f>
        <v>Charcoal</v>
      </c>
      <c r="L55" s="3">
        <f>_xlfn.XLOOKUP(D55,Master[Product_Code],Master[Selling_Price])</f>
        <v>870</v>
      </c>
    </row>
    <row r="56" spans="2:12">
      <c r="B56" s="2" t="s">
        <v>1789</v>
      </c>
      <c r="C56" s="7">
        <v>45932</v>
      </c>
      <c r="D56" s="2" t="s">
        <v>1316</v>
      </c>
      <c r="E56" s="4">
        <v>1</v>
      </c>
      <c r="F56" s="8" t="str">
        <f>_xlfn.XLOOKUP(D56,Master[Product_Code],Master[Category])</f>
        <v>Pants</v>
      </c>
      <c r="G56" s="8" t="str">
        <f>_xlfn.XLOOKUP(D56,Master[Product_Code],Master[Brand])</f>
        <v>Louis Philippe</v>
      </c>
      <c r="H56" s="8" t="str">
        <f>_xlfn.XLOOKUP(D56,Master[Product_Code],Master[Style])</f>
        <v>Kurka</v>
      </c>
      <c r="I56" s="8" t="str">
        <f>_xlfn.XLOOKUP(D56,Master[Product_Code],Master[Fabric])</f>
        <v>Lycra</v>
      </c>
      <c r="J56" s="8">
        <f>_xlfn.XLOOKUP(D56,Master[Product_Code],Master[Size])</f>
        <v>34</v>
      </c>
      <c r="K56" s="8" t="str">
        <f>_xlfn.XLOOKUP(D56,Master[Product_Code],Master[Color])</f>
        <v>Light Grey</v>
      </c>
      <c r="L56" s="3">
        <f>_xlfn.XLOOKUP(D56,Master[Product_Code],Master[Selling_Price])</f>
        <v>820</v>
      </c>
    </row>
    <row r="57" spans="2:12">
      <c r="B57" s="2" t="s">
        <v>1789</v>
      </c>
      <c r="C57" s="7">
        <v>45932</v>
      </c>
      <c r="D57" s="2" t="s">
        <v>484</v>
      </c>
      <c r="E57" s="4">
        <v>1</v>
      </c>
      <c r="F57" s="8" t="str">
        <f>_xlfn.XLOOKUP(D57,Master[Product_Code],Master[Category])</f>
        <v>T-Shirt</v>
      </c>
      <c r="G57" s="8" t="str">
        <f>_xlfn.XLOOKUP(D57,Master[Product_Code],Master[Brand])</f>
        <v>Zara</v>
      </c>
      <c r="H57" s="8" t="str">
        <f>_xlfn.XLOOKUP(D57,Master[Product_Code],Master[Style])</f>
        <v>Full Sleeve</v>
      </c>
      <c r="I57" s="8" t="str">
        <f>_xlfn.XLOOKUP(D57,Master[Product_Code],Master[Fabric])</f>
        <v>Cotton Blend</v>
      </c>
      <c r="J57" s="8" t="str">
        <f>_xlfn.XLOOKUP(D57,Master[Product_Code],Master[Size])</f>
        <v>S</v>
      </c>
      <c r="K57" s="8" t="str">
        <f>_xlfn.XLOOKUP(D57,Master[Product_Code],Master[Color])</f>
        <v>Olive</v>
      </c>
      <c r="L57" s="3">
        <f>_xlfn.XLOOKUP(D57,Master[Product_Code],Master[Selling_Price])</f>
        <v>430</v>
      </c>
    </row>
    <row r="58" spans="2:12">
      <c r="B58" s="2" t="s">
        <v>1789</v>
      </c>
      <c r="C58" s="7">
        <v>45932</v>
      </c>
      <c r="D58" s="2" t="s">
        <v>769</v>
      </c>
      <c r="E58" s="4">
        <v>1</v>
      </c>
      <c r="F58" s="8" t="str">
        <f>_xlfn.XLOOKUP(D58,Master[Product_Code],Master[Category])</f>
        <v>T-Shirt</v>
      </c>
      <c r="G58" s="8" t="str">
        <f>_xlfn.XLOOKUP(D58,Master[Product_Code],Master[Brand])</f>
        <v>Turkey</v>
      </c>
      <c r="H58" s="8" t="str">
        <f>_xlfn.XLOOKUP(D58,Master[Product_Code],Master[Style])</f>
        <v>Hoodie</v>
      </c>
      <c r="I58" s="8" t="str">
        <f>_xlfn.XLOOKUP(D58,Master[Product_Code],Master[Fabric])</f>
        <v>Cotton Blend</v>
      </c>
      <c r="J58" s="8" t="str">
        <f>_xlfn.XLOOKUP(D58,Master[Product_Code],Master[Size])</f>
        <v>L</v>
      </c>
      <c r="K58" s="8" t="str">
        <f>_xlfn.XLOOKUP(D58,Master[Product_Code],Master[Color])</f>
        <v>Teal</v>
      </c>
      <c r="L58" s="3">
        <f>_xlfn.XLOOKUP(D58,Master[Product_Code],Master[Selling_Price])</f>
        <v>480</v>
      </c>
    </row>
    <row r="59" spans="2:12">
      <c r="B59" s="2" t="s">
        <v>1790</v>
      </c>
      <c r="C59" s="7">
        <v>45932</v>
      </c>
      <c r="D59" s="2" t="s">
        <v>1222</v>
      </c>
      <c r="E59" s="4">
        <v>1</v>
      </c>
      <c r="F59" s="8" t="str">
        <f>_xlfn.XLOOKUP(D59,Master[Product_Code],Master[Category])</f>
        <v>Pants</v>
      </c>
      <c r="G59" s="8" t="str">
        <f>_xlfn.XLOOKUP(D59,Master[Product_Code],Master[Brand])</f>
        <v>Louis Philippe</v>
      </c>
      <c r="H59" s="8" t="str">
        <f>_xlfn.XLOOKUP(D59,Master[Product_Code],Master[Style])</f>
        <v>Korean</v>
      </c>
      <c r="I59" s="8" t="str">
        <f>_xlfn.XLOOKUP(D59,Master[Product_Code],Master[Fabric])</f>
        <v>Lycra</v>
      </c>
      <c r="J59" s="8">
        <f>_xlfn.XLOOKUP(D59,Master[Product_Code],Master[Size])</f>
        <v>30</v>
      </c>
      <c r="K59" s="8" t="str">
        <f>_xlfn.XLOOKUP(D59,Master[Product_Code],Master[Color])</f>
        <v>Peach</v>
      </c>
      <c r="L59" s="3">
        <f>_xlfn.XLOOKUP(D59,Master[Product_Code],Master[Selling_Price])</f>
        <v>900</v>
      </c>
    </row>
    <row r="60" spans="2:12">
      <c r="B60" s="2" t="s">
        <v>1790</v>
      </c>
      <c r="C60" s="7">
        <v>45932</v>
      </c>
      <c r="D60" s="2" t="s">
        <v>305</v>
      </c>
      <c r="E60" s="4">
        <v>1</v>
      </c>
      <c r="F60" s="8" t="str">
        <f>_xlfn.XLOOKUP(D60,Master[Product_Code],Master[Category])</f>
        <v>Shirt</v>
      </c>
      <c r="G60" s="8" t="str">
        <f>_xlfn.XLOOKUP(D60,Master[Product_Code],Master[Brand])</f>
        <v>Zara</v>
      </c>
      <c r="H60" s="8" t="str">
        <f>_xlfn.XLOOKUP(D60,Master[Product_Code],Master[Style])</f>
        <v>Partywear</v>
      </c>
      <c r="I60" s="8" t="str">
        <f>_xlfn.XLOOKUP(D60,Master[Product_Code],Master[Fabric])</f>
        <v>Cotton Blend</v>
      </c>
      <c r="J60" s="8" t="str">
        <f>_xlfn.XLOOKUP(D60,Master[Product_Code],Master[Size])</f>
        <v>L</v>
      </c>
      <c r="K60" s="8" t="str">
        <f>_xlfn.XLOOKUP(D60,Master[Product_Code],Master[Color])</f>
        <v>Sky Blue</v>
      </c>
      <c r="L60" s="3">
        <f>_xlfn.XLOOKUP(D60,Master[Product_Code],Master[Selling_Price])</f>
        <v>760</v>
      </c>
    </row>
    <row r="61" spans="2:12">
      <c r="B61" s="2" t="s">
        <v>1790</v>
      </c>
      <c r="C61" s="7">
        <v>45932</v>
      </c>
      <c r="D61" s="2" t="s">
        <v>832</v>
      </c>
      <c r="E61" s="4">
        <v>1</v>
      </c>
      <c r="F61" s="8" t="str">
        <f>_xlfn.XLOOKUP(D61,Master[Product_Code],Master[Category])</f>
        <v>T-Shirt</v>
      </c>
      <c r="G61" s="8" t="str">
        <f>_xlfn.XLOOKUP(D61,Master[Product_Code],Master[Brand])</f>
        <v>Thailand</v>
      </c>
      <c r="H61" s="8" t="str">
        <f>_xlfn.XLOOKUP(D61,Master[Product_Code],Master[Style])</f>
        <v>3/4 Sleeve</v>
      </c>
      <c r="I61" s="8" t="str">
        <f>_xlfn.XLOOKUP(D61,Master[Product_Code],Master[Fabric])</f>
        <v>Poly Cotton</v>
      </c>
      <c r="J61" s="8" t="str">
        <f>_xlfn.XLOOKUP(D61,Master[Product_Code],Master[Size])</f>
        <v>XXL</v>
      </c>
      <c r="K61" s="8" t="str">
        <f>_xlfn.XLOOKUP(D61,Master[Product_Code],Master[Color])</f>
        <v>Beige</v>
      </c>
      <c r="L61" s="3">
        <f>_xlfn.XLOOKUP(D61,Master[Product_Code],Master[Selling_Price])</f>
        <v>400</v>
      </c>
    </row>
    <row r="62" spans="2:12">
      <c r="B62" s="2" t="s">
        <v>1790</v>
      </c>
      <c r="C62" s="7">
        <v>45932</v>
      </c>
      <c r="D62" s="2" t="s">
        <v>694</v>
      </c>
      <c r="E62" s="4">
        <v>1</v>
      </c>
      <c r="F62" s="8" t="str">
        <f>_xlfn.XLOOKUP(D62,Master[Product_Code],Master[Category])</f>
        <v>T-Shirt</v>
      </c>
      <c r="G62" s="8" t="str">
        <f>_xlfn.XLOOKUP(D62,Master[Product_Code],Master[Brand])</f>
        <v>Roadster</v>
      </c>
      <c r="H62" s="8" t="str">
        <f>_xlfn.XLOOKUP(D62,Master[Product_Code],Master[Style])</f>
        <v>Full Sleeve</v>
      </c>
      <c r="I62" s="8" t="str">
        <f>_xlfn.XLOOKUP(D62,Master[Product_Code],Master[Fabric])</f>
        <v>Poly Cotton</v>
      </c>
      <c r="J62" s="8" t="str">
        <f>_xlfn.XLOOKUP(D62,Master[Product_Code],Master[Size])</f>
        <v>XL</v>
      </c>
      <c r="K62" s="8" t="str">
        <f>_xlfn.XLOOKUP(D62,Master[Product_Code],Master[Color])</f>
        <v>Mustard</v>
      </c>
      <c r="L62" s="3">
        <f>_xlfn.XLOOKUP(D62,Master[Product_Code],Master[Selling_Price])</f>
        <v>570</v>
      </c>
    </row>
    <row r="63" spans="2:12">
      <c r="B63" s="2" t="s">
        <v>1791</v>
      </c>
      <c r="C63" s="7">
        <v>45932</v>
      </c>
      <c r="D63" s="2" t="s">
        <v>1700</v>
      </c>
      <c r="E63" s="4">
        <v>1</v>
      </c>
      <c r="F63" s="8" t="str">
        <f>_xlfn.XLOOKUP(D63,Master[Product_Code],Master[Category])</f>
        <v>Innerwear</v>
      </c>
      <c r="G63" s="8" t="str">
        <f>_xlfn.XLOOKUP(D63,Master[Product_Code],Master[Brand])</f>
        <v>Rupa</v>
      </c>
      <c r="H63" s="8" t="str">
        <f>_xlfn.XLOOKUP(D63,Master[Product_Code],Master[Style])</f>
        <v>V-Cut</v>
      </c>
      <c r="I63" s="8" t="str">
        <f>_xlfn.XLOOKUP(D63,Master[Product_Code],Master[Fabric])</f>
        <v>Cotton Blend</v>
      </c>
      <c r="J63" s="8" t="str">
        <f>_xlfn.XLOOKUP(D63,Master[Product_Code],Master[Size])</f>
        <v>90-100</v>
      </c>
      <c r="K63" s="8" t="str">
        <f>_xlfn.XLOOKUP(D63,Master[Product_Code],Master[Color])</f>
        <v>Maroon</v>
      </c>
      <c r="L63" s="3">
        <f>_xlfn.XLOOKUP(D63,Master[Product_Code],Master[Selling_Price])</f>
        <v>140</v>
      </c>
    </row>
    <row r="64" spans="2:12">
      <c r="B64" s="2" t="s">
        <v>1791</v>
      </c>
      <c r="C64" s="7">
        <v>45932</v>
      </c>
      <c r="D64" s="2" t="s">
        <v>743</v>
      </c>
      <c r="E64" s="4">
        <v>1</v>
      </c>
      <c r="F64" s="8" t="str">
        <f>_xlfn.XLOOKUP(D64,Master[Product_Code],Master[Category])</f>
        <v>T-Shirt</v>
      </c>
      <c r="G64" s="8" t="str">
        <f>_xlfn.XLOOKUP(D64,Master[Product_Code],Master[Brand])</f>
        <v>Campus</v>
      </c>
      <c r="H64" s="8" t="str">
        <f>_xlfn.XLOOKUP(D64,Master[Product_Code],Master[Style])</f>
        <v>Sleeveless</v>
      </c>
      <c r="I64" s="8" t="str">
        <f>_xlfn.XLOOKUP(D64,Master[Product_Code],Master[Fabric])</f>
        <v>Poly Cotton</v>
      </c>
      <c r="J64" s="8" t="str">
        <f>_xlfn.XLOOKUP(D64,Master[Product_Code],Master[Size])</f>
        <v>L</v>
      </c>
      <c r="K64" s="8" t="str">
        <f>_xlfn.XLOOKUP(D64,Master[Product_Code],Master[Color])</f>
        <v>Maroon</v>
      </c>
      <c r="L64" s="3">
        <f>_xlfn.XLOOKUP(D64,Master[Product_Code],Master[Selling_Price])</f>
        <v>310</v>
      </c>
    </row>
    <row r="65" spans="2:12">
      <c r="B65" s="2" t="s">
        <v>1791</v>
      </c>
      <c r="C65" s="7">
        <v>45932</v>
      </c>
      <c r="D65" s="2" t="s">
        <v>1112</v>
      </c>
      <c r="E65" s="4">
        <v>1</v>
      </c>
      <c r="F65" s="8" t="str">
        <f>_xlfn.XLOOKUP(D65,Master[Product_Code],Master[Category])</f>
        <v>Jeans</v>
      </c>
      <c r="G65" s="8" t="str">
        <f>_xlfn.XLOOKUP(D65,Master[Product_Code],Master[Brand])</f>
        <v>Levis</v>
      </c>
      <c r="H65" s="8" t="str">
        <f>_xlfn.XLOOKUP(D65,Master[Product_Code],Master[Style])</f>
        <v>Baggy</v>
      </c>
      <c r="I65" s="8" t="str">
        <f>_xlfn.XLOOKUP(D65,Master[Product_Code],Master[Fabric])</f>
        <v>Denim</v>
      </c>
      <c r="J65" s="8">
        <f>_xlfn.XLOOKUP(D65,Master[Product_Code],Master[Size])</f>
        <v>42</v>
      </c>
      <c r="K65" s="8" t="str">
        <f>_xlfn.XLOOKUP(D65,Master[Product_Code],Master[Color])</f>
        <v>Peach</v>
      </c>
      <c r="L65" s="3">
        <f>_xlfn.XLOOKUP(D65,Master[Product_Code],Master[Selling_Price])</f>
        <v>960</v>
      </c>
    </row>
    <row r="66" spans="2:12">
      <c r="B66" s="2" t="s">
        <v>1792</v>
      </c>
      <c r="C66" s="7">
        <v>45932</v>
      </c>
      <c r="D66" s="2" t="s">
        <v>1627</v>
      </c>
      <c r="E66" s="4">
        <v>1</v>
      </c>
      <c r="F66" s="8" t="str">
        <f>_xlfn.XLOOKUP(D66,Master[Product_Code],Master[Category])</f>
        <v>Innerwear</v>
      </c>
      <c r="G66" s="8" t="str">
        <f>_xlfn.XLOOKUP(D66,Master[Product_Code],Master[Brand])</f>
        <v>Dollar</v>
      </c>
      <c r="H66" s="8" t="str">
        <f>_xlfn.XLOOKUP(D66,Master[Product_Code],Master[Style])</f>
        <v>V-Cut</v>
      </c>
      <c r="I66" s="8" t="str">
        <f>_xlfn.XLOOKUP(D66,Master[Product_Code],Master[Fabric])</f>
        <v>Cotton</v>
      </c>
      <c r="J66" s="8" t="str">
        <f>_xlfn.XLOOKUP(D66,Master[Product_Code],Master[Size])</f>
        <v>90-100</v>
      </c>
      <c r="K66" s="8" t="str">
        <f>_xlfn.XLOOKUP(D66,Master[Product_Code],Master[Color])</f>
        <v>Black</v>
      </c>
      <c r="L66" s="3">
        <f>_xlfn.XLOOKUP(D66,Master[Product_Code],Master[Selling_Price])</f>
        <v>100</v>
      </c>
    </row>
    <row r="67" spans="2:12">
      <c r="B67" s="2" t="s">
        <v>1792</v>
      </c>
      <c r="C67" s="7">
        <v>45932</v>
      </c>
      <c r="D67" s="2" t="s">
        <v>1630</v>
      </c>
      <c r="E67" s="4">
        <v>1</v>
      </c>
      <c r="F67" s="8" t="str">
        <f>_xlfn.XLOOKUP(D67,Master[Product_Code],Master[Category])</f>
        <v>Innerwear</v>
      </c>
      <c r="G67" s="8" t="str">
        <f>_xlfn.XLOOKUP(D67,Master[Product_Code],Master[Brand])</f>
        <v>Dollar</v>
      </c>
      <c r="H67" s="8" t="str">
        <f>_xlfn.XLOOKUP(D67,Master[Product_Code],Master[Style])</f>
        <v>V-Cut</v>
      </c>
      <c r="I67" s="8" t="str">
        <f>_xlfn.XLOOKUP(D67,Master[Product_Code],Master[Fabric])</f>
        <v>Cotton Blend</v>
      </c>
      <c r="J67" s="8" t="str">
        <f>_xlfn.XLOOKUP(D67,Master[Product_Code],Master[Size])</f>
        <v>85-90</v>
      </c>
      <c r="K67" s="8" t="str">
        <f>_xlfn.XLOOKUP(D67,Master[Product_Code],Master[Color])</f>
        <v>Beige</v>
      </c>
      <c r="L67" s="3">
        <f>_xlfn.XLOOKUP(D67,Master[Product_Code],Master[Selling_Price])</f>
        <v>110</v>
      </c>
    </row>
    <row r="68" spans="2:12">
      <c r="B68" s="2" t="s">
        <v>1793</v>
      </c>
      <c r="C68" s="7">
        <v>45932</v>
      </c>
      <c r="D68" s="2" t="s">
        <v>642</v>
      </c>
      <c r="E68" s="4">
        <v>1</v>
      </c>
      <c r="F68" s="8" t="str">
        <f>_xlfn.XLOOKUP(D68,Master[Product_Code],Master[Category])</f>
        <v>T-Shirt</v>
      </c>
      <c r="G68" s="8" t="str">
        <f>_xlfn.XLOOKUP(D68,Master[Product_Code],Master[Brand])</f>
        <v>Urban Monkey</v>
      </c>
      <c r="H68" s="8" t="str">
        <f>_xlfn.XLOOKUP(D68,Master[Product_Code],Master[Style])</f>
        <v>Full Sleeve</v>
      </c>
      <c r="I68" s="8" t="str">
        <f>_xlfn.XLOOKUP(D68,Master[Product_Code],Master[Fabric])</f>
        <v>Cotton</v>
      </c>
      <c r="J68" s="8" t="str">
        <f>_xlfn.XLOOKUP(D68,Master[Product_Code],Master[Size])</f>
        <v>XXL</v>
      </c>
      <c r="K68" s="8" t="str">
        <f>_xlfn.XLOOKUP(D68,Master[Product_Code],Master[Color])</f>
        <v>Rust</v>
      </c>
      <c r="L68" s="3">
        <f>_xlfn.XLOOKUP(D68,Master[Product_Code],Master[Selling_Price])</f>
        <v>580</v>
      </c>
    </row>
    <row r="69" spans="2:12">
      <c r="B69" s="2" t="s">
        <v>1793</v>
      </c>
      <c r="C69" s="7">
        <v>45932</v>
      </c>
      <c r="D69" s="2" t="s">
        <v>634</v>
      </c>
      <c r="E69" s="4">
        <v>1</v>
      </c>
      <c r="F69" s="8" t="str">
        <f>_xlfn.XLOOKUP(D69,Master[Product_Code],Master[Category])</f>
        <v>T-Shirt</v>
      </c>
      <c r="G69" s="8" t="str">
        <f>_xlfn.XLOOKUP(D69,Master[Product_Code],Master[Brand])</f>
        <v>Zara</v>
      </c>
      <c r="H69" s="8" t="str">
        <f>_xlfn.XLOOKUP(D69,Master[Product_Code],Master[Style])</f>
        <v>Full Sleeve</v>
      </c>
      <c r="I69" s="8" t="str">
        <f>_xlfn.XLOOKUP(D69,Master[Product_Code],Master[Fabric])</f>
        <v>Poly Cotton</v>
      </c>
      <c r="J69" s="8" t="str">
        <f>_xlfn.XLOOKUP(D69,Master[Product_Code],Master[Size])</f>
        <v>M</v>
      </c>
      <c r="K69" s="8" t="str">
        <f>_xlfn.XLOOKUP(D69,Master[Product_Code],Master[Color])</f>
        <v>Charcoal</v>
      </c>
      <c r="L69" s="3">
        <f>_xlfn.XLOOKUP(D69,Master[Product_Code],Master[Selling_Price])</f>
        <v>480</v>
      </c>
    </row>
    <row r="70" spans="2:12">
      <c r="B70" s="2" t="s">
        <v>1793</v>
      </c>
      <c r="C70" s="7">
        <v>45932</v>
      </c>
      <c r="D70" s="2" t="s">
        <v>95</v>
      </c>
      <c r="E70" s="4">
        <v>1</v>
      </c>
      <c r="F70" s="8" t="str">
        <f>_xlfn.XLOOKUP(D70,Master[Product_Code],Master[Category])</f>
        <v>Shirt</v>
      </c>
      <c r="G70" s="8" t="str">
        <f>_xlfn.XLOOKUP(D70,Master[Product_Code],Master[Brand])</f>
        <v>Thailand</v>
      </c>
      <c r="H70" s="8" t="str">
        <f>_xlfn.XLOOKUP(D70,Master[Product_Code],Master[Style])</f>
        <v>Casual</v>
      </c>
      <c r="I70" s="8" t="str">
        <f>_xlfn.XLOOKUP(D70,Master[Product_Code],Master[Fabric])</f>
        <v>Lycra</v>
      </c>
      <c r="J70" s="8" t="str">
        <f>_xlfn.XLOOKUP(D70,Master[Product_Code],Master[Size])</f>
        <v>L</v>
      </c>
      <c r="K70" s="8" t="str">
        <f>_xlfn.XLOOKUP(D70,Master[Product_Code],Master[Color])</f>
        <v>Cream</v>
      </c>
      <c r="L70" s="3">
        <f>_xlfn.XLOOKUP(D70,Master[Product_Code],Master[Selling_Price])</f>
        <v>720</v>
      </c>
    </row>
    <row r="71" spans="2:12">
      <c r="B71" s="2" t="s">
        <v>1794</v>
      </c>
      <c r="C71" s="7">
        <v>45932</v>
      </c>
      <c r="D71" s="2" t="s">
        <v>107</v>
      </c>
      <c r="E71" s="4">
        <v>1</v>
      </c>
      <c r="F71" s="8" t="str">
        <f>_xlfn.XLOOKUP(D71,Master[Product_Code],Master[Category])</f>
        <v>Shirt</v>
      </c>
      <c r="G71" s="8" t="str">
        <f>_xlfn.XLOOKUP(D71,Master[Product_Code],Master[Brand])</f>
        <v>British</v>
      </c>
      <c r="H71" s="8" t="str">
        <f>_xlfn.XLOOKUP(D71,Master[Product_Code],Master[Style])</f>
        <v>Partywear</v>
      </c>
      <c r="I71" s="8" t="str">
        <f>_xlfn.XLOOKUP(D71,Master[Product_Code],Master[Fabric])</f>
        <v>Lycra</v>
      </c>
      <c r="J71" s="8" t="str">
        <f>_xlfn.XLOOKUP(D71,Master[Product_Code],Master[Size])</f>
        <v>XL</v>
      </c>
      <c r="K71" s="8" t="str">
        <f>_xlfn.XLOOKUP(D71,Master[Product_Code],Master[Color])</f>
        <v>Maroon</v>
      </c>
      <c r="L71" s="3">
        <f>_xlfn.XLOOKUP(D71,Master[Product_Code],Master[Selling_Price])</f>
        <v>930</v>
      </c>
    </row>
    <row r="72" spans="2:12">
      <c r="B72" s="2" t="s">
        <v>1794</v>
      </c>
      <c r="C72" s="7">
        <v>45932</v>
      </c>
      <c r="D72" s="2" t="s">
        <v>759</v>
      </c>
      <c r="E72" s="4">
        <v>1</v>
      </c>
      <c r="F72" s="8" t="str">
        <f>_xlfn.XLOOKUP(D72,Master[Product_Code],Master[Category])</f>
        <v>T-Shirt</v>
      </c>
      <c r="G72" s="8" t="str">
        <f>_xlfn.XLOOKUP(D72,Master[Product_Code],Master[Brand])</f>
        <v>Roadster</v>
      </c>
      <c r="H72" s="8" t="str">
        <f>_xlfn.XLOOKUP(D72,Master[Product_Code],Master[Style])</f>
        <v>Sleeveless</v>
      </c>
      <c r="I72" s="8" t="str">
        <f>_xlfn.XLOOKUP(D72,Master[Product_Code],Master[Fabric])</f>
        <v>Poly Cotton</v>
      </c>
      <c r="J72" s="8" t="str">
        <f>_xlfn.XLOOKUP(D72,Master[Product_Code],Master[Size])</f>
        <v>M</v>
      </c>
      <c r="K72" s="8" t="str">
        <f>_xlfn.XLOOKUP(D72,Master[Product_Code],Master[Color])</f>
        <v>Teal</v>
      </c>
      <c r="L72" s="3">
        <f>_xlfn.XLOOKUP(D72,Master[Product_Code],Master[Selling_Price])</f>
        <v>600</v>
      </c>
    </row>
    <row r="73" spans="2:12">
      <c r="B73" s="2" t="s">
        <v>1794</v>
      </c>
      <c r="C73" s="7">
        <v>45932</v>
      </c>
      <c r="D73" s="2" t="s">
        <v>874</v>
      </c>
      <c r="E73" s="4">
        <v>1</v>
      </c>
      <c r="F73" s="8" t="str">
        <f>_xlfn.XLOOKUP(D73,Master[Product_Code],Master[Category])</f>
        <v>Jeans</v>
      </c>
      <c r="G73" s="8" t="str">
        <f>_xlfn.XLOOKUP(D73,Master[Product_Code],Master[Brand])</f>
        <v>Denim Pro</v>
      </c>
      <c r="H73" s="8" t="str">
        <f>_xlfn.XLOOKUP(D73,Master[Product_Code],Master[Style])</f>
        <v>Mom Fit</v>
      </c>
      <c r="I73" s="8" t="str">
        <f>_xlfn.XLOOKUP(D73,Master[Product_Code],Master[Fabric])</f>
        <v>Denim</v>
      </c>
      <c r="J73" s="8">
        <f>_xlfn.XLOOKUP(D73,Master[Product_Code],Master[Size])</f>
        <v>40</v>
      </c>
      <c r="K73" s="8" t="str">
        <f>_xlfn.XLOOKUP(D73,Master[Product_Code],Master[Color])</f>
        <v>Brown</v>
      </c>
      <c r="L73" s="3">
        <f>_xlfn.XLOOKUP(D73,Master[Product_Code],Master[Selling_Price])</f>
        <v>960</v>
      </c>
    </row>
    <row r="74" spans="2:12">
      <c r="B74" s="2" t="s">
        <v>1795</v>
      </c>
      <c r="C74" s="7">
        <v>45932</v>
      </c>
      <c r="D74" s="2" t="s">
        <v>140</v>
      </c>
      <c r="E74" s="4">
        <v>1</v>
      </c>
      <c r="F74" s="8" t="str">
        <f>_xlfn.XLOOKUP(D74,Master[Product_Code],Master[Category])</f>
        <v>Shirt</v>
      </c>
      <c r="G74" s="8" t="str">
        <f>_xlfn.XLOOKUP(D74,Master[Product_Code],Master[Brand])</f>
        <v>Luke &amp; Burg</v>
      </c>
      <c r="H74" s="8" t="str">
        <f>_xlfn.XLOOKUP(D74,Master[Product_Code],Master[Style])</f>
        <v>Formal</v>
      </c>
      <c r="I74" s="8" t="str">
        <f>_xlfn.XLOOKUP(D74,Master[Product_Code],Master[Fabric])</f>
        <v>Polyester</v>
      </c>
      <c r="J74" s="8" t="str">
        <f>_xlfn.XLOOKUP(D74,Master[Product_Code],Master[Size])</f>
        <v>M</v>
      </c>
      <c r="K74" s="8" t="str">
        <f>_xlfn.XLOOKUP(D74,Master[Product_Code],Master[Color])</f>
        <v>White</v>
      </c>
      <c r="L74" s="3">
        <f>_xlfn.XLOOKUP(D74,Master[Product_Code],Master[Selling_Price])</f>
        <v>660</v>
      </c>
    </row>
    <row r="75" spans="2:12">
      <c r="B75" s="2" t="s">
        <v>1796</v>
      </c>
      <c r="C75" s="7">
        <v>45932</v>
      </c>
      <c r="D75" s="2" t="s">
        <v>476</v>
      </c>
      <c r="E75" s="4">
        <v>1</v>
      </c>
      <c r="F75" s="8" t="str">
        <f>_xlfn.XLOOKUP(D75,Master[Product_Code],Master[Category])</f>
        <v>T-Shirt</v>
      </c>
      <c r="G75" s="8" t="str">
        <f>_xlfn.XLOOKUP(D75,Master[Product_Code],Master[Brand])</f>
        <v>Turkey</v>
      </c>
      <c r="H75" s="8" t="str">
        <f>_xlfn.XLOOKUP(D75,Master[Product_Code],Master[Style])</f>
        <v>Hoodie</v>
      </c>
      <c r="I75" s="8" t="str">
        <f>_xlfn.XLOOKUP(D75,Master[Product_Code],Master[Fabric])</f>
        <v>Cotton</v>
      </c>
      <c r="J75" s="8" t="str">
        <f>_xlfn.XLOOKUP(D75,Master[Product_Code],Master[Size])</f>
        <v>L</v>
      </c>
      <c r="K75" s="8" t="str">
        <f>_xlfn.XLOOKUP(D75,Master[Product_Code],Master[Color])</f>
        <v>Dark Green</v>
      </c>
      <c r="L75" s="3">
        <f>_xlfn.XLOOKUP(D75,Master[Product_Code],Master[Selling_Price])</f>
        <v>580</v>
      </c>
    </row>
    <row r="76" spans="2:12">
      <c r="B76" s="2" t="s">
        <v>1796</v>
      </c>
      <c r="C76" s="7">
        <v>45932</v>
      </c>
      <c r="D76" s="2" t="s">
        <v>615</v>
      </c>
      <c r="E76" s="4">
        <v>1</v>
      </c>
      <c r="F76" s="8" t="str">
        <f>_xlfn.XLOOKUP(D76,Master[Product_Code],Master[Category])</f>
        <v>T-Shirt</v>
      </c>
      <c r="G76" s="8" t="str">
        <f>_xlfn.XLOOKUP(D76,Master[Product_Code],Master[Brand])</f>
        <v>Thailand</v>
      </c>
      <c r="H76" s="8" t="str">
        <f>_xlfn.XLOOKUP(D76,Master[Product_Code],Master[Style])</f>
        <v>3/4 Sleeve</v>
      </c>
      <c r="I76" s="8" t="str">
        <f>_xlfn.XLOOKUP(D76,Master[Product_Code],Master[Fabric])</f>
        <v>Poly Cotton</v>
      </c>
      <c r="J76" s="8" t="str">
        <f>_xlfn.XLOOKUP(D76,Master[Product_Code],Master[Size])</f>
        <v>S</v>
      </c>
      <c r="K76" s="8" t="str">
        <f>_xlfn.XLOOKUP(D76,Master[Product_Code],Master[Color])</f>
        <v>Navy Blue</v>
      </c>
      <c r="L76" s="3">
        <f>_xlfn.XLOOKUP(D76,Master[Product_Code],Master[Selling_Price])</f>
        <v>640</v>
      </c>
    </row>
    <row r="77" spans="2:12">
      <c r="B77" s="2" t="s">
        <v>1796</v>
      </c>
      <c r="C77" s="7">
        <v>45932</v>
      </c>
      <c r="D77" s="2" t="s">
        <v>87</v>
      </c>
      <c r="E77" s="4">
        <v>1</v>
      </c>
      <c r="F77" s="8" t="str">
        <f>_xlfn.XLOOKUP(D77,Master[Product_Code],Master[Category])</f>
        <v>Shirt</v>
      </c>
      <c r="G77" s="8" t="str">
        <f>_xlfn.XLOOKUP(D77,Master[Product_Code],Master[Brand])</f>
        <v>Luke &amp; Burg</v>
      </c>
      <c r="H77" s="8" t="str">
        <f>_xlfn.XLOOKUP(D77,Master[Product_Code],Master[Style])</f>
        <v>Formal</v>
      </c>
      <c r="I77" s="8" t="str">
        <f>_xlfn.XLOOKUP(D77,Master[Product_Code],Master[Fabric])</f>
        <v>Lycra</v>
      </c>
      <c r="J77" s="8" t="str">
        <f>_xlfn.XLOOKUP(D77,Master[Product_Code],Master[Size])</f>
        <v>XL</v>
      </c>
      <c r="K77" s="8" t="str">
        <f>_xlfn.XLOOKUP(D77,Master[Product_Code],Master[Color])</f>
        <v>Black</v>
      </c>
      <c r="L77" s="3">
        <f>_xlfn.XLOOKUP(D77,Master[Product_Code],Master[Selling_Price])</f>
        <v>940</v>
      </c>
    </row>
    <row r="78" spans="2:12">
      <c r="B78" s="2" t="s">
        <v>1797</v>
      </c>
      <c r="C78" s="7">
        <v>45932</v>
      </c>
      <c r="D78" s="2" t="s">
        <v>1360</v>
      </c>
      <c r="E78" s="4">
        <v>1</v>
      </c>
      <c r="F78" s="8" t="str">
        <f>_xlfn.XLOOKUP(D78,Master[Product_Code],Master[Category])</f>
        <v>Pants</v>
      </c>
      <c r="G78" s="8" t="str">
        <f>_xlfn.XLOOKUP(D78,Master[Product_Code],Master[Brand])</f>
        <v>Park Avenue</v>
      </c>
      <c r="H78" s="8" t="str">
        <f>_xlfn.XLOOKUP(D78,Master[Product_Code],Master[Style])</f>
        <v>Boot Cut</v>
      </c>
      <c r="I78" s="8" t="str">
        <f>_xlfn.XLOOKUP(D78,Master[Product_Code],Master[Fabric])</f>
        <v>Poly Viscose</v>
      </c>
      <c r="J78" s="8">
        <f>_xlfn.XLOOKUP(D78,Master[Product_Code],Master[Size])</f>
        <v>42</v>
      </c>
      <c r="K78" s="8" t="str">
        <f>_xlfn.XLOOKUP(D78,Master[Product_Code],Master[Color])</f>
        <v>Maroon</v>
      </c>
      <c r="L78" s="3">
        <f>_xlfn.XLOOKUP(D78,Master[Product_Code],Master[Selling_Price])</f>
        <v>750</v>
      </c>
    </row>
    <row r="79" spans="2:12">
      <c r="B79" s="2" t="s">
        <v>1798</v>
      </c>
      <c r="C79" s="7">
        <v>45932</v>
      </c>
      <c r="D79" s="2" t="s">
        <v>753</v>
      </c>
      <c r="E79" s="4">
        <v>1</v>
      </c>
      <c r="F79" s="8" t="str">
        <f>_xlfn.XLOOKUP(D79,Master[Product_Code],Master[Category])</f>
        <v>T-Shirt</v>
      </c>
      <c r="G79" s="8" t="str">
        <f>_xlfn.XLOOKUP(D79,Master[Product_Code],Master[Brand])</f>
        <v>Max</v>
      </c>
      <c r="H79" s="8" t="str">
        <f>_xlfn.XLOOKUP(D79,Master[Product_Code],Master[Style])</f>
        <v>Full Sleeve</v>
      </c>
      <c r="I79" s="8" t="str">
        <f>_xlfn.XLOOKUP(D79,Master[Product_Code],Master[Fabric])</f>
        <v>Cotton</v>
      </c>
      <c r="J79" s="8" t="str">
        <f>_xlfn.XLOOKUP(D79,Master[Product_Code],Master[Size])</f>
        <v>L</v>
      </c>
      <c r="K79" s="8" t="str">
        <f>_xlfn.XLOOKUP(D79,Master[Product_Code],Master[Color])</f>
        <v>Charcoal</v>
      </c>
      <c r="L79" s="3">
        <f>_xlfn.XLOOKUP(D79,Master[Product_Code],Master[Selling_Price])</f>
        <v>440</v>
      </c>
    </row>
    <row r="80" spans="2:12">
      <c r="B80" s="2" t="s">
        <v>1798</v>
      </c>
      <c r="C80" s="7">
        <v>45932</v>
      </c>
      <c r="D80" s="2" t="s">
        <v>1236</v>
      </c>
      <c r="E80" s="4">
        <v>1</v>
      </c>
      <c r="F80" s="8" t="str">
        <f>_xlfn.XLOOKUP(D80,Master[Product_Code],Master[Category])</f>
        <v>Pants</v>
      </c>
      <c r="G80" s="8" t="str">
        <f>_xlfn.XLOOKUP(D80,Master[Product_Code],Master[Brand])</f>
        <v>Park Avenue</v>
      </c>
      <c r="H80" s="8" t="str">
        <f>_xlfn.XLOOKUP(D80,Master[Product_Code],Master[Style])</f>
        <v>Boot Cut</v>
      </c>
      <c r="I80" s="8" t="str">
        <f>_xlfn.XLOOKUP(D80,Master[Product_Code],Master[Fabric])</f>
        <v>Poly Viscose</v>
      </c>
      <c r="J80" s="8">
        <f>_xlfn.XLOOKUP(D80,Master[Product_Code],Master[Size])</f>
        <v>28</v>
      </c>
      <c r="K80" s="8" t="str">
        <f>_xlfn.XLOOKUP(D80,Master[Product_Code],Master[Color])</f>
        <v>Grey</v>
      </c>
      <c r="L80" s="3">
        <f>_xlfn.XLOOKUP(D80,Master[Product_Code],Master[Selling_Price])</f>
        <v>870</v>
      </c>
    </row>
    <row r="81" spans="2:12">
      <c r="B81" s="2" t="s">
        <v>1798</v>
      </c>
      <c r="C81" s="7">
        <v>45932</v>
      </c>
      <c r="D81" s="2" t="s">
        <v>77</v>
      </c>
      <c r="E81" s="4">
        <v>1</v>
      </c>
      <c r="F81" s="8" t="str">
        <f>_xlfn.XLOOKUP(D81,Master[Product_Code],Master[Category])</f>
        <v>Shirt</v>
      </c>
      <c r="G81" s="8" t="str">
        <f>_xlfn.XLOOKUP(D81,Master[Product_Code],Master[Brand])</f>
        <v>G Studio</v>
      </c>
      <c r="H81" s="8" t="str">
        <f>_xlfn.XLOOKUP(D81,Master[Product_Code],Master[Style])</f>
        <v>Formal</v>
      </c>
      <c r="I81" s="8" t="str">
        <f>_xlfn.XLOOKUP(D81,Master[Product_Code],Master[Fabric])</f>
        <v>Cotton</v>
      </c>
      <c r="J81" s="8" t="str">
        <f>_xlfn.XLOOKUP(D81,Master[Product_Code],Master[Size])</f>
        <v>S</v>
      </c>
      <c r="K81" s="8" t="str">
        <f>_xlfn.XLOOKUP(D81,Master[Product_Code],Master[Color])</f>
        <v>Charcoal</v>
      </c>
      <c r="L81" s="3">
        <f>_xlfn.XLOOKUP(D81,Master[Product_Code],Master[Selling_Price])</f>
        <v>840</v>
      </c>
    </row>
    <row r="82" spans="2:12">
      <c r="B82" s="2" t="s">
        <v>1798</v>
      </c>
      <c r="C82" s="7">
        <v>45932</v>
      </c>
      <c r="D82" s="2" t="s">
        <v>213</v>
      </c>
      <c r="E82" s="4">
        <v>1</v>
      </c>
      <c r="F82" s="8" t="str">
        <f>_xlfn.XLOOKUP(D82,Master[Product_Code],Master[Category])</f>
        <v>Shirt</v>
      </c>
      <c r="G82" s="8" t="str">
        <f>_xlfn.XLOOKUP(D82,Master[Product_Code],Master[Brand])</f>
        <v>Luke &amp; Burg</v>
      </c>
      <c r="H82" s="8" t="str">
        <f>_xlfn.XLOOKUP(D82,Master[Product_Code],Master[Style])</f>
        <v>Formal</v>
      </c>
      <c r="I82" s="8" t="str">
        <f>_xlfn.XLOOKUP(D82,Master[Product_Code],Master[Fabric])</f>
        <v>Lycra</v>
      </c>
      <c r="J82" s="8" t="str">
        <f>_xlfn.XLOOKUP(D82,Master[Product_Code],Master[Size])</f>
        <v>M</v>
      </c>
      <c r="K82" s="8" t="str">
        <f>_xlfn.XLOOKUP(D82,Master[Product_Code],Master[Color])</f>
        <v>Dark Green</v>
      </c>
      <c r="L82" s="3">
        <f>_xlfn.XLOOKUP(D82,Master[Product_Code],Master[Selling_Price])</f>
        <v>750</v>
      </c>
    </row>
    <row r="83" spans="2:12">
      <c r="B83" s="2" t="s">
        <v>1799</v>
      </c>
      <c r="C83" s="7">
        <v>45932</v>
      </c>
      <c r="D83" s="2" t="s">
        <v>505</v>
      </c>
      <c r="E83" s="4">
        <v>1</v>
      </c>
      <c r="F83" s="8" t="str">
        <f>_xlfn.XLOOKUP(D83,Master[Product_Code],Master[Category])</f>
        <v>T-Shirt</v>
      </c>
      <c r="G83" s="8" t="str">
        <f>_xlfn.XLOOKUP(D83,Master[Product_Code],Master[Brand])</f>
        <v>Max</v>
      </c>
      <c r="H83" s="8" t="str">
        <f>_xlfn.XLOOKUP(D83,Master[Product_Code],Master[Style])</f>
        <v>3/4 Sleeve</v>
      </c>
      <c r="I83" s="8" t="str">
        <f>_xlfn.XLOOKUP(D83,Master[Product_Code],Master[Fabric])</f>
        <v>Poly Cotton</v>
      </c>
      <c r="J83" s="8" t="str">
        <f>_xlfn.XLOOKUP(D83,Master[Product_Code],Master[Size])</f>
        <v>S</v>
      </c>
      <c r="K83" s="8" t="str">
        <f>_xlfn.XLOOKUP(D83,Master[Product_Code],Master[Color])</f>
        <v>Navy Blue</v>
      </c>
      <c r="L83" s="3">
        <f>_xlfn.XLOOKUP(D83,Master[Product_Code],Master[Selling_Price])</f>
        <v>530</v>
      </c>
    </row>
    <row r="84" spans="2:12">
      <c r="B84" s="2" t="s">
        <v>1799</v>
      </c>
      <c r="C84" s="7">
        <v>45932</v>
      </c>
      <c r="D84" s="2" t="s">
        <v>733</v>
      </c>
      <c r="E84" s="4">
        <v>1</v>
      </c>
      <c r="F84" s="8" t="str">
        <f>_xlfn.XLOOKUP(D84,Master[Product_Code],Master[Category])</f>
        <v>T-Shirt</v>
      </c>
      <c r="G84" s="8" t="str">
        <f>_xlfn.XLOOKUP(D84,Master[Product_Code],Master[Brand])</f>
        <v>Turkey</v>
      </c>
      <c r="H84" s="8" t="str">
        <f>_xlfn.XLOOKUP(D84,Master[Product_Code],Master[Style])</f>
        <v>Hoodie</v>
      </c>
      <c r="I84" s="8" t="str">
        <f>_xlfn.XLOOKUP(D84,Master[Product_Code],Master[Fabric])</f>
        <v>Poly Cotton</v>
      </c>
      <c r="J84" s="8" t="str">
        <f>_xlfn.XLOOKUP(D84,Master[Product_Code],Master[Size])</f>
        <v>S</v>
      </c>
      <c r="K84" s="8" t="str">
        <f>_xlfn.XLOOKUP(D84,Master[Product_Code],Master[Color])</f>
        <v>Navy Blue</v>
      </c>
      <c r="L84" s="3">
        <f>_xlfn.XLOOKUP(D84,Master[Product_Code],Master[Selling_Price])</f>
        <v>280</v>
      </c>
    </row>
    <row r="85" spans="2:12">
      <c r="B85" s="2" t="s">
        <v>1799</v>
      </c>
      <c r="C85" s="7">
        <v>45932</v>
      </c>
      <c r="D85" s="2" t="s">
        <v>1056</v>
      </c>
      <c r="E85" s="4">
        <v>1</v>
      </c>
      <c r="F85" s="8" t="str">
        <f>_xlfn.XLOOKUP(D85,Master[Product_Code],Master[Category])</f>
        <v>Jeans</v>
      </c>
      <c r="G85" s="8" t="str">
        <f>_xlfn.XLOOKUP(D85,Master[Product_Code],Master[Brand])</f>
        <v>Levis</v>
      </c>
      <c r="H85" s="8" t="str">
        <f>_xlfn.XLOOKUP(D85,Master[Product_Code],Master[Style])</f>
        <v>Baggy</v>
      </c>
      <c r="I85" s="8" t="str">
        <f>_xlfn.XLOOKUP(D85,Master[Product_Code],Master[Fabric])</f>
        <v>Denim</v>
      </c>
      <c r="J85" s="8">
        <f>_xlfn.XLOOKUP(D85,Master[Product_Code],Master[Size])</f>
        <v>36</v>
      </c>
      <c r="K85" s="8" t="str">
        <f>_xlfn.XLOOKUP(D85,Master[Product_Code],Master[Color])</f>
        <v>Beige</v>
      </c>
      <c r="L85" s="3">
        <f>_xlfn.XLOOKUP(D85,Master[Product_Code],Master[Selling_Price])</f>
        <v>1010</v>
      </c>
    </row>
    <row r="86" spans="2:12">
      <c r="B86" s="2" t="s">
        <v>1799</v>
      </c>
      <c r="C86" s="7">
        <v>45932</v>
      </c>
      <c r="D86" s="2" t="s">
        <v>42</v>
      </c>
      <c r="E86" s="4">
        <v>1</v>
      </c>
      <c r="F86" s="8" t="str">
        <f>_xlfn.XLOOKUP(D86,Master[Product_Code],Master[Category])</f>
        <v>Shirt</v>
      </c>
      <c r="G86" s="8" t="str">
        <f>_xlfn.XLOOKUP(D86,Master[Product_Code],Master[Brand])</f>
        <v>L7</v>
      </c>
      <c r="H86" s="8" t="str">
        <f>_xlfn.XLOOKUP(D86,Master[Product_Code],Master[Style])</f>
        <v>Formal</v>
      </c>
      <c r="I86" s="8" t="str">
        <f>_xlfn.XLOOKUP(D86,Master[Product_Code],Master[Fabric])</f>
        <v>Lycra</v>
      </c>
      <c r="J86" s="8" t="str">
        <f>_xlfn.XLOOKUP(D86,Master[Product_Code],Master[Size])</f>
        <v>L</v>
      </c>
      <c r="K86" s="8" t="str">
        <f>_xlfn.XLOOKUP(D86,Master[Product_Code],Master[Color])</f>
        <v>Navy Blue</v>
      </c>
      <c r="L86" s="3">
        <f>_xlfn.XLOOKUP(D86,Master[Product_Code],Master[Selling_Price])</f>
        <v>880</v>
      </c>
    </row>
    <row r="87" spans="2:12">
      <c r="B87" s="2" t="s">
        <v>1800</v>
      </c>
      <c r="C87" s="7">
        <v>45933</v>
      </c>
      <c r="D87" s="2" t="s">
        <v>239</v>
      </c>
      <c r="E87" s="4">
        <v>1</v>
      </c>
      <c r="F87" s="8" t="str">
        <f>_xlfn.XLOOKUP(D87,Master[Product_Code],Master[Category])</f>
        <v>Shirt</v>
      </c>
      <c r="G87" s="8" t="str">
        <f>_xlfn.XLOOKUP(D87,Master[Product_Code],Master[Brand])</f>
        <v>L7</v>
      </c>
      <c r="H87" s="8" t="str">
        <f>_xlfn.XLOOKUP(D87,Master[Product_Code],Master[Style])</f>
        <v>Casual</v>
      </c>
      <c r="I87" s="8" t="str">
        <f>_xlfn.XLOOKUP(D87,Master[Product_Code],Master[Fabric])</f>
        <v>Polyester</v>
      </c>
      <c r="J87" s="8" t="str">
        <f>_xlfn.XLOOKUP(D87,Master[Product_Code],Master[Size])</f>
        <v>L</v>
      </c>
      <c r="K87" s="8" t="str">
        <f>_xlfn.XLOOKUP(D87,Master[Product_Code],Master[Color])</f>
        <v>Beige</v>
      </c>
      <c r="L87" s="3">
        <f>_xlfn.XLOOKUP(D87,Master[Product_Code],Master[Selling_Price])</f>
        <v>780</v>
      </c>
    </row>
    <row r="88" spans="2:12">
      <c r="B88" s="2" t="s">
        <v>1800</v>
      </c>
      <c r="C88" s="7">
        <v>45933</v>
      </c>
      <c r="D88" s="2" t="s">
        <v>1597</v>
      </c>
      <c r="E88" s="4">
        <v>1</v>
      </c>
      <c r="F88" s="8" t="str">
        <f>_xlfn.XLOOKUP(D88,Master[Product_Code],Master[Category])</f>
        <v>Innerwear</v>
      </c>
      <c r="G88" s="8" t="str">
        <f>_xlfn.XLOOKUP(D88,Master[Product_Code],Master[Brand])</f>
        <v>Dollar</v>
      </c>
      <c r="H88" s="8" t="str">
        <f>_xlfn.XLOOKUP(D88,Master[Product_Code],Master[Style])</f>
        <v>Boxer</v>
      </c>
      <c r="I88" s="8" t="str">
        <f>_xlfn.XLOOKUP(D88,Master[Product_Code],Master[Fabric])</f>
        <v>Cotton</v>
      </c>
      <c r="J88" s="8" t="str">
        <f>_xlfn.XLOOKUP(D88,Master[Product_Code],Master[Size])</f>
        <v>85-90</v>
      </c>
      <c r="K88" s="8" t="str">
        <f>_xlfn.XLOOKUP(D88,Master[Product_Code],Master[Color])</f>
        <v>Dark Green</v>
      </c>
      <c r="L88" s="3">
        <f>_xlfn.XLOOKUP(D88,Master[Product_Code],Master[Selling_Price])</f>
        <v>130</v>
      </c>
    </row>
    <row r="89" spans="2:12">
      <c r="B89" s="2" t="s">
        <v>1800</v>
      </c>
      <c r="C89" s="7">
        <v>45933</v>
      </c>
      <c r="D89" s="2" t="s">
        <v>1542</v>
      </c>
      <c r="E89" s="4">
        <v>1</v>
      </c>
      <c r="F89" s="8" t="str">
        <f>_xlfn.XLOOKUP(D89,Master[Product_Code],Master[Category])</f>
        <v>Innerwear</v>
      </c>
      <c r="G89" s="8" t="str">
        <f>_xlfn.XLOOKUP(D89,Master[Product_Code],Master[Brand])</f>
        <v>Rupa</v>
      </c>
      <c r="H89" s="8" t="str">
        <f>_xlfn.XLOOKUP(D89,Master[Product_Code],Master[Style])</f>
        <v>Boxer</v>
      </c>
      <c r="I89" s="8" t="str">
        <f>_xlfn.XLOOKUP(D89,Master[Product_Code],Master[Fabric])</f>
        <v>Cotton Blend</v>
      </c>
      <c r="J89" s="8" t="str">
        <f>_xlfn.XLOOKUP(D89,Master[Product_Code],Master[Size])</f>
        <v>90-100</v>
      </c>
      <c r="K89" s="8" t="str">
        <f>_xlfn.XLOOKUP(D89,Master[Product_Code],Master[Color])</f>
        <v>Royal Blue</v>
      </c>
      <c r="L89" s="3">
        <f>_xlfn.XLOOKUP(D89,Master[Product_Code],Master[Selling_Price])</f>
        <v>150</v>
      </c>
    </row>
    <row r="90" spans="2:12">
      <c r="B90" s="2" t="s">
        <v>1800</v>
      </c>
      <c r="C90" s="7">
        <v>45933</v>
      </c>
      <c r="D90" s="2" t="s">
        <v>750</v>
      </c>
      <c r="E90" s="4">
        <v>1</v>
      </c>
      <c r="F90" s="8" t="str">
        <f>_xlfn.XLOOKUP(D90,Master[Product_Code],Master[Category])</f>
        <v>T-Shirt</v>
      </c>
      <c r="G90" s="8" t="str">
        <f>_xlfn.XLOOKUP(D90,Master[Product_Code],Master[Brand])</f>
        <v>Thailand</v>
      </c>
      <c r="H90" s="8" t="str">
        <f>_xlfn.XLOOKUP(D90,Master[Product_Code],Master[Style])</f>
        <v>Full Sleeve</v>
      </c>
      <c r="I90" s="8" t="str">
        <f>_xlfn.XLOOKUP(D90,Master[Product_Code],Master[Fabric])</f>
        <v>Poly Cotton</v>
      </c>
      <c r="J90" s="8" t="str">
        <f>_xlfn.XLOOKUP(D90,Master[Product_Code],Master[Size])</f>
        <v>M</v>
      </c>
      <c r="K90" s="8" t="str">
        <f>_xlfn.XLOOKUP(D90,Master[Product_Code],Master[Color])</f>
        <v>Sky Blue</v>
      </c>
      <c r="L90" s="3">
        <f>_xlfn.XLOOKUP(D90,Master[Product_Code],Master[Selling_Price])</f>
        <v>450</v>
      </c>
    </row>
    <row r="91" spans="2:12">
      <c r="B91" s="2" t="s">
        <v>1801</v>
      </c>
      <c r="C91" s="7">
        <v>45933</v>
      </c>
      <c r="D91" s="2" t="s">
        <v>1743</v>
      </c>
      <c r="E91" s="4">
        <v>1</v>
      </c>
      <c r="F91" s="8" t="str">
        <f>_xlfn.XLOOKUP(D91,Master[Product_Code],Master[Category])</f>
        <v>Innerwear</v>
      </c>
      <c r="G91" s="8" t="str">
        <f>_xlfn.XLOOKUP(D91,Master[Product_Code],Master[Brand])</f>
        <v>Lux</v>
      </c>
      <c r="H91" s="8" t="str">
        <f>_xlfn.XLOOKUP(D91,Master[Product_Code],Master[Style])</f>
        <v>V-Cut</v>
      </c>
      <c r="I91" s="8" t="str">
        <f>_xlfn.XLOOKUP(D91,Master[Product_Code],Master[Fabric])</f>
        <v>Cotton</v>
      </c>
      <c r="J91" s="8" t="str">
        <f>_xlfn.XLOOKUP(D91,Master[Product_Code],Master[Size])</f>
        <v>90-100</v>
      </c>
      <c r="K91" s="8" t="str">
        <f>_xlfn.XLOOKUP(D91,Master[Product_Code],Master[Color])</f>
        <v>Black</v>
      </c>
      <c r="L91" s="3">
        <f>_xlfn.XLOOKUP(D91,Master[Product_Code],Master[Selling_Price])</f>
        <v>130</v>
      </c>
    </row>
    <row r="92" spans="2:12">
      <c r="B92" s="2" t="s">
        <v>1801</v>
      </c>
      <c r="C92" s="7">
        <v>45933</v>
      </c>
      <c r="D92" s="2" t="s">
        <v>812</v>
      </c>
      <c r="E92" s="4">
        <v>1</v>
      </c>
      <c r="F92" s="8" t="str">
        <f>_xlfn.XLOOKUP(D92,Master[Product_Code],Master[Category])</f>
        <v>T-Shirt</v>
      </c>
      <c r="G92" s="8" t="str">
        <f>_xlfn.XLOOKUP(D92,Master[Product_Code],Master[Brand])</f>
        <v>Thailand</v>
      </c>
      <c r="H92" s="8" t="str">
        <f>_xlfn.XLOOKUP(D92,Master[Product_Code],Master[Style])</f>
        <v>Half Sleeve</v>
      </c>
      <c r="I92" s="8" t="str">
        <f>_xlfn.XLOOKUP(D92,Master[Product_Code],Master[Fabric])</f>
        <v>Cotton Blend</v>
      </c>
      <c r="J92" s="8" t="str">
        <f>_xlfn.XLOOKUP(D92,Master[Product_Code],Master[Size])</f>
        <v>L</v>
      </c>
      <c r="K92" s="8" t="str">
        <f>_xlfn.XLOOKUP(D92,Master[Product_Code],Master[Color])</f>
        <v>Navy Blue</v>
      </c>
      <c r="L92" s="3">
        <f>_xlfn.XLOOKUP(D92,Master[Product_Code],Master[Selling_Price])</f>
        <v>390</v>
      </c>
    </row>
    <row r="93" spans="2:12">
      <c r="B93" s="2" t="s">
        <v>1801</v>
      </c>
      <c r="C93" s="7">
        <v>45933</v>
      </c>
      <c r="D93" s="2" t="s">
        <v>1128</v>
      </c>
      <c r="E93" s="4">
        <v>1</v>
      </c>
      <c r="F93" s="8" t="str">
        <f>_xlfn.XLOOKUP(D93,Master[Product_Code],Master[Category])</f>
        <v>Jeans</v>
      </c>
      <c r="G93" s="8" t="str">
        <f>_xlfn.XLOOKUP(D93,Master[Product_Code],Master[Brand])</f>
        <v>Pepe</v>
      </c>
      <c r="H93" s="8" t="str">
        <f>_xlfn.XLOOKUP(D93,Master[Product_Code],Master[Style])</f>
        <v>Jogger</v>
      </c>
      <c r="I93" s="8" t="str">
        <f>_xlfn.XLOOKUP(D93,Master[Product_Code],Master[Fabric])</f>
        <v>Denim</v>
      </c>
      <c r="J93" s="8">
        <f>_xlfn.XLOOKUP(D93,Master[Product_Code],Master[Size])</f>
        <v>42</v>
      </c>
      <c r="K93" s="8" t="str">
        <f>_xlfn.XLOOKUP(D93,Master[Product_Code],Master[Color])</f>
        <v>Maroon</v>
      </c>
      <c r="L93" s="3">
        <f>_xlfn.XLOOKUP(D93,Master[Product_Code],Master[Selling_Price])</f>
        <v>870</v>
      </c>
    </row>
    <row r="94" spans="2:12">
      <c r="B94" s="2" t="s">
        <v>1802</v>
      </c>
      <c r="C94" s="7">
        <v>45933</v>
      </c>
      <c r="D94" s="2" t="s">
        <v>1660</v>
      </c>
      <c r="E94" s="4">
        <v>1</v>
      </c>
      <c r="F94" s="8" t="str">
        <f>_xlfn.XLOOKUP(D94,Master[Product_Code],Master[Category])</f>
        <v>Innerwear</v>
      </c>
      <c r="G94" s="8" t="str">
        <f>_xlfn.XLOOKUP(D94,Master[Product_Code],Master[Brand])</f>
        <v>Lux</v>
      </c>
      <c r="H94" s="8" t="str">
        <f>_xlfn.XLOOKUP(D94,Master[Product_Code],Master[Style])</f>
        <v>Boxer</v>
      </c>
      <c r="I94" s="8" t="str">
        <f>_xlfn.XLOOKUP(D94,Master[Product_Code],Master[Fabric])</f>
        <v>Cotton</v>
      </c>
      <c r="J94" s="8" t="str">
        <f>_xlfn.XLOOKUP(D94,Master[Product_Code],Master[Size])</f>
        <v>105-110</v>
      </c>
      <c r="K94" s="8" t="str">
        <f>_xlfn.XLOOKUP(D94,Master[Product_Code],Master[Color])</f>
        <v>Royal Blue</v>
      </c>
      <c r="L94" s="3">
        <f>_xlfn.XLOOKUP(D94,Master[Product_Code],Master[Selling_Price])</f>
        <v>140</v>
      </c>
    </row>
    <row r="95" spans="2:12">
      <c r="B95" s="2" t="s">
        <v>1803</v>
      </c>
      <c r="C95" s="7">
        <v>45933</v>
      </c>
      <c r="D95" s="2" t="s">
        <v>996</v>
      </c>
      <c r="E95" s="4">
        <v>1</v>
      </c>
      <c r="F95" s="8" t="str">
        <f>_xlfn.XLOOKUP(D95,Master[Product_Code],Master[Category])</f>
        <v>Jeans</v>
      </c>
      <c r="G95" s="8" t="str">
        <f>_xlfn.XLOOKUP(D95,Master[Product_Code],Master[Brand])</f>
        <v>Pepe</v>
      </c>
      <c r="H95" s="8" t="str">
        <f>_xlfn.XLOOKUP(D95,Master[Product_Code],Master[Style])</f>
        <v>Baggy</v>
      </c>
      <c r="I95" s="8" t="str">
        <f>_xlfn.XLOOKUP(D95,Master[Product_Code],Master[Fabric])</f>
        <v>Denim</v>
      </c>
      <c r="J95" s="8">
        <f>_xlfn.XLOOKUP(D95,Master[Product_Code],Master[Size])</f>
        <v>44</v>
      </c>
      <c r="K95" s="8" t="str">
        <f>_xlfn.XLOOKUP(D95,Master[Product_Code],Master[Color])</f>
        <v>Sky Blue</v>
      </c>
      <c r="L95" s="3">
        <f>_xlfn.XLOOKUP(D95,Master[Product_Code],Master[Selling_Price])</f>
        <v>1030</v>
      </c>
    </row>
    <row r="96" spans="2:12">
      <c r="B96" s="2" t="s">
        <v>1803</v>
      </c>
      <c r="C96" s="7">
        <v>45933</v>
      </c>
      <c r="D96" s="2" t="s">
        <v>48</v>
      </c>
      <c r="E96" s="4">
        <v>1</v>
      </c>
      <c r="F96" s="8" t="str">
        <f>_xlfn.XLOOKUP(D96,Master[Product_Code],Master[Category])</f>
        <v>Shirt</v>
      </c>
      <c r="G96" s="8" t="str">
        <f>_xlfn.XLOOKUP(D96,Master[Product_Code],Master[Brand])</f>
        <v>British</v>
      </c>
      <c r="H96" s="8" t="str">
        <f>_xlfn.XLOOKUP(D96,Master[Product_Code],Master[Style])</f>
        <v>Formal</v>
      </c>
      <c r="I96" s="8" t="str">
        <f>_xlfn.XLOOKUP(D96,Master[Product_Code],Master[Fabric])</f>
        <v>Lycra</v>
      </c>
      <c r="J96" s="8" t="str">
        <f>_xlfn.XLOOKUP(D96,Master[Product_Code],Master[Size])</f>
        <v>S</v>
      </c>
      <c r="K96" s="8" t="str">
        <f>_xlfn.XLOOKUP(D96,Master[Product_Code],Master[Color])</f>
        <v>Mustard</v>
      </c>
      <c r="L96" s="3">
        <f>_xlfn.XLOOKUP(D96,Master[Product_Code],Master[Selling_Price])</f>
        <v>880</v>
      </c>
    </row>
    <row r="97" spans="2:12">
      <c r="B97" s="2" t="s">
        <v>1803</v>
      </c>
      <c r="C97" s="7">
        <v>45933</v>
      </c>
      <c r="D97" s="2" t="s">
        <v>530</v>
      </c>
      <c r="E97" s="4">
        <v>1</v>
      </c>
      <c r="F97" s="8" t="str">
        <f>_xlfn.XLOOKUP(D97,Master[Product_Code],Master[Category])</f>
        <v>T-Shirt</v>
      </c>
      <c r="G97" s="8" t="str">
        <f>_xlfn.XLOOKUP(D97,Master[Product_Code],Master[Brand])</f>
        <v>Campus</v>
      </c>
      <c r="H97" s="8" t="str">
        <f>_xlfn.XLOOKUP(D97,Master[Product_Code],Master[Style])</f>
        <v>Hoodie</v>
      </c>
      <c r="I97" s="8" t="str">
        <f>_xlfn.XLOOKUP(D97,Master[Product_Code],Master[Fabric])</f>
        <v>Cotton Blend</v>
      </c>
      <c r="J97" s="8" t="str">
        <f>_xlfn.XLOOKUP(D97,Master[Product_Code],Master[Size])</f>
        <v>XL</v>
      </c>
      <c r="K97" s="8" t="str">
        <f>_xlfn.XLOOKUP(D97,Master[Product_Code],Master[Color])</f>
        <v>Rust</v>
      </c>
      <c r="L97" s="3">
        <f>_xlfn.XLOOKUP(D97,Master[Product_Code],Master[Selling_Price])</f>
        <v>660</v>
      </c>
    </row>
    <row r="98" spans="2:12">
      <c r="B98" s="2" t="s">
        <v>1804</v>
      </c>
      <c r="C98" s="7">
        <v>45933</v>
      </c>
      <c r="D98" s="2" t="s">
        <v>298</v>
      </c>
      <c r="E98" s="4">
        <v>1</v>
      </c>
      <c r="F98" s="8" t="str">
        <f>_xlfn.XLOOKUP(D98,Master[Product_Code],Master[Category])</f>
        <v>Shirt</v>
      </c>
      <c r="G98" s="8" t="str">
        <f>_xlfn.XLOOKUP(D98,Master[Product_Code],Master[Brand])</f>
        <v>H&amp;M</v>
      </c>
      <c r="H98" s="8" t="str">
        <f>_xlfn.XLOOKUP(D98,Master[Product_Code],Master[Style])</f>
        <v>Partywear</v>
      </c>
      <c r="I98" s="8" t="str">
        <f>_xlfn.XLOOKUP(D98,Master[Product_Code],Master[Fabric])</f>
        <v>Cotton</v>
      </c>
      <c r="J98" s="8" t="str">
        <f>_xlfn.XLOOKUP(D98,Master[Product_Code],Master[Size])</f>
        <v>XL</v>
      </c>
      <c r="K98" s="8" t="str">
        <f>_xlfn.XLOOKUP(D98,Master[Product_Code],Master[Color])</f>
        <v>Peach</v>
      </c>
      <c r="L98" s="3">
        <f>_xlfn.XLOOKUP(D98,Master[Product_Code],Master[Selling_Price])</f>
        <v>650</v>
      </c>
    </row>
    <row r="99" spans="2:12">
      <c r="B99" s="2" t="s">
        <v>1804</v>
      </c>
      <c r="C99" s="7">
        <v>45933</v>
      </c>
      <c r="D99" s="2" t="s">
        <v>1561</v>
      </c>
      <c r="E99" s="4">
        <v>1</v>
      </c>
      <c r="F99" s="8" t="str">
        <f>_xlfn.XLOOKUP(D99,Master[Product_Code],Master[Category])</f>
        <v>Innerwear</v>
      </c>
      <c r="G99" s="8" t="str">
        <f>_xlfn.XLOOKUP(D99,Master[Product_Code],Master[Brand])</f>
        <v>V Star</v>
      </c>
      <c r="H99" s="8" t="str">
        <f>_xlfn.XLOOKUP(D99,Master[Product_Code],Master[Style])</f>
        <v>Boxer</v>
      </c>
      <c r="I99" s="8" t="str">
        <f>_xlfn.XLOOKUP(D99,Master[Product_Code],Master[Fabric])</f>
        <v>Cotton Blend</v>
      </c>
      <c r="J99" s="8" t="str">
        <f>_xlfn.XLOOKUP(D99,Master[Product_Code],Master[Size])</f>
        <v>100-105</v>
      </c>
      <c r="K99" s="8" t="str">
        <f>_xlfn.XLOOKUP(D99,Master[Product_Code],Master[Color])</f>
        <v>Sky Blue</v>
      </c>
      <c r="L99" s="3">
        <f>_xlfn.XLOOKUP(D99,Master[Product_Code],Master[Selling_Price])</f>
        <v>100</v>
      </c>
    </row>
    <row r="100" spans="2:12">
      <c r="B100" s="2" t="s">
        <v>1805</v>
      </c>
      <c r="C100" s="7">
        <v>45933</v>
      </c>
      <c r="D100" s="2" t="s">
        <v>1484</v>
      </c>
      <c r="E100" s="4">
        <v>1</v>
      </c>
      <c r="F100" s="8" t="str">
        <f>_xlfn.XLOOKUP(D100,Master[Product_Code],Master[Category])</f>
        <v>Innerwear</v>
      </c>
      <c r="G100" s="8" t="str">
        <f>_xlfn.XLOOKUP(D100,Master[Product_Code],Master[Brand])</f>
        <v>Dollar</v>
      </c>
      <c r="H100" s="8" t="str">
        <f>_xlfn.XLOOKUP(D100,Master[Product_Code],Master[Style])</f>
        <v>Boxer</v>
      </c>
      <c r="I100" s="8" t="str">
        <f>_xlfn.XLOOKUP(D100,Master[Product_Code],Master[Fabric])</f>
        <v>Cotton</v>
      </c>
      <c r="J100" s="8" t="str">
        <f>_xlfn.XLOOKUP(D100,Master[Product_Code],Master[Size])</f>
        <v>105-110</v>
      </c>
      <c r="K100" s="8" t="str">
        <f>_xlfn.XLOOKUP(D100,Master[Product_Code],Master[Color])</f>
        <v>Grey</v>
      </c>
      <c r="L100" s="3">
        <f>_xlfn.XLOOKUP(D100,Master[Product_Code],Master[Selling_Price])</f>
        <v>120</v>
      </c>
    </row>
    <row r="101" spans="2:12">
      <c r="B101" s="2" t="s">
        <v>1805</v>
      </c>
      <c r="C101" s="7">
        <v>45933</v>
      </c>
      <c r="D101" s="2" t="s">
        <v>374</v>
      </c>
      <c r="E101" s="4">
        <v>1</v>
      </c>
      <c r="F101" s="8" t="str">
        <f>_xlfn.XLOOKUP(D101,Master[Product_Code],Master[Category])</f>
        <v>Shirt</v>
      </c>
      <c r="G101" s="8" t="str">
        <f>_xlfn.XLOOKUP(D101,Master[Product_Code],Master[Brand])</f>
        <v>Luke &amp; Burg</v>
      </c>
      <c r="H101" s="8" t="str">
        <f>_xlfn.XLOOKUP(D101,Master[Product_Code],Master[Style])</f>
        <v>Partywear</v>
      </c>
      <c r="I101" s="8" t="str">
        <f>_xlfn.XLOOKUP(D101,Master[Product_Code],Master[Fabric])</f>
        <v>Cotton Blend</v>
      </c>
      <c r="J101" s="8" t="str">
        <f>_xlfn.XLOOKUP(D101,Master[Product_Code],Master[Size])</f>
        <v>S</v>
      </c>
      <c r="K101" s="8" t="str">
        <f>_xlfn.XLOOKUP(D101,Master[Product_Code],Master[Color])</f>
        <v>Rust</v>
      </c>
      <c r="L101" s="3">
        <f>_xlfn.XLOOKUP(D101,Master[Product_Code],Master[Selling_Price])</f>
        <v>920</v>
      </c>
    </row>
    <row r="102" spans="2:12">
      <c r="B102" s="2" t="s">
        <v>1805</v>
      </c>
      <c r="C102" s="7">
        <v>45933</v>
      </c>
      <c r="D102" s="2" t="s">
        <v>1140</v>
      </c>
      <c r="E102" s="4">
        <v>1</v>
      </c>
      <c r="F102" s="8" t="str">
        <f>_xlfn.XLOOKUP(D102,Master[Product_Code],Master[Category])</f>
        <v>Jeans</v>
      </c>
      <c r="G102" s="8" t="str">
        <f>_xlfn.XLOOKUP(D102,Master[Product_Code],Master[Brand])</f>
        <v>Pepe</v>
      </c>
      <c r="H102" s="8" t="str">
        <f>_xlfn.XLOOKUP(D102,Master[Product_Code],Master[Style])</f>
        <v>Baggy</v>
      </c>
      <c r="I102" s="8" t="str">
        <f>_xlfn.XLOOKUP(D102,Master[Product_Code],Master[Fabric])</f>
        <v>Denim</v>
      </c>
      <c r="J102" s="8">
        <f>_xlfn.XLOOKUP(D102,Master[Product_Code],Master[Size])</f>
        <v>32</v>
      </c>
      <c r="K102" s="8" t="str">
        <f>_xlfn.XLOOKUP(D102,Master[Product_Code],Master[Color])</f>
        <v>Cream</v>
      </c>
      <c r="L102" s="3">
        <f>_xlfn.XLOOKUP(D102,Master[Product_Code],Master[Selling_Price])</f>
        <v>1100</v>
      </c>
    </row>
    <row r="103" spans="2:12">
      <c r="B103" s="2" t="s">
        <v>1806</v>
      </c>
      <c r="C103" s="7">
        <v>45933</v>
      </c>
      <c r="D103" s="2" t="s">
        <v>1613</v>
      </c>
      <c r="E103" s="4">
        <v>1</v>
      </c>
      <c r="F103" s="8" t="str">
        <f>_xlfn.XLOOKUP(D103,Master[Product_Code],Master[Category])</f>
        <v>Innerwear</v>
      </c>
      <c r="G103" s="8" t="str">
        <f>_xlfn.XLOOKUP(D103,Master[Product_Code],Master[Brand])</f>
        <v>Dollar</v>
      </c>
      <c r="H103" s="8" t="str">
        <f>_xlfn.XLOOKUP(D103,Master[Product_Code],Master[Style])</f>
        <v>V-Cut</v>
      </c>
      <c r="I103" s="8" t="str">
        <f>_xlfn.XLOOKUP(D103,Master[Product_Code],Master[Fabric])</f>
        <v>Cotton</v>
      </c>
      <c r="J103" s="8" t="str">
        <f>_xlfn.XLOOKUP(D103,Master[Product_Code],Master[Size])</f>
        <v>90-100</v>
      </c>
      <c r="K103" s="8" t="str">
        <f>_xlfn.XLOOKUP(D103,Master[Product_Code],Master[Color])</f>
        <v>Peach</v>
      </c>
      <c r="L103" s="3">
        <f>_xlfn.XLOOKUP(D103,Master[Product_Code],Master[Selling_Price])</f>
        <v>170</v>
      </c>
    </row>
    <row r="104" spans="2:12">
      <c r="B104" s="2" t="s">
        <v>1806</v>
      </c>
      <c r="C104" s="7">
        <v>45933</v>
      </c>
      <c r="D104" s="2" t="s">
        <v>561</v>
      </c>
      <c r="E104" s="4">
        <v>1</v>
      </c>
      <c r="F104" s="8" t="str">
        <f>_xlfn.XLOOKUP(D104,Master[Product_Code],Master[Category])</f>
        <v>T-Shirt</v>
      </c>
      <c r="G104" s="8" t="str">
        <f>_xlfn.XLOOKUP(D104,Master[Product_Code],Master[Brand])</f>
        <v>Roadster</v>
      </c>
      <c r="H104" s="8" t="str">
        <f>_xlfn.XLOOKUP(D104,Master[Product_Code],Master[Style])</f>
        <v>Half Sleeve</v>
      </c>
      <c r="I104" s="8" t="str">
        <f>_xlfn.XLOOKUP(D104,Master[Product_Code],Master[Fabric])</f>
        <v>Poly Cotton</v>
      </c>
      <c r="J104" s="8" t="str">
        <f>_xlfn.XLOOKUP(D104,Master[Product_Code],Master[Size])</f>
        <v>L</v>
      </c>
      <c r="K104" s="8" t="str">
        <f>_xlfn.XLOOKUP(D104,Master[Product_Code],Master[Color])</f>
        <v>Beige</v>
      </c>
      <c r="L104" s="3">
        <f>_xlfn.XLOOKUP(D104,Master[Product_Code],Master[Selling_Price])</f>
        <v>490</v>
      </c>
    </row>
    <row r="105" spans="2:12">
      <c r="B105" s="2" t="s">
        <v>1806</v>
      </c>
      <c r="C105" s="7">
        <v>45933</v>
      </c>
      <c r="D105" s="2" t="s">
        <v>925</v>
      </c>
      <c r="E105" s="4">
        <v>1</v>
      </c>
      <c r="F105" s="8" t="str">
        <f>_xlfn.XLOOKUP(D105,Master[Product_Code],Master[Category])</f>
        <v>Jeans</v>
      </c>
      <c r="G105" s="8" t="str">
        <f>_xlfn.XLOOKUP(D105,Master[Product_Code],Master[Brand])</f>
        <v>Denim Pro</v>
      </c>
      <c r="H105" s="8" t="str">
        <f>_xlfn.XLOOKUP(D105,Master[Product_Code],Master[Style])</f>
        <v>Baggy</v>
      </c>
      <c r="I105" s="8" t="str">
        <f>_xlfn.XLOOKUP(D105,Master[Product_Code],Master[Fabric])</f>
        <v>Denim</v>
      </c>
      <c r="J105" s="8">
        <f>_xlfn.XLOOKUP(D105,Master[Product_Code],Master[Size])</f>
        <v>30</v>
      </c>
      <c r="K105" s="8" t="str">
        <f>_xlfn.XLOOKUP(D105,Master[Product_Code],Master[Color])</f>
        <v>Sky Blue</v>
      </c>
      <c r="L105" s="3">
        <f>_xlfn.XLOOKUP(D105,Master[Product_Code],Master[Selling_Price])</f>
        <v>840</v>
      </c>
    </row>
    <row r="106" spans="2:12">
      <c r="B106" s="2" t="s">
        <v>1807</v>
      </c>
      <c r="C106" s="7">
        <v>45933</v>
      </c>
      <c r="D106" s="2" t="s">
        <v>467</v>
      </c>
      <c r="E106" s="4">
        <v>1</v>
      </c>
      <c r="F106" s="8" t="str">
        <f>_xlfn.XLOOKUP(D106,Master[Product_Code],Master[Category])</f>
        <v>T-Shirt</v>
      </c>
      <c r="G106" s="8" t="str">
        <f>_xlfn.XLOOKUP(D106,Master[Product_Code],Master[Brand])</f>
        <v>Urban Monkey</v>
      </c>
      <c r="H106" s="8" t="str">
        <f>_xlfn.XLOOKUP(D106,Master[Product_Code],Master[Style])</f>
        <v>Full Sleeve</v>
      </c>
      <c r="I106" s="8" t="str">
        <f>_xlfn.XLOOKUP(D106,Master[Product_Code],Master[Fabric])</f>
        <v>Poly Cotton</v>
      </c>
      <c r="J106" s="8" t="str">
        <f>_xlfn.XLOOKUP(D106,Master[Product_Code],Master[Size])</f>
        <v>L</v>
      </c>
      <c r="K106" s="8" t="str">
        <f>_xlfn.XLOOKUP(D106,Master[Product_Code],Master[Color])</f>
        <v>Olive</v>
      </c>
      <c r="L106" s="3">
        <f>_xlfn.XLOOKUP(D106,Master[Product_Code],Master[Selling_Price])</f>
        <v>290</v>
      </c>
    </row>
    <row r="107" spans="2:12">
      <c r="B107" s="2" t="s">
        <v>1807</v>
      </c>
      <c r="C107" s="7">
        <v>45933</v>
      </c>
      <c r="D107" s="2" t="s">
        <v>1668</v>
      </c>
      <c r="E107" s="4">
        <v>1</v>
      </c>
      <c r="F107" s="8" t="str">
        <f>_xlfn.XLOOKUP(D107,Master[Product_Code],Master[Category])</f>
        <v>Innerwear</v>
      </c>
      <c r="G107" s="8" t="str">
        <f>_xlfn.XLOOKUP(D107,Master[Product_Code],Master[Brand])</f>
        <v>Lux</v>
      </c>
      <c r="H107" s="8" t="str">
        <f>_xlfn.XLOOKUP(D107,Master[Product_Code],Master[Style])</f>
        <v>V-Cut</v>
      </c>
      <c r="I107" s="8" t="str">
        <f>_xlfn.XLOOKUP(D107,Master[Product_Code],Master[Fabric])</f>
        <v>Cotton</v>
      </c>
      <c r="J107" s="8" t="str">
        <f>_xlfn.XLOOKUP(D107,Master[Product_Code],Master[Size])</f>
        <v>80-85</v>
      </c>
      <c r="K107" s="8" t="str">
        <f>_xlfn.XLOOKUP(D107,Master[Product_Code],Master[Color])</f>
        <v>Bottle Green</v>
      </c>
      <c r="L107" s="3">
        <f>_xlfn.XLOOKUP(D107,Master[Product_Code],Master[Selling_Price])</f>
        <v>160</v>
      </c>
    </row>
    <row r="108" spans="2:12">
      <c r="B108" s="2" t="s">
        <v>1807</v>
      </c>
      <c r="C108" s="7">
        <v>45933</v>
      </c>
      <c r="D108" s="2" t="s">
        <v>1132</v>
      </c>
      <c r="E108" s="4">
        <v>1</v>
      </c>
      <c r="F108" s="8" t="str">
        <f>_xlfn.XLOOKUP(D108,Master[Product_Code],Master[Category])</f>
        <v>Jeans</v>
      </c>
      <c r="G108" s="8" t="str">
        <f>_xlfn.XLOOKUP(D108,Master[Product_Code],Master[Brand])</f>
        <v>Denim Pro</v>
      </c>
      <c r="H108" s="8" t="str">
        <f>_xlfn.XLOOKUP(D108,Master[Product_Code],Master[Style])</f>
        <v>Baggy</v>
      </c>
      <c r="I108" s="8" t="str">
        <f>_xlfn.XLOOKUP(D108,Master[Product_Code],Master[Fabric])</f>
        <v>Denim</v>
      </c>
      <c r="J108" s="8">
        <f>_xlfn.XLOOKUP(D108,Master[Product_Code],Master[Size])</f>
        <v>44</v>
      </c>
      <c r="K108" s="8" t="str">
        <f>_xlfn.XLOOKUP(D108,Master[Product_Code],Master[Color])</f>
        <v>Dark Green</v>
      </c>
      <c r="L108" s="3">
        <f>_xlfn.XLOOKUP(D108,Master[Product_Code],Master[Selling_Price])</f>
        <v>1000</v>
      </c>
    </row>
    <row r="109" spans="2:12">
      <c r="B109" s="2" t="s">
        <v>1808</v>
      </c>
      <c r="C109" s="7">
        <v>45933</v>
      </c>
      <c r="D109" s="2" t="s">
        <v>1336</v>
      </c>
      <c r="E109" s="4">
        <v>1</v>
      </c>
      <c r="F109" s="8" t="str">
        <f>_xlfn.XLOOKUP(D109,Master[Product_Code],Master[Category])</f>
        <v>Pants</v>
      </c>
      <c r="G109" s="8" t="str">
        <f>_xlfn.XLOOKUP(D109,Master[Product_Code],Master[Brand])</f>
        <v>Van Heusen</v>
      </c>
      <c r="H109" s="8" t="str">
        <f>_xlfn.XLOOKUP(D109,Master[Product_Code],Master[Style])</f>
        <v>Polofit</v>
      </c>
      <c r="I109" s="8" t="str">
        <f>_xlfn.XLOOKUP(D109,Master[Product_Code],Master[Fabric])</f>
        <v>Lycra</v>
      </c>
      <c r="J109" s="8">
        <f>_xlfn.XLOOKUP(D109,Master[Product_Code],Master[Size])</f>
        <v>44</v>
      </c>
      <c r="K109" s="8" t="str">
        <f>_xlfn.XLOOKUP(D109,Master[Product_Code],Master[Color])</f>
        <v>Royal Blue</v>
      </c>
      <c r="L109" s="3">
        <f>_xlfn.XLOOKUP(D109,Master[Product_Code],Master[Selling_Price])</f>
        <v>810</v>
      </c>
    </row>
    <row r="110" spans="2:12">
      <c r="B110" s="2" t="s">
        <v>1809</v>
      </c>
      <c r="C110" s="7">
        <v>45933</v>
      </c>
      <c r="D110" s="2" t="s">
        <v>655</v>
      </c>
      <c r="E110" s="4">
        <v>1</v>
      </c>
      <c r="F110" s="8" t="str">
        <f>_xlfn.XLOOKUP(D110,Master[Product_Code],Master[Category])</f>
        <v>T-Shirt</v>
      </c>
      <c r="G110" s="8" t="str">
        <f>_xlfn.XLOOKUP(D110,Master[Product_Code],Master[Brand])</f>
        <v>Turkey</v>
      </c>
      <c r="H110" s="8" t="str">
        <f>_xlfn.XLOOKUP(D110,Master[Product_Code],Master[Style])</f>
        <v>Full Sleeve</v>
      </c>
      <c r="I110" s="8" t="str">
        <f>_xlfn.XLOOKUP(D110,Master[Product_Code],Master[Fabric])</f>
        <v>Poly Cotton</v>
      </c>
      <c r="J110" s="8" t="str">
        <f>_xlfn.XLOOKUP(D110,Master[Product_Code],Master[Size])</f>
        <v>M</v>
      </c>
      <c r="K110" s="8" t="str">
        <f>_xlfn.XLOOKUP(D110,Master[Product_Code],Master[Color])</f>
        <v>Peach</v>
      </c>
      <c r="L110" s="3">
        <f>_xlfn.XLOOKUP(D110,Master[Product_Code],Master[Selling_Price])</f>
        <v>410</v>
      </c>
    </row>
    <row r="111" spans="2:12">
      <c r="B111" s="2" t="s">
        <v>1809</v>
      </c>
      <c r="C111" s="7">
        <v>45933</v>
      </c>
      <c r="D111" s="2" t="s">
        <v>1559</v>
      </c>
      <c r="E111" s="4">
        <v>1</v>
      </c>
      <c r="F111" s="8" t="str">
        <f>_xlfn.XLOOKUP(D111,Master[Product_Code],Master[Category])</f>
        <v>Innerwear</v>
      </c>
      <c r="G111" s="8" t="str">
        <f>_xlfn.XLOOKUP(D111,Master[Product_Code],Master[Brand])</f>
        <v>Jockey</v>
      </c>
      <c r="H111" s="8" t="str">
        <f>_xlfn.XLOOKUP(D111,Master[Product_Code],Master[Style])</f>
        <v>V-Cut</v>
      </c>
      <c r="I111" s="8" t="str">
        <f>_xlfn.XLOOKUP(D111,Master[Product_Code],Master[Fabric])</f>
        <v>Cotton Blend</v>
      </c>
      <c r="J111" s="8" t="str">
        <f>_xlfn.XLOOKUP(D111,Master[Product_Code],Master[Size])</f>
        <v>85-90</v>
      </c>
      <c r="K111" s="8" t="str">
        <f>_xlfn.XLOOKUP(D111,Master[Product_Code],Master[Color])</f>
        <v>Maroon</v>
      </c>
      <c r="L111" s="3">
        <f>_xlfn.XLOOKUP(D111,Master[Product_Code],Master[Selling_Price])</f>
        <v>120</v>
      </c>
    </row>
    <row r="112" spans="2:12">
      <c r="B112" s="2" t="s">
        <v>1809</v>
      </c>
      <c r="C112" s="7">
        <v>45933</v>
      </c>
      <c r="D112" s="2" t="s">
        <v>592</v>
      </c>
      <c r="E112" s="4">
        <v>1</v>
      </c>
      <c r="F112" s="8" t="str">
        <f>_xlfn.XLOOKUP(D112,Master[Product_Code],Master[Category])</f>
        <v>T-Shirt</v>
      </c>
      <c r="G112" s="8" t="str">
        <f>_xlfn.XLOOKUP(D112,Master[Product_Code],Master[Brand])</f>
        <v>Turkey</v>
      </c>
      <c r="H112" s="8" t="str">
        <f>_xlfn.XLOOKUP(D112,Master[Product_Code],Master[Style])</f>
        <v>Full Sleeve</v>
      </c>
      <c r="I112" s="8" t="str">
        <f>_xlfn.XLOOKUP(D112,Master[Product_Code],Master[Fabric])</f>
        <v>Poly Cotton</v>
      </c>
      <c r="J112" s="8" t="str">
        <f>_xlfn.XLOOKUP(D112,Master[Product_Code],Master[Size])</f>
        <v>S</v>
      </c>
      <c r="K112" s="8" t="str">
        <f>_xlfn.XLOOKUP(D112,Master[Product_Code],Master[Color])</f>
        <v>Teal</v>
      </c>
      <c r="L112" s="3">
        <f>_xlfn.XLOOKUP(D112,Master[Product_Code],Master[Selling_Price])</f>
        <v>400</v>
      </c>
    </row>
    <row r="113" spans="2:12">
      <c r="B113" s="2" t="s">
        <v>1809</v>
      </c>
      <c r="C113" s="7">
        <v>45933</v>
      </c>
      <c r="D113" s="2" t="s">
        <v>1706</v>
      </c>
      <c r="E113" s="4">
        <v>1</v>
      </c>
      <c r="F113" s="8" t="str">
        <f>_xlfn.XLOOKUP(D113,Master[Product_Code],Master[Category])</f>
        <v>Innerwear</v>
      </c>
      <c r="G113" s="8" t="str">
        <f>_xlfn.XLOOKUP(D113,Master[Product_Code],Master[Brand])</f>
        <v>Dollar</v>
      </c>
      <c r="H113" s="8" t="str">
        <f>_xlfn.XLOOKUP(D113,Master[Product_Code],Master[Style])</f>
        <v>Boxer</v>
      </c>
      <c r="I113" s="8" t="str">
        <f>_xlfn.XLOOKUP(D113,Master[Product_Code],Master[Fabric])</f>
        <v>Cotton</v>
      </c>
      <c r="J113" s="8" t="str">
        <f>_xlfn.XLOOKUP(D113,Master[Product_Code],Master[Size])</f>
        <v>75-80</v>
      </c>
      <c r="K113" s="8" t="str">
        <f>_xlfn.XLOOKUP(D113,Master[Product_Code],Master[Color])</f>
        <v>Light Grey</v>
      </c>
      <c r="L113" s="3">
        <f>_xlfn.XLOOKUP(D113,Master[Product_Code],Master[Selling_Price])</f>
        <v>180</v>
      </c>
    </row>
    <row r="114" spans="2:12">
      <c r="B114" s="2" t="s">
        <v>1810</v>
      </c>
      <c r="C114" s="7">
        <v>45933</v>
      </c>
      <c r="D114" s="2" t="s">
        <v>1038</v>
      </c>
      <c r="E114" s="4">
        <v>1</v>
      </c>
      <c r="F114" s="8" t="str">
        <f>_xlfn.XLOOKUP(D114,Master[Product_Code],Master[Category])</f>
        <v>Jeans</v>
      </c>
      <c r="G114" s="8" t="str">
        <f>_xlfn.XLOOKUP(D114,Master[Product_Code],Master[Brand])</f>
        <v>Denim Pro</v>
      </c>
      <c r="H114" s="8" t="str">
        <f>_xlfn.XLOOKUP(D114,Master[Product_Code],Master[Style])</f>
        <v>Baggy</v>
      </c>
      <c r="I114" s="8" t="str">
        <f>_xlfn.XLOOKUP(D114,Master[Product_Code],Master[Fabric])</f>
        <v>Denim</v>
      </c>
      <c r="J114" s="8">
        <f>_xlfn.XLOOKUP(D114,Master[Product_Code],Master[Size])</f>
        <v>38</v>
      </c>
      <c r="K114" s="8" t="str">
        <f>_xlfn.XLOOKUP(D114,Master[Product_Code],Master[Color])</f>
        <v>Brown</v>
      </c>
      <c r="L114" s="3">
        <f>_xlfn.XLOOKUP(D114,Master[Product_Code],Master[Selling_Price])</f>
        <v>970</v>
      </c>
    </row>
    <row r="115" spans="2:12">
      <c r="B115" s="2" t="s">
        <v>1810</v>
      </c>
      <c r="C115" s="7">
        <v>45933</v>
      </c>
      <c r="D115" s="2" t="s">
        <v>257</v>
      </c>
      <c r="E115" s="4">
        <v>1</v>
      </c>
      <c r="F115" s="8" t="str">
        <f>_xlfn.XLOOKUP(D115,Master[Product_Code],Master[Category])</f>
        <v>Shirt</v>
      </c>
      <c r="G115" s="8" t="str">
        <f>_xlfn.XLOOKUP(D115,Master[Product_Code],Master[Brand])</f>
        <v>H&amp;M</v>
      </c>
      <c r="H115" s="8" t="str">
        <f>_xlfn.XLOOKUP(D115,Master[Product_Code],Master[Style])</f>
        <v>Partywear</v>
      </c>
      <c r="I115" s="8" t="str">
        <f>_xlfn.XLOOKUP(D115,Master[Product_Code],Master[Fabric])</f>
        <v>Cotton Blend</v>
      </c>
      <c r="J115" s="8" t="str">
        <f>_xlfn.XLOOKUP(D115,Master[Product_Code],Master[Size])</f>
        <v>S</v>
      </c>
      <c r="K115" s="8" t="str">
        <f>_xlfn.XLOOKUP(D115,Master[Product_Code],Master[Color])</f>
        <v>Rust</v>
      </c>
      <c r="L115" s="3">
        <f>_xlfn.XLOOKUP(D115,Master[Product_Code],Master[Selling_Price])</f>
        <v>810</v>
      </c>
    </row>
    <row r="116" spans="2:12">
      <c r="B116" s="2" t="s">
        <v>1811</v>
      </c>
      <c r="C116" s="7">
        <v>45934</v>
      </c>
      <c r="D116" s="2" t="s">
        <v>1013</v>
      </c>
      <c r="E116" s="4">
        <v>1</v>
      </c>
      <c r="F116" s="8" t="str">
        <f>_xlfn.XLOOKUP(D116,Master[Product_Code],Master[Category])</f>
        <v>Jeans</v>
      </c>
      <c r="G116" s="8" t="str">
        <f>_xlfn.XLOOKUP(D116,Master[Product_Code],Master[Brand])</f>
        <v>Levis</v>
      </c>
      <c r="H116" s="8" t="str">
        <f>_xlfn.XLOOKUP(D116,Master[Product_Code],Master[Style])</f>
        <v>Baggy</v>
      </c>
      <c r="I116" s="8" t="str">
        <f>_xlfn.XLOOKUP(D116,Master[Product_Code],Master[Fabric])</f>
        <v>Denim</v>
      </c>
      <c r="J116" s="8">
        <f>_xlfn.XLOOKUP(D116,Master[Product_Code],Master[Size])</f>
        <v>34</v>
      </c>
      <c r="K116" s="8" t="str">
        <f>_xlfn.XLOOKUP(D116,Master[Product_Code],Master[Color])</f>
        <v>Royal Blue</v>
      </c>
      <c r="L116" s="3">
        <f>_xlfn.XLOOKUP(D116,Master[Product_Code],Master[Selling_Price])</f>
        <v>960</v>
      </c>
    </row>
    <row r="117" spans="2:12">
      <c r="B117" s="2" t="s">
        <v>1811</v>
      </c>
      <c r="C117" s="7">
        <v>45934</v>
      </c>
      <c r="D117" s="2" t="s">
        <v>152</v>
      </c>
      <c r="E117" s="4">
        <v>1</v>
      </c>
      <c r="F117" s="8" t="str">
        <f>_xlfn.XLOOKUP(D117,Master[Product_Code],Master[Category])</f>
        <v>Shirt</v>
      </c>
      <c r="G117" s="8" t="str">
        <f>_xlfn.XLOOKUP(D117,Master[Product_Code],Master[Brand])</f>
        <v>Luke &amp; Burg</v>
      </c>
      <c r="H117" s="8" t="str">
        <f>_xlfn.XLOOKUP(D117,Master[Product_Code],Master[Style])</f>
        <v>Partywear</v>
      </c>
      <c r="I117" s="8" t="str">
        <f>_xlfn.XLOOKUP(D117,Master[Product_Code],Master[Fabric])</f>
        <v>Cotton Blend</v>
      </c>
      <c r="J117" s="8" t="str">
        <f>_xlfn.XLOOKUP(D117,Master[Product_Code],Master[Size])</f>
        <v>L</v>
      </c>
      <c r="K117" s="8" t="str">
        <f>_xlfn.XLOOKUP(D117,Master[Product_Code],Master[Color])</f>
        <v>Charcoal</v>
      </c>
      <c r="L117" s="3">
        <f>_xlfn.XLOOKUP(D117,Master[Product_Code],Master[Selling_Price])</f>
        <v>800</v>
      </c>
    </row>
    <row r="118" spans="2:12">
      <c r="B118" s="2" t="s">
        <v>1812</v>
      </c>
      <c r="C118" s="7">
        <v>45934</v>
      </c>
      <c r="D118" s="2" t="s">
        <v>1588</v>
      </c>
      <c r="E118" s="4">
        <v>1</v>
      </c>
      <c r="F118" s="8" t="str">
        <f>_xlfn.XLOOKUP(D118,Master[Product_Code],Master[Category])</f>
        <v>Innerwear</v>
      </c>
      <c r="G118" s="8" t="str">
        <f>_xlfn.XLOOKUP(D118,Master[Product_Code],Master[Brand])</f>
        <v>V Star</v>
      </c>
      <c r="H118" s="8" t="str">
        <f>_xlfn.XLOOKUP(D118,Master[Product_Code],Master[Style])</f>
        <v>Boxer</v>
      </c>
      <c r="I118" s="8" t="str">
        <f>_xlfn.XLOOKUP(D118,Master[Product_Code],Master[Fabric])</f>
        <v>Cotton Blend</v>
      </c>
      <c r="J118" s="8" t="str">
        <f>_xlfn.XLOOKUP(D118,Master[Product_Code],Master[Size])</f>
        <v>90-100</v>
      </c>
      <c r="K118" s="8" t="str">
        <f>_xlfn.XLOOKUP(D118,Master[Product_Code],Master[Color])</f>
        <v>Olive</v>
      </c>
      <c r="L118" s="3">
        <f>_xlfn.XLOOKUP(D118,Master[Product_Code],Master[Selling_Price])</f>
        <v>110</v>
      </c>
    </row>
    <row r="119" spans="2:12">
      <c r="B119" s="2" t="s">
        <v>1812</v>
      </c>
      <c r="C119" s="7">
        <v>45934</v>
      </c>
      <c r="D119" s="2" t="s">
        <v>1359</v>
      </c>
      <c r="E119" s="4">
        <v>1</v>
      </c>
      <c r="F119" s="8" t="str">
        <f>_xlfn.XLOOKUP(D119,Master[Product_Code],Master[Category])</f>
        <v>Pants</v>
      </c>
      <c r="G119" s="8" t="str">
        <f>_xlfn.XLOOKUP(D119,Master[Product_Code],Master[Brand])</f>
        <v>Louis Philippe</v>
      </c>
      <c r="H119" s="8" t="str">
        <f>_xlfn.XLOOKUP(D119,Master[Product_Code],Master[Style])</f>
        <v>Korean</v>
      </c>
      <c r="I119" s="8" t="str">
        <f>_xlfn.XLOOKUP(D119,Master[Product_Code],Master[Fabric])</f>
        <v>Lycra</v>
      </c>
      <c r="J119" s="8">
        <f>_xlfn.XLOOKUP(D119,Master[Product_Code],Master[Size])</f>
        <v>42</v>
      </c>
      <c r="K119" s="8" t="str">
        <f>_xlfn.XLOOKUP(D119,Master[Product_Code],Master[Color])</f>
        <v>Royal Blue</v>
      </c>
      <c r="L119" s="3">
        <f>_xlfn.XLOOKUP(D119,Master[Product_Code],Master[Selling_Price])</f>
        <v>900</v>
      </c>
    </row>
    <row r="120" spans="2:12">
      <c r="B120" s="2" t="s">
        <v>1812</v>
      </c>
      <c r="C120" s="7">
        <v>45934</v>
      </c>
      <c r="D120" s="2" t="s">
        <v>1055</v>
      </c>
      <c r="E120" s="4">
        <v>1</v>
      </c>
      <c r="F120" s="8" t="str">
        <f>_xlfn.XLOOKUP(D120,Master[Product_Code],Master[Category])</f>
        <v>Jeans</v>
      </c>
      <c r="G120" s="8" t="str">
        <f>_xlfn.XLOOKUP(D120,Master[Product_Code],Master[Brand])</f>
        <v>Pepe</v>
      </c>
      <c r="H120" s="8" t="str">
        <f>_xlfn.XLOOKUP(D120,Master[Product_Code],Master[Style])</f>
        <v>Mom Fit</v>
      </c>
      <c r="I120" s="8" t="str">
        <f>_xlfn.XLOOKUP(D120,Master[Product_Code],Master[Fabric])</f>
        <v>Denim</v>
      </c>
      <c r="J120" s="8">
        <f>_xlfn.XLOOKUP(D120,Master[Product_Code],Master[Size])</f>
        <v>30</v>
      </c>
      <c r="K120" s="8" t="str">
        <f>_xlfn.XLOOKUP(D120,Master[Product_Code],Master[Color])</f>
        <v>Wine</v>
      </c>
      <c r="L120" s="3">
        <f>_xlfn.XLOOKUP(D120,Master[Product_Code],Master[Selling_Price])</f>
        <v>1070</v>
      </c>
    </row>
    <row r="121" spans="2:12">
      <c r="B121" s="2" t="s">
        <v>1813</v>
      </c>
      <c r="C121" s="7">
        <v>45934</v>
      </c>
      <c r="D121" s="2" t="s">
        <v>347</v>
      </c>
      <c r="E121" s="4">
        <v>1</v>
      </c>
      <c r="F121" s="8" t="str">
        <f>_xlfn.XLOOKUP(D121,Master[Product_Code],Master[Category])</f>
        <v>Shirt</v>
      </c>
      <c r="G121" s="8" t="str">
        <f>_xlfn.XLOOKUP(D121,Master[Product_Code],Master[Brand])</f>
        <v>Zara</v>
      </c>
      <c r="H121" s="8" t="str">
        <f>_xlfn.XLOOKUP(D121,Master[Product_Code],Master[Style])</f>
        <v>Formal</v>
      </c>
      <c r="I121" s="8" t="str">
        <f>_xlfn.XLOOKUP(D121,Master[Product_Code],Master[Fabric])</f>
        <v>Cotton</v>
      </c>
      <c r="J121" s="8" t="str">
        <f>_xlfn.XLOOKUP(D121,Master[Product_Code],Master[Size])</f>
        <v>M</v>
      </c>
      <c r="K121" s="8" t="str">
        <f>_xlfn.XLOOKUP(D121,Master[Product_Code],Master[Color])</f>
        <v>Mustard</v>
      </c>
      <c r="L121" s="3">
        <f>_xlfn.XLOOKUP(D121,Master[Product_Code],Master[Selling_Price])</f>
        <v>810</v>
      </c>
    </row>
    <row r="122" spans="2:12">
      <c r="B122" s="2" t="s">
        <v>1814</v>
      </c>
      <c r="C122" s="7">
        <v>45934</v>
      </c>
      <c r="D122" s="2" t="s">
        <v>1324</v>
      </c>
      <c r="E122" s="4">
        <v>1</v>
      </c>
      <c r="F122" s="8" t="str">
        <f>_xlfn.XLOOKUP(D122,Master[Product_Code],Master[Category])</f>
        <v>Pants</v>
      </c>
      <c r="G122" s="8" t="str">
        <f>_xlfn.XLOOKUP(D122,Master[Product_Code],Master[Brand])</f>
        <v>Park Avenue</v>
      </c>
      <c r="H122" s="8" t="str">
        <f>_xlfn.XLOOKUP(D122,Master[Product_Code],Master[Style])</f>
        <v>Jogger</v>
      </c>
      <c r="I122" s="8" t="str">
        <f>_xlfn.XLOOKUP(D122,Master[Product_Code],Master[Fabric])</f>
        <v>Cotton Blend</v>
      </c>
      <c r="J122" s="8">
        <f>_xlfn.XLOOKUP(D122,Master[Product_Code],Master[Size])</f>
        <v>30</v>
      </c>
      <c r="K122" s="8" t="str">
        <f>_xlfn.XLOOKUP(D122,Master[Product_Code],Master[Color])</f>
        <v>White</v>
      </c>
      <c r="L122" s="3">
        <f>_xlfn.XLOOKUP(D122,Master[Product_Code],Master[Selling_Price])</f>
        <v>750</v>
      </c>
    </row>
    <row r="123" spans="2:12">
      <c r="B123" s="2" t="s">
        <v>1814</v>
      </c>
      <c r="C123" s="7">
        <v>45934</v>
      </c>
      <c r="D123" s="2" t="s">
        <v>894</v>
      </c>
      <c r="E123" s="4">
        <v>1</v>
      </c>
      <c r="F123" s="8" t="str">
        <f>_xlfn.XLOOKUP(D123,Master[Product_Code],Master[Category])</f>
        <v>Jeans</v>
      </c>
      <c r="G123" s="8" t="str">
        <f>_xlfn.XLOOKUP(D123,Master[Product_Code],Master[Brand])</f>
        <v>Levis</v>
      </c>
      <c r="H123" s="8" t="str">
        <f>_xlfn.XLOOKUP(D123,Master[Product_Code],Master[Style])</f>
        <v>Jogger</v>
      </c>
      <c r="I123" s="8" t="str">
        <f>_xlfn.XLOOKUP(D123,Master[Product_Code],Master[Fabric])</f>
        <v>Denim</v>
      </c>
      <c r="J123" s="8">
        <f>_xlfn.XLOOKUP(D123,Master[Product_Code],Master[Size])</f>
        <v>28</v>
      </c>
      <c r="K123" s="8" t="str">
        <f>_xlfn.XLOOKUP(D123,Master[Product_Code],Master[Color])</f>
        <v>Teal</v>
      </c>
      <c r="L123" s="3">
        <f>_xlfn.XLOOKUP(D123,Master[Product_Code],Master[Selling_Price])</f>
        <v>1000</v>
      </c>
    </row>
    <row r="124" spans="2:12">
      <c r="B124" s="2" t="s">
        <v>1815</v>
      </c>
      <c r="C124" s="7">
        <v>45934</v>
      </c>
      <c r="D124" s="2" t="s">
        <v>651</v>
      </c>
      <c r="E124" s="4">
        <v>1</v>
      </c>
      <c r="F124" s="8" t="str">
        <f>_xlfn.XLOOKUP(D124,Master[Product_Code],Master[Category])</f>
        <v>T-Shirt</v>
      </c>
      <c r="G124" s="8" t="str">
        <f>_xlfn.XLOOKUP(D124,Master[Product_Code],Master[Brand])</f>
        <v>Turkey</v>
      </c>
      <c r="H124" s="8" t="str">
        <f>_xlfn.XLOOKUP(D124,Master[Product_Code],Master[Style])</f>
        <v>Hoodie</v>
      </c>
      <c r="I124" s="8" t="str">
        <f>_xlfn.XLOOKUP(D124,Master[Product_Code],Master[Fabric])</f>
        <v>Cotton</v>
      </c>
      <c r="J124" s="8" t="str">
        <f>_xlfn.XLOOKUP(D124,Master[Product_Code],Master[Size])</f>
        <v>XL</v>
      </c>
      <c r="K124" s="8" t="str">
        <f>_xlfn.XLOOKUP(D124,Master[Product_Code],Master[Color])</f>
        <v>Wine</v>
      </c>
      <c r="L124" s="3">
        <f>_xlfn.XLOOKUP(D124,Master[Product_Code],Master[Selling_Price])</f>
        <v>550</v>
      </c>
    </row>
    <row r="125" spans="2:12">
      <c r="B125" s="2" t="s">
        <v>1816</v>
      </c>
      <c r="C125" s="7">
        <v>45934</v>
      </c>
      <c r="D125" s="2" t="s">
        <v>1474</v>
      </c>
      <c r="E125" s="4">
        <v>1</v>
      </c>
      <c r="F125" s="8" t="str">
        <f>_xlfn.XLOOKUP(D125,Master[Product_Code],Master[Category])</f>
        <v>Innerwear</v>
      </c>
      <c r="G125" s="8" t="str">
        <f>_xlfn.XLOOKUP(D125,Master[Product_Code],Master[Brand])</f>
        <v>Dollar</v>
      </c>
      <c r="H125" s="8" t="str">
        <f>_xlfn.XLOOKUP(D125,Master[Product_Code],Master[Style])</f>
        <v>Boxer</v>
      </c>
      <c r="I125" s="8" t="str">
        <f>_xlfn.XLOOKUP(D125,Master[Product_Code],Master[Fabric])</f>
        <v>Cotton Blend</v>
      </c>
      <c r="J125" s="8" t="str">
        <f>_xlfn.XLOOKUP(D125,Master[Product_Code],Master[Size])</f>
        <v>80-85</v>
      </c>
      <c r="K125" s="8" t="str">
        <f>_xlfn.XLOOKUP(D125,Master[Product_Code],Master[Color])</f>
        <v>Sky Blue</v>
      </c>
      <c r="L125" s="3">
        <f>_xlfn.XLOOKUP(D125,Master[Product_Code],Master[Selling_Price])</f>
        <v>130</v>
      </c>
    </row>
    <row r="126" spans="2:12">
      <c r="B126" s="2" t="s">
        <v>1816</v>
      </c>
      <c r="C126" s="7">
        <v>45934</v>
      </c>
      <c r="D126" s="2" t="s">
        <v>1630</v>
      </c>
      <c r="E126" s="4">
        <v>1</v>
      </c>
      <c r="F126" s="8" t="str">
        <f>_xlfn.XLOOKUP(D126,Master[Product_Code],Master[Category])</f>
        <v>Innerwear</v>
      </c>
      <c r="G126" s="8" t="str">
        <f>_xlfn.XLOOKUP(D126,Master[Product_Code],Master[Brand])</f>
        <v>Dollar</v>
      </c>
      <c r="H126" s="8" t="str">
        <f>_xlfn.XLOOKUP(D126,Master[Product_Code],Master[Style])</f>
        <v>V-Cut</v>
      </c>
      <c r="I126" s="8" t="str">
        <f>_xlfn.XLOOKUP(D126,Master[Product_Code],Master[Fabric])</f>
        <v>Cotton Blend</v>
      </c>
      <c r="J126" s="8" t="str">
        <f>_xlfn.XLOOKUP(D126,Master[Product_Code],Master[Size])</f>
        <v>85-90</v>
      </c>
      <c r="K126" s="8" t="str">
        <f>_xlfn.XLOOKUP(D126,Master[Product_Code],Master[Color])</f>
        <v>Beige</v>
      </c>
      <c r="L126" s="3">
        <f>_xlfn.XLOOKUP(D126,Master[Product_Code],Master[Selling_Price])</f>
        <v>110</v>
      </c>
    </row>
    <row r="127" spans="2:12">
      <c r="B127" s="2" t="s">
        <v>1816</v>
      </c>
      <c r="C127" s="7">
        <v>45934</v>
      </c>
      <c r="D127" s="2" t="s">
        <v>1556</v>
      </c>
      <c r="E127" s="4">
        <v>1</v>
      </c>
      <c r="F127" s="8" t="str">
        <f>_xlfn.XLOOKUP(D127,Master[Product_Code],Master[Category])</f>
        <v>Innerwear</v>
      </c>
      <c r="G127" s="8" t="str">
        <f>_xlfn.XLOOKUP(D127,Master[Product_Code],Master[Brand])</f>
        <v>Dollar</v>
      </c>
      <c r="H127" s="8" t="str">
        <f>_xlfn.XLOOKUP(D127,Master[Product_Code],Master[Style])</f>
        <v>V-Cut</v>
      </c>
      <c r="I127" s="8" t="str">
        <f>_xlfn.XLOOKUP(D127,Master[Product_Code],Master[Fabric])</f>
        <v>Cotton</v>
      </c>
      <c r="J127" s="8" t="str">
        <f>_xlfn.XLOOKUP(D127,Master[Product_Code],Master[Size])</f>
        <v>100-105</v>
      </c>
      <c r="K127" s="8" t="str">
        <f>_xlfn.XLOOKUP(D127,Master[Product_Code],Master[Color])</f>
        <v>Teal</v>
      </c>
      <c r="L127" s="3">
        <f>_xlfn.XLOOKUP(D127,Master[Product_Code],Master[Selling_Price])</f>
        <v>110</v>
      </c>
    </row>
    <row r="128" spans="2:12">
      <c r="B128" s="2" t="s">
        <v>1816</v>
      </c>
      <c r="C128" s="7">
        <v>45934</v>
      </c>
      <c r="D128" s="2" t="s">
        <v>177</v>
      </c>
      <c r="E128" s="4">
        <v>1</v>
      </c>
      <c r="F128" s="8" t="str">
        <f>_xlfn.XLOOKUP(D128,Master[Product_Code],Master[Category])</f>
        <v>Shirt</v>
      </c>
      <c r="G128" s="8" t="str">
        <f>_xlfn.XLOOKUP(D128,Master[Product_Code],Master[Brand])</f>
        <v>L7</v>
      </c>
      <c r="H128" s="8" t="str">
        <f>_xlfn.XLOOKUP(D128,Master[Product_Code],Master[Style])</f>
        <v>Partywear</v>
      </c>
      <c r="I128" s="8" t="str">
        <f>_xlfn.XLOOKUP(D128,Master[Product_Code],Master[Fabric])</f>
        <v>Cotton</v>
      </c>
      <c r="J128" s="8" t="str">
        <f>_xlfn.XLOOKUP(D128,Master[Product_Code],Master[Size])</f>
        <v>XL</v>
      </c>
      <c r="K128" s="8" t="str">
        <f>_xlfn.XLOOKUP(D128,Master[Product_Code],Master[Color])</f>
        <v>Mustard</v>
      </c>
      <c r="L128" s="3">
        <f>_xlfn.XLOOKUP(D128,Master[Product_Code],Master[Selling_Price])</f>
        <v>790</v>
      </c>
    </row>
    <row r="129" spans="2:12">
      <c r="B129" s="2" t="s">
        <v>1817</v>
      </c>
      <c r="C129" s="7">
        <v>45934</v>
      </c>
      <c r="D129" s="2" t="s">
        <v>705</v>
      </c>
      <c r="E129" s="4">
        <v>1</v>
      </c>
      <c r="F129" s="8" t="str">
        <f>_xlfn.XLOOKUP(D129,Master[Product_Code],Master[Category])</f>
        <v>T-Shirt</v>
      </c>
      <c r="G129" s="8" t="str">
        <f>_xlfn.XLOOKUP(D129,Master[Product_Code],Master[Brand])</f>
        <v>Max</v>
      </c>
      <c r="H129" s="8" t="str">
        <f>_xlfn.XLOOKUP(D129,Master[Product_Code],Master[Style])</f>
        <v>Hoodie</v>
      </c>
      <c r="I129" s="8" t="str">
        <f>_xlfn.XLOOKUP(D129,Master[Product_Code],Master[Fabric])</f>
        <v>Poly Cotton</v>
      </c>
      <c r="J129" s="8" t="str">
        <f>_xlfn.XLOOKUP(D129,Master[Product_Code],Master[Size])</f>
        <v>L</v>
      </c>
      <c r="K129" s="8" t="str">
        <f>_xlfn.XLOOKUP(D129,Master[Product_Code],Master[Color])</f>
        <v>Wine</v>
      </c>
      <c r="L129" s="3">
        <f>_xlfn.XLOOKUP(D129,Master[Product_Code],Master[Selling_Price])</f>
        <v>280</v>
      </c>
    </row>
    <row r="130" spans="2:12">
      <c r="B130" s="2" t="s">
        <v>1817</v>
      </c>
      <c r="C130" s="7">
        <v>45934</v>
      </c>
      <c r="D130" s="2" t="s">
        <v>292</v>
      </c>
      <c r="E130" s="4">
        <v>1</v>
      </c>
      <c r="F130" s="8" t="str">
        <f>_xlfn.XLOOKUP(D130,Master[Product_Code],Master[Category])</f>
        <v>Shirt</v>
      </c>
      <c r="G130" s="8" t="str">
        <f>_xlfn.XLOOKUP(D130,Master[Product_Code],Master[Brand])</f>
        <v>USD</v>
      </c>
      <c r="H130" s="8" t="str">
        <f>_xlfn.XLOOKUP(D130,Master[Product_Code],Master[Style])</f>
        <v>Partywear</v>
      </c>
      <c r="I130" s="8" t="str">
        <f>_xlfn.XLOOKUP(D130,Master[Product_Code],Master[Fabric])</f>
        <v>Polyester</v>
      </c>
      <c r="J130" s="8" t="str">
        <f>_xlfn.XLOOKUP(D130,Master[Product_Code],Master[Size])</f>
        <v>XL</v>
      </c>
      <c r="K130" s="8" t="str">
        <f>_xlfn.XLOOKUP(D130,Master[Product_Code],Master[Color])</f>
        <v>Royal Blue</v>
      </c>
      <c r="L130" s="3">
        <f>_xlfn.XLOOKUP(D130,Master[Product_Code],Master[Selling_Price])</f>
        <v>880</v>
      </c>
    </row>
    <row r="131" spans="2:12">
      <c r="B131" s="2" t="s">
        <v>1817</v>
      </c>
      <c r="C131" s="7">
        <v>45934</v>
      </c>
      <c r="D131" s="2" t="s">
        <v>497</v>
      </c>
      <c r="E131" s="4">
        <v>1</v>
      </c>
      <c r="F131" s="8" t="str">
        <f>_xlfn.XLOOKUP(D131,Master[Product_Code],Master[Category])</f>
        <v>T-Shirt</v>
      </c>
      <c r="G131" s="8" t="str">
        <f>_xlfn.XLOOKUP(D131,Master[Product_Code],Master[Brand])</f>
        <v>Roadster</v>
      </c>
      <c r="H131" s="8" t="str">
        <f>_xlfn.XLOOKUP(D131,Master[Product_Code],Master[Style])</f>
        <v>3/4 Sleeve</v>
      </c>
      <c r="I131" s="8" t="str">
        <f>_xlfn.XLOOKUP(D131,Master[Product_Code],Master[Fabric])</f>
        <v>Poly Cotton</v>
      </c>
      <c r="J131" s="8" t="str">
        <f>_xlfn.XLOOKUP(D131,Master[Product_Code],Master[Size])</f>
        <v>XXL</v>
      </c>
      <c r="K131" s="8" t="str">
        <f>_xlfn.XLOOKUP(D131,Master[Product_Code],Master[Color])</f>
        <v>Bottle Green</v>
      </c>
      <c r="L131" s="3">
        <f>_xlfn.XLOOKUP(D131,Master[Product_Code],Master[Selling_Price])</f>
        <v>740</v>
      </c>
    </row>
    <row r="132" spans="2:12">
      <c r="B132" s="2" t="s">
        <v>1818</v>
      </c>
      <c r="C132" s="7">
        <v>45934</v>
      </c>
      <c r="D132" s="2" t="s">
        <v>373</v>
      </c>
      <c r="E132" s="4">
        <v>1</v>
      </c>
      <c r="F132" s="8" t="str">
        <f>_xlfn.XLOOKUP(D132,Master[Product_Code],Master[Category])</f>
        <v>Shirt</v>
      </c>
      <c r="G132" s="8" t="str">
        <f>_xlfn.XLOOKUP(D132,Master[Product_Code],Master[Brand])</f>
        <v>British</v>
      </c>
      <c r="H132" s="8" t="str">
        <f>_xlfn.XLOOKUP(D132,Master[Product_Code],Master[Style])</f>
        <v>Casual</v>
      </c>
      <c r="I132" s="8" t="str">
        <f>_xlfn.XLOOKUP(D132,Master[Product_Code],Master[Fabric])</f>
        <v>Lycra</v>
      </c>
      <c r="J132" s="8" t="str">
        <f>_xlfn.XLOOKUP(D132,Master[Product_Code],Master[Size])</f>
        <v>M</v>
      </c>
      <c r="K132" s="8" t="str">
        <f>_xlfn.XLOOKUP(D132,Master[Product_Code],Master[Color])</f>
        <v>Royal Blue</v>
      </c>
      <c r="L132" s="3">
        <f>_xlfn.XLOOKUP(D132,Master[Product_Code],Master[Selling_Price])</f>
        <v>890</v>
      </c>
    </row>
    <row r="133" spans="2:12">
      <c r="B133" s="2" t="s">
        <v>1818</v>
      </c>
      <c r="C133" s="7">
        <v>45934</v>
      </c>
      <c r="D133" s="2" t="s">
        <v>190</v>
      </c>
      <c r="E133" s="4">
        <v>1</v>
      </c>
      <c r="F133" s="8" t="str">
        <f>_xlfn.XLOOKUP(D133,Master[Product_Code],Master[Category])</f>
        <v>Shirt</v>
      </c>
      <c r="G133" s="8" t="str">
        <f>_xlfn.XLOOKUP(D133,Master[Product_Code],Master[Brand])</f>
        <v>G Studio</v>
      </c>
      <c r="H133" s="8" t="str">
        <f>_xlfn.XLOOKUP(D133,Master[Product_Code],Master[Style])</f>
        <v>Partywear</v>
      </c>
      <c r="I133" s="8" t="str">
        <f>_xlfn.XLOOKUP(D133,Master[Product_Code],Master[Fabric])</f>
        <v>Lycra</v>
      </c>
      <c r="J133" s="8" t="str">
        <f>_xlfn.XLOOKUP(D133,Master[Product_Code],Master[Size])</f>
        <v>S</v>
      </c>
      <c r="K133" s="8" t="str">
        <f>_xlfn.XLOOKUP(D133,Master[Product_Code],Master[Color])</f>
        <v>Beige</v>
      </c>
      <c r="L133" s="3">
        <f>_xlfn.XLOOKUP(D133,Master[Product_Code],Master[Selling_Price])</f>
        <v>770</v>
      </c>
    </row>
    <row r="134" spans="2:12">
      <c r="B134" s="2" t="s">
        <v>1819</v>
      </c>
      <c r="C134" s="7">
        <v>45934</v>
      </c>
      <c r="D134" s="2" t="s">
        <v>1526</v>
      </c>
      <c r="E134" s="4">
        <v>1</v>
      </c>
      <c r="F134" s="8" t="str">
        <f>_xlfn.XLOOKUP(D134,Master[Product_Code],Master[Category])</f>
        <v>Innerwear</v>
      </c>
      <c r="G134" s="8" t="str">
        <f>_xlfn.XLOOKUP(D134,Master[Product_Code],Master[Brand])</f>
        <v>Lux</v>
      </c>
      <c r="H134" s="8" t="str">
        <f>_xlfn.XLOOKUP(D134,Master[Product_Code],Master[Style])</f>
        <v>Boxer</v>
      </c>
      <c r="I134" s="8" t="str">
        <f>_xlfn.XLOOKUP(D134,Master[Product_Code],Master[Fabric])</f>
        <v>Cotton</v>
      </c>
      <c r="J134" s="8" t="str">
        <f>_xlfn.XLOOKUP(D134,Master[Product_Code],Master[Size])</f>
        <v>105-110</v>
      </c>
      <c r="K134" s="8" t="str">
        <f>_xlfn.XLOOKUP(D134,Master[Product_Code],Master[Color])</f>
        <v>Maroon</v>
      </c>
      <c r="L134" s="3">
        <f>_xlfn.XLOOKUP(D134,Master[Product_Code],Master[Selling_Price])</f>
        <v>180</v>
      </c>
    </row>
    <row r="135" spans="2:12">
      <c r="B135" s="2" t="s">
        <v>1819</v>
      </c>
      <c r="C135" s="7">
        <v>45934</v>
      </c>
      <c r="D135" s="2" t="s">
        <v>1502</v>
      </c>
      <c r="E135" s="4">
        <v>1</v>
      </c>
      <c r="F135" s="8" t="str">
        <f>_xlfn.XLOOKUP(D135,Master[Product_Code],Master[Category])</f>
        <v>Innerwear</v>
      </c>
      <c r="G135" s="8" t="str">
        <f>_xlfn.XLOOKUP(D135,Master[Product_Code],Master[Brand])</f>
        <v>Dollar</v>
      </c>
      <c r="H135" s="8" t="str">
        <f>_xlfn.XLOOKUP(D135,Master[Product_Code],Master[Style])</f>
        <v>Boxer</v>
      </c>
      <c r="I135" s="8" t="str">
        <f>_xlfn.XLOOKUP(D135,Master[Product_Code],Master[Fabric])</f>
        <v>Cotton</v>
      </c>
      <c r="J135" s="8" t="str">
        <f>_xlfn.XLOOKUP(D135,Master[Product_Code],Master[Size])</f>
        <v>105-110</v>
      </c>
      <c r="K135" s="8" t="str">
        <f>_xlfn.XLOOKUP(D135,Master[Product_Code],Master[Color])</f>
        <v>Dark Green</v>
      </c>
      <c r="L135" s="3">
        <f>_xlfn.XLOOKUP(D135,Master[Product_Code],Master[Selling_Price])</f>
        <v>170</v>
      </c>
    </row>
    <row r="136" spans="2:12">
      <c r="B136" s="2" t="s">
        <v>1819</v>
      </c>
      <c r="C136" s="7">
        <v>45934</v>
      </c>
      <c r="D136" s="2" t="s">
        <v>1305</v>
      </c>
      <c r="E136" s="4">
        <v>1</v>
      </c>
      <c r="F136" s="8" t="str">
        <f>_xlfn.XLOOKUP(D136,Master[Product_Code],Master[Category])</f>
        <v>Pants</v>
      </c>
      <c r="G136" s="8" t="str">
        <f>_xlfn.XLOOKUP(D136,Master[Product_Code],Master[Brand])</f>
        <v>Peter England</v>
      </c>
      <c r="H136" s="8" t="str">
        <f>_xlfn.XLOOKUP(D136,Master[Product_Code],Master[Style])</f>
        <v>Kurka</v>
      </c>
      <c r="I136" s="8" t="str">
        <f>_xlfn.XLOOKUP(D136,Master[Product_Code],Master[Fabric])</f>
        <v>Lycra</v>
      </c>
      <c r="J136" s="8">
        <f>_xlfn.XLOOKUP(D136,Master[Product_Code],Master[Size])</f>
        <v>34</v>
      </c>
      <c r="K136" s="8" t="str">
        <f>_xlfn.XLOOKUP(D136,Master[Product_Code],Master[Color])</f>
        <v>Sky Blue</v>
      </c>
      <c r="L136" s="3">
        <f>_xlfn.XLOOKUP(D136,Master[Product_Code],Master[Selling_Price])</f>
        <v>730</v>
      </c>
    </row>
    <row r="137" spans="2:12">
      <c r="B137" s="2" t="s">
        <v>1819</v>
      </c>
      <c r="C137" s="7">
        <v>45934</v>
      </c>
      <c r="D137" s="2" t="s">
        <v>63</v>
      </c>
      <c r="E137" s="4">
        <v>1</v>
      </c>
      <c r="F137" s="8" t="str">
        <f>_xlfn.XLOOKUP(D137,Master[Product_Code],Master[Category])</f>
        <v>Shirt</v>
      </c>
      <c r="G137" s="8" t="str">
        <f>_xlfn.XLOOKUP(D137,Master[Product_Code],Master[Brand])</f>
        <v>British</v>
      </c>
      <c r="H137" s="8" t="str">
        <f>_xlfn.XLOOKUP(D137,Master[Product_Code],Master[Style])</f>
        <v>Formal</v>
      </c>
      <c r="I137" s="8" t="str">
        <f>_xlfn.XLOOKUP(D137,Master[Product_Code],Master[Fabric])</f>
        <v>Cotton Blend</v>
      </c>
      <c r="J137" s="8" t="str">
        <f>_xlfn.XLOOKUP(D137,Master[Product_Code],Master[Size])</f>
        <v>XL</v>
      </c>
      <c r="K137" s="8" t="str">
        <f>_xlfn.XLOOKUP(D137,Master[Product_Code],Master[Color])</f>
        <v>Olive</v>
      </c>
      <c r="L137" s="3">
        <f>_xlfn.XLOOKUP(D137,Master[Product_Code],Master[Selling_Price])</f>
        <v>900</v>
      </c>
    </row>
    <row r="138" spans="2:12">
      <c r="B138" s="2" t="s">
        <v>1820</v>
      </c>
      <c r="C138" s="7">
        <v>45934</v>
      </c>
      <c r="D138" s="2" t="s">
        <v>1737</v>
      </c>
      <c r="E138" s="4">
        <v>1</v>
      </c>
      <c r="F138" s="8" t="str">
        <f>_xlfn.XLOOKUP(D138,Master[Product_Code],Master[Category])</f>
        <v>Innerwear</v>
      </c>
      <c r="G138" s="8" t="str">
        <f>_xlfn.XLOOKUP(D138,Master[Product_Code],Master[Brand])</f>
        <v>Dollar</v>
      </c>
      <c r="H138" s="8" t="str">
        <f>_xlfn.XLOOKUP(D138,Master[Product_Code],Master[Style])</f>
        <v>Boxer</v>
      </c>
      <c r="I138" s="8" t="str">
        <f>_xlfn.XLOOKUP(D138,Master[Product_Code],Master[Fabric])</f>
        <v>Cotton</v>
      </c>
      <c r="J138" s="8" t="str">
        <f>_xlfn.XLOOKUP(D138,Master[Product_Code],Master[Size])</f>
        <v>75-80</v>
      </c>
      <c r="K138" s="8" t="str">
        <f>_xlfn.XLOOKUP(D138,Master[Product_Code],Master[Color])</f>
        <v>Bottle Green</v>
      </c>
      <c r="L138" s="3">
        <f>_xlfn.XLOOKUP(D138,Master[Product_Code],Master[Selling_Price])</f>
        <v>140</v>
      </c>
    </row>
    <row r="139" spans="2:12">
      <c r="B139" s="2" t="s">
        <v>1821</v>
      </c>
      <c r="C139" s="7">
        <v>45934</v>
      </c>
      <c r="D139" s="2" t="s">
        <v>1180</v>
      </c>
      <c r="E139" s="4">
        <v>1</v>
      </c>
      <c r="F139" s="8" t="str">
        <f>_xlfn.XLOOKUP(D139,Master[Product_Code],Master[Category])</f>
        <v>Pants</v>
      </c>
      <c r="G139" s="8" t="str">
        <f>_xlfn.XLOOKUP(D139,Master[Product_Code],Master[Brand])</f>
        <v>Louis Philippe</v>
      </c>
      <c r="H139" s="8" t="str">
        <f>_xlfn.XLOOKUP(D139,Master[Product_Code],Master[Style])</f>
        <v>Polofit</v>
      </c>
      <c r="I139" s="8" t="str">
        <f>_xlfn.XLOOKUP(D139,Master[Product_Code],Master[Fabric])</f>
        <v>Lycra</v>
      </c>
      <c r="J139" s="8">
        <f>_xlfn.XLOOKUP(D139,Master[Product_Code],Master[Size])</f>
        <v>32</v>
      </c>
      <c r="K139" s="8" t="str">
        <f>_xlfn.XLOOKUP(D139,Master[Product_Code],Master[Color])</f>
        <v>Black</v>
      </c>
      <c r="L139" s="3">
        <f>_xlfn.XLOOKUP(D139,Master[Product_Code],Master[Selling_Price])</f>
        <v>850</v>
      </c>
    </row>
    <row r="140" spans="2:12">
      <c r="B140" s="2" t="s">
        <v>1822</v>
      </c>
      <c r="C140" s="7">
        <v>45934</v>
      </c>
      <c r="D140" s="2" t="s">
        <v>908</v>
      </c>
      <c r="E140" s="4">
        <v>1</v>
      </c>
      <c r="F140" s="8" t="str">
        <f>_xlfn.XLOOKUP(D140,Master[Product_Code],Master[Category])</f>
        <v>Jeans</v>
      </c>
      <c r="G140" s="8" t="str">
        <f>_xlfn.XLOOKUP(D140,Master[Product_Code],Master[Brand])</f>
        <v>Wrangler</v>
      </c>
      <c r="H140" s="8" t="str">
        <f>_xlfn.XLOOKUP(D140,Master[Product_Code],Master[Style])</f>
        <v>Mom Fit</v>
      </c>
      <c r="I140" s="8" t="str">
        <f>_xlfn.XLOOKUP(D140,Master[Product_Code],Master[Fabric])</f>
        <v>Denim</v>
      </c>
      <c r="J140" s="8">
        <f>_xlfn.XLOOKUP(D140,Master[Product_Code],Master[Size])</f>
        <v>44</v>
      </c>
      <c r="K140" s="8" t="str">
        <f>_xlfn.XLOOKUP(D140,Master[Product_Code],Master[Color])</f>
        <v>Wine</v>
      </c>
      <c r="L140" s="3">
        <f>_xlfn.XLOOKUP(D140,Master[Product_Code],Master[Selling_Price])</f>
        <v>1080</v>
      </c>
    </row>
    <row r="141" spans="2:12">
      <c r="B141" s="2" t="s">
        <v>1822</v>
      </c>
      <c r="C141" s="7">
        <v>45934</v>
      </c>
      <c r="D141" s="2" t="s">
        <v>1502</v>
      </c>
      <c r="E141" s="4">
        <v>1</v>
      </c>
      <c r="F141" s="8" t="str">
        <f>_xlfn.XLOOKUP(D141,Master[Product_Code],Master[Category])</f>
        <v>Innerwear</v>
      </c>
      <c r="G141" s="8" t="str">
        <f>_xlfn.XLOOKUP(D141,Master[Product_Code],Master[Brand])</f>
        <v>Dollar</v>
      </c>
      <c r="H141" s="8" t="str">
        <f>_xlfn.XLOOKUP(D141,Master[Product_Code],Master[Style])</f>
        <v>Boxer</v>
      </c>
      <c r="I141" s="8" t="str">
        <f>_xlfn.XLOOKUP(D141,Master[Product_Code],Master[Fabric])</f>
        <v>Cotton</v>
      </c>
      <c r="J141" s="8" t="str">
        <f>_xlfn.XLOOKUP(D141,Master[Product_Code],Master[Size])</f>
        <v>105-110</v>
      </c>
      <c r="K141" s="8" t="str">
        <f>_xlfn.XLOOKUP(D141,Master[Product_Code],Master[Color])</f>
        <v>Dark Green</v>
      </c>
      <c r="L141" s="3">
        <f>_xlfn.XLOOKUP(D141,Master[Product_Code],Master[Selling_Price])</f>
        <v>170</v>
      </c>
    </row>
    <row r="142" spans="2:12">
      <c r="B142" s="2" t="s">
        <v>1823</v>
      </c>
      <c r="C142" s="7">
        <v>45934</v>
      </c>
      <c r="D142" s="2" t="s">
        <v>1256</v>
      </c>
      <c r="E142" s="4">
        <v>1</v>
      </c>
      <c r="F142" s="8" t="str">
        <f>_xlfn.XLOOKUP(D142,Master[Product_Code],Master[Category])</f>
        <v>Pants</v>
      </c>
      <c r="G142" s="8" t="str">
        <f>_xlfn.XLOOKUP(D142,Master[Product_Code],Master[Brand])</f>
        <v>Louis Philippe</v>
      </c>
      <c r="H142" s="8" t="str">
        <f>_xlfn.XLOOKUP(D142,Master[Product_Code],Master[Style])</f>
        <v>Boot Cut</v>
      </c>
      <c r="I142" s="8" t="str">
        <f>_xlfn.XLOOKUP(D142,Master[Product_Code],Master[Fabric])</f>
        <v>Cotton Blend</v>
      </c>
      <c r="J142" s="8">
        <f>_xlfn.XLOOKUP(D142,Master[Product_Code],Master[Size])</f>
        <v>32</v>
      </c>
      <c r="K142" s="8" t="str">
        <f>_xlfn.XLOOKUP(D142,Master[Product_Code],Master[Color])</f>
        <v>Beige</v>
      </c>
      <c r="L142" s="3">
        <f>_xlfn.XLOOKUP(D142,Master[Product_Code],Master[Selling_Price])</f>
        <v>810</v>
      </c>
    </row>
    <row r="143" spans="2:12">
      <c r="B143" s="2" t="s">
        <v>1823</v>
      </c>
      <c r="C143" s="7">
        <v>45934</v>
      </c>
      <c r="D143" s="2" t="s">
        <v>450</v>
      </c>
      <c r="E143" s="4">
        <v>1</v>
      </c>
      <c r="F143" s="8" t="str">
        <f>_xlfn.XLOOKUP(D143,Master[Product_Code],Master[Category])</f>
        <v>T-Shirt</v>
      </c>
      <c r="G143" s="8" t="str">
        <f>_xlfn.XLOOKUP(D143,Master[Product_Code],Master[Brand])</f>
        <v>Turkey</v>
      </c>
      <c r="H143" s="8" t="str">
        <f>_xlfn.XLOOKUP(D143,Master[Product_Code],Master[Style])</f>
        <v>Half Sleeve</v>
      </c>
      <c r="I143" s="8" t="str">
        <f>_xlfn.XLOOKUP(D143,Master[Product_Code],Master[Fabric])</f>
        <v>Cotton</v>
      </c>
      <c r="J143" s="8" t="str">
        <f>_xlfn.XLOOKUP(D143,Master[Product_Code],Master[Size])</f>
        <v>XL</v>
      </c>
      <c r="K143" s="8" t="str">
        <f>_xlfn.XLOOKUP(D143,Master[Product_Code],Master[Color])</f>
        <v>Cream</v>
      </c>
      <c r="L143" s="3">
        <f>_xlfn.XLOOKUP(D143,Master[Product_Code],Master[Selling_Price])</f>
        <v>280</v>
      </c>
    </row>
    <row r="144" spans="2:12">
      <c r="B144" s="2" t="s">
        <v>1823</v>
      </c>
      <c r="C144" s="7">
        <v>45934</v>
      </c>
      <c r="D144" s="2" t="s">
        <v>204</v>
      </c>
      <c r="E144" s="4">
        <v>1</v>
      </c>
      <c r="F144" s="8" t="str">
        <f>_xlfn.XLOOKUP(D144,Master[Product_Code],Master[Category])</f>
        <v>Shirt</v>
      </c>
      <c r="G144" s="8" t="str">
        <f>_xlfn.XLOOKUP(D144,Master[Product_Code],Master[Brand])</f>
        <v>Luke &amp; Burg</v>
      </c>
      <c r="H144" s="8" t="str">
        <f>_xlfn.XLOOKUP(D144,Master[Product_Code],Master[Style])</f>
        <v>Partywear</v>
      </c>
      <c r="I144" s="8" t="str">
        <f>_xlfn.XLOOKUP(D144,Master[Product_Code],Master[Fabric])</f>
        <v>Lycra</v>
      </c>
      <c r="J144" s="8" t="str">
        <f>_xlfn.XLOOKUP(D144,Master[Product_Code],Master[Size])</f>
        <v>XL</v>
      </c>
      <c r="K144" s="8" t="str">
        <f>_xlfn.XLOOKUP(D144,Master[Product_Code],Master[Color])</f>
        <v>Light Grey</v>
      </c>
      <c r="L144" s="3">
        <f>_xlfn.XLOOKUP(D144,Master[Product_Code],Master[Selling_Price])</f>
        <v>850</v>
      </c>
    </row>
    <row r="145" spans="2:12">
      <c r="B145" s="2" t="s">
        <v>1824</v>
      </c>
      <c r="C145" s="7">
        <v>45934</v>
      </c>
      <c r="D145" s="2" t="s">
        <v>615</v>
      </c>
      <c r="E145" s="4">
        <v>1</v>
      </c>
      <c r="F145" s="8" t="str">
        <f>_xlfn.XLOOKUP(D145,Master[Product_Code],Master[Category])</f>
        <v>T-Shirt</v>
      </c>
      <c r="G145" s="8" t="str">
        <f>_xlfn.XLOOKUP(D145,Master[Product_Code],Master[Brand])</f>
        <v>Thailand</v>
      </c>
      <c r="H145" s="8" t="str">
        <f>_xlfn.XLOOKUP(D145,Master[Product_Code],Master[Style])</f>
        <v>3/4 Sleeve</v>
      </c>
      <c r="I145" s="8" t="str">
        <f>_xlfn.XLOOKUP(D145,Master[Product_Code],Master[Fabric])</f>
        <v>Poly Cotton</v>
      </c>
      <c r="J145" s="8" t="str">
        <f>_xlfn.XLOOKUP(D145,Master[Product_Code],Master[Size])</f>
        <v>S</v>
      </c>
      <c r="K145" s="8" t="str">
        <f>_xlfn.XLOOKUP(D145,Master[Product_Code],Master[Color])</f>
        <v>Navy Blue</v>
      </c>
      <c r="L145" s="3">
        <f>_xlfn.XLOOKUP(D145,Master[Product_Code],Master[Selling_Price])</f>
        <v>640</v>
      </c>
    </row>
    <row r="146" spans="2:12">
      <c r="B146" s="2" t="s">
        <v>1824</v>
      </c>
      <c r="C146" s="7">
        <v>45934</v>
      </c>
      <c r="D146" s="2" t="s">
        <v>1511</v>
      </c>
      <c r="E146" s="4">
        <v>1</v>
      </c>
      <c r="F146" s="8" t="str">
        <f>_xlfn.XLOOKUP(D146,Master[Product_Code],Master[Category])</f>
        <v>Innerwear</v>
      </c>
      <c r="G146" s="8" t="str">
        <f>_xlfn.XLOOKUP(D146,Master[Product_Code],Master[Brand])</f>
        <v>Rupa</v>
      </c>
      <c r="H146" s="8" t="str">
        <f>_xlfn.XLOOKUP(D146,Master[Product_Code],Master[Style])</f>
        <v>Boxer</v>
      </c>
      <c r="I146" s="8" t="str">
        <f>_xlfn.XLOOKUP(D146,Master[Product_Code],Master[Fabric])</f>
        <v>Cotton Blend</v>
      </c>
      <c r="J146" s="8" t="str">
        <f>_xlfn.XLOOKUP(D146,Master[Product_Code],Master[Size])</f>
        <v>80-85</v>
      </c>
      <c r="K146" s="8" t="str">
        <f>_xlfn.XLOOKUP(D146,Master[Product_Code],Master[Color])</f>
        <v>Cream</v>
      </c>
      <c r="L146" s="3">
        <f>_xlfn.XLOOKUP(D146,Master[Product_Code],Master[Selling_Price])</f>
        <v>140</v>
      </c>
    </row>
    <row r="147" spans="2:12">
      <c r="B147" s="2" t="s">
        <v>1825</v>
      </c>
      <c r="C147" s="7">
        <v>45934</v>
      </c>
      <c r="D147" s="2" t="s">
        <v>884</v>
      </c>
      <c r="E147" s="4">
        <v>1</v>
      </c>
      <c r="F147" s="8" t="str">
        <f>_xlfn.XLOOKUP(D147,Master[Product_Code],Master[Category])</f>
        <v>Jeans</v>
      </c>
      <c r="G147" s="8" t="str">
        <f>_xlfn.XLOOKUP(D147,Master[Product_Code],Master[Brand])</f>
        <v>Levis</v>
      </c>
      <c r="H147" s="8" t="str">
        <f>_xlfn.XLOOKUP(D147,Master[Product_Code],Master[Style])</f>
        <v>Baggy</v>
      </c>
      <c r="I147" s="8" t="str">
        <f>_xlfn.XLOOKUP(D147,Master[Product_Code],Master[Fabric])</f>
        <v>Denim</v>
      </c>
      <c r="J147" s="8">
        <f>_xlfn.XLOOKUP(D147,Master[Product_Code],Master[Size])</f>
        <v>36</v>
      </c>
      <c r="K147" s="8" t="str">
        <f>_xlfn.XLOOKUP(D147,Master[Product_Code],Master[Color])</f>
        <v>White</v>
      </c>
      <c r="L147" s="3">
        <f>_xlfn.XLOOKUP(D147,Master[Product_Code],Master[Selling_Price])</f>
        <v>1020</v>
      </c>
    </row>
    <row r="148" spans="2:12">
      <c r="B148" s="2" t="s">
        <v>1825</v>
      </c>
      <c r="C148" s="7">
        <v>45934</v>
      </c>
      <c r="D148" s="2" t="s">
        <v>234</v>
      </c>
      <c r="E148" s="4">
        <v>1</v>
      </c>
      <c r="F148" s="8" t="str">
        <f>_xlfn.XLOOKUP(D148,Master[Product_Code],Master[Category])</f>
        <v>Shirt</v>
      </c>
      <c r="G148" s="8" t="str">
        <f>_xlfn.XLOOKUP(D148,Master[Product_Code],Master[Brand])</f>
        <v>Luke &amp; Burg</v>
      </c>
      <c r="H148" s="8" t="str">
        <f>_xlfn.XLOOKUP(D148,Master[Product_Code],Master[Style])</f>
        <v>Casual</v>
      </c>
      <c r="I148" s="8" t="str">
        <f>_xlfn.XLOOKUP(D148,Master[Product_Code],Master[Fabric])</f>
        <v>Cotton</v>
      </c>
      <c r="J148" s="8" t="str">
        <f>_xlfn.XLOOKUP(D148,Master[Product_Code],Master[Size])</f>
        <v>XL</v>
      </c>
      <c r="K148" s="8" t="str">
        <f>_xlfn.XLOOKUP(D148,Master[Product_Code],Master[Color])</f>
        <v>Cream</v>
      </c>
      <c r="L148" s="3">
        <f>_xlfn.XLOOKUP(D148,Master[Product_Code],Master[Selling_Price])</f>
        <v>800</v>
      </c>
    </row>
    <row r="149" spans="2:12">
      <c r="B149" s="2" t="s">
        <v>1825</v>
      </c>
      <c r="C149" s="7">
        <v>45934</v>
      </c>
      <c r="D149" s="2" t="s">
        <v>514</v>
      </c>
      <c r="E149" s="4">
        <v>1</v>
      </c>
      <c r="F149" s="8" t="str">
        <f>_xlfn.XLOOKUP(D149,Master[Product_Code],Master[Category])</f>
        <v>T-Shirt</v>
      </c>
      <c r="G149" s="8" t="str">
        <f>_xlfn.XLOOKUP(D149,Master[Product_Code],Master[Brand])</f>
        <v>Zara</v>
      </c>
      <c r="H149" s="8" t="str">
        <f>_xlfn.XLOOKUP(D149,Master[Product_Code],Master[Style])</f>
        <v>Half Sleeve</v>
      </c>
      <c r="I149" s="8" t="str">
        <f>_xlfn.XLOOKUP(D149,Master[Product_Code],Master[Fabric])</f>
        <v>Cotton</v>
      </c>
      <c r="J149" s="8" t="str">
        <f>_xlfn.XLOOKUP(D149,Master[Product_Code],Master[Size])</f>
        <v>XL</v>
      </c>
      <c r="K149" s="8" t="str">
        <f>_xlfn.XLOOKUP(D149,Master[Product_Code],Master[Color])</f>
        <v>Navy Blue</v>
      </c>
      <c r="L149" s="3">
        <f>_xlfn.XLOOKUP(D149,Master[Product_Code],Master[Selling_Price])</f>
        <v>710</v>
      </c>
    </row>
    <row r="150" spans="2:12">
      <c r="B150" s="2" t="s">
        <v>1826</v>
      </c>
      <c r="C150" s="7">
        <v>45934</v>
      </c>
      <c r="D150" s="2" t="s">
        <v>913</v>
      </c>
      <c r="E150" s="4">
        <v>1</v>
      </c>
      <c r="F150" s="8" t="str">
        <f>_xlfn.XLOOKUP(D150,Master[Product_Code],Master[Category])</f>
        <v>Jeans</v>
      </c>
      <c r="G150" s="8" t="str">
        <f>_xlfn.XLOOKUP(D150,Master[Product_Code],Master[Brand])</f>
        <v>Pepe</v>
      </c>
      <c r="H150" s="8" t="str">
        <f>_xlfn.XLOOKUP(D150,Master[Product_Code],Master[Style])</f>
        <v>Baggy</v>
      </c>
      <c r="I150" s="8" t="str">
        <f>_xlfn.XLOOKUP(D150,Master[Product_Code],Master[Fabric])</f>
        <v>Denim</v>
      </c>
      <c r="J150" s="8">
        <f>_xlfn.XLOOKUP(D150,Master[Product_Code],Master[Size])</f>
        <v>40</v>
      </c>
      <c r="K150" s="8" t="str">
        <f>_xlfn.XLOOKUP(D150,Master[Product_Code],Master[Color])</f>
        <v>Bottle Green</v>
      </c>
      <c r="L150" s="3">
        <f>_xlfn.XLOOKUP(D150,Master[Product_Code],Master[Selling_Price])</f>
        <v>800</v>
      </c>
    </row>
    <row r="151" spans="2:12">
      <c r="B151" s="2" t="s">
        <v>1826</v>
      </c>
      <c r="C151" s="7">
        <v>45934</v>
      </c>
      <c r="D151" s="2" t="s">
        <v>1345</v>
      </c>
      <c r="E151" s="4">
        <v>1</v>
      </c>
      <c r="F151" s="8" t="str">
        <f>_xlfn.XLOOKUP(D151,Master[Product_Code],Master[Category])</f>
        <v>Pants</v>
      </c>
      <c r="G151" s="8" t="str">
        <f>_xlfn.XLOOKUP(D151,Master[Product_Code],Master[Brand])</f>
        <v>Van Heusen</v>
      </c>
      <c r="H151" s="8" t="str">
        <f>_xlfn.XLOOKUP(D151,Master[Product_Code],Master[Style])</f>
        <v>Korean</v>
      </c>
      <c r="I151" s="8" t="str">
        <f>_xlfn.XLOOKUP(D151,Master[Product_Code],Master[Fabric])</f>
        <v>Lycra</v>
      </c>
      <c r="J151" s="8">
        <f>_xlfn.XLOOKUP(D151,Master[Product_Code],Master[Size])</f>
        <v>32</v>
      </c>
      <c r="K151" s="8" t="str">
        <f>_xlfn.XLOOKUP(D151,Master[Product_Code],Master[Color])</f>
        <v>Rust</v>
      </c>
      <c r="L151" s="3">
        <f>_xlfn.XLOOKUP(D151,Master[Product_Code],Master[Selling_Price])</f>
        <v>820</v>
      </c>
    </row>
    <row r="152" spans="2:12">
      <c r="B152" s="2" t="s">
        <v>1827</v>
      </c>
      <c r="C152" s="7">
        <v>45934</v>
      </c>
      <c r="D152" s="2" t="s">
        <v>484</v>
      </c>
      <c r="E152" s="4">
        <v>1</v>
      </c>
      <c r="F152" s="8" t="str">
        <f>_xlfn.XLOOKUP(D152,Master[Product_Code],Master[Category])</f>
        <v>T-Shirt</v>
      </c>
      <c r="G152" s="8" t="str">
        <f>_xlfn.XLOOKUP(D152,Master[Product_Code],Master[Brand])</f>
        <v>Zara</v>
      </c>
      <c r="H152" s="8" t="str">
        <f>_xlfn.XLOOKUP(D152,Master[Product_Code],Master[Style])</f>
        <v>Full Sleeve</v>
      </c>
      <c r="I152" s="8" t="str">
        <f>_xlfn.XLOOKUP(D152,Master[Product_Code],Master[Fabric])</f>
        <v>Cotton Blend</v>
      </c>
      <c r="J152" s="8" t="str">
        <f>_xlfn.XLOOKUP(D152,Master[Product_Code],Master[Size])</f>
        <v>S</v>
      </c>
      <c r="K152" s="8" t="str">
        <f>_xlfn.XLOOKUP(D152,Master[Product_Code],Master[Color])</f>
        <v>Olive</v>
      </c>
      <c r="L152" s="3">
        <f>_xlfn.XLOOKUP(D152,Master[Product_Code],Master[Selling_Price])</f>
        <v>430</v>
      </c>
    </row>
    <row r="153" spans="2:12">
      <c r="B153" s="2" t="s">
        <v>1828</v>
      </c>
      <c r="C153" s="7">
        <v>45934</v>
      </c>
      <c r="D153" s="2" t="s">
        <v>1041</v>
      </c>
      <c r="E153" s="4">
        <v>1</v>
      </c>
      <c r="F153" s="8" t="str">
        <f>_xlfn.XLOOKUP(D153,Master[Product_Code],Master[Category])</f>
        <v>Jeans</v>
      </c>
      <c r="G153" s="8" t="str">
        <f>_xlfn.XLOOKUP(D153,Master[Product_Code],Master[Brand])</f>
        <v>Levis</v>
      </c>
      <c r="H153" s="8" t="str">
        <f>_xlfn.XLOOKUP(D153,Master[Product_Code],Master[Style])</f>
        <v>Mom Fit</v>
      </c>
      <c r="I153" s="8" t="str">
        <f>_xlfn.XLOOKUP(D153,Master[Product_Code],Master[Fabric])</f>
        <v>Denim</v>
      </c>
      <c r="J153" s="8">
        <f>_xlfn.XLOOKUP(D153,Master[Product_Code],Master[Size])</f>
        <v>44</v>
      </c>
      <c r="K153" s="8" t="str">
        <f>_xlfn.XLOOKUP(D153,Master[Product_Code],Master[Color])</f>
        <v>Navy Blue</v>
      </c>
      <c r="L153" s="3">
        <f>_xlfn.XLOOKUP(D153,Master[Product_Code],Master[Selling_Price])</f>
        <v>870</v>
      </c>
    </row>
    <row r="154" spans="2:12">
      <c r="B154" s="2" t="s">
        <v>1829</v>
      </c>
      <c r="C154" s="7">
        <v>45934</v>
      </c>
      <c r="D154" s="2" t="s">
        <v>1030</v>
      </c>
      <c r="E154" s="4">
        <v>1</v>
      </c>
      <c r="F154" s="8" t="str">
        <f>_xlfn.XLOOKUP(D154,Master[Product_Code],Master[Category])</f>
        <v>Jeans</v>
      </c>
      <c r="G154" s="8" t="str">
        <f>_xlfn.XLOOKUP(D154,Master[Product_Code],Master[Brand])</f>
        <v>Pepe</v>
      </c>
      <c r="H154" s="8" t="str">
        <f>_xlfn.XLOOKUP(D154,Master[Product_Code],Master[Style])</f>
        <v>Mom Fit</v>
      </c>
      <c r="I154" s="8" t="str">
        <f>_xlfn.XLOOKUP(D154,Master[Product_Code],Master[Fabric])</f>
        <v>Denim</v>
      </c>
      <c r="J154" s="8">
        <f>_xlfn.XLOOKUP(D154,Master[Product_Code],Master[Size])</f>
        <v>42</v>
      </c>
      <c r="K154" s="8" t="str">
        <f>_xlfn.XLOOKUP(D154,Master[Product_Code],Master[Color])</f>
        <v>Royal Blue</v>
      </c>
      <c r="L154" s="3">
        <f>_xlfn.XLOOKUP(D154,Master[Product_Code],Master[Selling_Price])</f>
        <v>820</v>
      </c>
    </row>
    <row r="155" spans="2:12">
      <c r="B155" s="2" t="s">
        <v>1830</v>
      </c>
      <c r="C155" s="7">
        <v>45936</v>
      </c>
      <c r="D155" s="2" t="s">
        <v>1502</v>
      </c>
      <c r="E155" s="4">
        <v>1</v>
      </c>
      <c r="F155" s="8" t="str">
        <f>_xlfn.XLOOKUP(D155,Master[Product_Code],Master[Category])</f>
        <v>Innerwear</v>
      </c>
      <c r="G155" s="8" t="str">
        <f>_xlfn.XLOOKUP(D155,Master[Product_Code],Master[Brand])</f>
        <v>Dollar</v>
      </c>
      <c r="H155" s="8" t="str">
        <f>_xlfn.XLOOKUP(D155,Master[Product_Code],Master[Style])</f>
        <v>Boxer</v>
      </c>
      <c r="I155" s="8" t="str">
        <f>_xlfn.XLOOKUP(D155,Master[Product_Code],Master[Fabric])</f>
        <v>Cotton</v>
      </c>
      <c r="J155" s="8" t="str">
        <f>_xlfn.XLOOKUP(D155,Master[Product_Code],Master[Size])</f>
        <v>105-110</v>
      </c>
      <c r="K155" s="8" t="str">
        <f>_xlfn.XLOOKUP(D155,Master[Product_Code],Master[Color])</f>
        <v>Dark Green</v>
      </c>
      <c r="L155" s="3">
        <f>_xlfn.XLOOKUP(D155,Master[Product_Code],Master[Selling_Price])</f>
        <v>170</v>
      </c>
    </row>
    <row r="156" spans="2:12">
      <c r="B156" s="2" t="s">
        <v>1830</v>
      </c>
      <c r="C156" s="7">
        <v>45936</v>
      </c>
      <c r="D156" s="2" t="s">
        <v>1696</v>
      </c>
      <c r="E156" s="4">
        <v>1</v>
      </c>
      <c r="F156" s="8" t="str">
        <f>_xlfn.XLOOKUP(D156,Master[Product_Code],Master[Category])</f>
        <v>Innerwear</v>
      </c>
      <c r="G156" s="8" t="str">
        <f>_xlfn.XLOOKUP(D156,Master[Product_Code],Master[Brand])</f>
        <v>Dollar</v>
      </c>
      <c r="H156" s="8" t="str">
        <f>_xlfn.XLOOKUP(D156,Master[Product_Code],Master[Style])</f>
        <v>Boxer</v>
      </c>
      <c r="I156" s="8" t="str">
        <f>_xlfn.XLOOKUP(D156,Master[Product_Code],Master[Fabric])</f>
        <v>Cotton</v>
      </c>
      <c r="J156" s="8" t="str">
        <f>_xlfn.XLOOKUP(D156,Master[Product_Code],Master[Size])</f>
        <v>85-90</v>
      </c>
      <c r="K156" s="8" t="str">
        <f>_xlfn.XLOOKUP(D156,Master[Product_Code],Master[Color])</f>
        <v>Rust</v>
      </c>
      <c r="L156" s="3">
        <f>_xlfn.XLOOKUP(D156,Master[Product_Code],Master[Selling_Price])</f>
        <v>160</v>
      </c>
    </row>
    <row r="157" spans="2:12">
      <c r="B157" s="2" t="s">
        <v>1831</v>
      </c>
      <c r="C157" s="7">
        <v>45936</v>
      </c>
      <c r="D157" s="2" t="s">
        <v>105</v>
      </c>
      <c r="E157" s="4">
        <v>1</v>
      </c>
      <c r="F157" s="8" t="str">
        <f>_xlfn.XLOOKUP(D157,Master[Product_Code],Master[Category])</f>
        <v>Shirt</v>
      </c>
      <c r="G157" s="8" t="str">
        <f>_xlfn.XLOOKUP(D157,Master[Product_Code],Master[Brand])</f>
        <v>USD</v>
      </c>
      <c r="H157" s="8" t="str">
        <f>_xlfn.XLOOKUP(D157,Master[Product_Code],Master[Style])</f>
        <v>Partywear</v>
      </c>
      <c r="I157" s="8" t="str">
        <f>_xlfn.XLOOKUP(D157,Master[Product_Code],Master[Fabric])</f>
        <v>Cotton Blend</v>
      </c>
      <c r="J157" s="8" t="str">
        <f>_xlfn.XLOOKUP(D157,Master[Product_Code],Master[Size])</f>
        <v>M</v>
      </c>
      <c r="K157" s="8" t="str">
        <f>_xlfn.XLOOKUP(D157,Master[Product_Code],Master[Color])</f>
        <v>Cream</v>
      </c>
      <c r="L157" s="3">
        <f>_xlfn.XLOOKUP(D157,Master[Product_Code],Master[Selling_Price])</f>
        <v>750</v>
      </c>
    </row>
    <row r="158" spans="2:12">
      <c r="B158" s="2" t="s">
        <v>1831</v>
      </c>
      <c r="C158" s="7">
        <v>45936</v>
      </c>
      <c r="D158" s="2" t="s">
        <v>959</v>
      </c>
      <c r="E158" s="4">
        <v>1</v>
      </c>
      <c r="F158" s="8" t="str">
        <f>_xlfn.XLOOKUP(D158,Master[Product_Code],Master[Category])</f>
        <v>Jeans</v>
      </c>
      <c r="G158" s="8" t="str">
        <f>_xlfn.XLOOKUP(D158,Master[Product_Code],Master[Brand])</f>
        <v>Wrangler</v>
      </c>
      <c r="H158" s="8" t="str">
        <f>_xlfn.XLOOKUP(D158,Master[Product_Code],Master[Style])</f>
        <v>Jogger</v>
      </c>
      <c r="I158" s="8" t="str">
        <f>_xlfn.XLOOKUP(D158,Master[Product_Code],Master[Fabric])</f>
        <v>Denim</v>
      </c>
      <c r="J158" s="8">
        <f>_xlfn.XLOOKUP(D158,Master[Product_Code],Master[Size])</f>
        <v>30</v>
      </c>
      <c r="K158" s="8" t="str">
        <f>_xlfn.XLOOKUP(D158,Master[Product_Code],Master[Color])</f>
        <v>Navy Blue</v>
      </c>
      <c r="L158" s="3">
        <f>_xlfn.XLOOKUP(D158,Master[Product_Code],Master[Selling_Price])</f>
        <v>860</v>
      </c>
    </row>
    <row r="159" spans="2:12">
      <c r="B159" s="2" t="s">
        <v>1831</v>
      </c>
      <c r="C159" s="7">
        <v>45936</v>
      </c>
      <c r="D159" s="2" t="s">
        <v>1559</v>
      </c>
      <c r="E159" s="4">
        <v>1</v>
      </c>
      <c r="F159" s="8" t="str">
        <f>_xlfn.XLOOKUP(D159,Master[Product_Code],Master[Category])</f>
        <v>Innerwear</v>
      </c>
      <c r="G159" s="8" t="str">
        <f>_xlfn.XLOOKUP(D159,Master[Product_Code],Master[Brand])</f>
        <v>Jockey</v>
      </c>
      <c r="H159" s="8" t="str">
        <f>_xlfn.XLOOKUP(D159,Master[Product_Code],Master[Style])</f>
        <v>V-Cut</v>
      </c>
      <c r="I159" s="8" t="str">
        <f>_xlfn.XLOOKUP(D159,Master[Product_Code],Master[Fabric])</f>
        <v>Cotton Blend</v>
      </c>
      <c r="J159" s="8" t="str">
        <f>_xlfn.XLOOKUP(D159,Master[Product_Code],Master[Size])</f>
        <v>85-90</v>
      </c>
      <c r="K159" s="8" t="str">
        <f>_xlfn.XLOOKUP(D159,Master[Product_Code],Master[Color])</f>
        <v>Maroon</v>
      </c>
      <c r="L159" s="3">
        <f>_xlfn.XLOOKUP(D159,Master[Product_Code],Master[Selling_Price])</f>
        <v>120</v>
      </c>
    </row>
    <row r="160" spans="2:12">
      <c r="B160" s="2" t="s">
        <v>1832</v>
      </c>
      <c r="C160" s="7">
        <v>45936</v>
      </c>
      <c r="D160" s="2" t="s">
        <v>597</v>
      </c>
      <c r="E160" s="4">
        <v>1</v>
      </c>
      <c r="F160" s="8" t="str">
        <f>_xlfn.XLOOKUP(D160,Master[Product_Code],Master[Category])</f>
        <v>T-Shirt</v>
      </c>
      <c r="G160" s="8" t="str">
        <f>_xlfn.XLOOKUP(D160,Master[Product_Code],Master[Brand])</f>
        <v>Zara</v>
      </c>
      <c r="H160" s="8" t="str">
        <f>_xlfn.XLOOKUP(D160,Master[Product_Code],Master[Style])</f>
        <v>3/4 Sleeve</v>
      </c>
      <c r="I160" s="8" t="str">
        <f>_xlfn.XLOOKUP(D160,Master[Product_Code],Master[Fabric])</f>
        <v>Cotton</v>
      </c>
      <c r="J160" s="8" t="str">
        <f>_xlfn.XLOOKUP(D160,Master[Product_Code],Master[Size])</f>
        <v>XL</v>
      </c>
      <c r="K160" s="8" t="str">
        <f>_xlfn.XLOOKUP(D160,Master[Product_Code],Master[Color])</f>
        <v>Olive</v>
      </c>
      <c r="L160" s="3">
        <f>_xlfn.XLOOKUP(D160,Master[Product_Code],Master[Selling_Price])</f>
        <v>280</v>
      </c>
    </row>
    <row r="161" spans="2:12">
      <c r="B161" s="2" t="s">
        <v>1832</v>
      </c>
      <c r="C161" s="7">
        <v>45936</v>
      </c>
      <c r="D161" s="2" t="s">
        <v>1210</v>
      </c>
      <c r="E161" s="4">
        <v>1</v>
      </c>
      <c r="F161" s="8" t="str">
        <f>_xlfn.XLOOKUP(D161,Master[Product_Code],Master[Category])</f>
        <v>Pants</v>
      </c>
      <c r="G161" s="8" t="str">
        <f>_xlfn.XLOOKUP(D161,Master[Product_Code],Master[Brand])</f>
        <v>Van Heusen</v>
      </c>
      <c r="H161" s="8" t="str">
        <f>_xlfn.XLOOKUP(D161,Master[Product_Code],Master[Style])</f>
        <v>Boot Cut</v>
      </c>
      <c r="I161" s="8" t="str">
        <f>_xlfn.XLOOKUP(D161,Master[Product_Code],Master[Fabric])</f>
        <v>Poly Viscose</v>
      </c>
      <c r="J161" s="8">
        <f>_xlfn.XLOOKUP(D161,Master[Product_Code],Master[Size])</f>
        <v>42</v>
      </c>
      <c r="K161" s="8" t="str">
        <f>_xlfn.XLOOKUP(D161,Master[Product_Code],Master[Color])</f>
        <v>White</v>
      </c>
      <c r="L161" s="3">
        <f>_xlfn.XLOOKUP(D161,Master[Product_Code],Master[Selling_Price])</f>
        <v>860</v>
      </c>
    </row>
    <row r="162" spans="2:12">
      <c r="B162" s="2" t="s">
        <v>1833</v>
      </c>
      <c r="C162" s="7">
        <v>45936</v>
      </c>
      <c r="D162" s="2" t="s">
        <v>1120</v>
      </c>
      <c r="E162" s="4">
        <v>1</v>
      </c>
      <c r="F162" s="8" t="str">
        <f>_xlfn.XLOOKUP(D162,Master[Product_Code],Master[Category])</f>
        <v>Jeans</v>
      </c>
      <c r="G162" s="8" t="str">
        <f>_xlfn.XLOOKUP(D162,Master[Product_Code],Master[Brand])</f>
        <v>Levis</v>
      </c>
      <c r="H162" s="8" t="str">
        <f>_xlfn.XLOOKUP(D162,Master[Product_Code],Master[Style])</f>
        <v>Jogger</v>
      </c>
      <c r="I162" s="8" t="str">
        <f>_xlfn.XLOOKUP(D162,Master[Product_Code],Master[Fabric])</f>
        <v>Denim</v>
      </c>
      <c r="J162" s="8">
        <f>_xlfn.XLOOKUP(D162,Master[Product_Code],Master[Size])</f>
        <v>38</v>
      </c>
      <c r="K162" s="8" t="str">
        <f>_xlfn.XLOOKUP(D162,Master[Product_Code],Master[Color])</f>
        <v>Teal</v>
      </c>
      <c r="L162" s="3">
        <f>_xlfn.XLOOKUP(D162,Master[Product_Code],Master[Selling_Price])</f>
        <v>900</v>
      </c>
    </row>
    <row r="163" spans="2:12">
      <c r="B163" s="2" t="s">
        <v>1833</v>
      </c>
      <c r="C163" s="7">
        <v>45936</v>
      </c>
      <c r="D163" s="2" t="s">
        <v>1123</v>
      </c>
      <c r="E163" s="4">
        <v>1</v>
      </c>
      <c r="F163" s="8" t="str">
        <f>_xlfn.XLOOKUP(D163,Master[Product_Code],Master[Category])</f>
        <v>Jeans</v>
      </c>
      <c r="G163" s="8" t="str">
        <f>_xlfn.XLOOKUP(D163,Master[Product_Code],Master[Brand])</f>
        <v>Denim Pro</v>
      </c>
      <c r="H163" s="8" t="str">
        <f>_xlfn.XLOOKUP(D163,Master[Product_Code],Master[Style])</f>
        <v>Mom Fit</v>
      </c>
      <c r="I163" s="8" t="str">
        <f>_xlfn.XLOOKUP(D163,Master[Product_Code],Master[Fabric])</f>
        <v>Denim</v>
      </c>
      <c r="J163" s="8">
        <f>_xlfn.XLOOKUP(D163,Master[Product_Code],Master[Size])</f>
        <v>38</v>
      </c>
      <c r="K163" s="8" t="str">
        <f>_xlfn.XLOOKUP(D163,Master[Product_Code],Master[Color])</f>
        <v>Beige</v>
      </c>
      <c r="L163" s="3">
        <f>_xlfn.XLOOKUP(D163,Master[Product_Code],Master[Selling_Price])</f>
        <v>1040</v>
      </c>
    </row>
    <row r="164" spans="2:12">
      <c r="B164" s="2" t="s">
        <v>1834</v>
      </c>
      <c r="C164" s="7">
        <v>45936</v>
      </c>
      <c r="D164" s="2" t="s">
        <v>1664</v>
      </c>
      <c r="E164" s="4">
        <v>1</v>
      </c>
      <c r="F164" s="8" t="str">
        <f>_xlfn.XLOOKUP(D164,Master[Product_Code],Master[Category])</f>
        <v>Innerwear</v>
      </c>
      <c r="G164" s="8" t="str">
        <f>_xlfn.XLOOKUP(D164,Master[Product_Code],Master[Brand])</f>
        <v>Dollar</v>
      </c>
      <c r="H164" s="8" t="str">
        <f>_xlfn.XLOOKUP(D164,Master[Product_Code],Master[Style])</f>
        <v>V-Cut</v>
      </c>
      <c r="I164" s="8" t="str">
        <f>_xlfn.XLOOKUP(D164,Master[Product_Code],Master[Fabric])</f>
        <v>Cotton Blend</v>
      </c>
      <c r="J164" s="8" t="str">
        <f>_xlfn.XLOOKUP(D164,Master[Product_Code],Master[Size])</f>
        <v>80-85</v>
      </c>
      <c r="K164" s="8" t="str">
        <f>_xlfn.XLOOKUP(D164,Master[Product_Code],Master[Color])</f>
        <v>Black</v>
      </c>
      <c r="L164" s="3">
        <f>_xlfn.XLOOKUP(D164,Master[Product_Code],Master[Selling_Price])</f>
        <v>190</v>
      </c>
    </row>
    <row r="165" spans="2:12">
      <c r="B165" s="2" t="s">
        <v>1834</v>
      </c>
      <c r="C165" s="7">
        <v>45936</v>
      </c>
      <c r="D165" s="2" t="s">
        <v>1345</v>
      </c>
      <c r="E165" s="4">
        <v>1</v>
      </c>
      <c r="F165" s="8" t="str">
        <f>_xlfn.XLOOKUP(D165,Master[Product_Code],Master[Category])</f>
        <v>Pants</v>
      </c>
      <c r="G165" s="8" t="str">
        <f>_xlfn.XLOOKUP(D165,Master[Product_Code],Master[Brand])</f>
        <v>Van Heusen</v>
      </c>
      <c r="H165" s="8" t="str">
        <f>_xlfn.XLOOKUP(D165,Master[Product_Code],Master[Style])</f>
        <v>Korean</v>
      </c>
      <c r="I165" s="8" t="str">
        <f>_xlfn.XLOOKUP(D165,Master[Product_Code],Master[Fabric])</f>
        <v>Lycra</v>
      </c>
      <c r="J165" s="8">
        <f>_xlfn.XLOOKUP(D165,Master[Product_Code],Master[Size])</f>
        <v>32</v>
      </c>
      <c r="K165" s="8" t="str">
        <f>_xlfn.XLOOKUP(D165,Master[Product_Code],Master[Color])</f>
        <v>Rust</v>
      </c>
      <c r="L165" s="3">
        <f>_xlfn.XLOOKUP(D165,Master[Product_Code],Master[Selling_Price])</f>
        <v>820</v>
      </c>
    </row>
    <row r="166" spans="2:12">
      <c r="B166" s="2" t="s">
        <v>1834</v>
      </c>
      <c r="C166" s="7">
        <v>45936</v>
      </c>
      <c r="D166" s="2" t="s">
        <v>1275</v>
      </c>
      <c r="E166" s="4">
        <v>1</v>
      </c>
      <c r="F166" s="8" t="str">
        <f>_xlfn.XLOOKUP(D166,Master[Product_Code],Master[Category])</f>
        <v>Pants</v>
      </c>
      <c r="G166" s="8" t="str">
        <f>_xlfn.XLOOKUP(D166,Master[Product_Code],Master[Brand])</f>
        <v>Van Heusen</v>
      </c>
      <c r="H166" s="8" t="str">
        <f>_xlfn.XLOOKUP(D166,Master[Product_Code],Master[Style])</f>
        <v>Boot Cut</v>
      </c>
      <c r="I166" s="8" t="str">
        <f>_xlfn.XLOOKUP(D166,Master[Product_Code],Master[Fabric])</f>
        <v>Cotton</v>
      </c>
      <c r="J166" s="8">
        <f>_xlfn.XLOOKUP(D166,Master[Product_Code],Master[Size])</f>
        <v>38</v>
      </c>
      <c r="K166" s="8" t="str">
        <f>_xlfn.XLOOKUP(D166,Master[Product_Code],Master[Color])</f>
        <v>Peach</v>
      </c>
      <c r="L166" s="3">
        <f>_xlfn.XLOOKUP(D166,Master[Product_Code],Master[Selling_Price])</f>
        <v>880</v>
      </c>
    </row>
    <row r="167" spans="2:12">
      <c r="B167" s="2" t="s">
        <v>1835</v>
      </c>
      <c r="C167" s="7">
        <v>45936</v>
      </c>
      <c r="D167" s="2" t="s">
        <v>1594</v>
      </c>
      <c r="E167" s="4">
        <v>1</v>
      </c>
      <c r="F167" s="8" t="str">
        <f>_xlfn.XLOOKUP(D167,Master[Product_Code],Master[Category])</f>
        <v>Innerwear</v>
      </c>
      <c r="G167" s="8" t="str">
        <f>_xlfn.XLOOKUP(D167,Master[Product_Code],Master[Brand])</f>
        <v>Dollar</v>
      </c>
      <c r="H167" s="8" t="str">
        <f>_xlfn.XLOOKUP(D167,Master[Product_Code],Master[Style])</f>
        <v>V-Cut</v>
      </c>
      <c r="I167" s="8" t="str">
        <f>_xlfn.XLOOKUP(D167,Master[Product_Code],Master[Fabric])</f>
        <v>Cotton</v>
      </c>
      <c r="J167" s="8" t="str">
        <f>_xlfn.XLOOKUP(D167,Master[Product_Code],Master[Size])</f>
        <v>90-100</v>
      </c>
      <c r="K167" s="8" t="str">
        <f>_xlfn.XLOOKUP(D167,Master[Product_Code],Master[Color])</f>
        <v>Charcoal</v>
      </c>
      <c r="L167" s="3">
        <f>_xlfn.XLOOKUP(D167,Master[Product_Code],Master[Selling_Price])</f>
        <v>140</v>
      </c>
    </row>
    <row r="168" spans="2:12">
      <c r="B168" s="2" t="s">
        <v>1835</v>
      </c>
      <c r="C168" s="7">
        <v>45936</v>
      </c>
      <c r="D168" s="2" t="s">
        <v>692</v>
      </c>
      <c r="E168" s="4">
        <v>1</v>
      </c>
      <c r="F168" s="8" t="str">
        <f>_xlfn.XLOOKUP(D168,Master[Product_Code],Master[Category])</f>
        <v>T-Shirt</v>
      </c>
      <c r="G168" s="8" t="str">
        <f>_xlfn.XLOOKUP(D168,Master[Product_Code],Master[Brand])</f>
        <v>Campus</v>
      </c>
      <c r="H168" s="8" t="str">
        <f>_xlfn.XLOOKUP(D168,Master[Product_Code],Master[Style])</f>
        <v>Half Sleeve</v>
      </c>
      <c r="I168" s="8" t="str">
        <f>_xlfn.XLOOKUP(D168,Master[Product_Code],Master[Fabric])</f>
        <v>Cotton</v>
      </c>
      <c r="J168" s="8" t="str">
        <f>_xlfn.XLOOKUP(D168,Master[Product_Code],Master[Size])</f>
        <v>XL</v>
      </c>
      <c r="K168" s="8" t="str">
        <f>_xlfn.XLOOKUP(D168,Master[Product_Code],Master[Color])</f>
        <v>Bottle Green</v>
      </c>
      <c r="L168" s="3">
        <f>_xlfn.XLOOKUP(D168,Master[Product_Code],Master[Selling_Price])</f>
        <v>740</v>
      </c>
    </row>
    <row r="169" spans="2:12">
      <c r="B169" s="2" t="s">
        <v>1835</v>
      </c>
      <c r="C169" s="7">
        <v>45936</v>
      </c>
      <c r="D169" s="2" t="s">
        <v>1637</v>
      </c>
      <c r="E169" s="4">
        <v>1</v>
      </c>
      <c r="F169" s="8" t="str">
        <f>_xlfn.XLOOKUP(D169,Master[Product_Code],Master[Category])</f>
        <v>Innerwear</v>
      </c>
      <c r="G169" s="8" t="str">
        <f>_xlfn.XLOOKUP(D169,Master[Product_Code],Master[Brand])</f>
        <v>V Star</v>
      </c>
      <c r="H169" s="8" t="str">
        <f>_xlfn.XLOOKUP(D169,Master[Product_Code],Master[Style])</f>
        <v>V-Cut</v>
      </c>
      <c r="I169" s="8" t="str">
        <f>_xlfn.XLOOKUP(D169,Master[Product_Code],Master[Fabric])</f>
        <v>Cotton</v>
      </c>
      <c r="J169" s="8" t="str">
        <f>_xlfn.XLOOKUP(D169,Master[Product_Code],Master[Size])</f>
        <v>105-110</v>
      </c>
      <c r="K169" s="8" t="str">
        <f>_xlfn.XLOOKUP(D169,Master[Product_Code],Master[Color])</f>
        <v>Cream</v>
      </c>
      <c r="L169" s="3">
        <f>_xlfn.XLOOKUP(D169,Master[Product_Code],Master[Selling_Price])</f>
        <v>100</v>
      </c>
    </row>
    <row r="170" spans="2:12">
      <c r="B170" s="2" t="s">
        <v>1836</v>
      </c>
      <c r="C170" s="7">
        <v>45936</v>
      </c>
      <c r="D170" s="2" t="s">
        <v>585</v>
      </c>
      <c r="E170" s="4">
        <v>1</v>
      </c>
      <c r="F170" s="8" t="str">
        <f>_xlfn.XLOOKUP(D170,Master[Product_Code],Master[Category])</f>
        <v>T-Shirt</v>
      </c>
      <c r="G170" s="8" t="str">
        <f>_xlfn.XLOOKUP(D170,Master[Product_Code],Master[Brand])</f>
        <v>Turkey</v>
      </c>
      <c r="H170" s="8" t="str">
        <f>_xlfn.XLOOKUP(D170,Master[Product_Code],Master[Style])</f>
        <v>Full Sleeve</v>
      </c>
      <c r="I170" s="8" t="str">
        <f>_xlfn.XLOOKUP(D170,Master[Product_Code],Master[Fabric])</f>
        <v>Poly Cotton</v>
      </c>
      <c r="J170" s="8" t="str">
        <f>_xlfn.XLOOKUP(D170,Master[Product_Code],Master[Size])</f>
        <v>XL</v>
      </c>
      <c r="K170" s="8" t="str">
        <f>_xlfn.XLOOKUP(D170,Master[Product_Code],Master[Color])</f>
        <v>Peach</v>
      </c>
      <c r="L170" s="3">
        <f>_xlfn.XLOOKUP(D170,Master[Product_Code],Master[Selling_Price])</f>
        <v>440</v>
      </c>
    </row>
    <row r="171" spans="2:12">
      <c r="B171" s="2" t="s">
        <v>1836</v>
      </c>
      <c r="C171" s="7">
        <v>45936</v>
      </c>
      <c r="D171" s="2" t="s">
        <v>568</v>
      </c>
      <c r="E171" s="4">
        <v>1</v>
      </c>
      <c r="F171" s="8" t="str">
        <f>_xlfn.XLOOKUP(D171,Master[Product_Code],Master[Category])</f>
        <v>T-Shirt</v>
      </c>
      <c r="G171" s="8" t="str">
        <f>_xlfn.XLOOKUP(D171,Master[Product_Code],Master[Brand])</f>
        <v>Turkey</v>
      </c>
      <c r="H171" s="8" t="str">
        <f>_xlfn.XLOOKUP(D171,Master[Product_Code],Master[Style])</f>
        <v>Full Sleeve</v>
      </c>
      <c r="I171" s="8" t="str">
        <f>_xlfn.XLOOKUP(D171,Master[Product_Code],Master[Fabric])</f>
        <v>Cotton Blend</v>
      </c>
      <c r="J171" s="8" t="str">
        <f>_xlfn.XLOOKUP(D171,Master[Product_Code],Master[Size])</f>
        <v>L</v>
      </c>
      <c r="K171" s="8" t="str">
        <f>_xlfn.XLOOKUP(D171,Master[Product_Code],Master[Color])</f>
        <v>Cream</v>
      </c>
      <c r="L171" s="3">
        <f>_xlfn.XLOOKUP(D171,Master[Product_Code],Master[Selling_Price])</f>
        <v>460</v>
      </c>
    </row>
    <row r="172" spans="2:12">
      <c r="B172" s="2" t="s">
        <v>1836</v>
      </c>
      <c r="C172" s="7">
        <v>45936</v>
      </c>
      <c r="D172" s="2" t="s">
        <v>153</v>
      </c>
      <c r="E172" s="4">
        <v>1</v>
      </c>
      <c r="F172" s="8" t="str">
        <f>_xlfn.XLOOKUP(D172,Master[Product_Code],Master[Category])</f>
        <v>Shirt</v>
      </c>
      <c r="G172" s="8" t="str">
        <f>_xlfn.XLOOKUP(D172,Master[Product_Code],Master[Brand])</f>
        <v>Max</v>
      </c>
      <c r="H172" s="8" t="str">
        <f>_xlfn.XLOOKUP(D172,Master[Product_Code],Master[Style])</f>
        <v>Formal</v>
      </c>
      <c r="I172" s="8" t="str">
        <f>_xlfn.XLOOKUP(D172,Master[Product_Code],Master[Fabric])</f>
        <v>Polyester</v>
      </c>
      <c r="J172" s="8" t="str">
        <f>_xlfn.XLOOKUP(D172,Master[Product_Code],Master[Size])</f>
        <v>XXL</v>
      </c>
      <c r="K172" s="8" t="str">
        <f>_xlfn.XLOOKUP(D172,Master[Product_Code],Master[Color])</f>
        <v>Royal Blue</v>
      </c>
      <c r="L172" s="3">
        <f>_xlfn.XLOOKUP(D172,Master[Product_Code],Master[Selling_Price])</f>
        <v>730</v>
      </c>
    </row>
    <row r="173" spans="2:12">
      <c r="B173" s="2" t="s">
        <v>1837</v>
      </c>
      <c r="C173" s="7">
        <v>45936</v>
      </c>
      <c r="D173" s="2" t="s">
        <v>78</v>
      </c>
      <c r="E173" s="4">
        <v>1</v>
      </c>
      <c r="F173" s="8" t="str">
        <f>_xlfn.XLOOKUP(D173,Master[Product_Code],Master[Category])</f>
        <v>Shirt</v>
      </c>
      <c r="G173" s="8" t="str">
        <f>_xlfn.XLOOKUP(D173,Master[Product_Code],Master[Brand])</f>
        <v>British</v>
      </c>
      <c r="H173" s="8" t="str">
        <f>_xlfn.XLOOKUP(D173,Master[Product_Code],Master[Style])</f>
        <v>Formal</v>
      </c>
      <c r="I173" s="8" t="str">
        <f>_xlfn.XLOOKUP(D173,Master[Product_Code],Master[Fabric])</f>
        <v>Lycra</v>
      </c>
      <c r="J173" s="8" t="str">
        <f>_xlfn.XLOOKUP(D173,Master[Product_Code],Master[Size])</f>
        <v>L</v>
      </c>
      <c r="K173" s="8" t="str">
        <f>_xlfn.XLOOKUP(D173,Master[Product_Code],Master[Color])</f>
        <v>Peach</v>
      </c>
      <c r="L173" s="3">
        <f>_xlfn.XLOOKUP(D173,Master[Product_Code],Master[Selling_Price])</f>
        <v>640</v>
      </c>
    </row>
    <row r="174" spans="2:12">
      <c r="B174" s="2" t="s">
        <v>1837</v>
      </c>
      <c r="C174" s="7">
        <v>45936</v>
      </c>
      <c r="D174" s="2" t="s">
        <v>457</v>
      </c>
      <c r="E174" s="4">
        <v>1</v>
      </c>
      <c r="F174" s="8" t="str">
        <f>_xlfn.XLOOKUP(D174,Master[Product_Code],Master[Category])</f>
        <v>T-Shirt</v>
      </c>
      <c r="G174" s="8" t="str">
        <f>_xlfn.XLOOKUP(D174,Master[Product_Code],Master[Brand])</f>
        <v>Turkey</v>
      </c>
      <c r="H174" s="8" t="str">
        <f>_xlfn.XLOOKUP(D174,Master[Product_Code],Master[Style])</f>
        <v>3/4 Sleeve</v>
      </c>
      <c r="I174" s="8" t="str">
        <f>_xlfn.XLOOKUP(D174,Master[Product_Code],Master[Fabric])</f>
        <v>Cotton</v>
      </c>
      <c r="J174" s="8" t="str">
        <f>_xlfn.XLOOKUP(D174,Master[Product_Code],Master[Size])</f>
        <v>XL</v>
      </c>
      <c r="K174" s="8" t="str">
        <f>_xlfn.XLOOKUP(D174,Master[Product_Code],Master[Color])</f>
        <v>Mustard</v>
      </c>
      <c r="L174" s="3">
        <f>_xlfn.XLOOKUP(D174,Master[Product_Code],Master[Selling_Price])</f>
        <v>280</v>
      </c>
    </row>
    <row r="175" spans="2:12">
      <c r="B175" s="2" t="s">
        <v>1837</v>
      </c>
      <c r="C175" s="7">
        <v>45936</v>
      </c>
      <c r="D175" s="2" t="s">
        <v>136</v>
      </c>
      <c r="E175" s="4">
        <v>1</v>
      </c>
      <c r="F175" s="8" t="str">
        <f>_xlfn.XLOOKUP(D175,Master[Product_Code],Master[Category])</f>
        <v>Shirt</v>
      </c>
      <c r="G175" s="8" t="str">
        <f>_xlfn.XLOOKUP(D175,Master[Product_Code],Master[Brand])</f>
        <v>Zara</v>
      </c>
      <c r="H175" s="8" t="str">
        <f>_xlfn.XLOOKUP(D175,Master[Product_Code],Master[Style])</f>
        <v>Partywear</v>
      </c>
      <c r="I175" s="8" t="str">
        <f>_xlfn.XLOOKUP(D175,Master[Product_Code],Master[Fabric])</f>
        <v>Polyester</v>
      </c>
      <c r="J175" s="8" t="str">
        <f>_xlfn.XLOOKUP(D175,Master[Product_Code],Master[Size])</f>
        <v>XL</v>
      </c>
      <c r="K175" s="8" t="str">
        <f>_xlfn.XLOOKUP(D175,Master[Product_Code],Master[Color])</f>
        <v>Black</v>
      </c>
      <c r="L175" s="3">
        <f>_xlfn.XLOOKUP(D175,Master[Product_Code],Master[Selling_Price])</f>
        <v>770</v>
      </c>
    </row>
    <row r="176" spans="2:12">
      <c r="B176" s="2" t="s">
        <v>1838</v>
      </c>
      <c r="C176" s="7">
        <v>45936</v>
      </c>
      <c r="D176" s="2" t="s">
        <v>739</v>
      </c>
      <c r="E176" s="4">
        <v>1</v>
      </c>
      <c r="F176" s="8" t="str">
        <f>_xlfn.XLOOKUP(D176,Master[Product_Code],Master[Category])</f>
        <v>T-Shirt</v>
      </c>
      <c r="G176" s="8" t="str">
        <f>_xlfn.XLOOKUP(D176,Master[Product_Code],Master[Brand])</f>
        <v>Max</v>
      </c>
      <c r="H176" s="8" t="str">
        <f>_xlfn.XLOOKUP(D176,Master[Product_Code],Master[Style])</f>
        <v>Half Sleeve</v>
      </c>
      <c r="I176" s="8" t="str">
        <f>_xlfn.XLOOKUP(D176,Master[Product_Code],Master[Fabric])</f>
        <v>Poly Cotton</v>
      </c>
      <c r="J176" s="8" t="str">
        <f>_xlfn.XLOOKUP(D176,Master[Product_Code],Master[Size])</f>
        <v>S</v>
      </c>
      <c r="K176" s="8" t="str">
        <f>_xlfn.XLOOKUP(D176,Master[Product_Code],Master[Color])</f>
        <v>Royal Blue</v>
      </c>
      <c r="L176" s="3">
        <f>_xlfn.XLOOKUP(D176,Master[Product_Code],Master[Selling_Price])</f>
        <v>220</v>
      </c>
    </row>
    <row r="177" spans="2:12">
      <c r="B177" s="2" t="s">
        <v>1838</v>
      </c>
      <c r="C177" s="7">
        <v>45936</v>
      </c>
      <c r="D177" s="2" t="s">
        <v>1030</v>
      </c>
      <c r="E177" s="4">
        <v>1</v>
      </c>
      <c r="F177" s="8" t="str">
        <f>_xlfn.XLOOKUP(D177,Master[Product_Code],Master[Category])</f>
        <v>Jeans</v>
      </c>
      <c r="G177" s="8" t="str">
        <f>_xlfn.XLOOKUP(D177,Master[Product_Code],Master[Brand])</f>
        <v>Pepe</v>
      </c>
      <c r="H177" s="8" t="str">
        <f>_xlfn.XLOOKUP(D177,Master[Product_Code],Master[Style])</f>
        <v>Mom Fit</v>
      </c>
      <c r="I177" s="8" t="str">
        <f>_xlfn.XLOOKUP(D177,Master[Product_Code],Master[Fabric])</f>
        <v>Denim</v>
      </c>
      <c r="J177" s="8">
        <f>_xlfn.XLOOKUP(D177,Master[Product_Code],Master[Size])</f>
        <v>42</v>
      </c>
      <c r="K177" s="8" t="str">
        <f>_xlfn.XLOOKUP(D177,Master[Product_Code],Master[Color])</f>
        <v>Royal Blue</v>
      </c>
      <c r="L177" s="3">
        <f>_xlfn.XLOOKUP(D177,Master[Product_Code],Master[Selling_Price])</f>
        <v>820</v>
      </c>
    </row>
    <row r="178" spans="2:12">
      <c r="B178" s="2" t="s">
        <v>1838</v>
      </c>
      <c r="C178" s="7">
        <v>45936</v>
      </c>
      <c r="D178" s="2" t="s">
        <v>596</v>
      </c>
      <c r="E178" s="4">
        <v>1</v>
      </c>
      <c r="F178" s="8" t="str">
        <f>_xlfn.XLOOKUP(D178,Master[Product_Code],Master[Category])</f>
        <v>T-Shirt</v>
      </c>
      <c r="G178" s="8" t="str">
        <f>_xlfn.XLOOKUP(D178,Master[Product_Code],Master[Brand])</f>
        <v>Urban Monkey</v>
      </c>
      <c r="H178" s="8" t="str">
        <f>_xlfn.XLOOKUP(D178,Master[Product_Code],Master[Style])</f>
        <v>Half Sleeve</v>
      </c>
      <c r="I178" s="8" t="str">
        <f>_xlfn.XLOOKUP(D178,Master[Product_Code],Master[Fabric])</f>
        <v>Cotton Blend</v>
      </c>
      <c r="J178" s="8" t="str">
        <f>_xlfn.XLOOKUP(D178,Master[Product_Code],Master[Size])</f>
        <v>S</v>
      </c>
      <c r="K178" s="8" t="str">
        <f>_xlfn.XLOOKUP(D178,Master[Product_Code],Master[Color])</f>
        <v>Mustard</v>
      </c>
      <c r="L178" s="3">
        <f>_xlfn.XLOOKUP(D178,Master[Product_Code],Master[Selling_Price])</f>
        <v>260</v>
      </c>
    </row>
    <row r="179" spans="2:12">
      <c r="B179" s="2" t="s">
        <v>1839</v>
      </c>
      <c r="C179" s="7">
        <v>45936</v>
      </c>
      <c r="D179" s="2" t="s">
        <v>1297</v>
      </c>
      <c r="E179" s="4">
        <v>1</v>
      </c>
      <c r="F179" s="8" t="str">
        <f>_xlfn.XLOOKUP(D179,Master[Product_Code],Master[Category])</f>
        <v>Pants</v>
      </c>
      <c r="G179" s="8" t="str">
        <f>_xlfn.XLOOKUP(D179,Master[Product_Code],Master[Brand])</f>
        <v>Louis Philippe</v>
      </c>
      <c r="H179" s="8" t="str">
        <f>_xlfn.XLOOKUP(D179,Master[Product_Code],Master[Style])</f>
        <v>Boot Cut</v>
      </c>
      <c r="I179" s="8" t="str">
        <f>_xlfn.XLOOKUP(D179,Master[Product_Code],Master[Fabric])</f>
        <v>Cotton</v>
      </c>
      <c r="J179" s="8">
        <f>_xlfn.XLOOKUP(D179,Master[Product_Code],Master[Size])</f>
        <v>42</v>
      </c>
      <c r="K179" s="8" t="str">
        <f>_xlfn.XLOOKUP(D179,Master[Product_Code],Master[Color])</f>
        <v>Light Grey</v>
      </c>
      <c r="L179" s="3">
        <f>_xlfn.XLOOKUP(D179,Master[Product_Code],Master[Selling_Price])</f>
        <v>880</v>
      </c>
    </row>
    <row r="180" spans="2:12">
      <c r="B180" s="2" t="s">
        <v>1840</v>
      </c>
      <c r="C180" s="7">
        <v>45936</v>
      </c>
      <c r="D180" s="2" t="s">
        <v>638</v>
      </c>
      <c r="E180" s="4">
        <v>1</v>
      </c>
      <c r="F180" s="8" t="str">
        <f>_xlfn.XLOOKUP(D180,Master[Product_Code],Master[Category])</f>
        <v>T-Shirt</v>
      </c>
      <c r="G180" s="8" t="str">
        <f>_xlfn.XLOOKUP(D180,Master[Product_Code],Master[Brand])</f>
        <v>Max</v>
      </c>
      <c r="H180" s="8" t="str">
        <f>_xlfn.XLOOKUP(D180,Master[Product_Code],Master[Style])</f>
        <v>3/4 Sleeve</v>
      </c>
      <c r="I180" s="8" t="str">
        <f>_xlfn.XLOOKUP(D180,Master[Product_Code],Master[Fabric])</f>
        <v>Cotton</v>
      </c>
      <c r="J180" s="8" t="str">
        <f>_xlfn.XLOOKUP(D180,Master[Product_Code],Master[Size])</f>
        <v>XL</v>
      </c>
      <c r="K180" s="8" t="str">
        <f>_xlfn.XLOOKUP(D180,Master[Product_Code],Master[Color])</f>
        <v>Brown</v>
      </c>
      <c r="L180" s="3">
        <f>_xlfn.XLOOKUP(D180,Master[Product_Code],Master[Selling_Price])</f>
        <v>460</v>
      </c>
    </row>
    <row r="181" spans="2:12">
      <c r="B181" s="2" t="s">
        <v>1841</v>
      </c>
      <c r="C181" s="7">
        <v>45937</v>
      </c>
      <c r="D181" s="2" t="s">
        <v>68</v>
      </c>
      <c r="E181" s="4">
        <v>1</v>
      </c>
      <c r="F181" s="8" t="str">
        <f>_xlfn.XLOOKUP(D181,Master[Product_Code],Master[Category])</f>
        <v>Shirt</v>
      </c>
      <c r="G181" s="8" t="str">
        <f>_xlfn.XLOOKUP(D181,Master[Product_Code],Master[Brand])</f>
        <v>H&amp;M</v>
      </c>
      <c r="H181" s="8" t="str">
        <f>_xlfn.XLOOKUP(D181,Master[Product_Code],Master[Style])</f>
        <v>Formal</v>
      </c>
      <c r="I181" s="8" t="str">
        <f>_xlfn.XLOOKUP(D181,Master[Product_Code],Master[Fabric])</f>
        <v>Cotton Blend</v>
      </c>
      <c r="J181" s="8" t="str">
        <f>_xlfn.XLOOKUP(D181,Master[Product_Code],Master[Size])</f>
        <v>XL</v>
      </c>
      <c r="K181" s="8" t="str">
        <f>_xlfn.XLOOKUP(D181,Master[Product_Code],Master[Color])</f>
        <v>Black</v>
      </c>
      <c r="L181" s="3">
        <f>_xlfn.XLOOKUP(D181,Master[Product_Code],Master[Selling_Price])</f>
        <v>820</v>
      </c>
    </row>
    <row r="182" spans="2:12">
      <c r="B182" s="2" t="s">
        <v>1841</v>
      </c>
      <c r="C182" s="7">
        <v>45937</v>
      </c>
      <c r="D182" s="2" t="s">
        <v>142</v>
      </c>
      <c r="E182" s="4">
        <v>1</v>
      </c>
      <c r="F182" s="8" t="str">
        <f>_xlfn.XLOOKUP(D182,Master[Product_Code],Master[Category])</f>
        <v>Shirt</v>
      </c>
      <c r="G182" s="8" t="str">
        <f>_xlfn.XLOOKUP(D182,Master[Product_Code],Master[Brand])</f>
        <v>Luke &amp; Burg</v>
      </c>
      <c r="H182" s="8" t="str">
        <f>_xlfn.XLOOKUP(D182,Master[Product_Code],Master[Style])</f>
        <v>Casual</v>
      </c>
      <c r="I182" s="8" t="str">
        <f>_xlfn.XLOOKUP(D182,Master[Product_Code],Master[Fabric])</f>
        <v>Cotton</v>
      </c>
      <c r="J182" s="8" t="str">
        <f>_xlfn.XLOOKUP(D182,Master[Product_Code],Master[Size])</f>
        <v>XL</v>
      </c>
      <c r="K182" s="8" t="str">
        <f>_xlfn.XLOOKUP(D182,Master[Product_Code],Master[Color])</f>
        <v>Black</v>
      </c>
      <c r="L182" s="3">
        <f>_xlfn.XLOOKUP(D182,Master[Product_Code],Master[Selling_Price])</f>
        <v>730</v>
      </c>
    </row>
    <row r="183" spans="2:12">
      <c r="B183" s="2" t="s">
        <v>1841</v>
      </c>
      <c r="C183" s="7">
        <v>45937</v>
      </c>
      <c r="D183" s="2" t="s">
        <v>865</v>
      </c>
      <c r="E183" s="4">
        <v>1</v>
      </c>
      <c r="F183" s="8" t="str">
        <f>_xlfn.XLOOKUP(D183,Master[Product_Code],Master[Category])</f>
        <v>Jeans</v>
      </c>
      <c r="G183" s="8" t="str">
        <f>_xlfn.XLOOKUP(D183,Master[Product_Code],Master[Brand])</f>
        <v>Spykar</v>
      </c>
      <c r="H183" s="8" t="str">
        <f>_xlfn.XLOOKUP(D183,Master[Product_Code],Master[Style])</f>
        <v>Baggy</v>
      </c>
      <c r="I183" s="8" t="str">
        <f>_xlfn.XLOOKUP(D183,Master[Product_Code],Master[Fabric])</f>
        <v>Denim</v>
      </c>
      <c r="J183" s="8">
        <f>_xlfn.XLOOKUP(D183,Master[Product_Code],Master[Size])</f>
        <v>42</v>
      </c>
      <c r="K183" s="8" t="str">
        <f>_xlfn.XLOOKUP(D183,Master[Product_Code],Master[Color])</f>
        <v>Royal Blue</v>
      </c>
      <c r="L183" s="3">
        <f>_xlfn.XLOOKUP(D183,Master[Product_Code],Master[Selling_Price])</f>
        <v>830</v>
      </c>
    </row>
    <row r="184" spans="2:12">
      <c r="B184" s="2" t="s">
        <v>1842</v>
      </c>
      <c r="C184" s="7">
        <v>45937</v>
      </c>
      <c r="D184" s="2" t="s">
        <v>714</v>
      </c>
      <c r="E184" s="4">
        <v>1</v>
      </c>
      <c r="F184" s="8" t="str">
        <f>_xlfn.XLOOKUP(D184,Master[Product_Code],Master[Category])</f>
        <v>T-Shirt</v>
      </c>
      <c r="G184" s="8" t="str">
        <f>_xlfn.XLOOKUP(D184,Master[Product_Code],Master[Brand])</f>
        <v>Urban Monkey</v>
      </c>
      <c r="H184" s="8" t="str">
        <f>_xlfn.XLOOKUP(D184,Master[Product_Code],Master[Style])</f>
        <v>Half Sleeve</v>
      </c>
      <c r="I184" s="8" t="str">
        <f>_xlfn.XLOOKUP(D184,Master[Product_Code],Master[Fabric])</f>
        <v>Poly Cotton</v>
      </c>
      <c r="J184" s="8" t="str">
        <f>_xlfn.XLOOKUP(D184,Master[Product_Code],Master[Size])</f>
        <v>L</v>
      </c>
      <c r="K184" s="8" t="str">
        <f>_xlfn.XLOOKUP(D184,Master[Product_Code],Master[Color])</f>
        <v>Grey</v>
      </c>
      <c r="L184" s="3">
        <f>_xlfn.XLOOKUP(D184,Master[Product_Code],Master[Selling_Price])</f>
        <v>310</v>
      </c>
    </row>
    <row r="185" spans="2:12">
      <c r="B185" s="2" t="s">
        <v>1842</v>
      </c>
      <c r="C185" s="7">
        <v>45937</v>
      </c>
      <c r="D185" s="2" t="s">
        <v>47</v>
      </c>
      <c r="E185" s="4">
        <v>1</v>
      </c>
      <c r="F185" s="8" t="str">
        <f>_xlfn.XLOOKUP(D185,Master[Product_Code],Master[Category])</f>
        <v>Shirt</v>
      </c>
      <c r="G185" s="8" t="str">
        <f>_xlfn.XLOOKUP(D185,Master[Product_Code],Master[Brand])</f>
        <v>G Studio</v>
      </c>
      <c r="H185" s="8" t="str">
        <f>_xlfn.XLOOKUP(D185,Master[Product_Code],Master[Style])</f>
        <v>Formal</v>
      </c>
      <c r="I185" s="8" t="str">
        <f>_xlfn.XLOOKUP(D185,Master[Product_Code],Master[Fabric])</f>
        <v>Polyester</v>
      </c>
      <c r="J185" s="8" t="str">
        <f>_xlfn.XLOOKUP(D185,Master[Product_Code],Master[Size])</f>
        <v>XL</v>
      </c>
      <c r="K185" s="8" t="str">
        <f>_xlfn.XLOOKUP(D185,Master[Product_Code],Master[Color])</f>
        <v>Beige</v>
      </c>
      <c r="L185" s="3">
        <f>_xlfn.XLOOKUP(D185,Master[Product_Code],Master[Selling_Price])</f>
        <v>820</v>
      </c>
    </row>
    <row r="186" spans="2:12">
      <c r="B186" s="2" t="s">
        <v>1842</v>
      </c>
      <c r="C186" s="7">
        <v>45937</v>
      </c>
      <c r="D186" s="2" t="s">
        <v>384</v>
      </c>
      <c r="E186" s="4">
        <v>1</v>
      </c>
      <c r="F186" s="8" t="str">
        <f>_xlfn.XLOOKUP(D186,Master[Product_Code],Master[Category])</f>
        <v>Shirt</v>
      </c>
      <c r="G186" s="8" t="str">
        <f>_xlfn.XLOOKUP(D186,Master[Product_Code],Master[Brand])</f>
        <v>H&amp;M</v>
      </c>
      <c r="H186" s="8" t="str">
        <f>_xlfn.XLOOKUP(D186,Master[Product_Code],Master[Style])</f>
        <v>Casual</v>
      </c>
      <c r="I186" s="8" t="str">
        <f>_xlfn.XLOOKUP(D186,Master[Product_Code],Master[Fabric])</f>
        <v>Cotton</v>
      </c>
      <c r="J186" s="8" t="str">
        <f>_xlfn.XLOOKUP(D186,Master[Product_Code],Master[Size])</f>
        <v>XL</v>
      </c>
      <c r="K186" s="8" t="str">
        <f>_xlfn.XLOOKUP(D186,Master[Product_Code],Master[Color])</f>
        <v>Maroon</v>
      </c>
      <c r="L186" s="3">
        <f>_xlfn.XLOOKUP(D186,Master[Product_Code],Master[Selling_Price])</f>
        <v>660</v>
      </c>
    </row>
    <row r="187" spans="2:12">
      <c r="B187" s="2" t="s">
        <v>1843</v>
      </c>
      <c r="C187" s="7">
        <v>45937</v>
      </c>
      <c r="D187" s="2" t="s">
        <v>1080</v>
      </c>
      <c r="E187" s="4">
        <v>1</v>
      </c>
      <c r="F187" s="8" t="str">
        <f>_xlfn.XLOOKUP(D187,Master[Product_Code],Master[Category])</f>
        <v>Jeans</v>
      </c>
      <c r="G187" s="8" t="str">
        <f>_xlfn.XLOOKUP(D187,Master[Product_Code],Master[Brand])</f>
        <v>Locomotive</v>
      </c>
      <c r="H187" s="8" t="str">
        <f>_xlfn.XLOOKUP(D187,Master[Product_Code],Master[Style])</f>
        <v>Mom Fit</v>
      </c>
      <c r="I187" s="8" t="str">
        <f>_xlfn.XLOOKUP(D187,Master[Product_Code],Master[Fabric])</f>
        <v>Denim</v>
      </c>
      <c r="J187" s="8">
        <f>_xlfn.XLOOKUP(D187,Master[Product_Code],Master[Size])</f>
        <v>32</v>
      </c>
      <c r="K187" s="8" t="str">
        <f>_xlfn.XLOOKUP(D187,Master[Product_Code],Master[Color])</f>
        <v>Black</v>
      </c>
      <c r="L187" s="3">
        <f>_xlfn.XLOOKUP(D187,Master[Product_Code],Master[Selling_Price])</f>
        <v>1090</v>
      </c>
    </row>
    <row r="188" spans="2:12">
      <c r="B188" s="2" t="s">
        <v>1843</v>
      </c>
      <c r="C188" s="7">
        <v>45937</v>
      </c>
      <c r="D188" s="2" t="s">
        <v>1644</v>
      </c>
      <c r="E188" s="4">
        <v>1</v>
      </c>
      <c r="F188" s="8" t="str">
        <f>_xlfn.XLOOKUP(D188,Master[Product_Code],Master[Category])</f>
        <v>Innerwear</v>
      </c>
      <c r="G188" s="8" t="str">
        <f>_xlfn.XLOOKUP(D188,Master[Product_Code],Master[Brand])</f>
        <v>Jockey</v>
      </c>
      <c r="H188" s="8" t="str">
        <f>_xlfn.XLOOKUP(D188,Master[Product_Code],Master[Style])</f>
        <v>Boxer</v>
      </c>
      <c r="I188" s="8" t="str">
        <f>_xlfn.XLOOKUP(D188,Master[Product_Code],Master[Fabric])</f>
        <v>Cotton</v>
      </c>
      <c r="J188" s="8" t="str">
        <f>_xlfn.XLOOKUP(D188,Master[Product_Code],Master[Size])</f>
        <v>80-85</v>
      </c>
      <c r="K188" s="8" t="str">
        <f>_xlfn.XLOOKUP(D188,Master[Product_Code],Master[Color])</f>
        <v>Black</v>
      </c>
      <c r="L188" s="3">
        <f>_xlfn.XLOOKUP(D188,Master[Product_Code],Master[Selling_Price])</f>
        <v>170</v>
      </c>
    </row>
    <row r="189" spans="2:12">
      <c r="B189" s="2" t="s">
        <v>1844</v>
      </c>
      <c r="C189" s="7">
        <v>45937</v>
      </c>
      <c r="D189" s="2" t="s">
        <v>136</v>
      </c>
      <c r="E189" s="4">
        <v>1</v>
      </c>
      <c r="F189" s="8" t="str">
        <f>_xlfn.XLOOKUP(D189,Master[Product_Code],Master[Category])</f>
        <v>Shirt</v>
      </c>
      <c r="G189" s="8" t="str">
        <f>_xlfn.XLOOKUP(D189,Master[Product_Code],Master[Brand])</f>
        <v>Zara</v>
      </c>
      <c r="H189" s="8" t="str">
        <f>_xlfn.XLOOKUP(D189,Master[Product_Code],Master[Style])</f>
        <v>Partywear</v>
      </c>
      <c r="I189" s="8" t="str">
        <f>_xlfn.XLOOKUP(D189,Master[Product_Code],Master[Fabric])</f>
        <v>Polyester</v>
      </c>
      <c r="J189" s="8" t="str">
        <f>_xlfn.XLOOKUP(D189,Master[Product_Code],Master[Size])</f>
        <v>XL</v>
      </c>
      <c r="K189" s="8" t="str">
        <f>_xlfn.XLOOKUP(D189,Master[Product_Code],Master[Color])</f>
        <v>Black</v>
      </c>
      <c r="L189" s="3">
        <f>_xlfn.XLOOKUP(D189,Master[Product_Code],Master[Selling_Price])</f>
        <v>770</v>
      </c>
    </row>
    <row r="190" spans="2:12">
      <c r="B190" s="2" t="s">
        <v>1844</v>
      </c>
      <c r="C190" s="7">
        <v>45937</v>
      </c>
      <c r="D190" s="2" t="s">
        <v>465</v>
      </c>
      <c r="E190" s="4">
        <v>1</v>
      </c>
      <c r="F190" s="8" t="str">
        <f>_xlfn.XLOOKUP(D190,Master[Product_Code],Master[Category])</f>
        <v>T-Shirt</v>
      </c>
      <c r="G190" s="8" t="str">
        <f>_xlfn.XLOOKUP(D190,Master[Product_Code],Master[Brand])</f>
        <v>Zara</v>
      </c>
      <c r="H190" s="8" t="str">
        <f>_xlfn.XLOOKUP(D190,Master[Product_Code],Master[Style])</f>
        <v>Sleeveless</v>
      </c>
      <c r="I190" s="8" t="str">
        <f>_xlfn.XLOOKUP(D190,Master[Product_Code],Master[Fabric])</f>
        <v>Poly Cotton</v>
      </c>
      <c r="J190" s="8" t="str">
        <f>_xlfn.XLOOKUP(D190,Master[Product_Code],Master[Size])</f>
        <v>XL</v>
      </c>
      <c r="K190" s="8" t="str">
        <f>_xlfn.XLOOKUP(D190,Master[Product_Code],Master[Color])</f>
        <v>Light Grey</v>
      </c>
      <c r="L190" s="3">
        <f>_xlfn.XLOOKUP(D190,Master[Product_Code],Master[Selling_Price])</f>
        <v>480</v>
      </c>
    </row>
    <row r="191" spans="2:12">
      <c r="B191" s="2" t="s">
        <v>1844</v>
      </c>
      <c r="C191" s="7">
        <v>45937</v>
      </c>
      <c r="D191" s="2" t="s">
        <v>1280</v>
      </c>
      <c r="E191" s="4">
        <v>1</v>
      </c>
      <c r="F191" s="8" t="str">
        <f>_xlfn.XLOOKUP(D191,Master[Product_Code],Master[Category])</f>
        <v>Pants</v>
      </c>
      <c r="G191" s="8" t="str">
        <f>_xlfn.XLOOKUP(D191,Master[Product_Code],Master[Brand])</f>
        <v>Peter England</v>
      </c>
      <c r="H191" s="8" t="str">
        <f>_xlfn.XLOOKUP(D191,Master[Product_Code],Master[Style])</f>
        <v>Korean</v>
      </c>
      <c r="I191" s="8" t="str">
        <f>_xlfn.XLOOKUP(D191,Master[Product_Code],Master[Fabric])</f>
        <v>Lycra</v>
      </c>
      <c r="J191" s="8">
        <f>_xlfn.XLOOKUP(D191,Master[Product_Code],Master[Size])</f>
        <v>32</v>
      </c>
      <c r="K191" s="8" t="str">
        <f>_xlfn.XLOOKUP(D191,Master[Product_Code],Master[Color])</f>
        <v>Wine</v>
      </c>
      <c r="L191" s="3">
        <f>_xlfn.XLOOKUP(D191,Master[Product_Code],Master[Selling_Price])</f>
        <v>730</v>
      </c>
    </row>
    <row r="192" spans="2:12">
      <c r="B192" s="2" t="s">
        <v>1845</v>
      </c>
      <c r="C192" s="7">
        <v>45937</v>
      </c>
      <c r="D192" s="2" t="s">
        <v>1299</v>
      </c>
      <c r="E192" s="4">
        <v>1</v>
      </c>
      <c r="F192" s="8" t="str">
        <f>_xlfn.XLOOKUP(D192,Master[Product_Code],Master[Category])</f>
        <v>Pants</v>
      </c>
      <c r="G192" s="8" t="str">
        <f>_xlfn.XLOOKUP(D192,Master[Product_Code],Master[Brand])</f>
        <v>Louis Philippe</v>
      </c>
      <c r="H192" s="8" t="str">
        <f>_xlfn.XLOOKUP(D192,Master[Product_Code],Master[Style])</f>
        <v>Kurka</v>
      </c>
      <c r="I192" s="8" t="str">
        <f>_xlfn.XLOOKUP(D192,Master[Product_Code],Master[Fabric])</f>
        <v>Lycra</v>
      </c>
      <c r="J192" s="8">
        <f>_xlfn.XLOOKUP(D192,Master[Product_Code],Master[Size])</f>
        <v>40</v>
      </c>
      <c r="K192" s="8" t="str">
        <f>_xlfn.XLOOKUP(D192,Master[Product_Code],Master[Color])</f>
        <v>White</v>
      </c>
      <c r="L192" s="3">
        <f>_xlfn.XLOOKUP(D192,Master[Product_Code],Master[Selling_Price])</f>
        <v>940</v>
      </c>
    </row>
    <row r="193" spans="2:12">
      <c r="B193" s="2" t="s">
        <v>1845</v>
      </c>
      <c r="C193" s="7">
        <v>45937</v>
      </c>
      <c r="D193" s="2" t="s">
        <v>1268</v>
      </c>
      <c r="E193" s="4">
        <v>1</v>
      </c>
      <c r="F193" s="8" t="str">
        <f>_xlfn.XLOOKUP(D193,Master[Product_Code],Master[Category])</f>
        <v>Pants</v>
      </c>
      <c r="G193" s="8" t="str">
        <f>_xlfn.XLOOKUP(D193,Master[Product_Code],Master[Brand])</f>
        <v>Raymond</v>
      </c>
      <c r="H193" s="8" t="str">
        <f>_xlfn.XLOOKUP(D193,Master[Product_Code],Master[Style])</f>
        <v>Jogger</v>
      </c>
      <c r="I193" s="8" t="str">
        <f>_xlfn.XLOOKUP(D193,Master[Product_Code],Master[Fabric])</f>
        <v>Cotton</v>
      </c>
      <c r="J193" s="8">
        <f>_xlfn.XLOOKUP(D193,Master[Product_Code],Master[Size])</f>
        <v>28</v>
      </c>
      <c r="K193" s="8" t="str">
        <f>_xlfn.XLOOKUP(D193,Master[Product_Code],Master[Color])</f>
        <v>Mustard</v>
      </c>
      <c r="L193" s="3">
        <f>_xlfn.XLOOKUP(D193,Master[Product_Code],Master[Selling_Price])</f>
        <v>720</v>
      </c>
    </row>
    <row r="194" spans="2:12">
      <c r="B194" s="2" t="s">
        <v>1845</v>
      </c>
      <c r="C194" s="7">
        <v>45937</v>
      </c>
      <c r="D194" s="2" t="s">
        <v>1049</v>
      </c>
      <c r="E194" s="4">
        <v>1</v>
      </c>
      <c r="F194" s="8" t="str">
        <f>_xlfn.XLOOKUP(D194,Master[Product_Code],Master[Category])</f>
        <v>Jeans</v>
      </c>
      <c r="G194" s="8" t="str">
        <f>_xlfn.XLOOKUP(D194,Master[Product_Code],Master[Brand])</f>
        <v>Denim Pro</v>
      </c>
      <c r="H194" s="8" t="str">
        <f>_xlfn.XLOOKUP(D194,Master[Product_Code],Master[Style])</f>
        <v>Baggy</v>
      </c>
      <c r="I194" s="8" t="str">
        <f>_xlfn.XLOOKUP(D194,Master[Product_Code],Master[Fabric])</f>
        <v>Denim</v>
      </c>
      <c r="J194" s="8">
        <f>_xlfn.XLOOKUP(D194,Master[Product_Code],Master[Size])</f>
        <v>36</v>
      </c>
      <c r="K194" s="8" t="str">
        <f>_xlfn.XLOOKUP(D194,Master[Product_Code],Master[Color])</f>
        <v>Maroon</v>
      </c>
      <c r="L194" s="3">
        <f>_xlfn.XLOOKUP(D194,Master[Product_Code],Master[Selling_Price])</f>
        <v>1010</v>
      </c>
    </row>
    <row r="195" spans="2:12">
      <c r="B195" s="2" t="s">
        <v>1846</v>
      </c>
      <c r="C195" s="7">
        <v>45937</v>
      </c>
      <c r="D195" s="2" t="s">
        <v>150</v>
      </c>
      <c r="E195" s="4">
        <v>1</v>
      </c>
      <c r="F195" s="8" t="str">
        <f>_xlfn.XLOOKUP(D195,Master[Product_Code],Master[Category])</f>
        <v>Shirt</v>
      </c>
      <c r="G195" s="8" t="str">
        <f>_xlfn.XLOOKUP(D195,Master[Product_Code],Master[Brand])</f>
        <v>Luke &amp; Burg</v>
      </c>
      <c r="H195" s="8" t="str">
        <f>_xlfn.XLOOKUP(D195,Master[Product_Code],Master[Style])</f>
        <v>Casual</v>
      </c>
      <c r="I195" s="8" t="str">
        <f>_xlfn.XLOOKUP(D195,Master[Product_Code],Master[Fabric])</f>
        <v>Cotton</v>
      </c>
      <c r="J195" s="8" t="str">
        <f>_xlfn.XLOOKUP(D195,Master[Product_Code],Master[Size])</f>
        <v>XL</v>
      </c>
      <c r="K195" s="8" t="str">
        <f>_xlfn.XLOOKUP(D195,Master[Product_Code],Master[Color])</f>
        <v>Teal</v>
      </c>
      <c r="L195" s="3">
        <f>_xlfn.XLOOKUP(D195,Master[Product_Code],Master[Selling_Price])</f>
        <v>630</v>
      </c>
    </row>
    <row r="196" spans="2:12">
      <c r="B196" s="2" t="s">
        <v>1847</v>
      </c>
      <c r="C196" s="7">
        <v>45937</v>
      </c>
      <c r="D196" s="2" t="s">
        <v>423</v>
      </c>
      <c r="E196" s="4">
        <v>1</v>
      </c>
      <c r="F196" s="8" t="str">
        <f>_xlfn.XLOOKUP(D196,Master[Product_Code],Master[Category])</f>
        <v>T-Shirt</v>
      </c>
      <c r="G196" s="8" t="str">
        <f>_xlfn.XLOOKUP(D196,Master[Product_Code],Master[Brand])</f>
        <v>Roadster</v>
      </c>
      <c r="H196" s="8" t="str">
        <f>_xlfn.XLOOKUP(D196,Master[Product_Code],Master[Style])</f>
        <v>Full Sleeve</v>
      </c>
      <c r="I196" s="8" t="str">
        <f>_xlfn.XLOOKUP(D196,Master[Product_Code],Master[Fabric])</f>
        <v>Poly Cotton</v>
      </c>
      <c r="J196" s="8" t="str">
        <f>_xlfn.XLOOKUP(D196,Master[Product_Code],Master[Size])</f>
        <v>M</v>
      </c>
      <c r="K196" s="8" t="str">
        <f>_xlfn.XLOOKUP(D196,Master[Product_Code],Master[Color])</f>
        <v>Black</v>
      </c>
      <c r="L196" s="3">
        <f>_xlfn.XLOOKUP(D196,Master[Product_Code],Master[Selling_Price])</f>
        <v>240</v>
      </c>
    </row>
    <row r="197" spans="2:12">
      <c r="B197" s="2" t="s">
        <v>1847</v>
      </c>
      <c r="C197" s="7">
        <v>45937</v>
      </c>
      <c r="D197" s="2" t="s">
        <v>171</v>
      </c>
      <c r="E197" s="4">
        <v>1</v>
      </c>
      <c r="F197" s="8" t="str">
        <f>_xlfn.XLOOKUP(D197,Master[Product_Code],Master[Category])</f>
        <v>Shirt</v>
      </c>
      <c r="G197" s="8" t="str">
        <f>_xlfn.XLOOKUP(D197,Master[Product_Code],Master[Brand])</f>
        <v>L7</v>
      </c>
      <c r="H197" s="8" t="str">
        <f>_xlfn.XLOOKUP(D197,Master[Product_Code],Master[Style])</f>
        <v>Formal</v>
      </c>
      <c r="I197" s="8" t="str">
        <f>_xlfn.XLOOKUP(D197,Master[Product_Code],Master[Fabric])</f>
        <v>Lycra</v>
      </c>
      <c r="J197" s="8" t="str">
        <f>_xlfn.XLOOKUP(D197,Master[Product_Code],Master[Size])</f>
        <v>M</v>
      </c>
      <c r="K197" s="8" t="str">
        <f>_xlfn.XLOOKUP(D197,Master[Product_Code],Master[Color])</f>
        <v>Dark Green</v>
      </c>
      <c r="L197" s="3">
        <f>_xlfn.XLOOKUP(D197,Master[Product_Code],Master[Selling_Price])</f>
        <v>870</v>
      </c>
    </row>
    <row r="198" spans="2:12">
      <c r="B198" s="2" t="s">
        <v>1848</v>
      </c>
      <c r="C198" s="7">
        <v>45937</v>
      </c>
      <c r="D198" s="2" t="s">
        <v>959</v>
      </c>
      <c r="E198" s="4">
        <v>1</v>
      </c>
      <c r="F198" s="8" t="str">
        <f>_xlfn.XLOOKUP(D198,Master[Product_Code],Master[Category])</f>
        <v>Jeans</v>
      </c>
      <c r="G198" s="8" t="str">
        <f>_xlfn.XLOOKUP(D198,Master[Product_Code],Master[Brand])</f>
        <v>Wrangler</v>
      </c>
      <c r="H198" s="8" t="str">
        <f>_xlfn.XLOOKUP(D198,Master[Product_Code],Master[Style])</f>
        <v>Jogger</v>
      </c>
      <c r="I198" s="8" t="str">
        <f>_xlfn.XLOOKUP(D198,Master[Product_Code],Master[Fabric])</f>
        <v>Denim</v>
      </c>
      <c r="J198" s="8">
        <f>_xlfn.XLOOKUP(D198,Master[Product_Code],Master[Size])</f>
        <v>30</v>
      </c>
      <c r="K198" s="8" t="str">
        <f>_xlfn.XLOOKUP(D198,Master[Product_Code],Master[Color])</f>
        <v>Navy Blue</v>
      </c>
      <c r="L198" s="3">
        <f>_xlfn.XLOOKUP(D198,Master[Product_Code],Master[Selling_Price])</f>
        <v>860</v>
      </c>
    </row>
    <row r="199" spans="2:12">
      <c r="B199" s="2" t="s">
        <v>1849</v>
      </c>
      <c r="C199" s="7">
        <v>45937</v>
      </c>
      <c r="D199" s="2" t="s">
        <v>1629</v>
      </c>
      <c r="E199" s="4">
        <v>1</v>
      </c>
      <c r="F199" s="8" t="str">
        <f>_xlfn.XLOOKUP(D199,Master[Product_Code],Master[Category])</f>
        <v>Innerwear</v>
      </c>
      <c r="G199" s="8" t="str">
        <f>_xlfn.XLOOKUP(D199,Master[Product_Code],Master[Brand])</f>
        <v>Dollar</v>
      </c>
      <c r="H199" s="8" t="str">
        <f>_xlfn.XLOOKUP(D199,Master[Product_Code],Master[Style])</f>
        <v>Boxer</v>
      </c>
      <c r="I199" s="8" t="str">
        <f>_xlfn.XLOOKUP(D199,Master[Product_Code],Master[Fabric])</f>
        <v>Cotton Blend</v>
      </c>
      <c r="J199" s="8" t="str">
        <f>_xlfn.XLOOKUP(D199,Master[Product_Code],Master[Size])</f>
        <v>75-80</v>
      </c>
      <c r="K199" s="8" t="str">
        <f>_xlfn.XLOOKUP(D199,Master[Product_Code],Master[Color])</f>
        <v>Wine</v>
      </c>
      <c r="L199" s="3">
        <f>_xlfn.XLOOKUP(D199,Master[Product_Code],Master[Selling_Price])</f>
        <v>140</v>
      </c>
    </row>
    <row r="200" spans="2:12">
      <c r="B200" s="2" t="s">
        <v>1850</v>
      </c>
      <c r="C200" s="7">
        <v>45937</v>
      </c>
      <c r="D200" s="2" t="s">
        <v>1074</v>
      </c>
      <c r="E200" s="4">
        <v>1</v>
      </c>
      <c r="F200" s="8" t="str">
        <f>_xlfn.XLOOKUP(D200,Master[Product_Code],Master[Category])</f>
        <v>Jeans</v>
      </c>
      <c r="G200" s="8" t="str">
        <f>_xlfn.XLOOKUP(D200,Master[Product_Code],Master[Brand])</f>
        <v>Pepe</v>
      </c>
      <c r="H200" s="8" t="str">
        <f>_xlfn.XLOOKUP(D200,Master[Product_Code],Master[Style])</f>
        <v>Jogger</v>
      </c>
      <c r="I200" s="8" t="str">
        <f>_xlfn.XLOOKUP(D200,Master[Product_Code],Master[Fabric])</f>
        <v>Denim</v>
      </c>
      <c r="J200" s="8">
        <f>_xlfn.XLOOKUP(D200,Master[Product_Code],Master[Size])</f>
        <v>34</v>
      </c>
      <c r="K200" s="8" t="str">
        <f>_xlfn.XLOOKUP(D200,Master[Product_Code],Master[Color])</f>
        <v>Maroon</v>
      </c>
      <c r="L200" s="3">
        <f>_xlfn.XLOOKUP(D200,Master[Product_Code],Master[Selling_Price])</f>
        <v>940</v>
      </c>
    </row>
    <row r="201" spans="2:12">
      <c r="B201" s="2" t="s">
        <v>1851</v>
      </c>
      <c r="C201" s="7">
        <v>45937</v>
      </c>
      <c r="D201" s="2" t="s">
        <v>1560</v>
      </c>
      <c r="E201" s="4">
        <v>1</v>
      </c>
      <c r="F201" s="8" t="str">
        <f>_xlfn.XLOOKUP(D201,Master[Product_Code],Master[Category])</f>
        <v>Innerwear</v>
      </c>
      <c r="G201" s="8" t="str">
        <f>_xlfn.XLOOKUP(D201,Master[Product_Code],Master[Brand])</f>
        <v>Jockey</v>
      </c>
      <c r="H201" s="8" t="str">
        <f>_xlfn.XLOOKUP(D201,Master[Product_Code],Master[Style])</f>
        <v>Boxer</v>
      </c>
      <c r="I201" s="8" t="str">
        <f>_xlfn.XLOOKUP(D201,Master[Product_Code],Master[Fabric])</f>
        <v>Cotton</v>
      </c>
      <c r="J201" s="8" t="str">
        <f>_xlfn.XLOOKUP(D201,Master[Product_Code],Master[Size])</f>
        <v>100-105</v>
      </c>
      <c r="K201" s="8" t="str">
        <f>_xlfn.XLOOKUP(D201,Master[Product_Code],Master[Color])</f>
        <v>Brown</v>
      </c>
      <c r="L201" s="3">
        <f>_xlfn.XLOOKUP(D201,Master[Product_Code],Master[Selling_Price])</f>
        <v>140</v>
      </c>
    </row>
    <row r="202" spans="2:12">
      <c r="B202" s="2" t="s">
        <v>1851</v>
      </c>
      <c r="C202" s="7">
        <v>45937</v>
      </c>
      <c r="D202" s="2" t="s">
        <v>1182</v>
      </c>
      <c r="E202" s="4">
        <v>1</v>
      </c>
      <c r="F202" s="8" t="str">
        <f>_xlfn.XLOOKUP(D202,Master[Product_Code],Master[Category])</f>
        <v>Pants</v>
      </c>
      <c r="G202" s="8" t="str">
        <f>_xlfn.XLOOKUP(D202,Master[Product_Code],Master[Brand])</f>
        <v>Van Heusen</v>
      </c>
      <c r="H202" s="8" t="str">
        <f>_xlfn.XLOOKUP(D202,Master[Product_Code],Master[Style])</f>
        <v>Polofit</v>
      </c>
      <c r="I202" s="8" t="str">
        <f>_xlfn.XLOOKUP(D202,Master[Product_Code],Master[Fabric])</f>
        <v>Lycra</v>
      </c>
      <c r="J202" s="8">
        <f>_xlfn.XLOOKUP(D202,Master[Product_Code],Master[Size])</f>
        <v>30</v>
      </c>
      <c r="K202" s="8" t="str">
        <f>_xlfn.XLOOKUP(D202,Master[Product_Code],Master[Color])</f>
        <v>Charcoal</v>
      </c>
      <c r="L202" s="3">
        <f>_xlfn.XLOOKUP(D202,Master[Product_Code],Master[Selling_Price])</f>
        <v>760</v>
      </c>
    </row>
    <row r="203" spans="2:12">
      <c r="B203" s="2" t="s">
        <v>1851</v>
      </c>
      <c r="C203" s="7">
        <v>45937</v>
      </c>
      <c r="D203" s="2" t="s">
        <v>495</v>
      </c>
      <c r="E203" s="4">
        <v>1</v>
      </c>
      <c r="F203" s="8" t="str">
        <f>_xlfn.XLOOKUP(D203,Master[Product_Code],Master[Category])</f>
        <v>T-Shirt</v>
      </c>
      <c r="G203" s="8" t="str">
        <f>_xlfn.XLOOKUP(D203,Master[Product_Code],Master[Brand])</f>
        <v>Zara</v>
      </c>
      <c r="H203" s="8" t="str">
        <f>_xlfn.XLOOKUP(D203,Master[Product_Code],Master[Style])</f>
        <v>Full Sleeve</v>
      </c>
      <c r="I203" s="8" t="str">
        <f>_xlfn.XLOOKUP(D203,Master[Product_Code],Master[Fabric])</f>
        <v>Cotton Blend</v>
      </c>
      <c r="J203" s="8" t="str">
        <f>_xlfn.XLOOKUP(D203,Master[Product_Code],Master[Size])</f>
        <v>S</v>
      </c>
      <c r="K203" s="8" t="str">
        <f>_xlfn.XLOOKUP(D203,Master[Product_Code],Master[Color])</f>
        <v>Cream</v>
      </c>
      <c r="L203" s="3">
        <f>_xlfn.XLOOKUP(D203,Master[Product_Code],Master[Selling_Price])</f>
        <v>510</v>
      </c>
    </row>
    <row r="204" spans="2:12">
      <c r="B204" s="2" t="s">
        <v>1851</v>
      </c>
      <c r="C204" s="7">
        <v>45937</v>
      </c>
      <c r="D204" s="2" t="s">
        <v>526</v>
      </c>
      <c r="E204" s="4">
        <v>1</v>
      </c>
      <c r="F204" s="8" t="str">
        <f>_xlfn.XLOOKUP(D204,Master[Product_Code],Master[Category])</f>
        <v>T-Shirt</v>
      </c>
      <c r="G204" s="8" t="str">
        <f>_xlfn.XLOOKUP(D204,Master[Product_Code],Master[Brand])</f>
        <v>Zara</v>
      </c>
      <c r="H204" s="8" t="str">
        <f>_xlfn.XLOOKUP(D204,Master[Product_Code],Master[Style])</f>
        <v>Full Sleeve</v>
      </c>
      <c r="I204" s="8" t="str">
        <f>_xlfn.XLOOKUP(D204,Master[Product_Code],Master[Fabric])</f>
        <v>Cotton Blend</v>
      </c>
      <c r="J204" s="8" t="str">
        <f>_xlfn.XLOOKUP(D204,Master[Product_Code],Master[Size])</f>
        <v>XXL</v>
      </c>
      <c r="K204" s="8" t="str">
        <f>_xlfn.XLOOKUP(D204,Master[Product_Code],Master[Color])</f>
        <v>Navy Blue</v>
      </c>
      <c r="L204" s="3">
        <f>_xlfn.XLOOKUP(D204,Master[Product_Code],Master[Selling_Price])</f>
        <v>480</v>
      </c>
    </row>
    <row r="205" spans="2:12">
      <c r="B205" s="2" t="s">
        <v>1852</v>
      </c>
      <c r="C205" s="7">
        <v>45937</v>
      </c>
      <c r="D205" s="2" t="s">
        <v>1701</v>
      </c>
      <c r="E205" s="4">
        <v>1</v>
      </c>
      <c r="F205" s="8" t="str">
        <f>_xlfn.XLOOKUP(D205,Master[Product_Code],Master[Category])</f>
        <v>Innerwear</v>
      </c>
      <c r="G205" s="8" t="str">
        <f>_xlfn.XLOOKUP(D205,Master[Product_Code],Master[Brand])</f>
        <v>Dollar</v>
      </c>
      <c r="H205" s="8" t="str">
        <f>_xlfn.XLOOKUP(D205,Master[Product_Code],Master[Style])</f>
        <v>Boxer</v>
      </c>
      <c r="I205" s="8" t="str">
        <f>_xlfn.XLOOKUP(D205,Master[Product_Code],Master[Fabric])</f>
        <v>Cotton</v>
      </c>
      <c r="J205" s="8" t="str">
        <f>_xlfn.XLOOKUP(D205,Master[Product_Code],Master[Size])</f>
        <v>105-110</v>
      </c>
      <c r="K205" s="8" t="str">
        <f>_xlfn.XLOOKUP(D205,Master[Product_Code],Master[Color])</f>
        <v>Rust</v>
      </c>
      <c r="L205" s="3">
        <f>_xlfn.XLOOKUP(D205,Master[Product_Code],Master[Selling_Price])</f>
        <v>150</v>
      </c>
    </row>
    <row r="206" spans="2:12">
      <c r="B206" s="2" t="s">
        <v>1852</v>
      </c>
      <c r="C206" s="7">
        <v>45937</v>
      </c>
      <c r="D206" s="2" t="s">
        <v>893</v>
      </c>
      <c r="E206" s="4">
        <v>1</v>
      </c>
      <c r="F206" s="8" t="str">
        <f>_xlfn.XLOOKUP(D206,Master[Product_Code],Master[Category])</f>
        <v>Jeans</v>
      </c>
      <c r="G206" s="8" t="str">
        <f>_xlfn.XLOOKUP(D206,Master[Product_Code],Master[Brand])</f>
        <v>Pepe</v>
      </c>
      <c r="H206" s="8" t="str">
        <f>_xlfn.XLOOKUP(D206,Master[Product_Code],Master[Style])</f>
        <v>Baggy</v>
      </c>
      <c r="I206" s="8" t="str">
        <f>_xlfn.XLOOKUP(D206,Master[Product_Code],Master[Fabric])</f>
        <v>Denim</v>
      </c>
      <c r="J206" s="8">
        <f>_xlfn.XLOOKUP(D206,Master[Product_Code],Master[Size])</f>
        <v>30</v>
      </c>
      <c r="K206" s="8" t="str">
        <f>_xlfn.XLOOKUP(D206,Master[Product_Code],Master[Color])</f>
        <v>White</v>
      </c>
      <c r="L206" s="3">
        <f>_xlfn.XLOOKUP(D206,Master[Product_Code],Master[Selling_Price])</f>
        <v>840</v>
      </c>
    </row>
    <row r="207" spans="2:12">
      <c r="B207" s="2" t="s">
        <v>1852</v>
      </c>
      <c r="C207" s="7">
        <v>45937</v>
      </c>
      <c r="D207" s="2" t="s">
        <v>1298</v>
      </c>
      <c r="E207" s="4">
        <v>1</v>
      </c>
      <c r="F207" s="8" t="str">
        <f>_xlfn.XLOOKUP(D207,Master[Product_Code],Master[Category])</f>
        <v>Pants</v>
      </c>
      <c r="G207" s="8" t="str">
        <f>_xlfn.XLOOKUP(D207,Master[Product_Code],Master[Brand])</f>
        <v>Van Heusen</v>
      </c>
      <c r="H207" s="8" t="str">
        <f>_xlfn.XLOOKUP(D207,Master[Product_Code],Master[Style])</f>
        <v>Jogger</v>
      </c>
      <c r="I207" s="8" t="str">
        <f>_xlfn.XLOOKUP(D207,Master[Product_Code],Master[Fabric])</f>
        <v>Cotton</v>
      </c>
      <c r="J207" s="8">
        <f>_xlfn.XLOOKUP(D207,Master[Product_Code],Master[Size])</f>
        <v>44</v>
      </c>
      <c r="K207" s="8" t="str">
        <f>_xlfn.XLOOKUP(D207,Master[Product_Code],Master[Color])</f>
        <v>Black</v>
      </c>
      <c r="L207" s="3">
        <f>_xlfn.XLOOKUP(D207,Master[Product_Code],Master[Selling_Price])</f>
        <v>830</v>
      </c>
    </row>
    <row r="208" spans="2:12">
      <c r="B208" s="2" t="s">
        <v>1852</v>
      </c>
      <c r="C208" s="7">
        <v>45937</v>
      </c>
      <c r="D208" s="2" t="s">
        <v>58</v>
      </c>
      <c r="E208" s="4">
        <v>1</v>
      </c>
      <c r="F208" s="8" t="str">
        <f>_xlfn.XLOOKUP(D208,Master[Product_Code],Master[Category])</f>
        <v>Shirt</v>
      </c>
      <c r="G208" s="8" t="str">
        <f>_xlfn.XLOOKUP(D208,Master[Product_Code],Master[Brand])</f>
        <v>Luke &amp; Burg</v>
      </c>
      <c r="H208" s="8" t="str">
        <f>_xlfn.XLOOKUP(D208,Master[Product_Code],Master[Style])</f>
        <v>Partywear</v>
      </c>
      <c r="I208" s="8" t="str">
        <f>_xlfn.XLOOKUP(D208,Master[Product_Code],Master[Fabric])</f>
        <v>Cotton</v>
      </c>
      <c r="J208" s="8" t="str">
        <f>_xlfn.XLOOKUP(D208,Master[Product_Code],Master[Size])</f>
        <v>XL</v>
      </c>
      <c r="K208" s="8" t="str">
        <f>_xlfn.XLOOKUP(D208,Master[Product_Code],Master[Color])</f>
        <v>Rust</v>
      </c>
      <c r="L208" s="3">
        <f>_xlfn.XLOOKUP(D208,Master[Product_Code],Master[Selling_Price])</f>
        <v>910</v>
      </c>
    </row>
    <row r="209" spans="2:12">
      <c r="B209" s="2" t="s">
        <v>1853</v>
      </c>
      <c r="C209" s="7">
        <v>45937</v>
      </c>
      <c r="D209" s="2" t="s">
        <v>478</v>
      </c>
      <c r="E209" s="4">
        <v>1</v>
      </c>
      <c r="F209" s="8" t="str">
        <f>_xlfn.XLOOKUP(D209,Master[Product_Code],Master[Category])</f>
        <v>T-Shirt</v>
      </c>
      <c r="G209" s="8" t="str">
        <f>_xlfn.XLOOKUP(D209,Master[Product_Code],Master[Brand])</f>
        <v>Zara</v>
      </c>
      <c r="H209" s="8" t="str">
        <f>_xlfn.XLOOKUP(D209,Master[Product_Code],Master[Style])</f>
        <v>Hoodie</v>
      </c>
      <c r="I209" s="8" t="str">
        <f>_xlfn.XLOOKUP(D209,Master[Product_Code],Master[Fabric])</f>
        <v>Cotton</v>
      </c>
      <c r="J209" s="8" t="str">
        <f>_xlfn.XLOOKUP(D209,Master[Product_Code],Master[Size])</f>
        <v>XL</v>
      </c>
      <c r="K209" s="8" t="str">
        <f>_xlfn.XLOOKUP(D209,Master[Product_Code],Master[Color])</f>
        <v>Light Grey</v>
      </c>
      <c r="L209" s="3">
        <f>_xlfn.XLOOKUP(D209,Master[Product_Code],Master[Selling_Price])</f>
        <v>490</v>
      </c>
    </row>
    <row r="210" spans="2:12">
      <c r="B210" s="2" t="s">
        <v>1853</v>
      </c>
      <c r="C210" s="7">
        <v>45937</v>
      </c>
      <c r="D210" s="2" t="s">
        <v>1355</v>
      </c>
      <c r="E210" s="4">
        <v>1</v>
      </c>
      <c r="F210" s="8" t="str">
        <f>_xlfn.XLOOKUP(D210,Master[Product_Code],Master[Category])</f>
        <v>Pants</v>
      </c>
      <c r="G210" s="8" t="str">
        <f>_xlfn.XLOOKUP(D210,Master[Product_Code],Master[Brand])</f>
        <v>Van Heusen</v>
      </c>
      <c r="H210" s="8" t="str">
        <f>_xlfn.XLOOKUP(D210,Master[Product_Code],Master[Style])</f>
        <v>Korean</v>
      </c>
      <c r="I210" s="8" t="str">
        <f>_xlfn.XLOOKUP(D210,Master[Product_Code],Master[Fabric])</f>
        <v>Lycra</v>
      </c>
      <c r="J210" s="8">
        <f>_xlfn.XLOOKUP(D210,Master[Product_Code],Master[Size])</f>
        <v>36</v>
      </c>
      <c r="K210" s="8" t="str">
        <f>_xlfn.XLOOKUP(D210,Master[Product_Code],Master[Color])</f>
        <v>Brown</v>
      </c>
      <c r="L210" s="3">
        <f>_xlfn.XLOOKUP(D210,Master[Product_Code],Master[Selling_Price])</f>
        <v>740</v>
      </c>
    </row>
    <row r="211" spans="2:12">
      <c r="B211" s="2" t="s">
        <v>1853</v>
      </c>
      <c r="C211" s="7">
        <v>45937</v>
      </c>
      <c r="D211" s="2" t="s">
        <v>1232</v>
      </c>
      <c r="E211" s="4">
        <v>1</v>
      </c>
      <c r="F211" s="8" t="str">
        <f>_xlfn.XLOOKUP(D211,Master[Product_Code],Master[Category])</f>
        <v>Pants</v>
      </c>
      <c r="G211" s="8" t="str">
        <f>_xlfn.XLOOKUP(D211,Master[Product_Code],Master[Brand])</f>
        <v>Louis Philippe</v>
      </c>
      <c r="H211" s="8" t="str">
        <f>_xlfn.XLOOKUP(D211,Master[Product_Code],Master[Style])</f>
        <v>Kurka</v>
      </c>
      <c r="I211" s="8" t="str">
        <f>_xlfn.XLOOKUP(D211,Master[Product_Code],Master[Fabric])</f>
        <v>Lycra</v>
      </c>
      <c r="J211" s="8">
        <f>_xlfn.XLOOKUP(D211,Master[Product_Code],Master[Size])</f>
        <v>32</v>
      </c>
      <c r="K211" s="8" t="str">
        <f>_xlfn.XLOOKUP(D211,Master[Product_Code],Master[Color])</f>
        <v>Brown</v>
      </c>
      <c r="L211" s="3">
        <f>_xlfn.XLOOKUP(D211,Master[Product_Code],Master[Selling_Price])</f>
        <v>830</v>
      </c>
    </row>
    <row r="212" spans="2:12">
      <c r="B212" s="2" t="s">
        <v>1854</v>
      </c>
      <c r="C212" s="7">
        <v>45937</v>
      </c>
      <c r="D212" s="2" t="s">
        <v>422</v>
      </c>
      <c r="E212" s="4">
        <v>1</v>
      </c>
      <c r="F212" s="8" t="str">
        <f>_xlfn.XLOOKUP(D212,Master[Product_Code],Master[Category])</f>
        <v>T-Shirt</v>
      </c>
      <c r="G212" s="8" t="str">
        <f>_xlfn.XLOOKUP(D212,Master[Product_Code],Master[Brand])</f>
        <v>Max</v>
      </c>
      <c r="H212" s="8" t="str">
        <f>_xlfn.XLOOKUP(D212,Master[Product_Code],Master[Style])</f>
        <v>3/4 Sleeve</v>
      </c>
      <c r="I212" s="8" t="str">
        <f>_xlfn.XLOOKUP(D212,Master[Product_Code],Master[Fabric])</f>
        <v>Cotton</v>
      </c>
      <c r="J212" s="8" t="str">
        <f>_xlfn.XLOOKUP(D212,Master[Product_Code],Master[Size])</f>
        <v>L</v>
      </c>
      <c r="K212" s="8" t="str">
        <f>_xlfn.XLOOKUP(D212,Master[Product_Code],Master[Color])</f>
        <v>Mustard</v>
      </c>
      <c r="L212" s="3">
        <f>_xlfn.XLOOKUP(D212,Master[Product_Code],Master[Selling_Price])</f>
        <v>730</v>
      </c>
    </row>
    <row r="213" spans="2:12">
      <c r="B213" s="2" t="s">
        <v>1855</v>
      </c>
      <c r="C213" s="7">
        <v>45937</v>
      </c>
      <c r="D213" s="2" t="s">
        <v>881</v>
      </c>
      <c r="E213" s="4">
        <v>1</v>
      </c>
      <c r="F213" s="8" t="str">
        <f>_xlfn.XLOOKUP(D213,Master[Product_Code],Master[Category])</f>
        <v>Jeans</v>
      </c>
      <c r="G213" s="8" t="str">
        <f>_xlfn.XLOOKUP(D213,Master[Product_Code],Master[Brand])</f>
        <v>Spykar</v>
      </c>
      <c r="H213" s="8" t="str">
        <f>_xlfn.XLOOKUP(D213,Master[Product_Code],Master[Style])</f>
        <v>Baggy</v>
      </c>
      <c r="I213" s="8" t="str">
        <f>_xlfn.XLOOKUP(D213,Master[Product_Code],Master[Fabric])</f>
        <v>Denim</v>
      </c>
      <c r="J213" s="8">
        <f>_xlfn.XLOOKUP(D213,Master[Product_Code],Master[Size])</f>
        <v>38</v>
      </c>
      <c r="K213" s="8" t="str">
        <f>_xlfn.XLOOKUP(D213,Master[Product_Code],Master[Color])</f>
        <v>White</v>
      </c>
      <c r="L213" s="3">
        <f>_xlfn.XLOOKUP(D213,Master[Product_Code],Master[Selling_Price])</f>
        <v>860</v>
      </c>
    </row>
    <row r="214" spans="2:12">
      <c r="B214" s="2" t="s">
        <v>1856</v>
      </c>
      <c r="C214" s="7">
        <v>45937</v>
      </c>
      <c r="D214" s="2" t="s">
        <v>832</v>
      </c>
      <c r="E214" s="4">
        <v>1</v>
      </c>
      <c r="F214" s="8" t="str">
        <f>_xlfn.XLOOKUP(D214,Master[Product_Code],Master[Category])</f>
        <v>T-Shirt</v>
      </c>
      <c r="G214" s="8" t="str">
        <f>_xlfn.XLOOKUP(D214,Master[Product_Code],Master[Brand])</f>
        <v>Thailand</v>
      </c>
      <c r="H214" s="8" t="str">
        <f>_xlfn.XLOOKUP(D214,Master[Product_Code],Master[Style])</f>
        <v>3/4 Sleeve</v>
      </c>
      <c r="I214" s="8" t="str">
        <f>_xlfn.XLOOKUP(D214,Master[Product_Code],Master[Fabric])</f>
        <v>Poly Cotton</v>
      </c>
      <c r="J214" s="8" t="str">
        <f>_xlfn.XLOOKUP(D214,Master[Product_Code],Master[Size])</f>
        <v>XXL</v>
      </c>
      <c r="K214" s="8" t="str">
        <f>_xlfn.XLOOKUP(D214,Master[Product_Code],Master[Color])</f>
        <v>Beige</v>
      </c>
      <c r="L214" s="3">
        <f>_xlfn.XLOOKUP(D214,Master[Product_Code],Master[Selling_Price])</f>
        <v>400</v>
      </c>
    </row>
    <row r="215" spans="2:12">
      <c r="B215" s="2" t="s">
        <v>1856</v>
      </c>
      <c r="C215" s="7">
        <v>45937</v>
      </c>
      <c r="D215" s="2" t="s">
        <v>306</v>
      </c>
      <c r="E215" s="4">
        <v>1</v>
      </c>
      <c r="F215" s="8" t="str">
        <f>_xlfn.XLOOKUP(D215,Master[Product_Code],Master[Category])</f>
        <v>Shirt</v>
      </c>
      <c r="G215" s="8" t="str">
        <f>_xlfn.XLOOKUP(D215,Master[Product_Code],Master[Brand])</f>
        <v>Luke &amp; Burg</v>
      </c>
      <c r="H215" s="8" t="str">
        <f>_xlfn.XLOOKUP(D215,Master[Product_Code],Master[Style])</f>
        <v>Partywear</v>
      </c>
      <c r="I215" s="8" t="str">
        <f>_xlfn.XLOOKUP(D215,Master[Product_Code],Master[Fabric])</f>
        <v>Polyester</v>
      </c>
      <c r="J215" s="8" t="str">
        <f>_xlfn.XLOOKUP(D215,Master[Product_Code],Master[Size])</f>
        <v>XL</v>
      </c>
      <c r="K215" s="8" t="str">
        <f>_xlfn.XLOOKUP(D215,Master[Product_Code],Master[Color])</f>
        <v>Mustard</v>
      </c>
      <c r="L215" s="3">
        <f>_xlfn.XLOOKUP(D215,Master[Product_Code],Master[Selling_Price])</f>
        <v>780</v>
      </c>
    </row>
    <row r="216" spans="2:12">
      <c r="B216" s="2" t="s">
        <v>1856</v>
      </c>
      <c r="C216" s="7">
        <v>45937</v>
      </c>
      <c r="D216" s="2" t="s">
        <v>1233</v>
      </c>
      <c r="E216" s="4">
        <v>1</v>
      </c>
      <c r="F216" s="8" t="str">
        <f>_xlfn.XLOOKUP(D216,Master[Product_Code],Master[Category])</f>
        <v>Pants</v>
      </c>
      <c r="G216" s="8" t="str">
        <f>_xlfn.XLOOKUP(D216,Master[Product_Code],Master[Brand])</f>
        <v>Van Heusen</v>
      </c>
      <c r="H216" s="8" t="str">
        <f>_xlfn.XLOOKUP(D216,Master[Product_Code],Master[Style])</f>
        <v>Polofit</v>
      </c>
      <c r="I216" s="8" t="str">
        <f>_xlfn.XLOOKUP(D216,Master[Product_Code],Master[Fabric])</f>
        <v>Lycra</v>
      </c>
      <c r="J216" s="8">
        <f>_xlfn.XLOOKUP(D216,Master[Product_Code],Master[Size])</f>
        <v>34</v>
      </c>
      <c r="K216" s="8" t="str">
        <f>_xlfn.XLOOKUP(D216,Master[Product_Code],Master[Color])</f>
        <v>Bottle Green</v>
      </c>
      <c r="L216" s="3">
        <f>_xlfn.XLOOKUP(D216,Master[Product_Code],Master[Selling_Price])</f>
        <v>850</v>
      </c>
    </row>
    <row r="217" spans="2:12">
      <c r="B217" s="2" t="s">
        <v>1856</v>
      </c>
      <c r="C217" s="7">
        <v>45937</v>
      </c>
      <c r="D217" s="2" t="s">
        <v>1228</v>
      </c>
      <c r="E217" s="4">
        <v>1</v>
      </c>
      <c r="F217" s="8" t="str">
        <f>_xlfn.XLOOKUP(D217,Master[Product_Code],Master[Category])</f>
        <v>Pants</v>
      </c>
      <c r="G217" s="8" t="str">
        <f>_xlfn.XLOOKUP(D217,Master[Product_Code],Master[Brand])</f>
        <v>Raymond</v>
      </c>
      <c r="H217" s="8" t="str">
        <f>_xlfn.XLOOKUP(D217,Master[Product_Code],Master[Style])</f>
        <v>Korean</v>
      </c>
      <c r="I217" s="8" t="str">
        <f>_xlfn.XLOOKUP(D217,Master[Product_Code],Master[Fabric])</f>
        <v>Lycra</v>
      </c>
      <c r="J217" s="8">
        <f>_xlfn.XLOOKUP(D217,Master[Product_Code],Master[Size])</f>
        <v>36</v>
      </c>
      <c r="K217" s="8" t="str">
        <f>_xlfn.XLOOKUP(D217,Master[Product_Code],Master[Color])</f>
        <v>Bottle Green</v>
      </c>
      <c r="L217" s="3">
        <f>_xlfn.XLOOKUP(D217,Master[Product_Code],Master[Selling_Price])</f>
        <v>820</v>
      </c>
    </row>
    <row r="218" spans="2:12">
      <c r="B218" s="2" t="s">
        <v>1857</v>
      </c>
      <c r="C218" s="7">
        <v>45937</v>
      </c>
      <c r="D218" s="2" t="s">
        <v>722</v>
      </c>
      <c r="E218" s="4">
        <v>1</v>
      </c>
      <c r="F218" s="8" t="str">
        <f>_xlfn.XLOOKUP(D218,Master[Product_Code],Master[Category])</f>
        <v>T-Shirt</v>
      </c>
      <c r="G218" s="8" t="str">
        <f>_xlfn.XLOOKUP(D218,Master[Product_Code],Master[Brand])</f>
        <v>Roadster</v>
      </c>
      <c r="H218" s="8" t="str">
        <f>_xlfn.XLOOKUP(D218,Master[Product_Code],Master[Style])</f>
        <v>3/4 Sleeve</v>
      </c>
      <c r="I218" s="8" t="str">
        <f>_xlfn.XLOOKUP(D218,Master[Product_Code],Master[Fabric])</f>
        <v>Cotton</v>
      </c>
      <c r="J218" s="8" t="str">
        <f>_xlfn.XLOOKUP(D218,Master[Product_Code],Master[Size])</f>
        <v>M</v>
      </c>
      <c r="K218" s="8" t="str">
        <f>_xlfn.XLOOKUP(D218,Master[Product_Code],Master[Color])</f>
        <v>Light Grey</v>
      </c>
      <c r="L218" s="3">
        <f>_xlfn.XLOOKUP(D218,Master[Product_Code],Master[Selling_Price])</f>
        <v>410</v>
      </c>
    </row>
    <row r="219" spans="2:12">
      <c r="B219" s="2" t="s">
        <v>1857</v>
      </c>
      <c r="C219" s="7">
        <v>45937</v>
      </c>
      <c r="D219" s="2" t="s">
        <v>1393</v>
      </c>
      <c r="E219" s="4">
        <v>1</v>
      </c>
      <c r="F219" s="8" t="str">
        <f>_xlfn.XLOOKUP(D219,Master[Product_Code],Master[Category])</f>
        <v>Pants</v>
      </c>
      <c r="G219" s="8" t="str">
        <f>_xlfn.XLOOKUP(D219,Master[Product_Code],Master[Brand])</f>
        <v>Peter England</v>
      </c>
      <c r="H219" s="8" t="str">
        <f>_xlfn.XLOOKUP(D219,Master[Product_Code],Master[Style])</f>
        <v>Boot Cut</v>
      </c>
      <c r="I219" s="8" t="str">
        <f>_xlfn.XLOOKUP(D219,Master[Product_Code],Master[Fabric])</f>
        <v>Poly Viscose</v>
      </c>
      <c r="J219" s="8">
        <f>_xlfn.XLOOKUP(D219,Master[Product_Code],Master[Size])</f>
        <v>28</v>
      </c>
      <c r="K219" s="8" t="str">
        <f>_xlfn.XLOOKUP(D219,Master[Product_Code],Master[Color])</f>
        <v>Beige</v>
      </c>
      <c r="L219" s="3">
        <f>_xlfn.XLOOKUP(D219,Master[Product_Code],Master[Selling_Price])</f>
        <v>780</v>
      </c>
    </row>
    <row r="220" spans="2:12">
      <c r="B220" s="2" t="s">
        <v>1857</v>
      </c>
      <c r="C220" s="7">
        <v>45937</v>
      </c>
      <c r="D220" s="2" t="s">
        <v>1237</v>
      </c>
      <c r="E220" s="4">
        <v>1</v>
      </c>
      <c r="F220" s="8" t="str">
        <f>_xlfn.XLOOKUP(D220,Master[Product_Code],Master[Category])</f>
        <v>Pants</v>
      </c>
      <c r="G220" s="8" t="str">
        <f>_xlfn.XLOOKUP(D220,Master[Product_Code],Master[Brand])</f>
        <v>Peter England</v>
      </c>
      <c r="H220" s="8" t="str">
        <f>_xlfn.XLOOKUP(D220,Master[Product_Code],Master[Style])</f>
        <v>Polofit</v>
      </c>
      <c r="I220" s="8" t="str">
        <f>_xlfn.XLOOKUP(D220,Master[Product_Code],Master[Fabric])</f>
        <v>Lycra</v>
      </c>
      <c r="J220" s="8">
        <f>_xlfn.XLOOKUP(D220,Master[Product_Code],Master[Size])</f>
        <v>36</v>
      </c>
      <c r="K220" s="8" t="str">
        <f>_xlfn.XLOOKUP(D220,Master[Product_Code],Master[Color])</f>
        <v>Dark Green</v>
      </c>
      <c r="L220" s="3">
        <f>_xlfn.XLOOKUP(D220,Master[Product_Code],Master[Selling_Price])</f>
        <v>800</v>
      </c>
    </row>
    <row r="221" spans="2:12">
      <c r="B221" s="2" t="s">
        <v>1857</v>
      </c>
      <c r="C221" s="7">
        <v>45937</v>
      </c>
      <c r="D221" s="2" t="s">
        <v>1277</v>
      </c>
      <c r="E221" s="4">
        <v>1</v>
      </c>
      <c r="F221" s="8" t="str">
        <f>_xlfn.XLOOKUP(D221,Master[Product_Code],Master[Category])</f>
        <v>Pants</v>
      </c>
      <c r="G221" s="8" t="str">
        <f>_xlfn.XLOOKUP(D221,Master[Product_Code],Master[Brand])</f>
        <v>Raymond</v>
      </c>
      <c r="H221" s="8" t="str">
        <f>_xlfn.XLOOKUP(D221,Master[Product_Code],Master[Style])</f>
        <v>Boot Cut</v>
      </c>
      <c r="I221" s="8" t="str">
        <f>_xlfn.XLOOKUP(D221,Master[Product_Code],Master[Fabric])</f>
        <v>Poly Viscose</v>
      </c>
      <c r="J221" s="8">
        <f>_xlfn.XLOOKUP(D221,Master[Product_Code],Master[Size])</f>
        <v>32</v>
      </c>
      <c r="K221" s="8" t="str">
        <f>_xlfn.XLOOKUP(D221,Master[Product_Code],Master[Color])</f>
        <v>Cream</v>
      </c>
      <c r="L221" s="3">
        <f>_xlfn.XLOOKUP(D221,Master[Product_Code],Master[Selling_Price])</f>
        <v>760</v>
      </c>
    </row>
    <row r="222" spans="2:12">
      <c r="B222" s="2" t="s">
        <v>1858</v>
      </c>
      <c r="C222" s="7">
        <v>45937</v>
      </c>
      <c r="D222" s="2" t="s">
        <v>981</v>
      </c>
      <c r="E222" s="4">
        <v>1</v>
      </c>
      <c r="F222" s="8" t="str">
        <f>_xlfn.XLOOKUP(D222,Master[Product_Code],Master[Category])</f>
        <v>Jeans</v>
      </c>
      <c r="G222" s="8" t="str">
        <f>_xlfn.XLOOKUP(D222,Master[Product_Code],Master[Brand])</f>
        <v>Wrangler</v>
      </c>
      <c r="H222" s="8" t="str">
        <f>_xlfn.XLOOKUP(D222,Master[Product_Code],Master[Style])</f>
        <v>Jogger</v>
      </c>
      <c r="I222" s="8" t="str">
        <f>_xlfn.XLOOKUP(D222,Master[Product_Code],Master[Fabric])</f>
        <v>Denim</v>
      </c>
      <c r="J222" s="8">
        <f>_xlfn.XLOOKUP(D222,Master[Product_Code],Master[Size])</f>
        <v>28</v>
      </c>
      <c r="K222" s="8" t="str">
        <f>_xlfn.XLOOKUP(D222,Master[Product_Code],Master[Color])</f>
        <v>Grey</v>
      </c>
      <c r="L222" s="3">
        <f>_xlfn.XLOOKUP(D222,Master[Product_Code],Master[Selling_Price])</f>
        <v>890</v>
      </c>
    </row>
    <row r="223" spans="2:12">
      <c r="B223" s="2" t="s">
        <v>1858</v>
      </c>
      <c r="C223" s="7">
        <v>45937</v>
      </c>
      <c r="D223" s="2" t="s">
        <v>99</v>
      </c>
      <c r="E223" s="4">
        <v>1</v>
      </c>
      <c r="F223" s="8" t="str">
        <f>_xlfn.XLOOKUP(D223,Master[Product_Code],Master[Category])</f>
        <v>Shirt</v>
      </c>
      <c r="G223" s="8" t="str">
        <f>_xlfn.XLOOKUP(D223,Master[Product_Code],Master[Brand])</f>
        <v>H&amp;M</v>
      </c>
      <c r="H223" s="8" t="str">
        <f>_xlfn.XLOOKUP(D223,Master[Product_Code],Master[Style])</f>
        <v>Formal</v>
      </c>
      <c r="I223" s="8" t="str">
        <f>_xlfn.XLOOKUP(D223,Master[Product_Code],Master[Fabric])</f>
        <v>Cotton Blend</v>
      </c>
      <c r="J223" s="8" t="str">
        <f>_xlfn.XLOOKUP(D223,Master[Product_Code],Master[Size])</f>
        <v>S</v>
      </c>
      <c r="K223" s="8" t="str">
        <f>_xlfn.XLOOKUP(D223,Master[Product_Code],Master[Color])</f>
        <v>Maroon</v>
      </c>
      <c r="L223" s="3">
        <f>_xlfn.XLOOKUP(D223,Master[Product_Code],Master[Selling_Price])</f>
        <v>850</v>
      </c>
    </row>
    <row r="224" spans="2:12">
      <c r="B224" s="2" t="s">
        <v>1858</v>
      </c>
      <c r="C224" s="7">
        <v>45937</v>
      </c>
      <c r="D224" s="2" t="s">
        <v>1093</v>
      </c>
      <c r="E224" s="4">
        <v>1</v>
      </c>
      <c r="F224" s="8" t="str">
        <f>_xlfn.XLOOKUP(D224,Master[Product_Code],Master[Category])</f>
        <v>Jeans</v>
      </c>
      <c r="G224" s="8" t="str">
        <f>_xlfn.XLOOKUP(D224,Master[Product_Code],Master[Brand])</f>
        <v>Pepe</v>
      </c>
      <c r="H224" s="8" t="str">
        <f>_xlfn.XLOOKUP(D224,Master[Product_Code],Master[Style])</f>
        <v>Jogger</v>
      </c>
      <c r="I224" s="8" t="str">
        <f>_xlfn.XLOOKUP(D224,Master[Product_Code],Master[Fabric])</f>
        <v>Denim</v>
      </c>
      <c r="J224" s="8">
        <f>_xlfn.XLOOKUP(D224,Master[Product_Code],Master[Size])</f>
        <v>38</v>
      </c>
      <c r="K224" s="8" t="str">
        <f>_xlfn.XLOOKUP(D224,Master[Product_Code],Master[Color])</f>
        <v>Dark Green</v>
      </c>
      <c r="L224" s="3">
        <f>_xlfn.XLOOKUP(D224,Master[Product_Code],Master[Selling_Price])</f>
        <v>840</v>
      </c>
    </row>
    <row r="225" spans="2:12">
      <c r="B225" s="2" t="s">
        <v>1859</v>
      </c>
      <c r="C225" s="7">
        <v>45938</v>
      </c>
      <c r="D225" s="2" t="s">
        <v>180</v>
      </c>
      <c r="E225" s="4">
        <v>1</v>
      </c>
      <c r="F225" s="8" t="str">
        <f>_xlfn.XLOOKUP(D225,Master[Product_Code],Master[Category])</f>
        <v>Shirt</v>
      </c>
      <c r="G225" s="8" t="str">
        <f>_xlfn.XLOOKUP(D225,Master[Product_Code],Master[Brand])</f>
        <v>Max</v>
      </c>
      <c r="H225" s="8" t="str">
        <f>_xlfn.XLOOKUP(D225,Master[Product_Code],Master[Style])</f>
        <v>Formal</v>
      </c>
      <c r="I225" s="8" t="str">
        <f>_xlfn.XLOOKUP(D225,Master[Product_Code],Master[Fabric])</f>
        <v>Polyester</v>
      </c>
      <c r="J225" s="8" t="str">
        <f>_xlfn.XLOOKUP(D225,Master[Product_Code],Master[Size])</f>
        <v>L</v>
      </c>
      <c r="K225" s="8" t="str">
        <f>_xlfn.XLOOKUP(D225,Master[Product_Code],Master[Color])</f>
        <v>Bottle Green</v>
      </c>
      <c r="L225" s="3">
        <f>_xlfn.XLOOKUP(D225,Master[Product_Code],Master[Selling_Price])</f>
        <v>860</v>
      </c>
    </row>
    <row r="226" spans="2:12">
      <c r="B226" s="2" t="s">
        <v>1859</v>
      </c>
      <c r="C226" s="7">
        <v>45938</v>
      </c>
      <c r="D226" s="2" t="s">
        <v>794</v>
      </c>
      <c r="E226" s="4">
        <v>1</v>
      </c>
      <c r="F226" s="8" t="str">
        <f>_xlfn.XLOOKUP(D226,Master[Product_Code],Master[Category])</f>
        <v>T-Shirt</v>
      </c>
      <c r="G226" s="8" t="str">
        <f>_xlfn.XLOOKUP(D226,Master[Product_Code],Master[Brand])</f>
        <v>Max</v>
      </c>
      <c r="H226" s="8" t="str">
        <f>_xlfn.XLOOKUP(D226,Master[Product_Code],Master[Style])</f>
        <v>Full Sleeve</v>
      </c>
      <c r="I226" s="8" t="str">
        <f>_xlfn.XLOOKUP(D226,Master[Product_Code],Master[Fabric])</f>
        <v>Poly Cotton</v>
      </c>
      <c r="J226" s="8" t="str">
        <f>_xlfn.XLOOKUP(D226,Master[Product_Code],Master[Size])</f>
        <v>S</v>
      </c>
      <c r="K226" s="8" t="str">
        <f>_xlfn.XLOOKUP(D226,Master[Product_Code],Master[Color])</f>
        <v>Charcoal</v>
      </c>
      <c r="L226" s="3">
        <f>_xlfn.XLOOKUP(D226,Master[Product_Code],Master[Selling_Price])</f>
        <v>720</v>
      </c>
    </row>
    <row r="227" spans="2:12">
      <c r="B227" s="2" t="s">
        <v>1860</v>
      </c>
      <c r="C227" s="7">
        <v>45938</v>
      </c>
      <c r="D227" s="2" t="s">
        <v>889</v>
      </c>
      <c r="E227" s="4">
        <v>1</v>
      </c>
      <c r="F227" s="8" t="str">
        <f>_xlfn.XLOOKUP(D227,Master[Product_Code],Master[Category])</f>
        <v>Jeans</v>
      </c>
      <c r="G227" s="8" t="str">
        <f>_xlfn.XLOOKUP(D227,Master[Product_Code],Master[Brand])</f>
        <v>Spykar</v>
      </c>
      <c r="H227" s="8" t="str">
        <f>_xlfn.XLOOKUP(D227,Master[Product_Code],Master[Style])</f>
        <v>Mom Fit</v>
      </c>
      <c r="I227" s="8" t="str">
        <f>_xlfn.XLOOKUP(D227,Master[Product_Code],Master[Fabric])</f>
        <v>Denim</v>
      </c>
      <c r="J227" s="8">
        <f>_xlfn.XLOOKUP(D227,Master[Product_Code],Master[Size])</f>
        <v>34</v>
      </c>
      <c r="K227" s="8" t="str">
        <f>_xlfn.XLOOKUP(D227,Master[Product_Code],Master[Color])</f>
        <v>Mustard</v>
      </c>
      <c r="L227" s="3">
        <f>_xlfn.XLOOKUP(D227,Master[Product_Code],Master[Selling_Price])</f>
        <v>1030</v>
      </c>
    </row>
    <row r="228" spans="2:12">
      <c r="B228" s="2" t="s">
        <v>1860</v>
      </c>
      <c r="C228" s="7">
        <v>45938</v>
      </c>
      <c r="D228" s="2" t="s">
        <v>1168</v>
      </c>
      <c r="E228" s="4">
        <v>1</v>
      </c>
      <c r="F228" s="8" t="str">
        <f>_xlfn.XLOOKUP(D228,Master[Product_Code],Master[Category])</f>
        <v>Pants</v>
      </c>
      <c r="G228" s="8" t="str">
        <f>_xlfn.XLOOKUP(D228,Master[Product_Code],Master[Brand])</f>
        <v>Van Heusen</v>
      </c>
      <c r="H228" s="8" t="str">
        <f>_xlfn.XLOOKUP(D228,Master[Product_Code],Master[Style])</f>
        <v>Boot Cut</v>
      </c>
      <c r="I228" s="8" t="str">
        <f>_xlfn.XLOOKUP(D228,Master[Product_Code],Master[Fabric])</f>
        <v>Cotton</v>
      </c>
      <c r="J228" s="8">
        <f>_xlfn.XLOOKUP(D228,Master[Product_Code],Master[Size])</f>
        <v>36</v>
      </c>
      <c r="K228" s="8" t="str">
        <f>_xlfn.XLOOKUP(D228,Master[Product_Code],Master[Color])</f>
        <v>Bottle Green</v>
      </c>
      <c r="L228" s="3">
        <f>_xlfn.XLOOKUP(D228,Master[Product_Code],Master[Selling_Price])</f>
        <v>790</v>
      </c>
    </row>
    <row r="229" spans="2:12">
      <c r="B229" s="2" t="s">
        <v>1861</v>
      </c>
      <c r="C229" s="7">
        <v>45938</v>
      </c>
      <c r="D229" s="2" t="s">
        <v>1670</v>
      </c>
      <c r="E229" s="4">
        <v>1</v>
      </c>
      <c r="F229" s="8" t="str">
        <f>_xlfn.XLOOKUP(D229,Master[Product_Code],Master[Category])</f>
        <v>Innerwear</v>
      </c>
      <c r="G229" s="8" t="str">
        <f>_xlfn.XLOOKUP(D229,Master[Product_Code],Master[Brand])</f>
        <v>Dollar</v>
      </c>
      <c r="H229" s="8" t="str">
        <f>_xlfn.XLOOKUP(D229,Master[Product_Code],Master[Style])</f>
        <v>Boxer</v>
      </c>
      <c r="I229" s="8" t="str">
        <f>_xlfn.XLOOKUP(D229,Master[Product_Code],Master[Fabric])</f>
        <v>Cotton Blend</v>
      </c>
      <c r="J229" s="8" t="str">
        <f>_xlfn.XLOOKUP(D229,Master[Product_Code],Master[Size])</f>
        <v>85-90</v>
      </c>
      <c r="K229" s="8" t="str">
        <f>_xlfn.XLOOKUP(D229,Master[Product_Code],Master[Color])</f>
        <v>Navy Blue</v>
      </c>
      <c r="L229" s="3">
        <f>_xlfn.XLOOKUP(D229,Master[Product_Code],Master[Selling_Price])</f>
        <v>120</v>
      </c>
    </row>
    <row r="230" spans="2:12">
      <c r="B230" s="2" t="s">
        <v>1862</v>
      </c>
      <c r="C230" s="7">
        <v>45938</v>
      </c>
      <c r="D230" s="2" t="s">
        <v>1032</v>
      </c>
      <c r="E230" s="4">
        <v>1</v>
      </c>
      <c r="F230" s="8" t="str">
        <f>_xlfn.XLOOKUP(D230,Master[Product_Code],Master[Category])</f>
        <v>Jeans</v>
      </c>
      <c r="G230" s="8" t="str">
        <f>_xlfn.XLOOKUP(D230,Master[Product_Code],Master[Brand])</f>
        <v>Spykar</v>
      </c>
      <c r="H230" s="8" t="str">
        <f>_xlfn.XLOOKUP(D230,Master[Product_Code],Master[Style])</f>
        <v>Mom Fit</v>
      </c>
      <c r="I230" s="8" t="str">
        <f>_xlfn.XLOOKUP(D230,Master[Product_Code],Master[Fabric])</f>
        <v>Denim</v>
      </c>
      <c r="J230" s="8">
        <f>_xlfn.XLOOKUP(D230,Master[Product_Code],Master[Size])</f>
        <v>28</v>
      </c>
      <c r="K230" s="8" t="str">
        <f>_xlfn.XLOOKUP(D230,Master[Product_Code],Master[Color])</f>
        <v>Light Grey</v>
      </c>
      <c r="L230" s="3">
        <f>_xlfn.XLOOKUP(D230,Master[Product_Code],Master[Selling_Price])</f>
        <v>900</v>
      </c>
    </row>
    <row r="231" spans="2:12">
      <c r="B231" s="2" t="s">
        <v>1862</v>
      </c>
      <c r="C231" s="7">
        <v>45938</v>
      </c>
      <c r="D231" s="2" t="s">
        <v>453</v>
      </c>
      <c r="E231" s="4">
        <v>1</v>
      </c>
      <c r="F231" s="8" t="str">
        <f>_xlfn.XLOOKUP(D231,Master[Product_Code],Master[Category])</f>
        <v>T-Shirt</v>
      </c>
      <c r="G231" s="8" t="str">
        <f>_xlfn.XLOOKUP(D231,Master[Product_Code],Master[Brand])</f>
        <v>Roadster</v>
      </c>
      <c r="H231" s="8" t="str">
        <f>_xlfn.XLOOKUP(D231,Master[Product_Code],Master[Style])</f>
        <v>Full Sleeve</v>
      </c>
      <c r="I231" s="8" t="str">
        <f>_xlfn.XLOOKUP(D231,Master[Product_Code],Master[Fabric])</f>
        <v>Poly Cotton</v>
      </c>
      <c r="J231" s="8" t="str">
        <f>_xlfn.XLOOKUP(D231,Master[Product_Code],Master[Size])</f>
        <v>XL</v>
      </c>
      <c r="K231" s="8" t="str">
        <f>_xlfn.XLOOKUP(D231,Master[Product_Code],Master[Color])</f>
        <v>Olive</v>
      </c>
      <c r="L231" s="3">
        <f>_xlfn.XLOOKUP(D231,Master[Product_Code],Master[Selling_Price])</f>
        <v>620</v>
      </c>
    </row>
    <row r="232" spans="2:12">
      <c r="B232" s="2" t="s">
        <v>1862</v>
      </c>
      <c r="C232" s="7">
        <v>45938</v>
      </c>
      <c r="D232" s="2" t="s">
        <v>1333</v>
      </c>
      <c r="E232" s="4">
        <v>1</v>
      </c>
      <c r="F232" s="8" t="str">
        <f>_xlfn.XLOOKUP(D232,Master[Product_Code],Master[Category])</f>
        <v>Pants</v>
      </c>
      <c r="G232" s="8" t="str">
        <f>_xlfn.XLOOKUP(D232,Master[Product_Code],Master[Brand])</f>
        <v>Raymond</v>
      </c>
      <c r="H232" s="8" t="str">
        <f>_xlfn.XLOOKUP(D232,Master[Product_Code],Master[Style])</f>
        <v>Jogger</v>
      </c>
      <c r="I232" s="8" t="str">
        <f>_xlfn.XLOOKUP(D232,Master[Product_Code],Master[Fabric])</f>
        <v>Cotton</v>
      </c>
      <c r="J232" s="8">
        <f>_xlfn.XLOOKUP(D232,Master[Product_Code],Master[Size])</f>
        <v>30</v>
      </c>
      <c r="K232" s="8" t="str">
        <f>_xlfn.XLOOKUP(D232,Master[Product_Code],Master[Color])</f>
        <v>Mustard</v>
      </c>
      <c r="L232" s="3">
        <f>_xlfn.XLOOKUP(D232,Master[Product_Code],Master[Selling_Price])</f>
        <v>750</v>
      </c>
    </row>
    <row r="233" spans="2:12">
      <c r="B233" s="2" t="s">
        <v>1862</v>
      </c>
      <c r="C233" s="7">
        <v>45938</v>
      </c>
      <c r="D233" s="2" t="s">
        <v>1549</v>
      </c>
      <c r="E233" s="4">
        <v>1</v>
      </c>
      <c r="F233" s="8" t="str">
        <f>_xlfn.XLOOKUP(D233,Master[Product_Code],Master[Category])</f>
        <v>Innerwear</v>
      </c>
      <c r="G233" s="8" t="str">
        <f>_xlfn.XLOOKUP(D233,Master[Product_Code],Master[Brand])</f>
        <v>Rupa</v>
      </c>
      <c r="H233" s="8" t="str">
        <f>_xlfn.XLOOKUP(D233,Master[Product_Code],Master[Style])</f>
        <v>V-Cut</v>
      </c>
      <c r="I233" s="8" t="str">
        <f>_xlfn.XLOOKUP(D233,Master[Product_Code],Master[Fabric])</f>
        <v>Cotton</v>
      </c>
      <c r="J233" s="8" t="str">
        <f>_xlfn.XLOOKUP(D233,Master[Product_Code],Master[Size])</f>
        <v>90-100</v>
      </c>
      <c r="K233" s="8" t="str">
        <f>_xlfn.XLOOKUP(D233,Master[Product_Code],Master[Color])</f>
        <v>Navy Blue</v>
      </c>
      <c r="L233" s="3">
        <f>_xlfn.XLOOKUP(D233,Master[Product_Code],Master[Selling_Price])</f>
        <v>130</v>
      </c>
    </row>
    <row r="234" spans="2:12">
      <c r="B234" s="2" t="s">
        <v>1863</v>
      </c>
      <c r="C234" s="7">
        <v>45938</v>
      </c>
      <c r="D234" s="2" t="s">
        <v>1601</v>
      </c>
      <c r="E234" s="4">
        <v>1</v>
      </c>
      <c r="F234" s="8" t="str">
        <f>_xlfn.XLOOKUP(D234,Master[Product_Code],Master[Category])</f>
        <v>Innerwear</v>
      </c>
      <c r="G234" s="8" t="str">
        <f>_xlfn.XLOOKUP(D234,Master[Product_Code],Master[Brand])</f>
        <v>Jockey</v>
      </c>
      <c r="H234" s="8" t="str">
        <f>_xlfn.XLOOKUP(D234,Master[Product_Code],Master[Style])</f>
        <v>V-Cut</v>
      </c>
      <c r="I234" s="8" t="str">
        <f>_xlfn.XLOOKUP(D234,Master[Product_Code],Master[Fabric])</f>
        <v>Cotton Blend</v>
      </c>
      <c r="J234" s="8" t="str">
        <f>_xlfn.XLOOKUP(D234,Master[Product_Code],Master[Size])</f>
        <v>105-110</v>
      </c>
      <c r="K234" s="8" t="str">
        <f>_xlfn.XLOOKUP(D234,Master[Product_Code],Master[Color])</f>
        <v>Navy Blue</v>
      </c>
      <c r="L234" s="3">
        <f>_xlfn.XLOOKUP(D234,Master[Product_Code],Master[Selling_Price])</f>
        <v>150</v>
      </c>
    </row>
    <row r="235" spans="2:12">
      <c r="B235" s="2" t="s">
        <v>1863</v>
      </c>
      <c r="C235" s="7">
        <v>45938</v>
      </c>
      <c r="D235" s="2" t="s">
        <v>550</v>
      </c>
      <c r="E235" s="4">
        <v>1</v>
      </c>
      <c r="F235" s="8" t="str">
        <f>_xlfn.XLOOKUP(D235,Master[Product_Code],Master[Category])</f>
        <v>T-Shirt</v>
      </c>
      <c r="G235" s="8" t="str">
        <f>_xlfn.XLOOKUP(D235,Master[Product_Code],Master[Brand])</f>
        <v>Zara</v>
      </c>
      <c r="H235" s="8" t="str">
        <f>_xlfn.XLOOKUP(D235,Master[Product_Code],Master[Style])</f>
        <v>Sleeveless</v>
      </c>
      <c r="I235" s="8" t="str">
        <f>_xlfn.XLOOKUP(D235,Master[Product_Code],Master[Fabric])</f>
        <v>Poly Cotton</v>
      </c>
      <c r="J235" s="8" t="str">
        <f>_xlfn.XLOOKUP(D235,Master[Product_Code],Master[Size])</f>
        <v>L</v>
      </c>
      <c r="K235" s="8" t="str">
        <f>_xlfn.XLOOKUP(D235,Master[Product_Code],Master[Color])</f>
        <v>Sky Blue</v>
      </c>
      <c r="L235" s="3">
        <f>_xlfn.XLOOKUP(D235,Master[Product_Code],Master[Selling_Price])</f>
        <v>450</v>
      </c>
    </row>
    <row r="236" spans="2:12">
      <c r="B236" s="2" t="s">
        <v>1864</v>
      </c>
      <c r="C236" s="7">
        <v>45938</v>
      </c>
      <c r="D236" s="2" t="s">
        <v>1650</v>
      </c>
      <c r="E236" s="4">
        <v>1</v>
      </c>
      <c r="F236" s="8" t="str">
        <f>_xlfn.XLOOKUP(D236,Master[Product_Code],Master[Category])</f>
        <v>Innerwear</v>
      </c>
      <c r="G236" s="8" t="str">
        <f>_xlfn.XLOOKUP(D236,Master[Product_Code],Master[Brand])</f>
        <v>Jockey</v>
      </c>
      <c r="H236" s="8" t="str">
        <f>_xlfn.XLOOKUP(D236,Master[Product_Code],Master[Style])</f>
        <v>Boxer</v>
      </c>
      <c r="I236" s="8" t="str">
        <f>_xlfn.XLOOKUP(D236,Master[Product_Code],Master[Fabric])</f>
        <v>Cotton Blend</v>
      </c>
      <c r="J236" s="8" t="str">
        <f>_xlfn.XLOOKUP(D236,Master[Product_Code],Master[Size])</f>
        <v>75-80</v>
      </c>
      <c r="K236" s="8" t="str">
        <f>_xlfn.XLOOKUP(D236,Master[Product_Code],Master[Color])</f>
        <v>Black</v>
      </c>
      <c r="L236" s="3">
        <f>_xlfn.XLOOKUP(D236,Master[Product_Code],Master[Selling_Price])</f>
        <v>120</v>
      </c>
    </row>
    <row r="237" spans="2:12">
      <c r="B237" s="2" t="s">
        <v>1864</v>
      </c>
      <c r="C237" s="7">
        <v>45938</v>
      </c>
      <c r="D237" s="2" t="s">
        <v>1624</v>
      </c>
      <c r="E237" s="4">
        <v>1</v>
      </c>
      <c r="F237" s="8" t="str">
        <f>_xlfn.XLOOKUP(D237,Master[Product_Code],Master[Category])</f>
        <v>Innerwear</v>
      </c>
      <c r="G237" s="8" t="str">
        <f>_xlfn.XLOOKUP(D237,Master[Product_Code],Master[Brand])</f>
        <v>Rupa</v>
      </c>
      <c r="H237" s="8" t="str">
        <f>_xlfn.XLOOKUP(D237,Master[Product_Code],Master[Style])</f>
        <v>V-Cut</v>
      </c>
      <c r="I237" s="8" t="str">
        <f>_xlfn.XLOOKUP(D237,Master[Product_Code],Master[Fabric])</f>
        <v>Cotton</v>
      </c>
      <c r="J237" s="8" t="str">
        <f>_xlfn.XLOOKUP(D237,Master[Product_Code],Master[Size])</f>
        <v>80-85</v>
      </c>
      <c r="K237" s="8" t="str">
        <f>_xlfn.XLOOKUP(D237,Master[Product_Code],Master[Color])</f>
        <v>Beige</v>
      </c>
      <c r="L237" s="3">
        <f>_xlfn.XLOOKUP(D237,Master[Product_Code],Master[Selling_Price])</f>
        <v>170</v>
      </c>
    </row>
    <row r="238" spans="2:12">
      <c r="B238" s="2" t="s">
        <v>1864</v>
      </c>
      <c r="C238" s="7">
        <v>45938</v>
      </c>
      <c r="D238" s="2" t="s">
        <v>804</v>
      </c>
      <c r="E238" s="4">
        <v>1</v>
      </c>
      <c r="F238" s="8" t="str">
        <f>_xlfn.XLOOKUP(D238,Master[Product_Code],Master[Category])</f>
        <v>T-Shirt</v>
      </c>
      <c r="G238" s="8" t="str">
        <f>_xlfn.XLOOKUP(D238,Master[Product_Code],Master[Brand])</f>
        <v>Zara</v>
      </c>
      <c r="H238" s="8" t="str">
        <f>_xlfn.XLOOKUP(D238,Master[Product_Code],Master[Style])</f>
        <v>Half Sleeve</v>
      </c>
      <c r="I238" s="8" t="str">
        <f>_xlfn.XLOOKUP(D238,Master[Product_Code],Master[Fabric])</f>
        <v>Cotton</v>
      </c>
      <c r="J238" s="8" t="str">
        <f>_xlfn.XLOOKUP(D238,Master[Product_Code],Master[Size])</f>
        <v>XXL</v>
      </c>
      <c r="K238" s="8" t="str">
        <f>_xlfn.XLOOKUP(D238,Master[Product_Code],Master[Color])</f>
        <v>Brown</v>
      </c>
      <c r="L238" s="3">
        <f>_xlfn.XLOOKUP(D238,Master[Product_Code],Master[Selling_Price])</f>
        <v>580</v>
      </c>
    </row>
    <row r="239" spans="2:12">
      <c r="B239" s="2" t="s">
        <v>1864</v>
      </c>
      <c r="C239" s="7">
        <v>45938</v>
      </c>
      <c r="D239" s="2" t="s">
        <v>627</v>
      </c>
      <c r="E239" s="4">
        <v>1</v>
      </c>
      <c r="F239" s="8" t="str">
        <f>_xlfn.XLOOKUP(D239,Master[Product_Code],Master[Category])</f>
        <v>T-Shirt</v>
      </c>
      <c r="G239" s="8" t="str">
        <f>_xlfn.XLOOKUP(D239,Master[Product_Code],Master[Brand])</f>
        <v>Roadster</v>
      </c>
      <c r="H239" s="8" t="str">
        <f>_xlfn.XLOOKUP(D239,Master[Product_Code],Master[Style])</f>
        <v>Full Sleeve</v>
      </c>
      <c r="I239" s="8" t="str">
        <f>_xlfn.XLOOKUP(D239,Master[Product_Code],Master[Fabric])</f>
        <v>Cotton</v>
      </c>
      <c r="J239" s="8" t="str">
        <f>_xlfn.XLOOKUP(D239,Master[Product_Code],Master[Size])</f>
        <v>L</v>
      </c>
      <c r="K239" s="8" t="str">
        <f>_xlfn.XLOOKUP(D239,Master[Product_Code],Master[Color])</f>
        <v>Wine</v>
      </c>
      <c r="L239" s="3">
        <f>_xlfn.XLOOKUP(D239,Master[Product_Code],Master[Selling_Price])</f>
        <v>250</v>
      </c>
    </row>
    <row r="240" spans="2:12">
      <c r="B240" s="2" t="s">
        <v>1865</v>
      </c>
      <c r="C240" s="7">
        <v>45938</v>
      </c>
      <c r="D240" s="2" t="s">
        <v>1297</v>
      </c>
      <c r="E240" s="4">
        <v>1</v>
      </c>
      <c r="F240" s="8" t="str">
        <f>_xlfn.XLOOKUP(D240,Master[Product_Code],Master[Category])</f>
        <v>Pants</v>
      </c>
      <c r="G240" s="8" t="str">
        <f>_xlfn.XLOOKUP(D240,Master[Product_Code],Master[Brand])</f>
        <v>Louis Philippe</v>
      </c>
      <c r="H240" s="8" t="str">
        <f>_xlfn.XLOOKUP(D240,Master[Product_Code],Master[Style])</f>
        <v>Boot Cut</v>
      </c>
      <c r="I240" s="8" t="str">
        <f>_xlfn.XLOOKUP(D240,Master[Product_Code],Master[Fabric])</f>
        <v>Cotton</v>
      </c>
      <c r="J240" s="8">
        <f>_xlfn.XLOOKUP(D240,Master[Product_Code],Master[Size])</f>
        <v>42</v>
      </c>
      <c r="K240" s="8" t="str">
        <f>_xlfn.XLOOKUP(D240,Master[Product_Code],Master[Color])</f>
        <v>Light Grey</v>
      </c>
      <c r="L240" s="3">
        <f>_xlfn.XLOOKUP(D240,Master[Product_Code],Master[Selling_Price])</f>
        <v>880</v>
      </c>
    </row>
    <row r="241" spans="2:12">
      <c r="B241" s="2" t="s">
        <v>1865</v>
      </c>
      <c r="C241" s="7">
        <v>45938</v>
      </c>
      <c r="D241" s="2" t="s">
        <v>403</v>
      </c>
      <c r="E241" s="4">
        <v>1</v>
      </c>
      <c r="F241" s="8" t="str">
        <f>_xlfn.XLOOKUP(D241,Master[Product_Code],Master[Category])</f>
        <v>T-Shirt</v>
      </c>
      <c r="G241" s="8" t="str">
        <f>_xlfn.XLOOKUP(D241,Master[Product_Code],Master[Brand])</f>
        <v>Roadster</v>
      </c>
      <c r="H241" s="8" t="str">
        <f>_xlfn.XLOOKUP(D241,Master[Product_Code],Master[Style])</f>
        <v>Full Sleeve</v>
      </c>
      <c r="I241" s="8" t="str">
        <f>_xlfn.XLOOKUP(D241,Master[Product_Code],Master[Fabric])</f>
        <v>Cotton Blend</v>
      </c>
      <c r="J241" s="8" t="str">
        <f>_xlfn.XLOOKUP(D241,Master[Product_Code],Master[Size])</f>
        <v>M</v>
      </c>
      <c r="K241" s="8" t="str">
        <f>_xlfn.XLOOKUP(D241,Master[Product_Code],Master[Color])</f>
        <v>Beige</v>
      </c>
      <c r="L241" s="3">
        <f>_xlfn.XLOOKUP(D241,Master[Product_Code],Master[Selling_Price])</f>
        <v>610</v>
      </c>
    </row>
    <row r="242" spans="2:12">
      <c r="B242" s="2" t="s">
        <v>1865</v>
      </c>
      <c r="C242" s="7">
        <v>45938</v>
      </c>
      <c r="D242" s="2" t="s">
        <v>1203</v>
      </c>
      <c r="E242" s="4">
        <v>1</v>
      </c>
      <c r="F242" s="8" t="str">
        <f>_xlfn.XLOOKUP(D242,Master[Product_Code],Master[Category])</f>
        <v>Pants</v>
      </c>
      <c r="G242" s="8" t="str">
        <f>_xlfn.XLOOKUP(D242,Master[Product_Code],Master[Brand])</f>
        <v>Park Avenue</v>
      </c>
      <c r="H242" s="8" t="str">
        <f>_xlfn.XLOOKUP(D242,Master[Product_Code],Master[Style])</f>
        <v>Boot Cut</v>
      </c>
      <c r="I242" s="8" t="str">
        <f>_xlfn.XLOOKUP(D242,Master[Product_Code],Master[Fabric])</f>
        <v>Poly Viscose</v>
      </c>
      <c r="J242" s="8">
        <f>_xlfn.XLOOKUP(D242,Master[Product_Code],Master[Size])</f>
        <v>44</v>
      </c>
      <c r="K242" s="8" t="str">
        <f>_xlfn.XLOOKUP(D242,Master[Product_Code],Master[Color])</f>
        <v>Beige</v>
      </c>
      <c r="L242" s="3">
        <f>_xlfn.XLOOKUP(D242,Master[Product_Code],Master[Selling_Price])</f>
        <v>870</v>
      </c>
    </row>
    <row r="243" spans="2:12">
      <c r="B243" s="2" t="s">
        <v>1865</v>
      </c>
      <c r="C243" s="7">
        <v>45938</v>
      </c>
      <c r="D243" s="2" t="s">
        <v>912</v>
      </c>
      <c r="E243" s="4">
        <v>1</v>
      </c>
      <c r="F243" s="8" t="str">
        <f>_xlfn.XLOOKUP(D243,Master[Product_Code],Master[Category])</f>
        <v>Jeans</v>
      </c>
      <c r="G243" s="8" t="str">
        <f>_xlfn.XLOOKUP(D243,Master[Product_Code],Master[Brand])</f>
        <v>Levis</v>
      </c>
      <c r="H243" s="8" t="str">
        <f>_xlfn.XLOOKUP(D243,Master[Product_Code],Master[Style])</f>
        <v>Jogger</v>
      </c>
      <c r="I243" s="8" t="str">
        <f>_xlfn.XLOOKUP(D243,Master[Product_Code],Master[Fabric])</f>
        <v>Denim</v>
      </c>
      <c r="J243" s="8">
        <f>_xlfn.XLOOKUP(D243,Master[Product_Code],Master[Size])</f>
        <v>36</v>
      </c>
      <c r="K243" s="8" t="str">
        <f>_xlfn.XLOOKUP(D243,Master[Product_Code],Master[Color])</f>
        <v>White</v>
      </c>
      <c r="L243" s="3">
        <f>_xlfn.XLOOKUP(D243,Master[Product_Code],Master[Selling_Price])</f>
        <v>830</v>
      </c>
    </row>
    <row r="244" spans="2:12">
      <c r="B244" s="2" t="s">
        <v>1866</v>
      </c>
      <c r="C244" s="7">
        <v>45938</v>
      </c>
      <c r="D244" s="2" t="s">
        <v>1083</v>
      </c>
      <c r="E244" s="4">
        <v>1</v>
      </c>
      <c r="F244" s="8" t="str">
        <f>_xlfn.XLOOKUP(D244,Master[Product_Code],Master[Category])</f>
        <v>Jeans</v>
      </c>
      <c r="G244" s="8" t="str">
        <f>_xlfn.XLOOKUP(D244,Master[Product_Code],Master[Brand])</f>
        <v>Spykar</v>
      </c>
      <c r="H244" s="8" t="str">
        <f>_xlfn.XLOOKUP(D244,Master[Product_Code],Master[Style])</f>
        <v>Baggy</v>
      </c>
      <c r="I244" s="8" t="str">
        <f>_xlfn.XLOOKUP(D244,Master[Product_Code],Master[Fabric])</f>
        <v>Denim</v>
      </c>
      <c r="J244" s="8">
        <f>_xlfn.XLOOKUP(D244,Master[Product_Code],Master[Size])</f>
        <v>40</v>
      </c>
      <c r="K244" s="8" t="str">
        <f>_xlfn.XLOOKUP(D244,Master[Product_Code],Master[Color])</f>
        <v>Mustard</v>
      </c>
      <c r="L244" s="3">
        <f>_xlfn.XLOOKUP(D244,Master[Product_Code],Master[Selling_Price])</f>
        <v>790</v>
      </c>
    </row>
    <row r="245" spans="2:12">
      <c r="B245" s="2" t="s">
        <v>1867</v>
      </c>
      <c r="C245" s="7">
        <v>45938</v>
      </c>
      <c r="D245" s="2" t="s">
        <v>1561</v>
      </c>
      <c r="E245" s="4">
        <v>1</v>
      </c>
      <c r="F245" s="8" t="str">
        <f>_xlfn.XLOOKUP(D245,Master[Product_Code],Master[Category])</f>
        <v>Innerwear</v>
      </c>
      <c r="G245" s="8" t="str">
        <f>_xlfn.XLOOKUP(D245,Master[Product_Code],Master[Brand])</f>
        <v>V Star</v>
      </c>
      <c r="H245" s="8" t="str">
        <f>_xlfn.XLOOKUP(D245,Master[Product_Code],Master[Style])</f>
        <v>Boxer</v>
      </c>
      <c r="I245" s="8" t="str">
        <f>_xlfn.XLOOKUP(D245,Master[Product_Code],Master[Fabric])</f>
        <v>Cotton Blend</v>
      </c>
      <c r="J245" s="8" t="str">
        <f>_xlfn.XLOOKUP(D245,Master[Product_Code],Master[Size])</f>
        <v>100-105</v>
      </c>
      <c r="K245" s="8" t="str">
        <f>_xlfn.XLOOKUP(D245,Master[Product_Code],Master[Color])</f>
        <v>Sky Blue</v>
      </c>
      <c r="L245" s="3">
        <f>_xlfn.XLOOKUP(D245,Master[Product_Code],Master[Selling_Price])</f>
        <v>100</v>
      </c>
    </row>
    <row r="246" spans="2:12">
      <c r="B246" s="2" t="s">
        <v>1867</v>
      </c>
      <c r="C246" s="7">
        <v>45938</v>
      </c>
      <c r="D246" s="2" t="s">
        <v>510</v>
      </c>
      <c r="E246" s="4">
        <v>1</v>
      </c>
      <c r="F246" s="8" t="str">
        <f>_xlfn.XLOOKUP(D246,Master[Product_Code],Master[Category])</f>
        <v>T-Shirt</v>
      </c>
      <c r="G246" s="8" t="str">
        <f>_xlfn.XLOOKUP(D246,Master[Product_Code],Master[Brand])</f>
        <v>Urban Monkey</v>
      </c>
      <c r="H246" s="8" t="str">
        <f>_xlfn.XLOOKUP(D246,Master[Product_Code],Master[Style])</f>
        <v>Full Sleeve</v>
      </c>
      <c r="I246" s="8" t="str">
        <f>_xlfn.XLOOKUP(D246,Master[Product_Code],Master[Fabric])</f>
        <v>Cotton Blend</v>
      </c>
      <c r="J246" s="8" t="str">
        <f>_xlfn.XLOOKUP(D246,Master[Product_Code],Master[Size])</f>
        <v>XL</v>
      </c>
      <c r="K246" s="8" t="str">
        <f>_xlfn.XLOOKUP(D246,Master[Product_Code],Master[Color])</f>
        <v>Black</v>
      </c>
      <c r="L246" s="3">
        <f>_xlfn.XLOOKUP(D246,Master[Product_Code],Master[Selling_Price])</f>
        <v>300</v>
      </c>
    </row>
    <row r="247" spans="2:12">
      <c r="B247" s="2" t="s">
        <v>1868</v>
      </c>
      <c r="C247" s="7">
        <v>45938</v>
      </c>
      <c r="D247" s="2" t="s">
        <v>89</v>
      </c>
      <c r="E247" s="4">
        <v>1</v>
      </c>
      <c r="F247" s="8" t="str">
        <f>_xlfn.XLOOKUP(D247,Master[Product_Code],Master[Category])</f>
        <v>Shirt</v>
      </c>
      <c r="G247" s="8" t="str">
        <f>_xlfn.XLOOKUP(D247,Master[Product_Code],Master[Brand])</f>
        <v>Thailand</v>
      </c>
      <c r="H247" s="8" t="str">
        <f>_xlfn.XLOOKUP(D247,Master[Product_Code],Master[Style])</f>
        <v>Formal</v>
      </c>
      <c r="I247" s="8" t="str">
        <f>_xlfn.XLOOKUP(D247,Master[Product_Code],Master[Fabric])</f>
        <v>Cotton</v>
      </c>
      <c r="J247" s="8" t="str">
        <f>_xlfn.XLOOKUP(D247,Master[Product_Code],Master[Size])</f>
        <v>XXL</v>
      </c>
      <c r="K247" s="8" t="str">
        <f>_xlfn.XLOOKUP(D247,Master[Product_Code],Master[Color])</f>
        <v>Dark Green</v>
      </c>
      <c r="L247" s="3">
        <f>_xlfn.XLOOKUP(D247,Master[Product_Code],Master[Selling_Price])</f>
        <v>700</v>
      </c>
    </row>
    <row r="248" spans="2:12">
      <c r="B248" s="2" t="s">
        <v>1868</v>
      </c>
      <c r="C248" s="7">
        <v>45938</v>
      </c>
      <c r="D248" s="2" t="s">
        <v>1161</v>
      </c>
      <c r="E248" s="4">
        <v>1</v>
      </c>
      <c r="F248" s="8" t="str">
        <f>_xlfn.XLOOKUP(D248,Master[Product_Code],Master[Category])</f>
        <v>Pants</v>
      </c>
      <c r="G248" s="8" t="str">
        <f>_xlfn.XLOOKUP(D248,Master[Product_Code],Master[Brand])</f>
        <v>Peter England</v>
      </c>
      <c r="H248" s="8" t="str">
        <f>_xlfn.XLOOKUP(D248,Master[Product_Code],Master[Style])</f>
        <v>Korean</v>
      </c>
      <c r="I248" s="8" t="str">
        <f>_xlfn.XLOOKUP(D248,Master[Product_Code],Master[Fabric])</f>
        <v>Lycra</v>
      </c>
      <c r="J248" s="8">
        <f>_xlfn.XLOOKUP(D248,Master[Product_Code],Master[Size])</f>
        <v>44</v>
      </c>
      <c r="K248" s="8" t="str">
        <f>_xlfn.XLOOKUP(D248,Master[Product_Code],Master[Color])</f>
        <v>Mustard</v>
      </c>
      <c r="L248" s="3">
        <f>_xlfn.XLOOKUP(D248,Master[Product_Code],Master[Selling_Price])</f>
        <v>750</v>
      </c>
    </row>
    <row r="249" spans="2:12">
      <c r="B249" s="2" t="s">
        <v>1868</v>
      </c>
      <c r="C249" s="7">
        <v>45938</v>
      </c>
      <c r="D249" s="2" t="s">
        <v>1046</v>
      </c>
      <c r="E249" s="4">
        <v>1</v>
      </c>
      <c r="F249" s="8" t="str">
        <f>_xlfn.XLOOKUP(D249,Master[Product_Code],Master[Category])</f>
        <v>Jeans</v>
      </c>
      <c r="G249" s="8" t="str">
        <f>_xlfn.XLOOKUP(D249,Master[Product_Code],Master[Brand])</f>
        <v>Denim Pro</v>
      </c>
      <c r="H249" s="8" t="str">
        <f>_xlfn.XLOOKUP(D249,Master[Product_Code],Master[Style])</f>
        <v>Baggy</v>
      </c>
      <c r="I249" s="8" t="str">
        <f>_xlfn.XLOOKUP(D249,Master[Product_Code],Master[Fabric])</f>
        <v>Denim</v>
      </c>
      <c r="J249" s="8">
        <f>_xlfn.XLOOKUP(D249,Master[Product_Code],Master[Size])</f>
        <v>34</v>
      </c>
      <c r="K249" s="8" t="str">
        <f>_xlfn.XLOOKUP(D249,Master[Product_Code],Master[Color])</f>
        <v>Light Grey</v>
      </c>
      <c r="L249" s="3">
        <f>_xlfn.XLOOKUP(D249,Master[Product_Code],Master[Selling_Price])</f>
        <v>850</v>
      </c>
    </row>
    <row r="250" spans="2:12">
      <c r="B250" s="2" t="s">
        <v>1868</v>
      </c>
      <c r="C250" s="7">
        <v>45938</v>
      </c>
      <c r="D250" s="2" t="s">
        <v>1076</v>
      </c>
      <c r="E250" s="4">
        <v>1</v>
      </c>
      <c r="F250" s="8" t="str">
        <f>_xlfn.XLOOKUP(D250,Master[Product_Code],Master[Category])</f>
        <v>Jeans</v>
      </c>
      <c r="G250" s="8" t="str">
        <f>_xlfn.XLOOKUP(D250,Master[Product_Code],Master[Brand])</f>
        <v>Locomotive</v>
      </c>
      <c r="H250" s="8" t="str">
        <f>_xlfn.XLOOKUP(D250,Master[Product_Code],Master[Style])</f>
        <v>Jogger</v>
      </c>
      <c r="I250" s="8" t="str">
        <f>_xlfn.XLOOKUP(D250,Master[Product_Code],Master[Fabric])</f>
        <v>Denim</v>
      </c>
      <c r="J250" s="8">
        <f>_xlfn.XLOOKUP(D250,Master[Product_Code],Master[Size])</f>
        <v>42</v>
      </c>
      <c r="K250" s="8" t="str">
        <f>_xlfn.XLOOKUP(D250,Master[Product_Code],Master[Color])</f>
        <v>Dark Green</v>
      </c>
      <c r="L250" s="3">
        <f>_xlfn.XLOOKUP(D250,Master[Product_Code],Master[Selling_Price])</f>
        <v>1050</v>
      </c>
    </row>
    <row r="251" spans="2:12">
      <c r="B251" s="2" t="s">
        <v>1869</v>
      </c>
      <c r="C251" s="7">
        <v>45938</v>
      </c>
      <c r="D251" s="2" t="s">
        <v>502</v>
      </c>
      <c r="E251" s="4">
        <v>1</v>
      </c>
      <c r="F251" s="8" t="str">
        <f>_xlfn.XLOOKUP(D251,Master[Product_Code],Master[Category])</f>
        <v>T-Shirt</v>
      </c>
      <c r="G251" s="8" t="str">
        <f>_xlfn.XLOOKUP(D251,Master[Product_Code],Master[Brand])</f>
        <v>Thailand</v>
      </c>
      <c r="H251" s="8" t="str">
        <f>_xlfn.XLOOKUP(D251,Master[Product_Code],Master[Style])</f>
        <v>Full Sleeve</v>
      </c>
      <c r="I251" s="8" t="str">
        <f>_xlfn.XLOOKUP(D251,Master[Product_Code],Master[Fabric])</f>
        <v>Poly Cotton</v>
      </c>
      <c r="J251" s="8" t="str">
        <f>_xlfn.XLOOKUP(D251,Master[Product_Code],Master[Size])</f>
        <v>XL</v>
      </c>
      <c r="K251" s="8" t="str">
        <f>_xlfn.XLOOKUP(D251,Master[Product_Code],Master[Color])</f>
        <v>Peach</v>
      </c>
      <c r="L251" s="3">
        <f>_xlfn.XLOOKUP(D251,Master[Product_Code],Master[Selling_Price])</f>
        <v>720</v>
      </c>
    </row>
    <row r="252" spans="2:12">
      <c r="B252" s="2" t="s">
        <v>1870</v>
      </c>
      <c r="C252" s="7">
        <v>45938</v>
      </c>
      <c r="D252" s="2" t="s">
        <v>1058</v>
      </c>
      <c r="E252" s="4">
        <v>1</v>
      </c>
      <c r="F252" s="8" t="str">
        <f>_xlfn.XLOOKUP(D252,Master[Product_Code],Master[Category])</f>
        <v>Jeans</v>
      </c>
      <c r="G252" s="8" t="str">
        <f>_xlfn.XLOOKUP(D252,Master[Product_Code],Master[Brand])</f>
        <v>Denim Pro</v>
      </c>
      <c r="H252" s="8" t="str">
        <f>_xlfn.XLOOKUP(D252,Master[Product_Code],Master[Style])</f>
        <v>Mom Fit</v>
      </c>
      <c r="I252" s="8" t="str">
        <f>_xlfn.XLOOKUP(D252,Master[Product_Code],Master[Fabric])</f>
        <v>Denim</v>
      </c>
      <c r="J252" s="8">
        <f>_xlfn.XLOOKUP(D252,Master[Product_Code],Master[Size])</f>
        <v>30</v>
      </c>
      <c r="K252" s="8" t="str">
        <f>_xlfn.XLOOKUP(D252,Master[Product_Code],Master[Color])</f>
        <v>Royal Blue</v>
      </c>
      <c r="L252" s="3">
        <f>_xlfn.XLOOKUP(D252,Master[Product_Code],Master[Selling_Price])</f>
        <v>980</v>
      </c>
    </row>
    <row r="253" spans="2:12">
      <c r="B253" s="2" t="s">
        <v>1871</v>
      </c>
      <c r="C253" s="7">
        <v>45938</v>
      </c>
      <c r="D253" s="2" t="s">
        <v>827</v>
      </c>
      <c r="E253" s="4">
        <v>1</v>
      </c>
      <c r="F253" s="8" t="str">
        <f>_xlfn.XLOOKUP(D253,Master[Product_Code],Master[Category])</f>
        <v>T-Shirt</v>
      </c>
      <c r="G253" s="8" t="str">
        <f>_xlfn.XLOOKUP(D253,Master[Product_Code],Master[Brand])</f>
        <v>Campus</v>
      </c>
      <c r="H253" s="8" t="str">
        <f>_xlfn.XLOOKUP(D253,Master[Product_Code],Master[Style])</f>
        <v>3/4 Sleeve</v>
      </c>
      <c r="I253" s="8" t="str">
        <f>_xlfn.XLOOKUP(D253,Master[Product_Code],Master[Fabric])</f>
        <v>Cotton</v>
      </c>
      <c r="J253" s="8" t="str">
        <f>_xlfn.XLOOKUP(D253,Master[Product_Code],Master[Size])</f>
        <v>XXL</v>
      </c>
      <c r="K253" s="8" t="str">
        <f>_xlfn.XLOOKUP(D253,Master[Product_Code],Master[Color])</f>
        <v>Bottle Green</v>
      </c>
      <c r="L253" s="3">
        <f>_xlfn.XLOOKUP(D253,Master[Product_Code],Master[Selling_Price])</f>
        <v>280</v>
      </c>
    </row>
    <row r="254" spans="2:12">
      <c r="B254" s="2" t="s">
        <v>1871</v>
      </c>
      <c r="C254" s="7">
        <v>45938</v>
      </c>
      <c r="D254" s="2" t="s">
        <v>140</v>
      </c>
      <c r="E254" s="4">
        <v>1</v>
      </c>
      <c r="F254" s="8" t="str">
        <f>_xlfn.XLOOKUP(D254,Master[Product_Code],Master[Category])</f>
        <v>Shirt</v>
      </c>
      <c r="G254" s="8" t="str">
        <f>_xlfn.XLOOKUP(D254,Master[Product_Code],Master[Brand])</f>
        <v>Luke &amp; Burg</v>
      </c>
      <c r="H254" s="8" t="str">
        <f>_xlfn.XLOOKUP(D254,Master[Product_Code],Master[Style])</f>
        <v>Formal</v>
      </c>
      <c r="I254" s="8" t="str">
        <f>_xlfn.XLOOKUP(D254,Master[Product_Code],Master[Fabric])</f>
        <v>Polyester</v>
      </c>
      <c r="J254" s="8" t="str">
        <f>_xlfn.XLOOKUP(D254,Master[Product_Code],Master[Size])</f>
        <v>M</v>
      </c>
      <c r="K254" s="8" t="str">
        <f>_xlfn.XLOOKUP(D254,Master[Product_Code],Master[Color])</f>
        <v>White</v>
      </c>
      <c r="L254" s="3">
        <f>_xlfn.XLOOKUP(D254,Master[Product_Code],Master[Selling_Price])</f>
        <v>660</v>
      </c>
    </row>
    <row r="255" spans="2:12">
      <c r="B255" s="2" t="s">
        <v>1871</v>
      </c>
      <c r="C255" s="7">
        <v>45938</v>
      </c>
      <c r="D255" s="2" t="s">
        <v>84</v>
      </c>
      <c r="E255" s="4">
        <v>1</v>
      </c>
      <c r="F255" s="8" t="str">
        <f>_xlfn.XLOOKUP(D255,Master[Product_Code],Master[Category])</f>
        <v>Shirt</v>
      </c>
      <c r="G255" s="8" t="str">
        <f>_xlfn.XLOOKUP(D255,Master[Product_Code],Master[Brand])</f>
        <v>Luke &amp; Burg</v>
      </c>
      <c r="H255" s="8" t="str">
        <f>_xlfn.XLOOKUP(D255,Master[Product_Code],Master[Style])</f>
        <v>Formal</v>
      </c>
      <c r="I255" s="8" t="str">
        <f>_xlfn.XLOOKUP(D255,Master[Product_Code],Master[Fabric])</f>
        <v>Cotton Blend</v>
      </c>
      <c r="J255" s="8" t="str">
        <f>_xlfn.XLOOKUP(D255,Master[Product_Code],Master[Size])</f>
        <v>XL</v>
      </c>
      <c r="K255" s="8" t="str">
        <f>_xlfn.XLOOKUP(D255,Master[Product_Code],Master[Color])</f>
        <v>Charcoal</v>
      </c>
      <c r="L255" s="3">
        <f>_xlfn.XLOOKUP(D255,Master[Product_Code],Master[Selling_Price])</f>
        <v>680</v>
      </c>
    </row>
    <row r="256" spans="2:12">
      <c r="B256" s="2" t="s">
        <v>1872</v>
      </c>
      <c r="C256" s="7">
        <v>45938</v>
      </c>
      <c r="D256" s="2" t="s">
        <v>1053</v>
      </c>
      <c r="E256" s="4">
        <v>1</v>
      </c>
      <c r="F256" s="8" t="str">
        <f>_xlfn.XLOOKUP(D256,Master[Product_Code],Master[Category])</f>
        <v>Jeans</v>
      </c>
      <c r="G256" s="8" t="str">
        <f>_xlfn.XLOOKUP(D256,Master[Product_Code],Master[Brand])</f>
        <v>Denim Pro</v>
      </c>
      <c r="H256" s="8" t="str">
        <f>_xlfn.XLOOKUP(D256,Master[Product_Code],Master[Style])</f>
        <v>Jogger</v>
      </c>
      <c r="I256" s="8" t="str">
        <f>_xlfn.XLOOKUP(D256,Master[Product_Code],Master[Fabric])</f>
        <v>Denim</v>
      </c>
      <c r="J256" s="8">
        <f>_xlfn.XLOOKUP(D256,Master[Product_Code],Master[Size])</f>
        <v>34</v>
      </c>
      <c r="K256" s="8" t="str">
        <f>_xlfn.XLOOKUP(D256,Master[Product_Code],Master[Color])</f>
        <v>Wine</v>
      </c>
      <c r="L256" s="3">
        <f>_xlfn.XLOOKUP(D256,Master[Product_Code],Master[Selling_Price])</f>
        <v>940</v>
      </c>
    </row>
    <row r="257" spans="2:12">
      <c r="B257" s="2" t="s">
        <v>1872</v>
      </c>
      <c r="C257" s="7">
        <v>45938</v>
      </c>
      <c r="D257" s="2" t="s">
        <v>1478</v>
      </c>
      <c r="E257" s="4">
        <v>1</v>
      </c>
      <c r="F257" s="8" t="str">
        <f>_xlfn.XLOOKUP(D257,Master[Product_Code],Master[Category])</f>
        <v>Innerwear</v>
      </c>
      <c r="G257" s="8" t="str">
        <f>_xlfn.XLOOKUP(D257,Master[Product_Code],Master[Brand])</f>
        <v>V Star</v>
      </c>
      <c r="H257" s="8" t="str">
        <f>_xlfn.XLOOKUP(D257,Master[Product_Code],Master[Style])</f>
        <v>Boxer</v>
      </c>
      <c r="I257" s="8" t="str">
        <f>_xlfn.XLOOKUP(D257,Master[Product_Code],Master[Fabric])</f>
        <v>Cotton Blend</v>
      </c>
      <c r="J257" s="8" t="str">
        <f>_xlfn.XLOOKUP(D257,Master[Product_Code],Master[Size])</f>
        <v>80-85</v>
      </c>
      <c r="K257" s="8" t="str">
        <f>_xlfn.XLOOKUP(D257,Master[Product_Code],Master[Color])</f>
        <v>Black</v>
      </c>
      <c r="L257" s="3">
        <f>_xlfn.XLOOKUP(D257,Master[Product_Code],Master[Selling_Price])</f>
        <v>130</v>
      </c>
    </row>
    <row r="258" spans="2:12">
      <c r="B258" s="2" t="s">
        <v>1872</v>
      </c>
      <c r="C258" s="7">
        <v>45938</v>
      </c>
      <c r="D258" s="2" t="s">
        <v>1555</v>
      </c>
      <c r="E258" s="4">
        <v>1</v>
      </c>
      <c r="F258" s="8" t="str">
        <f>_xlfn.XLOOKUP(D258,Master[Product_Code],Master[Category])</f>
        <v>Innerwear</v>
      </c>
      <c r="G258" s="8" t="str">
        <f>_xlfn.XLOOKUP(D258,Master[Product_Code],Master[Brand])</f>
        <v>Rupa</v>
      </c>
      <c r="H258" s="8" t="str">
        <f>_xlfn.XLOOKUP(D258,Master[Product_Code],Master[Style])</f>
        <v>Boxer</v>
      </c>
      <c r="I258" s="8" t="str">
        <f>_xlfn.XLOOKUP(D258,Master[Product_Code],Master[Fabric])</f>
        <v>Cotton</v>
      </c>
      <c r="J258" s="8" t="str">
        <f>_xlfn.XLOOKUP(D258,Master[Product_Code],Master[Size])</f>
        <v>85-90</v>
      </c>
      <c r="K258" s="8" t="str">
        <f>_xlfn.XLOOKUP(D258,Master[Product_Code],Master[Color])</f>
        <v>Navy Blue</v>
      </c>
      <c r="L258" s="3">
        <f>_xlfn.XLOOKUP(D258,Master[Product_Code],Master[Selling_Price])</f>
        <v>140</v>
      </c>
    </row>
    <row r="259" spans="2:12">
      <c r="B259" s="2" t="s">
        <v>1873</v>
      </c>
      <c r="C259" s="7">
        <v>45938</v>
      </c>
      <c r="D259" s="2" t="s">
        <v>486</v>
      </c>
      <c r="E259" s="4">
        <v>1</v>
      </c>
      <c r="F259" s="8" t="str">
        <f>_xlfn.XLOOKUP(D259,Master[Product_Code],Master[Category])</f>
        <v>T-Shirt</v>
      </c>
      <c r="G259" s="8" t="str">
        <f>_xlfn.XLOOKUP(D259,Master[Product_Code],Master[Brand])</f>
        <v>Max</v>
      </c>
      <c r="H259" s="8" t="str">
        <f>_xlfn.XLOOKUP(D259,Master[Product_Code],Master[Style])</f>
        <v>Sleeveless</v>
      </c>
      <c r="I259" s="8" t="str">
        <f>_xlfn.XLOOKUP(D259,Master[Product_Code],Master[Fabric])</f>
        <v>Cotton</v>
      </c>
      <c r="J259" s="8" t="str">
        <f>_xlfn.XLOOKUP(D259,Master[Product_Code],Master[Size])</f>
        <v>XL</v>
      </c>
      <c r="K259" s="8" t="str">
        <f>_xlfn.XLOOKUP(D259,Master[Product_Code],Master[Color])</f>
        <v>Dark Green</v>
      </c>
      <c r="L259" s="3">
        <f>_xlfn.XLOOKUP(D259,Master[Product_Code],Master[Selling_Price])</f>
        <v>620</v>
      </c>
    </row>
    <row r="260" spans="2:12">
      <c r="B260" s="2" t="s">
        <v>1874</v>
      </c>
      <c r="C260" s="7">
        <v>45938</v>
      </c>
      <c r="D260" s="2" t="s">
        <v>1359</v>
      </c>
      <c r="E260" s="4">
        <v>1</v>
      </c>
      <c r="F260" s="8" t="str">
        <f>_xlfn.XLOOKUP(D260,Master[Product_Code],Master[Category])</f>
        <v>Pants</v>
      </c>
      <c r="G260" s="8" t="str">
        <f>_xlfn.XLOOKUP(D260,Master[Product_Code],Master[Brand])</f>
        <v>Louis Philippe</v>
      </c>
      <c r="H260" s="8" t="str">
        <f>_xlfn.XLOOKUP(D260,Master[Product_Code],Master[Style])</f>
        <v>Korean</v>
      </c>
      <c r="I260" s="8" t="str">
        <f>_xlfn.XLOOKUP(D260,Master[Product_Code],Master[Fabric])</f>
        <v>Lycra</v>
      </c>
      <c r="J260" s="8">
        <f>_xlfn.XLOOKUP(D260,Master[Product_Code],Master[Size])</f>
        <v>42</v>
      </c>
      <c r="K260" s="8" t="str">
        <f>_xlfn.XLOOKUP(D260,Master[Product_Code],Master[Color])</f>
        <v>Royal Blue</v>
      </c>
      <c r="L260" s="3">
        <f>_xlfn.XLOOKUP(D260,Master[Product_Code],Master[Selling_Price])</f>
        <v>900</v>
      </c>
    </row>
    <row r="261" spans="2:12">
      <c r="B261" s="2" t="s">
        <v>1874</v>
      </c>
      <c r="C261" s="7">
        <v>45938</v>
      </c>
      <c r="D261" s="2" t="s">
        <v>1031</v>
      </c>
      <c r="E261" s="4">
        <v>1</v>
      </c>
      <c r="F261" s="8" t="str">
        <f>_xlfn.XLOOKUP(D261,Master[Product_Code],Master[Category])</f>
        <v>Jeans</v>
      </c>
      <c r="G261" s="8" t="str">
        <f>_xlfn.XLOOKUP(D261,Master[Product_Code],Master[Brand])</f>
        <v>Spykar</v>
      </c>
      <c r="H261" s="8" t="str">
        <f>_xlfn.XLOOKUP(D261,Master[Product_Code],Master[Style])</f>
        <v>Baggy</v>
      </c>
      <c r="I261" s="8" t="str">
        <f>_xlfn.XLOOKUP(D261,Master[Product_Code],Master[Fabric])</f>
        <v>Denim</v>
      </c>
      <c r="J261" s="8">
        <f>_xlfn.XLOOKUP(D261,Master[Product_Code],Master[Size])</f>
        <v>44</v>
      </c>
      <c r="K261" s="8" t="str">
        <f>_xlfn.XLOOKUP(D261,Master[Product_Code],Master[Color])</f>
        <v>Cream</v>
      </c>
      <c r="L261" s="3">
        <f>_xlfn.XLOOKUP(D261,Master[Product_Code],Master[Selling_Price])</f>
        <v>990</v>
      </c>
    </row>
    <row r="262" spans="2:12">
      <c r="B262" s="2" t="s">
        <v>1875</v>
      </c>
      <c r="C262" s="7">
        <v>45939</v>
      </c>
      <c r="D262" s="2" t="s">
        <v>822</v>
      </c>
      <c r="E262" s="4">
        <v>1</v>
      </c>
      <c r="F262" s="8" t="str">
        <f>_xlfn.XLOOKUP(D262,Master[Product_Code],Master[Category])</f>
        <v>T-Shirt</v>
      </c>
      <c r="G262" s="8" t="str">
        <f>_xlfn.XLOOKUP(D262,Master[Product_Code],Master[Brand])</f>
        <v>Turkey</v>
      </c>
      <c r="H262" s="8" t="str">
        <f>_xlfn.XLOOKUP(D262,Master[Product_Code],Master[Style])</f>
        <v>Sleeveless</v>
      </c>
      <c r="I262" s="8" t="str">
        <f>_xlfn.XLOOKUP(D262,Master[Product_Code],Master[Fabric])</f>
        <v>Poly Cotton</v>
      </c>
      <c r="J262" s="8" t="str">
        <f>_xlfn.XLOOKUP(D262,Master[Product_Code],Master[Size])</f>
        <v>S</v>
      </c>
      <c r="K262" s="8" t="str">
        <f>_xlfn.XLOOKUP(D262,Master[Product_Code],Master[Color])</f>
        <v>Mustard</v>
      </c>
      <c r="L262" s="3">
        <f>_xlfn.XLOOKUP(D262,Master[Product_Code],Master[Selling_Price])</f>
        <v>690</v>
      </c>
    </row>
    <row r="263" spans="2:12">
      <c r="B263" s="2" t="s">
        <v>1875</v>
      </c>
      <c r="C263" s="7">
        <v>45939</v>
      </c>
      <c r="D263" s="2" t="s">
        <v>458</v>
      </c>
      <c r="E263" s="4">
        <v>1</v>
      </c>
      <c r="F263" s="8" t="str">
        <f>_xlfn.XLOOKUP(D263,Master[Product_Code],Master[Category])</f>
        <v>T-Shirt</v>
      </c>
      <c r="G263" s="8" t="str">
        <f>_xlfn.XLOOKUP(D263,Master[Product_Code],Master[Brand])</f>
        <v>Max</v>
      </c>
      <c r="H263" s="8" t="str">
        <f>_xlfn.XLOOKUP(D263,Master[Product_Code],Master[Style])</f>
        <v>3/4 Sleeve</v>
      </c>
      <c r="I263" s="8" t="str">
        <f>_xlfn.XLOOKUP(D263,Master[Product_Code],Master[Fabric])</f>
        <v>Cotton Blend</v>
      </c>
      <c r="J263" s="8" t="str">
        <f>_xlfn.XLOOKUP(D263,Master[Product_Code],Master[Size])</f>
        <v>XXL</v>
      </c>
      <c r="K263" s="8" t="str">
        <f>_xlfn.XLOOKUP(D263,Master[Product_Code],Master[Color])</f>
        <v>Maroon</v>
      </c>
      <c r="L263" s="3">
        <f>_xlfn.XLOOKUP(D263,Master[Product_Code],Master[Selling_Price])</f>
        <v>440</v>
      </c>
    </row>
    <row r="264" spans="2:12">
      <c r="B264" s="2" t="s">
        <v>1876</v>
      </c>
      <c r="C264" s="7">
        <v>45939</v>
      </c>
      <c r="D264" s="2" t="s">
        <v>229</v>
      </c>
      <c r="E264" s="4">
        <v>1</v>
      </c>
      <c r="F264" s="8" t="str">
        <f>_xlfn.XLOOKUP(D264,Master[Product_Code],Master[Category])</f>
        <v>Shirt</v>
      </c>
      <c r="G264" s="8" t="str">
        <f>_xlfn.XLOOKUP(D264,Master[Product_Code],Master[Brand])</f>
        <v>Thailand</v>
      </c>
      <c r="H264" s="8" t="str">
        <f>_xlfn.XLOOKUP(D264,Master[Product_Code],Master[Style])</f>
        <v>Formal</v>
      </c>
      <c r="I264" s="8" t="str">
        <f>_xlfn.XLOOKUP(D264,Master[Product_Code],Master[Fabric])</f>
        <v>Cotton</v>
      </c>
      <c r="J264" s="8" t="str">
        <f>_xlfn.XLOOKUP(D264,Master[Product_Code],Master[Size])</f>
        <v>S</v>
      </c>
      <c r="K264" s="8" t="str">
        <f>_xlfn.XLOOKUP(D264,Master[Product_Code],Master[Color])</f>
        <v>Maroon</v>
      </c>
      <c r="L264" s="3">
        <f>_xlfn.XLOOKUP(D264,Master[Product_Code],Master[Selling_Price])</f>
        <v>820</v>
      </c>
    </row>
    <row r="265" spans="2:12">
      <c r="B265" s="2" t="s">
        <v>1877</v>
      </c>
      <c r="C265" s="7">
        <v>45939</v>
      </c>
      <c r="D265" s="2" t="s">
        <v>944</v>
      </c>
      <c r="E265" s="4">
        <v>1</v>
      </c>
      <c r="F265" s="8" t="str">
        <f>_xlfn.XLOOKUP(D265,Master[Product_Code],Master[Category])</f>
        <v>Jeans</v>
      </c>
      <c r="G265" s="8" t="str">
        <f>_xlfn.XLOOKUP(D265,Master[Product_Code],Master[Brand])</f>
        <v>Levis</v>
      </c>
      <c r="H265" s="8" t="str">
        <f>_xlfn.XLOOKUP(D265,Master[Product_Code],Master[Style])</f>
        <v>Jogger</v>
      </c>
      <c r="I265" s="8" t="str">
        <f>_xlfn.XLOOKUP(D265,Master[Product_Code],Master[Fabric])</f>
        <v>Denim</v>
      </c>
      <c r="J265" s="8">
        <f>_xlfn.XLOOKUP(D265,Master[Product_Code],Master[Size])</f>
        <v>32</v>
      </c>
      <c r="K265" s="8" t="str">
        <f>_xlfn.XLOOKUP(D265,Master[Product_Code],Master[Color])</f>
        <v>Grey</v>
      </c>
      <c r="L265" s="3">
        <f>_xlfn.XLOOKUP(D265,Master[Product_Code],Master[Selling_Price])</f>
        <v>880</v>
      </c>
    </row>
    <row r="266" spans="2:12">
      <c r="B266" s="2" t="s">
        <v>1877</v>
      </c>
      <c r="C266" s="7">
        <v>45939</v>
      </c>
      <c r="D266" s="2" t="s">
        <v>1144</v>
      </c>
      <c r="E266" s="4">
        <v>1</v>
      </c>
      <c r="F266" s="8" t="str">
        <f>_xlfn.XLOOKUP(D266,Master[Product_Code],Master[Category])</f>
        <v>Jeans</v>
      </c>
      <c r="G266" s="8" t="str">
        <f>_xlfn.XLOOKUP(D266,Master[Product_Code],Master[Brand])</f>
        <v>Levis</v>
      </c>
      <c r="H266" s="8" t="str">
        <f>_xlfn.XLOOKUP(D266,Master[Product_Code],Master[Style])</f>
        <v>Jogger</v>
      </c>
      <c r="I266" s="8" t="str">
        <f>_xlfn.XLOOKUP(D266,Master[Product_Code],Master[Fabric])</f>
        <v>Denim</v>
      </c>
      <c r="J266" s="8">
        <f>_xlfn.XLOOKUP(D266,Master[Product_Code],Master[Size])</f>
        <v>42</v>
      </c>
      <c r="K266" s="8" t="str">
        <f>_xlfn.XLOOKUP(D266,Master[Product_Code],Master[Color])</f>
        <v>Teal</v>
      </c>
      <c r="L266" s="3">
        <f>_xlfn.XLOOKUP(D266,Master[Product_Code],Master[Selling_Price])</f>
        <v>780</v>
      </c>
    </row>
    <row r="267" spans="2:12">
      <c r="B267" s="2" t="s">
        <v>1878</v>
      </c>
      <c r="C267" s="7">
        <v>45939</v>
      </c>
      <c r="D267" s="2" t="s">
        <v>575</v>
      </c>
      <c r="E267" s="4">
        <v>1</v>
      </c>
      <c r="F267" s="8" t="str">
        <f>_xlfn.XLOOKUP(D267,Master[Product_Code],Master[Category])</f>
        <v>T-Shirt</v>
      </c>
      <c r="G267" s="8" t="str">
        <f>_xlfn.XLOOKUP(D267,Master[Product_Code],Master[Brand])</f>
        <v>Thailand</v>
      </c>
      <c r="H267" s="8" t="str">
        <f>_xlfn.XLOOKUP(D267,Master[Product_Code],Master[Style])</f>
        <v>Hoodie</v>
      </c>
      <c r="I267" s="8" t="str">
        <f>_xlfn.XLOOKUP(D267,Master[Product_Code],Master[Fabric])</f>
        <v>Cotton</v>
      </c>
      <c r="J267" s="8" t="str">
        <f>_xlfn.XLOOKUP(D267,Master[Product_Code],Master[Size])</f>
        <v>M</v>
      </c>
      <c r="K267" s="8" t="str">
        <f>_xlfn.XLOOKUP(D267,Master[Product_Code],Master[Color])</f>
        <v>Sky Blue</v>
      </c>
      <c r="L267" s="3">
        <f>_xlfn.XLOOKUP(D267,Master[Product_Code],Master[Selling_Price])</f>
        <v>590</v>
      </c>
    </row>
    <row r="268" spans="2:12">
      <c r="B268" s="2" t="s">
        <v>1878</v>
      </c>
      <c r="C268" s="7">
        <v>45939</v>
      </c>
      <c r="D268" s="2" t="s">
        <v>1255</v>
      </c>
      <c r="E268" s="4">
        <v>1</v>
      </c>
      <c r="F268" s="8" t="str">
        <f>_xlfn.XLOOKUP(D268,Master[Product_Code],Master[Category])</f>
        <v>Pants</v>
      </c>
      <c r="G268" s="8" t="str">
        <f>_xlfn.XLOOKUP(D268,Master[Product_Code],Master[Brand])</f>
        <v>Peter England</v>
      </c>
      <c r="H268" s="8" t="str">
        <f>_xlfn.XLOOKUP(D268,Master[Product_Code],Master[Style])</f>
        <v>Kurka</v>
      </c>
      <c r="I268" s="8" t="str">
        <f>_xlfn.XLOOKUP(D268,Master[Product_Code],Master[Fabric])</f>
        <v>Lycra</v>
      </c>
      <c r="J268" s="8">
        <f>_xlfn.XLOOKUP(D268,Master[Product_Code],Master[Size])</f>
        <v>32</v>
      </c>
      <c r="K268" s="8" t="str">
        <f>_xlfn.XLOOKUP(D268,Master[Product_Code],Master[Color])</f>
        <v>Royal Blue</v>
      </c>
      <c r="L268" s="3">
        <f>_xlfn.XLOOKUP(D268,Master[Product_Code],Master[Selling_Price])</f>
        <v>740</v>
      </c>
    </row>
    <row r="269" spans="2:12">
      <c r="B269" s="2" t="s">
        <v>1878</v>
      </c>
      <c r="C269" s="7">
        <v>45939</v>
      </c>
      <c r="D269" s="2" t="s">
        <v>310</v>
      </c>
      <c r="E269" s="4">
        <v>1</v>
      </c>
      <c r="F269" s="8" t="str">
        <f>_xlfn.XLOOKUP(D269,Master[Product_Code],Master[Category])</f>
        <v>Shirt</v>
      </c>
      <c r="G269" s="8" t="str">
        <f>_xlfn.XLOOKUP(D269,Master[Product_Code],Master[Brand])</f>
        <v>Max</v>
      </c>
      <c r="H269" s="8" t="str">
        <f>_xlfn.XLOOKUP(D269,Master[Product_Code],Master[Style])</f>
        <v>Casual</v>
      </c>
      <c r="I269" s="8" t="str">
        <f>_xlfn.XLOOKUP(D269,Master[Product_Code],Master[Fabric])</f>
        <v>Polyester</v>
      </c>
      <c r="J269" s="8" t="str">
        <f>_xlfn.XLOOKUP(D269,Master[Product_Code],Master[Size])</f>
        <v>S</v>
      </c>
      <c r="K269" s="8" t="str">
        <f>_xlfn.XLOOKUP(D269,Master[Product_Code],Master[Color])</f>
        <v>Teal</v>
      </c>
      <c r="L269" s="3">
        <f>_xlfn.XLOOKUP(D269,Master[Product_Code],Master[Selling_Price])</f>
        <v>880</v>
      </c>
    </row>
    <row r="270" spans="2:12">
      <c r="B270" s="2" t="s">
        <v>1879</v>
      </c>
      <c r="C270" s="7">
        <v>45939</v>
      </c>
      <c r="D270" s="2" t="s">
        <v>859</v>
      </c>
      <c r="E270" s="4">
        <v>1</v>
      </c>
      <c r="F270" s="8" t="str">
        <f>_xlfn.XLOOKUP(D270,Master[Product_Code],Master[Category])</f>
        <v>Jeans</v>
      </c>
      <c r="G270" s="8" t="str">
        <f>_xlfn.XLOOKUP(D270,Master[Product_Code],Master[Brand])</f>
        <v>Levis</v>
      </c>
      <c r="H270" s="8" t="str">
        <f>_xlfn.XLOOKUP(D270,Master[Product_Code],Master[Style])</f>
        <v>Jogger</v>
      </c>
      <c r="I270" s="8" t="str">
        <f>_xlfn.XLOOKUP(D270,Master[Product_Code],Master[Fabric])</f>
        <v>Denim</v>
      </c>
      <c r="J270" s="8">
        <f>_xlfn.XLOOKUP(D270,Master[Product_Code],Master[Size])</f>
        <v>42</v>
      </c>
      <c r="K270" s="8" t="str">
        <f>_xlfn.XLOOKUP(D270,Master[Product_Code],Master[Color])</f>
        <v>Peach</v>
      </c>
      <c r="L270" s="3">
        <f>_xlfn.XLOOKUP(D270,Master[Product_Code],Master[Selling_Price])</f>
        <v>870</v>
      </c>
    </row>
    <row r="271" spans="2:12">
      <c r="B271" s="2" t="s">
        <v>1879</v>
      </c>
      <c r="C271" s="7">
        <v>45939</v>
      </c>
      <c r="D271" s="2" t="s">
        <v>1604</v>
      </c>
      <c r="E271" s="4">
        <v>1</v>
      </c>
      <c r="F271" s="8" t="str">
        <f>_xlfn.XLOOKUP(D271,Master[Product_Code],Master[Category])</f>
        <v>Innerwear</v>
      </c>
      <c r="G271" s="8" t="str">
        <f>_xlfn.XLOOKUP(D271,Master[Product_Code],Master[Brand])</f>
        <v>Jockey</v>
      </c>
      <c r="H271" s="8" t="str">
        <f>_xlfn.XLOOKUP(D271,Master[Product_Code],Master[Style])</f>
        <v>V-Cut</v>
      </c>
      <c r="I271" s="8" t="str">
        <f>_xlfn.XLOOKUP(D271,Master[Product_Code],Master[Fabric])</f>
        <v>Cotton Blend</v>
      </c>
      <c r="J271" s="8" t="str">
        <f>_xlfn.XLOOKUP(D271,Master[Product_Code],Master[Size])</f>
        <v>90-100</v>
      </c>
      <c r="K271" s="8" t="str">
        <f>_xlfn.XLOOKUP(D271,Master[Product_Code],Master[Color])</f>
        <v>Wine</v>
      </c>
      <c r="L271" s="3">
        <f>_xlfn.XLOOKUP(D271,Master[Product_Code],Master[Selling_Price])</f>
        <v>100</v>
      </c>
    </row>
    <row r="272" spans="2:12">
      <c r="B272" s="2" t="s">
        <v>1880</v>
      </c>
      <c r="C272" s="7">
        <v>45939</v>
      </c>
      <c r="D272" s="2" t="s">
        <v>689</v>
      </c>
      <c r="E272" s="4">
        <v>1</v>
      </c>
      <c r="F272" s="8" t="str">
        <f>_xlfn.XLOOKUP(D272,Master[Product_Code],Master[Category])</f>
        <v>T-Shirt</v>
      </c>
      <c r="G272" s="8" t="str">
        <f>_xlfn.XLOOKUP(D272,Master[Product_Code],Master[Brand])</f>
        <v>Thailand</v>
      </c>
      <c r="H272" s="8" t="str">
        <f>_xlfn.XLOOKUP(D272,Master[Product_Code],Master[Style])</f>
        <v>Half Sleeve</v>
      </c>
      <c r="I272" s="8" t="str">
        <f>_xlfn.XLOOKUP(D272,Master[Product_Code],Master[Fabric])</f>
        <v>Poly Cotton</v>
      </c>
      <c r="J272" s="8" t="str">
        <f>_xlfn.XLOOKUP(D272,Master[Product_Code],Master[Size])</f>
        <v>M</v>
      </c>
      <c r="K272" s="8" t="str">
        <f>_xlfn.XLOOKUP(D272,Master[Product_Code],Master[Color])</f>
        <v>Dark Green</v>
      </c>
      <c r="L272" s="3">
        <f>_xlfn.XLOOKUP(D272,Master[Product_Code],Master[Selling_Price])</f>
        <v>450</v>
      </c>
    </row>
    <row r="273" spans="2:12">
      <c r="B273" s="2" t="s">
        <v>1880</v>
      </c>
      <c r="C273" s="7">
        <v>45939</v>
      </c>
      <c r="D273" s="2" t="s">
        <v>147</v>
      </c>
      <c r="E273" s="4">
        <v>1</v>
      </c>
      <c r="F273" s="8" t="str">
        <f>_xlfn.XLOOKUP(D273,Master[Product_Code],Master[Category])</f>
        <v>Shirt</v>
      </c>
      <c r="G273" s="8" t="str">
        <f>_xlfn.XLOOKUP(D273,Master[Product_Code],Master[Brand])</f>
        <v>Luke &amp; Burg</v>
      </c>
      <c r="H273" s="8" t="str">
        <f>_xlfn.XLOOKUP(D273,Master[Product_Code],Master[Style])</f>
        <v>Casual</v>
      </c>
      <c r="I273" s="8" t="str">
        <f>_xlfn.XLOOKUP(D273,Master[Product_Code],Master[Fabric])</f>
        <v>Lycra</v>
      </c>
      <c r="J273" s="8" t="str">
        <f>_xlfn.XLOOKUP(D273,Master[Product_Code],Master[Size])</f>
        <v>S</v>
      </c>
      <c r="K273" s="8" t="str">
        <f>_xlfn.XLOOKUP(D273,Master[Product_Code],Master[Color])</f>
        <v>Light Grey</v>
      </c>
      <c r="L273" s="3">
        <f>_xlfn.XLOOKUP(D273,Master[Product_Code],Master[Selling_Price])</f>
        <v>740</v>
      </c>
    </row>
    <row r="274" spans="2:12">
      <c r="B274" s="2" t="s">
        <v>1880</v>
      </c>
      <c r="C274" s="7">
        <v>45939</v>
      </c>
      <c r="D274" s="2" t="s">
        <v>1684</v>
      </c>
      <c r="E274" s="4">
        <v>1</v>
      </c>
      <c r="F274" s="8" t="str">
        <f>_xlfn.XLOOKUP(D274,Master[Product_Code],Master[Category])</f>
        <v>Innerwear</v>
      </c>
      <c r="G274" s="8" t="str">
        <f>_xlfn.XLOOKUP(D274,Master[Product_Code],Master[Brand])</f>
        <v>Dollar</v>
      </c>
      <c r="H274" s="8" t="str">
        <f>_xlfn.XLOOKUP(D274,Master[Product_Code],Master[Style])</f>
        <v>Boxer</v>
      </c>
      <c r="I274" s="8" t="str">
        <f>_xlfn.XLOOKUP(D274,Master[Product_Code],Master[Fabric])</f>
        <v>Cotton Blend</v>
      </c>
      <c r="J274" s="8" t="str">
        <f>_xlfn.XLOOKUP(D274,Master[Product_Code],Master[Size])</f>
        <v>105-110</v>
      </c>
      <c r="K274" s="8" t="str">
        <f>_xlfn.XLOOKUP(D274,Master[Product_Code],Master[Color])</f>
        <v>Mustard</v>
      </c>
      <c r="L274" s="3">
        <f>_xlfn.XLOOKUP(D274,Master[Product_Code],Master[Selling_Price])</f>
        <v>190</v>
      </c>
    </row>
    <row r="275" spans="2:12">
      <c r="B275" s="2" t="s">
        <v>1881</v>
      </c>
      <c r="C275" s="7">
        <v>45939</v>
      </c>
      <c r="D275" s="2" t="s">
        <v>585</v>
      </c>
      <c r="E275" s="4">
        <v>1</v>
      </c>
      <c r="F275" s="8" t="str">
        <f>_xlfn.XLOOKUP(D275,Master[Product_Code],Master[Category])</f>
        <v>T-Shirt</v>
      </c>
      <c r="G275" s="8" t="str">
        <f>_xlfn.XLOOKUP(D275,Master[Product_Code],Master[Brand])</f>
        <v>Turkey</v>
      </c>
      <c r="H275" s="8" t="str">
        <f>_xlfn.XLOOKUP(D275,Master[Product_Code],Master[Style])</f>
        <v>Full Sleeve</v>
      </c>
      <c r="I275" s="8" t="str">
        <f>_xlfn.XLOOKUP(D275,Master[Product_Code],Master[Fabric])</f>
        <v>Poly Cotton</v>
      </c>
      <c r="J275" s="8" t="str">
        <f>_xlfn.XLOOKUP(D275,Master[Product_Code],Master[Size])</f>
        <v>XL</v>
      </c>
      <c r="K275" s="8" t="str">
        <f>_xlfn.XLOOKUP(D275,Master[Product_Code],Master[Color])</f>
        <v>Peach</v>
      </c>
      <c r="L275" s="3">
        <f>_xlfn.XLOOKUP(D275,Master[Product_Code],Master[Selling_Price])</f>
        <v>440</v>
      </c>
    </row>
    <row r="276" spans="2:12">
      <c r="B276" s="2" t="s">
        <v>1881</v>
      </c>
      <c r="C276" s="7">
        <v>45939</v>
      </c>
      <c r="D276" s="2" t="s">
        <v>380</v>
      </c>
      <c r="E276" s="4">
        <v>1</v>
      </c>
      <c r="F276" s="8" t="str">
        <f>_xlfn.XLOOKUP(D276,Master[Product_Code],Master[Category])</f>
        <v>Shirt</v>
      </c>
      <c r="G276" s="8" t="str">
        <f>_xlfn.XLOOKUP(D276,Master[Product_Code],Master[Brand])</f>
        <v>British</v>
      </c>
      <c r="H276" s="8" t="str">
        <f>_xlfn.XLOOKUP(D276,Master[Product_Code],Master[Style])</f>
        <v>Casual</v>
      </c>
      <c r="I276" s="8" t="str">
        <f>_xlfn.XLOOKUP(D276,Master[Product_Code],Master[Fabric])</f>
        <v>Polyester</v>
      </c>
      <c r="J276" s="8" t="str">
        <f>_xlfn.XLOOKUP(D276,Master[Product_Code],Master[Size])</f>
        <v>XXL</v>
      </c>
      <c r="K276" s="8" t="str">
        <f>_xlfn.XLOOKUP(D276,Master[Product_Code],Master[Color])</f>
        <v>Grey</v>
      </c>
      <c r="L276" s="3">
        <f>_xlfn.XLOOKUP(D276,Master[Product_Code],Master[Selling_Price])</f>
        <v>900</v>
      </c>
    </row>
    <row r="277" spans="2:12">
      <c r="B277" s="2" t="s">
        <v>1881</v>
      </c>
      <c r="C277" s="7">
        <v>45939</v>
      </c>
      <c r="D277" s="2" t="s">
        <v>1230</v>
      </c>
      <c r="E277" s="4">
        <v>1</v>
      </c>
      <c r="F277" s="8" t="str">
        <f>_xlfn.XLOOKUP(D277,Master[Product_Code],Master[Category])</f>
        <v>Pants</v>
      </c>
      <c r="G277" s="8" t="str">
        <f>_xlfn.XLOOKUP(D277,Master[Product_Code],Master[Brand])</f>
        <v>Park Avenue</v>
      </c>
      <c r="H277" s="8" t="str">
        <f>_xlfn.XLOOKUP(D277,Master[Product_Code],Master[Style])</f>
        <v>Kurka</v>
      </c>
      <c r="I277" s="8" t="str">
        <f>_xlfn.XLOOKUP(D277,Master[Product_Code],Master[Fabric])</f>
        <v>Lycra</v>
      </c>
      <c r="J277" s="8">
        <f>_xlfn.XLOOKUP(D277,Master[Product_Code],Master[Size])</f>
        <v>42</v>
      </c>
      <c r="K277" s="8" t="str">
        <f>_xlfn.XLOOKUP(D277,Master[Product_Code],Master[Color])</f>
        <v>Grey</v>
      </c>
      <c r="L277" s="3">
        <f>_xlfn.XLOOKUP(D277,Master[Product_Code],Master[Selling_Price])</f>
        <v>700</v>
      </c>
    </row>
    <row r="278" spans="2:12">
      <c r="B278" s="2" t="s">
        <v>1881</v>
      </c>
      <c r="C278" s="7">
        <v>45939</v>
      </c>
      <c r="D278" s="2" t="s">
        <v>426</v>
      </c>
      <c r="E278" s="4">
        <v>1</v>
      </c>
      <c r="F278" s="8" t="str">
        <f>_xlfn.XLOOKUP(D278,Master[Product_Code],Master[Category])</f>
        <v>T-Shirt</v>
      </c>
      <c r="G278" s="8" t="str">
        <f>_xlfn.XLOOKUP(D278,Master[Product_Code],Master[Brand])</f>
        <v>Campus</v>
      </c>
      <c r="H278" s="8" t="str">
        <f>_xlfn.XLOOKUP(D278,Master[Product_Code],Master[Style])</f>
        <v>3/4 Sleeve</v>
      </c>
      <c r="I278" s="8" t="str">
        <f>_xlfn.XLOOKUP(D278,Master[Product_Code],Master[Fabric])</f>
        <v>Cotton Blend</v>
      </c>
      <c r="J278" s="8" t="str">
        <f>_xlfn.XLOOKUP(D278,Master[Product_Code],Master[Size])</f>
        <v>XL</v>
      </c>
      <c r="K278" s="8" t="str">
        <f>_xlfn.XLOOKUP(D278,Master[Product_Code],Master[Color])</f>
        <v>Peach</v>
      </c>
      <c r="L278" s="3">
        <f>_xlfn.XLOOKUP(D278,Master[Product_Code],Master[Selling_Price])</f>
        <v>600</v>
      </c>
    </row>
    <row r="279" spans="2:12">
      <c r="B279" s="2" t="s">
        <v>1882</v>
      </c>
      <c r="C279" s="7">
        <v>45939</v>
      </c>
      <c r="D279" s="2" t="s">
        <v>1116</v>
      </c>
      <c r="E279" s="4">
        <v>1</v>
      </c>
      <c r="F279" s="8" t="str">
        <f>_xlfn.XLOOKUP(D279,Master[Product_Code],Master[Category])</f>
        <v>Jeans</v>
      </c>
      <c r="G279" s="8" t="str">
        <f>_xlfn.XLOOKUP(D279,Master[Product_Code],Master[Brand])</f>
        <v>Denim Pro</v>
      </c>
      <c r="H279" s="8" t="str">
        <f>_xlfn.XLOOKUP(D279,Master[Product_Code],Master[Style])</f>
        <v>Baggy</v>
      </c>
      <c r="I279" s="8" t="str">
        <f>_xlfn.XLOOKUP(D279,Master[Product_Code],Master[Fabric])</f>
        <v>Denim</v>
      </c>
      <c r="J279" s="8">
        <f>_xlfn.XLOOKUP(D279,Master[Product_Code],Master[Size])</f>
        <v>38</v>
      </c>
      <c r="K279" s="8" t="str">
        <f>_xlfn.XLOOKUP(D279,Master[Product_Code],Master[Color])</f>
        <v>Cream</v>
      </c>
      <c r="L279" s="3">
        <f>_xlfn.XLOOKUP(D279,Master[Product_Code],Master[Selling_Price])</f>
        <v>1080</v>
      </c>
    </row>
    <row r="280" spans="2:12">
      <c r="B280" s="2" t="s">
        <v>1883</v>
      </c>
      <c r="C280" s="7">
        <v>45939</v>
      </c>
      <c r="D280" s="2" t="s">
        <v>450</v>
      </c>
      <c r="E280" s="4">
        <v>1</v>
      </c>
      <c r="F280" s="8" t="str">
        <f>_xlfn.XLOOKUP(D280,Master[Product_Code],Master[Category])</f>
        <v>T-Shirt</v>
      </c>
      <c r="G280" s="8" t="str">
        <f>_xlfn.XLOOKUP(D280,Master[Product_Code],Master[Brand])</f>
        <v>Turkey</v>
      </c>
      <c r="H280" s="8" t="str">
        <f>_xlfn.XLOOKUP(D280,Master[Product_Code],Master[Style])</f>
        <v>Half Sleeve</v>
      </c>
      <c r="I280" s="8" t="str">
        <f>_xlfn.XLOOKUP(D280,Master[Product_Code],Master[Fabric])</f>
        <v>Cotton</v>
      </c>
      <c r="J280" s="8" t="str">
        <f>_xlfn.XLOOKUP(D280,Master[Product_Code],Master[Size])</f>
        <v>XL</v>
      </c>
      <c r="K280" s="8" t="str">
        <f>_xlfn.XLOOKUP(D280,Master[Product_Code],Master[Color])</f>
        <v>Cream</v>
      </c>
      <c r="L280" s="3">
        <f>_xlfn.XLOOKUP(D280,Master[Product_Code],Master[Selling_Price])</f>
        <v>280</v>
      </c>
    </row>
    <row r="281" spans="2:12">
      <c r="B281" s="2" t="s">
        <v>1883</v>
      </c>
      <c r="C281" s="7">
        <v>45939</v>
      </c>
      <c r="D281" s="2" t="s">
        <v>420</v>
      </c>
      <c r="E281" s="4">
        <v>1</v>
      </c>
      <c r="F281" s="8" t="str">
        <f>_xlfn.XLOOKUP(D281,Master[Product_Code],Master[Category])</f>
        <v>T-Shirt</v>
      </c>
      <c r="G281" s="8" t="str">
        <f>_xlfn.XLOOKUP(D281,Master[Product_Code],Master[Brand])</f>
        <v>Roadster</v>
      </c>
      <c r="H281" s="8" t="str">
        <f>_xlfn.XLOOKUP(D281,Master[Product_Code],Master[Style])</f>
        <v>3/4 Sleeve</v>
      </c>
      <c r="I281" s="8" t="str">
        <f>_xlfn.XLOOKUP(D281,Master[Product_Code],Master[Fabric])</f>
        <v>Cotton Blend</v>
      </c>
      <c r="J281" s="8" t="str">
        <f>_xlfn.XLOOKUP(D281,Master[Product_Code],Master[Size])</f>
        <v>XL</v>
      </c>
      <c r="K281" s="8" t="str">
        <f>_xlfn.XLOOKUP(D281,Master[Product_Code],Master[Color])</f>
        <v>Cream</v>
      </c>
      <c r="L281" s="3">
        <f>_xlfn.XLOOKUP(D281,Master[Product_Code],Master[Selling_Price])</f>
        <v>380</v>
      </c>
    </row>
    <row r="282" spans="2:12">
      <c r="B282" s="2" t="s">
        <v>1883</v>
      </c>
      <c r="C282" s="7">
        <v>45939</v>
      </c>
      <c r="D282" s="2" t="s">
        <v>364</v>
      </c>
      <c r="E282" s="4">
        <v>1</v>
      </c>
      <c r="F282" s="8" t="str">
        <f>_xlfn.XLOOKUP(D282,Master[Product_Code],Master[Category])</f>
        <v>Shirt</v>
      </c>
      <c r="G282" s="8" t="str">
        <f>_xlfn.XLOOKUP(D282,Master[Product_Code],Master[Brand])</f>
        <v>Zara</v>
      </c>
      <c r="H282" s="8" t="str">
        <f>_xlfn.XLOOKUP(D282,Master[Product_Code],Master[Style])</f>
        <v>Partywear</v>
      </c>
      <c r="I282" s="8" t="str">
        <f>_xlfn.XLOOKUP(D282,Master[Product_Code],Master[Fabric])</f>
        <v>Lycra</v>
      </c>
      <c r="J282" s="8" t="str">
        <f>_xlfn.XLOOKUP(D282,Master[Product_Code],Master[Size])</f>
        <v>M</v>
      </c>
      <c r="K282" s="8" t="str">
        <f>_xlfn.XLOOKUP(D282,Master[Product_Code],Master[Color])</f>
        <v>White</v>
      </c>
      <c r="L282" s="3">
        <f>_xlfn.XLOOKUP(D282,Master[Product_Code],Master[Selling_Price])</f>
        <v>720</v>
      </c>
    </row>
    <row r="283" spans="2:12">
      <c r="B283" s="2" t="s">
        <v>1883</v>
      </c>
      <c r="C283" s="7">
        <v>45939</v>
      </c>
      <c r="D283" s="2" t="s">
        <v>1035</v>
      </c>
      <c r="E283" s="4">
        <v>1</v>
      </c>
      <c r="F283" s="8" t="str">
        <f>_xlfn.XLOOKUP(D283,Master[Product_Code],Master[Category])</f>
        <v>Jeans</v>
      </c>
      <c r="G283" s="8" t="str">
        <f>_xlfn.XLOOKUP(D283,Master[Product_Code],Master[Brand])</f>
        <v>Pepe</v>
      </c>
      <c r="H283" s="8" t="str">
        <f>_xlfn.XLOOKUP(D283,Master[Product_Code],Master[Style])</f>
        <v>Mom Fit</v>
      </c>
      <c r="I283" s="8" t="str">
        <f>_xlfn.XLOOKUP(D283,Master[Product_Code],Master[Fabric])</f>
        <v>Denim</v>
      </c>
      <c r="J283" s="8">
        <f>_xlfn.XLOOKUP(D283,Master[Product_Code],Master[Size])</f>
        <v>42</v>
      </c>
      <c r="K283" s="8" t="str">
        <f>_xlfn.XLOOKUP(D283,Master[Product_Code],Master[Color])</f>
        <v>Wine</v>
      </c>
      <c r="L283" s="3">
        <f>_xlfn.XLOOKUP(D283,Master[Product_Code],Master[Selling_Price])</f>
        <v>1020</v>
      </c>
    </row>
    <row r="284" spans="2:12">
      <c r="B284" s="2" t="s">
        <v>1884</v>
      </c>
      <c r="C284" s="7">
        <v>45939</v>
      </c>
      <c r="D284" s="2" t="s">
        <v>1313</v>
      </c>
      <c r="E284" s="4">
        <v>1</v>
      </c>
      <c r="F284" s="8" t="str">
        <f>_xlfn.XLOOKUP(D284,Master[Product_Code],Master[Category])</f>
        <v>Pants</v>
      </c>
      <c r="G284" s="8" t="str">
        <f>_xlfn.XLOOKUP(D284,Master[Product_Code],Master[Brand])</f>
        <v>Raymond</v>
      </c>
      <c r="H284" s="8" t="str">
        <f>_xlfn.XLOOKUP(D284,Master[Product_Code],Master[Style])</f>
        <v>Boot Cut</v>
      </c>
      <c r="I284" s="8" t="str">
        <f>_xlfn.XLOOKUP(D284,Master[Product_Code],Master[Fabric])</f>
        <v>Cotton Blend</v>
      </c>
      <c r="J284" s="8">
        <f>_xlfn.XLOOKUP(D284,Master[Product_Code],Master[Size])</f>
        <v>38</v>
      </c>
      <c r="K284" s="8" t="str">
        <f>_xlfn.XLOOKUP(D284,Master[Product_Code],Master[Color])</f>
        <v>Dark Green</v>
      </c>
      <c r="L284" s="3">
        <f>_xlfn.XLOOKUP(D284,Master[Product_Code],Master[Selling_Price])</f>
        <v>890</v>
      </c>
    </row>
    <row r="285" spans="2:12">
      <c r="B285" s="2" t="s">
        <v>1884</v>
      </c>
      <c r="C285" s="7">
        <v>45939</v>
      </c>
      <c r="D285" s="2" t="s">
        <v>1541</v>
      </c>
      <c r="E285" s="4">
        <v>1</v>
      </c>
      <c r="F285" s="8" t="str">
        <f>_xlfn.XLOOKUP(D285,Master[Product_Code],Master[Category])</f>
        <v>Innerwear</v>
      </c>
      <c r="G285" s="8" t="str">
        <f>_xlfn.XLOOKUP(D285,Master[Product_Code],Master[Brand])</f>
        <v>Jockey</v>
      </c>
      <c r="H285" s="8" t="str">
        <f>_xlfn.XLOOKUP(D285,Master[Product_Code],Master[Style])</f>
        <v>Boxer</v>
      </c>
      <c r="I285" s="8" t="str">
        <f>_xlfn.XLOOKUP(D285,Master[Product_Code],Master[Fabric])</f>
        <v>Cotton Blend</v>
      </c>
      <c r="J285" s="8" t="str">
        <f>_xlfn.XLOOKUP(D285,Master[Product_Code],Master[Size])</f>
        <v>85-90</v>
      </c>
      <c r="K285" s="8" t="str">
        <f>_xlfn.XLOOKUP(D285,Master[Product_Code],Master[Color])</f>
        <v>Teal</v>
      </c>
      <c r="L285" s="3">
        <f>_xlfn.XLOOKUP(D285,Master[Product_Code],Master[Selling_Price])</f>
        <v>180</v>
      </c>
    </row>
    <row r="286" spans="2:12">
      <c r="B286" s="2" t="s">
        <v>1885</v>
      </c>
      <c r="C286" s="7">
        <v>45939</v>
      </c>
      <c r="D286" s="2" t="s">
        <v>1285</v>
      </c>
      <c r="E286" s="4">
        <v>1</v>
      </c>
      <c r="F286" s="8" t="str">
        <f>_xlfn.XLOOKUP(D286,Master[Product_Code],Master[Category])</f>
        <v>Pants</v>
      </c>
      <c r="G286" s="8" t="str">
        <f>_xlfn.XLOOKUP(D286,Master[Product_Code],Master[Brand])</f>
        <v>Raymond</v>
      </c>
      <c r="H286" s="8" t="str">
        <f>_xlfn.XLOOKUP(D286,Master[Product_Code],Master[Style])</f>
        <v>Korean</v>
      </c>
      <c r="I286" s="8" t="str">
        <f>_xlfn.XLOOKUP(D286,Master[Product_Code],Master[Fabric])</f>
        <v>Lycra</v>
      </c>
      <c r="J286" s="8">
        <f>_xlfn.XLOOKUP(D286,Master[Product_Code],Master[Size])</f>
        <v>42</v>
      </c>
      <c r="K286" s="8" t="str">
        <f>_xlfn.XLOOKUP(D286,Master[Product_Code],Master[Color])</f>
        <v>Mustard</v>
      </c>
      <c r="L286" s="3">
        <f>_xlfn.XLOOKUP(D286,Master[Product_Code],Master[Selling_Price])</f>
        <v>910</v>
      </c>
    </row>
    <row r="287" spans="2:12">
      <c r="B287" s="2" t="s">
        <v>1886</v>
      </c>
      <c r="C287" s="7">
        <v>45939</v>
      </c>
      <c r="D287" s="2" t="s">
        <v>1159</v>
      </c>
      <c r="E287" s="4">
        <v>1</v>
      </c>
      <c r="F287" s="8" t="str">
        <f>_xlfn.XLOOKUP(D287,Master[Product_Code],Master[Category])</f>
        <v>Pants</v>
      </c>
      <c r="G287" s="8" t="str">
        <f>_xlfn.XLOOKUP(D287,Master[Product_Code],Master[Brand])</f>
        <v>Raymond</v>
      </c>
      <c r="H287" s="8" t="str">
        <f>_xlfn.XLOOKUP(D287,Master[Product_Code],Master[Style])</f>
        <v>Kurka</v>
      </c>
      <c r="I287" s="8" t="str">
        <f>_xlfn.XLOOKUP(D287,Master[Product_Code],Master[Fabric])</f>
        <v>Lycra</v>
      </c>
      <c r="J287" s="8">
        <f>_xlfn.XLOOKUP(D287,Master[Product_Code],Master[Size])</f>
        <v>42</v>
      </c>
      <c r="K287" s="8" t="str">
        <f>_xlfn.XLOOKUP(D287,Master[Product_Code],Master[Color])</f>
        <v>Bottle Green</v>
      </c>
      <c r="L287" s="3">
        <f>_xlfn.XLOOKUP(D287,Master[Product_Code],Master[Selling_Price])</f>
        <v>900</v>
      </c>
    </row>
    <row r="288" spans="2:12">
      <c r="B288" s="2" t="s">
        <v>1886</v>
      </c>
      <c r="C288" s="7">
        <v>45939</v>
      </c>
      <c r="D288" s="2" t="s">
        <v>810</v>
      </c>
      <c r="E288" s="4">
        <v>1</v>
      </c>
      <c r="F288" s="8" t="str">
        <f>_xlfn.XLOOKUP(D288,Master[Product_Code],Master[Category])</f>
        <v>T-Shirt</v>
      </c>
      <c r="G288" s="8" t="str">
        <f>_xlfn.XLOOKUP(D288,Master[Product_Code],Master[Brand])</f>
        <v>Zara</v>
      </c>
      <c r="H288" s="8" t="str">
        <f>_xlfn.XLOOKUP(D288,Master[Product_Code],Master[Style])</f>
        <v>3/4 Sleeve</v>
      </c>
      <c r="I288" s="8" t="str">
        <f>_xlfn.XLOOKUP(D288,Master[Product_Code],Master[Fabric])</f>
        <v>Cotton</v>
      </c>
      <c r="J288" s="8" t="str">
        <f>_xlfn.XLOOKUP(D288,Master[Product_Code],Master[Size])</f>
        <v>XL</v>
      </c>
      <c r="K288" s="8" t="str">
        <f>_xlfn.XLOOKUP(D288,Master[Product_Code],Master[Color])</f>
        <v>Charcoal</v>
      </c>
      <c r="L288" s="3">
        <f>_xlfn.XLOOKUP(D288,Master[Product_Code],Master[Selling_Price])</f>
        <v>550</v>
      </c>
    </row>
    <row r="289" spans="2:12">
      <c r="B289" s="2" t="s">
        <v>1886</v>
      </c>
      <c r="C289" s="7">
        <v>45939</v>
      </c>
      <c r="D289" s="2" t="s">
        <v>554</v>
      </c>
      <c r="E289" s="4">
        <v>1</v>
      </c>
      <c r="F289" s="8" t="str">
        <f>_xlfn.XLOOKUP(D289,Master[Product_Code],Master[Category])</f>
        <v>T-Shirt</v>
      </c>
      <c r="G289" s="8" t="str">
        <f>_xlfn.XLOOKUP(D289,Master[Product_Code],Master[Brand])</f>
        <v>Roadster</v>
      </c>
      <c r="H289" s="8" t="str">
        <f>_xlfn.XLOOKUP(D289,Master[Product_Code],Master[Style])</f>
        <v>Hoodie</v>
      </c>
      <c r="I289" s="8" t="str">
        <f>_xlfn.XLOOKUP(D289,Master[Product_Code],Master[Fabric])</f>
        <v>Cotton</v>
      </c>
      <c r="J289" s="8" t="str">
        <f>_xlfn.XLOOKUP(D289,Master[Product_Code],Master[Size])</f>
        <v>XL</v>
      </c>
      <c r="K289" s="8" t="str">
        <f>_xlfn.XLOOKUP(D289,Master[Product_Code],Master[Color])</f>
        <v>Maroon</v>
      </c>
      <c r="L289" s="3">
        <f>_xlfn.XLOOKUP(D289,Master[Product_Code],Master[Selling_Price])</f>
        <v>260</v>
      </c>
    </row>
    <row r="290" spans="2:12">
      <c r="B290" s="2" t="s">
        <v>1887</v>
      </c>
      <c r="C290" s="7">
        <v>45939</v>
      </c>
      <c r="D290" s="2" t="s">
        <v>243</v>
      </c>
      <c r="E290" s="4">
        <v>1</v>
      </c>
      <c r="F290" s="8" t="str">
        <f>_xlfn.XLOOKUP(D290,Master[Product_Code],Master[Category])</f>
        <v>Shirt</v>
      </c>
      <c r="G290" s="8" t="str">
        <f>_xlfn.XLOOKUP(D290,Master[Product_Code],Master[Brand])</f>
        <v>Thailand</v>
      </c>
      <c r="H290" s="8" t="str">
        <f>_xlfn.XLOOKUP(D290,Master[Product_Code],Master[Style])</f>
        <v>Casual</v>
      </c>
      <c r="I290" s="8" t="str">
        <f>_xlfn.XLOOKUP(D290,Master[Product_Code],Master[Fabric])</f>
        <v>Cotton</v>
      </c>
      <c r="J290" s="8" t="str">
        <f>_xlfn.XLOOKUP(D290,Master[Product_Code],Master[Size])</f>
        <v>XXL</v>
      </c>
      <c r="K290" s="8" t="str">
        <f>_xlfn.XLOOKUP(D290,Master[Product_Code],Master[Color])</f>
        <v>Wine</v>
      </c>
      <c r="L290" s="3">
        <f>_xlfn.XLOOKUP(D290,Master[Product_Code],Master[Selling_Price])</f>
        <v>840</v>
      </c>
    </row>
    <row r="291" spans="2:12">
      <c r="B291" s="2" t="s">
        <v>1888</v>
      </c>
      <c r="C291" s="7">
        <v>45939</v>
      </c>
      <c r="D291" s="2" t="s">
        <v>1127</v>
      </c>
      <c r="E291" s="4">
        <v>1</v>
      </c>
      <c r="F291" s="8" t="str">
        <f>_xlfn.XLOOKUP(D291,Master[Product_Code],Master[Category])</f>
        <v>Jeans</v>
      </c>
      <c r="G291" s="8" t="str">
        <f>_xlfn.XLOOKUP(D291,Master[Product_Code],Master[Brand])</f>
        <v>Levis</v>
      </c>
      <c r="H291" s="8" t="str">
        <f>_xlfn.XLOOKUP(D291,Master[Product_Code],Master[Style])</f>
        <v>Mom Fit</v>
      </c>
      <c r="I291" s="8" t="str">
        <f>_xlfn.XLOOKUP(D291,Master[Product_Code],Master[Fabric])</f>
        <v>Denim</v>
      </c>
      <c r="J291" s="8">
        <f>_xlfn.XLOOKUP(D291,Master[Product_Code],Master[Size])</f>
        <v>30</v>
      </c>
      <c r="K291" s="8" t="str">
        <f>_xlfn.XLOOKUP(D291,Master[Product_Code],Master[Color])</f>
        <v>Sky Blue</v>
      </c>
      <c r="L291" s="3">
        <f>_xlfn.XLOOKUP(D291,Master[Product_Code],Master[Selling_Price])</f>
        <v>800</v>
      </c>
    </row>
    <row r="292" spans="2:12">
      <c r="B292" s="2" t="s">
        <v>1888</v>
      </c>
      <c r="C292" s="7">
        <v>45939</v>
      </c>
      <c r="D292" s="2" t="s">
        <v>180</v>
      </c>
      <c r="E292" s="4">
        <v>1</v>
      </c>
      <c r="F292" s="8" t="str">
        <f>_xlfn.XLOOKUP(D292,Master[Product_Code],Master[Category])</f>
        <v>Shirt</v>
      </c>
      <c r="G292" s="8" t="str">
        <f>_xlfn.XLOOKUP(D292,Master[Product_Code],Master[Brand])</f>
        <v>Max</v>
      </c>
      <c r="H292" s="8" t="str">
        <f>_xlfn.XLOOKUP(D292,Master[Product_Code],Master[Style])</f>
        <v>Formal</v>
      </c>
      <c r="I292" s="8" t="str">
        <f>_xlfn.XLOOKUP(D292,Master[Product_Code],Master[Fabric])</f>
        <v>Polyester</v>
      </c>
      <c r="J292" s="8" t="str">
        <f>_xlfn.XLOOKUP(D292,Master[Product_Code],Master[Size])</f>
        <v>L</v>
      </c>
      <c r="K292" s="8" t="str">
        <f>_xlfn.XLOOKUP(D292,Master[Product_Code],Master[Color])</f>
        <v>Bottle Green</v>
      </c>
      <c r="L292" s="3">
        <f>_xlfn.XLOOKUP(D292,Master[Product_Code],Master[Selling_Price])</f>
        <v>860</v>
      </c>
    </row>
    <row r="293" spans="2:12">
      <c r="B293" s="2" t="s">
        <v>1888</v>
      </c>
      <c r="C293" s="7">
        <v>45939</v>
      </c>
      <c r="D293" s="2" t="s">
        <v>873</v>
      </c>
      <c r="E293" s="4">
        <v>1</v>
      </c>
      <c r="F293" s="8" t="str">
        <f>_xlfn.XLOOKUP(D293,Master[Product_Code],Master[Category])</f>
        <v>Jeans</v>
      </c>
      <c r="G293" s="8" t="str">
        <f>_xlfn.XLOOKUP(D293,Master[Product_Code],Master[Brand])</f>
        <v>Levis</v>
      </c>
      <c r="H293" s="8" t="str">
        <f>_xlfn.XLOOKUP(D293,Master[Product_Code],Master[Style])</f>
        <v>Mom Fit</v>
      </c>
      <c r="I293" s="8" t="str">
        <f>_xlfn.XLOOKUP(D293,Master[Product_Code],Master[Fabric])</f>
        <v>Denim</v>
      </c>
      <c r="J293" s="8">
        <f>_xlfn.XLOOKUP(D293,Master[Product_Code],Master[Size])</f>
        <v>34</v>
      </c>
      <c r="K293" s="8" t="str">
        <f>_xlfn.XLOOKUP(D293,Master[Product_Code],Master[Color])</f>
        <v>Cream</v>
      </c>
      <c r="L293" s="3">
        <f>_xlfn.XLOOKUP(D293,Master[Product_Code],Master[Selling_Price])</f>
        <v>910</v>
      </c>
    </row>
    <row r="294" spans="2:12">
      <c r="B294" s="2" t="s">
        <v>1888</v>
      </c>
      <c r="C294" s="7">
        <v>45939</v>
      </c>
      <c r="D294" s="2" t="s">
        <v>595</v>
      </c>
      <c r="E294" s="4">
        <v>1</v>
      </c>
      <c r="F294" s="8" t="str">
        <f>_xlfn.XLOOKUP(D294,Master[Product_Code],Master[Category])</f>
        <v>T-Shirt</v>
      </c>
      <c r="G294" s="8" t="str">
        <f>_xlfn.XLOOKUP(D294,Master[Product_Code],Master[Brand])</f>
        <v>Urban Monkey</v>
      </c>
      <c r="H294" s="8" t="str">
        <f>_xlfn.XLOOKUP(D294,Master[Product_Code],Master[Style])</f>
        <v>Sleeveless</v>
      </c>
      <c r="I294" s="8" t="str">
        <f>_xlfn.XLOOKUP(D294,Master[Product_Code],Master[Fabric])</f>
        <v>Poly Cotton</v>
      </c>
      <c r="J294" s="8" t="str">
        <f>_xlfn.XLOOKUP(D294,Master[Product_Code],Master[Size])</f>
        <v>M</v>
      </c>
      <c r="K294" s="8" t="str">
        <f>_xlfn.XLOOKUP(D294,Master[Product_Code],Master[Color])</f>
        <v>Olive</v>
      </c>
      <c r="L294" s="3">
        <f>_xlfn.XLOOKUP(D294,Master[Product_Code],Master[Selling_Price])</f>
        <v>280</v>
      </c>
    </row>
    <row r="295" spans="2:12">
      <c r="B295" s="2" t="s">
        <v>1889</v>
      </c>
      <c r="C295" s="7">
        <v>45939</v>
      </c>
      <c r="D295" s="2" t="s">
        <v>946</v>
      </c>
      <c r="E295" s="4">
        <v>1</v>
      </c>
      <c r="F295" s="8" t="str">
        <f>_xlfn.XLOOKUP(D295,Master[Product_Code],Master[Category])</f>
        <v>Jeans</v>
      </c>
      <c r="G295" s="8" t="str">
        <f>_xlfn.XLOOKUP(D295,Master[Product_Code],Master[Brand])</f>
        <v>Denim Pro</v>
      </c>
      <c r="H295" s="8" t="str">
        <f>_xlfn.XLOOKUP(D295,Master[Product_Code],Master[Style])</f>
        <v>Mom Fit</v>
      </c>
      <c r="I295" s="8" t="str">
        <f>_xlfn.XLOOKUP(D295,Master[Product_Code],Master[Fabric])</f>
        <v>Denim</v>
      </c>
      <c r="J295" s="8">
        <f>_xlfn.XLOOKUP(D295,Master[Product_Code],Master[Size])</f>
        <v>30</v>
      </c>
      <c r="K295" s="8" t="str">
        <f>_xlfn.XLOOKUP(D295,Master[Product_Code],Master[Color])</f>
        <v>Peach</v>
      </c>
      <c r="L295" s="3">
        <f>_xlfn.XLOOKUP(D295,Master[Product_Code],Master[Selling_Price])</f>
        <v>850</v>
      </c>
    </row>
    <row r="296" spans="2:12">
      <c r="B296" s="2" t="s">
        <v>1889</v>
      </c>
      <c r="C296" s="7">
        <v>45939</v>
      </c>
      <c r="D296" s="2" t="s">
        <v>1696</v>
      </c>
      <c r="E296" s="4">
        <v>1</v>
      </c>
      <c r="F296" s="8" t="str">
        <f>_xlfn.XLOOKUP(D296,Master[Product_Code],Master[Category])</f>
        <v>Innerwear</v>
      </c>
      <c r="G296" s="8" t="str">
        <f>_xlfn.XLOOKUP(D296,Master[Product_Code],Master[Brand])</f>
        <v>Dollar</v>
      </c>
      <c r="H296" s="8" t="str">
        <f>_xlfn.XLOOKUP(D296,Master[Product_Code],Master[Style])</f>
        <v>Boxer</v>
      </c>
      <c r="I296" s="8" t="str">
        <f>_xlfn.XLOOKUP(D296,Master[Product_Code],Master[Fabric])</f>
        <v>Cotton</v>
      </c>
      <c r="J296" s="8" t="str">
        <f>_xlfn.XLOOKUP(D296,Master[Product_Code],Master[Size])</f>
        <v>85-90</v>
      </c>
      <c r="K296" s="8" t="str">
        <f>_xlfn.XLOOKUP(D296,Master[Product_Code],Master[Color])</f>
        <v>Rust</v>
      </c>
      <c r="L296" s="3">
        <f>_xlfn.XLOOKUP(D296,Master[Product_Code],Master[Selling_Price])</f>
        <v>160</v>
      </c>
    </row>
    <row r="297" spans="2:12">
      <c r="B297" s="2" t="s">
        <v>1890</v>
      </c>
      <c r="C297" s="7">
        <v>45939</v>
      </c>
      <c r="D297" s="2" t="s">
        <v>530</v>
      </c>
      <c r="E297" s="4">
        <v>1</v>
      </c>
      <c r="F297" s="8" t="str">
        <f>_xlfn.XLOOKUP(D297,Master[Product_Code],Master[Category])</f>
        <v>T-Shirt</v>
      </c>
      <c r="G297" s="8" t="str">
        <f>_xlfn.XLOOKUP(D297,Master[Product_Code],Master[Brand])</f>
        <v>Campus</v>
      </c>
      <c r="H297" s="8" t="str">
        <f>_xlfn.XLOOKUP(D297,Master[Product_Code],Master[Style])</f>
        <v>Hoodie</v>
      </c>
      <c r="I297" s="8" t="str">
        <f>_xlfn.XLOOKUP(D297,Master[Product_Code],Master[Fabric])</f>
        <v>Cotton Blend</v>
      </c>
      <c r="J297" s="8" t="str">
        <f>_xlfn.XLOOKUP(D297,Master[Product_Code],Master[Size])</f>
        <v>XL</v>
      </c>
      <c r="K297" s="8" t="str">
        <f>_xlfn.XLOOKUP(D297,Master[Product_Code],Master[Color])</f>
        <v>Rust</v>
      </c>
      <c r="L297" s="3">
        <f>_xlfn.XLOOKUP(D297,Master[Product_Code],Master[Selling_Price])</f>
        <v>660</v>
      </c>
    </row>
    <row r="298" spans="2:12">
      <c r="B298" s="2" t="s">
        <v>1890</v>
      </c>
      <c r="C298" s="7">
        <v>45939</v>
      </c>
      <c r="D298" s="2" t="s">
        <v>490</v>
      </c>
      <c r="E298" s="4">
        <v>1</v>
      </c>
      <c r="F298" s="8" t="str">
        <f>_xlfn.XLOOKUP(D298,Master[Product_Code],Master[Category])</f>
        <v>T-Shirt</v>
      </c>
      <c r="G298" s="8" t="str">
        <f>_xlfn.XLOOKUP(D298,Master[Product_Code],Master[Brand])</f>
        <v>Max</v>
      </c>
      <c r="H298" s="8" t="str">
        <f>_xlfn.XLOOKUP(D298,Master[Product_Code],Master[Style])</f>
        <v>Sleeveless</v>
      </c>
      <c r="I298" s="8" t="str">
        <f>_xlfn.XLOOKUP(D298,Master[Product_Code],Master[Fabric])</f>
        <v>Poly Cotton</v>
      </c>
      <c r="J298" s="8" t="str">
        <f>_xlfn.XLOOKUP(D298,Master[Product_Code],Master[Size])</f>
        <v>XL</v>
      </c>
      <c r="K298" s="8" t="str">
        <f>_xlfn.XLOOKUP(D298,Master[Product_Code],Master[Color])</f>
        <v>Peach</v>
      </c>
      <c r="L298" s="3">
        <f>_xlfn.XLOOKUP(D298,Master[Product_Code],Master[Selling_Price])</f>
        <v>700</v>
      </c>
    </row>
    <row r="299" spans="2:12">
      <c r="B299" s="2" t="s">
        <v>1890</v>
      </c>
      <c r="C299" s="7">
        <v>45939</v>
      </c>
      <c r="D299" s="2" t="s">
        <v>1212</v>
      </c>
      <c r="E299" s="4">
        <v>1</v>
      </c>
      <c r="F299" s="8" t="str">
        <f>_xlfn.XLOOKUP(D299,Master[Product_Code],Master[Category])</f>
        <v>Pants</v>
      </c>
      <c r="G299" s="8" t="str">
        <f>_xlfn.XLOOKUP(D299,Master[Product_Code],Master[Brand])</f>
        <v>Van Heusen</v>
      </c>
      <c r="H299" s="8" t="str">
        <f>_xlfn.XLOOKUP(D299,Master[Product_Code],Master[Style])</f>
        <v>Boot Cut</v>
      </c>
      <c r="I299" s="8" t="str">
        <f>_xlfn.XLOOKUP(D299,Master[Product_Code],Master[Fabric])</f>
        <v>Poly Viscose</v>
      </c>
      <c r="J299" s="8">
        <f>_xlfn.XLOOKUP(D299,Master[Product_Code],Master[Size])</f>
        <v>30</v>
      </c>
      <c r="K299" s="8" t="str">
        <f>_xlfn.XLOOKUP(D299,Master[Product_Code],Master[Color])</f>
        <v>Light Grey</v>
      </c>
      <c r="L299" s="3">
        <f>_xlfn.XLOOKUP(D299,Master[Product_Code],Master[Selling_Price])</f>
        <v>750</v>
      </c>
    </row>
    <row r="300" spans="2:12">
      <c r="B300" s="2" t="s">
        <v>1890</v>
      </c>
      <c r="C300" s="7">
        <v>45939</v>
      </c>
      <c r="D300" s="2" t="s">
        <v>1744</v>
      </c>
      <c r="E300" s="4">
        <v>1</v>
      </c>
      <c r="F300" s="8" t="str">
        <f>_xlfn.XLOOKUP(D300,Master[Product_Code],Master[Category])</f>
        <v>Innerwear</v>
      </c>
      <c r="G300" s="8" t="str">
        <f>_xlfn.XLOOKUP(D300,Master[Product_Code],Master[Brand])</f>
        <v>V Star</v>
      </c>
      <c r="H300" s="8" t="str">
        <f>_xlfn.XLOOKUP(D300,Master[Product_Code],Master[Style])</f>
        <v>V-Cut</v>
      </c>
      <c r="I300" s="8" t="str">
        <f>_xlfn.XLOOKUP(D300,Master[Product_Code],Master[Fabric])</f>
        <v>Cotton Blend</v>
      </c>
      <c r="J300" s="8" t="str">
        <f>_xlfn.XLOOKUP(D300,Master[Product_Code],Master[Size])</f>
        <v>75-80</v>
      </c>
      <c r="K300" s="8" t="str">
        <f>_xlfn.XLOOKUP(D300,Master[Product_Code],Master[Color])</f>
        <v>Maroon</v>
      </c>
      <c r="L300" s="3">
        <f>_xlfn.XLOOKUP(D300,Master[Product_Code],Master[Selling_Price])</f>
        <v>100</v>
      </c>
    </row>
    <row r="301" spans="2:12">
      <c r="B301" s="2" t="s">
        <v>1891</v>
      </c>
      <c r="C301" s="7">
        <v>45940</v>
      </c>
      <c r="D301" s="2" t="s">
        <v>1129</v>
      </c>
      <c r="E301" s="4">
        <v>1</v>
      </c>
      <c r="F301" s="8" t="str">
        <f>_xlfn.XLOOKUP(D301,Master[Product_Code],Master[Category])</f>
        <v>Jeans</v>
      </c>
      <c r="G301" s="8" t="str">
        <f>_xlfn.XLOOKUP(D301,Master[Product_Code],Master[Brand])</f>
        <v>Denim Pro</v>
      </c>
      <c r="H301" s="8" t="str">
        <f>_xlfn.XLOOKUP(D301,Master[Product_Code],Master[Style])</f>
        <v>Mom Fit</v>
      </c>
      <c r="I301" s="8" t="str">
        <f>_xlfn.XLOOKUP(D301,Master[Product_Code],Master[Fabric])</f>
        <v>Denim</v>
      </c>
      <c r="J301" s="8">
        <f>_xlfn.XLOOKUP(D301,Master[Product_Code],Master[Size])</f>
        <v>40</v>
      </c>
      <c r="K301" s="8" t="str">
        <f>_xlfn.XLOOKUP(D301,Master[Product_Code],Master[Color])</f>
        <v>Dark Green</v>
      </c>
      <c r="L301" s="3">
        <f>_xlfn.XLOOKUP(D301,Master[Product_Code],Master[Selling_Price])</f>
        <v>960</v>
      </c>
    </row>
    <row r="302" spans="2:12">
      <c r="B302" s="2" t="s">
        <v>1892</v>
      </c>
      <c r="C302" s="7">
        <v>45940</v>
      </c>
      <c r="D302" s="2" t="s">
        <v>1701</v>
      </c>
      <c r="E302" s="4">
        <v>1</v>
      </c>
      <c r="F302" s="8" t="str">
        <f>_xlfn.XLOOKUP(D302,Master[Product_Code],Master[Category])</f>
        <v>Innerwear</v>
      </c>
      <c r="G302" s="8" t="str">
        <f>_xlfn.XLOOKUP(D302,Master[Product_Code],Master[Brand])</f>
        <v>Dollar</v>
      </c>
      <c r="H302" s="8" t="str">
        <f>_xlfn.XLOOKUP(D302,Master[Product_Code],Master[Style])</f>
        <v>Boxer</v>
      </c>
      <c r="I302" s="8" t="str">
        <f>_xlfn.XLOOKUP(D302,Master[Product_Code],Master[Fabric])</f>
        <v>Cotton</v>
      </c>
      <c r="J302" s="8" t="str">
        <f>_xlfn.XLOOKUP(D302,Master[Product_Code],Master[Size])</f>
        <v>105-110</v>
      </c>
      <c r="K302" s="8" t="str">
        <f>_xlfn.XLOOKUP(D302,Master[Product_Code],Master[Color])</f>
        <v>Rust</v>
      </c>
      <c r="L302" s="3">
        <f>_xlfn.XLOOKUP(D302,Master[Product_Code],Master[Selling_Price])</f>
        <v>150</v>
      </c>
    </row>
    <row r="303" spans="2:12">
      <c r="B303" s="2" t="s">
        <v>1892</v>
      </c>
      <c r="C303" s="7">
        <v>45940</v>
      </c>
      <c r="D303" s="2" t="s">
        <v>1663</v>
      </c>
      <c r="E303" s="4">
        <v>1</v>
      </c>
      <c r="F303" s="8" t="str">
        <f>_xlfn.XLOOKUP(D303,Master[Product_Code],Master[Category])</f>
        <v>Innerwear</v>
      </c>
      <c r="G303" s="8" t="str">
        <f>_xlfn.XLOOKUP(D303,Master[Product_Code],Master[Brand])</f>
        <v>V Star</v>
      </c>
      <c r="H303" s="8" t="str">
        <f>_xlfn.XLOOKUP(D303,Master[Product_Code],Master[Style])</f>
        <v>Boxer</v>
      </c>
      <c r="I303" s="8" t="str">
        <f>_xlfn.XLOOKUP(D303,Master[Product_Code],Master[Fabric])</f>
        <v>Cotton</v>
      </c>
      <c r="J303" s="8" t="str">
        <f>_xlfn.XLOOKUP(D303,Master[Product_Code],Master[Size])</f>
        <v>75-80</v>
      </c>
      <c r="K303" s="8" t="str">
        <f>_xlfn.XLOOKUP(D303,Master[Product_Code],Master[Color])</f>
        <v>White</v>
      </c>
      <c r="L303" s="3">
        <f>_xlfn.XLOOKUP(D303,Master[Product_Code],Master[Selling_Price])</f>
        <v>110</v>
      </c>
    </row>
    <row r="304" spans="2:12">
      <c r="B304" s="2" t="s">
        <v>1892</v>
      </c>
      <c r="C304" s="7">
        <v>45940</v>
      </c>
      <c r="D304" s="2" t="s">
        <v>818</v>
      </c>
      <c r="E304" s="4">
        <v>1</v>
      </c>
      <c r="F304" s="8" t="str">
        <f>_xlfn.XLOOKUP(D304,Master[Product_Code],Master[Category])</f>
        <v>T-Shirt</v>
      </c>
      <c r="G304" s="8" t="str">
        <f>_xlfn.XLOOKUP(D304,Master[Product_Code],Master[Brand])</f>
        <v>Urban Monkey</v>
      </c>
      <c r="H304" s="8" t="str">
        <f>_xlfn.XLOOKUP(D304,Master[Product_Code],Master[Style])</f>
        <v>3/4 Sleeve</v>
      </c>
      <c r="I304" s="8" t="str">
        <f>_xlfn.XLOOKUP(D304,Master[Product_Code],Master[Fabric])</f>
        <v>Cotton Blend</v>
      </c>
      <c r="J304" s="8" t="str">
        <f>_xlfn.XLOOKUP(D304,Master[Product_Code],Master[Size])</f>
        <v>M</v>
      </c>
      <c r="K304" s="8" t="str">
        <f>_xlfn.XLOOKUP(D304,Master[Product_Code],Master[Color])</f>
        <v>Wine</v>
      </c>
      <c r="L304" s="3">
        <f>_xlfn.XLOOKUP(D304,Master[Product_Code],Master[Selling_Price])</f>
        <v>620</v>
      </c>
    </row>
    <row r="305" spans="2:12">
      <c r="B305" s="2" t="s">
        <v>1892</v>
      </c>
      <c r="C305" s="7">
        <v>45940</v>
      </c>
      <c r="D305" s="2" t="s">
        <v>343</v>
      </c>
      <c r="E305" s="4">
        <v>1</v>
      </c>
      <c r="F305" s="8" t="str">
        <f>_xlfn.XLOOKUP(D305,Master[Product_Code],Master[Category])</f>
        <v>Shirt</v>
      </c>
      <c r="G305" s="8" t="str">
        <f>_xlfn.XLOOKUP(D305,Master[Product_Code],Master[Brand])</f>
        <v>Luke &amp; Burg</v>
      </c>
      <c r="H305" s="8" t="str">
        <f>_xlfn.XLOOKUP(D305,Master[Product_Code],Master[Style])</f>
        <v>Casual</v>
      </c>
      <c r="I305" s="8" t="str">
        <f>_xlfn.XLOOKUP(D305,Master[Product_Code],Master[Fabric])</f>
        <v>Cotton</v>
      </c>
      <c r="J305" s="8" t="str">
        <f>_xlfn.XLOOKUP(D305,Master[Product_Code],Master[Size])</f>
        <v>XL</v>
      </c>
      <c r="K305" s="8" t="str">
        <f>_xlfn.XLOOKUP(D305,Master[Product_Code],Master[Color])</f>
        <v>White</v>
      </c>
      <c r="L305" s="3">
        <f>_xlfn.XLOOKUP(D305,Master[Product_Code],Master[Selling_Price])</f>
        <v>900</v>
      </c>
    </row>
    <row r="306" spans="2:12">
      <c r="B306" s="2" t="s">
        <v>1893</v>
      </c>
      <c r="C306" s="7">
        <v>45940</v>
      </c>
      <c r="D306" s="2" t="s">
        <v>1036</v>
      </c>
      <c r="E306" s="4">
        <v>1</v>
      </c>
      <c r="F306" s="8" t="str">
        <f>_xlfn.XLOOKUP(D306,Master[Product_Code],Master[Category])</f>
        <v>Jeans</v>
      </c>
      <c r="G306" s="8" t="str">
        <f>_xlfn.XLOOKUP(D306,Master[Product_Code],Master[Brand])</f>
        <v>Locomotive</v>
      </c>
      <c r="H306" s="8" t="str">
        <f>_xlfn.XLOOKUP(D306,Master[Product_Code],Master[Style])</f>
        <v>Mom Fit</v>
      </c>
      <c r="I306" s="8" t="str">
        <f>_xlfn.XLOOKUP(D306,Master[Product_Code],Master[Fabric])</f>
        <v>Denim</v>
      </c>
      <c r="J306" s="8">
        <f>_xlfn.XLOOKUP(D306,Master[Product_Code],Master[Size])</f>
        <v>42</v>
      </c>
      <c r="K306" s="8" t="str">
        <f>_xlfn.XLOOKUP(D306,Master[Product_Code],Master[Color])</f>
        <v>Navy Blue</v>
      </c>
      <c r="L306" s="3">
        <f>_xlfn.XLOOKUP(D306,Master[Product_Code],Master[Selling_Price])</f>
        <v>960</v>
      </c>
    </row>
    <row r="307" spans="2:12">
      <c r="B307" s="2" t="s">
        <v>1893</v>
      </c>
      <c r="C307" s="7">
        <v>45940</v>
      </c>
      <c r="D307" s="2" t="s">
        <v>208</v>
      </c>
      <c r="E307" s="4">
        <v>1</v>
      </c>
      <c r="F307" s="8" t="str">
        <f>_xlfn.XLOOKUP(D307,Master[Product_Code],Master[Category])</f>
        <v>Shirt</v>
      </c>
      <c r="G307" s="8" t="str">
        <f>_xlfn.XLOOKUP(D307,Master[Product_Code],Master[Brand])</f>
        <v>Luke &amp; Burg</v>
      </c>
      <c r="H307" s="8" t="str">
        <f>_xlfn.XLOOKUP(D307,Master[Product_Code],Master[Style])</f>
        <v>Casual</v>
      </c>
      <c r="I307" s="8" t="str">
        <f>_xlfn.XLOOKUP(D307,Master[Product_Code],Master[Fabric])</f>
        <v>Cotton</v>
      </c>
      <c r="J307" s="8" t="str">
        <f>_xlfn.XLOOKUP(D307,Master[Product_Code],Master[Size])</f>
        <v>M</v>
      </c>
      <c r="K307" s="8" t="str">
        <f>_xlfn.XLOOKUP(D307,Master[Product_Code],Master[Color])</f>
        <v>Rust</v>
      </c>
      <c r="L307" s="3">
        <f>_xlfn.XLOOKUP(D307,Master[Product_Code],Master[Selling_Price])</f>
        <v>700</v>
      </c>
    </row>
    <row r="308" spans="2:12">
      <c r="B308" s="2" t="s">
        <v>1893</v>
      </c>
      <c r="C308" s="7">
        <v>45940</v>
      </c>
      <c r="D308" s="2" t="s">
        <v>1414</v>
      </c>
      <c r="E308" s="4">
        <v>1</v>
      </c>
      <c r="F308" s="8" t="str">
        <f>_xlfn.XLOOKUP(D308,Master[Product_Code],Master[Category])</f>
        <v>Pants</v>
      </c>
      <c r="G308" s="8" t="str">
        <f>_xlfn.XLOOKUP(D308,Master[Product_Code],Master[Brand])</f>
        <v>Park Avenue</v>
      </c>
      <c r="H308" s="8" t="str">
        <f>_xlfn.XLOOKUP(D308,Master[Product_Code],Master[Style])</f>
        <v>Korean</v>
      </c>
      <c r="I308" s="8" t="str">
        <f>_xlfn.XLOOKUP(D308,Master[Product_Code],Master[Fabric])</f>
        <v>Lycra</v>
      </c>
      <c r="J308" s="8">
        <f>_xlfn.XLOOKUP(D308,Master[Product_Code],Master[Size])</f>
        <v>40</v>
      </c>
      <c r="K308" s="8" t="str">
        <f>_xlfn.XLOOKUP(D308,Master[Product_Code],Master[Color])</f>
        <v>Peach</v>
      </c>
      <c r="L308" s="3">
        <f>_xlfn.XLOOKUP(D308,Master[Product_Code],Master[Selling_Price])</f>
        <v>930</v>
      </c>
    </row>
    <row r="309" spans="2:12">
      <c r="B309" s="2" t="s">
        <v>1894</v>
      </c>
      <c r="C309" s="7">
        <v>45940</v>
      </c>
      <c r="D309" s="2" t="s">
        <v>899</v>
      </c>
      <c r="E309" s="4">
        <v>1</v>
      </c>
      <c r="F309" s="8" t="str">
        <f>_xlfn.XLOOKUP(D309,Master[Product_Code],Master[Category])</f>
        <v>Jeans</v>
      </c>
      <c r="G309" s="8" t="str">
        <f>_xlfn.XLOOKUP(D309,Master[Product_Code],Master[Brand])</f>
        <v>Spykar</v>
      </c>
      <c r="H309" s="8" t="str">
        <f>_xlfn.XLOOKUP(D309,Master[Product_Code],Master[Style])</f>
        <v>Jogger</v>
      </c>
      <c r="I309" s="8" t="str">
        <f>_xlfn.XLOOKUP(D309,Master[Product_Code],Master[Fabric])</f>
        <v>Denim</v>
      </c>
      <c r="J309" s="8">
        <f>_xlfn.XLOOKUP(D309,Master[Product_Code],Master[Size])</f>
        <v>34</v>
      </c>
      <c r="K309" s="8" t="str">
        <f>_xlfn.XLOOKUP(D309,Master[Product_Code],Master[Color])</f>
        <v>Grey</v>
      </c>
      <c r="L309" s="3">
        <f>_xlfn.XLOOKUP(D309,Master[Product_Code],Master[Selling_Price])</f>
        <v>1030</v>
      </c>
    </row>
    <row r="310" spans="2:12">
      <c r="B310" s="2" t="s">
        <v>1894</v>
      </c>
      <c r="C310" s="7">
        <v>45940</v>
      </c>
      <c r="D310" s="2" t="s">
        <v>613</v>
      </c>
      <c r="E310" s="4">
        <v>1</v>
      </c>
      <c r="F310" s="8" t="str">
        <f>_xlfn.XLOOKUP(D310,Master[Product_Code],Master[Category])</f>
        <v>T-Shirt</v>
      </c>
      <c r="G310" s="8" t="str">
        <f>_xlfn.XLOOKUP(D310,Master[Product_Code],Master[Brand])</f>
        <v>Max</v>
      </c>
      <c r="H310" s="8" t="str">
        <f>_xlfn.XLOOKUP(D310,Master[Product_Code],Master[Style])</f>
        <v>Full Sleeve</v>
      </c>
      <c r="I310" s="8" t="str">
        <f>_xlfn.XLOOKUP(D310,Master[Product_Code],Master[Fabric])</f>
        <v>Cotton</v>
      </c>
      <c r="J310" s="8" t="str">
        <f>_xlfn.XLOOKUP(D310,Master[Product_Code],Master[Size])</f>
        <v>M</v>
      </c>
      <c r="K310" s="8" t="str">
        <f>_xlfn.XLOOKUP(D310,Master[Product_Code],Master[Color])</f>
        <v>Grey</v>
      </c>
      <c r="L310" s="3">
        <f>_xlfn.XLOOKUP(D310,Master[Product_Code],Master[Selling_Price])</f>
        <v>750</v>
      </c>
    </row>
    <row r="311" spans="2:12">
      <c r="B311" s="2" t="s">
        <v>1894</v>
      </c>
      <c r="C311" s="7">
        <v>45940</v>
      </c>
      <c r="D311" s="2" t="s">
        <v>611</v>
      </c>
      <c r="E311" s="4">
        <v>1</v>
      </c>
      <c r="F311" s="8" t="str">
        <f>_xlfn.XLOOKUP(D311,Master[Product_Code],Master[Category])</f>
        <v>T-Shirt</v>
      </c>
      <c r="G311" s="8" t="str">
        <f>_xlfn.XLOOKUP(D311,Master[Product_Code],Master[Brand])</f>
        <v>Turkey</v>
      </c>
      <c r="H311" s="8" t="str">
        <f>_xlfn.XLOOKUP(D311,Master[Product_Code],Master[Style])</f>
        <v>Sleeveless</v>
      </c>
      <c r="I311" s="8" t="str">
        <f>_xlfn.XLOOKUP(D311,Master[Product_Code],Master[Fabric])</f>
        <v>Cotton Blend</v>
      </c>
      <c r="J311" s="8" t="str">
        <f>_xlfn.XLOOKUP(D311,Master[Product_Code],Master[Size])</f>
        <v>S</v>
      </c>
      <c r="K311" s="8" t="str">
        <f>_xlfn.XLOOKUP(D311,Master[Product_Code],Master[Color])</f>
        <v>Rust</v>
      </c>
      <c r="L311" s="3">
        <f>_xlfn.XLOOKUP(D311,Master[Product_Code],Master[Selling_Price])</f>
        <v>620</v>
      </c>
    </row>
    <row r="312" spans="2:12">
      <c r="B312" s="2" t="s">
        <v>1894</v>
      </c>
      <c r="C312" s="7">
        <v>45940</v>
      </c>
      <c r="D312" s="2" t="s">
        <v>1320</v>
      </c>
      <c r="E312" s="4">
        <v>1</v>
      </c>
      <c r="F312" s="8" t="str">
        <f>_xlfn.XLOOKUP(D312,Master[Product_Code],Master[Category])</f>
        <v>Pants</v>
      </c>
      <c r="G312" s="8" t="str">
        <f>_xlfn.XLOOKUP(D312,Master[Product_Code],Master[Brand])</f>
        <v>Van Heusen</v>
      </c>
      <c r="H312" s="8" t="str">
        <f>_xlfn.XLOOKUP(D312,Master[Product_Code],Master[Style])</f>
        <v>Kurka</v>
      </c>
      <c r="I312" s="8" t="str">
        <f>_xlfn.XLOOKUP(D312,Master[Product_Code],Master[Fabric])</f>
        <v>Lycra</v>
      </c>
      <c r="J312" s="8">
        <f>_xlfn.XLOOKUP(D312,Master[Product_Code],Master[Size])</f>
        <v>44</v>
      </c>
      <c r="K312" s="8" t="str">
        <f>_xlfn.XLOOKUP(D312,Master[Product_Code],Master[Color])</f>
        <v>White</v>
      </c>
      <c r="L312" s="3">
        <f>_xlfn.XLOOKUP(D312,Master[Product_Code],Master[Selling_Price])</f>
        <v>880</v>
      </c>
    </row>
    <row r="313" spans="2:12">
      <c r="B313" s="2" t="s">
        <v>1895</v>
      </c>
      <c r="C313" s="7">
        <v>45940</v>
      </c>
      <c r="D313" s="2" t="s">
        <v>1731</v>
      </c>
      <c r="E313" s="4">
        <v>1</v>
      </c>
      <c r="F313" s="8" t="str">
        <f>_xlfn.XLOOKUP(D313,Master[Product_Code],Master[Category])</f>
        <v>Innerwear</v>
      </c>
      <c r="G313" s="8" t="str">
        <f>_xlfn.XLOOKUP(D313,Master[Product_Code],Master[Brand])</f>
        <v>V Star</v>
      </c>
      <c r="H313" s="8" t="str">
        <f>_xlfn.XLOOKUP(D313,Master[Product_Code],Master[Style])</f>
        <v>V-Cut</v>
      </c>
      <c r="I313" s="8" t="str">
        <f>_xlfn.XLOOKUP(D313,Master[Product_Code],Master[Fabric])</f>
        <v>Cotton Blend</v>
      </c>
      <c r="J313" s="8" t="str">
        <f>_xlfn.XLOOKUP(D313,Master[Product_Code],Master[Size])</f>
        <v>90-100</v>
      </c>
      <c r="K313" s="8" t="str">
        <f>_xlfn.XLOOKUP(D313,Master[Product_Code],Master[Color])</f>
        <v>Brown</v>
      </c>
      <c r="L313" s="3">
        <f>_xlfn.XLOOKUP(D313,Master[Product_Code],Master[Selling_Price])</f>
        <v>130</v>
      </c>
    </row>
    <row r="314" spans="2:12">
      <c r="B314" s="2" t="s">
        <v>1896</v>
      </c>
      <c r="C314" s="7">
        <v>45940</v>
      </c>
      <c r="D314" s="2" t="s">
        <v>895</v>
      </c>
      <c r="E314" s="4">
        <v>1</v>
      </c>
      <c r="F314" s="8" t="str">
        <f>_xlfn.XLOOKUP(D314,Master[Product_Code],Master[Category])</f>
        <v>Jeans</v>
      </c>
      <c r="G314" s="8" t="str">
        <f>_xlfn.XLOOKUP(D314,Master[Product_Code],Master[Brand])</f>
        <v>Denim Pro</v>
      </c>
      <c r="H314" s="8" t="str">
        <f>_xlfn.XLOOKUP(D314,Master[Product_Code],Master[Style])</f>
        <v>Mom Fit</v>
      </c>
      <c r="I314" s="8" t="str">
        <f>_xlfn.XLOOKUP(D314,Master[Product_Code],Master[Fabric])</f>
        <v>Denim</v>
      </c>
      <c r="J314" s="8">
        <f>_xlfn.XLOOKUP(D314,Master[Product_Code],Master[Size])</f>
        <v>34</v>
      </c>
      <c r="K314" s="8" t="str">
        <f>_xlfn.XLOOKUP(D314,Master[Product_Code],Master[Color])</f>
        <v>Peach</v>
      </c>
      <c r="L314" s="3">
        <f>_xlfn.XLOOKUP(D314,Master[Product_Code],Master[Selling_Price])</f>
        <v>990</v>
      </c>
    </row>
    <row r="315" spans="2:12">
      <c r="B315" s="2" t="s">
        <v>1897</v>
      </c>
      <c r="C315" s="7">
        <v>45940</v>
      </c>
      <c r="D315" s="2" t="s">
        <v>360</v>
      </c>
      <c r="E315" s="4">
        <v>1</v>
      </c>
      <c r="F315" s="8" t="str">
        <f>_xlfn.XLOOKUP(D315,Master[Product_Code],Master[Category])</f>
        <v>Shirt</v>
      </c>
      <c r="G315" s="8" t="str">
        <f>_xlfn.XLOOKUP(D315,Master[Product_Code],Master[Brand])</f>
        <v>H&amp;M</v>
      </c>
      <c r="H315" s="8" t="str">
        <f>_xlfn.XLOOKUP(D315,Master[Product_Code],Master[Style])</f>
        <v>Partywear</v>
      </c>
      <c r="I315" s="8" t="str">
        <f>_xlfn.XLOOKUP(D315,Master[Product_Code],Master[Fabric])</f>
        <v>Cotton Blend</v>
      </c>
      <c r="J315" s="8" t="str">
        <f>_xlfn.XLOOKUP(D315,Master[Product_Code],Master[Size])</f>
        <v>L</v>
      </c>
      <c r="K315" s="8" t="str">
        <f>_xlfn.XLOOKUP(D315,Master[Product_Code],Master[Color])</f>
        <v>Sky Blue</v>
      </c>
      <c r="L315" s="3">
        <f>_xlfn.XLOOKUP(D315,Master[Product_Code],Master[Selling_Price])</f>
        <v>750</v>
      </c>
    </row>
    <row r="316" spans="2:12">
      <c r="B316" s="2" t="s">
        <v>1898</v>
      </c>
      <c r="C316" s="7">
        <v>45940</v>
      </c>
      <c r="D316" s="2" t="s">
        <v>652</v>
      </c>
      <c r="E316" s="4">
        <v>1</v>
      </c>
      <c r="F316" s="8" t="str">
        <f>_xlfn.XLOOKUP(D316,Master[Product_Code],Master[Category])</f>
        <v>T-Shirt</v>
      </c>
      <c r="G316" s="8" t="str">
        <f>_xlfn.XLOOKUP(D316,Master[Product_Code],Master[Brand])</f>
        <v>Zara</v>
      </c>
      <c r="H316" s="8" t="str">
        <f>_xlfn.XLOOKUP(D316,Master[Product_Code],Master[Style])</f>
        <v>Full Sleeve</v>
      </c>
      <c r="I316" s="8" t="str">
        <f>_xlfn.XLOOKUP(D316,Master[Product_Code],Master[Fabric])</f>
        <v>Cotton</v>
      </c>
      <c r="J316" s="8" t="str">
        <f>_xlfn.XLOOKUP(D316,Master[Product_Code],Master[Size])</f>
        <v>M</v>
      </c>
      <c r="K316" s="8" t="str">
        <f>_xlfn.XLOOKUP(D316,Master[Product_Code],Master[Color])</f>
        <v>Mustard</v>
      </c>
      <c r="L316" s="3">
        <f>_xlfn.XLOOKUP(D316,Master[Product_Code],Master[Selling_Price])</f>
        <v>500</v>
      </c>
    </row>
    <row r="317" spans="2:12">
      <c r="B317" s="2" t="s">
        <v>1899</v>
      </c>
      <c r="C317" s="7">
        <v>45940</v>
      </c>
      <c r="D317" s="2" t="s">
        <v>1599</v>
      </c>
      <c r="E317" s="4">
        <v>1</v>
      </c>
      <c r="F317" s="8" t="str">
        <f>_xlfn.XLOOKUP(D317,Master[Product_Code],Master[Category])</f>
        <v>Innerwear</v>
      </c>
      <c r="G317" s="8" t="str">
        <f>_xlfn.XLOOKUP(D317,Master[Product_Code],Master[Brand])</f>
        <v>Rupa</v>
      </c>
      <c r="H317" s="8" t="str">
        <f>_xlfn.XLOOKUP(D317,Master[Product_Code],Master[Style])</f>
        <v>Boxer</v>
      </c>
      <c r="I317" s="8" t="str">
        <f>_xlfn.XLOOKUP(D317,Master[Product_Code],Master[Fabric])</f>
        <v>Cotton Blend</v>
      </c>
      <c r="J317" s="8" t="str">
        <f>_xlfn.XLOOKUP(D317,Master[Product_Code],Master[Size])</f>
        <v>75-80</v>
      </c>
      <c r="K317" s="8" t="str">
        <f>_xlfn.XLOOKUP(D317,Master[Product_Code],Master[Color])</f>
        <v>Teal</v>
      </c>
      <c r="L317" s="3">
        <f>_xlfn.XLOOKUP(D317,Master[Product_Code],Master[Selling_Price])</f>
        <v>120</v>
      </c>
    </row>
    <row r="318" spans="2:12">
      <c r="B318" s="2" t="s">
        <v>1899</v>
      </c>
      <c r="C318" s="7">
        <v>45940</v>
      </c>
      <c r="D318" s="2" t="s">
        <v>884</v>
      </c>
      <c r="E318" s="4">
        <v>1</v>
      </c>
      <c r="F318" s="8" t="str">
        <f>_xlfn.XLOOKUP(D318,Master[Product_Code],Master[Category])</f>
        <v>Jeans</v>
      </c>
      <c r="G318" s="8" t="str">
        <f>_xlfn.XLOOKUP(D318,Master[Product_Code],Master[Brand])</f>
        <v>Levis</v>
      </c>
      <c r="H318" s="8" t="str">
        <f>_xlfn.XLOOKUP(D318,Master[Product_Code],Master[Style])</f>
        <v>Baggy</v>
      </c>
      <c r="I318" s="8" t="str">
        <f>_xlfn.XLOOKUP(D318,Master[Product_Code],Master[Fabric])</f>
        <v>Denim</v>
      </c>
      <c r="J318" s="8">
        <f>_xlfn.XLOOKUP(D318,Master[Product_Code],Master[Size])</f>
        <v>36</v>
      </c>
      <c r="K318" s="8" t="str">
        <f>_xlfn.XLOOKUP(D318,Master[Product_Code],Master[Color])</f>
        <v>White</v>
      </c>
      <c r="L318" s="3">
        <f>_xlfn.XLOOKUP(D318,Master[Product_Code],Master[Selling_Price])</f>
        <v>1020</v>
      </c>
    </row>
    <row r="319" spans="2:12">
      <c r="B319" s="2" t="s">
        <v>1899</v>
      </c>
      <c r="C319" s="7">
        <v>45940</v>
      </c>
      <c r="D319" s="2" t="s">
        <v>806</v>
      </c>
      <c r="E319" s="4">
        <v>1</v>
      </c>
      <c r="F319" s="8" t="str">
        <f>_xlfn.XLOOKUP(D319,Master[Product_Code],Master[Category])</f>
        <v>T-Shirt</v>
      </c>
      <c r="G319" s="8" t="str">
        <f>_xlfn.XLOOKUP(D319,Master[Product_Code],Master[Brand])</f>
        <v>Roadster</v>
      </c>
      <c r="H319" s="8" t="str">
        <f>_xlfn.XLOOKUP(D319,Master[Product_Code],Master[Style])</f>
        <v>Half Sleeve</v>
      </c>
      <c r="I319" s="8" t="str">
        <f>_xlfn.XLOOKUP(D319,Master[Product_Code],Master[Fabric])</f>
        <v>Cotton Blend</v>
      </c>
      <c r="J319" s="8" t="str">
        <f>_xlfn.XLOOKUP(D319,Master[Product_Code],Master[Size])</f>
        <v>M</v>
      </c>
      <c r="K319" s="8" t="str">
        <f>_xlfn.XLOOKUP(D319,Master[Product_Code],Master[Color])</f>
        <v>Bottle Green</v>
      </c>
      <c r="L319" s="3">
        <f>_xlfn.XLOOKUP(D319,Master[Product_Code],Master[Selling_Price])</f>
        <v>500</v>
      </c>
    </row>
    <row r="320" spans="2:12">
      <c r="B320" s="2" t="s">
        <v>1900</v>
      </c>
      <c r="C320" s="7">
        <v>45940</v>
      </c>
      <c r="D320" s="2" t="s">
        <v>1523</v>
      </c>
      <c r="E320" s="4">
        <v>1</v>
      </c>
      <c r="F320" s="8" t="str">
        <f>_xlfn.XLOOKUP(D320,Master[Product_Code],Master[Category])</f>
        <v>Innerwear</v>
      </c>
      <c r="G320" s="8" t="str">
        <f>_xlfn.XLOOKUP(D320,Master[Product_Code],Master[Brand])</f>
        <v>Dollar</v>
      </c>
      <c r="H320" s="8" t="str">
        <f>_xlfn.XLOOKUP(D320,Master[Product_Code],Master[Style])</f>
        <v>V-Cut</v>
      </c>
      <c r="I320" s="8" t="str">
        <f>_xlfn.XLOOKUP(D320,Master[Product_Code],Master[Fabric])</f>
        <v>Cotton Blend</v>
      </c>
      <c r="J320" s="8" t="str">
        <f>_xlfn.XLOOKUP(D320,Master[Product_Code],Master[Size])</f>
        <v>75-80</v>
      </c>
      <c r="K320" s="8" t="str">
        <f>_xlfn.XLOOKUP(D320,Master[Product_Code],Master[Color])</f>
        <v>Sky Blue</v>
      </c>
      <c r="L320" s="3">
        <f>_xlfn.XLOOKUP(D320,Master[Product_Code],Master[Selling_Price])</f>
        <v>180</v>
      </c>
    </row>
    <row r="321" spans="2:12">
      <c r="B321" s="2" t="s">
        <v>1900</v>
      </c>
      <c r="C321" s="7">
        <v>45940</v>
      </c>
      <c r="D321" s="2" t="s">
        <v>1315</v>
      </c>
      <c r="E321" s="4">
        <v>1</v>
      </c>
      <c r="F321" s="8" t="str">
        <f>_xlfn.XLOOKUP(D321,Master[Product_Code],Master[Category])</f>
        <v>Pants</v>
      </c>
      <c r="G321" s="8" t="str">
        <f>_xlfn.XLOOKUP(D321,Master[Product_Code],Master[Brand])</f>
        <v>Louis Philippe</v>
      </c>
      <c r="H321" s="8" t="str">
        <f>_xlfn.XLOOKUP(D321,Master[Product_Code],Master[Style])</f>
        <v>Polofit</v>
      </c>
      <c r="I321" s="8" t="str">
        <f>_xlfn.XLOOKUP(D321,Master[Product_Code],Master[Fabric])</f>
        <v>Lycra</v>
      </c>
      <c r="J321" s="8">
        <f>_xlfn.XLOOKUP(D321,Master[Product_Code],Master[Size])</f>
        <v>36</v>
      </c>
      <c r="K321" s="8" t="str">
        <f>_xlfn.XLOOKUP(D321,Master[Product_Code],Master[Color])</f>
        <v>Grey</v>
      </c>
      <c r="L321" s="3">
        <f>_xlfn.XLOOKUP(D321,Master[Product_Code],Master[Selling_Price])</f>
        <v>860</v>
      </c>
    </row>
    <row r="322" spans="2:12">
      <c r="B322" s="2" t="s">
        <v>1900</v>
      </c>
      <c r="C322" s="7">
        <v>45940</v>
      </c>
      <c r="D322" s="2" t="s">
        <v>1124</v>
      </c>
      <c r="E322" s="4">
        <v>1</v>
      </c>
      <c r="F322" s="8" t="str">
        <f>_xlfn.XLOOKUP(D322,Master[Product_Code],Master[Category])</f>
        <v>Jeans</v>
      </c>
      <c r="G322" s="8" t="str">
        <f>_xlfn.XLOOKUP(D322,Master[Product_Code],Master[Brand])</f>
        <v>Pepe</v>
      </c>
      <c r="H322" s="8" t="str">
        <f>_xlfn.XLOOKUP(D322,Master[Product_Code],Master[Style])</f>
        <v>Mom Fit</v>
      </c>
      <c r="I322" s="8" t="str">
        <f>_xlfn.XLOOKUP(D322,Master[Product_Code],Master[Fabric])</f>
        <v>Denim</v>
      </c>
      <c r="J322" s="8">
        <f>_xlfn.XLOOKUP(D322,Master[Product_Code],Master[Size])</f>
        <v>38</v>
      </c>
      <c r="K322" s="8" t="str">
        <f>_xlfn.XLOOKUP(D322,Master[Product_Code],Master[Color])</f>
        <v>Cream</v>
      </c>
      <c r="L322" s="3">
        <f>_xlfn.XLOOKUP(D322,Master[Product_Code],Master[Selling_Price])</f>
        <v>870</v>
      </c>
    </row>
    <row r="323" spans="2:12">
      <c r="B323" s="2" t="s">
        <v>1900</v>
      </c>
      <c r="C323" s="7">
        <v>45940</v>
      </c>
      <c r="D323" s="2" t="s">
        <v>1404</v>
      </c>
      <c r="E323" s="4">
        <v>1</v>
      </c>
      <c r="F323" s="8" t="str">
        <f>_xlfn.XLOOKUP(D323,Master[Product_Code],Master[Category])</f>
        <v>Pants</v>
      </c>
      <c r="G323" s="8" t="str">
        <f>_xlfn.XLOOKUP(D323,Master[Product_Code],Master[Brand])</f>
        <v>Raymond</v>
      </c>
      <c r="H323" s="8" t="str">
        <f>_xlfn.XLOOKUP(D323,Master[Product_Code],Master[Style])</f>
        <v>Polofit</v>
      </c>
      <c r="I323" s="8" t="str">
        <f>_xlfn.XLOOKUP(D323,Master[Product_Code],Master[Fabric])</f>
        <v>Lycra</v>
      </c>
      <c r="J323" s="8">
        <f>_xlfn.XLOOKUP(D323,Master[Product_Code],Master[Size])</f>
        <v>42</v>
      </c>
      <c r="K323" s="8" t="str">
        <f>_xlfn.XLOOKUP(D323,Master[Product_Code],Master[Color])</f>
        <v>Bottle Green</v>
      </c>
      <c r="L323" s="3">
        <f>_xlfn.XLOOKUP(D323,Master[Product_Code],Master[Selling_Price])</f>
        <v>810</v>
      </c>
    </row>
    <row r="324" spans="2:12">
      <c r="B324" s="2" t="s">
        <v>1901</v>
      </c>
      <c r="C324" s="7">
        <v>45940</v>
      </c>
      <c r="D324" s="2" t="s">
        <v>1192</v>
      </c>
      <c r="E324" s="4">
        <v>1</v>
      </c>
      <c r="F324" s="8" t="str">
        <f>_xlfn.XLOOKUP(D324,Master[Product_Code],Master[Category])</f>
        <v>Pants</v>
      </c>
      <c r="G324" s="8" t="str">
        <f>_xlfn.XLOOKUP(D324,Master[Product_Code],Master[Brand])</f>
        <v>Park Avenue</v>
      </c>
      <c r="H324" s="8" t="str">
        <f>_xlfn.XLOOKUP(D324,Master[Product_Code],Master[Style])</f>
        <v>Kurka</v>
      </c>
      <c r="I324" s="8" t="str">
        <f>_xlfn.XLOOKUP(D324,Master[Product_Code],Master[Fabric])</f>
        <v>Lycra</v>
      </c>
      <c r="J324" s="8">
        <f>_xlfn.XLOOKUP(D324,Master[Product_Code],Master[Size])</f>
        <v>30</v>
      </c>
      <c r="K324" s="8" t="str">
        <f>_xlfn.XLOOKUP(D324,Master[Product_Code],Master[Color])</f>
        <v>Olive</v>
      </c>
      <c r="L324" s="3">
        <f>_xlfn.XLOOKUP(D324,Master[Product_Code],Master[Selling_Price])</f>
        <v>830</v>
      </c>
    </row>
    <row r="325" spans="2:12">
      <c r="B325" s="2" t="s">
        <v>1901</v>
      </c>
      <c r="C325" s="7">
        <v>45940</v>
      </c>
      <c r="D325" s="2" t="s">
        <v>546</v>
      </c>
      <c r="E325" s="4">
        <v>1</v>
      </c>
      <c r="F325" s="8" t="str">
        <f>_xlfn.XLOOKUP(D325,Master[Product_Code],Master[Category])</f>
        <v>T-Shirt</v>
      </c>
      <c r="G325" s="8" t="str">
        <f>_xlfn.XLOOKUP(D325,Master[Product_Code],Master[Brand])</f>
        <v>Zara</v>
      </c>
      <c r="H325" s="8" t="str">
        <f>_xlfn.XLOOKUP(D325,Master[Product_Code],Master[Style])</f>
        <v>Hoodie</v>
      </c>
      <c r="I325" s="8" t="str">
        <f>_xlfn.XLOOKUP(D325,Master[Product_Code],Master[Fabric])</f>
        <v>Cotton Blend</v>
      </c>
      <c r="J325" s="8" t="str">
        <f>_xlfn.XLOOKUP(D325,Master[Product_Code],Master[Size])</f>
        <v>S</v>
      </c>
      <c r="K325" s="8" t="str">
        <f>_xlfn.XLOOKUP(D325,Master[Product_Code],Master[Color])</f>
        <v>Teal</v>
      </c>
      <c r="L325" s="3">
        <f>_xlfn.XLOOKUP(D325,Master[Product_Code],Master[Selling_Price])</f>
        <v>440</v>
      </c>
    </row>
    <row r="326" spans="2:12">
      <c r="B326" s="2" t="s">
        <v>1902</v>
      </c>
      <c r="C326" s="7">
        <v>45940</v>
      </c>
      <c r="D326" s="2" t="s">
        <v>1309</v>
      </c>
      <c r="E326" s="4">
        <v>1</v>
      </c>
      <c r="F326" s="8" t="str">
        <f>_xlfn.XLOOKUP(D326,Master[Product_Code],Master[Category])</f>
        <v>Pants</v>
      </c>
      <c r="G326" s="8" t="str">
        <f>_xlfn.XLOOKUP(D326,Master[Product_Code],Master[Brand])</f>
        <v>Louis Philippe</v>
      </c>
      <c r="H326" s="8" t="str">
        <f>_xlfn.XLOOKUP(D326,Master[Product_Code],Master[Style])</f>
        <v>Polofit</v>
      </c>
      <c r="I326" s="8" t="str">
        <f>_xlfn.XLOOKUP(D326,Master[Product_Code],Master[Fabric])</f>
        <v>Lycra</v>
      </c>
      <c r="J326" s="8">
        <f>_xlfn.XLOOKUP(D326,Master[Product_Code],Master[Size])</f>
        <v>34</v>
      </c>
      <c r="K326" s="8" t="str">
        <f>_xlfn.XLOOKUP(D326,Master[Product_Code],Master[Color])</f>
        <v>Grey</v>
      </c>
      <c r="L326" s="3">
        <f>_xlfn.XLOOKUP(D326,Master[Product_Code],Master[Selling_Price])</f>
        <v>870</v>
      </c>
    </row>
    <row r="327" spans="2:12">
      <c r="B327" s="2" t="s">
        <v>1902</v>
      </c>
      <c r="C327" s="7">
        <v>45940</v>
      </c>
      <c r="D327" s="2" t="s">
        <v>872</v>
      </c>
      <c r="E327" s="4">
        <v>1</v>
      </c>
      <c r="F327" s="8" t="str">
        <f>_xlfn.XLOOKUP(D327,Master[Product_Code],Master[Category])</f>
        <v>Jeans</v>
      </c>
      <c r="G327" s="8" t="str">
        <f>_xlfn.XLOOKUP(D327,Master[Product_Code],Master[Brand])</f>
        <v>Spykar</v>
      </c>
      <c r="H327" s="8" t="str">
        <f>_xlfn.XLOOKUP(D327,Master[Product_Code],Master[Style])</f>
        <v>Baggy</v>
      </c>
      <c r="I327" s="8" t="str">
        <f>_xlfn.XLOOKUP(D327,Master[Product_Code],Master[Fabric])</f>
        <v>Denim</v>
      </c>
      <c r="J327" s="8">
        <f>_xlfn.XLOOKUP(D327,Master[Product_Code],Master[Size])</f>
        <v>28</v>
      </c>
      <c r="K327" s="8" t="str">
        <f>_xlfn.XLOOKUP(D327,Master[Product_Code],Master[Color])</f>
        <v>Sky Blue</v>
      </c>
      <c r="L327" s="3">
        <f>_xlfn.XLOOKUP(D327,Master[Product_Code],Master[Selling_Price])</f>
        <v>830</v>
      </c>
    </row>
    <row r="328" spans="2:12">
      <c r="B328" s="2" t="s">
        <v>1903</v>
      </c>
      <c r="C328" s="7">
        <v>45940</v>
      </c>
      <c r="D328" s="2" t="s">
        <v>549</v>
      </c>
      <c r="E328" s="4">
        <v>1</v>
      </c>
      <c r="F328" s="8" t="str">
        <f>_xlfn.XLOOKUP(D328,Master[Product_Code],Master[Category])</f>
        <v>T-Shirt</v>
      </c>
      <c r="G328" s="8" t="str">
        <f>_xlfn.XLOOKUP(D328,Master[Product_Code],Master[Brand])</f>
        <v>Max</v>
      </c>
      <c r="H328" s="8" t="str">
        <f>_xlfn.XLOOKUP(D328,Master[Product_Code],Master[Style])</f>
        <v>Half Sleeve</v>
      </c>
      <c r="I328" s="8" t="str">
        <f>_xlfn.XLOOKUP(D328,Master[Product_Code],Master[Fabric])</f>
        <v>Cotton</v>
      </c>
      <c r="J328" s="8" t="str">
        <f>_xlfn.XLOOKUP(D328,Master[Product_Code],Master[Size])</f>
        <v>XXL</v>
      </c>
      <c r="K328" s="8" t="str">
        <f>_xlfn.XLOOKUP(D328,Master[Product_Code],Master[Color])</f>
        <v>Teal</v>
      </c>
      <c r="L328" s="3">
        <f>_xlfn.XLOOKUP(D328,Master[Product_Code],Master[Selling_Price])</f>
        <v>210</v>
      </c>
    </row>
    <row r="329" spans="2:12">
      <c r="B329" s="2" t="s">
        <v>1903</v>
      </c>
      <c r="C329" s="7">
        <v>45940</v>
      </c>
      <c r="D329" s="2" t="s">
        <v>1469</v>
      </c>
      <c r="E329" s="4">
        <v>1</v>
      </c>
      <c r="F329" s="8" t="str">
        <f>_xlfn.XLOOKUP(D329,Master[Product_Code],Master[Category])</f>
        <v>Innerwear</v>
      </c>
      <c r="G329" s="8" t="str">
        <f>_xlfn.XLOOKUP(D329,Master[Product_Code],Master[Brand])</f>
        <v>Rupa</v>
      </c>
      <c r="H329" s="8" t="str">
        <f>_xlfn.XLOOKUP(D329,Master[Product_Code],Master[Style])</f>
        <v>V-Cut</v>
      </c>
      <c r="I329" s="8" t="str">
        <f>_xlfn.XLOOKUP(D329,Master[Product_Code],Master[Fabric])</f>
        <v>Cotton</v>
      </c>
      <c r="J329" s="8" t="str">
        <f>_xlfn.XLOOKUP(D329,Master[Product_Code],Master[Size])</f>
        <v>90-100</v>
      </c>
      <c r="K329" s="8" t="str">
        <f>_xlfn.XLOOKUP(D329,Master[Product_Code],Master[Color])</f>
        <v>Brown</v>
      </c>
      <c r="L329" s="3">
        <f>_xlfn.XLOOKUP(D329,Master[Product_Code],Master[Selling_Price])</f>
        <v>100</v>
      </c>
    </row>
    <row r="330" spans="2:12">
      <c r="B330" s="2" t="s">
        <v>1903</v>
      </c>
      <c r="C330" s="7">
        <v>45940</v>
      </c>
      <c r="D330" s="2" t="s">
        <v>755</v>
      </c>
      <c r="E330" s="4">
        <v>1</v>
      </c>
      <c r="F330" s="8" t="str">
        <f>_xlfn.XLOOKUP(D330,Master[Product_Code],Master[Category])</f>
        <v>T-Shirt</v>
      </c>
      <c r="G330" s="8" t="str">
        <f>_xlfn.XLOOKUP(D330,Master[Product_Code],Master[Brand])</f>
        <v>Max</v>
      </c>
      <c r="H330" s="8" t="str">
        <f>_xlfn.XLOOKUP(D330,Master[Product_Code],Master[Style])</f>
        <v>Sleeveless</v>
      </c>
      <c r="I330" s="8" t="str">
        <f>_xlfn.XLOOKUP(D330,Master[Product_Code],Master[Fabric])</f>
        <v>Cotton Blend</v>
      </c>
      <c r="J330" s="8" t="str">
        <f>_xlfn.XLOOKUP(D330,Master[Product_Code],Master[Size])</f>
        <v>L</v>
      </c>
      <c r="K330" s="8" t="str">
        <f>_xlfn.XLOOKUP(D330,Master[Product_Code],Master[Color])</f>
        <v>Peach</v>
      </c>
      <c r="L330" s="3">
        <f>_xlfn.XLOOKUP(D330,Master[Product_Code],Master[Selling_Price])</f>
        <v>550</v>
      </c>
    </row>
    <row r="331" spans="2:12">
      <c r="B331" s="2" t="s">
        <v>1903</v>
      </c>
      <c r="C331" s="7">
        <v>45940</v>
      </c>
      <c r="D331" s="2" t="s">
        <v>861</v>
      </c>
      <c r="E331" s="4">
        <v>1</v>
      </c>
      <c r="F331" s="8" t="str">
        <f>_xlfn.XLOOKUP(D331,Master[Product_Code],Master[Category])</f>
        <v>Jeans</v>
      </c>
      <c r="G331" s="8" t="str">
        <f>_xlfn.XLOOKUP(D331,Master[Product_Code],Master[Brand])</f>
        <v>Levis</v>
      </c>
      <c r="H331" s="8" t="str">
        <f>_xlfn.XLOOKUP(D331,Master[Product_Code],Master[Style])</f>
        <v>Jogger</v>
      </c>
      <c r="I331" s="8" t="str">
        <f>_xlfn.XLOOKUP(D331,Master[Product_Code],Master[Fabric])</f>
        <v>Denim</v>
      </c>
      <c r="J331" s="8">
        <f>_xlfn.XLOOKUP(D331,Master[Product_Code],Master[Size])</f>
        <v>40</v>
      </c>
      <c r="K331" s="8" t="str">
        <f>_xlfn.XLOOKUP(D331,Master[Product_Code],Master[Color])</f>
        <v>Charcoal</v>
      </c>
      <c r="L331" s="3">
        <f>_xlfn.XLOOKUP(D331,Master[Product_Code],Master[Selling_Price])</f>
        <v>840</v>
      </c>
    </row>
    <row r="332" spans="2:12">
      <c r="B332" s="2" t="s">
        <v>1904</v>
      </c>
      <c r="C332" s="7">
        <v>45940</v>
      </c>
      <c r="D332" s="2" t="s">
        <v>276</v>
      </c>
      <c r="E332" s="4">
        <v>1</v>
      </c>
      <c r="F332" s="8" t="str">
        <f>_xlfn.XLOOKUP(D332,Master[Product_Code],Master[Category])</f>
        <v>Shirt</v>
      </c>
      <c r="G332" s="8" t="str">
        <f>_xlfn.XLOOKUP(D332,Master[Product_Code],Master[Brand])</f>
        <v>L7</v>
      </c>
      <c r="H332" s="8" t="str">
        <f>_xlfn.XLOOKUP(D332,Master[Product_Code],Master[Style])</f>
        <v>Partywear</v>
      </c>
      <c r="I332" s="8" t="str">
        <f>_xlfn.XLOOKUP(D332,Master[Product_Code],Master[Fabric])</f>
        <v>Lycra</v>
      </c>
      <c r="J332" s="8" t="str">
        <f>_xlfn.XLOOKUP(D332,Master[Product_Code],Master[Size])</f>
        <v>L</v>
      </c>
      <c r="K332" s="8" t="str">
        <f>_xlfn.XLOOKUP(D332,Master[Product_Code],Master[Color])</f>
        <v>Brown</v>
      </c>
      <c r="L332" s="3">
        <f>_xlfn.XLOOKUP(D332,Master[Product_Code],Master[Selling_Price])</f>
        <v>750</v>
      </c>
    </row>
    <row r="333" spans="2:12">
      <c r="B333" s="2" t="s">
        <v>1904</v>
      </c>
      <c r="C333" s="7">
        <v>45940</v>
      </c>
      <c r="D333" s="2" t="s">
        <v>1417</v>
      </c>
      <c r="E333" s="4">
        <v>1</v>
      </c>
      <c r="F333" s="8" t="str">
        <f>_xlfn.XLOOKUP(D333,Master[Product_Code],Master[Category])</f>
        <v>Pants</v>
      </c>
      <c r="G333" s="8" t="str">
        <f>_xlfn.XLOOKUP(D333,Master[Product_Code],Master[Brand])</f>
        <v>Louis Philippe</v>
      </c>
      <c r="H333" s="8" t="str">
        <f>_xlfn.XLOOKUP(D333,Master[Product_Code],Master[Style])</f>
        <v>Korean</v>
      </c>
      <c r="I333" s="8" t="str">
        <f>_xlfn.XLOOKUP(D333,Master[Product_Code],Master[Fabric])</f>
        <v>Lycra</v>
      </c>
      <c r="J333" s="8">
        <f>_xlfn.XLOOKUP(D333,Master[Product_Code],Master[Size])</f>
        <v>38</v>
      </c>
      <c r="K333" s="8" t="str">
        <f>_xlfn.XLOOKUP(D333,Master[Product_Code],Master[Color])</f>
        <v>Brown</v>
      </c>
      <c r="L333" s="3">
        <f>_xlfn.XLOOKUP(D333,Master[Product_Code],Master[Selling_Price])</f>
        <v>750</v>
      </c>
    </row>
    <row r="334" spans="2:12">
      <c r="B334" s="2" t="s">
        <v>1905</v>
      </c>
      <c r="C334" s="7">
        <v>45940</v>
      </c>
      <c r="D334" s="2" t="s">
        <v>169</v>
      </c>
      <c r="E334" s="4">
        <v>1</v>
      </c>
      <c r="F334" s="8" t="str">
        <f>_xlfn.XLOOKUP(D334,Master[Product_Code],Master[Category])</f>
        <v>Shirt</v>
      </c>
      <c r="G334" s="8" t="str">
        <f>_xlfn.XLOOKUP(D334,Master[Product_Code],Master[Brand])</f>
        <v>H&amp;M</v>
      </c>
      <c r="H334" s="8" t="str">
        <f>_xlfn.XLOOKUP(D334,Master[Product_Code],Master[Style])</f>
        <v>Casual</v>
      </c>
      <c r="I334" s="8" t="str">
        <f>_xlfn.XLOOKUP(D334,Master[Product_Code],Master[Fabric])</f>
        <v>Polyester</v>
      </c>
      <c r="J334" s="8" t="str">
        <f>_xlfn.XLOOKUP(D334,Master[Product_Code],Master[Size])</f>
        <v>XL</v>
      </c>
      <c r="K334" s="8" t="str">
        <f>_xlfn.XLOOKUP(D334,Master[Product_Code],Master[Color])</f>
        <v>Brown</v>
      </c>
      <c r="L334" s="3">
        <f>_xlfn.XLOOKUP(D334,Master[Product_Code],Master[Selling_Price])</f>
        <v>910</v>
      </c>
    </row>
    <row r="335" spans="2:12">
      <c r="B335" s="2" t="s">
        <v>1906</v>
      </c>
      <c r="C335" s="7">
        <v>45940</v>
      </c>
      <c r="D335" s="2" t="s">
        <v>263</v>
      </c>
      <c r="E335" s="4">
        <v>1</v>
      </c>
      <c r="F335" s="8" t="str">
        <f>_xlfn.XLOOKUP(D335,Master[Product_Code],Master[Category])</f>
        <v>Shirt</v>
      </c>
      <c r="G335" s="8" t="str">
        <f>_xlfn.XLOOKUP(D335,Master[Product_Code],Master[Brand])</f>
        <v>H&amp;M</v>
      </c>
      <c r="H335" s="8" t="str">
        <f>_xlfn.XLOOKUP(D335,Master[Product_Code],Master[Style])</f>
        <v>Partywear</v>
      </c>
      <c r="I335" s="8" t="str">
        <f>_xlfn.XLOOKUP(D335,Master[Product_Code],Master[Fabric])</f>
        <v>Cotton</v>
      </c>
      <c r="J335" s="8" t="str">
        <f>_xlfn.XLOOKUP(D335,Master[Product_Code],Master[Size])</f>
        <v>XXL</v>
      </c>
      <c r="K335" s="8" t="str">
        <f>_xlfn.XLOOKUP(D335,Master[Product_Code],Master[Color])</f>
        <v>Wine</v>
      </c>
      <c r="L335" s="3">
        <f>_xlfn.XLOOKUP(D335,Master[Product_Code],Master[Selling_Price])</f>
        <v>660</v>
      </c>
    </row>
    <row r="336" spans="2:12">
      <c r="B336" s="2" t="s">
        <v>1906</v>
      </c>
      <c r="C336" s="7">
        <v>45940</v>
      </c>
      <c r="D336" s="2" t="s">
        <v>1231</v>
      </c>
      <c r="E336" s="4">
        <v>1</v>
      </c>
      <c r="F336" s="8" t="str">
        <f>_xlfn.XLOOKUP(D336,Master[Product_Code],Master[Category])</f>
        <v>Pants</v>
      </c>
      <c r="G336" s="8" t="str">
        <f>_xlfn.XLOOKUP(D336,Master[Product_Code],Master[Brand])</f>
        <v>Park Avenue</v>
      </c>
      <c r="H336" s="8" t="str">
        <f>_xlfn.XLOOKUP(D336,Master[Product_Code],Master[Style])</f>
        <v>Jogger</v>
      </c>
      <c r="I336" s="8" t="str">
        <f>_xlfn.XLOOKUP(D336,Master[Product_Code],Master[Fabric])</f>
        <v>Poly Viscose</v>
      </c>
      <c r="J336" s="8">
        <f>_xlfn.XLOOKUP(D336,Master[Product_Code],Master[Size])</f>
        <v>28</v>
      </c>
      <c r="K336" s="8" t="str">
        <f>_xlfn.XLOOKUP(D336,Master[Product_Code],Master[Color])</f>
        <v>Wine</v>
      </c>
      <c r="L336" s="3">
        <f>_xlfn.XLOOKUP(D336,Master[Product_Code],Master[Selling_Price])</f>
        <v>800</v>
      </c>
    </row>
    <row r="337" spans="2:12">
      <c r="B337" s="2" t="s">
        <v>1907</v>
      </c>
      <c r="C337" s="7">
        <v>45940</v>
      </c>
      <c r="D337" s="2" t="s">
        <v>1256</v>
      </c>
      <c r="E337" s="4">
        <v>1</v>
      </c>
      <c r="F337" s="8" t="str">
        <f>_xlfn.XLOOKUP(D337,Master[Product_Code],Master[Category])</f>
        <v>Pants</v>
      </c>
      <c r="G337" s="8" t="str">
        <f>_xlfn.XLOOKUP(D337,Master[Product_Code],Master[Brand])</f>
        <v>Louis Philippe</v>
      </c>
      <c r="H337" s="8" t="str">
        <f>_xlfn.XLOOKUP(D337,Master[Product_Code],Master[Style])</f>
        <v>Boot Cut</v>
      </c>
      <c r="I337" s="8" t="str">
        <f>_xlfn.XLOOKUP(D337,Master[Product_Code],Master[Fabric])</f>
        <v>Cotton Blend</v>
      </c>
      <c r="J337" s="8">
        <f>_xlfn.XLOOKUP(D337,Master[Product_Code],Master[Size])</f>
        <v>32</v>
      </c>
      <c r="K337" s="8" t="str">
        <f>_xlfn.XLOOKUP(D337,Master[Product_Code],Master[Color])</f>
        <v>Beige</v>
      </c>
      <c r="L337" s="3">
        <f>_xlfn.XLOOKUP(D337,Master[Product_Code],Master[Selling_Price])</f>
        <v>810</v>
      </c>
    </row>
    <row r="338" spans="2:12">
      <c r="B338" s="2" t="s">
        <v>1907</v>
      </c>
      <c r="C338" s="7">
        <v>45940</v>
      </c>
      <c r="D338" s="2" t="s">
        <v>1009</v>
      </c>
      <c r="E338" s="4">
        <v>1</v>
      </c>
      <c r="F338" s="8" t="str">
        <f>_xlfn.XLOOKUP(D338,Master[Product_Code],Master[Category])</f>
        <v>Jeans</v>
      </c>
      <c r="G338" s="8" t="str">
        <f>_xlfn.XLOOKUP(D338,Master[Product_Code],Master[Brand])</f>
        <v>Denim Pro</v>
      </c>
      <c r="H338" s="8" t="str">
        <f>_xlfn.XLOOKUP(D338,Master[Product_Code],Master[Style])</f>
        <v>Jogger</v>
      </c>
      <c r="I338" s="8" t="str">
        <f>_xlfn.XLOOKUP(D338,Master[Product_Code],Master[Fabric])</f>
        <v>Denim</v>
      </c>
      <c r="J338" s="8">
        <f>_xlfn.XLOOKUP(D338,Master[Product_Code],Master[Size])</f>
        <v>38</v>
      </c>
      <c r="K338" s="8" t="str">
        <f>_xlfn.XLOOKUP(D338,Master[Product_Code],Master[Color])</f>
        <v>Cream</v>
      </c>
      <c r="L338" s="3">
        <f>_xlfn.XLOOKUP(D338,Master[Product_Code],Master[Selling_Price])</f>
        <v>830</v>
      </c>
    </row>
    <row r="339" spans="2:12">
      <c r="B339" s="2" t="s">
        <v>1907</v>
      </c>
      <c r="C339" s="7">
        <v>45940</v>
      </c>
      <c r="D339" s="2" t="s">
        <v>751</v>
      </c>
      <c r="E339" s="4">
        <v>1</v>
      </c>
      <c r="F339" s="8" t="str">
        <f>_xlfn.XLOOKUP(D339,Master[Product_Code],Master[Category])</f>
        <v>T-Shirt</v>
      </c>
      <c r="G339" s="8" t="str">
        <f>_xlfn.XLOOKUP(D339,Master[Product_Code],Master[Brand])</f>
        <v>Zara</v>
      </c>
      <c r="H339" s="8" t="str">
        <f>_xlfn.XLOOKUP(D339,Master[Product_Code],Master[Style])</f>
        <v>Full Sleeve</v>
      </c>
      <c r="I339" s="8" t="str">
        <f>_xlfn.XLOOKUP(D339,Master[Product_Code],Master[Fabric])</f>
        <v>Cotton Blend</v>
      </c>
      <c r="J339" s="8" t="str">
        <f>_xlfn.XLOOKUP(D339,Master[Product_Code],Master[Size])</f>
        <v>XL</v>
      </c>
      <c r="K339" s="8" t="str">
        <f>_xlfn.XLOOKUP(D339,Master[Product_Code],Master[Color])</f>
        <v>Cream</v>
      </c>
      <c r="L339" s="3">
        <f>_xlfn.XLOOKUP(D339,Master[Product_Code],Master[Selling_Price])</f>
        <v>650</v>
      </c>
    </row>
    <row r="340" spans="2:12">
      <c r="B340" s="2" t="s">
        <v>1908</v>
      </c>
      <c r="C340" s="7">
        <v>45941</v>
      </c>
      <c r="D340" s="2" t="s">
        <v>44</v>
      </c>
      <c r="E340" s="4">
        <v>1</v>
      </c>
      <c r="F340" s="8" t="str">
        <f>_xlfn.XLOOKUP(D340,Master[Product_Code],Master[Category])</f>
        <v>Shirt</v>
      </c>
      <c r="G340" s="8" t="str">
        <f>_xlfn.XLOOKUP(D340,Master[Product_Code],Master[Brand])</f>
        <v>L7</v>
      </c>
      <c r="H340" s="8" t="str">
        <f>_xlfn.XLOOKUP(D340,Master[Product_Code],Master[Style])</f>
        <v>Casual</v>
      </c>
      <c r="I340" s="8" t="str">
        <f>_xlfn.XLOOKUP(D340,Master[Product_Code],Master[Fabric])</f>
        <v>Cotton Blend</v>
      </c>
      <c r="J340" s="8" t="str">
        <f>_xlfn.XLOOKUP(D340,Master[Product_Code],Master[Size])</f>
        <v>XL</v>
      </c>
      <c r="K340" s="8" t="str">
        <f>_xlfn.XLOOKUP(D340,Master[Product_Code],Master[Color])</f>
        <v>Teal</v>
      </c>
      <c r="L340" s="3">
        <f>_xlfn.XLOOKUP(D340,Master[Product_Code],Master[Selling_Price])</f>
        <v>940</v>
      </c>
    </row>
    <row r="341" spans="2:12">
      <c r="B341" s="2" t="s">
        <v>1908</v>
      </c>
      <c r="C341" s="7">
        <v>45941</v>
      </c>
      <c r="D341" s="2" t="s">
        <v>1367</v>
      </c>
      <c r="E341" s="4">
        <v>1</v>
      </c>
      <c r="F341" s="8" t="str">
        <f>_xlfn.XLOOKUP(D341,Master[Product_Code],Master[Category])</f>
        <v>Pants</v>
      </c>
      <c r="G341" s="8" t="str">
        <f>_xlfn.XLOOKUP(D341,Master[Product_Code],Master[Brand])</f>
        <v>Park Avenue</v>
      </c>
      <c r="H341" s="8" t="str">
        <f>_xlfn.XLOOKUP(D341,Master[Product_Code],Master[Style])</f>
        <v>Boot Cut</v>
      </c>
      <c r="I341" s="8" t="str">
        <f>_xlfn.XLOOKUP(D341,Master[Product_Code],Master[Fabric])</f>
        <v>Cotton</v>
      </c>
      <c r="J341" s="8">
        <f>_xlfn.XLOOKUP(D341,Master[Product_Code],Master[Size])</f>
        <v>44</v>
      </c>
      <c r="K341" s="8" t="str">
        <f>_xlfn.XLOOKUP(D341,Master[Product_Code],Master[Color])</f>
        <v>Royal Blue</v>
      </c>
      <c r="L341" s="3">
        <f>_xlfn.XLOOKUP(D341,Master[Product_Code],Master[Selling_Price])</f>
        <v>950</v>
      </c>
    </row>
    <row r="342" spans="2:12">
      <c r="B342" s="2" t="s">
        <v>1908</v>
      </c>
      <c r="C342" s="7">
        <v>45941</v>
      </c>
      <c r="D342" s="2" t="s">
        <v>1620</v>
      </c>
      <c r="E342" s="4">
        <v>1</v>
      </c>
      <c r="F342" s="8" t="str">
        <f>_xlfn.XLOOKUP(D342,Master[Product_Code],Master[Category])</f>
        <v>Innerwear</v>
      </c>
      <c r="G342" s="8" t="str">
        <f>_xlfn.XLOOKUP(D342,Master[Product_Code],Master[Brand])</f>
        <v>Jockey</v>
      </c>
      <c r="H342" s="8" t="str">
        <f>_xlfn.XLOOKUP(D342,Master[Product_Code],Master[Style])</f>
        <v>Boxer</v>
      </c>
      <c r="I342" s="8" t="str">
        <f>_xlfn.XLOOKUP(D342,Master[Product_Code],Master[Fabric])</f>
        <v>Cotton</v>
      </c>
      <c r="J342" s="8" t="str">
        <f>_xlfn.XLOOKUP(D342,Master[Product_Code],Master[Size])</f>
        <v>85-90</v>
      </c>
      <c r="K342" s="8" t="str">
        <f>_xlfn.XLOOKUP(D342,Master[Product_Code],Master[Color])</f>
        <v>Rust</v>
      </c>
      <c r="L342" s="3">
        <f>_xlfn.XLOOKUP(D342,Master[Product_Code],Master[Selling_Price])</f>
        <v>170</v>
      </c>
    </row>
    <row r="343" spans="2:12">
      <c r="B343" s="2" t="s">
        <v>1908</v>
      </c>
      <c r="C343" s="7">
        <v>45941</v>
      </c>
      <c r="D343" s="2" t="s">
        <v>1011</v>
      </c>
      <c r="E343" s="4">
        <v>1</v>
      </c>
      <c r="F343" s="8" t="str">
        <f>_xlfn.XLOOKUP(D343,Master[Product_Code],Master[Category])</f>
        <v>Jeans</v>
      </c>
      <c r="G343" s="8" t="str">
        <f>_xlfn.XLOOKUP(D343,Master[Product_Code],Master[Brand])</f>
        <v>Spykar</v>
      </c>
      <c r="H343" s="8" t="str">
        <f>_xlfn.XLOOKUP(D343,Master[Product_Code],Master[Style])</f>
        <v>Baggy</v>
      </c>
      <c r="I343" s="8" t="str">
        <f>_xlfn.XLOOKUP(D343,Master[Product_Code],Master[Fabric])</f>
        <v>Denim</v>
      </c>
      <c r="J343" s="8">
        <f>_xlfn.XLOOKUP(D343,Master[Product_Code],Master[Size])</f>
        <v>32</v>
      </c>
      <c r="K343" s="8" t="str">
        <f>_xlfn.XLOOKUP(D343,Master[Product_Code],Master[Color])</f>
        <v>Wine</v>
      </c>
      <c r="L343" s="3">
        <f>_xlfn.XLOOKUP(D343,Master[Product_Code],Master[Selling_Price])</f>
        <v>1070</v>
      </c>
    </row>
    <row r="344" spans="2:12">
      <c r="B344" s="2" t="s">
        <v>1909</v>
      </c>
      <c r="C344" s="7">
        <v>45941</v>
      </c>
      <c r="D344" s="2" t="s">
        <v>1526</v>
      </c>
      <c r="E344" s="4">
        <v>1</v>
      </c>
      <c r="F344" s="8" t="str">
        <f>_xlfn.XLOOKUP(D344,Master[Product_Code],Master[Category])</f>
        <v>Innerwear</v>
      </c>
      <c r="G344" s="8" t="str">
        <f>_xlfn.XLOOKUP(D344,Master[Product_Code],Master[Brand])</f>
        <v>Lux</v>
      </c>
      <c r="H344" s="8" t="str">
        <f>_xlfn.XLOOKUP(D344,Master[Product_Code],Master[Style])</f>
        <v>Boxer</v>
      </c>
      <c r="I344" s="8" t="str">
        <f>_xlfn.XLOOKUP(D344,Master[Product_Code],Master[Fabric])</f>
        <v>Cotton</v>
      </c>
      <c r="J344" s="8" t="str">
        <f>_xlfn.XLOOKUP(D344,Master[Product_Code],Master[Size])</f>
        <v>105-110</v>
      </c>
      <c r="K344" s="8" t="str">
        <f>_xlfn.XLOOKUP(D344,Master[Product_Code],Master[Color])</f>
        <v>Maroon</v>
      </c>
      <c r="L344" s="3">
        <f>_xlfn.XLOOKUP(D344,Master[Product_Code],Master[Selling_Price])</f>
        <v>180</v>
      </c>
    </row>
    <row r="345" spans="2:12">
      <c r="B345" s="2" t="s">
        <v>1910</v>
      </c>
      <c r="C345" s="7">
        <v>45941</v>
      </c>
      <c r="D345" s="2" t="s">
        <v>509</v>
      </c>
      <c r="E345" s="4">
        <v>1</v>
      </c>
      <c r="F345" s="8" t="str">
        <f>_xlfn.XLOOKUP(D345,Master[Product_Code],Master[Category])</f>
        <v>T-Shirt</v>
      </c>
      <c r="G345" s="8" t="str">
        <f>_xlfn.XLOOKUP(D345,Master[Product_Code],Master[Brand])</f>
        <v>Urban Monkey</v>
      </c>
      <c r="H345" s="8" t="str">
        <f>_xlfn.XLOOKUP(D345,Master[Product_Code],Master[Style])</f>
        <v>Half Sleeve</v>
      </c>
      <c r="I345" s="8" t="str">
        <f>_xlfn.XLOOKUP(D345,Master[Product_Code],Master[Fabric])</f>
        <v>Cotton</v>
      </c>
      <c r="J345" s="8" t="str">
        <f>_xlfn.XLOOKUP(D345,Master[Product_Code],Master[Size])</f>
        <v>S</v>
      </c>
      <c r="K345" s="8" t="str">
        <f>_xlfn.XLOOKUP(D345,Master[Product_Code],Master[Color])</f>
        <v>Cream</v>
      </c>
      <c r="L345" s="3">
        <f>_xlfn.XLOOKUP(D345,Master[Product_Code],Master[Selling_Price])</f>
        <v>700</v>
      </c>
    </row>
    <row r="346" spans="2:12">
      <c r="B346" s="2" t="s">
        <v>1910</v>
      </c>
      <c r="C346" s="7">
        <v>45941</v>
      </c>
      <c r="D346" s="2" t="s">
        <v>763</v>
      </c>
      <c r="E346" s="4">
        <v>1</v>
      </c>
      <c r="F346" s="8" t="str">
        <f>_xlfn.XLOOKUP(D346,Master[Product_Code],Master[Category])</f>
        <v>T-Shirt</v>
      </c>
      <c r="G346" s="8" t="str">
        <f>_xlfn.XLOOKUP(D346,Master[Product_Code],Master[Brand])</f>
        <v>Turkey</v>
      </c>
      <c r="H346" s="8" t="str">
        <f>_xlfn.XLOOKUP(D346,Master[Product_Code],Master[Style])</f>
        <v>Full Sleeve</v>
      </c>
      <c r="I346" s="8" t="str">
        <f>_xlfn.XLOOKUP(D346,Master[Product_Code],Master[Fabric])</f>
        <v>Poly Cotton</v>
      </c>
      <c r="J346" s="8" t="str">
        <f>_xlfn.XLOOKUP(D346,Master[Product_Code],Master[Size])</f>
        <v>XXL</v>
      </c>
      <c r="K346" s="8" t="str">
        <f>_xlfn.XLOOKUP(D346,Master[Product_Code],Master[Color])</f>
        <v>Maroon</v>
      </c>
      <c r="L346" s="3">
        <f>_xlfn.XLOOKUP(D346,Master[Product_Code],Master[Selling_Price])</f>
        <v>530</v>
      </c>
    </row>
    <row r="347" spans="2:12">
      <c r="B347" s="2" t="s">
        <v>1911</v>
      </c>
      <c r="C347" s="7">
        <v>45941</v>
      </c>
      <c r="D347" s="2" t="s">
        <v>1220</v>
      </c>
      <c r="E347" s="4">
        <v>1</v>
      </c>
      <c r="F347" s="8" t="str">
        <f>_xlfn.XLOOKUP(D347,Master[Product_Code],Master[Category])</f>
        <v>Pants</v>
      </c>
      <c r="G347" s="8" t="str">
        <f>_xlfn.XLOOKUP(D347,Master[Product_Code],Master[Brand])</f>
        <v>Van Heusen</v>
      </c>
      <c r="H347" s="8" t="str">
        <f>_xlfn.XLOOKUP(D347,Master[Product_Code],Master[Style])</f>
        <v>Polofit</v>
      </c>
      <c r="I347" s="8" t="str">
        <f>_xlfn.XLOOKUP(D347,Master[Product_Code],Master[Fabric])</f>
        <v>Lycra</v>
      </c>
      <c r="J347" s="8">
        <f>_xlfn.XLOOKUP(D347,Master[Product_Code],Master[Size])</f>
        <v>40</v>
      </c>
      <c r="K347" s="8" t="str">
        <f>_xlfn.XLOOKUP(D347,Master[Product_Code],Master[Color])</f>
        <v>Light Grey</v>
      </c>
      <c r="L347" s="3">
        <f>_xlfn.XLOOKUP(D347,Master[Product_Code],Master[Selling_Price])</f>
        <v>890</v>
      </c>
    </row>
    <row r="348" spans="2:12">
      <c r="B348" s="2" t="s">
        <v>1912</v>
      </c>
      <c r="C348" s="7">
        <v>45941</v>
      </c>
      <c r="D348" s="2" t="s">
        <v>1539</v>
      </c>
      <c r="E348" s="4">
        <v>1</v>
      </c>
      <c r="F348" s="8" t="str">
        <f>_xlfn.XLOOKUP(D348,Master[Product_Code],Master[Category])</f>
        <v>Innerwear</v>
      </c>
      <c r="G348" s="8" t="str">
        <f>_xlfn.XLOOKUP(D348,Master[Product_Code],Master[Brand])</f>
        <v>Lux</v>
      </c>
      <c r="H348" s="8" t="str">
        <f>_xlfn.XLOOKUP(D348,Master[Product_Code],Master[Style])</f>
        <v>Boxer</v>
      </c>
      <c r="I348" s="8" t="str">
        <f>_xlfn.XLOOKUP(D348,Master[Product_Code],Master[Fabric])</f>
        <v>Cotton</v>
      </c>
      <c r="J348" s="8" t="str">
        <f>_xlfn.XLOOKUP(D348,Master[Product_Code],Master[Size])</f>
        <v>105-110</v>
      </c>
      <c r="K348" s="8" t="str">
        <f>_xlfn.XLOOKUP(D348,Master[Product_Code],Master[Color])</f>
        <v>Light Grey</v>
      </c>
      <c r="L348" s="3">
        <f>_xlfn.XLOOKUP(D348,Master[Product_Code],Master[Selling_Price])</f>
        <v>100</v>
      </c>
    </row>
    <row r="349" spans="2:12">
      <c r="B349" s="2" t="s">
        <v>1912</v>
      </c>
      <c r="C349" s="7">
        <v>45941</v>
      </c>
      <c r="D349" s="2" t="s">
        <v>425</v>
      </c>
      <c r="E349" s="4">
        <v>1</v>
      </c>
      <c r="F349" s="8" t="str">
        <f>_xlfn.XLOOKUP(D349,Master[Product_Code],Master[Category])</f>
        <v>T-Shirt</v>
      </c>
      <c r="G349" s="8" t="str">
        <f>_xlfn.XLOOKUP(D349,Master[Product_Code],Master[Brand])</f>
        <v>Thailand</v>
      </c>
      <c r="H349" s="8" t="str">
        <f>_xlfn.XLOOKUP(D349,Master[Product_Code],Master[Style])</f>
        <v>Full Sleeve</v>
      </c>
      <c r="I349" s="8" t="str">
        <f>_xlfn.XLOOKUP(D349,Master[Product_Code],Master[Fabric])</f>
        <v>Cotton Blend</v>
      </c>
      <c r="J349" s="8" t="str">
        <f>_xlfn.XLOOKUP(D349,Master[Product_Code],Master[Size])</f>
        <v>XXL</v>
      </c>
      <c r="K349" s="8" t="str">
        <f>_xlfn.XLOOKUP(D349,Master[Product_Code],Master[Color])</f>
        <v>Charcoal</v>
      </c>
      <c r="L349" s="3">
        <f>_xlfn.XLOOKUP(D349,Master[Product_Code],Master[Selling_Price])</f>
        <v>350</v>
      </c>
    </row>
    <row r="350" spans="2:12">
      <c r="B350" s="2" t="s">
        <v>1912</v>
      </c>
      <c r="C350" s="7">
        <v>45941</v>
      </c>
      <c r="D350" s="2" t="s">
        <v>96</v>
      </c>
      <c r="E350" s="4">
        <v>1</v>
      </c>
      <c r="F350" s="8" t="str">
        <f>_xlfn.XLOOKUP(D350,Master[Product_Code],Master[Category])</f>
        <v>Shirt</v>
      </c>
      <c r="G350" s="8" t="str">
        <f>_xlfn.XLOOKUP(D350,Master[Product_Code],Master[Brand])</f>
        <v>L7</v>
      </c>
      <c r="H350" s="8" t="str">
        <f>_xlfn.XLOOKUP(D350,Master[Product_Code],Master[Style])</f>
        <v>Formal</v>
      </c>
      <c r="I350" s="8" t="str">
        <f>_xlfn.XLOOKUP(D350,Master[Product_Code],Master[Fabric])</f>
        <v>Polyester</v>
      </c>
      <c r="J350" s="8" t="str">
        <f>_xlfn.XLOOKUP(D350,Master[Product_Code],Master[Size])</f>
        <v>XXL</v>
      </c>
      <c r="K350" s="8" t="str">
        <f>_xlfn.XLOOKUP(D350,Master[Product_Code],Master[Color])</f>
        <v>Light Grey</v>
      </c>
      <c r="L350" s="3">
        <f>_xlfn.XLOOKUP(D350,Master[Product_Code],Master[Selling_Price])</f>
        <v>900</v>
      </c>
    </row>
    <row r="351" spans="2:12">
      <c r="B351" s="2" t="s">
        <v>1913</v>
      </c>
      <c r="C351" s="7">
        <v>45941</v>
      </c>
      <c r="D351" s="2" t="s">
        <v>1717</v>
      </c>
      <c r="E351" s="4">
        <v>1</v>
      </c>
      <c r="F351" s="8" t="str">
        <f>_xlfn.XLOOKUP(D351,Master[Product_Code],Master[Category])</f>
        <v>Innerwear</v>
      </c>
      <c r="G351" s="8" t="str">
        <f>_xlfn.XLOOKUP(D351,Master[Product_Code],Master[Brand])</f>
        <v>Rupa</v>
      </c>
      <c r="H351" s="8" t="str">
        <f>_xlfn.XLOOKUP(D351,Master[Product_Code],Master[Style])</f>
        <v>V-Cut</v>
      </c>
      <c r="I351" s="8" t="str">
        <f>_xlfn.XLOOKUP(D351,Master[Product_Code],Master[Fabric])</f>
        <v>Cotton</v>
      </c>
      <c r="J351" s="8" t="str">
        <f>_xlfn.XLOOKUP(D351,Master[Product_Code],Master[Size])</f>
        <v>75-80</v>
      </c>
      <c r="K351" s="8" t="str">
        <f>_xlfn.XLOOKUP(D351,Master[Product_Code],Master[Color])</f>
        <v>Bottle Green</v>
      </c>
      <c r="L351" s="3">
        <f>_xlfn.XLOOKUP(D351,Master[Product_Code],Master[Selling_Price])</f>
        <v>180</v>
      </c>
    </row>
    <row r="352" spans="2:12">
      <c r="B352" s="2" t="s">
        <v>1913</v>
      </c>
      <c r="C352" s="7">
        <v>45941</v>
      </c>
      <c r="D352" s="2" t="s">
        <v>777</v>
      </c>
      <c r="E352" s="4">
        <v>1</v>
      </c>
      <c r="F352" s="8" t="str">
        <f>_xlfn.XLOOKUP(D352,Master[Product_Code],Master[Category])</f>
        <v>T-Shirt</v>
      </c>
      <c r="G352" s="8" t="str">
        <f>_xlfn.XLOOKUP(D352,Master[Product_Code],Master[Brand])</f>
        <v>Campus</v>
      </c>
      <c r="H352" s="8" t="str">
        <f>_xlfn.XLOOKUP(D352,Master[Product_Code],Master[Style])</f>
        <v>3/4 Sleeve</v>
      </c>
      <c r="I352" s="8" t="str">
        <f>_xlfn.XLOOKUP(D352,Master[Product_Code],Master[Fabric])</f>
        <v>Cotton</v>
      </c>
      <c r="J352" s="8" t="str">
        <f>_xlfn.XLOOKUP(D352,Master[Product_Code],Master[Size])</f>
        <v>M</v>
      </c>
      <c r="K352" s="8" t="str">
        <f>_xlfn.XLOOKUP(D352,Master[Product_Code],Master[Color])</f>
        <v>Cream</v>
      </c>
      <c r="L352" s="3">
        <f>_xlfn.XLOOKUP(D352,Master[Product_Code],Master[Selling_Price])</f>
        <v>720</v>
      </c>
    </row>
    <row r="353" spans="2:12">
      <c r="B353" s="2" t="s">
        <v>1913</v>
      </c>
      <c r="C353" s="7">
        <v>45941</v>
      </c>
      <c r="D353" s="2" t="s">
        <v>626</v>
      </c>
      <c r="E353" s="4">
        <v>1</v>
      </c>
      <c r="F353" s="8" t="str">
        <f>_xlfn.XLOOKUP(D353,Master[Product_Code],Master[Category])</f>
        <v>T-Shirt</v>
      </c>
      <c r="G353" s="8" t="str">
        <f>_xlfn.XLOOKUP(D353,Master[Product_Code],Master[Brand])</f>
        <v>Urban Monkey</v>
      </c>
      <c r="H353" s="8" t="str">
        <f>_xlfn.XLOOKUP(D353,Master[Product_Code],Master[Style])</f>
        <v>Sleeveless</v>
      </c>
      <c r="I353" s="8" t="str">
        <f>_xlfn.XLOOKUP(D353,Master[Product_Code],Master[Fabric])</f>
        <v>Poly Cotton</v>
      </c>
      <c r="J353" s="8" t="str">
        <f>_xlfn.XLOOKUP(D353,Master[Product_Code],Master[Size])</f>
        <v>XL</v>
      </c>
      <c r="K353" s="8" t="str">
        <f>_xlfn.XLOOKUP(D353,Master[Product_Code],Master[Color])</f>
        <v>Wine</v>
      </c>
      <c r="L353" s="3">
        <f>_xlfn.XLOOKUP(D353,Master[Product_Code],Master[Selling_Price])</f>
        <v>360</v>
      </c>
    </row>
    <row r="354" spans="2:12">
      <c r="B354" s="2" t="s">
        <v>1914</v>
      </c>
      <c r="C354" s="7">
        <v>45941</v>
      </c>
      <c r="D354" s="2" t="s">
        <v>576</v>
      </c>
      <c r="E354" s="4">
        <v>1</v>
      </c>
      <c r="F354" s="8" t="str">
        <f>_xlfn.XLOOKUP(D354,Master[Product_Code],Master[Category])</f>
        <v>T-Shirt</v>
      </c>
      <c r="G354" s="8" t="str">
        <f>_xlfn.XLOOKUP(D354,Master[Product_Code],Master[Brand])</f>
        <v>Turkey</v>
      </c>
      <c r="H354" s="8" t="str">
        <f>_xlfn.XLOOKUP(D354,Master[Product_Code],Master[Style])</f>
        <v>3/4 Sleeve</v>
      </c>
      <c r="I354" s="8" t="str">
        <f>_xlfn.XLOOKUP(D354,Master[Product_Code],Master[Fabric])</f>
        <v>Poly Cotton</v>
      </c>
      <c r="J354" s="8" t="str">
        <f>_xlfn.XLOOKUP(D354,Master[Product_Code],Master[Size])</f>
        <v>S</v>
      </c>
      <c r="K354" s="8" t="str">
        <f>_xlfn.XLOOKUP(D354,Master[Product_Code],Master[Color])</f>
        <v>Charcoal</v>
      </c>
      <c r="L354" s="3">
        <f>_xlfn.XLOOKUP(D354,Master[Product_Code],Master[Selling_Price])</f>
        <v>680</v>
      </c>
    </row>
    <row r="355" spans="2:12">
      <c r="B355" s="2" t="s">
        <v>1914</v>
      </c>
      <c r="C355" s="7">
        <v>45941</v>
      </c>
      <c r="D355" s="2" t="s">
        <v>810</v>
      </c>
      <c r="E355" s="4">
        <v>1</v>
      </c>
      <c r="F355" s="8" t="str">
        <f>_xlfn.XLOOKUP(D355,Master[Product_Code],Master[Category])</f>
        <v>T-Shirt</v>
      </c>
      <c r="G355" s="8" t="str">
        <f>_xlfn.XLOOKUP(D355,Master[Product_Code],Master[Brand])</f>
        <v>Zara</v>
      </c>
      <c r="H355" s="8" t="str">
        <f>_xlfn.XLOOKUP(D355,Master[Product_Code],Master[Style])</f>
        <v>3/4 Sleeve</v>
      </c>
      <c r="I355" s="8" t="str">
        <f>_xlfn.XLOOKUP(D355,Master[Product_Code],Master[Fabric])</f>
        <v>Cotton</v>
      </c>
      <c r="J355" s="8" t="str">
        <f>_xlfn.XLOOKUP(D355,Master[Product_Code],Master[Size])</f>
        <v>XL</v>
      </c>
      <c r="K355" s="8" t="str">
        <f>_xlfn.XLOOKUP(D355,Master[Product_Code],Master[Color])</f>
        <v>Charcoal</v>
      </c>
      <c r="L355" s="3">
        <f>_xlfn.XLOOKUP(D355,Master[Product_Code],Master[Selling_Price])</f>
        <v>550</v>
      </c>
    </row>
    <row r="356" spans="2:12">
      <c r="B356" s="2" t="s">
        <v>1914</v>
      </c>
      <c r="C356" s="7">
        <v>45941</v>
      </c>
      <c r="D356" s="2" t="s">
        <v>722</v>
      </c>
      <c r="E356" s="4">
        <v>1</v>
      </c>
      <c r="F356" s="8" t="str">
        <f>_xlfn.XLOOKUP(D356,Master[Product_Code],Master[Category])</f>
        <v>T-Shirt</v>
      </c>
      <c r="G356" s="8" t="str">
        <f>_xlfn.XLOOKUP(D356,Master[Product_Code],Master[Brand])</f>
        <v>Roadster</v>
      </c>
      <c r="H356" s="8" t="str">
        <f>_xlfn.XLOOKUP(D356,Master[Product_Code],Master[Style])</f>
        <v>3/4 Sleeve</v>
      </c>
      <c r="I356" s="8" t="str">
        <f>_xlfn.XLOOKUP(D356,Master[Product_Code],Master[Fabric])</f>
        <v>Cotton</v>
      </c>
      <c r="J356" s="8" t="str">
        <f>_xlfn.XLOOKUP(D356,Master[Product_Code],Master[Size])</f>
        <v>M</v>
      </c>
      <c r="K356" s="8" t="str">
        <f>_xlfn.XLOOKUP(D356,Master[Product_Code],Master[Color])</f>
        <v>Light Grey</v>
      </c>
      <c r="L356" s="3">
        <f>_xlfn.XLOOKUP(D356,Master[Product_Code],Master[Selling_Price])</f>
        <v>410</v>
      </c>
    </row>
    <row r="357" spans="2:12">
      <c r="B357" s="2" t="s">
        <v>1914</v>
      </c>
      <c r="C357" s="7">
        <v>45941</v>
      </c>
      <c r="D357" s="2" t="s">
        <v>458</v>
      </c>
      <c r="E357" s="4">
        <v>1</v>
      </c>
      <c r="F357" s="8" t="str">
        <f>_xlfn.XLOOKUP(D357,Master[Product_Code],Master[Category])</f>
        <v>T-Shirt</v>
      </c>
      <c r="G357" s="8" t="str">
        <f>_xlfn.XLOOKUP(D357,Master[Product_Code],Master[Brand])</f>
        <v>Max</v>
      </c>
      <c r="H357" s="8" t="str">
        <f>_xlfn.XLOOKUP(D357,Master[Product_Code],Master[Style])</f>
        <v>3/4 Sleeve</v>
      </c>
      <c r="I357" s="8" t="str">
        <f>_xlfn.XLOOKUP(D357,Master[Product_Code],Master[Fabric])</f>
        <v>Cotton Blend</v>
      </c>
      <c r="J357" s="8" t="str">
        <f>_xlfn.XLOOKUP(D357,Master[Product_Code],Master[Size])</f>
        <v>XXL</v>
      </c>
      <c r="K357" s="8" t="str">
        <f>_xlfn.XLOOKUP(D357,Master[Product_Code],Master[Color])</f>
        <v>Maroon</v>
      </c>
      <c r="L357" s="3">
        <f>_xlfn.XLOOKUP(D357,Master[Product_Code],Master[Selling_Price])</f>
        <v>440</v>
      </c>
    </row>
    <row r="358" spans="2:12">
      <c r="B358" s="2" t="s">
        <v>1915</v>
      </c>
      <c r="C358" s="7">
        <v>45941</v>
      </c>
      <c r="D358" s="2" t="s">
        <v>613</v>
      </c>
      <c r="E358" s="4">
        <v>1</v>
      </c>
      <c r="F358" s="8" t="str">
        <f>_xlfn.XLOOKUP(D358,Master[Product_Code],Master[Category])</f>
        <v>T-Shirt</v>
      </c>
      <c r="G358" s="8" t="str">
        <f>_xlfn.XLOOKUP(D358,Master[Product_Code],Master[Brand])</f>
        <v>Max</v>
      </c>
      <c r="H358" s="8" t="str">
        <f>_xlfn.XLOOKUP(D358,Master[Product_Code],Master[Style])</f>
        <v>Full Sleeve</v>
      </c>
      <c r="I358" s="8" t="str">
        <f>_xlfn.XLOOKUP(D358,Master[Product_Code],Master[Fabric])</f>
        <v>Cotton</v>
      </c>
      <c r="J358" s="8" t="str">
        <f>_xlfn.XLOOKUP(D358,Master[Product_Code],Master[Size])</f>
        <v>M</v>
      </c>
      <c r="K358" s="8" t="str">
        <f>_xlfn.XLOOKUP(D358,Master[Product_Code],Master[Color])</f>
        <v>Grey</v>
      </c>
      <c r="L358" s="3">
        <f>_xlfn.XLOOKUP(D358,Master[Product_Code],Master[Selling_Price])</f>
        <v>750</v>
      </c>
    </row>
    <row r="359" spans="2:12">
      <c r="B359" s="2" t="s">
        <v>1915</v>
      </c>
      <c r="C359" s="7">
        <v>45941</v>
      </c>
      <c r="D359" s="2" t="s">
        <v>1390</v>
      </c>
      <c r="E359" s="4">
        <v>1</v>
      </c>
      <c r="F359" s="8" t="str">
        <f>_xlfn.XLOOKUP(D359,Master[Product_Code],Master[Category])</f>
        <v>Pants</v>
      </c>
      <c r="G359" s="8" t="str">
        <f>_xlfn.XLOOKUP(D359,Master[Product_Code],Master[Brand])</f>
        <v>Louis Philippe</v>
      </c>
      <c r="H359" s="8" t="str">
        <f>_xlfn.XLOOKUP(D359,Master[Product_Code],Master[Style])</f>
        <v>Jogger</v>
      </c>
      <c r="I359" s="8" t="str">
        <f>_xlfn.XLOOKUP(D359,Master[Product_Code],Master[Fabric])</f>
        <v>Poly Viscose</v>
      </c>
      <c r="J359" s="8">
        <f>_xlfn.XLOOKUP(D359,Master[Product_Code],Master[Size])</f>
        <v>40</v>
      </c>
      <c r="K359" s="8" t="str">
        <f>_xlfn.XLOOKUP(D359,Master[Product_Code],Master[Color])</f>
        <v>Olive</v>
      </c>
      <c r="L359" s="3">
        <f>_xlfn.XLOOKUP(D359,Master[Product_Code],Master[Selling_Price])</f>
        <v>830</v>
      </c>
    </row>
    <row r="360" spans="2:12">
      <c r="B360" s="2" t="s">
        <v>1915</v>
      </c>
      <c r="C360" s="7">
        <v>45941</v>
      </c>
      <c r="D360" s="2" t="s">
        <v>1092</v>
      </c>
      <c r="E360" s="4">
        <v>1</v>
      </c>
      <c r="F360" s="8" t="str">
        <f>_xlfn.XLOOKUP(D360,Master[Product_Code],Master[Category])</f>
        <v>Jeans</v>
      </c>
      <c r="G360" s="8" t="str">
        <f>_xlfn.XLOOKUP(D360,Master[Product_Code],Master[Brand])</f>
        <v>Wrangler</v>
      </c>
      <c r="H360" s="8" t="str">
        <f>_xlfn.XLOOKUP(D360,Master[Product_Code],Master[Style])</f>
        <v>Baggy</v>
      </c>
      <c r="I360" s="8" t="str">
        <f>_xlfn.XLOOKUP(D360,Master[Product_Code],Master[Fabric])</f>
        <v>Denim</v>
      </c>
      <c r="J360" s="8">
        <f>_xlfn.XLOOKUP(D360,Master[Product_Code],Master[Size])</f>
        <v>28</v>
      </c>
      <c r="K360" s="8" t="str">
        <f>_xlfn.XLOOKUP(D360,Master[Product_Code],Master[Color])</f>
        <v>Dark Green</v>
      </c>
      <c r="L360" s="3">
        <f>_xlfn.XLOOKUP(D360,Master[Product_Code],Master[Selling_Price])</f>
        <v>990</v>
      </c>
    </row>
    <row r="361" spans="2:12">
      <c r="B361" s="2" t="s">
        <v>1916</v>
      </c>
      <c r="C361" s="7">
        <v>45941</v>
      </c>
      <c r="D361" s="2" t="s">
        <v>1547</v>
      </c>
      <c r="E361" s="4">
        <v>1</v>
      </c>
      <c r="F361" s="8" t="str">
        <f>_xlfn.XLOOKUP(D361,Master[Product_Code],Master[Category])</f>
        <v>Innerwear</v>
      </c>
      <c r="G361" s="8" t="str">
        <f>_xlfn.XLOOKUP(D361,Master[Product_Code],Master[Brand])</f>
        <v>V Star</v>
      </c>
      <c r="H361" s="8" t="str">
        <f>_xlfn.XLOOKUP(D361,Master[Product_Code],Master[Style])</f>
        <v>Boxer</v>
      </c>
      <c r="I361" s="8" t="str">
        <f>_xlfn.XLOOKUP(D361,Master[Product_Code],Master[Fabric])</f>
        <v>Cotton Blend</v>
      </c>
      <c r="J361" s="8" t="str">
        <f>_xlfn.XLOOKUP(D361,Master[Product_Code],Master[Size])</f>
        <v>105-110</v>
      </c>
      <c r="K361" s="8" t="str">
        <f>_xlfn.XLOOKUP(D361,Master[Product_Code],Master[Color])</f>
        <v>Royal Blue</v>
      </c>
      <c r="L361" s="3">
        <f>_xlfn.XLOOKUP(D361,Master[Product_Code],Master[Selling_Price])</f>
        <v>140</v>
      </c>
    </row>
    <row r="362" spans="2:12">
      <c r="B362" s="2" t="s">
        <v>1916</v>
      </c>
      <c r="C362" s="7">
        <v>45941</v>
      </c>
      <c r="D362" s="2" t="s">
        <v>556</v>
      </c>
      <c r="E362" s="4">
        <v>1</v>
      </c>
      <c r="F362" s="8" t="str">
        <f>_xlfn.XLOOKUP(D362,Master[Product_Code],Master[Category])</f>
        <v>T-Shirt</v>
      </c>
      <c r="G362" s="8" t="str">
        <f>_xlfn.XLOOKUP(D362,Master[Product_Code],Master[Brand])</f>
        <v>Turkey</v>
      </c>
      <c r="H362" s="8" t="str">
        <f>_xlfn.XLOOKUP(D362,Master[Product_Code],Master[Style])</f>
        <v>Half Sleeve</v>
      </c>
      <c r="I362" s="8" t="str">
        <f>_xlfn.XLOOKUP(D362,Master[Product_Code],Master[Fabric])</f>
        <v>Cotton</v>
      </c>
      <c r="J362" s="8" t="str">
        <f>_xlfn.XLOOKUP(D362,Master[Product_Code],Master[Size])</f>
        <v>M</v>
      </c>
      <c r="K362" s="8" t="str">
        <f>_xlfn.XLOOKUP(D362,Master[Product_Code],Master[Color])</f>
        <v>Light Grey</v>
      </c>
      <c r="L362" s="3">
        <f>_xlfn.XLOOKUP(D362,Master[Product_Code],Master[Selling_Price])</f>
        <v>400</v>
      </c>
    </row>
    <row r="363" spans="2:12">
      <c r="B363" s="2" t="s">
        <v>1916</v>
      </c>
      <c r="C363" s="7">
        <v>45941</v>
      </c>
      <c r="D363" s="2" t="s">
        <v>1461</v>
      </c>
      <c r="E363" s="4">
        <v>1</v>
      </c>
      <c r="F363" s="8" t="str">
        <f>_xlfn.XLOOKUP(D363,Master[Product_Code],Master[Category])</f>
        <v>Innerwear</v>
      </c>
      <c r="G363" s="8" t="str">
        <f>_xlfn.XLOOKUP(D363,Master[Product_Code],Master[Brand])</f>
        <v>Rupa</v>
      </c>
      <c r="H363" s="8" t="str">
        <f>_xlfn.XLOOKUP(D363,Master[Product_Code],Master[Style])</f>
        <v>Boxer</v>
      </c>
      <c r="I363" s="8" t="str">
        <f>_xlfn.XLOOKUP(D363,Master[Product_Code],Master[Fabric])</f>
        <v>Cotton</v>
      </c>
      <c r="J363" s="8" t="str">
        <f>_xlfn.XLOOKUP(D363,Master[Product_Code],Master[Size])</f>
        <v>100-105</v>
      </c>
      <c r="K363" s="8" t="str">
        <f>_xlfn.XLOOKUP(D363,Master[Product_Code],Master[Color])</f>
        <v>Rust</v>
      </c>
      <c r="L363" s="3">
        <f>_xlfn.XLOOKUP(D363,Master[Product_Code],Master[Selling_Price])</f>
        <v>160</v>
      </c>
    </row>
    <row r="364" spans="2:12">
      <c r="B364" s="2" t="s">
        <v>1916</v>
      </c>
      <c r="C364" s="7">
        <v>45941</v>
      </c>
      <c r="D364" s="2" t="s">
        <v>553</v>
      </c>
      <c r="E364" s="4">
        <v>1</v>
      </c>
      <c r="F364" s="8" t="str">
        <f>_xlfn.XLOOKUP(D364,Master[Product_Code],Master[Category])</f>
        <v>T-Shirt</v>
      </c>
      <c r="G364" s="8" t="str">
        <f>_xlfn.XLOOKUP(D364,Master[Product_Code],Master[Brand])</f>
        <v>Zara</v>
      </c>
      <c r="H364" s="8" t="str">
        <f>_xlfn.XLOOKUP(D364,Master[Product_Code],Master[Style])</f>
        <v>Hoodie</v>
      </c>
      <c r="I364" s="8" t="str">
        <f>_xlfn.XLOOKUP(D364,Master[Product_Code],Master[Fabric])</f>
        <v>Cotton</v>
      </c>
      <c r="J364" s="8" t="str">
        <f>_xlfn.XLOOKUP(D364,Master[Product_Code],Master[Size])</f>
        <v>XXL</v>
      </c>
      <c r="K364" s="8" t="str">
        <f>_xlfn.XLOOKUP(D364,Master[Product_Code],Master[Color])</f>
        <v>Maroon</v>
      </c>
      <c r="L364" s="3">
        <f>_xlfn.XLOOKUP(D364,Master[Product_Code],Master[Selling_Price])</f>
        <v>740</v>
      </c>
    </row>
    <row r="365" spans="2:12">
      <c r="B365" s="2" t="s">
        <v>1917</v>
      </c>
      <c r="C365" s="7">
        <v>45941</v>
      </c>
      <c r="D365" s="2" t="s">
        <v>1341</v>
      </c>
      <c r="E365" s="4">
        <v>1</v>
      </c>
      <c r="F365" s="8" t="str">
        <f>_xlfn.XLOOKUP(D365,Master[Product_Code],Master[Category])</f>
        <v>Pants</v>
      </c>
      <c r="G365" s="8" t="str">
        <f>_xlfn.XLOOKUP(D365,Master[Product_Code],Master[Brand])</f>
        <v>Peter England</v>
      </c>
      <c r="H365" s="8" t="str">
        <f>_xlfn.XLOOKUP(D365,Master[Product_Code],Master[Style])</f>
        <v>Polofit</v>
      </c>
      <c r="I365" s="8" t="str">
        <f>_xlfn.XLOOKUP(D365,Master[Product_Code],Master[Fabric])</f>
        <v>Lycra</v>
      </c>
      <c r="J365" s="8">
        <f>_xlfn.XLOOKUP(D365,Master[Product_Code],Master[Size])</f>
        <v>44</v>
      </c>
      <c r="K365" s="8" t="str">
        <f>_xlfn.XLOOKUP(D365,Master[Product_Code],Master[Color])</f>
        <v>Light Grey</v>
      </c>
      <c r="L365" s="3">
        <f>_xlfn.XLOOKUP(D365,Master[Product_Code],Master[Selling_Price])</f>
        <v>930</v>
      </c>
    </row>
    <row r="366" spans="2:12">
      <c r="B366" s="2" t="s">
        <v>1918</v>
      </c>
      <c r="C366" s="7">
        <v>45941</v>
      </c>
      <c r="D366" s="2" t="s">
        <v>1154</v>
      </c>
      <c r="E366" s="4">
        <v>1</v>
      </c>
      <c r="F366" s="8" t="str">
        <f>_xlfn.XLOOKUP(D366,Master[Product_Code],Master[Category])</f>
        <v>Pants</v>
      </c>
      <c r="G366" s="8" t="str">
        <f>_xlfn.XLOOKUP(D366,Master[Product_Code],Master[Brand])</f>
        <v>Van Heusen</v>
      </c>
      <c r="H366" s="8" t="str">
        <f>_xlfn.XLOOKUP(D366,Master[Product_Code],Master[Style])</f>
        <v>Boot Cut</v>
      </c>
      <c r="I366" s="8" t="str">
        <f>_xlfn.XLOOKUP(D366,Master[Product_Code],Master[Fabric])</f>
        <v>Cotton</v>
      </c>
      <c r="J366" s="8">
        <f>_xlfn.XLOOKUP(D366,Master[Product_Code],Master[Size])</f>
        <v>40</v>
      </c>
      <c r="K366" s="8" t="str">
        <f>_xlfn.XLOOKUP(D366,Master[Product_Code],Master[Color])</f>
        <v>Teal</v>
      </c>
      <c r="L366" s="3">
        <f>_xlfn.XLOOKUP(D366,Master[Product_Code],Master[Selling_Price])</f>
        <v>940</v>
      </c>
    </row>
    <row r="367" spans="2:12">
      <c r="B367" s="2" t="s">
        <v>1918</v>
      </c>
      <c r="C367" s="7">
        <v>45941</v>
      </c>
      <c r="D367" s="2" t="s">
        <v>443</v>
      </c>
      <c r="E367" s="4">
        <v>1</v>
      </c>
      <c r="F367" s="8" t="str">
        <f>_xlfn.XLOOKUP(D367,Master[Product_Code],Master[Category])</f>
        <v>T-Shirt</v>
      </c>
      <c r="G367" s="8" t="str">
        <f>_xlfn.XLOOKUP(D367,Master[Product_Code],Master[Brand])</f>
        <v>Urban Monkey</v>
      </c>
      <c r="H367" s="8" t="str">
        <f>_xlfn.XLOOKUP(D367,Master[Product_Code],Master[Style])</f>
        <v>Full Sleeve</v>
      </c>
      <c r="I367" s="8" t="str">
        <f>_xlfn.XLOOKUP(D367,Master[Product_Code],Master[Fabric])</f>
        <v>Poly Cotton</v>
      </c>
      <c r="J367" s="8" t="str">
        <f>_xlfn.XLOOKUP(D367,Master[Product_Code],Master[Size])</f>
        <v>S</v>
      </c>
      <c r="K367" s="8" t="str">
        <f>_xlfn.XLOOKUP(D367,Master[Product_Code],Master[Color])</f>
        <v>Wine</v>
      </c>
      <c r="L367" s="3">
        <f>_xlfn.XLOOKUP(D367,Master[Product_Code],Master[Selling_Price])</f>
        <v>480</v>
      </c>
    </row>
    <row r="368" spans="2:12">
      <c r="B368" s="2" t="s">
        <v>1919</v>
      </c>
      <c r="C368" s="7">
        <v>45941</v>
      </c>
      <c r="D368" s="2" t="s">
        <v>1600</v>
      </c>
      <c r="E368" s="4">
        <v>1</v>
      </c>
      <c r="F368" s="8" t="str">
        <f>_xlfn.XLOOKUP(D368,Master[Product_Code],Master[Category])</f>
        <v>Innerwear</v>
      </c>
      <c r="G368" s="8" t="str">
        <f>_xlfn.XLOOKUP(D368,Master[Product_Code],Master[Brand])</f>
        <v>Jockey</v>
      </c>
      <c r="H368" s="8" t="str">
        <f>_xlfn.XLOOKUP(D368,Master[Product_Code],Master[Style])</f>
        <v>V-Cut</v>
      </c>
      <c r="I368" s="8" t="str">
        <f>_xlfn.XLOOKUP(D368,Master[Product_Code],Master[Fabric])</f>
        <v>Cotton Blend</v>
      </c>
      <c r="J368" s="8" t="str">
        <f>_xlfn.XLOOKUP(D368,Master[Product_Code],Master[Size])</f>
        <v>85-90</v>
      </c>
      <c r="K368" s="8" t="str">
        <f>_xlfn.XLOOKUP(D368,Master[Product_Code],Master[Color])</f>
        <v>Cream</v>
      </c>
      <c r="L368" s="3">
        <f>_xlfn.XLOOKUP(D368,Master[Product_Code],Master[Selling_Price])</f>
        <v>170</v>
      </c>
    </row>
    <row r="369" spans="2:12">
      <c r="B369" s="2" t="s">
        <v>1919</v>
      </c>
      <c r="C369" s="7">
        <v>45941</v>
      </c>
      <c r="D369" s="2" t="s">
        <v>643</v>
      </c>
      <c r="E369" s="4">
        <v>1</v>
      </c>
      <c r="F369" s="8" t="str">
        <f>_xlfn.XLOOKUP(D369,Master[Product_Code],Master[Category])</f>
        <v>T-Shirt</v>
      </c>
      <c r="G369" s="8" t="str">
        <f>_xlfn.XLOOKUP(D369,Master[Product_Code],Master[Brand])</f>
        <v>Turkey</v>
      </c>
      <c r="H369" s="8" t="str">
        <f>_xlfn.XLOOKUP(D369,Master[Product_Code],Master[Style])</f>
        <v>Half Sleeve</v>
      </c>
      <c r="I369" s="8" t="str">
        <f>_xlfn.XLOOKUP(D369,Master[Product_Code],Master[Fabric])</f>
        <v>Poly Cotton</v>
      </c>
      <c r="J369" s="8" t="str">
        <f>_xlfn.XLOOKUP(D369,Master[Product_Code],Master[Size])</f>
        <v>XL</v>
      </c>
      <c r="K369" s="8" t="str">
        <f>_xlfn.XLOOKUP(D369,Master[Product_Code],Master[Color])</f>
        <v>Brown</v>
      </c>
      <c r="L369" s="3">
        <f>_xlfn.XLOOKUP(D369,Master[Product_Code],Master[Selling_Price])</f>
        <v>700</v>
      </c>
    </row>
    <row r="370" spans="2:12">
      <c r="B370" s="2" t="s">
        <v>1920</v>
      </c>
      <c r="C370" s="7">
        <v>45941</v>
      </c>
      <c r="D370" s="2" t="s">
        <v>729</v>
      </c>
      <c r="E370" s="4">
        <v>1</v>
      </c>
      <c r="F370" s="8" t="str">
        <f>_xlfn.XLOOKUP(D370,Master[Product_Code],Master[Category])</f>
        <v>T-Shirt</v>
      </c>
      <c r="G370" s="8" t="str">
        <f>_xlfn.XLOOKUP(D370,Master[Product_Code],Master[Brand])</f>
        <v>Campus</v>
      </c>
      <c r="H370" s="8" t="str">
        <f>_xlfn.XLOOKUP(D370,Master[Product_Code],Master[Style])</f>
        <v>3/4 Sleeve</v>
      </c>
      <c r="I370" s="8" t="str">
        <f>_xlfn.XLOOKUP(D370,Master[Product_Code],Master[Fabric])</f>
        <v>Cotton Blend</v>
      </c>
      <c r="J370" s="8" t="str">
        <f>_xlfn.XLOOKUP(D370,Master[Product_Code],Master[Size])</f>
        <v>M</v>
      </c>
      <c r="K370" s="8" t="str">
        <f>_xlfn.XLOOKUP(D370,Master[Product_Code],Master[Color])</f>
        <v>Royal Blue</v>
      </c>
      <c r="L370" s="3">
        <f>_xlfn.XLOOKUP(D370,Master[Product_Code],Master[Selling_Price])</f>
        <v>290</v>
      </c>
    </row>
    <row r="371" spans="2:12">
      <c r="B371" s="2" t="s">
        <v>1920</v>
      </c>
      <c r="C371" s="7">
        <v>45941</v>
      </c>
      <c r="D371" s="2" t="s">
        <v>1591</v>
      </c>
      <c r="E371" s="4">
        <v>1</v>
      </c>
      <c r="F371" s="8" t="str">
        <f>_xlfn.XLOOKUP(D371,Master[Product_Code],Master[Category])</f>
        <v>Innerwear</v>
      </c>
      <c r="G371" s="8" t="str">
        <f>_xlfn.XLOOKUP(D371,Master[Product_Code],Master[Brand])</f>
        <v>Rupa</v>
      </c>
      <c r="H371" s="8" t="str">
        <f>_xlfn.XLOOKUP(D371,Master[Product_Code],Master[Style])</f>
        <v>Boxer</v>
      </c>
      <c r="I371" s="8" t="str">
        <f>_xlfn.XLOOKUP(D371,Master[Product_Code],Master[Fabric])</f>
        <v>Cotton Blend</v>
      </c>
      <c r="J371" s="8" t="str">
        <f>_xlfn.XLOOKUP(D371,Master[Product_Code],Master[Size])</f>
        <v>90-100</v>
      </c>
      <c r="K371" s="8" t="str">
        <f>_xlfn.XLOOKUP(D371,Master[Product_Code],Master[Color])</f>
        <v>Black</v>
      </c>
      <c r="L371" s="3">
        <f>_xlfn.XLOOKUP(D371,Master[Product_Code],Master[Selling_Price])</f>
        <v>170</v>
      </c>
    </row>
    <row r="372" spans="2:12">
      <c r="B372" s="2" t="s">
        <v>1920</v>
      </c>
      <c r="C372" s="7">
        <v>45941</v>
      </c>
      <c r="D372" s="2" t="s">
        <v>308</v>
      </c>
      <c r="E372" s="4">
        <v>1</v>
      </c>
      <c r="F372" s="8" t="str">
        <f>_xlfn.XLOOKUP(D372,Master[Product_Code],Master[Category])</f>
        <v>Shirt</v>
      </c>
      <c r="G372" s="8" t="str">
        <f>_xlfn.XLOOKUP(D372,Master[Product_Code],Master[Brand])</f>
        <v>USD</v>
      </c>
      <c r="H372" s="8" t="str">
        <f>_xlfn.XLOOKUP(D372,Master[Product_Code],Master[Style])</f>
        <v>Partywear</v>
      </c>
      <c r="I372" s="8" t="str">
        <f>_xlfn.XLOOKUP(D372,Master[Product_Code],Master[Fabric])</f>
        <v>Cotton Blend</v>
      </c>
      <c r="J372" s="8" t="str">
        <f>_xlfn.XLOOKUP(D372,Master[Product_Code],Master[Size])</f>
        <v>L</v>
      </c>
      <c r="K372" s="8" t="str">
        <f>_xlfn.XLOOKUP(D372,Master[Product_Code],Master[Color])</f>
        <v>Sky Blue</v>
      </c>
      <c r="L372" s="3">
        <f>_xlfn.XLOOKUP(D372,Master[Product_Code],Master[Selling_Price])</f>
        <v>780</v>
      </c>
    </row>
    <row r="373" spans="2:12">
      <c r="B373" s="2" t="s">
        <v>1920</v>
      </c>
      <c r="C373" s="7">
        <v>45941</v>
      </c>
      <c r="D373" s="2" t="s">
        <v>568</v>
      </c>
      <c r="E373" s="4">
        <v>1</v>
      </c>
      <c r="F373" s="8" t="str">
        <f>_xlfn.XLOOKUP(D373,Master[Product_Code],Master[Category])</f>
        <v>T-Shirt</v>
      </c>
      <c r="G373" s="8" t="str">
        <f>_xlfn.XLOOKUP(D373,Master[Product_Code],Master[Brand])</f>
        <v>Turkey</v>
      </c>
      <c r="H373" s="8" t="str">
        <f>_xlfn.XLOOKUP(D373,Master[Product_Code],Master[Style])</f>
        <v>Full Sleeve</v>
      </c>
      <c r="I373" s="8" t="str">
        <f>_xlfn.XLOOKUP(D373,Master[Product_Code],Master[Fabric])</f>
        <v>Cotton Blend</v>
      </c>
      <c r="J373" s="8" t="str">
        <f>_xlfn.XLOOKUP(D373,Master[Product_Code],Master[Size])</f>
        <v>L</v>
      </c>
      <c r="K373" s="8" t="str">
        <f>_xlfn.XLOOKUP(D373,Master[Product_Code],Master[Color])</f>
        <v>Cream</v>
      </c>
      <c r="L373" s="3">
        <f>_xlfn.XLOOKUP(D373,Master[Product_Code],Master[Selling_Price])</f>
        <v>460</v>
      </c>
    </row>
    <row r="374" spans="2:12">
      <c r="B374" s="2" t="s">
        <v>1921</v>
      </c>
      <c r="C374" s="7">
        <v>45941</v>
      </c>
      <c r="D374" s="2" t="s">
        <v>1626</v>
      </c>
      <c r="E374" s="4">
        <v>1</v>
      </c>
      <c r="F374" s="8" t="str">
        <f>_xlfn.XLOOKUP(D374,Master[Product_Code],Master[Category])</f>
        <v>Innerwear</v>
      </c>
      <c r="G374" s="8" t="str">
        <f>_xlfn.XLOOKUP(D374,Master[Product_Code],Master[Brand])</f>
        <v>V Star</v>
      </c>
      <c r="H374" s="8" t="str">
        <f>_xlfn.XLOOKUP(D374,Master[Product_Code],Master[Style])</f>
        <v>V-Cut</v>
      </c>
      <c r="I374" s="8" t="str">
        <f>_xlfn.XLOOKUP(D374,Master[Product_Code],Master[Fabric])</f>
        <v>Cotton</v>
      </c>
      <c r="J374" s="8" t="str">
        <f>_xlfn.XLOOKUP(D374,Master[Product_Code],Master[Size])</f>
        <v>75-80</v>
      </c>
      <c r="K374" s="8" t="str">
        <f>_xlfn.XLOOKUP(D374,Master[Product_Code],Master[Color])</f>
        <v>Maroon</v>
      </c>
      <c r="L374" s="3">
        <f>_xlfn.XLOOKUP(D374,Master[Product_Code],Master[Selling_Price])</f>
        <v>130</v>
      </c>
    </row>
    <row r="375" spans="2:12">
      <c r="B375" s="2" t="s">
        <v>1921</v>
      </c>
      <c r="C375" s="7">
        <v>45941</v>
      </c>
      <c r="D375" s="2" t="s">
        <v>66</v>
      </c>
      <c r="E375" s="4">
        <v>1</v>
      </c>
      <c r="F375" s="8" t="str">
        <f>_xlfn.XLOOKUP(D375,Master[Product_Code],Master[Category])</f>
        <v>Shirt</v>
      </c>
      <c r="G375" s="8" t="str">
        <f>_xlfn.XLOOKUP(D375,Master[Product_Code],Master[Brand])</f>
        <v>H&amp;M</v>
      </c>
      <c r="H375" s="8" t="str">
        <f>_xlfn.XLOOKUP(D375,Master[Product_Code],Master[Style])</f>
        <v>Partywear</v>
      </c>
      <c r="I375" s="8" t="str">
        <f>_xlfn.XLOOKUP(D375,Master[Product_Code],Master[Fabric])</f>
        <v>Lycra</v>
      </c>
      <c r="J375" s="8" t="str">
        <f>_xlfn.XLOOKUP(D375,Master[Product_Code],Master[Size])</f>
        <v>M</v>
      </c>
      <c r="K375" s="8" t="str">
        <f>_xlfn.XLOOKUP(D375,Master[Product_Code],Master[Color])</f>
        <v>Teal</v>
      </c>
      <c r="L375" s="3">
        <f>_xlfn.XLOOKUP(D375,Master[Product_Code],Master[Selling_Price])</f>
        <v>930</v>
      </c>
    </row>
    <row r="376" spans="2:12">
      <c r="B376" s="2" t="s">
        <v>1921</v>
      </c>
      <c r="C376" s="7">
        <v>45941</v>
      </c>
      <c r="D376" s="2" t="s">
        <v>1456</v>
      </c>
      <c r="E376" s="4">
        <v>1</v>
      </c>
      <c r="F376" s="8" t="str">
        <f>_xlfn.XLOOKUP(D376,Master[Product_Code],Master[Category])</f>
        <v>Innerwear</v>
      </c>
      <c r="G376" s="8" t="str">
        <f>_xlfn.XLOOKUP(D376,Master[Product_Code],Master[Brand])</f>
        <v>V Star</v>
      </c>
      <c r="H376" s="8" t="str">
        <f>_xlfn.XLOOKUP(D376,Master[Product_Code],Master[Style])</f>
        <v>V-Cut</v>
      </c>
      <c r="I376" s="8" t="str">
        <f>_xlfn.XLOOKUP(D376,Master[Product_Code],Master[Fabric])</f>
        <v>Cotton</v>
      </c>
      <c r="J376" s="8" t="str">
        <f>_xlfn.XLOOKUP(D376,Master[Product_Code],Master[Size])</f>
        <v>80-85</v>
      </c>
      <c r="K376" s="8" t="str">
        <f>_xlfn.XLOOKUP(D376,Master[Product_Code],Master[Color])</f>
        <v>Mustard</v>
      </c>
      <c r="L376" s="3">
        <f>_xlfn.XLOOKUP(D376,Master[Product_Code],Master[Selling_Price])</f>
        <v>100</v>
      </c>
    </row>
    <row r="377" spans="2:12">
      <c r="B377" s="2" t="s">
        <v>1921</v>
      </c>
      <c r="C377" s="7">
        <v>45941</v>
      </c>
      <c r="D377" s="2" t="s">
        <v>1661</v>
      </c>
      <c r="E377" s="4">
        <v>1</v>
      </c>
      <c r="F377" s="8" t="str">
        <f>_xlfn.XLOOKUP(D377,Master[Product_Code],Master[Category])</f>
        <v>Innerwear</v>
      </c>
      <c r="G377" s="8" t="str">
        <f>_xlfn.XLOOKUP(D377,Master[Product_Code],Master[Brand])</f>
        <v>Lux</v>
      </c>
      <c r="H377" s="8" t="str">
        <f>_xlfn.XLOOKUP(D377,Master[Product_Code],Master[Style])</f>
        <v>Boxer</v>
      </c>
      <c r="I377" s="8" t="str">
        <f>_xlfn.XLOOKUP(D377,Master[Product_Code],Master[Fabric])</f>
        <v>Cotton</v>
      </c>
      <c r="J377" s="8" t="str">
        <f>_xlfn.XLOOKUP(D377,Master[Product_Code],Master[Size])</f>
        <v>80-85</v>
      </c>
      <c r="K377" s="8" t="str">
        <f>_xlfn.XLOOKUP(D377,Master[Product_Code],Master[Color])</f>
        <v>Maroon</v>
      </c>
      <c r="L377" s="3">
        <f>_xlfn.XLOOKUP(D377,Master[Product_Code],Master[Selling_Price])</f>
        <v>100</v>
      </c>
    </row>
    <row r="378" spans="2:12">
      <c r="B378" s="2" t="s">
        <v>1922</v>
      </c>
      <c r="C378" s="7">
        <v>45943</v>
      </c>
      <c r="D378" s="2" t="s">
        <v>355</v>
      </c>
      <c r="E378" s="4">
        <v>1</v>
      </c>
      <c r="F378" s="8" t="str">
        <f>_xlfn.XLOOKUP(D378,Master[Product_Code],Master[Category])</f>
        <v>Shirt</v>
      </c>
      <c r="G378" s="8" t="str">
        <f>_xlfn.XLOOKUP(D378,Master[Product_Code],Master[Brand])</f>
        <v>G Studio</v>
      </c>
      <c r="H378" s="8" t="str">
        <f>_xlfn.XLOOKUP(D378,Master[Product_Code],Master[Style])</f>
        <v>Casual</v>
      </c>
      <c r="I378" s="8" t="str">
        <f>_xlfn.XLOOKUP(D378,Master[Product_Code],Master[Fabric])</f>
        <v>Polyester</v>
      </c>
      <c r="J378" s="8" t="str">
        <f>_xlfn.XLOOKUP(D378,Master[Product_Code],Master[Size])</f>
        <v>S</v>
      </c>
      <c r="K378" s="8" t="str">
        <f>_xlfn.XLOOKUP(D378,Master[Product_Code],Master[Color])</f>
        <v>Maroon</v>
      </c>
      <c r="L378" s="3">
        <f>_xlfn.XLOOKUP(D378,Master[Product_Code],Master[Selling_Price])</f>
        <v>880</v>
      </c>
    </row>
    <row r="379" spans="2:12">
      <c r="B379" s="2" t="s">
        <v>1923</v>
      </c>
      <c r="C379" s="7">
        <v>45943</v>
      </c>
      <c r="D379" s="2" t="s">
        <v>135</v>
      </c>
      <c r="E379" s="4">
        <v>1</v>
      </c>
      <c r="F379" s="8" t="str">
        <f>_xlfn.XLOOKUP(D379,Master[Product_Code],Master[Category])</f>
        <v>Shirt</v>
      </c>
      <c r="G379" s="8" t="str">
        <f>_xlfn.XLOOKUP(D379,Master[Product_Code],Master[Brand])</f>
        <v>H&amp;M</v>
      </c>
      <c r="H379" s="8" t="str">
        <f>_xlfn.XLOOKUP(D379,Master[Product_Code],Master[Style])</f>
        <v>Casual</v>
      </c>
      <c r="I379" s="8" t="str">
        <f>_xlfn.XLOOKUP(D379,Master[Product_Code],Master[Fabric])</f>
        <v>Polyester</v>
      </c>
      <c r="J379" s="8" t="str">
        <f>_xlfn.XLOOKUP(D379,Master[Product_Code],Master[Size])</f>
        <v>S</v>
      </c>
      <c r="K379" s="8" t="str">
        <f>_xlfn.XLOOKUP(D379,Master[Product_Code],Master[Color])</f>
        <v>Grey</v>
      </c>
      <c r="L379" s="3">
        <f>_xlfn.XLOOKUP(D379,Master[Product_Code],Master[Selling_Price])</f>
        <v>750</v>
      </c>
    </row>
    <row r="380" spans="2:12">
      <c r="B380" s="2" t="s">
        <v>1923</v>
      </c>
      <c r="C380" s="7">
        <v>45943</v>
      </c>
      <c r="D380" s="2" t="s">
        <v>1287</v>
      </c>
      <c r="E380" s="4">
        <v>1</v>
      </c>
      <c r="F380" s="8" t="str">
        <f>_xlfn.XLOOKUP(D380,Master[Product_Code],Master[Category])</f>
        <v>Pants</v>
      </c>
      <c r="G380" s="8" t="str">
        <f>_xlfn.XLOOKUP(D380,Master[Product_Code],Master[Brand])</f>
        <v>Louis Philippe</v>
      </c>
      <c r="H380" s="8" t="str">
        <f>_xlfn.XLOOKUP(D380,Master[Product_Code],Master[Style])</f>
        <v>Korean</v>
      </c>
      <c r="I380" s="8" t="str">
        <f>_xlfn.XLOOKUP(D380,Master[Product_Code],Master[Fabric])</f>
        <v>Lycra</v>
      </c>
      <c r="J380" s="8">
        <f>_xlfn.XLOOKUP(D380,Master[Product_Code],Master[Size])</f>
        <v>34</v>
      </c>
      <c r="K380" s="8" t="str">
        <f>_xlfn.XLOOKUP(D380,Master[Product_Code],Master[Color])</f>
        <v>Rust</v>
      </c>
      <c r="L380" s="3">
        <f>_xlfn.XLOOKUP(D380,Master[Product_Code],Master[Selling_Price])</f>
        <v>730</v>
      </c>
    </row>
    <row r="381" spans="2:12">
      <c r="B381" s="2" t="s">
        <v>1924</v>
      </c>
      <c r="C381" s="7">
        <v>45943</v>
      </c>
      <c r="D381" s="2" t="s">
        <v>810</v>
      </c>
      <c r="E381" s="4">
        <v>1</v>
      </c>
      <c r="F381" s="8" t="str">
        <f>_xlfn.XLOOKUP(D381,Master[Product_Code],Master[Category])</f>
        <v>T-Shirt</v>
      </c>
      <c r="G381" s="8" t="str">
        <f>_xlfn.XLOOKUP(D381,Master[Product_Code],Master[Brand])</f>
        <v>Zara</v>
      </c>
      <c r="H381" s="8" t="str">
        <f>_xlfn.XLOOKUP(D381,Master[Product_Code],Master[Style])</f>
        <v>3/4 Sleeve</v>
      </c>
      <c r="I381" s="8" t="str">
        <f>_xlfn.XLOOKUP(D381,Master[Product_Code],Master[Fabric])</f>
        <v>Cotton</v>
      </c>
      <c r="J381" s="8" t="str">
        <f>_xlfn.XLOOKUP(D381,Master[Product_Code],Master[Size])</f>
        <v>XL</v>
      </c>
      <c r="K381" s="8" t="str">
        <f>_xlfn.XLOOKUP(D381,Master[Product_Code],Master[Color])</f>
        <v>Charcoal</v>
      </c>
      <c r="L381" s="3">
        <f>_xlfn.XLOOKUP(D381,Master[Product_Code],Master[Selling_Price])</f>
        <v>550</v>
      </c>
    </row>
    <row r="382" spans="2:12">
      <c r="B382" s="2" t="s">
        <v>1924</v>
      </c>
      <c r="C382" s="7">
        <v>45943</v>
      </c>
      <c r="D382" s="2" t="s">
        <v>670</v>
      </c>
      <c r="E382" s="4">
        <v>1</v>
      </c>
      <c r="F382" s="8" t="str">
        <f>_xlfn.XLOOKUP(D382,Master[Product_Code],Master[Category])</f>
        <v>T-Shirt</v>
      </c>
      <c r="G382" s="8" t="str">
        <f>_xlfn.XLOOKUP(D382,Master[Product_Code],Master[Brand])</f>
        <v>Zara</v>
      </c>
      <c r="H382" s="8" t="str">
        <f>_xlfn.XLOOKUP(D382,Master[Product_Code],Master[Style])</f>
        <v>Half Sleeve</v>
      </c>
      <c r="I382" s="8" t="str">
        <f>_xlfn.XLOOKUP(D382,Master[Product_Code],Master[Fabric])</f>
        <v>Cotton Blend</v>
      </c>
      <c r="J382" s="8" t="str">
        <f>_xlfn.XLOOKUP(D382,Master[Product_Code],Master[Size])</f>
        <v>M</v>
      </c>
      <c r="K382" s="8" t="str">
        <f>_xlfn.XLOOKUP(D382,Master[Product_Code],Master[Color])</f>
        <v>Royal Blue</v>
      </c>
      <c r="L382" s="3">
        <f>_xlfn.XLOOKUP(D382,Master[Product_Code],Master[Selling_Price])</f>
        <v>410</v>
      </c>
    </row>
    <row r="383" spans="2:12">
      <c r="B383" s="2" t="s">
        <v>1925</v>
      </c>
      <c r="C383" s="7">
        <v>45943</v>
      </c>
      <c r="D383" s="2" t="s">
        <v>864</v>
      </c>
      <c r="E383" s="4">
        <v>1</v>
      </c>
      <c r="F383" s="8" t="str">
        <f>_xlfn.XLOOKUP(D383,Master[Product_Code],Master[Category])</f>
        <v>Jeans</v>
      </c>
      <c r="G383" s="8" t="str">
        <f>_xlfn.XLOOKUP(D383,Master[Product_Code],Master[Brand])</f>
        <v>Denim Pro</v>
      </c>
      <c r="H383" s="8" t="str">
        <f>_xlfn.XLOOKUP(D383,Master[Product_Code],Master[Style])</f>
        <v>Jogger</v>
      </c>
      <c r="I383" s="8" t="str">
        <f>_xlfn.XLOOKUP(D383,Master[Product_Code],Master[Fabric])</f>
        <v>Denim</v>
      </c>
      <c r="J383" s="8">
        <f>_xlfn.XLOOKUP(D383,Master[Product_Code],Master[Size])</f>
        <v>40</v>
      </c>
      <c r="K383" s="8" t="str">
        <f>_xlfn.XLOOKUP(D383,Master[Product_Code],Master[Color])</f>
        <v>Grey</v>
      </c>
      <c r="L383" s="3">
        <f>_xlfn.XLOOKUP(D383,Master[Product_Code],Master[Selling_Price])</f>
        <v>870</v>
      </c>
    </row>
    <row r="384" spans="2:12">
      <c r="B384" s="2" t="s">
        <v>1926</v>
      </c>
      <c r="C384" s="7">
        <v>45943</v>
      </c>
      <c r="D384" s="2" t="s">
        <v>851</v>
      </c>
      <c r="E384" s="4">
        <v>1</v>
      </c>
      <c r="F384" s="8" t="str">
        <f>_xlfn.XLOOKUP(D384,Master[Product_Code],Master[Category])</f>
        <v>Jeans</v>
      </c>
      <c r="G384" s="8" t="str">
        <f>_xlfn.XLOOKUP(D384,Master[Product_Code],Master[Brand])</f>
        <v>Denim Pro</v>
      </c>
      <c r="H384" s="8" t="str">
        <f>_xlfn.XLOOKUP(D384,Master[Product_Code],Master[Style])</f>
        <v>Baggy</v>
      </c>
      <c r="I384" s="8" t="str">
        <f>_xlfn.XLOOKUP(D384,Master[Product_Code],Master[Fabric])</f>
        <v>Denim</v>
      </c>
      <c r="J384" s="8">
        <f>_xlfn.XLOOKUP(D384,Master[Product_Code],Master[Size])</f>
        <v>34</v>
      </c>
      <c r="K384" s="8" t="str">
        <f>_xlfn.XLOOKUP(D384,Master[Product_Code],Master[Color])</f>
        <v>Charcoal</v>
      </c>
      <c r="L384" s="3">
        <f>_xlfn.XLOOKUP(D384,Master[Product_Code],Master[Selling_Price])</f>
        <v>800</v>
      </c>
    </row>
    <row r="385" spans="2:12">
      <c r="B385" s="2" t="s">
        <v>1926</v>
      </c>
      <c r="C385" s="7">
        <v>45943</v>
      </c>
      <c r="D385" s="2" t="s">
        <v>1109</v>
      </c>
      <c r="E385" s="4">
        <v>1</v>
      </c>
      <c r="F385" s="8" t="str">
        <f>_xlfn.XLOOKUP(D385,Master[Product_Code],Master[Category])</f>
        <v>Jeans</v>
      </c>
      <c r="G385" s="8" t="str">
        <f>_xlfn.XLOOKUP(D385,Master[Product_Code],Master[Brand])</f>
        <v>Levis</v>
      </c>
      <c r="H385" s="8" t="str">
        <f>_xlfn.XLOOKUP(D385,Master[Product_Code],Master[Style])</f>
        <v>Baggy</v>
      </c>
      <c r="I385" s="8" t="str">
        <f>_xlfn.XLOOKUP(D385,Master[Product_Code],Master[Fabric])</f>
        <v>Denim</v>
      </c>
      <c r="J385" s="8">
        <f>_xlfn.XLOOKUP(D385,Master[Product_Code],Master[Size])</f>
        <v>40</v>
      </c>
      <c r="K385" s="8" t="str">
        <f>_xlfn.XLOOKUP(D385,Master[Product_Code],Master[Color])</f>
        <v>Charcoal</v>
      </c>
      <c r="L385" s="3">
        <f>_xlfn.XLOOKUP(D385,Master[Product_Code],Master[Selling_Price])</f>
        <v>1070</v>
      </c>
    </row>
    <row r="386" spans="2:12">
      <c r="B386" s="2" t="s">
        <v>1927</v>
      </c>
      <c r="C386" s="7">
        <v>45943</v>
      </c>
      <c r="D386" s="2" t="s">
        <v>147</v>
      </c>
      <c r="E386" s="4">
        <v>1</v>
      </c>
      <c r="F386" s="8" t="str">
        <f>_xlfn.XLOOKUP(D386,Master[Product_Code],Master[Category])</f>
        <v>Shirt</v>
      </c>
      <c r="G386" s="8" t="str">
        <f>_xlfn.XLOOKUP(D386,Master[Product_Code],Master[Brand])</f>
        <v>Luke &amp; Burg</v>
      </c>
      <c r="H386" s="8" t="str">
        <f>_xlfn.XLOOKUP(D386,Master[Product_Code],Master[Style])</f>
        <v>Casual</v>
      </c>
      <c r="I386" s="8" t="str">
        <f>_xlfn.XLOOKUP(D386,Master[Product_Code],Master[Fabric])</f>
        <v>Lycra</v>
      </c>
      <c r="J386" s="8" t="str">
        <f>_xlfn.XLOOKUP(D386,Master[Product_Code],Master[Size])</f>
        <v>S</v>
      </c>
      <c r="K386" s="8" t="str">
        <f>_xlfn.XLOOKUP(D386,Master[Product_Code],Master[Color])</f>
        <v>Light Grey</v>
      </c>
      <c r="L386" s="3">
        <f>_xlfn.XLOOKUP(D386,Master[Product_Code],Master[Selling_Price])</f>
        <v>740</v>
      </c>
    </row>
    <row r="387" spans="2:12">
      <c r="B387" s="2" t="s">
        <v>1928</v>
      </c>
      <c r="C387" s="7">
        <v>45943</v>
      </c>
      <c r="D387" s="2" t="s">
        <v>690</v>
      </c>
      <c r="E387" s="4">
        <v>1</v>
      </c>
      <c r="F387" s="8" t="str">
        <f>_xlfn.XLOOKUP(D387,Master[Product_Code],Master[Category])</f>
        <v>T-Shirt</v>
      </c>
      <c r="G387" s="8" t="str">
        <f>_xlfn.XLOOKUP(D387,Master[Product_Code],Master[Brand])</f>
        <v>Urban Monkey</v>
      </c>
      <c r="H387" s="8" t="str">
        <f>_xlfn.XLOOKUP(D387,Master[Product_Code],Master[Style])</f>
        <v>Full Sleeve</v>
      </c>
      <c r="I387" s="8" t="str">
        <f>_xlfn.XLOOKUP(D387,Master[Product_Code],Master[Fabric])</f>
        <v>Cotton</v>
      </c>
      <c r="J387" s="8" t="str">
        <f>_xlfn.XLOOKUP(D387,Master[Product_Code],Master[Size])</f>
        <v>XL</v>
      </c>
      <c r="K387" s="8" t="str">
        <f>_xlfn.XLOOKUP(D387,Master[Product_Code],Master[Color])</f>
        <v>Cream</v>
      </c>
      <c r="L387" s="3">
        <f>_xlfn.XLOOKUP(D387,Master[Product_Code],Master[Selling_Price])</f>
        <v>500</v>
      </c>
    </row>
    <row r="388" spans="2:12">
      <c r="B388" s="2" t="s">
        <v>1928</v>
      </c>
      <c r="C388" s="7">
        <v>45943</v>
      </c>
      <c r="D388" s="2" t="s">
        <v>869</v>
      </c>
      <c r="E388" s="4">
        <v>1</v>
      </c>
      <c r="F388" s="8" t="str">
        <f>_xlfn.XLOOKUP(D388,Master[Product_Code],Master[Category])</f>
        <v>Jeans</v>
      </c>
      <c r="G388" s="8" t="str">
        <f>_xlfn.XLOOKUP(D388,Master[Product_Code],Master[Brand])</f>
        <v>Pepe</v>
      </c>
      <c r="H388" s="8" t="str">
        <f>_xlfn.XLOOKUP(D388,Master[Product_Code],Master[Style])</f>
        <v>Baggy</v>
      </c>
      <c r="I388" s="8" t="str">
        <f>_xlfn.XLOOKUP(D388,Master[Product_Code],Master[Fabric])</f>
        <v>Denim</v>
      </c>
      <c r="J388" s="8">
        <f>_xlfn.XLOOKUP(D388,Master[Product_Code],Master[Size])</f>
        <v>38</v>
      </c>
      <c r="K388" s="8" t="str">
        <f>_xlfn.XLOOKUP(D388,Master[Product_Code],Master[Color])</f>
        <v>Bottle Green</v>
      </c>
      <c r="L388" s="3">
        <f>_xlfn.XLOOKUP(D388,Master[Product_Code],Master[Selling_Price])</f>
        <v>820</v>
      </c>
    </row>
    <row r="389" spans="2:12">
      <c r="B389" s="2" t="s">
        <v>1928</v>
      </c>
      <c r="C389" s="7">
        <v>45943</v>
      </c>
      <c r="D389" s="2" t="s">
        <v>929</v>
      </c>
      <c r="E389" s="4">
        <v>1</v>
      </c>
      <c r="F389" s="8" t="str">
        <f>_xlfn.XLOOKUP(D389,Master[Product_Code],Master[Category])</f>
        <v>Jeans</v>
      </c>
      <c r="G389" s="8" t="str">
        <f>_xlfn.XLOOKUP(D389,Master[Product_Code],Master[Brand])</f>
        <v>Denim Pro</v>
      </c>
      <c r="H389" s="8" t="str">
        <f>_xlfn.XLOOKUP(D389,Master[Product_Code],Master[Style])</f>
        <v>Jogger</v>
      </c>
      <c r="I389" s="8" t="str">
        <f>_xlfn.XLOOKUP(D389,Master[Product_Code],Master[Fabric])</f>
        <v>Denim</v>
      </c>
      <c r="J389" s="8">
        <f>_xlfn.XLOOKUP(D389,Master[Product_Code],Master[Size])</f>
        <v>40</v>
      </c>
      <c r="K389" s="8" t="str">
        <f>_xlfn.XLOOKUP(D389,Master[Product_Code],Master[Color])</f>
        <v>Light Grey</v>
      </c>
      <c r="L389" s="3">
        <f>_xlfn.XLOOKUP(D389,Master[Product_Code],Master[Selling_Price])</f>
        <v>1020</v>
      </c>
    </row>
    <row r="390" spans="2:12">
      <c r="B390" s="2" t="s">
        <v>1928</v>
      </c>
      <c r="C390" s="7">
        <v>45943</v>
      </c>
      <c r="D390" s="2" t="s">
        <v>741</v>
      </c>
      <c r="E390" s="4">
        <v>1</v>
      </c>
      <c r="F390" s="8" t="str">
        <f>_xlfn.XLOOKUP(D390,Master[Product_Code],Master[Category])</f>
        <v>T-Shirt</v>
      </c>
      <c r="G390" s="8" t="str">
        <f>_xlfn.XLOOKUP(D390,Master[Product_Code],Master[Brand])</f>
        <v>Urban Monkey</v>
      </c>
      <c r="H390" s="8" t="str">
        <f>_xlfn.XLOOKUP(D390,Master[Product_Code],Master[Style])</f>
        <v>3/4 Sleeve</v>
      </c>
      <c r="I390" s="8" t="str">
        <f>_xlfn.XLOOKUP(D390,Master[Product_Code],Master[Fabric])</f>
        <v>Poly Cotton</v>
      </c>
      <c r="J390" s="8" t="str">
        <f>_xlfn.XLOOKUP(D390,Master[Product_Code],Master[Size])</f>
        <v>S</v>
      </c>
      <c r="K390" s="8" t="str">
        <f>_xlfn.XLOOKUP(D390,Master[Product_Code],Master[Color])</f>
        <v>Brown</v>
      </c>
      <c r="L390" s="3">
        <f>_xlfn.XLOOKUP(D390,Master[Product_Code],Master[Selling_Price])</f>
        <v>420</v>
      </c>
    </row>
    <row r="391" spans="2:12">
      <c r="B391" s="2" t="s">
        <v>1929</v>
      </c>
      <c r="C391" s="7">
        <v>45943</v>
      </c>
      <c r="D391" s="2" t="s">
        <v>235</v>
      </c>
      <c r="E391" s="4">
        <v>1</v>
      </c>
      <c r="F391" s="8" t="str">
        <f>_xlfn.XLOOKUP(D391,Master[Product_Code],Master[Category])</f>
        <v>Shirt</v>
      </c>
      <c r="G391" s="8" t="str">
        <f>_xlfn.XLOOKUP(D391,Master[Product_Code],Master[Brand])</f>
        <v>L7</v>
      </c>
      <c r="H391" s="8" t="str">
        <f>_xlfn.XLOOKUP(D391,Master[Product_Code],Master[Style])</f>
        <v>Casual</v>
      </c>
      <c r="I391" s="8" t="str">
        <f>_xlfn.XLOOKUP(D391,Master[Product_Code],Master[Fabric])</f>
        <v>Lycra</v>
      </c>
      <c r="J391" s="8" t="str">
        <f>_xlfn.XLOOKUP(D391,Master[Product_Code],Master[Size])</f>
        <v>S</v>
      </c>
      <c r="K391" s="8" t="str">
        <f>_xlfn.XLOOKUP(D391,Master[Product_Code],Master[Color])</f>
        <v>Maroon</v>
      </c>
      <c r="L391" s="3">
        <f>_xlfn.XLOOKUP(D391,Master[Product_Code],Master[Selling_Price])</f>
        <v>950</v>
      </c>
    </row>
    <row r="392" spans="2:12">
      <c r="B392" s="2" t="s">
        <v>1929</v>
      </c>
      <c r="C392" s="7">
        <v>45943</v>
      </c>
      <c r="D392" s="2" t="s">
        <v>1225</v>
      </c>
      <c r="E392" s="4">
        <v>1</v>
      </c>
      <c r="F392" s="8" t="str">
        <f>_xlfn.XLOOKUP(D392,Master[Product_Code],Master[Category])</f>
        <v>Pants</v>
      </c>
      <c r="G392" s="8" t="str">
        <f>_xlfn.XLOOKUP(D392,Master[Product_Code],Master[Brand])</f>
        <v>Peter England</v>
      </c>
      <c r="H392" s="8" t="str">
        <f>_xlfn.XLOOKUP(D392,Master[Product_Code],Master[Style])</f>
        <v>Korean</v>
      </c>
      <c r="I392" s="8" t="str">
        <f>_xlfn.XLOOKUP(D392,Master[Product_Code],Master[Fabric])</f>
        <v>Lycra</v>
      </c>
      <c r="J392" s="8">
        <f>_xlfn.XLOOKUP(D392,Master[Product_Code],Master[Size])</f>
        <v>28</v>
      </c>
      <c r="K392" s="8" t="str">
        <f>_xlfn.XLOOKUP(D392,Master[Product_Code],Master[Color])</f>
        <v>Brown</v>
      </c>
      <c r="L392" s="3">
        <f>_xlfn.XLOOKUP(D392,Master[Product_Code],Master[Selling_Price])</f>
        <v>890</v>
      </c>
    </row>
    <row r="393" spans="2:12">
      <c r="B393" s="2" t="s">
        <v>1929</v>
      </c>
      <c r="C393" s="7">
        <v>45943</v>
      </c>
      <c r="D393" s="2" t="s">
        <v>1323</v>
      </c>
      <c r="E393" s="4">
        <v>1</v>
      </c>
      <c r="F393" s="8" t="str">
        <f>_xlfn.XLOOKUP(D393,Master[Product_Code],Master[Category])</f>
        <v>Pants</v>
      </c>
      <c r="G393" s="8" t="str">
        <f>_xlfn.XLOOKUP(D393,Master[Product_Code],Master[Brand])</f>
        <v>Van Heusen</v>
      </c>
      <c r="H393" s="8" t="str">
        <f>_xlfn.XLOOKUP(D393,Master[Product_Code],Master[Style])</f>
        <v>Korean</v>
      </c>
      <c r="I393" s="8" t="str">
        <f>_xlfn.XLOOKUP(D393,Master[Product_Code],Master[Fabric])</f>
        <v>Lycra</v>
      </c>
      <c r="J393" s="8">
        <f>_xlfn.XLOOKUP(D393,Master[Product_Code],Master[Size])</f>
        <v>28</v>
      </c>
      <c r="K393" s="8" t="str">
        <f>_xlfn.XLOOKUP(D393,Master[Product_Code],Master[Color])</f>
        <v>Dark Green</v>
      </c>
      <c r="L393" s="3">
        <f>_xlfn.XLOOKUP(D393,Master[Product_Code],Master[Selling_Price])</f>
        <v>870</v>
      </c>
    </row>
    <row r="394" spans="2:12">
      <c r="B394" s="2" t="s">
        <v>1929</v>
      </c>
      <c r="C394" s="7">
        <v>45943</v>
      </c>
      <c r="D394" s="2" t="s">
        <v>317</v>
      </c>
      <c r="E394" s="4">
        <v>1</v>
      </c>
      <c r="F394" s="8" t="str">
        <f>_xlfn.XLOOKUP(D394,Master[Product_Code],Master[Category])</f>
        <v>Shirt</v>
      </c>
      <c r="G394" s="8" t="str">
        <f>_xlfn.XLOOKUP(D394,Master[Product_Code],Master[Brand])</f>
        <v>Thailand</v>
      </c>
      <c r="H394" s="8" t="str">
        <f>_xlfn.XLOOKUP(D394,Master[Product_Code],Master[Style])</f>
        <v>Partywear</v>
      </c>
      <c r="I394" s="8" t="str">
        <f>_xlfn.XLOOKUP(D394,Master[Product_Code],Master[Fabric])</f>
        <v>Polyester</v>
      </c>
      <c r="J394" s="8" t="str">
        <f>_xlfn.XLOOKUP(D394,Master[Product_Code],Master[Size])</f>
        <v>M</v>
      </c>
      <c r="K394" s="8" t="str">
        <f>_xlfn.XLOOKUP(D394,Master[Product_Code],Master[Color])</f>
        <v>Royal Blue</v>
      </c>
      <c r="L394" s="3">
        <f>_xlfn.XLOOKUP(D394,Master[Product_Code],Master[Selling_Price])</f>
        <v>910</v>
      </c>
    </row>
    <row r="395" spans="2:12">
      <c r="B395" s="2" t="s">
        <v>1930</v>
      </c>
      <c r="C395" s="7">
        <v>45943</v>
      </c>
      <c r="D395" s="2" t="s">
        <v>846</v>
      </c>
      <c r="E395" s="4">
        <v>1</v>
      </c>
      <c r="F395" s="8" t="str">
        <f>_xlfn.XLOOKUP(D395,Master[Product_Code],Master[Category])</f>
        <v>Jeans</v>
      </c>
      <c r="G395" s="8" t="str">
        <f>_xlfn.XLOOKUP(D395,Master[Product_Code],Master[Brand])</f>
        <v>Pepe</v>
      </c>
      <c r="H395" s="8" t="str">
        <f>_xlfn.XLOOKUP(D395,Master[Product_Code],Master[Style])</f>
        <v>Mom Fit</v>
      </c>
      <c r="I395" s="8" t="str">
        <f>_xlfn.XLOOKUP(D395,Master[Product_Code],Master[Fabric])</f>
        <v>Denim</v>
      </c>
      <c r="J395" s="8">
        <f>_xlfn.XLOOKUP(D395,Master[Product_Code],Master[Size])</f>
        <v>36</v>
      </c>
      <c r="K395" s="8" t="str">
        <f>_xlfn.XLOOKUP(D395,Master[Product_Code],Master[Color])</f>
        <v>Navy Blue</v>
      </c>
      <c r="L395" s="3">
        <f>_xlfn.XLOOKUP(D395,Master[Product_Code],Master[Selling_Price])</f>
        <v>1080</v>
      </c>
    </row>
    <row r="396" spans="2:12">
      <c r="B396" s="2" t="s">
        <v>1931</v>
      </c>
      <c r="C396" s="7">
        <v>45943</v>
      </c>
      <c r="D396" s="2" t="s">
        <v>895</v>
      </c>
      <c r="E396" s="4">
        <v>1</v>
      </c>
      <c r="F396" s="8" t="str">
        <f>_xlfn.XLOOKUP(D396,Master[Product_Code],Master[Category])</f>
        <v>Jeans</v>
      </c>
      <c r="G396" s="8" t="str">
        <f>_xlfn.XLOOKUP(D396,Master[Product_Code],Master[Brand])</f>
        <v>Denim Pro</v>
      </c>
      <c r="H396" s="8" t="str">
        <f>_xlfn.XLOOKUP(D396,Master[Product_Code],Master[Style])</f>
        <v>Mom Fit</v>
      </c>
      <c r="I396" s="8" t="str">
        <f>_xlfn.XLOOKUP(D396,Master[Product_Code],Master[Fabric])</f>
        <v>Denim</v>
      </c>
      <c r="J396" s="8">
        <f>_xlfn.XLOOKUP(D396,Master[Product_Code],Master[Size])</f>
        <v>34</v>
      </c>
      <c r="K396" s="8" t="str">
        <f>_xlfn.XLOOKUP(D396,Master[Product_Code],Master[Color])</f>
        <v>Peach</v>
      </c>
      <c r="L396" s="3">
        <f>_xlfn.XLOOKUP(D396,Master[Product_Code],Master[Selling_Price])</f>
        <v>990</v>
      </c>
    </row>
    <row r="397" spans="2:12">
      <c r="B397" s="2" t="s">
        <v>1931</v>
      </c>
      <c r="C397" s="7">
        <v>45943</v>
      </c>
      <c r="D397" s="2" t="s">
        <v>708</v>
      </c>
      <c r="E397" s="4">
        <v>1</v>
      </c>
      <c r="F397" s="8" t="str">
        <f>_xlfn.XLOOKUP(D397,Master[Product_Code],Master[Category])</f>
        <v>T-Shirt</v>
      </c>
      <c r="G397" s="8" t="str">
        <f>_xlfn.XLOOKUP(D397,Master[Product_Code],Master[Brand])</f>
        <v>Roadster</v>
      </c>
      <c r="H397" s="8" t="str">
        <f>_xlfn.XLOOKUP(D397,Master[Product_Code],Master[Style])</f>
        <v>3/4 Sleeve</v>
      </c>
      <c r="I397" s="8" t="str">
        <f>_xlfn.XLOOKUP(D397,Master[Product_Code],Master[Fabric])</f>
        <v>Poly Cotton</v>
      </c>
      <c r="J397" s="8" t="str">
        <f>_xlfn.XLOOKUP(D397,Master[Product_Code],Master[Size])</f>
        <v>XXL</v>
      </c>
      <c r="K397" s="8" t="str">
        <f>_xlfn.XLOOKUP(D397,Master[Product_Code],Master[Color])</f>
        <v>Grey</v>
      </c>
      <c r="L397" s="3">
        <f>_xlfn.XLOOKUP(D397,Master[Product_Code],Master[Selling_Price])</f>
        <v>710</v>
      </c>
    </row>
    <row r="398" spans="2:12">
      <c r="B398" s="2" t="s">
        <v>1932</v>
      </c>
      <c r="C398" s="7">
        <v>45943</v>
      </c>
      <c r="D398" s="2" t="s">
        <v>857</v>
      </c>
      <c r="E398" s="4">
        <v>1</v>
      </c>
      <c r="F398" s="8" t="str">
        <f>_xlfn.XLOOKUP(D398,Master[Product_Code],Master[Category])</f>
        <v>Jeans</v>
      </c>
      <c r="G398" s="8" t="str">
        <f>_xlfn.XLOOKUP(D398,Master[Product_Code],Master[Brand])</f>
        <v>Pepe</v>
      </c>
      <c r="H398" s="8" t="str">
        <f>_xlfn.XLOOKUP(D398,Master[Product_Code],Master[Style])</f>
        <v>Baggy</v>
      </c>
      <c r="I398" s="8" t="str">
        <f>_xlfn.XLOOKUP(D398,Master[Product_Code],Master[Fabric])</f>
        <v>Denim</v>
      </c>
      <c r="J398" s="8">
        <f>_xlfn.XLOOKUP(D398,Master[Product_Code],Master[Size])</f>
        <v>38</v>
      </c>
      <c r="K398" s="8" t="str">
        <f>_xlfn.XLOOKUP(D398,Master[Product_Code],Master[Color])</f>
        <v>Bottle Green</v>
      </c>
      <c r="L398" s="3">
        <f>_xlfn.XLOOKUP(D398,Master[Product_Code],Master[Selling_Price])</f>
        <v>1060</v>
      </c>
    </row>
    <row r="399" spans="2:12">
      <c r="B399" s="2" t="s">
        <v>1933</v>
      </c>
      <c r="C399" s="7">
        <v>45943</v>
      </c>
      <c r="D399" s="2" t="s">
        <v>444</v>
      </c>
      <c r="E399" s="4">
        <v>1</v>
      </c>
      <c r="F399" s="8" t="str">
        <f>_xlfn.XLOOKUP(D399,Master[Product_Code],Master[Category])</f>
        <v>T-Shirt</v>
      </c>
      <c r="G399" s="8" t="str">
        <f>_xlfn.XLOOKUP(D399,Master[Product_Code],Master[Brand])</f>
        <v>Zara</v>
      </c>
      <c r="H399" s="8" t="str">
        <f>_xlfn.XLOOKUP(D399,Master[Product_Code],Master[Style])</f>
        <v>Sleeveless</v>
      </c>
      <c r="I399" s="8" t="str">
        <f>_xlfn.XLOOKUP(D399,Master[Product_Code],Master[Fabric])</f>
        <v>Cotton</v>
      </c>
      <c r="J399" s="8" t="str">
        <f>_xlfn.XLOOKUP(D399,Master[Product_Code],Master[Size])</f>
        <v>S</v>
      </c>
      <c r="K399" s="8" t="str">
        <f>_xlfn.XLOOKUP(D399,Master[Product_Code],Master[Color])</f>
        <v>Mustard</v>
      </c>
      <c r="L399" s="3">
        <f>_xlfn.XLOOKUP(D399,Master[Product_Code],Master[Selling_Price])</f>
        <v>250</v>
      </c>
    </row>
    <row r="400" spans="2:12">
      <c r="B400" s="2" t="s">
        <v>1933</v>
      </c>
      <c r="C400" s="7">
        <v>45943</v>
      </c>
      <c r="D400" s="2" t="s">
        <v>1396</v>
      </c>
      <c r="E400" s="4">
        <v>1</v>
      </c>
      <c r="F400" s="8" t="str">
        <f>_xlfn.XLOOKUP(D400,Master[Product_Code],Master[Category])</f>
        <v>Pants</v>
      </c>
      <c r="G400" s="8" t="str">
        <f>_xlfn.XLOOKUP(D400,Master[Product_Code],Master[Brand])</f>
        <v>Park Avenue</v>
      </c>
      <c r="H400" s="8" t="str">
        <f>_xlfn.XLOOKUP(D400,Master[Product_Code],Master[Style])</f>
        <v>Jogger</v>
      </c>
      <c r="I400" s="8" t="str">
        <f>_xlfn.XLOOKUP(D400,Master[Product_Code],Master[Fabric])</f>
        <v>Cotton Blend</v>
      </c>
      <c r="J400" s="8">
        <f>_xlfn.XLOOKUP(D400,Master[Product_Code],Master[Size])</f>
        <v>32</v>
      </c>
      <c r="K400" s="8" t="str">
        <f>_xlfn.XLOOKUP(D400,Master[Product_Code],Master[Color])</f>
        <v>Navy Blue</v>
      </c>
      <c r="L400" s="3">
        <f>_xlfn.XLOOKUP(D400,Master[Product_Code],Master[Selling_Price])</f>
        <v>940</v>
      </c>
    </row>
    <row r="401" spans="2:12">
      <c r="B401" s="2" t="s">
        <v>1933</v>
      </c>
      <c r="C401" s="7">
        <v>45943</v>
      </c>
      <c r="D401" s="2" t="s">
        <v>341</v>
      </c>
      <c r="E401" s="4">
        <v>1</v>
      </c>
      <c r="F401" s="8" t="str">
        <f>_xlfn.XLOOKUP(D401,Master[Product_Code],Master[Category])</f>
        <v>Shirt</v>
      </c>
      <c r="G401" s="8" t="str">
        <f>_xlfn.XLOOKUP(D401,Master[Product_Code],Master[Brand])</f>
        <v>Zara</v>
      </c>
      <c r="H401" s="8" t="str">
        <f>_xlfn.XLOOKUP(D401,Master[Product_Code],Master[Style])</f>
        <v>Casual</v>
      </c>
      <c r="I401" s="8" t="str">
        <f>_xlfn.XLOOKUP(D401,Master[Product_Code],Master[Fabric])</f>
        <v>Polyester</v>
      </c>
      <c r="J401" s="8" t="str">
        <f>_xlfn.XLOOKUP(D401,Master[Product_Code],Master[Size])</f>
        <v>XXL</v>
      </c>
      <c r="K401" s="8" t="str">
        <f>_xlfn.XLOOKUP(D401,Master[Product_Code],Master[Color])</f>
        <v>Peach</v>
      </c>
      <c r="L401" s="3">
        <f>_xlfn.XLOOKUP(D401,Master[Product_Code],Master[Selling_Price])</f>
        <v>650</v>
      </c>
    </row>
    <row r="402" spans="2:12">
      <c r="B402" s="2" t="s">
        <v>1933</v>
      </c>
      <c r="C402" s="7">
        <v>45943</v>
      </c>
      <c r="D402" s="2" t="s">
        <v>354</v>
      </c>
      <c r="E402" s="4">
        <v>1</v>
      </c>
      <c r="F402" s="8" t="str">
        <f>_xlfn.XLOOKUP(D402,Master[Product_Code],Master[Category])</f>
        <v>Shirt</v>
      </c>
      <c r="G402" s="8" t="str">
        <f>_xlfn.XLOOKUP(D402,Master[Product_Code],Master[Brand])</f>
        <v>Zara</v>
      </c>
      <c r="H402" s="8" t="str">
        <f>_xlfn.XLOOKUP(D402,Master[Product_Code],Master[Style])</f>
        <v>Casual</v>
      </c>
      <c r="I402" s="8" t="str">
        <f>_xlfn.XLOOKUP(D402,Master[Product_Code],Master[Fabric])</f>
        <v>Cotton Blend</v>
      </c>
      <c r="J402" s="8" t="str">
        <f>_xlfn.XLOOKUP(D402,Master[Product_Code],Master[Size])</f>
        <v>XL</v>
      </c>
      <c r="K402" s="8" t="str">
        <f>_xlfn.XLOOKUP(D402,Master[Product_Code],Master[Color])</f>
        <v>Maroon</v>
      </c>
      <c r="L402" s="3">
        <f>_xlfn.XLOOKUP(D402,Master[Product_Code],Master[Selling_Price])</f>
        <v>700</v>
      </c>
    </row>
    <row r="403" spans="2:12">
      <c r="B403" s="2" t="s">
        <v>1934</v>
      </c>
      <c r="C403" s="7">
        <v>45943</v>
      </c>
      <c r="D403" s="2" t="s">
        <v>1136</v>
      </c>
      <c r="E403" s="4">
        <v>1</v>
      </c>
      <c r="F403" s="8" t="str">
        <f>_xlfn.XLOOKUP(D403,Master[Product_Code],Master[Category])</f>
        <v>Jeans</v>
      </c>
      <c r="G403" s="8" t="str">
        <f>_xlfn.XLOOKUP(D403,Master[Product_Code],Master[Brand])</f>
        <v>Denim Pro</v>
      </c>
      <c r="H403" s="8" t="str">
        <f>_xlfn.XLOOKUP(D403,Master[Product_Code],Master[Style])</f>
        <v>Jogger</v>
      </c>
      <c r="I403" s="8" t="str">
        <f>_xlfn.XLOOKUP(D403,Master[Product_Code],Master[Fabric])</f>
        <v>Denim</v>
      </c>
      <c r="J403" s="8">
        <f>_xlfn.XLOOKUP(D403,Master[Product_Code],Master[Size])</f>
        <v>32</v>
      </c>
      <c r="K403" s="8" t="str">
        <f>_xlfn.XLOOKUP(D403,Master[Product_Code],Master[Color])</f>
        <v>Charcoal</v>
      </c>
      <c r="L403" s="3">
        <f>_xlfn.XLOOKUP(D403,Master[Product_Code],Master[Selling_Price])</f>
        <v>830</v>
      </c>
    </row>
    <row r="404" spans="2:12">
      <c r="B404" s="2" t="s">
        <v>1934</v>
      </c>
      <c r="C404" s="7">
        <v>45943</v>
      </c>
      <c r="D404" s="2" t="s">
        <v>763</v>
      </c>
      <c r="E404" s="4">
        <v>1</v>
      </c>
      <c r="F404" s="8" t="str">
        <f>_xlfn.XLOOKUP(D404,Master[Product_Code],Master[Category])</f>
        <v>T-Shirt</v>
      </c>
      <c r="G404" s="8" t="str">
        <f>_xlfn.XLOOKUP(D404,Master[Product_Code],Master[Brand])</f>
        <v>Turkey</v>
      </c>
      <c r="H404" s="8" t="str">
        <f>_xlfn.XLOOKUP(D404,Master[Product_Code],Master[Style])</f>
        <v>Full Sleeve</v>
      </c>
      <c r="I404" s="8" t="str">
        <f>_xlfn.XLOOKUP(D404,Master[Product_Code],Master[Fabric])</f>
        <v>Poly Cotton</v>
      </c>
      <c r="J404" s="8" t="str">
        <f>_xlfn.XLOOKUP(D404,Master[Product_Code],Master[Size])</f>
        <v>XXL</v>
      </c>
      <c r="K404" s="8" t="str">
        <f>_xlfn.XLOOKUP(D404,Master[Product_Code],Master[Color])</f>
        <v>Maroon</v>
      </c>
      <c r="L404" s="3">
        <f>_xlfn.XLOOKUP(D404,Master[Product_Code],Master[Selling_Price])</f>
        <v>530</v>
      </c>
    </row>
    <row r="405" spans="2:12">
      <c r="B405" s="2" t="s">
        <v>1934</v>
      </c>
      <c r="C405" s="7">
        <v>45943</v>
      </c>
      <c r="D405" s="2" t="s">
        <v>261</v>
      </c>
      <c r="E405" s="4">
        <v>1</v>
      </c>
      <c r="F405" s="8" t="str">
        <f>_xlfn.XLOOKUP(D405,Master[Product_Code],Master[Category])</f>
        <v>Shirt</v>
      </c>
      <c r="G405" s="8" t="str">
        <f>_xlfn.XLOOKUP(D405,Master[Product_Code],Master[Brand])</f>
        <v>L7</v>
      </c>
      <c r="H405" s="8" t="str">
        <f>_xlfn.XLOOKUP(D405,Master[Product_Code],Master[Style])</f>
        <v>Formal</v>
      </c>
      <c r="I405" s="8" t="str">
        <f>_xlfn.XLOOKUP(D405,Master[Product_Code],Master[Fabric])</f>
        <v>Polyester</v>
      </c>
      <c r="J405" s="8" t="str">
        <f>_xlfn.XLOOKUP(D405,Master[Product_Code],Master[Size])</f>
        <v>XXL</v>
      </c>
      <c r="K405" s="8" t="str">
        <f>_xlfn.XLOOKUP(D405,Master[Product_Code],Master[Color])</f>
        <v>Rust</v>
      </c>
      <c r="L405" s="3">
        <f>_xlfn.XLOOKUP(D405,Master[Product_Code],Master[Selling_Price])</f>
        <v>930</v>
      </c>
    </row>
    <row r="406" spans="2:12">
      <c r="B406" s="2" t="s">
        <v>1935</v>
      </c>
      <c r="C406" s="7">
        <v>45943</v>
      </c>
      <c r="D406" s="2" t="s">
        <v>1541</v>
      </c>
      <c r="E406" s="4">
        <v>1</v>
      </c>
      <c r="F406" s="8" t="str">
        <f>_xlfn.XLOOKUP(D406,Master[Product_Code],Master[Category])</f>
        <v>Innerwear</v>
      </c>
      <c r="G406" s="8" t="str">
        <f>_xlfn.XLOOKUP(D406,Master[Product_Code],Master[Brand])</f>
        <v>Jockey</v>
      </c>
      <c r="H406" s="8" t="str">
        <f>_xlfn.XLOOKUP(D406,Master[Product_Code],Master[Style])</f>
        <v>Boxer</v>
      </c>
      <c r="I406" s="8" t="str">
        <f>_xlfn.XLOOKUP(D406,Master[Product_Code],Master[Fabric])</f>
        <v>Cotton Blend</v>
      </c>
      <c r="J406" s="8" t="str">
        <f>_xlfn.XLOOKUP(D406,Master[Product_Code],Master[Size])</f>
        <v>85-90</v>
      </c>
      <c r="K406" s="8" t="str">
        <f>_xlfn.XLOOKUP(D406,Master[Product_Code],Master[Color])</f>
        <v>Teal</v>
      </c>
      <c r="L406" s="3">
        <f>_xlfn.XLOOKUP(D406,Master[Product_Code],Master[Selling_Price])</f>
        <v>180</v>
      </c>
    </row>
    <row r="407" spans="2:12">
      <c r="B407" s="2" t="s">
        <v>1935</v>
      </c>
      <c r="C407" s="7">
        <v>45943</v>
      </c>
      <c r="D407" s="2" t="s">
        <v>1012</v>
      </c>
      <c r="E407" s="4">
        <v>1</v>
      </c>
      <c r="F407" s="8" t="str">
        <f>_xlfn.XLOOKUP(D407,Master[Product_Code],Master[Category])</f>
        <v>Jeans</v>
      </c>
      <c r="G407" s="8" t="str">
        <f>_xlfn.XLOOKUP(D407,Master[Product_Code],Master[Brand])</f>
        <v>Denim Pro</v>
      </c>
      <c r="H407" s="8" t="str">
        <f>_xlfn.XLOOKUP(D407,Master[Product_Code],Master[Style])</f>
        <v>Mom Fit</v>
      </c>
      <c r="I407" s="8" t="str">
        <f>_xlfn.XLOOKUP(D407,Master[Product_Code],Master[Fabric])</f>
        <v>Denim</v>
      </c>
      <c r="J407" s="8">
        <f>_xlfn.XLOOKUP(D407,Master[Product_Code],Master[Size])</f>
        <v>44</v>
      </c>
      <c r="K407" s="8" t="str">
        <f>_xlfn.XLOOKUP(D407,Master[Product_Code],Master[Color])</f>
        <v>Navy Blue</v>
      </c>
      <c r="L407" s="3">
        <f>_xlfn.XLOOKUP(D407,Master[Product_Code],Master[Selling_Price])</f>
        <v>910</v>
      </c>
    </row>
    <row r="408" spans="2:12">
      <c r="B408" s="2" t="s">
        <v>1936</v>
      </c>
      <c r="C408" s="7">
        <v>45943</v>
      </c>
      <c r="D408" s="2" t="s">
        <v>189</v>
      </c>
      <c r="E408" s="4">
        <v>1</v>
      </c>
      <c r="F408" s="8" t="str">
        <f>_xlfn.XLOOKUP(D408,Master[Product_Code],Master[Category])</f>
        <v>Shirt</v>
      </c>
      <c r="G408" s="8" t="str">
        <f>_xlfn.XLOOKUP(D408,Master[Product_Code],Master[Brand])</f>
        <v>Max</v>
      </c>
      <c r="H408" s="8" t="str">
        <f>_xlfn.XLOOKUP(D408,Master[Product_Code],Master[Style])</f>
        <v>Casual</v>
      </c>
      <c r="I408" s="8" t="str">
        <f>_xlfn.XLOOKUP(D408,Master[Product_Code],Master[Fabric])</f>
        <v>Lycra</v>
      </c>
      <c r="J408" s="8" t="str">
        <f>_xlfn.XLOOKUP(D408,Master[Product_Code],Master[Size])</f>
        <v>XL</v>
      </c>
      <c r="K408" s="8" t="str">
        <f>_xlfn.XLOOKUP(D408,Master[Product_Code],Master[Color])</f>
        <v>Dark Green</v>
      </c>
      <c r="L408" s="3">
        <f>_xlfn.XLOOKUP(D408,Master[Product_Code],Master[Selling_Price])</f>
        <v>780</v>
      </c>
    </row>
    <row r="409" spans="2:12">
      <c r="B409" s="2" t="s">
        <v>1936</v>
      </c>
      <c r="C409" s="7">
        <v>45943</v>
      </c>
      <c r="D409" s="2" t="s">
        <v>1176</v>
      </c>
      <c r="E409" s="4">
        <v>1</v>
      </c>
      <c r="F409" s="8" t="str">
        <f>_xlfn.XLOOKUP(D409,Master[Product_Code],Master[Category])</f>
        <v>Pants</v>
      </c>
      <c r="G409" s="8" t="str">
        <f>_xlfn.XLOOKUP(D409,Master[Product_Code],Master[Brand])</f>
        <v>Van Heusen</v>
      </c>
      <c r="H409" s="8" t="str">
        <f>_xlfn.XLOOKUP(D409,Master[Product_Code],Master[Style])</f>
        <v>Korean</v>
      </c>
      <c r="I409" s="8" t="str">
        <f>_xlfn.XLOOKUP(D409,Master[Product_Code],Master[Fabric])</f>
        <v>Lycra</v>
      </c>
      <c r="J409" s="8">
        <f>_xlfn.XLOOKUP(D409,Master[Product_Code],Master[Size])</f>
        <v>38</v>
      </c>
      <c r="K409" s="8" t="str">
        <f>_xlfn.XLOOKUP(D409,Master[Product_Code],Master[Color])</f>
        <v>Sky Blue</v>
      </c>
      <c r="L409" s="3">
        <f>_xlfn.XLOOKUP(D409,Master[Product_Code],Master[Selling_Price])</f>
        <v>810</v>
      </c>
    </row>
    <row r="410" spans="2:12">
      <c r="B410" s="2" t="s">
        <v>1936</v>
      </c>
      <c r="C410" s="7">
        <v>45943</v>
      </c>
      <c r="D410" s="2" t="s">
        <v>60</v>
      </c>
      <c r="E410" s="4">
        <v>1</v>
      </c>
      <c r="F410" s="8" t="str">
        <f>_xlfn.XLOOKUP(D410,Master[Product_Code],Master[Category])</f>
        <v>Shirt</v>
      </c>
      <c r="G410" s="8" t="str">
        <f>_xlfn.XLOOKUP(D410,Master[Product_Code],Master[Brand])</f>
        <v>Thailand</v>
      </c>
      <c r="H410" s="8" t="str">
        <f>_xlfn.XLOOKUP(D410,Master[Product_Code],Master[Style])</f>
        <v>Partywear</v>
      </c>
      <c r="I410" s="8" t="str">
        <f>_xlfn.XLOOKUP(D410,Master[Product_Code],Master[Fabric])</f>
        <v>Cotton</v>
      </c>
      <c r="J410" s="8" t="str">
        <f>_xlfn.XLOOKUP(D410,Master[Product_Code],Master[Size])</f>
        <v>S</v>
      </c>
      <c r="K410" s="8" t="str">
        <f>_xlfn.XLOOKUP(D410,Master[Product_Code],Master[Color])</f>
        <v>Dark Green</v>
      </c>
      <c r="L410" s="3">
        <f>_xlfn.XLOOKUP(D410,Master[Product_Code],Master[Selling_Price])</f>
        <v>820</v>
      </c>
    </row>
    <row r="411" spans="2:12">
      <c r="B411" s="2" t="s">
        <v>1937</v>
      </c>
      <c r="C411" s="7">
        <v>45943</v>
      </c>
      <c r="D411" s="2" t="s">
        <v>1423</v>
      </c>
      <c r="E411" s="4">
        <v>1</v>
      </c>
      <c r="F411" s="8" t="str">
        <f>_xlfn.XLOOKUP(D411,Master[Product_Code],Master[Category])</f>
        <v>Pants</v>
      </c>
      <c r="G411" s="8" t="str">
        <f>_xlfn.XLOOKUP(D411,Master[Product_Code],Master[Brand])</f>
        <v>Raymond</v>
      </c>
      <c r="H411" s="8" t="str">
        <f>_xlfn.XLOOKUP(D411,Master[Product_Code],Master[Style])</f>
        <v>Kurka</v>
      </c>
      <c r="I411" s="8" t="str">
        <f>_xlfn.XLOOKUP(D411,Master[Product_Code],Master[Fabric])</f>
        <v>Lycra</v>
      </c>
      <c r="J411" s="8">
        <f>_xlfn.XLOOKUP(D411,Master[Product_Code],Master[Size])</f>
        <v>34</v>
      </c>
      <c r="K411" s="8" t="str">
        <f>_xlfn.XLOOKUP(D411,Master[Product_Code],Master[Color])</f>
        <v>Cream</v>
      </c>
      <c r="L411" s="3">
        <f>_xlfn.XLOOKUP(D411,Master[Product_Code],Master[Selling_Price])</f>
        <v>780</v>
      </c>
    </row>
    <row r="412" spans="2:12">
      <c r="B412" s="2" t="s">
        <v>1938</v>
      </c>
      <c r="C412" s="7">
        <v>45943</v>
      </c>
      <c r="D412" s="2" t="s">
        <v>1175</v>
      </c>
      <c r="E412" s="4">
        <v>1</v>
      </c>
      <c r="F412" s="8" t="str">
        <f>_xlfn.XLOOKUP(D412,Master[Product_Code],Master[Category])</f>
        <v>Pants</v>
      </c>
      <c r="G412" s="8" t="str">
        <f>_xlfn.XLOOKUP(D412,Master[Product_Code],Master[Brand])</f>
        <v>Peter England</v>
      </c>
      <c r="H412" s="8" t="str">
        <f>_xlfn.XLOOKUP(D412,Master[Product_Code],Master[Style])</f>
        <v>Polofit</v>
      </c>
      <c r="I412" s="8" t="str">
        <f>_xlfn.XLOOKUP(D412,Master[Product_Code],Master[Fabric])</f>
        <v>Lycra</v>
      </c>
      <c r="J412" s="8">
        <f>_xlfn.XLOOKUP(D412,Master[Product_Code],Master[Size])</f>
        <v>32</v>
      </c>
      <c r="K412" s="8" t="str">
        <f>_xlfn.XLOOKUP(D412,Master[Product_Code],Master[Color])</f>
        <v>Dark Green</v>
      </c>
      <c r="L412" s="3">
        <f>_xlfn.XLOOKUP(D412,Master[Product_Code],Master[Selling_Price])</f>
        <v>920</v>
      </c>
    </row>
    <row r="413" spans="2:12">
      <c r="B413" s="2" t="s">
        <v>1938</v>
      </c>
      <c r="C413" s="7">
        <v>45943</v>
      </c>
      <c r="D413" s="2" t="s">
        <v>428</v>
      </c>
      <c r="E413" s="4">
        <v>1</v>
      </c>
      <c r="F413" s="8" t="str">
        <f>_xlfn.XLOOKUP(D413,Master[Product_Code],Master[Category])</f>
        <v>T-Shirt</v>
      </c>
      <c r="G413" s="8" t="str">
        <f>_xlfn.XLOOKUP(D413,Master[Product_Code],Master[Brand])</f>
        <v>Roadster</v>
      </c>
      <c r="H413" s="8" t="str">
        <f>_xlfn.XLOOKUP(D413,Master[Product_Code],Master[Style])</f>
        <v>Half Sleeve</v>
      </c>
      <c r="I413" s="8" t="str">
        <f>_xlfn.XLOOKUP(D413,Master[Product_Code],Master[Fabric])</f>
        <v>Poly Cotton</v>
      </c>
      <c r="J413" s="8" t="str">
        <f>_xlfn.XLOOKUP(D413,Master[Product_Code],Master[Size])</f>
        <v>S</v>
      </c>
      <c r="K413" s="8" t="str">
        <f>_xlfn.XLOOKUP(D413,Master[Product_Code],Master[Color])</f>
        <v>Navy Blue</v>
      </c>
      <c r="L413" s="3">
        <f>_xlfn.XLOOKUP(D413,Master[Product_Code],Master[Selling_Price])</f>
        <v>340</v>
      </c>
    </row>
    <row r="414" spans="2:12">
      <c r="B414" s="2" t="s">
        <v>1938</v>
      </c>
      <c r="C414" s="7">
        <v>45943</v>
      </c>
      <c r="D414" s="2" t="s">
        <v>1326</v>
      </c>
      <c r="E414" s="4">
        <v>1</v>
      </c>
      <c r="F414" s="8" t="str">
        <f>_xlfn.XLOOKUP(D414,Master[Product_Code],Master[Category])</f>
        <v>Pants</v>
      </c>
      <c r="G414" s="8" t="str">
        <f>_xlfn.XLOOKUP(D414,Master[Product_Code],Master[Brand])</f>
        <v>Raymond</v>
      </c>
      <c r="H414" s="8" t="str">
        <f>_xlfn.XLOOKUP(D414,Master[Product_Code],Master[Style])</f>
        <v>Kurka</v>
      </c>
      <c r="I414" s="8" t="str">
        <f>_xlfn.XLOOKUP(D414,Master[Product_Code],Master[Fabric])</f>
        <v>Lycra</v>
      </c>
      <c r="J414" s="8">
        <f>_xlfn.XLOOKUP(D414,Master[Product_Code],Master[Size])</f>
        <v>30</v>
      </c>
      <c r="K414" s="8" t="str">
        <f>_xlfn.XLOOKUP(D414,Master[Product_Code],Master[Color])</f>
        <v>Grey</v>
      </c>
      <c r="L414" s="3">
        <f>_xlfn.XLOOKUP(D414,Master[Product_Code],Master[Selling_Price])</f>
        <v>880</v>
      </c>
    </row>
    <row r="415" spans="2:12">
      <c r="B415" s="2" t="s">
        <v>1939</v>
      </c>
      <c r="C415" s="7">
        <v>45944</v>
      </c>
      <c r="D415" s="2" t="s">
        <v>1347</v>
      </c>
      <c r="E415" s="4">
        <v>1</v>
      </c>
      <c r="F415" s="8" t="str">
        <f>_xlfn.XLOOKUP(D415,Master[Product_Code],Master[Category])</f>
        <v>Pants</v>
      </c>
      <c r="G415" s="8" t="str">
        <f>_xlfn.XLOOKUP(D415,Master[Product_Code],Master[Brand])</f>
        <v>Peter England</v>
      </c>
      <c r="H415" s="8" t="str">
        <f>_xlfn.XLOOKUP(D415,Master[Product_Code],Master[Style])</f>
        <v>Boot Cut</v>
      </c>
      <c r="I415" s="8" t="str">
        <f>_xlfn.XLOOKUP(D415,Master[Product_Code],Master[Fabric])</f>
        <v>Poly Viscose</v>
      </c>
      <c r="J415" s="8">
        <f>_xlfn.XLOOKUP(D415,Master[Product_Code],Master[Size])</f>
        <v>30</v>
      </c>
      <c r="K415" s="8" t="str">
        <f>_xlfn.XLOOKUP(D415,Master[Product_Code],Master[Color])</f>
        <v>Navy Blue</v>
      </c>
      <c r="L415" s="3">
        <f>_xlfn.XLOOKUP(D415,Master[Product_Code],Master[Selling_Price])</f>
        <v>740</v>
      </c>
    </row>
    <row r="416" spans="2:12">
      <c r="B416" s="2" t="s">
        <v>1939</v>
      </c>
      <c r="C416" s="7">
        <v>45944</v>
      </c>
      <c r="D416" s="2" t="s">
        <v>1325</v>
      </c>
      <c r="E416" s="4">
        <v>1</v>
      </c>
      <c r="F416" s="8" t="str">
        <f>_xlfn.XLOOKUP(D416,Master[Product_Code],Master[Category])</f>
        <v>Pants</v>
      </c>
      <c r="G416" s="8" t="str">
        <f>_xlfn.XLOOKUP(D416,Master[Product_Code],Master[Brand])</f>
        <v>Raymond</v>
      </c>
      <c r="H416" s="8" t="str">
        <f>_xlfn.XLOOKUP(D416,Master[Product_Code],Master[Style])</f>
        <v>Polofit</v>
      </c>
      <c r="I416" s="8" t="str">
        <f>_xlfn.XLOOKUP(D416,Master[Product_Code],Master[Fabric])</f>
        <v>Lycra</v>
      </c>
      <c r="J416" s="8">
        <f>_xlfn.XLOOKUP(D416,Master[Product_Code],Master[Size])</f>
        <v>30</v>
      </c>
      <c r="K416" s="8" t="str">
        <f>_xlfn.XLOOKUP(D416,Master[Product_Code],Master[Color])</f>
        <v>Dark Green</v>
      </c>
      <c r="L416" s="3">
        <f>_xlfn.XLOOKUP(D416,Master[Product_Code],Master[Selling_Price])</f>
        <v>860</v>
      </c>
    </row>
    <row r="417" spans="2:12">
      <c r="B417" s="2" t="s">
        <v>1939</v>
      </c>
      <c r="C417" s="7">
        <v>45944</v>
      </c>
      <c r="D417" s="2" t="s">
        <v>1251</v>
      </c>
      <c r="E417" s="4">
        <v>1</v>
      </c>
      <c r="F417" s="8" t="str">
        <f>_xlfn.XLOOKUP(D417,Master[Product_Code],Master[Category])</f>
        <v>Pants</v>
      </c>
      <c r="G417" s="8" t="str">
        <f>_xlfn.XLOOKUP(D417,Master[Product_Code],Master[Brand])</f>
        <v>Raymond</v>
      </c>
      <c r="H417" s="8" t="str">
        <f>_xlfn.XLOOKUP(D417,Master[Product_Code],Master[Style])</f>
        <v>Kurka</v>
      </c>
      <c r="I417" s="8" t="str">
        <f>_xlfn.XLOOKUP(D417,Master[Product_Code],Master[Fabric])</f>
        <v>Lycra</v>
      </c>
      <c r="J417" s="8">
        <f>_xlfn.XLOOKUP(D417,Master[Product_Code],Master[Size])</f>
        <v>36</v>
      </c>
      <c r="K417" s="8" t="str">
        <f>_xlfn.XLOOKUP(D417,Master[Product_Code],Master[Color])</f>
        <v>Wine</v>
      </c>
      <c r="L417" s="3">
        <f>_xlfn.XLOOKUP(D417,Master[Product_Code],Master[Selling_Price])</f>
        <v>850</v>
      </c>
    </row>
    <row r="418" spans="2:12">
      <c r="B418" s="2" t="s">
        <v>1939</v>
      </c>
      <c r="C418" s="7">
        <v>45944</v>
      </c>
      <c r="D418" s="2" t="s">
        <v>557</v>
      </c>
      <c r="E418" s="4">
        <v>1</v>
      </c>
      <c r="F418" s="8" t="str">
        <f>_xlfn.XLOOKUP(D418,Master[Product_Code],Master[Category])</f>
        <v>T-Shirt</v>
      </c>
      <c r="G418" s="8" t="str">
        <f>_xlfn.XLOOKUP(D418,Master[Product_Code],Master[Brand])</f>
        <v>Zara</v>
      </c>
      <c r="H418" s="8" t="str">
        <f>_xlfn.XLOOKUP(D418,Master[Product_Code],Master[Style])</f>
        <v>Full Sleeve</v>
      </c>
      <c r="I418" s="8" t="str">
        <f>_xlfn.XLOOKUP(D418,Master[Product_Code],Master[Fabric])</f>
        <v>Cotton Blend</v>
      </c>
      <c r="J418" s="8" t="str">
        <f>_xlfn.XLOOKUP(D418,Master[Product_Code],Master[Size])</f>
        <v>XL</v>
      </c>
      <c r="K418" s="8" t="str">
        <f>_xlfn.XLOOKUP(D418,Master[Product_Code],Master[Color])</f>
        <v>Mustard</v>
      </c>
      <c r="L418" s="3">
        <f>_xlfn.XLOOKUP(D418,Master[Product_Code],Master[Selling_Price])</f>
        <v>320</v>
      </c>
    </row>
    <row r="419" spans="2:12">
      <c r="B419" s="2" t="s">
        <v>1940</v>
      </c>
      <c r="C419" s="7">
        <v>45944</v>
      </c>
      <c r="D419" s="2" t="s">
        <v>1453</v>
      </c>
      <c r="E419" s="4">
        <v>1</v>
      </c>
      <c r="F419" s="8" t="str">
        <f>_xlfn.XLOOKUP(D419,Master[Product_Code],Master[Category])</f>
        <v>Pants</v>
      </c>
      <c r="G419" s="8" t="str">
        <f>_xlfn.XLOOKUP(D419,Master[Product_Code],Master[Brand])</f>
        <v>Louis Philippe</v>
      </c>
      <c r="H419" s="8" t="str">
        <f>_xlfn.XLOOKUP(D419,Master[Product_Code],Master[Style])</f>
        <v>Jogger</v>
      </c>
      <c r="I419" s="8" t="str">
        <f>_xlfn.XLOOKUP(D419,Master[Product_Code],Master[Fabric])</f>
        <v>Cotton</v>
      </c>
      <c r="J419" s="8">
        <f>_xlfn.XLOOKUP(D419,Master[Product_Code],Master[Size])</f>
        <v>38</v>
      </c>
      <c r="K419" s="8" t="str">
        <f>_xlfn.XLOOKUP(D419,Master[Product_Code],Master[Color])</f>
        <v>Maroon</v>
      </c>
      <c r="L419" s="3">
        <f>_xlfn.XLOOKUP(D419,Master[Product_Code],Master[Selling_Price])</f>
        <v>860</v>
      </c>
    </row>
    <row r="420" spans="2:12">
      <c r="B420" s="2" t="s">
        <v>1940</v>
      </c>
      <c r="C420" s="7">
        <v>45944</v>
      </c>
      <c r="D420" s="2" t="s">
        <v>351</v>
      </c>
      <c r="E420" s="4">
        <v>1</v>
      </c>
      <c r="F420" s="8" t="str">
        <f>_xlfn.XLOOKUP(D420,Master[Product_Code],Master[Category])</f>
        <v>Shirt</v>
      </c>
      <c r="G420" s="8" t="str">
        <f>_xlfn.XLOOKUP(D420,Master[Product_Code],Master[Brand])</f>
        <v>Thailand</v>
      </c>
      <c r="H420" s="8" t="str">
        <f>_xlfn.XLOOKUP(D420,Master[Product_Code],Master[Style])</f>
        <v>Partywear</v>
      </c>
      <c r="I420" s="8" t="str">
        <f>_xlfn.XLOOKUP(D420,Master[Product_Code],Master[Fabric])</f>
        <v>Cotton</v>
      </c>
      <c r="J420" s="8" t="str">
        <f>_xlfn.XLOOKUP(D420,Master[Product_Code],Master[Size])</f>
        <v>XXL</v>
      </c>
      <c r="K420" s="8" t="str">
        <f>_xlfn.XLOOKUP(D420,Master[Product_Code],Master[Color])</f>
        <v>Peach</v>
      </c>
      <c r="L420" s="3">
        <f>_xlfn.XLOOKUP(D420,Master[Product_Code],Master[Selling_Price])</f>
        <v>780</v>
      </c>
    </row>
    <row r="421" spans="2:12">
      <c r="B421" s="2" t="s">
        <v>1941</v>
      </c>
      <c r="C421" s="7">
        <v>45944</v>
      </c>
      <c r="D421" s="2" t="s">
        <v>1697</v>
      </c>
      <c r="E421" s="4">
        <v>1</v>
      </c>
      <c r="F421" s="8" t="str">
        <f>_xlfn.XLOOKUP(D421,Master[Product_Code],Master[Category])</f>
        <v>Innerwear</v>
      </c>
      <c r="G421" s="8" t="str">
        <f>_xlfn.XLOOKUP(D421,Master[Product_Code],Master[Brand])</f>
        <v>Lux</v>
      </c>
      <c r="H421" s="8" t="str">
        <f>_xlfn.XLOOKUP(D421,Master[Product_Code],Master[Style])</f>
        <v>Boxer</v>
      </c>
      <c r="I421" s="8" t="str">
        <f>_xlfn.XLOOKUP(D421,Master[Product_Code],Master[Fabric])</f>
        <v>Cotton Blend</v>
      </c>
      <c r="J421" s="8" t="str">
        <f>_xlfn.XLOOKUP(D421,Master[Product_Code],Master[Size])</f>
        <v>105-110</v>
      </c>
      <c r="K421" s="8" t="str">
        <f>_xlfn.XLOOKUP(D421,Master[Product_Code],Master[Color])</f>
        <v>Wine</v>
      </c>
      <c r="L421" s="3">
        <f>_xlfn.XLOOKUP(D421,Master[Product_Code],Master[Selling_Price])</f>
        <v>120</v>
      </c>
    </row>
    <row r="422" spans="2:12">
      <c r="B422" s="2" t="s">
        <v>1941</v>
      </c>
      <c r="C422" s="7">
        <v>45944</v>
      </c>
      <c r="D422" s="2" t="s">
        <v>1584</v>
      </c>
      <c r="E422" s="4">
        <v>1</v>
      </c>
      <c r="F422" s="8" t="str">
        <f>_xlfn.XLOOKUP(D422,Master[Product_Code],Master[Category])</f>
        <v>Innerwear</v>
      </c>
      <c r="G422" s="8" t="str">
        <f>_xlfn.XLOOKUP(D422,Master[Product_Code],Master[Brand])</f>
        <v>Lux</v>
      </c>
      <c r="H422" s="8" t="str">
        <f>_xlfn.XLOOKUP(D422,Master[Product_Code],Master[Style])</f>
        <v>Boxer</v>
      </c>
      <c r="I422" s="8" t="str">
        <f>_xlfn.XLOOKUP(D422,Master[Product_Code],Master[Fabric])</f>
        <v>Cotton Blend</v>
      </c>
      <c r="J422" s="8" t="str">
        <f>_xlfn.XLOOKUP(D422,Master[Product_Code],Master[Size])</f>
        <v>80-85</v>
      </c>
      <c r="K422" s="8" t="str">
        <f>_xlfn.XLOOKUP(D422,Master[Product_Code],Master[Color])</f>
        <v>Light Grey</v>
      </c>
      <c r="L422" s="3">
        <f>_xlfn.XLOOKUP(D422,Master[Product_Code],Master[Selling_Price])</f>
        <v>150</v>
      </c>
    </row>
    <row r="423" spans="2:12">
      <c r="B423" s="2" t="s">
        <v>1941</v>
      </c>
      <c r="C423" s="7">
        <v>45944</v>
      </c>
      <c r="D423" s="2" t="s">
        <v>204</v>
      </c>
      <c r="E423" s="4">
        <v>1</v>
      </c>
      <c r="F423" s="8" t="str">
        <f>_xlfn.XLOOKUP(D423,Master[Product_Code],Master[Category])</f>
        <v>Shirt</v>
      </c>
      <c r="G423" s="8" t="str">
        <f>_xlfn.XLOOKUP(D423,Master[Product_Code],Master[Brand])</f>
        <v>Luke &amp; Burg</v>
      </c>
      <c r="H423" s="8" t="str">
        <f>_xlfn.XLOOKUP(D423,Master[Product_Code],Master[Style])</f>
        <v>Partywear</v>
      </c>
      <c r="I423" s="8" t="str">
        <f>_xlfn.XLOOKUP(D423,Master[Product_Code],Master[Fabric])</f>
        <v>Lycra</v>
      </c>
      <c r="J423" s="8" t="str">
        <f>_xlfn.XLOOKUP(D423,Master[Product_Code],Master[Size])</f>
        <v>XL</v>
      </c>
      <c r="K423" s="8" t="str">
        <f>_xlfn.XLOOKUP(D423,Master[Product_Code],Master[Color])</f>
        <v>Light Grey</v>
      </c>
      <c r="L423" s="3">
        <f>_xlfn.XLOOKUP(D423,Master[Product_Code],Master[Selling_Price])</f>
        <v>850</v>
      </c>
    </row>
    <row r="424" spans="2:12">
      <c r="B424" s="2" t="s">
        <v>1941</v>
      </c>
      <c r="C424" s="7">
        <v>45944</v>
      </c>
      <c r="D424" s="2" t="s">
        <v>1664</v>
      </c>
      <c r="E424" s="4">
        <v>1</v>
      </c>
      <c r="F424" s="8" t="str">
        <f>_xlfn.XLOOKUP(D424,Master[Product_Code],Master[Category])</f>
        <v>Innerwear</v>
      </c>
      <c r="G424" s="8" t="str">
        <f>_xlfn.XLOOKUP(D424,Master[Product_Code],Master[Brand])</f>
        <v>Dollar</v>
      </c>
      <c r="H424" s="8" t="str">
        <f>_xlfn.XLOOKUP(D424,Master[Product_Code],Master[Style])</f>
        <v>V-Cut</v>
      </c>
      <c r="I424" s="8" t="str">
        <f>_xlfn.XLOOKUP(D424,Master[Product_Code],Master[Fabric])</f>
        <v>Cotton Blend</v>
      </c>
      <c r="J424" s="8" t="str">
        <f>_xlfn.XLOOKUP(D424,Master[Product_Code],Master[Size])</f>
        <v>80-85</v>
      </c>
      <c r="K424" s="8" t="str">
        <f>_xlfn.XLOOKUP(D424,Master[Product_Code],Master[Color])</f>
        <v>Black</v>
      </c>
      <c r="L424" s="3">
        <f>_xlfn.XLOOKUP(D424,Master[Product_Code],Master[Selling_Price])</f>
        <v>190</v>
      </c>
    </row>
    <row r="425" spans="2:12">
      <c r="B425" s="2" t="s">
        <v>1942</v>
      </c>
      <c r="C425" s="7">
        <v>45944</v>
      </c>
      <c r="D425" s="2" t="s">
        <v>813</v>
      </c>
      <c r="E425" s="4">
        <v>1</v>
      </c>
      <c r="F425" s="8" t="str">
        <f>_xlfn.XLOOKUP(D425,Master[Product_Code],Master[Category])</f>
        <v>T-Shirt</v>
      </c>
      <c r="G425" s="8" t="str">
        <f>_xlfn.XLOOKUP(D425,Master[Product_Code],Master[Brand])</f>
        <v>Thailand</v>
      </c>
      <c r="H425" s="8" t="str">
        <f>_xlfn.XLOOKUP(D425,Master[Product_Code],Master[Style])</f>
        <v>3/4 Sleeve</v>
      </c>
      <c r="I425" s="8" t="str">
        <f>_xlfn.XLOOKUP(D425,Master[Product_Code],Master[Fabric])</f>
        <v>Cotton</v>
      </c>
      <c r="J425" s="8" t="str">
        <f>_xlfn.XLOOKUP(D425,Master[Product_Code],Master[Size])</f>
        <v>XXL</v>
      </c>
      <c r="K425" s="8" t="str">
        <f>_xlfn.XLOOKUP(D425,Master[Product_Code],Master[Color])</f>
        <v>Beige</v>
      </c>
      <c r="L425" s="3">
        <f>_xlfn.XLOOKUP(D425,Master[Product_Code],Master[Selling_Price])</f>
        <v>550</v>
      </c>
    </row>
    <row r="426" spans="2:12">
      <c r="B426" s="2" t="s">
        <v>1943</v>
      </c>
      <c r="C426" s="7">
        <v>45944</v>
      </c>
      <c r="D426" s="2" t="s">
        <v>106</v>
      </c>
      <c r="E426" s="4">
        <v>1</v>
      </c>
      <c r="F426" s="8" t="str">
        <f>_xlfn.XLOOKUP(D426,Master[Product_Code],Master[Category])</f>
        <v>Shirt</v>
      </c>
      <c r="G426" s="8" t="str">
        <f>_xlfn.XLOOKUP(D426,Master[Product_Code],Master[Brand])</f>
        <v>Zara</v>
      </c>
      <c r="H426" s="8" t="str">
        <f>_xlfn.XLOOKUP(D426,Master[Product_Code],Master[Style])</f>
        <v>Formal</v>
      </c>
      <c r="I426" s="8" t="str">
        <f>_xlfn.XLOOKUP(D426,Master[Product_Code],Master[Fabric])</f>
        <v>Cotton</v>
      </c>
      <c r="J426" s="8" t="str">
        <f>_xlfn.XLOOKUP(D426,Master[Product_Code],Master[Size])</f>
        <v>M</v>
      </c>
      <c r="K426" s="8" t="str">
        <f>_xlfn.XLOOKUP(D426,Master[Product_Code],Master[Color])</f>
        <v>Dark Green</v>
      </c>
      <c r="L426" s="3">
        <f>_xlfn.XLOOKUP(D426,Master[Product_Code],Master[Selling_Price])</f>
        <v>830</v>
      </c>
    </row>
    <row r="427" spans="2:12">
      <c r="B427" s="2" t="s">
        <v>1944</v>
      </c>
      <c r="C427" s="7">
        <v>45944</v>
      </c>
      <c r="D427" s="2" t="s">
        <v>1350</v>
      </c>
      <c r="E427" s="4">
        <v>1</v>
      </c>
      <c r="F427" s="8" t="str">
        <f>_xlfn.XLOOKUP(D427,Master[Product_Code],Master[Category])</f>
        <v>Pants</v>
      </c>
      <c r="G427" s="8" t="str">
        <f>_xlfn.XLOOKUP(D427,Master[Product_Code],Master[Brand])</f>
        <v>Park Avenue</v>
      </c>
      <c r="H427" s="8" t="str">
        <f>_xlfn.XLOOKUP(D427,Master[Product_Code],Master[Style])</f>
        <v>Boot Cut</v>
      </c>
      <c r="I427" s="8" t="str">
        <f>_xlfn.XLOOKUP(D427,Master[Product_Code],Master[Fabric])</f>
        <v>Cotton Blend</v>
      </c>
      <c r="J427" s="8">
        <f>_xlfn.XLOOKUP(D427,Master[Product_Code],Master[Size])</f>
        <v>40</v>
      </c>
      <c r="K427" s="8" t="str">
        <f>_xlfn.XLOOKUP(D427,Master[Product_Code],Master[Color])</f>
        <v>Cream</v>
      </c>
      <c r="L427" s="3">
        <f>_xlfn.XLOOKUP(D427,Master[Product_Code],Master[Selling_Price])</f>
        <v>790</v>
      </c>
    </row>
    <row r="428" spans="2:12">
      <c r="B428" s="2" t="s">
        <v>1945</v>
      </c>
      <c r="C428" s="7">
        <v>45944</v>
      </c>
      <c r="D428" s="2" t="s">
        <v>1411</v>
      </c>
      <c r="E428" s="4">
        <v>1</v>
      </c>
      <c r="F428" s="8" t="str">
        <f>_xlfn.XLOOKUP(D428,Master[Product_Code],Master[Category])</f>
        <v>Pants</v>
      </c>
      <c r="G428" s="8" t="str">
        <f>_xlfn.XLOOKUP(D428,Master[Product_Code],Master[Brand])</f>
        <v>Louis Philippe</v>
      </c>
      <c r="H428" s="8" t="str">
        <f>_xlfn.XLOOKUP(D428,Master[Product_Code],Master[Style])</f>
        <v>Boot Cut</v>
      </c>
      <c r="I428" s="8" t="str">
        <f>_xlfn.XLOOKUP(D428,Master[Product_Code],Master[Fabric])</f>
        <v>Poly Viscose</v>
      </c>
      <c r="J428" s="8">
        <f>_xlfn.XLOOKUP(D428,Master[Product_Code],Master[Size])</f>
        <v>30</v>
      </c>
      <c r="K428" s="8" t="str">
        <f>_xlfn.XLOOKUP(D428,Master[Product_Code],Master[Color])</f>
        <v>Mustard</v>
      </c>
      <c r="L428" s="3">
        <f>_xlfn.XLOOKUP(D428,Master[Product_Code],Master[Selling_Price])</f>
        <v>860</v>
      </c>
    </row>
    <row r="429" spans="2:12">
      <c r="B429" s="2" t="s">
        <v>1945</v>
      </c>
      <c r="C429" s="7">
        <v>45944</v>
      </c>
      <c r="D429" s="2" t="s">
        <v>428</v>
      </c>
      <c r="E429" s="4">
        <v>1</v>
      </c>
      <c r="F429" s="8" t="str">
        <f>_xlfn.XLOOKUP(D429,Master[Product_Code],Master[Category])</f>
        <v>T-Shirt</v>
      </c>
      <c r="G429" s="8" t="str">
        <f>_xlfn.XLOOKUP(D429,Master[Product_Code],Master[Brand])</f>
        <v>Roadster</v>
      </c>
      <c r="H429" s="8" t="str">
        <f>_xlfn.XLOOKUP(D429,Master[Product_Code],Master[Style])</f>
        <v>Half Sleeve</v>
      </c>
      <c r="I429" s="8" t="str">
        <f>_xlfn.XLOOKUP(D429,Master[Product_Code],Master[Fabric])</f>
        <v>Poly Cotton</v>
      </c>
      <c r="J429" s="8" t="str">
        <f>_xlfn.XLOOKUP(D429,Master[Product_Code],Master[Size])</f>
        <v>S</v>
      </c>
      <c r="K429" s="8" t="str">
        <f>_xlfn.XLOOKUP(D429,Master[Product_Code],Master[Color])</f>
        <v>Navy Blue</v>
      </c>
      <c r="L429" s="3">
        <f>_xlfn.XLOOKUP(D429,Master[Product_Code],Master[Selling_Price])</f>
        <v>340</v>
      </c>
    </row>
    <row r="430" spans="2:12">
      <c r="B430" s="2" t="s">
        <v>1945</v>
      </c>
      <c r="C430" s="7">
        <v>45944</v>
      </c>
      <c r="D430" s="2" t="s">
        <v>806</v>
      </c>
      <c r="E430" s="4">
        <v>1</v>
      </c>
      <c r="F430" s="8" t="str">
        <f>_xlfn.XLOOKUP(D430,Master[Product_Code],Master[Category])</f>
        <v>T-Shirt</v>
      </c>
      <c r="G430" s="8" t="str">
        <f>_xlfn.XLOOKUP(D430,Master[Product_Code],Master[Brand])</f>
        <v>Roadster</v>
      </c>
      <c r="H430" s="8" t="str">
        <f>_xlfn.XLOOKUP(D430,Master[Product_Code],Master[Style])</f>
        <v>Half Sleeve</v>
      </c>
      <c r="I430" s="8" t="str">
        <f>_xlfn.XLOOKUP(D430,Master[Product_Code],Master[Fabric])</f>
        <v>Cotton Blend</v>
      </c>
      <c r="J430" s="8" t="str">
        <f>_xlfn.XLOOKUP(D430,Master[Product_Code],Master[Size])</f>
        <v>M</v>
      </c>
      <c r="K430" s="8" t="str">
        <f>_xlfn.XLOOKUP(D430,Master[Product_Code],Master[Color])</f>
        <v>Bottle Green</v>
      </c>
      <c r="L430" s="3">
        <f>_xlfn.XLOOKUP(D430,Master[Product_Code],Master[Selling_Price])</f>
        <v>500</v>
      </c>
    </row>
    <row r="431" spans="2:12">
      <c r="B431" s="2" t="s">
        <v>1946</v>
      </c>
      <c r="C431" s="7">
        <v>45944</v>
      </c>
      <c r="D431" s="2" t="s">
        <v>1521</v>
      </c>
      <c r="E431" s="4">
        <v>1</v>
      </c>
      <c r="F431" s="8" t="str">
        <f>_xlfn.XLOOKUP(D431,Master[Product_Code],Master[Category])</f>
        <v>Innerwear</v>
      </c>
      <c r="G431" s="8" t="str">
        <f>_xlfn.XLOOKUP(D431,Master[Product_Code],Master[Brand])</f>
        <v>Rupa</v>
      </c>
      <c r="H431" s="8" t="str">
        <f>_xlfn.XLOOKUP(D431,Master[Product_Code],Master[Style])</f>
        <v>V-Cut</v>
      </c>
      <c r="I431" s="8" t="str">
        <f>_xlfn.XLOOKUP(D431,Master[Product_Code],Master[Fabric])</f>
        <v>Cotton</v>
      </c>
      <c r="J431" s="8" t="str">
        <f>_xlfn.XLOOKUP(D431,Master[Product_Code],Master[Size])</f>
        <v>75-80</v>
      </c>
      <c r="K431" s="8" t="str">
        <f>_xlfn.XLOOKUP(D431,Master[Product_Code],Master[Color])</f>
        <v>Black</v>
      </c>
      <c r="L431" s="3">
        <f>_xlfn.XLOOKUP(D431,Master[Product_Code],Master[Selling_Price])</f>
        <v>180</v>
      </c>
    </row>
    <row r="432" spans="2:12">
      <c r="B432" s="2" t="s">
        <v>1946</v>
      </c>
      <c r="C432" s="7">
        <v>45944</v>
      </c>
      <c r="D432" s="2" t="s">
        <v>477</v>
      </c>
      <c r="E432" s="4">
        <v>1</v>
      </c>
      <c r="F432" s="8" t="str">
        <f>_xlfn.XLOOKUP(D432,Master[Product_Code],Master[Category])</f>
        <v>T-Shirt</v>
      </c>
      <c r="G432" s="8" t="str">
        <f>_xlfn.XLOOKUP(D432,Master[Product_Code],Master[Brand])</f>
        <v>Turkey</v>
      </c>
      <c r="H432" s="8" t="str">
        <f>_xlfn.XLOOKUP(D432,Master[Product_Code],Master[Style])</f>
        <v>Sleeveless</v>
      </c>
      <c r="I432" s="8" t="str">
        <f>_xlfn.XLOOKUP(D432,Master[Product_Code],Master[Fabric])</f>
        <v>Poly Cotton</v>
      </c>
      <c r="J432" s="8" t="str">
        <f>_xlfn.XLOOKUP(D432,Master[Product_Code],Master[Size])</f>
        <v>M</v>
      </c>
      <c r="K432" s="8" t="str">
        <f>_xlfn.XLOOKUP(D432,Master[Product_Code],Master[Color])</f>
        <v>Olive</v>
      </c>
      <c r="L432" s="3">
        <f>_xlfn.XLOOKUP(D432,Master[Product_Code],Master[Selling_Price])</f>
        <v>540</v>
      </c>
    </row>
    <row r="433" spans="2:12">
      <c r="B433" s="2" t="s">
        <v>1946</v>
      </c>
      <c r="C433" s="7">
        <v>45944</v>
      </c>
      <c r="D433" s="2" t="s">
        <v>105</v>
      </c>
      <c r="E433" s="4">
        <v>1</v>
      </c>
      <c r="F433" s="8" t="str">
        <f>_xlfn.XLOOKUP(D433,Master[Product_Code],Master[Category])</f>
        <v>Shirt</v>
      </c>
      <c r="G433" s="8" t="str">
        <f>_xlfn.XLOOKUP(D433,Master[Product_Code],Master[Brand])</f>
        <v>USD</v>
      </c>
      <c r="H433" s="8" t="str">
        <f>_xlfn.XLOOKUP(D433,Master[Product_Code],Master[Style])</f>
        <v>Partywear</v>
      </c>
      <c r="I433" s="8" t="str">
        <f>_xlfn.XLOOKUP(D433,Master[Product_Code],Master[Fabric])</f>
        <v>Cotton Blend</v>
      </c>
      <c r="J433" s="8" t="str">
        <f>_xlfn.XLOOKUP(D433,Master[Product_Code],Master[Size])</f>
        <v>M</v>
      </c>
      <c r="K433" s="8" t="str">
        <f>_xlfn.XLOOKUP(D433,Master[Product_Code],Master[Color])</f>
        <v>Cream</v>
      </c>
      <c r="L433" s="3">
        <f>_xlfn.XLOOKUP(D433,Master[Product_Code],Master[Selling_Price])</f>
        <v>750</v>
      </c>
    </row>
    <row r="434" spans="2:12">
      <c r="B434" s="2" t="s">
        <v>1947</v>
      </c>
      <c r="C434" s="7">
        <v>45944</v>
      </c>
      <c r="D434" s="2" t="s">
        <v>362</v>
      </c>
      <c r="E434" s="4">
        <v>1</v>
      </c>
      <c r="F434" s="8" t="str">
        <f>_xlfn.XLOOKUP(D434,Master[Product_Code],Master[Category])</f>
        <v>Shirt</v>
      </c>
      <c r="G434" s="8" t="str">
        <f>_xlfn.XLOOKUP(D434,Master[Product_Code],Master[Brand])</f>
        <v>L7</v>
      </c>
      <c r="H434" s="8" t="str">
        <f>_xlfn.XLOOKUP(D434,Master[Product_Code],Master[Style])</f>
        <v>Casual</v>
      </c>
      <c r="I434" s="8" t="str">
        <f>_xlfn.XLOOKUP(D434,Master[Product_Code],Master[Fabric])</f>
        <v>Polyester</v>
      </c>
      <c r="J434" s="8" t="str">
        <f>_xlfn.XLOOKUP(D434,Master[Product_Code],Master[Size])</f>
        <v>L</v>
      </c>
      <c r="K434" s="8" t="str">
        <f>_xlfn.XLOOKUP(D434,Master[Product_Code],Master[Color])</f>
        <v>Peach</v>
      </c>
      <c r="L434" s="3">
        <f>_xlfn.XLOOKUP(D434,Master[Product_Code],Master[Selling_Price])</f>
        <v>880</v>
      </c>
    </row>
    <row r="435" spans="2:12">
      <c r="B435" s="2" t="s">
        <v>1947</v>
      </c>
      <c r="C435" s="7">
        <v>45944</v>
      </c>
      <c r="D435" s="2" t="s">
        <v>597</v>
      </c>
      <c r="E435" s="4">
        <v>1</v>
      </c>
      <c r="F435" s="8" t="str">
        <f>_xlfn.XLOOKUP(D435,Master[Product_Code],Master[Category])</f>
        <v>T-Shirt</v>
      </c>
      <c r="G435" s="8" t="str">
        <f>_xlfn.XLOOKUP(D435,Master[Product_Code],Master[Brand])</f>
        <v>Zara</v>
      </c>
      <c r="H435" s="8" t="str">
        <f>_xlfn.XLOOKUP(D435,Master[Product_Code],Master[Style])</f>
        <v>3/4 Sleeve</v>
      </c>
      <c r="I435" s="8" t="str">
        <f>_xlfn.XLOOKUP(D435,Master[Product_Code],Master[Fabric])</f>
        <v>Cotton</v>
      </c>
      <c r="J435" s="8" t="str">
        <f>_xlfn.XLOOKUP(D435,Master[Product_Code],Master[Size])</f>
        <v>XL</v>
      </c>
      <c r="K435" s="8" t="str">
        <f>_xlfn.XLOOKUP(D435,Master[Product_Code],Master[Color])</f>
        <v>Olive</v>
      </c>
      <c r="L435" s="3">
        <f>_xlfn.XLOOKUP(D435,Master[Product_Code],Master[Selling_Price])</f>
        <v>280</v>
      </c>
    </row>
    <row r="436" spans="2:12">
      <c r="B436" s="2" t="s">
        <v>1947</v>
      </c>
      <c r="C436" s="7">
        <v>45944</v>
      </c>
      <c r="D436" s="2" t="s">
        <v>637</v>
      </c>
      <c r="E436" s="4">
        <v>1</v>
      </c>
      <c r="F436" s="8" t="str">
        <f>_xlfn.XLOOKUP(D436,Master[Product_Code],Master[Category])</f>
        <v>T-Shirt</v>
      </c>
      <c r="G436" s="8" t="str">
        <f>_xlfn.XLOOKUP(D436,Master[Product_Code],Master[Brand])</f>
        <v>Thailand</v>
      </c>
      <c r="H436" s="8" t="str">
        <f>_xlfn.XLOOKUP(D436,Master[Product_Code],Master[Style])</f>
        <v>Hoodie</v>
      </c>
      <c r="I436" s="8" t="str">
        <f>_xlfn.XLOOKUP(D436,Master[Product_Code],Master[Fabric])</f>
        <v>Cotton Blend</v>
      </c>
      <c r="J436" s="8" t="str">
        <f>_xlfn.XLOOKUP(D436,Master[Product_Code],Master[Size])</f>
        <v>L</v>
      </c>
      <c r="K436" s="8" t="str">
        <f>_xlfn.XLOOKUP(D436,Master[Product_Code],Master[Color])</f>
        <v>Bottle Green</v>
      </c>
      <c r="L436" s="3">
        <f>_xlfn.XLOOKUP(D436,Master[Product_Code],Master[Selling_Price])</f>
        <v>370</v>
      </c>
    </row>
    <row r="437" spans="2:12">
      <c r="B437" s="2" t="s">
        <v>1947</v>
      </c>
      <c r="C437" s="7">
        <v>45944</v>
      </c>
      <c r="D437" s="2" t="s">
        <v>205</v>
      </c>
      <c r="E437" s="4">
        <v>1</v>
      </c>
      <c r="F437" s="8" t="str">
        <f>_xlfn.XLOOKUP(D437,Master[Product_Code],Master[Category])</f>
        <v>Shirt</v>
      </c>
      <c r="G437" s="8" t="str">
        <f>_xlfn.XLOOKUP(D437,Master[Product_Code],Master[Brand])</f>
        <v>Max</v>
      </c>
      <c r="H437" s="8" t="str">
        <f>_xlfn.XLOOKUP(D437,Master[Product_Code],Master[Style])</f>
        <v>Partywear</v>
      </c>
      <c r="I437" s="8" t="str">
        <f>_xlfn.XLOOKUP(D437,Master[Product_Code],Master[Fabric])</f>
        <v>Cotton Blend</v>
      </c>
      <c r="J437" s="8" t="str">
        <f>_xlfn.XLOOKUP(D437,Master[Product_Code],Master[Size])</f>
        <v>XL</v>
      </c>
      <c r="K437" s="8" t="str">
        <f>_xlfn.XLOOKUP(D437,Master[Product_Code],Master[Color])</f>
        <v>Beige</v>
      </c>
      <c r="L437" s="3">
        <f>_xlfn.XLOOKUP(D437,Master[Product_Code],Master[Selling_Price])</f>
        <v>710</v>
      </c>
    </row>
    <row r="438" spans="2:12">
      <c r="B438" s="2" t="s">
        <v>1948</v>
      </c>
      <c r="C438" s="7">
        <v>45944</v>
      </c>
      <c r="D438" s="2" t="s">
        <v>290</v>
      </c>
      <c r="E438" s="4">
        <v>1</v>
      </c>
      <c r="F438" s="8" t="str">
        <f>_xlfn.XLOOKUP(D438,Master[Product_Code],Master[Category])</f>
        <v>Shirt</v>
      </c>
      <c r="G438" s="8" t="str">
        <f>_xlfn.XLOOKUP(D438,Master[Product_Code],Master[Brand])</f>
        <v>Luke &amp; Burg</v>
      </c>
      <c r="H438" s="8" t="str">
        <f>_xlfn.XLOOKUP(D438,Master[Product_Code],Master[Style])</f>
        <v>Formal</v>
      </c>
      <c r="I438" s="8" t="str">
        <f>_xlfn.XLOOKUP(D438,Master[Product_Code],Master[Fabric])</f>
        <v>Cotton Blend</v>
      </c>
      <c r="J438" s="8" t="str">
        <f>_xlfn.XLOOKUP(D438,Master[Product_Code],Master[Size])</f>
        <v>M</v>
      </c>
      <c r="K438" s="8" t="str">
        <f>_xlfn.XLOOKUP(D438,Master[Product_Code],Master[Color])</f>
        <v>Black</v>
      </c>
      <c r="L438" s="3">
        <f>_xlfn.XLOOKUP(D438,Master[Product_Code],Master[Selling_Price])</f>
        <v>710</v>
      </c>
    </row>
    <row r="439" spans="2:12">
      <c r="B439" s="2" t="s">
        <v>1949</v>
      </c>
      <c r="C439" s="7">
        <v>45944</v>
      </c>
      <c r="D439" s="2" t="s">
        <v>267</v>
      </c>
      <c r="E439" s="4">
        <v>1</v>
      </c>
      <c r="F439" s="8" t="str">
        <f>_xlfn.XLOOKUP(D439,Master[Product_Code],Master[Category])</f>
        <v>Shirt</v>
      </c>
      <c r="G439" s="8" t="str">
        <f>_xlfn.XLOOKUP(D439,Master[Product_Code],Master[Brand])</f>
        <v>Max</v>
      </c>
      <c r="H439" s="8" t="str">
        <f>_xlfn.XLOOKUP(D439,Master[Product_Code],Master[Style])</f>
        <v>Casual</v>
      </c>
      <c r="I439" s="8" t="str">
        <f>_xlfn.XLOOKUP(D439,Master[Product_Code],Master[Fabric])</f>
        <v>Cotton Blend</v>
      </c>
      <c r="J439" s="8" t="str">
        <f>_xlfn.XLOOKUP(D439,Master[Product_Code],Master[Size])</f>
        <v>L</v>
      </c>
      <c r="K439" s="8" t="str">
        <f>_xlfn.XLOOKUP(D439,Master[Product_Code],Master[Color])</f>
        <v>Light Grey</v>
      </c>
      <c r="L439" s="3">
        <f>_xlfn.XLOOKUP(D439,Master[Product_Code],Master[Selling_Price])</f>
        <v>650</v>
      </c>
    </row>
    <row r="440" spans="2:12">
      <c r="B440" s="2" t="s">
        <v>1949</v>
      </c>
      <c r="C440" s="7">
        <v>45944</v>
      </c>
      <c r="D440" s="2" t="s">
        <v>1279</v>
      </c>
      <c r="E440" s="4">
        <v>1</v>
      </c>
      <c r="F440" s="8" t="str">
        <f>_xlfn.XLOOKUP(D440,Master[Product_Code],Master[Category])</f>
        <v>Pants</v>
      </c>
      <c r="G440" s="8" t="str">
        <f>_xlfn.XLOOKUP(D440,Master[Product_Code],Master[Brand])</f>
        <v>Louis Philippe</v>
      </c>
      <c r="H440" s="8" t="str">
        <f>_xlfn.XLOOKUP(D440,Master[Product_Code],Master[Style])</f>
        <v>Polofit</v>
      </c>
      <c r="I440" s="8" t="str">
        <f>_xlfn.XLOOKUP(D440,Master[Product_Code],Master[Fabric])</f>
        <v>Lycra</v>
      </c>
      <c r="J440" s="8">
        <f>_xlfn.XLOOKUP(D440,Master[Product_Code],Master[Size])</f>
        <v>32</v>
      </c>
      <c r="K440" s="8" t="str">
        <f>_xlfn.XLOOKUP(D440,Master[Product_Code],Master[Color])</f>
        <v>Sky Blue</v>
      </c>
      <c r="L440" s="3">
        <f>_xlfn.XLOOKUP(D440,Master[Product_Code],Master[Selling_Price])</f>
        <v>860</v>
      </c>
    </row>
    <row r="441" spans="2:12">
      <c r="B441" s="2" t="s">
        <v>1949</v>
      </c>
      <c r="C441" s="7">
        <v>45944</v>
      </c>
      <c r="D441" s="2" t="s">
        <v>1031</v>
      </c>
      <c r="E441" s="4">
        <v>1</v>
      </c>
      <c r="F441" s="8" t="str">
        <f>_xlfn.XLOOKUP(D441,Master[Product_Code],Master[Category])</f>
        <v>Jeans</v>
      </c>
      <c r="G441" s="8" t="str">
        <f>_xlfn.XLOOKUP(D441,Master[Product_Code],Master[Brand])</f>
        <v>Spykar</v>
      </c>
      <c r="H441" s="8" t="str">
        <f>_xlfn.XLOOKUP(D441,Master[Product_Code],Master[Style])</f>
        <v>Baggy</v>
      </c>
      <c r="I441" s="8" t="str">
        <f>_xlfn.XLOOKUP(D441,Master[Product_Code],Master[Fabric])</f>
        <v>Denim</v>
      </c>
      <c r="J441" s="8">
        <f>_xlfn.XLOOKUP(D441,Master[Product_Code],Master[Size])</f>
        <v>44</v>
      </c>
      <c r="K441" s="8" t="str">
        <f>_xlfn.XLOOKUP(D441,Master[Product_Code],Master[Color])</f>
        <v>Cream</v>
      </c>
      <c r="L441" s="3">
        <f>_xlfn.XLOOKUP(D441,Master[Product_Code],Master[Selling_Price])</f>
        <v>990</v>
      </c>
    </row>
    <row r="442" spans="2:12">
      <c r="B442" s="2" t="s">
        <v>1950</v>
      </c>
      <c r="C442" s="7">
        <v>45944</v>
      </c>
      <c r="D442" s="2" t="s">
        <v>1382</v>
      </c>
      <c r="E442" s="4">
        <v>1</v>
      </c>
      <c r="F442" s="8" t="str">
        <f>_xlfn.XLOOKUP(D442,Master[Product_Code],Master[Category])</f>
        <v>Pants</v>
      </c>
      <c r="G442" s="8" t="str">
        <f>_xlfn.XLOOKUP(D442,Master[Product_Code],Master[Brand])</f>
        <v>Van Heusen</v>
      </c>
      <c r="H442" s="8" t="str">
        <f>_xlfn.XLOOKUP(D442,Master[Product_Code],Master[Style])</f>
        <v>Jogger</v>
      </c>
      <c r="I442" s="8" t="str">
        <f>_xlfn.XLOOKUP(D442,Master[Product_Code],Master[Fabric])</f>
        <v>Poly Viscose</v>
      </c>
      <c r="J442" s="8">
        <f>_xlfn.XLOOKUP(D442,Master[Product_Code],Master[Size])</f>
        <v>40</v>
      </c>
      <c r="K442" s="8" t="str">
        <f>_xlfn.XLOOKUP(D442,Master[Product_Code],Master[Color])</f>
        <v>Teal</v>
      </c>
      <c r="L442" s="3">
        <f>_xlfn.XLOOKUP(D442,Master[Product_Code],Master[Selling_Price])</f>
        <v>870</v>
      </c>
    </row>
    <row r="443" spans="2:12">
      <c r="B443" s="2" t="s">
        <v>1950</v>
      </c>
      <c r="C443" s="7">
        <v>45944</v>
      </c>
      <c r="D443" s="2" t="s">
        <v>874</v>
      </c>
      <c r="E443" s="4">
        <v>1</v>
      </c>
      <c r="F443" s="8" t="str">
        <f>_xlfn.XLOOKUP(D443,Master[Product_Code],Master[Category])</f>
        <v>Jeans</v>
      </c>
      <c r="G443" s="8" t="str">
        <f>_xlfn.XLOOKUP(D443,Master[Product_Code],Master[Brand])</f>
        <v>Denim Pro</v>
      </c>
      <c r="H443" s="8" t="str">
        <f>_xlfn.XLOOKUP(D443,Master[Product_Code],Master[Style])</f>
        <v>Mom Fit</v>
      </c>
      <c r="I443" s="8" t="str">
        <f>_xlfn.XLOOKUP(D443,Master[Product_Code],Master[Fabric])</f>
        <v>Denim</v>
      </c>
      <c r="J443" s="8">
        <f>_xlfn.XLOOKUP(D443,Master[Product_Code],Master[Size])</f>
        <v>40</v>
      </c>
      <c r="K443" s="8" t="str">
        <f>_xlfn.XLOOKUP(D443,Master[Product_Code],Master[Color])</f>
        <v>Brown</v>
      </c>
      <c r="L443" s="3">
        <f>_xlfn.XLOOKUP(D443,Master[Product_Code],Master[Selling_Price])</f>
        <v>960</v>
      </c>
    </row>
    <row r="444" spans="2:12">
      <c r="B444" s="2" t="s">
        <v>1950</v>
      </c>
      <c r="C444" s="7">
        <v>45944</v>
      </c>
      <c r="D444" s="2" t="s">
        <v>171</v>
      </c>
      <c r="E444" s="4">
        <v>1</v>
      </c>
      <c r="F444" s="8" t="str">
        <f>_xlfn.XLOOKUP(D444,Master[Product_Code],Master[Category])</f>
        <v>Shirt</v>
      </c>
      <c r="G444" s="8" t="str">
        <f>_xlfn.XLOOKUP(D444,Master[Product_Code],Master[Brand])</f>
        <v>L7</v>
      </c>
      <c r="H444" s="8" t="str">
        <f>_xlfn.XLOOKUP(D444,Master[Product_Code],Master[Style])</f>
        <v>Formal</v>
      </c>
      <c r="I444" s="8" t="str">
        <f>_xlfn.XLOOKUP(D444,Master[Product_Code],Master[Fabric])</f>
        <v>Lycra</v>
      </c>
      <c r="J444" s="8" t="str">
        <f>_xlfn.XLOOKUP(D444,Master[Product_Code],Master[Size])</f>
        <v>M</v>
      </c>
      <c r="K444" s="8" t="str">
        <f>_xlfn.XLOOKUP(D444,Master[Product_Code],Master[Color])</f>
        <v>Dark Green</v>
      </c>
      <c r="L444" s="3">
        <f>_xlfn.XLOOKUP(D444,Master[Product_Code],Master[Selling_Price])</f>
        <v>870</v>
      </c>
    </row>
    <row r="445" spans="2:12">
      <c r="B445" s="2" t="s">
        <v>1950</v>
      </c>
      <c r="C445" s="7">
        <v>45944</v>
      </c>
      <c r="D445" s="2" t="s">
        <v>1180</v>
      </c>
      <c r="E445" s="4">
        <v>1</v>
      </c>
      <c r="F445" s="8" t="str">
        <f>_xlfn.XLOOKUP(D445,Master[Product_Code],Master[Category])</f>
        <v>Pants</v>
      </c>
      <c r="G445" s="8" t="str">
        <f>_xlfn.XLOOKUP(D445,Master[Product_Code],Master[Brand])</f>
        <v>Louis Philippe</v>
      </c>
      <c r="H445" s="8" t="str">
        <f>_xlfn.XLOOKUP(D445,Master[Product_Code],Master[Style])</f>
        <v>Polofit</v>
      </c>
      <c r="I445" s="8" t="str">
        <f>_xlfn.XLOOKUP(D445,Master[Product_Code],Master[Fabric])</f>
        <v>Lycra</v>
      </c>
      <c r="J445" s="8">
        <f>_xlfn.XLOOKUP(D445,Master[Product_Code],Master[Size])</f>
        <v>32</v>
      </c>
      <c r="K445" s="8" t="str">
        <f>_xlfn.XLOOKUP(D445,Master[Product_Code],Master[Color])</f>
        <v>Black</v>
      </c>
      <c r="L445" s="3">
        <f>_xlfn.XLOOKUP(D445,Master[Product_Code],Master[Selling_Price])</f>
        <v>850</v>
      </c>
    </row>
    <row r="446" spans="2:12">
      <c r="B446" s="2" t="s">
        <v>1951</v>
      </c>
      <c r="C446" s="7">
        <v>45944</v>
      </c>
      <c r="D446" s="2" t="s">
        <v>1128</v>
      </c>
      <c r="E446" s="4">
        <v>1</v>
      </c>
      <c r="F446" s="8" t="str">
        <f>_xlfn.XLOOKUP(D446,Master[Product_Code],Master[Category])</f>
        <v>Jeans</v>
      </c>
      <c r="G446" s="8" t="str">
        <f>_xlfn.XLOOKUP(D446,Master[Product_Code],Master[Brand])</f>
        <v>Pepe</v>
      </c>
      <c r="H446" s="8" t="str">
        <f>_xlfn.XLOOKUP(D446,Master[Product_Code],Master[Style])</f>
        <v>Jogger</v>
      </c>
      <c r="I446" s="8" t="str">
        <f>_xlfn.XLOOKUP(D446,Master[Product_Code],Master[Fabric])</f>
        <v>Denim</v>
      </c>
      <c r="J446" s="8">
        <f>_xlfn.XLOOKUP(D446,Master[Product_Code],Master[Size])</f>
        <v>42</v>
      </c>
      <c r="K446" s="8" t="str">
        <f>_xlfn.XLOOKUP(D446,Master[Product_Code],Master[Color])</f>
        <v>Maroon</v>
      </c>
      <c r="L446" s="3">
        <f>_xlfn.XLOOKUP(D446,Master[Product_Code],Master[Selling_Price])</f>
        <v>870</v>
      </c>
    </row>
    <row r="447" spans="2:12">
      <c r="B447" s="2" t="s">
        <v>1951</v>
      </c>
      <c r="C447" s="7">
        <v>45944</v>
      </c>
      <c r="D447" s="2" t="s">
        <v>1277</v>
      </c>
      <c r="E447" s="4">
        <v>1</v>
      </c>
      <c r="F447" s="8" t="str">
        <f>_xlfn.XLOOKUP(D447,Master[Product_Code],Master[Category])</f>
        <v>Pants</v>
      </c>
      <c r="G447" s="8" t="str">
        <f>_xlfn.XLOOKUP(D447,Master[Product_Code],Master[Brand])</f>
        <v>Raymond</v>
      </c>
      <c r="H447" s="8" t="str">
        <f>_xlfn.XLOOKUP(D447,Master[Product_Code],Master[Style])</f>
        <v>Boot Cut</v>
      </c>
      <c r="I447" s="8" t="str">
        <f>_xlfn.XLOOKUP(D447,Master[Product_Code],Master[Fabric])</f>
        <v>Poly Viscose</v>
      </c>
      <c r="J447" s="8">
        <f>_xlfn.XLOOKUP(D447,Master[Product_Code],Master[Size])</f>
        <v>32</v>
      </c>
      <c r="K447" s="8" t="str">
        <f>_xlfn.XLOOKUP(D447,Master[Product_Code],Master[Color])</f>
        <v>Cream</v>
      </c>
      <c r="L447" s="3">
        <f>_xlfn.XLOOKUP(D447,Master[Product_Code],Master[Selling_Price])</f>
        <v>760</v>
      </c>
    </row>
    <row r="448" spans="2:12">
      <c r="B448" s="2" t="s">
        <v>1952</v>
      </c>
      <c r="C448" s="7">
        <v>45944</v>
      </c>
      <c r="D448" s="2" t="s">
        <v>1181</v>
      </c>
      <c r="E448" s="4">
        <v>1</v>
      </c>
      <c r="F448" s="8" t="str">
        <f>_xlfn.XLOOKUP(D448,Master[Product_Code],Master[Category])</f>
        <v>Pants</v>
      </c>
      <c r="G448" s="8" t="str">
        <f>_xlfn.XLOOKUP(D448,Master[Product_Code],Master[Brand])</f>
        <v>Van Heusen</v>
      </c>
      <c r="H448" s="8" t="str">
        <f>_xlfn.XLOOKUP(D448,Master[Product_Code],Master[Style])</f>
        <v>Korean</v>
      </c>
      <c r="I448" s="8" t="str">
        <f>_xlfn.XLOOKUP(D448,Master[Product_Code],Master[Fabric])</f>
        <v>Lycra</v>
      </c>
      <c r="J448" s="8">
        <f>_xlfn.XLOOKUP(D448,Master[Product_Code],Master[Size])</f>
        <v>42</v>
      </c>
      <c r="K448" s="8" t="str">
        <f>_xlfn.XLOOKUP(D448,Master[Product_Code],Master[Color])</f>
        <v>Royal Blue</v>
      </c>
      <c r="L448" s="3">
        <f>_xlfn.XLOOKUP(D448,Master[Product_Code],Master[Selling_Price])</f>
        <v>820</v>
      </c>
    </row>
    <row r="449" spans="2:12">
      <c r="B449" s="2" t="s">
        <v>1953</v>
      </c>
      <c r="C449" s="7">
        <v>45945</v>
      </c>
      <c r="D449" s="2" t="s">
        <v>482</v>
      </c>
      <c r="E449" s="4">
        <v>1</v>
      </c>
      <c r="F449" s="8" t="str">
        <f>_xlfn.XLOOKUP(D449,Master[Product_Code],Master[Category])</f>
        <v>T-Shirt</v>
      </c>
      <c r="G449" s="8" t="str">
        <f>_xlfn.XLOOKUP(D449,Master[Product_Code],Master[Brand])</f>
        <v>Max</v>
      </c>
      <c r="H449" s="8" t="str">
        <f>_xlfn.XLOOKUP(D449,Master[Product_Code],Master[Style])</f>
        <v>Hoodie</v>
      </c>
      <c r="I449" s="8" t="str">
        <f>_xlfn.XLOOKUP(D449,Master[Product_Code],Master[Fabric])</f>
        <v>Cotton</v>
      </c>
      <c r="J449" s="8" t="str">
        <f>_xlfn.XLOOKUP(D449,Master[Product_Code],Master[Size])</f>
        <v>L</v>
      </c>
      <c r="K449" s="8" t="str">
        <f>_xlfn.XLOOKUP(D449,Master[Product_Code],Master[Color])</f>
        <v>Teal</v>
      </c>
      <c r="L449" s="3">
        <f>_xlfn.XLOOKUP(D449,Master[Product_Code],Master[Selling_Price])</f>
        <v>650</v>
      </c>
    </row>
    <row r="450" spans="2:12">
      <c r="B450" s="2" t="s">
        <v>1953</v>
      </c>
      <c r="C450" s="7">
        <v>45945</v>
      </c>
      <c r="D450" s="2" t="s">
        <v>274</v>
      </c>
      <c r="E450" s="4">
        <v>1</v>
      </c>
      <c r="F450" s="8" t="str">
        <f>_xlfn.XLOOKUP(D450,Master[Product_Code],Master[Category])</f>
        <v>Shirt</v>
      </c>
      <c r="G450" s="8" t="str">
        <f>_xlfn.XLOOKUP(D450,Master[Product_Code],Master[Brand])</f>
        <v>Luke &amp; Burg</v>
      </c>
      <c r="H450" s="8" t="str">
        <f>_xlfn.XLOOKUP(D450,Master[Product_Code],Master[Style])</f>
        <v>Casual</v>
      </c>
      <c r="I450" s="8" t="str">
        <f>_xlfn.XLOOKUP(D450,Master[Product_Code],Master[Fabric])</f>
        <v>Cotton</v>
      </c>
      <c r="J450" s="8" t="str">
        <f>_xlfn.XLOOKUP(D450,Master[Product_Code],Master[Size])</f>
        <v>L</v>
      </c>
      <c r="K450" s="8" t="str">
        <f>_xlfn.XLOOKUP(D450,Master[Product_Code],Master[Color])</f>
        <v>Navy Blue</v>
      </c>
      <c r="L450" s="3">
        <f>_xlfn.XLOOKUP(D450,Master[Product_Code],Master[Selling_Price])</f>
        <v>770</v>
      </c>
    </row>
    <row r="451" spans="2:12">
      <c r="B451" s="2" t="s">
        <v>1953</v>
      </c>
      <c r="C451" s="7">
        <v>45945</v>
      </c>
      <c r="D451" s="2" t="s">
        <v>1046</v>
      </c>
      <c r="E451" s="4">
        <v>1</v>
      </c>
      <c r="F451" s="8" t="str">
        <f>_xlfn.XLOOKUP(D451,Master[Product_Code],Master[Category])</f>
        <v>Jeans</v>
      </c>
      <c r="G451" s="8" t="str">
        <f>_xlfn.XLOOKUP(D451,Master[Product_Code],Master[Brand])</f>
        <v>Denim Pro</v>
      </c>
      <c r="H451" s="8" t="str">
        <f>_xlfn.XLOOKUP(D451,Master[Product_Code],Master[Style])</f>
        <v>Baggy</v>
      </c>
      <c r="I451" s="8" t="str">
        <f>_xlfn.XLOOKUP(D451,Master[Product_Code],Master[Fabric])</f>
        <v>Denim</v>
      </c>
      <c r="J451" s="8">
        <f>_xlfn.XLOOKUP(D451,Master[Product_Code],Master[Size])</f>
        <v>34</v>
      </c>
      <c r="K451" s="8" t="str">
        <f>_xlfn.XLOOKUP(D451,Master[Product_Code],Master[Color])</f>
        <v>Light Grey</v>
      </c>
      <c r="L451" s="3">
        <f>_xlfn.XLOOKUP(D451,Master[Product_Code],Master[Selling_Price])</f>
        <v>850</v>
      </c>
    </row>
    <row r="452" spans="2:12">
      <c r="B452" s="2" t="s">
        <v>1954</v>
      </c>
      <c r="C452" s="7">
        <v>45945</v>
      </c>
      <c r="D452" s="2" t="s">
        <v>576</v>
      </c>
      <c r="E452" s="4">
        <v>1</v>
      </c>
      <c r="F452" s="8" t="str">
        <f>_xlfn.XLOOKUP(D452,Master[Product_Code],Master[Category])</f>
        <v>T-Shirt</v>
      </c>
      <c r="G452" s="8" t="str">
        <f>_xlfn.XLOOKUP(D452,Master[Product_Code],Master[Brand])</f>
        <v>Turkey</v>
      </c>
      <c r="H452" s="8" t="str">
        <f>_xlfn.XLOOKUP(D452,Master[Product_Code],Master[Style])</f>
        <v>3/4 Sleeve</v>
      </c>
      <c r="I452" s="8" t="str">
        <f>_xlfn.XLOOKUP(D452,Master[Product_Code],Master[Fabric])</f>
        <v>Poly Cotton</v>
      </c>
      <c r="J452" s="8" t="str">
        <f>_xlfn.XLOOKUP(D452,Master[Product_Code],Master[Size])</f>
        <v>S</v>
      </c>
      <c r="K452" s="8" t="str">
        <f>_xlfn.XLOOKUP(D452,Master[Product_Code],Master[Color])</f>
        <v>Charcoal</v>
      </c>
      <c r="L452" s="3">
        <f>_xlfn.XLOOKUP(D452,Master[Product_Code],Master[Selling_Price])</f>
        <v>680</v>
      </c>
    </row>
    <row r="453" spans="2:12">
      <c r="B453" s="2" t="s">
        <v>1954</v>
      </c>
      <c r="C453" s="7">
        <v>45945</v>
      </c>
      <c r="D453" s="2" t="s">
        <v>986</v>
      </c>
      <c r="E453" s="4">
        <v>1</v>
      </c>
      <c r="F453" s="8" t="str">
        <f>_xlfn.XLOOKUP(D453,Master[Product_Code],Master[Category])</f>
        <v>Jeans</v>
      </c>
      <c r="G453" s="8" t="str">
        <f>_xlfn.XLOOKUP(D453,Master[Product_Code],Master[Brand])</f>
        <v>Locomotive</v>
      </c>
      <c r="H453" s="8" t="str">
        <f>_xlfn.XLOOKUP(D453,Master[Product_Code],Master[Style])</f>
        <v>Baggy</v>
      </c>
      <c r="I453" s="8" t="str">
        <f>_xlfn.XLOOKUP(D453,Master[Product_Code],Master[Fabric])</f>
        <v>Denim</v>
      </c>
      <c r="J453" s="8">
        <f>_xlfn.XLOOKUP(D453,Master[Product_Code],Master[Size])</f>
        <v>40</v>
      </c>
      <c r="K453" s="8" t="str">
        <f>_xlfn.XLOOKUP(D453,Master[Product_Code],Master[Color])</f>
        <v>White</v>
      </c>
      <c r="L453" s="3">
        <f>_xlfn.XLOOKUP(D453,Master[Product_Code],Master[Selling_Price])</f>
        <v>1090</v>
      </c>
    </row>
    <row r="454" spans="2:12">
      <c r="B454" s="2" t="s">
        <v>1954</v>
      </c>
      <c r="C454" s="7">
        <v>45945</v>
      </c>
      <c r="D454" s="2" t="s">
        <v>800</v>
      </c>
      <c r="E454" s="4">
        <v>1</v>
      </c>
      <c r="F454" s="8" t="str">
        <f>_xlfn.XLOOKUP(D454,Master[Product_Code],Master[Category])</f>
        <v>T-Shirt</v>
      </c>
      <c r="G454" s="8" t="str">
        <f>_xlfn.XLOOKUP(D454,Master[Product_Code],Master[Brand])</f>
        <v>Max</v>
      </c>
      <c r="H454" s="8" t="str">
        <f>_xlfn.XLOOKUP(D454,Master[Product_Code],Master[Style])</f>
        <v>Sleeveless</v>
      </c>
      <c r="I454" s="8" t="str">
        <f>_xlfn.XLOOKUP(D454,Master[Product_Code],Master[Fabric])</f>
        <v>Cotton</v>
      </c>
      <c r="J454" s="8" t="str">
        <f>_xlfn.XLOOKUP(D454,Master[Product_Code],Master[Size])</f>
        <v>M</v>
      </c>
      <c r="K454" s="8" t="str">
        <f>_xlfn.XLOOKUP(D454,Master[Product_Code],Master[Color])</f>
        <v>Wine</v>
      </c>
      <c r="L454" s="3">
        <f>_xlfn.XLOOKUP(D454,Master[Product_Code],Master[Selling_Price])</f>
        <v>670</v>
      </c>
    </row>
    <row r="455" spans="2:12">
      <c r="B455" s="2" t="s">
        <v>1954</v>
      </c>
      <c r="C455" s="7">
        <v>45945</v>
      </c>
      <c r="D455" s="2" t="s">
        <v>1220</v>
      </c>
      <c r="E455" s="4">
        <v>1</v>
      </c>
      <c r="F455" s="8" t="str">
        <f>_xlfn.XLOOKUP(D455,Master[Product_Code],Master[Category])</f>
        <v>Pants</v>
      </c>
      <c r="G455" s="8" t="str">
        <f>_xlfn.XLOOKUP(D455,Master[Product_Code],Master[Brand])</f>
        <v>Van Heusen</v>
      </c>
      <c r="H455" s="8" t="str">
        <f>_xlfn.XLOOKUP(D455,Master[Product_Code],Master[Style])</f>
        <v>Polofit</v>
      </c>
      <c r="I455" s="8" t="str">
        <f>_xlfn.XLOOKUP(D455,Master[Product_Code],Master[Fabric])</f>
        <v>Lycra</v>
      </c>
      <c r="J455" s="8">
        <f>_xlfn.XLOOKUP(D455,Master[Product_Code],Master[Size])</f>
        <v>40</v>
      </c>
      <c r="K455" s="8" t="str">
        <f>_xlfn.XLOOKUP(D455,Master[Product_Code],Master[Color])</f>
        <v>Light Grey</v>
      </c>
      <c r="L455" s="3">
        <f>_xlfn.XLOOKUP(D455,Master[Product_Code],Master[Selling_Price])</f>
        <v>890</v>
      </c>
    </row>
    <row r="456" spans="2:12">
      <c r="B456" s="2" t="s">
        <v>1955</v>
      </c>
      <c r="C456" s="7">
        <v>45945</v>
      </c>
      <c r="D456" s="2" t="s">
        <v>992</v>
      </c>
      <c r="E456" s="4">
        <v>1</v>
      </c>
      <c r="F456" s="8" t="str">
        <f>_xlfn.XLOOKUP(D456,Master[Product_Code],Master[Category])</f>
        <v>Jeans</v>
      </c>
      <c r="G456" s="8" t="str">
        <f>_xlfn.XLOOKUP(D456,Master[Product_Code],Master[Brand])</f>
        <v>Locomotive</v>
      </c>
      <c r="H456" s="8" t="str">
        <f>_xlfn.XLOOKUP(D456,Master[Product_Code],Master[Style])</f>
        <v>Baggy</v>
      </c>
      <c r="I456" s="8" t="str">
        <f>_xlfn.XLOOKUP(D456,Master[Product_Code],Master[Fabric])</f>
        <v>Denim</v>
      </c>
      <c r="J456" s="8">
        <f>_xlfn.XLOOKUP(D456,Master[Product_Code],Master[Size])</f>
        <v>30</v>
      </c>
      <c r="K456" s="8" t="str">
        <f>_xlfn.XLOOKUP(D456,Master[Product_Code],Master[Color])</f>
        <v>Teal</v>
      </c>
      <c r="L456" s="3">
        <f>_xlfn.XLOOKUP(D456,Master[Product_Code],Master[Selling_Price])</f>
        <v>850</v>
      </c>
    </row>
    <row r="457" spans="2:12">
      <c r="B457" s="2" t="s">
        <v>1955</v>
      </c>
      <c r="C457" s="7">
        <v>45945</v>
      </c>
      <c r="D457" s="2" t="s">
        <v>941</v>
      </c>
      <c r="E457" s="4">
        <v>1</v>
      </c>
      <c r="F457" s="8" t="str">
        <f>_xlfn.XLOOKUP(D457,Master[Product_Code],Master[Category])</f>
        <v>Jeans</v>
      </c>
      <c r="G457" s="8" t="str">
        <f>_xlfn.XLOOKUP(D457,Master[Product_Code],Master[Brand])</f>
        <v>Denim Pro</v>
      </c>
      <c r="H457" s="8" t="str">
        <f>_xlfn.XLOOKUP(D457,Master[Product_Code],Master[Style])</f>
        <v>Mom Fit</v>
      </c>
      <c r="I457" s="8" t="str">
        <f>_xlfn.XLOOKUP(D457,Master[Product_Code],Master[Fabric])</f>
        <v>Denim</v>
      </c>
      <c r="J457" s="8">
        <f>_xlfn.XLOOKUP(D457,Master[Product_Code],Master[Size])</f>
        <v>32</v>
      </c>
      <c r="K457" s="8" t="str">
        <f>_xlfn.XLOOKUP(D457,Master[Product_Code],Master[Color])</f>
        <v>Brown</v>
      </c>
      <c r="L457" s="3">
        <f>_xlfn.XLOOKUP(D457,Master[Product_Code],Master[Selling_Price])</f>
        <v>840</v>
      </c>
    </row>
    <row r="458" spans="2:12">
      <c r="B458" s="2" t="s">
        <v>1955</v>
      </c>
      <c r="C458" s="7">
        <v>45945</v>
      </c>
      <c r="D458" s="2" t="s">
        <v>1658</v>
      </c>
      <c r="E458" s="4">
        <v>1</v>
      </c>
      <c r="F458" s="8" t="str">
        <f>_xlfn.XLOOKUP(D458,Master[Product_Code],Master[Category])</f>
        <v>Innerwear</v>
      </c>
      <c r="G458" s="8" t="str">
        <f>_xlfn.XLOOKUP(D458,Master[Product_Code],Master[Brand])</f>
        <v>V Star</v>
      </c>
      <c r="H458" s="8" t="str">
        <f>_xlfn.XLOOKUP(D458,Master[Product_Code],Master[Style])</f>
        <v>V-Cut</v>
      </c>
      <c r="I458" s="8" t="str">
        <f>_xlfn.XLOOKUP(D458,Master[Product_Code],Master[Fabric])</f>
        <v>Cotton</v>
      </c>
      <c r="J458" s="8" t="str">
        <f>_xlfn.XLOOKUP(D458,Master[Product_Code],Master[Size])</f>
        <v>100-105</v>
      </c>
      <c r="K458" s="8" t="str">
        <f>_xlfn.XLOOKUP(D458,Master[Product_Code],Master[Color])</f>
        <v>Sky Blue</v>
      </c>
      <c r="L458" s="3">
        <f>_xlfn.XLOOKUP(D458,Master[Product_Code],Master[Selling_Price])</f>
        <v>110</v>
      </c>
    </row>
    <row r="459" spans="2:12">
      <c r="B459" s="2" t="s">
        <v>1956</v>
      </c>
      <c r="C459" s="7">
        <v>45945</v>
      </c>
      <c r="D459" s="2" t="s">
        <v>306</v>
      </c>
      <c r="E459" s="4">
        <v>1</v>
      </c>
      <c r="F459" s="8" t="str">
        <f>_xlfn.XLOOKUP(D459,Master[Product_Code],Master[Category])</f>
        <v>Shirt</v>
      </c>
      <c r="G459" s="8" t="str">
        <f>_xlfn.XLOOKUP(D459,Master[Product_Code],Master[Brand])</f>
        <v>Luke &amp; Burg</v>
      </c>
      <c r="H459" s="8" t="str">
        <f>_xlfn.XLOOKUP(D459,Master[Product_Code],Master[Style])</f>
        <v>Partywear</v>
      </c>
      <c r="I459" s="8" t="str">
        <f>_xlfn.XLOOKUP(D459,Master[Product_Code],Master[Fabric])</f>
        <v>Polyester</v>
      </c>
      <c r="J459" s="8" t="str">
        <f>_xlfn.XLOOKUP(D459,Master[Product_Code],Master[Size])</f>
        <v>XL</v>
      </c>
      <c r="K459" s="8" t="str">
        <f>_xlfn.XLOOKUP(D459,Master[Product_Code],Master[Color])</f>
        <v>Mustard</v>
      </c>
      <c r="L459" s="3">
        <f>_xlfn.XLOOKUP(D459,Master[Product_Code],Master[Selling_Price])</f>
        <v>780</v>
      </c>
    </row>
    <row r="460" spans="2:12">
      <c r="B460" s="2" t="s">
        <v>1956</v>
      </c>
      <c r="C460" s="7">
        <v>45945</v>
      </c>
      <c r="D460" s="2" t="s">
        <v>452</v>
      </c>
      <c r="E460" s="4">
        <v>1</v>
      </c>
      <c r="F460" s="8" t="str">
        <f>_xlfn.XLOOKUP(D460,Master[Product_Code],Master[Category])</f>
        <v>T-Shirt</v>
      </c>
      <c r="G460" s="8" t="str">
        <f>_xlfn.XLOOKUP(D460,Master[Product_Code],Master[Brand])</f>
        <v>Zara</v>
      </c>
      <c r="H460" s="8" t="str">
        <f>_xlfn.XLOOKUP(D460,Master[Product_Code],Master[Style])</f>
        <v>3/4 Sleeve</v>
      </c>
      <c r="I460" s="8" t="str">
        <f>_xlfn.XLOOKUP(D460,Master[Product_Code],Master[Fabric])</f>
        <v>Cotton Blend</v>
      </c>
      <c r="J460" s="8" t="str">
        <f>_xlfn.XLOOKUP(D460,Master[Product_Code],Master[Size])</f>
        <v>XL</v>
      </c>
      <c r="K460" s="8" t="str">
        <f>_xlfn.XLOOKUP(D460,Master[Product_Code],Master[Color])</f>
        <v>Navy Blue</v>
      </c>
      <c r="L460" s="3">
        <f>_xlfn.XLOOKUP(D460,Master[Product_Code],Master[Selling_Price])</f>
        <v>480</v>
      </c>
    </row>
    <row r="461" spans="2:12">
      <c r="B461" s="2" t="s">
        <v>1957</v>
      </c>
      <c r="C461" s="7">
        <v>45945</v>
      </c>
      <c r="D461" s="2" t="s">
        <v>259</v>
      </c>
      <c r="E461" s="4">
        <v>1</v>
      </c>
      <c r="F461" s="8" t="str">
        <f>_xlfn.XLOOKUP(D461,Master[Product_Code],Master[Category])</f>
        <v>Shirt</v>
      </c>
      <c r="G461" s="8" t="str">
        <f>_xlfn.XLOOKUP(D461,Master[Product_Code],Master[Brand])</f>
        <v>Luke &amp; Burg</v>
      </c>
      <c r="H461" s="8" t="str">
        <f>_xlfn.XLOOKUP(D461,Master[Product_Code],Master[Style])</f>
        <v>Partywear</v>
      </c>
      <c r="I461" s="8" t="str">
        <f>_xlfn.XLOOKUP(D461,Master[Product_Code],Master[Fabric])</f>
        <v>Polyester</v>
      </c>
      <c r="J461" s="8" t="str">
        <f>_xlfn.XLOOKUP(D461,Master[Product_Code],Master[Size])</f>
        <v>L</v>
      </c>
      <c r="K461" s="8" t="str">
        <f>_xlfn.XLOOKUP(D461,Master[Product_Code],Master[Color])</f>
        <v>Sky Blue</v>
      </c>
      <c r="L461" s="3">
        <f>_xlfn.XLOOKUP(D461,Master[Product_Code],Master[Selling_Price])</f>
        <v>830</v>
      </c>
    </row>
    <row r="462" spans="2:12">
      <c r="B462" s="2" t="s">
        <v>1957</v>
      </c>
      <c r="C462" s="7">
        <v>45945</v>
      </c>
      <c r="D462" s="2" t="s">
        <v>1154</v>
      </c>
      <c r="E462" s="4">
        <v>1</v>
      </c>
      <c r="F462" s="8" t="str">
        <f>_xlfn.XLOOKUP(D462,Master[Product_Code],Master[Category])</f>
        <v>Pants</v>
      </c>
      <c r="G462" s="8" t="str">
        <f>_xlfn.XLOOKUP(D462,Master[Product_Code],Master[Brand])</f>
        <v>Van Heusen</v>
      </c>
      <c r="H462" s="8" t="str">
        <f>_xlfn.XLOOKUP(D462,Master[Product_Code],Master[Style])</f>
        <v>Boot Cut</v>
      </c>
      <c r="I462" s="8" t="str">
        <f>_xlfn.XLOOKUP(D462,Master[Product_Code],Master[Fabric])</f>
        <v>Cotton</v>
      </c>
      <c r="J462" s="8">
        <f>_xlfn.XLOOKUP(D462,Master[Product_Code],Master[Size])</f>
        <v>40</v>
      </c>
      <c r="K462" s="8" t="str">
        <f>_xlfn.XLOOKUP(D462,Master[Product_Code],Master[Color])</f>
        <v>Teal</v>
      </c>
      <c r="L462" s="3">
        <f>_xlfn.XLOOKUP(D462,Master[Product_Code],Master[Selling_Price])</f>
        <v>940</v>
      </c>
    </row>
    <row r="463" spans="2:12">
      <c r="B463" s="2" t="s">
        <v>1958</v>
      </c>
      <c r="C463" s="7">
        <v>45945</v>
      </c>
      <c r="D463" s="2" t="s">
        <v>1517</v>
      </c>
      <c r="E463" s="4">
        <v>1</v>
      </c>
      <c r="F463" s="8" t="str">
        <f>_xlfn.XLOOKUP(D463,Master[Product_Code],Master[Category])</f>
        <v>Innerwear</v>
      </c>
      <c r="G463" s="8" t="str">
        <f>_xlfn.XLOOKUP(D463,Master[Product_Code],Master[Brand])</f>
        <v>Jockey</v>
      </c>
      <c r="H463" s="8" t="str">
        <f>_xlfn.XLOOKUP(D463,Master[Product_Code],Master[Style])</f>
        <v>Boxer</v>
      </c>
      <c r="I463" s="8" t="str">
        <f>_xlfn.XLOOKUP(D463,Master[Product_Code],Master[Fabric])</f>
        <v>Cotton Blend</v>
      </c>
      <c r="J463" s="8" t="str">
        <f>_xlfn.XLOOKUP(D463,Master[Product_Code],Master[Size])</f>
        <v>100-105</v>
      </c>
      <c r="K463" s="8" t="str">
        <f>_xlfn.XLOOKUP(D463,Master[Product_Code],Master[Color])</f>
        <v>Royal Blue</v>
      </c>
      <c r="L463" s="3">
        <f>_xlfn.XLOOKUP(D463,Master[Product_Code],Master[Selling_Price])</f>
        <v>130</v>
      </c>
    </row>
    <row r="464" spans="2:12">
      <c r="B464" s="2" t="s">
        <v>1959</v>
      </c>
      <c r="C464" s="7">
        <v>45945</v>
      </c>
      <c r="D464" s="2" t="s">
        <v>825</v>
      </c>
      <c r="E464" s="4">
        <v>1</v>
      </c>
      <c r="F464" s="8" t="str">
        <f>_xlfn.XLOOKUP(D464,Master[Product_Code],Master[Category])</f>
        <v>T-Shirt</v>
      </c>
      <c r="G464" s="8" t="str">
        <f>_xlfn.XLOOKUP(D464,Master[Product_Code],Master[Brand])</f>
        <v>Turkey</v>
      </c>
      <c r="H464" s="8" t="str">
        <f>_xlfn.XLOOKUP(D464,Master[Product_Code],Master[Style])</f>
        <v>Sleeveless</v>
      </c>
      <c r="I464" s="8" t="str">
        <f>_xlfn.XLOOKUP(D464,Master[Product_Code],Master[Fabric])</f>
        <v>Poly Cotton</v>
      </c>
      <c r="J464" s="8" t="str">
        <f>_xlfn.XLOOKUP(D464,Master[Product_Code],Master[Size])</f>
        <v>L</v>
      </c>
      <c r="K464" s="8" t="str">
        <f>_xlfn.XLOOKUP(D464,Master[Product_Code],Master[Color])</f>
        <v>Teal</v>
      </c>
      <c r="L464" s="3">
        <f>_xlfn.XLOOKUP(D464,Master[Product_Code],Master[Selling_Price])</f>
        <v>510</v>
      </c>
    </row>
    <row r="465" spans="2:12">
      <c r="B465" s="2" t="s">
        <v>1959</v>
      </c>
      <c r="C465" s="7">
        <v>45945</v>
      </c>
      <c r="D465" s="2" t="s">
        <v>1662</v>
      </c>
      <c r="E465" s="4">
        <v>1</v>
      </c>
      <c r="F465" s="8" t="str">
        <f>_xlfn.XLOOKUP(D465,Master[Product_Code],Master[Category])</f>
        <v>Innerwear</v>
      </c>
      <c r="G465" s="8" t="str">
        <f>_xlfn.XLOOKUP(D465,Master[Product_Code],Master[Brand])</f>
        <v>Rupa</v>
      </c>
      <c r="H465" s="8" t="str">
        <f>_xlfn.XLOOKUP(D465,Master[Product_Code],Master[Style])</f>
        <v>Boxer</v>
      </c>
      <c r="I465" s="8" t="str">
        <f>_xlfn.XLOOKUP(D465,Master[Product_Code],Master[Fabric])</f>
        <v>Cotton Blend</v>
      </c>
      <c r="J465" s="8" t="str">
        <f>_xlfn.XLOOKUP(D465,Master[Product_Code],Master[Size])</f>
        <v>90-100</v>
      </c>
      <c r="K465" s="8" t="str">
        <f>_xlfn.XLOOKUP(D465,Master[Product_Code],Master[Color])</f>
        <v>Maroon</v>
      </c>
      <c r="L465" s="3">
        <f>_xlfn.XLOOKUP(D465,Master[Product_Code],Master[Selling_Price])</f>
        <v>180</v>
      </c>
    </row>
    <row r="466" spans="2:12">
      <c r="B466" s="2" t="s">
        <v>1959</v>
      </c>
      <c r="C466" s="7">
        <v>45945</v>
      </c>
      <c r="D466" s="2" t="s">
        <v>1561</v>
      </c>
      <c r="E466" s="4">
        <v>1</v>
      </c>
      <c r="F466" s="8" t="str">
        <f>_xlfn.XLOOKUP(D466,Master[Product_Code],Master[Category])</f>
        <v>Innerwear</v>
      </c>
      <c r="G466" s="8" t="str">
        <f>_xlfn.XLOOKUP(D466,Master[Product_Code],Master[Brand])</f>
        <v>V Star</v>
      </c>
      <c r="H466" s="8" t="str">
        <f>_xlfn.XLOOKUP(D466,Master[Product_Code],Master[Style])</f>
        <v>Boxer</v>
      </c>
      <c r="I466" s="8" t="str">
        <f>_xlfn.XLOOKUP(D466,Master[Product_Code],Master[Fabric])</f>
        <v>Cotton Blend</v>
      </c>
      <c r="J466" s="8" t="str">
        <f>_xlfn.XLOOKUP(D466,Master[Product_Code],Master[Size])</f>
        <v>100-105</v>
      </c>
      <c r="K466" s="8" t="str">
        <f>_xlfn.XLOOKUP(D466,Master[Product_Code],Master[Color])</f>
        <v>Sky Blue</v>
      </c>
      <c r="L466" s="3">
        <f>_xlfn.XLOOKUP(D466,Master[Product_Code],Master[Selling_Price])</f>
        <v>100</v>
      </c>
    </row>
    <row r="467" spans="2:12">
      <c r="B467" s="2" t="s">
        <v>1960</v>
      </c>
      <c r="C467" s="7">
        <v>45945</v>
      </c>
      <c r="D467" s="2" t="s">
        <v>1059</v>
      </c>
      <c r="E467" s="4">
        <v>1</v>
      </c>
      <c r="F467" s="8" t="str">
        <f>_xlfn.XLOOKUP(D467,Master[Product_Code],Master[Category])</f>
        <v>Jeans</v>
      </c>
      <c r="G467" s="8" t="str">
        <f>_xlfn.XLOOKUP(D467,Master[Product_Code],Master[Brand])</f>
        <v>Denim Pro</v>
      </c>
      <c r="H467" s="8" t="str">
        <f>_xlfn.XLOOKUP(D467,Master[Product_Code],Master[Style])</f>
        <v>Jogger</v>
      </c>
      <c r="I467" s="8" t="str">
        <f>_xlfn.XLOOKUP(D467,Master[Product_Code],Master[Fabric])</f>
        <v>Denim</v>
      </c>
      <c r="J467" s="8">
        <f>_xlfn.XLOOKUP(D467,Master[Product_Code],Master[Size])</f>
        <v>30</v>
      </c>
      <c r="K467" s="8" t="str">
        <f>_xlfn.XLOOKUP(D467,Master[Product_Code],Master[Color])</f>
        <v>Olive</v>
      </c>
      <c r="L467" s="3">
        <f>_xlfn.XLOOKUP(D467,Master[Product_Code],Master[Selling_Price])</f>
        <v>900</v>
      </c>
    </row>
    <row r="468" spans="2:12">
      <c r="B468" s="2" t="s">
        <v>1960</v>
      </c>
      <c r="C468" s="7">
        <v>45945</v>
      </c>
      <c r="D468" s="2" t="s">
        <v>1084</v>
      </c>
      <c r="E468" s="4">
        <v>1</v>
      </c>
      <c r="F468" s="8" t="str">
        <f>_xlfn.XLOOKUP(D468,Master[Product_Code],Master[Category])</f>
        <v>Jeans</v>
      </c>
      <c r="G468" s="8" t="str">
        <f>_xlfn.XLOOKUP(D468,Master[Product_Code],Master[Brand])</f>
        <v>Locomotive</v>
      </c>
      <c r="H468" s="8" t="str">
        <f>_xlfn.XLOOKUP(D468,Master[Product_Code],Master[Style])</f>
        <v>Jogger</v>
      </c>
      <c r="I468" s="8" t="str">
        <f>_xlfn.XLOOKUP(D468,Master[Product_Code],Master[Fabric])</f>
        <v>Denim</v>
      </c>
      <c r="J468" s="8">
        <f>_xlfn.XLOOKUP(D468,Master[Product_Code],Master[Size])</f>
        <v>38</v>
      </c>
      <c r="K468" s="8" t="str">
        <f>_xlfn.XLOOKUP(D468,Master[Product_Code],Master[Color])</f>
        <v>Grey</v>
      </c>
      <c r="L468" s="3">
        <f>_xlfn.XLOOKUP(D468,Master[Product_Code],Master[Selling_Price])</f>
        <v>1010</v>
      </c>
    </row>
    <row r="469" spans="2:12">
      <c r="B469" s="2" t="s">
        <v>1960</v>
      </c>
      <c r="C469" s="7">
        <v>45945</v>
      </c>
      <c r="D469" s="2" t="s">
        <v>393</v>
      </c>
      <c r="E469" s="4">
        <v>1</v>
      </c>
      <c r="F469" s="8" t="str">
        <f>_xlfn.XLOOKUP(D469,Master[Product_Code],Master[Category])</f>
        <v>Shirt</v>
      </c>
      <c r="G469" s="8" t="str">
        <f>_xlfn.XLOOKUP(D469,Master[Product_Code],Master[Brand])</f>
        <v>G Studio</v>
      </c>
      <c r="H469" s="8" t="str">
        <f>_xlfn.XLOOKUP(D469,Master[Product_Code],Master[Style])</f>
        <v>Partywear</v>
      </c>
      <c r="I469" s="8" t="str">
        <f>_xlfn.XLOOKUP(D469,Master[Product_Code],Master[Fabric])</f>
        <v>Cotton</v>
      </c>
      <c r="J469" s="8" t="str">
        <f>_xlfn.XLOOKUP(D469,Master[Product_Code],Master[Size])</f>
        <v>S</v>
      </c>
      <c r="K469" s="8" t="str">
        <f>_xlfn.XLOOKUP(D469,Master[Product_Code],Master[Color])</f>
        <v>Bottle Green</v>
      </c>
      <c r="L469" s="3">
        <f>_xlfn.XLOOKUP(D469,Master[Product_Code],Master[Selling_Price])</f>
        <v>730</v>
      </c>
    </row>
    <row r="470" spans="2:12">
      <c r="B470" s="2" t="s">
        <v>1960</v>
      </c>
      <c r="C470" s="7">
        <v>45945</v>
      </c>
      <c r="D470" s="2" t="s">
        <v>391</v>
      </c>
      <c r="E470" s="4">
        <v>1</v>
      </c>
      <c r="F470" s="8" t="str">
        <f>_xlfn.XLOOKUP(D470,Master[Product_Code],Master[Category])</f>
        <v>Shirt</v>
      </c>
      <c r="G470" s="8" t="str">
        <f>_xlfn.XLOOKUP(D470,Master[Product_Code],Master[Brand])</f>
        <v>G Studio</v>
      </c>
      <c r="H470" s="8" t="str">
        <f>_xlfn.XLOOKUP(D470,Master[Product_Code],Master[Style])</f>
        <v>Formal</v>
      </c>
      <c r="I470" s="8" t="str">
        <f>_xlfn.XLOOKUP(D470,Master[Product_Code],Master[Fabric])</f>
        <v>Cotton</v>
      </c>
      <c r="J470" s="8" t="str">
        <f>_xlfn.XLOOKUP(D470,Master[Product_Code],Master[Size])</f>
        <v>L</v>
      </c>
      <c r="K470" s="8" t="str">
        <f>_xlfn.XLOOKUP(D470,Master[Product_Code],Master[Color])</f>
        <v>Cream</v>
      </c>
      <c r="L470" s="3">
        <f>_xlfn.XLOOKUP(D470,Master[Product_Code],Master[Selling_Price])</f>
        <v>890</v>
      </c>
    </row>
    <row r="471" spans="2:12">
      <c r="B471" s="2" t="s">
        <v>1961</v>
      </c>
      <c r="C471" s="7">
        <v>45945</v>
      </c>
      <c r="D471" s="2" t="s">
        <v>631</v>
      </c>
      <c r="E471" s="4">
        <v>1</v>
      </c>
      <c r="F471" s="8" t="str">
        <f>_xlfn.XLOOKUP(D471,Master[Product_Code],Master[Category])</f>
        <v>T-Shirt</v>
      </c>
      <c r="G471" s="8" t="str">
        <f>_xlfn.XLOOKUP(D471,Master[Product_Code],Master[Brand])</f>
        <v>Zara</v>
      </c>
      <c r="H471" s="8" t="str">
        <f>_xlfn.XLOOKUP(D471,Master[Product_Code],Master[Style])</f>
        <v>Half Sleeve</v>
      </c>
      <c r="I471" s="8" t="str">
        <f>_xlfn.XLOOKUP(D471,Master[Product_Code],Master[Fabric])</f>
        <v>Cotton</v>
      </c>
      <c r="J471" s="8" t="str">
        <f>_xlfn.XLOOKUP(D471,Master[Product_Code],Master[Size])</f>
        <v>L</v>
      </c>
      <c r="K471" s="8" t="str">
        <f>_xlfn.XLOOKUP(D471,Master[Product_Code],Master[Color])</f>
        <v>Peach</v>
      </c>
      <c r="L471" s="3">
        <f>_xlfn.XLOOKUP(D471,Master[Product_Code],Master[Selling_Price])</f>
        <v>660</v>
      </c>
    </row>
    <row r="472" spans="2:12">
      <c r="B472" s="2" t="s">
        <v>1961</v>
      </c>
      <c r="C472" s="7">
        <v>45945</v>
      </c>
      <c r="D472" s="2" t="s">
        <v>934</v>
      </c>
      <c r="E472" s="4">
        <v>1</v>
      </c>
      <c r="F472" s="8" t="str">
        <f>_xlfn.XLOOKUP(D472,Master[Product_Code],Master[Category])</f>
        <v>Jeans</v>
      </c>
      <c r="G472" s="8" t="str">
        <f>_xlfn.XLOOKUP(D472,Master[Product_Code],Master[Brand])</f>
        <v>Spykar</v>
      </c>
      <c r="H472" s="8" t="str">
        <f>_xlfn.XLOOKUP(D472,Master[Product_Code],Master[Style])</f>
        <v>Jogger</v>
      </c>
      <c r="I472" s="8" t="str">
        <f>_xlfn.XLOOKUP(D472,Master[Product_Code],Master[Fabric])</f>
        <v>Denim</v>
      </c>
      <c r="J472" s="8">
        <f>_xlfn.XLOOKUP(D472,Master[Product_Code],Master[Size])</f>
        <v>44</v>
      </c>
      <c r="K472" s="8" t="str">
        <f>_xlfn.XLOOKUP(D472,Master[Product_Code],Master[Color])</f>
        <v>Black</v>
      </c>
      <c r="L472" s="3">
        <f>_xlfn.XLOOKUP(D472,Master[Product_Code],Master[Selling_Price])</f>
        <v>840</v>
      </c>
    </row>
    <row r="473" spans="2:12">
      <c r="B473" s="2" t="s">
        <v>1961</v>
      </c>
      <c r="C473" s="7">
        <v>45945</v>
      </c>
      <c r="D473" s="2" t="s">
        <v>918</v>
      </c>
      <c r="E473" s="4">
        <v>1</v>
      </c>
      <c r="F473" s="8" t="str">
        <f>_xlfn.XLOOKUP(D473,Master[Product_Code],Master[Category])</f>
        <v>Jeans</v>
      </c>
      <c r="G473" s="8" t="str">
        <f>_xlfn.XLOOKUP(D473,Master[Product_Code],Master[Brand])</f>
        <v>Levis</v>
      </c>
      <c r="H473" s="8" t="str">
        <f>_xlfn.XLOOKUP(D473,Master[Product_Code],Master[Style])</f>
        <v>Jogger</v>
      </c>
      <c r="I473" s="8" t="str">
        <f>_xlfn.XLOOKUP(D473,Master[Product_Code],Master[Fabric])</f>
        <v>Denim</v>
      </c>
      <c r="J473" s="8">
        <f>_xlfn.XLOOKUP(D473,Master[Product_Code],Master[Size])</f>
        <v>44</v>
      </c>
      <c r="K473" s="8" t="str">
        <f>_xlfn.XLOOKUP(D473,Master[Product_Code],Master[Color])</f>
        <v>Rust</v>
      </c>
      <c r="L473" s="3">
        <f>_xlfn.XLOOKUP(D473,Master[Product_Code],Master[Selling_Price])</f>
        <v>800</v>
      </c>
    </row>
    <row r="474" spans="2:12">
      <c r="B474" s="2" t="s">
        <v>1962</v>
      </c>
      <c r="C474" s="7">
        <v>45945</v>
      </c>
      <c r="D474" s="2" t="s">
        <v>1612</v>
      </c>
      <c r="E474" s="4">
        <v>1</v>
      </c>
      <c r="F474" s="8" t="str">
        <f>_xlfn.XLOOKUP(D474,Master[Product_Code],Master[Category])</f>
        <v>Innerwear</v>
      </c>
      <c r="G474" s="8" t="str">
        <f>_xlfn.XLOOKUP(D474,Master[Product_Code],Master[Brand])</f>
        <v>Dollar</v>
      </c>
      <c r="H474" s="8" t="str">
        <f>_xlfn.XLOOKUP(D474,Master[Product_Code],Master[Style])</f>
        <v>Boxer</v>
      </c>
      <c r="I474" s="8" t="str">
        <f>_xlfn.XLOOKUP(D474,Master[Product_Code],Master[Fabric])</f>
        <v>Cotton</v>
      </c>
      <c r="J474" s="8" t="str">
        <f>_xlfn.XLOOKUP(D474,Master[Product_Code],Master[Size])</f>
        <v>75-80</v>
      </c>
      <c r="K474" s="8" t="str">
        <f>_xlfn.XLOOKUP(D474,Master[Product_Code],Master[Color])</f>
        <v>Teal</v>
      </c>
      <c r="L474" s="3">
        <f>_xlfn.XLOOKUP(D474,Master[Product_Code],Master[Selling_Price])</f>
        <v>160</v>
      </c>
    </row>
    <row r="475" spans="2:12">
      <c r="B475" s="2" t="s">
        <v>1962</v>
      </c>
      <c r="C475" s="7">
        <v>45945</v>
      </c>
      <c r="D475" s="2" t="s">
        <v>1006</v>
      </c>
      <c r="E475" s="4">
        <v>1</v>
      </c>
      <c r="F475" s="8" t="str">
        <f>_xlfn.XLOOKUP(D475,Master[Product_Code],Master[Category])</f>
        <v>Jeans</v>
      </c>
      <c r="G475" s="8" t="str">
        <f>_xlfn.XLOOKUP(D475,Master[Product_Code],Master[Brand])</f>
        <v>Wrangler</v>
      </c>
      <c r="H475" s="8" t="str">
        <f>_xlfn.XLOOKUP(D475,Master[Product_Code],Master[Style])</f>
        <v>Mom Fit</v>
      </c>
      <c r="I475" s="8" t="str">
        <f>_xlfn.XLOOKUP(D475,Master[Product_Code],Master[Fabric])</f>
        <v>Denim</v>
      </c>
      <c r="J475" s="8">
        <f>_xlfn.XLOOKUP(D475,Master[Product_Code],Master[Size])</f>
        <v>42</v>
      </c>
      <c r="K475" s="8" t="str">
        <f>_xlfn.XLOOKUP(D475,Master[Product_Code],Master[Color])</f>
        <v>Light Grey</v>
      </c>
      <c r="L475" s="3">
        <f>_xlfn.XLOOKUP(D475,Master[Product_Code],Master[Selling_Price])</f>
        <v>880</v>
      </c>
    </row>
    <row r="476" spans="2:12">
      <c r="B476" s="2" t="s">
        <v>1962</v>
      </c>
      <c r="C476" s="7">
        <v>45945</v>
      </c>
      <c r="D476" s="2" t="s">
        <v>1224</v>
      </c>
      <c r="E476" s="4">
        <v>1</v>
      </c>
      <c r="F476" s="8" t="str">
        <f>_xlfn.XLOOKUP(D476,Master[Product_Code],Master[Category])</f>
        <v>Pants</v>
      </c>
      <c r="G476" s="8" t="str">
        <f>_xlfn.XLOOKUP(D476,Master[Product_Code],Master[Brand])</f>
        <v>Van Heusen</v>
      </c>
      <c r="H476" s="8" t="str">
        <f>_xlfn.XLOOKUP(D476,Master[Product_Code],Master[Style])</f>
        <v>Korean</v>
      </c>
      <c r="I476" s="8" t="str">
        <f>_xlfn.XLOOKUP(D476,Master[Product_Code],Master[Fabric])</f>
        <v>Lycra</v>
      </c>
      <c r="J476" s="8">
        <f>_xlfn.XLOOKUP(D476,Master[Product_Code],Master[Size])</f>
        <v>34</v>
      </c>
      <c r="K476" s="8" t="str">
        <f>_xlfn.XLOOKUP(D476,Master[Product_Code],Master[Color])</f>
        <v>Peach</v>
      </c>
      <c r="L476" s="3">
        <f>_xlfn.XLOOKUP(D476,Master[Product_Code],Master[Selling_Price])</f>
        <v>920</v>
      </c>
    </row>
    <row r="477" spans="2:12">
      <c r="B477" s="2" t="s">
        <v>1963</v>
      </c>
      <c r="C477" s="7">
        <v>45946</v>
      </c>
      <c r="D477" s="2" t="s">
        <v>398</v>
      </c>
      <c r="E477" s="4">
        <v>1</v>
      </c>
      <c r="F477" s="8" t="str">
        <f>_xlfn.XLOOKUP(D477,Master[Product_Code],Master[Category])</f>
        <v>Shirt</v>
      </c>
      <c r="G477" s="8" t="str">
        <f>_xlfn.XLOOKUP(D477,Master[Product_Code],Master[Brand])</f>
        <v>H&amp;M</v>
      </c>
      <c r="H477" s="8" t="str">
        <f>_xlfn.XLOOKUP(D477,Master[Product_Code],Master[Style])</f>
        <v>Formal</v>
      </c>
      <c r="I477" s="8" t="str">
        <f>_xlfn.XLOOKUP(D477,Master[Product_Code],Master[Fabric])</f>
        <v>Polyester</v>
      </c>
      <c r="J477" s="8" t="str">
        <f>_xlfn.XLOOKUP(D477,Master[Product_Code],Master[Size])</f>
        <v>L</v>
      </c>
      <c r="K477" s="8" t="str">
        <f>_xlfn.XLOOKUP(D477,Master[Product_Code],Master[Color])</f>
        <v>Beige</v>
      </c>
      <c r="L477" s="3">
        <f>_xlfn.XLOOKUP(D477,Master[Product_Code],Master[Selling_Price])</f>
        <v>870</v>
      </c>
    </row>
    <row r="478" spans="2:12">
      <c r="B478" s="2" t="s">
        <v>1963</v>
      </c>
      <c r="C478" s="7">
        <v>45946</v>
      </c>
      <c r="D478" s="2" t="s">
        <v>1754</v>
      </c>
      <c r="E478" s="4">
        <v>1</v>
      </c>
      <c r="F478" s="8" t="str">
        <f>_xlfn.XLOOKUP(D478,Master[Product_Code],Master[Category])</f>
        <v>Innerwear</v>
      </c>
      <c r="G478" s="8" t="str">
        <f>_xlfn.XLOOKUP(D478,Master[Product_Code],Master[Brand])</f>
        <v>Lux</v>
      </c>
      <c r="H478" s="8" t="str">
        <f>_xlfn.XLOOKUP(D478,Master[Product_Code],Master[Style])</f>
        <v>V-Cut</v>
      </c>
      <c r="I478" s="8" t="str">
        <f>_xlfn.XLOOKUP(D478,Master[Product_Code],Master[Fabric])</f>
        <v>Cotton</v>
      </c>
      <c r="J478" s="8" t="str">
        <f>_xlfn.XLOOKUP(D478,Master[Product_Code],Master[Size])</f>
        <v>85-90</v>
      </c>
      <c r="K478" s="8" t="str">
        <f>_xlfn.XLOOKUP(D478,Master[Product_Code],Master[Color])</f>
        <v>Sky Blue</v>
      </c>
      <c r="L478" s="3">
        <f>_xlfn.XLOOKUP(D478,Master[Product_Code],Master[Selling_Price])</f>
        <v>190</v>
      </c>
    </row>
    <row r="479" spans="2:12">
      <c r="B479" s="2" t="s">
        <v>1963</v>
      </c>
      <c r="C479" s="7">
        <v>45946</v>
      </c>
      <c r="D479" s="2" t="s">
        <v>644</v>
      </c>
      <c r="E479" s="4">
        <v>1</v>
      </c>
      <c r="F479" s="8" t="str">
        <f>_xlfn.XLOOKUP(D479,Master[Product_Code],Master[Category])</f>
        <v>T-Shirt</v>
      </c>
      <c r="G479" s="8" t="str">
        <f>_xlfn.XLOOKUP(D479,Master[Product_Code],Master[Brand])</f>
        <v>Max</v>
      </c>
      <c r="H479" s="8" t="str">
        <f>_xlfn.XLOOKUP(D479,Master[Product_Code],Master[Style])</f>
        <v>Sleeveless</v>
      </c>
      <c r="I479" s="8" t="str">
        <f>_xlfn.XLOOKUP(D479,Master[Product_Code],Master[Fabric])</f>
        <v>Poly Cotton</v>
      </c>
      <c r="J479" s="8" t="str">
        <f>_xlfn.XLOOKUP(D479,Master[Product_Code],Master[Size])</f>
        <v>S</v>
      </c>
      <c r="K479" s="8" t="str">
        <f>_xlfn.XLOOKUP(D479,Master[Product_Code],Master[Color])</f>
        <v>Light Grey</v>
      </c>
      <c r="L479" s="3">
        <f>_xlfn.XLOOKUP(D479,Master[Product_Code],Master[Selling_Price])</f>
        <v>510</v>
      </c>
    </row>
    <row r="480" spans="2:12">
      <c r="B480" s="2" t="s">
        <v>1964</v>
      </c>
      <c r="C480" s="7">
        <v>45946</v>
      </c>
      <c r="D480" s="2" t="s">
        <v>1046</v>
      </c>
      <c r="E480" s="4">
        <v>1</v>
      </c>
      <c r="F480" s="8" t="str">
        <f>_xlfn.XLOOKUP(D480,Master[Product_Code],Master[Category])</f>
        <v>Jeans</v>
      </c>
      <c r="G480" s="8" t="str">
        <f>_xlfn.XLOOKUP(D480,Master[Product_Code],Master[Brand])</f>
        <v>Denim Pro</v>
      </c>
      <c r="H480" s="8" t="str">
        <f>_xlfn.XLOOKUP(D480,Master[Product_Code],Master[Style])</f>
        <v>Baggy</v>
      </c>
      <c r="I480" s="8" t="str">
        <f>_xlfn.XLOOKUP(D480,Master[Product_Code],Master[Fabric])</f>
        <v>Denim</v>
      </c>
      <c r="J480" s="8">
        <f>_xlfn.XLOOKUP(D480,Master[Product_Code],Master[Size])</f>
        <v>34</v>
      </c>
      <c r="K480" s="8" t="str">
        <f>_xlfn.XLOOKUP(D480,Master[Product_Code],Master[Color])</f>
        <v>Light Grey</v>
      </c>
      <c r="L480" s="3">
        <f>_xlfn.XLOOKUP(D480,Master[Product_Code],Master[Selling_Price])</f>
        <v>850</v>
      </c>
    </row>
    <row r="481" spans="2:12">
      <c r="B481" s="2" t="s">
        <v>1964</v>
      </c>
      <c r="C481" s="7">
        <v>45946</v>
      </c>
      <c r="D481" s="2" t="s">
        <v>1148</v>
      </c>
      <c r="E481" s="4">
        <v>1</v>
      </c>
      <c r="F481" s="8" t="str">
        <f>_xlfn.XLOOKUP(D481,Master[Product_Code],Master[Category])</f>
        <v>Pants</v>
      </c>
      <c r="G481" s="8" t="str">
        <f>_xlfn.XLOOKUP(D481,Master[Product_Code],Master[Brand])</f>
        <v>Peter England</v>
      </c>
      <c r="H481" s="8" t="str">
        <f>_xlfn.XLOOKUP(D481,Master[Product_Code],Master[Style])</f>
        <v>Polofit</v>
      </c>
      <c r="I481" s="8" t="str">
        <f>_xlfn.XLOOKUP(D481,Master[Product_Code],Master[Fabric])</f>
        <v>Lycra</v>
      </c>
      <c r="J481" s="8">
        <f>_xlfn.XLOOKUP(D481,Master[Product_Code],Master[Size])</f>
        <v>44</v>
      </c>
      <c r="K481" s="8" t="str">
        <f>_xlfn.XLOOKUP(D481,Master[Product_Code],Master[Color])</f>
        <v>Cream</v>
      </c>
      <c r="L481" s="3">
        <f>_xlfn.XLOOKUP(D481,Master[Product_Code],Master[Selling_Price])</f>
        <v>800</v>
      </c>
    </row>
    <row r="482" spans="2:12">
      <c r="B482" s="2" t="s">
        <v>1965</v>
      </c>
      <c r="C482" s="7">
        <v>45946</v>
      </c>
      <c r="D482" s="2" t="s">
        <v>1727</v>
      </c>
      <c r="E482" s="4">
        <v>1</v>
      </c>
      <c r="F482" s="8" t="str">
        <f>_xlfn.XLOOKUP(D482,Master[Product_Code],Master[Category])</f>
        <v>Innerwear</v>
      </c>
      <c r="G482" s="8" t="str">
        <f>_xlfn.XLOOKUP(D482,Master[Product_Code],Master[Brand])</f>
        <v>Rupa</v>
      </c>
      <c r="H482" s="8" t="str">
        <f>_xlfn.XLOOKUP(D482,Master[Product_Code],Master[Style])</f>
        <v>Boxer</v>
      </c>
      <c r="I482" s="8" t="str">
        <f>_xlfn.XLOOKUP(D482,Master[Product_Code],Master[Fabric])</f>
        <v>Cotton</v>
      </c>
      <c r="J482" s="8" t="str">
        <f>_xlfn.XLOOKUP(D482,Master[Product_Code],Master[Size])</f>
        <v>80-85</v>
      </c>
      <c r="K482" s="8" t="str">
        <f>_xlfn.XLOOKUP(D482,Master[Product_Code],Master[Color])</f>
        <v>Light Grey</v>
      </c>
      <c r="L482" s="3">
        <f>_xlfn.XLOOKUP(D482,Master[Product_Code],Master[Selling_Price])</f>
        <v>160</v>
      </c>
    </row>
    <row r="483" spans="2:12">
      <c r="B483" s="2" t="s">
        <v>1966</v>
      </c>
      <c r="C483" s="7">
        <v>45946</v>
      </c>
      <c r="D483" s="2" t="s">
        <v>1529</v>
      </c>
      <c r="E483" s="4">
        <v>1</v>
      </c>
      <c r="F483" s="8" t="str">
        <f>_xlfn.XLOOKUP(D483,Master[Product_Code],Master[Category])</f>
        <v>Innerwear</v>
      </c>
      <c r="G483" s="8" t="str">
        <f>_xlfn.XLOOKUP(D483,Master[Product_Code],Master[Brand])</f>
        <v>Rupa</v>
      </c>
      <c r="H483" s="8" t="str">
        <f>_xlfn.XLOOKUP(D483,Master[Product_Code],Master[Style])</f>
        <v>Boxer</v>
      </c>
      <c r="I483" s="8" t="str">
        <f>_xlfn.XLOOKUP(D483,Master[Product_Code],Master[Fabric])</f>
        <v>Cotton</v>
      </c>
      <c r="J483" s="8" t="str">
        <f>_xlfn.XLOOKUP(D483,Master[Product_Code],Master[Size])</f>
        <v>90-100</v>
      </c>
      <c r="K483" s="8" t="str">
        <f>_xlfn.XLOOKUP(D483,Master[Product_Code],Master[Color])</f>
        <v>Beige</v>
      </c>
      <c r="L483" s="3">
        <f>_xlfn.XLOOKUP(D483,Master[Product_Code],Master[Selling_Price])</f>
        <v>190</v>
      </c>
    </row>
    <row r="484" spans="2:12">
      <c r="B484" s="2" t="s">
        <v>1966</v>
      </c>
      <c r="C484" s="7">
        <v>45946</v>
      </c>
      <c r="D484" s="2" t="s">
        <v>1731</v>
      </c>
      <c r="E484" s="4">
        <v>1</v>
      </c>
      <c r="F484" s="8" t="str">
        <f>_xlfn.XLOOKUP(D484,Master[Product_Code],Master[Category])</f>
        <v>Innerwear</v>
      </c>
      <c r="G484" s="8" t="str">
        <f>_xlfn.XLOOKUP(D484,Master[Product_Code],Master[Brand])</f>
        <v>V Star</v>
      </c>
      <c r="H484" s="8" t="str">
        <f>_xlfn.XLOOKUP(D484,Master[Product_Code],Master[Style])</f>
        <v>V-Cut</v>
      </c>
      <c r="I484" s="8" t="str">
        <f>_xlfn.XLOOKUP(D484,Master[Product_Code],Master[Fabric])</f>
        <v>Cotton Blend</v>
      </c>
      <c r="J484" s="8" t="str">
        <f>_xlfn.XLOOKUP(D484,Master[Product_Code],Master[Size])</f>
        <v>90-100</v>
      </c>
      <c r="K484" s="8" t="str">
        <f>_xlfn.XLOOKUP(D484,Master[Product_Code],Master[Color])</f>
        <v>Brown</v>
      </c>
      <c r="L484" s="3">
        <f>_xlfn.XLOOKUP(D484,Master[Product_Code],Master[Selling_Price])</f>
        <v>130</v>
      </c>
    </row>
    <row r="485" spans="2:12">
      <c r="B485" s="2" t="s">
        <v>1966</v>
      </c>
      <c r="C485" s="7">
        <v>45946</v>
      </c>
      <c r="D485" s="2" t="s">
        <v>1495</v>
      </c>
      <c r="E485" s="4">
        <v>1</v>
      </c>
      <c r="F485" s="8" t="str">
        <f>_xlfn.XLOOKUP(D485,Master[Product_Code],Master[Category])</f>
        <v>Innerwear</v>
      </c>
      <c r="G485" s="8" t="str">
        <f>_xlfn.XLOOKUP(D485,Master[Product_Code],Master[Brand])</f>
        <v>Rupa</v>
      </c>
      <c r="H485" s="8" t="str">
        <f>_xlfn.XLOOKUP(D485,Master[Product_Code],Master[Style])</f>
        <v>V-Cut</v>
      </c>
      <c r="I485" s="8" t="str">
        <f>_xlfn.XLOOKUP(D485,Master[Product_Code],Master[Fabric])</f>
        <v>Cotton Blend</v>
      </c>
      <c r="J485" s="8" t="str">
        <f>_xlfn.XLOOKUP(D485,Master[Product_Code],Master[Size])</f>
        <v>80-85</v>
      </c>
      <c r="K485" s="8" t="str">
        <f>_xlfn.XLOOKUP(D485,Master[Product_Code],Master[Color])</f>
        <v>Grey</v>
      </c>
      <c r="L485" s="3">
        <f>_xlfn.XLOOKUP(D485,Master[Product_Code],Master[Selling_Price])</f>
        <v>160</v>
      </c>
    </row>
    <row r="486" spans="2:12">
      <c r="B486" s="2" t="s">
        <v>1967</v>
      </c>
      <c r="C486" s="7">
        <v>45946</v>
      </c>
      <c r="D486" s="2" t="s">
        <v>96</v>
      </c>
      <c r="E486" s="4">
        <v>1</v>
      </c>
      <c r="F486" s="8" t="str">
        <f>_xlfn.XLOOKUP(D486,Master[Product_Code],Master[Category])</f>
        <v>Shirt</v>
      </c>
      <c r="G486" s="8" t="str">
        <f>_xlfn.XLOOKUP(D486,Master[Product_Code],Master[Brand])</f>
        <v>L7</v>
      </c>
      <c r="H486" s="8" t="str">
        <f>_xlfn.XLOOKUP(D486,Master[Product_Code],Master[Style])</f>
        <v>Formal</v>
      </c>
      <c r="I486" s="8" t="str">
        <f>_xlfn.XLOOKUP(D486,Master[Product_Code],Master[Fabric])</f>
        <v>Polyester</v>
      </c>
      <c r="J486" s="8" t="str">
        <f>_xlfn.XLOOKUP(D486,Master[Product_Code],Master[Size])</f>
        <v>XXL</v>
      </c>
      <c r="K486" s="8" t="str">
        <f>_xlfn.XLOOKUP(D486,Master[Product_Code],Master[Color])</f>
        <v>Light Grey</v>
      </c>
      <c r="L486" s="3">
        <f>_xlfn.XLOOKUP(D486,Master[Product_Code],Master[Selling_Price])</f>
        <v>900</v>
      </c>
    </row>
    <row r="487" spans="2:12">
      <c r="B487" s="2" t="s">
        <v>1967</v>
      </c>
      <c r="C487" s="7">
        <v>45946</v>
      </c>
      <c r="D487" s="2" t="s">
        <v>1227</v>
      </c>
      <c r="E487" s="4">
        <v>1</v>
      </c>
      <c r="F487" s="8" t="str">
        <f>_xlfn.XLOOKUP(D487,Master[Product_Code],Master[Category])</f>
        <v>Pants</v>
      </c>
      <c r="G487" s="8" t="str">
        <f>_xlfn.XLOOKUP(D487,Master[Product_Code],Master[Brand])</f>
        <v>Raymond</v>
      </c>
      <c r="H487" s="8" t="str">
        <f>_xlfn.XLOOKUP(D487,Master[Product_Code],Master[Style])</f>
        <v>Jogger</v>
      </c>
      <c r="I487" s="8" t="str">
        <f>_xlfn.XLOOKUP(D487,Master[Product_Code],Master[Fabric])</f>
        <v>Cotton Blend</v>
      </c>
      <c r="J487" s="8">
        <f>_xlfn.XLOOKUP(D487,Master[Product_Code],Master[Size])</f>
        <v>42</v>
      </c>
      <c r="K487" s="8" t="str">
        <f>_xlfn.XLOOKUP(D487,Master[Product_Code],Master[Color])</f>
        <v>Bottle Green</v>
      </c>
      <c r="L487" s="3">
        <f>_xlfn.XLOOKUP(D487,Master[Product_Code],Master[Selling_Price])</f>
        <v>800</v>
      </c>
    </row>
    <row r="488" spans="2:12">
      <c r="B488" s="2" t="s">
        <v>1968</v>
      </c>
      <c r="C488" s="7">
        <v>45946</v>
      </c>
      <c r="D488" s="2" t="s">
        <v>989</v>
      </c>
      <c r="E488" s="4">
        <v>1</v>
      </c>
      <c r="F488" s="8" t="str">
        <f>_xlfn.XLOOKUP(D488,Master[Product_Code],Master[Category])</f>
        <v>Jeans</v>
      </c>
      <c r="G488" s="8" t="str">
        <f>_xlfn.XLOOKUP(D488,Master[Product_Code],Master[Brand])</f>
        <v>Pepe</v>
      </c>
      <c r="H488" s="8" t="str">
        <f>_xlfn.XLOOKUP(D488,Master[Product_Code],Master[Style])</f>
        <v>Baggy</v>
      </c>
      <c r="I488" s="8" t="str">
        <f>_xlfn.XLOOKUP(D488,Master[Product_Code],Master[Fabric])</f>
        <v>Denim</v>
      </c>
      <c r="J488" s="8">
        <f>_xlfn.XLOOKUP(D488,Master[Product_Code],Master[Size])</f>
        <v>44</v>
      </c>
      <c r="K488" s="8" t="str">
        <f>_xlfn.XLOOKUP(D488,Master[Product_Code],Master[Color])</f>
        <v>Olive</v>
      </c>
      <c r="L488" s="3">
        <f>_xlfn.XLOOKUP(D488,Master[Product_Code],Master[Selling_Price])</f>
        <v>870</v>
      </c>
    </row>
    <row r="489" spans="2:12">
      <c r="B489" s="2" t="s">
        <v>1969</v>
      </c>
      <c r="C489" s="7">
        <v>45946</v>
      </c>
      <c r="D489" s="2" t="s">
        <v>1338</v>
      </c>
      <c r="E489" s="4">
        <v>1</v>
      </c>
      <c r="F489" s="8" t="str">
        <f>_xlfn.XLOOKUP(D489,Master[Product_Code],Master[Category])</f>
        <v>Pants</v>
      </c>
      <c r="G489" s="8" t="str">
        <f>_xlfn.XLOOKUP(D489,Master[Product_Code],Master[Brand])</f>
        <v>Van Heusen</v>
      </c>
      <c r="H489" s="8" t="str">
        <f>_xlfn.XLOOKUP(D489,Master[Product_Code],Master[Style])</f>
        <v>Boot Cut</v>
      </c>
      <c r="I489" s="8" t="str">
        <f>_xlfn.XLOOKUP(D489,Master[Product_Code],Master[Fabric])</f>
        <v>Cotton</v>
      </c>
      <c r="J489" s="8">
        <f>_xlfn.XLOOKUP(D489,Master[Product_Code],Master[Size])</f>
        <v>36</v>
      </c>
      <c r="K489" s="8" t="str">
        <f>_xlfn.XLOOKUP(D489,Master[Product_Code],Master[Color])</f>
        <v>Navy Blue</v>
      </c>
      <c r="L489" s="3">
        <f>_xlfn.XLOOKUP(D489,Master[Product_Code],Master[Selling_Price])</f>
        <v>950</v>
      </c>
    </row>
    <row r="490" spans="2:12">
      <c r="B490" s="2" t="s">
        <v>1969</v>
      </c>
      <c r="C490" s="7">
        <v>45946</v>
      </c>
      <c r="D490" s="2" t="s">
        <v>479</v>
      </c>
      <c r="E490" s="4">
        <v>1</v>
      </c>
      <c r="F490" s="8" t="str">
        <f>_xlfn.XLOOKUP(D490,Master[Product_Code],Master[Category])</f>
        <v>T-Shirt</v>
      </c>
      <c r="G490" s="8" t="str">
        <f>_xlfn.XLOOKUP(D490,Master[Product_Code],Master[Brand])</f>
        <v>Zara</v>
      </c>
      <c r="H490" s="8" t="str">
        <f>_xlfn.XLOOKUP(D490,Master[Product_Code],Master[Style])</f>
        <v>Full Sleeve</v>
      </c>
      <c r="I490" s="8" t="str">
        <f>_xlfn.XLOOKUP(D490,Master[Product_Code],Master[Fabric])</f>
        <v>Cotton</v>
      </c>
      <c r="J490" s="8" t="str">
        <f>_xlfn.XLOOKUP(D490,Master[Product_Code],Master[Size])</f>
        <v>L</v>
      </c>
      <c r="K490" s="8" t="str">
        <f>_xlfn.XLOOKUP(D490,Master[Product_Code],Master[Color])</f>
        <v>Navy Blue</v>
      </c>
      <c r="L490" s="3">
        <f>_xlfn.XLOOKUP(D490,Master[Product_Code],Master[Selling_Price])</f>
        <v>490</v>
      </c>
    </row>
    <row r="491" spans="2:12">
      <c r="B491" s="2" t="s">
        <v>1969</v>
      </c>
      <c r="C491" s="7">
        <v>45946</v>
      </c>
      <c r="D491" s="2" t="s">
        <v>1601</v>
      </c>
      <c r="E491" s="4">
        <v>1</v>
      </c>
      <c r="F491" s="8" t="str">
        <f>_xlfn.XLOOKUP(D491,Master[Product_Code],Master[Category])</f>
        <v>Innerwear</v>
      </c>
      <c r="G491" s="8" t="str">
        <f>_xlfn.XLOOKUP(D491,Master[Product_Code],Master[Brand])</f>
        <v>Jockey</v>
      </c>
      <c r="H491" s="8" t="str">
        <f>_xlfn.XLOOKUP(D491,Master[Product_Code],Master[Style])</f>
        <v>V-Cut</v>
      </c>
      <c r="I491" s="8" t="str">
        <f>_xlfn.XLOOKUP(D491,Master[Product_Code],Master[Fabric])</f>
        <v>Cotton Blend</v>
      </c>
      <c r="J491" s="8" t="str">
        <f>_xlfn.XLOOKUP(D491,Master[Product_Code],Master[Size])</f>
        <v>105-110</v>
      </c>
      <c r="K491" s="8" t="str">
        <f>_xlfn.XLOOKUP(D491,Master[Product_Code],Master[Color])</f>
        <v>Navy Blue</v>
      </c>
      <c r="L491" s="3">
        <f>_xlfn.XLOOKUP(D491,Master[Product_Code],Master[Selling_Price])</f>
        <v>150</v>
      </c>
    </row>
    <row r="492" spans="2:12">
      <c r="B492" s="2" t="s">
        <v>1970</v>
      </c>
      <c r="C492" s="7">
        <v>45946</v>
      </c>
      <c r="D492" s="2" t="s">
        <v>379</v>
      </c>
      <c r="E492" s="4">
        <v>1</v>
      </c>
      <c r="F492" s="8" t="str">
        <f>_xlfn.XLOOKUP(D492,Master[Product_Code],Master[Category])</f>
        <v>Shirt</v>
      </c>
      <c r="G492" s="8" t="str">
        <f>_xlfn.XLOOKUP(D492,Master[Product_Code],Master[Brand])</f>
        <v>G Studio</v>
      </c>
      <c r="H492" s="8" t="str">
        <f>_xlfn.XLOOKUP(D492,Master[Product_Code],Master[Style])</f>
        <v>Formal</v>
      </c>
      <c r="I492" s="8" t="str">
        <f>_xlfn.XLOOKUP(D492,Master[Product_Code],Master[Fabric])</f>
        <v>Lycra</v>
      </c>
      <c r="J492" s="8" t="str">
        <f>_xlfn.XLOOKUP(D492,Master[Product_Code],Master[Size])</f>
        <v>XL</v>
      </c>
      <c r="K492" s="8" t="str">
        <f>_xlfn.XLOOKUP(D492,Master[Product_Code],Master[Color])</f>
        <v>Maroon</v>
      </c>
      <c r="L492" s="3">
        <f>_xlfn.XLOOKUP(D492,Master[Product_Code],Master[Selling_Price])</f>
        <v>850</v>
      </c>
    </row>
    <row r="493" spans="2:12">
      <c r="B493" s="2" t="s">
        <v>1970</v>
      </c>
      <c r="C493" s="7">
        <v>45946</v>
      </c>
      <c r="D493" s="2" t="s">
        <v>1291</v>
      </c>
      <c r="E493" s="4">
        <v>1</v>
      </c>
      <c r="F493" s="8" t="str">
        <f>_xlfn.XLOOKUP(D493,Master[Product_Code],Master[Category])</f>
        <v>Pants</v>
      </c>
      <c r="G493" s="8" t="str">
        <f>_xlfn.XLOOKUP(D493,Master[Product_Code],Master[Brand])</f>
        <v>Louis Philippe</v>
      </c>
      <c r="H493" s="8" t="str">
        <f>_xlfn.XLOOKUP(D493,Master[Product_Code],Master[Style])</f>
        <v>Korean</v>
      </c>
      <c r="I493" s="8" t="str">
        <f>_xlfn.XLOOKUP(D493,Master[Product_Code],Master[Fabric])</f>
        <v>Lycra</v>
      </c>
      <c r="J493" s="8">
        <f>_xlfn.XLOOKUP(D493,Master[Product_Code],Master[Size])</f>
        <v>40</v>
      </c>
      <c r="K493" s="8" t="str">
        <f>_xlfn.XLOOKUP(D493,Master[Product_Code],Master[Color])</f>
        <v>Navy Blue</v>
      </c>
      <c r="L493" s="3">
        <f>_xlfn.XLOOKUP(D493,Master[Product_Code],Master[Selling_Price])</f>
        <v>840</v>
      </c>
    </row>
    <row r="494" spans="2:12">
      <c r="B494" s="2" t="s">
        <v>1970</v>
      </c>
      <c r="C494" s="7">
        <v>45946</v>
      </c>
      <c r="D494" s="2" t="s">
        <v>1239</v>
      </c>
      <c r="E494" s="4">
        <v>1</v>
      </c>
      <c r="F494" s="8" t="str">
        <f>_xlfn.XLOOKUP(D494,Master[Product_Code],Master[Category])</f>
        <v>Pants</v>
      </c>
      <c r="G494" s="8" t="str">
        <f>_xlfn.XLOOKUP(D494,Master[Product_Code],Master[Brand])</f>
        <v>Van Heusen</v>
      </c>
      <c r="H494" s="8" t="str">
        <f>_xlfn.XLOOKUP(D494,Master[Product_Code],Master[Style])</f>
        <v>Polofit</v>
      </c>
      <c r="I494" s="8" t="str">
        <f>_xlfn.XLOOKUP(D494,Master[Product_Code],Master[Fabric])</f>
        <v>Lycra</v>
      </c>
      <c r="J494" s="8">
        <f>_xlfn.XLOOKUP(D494,Master[Product_Code],Master[Size])</f>
        <v>38</v>
      </c>
      <c r="K494" s="8" t="str">
        <f>_xlfn.XLOOKUP(D494,Master[Product_Code],Master[Color])</f>
        <v>Navy Blue</v>
      </c>
      <c r="L494" s="3">
        <f>_xlfn.XLOOKUP(D494,Master[Product_Code],Master[Selling_Price])</f>
        <v>920</v>
      </c>
    </row>
    <row r="495" spans="2:12">
      <c r="B495" s="2" t="s">
        <v>1971</v>
      </c>
      <c r="C495" s="7">
        <v>45946</v>
      </c>
      <c r="D495" s="2" t="s">
        <v>358</v>
      </c>
      <c r="E495" s="4">
        <v>1</v>
      </c>
      <c r="F495" s="8" t="str">
        <f>_xlfn.XLOOKUP(D495,Master[Product_Code],Master[Category])</f>
        <v>Shirt</v>
      </c>
      <c r="G495" s="8" t="str">
        <f>_xlfn.XLOOKUP(D495,Master[Product_Code],Master[Brand])</f>
        <v>Max</v>
      </c>
      <c r="H495" s="8" t="str">
        <f>_xlfn.XLOOKUP(D495,Master[Product_Code],Master[Style])</f>
        <v>Formal</v>
      </c>
      <c r="I495" s="8" t="str">
        <f>_xlfn.XLOOKUP(D495,Master[Product_Code],Master[Fabric])</f>
        <v>Lycra</v>
      </c>
      <c r="J495" s="8" t="str">
        <f>_xlfn.XLOOKUP(D495,Master[Product_Code],Master[Size])</f>
        <v>L</v>
      </c>
      <c r="K495" s="8" t="str">
        <f>_xlfn.XLOOKUP(D495,Master[Product_Code],Master[Color])</f>
        <v>Dark Green</v>
      </c>
      <c r="L495" s="3">
        <f>_xlfn.XLOOKUP(D495,Master[Product_Code],Master[Selling_Price])</f>
        <v>850</v>
      </c>
    </row>
    <row r="496" spans="2:12">
      <c r="B496" s="2" t="s">
        <v>1971</v>
      </c>
      <c r="C496" s="7">
        <v>45946</v>
      </c>
      <c r="D496" s="2" t="s">
        <v>1344</v>
      </c>
      <c r="E496" s="4">
        <v>1</v>
      </c>
      <c r="F496" s="8" t="str">
        <f>_xlfn.XLOOKUP(D496,Master[Product_Code],Master[Category])</f>
        <v>Pants</v>
      </c>
      <c r="G496" s="8" t="str">
        <f>_xlfn.XLOOKUP(D496,Master[Product_Code],Master[Brand])</f>
        <v>Park Avenue</v>
      </c>
      <c r="H496" s="8" t="str">
        <f>_xlfn.XLOOKUP(D496,Master[Product_Code],Master[Style])</f>
        <v>Polofit</v>
      </c>
      <c r="I496" s="8" t="str">
        <f>_xlfn.XLOOKUP(D496,Master[Product_Code],Master[Fabric])</f>
        <v>Lycra</v>
      </c>
      <c r="J496" s="8">
        <f>_xlfn.XLOOKUP(D496,Master[Product_Code],Master[Size])</f>
        <v>38</v>
      </c>
      <c r="K496" s="8" t="str">
        <f>_xlfn.XLOOKUP(D496,Master[Product_Code],Master[Color])</f>
        <v>Charcoal</v>
      </c>
      <c r="L496" s="3">
        <f>_xlfn.XLOOKUP(D496,Master[Product_Code],Master[Selling_Price])</f>
        <v>810</v>
      </c>
    </row>
    <row r="497" spans="2:12">
      <c r="B497" s="2" t="s">
        <v>1972</v>
      </c>
      <c r="C497" s="7">
        <v>45946</v>
      </c>
      <c r="D497" s="2" t="s">
        <v>165</v>
      </c>
      <c r="E497" s="4">
        <v>1</v>
      </c>
      <c r="F497" s="8" t="str">
        <f>_xlfn.XLOOKUP(D497,Master[Product_Code],Master[Category])</f>
        <v>Shirt</v>
      </c>
      <c r="G497" s="8" t="str">
        <f>_xlfn.XLOOKUP(D497,Master[Product_Code],Master[Brand])</f>
        <v>Zara</v>
      </c>
      <c r="H497" s="8" t="str">
        <f>_xlfn.XLOOKUP(D497,Master[Product_Code],Master[Style])</f>
        <v>Partywear</v>
      </c>
      <c r="I497" s="8" t="str">
        <f>_xlfn.XLOOKUP(D497,Master[Product_Code],Master[Fabric])</f>
        <v>Cotton Blend</v>
      </c>
      <c r="J497" s="8" t="str">
        <f>_xlfn.XLOOKUP(D497,Master[Product_Code],Master[Size])</f>
        <v>XL</v>
      </c>
      <c r="K497" s="8" t="str">
        <f>_xlfn.XLOOKUP(D497,Master[Product_Code],Master[Color])</f>
        <v>Peach</v>
      </c>
      <c r="L497" s="3">
        <f>_xlfn.XLOOKUP(D497,Master[Product_Code],Master[Selling_Price])</f>
        <v>940</v>
      </c>
    </row>
    <row r="498" spans="2:12">
      <c r="B498" s="2" t="s">
        <v>1972</v>
      </c>
      <c r="C498" s="7">
        <v>45946</v>
      </c>
      <c r="D498" s="2" t="s">
        <v>529</v>
      </c>
      <c r="E498" s="4">
        <v>1</v>
      </c>
      <c r="F498" s="8" t="str">
        <f>_xlfn.XLOOKUP(D498,Master[Product_Code],Master[Category])</f>
        <v>T-Shirt</v>
      </c>
      <c r="G498" s="8" t="str">
        <f>_xlfn.XLOOKUP(D498,Master[Product_Code],Master[Brand])</f>
        <v>Thailand</v>
      </c>
      <c r="H498" s="8" t="str">
        <f>_xlfn.XLOOKUP(D498,Master[Product_Code],Master[Style])</f>
        <v>Full Sleeve</v>
      </c>
      <c r="I498" s="8" t="str">
        <f>_xlfn.XLOOKUP(D498,Master[Product_Code],Master[Fabric])</f>
        <v>Cotton</v>
      </c>
      <c r="J498" s="8" t="str">
        <f>_xlfn.XLOOKUP(D498,Master[Product_Code],Master[Size])</f>
        <v>S</v>
      </c>
      <c r="K498" s="8" t="str">
        <f>_xlfn.XLOOKUP(D498,Master[Product_Code],Master[Color])</f>
        <v>Rust</v>
      </c>
      <c r="L498" s="3">
        <f>_xlfn.XLOOKUP(D498,Master[Product_Code],Master[Selling_Price])</f>
        <v>220</v>
      </c>
    </row>
    <row r="499" spans="2:12">
      <c r="B499" s="2" t="s">
        <v>1972</v>
      </c>
      <c r="C499" s="7">
        <v>45946</v>
      </c>
      <c r="D499" s="2" t="s">
        <v>988</v>
      </c>
      <c r="E499" s="4">
        <v>1</v>
      </c>
      <c r="F499" s="8" t="str">
        <f>_xlfn.XLOOKUP(D499,Master[Product_Code],Master[Category])</f>
        <v>Jeans</v>
      </c>
      <c r="G499" s="8" t="str">
        <f>_xlfn.XLOOKUP(D499,Master[Product_Code],Master[Brand])</f>
        <v>Locomotive</v>
      </c>
      <c r="H499" s="8" t="str">
        <f>_xlfn.XLOOKUP(D499,Master[Product_Code],Master[Style])</f>
        <v>Jogger</v>
      </c>
      <c r="I499" s="8" t="str">
        <f>_xlfn.XLOOKUP(D499,Master[Product_Code],Master[Fabric])</f>
        <v>Denim</v>
      </c>
      <c r="J499" s="8">
        <f>_xlfn.XLOOKUP(D499,Master[Product_Code],Master[Size])</f>
        <v>38</v>
      </c>
      <c r="K499" s="8" t="str">
        <f>_xlfn.XLOOKUP(D499,Master[Product_Code],Master[Color])</f>
        <v>Navy Blue</v>
      </c>
      <c r="L499" s="3">
        <f>_xlfn.XLOOKUP(D499,Master[Product_Code],Master[Selling_Price])</f>
        <v>840</v>
      </c>
    </row>
    <row r="500" spans="2:12">
      <c r="B500" s="2" t="s">
        <v>1972</v>
      </c>
      <c r="C500" s="7">
        <v>45946</v>
      </c>
      <c r="D500" s="2" t="s">
        <v>1633</v>
      </c>
      <c r="E500" s="4">
        <v>1</v>
      </c>
      <c r="F500" s="8" t="str">
        <f>_xlfn.XLOOKUP(D500,Master[Product_Code],Master[Category])</f>
        <v>Innerwear</v>
      </c>
      <c r="G500" s="8" t="str">
        <f>_xlfn.XLOOKUP(D500,Master[Product_Code],Master[Brand])</f>
        <v>Rupa</v>
      </c>
      <c r="H500" s="8" t="str">
        <f>_xlfn.XLOOKUP(D500,Master[Product_Code],Master[Style])</f>
        <v>Boxer</v>
      </c>
      <c r="I500" s="8" t="str">
        <f>_xlfn.XLOOKUP(D500,Master[Product_Code],Master[Fabric])</f>
        <v>Cotton Blend</v>
      </c>
      <c r="J500" s="8" t="str">
        <f>_xlfn.XLOOKUP(D500,Master[Product_Code],Master[Size])</f>
        <v>85-90</v>
      </c>
      <c r="K500" s="8" t="str">
        <f>_xlfn.XLOOKUP(D500,Master[Product_Code],Master[Color])</f>
        <v>Mustard</v>
      </c>
      <c r="L500" s="3">
        <f>_xlfn.XLOOKUP(D500,Master[Product_Code],Master[Selling_Price])</f>
        <v>180</v>
      </c>
    </row>
    <row r="501" spans="2:12">
      <c r="B501" s="2" t="s">
        <v>1973</v>
      </c>
      <c r="C501" s="7">
        <v>45946</v>
      </c>
      <c r="D501" s="2" t="s">
        <v>1080</v>
      </c>
      <c r="E501" s="4">
        <v>1</v>
      </c>
      <c r="F501" s="8" t="str">
        <f>_xlfn.XLOOKUP(D501,Master[Product_Code],Master[Category])</f>
        <v>Jeans</v>
      </c>
      <c r="G501" s="8" t="str">
        <f>_xlfn.XLOOKUP(D501,Master[Product_Code],Master[Brand])</f>
        <v>Locomotive</v>
      </c>
      <c r="H501" s="8" t="str">
        <f>_xlfn.XLOOKUP(D501,Master[Product_Code],Master[Style])</f>
        <v>Mom Fit</v>
      </c>
      <c r="I501" s="8" t="str">
        <f>_xlfn.XLOOKUP(D501,Master[Product_Code],Master[Fabric])</f>
        <v>Denim</v>
      </c>
      <c r="J501" s="8">
        <f>_xlfn.XLOOKUP(D501,Master[Product_Code],Master[Size])</f>
        <v>32</v>
      </c>
      <c r="K501" s="8" t="str">
        <f>_xlfn.XLOOKUP(D501,Master[Product_Code],Master[Color])</f>
        <v>Black</v>
      </c>
      <c r="L501" s="3">
        <f>_xlfn.XLOOKUP(D501,Master[Product_Code],Master[Selling_Price])</f>
        <v>1090</v>
      </c>
    </row>
    <row r="502" spans="2:12">
      <c r="B502" s="2" t="s">
        <v>1973</v>
      </c>
      <c r="C502" s="7">
        <v>45946</v>
      </c>
      <c r="D502" s="2" t="s">
        <v>182</v>
      </c>
      <c r="E502" s="4">
        <v>1</v>
      </c>
      <c r="F502" s="8" t="str">
        <f>_xlfn.XLOOKUP(D502,Master[Product_Code],Master[Category])</f>
        <v>Shirt</v>
      </c>
      <c r="G502" s="8" t="str">
        <f>_xlfn.XLOOKUP(D502,Master[Product_Code],Master[Brand])</f>
        <v>Luke &amp; Burg</v>
      </c>
      <c r="H502" s="8" t="str">
        <f>_xlfn.XLOOKUP(D502,Master[Product_Code],Master[Style])</f>
        <v>Partywear</v>
      </c>
      <c r="I502" s="8" t="str">
        <f>_xlfn.XLOOKUP(D502,Master[Product_Code],Master[Fabric])</f>
        <v>Cotton</v>
      </c>
      <c r="J502" s="8" t="str">
        <f>_xlfn.XLOOKUP(D502,Master[Product_Code],Master[Size])</f>
        <v>XL</v>
      </c>
      <c r="K502" s="8" t="str">
        <f>_xlfn.XLOOKUP(D502,Master[Product_Code],Master[Color])</f>
        <v>Navy Blue</v>
      </c>
      <c r="L502" s="3">
        <f>_xlfn.XLOOKUP(D502,Master[Product_Code],Master[Selling_Price])</f>
        <v>870</v>
      </c>
    </row>
    <row r="503" spans="2:12">
      <c r="B503" s="2" t="s">
        <v>1973</v>
      </c>
      <c r="C503" s="7">
        <v>45946</v>
      </c>
      <c r="D503" s="2" t="s">
        <v>652</v>
      </c>
      <c r="E503" s="4">
        <v>1</v>
      </c>
      <c r="F503" s="8" t="str">
        <f>_xlfn.XLOOKUP(D503,Master[Product_Code],Master[Category])</f>
        <v>T-Shirt</v>
      </c>
      <c r="G503" s="8" t="str">
        <f>_xlfn.XLOOKUP(D503,Master[Product_Code],Master[Brand])</f>
        <v>Zara</v>
      </c>
      <c r="H503" s="8" t="str">
        <f>_xlfn.XLOOKUP(D503,Master[Product_Code],Master[Style])</f>
        <v>Full Sleeve</v>
      </c>
      <c r="I503" s="8" t="str">
        <f>_xlfn.XLOOKUP(D503,Master[Product_Code],Master[Fabric])</f>
        <v>Cotton</v>
      </c>
      <c r="J503" s="8" t="str">
        <f>_xlfn.XLOOKUP(D503,Master[Product_Code],Master[Size])</f>
        <v>M</v>
      </c>
      <c r="K503" s="8" t="str">
        <f>_xlfn.XLOOKUP(D503,Master[Product_Code],Master[Color])</f>
        <v>Mustard</v>
      </c>
      <c r="L503" s="3">
        <f>_xlfn.XLOOKUP(D503,Master[Product_Code],Master[Selling_Price])</f>
        <v>500</v>
      </c>
    </row>
    <row r="504" spans="2:12">
      <c r="B504" s="2" t="s">
        <v>1973</v>
      </c>
      <c r="C504" s="7">
        <v>45946</v>
      </c>
      <c r="D504" s="2" t="s">
        <v>898</v>
      </c>
      <c r="E504" s="4">
        <v>1</v>
      </c>
      <c r="F504" s="8" t="str">
        <f>_xlfn.XLOOKUP(D504,Master[Product_Code],Master[Category])</f>
        <v>Jeans</v>
      </c>
      <c r="G504" s="8" t="str">
        <f>_xlfn.XLOOKUP(D504,Master[Product_Code],Master[Brand])</f>
        <v>Wrangler</v>
      </c>
      <c r="H504" s="8" t="str">
        <f>_xlfn.XLOOKUP(D504,Master[Product_Code],Master[Style])</f>
        <v>Mom Fit</v>
      </c>
      <c r="I504" s="8" t="str">
        <f>_xlfn.XLOOKUP(D504,Master[Product_Code],Master[Fabric])</f>
        <v>Denim</v>
      </c>
      <c r="J504" s="8">
        <f>_xlfn.XLOOKUP(D504,Master[Product_Code],Master[Size])</f>
        <v>44</v>
      </c>
      <c r="K504" s="8" t="str">
        <f>_xlfn.XLOOKUP(D504,Master[Product_Code],Master[Color])</f>
        <v>Sky Blue</v>
      </c>
      <c r="L504" s="3">
        <f>_xlfn.XLOOKUP(D504,Master[Product_Code],Master[Selling_Price])</f>
        <v>1070</v>
      </c>
    </row>
    <row r="505" spans="2:12">
      <c r="B505" s="2" t="s">
        <v>1974</v>
      </c>
      <c r="C505" s="7">
        <v>45946</v>
      </c>
      <c r="D505" s="2" t="s">
        <v>1420</v>
      </c>
      <c r="E505" s="4">
        <v>1</v>
      </c>
      <c r="F505" s="8" t="str">
        <f>_xlfn.XLOOKUP(D505,Master[Product_Code],Master[Category])</f>
        <v>Pants</v>
      </c>
      <c r="G505" s="8" t="str">
        <f>_xlfn.XLOOKUP(D505,Master[Product_Code],Master[Brand])</f>
        <v>Peter England</v>
      </c>
      <c r="H505" s="8" t="str">
        <f>_xlfn.XLOOKUP(D505,Master[Product_Code],Master[Style])</f>
        <v>Polofit</v>
      </c>
      <c r="I505" s="8" t="str">
        <f>_xlfn.XLOOKUP(D505,Master[Product_Code],Master[Fabric])</f>
        <v>Lycra</v>
      </c>
      <c r="J505" s="8">
        <f>_xlfn.XLOOKUP(D505,Master[Product_Code],Master[Size])</f>
        <v>34</v>
      </c>
      <c r="K505" s="8" t="str">
        <f>_xlfn.XLOOKUP(D505,Master[Product_Code],Master[Color])</f>
        <v>Peach</v>
      </c>
      <c r="L505" s="3">
        <f>_xlfn.XLOOKUP(D505,Master[Product_Code],Master[Selling_Price])</f>
        <v>930</v>
      </c>
    </row>
    <row r="506" spans="2:12">
      <c r="B506" s="2" t="s">
        <v>1974</v>
      </c>
      <c r="C506" s="7">
        <v>45946</v>
      </c>
      <c r="D506" s="2" t="s">
        <v>832</v>
      </c>
      <c r="E506" s="4">
        <v>1</v>
      </c>
      <c r="F506" s="8" t="str">
        <f>_xlfn.XLOOKUP(D506,Master[Product_Code],Master[Category])</f>
        <v>T-Shirt</v>
      </c>
      <c r="G506" s="8" t="str">
        <f>_xlfn.XLOOKUP(D506,Master[Product_Code],Master[Brand])</f>
        <v>Thailand</v>
      </c>
      <c r="H506" s="8" t="str">
        <f>_xlfn.XLOOKUP(D506,Master[Product_Code],Master[Style])</f>
        <v>3/4 Sleeve</v>
      </c>
      <c r="I506" s="8" t="str">
        <f>_xlfn.XLOOKUP(D506,Master[Product_Code],Master[Fabric])</f>
        <v>Poly Cotton</v>
      </c>
      <c r="J506" s="8" t="str">
        <f>_xlfn.XLOOKUP(D506,Master[Product_Code],Master[Size])</f>
        <v>XXL</v>
      </c>
      <c r="K506" s="8" t="str">
        <f>_xlfn.XLOOKUP(D506,Master[Product_Code],Master[Color])</f>
        <v>Beige</v>
      </c>
      <c r="L506" s="3">
        <f>_xlfn.XLOOKUP(D506,Master[Product_Code],Master[Selling_Price])</f>
        <v>400</v>
      </c>
    </row>
    <row r="507" spans="2:12">
      <c r="B507" s="2" t="s">
        <v>1974</v>
      </c>
      <c r="C507" s="7">
        <v>45946</v>
      </c>
      <c r="D507" s="2" t="s">
        <v>1273</v>
      </c>
      <c r="E507" s="4">
        <v>1</v>
      </c>
      <c r="F507" s="8" t="str">
        <f>_xlfn.XLOOKUP(D507,Master[Product_Code],Master[Category])</f>
        <v>Pants</v>
      </c>
      <c r="G507" s="8" t="str">
        <f>_xlfn.XLOOKUP(D507,Master[Product_Code],Master[Brand])</f>
        <v>Van Heusen</v>
      </c>
      <c r="H507" s="8" t="str">
        <f>_xlfn.XLOOKUP(D507,Master[Product_Code],Master[Style])</f>
        <v>Polofit</v>
      </c>
      <c r="I507" s="8" t="str">
        <f>_xlfn.XLOOKUP(D507,Master[Product_Code],Master[Fabric])</f>
        <v>Lycra</v>
      </c>
      <c r="J507" s="8">
        <f>_xlfn.XLOOKUP(D507,Master[Product_Code],Master[Size])</f>
        <v>28</v>
      </c>
      <c r="K507" s="8" t="str">
        <f>_xlfn.XLOOKUP(D507,Master[Product_Code],Master[Color])</f>
        <v>Maroon</v>
      </c>
      <c r="L507" s="3">
        <f>_xlfn.XLOOKUP(D507,Master[Product_Code],Master[Selling_Price])</f>
        <v>750</v>
      </c>
    </row>
    <row r="508" spans="2:12">
      <c r="B508" s="2" t="s">
        <v>1975</v>
      </c>
      <c r="C508" s="7">
        <v>45946</v>
      </c>
      <c r="D508" s="2" t="s">
        <v>758</v>
      </c>
      <c r="E508" s="4">
        <v>1</v>
      </c>
      <c r="F508" s="8" t="str">
        <f>_xlfn.XLOOKUP(D508,Master[Product_Code],Master[Category])</f>
        <v>T-Shirt</v>
      </c>
      <c r="G508" s="8" t="str">
        <f>_xlfn.XLOOKUP(D508,Master[Product_Code],Master[Brand])</f>
        <v>Roadster</v>
      </c>
      <c r="H508" s="8" t="str">
        <f>_xlfn.XLOOKUP(D508,Master[Product_Code],Master[Style])</f>
        <v>Sleeveless</v>
      </c>
      <c r="I508" s="8" t="str">
        <f>_xlfn.XLOOKUP(D508,Master[Product_Code],Master[Fabric])</f>
        <v>Poly Cotton</v>
      </c>
      <c r="J508" s="8" t="str">
        <f>_xlfn.XLOOKUP(D508,Master[Product_Code],Master[Size])</f>
        <v>M</v>
      </c>
      <c r="K508" s="8" t="str">
        <f>_xlfn.XLOOKUP(D508,Master[Product_Code],Master[Color])</f>
        <v>White</v>
      </c>
      <c r="L508" s="3">
        <f>_xlfn.XLOOKUP(D508,Master[Product_Code],Master[Selling_Price])</f>
        <v>620</v>
      </c>
    </row>
    <row r="509" spans="2:12">
      <c r="B509" s="2" t="s">
        <v>1976</v>
      </c>
      <c r="C509" s="7">
        <v>45946</v>
      </c>
      <c r="D509" s="2" t="s">
        <v>213</v>
      </c>
      <c r="E509" s="4">
        <v>1</v>
      </c>
      <c r="F509" s="8" t="str">
        <f>_xlfn.XLOOKUP(D509,Master[Product_Code],Master[Category])</f>
        <v>Shirt</v>
      </c>
      <c r="G509" s="8" t="str">
        <f>_xlfn.XLOOKUP(D509,Master[Product_Code],Master[Brand])</f>
        <v>Luke &amp; Burg</v>
      </c>
      <c r="H509" s="8" t="str">
        <f>_xlfn.XLOOKUP(D509,Master[Product_Code],Master[Style])</f>
        <v>Formal</v>
      </c>
      <c r="I509" s="8" t="str">
        <f>_xlfn.XLOOKUP(D509,Master[Product_Code],Master[Fabric])</f>
        <v>Lycra</v>
      </c>
      <c r="J509" s="8" t="str">
        <f>_xlfn.XLOOKUP(D509,Master[Product_Code],Master[Size])</f>
        <v>M</v>
      </c>
      <c r="K509" s="8" t="str">
        <f>_xlfn.XLOOKUP(D509,Master[Product_Code],Master[Color])</f>
        <v>Dark Green</v>
      </c>
      <c r="L509" s="3">
        <f>_xlfn.XLOOKUP(D509,Master[Product_Code],Master[Selling_Price])</f>
        <v>750</v>
      </c>
    </row>
    <row r="510" spans="2:12">
      <c r="B510" s="2" t="s">
        <v>1976</v>
      </c>
      <c r="C510" s="7">
        <v>45946</v>
      </c>
      <c r="D510" s="2" t="s">
        <v>1450</v>
      </c>
      <c r="E510" s="4">
        <v>1</v>
      </c>
      <c r="F510" s="8" t="str">
        <f>_xlfn.XLOOKUP(D510,Master[Product_Code],Master[Category])</f>
        <v>Pants</v>
      </c>
      <c r="G510" s="8" t="str">
        <f>_xlfn.XLOOKUP(D510,Master[Product_Code],Master[Brand])</f>
        <v>Park Avenue</v>
      </c>
      <c r="H510" s="8" t="str">
        <f>_xlfn.XLOOKUP(D510,Master[Product_Code],Master[Style])</f>
        <v>Kurka</v>
      </c>
      <c r="I510" s="8" t="str">
        <f>_xlfn.XLOOKUP(D510,Master[Product_Code],Master[Fabric])</f>
        <v>Lycra</v>
      </c>
      <c r="J510" s="8">
        <f>_xlfn.XLOOKUP(D510,Master[Product_Code],Master[Size])</f>
        <v>34</v>
      </c>
      <c r="K510" s="8" t="str">
        <f>_xlfn.XLOOKUP(D510,Master[Product_Code],Master[Color])</f>
        <v>Charcoal</v>
      </c>
      <c r="L510" s="3">
        <f>_xlfn.XLOOKUP(D510,Master[Product_Code],Master[Selling_Price])</f>
        <v>870</v>
      </c>
    </row>
    <row r="511" spans="2:12">
      <c r="B511" s="2" t="s">
        <v>1976</v>
      </c>
      <c r="C511" s="7">
        <v>45946</v>
      </c>
      <c r="D511" s="2" t="s">
        <v>1246</v>
      </c>
      <c r="E511" s="4">
        <v>1</v>
      </c>
      <c r="F511" s="8" t="str">
        <f>_xlfn.XLOOKUP(D511,Master[Product_Code],Master[Category])</f>
        <v>Pants</v>
      </c>
      <c r="G511" s="8" t="str">
        <f>_xlfn.XLOOKUP(D511,Master[Product_Code],Master[Brand])</f>
        <v>Raymond</v>
      </c>
      <c r="H511" s="8" t="str">
        <f>_xlfn.XLOOKUP(D511,Master[Product_Code],Master[Style])</f>
        <v>Jogger</v>
      </c>
      <c r="I511" s="8" t="str">
        <f>_xlfn.XLOOKUP(D511,Master[Product_Code],Master[Fabric])</f>
        <v>Cotton</v>
      </c>
      <c r="J511" s="8">
        <f>_xlfn.XLOOKUP(D511,Master[Product_Code],Master[Size])</f>
        <v>28</v>
      </c>
      <c r="K511" s="8" t="str">
        <f>_xlfn.XLOOKUP(D511,Master[Product_Code],Master[Color])</f>
        <v>Charcoal</v>
      </c>
      <c r="L511" s="3">
        <f>_xlfn.XLOOKUP(D511,Master[Product_Code],Master[Selling_Price])</f>
        <v>810</v>
      </c>
    </row>
    <row r="512" spans="2:12">
      <c r="B512" s="2" t="s">
        <v>1976</v>
      </c>
      <c r="C512" s="7">
        <v>45946</v>
      </c>
      <c r="D512" s="2" t="s">
        <v>980</v>
      </c>
      <c r="E512" s="4">
        <v>1</v>
      </c>
      <c r="F512" s="8" t="str">
        <f>_xlfn.XLOOKUP(D512,Master[Product_Code],Master[Category])</f>
        <v>Jeans</v>
      </c>
      <c r="G512" s="8" t="str">
        <f>_xlfn.XLOOKUP(D512,Master[Product_Code],Master[Brand])</f>
        <v>Pepe</v>
      </c>
      <c r="H512" s="8" t="str">
        <f>_xlfn.XLOOKUP(D512,Master[Product_Code],Master[Style])</f>
        <v>Jogger</v>
      </c>
      <c r="I512" s="8" t="str">
        <f>_xlfn.XLOOKUP(D512,Master[Product_Code],Master[Fabric])</f>
        <v>Denim</v>
      </c>
      <c r="J512" s="8">
        <f>_xlfn.XLOOKUP(D512,Master[Product_Code],Master[Size])</f>
        <v>40</v>
      </c>
      <c r="K512" s="8" t="str">
        <f>_xlfn.XLOOKUP(D512,Master[Product_Code],Master[Color])</f>
        <v>Bottle Green</v>
      </c>
      <c r="L512" s="3">
        <f>_xlfn.XLOOKUP(D512,Master[Product_Code],Master[Selling_Price])</f>
        <v>990</v>
      </c>
    </row>
    <row r="513" spans="2:12">
      <c r="B513" s="2" t="s">
        <v>1977</v>
      </c>
      <c r="C513" s="7">
        <v>45946</v>
      </c>
      <c r="D513" s="2" t="s">
        <v>939</v>
      </c>
      <c r="E513" s="4">
        <v>1</v>
      </c>
      <c r="F513" s="8" t="str">
        <f>_xlfn.XLOOKUP(D513,Master[Product_Code],Master[Category])</f>
        <v>Jeans</v>
      </c>
      <c r="G513" s="8" t="str">
        <f>_xlfn.XLOOKUP(D513,Master[Product_Code],Master[Brand])</f>
        <v>Denim Pro</v>
      </c>
      <c r="H513" s="8" t="str">
        <f>_xlfn.XLOOKUP(D513,Master[Product_Code],Master[Style])</f>
        <v>Jogger</v>
      </c>
      <c r="I513" s="8" t="str">
        <f>_xlfn.XLOOKUP(D513,Master[Product_Code],Master[Fabric])</f>
        <v>Denim</v>
      </c>
      <c r="J513" s="8">
        <f>_xlfn.XLOOKUP(D513,Master[Product_Code],Master[Size])</f>
        <v>40</v>
      </c>
      <c r="K513" s="8" t="str">
        <f>_xlfn.XLOOKUP(D513,Master[Product_Code],Master[Color])</f>
        <v>Charcoal</v>
      </c>
      <c r="L513" s="3">
        <f>_xlfn.XLOOKUP(D513,Master[Product_Code],Master[Selling_Price])</f>
        <v>960</v>
      </c>
    </row>
    <row r="514" spans="2:12">
      <c r="B514" s="2" t="s">
        <v>1978</v>
      </c>
      <c r="C514" s="7">
        <v>45946</v>
      </c>
      <c r="D514" s="2" t="s">
        <v>242</v>
      </c>
      <c r="E514" s="4">
        <v>1</v>
      </c>
      <c r="F514" s="8" t="str">
        <f>_xlfn.XLOOKUP(D514,Master[Product_Code],Master[Category])</f>
        <v>Shirt</v>
      </c>
      <c r="G514" s="8" t="str">
        <f>_xlfn.XLOOKUP(D514,Master[Product_Code],Master[Brand])</f>
        <v>L7</v>
      </c>
      <c r="H514" s="8" t="str">
        <f>_xlfn.XLOOKUP(D514,Master[Product_Code],Master[Style])</f>
        <v>Casual</v>
      </c>
      <c r="I514" s="8" t="str">
        <f>_xlfn.XLOOKUP(D514,Master[Product_Code],Master[Fabric])</f>
        <v>Cotton Blend</v>
      </c>
      <c r="J514" s="8" t="str">
        <f>_xlfn.XLOOKUP(D514,Master[Product_Code],Master[Size])</f>
        <v>XL</v>
      </c>
      <c r="K514" s="8" t="str">
        <f>_xlfn.XLOOKUP(D514,Master[Product_Code],Master[Color])</f>
        <v>White</v>
      </c>
      <c r="L514" s="3">
        <f>_xlfn.XLOOKUP(D514,Master[Product_Code],Master[Selling_Price])</f>
        <v>870</v>
      </c>
    </row>
    <row r="515" spans="2:12">
      <c r="B515" s="2" t="s">
        <v>1978</v>
      </c>
      <c r="C515" s="7">
        <v>45946</v>
      </c>
      <c r="D515" s="2" t="s">
        <v>961</v>
      </c>
      <c r="E515" s="4">
        <v>1</v>
      </c>
      <c r="F515" s="8" t="str">
        <f>_xlfn.XLOOKUP(D515,Master[Product_Code],Master[Category])</f>
        <v>Jeans</v>
      </c>
      <c r="G515" s="8" t="str">
        <f>_xlfn.XLOOKUP(D515,Master[Product_Code],Master[Brand])</f>
        <v>Locomotive</v>
      </c>
      <c r="H515" s="8" t="str">
        <f>_xlfn.XLOOKUP(D515,Master[Product_Code],Master[Style])</f>
        <v>Jogger</v>
      </c>
      <c r="I515" s="8" t="str">
        <f>_xlfn.XLOOKUP(D515,Master[Product_Code],Master[Fabric])</f>
        <v>Denim</v>
      </c>
      <c r="J515" s="8">
        <f>_xlfn.XLOOKUP(D515,Master[Product_Code],Master[Size])</f>
        <v>40</v>
      </c>
      <c r="K515" s="8" t="str">
        <f>_xlfn.XLOOKUP(D515,Master[Product_Code],Master[Color])</f>
        <v>Dark Green</v>
      </c>
      <c r="L515" s="3">
        <f>_xlfn.XLOOKUP(D515,Master[Product_Code],Master[Selling_Price])</f>
        <v>1030</v>
      </c>
    </row>
    <row r="516" spans="2:12">
      <c r="B516" s="2" t="s">
        <v>1978</v>
      </c>
      <c r="C516" s="7">
        <v>45946</v>
      </c>
      <c r="D516" s="2" t="s">
        <v>1234</v>
      </c>
      <c r="E516" s="4">
        <v>1</v>
      </c>
      <c r="F516" s="8" t="str">
        <f>_xlfn.XLOOKUP(D516,Master[Product_Code],Master[Category])</f>
        <v>Pants</v>
      </c>
      <c r="G516" s="8" t="str">
        <f>_xlfn.XLOOKUP(D516,Master[Product_Code],Master[Brand])</f>
        <v>Peter England</v>
      </c>
      <c r="H516" s="8" t="str">
        <f>_xlfn.XLOOKUP(D516,Master[Product_Code],Master[Style])</f>
        <v>Korean</v>
      </c>
      <c r="I516" s="8" t="str">
        <f>_xlfn.XLOOKUP(D516,Master[Product_Code],Master[Fabric])</f>
        <v>Lycra</v>
      </c>
      <c r="J516" s="8">
        <f>_xlfn.XLOOKUP(D516,Master[Product_Code],Master[Size])</f>
        <v>34</v>
      </c>
      <c r="K516" s="8" t="str">
        <f>_xlfn.XLOOKUP(D516,Master[Product_Code],Master[Color])</f>
        <v>Rust</v>
      </c>
      <c r="L516" s="3">
        <f>_xlfn.XLOOKUP(D516,Master[Product_Code],Master[Selling_Price])</f>
        <v>800</v>
      </c>
    </row>
    <row r="517" spans="2:12">
      <c r="B517" s="2" t="s">
        <v>1978</v>
      </c>
      <c r="C517" s="7">
        <v>45946</v>
      </c>
      <c r="D517" s="2" t="s">
        <v>564</v>
      </c>
      <c r="E517" s="4">
        <v>1</v>
      </c>
      <c r="F517" s="8" t="str">
        <f>_xlfn.XLOOKUP(D517,Master[Product_Code],Master[Category])</f>
        <v>T-Shirt</v>
      </c>
      <c r="G517" s="8" t="str">
        <f>_xlfn.XLOOKUP(D517,Master[Product_Code],Master[Brand])</f>
        <v>Turkey</v>
      </c>
      <c r="H517" s="8" t="str">
        <f>_xlfn.XLOOKUP(D517,Master[Product_Code],Master[Style])</f>
        <v>Sleeveless</v>
      </c>
      <c r="I517" s="8" t="str">
        <f>_xlfn.XLOOKUP(D517,Master[Product_Code],Master[Fabric])</f>
        <v>Cotton Blend</v>
      </c>
      <c r="J517" s="8" t="str">
        <f>_xlfn.XLOOKUP(D517,Master[Product_Code],Master[Size])</f>
        <v>S</v>
      </c>
      <c r="K517" s="8" t="str">
        <f>_xlfn.XLOOKUP(D517,Master[Product_Code],Master[Color])</f>
        <v>Light Grey</v>
      </c>
      <c r="L517" s="3">
        <f>_xlfn.XLOOKUP(D517,Master[Product_Code],Master[Selling_Price])</f>
        <v>300</v>
      </c>
    </row>
    <row r="518" spans="2:12">
      <c r="B518" s="2" t="s">
        <v>1979</v>
      </c>
      <c r="C518" s="7">
        <v>45947</v>
      </c>
      <c r="D518" s="2" t="s">
        <v>420</v>
      </c>
      <c r="E518" s="4">
        <v>1</v>
      </c>
      <c r="F518" s="8" t="str">
        <f>_xlfn.XLOOKUP(D518,Master[Product_Code],Master[Category])</f>
        <v>T-Shirt</v>
      </c>
      <c r="G518" s="8" t="str">
        <f>_xlfn.XLOOKUP(D518,Master[Product_Code],Master[Brand])</f>
        <v>Roadster</v>
      </c>
      <c r="H518" s="8" t="str">
        <f>_xlfn.XLOOKUP(D518,Master[Product_Code],Master[Style])</f>
        <v>3/4 Sleeve</v>
      </c>
      <c r="I518" s="8" t="str">
        <f>_xlfn.XLOOKUP(D518,Master[Product_Code],Master[Fabric])</f>
        <v>Cotton Blend</v>
      </c>
      <c r="J518" s="8" t="str">
        <f>_xlfn.XLOOKUP(D518,Master[Product_Code],Master[Size])</f>
        <v>XL</v>
      </c>
      <c r="K518" s="8" t="str">
        <f>_xlfn.XLOOKUP(D518,Master[Product_Code],Master[Color])</f>
        <v>Cream</v>
      </c>
      <c r="L518" s="3">
        <f>_xlfn.XLOOKUP(D518,Master[Product_Code],Master[Selling_Price])</f>
        <v>380</v>
      </c>
    </row>
    <row r="519" spans="2:12">
      <c r="B519" s="2" t="s">
        <v>1979</v>
      </c>
      <c r="C519" s="7">
        <v>45947</v>
      </c>
      <c r="D519" s="2" t="s">
        <v>1295</v>
      </c>
      <c r="E519" s="4">
        <v>1</v>
      </c>
      <c r="F519" s="8" t="str">
        <f>_xlfn.XLOOKUP(D519,Master[Product_Code],Master[Category])</f>
        <v>Pants</v>
      </c>
      <c r="G519" s="8" t="str">
        <f>_xlfn.XLOOKUP(D519,Master[Product_Code],Master[Brand])</f>
        <v>Van Heusen</v>
      </c>
      <c r="H519" s="8" t="str">
        <f>_xlfn.XLOOKUP(D519,Master[Product_Code],Master[Style])</f>
        <v>Kurka</v>
      </c>
      <c r="I519" s="8" t="str">
        <f>_xlfn.XLOOKUP(D519,Master[Product_Code],Master[Fabric])</f>
        <v>Lycra</v>
      </c>
      <c r="J519" s="8">
        <f>_xlfn.XLOOKUP(D519,Master[Product_Code],Master[Size])</f>
        <v>36</v>
      </c>
      <c r="K519" s="8" t="str">
        <f>_xlfn.XLOOKUP(D519,Master[Product_Code],Master[Color])</f>
        <v>Charcoal</v>
      </c>
      <c r="L519" s="3">
        <f>_xlfn.XLOOKUP(D519,Master[Product_Code],Master[Selling_Price])</f>
        <v>870</v>
      </c>
    </row>
    <row r="520" spans="2:12">
      <c r="B520" s="2" t="s">
        <v>1980</v>
      </c>
      <c r="C520" s="7">
        <v>45947</v>
      </c>
      <c r="D520" s="2" t="s">
        <v>526</v>
      </c>
      <c r="E520" s="4">
        <v>1</v>
      </c>
      <c r="F520" s="8" t="str">
        <f>_xlfn.XLOOKUP(D520,Master[Product_Code],Master[Category])</f>
        <v>T-Shirt</v>
      </c>
      <c r="G520" s="8" t="str">
        <f>_xlfn.XLOOKUP(D520,Master[Product_Code],Master[Brand])</f>
        <v>Zara</v>
      </c>
      <c r="H520" s="8" t="str">
        <f>_xlfn.XLOOKUP(D520,Master[Product_Code],Master[Style])</f>
        <v>Full Sleeve</v>
      </c>
      <c r="I520" s="8" t="str">
        <f>_xlfn.XLOOKUP(D520,Master[Product_Code],Master[Fabric])</f>
        <v>Cotton Blend</v>
      </c>
      <c r="J520" s="8" t="str">
        <f>_xlfn.XLOOKUP(D520,Master[Product_Code],Master[Size])</f>
        <v>XXL</v>
      </c>
      <c r="K520" s="8" t="str">
        <f>_xlfn.XLOOKUP(D520,Master[Product_Code],Master[Color])</f>
        <v>Navy Blue</v>
      </c>
      <c r="L520" s="3">
        <f>_xlfn.XLOOKUP(D520,Master[Product_Code],Master[Selling_Price])</f>
        <v>480</v>
      </c>
    </row>
    <row r="521" spans="2:12">
      <c r="B521" s="2" t="s">
        <v>1980</v>
      </c>
      <c r="C521" s="7">
        <v>45947</v>
      </c>
      <c r="D521" s="2" t="s">
        <v>293</v>
      </c>
      <c r="E521" s="4">
        <v>1</v>
      </c>
      <c r="F521" s="8" t="str">
        <f>_xlfn.XLOOKUP(D521,Master[Product_Code],Master[Category])</f>
        <v>Shirt</v>
      </c>
      <c r="G521" s="8" t="str">
        <f>_xlfn.XLOOKUP(D521,Master[Product_Code],Master[Brand])</f>
        <v>Zara</v>
      </c>
      <c r="H521" s="8" t="str">
        <f>_xlfn.XLOOKUP(D521,Master[Product_Code],Master[Style])</f>
        <v>Casual</v>
      </c>
      <c r="I521" s="8" t="str">
        <f>_xlfn.XLOOKUP(D521,Master[Product_Code],Master[Fabric])</f>
        <v>Lycra</v>
      </c>
      <c r="J521" s="8" t="str">
        <f>_xlfn.XLOOKUP(D521,Master[Product_Code],Master[Size])</f>
        <v>M</v>
      </c>
      <c r="K521" s="8" t="str">
        <f>_xlfn.XLOOKUP(D521,Master[Product_Code],Master[Color])</f>
        <v>Dark Green</v>
      </c>
      <c r="L521" s="3">
        <f>_xlfn.XLOOKUP(D521,Master[Product_Code],Master[Selling_Price])</f>
        <v>660</v>
      </c>
    </row>
    <row r="522" spans="2:12">
      <c r="B522" s="2" t="s">
        <v>1980</v>
      </c>
      <c r="C522" s="7">
        <v>45947</v>
      </c>
      <c r="D522" s="2" t="s">
        <v>1455</v>
      </c>
      <c r="E522" s="4">
        <v>1</v>
      </c>
      <c r="F522" s="8" t="str">
        <f>_xlfn.XLOOKUP(D522,Master[Product_Code],Master[Category])</f>
        <v>Pants</v>
      </c>
      <c r="G522" s="8" t="str">
        <f>_xlfn.XLOOKUP(D522,Master[Product_Code],Master[Brand])</f>
        <v>Louis Philippe</v>
      </c>
      <c r="H522" s="8" t="str">
        <f>_xlfn.XLOOKUP(D522,Master[Product_Code],Master[Style])</f>
        <v>Boot Cut</v>
      </c>
      <c r="I522" s="8" t="str">
        <f>_xlfn.XLOOKUP(D522,Master[Product_Code],Master[Fabric])</f>
        <v>Cotton Blend</v>
      </c>
      <c r="J522" s="8">
        <f>_xlfn.XLOOKUP(D522,Master[Product_Code],Master[Size])</f>
        <v>44</v>
      </c>
      <c r="K522" s="8" t="str">
        <f>_xlfn.XLOOKUP(D522,Master[Product_Code],Master[Color])</f>
        <v>Brown</v>
      </c>
      <c r="L522" s="3">
        <f>_xlfn.XLOOKUP(D522,Master[Product_Code],Master[Selling_Price])</f>
        <v>850</v>
      </c>
    </row>
    <row r="523" spans="2:12">
      <c r="B523" s="2" t="s">
        <v>1980</v>
      </c>
      <c r="C523" s="7">
        <v>45947</v>
      </c>
      <c r="D523" s="2" t="s">
        <v>1401</v>
      </c>
      <c r="E523" s="4">
        <v>1</v>
      </c>
      <c r="F523" s="8" t="str">
        <f>_xlfn.XLOOKUP(D523,Master[Product_Code],Master[Category])</f>
        <v>Pants</v>
      </c>
      <c r="G523" s="8" t="str">
        <f>_xlfn.XLOOKUP(D523,Master[Product_Code],Master[Brand])</f>
        <v>Raymond</v>
      </c>
      <c r="H523" s="8" t="str">
        <f>_xlfn.XLOOKUP(D523,Master[Product_Code],Master[Style])</f>
        <v>Korean</v>
      </c>
      <c r="I523" s="8" t="str">
        <f>_xlfn.XLOOKUP(D523,Master[Product_Code],Master[Fabric])</f>
        <v>Lycra</v>
      </c>
      <c r="J523" s="8">
        <f>_xlfn.XLOOKUP(D523,Master[Product_Code],Master[Size])</f>
        <v>44</v>
      </c>
      <c r="K523" s="8" t="str">
        <f>_xlfn.XLOOKUP(D523,Master[Product_Code],Master[Color])</f>
        <v>Cream</v>
      </c>
      <c r="L523" s="3">
        <f>_xlfn.XLOOKUP(D523,Master[Product_Code],Master[Selling_Price])</f>
        <v>780</v>
      </c>
    </row>
    <row r="524" spans="2:12">
      <c r="B524" s="2" t="s">
        <v>1981</v>
      </c>
      <c r="C524" s="7">
        <v>45947</v>
      </c>
      <c r="D524" s="2" t="s">
        <v>931</v>
      </c>
      <c r="E524" s="4">
        <v>1</v>
      </c>
      <c r="F524" s="8" t="str">
        <f>_xlfn.XLOOKUP(D524,Master[Product_Code],Master[Category])</f>
        <v>Jeans</v>
      </c>
      <c r="G524" s="8" t="str">
        <f>_xlfn.XLOOKUP(D524,Master[Product_Code],Master[Brand])</f>
        <v>Levis</v>
      </c>
      <c r="H524" s="8" t="str">
        <f>_xlfn.XLOOKUP(D524,Master[Product_Code],Master[Style])</f>
        <v>Jogger</v>
      </c>
      <c r="I524" s="8" t="str">
        <f>_xlfn.XLOOKUP(D524,Master[Product_Code],Master[Fabric])</f>
        <v>Denim</v>
      </c>
      <c r="J524" s="8">
        <f>_xlfn.XLOOKUP(D524,Master[Product_Code],Master[Size])</f>
        <v>30</v>
      </c>
      <c r="K524" s="8" t="str">
        <f>_xlfn.XLOOKUP(D524,Master[Product_Code],Master[Color])</f>
        <v>Rust</v>
      </c>
      <c r="L524" s="3">
        <f>_xlfn.XLOOKUP(D524,Master[Product_Code],Master[Selling_Price])</f>
        <v>790</v>
      </c>
    </row>
    <row r="525" spans="2:12">
      <c r="B525" s="2" t="s">
        <v>1981</v>
      </c>
      <c r="C525" s="7">
        <v>45947</v>
      </c>
      <c r="D525" s="2" t="s">
        <v>1121</v>
      </c>
      <c r="E525" s="4">
        <v>1</v>
      </c>
      <c r="F525" s="8" t="str">
        <f>_xlfn.XLOOKUP(D525,Master[Product_Code],Master[Category])</f>
        <v>Jeans</v>
      </c>
      <c r="G525" s="8" t="str">
        <f>_xlfn.XLOOKUP(D525,Master[Product_Code],Master[Brand])</f>
        <v>Locomotive</v>
      </c>
      <c r="H525" s="8" t="str">
        <f>_xlfn.XLOOKUP(D525,Master[Product_Code],Master[Style])</f>
        <v>Jogger</v>
      </c>
      <c r="I525" s="8" t="str">
        <f>_xlfn.XLOOKUP(D525,Master[Product_Code],Master[Fabric])</f>
        <v>Denim</v>
      </c>
      <c r="J525" s="8">
        <f>_xlfn.XLOOKUP(D525,Master[Product_Code],Master[Size])</f>
        <v>44</v>
      </c>
      <c r="K525" s="8" t="str">
        <f>_xlfn.XLOOKUP(D525,Master[Product_Code],Master[Color])</f>
        <v>Grey</v>
      </c>
      <c r="L525" s="3">
        <f>_xlfn.XLOOKUP(D525,Master[Product_Code],Master[Selling_Price])</f>
        <v>1000</v>
      </c>
    </row>
    <row r="526" spans="2:12">
      <c r="B526" s="2" t="s">
        <v>1982</v>
      </c>
      <c r="C526" s="7">
        <v>45947</v>
      </c>
      <c r="D526" s="2" t="s">
        <v>511</v>
      </c>
      <c r="E526" s="4">
        <v>1</v>
      </c>
      <c r="F526" s="8" t="str">
        <f>_xlfn.XLOOKUP(D526,Master[Product_Code],Master[Category])</f>
        <v>T-Shirt</v>
      </c>
      <c r="G526" s="8" t="str">
        <f>_xlfn.XLOOKUP(D526,Master[Product_Code],Master[Brand])</f>
        <v>Campus</v>
      </c>
      <c r="H526" s="8" t="str">
        <f>_xlfn.XLOOKUP(D526,Master[Product_Code],Master[Style])</f>
        <v>Full Sleeve</v>
      </c>
      <c r="I526" s="8" t="str">
        <f>_xlfn.XLOOKUP(D526,Master[Product_Code],Master[Fabric])</f>
        <v>Poly Cotton</v>
      </c>
      <c r="J526" s="8" t="str">
        <f>_xlfn.XLOOKUP(D526,Master[Product_Code],Master[Size])</f>
        <v>L</v>
      </c>
      <c r="K526" s="8" t="str">
        <f>_xlfn.XLOOKUP(D526,Master[Product_Code],Master[Color])</f>
        <v>Olive</v>
      </c>
      <c r="L526" s="3">
        <f>_xlfn.XLOOKUP(D526,Master[Product_Code],Master[Selling_Price])</f>
        <v>350</v>
      </c>
    </row>
    <row r="527" spans="2:12">
      <c r="B527" s="2" t="s">
        <v>1982</v>
      </c>
      <c r="C527" s="7">
        <v>45947</v>
      </c>
      <c r="D527" s="2" t="s">
        <v>528</v>
      </c>
      <c r="E527" s="4">
        <v>1</v>
      </c>
      <c r="F527" s="8" t="str">
        <f>_xlfn.XLOOKUP(D527,Master[Product_Code],Master[Category])</f>
        <v>T-Shirt</v>
      </c>
      <c r="G527" s="8" t="str">
        <f>_xlfn.XLOOKUP(D527,Master[Product_Code],Master[Brand])</f>
        <v>Campus</v>
      </c>
      <c r="H527" s="8" t="str">
        <f>_xlfn.XLOOKUP(D527,Master[Product_Code],Master[Style])</f>
        <v>Full Sleeve</v>
      </c>
      <c r="I527" s="8" t="str">
        <f>_xlfn.XLOOKUP(D527,Master[Product_Code],Master[Fabric])</f>
        <v>Cotton Blend</v>
      </c>
      <c r="J527" s="8" t="str">
        <f>_xlfn.XLOOKUP(D527,Master[Product_Code],Master[Size])</f>
        <v>S</v>
      </c>
      <c r="K527" s="8" t="str">
        <f>_xlfn.XLOOKUP(D527,Master[Product_Code],Master[Color])</f>
        <v>Black</v>
      </c>
      <c r="L527" s="3">
        <f>_xlfn.XLOOKUP(D527,Master[Product_Code],Master[Selling_Price])</f>
        <v>600</v>
      </c>
    </row>
    <row r="528" spans="2:12">
      <c r="B528" s="2" t="s">
        <v>1982</v>
      </c>
      <c r="C528" s="7">
        <v>45947</v>
      </c>
      <c r="D528" s="2" t="s">
        <v>1374</v>
      </c>
      <c r="E528" s="4">
        <v>1</v>
      </c>
      <c r="F528" s="8" t="str">
        <f>_xlfn.XLOOKUP(D528,Master[Product_Code],Master[Category])</f>
        <v>Pants</v>
      </c>
      <c r="G528" s="8" t="str">
        <f>_xlfn.XLOOKUP(D528,Master[Product_Code],Master[Brand])</f>
        <v>Raymond</v>
      </c>
      <c r="H528" s="8" t="str">
        <f>_xlfn.XLOOKUP(D528,Master[Product_Code],Master[Style])</f>
        <v>Polofit</v>
      </c>
      <c r="I528" s="8" t="str">
        <f>_xlfn.XLOOKUP(D528,Master[Product_Code],Master[Fabric])</f>
        <v>Lycra</v>
      </c>
      <c r="J528" s="8">
        <f>_xlfn.XLOOKUP(D528,Master[Product_Code],Master[Size])</f>
        <v>34</v>
      </c>
      <c r="K528" s="8" t="str">
        <f>_xlfn.XLOOKUP(D528,Master[Product_Code],Master[Color])</f>
        <v>Royal Blue</v>
      </c>
      <c r="L528" s="3">
        <f>_xlfn.XLOOKUP(D528,Master[Product_Code],Master[Selling_Price])</f>
        <v>830</v>
      </c>
    </row>
    <row r="529" spans="2:12">
      <c r="B529" s="2" t="s">
        <v>1982</v>
      </c>
      <c r="C529" s="7">
        <v>45947</v>
      </c>
      <c r="D529" s="2" t="s">
        <v>1562</v>
      </c>
      <c r="E529" s="4">
        <v>1</v>
      </c>
      <c r="F529" s="8" t="str">
        <f>_xlfn.XLOOKUP(D529,Master[Product_Code],Master[Category])</f>
        <v>Innerwear</v>
      </c>
      <c r="G529" s="8" t="str">
        <f>_xlfn.XLOOKUP(D529,Master[Product_Code],Master[Brand])</f>
        <v>Rupa</v>
      </c>
      <c r="H529" s="8" t="str">
        <f>_xlfn.XLOOKUP(D529,Master[Product_Code],Master[Style])</f>
        <v>Boxer</v>
      </c>
      <c r="I529" s="8" t="str">
        <f>_xlfn.XLOOKUP(D529,Master[Product_Code],Master[Fabric])</f>
        <v>Cotton Blend</v>
      </c>
      <c r="J529" s="8" t="str">
        <f>_xlfn.XLOOKUP(D529,Master[Product_Code],Master[Size])</f>
        <v>105-110</v>
      </c>
      <c r="K529" s="8" t="str">
        <f>_xlfn.XLOOKUP(D529,Master[Product_Code],Master[Color])</f>
        <v>Rust</v>
      </c>
      <c r="L529" s="3">
        <f>_xlfn.XLOOKUP(D529,Master[Product_Code],Master[Selling_Price])</f>
        <v>180</v>
      </c>
    </row>
    <row r="530" spans="2:12">
      <c r="B530" s="2" t="s">
        <v>1983</v>
      </c>
      <c r="C530" s="7">
        <v>45947</v>
      </c>
      <c r="D530" s="2" t="s">
        <v>1204</v>
      </c>
      <c r="E530" s="4">
        <v>1</v>
      </c>
      <c r="F530" s="8" t="str">
        <f>_xlfn.XLOOKUP(D530,Master[Product_Code],Master[Category])</f>
        <v>Pants</v>
      </c>
      <c r="G530" s="8" t="str">
        <f>_xlfn.XLOOKUP(D530,Master[Product_Code],Master[Brand])</f>
        <v>Raymond</v>
      </c>
      <c r="H530" s="8" t="str">
        <f>_xlfn.XLOOKUP(D530,Master[Product_Code],Master[Style])</f>
        <v>Polofit</v>
      </c>
      <c r="I530" s="8" t="str">
        <f>_xlfn.XLOOKUP(D530,Master[Product_Code],Master[Fabric])</f>
        <v>Lycra</v>
      </c>
      <c r="J530" s="8">
        <f>_xlfn.XLOOKUP(D530,Master[Product_Code],Master[Size])</f>
        <v>42</v>
      </c>
      <c r="K530" s="8" t="str">
        <f>_xlfn.XLOOKUP(D530,Master[Product_Code],Master[Color])</f>
        <v>Peach</v>
      </c>
      <c r="L530" s="3">
        <f>_xlfn.XLOOKUP(D530,Master[Product_Code],Master[Selling_Price])</f>
        <v>860</v>
      </c>
    </row>
    <row r="531" spans="2:12">
      <c r="B531" s="2" t="s">
        <v>1983</v>
      </c>
      <c r="C531" s="7">
        <v>45947</v>
      </c>
      <c r="D531" s="2" t="s">
        <v>1360</v>
      </c>
      <c r="E531" s="4">
        <v>1</v>
      </c>
      <c r="F531" s="8" t="str">
        <f>_xlfn.XLOOKUP(D531,Master[Product_Code],Master[Category])</f>
        <v>Pants</v>
      </c>
      <c r="G531" s="8" t="str">
        <f>_xlfn.XLOOKUP(D531,Master[Product_Code],Master[Brand])</f>
        <v>Park Avenue</v>
      </c>
      <c r="H531" s="8" t="str">
        <f>_xlfn.XLOOKUP(D531,Master[Product_Code],Master[Style])</f>
        <v>Boot Cut</v>
      </c>
      <c r="I531" s="8" t="str">
        <f>_xlfn.XLOOKUP(D531,Master[Product_Code],Master[Fabric])</f>
        <v>Poly Viscose</v>
      </c>
      <c r="J531" s="8">
        <f>_xlfn.XLOOKUP(D531,Master[Product_Code],Master[Size])</f>
        <v>42</v>
      </c>
      <c r="K531" s="8" t="str">
        <f>_xlfn.XLOOKUP(D531,Master[Product_Code],Master[Color])</f>
        <v>Maroon</v>
      </c>
      <c r="L531" s="3">
        <f>_xlfn.XLOOKUP(D531,Master[Product_Code],Master[Selling_Price])</f>
        <v>750</v>
      </c>
    </row>
    <row r="532" spans="2:12">
      <c r="B532" s="2" t="s">
        <v>1983</v>
      </c>
      <c r="C532" s="7">
        <v>45947</v>
      </c>
      <c r="D532" s="2" t="s">
        <v>128</v>
      </c>
      <c r="E532" s="4">
        <v>1</v>
      </c>
      <c r="F532" s="8" t="str">
        <f>_xlfn.XLOOKUP(D532,Master[Product_Code],Master[Category])</f>
        <v>Shirt</v>
      </c>
      <c r="G532" s="8" t="str">
        <f>_xlfn.XLOOKUP(D532,Master[Product_Code],Master[Brand])</f>
        <v>USD</v>
      </c>
      <c r="H532" s="8" t="str">
        <f>_xlfn.XLOOKUP(D532,Master[Product_Code],Master[Style])</f>
        <v>Partywear</v>
      </c>
      <c r="I532" s="8" t="str">
        <f>_xlfn.XLOOKUP(D532,Master[Product_Code],Master[Fabric])</f>
        <v>Polyester</v>
      </c>
      <c r="J532" s="8" t="str">
        <f>_xlfn.XLOOKUP(D532,Master[Product_Code],Master[Size])</f>
        <v>S</v>
      </c>
      <c r="K532" s="8" t="str">
        <f>_xlfn.XLOOKUP(D532,Master[Product_Code],Master[Color])</f>
        <v>Dark Green</v>
      </c>
      <c r="L532" s="3">
        <f>_xlfn.XLOOKUP(D532,Master[Product_Code],Master[Selling_Price])</f>
        <v>710</v>
      </c>
    </row>
    <row r="533" spans="2:12">
      <c r="B533" s="2" t="s">
        <v>1984</v>
      </c>
      <c r="C533" s="7">
        <v>45947</v>
      </c>
      <c r="D533" s="2" t="s">
        <v>859</v>
      </c>
      <c r="E533" s="4">
        <v>1</v>
      </c>
      <c r="F533" s="8" t="str">
        <f>_xlfn.XLOOKUP(D533,Master[Product_Code],Master[Category])</f>
        <v>Jeans</v>
      </c>
      <c r="G533" s="8" t="str">
        <f>_xlfn.XLOOKUP(D533,Master[Product_Code],Master[Brand])</f>
        <v>Levis</v>
      </c>
      <c r="H533" s="8" t="str">
        <f>_xlfn.XLOOKUP(D533,Master[Product_Code],Master[Style])</f>
        <v>Jogger</v>
      </c>
      <c r="I533" s="8" t="str">
        <f>_xlfn.XLOOKUP(D533,Master[Product_Code],Master[Fabric])</f>
        <v>Denim</v>
      </c>
      <c r="J533" s="8">
        <f>_xlfn.XLOOKUP(D533,Master[Product_Code],Master[Size])</f>
        <v>42</v>
      </c>
      <c r="K533" s="8" t="str">
        <f>_xlfn.XLOOKUP(D533,Master[Product_Code],Master[Color])</f>
        <v>Peach</v>
      </c>
      <c r="L533" s="3">
        <f>_xlfn.XLOOKUP(D533,Master[Product_Code],Master[Selling_Price])</f>
        <v>870</v>
      </c>
    </row>
    <row r="534" spans="2:12">
      <c r="B534" s="2" t="s">
        <v>1985</v>
      </c>
      <c r="C534" s="7">
        <v>45947</v>
      </c>
      <c r="D534" s="2" t="s">
        <v>1455</v>
      </c>
      <c r="E534" s="4">
        <v>1</v>
      </c>
      <c r="F534" s="8" t="str">
        <f>_xlfn.XLOOKUP(D534,Master[Product_Code],Master[Category])</f>
        <v>Pants</v>
      </c>
      <c r="G534" s="8" t="str">
        <f>_xlfn.XLOOKUP(D534,Master[Product_Code],Master[Brand])</f>
        <v>Louis Philippe</v>
      </c>
      <c r="H534" s="8" t="str">
        <f>_xlfn.XLOOKUP(D534,Master[Product_Code],Master[Style])</f>
        <v>Boot Cut</v>
      </c>
      <c r="I534" s="8" t="str">
        <f>_xlfn.XLOOKUP(D534,Master[Product_Code],Master[Fabric])</f>
        <v>Cotton Blend</v>
      </c>
      <c r="J534" s="8">
        <f>_xlfn.XLOOKUP(D534,Master[Product_Code],Master[Size])</f>
        <v>44</v>
      </c>
      <c r="K534" s="8" t="str">
        <f>_xlfn.XLOOKUP(D534,Master[Product_Code],Master[Color])</f>
        <v>Brown</v>
      </c>
      <c r="L534" s="3">
        <f>_xlfn.XLOOKUP(D534,Master[Product_Code],Master[Selling_Price])</f>
        <v>850</v>
      </c>
    </row>
    <row r="535" spans="2:12">
      <c r="B535" s="2" t="s">
        <v>1985</v>
      </c>
      <c r="C535" s="7">
        <v>45947</v>
      </c>
      <c r="D535" s="2" t="s">
        <v>855</v>
      </c>
      <c r="E535" s="4">
        <v>1</v>
      </c>
      <c r="F535" s="8" t="str">
        <f>_xlfn.XLOOKUP(D535,Master[Product_Code],Master[Category])</f>
        <v>Jeans</v>
      </c>
      <c r="G535" s="8" t="str">
        <f>_xlfn.XLOOKUP(D535,Master[Product_Code],Master[Brand])</f>
        <v>Levis</v>
      </c>
      <c r="H535" s="8" t="str">
        <f>_xlfn.XLOOKUP(D535,Master[Product_Code],Master[Style])</f>
        <v>Mom Fit</v>
      </c>
      <c r="I535" s="8" t="str">
        <f>_xlfn.XLOOKUP(D535,Master[Product_Code],Master[Fabric])</f>
        <v>Denim</v>
      </c>
      <c r="J535" s="8">
        <f>_xlfn.XLOOKUP(D535,Master[Product_Code],Master[Size])</f>
        <v>42</v>
      </c>
      <c r="K535" s="8" t="str">
        <f>_xlfn.XLOOKUP(D535,Master[Product_Code],Master[Color])</f>
        <v>Light Grey</v>
      </c>
      <c r="L535" s="3">
        <f>_xlfn.XLOOKUP(D535,Master[Product_Code],Master[Selling_Price])</f>
        <v>960</v>
      </c>
    </row>
    <row r="536" spans="2:12">
      <c r="B536" s="2" t="s">
        <v>1986</v>
      </c>
      <c r="C536" s="7">
        <v>45947</v>
      </c>
      <c r="D536" s="2" t="s">
        <v>1172</v>
      </c>
      <c r="E536" s="4">
        <v>1</v>
      </c>
      <c r="F536" s="8" t="str">
        <f>_xlfn.XLOOKUP(D536,Master[Product_Code],Master[Category])</f>
        <v>Pants</v>
      </c>
      <c r="G536" s="8" t="str">
        <f>_xlfn.XLOOKUP(D536,Master[Product_Code],Master[Brand])</f>
        <v>Raymond</v>
      </c>
      <c r="H536" s="8" t="str">
        <f>_xlfn.XLOOKUP(D536,Master[Product_Code],Master[Style])</f>
        <v>Kurka</v>
      </c>
      <c r="I536" s="8" t="str">
        <f>_xlfn.XLOOKUP(D536,Master[Product_Code],Master[Fabric])</f>
        <v>Lycra</v>
      </c>
      <c r="J536" s="8">
        <f>_xlfn.XLOOKUP(D536,Master[Product_Code],Master[Size])</f>
        <v>42</v>
      </c>
      <c r="K536" s="8" t="str">
        <f>_xlfn.XLOOKUP(D536,Master[Product_Code],Master[Color])</f>
        <v>Maroon</v>
      </c>
      <c r="L536" s="3">
        <f>_xlfn.XLOOKUP(D536,Master[Product_Code],Master[Selling_Price])</f>
        <v>910</v>
      </c>
    </row>
    <row r="537" spans="2:12">
      <c r="B537" s="2" t="s">
        <v>1987</v>
      </c>
      <c r="C537" s="7">
        <v>45947</v>
      </c>
      <c r="D537" s="2" t="s">
        <v>611</v>
      </c>
      <c r="E537" s="4">
        <v>1</v>
      </c>
      <c r="F537" s="8" t="str">
        <f>_xlfn.XLOOKUP(D537,Master[Product_Code],Master[Category])</f>
        <v>T-Shirt</v>
      </c>
      <c r="G537" s="8" t="str">
        <f>_xlfn.XLOOKUP(D537,Master[Product_Code],Master[Brand])</f>
        <v>Turkey</v>
      </c>
      <c r="H537" s="8" t="str">
        <f>_xlfn.XLOOKUP(D537,Master[Product_Code],Master[Style])</f>
        <v>Sleeveless</v>
      </c>
      <c r="I537" s="8" t="str">
        <f>_xlfn.XLOOKUP(D537,Master[Product_Code],Master[Fabric])</f>
        <v>Cotton Blend</v>
      </c>
      <c r="J537" s="8" t="str">
        <f>_xlfn.XLOOKUP(D537,Master[Product_Code],Master[Size])</f>
        <v>S</v>
      </c>
      <c r="K537" s="8" t="str">
        <f>_xlfn.XLOOKUP(D537,Master[Product_Code],Master[Color])</f>
        <v>Rust</v>
      </c>
      <c r="L537" s="3">
        <f>_xlfn.XLOOKUP(D537,Master[Product_Code],Master[Selling_Price])</f>
        <v>620</v>
      </c>
    </row>
    <row r="538" spans="2:12">
      <c r="B538" s="2" t="s">
        <v>1987</v>
      </c>
      <c r="C538" s="7">
        <v>45947</v>
      </c>
      <c r="D538" s="2" t="s">
        <v>284</v>
      </c>
      <c r="E538" s="4">
        <v>1</v>
      </c>
      <c r="F538" s="8" t="str">
        <f>_xlfn.XLOOKUP(D538,Master[Product_Code],Master[Category])</f>
        <v>Shirt</v>
      </c>
      <c r="G538" s="8" t="str">
        <f>_xlfn.XLOOKUP(D538,Master[Product_Code],Master[Brand])</f>
        <v>Max</v>
      </c>
      <c r="H538" s="8" t="str">
        <f>_xlfn.XLOOKUP(D538,Master[Product_Code],Master[Style])</f>
        <v>Formal</v>
      </c>
      <c r="I538" s="8" t="str">
        <f>_xlfn.XLOOKUP(D538,Master[Product_Code],Master[Fabric])</f>
        <v>Cotton Blend</v>
      </c>
      <c r="J538" s="8" t="str">
        <f>_xlfn.XLOOKUP(D538,Master[Product_Code],Master[Size])</f>
        <v>XXL</v>
      </c>
      <c r="K538" s="8" t="str">
        <f>_xlfn.XLOOKUP(D538,Master[Product_Code],Master[Color])</f>
        <v>Cream</v>
      </c>
      <c r="L538" s="3">
        <f>_xlfn.XLOOKUP(D538,Master[Product_Code],Master[Selling_Price])</f>
        <v>740</v>
      </c>
    </row>
    <row r="539" spans="2:12">
      <c r="B539" s="2" t="s">
        <v>1987</v>
      </c>
      <c r="C539" s="7">
        <v>45947</v>
      </c>
      <c r="D539" s="2" t="s">
        <v>1511</v>
      </c>
      <c r="E539" s="4">
        <v>1</v>
      </c>
      <c r="F539" s="8" t="str">
        <f>_xlfn.XLOOKUP(D539,Master[Product_Code],Master[Category])</f>
        <v>Innerwear</v>
      </c>
      <c r="G539" s="8" t="str">
        <f>_xlfn.XLOOKUP(D539,Master[Product_Code],Master[Brand])</f>
        <v>Rupa</v>
      </c>
      <c r="H539" s="8" t="str">
        <f>_xlfn.XLOOKUP(D539,Master[Product_Code],Master[Style])</f>
        <v>Boxer</v>
      </c>
      <c r="I539" s="8" t="str">
        <f>_xlfn.XLOOKUP(D539,Master[Product_Code],Master[Fabric])</f>
        <v>Cotton Blend</v>
      </c>
      <c r="J539" s="8" t="str">
        <f>_xlfn.XLOOKUP(D539,Master[Product_Code],Master[Size])</f>
        <v>80-85</v>
      </c>
      <c r="K539" s="8" t="str">
        <f>_xlfn.XLOOKUP(D539,Master[Product_Code],Master[Color])</f>
        <v>Cream</v>
      </c>
      <c r="L539" s="3">
        <f>_xlfn.XLOOKUP(D539,Master[Product_Code],Master[Selling_Price])</f>
        <v>140</v>
      </c>
    </row>
    <row r="540" spans="2:12">
      <c r="B540" s="2" t="s">
        <v>1988</v>
      </c>
      <c r="C540" s="7">
        <v>45947</v>
      </c>
      <c r="D540" s="2" t="s">
        <v>303</v>
      </c>
      <c r="E540" s="4">
        <v>1</v>
      </c>
      <c r="F540" s="8" t="str">
        <f>_xlfn.XLOOKUP(D540,Master[Product_Code],Master[Category])</f>
        <v>Shirt</v>
      </c>
      <c r="G540" s="8" t="str">
        <f>_xlfn.XLOOKUP(D540,Master[Product_Code],Master[Brand])</f>
        <v>Zara</v>
      </c>
      <c r="H540" s="8" t="str">
        <f>_xlfn.XLOOKUP(D540,Master[Product_Code],Master[Style])</f>
        <v>Formal</v>
      </c>
      <c r="I540" s="8" t="str">
        <f>_xlfn.XLOOKUP(D540,Master[Product_Code],Master[Fabric])</f>
        <v>Cotton</v>
      </c>
      <c r="J540" s="8" t="str">
        <f>_xlfn.XLOOKUP(D540,Master[Product_Code],Master[Size])</f>
        <v>L</v>
      </c>
      <c r="K540" s="8" t="str">
        <f>_xlfn.XLOOKUP(D540,Master[Product_Code],Master[Color])</f>
        <v>Brown</v>
      </c>
      <c r="L540" s="3">
        <f>_xlfn.XLOOKUP(D540,Master[Product_Code],Master[Selling_Price])</f>
        <v>700</v>
      </c>
    </row>
    <row r="541" spans="2:12">
      <c r="B541" s="2" t="s">
        <v>1988</v>
      </c>
      <c r="C541" s="7">
        <v>45947</v>
      </c>
      <c r="D541" s="2" t="s">
        <v>1062</v>
      </c>
      <c r="E541" s="4">
        <v>1</v>
      </c>
      <c r="F541" s="8" t="str">
        <f>_xlfn.XLOOKUP(D541,Master[Product_Code],Master[Category])</f>
        <v>Jeans</v>
      </c>
      <c r="G541" s="8" t="str">
        <f>_xlfn.XLOOKUP(D541,Master[Product_Code],Master[Brand])</f>
        <v>Pepe</v>
      </c>
      <c r="H541" s="8" t="str">
        <f>_xlfn.XLOOKUP(D541,Master[Product_Code],Master[Style])</f>
        <v>Baggy</v>
      </c>
      <c r="I541" s="8" t="str">
        <f>_xlfn.XLOOKUP(D541,Master[Product_Code],Master[Fabric])</f>
        <v>Denim</v>
      </c>
      <c r="J541" s="8">
        <f>_xlfn.XLOOKUP(D541,Master[Product_Code],Master[Size])</f>
        <v>38</v>
      </c>
      <c r="K541" s="8" t="str">
        <f>_xlfn.XLOOKUP(D541,Master[Product_Code],Master[Color])</f>
        <v>White</v>
      </c>
      <c r="L541" s="3">
        <f>_xlfn.XLOOKUP(D541,Master[Product_Code],Master[Selling_Price])</f>
        <v>1050</v>
      </c>
    </row>
    <row r="542" spans="2:12">
      <c r="B542" s="2" t="s">
        <v>1988</v>
      </c>
      <c r="C542" s="7">
        <v>45947</v>
      </c>
      <c r="D542" s="2" t="s">
        <v>1070</v>
      </c>
      <c r="E542" s="4">
        <v>1</v>
      </c>
      <c r="F542" s="8" t="str">
        <f>_xlfn.XLOOKUP(D542,Master[Product_Code],Master[Category])</f>
        <v>Jeans</v>
      </c>
      <c r="G542" s="8" t="str">
        <f>_xlfn.XLOOKUP(D542,Master[Product_Code],Master[Brand])</f>
        <v>Denim Pro</v>
      </c>
      <c r="H542" s="8" t="str">
        <f>_xlfn.XLOOKUP(D542,Master[Product_Code],Master[Style])</f>
        <v>Baggy</v>
      </c>
      <c r="I542" s="8" t="str">
        <f>_xlfn.XLOOKUP(D542,Master[Product_Code],Master[Fabric])</f>
        <v>Denim</v>
      </c>
      <c r="J542" s="8">
        <f>_xlfn.XLOOKUP(D542,Master[Product_Code],Master[Size])</f>
        <v>44</v>
      </c>
      <c r="K542" s="8" t="str">
        <f>_xlfn.XLOOKUP(D542,Master[Product_Code],Master[Color])</f>
        <v>Teal</v>
      </c>
      <c r="L542" s="3">
        <f>_xlfn.XLOOKUP(D542,Master[Product_Code],Master[Selling_Price])</f>
        <v>910</v>
      </c>
    </row>
    <row r="543" spans="2:12">
      <c r="B543" s="2" t="s">
        <v>1989</v>
      </c>
      <c r="C543" s="7">
        <v>45947</v>
      </c>
      <c r="D543" s="2" t="s">
        <v>1546</v>
      </c>
      <c r="E543" s="4">
        <v>1</v>
      </c>
      <c r="F543" s="8" t="str">
        <f>_xlfn.XLOOKUP(D543,Master[Product_Code],Master[Category])</f>
        <v>Innerwear</v>
      </c>
      <c r="G543" s="8" t="str">
        <f>_xlfn.XLOOKUP(D543,Master[Product_Code],Master[Brand])</f>
        <v>Lux</v>
      </c>
      <c r="H543" s="8" t="str">
        <f>_xlfn.XLOOKUP(D543,Master[Product_Code],Master[Style])</f>
        <v>Boxer</v>
      </c>
      <c r="I543" s="8" t="str">
        <f>_xlfn.XLOOKUP(D543,Master[Product_Code],Master[Fabric])</f>
        <v>Cotton</v>
      </c>
      <c r="J543" s="8" t="str">
        <f>_xlfn.XLOOKUP(D543,Master[Product_Code],Master[Size])</f>
        <v>105-110</v>
      </c>
      <c r="K543" s="8" t="str">
        <f>_xlfn.XLOOKUP(D543,Master[Product_Code],Master[Color])</f>
        <v>Mustard</v>
      </c>
      <c r="L543" s="3">
        <f>_xlfn.XLOOKUP(D543,Master[Product_Code],Master[Selling_Price])</f>
        <v>160</v>
      </c>
    </row>
    <row r="544" spans="2:12">
      <c r="B544" s="2" t="s">
        <v>1989</v>
      </c>
      <c r="C544" s="7">
        <v>45947</v>
      </c>
      <c r="D544" s="2" t="s">
        <v>1139</v>
      </c>
      <c r="E544" s="4">
        <v>1</v>
      </c>
      <c r="F544" s="8" t="str">
        <f>_xlfn.XLOOKUP(D544,Master[Product_Code],Master[Category])</f>
        <v>Jeans</v>
      </c>
      <c r="G544" s="8" t="str">
        <f>_xlfn.XLOOKUP(D544,Master[Product_Code],Master[Brand])</f>
        <v>Levis</v>
      </c>
      <c r="H544" s="8" t="str">
        <f>_xlfn.XLOOKUP(D544,Master[Product_Code],Master[Style])</f>
        <v>Jogger</v>
      </c>
      <c r="I544" s="8" t="str">
        <f>_xlfn.XLOOKUP(D544,Master[Product_Code],Master[Fabric])</f>
        <v>Denim</v>
      </c>
      <c r="J544" s="8">
        <f>_xlfn.XLOOKUP(D544,Master[Product_Code],Master[Size])</f>
        <v>44</v>
      </c>
      <c r="K544" s="8" t="str">
        <f>_xlfn.XLOOKUP(D544,Master[Product_Code],Master[Color])</f>
        <v>Brown</v>
      </c>
      <c r="L544" s="3">
        <f>_xlfn.XLOOKUP(D544,Master[Product_Code],Master[Selling_Price])</f>
        <v>900</v>
      </c>
    </row>
    <row r="545" spans="2:12">
      <c r="B545" s="2" t="s">
        <v>1990</v>
      </c>
      <c r="C545" s="7">
        <v>45947</v>
      </c>
      <c r="D545" s="2" t="s">
        <v>666</v>
      </c>
      <c r="E545" s="4">
        <v>1</v>
      </c>
      <c r="F545" s="8" t="str">
        <f>_xlfn.XLOOKUP(D545,Master[Product_Code],Master[Category])</f>
        <v>T-Shirt</v>
      </c>
      <c r="G545" s="8" t="str">
        <f>_xlfn.XLOOKUP(D545,Master[Product_Code],Master[Brand])</f>
        <v>Zara</v>
      </c>
      <c r="H545" s="8" t="str">
        <f>_xlfn.XLOOKUP(D545,Master[Product_Code],Master[Style])</f>
        <v>Half Sleeve</v>
      </c>
      <c r="I545" s="8" t="str">
        <f>_xlfn.XLOOKUP(D545,Master[Product_Code],Master[Fabric])</f>
        <v>Cotton</v>
      </c>
      <c r="J545" s="8" t="str">
        <f>_xlfn.XLOOKUP(D545,Master[Product_Code],Master[Size])</f>
        <v>S</v>
      </c>
      <c r="K545" s="8" t="str">
        <f>_xlfn.XLOOKUP(D545,Master[Product_Code],Master[Color])</f>
        <v>Bottle Green</v>
      </c>
      <c r="L545" s="3">
        <f>_xlfn.XLOOKUP(D545,Master[Product_Code],Master[Selling_Price])</f>
        <v>680</v>
      </c>
    </row>
    <row r="546" spans="2:12">
      <c r="B546" s="2" t="s">
        <v>1990</v>
      </c>
      <c r="C546" s="7">
        <v>45947</v>
      </c>
      <c r="D546" s="2" t="s">
        <v>754</v>
      </c>
      <c r="E546" s="4">
        <v>1</v>
      </c>
      <c r="F546" s="8" t="str">
        <f>_xlfn.XLOOKUP(D546,Master[Product_Code],Master[Category])</f>
        <v>T-Shirt</v>
      </c>
      <c r="G546" s="8" t="str">
        <f>_xlfn.XLOOKUP(D546,Master[Product_Code],Master[Brand])</f>
        <v>Campus</v>
      </c>
      <c r="H546" s="8" t="str">
        <f>_xlfn.XLOOKUP(D546,Master[Product_Code],Master[Style])</f>
        <v>Sleeveless</v>
      </c>
      <c r="I546" s="8" t="str">
        <f>_xlfn.XLOOKUP(D546,Master[Product_Code],Master[Fabric])</f>
        <v>Cotton Blend</v>
      </c>
      <c r="J546" s="8" t="str">
        <f>_xlfn.XLOOKUP(D546,Master[Product_Code],Master[Size])</f>
        <v>L</v>
      </c>
      <c r="K546" s="8" t="str">
        <f>_xlfn.XLOOKUP(D546,Master[Product_Code],Master[Color])</f>
        <v>Maroon</v>
      </c>
      <c r="L546" s="3">
        <f>_xlfn.XLOOKUP(D546,Master[Product_Code],Master[Selling_Price])</f>
        <v>720</v>
      </c>
    </row>
    <row r="547" spans="2:12">
      <c r="B547" s="2" t="s">
        <v>1990</v>
      </c>
      <c r="C547" s="7">
        <v>45947</v>
      </c>
      <c r="D547" s="2" t="s">
        <v>674</v>
      </c>
      <c r="E547" s="4">
        <v>1</v>
      </c>
      <c r="F547" s="8" t="str">
        <f>_xlfn.XLOOKUP(D547,Master[Product_Code],Master[Category])</f>
        <v>T-Shirt</v>
      </c>
      <c r="G547" s="8" t="str">
        <f>_xlfn.XLOOKUP(D547,Master[Product_Code],Master[Brand])</f>
        <v>Zara</v>
      </c>
      <c r="H547" s="8" t="str">
        <f>_xlfn.XLOOKUP(D547,Master[Product_Code],Master[Style])</f>
        <v>Hoodie</v>
      </c>
      <c r="I547" s="8" t="str">
        <f>_xlfn.XLOOKUP(D547,Master[Product_Code],Master[Fabric])</f>
        <v>Cotton</v>
      </c>
      <c r="J547" s="8" t="str">
        <f>_xlfn.XLOOKUP(D547,Master[Product_Code],Master[Size])</f>
        <v>S</v>
      </c>
      <c r="K547" s="8" t="str">
        <f>_xlfn.XLOOKUP(D547,Master[Product_Code],Master[Color])</f>
        <v>Beige</v>
      </c>
      <c r="L547" s="3">
        <f>_xlfn.XLOOKUP(D547,Master[Product_Code],Master[Selling_Price])</f>
        <v>320</v>
      </c>
    </row>
    <row r="548" spans="2:12">
      <c r="B548" s="2" t="s">
        <v>1990</v>
      </c>
      <c r="C548" s="7">
        <v>45947</v>
      </c>
      <c r="D548" s="2" t="s">
        <v>1489</v>
      </c>
      <c r="E548" s="4">
        <v>1</v>
      </c>
      <c r="F548" s="8" t="str">
        <f>_xlfn.XLOOKUP(D548,Master[Product_Code],Master[Category])</f>
        <v>Innerwear</v>
      </c>
      <c r="G548" s="8" t="str">
        <f>_xlfn.XLOOKUP(D548,Master[Product_Code],Master[Brand])</f>
        <v>Jockey</v>
      </c>
      <c r="H548" s="8" t="str">
        <f>_xlfn.XLOOKUP(D548,Master[Product_Code],Master[Style])</f>
        <v>Boxer</v>
      </c>
      <c r="I548" s="8" t="str">
        <f>_xlfn.XLOOKUP(D548,Master[Product_Code],Master[Fabric])</f>
        <v>Cotton Blend</v>
      </c>
      <c r="J548" s="8" t="str">
        <f>_xlfn.XLOOKUP(D548,Master[Product_Code],Master[Size])</f>
        <v>75-80</v>
      </c>
      <c r="K548" s="8" t="str">
        <f>_xlfn.XLOOKUP(D548,Master[Product_Code],Master[Color])</f>
        <v>Navy Blue</v>
      </c>
      <c r="L548" s="3">
        <f>_xlfn.XLOOKUP(D548,Master[Product_Code],Master[Selling_Price])</f>
        <v>160</v>
      </c>
    </row>
    <row r="549" spans="2:12">
      <c r="B549" s="2" t="s">
        <v>1991</v>
      </c>
      <c r="C549" s="7">
        <v>45947</v>
      </c>
      <c r="D549" s="2" t="s">
        <v>1337</v>
      </c>
      <c r="E549" s="4">
        <v>1</v>
      </c>
      <c r="F549" s="8" t="str">
        <f>_xlfn.XLOOKUP(D549,Master[Product_Code],Master[Category])</f>
        <v>Pants</v>
      </c>
      <c r="G549" s="8" t="str">
        <f>_xlfn.XLOOKUP(D549,Master[Product_Code],Master[Brand])</f>
        <v>Louis Philippe</v>
      </c>
      <c r="H549" s="8" t="str">
        <f>_xlfn.XLOOKUP(D549,Master[Product_Code],Master[Style])</f>
        <v>Boot Cut</v>
      </c>
      <c r="I549" s="8" t="str">
        <f>_xlfn.XLOOKUP(D549,Master[Product_Code],Master[Fabric])</f>
        <v>Cotton Blend</v>
      </c>
      <c r="J549" s="8">
        <f>_xlfn.XLOOKUP(D549,Master[Product_Code],Master[Size])</f>
        <v>34</v>
      </c>
      <c r="K549" s="8" t="str">
        <f>_xlfn.XLOOKUP(D549,Master[Product_Code],Master[Color])</f>
        <v>Dark Green</v>
      </c>
      <c r="L549" s="3">
        <f>_xlfn.XLOOKUP(D549,Master[Product_Code],Master[Selling_Price])</f>
        <v>950</v>
      </c>
    </row>
    <row r="550" spans="2:12">
      <c r="B550" s="2" t="s">
        <v>1992</v>
      </c>
      <c r="C550" s="7">
        <v>45947</v>
      </c>
      <c r="D550" s="2" t="s">
        <v>326</v>
      </c>
      <c r="E550" s="4">
        <v>1</v>
      </c>
      <c r="F550" s="8" t="str">
        <f>_xlfn.XLOOKUP(D550,Master[Product_Code],Master[Category])</f>
        <v>Shirt</v>
      </c>
      <c r="G550" s="8" t="str">
        <f>_xlfn.XLOOKUP(D550,Master[Product_Code],Master[Brand])</f>
        <v>USD</v>
      </c>
      <c r="H550" s="8" t="str">
        <f>_xlfn.XLOOKUP(D550,Master[Product_Code],Master[Style])</f>
        <v>Casual</v>
      </c>
      <c r="I550" s="8" t="str">
        <f>_xlfn.XLOOKUP(D550,Master[Product_Code],Master[Fabric])</f>
        <v>Cotton</v>
      </c>
      <c r="J550" s="8" t="str">
        <f>_xlfn.XLOOKUP(D550,Master[Product_Code],Master[Size])</f>
        <v>S</v>
      </c>
      <c r="K550" s="8" t="str">
        <f>_xlfn.XLOOKUP(D550,Master[Product_Code],Master[Color])</f>
        <v>Wine</v>
      </c>
      <c r="L550" s="3">
        <f>_xlfn.XLOOKUP(D550,Master[Product_Code],Master[Selling_Price])</f>
        <v>900</v>
      </c>
    </row>
    <row r="551" spans="2:12">
      <c r="B551" s="2" t="s">
        <v>1992</v>
      </c>
      <c r="C551" s="7">
        <v>45947</v>
      </c>
      <c r="D551" s="2" t="s">
        <v>231</v>
      </c>
      <c r="E551" s="4">
        <v>1</v>
      </c>
      <c r="F551" s="8" t="str">
        <f>_xlfn.XLOOKUP(D551,Master[Product_Code],Master[Category])</f>
        <v>Shirt</v>
      </c>
      <c r="G551" s="8" t="str">
        <f>_xlfn.XLOOKUP(D551,Master[Product_Code],Master[Brand])</f>
        <v>USD</v>
      </c>
      <c r="H551" s="8" t="str">
        <f>_xlfn.XLOOKUP(D551,Master[Product_Code],Master[Style])</f>
        <v>Partywear</v>
      </c>
      <c r="I551" s="8" t="str">
        <f>_xlfn.XLOOKUP(D551,Master[Product_Code],Master[Fabric])</f>
        <v>Polyester</v>
      </c>
      <c r="J551" s="8" t="str">
        <f>_xlfn.XLOOKUP(D551,Master[Product_Code],Master[Size])</f>
        <v>XXL</v>
      </c>
      <c r="K551" s="8" t="str">
        <f>_xlfn.XLOOKUP(D551,Master[Product_Code],Master[Color])</f>
        <v>Sky Blue</v>
      </c>
      <c r="L551" s="3">
        <f>_xlfn.XLOOKUP(D551,Master[Product_Code],Master[Selling_Price])</f>
        <v>650</v>
      </c>
    </row>
    <row r="552" spans="2:12">
      <c r="B552" s="2" t="s">
        <v>1993</v>
      </c>
      <c r="C552" s="7">
        <v>45947</v>
      </c>
      <c r="D552" s="2" t="s">
        <v>1483</v>
      </c>
      <c r="E552" s="4">
        <v>1</v>
      </c>
      <c r="F552" s="8" t="str">
        <f>_xlfn.XLOOKUP(D552,Master[Product_Code],Master[Category])</f>
        <v>Innerwear</v>
      </c>
      <c r="G552" s="8" t="str">
        <f>_xlfn.XLOOKUP(D552,Master[Product_Code],Master[Brand])</f>
        <v>Jockey</v>
      </c>
      <c r="H552" s="8" t="str">
        <f>_xlfn.XLOOKUP(D552,Master[Product_Code],Master[Style])</f>
        <v>V-Cut</v>
      </c>
      <c r="I552" s="8" t="str">
        <f>_xlfn.XLOOKUP(D552,Master[Product_Code],Master[Fabric])</f>
        <v>Cotton</v>
      </c>
      <c r="J552" s="8" t="str">
        <f>_xlfn.XLOOKUP(D552,Master[Product_Code],Master[Size])</f>
        <v>90-100</v>
      </c>
      <c r="K552" s="8" t="str">
        <f>_xlfn.XLOOKUP(D552,Master[Product_Code],Master[Color])</f>
        <v>White</v>
      </c>
      <c r="L552" s="3">
        <f>_xlfn.XLOOKUP(D552,Master[Product_Code],Master[Selling_Price])</f>
        <v>180</v>
      </c>
    </row>
    <row r="553" spans="2:12">
      <c r="B553" s="2" t="s">
        <v>1993</v>
      </c>
      <c r="C553" s="7">
        <v>45947</v>
      </c>
      <c r="D553" s="2" t="s">
        <v>600</v>
      </c>
      <c r="E553" s="4">
        <v>1</v>
      </c>
      <c r="F553" s="8" t="str">
        <f>_xlfn.XLOOKUP(D553,Master[Product_Code],Master[Category])</f>
        <v>T-Shirt</v>
      </c>
      <c r="G553" s="8" t="str">
        <f>_xlfn.XLOOKUP(D553,Master[Product_Code],Master[Brand])</f>
        <v>Thailand</v>
      </c>
      <c r="H553" s="8" t="str">
        <f>_xlfn.XLOOKUP(D553,Master[Product_Code],Master[Style])</f>
        <v>Full Sleeve</v>
      </c>
      <c r="I553" s="8" t="str">
        <f>_xlfn.XLOOKUP(D553,Master[Product_Code],Master[Fabric])</f>
        <v>Cotton</v>
      </c>
      <c r="J553" s="8" t="str">
        <f>_xlfn.XLOOKUP(D553,Master[Product_Code],Master[Size])</f>
        <v>XL</v>
      </c>
      <c r="K553" s="8" t="str">
        <f>_xlfn.XLOOKUP(D553,Master[Product_Code],Master[Color])</f>
        <v>Dark Green</v>
      </c>
      <c r="L553" s="3">
        <f>_xlfn.XLOOKUP(D553,Master[Product_Code],Master[Selling_Price])</f>
        <v>280</v>
      </c>
    </row>
    <row r="554" spans="2:12">
      <c r="B554" s="2" t="s">
        <v>1993</v>
      </c>
      <c r="C554" s="7">
        <v>45947</v>
      </c>
      <c r="D554" s="2" t="s">
        <v>1021</v>
      </c>
      <c r="E554" s="4">
        <v>1</v>
      </c>
      <c r="F554" s="8" t="str">
        <f>_xlfn.XLOOKUP(D554,Master[Product_Code],Master[Category])</f>
        <v>Jeans</v>
      </c>
      <c r="G554" s="8" t="str">
        <f>_xlfn.XLOOKUP(D554,Master[Product_Code],Master[Brand])</f>
        <v>Wrangler</v>
      </c>
      <c r="H554" s="8" t="str">
        <f>_xlfn.XLOOKUP(D554,Master[Product_Code],Master[Style])</f>
        <v>Baggy</v>
      </c>
      <c r="I554" s="8" t="str">
        <f>_xlfn.XLOOKUP(D554,Master[Product_Code],Master[Fabric])</f>
        <v>Denim</v>
      </c>
      <c r="J554" s="8">
        <f>_xlfn.XLOOKUP(D554,Master[Product_Code],Master[Size])</f>
        <v>34</v>
      </c>
      <c r="K554" s="8" t="str">
        <f>_xlfn.XLOOKUP(D554,Master[Product_Code],Master[Color])</f>
        <v>Grey</v>
      </c>
      <c r="L554" s="3">
        <f>_xlfn.XLOOKUP(D554,Master[Product_Code],Master[Selling_Price])</f>
        <v>960</v>
      </c>
    </row>
    <row r="555" spans="2:12">
      <c r="B555" s="2" t="s">
        <v>1993</v>
      </c>
      <c r="C555" s="7">
        <v>45947</v>
      </c>
      <c r="D555" s="2" t="s">
        <v>273</v>
      </c>
      <c r="E555" s="4">
        <v>1</v>
      </c>
      <c r="F555" s="8" t="str">
        <f>_xlfn.XLOOKUP(D555,Master[Product_Code],Master[Category])</f>
        <v>Shirt</v>
      </c>
      <c r="G555" s="8" t="str">
        <f>_xlfn.XLOOKUP(D555,Master[Product_Code],Master[Brand])</f>
        <v>Max</v>
      </c>
      <c r="H555" s="8" t="str">
        <f>_xlfn.XLOOKUP(D555,Master[Product_Code],Master[Style])</f>
        <v>Casual</v>
      </c>
      <c r="I555" s="8" t="str">
        <f>_xlfn.XLOOKUP(D555,Master[Product_Code],Master[Fabric])</f>
        <v>Lycra</v>
      </c>
      <c r="J555" s="8" t="str">
        <f>_xlfn.XLOOKUP(D555,Master[Product_Code],Master[Size])</f>
        <v>L</v>
      </c>
      <c r="K555" s="8" t="str">
        <f>_xlfn.XLOOKUP(D555,Master[Product_Code],Master[Color])</f>
        <v>Teal</v>
      </c>
      <c r="L555" s="3">
        <f>_xlfn.XLOOKUP(D555,Master[Product_Code],Master[Selling_Price])</f>
        <v>720</v>
      </c>
    </row>
    <row r="556" spans="2:12">
      <c r="B556" s="2" t="s">
        <v>1994</v>
      </c>
      <c r="C556" s="7">
        <v>45947</v>
      </c>
      <c r="D556" s="2" t="s">
        <v>249</v>
      </c>
      <c r="E556" s="4">
        <v>1</v>
      </c>
      <c r="F556" s="8" t="str">
        <f>_xlfn.XLOOKUP(D556,Master[Product_Code],Master[Category])</f>
        <v>Shirt</v>
      </c>
      <c r="G556" s="8" t="str">
        <f>_xlfn.XLOOKUP(D556,Master[Product_Code],Master[Brand])</f>
        <v>USD</v>
      </c>
      <c r="H556" s="8" t="str">
        <f>_xlfn.XLOOKUP(D556,Master[Product_Code],Master[Style])</f>
        <v>Casual</v>
      </c>
      <c r="I556" s="8" t="str">
        <f>_xlfn.XLOOKUP(D556,Master[Product_Code],Master[Fabric])</f>
        <v>Cotton Blend</v>
      </c>
      <c r="J556" s="8" t="str">
        <f>_xlfn.XLOOKUP(D556,Master[Product_Code],Master[Size])</f>
        <v>L</v>
      </c>
      <c r="K556" s="8" t="str">
        <f>_xlfn.XLOOKUP(D556,Master[Product_Code],Master[Color])</f>
        <v>Light Grey</v>
      </c>
      <c r="L556" s="3">
        <f>_xlfn.XLOOKUP(D556,Master[Product_Code],Master[Selling_Price])</f>
        <v>750</v>
      </c>
    </row>
    <row r="557" spans="2:12">
      <c r="B557" s="2" t="s">
        <v>1994</v>
      </c>
      <c r="C557" s="7">
        <v>45947</v>
      </c>
      <c r="D557" s="2" t="s">
        <v>870</v>
      </c>
      <c r="E557" s="4">
        <v>1</v>
      </c>
      <c r="F557" s="8" t="str">
        <f>_xlfn.XLOOKUP(D557,Master[Product_Code],Master[Category])</f>
        <v>Jeans</v>
      </c>
      <c r="G557" s="8" t="str">
        <f>_xlfn.XLOOKUP(D557,Master[Product_Code],Master[Brand])</f>
        <v>Levis</v>
      </c>
      <c r="H557" s="8" t="str">
        <f>_xlfn.XLOOKUP(D557,Master[Product_Code],Master[Style])</f>
        <v>Baggy</v>
      </c>
      <c r="I557" s="8" t="str">
        <f>_xlfn.XLOOKUP(D557,Master[Product_Code],Master[Fabric])</f>
        <v>Denim</v>
      </c>
      <c r="J557" s="8">
        <f>_xlfn.XLOOKUP(D557,Master[Product_Code],Master[Size])</f>
        <v>28</v>
      </c>
      <c r="K557" s="8" t="str">
        <f>_xlfn.XLOOKUP(D557,Master[Product_Code],Master[Color])</f>
        <v>Mustard</v>
      </c>
      <c r="L557" s="3">
        <f>_xlfn.XLOOKUP(D557,Master[Product_Code],Master[Selling_Price])</f>
        <v>1050</v>
      </c>
    </row>
    <row r="558" spans="2:12">
      <c r="B558" s="2" t="s">
        <v>1994</v>
      </c>
      <c r="C558" s="7">
        <v>45947</v>
      </c>
      <c r="D558" s="2" t="s">
        <v>804</v>
      </c>
      <c r="E558" s="4">
        <v>1</v>
      </c>
      <c r="F558" s="8" t="str">
        <f>_xlfn.XLOOKUP(D558,Master[Product_Code],Master[Category])</f>
        <v>T-Shirt</v>
      </c>
      <c r="G558" s="8" t="str">
        <f>_xlfn.XLOOKUP(D558,Master[Product_Code],Master[Brand])</f>
        <v>Zara</v>
      </c>
      <c r="H558" s="8" t="str">
        <f>_xlfn.XLOOKUP(D558,Master[Product_Code],Master[Style])</f>
        <v>Half Sleeve</v>
      </c>
      <c r="I558" s="8" t="str">
        <f>_xlfn.XLOOKUP(D558,Master[Product_Code],Master[Fabric])</f>
        <v>Cotton</v>
      </c>
      <c r="J558" s="8" t="str">
        <f>_xlfn.XLOOKUP(D558,Master[Product_Code],Master[Size])</f>
        <v>XXL</v>
      </c>
      <c r="K558" s="8" t="str">
        <f>_xlfn.XLOOKUP(D558,Master[Product_Code],Master[Color])</f>
        <v>Brown</v>
      </c>
      <c r="L558" s="3">
        <f>_xlfn.XLOOKUP(D558,Master[Product_Code],Master[Selling_Price])</f>
        <v>580</v>
      </c>
    </row>
    <row r="559" spans="2:12">
      <c r="B559" s="2" t="s">
        <v>1995</v>
      </c>
      <c r="C559" s="7">
        <v>45947</v>
      </c>
      <c r="D559" s="2" t="s">
        <v>364</v>
      </c>
      <c r="E559" s="4">
        <v>1</v>
      </c>
      <c r="F559" s="8" t="str">
        <f>_xlfn.XLOOKUP(D559,Master[Product_Code],Master[Category])</f>
        <v>Shirt</v>
      </c>
      <c r="G559" s="8" t="str">
        <f>_xlfn.XLOOKUP(D559,Master[Product_Code],Master[Brand])</f>
        <v>Zara</v>
      </c>
      <c r="H559" s="8" t="str">
        <f>_xlfn.XLOOKUP(D559,Master[Product_Code],Master[Style])</f>
        <v>Partywear</v>
      </c>
      <c r="I559" s="8" t="str">
        <f>_xlfn.XLOOKUP(D559,Master[Product_Code],Master[Fabric])</f>
        <v>Lycra</v>
      </c>
      <c r="J559" s="8" t="str">
        <f>_xlfn.XLOOKUP(D559,Master[Product_Code],Master[Size])</f>
        <v>M</v>
      </c>
      <c r="K559" s="8" t="str">
        <f>_xlfn.XLOOKUP(D559,Master[Product_Code],Master[Color])</f>
        <v>White</v>
      </c>
      <c r="L559" s="3">
        <f>_xlfn.XLOOKUP(D559,Master[Product_Code],Master[Selling_Price])</f>
        <v>720</v>
      </c>
    </row>
    <row r="560" spans="2:12">
      <c r="B560" s="2" t="s">
        <v>1996</v>
      </c>
      <c r="C560" s="7">
        <v>45947</v>
      </c>
      <c r="D560" s="2" t="s">
        <v>662</v>
      </c>
      <c r="E560" s="4">
        <v>1</v>
      </c>
      <c r="F560" s="8" t="str">
        <f>_xlfn.XLOOKUP(D560,Master[Product_Code],Master[Category])</f>
        <v>T-Shirt</v>
      </c>
      <c r="G560" s="8" t="str">
        <f>_xlfn.XLOOKUP(D560,Master[Product_Code],Master[Brand])</f>
        <v>Turkey</v>
      </c>
      <c r="H560" s="8" t="str">
        <f>_xlfn.XLOOKUP(D560,Master[Product_Code],Master[Style])</f>
        <v>3/4 Sleeve</v>
      </c>
      <c r="I560" s="8" t="str">
        <f>_xlfn.XLOOKUP(D560,Master[Product_Code],Master[Fabric])</f>
        <v>Cotton Blend</v>
      </c>
      <c r="J560" s="8" t="str">
        <f>_xlfn.XLOOKUP(D560,Master[Product_Code],Master[Size])</f>
        <v>L</v>
      </c>
      <c r="K560" s="8" t="str">
        <f>_xlfn.XLOOKUP(D560,Master[Product_Code],Master[Color])</f>
        <v>Grey</v>
      </c>
      <c r="L560" s="3">
        <f>_xlfn.XLOOKUP(D560,Master[Product_Code],Master[Selling_Price])</f>
        <v>700</v>
      </c>
    </row>
    <row r="561" spans="2:12">
      <c r="B561" s="2" t="s">
        <v>1996</v>
      </c>
      <c r="C561" s="7">
        <v>45947</v>
      </c>
      <c r="D561" s="2" t="s">
        <v>182</v>
      </c>
      <c r="E561" s="4">
        <v>1</v>
      </c>
      <c r="F561" s="8" t="str">
        <f>_xlfn.XLOOKUP(D561,Master[Product_Code],Master[Category])</f>
        <v>Shirt</v>
      </c>
      <c r="G561" s="8" t="str">
        <f>_xlfn.XLOOKUP(D561,Master[Product_Code],Master[Brand])</f>
        <v>Luke &amp; Burg</v>
      </c>
      <c r="H561" s="8" t="str">
        <f>_xlfn.XLOOKUP(D561,Master[Product_Code],Master[Style])</f>
        <v>Partywear</v>
      </c>
      <c r="I561" s="8" t="str">
        <f>_xlfn.XLOOKUP(D561,Master[Product_Code],Master[Fabric])</f>
        <v>Cotton</v>
      </c>
      <c r="J561" s="8" t="str">
        <f>_xlfn.XLOOKUP(D561,Master[Product_Code],Master[Size])</f>
        <v>XL</v>
      </c>
      <c r="K561" s="8" t="str">
        <f>_xlfn.XLOOKUP(D561,Master[Product_Code],Master[Color])</f>
        <v>Navy Blue</v>
      </c>
      <c r="L561" s="3">
        <f>_xlfn.XLOOKUP(D561,Master[Product_Code],Master[Selling_Price])</f>
        <v>870</v>
      </c>
    </row>
    <row r="562" spans="2:12">
      <c r="B562" s="2" t="s">
        <v>1996</v>
      </c>
      <c r="C562" s="7">
        <v>45947</v>
      </c>
      <c r="D562" s="2" t="s">
        <v>1273</v>
      </c>
      <c r="E562" s="4">
        <v>1</v>
      </c>
      <c r="F562" s="8" t="str">
        <f>_xlfn.XLOOKUP(D562,Master[Product_Code],Master[Category])</f>
        <v>Pants</v>
      </c>
      <c r="G562" s="8" t="str">
        <f>_xlfn.XLOOKUP(D562,Master[Product_Code],Master[Brand])</f>
        <v>Van Heusen</v>
      </c>
      <c r="H562" s="8" t="str">
        <f>_xlfn.XLOOKUP(D562,Master[Product_Code],Master[Style])</f>
        <v>Polofit</v>
      </c>
      <c r="I562" s="8" t="str">
        <f>_xlfn.XLOOKUP(D562,Master[Product_Code],Master[Fabric])</f>
        <v>Lycra</v>
      </c>
      <c r="J562" s="8">
        <f>_xlfn.XLOOKUP(D562,Master[Product_Code],Master[Size])</f>
        <v>28</v>
      </c>
      <c r="K562" s="8" t="str">
        <f>_xlfn.XLOOKUP(D562,Master[Product_Code],Master[Color])</f>
        <v>Maroon</v>
      </c>
      <c r="L562" s="3">
        <f>_xlfn.XLOOKUP(D562,Master[Product_Code],Master[Selling_Price])</f>
        <v>750</v>
      </c>
    </row>
    <row r="563" spans="2:12">
      <c r="B563" s="2" t="s">
        <v>1997</v>
      </c>
      <c r="C563" s="7">
        <v>45948</v>
      </c>
      <c r="D563" s="2" t="s">
        <v>591</v>
      </c>
      <c r="E563" s="4">
        <v>1</v>
      </c>
      <c r="F563" s="8" t="str">
        <f>_xlfn.XLOOKUP(D563,Master[Product_Code],Master[Category])</f>
        <v>T-Shirt</v>
      </c>
      <c r="G563" s="8" t="str">
        <f>_xlfn.XLOOKUP(D563,Master[Product_Code],Master[Brand])</f>
        <v>Turkey</v>
      </c>
      <c r="H563" s="8" t="str">
        <f>_xlfn.XLOOKUP(D563,Master[Product_Code],Master[Style])</f>
        <v>Half Sleeve</v>
      </c>
      <c r="I563" s="8" t="str">
        <f>_xlfn.XLOOKUP(D563,Master[Product_Code],Master[Fabric])</f>
        <v>Poly Cotton</v>
      </c>
      <c r="J563" s="8" t="str">
        <f>_xlfn.XLOOKUP(D563,Master[Product_Code],Master[Size])</f>
        <v>L</v>
      </c>
      <c r="K563" s="8" t="str">
        <f>_xlfn.XLOOKUP(D563,Master[Product_Code],Master[Color])</f>
        <v>Cream</v>
      </c>
      <c r="L563" s="3">
        <f>_xlfn.XLOOKUP(D563,Master[Product_Code],Master[Selling_Price])</f>
        <v>440</v>
      </c>
    </row>
    <row r="564" spans="2:12">
      <c r="B564" s="2" t="s">
        <v>1997</v>
      </c>
      <c r="C564" s="7">
        <v>45948</v>
      </c>
      <c r="D564" s="2" t="s">
        <v>52</v>
      </c>
      <c r="E564" s="4">
        <v>1</v>
      </c>
      <c r="F564" s="8" t="str">
        <f>_xlfn.XLOOKUP(D564,Master[Product_Code],Master[Category])</f>
        <v>Shirt</v>
      </c>
      <c r="G564" s="8" t="str">
        <f>_xlfn.XLOOKUP(D564,Master[Product_Code],Master[Brand])</f>
        <v>Max</v>
      </c>
      <c r="H564" s="8" t="str">
        <f>_xlfn.XLOOKUP(D564,Master[Product_Code],Master[Style])</f>
        <v>Formal</v>
      </c>
      <c r="I564" s="8" t="str">
        <f>_xlfn.XLOOKUP(D564,Master[Product_Code],Master[Fabric])</f>
        <v>Cotton Blend</v>
      </c>
      <c r="J564" s="8" t="str">
        <f>_xlfn.XLOOKUP(D564,Master[Product_Code],Master[Size])</f>
        <v>M</v>
      </c>
      <c r="K564" s="8" t="str">
        <f>_xlfn.XLOOKUP(D564,Master[Product_Code],Master[Color])</f>
        <v>Charcoal</v>
      </c>
      <c r="L564" s="3">
        <f>_xlfn.XLOOKUP(D564,Master[Product_Code],Master[Selling_Price])</f>
        <v>950</v>
      </c>
    </row>
    <row r="565" spans="2:12">
      <c r="B565" s="2" t="s">
        <v>1998</v>
      </c>
      <c r="C565" s="7">
        <v>45948</v>
      </c>
      <c r="D565" s="2" t="s">
        <v>1301</v>
      </c>
      <c r="E565" s="4">
        <v>1</v>
      </c>
      <c r="F565" s="8" t="str">
        <f>_xlfn.XLOOKUP(D565,Master[Product_Code],Master[Category])</f>
        <v>Pants</v>
      </c>
      <c r="G565" s="8" t="str">
        <f>_xlfn.XLOOKUP(D565,Master[Product_Code],Master[Brand])</f>
        <v>Peter England</v>
      </c>
      <c r="H565" s="8" t="str">
        <f>_xlfn.XLOOKUP(D565,Master[Product_Code],Master[Style])</f>
        <v>Kurka</v>
      </c>
      <c r="I565" s="8" t="str">
        <f>_xlfn.XLOOKUP(D565,Master[Product_Code],Master[Fabric])</f>
        <v>Lycra</v>
      </c>
      <c r="J565" s="8">
        <f>_xlfn.XLOOKUP(D565,Master[Product_Code],Master[Size])</f>
        <v>30</v>
      </c>
      <c r="K565" s="8" t="str">
        <f>_xlfn.XLOOKUP(D565,Master[Product_Code],Master[Color])</f>
        <v>Royal Blue</v>
      </c>
      <c r="L565" s="3">
        <f>_xlfn.XLOOKUP(D565,Master[Product_Code],Master[Selling_Price])</f>
        <v>820</v>
      </c>
    </row>
    <row r="566" spans="2:12">
      <c r="B566" s="2" t="s">
        <v>1998</v>
      </c>
      <c r="C566" s="7">
        <v>45948</v>
      </c>
      <c r="D566" s="2" t="s">
        <v>1329</v>
      </c>
      <c r="E566" s="4">
        <v>1</v>
      </c>
      <c r="F566" s="8" t="str">
        <f>_xlfn.XLOOKUP(D566,Master[Product_Code],Master[Category])</f>
        <v>Pants</v>
      </c>
      <c r="G566" s="8" t="str">
        <f>_xlfn.XLOOKUP(D566,Master[Product_Code],Master[Brand])</f>
        <v>Raymond</v>
      </c>
      <c r="H566" s="8" t="str">
        <f>_xlfn.XLOOKUP(D566,Master[Product_Code],Master[Style])</f>
        <v>Kurka</v>
      </c>
      <c r="I566" s="8" t="str">
        <f>_xlfn.XLOOKUP(D566,Master[Product_Code],Master[Fabric])</f>
        <v>Lycra</v>
      </c>
      <c r="J566" s="8">
        <f>_xlfn.XLOOKUP(D566,Master[Product_Code],Master[Size])</f>
        <v>38</v>
      </c>
      <c r="K566" s="8" t="str">
        <f>_xlfn.XLOOKUP(D566,Master[Product_Code],Master[Color])</f>
        <v>Brown</v>
      </c>
      <c r="L566" s="3">
        <f>_xlfn.XLOOKUP(D566,Master[Product_Code],Master[Selling_Price])</f>
        <v>850</v>
      </c>
    </row>
    <row r="567" spans="2:12">
      <c r="B567" s="2" t="s">
        <v>1999</v>
      </c>
      <c r="C567" s="7">
        <v>45948</v>
      </c>
      <c r="D567" s="2" t="s">
        <v>1641</v>
      </c>
      <c r="E567" s="4">
        <v>1</v>
      </c>
      <c r="F567" s="8" t="str">
        <f>_xlfn.XLOOKUP(D567,Master[Product_Code],Master[Category])</f>
        <v>Innerwear</v>
      </c>
      <c r="G567" s="8" t="str">
        <f>_xlfn.XLOOKUP(D567,Master[Product_Code],Master[Brand])</f>
        <v>V Star</v>
      </c>
      <c r="H567" s="8" t="str">
        <f>_xlfn.XLOOKUP(D567,Master[Product_Code],Master[Style])</f>
        <v>V-Cut</v>
      </c>
      <c r="I567" s="8" t="str">
        <f>_xlfn.XLOOKUP(D567,Master[Product_Code],Master[Fabric])</f>
        <v>Cotton</v>
      </c>
      <c r="J567" s="8" t="str">
        <f>_xlfn.XLOOKUP(D567,Master[Product_Code],Master[Size])</f>
        <v>100-105</v>
      </c>
      <c r="K567" s="8" t="str">
        <f>_xlfn.XLOOKUP(D567,Master[Product_Code],Master[Color])</f>
        <v>Beige</v>
      </c>
      <c r="L567" s="3">
        <f>_xlfn.XLOOKUP(D567,Master[Product_Code],Master[Selling_Price])</f>
        <v>170</v>
      </c>
    </row>
    <row r="568" spans="2:12">
      <c r="B568" s="2" t="s">
        <v>1999</v>
      </c>
      <c r="C568" s="7">
        <v>45948</v>
      </c>
      <c r="D568" s="2" t="s">
        <v>271</v>
      </c>
      <c r="E568" s="4">
        <v>1</v>
      </c>
      <c r="F568" s="8" t="str">
        <f>_xlfn.XLOOKUP(D568,Master[Product_Code],Master[Category])</f>
        <v>Shirt</v>
      </c>
      <c r="G568" s="8" t="str">
        <f>_xlfn.XLOOKUP(D568,Master[Product_Code],Master[Brand])</f>
        <v>Max</v>
      </c>
      <c r="H568" s="8" t="str">
        <f>_xlfn.XLOOKUP(D568,Master[Product_Code],Master[Style])</f>
        <v>Partywear</v>
      </c>
      <c r="I568" s="8" t="str">
        <f>_xlfn.XLOOKUP(D568,Master[Product_Code],Master[Fabric])</f>
        <v>Lycra</v>
      </c>
      <c r="J568" s="8" t="str">
        <f>_xlfn.XLOOKUP(D568,Master[Product_Code],Master[Size])</f>
        <v>S</v>
      </c>
      <c r="K568" s="8" t="str">
        <f>_xlfn.XLOOKUP(D568,Master[Product_Code],Master[Color])</f>
        <v>Cream</v>
      </c>
      <c r="L568" s="3">
        <f>_xlfn.XLOOKUP(D568,Master[Product_Code],Master[Selling_Price])</f>
        <v>740</v>
      </c>
    </row>
    <row r="569" spans="2:12">
      <c r="B569" s="2" t="s">
        <v>2000</v>
      </c>
      <c r="C569" s="7">
        <v>45948</v>
      </c>
      <c r="D569" s="2" t="s">
        <v>243</v>
      </c>
      <c r="E569" s="4">
        <v>1</v>
      </c>
      <c r="F569" s="8" t="str">
        <f>_xlfn.XLOOKUP(D569,Master[Product_Code],Master[Category])</f>
        <v>Shirt</v>
      </c>
      <c r="G569" s="8" t="str">
        <f>_xlfn.XLOOKUP(D569,Master[Product_Code],Master[Brand])</f>
        <v>Thailand</v>
      </c>
      <c r="H569" s="8" t="str">
        <f>_xlfn.XLOOKUP(D569,Master[Product_Code],Master[Style])</f>
        <v>Casual</v>
      </c>
      <c r="I569" s="8" t="str">
        <f>_xlfn.XLOOKUP(D569,Master[Product_Code],Master[Fabric])</f>
        <v>Cotton</v>
      </c>
      <c r="J569" s="8" t="str">
        <f>_xlfn.XLOOKUP(D569,Master[Product_Code],Master[Size])</f>
        <v>XXL</v>
      </c>
      <c r="K569" s="8" t="str">
        <f>_xlfn.XLOOKUP(D569,Master[Product_Code],Master[Color])</f>
        <v>Wine</v>
      </c>
      <c r="L569" s="3">
        <f>_xlfn.XLOOKUP(D569,Master[Product_Code],Master[Selling_Price])</f>
        <v>840</v>
      </c>
    </row>
    <row r="570" spans="2:12">
      <c r="B570" s="2" t="s">
        <v>2000</v>
      </c>
      <c r="C570" s="7">
        <v>45948</v>
      </c>
      <c r="D570" s="2" t="s">
        <v>1552</v>
      </c>
      <c r="E570" s="4">
        <v>1</v>
      </c>
      <c r="F570" s="8" t="str">
        <f>_xlfn.XLOOKUP(D570,Master[Product_Code],Master[Category])</f>
        <v>Innerwear</v>
      </c>
      <c r="G570" s="8" t="str">
        <f>_xlfn.XLOOKUP(D570,Master[Product_Code],Master[Brand])</f>
        <v>Dollar</v>
      </c>
      <c r="H570" s="8" t="str">
        <f>_xlfn.XLOOKUP(D570,Master[Product_Code],Master[Style])</f>
        <v>Boxer</v>
      </c>
      <c r="I570" s="8" t="str">
        <f>_xlfn.XLOOKUP(D570,Master[Product_Code],Master[Fabric])</f>
        <v>Cotton Blend</v>
      </c>
      <c r="J570" s="8" t="str">
        <f>_xlfn.XLOOKUP(D570,Master[Product_Code],Master[Size])</f>
        <v>80-85</v>
      </c>
      <c r="K570" s="8" t="str">
        <f>_xlfn.XLOOKUP(D570,Master[Product_Code],Master[Color])</f>
        <v>Beige</v>
      </c>
      <c r="L570" s="3">
        <f>_xlfn.XLOOKUP(D570,Master[Product_Code],Master[Selling_Price])</f>
        <v>120</v>
      </c>
    </row>
    <row r="571" spans="2:12">
      <c r="B571" s="2" t="s">
        <v>2000</v>
      </c>
      <c r="C571" s="7">
        <v>45948</v>
      </c>
      <c r="D571" s="2" t="s">
        <v>1249</v>
      </c>
      <c r="E571" s="4">
        <v>1</v>
      </c>
      <c r="F571" s="8" t="str">
        <f>_xlfn.XLOOKUP(D571,Master[Product_Code],Master[Category])</f>
        <v>Pants</v>
      </c>
      <c r="G571" s="8" t="str">
        <f>_xlfn.XLOOKUP(D571,Master[Product_Code],Master[Brand])</f>
        <v>Van Heusen</v>
      </c>
      <c r="H571" s="8" t="str">
        <f>_xlfn.XLOOKUP(D571,Master[Product_Code],Master[Style])</f>
        <v>Kurka</v>
      </c>
      <c r="I571" s="8" t="str">
        <f>_xlfn.XLOOKUP(D571,Master[Product_Code],Master[Fabric])</f>
        <v>Lycra</v>
      </c>
      <c r="J571" s="8">
        <f>_xlfn.XLOOKUP(D571,Master[Product_Code],Master[Size])</f>
        <v>42</v>
      </c>
      <c r="K571" s="8" t="str">
        <f>_xlfn.XLOOKUP(D571,Master[Product_Code],Master[Color])</f>
        <v>Mustard</v>
      </c>
      <c r="L571" s="3">
        <f>_xlfn.XLOOKUP(D571,Master[Product_Code],Master[Selling_Price])</f>
        <v>780</v>
      </c>
    </row>
    <row r="572" spans="2:12">
      <c r="B572" s="2" t="s">
        <v>2000</v>
      </c>
      <c r="C572" s="7">
        <v>45948</v>
      </c>
      <c r="D572" s="2" t="s">
        <v>1490</v>
      </c>
      <c r="E572" s="4">
        <v>1</v>
      </c>
      <c r="F572" s="8" t="str">
        <f>_xlfn.XLOOKUP(D572,Master[Product_Code],Master[Category])</f>
        <v>Innerwear</v>
      </c>
      <c r="G572" s="8" t="str">
        <f>_xlfn.XLOOKUP(D572,Master[Product_Code],Master[Brand])</f>
        <v>Rupa</v>
      </c>
      <c r="H572" s="8" t="str">
        <f>_xlfn.XLOOKUP(D572,Master[Product_Code],Master[Style])</f>
        <v>Boxer</v>
      </c>
      <c r="I572" s="8" t="str">
        <f>_xlfn.XLOOKUP(D572,Master[Product_Code],Master[Fabric])</f>
        <v>Cotton Blend</v>
      </c>
      <c r="J572" s="8" t="str">
        <f>_xlfn.XLOOKUP(D572,Master[Product_Code],Master[Size])</f>
        <v>80-85</v>
      </c>
      <c r="K572" s="8" t="str">
        <f>_xlfn.XLOOKUP(D572,Master[Product_Code],Master[Color])</f>
        <v>Olive</v>
      </c>
      <c r="L572" s="3">
        <f>_xlfn.XLOOKUP(D572,Master[Product_Code],Master[Selling_Price])</f>
        <v>180</v>
      </c>
    </row>
    <row r="573" spans="2:12">
      <c r="B573" s="2" t="s">
        <v>2001</v>
      </c>
      <c r="C573" s="7">
        <v>45948</v>
      </c>
      <c r="D573" s="2" t="s">
        <v>1509</v>
      </c>
      <c r="E573" s="4">
        <v>1</v>
      </c>
      <c r="F573" s="8" t="str">
        <f>_xlfn.XLOOKUP(D573,Master[Product_Code],Master[Category])</f>
        <v>Innerwear</v>
      </c>
      <c r="G573" s="8" t="str">
        <f>_xlfn.XLOOKUP(D573,Master[Product_Code],Master[Brand])</f>
        <v>Dollar</v>
      </c>
      <c r="H573" s="8" t="str">
        <f>_xlfn.XLOOKUP(D573,Master[Product_Code],Master[Style])</f>
        <v>V-Cut</v>
      </c>
      <c r="I573" s="8" t="str">
        <f>_xlfn.XLOOKUP(D573,Master[Product_Code],Master[Fabric])</f>
        <v>Cotton Blend</v>
      </c>
      <c r="J573" s="8" t="str">
        <f>_xlfn.XLOOKUP(D573,Master[Product_Code],Master[Size])</f>
        <v>105-110</v>
      </c>
      <c r="K573" s="8" t="str">
        <f>_xlfn.XLOOKUP(D573,Master[Product_Code],Master[Color])</f>
        <v>Brown</v>
      </c>
      <c r="L573" s="3">
        <f>_xlfn.XLOOKUP(D573,Master[Product_Code],Master[Selling_Price])</f>
        <v>150</v>
      </c>
    </row>
    <row r="574" spans="2:12">
      <c r="B574" s="2" t="s">
        <v>2001</v>
      </c>
      <c r="C574" s="7">
        <v>45948</v>
      </c>
      <c r="D574" s="2" t="s">
        <v>806</v>
      </c>
      <c r="E574" s="4">
        <v>1</v>
      </c>
      <c r="F574" s="8" t="str">
        <f>_xlfn.XLOOKUP(D574,Master[Product_Code],Master[Category])</f>
        <v>T-Shirt</v>
      </c>
      <c r="G574" s="8" t="str">
        <f>_xlfn.XLOOKUP(D574,Master[Product_Code],Master[Brand])</f>
        <v>Roadster</v>
      </c>
      <c r="H574" s="8" t="str">
        <f>_xlfn.XLOOKUP(D574,Master[Product_Code],Master[Style])</f>
        <v>Half Sleeve</v>
      </c>
      <c r="I574" s="8" t="str">
        <f>_xlfn.XLOOKUP(D574,Master[Product_Code],Master[Fabric])</f>
        <v>Cotton Blend</v>
      </c>
      <c r="J574" s="8" t="str">
        <f>_xlfn.XLOOKUP(D574,Master[Product_Code],Master[Size])</f>
        <v>M</v>
      </c>
      <c r="K574" s="8" t="str">
        <f>_xlfn.XLOOKUP(D574,Master[Product_Code],Master[Color])</f>
        <v>Bottle Green</v>
      </c>
      <c r="L574" s="3">
        <f>_xlfn.XLOOKUP(D574,Master[Product_Code],Master[Selling_Price])</f>
        <v>500</v>
      </c>
    </row>
    <row r="575" spans="2:12">
      <c r="B575" s="2" t="s">
        <v>2001</v>
      </c>
      <c r="C575" s="7">
        <v>45948</v>
      </c>
      <c r="D575" s="2" t="s">
        <v>1212</v>
      </c>
      <c r="E575" s="4">
        <v>1</v>
      </c>
      <c r="F575" s="8" t="str">
        <f>_xlfn.XLOOKUP(D575,Master[Product_Code],Master[Category])</f>
        <v>Pants</v>
      </c>
      <c r="G575" s="8" t="str">
        <f>_xlfn.XLOOKUP(D575,Master[Product_Code],Master[Brand])</f>
        <v>Van Heusen</v>
      </c>
      <c r="H575" s="8" t="str">
        <f>_xlfn.XLOOKUP(D575,Master[Product_Code],Master[Style])</f>
        <v>Boot Cut</v>
      </c>
      <c r="I575" s="8" t="str">
        <f>_xlfn.XLOOKUP(D575,Master[Product_Code],Master[Fabric])</f>
        <v>Poly Viscose</v>
      </c>
      <c r="J575" s="8">
        <f>_xlfn.XLOOKUP(D575,Master[Product_Code],Master[Size])</f>
        <v>30</v>
      </c>
      <c r="K575" s="8" t="str">
        <f>_xlfn.XLOOKUP(D575,Master[Product_Code],Master[Color])</f>
        <v>Light Grey</v>
      </c>
      <c r="L575" s="3">
        <f>_xlfn.XLOOKUP(D575,Master[Product_Code],Master[Selling_Price])</f>
        <v>750</v>
      </c>
    </row>
    <row r="576" spans="2:12">
      <c r="B576" s="2" t="s">
        <v>2002</v>
      </c>
      <c r="C576" s="7">
        <v>45948</v>
      </c>
      <c r="D576" s="2" t="s">
        <v>178</v>
      </c>
      <c r="E576" s="4">
        <v>1</v>
      </c>
      <c r="F576" s="8" t="str">
        <f>_xlfn.XLOOKUP(D576,Master[Product_Code],Master[Category])</f>
        <v>Shirt</v>
      </c>
      <c r="G576" s="8" t="str">
        <f>_xlfn.XLOOKUP(D576,Master[Product_Code],Master[Brand])</f>
        <v>L7</v>
      </c>
      <c r="H576" s="8" t="str">
        <f>_xlfn.XLOOKUP(D576,Master[Product_Code],Master[Style])</f>
        <v>Formal</v>
      </c>
      <c r="I576" s="8" t="str">
        <f>_xlfn.XLOOKUP(D576,Master[Product_Code],Master[Fabric])</f>
        <v>Cotton</v>
      </c>
      <c r="J576" s="8" t="str">
        <f>_xlfn.XLOOKUP(D576,Master[Product_Code],Master[Size])</f>
        <v>L</v>
      </c>
      <c r="K576" s="8" t="str">
        <f>_xlfn.XLOOKUP(D576,Master[Product_Code],Master[Color])</f>
        <v>Light Grey</v>
      </c>
      <c r="L576" s="3">
        <f>_xlfn.XLOOKUP(D576,Master[Product_Code],Master[Selling_Price])</f>
        <v>640</v>
      </c>
    </row>
    <row r="577" spans="2:12">
      <c r="B577" s="2" t="s">
        <v>2002</v>
      </c>
      <c r="C577" s="7">
        <v>45948</v>
      </c>
      <c r="D577" s="2" t="s">
        <v>1245</v>
      </c>
      <c r="E577" s="4">
        <v>1</v>
      </c>
      <c r="F577" s="8" t="str">
        <f>_xlfn.XLOOKUP(D577,Master[Product_Code],Master[Category])</f>
        <v>Pants</v>
      </c>
      <c r="G577" s="8" t="str">
        <f>_xlfn.XLOOKUP(D577,Master[Product_Code],Master[Brand])</f>
        <v>Peter England</v>
      </c>
      <c r="H577" s="8" t="str">
        <f>_xlfn.XLOOKUP(D577,Master[Product_Code],Master[Style])</f>
        <v>Korean</v>
      </c>
      <c r="I577" s="8" t="str">
        <f>_xlfn.XLOOKUP(D577,Master[Product_Code],Master[Fabric])</f>
        <v>Lycra</v>
      </c>
      <c r="J577" s="8">
        <f>_xlfn.XLOOKUP(D577,Master[Product_Code],Master[Size])</f>
        <v>38</v>
      </c>
      <c r="K577" s="8" t="str">
        <f>_xlfn.XLOOKUP(D577,Master[Product_Code],Master[Color])</f>
        <v>Peach</v>
      </c>
      <c r="L577" s="3">
        <f>_xlfn.XLOOKUP(D577,Master[Product_Code],Master[Selling_Price])</f>
        <v>870</v>
      </c>
    </row>
    <row r="578" spans="2:12">
      <c r="B578" s="2" t="s">
        <v>2002</v>
      </c>
      <c r="C578" s="7">
        <v>45948</v>
      </c>
      <c r="D578" s="2" t="s">
        <v>1335</v>
      </c>
      <c r="E578" s="4">
        <v>1</v>
      </c>
      <c r="F578" s="8" t="str">
        <f>_xlfn.XLOOKUP(D578,Master[Product_Code],Master[Category])</f>
        <v>Pants</v>
      </c>
      <c r="G578" s="8" t="str">
        <f>_xlfn.XLOOKUP(D578,Master[Product_Code],Master[Brand])</f>
        <v>Raymond</v>
      </c>
      <c r="H578" s="8" t="str">
        <f>_xlfn.XLOOKUP(D578,Master[Product_Code],Master[Style])</f>
        <v>Jogger</v>
      </c>
      <c r="I578" s="8" t="str">
        <f>_xlfn.XLOOKUP(D578,Master[Product_Code],Master[Fabric])</f>
        <v>Poly Viscose</v>
      </c>
      <c r="J578" s="8">
        <f>_xlfn.XLOOKUP(D578,Master[Product_Code],Master[Size])</f>
        <v>40</v>
      </c>
      <c r="K578" s="8" t="str">
        <f>_xlfn.XLOOKUP(D578,Master[Product_Code],Master[Color])</f>
        <v>Rust</v>
      </c>
      <c r="L578" s="3">
        <f>_xlfn.XLOOKUP(D578,Master[Product_Code],Master[Selling_Price])</f>
        <v>900</v>
      </c>
    </row>
    <row r="579" spans="2:12">
      <c r="B579" s="2" t="s">
        <v>2002</v>
      </c>
      <c r="C579" s="7">
        <v>45948</v>
      </c>
      <c r="D579" s="2" t="s">
        <v>1405</v>
      </c>
      <c r="E579" s="4">
        <v>1</v>
      </c>
      <c r="F579" s="8" t="str">
        <f>_xlfn.XLOOKUP(D579,Master[Product_Code],Master[Category])</f>
        <v>Pants</v>
      </c>
      <c r="G579" s="8" t="str">
        <f>_xlfn.XLOOKUP(D579,Master[Product_Code],Master[Brand])</f>
        <v>Van Heusen</v>
      </c>
      <c r="H579" s="8" t="str">
        <f>_xlfn.XLOOKUP(D579,Master[Product_Code],Master[Style])</f>
        <v>Korean</v>
      </c>
      <c r="I579" s="8" t="str">
        <f>_xlfn.XLOOKUP(D579,Master[Product_Code],Master[Fabric])</f>
        <v>Lycra</v>
      </c>
      <c r="J579" s="8">
        <f>_xlfn.XLOOKUP(D579,Master[Product_Code],Master[Size])</f>
        <v>30</v>
      </c>
      <c r="K579" s="8" t="str">
        <f>_xlfn.XLOOKUP(D579,Master[Product_Code],Master[Color])</f>
        <v>Peach</v>
      </c>
      <c r="L579" s="3">
        <f>_xlfn.XLOOKUP(D579,Master[Product_Code],Master[Selling_Price])</f>
        <v>910</v>
      </c>
    </row>
    <row r="580" spans="2:12">
      <c r="B580" s="2" t="s">
        <v>2003</v>
      </c>
      <c r="C580" s="7">
        <v>45948</v>
      </c>
      <c r="D580" s="2" t="s">
        <v>1651</v>
      </c>
      <c r="E580" s="4">
        <v>1</v>
      </c>
      <c r="F580" s="8" t="str">
        <f>_xlfn.XLOOKUP(D580,Master[Product_Code],Master[Category])</f>
        <v>Innerwear</v>
      </c>
      <c r="G580" s="8" t="str">
        <f>_xlfn.XLOOKUP(D580,Master[Product_Code],Master[Brand])</f>
        <v>Dollar</v>
      </c>
      <c r="H580" s="8" t="str">
        <f>_xlfn.XLOOKUP(D580,Master[Product_Code],Master[Style])</f>
        <v>V-Cut</v>
      </c>
      <c r="I580" s="8" t="str">
        <f>_xlfn.XLOOKUP(D580,Master[Product_Code],Master[Fabric])</f>
        <v>Cotton Blend</v>
      </c>
      <c r="J580" s="8" t="str">
        <f>_xlfn.XLOOKUP(D580,Master[Product_Code],Master[Size])</f>
        <v>75-80</v>
      </c>
      <c r="K580" s="8" t="str">
        <f>_xlfn.XLOOKUP(D580,Master[Product_Code],Master[Color])</f>
        <v>Dark Green</v>
      </c>
      <c r="L580" s="3">
        <f>_xlfn.XLOOKUP(D580,Master[Product_Code],Master[Selling_Price])</f>
        <v>140</v>
      </c>
    </row>
    <row r="581" spans="2:12">
      <c r="B581" s="2" t="s">
        <v>2003</v>
      </c>
      <c r="C581" s="7">
        <v>45948</v>
      </c>
      <c r="D581" s="2" t="s">
        <v>1480</v>
      </c>
      <c r="E581" s="4">
        <v>1</v>
      </c>
      <c r="F581" s="8" t="str">
        <f>_xlfn.XLOOKUP(D581,Master[Product_Code],Master[Category])</f>
        <v>Innerwear</v>
      </c>
      <c r="G581" s="8" t="str">
        <f>_xlfn.XLOOKUP(D581,Master[Product_Code],Master[Brand])</f>
        <v>Jockey</v>
      </c>
      <c r="H581" s="8" t="str">
        <f>_xlfn.XLOOKUP(D581,Master[Product_Code],Master[Style])</f>
        <v>V-Cut</v>
      </c>
      <c r="I581" s="8" t="str">
        <f>_xlfn.XLOOKUP(D581,Master[Product_Code],Master[Fabric])</f>
        <v>Cotton</v>
      </c>
      <c r="J581" s="8" t="str">
        <f>_xlfn.XLOOKUP(D581,Master[Product_Code],Master[Size])</f>
        <v>85-90</v>
      </c>
      <c r="K581" s="8" t="str">
        <f>_xlfn.XLOOKUP(D581,Master[Product_Code],Master[Color])</f>
        <v>Cream</v>
      </c>
      <c r="L581" s="3">
        <f>_xlfn.XLOOKUP(D581,Master[Product_Code],Master[Selling_Price])</f>
        <v>180</v>
      </c>
    </row>
    <row r="582" spans="2:12">
      <c r="B582" s="2" t="s">
        <v>2003</v>
      </c>
      <c r="C582" s="7">
        <v>45948</v>
      </c>
      <c r="D582" s="2" t="s">
        <v>1654</v>
      </c>
      <c r="E582" s="4">
        <v>1</v>
      </c>
      <c r="F582" s="8" t="str">
        <f>_xlfn.XLOOKUP(D582,Master[Product_Code],Master[Category])</f>
        <v>Innerwear</v>
      </c>
      <c r="G582" s="8" t="str">
        <f>_xlfn.XLOOKUP(D582,Master[Product_Code],Master[Brand])</f>
        <v>Rupa</v>
      </c>
      <c r="H582" s="8" t="str">
        <f>_xlfn.XLOOKUP(D582,Master[Product_Code],Master[Style])</f>
        <v>Boxer</v>
      </c>
      <c r="I582" s="8" t="str">
        <f>_xlfn.XLOOKUP(D582,Master[Product_Code],Master[Fabric])</f>
        <v>Cotton</v>
      </c>
      <c r="J582" s="8" t="str">
        <f>_xlfn.XLOOKUP(D582,Master[Product_Code],Master[Size])</f>
        <v>90-100</v>
      </c>
      <c r="K582" s="8" t="str">
        <f>_xlfn.XLOOKUP(D582,Master[Product_Code],Master[Color])</f>
        <v>Olive</v>
      </c>
      <c r="L582" s="3">
        <f>_xlfn.XLOOKUP(D582,Master[Product_Code],Master[Selling_Price])</f>
        <v>160</v>
      </c>
    </row>
    <row r="583" spans="2:12">
      <c r="B583" s="2" t="s">
        <v>2004</v>
      </c>
      <c r="C583" s="7">
        <v>45948</v>
      </c>
      <c r="D583" s="2" t="s">
        <v>1171</v>
      </c>
      <c r="E583" s="4">
        <v>1</v>
      </c>
      <c r="F583" s="8" t="str">
        <f>_xlfn.XLOOKUP(D583,Master[Product_Code],Master[Category])</f>
        <v>Pants</v>
      </c>
      <c r="G583" s="8" t="str">
        <f>_xlfn.XLOOKUP(D583,Master[Product_Code],Master[Brand])</f>
        <v>Raymond</v>
      </c>
      <c r="H583" s="8" t="str">
        <f>_xlfn.XLOOKUP(D583,Master[Product_Code],Master[Style])</f>
        <v>Korean</v>
      </c>
      <c r="I583" s="8" t="str">
        <f>_xlfn.XLOOKUP(D583,Master[Product_Code],Master[Fabric])</f>
        <v>Lycra</v>
      </c>
      <c r="J583" s="8">
        <f>_xlfn.XLOOKUP(D583,Master[Product_Code],Master[Size])</f>
        <v>28</v>
      </c>
      <c r="K583" s="8" t="str">
        <f>_xlfn.XLOOKUP(D583,Master[Product_Code],Master[Color])</f>
        <v>Beige</v>
      </c>
      <c r="L583" s="3">
        <f>_xlfn.XLOOKUP(D583,Master[Product_Code],Master[Selling_Price])</f>
        <v>950</v>
      </c>
    </row>
    <row r="584" spans="2:12">
      <c r="B584" s="2" t="s">
        <v>2005</v>
      </c>
      <c r="C584" s="7">
        <v>45948</v>
      </c>
      <c r="D584" s="2" t="s">
        <v>341</v>
      </c>
      <c r="E584" s="4">
        <v>1</v>
      </c>
      <c r="F584" s="8" t="str">
        <f>_xlfn.XLOOKUP(D584,Master[Product_Code],Master[Category])</f>
        <v>Shirt</v>
      </c>
      <c r="G584" s="8" t="str">
        <f>_xlfn.XLOOKUP(D584,Master[Product_Code],Master[Brand])</f>
        <v>Zara</v>
      </c>
      <c r="H584" s="8" t="str">
        <f>_xlfn.XLOOKUP(D584,Master[Product_Code],Master[Style])</f>
        <v>Casual</v>
      </c>
      <c r="I584" s="8" t="str">
        <f>_xlfn.XLOOKUP(D584,Master[Product_Code],Master[Fabric])</f>
        <v>Polyester</v>
      </c>
      <c r="J584" s="8" t="str">
        <f>_xlfn.XLOOKUP(D584,Master[Product_Code],Master[Size])</f>
        <v>XXL</v>
      </c>
      <c r="K584" s="8" t="str">
        <f>_xlfn.XLOOKUP(D584,Master[Product_Code],Master[Color])</f>
        <v>Peach</v>
      </c>
      <c r="L584" s="3">
        <f>_xlfn.XLOOKUP(D584,Master[Product_Code],Master[Selling_Price])</f>
        <v>650</v>
      </c>
    </row>
    <row r="585" spans="2:12">
      <c r="B585" s="2" t="s">
        <v>2006</v>
      </c>
      <c r="C585" s="7">
        <v>45948</v>
      </c>
      <c r="D585" s="2" t="s">
        <v>146</v>
      </c>
      <c r="E585" s="4">
        <v>1</v>
      </c>
      <c r="F585" s="8" t="str">
        <f>_xlfn.XLOOKUP(D585,Master[Product_Code],Master[Category])</f>
        <v>Shirt</v>
      </c>
      <c r="G585" s="8" t="str">
        <f>_xlfn.XLOOKUP(D585,Master[Product_Code],Master[Brand])</f>
        <v>L7</v>
      </c>
      <c r="H585" s="8" t="str">
        <f>_xlfn.XLOOKUP(D585,Master[Product_Code],Master[Style])</f>
        <v>Formal</v>
      </c>
      <c r="I585" s="8" t="str">
        <f>_xlfn.XLOOKUP(D585,Master[Product_Code],Master[Fabric])</f>
        <v>Cotton Blend</v>
      </c>
      <c r="J585" s="8" t="str">
        <f>_xlfn.XLOOKUP(D585,Master[Product_Code],Master[Size])</f>
        <v>S</v>
      </c>
      <c r="K585" s="8" t="str">
        <f>_xlfn.XLOOKUP(D585,Master[Product_Code],Master[Color])</f>
        <v>Light Grey</v>
      </c>
      <c r="L585" s="3">
        <f>_xlfn.XLOOKUP(D585,Master[Product_Code],Master[Selling_Price])</f>
        <v>690</v>
      </c>
    </row>
    <row r="586" spans="2:12">
      <c r="B586" s="2" t="s">
        <v>2006</v>
      </c>
      <c r="C586" s="7">
        <v>45948</v>
      </c>
      <c r="D586" s="2" t="s">
        <v>673</v>
      </c>
      <c r="E586" s="4">
        <v>1</v>
      </c>
      <c r="F586" s="8" t="str">
        <f>_xlfn.XLOOKUP(D586,Master[Product_Code],Master[Category])</f>
        <v>T-Shirt</v>
      </c>
      <c r="G586" s="8" t="str">
        <f>_xlfn.XLOOKUP(D586,Master[Product_Code],Master[Brand])</f>
        <v>Zara</v>
      </c>
      <c r="H586" s="8" t="str">
        <f>_xlfn.XLOOKUP(D586,Master[Product_Code],Master[Style])</f>
        <v>Half Sleeve</v>
      </c>
      <c r="I586" s="8" t="str">
        <f>_xlfn.XLOOKUP(D586,Master[Product_Code],Master[Fabric])</f>
        <v>Poly Cotton</v>
      </c>
      <c r="J586" s="8" t="str">
        <f>_xlfn.XLOOKUP(D586,Master[Product_Code],Master[Size])</f>
        <v>S</v>
      </c>
      <c r="K586" s="8" t="str">
        <f>_xlfn.XLOOKUP(D586,Master[Product_Code],Master[Color])</f>
        <v>Sky Blue</v>
      </c>
      <c r="L586" s="3">
        <f>_xlfn.XLOOKUP(D586,Master[Product_Code],Master[Selling_Price])</f>
        <v>380</v>
      </c>
    </row>
    <row r="587" spans="2:12">
      <c r="B587" s="2" t="s">
        <v>2007</v>
      </c>
      <c r="C587" s="7">
        <v>45948</v>
      </c>
      <c r="D587" s="2" t="s">
        <v>1597</v>
      </c>
      <c r="E587" s="4">
        <v>1</v>
      </c>
      <c r="F587" s="8" t="str">
        <f>_xlfn.XLOOKUP(D587,Master[Product_Code],Master[Category])</f>
        <v>Innerwear</v>
      </c>
      <c r="G587" s="8" t="str">
        <f>_xlfn.XLOOKUP(D587,Master[Product_Code],Master[Brand])</f>
        <v>Dollar</v>
      </c>
      <c r="H587" s="8" t="str">
        <f>_xlfn.XLOOKUP(D587,Master[Product_Code],Master[Style])</f>
        <v>Boxer</v>
      </c>
      <c r="I587" s="8" t="str">
        <f>_xlfn.XLOOKUP(D587,Master[Product_Code],Master[Fabric])</f>
        <v>Cotton</v>
      </c>
      <c r="J587" s="8" t="str">
        <f>_xlfn.XLOOKUP(D587,Master[Product_Code],Master[Size])</f>
        <v>85-90</v>
      </c>
      <c r="K587" s="8" t="str">
        <f>_xlfn.XLOOKUP(D587,Master[Product_Code],Master[Color])</f>
        <v>Dark Green</v>
      </c>
      <c r="L587" s="3">
        <f>_xlfn.XLOOKUP(D587,Master[Product_Code],Master[Selling_Price])</f>
        <v>130</v>
      </c>
    </row>
    <row r="588" spans="2:12">
      <c r="B588" s="2" t="s">
        <v>2007</v>
      </c>
      <c r="C588" s="7">
        <v>45948</v>
      </c>
      <c r="D588" s="2" t="s">
        <v>1250</v>
      </c>
      <c r="E588" s="4">
        <v>1</v>
      </c>
      <c r="F588" s="8" t="str">
        <f>_xlfn.XLOOKUP(D588,Master[Product_Code],Master[Category])</f>
        <v>Pants</v>
      </c>
      <c r="G588" s="8" t="str">
        <f>_xlfn.XLOOKUP(D588,Master[Product_Code],Master[Brand])</f>
        <v>Van Heusen</v>
      </c>
      <c r="H588" s="8" t="str">
        <f>_xlfn.XLOOKUP(D588,Master[Product_Code],Master[Style])</f>
        <v>Polofit</v>
      </c>
      <c r="I588" s="8" t="str">
        <f>_xlfn.XLOOKUP(D588,Master[Product_Code],Master[Fabric])</f>
        <v>Lycra</v>
      </c>
      <c r="J588" s="8">
        <f>_xlfn.XLOOKUP(D588,Master[Product_Code],Master[Size])</f>
        <v>42</v>
      </c>
      <c r="K588" s="8" t="str">
        <f>_xlfn.XLOOKUP(D588,Master[Product_Code],Master[Color])</f>
        <v>Bottle Green</v>
      </c>
      <c r="L588" s="3">
        <f>_xlfn.XLOOKUP(D588,Master[Product_Code],Master[Selling_Price])</f>
        <v>710</v>
      </c>
    </row>
    <row r="589" spans="2:12">
      <c r="B589" s="2" t="s">
        <v>2007</v>
      </c>
      <c r="C589" s="7">
        <v>45948</v>
      </c>
      <c r="D589" s="2" t="s">
        <v>962</v>
      </c>
      <c r="E589" s="4">
        <v>1</v>
      </c>
      <c r="F589" s="8" t="str">
        <f>_xlfn.XLOOKUP(D589,Master[Product_Code],Master[Category])</f>
        <v>Jeans</v>
      </c>
      <c r="G589" s="8" t="str">
        <f>_xlfn.XLOOKUP(D589,Master[Product_Code],Master[Brand])</f>
        <v>Spykar</v>
      </c>
      <c r="H589" s="8" t="str">
        <f>_xlfn.XLOOKUP(D589,Master[Product_Code],Master[Style])</f>
        <v>Baggy</v>
      </c>
      <c r="I589" s="8" t="str">
        <f>_xlfn.XLOOKUP(D589,Master[Product_Code],Master[Fabric])</f>
        <v>Denim</v>
      </c>
      <c r="J589" s="8">
        <f>_xlfn.XLOOKUP(D589,Master[Product_Code],Master[Size])</f>
        <v>32</v>
      </c>
      <c r="K589" s="8" t="str">
        <f>_xlfn.XLOOKUP(D589,Master[Product_Code],Master[Color])</f>
        <v>Maroon</v>
      </c>
      <c r="L589" s="3">
        <f>_xlfn.XLOOKUP(D589,Master[Product_Code],Master[Selling_Price])</f>
        <v>780</v>
      </c>
    </row>
    <row r="590" spans="2:12">
      <c r="B590" s="2" t="s">
        <v>2008</v>
      </c>
      <c r="C590" s="7">
        <v>45948</v>
      </c>
      <c r="D590" s="2" t="s">
        <v>677</v>
      </c>
      <c r="E590" s="4">
        <v>1</v>
      </c>
      <c r="F590" s="8" t="str">
        <f>_xlfn.XLOOKUP(D590,Master[Product_Code],Master[Category])</f>
        <v>T-Shirt</v>
      </c>
      <c r="G590" s="8" t="str">
        <f>_xlfn.XLOOKUP(D590,Master[Product_Code],Master[Brand])</f>
        <v>Urban Monkey</v>
      </c>
      <c r="H590" s="8" t="str">
        <f>_xlfn.XLOOKUP(D590,Master[Product_Code],Master[Style])</f>
        <v>Half Sleeve</v>
      </c>
      <c r="I590" s="8" t="str">
        <f>_xlfn.XLOOKUP(D590,Master[Product_Code],Master[Fabric])</f>
        <v>Cotton</v>
      </c>
      <c r="J590" s="8" t="str">
        <f>_xlfn.XLOOKUP(D590,Master[Product_Code],Master[Size])</f>
        <v>M</v>
      </c>
      <c r="K590" s="8" t="str">
        <f>_xlfn.XLOOKUP(D590,Master[Product_Code],Master[Color])</f>
        <v>Olive</v>
      </c>
      <c r="L590" s="3">
        <f>_xlfn.XLOOKUP(D590,Master[Product_Code],Master[Selling_Price])</f>
        <v>280</v>
      </c>
    </row>
    <row r="591" spans="2:12">
      <c r="B591" s="2" t="s">
        <v>2008</v>
      </c>
      <c r="C591" s="7">
        <v>45948</v>
      </c>
      <c r="D591" s="2" t="s">
        <v>1373</v>
      </c>
      <c r="E591" s="4">
        <v>1</v>
      </c>
      <c r="F591" s="8" t="str">
        <f>_xlfn.XLOOKUP(D591,Master[Product_Code],Master[Category])</f>
        <v>Pants</v>
      </c>
      <c r="G591" s="8" t="str">
        <f>_xlfn.XLOOKUP(D591,Master[Product_Code],Master[Brand])</f>
        <v>Raymond</v>
      </c>
      <c r="H591" s="8" t="str">
        <f>_xlfn.XLOOKUP(D591,Master[Product_Code],Master[Style])</f>
        <v>Korean</v>
      </c>
      <c r="I591" s="8" t="str">
        <f>_xlfn.XLOOKUP(D591,Master[Product_Code],Master[Fabric])</f>
        <v>Lycra</v>
      </c>
      <c r="J591" s="8">
        <f>_xlfn.XLOOKUP(D591,Master[Product_Code],Master[Size])</f>
        <v>40</v>
      </c>
      <c r="K591" s="8" t="str">
        <f>_xlfn.XLOOKUP(D591,Master[Product_Code],Master[Color])</f>
        <v>Mustard</v>
      </c>
      <c r="L591" s="3">
        <f>_xlfn.XLOOKUP(D591,Master[Product_Code],Master[Selling_Price])</f>
        <v>840</v>
      </c>
    </row>
    <row r="592" spans="2:12">
      <c r="B592" s="2" t="s">
        <v>2009</v>
      </c>
      <c r="C592" s="7">
        <v>45948</v>
      </c>
      <c r="D592" s="2" t="s">
        <v>1302</v>
      </c>
      <c r="E592" s="4">
        <v>1</v>
      </c>
      <c r="F592" s="8" t="str">
        <f>_xlfn.XLOOKUP(D592,Master[Product_Code],Master[Category])</f>
        <v>Pants</v>
      </c>
      <c r="G592" s="8" t="str">
        <f>_xlfn.XLOOKUP(D592,Master[Product_Code],Master[Brand])</f>
        <v>Raymond</v>
      </c>
      <c r="H592" s="8" t="str">
        <f>_xlfn.XLOOKUP(D592,Master[Product_Code],Master[Style])</f>
        <v>Boot Cut</v>
      </c>
      <c r="I592" s="8" t="str">
        <f>_xlfn.XLOOKUP(D592,Master[Product_Code],Master[Fabric])</f>
        <v>Cotton Blend</v>
      </c>
      <c r="J592" s="8">
        <f>_xlfn.XLOOKUP(D592,Master[Product_Code],Master[Size])</f>
        <v>28</v>
      </c>
      <c r="K592" s="8" t="str">
        <f>_xlfn.XLOOKUP(D592,Master[Product_Code],Master[Color])</f>
        <v>Black</v>
      </c>
      <c r="L592" s="3">
        <f>_xlfn.XLOOKUP(D592,Master[Product_Code],Master[Selling_Price])</f>
        <v>940</v>
      </c>
    </row>
    <row r="593" spans="2:12">
      <c r="B593" s="2" t="s">
        <v>2009</v>
      </c>
      <c r="C593" s="7">
        <v>45948</v>
      </c>
      <c r="D593" s="2" t="s">
        <v>376</v>
      </c>
      <c r="E593" s="4">
        <v>1</v>
      </c>
      <c r="F593" s="8" t="str">
        <f>_xlfn.XLOOKUP(D593,Master[Product_Code],Master[Category])</f>
        <v>Shirt</v>
      </c>
      <c r="G593" s="8" t="str">
        <f>_xlfn.XLOOKUP(D593,Master[Product_Code],Master[Brand])</f>
        <v>G Studio</v>
      </c>
      <c r="H593" s="8" t="str">
        <f>_xlfn.XLOOKUP(D593,Master[Product_Code],Master[Style])</f>
        <v>Casual</v>
      </c>
      <c r="I593" s="8" t="str">
        <f>_xlfn.XLOOKUP(D593,Master[Product_Code],Master[Fabric])</f>
        <v>Cotton Blend</v>
      </c>
      <c r="J593" s="8" t="str">
        <f>_xlfn.XLOOKUP(D593,Master[Product_Code],Master[Size])</f>
        <v>L</v>
      </c>
      <c r="K593" s="8" t="str">
        <f>_xlfn.XLOOKUP(D593,Master[Product_Code],Master[Color])</f>
        <v>Brown</v>
      </c>
      <c r="L593" s="3">
        <f>_xlfn.XLOOKUP(D593,Master[Product_Code],Master[Selling_Price])</f>
        <v>770</v>
      </c>
    </row>
    <row r="594" spans="2:12">
      <c r="B594" s="2" t="s">
        <v>2010</v>
      </c>
      <c r="C594" s="7">
        <v>45948</v>
      </c>
      <c r="D594" s="2" t="s">
        <v>869</v>
      </c>
      <c r="E594" s="4">
        <v>1</v>
      </c>
      <c r="F594" s="8" t="str">
        <f>_xlfn.XLOOKUP(D594,Master[Product_Code],Master[Category])</f>
        <v>Jeans</v>
      </c>
      <c r="G594" s="8" t="str">
        <f>_xlfn.XLOOKUP(D594,Master[Product_Code],Master[Brand])</f>
        <v>Pepe</v>
      </c>
      <c r="H594" s="8" t="str">
        <f>_xlfn.XLOOKUP(D594,Master[Product_Code],Master[Style])</f>
        <v>Baggy</v>
      </c>
      <c r="I594" s="8" t="str">
        <f>_xlfn.XLOOKUP(D594,Master[Product_Code],Master[Fabric])</f>
        <v>Denim</v>
      </c>
      <c r="J594" s="8">
        <f>_xlfn.XLOOKUP(D594,Master[Product_Code],Master[Size])</f>
        <v>38</v>
      </c>
      <c r="K594" s="8" t="str">
        <f>_xlfn.XLOOKUP(D594,Master[Product_Code],Master[Color])</f>
        <v>Bottle Green</v>
      </c>
      <c r="L594" s="3">
        <f>_xlfn.XLOOKUP(D594,Master[Product_Code],Master[Selling_Price])</f>
        <v>820</v>
      </c>
    </row>
    <row r="595" spans="2:12">
      <c r="B595" s="2" t="s">
        <v>2010</v>
      </c>
      <c r="C595" s="7">
        <v>45948</v>
      </c>
      <c r="D595" s="2" t="s">
        <v>102</v>
      </c>
      <c r="E595" s="4">
        <v>1</v>
      </c>
      <c r="F595" s="8" t="str">
        <f>_xlfn.XLOOKUP(D595,Master[Product_Code],Master[Category])</f>
        <v>Shirt</v>
      </c>
      <c r="G595" s="8" t="str">
        <f>_xlfn.XLOOKUP(D595,Master[Product_Code],Master[Brand])</f>
        <v>British</v>
      </c>
      <c r="H595" s="8" t="str">
        <f>_xlfn.XLOOKUP(D595,Master[Product_Code],Master[Style])</f>
        <v>Formal</v>
      </c>
      <c r="I595" s="8" t="str">
        <f>_xlfn.XLOOKUP(D595,Master[Product_Code],Master[Fabric])</f>
        <v>Cotton Blend</v>
      </c>
      <c r="J595" s="8" t="str">
        <f>_xlfn.XLOOKUP(D595,Master[Product_Code],Master[Size])</f>
        <v>XXL</v>
      </c>
      <c r="K595" s="8" t="str">
        <f>_xlfn.XLOOKUP(D595,Master[Product_Code],Master[Color])</f>
        <v>Peach</v>
      </c>
      <c r="L595" s="3">
        <f>_xlfn.XLOOKUP(D595,Master[Product_Code],Master[Selling_Price])</f>
        <v>890</v>
      </c>
    </row>
    <row r="596" spans="2:12">
      <c r="B596" s="2" t="s">
        <v>2010</v>
      </c>
      <c r="C596" s="7">
        <v>45948</v>
      </c>
      <c r="D596" s="2" t="s">
        <v>1064</v>
      </c>
      <c r="E596" s="4">
        <v>1</v>
      </c>
      <c r="F596" s="8" t="str">
        <f>_xlfn.XLOOKUP(D596,Master[Product_Code],Master[Category])</f>
        <v>Jeans</v>
      </c>
      <c r="G596" s="8" t="str">
        <f>_xlfn.XLOOKUP(D596,Master[Product_Code],Master[Brand])</f>
        <v>Levis</v>
      </c>
      <c r="H596" s="8" t="str">
        <f>_xlfn.XLOOKUP(D596,Master[Product_Code],Master[Style])</f>
        <v>Mom Fit</v>
      </c>
      <c r="I596" s="8" t="str">
        <f>_xlfn.XLOOKUP(D596,Master[Product_Code],Master[Fabric])</f>
        <v>Denim</v>
      </c>
      <c r="J596" s="8">
        <f>_xlfn.XLOOKUP(D596,Master[Product_Code],Master[Size])</f>
        <v>30</v>
      </c>
      <c r="K596" s="8" t="str">
        <f>_xlfn.XLOOKUP(D596,Master[Product_Code],Master[Color])</f>
        <v>Maroon</v>
      </c>
      <c r="L596" s="3">
        <f>_xlfn.XLOOKUP(D596,Master[Product_Code],Master[Selling_Price])</f>
        <v>990</v>
      </c>
    </row>
    <row r="597" spans="2:12">
      <c r="B597" s="2" t="s">
        <v>2011</v>
      </c>
      <c r="C597" s="7">
        <v>45948</v>
      </c>
      <c r="D597" s="2" t="s">
        <v>1165</v>
      </c>
      <c r="E597" s="4">
        <v>1</v>
      </c>
      <c r="F597" s="8" t="str">
        <f>_xlfn.XLOOKUP(D597,Master[Product_Code],Master[Category])</f>
        <v>Pants</v>
      </c>
      <c r="G597" s="8" t="str">
        <f>_xlfn.XLOOKUP(D597,Master[Product_Code],Master[Brand])</f>
        <v>Van Heusen</v>
      </c>
      <c r="H597" s="8" t="str">
        <f>_xlfn.XLOOKUP(D597,Master[Product_Code],Master[Style])</f>
        <v>Jogger</v>
      </c>
      <c r="I597" s="8" t="str">
        <f>_xlfn.XLOOKUP(D597,Master[Product_Code],Master[Fabric])</f>
        <v>Poly Viscose</v>
      </c>
      <c r="J597" s="8">
        <f>_xlfn.XLOOKUP(D597,Master[Product_Code],Master[Size])</f>
        <v>28</v>
      </c>
      <c r="K597" s="8" t="str">
        <f>_xlfn.XLOOKUP(D597,Master[Product_Code],Master[Color])</f>
        <v>Brown</v>
      </c>
      <c r="L597" s="3">
        <f>_xlfn.XLOOKUP(D597,Master[Product_Code],Master[Selling_Price])</f>
        <v>840</v>
      </c>
    </row>
    <row r="598" spans="2:12">
      <c r="B598" s="2" t="s">
        <v>2011</v>
      </c>
      <c r="C598" s="7">
        <v>45948</v>
      </c>
      <c r="D598" s="2" t="s">
        <v>168</v>
      </c>
      <c r="E598" s="4">
        <v>1</v>
      </c>
      <c r="F598" s="8" t="str">
        <f>_xlfn.XLOOKUP(D598,Master[Product_Code],Master[Category])</f>
        <v>Shirt</v>
      </c>
      <c r="G598" s="8" t="str">
        <f>_xlfn.XLOOKUP(D598,Master[Product_Code],Master[Brand])</f>
        <v>G Studio</v>
      </c>
      <c r="H598" s="8" t="str">
        <f>_xlfn.XLOOKUP(D598,Master[Product_Code],Master[Style])</f>
        <v>Formal</v>
      </c>
      <c r="I598" s="8" t="str">
        <f>_xlfn.XLOOKUP(D598,Master[Product_Code],Master[Fabric])</f>
        <v>Polyester</v>
      </c>
      <c r="J598" s="8" t="str">
        <f>_xlfn.XLOOKUP(D598,Master[Product_Code],Master[Size])</f>
        <v>XXL</v>
      </c>
      <c r="K598" s="8" t="str">
        <f>_xlfn.XLOOKUP(D598,Master[Product_Code],Master[Color])</f>
        <v>Royal Blue</v>
      </c>
      <c r="L598" s="3">
        <f>_xlfn.XLOOKUP(D598,Master[Product_Code],Master[Selling_Price])</f>
        <v>660</v>
      </c>
    </row>
    <row r="599" spans="2:12">
      <c r="B599" s="2" t="s">
        <v>2012</v>
      </c>
      <c r="C599" s="7">
        <v>45948</v>
      </c>
      <c r="D599" s="2" t="s">
        <v>382</v>
      </c>
      <c r="E599" s="4">
        <v>1</v>
      </c>
      <c r="F599" s="8" t="str">
        <f>_xlfn.XLOOKUP(D599,Master[Product_Code],Master[Category])</f>
        <v>Shirt</v>
      </c>
      <c r="G599" s="8" t="str">
        <f>_xlfn.XLOOKUP(D599,Master[Product_Code],Master[Brand])</f>
        <v>L7</v>
      </c>
      <c r="H599" s="8" t="str">
        <f>_xlfn.XLOOKUP(D599,Master[Product_Code],Master[Style])</f>
        <v>Formal</v>
      </c>
      <c r="I599" s="8" t="str">
        <f>_xlfn.XLOOKUP(D599,Master[Product_Code],Master[Fabric])</f>
        <v>Lycra</v>
      </c>
      <c r="J599" s="8" t="str">
        <f>_xlfn.XLOOKUP(D599,Master[Product_Code],Master[Size])</f>
        <v>XXL</v>
      </c>
      <c r="K599" s="8" t="str">
        <f>_xlfn.XLOOKUP(D599,Master[Product_Code],Master[Color])</f>
        <v>Dark Green</v>
      </c>
      <c r="L599" s="3">
        <f>_xlfn.XLOOKUP(D599,Master[Product_Code],Master[Selling_Price])</f>
        <v>830</v>
      </c>
    </row>
    <row r="600" spans="2:12">
      <c r="B600" s="2" t="s">
        <v>2013</v>
      </c>
      <c r="C600" s="7">
        <v>45948</v>
      </c>
      <c r="D600" s="2" t="s">
        <v>1556</v>
      </c>
      <c r="E600" s="4">
        <v>1</v>
      </c>
      <c r="F600" s="8" t="str">
        <f>_xlfn.XLOOKUP(D600,Master[Product_Code],Master[Category])</f>
        <v>Innerwear</v>
      </c>
      <c r="G600" s="8" t="str">
        <f>_xlfn.XLOOKUP(D600,Master[Product_Code],Master[Brand])</f>
        <v>Dollar</v>
      </c>
      <c r="H600" s="8" t="str">
        <f>_xlfn.XLOOKUP(D600,Master[Product_Code],Master[Style])</f>
        <v>V-Cut</v>
      </c>
      <c r="I600" s="8" t="str">
        <f>_xlfn.XLOOKUP(D600,Master[Product_Code],Master[Fabric])</f>
        <v>Cotton</v>
      </c>
      <c r="J600" s="8" t="str">
        <f>_xlfn.XLOOKUP(D600,Master[Product_Code],Master[Size])</f>
        <v>100-105</v>
      </c>
      <c r="K600" s="8" t="str">
        <f>_xlfn.XLOOKUP(D600,Master[Product_Code],Master[Color])</f>
        <v>Teal</v>
      </c>
      <c r="L600" s="3">
        <f>_xlfn.XLOOKUP(D600,Master[Product_Code],Master[Selling_Price])</f>
        <v>110</v>
      </c>
    </row>
    <row r="601" spans="2:12">
      <c r="B601" s="2" t="s">
        <v>2013</v>
      </c>
      <c r="C601" s="7">
        <v>45948</v>
      </c>
      <c r="D601" s="2" t="s">
        <v>328</v>
      </c>
      <c r="E601" s="4">
        <v>1</v>
      </c>
      <c r="F601" s="8" t="str">
        <f>_xlfn.XLOOKUP(D601,Master[Product_Code],Master[Category])</f>
        <v>Shirt</v>
      </c>
      <c r="G601" s="8" t="str">
        <f>_xlfn.XLOOKUP(D601,Master[Product_Code],Master[Brand])</f>
        <v>L7</v>
      </c>
      <c r="H601" s="8" t="str">
        <f>_xlfn.XLOOKUP(D601,Master[Product_Code],Master[Style])</f>
        <v>Casual</v>
      </c>
      <c r="I601" s="8" t="str">
        <f>_xlfn.XLOOKUP(D601,Master[Product_Code],Master[Fabric])</f>
        <v>Lycra</v>
      </c>
      <c r="J601" s="8" t="str">
        <f>_xlfn.XLOOKUP(D601,Master[Product_Code],Master[Size])</f>
        <v>XXL</v>
      </c>
      <c r="K601" s="8" t="str">
        <f>_xlfn.XLOOKUP(D601,Master[Product_Code],Master[Color])</f>
        <v>Beige</v>
      </c>
      <c r="L601" s="3">
        <f>_xlfn.XLOOKUP(D601,Master[Product_Code],Master[Selling_Price])</f>
        <v>930</v>
      </c>
    </row>
    <row r="602" spans="2:12">
      <c r="B602" s="2" t="s">
        <v>2014</v>
      </c>
      <c r="C602" s="7">
        <v>45948</v>
      </c>
      <c r="D602" s="2" t="s">
        <v>1195</v>
      </c>
      <c r="E602" s="4">
        <v>1</v>
      </c>
      <c r="F602" s="8" t="str">
        <f>_xlfn.XLOOKUP(D602,Master[Product_Code],Master[Category])</f>
        <v>Pants</v>
      </c>
      <c r="G602" s="8" t="str">
        <f>_xlfn.XLOOKUP(D602,Master[Product_Code],Master[Brand])</f>
        <v>Van Heusen</v>
      </c>
      <c r="H602" s="8" t="str">
        <f>_xlfn.XLOOKUP(D602,Master[Product_Code],Master[Style])</f>
        <v>Jogger</v>
      </c>
      <c r="I602" s="8" t="str">
        <f>_xlfn.XLOOKUP(D602,Master[Product_Code],Master[Fabric])</f>
        <v>Cotton Blend</v>
      </c>
      <c r="J602" s="8">
        <f>_xlfn.XLOOKUP(D602,Master[Product_Code],Master[Size])</f>
        <v>28</v>
      </c>
      <c r="K602" s="8" t="str">
        <f>_xlfn.XLOOKUP(D602,Master[Product_Code],Master[Color])</f>
        <v>Navy Blue</v>
      </c>
      <c r="L602" s="3">
        <f>_xlfn.XLOOKUP(D602,Master[Product_Code],Master[Selling_Price])</f>
        <v>830</v>
      </c>
    </row>
    <row r="603" spans="2:12">
      <c r="B603" s="2" t="s">
        <v>2014</v>
      </c>
      <c r="C603" s="7">
        <v>45948</v>
      </c>
      <c r="D603" s="2" t="s">
        <v>460</v>
      </c>
      <c r="E603" s="4">
        <v>1</v>
      </c>
      <c r="F603" s="8" t="str">
        <f>_xlfn.XLOOKUP(D603,Master[Product_Code],Master[Category])</f>
        <v>T-Shirt</v>
      </c>
      <c r="G603" s="8" t="str">
        <f>_xlfn.XLOOKUP(D603,Master[Product_Code],Master[Brand])</f>
        <v>Thailand</v>
      </c>
      <c r="H603" s="8" t="str">
        <f>_xlfn.XLOOKUP(D603,Master[Product_Code],Master[Style])</f>
        <v>Sleeveless</v>
      </c>
      <c r="I603" s="8" t="str">
        <f>_xlfn.XLOOKUP(D603,Master[Product_Code],Master[Fabric])</f>
        <v>Poly Cotton</v>
      </c>
      <c r="J603" s="8" t="str">
        <f>_xlfn.XLOOKUP(D603,Master[Product_Code],Master[Size])</f>
        <v>M</v>
      </c>
      <c r="K603" s="8" t="str">
        <f>_xlfn.XLOOKUP(D603,Master[Product_Code],Master[Color])</f>
        <v>Mustard</v>
      </c>
      <c r="L603" s="3">
        <f>_xlfn.XLOOKUP(D603,Master[Product_Code],Master[Selling_Price])</f>
        <v>440</v>
      </c>
    </row>
    <row r="604" spans="2:12">
      <c r="B604" s="2" t="s">
        <v>2014</v>
      </c>
      <c r="C604" s="7">
        <v>45948</v>
      </c>
      <c r="D604" s="2" t="s">
        <v>535</v>
      </c>
      <c r="E604" s="4">
        <v>1</v>
      </c>
      <c r="F604" s="8" t="str">
        <f>_xlfn.XLOOKUP(D604,Master[Product_Code],Master[Category])</f>
        <v>T-Shirt</v>
      </c>
      <c r="G604" s="8" t="str">
        <f>_xlfn.XLOOKUP(D604,Master[Product_Code],Master[Brand])</f>
        <v>Campus</v>
      </c>
      <c r="H604" s="8" t="str">
        <f>_xlfn.XLOOKUP(D604,Master[Product_Code],Master[Style])</f>
        <v>Full Sleeve</v>
      </c>
      <c r="I604" s="8" t="str">
        <f>_xlfn.XLOOKUP(D604,Master[Product_Code],Master[Fabric])</f>
        <v>Cotton</v>
      </c>
      <c r="J604" s="8" t="str">
        <f>_xlfn.XLOOKUP(D604,Master[Product_Code],Master[Size])</f>
        <v>S</v>
      </c>
      <c r="K604" s="8" t="str">
        <f>_xlfn.XLOOKUP(D604,Master[Product_Code],Master[Color])</f>
        <v>Maroon</v>
      </c>
      <c r="L604" s="3">
        <f>_xlfn.XLOOKUP(D604,Master[Product_Code],Master[Selling_Price])</f>
        <v>430</v>
      </c>
    </row>
    <row r="605" spans="2:12">
      <c r="B605" s="2" t="s">
        <v>2015</v>
      </c>
      <c r="C605" s="7">
        <v>45950</v>
      </c>
      <c r="D605" s="2" t="s">
        <v>1355</v>
      </c>
      <c r="E605" s="4">
        <v>1</v>
      </c>
      <c r="F605" s="8" t="str">
        <f>_xlfn.XLOOKUP(D605,Master[Product_Code],Master[Category])</f>
        <v>Pants</v>
      </c>
      <c r="G605" s="8" t="str">
        <f>_xlfn.XLOOKUP(D605,Master[Product_Code],Master[Brand])</f>
        <v>Van Heusen</v>
      </c>
      <c r="H605" s="8" t="str">
        <f>_xlfn.XLOOKUP(D605,Master[Product_Code],Master[Style])</f>
        <v>Korean</v>
      </c>
      <c r="I605" s="8" t="str">
        <f>_xlfn.XLOOKUP(D605,Master[Product_Code],Master[Fabric])</f>
        <v>Lycra</v>
      </c>
      <c r="J605" s="8">
        <f>_xlfn.XLOOKUP(D605,Master[Product_Code],Master[Size])</f>
        <v>36</v>
      </c>
      <c r="K605" s="8" t="str">
        <f>_xlfn.XLOOKUP(D605,Master[Product_Code],Master[Color])</f>
        <v>Brown</v>
      </c>
      <c r="L605" s="3">
        <f>_xlfn.XLOOKUP(D605,Master[Product_Code],Master[Selling_Price])</f>
        <v>740</v>
      </c>
    </row>
    <row r="606" spans="2:12">
      <c r="B606" s="2" t="s">
        <v>2015</v>
      </c>
      <c r="C606" s="7">
        <v>45950</v>
      </c>
      <c r="D606" s="2" t="s">
        <v>578</v>
      </c>
      <c r="E606" s="4">
        <v>1</v>
      </c>
      <c r="F606" s="8" t="str">
        <f>_xlfn.XLOOKUP(D606,Master[Product_Code],Master[Category])</f>
        <v>T-Shirt</v>
      </c>
      <c r="G606" s="8" t="str">
        <f>_xlfn.XLOOKUP(D606,Master[Product_Code],Master[Brand])</f>
        <v>Campus</v>
      </c>
      <c r="H606" s="8" t="str">
        <f>_xlfn.XLOOKUP(D606,Master[Product_Code],Master[Style])</f>
        <v>3/4 Sleeve</v>
      </c>
      <c r="I606" s="8" t="str">
        <f>_xlfn.XLOOKUP(D606,Master[Product_Code],Master[Fabric])</f>
        <v>Poly Cotton</v>
      </c>
      <c r="J606" s="8" t="str">
        <f>_xlfn.XLOOKUP(D606,Master[Product_Code],Master[Size])</f>
        <v>S</v>
      </c>
      <c r="K606" s="8" t="str">
        <f>_xlfn.XLOOKUP(D606,Master[Product_Code],Master[Color])</f>
        <v>Teal</v>
      </c>
      <c r="L606" s="3">
        <f>_xlfn.XLOOKUP(D606,Master[Product_Code],Master[Selling_Price])</f>
        <v>740</v>
      </c>
    </row>
    <row r="607" spans="2:12">
      <c r="B607" s="2" t="s">
        <v>2015</v>
      </c>
      <c r="C607" s="7">
        <v>45950</v>
      </c>
      <c r="D607" s="2" t="s">
        <v>1734</v>
      </c>
      <c r="E607" s="4">
        <v>1</v>
      </c>
      <c r="F607" s="8" t="str">
        <f>_xlfn.XLOOKUP(D607,Master[Product_Code],Master[Category])</f>
        <v>Innerwear</v>
      </c>
      <c r="G607" s="8" t="str">
        <f>_xlfn.XLOOKUP(D607,Master[Product_Code],Master[Brand])</f>
        <v>Jockey</v>
      </c>
      <c r="H607" s="8" t="str">
        <f>_xlfn.XLOOKUP(D607,Master[Product_Code],Master[Style])</f>
        <v>V-Cut</v>
      </c>
      <c r="I607" s="8" t="str">
        <f>_xlfn.XLOOKUP(D607,Master[Product_Code],Master[Fabric])</f>
        <v>Cotton</v>
      </c>
      <c r="J607" s="8" t="str">
        <f>_xlfn.XLOOKUP(D607,Master[Product_Code],Master[Size])</f>
        <v>90-100</v>
      </c>
      <c r="K607" s="8" t="str">
        <f>_xlfn.XLOOKUP(D607,Master[Product_Code],Master[Color])</f>
        <v>Dark Green</v>
      </c>
      <c r="L607" s="3">
        <f>_xlfn.XLOOKUP(D607,Master[Product_Code],Master[Selling_Price])</f>
        <v>150</v>
      </c>
    </row>
    <row r="608" spans="2:12">
      <c r="B608" s="2" t="s">
        <v>2016</v>
      </c>
      <c r="C608" s="7">
        <v>45950</v>
      </c>
      <c r="D608" s="2" t="s">
        <v>461</v>
      </c>
      <c r="E608" s="4">
        <v>1</v>
      </c>
      <c r="F608" s="8" t="str">
        <f>_xlfn.XLOOKUP(D608,Master[Product_Code],Master[Category])</f>
        <v>T-Shirt</v>
      </c>
      <c r="G608" s="8" t="str">
        <f>_xlfn.XLOOKUP(D608,Master[Product_Code],Master[Brand])</f>
        <v>Urban Monkey</v>
      </c>
      <c r="H608" s="8" t="str">
        <f>_xlfn.XLOOKUP(D608,Master[Product_Code],Master[Style])</f>
        <v>Sleeveless</v>
      </c>
      <c r="I608" s="8" t="str">
        <f>_xlfn.XLOOKUP(D608,Master[Product_Code],Master[Fabric])</f>
        <v>Cotton Blend</v>
      </c>
      <c r="J608" s="8" t="str">
        <f>_xlfn.XLOOKUP(D608,Master[Product_Code],Master[Size])</f>
        <v>S</v>
      </c>
      <c r="K608" s="8" t="str">
        <f>_xlfn.XLOOKUP(D608,Master[Product_Code],Master[Color])</f>
        <v>Light Grey</v>
      </c>
      <c r="L608" s="3">
        <f>_xlfn.XLOOKUP(D608,Master[Product_Code],Master[Selling_Price])</f>
        <v>410</v>
      </c>
    </row>
    <row r="609" spans="2:12">
      <c r="B609" s="2" t="s">
        <v>2017</v>
      </c>
      <c r="C609" s="7">
        <v>45950</v>
      </c>
      <c r="D609" s="2" t="s">
        <v>58</v>
      </c>
      <c r="E609" s="4">
        <v>1</v>
      </c>
      <c r="F609" s="8" t="str">
        <f>_xlfn.XLOOKUP(D609,Master[Product_Code],Master[Category])</f>
        <v>Shirt</v>
      </c>
      <c r="G609" s="8" t="str">
        <f>_xlfn.XLOOKUP(D609,Master[Product_Code],Master[Brand])</f>
        <v>Luke &amp; Burg</v>
      </c>
      <c r="H609" s="8" t="str">
        <f>_xlfn.XLOOKUP(D609,Master[Product_Code],Master[Style])</f>
        <v>Partywear</v>
      </c>
      <c r="I609" s="8" t="str">
        <f>_xlfn.XLOOKUP(D609,Master[Product_Code],Master[Fabric])</f>
        <v>Cotton</v>
      </c>
      <c r="J609" s="8" t="str">
        <f>_xlfn.XLOOKUP(D609,Master[Product_Code],Master[Size])</f>
        <v>XL</v>
      </c>
      <c r="K609" s="8" t="str">
        <f>_xlfn.XLOOKUP(D609,Master[Product_Code],Master[Color])</f>
        <v>Rust</v>
      </c>
      <c r="L609" s="3">
        <f>_xlfn.XLOOKUP(D609,Master[Product_Code],Master[Selling_Price])</f>
        <v>910</v>
      </c>
    </row>
    <row r="610" spans="2:12">
      <c r="B610" s="2" t="s">
        <v>2017</v>
      </c>
      <c r="C610" s="7">
        <v>45950</v>
      </c>
      <c r="D610" s="2" t="s">
        <v>755</v>
      </c>
      <c r="E610" s="4">
        <v>1</v>
      </c>
      <c r="F610" s="8" t="str">
        <f>_xlfn.XLOOKUP(D610,Master[Product_Code],Master[Category])</f>
        <v>T-Shirt</v>
      </c>
      <c r="G610" s="8" t="str">
        <f>_xlfn.XLOOKUP(D610,Master[Product_Code],Master[Brand])</f>
        <v>Max</v>
      </c>
      <c r="H610" s="8" t="str">
        <f>_xlfn.XLOOKUP(D610,Master[Product_Code],Master[Style])</f>
        <v>Sleeveless</v>
      </c>
      <c r="I610" s="8" t="str">
        <f>_xlfn.XLOOKUP(D610,Master[Product_Code],Master[Fabric])</f>
        <v>Cotton Blend</v>
      </c>
      <c r="J610" s="8" t="str">
        <f>_xlfn.XLOOKUP(D610,Master[Product_Code],Master[Size])</f>
        <v>L</v>
      </c>
      <c r="K610" s="8" t="str">
        <f>_xlfn.XLOOKUP(D610,Master[Product_Code],Master[Color])</f>
        <v>Peach</v>
      </c>
      <c r="L610" s="3">
        <f>_xlfn.XLOOKUP(D610,Master[Product_Code],Master[Selling_Price])</f>
        <v>550</v>
      </c>
    </row>
    <row r="611" spans="2:12">
      <c r="B611" s="2" t="s">
        <v>2017</v>
      </c>
      <c r="C611" s="7">
        <v>45950</v>
      </c>
      <c r="D611" s="2" t="s">
        <v>1358</v>
      </c>
      <c r="E611" s="4">
        <v>1</v>
      </c>
      <c r="F611" s="8" t="str">
        <f>_xlfn.XLOOKUP(D611,Master[Product_Code],Master[Category])</f>
        <v>Pants</v>
      </c>
      <c r="G611" s="8" t="str">
        <f>_xlfn.XLOOKUP(D611,Master[Product_Code],Master[Brand])</f>
        <v>Van Heusen</v>
      </c>
      <c r="H611" s="8" t="str">
        <f>_xlfn.XLOOKUP(D611,Master[Product_Code],Master[Style])</f>
        <v>Polofit</v>
      </c>
      <c r="I611" s="8" t="str">
        <f>_xlfn.XLOOKUP(D611,Master[Product_Code],Master[Fabric])</f>
        <v>Lycra</v>
      </c>
      <c r="J611" s="8">
        <f>_xlfn.XLOOKUP(D611,Master[Product_Code],Master[Size])</f>
        <v>40</v>
      </c>
      <c r="K611" s="8" t="str">
        <f>_xlfn.XLOOKUP(D611,Master[Product_Code],Master[Color])</f>
        <v>Peach</v>
      </c>
      <c r="L611" s="3">
        <f>_xlfn.XLOOKUP(D611,Master[Product_Code],Master[Selling_Price])</f>
        <v>900</v>
      </c>
    </row>
    <row r="612" spans="2:12">
      <c r="B612" s="2" t="s">
        <v>2017</v>
      </c>
      <c r="C612" s="7">
        <v>45950</v>
      </c>
      <c r="D612" s="2" t="s">
        <v>1413</v>
      </c>
      <c r="E612" s="4">
        <v>1</v>
      </c>
      <c r="F612" s="8" t="str">
        <f>_xlfn.XLOOKUP(D612,Master[Product_Code],Master[Category])</f>
        <v>Pants</v>
      </c>
      <c r="G612" s="8" t="str">
        <f>_xlfn.XLOOKUP(D612,Master[Product_Code],Master[Brand])</f>
        <v>Park Avenue</v>
      </c>
      <c r="H612" s="8" t="str">
        <f>_xlfn.XLOOKUP(D612,Master[Product_Code],Master[Style])</f>
        <v>Polofit</v>
      </c>
      <c r="I612" s="8" t="str">
        <f>_xlfn.XLOOKUP(D612,Master[Product_Code],Master[Fabric])</f>
        <v>Lycra</v>
      </c>
      <c r="J612" s="8">
        <f>_xlfn.XLOOKUP(D612,Master[Product_Code],Master[Size])</f>
        <v>34</v>
      </c>
      <c r="K612" s="8" t="str">
        <f>_xlfn.XLOOKUP(D612,Master[Product_Code],Master[Color])</f>
        <v>Light Grey</v>
      </c>
      <c r="L612" s="3">
        <f>_xlfn.XLOOKUP(D612,Master[Product_Code],Master[Selling_Price])</f>
        <v>700</v>
      </c>
    </row>
    <row r="613" spans="2:12">
      <c r="B613" s="2" t="s">
        <v>2018</v>
      </c>
      <c r="C613" s="7">
        <v>45950</v>
      </c>
      <c r="D613" s="2" t="s">
        <v>1244</v>
      </c>
      <c r="E613" s="4">
        <v>1</v>
      </c>
      <c r="F613" s="8" t="str">
        <f>_xlfn.XLOOKUP(D613,Master[Product_Code],Master[Category])</f>
        <v>Pants</v>
      </c>
      <c r="G613" s="8" t="str">
        <f>_xlfn.XLOOKUP(D613,Master[Product_Code],Master[Brand])</f>
        <v>Park Avenue</v>
      </c>
      <c r="H613" s="8" t="str">
        <f>_xlfn.XLOOKUP(D613,Master[Product_Code],Master[Style])</f>
        <v>Korean</v>
      </c>
      <c r="I613" s="8" t="str">
        <f>_xlfn.XLOOKUP(D613,Master[Product_Code],Master[Fabric])</f>
        <v>Lycra</v>
      </c>
      <c r="J613" s="8">
        <f>_xlfn.XLOOKUP(D613,Master[Product_Code],Master[Size])</f>
        <v>30</v>
      </c>
      <c r="K613" s="8" t="str">
        <f>_xlfn.XLOOKUP(D613,Master[Product_Code],Master[Color])</f>
        <v>Mustard</v>
      </c>
      <c r="L613" s="3">
        <f>_xlfn.XLOOKUP(D613,Master[Product_Code],Master[Selling_Price])</f>
        <v>880</v>
      </c>
    </row>
    <row r="614" spans="2:12">
      <c r="B614" s="2" t="s">
        <v>2018</v>
      </c>
      <c r="C614" s="7">
        <v>45950</v>
      </c>
      <c r="D614" s="2" t="s">
        <v>1397</v>
      </c>
      <c r="E614" s="4">
        <v>1</v>
      </c>
      <c r="F614" s="8" t="str">
        <f>_xlfn.XLOOKUP(D614,Master[Product_Code],Master[Category])</f>
        <v>Pants</v>
      </c>
      <c r="G614" s="8" t="str">
        <f>_xlfn.XLOOKUP(D614,Master[Product_Code],Master[Brand])</f>
        <v>Peter England</v>
      </c>
      <c r="H614" s="8" t="str">
        <f>_xlfn.XLOOKUP(D614,Master[Product_Code],Master[Style])</f>
        <v>Korean</v>
      </c>
      <c r="I614" s="8" t="str">
        <f>_xlfn.XLOOKUP(D614,Master[Product_Code],Master[Fabric])</f>
        <v>Lycra</v>
      </c>
      <c r="J614" s="8">
        <f>_xlfn.XLOOKUP(D614,Master[Product_Code],Master[Size])</f>
        <v>34</v>
      </c>
      <c r="K614" s="8" t="str">
        <f>_xlfn.XLOOKUP(D614,Master[Product_Code],Master[Color])</f>
        <v>Wine</v>
      </c>
      <c r="L614" s="3">
        <f>_xlfn.XLOOKUP(D614,Master[Product_Code],Master[Selling_Price])</f>
        <v>720</v>
      </c>
    </row>
    <row r="615" spans="2:12">
      <c r="B615" s="2" t="s">
        <v>2019</v>
      </c>
      <c r="C615" s="7">
        <v>45950</v>
      </c>
      <c r="D615" s="2" t="s">
        <v>632</v>
      </c>
      <c r="E615" s="4">
        <v>1</v>
      </c>
      <c r="F615" s="8" t="str">
        <f>_xlfn.XLOOKUP(D615,Master[Product_Code],Master[Category])</f>
        <v>T-Shirt</v>
      </c>
      <c r="G615" s="8" t="str">
        <f>_xlfn.XLOOKUP(D615,Master[Product_Code],Master[Brand])</f>
        <v>Urban Monkey</v>
      </c>
      <c r="H615" s="8" t="str">
        <f>_xlfn.XLOOKUP(D615,Master[Product_Code],Master[Style])</f>
        <v>Sleeveless</v>
      </c>
      <c r="I615" s="8" t="str">
        <f>_xlfn.XLOOKUP(D615,Master[Product_Code],Master[Fabric])</f>
        <v>Poly Cotton</v>
      </c>
      <c r="J615" s="8" t="str">
        <f>_xlfn.XLOOKUP(D615,Master[Product_Code],Master[Size])</f>
        <v>XXL</v>
      </c>
      <c r="K615" s="8" t="str">
        <f>_xlfn.XLOOKUP(D615,Master[Product_Code],Master[Color])</f>
        <v>Teal</v>
      </c>
      <c r="L615" s="3">
        <f>_xlfn.XLOOKUP(D615,Master[Product_Code],Master[Selling_Price])</f>
        <v>340</v>
      </c>
    </row>
    <row r="616" spans="2:12">
      <c r="B616" s="2" t="s">
        <v>2019</v>
      </c>
      <c r="C616" s="7">
        <v>45950</v>
      </c>
      <c r="D616" s="2" t="s">
        <v>1555</v>
      </c>
      <c r="E616" s="4">
        <v>1</v>
      </c>
      <c r="F616" s="8" t="str">
        <f>_xlfn.XLOOKUP(D616,Master[Product_Code],Master[Category])</f>
        <v>Innerwear</v>
      </c>
      <c r="G616" s="8" t="str">
        <f>_xlfn.XLOOKUP(D616,Master[Product_Code],Master[Brand])</f>
        <v>Rupa</v>
      </c>
      <c r="H616" s="8" t="str">
        <f>_xlfn.XLOOKUP(D616,Master[Product_Code],Master[Style])</f>
        <v>Boxer</v>
      </c>
      <c r="I616" s="8" t="str">
        <f>_xlfn.XLOOKUP(D616,Master[Product_Code],Master[Fabric])</f>
        <v>Cotton</v>
      </c>
      <c r="J616" s="8" t="str">
        <f>_xlfn.XLOOKUP(D616,Master[Product_Code],Master[Size])</f>
        <v>85-90</v>
      </c>
      <c r="K616" s="8" t="str">
        <f>_xlfn.XLOOKUP(D616,Master[Product_Code],Master[Color])</f>
        <v>Navy Blue</v>
      </c>
      <c r="L616" s="3">
        <f>_xlfn.XLOOKUP(D616,Master[Product_Code],Master[Selling_Price])</f>
        <v>140</v>
      </c>
    </row>
    <row r="617" spans="2:12">
      <c r="B617" s="2" t="s">
        <v>2019</v>
      </c>
      <c r="C617" s="7">
        <v>45950</v>
      </c>
      <c r="D617" s="2" t="s">
        <v>192</v>
      </c>
      <c r="E617" s="4">
        <v>1</v>
      </c>
      <c r="F617" s="8" t="str">
        <f>_xlfn.XLOOKUP(D617,Master[Product_Code],Master[Category])</f>
        <v>Shirt</v>
      </c>
      <c r="G617" s="8" t="str">
        <f>_xlfn.XLOOKUP(D617,Master[Product_Code],Master[Brand])</f>
        <v>USD</v>
      </c>
      <c r="H617" s="8" t="str">
        <f>_xlfn.XLOOKUP(D617,Master[Product_Code],Master[Style])</f>
        <v>Casual</v>
      </c>
      <c r="I617" s="8" t="str">
        <f>_xlfn.XLOOKUP(D617,Master[Product_Code],Master[Fabric])</f>
        <v>Polyester</v>
      </c>
      <c r="J617" s="8" t="str">
        <f>_xlfn.XLOOKUP(D617,Master[Product_Code],Master[Size])</f>
        <v>L</v>
      </c>
      <c r="K617" s="8" t="str">
        <f>_xlfn.XLOOKUP(D617,Master[Product_Code],Master[Color])</f>
        <v>Mustard</v>
      </c>
      <c r="L617" s="3">
        <f>_xlfn.XLOOKUP(D617,Master[Product_Code],Master[Selling_Price])</f>
        <v>940</v>
      </c>
    </row>
    <row r="618" spans="2:12">
      <c r="B618" s="2" t="s">
        <v>2020</v>
      </c>
      <c r="C618" s="7">
        <v>45950</v>
      </c>
      <c r="D618" s="2" t="s">
        <v>1438</v>
      </c>
      <c r="E618" s="4">
        <v>1</v>
      </c>
      <c r="F618" s="8" t="str">
        <f>_xlfn.XLOOKUP(D618,Master[Product_Code],Master[Category])</f>
        <v>Pants</v>
      </c>
      <c r="G618" s="8" t="str">
        <f>_xlfn.XLOOKUP(D618,Master[Product_Code],Master[Brand])</f>
        <v>Louis Philippe</v>
      </c>
      <c r="H618" s="8" t="str">
        <f>_xlfn.XLOOKUP(D618,Master[Product_Code],Master[Style])</f>
        <v>Korean</v>
      </c>
      <c r="I618" s="8" t="str">
        <f>_xlfn.XLOOKUP(D618,Master[Product_Code],Master[Fabric])</f>
        <v>Lycra</v>
      </c>
      <c r="J618" s="8">
        <f>_xlfn.XLOOKUP(D618,Master[Product_Code],Master[Size])</f>
        <v>40</v>
      </c>
      <c r="K618" s="8" t="str">
        <f>_xlfn.XLOOKUP(D618,Master[Product_Code],Master[Color])</f>
        <v>Light Grey</v>
      </c>
      <c r="L618" s="3">
        <f>_xlfn.XLOOKUP(D618,Master[Product_Code],Master[Selling_Price])</f>
        <v>880</v>
      </c>
    </row>
    <row r="619" spans="2:12">
      <c r="B619" s="2" t="s">
        <v>2020</v>
      </c>
      <c r="C619" s="7">
        <v>45950</v>
      </c>
      <c r="D619" s="2" t="s">
        <v>982</v>
      </c>
      <c r="E619" s="4">
        <v>1</v>
      </c>
      <c r="F619" s="8" t="str">
        <f>_xlfn.XLOOKUP(D619,Master[Product_Code],Master[Category])</f>
        <v>Jeans</v>
      </c>
      <c r="G619" s="8" t="str">
        <f>_xlfn.XLOOKUP(D619,Master[Product_Code],Master[Brand])</f>
        <v>Pepe</v>
      </c>
      <c r="H619" s="8" t="str">
        <f>_xlfn.XLOOKUP(D619,Master[Product_Code],Master[Style])</f>
        <v>Baggy</v>
      </c>
      <c r="I619" s="8" t="str">
        <f>_xlfn.XLOOKUP(D619,Master[Product_Code],Master[Fabric])</f>
        <v>Denim</v>
      </c>
      <c r="J619" s="8">
        <f>_xlfn.XLOOKUP(D619,Master[Product_Code],Master[Size])</f>
        <v>44</v>
      </c>
      <c r="K619" s="8" t="str">
        <f>_xlfn.XLOOKUP(D619,Master[Product_Code],Master[Color])</f>
        <v>Dark Green</v>
      </c>
      <c r="L619" s="3">
        <f>_xlfn.XLOOKUP(D619,Master[Product_Code],Master[Selling_Price])</f>
        <v>860</v>
      </c>
    </row>
    <row r="620" spans="2:12">
      <c r="B620" s="2" t="s">
        <v>2021</v>
      </c>
      <c r="C620" s="7">
        <v>45950</v>
      </c>
      <c r="D620" s="2" t="s">
        <v>1206</v>
      </c>
      <c r="E620" s="4">
        <v>1</v>
      </c>
      <c r="F620" s="8" t="str">
        <f>_xlfn.XLOOKUP(D620,Master[Product_Code],Master[Category])</f>
        <v>Pants</v>
      </c>
      <c r="G620" s="8" t="str">
        <f>_xlfn.XLOOKUP(D620,Master[Product_Code],Master[Brand])</f>
        <v>Raymond</v>
      </c>
      <c r="H620" s="8" t="str">
        <f>_xlfn.XLOOKUP(D620,Master[Product_Code],Master[Style])</f>
        <v>Kurka</v>
      </c>
      <c r="I620" s="8" t="str">
        <f>_xlfn.XLOOKUP(D620,Master[Product_Code],Master[Fabric])</f>
        <v>Lycra</v>
      </c>
      <c r="J620" s="8">
        <f>_xlfn.XLOOKUP(D620,Master[Product_Code],Master[Size])</f>
        <v>38</v>
      </c>
      <c r="K620" s="8" t="str">
        <f>_xlfn.XLOOKUP(D620,Master[Product_Code],Master[Color])</f>
        <v>Maroon</v>
      </c>
      <c r="L620" s="3">
        <f>_xlfn.XLOOKUP(D620,Master[Product_Code],Master[Selling_Price])</f>
        <v>940</v>
      </c>
    </row>
    <row r="621" spans="2:12">
      <c r="B621" s="2" t="s">
        <v>2021</v>
      </c>
      <c r="C621" s="7">
        <v>45950</v>
      </c>
      <c r="D621" s="2" t="s">
        <v>764</v>
      </c>
      <c r="E621" s="4">
        <v>1</v>
      </c>
      <c r="F621" s="8" t="str">
        <f>_xlfn.XLOOKUP(D621,Master[Product_Code],Master[Category])</f>
        <v>T-Shirt</v>
      </c>
      <c r="G621" s="8" t="str">
        <f>_xlfn.XLOOKUP(D621,Master[Product_Code],Master[Brand])</f>
        <v>Zara</v>
      </c>
      <c r="H621" s="8" t="str">
        <f>_xlfn.XLOOKUP(D621,Master[Product_Code],Master[Style])</f>
        <v>Full Sleeve</v>
      </c>
      <c r="I621" s="8" t="str">
        <f>_xlfn.XLOOKUP(D621,Master[Product_Code],Master[Fabric])</f>
        <v>Cotton Blend</v>
      </c>
      <c r="J621" s="8" t="str">
        <f>_xlfn.XLOOKUP(D621,Master[Product_Code],Master[Size])</f>
        <v>M</v>
      </c>
      <c r="K621" s="8" t="str">
        <f>_xlfn.XLOOKUP(D621,Master[Product_Code],Master[Color])</f>
        <v>Navy Blue</v>
      </c>
      <c r="L621" s="3">
        <f>_xlfn.XLOOKUP(D621,Master[Product_Code],Master[Selling_Price])</f>
        <v>470</v>
      </c>
    </row>
    <row r="622" spans="2:12">
      <c r="B622" s="2" t="s">
        <v>2021</v>
      </c>
      <c r="C622" s="7">
        <v>45950</v>
      </c>
      <c r="D622" s="2" t="s">
        <v>86</v>
      </c>
      <c r="E622" s="4">
        <v>1</v>
      </c>
      <c r="F622" s="8" t="str">
        <f>_xlfn.XLOOKUP(D622,Master[Product_Code],Master[Category])</f>
        <v>Shirt</v>
      </c>
      <c r="G622" s="8" t="str">
        <f>_xlfn.XLOOKUP(D622,Master[Product_Code],Master[Brand])</f>
        <v>G Studio</v>
      </c>
      <c r="H622" s="8" t="str">
        <f>_xlfn.XLOOKUP(D622,Master[Product_Code],Master[Style])</f>
        <v>Formal</v>
      </c>
      <c r="I622" s="8" t="str">
        <f>_xlfn.XLOOKUP(D622,Master[Product_Code],Master[Fabric])</f>
        <v>Polyester</v>
      </c>
      <c r="J622" s="8" t="str">
        <f>_xlfn.XLOOKUP(D622,Master[Product_Code],Master[Size])</f>
        <v>XL</v>
      </c>
      <c r="K622" s="8" t="str">
        <f>_xlfn.XLOOKUP(D622,Master[Product_Code],Master[Color])</f>
        <v>Peach</v>
      </c>
      <c r="L622" s="3">
        <f>_xlfn.XLOOKUP(D622,Master[Product_Code],Master[Selling_Price])</f>
        <v>900</v>
      </c>
    </row>
    <row r="623" spans="2:12">
      <c r="B623" s="2" t="s">
        <v>2022</v>
      </c>
      <c r="C623" s="7">
        <v>45950</v>
      </c>
      <c r="D623" s="2" t="s">
        <v>789</v>
      </c>
      <c r="E623" s="4">
        <v>1</v>
      </c>
      <c r="F623" s="8" t="str">
        <f>_xlfn.XLOOKUP(D623,Master[Product_Code],Master[Category])</f>
        <v>T-Shirt</v>
      </c>
      <c r="G623" s="8" t="str">
        <f>_xlfn.XLOOKUP(D623,Master[Product_Code],Master[Brand])</f>
        <v>Zara</v>
      </c>
      <c r="H623" s="8" t="str">
        <f>_xlfn.XLOOKUP(D623,Master[Product_Code],Master[Style])</f>
        <v>Sleeveless</v>
      </c>
      <c r="I623" s="8" t="str">
        <f>_xlfn.XLOOKUP(D623,Master[Product_Code],Master[Fabric])</f>
        <v>Poly Cotton</v>
      </c>
      <c r="J623" s="8" t="str">
        <f>_xlfn.XLOOKUP(D623,Master[Product_Code],Master[Size])</f>
        <v>M</v>
      </c>
      <c r="K623" s="8" t="str">
        <f>_xlfn.XLOOKUP(D623,Master[Product_Code],Master[Color])</f>
        <v>Mustard</v>
      </c>
      <c r="L623" s="3">
        <f>_xlfn.XLOOKUP(D623,Master[Product_Code],Master[Selling_Price])</f>
        <v>580</v>
      </c>
    </row>
    <row r="624" spans="2:12">
      <c r="B624" s="2" t="s">
        <v>2023</v>
      </c>
      <c r="C624" s="7">
        <v>45950</v>
      </c>
      <c r="D624" s="2" t="s">
        <v>669</v>
      </c>
      <c r="E624" s="4">
        <v>1</v>
      </c>
      <c r="F624" s="8" t="str">
        <f>_xlfn.XLOOKUP(D624,Master[Product_Code],Master[Category])</f>
        <v>T-Shirt</v>
      </c>
      <c r="G624" s="8" t="str">
        <f>_xlfn.XLOOKUP(D624,Master[Product_Code],Master[Brand])</f>
        <v>Roadster</v>
      </c>
      <c r="H624" s="8" t="str">
        <f>_xlfn.XLOOKUP(D624,Master[Product_Code],Master[Style])</f>
        <v>Full Sleeve</v>
      </c>
      <c r="I624" s="8" t="str">
        <f>_xlfn.XLOOKUP(D624,Master[Product_Code],Master[Fabric])</f>
        <v>Cotton Blend</v>
      </c>
      <c r="J624" s="8" t="str">
        <f>_xlfn.XLOOKUP(D624,Master[Product_Code],Master[Size])</f>
        <v>S</v>
      </c>
      <c r="K624" s="8" t="str">
        <f>_xlfn.XLOOKUP(D624,Master[Product_Code],Master[Color])</f>
        <v>Wine</v>
      </c>
      <c r="L624" s="3">
        <f>_xlfn.XLOOKUP(D624,Master[Product_Code],Master[Selling_Price])</f>
        <v>660</v>
      </c>
    </row>
    <row r="625" spans="2:12">
      <c r="B625" s="2" t="s">
        <v>2023</v>
      </c>
      <c r="C625" s="7">
        <v>45950</v>
      </c>
      <c r="D625" s="2" t="s">
        <v>797</v>
      </c>
      <c r="E625" s="4">
        <v>1</v>
      </c>
      <c r="F625" s="8" t="str">
        <f>_xlfn.XLOOKUP(D625,Master[Product_Code],Master[Category])</f>
        <v>T-Shirt</v>
      </c>
      <c r="G625" s="8" t="str">
        <f>_xlfn.XLOOKUP(D625,Master[Product_Code],Master[Brand])</f>
        <v>Max</v>
      </c>
      <c r="H625" s="8" t="str">
        <f>_xlfn.XLOOKUP(D625,Master[Product_Code],Master[Style])</f>
        <v>Hoodie</v>
      </c>
      <c r="I625" s="8" t="str">
        <f>_xlfn.XLOOKUP(D625,Master[Product_Code],Master[Fabric])</f>
        <v>Cotton Blend</v>
      </c>
      <c r="J625" s="8" t="str">
        <f>_xlfn.XLOOKUP(D625,Master[Product_Code],Master[Size])</f>
        <v>S</v>
      </c>
      <c r="K625" s="8" t="str">
        <f>_xlfn.XLOOKUP(D625,Master[Product_Code],Master[Color])</f>
        <v>Navy Blue</v>
      </c>
      <c r="L625" s="3">
        <f>_xlfn.XLOOKUP(D625,Master[Product_Code],Master[Selling_Price])</f>
        <v>310</v>
      </c>
    </row>
    <row r="626" spans="2:12">
      <c r="B626" s="2" t="s">
        <v>2024</v>
      </c>
      <c r="C626" s="7">
        <v>45950</v>
      </c>
      <c r="D626" s="2" t="s">
        <v>26</v>
      </c>
      <c r="E626" s="4">
        <v>1</v>
      </c>
      <c r="F626" s="8" t="str">
        <f>_xlfn.XLOOKUP(D626,Master[Product_Code],Master[Category])</f>
        <v>Shirt</v>
      </c>
      <c r="G626" s="8" t="str">
        <f>_xlfn.XLOOKUP(D626,Master[Product_Code],Master[Brand])</f>
        <v>G Studio</v>
      </c>
      <c r="H626" s="8" t="str">
        <f>_xlfn.XLOOKUP(D626,Master[Product_Code],Master[Style])</f>
        <v>Partywear</v>
      </c>
      <c r="I626" s="8" t="str">
        <f>_xlfn.XLOOKUP(D626,Master[Product_Code],Master[Fabric])</f>
        <v>Polyester</v>
      </c>
      <c r="J626" s="8" t="str">
        <f>_xlfn.XLOOKUP(D626,Master[Product_Code],Master[Size])</f>
        <v>M</v>
      </c>
      <c r="K626" s="8" t="str">
        <f>_xlfn.XLOOKUP(D626,Master[Product_Code],Master[Color])</f>
        <v>Cream</v>
      </c>
      <c r="L626" s="3">
        <f>_xlfn.XLOOKUP(D626,Master[Product_Code],Master[Selling_Price])</f>
        <v>830</v>
      </c>
    </row>
    <row r="627" spans="2:12">
      <c r="B627" s="2" t="s">
        <v>2024</v>
      </c>
      <c r="C627" s="7">
        <v>45950</v>
      </c>
      <c r="D627" s="2" t="s">
        <v>943</v>
      </c>
      <c r="E627" s="4">
        <v>1</v>
      </c>
      <c r="F627" s="8" t="str">
        <f>_xlfn.XLOOKUP(D627,Master[Product_Code],Master[Category])</f>
        <v>Jeans</v>
      </c>
      <c r="G627" s="8" t="str">
        <f>_xlfn.XLOOKUP(D627,Master[Product_Code],Master[Brand])</f>
        <v>Wrangler</v>
      </c>
      <c r="H627" s="8" t="str">
        <f>_xlfn.XLOOKUP(D627,Master[Product_Code],Master[Style])</f>
        <v>Mom Fit</v>
      </c>
      <c r="I627" s="8" t="str">
        <f>_xlfn.XLOOKUP(D627,Master[Product_Code],Master[Fabric])</f>
        <v>Denim</v>
      </c>
      <c r="J627" s="8">
        <f>_xlfn.XLOOKUP(D627,Master[Product_Code],Master[Size])</f>
        <v>38</v>
      </c>
      <c r="K627" s="8" t="str">
        <f>_xlfn.XLOOKUP(D627,Master[Product_Code],Master[Color])</f>
        <v>Bottle Green</v>
      </c>
      <c r="L627" s="3">
        <f>_xlfn.XLOOKUP(D627,Master[Product_Code],Master[Selling_Price])</f>
        <v>840</v>
      </c>
    </row>
    <row r="628" spans="2:12">
      <c r="B628" s="2" t="s">
        <v>2025</v>
      </c>
      <c r="C628" s="7">
        <v>45950</v>
      </c>
      <c r="D628" s="2" t="s">
        <v>1629</v>
      </c>
      <c r="E628" s="4">
        <v>1</v>
      </c>
      <c r="F628" s="8" t="str">
        <f>_xlfn.XLOOKUP(D628,Master[Product_Code],Master[Category])</f>
        <v>Innerwear</v>
      </c>
      <c r="G628" s="8" t="str">
        <f>_xlfn.XLOOKUP(D628,Master[Product_Code],Master[Brand])</f>
        <v>Dollar</v>
      </c>
      <c r="H628" s="8" t="str">
        <f>_xlfn.XLOOKUP(D628,Master[Product_Code],Master[Style])</f>
        <v>Boxer</v>
      </c>
      <c r="I628" s="8" t="str">
        <f>_xlfn.XLOOKUP(D628,Master[Product_Code],Master[Fabric])</f>
        <v>Cotton Blend</v>
      </c>
      <c r="J628" s="8" t="str">
        <f>_xlfn.XLOOKUP(D628,Master[Product_Code],Master[Size])</f>
        <v>75-80</v>
      </c>
      <c r="K628" s="8" t="str">
        <f>_xlfn.XLOOKUP(D628,Master[Product_Code],Master[Color])</f>
        <v>Wine</v>
      </c>
      <c r="L628" s="3">
        <f>_xlfn.XLOOKUP(D628,Master[Product_Code],Master[Selling_Price])</f>
        <v>140</v>
      </c>
    </row>
    <row r="629" spans="2:12">
      <c r="B629" s="2" t="s">
        <v>2026</v>
      </c>
      <c r="C629" s="7">
        <v>45950</v>
      </c>
      <c r="D629" s="2" t="s">
        <v>97</v>
      </c>
      <c r="E629" s="4">
        <v>1</v>
      </c>
      <c r="F629" s="8" t="str">
        <f>_xlfn.XLOOKUP(D629,Master[Product_Code],Master[Category])</f>
        <v>Shirt</v>
      </c>
      <c r="G629" s="8" t="str">
        <f>_xlfn.XLOOKUP(D629,Master[Product_Code],Master[Brand])</f>
        <v>H&amp;M</v>
      </c>
      <c r="H629" s="8" t="str">
        <f>_xlfn.XLOOKUP(D629,Master[Product_Code],Master[Style])</f>
        <v>Formal</v>
      </c>
      <c r="I629" s="8" t="str">
        <f>_xlfn.XLOOKUP(D629,Master[Product_Code],Master[Fabric])</f>
        <v>Cotton Blend</v>
      </c>
      <c r="J629" s="8" t="str">
        <f>_xlfn.XLOOKUP(D629,Master[Product_Code],Master[Size])</f>
        <v>M</v>
      </c>
      <c r="K629" s="8" t="str">
        <f>_xlfn.XLOOKUP(D629,Master[Product_Code],Master[Color])</f>
        <v>Teal</v>
      </c>
      <c r="L629" s="3">
        <f>_xlfn.XLOOKUP(D629,Master[Product_Code],Master[Selling_Price])</f>
        <v>660</v>
      </c>
    </row>
    <row r="630" spans="2:12">
      <c r="B630" s="2" t="s">
        <v>2026</v>
      </c>
      <c r="C630" s="7">
        <v>45950</v>
      </c>
      <c r="D630" s="2" t="s">
        <v>177</v>
      </c>
      <c r="E630" s="4">
        <v>1</v>
      </c>
      <c r="F630" s="8" t="str">
        <f>_xlfn.XLOOKUP(D630,Master[Product_Code],Master[Category])</f>
        <v>Shirt</v>
      </c>
      <c r="G630" s="8" t="str">
        <f>_xlfn.XLOOKUP(D630,Master[Product_Code],Master[Brand])</f>
        <v>L7</v>
      </c>
      <c r="H630" s="8" t="str">
        <f>_xlfn.XLOOKUP(D630,Master[Product_Code],Master[Style])</f>
        <v>Partywear</v>
      </c>
      <c r="I630" s="8" t="str">
        <f>_xlfn.XLOOKUP(D630,Master[Product_Code],Master[Fabric])</f>
        <v>Cotton</v>
      </c>
      <c r="J630" s="8" t="str">
        <f>_xlfn.XLOOKUP(D630,Master[Product_Code],Master[Size])</f>
        <v>XL</v>
      </c>
      <c r="K630" s="8" t="str">
        <f>_xlfn.XLOOKUP(D630,Master[Product_Code],Master[Color])</f>
        <v>Mustard</v>
      </c>
      <c r="L630" s="3">
        <f>_xlfn.XLOOKUP(D630,Master[Product_Code],Master[Selling_Price])</f>
        <v>790</v>
      </c>
    </row>
    <row r="631" spans="2:12">
      <c r="B631" s="2" t="s">
        <v>2027</v>
      </c>
      <c r="C631" s="7">
        <v>45950</v>
      </c>
      <c r="D631" s="2" t="s">
        <v>1098</v>
      </c>
      <c r="E631" s="4">
        <v>1</v>
      </c>
      <c r="F631" s="8" t="str">
        <f>_xlfn.XLOOKUP(D631,Master[Product_Code],Master[Category])</f>
        <v>Jeans</v>
      </c>
      <c r="G631" s="8" t="str">
        <f>_xlfn.XLOOKUP(D631,Master[Product_Code],Master[Brand])</f>
        <v>Spykar</v>
      </c>
      <c r="H631" s="8" t="str">
        <f>_xlfn.XLOOKUP(D631,Master[Product_Code],Master[Style])</f>
        <v>Mom Fit</v>
      </c>
      <c r="I631" s="8" t="str">
        <f>_xlfn.XLOOKUP(D631,Master[Product_Code],Master[Fabric])</f>
        <v>Denim</v>
      </c>
      <c r="J631" s="8">
        <f>_xlfn.XLOOKUP(D631,Master[Product_Code],Master[Size])</f>
        <v>42</v>
      </c>
      <c r="K631" s="8" t="str">
        <f>_xlfn.XLOOKUP(D631,Master[Product_Code],Master[Color])</f>
        <v>Wine</v>
      </c>
      <c r="L631" s="3">
        <f>_xlfn.XLOOKUP(D631,Master[Product_Code],Master[Selling_Price])</f>
        <v>960</v>
      </c>
    </row>
    <row r="632" spans="2:12">
      <c r="B632" s="2" t="s">
        <v>2027</v>
      </c>
      <c r="C632" s="7">
        <v>45950</v>
      </c>
      <c r="D632" s="2" t="s">
        <v>54</v>
      </c>
      <c r="E632" s="4">
        <v>1</v>
      </c>
      <c r="F632" s="8" t="str">
        <f>_xlfn.XLOOKUP(D632,Master[Product_Code],Master[Category])</f>
        <v>Shirt</v>
      </c>
      <c r="G632" s="8" t="str">
        <f>_xlfn.XLOOKUP(D632,Master[Product_Code],Master[Brand])</f>
        <v>Luke &amp; Burg</v>
      </c>
      <c r="H632" s="8" t="str">
        <f>_xlfn.XLOOKUP(D632,Master[Product_Code],Master[Style])</f>
        <v>Partywear</v>
      </c>
      <c r="I632" s="8" t="str">
        <f>_xlfn.XLOOKUP(D632,Master[Product_Code],Master[Fabric])</f>
        <v>Polyester</v>
      </c>
      <c r="J632" s="8" t="str">
        <f>_xlfn.XLOOKUP(D632,Master[Product_Code],Master[Size])</f>
        <v>L</v>
      </c>
      <c r="K632" s="8" t="str">
        <f>_xlfn.XLOOKUP(D632,Master[Product_Code],Master[Color])</f>
        <v>Charcoal</v>
      </c>
      <c r="L632" s="3">
        <f>_xlfn.XLOOKUP(D632,Master[Product_Code],Master[Selling_Price])</f>
        <v>900</v>
      </c>
    </row>
    <row r="633" spans="2:12">
      <c r="B633" s="2" t="s">
        <v>2027</v>
      </c>
      <c r="C633" s="7">
        <v>45950</v>
      </c>
      <c r="D633" s="2" t="s">
        <v>606</v>
      </c>
      <c r="E633" s="4">
        <v>1</v>
      </c>
      <c r="F633" s="8" t="str">
        <f>_xlfn.XLOOKUP(D633,Master[Product_Code],Master[Category])</f>
        <v>T-Shirt</v>
      </c>
      <c r="G633" s="8" t="str">
        <f>_xlfn.XLOOKUP(D633,Master[Product_Code],Master[Brand])</f>
        <v>Roadster</v>
      </c>
      <c r="H633" s="8" t="str">
        <f>_xlfn.XLOOKUP(D633,Master[Product_Code],Master[Style])</f>
        <v>Sleeveless</v>
      </c>
      <c r="I633" s="8" t="str">
        <f>_xlfn.XLOOKUP(D633,Master[Product_Code],Master[Fabric])</f>
        <v>Cotton</v>
      </c>
      <c r="J633" s="8" t="str">
        <f>_xlfn.XLOOKUP(D633,Master[Product_Code],Master[Size])</f>
        <v>L</v>
      </c>
      <c r="K633" s="8" t="str">
        <f>_xlfn.XLOOKUP(D633,Master[Product_Code],Master[Color])</f>
        <v>Rust</v>
      </c>
      <c r="L633" s="3">
        <f>_xlfn.XLOOKUP(D633,Master[Product_Code],Master[Selling_Price])</f>
        <v>670</v>
      </c>
    </row>
    <row r="634" spans="2:12">
      <c r="B634" s="2" t="s">
        <v>2028</v>
      </c>
      <c r="C634" s="7">
        <v>45951</v>
      </c>
      <c r="D634" s="2" t="s">
        <v>1270</v>
      </c>
      <c r="E634" s="4">
        <v>1</v>
      </c>
      <c r="F634" s="8" t="str">
        <f>_xlfn.XLOOKUP(D634,Master[Product_Code],Master[Category])</f>
        <v>Pants</v>
      </c>
      <c r="G634" s="8" t="str">
        <f>_xlfn.XLOOKUP(D634,Master[Product_Code],Master[Brand])</f>
        <v>Park Avenue</v>
      </c>
      <c r="H634" s="8" t="str">
        <f>_xlfn.XLOOKUP(D634,Master[Product_Code],Master[Style])</f>
        <v>Boot Cut</v>
      </c>
      <c r="I634" s="8" t="str">
        <f>_xlfn.XLOOKUP(D634,Master[Product_Code],Master[Fabric])</f>
        <v>Poly Viscose</v>
      </c>
      <c r="J634" s="8">
        <f>_xlfn.XLOOKUP(D634,Master[Product_Code],Master[Size])</f>
        <v>40</v>
      </c>
      <c r="K634" s="8" t="str">
        <f>_xlfn.XLOOKUP(D634,Master[Product_Code],Master[Color])</f>
        <v>Teal</v>
      </c>
      <c r="L634" s="3">
        <f>_xlfn.XLOOKUP(D634,Master[Product_Code],Master[Selling_Price])</f>
        <v>880</v>
      </c>
    </row>
    <row r="635" spans="2:12">
      <c r="B635" s="2" t="s">
        <v>2029</v>
      </c>
      <c r="C635" s="7">
        <v>45951</v>
      </c>
      <c r="D635" s="2" t="s">
        <v>1388</v>
      </c>
      <c r="E635" s="4">
        <v>1</v>
      </c>
      <c r="F635" s="8" t="str">
        <f>_xlfn.XLOOKUP(D635,Master[Product_Code],Master[Category])</f>
        <v>Pants</v>
      </c>
      <c r="G635" s="8" t="str">
        <f>_xlfn.XLOOKUP(D635,Master[Product_Code],Master[Brand])</f>
        <v>Raymond</v>
      </c>
      <c r="H635" s="8" t="str">
        <f>_xlfn.XLOOKUP(D635,Master[Product_Code],Master[Style])</f>
        <v>Kurka</v>
      </c>
      <c r="I635" s="8" t="str">
        <f>_xlfn.XLOOKUP(D635,Master[Product_Code],Master[Fabric])</f>
        <v>Lycra</v>
      </c>
      <c r="J635" s="8">
        <f>_xlfn.XLOOKUP(D635,Master[Product_Code],Master[Size])</f>
        <v>44</v>
      </c>
      <c r="K635" s="8" t="str">
        <f>_xlfn.XLOOKUP(D635,Master[Product_Code],Master[Color])</f>
        <v>Peach</v>
      </c>
      <c r="L635" s="3">
        <f>_xlfn.XLOOKUP(D635,Master[Product_Code],Master[Selling_Price])</f>
        <v>700</v>
      </c>
    </row>
    <row r="636" spans="2:12">
      <c r="B636" s="2" t="s">
        <v>2029</v>
      </c>
      <c r="C636" s="7">
        <v>45951</v>
      </c>
      <c r="D636" s="2" t="s">
        <v>294</v>
      </c>
      <c r="E636" s="4">
        <v>1</v>
      </c>
      <c r="F636" s="8" t="str">
        <f>_xlfn.XLOOKUP(D636,Master[Product_Code],Master[Category])</f>
        <v>Shirt</v>
      </c>
      <c r="G636" s="8" t="str">
        <f>_xlfn.XLOOKUP(D636,Master[Product_Code],Master[Brand])</f>
        <v>Thailand</v>
      </c>
      <c r="H636" s="8" t="str">
        <f>_xlfn.XLOOKUP(D636,Master[Product_Code],Master[Style])</f>
        <v>Formal</v>
      </c>
      <c r="I636" s="8" t="str">
        <f>_xlfn.XLOOKUP(D636,Master[Product_Code],Master[Fabric])</f>
        <v>Cotton Blend</v>
      </c>
      <c r="J636" s="8" t="str">
        <f>_xlfn.XLOOKUP(D636,Master[Product_Code],Master[Size])</f>
        <v>S</v>
      </c>
      <c r="K636" s="8" t="str">
        <f>_xlfn.XLOOKUP(D636,Master[Product_Code],Master[Color])</f>
        <v>White</v>
      </c>
      <c r="L636" s="3">
        <f>_xlfn.XLOOKUP(D636,Master[Product_Code],Master[Selling_Price])</f>
        <v>670</v>
      </c>
    </row>
    <row r="637" spans="2:12">
      <c r="B637" s="2" t="s">
        <v>2029</v>
      </c>
      <c r="C637" s="7">
        <v>45951</v>
      </c>
      <c r="D637" s="2" t="s">
        <v>1683</v>
      </c>
      <c r="E637" s="4">
        <v>1</v>
      </c>
      <c r="F637" s="8" t="str">
        <f>_xlfn.XLOOKUP(D637,Master[Product_Code],Master[Category])</f>
        <v>Innerwear</v>
      </c>
      <c r="G637" s="8" t="str">
        <f>_xlfn.XLOOKUP(D637,Master[Product_Code],Master[Brand])</f>
        <v>V Star</v>
      </c>
      <c r="H637" s="8" t="str">
        <f>_xlfn.XLOOKUP(D637,Master[Product_Code],Master[Style])</f>
        <v>Boxer</v>
      </c>
      <c r="I637" s="8" t="str">
        <f>_xlfn.XLOOKUP(D637,Master[Product_Code],Master[Fabric])</f>
        <v>Cotton</v>
      </c>
      <c r="J637" s="8" t="str">
        <f>_xlfn.XLOOKUP(D637,Master[Product_Code],Master[Size])</f>
        <v>80-85</v>
      </c>
      <c r="K637" s="8" t="str">
        <f>_xlfn.XLOOKUP(D637,Master[Product_Code],Master[Color])</f>
        <v>Peach</v>
      </c>
      <c r="L637" s="3">
        <f>_xlfn.XLOOKUP(D637,Master[Product_Code],Master[Selling_Price])</f>
        <v>100</v>
      </c>
    </row>
    <row r="638" spans="2:12">
      <c r="B638" s="2" t="s">
        <v>2030</v>
      </c>
      <c r="C638" s="7">
        <v>45951</v>
      </c>
      <c r="D638" s="2" t="s">
        <v>674</v>
      </c>
      <c r="E638" s="4">
        <v>1</v>
      </c>
      <c r="F638" s="8" t="str">
        <f>_xlfn.XLOOKUP(D638,Master[Product_Code],Master[Category])</f>
        <v>T-Shirt</v>
      </c>
      <c r="G638" s="8" t="str">
        <f>_xlfn.XLOOKUP(D638,Master[Product_Code],Master[Brand])</f>
        <v>Zara</v>
      </c>
      <c r="H638" s="8" t="str">
        <f>_xlfn.XLOOKUP(D638,Master[Product_Code],Master[Style])</f>
        <v>Hoodie</v>
      </c>
      <c r="I638" s="8" t="str">
        <f>_xlfn.XLOOKUP(D638,Master[Product_Code],Master[Fabric])</f>
        <v>Cotton</v>
      </c>
      <c r="J638" s="8" t="str">
        <f>_xlfn.XLOOKUP(D638,Master[Product_Code],Master[Size])</f>
        <v>S</v>
      </c>
      <c r="K638" s="8" t="str">
        <f>_xlfn.XLOOKUP(D638,Master[Product_Code],Master[Color])</f>
        <v>Beige</v>
      </c>
      <c r="L638" s="3">
        <f>_xlfn.XLOOKUP(D638,Master[Product_Code],Master[Selling_Price])</f>
        <v>320</v>
      </c>
    </row>
    <row r="639" spans="2:12">
      <c r="B639" s="2" t="s">
        <v>2030</v>
      </c>
      <c r="C639" s="7">
        <v>45951</v>
      </c>
      <c r="D639" s="2" t="s">
        <v>294</v>
      </c>
      <c r="E639" s="4">
        <v>1</v>
      </c>
      <c r="F639" s="8" t="str">
        <f>_xlfn.XLOOKUP(D639,Master[Product_Code],Master[Category])</f>
        <v>Shirt</v>
      </c>
      <c r="G639" s="8" t="str">
        <f>_xlfn.XLOOKUP(D639,Master[Product_Code],Master[Brand])</f>
        <v>Thailand</v>
      </c>
      <c r="H639" s="8" t="str">
        <f>_xlfn.XLOOKUP(D639,Master[Product_Code],Master[Style])</f>
        <v>Formal</v>
      </c>
      <c r="I639" s="8" t="str">
        <f>_xlfn.XLOOKUP(D639,Master[Product_Code],Master[Fabric])</f>
        <v>Cotton Blend</v>
      </c>
      <c r="J639" s="8" t="str">
        <f>_xlfn.XLOOKUP(D639,Master[Product_Code],Master[Size])</f>
        <v>S</v>
      </c>
      <c r="K639" s="8" t="str">
        <f>_xlfn.XLOOKUP(D639,Master[Product_Code],Master[Color])</f>
        <v>White</v>
      </c>
      <c r="L639" s="3">
        <f>_xlfn.XLOOKUP(D639,Master[Product_Code],Master[Selling_Price])</f>
        <v>670</v>
      </c>
    </row>
    <row r="640" spans="2:12">
      <c r="B640" s="2" t="s">
        <v>2030</v>
      </c>
      <c r="C640" s="7">
        <v>45951</v>
      </c>
      <c r="D640" s="2" t="s">
        <v>563</v>
      </c>
      <c r="E640" s="4">
        <v>1</v>
      </c>
      <c r="F640" s="8" t="str">
        <f>_xlfn.XLOOKUP(D640,Master[Product_Code],Master[Category])</f>
        <v>T-Shirt</v>
      </c>
      <c r="G640" s="8" t="str">
        <f>_xlfn.XLOOKUP(D640,Master[Product_Code],Master[Brand])</f>
        <v>Zara</v>
      </c>
      <c r="H640" s="8" t="str">
        <f>_xlfn.XLOOKUP(D640,Master[Product_Code],Master[Style])</f>
        <v>Full Sleeve</v>
      </c>
      <c r="I640" s="8" t="str">
        <f>_xlfn.XLOOKUP(D640,Master[Product_Code],Master[Fabric])</f>
        <v>Cotton</v>
      </c>
      <c r="J640" s="8" t="str">
        <f>_xlfn.XLOOKUP(D640,Master[Product_Code],Master[Size])</f>
        <v>S</v>
      </c>
      <c r="K640" s="8" t="str">
        <f>_xlfn.XLOOKUP(D640,Master[Product_Code],Master[Color])</f>
        <v>White</v>
      </c>
      <c r="L640" s="3">
        <f>_xlfn.XLOOKUP(D640,Master[Product_Code],Master[Selling_Price])</f>
        <v>540</v>
      </c>
    </row>
    <row r="641" spans="2:12">
      <c r="B641" s="2" t="s">
        <v>2030</v>
      </c>
      <c r="C641" s="7">
        <v>45951</v>
      </c>
      <c r="D641" s="2" t="s">
        <v>1069</v>
      </c>
      <c r="E641" s="4">
        <v>1</v>
      </c>
      <c r="F641" s="8" t="str">
        <f>_xlfn.XLOOKUP(D641,Master[Product_Code],Master[Category])</f>
        <v>Jeans</v>
      </c>
      <c r="G641" s="8" t="str">
        <f>_xlfn.XLOOKUP(D641,Master[Product_Code],Master[Brand])</f>
        <v>Levis</v>
      </c>
      <c r="H641" s="8" t="str">
        <f>_xlfn.XLOOKUP(D641,Master[Product_Code],Master[Style])</f>
        <v>Baggy</v>
      </c>
      <c r="I641" s="8" t="str">
        <f>_xlfn.XLOOKUP(D641,Master[Product_Code],Master[Fabric])</f>
        <v>Denim</v>
      </c>
      <c r="J641" s="8">
        <f>_xlfn.XLOOKUP(D641,Master[Product_Code],Master[Size])</f>
        <v>44</v>
      </c>
      <c r="K641" s="8" t="str">
        <f>_xlfn.XLOOKUP(D641,Master[Product_Code],Master[Color])</f>
        <v>Charcoal</v>
      </c>
      <c r="L641" s="3">
        <f>_xlfn.XLOOKUP(D641,Master[Product_Code],Master[Selling_Price])</f>
        <v>940</v>
      </c>
    </row>
    <row r="642" spans="2:12">
      <c r="B642" s="2" t="s">
        <v>2031</v>
      </c>
      <c r="C642" s="7">
        <v>45951</v>
      </c>
      <c r="D642" s="2" t="s">
        <v>513</v>
      </c>
      <c r="E642" s="4">
        <v>1</v>
      </c>
      <c r="F642" s="8" t="str">
        <f>_xlfn.XLOOKUP(D642,Master[Product_Code],Master[Category])</f>
        <v>T-Shirt</v>
      </c>
      <c r="G642" s="8" t="str">
        <f>_xlfn.XLOOKUP(D642,Master[Product_Code],Master[Brand])</f>
        <v>Max</v>
      </c>
      <c r="H642" s="8" t="str">
        <f>_xlfn.XLOOKUP(D642,Master[Product_Code],Master[Style])</f>
        <v>3/4 Sleeve</v>
      </c>
      <c r="I642" s="8" t="str">
        <f>_xlfn.XLOOKUP(D642,Master[Product_Code],Master[Fabric])</f>
        <v>Poly Cotton</v>
      </c>
      <c r="J642" s="8" t="str">
        <f>_xlfn.XLOOKUP(D642,Master[Product_Code],Master[Size])</f>
        <v>M</v>
      </c>
      <c r="K642" s="8" t="str">
        <f>_xlfn.XLOOKUP(D642,Master[Product_Code],Master[Color])</f>
        <v>Bottle Green</v>
      </c>
      <c r="L642" s="3">
        <f>_xlfn.XLOOKUP(D642,Master[Product_Code],Master[Selling_Price])</f>
        <v>250</v>
      </c>
    </row>
    <row r="643" spans="2:12">
      <c r="B643" s="2" t="s">
        <v>2031</v>
      </c>
      <c r="C643" s="7">
        <v>45951</v>
      </c>
      <c r="D643" s="2" t="s">
        <v>468</v>
      </c>
      <c r="E643" s="4">
        <v>1</v>
      </c>
      <c r="F643" s="8" t="str">
        <f>_xlfn.XLOOKUP(D643,Master[Product_Code],Master[Category])</f>
        <v>T-Shirt</v>
      </c>
      <c r="G643" s="8" t="str">
        <f>_xlfn.XLOOKUP(D643,Master[Product_Code],Master[Brand])</f>
        <v>Campus</v>
      </c>
      <c r="H643" s="8" t="str">
        <f>_xlfn.XLOOKUP(D643,Master[Product_Code],Master[Style])</f>
        <v>Sleeveless</v>
      </c>
      <c r="I643" s="8" t="str">
        <f>_xlfn.XLOOKUP(D643,Master[Product_Code],Master[Fabric])</f>
        <v>Cotton Blend</v>
      </c>
      <c r="J643" s="8" t="str">
        <f>_xlfn.XLOOKUP(D643,Master[Product_Code],Master[Size])</f>
        <v>XL</v>
      </c>
      <c r="K643" s="8" t="str">
        <f>_xlfn.XLOOKUP(D643,Master[Product_Code],Master[Color])</f>
        <v>Sky Blue</v>
      </c>
      <c r="L643" s="3">
        <f>_xlfn.XLOOKUP(D643,Master[Product_Code],Master[Selling_Price])</f>
        <v>610</v>
      </c>
    </row>
    <row r="644" spans="2:12">
      <c r="B644" s="2" t="s">
        <v>2031</v>
      </c>
      <c r="C644" s="7">
        <v>45951</v>
      </c>
      <c r="D644" s="2" t="s">
        <v>243</v>
      </c>
      <c r="E644" s="4">
        <v>1</v>
      </c>
      <c r="F644" s="8" t="str">
        <f>_xlfn.XLOOKUP(D644,Master[Product_Code],Master[Category])</f>
        <v>Shirt</v>
      </c>
      <c r="G644" s="8" t="str">
        <f>_xlfn.XLOOKUP(D644,Master[Product_Code],Master[Brand])</f>
        <v>Thailand</v>
      </c>
      <c r="H644" s="8" t="str">
        <f>_xlfn.XLOOKUP(D644,Master[Product_Code],Master[Style])</f>
        <v>Casual</v>
      </c>
      <c r="I644" s="8" t="str">
        <f>_xlfn.XLOOKUP(D644,Master[Product_Code],Master[Fabric])</f>
        <v>Cotton</v>
      </c>
      <c r="J644" s="8" t="str">
        <f>_xlfn.XLOOKUP(D644,Master[Product_Code],Master[Size])</f>
        <v>XXL</v>
      </c>
      <c r="K644" s="8" t="str">
        <f>_xlfn.XLOOKUP(D644,Master[Product_Code],Master[Color])</f>
        <v>Wine</v>
      </c>
      <c r="L644" s="3">
        <f>_xlfn.XLOOKUP(D644,Master[Product_Code],Master[Selling_Price])</f>
        <v>840</v>
      </c>
    </row>
    <row r="645" spans="2:12">
      <c r="B645" s="2" t="s">
        <v>2031</v>
      </c>
      <c r="C645" s="7">
        <v>45951</v>
      </c>
      <c r="D645" s="2" t="s">
        <v>1106</v>
      </c>
      <c r="E645" s="4">
        <v>1</v>
      </c>
      <c r="F645" s="8" t="str">
        <f>_xlfn.XLOOKUP(D645,Master[Product_Code],Master[Category])</f>
        <v>Jeans</v>
      </c>
      <c r="G645" s="8" t="str">
        <f>_xlfn.XLOOKUP(D645,Master[Product_Code],Master[Brand])</f>
        <v>Levis</v>
      </c>
      <c r="H645" s="8" t="str">
        <f>_xlfn.XLOOKUP(D645,Master[Product_Code],Master[Style])</f>
        <v>Baggy</v>
      </c>
      <c r="I645" s="8" t="str">
        <f>_xlfn.XLOOKUP(D645,Master[Product_Code],Master[Fabric])</f>
        <v>Denim</v>
      </c>
      <c r="J645" s="8">
        <f>_xlfn.XLOOKUP(D645,Master[Product_Code],Master[Size])</f>
        <v>32</v>
      </c>
      <c r="K645" s="8" t="str">
        <f>_xlfn.XLOOKUP(D645,Master[Product_Code],Master[Color])</f>
        <v>Mustard</v>
      </c>
      <c r="L645" s="3">
        <f>_xlfn.XLOOKUP(D645,Master[Product_Code],Master[Selling_Price])</f>
        <v>1080</v>
      </c>
    </row>
    <row r="646" spans="2:12">
      <c r="B646" s="2" t="s">
        <v>2032</v>
      </c>
      <c r="C646" s="7">
        <v>45951</v>
      </c>
      <c r="D646" s="2" t="s">
        <v>877</v>
      </c>
      <c r="E646" s="4">
        <v>1</v>
      </c>
      <c r="F646" s="8" t="str">
        <f>_xlfn.XLOOKUP(D646,Master[Product_Code],Master[Category])</f>
        <v>Jeans</v>
      </c>
      <c r="G646" s="8" t="str">
        <f>_xlfn.XLOOKUP(D646,Master[Product_Code],Master[Brand])</f>
        <v>Denim Pro</v>
      </c>
      <c r="H646" s="8" t="str">
        <f>_xlfn.XLOOKUP(D646,Master[Product_Code],Master[Style])</f>
        <v>Mom Fit</v>
      </c>
      <c r="I646" s="8" t="str">
        <f>_xlfn.XLOOKUP(D646,Master[Product_Code],Master[Fabric])</f>
        <v>Denim</v>
      </c>
      <c r="J646" s="8">
        <f>_xlfn.XLOOKUP(D646,Master[Product_Code],Master[Size])</f>
        <v>34</v>
      </c>
      <c r="K646" s="8" t="str">
        <f>_xlfn.XLOOKUP(D646,Master[Product_Code],Master[Color])</f>
        <v>Bottle Green</v>
      </c>
      <c r="L646" s="3">
        <f>_xlfn.XLOOKUP(D646,Master[Product_Code],Master[Selling_Price])</f>
        <v>1080</v>
      </c>
    </row>
    <row r="647" spans="2:12">
      <c r="B647" s="2" t="s">
        <v>2032</v>
      </c>
      <c r="C647" s="7">
        <v>45951</v>
      </c>
      <c r="D647" s="2" t="s">
        <v>683</v>
      </c>
      <c r="E647" s="4">
        <v>1</v>
      </c>
      <c r="F647" s="8" t="str">
        <f>_xlfn.XLOOKUP(D647,Master[Product_Code],Master[Category])</f>
        <v>T-Shirt</v>
      </c>
      <c r="G647" s="8" t="str">
        <f>_xlfn.XLOOKUP(D647,Master[Product_Code],Master[Brand])</f>
        <v>Zara</v>
      </c>
      <c r="H647" s="8" t="str">
        <f>_xlfn.XLOOKUP(D647,Master[Product_Code],Master[Style])</f>
        <v>Full Sleeve</v>
      </c>
      <c r="I647" s="8" t="str">
        <f>_xlfn.XLOOKUP(D647,Master[Product_Code],Master[Fabric])</f>
        <v>Cotton Blend</v>
      </c>
      <c r="J647" s="8" t="str">
        <f>_xlfn.XLOOKUP(D647,Master[Product_Code],Master[Size])</f>
        <v>XL</v>
      </c>
      <c r="K647" s="8" t="str">
        <f>_xlfn.XLOOKUP(D647,Master[Product_Code],Master[Color])</f>
        <v>Sky Blue</v>
      </c>
      <c r="L647" s="3">
        <f>_xlfn.XLOOKUP(D647,Master[Product_Code],Master[Selling_Price])</f>
        <v>650</v>
      </c>
    </row>
    <row r="648" spans="2:12">
      <c r="B648" s="2" t="s">
        <v>2033</v>
      </c>
      <c r="C648" s="7">
        <v>45951</v>
      </c>
      <c r="D648" s="2" t="s">
        <v>951</v>
      </c>
      <c r="E648" s="4">
        <v>1</v>
      </c>
      <c r="F648" s="8" t="str">
        <f>_xlfn.XLOOKUP(D648,Master[Product_Code],Master[Category])</f>
        <v>Jeans</v>
      </c>
      <c r="G648" s="8" t="str">
        <f>_xlfn.XLOOKUP(D648,Master[Product_Code],Master[Brand])</f>
        <v>Levis</v>
      </c>
      <c r="H648" s="8" t="str">
        <f>_xlfn.XLOOKUP(D648,Master[Product_Code],Master[Style])</f>
        <v>Mom Fit</v>
      </c>
      <c r="I648" s="8" t="str">
        <f>_xlfn.XLOOKUP(D648,Master[Product_Code],Master[Fabric])</f>
        <v>Denim</v>
      </c>
      <c r="J648" s="8">
        <f>_xlfn.XLOOKUP(D648,Master[Product_Code],Master[Size])</f>
        <v>38</v>
      </c>
      <c r="K648" s="8" t="str">
        <f>_xlfn.XLOOKUP(D648,Master[Product_Code],Master[Color])</f>
        <v>Rust</v>
      </c>
      <c r="L648" s="3">
        <f>_xlfn.XLOOKUP(D648,Master[Product_Code],Master[Selling_Price])</f>
        <v>920</v>
      </c>
    </row>
    <row r="649" spans="2:12">
      <c r="B649" s="2" t="s">
        <v>2033</v>
      </c>
      <c r="C649" s="7">
        <v>45951</v>
      </c>
      <c r="D649" s="2" t="s">
        <v>1568</v>
      </c>
      <c r="E649" s="4">
        <v>1</v>
      </c>
      <c r="F649" s="8" t="str">
        <f>_xlfn.XLOOKUP(D649,Master[Product_Code],Master[Category])</f>
        <v>Innerwear</v>
      </c>
      <c r="G649" s="8" t="str">
        <f>_xlfn.XLOOKUP(D649,Master[Product_Code],Master[Brand])</f>
        <v>V Star</v>
      </c>
      <c r="H649" s="8" t="str">
        <f>_xlfn.XLOOKUP(D649,Master[Product_Code],Master[Style])</f>
        <v>V-Cut</v>
      </c>
      <c r="I649" s="8" t="str">
        <f>_xlfn.XLOOKUP(D649,Master[Product_Code],Master[Fabric])</f>
        <v>Cotton Blend</v>
      </c>
      <c r="J649" s="8" t="str">
        <f>_xlfn.XLOOKUP(D649,Master[Product_Code],Master[Size])</f>
        <v>105-110</v>
      </c>
      <c r="K649" s="8" t="str">
        <f>_xlfn.XLOOKUP(D649,Master[Product_Code],Master[Color])</f>
        <v>Peach</v>
      </c>
      <c r="L649" s="3">
        <f>_xlfn.XLOOKUP(D649,Master[Product_Code],Master[Selling_Price])</f>
        <v>120</v>
      </c>
    </row>
    <row r="650" spans="2:12">
      <c r="B650" s="2" t="s">
        <v>2034</v>
      </c>
      <c r="C650" s="7">
        <v>45951</v>
      </c>
      <c r="D650" s="2" t="s">
        <v>1211</v>
      </c>
      <c r="E650" s="4">
        <v>1</v>
      </c>
      <c r="F650" s="8" t="str">
        <f>_xlfn.XLOOKUP(D650,Master[Product_Code],Master[Category])</f>
        <v>Pants</v>
      </c>
      <c r="G650" s="8" t="str">
        <f>_xlfn.XLOOKUP(D650,Master[Product_Code],Master[Brand])</f>
        <v>Park Avenue</v>
      </c>
      <c r="H650" s="8" t="str">
        <f>_xlfn.XLOOKUP(D650,Master[Product_Code],Master[Style])</f>
        <v>Korean</v>
      </c>
      <c r="I650" s="8" t="str">
        <f>_xlfn.XLOOKUP(D650,Master[Product_Code],Master[Fabric])</f>
        <v>Lycra</v>
      </c>
      <c r="J650" s="8">
        <f>_xlfn.XLOOKUP(D650,Master[Product_Code],Master[Size])</f>
        <v>32</v>
      </c>
      <c r="K650" s="8" t="str">
        <f>_xlfn.XLOOKUP(D650,Master[Product_Code],Master[Color])</f>
        <v>Peach</v>
      </c>
      <c r="L650" s="3">
        <f>_xlfn.XLOOKUP(D650,Master[Product_Code],Master[Selling_Price])</f>
        <v>760</v>
      </c>
    </row>
    <row r="651" spans="2:12">
      <c r="B651" s="2" t="s">
        <v>2034</v>
      </c>
      <c r="C651" s="7">
        <v>45951</v>
      </c>
      <c r="D651" s="2" t="s">
        <v>213</v>
      </c>
      <c r="E651" s="4">
        <v>1</v>
      </c>
      <c r="F651" s="8" t="str">
        <f>_xlfn.XLOOKUP(D651,Master[Product_Code],Master[Category])</f>
        <v>Shirt</v>
      </c>
      <c r="G651" s="8" t="str">
        <f>_xlfn.XLOOKUP(D651,Master[Product_Code],Master[Brand])</f>
        <v>Luke &amp; Burg</v>
      </c>
      <c r="H651" s="8" t="str">
        <f>_xlfn.XLOOKUP(D651,Master[Product_Code],Master[Style])</f>
        <v>Formal</v>
      </c>
      <c r="I651" s="8" t="str">
        <f>_xlfn.XLOOKUP(D651,Master[Product_Code],Master[Fabric])</f>
        <v>Lycra</v>
      </c>
      <c r="J651" s="8" t="str">
        <f>_xlfn.XLOOKUP(D651,Master[Product_Code],Master[Size])</f>
        <v>M</v>
      </c>
      <c r="K651" s="8" t="str">
        <f>_xlfn.XLOOKUP(D651,Master[Product_Code],Master[Color])</f>
        <v>Dark Green</v>
      </c>
      <c r="L651" s="3">
        <f>_xlfn.XLOOKUP(D651,Master[Product_Code],Master[Selling_Price])</f>
        <v>750</v>
      </c>
    </row>
    <row r="652" spans="2:12">
      <c r="B652" s="2" t="s">
        <v>2034</v>
      </c>
      <c r="C652" s="7">
        <v>45951</v>
      </c>
      <c r="D652" s="2" t="s">
        <v>643</v>
      </c>
      <c r="E652" s="4">
        <v>1</v>
      </c>
      <c r="F652" s="8" t="str">
        <f>_xlfn.XLOOKUP(D652,Master[Product_Code],Master[Category])</f>
        <v>T-Shirt</v>
      </c>
      <c r="G652" s="8" t="str">
        <f>_xlfn.XLOOKUP(D652,Master[Product_Code],Master[Brand])</f>
        <v>Turkey</v>
      </c>
      <c r="H652" s="8" t="str">
        <f>_xlfn.XLOOKUP(D652,Master[Product_Code],Master[Style])</f>
        <v>Half Sleeve</v>
      </c>
      <c r="I652" s="8" t="str">
        <f>_xlfn.XLOOKUP(D652,Master[Product_Code],Master[Fabric])</f>
        <v>Poly Cotton</v>
      </c>
      <c r="J652" s="8" t="str">
        <f>_xlfn.XLOOKUP(D652,Master[Product_Code],Master[Size])</f>
        <v>XL</v>
      </c>
      <c r="K652" s="8" t="str">
        <f>_xlfn.XLOOKUP(D652,Master[Product_Code],Master[Color])</f>
        <v>Brown</v>
      </c>
      <c r="L652" s="3">
        <f>_xlfn.XLOOKUP(D652,Master[Product_Code],Master[Selling_Price])</f>
        <v>700</v>
      </c>
    </row>
    <row r="653" spans="2:12">
      <c r="B653" s="2" t="s">
        <v>2035</v>
      </c>
      <c r="C653" s="7">
        <v>45951</v>
      </c>
      <c r="D653" s="2" t="s">
        <v>1678</v>
      </c>
      <c r="E653" s="4">
        <v>1</v>
      </c>
      <c r="F653" s="8" t="str">
        <f>_xlfn.XLOOKUP(D653,Master[Product_Code],Master[Category])</f>
        <v>Innerwear</v>
      </c>
      <c r="G653" s="8" t="str">
        <f>_xlfn.XLOOKUP(D653,Master[Product_Code],Master[Brand])</f>
        <v>Lux</v>
      </c>
      <c r="H653" s="8" t="str">
        <f>_xlfn.XLOOKUP(D653,Master[Product_Code],Master[Style])</f>
        <v>V-Cut</v>
      </c>
      <c r="I653" s="8" t="str">
        <f>_xlfn.XLOOKUP(D653,Master[Product_Code],Master[Fabric])</f>
        <v>Cotton Blend</v>
      </c>
      <c r="J653" s="8" t="str">
        <f>_xlfn.XLOOKUP(D653,Master[Product_Code],Master[Size])</f>
        <v>85-90</v>
      </c>
      <c r="K653" s="8" t="str">
        <f>_xlfn.XLOOKUP(D653,Master[Product_Code],Master[Color])</f>
        <v>Maroon</v>
      </c>
      <c r="L653" s="3">
        <f>_xlfn.XLOOKUP(D653,Master[Product_Code],Master[Selling_Price])</f>
        <v>120</v>
      </c>
    </row>
    <row r="654" spans="2:12">
      <c r="B654" s="2" t="s">
        <v>2035</v>
      </c>
      <c r="C654" s="7">
        <v>45951</v>
      </c>
      <c r="D654" s="2" t="s">
        <v>420</v>
      </c>
      <c r="E654" s="4">
        <v>1</v>
      </c>
      <c r="F654" s="8" t="str">
        <f>_xlfn.XLOOKUP(D654,Master[Product_Code],Master[Category])</f>
        <v>T-Shirt</v>
      </c>
      <c r="G654" s="8" t="str">
        <f>_xlfn.XLOOKUP(D654,Master[Product_Code],Master[Brand])</f>
        <v>Roadster</v>
      </c>
      <c r="H654" s="8" t="str">
        <f>_xlfn.XLOOKUP(D654,Master[Product_Code],Master[Style])</f>
        <v>3/4 Sleeve</v>
      </c>
      <c r="I654" s="8" t="str">
        <f>_xlfn.XLOOKUP(D654,Master[Product_Code],Master[Fabric])</f>
        <v>Cotton Blend</v>
      </c>
      <c r="J654" s="8" t="str">
        <f>_xlfn.XLOOKUP(D654,Master[Product_Code],Master[Size])</f>
        <v>XL</v>
      </c>
      <c r="K654" s="8" t="str">
        <f>_xlfn.XLOOKUP(D654,Master[Product_Code],Master[Color])</f>
        <v>Cream</v>
      </c>
      <c r="L654" s="3">
        <f>_xlfn.XLOOKUP(D654,Master[Product_Code],Master[Selling_Price])</f>
        <v>380</v>
      </c>
    </row>
    <row r="655" spans="2:12">
      <c r="B655" s="2" t="s">
        <v>2035</v>
      </c>
      <c r="C655" s="7">
        <v>45951</v>
      </c>
      <c r="D655" s="2" t="s">
        <v>480</v>
      </c>
      <c r="E655" s="4">
        <v>1</v>
      </c>
      <c r="F655" s="8" t="str">
        <f>_xlfn.XLOOKUP(D655,Master[Product_Code],Master[Category])</f>
        <v>T-Shirt</v>
      </c>
      <c r="G655" s="8" t="str">
        <f>_xlfn.XLOOKUP(D655,Master[Product_Code],Master[Brand])</f>
        <v>Turkey</v>
      </c>
      <c r="H655" s="8" t="str">
        <f>_xlfn.XLOOKUP(D655,Master[Product_Code],Master[Style])</f>
        <v>3/4 Sleeve</v>
      </c>
      <c r="I655" s="8" t="str">
        <f>_xlfn.XLOOKUP(D655,Master[Product_Code],Master[Fabric])</f>
        <v>Cotton Blend</v>
      </c>
      <c r="J655" s="8" t="str">
        <f>_xlfn.XLOOKUP(D655,Master[Product_Code],Master[Size])</f>
        <v>M</v>
      </c>
      <c r="K655" s="8" t="str">
        <f>_xlfn.XLOOKUP(D655,Master[Product_Code],Master[Color])</f>
        <v>Cream</v>
      </c>
      <c r="L655" s="3">
        <f>_xlfn.XLOOKUP(D655,Master[Product_Code],Master[Selling_Price])</f>
        <v>590</v>
      </c>
    </row>
    <row r="656" spans="2:12">
      <c r="B656" s="2" t="s">
        <v>2035</v>
      </c>
      <c r="C656" s="7">
        <v>45951</v>
      </c>
      <c r="D656" s="2" t="s">
        <v>1187</v>
      </c>
      <c r="E656" s="4">
        <v>1</v>
      </c>
      <c r="F656" s="8" t="str">
        <f>_xlfn.XLOOKUP(D656,Master[Product_Code],Master[Category])</f>
        <v>Pants</v>
      </c>
      <c r="G656" s="8" t="str">
        <f>_xlfn.XLOOKUP(D656,Master[Product_Code],Master[Brand])</f>
        <v>Raymond</v>
      </c>
      <c r="H656" s="8" t="str">
        <f>_xlfn.XLOOKUP(D656,Master[Product_Code],Master[Style])</f>
        <v>Jogger</v>
      </c>
      <c r="I656" s="8" t="str">
        <f>_xlfn.XLOOKUP(D656,Master[Product_Code],Master[Fabric])</f>
        <v>Cotton</v>
      </c>
      <c r="J656" s="8">
        <f>_xlfn.XLOOKUP(D656,Master[Product_Code],Master[Size])</f>
        <v>34</v>
      </c>
      <c r="K656" s="8" t="str">
        <f>_xlfn.XLOOKUP(D656,Master[Product_Code],Master[Color])</f>
        <v>Olive</v>
      </c>
      <c r="L656" s="3">
        <f>_xlfn.XLOOKUP(D656,Master[Product_Code],Master[Selling_Price])</f>
        <v>730</v>
      </c>
    </row>
    <row r="657" spans="2:12">
      <c r="B657" s="2" t="s">
        <v>2036</v>
      </c>
      <c r="C657" s="7">
        <v>45951</v>
      </c>
      <c r="D657" s="2" t="s">
        <v>1534</v>
      </c>
      <c r="E657" s="4">
        <v>1</v>
      </c>
      <c r="F657" s="8" t="str">
        <f>_xlfn.XLOOKUP(D657,Master[Product_Code],Master[Category])</f>
        <v>Innerwear</v>
      </c>
      <c r="G657" s="8" t="str">
        <f>_xlfn.XLOOKUP(D657,Master[Product_Code],Master[Brand])</f>
        <v>Dollar</v>
      </c>
      <c r="H657" s="8" t="str">
        <f>_xlfn.XLOOKUP(D657,Master[Product_Code],Master[Style])</f>
        <v>V-Cut</v>
      </c>
      <c r="I657" s="8" t="str">
        <f>_xlfn.XLOOKUP(D657,Master[Product_Code],Master[Fabric])</f>
        <v>Cotton</v>
      </c>
      <c r="J657" s="8" t="str">
        <f>_xlfn.XLOOKUP(D657,Master[Product_Code],Master[Size])</f>
        <v>80-85</v>
      </c>
      <c r="K657" s="8" t="str">
        <f>_xlfn.XLOOKUP(D657,Master[Product_Code],Master[Color])</f>
        <v>Peach</v>
      </c>
      <c r="L657" s="3">
        <f>_xlfn.XLOOKUP(D657,Master[Product_Code],Master[Selling_Price])</f>
        <v>130</v>
      </c>
    </row>
    <row r="658" spans="2:12">
      <c r="B658" s="2" t="s">
        <v>2036</v>
      </c>
      <c r="C658" s="7">
        <v>45951</v>
      </c>
      <c r="D658" s="2" t="s">
        <v>144</v>
      </c>
      <c r="E658" s="4">
        <v>1</v>
      </c>
      <c r="F658" s="8" t="str">
        <f>_xlfn.XLOOKUP(D658,Master[Product_Code],Master[Category])</f>
        <v>Shirt</v>
      </c>
      <c r="G658" s="8" t="str">
        <f>_xlfn.XLOOKUP(D658,Master[Product_Code],Master[Brand])</f>
        <v>Zara</v>
      </c>
      <c r="H658" s="8" t="str">
        <f>_xlfn.XLOOKUP(D658,Master[Product_Code],Master[Style])</f>
        <v>Partywear</v>
      </c>
      <c r="I658" s="8" t="str">
        <f>_xlfn.XLOOKUP(D658,Master[Product_Code],Master[Fabric])</f>
        <v>Lycra</v>
      </c>
      <c r="J658" s="8" t="str">
        <f>_xlfn.XLOOKUP(D658,Master[Product_Code],Master[Size])</f>
        <v>M</v>
      </c>
      <c r="K658" s="8" t="str">
        <f>_xlfn.XLOOKUP(D658,Master[Product_Code],Master[Color])</f>
        <v>Maroon</v>
      </c>
      <c r="L658" s="3">
        <f>_xlfn.XLOOKUP(D658,Master[Product_Code],Master[Selling_Price])</f>
        <v>700</v>
      </c>
    </row>
    <row r="659" spans="2:12">
      <c r="B659" s="2" t="s">
        <v>2036</v>
      </c>
      <c r="C659" s="7">
        <v>45951</v>
      </c>
      <c r="D659" s="2" t="s">
        <v>166</v>
      </c>
      <c r="E659" s="4">
        <v>1</v>
      </c>
      <c r="F659" s="8" t="str">
        <f>_xlfn.XLOOKUP(D659,Master[Product_Code],Master[Category])</f>
        <v>Shirt</v>
      </c>
      <c r="G659" s="8" t="str">
        <f>_xlfn.XLOOKUP(D659,Master[Product_Code],Master[Brand])</f>
        <v>USD</v>
      </c>
      <c r="H659" s="8" t="str">
        <f>_xlfn.XLOOKUP(D659,Master[Product_Code],Master[Style])</f>
        <v>Formal</v>
      </c>
      <c r="I659" s="8" t="str">
        <f>_xlfn.XLOOKUP(D659,Master[Product_Code],Master[Fabric])</f>
        <v>Cotton Blend</v>
      </c>
      <c r="J659" s="8" t="str">
        <f>_xlfn.XLOOKUP(D659,Master[Product_Code],Master[Size])</f>
        <v>XL</v>
      </c>
      <c r="K659" s="8" t="str">
        <f>_xlfn.XLOOKUP(D659,Master[Product_Code],Master[Color])</f>
        <v>Sky Blue</v>
      </c>
      <c r="L659" s="3">
        <f>_xlfn.XLOOKUP(D659,Master[Product_Code],Master[Selling_Price])</f>
        <v>750</v>
      </c>
    </row>
    <row r="660" spans="2:12">
      <c r="B660" s="2" t="s">
        <v>2037</v>
      </c>
      <c r="C660" s="7">
        <v>45951</v>
      </c>
      <c r="D660" s="2" t="s">
        <v>1493</v>
      </c>
      <c r="E660" s="4">
        <v>1</v>
      </c>
      <c r="F660" s="8" t="str">
        <f>_xlfn.XLOOKUP(D660,Master[Product_Code],Master[Category])</f>
        <v>Innerwear</v>
      </c>
      <c r="G660" s="8" t="str">
        <f>_xlfn.XLOOKUP(D660,Master[Product_Code],Master[Brand])</f>
        <v>Lux</v>
      </c>
      <c r="H660" s="8" t="str">
        <f>_xlfn.XLOOKUP(D660,Master[Product_Code],Master[Style])</f>
        <v>V-Cut</v>
      </c>
      <c r="I660" s="8" t="str">
        <f>_xlfn.XLOOKUP(D660,Master[Product_Code],Master[Fabric])</f>
        <v>Cotton Blend</v>
      </c>
      <c r="J660" s="8" t="str">
        <f>_xlfn.XLOOKUP(D660,Master[Product_Code],Master[Size])</f>
        <v>105-110</v>
      </c>
      <c r="K660" s="8" t="str">
        <f>_xlfn.XLOOKUP(D660,Master[Product_Code],Master[Color])</f>
        <v>White</v>
      </c>
      <c r="L660" s="3">
        <f>_xlfn.XLOOKUP(D660,Master[Product_Code],Master[Selling_Price])</f>
        <v>140</v>
      </c>
    </row>
    <row r="661" spans="2:12">
      <c r="B661" s="2" t="s">
        <v>2037</v>
      </c>
      <c r="C661" s="7">
        <v>45951</v>
      </c>
      <c r="D661" s="2" t="s">
        <v>47</v>
      </c>
      <c r="E661" s="4">
        <v>1</v>
      </c>
      <c r="F661" s="8" t="str">
        <f>_xlfn.XLOOKUP(D661,Master[Product_Code],Master[Category])</f>
        <v>Shirt</v>
      </c>
      <c r="G661" s="8" t="str">
        <f>_xlfn.XLOOKUP(D661,Master[Product_Code],Master[Brand])</f>
        <v>G Studio</v>
      </c>
      <c r="H661" s="8" t="str">
        <f>_xlfn.XLOOKUP(D661,Master[Product_Code],Master[Style])</f>
        <v>Formal</v>
      </c>
      <c r="I661" s="8" t="str">
        <f>_xlfn.XLOOKUP(D661,Master[Product_Code],Master[Fabric])</f>
        <v>Polyester</v>
      </c>
      <c r="J661" s="8" t="str">
        <f>_xlfn.XLOOKUP(D661,Master[Product_Code],Master[Size])</f>
        <v>XL</v>
      </c>
      <c r="K661" s="8" t="str">
        <f>_xlfn.XLOOKUP(D661,Master[Product_Code],Master[Color])</f>
        <v>Beige</v>
      </c>
      <c r="L661" s="3">
        <f>_xlfn.XLOOKUP(D661,Master[Product_Code],Master[Selling_Price])</f>
        <v>820</v>
      </c>
    </row>
    <row r="662" spans="2:12">
      <c r="B662" s="2" t="s">
        <v>2037</v>
      </c>
      <c r="C662" s="7">
        <v>45951</v>
      </c>
      <c r="D662" s="2" t="s">
        <v>1199</v>
      </c>
      <c r="E662" s="4">
        <v>1</v>
      </c>
      <c r="F662" s="8" t="str">
        <f>_xlfn.XLOOKUP(D662,Master[Product_Code],Master[Category])</f>
        <v>Pants</v>
      </c>
      <c r="G662" s="8" t="str">
        <f>_xlfn.XLOOKUP(D662,Master[Product_Code],Master[Brand])</f>
        <v>Louis Philippe</v>
      </c>
      <c r="H662" s="8" t="str">
        <f>_xlfn.XLOOKUP(D662,Master[Product_Code],Master[Style])</f>
        <v>Polofit</v>
      </c>
      <c r="I662" s="8" t="str">
        <f>_xlfn.XLOOKUP(D662,Master[Product_Code],Master[Fabric])</f>
        <v>Lycra</v>
      </c>
      <c r="J662" s="8">
        <f>_xlfn.XLOOKUP(D662,Master[Product_Code],Master[Size])</f>
        <v>42</v>
      </c>
      <c r="K662" s="8" t="str">
        <f>_xlfn.XLOOKUP(D662,Master[Product_Code],Master[Color])</f>
        <v>Wine</v>
      </c>
      <c r="L662" s="3">
        <f>_xlfn.XLOOKUP(D662,Master[Product_Code],Master[Selling_Price])</f>
        <v>940</v>
      </c>
    </row>
    <row r="663" spans="2:12">
      <c r="B663" s="2" t="s">
        <v>2037</v>
      </c>
      <c r="C663" s="7">
        <v>45951</v>
      </c>
      <c r="D663" s="2" t="s">
        <v>1297</v>
      </c>
      <c r="E663" s="4">
        <v>1</v>
      </c>
      <c r="F663" s="8" t="str">
        <f>_xlfn.XLOOKUP(D663,Master[Product_Code],Master[Category])</f>
        <v>Pants</v>
      </c>
      <c r="G663" s="8" t="str">
        <f>_xlfn.XLOOKUP(D663,Master[Product_Code],Master[Brand])</f>
        <v>Louis Philippe</v>
      </c>
      <c r="H663" s="8" t="str">
        <f>_xlfn.XLOOKUP(D663,Master[Product_Code],Master[Style])</f>
        <v>Boot Cut</v>
      </c>
      <c r="I663" s="8" t="str">
        <f>_xlfn.XLOOKUP(D663,Master[Product_Code],Master[Fabric])</f>
        <v>Cotton</v>
      </c>
      <c r="J663" s="8">
        <f>_xlfn.XLOOKUP(D663,Master[Product_Code],Master[Size])</f>
        <v>42</v>
      </c>
      <c r="K663" s="8" t="str">
        <f>_xlfn.XLOOKUP(D663,Master[Product_Code],Master[Color])</f>
        <v>Light Grey</v>
      </c>
      <c r="L663" s="3">
        <f>_xlfn.XLOOKUP(D663,Master[Product_Code],Master[Selling_Price])</f>
        <v>880</v>
      </c>
    </row>
    <row r="664" spans="2:12">
      <c r="B664" s="2" t="s">
        <v>2038</v>
      </c>
      <c r="C664" s="7">
        <v>45951</v>
      </c>
      <c r="D664" s="2" t="s">
        <v>1227</v>
      </c>
      <c r="E664" s="4">
        <v>1</v>
      </c>
      <c r="F664" s="8" t="str">
        <f>_xlfn.XLOOKUP(D664,Master[Product_Code],Master[Category])</f>
        <v>Pants</v>
      </c>
      <c r="G664" s="8" t="str">
        <f>_xlfn.XLOOKUP(D664,Master[Product_Code],Master[Brand])</f>
        <v>Raymond</v>
      </c>
      <c r="H664" s="8" t="str">
        <f>_xlfn.XLOOKUP(D664,Master[Product_Code],Master[Style])</f>
        <v>Jogger</v>
      </c>
      <c r="I664" s="8" t="str">
        <f>_xlfn.XLOOKUP(D664,Master[Product_Code],Master[Fabric])</f>
        <v>Cotton Blend</v>
      </c>
      <c r="J664" s="8">
        <f>_xlfn.XLOOKUP(D664,Master[Product_Code],Master[Size])</f>
        <v>42</v>
      </c>
      <c r="K664" s="8" t="str">
        <f>_xlfn.XLOOKUP(D664,Master[Product_Code],Master[Color])</f>
        <v>Bottle Green</v>
      </c>
      <c r="L664" s="3">
        <f>_xlfn.XLOOKUP(D664,Master[Product_Code],Master[Selling_Price])</f>
        <v>800</v>
      </c>
    </row>
    <row r="665" spans="2:12">
      <c r="B665" s="2" t="s">
        <v>2038</v>
      </c>
      <c r="C665" s="7">
        <v>45951</v>
      </c>
      <c r="D665" s="2" t="s">
        <v>994</v>
      </c>
      <c r="E665" s="4">
        <v>1</v>
      </c>
      <c r="F665" s="8" t="str">
        <f>_xlfn.XLOOKUP(D665,Master[Product_Code],Master[Category])</f>
        <v>Jeans</v>
      </c>
      <c r="G665" s="8" t="str">
        <f>_xlfn.XLOOKUP(D665,Master[Product_Code],Master[Brand])</f>
        <v>Locomotive</v>
      </c>
      <c r="H665" s="8" t="str">
        <f>_xlfn.XLOOKUP(D665,Master[Product_Code],Master[Style])</f>
        <v>Mom Fit</v>
      </c>
      <c r="I665" s="8" t="str">
        <f>_xlfn.XLOOKUP(D665,Master[Product_Code],Master[Fabric])</f>
        <v>Denim</v>
      </c>
      <c r="J665" s="8">
        <f>_xlfn.XLOOKUP(D665,Master[Product_Code],Master[Size])</f>
        <v>38</v>
      </c>
      <c r="K665" s="8" t="str">
        <f>_xlfn.XLOOKUP(D665,Master[Product_Code],Master[Color])</f>
        <v>Peach</v>
      </c>
      <c r="L665" s="3">
        <f>_xlfn.XLOOKUP(D665,Master[Product_Code],Master[Selling_Price])</f>
        <v>1090</v>
      </c>
    </row>
    <row r="666" spans="2:12">
      <c r="B666" s="2" t="s">
        <v>2038</v>
      </c>
      <c r="C666" s="7">
        <v>45951</v>
      </c>
      <c r="D666" s="2" t="s">
        <v>599</v>
      </c>
      <c r="E666" s="4">
        <v>1</v>
      </c>
      <c r="F666" s="8" t="str">
        <f>_xlfn.XLOOKUP(D666,Master[Product_Code],Master[Category])</f>
        <v>T-Shirt</v>
      </c>
      <c r="G666" s="8" t="str">
        <f>_xlfn.XLOOKUP(D666,Master[Product_Code],Master[Brand])</f>
        <v>Campus</v>
      </c>
      <c r="H666" s="8" t="str">
        <f>_xlfn.XLOOKUP(D666,Master[Product_Code],Master[Style])</f>
        <v>Full Sleeve</v>
      </c>
      <c r="I666" s="8" t="str">
        <f>_xlfn.XLOOKUP(D666,Master[Product_Code],Master[Fabric])</f>
        <v>Poly Cotton</v>
      </c>
      <c r="J666" s="8" t="str">
        <f>_xlfn.XLOOKUP(D666,Master[Product_Code],Master[Size])</f>
        <v>XL</v>
      </c>
      <c r="K666" s="8" t="str">
        <f>_xlfn.XLOOKUP(D666,Master[Product_Code],Master[Color])</f>
        <v>Olive</v>
      </c>
      <c r="L666" s="3">
        <f>_xlfn.XLOOKUP(D666,Master[Product_Code],Master[Selling_Price])</f>
        <v>520</v>
      </c>
    </row>
    <row r="667" spans="2:12">
      <c r="B667" s="2" t="s">
        <v>2038</v>
      </c>
      <c r="C667" s="7">
        <v>45951</v>
      </c>
      <c r="D667" s="2" t="s">
        <v>1177</v>
      </c>
      <c r="E667" s="4">
        <v>1</v>
      </c>
      <c r="F667" s="8" t="str">
        <f>_xlfn.XLOOKUP(D667,Master[Product_Code],Master[Category])</f>
        <v>Pants</v>
      </c>
      <c r="G667" s="8" t="str">
        <f>_xlfn.XLOOKUP(D667,Master[Product_Code],Master[Brand])</f>
        <v>Raymond</v>
      </c>
      <c r="H667" s="8" t="str">
        <f>_xlfn.XLOOKUP(D667,Master[Product_Code],Master[Style])</f>
        <v>Kurka</v>
      </c>
      <c r="I667" s="8" t="str">
        <f>_xlfn.XLOOKUP(D667,Master[Product_Code],Master[Fabric])</f>
        <v>Lycra</v>
      </c>
      <c r="J667" s="8">
        <f>_xlfn.XLOOKUP(D667,Master[Product_Code],Master[Size])</f>
        <v>36</v>
      </c>
      <c r="K667" s="8" t="str">
        <f>_xlfn.XLOOKUP(D667,Master[Product_Code],Master[Color])</f>
        <v>Teal</v>
      </c>
      <c r="L667" s="3">
        <f>_xlfn.XLOOKUP(D667,Master[Product_Code],Master[Selling_Price])</f>
        <v>750</v>
      </c>
    </row>
    <row r="668" spans="2:12">
      <c r="B668" s="2" t="s">
        <v>2039</v>
      </c>
      <c r="C668" s="7">
        <v>45952</v>
      </c>
      <c r="D668" s="2" t="s">
        <v>759</v>
      </c>
      <c r="E668" s="4">
        <v>1</v>
      </c>
      <c r="F668" s="8" t="str">
        <f>_xlfn.XLOOKUP(D668,Master[Product_Code],Master[Category])</f>
        <v>T-Shirt</v>
      </c>
      <c r="G668" s="8" t="str">
        <f>_xlfn.XLOOKUP(D668,Master[Product_Code],Master[Brand])</f>
        <v>Roadster</v>
      </c>
      <c r="H668" s="8" t="str">
        <f>_xlfn.XLOOKUP(D668,Master[Product_Code],Master[Style])</f>
        <v>Sleeveless</v>
      </c>
      <c r="I668" s="8" t="str">
        <f>_xlfn.XLOOKUP(D668,Master[Product_Code],Master[Fabric])</f>
        <v>Poly Cotton</v>
      </c>
      <c r="J668" s="8" t="str">
        <f>_xlfn.XLOOKUP(D668,Master[Product_Code],Master[Size])</f>
        <v>M</v>
      </c>
      <c r="K668" s="8" t="str">
        <f>_xlfn.XLOOKUP(D668,Master[Product_Code],Master[Color])</f>
        <v>Teal</v>
      </c>
      <c r="L668" s="3">
        <f>_xlfn.XLOOKUP(D668,Master[Product_Code],Master[Selling_Price])</f>
        <v>600</v>
      </c>
    </row>
    <row r="669" spans="2:12">
      <c r="B669" s="2" t="s">
        <v>2039</v>
      </c>
      <c r="C669" s="7">
        <v>45952</v>
      </c>
      <c r="D669" s="2" t="s">
        <v>1436</v>
      </c>
      <c r="E669" s="4">
        <v>1</v>
      </c>
      <c r="F669" s="8" t="str">
        <f>_xlfn.XLOOKUP(D669,Master[Product_Code],Master[Category])</f>
        <v>Pants</v>
      </c>
      <c r="G669" s="8" t="str">
        <f>_xlfn.XLOOKUP(D669,Master[Product_Code],Master[Brand])</f>
        <v>Park Avenue</v>
      </c>
      <c r="H669" s="8" t="str">
        <f>_xlfn.XLOOKUP(D669,Master[Product_Code],Master[Style])</f>
        <v>Polofit</v>
      </c>
      <c r="I669" s="8" t="str">
        <f>_xlfn.XLOOKUP(D669,Master[Product_Code],Master[Fabric])</f>
        <v>Lycra</v>
      </c>
      <c r="J669" s="8">
        <f>_xlfn.XLOOKUP(D669,Master[Product_Code],Master[Size])</f>
        <v>44</v>
      </c>
      <c r="K669" s="8" t="str">
        <f>_xlfn.XLOOKUP(D669,Master[Product_Code],Master[Color])</f>
        <v>Rust</v>
      </c>
      <c r="L669" s="3">
        <f>_xlfn.XLOOKUP(D669,Master[Product_Code],Master[Selling_Price])</f>
        <v>940</v>
      </c>
    </row>
    <row r="670" spans="2:12">
      <c r="B670" s="2" t="s">
        <v>2039</v>
      </c>
      <c r="C670" s="7">
        <v>45952</v>
      </c>
      <c r="D670" s="2" t="s">
        <v>1603</v>
      </c>
      <c r="E670" s="4">
        <v>1</v>
      </c>
      <c r="F670" s="8" t="str">
        <f>_xlfn.XLOOKUP(D670,Master[Product_Code],Master[Category])</f>
        <v>Innerwear</v>
      </c>
      <c r="G670" s="8" t="str">
        <f>_xlfn.XLOOKUP(D670,Master[Product_Code],Master[Brand])</f>
        <v>V Star</v>
      </c>
      <c r="H670" s="8" t="str">
        <f>_xlfn.XLOOKUP(D670,Master[Product_Code],Master[Style])</f>
        <v>V-Cut</v>
      </c>
      <c r="I670" s="8" t="str">
        <f>_xlfn.XLOOKUP(D670,Master[Product_Code],Master[Fabric])</f>
        <v>Cotton</v>
      </c>
      <c r="J670" s="8" t="str">
        <f>_xlfn.XLOOKUP(D670,Master[Product_Code],Master[Size])</f>
        <v>105-110</v>
      </c>
      <c r="K670" s="8" t="str">
        <f>_xlfn.XLOOKUP(D670,Master[Product_Code],Master[Color])</f>
        <v>Brown</v>
      </c>
      <c r="L670" s="3">
        <f>_xlfn.XLOOKUP(D670,Master[Product_Code],Master[Selling_Price])</f>
        <v>130</v>
      </c>
    </row>
    <row r="671" spans="2:12">
      <c r="B671" s="2" t="s">
        <v>2040</v>
      </c>
      <c r="C671" s="7">
        <v>45952</v>
      </c>
      <c r="D671" s="2" t="s">
        <v>444</v>
      </c>
      <c r="E671" s="4">
        <v>1</v>
      </c>
      <c r="F671" s="8" t="str">
        <f>_xlfn.XLOOKUP(D671,Master[Product_Code],Master[Category])</f>
        <v>T-Shirt</v>
      </c>
      <c r="G671" s="8" t="str">
        <f>_xlfn.XLOOKUP(D671,Master[Product_Code],Master[Brand])</f>
        <v>Zara</v>
      </c>
      <c r="H671" s="8" t="str">
        <f>_xlfn.XLOOKUP(D671,Master[Product_Code],Master[Style])</f>
        <v>Sleeveless</v>
      </c>
      <c r="I671" s="8" t="str">
        <f>_xlfn.XLOOKUP(D671,Master[Product_Code],Master[Fabric])</f>
        <v>Cotton</v>
      </c>
      <c r="J671" s="8" t="str">
        <f>_xlfn.XLOOKUP(D671,Master[Product_Code],Master[Size])</f>
        <v>S</v>
      </c>
      <c r="K671" s="8" t="str">
        <f>_xlfn.XLOOKUP(D671,Master[Product_Code],Master[Color])</f>
        <v>Mustard</v>
      </c>
      <c r="L671" s="3">
        <f>_xlfn.XLOOKUP(D671,Master[Product_Code],Master[Selling_Price])</f>
        <v>250</v>
      </c>
    </row>
    <row r="672" spans="2:12">
      <c r="B672" s="2" t="s">
        <v>2040</v>
      </c>
      <c r="C672" s="7">
        <v>45952</v>
      </c>
      <c r="D672" s="2" t="s">
        <v>174</v>
      </c>
      <c r="E672" s="4">
        <v>1</v>
      </c>
      <c r="F672" s="8" t="str">
        <f>_xlfn.XLOOKUP(D672,Master[Product_Code],Master[Category])</f>
        <v>Shirt</v>
      </c>
      <c r="G672" s="8" t="str">
        <f>_xlfn.XLOOKUP(D672,Master[Product_Code],Master[Brand])</f>
        <v>G Studio</v>
      </c>
      <c r="H672" s="8" t="str">
        <f>_xlfn.XLOOKUP(D672,Master[Product_Code],Master[Style])</f>
        <v>Casual</v>
      </c>
      <c r="I672" s="8" t="str">
        <f>_xlfn.XLOOKUP(D672,Master[Product_Code],Master[Fabric])</f>
        <v>Cotton</v>
      </c>
      <c r="J672" s="8" t="str">
        <f>_xlfn.XLOOKUP(D672,Master[Product_Code],Master[Size])</f>
        <v>XXL</v>
      </c>
      <c r="K672" s="8" t="str">
        <f>_xlfn.XLOOKUP(D672,Master[Product_Code],Master[Color])</f>
        <v>Charcoal</v>
      </c>
      <c r="L672" s="3">
        <f>_xlfn.XLOOKUP(D672,Master[Product_Code],Master[Selling_Price])</f>
        <v>720</v>
      </c>
    </row>
    <row r="673" spans="2:12">
      <c r="B673" s="2" t="s">
        <v>2040</v>
      </c>
      <c r="C673" s="7">
        <v>45952</v>
      </c>
      <c r="D673" s="2" t="s">
        <v>201</v>
      </c>
      <c r="E673" s="4">
        <v>1</v>
      </c>
      <c r="F673" s="8" t="str">
        <f>_xlfn.XLOOKUP(D673,Master[Product_Code],Master[Category])</f>
        <v>Shirt</v>
      </c>
      <c r="G673" s="8" t="str">
        <f>_xlfn.XLOOKUP(D673,Master[Product_Code],Master[Brand])</f>
        <v>USD</v>
      </c>
      <c r="H673" s="8" t="str">
        <f>_xlfn.XLOOKUP(D673,Master[Product_Code],Master[Style])</f>
        <v>Partywear</v>
      </c>
      <c r="I673" s="8" t="str">
        <f>_xlfn.XLOOKUP(D673,Master[Product_Code],Master[Fabric])</f>
        <v>Cotton Blend</v>
      </c>
      <c r="J673" s="8" t="str">
        <f>_xlfn.XLOOKUP(D673,Master[Product_Code],Master[Size])</f>
        <v>S</v>
      </c>
      <c r="K673" s="8" t="str">
        <f>_xlfn.XLOOKUP(D673,Master[Product_Code],Master[Color])</f>
        <v>White</v>
      </c>
      <c r="L673" s="3">
        <f>_xlfn.XLOOKUP(D673,Master[Product_Code],Master[Selling_Price])</f>
        <v>790</v>
      </c>
    </row>
    <row r="674" spans="2:12">
      <c r="B674" s="2" t="s">
        <v>2040</v>
      </c>
      <c r="C674" s="7">
        <v>45952</v>
      </c>
      <c r="D674" s="2" t="s">
        <v>550</v>
      </c>
      <c r="E674" s="4">
        <v>1</v>
      </c>
      <c r="F674" s="8" t="str">
        <f>_xlfn.XLOOKUP(D674,Master[Product_Code],Master[Category])</f>
        <v>T-Shirt</v>
      </c>
      <c r="G674" s="8" t="str">
        <f>_xlfn.XLOOKUP(D674,Master[Product_Code],Master[Brand])</f>
        <v>Zara</v>
      </c>
      <c r="H674" s="8" t="str">
        <f>_xlfn.XLOOKUP(D674,Master[Product_Code],Master[Style])</f>
        <v>Sleeveless</v>
      </c>
      <c r="I674" s="8" t="str">
        <f>_xlfn.XLOOKUP(D674,Master[Product_Code],Master[Fabric])</f>
        <v>Poly Cotton</v>
      </c>
      <c r="J674" s="8" t="str">
        <f>_xlfn.XLOOKUP(D674,Master[Product_Code],Master[Size])</f>
        <v>L</v>
      </c>
      <c r="K674" s="8" t="str">
        <f>_xlfn.XLOOKUP(D674,Master[Product_Code],Master[Color])</f>
        <v>Sky Blue</v>
      </c>
      <c r="L674" s="3">
        <f>_xlfn.XLOOKUP(D674,Master[Product_Code],Master[Selling_Price])</f>
        <v>450</v>
      </c>
    </row>
    <row r="675" spans="2:12">
      <c r="B675" s="2" t="s">
        <v>2041</v>
      </c>
      <c r="C675" s="7">
        <v>45952</v>
      </c>
      <c r="D675" s="2" t="s">
        <v>625</v>
      </c>
      <c r="E675" s="4">
        <v>1</v>
      </c>
      <c r="F675" s="8" t="str">
        <f>_xlfn.XLOOKUP(D675,Master[Product_Code],Master[Category])</f>
        <v>T-Shirt</v>
      </c>
      <c r="G675" s="8" t="str">
        <f>_xlfn.XLOOKUP(D675,Master[Product_Code],Master[Brand])</f>
        <v>Thailand</v>
      </c>
      <c r="H675" s="8" t="str">
        <f>_xlfn.XLOOKUP(D675,Master[Product_Code],Master[Style])</f>
        <v>Sleeveless</v>
      </c>
      <c r="I675" s="8" t="str">
        <f>_xlfn.XLOOKUP(D675,Master[Product_Code],Master[Fabric])</f>
        <v>Poly Cotton</v>
      </c>
      <c r="J675" s="8" t="str">
        <f>_xlfn.XLOOKUP(D675,Master[Product_Code],Master[Size])</f>
        <v>S</v>
      </c>
      <c r="K675" s="8" t="str">
        <f>_xlfn.XLOOKUP(D675,Master[Product_Code],Master[Color])</f>
        <v>Grey</v>
      </c>
      <c r="L675" s="3">
        <f>_xlfn.XLOOKUP(D675,Master[Product_Code],Master[Selling_Price])</f>
        <v>440</v>
      </c>
    </row>
    <row r="676" spans="2:12">
      <c r="B676" s="2" t="s">
        <v>2041</v>
      </c>
      <c r="C676" s="7">
        <v>45952</v>
      </c>
      <c r="D676" s="2" t="s">
        <v>426</v>
      </c>
      <c r="E676" s="4">
        <v>1</v>
      </c>
      <c r="F676" s="8" t="str">
        <f>_xlfn.XLOOKUP(D676,Master[Product_Code],Master[Category])</f>
        <v>T-Shirt</v>
      </c>
      <c r="G676" s="8" t="str">
        <f>_xlfn.XLOOKUP(D676,Master[Product_Code],Master[Brand])</f>
        <v>Campus</v>
      </c>
      <c r="H676" s="8" t="str">
        <f>_xlfn.XLOOKUP(D676,Master[Product_Code],Master[Style])</f>
        <v>3/4 Sleeve</v>
      </c>
      <c r="I676" s="8" t="str">
        <f>_xlfn.XLOOKUP(D676,Master[Product_Code],Master[Fabric])</f>
        <v>Cotton Blend</v>
      </c>
      <c r="J676" s="8" t="str">
        <f>_xlfn.XLOOKUP(D676,Master[Product_Code],Master[Size])</f>
        <v>XL</v>
      </c>
      <c r="K676" s="8" t="str">
        <f>_xlfn.XLOOKUP(D676,Master[Product_Code],Master[Color])</f>
        <v>Peach</v>
      </c>
      <c r="L676" s="3">
        <f>_xlfn.XLOOKUP(D676,Master[Product_Code],Master[Selling_Price])</f>
        <v>600</v>
      </c>
    </row>
    <row r="677" spans="2:12">
      <c r="B677" s="2" t="s">
        <v>2041</v>
      </c>
      <c r="C677" s="7">
        <v>45952</v>
      </c>
      <c r="D677" s="2" t="s">
        <v>892</v>
      </c>
      <c r="E677" s="4">
        <v>1</v>
      </c>
      <c r="F677" s="8" t="str">
        <f>_xlfn.XLOOKUP(D677,Master[Product_Code],Master[Category])</f>
        <v>Jeans</v>
      </c>
      <c r="G677" s="8" t="str">
        <f>_xlfn.XLOOKUP(D677,Master[Product_Code],Master[Brand])</f>
        <v>Denim Pro</v>
      </c>
      <c r="H677" s="8" t="str">
        <f>_xlfn.XLOOKUP(D677,Master[Product_Code],Master[Style])</f>
        <v>Mom Fit</v>
      </c>
      <c r="I677" s="8" t="str">
        <f>_xlfn.XLOOKUP(D677,Master[Product_Code],Master[Fabric])</f>
        <v>Denim</v>
      </c>
      <c r="J677" s="8">
        <f>_xlfn.XLOOKUP(D677,Master[Product_Code],Master[Size])</f>
        <v>32</v>
      </c>
      <c r="K677" s="8" t="str">
        <f>_xlfn.XLOOKUP(D677,Master[Product_Code],Master[Color])</f>
        <v>Olive</v>
      </c>
      <c r="L677" s="3">
        <f>_xlfn.XLOOKUP(D677,Master[Product_Code],Master[Selling_Price])</f>
        <v>960</v>
      </c>
    </row>
    <row r="678" spans="2:12">
      <c r="B678" s="2" t="s">
        <v>2041</v>
      </c>
      <c r="C678" s="7">
        <v>45952</v>
      </c>
      <c r="D678" s="2" t="s">
        <v>726</v>
      </c>
      <c r="E678" s="4">
        <v>1</v>
      </c>
      <c r="F678" s="8" t="str">
        <f>_xlfn.XLOOKUP(D678,Master[Product_Code],Master[Category])</f>
        <v>T-Shirt</v>
      </c>
      <c r="G678" s="8" t="str">
        <f>_xlfn.XLOOKUP(D678,Master[Product_Code],Master[Brand])</f>
        <v>Roadster</v>
      </c>
      <c r="H678" s="8" t="str">
        <f>_xlfn.XLOOKUP(D678,Master[Product_Code],Master[Style])</f>
        <v>Half Sleeve</v>
      </c>
      <c r="I678" s="8" t="str">
        <f>_xlfn.XLOOKUP(D678,Master[Product_Code],Master[Fabric])</f>
        <v>Poly Cotton</v>
      </c>
      <c r="J678" s="8" t="str">
        <f>_xlfn.XLOOKUP(D678,Master[Product_Code],Master[Size])</f>
        <v>M</v>
      </c>
      <c r="K678" s="8" t="str">
        <f>_xlfn.XLOOKUP(D678,Master[Product_Code],Master[Color])</f>
        <v>Bottle Green</v>
      </c>
      <c r="L678" s="3">
        <f>_xlfn.XLOOKUP(D678,Master[Product_Code],Master[Selling_Price])</f>
        <v>340</v>
      </c>
    </row>
    <row r="679" spans="2:12">
      <c r="B679" s="2" t="s">
        <v>2042</v>
      </c>
      <c r="C679" s="7">
        <v>45952</v>
      </c>
      <c r="D679" s="2" t="s">
        <v>1034</v>
      </c>
      <c r="E679" s="4">
        <v>1</v>
      </c>
      <c r="F679" s="8" t="str">
        <f>_xlfn.XLOOKUP(D679,Master[Product_Code],Master[Category])</f>
        <v>Jeans</v>
      </c>
      <c r="G679" s="8" t="str">
        <f>_xlfn.XLOOKUP(D679,Master[Product_Code],Master[Brand])</f>
        <v>Pepe</v>
      </c>
      <c r="H679" s="8" t="str">
        <f>_xlfn.XLOOKUP(D679,Master[Product_Code],Master[Style])</f>
        <v>Jogger</v>
      </c>
      <c r="I679" s="8" t="str">
        <f>_xlfn.XLOOKUP(D679,Master[Product_Code],Master[Fabric])</f>
        <v>Denim</v>
      </c>
      <c r="J679" s="8">
        <f>_xlfn.XLOOKUP(D679,Master[Product_Code],Master[Size])</f>
        <v>38</v>
      </c>
      <c r="K679" s="8" t="str">
        <f>_xlfn.XLOOKUP(D679,Master[Product_Code],Master[Color])</f>
        <v>Sky Blue</v>
      </c>
      <c r="L679" s="3">
        <f>_xlfn.XLOOKUP(D679,Master[Product_Code],Master[Selling_Price])</f>
        <v>780</v>
      </c>
    </row>
    <row r="680" spans="2:12">
      <c r="B680" s="2" t="s">
        <v>2042</v>
      </c>
      <c r="C680" s="7">
        <v>45952</v>
      </c>
      <c r="D680" s="2" t="s">
        <v>730</v>
      </c>
      <c r="E680" s="4">
        <v>1</v>
      </c>
      <c r="F680" s="8" t="str">
        <f>_xlfn.XLOOKUP(D680,Master[Product_Code],Master[Category])</f>
        <v>T-Shirt</v>
      </c>
      <c r="G680" s="8" t="str">
        <f>_xlfn.XLOOKUP(D680,Master[Product_Code],Master[Brand])</f>
        <v>Campus</v>
      </c>
      <c r="H680" s="8" t="str">
        <f>_xlfn.XLOOKUP(D680,Master[Product_Code],Master[Style])</f>
        <v>3/4 Sleeve</v>
      </c>
      <c r="I680" s="8" t="str">
        <f>_xlfn.XLOOKUP(D680,Master[Product_Code],Master[Fabric])</f>
        <v>Cotton Blend</v>
      </c>
      <c r="J680" s="8" t="str">
        <f>_xlfn.XLOOKUP(D680,Master[Product_Code],Master[Size])</f>
        <v>S</v>
      </c>
      <c r="K680" s="8" t="str">
        <f>_xlfn.XLOOKUP(D680,Master[Product_Code],Master[Color])</f>
        <v>Rust</v>
      </c>
      <c r="L680" s="3">
        <f>_xlfn.XLOOKUP(D680,Master[Product_Code],Master[Selling_Price])</f>
        <v>240</v>
      </c>
    </row>
    <row r="681" spans="2:12">
      <c r="B681" s="2" t="s">
        <v>2043</v>
      </c>
      <c r="C681" s="7">
        <v>45952</v>
      </c>
      <c r="D681" s="2" t="s">
        <v>504</v>
      </c>
      <c r="E681" s="4">
        <v>1</v>
      </c>
      <c r="F681" s="8" t="str">
        <f>_xlfn.XLOOKUP(D681,Master[Product_Code],Master[Category])</f>
        <v>T-Shirt</v>
      </c>
      <c r="G681" s="8" t="str">
        <f>_xlfn.XLOOKUP(D681,Master[Product_Code],Master[Brand])</f>
        <v>Campus</v>
      </c>
      <c r="H681" s="8" t="str">
        <f>_xlfn.XLOOKUP(D681,Master[Product_Code],Master[Style])</f>
        <v>Half Sleeve</v>
      </c>
      <c r="I681" s="8" t="str">
        <f>_xlfn.XLOOKUP(D681,Master[Product_Code],Master[Fabric])</f>
        <v>Cotton Blend</v>
      </c>
      <c r="J681" s="8" t="str">
        <f>_xlfn.XLOOKUP(D681,Master[Product_Code],Master[Size])</f>
        <v>XXL</v>
      </c>
      <c r="K681" s="8" t="str">
        <f>_xlfn.XLOOKUP(D681,Master[Product_Code],Master[Color])</f>
        <v>Beige</v>
      </c>
      <c r="L681" s="3">
        <f>_xlfn.XLOOKUP(D681,Master[Product_Code],Master[Selling_Price])</f>
        <v>260</v>
      </c>
    </row>
    <row r="682" spans="2:12">
      <c r="B682" s="2" t="s">
        <v>2043</v>
      </c>
      <c r="C682" s="7">
        <v>45952</v>
      </c>
      <c r="D682" s="2" t="s">
        <v>1233</v>
      </c>
      <c r="E682" s="4">
        <v>1</v>
      </c>
      <c r="F682" s="8" t="str">
        <f>_xlfn.XLOOKUP(D682,Master[Product_Code],Master[Category])</f>
        <v>Pants</v>
      </c>
      <c r="G682" s="8" t="str">
        <f>_xlfn.XLOOKUP(D682,Master[Product_Code],Master[Brand])</f>
        <v>Van Heusen</v>
      </c>
      <c r="H682" s="8" t="str">
        <f>_xlfn.XLOOKUP(D682,Master[Product_Code],Master[Style])</f>
        <v>Polofit</v>
      </c>
      <c r="I682" s="8" t="str">
        <f>_xlfn.XLOOKUP(D682,Master[Product_Code],Master[Fabric])</f>
        <v>Lycra</v>
      </c>
      <c r="J682" s="8">
        <f>_xlfn.XLOOKUP(D682,Master[Product_Code],Master[Size])</f>
        <v>34</v>
      </c>
      <c r="K682" s="8" t="str">
        <f>_xlfn.XLOOKUP(D682,Master[Product_Code],Master[Color])</f>
        <v>Bottle Green</v>
      </c>
      <c r="L682" s="3">
        <f>_xlfn.XLOOKUP(D682,Master[Product_Code],Master[Selling_Price])</f>
        <v>850</v>
      </c>
    </row>
    <row r="683" spans="2:12">
      <c r="B683" s="2" t="s">
        <v>2043</v>
      </c>
      <c r="C683" s="7">
        <v>45952</v>
      </c>
      <c r="D683" s="2" t="s">
        <v>26</v>
      </c>
      <c r="E683" s="4">
        <v>1</v>
      </c>
      <c r="F683" s="8" t="str">
        <f>_xlfn.XLOOKUP(D683,Master[Product_Code],Master[Category])</f>
        <v>Shirt</v>
      </c>
      <c r="G683" s="8" t="str">
        <f>_xlfn.XLOOKUP(D683,Master[Product_Code],Master[Brand])</f>
        <v>G Studio</v>
      </c>
      <c r="H683" s="8" t="str">
        <f>_xlfn.XLOOKUP(D683,Master[Product_Code],Master[Style])</f>
        <v>Partywear</v>
      </c>
      <c r="I683" s="8" t="str">
        <f>_xlfn.XLOOKUP(D683,Master[Product_Code],Master[Fabric])</f>
        <v>Polyester</v>
      </c>
      <c r="J683" s="8" t="str">
        <f>_xlfn.XLOOKUP(D683,Master[Product_Code],Master[Size])</f>
        <v>M</v>
      </c>
      <c r="K683" s="8" t="str">
        <f>_xlfn.XLOOKUP(D683,Master[Product_Code],Master[Color])</f>
        <v>Cream</v>
      </c>
      <c r="L683" s="3">
        <f>_xlfn.XLOOKUP(D683,Master[Product_Code],Master[Selling_Price])</f>
        <v>830</v>
      </c>
    </row>
    <row r="684" spans="2:12">
      <c r="B684" s="2" t="s">
        <v>2043</v>
      </c>
      <c r="C684" s="7">
        <v>45952</v>
      </c>
      <c r="D684" s="2" t="s">
        <v>1236</v>
      </c>
      <c r="E684" s="4">
        <v>1</v>
      </c>
      <c r="F684" s="8" t="str">
        <f>_xlfn.XLOOKUP(D684,Master[Product_Code],Master[Category])</f>
        <v>Pants</v>
      </c>
      <c r="G684" s="8" t="str">
        <f>_xlfn.XLOOKUP(D684,Master[Product_Code],Master[Brand])</f>
        <v>Park Avenue</v>
      </c>
      <c r="H684" s="8" t="str">
        <f>_xlfn.XLOOKUP(D684,Master[Product_Code],Master[Style])</f>
        <v>Boot Cut</v>
      </c>
      <c r="I684" s="8" t="str">
        <f>_xlfn.XLOOKUP(D684,Master[Product_Code],Master[Fabric])</f>
        <v>Poly Viscose</v>
      </c>
      <c r="J684" s="8">
        <f>_xlfn.XLOOKUP(D684,Master[Product_Code],Master[Size])</f>
        <v>28</v>
      </c>
      <c r="K684" s="8" t="str">
        <f>_xlfn.XLOOKUP(D684,Master[Product_Code],Master[Color])</f>
        <v>Grey</v>
      </c>
      <c r="L684" s="3">
        <f>_xlfn.XLOOKUP(D684,Master[Product_Code],Master[Selling_Price])</f>
        <v>870</v>
      </c>
    </row>
    <row r="685" spans="2:12">
      <c r="B685" s="2" t="s">
        <v>2044</v>
      </c>
      <c r="C685" s="7">
        <v>45952</v>
      </c>
      <c r="D685" s="2" t="s">
        <v>1141</v>
      </c>
      <c r="E685" s="4">
        <v>1</v>
      </c>
      <c r="F685" s="8" t="str">
        <f>_xlfn.XLOOKUP(D685,Master[Product_Code],Master[Category])</f>
        <v>Jeans</v>
      </c>
      <c r="G685" s="8" t="str">
        <f>_xlfn.XLOOKUP(D685,Master[Product_Code],Master[Brand])</f>
        <v>Pepe</v>
      </c>
      <c r="H685" s="8" t="str">
        <f>_xlfn.XLOOKUP(D685,Master[Product_Code],Master[Style])</f>
        <v>Jogger</v>
      </c>
      <c r="I685" s="8" t="str">
        <f>_xlfn.XLOOKUP(D685,Master[Product_Code],Master[Fabric])</f>
        <v>Denim</v>
      </c>
      <c r="J685" s="8">
        <f>_xlfn.XLOOKUP(D685,Master[Product_Code],Master[Size])</f>
        <v>36</v>
      </c>
      <c r="K685" s="8" t="str">
        <f>_xlfn.XLOOKUP(D685,Master[Product_Code],Master[Color])</f>
        <v>Peach</v>
      </c>
      <c r="L685" s="3">
        <f>_xlfn.XLOOKUP(D685,Master[Product_Code],Master[Selling_Price])</f>
        <v>820</v>
      </c>
    </row>
    <row r="686" spans="2:12">
      <c r="B686" s="2" t="s">
        <v>2044</v>
      </c>
      <c r="C686" s="7">
        <v>45952</v>
      </c>
      <c r="D686" s="2" t="s">
        <v>331</v>
      </c>
      <c r="E686" s="4">
        <v>1</v>
      </c>
      <c r="F686" s="8" t="str">
        <f>_xlfn.XLOOKUP(D686,Master[Product_Code],Master[Category])</f>
        <v>Shirt</v>
      </c>
      <c r="G686" s="8" t="str">
        <f>_xlfn.XLOOKUP(D686,Master[Product_Code],Master[Brand])</f>
        <v>Thailand</v>
      </c>
      <c r="H686" s="8" t="str">
        <f>_xlfn.XLOOKUP(D686,Master[Product_Code],Master[Style])</f>
        <v>Partywear</v>
      </c>
      <c r="I686" s="8" t="str">
        <f>_xlfn.XLOOKUP(D686,Master[Product_Code],Master[Fabric])</f>
        <v>Lycra</v>
      </c>
      <c r="J686" s="8" t="str">
        <f>_xlfn.XLOOKUP(D686,Master[Product_Code],Master[Size])</f>
        <v>XXL</v>
      </c>
      <c r="K686" s="8" t="str">
        <f>_xlfn.XLOOKUP(D686,Master[Product_Code],Master[Color])</f>
        <v>Bottle Green</v>
      </c>
      <c r="L686" s="3">
        <f>_xlfn.XLOOKUP(D686,Master[Product_Code],Master[Selling_Price])</f>
        <v>860</v>
      </c>
    </row>
    <row r="687" spans="2:12">
      <c r="B687" s="2" t="s">
        <v>2044</v>
      </c>
      <c r="C687" s="7">
        <v>45952</v>
      </c>
      <c r="D687" s="2" t="s">
        <v>1558</v>
      </c>
      <c r="E687" s="4">
        <v>1</v>
      </c>
      <c r="F687" s="8" t="str">
        <f>_xlfn.XLOOKUP(D687,Master[Product_Code],Master[Category])</f>
        <v>Innerwear</v>
      </c>
      <c r="G687" s="8" t="str">
        <f>_xlfn.XLOOKUP(D687,Master[Product_Code],Master[Brand])</f>
        <v>Jockey</v>
      </c>
      <c r="H687" s="8" t="str">
        <f>_xlfn.XLOOKUP(D687,Master[Product_Code],Master[Style])</f>
        <v>Boxer</v>
      </c>
      <c r="I687" s="8" t="str">
        <f>_xlfn.XLOOKUP(D687,Master[Product_Code],Master[Fabric])</f>
        <v>Cotton Blend</v>
      </c>
      <c r="J687" s="8" t="str">
        <f>_xlfn.XLOOKUP(D687,Master[Product_Code],Master[Size])</f>
        <v>105-110</v>
      </c>
      <c r="K687" s="8" t="str">
        <f>_xlfn.XLOOKUP(D687,Master[Product_Code],Master[Color])</f>
        <v>Maroon</v>
      </c>
      <c r="L687" s="3">
        <f>_xlfn.XLOOKUP(D687,Master[Product_Code],Master[Selling_Price])</f>
        <v>170</v>
      </c>
    </row>
    <row r="688" spans="2:12">
      <c r="B688" s="2" t="s">
        <v>2044</v>
      </c>
      <c r="C688" s="7">
        <v>45952</v>
      </c>
      <c r="D688" s="2" t="s">
        <v>455</v>
      </c>
      <c r="E688" s="4">
        <v>1</v>
      </c>
      <c r="F688" s="8" t="str">
        <f>_xlfn.XLOOKUP(D688,Master[Product_Code],Master[Category])</f>
        <v>T-Shirt</v>
      </c>
      <c r="G688" s="8" t="str">
        <f>_xlfn.XLOOKUP(D688,Master[Product_Code],Master[Brand])</f>
        <v>Thailand</v>
      </c>
      <c r="H688" s="8" t="str">
        <f>_xlfn.XLOOKUP(D688,Master[Product_Code],Master[Style])</f>
        <v>Sleeveless</v>
      </c>
      <c r="I688" s="8" t="str">
        <f>_xlfn.XLOOKUP(D688,Master[Product_Code],Master[Fabric])</f>
        <v>Cotton Blend</v>
      </c>
      <c r="J688" s="8" t="str">
        <f>_xlfn.XLOOKUP(D688,Master[Product_Code],Master[Size])</f>
        <v>XL</v>
      </c>
      <c r="K688" s="8" t="str">
        <f>_xlfn.XLOOKUP(D688,Master[Product_Code],Master[Color])</f>
        <v>Navy Blue</v>
      </c>
      <c r="L688" s="3">
        <f>_xlfn.XLOOKUP(D688,Master[Product_Code],Master[Selling_Price])</f>
        <v>520</v>
      </c>
    </row>
    <row r="689" spans="2:12">
      <c r="B689" s="2" t="s">
        <v>2045</v>
      </c>
      <c r="C689" s="7">
        <v>45952</v>
      </c>
      <c r="D689" s="2" t="s">
        <v>923</v>
      </c>
      <c r="E689" s="4">
        <v>1</v>
      </c>
      <c r="F689" s="8" t="str">
        <f>_xlfn.XLOOKUP(D689,Master[Product_Code],Master[Category])</f>
        <v>Jeans</v>
      </c>
      <c r="G689" s="8" t="str">
        <f>_xlfn.XLOOKUP(D689,Master[Product_Code],Master[Brand])</f>
        <v>Wrangler</v>
      </c>
      <c r="H689" s="8" t="str">
        <f>_xlfn.XLOOKUP(D689,Master[Product_Code],Master[Style])</f>
        <v>Jogger</v>
      </c>
      <c r="I689" s="8" t="str">
        <f>_xlfn.XLOOKUP(D689,Master[Product_Code],Master[Fabric])</f>
        <v>Denim</v>
      </c>
      <c r="J689" s="8">
        <f>_xlfn.XLOOKUP(D689,Master[Product_Code],Master[Size])</f>
        <v>36</v>
      </c>
      <c r="K689" s="8" t="str">
        <f>_xlfn.XLOOKUP(D689,Master[Product_Code],Master[Color])</f>
        <v>Olive</v>
      </c>
      <c r="L689" s="3">
        <f>_xlfn.XLOOKUP(D689,Master[Product_Code],Master[Selling_Price])</f>
        <v>880</v>
      </c>
    </row>
    <row r="690" spans="2:12">
      <c r="B690" s="2" t="s">
        <v>2046</v>
      </c>
      <c r="C690" s="7">
        <v>45952</v>
      </c>
      <c r="D690" s="2" t="s">
        <v>1702</v>
      </c>
      <c r="E690" s="4">
        <v>1</v>
      </c>
      <c r="F690" s="8" t="str">
        <f>_xlfn.XLOOKUP(D690,Master[Product_Code],Master[Category])</f>
        <v>Innerwear</v>
      </c>
      <c r="G690" s="8" t="str">
        <f>_xlfn.XLOOKUP(D690,Master[Product_Code],Master[Brand])</f>
        <v>V Star</v>
      </c>
      <c r="H690" s="8" t="str">
        <f>_xlfn.XLOOKUP(D690,Master[Product_Code],Master[Style])</f>
        <v>V-Cut</v>
      </c>
      <c r="I690" s="8" t="str">
        <f>_xlfn.XLOOKUP(D690,Master[Product_Code],Master[Fabric])</f>
        <v>Cotton</v>
      </c>
      <c r="J690" s="8" t="str">
        <f>_xlfn.XLOOKUP(D690,Master[Product_Code],Master[Size])</f>
        <v>100-105</v>
      </c>
      <c r="K690" s="8" t="str">
        <f>_xlfn.XLOOKUP(D690,Master[Product_Code],Master[Color])</f>
        <v>Peach</v>
      </c>
      <c r="L690" s="3">
        <f>_xlfn.XLOOKUP(D690,Master[Product_Code],Master[Selling_Price])</f>
        <v>130</v>
      </c>
    </row>
    <row r="691" spans="2:12">
      <c r="B691" s="2" t="s">
        <v>2047</v>
      </c>
      <c r="C691" s="7">
        <v>45952</v>
      </c>
      <c r="D691" s="2" t="s">
        <v>1151</v>
      </c>
      <c r="E691" s="4">
        <v>1</v>
      </c>
      <c r="F691" s="8" t="str">
        <f>_xlfn.XLOOKUP(D691,Master[Product_Code],Master[Category])</f>
        <v>Pants</v>
      </c>
      <c r="G691" s="8" t="str">
        <f>_xlfn.XLOOKUP(D691,Master[Product_Code],Master[Brand])</f>
        <v>Louis Philippe</v>
      </c>
      <c r="H691" s="8" t="str">
        <f>_xlfn.XLOOKUP(D691,Master[Product_Code],Master[Style])</f>
        <v>Kurka</v>
      </c>
      <c r="I691" s="8" t="str">
        <f>_xlfn.XLOOKUP(D691,Master[Product_Code],Master[Fabric])</f>
        <v>Lycra</v>
      </c>
      <c r="J691" s="8">
        <f>_xlfn.XLOOKUP(D691,Master[Product_Code],Master[Size])</f>
        <v>38</v>
      </c>
      <c r="K691" s="8" t="str">
        <f>_xlfn.XLOOKUP(D691,Master[Product_Code],Master[Color])</f>
        <v>Royal Blue</v>
      </c>
      <c r="L691" s="3">
        <f>_xlfn.XLOOKUP(D691,Master[Product_Code],Master[Selling_Price])</f>
        <v>880</v>
      </c>
    </row>
    <row r="692" spans="2:12">
      <c r="B692" s="2" t="s">
        <v>2047</v>
      </c>
      <c r="C692" s="7">
        <v>45952</v>
      </c>
      <c r="D692" s="2" t="s">
        <v>1216</v>
      </c>
      <c r="E692" s="4">
        <v>1</v>
      </c>
      <c r="F692" s="8" t="str">
        <f>_xlfn.XLOOKUP(D692,Master[Product_Code],Master[Category])</f>
        <v>Pants</v>
      </c>
      <c r="G692" s="8" t="str">
        <f>_xlfn.XLOOKUP(D692,Master[Product_Code],Master[Brand])</f>
        <v>Van Heusen</v>
      </c>
      <c r="H692" s="8" t="str">
        <f>_xlfn.XLOOKUP(D692,Master[Product_Code],Master[Style])</f>
        <v>Korean</v>
      </c>
      <c r="I692" s="8" t="str">
        <f>_xlfn.XLOOKUP(D692,Master[Product_Code],Master[Fabric])</f>
        <v>Lycra</v>
      </c>
      <c r="J692" s="8">
        <f>_xlfn.XLOOKUP(D692,Master[Product_Code],Master[Size])</f>
        <v>28</v>
      </c>
      <c r="K692" s="8" t="str">
        <f>_xlfn.XLOOKUP(D692,Master[Product_Code],Master[Color])</f>
        <v>Mustard</v>
      </c>
      <c r="L692" s="3">
        <f>_xlfn.XLOOKUP(D692,Master[Product_Code],Master[Selling_Price])</f>
        <v>740</v>
      </c>
    </row>
    <row r="693" spans="2:12">
      <c r="B693" s="2" t="s">
        <v>2047</v>
      </c>
      <c r="C693" s="7">
        <v>45952</v>
      </c>
      <c r="D693" s="2" t="s">
        <v>938</v>
      </c>
      <c r="E693" s="4">
        <v>1</v>
      </c>
      <c r="F693" s="8" t="str">
        <f>_xlfn.XLOOKUP(D693,Master[Product_Code],Master[Category])</f>
        <v>Jeans</v>
      </c>
      <c r="G693" s="8" t="str">
        <f>_xlfn.XLOOKUP(D693,Master[Product_Code],Master[Brand])</f>
        <v>Spykar</v>
      </c>
      <c r="H693" s="8" t="str">
        <f>_xlfn.XLOOKUP(D693,Master[Product_Code],Master[Style])</f>
        <v>Baggy</v>
      </c>
      <c r="I693" s="8" t="str">
        <f>_xlfn.XLOOKUP(D693,Master[Product_Code],Master[Fabric])</f>
        <v>Denim</v>
      </c>
      <c r="J693" s="8">
        <f>_xlfn.XLOOKUP(D693,Master[Product_Code],Master[Size])</f>
        <v>32</v>
      </c>
      <c r="K693" s="8" t="str">
        <f>_xlfn.XLOOKUP(D693,Master[Product_Code],Master[Color])</f>
        <v>Navy Blue</v>
      </c>
      <c r="L693" s="3">
        <f>_xlfn.XLOOKUP(D693,Master[Product_Code],Master[Selling_Price])</f>
        <v>850</v>
      </c>
    </row>
    <row r="694" spans="2:12">
      <c r="B694" s="2" t="s">
        <v>2048</v>
      </c>
      <c r="C694" s="7">
        <v>45952</v>
      </c>
      <c r="D694" s="2" t="s">
        <v>912</v>
      </c>
      <c r="E694" s="4">
        <v>1</v>
      </c>
      <c r="F694" s="8" t="str">
        <f>_xlfn.XLOOKUP(D694,Master[Product_Code],Master[Category])</f>
        <v>Jeans</v>
      </c>
      <c r="G694" s="8" t="str">
        <f>_xlfn.XLOOKUP(D694,Master[Product_Code],Master[Brand])</f>
        <v>Levis</v>
      </c>
      <c r="H694" s="8" t="str">
        <f>_xlfn.XLOOKUP(D694,Master[Product_Code],Master[Style])</f>
        <v>Jogger</v>
      </c>
      <c r="I694" s="8" t="str">
        <f>_xlfn.XLOOKUP(D694,Master[Product_Code],Master[Fabric])</f>
        <v>Denim</v>
      </c>
      <c r="J694" s="8">
        <f>_xlfn.XLOOKUP(D694,Master[Product_Code],Master[Size])</f>
        <v>36</v>
      </c>
      <c r="K694" s="8" t="str">
        <f>_xlfn.XLOOKUP(D694,Master[Product_Code],Master[Color])</f>
        <v>White</v>
      </c>
      <c r="L694" s="3">
        <f>_xlfn.XLOOKUP(D694,Master[Product_Code],Master[Selling_Price])</f>
        <v>830</v>
      </c>
    </row>
    <row r="695" spans="2:12">
      <c r="B695" s="2" t="s">
        <v>2049</v>
      </c>
      <c r="C695" s="7">
        <v>45952</v>
      </c>
      <c r="D695" s="2" t="s">
        <v>223</v>
      </c>
      <c r="E695" s="4">
        <v>1</v>
      </c>
      <c r="F695" s="8" t="str">
        <f>_xlfn.XLOOKUP(D695,Master[Product_Code],Master[Category])</f>
        <v>Shirt</v>
      </c>
      <c r="G695" s="8" t="str">
        <f>_xlfn.XLOOKUP(D695,Master[Product_Code],Master[Brand])</f>
        <v>Luke &amp; Burg</v>
      </c>
      <c r="H695" s="8" t="str">
        <f>_xlfn.XLOOKUP(D695,Master[Product_Code],Master[Style])</f>
        <v>Casual</v>
      </c>
      <c r="I695" s="8" t="str">
        <f>_xlfn.XLOOKUP(D695,Master[Product_Code],Master[Fabric])</f>
        <v>Cotton</v>
      </c>
      <c r="J695" s="8" t="str">
        <f>_xlfn.XLOOKUP(D695,Master[Product_Code],Master[Size])</f>
        <v>L</v>
      </c>
      <c r="K695" s="8" t="str">
        <f>_xlfn.XLOOKUP(D695,Master[Product_Code],Master[Color])</f>
        <v>Grey</v>
      </c>
      <c r="L695" s="3">
        <f>_xlfn.XLOOKUP(D695,Master[Product_Code],Master[Selling_Price])</f>
        <v>850</v>
      </c>
    </row>
    <row r="696" spans="2:12">
      <c r="B696" s="2" t="s">
        <v>2049</v>
      </c>
      <c r="C696" s="7">
        <v>45952</v>
      </c>
      <c r="D696" s="2" t="s">
        <v>862</v>
      </c>
      <c r="E696" s="4">
        <v>1</v>
      </c>
      <c r="F696" s="8" t="str">
        <f>_xlfn.XLOOKUP(D696,Master[Product_Code],Master[Category])</f>
        <v>Jeans</v>
      </c>
      <c r="G696" s="8" t="str">
        <f>_xlfn.XLOOKUP(D696,Master[Product_Code],Master[Brand])</f>
        <v>Denim Pro</v>
      </c>
      <c r="H696" s="8" t="str">
        <f>_xlfn.XLOOKUP(D696,Master[Product_Code],Master[Style])</f>
        <v>Jogger</v>
      </c>
      <c r="I696" s="8" t="str">
        <f>_xlfn.XLOOKUP(D696,Master[Product_Code],Master[Fabric])</f>
        <v>Denim</v>
      </c>
      <c r="J696" s="8">
        <f>_xlfn.XLOOKUP(D696,Master[Product_Code],Master[Size])</f>
        <v>40</v>
      </c>
      <c r="K696" s="8" t="str">
        <f>_xlfn.XLOOKUP(D696,Master[Product_Code],Master[Color])</f>
        <v>Charcoal</v>
      </c>
      <c r="L696" s="3">
        <f>_xlfn.XLOOKUP(D696,Master[Product_Code],Master[Selling_Price])</f>
        <v>1030</v>
      </c>
    </row>
    <row r="697" spans="2:12">
      <c r="B697" s="2" t="s">
        <v>2049</v>
      </c>
      <c r="C697" s="7">
        <v>45952</v>
      </c>
      <c r="D697" s="2" t="s">
        <v>524</v>
      </c>
      <c r="E697" s="4">
        <v>1</v>
      </c>
      <c r="F697" s="8" t="str">
        <f>_xlfn.XLOOKUP(D697,Master[Product_Code],Master[Category])</f>
        <v>T-Shirt</v>
      </c>
      <c r="G697" s="8" t="str">
        <f>_xlfn.XLOOKUP(D697,Master[Product_Code],Master[Brand])</f>
        <v>Thailand</v>
      </c>
      <c r="H697" s="8" t="str">
        <f>_xlfn.XLOOKUP(D697,Master[Product_Code],Master[Style])</f>
        <v>Full Sleeve</v>
      </c>
      <c r="I697" s="8" t="str">
        <f>_xlfn.XLOOKUP(D697,Master[Product_Code],Master[Fabric])</f>
        <v>Poly Cotton</v>
      </c>
      <c r="J697" s="8" t="str">
        <f>_xlfn.XLOOKUP(D697,Master[Product_Code],Master[Size])</f>
        <v>XXL</v>
      </c>
      <c r="K697" s="8" t="str">
        <f>_xlfn.XLOOKUP(D697,Master[Product_Code],Master[Color])</f>
        <v>Wine</v>
      </c>
      <c r="L697" s="3">
        <f>_xlfn.XLOOKUP(D697,Master[Product_Code],Master[Selling_Price])</f>
        <v>680</v>
      </c>
    </row>
    <row r="698" spans="2:12">
      <c r="B698" s="2" t="s">
        <v>2050</v>
      </c>
      <c r="C698" s="7">
        <v>45953</v>
      </c>
      <c r="D698" s="2" t="s">
        <v>1446</v>
      </c>
      <c r="E698" s="4">
        <v>1</v>
      </c>
      <c r="F698" s="8" t="str">
        <f>_xlfn.XLOOKUP(D698,Master[Product_Code],Master[Category])</f>
        <v>Pants</v>
      </c>
      <c r="G698" s="8" t="str">
        <f>_xlfn.XLOOKUP(D698,Master[Product_Code],Master[Brand])</f>
        <v>Peter England</v>
      </c>
      <c r="H698" s="8" t="str">
        <f>_xlfn.XLOOKUP(D698,Master[Product_Code],Master[Style])</f>
        <v>Polofit</v>
      </c>
      <c r="I698" s="8" t="str">
        <f>_xlfn.XLOOKUP(D698,Master[Product_Code],Master[Fabric])</f>
        <v>Lycra</v>
      </c>
      <c r="J698" s="8">
        <f>_xlfn.XLOOKUP(D698,Master[Product_Code],Master[Size])</f>
        <v>30</v>
      </c>
      <c r="K698" s="8" t="str">
        <f>_xlfn.XLOOKUP(D698,Master[Product_Code],Master[Color])</f>
        <v>Teal</v>
      </c>
      <c r="L698" s="3">
        <f>_xlfn.XLOOKUP(D698,Master[Product_Code],Master[Selling_Price])</f>
        <v>800</v>
      </c>
    </row>
    <row r="699" spans="2:12">
      <c r="B699" s="2" t="s">
        <v>2050</v>
      </c>
      <c r="C699" s="7">
        <v>45953</v>
      </c>
      <c r="D699" s="2" t="s">
        <v>1634</v>
      </c>
      <c r="E699" s="4">
        <v>1</v>
      </c>
      <c r="F699" s="8" t="str">
        <f>_xlfn.XLOOKUP(D699,Master[Product_Code],Master[Category])</f>
        <v>Innerwear</v>
      </c>
      <c r="G699" s="8" t="str">
        <f>_xlfn.XLOOKUP(D699,Master[Product_Code],Master[Brand])</f>
        <v>Lux</v>
      </c>
      <c r="H699" s="8" t="str">
        <f>_xlfn.XLOOKUP(D699,Master[Product_Code],Master[Style])</f>
        <v>V-Cut</v>
      </c>
      <c r="I699" s="8" t="str">
        <f>_xlfn.XLOOKUP(D699,Master[Product_Code],Master[Fabric])</f>
        <v>Cotton</v>
      </c>
      <c r="J699" s="8" t="str">
        <f>_xlfn.XLOOKUP(D699,Master[Product_Code],Master[Size])</f>
        <v>85-90</v>
      </c>
      <c r="K699" s="8" t="str">
        <f>_xlfn.XLOOKUP(D699,Master[Product_Code],Master[Color])</f>
        <v>Teal</v>
      </c>
      <c r="L699" s="3">
        <f>_xlfn.XLOOKUP(D699,Master[Product_Code],Master[Selling_Price])</f>
        <v>120</v>
      </c>
    </row>
    <row r="700" spans="2:12">
      <c r="B700" s="2" t="s">
        <v>2050</v>
      </c>
      <c r="C700" s="7">
        <v>45953</v>
      </c>
      <c r="D700" s="2" t="s">
        <v>690</v>
      </c>
      <c r="E700" s="4">
        <v>1</v>
      </c>
      <c r="F700" s="8" t="str">
        <f>_xlfn.XLOOKUP(D700,Master[Product_Code],Master[Category])</f>
        <v>T-Shirt</v>
      </c>
      <c r="G700" s="8" t="str">
        <f>_xlfn.XLOOKUP(D700,Master[Product_Code],Master[Brand])</f>
        <v>Urban Monkey</v>
      </c>
      <c r="H700" s="8" t="str">
        <f>_xlfn.XLOOKUP(D700,Master[Product_Code],Master[Style])</f>
        <v>Full Sleeve</v>
      </c>
      <c r="I700" s="8" t="str">
        <f>_xlfn.XLOOKUP(D700,Master[Product_Code],Master[Fabric])</f>
        <v>Cotton</v>
      </c>
      <c r="J700" s="8" t="str">
        <f>_xlfn.XLOOKUP(D700,Master[Product_Code],Master[Size])</f>
        <v>XL</v>
      </c>
      <c r="K700" s="8" t="str">
        <f>_xlfn.XLOOKUP(D700,Master[Product_Code],Master[Color])</f>
        <v>Cream</v>
      </c>
      <c r="L700" s="3">
        <f>_xlfn.XLOOKUP(D700,Master[Product_Code],Master[Selling_Price])</f>
        <v>500</v>
      </c>
    </row>
    <row r="701" spans="2:12">
      <c r="B701" s="2" t="s">
        <v>2051</v>
      </c>
      <c r="C701" s="7">
        <v>45953</v>
      </c>
      <c r="D701" s="2" t="s">
        <v>1561</v>
      </c>
      <c r="E701" s="4">
        <v>1</v>
      </c>
      <c r="F701" s="8" t="str">
        <f>_xlfn.XLOOKUP(D701,Master[Product_Code],Master[Category])</f>
        <v>Innerwear</v>
      </c>
      <c r="G701" s="8" t="str">
        <f>_xlfn.XLOOKUP(D701,Master[Product_Code],Master[Brand])</f>
        <v>V Star</v>
      </c>
      <c r="H701" s="8" t="str">
        <f>_xlfn.XLOOKUP(D701,Master[Product_Code],Master[Style])</f>
        <v>Boxer</v>
      </c>
      <c r="I701" s="8" t="str">
        <f>_xlfn.XLOOKUP(D701,Master[Product_Code],Master[Fabric])</f>
        <v>Cotton Blend</v>
      </c>
      <c r="J701" s="8" t="str">
        <f>_xlfn.XLOOKUP(D701,Master[Product_Code],Master[Size])</f>
        <v>100-105</v>
      </c>
      <c r="K701" s="8" t="str">
        <f>_xlfn.XLOOKUP(D701,Master[Product_Code],Master[Color])</f>
        <v>Sky Blue</v>
      </c>
      <c r="L701" s="3">
        <f>_xlfn.XLOOKUP(D701,Master[Product_Code],Master[Selling_Price])</f>
        <v>100</v>
      </c>
    </row>
    <row r="702" spans="2:12">
      <c r="B702" s="2" t="s">
        <v>2051</v>
      </c>
      <c r="C702" s="7">
        <v>45953</v>
      </c>
      <c r="D702" s="2" t="s">
        <v>1542</v>
      </c>
      <c r="E702" s="4">
        <v>1</v>
      </c>
      <c r="F702" s="8" t="str">
        <f>_xlfn.XLOOKUP(D702,Master[Product_Code],Master[Category])</f>
        <v>Innerwear</v>
      </c>
      <c r="G702" s="8" t="str">
        <f>_xlfn.XLOOKUP(D702,Master[Product_Code],Master[Brand])</f>
        <v>Rupa</v>
      </c>
      <c r="H702" s="8" t="str">
        <f>_xlfn.XLOOKUP(D702,Master[Product_Code],Master[Style])</f>
        <v>Boxer</v>
      </c>
      <c r="I702" s="8" t="str">
        <f>_xlfn.XLOOKUP(D702,Master[Product_Code],Master[Fabric])</f>
        <v>Cotton Blend</v>
      </c>
      <c r="J702" s="8" t="str">
        <f>_xlfn.XLOOKUP(D702,Master[Product_Code],Master[Size])</f>
        <v>90-100</v>
      </c>
      <c r="K702" s="8" t="str">
        <f>_xlfn.XLOOKUP(D702,Master[Product_Code],Master[Color])</f>
        <v>Royal Blue</v>
      </c>
      <c r="L702" s="3">
        <f>_xlfn.XLOOKUP(D702,Master[Product_Code],Master[Selling_Price])</f>
        <v>150</v>
      </c>
    </row>
    <row r="703" spans="2:12">
      <c r="B703" s="2" t="s">
        <v>2051</v>
      </c>
      <c r="C703" s="7">
        <v>45953</v>
      </c>
      <c r="D703" s="2" t="s">
        <v>369</v>
      </c>
      <c r="E703" s="4">
        <v>1</v>
      </c>
      <c r="F703" s="8" t="str">
        <f>_xlfn.XLOOKUP(D703,Master[Product_Code],Master[Category])</f>
        <v>Shirt</v>
      </c>
      <c r="G703" s="8" t="str">
        <f>_xlfn.XLOOKUP(D703,Master[Product_Code],Master[Brand])</f>
        <v>Max</v>
      </c>
      <c r="H703" s="8" t="str">
        <f>_xlfn.XLOOKUP(D703,Master[Product_Code],Master[Style])</f>
        <v>Formal</v>
      </c>
      <c r="I703" s="8" t="str">
        <f>_xlfn.XLOOKUP(D703,Master[Product_Code],Master[Fabric])</f>
        <v>Cotton Blend</v>
      </c>
      <c r="J703" s="8" t="str">
        <f>_xlfn.XLOOKUP(D703,Master[Product_Code],Master[Size])</f>
        <v>S</v>
      </c>
      <c r="K703" s="8" t="str">
        <f>_xlfn.XLOOKUP(D703,Master[Product_Code],Master[Color])</f>
        <v>Black</v>
      </c>
      <c r="L703" s="3">
        <f>_xlfn.XLOOKUP(D703,Master[Product_Code],Master[Selling_Price])</f>
        <v>910</v>
      </c>
    </row>
    <row r="704" spans="2:12">
      <c r="B704" s="2" t="s">
        <v>2052</v>
      </c>
      <c r="C704" s="7">
        <v>45953</v>
      </c>
      <c r="D704" s="2" t="s">
        <v>1474</v>
      </c>
      <c r="E704" s="4">
        <v>1</v>
      </c>
      <c r="F704" s="8" t="str">
        <f>_xlfn.XLOOKUP(D704,Master[Product_Code],Master[Category])</f>
        <v>Innerwear</v>
      </c>
      <c r="G704" s="8" t="str">
        <f>_xlfn.XLOOKUP(D704,Master[Product_Code],Master[Brand])</f>
        <v>Dollar</v>
      </c>
      <c r="H704" s="8" t="str">
        <f>_xlfn.XLOOKUP(D704,Master[Product_Code],Master[Style])</f>
        <v>Boxer</v>
      </c>
      <c r="I704" s="8" t="str">
        <f>_xlfn.XLOOKUP(D704,Master[Product_Code],Master[Fabric])</f>
        <v>Cotton Blend</v>
      </c>
      <c r="J704" s="8" t="str">
        <f>_xlfn.XLOOKUP(D704,Master[Product_Code],Master[Size])</f>
        <v>80-85</v>
      </c>
      <c r="K704" s="8" t="str">
        <f>_xlfn.XLOOKUP(D704,Master[Product_Code],Master[Color])</f>
        <v>Sky Blue</v>
      </c>
      <c r="L704" s="3">
        <f>_xlfn.XLOOKUP(D704,Master[Product_Code],Master[Selling_Price])</f>
        <v>130</v>
      </c>
    </row>
    <row r="705" spans="2:12">
      <c r="B705" s="2" t="s">
        <v>2052</v>
      </c>
      <c r="C705" s="7">
        <v>45953</v>
      </c>
      <c r="D705" s="2" t="s">
        <v>142</v>
      </c>
      <c r="E705" s="4">
        <v>1</v>
      </c>
      <c r="F705" s="8" t="str">
        <f>_xlfn.XLOOKUP(D705,Master[Product_Code],Master[Category])</f>
        <v>Shirt</v>
      </c>
      <c r="G705" s="8" t="str">
        <f>_xlfn.XLOOKUP(D705,Master[Product_Code],Master[Brand])</f>
        <v>Luke &amp; Burg</v>
      </c>
      <c r="H705" s="8" t="str">
        <f>_xlfn.XLOOKUP(D705,Master[Product_Code],Master[Style])</f>
        <v>Casual</v>
      </c>
      <c r="I705" s="8" t="str">
        <f>_xlfn.XLOOKUP(D705,Master[Product_Code],Master[Fabric])</f>
        <v>Cotton</v>
      </c>
      <c r="J705" s="8" t="str">
        <f>_xlfn.XLOOKUP(D705,Master[Product_Code],Master[Size])</f>
        <v>XL</v>
      </c>
      <c r="K705" s="8" t="str">
        <f>_xlfn.XLOOKUP(D705,Master[Product_Code],Master[Color])</f>
        <v>Black</v>
      </c>
      <c r="L705" s="3">
        <f>_xlfn.XLOOKUP(D705,Master[Product_Code],Master[Selling_Price])</f>
        <v>730</v>
      </c>
    </row>
    <row r="706" spans="2:12">
      <c r="B706" s="2" t="s">
        <v>2052</v>
      </c>
      <c r="C706" s="7">
        <v>45953</v>
      </c>
      <c r="D706" s="2" t="s">
        <v>1388</v>
      </c>
      <c r="E706" s="4">
        <v>1</v>
      </c>
      <c r="F706" s="8" t="str">
        <f>_xlfn.XLOOKUP(D706,Master[Product_Code],Master[Category])</f>
        <v>Pants</v>
      </c>
      <c r="G706" s="8" t="str">
        <f>_xlfn.XLOOKUP(D706,Master[Product_Code],Master[Brand])</f>
        <v>Raymond</v>
      </c>
      <c r="H706" s="8" t="str">
        <f>_xlfn.XLOOKUP(D706,Master[Product_Code],Master[Style])</f>
        <v>Kurka</v>
      </c>
      <c r="I706" s="8" t="str">
        <f>_xlfn.XLOOKUP(D706,Master[Product_Code],Master[Fabric])</f>
        <v>Lycra</v>
      </c>
      <c r="J706" s="8">
        <f>_xlfn.XLOOKUP(D706,Master[Product_Code],Master[Size])</f>
        <v>44</v>
      </c>
      <c r="K706" s="8" t="str">
        <f>_xlfn.XLOOKUP(D706,Master[Product_Code],Master[Color])</f>
        <v>Peach</v>
      </c>
      <c r="L706" s="3">
        <f>_xlfn.XLOOKUP(D706,Master[Product_Code],Master[Selling_Price])</f>
        <v>700</v>
      </c>
    </row>
    <row r="707" spans="2:12">
      <c r="B707" s="2" t="s">
        <v>2052</v>
      </c>
      <c r="C707" s="7">
        <v>45953</v>
      </c>
      <c r="D707" s="2" t="s">
        <v>479</v>
      </c>
      <c r="E707" s="4">
        <v>1</v>
      </c>
      <c r="F707" s="8" t="str">
        <f>_xlfn.XLOOKUP(D707,Master[Product_Code],Master[Category])</f>
        <v>T-Shirt</v>
      </c>
      <c r="G707" s="8" t="str">
        <f>_xlfn.XLOOKUP(D707,Master[Product_Code],Master[Brand])</f>
        <v>Zara</v>
      </c>
      <c r="H707" s="8" t="str">
        <f>_xlfn.XLOOKUP(D707,Master[Product_Code],Master[Style])</f>
        <v>Full Sleeve</v>
      </c>
      <c r="I707" s="8" t="str">
        <f>_xlfn.XLOOKUP(D707,Master[Product_Code],Master[Fabric])</f>
        <v>Cotton</v>
      </c>
      <c r="J707" s="8" t="str">
        <f>_xlfn.XLOOKUP(D707,Master[Product_Code],Master[Size])</f>
        <v>L</v>
      </c>
      <c r="K707" s="8" t="str">
        <f>_xlfn.XLOOKUP(D707,Master[Product_Code],Master[Color])</f>
        <v>Navy Blue</v>
      </c>
      <c r="L707" s="3">
        <f>_xlfn.XLOOKUP(D707,Master[Product_Code],Master[Selling_Price])</f>
        <v>490</v>
      </c>
    </row>
    <row r="708" spans="2:12">
      <c r="B708" s="2" t="s">
        <v>2053</v>
      </c>
      <c r="C708" s="7">
        <v>45953</v>
      </c>
      <c r="D708" s="2" t="s">
        <v>76</v>
      </c>
      <c r="E708" s="4">
        <v>1</v>
      </c>
      <c r="F708" s="8" t="str">
        <f>_xlfn.XLOOKUP(D708,Master[Product_Code],Master[Category])</f>
        <v>Shirt</v>
      </c>
      <c r="G708" s="8" t="str">
        <f>_xlfn.XLOOKUP(D708,Master[Product_Code],Master[Brand])</f>
        <v>G Studio</v>
      </c>
      <c r="H708" s="8" t="str">
        <f>_xlfn.XLOOKUP(D708,Master[Product_Code],Master[Style])</f>
        <v>Formal</v>
      </c>
      <c r="I708" s="8" t="str">
        <f>_xlfn.XLOOKUP(D708,Master[Product_Code],Master[Fabric])</f>
        <v>Cotton</v>
      </c>
      <c r="J708" s="8" t="str">
        <f>_xlfn.XLOOKUP(D708,Master[Product_Code],Master[Size])</f>
        <v>L</v>
      </c>
      <c r="K708" s="8" t="str">
        <f>_xlfn.XLOOKUP(D708,Master[Product_Code],Master[Color])</f>
        <v>Black</v>
      </c>
      <c r="L708" s="3">
        <f>_xlfn.XLOOKUP(D708,Master[Product_Code],Master[Selling_Price])</f>
        <v>670</v>
      </c>
    </row>
    <row r="709" spans="2:12">
      <c r="B709" s="2" t="s">
        <v>2053</v>
      </c>
      <c r="C709" s="7">
        <v>45953</v>
      </c>
      <c r="D709" s="2" t="s">
        <v>1713</v>
      </c>
      <c r="E709" s="4">
        <v>1</v>
      </c>
      <c r="F709" s="8" t="str">
        <f>_xlfn.XLOOKUP(D709,Master[Product_Code],Master[Category])</f>
        <v>Innerwear</v>
      </c>
      <c r="G709" s="8" t="str">
        <f>_xlfn.XLOOKUP(D709,Master[Product_Code],Master[Brand])</f>
        <v>Jockey</v>
      </c>
      <c r="H709" s="8" t="str">
        <f>_xlfn.XLOOKUP(D709,Master[Product_Code],Master[Style])</f>
        <v>V-Cut</v>
      </c>
      <c r="I709" s="8" t="str">
        <f>_xlfn.XLOOKUP(D709,Master[Product_Code],Master[Fabric])</f>
        <v>Cotton Blend</v>
      </c>
      <c r="J709" s="8" t="str">
        <f>_xlfn.XLOOKUP(D709,Master[Product_Code],Master[Size])</f>
        <v>85-90</v>
      </c>
      <c r="K709" s="8" t="str">
        <f>_xlfn.XLOOKUP(D709,Master[Product_Code],Master[Color])</f>
        <v>Navy Blue</v>
      </c>
      <c r="L709" s="3">
        <f>_xlfn.XLOOKUP(D709,Master[Product_Code],Master[Selling_Price])</f>
        <v>170</v>
      </c>
    </row>
    <row r="710" spans="2:12">
      <c r="B710" s="2" t="s">
        <v>2053</v>
      </c>
      <c r="C710" s="7">
        <v>45953</v>
      </c>
      <c r="D710" s="2" t="s">
        <v>262</v>
      </c>
      <c r="E710" s="4">
        <v>1</v>
      </c>
      <c r="F710" s="8" t="str">
        <f>_xlfn.XLOOKUP(D710,Master[Product_Code],Master[Category])</f>
        <v>Shirt</v>
      </c>
      <c r="G710" s="8" t="str">
        <f>_xlfn.XLOOKUP(D710,Master[Product_Code],Master[Brand])</f>
        <v>Thailand</v>
      </c>
      <c r="H710" s="8" t="str">
        <f>_xlfn.XLOOKUP(D710,Master[Product_Code],Master[Style])</f>
        <v>Partywear</v>
      </c>
      <c r="I710" s="8" t="str">
        <f>_xlfn.XLOOKUP(D710,Master[Product_Code],Master[Fabric])</f>
        <v>Cotton Blend</v>
      </c>
      <c r="J710" s="8" t="str">
        <f>_xlfn.XLOOKUP(D710,Master[Product_Code],Master[Size])</f>
        <v>M</v>
      </c>
      <c r="K710" s="8" t="str">
        <f>_xlfn.XLOOKUP(D710,Master[Product_Code],Master[Color])</f>
        <v>Mustard</v>
      </c>
      <c r="L710" s="3">
        <f>_xlfn.XLOOKUP(D710,Master[Product_Code],Master[Selling_Price])</f>
        <v>770</v>
      </c>
    </row>
    <row r="711" spans="2:12">
      <c r="B711" s="2" t="s">
        <v>2054</v>
      </c>
      <c r="C711" s="7">
        <v>45953</v>
      </c>
      <c r="D711" s="2" t="s">
        <v>520</v>
      </c>
      <c r="E711" s="4">
        <v>1</v>
      </c>
      <c r="F711" s="8" t="str">
        <f>_xlfn.XLOOKUP(D711,Master[Product_Code],Master[Category])</f>
        <v>T-Shirt</v>
      </c>
      <c r="G711" s="8" t="str">
        <f>_xlfn.XLOOKUP(D711,Master[Product_Code],Master[Brand])</f>
        <v>Turkey</v>
      </c>
      <c r="H711" s="8" t="str">
        <f>_xlfn.XLOOKUP(D711,Master[Product_Code],Master[Style])</f>
        <v>Full Sleeve</v>
      </c>
      <c r="I711" s="8" t="str">
        <f>_xlfn.XLOOKUP(D711,Master[Product_Code],Master[Fabric])</f>
        <v>Cotton Blend</v>
      </c>
      <c r="J711" s="8" t="str">
        <f>_xlfn.XLOOKUP(D711,Master[Product_Code],Master[Size])</f>
        <v>XXL</v>
      </c>
      <c r="K711" s="8" t="str">
        <f>_xlfn.XLOOKUP(D711,Master[Product_Code],Master[Color])</f>
        <v>Cream</v>
      </c>
      <c r="L711" s="3">
        <f>_xlfn.XLOOKUP(D711,Master[Product_Code],Master[Selling_Price])</f>
        <v>730</v>
      </c>
    </row>
    <row r="712" spans="2:12">
      <c r="B712" s="2" t="s">
        <v>2054</v>
      </c>
      <c r="C712" s="7">
        <v>45953</v>
      </c>
      <c r="D712" s="2" t="s">
        <v>1119</v>
      </c>
      <c r="E712" s="4">
        <v>1</v>
      </c>
      <c r="F712" s="8" t="str">
        <f>_xlfn.XLOOKUP(D712,Master[Product_Code],Master[Category])</f>
        <v>Jeans</v>
      </c>
      <c r="G712" s="8" t="str">
        <f>_xlfn.XLOOKUP(D712,Master[Product_Code],Master[Brand])</f>
        <v>Pepe</v>
      </c>
      <c r="H712" s="8" t="str">
        <f>_xlfn.XLOOKUP(D712,Master[Product_Code],Master[Style])</f>
        <v>Jogger</v>
      </c>
      <c r="I712" s="8" t="str">
        <f>_xlfn.XLOOKUP(D712,Master[Product_Code],Master[Fabric])</f>
        <v>Denim</v>
      </c>
      <c r="J712" s="8">
        <f>_xlfn.XLOOKUP(D712,Master[Product_Code],Master[Size])</f>
        <v>28</v>
      </c>
      <c r="K712" s="8" t="str">
        <f>_xlfn.XLOOKUP(D712,Master[Product_Code],Master[Color])</f>
        <v>Sky Blue</v>
      </c>
      <c r="L712" s="3">
        <f>_xlfn.XLOOKUP(D712,Master[Product_Code],Master[Selling_Price])</f>
        <v>1030</v>
      </c>
    </row>
    <row r="713" spans="2:12">
      <c r="B713" s="2" t="s">
        <v>2055</v>
      </c>
      <c r="C713" s="7">
        <v>45953</v>
      </c>
      <c r="D713" s="2" t="s">
        <v>743</v>
      </c>
      <c r="E713" s="4">
        <v>1</v>
      </c>
      <c r="F713" s="8" t="str">
        <f>_xlfn.XLOOKUP(D713,Master[Product_Code],Master[Category])</f>
        <v>T-Shirt</v>
      </c>
      <c r="G713" s="8" t="str">
        <f>_xlfn.XLOOKUP(D713,Master[Product_Code],Master[Brand])</f>
        <v>Campus</v>
      </c>
      <c r="H713" s="8" t="str">
        <f>_xlfn.XLOOKUP(D713,Master[Product_Code],Master[Style])</f>
        <v>Sleeveless</v>
      </c>
      <c r="I713" s="8" t="str">
        <f>_xlfn.XLOOKUP(D713,Master[Product_Code],Master[Fabric])</f>
        <v>Poly Cotton</v>
      </c>
      <c r="J713" s="8" t="str">
        <f>_xlfn.XLOOKUP(D713,Master[Product_Code],Master[Size])</f>
        <v>L</v>
      </c>
      <c r="K713" s="8" t="str">
        <f>_xlfn.XLOOKUP(D713,Master[Product_Code],Master[Color])</f>
        <v>Maroon</v>
      </c>
      <c r="L713" s="3">
        <f>_xlfn.XLOOKUP(D713,Master[Product_Code],Master[Selling_Price])</f>
        <v>310</v>
      </c>
    </row>
    <row r="714" spans="2:12">
      <c r="B714" s="2" t="s">
        <v>2055</v>
      </c>
      <c r="C714" s="7">
        <v>45953</v>
      </c>
      <c r="D714" s="2" t="s">
        <v>489</v>
      </c>
      <c r="E714" s="4">
        <v>1</v>
      </c>
      <c r="F714" s="8" t="str">
        <f>_xlfn.XLOOKUP(D714,Master[Product_Code],Master[Category])</f>
        <v>T-Shirt</v>
      </c>
      <c r="G714" s="8" t="str">
        <f>_xlfn.XLOOKUP(D714,Master[Product_Code],Master[Brand])</f>
        <v>Urban Monkey</v>
      </c>
      <c r="H714" s="8" t="str">
        <f>_xlfn.XLOOKUP(D714,Master[Product_Code],Master[Style])</f>
        <v>Sleeveless</v>
      </c>
      <c r="I714" s="8" t="str">
        <f>_xlfn.XLOOKUP(D714,Master[Product_Code],Master[Fabric])</f>
        <v>Poly Cotton</v>
      </c>
      <c r="J714" s="8" t="str">
        <f>_xlfn.XLOOKUP(D714,Master[Product_Code],Master[Size])</f>
        <v>XXL</v>
      </c>
      <c r="K714" s="8" t="str">
        <f>_xlfn.XLOOKUP(D714,Master[Product_Code],Master[Color])</f>
        <v>Peach</v>
      </c>
      <c r="L714" s="3">
        <f>_xlfn.XLOOKUP(D714,Master[Product_Code],Master[Selling_Price])</f>
        <v>350</v>
      </c>
    </row>
    <row r="715" spans="2:12">
      <c r="B715" s="2" t="s">
        <v>2055</v>
      </c>
      <c r="C715" s="7">
        <v>45953</v>
      </c>
      <c r="D715" s="2" t="s">
        <v>697</v>
      </c>
      <c r="E715" s="4">
        <v>1</v>
      </c>
      <c r="F715" s="8" t="str">
        <f>_xlfn.XLOOKUP(D715,Master[Product_Code],Master[Category])</f>
        <v>T-Shirt</v>
      </c>
      <c r="G715" s="8" t="str">
        <f>_xlfn.XLOOKUP(D715,Master[Product_Code],Master[Brand])</f>
        <v>Campus</v>
      </c>
      <c r="H715" s="8" t="str">
        <f>_xlfn.XLOOKUP(D715,Master[Product_Code],Master[Style])</f>
        <v>Full Sleeve</v>
      </c>
      <c r="I715" s="8" t="str">
        <f>_xlfn.XLOOKUP(D715,Master[Product_Code],Master[Fabric])</f>
        <v>Cotton</v>
      </c>
      <c r="J715" s="8" t="str">
        <f>_xlfn.XLOOKUP(D715,Master[Product_Code],Master[Size])</f>
        <v>L</v>
      </c>
      <c r="K715" s="8" t="str">
        <f>_xlfn.XLOOKUP(D715,Master[Product_Code],Master[Color])</f>
        <v>Teal</v>
      </c>
      <c r="L715" s="3">
        <f>_xlfn.XLOOKUP(D715,Master[Product_Code],Master[Selling_Price])</f>
        <v>750</v>
      </c>
    </row>
    <row r="716" spans="2:12">
      <c r="B716" s="2" t="s">
        <v>2056</v>
      </c>
      <c r="C716" s="7">
        <v>45953</v>
      </c>
      <c r="D716" s="2" t="s">
        <v>924</v>
      </c>
      <c r="E716" s="4">
        <v>1</v>
      </c>
      <c r="F716" s="8" t="str">
        <f>_xlfn.XLOOKUP(D716,Master[Product_Code],Master[Category])</f>
        <v>Jeans</v>
      </c>
      <c r="G716" s="8" t="str">
        <f>_xlfn.XLOOKUP(D716,Master[Product_Code],Master[Brand])</f>
        <v>Levis</v>
      </c>
      <c r="H716" s="8" t="str">
        <f>_xlfn.XLOOKUP(D716,Master[Product_Code],Master[Style])</f>
        <v>Jogger</v>
      </c>
      <c r="I716" s="8" t="str">
        <f>_xlfn.XLOOKUP(D716,Master[Product_Code],Master[Fabric])</f>
        <v>Denim</v>
      </c>
      <c r="J716" s="8">
        <f>_xlfn.XLOOKUP(D716,Master[Product_Code],Master[Size])</f>
        <v>42</v>
      </c>
      <c r="K716" s="8" t="str">
        <f>_xlfn.XLOOKUP(D716,Master[Product_Code],Master[Color])</f>
        <v>White</v>
      </c>
      <c r="L716" s="3">
        <f>_xlfn.XLOOKUP(D716,Master[Product_Code],Master[Selling_Price])</f>
        <v>990</v>
      </c>
    </row>
    <row r="717" spans="2:12">
      <c r="B717" s="2" t="s">
        <v>2056</v>
      </c>
      <c r="C717" s="7">
        <v>45953</v>
      </c>
      <c r="D717" s="2" t="s">
        <v>626</v>
      </c>
      <c r="E717" s="4">
        <v>1</v>
      </c>
      <c r="F717" s="8" t="str">
        <f>_xlfn.XLOOKUP(D717,Master[Product_Code],Master[Category])</f>
        <v>T-Shirt</v>
      </c>
      <c r="G717" s="8" t="str">
        <f>_xlfn.XLOOKUP(D717,Master[Product_Code],Master[Brand])</f>
        <v>Urban Monkey</v>
      </c>
      <c r="H717" s="8" t="str">
        <f>_xlfn.XLOOKUP(D717,Master[Product_Code],Master[Style])</f>
        <v>Sleeveless</v>
      </c>
      <c r="I717" s="8" t="str">
        <f>_xlfn.XLOOKUP(D717,Master[Product_Code],Master[Fabric])</f>
        <v>Poly Cotton</v>
      </c>
      <c r="J717" s="8" t="str">
        <f>_xlfn.XLOOKUP(D717,Master[Product_Code],Master[Size])</f>
        <v>XL</v>
      </c>
      <c r="K717" s="8" t="str">
        <f>_xlfn.XLOOKUP(D717,Master[Product_Code],Master[Color])</f>
        <v>Wine</v>
      </c>
      <c r="L717" s="3">
        <f>_xlfn.XLOOKUP(D717,Master[Product_Code],Master[Selling_Price])</f>
        <v>360</v>
      </c>
    </row>
    <row r="718" spans="2:12">
      <c r="B718" s="2" t="s">
        <v>2056</v>
      </c>
      <c r="C718" s="7">
        <v>45953</v>
      </c>
      <c r="D718" s="2" t="s">
        <v>1304</v>
      </c>
      <c r="E718" s="4">
        <v>1</v>
      </c>
      <c r="F718" s="8" t="str">
        <f>_xlfn.XLOOKUP(D718,Master[Product_Code],Master[Category])</f>
        <v>Pants</v>
      </c>
      <c r="G718" s="8" t="str">
        <f>_xlfn.XLOOKUP(D718,Master[Product_Code],Master[Brand])</f>
        <v>Park Avenue</v>
      </c>
      <c r="H718" s="8" t="str">
        <f>_xlfn.XLOOKUP(D718,Master[Product_Code],Master[Style])</f>
        <v>Boot Cut</v>
      </c>
      <c r="I718" s="8" t="str">
        <f>_xlfn.XLOOKUP(D718,Master[Product_Code],Master[Fabric])</f>
        <v>Poly Viscose</v>
      </c>
      <c r="J718" s="8">
        <f>_xlfn.XLOOKUP(D718,Master[Product_Code],Master[Size])</f>
        <v>38</v>
      </c>
      <c r="K718" s="8" t="str">
        <f>_xlfn.XLOOKUP(D718,Master[Product_Code],Master[Color])</f>
        <v>Rust</v>
      </c>
      <c r="L718" s="3">
        <f>_xlfn.XLOOKUP(D718,Master[Product_Code],Master[Selling_Price])</f>
        <v>940</v>
      </c>
    </row>
    <row r="719" spans="2:12">
      <c r="B719" s="2" t="s">
        <v>2056</v>
      </c>
      <c r="C719" s="7">
        <v>45953</v>
      </c>
      <c r="D719" s="2" t="s">
        <v>609</v>
      </c>
      <c r="E719" s="4">
        <v>1</v>
      </c>
      <c r="F719" s="8" t="str">
        <f>_xlfn.XLOOKUP(D719,Master[Product_Code],Master[Category])</f>
        <v>T-Shirt</v>
      </c>
      <c r="G719" s="8" t="str">
        <f>_xlfn.XLOOKUP(D719,Master[Product_Code],Master[Brand])</f>
        <v>Campus</v>
      </c>
      <c r="H719" s="8" t="str">
        <f>_xlfn.XLOOKUP(D719,Master[Product_Code],Master[Style])</f>
        <v>3/4 Sleeve</v>
      </c>
      <c r="I719" s="8" t="str">
        <f>_xlfn.XLOOKUP(D719,Master[Product_Code],Master[Fabric])</f>
        <v>Poly Cotton</v>
      </c>
      <c r="J719" s="8" t="str">
        <f>_xlfn.XLOOKUP(D719,Master[Product_Code],Master[Size])</f>
        <v>XL</v>
      </c>
      <c r="K719" s="8" t="str">
        <f>_xlfn.XLOOKUP(D719,Master[Product_Code],Master[Color])</f>
        <v>Light Grey</v>
      </c>
      <c r="L719" s="3">
        <f>_xlfn.XLOOKUP(D719,Master[Product_Code],Master[Selling_Price])</f>
        <v>270</v>
      </c>
    </row>
    <row r="720" spans="2:12">
      <c r="B720" s="2" t="s">
        <v>2057</v>
      </c>
      <c r="C720" s="7">
        <v>45953</v>
      </c>
      <c r="D720" s="2" t="s">
        <v>1087</v>
      </c>
      <c r="E720" s="4">
        <v>1</v>
      </c>
      <c r="F720" s="8" t="str">
        <f>_xlfn.XLOOKUP(D720,Master[Product_Code],Master[Category])</f>
        <v>Jeans</v>
      </c>
      <c r="G720" s="8" t="str">
        <f>_xlfn.XLOOKUP(D720,Master[Product_Code],Master[Brand])</f>
        <v>Locomotive</v>
      </c>
      <c r="H720" s="8" t="str">
        <f>_xlfn.XLOOKUP(D720,Master[Product_Code],Master[Style])</f>
        <v>Mom Fit</v>
      </c>
      <c r="I720" s="8" t="str">
        <f>_xlfn.XLOOKUP(D720,Master[Product_Code],Master[Fabric])</f>
        <v>Denim</v>
      </c>
      <c r="J720" s="8">
        <f>_xlfn.XLOOKUP(D720,Master[Product_Code],Master[Size])</f>
        <v>30</v>
      </c>
      <c r="K720" s="8" t="str">
        <f>_xlfn.XLOOKUP(D720,Master[Product_Code],Master[Color])</f>
        <v>Royal Blue</v>
      </c>
      <c r="L720" s="3">
        <f>_xlfn.XLOOKUP(D720,Master[Product_Code],Master[Selling_Price])</f>
        <v>860</v>
      </c>
    </row>
    <row r="721" spans="2:12">
      <c r="B721" s="2" t="s">
        <v>2057</v>
      </c>
      <c r="C721" s="7">
        <v>45953</v>
      </c>
      <c r="D721" s="2" t="s">
        <v>846</v>
      </c>
      <c r="E721" s="4">
        <v>1</v>
      </c>
      <c r="F721" s="8" t="str">
        <f>_xlfn.XLOOKUP(D721,Master[Product_Code],Master[Category])</f>
        <v>Jeans</v>
      </c>
      <c r="G721" s="8" t="str">
        <f>_xlfn.XLOOKUP(D721,Master[Product_Code],Master[Brand])</f>
        <v>Pepe</v>
      </c>
      <c r="H721" s="8" t="str">
        <f>_xlfn.XLOOKUP(D721,Master[Product_Code],Master[Style])</f>
        <v>Mom Fit</v>
      </c>
      <c r="I721" s="8" t="str">
        <f>_xlfn.XLOOKUP(D721,Master[Product_Code],Master[Fabric])</f>
        <v>Denim</v>
      </c>
      <c r="J721" s="8">
        <f>_xlfn.XLOOKUP(D721,Master[Product_Code],Master[Size])</f>
        <v>36</v>
      </c>
      <c r="K721" s="8" t="str">
        <f>_xlfn.XLOOKUP(D721,Master[Product_Code],Master[Color])</f>
        <v>Navy Blue</v>
      </c>
      <c r="L721" s="3">
        <f>_xlfn.XLOOKUP(D721,Master[Product_Code],Master[Selling_Price])</f>
        <v>1080</v>
      </c>
    </row>
    <row r="722" spans="2:12">
      <c r="B722" s="2" t="s">
        <v>2057</v>
      </c>
      <c r="C722" s="7">
        <v>45953</v>
      </c>
      <c r="D722" s="2" t="s">
        <v>255</v>
      </c>
      <c r="E722" s="4">
        <v>1</v>
      </c>
      <c r="F722" s="8" t="str">
        <f>_xlfn.XLOOKUP(D722,Master[Product_Code],Master[Category])</f>
        <v>Shirt</v>
      </c>
      <c r="G722" s="8" t="str">
        <f>_xlfn.XLOOKUP(D722,Master[Product_Code],Master[Brand])</f>
        <v>Thailand</v>
      </c>
      <c r="H722" s="8" t="str">
        <f>_xlfn.XLOOKUP(D722,Master[Product_Code],Master[Style])</f>
        <v>Casual</v>
      </c>
      <c r="I722" s="8" t="str">
        <f>_xlfn.XLOOKUP(D722,Master[Product_Code],Master[Fabric])</f>
        <v>Cotton Blend</v>
      </c>
      <c r="J722" s="8" t="str">
        <f>_xlfn.XLOOKUP(D722,Master[Product_Code],Master[Size])</f>
        <v>S</v>
      </c>
      <c r="K722" s="8" t="str">
        <f>_xlfn.XLOOKUP(D722,Master[Product_Code],Master[Color])</f>
        <v>Black</v>
      </c>
      <c r="L722" s="3">
        <f>_xlfn.XLOOKUP(D722,Master[Product_Code],Master[Selling_Price])</f>
        <v>900</v>
      </c>
    </row>
    <row r="723" spans="2:12">
      <c r="B723" s="2" t="s">
        <v>2058</v>
      </c>
      <c r="C723" s="7">
        <v>45953</v>
      </c>
      <c r="D723" s="2" t="s">
        <v>1256</v>
      </c>
      <c r="E723" s="4">
        <v>1</v>
      </c>
      <c r="F723" s="8" t="str">
        <f>_xlfn.XLOOKUP(D723,Master[Product_Code],Master[Category])</f>
        <v>Pants</v>
      </c>
      <c r="G723" s="8" t="str">
        <f>_xlfn.XLOOKUP(D723,Master[Product_Code],Master[Brand])</f>
        <v>Louis Philippe</v>
      </c>
      <c r="H723" s="8" t="str">
        <f>_xlfn.XLOOKUP(D723,Master[Product_Code],Master[Style])</f>
        <v>Boot Cut</v>
      </c>
      <c r="I723" s="8" t="str">
        <f>_xlfn.XLOOKUP(D723,Master[Product_Code],Master[Fabric])</f>
        <v>Cotton Blend</v>
      </c>
      <c r="J723" s="8">
        <f>_xlfn.XLOOKUP(D723,Master[Product_Code],Master[Size])</f>
        <v>32</v>
      </c>
      <c r="K723" s="8" t="str">
        <f>_xlfn.XLOOKUP(D723,Master[Product_Code],Master[Color])</f>
        <v>Beige</v>
      </c>
      <c r="L723" s="3">
        <f>_xlfn.XLOOKUP(D723,Master[Product_Code],Master[Selling_Price])</f>
        <v>810</v>
      </c>
    </row>
    <row r="724" spans="2:12">
      <c r="B724" s="2" t="s">
        <v>2058</v>
      </c>
      <c r="C724" s="7">
        <v>45953</v>
      </c>
      <c r="D724" s="2" t="s">
        <v>456</v>
      </c>
      <c r="E724" s="4">
        <v>1</v>
      </c>
      <c r="F724" s="8" t="str">
        <f>_xlfn.XLOOKUP(D724,Master[Product_Code],Master[Category])</f>
        <v>T-Shirt</v>
      </c>
      <c r="G724" s="8" t="str">
        <f>_xlfn.XLOOKUP(D724,Master[Product_Code],Master[Brand])</f>
        <v>Turkey</v>
      </c>
      <c r="H724" s="8" t="str">
        <f>_xlfn.XLOOKUP(D724,Master[Product_Code],Master[Style])</f>
        <v>Sleeveless</v>
      </c>
      <c r="I724" s="8" t="str">
        <f>_xlfn.XLOOKUP(D724,Master[Product_Code],Master[Fabric])</f>
        <v>Poly Cotton</v>
      </c>
      <c r="J724" s="8" t="str">
        <f>_xlfn.XLOOKUP(D724,Master[Product_Code],Master[Size])</f>
        <v>XXL</v>
      </c>
      <c r="K724" s="8" t="str">
        <f>_xlfn.XLOOKUP(D724,Master[Product_Code],Master[Color])</f>
        <v>Grey</v>
      </c>
      <c r="L724" s="3">
        <f>_xlfn.XLOOKUP(D724,Master[Product_Code],Master[Selling_Price])</f>
        <v>390</v>
      </c>
    </row>
    <row r="725" spans="2:12">
      <c r="B725" s="2" t="s">
        <v>2058</v>
      </c>
      <c r="C725" s="7">
        <v>45953</v>
      </c>
      <c r="D725" s="2" t="s">
        <v>438</v>
      </c>
      <c r="E725" s="4">
        <v>1</v>
      </c>
      <c r="F725" s="8" t="str">
        <f>_xlfn.XLOOKUP(D725,Master[Product_Code],Master[Category])</f>
        <v>T-Shirt</v>
      </c>
      <c r="G725" s="8" t="str">
        <f>_xlfn.XLOOKUP(D725,Master[Product_Code],Master[Brand])</f>
        <v>Turkey</v>
      </c>
      <c r="H725" s="8" t="str">
        <f>_xlfn.XLOOKUP(D725,Master[Product_Code],Master[Style])</f>
        <v>Half Sleeve</v>
      </c>
      <c r="I725" s="8" t="str">
        <f>_xlfn.XLOOKUP(D725,Master[Product_Code],Master[Fabric])</f>
        <v>Cotton Blend</v>
      </c>
      <c r="J725" s="8" t="str">
        <f>_xlfn.XLOOKUP(D725,Master[Product_Code],Master[Size])</f>
        <v>XL</v>
      </c>
      <c r="K725" s="8" t="str">
        <f>_xlfn.XLOOKUP(D725,Master[Product_Code],Master[Color])</f>
        <v>Mustard</v>
      </c>
      <c r="L725" s="3">
        <f>_xlfn.XLOOKUP(D725,Master[Product_Code],Master[Selling_Price])</f>
        <v>710</v>
      </c>
    </row>
    <row r="726" spans="2:12">
      <c r="B726" s="2" t="s">
        <v>2059</v>
      </c>
      <c r="C726" s="7">
        <v>45953</v>
      </c>
      <c r="D726" s="2" t="s">
        <v>983</v>
      </c>
      <c r="E726" s="4">
        <v>1</v>
      </c>
      <c r="F726" s="8" t="str">
        <f>_xlfn.XLOOKUP(D726,Master[Product_Code],Master[Category])</f>
        <v>Jeans</v>
      </c>
      <c r="G726" s="8" t="str">
        <f>_xlfn.XLOOKUP(D726,Master[Product_Code],Master[Brand])</f>
        <v>Pepe</v>
      </c>
      <c r="H726" s="8" t="str">
        <f>_xlfn.XLOOKUP(D726,Master[Product_Code],Master[Style])</f>
        <v>Mom Fit</v>
      </c>
      <c r="I726" s="8" t="str">
        <f>_xlfn.XLOOKUP(D726,Master[Product_Code],Master[Fabric])</f>
        <v>Denim</v>
      </c>
      <c r="J726" s="8">
        <f>_xlfn.XLOOKUP(D726,Master[Product_Code],Master[Size])</f>
        <v>38</v>
      </c>
      <c r="K726" s="8" t="str">
        <f>_xlfn.XLOOKUP(D726,Master[Product_Code],Master[Color])</f>
        <v>Rust</v>
      </c>
      <c r="L726" s="3">
        <f>_xlfn.XLOOKUP(D726,Master[Product_Code],Master[Selling_Price])</f>
        <v>1040</v>
      </c>
    </row>
    <row r="727" spans="2:12">
      <c r="B727" s="2" t="s">
        <v>2059</v>
      </c>
      <c r="C727" s="7">
        <v>45953</v>
      </c>
      <c r="D727" s="2" t="s">
        <v>340</v>
      </c>
      <c r="E727" s="4">
        <v>1</v>
      </c>
      <c r="F727" s="8" t="str">
        <f>_xlfn.XLOOKUP(D727,Master[Product_Code],Master[Category])</f>
        <v>Shirt</v>
      </c>
      <c r="G727" s="8" t="str">
        <f>_xlfn.XLOOKUP(D727,Master[Product_Code],Master[Brand])</f>
        <v>L7</v>
      </c>
      <c r="H727" s="8" t="str">
        <f>_xlfn.XLOOKUP(D727,Master[Product_Code],Master[Style])</f>
        <v>Casual</v>
      </c>
      <c r="I727" s="8" t="str">
        <f>_xlfn.XLOOKUP(D727,Master[Product_Code],Master[Fabric])</f>
        <v>Polyester</v>
      </c>
      <c r="J727" s="8" t="str">
        <f>_xlfn.XLOOKUP(D727,Master[Product_Code],Master[Size])</f>
        <v>M</v>
      </c>
      <c r="K727" s="8" t="str">
        <f>_xlfn.XLOOKUP(D727,Master[Product_Code],Master[Color])</f>
        <v>Grey</v>
      </c>
      <c r="L727" s="3">
        <f>_xlfn.XLOOKUP(D727,Master[Product_Code],Master[Selling_Price])</f>
        <v>640</v>
      </c>
    </row>
    <row r="728" spans="2:12">
      <c r="B728" s="2" t="s">
        <v>2060</v>
      </c>
      <c r="C728" s="7">
        <v>45953</v>
      </c>
      <c r="D728" s="2" t="s">
        <v>1680</v>
      </c>
      <c r="E728" s="4">
        <v>1</v>
      </c>
      <c r="F728" s="8" t="str">
        <f>_xlfn.XLOOKUP(D728,Master[Product_Code],Master[Category])</f>
        <v>Innerwear</v>
      </c>
      <c r="G728" s="8" t="str">
        <f>_xlfn.XLOOKUP(D728,Master[Product_Code],Master[Brand])</f>
        <v>Lux</v>
      </c>
      <c r="H728" s="8" t="str">
        <f>_xlfn.XLOOKUP(D728,Master[Product_Code],Master[Style])</f>
        <v>V-Cut</v>
      </c>
      <c r="I728" s="8" t="str">
        <f>_xlfn.XLOOKUP(D728,Master[Product_Code],Master[Fabric])</f>
        <v>Cotton Blend</v>
      </c>
      <c r="J728" s="8" t="str">
        <f>_xlfn.XLOOKUP(D728,Master[Product_Code],Master[Size])</f>
        <v>105-110</v>
      </c>
      <c r="K728" s="8" t="str">
        <f>_xlfn.XLOOKUP(D728,Master[Product_Code],Master[Color])</f>
        <v>Black</v>
      </c>
      <c r="L728" s="3">
        <f>_xlfn.XLOOKUP(D728,Master[Product_Code],Master[Selling_Price])</f>
        <v>120</v>
      </c>
    </row>
    <row r="729" spans="2:12">
      <c r="B729" s="2" t="s">
        <v>2060</v>
      </c>
      <c r="C729" s="7">
        <v>45953</v>
      </c>
      <c r="D729" s="2" t="s">
        <v>667</v>
      </c>
      <c r="E729" s="4">
        <v>1</v>
      </c>
      <c r="F729" s="8" t="str">
        <f>_xlfn.XLOOKUP(D729,Master[Product_Code],Master[Category])</f>
        <v>T-Shirt</v>
      </c>
      <c r="G729" s="8" t="str">
        <f>_xlfn.XLOOKUP(D729,Master[Product_Code],Master[Brand])</f>
        <v>Zara</v>
      </c>
      <c r="H729" s="8" t="str">
        <f>_xlfn.XLOOKUP(D729,Master[Product_Code],Master[Style])</f>
        <v>Hoodie</v>
      </c>
      <c r="I729" s="8" t="str">
        <f>_xlfn.XLOOKUP(D729,Master[Product_Code],Master[Fabric])</f>
        <v>Cotton Blend</v>
      </c>
      <c r="J729" s="8" t="str">
        <f>_xlfn.XLOOKUP(D729,Master[Product_Code],Master[Size])</f>
        <v>XL</v>
      </c>
      <c r="K729" s="8" t="str">
        <f>_xlfn.XLOOKUP(D729,Master[Product_Code],Master[Color])</f>
        <v>Maroon</v>
      </c>
      <c r="L729" s="3">
        <f>_xlfn.XLOOKUP(D729,Master[Product_Code],Master[Selling_Price])</f>
        <v>480</v>
      </c>
    </row>
    <row r="730" spans="2:12">
      <c r="B730" s="2" t="s">
        <v>2060</v>
      </c>
      <c r="C730" s="7">
        <v>45953</v>
      </c>
      <c r="D730" s="2" t="s">
        <v>818</v>
      </c>
      <c r="E730" s="4">
        <v>1</v>
      </c>
      <c r="F730" s="8" t="str">
        <f>_xlfn.XLOOKUP(D730,Master[Product_Code],Master[Category])</f>
        <v>T-Shirt</v>
      </c>
      <c r="G730" s="8" t="str">
        <f>_xlfn.XLOOKUP(D730,Master[Product_Code],Master[Brand])</f>
        <v>Urban Monkey</v>
      </c>
      <c r="H730" s="8" t="str">
        <f>_xlfn.XLOOKUP(D730,Master[Product_Code],Master[Style])</f>
        <v>3/4 Sleeve</v>
      </c>
      <c r="I730" s="8" t="str">
        <f>_xlfn.XLOOKUP(D730,Master[Product_Code],Master[Fabric])</f>
        <v>Cotton Blend</v>
      </c>
      <c r="J730" s="8" t="str">
        <f>_xlfn.XLOOKUP(D730,Master[Product_Code],Master[Size])</f>
        <v>M</v>
      </c>
      <c r="K730" s="8" t="str">
        <f>_xlfn.XLOOKUP(D730,Master[Product_Code],Master[Color])</f>
        <v>Wine</v>
      </c>
      <c r="L730" s="3">
        <f>_xlfn.XLOOKUP(D730,Master[Product_Code],Master[Selling_Price])</f>
        <v>620</v>
      </c>
    </row>
    <row r="731" spans="2:12">
      <c r="B731" s="2" t="s">
        <v>2061</v>
      </c>
      <c r="C731" s="7">
        <v>45953</v>
      </c>
      <c r="D731" s="2" t="s">
        <v>1675</v>
      </c>
      <c r="E731" s="4">
        <v>1</v>
      </c>
      <c r="F731" s="8" t="str">
        <f>_xlfn.XLOOKUP(D731,Master[Product_Code],Master[Category])</f>
        <v>Innerwear</v>
      </c>
      <c r="G731" s="8" t="str">
        <f>_xlfn.XLOOKUP(D731,Master[Product_Code],Master[Brand])</f>
        <v>V Star</v>
      </c>
      <c r="H731" s="8" t="str">
        <f>_xlfn.XLOOKUP(D731,Master[Product_Code],Master[Style])</f>
        <v>Boxer</v>
      </c>
      <c r="I731" s="8" t="str">
        <f>_xlfn.XLOOKUP(D731,Master[Product_Code],Master[Fabric])</f>
        <v>Cotton Blend</v>
      </c>
      <c r="J731" s="8" t="str">
        <f>_xlfn.XLOOKUP(D731,Master[Product_Code],Master[Size])</f>
        <v>100-105</v>
      </c>
      <c r="K731" s="8" t="str">
        <f>_xlfn.XLOOKUP(D731,Master[Product_Code],Master[Color])</f>
        <v>Dark Green</v>
      </c>
      <c r="L731" s="3">
        <f>_xlfn.XLOOKUP(D731,Master[Product_Code],Master[Selling_Price])</f>
        <v>170</v>
      </c>
    </row>
    <row r="732" spans="2:12">
      <c r="B732" s="2" t="s">
        <v>2061</v>
      </c>
      <c r="C732" s="7">
        <v>45953</v>
      </c>
      <c r="D732" s="2" t="s">
        <v>1279</v>
      </c>
      <c r="E732" s="4">
        <v>1</v>
      </c>
      <c r="F732" s="8" t="str">
        <f>_xlfn.XLOOKUP(D732,Master[Product_Code],Master[Category])</f>
        <v>Pants</v>
      </c>
      <c r="G732" s="8" t="str">
        <f>_xlfn.XLOOKUP(D732,Master[Product_Code],Master[Brand])</f>
        <v>Louis Philippe</v>
      </c>
      <c r="H732" s="8" t="str">
        <f>_xlfn.XLOOKUP(D732,Master[Product_Code],Master[Style])</f>
        <v>Polofit</v>
      </c>
      <c r="I732" s="8" t="str">
        <f>_xlfn.XLOOKUP(D732,Master[Product_Code],Master[Fabric])</f>
        <v>Lycra</v>
      </c>
      <c r="J732" s="8">
        <f>_xlfn.XLOOKUP(D732,Master[Product_Code],Master[Size])</f>
        <v>32</v>
      </c>
      <c r="K732" s="8" t="str">
        <f>_xlfn.XLOOKUP(D732,Master[Product_Code],Master[Color])</f>
        <v>Sky Blue</v>
      </c>
      <c r="L732" s="3">
        <f>_xlfn.XLOOKUP(D732,Master[Product_Code],Master[Selling_Price])</f>
        <v>860</v>
      </c>
    </row>
    <row r="733" spans="2:12">
      <c r="B733" s="2" t="s">
        <v>2061</v>
      </c>
      <c r="C733" s="7">
        <v>45953</v>
      </c>
      <c r="D733" s="2" t="s">
        <v>88</v>
      </c>
      <c r="E733" s="4">
        <v>1</v>
      </c>
      <c r="F733" s="8" t="str">
        <f>_xlfn.XLOOKUP(D733,Master[Product_Code],Master[Category])</f>
        <v>Shirt</v>
      </c>
      <c r="G733" s="8" t="str">
        <f>_xlfn.XLOOKUP(D733,Master[Product_Code],Master[Brand])</f>
        <v>Max</v>
      </c>
      <c r="H733" s="8" t="str">
        <f>_xlfn.XLOOKUP(D733,Master[Product_Code],Master[Style])</f>
        <v>Casual</v>
      </c>
      <c r="I733" s="8" t="str">
        <f>_xlfn.XLOOKUP(D733,Master[Product_Code],Master[Fabric])</f>
        <v>Polyester</v>
      </c>
      <c r="J733" s="8" t="str">
        <f>_xlfn.XLOOKUP(D733,Master[Product_Code],Master[Size])</f>
        <v>XXL</v>
      </c>
      <c r="K733" s="8" t="str">
        <f>_xlfn.XLOOKUP(D733,Master[Product_Code],Master[Color])</f>
        <v>Peach</v>
      </c>
      <c r="L733" s="3">
        <f>_xlfn.XLOOKUP(D733,Master[Product_Code],Master[Selling_Price])</f>
        <v>720</v>
      </c>
    </row>
    <row r="734" spans="2:12">
      <c r="B734" s="2" t="s">
        <v>2062</v>
      </c>
      <c r="C734" s="7">
        <v>45954</v>
      </c>
      <c r="D734" s="2" t="s">
        <v>1258</v>
      </c>
      <c r="E734" s="4">
        <v>1</v>
      </c>
      <c r="F734" s="8" t="str">
        <f>_xlfn.XLOOKUP(D734,Master[Product_Code],Master[Category])</f>
        <v>Pants</v>
      </c>
      <c r="G734" s="8" t="str">
        <f>_xlfn.XLOOKUP(D734,Master[Product_Code],Master[Brand])</f>
        <v>Peter England</v>
      </c>
      <c r="H734" s="8" t="str">
        <f>_xlfn.XLOOKUP(D734,Master[Product_Code],Master[Style])</f>
        <v>Boot Cut</v>
      </c>
      <c r="I734" s="8" t="str">
        <f>_xlfn.XLOOKUP(D734,Master[Product_Code],Master[Fabric])</f>
        <v>Poly Viscose</v>
      </c>
      <c r="J734" s="8">
        <f>_xlfn.XLOOKUP(D734,Master[Product_Code],Master[Size])</f>
        <v>34</v>
      </c>
      <c r="K734" s="8" t="str">
        <f>_xlfn.XLOOKUP(D734,Master[Product_Code],Master[Color])</f>
        <v>Black</v>
      </c>
      <c r="L734" s="3">
        <f>_xlfn.XLOOKUP(D734,Master[Product_Code],Master[Selling_Price])</f>
        <v>830</v>
      </c>
    </row>
    <row r="735" spans="2:12">
      <c r="B735" s="2" t="s">
        <v>2062</v>
      </c>
      <c r="C735" s="7">
        <v>45954</v>
      </c>
      <c r="D735" s="2" t="s">
        <v>753</v>
      </c>
      <c r="E735" s="4">
        <v>1</v>
      </c>
      <c r="F735" s="8" t="str">
        <f>_xlfn.XLOOKUP(D735,Master[Product_Code],Master[Category])</f>
        <v>T-Shirt</v>
      </c>
      <c r="G735" s="8" t="str">
        <f>_xlfn.XLOOKUP(D735,Master[Product_Code],Master[Brand])</f>
        <v>Max</v>
      </c>
      <c r="H735" s="8" t="str">
        <f>_xlfn.XLOOKUP(D735,Master[Product_Code],Master[Style])</f>
        <v>Full Sleeve</v>
      </c>
      <c r="I735" s="8" t="str">
        <f>_xlfn.XLOOKUP(D735,Master[Product_Code],Master[Fabric])</f>
        <v>Cotton</v>
      </c>
      <c r="J735" s="8" t="str">
        <f>_xlfn.XLOOKUP(D735,Master[Product_Code],Master[Size])</f>
        <v>L</v>
      </c>
      <c r="K735" s="8" t="str">
        <f>_xlfn.XLOOKUP(D735,Master[Product_Code],Master[Color])</f>
        <v>Charcoal</v>
      </c>
      <c r="L735" s="3">
        <f>_xlfn.XLOOKUP(D735,Master[Product_Code],Master[Selling_Price])</f>
        <v>440</v>
      </c>
    </row>
    <row r="736" spans="2:12">
      <c r="B736" s="2" t="s">
        <v>2062</v>
      </c>
      <c r="C736" s="7">
        <v>45954</v>
      </c>
      <c r="D736" s="2" t="s">
        <v>382</v>
      </c>
      <c r="E736" s="4">
        <v>1</v>
      </c>
      <c r="F736" s="8" t="str">
        <f>_xlfn.XLOOKUP(D736,Master[Product_Code],Master[Category])</f>
        <v>Shirt</v>
      </c>
      <c r="G736" s="8" t="str">
        <f>_xlfn.XLOOKUP(D736,Master[Product_Code],Master[Brand])</f>
        <v>L7</v>
      </c>
      <c r="H736" s="8" t="str">
        <f>_xlfn.XLOOKUP(D736,Master[Product_Code],Master[Style])</f>
        <v>Formal</v>
      </c>
      <c r="I736" s="8" t="str">
        <f>_xlfn.XLOOKUP(D736,Master[Product_Code],Master[Fabric])</f>
        <v>Lycra</v>
      </c>
      <c r="J736" s="8" t="str">
        <f>_xlfn.XLOOKUP(D736,Master[Product_Code],Master[Size])</f>
        <v>XXL</v>
      </c>
      <c r="K736" s="8" t="str">
        <f>_xlfn.XLOOKUP(D736,Master[Product_Code],Master[Color])</f>
        <v>Dark Green</v>
      </c>
      <c r="L736" s="3">
        <f>_xlfn.XLOOKUP(D736,Master[Product_Code],Master[Selling_Price])</f>
        <v>830</v>
      </c>
    </row>
    <row r="737" spans="2:12">
      <c r="B737" s="2" t="s">
        <v>2062</v>
      </c>
      <c r="C737" s="7">
        <v>45954</v>
      </c>
      <c r="D737" s="2" t="s">
        <v>976</v>
      </c>
      <c r="E737" s="4">
        <v>1</v>
      </c>
      <c r="F737" s="8" t="str">
        <f>_xlfn.XLOOKUP(D737,Master[Product_Code],Master[Category])</f>
        <v>Jeans</v>
      </c>
      <c r="G737" s="8" t="str">
        <f>_xlfn.XLOOKUP(D737,Master[Product_Code],Master[Brand])</f>
        <v>Denim Pro</v>
      </c>
      <c r="H737" s="8" t="str">
        <f>_xlfn.XLOOKUP(D737,Master[Product_Code],Master[Style])</f>
        <v>Jogger</v>
      </c>
      <c r="I737" s="8" t="str">
        <f>_xlfn.XLOOKUP(D737,Master[Product_Code],Master[Fabric])</f>
        <v>Denim</v>
      </c>
      <c r="J737" s="8">
        <f>_xlfn.XLOOKUP(D737,Master[Product_Code],Master[Size])</f>
        <v>40</v>
      </c>
      <c r="K737" s="8" t="str">
        <f>_xlfn.XLOOKUP(D737,Master[Product_Code],Master[Color])</f>
        <v>Royal Blue</v>
      </c>
      <c r="L737" s="3">
        <f>_xlfn.XLOOKUP(D737,Master[Product_Code],Master[Selling_Price])</f>
        <v>940</v>
      </c>
    </row>
    <row r="738" spans="2:12">
      <c r="B738" s="2" t="s">
        <v>2063</v>
      </c>
      <c r="C738" s="7">
        <v>45954</v>
      </c>
      <c r="D738" s="2" t="s">
        <v>1371</v>
      </c>
      <c r="E738" s="4">
        <v>1</v>
      </c>
      <c r="F738" s="8" t="str">
        <f>_xlfn.XLOOKUP(D738,Master[Product_Code],Master[Category])</f>
        <v>Pants</v>
      </c>
      <c r="G738" s="8" t="str">
        <f>_xlfn.XLOOKUP(D738,Master[Product_Code],Master[Brand])</f>
        <v>Van Heusen</v>
      </c>
      <c r="H738" s="8" t="str">
        <f>_xlfn.XLOOKUP(D738,Master[Product_Code],Master[Style])</f>
        <v>Polofit</v>
      </c>
      <c r="I738" s="8" t="str">
        <f>_xlfn.XLOOKUP(D738,Master[Product_Code],Master[Fabric])</f>
        <v>Lycra</v>
      </c>
      <c r="J738" s="8">
        <f>_xlfn.XLOOKUP(D738,Master[Product_Code],Master[Size])</f>
        <v>36</v>
      </c>
      <c r="K738" s="8" t="str">
        <f>_xlfn.XLOOKUP(D738,Master[Product_Code],Master[Color])</f>
        <v>Bottle Green</v>
      </c>
      <c r="L738" s="3">
        <f>_xlfn.XLOOKUP(D738,Master[Product_Code],Master[Selling_Price])</f>
        <v>760</v>
      </c>
    </row>
    <row r="739" spans="2:12">
      <c r="B739" s="2" t="s">
        <v>2063</v>
      </c>
      <c r="C739" s="7">
        <v>45954</v>
      </c>
      <c r="D739" s="2" t="s">
        <v>1688</v>
      </c>
      <c r="E739" s="4">
        <v>1</v>
      </c>
      <c r="F739" s="8" t="str">
        <f>_xlfn.XLOOKUP(D739,Master[Product_Code],Master[Category])</f>
        <v>Innerwear</v>
      </c>
      <c r="G739" s="8" t="str">
        <f>_xlfn.XLOOKUP(D739,Master[Product_Code],Master[Brand])</f>
        <v>Jockey</v>
      </c>
      <c r="H739" s="8" t="str">
        <f>_xlfn.XLOOKUP(D739,Master[Product_Code],Master[Style])</f>
        <v>V-Cut</v>
      </c>
      <c r="I739" s="8" t="str">
        <f>_xlfn.XLOOKUP(D739,Master[Product_Code],Master[Fabric])</f>
        <v>Cotton</v>
      </c>
      <c r="J739" s="8" t="str">
        <f>_xlfn.XLOOKUP(D739,Master[Product_Code],Master[Size])</f>
        <v>90-100</v>
      </c>
      <c r="K739" s="8" t="str">
        <f>_xlfn.XLOOKUP(D739,Master[Product_Code],Master[Color])</f>
        <v>Royal Blue</v>
      </c>
      <c r="L739" s="3">
        <f>_xlfn.XLOOKUP(D739,Master[Product_Code],Master[Selling_Price])</f>
        <v>190</v>
      </c>
    </row>
    <row r="740" spans="2:12">
      <c r="B740" s="2" t="s">
        <v>2063</v>
      </c>
      <c r="C740" s="7">
        <v>45954</v>
      </c>
      <c r="D740" s="2" t="s">
        <v>695</v>
      </c>
      <c r="E740" s="4">
        <v>1</v>
      </c>
      <c r="F740" s="8" t="str">
        <f>_xlfn.XLOOKUP(D740,Master[Product_Code],Master[Category])</f>
        <v>T-Shirt</v>
      </c>
      <c r="G740" s="8" t="str">
        <f>_xlfn.XLOOKUP(D740,Master[Product_Code],Master[Brand])</f>
        <v>Urban Monkey</v>
      </c>
      <c r="H740" s="8" t="str">
        <f>_xlfn.XLOOKUP(D740,Master[Product_Code],Master[Style])</f>
        <v>Full Sleeve</v>
      </c>
      <c r="I740" s="8" t="str">
        <f>_xlfn.XLOOKUP(D740,Master[Product_Code],Master[Fabric])</f>
        <v>Cotton Blend</v>
      </c>
      <c r="J740" s="8" t="str">
        <f>_xlfn.XLOOKUP(D740,Master[Product_Code],Master[Size])</f>
        <v>L</v>
      </c>
      <c r="K740" s="8" t="str">
        <f>_xlfn.XLOOKUP(D740,Master[Product_Code],Master[Color])</f>
        <v>Dark Green</v>
      </c>
      <c r="L740" s="3">
        <f>_xlfn.XLOOKUP(D740,Master[Product_Code],Master[Selling_Price])</f>
        <v>250</v>
      </c>
    </row>
    <row r="741" spans="2:12">
      <c r="B741" s="2" t="s">
        <v>2063</v>
      </c>
      <c r="C741" s="7">
        <v>45954</v>
      </c>
      <c r="D741" s="2" t="s">
        <v>1751</v>
      </c>
      <c r="E741" s="4">
        <v>1</v>
      </c>
      <c r="F741" s="8" t="str">
        <f>_xlfn.XLOOKUP(D741,Master[Product_Code],Master[Category])</f>
        <v>Innerwear</v>
      </c>
      <c r="G741" s="8" t="str">
        <f>_xlfn.XLOOKUP(D741,Master[Product_Code],Master[Brand])</f>
        <v>Dollar</v>
      </c>
      <c r="H741" s="8" t="str">
        <f>_xlfn.XLOOKUP(D741,Master[Product_Code],Master[Style])</f>
        <v>V-Cut</v>
      </c>
      <c r="I741" s="8" t="str">
        <f>_xlfn.XLOOKUP(D741,Master[Product_Code],Master[Fabric])</f>
        <v>Cotton</v>
      </c>
      <c r="J741" s="8" t="str">
        <f>_xlfn.XLOOKUP(D741,Master[Product_Code],Master[Size])</f>
        <v>105-110</v>
      </c>
      <c r="K741" s="8" t="str">
        <f>_xlfn.XLOOKUP(D741,Master[Product_Code],Master[Color])</f>
        <v>Light Grey</v>
      </c>
      <c r="L741" s="3">
        <f>_xlfn.XLOOKUP(D741,Master[Product_Code],Master[Selling_Price])</f>
        <v>130</v>
      </c>
    </row>
    <row r="742" spans="2:12">
      <c r="B742" s="2" t="s">
        <v>2064</v>
      </c>
      <c r="C742" s="7">
        <v>45954</v>
      </c>
      <c r="D742" s="2" t="s">
        <v>1025</v>
      </c>
      <c r="E742" s="4">
        <v>1</v>
      </c>
      <c r="F742" s="8" t="str">
        <f>_xlfn.XLOOKUP(D742,Master[Product_Code],Master[Category])</f>
        <v>Jeans</v>
      </c>
      <c r="G742" s="8" t="str">
        <f>_xlfn.XLOOKUP(D742,Master[Product_Code],Master[Brand])</f>
        <v>Wrangler</v>
      </c>
      <c r="H742" s="8" t="str">
        <f>_xlfn.XLOOKUP(D742,Master[Product_Code],Master[Style])</f>
        <v>Mom Fit</v>
      </c>
      <c r="I742" s="8" t="str">
        <f>_xlfn.XLOOKUP(D742,Master[Product_Code],Master[Fabric])</f>
        <v>Denim</v>
      </c>
      <c r="J742" s="8">
        <f>_xlfn.XLOOKUP(D742,Master[Product_Code],Master[Size])</f>
        <v>40</v>
      </c>
      <c r="K742" s="8" t="str">
        <f>_xlfn.XLOOKUP(D742,Master[Product_Code],Master[Color])</f>
        <v>Light Grey</v>
      </c>
      <c r="L742" s="3">
        <f>_xlfn.XLOOKUP(D742,Master[Product_Code],Master[Selling_Price])</f>
        <v>1080</v>
      </c>
    </row>
    <row r="743" spans="2:12">
      <c r="B743" s="2" t="s">
        <v>2064</v>
      </c>
      <c r="C743" s="7">
        <v>45954</v>
      </c>
      <c r="D743" s="2" t="s">
        <v>187</v>
      </c>
      <c r="E743" s="4">
        <v>1</v>
      </c>
      <c r="F743" s="8" t="str">
        <f>_xlfn.XLOOKUP(D743,Master[Product_Code],Master[Category])</f>
        <v>Shirt</v>
      </c>
      <c r="G743" s="8" t="str">
        <f>_xlfn.XLOOKUP(D743,Master[Product_Code],Master[Brand])</f>
        <v>H&amp;M</v>
      </c>
      <c r="H743" s="8" t="str">
        <f>_xlfn.XLOOKUP(D743,Master[Product_Code],Master[Style])</f>
        <v>Formal</v>
      </c>
      <c r="I743" s="8" t="str">
        <f>_xlfn.XLOOKUP(D743,Master[Product_Code],Master[Fabric])</f>
        <v>Polyester</v>
      </c>
      <c r="J743" s="8" t="str">
        <f>_xlfn.XLOOKUP(D743,Master[Product_Code],Master[Size])</f>
        <v>S</v>
      </c>
      <c r="K743" s="8" t="str">
        <f>_xlfn.XLOOKUP(D743,Master[Product_Code],Master[Color])</f>
        <v>Charcoal</v>
      </c>
      <c r="L743" s="3">
        <f>_xlfn.XLOOKUP(D743,Master[Product_Code],Master[Selling_Price])</f>
        <v>740</v>
      </c>
    </row>
    <row r="744" spans="2:12">
      <c r="B744" s="2" t="s">
        <v>2065</v>
      </c>
      <c r="C744" s="7">
        <v>45954</v>
      </c>
      <c r="D744" s="2" t="s">
        <v>549</v>
      </c>
      <c r="E744" s="4">
        <v>1</v>
      </c>
      <c r="F744" s="8" t="str">
        <f>_xlfn.XLOOKUP(D744,Master[Product_Code],Master[Category])</f>
        <v>T-Shirt</v>
      </c>
      <c r="G744" s="8" t="str">
        <f>_xlfn.XLOOKUP(D744,Master[Product_Code],Master[Brand])</f>
        <v>Max</v>
      </c>
      <c r="H744" s="8" t="str">
        <f>_xlfn.XLOOKUP(D744,Master[Product_Code],Master[Style])</f>
        <v>Half Sleeve</v>
      </c>
      <c r="I744" s="8" t="str">
        <f>_xlfn.XLOOKUP(D744,Master[Product_Code],Master[Fabric])</f>
        <v>Cotton</v>
      </c>
      <c r="J744" s="8" t="str">
        <f>_xlfn.XLOOKUP(D744,Master[Product_Code],Master[Size])</f>
        <v>XXL</v>
      </c>
      <c r="K744" s="8" t="str">
        <f>_xlfn.XLOOKUP(D744,Master[Product_Code],Master[Color])</f>
        <v>Teal</v>
      </c>
      <c r="L744" s="3">
        <f>_xlfn.XLOOKUP(D744,Master[Product_Code],Master[Selling_Price])</f>
        <v>210</v>
      </c>
    </row>
    <row r="745" spans="2:12">
      <c r="B745" s="2" t="s">
        <v>2065</v>
      </c>
      <c r="C745" s="7">
        <v>45954</v>
      </c>
      <c r="D745" s="2" t="s">
        <v>462</v>
      </c>
      <c r="E745" s="4">
        <v>1</v>
      </c>
      <c r="F745" s="8" t="str">
        <f>_xlfn.XLOOKUP(D745,Master[Product_Code],Master[Category])</f>
        <v>T-Shirt</v>
      </c>
      <c r="G745" s="8" t="str">
        <f>_xlfn.XLOOKUP(D745,Master[Product_Code],Master[Brand])</f>
        <v>Roadster</v>
      </c>
      <c r="H745" s="8" t="str">
        <f>_xlfn.XLOOKUP(D745,Master[Product_Code],Master[Style])</f>
        <v>Full Sleeve</v>
      </c>
      <c r="I745" s="8" t="str">
        <f>_xlfn.XLOOKUP(D745,Master[Product_Code],Master[Fabric])</f>
        <v>Poly Cotton</v>
      </c>
      <c r="J745" s="8" t="str">
        <f>_xlfn.XLOOKUP(D745,Master[Product_Code],Master[Size])</f>
        <v>XXL</v>
      </c>
      <c r="K745" s="8" t="str">
        <f>_xlfn.XLOOKUP(D745,Master[Product_Code],Master[Color])</f>
        <v>Black</v>
      </c>
      <c r="L745" s="3">
        <f>_xlfn.XLOOKUP(D745,Master[Product_Code],Master[Selling_Price])</f>
        <v>630</v>
      </c>
    </row>
    <row r="746" spans="2:12">
      <c r="B746" s="2" t="s">
        <v>2065</v>
      </c>
      <c r="C746" s="7">
        <v>45954</v>
      </c>
      <c r="D746" s="2" t="s">
        <v>927</v>
      </c>
      <c r="E746" s="4">
        <v>1</v>
      </c>
      <c r="F746" s="8" t="str">
        <f>_xlfn.XLOOKUP(D746,Master[Product_Code],Master[Category])</f>
        <v>Jeans</v>
      </c>
      <c r="G746" s="8" t="str">
        <f>_xlfn.XLOOKUP(D746,Master[Product_Code],Master[Brand])</f>
        <v>Levis</v>
      </c>
      <c r="H746" s="8" t="str">
        <f>_xlfn.XLOOKUP(D746,Master[Product_Code],Master[Style])</f>
        <v>Baggy</v>
      </c>
      <c r="I746" s="8" t="str">
        <f>_xlfn.XLOOKUP(D746,Master[Product_Code],Master[Fabric])</f>
        <v>Denim</v>
      </c>
      <c r="J746" s="8">
        <f>_xlfn.XLOOKUP(D746,Master[Product_Code],Master[Size])</f>
        <v>38</v>
      </c>
      <c r="K746" s="8" t="str">
        <f>_xlfn.XLOOKUP(D746,Master[Product_Code],Master[Color])</f>
        <v>Grey</v>
      </c>
      <c r="L746" s="3">
        <f>_xlfn.XLOOKUP(D746,Master[Product_Code],Master[Selling_Price])</f>
        <v>880</v>
      </c>
    </row>
    <row r="747" spans="2:12">
      <c r="B747" s="2" t="s">
        <v>2066</v>
      </c>
      <c r="C747" s="7">
        <v>45954</v>
      </c>
      <c r="D747" s="2" t="s">
        <v>754</v>
      </c>
      <c r="E747" s="4">
        <v>1</v>
      </c>
      <c r="F747" s="8" t="str">
        <f>_xlfn.XLOOKUP(D747,Master[Product_Code],Master[Category])</f>
        <v>T-Shirt</v>
      </c>
      <c r="G747" s="8" t="str">
        <f>_xlfn.XLOOKUP(D747,Master[Product_Code],Master[Brand])</f>
        <v>Campus</v>
      </c>
      <c r="H747" s="8" t="str">
        <f>_xlfn.XLOOKUP(D747,Master[Product_Code],Master[Style])</f>
        <v>Sleeveless</v>
      </c>
      <c r="I747" s="8" t="str">
        <f>_xlfn.XLOOKUP(D747,Master[Product_Code],Master[Fabric])</f>
        <v>Cotton Blend</v>
      </c>
      <c r="J747" s="8" t="str">
        <f>_xlfn.XLOOKUP(D747,Master[Product_Code],Master[Size])</f>
        <v>L</v>
      </c>
      <c r="K747" s="8" t="str">
        <f>_xlfn.XLOOKUP(D747,Master[Product_Code],Master[Color])</f>
        <v>Maroon</v>
      </c>
      <c r="L747" s="3">
        <f>_xlfn.XLOOKUP(D747,Master[Product_Code],Master[Selling_Price])</f>
        <v>720</v>
      </c>
    </row>
    <row r="748" spans="2:12">
      <c r="B748" s="2" t="s">
        <v>2067</v>
      </c>
      <c r="C748" s="7">
        <v>45954</v>
      </c>
      <c r="D748" s="2" t="s">
        <v>433</v>
      </c>
      <c r="E748" s="4">
        <v>1</v>
      </c>
      <c r="F748" s="8" t="str">
        <f>_xlfn.XLOOKUP(D748,Master[Product_Code],Master[Category])</f>
        <v>T-Shirt</v>
      </c>
      <c r="G748" s="8" t="str">
        <f>_xlfn.XLOOKUP(D748,Master[Product_Code],Master[Brand])</f>
        <v>Roadster</v>
      </c>
      <c r="H748" s="8" t="str">
        <f>_xlfn.XLOOKUP(D748,Master[Product_Code],Master[Style])</f>
        <v>Sleeveless</v>
      </c>
      <c r="I748" s="8" t="str">
        <f>_xlfn.XLOOKUP(D748,Master[Product_Code],Master[Fabric])</f>
        <v>Cotton</v>
      </c>
      <c r="J748" s="8" t="str">
        <f>_xlfn.XLOOKUP(D748,Master[Product_Code],Master[Size])</f>
        <v>S</v>
      </c>
      <c r="K748" s="8" t="str">
        <f>_xlfn.XLOOKUP(D748,Master[Product_Code],Master[Color])</f>
        <v>Sky Blue</v>
      </c>
      <c r="L748" s="3">
        <f>_xlfn.XLOOKUP(D748,Master[Product_Code],Master[Selling_Price])</f>
        <v>220</v>
      </c>
    </row>
    <row r="749" spans="2:12">
      <c r="B749" s="2" t="s">
        <v>2067</v>
      </c>
      <c r="C749" s="7">
        <v>45954</v>
      </c>
      <c r="D749" s="2" t="s">
        <v>622</v>
      </c>
      <c r="E749" s="4">
        <v>1</v>
      </c>
      <c r="F749" s="8" t="str">
        <f>_xlfn.XLOOKUP(D749,Master[Product_Code],Master[Category])</f>
        <v>T-Shirt</v>
      </c>
      <c r="G749" s="8" t="str">
        <f>_xlfn.XLOOKUP(D749,Master[Product_Code],Master[Brand])</f>
        <v>Max</v>
      </c>
      <c r="H749" s="8" t="str">
        <f>_xlfn.XLOOKUP(D749,Master[Product_Code],Master[Style])</f>
        <v>3/4 Sleeve</v>
      </c>
      <c r="I749" s="8" t="str">
        <f>_xlfn.XLOOKUP(D749,Master[Product_Code],Master[Fabric])</f>
        <v>Poly Cotton</v>
      </c>
      <c r="J749" s="8" t="str">
        <f>_xlfn.XLOOKUP(D749,Master[Product_Code],Master[Size])</f>
        <v>M</v>
      </c>
      <c r="K749" s="8" t="str">
        <f>_xlfn.XLOOKUP(D749,Master[Product_Code],Master[Color])</f>
        <v>White</v>
      </c>
      <c r="L749" s="3">
        <f>_xlfn.XLOOKUP(D749,Master[Product_Code],Master[Selling_Price])</f>
        <v>240</v>
      </c>
    </row>
    <row r="750" spans="2:12">
      <c r="B750" s="2" t="s">
        <v>2068</v>
      </c>
      <c r="C750" s="7">
        <v>45954</v>
      </c>
      <c r="D750" s="2" t="s">
        <v>1165</v>
      </c>
      <c r="E750" s="4">
        <v>1</v>
      </c>
      <c r="F750" s="8" t="str">
        <f>_xlfn.XLOOKUP(D750,Master[Product_Code],Master[Category])</f>
        <v>Pants</v>
      </c>
      <c r="G750" s="8" t="str">
        <f>_xlfn.XLOOKUP(D750,Master[Product_Code],Master[Brand])</f>
        <v>Van Heusen</v>
      </c>
      <c r="H750" s="8" t="str">
        <f>_xlfn.XLOOKUP(D750,Master[Product_Code],Master[Style])</f>
        <v>Jogger</v>
      </c>
      <c r="I750" s="8" t="str">
        <f>_xlfn.XLOOKUP(D750,Master[Product_Code],Master[Fabric])</f>
        <v>Poly Viscose</v>
      </c>
      <c r="J750" s="8">
        <f>_xlfn.XLOOKUP(D750,Master[Product_Code],Master[Size])</f>
        <v>28</v>
      </c>
      <c r="K750" s="8" t="str">
        <f>_xlfn.XLOOKUP(D750,Master[Product_Code],Master[Color])</f>
        <v>Brown</v>
      </c>
      <c r="L750" s="3">
        <f>_xlfn.XLOOKUP(D750,Master[Product_Code],Master[Selling_Price])</f>
        <v>840</v>
      </c>
    </row>
    <row r="751" spans="2:12">
      <c r="B751" s="2" t="s">
        <v>2068</v>
      </c>
      <c r="C751" s="7">
        <v>45954</v>
      </c>
      <c r="D751" s="2" t="s">
        <v>1390</v>
      </c>
      <c r="E751" s="4">
        <v>1</v>
      </c>
      <c r="F751" s="8" t="str">
        <f>_xlfn.XLOOKUP(D751,Master[Product_Code],Master[Category])</f>
        <v>Pants</v>
      </c>
      <c r="G751" s="8" t="str">
        <f>_xlfn.XLOOKUP(D751,Master[Product_Code],Master[Brand])</f>
        <v>Louis Philippe</v>
      </c>
      <c r="H751" s="8" t="str">
        <f>_xlfn.XLOOKUP(D751,Master[Product_Code],Master[Style])</f>
        <v>Jogger</v>
      </c>
      <c r="I751" s="8" t="str">
        <f>_xlfn.XLOOKUP(D751,Master[Product_Code],Master[Fabric])</f>
        <v>Poly Viscose</v>
      </c>
      <c r="J751" s="8">
        <f>_xlfn.XLOOKUP(D751,Master[Product_Code],Master[Size])</f>
        <v>40</v>
      </c>
      <c r="K751" s="8" t="str">
        <f>_xlfn.XLOOKUP(D751,Master[Product_Code],Master[Color])</f>
        <v>Olive</v>
      </c>
      <c r="L751" s="3">
        <f>_xlfn.XLOOKUP(D751,Master[Product_Code],Master[Selling_Price])</f>
        <v>830</v>
      </c>
    </row>
    <row r="752" spans="2:12">
      <c r="B752" s="2" t="s">
        <v>2069</v>
      </c>
      <c r="C752" s="7">
        <v>45954</v>
      </c>
      <c r="D752" s="2" t="s">
        <v>372</v>
      </c>
      <c r="E752" s="4">
        <v>1</v>
      </c>
      <c r="F752" s="8" t="str">
        <f>_xlfn.XLOOKUP(D752,Master[Product_Code],Master[Category])</f>
        <v>Shirt</v>
      </c>
      <c r="G752" s="8" t="str">
        <f>_xlfn.XLOOKUP(D752,Master[Product_Code],Master[Brand])</f>
        <v>USD</v>
      </c>
      <c r="H752" s="8" t="str">
        <f>_xlfn.XLOOKUP(D752,Master[Product_Code],Master[Style])</f>
        <v>Partywear</v>
      </c>
      <c r="I752" s="8" t="str">
        <f>_xlfn.XLOOKUP(D752,Master[Product_Code],Master[Fabric])</f>
        <v>Polyester</v>
      </c>
      <c r="J752" s="8" t="str">
        <f>_xlfn.XLOOKUP(D752,Master[Product_Code],Master[Size])</f>
        <v>L</v>
      </c>
      <c r="K752" s="8" t="str">
        <f>_xlfn.XLOOKUP(D752,Master[Product_Code],Master[Color])</f>
        <v>Olive</v>
      </c>
      <c r="L752" s="3">
        <f>_xlfn.XLOOKUP(D752,Master[Product_Code],Master[Selling_Price])</f>
        <v>750</v>
      </c>
    </row>
    <row r="753" spans="2:12">
      <c r="B753" s="2" t="s">
        <v>2069</v>
      </c>
      <c r="C753" s="7">
        <v>45954</v>
      </c>
      <c r="D753" s="2" t="s">
        <v>471</v>
      </c>
      <c r="E753" s="4">
        <v>1</v>
      </c>
      <c r="F753" s="8" t="str">
        <f>_xlfn.XLOOKUP(D753,Master[Product_Code],Master[Category])</f>
        <v>T-Shirt</v>
      </c>
      <c r="G753" s="8" t="str">
        <f>_xlfn.XLOOKUP(D753,Master[Product_Code],Master[Brand])</f>
        <v>Zara</v>
      </c>
      <c r="H753" s="8" t="str">
        <f>_xlfn.XLOOKUP(D753,Master[Product_Code],Master[Style])</f>
        <v>Sleeveless</v>
      </c>
      <c r="I753" s="8" t="str">
        <f>_xlfn.XLOOKUP(D753,Master[Product_Code],Master[Fabric])</f>
        <v>Cotton</v>
      </c>
      <c r="J753" s="8" t="str">
        <f>_xlfn.XLOOKUP(D753,Master[Product_Code],Master[Size])</f>
        <v>L</v>
      </c>
      <c r="K753" s="8" t="str">
        <f>_xlfn.XLOOKUP(D753,Master[Product_Code],Master[Color])</f>
        <v>Bottle Green</v>
      </c>
      <c r="L753" s="3">
        <f>_xlfn.XLOOKUP(D753,Master[Product_Code],Master[Selling_Price])</f>
        <v>460</v>
      </c>
    </row>
    <row r="754" spans="2:12">
      <c r="B754" s="2" t="s">
        <v>2069</v>
      </c>
      <c r="C754" s="7">
        <v>45954</v>
      </c>
      <c r="D754" s="2" t="s">
        <v>1197</v>
      </c>
      <c r="E754" s="4">
        <v>1</v>
      </c>
      <c r="F754" s="8" t="str">
        <f>_xlfn.XLOOKUP(D754,Master[Product_Code],Master[Category])</f>
        <v>Pants</v>
      </c>
      <c r="G754" s="8" t="str">
        <f>_xlfn.XLOOKUP(D754,Master[Product_Code],Master[Brand])</f>
        <v>Louis Philippe</v>
      </c>
      <c r="H754" s="8" t="str">
        <f>_xlfn.XLOOKUP(D754,Master[Product_Code],Master[Style])</f>
        <v>Kurka</v>
      </c>
      <c r="I754" s="8" t="str">
        <f>_xlfn.XLOOKUP(D754,Master[Product_Code],Master[Fabric])</f>
        <v>Lycra</v>
      </c>
      <c r="J754" s="8">
        <f>_xlfn.XLOOKUP(D754,Master[Product_Code],Master[Size])</f>
        <v>40</v>
      </c>
      <c r="K754" s="8" t="str">
        <f>_xlfn.XLOOKUP(D754,Master[Product_Code],Master[Color])</f>
        <v>Brown</v>
      </c>
      <c r="L754" s="3">
        <f>_xlfn.XLOOKUP(D754,Master[Product_Code],Master[Selling_Price])</f>
        <v>940</v>
      </c>
    </row>
    <row r="755" spans="2:12">
      <c r="B755" s="2" t="s">
        <v>2070</v>
      </c>
      <c r="C755" s="7">
        <v>45954</v>
      </c>
      <c r="D755" s="2" t="s">
        <v>831</v>
      </c>
      <c r="E755" s="4">
        <v>1</v>
      </c>
      <c r="F755" s="8" t="str">
        <f>_xlfn.XLOOKUP(D755,Master[Product_Code],Master[Category])</f>
        <v>T-Shirt</v>
      </c>
      <c r="G755" s="8" t="str">
        <f>_xlfn.XLOOKUP(D755,Master[Product_Code],Master[Brand])</f>
        <v>Turkey</v>
      </c>
      <c r="H755" s="8" t="str">
        <f>_xlfn.XLOOKUP(D755,Master[Product_Code],Master[Style])</f>
        <v>3/4 Sleeve</v>
      </c>
      <c r="I755" s="8" t="str">
        <f>_xlfn.XLOOKUP(D755,Master[Product_Code],Master[Fabric])</f>
        <v>Cotton Blend</v>
      </c>
      <c r="J755" s="8" t="str">
        <f>_xlfn.XLOOKUP(D755,Master[Product_Code],Master[Size])</f>
        <v>S</v>
      </c>
      <c r="K755" s="8" t="str">
        <f>_xlfn.XLOOKUP(D755,Master[Product_Code],Master[Color])</f>
        <v>Cream</v>
      </c>
      <c r="L755" s="3">
        <f>_xlfn.XLOOKUP(D755,Master[Product_Code],Master[Selling_Price])</f>
        <v>250</v>
      </c>
    </row>
    <row r="756" spans="2:12">
      <c r="B756" s="2" t="s">
        <v>2071</v>
      </c>
      <c r="C756" s="7">
        <v>45954</v>
      </c>
      <c r="D756" s="2" t="s">
        <v>1636</v>
      </c>
      <c r="E756" s="4">
        <v>1</v>
      </c>
      <c r="F756" s="8" t="str">
        <f>_xlfn.XLOOKUP(D756,Master[Product_Code],Master[Category])</f>
        <v>Innerwear</v>
      </c>
      <c r="G756" s="8" t="str">
        <f>_xlfn.XLOOKUP(D756,Master[Product_Code],Master[Brand])</f>
        <v>Lux</v>
      </c>
      <c r="H756" s="8" t="str">
        <f>_xlfn.XLOOKUP(D756,Master[Product_Code],Master[Style])</f>
        <v>V-Cut</v>
      </c>
      <c r="I756" s="8" t="str">
        <f>_xlfn.XLOOKUP(D756,Master[Product_Code],Master[Fabric])</f>
        <v>Cotton</v>
      </c>
      <c r="J756" s="8" t="str">
        <f>_xlfn.XLOOKUP(D756,Master[Product_Code],Master[Size])</f>
        <v>105-110</v>
      </c>
      <c r="K756" s="8" t="str">
        <f>_xlfn.XLOOKUP(D756,Master[Product_Code],Master[Color])</f>
        <v>Royal Blue</v>
      </c>
      <c r="L756" s="3">
        <f>_xlfn.XLOOKUP(D756,Master[Product_Code],Master[Selling_Price])</f>
        <v>170</v>
      </c>
    </row>
    <row r="757" spans="2:12">
      <c r="B757" s="2" t="s">
        <v>2071</v>
      </c>
      <c r="C757" s="7">
        <v>45954</v>
      </c>
      <c r="D757" s="2" t="s">
        <v>1699</v>
      </c>
      <c r="E757" s="4">
        <v>1</v>
      </c>
      <c r="F757" s="8" t="str">
        <f>_xlfn.XLOOKUP(D757,Master[Product_Code],Master[Category])</f>
        <v>Innerwear</v>
      </c>
      <c r="G757" s="8" t="str">
        <f>_xlfn.XLOOKUP(D757,Master[Product_Code],Master[Brand])</f>
        <v>Rupa</v>
      </c>
      <c r="H757" s="8" t="str">
        <f>_xlfn.XLOOKUP(D757,Master[Product_Code],Master[Style])</f>
        <v>V-Cut</v>
      </c>
      <c r="I757" s="8" t="str">
        <f>_xlfn.XLOOKUP(D757,Master[Product_Code],Master[Fabric])</f>
        <v>Cotton Blend</v>
      </c>
      <c r="J757" s="8" t="str">
        <f>_xlfn.XLOOKUP(D757,Master[Product_Code],Master[Size])</f>
        <v>75-80</v>
      </c>
      <c r="K757" s="8" t="str">
        <f>_xlfn.XLOOKUP(D757,Master[Product_Code],Master[Color])</f>
        <v>Navy Blue</v>
      </c>
      <c r="L757" s="3">
        <f>_xlfn.XLOOKUP(D757,Master[Product_Code],Master[Selling_Price])</f>
        <v>150</v>
      </c>
    </row>
    <row r="758" spans="2:12">
      <c r="B758" s="2" t="s">
        <v>2071</v>
      </c>
      <c r="C758" s="7">
        <v>45954</v>
      </c>
      <c r="D758" s="2" t="s">
        <v>702</v>
      </c>
      <c r="E758" s="4">
        <v>1</v>
      </c>
      <c r="F758" s="8" t="str">
        <f>_xlfn.XLOOKUP(D758,Master[Product_Code],Master[Category])</f>
        <v>T-Shirt</v>
      </c>
      <c r="G758" s="8" t="str">
        <f>_xlfn.XLOOKUP(D758,Master[Product_Code],Master[Brand])</f>
        <v>Campus</v>
      </c>
      <c r="H758" s="8" t="str">
        <f>_xlfn.XLOOKUP(D758,Master[Product_Code],Master[Style])</f>
        <v>Hoodie</v>
      </c>
      <c r="I758" s="8" t="str">
        <f>_xlfn.XLOOKUP(D758,Master[Product_Code],Master[Fabric])</f>
        <v>Poly Cotton</v>
      </c>
      <c r="J758" s="8" t="str">
        <f>_xlfn.XLOOKUP(D758,Master[Product_Code],Master[Size])</f>
        <v>M</v>
      </c>
      <c r="K758" s="8" t="str">
        <f>_xlfn.XLOOKUP(D758,Master[Product_Code],Master[Color])</f>
        <v>Peach</v>
      </c>
      <c r="L758" s="3">
        <f>_xlfn.XLOOKUP(D758,Master[Product_Code],Master[Selling_Price])</f>
        <v>540</v>
      </c>
    </row>
    <row r="759" spans="2:12">
      <c r="B759" s="2" t="s">
        <v>2071</v>
      </c>
      <c r="C759" s="7">
        <v>45954</v>
      </c>
      <c r="D759" s="2" t="s">
        <v>817</v>
      </c>
      <c r="E759" s="4">
        <v>1</v>
      </c>
      <c r="F759" s="8" t="str">
        <f>_xlfn.XLOOKUP(D759,Master[Product_Code],Master[Category])</f>
        <v>T-Shirt</v>
      </c>
      <c r="G759" s="8" t="str">
        <f>_xlfn.XLOOKUP(D759,Master[Product_Code],Master[Brand])</f>
        <v>Zara</v>
      </c>
      <c r="H759" s="8" t="str">
        <f>_xlfn.XLOOKUP(D759,Master[Product_Code],Master[Style])</f>
        <v>Sleeveless</v>
      </c>
      <c r="I759" s="8" t="str">
        <f>_xlfn.XLOOKUP(D759,Master[Product_Code],Master[Fabric])</f>
        <v>Cotton Blend</v>
      </c>
      <c r="J759" s="8" t="str">
        <f>_xlfn.XLOOKUP(D759,Master[Product_Code],Master[Size])</f>
        <v>XXL</v>
      </c>
      <c r="K759" s="8" t="str">
        <f>_xlfn.XLOOKUP(D759,Master[Product_Code],Master[Color])</f>
        <v>Mustard</v>
      </c>
      <c r="L759" s="3">
        <f>_xlfn.XLOOKUP(D759,Master[Product_Code],Master[Selling_Price])</f>
        <v>600</v>
      </c>
    </row>
    <row r="760" spans="2:12">
      <c r="B760" s="2" t="s">
        <v>2072</v>
      </c>
      <c r="C760" s="7">
        <v>45954</v>
      </c>
      <c r="D760" s="2" t="s">
        <v>1127</v>
      </c>
      <c r="E760" s="4">
        <v>1</v>
      </c>
      <c r="F760" s="8" t="str">
        <f>_xlfn.XLOOKUP(D760,Master[Product_Code],Master[Category])</f>
        <v>Jeans</v>
      </c>
      <c r="G760" s="8" t="str">
        <f>_xlfn.XLOOKUP(D760,Master[Product_Code],Master[Brand])</f>
        <v>Levis</v>
      </c>
      <c r="H760" s="8" t="str">
        <f>_xlfn.XLOOKUP(D760,Master[Product_Code],Master[Style])</f>
        <v>Mom Fit</v>
      </c>
      <c r="I760" s="8" t="str">
        <f>_xlfn.XLOOKUP(D760,Master[Product_Code],Master[Fabric])</f>
        <v>Denim</v>
      </c>
      <c r="J760" s="8">
        <f>_xlfn.XLOOKUP(D760,Master[Product_Code],Master[Size])</f>
        <v>30</v>
      </c>
      <c r="K760" s="8" t="str">
        <f>_xlfn.XLOOKUP(D760,Master[Product_Code],Master[Color])</f>
        <v>Sky Blue</v>
      </c>
      <c r="L760" s="3">
        <f>_xlfn.XLOOKUP(D760,Master[Product_Code],Master[Selling_Price])</f>
        <v>800</v>
      </c>
    </row>
    <row r="761" spans="2:12">
      <c r="B761" s="2" t="s">
        <v>2072</v>
      </c>
      <c r="C761" s="7">
        <v>45954</v>
      </c>
      <c r="D761" s="2" t="s">
        <v>50</v>
      </c>
      <c r="E761" s="4">
        <v>1</v>
      </c>
      <c r="F761" s="8" t="str">
        <f>_xlfn.XLOOKUP(D761,Master[Product_Code],Master[Category])</f>
        <v>Shirt</v>
      </c>
      <c r="G761" s="8" t="str">
        <f>_xlfn.XLOOKUP(D761,Master[Product_Code],Master[Brand])</f>
        <v>L7</v>
      </c>
      <c r="H761" s="8" t="str">
        <f>_xlfn.XLOOKUP(D761,Master[Product_Code],Master[Style])</f>
        <v>Formal</v>
      </c>
      <c r="I761" s="8" t="str">
        <f>_xlfn.XLOOKUP(D761,Master[Product_Code],Master[Fabric])</f>
        <v>Cotton Blend</v>
      </c>
      <c r="J761" s="8" t="str">
        <f>_xlfn.XLOOKUP(D761,Master[Product_Code],Master[Size])</f>
        <v>M</v>
      </c>
      <c r="K761" s="8" t="str">
        <f>_xlfn.XLOOKUP(D761,Master[Product_Code],Master[Color])</f>
        <v>Peach</v>
      </c>
      <c r="L761" s="3">
        <f>_xlfn.XLOOKUP(D761,Master[Product_Code],Master[Selling_Price])</f>
        <v>720</v>
      </c>
    </row>
    <row r="762" spans="2:12">
      <c r="B762" s="2" t="s">
        <v>2072</v>
      </c>
      <c r="C762" s="7">
        <v>45954</v>
      </c>
      <c r="D762" s="2" t="s">
        <v>374</v>
      </c>
      <c r="E762" s="4">
        <v>1</v>
      </c>
      <c r="F762" s="8" t="str">
        <f>_xlfn.XLOOKUP(D762,Master[Product_Code],Master[Category])</f>
        <v>Shirt</v>
      </c>
      <c r="G762" s="8" t="str">
        <f>_xlfn.XLOOKUP(D762,Master[Product_Code],Master[Brand])</f>
        <v>Luke &amp; Burg</v>
      </c>
      <c r="H762" s="8" t="str">
        <f>_xlfn.XLOOKUP(D762,Master[Product_Code],Master[Style])</f>
        <v>Partywear</v>
      </c>
      <c r="I762" s="8" t="str">
        <f>_xlfn.XLOOKUP(D762,Master[Product_Code],Master[Fabric])</f>
        <v>Cotton Blend</v>
      </c>
      <c r="J762" s="8" t="str">
        <f>_xlfn.XLOOKUP(D762,Master[Product_Code],Master[Size])</f>
        <v>S</v>
      </c>
      <c r="K762" s="8" t="str">
        <f>_xlfn.XLOOKUP(D762,Master[Product_Code],Master[Color])</f>
        <v>Rust</v>
      </c>
      <c r="L762" s="3">
        <f>_xlfn.XLOOKUP(D762,Master[Product_Code],Master[Selling_Price])</f>
        <v>920</v>
      </c>
    </row>
    <row r="763" spans="2:12">
      <c r="B763" s="2" t="s">
        <v>2072</v>
      </c>
      <c r="C763" s="7">
        <v>45954</v>
      </c>
      <c r="D763" s="2" t="s">
        <v>549</v>
      </c>
      <c r="E763" s="4">
        <v>1</v>
      </c>
      <c r="F763" s="8" t="str">
        <f>_xlfn.XLOOKUP(D763,Master[Product_Code],Master[Category])</f>
        <v>T-Shirt</v>
      </c>
      <c r="G763" s="8" t="str">
        <f>_xlfn.XLOOKUP(D763,Master[Product_Code],Master[Brand])</f>
        <v>Max</v>
      </c>
      <c r="H763" s="8" t="str">
        <f>_xlfn.XLOOKUP(D763,Master[Product_Code],Master[Style])</f>
        <v>Half Sleeve</v>
      </c>
      <c r="I763" s="8" t="str">
        <f>_xlfn.XLOOKUP(D763,Master[Product_Code],Master[Fabric])</f>
        <v>Cotton</v>
      </c>
      <c r="J763" s="8" t="str">
        <f>_xlfn.XLOOKUP(D763,Master[Product_Code],Master[Size])</f>
        <v>XXL</v>
      </c>
      <c r="K763" s="8" t="str">
        <f>_xlfn.XLOOKUP(D763,Master[Product_Code],Master[Color])</f>
        <v>Teal</v>
      </c>
      <c r="L763" s="3">
        <f>_xlfn.XLOOKUP(D763,Master[Product_Code],Master[Selling_Price])</f>
        <v>210</v>
      </c>
    </row>
    <row r="764" spans="2:12">
      <c r="B764" s="2" t="s">
        <v>2073</v>
      </c>
      <c r="C764" s="7">
        <v>45954</v>
      </c>
      <c r="D764" s="2" t="s">
        <v>1598</v>
      </c>
      <c r="E764" s="4">
        <v>1</v>
      </c>
      <c r="F764" s="8" t="str">
        <f>_xlfn.XLOOKUP(D764,Master[Product_Code],Master[Category])</f>
        <v>Innerwear</v>
      </c>
      <c r="G764" s="8" t="str">
        <f>_xlfn.XLOOKUP(D764,Master[Product_Code],Master[Brand])</f>
        <v>V Star</v>
      </c>
      <c r="H764" s="8" t="str">
        <f>_xlfn.XLOOKUP(D764,Master[Product_Code],Master[Style])</f>
        <v>V-Cut</v>
      </c>
      <c r="I764" s="8" t="str">
        <f>_xlfn.XLOOKUP(D764,Master[Product_Code],Master[Fabric])</f>
        <v>Cotton Blend</v>
      </c>
      <c r="J764" s="8" t="str">
        <f>_xlfn.XLOOKUP(D764,Master[Product_Code],Master[Size])</f>
        <v>75-80</v>
      </c>
      <c r="K764" s="8" t="str">
        <f>_xlfn.XLOOKUP(D764,Master[Product_Code],Master[Color])</f>
        <v>Wine</v>
      </c>
      <c r="L764" s="3">
        <f>_xlfn.XLOOKUP(D764,Master[Product_Code],Master[Selling_Price])</f>
        <v>180</v>
      </c>
    </row>
    <row r="765" spans="2:12">
      <c r="B765" s="2" t="s">
        <v>2073</v>
      </c>
      <c r="C765" s="7">
        <v>45954</v>
      </c>
      <c r="D765" s="2" t="s">
        <v>863</v>
      </c>
      <c r="E765" s="4">
        <v>1</v>
      </c>
      <c r="F765" s="8" t="str">
        <f>_xlfn.XLOOKUP(D765,Master[Product_Code],Master[Category])</f>
        <v>Jeans</v>
      </c>
      <c r="G765" s="8" t="str">
        <f>_xlfn.XLOOKUP(D765,Master[Product_Code],Master[Brand])</f>
        <v>Levis</v>
      </c>
      <c r="H765" s="8" t="str">
        <f>_xlfn.XLOOKUP(D765,Master[Product_Code],Master[Style])</f>
        <v>Jogger</v>
      </c>
      <c r="I765" s="8" t="str">
        <f>_xlfn.XLOOKUP(D765,Master[Product_Code],Master[Fabric])</f>
        <v>Denim</v>
      </c>
      <c r="J765" s="8">
        <f>_xlfn.XLOOKUP(D765,Master[Product_Code],Master[Size])</f>
        <v>44</v>
      </c>
      <c r="K765" s="8" t="str">
        <f>_xlfn.XLOOKUP(D765,Master[Product_Code],Master[Color])</f>
        <v>Royal Blue</v>
      </c>
      <c r="L765" s="3">
        <f>_xlfn.XLOOKUP(D765,Master[Product_Code],Master[Selling_Price])</f>
        <v>800</v>
      </c>
    </row>
    <row r="766" spans="2:12">
      <c r="B766" s="2" t="s">
        <v>2074</v>
      </c>
      <c r="C766" s="7">
        <v>45954</v>
      </c>
      <c r="D766" s="2" t="s">
        <v>301</v>
      </c>
      <c r="E766" s="4">
        <v>1</v>
      </c>
      <c r="F766" s="8" t="str">
        <f>_xlfn.XLOOKUP(D766,Master[Product_Code],Master[Category])</f>
        <v>Shirt</v>
      </c>
      <c r="G766" s="8" t="str">
        <f>_xlfn.XLOOKUP(D766,Master[Product_Code],Master[Brand])</f>
        <v>British</v>
      </c>
      <c r="H766" s="8" t="str">
        <f>_xlfn.XLOOKUP(D766,Master[Product_Code],Master[Style])</f>
        <v>Partywear</v>
      </c>
      <c r="I766" s="8" t="str">
        <f>_xlfn.XLOOKUP(D766,Master[Product_Code],Master[Fabric])</f>
        <v>Cotton Blend</v>
      </c>
      <c r="J766" s="8" t="str">
        <f>_xlfn.XLOOKUP(D766,Master[Product_Code],Master[Size])</f>
        <v>M</v>
      </c>
      <c r="K766" s="8" t="str">
        <f>_xlfn.XLOOKUP(D766,Master[Product_Code],Master[Color])</f>
        <v>Cream</v>
      </c>
      <c r="L766" s="3">
        <f>_xlfn.XLOOKUP(D766,Master[Product_Code],Master[Selling_Price])</f>
        <v>640</v>
      </c>
    </row>
    <row r="767" spans="2:12">
      <c r="B767" s="2" t="s">
        <v>2074</v>
      </c>
      <c r="C767" s="7">
        <v>45954</v>
      </c>
      <c r="D767" s="2" t="s">
        <v>687</v>
      </c>
      <c r="E767" s="4">
        <v>1</v>
      </c>
      <c r="F767" s="8" t="str">
        <f>_xlfn.XLOOKUP(D767,Master[Product_Code],Master[Category])</f>
        <v>T-Shirt</v>
      </c>
      <c r="G767" s="8" t="str">
        <f>_xlfn.XLOOKUP(D767,Master[Product_Code],Master[Brand])</f>
        <v>Roadster</v>
      </c>
      <c r="H767" s="8" t="str">
        <f>_xlfn.XLOOKUP(D767,Master[Product_Code],Master[Style])</f>
        <v>Half Sleeve</v>
      </c>
      <c r="I767" s="8" t="str">
        <f>_xlfn.XLOOKUP(D767,Master[Product_Code],Master[Fabric])</f>
        <v>Cotton</v>
      </c>
      <c r="J767" s="8" t="str">
        <f>_xlfn.XLOOKUP(D767,Master[Product_Code],Master[Size])</f>
        <v>M</v>
      </c>
      <c r="K767" s="8" t="str">
        <f>_xlfn.XLOOKUP(D767,Master[Product_Code],Master[Color])</f>
        <v>Wine</v>
      </c>
      <c r="L767" s="3">
        <f>_xlfn.XLOOKUP(D767,Master[Product_Code],Master[Selling_Price])</f>
        <v>610</v>
      </c>
    </row>
    <row r="768" spans="2:12">
      <c r="B768" s="2" t="s">
        <v>2075</v>
      </c>
      <c r="C768" s="7">
        <v>45954</v>
      </c>
      <c r="D768" s="2" t="s">
        <v>338</v>
      </c>
      <c r="E768" s="4">
        <v>1</v>
      </c>
      <c r="F768" s="8" t="str">
        <f>_xlfn.XLOOKUP(D768,Master[Product_Code],Master[Category])</f>
        <v>Shirt</v>
      </c>
      <c r="G768" s="8" t="str">
        <f>_xlfn.XLOOKUP(D768,Master[Product_Code],Master[Brand])</f>
        <v>Luke &amp; Burg</v>
      </c>
      <c r="H768" s="8" t="str">
        <f>_xlfn.XLOOKUP(D768,Master[Product_Code],Master[Style])</f>
        <v>Formal</v>
      </c>
      <c r="I768" s="8" t="str">
        <f>_xlfn.XLOOKUP(D768,Master[Product_Code],Master[Fabric])</f>
        <v>Lycra</v>
      </c>
      <c r="J768" s="8" t="str">
        <f>_xlfn.XLOOKUP(D768,Master[Product_Code],Master[Size])</f>
        <v>L</v>
      </c>
      <c r="K768" s="8" t="str">
        <f>_xlfn.XLOOKUP(D768,Master[Product_Code],Master[Color])</f>
        <v>Light Grey</v>
      </c>
      <c r="L768" s="3">
        <f>_xlfn.XLOOKUP(D768,Master[Product_Code],Master[Selling_Price])</f>
        <v>770</v>
      </c>
    </row>
    <row r="769" spans="2:12">
      <c r="B769" s="2" t="s">
        <v>2076</v>
      </c>
      <c r="C769" s="7">
        <v>45954</v>
      </c>
      <c r="D769" s="2" t="s">
        <v>1699</v>
      </c>
      <c r="E769" s="4">
        <v>1</v>
      </c>
      <c r="F769" s="8" t="str">
        <f>_xlfn.XLOOKUP(D769,Master[Product_Code],Master[Category])</f>
        <v>Innerwear</v>
      </c>
      <c r="G769" s="8" t="str">
        <f>_xlfn.XLOOKUP(D769,Master[Product_Code],Master[Brand])</f>
        <v>Rupa</v>
      </c>
      <c r="H769" s="8" t="str">
        <f>_xlfn.XLOOKUP(D769,Master[Product_Code],Master[Style])</f>
        <v>V-Cut</v>
      </c>
      <c r="I769" s="8" t="str">
        <f>_xlfn.XLOOKUP(D769,Master[Product_Code],Master[Fabric])</f>
        <v>Cotton Blend</v>
      </c>
      <c r="J769" s="8" t="str">
        <f>_xlfn.XLOOKUP(D769,Master[Product_Code],Master[Size])</f>
        <v>75-80</v>
      </c>
      <c r="K769" s="8" t="str">
        <f>_xlfn.XLOOKUP(D769,Master[Product_Code],Master[Color])</f>
        <v>Navy Blue</v>
      </c>
      <c r="L769" s="3">
        <f>_xlfn.XLOOKUP(D769,Master[Product_Code],Master[Selling_Price])</f>
        <v>150</v>
      </c>
    </row>
    <row r="770" spans="2:12">
      <c r="B770" s="2" t="s">
        <v>2076</v>
      </c>
      <c r="C770" s="7">
        <v>45954</v>
      </c>
      <c r="D770" s="2" t="s">
        <v>257</v>
      </c>
      <c r="E770" s="4">
        <v>1</v>
      </c>
      <c r="F770" s="8" t="str">
        <f>_xlfn.XLOOKUP(D770,Master[Product_Code],Master[Category])</f>
        <v>Shirt</v>
      </c>
      <c r="G770" s="8" t="str">
        <f>_xlfn.XLOOKUP(D770,Master[Product_Code],Master[Brand])</f>
        <v>H&amp;M</v>
      </c>
      <c r="H770" s="8" t="str">
        <f>_xlfn.XLOOKUP(D770,Master[Product_Code],Master[Style])</f>
        <v>Partywear</v>
      </c>
      <c r="I770" s="8" t="str">
        <f>_xlfn.XLOOKUP(D770,Master[Product_Code],Master[Fabric])</f>
        <v>Cotton Blend</v>
      </c>
      <c r="J770" s="8" t="str">
        <f>_xlfn.XLOOKUP(D770,Master[Product_Code],Master[Size])</f>
        <v>S</v>
      </c>
      <c r="K770" s="8" t="str">
        <f>_xlfn.XLOOKUP(D770,Master[Product_Code],Master[Color])</f>
        <v>Rust</v>
      </c>
      <c r="L770" s="3">
        <f>_xlfn.XLOOKUP(D770,Master[Product_Code],Master[Selling_Price])</f>
        <v>810</v>
      </c>
    </row>
    <row r="771" spans="2:12">
      <c r="B771" s="2" t="s">
        <v>2076</v>
      </c>
      <c r="C771" s="7">
        <v>45954</v>
      </c>
      <c r="D771" s="2" t="s">
        <v>548</v>
      </c>
      <c r="E771" s="4">
        <v>1</v>
      </c>
      <c r="F771" s="8" t="str">
        <f>_xlfn.XLOOKUP(D771,Master[Product_Code],Master[Category])</f>
        <v>T-Shirt</v>
      </c>
      <c r="G771" s="8" t="str">
        <f>_xlfn.XLOOKUP(D771,Master[Product_Code],Master[Brand])</f>
        <v>Roadster</v>
      </c>
      <c r="H771" s="8" t="str">
        <f>_xlfn.XLOOKUP(D771,Master[Product_Code],Master[Style])</f>
        <v>Sleeveless</v>
      </c>
      <c r="I771" s="8" t="str">
        <f>_xlfn.XLOOKUP(D771,Master[Product_Code],Master[Fabric])</f>
        <v>Cotton</v>
      </c>
      <c r="J771" s="8" t="str">
        <f>_xlfn.XLOOKUP(D771,Master[Product_Code],Master[Size])</f>
        <v>XXL</v>
      </c>
      <c r="K771" s="8" t="str">
        <f>_xlfn.XLOOKUP(D771,Master[Product_Code],Master[Color])</f>
        <v>Charcoal</v>
      </c>
      <c r="L771" s="3">
        <f>_xlfn.XLOOKUP(D771,Master[Product_Code],Master[Selling_Price])</f>
        <v>470</v>
      </c>
    </row>
    <row r="772" spans="2:12">
      <c r="B772" s="2" t="s">
        <v>2076</v>
      </c>
      <c r="C772" s="7">
        <v>45954</v>
      </c>
      <c r="D772" s="2" t="s">
        <v>354</v>
      </c>
      <c r="E772" s="4">
        <v>1</v>
      </c>
      <c r="F772" s="8" t="str">
        <f>_xlfn.XLOOKUP(D772,Master[Product_Code],Master[Category])</f>
        <v>Shirt</v>
      </c>
      <c r="G772" s="8" t="str">
        <f>_xlfn.XLOOKUP(D772,Master[Product_Code],Master[Brand])</f>
        <v>Zara</v>
      </c>
      <c r="H772" s="8" t="str">
        <f>_xlfn.XLOOKUP(D772,Master[Product_Code],Master[Style])</f>
        <v>Casual</v>
      </c>
      <c r="I772" s="8" t="str">
        <f>_xlfn.XLOOKUP(D772,Master[Product_Code],Master[Fabric])</f>
        <v>Cotton Blend</v>
      </c>
      <c r="J772" s="8" t="str">
        <f>_xlfn.XLOOKUP(D772,Master[Product_Code],Master[Size])</f>
        <v>XL</v>
      </c>
      <c r="K772" s="8" t="str">
        <f>_xlfn.XLOOKUP(D772,Master[Product_Code],Master[Color])</f>
        <v>Maroon</v>
      </c>
      <c r="L772" s="3">
        <f>_xlfn.XLOOKUP(D772,Master[Product_Code],Master[Selling_Price])</f>
        <v>700</v>
      </c>
    </row>
    <row r="773" spans="2:12">
      <c r="B773" s="2" t="s">
        <v>2077</v>
      </c>
      <c r="C773" s="7">
        <v>45954</v>
      </c>
      <c r="D773" s="2" t="s">
        <v>1521</v>
      </c>
      <c r="E773" s="4">
        <v>1</v>
      </c>
      <c r="F773" s="8" t="str">
        <f>_xlfn.XLOOKUP(D773,Master[Product_Code],Master[Category])</f>
        <v>Innerwear</v>
      </c>
      <c r="G773" s="8" t="str">
        <f>_xlfn.XLOOKUP(D773,Master[Product_Code],Master[Brand])</f>
        <v>Rupa</v>
      </c>
      <c r="H773" s="8" t="str">
        <f>_xlfn.XLOOKUP(D773,Master[Product_Code],Master[Style])</f>
        <v>V-Cut</v>
      </c>
      <c r="I773" s="8" t="str">
        <f>_xlfn.XLOOKUP(D773,Master[Product_Code],Master[Fabric])</f>
        <v>Cotton</v>
      </c>
      <c r="J773" s="8" t="str">
        <f>_xlfn.XLOOKUP(D773,Master[Product_Code],Master[Size])</f>
        <v>75-80</v>
      </c>
      <c r="K773" s="8" t="str">
        <f>_xlfn.XLOOKUP(D773,Master[Product_Code],Master[Color])</f>
        <v>Black</v>
      </c>
      <c r="L773" s="3">
        <f>_xlfn.XLOOKUP(D773,Master[Product_Code],Master[Selling_Price])</f>
        <v>180</v>
      </c>
    </row>
    <row r="774" spans="2:12">
      <c r="B774" s="2" t="s">
        <v>2077</v>
      </c>
      <c r="C774" s="7">
        <v>45954</v>
      </c>
      <c r="D774" s="2" t="s">
        <v>1015</v>
      </c>
      <c r="E774" s="4">
        <v>1</v>
      </c>
      <c r="F774" s="8" t="str">
        <f>_xlfn.XLOOKUP(D774,Master[Product_Code],Master[Category])</f>
        <v>Jeans</v>
      </c>
      <c r="G774" s="8" t="str">
        <f>_xlfn.XLOOKUP(D774,Master[Product_Code],Master[Brand])</f>
        <v>Denim Pro</v>
      </c>
      <c r="H774" s="8" t="str">
        <f>_xlfn.XLOOKUP(D774,Master[Product_Code],Master[Style])</f>
        <v>Jogger</v>
      </c>
      <c r="I774" s="8" t="str">
        <f>_xlfn.XLOOKUP(D774,Master[Product_Code],Master[Fabric])</f>
        <v>Denim</v>
      </c>
      <c r="J774" s="8">
        <f>_xlfn.XLOOKUP(D774,Master[Product_Code],Master[Size])</f>
        <v>40</v>
      </c>
      <c r="K774" s="8" t="str">
        <f>_xlfn.XLOOKUP(D774,Master[Product_Code],Master[Color])</f>
        <v>Light Grey</v>
      </c>
      <c r="L774" s="3">
        <f>_xlfn.XLOOKUP(D774,Master[Product_Code],Master[Selling_Price])</f>
        <v>1060</v>
      </c>
    </row>
    <row r="775" spans="2:12">
      <c r="B775" s="2" t="s">
        <v>2077</v>
      </c>
      <c r="C775" s="7">
        <v>45954</v>
      </c>
      <c r="D775" s="2" t="s">
        <v>500</v>
      </c>
      <c r="E775" s="4">
        <v>1</v>
      </c>
      <c r="F775" s="8" t="str">
        <f>_xlfn.XLOOKUP(D775,Master[Product_Code],Master[Category])</f>
        <v>T-Shirt</v>
      </c>
      <c r="G775" s="8" t="str">
        <f>_xlfn.XLOOKUP(D775,Master[Product_Code],Master[Brand])</f>
        <v>Roadster</v>
      </c>
      <c r="H775" s="8" t="str">
        <f>_xlfn.XLOOKUP(D775,Master[Product_Code],Master[Style])</f>
        <v>3/4 Sleeve</v>
      </c>
      <c r="I775" s="8" t="str">
        <f>_xlfn.XLOOKUP(D775,Master[Product_Code],Master[Fabric])</f>
        <v>Poly Cotton</v>
      </c>
      <c r="J775" s="8" t="str">
        <f>_xlfn.XLOOKUP(D775,Master[Product_Code],Master[Size])</f>
        <v>S</v>
      </c>
      <c r="K775" s="8" t="str">
        <f>_xlfn.XLOOKUP(D775,Master[Product_Code],Master[Color])</f>
        <v>Maroon</v>
      </c>
      <c r="L775" s="3">
        <f>_xlfn.XLOOKUP(D775,Master[Product_Code],Master[Selling_Price])</f>
        <v>420</v>
      </c>
    </row>
    <row r="776" spans="2:12">
      <c r="B776" s="2" t="s">
        <v>2077</v>
      </c>
      <c r="C776" s="7">
        <v>45954</v>
      </c>
      <c r="D776" s="2" t="s">
        <v>1489</v>
      </c>
      <c r="E776" s="4">
        <v>1</v>
      </c>
      <c r="F776" s="8" t="str">
        <f>_xlfn.XLOOKUP(D776,Master[Product_Code],Master[Category])</f>
        <v>Innerwear</v>
      </c>
      <c r="G776" s="8" t="str">
        <f>_xlfn.XLOOKUP(D776,Master[Product_Code],Master[Brand])</f>
        <v>Jockey</v>
      </c>
      <c r="H776" s="8" t="str">
        <f>_xlfn.XLOOKUP(D776,Master[Product_Code],Master[Style])</f>
        <v>Boxer</v>
      </c>
      <c r="I776" s="8" t="str">
        <f>_xlfn.XLOOKUP(D776,Master[Product_Code],Master[Fabric])</f>
        <v>Cotton Blend</v>
      </c>
      <c r="J776" s="8" t="str">
        <f>_xlfn.XLOOKUP(D776,Master[Product_Code],Master[Size])</f>
        <v>75-80</v>
      </c>
      <c r="K776" s="8" t="str">
        <f>_xlfn.XLOOKUP(D776,Master[Product_Code],Master[Color])</f>
        <v>Navy Blue</v>
      </c>
      <c r="L776" s="3">
        <f>_xlfn.XLOOKUP(D776,Master[Product_Code],Master[Selling_Price])</f>
        <v>160</v>
      </c>
    </row>
    <row r="777" spans="2:12">
      <c r="B777" s="2" t="s">
        <v>2078</v>
      </c>
      <c r="C777" s="7">
        <v>45955</v>
      </c>
      <c r="D777" s="2" t="s">
        <v>604</v>
      </c>
      <c r="E777" s="4">
        <v>1</v>
      </c>
      <c r="F777" s="8" t="str">
        <f>_xlfn.XLOOKUP(D777,Master[Product_Code],Master[Category])</f>
        <v>T-Shirt</v>
      </c>
      <c r="G777" s="8" t="str">
        <f>_xlfn.XLOOKUP(D777,Master[Product_Code],Master[Brand])</f>
        <v>Zara</v>
      </c>
      <c r="H777" s="8" t="str">
        <f>_xlfn.XLOOKUP(D777,Master[Product_Code],Master[Style])</f>
        <v>Full Sleeve</v>
      </c>
      <c r="I777" s="8" t="str">
        <f>_xlfn.XLOOKUP(D777,Master[Product_Code],Master[Fabric])</f>
        <v>Cotton</v>
      </c>
      <c r="J777" s="8" t="str">
        <f>_xlfn.XLOOKUP(D777,Master[Product_Code],Master[Size])</f>
        <v>L</v>
      </c>
      <c r="K777" s="8" t="str">
        <f>_xlfn.XLOOKUP(D777,Master[Product_Code],Master[Color])</f>
        <v>Navy Blue</v>
      </c>
      <c r="L777" s="3">
        <f>_xlfn.XLOOKUP(D777,Master[Product_Code],Master[Selling_Price])</f>
        <v>280</v>
      </c>
    </row>
    <row r="778" spans="2:12">
      <c r="B778" s="2" t="s">
        <v>2078</v>
      </c>
      <c r="C778" s="7">
        <v>45955</v>
      </c>
      <c r="D778" s="2" t="s">
        <v>896</v>
      </c>
      <c r="E778" s="4">
        <v>1</v>
      </c>
      <c r="F778" s="8" t="str">
        <f>_xlfn.XLOOKUP(D778,Master[Product_Code],Master[Category])</f>
        <v>Jeans</v>
      </c>
      <c r="G778" s="8" t="str">
        <f>_xlfn.XLOOKUP(D778,Master[Product_Code],Master[Brand])</f>
        <v>Denim Pro</v>
      </c>
      <c r="H778" s="8" t="str">
        <f>_xlfn.XLOOKUP(D778,Master[Product_Code],Master[Style])</f>
        <v>Mom Fit</v>
      </c>
      <c r="I778" s="8" t="str">
        <f>_xlfn.XLOOKUP(D778,Master[Product_Code],Master[Fabric])</f>
        <v>Denim</v>
      </c>
      <c r="J778" s="8">
        <f>_xlfn.XLOOKUP(D778,Master[Product_Code],Master[Size])</f>
        <v>44</v>
      </c>
      <c r="K778" s="8" t="str">
        <f>_xlfn.XLOOKUP(D778,Master[Product_Code],Master[Color])</f>
        <v>Bottle Green</v>
      </c>
      <c r="L778" s="3">
        <f>_xlfn.XLOOKUP(D778,Master[Product_Code],Master[Selling_Price])</f>
        <v>940</v>
      </c>
    </row>
    <row r="779" spans="2:12">
      <c r="B779" s="2" t="s">
        <v>2079</v>
      </c>
      <c r="C779" s="7">
        <v>45955</v>
      </c>
      <c r="D779" s="2" t="s">
        <v>1236</v>
      </c>
      <c r="E779" s="4">
        <v>1</v>
      </c>
      <c r="F779" s="8" t="str">
        <f>_xlfn.XLOOKUP(D779,Master[Product_Code],Master[Category])</f>
        <v>Pants</v>
      </c>
      <c r="G779" s="8" t="str">
        <f>_xlfn.XLOOKUP(D779,Master[Product_Code],Master[Brand])</f>
        <v>Park Avenue</v>
      </c>
      <c r="H779" s="8" t="str">
        <f>_xlfn.XLOOKUP(D779,Master[Product_Code],Master[Style])</f>
        <v>Boot Cut</v>
      </c>
      <c r="I779" s="8" t="str">
        <f>_xlfn.XLOOKUP(D779,Master[Product_Code],Master[Fabric])</f>
        <v>Poly Viscose</v>
      </c>
      <c r="J779" s="8">
        <f>_xlfn.XLOOKUP(D779,Master[Product_Code],Master[Size])</f>
        <v>28</v>
      </c>
      <c r="K779" s="8" t="str">
        <f>_xlfn.XLOOKUP(D779,Master[Product_Code],Master[Color])</f>
        <v>Grey</v>
      </c>
      <c r="L779" s="3">
        <f>_xlfn.XLOOKUP(D779,Master[Product_Code],Master[Selling_Price])</f>
        <v>870</v>
      </c>
    </row>
    <row r="780" spans="2:12">
      <c r="B780" s="2" t="s">
        <v>2080</v>
      </c>
      <c r="C780" s="7">
        <v>45955</v>
      </c>
      <c r="D780" s="2" t="s">
        <v>656</v>
      </c>
      <c r="E780" s="4">
        <v>1</v>
      </c>
      <c r="F780" s="8" t="str">
        <f>_xlfn.XLOOKUP(D780,Master[Product_Code],Master[Category])</f>
        <v>T-Shirt</v>
      </c>
      <c r="G780" s="8" t="str">
        <f>_xlfn.XLOOKUP(D780,Master[Product_Code],Master[Brand])</f>
        <v>Roadster</v>
      </c>
      <c r="H780" s="8" t="str">
        <f>_xlfn.XLOOKUP(D780,Master[Product_Code],Master[Style])</f>
        <v>Sleeveless</v>
      </c>
      <c r="I780" s="8" t="str">
        <f>_xlfn.XLOOKUP(D780,Master[Product_Code],Master[Fabric])</f>
        <v>Poly Cotton</v>
      </c>
      <c r="J780" s="8" t="str">
        <f>_xlfn.XLOOKUP(D780,Master[Product_Code],Master[Size])</f>
        <v>XL</v>
      </c>
      <c r="K780" s="8" t="str">
        <f>_xlfn.XLOOKUP(D780,Master[Product_Code],Master[Color])</f>
        <v>Rust</v>
      </c>
      <c r="L780" s="3">
        <f>_xlfn.XLOOKUP(D780,Master[Product_Code],Master[Selling_Price])</f>
        <v>300</v>
      </c>
    </row>
    <row r="781" spans="2:12">
      <c r="B781" s="2" t="s">
        <v>2080</v>
      </c>
      <c r="C781" s="7">
        <v>45955</v>
      </c>
      <c r="D781" s="2" t="s">
        <v>109</v>
      </c>
      <c r="E781" s="4">
        <v>1</v>
      </c>
      <c r="F781" s="8" t="str">
        <f>_xlfn.XLOOKUP(D781,Master[Product_Code],Master[Category])</f>
        <v>Shirt</v>
      </c>
      <c r="G781" s="8" t="str">
        <f>_xlfn.XLOOKUP(D781,Master[Product_Code],Master[Brand])</f>
        <v>H&amp;M</v>
      </c>
      <c r="H781" s="8" t="str">
        <f>_xlfn.XLOOKUP(D781,Master[Product_Code],Master[Style])</f>
        <v>Casual</v>
      </c>
      <c r="I781" s="8" t="str">
        <f>_xlfn.XLOOKUP(D781,Master[Product_Code],Master[Fabric])</f>
        <v>Lycra</v>
      </c>
      <c r="J781" s="8" t="str">
        <f>_xlfn.XLOOKUP(D781,Master[Product_Code],Master[Size])</f>
        <v>M</v>
      </c>
      <c r="K781" s="8" t="str">
        <f>_xlfn.XLOOKUP(D781,Master[Product_Code],Master[Color])</f>
        <v>Olive</v>
      </c>
      <c r="L781" s="3">
        <f>_xlfn.XLOOKUP(D781,Master[Product_Code],Master[Selling_Price])</f>
        <v>760</v>
      </c>
    </row>
    <row r="782" spans="2:12">
      <c r="B782" s="2" t="s">
        <v>2080</v>
      </c>
      <c r="C782" s="7">
        <v>45955</v>
      </c>
      <c r="D782" s="2" t="s">
        <v>102</v>
      </c>
      <c r="E782" s="4">
        <v>1</v>
      </c>
      <c r="F782" s="8" t="str">
        <f>_xlfn.XLOOKUP(D782,Master[Product_Code],Master[Category])</f>
        <v>Shirt</v>
      </c>
      <c r="G782" s="8" t="str">
        <f>_xlfn.XLOOKUP(D782,Master[Product_Code],Master[Brand])</f>
        <v>British</v>
      </c>
      <c r="H782" s="8" t="str">
        <f>_xlfn.XLOOKUP(D782,Master[Product_Code],Master[Style])</f>
        <v>Formal</v>
      </c>
      <c r="I782" s="8" t="str">
        <f>_xlfn.XLOOKUP(D782,Master[Product_Code],Master[Fabric])</f>
        <v>Cotton Blend</v>
      </c>
      <c r="J782" s="8" t="str">
        <f>_xlfn.XLOOKUP(D782,Master[Product_Code],Master[Size])</f>
        <v>XXL</v>
      </c>
      <c r="K782" s="8" t="str">
        <f>_xlfn.XLOOKUP(D782,Master[Product_Code],Master[Color])</f>
        <v>Peach</v>
      </c>
      <c r="L782" s="3">
        <f>_xlfn.XLOOKUP(D782,Master[Product_Code],Master[Selling_Price])</f>
        <v>890</v>
      </c>
    </row>
    <row r="783" spans="2:12">
      <c r="B783" s="2" t="s">
        <v>2081</v>
      </c>
      <c r="C783" s="7">
        <v>45955</v>
      </c>
      <c r="D783" s="2" t="s">
        <v>1363</v>
      </c>
      <c r="E783" s="4">
        <v>1</v>
      </c>
      <c r="F783" s="8" t="str">
        <f>_xlfn.XLOOKUP(D783,Master[Product_Code],Master[Category])</f>
        <v>Pants</v>
      </c>
      <c r="G783" s="8" t="str">
        <f>_xlfn.XLOOKUP(D783,Master[Product_Code],Master[Brand])</f>
        <v>Raymond</v>
      </c>
      <c r="H783" s="8" t="str">
        <f>_xlfn.XLOOKUP(D783,Master[Product_Code],Master[Style])</f>
        <v>Jogger</v>
      </c>
      <c r="I783" s="8" t="str">
        <f>_xlfn.XLOOKUP(D783,Master[Product_Code],Master[Fabric])</f>
        <v>Cotton Blend</v>
      </c>
      <c r="J783" s="8">
        <f>_xlfn.XLOOKUP(D783,Master[Product_Code],Master[Size])</f>
        <v>36</v>
      </c>
      <c r="K783" s="8" t="str">
        <f>_xlfn.XLOOKUP(D783,Master[Product_Code],Master[Color])</f>
        <v>Dark Green</v>
      </c>
      <c r="L783" s="3">
        <f>_xlfn.XLOOKUP(D783,Master[Product_Code],Master[Selling_Price])</f>
        <v>760</v>
      </c>
    </row>
    <row r="784" spans="2:12">
      <c r="B784" s="2" t="s">
        <v>2082</v>
      </c>
      <c r="C784" s="7">
        <v>45955</v>
      </c>
      <c r="D784" s="2" t="s">
        <v>246</v>
      </c>
      <c r="E784" s="4">
        <v>1</v>
      </c>
      <c r="F784" s="8" t="str">
        <f>_xlfn.XLOOKUP(D784,Master[Product_Code],Master[Category])</f>
        <v>Shirt</v>
      </c>
      <c r="G784" s="8" t="str">
        <f>_xlfn.XLOOKUP(D784,Master[Product_Code],Master[Brand])</f>
        <v>Thailand</v>
      </c>
      <c r="H784" s="8" t="str">
        <f>_xlfn.XLOOKUP(D784,Master[Product_Code],Master[Style])</f>
        <v>Formal</v>
      </c>
      <c r="I784" s="8" t="str">
        <f>_xlfn.XLOOKUP(D784,Master[Product_Code],Master[Fabric])</f>
        <v>Lycra</v>
      </c>
      <c r="J784" s="8" t="str">
        <f>_xlfn.XLOOKUP(D784,Master[Product_Code],Master[Size])</f>
        <v>L</v>
      </c>
      <c r="K784" s="8" t="str">
        <f>_xlfn.XLOOKUP(D784,Master[Product_Code],Master[Color])</f>
        <v>Brown</v>
      </c>
      <c r="L784" s="3">
        <f>_xlfn.XLOOKUP(D784,Master[Product_Code],Master[Selling_Price])</f>
        <v>850</v>
      </c>
    </row>
    <row r="785" spans="2:12">
      <c r="B785" s="2" t="s">
        <v>2082</v>
      </c>
      <c r="C785" s="7">
        <v>45955</v>
      </c>
      <c r="D785" s="2" t="s">
        <v>1172</v>
      </c>
      <c r="E785" s="4">
        <v>1</v>
      </c>
      <c r="F785" s="8" t="str">
        <f>_xlfn.XLOOKUP(D785,Master[Product_Code],Master[Category])</f>
        <v>Pants</v>
      </c>
      <c r="G785" s="8" t="str">
        <f>_xlfn.XLOOKUP(D785,Master[Product_Code],Master[Brand])</f>
        <v>Raymond</v>
      </c>
      <c r="H785" s="8" t="str">
        <f>_xlfn.XLOOKUP(D785,Master[Product_Code],Master[Style])</f>
        <v>Kurka</v>
      </c>
      <c r="I785" s="8" t="str">
        <f>_xlfn.XLOOKUP(D785,Master[Product_Code],Master[Fabric])</f>
        <v>Lycra</v>
      </c>
      <c r="J785" s="8">
        <f>_xlfn.XLOOKUP(D785,Master[Product_Code],Master[Size])</f>
        <v>42</v>
      </c>
      <c r="K785" s="8" t="str">
        <f>_xlfn.XLOOKUP(D785,Master[Product_Code],Master[Color])</f>
        <v>Maroon</v>
      </c>
      <c r="L785" s="3">
        <f>_xlfn.XLOOKUP(D785,Master[Product_Code],Master[Selling_Price])</f>
        <v>910</v>
      </c>
    </row>
    <row r="786" spans="2:12">
      <c r="B786" s="2" t="s">
        <v>2082</v>
      </c>
      <c r="C786" s="7">
        <v>45955</v>
      </c>
      <c r="D786" s="2" t="s">
        <v>1220</v>
      </c>
      <c r="E786" s="4">
        <v>1</v>
      </c>
      <c r="F786" s="8" t="str">
        <f>_xlfn.XLOOKUP(D786,Master[Product_Code],Master[Category])</f>
        <v>Pants</v>
      </c>
      <c r="G786" s="8" t="str">
        <f>_xlfn.XLOOKUP(D786,Master[Product_Code],Master[Brand])</f>
        <v>Van Heusen</v>
      </c>
      <c r="H786" s="8" t="str">
        <f>_xlfn.XLOOKUP(D786,Master[Product_Code],Master[Style])</f>
        <v>Polofit</v>
      </c>
      <c r="I786" s="8" t="str">
        <f>_xlfn.XLOOKUP(D786,Master[Product_Code],Master[Fabric])</f>
        <v>Lycra</v>
      </c>
      <c r="J786" s="8">
        <f>_xlfn.XLOOKUP(D786,Master[Product_Code],Master[Size])</f>
        <v>40</v>
      </c>
      <c r="K786" s="8" t="str">
        <f>_xlfn.XLOOKUP(D786,Master[Product_Code],Master[Color])</f>
        <v>Light Grey</v>
      </c>
      <c r="L786" s="3">
        <f>_xlfn.XLOOKUP(D786,Master[Product_Code],Master[Selling_Price])</f>
        <v>890</v>
      </c>
    </row>
    <row r="787" spans="2:12">
      <c r="B787" s="2" t="s">
        <v>2083</v>
      </c>
      <c r="C787" s="7">
        <v>45955</v>
      </c>
      <c r="D787" s="2" t="s">
        <v>495</v>
      </c>
      <c r="E787" s="4">
        <v>1</v>
      </c>
      <c r="F787" s="8" t="str">
        <f>_xlfn.XLOOKUP(D787,Master[Product_Code],Master[Category])</f>
        <v>T-Shirt</v>
      </c>
      <c r="G787" s="8" t="str">
        <f>_xlfn.XLOOKUP(D787,Master[Product_Code],Master[Brand])</f>
        <v>Zara</v>
      </c>
      <c r="H787" s="8" t="str">
        <f>_xlfn.XLOOKUP(D787,Master[Product_Code],Master[Style])</f>
        <v>Full Sleeve</v>
      </c>
      <c r="I787" s="8" t="str">
        <f>_xlfn.XLOOKUP(D787,Master[Product_Code],Master[Fabric])</f>
        <v>Cotton Blend</v>
      </c>
      <c r="J787" s="8" t="str">
        <f>_xlfn.XLOOKUP(D787,Master[Product_Code],Master[Size])</f>
        <v>S</v>
      </c>
      <c r="K787" s="8" t="str">
        <f>_xlfn.XLOOKUP(D787,Master[Product_Code],Master[Color])</f>
        <v>Cream</v>
      </c>
      <c r="L787" s="3">
        <f>_xlfn.XLOOKUP(D787,Master[Product_Code],Master[Selling_Price])</f>
        <v>510</v>
      </c>
    </row>
    <row r="788" spans="2:12">
      <c r="B788" s="2" t="s">
        <v>2084</v>
      </c>
      <c r="C788" s="7">
        <v>45955</v>
      </c>
      <c r="D788" s="2" t="s">
        <v>1397</v>
      </c>
      <c r="E788" s="4">
        <v>1</v>
      </c>
      <c r="F788" s="8" t="str">
        <f>_xlfn.XLOOKUP(D788,Master[Product_Code],Master[Category])</f>
        <v>Pants</v>
      </c>
      <c r="G788" s="8" t="str">
        <f>_xlfn.XLOOKUP(D788,Master[Product_Code],Master[Brand])</f>
        <v>Peter England</v>
      </c>
      <c r="H788" s="8" t="str">
        <f>_xlfn.XLOOKUP(D788,Master[Product_Code],Master[Style])</f>
        <v>Korean</v>
      </c>
      <c r="I788" s="8" t="str">
        <f>_xlfn.XLOOKUP(D788,Master[Product_Code],Master[Fabric])</f>
        <v>Lycra</v>
      </c>
      <c r="J788" s="8">
        <f>_xlfn.XLOOKUP(D788,Master[Product_Code],Master[Size])</f>
        <v>34</v>
      </c>
      <c r="K788" s="8" t="str">
        <f>_xlfn.XLOOKUP(D788,Master[Product_Code],Master[Color])</f>
        <v>Wine</v>
      </c>
      <c r="L788" s="3">
        <f>_xlfn.XLOOKUP(D788,Master[Product_Code],Master[Selling_Price])</f>
        <v>720</v>
      </c>
    </row>
    <row r="789" spans="2:12">
      <c r="B789" s="2" t="s">
        <v>2085</v>
      </c>
      <c r="C789" s="7">
        <v>45955</v>
      </c>
      <c r="D789" s="2" t="s">
        <v>1077</v>
      </c>
      <c r="E789" s="4">
        <v>1</v>
      </c>
      <c r="F789" s="8" t="str">
        <f>_xlfn.XLOOKUP(D789,Master[Product_Code],Master[Category])</f>
        <v>Jeans</v>
      </c>
      <c r="G789" s="8" t="str">
        <f>_xlfn.XLOOKUP(D789,Master[Product_Code],Master[Brand])</f>
        <v>Pepe</v>
      </c>
      <c r="H789" s="8" t="str">
        <f>_xlfn.XLOOKUP(D789,Master[Product_Code],Master[Style])</f>
        <v>Baggy</v>
      </c>
      <c r="I789" s="8" t="str">
        <f>_xlfn.XLOOKUP(D789,Master[Product_Code],Master[Fabric])</f>
        <v>Denim</v>
      </c>
      <c r="J789" s="8">
        <f>_xlfn.XLOOKUP(D789,Master[Product_Code],Master[Size])</f>
        <v>38</v>
      </c>
      <c r="K789" s="8" t="str">
        <f>_xlfn.XLOOKUP(D789,Master[Product_Code],Master[Color])</f>
        <v>White</v>
      </c>
      <c r="L789" s="3">
        <f>_xlfn.XLOOKUP(D789,Master[Product_Code],Master[Selling_Price])</f>
        <v>780</v>
      </c>
    </row>
    <row r="790" spans="2:12">
      <c r="B790" s="2" t="s">
        <v>2086</v>
      </c>
      <c r="C790" s="7">
        <v>45955</v>
      </c>
      <c r="D790" s="2" t="s">
        <v>1677</v>
      </c>
      <c r="E790" s="4">
        <v>1</v>
      </c>
      <c r="F790" s="8" t="str">
        <f>_xlfn.XLOOKUP(D790,Master[Product_Code],Master[Category])</f>
        <v>Innerwear</v>
      </c>
      <c r="G790" s="8" t="str">
        <f>_xlfn.XLOOKUP(D790,Master[Product_Code],Master[Brand])</f>
        <v>Lux</v>
      </c>
      <c r="H790" s="8" t="str">
        <f>_xlfn.XLOOKUP(D790,Master[Product_Code],Master[Style])</f>
        <v>V-Cut</v>
      </c>
      <c r="I790" s="8" t="str">
        <f>_xlfn.XLOOKUP(D790,Master[Product_Code],Master[Fabric])</f>
        <v>Cotton</v>
      </c>
      <c r="J790" s="8" t="str">
        <f>_xlfn.XLOOKUP(D790,Master[Product_Code],Master[Size])</f>
        <v>85-90</v>
      </c>
      <c r="K790" s="8" t="str">
        <f>_xlfn.XLOOKUP(D790,Master[Product_Code],Master[Color])</f>
        <v>Dark Green</v>
      </c>
      <c r="L790" s="3">
        <f>_xlfn.XLOOKUP(D790,Master[Product_Code],Master[Selling_Price])</f>
        <v>160</v>
      </c>
    </row>
    <row r="791" spans="2:12">
      <c r="B791" s="2" t="s">
        <v>2086</v>
      </c>
      <c r="C791" s="7">
        <v>45955</v>
      </c>
      <c r="D791" s="2" t="s">
        <v>116</v>
      </c>
      <c r="E791" s="4">
        <v>1</v>
      </c>
      <c r="F791" s="8" t="str">
        <f>_xlfn.XLOOKUP(D791,Master[Product_Code],Master[Category])</f>
        <v>Shirt</v>
      </c>
      <c r="G791" s="8" t="str">
        <f>_xlfn.XLOOKUP(D791,Master[Product_Code],Master[Brand])</f>
        <v>British</v>
      </c>
      <c r="H791" s="8" t="str">
        <f>_xlfn.XLOOKUP(D791,Master[Product_Code],Master[Style])</f>
        <v>Casual</v>
      </c>
      <c r="I791" s="8" t="str">
        <f>_xlfn.XLOOKUP(D791,Master[Product_Code],Master[Fabric])</f>
        <v>Cotton</v>
      </c>
      <c r="J791" s="8" t="str">
        <f>_xlfn.XLOOKUP(D791,Master[Product_Code],Master[Size])</f>
        <v>XL</v>
      </c>
      <c r="K791" s="8" t="str">
        <f>_xlfn.XLOOKUP(D791,Master[Product_Code],Master[Color])</f>
        <v>Light Grey</v>
      </c>
      <c r="L791" s="3">
        <f>_xlfn.XLOOKUP(D791,Master[Product_Code],Master[Selling_Price])</f>
        <v>890</v>
      </c>
    </row>
    <row r="792" spans="2:12">
      <c r="B792" s="2" t="s">
        <v>2086</v>
      </c>
      <c r="C792" s="7">
        <v>45955</v>
      </c>
      <c r="D792" s="2" t="s">
        <v>906</v>
      </c>
      <c r="E792" s="4">
        <v>1</v>
      </c>
      <c r="F792" s="8" t="str">
        <f>_xlfn.XLOOKUP(D792,Master[Product_Code],Master[Category])</f>
        <v>Jeans</v>
      </c>
      <c r="G792" s="8" t="str">
        <f>_xlfn.XLOOKUP(D792,Master[Product_Code],Master[Brand])</f>
        <v>Pepe</v>
      </c>
      <c r="H792" s="8" t="str">
        <f>_xlfn.XLOOKUP(D792,Master[Product_Code],Master[Style])</f>
        <v>Jogger</v>
      </c>
      <c r="I792" s="8" t="str">
        <f>_xlfn.XLOOKUP(D792,Master[Product_Code],Master[Fabric])</f>
        <v>Denim</v>
      </c>
      <c r="J792" s="8">
        <f>_xlfn.XLOOKUP(D792,Master[Product_Code],Master[Size])</f>
        <v>36</v>
      </c>
      <c r="K792" s="8" t="str">
        <f>_xlfn.XLOOKUP(D792,Master[Product_Code],Master[Color])</f>
        <v>Royal Blue</v>
      </c>
      <c r="L792" s="3">
        <f>_xlfn.XLOOKUP(D792,Master[Product_Code],Master[Selling_Price])</f>
        <v>910</v>
      </c>
    </row>
    <row r="793" spans="2:12">
      <c r="B793" s="2" t="s">
        <v>2086</v>
      </c>
      <c r="C793" s="7">
        <v>45955</v>
      </c>
      <c r="D793" s="2" t="s">
        <v>1685</v>
      </c>
      <c r="E793" s="4">
        <v>1</v>
      </c>
      <c r="F793" s="8" t="str">
        <f>_xlfn.XLOOKUP(D793,Master[Product_Code],Master[Category])</f>
        <v>Innerwear</v>
      </c>
      <c r="G793" s="8" t="str">
        <f>_xlfn.XLOOKUP(D793,Master[Product_Code],Master[Brand])</f>
        <v>Dollar</v>
      </c>
      <c r="H793" s="8" t="str">
        <f>_xlfn.XLOOKUP(D793,Master[Product_Code],Master[Style])</f>
        <v>V-Cut</v>
      </c>
      <c r="I793" s="8" t="str">
        <f>_xlfn.XLOOKUP(D793,Master[Product_Code],Master[Fabric])</f>
        <v>Cotton</v>
      </c>
      <c r="J793" s="8" t="str">
        <f>_xlfn.XLOOKUP(D793,Master[Product_Code],Master[Size])</f>
        <v>75-80</v>
      </c>
      <c r="K793" s="8" t="str">
        <f>_xlfn.XLOOKUP(D793,Master[Product_Code],Master[Color])</f>
        <v>White</v>
      </c>
      <c r="L793" s="3">
        <f>_xlfn.XLOOKUP(D793,Master[Product_Code],Master[Selling_Price])</f>
        <v>100</v>
      </c>
    </row>
    <row r="794" spans="2:12">
      <c r="B794" s="2" t="s">
        <v>2087</v>
      </c>
      <c r="C794" s="7">
        <v>45955</v>
      </c>
      <c r="D794" s="2" t="s">
        <v>156</v>
      </c>
      <c r="E794" s="4">
        <v>1</v>
      </c>
      <c r="F794" s="8" t="str">
        <f>_xlfn.XLOOKUP(D794,Master[Product_Code],Master[Category])</f>
        <v>Shirt</v>
      </c>
      <c r="G794" s="8" t="str">
        <f>_xlfn.XLOOKUP(D794,Master[Product_Code],Master[Brand])</f>
        <v>G Studio</v>
      </c>
      <c r="H794" s="8" t="str">
        <f>_xlfn.XLOOKUP(D794,Master[Product_Code],Master[Style])</f>
        <v>Formal</v>
      </c>
      <c r="I794" s="8" t="str">
        <f>_xlfn.XLOOKUP(D794,Master[Product_Code],Master[Fabric])</f>
        <v>Lycra</v>
      </c>
      <c r="J794" s="8" t="str">
        <f>_xlfn.XLOOKUP(D794,Master[Product_Code],Master[Size])</f>
        <v>XL</v>
      </c>
      <c r="K794" s="8" t="str">
        <f>_xlfn.XLOOKUP(D794,Master[Product_Code],Master[Color])</f>
        <v>Peach</v>
      </c>
      <c r="L794" s="3">
        <f>_xlfn.XLOOKUP(D794,Master[Product_Code],Master[Selling_Price])</f>
        <v>810</v>
      </c>
    </row>
    <row r="795" spans="2:12">
      <c r="B795" s="2" t="s">
        <v>2088</v>
      </c>
      <c r="C795" s="7">
        <v>45955</v>
      </c>
      <c r="D795" s="2" t="s">
        <v>1089</v>
      </c>
      <c r="E795" s="4">
        <v>1</v>
      </c>
      <c r="F795" s="8" t="str">
        <f>_xlfn.XLOOKUP(D795,Master[Product_Code],Master[Category])</f>
        <v>Jeans</v>
      </c>
      <c r="G795" s="8" t="str">
        <f>_xlfn.XLOOKUP(D795,Master[Product_Code],Master[Brand])</f>
        <v>Pepe</v>
      </c>
      <c r="H795" s="8" t="str">
        <f>_xlfn.XLOOKUP(D795,Master[Product_Code],Master[Style])</f>
        <v>Jogger</v>
      </c>
      <c r="I795" s="8" t="str">
        <f>_xlfn.XLOOKUP(D795,Master[Product_Code],Master[Fabric])</f>
        <v>Denim</v>
      </c>
      <c r="J795" s="8">
        <f>_xlfn.XLOOKUP(D795,Master[Product_Code],Master[Size])</f>
        <v>40</v>
      </c>
      <c r="K795" s="8" t="str">
        <f>_xlfn.XLOOKUP(D795,Master[Product_Code],Master[Color])</f>
        <v>Peach</v>
      </c>
      <c r="L795" s="3">
        <f>_xlfn.XLOOKUP(D795,Master[Product_Code],Master[Selling_Price])</f>
        <v>830</v>
      </c>
    </row>
    <row r="796" spans="2:12">
      <c r="B796" s="2" t="s">
        <v>2088</v>
      </c>
      <c r="C796" s="7">
        <v>45955</v>
      </c>
      <c r="D796" s="2" t="s">
        <v>1274</v>
      </c>
      <c r="E796" s="4">
        <v>1</v>
      </c>
      <c r="F796" s="8" t="str">
        <f>_xlfn.XLOOKUP(D796,Master[Product_Code],Master[Category])</f>
        <v>Pants</v>
      </c>
      <c r="G796" s="8" t="str">
        <f>_xlfn.XLOOKUP(D796,Master[Product_Code],Master[Brand])</f>
        <v>Van Heusen</v>
      </c>
      <c r="H796" s="8" t="str">
        <f>_xlfn.XLOOKUP(D796,Master[Product_Code],Master[Style])</f>
        <v>Boot Cut</v>
      </c>
      <c r="I796" s="8" t="str">
        <f>_xlfn.XLOOKUP(D796,Master[Product_Code],Master[Fabric])</f>
        <v>Poly Viscose</v>
      </c>
      <c r="J796" s="8">
        <f>_xlfn.XLOOKUP(D796,Master[Product_Code],Master[Size])</f>
        <v>36</v>
      </c>
      <c r="K796" s="8" t="str">
        <f>_xlfn.XLOOKUP(D796,Master[Product_Code],Master[Color])</f>
        <v>Royal Blue</v>
      </c>
      <c r="L796" s="3">
        <f>_xlfn.XLOOKUP(D796,Master[Product_Code],Master[Selling_Price])</f>
        <v>800</v>
      </c>
    </row>
    <row r="797" spans="2:12">
      <c r="B797" s="2" t="s">
        <v>2089</v>
      </c>
      <c r="C797" s="7">
        <v>45955</v>
      </c>
      <c r="D797" s="2" t="s">
        <v>459</v>
      </c>
      <c r="E797" s="4">
        <v>1</v>
      </c>
      <c r="F797" s="8" t="str">
        <f>_xlfn.XLOOKUP(D797,Master[Product_Code],Master[Category])</f>
        <v>T-Shirt</v>
      </c>
      <c r="G797" s="8" t="str">
        <f>_xlfn.XLOOKUP(D797,Master[Product_Code],Master[Brand])</f>
        <v>Roadster</v>
      </c>
      <c r="H797" s="8" t="str">
        <f>_xlfn.XLOOKUP(D797,Master[Product_Code],Master[Style])</f>
        <v>Full Sleeve</v>
      </c>
      <c r="I797" s="8" t="str">
        <f>_xlfn.XLOOKUP(D797,Master[Product_Code],Master[Fabric])</f>
        <v>Cotton Blend</v>
      </c>
      <c r="J797" s="8" t="str">
        <f>_xlfn.XLOOKUP(D797,Master[Product_Code],Master[Size])</f>
        <v>L</v>
      </c>
      <c r="K797" s="8" t="str">
        <f>_xlfn.XLOOKUP(D797,Master[Product_Code],Master[Color])</f>
        <v>Olive</v>
      </c>
      <c r="L797" s="3">
        <f>_xlfn.XLOOKUP(D797,Master[Product_Code],Master[Selling_Price])</f>
        <v>440</v>
      </c>
    </row>
    <row r="798" spans="2:12">
      <c r="B798" s="2" t="s">
        <v>2089</v>
      </c>
      <c r="C798" s="7">
        <v>45955</v>
      </c>
      <c r="D798" s="2" t="s">
        <v>653</v>
      </c>
      <c r="E798" s="4">
        <v>1</v>
      </c>
      <c r="F798" s="8" t="str">
        <f>_xlfn.XLOOKUP(D798,Master[Product_Code],Master[Category])</f>
        <v>T-Shirt</v>
      </c>
      <c r="G798" s="8" t="str">
        <f>_xlfn.XLOOKUP(D798,Master[Product_Code],Master[Brand])</f>
        <v>Max</v>
      </c>
      <c r="H798" s="8" t="str">
        <f>_xlfn.XLOOKUP(D798,Master[Product_Code],Master[Style])</f>
        <v>Full Sleeve</v>
      </c>
      <c r="I798" s="8" t="str">
        <f>_xlfn.XLOOKUP(D798,Master[Product_Code],Master[Fabric])</f>
        <v>Cotton Blend</v>
      </c>
      <c r="J798" s="8" t="str">
        <f>_xlfn.XLOOKUP(D798,Master[Product_Code],Master[Size])</f>
        <v>M</v>
      </c>
      <c r="K798" s="8" t="str">
        <f>_xlfn.XLOOKUP(D798,Master[Product_Code],Master[Color])</f>
        <v>Navy Blue</v>
      </c>
      <c r="L798" s="3">
        <f>_xlfn.XLOOKUP(D798,Master[Product_Code],Master[Selling_Price])</f>
        <v>620</v>
      </c>
    </row>
    <row r="799" spans="2:12">
      <c r="B799" s="2" t="s">
        <v>2089</v>
      </c>
      <c r="C799" s="7">
        <v>45955</v>
      </c>
      <c r="D799" s="2" t="s">
        <v>63</v>
      </c>
      <c r="E799" s="4">
        <v>1</v>
      </c>
      <c r="F799" s="8" t="str">
        <f>_xlfn.XLOOKUP(D799,Master[Product_Code],Master[Category])</f>
        <v>Shirt</v>
      </c>
      <c r="G799" s="8" t="str">
        <f>_xlfn.XLOOKUP(D799,Master[Product_Code],Master[Brand])</f>
        <v>British</v>
      </c>
      <c r="H799" s="8" t="str">
        <f>_xlfn.XLOOKUP(D799,Master[Product_Code],Master[Style])</f>
        <v>Formal</v>
      </c>
      <c r="I799" s="8" t="str">
        <f>_xlfn.XLOOKUP(D799,Master[Product_Code],Master[Fabric])</f>
        <v>Cotton Blend</v>
      </c>
      <c r="J799" s="8" t="str">
        <f>_xlfn.XLOOKUP(D799,Master[Product_Code],Master[Size])</f>
        <v>XL</v>
      </c>
      <c r="K799" s="8" t="str">
        <f>_xlfn.XLOOKUP(D799,Master[Product_Code],Master[Color])</f>
        <v>Olive</v>
      </c>
      <c r="L799" s="3">
        <f>_xlfn.XLOOKUP(D799,Master[Product_Code],Master[Selling_Price])</f>
        <v>900</v>
      </c>
    </row>
    <row r="800" spans="2:12">
      <c r="B800" s="2" t="s">
        <v>2090</v>
      </c>
      <c r="C800" s="7">
        <v>45955</v>
      </c>
      <c r="D800" s="2" t="s">
        <v>1474</v>
      </c>
      <c r="E800" s="4">
        <v>1</v>
      </c>
      <c r="F800" s="8" t="str">
        <f>_xlfn.XLOOKUP(D800,Master[Product_Code],Master[Category])</f>
        <v>Innerwear</v>
      </c>
      <c r="G800" s="8" t="str">
        <f>_xlfn.XLOOKUP(D800,Master[Product_Code],Master[Brand])</f>
        <v>Dollar</v>
      </c>
      <c r="H800" s="8" t="str">
        <f>_xlfn.XLOOKUP(D800,Master[Product_Code],Master[Style])</f>
        <v>Boxer</v>
      </c>
      <c r="I800" s="8" t="str">
        <f>_xlfn.XLOOKUP(D800,Master[Product_Code],Master[Fabric])</f>
        <v>Cotton Blend</v>
      </c>
      <c r="J800" s="8" t="str">
        <f>_xlfn.XLOOKUP(D800,Master[Product_Code],Master[Size])</f>
        <v>80-85</v>
      </c>
      <c r="K800" s="8" t="str">
        <f>_xlfn.XLOOKUP(D800,Master[Product_Code],Master[Color])</f>
        <v>Sky Blue</v>
      </c>
      <c r="L800" s="3">
        <f>_xlfn.XLOOKUP(D800,Master[Product_Code],Master[Selling_Price])</f>
        <v>130</v>
      </c>
    </row>
    <row r="801" spans="2:12">
      <c r="B801" s="2" t="s">
        <v>2090</v>
      </c>
      <c r="C801" s="7">
        <v>45955</v>
      </c>
      <c r="D801" s="2" t="s">
        <v>1541</v>
      </c>
      <c r="E801" s="4">
        <v>1</v>
      </c>
      <c r="F801" s="8" t="str">
        <f>_xlfn.XLOOKUP(D801,Master[Product_Code],Master[Category])</f>
        <v>Innerwear</v>
      </c>
      <c r="G801" s="8" t="str">
        <f>_xlfn.XLOOKUP(D801,Master[Product_Code],Master[Brand])</f>
        <v>Jockey</v>
      </c>
      <c r="H801" s="8" t="str">
        <f>_xlfn.XLOOKUP(D801,Master[Product_Code],Master[Style])</f>
        <v>Boxer</v>
      </c>
      <c r="I801" s="8" t="str">
        <f>_xlfn.XLOOKUP(D801,Master[Product_Code],Master[Fabric])</f>
        <v>Cotton Blend</v>
      </c>
      <c r="J801" s="8" t="str">
        <f>_xlfn.XLOOKUP(D801,Master[Product_Code],Master[Size])</f>
        <v>85-90</v>
      </c>
      <c r="K801" s="8" t="str">
        <f>_xlfn.XLOOKUP(D801,Master[Product_Code],Master[Color])</f>
        <v>Teal</v>
      </c>
      <c r="L801" s="3">
        <f>_xlfn.XLOOKUP(D801,Master[Product_Code],Master[Selling_Price])</f>
        <v>180</v>
      </c>
    </row>
    <row r="802" spans="2:12">
      <c r="B802" s="2" t="s">
        <v>2090</v>
      </c>
      <c r="C802" s="7">
        <v>45955</v>
      </c>
      <c r="D802" s="2" t="s">
        <v>1204</v>
      </c>
      <c r="E802" s="4">
        <v>1</v>
      </c>
      <c r="F802" s="8" t="str">
        <f>_xlfn.XLOOKUP(D802,Master[Product_Code],Master[Category])</f>
        <v>Pants</v>
      </c>
      <c r="G802" s="8" t="str">
        <f>_xlfn.XLOOKUP(D802,Master[Product_Code],Master[Brand])</f>
        <v>Raymond</v>
      </c>
      <c r="H802" s="8" t="str">
        <f>_xlfn.XLOOKUP(D802,Master[Product_Code],Master[Style])</f>
        <v>Polofit</v>
      </c>
      <c r="I802" s="8" t="str">
        <f>_xlfn.XLOOKUP(D802,Master[Product_Code],Master[Fabric])</f>
        <v>Lycra</v>
      </c>
      <c r="J802" s="8">
        <f>_xlfn.XLOOKUP(D802,Master[Product_Code],Master[Size])</f>
        <v>42</v>
      </c>
      <c r="K802" s="8" t="str">
        <f>_xlfn.XLOOKUP(D802,Master[Product_Code],Master[Color])</f>
        <v>Peach</v>
      </c>
      <c r="L802" s="3">
        <f>_xlfn.XLOOKUP(D802,Master[Product_Code],Master[Selling_Price])</f>
        <v>860</v>
      </c>
    </row>
    <row r="803" spans="2:12">
      <c r="B803" s="2" t="s">
        <v>2091</v>
      </c>
      <c r="C803" s="7">
        <v>45955</v>
      </c>
      <c r="D803" s="2" t="s">
        <v>72</v>
      </c>
      <c r="E803" s="4">
        <v>1</v>
      </c>
      <c r="F803" s="8" t="str">
        <f>_xlfn.XLOOKUP(D803,Master[Product_Code],Master[Category])</f>
        <v>Shirt</v>
      </c>
      <c r="G803" s="8" t="str">
        <f>_xlfn.XLOOKUP(D803,Master[Product_Code],Master[Brand])</f>
        <v>Max</v>
      </c>
      <c r="H803" s="8" t="str">
        <f>_xlfn.XLOOKUP(D803,Master[Product_Code],Master[Style])</f>
        <v>Formal</v>
      </c>
      <c r="I803" s="8" t="str">
        <f>_xlfn.XLOOKUP(D803,Master[Product_Code],Master[Fabric])</f>
        <v>Lycra</v>
      </c>
      <c r="J803" s="8" t="str">
        <f>_xlfn.XLOOKUP(D803,Master[Product_Code],Master[Size])</f>
        <v>M</v>
      </c>
      <c r="K803" s="8" t="str">
        <f>_xlfn.XLOOKUP(D803,Master[Product_Code],Master[Color])</f>
        <v>Peach</v>
      </c>
      <c r="L803" s="3">
        <f>_xlfn.XLOOKUP(D803,Master[Product_Code],Master[Selling_Price])</f>
        <v>660</v>
      </c>
    </row>
    <row r="804" spans="2:12">
      <c r="B804" s="2" t="s">
        <v>2091</v>
      </c>
      <c r="C804" s="7">
        <v>45955</v>
      </c>
      <c r="D804" s="2" t="s">
        <v>1025</v>
      </c>
      <c r="E804" s="4">
        <v>1</v>
      </c>
      <c r="F804" s="8" t="str">
        <f>_xlfn.XLOOKUP(D804,Master[Product_Code],Master[Category])</f>
        <v>Jeans</v>
      </c>
      <c r="G804" s="8" t="str">
        <f>_xlfn.XLOOKUP(D804,Master[Product_Code],Master[Brand])</f>
        <v>Wrangler</v>
      </c>
      <c r="H804" s="8" t="str">
        <f>_xlfn.XLOOKUP(D804,Master[Product_Code],Master[Style])</f>
        <v>Mom Fit</v>
      </c>
      <c r="I804" s="8" t="str">
        <f>_xlfn.XLOOKUP(D804,Master[Product_Code],Master[Fabric])</f>
        <v>Denim</v>
      </c>
      <c r="J804" s="8">
        <f>_xlfn.XLOOKUP(D804,Master[Product_Code],Master[Size])</f>
        <v>40</v>
      </c>
      <c r="K804" s="8" t="str">
        <f>_xlfn.XLOOKUP(D804,Master[Product_Code],Master[Color])</f>
        <v>Light Grey</v>
      </c>
      <c r="L804" s="3">
        <f>_xlfn.XLOOKUP(D804,Master[Product_Code],Master[Selling_Price])</f>
        <v>1080</v>
      </c>
    </row>
    <row r="805" spans="2:12">
      <c r="B805" s="2" t="s">
        <v>2092</v>
      </c>
      <c r="C805" s="7">
        <v>45955</v>
      </c>
      <c r="D805" s="2" t="s">
        <v>973</v>
      </c>
      <c r="E805" s="4">
        <v>1</v>
      </c>
      <c r="F805" s="8" t="str">
        <f>_xlfn.XLOOKUP(D805,Master[Product_Code],Master[Category])</f>
        <v>Jeans</v>
      </c>
      <c r="G805" s="8" t="str">
        <f>_xlfn.XLOOKUP(D805,Master[Product_Code],Master[Brand])</f>
        <v>Levis</v>
      </c>
      <c r="H805" s="8" t="str">
        <f>_xlfn.XLOOKUP(D805,Master[Product_Code],Master[Style])</f>
        <v>Jogger</v>
      </c>
      <c r="I805" s="8" t="str">
        <f>_xlfn.XLOOKUP(D805,Master[Product_Code],Master[Fabric])</f>
        <v>Denim</v>
      </c>
      <c r="J805" s="8">
        <f>_xlfn.XLOOKUP(D805,Master[Product_Code],Master[Size])</f>
        <v>36</v>
      </c>
      <c r="K805" s="8" t="str">
        <f>_xlfn.XLOOKUP(D805,Master[Product_Code],Master[Color])</f>
        <v>Peach</v>
      </c>
      <c r="L805" s="3">
        <f>_xlfn.XLOOKUP(D805,Master[Product_Code],Master[Selling_Price])</f>
        <v>1040</v>
      </c>
    </row>
    <row r="806" spans="2:12">
      <c r="B806" s="2" t="s">
        <v>2092</v>
      </c>
      <c r="C806" s="7">
        <v>45955</v>
      </c>
      <c r="D806" s="2" t="s">
        <v>258</v>
      </c>
      <c r="E806" s="4">
        <v>1</v>
      </c>
      <c r="F806" s="8" t="str">
        <f>_xlfn.XLOOKUP(D806,Master[Product_Code],Master[Category])</f>
        <v>Shirt</v>
      </c>
      <c r="G806" s="8" t="str">
        <f>_xlfn.XLOOKUP(D806,Master[Product_Code],Master[Brand])</f>
        <v>Zara</v>
      </c>
      <c r="H806" s="8" t="str">
        <f>_xlfn.XLOOKUP(D806,Master[Product_Code],Master[Style])</f>
        <v>Casual</v>
      </c>
      <c r="I806" s="8" t="str">
        <f>_xlfn.XLOOKUP(D806,Master[Product_Code],Master[Fabric])</f>
        <v>Cotton</v>
      </c>
      <c r="J806" s="8" t="str">
        <f>_xlfn.XLOOKUP(D806,Master[Product_Code],Master[Size])</f>
        <v>L</v>
      </c>
      <c r="K806" s="8" t="str">
        <f>_xlfn.XLOOKUP(D806,Master[Product_Code],Master[Color])</f>
        <v>Light Grey</v>
      </c>
      <c r="L806" s="3">
        <f>_xlfn.XLOOKUP(D806,Master[Product_Code],Master[Selling_Price])</f>
        <v>780</v>
      </c>
    </row>
    <row r="807" spans="2:12">
      <c r="B807" s="2" t="s">
        <v>2092</v>
      </c>
      <c r="C807" s="7">
        <v>45955</v>
      </c>
      <c r="D807" s="2" t="s">
        <v>1246</v>
      </c>
      <c r="E807" s="4">
        <v>1</v>
      </c>
      <c r="F807" s="8" t="str">
        <f>_xlfn.XLOOKUP(D807,Master[Product_Code],Master[Category])</f>
        <v>Pants</v>
      </c>
      <c r="G807" s="8" t="str">
        <f>_xlfn.XLOOKUP(D807,Master[Product_Code],Master[Brand])</f>
        <v>Raymond</v>
      </c>
      <c r="H807" s="8" t="str">
        <f>_xlfn.XLOOKUP(D807,Master[Product_Code],Master[Style])</f>
        <v>Jogger</v>
      </c>
      <c r="I807" s="8" t="str">
        <f>_xlfn.XLOOKUP(D807,Master[Product_Code],Master[Fabric])</f>
        <v>Cotton</v>
      </c>
      <c r="J807" s="8">
        <f>_xlfn.XLOOKUP(D807,Master[Product_Code],Master[Size])</f>
        <v>28</v>
      </c>
      <c r="K807" s="8" t="str">
        <f>_xlfn.XLOOKUP(D807,Master[Product_Code],Master[Color])</f>
        <v>Charcoal</v>
      </c>
      <c r="L807" s="3">
        <f>_xlfn.XLOOKUP(D807,Master[Product_Code],Master[Selling_Price])</f>
        <v>810</v>
      </c>
    </row>
    <row r="808" spans="2:12">
      <c r="B808" s="2" t="s">
        <v>2093</v>
      </c>
      <c r="C808" s="7">
        <v>45955</v>
      </c>
      <c r="D808" s="2" t="s">
        <v>334</v>
      </c>
      <c r="E808" s="4">
        <v>1</v>
      </c>
      <c r="F808" s="8" t="str">
        <f>_xlfn.XLOOKUP(D808,Master[Product_Code],Master[Category])</f>
        <v>Shirt</v>
      </c>
      <c r="G808" s="8" t="str">
        <f>_xlfn.XLOOKUP(D808,Master[Product_Code],Master[Brand])</f>
        <v>Max</v>
      </c>
      <c r="H808" s="8" t="str">
        <f>_xlfn.XLOOKUP(D808,Master[Product_Code],Master[Style])</f>
        <v>Formal</v>
      </c>
      <c r="I808" s="8" t="str">
        <f>_xlfn.XLOOKUP(D808,Master[Product_Code],Master[Fabric])</f>
        <v>Cotton Blend</v>
      </c>
      <c r="J808" s="8" t="str">
        <f>_xlfn.XLOOKUP(D808,Master[Product_Code],Master[Size])</f>
        <v>XXL</v>
      </c>
      <c r="K808" s="8" t="str">
        <f>_xlfn.XLOOKUP(D808,Master[Product_Code],Master[Color])</f>
        <v>Maroon</v>
      </c>
      <c r="L808" s="3">
        <f>_xlfn.XLOOKUP(D808,Master[Product_Code],Master[Selling_Price])</f>
        <v>800</v>
      </c>
    </row>
    <row r="809" spans="2:12">
      <c r="B809" s="2" t="s">
        <v>2094</v>
      </c>
      <c r="C809" s="7">
        <v>45955</v>
      </c>
      <c r="D809" s="2" t="s">
        <v>1083</v>
      </c>
      <c r="E809" s="4">
        <v>1</v>
      </c>
      <c r="F809" s="8" t="str">
        <f>_xlfn.XLOOKUP(D809,Master[Product_Code],Master[Category])</f>
        <v>Jeans</v>
      </c>
      <c r="G809" s="8" t="str">
        <f>_xlfn.XLOOKUP(D809,Master[Product_Code],Master[Brand])</f>
        <v>Spykar</v>
      </c>
      <c r="H809" s="8" t="str">
        <f>_xlfn.XLOOKUP(D809,Master[Product_Code],Master[Style])</f>
        <v>Baggy</v>
      </c>
      <c r="I809" s="8" t="str">
        <f>_xlfn.XLOOKUP(D809,Master[Product_Code],Master[Fabric])</f>
        <v>Denim</v>
      </c>
      <c r="J809" s="8">
        <f>_xlfn.XLOOKUP(D809,Master[Product_Code],Master[Size])</f>
        <v>40</v>
      </c>
      <c r="K809" s="8" t="str">
        <f>_xlfn.XLOOKUP(D809,Master[Product_Code],Master[Color])</f>
        <v>Mustard</v>
      </c>
      <c r="L809" s="3">
        <f>_xlfn.XLOOKUP(D809,Master[Product_Code],Master[Selling_Price])</f>
        <v>790</v>
      </c>
    </row>
    <row r="810" spans="2:12">
      <c r="B810" s="2" t="s">
        <v>2094</v>
      </c>
      <c r="C810" s="7">
        <v>45955</v>
      </c>
      <c r="D810" s="2" t="s">
        <v>1114</v>
      </c>
      <c r="E810" s="4">
        <v>1</v>
      </c>
      <c r="F810" s="8" t="str">
        <f>_xlfn.XLOOKUP(D810,Master[Product_Code],Master[Category])</f>
        <v>Jeans</v>
      </c>
      <c r="G810" s="8" t="str">
        <f>_xlfn.XLOOKUP(D810,Master[Product_Code],Master[Brand])</f>
        <v>Spykar</v>
      </c>
      <c r="H810" s="8" t="str">
        <f>_xlfn.XLOOKUP(D810,Master[Product_Code],Master[Style])</f>
        <v>Jogger</v>
      </c>
      <c r="I810" s="8" t="str">
        <f>_xlfn.XLOOKUP(D810,Master[Product_Code],Master[Fabric])</f>
        <v>Denim</v>
      </c>
      <c r="J810" s="8">
        <f>_xlfn.XLOOKUP(D810,Master[Product_Code],Master[Size])</f>
        <v>28</v>
      </c>
      <c r="K810" s="8" t="str">
        <f>_xlfn.XLOOKUP(D810,Master[Product_Code],Master[Color])</f>
        <v>Peach</v>
      </c>
      <c r="L810" s="3">
        <f>_xlfn.XLOOKUP(D810,Master[Product_Code],Master[Selling_Price])</f>
        <v>880</v>
      </c>
    </row>
    <row r="811" spans="2:12">
      <c r="B811" s="2" t="s">
        <v>2095</v>
      </c>
      <c r="C811" s="7">
        <v>45955</v>
      </c>
      <c r="D811" s="2" t="s">
        <v>646</v>
      </c>
      <c r="E811" s="4">
        <v>1</v>
      </c>
      <c r="F811" s="8" t="str">
        <f>_xlfn.XLOOKUP(D811,Master[Product_Code],Master[Category])</f>
        <v>T-Shirt</v>
      </c>
      <c r="G811" s="8" t="str">
        <f>_xlfn.XLOOKUP(D811,Master[Product_Code],Master[Brand])</f>
        <v>Thailand</v>
      </c>
      <c r="H811" s="8" t="str">
        <f>_xlfn.XLOOKUP(D811,Master[Product_Code],Master[Style])</f>
        <v>Full Sleeve</v>
      </c>
      <c r="I811" s="8" t="str">
        <f>_xlfn.XLOOKUP(D811,Master[Product_Code],Master[Fabric])</f>
        <v>Poly Cotton</v>
      </c>
      <c r="J811" s="8" t="str">
        <f>_xlfn.XLOOKUP(D811,Master[Product_Code],Master[Size])</f>
        <v>XXL</v>
      </c>
      <c r="K811" s="8" t="str">
        <f>_xlfn.XLOOKUP(D811,Master[Product_Code],Master[Color])</f>
        <v>Olive</v>
      </c>
      <c r="L811" s="3">
        <f>_xlfn.XLOOKUP(D811,Master[Product_Code],Master[Selling_Price])</f>
        <v>570</v>
      </c>
    </row>
    <row r="812" spans="2:12">
      <c r="B812" s="2" t="s">
        <v>2095</v>
      </c>
      <c r="C812" s="7">
        <v>45955</v>
      </c>
      <c r="D812" s="2" t="s">
        <v>731</v>
      </c>
      <c r="E812" s="4">
        <v>1</v>
      </c>
      <c r="F812" s="8" t="str">
        <f>_xlfn.XLOOKUP(D812,Master[Product_Code],Master[Category])</f>
        <v>T-Shirt</v>
      </c>
      <c r="G812" s="8" t="str">
        <f>_xlfn.XLOOKUP(D812,Master[Product_Code],Master[Brand])</f>
        <v>Campus</v>
      </c>
      <c r="H812" s="8" t="str">
        <f>_xlfn.XLOOKUP(D812,Master[Product_Code],Master[Style])</f>
        <v>3/4 Sleeve</v>
      </c>
      <c r="I812" s="8" t="str">
        <f>_xlfn.XLOOKUP(D812,Master[Product_Code],Master[Fabric])</f>
        <v>Cotton</v>
      </c>
      <c r="J812" s="8" t="str">
        <f>_xlfn.XLOOKUP(D812,Master[Product_Code],Master[Size])</f>
        <v>XXL</v>
      </c>
      <c r="K812" s="8" t="str">
        <f>_xlfn.XLOOKUP(D812,Master[Product_Code],Master[Color])</f>
        <v>Teal</v>
      </c>
      <c r="L812" s="3">
        <f>_xlfn.XLOOKUP(D812,Master[Product_Code],Master[Selling_Price])</f>
        <v>600</v>
      </c>
    </row>
    <row r="813" spans="2:12">
      <c r="B813" s="2" t="s">
        <v>2096</v>
      </c>
      <c r="C813" s="7">
        <v>45957</v>
      </c>
      <c r="D813" s="2" t="s">
        <v>1666</v>
      </c>
      <c r="E813" s="4">
        <v>1</v>
      </c>
      <c r="F813" s="8" t="str">
        <f>_xlfn.XLOOKUP(D813,Master[Product_Code],Master[Category])</f>
        <v>Innerwear</v>
      </c>
      <c r="G813" s="8" t="str">
        <f>_xlfn.XLOOKUP(D813,Master[Product_Code],Master[Brand])</f>
        <v>Jockey</v>
      </c>
      <c r="H813" s="8" t="str">
        <f>_xlfn.XLOOKUP(D813,Master[Product_Code],Master[Style])</f>
        <v>V-Cut</v>
      </c>
      <c r="I813" s="8" t="str">
        <f>_xlfn.XLOOKUP(D813,Master[Product_Code],Master[Fabric])</f>
        <v>Cotton Blend</v>
      </c>
      <c r="J813" s="8" t="str">
        <f>_xlfn.XLOOKUP(D813,Master[Product_Code],Master[Size])</f>
        <v>80-85</v>
      </c>
      <c r="K813" s="8" t="str">
        <f>_xlfn.XLOOKUP(D813,Master[Product_Code],Master[Color])</f>
        <v>Sky Blue</v>
      </c>
      <c r="L813" s="3">
        <f>_xlfn.XLOOKUP(D813,Master[Product_Code],Master[Selling_Price])</f>
        <v>140</v>
      </c>
    </row>
    <row r="814" spans="2:12">
      <c r="B814" s="2" t="s">
        <v>2096</v>
      </c>
      <c r="C814" s="7">
        <v>45957</v>
      </c>
      <c r="D814" s="2" t="s">
        <v>496</v>
      </c>
      <c r="E814" s="4">
        <v>1</v>
      </c>
      <c r="F814" s="8" t="str">
        <f>_xlfn.XLOOKUP(D814,Master[Product_Code],Master[Category])</f>
        <v>T-Shirt</v>
      </c>
      <c r="G814" s="8" t="str">
        <f>_xlfn.XLOOKUP(D814,Master[Product_Code],Master[Brand])</f>
        <v>Urban Monkey</v>
      </c>
      <c r="H814" s="8" t="str">
        <f>_xlfn.XLOOKUP(D814,Master[Product_Code],Master[Style])</f>
        <v>Half Sleeve</v>
      </c>
      <c r="I814" s="8" t="str">
        <f>_xlfn.XLOOKUP(D814,Master[Product_Code],Master[Fabric])</f>
        <v>Cotton Blend</v>
      </c>
      <c r="J814" s="8" t="str">
        <f>_xlfn.XLOOKUP(D814,Master[Product_Code],Master[Size])</f>
        <v>S</v>
      </c>
      <c r="K814" s="8" t="str">
        <f>_xlfn.XLOOKUP(D814,Master[Product_Code],Master[Color])</f>
        <v>Charcoal</v>
      </c>
      <c r="L814" s="3">
        <f>_xlfn.XLOOKUP(D814,Master[Product_Code],Master[Selling_Price])</f>
        <v>460</v>
      </c>
    </row>
    <row r="815" spans="2:12">
      <c r="B815" s="2" t="s">
        <v>2096</v>
      </c>
      <c r="C815" s="7">
        <v>45957</v>
      </c>
      <c r="D815" s="2" t="s">
        <v>362</v>
      </c>
      <c r="E815" s="4">
        <v>1</v>
      </c>
      <c r="F815" s="8" t="str">
        <f>_xlfn.XLOOKUP(D815,Master[Product_Code],Master[Category])</f>
        <v>Shirt</v>
      </c>
      <c r="G815" s="8" t="str">
        <f>_xlfn.XLOOKUP(D815,Master[Product_Code],Master[Brand])</f>
        <v>L7</v>
      </c>
      <c r="H815" s="8" t="str">
        <f>_xlfn.XLOOKUP(D815,Master[Product_Code],Master[Style])</f>
        <v>Casual</v>
      </c>
      <c r="I815" s="8" t="str">
        <f>_xlfn.XLOOKUP(D815,Master[Product_Code],Master[Fabric])</f>
        <v>Polyester</v>
      </c>
      <c r="J815" s="8" t="str">
        <f>_xlfn.XLOOKUP(D815,Master[Product_Code],Master[Size])</f>
        <v>L</v>
      </c>
      <c r="K815" s="8" t="str">
        <f>_xlfn.XLOOKUP(D815,Master[Product_Code],Master[Color])</f>
        <v>Peach</v>
      </c>
      <c r="L815" s="3">
        <f>_xlfn.XLOOKUP(D815,Master[Product_Code],Master[Selling_Price])</f>
        <v>880</v>
      </c>
    </row>
    <row r="816" spans="2:12">
      <c r="B816" s="2" t="s">
        <v>2097</v>
      </c>
      <c r="C816" s="7">
        <v>45957</v>
      </c>
      <c r="D816" s="2" t="s">
        <v>1400</v>
      </c>
      <c r="E816" s="4">
        <v>1</v>
      </c>
      <c r="F816" s="8" t="str">
        <f>_xlfn.XLOOKUP(D816,Master[Product_Code],Master[Category])</f>
        <v>Pants</v>
      </c>
      <c r="G816" s="8" t="str">
        <f>_xlfn.XLOOKUP(D816,Master[Product_Code],Master[Brand])</f>
        <v>Park Avenue</v>
      </c>
      <c r="H816" s="8" t="str">
        <f>_xlfn.XLOOKUP(D816,Master[Product_Code],Master[Style])</f>
        <v>Boot Cut</v>
      </c>
      <c r="I816" s="8" t="str">
        <f>_xlfn.XLOOKUP(D816,Master[Product_Code],Master[Fabric])</f>
        <v>Poly Viscose</v>
      </c>
      <c r="J816" s="8">
        <f>_xlfn.XLOOKUP(D816,Master[Product_Code],Master[Size])</f>
        <v>38</v>
      </c>
      <c r="K816" s="8" t="str">
        <f>_xlfn.XLOOKUP(D816,Master[Product_Code],Master[Color])</f>
        <v>Wine</v>
      </c>
      <c r="L816" s="3">
        <f>_xlfn.XLOOKUP(D816,Master[Product_Code],Master[Selling_Price])</f>
        <v>740</v>
      </c>
    </row>
    <row r="817" spans="2:12">
      <c r="B817" s="2" t="s">
        <v>2097</v>
      </c>
      <c r="C817" s="7">
        <v>45957</v>
      </c>
      <c r="D817" s="2" t="s">
        <v>562</v>
      </c>
      <c r="E817" s="4">
        <v>1</v>
      </c>
      <c r="F817" s="8" t="str">
        <f>_xlfn.XLOOKUP(D817,Master[Product_Code],Master[Category])</f>
        <v>T-Shirt</v>
      </c>
      <c r="G817" s="8" t="str">
        <f>_xlfn.XLOOKUP(D817,Master[Product_Code],Master[Brand])</f>
        <v>Max</v>
      </c>
      <c r="H817" s="8" t="str">
        <f>_xlfn.XLOOKUP(D817,Master[Product_Code],Master[Style])</f>
        <v>Sleeveless</v>
      </c>
      <c r="I817" s="8" t="str">
        <f>_xlfn.XLOOKUP(D817,Master[Product_Code],Master[Fabric])</f>
        <v>Poly Cotton</v>
      </c>
      <c r="J817" s="8" t="str">
        <f>_xlfn.XLOOKUP(D817,Master[Product_Code],Master[Size])</f>
        <v>XXL</v>
      </c>
      <c r="K817" s="8" t="str">
        <f>_xlfn.XLOOKUP(D817,Master[Product_Code],Master[Color])</f>
        <v>Charcoal</v>
      </c>
      <c r="L817" s="3">
        <f>_xlfn.XLOOKUP(D817,Master[Product_Code],Master[Selling_Price])</f>
        <v>230</v>
      </c>
    </row>
    <row r="818" spans="2:12">
      <c r="B818" s="2" t="s">
        <v>2097</v>
      </c>
      <c r="C818" s="7">
        <v>45957</v>
      </c>
      <c r="D818" s="2" t="s">
        <v>491</v>
      </c>
      <c r="E818" s="4">
        <v>1</v>
      </c>
      <c r="F818" s="8" t="str">
        <f>_xlfn.XLOOKUP(D818,Master[Product_Code],Master[Category])</f>
        <v>T-Shirt</v>
      </c>
      <c r="G818" s="8" t="str">
        <f>_xlfn.XLOOKUP(D818,Master[Product_Code],Master[Brand])</f>
        <v>Roadster</v>
      </c>
      <c r="H818" s="8" t="str">
        <f>_xlfn.XLOOKUP(D818,Master[Product_Code],Master[Style])</f>
        <v>Half Sleeve</v>
      </c>
      <c r="I818" s="8" t="str">
        <f>_xlfn.XLOOKUP(D818,Master[Product_Code],Master[Fabric])</f>
        <v>Cotton</v>
      </c>
      <c r="J818" s="8" t="str">
        <f>_xlfn.XLOOKUP(D818,Master[Product_Code],Master[Size])</f>
        <v>L</v>
      </c>
      <c r="K818" s="8" t="str">
        <f>_xlfn.XLOOKUP(D818,Master[Product_Code],Master[Color])</f>
        <v>White</v>
      </c>
      <c r="L818" s="3">
        <f>_xlfn.XLOOKUP(D818,Master[Product_Code],Master[Selling_Price])</f>
        <v>270</v>
      </c>
    </row>
    <row r="819" spans="2:12">
      <c r="B819" s="2" t="s">
        <v>2098</v>
      </c>
      <c r="C819" s="7">
        <v>45957</v>
      </c>
      <c r="D819" s="2" t="s">
        <v>1128</v>
      </c>
      <c r="E819" s="4">
        <v>1</v>
      </c>
      <c r="F819" s="8" t="str">
        <f>_xlfn.XLOOKUP(D819,Master[Product_Code],Master[Category])</f>
        <v>Jeans</v>
      </c>
      <c r="G819" s="8" t="str">
        <f>_xlfn.XLOOKUP(D819,Master[Product_Code],Master[Brand])</f>
        <v>Pepe</v>
      </c>
      <c r="H819" s="8" t="str">
        <f>_xlfn.XLOOKUP(D819,Master[Product_Code],Master[Style])</f>
        <v>Jogger</v>
      </c>
      <c r="I819" s="8" t="str">
        <f>_xlfn.XLOOKUP(D819,Master[Product_Code],Master[Fabric])</f>
        <v>Denim</v>
      </c>
      <c r="J819" s="8">
        <f>_xlfn.XLOOKUP(D819,Master[Product_Code],Master[Size])</f>
        <v>42</v>
      </c>
      <c r="K819" s="8" t="str">
        <f>_xlfn.XLOOKUP(D819,Master[Product_Code],Master[Color])</f>
        <v>Maroon</v>
      </c>
      <c r="L819" s="3">
        <f>_xlfn.XLOOKUP(D819,Master[Product_Code],Master[Selling_Price])</f>
        <v>870</v>
      </c>
    </row>
    <row r="820" spans="2:12">
      <c r="B820" s="2" t="s">
        <v>2099</v>
      </c>
      <c r="C820" s="7">
        <v>45957</v>
      </c>
      <c r="D820" s="2" t="s">
        <v>1436</v>
      </c>
      <c r="E820" s="4">
        <v>1</v>
      </c>
      <c r="F820" s="8" t="str">
        <f>_xlfn.XLOOKUP(D820,Master[Product_Code],Master[Category])</f>
        <v>Pants</v>
      </c>
      <c r="G820" s="8" t="str">
        <f>_xlfn.XLOOKUP(D820,Master[Product_Code],Master[Brand])</f>
        <v>Park Avenue</v>
      </c>
      <c r="H820" s="8" t="str">
        <f>_xlfn.XLOOKUP(D820,Master[Product_Code],Master[Style])</f>
        <v>Polofit</v>
      </c>
      <c r="I820" s="8" t="str">
        <f>_xlfn.XLOOKUP(D820,Master[Product_Code],Master[Fabric])</f>
        <v>Lycra</v>
      </c>
      <c r="J820" s="8">
        <f>_xlfn.XLOOKUP(D820,Master[Product_Code],Master[Size])</f>
        <v>44</v>
      </c>
      <c r="K820" s="8" t="str">
        <f>_xlfn.XLOOKUP(D820,Master[Product_Code],Master[Color])</f>
        <v>Rust</v>
      </c>
      <c r="L820" s="3">
        <f>_xlfn.XLOOKUP(D820,Master[Product_Code],Master[Selling_Price])</f>
        <v>940</v>
      </c>
    </row>
    <row r="821" spans="2:12">
      <c r="B821" s="2" t="s">
        <v>2099</v>
      </c>
      <c r="C821" s="7">
        <v>45957</v>
      </c>
      <c r="D821" s="2" t="s">
        <v>945</v>
      </c>
      <c r="E821" s="4">
        <v>1</v>
      </c>
      <c r="F821" s="8" t="str">
        <f>_xlfn.XLOOKUP(D821,Master[Product_Code],Master[Category])</f>
        <v>Jeans</v>
      </c>
      <c r="G821" s="8" t="str">
        <f>_xlfn.XLOOKUP(D821,Master[Product_Code],Master[Brand])</f>
        <v>Spykar</v>
      </c>
      <c r="H821" s="8" t="str">
        <f>_xlfn.XLOOKUP(D821,Master[Product_Code],Master[Style])</f>
        <v>Mom Fit</v>
      </c>
      <c r="I821" s="8" t="str">
        <f>_xlfn.XLOOKUP(D821,Master[Product_Code],Master[Fabric])</f>
        <v>Denim</v>
      </c>
      <c r="J821" s="8">
        <f>_xlfn.XLOOKUP(D821,Master[Product_Code],Master[Size])</f>
        <v>34</v>
      </c>
      <c r="K821" s="8" t="str">
        <f>_xlfn.XLOOKUP(D821,Master[Product_Code],Master[Color])</f>
        <v>Royal Blue</v>
      </c>
      <c r="L821" s="3">
        <f>_xlfn.XLOOKUP(D821,Master[Product_Code],Master[Selling_Price])</f>
        <v>820</v>
      </c>
    </row>
    <row r="822" spans="2:12">
      <c r="B822" s="2" t="s">
        <v>2099</v>
      </c>
      <c r="C822" s="7">
        <v>45957</v>
      </c>
      <c r="D822" s="2" t="s">
        <v>1327</v>
      </c>
      <c r="E822" s="4">
        <v>1</v>
      </c>
      <c r="F822" s="8" t="str">
        <f>_xlfn.XLOOKUP(D822,Master[Product_Code],Master[Category])</f>
        <v>Pants</v>
      </c>
      <c r="G822" s="8" t="str">
        <f>_xlfn.XLOOKUP(D822,Master[Product_Code],Master[Brand])</f>
        <v>Van Heusen</v>
      </c>
      <c r="H822" s="8" t="str">
        <f>_xlfn.XLOOKUP(D822,Master[Product_Code],Master[Style])</f>
        <v>Boot Cut</v>
      </c>
      <c r="I822" s="8" t="str">
        <f>_xlfn.XLOOKUP(D822,Master[Product_Code],Master[Fabric])</f>
        <v>Cotton Blend</v>
      </c>
      <c r="J822" s="8">
        <f>_xlfn.XLOOKUP(D822,Master[Product_Code],Master[Size])</f>
        <v>42</v>
      </c>
      <c r="K822" s="8" t="str">
        <f>_xlfn.XLOOKUP(D822,Master[Product_Code],Master[Color])</f>
        <v>Sky Blue</v>
      </c>
      <c r="L822" s="3">
        <f>_xlfn.XLOOKUP(D822,Master[Product_Code],Master[Selling_Price])</f>
        <v>760</v>
      </c>
    </row>
    <row r="823" spans="2:12">
      <c r="B823" s="2" t="s">
        <v>2100</v>
      </c>
      <c r="C823" s="7">
        <v>45957</v>
      </c>
      <c r="D823" s="2" t="s">
        <v>1451</v>
      </c>
      <c r="E823" s="4">
        <v>1</v>
      </c>
      <c r="F823" s="8" t="str">
        <f>_xlfn.XLOOKUP(D823,Master[Product_Code],Master[Category])</f>
        <v>Pants</v>
      </c>
      <c r="G823" s="8" t="str">
        <f>_xlfn.XLOOKUP(D823,Master[Product_Code],Master[Brand])</f>
        <v>Peter England</v>
      </c>
      <c r="H823" s="8" t="str">
        <f>_xlfn.XLOOKUP(D823,Master[Product_Code],Master[Style])</f>
        <v>Jogger</v>
      </c>
      <c r="I823" s="8" t="str">
        <f>_xlfn.XLOOKUP(D823,Master[Product_Code],Master[Fabric])</f>
        <v>Cotton Blend</v>
      </c>
      <c r="J823" s="8">
        <f>_xlfn.XLOOKUP(D823,Master[Product_Code],Master[Size])</f>
        <v>44</v>
      </c>
      <c r="K823" s="8" t="str">
        <f>_xlfn.XLOOKUP(D823,Master[Product_Code],Master[Color])</f>
        <v>Cream</v>
      </c>
      <c r="L823" s="3">
        <f>_xlfn.XLOOKUP(D823,Master[Product_Code],Master[Selling_Price])</f>
        <v>870</v>
      </c>
    </row>
    <row r="824" spans="2:12">
      <c r="B824" s="2" t="s">
        <v>2100</v>
      </c>
      <c r="C824" s="7">
        <v>45957</v>
      </c>
      <c r="D824" s="2" t="s">
        <v>174</v>
      </c>
      <c r="E824" s="4">
        <v>1</v>
      </c>
      <c r="F824" s="8" t="str">
        <f>_xlfn.XLOOKUP(D824,Master[Product_Code],Master[Category])</f>
        <v>Shirt</v>
      </c>
      <c r="G824" s="8" t="str">
        <f>_xlfn.XLOOKUP(D824,Master[Product_Code],Master[Brand])</f>
        <v>G Studio</v>
      </c>
      <c r="H824" s="8" t="str">
        <f>_xlfn.XLOOKUP(D824,Master[Product_Code],Master[Style])</f>
        <v>Casual</v>
      </c>
      <c r="I824" s="8" t="str">
        <f>_xlfn.XLOOKUP(D824,Master[Product_Code],Master[Fabric])</f>
        <v>Cotton</v>
      </c>
      <c r="J824" s="8" t="str">
        <f>_xlfn.XLOOKUP(D824,Master[Product_Code],Master[Size])</f>
        <v>XXL</v>
      </c>
      <c r="K824" s="8" t="str">
        <f>_xlfn.XLOOKUP(D824,Master[Product_Code],Master[Color])</f>
        <v>Charcoal</v>
      </c>
      <c r="L824" s="3">
        <f>_xlfn.XLOOKUP(D824,Master[Product_Code],Master[Selling_Price])</f>
        <v>720</v>
      </c>
    </row>
    <row r="825" spans="2:12">
      <c r="B825" s="2" t="s">
        <v>2100</v>
      </c>
      <c r="C825" s="7">
        <v>45957</v>
      </c>
      <c r="D825" s="2" t="s">
        <v>1657</v>
      </c>
      <c r="E825" s="4">
        <v>1</v>
      </c>
      <c r="F825" s="8" t="str">
        <f>_xlfn.XLOOKUP(D825,Master[Product_Code],Master[Category])</f>
        <v>Innerwear</v>
      </c>
      <c r="G825" s="8" t="str">
        <f>_xlfn.XLOOKUP(D825,Master[Product_Code],Master[Brand])</f>
        <v>Rupa</v>
      </c>
      <c r="H825" s="8" t="str">
        <f>_xlfn.XLOOKUP(D825,Master[Product_Code],Master[Style])</f>
        <v>V-Cut</v>
      </c>
      <c r="I825" s="8" t="str">
        <f>_xlfn.XLOOKUP(D825,Master[Product_Code],Master[Fabric])</f>
        <v>Cotton Blend</v>
      </c>
      <c r="J825" s="8" t="str">
        <f>_xlfn.XLOOKUP(D825,Master[Product_Code],Master[Size])</f>
        <v>80-85</v>
      </c>
      <c r="K825" s="8" t="str">
        <f>_xlfn.XLOOKUP(D825,Master[Product_Code],Master[Color])</f>
        <v>Cream</v>
      </c>
      <c r="L825" s="3">
        <f>_xlfn.XLOOKUP(D825,Master[Product_Code],Master[Selling_Price])</f>
        <v>110</v>
      </c>
    </row>
    <row r="826" spans="2:12">
      <c r="B826" s="2" t="s">
        <v>2101</v>
      </c>
      <c r="C826" s="7">
        <v>45957</v>
      </c>
      <c r="D826" s="2" t="s">
        <v>735</v>
      </c>
      <c r="E826" s="4">
        <v>1</v>
      </c>
      <c r="F826" s="8" t="str">
        <f>_xlfn.XLOOKUP(D826,Master[Product_Code],Master[Category])</f>
        <v>T-Shirt</v>
      </c>
      <c r="G826" s="8" t="str">
        <f>_xlfn.XLOOKUP(D826,Master[Product_Code],Master[Brand])</f>
        <v>Urban Monkey</v>
      </c>
      <c r="H826" s="8" t="str">
        <f>_xlfn.XLOOKUP(D826,Master[Product_Code],Master[Style])</f>
        <v>Sleeveless</v>
      </c>
      <c r="I826" s="8" t="str">
        <f>_xlfn.XLOOKUP(D826,Master[Product_Code],Master[Fabric])</f>
        <v>Poly Cotton</v>
      </c>
      <c r="J826" s="8" t="str">
        <f>_xlfn.XLOOKUP(D826,Master[Product_Code],Master[Size])</f>
        <v>S</v>
      </c>
      <c r="K826" s="8" t="str">
        <f>_xlfn.XLOOKUP(D826,Master[Product_Code],Master[Color])</f>
        <v>Maroon</v>
      </c>
      <c r="L826" s="3">
        <f>_xlfn.XLOOKUP(D826,Master[Product_Code],Master[Selling_Price])</f>
        <v>600</v>
      </c>
    </row>
    <row r="827" spans="2:12">
      <c r="B827" s="2" t="s">
        <v>2101</v>
      </c>
      <c r="C827" s="7">
        <v>45957</v>
      </c>
      <c r="D827" s="2" t="s">
        <v>457</v>
      </c>
      <c r="E827" s="4">
        <v>1</v>
      </c>
      <c r="F827" s="8" t="str">
        <f>_xlfn.XLOOKUP(D827,Master[Product_Code],Master[Category])</f>
        <v>T-Shirt</v>
      </c>
      <c r="G827" s="8" t="str">
        <f>_xlfn.XLOOKUP(D827,Master[Product_Code],Master[Brand])</f>
        <v>Turkey</v>
      </c>
      <c r="H827" s="8" t="str">
        <f>_xlfn.XLOOKUP(D827,Master[Product_Code],Master[Style])</f>
        <v>3/4 Sleeve</v>
      </c>
      <c r="I827" s="8" t="str">
        <f>_xlfn.XLOOKUP(D827,Master[Product_Code],Master[Fabric])</f>
        <v>Cotton</v>
      </c>
      <c r="J827" s="8" t="str">
        <f>_xlfn.XLOOKUP(D827,Master[Product_Code],Master[Size])</f>
        <v>XL</v>
      </c>
      <c r="K827" s="8" t="str">
        <f>_xlfn.XLOOKUP(D827,Master[Product_Code],Master[Color])</f>
        <v>Mustard</v>
      </c>
      <c r="L827" s="3">
        <f>_xlfn.XLOOKUP(D827,Master[Product_Code],Master[Selling_Price])</f>
        <v>280</v>
      </c>
    </row>
    <row r="828" spans="2:12">
      <c r="B828" s="2" t="s">
        <v>2101</v>
      </c>
      <c r="C828" s="7">
        <v>45957</v>
      </c>
      <c r="D828" s="2" t="s">
        <v>107</v>
      </c>
      <c r="E828" s="4">
        <v>1</v>
      </c>
      <c r="F828" s="8" t="str">
        <f>_xlfn.XLOOKUP(D828,Master[Product_Code],Master[Category])</f>
        <v>Shirt</v>
      </c>
      <c r="G828" s="8" t="str">
        <f>_xlfn.XLOOKUP(D828,Master[Product_Code],Master[Brand])</f>
        <v>British</v>
      </c>
      <c r="H828" s="8" t="str">
        <f>_xlfn.XLOOKUP(D828,Master[Product_Code],Master[Style])</f>
        <v>Partywear</v>
      </c>
      <c r="I828" s="8" t="str">
        <f>_xlfn.XLOOKUP(D828,Master[Product_Code],Master[Fabric])</f>
        <v>Lycra</v>
      </c>
      <c r="J828" s="8" t="str">
        <f>_xlfn.XLOOKUP(D828,Master[Product_Code],Master[Size])</f>
        <v>XL</v>
      </c>
      <c r="K828" s="8" t="str">
        <f>_xlfn.XLOOKUP(D828,Master[Product_Code],Master[Color])</f>
        <v>Maroon</v>
      </c>
      <c r="L828" s="3">
        <f>_xlfn.XLOOKUP(D828,Master[Product_Code],Master[Selling_Price])</f>
        <v>930</v>
      </c>
    </row>
    <row r="829" spans="2:12">
      <c r="B829" s="2" t="s">
        <v>2101</v>
      </c>
      <c r="C829" s="7">
        <v>45957</v>
      </c>
      <c r="D829" s="2" t="s">
        <v>1107</v>
      </c>
      <c r="E829" s="4">
        <v>1</v>
      </c>
      <c r="F829" s="8" t="str">
        <f>_xlfn.XLOOKUP(D829,Master[Product_Code],Master[Category])</f>
        <v>Jeans</v>
      </c>
      <c r="G829" s="8" t="str">
        <f>_xlfn.XLOOKUP(D829,Master[Product_Code],Master[Brand])</f>
        <v>Wrangler</v>
      </c>
      <c r="H829" s="8" t="str">
        <f>_xlfn.XLOOKUP(D829,Master[Product_Code],Master[Style])</f>
        <v>Jogger</v>
      </c>
      <c r="I829" s="8" t="str">
        <f>_xlfn.XLOOKUP(D829,Master[Product_Code],Master[Fabric])</f>
        <v>Denim</v>
      </c>
      <c r="J829" s="8">
        <f>_xlfn.XLOOKUP(D829,Master[Product_Code],Master[Size])</f>
        <v>32</v>
      </c>
      <c r="K829" s="8" t="str">
        <f>_xlfn.XLOOKUP(D829,Master[Product_Code],Master[Color])</f>
        <v>Light Grey</v>
      </c>
      <c r="L829" s="3">
        <f>_xlfn.XLOOKUP(D829,Master[Product_Code],Master[Selling_Price])</f>
        <v>1090</v>
      </c>
    </row>
    <row r="830" spans="2:12">
      <c r="B830" s="2" t="s">
        <v>2102</v>
      </c>
      <c r="C830" s="7">
        <v>45957</v>
      </c>
      <c r="D830" s="2" t="s">
        <v>911</v>
      </c>
      <c r="E830" s="4">
        <v>1</v>
      </c>
      <c r="F830" s="8" t="str">
        <f>_xlfn.XLOOKUP(D830,Master[Product_Code],Master[Category])</f>
        <v>Jeans</v>
      </c>
      <c r="G830" s="8" t="str">
        <f>_xlfn.XLOOKUP(D830,Master[Product_Code],Master[Brand])</f>
        <v>Levis</v>
      </c>
      <c r="H830" s="8" t="str">
        <f>_xlfn.XLOOKUP(D830,Master[Product_Code],Master[Style])</f>
        <v>Jogger</v>
      </c>
      <c r="I830" s="8" t="str">
        <f>_xlfn.XLOOKUP(D830,Master[Product_Code],Master[Fabric])</f>
        <v>Denim</v>
      </c>
      <c r="J830" s="8">
        <f>_xlfn.XLOOKUP(D830,Master[Product_Code],Master[Size])</f>
        <v>30</v>
      </c>
      <c r="K830" s="8" t="str">
        <f>_xlfn.XLOOKUP(D830,Master[Product_Code],Master[Color])</f>
        <v>Mustard</v>
      </c>
      <c r="L830" s="3">
        <f>_xlfn.XLOOKUP(D830,Master[Product_Code],Master[Selling_Price])</f>
        <v>970</v>
      </c>
    </row>
    <row r="831" spans="2:12">
      <c r="B831" s="2" t="s">
        <v>2103</v>
      </c>
      <c r="C831" s="7">
        <v>45957</v>
      </c>
      <c r="D831" s="2" t="s">
        <v>357</v>
      </c>
      <c r="E831" s="4">
        <v>1</v>
      </c>
      <c r="F831" s="8" t="str">
        <f>_xlfn.XLOOKUP(D831,Master[Product_Code],Master[Category])</f>
        <v>Shirt</v>
      </c>
      <c r="G831" s="8" t="str">
        <f>_xlfn.XLOOKUP(D831,Master[Product_Code],Master[Brand])</f>
        <v>Max</v>
      </c>
      <c r="H831" s="8" t="str">
        <f>_xlfn.XLOOKUP(D831,Master[Product_Code],Master[Style])</f>
        <v>Partywear</v>
      </c>
      <c r="I831" s="8" t="str">
        <f>_xlfn.XLOOKUP(D831,Master[Product_Code],Master[Fabric])</f>
        <v>Cotton Blend</v>
      </c>
      <c r="J831" s="8" t="str">
        <f>_xlfn.XLOOKUP(D831,Master[Product_Code],Master[Size])</f>
        <v>XXL</v>
      </c>
      <c r="K831" s="8" t="str">
        <f>_xlfn.XLOOKUP(D831,Master[Product_Code],Master[Color])</f>
        <v>Teal</v>
      </c>
      <c r="L831" s="3">
        <f>_xlfn.XLOOKUP(D831,Master[Product_Code],Master[Selling_Price])</f>
        <v>690</v>
      </c>
    </row>
    <row r="832" spans="2:12">
      <c r="B832" s="2" t="s">
        <v>2103</v>
      </c>
      <c r="C832" s="7">
        <v>45957</v>
      </c>
      <c r="D832" s="2" t="s">
        <v>269</v>
      </c>
      <c r="E832" s="4">
        <v>1</v>
      </c>
      <c r="F832" s="8" t="str">
        <f>_xlfn.XLOOKUP(D832,Master[Product_Code],Master[Category])</f>
        <v>Shirt</v>
      </c>
      <c r="G832" s="8" t="str">
        <f>_xlfn.XLOOKUP(D832,Master[Product_Code],Master[Brand])</f>
        <v>British</v>
      </c>
      <c r="H832" s="8" t="str">
        <f>_xlfn.XLOOKUP(D832,Master[Product_Code],Master[Style])</f>
        <v>Casual</v>
      </c>
      <c r="I832" s="8" t="str">
        <f>_xlfn.XLOOKUP(D832,Master[Product_Code],Master[Fabric])</f>
        <v>Cotton</v>
      </c>
      <c r="J832" s="8" t="str">
        <f>_xlfn.XLOOKUP(D832,Master[Product_Code],Master[Size])</f>
        <v>S</v>
      </c>
      <c r="K832" s="8" t="str">
        <f>_xlfn.XLOOKUP(D832,Master[Product_Code],Master[Color])</f>
        <v>Royal Blue</v>
      </c>
      <c r="L832" s="3">
        <f>_xlfn.XLOOKUP(D832,Master[Product_Code],Master[Selling_Price])</f>
        <v>650</v>
      </c>
    </row>
    <row r="833" spans="2:12">
      <c r="B833" s="2" t="s">
        <v>2103</v>
      </c>
      <c r="C833" s="7">
        <v>45957</v>
      </c>
      <c r="D833" s="2" t="s">
        <v>314</v>
      </c>
      <c r="E833" s="4">
        <v>1</v>
      </c>
      <c r="F833" s="8" t="str">
        <f>_xlfn.XLOOKUP(D833,Master[Product_Code],Master[Category])</f>
        <v>Shirt</v>
      </c>
      <c r="G833" s="8" t="str">
        <f>_xlfn.XLOOKUP(D833,Master[Product_Code],Master[Brand])</f>
        <v>Max</v>
      </c>
      <c r="H833" s="8" t="str">
        <f>_xlfn.XLOOKUP(D833,Master[Product_Code],Master[Style])</f>
        <v>Casual</v>
      </c>
      <c r="I833" s="8" t="str">
        <f>_xlfn.XLOOKUP(D833,Master[Product_Code],Master[Fabric])</f>
        <v>Cotton Blend</v>
      </c>
      <c r="J833" s="8" t="str">
        <f>_xlfn.XLOOKUP(D833,Master[Product_Code],Master[Size])</f>
        <v>XL</v>
      </c>
      <c r="K833" s="8" t="str">
        <f>_xlfn.XLOOKUP(D833,Master[Product_Code],Master[Color])</f>
        <v>Navy Blue</v>
      </c>
      <c r="L833" s="3">
        <f>_xlfn.XLOOKUP(D833,Master[Product_Code],Master[Selling_Price])</f>
        <v>870</v>
      </c>
    </row>
    <row r="834" spans="2:12">
      <c r="B834" s="2" t="s">
        <v>2103</v>
      </c>
      <c r="C834" s="7">
        <v>45957</v>
      </c>
      <c r="D834" s="2" t="s">
        <v>1072</v>
      </c>
      <c r="E834" s="4">
        <v>1</v>
      </c>
      <c r="F834" s="8" t="str">
        <f>_xlfn.XLOOKUP(D834,Master[Product_Code],Master[Category])</f>
        <v>Jeans</v>
      </c>
      <c r="G834" s="8" t="str">
        <f>_xlfn.XLOOKUP(D834,Master[Product_Code],Master[Brand])</f>
        <v>Levis</v>
      </c>
      <c r="H834" s="8" t="str">
        <f>_xlfn.XLOOKUP(D834,Master[Product_Code],Master[Style])</f>
        <v>Baggy</v>
      </c>
      <c r="I834" s="8" t="str">
        <f>_xlfn.XLOOKUP(D834,Master[Product_Code],Master[Fabric])</f>
        <v>Denim</v>
      </c>
      <c r="J834" s="8">
        <f>_xlfn.XLOOKUP(D834,Master[Product_Code],Master[Size])</f>
        <v>32</v>
      </c>
      <c r="K834" s="8" t="str">
        <f>_xlfn.XLOOKUP(D834,Master[Product_Code],Master[Color])</f>
        <v>Dark Green</v>
      </c>
      <c r="L834" s="3">
        <f>_xlfn.XLOOKUP(D834,Master[Product_Code],Master[Selling_Price])</f>
        <v>800</v>
      </c>
    </row>
    <row r="835" spans="2:12">
      <c r="B835" s="2" t="s">
        <v>2104</v>
      </c>
      <c r="C835" s="7">
        <v>45957</v>
      </c>
      <c r="D835" s="2" t="s">
        <v>1588</v>
      </c>
      <c r="E835" s="4">
        <v>1</v>
      </c>
      <c r="F835" s="8" t="str">
        <f>_xlfn.XLOOKUP(D835,Master[Product_Code],Master[Category])</f>
        <v>Innerwear</v>
      </c>
      <c r="G835" s="8" t="str">
        <f>_xlfn.XLOOKUP(D835,Master[Product_Code],Master[Brand])</f>
        <v>V Star</v>
      </c>
      <c r="H835" s="8" t="str">
        <f>_xlfn.XLOOKUP(D835,Master[Product_Code],Master[Style])</f>
        <v>Boxer</v>
      </c>
      <c r="I835" s="8" t="str">
        <f>_xlfn.XLOOKUP(D835,Master[Product_Code],Master[Fabric])</f>
        <v>Cotton Blend</v>
      </c>
      <c r="J835" s="8" t="str">
        <f>_xlfn.XLOOKUP(D835,Master[Product_Code],Master[Size])</f>
        <v>90-100</v>
      </c>
      <c r="K835" s="8" t="str">
        <f>_xlfn.XLOOKUP(D835,Master[Product_Code],Master[Color])</f>
        <v>Olive</v>
      </c>
      <c r="L835" s="3">
        <f>_xlfn.XLOOKUP(D835,Master[Product_Code],Master[Selling_Price])</f>
        <v>110</v>
      </c>
    </row>
    <row r="836" spans="2:12">
      <c r="B836" s="2" t="s">
        <v>2104</v>
      </c>
      <c r="C836" s="7">
        <v>45957</v>
      </c>
      <c r="D836" s="2" t="s">
        <v>1049</v>
      </c>
      <c r="E836" s="4">
        <v>1</v>
      </c>
      <c r="F836" s="8" t="str">
        <f>_xlfn.XLOOKUP(D836,Master[Product_Code],Master[Category])</f>
        <v>Jeans</v>
      </c>
      <c r="G836" s="8" t="str">
        <f>_xlfn.XLOOKUP(D836,Master[Product_Code],Master[Brand])</f>
        <v>Denim Pro</v>
      </c>
      <c r="H836" s="8" t="str">
        <f>_xlfn.XLOOKUP(D836,Master[Product_Code],Master[Style])</f>
        <v>Baggy</v>
      </c>
      <c r="I836" s="8" t="str">
        <f>_xlfn.XLOOKUP(D836,Master[Product_Code],Master[Fabric])</f>
        <v>Denim</v>
      </c>
      <c r="J836" s="8">
        <f>_xlfn.XLOOKUP(D836,Master[Product_Code],Master[Size])</f>
        <v>36</v>
      </c>
      <c r="K836" s="8" t="str">
        <f>_xlfn.XLOOKUP(D836,Master[Product_Code],Master[Color])</f>
        <v>Maroon</v>
      </c>
      <c r="L836" s="3">
        <f>_xlfn.XLOOKUP(D836,Master[Product_Code],Master[Selling_Price])</f>
        <v>1010</v>
      </c>
    </row>
    <row r="837" spans="2:12">
      <c r="B837" s="2" t="s">
        <v>2104</v>
      </c>
      <c r="C837" s="7">
        <v>45957</v>
      </c>
      <c r="D837" s="2" t="s">
        <v>234</v>
      </c>
      <c r="E837" s="4">
        <v>1</v>
      </c>
      <c r="F837" s="8" t="str">
        <f>_xlfn.XLOOKUP(D837,Master[Product_Code],Master[Category])</f>
        <v>Shirt</v>
      </c>
      <c r="G837" s="8" t="str">
        <f>_xlfn.XLOOKUP(D837,Master[Product_Code],Master[Brand])</f>
        <v>Luke &amp; Burg</v>
      </c>
      <c r="H837" s="8" t="str">
        <f>_xlfn.XLOOKUP(D837,Master[Product_Code],Master[Style])</f>
        <v>Casual</v>
      </c>
      <c r="I837" s="8" t="str">
        <f>_xlfn.XLOOKUP(D837,Master[Product_Code],Master[Fabric])</f>
        <v>Cotton</v>
      </c>
      <c r="J837" s="8" t="str">
        <f>_xlfn.XLOOKUP(D837,Master[Product_Code],Master[Size])</f>
        <v>XL</v>
      </c>
      <c r="K837" s="8" t="str">
        <f>_xlfn.XLOOKUP(D837,Master[Product_Code],Master[Color])</f>
        <v>Cream</v>
      </c>
      <c r="L837" s="3">
        <f>_xlfn.XLOOKUP(D837,Master[Product_Code],Master[Selling_Price])</f>
        <v>800</v>
      </c>
    </row>
    <row r="838" spans="2:12">
      <c r="B838" s="2" t="s">
        <v>2104</v>
      </c>
      <c r="C838" s="7">
        <v>45957</v>
      </c>
      <c r="D838" s="2" t="s">
        <v>1661</v>
      </c>
      <c r="E838" s="4">
        <v>1</v>
      </c>
      <c r="F838" s="8" t="str">
        <f>_xlfn.XLOOKUP(D838,Master[Product_Code],Master[Category])</f>
        <v>Innerwear</v>
      </c>
      <c r="G838" s="8" t="str">
        <f>_xlfn.XLOOKUP(D838,Master[Product_Code],Master[Brand])</f>
        <v>Lux</v>
      </c>
      <c r="H838" s="8" t="str">
        <f>_xlfn.XLOOKUP(D838,Master[Product_Code],Master[Style])</f>
        <v>Boxer</v>
      </c>
      <c r="I838" s="8" t="str">
        <f>_xlfn.XLOOKUP(D838,Master[Product_Code],Master[Fabric])</f>
        <v>Cotton</v>
      </c>
      <c r="J838" s="8" t="str">
        <f>_xlfn.XLOOKUP(D838,Master[Product_Code],Master[Size])</f>
        <v>80-85</v>
      </c>
      <c r="K838" s="8" t="str">
        <f>_xlfn.XLOOKUP(D838,Master[Product_Code],Master[Color])</f>
        <v>Maroon</v>
      </c>
      <c r="L838" s="3">
        <f>_xlfn.XLOOKUP(D838,Master[Product_Code],Master[Selling_Price])</f>
        <v>100</v>
      </c>
    </row>
    <row r="839" spans="2:12">
      <c r="B839" s="2" t="s">
        <v>2105</v>
      </c>
      <c r="C839" s="7">
        <v>45957</v>
      </c>
      <c r="D839" s="2" t="s">
        <v>767</v>
      </c>
      <c r="E839" s="4">
        <v>1</v>
      </c>
      <c r="F839" s="8" t="str">
        <f>_xlfn.XLOOKUP(D839,Master[Product_Code],Master[Category])</f>
        <v>T-Shirt</v>
      </c>
      <c r="G839" s="8" t="str">
        <f>_xlfn.XLOOKUP(D839,Master[Product_Code],Master[Brand])</f>
        <v>Roadster</v>
      </c>
      <c r="H839" s="8" t="str">
        <f>_xlfn.XLOOKUP(D839,Master[Product_Code],Master[Style])</f>
        <v>3/4 Sleeve</v>
      </c>
      <c r="I839" s="8" t="str">
        <f>_xlfn.XLOOKUP(D839,Master[Product_Code],Master[Fabric])</f>
        <v>Poly Cotton</v>
      </c>
      <c r="J839" s="8" t="str">
        <f>_xlfn.XLOOKUP(D839,Master[Product_Code],Master[Size])</f>
        <v>L</v>
      </c>
      <c r="K839" s="8" t="str">
        <f>_xlfn.XLOOKUP(D839,Master[Product_Code],Master[Color])</f>
        <v>Light Grey</v>
      </c>
      <c r="L839" s="3">
        <f>_xlfn.XLOOKUP(D839,Master[Product_Code],Master[Selling_Price])</f>
        <v>710</v>
      </c>
    </row>
    <row r="840" spans="2:12">
      <c r="B840" s="2" t="s">
        <v>2105</v>
      </c>
      <c r="C840" s="7">
        <v>45957</v>
      </c>
      <c r="D840" s="2" t="s">
        <v>939</v>
      </c>
      <c r="E840" s="4">
        <v>1</v>
      </c>
      <c r="F840" s="8" t="str">
        <f>_xlfn.XLOOKUP(D840,Master[Product_Code],Master[Category])</f>
        <v>Jeans</v>
      </c>
      <c r="G840" s="8" t="str">
        <f>_xlfn.XLOOKUP(D840,Master[Product_Code],Master[Brand])</f>
        <v>Denim Pro</v>
      </c>
      <c r="H840" s="8" t="str">
        <f>_xlfn.XLOOKUP(D840,Master[Product_Code],Master[Style])</f>
        <v>Jogger</v>
      </c>
      <c r="I840" s="8" t="str">
        <f>_xlfn.XLOOKUP(D840,Master[Product_Code],Master[Fabric])</f>
        <v>Denim</v>
      </c>
      <c r="J840" s="8">
        <f>_xlfn.XLOOKUP(D840,Master[Product_Code],Master[Size])</f>
        <v>40</v>
      </c>
      <c r="K840" s="8" t="str">
        <f>_xlfn.XLOOKUP(D840,Master[Product_Code],Master[Color])</f>
        <v>Charcoal</v>
      </c>
      <c r="L840" s="3">
        <f>_xlfn.XLOOKUP(D840,Master[Product_Code],Master[Selling_Price])</f>
        <v>960</v>
      </c>
    </row>
    <row r="841" spans="2:12">
      <c r="B841" s="2" t="s">
        <v>2106</v>
      </c>
      <c r="C841" s="7">
        <v>45957</v>
      </c>
      <c r="D841" s="2" t="s">
        <v>951</v>
      </c>
      <c r="E841" s="4">
        <v>1</v>
      </c>
      <c r="F841" s="8" t="str">
        <f>_xlfn.XLOOKUP(D841,Master[Product_Code],Master[Category])</f>
        <v>Jeans</v>
      </c>
      <c r="G841" s="8" t="str">
        <f>_xlfn.XLOOKUP(D841,Master[Product_Code],Master[Brand])</f>
        <v>Levis</v>
      </c>
      <c r="H841" s="8" t="str">
        <f>_xlfn.XLOOKUP(D841,Master[Product_Code],Master[Style])</f>
        <v>Mom Fit</v>
      </c>
      <c r="I841" s="8" t="str">
        <f>_xlfn.XLOOKUP(D841,Master[Product_Code],Master[Fabric])</f>
        <v>Denim</v>
      </c>
      <c r="J841" s="8">
        <f>_xlfn.XLOOKUP(D841,Master[Product_Code],Master[Size])</f>
        <v>38</v>
      </c>
      <c r="K841" s="8" t="str">
        <f>_xlfn.XLOOKUP(D841,Master[Product_Code],Master[Color])</f>
        <v>Rust</v>
      </c>
      <c r="L841" s="3">
        <f>_xlfn.XLOOKUP(D841,Master[Product_Code],Master[Selling_Price])</f>
        <v>920</v>
      </c>
    </row>
    <row r="842" spans="2:12">
      <c r="B842" s="2" t="s">
        <v>2106</v>
      </c>
      <c r="C842" s="7">
        <v>45957</v>
      </c>
      <c r="D842" s="2" t="s">
        <v>1682</v>
      </c>
      <c r="E842" s="4">
        <v>1</v>
      </c>
      <c r="F842" s="8" t="str">
        <f>_xlfn.XLOOKUP(D842,Master[Product_Code],Master[Category])</f>
        <v>Innerwear</v>
      </c>
      <c r="G842" s="8" t="str">
        <f>_xlfn.XLOOKUP(D842,Master[Product_Code],Master[Brand])</f>
        <v>Rupa</v>
      </c>
      <c r="H842" s="8" t="str">
        <f>_xlfn.XLOOKUP(D842,Master[Product_Code],Master[Style])</f>
        <v>Boxer</v>
      </c>
      <c r="I842" s="8" t="str">
        <f>_xlfn.XLOOKUP(D842,Master[Product_Code],Master[Fabric])</f>
        <v>Cotton</v>
      </c>
      <c r="J842" s="8" t="str">
        <f>_xlfn.XLOOKUP(D842,Master[Product_Code],Master[Size])</f>
        <v>75-80</v>
      </c>
      <c r="K842" s="8" t="str">
        <f>_xlfn.XLOOKUP(D842,Master[Product_Code],Master[Color])</f>
        <v>Charcoal</v>
      </c>
      <c r="L842" s="3">
        <f>_xlfn.XLOOKUP(D842,Master[Product_Code],Master[Selling_Price])</f>
        <v>100</v>
      </c>
    </row>
    <row r="843" spans="2:12">
      <c r="B843" s="2" t="s">
        <v>2106</v>
      </c>
      <c r="C843" s="7">
        <v>45957</v>
      </c>
      <c r="D843" s="2" t="s">
        <v>490</v>
      </c>
      <c r="E843" s="4">
        <v>1</v>
      </c>
      <c r="F843" s="8" t="str">
        <f>_xlfn.XLOOKUP(D843,Master[Product_Code],Master[Category])</f>
        <v>T-Shirt</v>
      </c>
      <c r="G843" s="8" t="str">
        <f>_xlfn.XLOOKUP(D843,Master[Product_Code],Master[Brand])</f>
        <v>Max</v>
      </c>
      <c r="H843" s="8" t="str">
        <f>_xlfn.XLOOKUP(D843,Master[Product_Code],Master[Style])</f>
        <v>Sleeveless</v>
      </c>
      <c r="I843" s="8" t="str">
        <f>_xlfn.XLOOKUP(D843,Master[Product_Code],Master[Fabric])</f>
        <v>Poly Cotton</v>
      </c>
      <c r="J843" s="8" t="str">
        <f>_xlfn.XLOOKUP(D843,Master[Product_Code],Master[Size])</f>
        <v>XL</v>
      </c>
      <c r="K843" s="8" t="str">
        <f>_xlfn.XLOOKUP(D843,Master[Product_Code],Master[Color])</f>
        <v>Peach</v>
      </c>
      <c r="L843" s="3">
        <f>_xlfn.XLOOKUP(D843,Master[Product_Code],Master[Selling_Price])</f>
        <v>700</v>
      </c>
    </row>
    <row r="844" spans="2:12">
      <c r="B844" s="2" t="s">
        <v>2106</v>
      </c>
      <c r="C844" s="7">
        <v>45957</v>
      </c>
      <c r="D844" s="2" t="s">
        <v>474</v>
      </c>
      <c r="E844" s="4">
        <v>1</v>
      </c>
      <c r="F844" s="8" t="str">
        <f>_xlfn.XLOOKUP(D844,Master[Product_Code],Master[Category])</f>
        <v>T-Shirt</v>
      </c>
      <c r="G844" s="8" t="str">
        <f>_xlfn.XLOOKUP(D844,Master[Product_Code],Master[Brand])</f>
        <v>Campus</v>
      </c>
      <c r="H844" s="8" t="str">
        <f>_xlfn.XLOOKUP(D844,Master[Product_Code],Master[Style])</f>
        <v>Sleeveless</v>
      </c>
      <c r="I844" s="8" t="str">
        <f>_xlfn.XLOOKUP(D844,Master[Product_Code],Master[Fabric])</f>
        <v>Cotton Blend</v>
      </c>
      <c r="J844" s="8" t="str">
        <f>_xlfn.XLOOKUP(D844,Master[Product_Code],Master[Size])</f>
        <v>S</v>
      </c>
      <c r="K844" s="8" t="str">
        <f>_xlfn.XLOOKUP(D844,Master[Product_Code],Master[Color])</f>
        <v>Brown</v>
      </c>
      <c r="L844" s="3">
        <f>_xlfn.XLOOKUP(D844,Master[Product_Code],Master[Selling_Price])</f>
        <v>730</v>
      </c>
    </row>
    <row r="845" spans="2:12">
      <c r="B845" s="2" t="s">
        <v>2107</v>
      </c>
      <c r="C845" s="7">
        <v>45957</v>
      </c>
      <c r="D845" s="2" t="s">
        <v>495</v>
      </c>
      <c r="E845" s="4">
        <v>1</v>
      </c>
      <c r="F845" s="8" t="str">
        <f>_xlfn.XLOOKUP(D845,Master[Product_Code],Master[Category])</f>
        <v>T-Shirt</v>
      </c>
      <c r="G845" s="8" t="str">
        <f>_xlfn.XLOOKUP(D845,Master[Product_Code],Master[Brand])</f>
        <v>Zara</v>
      </c>
      <c r="H845" s="8" t="str">
        <f>_xlfn.XLOOKUP(D845,Master[Product_Code],Master[Style])</f>
        <v>Full Sleeve</v>
      </c>
      <c r="I845" s="8" t="str">
        <f>_xlfn.XLOOKUP(D845,Master[Product_Code],Master[Fabric])</f>
        <v>Cotton Blend</v>
      </c>
      <c r="J845" s="8" t="str">
        <f>_xlfn.XLOOKUP(D845,Master[Product_Code],Master[Size])</f>
        <v>S</v>
      </c>
      <c r="K845" s="8" t="str">
        <f>_xlfn.XLOOKUP(D845,Master[Product_Code],Master[Color])</f>
        <v>Cream</v>
      </c>
      <c r="L845" s="3">
        <f>_xlfn.XLOOKUP(D845,Master[Product_Code],Master[Selling_Price])</f>
        <v>510</v>
      </c>
    </row>
    <row r="846" spans="2:12">
      <c r="B846" s="2" t="s">
        <v>2107</v>
      </c>
      <c r="C846" s="7">
        <v>45957</v>
      </c>
      <c r="D846" s="2" t="s">
        <v>318</v>
      </c>
      <c r="E846" s="4">
        <v>1</v>
      </c>
      <c r="F846" s="8" t="str">
        <f>_xlfn.XLOOKUP(D846,Master[Product_Code],Master[Category])</f>
        <v>Shirt</v>
      </c>
      <c r="G846" s="8" t="str">
        <f>_xlfn.XLOOKUP(D846,Master[Product_Code],Master[Brand])</f>
        <v>Max</v>
      </c>
      <c r="H846" s="8" t="str">
        <f>_xlfn.XLOOKUP(D846,Master[Product_Code],Master[Style])</f>
        <v>Formal</v>
      </c>
      <c r="I846" s="8" t="str">
        <f>_xlfn.XLOOKUP(D846,Master[Product_Code],Master[Fabric])</f>
        <v>Cotton</v>
      </c>
      <c r="J846" s="8" t="str">
        <f>_xlfn.XLOOKUP(D846,Master[Product_Code],Master[Size])</f>
        <v>M</v>
      </c>
      <c r="K846" s="8" t="str">
        <f>_xlfn.XLOOKUP(D846,Master[Product_Code],Master[Color])</f>
        <v>Navy Blue</v>
      </c>
      <c r="L846" s="3">
        <f>_xlfn.XLOOKUP(D846,Master[Product_Code],Master[Selling_Price])</f>
        <v>880</v>
      </c>
    </row>
    <row r="847" spans="2:12">
      <c r="B847" s="2" t="s">
        <v>2107</v>
      </c>
      <c r="C847" s="7">
        <v>45957</v>
      </c>
      <c r="D847" s="2" t="s">
        <v>1555</v>
      </c>
      <c r="E847" s="4">
        <v>1</v>
      </c>
      <c r="F847" s="8" t="str">
        <f>_xlfn.XLOOKUP(D847,Master[Product_Code],Master[Category])</f>
        <v>Innerwear</v>
      </c>
      <c r="G847" s="8" t="str">
        <f>_xlfn.XLOOKUP(D847,Master[Product_Code],Master[Brand])</f>
        <v>Rupa</v>
      </c>
      <c r="H847" s="8" t="str">
        <f>_xlfn.XLOOKUP(D847,Master[Product_Code],Master[Style])</f>
        <v>Boxer</v>
      </c>
      <c r="I847" s="8" t="str">
        <f>_xlfn.XLOOKUP(D847,Master[Product_Code],Master[Fabric])</f>
        <v>Cotton</v>
      </c>
      <c r="J847" s="8" t="str">
        <f>_xlfn.XLOOKUP(D847,Master[Product_Code],Master[Size])</f>
        <v>85-90</v>
      </c>
      <c r="K847" s="8" t="str">
        <f>_xlfn.XLOOKUP(D847,Master[Product_Code],Master[Color])</f>
        <v>Navy Blue</v>
      </c>
      <c r="L847" s="3">
        <f>_xlfn.XLOOKUP(D847,Master[Product_Code],Master[Selling_Price])</f>
        <v>140</v>
      </c>
    </row>
    <row r="848" spans="2:12">
      <c r="B848" s="2" t="s">
        <v>2108</v>
      </c>
      <c r="C848" s="7">
        <v>45957</v>
      </c>
      <c r="D848" s="2" t="s">
        <v>728</v>
      </c>
      <c r="E848" s="4">
        <v>1</v>
      </c>
      <c r="F848" s="8" t="str">
        <f>_xlfn.XLOOKUP(D848,Master[Product_Code],Master[Category])</f>
        <v>T-Shirt</v>
      </c>
      <c r="G848" s="8" t="str">
        <f>_xlfn.XLOOKUP(D848,Master[Product_Code],Master[Brand])</f>
        <v>Turkey</v>
      </c>
      <c r="H848" s="8" t="str">
        <f>_xlfn.XLOOKUP(D848,Master[Product_Code],Master[Style])</f>
        <v>Hoodie</v>
      </c>
      <c r="I848" s="8" t="str">
        <f>_xlfn.XLOOKUP(D848,Master[Product_Code],Master[Fabric])</f>
        <v>Poly Cotton</v>
      </c>
      <c r="J848" s="8" t="str">
        <f>_xlfn.XLOOKUP(D848,Master[Product_Code],Master[Size])</f>
        <v>XL</v>
      </c>
      <c r="K848" s="8" t="str">
        <f>_xlfn.XLOOKUP(D848,Master[Product_Code],Master[Color])</f>
        <v>Dark Green</v>
      </c>
      <c r="L848" s="3">
        <f>_xlfn.XLOOKUP(D848,Master[Product_Code],Master[Selling_Price])</f>
        <v>420</v>
      </c>
    </row>
    <row r="849" spans="2:12">
      <c r="B849" s="2" t="s">
        <v>2109</v>
      </c>
      <c r="C849" s="7">
        <v>45957</v>
      </c>
      <c r="D849" s="2" t="s">
        <v>346</v>
      </c>
      <c r="E849" s="4">
        <v>1</v>
      </c>
      <c r="F849" s="8" t="str">
        <f>_xlfn.XLOOKUP(D849,Master[Product_Code],Master[Category])</f>
        <v>Shirt</v>
      </c>
      <c r="G849" s="8" t="str">
        <f>_xlfn.XLOOKUP(D849,Master[Product_Code],Master[Brand])</f>
        <v>British</v>
      </c>
      <c r="H849" s="8" t="str">
        <f>_xlfn.XLOOKUP(D849,Master[Product_Code],Master[Style])</f>
        <v>Partywear</v>
      </c>
      <c r="I849" s="8" t="str">
        <f>_xlfn.XLOOKUP(D849,Master[Product_Code],Master[Fabric])</f>
        <v>Cotton Blend</v>
      </c>
      <c r="J849" s="8" t="str">
        <f>_xlfn.XLOOKUP(D849,Master[Product_Code],Master[Size])</f>
        <v>M</v>
      </c>
      <c r="K849" s="8" t="str">
        <f>_xlfn.XLOOKUP(D849,Master[Product_Code],Master[Color])</f>
        <v>Grey</v>
      </c>
      <c r="L849" s="3">
        <f>_xlfn.XLOOKUP(D849,Master[Product_Code],Master[Selling_Price])</f>
        <v>760</v>
      </c>
    </row>
    <row r="850" spans="2:12">
      <c r="B850" s="2" t="s">
        <v>2110</v>
      </c>
      <c r="C850" s="7">
        <v>45957</v>
      </c>
      <c r="D850" s="2" t="s">
        <v>1447</v>
      </c>
      <c r="E850" s="4">
        <v>1</v>
      </c>
      <c r="F850" s="8" t="str">
        <f>_xlfn.XLOOKUP(D850,Master[Product_Code],Master[Category])</f>
        <v>Pants</v>
      </c>
      <c r="G850" s="8" t="str">
        <f>_xlfn.XLOOKUP(D850,Master[Product_Code],Master[Brand])</f>
        <v>Peter England</v>
      </c>
      <c r="H850" s="8" t="str">
        <f>_xlfn.XLOOKUP(D850,Master[Product_Code],Master[Style])</f>
        <v>Korean</v>
      </c>
      <c r="I850" s="8" t="str">
        <f>_xlfn.XLOOKUP(D850,Master[Product_Code],Master[Fabric])</f>
        <v>Lycra</v>
      </c>
      <c r="J850" s="8">
        <f>_xlfn.XLOOKUP(D850,Master[Product_Code],Master[Size])</f>
        <v>38</v>
      </c>
      <c r="K850" s="8" t="str">
        <f>_xlfn.XLOOKUP(D850,Master[Product_Code],Master[Color])</f>
        <v>Beige</v>
      </c>
      <c r="L850" s="3">
        <f>_xlfn.XLOOKUP(D850,Master[Product_Code],Master[Selling_Price])</f>
        <v>890</v>
      </c>
    </row>
    <row r="851" spans="2:12">
      <c r="B851" s="2" t="s">
        <v>2110</v>
      </c>
      <c r="C851" s="7">
        <v>45957</v>
      </c>
      <c r="D851" s="2" t="s">
        <v>1000</v>
      </c>
      <c r="E851" s="4">
        <v>1</v>
      </c>
      <c r="F851" s="8" t="str">
        <f>_xlfn.XLOOKUP(D851,Master[Product_Code],Master[Category])</f>
        <v>Jeans</v>
      </c>
      <c r="G851" s="8" t="str">
        <f>_xlfn.XLOOKUP(D851,Master[Product_Code],Master[Brand])</f>
        <v>Wrangler</v>
      </c>
      <c r="H851" s="8" t="str">
        <f>_xlfn.XLOOKUP(D851,Master[Product_Code],Master[Style])</f>
        <v>Baggy</v>
      </c>
      <c r="I851" s="8" t="str">
        <f>_xlfn.XLOOKUP(D851,Master[Product_Code],Master[Fabric])</f>
        <v>Denim</v>
      </c>
      <c r="J851" s="8">
        <f>_xlfn.XLOOKUP(D851,Master[Product_Code],Master[Size])</f>
        <v>36</v>
      </c>
      <c r="K851" s="8" t="str">
        <f>_xlfn.XLOOKUP(D851,Master[Product_Code],Master[Color])</f>
        <v>Maroon</v>
      </c>
      <c r="L851" s="3">
        <f>_xlfn.XLOOKUP(D851,Master[Product_Code],Master[Selling_Price])</f>
        <v>960</v>
      </c>
    </row>
    <row r="852" spans="2:12">
      <c r="B852" s="2" t="s">
        <v>2110</v>
      </c>
      <c r="C852" s="7">
        <v>45957</v>
      </c>
      <c r="D852" s="2" t="s">
        <v>967</v>
      </c>
      <c r="E852" s="4">
        <v>1</v>
      </c>
      <c r="F852" s="8" t="str">
        <f>_xlfn.XLOOKUP(D852,Master[Product_Code],Master[Category])</f>
        <v>Jeans</v>
      </c>
      <c r="G852" s="8" t="str">
        <f>_xlfn.XLOOKUP(D852,Master[Product_Code],Master[Brand])</f>
        <v>Pepe</v>
      </c>
      <c r="H852" s="8" t="str">
        <f>_xlfn.XLOOKUP(D852,Master[Product_Code],Master[Style])</f>
        <v>Jogger</v>
      </c>
      <c r="I852" s="8" t="str">
        <f>_xlfn.XLOOKUP(D852,Master[Product_Code],Master[Fabric])</f>
        <v>Denim</v>
      </c>
      <c r="J852" s="8">
        <f>_xlfn.XLOOKUP(D852,Master[Product_Code],Master[Size])</f>
        <v>34</v>
      </c>
      <c r="K852" s="8" t="str">
        <f>_xlfn.XLOOKUP(D852,Master[Product_Code],Master[Color])</f>
        <v>Dark Green</v>
      </c>
      <c r="L852" s="3">
        <f>_xlfn.XLOOKUP(D852,Master[Product_Code],Master[Selling_Price])</f>
        <v>930</v>
      </c>
    </row>
    <row r="853" spans="2:12">
      <c r="B853" s="2" t="s">
        <v>2110</v>
      </c>
      <c r="C853" s="7">
        <v>45957</v>
      </c>
      <c r="D853" s="2" t="s">
        <v>1669</v>
      </c>
      <c r="E853" s="4">
        <v>1</v>
      </c>
      <c r="F853" s="8" t="str">
        <f>_xlfn.XLOOKUP(D853,Master[Product_Code],Master[Category])</f>
        <v>Innerwear</v>
      </c>
      <c r="G853" s="8" t="str">
        <f>_xlfn.XLOOKUP(D853,Master[Product_Code],Master[Brand])</f>
        <v>Jockey</v>
      </c>
      <c r="H853" s="8" t="str">
        <f>_xlfn.XLOOKUP(D853,Master[Product_Code],Master[Style])</f>
        <v>V-Cut</v>
      </c>
      <c r="I853" s="8" t="str">
        <f>_xlfn.XLOOKUP(D853,Master[Product_Code],Master[Fabric])</f>
        <v>Cotton Blend</v>
      </c>
      <c r="J853" s="8" t="str">
        <f>_xlfn.XLOOKUP(D853,Master[Product_Code],Master[Size])</f>
        <v>100-105</v>
      </c>
      <c r="K853" s="8" t="str">
        <f>_xlfn.XLOOKUP(D853,Master[Product_Code],Master[Color])</f>
        <v>Brown</v>
      </c>
      <c r="L853" s="3">
        <f>_xlfn.XLOOKUP(D853,Master[Product_Code],Master[Selling_Price])</f>
        <v>130</v>
      </c>
    </row>
    <row r="854" spans="2:12">
      <c r="B854" s="2" t="s">
        <v>2111</v>
      </c>
      <c r="C854" s="7">
        <v>45957</v>
      </c>
      <c r="D854" s="2" t="s">
        <v>273</v>
      </c>
      <c r="E854" s="4">
        <v>1</v>
      </c>
      <c r="F854" s="8" t="str">
        <f>_xlfn.XLOOKUP(D854,Master[Product_Code],Master[Category])</f>
        <v>Shirt</v>
      </c>
      <c r="G854" s="8" t="str">
        <f>_xlfn.XLOOKUP(D854,Master[Product_Code],Master[Brand])</f>
        <v>Max</v>
      </c>
      <c r="H854" s="8" t="str">
        <f>_xlfn.XLOOKUP(D854,Master[Product_Code],Master[Style])</f>
        <v>Casual</v>
      </c>
      <c r="I854" s="8" t="str">
        <f>_xlfn.XLOOKUP(D854,Master[Product_Code],Master[Fabric])</f>
        <v>Lycra</v>
      </c>
      <c r="J854" s="8" t="str">
        <f>_xlfn.XLOOKUP(D854,Master[Product_Code],Master[Size])</f>
        <v>L</v>
      </c>
      <c r="K854" s="8" t="str">
        <f>_xlfn.XLOOKUP(D854,Master[Product_Code],Master[Color])</f>
        <v>Teal</v>
      </c>
      <c r="L854" s="3">
        <f>_xlfn.XLOOKUP(D854,Master[Product_Code],Master[Selling_Price])</f>
        <v>720</v>
      </c>
    </row>
    <row r="855" spans="2:12">
      <c r="B855" s="2" t="s">
        <v>2111</v>
      </c>
      <c r="C855" s="7">
        <v>45957</v>
      </c>
      <c r="D855" s="2" t="s">
        <v>1181</v>
      </c>
      <c r="E855" s="4">
        <v>1</v>
      </c>
      <c r="F855" s="8" t="str">
        <f>_xlfn.XLOOKUP(D855,Master[Product_Code],Master[Category])</f>
        <v>Pants</v>
      </c>
      <c r="G855" s="8" t="str">
        <f>_xlfn.XLOOKUP(D855,Master[Product_Code],Master[Brand])</f>
        <v>Van Heusen</v>
      </c>
      <c r="H855" s="8" t="str">
        <f>_xlfn.XLOOKUP(D855,Master[Product_Code],Master[Style])</f>
        <v>Korean</v>
      </c>
      <c r="I855" s="8" t="str">
        <f>_xlfn.XLOOKUP(D855,Master[Product_Code],Master[Fabric])</f>
        <v>Lycra</v>
      </c>
      <c r="J855" s="8">
        <f>_xlfn.XLOOKUP(D855,Master[Product_Code],Master[Size])</f>
        <v>42</v>
      </c>
      <c r="K855" s="8" t="str">
        <f>_xlfn.XLOOKUP(D855,Master[Product_Code],Master[Color])</f>
        <v>Royal Blue</v>
      </c>
      <c r="L855" s="3">
        <f>_xlfn.XLOOKUP(D855,Master[Product_Code],Master[Selling_Price])</f>
        <v>820</v>
      </c>
    </row>
    <row r="856" spans="2:12">
      <c r="B856" s="2" t="s">
        <v>2112</v>
      </c>
      <c r="C856" s="7">
        <v>45958</v>
      </c>
      <c r="D856" s="2" t="s">
        <v>1728</v>
      </c>
      <c r="E856" s="4">
        <v>1</v>
      </c>
      <c r="F856" s="8" t="str">
        <f>_xlfn.XLOOKUP(D856,Master[Product_Code],Master[Category])</f>
        <v>Innerwear</v>
      </c>
      <c r="G856" s="8" t="str">
        <f>_xlfn.XLOOKUP(D856,Master[Product_Code],Master[Brand])</f>
        <v>Dollar</v>
      </c>
      <c r="H856" s="8" t="str">
        <f>_xlfn.XLOOKUP(D856,Master[Product_Code],Master[Style])</f>
        <v>V-Cut</v>
      </c>
      <c r="I856" s="8" t="str">
        <f>_xlfn.XLOOKUP(D856,Master[Product_Code],Master[Fabric])</f>
        <v>Cotton Blend</v>
      </c>
      <c r="J856" s="8" t="str">
        <f>_xlfn.XLOOKUP(D856,Master[Product_Code],Master[Size])</f>
        <v>85-90</v>
      </c>
      <c r="K856" s="8" t="str">
        <f>_xlfn.XLOOKUP(D856,Master[Product_Code],Master[Color])</f>
        <v>Wine</v>
      </c>
      <c r="L856" s="3">
        <f>_xlfn.XLOOKUP(D856,Master[Product_Code],Master[Selling_Price])</f>
        <v>160</v>
      </c>
    </row>
    <row r="857" spans="2:12">
      <c r="B857" s="2" t="s">
        <v>2112</v>
      </c>
      <c r="C857" s="7">
        <v>45958</v>
      </c>
      <c r="D857" s="2" t="s">
        <v>291</v>
      </c>
      <c r="E857" s="4">
        <v>1</v>
      </c>
      <c r="F857" s="8" t="str">
        <f>_xlfn.XLOOKUP(D857,Master[Product_Code],Master[Category])</f>
        <v>Shirt</v>
      </c>
      <c r="G857" s="8" t="str">
        <f>_xlfn.XLOOKUP(D857,Master[Product_Code],Master[Brand])</f>
        <v>British</v>
      </c>
      <c r="H857" s="8" t="str">
        <f>_xlfn.XLOOKUP(D857,Master[Product_Code],Master[Style])</f>
        <v>Formal</v>
      </c>
      <c r="I857" s="8" t="str">
        <f>_xlfn.XLOOKUP(D857,Master[Product_Code],Master[Fabric])</f>
        <v>Lycra</v>
      </c>
      <c r="J857" s="8" t="str">
        <f>_xlfn.XLOOKUP(D857,Master[Product_Code],Master[Size])</f>
        <v>S</v>
      </c>
      <c r="K857" s="8" t="str">
        <f>_xlfn.XLOOKUP(D857,Master[Product_Code],Master[Color])</f>
        <v>Brown</v>
      </c>
      <c r="L857" s="3">
        <f>_xlfn.XLOOKUP(D857,Master[Product_Code],Master[Selling_Price])</f>
        <v>660</v>
      </c>
    </row>
    <row r="858" spans="2:12">
      <c r="B858" s="2" t="s">
        <v>2112</v>
      </c>
      <c r="C858" s="7">
        <v>45958</v>
      </c>
      <c r="D858" s="2" t="s">
        <v>1089</v>
      </c>
      <c r="E858" s="4">
        <v>1</v>
      </c>
      <c r="F858" s="8" t="str">
        <f>_xlfn.XLOOKUP(D858,Master[Product_Code],Master[Category])</f>
        <v>Jeans</v>
      </c>
      <c r="G858" s="8" t="str">
        <f>_xlfn.XLOOKUP(D858,Master[Product_Code],Master[Brand])</f>
        <v>Pepe</v>
      </c>
      <c r="H858" s="8" t="str">
        <f>_xlfn.XLOOKUP(D858,Master[Product_Code],Master[Style])</f>
        <v>Jogger</v>
      </c>
      <c r="I858" s="8" t="str">
        <f>_xlfn.XLOOKUP(D858,Master[Product_Code],Master[Fabric])</f>
        <v>Denim</v>
      </c>
      <c r="J858" s="8">
        <f>_xlfn.XLOOKUP(D858,Master[Product_Code],Master[Size])</f>
        <v>40</v>
      </c>
      <c r="K858" s="8" t="str">
        <f>_xlfn.XLOOKUP(D858,Master[Product_Code],Master[Color])</f>
        <v>Peach</v>
      </c>
      <c r="L858" s="3">
        <f>_xlfn.XLOOKUP(D858,Master[Product_Code],Master[Selling_Price])</f>
        <v>830</v>
      </c>
    </row>
    <row r="859" spans="2:12">
      <c r="B859" s="2" t="s">
        <v>2113</v>
      </c>
      <c r="C859" s="7">
        <v>45958</v>
      </c>
      <c r="D859" s="2" t="s">
        <v>1389</v>
      </c>
      <c r="E859" s="4">
        <v>1</v>
      </c>
      <c r="F859" s="8" t="str">
        <f>_xlfn.XLOOKUP(D859,Master[Product_Code],Master[Category])</f>
        <v>Pants</v>
      </c>
      <c r="G859" s="8" t="str">
        <f>_xlfn.XLOOKUP(D859,Master[Product_Code],Master[Brand])</f>
        <v>Raymond</v>
      </c>
      <c r="H859" s="8" t="str">
        <f>_xlfn.XLOOKUP(D859,Master[Product_Code],Master[Style])</f>
        <v>Polofit</v>
      </c>
      <c r="I859" s="8" t="str">
        <f>_xlfn.XLOOKUP(D859,Master[Product_Code],Master[Fabric])</f>
        <v>Lycra</v>
      </c>
      <c r="J859" s="8">
        <f>_xlfn.XLOOKUP(D859,Master[Product_Code],Master[Size])</f>
        <v>28</v>
      </c>
      <c r="K859" s="8" t="str">
        <f>_xlfn.XLOOKUP(D859,Master[Product_Code],Master[Color])</f>
        <v>Cream</v>
      </c>
      <c r="L859" s="3">
        <f>_xlfn.XLOOKUP(D859,Master[Product_Code],Master[Selling_Price])</f>
        <v>890</v>
      </c>
    </row>
    <row r="860" spans="2:12">
      <c r="B860" s="2" t="s">
        <v>2113</v>
      </c>
      <c r="C860" s="7">
        <v>45958</v>
      </c>
      <c r="D860" s="2" t="s">
        <v>788</v>
      </c>
      <c r="E860" s="4">
        <v>1</v>
      </c>
      <c r="F860" s="8" t="str">
        <f>_xlfn.XLOOKUP(D860,Master[Product_Code],Master[Category])</f>
        <v>T-Shirt</v>
      </c>
      <c r="G860" s="8" t="str">
        <f>_xlfn.XLOOKUP(D860,Master[Product_Code],Master[Brand])</f>
        <v>Turkey</v>
      </c>
      <c r="H860" s="8" t="str">
        <f>_xlfn.XLOOKUP(D860,Master[Product_Code],Master[Style])</f>
        <v>Half Sleeve</v>
      </c>
      <c r="I860" s="8" t="str">
        <f>_xlfn.XLOOKUP(D860,Master[Product_Code],Master[Fabric])</f>
        <v>Poly Cotton</v>
      </c>
      <c r="J860" s="8" t="str">
        <f>_xlfn.XLOOKUP(D860,Master[Product_Code],Master[Size])</f>
        <v>S</v>
      </c>
      <c r="K860" s="8" t="str">
        <f>_xlfn.XLOOKUP(D860,Master[Product_Code],Master[Color])</f>
        <v>Light Grey</v>
      </c>
      <c r="L860" s="3">
        <f>_xlfn.XLOOKUP(D860,Master[Product_Code],Master[Selling_Price])</f>
        <v>390</v>
      </c>
    </row>
    <row r="861" spans="2:12">
      <c r="B861" s="2" t="s">
        <v>2114</v>
      </c>
      <c r="C861" s="7">
        <v>45958</v>
      </c>
      <c r="D861" s="2" t="s">
        <v>1750</v>
      </c>
      <c r="E861" s="4">
        <v>1</v>
      </c>
      <c r="F861" s="8" t="str">
        <f>_xlfn.XLOOKUP(D861,Master[Product_Code],Master[Category])</f>
        <v>Innerwear</v>
      </c>
      <c r="G861" s="8" t="str">
        <f>_xlfn.XLOOKUP(D861,Master[Product_Code],Master[Brand])</f>
        <v>Rupa</v>
      </c>
      <c r="H861" s="8" t="str">
        <f>_xlfn.XLOOKUP(D861,Master[Product_Code],Master[Style])</f>
        <v>Boxer</v>
      </c>
      <c r="I861" s="8" t="str">
        <f>_xlfn.XLOOKUP(D861,Master[Product_Code],Master[Fabric])</f>
        <v>Cotton Blend</v>
      </c>
      <c r="J861" s="8" t="str">
        <f>_xlfn.XLOOKUP(D861,Master[Product_Code],Master[Size])</f>
        <v>85-90</v>
      </c>
      <c r="K861" s="8" t="str">
        <f>_xlfn.XLOOKUP(D861,Master[Product_Code],Master[Color])</f>
        <v>Cream</v>
      </c>
      <c r="L861" s="3">
        <f>_xlfn.XLOOKUP(D861,Master[Product_Code],Master[Selling_Price])</f>
        <v>110</v>
      </c>
    </row>
    <row r="862" spans="2:12">
      <c r="B862" s="2" t="s">
        <v>2114</v>
      </c>
      <c r="C862" s="7">
        <v>45958</v>
      </c>
      <c r="D862" s="2" t="s">
        <v>711</v>
      </c>
      <c r="E862" s="4">
        <v>1</v>
      </c>
      <c r="F862" s="8" t="str">
        <f>_xlfn.XLOOKUP(D862,Master[Product_Code],Master[Category])</f>
        <v>T-Shirt</v>
      </c>
      <c r="G862" s="8" t="str">
        <f>_xlfn.XLOOKUP(D862,Master[Product_Code],Master[Brand])</f>
        <v>Roadster</v>
      </c>
      <c r="H862" s="8" t="str">
        <f>_xlfn.XLOOKUP(D862,Master[Product_Code],Master[Style])</f>
        <v>Sleeveless</v>
      </c>
      <c r="I862" s="8" t="str">
        <f>_xlfn.XLOOKUP(D862,Master[Product_Code],Master[Fabric])</f>
        <v>Poly Cotton</v>
      </c>
      <c r="J862" s="8" t="str">
        <f>_xlfn.XLOOKUP(D862,Master[Product_Code],Master[Size])</f>
        <v>XXL</v>
      </c>
      <c r="K862" s="8" t="str">
        <f>_xlfn.XLOOKUP(D862,Master[Product_Code],Master[Color])</f>
        <v>Brown</v>
      </c>
      <c r="L862" s="3">
        <f>_xlfn.XLOOKUP(D862,Master[Product_Code],Master[Selling_Price])</f>
        <v>630</v>
      </c>
    </row>
    <row r="863" spans="2:12">
      <c r="B863" s="2" t="s">
        <v>2114</v>
      </c>
      <c r="C863" s="7">
        <v>45958</v>
      </c>
      <c r="D863" s="2" t="s">
        <v>1182</v>
      </c>
      <c r="E863" s="4">
        <v>1</v>
      </c>
      <c r="F863" s="8" t="str">
        <f>_xlfn.XLOOKUP(D863,Master[Product_Code],Master[Category])</f>
        <v>Pants</v>
      </c>
      <c r="G863" s="8" t="str">
        <f>_xlfn.XLOOKUP(D863,Master[Product_Code],Master[Brand])</f>
        <v>Van Heusen</v>
      </c>
      <c r="H863" s="8" t="str">
        <f>_xlfn.XLOOKUP(D863,Master[Product_Code],Master[Style])</f>
        <v>Polofit</v>
      </c>
      <c r="I863" s="8" t="str">
        <f>_xlfn.XLOOKUP(D863,Master[Product_Code],Master[Fabric])</f>
        <v>Lycra</v>
      </c>
      <c r="J863" s="8">
        <f>_xlfn.XLOOKUP(D863,Master[Product_Code],Master[Size])</f>
        <v>30</v>
      </c>
      <c r="K863" s="8" t="str">
        <f>_xlfn.XLOOKUP(D863,Master[Product_Code],Master[Color])</f>
        <v>Charcoal</v>
      </c>
      <c r="L863" s="3">
        <f>_xlfn.XLOOKUP(D863,Master[Product_Code],Master[Selling_Price])</f>
        <v>760</v>
      </c>
    </row>
    <row r="864" spans="2:12">
      <c r="B864" s="2" t="s">
        <v>2115</v>
      </c>
      <c r="C864" s="7">
        <v>45958</v>
      </c>
      <c r="D864" s="2" t="s">
        <v>731</v>
      </c>
      <c r="E864" s="4">
        <v>1</v>
      </c>
      <c r="F864" s="8" t="str">
        <f>_xlfn.XLOOKUP(D864,Master[Product_Code],Master[Category])</f>
        <v>T-Shirt</v>
      </c>
      <c r="G864" s="8" t="str">
        <f>_xlfn.XLOOKUP(D864,Master[Product_Code],Master[Brand])</f>
        <v>Campus</v>
      </c>
      <c r="H864" s="8" t="str">
        <f>_xlfn.XLOOKUP(D864,Master[Product_Code],Master[Style])</f>
        <v>3/4 Sleeve</v>
      </c>
      <c r="I864" s="8" t="str">
        <f>_xlfn.XLOOKUP(D864,Master[Product_Code],Master[Fabric])</f>
        <v>Cotton</v>
      </c>
      <c r="J864" s="8" t="str">
        <f>_xlfn.XLOOKUP(D864,Master[Product_Code],Master[Size])</f>
        <v>XXL</v>
      </c>
      <c r="K864" s="8" t="str">
        <f>_xlfn.XLOOKUP(D864,Master[Product_Code],Master[Color])</f>
        <v>Teal</v>
      </c>
      <c r="L864" s="3">
        <f>_xlfn.XLOOKUP(D864,Master[Product_Code],Master[Selling_Price])</f>
        <v>600</v>
      </c>
    </row>
    <row r="865" spans="2:12">
      <c r="B865" s="2" t="s">
        <v>2116</v>
      </c>
      <c r="C865" s="7">
        <v>45958</v>
      </c>
      <c r="D865" s="2" t="s">
        <v>390</v>
      </c>
      <c r="E865" s="4">
        <v>1</v>
      </c>
      <c r="F865" s="8" t="str">
        <f>_xlfn.XLOOKUP(D865,Master[Product_Code],Master[Category])</f>
        <v>Shirt</v>
      </c>
      <c r="G865" s="8" t="str">
        <f>_xlfn.XLOOKUP(D865,Master[Product_Code],Master[Brand])</f>
        <v>British</v>
      </c>
      <c r="H865" s="8" t="str">
        <f>_xlfn.XLOOKUP(D865,Master[Product_Code],Master[Style])</f>
        <v>Formal</v>
      </c>
      <c r="I865" s="8" t="str">
        <f>_xlfn.XLOOKUP(D865,Master[Product_Code],Master[Fabric])</f>
        <v>Lycra</v>
      </c>
      <c r="J865" s="8" t="str">
        <f>_xlfn.XLOOKUP(D865,Master[Product_Code],Master[Size])</f>
        <v>XXL</v>
      </c>
      <c r="K865" s="8" t="str">
        <f>_xlfn.XLOOKUP(D865,Master[Product_Code],Master[Color])</f>
        <v>Rust</v>
      </c>
      <c r="L865" s="3">
        <f>_xlfn.XLOOKUP(D865,Master[Product_Code],Master[Selling_Price])</f>
        <v>860</v>
      </c>
    </row>
    <row r="866" spans="2:12">
      <c r="B866" s="2" t="s">
        <v>2116</v>
      </c>
      <c r="C866" s="7">
        <v>45958</v>
      </c>
      <c r="D866" s="2" t="s">
        <v>1756</v>
      </c>
      <c r="E866" s="4">
        <v>1</v>
      </c>
      <c r="F866" s="8" t="str">
        <f>_xlfn.XLOOKUP(D866,Master[Product_Code],Master[Category])</f>
        <v>Innerwear</v>
      </c>
      <c r="G866" s="8" t="str">
        <f>_xlfn.XLOOKUP(D866,Master[Product_Code],Master[Brand])</f>
        <v>Jockey</v>
      </c>
      <c r="H866" s="8" t="str">
        <f>_xlfn.XLOOKUP(D866,Master[Product_Code],Master[Style])</f>
        <v>V-Cut</v>
      </c>
      <c r="I866" s="8" t="str">
        <f>_xlfn.XLOOKUP(D866,Master[Product_Code],Master[Fabric])</f>
        <v>Cotton</v>
      </c>
      <c r="J866" s="8" t="str">
        <f>_xlfn.XLOOKUP(D866,Master[Product_Code],Master[Size])</f>
        <v>85-90</v>
      </c>
      <c r="K866" s="8" t="str">
        <f>_xlfn.XLOOKUP(D866,Master[Product_Code],Master[Color])</f>
        <v>Dark Green</v>
      </c>
      <c r="L866" s="3">
        <f>_xlfn.XLOOKUP(D866,Master[Product_Code],Master[Selling_Price])</f>
        <v>150</v>
      </c>
    </row>
    <row r="867" spans="2:12">
      <c r="B867" s="2" t="s">
        <v>2116</v>
      </c>
      <c r="C867" s="7">
        <v>45958</v>
      </c>
      <c r="D867" s="2" t="s">
        <v>1685</v>
      </c>
      <c r="E867" s="4">
        <v>1</v>
      </c>
      <c r="F867" s="8" t="str">
        <f>_xlfn.XLOOKUP(D867,Master[Product_Code],Master[Category])</f>
        <v>Innerwear</v>
      </c>
      <c r="G867" s="8" t="str">
        <f>_xlfn.XLOOKUP(D867,Master[Product_Code],Master[Brand])</f>
        <v>Dollar</v>
      </c>
      <c r="H867" s="8" t="str">
        <f>_xlfn.XLOOKUP(D867,Master[Product_Code],Master[Style])</f>
        <v>V-Cut</v>
      </c>
      <c r="I867" s="8" t="str">
        <f>_xlfn.XLOOKUP(D867,Master[Product_Code],Master[Fabric])</f>
        <v>Cotton</v>
      </c>
      <c r="J867" s="8" t="str">
        <f>_xlfn.XLOOKUP(D867,Master[Product_Code],Master[Size])</f>
        <v>75-80</v>
      </c>
      <c r="K867" s="8" t="str">
        <f>_xlfn.XLOOKUP(D867,Master[Product_Code],Master[Color])</f>
        <v>White</v>
      </c>
      <c r="L867" s="3">
        <f>_xlfn.XLOOKUP(D867,Master[Product_Code],Master[Selling_Price])</f>
        <v>100</v>
      </c>
    </row>
    <row r="868" spans="2:12">
      <c r="B868" s="2" t="s">
        <v>2116</v>
      </c>
      <c r="C868" s="7">
        <v>45958</v>
      </c>
      <c r="D868" s="2" t="s">
        <v>771</v>
      </c>
      <c r="E868" s="4">
        <v>1</v>
      </c>
      <c r="F868" s="8" t="str">
        <f>_xlfn.XLOOKUP(D868,Master[Product_Code],Master[Category])</f>
        <v>T-Shirt</v>
      </c>
      <c r="G868" s="8" t="str">
        <f>_xlfn.XLOOKUP(D868,Master[Product_Code],Master[Brand])</f>
        <v>Zara</v>
      </c>
      <c r="H868" s="8" t="str">
        <f>_xlfn.XLOOKUP(D868,Master[Product_Code],Master[Style])</f>
        <v>Hoodie</v>
      </c>
      <c r="I868" s="8" t="str">
        <f>_xlfn.XLOOKUP(D868,Master[Product_Code],Master[Fabric])</f>
        <v>Poly Cotton</v>
      </c>
      <c r="J868" s="8" t="str">
        <f>_xlfn.XLOOKUP(D868,Master[Product_Code],Master[Size])</f>
        <v>L</v>
      </c>
      <c r="K868" s="8" t="str">
        <f>_xlfn.XLOOKUP(D868,Master[Product_Code],Master[Color])</f>
        <v>Grey</v>
      </c>
      <c r="L868" s="3">
        <f>_xlfn.XLOOKUP(D868,Master[Product_Code],Master[Selling_Price])</f>
        <v>370</v>
      </c>
    </row>
    <row r="869" spans="2:12">
      <c r="B869" s="2" t="s">
        <v>2117</v>
      </c>
      <c r="C869" s="7">
        <v>45958</v>
      </c>
      <c r="D869" s="2" t="s">
        <v>1064</v>
      </c>
      <c r="E869" s="4">
        <v>1</v>
      </c>
      <c r="F869" s="8" t="str">
        <f>_xlfn.XLOOKUP(D869,Master[Product_Code],Master[Category])</f>
        <v>Jeans</v>
      </c>
      <c r="G869" s="8" t="str">
        <f>_xlfn.XLOOKUP(D869,Master[Product_Code],Master[Brand])</f>
        <v>Levis</v>
      </c>
      <c r="H869" s="8" t="str">
        <f>_xlfn.XLOOKUP(D869,Master[Product_Code],Master[Style])</f>
        <v>Mom Fit</v>
      </c>
      <c r="I869" s="8" t="str">
        <f>_xlfn.XLOOKUP(D869,Master[Product_Code],Master[Fabric])</f>
        <v>Denim</v>
      </c>
      <c r="J869" s="8">
        <f>_xlfn.XLOOKUP(D869,Master[Product_Code],Master[Size])</f>
        <v>30</v>
      </c>
      <c r="K869" s="8" t="str">
        <f>_xlfn.XLOOKUP(D869,Master[Product_Code],Master[Color])</f>
        <v>Maroon</v>
      </c>
      <c r="L869" s="3">
        <f>_xlfn.XLOOKUP(D869,Master[Product_Code],Master[Selling_Price])</f>
        <v>990</v>
      </c>
    </row>
    <row r="870" spans="2:12">
      <c r="B870" s="2" t="s">
        <v>2118</v>
      </c>
      <c r="C870" s="7">
        <v>45958</v>
      </c>
      <c r="D870" s="2" t="s">
        <v>1081</v>
      </c>
      <c r="E870" s="4">
        <v>1</v>
      </c>
      <c r="F870" s="8" t="str">
        <f>_xlfn.XLOOKUP(D870,Master[Product_Code],Master[Category])</f>
        <v>Jeans</v>
      </c>
      <c r="G870" s="8" t="str">
        <f>_xlfn.XLOOKUP(D870,Master[Product_Code],Master[Brand])</f>
        <v>Pepe</v>
      </c>
      <c r="H870" s="8" t="str">
        <f>_xlfn.XLOOKUP(D870,Master[Product_Code],Master[Style])</f>
        <v>Baggy</v>
      </c>
      <c r="I870" s="8" t="str">
        <f>_xlfn.XLOOKUP(D870,Master[Product_Code],Master[Fabric])</f>
        <v>Denim</v>
      </c>
      <c r="J870" s="8">
        <f>_xlfn.XLOOKUP(D870,Master[Product_Code],Master[Size])</f>
        <v>42</v>
      </c>
      <c r="K870" s="8" t="str">
        <f>_xlfn.XLOOKUP(D870,Master[Product_Code],Master[Color])</f>
        <v>Royal Blue</v>
      </c>
      <c r="L870" s="3">
        <f>_xlfn.XLOOKUP(D870,Master[Product_Code],Master[Selling_Price])</f>
        <v>1000</v>
      </c>
    </row>
    <row r="871" spans="2:12">
      <c r="B871" s="2" t="s">
        <v>2118</v>
      </c>
      <c r="C871" s="7">
        <v>45958</v>
      </c>
      <c r="D871" s="2" t="s">
        <v>285</v>
      </c>
      <c r="E871" s="4">
        <v>1</v>
      </c>
      <c r="F871" s="8" t="str">
        <f>_xlfn.XLOOKUP(D871,Master[Product_Code],Master[Category])</f>
        <v>Shirt</v>
      </c>
      <c r="G871" s="8" t="str">
        <f>_xlfn.XLOOKUP(D871,Master[Product_Code],Master[Brand])</f>
        <v>Thailand</v>
      </c>
      <c r="H871" s="8" t="str">
        <f>_xlfn.XLOOKUP(D871,Master[Product_Code],Master[Style])</f>
        <v>Casual</v>
      </c>
      <c r="I871" s="8" t="str">
        <f>_xlfn.XLOOKUP(D871,Master[Product_Code],Master[Fabric])</f>
        <v>Polyester</v>
      </c>
      <c r="J871" s="8" t="str">
        <f>_xlfn.XLOOKUP(D871,Master[Product_Code],Master[Size])</f>
        <v>M</v>
      </c>
      <c r="K871" s="8" t="str">
        <f>_xlfn.XLOOKUP(D871,Master[Product_Code],Master[Color])</f>
        <v>Grey</v>
      </c>
      <c r="L871" s="3">
        <f>_xlfn.XLOOKUP(D871,Master[Product_Code],Master[Selling_Price])</f>
        <v>900</v>
      </c>
    </row>
    <row r="872" spans="2:12">
      <c r="B872" s="2" t="s">
        <v>2118</v>
      </c>
      <c r="C872" s="7">
        <v>45958</v>
      </c>
      <c r="D872" s="2" t="s">
        <v>323</v>
      </c>
      <c r="E872" s="4">
        <v>1</v>
      </c>
      <c r="F872" s="8" t="str">
        <f>_xlfn.XLOOKUP(D872,Master[Product_Code],Master[Category])</f>
        <v>Shirt</v>
      </c>
      <c r="G872" s="8" t="str">
        <f>_xlfn.XLOOKUP(D872,Master[Product_Code],Master[Brand])</f>
        <v>Luke &amp; Burg</v>
      </c>
      <c r="H872" s="8" t="str">
        <f>_xlfn.XLOOKUP(D872,Master[Product_Code],Master[Style])</f>
        <v>Partywear</v>
      </c>
      <c r="I872" s="8" t="str">
        <f>_xlfn.XLOOKUP(D872,Master[Product_Code],Master[Fabric])</f>
        <v>Polyester</v>
      </c>
      <c r="J872" s="8" t="str">
        <f>_xlfn.XLOOKUP(D872,Master[Product_Code],Master[Size])</f>
        <v>XXL</v>
      </c>
      <c r="K872" s="8" t="str">
        <f>_xlfn.XLOOKUP(D872,Master[Product_Code],Master[Color])</f>
        <v>Bottle Green</v>
      </c>
      <c r="L872" s="3">
        <f>_xlfn.XLOOKUP(D872,Master[Product_Code],Master[Selling_Price])</f>
        <v>740</v>
      </c>
    </row>
    <row r="873" spans="2:12">
      <c r="B873" s="2" t="s">
        <v>2119</v>
      </c>
      <c r="C873" s="7">
        <v>45958</v>
      </c>
      <c r="D873" s="2" t="s">
        <v>360</v>
      </c>
      <c r="E873" s="4">
        <v>1</v>
      </c>
      <c r="F873" s="8" t="str">
        <f>_xlfn.XLOOKUP(D873,Master[Product_Code],Master[Category])</f>
        <v>Shirt</v>
      </c>
      <c r="G873" s="8" t="str">
        <f>_xlfn.XLOOKUP(D873,Master[Product_Code],Master[Brand])</f>
        <v>H&amp;M</v>
      </c>
      <c r="H873" s="8" t="str">
        <f>_xlfn.XLOOKUP(D873,Master[Product_Code],Master[Style])</f>
        <v>Partywear</v>
      </c>
      <c r="I873" s="8" t="str">
        <f>_xlfn.XLOOKUP(D873,Master[Product_Code],Master[Fabric])</f>
        <v>Cotton Blend</v>
      </c>
      <c r="J873" s="8" t="str">
        <f>_xlfn.XLOOKUP(D873,Master[Product_Code],Master[Size])</f>
        <v>L</v>
      </c>
      <c r="K873" s="8" t="str">
        <f>_xlfn.XLOOKUP(D873,Master[Product_Code],Master[Color])</f>
        <v>Sky Blue</v>
      </c>
      <c r="L873" s="3">
        <f>_xlfn.XLOOKUP(D873,Master[Product_Code],Master[Selling_Price])</f>
        <v>750</v>
      </c>
    </row>
    <row r="874" spans="2:12">
      <c r="B874" s="2" t="s">
        <v>2119</v>
      </c>
      <c r="C874" s="7">
        <v>45958</v>
      </c>
      <c r="D874" s="2" t="s">
        <v>1728</v>
      </c>
      <c r="E874" s="4">
        <v>1</v>
      </c>
      <c r="F874" s="8" t="str">
        <f>_xlfn.XLOOKUP(D874,Master[Product_Code],Master[Category])</f>
        <v>Innerwear</v>
      </c>
      <c r="G874" s="8" t="str">
        <f>_xlfn.XLOOKUP(D874,Master[Product_Code],Master[Brand])</f>
        <v>Dollar</v>
      </c>
      <c r="H874" s="8" t="str">
        <f>_xlfn.XLOOKUP(D874,Master[Product_Code],Master[Style])</f>
        <v>V-Cut</v>
      </c>
      <c r="I874" s="8" t="str">
        <f>_xlfn.XLOOKUP(D874,Master[Product_Code],Master[Fabric])</f>
        <v>Cotton Blend</v>
      </c>
      <c r="J874" s="8" t="str">
        <f>_xlfn.XLOOKUP(D874,Master[Product_Code],Master[Size])</f>
        <v>85-90</v>
      </c>
      <c r="K874" s="8" t="str">
        <f>_xlfn.XLOOKUP(D874,Master[Product_Code],Master[Color])</f>
        <v>Wine</v>
      </c>
      <c r="L874" s="3">
        <f>_xlfn.XLOOKUP(D874,Master[Product_Code],Master[Selling_Price])</f>
        <v>160</v>
      </c>
    </row>
    <row r="875" spans="2:12">
      <c r="B875" s="2" t="s">
        <v>2119</v>
      </c>
      <c r="C875" s="7">
        <v>45958</v>
      </c>
      <c r="D875" s="2" t="s">
        <v>1097</v>
      </c>
      <c r="E875" s="4">
        <v>1</v>
      </c>
      <c r="F875" s="8" t="str">
        <f>_xlfn.XLOOKUP(D875,Master[Product_Code],Master[Category])</f>
        <v>Jeans</v>
      </c>
      <c r="G875" s="8" t="str">
        <f>_xlfn.XLOOKUP(D875,Master[Product_Code],Master[Brand])</f>
        <v>Wrangler</v>
      </c>
      <c r="H875" s="8" t="str">
        <f>_xlfn.XLOOKUP(D875,Master[Product_Code],Master[Style])</f>
        <v>Jogger</v>
      </c>
      <c r="I875" s="8" t="str">
        <f>_xlfn.XLOOKUP(D875,Master[Product_Code],Master[Fabric])</f>
        <v>Denim</v>
      </c>
      <c r="J875" s="8">
        <f>_xlfn.XLOOKUP(D875,Master[Product_Code],Master[Size])</f>
        <v>28</v>
      </c>
      <c r="K875" s="8" t="str">
        <f>_xlfn.XLOOKUP(D875,Master[Product_Code],Master[Color])</f>
        <v>Sky Blue</v>
      </c>
      <c r="L875" s="3">
        <f>_xlfn.XLOOKUP(D875,Master[Product_Code],Master[Selling_Price])</f>
        <v>860</v>
      </c>
    </row>
    <row r="876" spans="2:12">
      <c r="B876" s="2" t="s">
        <v>2120</v>
      </c>
      <c r="C876" s="7">
        <v>45958</v>
      </c>
      <c r="D876" s="2" t="s">
        <v>1541</v>
      </c>
      <c r="E876" s="4">
        <v>1</v>
      </c>
      <c r="F876" s="8" t="str">
        <f>_xlfn.XLOOKUP(D876,Master[Product_Code],Master[Category])</f>
        <v>Innerwear</v>
      </c>
      <c r="G876" s="8" t="str">
        <f>_xlfn.XLOOKUP(D876,Master[Product_Code],Master[Brand])</f>
        <v>Jockey</v>
      </c>
      <c r="H876" s="8" t="str">
        <f>_xlfn.XLOOKUP(D876,Master[Product_Code],Master[Style])</f>
        <v>Boxer</v>
      </c>
      <c r="I876" s="8" t="str">
        <f>_xlfn.XLOOKUP(D876,Master[Product_Code],Master[Fabric])</f>
        <v>Cotton Blend</v>
      </c>
      <c r="J876" s="8" t="str">
        <f>_xlfn.XLOOKUP(D876,Master[Product_Code],Master[Size])</f>
        <v>85-90</v>
      </c>
      <c r="K876" s="8" t="str">
        <f>_xlfn.XLOOKUP(D876,Master[Product_Code],Master[Color])</f>
        <v>Teal</v>
      </c>
      <c r="L876" s="3">
        <f>_xlfn.XLOOKUP(D876,Master[Product_Code],Master[Selling_Price])</f>
        <v>180</v>
      </c>
    </row>
    <row r="877" spans="2:12">
      <c r="B877" s="2" t="s">
        <v>2121</v>
      </c>
      <c r="C877" s="7">
        <v>45958</v>
      </c>
      <c r="D877" s="2" t="s">
        <v>1093</v>
      </c>
      <c r="E877" s="4">
        <v>1</v>
      </c>
      <c r="F877" s="8" t="str">
        <f>_xlfn.XLOOKUP(D877,Master[Product_Code],Master[Category])</f>
        <v>Jeans</v>
      </c>
      <c r="G877" s="8" t="str">
        <f>_xlfn.XLOOKUP(D877,Master[Product_Code],Master[Brand])</f>
        <v>Pepe</v>
      </c>
      <c r="H877" s="8" t="str">
        <f>_xlfn.XLOOKUP(D877,Master[Product_Code],Master[Style])</f>
        <v>Jogger</v>
      </c>
      <c r="I877" s="8" t="str">
        <f>_xlfn.XLOOKUP(D877,Master[Product_Code],Master[Fabric])</f>
        <v>Denim</v>
      </c>
      <c r="J877" s="8">
        <f>_xlfn.XLOOKUP(D877,Master[Product_Code],Master[Size])</f>
        <v>38</v>
      </c>
      <c r="K877" s="8" t="str">
        <f>_xlfn.XLOOKUP(D877,Master[Product_Code],Master[Color])</f>
        <v>Dark Green</v>
      </c>
      <c r="L877" s="3">
        <f>_xlfn.XLOOKUP(D877,Master[Product_Code],Master[Selling_Price])</f>
        <v>840</v>
      </c>
    </row>
    <row r="878" spans="2:12">
      <c r="B878" s="2" t="s">
        <v>2121</v>
      </c>
      <c r="C878" s="7">
        <v>45958</v>
      </c>
      <c r="D878" s="2" t="s">
        <v>1124</v>
      </c>
      <c r="E878" s="4">
        <v>1</v>
      </c>
      <c r="F878" s="8" t="str">
        <f>_xlfn.XLOOKUP(D878,Master[Product_Code],Master[Category])</f>
        <v>Jeans</v>
      </c>
      <c r="G878" s="8" t="str">
        <f>_xlfn.XLOOKUP(D878,Master[Product_Code],Master[Brand])</f>
        <v>Pepe</v>
      </c>
      <c r="H878" s="8" t="str">
        <f>_xlfn.XLOOKUP(D878,Master[Product_Code],Master[Style])</f>
        <v>Mom Fit</v>
      </c>
      <c r="I878" s="8" t="str">
        <f>_xlfn.XLOOKUP(D878,Master[Product_Code],Master[Fabric])</f>
        <v>Denim</v>
      </c>
      <c r="J878" s="8">
        <f>_xlfn.XLOOKUP(D878,Master[Product_Code],Master[Size])</f>
        <v>38</v>
      </c>
      <c r="K878" s="8" t="str">
        <f>_xlfn.XLOOKUP(D878,Master[Product_Code],Master[Color])</f>
        <v>Cream</v>
      </c>
      <c r="L878" s="3">
        <f>_xlfn.XLOOKUP(D878,Master[Product_Code],Master[Selling_Price])</f>
        <v>870</v>
      </c>
    </row>
    <row r="879" spans="2:12">
      <c r="B879" s="2" t="s">
        <v>2122</v>
      </c>
      <c r="C879" s="7">
        <v>45958</v>
      </c>
      <c r="D879" s="2" t="s">
        <v>398</v>
      </c>
      <c r="E879" s="4">
        <v>1</v>
      </c>
      <c r="F879" s="8" t="str">
        <f>_xlfn.XLOOKUP(D879,Master[Product_Code],Master[Category])</f>
        <v>Shirt</v>
      </c>
      <c r="G879" s="8" t="str">
        <f>_xlfn.XLOOKUP(D879,Master[Product_Code],Master[Brand])</f>
        <v>H&amp;M</v>
      </c>
      <c r="H879" s="8" t="str">
        <f>_xlfn.XLOOKUP(D879,Master[Product_Code],Master[Style])</f>
        <v>Formal</v>
      </c>
      <c r="I879" s="8" t="str">
        <f>_xlfn.XLOOKUP(D879,Master[Product_Code],Master[Fabric])</f>
        <v>Polyester</v>
      </c>
      <c r="J879" s="8" t="str">
        <f>_xlfn.XLOOKUP(D879,Master[Product_Code],Master[Size])</f>
        <v>L</v>
      </c>
      <c r="K879" s="8" t="str">
        <f>_xlfn.XLOOKUP(D879,Master[Product_Code],Master[Color])</f>
        <v>Beige</v>
      </c>
      <c r="L879" s="3">
        <f>_xlfn.XLOOKUP(D879,Master[Product_Code],Master[Selling_Price])</f>
        <v>870</v>
      </c>
    </row>
    <row r="880" spans="2:12">
      <c r="B880" s="2" t="s">
        <v>2122</v>
      </c>
      <c r="C880" s="7">
        <v>45958</v>
      </c>
      <c r="D880" s="2" t="s">
        <v>579</v>
      </c>
      <c r="E880" s="4">
        <v>1</v>
      </c>
      <c r="F880" s="8" t="str">
        <f>_xlfn.XLOOKUP(D880,Master[Product_Code],Master[Category])</f>
        <v>T-Shirt</v>
      </c>
      <c r="G880" s="8" t="str">
        <f>_xlfn.XLOOKUP(D880,Master[Product_Code],Master[Brand])</f>
        <v>Turkey</v>
      </c>
      <c r="H880" s="8" t="str">
        <f>_xlfn.XLOOKUP(D880,Master[Product_Code],Master[Style])</f>
        <v>Sleeveless</v>
      </c>
      <c r="I880" s="8" t="str">
        <f>_xlfn.XLOOKUP(D880,Master[Product_Code],Master[Fabric])</f>
        <v>Poly Cotton</v>
      </c>
      <c r="J880" s="8" t="str">
        <f>_xlfn.XLOOKUP(D880,Master[Product_Code],Master[Size])</f>
        <v>L</v>
      </c>
      <c r="K880" s="8" t="str">
        <f>_xlfn.XLOOKUP(D880,Master[Product_Code],Master[Color])</f>
        <v>Olive</v>
      </c>
      <c r="L880" s="3">
        <f>_xlfn.XLOOKUP(D880,Master[Product_Code],Master[Selling_Price])</f>
        <v>610</v>
      </c>
    </row>
    <row r="881" spans="2:12">
      <c r="B881" s="2" t="s">
        <v>2122</v>
      </c>
      <c r="C881" s="7">
        <v>45958</v>
      </c>
      <c r="D881" s="2" t="s">
        <v>865</v>
      </c>
      <c r="E881" s="4">
        <v>1</v>
      </c>
      <c r="F881" s="8" t="str">
        <f>_xlfn.XLOOKUP(D881,Master[Product_Code],Master[Category])</f>
        <v>Jeans</v>
      </c>
      <c r="G881" s="8" t="str">
        <f>_xlfn.XLOOKUP(D881,Master[Product_Code],Master[Brand])</f>
        <v>Spykar</v>
      </c>
      <c r="H881" s="8" t="str">
        <f>_xlfn.XLOOKUP(D881,Master[Product_Code],Master[Style])</f>
        <v>Baggy</v>
      </c>
      <c r="I881" s="8" t="str">
        <f>_xlfn.XLOOKUP(D881,Master[Product_Code],Master[Fabric])</f>
        <v>Denim</v>
      </c>
      <c r="J881" s="8">
        <f>_xlfn.XLOOKUP(D881,Master[Product_Code],Master[Size])</f>
        <v>42</v>
      </c>
      <c r="K881" s="8" t="str">
        <f>_xlfn.XLOOKUP(D881,Master[Product_Code],Master[Color])</f>
        <v>Royal Blue</v>
      </c>
      <c r="L881" s="3">
        <f>_xlfn.XLOOKUP(D881,Master[Product_Code],Master[Selling_Price])</f>
        <v>830</v>
      </c>
    </row>
    <row r="882" spans="2:12">
      <c r="B882" s="2" t="s">
        <v>2123</v>
      </c>
      <c r="C882" s="7">
        <v>45958</v>
      </c>
      <c r="D882" s="2" t="s">
        <v>674</v>
      </c>
      <c r="E882" s="4">
        <v>1</v>
      </c>
      <c r="F882" s="8" t="str">
        <f>_xlfn.XLOOKUP(D882,Master[Product_Code],Master[Category])</f>
        <v>T-Shirt</v>
      </c>
      <c r="G882" s="8" t="str">
        <f>_xlfn.XLOOKUP(D882,Master[Product_Code],Master[Brand])</f>
        <v>Zara</v>
      </c>
      <c r="H882" s="8" t="str">
        <f>_xlfn.XLOOKUP(D882,Master[Product_Code],Master[Style])</f>
        <v>Hoodie</v>
      </c>
      <c r="I882" s="8" t="str">
        <f>_xlfn.XLOOKUP(D882,Master[Product_Code],Master[Fabric])</f>
        <v>Cotton</v>
      </c>
      <c r="J882" s="8" t="str">
        <f>_xlfn.XLOOKUP(D882,Master[Product_Code],Master[Size])</f>
        <v>S</v>
      </c>
      <c r="K882" s="8" t="str">
        <f>_xlfn.XLOOKUP(D882,Master[Product_Code],Master[Color])</f>
        <v>Beige</v>
      </c>
      <c r="L882" s="3">
        <f>_xlfn.XLOOKUP(D882,Master[Product_Code],Master[Selling_Price])</f>
        <v>320</v>
      </c>
    </row>
    <row r="883" spans="2:12">
      <c r="B883" s="2" t="s">
        <v>2123</v>
      </c>
      <c r="C883" s="7">
        <v>45958</v>
      </c>
      <c r="D883" s="2" t="s">
        <v>1324</v>
      </c>
      <c r="E883" s="4">
        <v>1</v>
      </c>
      <c r="F883" s="8" t="str">
        <f>_xlfn.XLOOKUP(D883,Master[Product_Code],Master[Category])</f>
        <v>Pants</v>
      </c>
      <c r="G883" s="8" t="str">
        <f>_xlfn.XLOOKUP(D883,Master[Product_Code],Master[Brand])</f>
        <v>Park Avenue</v>
      </c>
      <c r="H883" s="8" t="str">
        <f>_xlfn.XLOOKUP(D883,Master[Product_Code],Master[Style])</f>
        <v>Jogger</v>
      </c>
      <c r="I883" s="8" t="str">
        <f>_xlfn.XLOOKUP(D883,Master[Product_Code],Master[Fabric])</f>
        <v>Cotton Blend</v>
      </c>
      <c r="J883" s="8">
        <f>_xlfn.XLOOKUP(D883,Master[Product_Code],Master[Size])</f>
        <v>30</v>
      </c>
      <c r="K883" s="8" t="str">
        <f>_xlfn.XLOOKUP(D883,Master[Product_Code],Master[Color])</f>
        <v>White</v>
      </c>
      <c r="L883" s="3">
        <f>_xlfn.XLOOKUP(D883,Master[Product_Code],Master[Selling_Price])</f>
        <v>750</v>
      </c>
    </row>
    <row r="884" spans="2:12">
      <c r="B884" s="2" t="s">
        <v>2123</v>
      </c>
      <c r="C884" s="7">
        <v>45958</v>
      </c>
      <c r="D884" s="2" t="s">
        <v>1314</v>
      </c>
      <c r="E884" s="4">
        <v>1</v>
      </c>
      <c r="F884" s="8" t="str">
        <f>_xlfn.XLOOKUP(D884,Master[Product_Code],Master[Category])</f>
        <v>Pants</v>
      </c>
      <c r="G884" s="8" t="str">
        <f>_xlfn.XLOOKUP(D884,Master[Product_Code],Master[Brand])</f>
        <v>Louis Philippe</v>
      </c>
      <c r="H884" s="8" t="str">
        <f>_xlfn.XLOOKUP(D884,Master[Product_Code],Master[Style])</f>
        <v>Boot Cut</v>
      </c>
      <c r="I884" s="8" t="str">
        <f>_xlfn.XLOOKUP(D884,Master[Product_Code],Master[Fabric])</f>
        <v>Cotton</v>
      </c>
      <c r="J884" s="8">
        <f>_xlfn.XLOOKUP(D884,Master[Product_Code],Master[Size])</f>
        <v>42</v>
      </c>
      <c r="K884" s="8" t="str">
        <f>_xlfn.XLOOKUP(D884,Master[Product_Code],Master[Color])</f>
        <v>Royal Blue</v>
      </c>
      <c r="L884" s="3">
        <f>_xlfn.XLOOKUP(D884,Master[Product_Code],Master[Selling_Price])</f>
        <v>800</v>
      </c>
    </row>
    <row r="885" spans="2:12">
      <c r="B885" s="2" t="s">
        <v>2124</v>
      </c>
      <c r="C885" s="7">
        <v>45958</v>
      </c>
      <c r="D885" s="2" t="s">
        <v>595</v>
      </c>
      <c r="E885" s="4">
        <v>1</v>
      </c>
      <c r="F885" s="8" t="str">
        <f>_xlfn.XLOOKUP(D885,Master[Product_Code],Master[Category])</f>
        <v>T-Shirt</v>
      </c>
      <c r="G885" s="8" t="str">
        <f>_xlfn.XLOOKUP(D885,Master[Product_Code],Master[Brand])</f>
        <v>Urban Monkey</v>
      </c>
      <c r="H885" s="8" t="str">
        <f>_xlfn.XLOOKUP(D885,Master[Product_Code],Master[Style])</f>
        <v>Sleeveless</v>
      </c>
      <c r="I885" s="8" t="str">
        <f>_xlfn.XLOOKUP(D885,Master[Product_Code],Master[Fabric])</f>
        <v>Poly Cotton</v>
      </c>
      <c r="J885" s="8" t="str">
        <f>_xlfn.XLOOKUP(D885,Master[Product_Code],Master[Size])</f>
        <v>M</v>
      </c>
      <c r="K885" s="8" t="str">
        <f>_xlfn.XLOOKUP(D885,Master[Product_Code],Master[Color])</f>
        <v>Olive</v>
      </c>
      <c r="L885" s="3">
        <f>_xlfn.XLOOKUP(D885,Master[Product_Code],Master[Selling_Price])</f>
        <v>280</v>
      </c>
    </row>
    <row r="886" spans="2:12">
      <c r="B886" s="2" t="s">
        <v>2124</v>
      </c>
      <c r="C886" s="7">
        <v>45958</v>
      </c>
      <c r="D886" s="2" t="s">
        <v>492</v>
      </c>
      <c r="E886" s="4">
        <v>1</v>
      </c>
      <c r="F886" s="8" t="str">
        <f>_xlfn.XLOOKUP(D886,Master[Product_Code],Master[Category])</f>
        <v>T-Shirt</v>
      </c>
      <c r="G886" s="8" t="str">
        <f>_xlfn.XLOOKUP(D886,Master[Product_Code],Master[Brand])</f>
        <v>Roadster</v>
      </c>
      <c r="H886" s="8" t="str">
        <f>_xlfn.XLOOKUP(D886,Master[Product_Code],Master[Style])</f>
        <v>3/4 Sleeve</v>
      </c>
      <c r="I886" s="8" t="str">
        <f>_xlfn.XLOOKUP(D886,Master[Product_Code],Master[Fabric])</f>
        <v>Cotton</v>
      </c>
      <c r="J886" s="8" t="str">
        <f>_xlfn.XLOOKUP(D886,Master[Product_Code],Master[Size])</f>
        <v>XL</v>
      </c>
      <c r="K886" s="8" t="str">
        <f>_xlfn.XLOOKUP(D886,Master[Product_Code],Master[Color])</f>
        <v>Light Grey</v>
      </c>
      <c r="L886" s="3">
        <f>_xlfn.XLOOKUP(D886,Master[Product_Code],Master[Selling_Price])</f>
        <v>370</v>
      </c>
    </row>
    <row r="887" spans="2:12">
      <c r="B887" s="2" t="s">
        <v>2125</v>
      </c>
      <c r="C887" s="7">
        <v>45958</v>
      </c>
      <c r="D887" s="2" t="s">
        <v>877</v>
      </c>
      <c r="E887" s="4">
        <v>1</v>
      </c>
      <c r="F887" s="8" t="str">
        <f>_xlfn.XLOOKUP(D887,Master[Product_Code],Master[Category])</f>
        <v>Jeans</v>
      </c>
      <c r="G887" s="8" t="str">
        <f>_xlfn.XLOOKUP(D887,Master[Product_Code],Master[Brand])</f>
        <v>Denim Pro</v>
      </c>
      <c r="H887" s="8" t="str">
        <f>_xlfn.XLOOKUP(D887,Master[Product_Code],Master[Style])</f>
        <v>Mom Fit</v>
      </c>
      <c r="I887" s="8" t="str">
        <f>_xlfn.XLOOKUP(D887,Master[Product_Code],Master[Fabric])</f>
        <v>Denim</v>
      </c>
      <c r="J887" s="8">
        <f>_xlfn.XLOOKUP(D887,Master[Product_Code],Master[Size])</f>
        <v>34</v>
      </c>
      <c r="K887" s="8" t="str">
        <f>_xlfn.XLOOKUP(D887,Master[Product_Code],Master[Color])</f>
        <v>Bottle Green</v>
      </c>
      <c r="L887" s="3">
        <f>_xlfn.XLOOKUP(D887,Master[Product_Code],Master[Selling_Price])</f>
        <v>1080</v>
      </c>
    </row>
    <row r="888" spans="2:12">
      <c r="B888" s="2" t="s">
        <v>2125</v>
      </c>
      <c r="C888" s="7">
        <v>45958</v>
      </c>
      <c r="D888" s="2" t="s">
        <v>820</v>
      </c>
      <c r="E888" s="4">
        <v>1</v>
      </c>
      <c r="F888" s="8" t="str">
        <f>_xlfn.XLOOKUP(D888,Master[Product_Code],Master[Category])</f>
        <v>T-Shirt</v>
      </c>
      <c r="G888" s="8" t="str">
        <f>_xlfn.XLOOKUP(D888,Master[Product_Code],Master[Brand])</f>
        <v>Roadster</v>
      </c>
      <c r="H888" s="8" t="str">
        <f>_xlfn.XLOOKUP(D888,Master[Product_Code],Master[Style])</f>
        <v>Half Sleeve</v>
      </c>
      <c r="I888" s="8" t="str">
        <f>_xlfn.XLOOKUP(D888,Master[Product_Code],Master[Fabric])</f>
        <v>Poly Cotton</v>
      </c>
      <c r="J888" s="8" t="str">
        <f>_xlfn.XLOOKUP(D888,Master[Product_Code],Master[Size])</f>
        <v>L</v>
      </c>
      <c r="K888" s="8" t="str">
        <f>_xlfn.XLOOKUP(D888,Master[Product_Code],Master[Color])</f>
        <v>Rust</v>
      </c>
      <c r="L888" s="3">
        <f>_xlfn.XLOOKUP(D888,Master[Product_Code],Master[Selling_Price])</f>
        <v>550</v>
      </c>
    </row>
    <row r="889" spans="2:12">
      <c r="B889" s="2" t="s">
        <v>2125</v>
      </c>
      <c r="C889" s="7">
        <v>45958</v>
      </c>
      <c r="D889" s="2" t="s">
        <v>488</v>
      </c>
      <c r="E889" s="4">
        <v>1</v>
      </c>
      <c r="F889" s="8" t="str">
        <f>_xlfn.XLOOKUP(D889,Master[Product_Code],Master[Category])</f>
        <v>T-Shirt</v>
      </c>
      <c r="G889" s="8" t="str">
        <f>_xlfn.XLOOKUP(D889,Master[Product_Code],Master[Brand])</f>
        <v>Roadster</v>
      </c>
      <c r="H889" s="8" t="str">
        <f>_xlfn.XLOOKUP(D889,Master[Product_Code],Master[Style])</f>
        <v>Half Sleeve</v>
      </c>
      <c r="I889" s="8" t="str">
        <f>_xlfn.XLOOKUP(D889,Master[Product_Code],Master[Fabric])</f>
        <v>Cotton Blend</v>
      </c>
      <c r="J889" s="8" t="str">
        <f>_xlfn.XLOOKUP(D889,Master[Product_Code],Master[Size])</f>
        <v>S</v>
      </c>
      <c r="K889" s="8" t="str">
        <f>_xlfn.XLOOKUP(D889,Master[Product_Code],Master[Color])</f>
        <v>Peach</v>
      </c>
      <c r="L889" s="3">
        <f>_xlfn.XLOOKUP(D889,Master[Product_Code],Master[Selling_Price])</f>
        <v>530</v>
      </c>
    </row>
    <row r="890" spans="2:12">
      <c r="B890" s="2" t="s">
        <v>2125</v>
      </c>
      <c r="C890" s="7">
        <v>45958</v>
      </c>
      <c r="D890" s="2" t="s">
        <v>977</v>
      </c>
      <c r="E890" s="4">
        <v>1</v>
      </c>
      <c r="F890" s="8" t="str">
        <f>_xlfn.XLOOKUP(D890,Master[Product_Code],Master[Category])</f>
        <v>Jeans</v>
      </c>
      <c r="G890" s="8" t="str">
        <f>_xlfn.XLOOKUP(D890,Master[Product_Code],Master[Brand])</f>
        <v>Locomotive</v>
      </c>
      <c r="H890" s="8" t="str">
        <f>_xlfn.XLOOKUP(D890,Master[Product_Code],Master[Style])</f>
        <v>Jogger</v>
      </c>
      <c r="I890" s="8" t="str">
        <f>_xlfn.XLOOKUP(D890,Master[Product_Code],Master[Fabric])</f>
        <v>Denim</v>
      </c>
      <c r="J890" s="8">
        <f>_xlfn.XLOOKUP(D890,Master[Product_Code],Master[Size])</f>
        <v>32</v>
      </c>
      <c r="K890" s="8" t="str">
        <f>_xlfn.XLOOKUP(D890,Master[Product_Code],Master[Color])</f>
        <v>Royal Blue</v>
      </c>
      <c r="L890" s="3">
        <f>_xlfn.XLOOKUP(D890,Master[Product_Code],Master[Selling_Price])</f>
        <v>860</v>
      </c>
    </row>
    <row r="891" spans="2:12">
      <c r="B891" s="2" t="s">
        <v>2126</v>
      </c>
      <c r="C891" s="7">
        <v>45958</v>
      </c>
      <c r="D891" s="2" t="s">
        <v>939</v>
      </c>
      <c r="E891" s="4">
        <v>1</v>
      </c>
      <c r="F891" s="8" t="str">
        <f>_xlfn.XLOOKUP(D891,Master[Product_Code],Master[Category])</f>
        <v>Jeans</v>
      </c>
      <c r="G891" s="8" t="str">
        <f>_xlfn.XLOOKUP(D891,Master[Product_Code],Master[Brand])</f>
        <v>Denim Pro</v>
      </c>
      <c r="H891" s="8" t="str">
        <f>_xlfn.XLOOKUP(D891,Master[Product_Code],Master[Style])</f>
        <v>Jogger</v>
      </c>
      <c r="I891" s="8" t="str">
        <f>_xlfn.XLOOKUP(D891,Master[Product_Code],Master[Fabric])</f>
        <v>Denim</v>
      </c>
      <c r="J891" s="8">
        <f>_xlfn.XLOOKUP(D891,Master[Product_Code],Master[Size])</f>
        <v>40</v>
      </c>
      <c r="K891" s="8" t="str">
        <f>_xlfn.XLOOKUP(D891,Master[Product_Code],Master[Color])</f>
        <v>Charcoal</v>
      </c>
      <c r="L891" s="3">
        <f>_xlfn.XLOOKUP(D891,Master[Product_Code],Master[Selling_Price])</f>
        <v>960</v>
      </c>
    </row>
    <row r="892" spans="2:12">
      <c r="B892" s="2" t="s">
        <v>2127</v>
      </c>
      <c r="C892" s="7">
        <v>45958</v>
      </c>
      <c r="D892" s="2" t="s">
        <v>188</v>
      </c>
      <c r="E892" s="4">
        <v>1</v>
      </c>
      <c r="F892" s="8" t="str">
        <f>_xlfn.XLOOKUP(D892,Master[Product_Code],Master[Category])</f>
        <v>Shirt</v>
      </c>
      <c r="G892" s="8" t="str">
        <f>_xlfn.XLOOKUP(D892,Master[Product_Code],Master[Brand])</f>
        <v>L7</v>
      </c>
      <c r="H892" s="8" t="str">
        <f>_xlfn.XLOOKUP(D892,Master[Product_Code],Master[Style])</f>
        <v>Partywear</v>
      </c>
      <c r="I892" s="8" t="str">
        <f>_xlfn.XLOOKUP(D892,Master[Product_Code],Master[Fabric])</f>
        <v>Lycra</v>
      </c>
      <c r="J892" s="8" t="str">
        <f>_xlfn.XLOOKUP(D892,Master[Product_Code],Master[Size])</f>
        <v>XL</v>
      </c>
      <c r="K892" s="8" t="str">
        <f>_xlfn.XLOOKUP(D892,Master[Product_Code],Master[Color])</f>
        <v>Brown</v>
      </c>
      <c r="L892" s="3">
        <f>_xlfn.XLOOKUP(D892,Master[Product_Code],Master[Selling_Price])</f>
        <v>800</v>
      </c>
    </row>
    <row r="893" spans="2:12">
      <c r="B893" s="2" t="s">
        <v>2127</v>
      </c>
      <c r="C893" s="7">
        <v>45958</v>
      </c>
      <c r="D893" s="2" t="s">
        <v>1271</v>
      </c>
      <c r="E893" s="4">
        <v>1</v>
      </c>
      <c r="F893" s="8" t="str">
        <f>_xlfn.XLOOKUP(D893,Master[Product_Code],Master[Category])</f>
        <v>Pants</v>
      </c>
      <c r="G893" s="8" t="str">
        <f>_xlfn.XLOOKUP(D893,Master[Product_Code],Master[Brand])</f>
        <v>Raymond</v>
      </c>
      <c r="H893" s="8" t="str">
        <f>_xlfn.XLOOKUP(D893,Master[Product_Code],Master[Style])</f>
        <v>Jogger</v>
      </c>
      <c r="I893" s="8" t="str">
        <f>_xlfn.XLOOKUP(D893,Master[Product_Code],Master[Fabric])</f>
        <v>Cotton</v>
      </c>
      <c r="J893" s="8">
        <f>_xlfn.XLOOKUP(D893,Master[Product_Code],Master[Size])</f>
        <v>36</v>
      </c>
      <c r="K893" s="8" t="str">
        <f>_xlfn.XLOOKUP(D893,Master[Product_Code],Master[Color])</f>
        <v>Olive</v>
      </c>
      <c r="L893" s="3">
        <f>_xlfn.XLOOKUP(D893,Master[Product_Code],Master[Selling_Price])</f>
        <v>900</v>
      </c>
    </row>
    <row r="894" spans="2:12">
      <c r="B894" s="2" t="s">
        <v>2127</v>
      </c>
      <c r="C894" s="7">
        <v>45958</v>
      </c>
      <c r="D894" s="2" t="s">
        <v>1019</v>
      </c>
      <c r="E894" s="4">
        <v>1</v>
      </c>
      <c r="F894" s="8" t="str">
        <f>_xlfn.XLOOKUP(D894,Master[Product_Code],Master[Category])</f>
        <v>Jeans</v>
      </c>
      <c r="G894" s="8" t="str">
        <f>_xlfn.XLOOKUP(D894,Master[Product_Code],Master[Brand])</f>
        <v>Locomotive</v>
      </c>
      <c r="H894" s="8" t="str">
        <f>_xlfn.XLOOKUP(D894,Master[Product_Code],Master[Style])</f>
        <v>Baggy</v>
      </c>
      <c r="I894" s="8" t="str">
        <f>_xlfn.XLOOKUP(D894,Master[Product_Code],Master[Fabric])</f>
        <v>Denim</v>
      </c>
      <c r="J894" s="8">
        <f>_xlfn.XLOOKUP(D894,Master[Product_Code],Master[Size])</f>
        <v>42</v>
      </c>
      <c r="K894" s="8" t="str">
        <f>_xlfn.XLOOKUP(D894,Master[Product_Code],Master[Color])</f>
        <v>White</v>
      </c>
      <c r="L894" s="3">
        <f>_xlfn.XLOOKUP(D894,Master[Product_Code],Master[Selling_Price])</f>
        <v>1010</v>
      </c>
    </row>
    <row r="895" spans="2:12">
      <c r="B895" s="2" t="s">
        <v>2128</v>
      </c>
      <c r="C895" s="7">
        <v>45958</v>
      </c>
      <c r="D895" s="2" t="s">
        <v>1753</v>
      </c>
      <c r="E895" s="4">
        <v>1</v>
      </c>
      <c r="F895" s="8" t="str">
        <f>_xlfn.XLOOKUP(D895,Master[Product_Code],Master[Category])</f>
        <v>Innerwear</v>
      </c>
      <c r="G895" s="8" t="str">
        <f>_xlfn.XLOOKUP(D895,Master[Product_Code],Master[Brand])</f>
        <v>V Star</v>
      </c>
      <c r="H895" s="8" t="str">
        <f>_xlfn.XLOOKUP(D895,Master[Product_Code],Master[Style])</f>
        <v>Boxer</v>
      </c>
      <c r="I895" s="8" t="str">
        <f>_xlfn.XLOOKUP(D895,Master[Product_Code],Master[Fabric])</f>
        <v>Cotton</v>
      </c>
      <c r="J895" s="8" t="str">
        <f>_xlfn.XLOOKUP(D895,Master[Product_Code],Master[Size])</f>
        <v>80-85</v>
      </c>
      <c r="K895" s="8" t="str">
        <f>_xlfn.XLOOKUP(D895,Master[Product_Code],Master[Color])</f>
        <v>Royal Blue</v>
      </c>
      <c r="L895" s="3">
        <f>_xlfn.XLOOKUP(D895,Master[Product_Code],Master[Selling_Price])</f>
        <v>120</v>
      </c>
    </row>
    <row r="896" spans="2:12">
      <c r="B896" s="2" t="s">
        <v>2128</v>
      </c>
      <c r="C896" s="7">
        <v>45958</v>
      </c>
      <c r="D896" s="2" t="s">
        <v>1678</v>
      </c>
      <c r="E896" s="4">
        <v>1</v>
      </c>
      <c r="F896" s="8" t="str">
        <f>_xlfn.XLOOKUP(D896,Master[Product_Code],Master[Category])</f>
        <v>Innerwear</v>
      </c>
      <c r="G896" s="8" t="str">
        <f>_xlfn.XLOOKUP(D896,Master[Product_Code],Master[Brand])</f>
        <v>Lux</v>
      </c>
      <c r="H896" s="8" t="str">
        <f>_xlfn.XLOOKUP(D896,Master[Product_Code],Master[Style])</f>
        <v>V-Cut</v>
      </c>
      <c r="I896" s="8" t="str">
        <f>_xlfn.XLOOKUP(D896,Master[Product_Code],Master[Fabric])</f>
        <v>Cotton Blend</v>
      </c>
      <c r="J896" s="8" t="str">
        <f>_xlfn.XLOOKUP(D896,Master[Product_Code],Master[Size])</f>
        <v>85-90</v>
      </c>
      <c r="K896" s="8" t="str">
        <f>_xlfn.XLOOKUP(D896,Master[Product_Code],Master[Color])</f>
        <v>Maroon</v>
      </c>
      <c r="L896" s="3">
        <f>_xlfn.XLOOKUP(D896,Master[Product_Code],Master[Selling_Price])</f>
        <v>120</v>
      </c>
    </row>
    <row r="897" spans="2:12">
      <c r="B897" s="2" t="s">
        <v>2128</v>
      </c>
      <c r="C897" s="7">
        <v>45958</v>
      </c>
      <c r="D897" s="2" t="s">
        <v>246</v>
      </c>
      <c r="E897" s="4">
        <v>1</v>
      </c>
      <c r="F897" s="8" t="str">
        <f>_xlfn.XLOOKUP(D897,Master[Product_Code],Master[Category])</f>
        <v>Shirt</v>
      </c>
      <c r="G897" s="8" t="str">
        <f>_xlfn.XLOOKUP(D897,Master[Product_Code],Master[Brand])</f>
        <v>Thailand</v>
      </c>
      <c r="H897" s="8" t="str">
        <f>_xlfn.XLOOKUP(D897,Master[Product_Code],Master[Style])</f>
        <v>Formal</v>
      </c>
      <c r="I897" s="8" t="str">
        <f>_xlfn.XLOOKUP(D897,Master[Product_Code],Master[Fabric])</f>
        <v>Lycra</v>
      </c>
      <c r="J897" s="8" t="str">
        <f>_xlfn.XLOOKUP(D897,Master[Product_Code],Master[Size])</f>
        <v>L</v>
      </c>
      <c r="K897" s="8" t="str">
        <f>_xlfn.XLOOKUP(D897,Master[Product_Code],Master[Color])</f>
        <v>Brown</v>
      </c>
      <c r="L897" s="3">
        <f>_xlfn.XLOOKUP(D897,Master[Product_Code],Master[Selling_Price])</f>
        <v>850</v>
      </c>
    </row>
    <row r="898" spans="2:12">
      <c r="B898" s="2" t="s">
        <v>2129</v>
      </c>
      <c r="C898" s="7">
        <v>45958</v>
      </c>
      <c r="D898" s="2" t="s">
        <v>102</v>
      </c>
      <c r="E898" s="4">
        <v>1</v>
      </c>
      <c r="F898" s="8" t="str">
        <f>_xlfn.XLOOKUP(D898,Master[Product_Code],Master[Category])</f>
        <v>Shirt</v>
      </c>
      <c r="G898" s="8" t="str">
        <f>_xlfn.XLOOKUP(D898,Master[Product_Code],Master[Brand])</f>
        <v>British</v>
      </c>
      <c r="H898" s="8" t="str">
        <f>_xlfn.XLOOKUP(D898,Master[Product_Code],Master[Style])</f>
        <v>Formal</v>
      </c>
      <c r="I898" s="8" t="str">
        <f>_xlfn.XLOOKUP(D898,Master[Product_Code],Master[Fabric])</f>
        <v>Cotton Blend</v>
      </c>
      <c r="J898" s="8" t="str">
        <f>_xlfn.XLOOKUP(D898,Master[Product_Code],Master[Size])</f>
        <v>XXL</v>
      </c>
      <c r="K898" s="8" t="str">
        <f>_xlfn.XLOOKUP(D898,Master[Product_Code],Master[Color])</f>
        <v>Peach</v>
      </c>
      <c r="L898" s="3">
        <f>_xlfn.XLOOKUP(D898,Master[Product_Code],Master[Selling_Price])</f>
        <v>890</v>
      </c>
    </row>
    <row r="899" spans="2:12">
      <c r="B899" s="2" t="s">
        <v>2129</v>
      </c>
      <c r="C899" s="7">
        <v>45958</v>
      </c>
      <c r="D899" s="2" t="s">
        <v>1182</v>
      </c>
      <c r="E899" s="4">
        <v>1</v>
      </c>
      <c r="F899" s="8" t="str">
        <f>_xlfn.XLOOKUP(D899,Master[Product_Code],Master[Category])</f>
        <v>Pants</v>
      </c>
      <c r="G899" s="8" t="str">
        <f>_xlfn.XLOOKUP(D899,Master[Product_Code],Master[Brand])</f>
        <v>Van Heusen</v>
      </c>
      <c r="H899" s="8" t="str">
        <f>_xlfn.XLOOKUP(D899,Master[Product_Code],Master[Style])</f>
        <v>Polofit</v>
      </c>
      <c r="I899" s="8" t="str">
        <f>_xlfn.XLOOKUP(D899,Master[Product_Code],Master[Fabric])</f>
        <v>Lycra</v>
      </c>
      <c r="J899" s="8">
        <f>_xlfn.XLOOKUP(D899,Master[Product_Code],Master[Size])</f>
        <v>30</v>
      </c>
      <c r="K899" s="8" t="str">
        <f>_xlfn.XLOOKUP(D899,Master[Product_Code],Master[Color])</f>
        <v>Charcoal</v>
      </c>
      <c r="L899" s="3">
        <f>_xlfn.XLOOKUP(D899,Master[Product_Code],Master[Selling_Price])</f>
        <v>760</v>
      </c>
    </row>
    <row r="900" spans="2:12">
      <c r="B900" s="2" t="s">
        <v>2129</v>
      </c>
      <c r="C900" s="7">
        <v>45958</v>
      </c>
      <c r="D900" s="2" t="s">
        <v>151</v>
      </c>
      <c r="E900" s="4">
        <v>1</v>
      </c>
      <c r="F900" s="8" t="str">
        <f>_xlfn.XLOOKUP(D900,Master[Product_Code],Master[Category])</f>
        <v>Shirt</v>
      </c>
      <c r="G900" s="8" t="str">
        <f>_xlfn.XLOOKUP(D900,Master[Product_Code],Master[Brand])</f>
        <v>USD</v>
      </c>
      <c r="H900" s="8" t="str">
        <f>_xlfn.XLOOKUP(D900,Master[Product_Code],Master[Style])</f>
        <v>Casual</v>
      </c>
      <c r="I900" s="8" t="str">
        <f>_xlfn.XLOOKUP(D900,Master[Product_Code],Master[Fabric])</f>
        <v>Lycra</v>
      </c>
      <c r="J900" s="8" t="str">
        <f>_xlfn.XLOOKUP(D900,Master[Product_Code],Master[Size])</f>
        <v>XXL</v>
      </c>
      <c r="K900" s="8" t="str">
        <f>_xlfn.XLOOKUP(D900,Master[Product_Code],Master[Color])</f>
        <v>Beige</v>
      </c>
      <c r="L900" s="3">
        <f>_xlfn.XLOOKUP(D900,Master[Product_Code],Master[Selling_Price])</f>
        <v>880</v>
      </c>
    </row>
    <row r="901" spans="2:12">
      <c r="B901" s="2" t="s">
        <v>2129</v>
      </c>
      <c r="C901" s="7">
        <v>45958</v>
      </c>
      <c r="D901" s="2" t="s">
        <v>872</v>
      </c>
      <c r="E901" s="4">
        <v>1</v>
      </c>
      <c r="F901" s="8" t="str">
        <f>_xlfn.XLOOKUP(D901,Master[Product_Code],Master[Category])</f>
        <v>Jeans</v>
      </c>
      <c r="G901" s="8" t="str">
        <f>_xlfn.XLOOKUP(D901,Master[Product_Code],Master[Brand])</f>
        <v>Spykar</v>
      </c>
      <c r="H901" s="8" t="str">
        <f>_xlfn.XLOOKUP(D901,Master[Product_Code],Master[Style])</f>
        <v>Baggy</v>
      </c>
      <c r="I901" s="8" t="str">
        <f>_xlfn.XLOOKUP(D901,Master[Product_Code],Master[Fabric])</f>
        <v>Denim</v>
      </c>
      <c r="J901" s="8">
        <f>_xlfn.XLOOKUP(D901,Master[Product_Code],Master[Size])</f>
        <v>28</v>
      </c>
      <c r="K901" s="8" t="str">
        <f>_xlfn.XLOOKUP(D901,Master[Product_Code],Master[Color])</f>
        <v>Sky Blue</v>
      </c>
      <c r="L901" s="3">
        <f>_xlfn.XLOOKUP(D901,Master[Product_Code],Master[Selling_Price])</f>
        <v>830</v>
      </c>
    </row>
    <row r="902" spans="2:12">
      <c r="B902" s="2" t="s">
        <v>2130</v>
      </c>
      <c r="C902" s="7">
        <v>45959</v>
      </c>
      <c r="D902" s="2" t="s">
        <v>1210</v>
      </c>
      <c r="E902" s="4">
        <v>1</v>
      </c>
      <c r="F902" s="8" t="str">
        <f>_xlfn.XLOOKUP(D902,Master[Product_Code],Master[Category])</f>
        <v>Pants</v>
      </c>
      <c r="G902" s="8" t="str">
        <f>_xlfn.XLOOKUP(D902,Master[Product_Code],Master[Brand])</f>
        <v>Van Heusen</v>
      </c>
      <c r="H902" s="8" t="str">
        <f>_xlfn.XLOOKUP(D902,Master[Product_Code],Master[Style])</f>
        <v>Boot Cut</v>
      </c>
      <c r="I902" s="8" t="str">
        <f>_xlfn.XLOOKUP(D902,Master[Product_Code],Master[Fabric])</f>
        <v>Poly Viscose</v>
      </c>
      <c r="J902" s="8">
        <f>_xlfn.XLOOKUP(D902,Master[Product_Code],Master[Size])</f>
        <v>42</v>
      </c>
      <c r="K902" s="8" t="str">
        <f>_xlfn.XLOOKUP(D902,Master[Product_Code],Master[Color])</f>
        <v>White</v>
      </c>
      <c r="L902" s="3">
        <f>_xlfn.XLOOKUP(D902,Master[Product_Code],Master[Selling_Price])</f>
        <v>860</v>
      </c>
    </row>
    <row r="903" spans="2:12">
      <c r="B903" s="2" t="s">
        <v>2130</v>
      </c>
      <c r="C903" s="7">
        <v>45959</v>
      </c>
      <c r="D903" s="2" t="s">
        <v>1248</v>
      </c>
      <c r="E903" s="4">
        <v>1</v>
      </c>
      <c r="F903" s="8" t="str">
        <f>_xlfn.XLOOKUP(D903,Master[Product_Code],Master[Category])</f>
        <v>Pants</v>
      </c>
      <c r="G903" s="8" t="str">
        <f>_xlfn.XLOOKUP(D903,Master[Product_Code],Master[Brand])</f>
        <v>Louis Philippe</v>
      </c>
      <c r="H903" s="8" t="str">
        <f>_xlfn.XLOOKUP(D903,Master[Product_Code],Master[Style])</f>
        <v>Polofit</v>
      </c>
      <c r="I903" s="8" t="str">
        <f>_xlfn.XLOOKUP(D903,Master[Product_Code],Master[Fabric])</f>
        <v>Lycra</v>
      </c>
      <c r="J903" s="8">
        <f>_xlfn.XLOOKUP(D903,Master[Product_Code],Master[Size])</f>
        <v>36</v>
      </c>
      <c r="K903" s="8" t="str">
        <f>_xlfn.XLOOKUP(D903,Master[Product_Code],Master[Color])</f>
        <v>Brown</v>
      </c>
      <c r="L903" s="3">
        <f>_xlfn.XLOOKUP(D903,Master[Product_Code],Master[Selling_Price])</f>
        <v>860</v>
      </c>
    </row>
    <row r="904" spans="2:12">
      <c r="B904" s="2" t="s">
        <v>2130</v>
      </c>
      <c r="C904" s="7">
        <v>45959</v>
      </c>
      <c r="D904" s="2" t="s">
        <v>1106</v>
      </c>
      <c r="E904" s="4">
        <v>1</v>
      </c>
      <c r="F904" s="8" t="str">
        <f>_xlfn.XLOOKUP(D904,Master[Product_Code],Master[Category])</f>
        <v>Jeans</v>
      </c>
      <c r="G904" s="8" t="str">
        <f>_xlfn.XLOOKUP(D904,Master[Product_Code],Master[Brand])</f>
        <v>Levis</v>
      </c>
      <c r="H904" s="8" t="str">
        <f>_xlfn.XLOOKUP(D904,Master[Product_Code],Master[Style])</f>
        <v>Baggy</v>
      </c>
      <c r="I904" s="8" t="str">
        <f>_xlfn.XLOOKUP(D904,Master[Product_Code],Master[Fabric])</f>
        <v>Denim</v>
      </c>
      <c r="J904" s="8">
        <f>_xlfn.XLOOKUP(D904,Master[Product_Code],Master[Size])</f>
        <v>32</v>
      </c>
      <c r="K904" s="8" t="str">
        <f>_xlfn.XLOOKUP(D904,Master[Product_Code],Master[Color])</f>
        <v>Mustard</v>
      </c>
      <c r="L904" s="3">
        <f>_xlfn.XLOOKUP(D904,Master[Product_Code],Master[Selling_Price])</f>
        <v>1080</v>
      </c>
    </row>
    <row r="905" spans="2:12">
      <c r="B905" s="2" t="s">
        <v>2131</v>
      </c>
      <c r="C905" s="7">
        <v>45959</v>
      </c>
      <c r="D905" s="2" t="s">
        <v>180</v>
      </c>
      <c r="E905" s="4">
        <v>1</v>
      </c>
      <c r="F905" s="8" t="str">
        <f>_xlfn.XLOOKUP(D905,Master[Product_Code],Master[Category])</f>
        <v>Shirt</v>
      </c>
      <c r="G905" s="8" t="str">
        <f>_xlfn.XLOOKUP(D905,Master[Product_Code],Master[Brand])</f>
        <v>Max</v>
      </c>
      <c r="H905" s="8" t="str">
        <f>_xlfn.XLOOKUP(D905,Master[Product_Code],Master[Style])</f>
        <v>Formal</v>
      </c>
      <c r="I905" s="8" t="str">
        <f>_xlfn.XLOOKUP(D905,Master[Product_Code],Master[Fabric])</f>
        <v>Polyester</v>
      </c>
      <c r="J905" s="8" t="str">
        <f>_xlfn.XLOOKUP(D905,Master[Product_Code],Master[Size])</f>
        <v>L</v>
      </c>
      <c r="K905" s="8" t="str">
        <f>_xlfn.XLOOKUP(D905,Master[Product_Code],Master[Color])</f>
        <v>Bottle Green</v>
      </c>
      <c r="L905" s="3">
        <f>_xlfn.XLOOKUP(D905,Master[Product_Code],Master[Selling_Price])</f>
        <v>860</v>
      </c>
    </row>
    <row r="906" spans="2:12">
      <c r="B906" s="2" t="s">
        <v>2131</v>
      </c>
      <c r="C906" s="7">
        <v>45959</v>
      </c>
      <c r="D906" s="2" t="s">
        <v>1643</v>
      </c>
      <c r="E906" s="4">
        <v>1</v>
      </c>
      <c r="F906" s="8" t="str">
        <f>_xlfn.XLOOKUP(D906,Master[Product_Code],Master[Category])</f>
        <v>Innerwear</v>
      </c>
      <c r="G906" s="8" t="str">
        <f>_xlfn.XLOOKUP(D906,Master[Product_Code],Master[Brand])</f>
        <v>V Star</v>
      </c>
      <c r="H906" s="8" t="str">
        <f>_xlfn.XLOOKUP(D906,Master[Product_Code],Master[Style])</f>
        <v>V-Cut</v>
      </c>
      <c r="I906" s="8" t="str">
        <f>_xlfn.XLOOKUP(D906,Master[Product_Code],Master[Fabric])</f>
        <v>Cotton</v>
      </c>
      <c r="J906" s="8" t="str">
        <f>_xlfn.XLOOKUP(D906,Master[Product_Code],Master[Size])</f>
        <v>90-100</v>
      </c>
      <c r="K906" s="8" t="str">
        <f>_xlfn.XLOOKUP(D906,Master[Product_Code],Master[Color])</f>
        <v>Wine</v>
      </c>
      <c r="L906" s="3">
        <f>_xlfn.XLOOKUP(D906,Master[Product_Code],Master[Selling_Price])</f>
        <v>190</v>
      </c>
    </row>
    <row r="907" spans="2:12">
      <c r="B907" s="2" t="s">
        <v>2131</v>
      </c>
      <c r="C907" s="7">
        <v>45959</v>
      </c>
      <c r="D907" s="2" t="s">
        <v>1201</v>
      </c>
      <c r="E907" s="4">
        <v>1</v>
      </c>
      <c r="F907" s="8" t="str">
        <f>_xlfn.XLOOKUP(D907,Master[Product_Code],Master[Category])</f>
        <v>Pants</v>
      </c>
      <c r="G907" s="8" t="str">
        <f>_xlfn.XLOOKUP(D907,Master[Product_Code],Master[Brand])</f>
        <v>Peter England</v>
      </c>
      <c r="H907" s="8" t="str">
        <f>_xlfn.XLOOKUP(D907,Master[Product_Code],Master[Style])</f>
        <v>Korean</v>
      </c>
      <c r="I907" s="8" t="str">
        <f>_xlfn.XLOOKUP(D907,Master[Product_Code],Master[Fabric])</f>
        <v>Lycra</v>
      </c>
      <c r="J907" s="8">
        <f>_xlfn.XLOOKUP(D907,Master[Product_Code],Master[Size])</f>
        <v>40</v>
      </c>
      <c r="K907" s="8" t="str">
        <f>_xlfn.XLOOKUP(D907,Master[Product_Code],Master[Color])</f>
        <v>Sky Blue</v>
      </c>
      <c r="L907" s="3">
        <f>_xlfn.XLOOKUP(D907,Master[Product_Code],Master[Selling_Price])</f>
        <v>830</v>
      </c>
    </row>
    <row r="908" spans="2:12">
      <c r="B908" s="2" t="s">
        <v>2131</v>
      </c>
      <c r="C908" s="7">
        <v>45959</v>
      </c>
      <c r="D908" s="2" t="s">
        <v>1202</v>
      </c>
      <c r="E908" s="4">
        <v>1</v>
      </c>
      <c r="F908" s="8" t="str">
        <f>_xlfn.XLOOKUP(D908,Master[Product_Code],Master[Category])</f>
        <v>Pants</v>
      </c>
      <c r="G908" s="8" t="str">
        <f>_xlfn.XLOOKUP(D908,Master[Product_Code],Master[Brand])</f>
        <v>Louis Philippe</v>
      </c>
      <c r="H908" s="8" t="str">
        <f>_xlfn.XLOOKUP(D908,Master[Product_Code],Master[Style])</f>
        <v>Korean</v>
      </c>
      <c r="I908" s="8" t="str">
        <f>_xlfn.XLOOKUP(D908,Master[Product_Code],Master[Fabric])</f>
        <v>Lycra</v>
      </c>
      <c r="J908" s="8">
        <f>_xlfn.XLOOKUP(D908,Master[Product_Code],Master[Size])</f>
        <v>36</v>
      </c>
      <c r="K908" s="8" t="str">
        <f>_xlfn.XLOOKUP(D908,Master[Product_Code],Master[Color])</f>
        <v>Rust</v>
      </c>
      <c r="L908" s="3">
        <f>_xlfn.XLOOKUP(D908,Master[Product_Code],Master[Selling_Price])</f>
        <v>850</v>
      </c>
    </row>
    <row r="909" spans="2:12">
      <c r="B909" s="2" t="s">
        <v>2132</v>
      </c>
      <c r="C909" s="7">
        <v>45959</v>
      </c>
      <c r="D909" s="2" t="s">
        <v>275</v>
      </c>
      <c r="E909" s="4">
        <v>1</v>
      </c>
      <c r="F909" s="8" t="str">
        <f>_xlfn.XLOOKUP(D909,Master[Product_Code],Master[Category])</f>
        <v>Shirt</v>
      </c>
      <c r="G909" s="8" t="str">
        <f>_xlfn.XLOOKUP(D909,Master[Product_Code],Master[Brand])</f>
        <v>H&amp;M</v>
      </c>
      <c r="H909" s="8" t="str">
        <f>_xlfn.XLOOKUP(D909,Master[Product_Code],Master[Style])</f>
        <v>Partywear</v>
      </c>
      <c r="I909" s="8" t="str">
        <f>_xlfn.XLOOKUP(D909,Master[Product_Code],Master[Fabric])</f>
        <v>Polyester</v>
      </c>
      <c r="J909" s="8" t="str">
        <f>_xlfn.XLOOKUP(D909,Master[Product_Code],Master[Size])</f>
        <v>L</v>
      </c>
      <c r="K909" s="8" t="str">
        <f>_xlfn.XLOOKUP(D909,Master[Product_Code],Master[Color])</f>
        <v>Beige</v>
      </c>
      <c r="L909" s="3">
        <f>_xlfn.XLOOKUP(D909,Master[Product_Code],Master[Selling_Price])</f>
        <v>660</v>
      </c>
    </row>
    <row r="910" spans="2:12">
      <c r="B910" s="2" t="s">
        <v>2133</v>
      </c>
      <c r="C910" s="7">
        <v>45959</v>
      </c>
      <c r="D910" s="2" t="s">
        <v>1086</v>
      </c>
      <c r="E910" s="4">
        <v>1</v>
      </c>
      <c r="F910" s="8" t="str">
        <f>_xlfn.XLOOKUP(D910,Master[Product_Code],Master[Category])</f>
        <v>Jeans</v>
      </c>
      <c r="G910" s="8" t="str">
        <f>_xlfn.XLOOKUP(D910,Master[Product_Code],Master[Brand])</f>
        <v>Levis</v>
      </c>
      <c r="H910" s="8" t="str">
        <f>_xlfn.XLOOKUP(D910,Master[Product_Code],Master[Style])</f>
        <v>Mom Fit</v>
      </c>
      <c r="I910" s="8" t="str">
        <f>_xlfn.XLOOKUP(D910,Master[Product_Code],Master[Fabric])</f>
        <v>Denim</v>
      </c>
      <c r="J910" s="8">
        <f>_xlfn.XLOOKUP(D910,Master[Product_Code],Master[Size])</f>
        <v>44</v>
      </c>
      <c r="K910" s="8" t="str">
        <f>_xlfn.XLOOKUP(D910,Master[Product_Code],Master[Color])</f>
        <v>Olive</v>
      </c>
      <c r="L910" s="3">
        <f>_xlfn.XLOOKUP(D910,Master[Product_Code],Master[Selling_Price])</f>
        <v>1040</v>
      </c>
    </row>
    <row r="911" spans="2:12">
      <c r="B911" s="2" t="s">
        <v>2133</v>
      </c>
      <c r="C911" s="7">
        <v>45959</v>
      </c>
      <c r="D911" s="2" t="s">
        <v>158</v>
      </c>
      <c r="E911" s="4">
        <v>1</v>
      </c>
      <c r="F911" s="8" t="str">
        <f>_xlfn.XLOOKUP(D911,Master[Product_Code],Master[Category])</f>
        <v>Shirt</v>
      </c>
      <c r="G911" s="8" t="str">
        <f>_xlfn.XLOOKUP(D911,Master[Product_Code],Master[Brand])</f>
        <v>G Studio</v>
      </c>
      <c r="H911" s="8" t="str">
        <f>_xlfn.XLOOKUP(D911,Master[Product_Code],Master[Style])</f>
        <v>Casual</v>
      </c>
      <c r="I911" s="8" t="str">
        <f>_xlfn.XLOOKUP(D911,Master[Product_Code],Master[Fabric])</f>
        <v>Lycra</v>
      </c>
      <c r="J911" s="8" t="str">
        <f>_xlfn.XLOOKUP(D911,Master[Product_Code],Master[Size])</f>
        <v>L</v>
      </c>
      <c r="K911" s="8" t="str">
        <f>_xlfn.XLOOKUP(D911,Master[Product_Code],Master[Color])</f>
        <v>Light Grey</v>
      </c>
      <c r="L911" s="3">
        <f>_xlfn.XLOOKUP(D911,Master[Product_Code],Master[Selling_Price])</f>
        <v>740</v>
      </c>
    </row>
    <row r="912" spans="2:12">
      <c r="B912" s="2" t="s">
        <v>2133</v>
      </c>
      <c r="C912" s="7">
        <v>45959</v>
      </c>
      <c r="D912" s="2" t="s">
        <v>730</v>
      </c>
      <c r="E912" s="4">
        <v>1</v>
      </c>
      <c r="F912" s="8" t="str">
        <f>_xlfn.XLOOKUP(D912,Master[Product_Code],Master[Category])</f>
        <v>T-Shirt</v>
      </c>
      <c r="G912" s="8" t="str">
        <f>_xlfn.XLOOKUP(D912,Master[Product_Code],Master[Brand])</f>
        <v>Campus</v>
      </c>
      <c r="H912" s="8" t="str">
        <f>_xlfn.XLOOKUP(D912,Master[Product_Code],Master[Style])</f>
        <v>3/4 Sleeve</v>
      </c>
      <c r="I912" s="8" t="str">
        <f>_xlfn.XLOOKUP(D912,Master[Product_Code],Master[Fabric])</f>
        <v>Cotton Blend</v>
      </c>
      <c r="J912" s="8" t="str">
        <f>_xlfn.XLOOKUP(D912,Master[Product_Code],Master[Size])</f>
        <v>S</v>
      </c>
      <c r="K912" s="8" t="str">
        <f>_xlfn.XLOOKUP(D912,Master[Product_Code],Master[Color])</f>
        <v>Rust</v>
      </c>
      <c r="L912" s="3">
        <f>_xlfn.XLOOKUP(D912,Master[Product_Code],Master[Selling_Price])</f>
        <v>240</v>
      </c>
    </row>
    <row r="913" spans="2:12">
      <c r="B913" s="2" t="s">
        <v>2134</v>
      </c>
      <c r="C913" s="7">
        <v>45959</v>
      </c>
      <c r="D913" s="2" t="s">
        <v>429</v>
      </c>
      <c r="E913" s="4">
        <v>1</v>
      </c>
      <c r="F913" s="8" t="str">
        <f>_xlfn.XLOOKUP(D913,Master[Product_Code],Master[Category])</f>
        <v>T-Shirt</v>
      </c>
      <c r="G913" s="8" t="str">
        <f>_xlfn.XLOOKUP(D913,Master[Product_Code],Master[Brand])</f>
        <v>Max</v>
      </c>
      <c r="H913" s="8" t="str">
        <f>_xlfn.XLOOKUP(D913,Master[Product_Code],Master[Style])</f>
        <v>Full Sleeve</v>
      </c>
      <c r="I913" s="8" t="str">
        <f>_xlfn.XLOOKUP(D913,Master[Product_Code],Master[Fabric])</f>
        <v>Poly Cotton</v>
      </c>
      <c r="J913" s="8" t="str">
        <f>_xlfn.XLOOKUP(D913,Master[Product_Code],Master[Size])</f>
        <v>M</v>
      </c>
      <c r="K913" s="8" t="str">
        <f>_xlfn.XLOOKUP(D913,Master[Product_Code],Master[Color])</f>
        <v>Navy Blue</v>
      </c>
      <c r="L913" s="3">
        <f>_xlfn.XLOOKUP(D913,Master[Product_Code],Master[Selling_Price])</f>
        <v>210</v>
      </c>
    </row>
    <row r="914" spans="2:12">
      <c r="B914" s="2" t="s">
        <v>2134</v>
      </c>
      <c r="C914" s="7">
        <v>45959</v>
      </c>
      <c r="D914" s="2" t="s">
        <v>764</v>
      </c>
      <c r="E914" s="4">
        <v>1</v>
      </c>
      <c r="F914" s="8" t="str">
        <f>_xlfn.XLOOKUP(D914,Master[Product_Code],Master[Category])</f>
        <v>T-Shirt</v>
      </c>
      <c r="G914" s="8" t="str">
        <f>_xlfn.XLOOKUP(D914,Master[Product_Code],Master[Brand])</f>
        <v>Zara</v>
      </c>
      <c r="H914" s="8" t="str">
        <f>_xlfn.XLOOKUP(D914,Master[Product_Code],Master[Style])</f>
        <v>Full Sleeve</v>
      </c>
      <c r="I914" s="8" t="str">
        <f>_xlfn.XLOOKUP(D914,Master[Product_Code],Master[Fabric])</f>
        <v>Cotton Blend</v>
      </c>
      <c r="J914" s="8" t="str">
        <f>_xlfn.XLOOKUP(D914,Master[Product_Code],Master[Size])</f>
        <v>M</v>
      </c>
      <c r="K914" s="8" t="str">
        <f>_xlfn.XLOOKUP(D914,Master[Product_Code],Master[Color])</f>
        <v>Navy Blue</v>
      </c>
      <c r="L914" s="3">
        <f>_xlfn.XLOOKUP(D914,Master[Product_Code],Master[Selling_Price])</f>
        <v>470</v>
      </c>
    </row>
    <row r="915" spans="2:12">
      <c r="B915" s="2" t="s">
        <v>2134</v>
      </c>
      <c r="C915" s="7">
        <v>45959</v>
      </c>
      <c r="D915" s="2" t="s">
        <v>1000</v>
      </c>
      <c r="E915" s="4">
        <v>1</v>
      </c>
      <c r="F915" s="8" t="str">
        <f>_xlfn.XLOOKUP(D915,Master[Product_Code],Master[Category])</f>
        <v>Jeans</v>
      </c>
      <c r="G915" s="8" t="str">
        <f>_xlfn.XLOOKUP(D915,Master[Product_Code],Master[Brand])</f>
        <v>Wrangler</v>
      </c>
      <c r="H915" s="8" t="str">
        <f>_xlfn.XLOOKUP(D915,Master[Product_Code],Master[Style])</f>
        <v>Baggy</v>
      </c>
      <c r="I915" s="8" t="str">
        <f>_xlfn.XLOOKUP(D915,Master[Product_Code],Master[Fabric])</f>
        <v>Denim</v>
      </c>
      <c r="J915" s="8">
        <f>_xlfn.XLOOKUP(D915,Master[Product_Code],Master[Size])</f>
        <v>36</v>
      </c>
      <c r="K915" s="8" t="str">
        <f>_xlfn.XLOOKUP(D915,Master[Product_Code],Master[Color])</f>
        <v>Maroon</v>
      </c>
      <c r="L915" s="3">
        <f>_xlfn.XLOOKUP(D915,Master[Product_Code],Master[Selling_Price])</f>
        <v>960</v>
      </c>
    </row>
    <row r="916" spans="2:12">
      <c r="B916" s="2" t="s">
        <v>2135</v>
      </c>
      <c r="C916" s="7">
        <v>45959</v>
      </c>
      <c r="D916" s="2" t="s">
        <v>567</v>
      </c>
      <c r="E916" s="4">
        <v>1</v>
      </c>
      <c r="F916" s="8" t="str">
        <f>_xlfn.XLOOKUP(D916,Master[Product_Code],Master[Category])</f>
        <v>T-Shirt</v>
      </c>
      <c r="G916" s="8" t="str">
        <f>_xlfn.XLOOKUP(D916,Master[Product_Code],Master[Brand])</f>
        <v>Max</v>
      </c>
      <c r="H916" s="8" t="str">
        <f>_xlfn.XLOOKUP(D916,Master[Product_Code],Master[Style])</f>
        <v>Sleeveless</v>
      </c>
      <c r="I916" s="8" t="str">
        <f>_xlfn.XLOOKUP(D916,Master[Product_Code],Master[Fabric])</f>
        <v>Cotton</v>
      </c>
      <c r="J916" s="8" t="str">
        <f>_xlfn.XLOOKUP(D916,Master[Product_Code],Master[Size])</f>
        <v>XL</v>
      </c>
      <c r="K916" s="8" t="str">
        <f>_xlfn.XLOOKUP(D916,Master[Product_Code],Master[Color])</f>
        <v>Bottle Green</v>
      </c>
      <c r="L916" s="3">
        <f>_xlfn.XLOOKUP(D916,Master[Product_Code],Master[Selling_Price])</f>
        <v>730</v>
      </c>
    </row>
    <row r="917" spans="2:12">
      <c r="B917" s="2" t="s">
        <v>2136</v>
      </c>
      <c r="C917" s="7">
        <v>45959</v>
      </c>
      <c r="D917" s="2" t="s">
        <v>1633</v>
      </c>
      <c r="E917" s="4">
        <v>1</v>
      </c>
      <c r="F917" s="8" t="str">
        <f>_xlfn.XLOOKUP(D917,Master[Product_Code],Master[Category])</f>
        <v>Innerwear</v>
      </c>
      <c r="G917" s="8" t="str">
        <f>_xlfn.XLOOKUP(D917,Master[Product_Code],Master[Brand])</f>
        <v>Rupa</v>
      </c>
      <c r="H917" s="8" t="str">
        <f>_xlfn.XLOOKUP(D917,Master[Product_Code],Master[Style])</f>
        <v>Boxer</v>
      </c>
      <c r="I917" s="8" t="str">
        <f>_xlfn.XLOOKUP(D917,Master[Product_Code],Master[Fabric])</f>
        <v>Cotton Blend</v>
      </c>
      <c r="J917" s="8" t="str">
        <f>_xlfn.XLOOKUP(D917,Master[Product_Code],Master[Size])</f>
        <v>85-90</v>
      </c>
      <c r="K917" s="8" t="str">
        <f>_xlfn.XLOOKUP(D917,Master[Product_Code],Master[Color])</f>
        <v>Mustard</v>
      </c>
      <c r="L917" s="3">
        <f>_xlfn.XLOOKUP(D917,Master[Product_Code],Master[Selling_Price])</f>
        <v>180</v>
      </c>
    </row>
    <row r="918" spans="2:12">
      <c r="B918" s="2" t="s">
        <v>2136</v>
      </c>
      <c r="C918" s="7">
        <v>45959</v>
      </c>
      <c r="D918" s="2" t="s">
        <v>914</v>
      </c>
      <c r="E918" s="4">
        <v>1</v>
      </c>
      <c r="F918" s="8" t="str">
        <f>_xlfn.XLOOKUP(D918,Master[Product_Code],Master[Category])</f>
        <v>Jeans</v>
      </c>
      <c r="G918" s="8" t="str">
        <f>_xlfn.XLOOKUP(D918,Master[Product_Code],Master[Brand])</f>
        <v>Spykar</v>
      </c>
      <c r="H918" s="8" t="str">
        <f>_xlfn.XLOOKUP(D918,Master[Product_Code],Master[Style])</f>
        <v>Jogger</v>
      </c>
      <c r="I918" s="8" t="str">
        <f>_xlfn.XLOOKUP(D918,Master[Product_Code],Master[Fabric])</f>
        <v>Denim</v>
      </c>
      <c r="J918" s="8">
        <f>_xlfn.XLOOKUP(D918,Master[Product_Code],Master[Size])</f>
        <v>40</v>
      </c>
      <c r="K918" s="8" t="str">
        <f>_xlfn.XLOOKUP(D918,Master[Product_Code],Master[Color])</f>
        <v>White</v>
      </c>
      <c r="L918" s="3">
        <f>_xlfn.XLOOKUP(D918,Master[Product_Code],Master[Selling_Price])</f>
        <v>1080</v>
      </c>
    </row>
    <row r="919" spans="2:12">
      <c r="B919" s="2" t="s">
        <v>2136</v>
      </c>
      <c r="C919" s="7">
        <v>45959</v>
      </c>
      <c r="D919" s="2" t="s">
        <v>762</v>
      </c>
      <c r="E919" s="4">
        <v>1</v>
      </c>
      <c r="F919" s="8" t="str">
        <f>_xlfn.XLOOKUP(D919,Master[Product_Code],Master[Category])</f>
        <v>T-Shirt</v>
      </c>
      <c r="G919" s="8" t="str">
        <f>_xlfn.XLOOKUP(D919,Master[Product_Code],Master[Brand])</f>
        <v>Turkey</v>
      </c>
      <c r="H919" s="8" t="str">
        <f>_xlfn.XLOOKUP(D919,Master[Product_Code],Master[Style])</f>
        <v>Hoodie</v>
      </c>
      <c r="I919" s="8" t="str">
        <f>_xlfn.XLOOKUP(D919,Master[Product_Code],Master[Fabric])</f>
        <v>Poly Cotton</v>
      </c>
      <c r="J919" s="8" t="str">
        <f>_xlfn.XLOOKUP(D919,Master[Product_Code],Master[Size])</f>
        <v>M</v>
      </c>
      <c r="K919" s="8" t="str">
        <f>_xlfn.XLOOKUP(D919,Master[Product_Code],Master[Color])</f>
        <v>Wine</v>
      </c>
      <c r="L919" s="3">
        <f>_xlfn.XLOOKUP(D919,Master[Product_Code],Master[Selling_Price])</f>
        <v>680</v>
      </c>
    </row>
    <row r="920" spans="2:12">
      <c r="B920" s="2" t="s">
        <v>2137</v>
      </c>
      <c r="C920" s="7">
        <v>45959</v>
      </c>
      <c r="D920" s="2" t="s">
        <v>290</v>
      </c>
      <c r="E920" s="4">
        <v>1</v>
      </c>
      <c r="F920" s="8" t="str">
        <f>_xlfn.XLOOKUP(D920,Master[Product_Code],Master[Category])</f>
        <v>Shirt</v>
      </c>
      <c r="G920" s="8" t="str">
        <f>_xlfn.XLOOKUP(D920,Master[Product_Code],Master[Brand])</f>
        <v>Luke &amp; Burg</v>
      </c>
      <c r="H920" s="8" t="str">
        <f>_xlfn.XLOOKUP(D920,Master[Product_Code],Master[Style])</f>
        <v>Formal</v>
      </c>
      <c r="I920" s="8" t="str">
        <f>_xlfn.XLOOKUP(D920,Master[Product_Code],Master[Fabric])</f>
        <v>Cotton Blend</v>
      </c>
      <c r="J920" s="8" t="str">
        <f>_xlfn.XLOOKUP(D920,Master[Product_Code],Master[Size])</f>
        <v>M</v>
      </c>
      <c r="K920" s="8" t="str">
        <f>_xlfn.XLOOKUP(D920,Master[Product_Code],Master[Color])</f>
        <v>Black</v>
      </c>
      <c r="L920" s="3">
        <f>_xlfn.XLOOKUP(D920,Master[Product_Code],Master[Selling_Price])</f>
        <v>710</v>
      </c>
    </row>
    <row r="921" spans="2:12">
      <c r="B921" s="2" t="s">
        <v>2137</v>
      </c>
      <c r="C921" s="7">
        <v>45959</v>
      </c>
      <c r="D921" s="2" t="s">
        <v>247</v>
      </c>
      <c r="E921" s="4">
        <v>1</v>
      </c>
      <c r="F921" s="8" t="str">
        <f>_xlfn.XLOOKUP(D921,Master[Product_Code],Master[Category])</f>
        <v>Shirt</v>
      </c>
      <c r="G921" s="8" t="str">
        <f>_xlfn.XLOOKUP(D921,Master[Product_Code],Master[Brand])</f>
        <v>Zara</v>
      </c>
      <c r="H921" s="8" t="str">
        <f>_xlfn.XLOOKUP(D921,Master[Product_Code],Master[Style])</f>
        <v>Formal</v>
      </c>
      <c r="I921" s="8" t="str">
        <f>_xlfn.XLOOKUP(D921,Master[Product_Code],Master[Fabric])</f>
        <v>Lycra</v>
      </c>
      <c r="J921" s="8" t="str">
        <f>_xlfn.XLOOKUP(D921,Master[Product_Code],Master[Size])</f>
        <v>XXL</v>
      </c>
      <c r="K921" s="8" t="str">
        <f>_xlfn.XLOOKUP(D921,Master[Product_Code],Master[Color])</f>
        <v>Rust</v>
      </c>
      <c r="L921" s="3">
        <f>_xlfn.XLOOKUP(D921,Master[Product_Code],Master[Selling_Price])</f>
        <v>750</v>
      </c>
    </row>
    <row r="922" spans="2:12">
      <c r="B922" s="2" t="s">
        <v>2137</v>
      </c>
      <c r="C922" s="7">
        <v>45959</v>
      </c>
      <c r="D922" s="2" t="s">
        <v>1494</v>
      </c>
      <c r="E922" s="4">
        <v>1</v>
      </c>
      <c r="F922" s="8" t="str">
        <f>_xlfn.XLOOKUP(D922,Master[Product_Code],Master[Category])</f>
        <v>Innerwear</v>
      </c>
      <c r="G922" s="8" t="str">
        <f>_xlfn.XLOOKUP(D922,Master[Product_Code],Master[Brand])</f>
        <v>Dollar</v>
      </c>
      <c r="H922" s="8" t="str">
        <f>_xlfn.XLOOKUP(D922,Master[Product_Code],Master[Style])</f>
        <v>Boxer</v>
      </c>
      <c r="I922" s="8" t="str">
        <f>_xlfn.XLOOKUP(D922,Master[Product_Code],Master[Fabric])</f>
        <v>Cotton</v>
      </c>
      <c r="J922" s="8" t="str">
        <f>_xlfn.XLOOKUP(D922,Master[Product_Code],Master[Size])</f>
        <v>100-105</v>
      </c>
      <c r="K922" s="8" t="str">
        <f>_xlfn.XLOOKUP(D922,Master[Product_Code],Master[Color])</f>
        <v>Black</v>
      </c>
      <c r="L922" s="3">
        <f>_xlfn.XLOOKUP(D922,Master[Product_Code],Master[Selling_Price])</f>
        <v>170</v>
      </c>
    </row>
    <row r="923" spans="2:12">
      <c r="B923" s="2" t="s">
        <v>2138</v>
      </c>
      <c r="C923" s="7">
        <v>45959</v>
      </c>
      <c r="D923" s="2" t="s">
        <v>192</v>
      </c>
      <c r="E923" s="4">
        <v>1</v>
      </c>
      <c r="F923" s="8" t="str">
        <f>_xlfn.XLOOKUP(D923,Master[Product_Code],Master[Category])</f>
        <v>Shirt</v>
      </c>
      <c r="G923" s="8" t="str">
        <f>_xlfn.XLOOKUP(D923,Master[Product_Code],Master[Brand])</f>
        <v>USD</v>
      </c>
      <c r="H923" s="8" t="str">
        <f>_xlfn.XLOOKUP(D923,Master[Product_Code],Master[Style])</f>
        <v>Casual</v>
      </c>
      <c r="I923" s="8" t="str">
        <f>_xlfn.XLOOKUP(D923,Master[Product_Code],Master[Fabric])</f>
        <v>Polyester</v>
      </c>
      <c r="J923" s="8" t="str">
        <f>_xlfn.XLOOKUP(D923,Master[Product_Code],Master[Size])</f>
        <v>L</v>
      </c>
      <c r="K923" s="8" t="str">
        <f>_xlfn.XLOOKUP(D923,Master[Product_Code],Master[Color])</f>
        <v>Mustard</v>
      </c>
      <c r="L923" s="3">
        <f>_xlfn.XLOOKUP(D923,Master[Product_Code],Master[Selling_Price])</f>
        <v>940</v>
      </c>
    </row>
    <row r="924" spans="2:12">
      <c r="B924" s="2" t="s">
        <v>2139</v>
      </c>
      <c r="C924" s="7">
        <v>45959</v>
      </c>
      <c r="D924" s="2" t="s">
        <v>1023</v>
      </c>
      <c r="E924" s="4">
        <v>1</v>
      </c>
      <c r="F924" s="8" t="str">
        <f>_xlfn.XLOOKUP(D924,Master[Product_Code],Master[Category])</f>
        <v>Jeans</v>
      </c>
      <c r="G924" s="8" t="str">
        <f>_xlfn.XLOOKUP(D924,Master[Product_Code],Master[Brand])</f>
        <v>Pepe</v>
      </c>
      <c r="H924" s="8" t="str">
        <f>_xlfn.XLOOKUP(D924,Master[Product_Code],Master[Style])</f>
        <v>Jogger</v>
      </c>
      <c r="I924" s="8" t="str">
        <f>_xlfn.XLOOKUP(D924,Master[Product_Code],Master[Fabric])</f>
        <v>Denim</v>
      </c>
      <c r="J924" s="8">
        <f>_xlfn.XLOOKUP(D924,Master[Product_Code],Master[Size])</f>
        <v>32</v>
      </c>
      <c r="K924" s="8" t="str">
        <f>_xlfn.XLOOKUP(D924,Master[Product_Code],Master[Color])</f>
        <v>Brown</v>
      </c>
      <c r="L924" s="3">
        <f>_xlfn.XLOOKUP(D924,Master[Product_Code],Master[Selling_Price])</f>
        <v>980</v>
      </c>
    </row>
    <row r="925" spans="2:12">
      <c r="B925" s="2" t="s">
        <v>2140</v>
      </c>
      <c r="C925" s="7">
        <v>45959</v>
      </c>
      <c r="D925" s="2" t="s">
        <v>858</v>
      </c>
      <c r="E925" s="4">
        <v>1</v>
      </c>
      <c r="F925" s="8" t="str">
        <f>_xlfn.XLOOKUP(D925,Master[Product_Code],Master[Category])</f>
        <v>Jeans</v>
      </c>
      <c r="G925" s="8" t="str">
        <f>_xlfn.XLOOKUP(D925,Master[Product_Code],Master[Brand])</f>
        <v>Wrangler</v>
      </c>
      <c r="H925" s="8" t="str">
        <f>_xlfn.XLOOKUP(D925,Master[Product_Code],Master[Style])</f>
        <v>Mom Fit</v>
      </c>
      <c r="I925" s="8" t="str">
        <f>_xlfn.XLOOKUP(D925,Master[Product_Code],Master[Fabric])</f>
        <v>Denim</v>
      </c>
      <c r="J925" s="8">
        <f>_xlfn.XLOOKUP(D925,Master[Product_Code],Master[Size])</f>
        <v>44</v>
      </c>
      <c r="K925" s="8" t="str">
        <f>_xlfn.XLOOKUP(D925,Master[Product_Code],Master[Color])</f>
        <v>Maroon</v>
      </c>
      <c r="L925" s="3">
        <f>_xlfn.XLOOKUP(D925,Master[Product_Code],Master[Selling_Price])</f>
        <v>820</v>
      </c>
    </row>
    <row r="926" spans="2:12">
      <c r="B926" s="2" t="s">
        <v>2140</v>
      </c>
      <c r="C926" s="7">
        <v>45959</v>
      </c>
      <c r="D926" s="2" t="s">
        <v>1568</v>
      </c>
      <c r="E926" s="4">
        <v>1</v>
      </c>
      <c r="F926" s="8" t="str">
        <f>_xlfn.XLOOKUP(D926,Master[Product_Code],Master[Category])</f>
        <v>Innerwear</v>
      </c>
      <c r="G926" s="8" t="str">
        <f>_xlfn.XLOOKUP(D926,Master[Product_Code],Master[Brand])</f>
        <v>V Star</v>
      </c>
      <c r="H926" s="8" t="str">
        <f>_xlfn.XLOOKUP(D926,Master[Product_Code],Master[Style])</f>
        <v>V-Cut</v>
      </c>
      <c r="I926" s="8" t="str">
        <f>_xlfn.XLOOKUP(D926,Master[Product_Code],Master[Fabric])</f>
        <v>Cotton Blend</v>
      </c>
      <c r="J926" s="8" t="str">
        <f>_xlfn.XLOOKUP(D926,Master[Product_Code],Master[Size])</f>
        <v>105-110</v>
      </c>
      <c r="K926" s="8" t="str">
        <f>_xlfn.XLOOKUP(D926,Master[Product_Code],Master[Color])</f>
        <v>Peach</v>
      </c>
      <c r="L926" s="3">
        <f>_xlfn.XLOOKUP(D926,Master[Product_Code],Master[Selling_Price])</f>
        <v>120</v>
      </c>
    </row>
    <row r="927" spans="2:12">
      <c r="B927" s="2" t="s">
        <v>2140</v>
      </c>
      <c r="C927" s="7">
        <v>45959</v>
      </c>
      <c r="D927" s="2" t="s">
        <v>703</v>
      </c>
      <c r="E927" s="4">
        <v>1</v>
      </c>
      <c r="F927" s="8" t="str">
        <f>_xlfn.XLOOKUP(D927,Master[Product_Code],Master[Category])</f>
        <v>T-Shirt</v>
      </c>
      <c r="G927" s="8" t="str">
        <f>_xlfn.XLOOKUP(D927,Master[Product_Code],Master[Brand])</f>
        <v>Campus</v>
      </c>
      <c r="H927" s="8" t="str">
        <f>_xlfn.XLOOKUP(D927,Master[Product_Code],Master[Style])</f>
        <v>Half Sleeve</v>
      </c>
      <c r="I927" s="8" t="str">
        <f>_xlfn.XLOOKUP(D927,Master[Product_Code],Master[Fabric])</f>
        <v>Poly Cotton</v>
      </c>
      <c r="J927" s="8" t="str">
        <f>_xlfn.XLOOKUP(D927,Master[Product_Code],Master[Size])</f>
        <v>XL</v>
      </c>
      <c r="K927" s="8" t="str">
        <f>_xlfn.XLOOKUP(D927,Master[Product_Code],Master[Color])</f>
        <v>Light Grey</v>
      </c>
      <c r="L927" s="3">
        <f>_xlfn.XLOOKUP(D927,Master[Product_Code],Master[Selling_Price])</f>
        <v>590</v>
      </c>
    </row>
    <row r="928" spans="2:12">
      <c r="B928" s="2" t="s">
        <v>2141</v>
      </c>
      <c r="C928" s="7">
        <v>45959</v>
      </c>
      <c r="D928" s="2" t="s">
        <v>1498</v>
      </c>
      <c r="E928" s="4">
        <v>1</v>
      </c>
      <c r="F928" s="8" t="str">
        <f>_xlfn.XLOOKUP(D928,Master[Product_Code],Master[Category])</f>
        <v>Innerwear</v>
      </c>
      <c r="G928" s="8" t="str">
        <f>_xlfn.XLOOKUP(D928,Master[Product_Code],Master[Brand])</f>
        <v>Dollar</v>
      </c>
      <c r="H928" s="8" t="str">
        <f>_xlfn.XLOOKUP(D928,Master[Product_Code],Master[Style])</f>
        <v>V-Cut</v>
      </c>
      <c r="I928" s="8" t="str">
        <f>_xlfn.XLOOKUP(D928,Master[Product_Code],Master[Fabric])</f>
        <v>Cotton</v>
      </c>
      <c r="J928" s="8" t="str">
        <f>_xlfn.XLOOKUP(D928,Master[Product_Code],Master[Size])</f>
        <v>100-105</v>
      </c>
      <c r="K928" s="8" t="str">
        <f>_xlfn.XLOOKUP(D928,Master[Product_Code],Master[Color])</f>
        <v>Rust</v>
      </c>
      <c r="L928" s="3">
        <f>_xlfn.XLOOKUP(D928,Master[Product_Code],Master[Selling_Price])</f>
        <v>160</v>
      </c>
    </row>
    <row r="929" spans="2:12">
      <c r="B929" s="2" t="s">
        <v>2141</v>
      </c>
      <c r="C929" s="7">
        <v>45959</v>
      </c>
      <c r="D929" s="2" t="s">
        <v>87</v>
      </c>
      <c r="E929" s="4">
        <v>1</v>
      </c>
      <c r="F929" s="8" t="str">
        <f>_xlfn.XLOOKUP(D929,Master[Product_Code],Master[Category])</f>
        <v>Shirt</v>
      </c>
      <c r="G929" s="8" t="str">
        <f>_xlfn.XLOOKUP(D929,Master[Product_Code],Master[Brand])</f>
        <v>Luke &amp; Burg</v>
      </c>
      <c r="H929" s="8" t="str">
        <f>_xlfn.XLOOKUP(D929,Master[Product_Code],Master[Style])</f>
        <v>Formal</v>
      </c>
      <c r="I929" s="8" t="str">
        <f>_xlfn.XLOOKUP(D929,Master[Product_Code],Master[Fabric])</f>
        <v>Lycra</v>
      </c>
      <c r="J929" s="8" t="str">
        <f>_xlfn.XLOOKUP(D929,Master[Product_Code],Master[Size])</f>
        <v>XL</v>
      </c>
      <c r="K929" s="8" t="str">
        <f>_xlfn.XLOOKUP(D929,Master[Product_Code],Master[Color])</f>
        <v>Black</v>
      </c>
      <c r="L929" s="3">
        <f>_xlfn.XLOOKUP(D929,Master[Product_Code],Master[Selling_Price])</f>
        <v>940</v>
      </c>
    </row>
    <row r="930" spans="2:12">
      <c r="B930" s="2" t="s">
        <v>2141</v>
      </c>
      <c r="C930" s="7">
        <v>45959</v>
      </c>
      <c r="D930" s="2" t="s">
        <v>1051</v>
      </c>
      <c r="E930" s="4">
        <v>1</v>
      </c>
      <c r="F930" s="8" t="str">
        <f>_xlfn.XLOOKUP(D930,Master[Product_Code],Master[Category])</f>
        <v>Jeans</v>
      </c>
      <c r="G930" s="8" t="str">
        <f>_xlfn.XLOOKUP(D930,Master[Product_Code],Master[Brand])</f>
        <v>Locomotive</v>
      </c>
      <c r="H930" s="8" t="str">
        <f>_xlfn.XLOOKUP(D930,Master[Product_Code],Master[Style])</f>
        <v>Jogger</v>
      </c>
      <c r="I930" s="8" t="str">
        <f>_xlfn.XLOOKUP(D930,Master[Product_Code],Master[Fabric])</f>
        <v>Denim</v>
      </c>
      <c r="J930" s="8">
        <f>_xlfn.XLOOKUP(D930,Master[Product_Code],Master[Size])</f>
        <v>40</v>
      </c>
      <c r="K930" s="8" t="str">
        <f>_xlfn.XLOOKUP(D930,Master[Product_Code],Master[Color])</f>
        <v>Royal Blue</v>
      </c>
      <c r="L930" s="3">
        <f>_xlfn.XLOOKUP(D930,Master[Product_Code],Master[Selling_Price])</f>
        <v>800</v>
      </c>
    </row>
    <row r="931" spans="2:12">
      <c r="B931" s="2" t="s">
        <v>2142</v>
      </c>
      <c r="C931" s="7">
        <v>45959</v>
      </c>
      <c r="D931" s="2" t="s">
        <v>1372</v>
      </c>
      <c r="E931" s="4">
        <v>1</v>
      </c>
      <c r="F931" s="8" t="str">
        <f>_xlfn.XLOOKUP(D931,Master[Product_Code],Master[Category])</f>
        <v>Pants</v>
      </c>
      <c r="G931" s="8" t="str">
        <f>_xlfn.XLOOKUP(D931,Master[Product_Code],Master[Brand])</f>
        <v>Park Avenue</v>
      </c>
      <c r="H931" s="8" t="str">
        <f>_xlfn.XLOOKUP(D931,Master[Product_Code],Master[Style])</f>
        <v>Korean</v>
      </c>
      <c r="I931" s="8" t="str">
        <f>_xlfn.XLOOKUP(D931,Master[Product_Code],Master[Fabric])</f>
        <v>Lycra</v>
      </c>
      <c r="J931" s="8">
        <f>_xlfn.XLOOKUP(D931,Master[Product_Code],Master[Size])</f>
        <v>28</v>
      </c>
      <c r="K931" s="8" t="str">
        <f>_xlfn.XLOOKUP(D931,Master[Product_Code],Master[Color])</f>
        <v>White</v>
      </c>
      <c r="L931" s="3">
        <f>_xlfn.XLOOKUP(D931,Master[Product_Code],Master[Selling_Price])</f>
        <v>720</v>
      </c>
    </row>
    <row r="932" spans="2:12">
      <c r="B932" s="2" t="s">
        <v>2143</v>
      </c>
      <c r="C932" s="7">
        <v>45959</v>
      </c>
      <c r="D932" s="2" t="s">
        <v>1571</v>
      </c>
      <c r="E932" s="4">
        <v>1</v>
      </c>
      <c r="F932" s="8" t="str">
        <f>_xlfn.XLOOKUP(D932,Master[Product_Code],Master[Category])</f>
        <v>Innerwear</v>
      </c>
      <c r="G932" s="8" t="str">
        <f>_xlfn.XLOOKUP(D932,Master[Product_Code],Master[Brand])</f>
        <v>Dollar</v>
      </c>
      <c r="H932" s="8" t="str">
        <f>_xlfn.XLOOKUP(D932,Master[Product_Code],Master[Style])</f>
        <v>Boxer</v>
      </c>
      <c r="I932" s="8" t="str">
        <f>_xlfn.XLOOKUP(D932,Master[Product_Code],Master[Fabric])</f>
        <v>Cotton</v>
      </c>
      <c r="J932" s="8" t="str">
        <f>_xlfn.XLOOKUP(D932,Master[Product_Code],Master[Size])</f>
        <v>75-80</v>
      </c>
      <c r="K932" s="8" t="str">
        <f>_xlfn.XLOOKUP(D932,Master[Product_Code],Master[Color])</f>
        <v>Sky Blue</v>
      </c>
      <c r="L932" s="3">
        <f>_xlfn.XLOOKUP(D932,Master[Product_Code],Master[Selling_Price])</f>
        <v>110</v>
      </c>
    </row>
    <row r="933" spans="2:12">
      <c r="B933" s="2" t="s">
        <v>2143</v>
      </c>
      <c r="C933" s="7">
        <v>45959</v>
      </c>
      <c r="D933" s="2" t="s">
        <v>1110</v>
      </c>
      <c r="E933" s="4">
        <v>1</v>
      </c>
      <c r="F933" s="8" t="str">
        <f>_xlfn.XLOOKUP(D933,Master[Product_Code],Master[Category])</f>
        <v>Jeans</v>
      </c>
      <c r="G933" s="8" t="str">
        <f>_xlfn.XLOOKUP(D933,Master[Product_Code],Master[Brand])</f>
        <v>Levis</v>
      </c>
      <c r="H933" s="8" t="str">
        <f>_xlfn.XLOOKUP(D933,Master[Product_Code],Master[Style])</f>
        <v>Jogger</v>
      </c>
      <c r="I933" s="8" t="str">
        <f>_xlfn.XLOOKUP(D933,Master[Product_Code],Master[Fabric])</f>
        <v>Denim</v>
      </c>
      <c r="J933" s="8">
        <f>_xlfn.XLOOKUP(D933,Master[Product_Code],Master[Size])</f>
        <v>32</v>
      </c>
      <c r="K933" s="8" t="str">
        <f>_xlfn.XLOOKUP(D933,Master[Product_Code],Master[Color])</f>
        <v>Light Grey</v>
      </c>
      <c r="L933" s="3">
        <f>_xlfn.XLOOKUP(D933,Master[Product_Code],Master[Selling_Price])</f>
        <v>890</v>
      </c>
    </row>
    <row r="934" spans="2:12">
      <c r="B934" s="2" t="s">
        <v>2143</v>
      </c>
      <c r="C934" s="7">
        <v>45959</v>
      </c>
      <c r="D934" s="2" t="s">
        <v>947</v>
      </c>
      <c r="E934" s="4">
        <v>1</v>
      </c>
      <c r="F934" s="8" t="str">
        <f>_xlfn.XLOOKUP(D934,Master[Product_Code],Master[Category])</f>
        <v>Jeans</v>
      </c>
      <c r="G934" s="8" t="str">
        <f>_xlfn.XLOOKUP(D934,Master[Product_Code],Master[Brand])</f>
        <v>Locomotive</v>
      </c>
      <c r="H934" s="8" t="str">
        <f>_xlfn.XLOOKUP(D934,Master[Product_Code],Master[Style])</f>
        <v>Baggy</v>
      </c>
      <c r="I934" s="8" t="str">
        <f>_xlfn.XLOOKUP(D934,Master[Product_Code],Master[Fabric])</f>
        <v>Denim</v>
      </c>
      <c r="J934" s="8">
        <f>_xlfn.XLOOKUP(D934,Master[Product_Code],Master[Size])</f>
        <v>32</v>
      </c>
      <c r="K934" s="8" t="str">
        <f>_xlfn.XLOOKUP(D934,Master[Product_Code],Master[Color])</f>
        <v>Rust</v>
      </c>
      <c r="L934" s="3">
        <f>_xlfn.XLOOKUP(D934,Master[Product_Code],Master[Selling_Price])</f>
        <v>950</v>
      </c>
    </row>
    <row r="935" spans="2:12">
      <c r="B935" s="2" t="s">
        <v>2144</v>
      </c>
      <c r="C935" s="7">
        <v>45959</v>
      </c>
      <c r="D935" s="2" t="s">
        <v>787</v>
      </c>
      <c r="E935" s="4">
        <v>1</v>
      </c>
      <c r="F935" s="8" t="str">
        <f>_xlfn.XLOOKUP(D935,Master[Product_Code],Master[Category])</f>
        <v>T-Shirt</v>
      </c>
      <c r="G935" s="8" t="str">
        <f>_xlfn.XLOOKUP(D935,Master[Product_Code],Master[Brand])</f>
        <v>Urban Monkey</v>
      </c>
      <c r="H935" s="8" t="str">
        <f>_xlfn.XLOOKUP(D935,Master[Product_Code],Master[Style])</f>
        <v>Full Sleeve</v>
      </c>
      <c r="I935" s="8" t="str">
        <f>_xlfn.XLOOKUP(D935,Master[Product_Code],Master[Fabric])</f>
        <v>Cotton</v>
      </c>
      <c r="J935" s="8" t="str">
        <f>_xlfn.XLOOKUP(D935,Master[Product_Code],Master[Size])</f>
        <v>L</v>
      </c>
      <c r="K935" s="8" t="str">
        <f>_xlfn.XLOOKUP(D935,Master[Product_Code],Master[Color])</f>
        <v>Royal Blue</v>
      </c>
      <c r="L935" s="3">
        <f>_xlfn.XLOOKUP(D935,Master[Product_Code],Master[Selling_Price])</f>
        <v>550</v>
      </c>
    </row>
    <row r="936" spans="2:12">
      <c r="B936" s="2" t="s">
        <v>2144</v>
      </c>
      <c r="C936" s="7">
        <v>45959</v>
      </c>
      <c r="D936" s="2" t="s">
        <v>986</v>
      </c>
      <c r="E936" s="4">
        <v>1</v>
      </c>
      <c r="F936" s="8" t="str">
        <f>_xlfn.XLOOKUP(D936,Master[Product_Code],Master[Category])</f>
        <v>Jeans</v>
      </c>
      <c r="G936" s="8" t="str">
        <f>_xlfn.XLOOKUP(D936,Master[Product_Code],Master[Brand])</f>
        <v>Locomotive</v>
      </c>
      <c r="H936" s="8" t="str">
        <f>_xlfn.XLOOKUP(D936,Master[Product_Code],Master[Style])</f>
        <v>Baggy</v>
      </c>
      <c r="I936" s="8" t="str">
        <f>_xlfn.XLOOKUP(D936,Master[Product_Code],Master[Fabric])</f>
        <v>Denim</v>
      </c>
      <c r="J936" s="8">
        <f>_xlfn.XLOOKUP(D936,Master[Product_Code],Master[Size])</f>
        <v>40</v>
      </c>
      <c r="K936" s="8" t="str">
        <f>_xlfn.XLOOKUP(D936,Master[Product_Code],Master[Color])</f>
        <v>White</v>
      </c>
      <c r="L936" s="3">
        <f>_xlfn.XLOOKUP(D936,Master[Product_Code],Master[Selling_Price])</f>
        <v>1090</v>
      </c>
    </row>
    <row r="937" spans="2:12">
      <c r="B937" s="2" t="s">
        <v>2144</v>
      </c>
      <c r="C937" s="7">
        <v>45959</v>
      </c>
      <c r="D937" s="2" t="s">
        <v>1611</v>
      </c>
      <c r="E937" s="4">
        <v>1</v>
      </c>
      <c r="F937" s="8" t="str">
        <f>_xlfn.XLOOKUP(D937,Master[Product_Code],Master[Category])</f>
        <v>Innerwear</v>
      </c>
      <c r="G937" s="8" t="str">
        <f>_xlfn.XLOOKUP(D937,Master[Product_Code],Master[Brand])</f>
        <v>V Star</v>
      </c>
      <c r="H937" s="8" t="str">
        <f>_xlfn.XLOOKUP(D937,Master[Product_Code],Master[Style])</f>
        <v>Boxer</v>
      </c>
      <c r="I937" s="8" t="str">
        <f>_xlfn.XLOOKUP(D937,Master[Product_Code],Master[Fabric])</f>
        <v>Cotton</v>
      </c>
      <c r="J937" s="8" t="str">
        <f>_xlfn.XLOOKUP(D937,Master[Product_Code],Master[Size])</f>
        <v>85-90</v>
      </c>
      <c r="K937" s="8" t="str">
        <f>_xlfn.XLOOKUP(D937,Master[Product_Code],Master[Color])</f>
        <v>Black</v>
      </c>
      <c r="L937" s="3">
        <f>_xlfn.XLOOKUP(D937,Master[Product_Code],Master[Selling_Price])</f>
        <v>180</v>
      </c>
    </row>
    <row r="938" spans="2:12">
      <c r="B938" s="2" t="s">
        <v>2145</v>
      </c>
      <c r="C938" s="7">
        <v>45959</v>
      </c>
      <c r="D938" s="2" t="s">
        <v>1121</v>
      </c>
      <c r="E938" s="4">
        <v>1</v>
      </c>
      <c r="F938" s="8" t="str">
        <f>_xlfn.XLOOKUP(D938,Master[Product_Code],Master[Category])</f>
        <v>Jeans</v>
      </c>
      <c r="G938" s="8" t="str">
        <f>_xlfn.XLOOKUP(D938,Master[Product_Code],Master[Brand])</f>
        <v>Locomotive</v>
      </c>
      <c r="H938" s="8" t="str">
        <f>_xlfn.XLOOKUP(D938,Master[Product_Code],Master[Style])</f>
        <v>Jogger</v>
      </c>
      <c r="I938" s="8" t="str">
        <f>_xlfn.XLOOKUP(D938,Master[Product_Code],Master[Fabric])</f>
        <v>Denim</v>
      </c>
      <c r="J938" s="8">
        <f>_xlfn.XLOOKUP(D938,Master[Product_Code],Master[Size])</f>
        <v>44</v>
      </c>
      <c r="K938" s="8" t="str">
        <f>_xlfn.XLOOKUP(D938,Master[Product_Code],Master[Color])</f>
        <v>Grey</v>
      </c>
      <c r="L938" s="3">
        <f>_xlfn.XLOOKUP(D938,Master[Product_Code],Master[Selling_Price])</f>
        <v>1000</v>
      </c>
    </row>
    <row r="939" spans="2:12">
      <c r="B939" s="2" t="s">
        <v>2145</v>
      </c>
      <c r="C939" s="7">
        <v>45959</v>
      </c>
      <c r="D939" s="2" t="s">
        <v>307</v>
      </c>
      <c r="E939" s="4">
        <v>1</v>
      </c>
      <c r="F939" s="8" t="str">
        <f>_xlfn.XLOOKUP(D939,Master[Product_Code],Master[Category])</f>
        <v>Shirt</v>
      </c>
      <c r="G939" s="8" t="str">
        <f>_xlfn.XLOOKUP(D939,Master[Product_Code],Master[Brand])</f>
        <v>Max</v>
      </c>
      <c r="H939" s="8" t="str">
        <f>_xlfn.XLOOKUP(D939,Master[Product_Code],Master[Style])</f>
        <v>Casual</v>
      </c>
      <c r="I939" s="8" t="str">
        <f>_xlfn.XLOOKUP(D939,Master[Product_Code],Master[Fabric])</f>
        <v>Cotton Blend</v>
      </c>
      <c r="J939" s="8" t="str">
        <f>_xlfn.XLOOKUP(D939,Master[Product_Code],Master[Size])</f>
        <v>S</v>
      </c>
      <c r="K939" s="8" t="str">
        <f>_xlfn.XLOOKUP(D939,Master[Product_Code],Master[Color])</f>
        <v>Bottle Green</v>
      </c>
      <c r="L939" s="3">
        <f>_xlfn.XLOOKUP(D939,Master[Product_Code],Master[Selling_Price])</f>
        <v>810</v>
      </c>
    </row>
    <row r="940" spans="2:12">
      <c r="B940" s="2" t="s">
        <v>2145</v>
      </c>
      <c r="C940" s="7">
        <v>45959</v>
      </c>
      <c r="D940" s="2" t="s">
        <v>1207</v>
      </c>
      <c r="E940" s="4">
        <v>1</v>
      </c>
      <c r="F940" s="8" t="str">
        <f>_xlfn.XLOOKUP(D940,Master[Product_Code],Master[Category])</f>
        <v>Pants</v>
      </c>
      <c r="G940" s="8" t="str">
        <f>_xlfn.XLOOKUP(D940,Master[Product_Code],Master[Brand])</f>
        <v>Park Avenue</v>
      </c>
      <c r="H940" s="8" t="str">
        <f>_xlfn.XLOOKUP(D940,Master[Product_Code],Master[Style])</f>
        <v>Polofit</v>
      </c>
      <c r="I940" s="8" t="str">
        <f>_xlfn.XLOOKUP(D940,Master[Product_Code],Master[Fabric])</f>
        <v>Lycra</v>
      </c>
      <c r="J940" s="8">
        <f>_xlfn.XLOOKUP(D940,Master[Product_Code],Master[Size])</f>
        <v>44</v>
      </c>
      <c r="K940" s="8" t="str">
        <f>_xlfn.XLOOKUP(D940,Master[Product_Code],Master[Color])</f>
        <v>Peach</v>
      </c>
      <c r="L940" s="3">
        <f>_xlfn.XLOOKUP(D940,Master[Product_Code],Master[Selling_Price])</f>
        <v>920</v>
      </c>
    </row>
    <row r="941" spans="2:12">
      <c r="B941" s="2" t="s">
        <v>2146</v>
      </c>
      <c r="C941" s="7">
        <v>45960</v>
      </c>
      <c r="D941" s="2" t="s">
        <v>291</v>
      </c>
      <c r="E941" s="4">
        <v>1</v>
      </c>
      <c r="F941" s="8" t="str">
        <f>_xlfn.XLOOKUP(D941,Master[Product_Code],Master[Category])</f>
        <v>Shirt</v>
      </c>
      <c r="G941" s="8" t="str">
        <f>_xlfn.XLOOKUP(D941,Master[Product_Code],Master[Brand])</f>
        <v>British</v>
      </c>
      <c r="H941" s="8" t="str">
        <f>_xlfn.XLOOKUP(D941,Master[Product_Code],Master[Style])</f>
        <v>Formal</v>
      </c>
      <c r="I941" s="8" t="str">
        <f>_xlfn.XLOOKUP(D941,Master[Product_Code],Master[Fabric])</f>
        <v>Lycra</v>
      </c>
      <c r="J941" s="8" t="str">
        <f>_xlfn.XLOOKUP(D941,Master[Product_Code],Master[Size])</f>
        <v>S</v>
      </c>
      <c r="K941" s="8" t="str">
        <f>_xlfn.XLOOKUP(D941,Master[Product_Code],Master[Color])</f>
        <v>Brown</v>
      </c>
      <c r="L941" s="3">
        <f>_xlfn.XLOOKUP(D941,Master[Product_Code],Master[Selling_Price])</f>
        <v>660</v>
      </c>
    </row>
    <row r="942" spans="2:12">
      <c r="B942" s="2" t="s">
        <v>2147</v>
      </c>
      <c r="C942" s="7">
        <v>45960</v>
      </c>
      <c r="D942" s="2" t="s">
        <v>872</v>
      </c>
      <c r="E942" s="4">
        <v>1</v>
      </c>
      <c r="F942" s="8" t="str">
        <f>_xlfn.XLOOKUP(D942,Master[Product_Code],Master[Category])</f>
        <v>Jeans</v>
      </c>
      <c r="G942" s="8" t="str">
        <f>_xlfn.XLOOKUP(D942,Master[Product_Code],Master[Brand])</f>
        <v>Spykar</v>
      </c>
      <c r="H942" s="8" t="str">
        <f>_xlfn.XLOOKUP(D942,Master[Product_Code],Master[Style])</f>
        <v>Baggy</v>
      </c>
      <c r="I942" s="8" t="str">
        <f>_xlfn.XLOOKUP(D942,Master[Product_Code],Master[Fabric])</f>
        <v>Denim</v>
      </c>
      <c r="J942" s="8">
        <f>_xlfn.XLOOKUP(D942,Master[Product_Code],Master[Size])</f>
        <v>28</v>
      </c>
      <c r="K942" s="8" t="str">
        <f>_xlfn.XLOOKUP(D942,Master[Product_Code],Master[Color])</f>
        <v>Sky Blue</v>
      </c>
      <c r="L942" s="3">
        <f>_xlfn.XLOOKUP(D942,Master[Product_Code],Master[Selling_Price])</f>
        <v>830</v>
      </c>
    </row>
    <row r="943" spans="2:12">
      <c r="B943" s="2" t="s">
        <v>2148</v>
      </c>
      <c r="C943" s="7">
        <v>45960</v>
      </c>
      <c r="D943" s="2" t="s">
        <v>42</v>
      </c>
      <c r="E943" s="4">
        <v>1</v>
      </c>
      <c r="F943" s="8" t="str">
        <f>_xlfn.XLOOKUP(D943,Master[Product_Code],Master[Category])</f>
        <v>Shirt</v>
      </c>
      <c r="G943" s="8" t="str">
        <f>_xlfn.XLOOKUP(D943,Master[Product_Code],Master[Brand])</f>
        <v>L7</v>
      </c>
      <c r="H943" s="8" t="str">
        <f>_xlfn.XLOOKUP(D943,Master[Product_Code],Master[Style])</f>
        <v>Formal</v>
      </c>
      <c r="I943" s="8" t="str">
        <f>_xlfn.XLOOKUP(D943,Master[Product_Code],Master[Fabric])</f>
        <v>Lycra</v>
      </c>
      <c r="J943" s="8" t="str">
        <f>_xlfn.XLOOKUP(D943,Master[Product_Code],Master[Size])</f>
        <v>L</v>
      </c>
      <c r="K943" s="8" t="str">
        <f>_xlfn.XLOOKUP(D943,Master[Product_Code],Master[Color])</f>
        <v>Navy Blue</v>
      </c>
      <c r="L943" s="3">
        <f>_xlfn.XLOOKUP(D943,Master[Product_Code],Master[Selling_Price])</f>
        <v>880</v>
      </c>
    </row>
    <row r="944" spans="2:12">
      <c r="B944" s="2" t="s">
        <v>2149</v>
      </c>
      <c r="C944" s="7">
        <v>45960</v>
      </c>
      <c r="D944" s="2" t="s">
        <v>551</v>
      </c>
      <c r="E944" s="4">
        <v>1</v>
      </c>
      <c r="F944" s="8" t="str">
        <f>_xlfn.XLOOKUP(D944,Master[Product_Code],Master[Category])</f>
        <v>T-Shirt</v>
      </c>
      <c r="G944" s="8" t="str">
        <f>_xlfn.XLOOKUP(D944,Master[Product_Code],Master[Brand])</f>
        <v>Turkey</v>
      </c>
      <c r="H944" s="8" t="str">
        <f>_xlfn.XLOOKUP(D944,Master[Product_Code],Master[Style])</f>
        <v>Sleeveless</v>
      </c>
      <c r="I944" s="8" t="str">
        <f>_xlfn.XLOOKUP(D944,Master[Product_Code],Master[Fabric])</f>
        <v>Cotton Blend</v>
      </c>
      <c r="J944" s="8" t="str">
        <f>_xlfn.XLOOKUP(D944,Master[Product_Code],Master[Size])</f>
        <v>S</v>
      </c>
      <c r="K944" s="8" t="str">
        <f>_xlfn.XLOOKUP(D944,Master[Product_Code],Master[Color])</f>
        <v>Maroon</v>
      </c>
      <c r="L944" s="3">
        <f>_xlfn.XLOOKUP(D944,Master[Product_Code],Master[Selling_Price])</f>
        <v>590</v>
      </c>
    </row>
    <row r="945" spans="2:12">
      <c r="B945" s="2" t="s">
        <v>2150</v>
      </c>
      <c r="C945" s="7">
        <v>45960</v>
      </c>
      <c r="D945" s="2" t="s">
        <v>829</v>
      </c>
      <c r="E945" s="4">
        <v>1</v>
      </c>
      <c r="F945" s="8" t="str">
        <f>_xlfn.XLOOKUP(D945,Master[Product_Code],Master[Category])</f>
        <v>T-Shirt</v>
      </c>
      <c r="G945" s="8" t="str">
        <f>_xlfn.XLOOKUP(D945,Master[Product_Code],Master[Brand])</f>
        <v>Turkey</v>
      </c>
      <c r="H945" s="8" t="str">
        <f>_xlfn.XLOOKUP(D945,Master[Product_Code],Master[Style])</f>
        <v>Hoodie</v>
      </c>
      <c r="I945" s="8" t="str">
        <f>_xlfn.XLOOKUP(D945,Master[Product_Code],Master[Fabric])</f>
        <v>Poly Cotton</v>
      </c>
      <c r="J945" s="8" t="str">
        <f>_xlfn.XLOOKUP(D945,Master[Product_Code],Master[Size])</f>
        <v>L</v>
      </c>
      <c r="K945" s="8" t="str">
        <f>_xlfn.XLOOKUP(D945,Master[Product_Code],Master[Color])</f>
        <v>Peach</v>
      </c>
      <c r="L945" s="3">
        <f>_xlfn.XLOOKUP(D945,Master[Product_Code],Master[Selling_Price])</f>
        <v>570</v>
      </c>
    </row>
    <row r="946" spans="2:12">
      <c r="B946" s="2" t="s">
        <v>2150</v>
      </c>
      <c r="C946" s="7">
        <v>45960</v>
      </c>
      <c r="D946" s="2" t="s">
        <v>1405</v>
      </c>
      <c r="E946" s="4">
        <v>1</v>
      </c>
      <c r="F946" s="8" t="str">
        <f>_xlfn.XLOOKUP(D946,Master[Product_Code],Master[Category])</f>
        <v>Pants</v>
      </c>
      <c r="G946" s="8" t="str">
        <f>_xlfn.XLOOKUP(D946,Master[Product_Code],Master[Brand])</f>
        <v>Van Heusen</v>
      </c>
      <c r="H946" s="8" t="str">
        <f>_xlfn.XLOOKUP(D946,Master[Product_Code],Master[Style])</f>
        <v>Korean</v>
      </c>
      <c r="I946" s="8" t="str">
        <f>_xlfn.XLOOKUP(D946,Master[Product_Code],Master[Fabric])</f>
        <v>Lycra</v>
      </c>
      <c r="J946" s="8">
        <f>_xlfn.XLOOKUP(D946,Master[Product_Code],Master[Size])</f>
        <v>30</v>
      </c>
      <c r="K946" s="8" t="str">
        <f>_xlfn.XLOOKUP(D946,Master[Product_Code],Master[Color])</f>
        <v>Peach</v>
      </c>
      <c r="L946" s="3">
        <f>_xlfn.XLOOKUP(D946,Master[Product_Code],Master[Selling_Price])</f>
        <v>910</v>
      </c>
    </row>
    <row r="947" spans="2:12">
      <c r="B947" s="2" t="s">
        <v>2150</v>
      </c>
      <c r="C947" s="7">
        <v>45960</v>
      </c>
      <c r="D947" s="2" t="s">
        <v>47</v>
      </c>
      <c r="E947" s="4">
        <v>1</v>
      </c>
      <c r="F947" s="8" t="str">
        <f>_xlfn.XLOOKUP(D947,Master[Product_Code],Master[Category])</f>
        <v>Shirt</v>
      </c>
      <c r="G947" s="8" t="str">
        <f>_xlfn.XLOOKUP(D947,Master[Product_Code],Master[Brand])</f>
        <v>G Studio</v>
      </c>
      <c r="H947" s="8" t="str">
        <f>_xlfn.XLOOKUP(D947,Master[Product_Code],Master[Style])</f>
        <v>Formal</v>
      </c>
      <c r="I947" s="8" t="str">
        <f>_xlfn.XLOOKUP(D947,Master[Product_Code],Master[Fabric])</f>
        <v>Polyester</v>
      </c>
      <c r="J947" s="8" t="str">
        <f>_xlfn.XLOOKUP(D947,Master[Product_Code],Master[Size])</f>
        <v>XL</v>
      </c>
      <c r="K947" s="8" t="str">
        <f>_xlfn.XLOOKUP(D947,Master[Product_Code],Master[Color])</f>
        <v>Beige</v>
      </c>
      <c r="L947" s="3">
        <f>_xlfn.XLOOKUP(D947,Master[Product_Code],Master[Selling_Price])</f>
        <v>820</v>
      </c>
    </row>
    <row r="948" spans="2:12">
      <c r="B948" s="2" t="s">
        <v>2150</v>
      </c>
      <c r="C948" s="7">
        <v>45960</v>
      </c>
      <c r="D948" s="2" t="s">
        <v>785</v>
      </c>
      <c r="E948" s="4">
        <v>1</v>
      </c>
      <c r="F948" s="8" t="str">
        <f>_xlfn.XLOOKUP(D948,Master[Product_Code],Master[Category])</f>
        <v>T-Shirt</v>
      </c>
      <c r="G948" s="8" t="str">
        <f>_xlfn.XLOOKUP(D948,Master[Product_Code],Master[Brand])</f>
        <v>Roadster</v>
      </c>
      <c r="H948" s="8" t="str">
        <f>_xlfn.XLOOKUP(D948,Master[Product_Code],Master[Style])</f>
        <v>Sleeveless</v>
      </c>
      <c r="I948" s="8" t="str">
        <f>_xlfn.XLOOKUP(D948,Master[Product_Code],Master[Fabric])</f>
        <v>Cotton</v>
      </c>
      <c r="J948" s="8" t="str">
        <f>_xlfn.XLOOKUP(D948,Master[Product_Code],Master[Size])</f>
        <v>XL</v>
      </c>
      <c r="K948" s="8" t="str">
        <f>_xlfn.XLOOKUP(D948,Master[Product_Code],Master[Color])</f>
        <v>Rust</v>
      </c>
      <c r="L948" s="3">
        <f>_xlfn.XLOOKUP(D948,Master[Product_Code],Master[Selling_Price])</f>
        <v>710</v>
      </c>
    </row>
    <row r="949" spans="2:12">
      <c r="B949" s="2" t="s">
        <v>2151</v>
      </c>
      <c r="C949" s="7">
        <v>45960</v>
      </c>
      <c r="D949" s="2" t="s">
        <v>1448</v>
      </c>
      <c r="E949" s="4">
        <v>1</v>
      </c>
      <c r="F949" s="8" t="str">
        <f>_xlfn.XLOOKUP(D949,Master[Product_Code],Master[Category])</f>
        <v>Pants</v>
      </c>
      <c r="G949" s="8" t="str">
        <f>_xlfn.XLOOKUP(D949,Master[Product_Code],Master[Brand])</f>
        <v>Van Heusen</v>
      </c>
      <c r="H949" s="8" t="str">
        <f>_xlfn.XLOOKUP(D949,Master[Product_Code],Master[Style])</f>
        <v>Kurka</v>
      </c>
      <c r="I949" s="8" t="str">
        <f>_xlfn.XLOOKUP(D949,Master[Product_Code],Master[Fabric])</f>
        <v>Lycra</v>
      </c>
      <c r="J949" s="8">
        <f>_xlfn.XLOOKUP(D949,Master[Product_Code],Master[Size])</f>
        <v>32</v>
      </c>
      <c r="K949" s="8" t="str">
        <f>_xlfn.XLOOKUP(D949,Master[Product_Code],Master[Color])</f>
        <v>Dark Green</v>
      </c>
      <c r="L949" s="3">
        <f>_xlfn.XLOOKUP(D949,Master[Product_Code],Master[Selling_Price])</f>
        <v>940</v>
      </c>
    </row>
    <row r="950" spans="2:12">
      <c r="B950" s="2" t="s">
        <v>2152</v>
      </c>
      <c r="C950" s="7">
        <v>45960</v>
      </c>
      <c r="D950" s="2" t="s">
        <v>860</v>
      </c>
      <c r="E950" s="4">
        <v>1</v>
      </c>
      <c r="F950" s="8" t="str">
        <f>_xlfn.XLOOKUP(D950,Master[Product_Code],Master[Category])</f>
        <v>Jeans</v>
      </c>
      <c r="G950" s="8" t="str">
        <f>_xlfn.XLOOKUP(D950,Master[Product_Code],Master[Brand])</f>
        <v>Levis</v>
      </c>
      <c r="H950" s="8" t="str">
        <f>_xlfn.XLOOKUP(D950,Master[Product_Code],Master[Style])</f>
        <v>Baggy</v>
      </c>
      <c r="I950" s="8" t="str">
        <f>_xlfn.XLOOKUP(D950,Master[Product_Code],Master[Fabric])</f>
        <v>Denim</v>
      </c>
      <c r="J950" s="8">
        <f>_xlfn.XLOOKUP(D950,Master[Product_Code],Master[Size])</f>
        <v>28</v>
      </c>
      <c r="K950" s="8" t="str">
        <f>_xlfn.XLOOKUP(D950,Master[Product_Code],Master[Color])</f>
        <v>Dark Green</v>
      </c>
      <c r="L950" s="3">
        <f>_xlfn.XLOOKUP(D950,Master[Product_Code],Master[Selling_Price])</f>
        <v>770</v>
      </c>
    </row>
    <row r="951" spans="2:12">
      <c r="B951" s="2" t="s">
        <v>2152</v>
      </c>
      <c r="C951" s="7">
        <v>45960</v>
      </c>
      <c r="D951" s="2" t="s">
        <v>158</v>
      </c>
      <c r="E951" s="4">
        <v>1</v>
      </c>
      <c r="F951" s="8" t="str">
        <f>_xlfn.XLOOKUP(D951,Master[Product_Code],Master[Category])</f>
        <v>Shirt</v>
      </c>
      <c r="G951" s="8" t="str">
        <f>_xlfn.XLOOKUP(D951,Master[Product_Code],Master[Brand])</f>
        <v>G Studio</v>
      </c>
      <c r="H951" s="8" t="str">
        <f>_xlfn.XLOOKUP(D951,Master[Product_Code],Master[Style])</f>
        <v>Casual</v>
      </c>
      <c r="I951" s="8" t="str">
        <f>_xlfn.XLOOKUP(D951,Master[Product_Code],Master[Fabric])</f>
        <v>Lycra</v>
      </c>
      <c r="J951" s="8" t="str">
        <f>_xlfn.XLOOKUP(D951,Master[Product_Code],Master[Size])</f>
        <v>L</v>
      </c>
      <c r="K951" s="8" t="str">
        <f>_xlfn.XLOOKUP(D951,Master[Product_Code],Master[Color])</f>
        <v>Light Grey</v>
      </c>
      <c r="L951" s="3">
        <f>_xlfn.XLOOKUP(D951,Master[Product_Code],Master[Selling_Price])</f>
        <v>740</v>
      </c>
    </row>
    <row r="952" spans="2:12">
      <c r="B952" s="2" t="s">
        <v>2152</v>
      </c>
      <c r="C952" s="7">
        <v>45960</v>
      </c>
      <c r="D952" s="2" t="s">
        <v>948</v>
      </c>
      <c r="E952" s="4">
        <v>1</v>
      </c>
      <c r="F952" s="8" t="str">
        <f>_xlfn.XLOOKUP(D952,Master[Product_Code],Master[Category])</f>
        <v>Jeans</v>
      </c>
      <c r="G952" s="8" t="str">
        <f>_xlfn.XLOOKUP(D952,Master[Product_Code],Master[Brand])</f>
        <v>Spykar</v>
      </c>
      <c r="H952" s="8" t="str">
        <f>_xlfn.XLOOKUP(D952,Master[Product_Code],Master[Style])</f>
        <v>Mom Fit</v>
      </c>
      <c r="I952" s="8" t="str">
        <f>_xlfn.XLOOKUP(D952,Master[Product_Code],Master[Fabric])</f>
        <v>Denim</v>
      </c>
      <c r="J952" s="8">
        <f>_xlfn.XLOOKUP(D952,Master[Product_Code],Master[Size])</f>
        <v>34</v>
      </c>
      <c r="K952" s="8" t="str">
        <f>_xlfn.XLOOKUP(D952,Master[Product_Code],Master[Color])</f>
        <v>White</v>
      </c>
      <c r="L952" s="3">
        <f>_xlfn.XLOOKUP(D952,Master[Product_Code],Master[Selling_Price])</f>
        <v>940</v>
      </c>
    </row>
    <row r="953" spans="2:12">
      <c r="B953" s="2" t="s">
        <v>2153</v>
      </c>
      <c r="C953" s="7">
        <v>45960</v>
      </c>
      <c r="D953" s="2" t="s">
        <v>1583</v>
      </c>
      <c r="E953" s="4">
        <v>1</v>
      </c>
      <c r="F953" s="8" t="str">
        <f>_xlfn.XLOOKUP(D953,Master[Product_Code],Master[Category])</f>
        <v>Innerwear</v>
      </c>
      <c r="G953" s="8" t="str">
        <f>_xlfn.XLOOKUP(D953,Master[Product_Code],Master[Brand])</f>
        <v>V Star</v>
      </c>
      <c r="H953" s="8" t="str">
        <f>_xlfn.XLOOKUP(D953,Master[Product_Code],Master[Style])</f>
        <v>V-Cut</v>
      </c>
      <c r="I953" s="8" t="str">
        <f>_xlfn.XLOOKUP(D953,Master[Product_Code],Master[Fabric])</f>
        <v>Cotton Blend</v>
      </c>
      <c r="J953" s="8" t="str">
        <f>_xlfn.XLOOKUP(D953,Master[Product_Code],Master[Size])</f>
        <v>105-110</v>
      </c>
      <c r="K953" s="8" t="str">
        <f>_xlfn.XLOOKUP(D953,Master[Product_Code],Master[Color])</f>
        <v>Black</v>
      </c>
      <c r="L953" s="3">
        <f>_xlfn.XLOOKUP(D953,Master[Product_Code],Master[Selling_Price])</f>
        <v>160</v>
      </c>
    </row>
    <row r="954" spans="2:12">
      <c r="B954" s="2" t="s">
        <v>2153</v>
      </c>
      <c r="C954" s="7">
        <v>45960</v>
      </c>
      <c r="D954" s="2" t="s">
        <v>726</v>
      </c>
      <c r="E954" s="4">
        <v>1</v>
      </c>
      <c r="F954" s="8" t="str">
        <f>_xlfn.XLOOKUP(D954,Master[Product_Code],Master[Category])</f>
        <v>T-Shirt</v>
      </c>
      <c r="G954" s="8" t="str">
        <f>_xlfn.XLOOKUP(D954,Master[Product_Code],Master[Brand])</f>
        <v>Roadster</v>
      </c>
      <c r="H954" s="8" t="str">
        <f>_xlfn.XLOOKUP(D954,Master[Product_Code],Master[Style])</f>
        <v>Half Sleeve</v>
      </c>
      <c r="I954" s="8" t="str">
        <f>_xlfn.XLOOKUP(D954,Master[Product_Code],Master[Fabric])</f>
        <v>Poly Cotton</v>
      </c>
      <c r="J954" s="8" t="str">
        <f>_xlfn.XLOOKUP(D954,Master[Product_Code],Master[Size])</f>
        <v>M</v>
      </c>
      <c r="K954" s="8" t="str">
        <f>_xlfn.XLOOKUP(D954,Master[Product_Code],Master[Color])</f>
        <v>Bottle Green</v>
      </c>
      <c r="L954" s="3">
        <f>_xlfn.XLOOKUP(D954,Master[Product_Code],Master[Selling_Price])</f>
        <v>340</v>
      </c>
    </row>
    <row r="955" spans="2:12">
      <c r="B955" s="2" t="s">
        <v>2153</v>
      </c>
      <c r="C955" s="7">
        <v>45960</v>
      </c>
      <c r="D955" s="2" t="s">
        <v>905</v>
      </c>
      <c r="E955" s="4">
        <v>1</v>
      </c>
      <c r="F955" s="8" t="str">
        <f>_xlfn.XLOOKUP(D955,Master[Product_Code],Master[Category])</f>
        <v>Jeans</v>
      </c>
      <c r="G955" s="8" t="str">
        <f>_xlfn.XLOOKUP(D955,Master[Product_Code],Master[Brand])</f>
        <v>Locomotive</v>
      </c>
      <c r="H955" s="8" t="str">
        <f>_xlfn.XLOOKUP(D955,Master[Product_Code],Master[Style])</f>
        <v>Jogger</v>
      </c>
      <c r="I955" s="8" t="str">
        <f>_xlfn.XLOOKUP(D955,Master[Product_Code],Master[Fabric])</f>
        <v>Denim</v>
      </c>
      <c r="J955" s="8">
        <f>_xlfn.XLOOKUP(D955,Master[Product_Code],Master[Size])</f>
        <v>38</v>
      </c>
      <c r="K955" s="8" t="str">
        <f>_xlfn.XLOOKUP(D955,Master[Product_Code],Master[Color])</f>
        <v>Cream</v>
      </c>
      <c r="L955" s="3">
        <f>_xlfn.XLOOKUP(D955,Master[Product_Code],Master[Selling_Price])</f>
        <v>1040</v>
      </c>
    </row>
    <row r="956" spans="2:12">
      <c r="B956" s="2" t="s">
        <v>2154</v>
      </c>
      <c r="C956" s="7">
        <v>45960</v>
      </c>
      <c r="D956" s="2" t="s">
        <v>620</v>
      </c>
      <c r="E956" s="4">
        <v>1</v>
      </c>
      <c r="F956" s="8" t="str">
        <f>_xlfn.XLOOKUP(D956,Master[Product_Code],Master[Category])</f>
        <v>T-Shirt</v>
      </c>
      <c r="G956" s="8" t="str">
        <f>_xlfn.XLOOKUP(D956,Master[Product_Code],Master[Brand])</f>
        <v>Max</v>
      </c>
      <c r="H956" s="8" t="str">
        <f>_xlfn.XLOOKUP(D956,Master[Product_Code],Master[Style])</f>
        <v>Sleeveless</v>
      </c>
      <c r="I956" s="8" t="str">
        <f>_xlfn.XLOOKUP(D956,Master[Product_Code],Master[Fabric])</f>
        <v>Poly Cotton</v>
      </c>
      <c r="J956" s="8" t="str">
        <f>_xlfn.XLOOKUP(D956,Master[Product_Code],Master[Size])</f>
        <v>XXL</v>
      </c>
      <c r="K956" s="8" t="str">
        <f>_xlfn.XLOOKUP(D956,Master[Product_Code],Master[Color])</f>
        <v>Peach</v>
      </c>
      <c r="L956" s="3">
        <f>_xlfn.XLOOKUP(D956,Master[Product_Code],Master[Selling_Price])</f>
        <v>400</v>
      </c>
    </row>
    <row r="957" spans="2:12">
      <c r="B957" s="2" t="s">
        <v>2154</v>
      </c>
      <c r="C957" s="7">
        <v>45960</v>
      </c>
      <c r="D957" s="2" t="s">
        <v>439</v>
      </c>
      <c r="E957" s="4">
        <v>1</v>
      </c>
      <c r="F957" s="8" t="str">
        <f>_xlfn.XLOOKUP(D957,Master[Product_Code],Master[Category])</f>
        <v>T-Shirt</v>
      </c>
      <c r="G957" s="8" t="str">
        <f>_xlfn.XLOOKUP(D957,Master[Product_Code],Master[Brand])</f>
        <v>Zara</v>
      </c>
      <c r="H957" s="8" t="str">
        <f>_xlfn.XLOOKUP(D957,Master[Product_Code],Master[Style])</f>
        <v>Full Sleeve</v>
      </c>
      <c r="I957" s="8" t="str">
        <f>_xlfn.XLOOKUP(D957,Master[Product_Code],Master[Fabric])</f>
        <v>Cotton</v>
      </c>
      <c r="J957" s="8" t="str">
        <f>_xlfn.XLOOKUP(D957,Master[Product_Code],Master[Size])</f>
        <v>XXL</v>
      </c>
      <c r="K957" s="8" t="str">
        <f>_xlfn.XLOOKUP(D957,Master[Product_Code],Master[Color])</f>
        <v>Peach</v>
      </c>
      <c r="L957" s="3">
        <f>_xlfn.XLOOKUP(D957,Master[Product_Code],Master[Selling_Price])</f>
        <v>590</v>
      </c>
    </row>
    <row r="958" spans="2:12">
      <c r="B958" s="2" t="s">
        <v>2154</v>
      </c>
      <c r="C958" s="7">
        <v>45960</v>
      </c>
      <c r="D958" s="2" t="s">
        <v>981</v>
      </c>
      <c r="E958" s="4">
        <v>1</v>
      </c>
      <c r="F958" s="8" t="str">
        <f>_xlfn.XLOOKUP(D958,Master[Product_Code],Master[Category])</f>
        <v>Jeans</v>
      </c>
      <c r="G958" s="8" t="str">
        <f>_xlfn.XLOOKUP(D958,Master[Product_Code],Master[Brand])</f>
        <v>Wrangler</v>
      </c>
      <c r="H958" s="8" t="str">
        <f>_xlfn.XLOOKUP(D958,Master[Product_Code],Master[Style])</f>
        <v>Jogger</v>
      </c>
      <c r="I958" s="8" t="str">
        <f>_xlfn.XLOOKUP(D958,Master[Product_Code],Master[Fabric])</f>
        <v>Denim</v>
      </c>
      <c r="J958" s="8">
        <f>_xlfn.XLOOKUP(D958,Master[Product_Code],Master[Size])</f>
        <v>28</v>
      </c>
      <c r="K958" s="8" t="str">
        <f>_xlfn.XLOOKUP(D958,Master[Product_Code],Master[Color])</f>
        <v>Grey</v>
      </c>
      <c r="L958" s="3">
        <f>_xlfn.XLOOKUP(D958,Master[Product_Code],Master[Selling_Price])</f>
        <v>890</v>
      </c>
    </row>
    <row r="959" spans="2:12">
      <c r="B959" s="2" t="s">
        <v>2155</v>
      </c>
      <c r="C959" s="7">
        <v>45960</v>
      </c>
      <c r="D959" s="2" t="s">
        <v>1230</v>
      </c>
      <c r="E959" s="4">
        <v>1</v>
      </c>
      <c r="F959" s="8" t="str">
        <f>_xlfn.XLOOKUP(D959,Master[Product_Code],Master[Category])</f>
        <v>Pants</v>
      </c>
      <c r="G959" s="8" t="str">
        <f>_xlfn.XLOOKUP(D959,Master[Product_Code],Master[Brand])</f>
        <v>Park Avenue</v>
      </c>
      <c r="H959" s="8" t="str">
        <f>_xlfn.XLOOKUP(D959,Master[Product_Code],Master[Style])</f>
        <v>Kurka</v>
      </c>
      <c r="I959" s="8" t="str">
        <f>_xlfn.XLOOKUP(D959,Master[Product_Code],Master[Fabric])</f>
        <v>Lycra</v>
      </c>
      <c r="J959" s="8">
        <f>_xlfn.XLOOKUP(D959,Master[Product_Code],Master[Size])</f>
        <v>42</v>
      </c>
      <c r="K959" s="8" t="str">
        <f>_xlfn.XLOOKUP(D959,Master[Product_Code],Master[Color])</f>
        <v>Grey</v>
      </c>
      <c r="L959" s="3">
        <f>_xlfn.XLOOKUP(D959,Master[Product_Code],Master[Selling_Price])</f>
        <v>700</v>
      </c>
    </row>
    <row r="960" spans="2:12">
      <c r="B960" s="2" t="s">
        <v>2155</v>
      </c>
      <c r="C960" s="7">
        <v>45960</v>
      </c>
      <c r="D960" s="2" t="s">
        <v>856</v>
      </c>
      <c r="E960" s="4">
        <v>1</v>
      </c>
      <c r="F960" s="8" t="str">
        <f>_xlfn.XLOOKUP(D960,Master[Product_Code],Master[Category])</f>
        <v>Jeans</v>
      </c>
      <c r="G960" s="8" t="str">
        <f>_xlfn.XLOOKUP(D960,Master[Product_Code],Master[Brand])</f>
        <v>Denim Pro</v>
      </c>
      <c r="H960" s="8" t="str">
        <f>_xlfn.XLOOKUP(D960,Master[Product_Code],Master[Style])</f>
        <v>Jogger</v>
      </c>
      <c r="I960" s="8" t="str">
        <f>_xlfn.XLOOKUP(D960,Master[Product_Code],Master[Fabric])</f>
        <v>Denim</v>
      </c>
      <c r="J960" s="8">
        <f>_xlfn.XLOOKUP(D960,Master[Product_Code],Master[Size])</f>
        <v>38</v>
      </c>
      <c r="K960" s="8" t="str">
        <f>_xlfn.XLOOKUP(D960,Master[Product_Code],Master[Color])</f>
        <v>Peach</v>
      </c>
      <c r="L960" s="3">
        <f>_xlfn.XLOOKUP(D960,Master[Product_Code],Master[Selling_Price])</f>
        <v>960</v>
      </c>
    </row>
    <row r="961" spans="2:12">
      <c r="B961" s="2" t="s">
        <v>2155</v>
      </c>
      <c r="C961" s="7">
        <v>45960</v>
      </c>
      <c r="D961" s="2" t="s">
        <v>460</v>
      </c>
      <c r="E961" s="4">
        <v>1</v>
      </c>
      <c r="F961" s="8" t="str">
        <f>_xlfn.XLOOKUP(D961,Master[Product_Code],Master[Category])</f>
        <v>T-Shirt</v>
      </c>
      <c r="G961" s="8" t="str">
        <f>_xlfn.XLOOKUP(D961,Master[Product_Code],Master[Brand])</f>
        <v>Thailand</v>
      </c>
      <c r="H961" s="8" t="str">
        <f>_xlfn.XLOOKUP(D961,Master[Product_Code],Master[Style])</f>
        <v>Sleeveless</v>
      </c>
      <c r="I961" s="8" t="str">
        <f>_xlfn.XLOOKUP(D961,Master[Product_Code],Master[Fabric])</f>
        <v>Poly Cotton</v>
      </c>
      <c r="J961" s="8" t="str">
        <f>_xlfn.XLOOKUP(D961,Master[Product_Code],Master[Size])</f>
        <v>M</v>
      </c>
      <c r="K961" s="8" t="str">
        <f>_xlfn.XLOOKUP(D961,Master[Product_Code],Master[Color])</f>
        <v>Mustard</v>
      </c>
      <c r="L961" s="3">
        <f>_xlfn.XLOOKUP(D961,Master[Product_Code],Master[Selling_Price])</f>
        <v>440</v>
      </c>
    </row>
    <row r="962" spans="2:12">
      <c r="B962" s="2" t="s">
        <v>2156</v>
      </c>
      <c r="C962" s="7">
        <v>45960</v>
      </c>
      <c r="D962" s="2" t="s">
        <v>1376</v>
      </c>
      <c r="E962" s="4">
        <v>1</v>
      </c>
      <c r="F962" s="8" t="str">
        <f>_xlfn.XLOOKUP(D962,Master[Product_Code],Master[Category])</f>
        <v>Pants</v>
      </c>
      <c r="G962" s="8" t="str">
        <f>_xlfn.XLOOKUP(D962,Master[Product_Code],Master[Brand])</f>
        <v>Louis Philippe</v>
      </c>
      <c r="H962" s="8" t="str">
        <f>_xlfn.XLOOKUP(D962,Master[Product_Code],Master[Style])</f>
        <v>Jogger</v>
      </c>
      <c r="I962" s="8" t="str">
        <f>_xlfn.XLOOKUP(D962,Master[Product_Code],Master[Fabric])</f>
        <v>Poly Viscose</v>
      </c>
      <c r="J962" s="8">
        <f>_xlfn.XLOOKUP(D962,Master[Product_Code],Master[Size])</f>
        <v>30</v>
      </c>
      <c r="K962" s="8" t="str">
        <f>_xlfn.XLOOKUP(D962,Master[Product_Code],Master[Color])</f>
        <v>Peach</v>
      </c>
      <c r="L962" s="3">
        <f>_xlfn.XLOOKUP(D962,Master[Product_Code],Master[Selling_Price])</f>
        <v>810</v>
      </c>
    </row>
    <row r="963" spans="2:12">
      <c r="B963" s="2" t="s">
        <v>2157</v>
      </c>
      <c r="C963" s="7">
        <v>45960</v>
      </c>
      <c r="D963" s="2" t="s">
        <v>201</v>
      </c>
      <c r="E963" s="4">
        <v>1</v>
      </c>
      <c r="F963" s="8" t="str">
        <f>_xlfn.XLOOKUP(D963,Master[Product_Code],Master[Category])</f>
        <v>Shirt</v>
      </c>
      <c r="G963" s="8" t="str">
        <f>_xlfn.XLOOKUP(D963,Master[Product_Code],Master[Brand])</f>
        <v>USD</v>
      </c>
      <c r="H963" s="8" t="str">
        <f>_xlfn.XLOOKUP(D963,Master[Product_Code],Master[Style])</f>
        <v>Partywear</v>
      </c>
      <c r="I963" s="8" t="str">
        <f>_xlfn.XLOOKUP(D963,Master[Product_Code],Master[Fabric])</f>
        <v>Cotton Blend</v>
      </c>
      <c r="J963" s="8" t="str">
        <f>_xlfn.XLOOKUP(D963,Master[Product_Code],Master[Size])</f>
        <v>S</v>
      </c>
      <c r="K963" s="8" t="str">
        <f>_xlfn.XLOOKUP(D963,Master[Product_Code],Master[Color])</f>
        <v>White</v>
      </c>
      <c r="L963" s="3">
        <f>_xlfn.XLOOKUP(D963,Master[Product_Code],Master[Selling_Price])</f>
        <v>790</v>
      </c>
    </row>
    <row r="964" spans="2:12">
      <c r="B964" s="2" t="s">
        <v>2158</v>
      </c>
      <c r="C964" s="7">
        <v>45960</v>
      </c>
      <c r="D964" s="2" t="s">
        <v>980</v>
      </c>
      <c r="E964" s="4">
        <v>1</v>
      </c>
      <c r="F964" s="8" t="str">
        <f>_xlfn.XLOOKUP(D964,Master[Product_Code],Master[Category])</f>
        <v>Jeans</v>
      </c>
      <c r="G964" s="8" t="str">
        <f>_xlfn.XLOOKUP(D964,Master[Product_Code],Master[Brand])</f>
        <v>Pepe</v>
      </c>
      <c r="H964" s="8" t="str">
        <f>_xlfn.XLOOKUP(D964,Master[Product_Code],Master[Style])</f>
        <v>Jogger</v>
      </c>
      <c r="I964" s="8" t="str">
        <f>_xlfn.XLOOKUP(D964,Master[Product_Code],Master[Fabric])</f>
        <v>Denim</v>
      </c>
      <c r="J964" s="8">
        <f>_xlfn.XLOOKUP(D964,Master[Product_Code],Master[Size])</f>
        <v>40</v>
      </c>
      <c r="K964" s="8" t="str">
        <f>_xlfn.XLOOKUP(D964,Master[Product_Code],Master[Color])</f>
        <v>Bottle Green</v>
      </c>
      <c r="L964" s="3">
        <f>_xlfn.XLOOKUP(D964,Master[Product_Code],Master[Selling_Price])</f>
        <v>990</v>
      </c>
    </row>
    <row r="965" spans="2:12">
      <c r="B965" s="2" t="s">
        <v>2159</v>
      </c>
      <c r="C965" s="7">
        <v>45960</v>
      </c>
      <c r="D965" s="2" t="s">
        <v>1187</v>
      </c>
      <c r="E965" s="4">
        <v>1</v>
      </c>
      <c r="F965" s="8" t="str">
        <f>_xlfn.XLOOKUP(D965,Master[Product_Code],Master[Category])</f>
        <v>Pants</v>
      </c>
      <c r="G965" s="8" t="str">
        <f>_xlfn.XLOOKUP(D965,Master[Product_Code],Master[Brand])</f>
        <v>Raymond</v>
      </c>
      <c r="H965" s="8" t="str">
        <f>_xlfn.XLOOKUP(D965,Master[Product_Code],Master[Style])</f>
        <v>Jogger</v>
      </c>
      <c r="I965" s="8" t="str">
        <f>_xlfn.XLOOKUP(D965,Master[Product_Code],Master[Fabric])</f>
        <v>Cotton</v>
      </c>
      <c r="J965" s="8">
        <f>_xlfn.XLOOKUP(D965,Master[Product_Code],Master[Size])</f>
        <v>34</v>
      </c>
      <c r="K965" s="8" t="str">
        <f>_xlfn.XLOOKUP(D965,Master[Product_Code],Master[Color])</f>
        <v>Olive</v>
      </c>
      <c r="L965" s="3">
        <f>_xlfn.XLOOKUP(D965,Master[Product_Code],Master[Selling_Price])</f>
        <v>730</v>
      </c>
    </row>
    <row r="966" spans="2:12">
      <c r="B966" s="2" t="s">
        <v>2159</v>
      </c>
      <c r="C966" s="7">
        <v>45960</v>
      </c>
      <c r="D966" s="2" t="s">
        <v>1059</v>
      </c>
      <c r="E966" s="4">
        <v>1</v>
      </c>
      <c r="F966" s="8" t="str">
        <f>_xlfn.XLOOKUP(D966,Master[Product_Code],Master[Category])</f>
        <v>Jeans</v>
      </c>
      <c r="G966" s="8" t="str">
        <f>_xlfn.XLOOKUP(D966,Master[Product_Code],Master[Brand])</f>
        <v>Denim Pro</v>
      </c>
      <c r="H966" s="8" t="str">
        <f>_xlfn.XLOOKUP(D966,Master[Product_Code],Master[Style])</f>
        <v>Jogger</v>
      </c>
      <c r="I966" s="8" t="str">
        <f>_xlfn.XLOOKUP(D966,Master[Product_Code],Master[Fabric])</f>
        <v>Denim</v>
      </c>
      <c r="J966" s="8">
        <f>_xlfn.XLOOKUP(D966,Master[Product_Code],Master[Size])</f>
        <v>30</v>
      </c>
      <c r="K966" s="8" t="str">
        <f>_xlfn.XLOOKUP(D966,Master[Product_Code],Master[Color])</f>
        <v>Olive</v>
      </c>
      <c r="L966" s="3">
        <f>_xlfn.XLOOKUP(D966,Master[Product_Code],Master[Selling_Price])</f>
        <v>900</v>
      </c>
    </row>
    <row r="967" spans="2:12">
      <c r="B967" s="2" t="s">
        <v>2160</v>
      </c>
      <c r="C967" s="7">
        <v>45961</v>
      </c>
      <c r="D967" s="2" t="s">
        <v>619</v>
      </c>
      <c r="E967" s="4">
        <v>1</v>
      </c>
      <c r="F967" s="8" t="str">
        <f>_xlfn.XLOOKUP(D967,Master[Product_Code],Master[Category])</f>
        <v>T-Shirt</v>
      </c>
      <c r="G967" s="8" t="str">
        <f>_xlfn.XLOOKUP(D967,Master[Product_Code],Master[Brand])</f>
        <v>Roadster</v>
      </c>
      <c r="H967" s="8" t="str">
        <f>_xlfn.XLOOKUP(D967,Master[Product_Code],Master[Style])</f>
        <v>Half Sleeve</v>
      </c>
      <c r="I967" s="8" t="str">
        <f>_xlfn.XLOOKUP(D967,Master[Product_Code],Master[Fabric])</f>
        <v>Cotton Blend</v>
      </c>
      <c r="J967" s="8" t="str">
        <f>_xlfn.XLOOKUP(D967,Master[Product_Code],Master[Size])</f>
        <v>XXL</v>
      </c>
      <c r="K967" s="8" t="str">
        <f>_xlfn.XLOOKUP(D967,Master[Product_Code],Master[Color])</f>
        <v>Teal</v>
      </c>
      <c r="L967" s="3">
        <f>_xlfn.XLOOKUP(D967,Master[Product_Code],Master[Selling_Price])</f>
        <v>280</v>
      </c>
    </row>
    <row r="968" spans="2:12">
      <c r="B968" s="2" t="s">
        <v>2161</v>
      </c>
      <c r="C968" s="7">
        <v>45961</v>
      </c>
      <c r="D968" s="2" t="s">
        <v>1119</v>
      </c>
      <c r="E968" s="4">
        <v>1</v>
      </c>
      <c r="F968" s="8" t="str">
        <f>_xlfn.XLOOKUP(D968,Master[Product_Code],Master[Category])</f>
        <v>Jeans</v>
      </c>
      <c r="G968" s="8" t="str">
        <f>_xlfn.XLOOKUP(D968,Master[Product_Code],Master[Brand])</f>
        <v>Pepe</v>
      </c>
      <c r="H968" s="8" t="str">
        <f>_xlfn.XLOOKUP(D968,Master[Product_Code],Master[Style])</f>
        <v>Jogger</v>
      </c>
      <c r="I968" s="8" t="str">
        <f>_xlfn.XLOOKUP(D968,Master[Product_Code],Master[Fabric])</f>
        <v>Denim</v>
      </c>
      <c r="J968" s="8">
        <f>_xlfn.XLOOKUP(D968,Master[Product_Code],Master[Size])</f>
        <v>28</v>
      </c>
      <c r="K968" s="8" t="str">
        <f>_xlfn.XLOOKUP(D968,Master[Product_Code],Master[Color])</f>
        <v>Sky Blue</v>
      </c>
      <c r="L968" s="3">
        <f>_xlfn.XLOOKUP(D968,Master[Product_Code],Master[Selling_Price])</f>
        <v>1030</v>
      </c>
    </row>
    <row r="969" spans="2:12">
      <c r="B969" s="2" t="s">
        <v>2161</v>
      </c>
      <c r="C969" s="7">
        <v>45961</v>
      </c>
      <c r="D969" s="2" t="s">
        <v>989</v>
      </c>
      <c r="E969" s="4">
        <v>1</v>
      </c>
      <c r="F969" s="8" t="str">
        <f>_xlfn.XLOOKUP(D969,Master[Product_Code],Master[Category])</f>
        <v>Jeans</v>
      </c>
      <c r="G969" s="8" t="str">
        <f>_xlfn.XLOOKUP(D969,Master[Product_Code],Master[Brand])</f>
        <v>Pepe</v>
      </c>
      <c r="H969" s="8" t="str">
        <f>_xlfn.XLOOKUP(D969,Master[Product_Code],Master[Style])</f>
        <v>Baggy</v>
      </c>
      <c r="I969" s="8" t="str">
        <f>_xlfn.XLOOKUP(D969,Master[Product_Code],Master[Fabric])</f>
        <v>Denim</v>
      </c>
      <c r="J969" s="8">
        <f>_xlfn.XLOOKUP(D969,Master[Product_Code],Master[Size])</f>
        <v>44</v>
      </c>
      <c r="K969" s="8" t="str">
        <f>_xlfn.XLOOKUP(D969,Master[Product_Code],Master[Color])</f>
        <v>Olive</v>
      </c>
      <c r="L969" s="3">
        <f>_xlfn.XLOOKUP(D969,Master[Product_Code],Master[Selling_Price])</f>
        <v>870</v>
      </c>
    </row>
    <row r="970" spans="2:12">
      <c r="B970" s="2" t="s">
        <v>2161</v>
      </c>
      <c r="C970" s="7">
        <v>45961</v>
      </c>
      <c r="D970" s="2" t="s">
        <v>286</v>
      </c>
      <c r="E970" s="4">
        <v>1</v>
      </c>
      <c r="F970" s="8" t="str">
        <f>_xlfn.XLOOKUP(D970,Master[Product_Code],Master[Category])</f>
        <v>Shirt</v>
      </c>
      <c r="G970" s="8" t="str">
        <f>_xlfn.XLOOKUP(D970,Master[Product_Code],Master[Brand])</f>
        <v>Thailand</v>
      </c>
      <c r="H970" s="8" t="str">
        <f>_xlfn.XLOOKUP(D970,Master[Product_Code],Master[Style])</f>
        <v>Formal</v>
      </c>
      <c r="I970" s="8" t="str">
        <f>_xlfn.XLOOKUP(D970,Master[Product_Code],Master[Fabric])</f>
        <v>Polyester</v>
      </c>
      <c r="J970" s="8" t="str">
        <f>_xlfn.XLOOKUP(D970,Master[Product_Code],Master[Size])</f>
        <v>L</v>
      </c>
      <c r="K970" s="8" t="str">
        <f>_xlfn.XLOOKUP(D970,Master[Product_Code],Master[Color])</f>
        <v>Dark Green</v>
      </c>
      <c r="L970" s="3">
        <f>_xlfn.XLOOKUP(D970,Master[Product_Code],Master[Selling_Price])</f>
        <v>940</v>
      </c>
    </row>
    <row r="971" spans="2:12">
      <c r="B971" s="2" t="s">
        <v>2162</v>
      </c>
      <c r="C971" s="7">
        <v>45961</v>
      </c>
      <c r="D971" s="2" t="s">
        <v>552</v>
      </c>
      <c r="E971" s="4">
        <v>1</v>
      </c>
      <c r="F971" s="8" t="str">
        <f>_xlfn.XLOOKUP(D971,Master[Product_Code],Master[Category])</f>
        <v>T-Shirt</v>
      </c>
      <c r="G971" s="8" t="str">
        <f>_xlfn.XLOOKUP(D971,Master[Product_Code],Master[Brand])</f>
        <v>Zara</v>
      </c>
      <c r="H971" s="8" t="str">
        <f>_xlfn.XLOOKUP(D971,Master[Product_Code],Master[Style])</f>
        <v>Full Sleeve</v>
      </c>
      <c r="I971" s="8" t="str">
        <f>_xlfn.XLOOKUP(D971,Master[Product_Code],Master[Fabric])</f>
        <v>Poly Cotton</v>
      </c>
      <c r="J971" s="8" t="str">
        <f>_xlfn.XLOOKUP(D971,Master[Product_Code],Master[Size])</f>
        <v>XL</v>
      </c>
      <c r="K971" s="8" t="str">
        <f>_xlfn.XLOOKUP(D971,Master[Product_Code],Master[Color])</f>
        <v>Teal</v>
      </c>
      <c r="L971" s="3">
        <f>_xlfn.XLOOKUP(D971,Master[Product_Code],Master[Selling_Price])</f>
        <v>280</v>
      </c>
    </row>
    <row r="972" spans="2:12">
      <c r="B972" s="2" t="s">
        <v>2162</v>
      </c>
      <c r="C972" s="7">
        <v>45961</v>
      </c>
      <c r="D972" s="2" t="s">
        <v>153</v>
      </c>
      <c r="E972" s="4">
        <v>1</v>
      </c>
      <c r="F972" s="8" t="str">
        <f>_xlfn.XLOOKUP(D972,Master[Product_Code],Master[Category])</f>
        <v>Shirt</v>
      </c>
      <c r="G972" s="8" t="str">
        <f>_xlfn.XLOOKUP(D972,Master[Product_Code],Master[Brand])</f>
        <v>Max</v>
      </c>
      <c r="H972" s="8" t="str">
        <f>_xlfn.XLOOKUP(D972,Master[Product_Code],Master[Style])</f>
        <v>Formal</v>
      </c>
      <c r="I972" s="8" t="str">
        <f>_xlfn.XLOOKUP(D972,Master[Product_Code],Master[Fabric])</f>
        <v>Polyester</v>
      </c>
      <c r="J972" s="8" t="str">
        <f>_xlfn.XLOOKUP(D972,Master[Product_Code],Master[Size])</f>
        <v>XXL</v>
      </c>
      <c r="K972" s="8" t="str">
        <f>_xlfn.XLOOKUP(D972,Master[Product_Code],Master[Color])</f>
        <v>Royal Blue</v>
      </c>
      <c r="L972" s="3">
        <f>_xlfn.XLOOKUP(D972,Master[Product_Code],Master[Selling_Price])</f>
        <v>730</v>
      </c>
    </row>
    <row r="973" spans="2:12">
      <c r="B973" s="2" t="s">
        <v>2162</v>
      </c>
      <c r="C973" s="7">
        <v>45961</v>
      </c>
      <c r="D973" s="2" t="s">
        <v>106</v>
      </c>
      <c r="E973" s="4">
        <v>1</v>
      </c>
      <c r="F973" s="8" t="str">
        <f>_xlfn.XLOOKUP(D973,Master[Product_Code],Master[Category])</f>
        <v>Shirt</v>
      </c>
      <c r="G973" s="8" t="str">
        <f>_xlfn.XLOOKUP(D973,Master[Product_Code],Master[Brand])</f>
        <v>Zara</v>
      </c>
      <c r="H973" s="8" t="str">
        <f>_xlfn.XLOOKUP(D973,Master[Product_Code],Master[Style])</f>
        <v>Formal</v>
      </c>
      <c r="I973" s="8" t="str">
        <f>_xlfn.XLOOKUP(D973,Master[Product_Code],Master[Fabric])</f>
        <v>Cotton</v>
      </c>
      <c r="J973" s="8" t="str">
        <f>_xlfn.XLOOKUP(D973,Master[Product_Code],Master[Size])</f>
        <v>M</v>
      </c>
      <c r="K973" s="8" t="str">
        <f>_xlfn.XLOOKUP(D973,Master[Product_Code],Master[Color])</f>
        <v>Dark Green</v>
      </c>
      <c r="L973" s="3">
        <f>_xlfn.XLOOKUP(D973,Master[Product_Code],Master[Selling_Price])</f>
        <v>830</v>
      </c>
    </row>
    <row r="974" spans="2:12">
      <c r="B974" s="2" t="s">
        <v>2163</v>
      </c>
      <c r="C974" s="7">
        <v>45961</v>
      </c>
      <c r="D974" s="2" t="s">
        <v>446</v>
      </c>
      <c r="E974" s="4">
        <v>1</v>
      </c>
      <c r="F974" s="8" t="str">
        <f>_xlfn.XLOOKUP(D974,Master[Product_Code],Master[Category])</f>
        <v>T-Shirt</v>
      </c>
      <c r="G974" s="8" t="str">
        <f>_xlfn.XLOOKUP(D974,Master[Product_Code],Master[Brand])</f>
        <v>Max</v>
      </c>
      <c r="H974" s="8" t="str">
        <f>_xlfn.XLOOKUP(D974,Master[Product_Code],Master[Style])</f>
        <v>Sleeveless</v>
      </c>
      <c r="I974" s="8" t="str">
        <f>_xlfn.XLOOKUP(D974,Master[Product_Code],Master[Fabric])</f>
        <v>Cotton</v>
      </c>
      <c r="J974" s="8" t="str">
        <f>_xlfn.XLOOKUP(D974,Master[Product_Code],Master[Size])</f>
        <v>XXL</v>
      </c>
      <c r="K974" s="8" t="str">
        <f>_xlfn.XLOOKUP(D974,Master[Product_Code],Master[Color])</f>
        <v>Rust</v>
      </c>
      <c r="L974" s="3">
        <f>_xlfn.XLOOKUP(D974,Master[Product_Code],Master[Selling_Price])</f>
        <v>610</v>
      </c>
    </row>
    <row r="975" spans="2:12">
      <c r="B975" s="2" t="s">
        <v>2164</v>
      </c>
      <c r="C975" s="7">
        <v>45961</v>
      </c>
      <c r="D975" s="2" t="s">
        <v>1426</v>
      </c>
      <c r="E975" s="4">
        <v>1</v>
      </c>
      <c r="F975" s="8" t="str">
        <f>_xlfn.XLOOKUP(D975,Master[Product_Code],Master[Category])</f>
        <v>Pants</v>
      </c>
      <c r="G975" s="8" t="str">
        <f>_xlfn.XLOOKUP(D975,Master[Product_Code],Master[Brand])</f>
        <v>Raymond</v>
      </c>
      <c r="H975" s="8" t="str">
        <f>_xlfn.XLOOKUP(D975,Master[Product_Code],Master[Style])</f>
        <v>Kurka</v>
      </c>
      <c r="I975" s="8" t="str">
        <f>_xlfn.XLOOKUP(D975,Master[Product_Code],Master[Fabric])</f>
        <v>Lycra</v>
      </c>
      <c r="J975" s="8">
        <f>_xlfn.XLOOKUP(D975,Master[Product_Code],Master[Size])</f>
        <v>42</v>
      </c>
      <c r="K975" s="8" t="str">
        <f>_xlfn.XLOOKUP(D975,Master[Product_Code],Master[Color])</f>
        <v>Grey</v>
      </c>
      <c r="L975" s="3">
        <f>_xlfn.XLOOKUP(D975,Master[Product_Code],Master[Selling_Price])</f>
        <v>900</v>
      </c>
    </row>
    <row r="976" spans="2:12">
      <c r="B976" s="2" t="s">
        <v>2165</v>
      </c>
      <c r="C976" s="7">
        <v>45961</v>
      </c>
      <c r="D976" s="2" t="s">
        <v>256</v>
      </c>
      <c r="E976" s="4">
        <v>1</v>
      </c>
      <c r="F976" s="8" t="str">
        <f>_xlfn.XLOOKUP(D976,Master[Product_Code],Master[Category])</f>
        <v>Shirt</v>
      </c>
      <c r="G976" s="8" t="str">
        <f>_xlfn.XLOOKUP(D976,Master[Product_Code],Master[Brand])</f>
        <v>Luke &amp; Burg</v>
      </c>
      <c r="H976" s="8" t="str">
        <f>_xlfn.XLOOKUP(D976,Master[Product_Code],Master[Style])</f>
        <v>Formal</v>
      </c>
      <c r="I976" s="8" t="str">
        <f>_xlfn.XLOOKUP(D976,Master[Product_Code],Master[Fabric])</f>
        <v>Lycra</v>
      </c>
      <c r="J976" s="8" t="str">
        <f>_xlfn.XLOOKUP(D976,Master[Product_Code],Master[Size])</f>
        <v>XL</v>
      </c>
      <c r="K976" s="8" t="str">
        <f>_xlfn.XLOOKUP(D976,Master[Product_Code],Master[Color])</f>
        <v>Dark Green</v>
      </c>
      <c r="L976" s="3">
        <f>_xlfn.XLOOKUP(D976,Master[Product_Code],Master[Selling_Price])</f>
        <v>900</v>
      </c>
    </row>
    <row r="977" spans="2:12">
      <c r="B977" s="2" t="s">
        <v>2165</v>
      </c>
      <c r="C977" s="7">
        <v>45961</v>
      </c>
      <c r="D977" s="2" t="s">
        <v>1666</v>
      </c>
      <c r="E977" s="4">
        <v>1</v>
      </c>
      <c r="F977" s="8" t="str">
        <f>_xlfn.XLOOKUP(D977,Master[Product_Code],Master[Category])</f>
        <v>Innerwear</v>
      </c>
      <c r="G977" s="8" t="str">
        <f>_xlfn.XLOOKUP(D977,Master[Product_Code],Master[Brand])</f>
        <v>Jockey</v>
      </c>
      <c r="H977" s="8" t="str">
        <f>_xlfn.XLOOKUP(D977,Master[Product_Code],Master[Style])</f>
        <v>V-Cut</v>
      </c>
      <c r="I977" s="8" t="str">
        <f>_xlfn.XLOOKUP(D977,Master[Product_Code],Master[Fabric])</f>
        <v>Cotton Blend</v>
      </c>
      <c r="J977" s="8" t="str">
        <f>_xlfn.XLOOKUP(D977,Master[Product_Code],Master[Size])</f>
        <v>80-85</v>
      </c>
      <c r="K977" s="8" t="str">
        <f>_xlfn.XLOOKUP(D977,Master[Product_Code],Master[Color])</f>
        <v>Sky Blue</v>
      </c>
      <c r="L977" s="3">
        <f>_xlfn.XLOOKUP(D977,Master[Product_Code],Master[Selling_Price])</f>
        <v>140</v>
      </c>
    </row>
    <row r="978" spans="2:12">
      <c r="B978" s="2" t="s">
        <v>2165</v>
      </c>
      <c r="C978" s="7">
        <v>45961</v>
      </c>
      <c r="D978" s="2" t="s">
        <v>63</v>
      </c>
      <c r="E978" s="4">
        <v>1</v>
      </c>
      <c r="F978" s="8" t="str">
        <f>_xlfn.XLOOKUP(D978,Master[Product_Code],Master[Category])</f>
        <v>Shirt</v>
      </c>
      <c r="G978" s="8" t="str">
        <f>_xlfn.XLOOKUP(D978,Master[Product_Code],Master[Brand])</f>
        <v>British</v>
      </c>
      <c r="H978" s="8" t="str">
        <f>_xlfn.XLOOKUP(D978,Master[Product_Code],Master[Style])</f>
        <v>Formal</v>
      </c>
      <c r="I978" s="8" t="str">
        <f>_xlfn.XLOOKUP(D978,Master[Product_Code],Master[Fabric])</f>
        <v>Cotton Blend</v>
      </c>
      <c r="J978" s="8" t="str">
        <f>_xlfn.XLOOKUP(D978,Master[Product_Code],Master[Size])</f>
        <v>XL</v>
      </c>
      <c r="K978" s="8" t="str">
        <f>_xlfn.XLOOKUP(D978,Master[Product_Code],Master[Color])</f>
        <v>Olive</v>
      </c>
      <c r="L978" s="3">
        <f>_xlfn.XLOOKUP(D978,Master[Product_Code],Master[Selling_Price])</f>
        <v>900</v>
      </c>
    </row>
    <row r="979" spans="2:12">
      <c r="B979" s="2" t="s">
        <v>2166</v>
      </c>
      <c r="C979" s="7">
        <v>45961</v>
      </c>
      <c r="D979" s="2" t="s">
        <v>183</v>
      </c>
      <c r="E979" s="4">
        <v>1</v>
      </c>
      <c r="F979" s="8" t="str">
        <f>_xlfn.XLOOKUP(D979,Master[Product_Code],Master[Category])</f>
        <v>Shirt</v>
      </c>
      <c r="G979" s="8" t="str">
        <f>_xlfn.XLOOKUP(D979,Master[Product_Code],Master[Brand])</f>
        <v>British</v>
      </c>
      <c r="H979" s="8" t="str">
        <f>_xlfn.XLOOKUP(D979,Master[Product_Code],Master[Style])</f>
        <v>Formal</v>
      </c>
      <c r="I979" s="8" t="str">
        <f>_xlfn.XLOOKUP(D979,Master[Product_Code],Master[Fabric])</f>
        <v>Polyester</v>
      </c>
      <c r="J979" s="8" t="str">
        <f>_xlfn.XLOOKUP(D979,Master[Product_Code],Master[Size])</f>
        <v>XXL</v>
      </c>
      <c r="K979" s="8" t="str">
        <f>_xlfn.XLOOKUP(D979,Master[Product_Code],Master[Color])</f>
        <v>Black</v>
      </c>
      <c r="L979" s="3">
        <f>_xlfn.XLOOKUP(D979,Master[Product_Code],Master[Selling_Price])</f>
        <v>720</v>
      </c>
    </row>
    <row r="980" spans="2:12">
      <c r="B980" s="2" t="s">
        <v>2167</v>
      </c>
      <c r="C980" s="7">
        <v>45961</v>
      </c>
      <c r="D980" s="2" t="s">
        <v>1163</v>
      </c>
      <c r="E980" s="4">
        <v>1</v>
      </c>
      <c r="F980" s="8" t="str">
        <f>_xlfn.XLOOKUP(D980,Master[Product_Code],Master[Category])</f>
        <v>Pants</v>
      </c>
      <c r="G980" s="8" t="str">
        <f>_xlfn.XLOOKUP(D980,Master[Product_Code],Master[Brand])</f>
        <v>Park Avenue</v>
      </c>
      <c r="H980" s="8" t="str">
        <f>_xlfn.XLOOKUP(D980,Master[Product_Code],Master[Style])</f>
        <v>Boot Cut</v>
      </c>
      <c r="I980" s="8" t="str">
        <f>_xlfn.XLOOKUP(D980,Master[Product_Code],Master[Fabric])</f>
        <v>Cotton Blend</v>
      </c>
      <c r="J980" s="8">
        <f>_xlfn.XLOOKUP(D980,Master[Product_Code],Master[Size])</f>
        <v>32</v>
      </c>
      <c r="K980" s="8" t="str">
        <f>_xlfn.XLOOKUP(D980,Master[Product_Code],Master[Color])</f>
        <v>Grey</v>
      </c>
      <c r="L980" s="3">
        <f>_xlfn.XLOOKUP(D980,Master[Product_Code],Master[Selling_Price])</f>
        <v>760</v>
      </c>
    </row>
    <row r="981" spans="2:12">
      <c r="B981" s="2" t="s">
        <v>2167</v>
      </c>
      <c r="C981" s="7">
        <v>45961</v>
      </c>
      <c r="D981" s="2" t="s">
        <v>972</v>
      </c>
      <c r="E981" s="4">
        <v>1</v>
      </c>
      <c r="F981" s="8" t="str">
        <f>_xlfn.XLOOKUP(D981,Master[Product_Code],Master[Category])</f>
        <v>Jeans</v>
      </c>
      <c r="G981" s="8" t="str">
        <f>_xlfn.XLOOKUP(D981,Master[Product_Code],Master[Brand])</f>
        <v>Pepe</v>
      </c>
      <c r="H981" s="8" t="str">
        <f>_xlfn.XLOOKUP(D981,Master[Product_Code],Master[Style])</f>
        <v>Baggy</v>
      </c>
      <c r="I981" s="8" t="str">
        <f>_xlfn.XLOOKUP(D981,Master[Product_Code],Master[Fabric])</f>
        <v>Denim</v>
      </c>
      <c r="J981" s="8">
        <f>_xlfn.XLOOKUP(D981,Master[Product_Code],Master[Size])</f>
        <v>38</v>
      </c>
      <c r="K981" s="8" t="str">
        <f>_xlfn.XLOOKUP(D981,Master[Product_Code],Master[Color])</f>
        <v>Rust</v>
      </c>
      <c r="L981" s="3">
        <f>_xlfn.XLOOKUP(D981,Master[Product_Code],Master[Selling_Price])</f>
        <v>780</v>
      </c>
    </row>
    <row r="982" spans="2:12">
      <c r="B982" s="2" t="s">
        <v>2167</v>
      </c>
      <c r="C982" s="7">
        <v>45961</v>
      </c>
      <c r="D982" s="2" t="s">
        <v>1354</v>
      </c>
      <c r="E982" s="4">
        <v>1</v>
      </c>
      <c r="F982" s="8" t="str">
        <f>_xlfn.XLOOKUP(D982,Master[Product_Code],Master[Category])</f>
        <v>Pants</v>
      </c>
      <c r="G982" s="8" t="str">
        <f>_xlfn.XLOOKUP(D982,Master[Product_Code],Master[Brand])</f>
        <v>Raymond</v>
      </c>
      <c r="H982" s="8" t="str">
        <f>_xlfn.XLOOKUP(D982,Master[Product_Code],Master[Style])</f>
        <v>Korean</v>
      </c>
      <c r="I982" s="8" t="str">
        <f>_xlfn.XLOOKUP(D982,Master[Product_Code],Master[Fabric])</f>
        <v>Lycra</v>
      </c>
      <c r="J982" s="8">
        <f>_xlfn.XLOOKUP(D982,Master[Product_Code],Master[Size])</f>
        <v>36</v>
      </c>
      <c r="K982" s="8" t="str">
        <f>_xlfn.XLOOKUP(D982,Master[Product_Code],Master[Color])</f>
        <v>White</v>
      </c>
      <c r="L982" s="3">
        <f>_xlfn.XLOOKUP(D982,Master[Product_Code],Master[Selling_Price])</f>
        <v>740</v>
      </c>
    </row>
    <row r="983" spans="2:12">
      <c r="B983" s="2" t="s">
        <v>2167</v>
      </c>
      <c r="C983" s="7">
        <v>45961</v>
      </c>
      <c r="D983" s="2" t="s">
        <v>1026</v>
      </c>
      <c r="E983" s="4">
        <v>1</v>
      </c>
      <c r="F983" s="8" t="str">
        <f>_xlfn.XLOOKUP(D983,Master[Product_Code],Master[Category])</f>
        <v>Jeans</v>
      </c>
      <c r="G983" s="8" t="str">
        <f>_xlfn.XLOOKUP(D983,Master[Product_Code],Master[Brand])</f>
        <v>Wrangler</v>
      </c>
      <c r="H983" s="8" t="str">
        <f>_xlfn.XLOOKUP(D983,Master[Product_Code],Master[Style])</f>
        <v>Jogger</v>
      </c>
      <c r="I983" s="8" t="str">
        <f>_xlfn.XLOOKUP(D983,Master[Product_Code],Master[Fabric])</f>
        <v>Denim</v>
      </c>
      <c r="J983" s="8">
        <f>_xlfn.XLOOKUP(D983,Master[Product_Code],Master[Size])</f>
        <v>40</v>
      </c>
      <c r="K983" s="8" t="str">
        <f>_xlfn.XLOOKUP(D983,Master[Product_Code],Master[Color])</f>
        <v>Rust</v>
      </c>
      <c r="L983" s="3">
        <f>_xlfn.XLOOKUP(D983,Master[Product_Code],Master[Selling_Price])</f>
        <v>990</v>
      </c>
    </row>
    <row r="984" spans="2:12">
      <c r="B984" s="2" t="s">
        <v>2168</v>
      </c>
      <c r="C984" s="7">
        <v>45961</v>
      </c>
      <c r="D984" s="2" t="s">
        <v>1718</v>
      </c>
      <c r="E984" s="4">
        <v>1</v>
      </c>
      <c r="F984" s="8" t="str">
        <f>_xlfn.XLOOKUP(D984,Master[Product_Code],Master[Category])</f>
        <v>Innerwear</v>
      </c>
      <c r="G984" s="8" t="str">
        <f>_xlfn.XLOOKUP(D984,Master[Product_Code],Master[Brand])</f>
        <v>Rupa</v>
      </c>
      <c r="H984" s="8" t="str">
        <f>_xlfn.XLOOKUP(D984,Master[Product_Code],Master[Style])</f>
        <v>V-Cut</v>
      </c>
      <c r="I984" s="8" t="str">
        <f>_xlfn.XLOOKUP(D984,Master[Product_Code],Master[Fabric])</f>
        <v>Cotton</v>
      </c>
      <c r="J984" s="8" t="str">
        <f>_xlfn.XLOOKUP(D984,Master[Product_Code],Master[Size])</f>
        <v>75-80</v>
      </c>
      <c r="K984" s="8" t="str">
        <f>_xlfn.XLOOKUP(D984,Master[Product_Code],Master[Color])</f>
        <v>Beige</v>
      </c>
      <c r="L984" s="3">
        <f>_xlfn.XLOOKUP(D984,Master[Product_Code],Master[Selling_Price])</f>
        <v>140</v>
      </c>
    </row>
    <row r="985" spans="2:12">
      <c r="B985" s="2" t="s">
        <v>2168</v>
      </c>
      <c r="C985" s="7">
        <v>45961</v>
      </c>
      <c r="D985" s="2" t="s">
        <v>160</v>
      </c>
      <c r="E985" s="4">
        <v>1</v>
      </c>
      <c r="F985" s="8" t="str">
        <f>_xlfn.XLOOKUP(D985,Master[Product_Code],Master[Category])</f>
        <v>Shirt</v>
      </c>
      <c r="G985" s="8" t="str">
        <f>_xlfn.XLOOKUP(D985,Master[Product_Code],Master[Brand])</f>
        <v>Max</v>
      </c>
      <c r="H985" s="8" t="str">
        <f>_xlfn.XLOOKUP(D985,Master[Product_Code],Master[Style])</f>
        <v>Casual</v>
      </c>
      <c r="I985" s="8" t="str">
        <f>_xlfn.XLOOKUP(D985,Master[Product_Code],Master[Fabric])</f>
        <v>Cotton Blend</v>
      </c>
      <c r="J985" s="8" t="str">
        <f>_xlfn.XLOOKUP(D985,Master[Product_Code],Master[Size])</f>
        <v>L</v>
      </c>
      <c r="K985" s="8" t="str">
        <f>_xlfn.XLOOKUP(D985,Master[Product_Code],Master[Color])</f>
        <v>Charcoal</v>
      </c>
      <c r="L985" s="3">
        <f>_xlfn.XLOOKUP(D985,Master[Product_Code],Master[Selling_Price])</f>
        <v>760</v>
      </c>
    </row>
    <row r="986" spans="2:12">
      <c r="B986" s="2" t="s">
        <v>2169</v>
      </c>
      <c r="C986" s="7">
        <v>45961</v>
      </c>
      <c r="D986" s="2" t="s">
        <v>1270</v>
      </c>
      <c r="E986" s="4">
        <v>1</v>
      </c>
      <c r="F986" s="8" t="str">
        <f>_xlfn.XLOOKUP(D986,Master[Product_Code],Master[Category])</f>
        <v>Pants</v>
      </c>
      <c r="G986" s="8" t="str">
        <f>_xlfn.XLOOKUP(D986,Master[Product_Code],Master[Brand])</f>
        <v>Park Avenue</v>
      </c>
      <c r="H986" s="8" t="str">
        <f>_xlfn.XLOOKUP(D986,Master[Product_Code],Master[Style])</f>
        <v>Boot Cut</v>
      </c>
      <c r="I986" s="8" t="str">
        <f>_xlfn.XLOOKUP(D986,Master[Product_Code],Master[Fabric])</f>
        <v>Poly Viscose</v>
      </c>
      <c r="J986" s="8">
        <f>_xlfn.XLOOKUP(D986,Master[Product_Code],Master[Size])</f>
        <v>40</v>
      </c>
      <c r="K986" s="8" t="str">
        <f>_xlfn.XLOOKUP(D986,Master[Product_Code],Master[Color])</f>
        <v>Teal</v>
      </c>
      <c r="L986" s="3">
        <f>_xlfn.XLOOKUP(D986,Master[Product_Code],Master[Selling_Price])</f>
        <v>880</v>
      </c>
    </row>
    <row r="987" spans="2:12">
      <c r="B987" s="2" t="s">
        <v>2169</v>
      </c>
      <c r="C987" s="7">
        <v>45961</v>
      </c>
      <c r="D987" s="2" t="s">
        <v>609</v>
      </c>
      <c r="E987" s="4">
        <v>1</v>
      </c>
      <c r="F987" s="8" t="str">
        <f>_xlfn.XLOOKUP(D987,Master[Product_Code],Master[Category])</f>
        <v>T-Shirt</v>
      </c>
      <c r="G987" s="8" t="str">
        <f>_xlfn.XLOOKUP(D987,Master[Product_Code],Master[Brand])</f>
        <v>Campus</v>
      </c>
      <c r="H987" s="8" t="str">
        <f>_xlfn.XLOOKUP(D987,Master[Product_Code],Master[Style])</f>
        <v>3/4 Sleeve</v>
      </c>
      <c r="I987" s="8" t="str">
        <f>_xlfn.XLOOKUP(D987,Master[Product_Code],Master[Fabric])</f>
        <v>Poly Cotton</v>
      </c>
      <c r="J987" s="8" t="str">
        <f>_xlfn.XLOOKUP(D987,Master[Product_Code],Master[Size])</f>
        <v>XL</v>
      </c>
      <c r="K987" s="8" t="str">
        <f>_xlfn.XLOOKUP(D987,Master[Product_Code],Master[Color])</f>
        <v>Light Grey</v>
      </c>
      <c r="L987" s="3">
        <f>_xlfn.XLOOKUP(D987,Master[Product_Code],Master[Selling_Price])</f>
        <v>270</v>
      </c>
    </row>
    <row r="988" spans="2:12">
      <c r="B988" s="2" t="s">
        <v>2169</v>
      </c>
      <c r="C988" s="7">
        <v>45961</v>
      </c>
      <c r="D988" s="2" t="s">
        <v>178</v>
      </c>
      <c r="E988" s="4">
        <v>1</v>
      </c>
      <c r="F988" s="8" t="str">
        <f>_xlfn.XLOOKUP(D988,Master[Product_Code],Master[Category])</f>
        <v>Shirt</v>
      </c>
      <c r="G988" s="8" t="str">
        <f>_xlfn.XLOOKUP(D988,Master[Product_Code],Master[Brand])</f>
        <v>L7</v>
      </c>
      <c r="H988" s="8" t="str">
        <f>_xlfn.XLOOKUP(D988,Master[Product_Code],Master[Style])</f>
        <v>Formal</v>
      </c>
      <c r="I988" s="8" t="str">
        <f>_xlfn.XLOOKUP(D988,Master[Product_Code],Master[Fabric])</f>
        <v>Cotton</v>
      </c>
      <c r="J988" s="8" t="str">
        <f>_xlfn.XLOOKUP(D988,Master[Product_Code],Master[Size])</f>
        <v>L</v>
      </c>
      <c r="K988" s="8" t="str">
        <f>_xlfn.XLOOKUP(D988,Master[Product_Code],Master[Color])</f>
        <v>Light Grey</v>
      </c>
      <c r="L988" s="3">
        <f>_xlfn.XLOOKUP(D988,Master[Product_Code],Master[Selling_Price])</f>
        <v>640</v>
      </c>
    </row>
    <row r="989" spans="2:12">
      <c r="B989" s="2" t="s">
        <v>2170</v>
      </c>
      <c r="C989" s="7">
        <v>45961</v>
      </c>
      <c r="D989" s="2" t="s">
        <v>251</v>
      </c>
      <c r="E989" s="4">
        <v>1</v>
      </c>
      <c r="F989" s="8" t="str">
        <f>_xlfn.XLOOKUP(D989,Master[Product_Code],Master[Category])</f>
        <v>Shirt</v>
      </c>
      <c r="G989" s="8" t="str">
        <f>_xlfn.XLOOKUP(D989,Master[Product_Code],Master[Brand])</f>
        <v>Max</v>
      </c>
      <c r="H989" s="8" t="str">
        <f>_xlfn.XLOOKUP(D989,Master[Product_Code],Master[Style])</f>
        <v>Partywear</v>
      </c>
      <c r="I989" s="8" t="str">
        <f>_xlfn.XLOOKUP(D989,Master[Product_Code],Master[Fabric])</f>
        <v>Polyester</v>
      </c>
      <c r="J989" s="8" t="str">
        <f>_xlfn.XLOOKUP(D989,Master[Product_Code],Master[Size])</f>
        <v>XL</v>
      </c>
      <c r="K989" s="8" t="str">
        <f>_xlfn.XLOOKUP(D989,Master[Product_Code],Master[Color])</f>
        <v>Royal Blue</v>
      </c>
      <c r="L989" s="3">
        <f>_xlfn.XLOOKUP(D989,Master[Product_Code],Master[Selling_Price])</f>
        <v>730</v>
      </c>
    </row>
    <row r="990" spans="2:12">
      <c r="B990" s="2" t="s">
        <v>2170</v>
      </c>
      <c r="C990" s="7">
        <v>45961</v>
      </c>
      <c r="D990" s="2" t="s">
        <v>1519</v>
      </c>
      <c r="E990" s="4">
        <v>1</v>
      </c>
      <c r="F990" s="8" t="str">
        <f>_xlfn.XLOOKUP(D990,Master[Product_Code],Master[Category])</f>
        <v>Innerwear</v>
      </c>
      <c r="G990" s="8" t="str">
        <f>_xlfn.XLOOKUP(D990,Master[Product_Code],Master[Brand])</f>
        <v>Rupa</v>
      </c>
      <c r="H990" s="8" t="str">
        <f>_xlfn.XLOOKUP(D990,Master[Product_Code],Master[Style])</f>
        <v>V-Cut</v>
      </c>
      <c r="I990" s="8" t="str">
        <f>_xlfn.XLOOKUP(D990,Master[Product_Code],Master[Fabric])</f>
        <v>Cotton Blend</v>
      </c>
      <c r="J990" s="8" t="str">
        <f>_xlfn.XLOOKUP(D990,Master[Product_Code],Master[Size])</f>
        <v>90-100</v>
      </c>
      <c r="K990" s="8" t="str">
        <f>_xlfn.XLOOKUP(D990,Master[Product_Code],Master[Color])</f>
        <v>Cream</v>
      </c>
      <c r="L990" s="3">
        <f>_xlfn.XLOOKUP(D990,Master[Product_Code],Master[Selling_Price])</f>
        <v>190</v>
      </c>
    </row>
    <row r="991" spans="2:12">
      <c r="B991" s="2" t="s">
        <v>2171</v>
      </c>
      <c r="C991" s="7">
        <v>45961</v>
      </c>
      <c r="D991" s="2" t="s">
        <v>558</v>
      </c>
      <c r="E991" s="4">
        <v>1</v>
      </c>
      <c r="F991" s="8" t="str">
        <f>_xlfn.XLOOKUP(D991,Master[Product_Code],Master[Category])</f>
        <v>T-Shirt</v>
      </c>
      <c r="G991" s="8" t="str">
        <f>_xlfn.XLOOKUP(D991,Master[Product_Code],Master[Brand])</f>
        <v>Roadster</v>
      </c>
      <c r="H991" s="8" t="str">
        <f>_xlfn.XLOOKUP(D991,Master[Product_Code],Master[Style])</f>
        <v>3/4 Sleeve</v>
      </c>
      <c r="I991" s="8" t="str">
        <f>_xlfn.XLOOKUP(D991,Master[Product_Code],Master[Fabric])</f>
        <v>Cotton</v>
      </c>
      <c r="J991" s="8" t="str">
        <f>_xlfn.XLOOKUP(D991,Master[Product_Code],Master[Size])</f>
        <v>XL</v>
      </c>
      <c r="K991" s="8" t="str">
        <f>_xlfn.XLOOKUP(D991,Master[Product_Code],Master[Color])</f>
        <v>Brown</v>
      </c>
      <c r="L991" s="3">
        <f>_xlfn.XLOOKUP(D991,Master[Product_Code],Master[Selling_Price])</f>
        <v>300</v>
      </c>
    </row>
    <row r="992" spans="2:12">
      <c r="B992" s="2" t="s">
        <v>2171</v>
      </c>
      <c r="C992" s="7">
        <v>45961</v>
      </c>
      <c r="D992" s="2" t="s">
        <v>237</v>
      </c>
      <c r="E992" s="4">
        <v>1</v>
      </c>
      <c r="F992" s="8" t="str">
        <f>_xlfn.XLOOKUP(D992,Master[Product_Code],Master[Category])</f>
        <v>Shirt</v>
      </c>
      <c r="G992" s="8" t="str">
        <f>_xlfn.XLOOKUP(D992,Master[Product_Code],Master[Brand])</f>
        <v>H&amp;M</v>
      </c>
      <c r="H992" s="8" t="str">
        <f>_xlfn.XLOOKUP(D992,Master[Product_Code],Master[Style])</f>
        <v>Partywear</v>
      </c>
      <c r="I992" s="8" t="str">
        <f>_xlfn.XLOOKUP(D992,Master[Product_Code],Master[Fabric])</f>
        <v>Polyester</v>
      </c>
      <c r="J992" s="8" t="str">
        <f>_xlfn.XLOOKUP(D992,Master[Product_Code],Master[Size])</f>
        <v>S</v>
      </c>
      <c r="K992" s="8" t="str">
        <f>_xlfn.XLOOKUP(D992,Master[Product_Code],Master[Color])</f>
        <v>Sky Blue</v>
      </c>
      <c r="L992" s="3">
        <f>_xlfn.XLOOKUP(D992,Master[Product_Code],Master[Selling_Price])</f>
        <v>790</v>
      </c>
    </row>
    <row r="993" spans="2:12">
      <c r="B993" s="2" t="s">
        <v>2172</v>
      </c>
      <c r="C993" s="7">
        <v>45961</v>
      </c>
      <c r="D993" s="2" t="s">
        <v>1009</v>
      </c>
      <c r="E993" s="4">
        <v>1</v>
      </c>
      <c r="F993" s="8" t="str">
        <f>_xlfn.XLOOKUP(D993,Master[Product_Code],Master[Category])</f>
        <v>Jeans</v>
      </c>
      <c r="G993" s="8" t="str">
        <f>_xlfn.XLOOKUP(D993,Master[Product_Code],Master[Brand])</f>
        <v>Denim Pro</v>
      </c>
      <c r="H993" s="8" t="str">
        <f>_xlfn.XLOOKUP(D993,Master[Product_Code],Master[Style])</f>
        <v>Jogger</v>
      </c>
      <c r="I993" s="8" t="str">
        <f>_xlfn.XLOOKUP(D993,Master[Product_Code],Master[Fabric])</f>
        <v>Denim</v>
      </c>
      <c r="J993" s="8">
        <f>_xlfn.XLOOKUP(D993,Master[Product_Code],Master[Size])</f>
        <v>38</v>
      </c>
      <c r="K993" s="8" t="str">
        <f>_xlfn.XLOOKUP(D993,Master[Product_Code],Master[Color])</f>
        <v>Cream</v>
      </c>
      <c r="L993" s="3">
        <f>_xlfn.XLOOKUP(D993,Master[Product_Code],Master[Selling_Price])</f>
        <v>830</v>
      </c>
    </row>
    <row r="994" spans="2:12">
      <c r="B994" s="2" t="s">
        <v>2172</v>
      </c>
      <c r="C994" s="7">
        <v>45961</v>
      </c>
      <c r="D994" s="2" t="s">
        <v>1102</v>
      </c>
      <c r="E994" s="4">
        <v>1</v>
      </c>
      <c r="F994" s="8" t="str">
        <f>_xlfn.XLOOKUP(D994,Master[Product_Code],Master[Category])</f>
        <v>Jeans</v>
      </c>
      <c r="G994" s="8" t="str">
        <f>_xlfn.XLOOKUP(D994,Master[Product_Code],Master[Brand])</f>
        <v>Levis</v>
      </c>
      <c r="H994" s="8" t="str">
        <f>_xlfn.XLOOKUP(D994,Master[Product_Code],Master[Style])</f>
        <v>Jogger</v>
      </c>
      <c r="I994" s="8" t="str">
        <f>_xlfn.XLOOKUP(D994,Master[Product_Code],Master[Fabric])</f>
        <v>Denim</v>
      </c>
      <c r="J994" s="8">
        <f>_xlfn.XLOOKUP(D994,Master[Product_Code],Master[Size])</f>
        <v>28</v>
      </c>
      <c r="K994" s="8" t="str">
        <f>_xlfn.XLOOKUP(D994,Master[Product_Code],Master[Color])</f>
        <v>Bottle Green</v>
      </c>
      <c r="L994" s="3">
        <f>_xlfn.XLOOKUP(D994,Master[Product_Code],Master[Selling_Price])</f>
        <v>800</v>
      </c>
    </row>
    <row r="995" spans="2:12">
      <c r="B995" s="2" t="s">
        <v>2172</v>
      </c>
      <c r="C995" s="7">
        <v>45961</v>
      </c>
      <c r="D995" s="2" t="s">
        <v>699</v>
      </c>
      <c r="E995" s="4">
        <v>1</v>
      </c>
      <c r="F995" s="8" t="str">
        <f>_xlfn.XLOOKUP(D995,Master[Product_Code],Master[Category])</f>
        <v>T-Shirt</v>
      </c>
      <c r="G995" s="8" t="str">
        <f>_xlfn.XLOOKUP(D995,Master[Product_Code],Master[Brand])</f>
        <v>Turkey</v>
      </c>
      <c r="H995" s="8" t="str">
        <f>_xlfn.XLOOKUP(D995,Master[Product_Code],Master[Style])</f>
        <v>Sleeveless</v>
      </c>
      <c r="I995" s="8" t="str">
        <f>_xlfn.XLOOKUP(D995,Master[Product_Code],Master[Fabric])</f>
        <v>Cotton</v>
      </c>
      <c r="J995" s="8" t="str">
        <f>_xlfn.XLOOKUP(D995,Master[Product_Code],Master[Size])</f>
        <v>L</v>
      </c>
      <c r="K995" s="8" t="str">
        <f>_xlfn.XLOOKUP(D995,Master[Product_Code],Master[Color])</f>
        <v>Royal Blue</v>
      </c>
      <c r="L995" s="3">
        <f>_xlfn.XLOOKUP(D995,Master[Product_Code],Master[Selling_Price])</f>
        <v>560</v>
      </c>
    </row>
    <row r="996" spans="2:12">
      <c r="B996" s="2" t="s">
        <v>2173</v>
      </c>
      <c r="C996" s="7">
        <v>45962</v>
      </c>
      <c r="D996" s="2" t="s">
        <v>274</v>
      </c>
      <c r="E996" s="4">
        <v>1</v>
      </c>
      <c r="F996" s="8" t="str">
        <f>_xlfn.XLOOKUP(D996,Master[Product_Code],Master[Category])</f>
        <v>Shirt</v>
      </c>
      <c r="G996" s="8" t="str">
        <f>_xlfn.XLOOKUP(D996,Master[Product_Code],Master[Brand])</f>
        <v>Luke &amp; Burg</v>
      </c>
      <c r="H996" s="8" t="str">
        <f>_xlfn.XLOOKUP(D996,Master[Product_Code],Master[Style])</f>
        <v>Casual</v>
      </c>
      <c r="I996" s="8" t="str">
        <f>_xlfn.XLOOKUP(D996,Master[Product_Code],Master[Fabric])</f>
        <v>Cotton</v>
      </c>
      <c r="J996" s="8" t="str">
        <f>_xlfn.XLOOKUP(D996,Master[Product_Code],Master[Size])</f>
        <v>L</v>
      </c>
      <c r="K996" s="8" t="str">
        <f>_xlfn.XLOOKUP(D996,Master[Product_Code],Master[Color])</f>
        <v>Navy Blue</v>
      </c>
      <c r="L996" s="3">
        <f>_xlfn.XLOOKUP(D996,Master[Product_Code],Master[Selling_Price])</f>
        <v>770</v>
      </c>
    </row>
    <row r="997" spans="2:12">
      <c r="B997" s="2" t="s">
        <v>2173</v>
      </c>
      <c r="C997" s="7">
        <v>45962</v>
      </c>
      <c r="D997" s="2" t="s">
        <v>1635</v>
      </c>
      <c r="E997" s="4">
        <v>1</v>
      </c>
      <c r="F997" s="8" t="str">
        <f>_xlfn.XLOOKUP(D997,Master[Product_Code],Master[Category])</f>
        <v>Innerwear</v>
      </c>
      <c r="G997" s="8" t="str">
        <f>_xlfn.XLOOKUP(D997,Master[Product_Code],Master[Brand])</f>
        <v>V Star</v>
      </c>
      <c r="H997" s="8" t="str">
        <f>_xlfn.XLOOKUP(D997,Master[Product_Code],Master[Style])</f>
        <v>Boxer</v>
      </c>
      <c r="I997" s="8" t="str">
        <f>_xlfn.XLOOKUP(D997,Master[Product_Code],Master[Fabric])</f>
        <v>Cotton</v>
      </c>
      <c r="J997" s="8" t="str">
        <f>_xlfn.XLOOKUP(D997,Master[Product_Code],Master[Size])</f>
        <v>105-110</v>
      </c>
      <c r="K997" s="8" t="str">
        <f>_xlfn.XLOOKUP(D997,Master[Product_Code],Master[Color])</f>
        <v>Beige</v>
      </c>
      <c r="L997" s="3">
        <f>_xlfn.XLOOKUP(D997,Master[Product_Code],Master[Selling_Price])</f>
        <v>190</v>
      </c>
    </row>
    <row r="998" spans="2:12">
      <c r="B998" s="2" t="s">
        <v>2173</v>
      </c>
      <c r="C998" s="7">
        <v>45962</v>
      </c>
      <c r="D998" s="2" t="s">
        <v>1438</v>
      </c>
      <c r="E998" s="4">
        <v>1</v>
      </c>
      <c r="F998" s="8" t="str">
        <f>_xlfn.XLOOKUP(D998,Master[Product_Code],Master[Category])</f>
        <v>Pants</v>
      </c>
      <c r="G998" s="8" t="str">
        <f>_xlfn.XLOOKUP(D998,Master[Product_Code],Master[Brand])</f>
        <v>Louis Philippe</v>
      </c>
      <c r="H998" s="8" t="str">
        <f>_xlfn.XLOOKUP(D998,Master[Product_Code],Master[Style])</f>
        <v>Korean</v>
      </c>
      <c r="I998" s="8" t="str">
        <f>_xlfn.XLOOKUP(D998,Master[Product_Code],Master[Fabric])</f>
        <v>Lycra</v>
      </c>
      <c r="J998" s="8">
        <f>_xlfn.XLOOKUP(D998,Master[Product_Code],Master[Size])</f>
        <v>40</v>
      </c>
      <c r="K998" s="8" t="str">
        <f>_xlfn.XLOOKUP(D998,Master[Product_Code],Master[Color])</f>
        <v>Light Grey</v>
      </c>
      <c r="L998" s="3">
        <f>_xlfn.XLOOKUP(D998,Master[Product_Code],Master[Selling_Price])</f>
        <v>880</v>
      </c>
    </row>
    <row r="999" spans="2:12">
      <c r="B999" s="2" t="s">
        <v>2174</v>
      </c>
      <c r="C999" s="7">
        <v>45962</v>
      </c>
      <c r="D999" s="2" t="s">
        <v>1548</v>
      </c>
      <c r="E999" s="4">
        <v>1</v>
      </c>
      <c r="F999" s="8" t="str">
        <f>_xlfn.XLOOKUP(D999,Master[Product_Code],Master[Category])</f>
        <v>Innerwear</v>
      </c>
      <c r="G999" s="8" t="str">
        <f>_xlfn.XLOOKUP(D999,Master[Product_Code],Master[Brand])</f>
        <v>Jockey</v>
      </c>
      <c r="H999" s="8" t="str">
        <f>_xlfn.XLOOKUP(D999,Master[Product_Code],Master[Style])</f>
        <v>Boxer</v>
      </c>
      <c r="I999" s="8" t="str">
        <f>_xlfn.XLOOKUP(D999,Master[Product_Code],Master[Fabric])</f>
        <v>Cotton</v>
      </c>
      <c r="J999" s="8" t="str">
        <f>_xlfn.XLOOKUP(D999,Master[Product_Code],Master[Size])</f>
        <v>105-110</v>
      </c>
      <c r="K999" s="8" t="str">
        <f>_xlfn.XLOOKUP(D999,Master[Product_Code],Master[Color])</f>
        <v>Rust</v>
      </c>
      <c r="L999" s="3">
        <f>_xlfn.XLOOKUP(D999,Master[Product_Code],Master[Selling_Price])</f>
        <v>160</v>
      </c>
    </row>
    <row r="1000" spans="2:12">
      <c r="B1000" s="2" t="s">
        <v>2174</v>
      </c>
      <c r="C1000" s="7">
        <v>45962</v>
      </c>
      <c r="D1000" s="2" t="s">
        <v>121</v>
      </c>
      <c r="E1000" s="4">
        <v>1</v>
      </c>
      <c r="F1000" s="8" t="str">
        <f>_xlfn.XLOOKUP(D1000,Master[Product_Code],Master[Category])</f>
        <v>Shirt</v>
      </c>
      <c r="G1000" s="8" t="str">
        <f>_xlfn.XLOOKUP(D1000,Master[Product_Code],Master[Brand])</f>
        <v>USD</v>
      </c>
      <c r="H1000" s="8" t="str">
        <f>_xlfn.XLOOKUP(D1000,Master[Product_Code],Master[Style])</f>
        <v>Partywear</v>
      </c>
      <c r="I1000" s="8" t="str">
        <f>_xlfn.XLOOKUP(D1000,Master[Product_Code],Master[Fabric])</f>
        <v>Cotton Blend</v>
      </c>
      <c r="J1000" s="8" t="str">
        <f>_xlfn.XLOOKUP(D1000,Master[Product_Code],Master[Size])</f>
        <v>XL</v>
      </c>
      <c r="K1000" s="8" t="str">
        <f>_xlfn.XLOOKUP(D1000,Master[Product_Code],Master[Color])</f>
        <v>Dark Green</v>
      </c>
      <c r="L1000" s="3">
        <f>_xlfn.XLOOKUP(D1000,Master[Product_Code],Master[Selling_Price])</f>
        <v>870</v>
      </c>
    </row>
    <row r="1001" spans="2:12">
      <c r="B1001" s="2" t="s">
        <v>2175</v>
      </c>
      <c r="C1001" s="7">
        <v>45962</v>
      </c>
      <c r="D1001" s="2" t="s">
        <v>40</v>
      </c>
      <c r="E1001" s="4">
        <v>1</v>
      </c>
      <c r="F1001" s="8" t="str">
        <f>_xlfn.XLOOKUP(D1001,Master[Product_Code],Master[Category])</f>
        <v>Shirt</v>
      </c>
      <c r="G1001" s="8" t="str">
        <f>_xlfn.XLOOKUP(D1001,Master[Product_Code],Master[Brand])</f>
        <v>L7</v>
      </c>
      <c r="H1001" s="8" t="str">
        <f>_xlfn.XLOOKUP(D1001,Master[Product_Code],Master[Style])</f>
        <v>Partywear</v>
      </c>
      <c r="I1001" s="8" t="str">
        <f>_xlfn.XLOOKUP(D1001,Master[Product_Code],Master[Fabric])</f>
        <v>Cotton Blend</v>
      </c>
      <c r="J1001" s="8" t="str">
        <f>_xlfn.XLOOKUP(D1001,Master[Product_Code],Master[Size])</f>
        <v>XXL</v>
      </c>
      <c r="K1001" s="8" t="str">
        <f>_xlfn.XLOOKUP(D1001,Master[Product_Code],Master[Color])</f>
        <v>Teal</v>
      </c>
      <c r="L1001" s="3">
        <f>_xlfn.XLOOKUP(D1001,Master[Product_Code],Master[Selling_Price])</f>
        <v>760</v>
      </c>
    </row>
    <row r="1002" spans="2:12">
      <c r="B1002" s="2" t="s">
        <v>2176</v>
      </c>
      <c r="C1002" s="7">
        <v>45962</v>
      </c>
      <c r="D1002" s="2" t="s">
        <v>1597</v>
      </c>
      <c r="E1002" s="4">
        <v>1</v>
      </c>
      <c r="F1002" s="8" t="str">
        <f>_xlfn.XLOOKUP(D1002,Master[Product_Code],Master[Category])</f>
        <v>Innerwear</v>
      </c>
      <c r="G1002" s="8" t="str">
        <f>_xlfn.XLOOKUP(D1002,Master[Product_Code],Master[Brand])</f>
        <v>Dollar</v>
      </c>
      <c r="H1002" s="8" t="str">
        <f>_xlfn.XLOOKUP(D1002,Master[Product_Code],Master[Style])</f>
        <v>Boxer</v>
      </c>
      <c r="I1002" s="8" t="str">
        <f>_xlfn.XLOOKUP(D1002,Master[Product_Code],Master[Fabric])</f>
        <v>Cotton</v>
      </c>
      <c r="J1002" s="8" t="str">
        <f>_xlfn.XLOOKUP(D1002,Master[Product_Code],Master[Size])</f>
        <v>85-90</v>
      </c>
      <c r="K1002" s="8" t="str">
        <f>_xlfn.XLOOKUP(D1002,Master[Product_Code],Master[Color])</f>
        <v>Dark Green</v>
      </c>
      <c r="L1002" s="3">
        <f>_xlfn.XLOOKUP(D1002,Master[Product_Code],Master[Selling_Price])</f>
        <v>130</v>
      </c>
    </row>
    <row r="1003" spans="2:12">
      <c r="B1003" s="2" t="s">
        <v>2176</v>
      </c>
      <c r="C1003" s="7">
        <v>45962</v>
      </c>
      <c r="D1003" s="2" t="s">
        <v>752</v>
      </c>
      <c r="E1003" s="4">
        <v>1</v>
      </c>
      <c r="F1003" s="8" t="str">
        <f>_xlfn.XLOOKUP(D1003,Master[Product_Code],Master[Category])</f>
        <v>T-Shirt</v>
      </c>
      <c r="G1003" s="8" t="str">
        <f>_xlfn.XLOOKUP(D1003,Master[Product_Code],Master[Brand])</f>
        <v>Campus</v>
      </c>
      <c r="H1003" s="8" t="str">
        <f>_xlfn.XLOOKUP(D1003,Master[Product_Code],Master[Style])</f>
        <v>3/4 Sleeve</v>
      </c>
      <c r="I1003" s="8" t="str">
        <f>_xlfn.XLOOKUP(D1003,Master[Product_Code],Master[Fabric])</f>
        <v>Poly Cotton</v>
      </c>
      <c r="J1003" s="8" t="str">
        <f>_xlfn.XLOOKUP(D1003,Master[Product_Code],Master[Size])</f>
        <v>XXL</v>
      </c>
      <c r="K1003" s="8" t="str">
        <f>_xlfn.XLOOKUP(D1003,Master[Product_Code],Master[Color])</f>
        <v>Maroon</v>
      </c>
      <c r="L1003" s="3">
        <f>_xlfn.XLOOKUP(D1003,Master[Product_Code],Master[Selling_Price])</f>
        <v>650</v>
      </c>
    </row>
    <row r="1004" spans="2:12">
      <c r="B1004" s="2" t="s">
        <v>2177</v>
      </c>
      <c r="C1004" s="7">
        <v>45962</v>
      </c>
      <c r="D1004" s="2" t="s">
        <v>1219</v>
      </c>
      <c r="E1004" s="4">
        <v>1</v>
      </c>
      <c r="F1004" s="8" t="str">
        <f>_xlfn.XLOOKUP(D1004,Master[Product_Code],Master[Category])</f>
        <v>Pants</v>
      </c>
      <c r="G1004" s="8" t="str">
        <f>_xlfn.XLOOKUP(D1004,Master[Product_Code],Master[Brand])</f>
        <v>Raymond</v>
      </c>
      <c r="H1004" s="8" t="str">
        <f>_xlfn.XLOOKUP(D1004,Master[Product_Code],Master[Style])</f>
        <v>Korean</v>
      </c>
      <c r="I1004" s="8" t="str">
        <f>_xlfn.XLOOKUP(D1004,Master[Product_Code],Master[Fabric])</f>
        <v>Lycra</v>
      </c>
      <c r="J1004" s="8">
        <f>_xlfn.XLOOKUP(D1004,Master[Product_Code],Master[Size])</f>
        <v>38</v>
      </c>
      <c r="K1004" s="8" t="str">
        <f>_xlfn.XLOOKUP(D1004,Master[Product_Code],Master[Color])</f>
        <v>Olive</v>
      </c>
      <c r="L1004" s="3">
        <f>_xlfn.XLOOKUP(D1004,Master[Product_Code],Master[Selling_Price])</f>
        <v>950</v>
      </c>
    </row>
    <row r="1005" spans="2:12">
      <c r="B1005" s="2" t="s">
        <v>2177</v>
      </c>
      <c r="C1005" s="7">
        <v>45962</v>
      </c>
      <c r="D1005" s="2" t="s">
        <v>305</v>
      </c>
      <c r="E1005" s="4">
        <v>1</v>
      </c>
      <c r="F1005" s="8" t="str">
        <f>_xlfn.XLOOKUP(D1005,Master[Product_Code],Master[Category])</f>
        <v>Shirt</v>
      </c>
      <c r="G1005" s="8" t="str">
        <f>_xlfn.XLOOKUP(D1005,Master[Product_Code],Master[Brand])</f>
        <v>Zara</v>
      </c>
      <c r="H1005" s="8" t="str">
        <f>_xlfn.XLOOKUP(D1005,Master[Product_Code],Master[Style])</f>
        <v>Partywear</v>
      </c>
      <c r="I1005" s="8" t="str">
        <f>_xlfn.XLOOKUP(D1005,Master[Product_Code],Master[Fabric])</f>
        <v>Cotton Blend</v>
      </c>
      <c r="J1005" s="8" t="str">
        <f>_xlfn.XLOOKUP(D1005,Master[Product_Code],Master[Size])</f>
        <v>L</v>
      </c>
      <c r="K1005" s="8" t="str">
        <f>_xlfn.XLOOKUP(D1005,Master[Product_Code],Master[Color])</f>
        <v>Sky Blue</v>
      </c>
      <c r="L1005" s="3">
        <f>_xlfn.XLOOKUP(D1005,Master[Product_Code],Master[Selling_Price])</f>
        <v>760</v>
      </c>
    </row>
    <row r="1006" spans="2:12">
      <c r="B1006" s="2" t="s">
        <v>2177</v>
      </c>
      <c r="C1006" s="7">
        <v>45962</v>
      </c>
      <c r="D1006" s="2" t="s">
        <v>377</v>
      </c>
      <c r="E1006" s="4">
        <v>1</v>
      </c>
      <c r="F1006" s="8" t="str">
        <f>_xlfn.XLOOKUP(D1006,Master[Product_Code],Master[Category])</f>
        <v>Shirt</v>
      </c>
      <c r="G1006" s="8" t="str">
        <f>_xlfn.XLOOKUP(D1006,Master[Product_Code],Master[Brand])</f>
        <v>British</v>
      </c>
      <c r="H1006" s="8" t="str">
        <f>_xlfn.XLOOKUP(D1006,Master[Product_Code],Master[Style])</f>
        <v>Partywear</v>
      </c>
      <c r="I1006" s="8" t="str">
        <f>_xlfn.XLOOKUP(D1006,Master[Product_Code],Master[Fabric])</f>
        <v>Lycra</v>
      </c>
      <c r="J1006" s="8" t="str">
        <f>_xlfn.XLOOKUP(D1006,Master[Product_Code],Master[Size])</f>
        <v>S</v>
      </c>
      <c r="K1006" s="8" t="str">
        <f>_xlfn.XLOOKUP(D1006,Master[Product_Code],Master[Color])</f>
        <v>Sky Blue</v>
      </c>
      <c r="L1006" s="3">
        <f>_xlfn.XLOOKUP(D1006,Master[Product_Code],Master[Selling_Price])</f>
        <v>720</v>
      </c>
    </row>
    <row r="1007" spans="2:12">
      <c r="B1007" s="2" t="s">
        <v>2178</v>
      </c>
      <c r="C1007" s="7">
        <v>45962</v>
      </c>
      <c r="D1007" s="2" t="s">
        <v>287</v>
      </c>
      <c r="E1007" s="4">
        <v>1</v>
      </c>
      <c r="F1007" s="8" t="str">
        <f>_xlfn.XLOOKUP(D1007,Master[Product_Code],Master[Category])</f>
        <v>Shirt</v>
      </c>
      <c r="G1007" s="8" t="str">
        <f>_xlfn.XLOOKUP(D1007,Master[Product_Code],Master[Brand])</f>
        <v>H&amp;M</v>
      </c>
      <c r="H1007" s="8" t="str">
        <f>_xlfn.XLOOKUP(D1007,Master[Product_Code],Master[Style])</f>
        <v>Formal</v>
      </c>
      <c r="I1007" s="8" t="str">
        <f>_xlfn.XLOOKUP(D1007,Master[Product_Code],Master[Fabric])</f>
        <v>Cotton Blend</v>
      </c>
      <c r="J1007" s="8" t="str">
        <f>_xlfn.XLOOKUP(D1007,Master[Product_Code],Master[Size])</f>
        <v>S</v>
      </c>
      <c r="K1007" s="8" t="str">
        <f>_xlfn.XLOOKUP(D1007,Master[Product_Code],Master[Color])</f>
        <v>Olive</v>
      </c>
      <c r="L1007" s="3">
        <f>_xlfn.XLOOKUP(D1007,Master[Product_Code],Master[Selling_Price])</f>
        <v>880</v>
      </c>
    </row>
    <row r="1008" spans="2:12">
      <c r="B1008" s="2" t="s">
        <v>2178</v>
      </c>
      <c r="C1008" s="7">
        <v>45962</v>
      </c>
      <c r="D1008" s="2" t="s">
        <v>376</v>
      </c>
      <c r="E1008" s="4">
        <v>1</v>
      </c>
      <c r="F1008" s="8" t="str">
        <f>_xlfn.XLOOKUP(D1008,Master[Product_Code],Master[Category])</f>
        <v>Shirt</v>
      </c>
      <c r="G1008" s="8" t="str">
        <f>_xlfn.XLOOKUP(D1008,Master[Product_Code],Master[Brand])</f>
        <v>G Studio</v>
      </c>
      <c r="H1008" s="8" t="str">
        <f>_xlfn.XLOOKUP(D1008,Master[Product_Code],Master[Style])</f>
        <v>Casual</v>
      </c>
      <c r="I1008" s="8" t="str">
        <f>_xlfn.XLOOKUP(D1008,Master[Product_Code],Master[Fabric])</f>
        <v>Cotton Blend</v>
      </c>
      <c r="J1008" s="8" t="str">
        <f>_xlfn.XLOOKUP(D1008,Master[Product_Code],Master[Size])</f>
        <v>L</v>
      </c>
      <c r="K1008" s="8" t="str">
        <f>_xlfn.XLOOKUP(D1008,Master[Product_Code],Master[Color])</f>
        <v>Brown</v>
      </c>
      <c r="L1008" s="3">
        <f>_xlfn.XLOOKUP(D1008,Master[Product_Code],Master[Selling_Price])</f>
        <v>770</v>
      </c>
    </row>
    <row r="1009" spans="2:12">
      <c r="B1009" s="2" t="s">
        <v>2178</v>
      </c>
      <c r="C1009" s="7">
        <v>45962</v>
      </c>
      <c r="D1009" s="2" t="s">
        <v>1741</v>
      </c>
      <c r="E1009" s="4">
        <v>1</v>
      </c>
      <c r="F1009" s="8" t="str">
        <f>_xlfn.XLOOKUP(D1009,Master[Product_Code],Master[Category])</f>
        <v>Innerwear</v>
      </c>
      <c r="G1009" s="8" t="str">
        <f>_xlfn.XLOOKUP(D1009,Master[Product_Code],Master[Brand])</f>
        <v>Dollar</v>
      </c>
      <c r="H1009" s="8" t="str">
        <f>_xlfn.XLOOKUP(D1009,Master[Product_Code],Master[Style])</f>
        <v>V-Cut</v>
      </c>
      <c r="I1009" s="8" t="str">
        <f>_xlfn.XLOOKUP(D1009,Master[Product_Code],Master[Fabric])</f>
        <v>Cotton Blend</v>
      </c>
      <c r="J1009" s="8" t="str">
        <f>_xlfn.XLOOKUP(D1009,Master[Product_Code],Master[Size])</f>
        <v>80-85</v>
      </c>
      <c r="K1009" s="8" t="str">
        <f>_xlfn.XLOOKUP(D1009,Master[Product_Code],Master[Color])</f>
        <v>Sky Blue</v>
      </c>
      <c r="L1009" s="3">
        <f>_xlfn.XLOOKUP(D1009,Master[Product_Code],Master[Selling_Price])</f>
        <v>170</v>
      </c>
    </row>
    <row r="1010" spans="2:12">
      <c r="B1010" s="2" t="s">
        <v>2179</v>
      </c>
      <c r="C1010" s="7">
        <v>45962</v>
      </c>
      <c r="D1010" s="2" t="s">
        <v>818</v>
      </c>
      <c r="E1010" s="4">
        <v>1</v>
      </c>
      <c r="F1010" s="8" t="str">
        <f>_xlfn.XLOOKUP(D1010,Master[Product_Code],Master[Category])</f>
        <v>T-Shirt</v>
      </c>
      <c r="G1010" s="8" t="str">
        <f>_xlfn.XLOOKUP(D1010,Master[Product_Code],Master[Brand])</f>
        <v>Urban Monkey</v>
      </c>
      <c r="H1010" s="8" t="str">
        <f>_xlfn.XLOOKUP(D1010,Master[Product_Code],Master[Style])</f>
        <v>3/4 Sleeve</v>
      </c>
      <c r="I1010" s="8" t="str">
        <f>_xlfn.XLOOKUP(D1010,Master[Product_Code],Master[Fabric])</f>
        <v>Cotton Blend</v>
      </c>
      <c r="J1010" s="8" t="str">
        <f>_xlfn.XLOOKUP(D1010,Master[Product_Code],Master[Size])</f>
        <v>M</v>
      </c>
      <c r="K1010" s="8" t="str">
        <f>_xlfn.XLOOKUP(D1010,Master[Product_Code],Master[Color])</f>
        <v>Wine</v>
      </c>
      <c r="L1010" s="3">
        <f>_xlfn.XLOOKUP(D1010,Master[Product_Code],Master[Selling_Price])</f>
        <v>620</v>
      </c>
    </row>
    <row r="1011" spans="2:12">
      <c r="B1011" s="2" t="s">
        <v>2179</v>
      </c>
      <c r="C1011" s="7">
        <v>45962</v>
      </c>
      <c r="D1011" s="2" t="s">
        <v>1593</v>
      </c>
      <c r="E1011" s="4">
        <v>1</v>
      </c>
      <c r="F1011" s="8" t="str">
        <f>_xlfn.XLOOKUP(D1011,Master[Product_Code],Master[Category])</f>
        <v>Innerwear</v>
      </c>
      <c r="G1011" s="8" t="str">
        <f>_xlfn.XLOOKUP(D1011,Master[Product_Code],Master[Brand])</f>
        <v>Dollar</v>
      </c>
      <c r="H1011" s="8" t="str">
        <f>_xlfn.XLOOKUP(D1011,Master[Product_Code],Master[Style])</f>
        <v>V-Cut</v>
      </c>
      <c r="I1011" s="8" t="str">
        <f>_xlfn.XLOOKUP(D1011,Master[Product_Code],Master[Fabric])</f>
        <v>Cotton Blend</v>
      </c>
      <c r="J1011" s="8" t="str">
        <f>_xlfn.XLOOKUP(D1011,Master[Product_Code],Master[Size])</f>
        <v>85-90</v>
      </c>
      <c r="K1011" s="8" t="str">
        <f>_xlfn.XLOOKUP(D1011,Master[Product_Code],Master[Color])</f>
        <v>Beige</v>
      </c>
      <c r="L1011" s="3">
        <f>_xlfn.XLOOKUP(D1011,Master[Product_Code],Master[Selling_Price])</f>
        <v>110</v>
      </c>
    </row>
    <row r="1012" spans="2:12">
      <c r="B1012" s="2" t="s">
        <v>2180</v>
      </c>
      <c r="C1012" s="7">
        <v>45962</v>
      </c>
      <c r="D1012" s="2" t="s">
        <v>324</v>
      </c>
      <c r="E1012" s="4">
        <v>1</v>
      </c>
      <c r="F1012" s="8" t="str">
        <f>_xlfn.XLOOKUP(D1012,Master[Product_Code],Master[Category])</f>
        <v>Shirt</v>
      </c>
      <c r="G1012" s="8" t="str">
        <f>_xlfn.XLOOKUP(D1012,Master[Product_Code],Master[Brand])</f>
        <v>L7</v>
      </c>
      <c r="H1012" s="8" t="str">
        <f>_xlfn.XLOOKUP(D1012,Master[Product_Code],Master[Style])</f>
        <v>Formal</v>
      </c>
      <c r="I1012" s="8" t="str">
        <f>_xlfn.XLOOKUP(D1012,Master[Product_Code],Master[Fabric])</f>
        <v>Cotton Blend</v>
      </c>
      <c r="J1012" s="8" t="str">
        <f>_xlfn.XLOOKUP(D1012,Master[Product_Code],Master[Size])</f>
        <v>S</v>
      </c>
      <c r="K1012" s="8" t="str">
        <f>_xlfn.XLOOKUP(D1012,Master[Product_Code],Master[Color])</f>
        <v>Cream</v>
      </c>
      <c r="L1012" s="3">
        <f>_xlfn.XLOOKUP(D1012,Master[Product_Code],Master[Selling_Price])</f>
        <v>920</v>
      </c>
    </row>
    <row r="1013" spans="2:12">
      <c r="B1013" s="2" t="s">
        <v>2181</v>
      </c>
      <c r="C1013" s="7">
        <v>45962</v>
      </c>
      <c r="D1013" s="2" t="s">
        <v>537</v>
      </c>
      <c r="E1013" s="4">
        <v>1</v>
      </c>
      <c r="F1013" s="8" t="str">
        <f>_xlfn.XLOOKUP(D1013,Master[Product_Code],Master[Category])</f>
        <v>T-Shirt</v>
      </c>
      <c r="G1013" s="8" t="str">
        <f>_xlfn.XLOOKUP(D1013,Master[Product_Code],Master[Brand])</f>
        <v>Turkey</v>
      </c>
      <c r="H1013" s="8" t="str">
        <f>_xlfn.XLOOKUP(D1013,Master[Product_Code],Master[Style])</f>
        <v>3/4 Sleeve</v>
      </c>
      <c r="I1013" s="8" t="str">
        <f>_xlfn.XLOOKUP(D1013,Master[Product_Code],Master[Fabric])</f>
        <v>Poly Cotton</v>
      </c>
      <c r="J1013" s="8" t="str">
        <f>_xlfn.XLOOKUP(D1013,Master[Product_Code],Master[Size])</f>
        <v>S</v>
      </c>
      <c r="K1013" s="8" t="str">
        <f>_xlfn.XLOOKUP(D1013,Master[Product_Code],Master[Color])</f>
        <v>Black</v>
      </c>
      <c r="L1013" s="3">
        <f>_xlfn.XLOOKUP(D1013,Master[Product_Code],Master[Selling_Price])</f>
        <v>480</v>
      </c>
    </row>
    <row r="1014" spans="2:12">
      <c r="B1014" s="2" t="s">
        <v>2181</v>
      </c>
      <c r="C1014" s="7">
        <v>45962</v>
      </c>
      <c r="D1014" s="2" t="s">
        <v>140</v>
      </c>
      <c r="E1014" s="4">
        <v>1</v>
      </c>
      <c r="F1014" s="8" t="str">
        <f>_xlfn.XLOOKUP(D1014,Master[Product_Code],Master[Category])</f>
        <v>Shirt</v>
      </c>
      <c r="G1014" s="8" t="str">
        <f>_xlfn.XLOOKUP(D1014,Master[Product_Code],Master[Brand])</f>
        <v>Luke &amp; Burg</v>
      </c>
      <c r="H1014" s="8" t="str">
        <f>_xlfn.XLOOKUP(D1014,Master[Product_Code],Master[Style])</f>
        <v>Formal</v>
      </c>
      <c r="I1014" s="8" t="str">
        <f>_xlfn.XLOOKUP(D1014,Master[Product_Code],Master[Fabric])</f>
        <v>Polyester</v>
      </c>
      <c r="J1014" s="8" t="str">
        <f>_xlfn.XLOOKUP(D1014,Master[Product_Code],Master[Size])</f>
        <v>M</v>
      </c>
      <c r="K1014" s="8" t="str">
        <f>_xlfn.XLOOKUP(D1014,Master[Product_Code],Master[Color])</f>
        <v>White</v>
      </c>
      <c r="L1014" s="3">
        <f>_xlfn.XLOOKUP(D1014,Master[Product_Code],Master[Selling_Price])</f>
        <v>660</v>
      </c>
    </row>
    <row r="1015" spans="2:12">
      <c r="B1015" s="2" t="s">
        <v>2182</v>
      </c>
      <c r="C1015" s="7">
        <v>45962</v>
      </c>
      <c r="D1015" s="2" t="s">
        <v>1318</v>
      </c>
      <c r="E1015" s="4">
        <v>1</v>
      </c>
      <c r="F1015" s="8" t="str">
        <f>_xlfn.XLOOKUP(D1015,Master[Product_Code],Master[Category])</f>
        <v>Pants</v>
      </c>
      <c r="G1015" s="8" t="str">
        <f>_xlfn.XLOOKUP(D1015,Master[Product_Code],Master[Brand])</f>
        <v>Peter England</v>
      </c>
      <c r="H1015" s="8" t="str">
        <f>_xlfn.XLOOKUP(D1015,Master[Product_Code],Master[Style])</f>
        <v>Jogger</v>
      </c>
      <c r="I1015" s="8" t="str">
        <f>_xlfn.XLOOKUP(D1015,Master[Product_Code],Master[Fabric])</f>
        <v>Cotton</v>
      </c>
      <c r="J1015" s="8">
        <f>_xlfn.XLOOKUP(D1015,Master[Product_Code],Master[Size])</f>
        <v>36</v>
      </c>
      <c r="K1015" s="8" t="str">
        <f>_xlfn.XLOOKUP(D1015,Master[Product_Code],Master[Color])</f>
        <v>Navy Blue</v>
      </c>
      <c r="L1015" s="3">
        <f>_xlfn.XLOOKUP(D1015,Master[Product_Code],Master[Selling_Price])</f>
        <v>870</v>
      </c>
    </row>
    <row r="1016" spans="2:12">
      <c r="B1016" s="2" t="s">
        <v>2182</v>
      </c>
      <c r="C1016" s="7">
        <v>45962</v>
      </c>
      <c r="D1016" s="2" t="s">
        <v>1191</v>
      </c>
      <c r="E1016" s="4">
        <v>1</v>
      </c>
      <c r="F1016" s="8" t="str">
        <f>_xlfn.XLOOKUP(D1016,Master[Product_Code],Master[Category])</f>
        <v>Pants</v>
      </c>
      <c r="G1016" s="8" t="str">
        <f>_xlfn.XLOOKUP(D1016,Master[Product_Code],Master[Brand])</f>
        <v>Park Avenue</v>
      </c>
      <c r="H1016" s="8" t="str">
        <f>_xlfn.XLOOKUP(D1016,Master[Product_Code],Master[Style])</f>
        <v>Polofit</v>
      </c>
      <c r="I1016" s="8" t="str">
        <f>_xlfn.XLOOKUP(D1016,Master[Product_Code],Master[Fabric])</f>
        <v>Lycra</v>
      </c>
      <c r="J1016" s="8">
        <f>_xlfn.XLOOKUP(D1016,Master[Product_Code],Master[Size])</f>
        <v>30</v>
      </c>
      <c r="K1016" s="8" t="str">
        <f>_xlfn.XLOOKUP(D1016,Master[Product_Code],Master[Color])</f>
        <v>Grey</v>
      </c>
      <c r="L1016" s="3">
        <f>_xlfn.XLOOKUP(D1016,Master[Product_Code],Master[Selling_Price])</f>
        <v>760</v>
      </c>
    </row>
    <row r="1017" spans="2:12">
      <c r="B1017" s="2" t="s">
        <v>2182</v>
      </c>
      <c r="C1017" s="7">
        <v>45962</v>
      </c>
      <c r="D1017" s="2" t="s">
        <v>494</v>
      </c>
      <c r="E1017" s="4">
        <v>1</v>
      </c>
      <c r="F1017" s="8" t="str">
        <f>_xlfn.XLOOKUP(D1017,Master[Product_Code],Master[Category])</f>
        <v>T-Shirt</v>
      </c>
      <c r="G1017" s="8" t="str">
        <f>_xlfn.XLOOKUP(D1017,Master[Product_Code],Master[Brand])</f>
        <v>Urban Monkey</v>
      </c>
      <c r="H1017" s="8" t="str">
        <f>_xlfn.XLOOKUP(D1017,Master[Product_Code],Master[Style])</f>
        <v>Half Sleeve</v>
      </c>
      <c r="I1017" s="8" t="str">
        <f>_xlfn.XLOOKUP(D1017,Master[Product_Code],Master[Fabric])</f>
        <v>Poly Cotton</v>
      </c>
      <c r="J1017" s="8" t="str">
        <f>_xlfn.XLOOKUP(D1017,Master[Product_Code],Master[Size])</f>
        <v>XL</v>
      </c>
      <c r="K1017" s="8" t="str">
        <f>_xlfn.XLOOKUP(D1017,Master[Product_Code],Master[Color])</f>
        <v>Dark Green</v>
      </c>
      <c r="L1017" s="3">
        <f>_xlfn.XLOOKUP(D1017,Master[Product_Code],Master[Selling_Price])</f>
        <v>600</v>
      </c>
    </row>
    <row r="1018" spans="2:12">
      <c r="B1018" s="2" t="s">
        <v>2183</v>
      </c>
      <c r="C1018" s="7">
        <v>45962</v>
      </c>
      <c r="D1018" s="2" t="s">
        <v>420</v>
      </c>
      <c r="E1018" s="4">
        <v>1</v>
      </c>
      <c r="F1018" s="8" t="str">
        <f>_xlfn.XLOOKUP(D1018,Master[Product_Code],Master[Category])</f>
        <v>T-Shirt</v>
      </c>
      <c r="G1018" s="8" t="str">
        <f>_xlfn.XLOOKUP(D1018,Master[Product_Code],Master[Brand])</f>
        <v>Roadster</v>
      </c>
      <c r="H1018" s="8" t="str">
        <f>_xlfn.XLOOKUP(D1018,Master[Product_Code],Master[Style])</f>
        <v>3/4 Sleeve</v>
      </c>
      <c r="I1018" s="8" t="str">
        <f>_xlfn.XLOOKUP(D1018,Master[Product_Code],Master[Fabric])</f>
        <v>Cotton Blend</v>
      </c>
      <c r="J1018" s="8" t="str">
        <f>_xlfn.XLOOKUP(D1018,Master[Product_Code],Master[Size])</f>
        <v>XL</v>
      </c>
      <c r="K1018" s="8" t="str">
        <f>_xlfn.XLOOKUP(D1018,Master[Product_Code],Master[Color])</f>
        <v>Cream</v>
      </c>
      <c r="L1018" s="3">
        <f>_xlfn.XLOOKUP(D1018,Master[Product_Code],Master[Selling_Price])</f>
        <v>380</v>
      </c>
    </row>
    <row r="1019" spans="2:12">
      <c r="B1019" s="2" t="s">
        <v>2184</v>
      </c>
      <c r="C1019" s="7">
        <v>45962</v>
      </c>
      <c r="D1019" s="2" t="s">
        <v>454</v>
      </c>
      <c r="E1019" s="4">
        <v>1</v>
      </c>
      <c r="F1019" s="8" t="str">
        <f>_xlfn.XLOOKUP(D1019,Master[Product_Code],Master[Category])</f>
        <v>T-Shirt</v>
      </c>
      <c r="G1019" s="8" t="str">
        <f>_xlfn.XLOOKUP(D1019,Master[Product_Code],Master[Brand])</f>
        <v>Thailand</v>
      </c>
      <c r="H1019" s="8" t="str">
        <f>_xlfn.XLOOKUP(D1019,Master[Product_Code],Master[Style])</f>
        <v>3/4 Sleeve</v>
      </c>
      <c r="I1019" s="8" t="str">
        <f>_xlfn.XLOOKUP(D1019,Master[Product_Code],Master[Fabric])</f>
        <v>Cotton Blend</v>
      </c>
      <c r="J1019" s="8" t="str">
        <f>_xlfn.XLOOKUP(D1019,Master[Product_Code],Master[Size])</f>
        <v>M</v>
      </c>
      <c r="K1019" s="8" t="str">
        <f>_xlfn.XLOOKUP(D1019,Master[Product_Code],Master[Color])</f>
        <v>Navy Blue</v>
      </c>
      <c r="L1019" s="3">
        <f>_xlfn.XLOOKUP(D1019,Master[Product_Code],Master[Selling_Price])</f>
        <v>400</v>
      </c>
    </row>
    <row r="1020" spans="2:12">
      <c r="B1020" s="2" t="s">
        <v>2184</v>
      </c>
      <c r="C1020" s="7">
        <v>45962</v>
      </c>
      <c r="D1020" s="2" t="s">
        <v>518</v>
      </c>
      <c r="E1020" s="4">
        <v>1</v>
      </c>
      <c r="F1020" s="8" t="str">
        <f>_xlfn.XLOOKUP(D1020,Master[Product_Code],Master[Category])</f>
        <v>T-Shirt</v>
      </c>
      <c r="G1020" s="8" t="str">
        <f>_xlfn.XLOOKUP(D1020,Master[Product_Code],Master[Brand])</f>
        <v>Thailand</v>
      </c>
      <c r="H1020" s="8" t="str">
        <f>_xlfn.XLOOKUP(D1020,Master[Product_Code],Master[Style])</f>
        <v>Full Sleeve</v>
      </c>
      <c r="I1020" s="8" t="str">
        <f>_xlfn.XLOOKUP(D1020,Master[Product_Code],Master[Fabric])</f>
        <v>Cotton Blend</v>
      </c>
      <c r="J1020" s="8" t="str">
        <f>_xlfn.XLOOKUP(D1020,Master[Product_Code],Master[Size])</f>
        <v>M</v>
      </c>
      <c r="K1020" s="8" t="str">
        <f>_xlfn.XLOOKUP(D1020,Master[Product_Code],Master[Color])</f>
        <v>Maroon</v>
      </c>
      <c r="L1020" s="3">
        <f>_xlfn.XLOOKUP(D1020,Master[Product_Code],Master[Selling_Price])</f>
        <v>470</v>
      </c>
    </row>
    <row r="1021" spans="2:12">
      <c r="B1021" s="2" t="s">
        <v>2184</v>
      </c>
      <c r="C1021" s="7">
        <v>45962</v>
      </c>
      <c r="D1021" s="2" t="s">
        <v>1699</v>
      </c>
      <c r="E1021" s="4">
        <v>1</v>
      </c>
      <c r="F1021" s="8" t="str">
        <f>_xlfn.XLOOKUP(D1021,Master[Product_Code],Master[Category])</f>
        <v>Innerwear</v>
      </c>
      <c r="G1021" s="8" t="str">
        <f>_xlfn.XLOOKUP(D1021,Master[Product_Code],Master[Brand])</f>
        <v>Rupa</v>
      </c>
      <c r="H1021" s="8" t="str">
        <f>_xlfn.XLOOKUP(D1021,Master[Product_Code],Master[Style])</f>
        <v>V-Cut</v>
      </c>
      <c r="I1021" s="8" t="str">
        <f>_xlfn.XLOOKUP(D1021,Master[Product_Code],Master[Fabric])</f>
        <v>Cotton Blend</v>
      </c>
      <c r="J1021" s="8" t="str">
        <f>_xlfn.XLOOKUP(D1021,Master[Product_Code],Master[Size])</f>
        <v>75-80</v>
      </c>
      <c r="K1021" s="8" t="str">
        <f>_xlfn.XLOOKUP(D1021,Master[Product_Code],Master[Color])</f>
        <v>Navy Blue</v>
      </c>
      <c r="L1021" s="3">
        <f>_xlfn.XLOOKUP(D1021,Master[Product_Code],Master[Selling_Price])</f>
        <v>150</v>
      </c>
    </row>
    <row r="1022" spans="2:12">
      <c r="B1022" s="2" t="s">
        <v>2184</v>
      </c>
      <c r="C1022" s="7">
        <v>45962</v>
      </c>
      <c r="D1022" s="2" t="s">
        <v>846</v>
      </c>
      <c r="E1022" s="4">
        <v>1</v>
      </c>
      <c r="F1022" s="8" t="str">
        <f>_xlfn.XLOOKUP(D1022,Master[Product_Code],Master[Category])</f>
        <v>Jeans</v>
      </c>
      <c r="G1022" s="8" t="str">
        <f>_xlfn.XLOOKUP(D1022,Master[Product_Code],Master[Brand])</f>
        <v>Pepe</v>
      </c>
      <c r="H1022" s="8" t="str">
        <f>_xlfn.XLOOKUP(D1022,Master[Product_Code],Master[Style])</f>
        <v>Mom Fit</v>
      </c>
      <c r="I1022" s="8" t="str">
        <f>_xlfn.XLOOKUP(D1022,Master[Product_Code],Master[Fabric])</f>
        <v>Denim</v>
      </c>
      <c r="J1022" s="8">
        <f>_xlfn.XLOOKUP(D1022,Master[Product_Code],Master[Size])</f>
        <v>36</v>
      </c>
      <c r="K1022" s="8" t="str">
        <f>_xlfn.XLOOKUP(D1022,Master[Product_Code],Master[Color])</f>
        <v>Navy Blue</v>
      </c>
      <c r="L1022" s="3">
        <f>_xlfn.XLOOKUP(D1022,Master[Product_Code],Master[Selling_Price])</f>
        <v>1080</v>
      </c>
    </row>
    <row r="1023" spans="2:12">
      <c r="B1023" s="2" t="s">
        <v>2185</v>
      </c>
      <c r="C1023" s="7">
        <v>45962</v>
      </c>
      <c r="D1023" s="2" t="s">
        <v>889</v>
      </c>
      <c r="E1023" s="4">
        <v>1</v>
      </c>
      <c r="F1023" s="8" t="str">
        <f>_xlfn.XLOOKUP(D1023,Master[Product_Code],Master[Category])</f>
        <v>Jeans</v>
      </c>
      <c r="G1023" s="8" t="str">
        <f>_xlfn.XLOOKUP(D1023,Master[Product_Code],Master[Brand])</f>
        <v>Spykar</v>
      </c>
      <c r="H1023" s="8" t="str">
        <f>_xlfn.XLOOKUP(D1023,Master[Product_Code],Master[Style])</f>
        <v>Mom Fit</v>
      </c>
      <c r="I1023" s="8" t="str">
        <f>_xlfn.XLOOKUP(D1023,Master[Product_Code],Master[Fabric])</f>
        <v>Denim</v>
      </c>
      <c r="J1023" s="8">
        <f>_xlfn.XLOOKUP(D1023,Master[Product_Code],Master[Size])</f>
        <v>34</v>
      </c>
      <c r="K1023" s="8" t="str">
        <f>_xlfn.XLOOKUP(D1023,Master[Product_Code],Master[Color])</f>
        <v>Mustard</v>
      </c>
      <c r="L1023" s="3">
        <f>_xlfn.XLOOKUP(D1023,Master[Product_Code],Master[Selling_Price])</f>
        <v>1030</v>
      </c>
    </row>
    <row r="1024" spans="2:12">
      <c r="B1024" s="2" t="s">
        <v>2185</v>
      </c>
      <c r="C1024" s="7">
        <v>45962</v>
      </c>
      <c r="D1024" s="2" t="s">
        <v>1659</v>
      </c>
      <c r="E1024" s="4">
        <v>1</v>
      </c>
      <c r="F1024" s="8" t="str">
        <f>_xlfn.XLOOKUP(D1024,Master[Product_Code],Master[Category])</f>
        <v>Innerwear</v>
      </c>
      <c r="G1024" s="8" t="str">
        <f>_xlfn.XLOOKUP(D1024,Master[Product_Code],Master[Brand])</f>
        <v>Lux</v>
      </c>
      <c r="H1024" s="8" t="str">
        <f>_xlfn.XLOOKUP(D1024,Master[Product_Code],Master[Style])</f>
        <v>V-Cut</v>
      </c>
      <c r="I1024" s="8" t="str">
        <f>_xlfn.XLOOKUP(D1024,Master[Product_Code],Master[Fabric])</f>
        <v>Cotton</v>
      </c>
      <c r="J1024" s="8" t="str">
        <f>_xlfn.XLOOKUP(D1024,Master[Product_Code],Master[Size])</f>
        <v>105-110</v>
      </c>
      <c r="K1024" s="8" t="str">
        <f>_xlfn.XLOOKUP(D1024,Master[Product_Code],Master[Color])</f>
        <v>White</v>
      </c>
      <c r="L1024" s="3">
        <f>_xlfn.XLOOKUP(D1024,Master[Product_Code],Master[Selling_Price])</f>
        <v>170</v>
      </c>
    </row>
    <row r="1025" spans="2:12">
      <c r="B1025" s="2" t="s">
        <v>2185</v>
      </c>
      <c r="C1025" s="7">
        <v>45962</v>
      </c>
      <c r="D1025" s="2" t="s">
        <v>911</v>
      </c>
      <c r="E1025" s="4">
        <v>1</v>
      </c>
      <c r="F1025" s="8" t="str">
        <f>_xlfn.XLOOKUP(D1025,Master[Product_Code],Master[Category])</f>
        <v>Jeans</v>
      </c>
      <c r="G1025" s="8" t="str">
        <f>_xlfn.XLOOKUP(D1025,Master[Product_Code],Master[Brand])</f>
        <v>Levis</v>
      </c>
      <c r="H1025" s="8" t="str">
        <f>_xlfn.XLOOKUP(D1025,Master[Product_Code],Master[Style])</f>
        <v>Jogger</v>
      </c>
      <c r="I1025" s="8" t="str">
        <f>_xlfn.XLOOKUP(D1025,Master[Product_Code],Master[Fabric])</f>
        <v>Denim</v>
      </c>
      <c r="J1025" s="8">
        <f>_xlfn.XLOOKUP(D1025,Master[Product_Code],Master[Size])</f>
        <v>30</v>
      </c>
      <c r="K1025" s="8" t="str">
        <f>_xlfn.XLOOKUP(D1025,Master[Product_Code],Master[Color])</f>
        <v>Mustard</v>
      </c>
      <c r="L1025" s="3">
        <f>_xlfn.XLOOKUP(D1025,Master[Product_Code],Master[Selling_Price])</f>
        <v>970</v>
      </c>
    </row>
    <row r="1026" spans="2:12">
      <c r="B1026" s="2" t="s">
        <v>2186</v>
      </c>
      <c r="C1026" s="7">
        <v>45962</v>
      </c>
      <c r="D1026" s="2" t="s">
        <v>533</v>
      </c>
      <c r="E1026" s="4">
        <v>1</v>
      </c>
      <c r="F1026" s="8" t="str">
        <f>_xlfn.XLOOKUP(D1026,Master[Product_Code],Master[Category])</f>
        <v>T-Shirt</v>
      </c>
      <c r="G1026" s="8" t="str">
        <f>_xlfn.XLOOKUP(D1026,Master[Product_Code],Master[Brand])</f>
        <v>Roadster</v>
      </c>
      <c r="H1026" s="8" t="str">
        <f>_xlfn.XLOOKUP(D1026,Master[Product_Code],Master[Style])</f>
        <v>Half Sleeve</v>
      </c>
      <c r="I1026" s="8" t="str">
        <f>_xlfn.XLOOKUP(D1026,Master[Product_Code],Master[Fabric])</f>
        <v>Cotton Blend</v>
      </c>
      <c r="J1026" s="8" t="str">
        <f>_xlfn.XLOOKUP(D1026,Master[Product_Code],Master[Size])</f>
        <v>XL</v>
      </c>
      <c r="K1026" s="8" t="str">
        <f>_xlfn.XLOOKUP(D1026,Master[Product_Code],Master[Color])</f>
        <v>Charcoal</v>
      </c>
      <c r="L1026" s="3">
        <f>_xlfn.XLOOKUP(D1026,Master[Product_Code],Master[Selling_Price])</f>
        <v>490</v>
      </c>
    </row>
    <row r="1027" spans="2:12">
      <c r="B1027" s="2" t="s">
        <v>2186</v>
      </c>
      <c r="C1027" s="7">
        <v>45962</v>
      </c>
      <c r="D1027" s="2" t="s">
        <v>129</v>
      </c>
      <c r="E1027" s="4">
        <v>1</v>
      </c>
      <c r="F1027" s="8" t="str">
        <f>_xlfn.XLOOKUP(D1027,Master[Product_Code],Master[Category])</f>
        <v>Shirt</v>
      </c>
      <c r="G1027" s="8" t="str">
        <f>_xlfn.XLOOKUP(D1027,Master[Product_Code],Master[Brand])</f>
        <v>L7</v>
      </c>
      <c r="H1027" s="8" t="str">
        <f>_xlfn.XLOOKUP(D1027,Master[Product_Code],Master[Style])</f>
        <v>Casual</v>
      </c>
      <c r="I1027" s="8" t="str">
        <f>_xlfn.XLOOKUP(D1027,Master[Product_Code],Master[Fabric])</f>
        <v>Lycra</v>
      </c>
      <c r="J1027" s="8" t="str">
        <f>_xlfn.XLOOKUP(D1027,Master[Product_Code],Master[Size])</f>
        <v>XL</v>
      </c>
      <c r="K1027" s="8" t="str">
        <f>_xlfn.XLOOKUP(D1027,Master[Product_Code],Master[Color])</f>
        <v>Wine</v>
      </c>
      <c r="L1027" s="3">
        <f>_xlfn.XLOOKUP(D1027,Master[Product_Code],Master[Selling_Price])</f>
        <v>930</v>
      </c>
    </row>
    <row r="1028" spans="2:12">
      <c r="B1028" s="2" t="s">
        <v>2187</v>
      </c>
      <c r="C1028" s="7">
        <v>45962</v>
      </c>
      <c r="D1028" s="2" t="s">
        <v>991</v>
      </c>
      <c r="E1028" s="4">
        <v>1</v>
      </c>
      <c r="F1028" s="8" t="str">
        <f>_xlfn.XLOOKUP(D1028,Master[Product_Code],Master[Category])</f>
        <v>Jeans</v>
      </c>
      <c r="G1028" s="8" t="str">
        <f>_xlfn.XLOOKUP(D1028,Master[Product_Code],Master[Brand])</f>
        <v>Pepe</v>
      </c>
      <c r="H1028" s="8" t="str">
        <f>_xlfn.XLOOKUP(D1028,Master[Product_Code],Master[Style])</f>
        <v>Baggy</v>
      </c>
      <c r="I1028" s="8" t="str">
        <f>_xlfn.XLOOKUP(D1028,Master[Product_Code],Master[Fabric])</f>
        <v>Denim</v>
      </c>
      <c r="J1028" s="8">
        <f>_xlfn.XLOOKUP(D1028,Master[Product_Code],Master[Size])</f>
        <v>38</v>
      </c>
      <c r="K1028" s="8" t="str">
        <f>_xlfn.XLOOKUP(D1028,Master[Product_Code],Master[Color])</f>
        <v>Cream</v>
      </c>
      <c r="L1028" s="3">
        <f>_xlfn.XLOOKUP(D1028,Master[Product_Code],Master[Selling_Price])</f>
        <v>920</v>
      </c>
    </row>
    <row r="1029" spans="2:12">
      <c r="B1029" s="2" t="s">
        <v>2187</v>
      </c>
      <c r="C1029" s="7">
        <v>45962</v>
      </c>
      <c r="D1029" s="2" t="s">
        <v>1350</v>
      </c>
      <c r="E1029" s="4">
        <v>1</v>
      </c>
      <c r="F1029" s="8" t="str">
        <f>_xlfn.XLOOKUP(D1029,Master[Product_Code],Master[Category])</f>
        <v>Pants</v>
      </c>
      <c r="G1029" s="8" t="str">
        <f>_xlfn.XLOOKUP(D1029,Master[Product_Code],Master[Brand])</f>
        <v>Park Avenue</v>
      </c>
      <c r="H1029" s="8" t="str">
        <f>_xlfn.XLOOKUP(D1029,Master[Product_Code],Master[Style])</f>
        <v>Boot Cut</v>
      </c>
      <c r="I1029" s="8" t="str">
        <f>_xlfn.XLOOKUP(D1029,Master[Product_Code],Master[Fabric])</f>
        <v>Cotton Blend</v>
      </c>
      <c r="J1029" s="8">
        <f>_xlfn.XLOOKUP(D1029,Master[Product_Code],Master[Size])</f>
        <v>40</v>
      </c>
      <c r="K1029" s="8" t="str">
        <f>_xlfn.XLOOKUP(D1029,Master[Product_Code],Master[Color])</f>
        <v>Cream</v>
      </c>
      <c r="L1029" s="3">
        <f>_xlfn.XLOOKUP(D1029,Master[Product_Code],Master[Selling_Price])</f>
        <v>790</v>
      </c>
    </row>
    <row r="1030" spans="2:12">
      <c r="B1030" s="2" t="s">
        <v>2188</v>
      </c>
      <c r="C1030" s="7">
        <v>45962</v>
      </c>
      <c r="D1030" s="2" t="s">
        <v>183</v>
      </c>
      <c r="E1030" s="4">
        <v>1</v>
      </c>
      <c r="F1030" s="8" t="str">
        <f>_xlfn.XLOOKUP(D1030,Master[Product_Code],Master[Category])</f>
        <v>Shirt</v>
      </c>
      <c r="G1030" s="8" t="str">
        <f>_xlfn.XLOOKUP(D1030,Master[Product_Code],Master[Brand])</f>
        <v>British</v>
      </c>
      <c r="H1030" s="8" t="str">
        <f>_xlfn.XLOOKUP(D1030,Master[Product_Code],Master[Style])</f>
        <v>Formal</v>
      </c>
      <c r="I1030" s="8" t="str">
        <f>_xlfn.XLOOKUP(D1030,Master[Product_Code],Master[Fabric])</f>
        <v>Polyester</v>
      </c>
      <c r="J1030" s="8" t="str">
        <f>_xlfn.XLOOKUP(D1030,Master[Product_Code],Master[Size])</f>
        <v>XXL</v>
      </c>
      <c r="K1030" s="8" t="str">
        <f>_xlfn.XLOOKUP(D1030,Master[Product_Code],Master[Color])</f>
        <v>Black</v>
      </c>
      <c r="L1030" s="3">
        <f>_xlfn.XLOOKUP(D1030,Master[Product_Code],Master[Selling_Price])</f>
        <v>720</v>
      </c>
    </row>
    <row r="1031" spans="2:12">
      <c r="B1031" s="2" t="s">
        <v>2188</v>
      </c>
      <c r="C1031" s="7">
        <v>45962</v>
      </c>
      <c r="D1031" s="2" t="s">
        <v>192</v>
      </c>
      <c r="E1031" s="4">
        <v>1</v>
      </c>
      <c r="F1031" s="8" t="str">
        <f>_xlfn.XLOOKUP(D1031,Master[Product_Code],Master[Category])</f>
        <v>Shirt</v>
      </c>
      <c r="G1031" s="8" t="str">
        <f>_xlfn.XLOOKUP(D1031,Master[Product_Code],Master[Brand])</f>
        <v>USD</v>
      </c>
      <c r="H1031" s="8" t="str">
        <f>_xlfn.XLOOKUP(D1031,Master[Product_Code],Master[Style])</f>
        <v>Casual</v>
      </c>
      <c r="I1031" s="8" t="str">
        <f>_xlfn.XLOOKUP(D1031,Master[Product_Code],Master[Fabric])</f>
        <v>Polyester</v>
      </c>
      <c r="J1031" s="8" t="str">
        <f>_xlfn.XLOOKUP(D1031,Master[Product_Code],Master[Size])</f>
        <v>L</v>
      </c>
      <c r="K1031" s="8" t="str">
        <f>_xlfn.XLOOKUP(D1031,Master[Product_Code],Master[Color])</f>
        <v>Mustard</v>
      </c>
      <c r="L1031" s="3">
        <f>_xlfn.XLOOKUP(D1031,Master[Product_Code],Master[Selling_Price])</f>
        <v>940</v>
      </c>
    </row>
    <row r="1032" spans="2:12">
      <c r="B1032" s="2" t="s">
        <v>2189</v>
      </c>
      <c r="C1032" s="7">
        <v>45964</v>
      </c>
      <c r="D1032" s="2" t="s">
        <v>230</v>
      </c>
      <c r="E1032" s="4">
        <v>1</v>
      </c>
      <c r="F1032" s="8" t="str">
        <f>_xlfn.XLOOKUP(D1032,Master[Product_Code],Master[Category])</f>
        <v>Shirt</v>
      </c>
      <c r="G1032" s="8" t="str">
        <f>_xlfn.XLOOKUP(D1032,Master[Product_Code],Master[Brand])</f>
        <v>G Studio</v>
      </c>
      <c r="H1032" s="8" t="str">
        <f>_xlfn.XLOOKUP(D1032,Master[Product_Code],Master[Style])</f>
        <v>Partywear</v>
      </c>
      <c r="I1032" s="8" t="str">
        <f>_xlfn.XLOOKUP(D1032,Master[Product_Code],Master[Fabric])</f>
        <v>Cotton Blend</v>
      </c>
      <c r="J1032" s="8" t="str">
        <f>_xlfn.XLOOKUP(D1032,Master[Product_Code],Master[Size])</f>
        <v>S</v>
      </c>
      <c r="K1032" s="8" t="str">
        <f>_xlfn.XLOOKUP(D1032,Master[Product_Code],Master[Color])</f>
        <v>Olive</v>
      </c>
      <c r="L1032" s="3">
        <f>_xlfn.XLOOKUP(D1032,Master[Product_Code],Master[Selling_Price])</f>
        <v>760</v>
      </c>
    </row>
    <row r="1033" spans="2:12">
      <c r="B1033" s="2" t="s">
        <v>2189</v>
      </c>
      <c r="C1033" s="7">
        <v>45964</v>
      </c>
      <c r="D1033" s="2" t="s">
        <v>839</v>
      </c>
      <c r="E1033" s="4">
        <v>1</v>
      </c>
      <c r="F1033" s="8" t="str">
        <f>_xlfn.XLOOKUP(D1033,Master[Product_Code],Master[Category])</f>
        <v>Jeans</v>
      </c>
      <c r="G1033" s="8" t="str">
        <f>_xlfn.XLOOKUP(D1033,Master[Product_Code],Master[Brand])</f>
        <v>Pepe</v>
      </c>
      <c r="H1033" s="8" t="str">
        <f>_xlfn.XLOOKUP(D1033,Master[Product_Code],Master[Style])</f>
        <v>Baggy</v>
      </c>
      <c r="I1033" s="8" t="str">
        <f>_xlfn.XLOOKUP(D1033,Master[Product_Code],Master[Fabric])</f>
        <v>Denim</v>
      </c>
      <c r="J1033" s="8">
        <f>_xlfn.XLOOKUP(D1033,Master[Product_Code],Master[Size])</f>
        <v>42</v>
      </c>
      <c r="K1033" s="8" t="str">
        <f>_xlfn.XLOOKUP(D1033,Master[Product_Code],Master[Color])</f>
        <v>Maroon</v>
      </c>
      <c r="L1033" s="3">
        <f>_xlfn.XLOOKUP(D1033,Master[Product_Code],Master[Selling_Price])</f>
        <v>1090</v>
      </c>
    </row>
    <row r="1034" spans="2:12">
      <c r="B1034" s="2" t="s">
        <v>2189</v>
      </c>
      <c r="C1034" s="7">
        <v>45964</v>
      </c>
      <c r="D1034" s="2" t="s">
        <v>504</v>
      </c>
      <c r="E1034" s="4">
        <v>1</v>
      </c>
      <c r="F1034" s="8" t="str">
        <f>_xlfn.XLOOKUP(D1034,Master[Product_Code],Master[Category])</f>
        <v>T-Shirt</v>
      </c>
      <c r="G1034" s="8" t="str">
        <f>_xlfn.XLOOKUP(D1034,Master[Product_Code],Master[Brand])</f>
        <v>Campus</v>
      </c>
      <c r="H1034" s="8" t="str">
        <f>_xlfn.XLOOKUP(D1034,Master[Product_Code],Master[Style])</f>
        <v>Half Sleeve</v>
      </c>
      <c r="I1034" s="8" t="str">
        <f>_xlfn.XLOOKUP(D1034,Master[Product_Code],Master[Fabric])</f>
        <v>Cotton Blend</v>
      </c>
      <c r="J1034" s="8" t="str">
        <f>_xlfn.XLOOKUP(D1034,Master[Product_Code],Master[Size])</f>
        <v>XXL</v>
      </c>
      <c r="K1034" s="8" t="str">
        <f>_xlfn.XLOOKUP(D1034,Master[Product_Code],Master[Color])</f>
        <v>Beige</v>
      </c>
      <c r="L1034" s="3">
        <f>_xlfn.XLOOKUP(D1034,Master[Product_Code],Master[Selling_Price])</f>
        <v>260</v>
      </c>
    </row>
    <row r="1035" spans="2:12">
      <c r="B1035" s="2" t="s">
        <v>2190</v>
      </c>
      <c r="C1035" s="7">
        <v>45964</v>
      </c>
      <c r="D1035" s="2" t="s">
        <v>373</v>
      </c>
      <c r="E1035" s="4">
        <v>1</v>
      </c>
      <c r="F1035" s="8" t="str">
        <f>_xlfn.XLOOKUP(D1035,Master[Product_Code],Master[Category])</f>
        <v>Shirt</v>
      </c>
      <c r="G1035" s="8" t="str">
        <f>_xlfn.XLOOKUP(D1035,Master[Product_Code],Master[Brand])</f>
        <v>British</v>
      </c>
      <c r="H1035" s="8" t="str">
        <f>_xlfn.XLOOKUP(D1035,Master[Product_Code],Master[Style])</f>
        <v>Casual</v>
      </c>
      <c r="I1035" s="8" t="str">
        <f>_xlfn.XLOOKUP(D1035,Master[Product_Code],Master[Fabric])</f>
        <v>Lycra</v>
      </c>
      <c r="J1035" s="8" t="str">
        <f>_xlfn.XLOOKUP(D1035,Master[Product_Code],Master[Size])</f>
        <v>M</v>
      </c>
      <c r="K1035" s="8" t="str">
        <f>_xlfn.XLOOKUP(D1035,Master[Product_Code],Master[Color])</f>
        <v>Royal Blue</v>
      </c>
      <c r="L1035" s="3">
        <f>_xlfn.XLOOKUP(D1035,Master[Product_Code],Master[Selling_Price])</f>
        <v>890</v>
      </c>
    </row>
    <row r="1036" spans="2:12">
      <c r="B1036" s="2" t="s">
        <v>2190</v>
      </c>
      <c r="C1036" s="7">
        <v>45964</v>
      </c>
      <c r="D1036" s="2" t="s">
        <v>1445</v>
      </c>
      <c r="E1036" s="4">
        <v>1</v>
      </c>
      <c r="F1036" s="8" t="str">
        <f>_xlfn.XLOOKUP(D1036,Master[Product_Code],Master[Category])</f>
        <v>Pants</v>
      </c>
      <c r="G1036" s="8" t="str">
        <f>_xlfn.XLOOKUP(D1036,Master[Product_Code],Master[Brand])</f>
        <v>Raymond</v>
      </c>
      <c r="H1036" s="8" t="str">
        <f>_xlfn.XLOOKUP(D1036,Master[Product_Code],Master[Style])</f>
        <v>Korean</v>
      </c>
      <c r="I1036" s="8" t="str">
        <f>_xlfn.XLOOKUP(D1036,Master[Product_Code],Master[Fabric])</f>
        <v>Lycra</v>
      </c>
      <c r="J1036" s="8">
        <f>_xlfn.XLOOKUP(D1036,Master[Product_Code],Master[Size])</f>
        <v>36</v>
      </c>
      <c r="K1036" s="8" t="str">
        <f>_xlfn.XLOOKUP(D1036,Master[Product_Code],Master[Color])</f>
        <v>Wine</v>
      </c>
      <c r="L1036" s="3">
        <f>_xlfn.XLOOKUP(D1036,Master[Product_Code],Master[Selling_Price])</f>
        <v>790</v>
      </c>
    </row>
    <row r="1037" spans="2:12">
      <c r="B1037" s="2" t="s">
        <v>2191</v>
      </c>
      <c r="C1037" s="7">
        <v>45964</v>
      </c>
      <c r="D1037" s="2" t="s">
        <v>1124</v>
      </c>
      <c r="E1037" s="4">
        <v>1</v>
      </c>
      <c r="F1037" s="8" t="str">
        <f>_xlfn.XLOOKUP(D1037,Master[Product_Code],Master[Category])</f>
        <v>Jeans</v>
      </c>
      <c r="G1037" s="8" t="str">
        <f>_xlfn.XLOOKUP(D1037,Master[Product_Code],Master[Brand])</f>
        <v>Pepe</v>
      </c>
      <c r="H1037" s="8" t="str">
        <f>_xlfn.XLOOKUP(D1037,Master[Product_Code],Master[Style])</f>
        <v>Mom Fit</v>
      </c>
      <c r="I1037" s="8" t="str">
        <f>_xlfn.XLOOKUP(D1037,Master[Product_Code],Master[Fabric])</f>
        <v>Denim</v>
      </c>
      <c r="J1037" s="8">
        <f>_xlfn.XLOOKUP(D1037,Master[Product_Code],Master[Size])</f>
        <v>38</v>
      </c>
      <c r="K1037" s="8" t="str">
        <f>_xlfn.XLOOKUP(D1037,Master[Product_Code],Master[Color])</f>
        <v>Cream</v>
      </c>
      <c r="L1037" s="3">
        <f>_xlfn.XLOOKUP(D1037,Master[Product_Code],Master[Selling_Price])</f>
        <v>870</v>
      </c>
    </row>
    <row r="1038" spans="2:12">
      <c r="B1038" s="2" t="s">
        <v>2191</v>
      </c>
      <c r="C1038" s="7">
        <v>45964</v>
      </c>
      <c r="D1038" s="2" t="s">
        <v>1706</v>
      </c>
      <c r="E1038" s="4">
        <v>1</v>
      </c>
      <c r="F1038" s="8" t="str">
        <f>_xlfn.XLOOKUP(D1038,Master[Product_Code],Master[Category])</f>
        <v>Innerwear</v>
      </c>
      <c r="G1038" s="8" t="str">
        <f>_xlfn.XLOOKUP(D1038,Master[Product_Code],Master[Brand])</f>
        <v>Dollar</v>
      </c>
      <c r="H1038" s="8" t="str">
        <f>_xlfn.XLOOKUP(D1038,Master[Product_Code],Master[Style])</f>
        <v>Boxer</v>
      </c>
      <c r="I1038" s="8" t="str">
        <f>_xlfn.XLOOKUP(D1038,Master[Product_Code],Master[Fabric])</f>
        <v>Cotton</v>
      </c>
      <c r="J1038" s="8" t="str">
        <f>_xlfn.XLOOKUP(D1038,Master[Product_Code],Master[Size])</f>
        <v>75-80</v>
      </c>
      <c r="K1038" s="8" t="str">
        <f>_xlfn.XLOOKUP(D1038,Master[Product_Code],Master[Color])</f>
        <v>Light Grey</v>
      </c>
      <c r="L1038" s="3">
        <f>_xlfn.XLOOKUP(D1038,Master[Product_Code],Master[Selling_Price])</f>
        <v>180</v>
      </c>
    </row>
    <row r="1039" spans="2:12">
      <c r="B1039" s="2" t="s">
        <v>2191</v>
      </c>
      <c r="C1039" s="7">
        <v>45964</v>
      </c>
      <c r="D1039" s="2" t="s">
        <v>893</v>
      </c>
      <c r="E1039" s="4">
        <v>1</v>
      </c>
      <c r="F1039" s="8" t="str">
        <f>_xlfn.XLOOKUP(D1039,Master[Product_Code],Master[Category])</f>
        <v>Jeans</v>
      </c>
      <c r="G1039" s="8" t="str">
        <f>_xlfn.XLOOKUP(D1039,Master[Product_Code],Master[Brand])</f>
        <v>Pepe</v>
      </c>
      <c r="H1039" s="8" t="str">
        <f>_xlfn.XLOOKUP(D1039,Master[Product_Code],Master[Style])</f>
        <v>Baggy</v>
      </c>
      <c r="I1039" s="8" t="str">
        <f>_xlfn.XLOOKUP(D1039,Master[Product_Code],Master[Fabric])</f>
        <v>Denim</v>
      </c>
      <c r="J1039" s="8">
        <f>_xlfn.XLOOKUP(D1039,Master[Product_Code],Master[Size])</f>
        <v>30</v>
      </c>
      <c r="K1039" s="8" t="str">
        <f>_xlfn.XLOOKUP(D1039,Master[Product_Code],Master[Color])</f>
        <v>White</v>
      </c>
      <c r="L1039" s="3">
        <f>_xlfn.XLOOKUP(D1039,Master[Product_Code],Master[Selling_Price])</f>
        <v>840</v>
      </c>
    </row>
    <row r="1040" spans="2:12">
      <c r="B1040" s="2" t="s">
        <v>2191</v>
      </c>
      <c r="C1040" s="7">
        <v>45964</v>
      </c>
      <c r="D1040" s="2" t="s">
        <v>1622</v>
      </c>
      <c r="E1040" s="4">
        <v>1</v>
      </c>
      <c r="F1040" s="8" t="str">
        <f>_xlfn.XLOOKUP(D1040,Master[Product_Code],Master[Category])</f>
        <v>Innerwear</v>
      </c>
      <c r="G1040" s="8" t="str">
        <f>_xlfn.XLOOKUP(D1040,Master[Product_Code],Master[Brand])</f>
        <v>Lux</v>
      </c>
      <c r="H1040" s="8" t="str">
        <f>_xlfn.XLOOKUP(D1040,Master[Product_Code],Master[Style])</f>
        <v>V-Cut</v>
      </c>
      <c r="I1040" s="8" t="str">
        <f>_xlfn.XLOOKUP(D1040,Master[Product_Code],Master[Fabric])</f>
        <v>Cotton</v>
      </c>
      <c r="J1040" s="8" t="str">
        <f>_xlfn.XLOOKUP(D1040,Master[Product_Code],Master[Size])</f>
        <v>105-110</v>
      </c>
      <c r="K1040" s="8" t="str">
        <f>_xlfn.XLOOKUP(D1040,Master[Product_Code],Master[Color])</f>
        <v>Mustard</v>
      </c>
      <c r="L1040" s="3">
        <f>_xlfn.XLOOKUP(D1040,Master[Product_Code],Master[Selling_Price])</f>
        <v>190</v>
      </c>
    </row>
    <row r="1041" spans="2:12">
      <c r="B1041" s="2" t="s">
        <v>2192</v>
      </c>
      <c r="C1041" s="7">
        <v>45964</v>
      </c>
      <c r="D1041" s="2" t="s">
        <v>983</v>
      </c>
      <c r="E1041" s="4">
        <v>1</v>
      </c>
      <c r="F1041" s="8" t="str">
        <f>_xlfn.XLOOKUP(D1041,Master[Product_Code],Master[Category])</f>
        <v>Jeans</v>
      </c>
      <c r="G1041" s="8" t="str">
        <f>_xlfn.XLOOKUP(D1041,Master[Product_Code],Master[Brand])</f>
        <v>Pepe</v>
      </c>
      <c r="H1041" s="8" t="str">
        <f>_xlfn.XLOOKUP(D1041,Master[Product_Code],Master[Style])</f>
        <v>Mom Fit</v>
      </c>
      <c r="I1041" s="8" t="str">
        <f>_xlfn.XLOOKUP(D1041,Master[Product_Code],Master[Fabric])</f>
        <v>Denim</v>
      </c>
      <c r="J1041" s="8">
        <f>_xlfn.XLOOKUP(D1041,Master[Product_Code],Master[Size])</f>
        <v>38</v>
      </c>
      <c r="K1041" s="8" t="str">
        <f>_xlfn.XLOOKUP(D1041,Master[Product_Code],Master[Color])</f>
        <v>Rust</v>
      </c>
      <c r="L1041" s="3">
        <f>_xlfn.XLOOKUP(D1041,Master[Product_Code],Master[Selling_Price])</f>
        <v>1040</v>
      </c>
    </row>
    <row r="1042" spans="2:12">
      <c r="B1042" s="2" t="s">
        <v>2192</v>
      </c>
      <c r="C1042" s="7">
        <v>45964</v>
      </c>
      <c r="D1042" s="2" t="s">
        <v>497</v>
      </c>
      <c r="E1042" s="4">
        <v>1</v>
      </c>
      <c r="F1042" s="8" t="str">
        <f>_xlfn.XLOOKUP(D1042,Master[Product_Code],Master[Category])</f>
        <v>T-Shirt</v>
      </c>
      <c r="G1042" s="8" t="str">
        <f>_xlfn.XLOOKUP(D1042,Master[Product_Code],Master[Brand])</f>
        <v>Roadster</v>
      </c>
      <c r="H1042" s="8" t="str">
        <f>_xlfn.XLOOKUP(D1042,Master[Product_Code],Master[Style])</f>
        <v>3/4 Sleeve</v>
      </c>
      <c r="I1042" s="8" t="str">
        <f>_xlfn.XLOOKUP(D1042,Master[Product_Code],Master[Fabric])</f>
        <v>Poly Cotton</v>
      </c>
      <c r="J1042" s="8" t="str">
        <f>_xlfn.XLOOKUP(D1042,Master[Product_Code],Master[Size])</f>
        <v>XXL</v>
      </c>
      <c r="K1042" s="8" t="str">
        <f>_xlfn.XLOOKUP(D1042,Master[Product_Code],Master[Color])</f>
        <v>Bottle Green</v>
      </c>
      <c r="L1042" s="3">
        <f>_xlfn.XLOOKUP(D1042,Master[Product_Code],Master[Selling_Price])</f>
        <v>740</v>
      </c>
    </row>
    <row r="1043" spans="2:12">
      <c r="B1043" s="2" t="s">
        <v>2193</v>
      </c>
      <c r="C1043" s="7">
        <v>45964</v>
      </c>
      <c r="D1043" s="2" t="s">
        <v>1182</v>
      </c>
      <c r="E1043" s="4">
        <v>1</v>
      </c>
      <c r="F1043" s="8" t="str">
        <f>_xlfn.XLOOKUP(D1043,Master[Product_Code],Master[Category])</f>
        <v>Pants</v>
      </c>
      <c r="G1043" s="8" t="str">
        <f>_xlfn.XLOOKUP(D1043,Master[Product_Code],Master[Brand])</f>
        <v>Van Heusen</v>
      </c>
      <c r="H1043" s="8" t="str">
        <f>_xlfn.XLOOKUP(D1043,Master[Product_Code],Master[Style])</f>
        <v>Polofit</v>
      </c>
      <c r="I1043" s="8" t="str">
        <f>_xlfn.XLOOKUP(D1043,Master[Product_Code],Master[Fabric])</f>
        <v>Lycra</v>
      </c>
      <c r="J1043" s="8">
        <f>_xlfn.XLOOKUP(D1043,Master[Product_Code],Master[Size])</f>
        <v>30</v>
      </c>
      <c r="K1043" s="8" t="str">
        <f>_xlfn.XLOOKUP(D1043,Master[Product_Code],Master[Color])</f>
        <v>Charcoal</v>
      </c>
      <c r="L1043" s="3">
        <f>_xlfn.XLOOKUP(D1043,Master[Product_Code],Master[Selling_Price])</f>
        <v>760</v>
      </c>
    </row>
    <row r="1044" spans="2:12">
      <c r="B1044" s="2" t="s">
        <v>2193</v>
      </c>
      <c r="C1044" s="7">
        <v>45964</v>
      </c>
      <c r="D1044" s="2" t="s">
        <v>1385</v>
      </c>
      <c r="E1044" s="4">
        <v>1</v>
      </c>
      <c r="F1044" s="8" t="str">
        <f>_xlfn.XLOOKUP(D1044,Master[Product_Code],Master[Category])</f>
        <v>Pants</v>
      </c>
      <c r="G1044" s="8" t="str">
        <f>_xlfn.XLOOKUP(D1044,Master[Product_Code],Master[Brand])</f>
        <v>Peter England</v>
      </c>
      <c r="H1044" s="8" t="str">
        <f>_xlfn.XLOOKUP(D1044,Master[Product_Code],Master[Style])</f>
        <v>Jogger</v>
      </c>
      <c r="I1044" s="8" t="str">
        <f>_xlfn.XLOOKUP(D1044,Master[Product_Code],Master[Fabric])</f>
        <v>Cotton Blend</v>
      </c>
      <c r="J1044" s="8">
        <f>_xlfn.XLOOKUP(D1044,Master[Product_Code],Master[Size])</f>
        <v>38</v>
      </c>
      <c r="K1044" s="8" t="str">
        <f>_xlfn.XLOOKUP(D1044,Master[Product_Code],Master[Color])</f>
        <v>Mustard</v>
      </c>
      <c r="L1044" s="3">
        <f>_xlfn.XLOOKUP(D1044,Master[Product_Code],Master[Selling_Price])</f>
        <v>850</v>
      </c>
    </row>
    <row r="1045" spans="2:12">
      <c r="B1045" s="2" t="s">
        <v>2193</v>
      </c>
      <c r="C1045" s="7">
        <v>45964</v>
      </c>
      <c r="D1045" s="2" t="s">
        <v>277</v>
      </c>
      <c r="E1045" s="4">
        <v>1</v>
      </c>
      <c r="F1045" s="8" t="str">
        <f>_xlfn.XLOOKUP(D1045,Master[Product_Code],Master[Category])</f>
        <v>Shirt</v>
      </c>
      <c r="G1045" s="8" t="str">
        <f>_xlfn.XLOOKUP(D1045,Master[Product_Code],Master[Brand])</f>
        <v>L7</v>
      </c>
      <c r="H1045" s="8" t="str">
        <f>_xlfn.XLOOKUP(D1045,Master[Product_Code],Master[Style])</f>
        <v>Casual</v>
      </c>
      <c r="I1045" s="8" t="str">
        <f>_xlfn.XLOOKUP(D1045,Master[Product_Code],Master[Fabric])</f>
        <v>Polyester</v>
      </c>
      <c r="J1045" s="8" t="str">
        <f>_xlfn.XLOOKUP(D1045,Master[Product_Code],Master[Size])</f>
        <v>L</v>
      </c>
      <c r="K1045" s="8" t="str">
        <f>_xlfn.XLOOKUP(D1045,Master[Product_Code],Master[Color])</f>
        <v>Maroon</v>
      </c>
      <c r="L1045" s="3">
        <f>_xlfn.XLOOKUP(D1045,Master[Product_Code],Master[Selling_Price])</f>
        <v>680</v>
      </c>
    </row>
    <row r="1046" spans="2:12">
      <c r="B1046" s="2" t="s">
        <v>2193</v>
      </c>
      <c r="C1046" s="7">
        <v>45964</v>
      </c>
      <c r="D1046" s="2" t="s">
        <v>659</v>
      </c>
      <c r="E1046" s="4">
        <v>1</v>
      </c>
      <c r="F1046" s="8" t="str">
        <f>_xlfn.XLOOKUP(D1046,Master[Product_Code],Master[Category])</f>
        <v>T-Shirt</v>
      </c>
      <c r="G1046" s="8" t="str">
        <f>_xlfn.XLOOKUP(D1046,Master[Product_Code],Master[Brand])</f>
        <v>Campus</v>
      </c>
      <c r="H1046" s="8" t="str">
        <f>_xlfn.XLOOKUP(D1046,Master[Product_Code],Master[Style])</f>
        <v>3/4 Sleeve</v>
      </c>
      <c r="I1046" s="8" t="str">
        <f>_xlfn.XLOOKUP(D1046,Master[Product_Code],Master[Fabric])</f>
        <v>Cotton Blend</v>
      </c>
      <c r="J1046" s="8" t="str">
        <f>_xlfn.XLOOKUP(D1046,Master[Product_Code],Master[Size])</f>
        <v>M</v>
      </c>
      <c r="K1046" s="8" t="str">
        <f>_xlfn.XLOOKUP(D1046,Master[Product_Code],Master[Color])</f>
        <v>Sky Blue</v>
      </c>
      <c r="L1046" s="3">
        <f>_xlfn.XLOOKUP(D1046,Master[Product_Code],Master[Selling_Price])</f>
        <v>370</v>
      </c>
    </row>
    <row r="1047" spans="2:12">
      <c r="B1047" s="2" t="s">
        <v>2194</v>
      </c>
      <c r="C1047" s="7">
        <v>45964</v>
      </c>
      <c r="D1047" s="2" t="s">
        <v>559</v>
      </c>
      <c r="E1047" s="4">
        <v>1</v>
      </c>
      <c r="F1047" s="8" t="str">
        <f>_xlfn.XLOOKUP(D1047,Master[Product_Code],Master[Category])</f>
        <v>T-Shirt</v>
      </c>
      <c r="G1047" s="8" t="str">
        <f>_xlfn.XLOOKUP(D1047,Master[Product_Code],Master[Brand])</f>
        <v>Urban Monkey</v>
      </c>
      <c r="H1047" s="8" t="str">
        <f>_xlfn.XLOOKUP(D1047,Master[Product_Code],Master[Style])</f>
        <v>Half Sleeve</v>
      </c>
      <c r="I1047" s="8" t="str">
        <f>_xlfn.XLOOKUP(D1047,Master[Product_Code],Master[Fabric])</f>
        <v>Cotton</v>
      </c>
      <c r="J1047" s="8" t="str">
        <f>_xlfn.XLOOKUP(D1047,Master[Product_Code],Master[Size])</f>
        <v>M</v>
      </c>
      <c r="K1047" s="8" t="str">
        <f>_xlfn.XLOOKUP(D1047,Master[Product_Code],Master[Color])</f>
        <v>Brown</v>
      </c>
      <c r="L1047" s="3">
        <f>_xlfn.XLOOKUP(D1047,Master[Product_Code],Master[Selling_Price])</f>
        <v>400</v>
      </c>
    </row>
    <row r="1048" spans="2:12">
      <c r="B1048" s="2" t="s">
        <v>2194</v>
      </c>
      <c r="C1048" s="7">
        <v>45964</v>
      </c>
      <c r="D1048" s="2" t="s">
        <v>933</v>
      </c>
      <c r="E1048" s="4">
        <v>1</v>
      </c>
      <c r="F1048" s="8" t="str">
        <f>_xlfn.XLOOKUP(D1048,Master[Product_Code],Master[Category])</f>
        <v>Jeans</v>
      </c>
      <c r="G1048" s="8" t="str">
        <f>_xlfn.XLOOKUP(D1048,Master[Product_Code],Master[Brand])</f>
        <v>Levis</v>
      </c>
      <c r="H1048" s="8" t="str">
        <f>_xlfn.XLOOKUP(D1048,Master[Product_Code],Master[Style])</f>
        <v>Jogger</v>
      </c>
      <c r="I1048" s="8" t="str">
        <f>_xlfn.XLOOKUP(D1048,Master[Product_Code],Master[Fabric])</f>
        <v>Denim</v>
      </c>
      <c r="J1048" s="8">
        <f>_xlfn.XLOOKUP(D1048,Master[Product_Code],Master[Size])</f>
        <v>38</v>
      </c>
      <c r="K1048" s="8" t="str">
        <f>_xlfn.XLOOKUP(D1048,Master[Product_Code],Master[Color])</f>
        <v>Peach</v>
      </c>
      <c r="L1048" s="3">
        <f>_xlfn.XLOOKUP(D1048,Master[Product_Code],Master[Selling_Price])</f>
        <v>850</v>
      </c>
    </row>
    <row r="1049" spans="2:12">
      <c r="B1049" s="2" t="s">
        <v>2194</v>
      </c>
      <c r="C1049" s="7">
        <v>45964</v>
      </c>
      <c r="D1049" s="2" t="s">
        <v>1300</v>
      </c>
      <c r="E1049" s="4">
        <v>1</v>
      </c>
      <c r="F1049" s="8" t="str">
        <f>_xlfn.XLOOKUP(D1049,Master[Product_Code],Master[Category])</f>
        <v>Pants</v>
      </c>
      <c r="G1049" s="8" t="str">
        <f>_xlfn.XLOOKUP(D1049,Master[Product_Code],Master[Brand])</f>
        <v>Van Heusen</v>
      </c>
      <c r="H1049" s="8" t="str">
        <f>_xlfn.XLOOKUP(D1049,Master[Product_Code],Master[Style])</f>
        <v>Korean</v>
      </c>
      <c r="I1049" s="8" t="str">
        <f>_xlfn.XLOOKUP(D1049,Master[Product_Code],Master[Fabric])</f>
        <v>Lycra</v>
      </c>
      <c r="J1049" s="8">
        <f>_xlfn.XLOOKUP(D1049,Master[Product_Code],Master[Size])</f>
        <v>42</v>
      </c>
      <c r="K1049" s="8" t="str">
        <f>_xlfn.XLOOKUP(D1049,Master[Product_Code],Master[Color])</f>
        <v>Cream</v>
      </c>
      <c r="L1049" s="3">
        <f>_xlfn.XLOOKUP(D1049,Master[Product_Code],Master[Selling_Price])</f>
        <v>850</v>
      </c>
    </row>
    <row r="1050" spans="2:12">
      <c r="B1050" s="2" t="s">
        <v>2195</v>
      </c>
      <c r="C1050" s="7">
        <v>45964</v>
      </c>
      <c r="D1050" s="2" t="s">
        <v>1734</v>
      </c>
      <c r="E1050" s="4">
        <v>1</v>
      </c>
      <c r="F1050" s="8" t="str">
        <f>_xlfn.XLOOKUP(D1050,Master[Product_Code],Master[Category])</f>
        <v>Innerwear</v>
      </c>
      <c r="G1050" s="8" t="str">
        <f>_xlfn.XLOOKUP(D1050,Master[Product_Code],Master[Brand])</f>
        <v>Jockey</v>
      </c>
      <c r="H1050" s="8" t="str">
        <f>_xlfn.XLOOKUP(D1050,Master[Product_Code],Master[Style])</f>
        <v>V-Cut</v>
      </c>
      <c r="I1050" s="8" t="str">
        <f>_xlfn.XLOOKUP(D1050,Master[Product_Code],Master[Fabric])</f>
        <v>Cotton</v>
      </c>
      <c r="J1050" s="8" t="str">
        <f>_xlfn.XLOOKUP(D1050,Master[Product_Code],Master[Size])</f>
        <v>90-100</v>
      </c>
      <c r="K1050" s="8" t="str">
        <f>_xlfn.XLOOKUP(D1050,Master[Product_Code],Master[Color])</f>
        <v>Dark Green</v>
      </c>
      <c r="L1050" s="3">
        <f>_xlfn.XLOOKUP(D1050,Master[Product_Code],Master[Selling_Price])</f>
        <v>150</v>
      </c>
    </row>
    <row r="1051" spans="2:12">
      <c r="B1051" s="2" t="s">
        <v>2195</v>
      </c>
      <c r="C1051" s="7">
        <v>45964</v>
      </c>
      <c r="D1051" s="2" t="s">
        <v>114</v>
      </c>
      <c r="E1051" s="4">
        <v>1</v>
      </c>
      <c r="F1051" s="8" t="str">
        <f>_xlfn.XLOOKUP(D1051,Master[Product_Code],Master[Category])</f>
        <v>Shirt</v>
      </c>
      <c r="G1051" s="8" t="str">
        <f>_xlfn.XLOOKUP(D1051,Master[Product_Code],Master[Brand])</f>
        <v>H&amp;M</v>
      </c>
      <c r="H1051" s="8" t="str">
        <f>_xlfn.XLOOKUP(D1051,Master[Product_Code],Master[Style])</f>
        <v>Casual</v>
      </c>
      <c r="I1051" s="8" t="str">
        <f>_xlfn.XLOOKUP(D1051,Master[Product_Code],Master[Fabric])</f>
        <v>Cotton Blend</v>
      </c>
      <c r="J1051" s="8" t="str">
        <f>_xlfn.XLOOKUP(D1051,Master[Product_Code],Master[Size])</f>
        <v>S</v>
      </c>
      <c r="K1051" s="8" t="str">
        <f>_xlfn.XLOOKUP(D1051,Master[Product_Code],Master[Color])</f>
        <v>Sky Blue</v>
      </c>
      <c r="L1051" s="3">
        <f>_xlfn.XLOOKUP(D1051,Master[Product_Code],Master[Selling_Price])</f>
        <v>750</v>
      </c>
    </row>
    <row r="1052" spans="2:12">
      <c r="B1052" s="2" t="s">
        <v>2195</v>
      </c>
      <c r="C1052" s="7">
        <v>45964</v>
      </c>
      <c r="D1052" s="2" t="s">
        <v>859</v>
      </c>
      <c r="E1052" s="4">
        <v>1</v>
      </c>
      <c r="F1052" s="8" t="str">
        <f>_xlfn.XLOOKUP(D1052,Master[Product_Code],Master[Category])</f>
        <v>Jeans</v>
      </c>
      <c r="G1052" s="8" t="str">
        <f>_xlfn.XLOOKUP(D1052,Master[Product_Code],Master[Brand])</f>
        <v>Levis</v>
      </c>
      <c r="H1052" s="8" t="str">
        <f>_xlfn.XLOOKUP(D1052,Master[Product_Code],Master[Style])</f>
        <v>Jogger</v>
      </c>
      <c r="I1052" s="8" t="str">
        <f>_xlfn.XLOOKUP(D1052,Master[Product_Code],Master[Fabric])</f>
        <v>Denim</v>
      </c>
      <c r="J1052" s="8">
        <f>_xlfn.XLOOKUP(D1052,Master[Product_Code],Master[Size])</f>
        <v>42</v>
      </c>
      <c r="K1052" s="8" t="str">
        <f>_xlfn.XLOOKUP(D1052,Master[Product_Code],Master[Color])</f>
        <v>Peach</v>
      </c>
      <c r="L1052" s="3">
        <f>_xlfn.XLOOKUP(D1052,Master[Product_Code],Master[Selling_Price])</f>
        <v>870</v>
      </c>
    </row>
    <row r="1053" spans="2:12">
      <c r="B1053" s="2" t="s">
        <v>2195</v>
      </c>
      <c r="C1053" s="7">
        <v>45964</v>
      </c>
      <c r="D1053" s="2" t="s">
        <v>50</v>
      </c>
      <c r="E1053" s="4">
        <v>1</v>
      </c>
      <c r="F1053" s="8" t="str">
        <f>_xlfn.XLOOKUP(D1053,Master[Product_Code],Master[Category])</f>
        <v>Shirt</v>
      </c>
      <c r="G1053" s="8" t="str">
        <f>_xlfn.XLOOKUP(D1053,Master[Product_Code],Master[Brand])</f>
        <v>L7</v>
      </c>
      <c r="H1053" s="8" t="str">
        <f>_xlfn.XLOOKUP(D1053,Master[Product_Code],Master[Style])</f>
        <v>Formal</v>
      </c>
      <c r="I1053" s="8" t="str">
        <f>_xlfn.XLOOKUP(D1053,Master[Product_Code],Master[Fabric])</f>
        <v>Cotton Blend</v>
      </c>
      <c r="J1053" s="8" t="str">
        <f>_xlfn.XLOOKUP(D1053,Master[Product_Code],Master[Size])</f>
        <v>M</v>
      </c>
      <c r="K1053" s="8" t="str">
        <f>_xlfn.XLOOKUP(D1053,Master[Product_Code],Master[Color])</f>
        <v>Peach</v>
      </c>
      <c r="L1053" s="3">
        <f>_xlfn.XLOOKUP(D1053,Master[Product_Code],Master[Selling_Price])</f>
        <v>720</v>
      </c>
    </row>
    <row r="1054" spans="2:12">
      <c r="B1054" s="2" t="s">
        <v>2196</v>
      </c>
      <c r="C1054" s="7">
        <v>45964</v>
      </c>
      <c r="D1054" s="2" t="s">
        <v>687</v>
      </c>
      <c r="E1054" s="4">
        <v>1</v>
      </c>
      <c r="F1054" s="8" t="str">
        <f>_xlfn.XLOOKUP(D1054,Master[Product_Code],Master[Category])</f>
        <v>T-Shirt</v>
      </c>
      <c r="G1054" s="8" t="str">
        <f>_xlfn.XLOOKUP(D1054,Master[Product_Code],Master[Brand])</f>
        <v>Roadster</v>
      </c>
      <c r="H1054" s="8" t="str">
        <f>_xlfn.XLOOKUP(D1054,Master[Product_Code],Master[Style])</f>
        <v>Half Sleeve</v>
      </c>
      <c r="I1054" s="8" t="str">
        <f>_xlfn.XLOOKUP(D1054,Master[Product_Code],Master[Fabric])</f>
        <v>Cotton</v>
      </c>
      <c r="J1054" s="8" t="str">
        <f>_xlfn.XLOOKUP(D1054,Master[Product_Code],Master[Size])</f>
        <v>M</v>
      </c>
      <c r="K1054" s="8" t="str">
        <f>_xlfn.XLOOKUP(D1054,Master[Product_Code],Master[Color])</f>
        <v>Wine</v>
      </c>
      <c r="L1054" s="3">
        <f>_xlfn.XLOOKUP(D1054,Master[Product_Code],Master[Selling_Price])</f>
        <v>610</v>
      </c>
    </row>
    <row r="1055" spans="2:12">
      <c r="B1055" s="2" t="s">
        <v>2196</v>
      </c>
      <c r="C1055" s="7">
        <v>45964</v>
      </c>
      <c r="D1055" s="2" t="s">
        <v>1002</v>
      </c>
      <c r="E1055" s="4">
        <v>1</v>
      </c>
      <c r="F1055" s="8" t="str">
        <f>_xlfn.XLOOKUP(D1055,Master[Product_Code],Master[Category])</f>
        <v>Jeans</v>
      </c>
      <c r="G1055" s="8" t="str">
        <f>_xlfn.XLOOKUP(D1055,Master[Product_Code],Master[Brand])</f>
        <v>Wrangler</v>
      </c>
      <c r="H1055" s="8" t="str">
        <f>_xlfn.XLOOKUP(D1055,Master[Product_Code],Master[Style])</f>
        <v>Baggy</v>
      </c>
      <c r="I1055" s="8" t="str">
        <f>_xlfn.XLOOKUP(D1055,Master[Product_Code],Master[Fabric])</f>
        <v>Denim</v>
      </c>
      <c r="J1055" s="8">
        <f>_xlfn.XLOOKUP(D1055,Master[Product_Code],Master[Size])</f>
        <v>36</v>
      </c>
      <c r="K1055" s="8" t="str">
        <f>_xlfn.XLOOKUP(D1055,Master[Product_Code],Master[Color])</f>
        <v>Light Grey</v>
      </c>
      <c r="L1055" s="3">
        <f>_xlfn.XLOOKUP(D1055,Master[Product_Code],Master[Selling_Price])</f>
        <v>960</v>
      </c>
    </row>
    <row r="1056" spans="2:12">
      <c r="B1056" s="2" t="s">
        <v>2196</v>
      </c>
      <c r="C1056" s="7">
        <v>45964</v>
      </c>
      <c r="D1056" s="2" t="s">
        <v>70</v>
      </c>
      <c r="E1056" s="4">
        <v>1</v>
      </c>
      <c r="F1056" s="8" t="str">
        <f>_xlfn.XLOOKUP(D1056,Master[Product_Code],Master[Category])</f>
        <v>Shirt</v>
      </c>
      <c r="G1056" s="8" t="str">
        <f>_xlfn.XLOOKUP(D1056,Master[Product_Code],Master[Brand])</f>
        <v>Thailand</v>
      </c>
      <c r="H1056" s="8" t="str">
        <f>_xlfn.XLOOKUP(D1056,Master[Product_Code],Master[Style])</f>
        <v>Formal</v>
      </c>
      <c r="I1056" s="8" t="str">
        <f>_xlfn.XLOOKUP(D1056,Master[Product_Code],Master[Fabric])</f>
        <v>Cotton</v>
      </c>
      <c r="J1056" s="8" t="str">
        <f>_xlfn.XLOOKUP(D1056,Master[Product_Code],Master[Size])</f>
        <v>M</v>
      </c>
      <c r="K1056" s="8" t="str">
        <f>_xlfn.XLOOKUP(D1056,Master[Product_Code],Master[Color])</f>
        <v>Light Grey</v>
      </c>
      <c r="L1056" s="3">
        <f>_xlfn.XLOOKUP(D1056,Master[Product_Code],Master[Selling_Price])</f>
        <v>760</v>
      </c>
    </row>
    <row r="1057" spans="2:12">
      <c r="B1057" s="2" t="s">
        <v>2197</v>
      </c>
      <c r="C1057" s="7">
        <v>45964</v>
      </c>
      <c r="D1057" s="2" t="s">
        <v>110</v>
      </c>
      <c r="E1057" s="4">
        <v>1</v>
      </c>
      <c r="F1057" s="8" t="str">
        <f>_xlfn.XLOOKUP(D1057,Master[Product_Code],Master[Category])</f>
        <v>Shirt</v>
      </c>
      <c r="G1057" s="8" t="str">
        <f>_xlfn.XLOOKUP(D1057,Master[Product_Code],Master[Brand])</f>
        <v>Luke &amp; Burg</v>
      </c>
      <c r="H1057" s="8" t="str">
        <f>_xlfn.XLOOKUP(D1057,Master[Product_Code],Master[Style])</f>
        <v>Formal</v>
      </c>
      <c r="I1057" s="8" t="str">
        <f>_xlfn.XLOOKUP(D1057,Master[Product_Code],Master[Fabric])</f>
        <v>Lycra</v>
      </c>
      <c r="J1057" s="8" t="str">
        <f>_xlfn.XLOOKUP(D1057,Master[Product_Code],Master[Size])</f>
        <v>L</v>
      </c>
      <c r="K1057" s="8" t="str">
        <f>_xlfn.XLOOKUP(D1057,Master[Product_Code],Master[Color])</f>
        <v>Bottle Green</v>
      </c>
      <c r="L1057" s="3">
        <f>_xlfn.XLOOKUP(D1057,Master[Product_Code],Master[Selling_Price])</f>
        <v>940</v>
      </c>
    </row>
    <row r="1058" spans="2:12">
      <c r="B1058" s="2" t="s">
        <v>2198</v>
      </c>
      <c r="C1058" s="7">
        <v>45964</v>
      </c>
      <c r="D1058" s="2" t="s">
        <v>1545</v>
      </c>
      <c r="E1058" s="4">
        <v>1</v>
      </c>
      <c r="F1058" s="8" t="str">
        <f>_xlfn.XLOOKUP(D1058,Master[Product_Code],Master[Category])</f>
        <v>Innerwear</v>
      </c>
      <c r="G1058" s="8" t="str">
        <f>_xlfn.XLOOKUP(D1058,Master[Product_Code],Master[Brand])</f>
        <v>V Star</v>
      </c>
      <c r="H1058" s="8" t="str">
        <f>_xlfn.XLOOKUP(D1058,Master[Product_Code],Master[Style])</f>
        <v>Boxer</v>
      </c>
      <c r="I1058" s="8" t="str">
        <f>_xlfn.XLOOKUP(D1058,Master[Product_Code],Master[Fabric])</f>
        <v>Cotton Blend</v>
      </c>
      <c r="J1058" s="8" t="str">
        <f>_xlfn.XLOOKUP(D1058,Master[Product_Code],Master[Size])</f>
        <v>105-110</v>
      </c>
      <c r="K1058" s="8" t="str">
        <f>_xlfn.XLOOKUP(D1058,Master[Product_Code],Master[Color])</f>
        <v>Grey</v>
      </c>
      <c r="L1058" s="3">
        <f>_xlfn.XLOOKUP(D1058,Master[Product_Code],Master[Selling_Price])</f>
        <v>180</v>
      </c>
    </row>
    <row r="1059" spans="2:12">
      <c r="B1059" s="2" t="s">
        <v>2198</v>
      </c>
      <c r="C1059" s="7">
        <v>45964</v>
      </c>
      <c r="D1059" s="2" t="s">
        <v>1222</v>
      </c>
      <c r="E1059" s="4">
        <v>1</v>
      </c>
      <c r="F1059" s="8" t="str">
        <f>_xlfn.XLOOKUP(D1059,Master[Product_Code],Master[Category])</f>
        <v>Pants</v>
      </c>
      <c r="G1059" s="8" t="str">
        <f>_xlfn.XLOOKUP(D1059,Master[Product_Code],Master[Brand])</f>
        <v>Louis Philippe</v>
      </c>
      <c r="H1059" s="8" t="str">
        <f>_xlfn.XLOOKUP(D1059,Master[Product_Code],Master[Style])</f>
        <v>Korean</v>
      </c>
      <c r="I1059" s="8" t="str">
        <f>_xlfn.XLOOKUP(D1059,Master[Product_Code],Master[Fabric])</f>
        <v>Lycra</v>
      </c>
      <c r="J1059" s="8">
        <f>_xlfn.XLOOKUP(D1059,Master[Product_Code],Master[Size])</f>
        <v>30</v>
      </c>
      <c r="K1059" s="8" t="str">
        <f>_xlfn.XLOOKUP(D1059,Master[Product_Code],Master[Color])</f>
        <v>Peach</v>
      </c>
      <c r="L1059" s="3">
        <f>_xlfn.XLOOKUP(D1059,Master[Product_Code],Master[Selling_Price])</f>
        <v>900</v>
      </c>
    </row>
    <row r="1060" spans="2:12">
      <c r="B1060" s="2" t="s">
        <v>2198</v>
      </c>
      <c r="C1060" s="7">
        <v>45964</v>
      </c>
      <c r="D1060" s="2" t="s">
        <v>569</v>
      </c>
      <c r="E1060" s="4">
        <v>1</v>
      </c>
      <c r="F1060" s="8" t="str">
        <f>_xlfn.XLOOKUP(D1060,Master[Product_Code],Master[Category])</f>
        <v>T-Shirt</v>
      </c>
      <c r="G1060" s="8" t="str">
        <f>_xlfn.XLOOKUP(D1060,Master[Product_Code],Master[Brand])</f>
        <v>Roadster</v>
      </c>
      <c r="H1060" s="8" t="str">
        <f>_xlfn.XLOOKUP(D1060,Master[Product_Code],Master[Style])</f>
        <v>Hoodie</v>
      </c>
      <c r="I1060" s="8" t="str">
        <f>_xlfn.XLOOKUP(D1060,Master[Product_Code],Master[Fabric])</f>
        <v>Poly Cotton</v>
      </c>
      <c r="J1060" s="8" t="str">
        <f>_xlfn.XLOOKUP(D1060,Master[Product_Code],Master[Size])</f>
        <v>M</v>
      </c>
      <c r="K1060" s="8" t="str">
        <f>_xlfn.XLOOKUP(D1060,Master[Product_Code],Master[Color])</f>
        <v>Brown</v>
      </c>
      <c r="L1060" s="3">
        <f>_xlfn.XLOOKUP(D1060,Master[Product_Code],Master[Selling_Price])</f>
        <v>230</v>
      </c>
    </row>
    <row r="1061" spans="2:12">
      <c r="B1061" s="2" t="s">
        <v>2199</v>
      </c>
      <c r="C1061" s="7">
        <v>45964</v>
      </c>
      <c r="D1061" s="2" t="s">
        <v>403</v>
      </c>
      <c r="E1061" s="4">
        <v>1</v>
      </c>
      <c r="F1061" s="8" t="str">
        <f>_xlfn.XLOOKUP(D1061,Master[Product_Code],Master[Category])</f>
        <v>T-Shirt</v>
      </c>
      <c r="G1061" s="8" t="str">
        <f>_xlfn.XLOOKUP(D1061,Master[Product_Code],Master[Brand])</f>
        <v>Roadster</v>
      </c>
      <c r="H1061" s="8" t="str">
        <f>_xlfn.XLOOKUP(D1061,Master[Product_Code],Master[Style])</f>
        <v>Full Sleeve</v>
      </c>
      <c r="I1061" s="8" t="str">
        <f>_xlfn.XLOOKUP(D1061,Master[Product_Code],Master[Fabric])</f>
        <v>Cotton Blend</v>
      </c>
      <c r="J1061" s="8" t="str">
        <f>_xlfn.XLOOKUP(D1061,Master[Product_Code],Master[Size])</f>
        <v>M</v>
      </c>
      <c r="K1061" s="8" t="str">
        <f>_xlfn.XLOOKUP(D1061,Master[Product_Code],Master[Color])</f>
        <v>Beige</v>
      </c>
      <c r="L1061" s="3">
        <f>_xlfn.XLOOKUP(D1061,Master[Product_Code],Master[Selling_Price])</f>
        <v>610</v>
      </c>
    </row>
    <row r="1062" spans="2:12">
      <c r="B1062" s="2" t="s">
        <v>2199</v>
      </c>
      <c r="C1062" s="7">
        <v>45964</v>
      </c>
      <c r="D1062" s="2" t="s">
        <v>1292</v>
      </c>
      <c r="E1062" s="4">
        <v>1</v>
      </c>
      <c r="F1062" s="8" t="str">
        <f>_xlfn.XLOOKUP(D1062,Master[Product_Code],Master[Category])</f>
        <v>Pants</v>
      </c>
      <c r="G1062" s="8" t="str">
        <f>_xlfn.XLOOKUP(D1062,Master[Product_Code],Master[Brand])</f>
        <v>Park Avenue</v>
      </c>
      <c r="H1062" s="8" t="str">
        <f>_xlfn.XLOOKUP(D1062,Master[Product_Code],Master[Style])</f>
        <v>Kurka</v>
      </c>
      <c r="I1062" s="8" t="str">
        <f>_xlfn.XLOOKUP(D1062,Master[Product_Code],Master[Fabric])</f>
        <v>Lycra</v>
      </c>
      <c r="J1062" s="8">
        <f>_xlfn.XLOOKUP(D1062,Master[Product_Code],Master[Size])</f>
        <v>40</v>
      </c>
      <c r="K1062" s="8" t="str">
        <f>_xlfn.XLOOKUP(D1062,Master[Product_Code],Master[Color])</f>
        <v>Navy Blue</v>
      </c>
      <c r="L1062" s="3">
        <f>_xlfn.XLOOKUP(D1062,Master[Product_Code],Master[Selling_Price])</f>
        <v>830</v>
      </c>
    </row>
    <row r="1063" spans="2:12">
      <c r="B1063" s="2" t="s">
        <v>2199</v>
      </c>
      <c r="C1063" s="7">
        <v>45964</v>
      </c>
      <c r="D1063" s="2" t="s">
        <v>1375</v>
      </c>
      <c r="E1063" s="4">
        <v>1</v>
      </c>
      <c r="F1063" s="8" t="str">
        <f>_xlfn.XLOOKUP(D1063,Master[Product_Code],Master[Category])</f>
        <v>Pants</v>
      </c>
      <c r="G1063" s="8" t="str">
        <f>_xlfn.XLOOKUP(D1063,Master[Product_Code],Master[Brand])</f>
        <v>Park Avenue</v>
      </c>
      <c r="H1063" s="8" t="str">
        <f>_xlfn.XLOOKUP(D1063,Master[Product_Code],Master[Style])</f>
        <v>Jogger</v>
      </c>
      <c r="I1063" s="8" t="str">
        <f>_xlfn.XLOOKUP(D1063,Master[Product_Code],Master[Fabric])</f>
        <v>Poly Viscose</v>
      </c>
      <c r="J1063" s="8">
        <f>_xlfn.XLOOKUP(D1063,Master[Product_Code],Master[Size])</f>
        <v>30</v>
      </c>
      <c r="K1063" s="8" t="str">
        <f>_xlfn.XLOOKUP(D1063,Master[Product_Code],Master[Color])</f>
        <v>Beige</v>
      </c>
      <c r="L1063" s="3">
        <f>_xlfn.XLOOKUP(D1063,Master[Product_Code],Master[Selling_Price])</f>
        <v>880</v>
      </c>
    </row>
    <row r="1064" spans="2:12">
      <c r="B1064" s="2" t="s">
        <v>2200</v>
      </c>
      <c r="C1064" s="7">
        <v>45964</v>
      </c>
      <c r="D1064" s="2" t="s">
        <v>1035</v>
      </c>
      <c r="E1064" s="4">
        <v>1</v>
      </c>
      <c r="F1064" s="8" t="str">
        <f>_xlfn.XLOOKUP(D1064,Master[Product_Code],Master[Category])</f>
        <v>Jeans</v>
      </c>
      <c r="G1064" s="8" t="str">
        <f>_xlfn.XLOOKUP(D1064,Master[Product_Code],Master[Brand])</f>
        <v>Pepe</v>
      </c>
      <c r="H1064" s="8" t="str">
        <f>_xlfn.XLOOKUP(D1064,Master[Product_Code],Master[Style])</f>
        <v>Mom Fit</v>
      </c>
      <c r="I1064" s="8" t="str">
        <f>_xlfn.XLOOKUP(D1064,Master[Product_Code],Master[Fabric])</f>
        <v>Denim</v>
      </c>
      <c r="J1064" s="8">
        <f>_xlfn.XLOOKUP(D1064,Master[Product_Code],Master[Size])</f>
        <v>42</v>
      </c>
      <c r="K1064" s="8" t="str">
        <f>_xlfn.XLOOKUP(D1064,Master[Product_Code],Master[Color])</f>
        <v>Wine</v>
      </c>
      <c r="L1064" s="3">
        <f>_xlfn.XLOOKUP(D1064,Master[Product_Code],Master[Selling_Price])</f>
        <v>1020</v>
      </c>
    </row>
    <row r="1065" spans="2:12">
      <c r="B1065" s="2" t="s">
        <v>2201</v>
      </c>
      <c r="C1065" s="7">
        <v>45964</v>
      </c>
      <c r="D1065" s="2" t="s">
        <v>868</v>
      </c>
      <c r="E1065" s="4">
        <v>1</v>
      </c>
      <c r="F1065" s="8" t="str">
        <f>_xlfn.XLOOKUP(D1065,Master[Product_Code],Master[Category])</f>
        <v>Jeans</v>
      </c>
      <c r="G1065" s="8" t="str">
        <f>_xlfn.XLOOKUP(D1065,Master[Product_Code],Master[Brand])</f>
        <v>Spykar</v>
      </c>
      <c r="H1065" s="8" t="str">
        <f>_xlfn.XLOOKUP(D1065,Master[Product_Code],Master[Style])</f>
        <v>Jogger</v>
      </c>
      <c r="I1065" s="8" t="str">
        <f>_xlfn.XLOOKUP(D1065,Master[Product_Code],Master[Fabric])</f>
        <v>Denim</v>
      </c>
      <c r="J1065" s="8">
        <f>_xlfn.XLOOKUP(D1065,Master[Product_Code],Master[Size])</f>
        <v>28</v>
      </c>
      <c r="K1065" s="8" t="str">
        <f>_xlfn.XLOOKUP(D1065,Master[Product_Code],Master[Color])</f>
        <v>Charcoal</v>
      </c>
      <c r="L1065" s="3">
        <f>_xlfn.XLOOKUP(D1065,Master[Product_Code],Master[Selling_Price])</f>
        <v>860</v>
      </c>
    </row>
    <row r="1066" spans="2:12">
      <c r="B1066" s="2" t="s">
        <v>2201</v>
      </c>
      <c r="C1066" s="7">
        <v>45964</v>
      </c>
      <c r="D1066" s="2" t="s">
        <v>393</v>
      </c>
      <c r="E1066" s="4">
        <v>1</v>
      </c>
      <c r="F1066" s="8" t="str">
        <f>_xlfn.XLOOKUP(D1066,Master[Product_Code],Master[Category])</f>
        <v>Shirt</v>
      </c>
      <c r="G1066" s="8" t="str">
        <f>_xlfn.XLOOKUP(D1066,Master[Product_Code],Master[Brand])</f>
        <v>G Studio</v>
      </c>
      <c r="H1066" s="8" t="str">
        <f>_xlfn.XLOOKUP(D1066,Master[Product_Code],Master[Style])</f>
        <v>Partywear</v>
      </c>
      <c r="I1066" s="8" t="str">
        <f>_xlfn.XLOOKUP(D1066,Master[Product_Code],Master[Fabric])</f>
        <v>Cotton</v>
      </c>
      <c r="J1066" s="8" t="str">
        <f>_xlfn.XLOOKUP(D1066,Master[Product_Code],Master[Size])</f>
        <v>S</v>
      </c>
      <c r="K1066" s="8" t="str">
        <f>_xlfn.XLOOKUP(D1066,Master[Product_Code],Master[Color])</f>
        <v>Bottle Green</v>
      </c>
      <c r="L1066" s="3">
        <f>_xlfn.XLOOKUP(D1066,Master[Product_Code],Master[Selling_Price])</f>
        <v>730</v>
      </c>
    </row>
    <row r="1067" spans="2:12">
      <c r="B1067" s="2" t="s">
        <v>2201</v>
      </c>
      <c r="C1067" s="7">
        <v>45964</v>
      </c>
      <c r="D1067" s="2" t="s">
        <v>214</v>
      </c>
      <c r="E1067" s="4">
        <v>1</v>
      </c>
      <c r="F1067" s="8" t="str">
        <f>_xlfn.XLOOKUP(D1067,Master[Product_Code],Master[Category])</f>
        <v>Shirt</v>
      </c>
      <c r="G1067" s="8" t="str">
        <f>_xlfn.XLOOKUP(D1067,Master[Product_Code],Master[Brand])</f>
        <v>H&amp;M</v>
      </c>
      <c r="H1067" s="8" t="str">
        <f>_xlfn.XLOOKUP(D1067,Master[Product_Code],Master[Style])</f>
        <v>Casual</v>
      </c>
      <c r="I1067" s="8" t="str">
        <f>_xlfn.XLOOKUP(D1067,Master[Product_Code],Master[Fabric])</f>
        <v>Lycra</v>
      </c>
      <c r="J1067" s="8" t="str">
        <f>_xlfn.XLOOKUP(D1067,Master[Product_Code],Master[Size])</f>
        <v>L</v>
      </c>
      <c r="K1067" s="8" t="str">
        <f>_xlfn.XLOOKUP(D1067,Master[Product_Code],Master[Color])</f>
        <v>Peach</v>
      </c>
      <c r="L1067" s="3">
        <f>_xlfn.XLOOKUP(D1067,Master[Product_Code],Master[Selling_Price])</f>
        <v>820</v>
      </c>
    </row>
    <row r="1068" spans="2:12">
      <c r="B1068" s="2" t="s">
        <v>2201</v>
      </c>
      <c r="C1068" s="7">
        <v>45964</v>
      </c>
      <c r="D1068" s="2" t="s">
        <v>391</v>
      </c>
      <c r="E1068" s="4">
        <v>1</v>
      </c>
      <c r="F1068" s="8" t="str">
        <f>_xlfn.XLOOKUP(D1068,Master[Product_Code],Master[Category])</f>
        <v>Shirt</v>
      </c>
      <c r="G1068" s="8" t="str">
        <f>_xlfn.XLOOKUP(D1068,Master[Product_Code],Master[Brand])</f>
        <v>G Studio</v>
      </c>
      <c r="H1068" s="8" t="str">
        <f>_xlfn.XLOOKUP(D1068,Master[Product_Code],Master[Style])</f>
        <v>Formal</v>
      </c>
      <c r="I1068" s="8" t="str">
        <f>_xlfn.XLOOKUP(D1068,Master[Product_Code],Master[Fabric])</f>
        <v>Cotton</v>
      </c>
      <c r="J1068" s="8" t="str">
        <f>_xlfn.XLOOKUP(D1068,Master[Product_Code],Master[Size])</f>
        <v>L</v>
      </c>
      <c r="K1068" s="8" t="str">
        <f>_xlfn.XLOOKUP(D1068,Master[Product_Code],Master[Color])</f>
        <v>Cream</v>
      </c>
      <c r="L1068" s="3">
        <f>_xlfn.XLOOKUP(D1068,Master[Product_Code],Master[Selling_Price])</f>
        <v>890</v>
      </c>
    </row>
    <row r="1069" spans="2:12">
      <c r="B1069" s="2" t="s">
        <v>2202</v>
      </c>
      <c r="C1069" s="7">
        <v>45965</v>
      </c>
      <c r="D1069" s="2" t="s">
        <v>134</v>
      </c>
      <c r="E1069" s="4">
        <v>1</v>
      </c>
      <c r="F1069" s="8" t="str">
        <f>_xlfn.XLOOKUP(D1069,Master[Product_Code],Master[Category])</f>
        <v>Shirt</v>
      </c>
      <c r="G1069" s="8" t="str">
        <f>_xlfn.XLOOKUP(D1069,Master[Product_Code],Master[Brand])</f>
        <v>USD</v>
      </c>
      <c r="H1069" s="8" t="str">
        <f>_xlfn.XLOOKUP(D1069,Master[Product_Code],Master[Style])</f>
        <v>Partywear</v>
      </c>
      <c r="I1069" s="8" t="str">
        <f>_xlfn.XLOOKUP(D1069,Master[Product_Code],Master[Fabric])</f>
        <v>Lycra</v>
      </c>
      <c r="J1069" s="8" t="str">
        <f>_xlfn.XLOOKUP(D1069,Master[Product_Code],Master[Size])</f>
        <v>S</v>
      </c>
      <c r="K1069" s="8" t="str">
        <f>_xlfn.XLOOKUP(D1069,Master[Product_Code],Master[Color])</f>
        <v>Bottle Green</v>
      </c>
      <c r="L1069" s="3">
        <f>_xlfn.XLOOKUP(D1069,Master[Product_Code],Master[Selling_Price])</f>
        <v>770</v>
      </c>
    </row>
    <row r="1070" spans="2:12">
      <c r="B1070" s="2" t="s">
        <v>2202</v>
      </c>
      <c r="C1070" s="7">
        <v>45965</v>
      </c>
      <c r="D1070" s="2" t="s">
        <v>1197</v>
      </c>
      <c r="E1070" s="4">
        <v>1</v>
      </c>
      <c r="F1070" s="8" t="str">
        <f>_xlfn.XLOOKUP(D1070,Master[Product_Code],Master[Category])</f>
        <v>Pants</v>
      </c>
      <c r="G1070" s="8" t="str">
        <f>_xlfn.XLOOKUP(D1070,Master[Product_Code],Master[Brand])</f>
        <v>Louis Philippe</v>
      </c>
      <c r="H1070" s="8" t="str">
        <f>_xlfn.XLOOKUP(D1070,Master[Product_Code],Master[Style])</f>
        <v>Kurka</v>
      </c>
      <c r="I1070" s="8" t="str">
        <f>_xlfn.XLOOKUP(D1070,Master[Product_Code],Master[Fabric])</f>
        <v>Lycra</v>
      </c>
      <c r="J1070" s="8">
        <f>_xlfn.XLOOKUP(D1070,Master[Product_Code],Master[Size])</f>
        <v>40</v>
      </c>
      <c r="K1070" s="8" t="str">
        <f>_xlfn.XLOOKUP(D1070,Master[Product_Code],Master[Color])</f>
        <v>Brown</v>
      </c>
      <c r="L1070" s="3">
        <f>_xlfn.XLOOKUP(D1070,Master[Product_Code],Master[Selling_Price])</f>
        <v>940</v>
      </c>
    </row>
    <row r="1071" spans="2:12">
      <c r="B1071" s="2" t="s">
        <v>2202</v>
      </c>
      <c r="C1071" s="7">
        <v>45965</v>
      </c>
      <c r="D1071" s="2" t="s">
        <v>1595</v>
      </c>
      <c r="E1071" s="4">
        <v>1</v>
      </c>
      <c r="F1071" s="8" t="str">
        <f>_xlfn.XLOOKUP(D1071,Master[Product_Code],Master[Category])</f>
        <v>Innerwear</v>
      </c>
      <c r="G1071" s="8" t="str">
        <f>_xlfn.XLOOKUP(D1071,Master[Product_Code],Master[Brand])</f>
        <v>Lux</v>
      </c>
      <c r="H1071" s="8" t="str">
        <f>_xlfn.XLOOKUP(D1071,Master[Product_Code],Master[Style])</f>
        <v>V-Cut</v>
      </c>
      <c r="I1071" s="8" t="str">
        <f>_xlfn.XLOOKUP(D1071,Master[Product_Code],Master[Fabric])</f>
        <v>Cotton Blend</v>
      </c>
      <c r="J1071" s="8" t="str">
        <f>_xlfn.XLOOKUP(D1071,Master[Product_Code],Master[Size])</f>
        <v>100-105</v>
      </c>
      <c r="K1071" s="8" t="str">
        <f>_xlfn.XLOOKUP(D1071,Master[Product_Code],Master[Color])</f>
        <v>Peach</v>
      </c>
      <c r="L1071" s="3">
        <f>_xlfn.XLOOKUP(D1071,Master[Product_Code],Master[Selling_Price])</f>
        <v>120</v>
      </c>
    </row>
    <row r="1072" spans="2:12">
      <c r="B1072" s="2" t="s">
        <v>2203</v>
      </c>
      <c r="C1072" s="7">
        <v>45965</v>
      </c>
      <c r="D1072" s="2" t="s">
        <v>225</v>
      </c>
      <c r="E1072" s="4">
        <v>1</v>
      </c>
      <c r="F1072" s="8" t="str">
        <f>_xlfn.XLOOKUP(D1072,Master[Product_Code],Master[Category])</f>
        <v>Shirt</v>
      </c>
      <c r="G1072" s="8" t="str">
        <f>_xlfn.XLOOKUP(D1072,Master[Product_Code],Master[Brand])</f>
        <v>Luke &amp; Burg</v>
      </c>
      <c r="H1072" s="8" t="str">
        <f>_xlfn.XLOOKUP(D1072,Master[Product_Code],Master[Style])</f>
        <v>Casual</v>
      </c>
      <c r="I1072" s="8" t="str">
        <f>_xlfn.XLOOKUP(D1072,Master[Product_Code],Master[Fabric])</f>
        <v>Lycra</v>
      </c>
      <c r="J1072" s="8" t="str">
        <f>_xlfn.XLOOKUP(D1072,Master[Product_Code],Master[Size])</f>
        <v>S</v>
      </c>
      <c r="K1072" s="8" t="str">
        <f>_xlfn.XLOOKUP(D1072,Master[Product_Code],Master[Color])</f>
        <v>Cream</v>
      </c>
      <c r="L1072" s="3">
        <f>_xlfn.XLOOKUP(D1072,Master[Product_Code],Master[Selling_Price])</f>
        <v>650</v>
      </c>
    </row>
    <row r="1073" spans="2:12">
      <c r="B1073" s="2" t="s">
        <v>2204</v>
      </c>
      <c r="C1073" s="7">
        <v>45965</v>
      </c>
      <c r="D1073" s="2" t="s">
        <v>1303</v>
      </c>
      <c r="E1073" s="4">
        <v>1</v>
      </c>
      <c r="F1073" s="8" t="str">
        <f>_xlfn.XLOOKUP(D1073,Master[Product_Code],Master[Category])</f>
        <v>Pants</v>
      </c>
      <c r="G1073" s="8" t="str">
        <f>_xlfn.XLOOKUP(D1073,Master[Product_Code],Master[Brand])</f>
        <v>Raymond</v>
      </c>
      <c r="H1073" s="8" t="str">
        <f>_xlfn.XLOOKUP(D1073,Master[Product_Code],Master[Style])</f>
        <v>Kurka</v>
      </c>
      <c r="I1073" s="8" t="str">
        <f>_xlfn.XLOOKUP(D1073,Master[Product_Code],Master[Fabric])</f>
        <v>Lycra</v>
      </c>
      <c r="J1073" s="8">
        <f>_xlfn.XLOOKUP(D1073,Master[Product_Code],Master[Size])</f>
        <v>42</v>
      </c>
      <c r="K1073" s="8" t="str">
        <f>_xlfn.XLOOKUP(D1073,Master[Product_Code],Master[Color])</f>
        <v>Cream</v>
      </c>
      <c r="L1073" s="3">
        <f>_xlfn.XLOOKUP(D1073,Master[Product_Code],Master[Selling_Price])</f>
        <v>740</v>
      </c>
    </row>
    <row r="1074" spans="2:12">
      <c r="B1074" s="2" t="s">
        <v>2204</v>
      </c>
      <c r="C1074" s="7">
        <v>45965</v>
      </c>
      <c r="D1074" s="2" t="s">
        <v>778</v>
      </c>
      <c r="E1074" s="4">
        <v>1</v>
      </c>
      <c r="F1074" s="8" t="str">
        <f>_xlfn.XLOOKUP(D1074,Master[Product_Code],Master[Category])</f>
        <v>T-Shirt</v>
      </c>
      <c r="G1074" s="8" t="str">
        <f>_xlfn.XLOOKUP(D1074,Master[Product_Code],Master[Brand])</f>
        <v>Turkey</v>
      </c>
      <c r="H1074" s="8" t="str">
        <f>_xlfn.XLOOKUP(D1074,Master[Product_Code],Master[Style])</f>
        <v>Full Sleeve</v>
      </c>
      <c r="I1074" s="8" t="str">
        <f>_xlfn.XLOOKUP(D1074,Master[Product_Code],Master[Fabric])</f>
        <v>Cotton Blend</v>
      </c>
      <c r="J1074" s="8" t="str">
        <f>_xlfn.XLOOKUP(D1074,Master[Product_Code],Master[Size])</f>
        <v>XXL</v>
      </c>
      <c r="K1074" s="8" t="str">
        <f>_xlfn.XLOOKUP(D1074,Master[Product_Code],Master[Color])</f>
        <v>Maroon</v>
      </c>
      <c r="L1074" s="3">
        <f>_xlfn.XLOOKUP(D1074,Master[Product_Code],Master[Selling_Price])</f>
        <v>550</v>
      </c>
    </row>
    <row r="1075" spans="2:12">
      <c r="B1075" s="2" t="s">
        <v>2204</v>
      </c>
      <c r="C1075" s="7">
        <v>45965</v>
      </c>
      <c r="D1075" s="2" t="s">
        <v>293</v>
      </c>
      <c r="E1075" s="4">
        <v>1</v>
      </c>
      <c r="F1075" s="8" t="str">
        <f>_xlfn.XLOOKUP(D1075,Master[Product_Code],Master[Category])</f>
        <v>Shirt</v>
      </c>
      <c r="G1075" s="8" t="str">
        <f>_xlfn.XLOOKUP(D1075,Master[Product_Code],Master[Brand])</f>
        <v>Zara</v>
      </c>
      <c r="H1075" s="8" t="str">
        <f>_xlfn.XLOOKUP(D1075,Master[Product_Code],Master[Style])</f>
        <v>Casual</v>
      </c>
      <c r="I1075" s="8" t="str">
        <f>_xlfn.XLOOKUP(D1075,Master[Product_Code],Master[Fabric])</f>
        <v>Lycra</v>
      </c>
      <c r="J1075" s="8" t="str">
        <f>_xlfn.XLOOKUP(D1075,Master[Product_Code],Master[Size])</f>
        <v>M</v>
      </c>
      <c r="K1075" s="8" t="str">
        <f>_xlfn.XLOOKUP(D1075,Master[Product_Code],Master[Color])</f>
        <v>Dark Green</v>
      </c>
      <c r="L1075" s="3">
        <f>_xlfn.XLOOKUP(D1075,Master[Product_Code],Master[Selling_Price])</f>
        <v>660</v>
      </c>
    </row>
    <row r="1076" spans="2:12">
      <c r="B1076" s="2" t="s">
        <v>2205</v>
      </c>
      <c r="C1076" s="7">
        <v>45965</v>
      </c>
      <c r="D1076" s="2" t="s">
        <v>115</v>
      </c>
      <c r="E1076" s="4">
        <v>1</v>
      </c>
      <c r="F1076" s="8" t="str">
        <f>_xlfn.XLOOKUP(D1076,Master[Product_Code],Master[Category])</f>
        <v>Shirt</v>
      </c>
      <c r="G1076" s="8" t="str">
        <f>_xlfn.XLOOKUP(D1076,Master[Product_Code],Master[Brand])</f>
        <v>Thailand</v>
      </c>
      <c r="H1076" s="8" t="str">
        <f>_xlfn.XLOOKUP(D1076,Master[Product_Code],Master[Style])</f>
        <v>Formal</v>
      </c>
      <c r="I1076" s="8" t="str">
        <f>_xlfn.XLOOKUP(D1076,Master[Product_Code],Master[Fabric])</f>
        <v>Cotton</v>
      </c>
      <c r="J1076" s="8" t="str">
        <f>_xlfn.XLOOKUP(D1076,Master[Product_Code],Master[Size])</f>
        <v>XXL</v>
      </c>
      <c r="K1076" s="8" t="str">
        <f>_xlfn.XLOOKUP(D1076,Master[Product_Code],Master[Color])</f>
        <v>Bottle Green</v>
      </c>
      <c r="L1076" s="3">
        <f>_xlfn.XLOOKUP(D1076,Master[Product_Code],Master[Selling_Price])</f>
        <v>690</v>
      </c>
    </row>
    <row r="1077" spans="2:12">
      <c r="B1077" s="2" t="s">
        <v>2205</v>
      </c>
      <c r="C1077" s="7">
        <v>45965</v>
      </c>
      <c r="D1077" s="2" t="s">
        <v>1056</v>
      </c>
      <c r="E1077" s="4">
        <v>1</v>
      </c>
      <c r="F1077" s="8" t="str">
        <f>_xlfn.XLOOKUP(D1077,Master[Product_Code],Master[Category])</f>
        <v>Jeans</v>
      </c>
      <c r="G1077" s="8" t="str">
        <f>_xlfn.XLOOKUP(D1077,Master[Product_Code],Master[Brand])</f>
        <v>Levis</v>
      </c>
      <c r="H1077" s="8" t="str">
        <f>_xlfn.XLOOKUP(D1077,Master[Product_Code],Master[Style])</f>
        <v>Baggy</v>
      </c>
      <c r="I1077" s="8" t="str">
        <f>_xlfn.XLOOKUP(D1077,Master[Product_Code],Master[Fabric])</f>
        <v>Denim</v>
      </c>
      <c r="J1077" s="8">
        <f>_xlfn.XLOOKUP(D1077,Master[Product_Code],Master[Size])</f>
        <v>36</v>
      </c>
      <c r="K1077" s="8" t="str">
        <f>_xlfn.XLOOKUP(D1077,Master[Product_Code],Master[Color])</f>
        <v>Beige</v>
      </c>
      <c r="L1077" s="3">
        <f>_xlfn.XLOOKUP(D1077,Master[Product_Code],Master[Selling_Price])</f>
        <v>1010</v>
      </c>
    </row>
    <row r="1078" spans="2:12">
      <c r="B1078" s="2" t="s">
        <v>2205</v>
      </c>
      <c r="C1078" s="7">
        <v>45965</v>
      </c>
      <c r="D1078" s="2" t="s">
        <v>183</v>
      </c>
      <c r="E1078" s="4">
        <v>1</v>
      </c>
      <c r="F1078" s="8" t="str">
        <f>_xlfn.XLOOKUP(D1078,Master[Product_Code],Master[Category])</f>
        <v>Shirt</v>
      </c>
      <c r="G1078" s="8" t="str">
        <f>_xlfn.XLOOKUP(D1078,Master[Product_Code],Master[Brand])</f>
        <v>British</v>
      </c>
      <c r="H1078" s="8" t="str">
        <f>_xlfn.XLOOKUP(D1078,Master[Product_Code],Master[Style])</f>
        <v>Formal</v>
      </c>
      <c r="I1078" s="8" t="str">
        <f>_xlfn.XLOOKUP(D1078,Master[Product_Code],Master[Fabric])</f>
        <v>Polyester</v>
      </c>
      <c r="J1078" s="8" t="str">
        <f>_xlfn.XLOOKUP(D1078,Master[Product_Code],Master[Size])</f>
        <v>XXL</v>
      </c>
      <c r="K1078" s="8" t="str">
        <f>_xlfn.XLOOKUP(D1078,Master[Product_Code],Master[Color])</f>
        <v>Black</v>
      </c>
      <c r="L1078" s="3">
        <f>_xlfn.XLOOKUP(D1078,Master[Product_Code],Master[Selling_Price])</f>
        <v>720</v>
      </c>
    </row>
    <row r="1079" spans="2:12">
      <c r="B1079" s="2" t="s">
        <v>2206</v>
      </c>
      <c r="C1079" s="7">
        <v>45965</v>
      </c>
      <c r="D1079" s="2" t="s">
        <v>477</v>
      </c>
      <c r="E1079" s="4">
        <v>1</v>
      </c>
      <c r="F1079" s="8" t="str">
        <f>_xlfn.XLOOKUP(D1079,Master[Product_Code],Master[Category])</f>
        <v>T-Shirt</v>
      </c>
      <c r="G1079" s="8" t="str">
        <f>_xlfn.XLOOKUP(D1079,Master[Product_Code],Master[Brand])</f>
        <v>Turkey</v>
      </c>
      <c r="H1079" s="8" t="str">
        <f>_xlfn.XLOOKUP(D1079,Master[Product_Code],Master[Style])</f>
        <v>Sleeveless</v>
      </c>
      <c r="I1079" s="8" t="str">
        <f>_xlfn.XLOOKUP(D1079,Master[Product_Code],Master[Fabric])</f>
        <v>Poly Cotton</v>
      </c>
      <c r="J1079" s="8" t="str">
        <f>_xlfn.XLOOKUP(D1079,Master[Product_Code],Master[Size])</f>
        <v>M</v>
      </c>
      <c r="K1079" s="8" t="str">
        <f>_xlfn.XLOOKUP(D1079,Master[Product_Code],Master[Color])</f>
        <v>Olive</v>
      </c>
      <c r="L1079" s="3">
        <f>_xlfn.XLOOKUP(D1079,Master[Product_Code],Master[Selling_Price])</f>
        <v>540</v>
      </c>
    </row>
    <row r="1080" spans="2:12">
      <c r="B1080" s="2" t="s">
        <v>2206</v>
      </c>
      <c r="C1080" s="7">
        <v>45965</v>
      </c>
      <c r="D1080" s="2" t="s">
        <v>1589</v>
      </c>
      <c r="E1080" s="4">
        <v>1</v>
      </c>
      <c r="F1080" s="8" t="str">
        <f>_xlfn.XLOOKUP(D1080,Master[Product_Code],Master[Category])</f>
        <v>Innerwear</v>
      </c>
      <c r="G1080" s="8" t="str">
        <f>_xlfn.XLOOKUP(D1080,Master[Product_Code],Master[Brand])</f>
        <v>Lux</v>
      </c>
      <c r="H1080" s="8" t="str">
        <f>_xlfn.XLOOKUP(D1080,Master[Product_Code],Master[Style])</f>
        <v>Boxer</v>
      </c>
      <c r="I1080" s="8" t="str">
        <f>_xlfn.XLOOKUP(D1080,Master[Product_Code],Master[Fabric])</f>
        <v>Cotton Blend</v>
      </c>
      <c r="J1080" s="8" t="str">
        <f>_xlfn.XLOOKUP(D1080,Master[Product_Code],Master[Size])</f>
        <v>105-110</v>
      </c>
      <c r="K1080" s="8" t="str">
        <f>_xlfn.XLOOKUP(D1080,Master[Product_Code],Master[Color])</f>
        <v>Maroon</v>
      </c>
      <c r="L1080" s="3">
        <f>_xlfn.XLOOKUP(D1080,Master[Product_Code],Master[Selling_Price])</f>
        <v>180</v>
      </c>
    </row>
    <row r="1081" spans="2:12">
      <c r="B1081" s="2" t="s">
        <v>2207</v>
      </c>
      <c r="C1081" s="7">
        <v>45965</v>
      </c>
      <c r="D1081" s="2" t="s">
        <v>725</v>
      </c>
      <c r="E1081" s="4">
        <v>1</v>
      </c>
      <c r="F1081" s="8" t="str">
        <f>_xlfn.XLOOKUP(D1081,Master[Product_Code],Master[Category])</f>
        <v>T-Shirt</v>
      </c>
      <c r="G1081" s="8" t="str">
        <f>_xlfn.XLOOKUP(D1081,Master[Product_Code],Master[Brand])</f>
        <v>Roadster</v>
      </c>
      <c r="H1081" s="8" t="str">
        <f>_xlfn.XLOOKUP(D1081,Master[Product_Code],Master[Style])</f>
        <v>3/4 Sleeve</v>
      </c>
      <c r="I1081" s="8" t="str">
        <f>_xlfn.XLOOKUP(D1081,Master[Product_Code],Master[Fabric])</f>
        <v>Cotton</v>
      </c>
      <c r="J1081" s="8" t="str">
        <f>_xlfn.XLOOKUP(D1081,Master[Product_Code],Master[Size])</f>
        <v>L</v>
      </c>
      <c r="K1081" s="8" t="str">
        <f>_xlfn.XLOOKUP(D1081,Master[Product_Code],Master[Color])</f>
        <v>Wine</v>
      </c>
      <c r="L1081" s="3">
        <f>_xlfn.XLOOKUP(D1081,Master[Product_Code],Master[Selling_Price])</f>
        <v>620</v>
      </c>
    </row>
    <row r="1082" spans="2:12">
      <c r="B1082" s="2" t="s">
        <v>2207</v>
      </c>
      <c r="C1082" s="7">
        <v>45965</v>
      </c>
      <c r="D1082" s="2" t="s">
        <v>363</v>
      </c>
      <c r="E1082" s="4">
        <v>1</v>
      </c>
      <c r="F1082" s="8" t="str">
        <f>_xlfn.XLOOKUP(D1082,Master[Product_Code],Master[Category])</f>
        <v>Shirt</v>
      </c>
      <c r="G1082" s="8" t="str">
        <f>_xlfn.XLOOKUP(D1082,Master[Product_Code],Master[Brand])</f>
        <v>H&amp;M</v>
      </c>
      <c r="H1082" s="8" t="str">
        <f>_xlfn.XLOOKUP(D1082,Master[Product_Code],Master[Style])</f>
        <v>Casual</v>
      </c>
      <c r="I1082" s="8" t="str">
        <f>_xlfn.XLOOKUP(D1082,Master[Product_Code],Master[Fabric])</f>
        <v>Cotton Blend</v>
      </c>
      <c r="J1082" s="8" t="str">
        <f>_xlfn.XLOOKUP(D1082,Master[Product_Code],Master[Size])</f>
        <v>M</v>
      </c>
      <c r="K1082" s="8" t="str">
        <f>_xlfn.XLOOKUP(D1082,Master[Product_Code],Master[Color])</f>
        <v>Sky Blue</v>
      </c>
      <c r="L1082" s="3">
        <f>_xlfn.XLOOKUP(D1082,Master[Product_Code],Master[Selling_Price])</f>
        <v>700</v>
      </c>
    </row>
    <row r="1083" spans="2:12">
      <c r="B1083" s="2" t="s">
        <v>2207</v>
      </c>
      <c r="C1083" s="7">
        <v>45965</v>
      </c>
      <c r="D1083" s="2" t="s">
        <v>1610</v>
      </c>
      <c r="E1083" s="4">
        <v>1</v>
      </c>
      <c r="F1083" s="8" t="str">
        <f>_xlfn.XLOOKUP(D1083,Master[Product_Code],Master[Category])</f>
        <v>Innerwear</v>
      </c>
      <c r="G1083" s="8" t="str">
        <f>_xlfn.XLOOKUP(D1083,Master[Product_Code],Master[Brand])</f>
        <v>Rupa</v>
      </c>
      <c r="H1083" s="8" t="str">
        <f>_xlfn.XLOOKUP(D1083,Master[Product_Code],Master[Style])</f>
        <v>V-Cut</v>
      </c>
      <c r="I1083" s="8" t="str">
        <f>_xlfn.XLOOKUP(D1083,Master[Product_Code],Master[Fabric])</f>
        <v>Cotton Blend</v>
      </c>
      <c r="J1083" s="8" t="str">
        <f>_xlfn.XLOOKUP(D1083,Master[Product_Code],Master[Size])</f>
        <v>80-85</v>
      </c>
      <c r="K1083" s="8" t="str">
        <f>_xlfn.XLOOKUP(D1083,Master[Product_Code],Master[Color])</f>
        <v>Brown</v>
      </c>
      <c r="L1083" s="3">
        <f>_xlfn.XLOOKUP(D1083,Master[Product_Code],Master[Selling_Price])</f>
        <v>140</v>
      </c>
    </row>
    <row r="1084" spans="2:12">
      <c r="B1084" s="2" t="s">
        <v>2208</v>
      </c>
      <c r="C1084" s="7">
        <v>45965</v>
      </c>
      <c r="D1084" s="2" t="s">
        <v>1660</v>
      </c>
      <c r="E1084" s="4">
        <v>1</v>
      </c>
      <c r="F1084" s="8" t="str">
        <f>_xlfn.XLOOKUP(D1084,Master[Product_Code],Master[Category])</f>
        <v>Innerwear</v>
      </c>
      <c r="G1084" s="8" t="str">
        <f>_xlfn.XLOOKUP(D1084,Master[Product_Code],Master[Brand])</f>
        <v>Lux</v>
      </c>
      <c r="H1084" s="8" t="str">
        <f>_xlfn.XLOOKUP(D1084,Master[Product_Code],Master[Style])</f>
        <v>Boxer</v>
      </c>
      <c r="I1084" s="8" t="str">
        <f>_xlfn.XLOOKUP(D1084,Master[Product_Code],Master[Fabric])</f>
        <v>Cotton</v>
      </c>
      <c r="J1084" s="8" t="str">
        <f>_xlfn.XLOOKUP(D1084,Master[Product_Code],Master[Size])</f>
        <v>105-110</v>
      </c>
      <c r="K1084" s="8" t="str">
        <f>_xlfn.XLOOKUP(D1084,Master[Product_Code],Master[Color])</f>
        <v>Royal Blue</v>
      </c>
      <c r="L1084" s="3">
        <f>_xlfn.XLOOKUP(D1084,Master[Product_Code],Master[Selling_Price])</f>
        <v>140</v>
      </c>
    </row>
    <row r="1085" spans="2:12">
      <c r="B1085" s="2" t="s">
        <v>2208</v>
      </c>
      <c r="C1085" s="7">
        <v>45965</v>
      </c>
      <c r="D1085" s="2" t="s">
        <v>144</v>
      </c>
      <c r="E1085" s="4">
        <v>1</v>
      </c>
      <c r="F1085" s="8" t="str">
        <f>_xlfn.XLOOKUP(D1085,Master[Product_Code],Master[Category])</f>
        <v>Shirt</v>
      </c>
      <c r="G1085" s="8" t="str">
        <f>_xlfn.XLOOKUP(D1085,Master[Product_Code],Master[Brand])</f>
        <v>Zara</v>
      </c>
      <c r="H1085" s="8" t="str">
        <f>_xlfn.XLOOKUP(D1085,Master[Product_Code],Master[Style])</f>
        <v>Partywear</v>
      </c>
      <c r="I1085" s="8" t="str">
        <f>_xlfn.XLOOKUP(D1085,Master[Product_Code],Master[Fabric])</f>
        <v>Lycra</v>
      </c>
      <c r="J1085" s="8" t="str">
        <f>_xlfn.XLOOKUP(D1085,Master[Product_Code],Master[Size])</f>
        <v>M</v>
      </c>
      <c r="K1085" s="8" t="str">
        <f>_xlfn.XLOOKUP(D1085,Master[Product_Code],Master[Color])</f>
        <v>Maroon</v>
      </c>
      <c r="L1085" s="3">
        <f>_xlfn.XLOOKUP(D1085,Master[Product_Code],Master[Selling_Price])</f>
        <v>700</v>
      </c>
    </row>
    <row r="1086" spans="2:12">
      <c r="B1086" s="2" t="s">
        <v>2208</v>
      </c>
      <c r="C1086" s="7">
        <v>45965</v>
      </c>
      <c r="D1086" s="2" t="s">
        <v>779</v>
      </c>
      <c r="E1086" s="4">
        <v>1</v>
      </c>
      <c r="F1086" s="8" t="str">
        <f>_xlfn.XLOOKUP(D1086,Master[Product_Code],Master[Category])</f>
        <v>T-Shirt</v>
      </c>
      <c r="G1086" s="8" t="str">
        <f>_xlfn.XLOOKUP(D1086,Master[Product_Code],Master[Brand])</f>
        <v>Campus</v>
      </c>
      <c r="H1086" s="8" t="str">
        <f>_xlfn.XLOOKUP(D1086,Master[Product_Code],Master[Style])</f>
        <v>Hoodie</v>
      </c>
      <c r="I1086" s="8" t="str">
        <f>_xlfn.XLOOKUP(D1086,Master[Product_Code],Master[Fabric])</f>
        <v>Cotton Blend</v>
      </c>
      <c r="J1086" s="8" t="str">
        <f>_xlfn.XLOOKUP(D1086,Master[Product_Code],Master[Size])</f>
        <v>M</v>
      </c>
      <c r="K1086" s="8" t="str">
        <f>_xlfn.XLOOKUP(D1086,Master[Product_Code],Master[Color])</f>
        <v>Mustard</v>
      </c>
      <c r="L1086" s="3">
        <f>_xlfn.XLOOKUP(D1086,Master[Product_Code],Master[Selling_Price])</f>
        <v>660</v>
      </c>
    </row>
    <row r="1087" spans="2:12">
      <c r="B1087" s="2" t="s">
        <v>2209</v>
      </c>
      <c r="C1087" s="7">
        <v>45965</v>
      </c>
      <c r="D1087" s="2" t="s">
        <v>832</v>
      </c>
      <c r="E1087" s="4">
        <v>1</v>
      </c>
      <c r="F1087" s="8" t="str">
        <f>_xlfn.XLOOKUP(D1087,Master[Product_Code],Master[Category])</f>
        <v>T-Shirt</v>
      </c>
      <c r="G1087" s="8" t="str">
        <f>_xlfn.XLOOKUP(D1087,Master[Product_Code],Master[Brand])</f>
        <v>Thailand</v>
      </c>
      <c r="H1087" s="8" t="str">
        <f>_xlfn.XLOOKUP(D1087,Master[Product_Code],Master[Style])</f>
        <v>3/4 Sleeve</v>
      </c>
      <c r="I1087" s="8" t="str">
        <f>_xlfn.XLOOKUP(D1087,Master[Product_Code],Master[Fabric])</f>
        <v>Poly Cotton</v>
      </c>
      <c r="J1087" s="8" t="str">
        <f>_xlfn.XLOOKUP(D1087,Master[Product_Code],Master[Size])</f>
        <v>XXL</v>
      </c>
      <c r="K1087" s="8" t="str">
        <f>_xlfn.XLOOKUP(D1087,Master[Product_Code],Master[Color])</f>
        <v>Beige</v>
      </c>
      <c r="L1087" s="3">
        <f>_xlfn.XLOOKUP(D1087,Master[Product_Code],Master[Selling_Price])</f>
        <v>400</v>
      </c>
    </row>
    <row r="1088" spans="2:12">
      <c r="B1088" s="2" t="s">
        <v>2209</v>
      </c>
      <c r="C1088" s="7">
        <v>45965</v>
      </c>
      <c r="D1088" s="2" t="s">
        <v>280</v>
      </c>
      <c r="E1088" s="4">
        <v>1</v>
      </c>
      <c r="F1088" s="8" t="str">
        <f>_xlfn.XLOOKUP(D1088,Master[Product_Code],Master[Category])</f>
        <v>Shirt</v>
      </c>
      <c r="G1088" s="8" t="str">
        <f>_xlfn.XLOOKUP(D1088,Master[Product_Code],Master[Brand])</f>
        <v>L7</v>
      </c>
      <c r="H1088" s="8" t="str">
        <f>_xlfn.XLOOKUP(D1088,Master[Product_Code],Master[Style])</f>
        <v>Casual</v>
      </c>
      <c r="I1088" s="8" t="str">
        <f>_xlfn.XLOOKUP(D1088,Master[Product_Code],Master[Fabric])</f>
        <v>Cotton</v>
      </c>
      <c r="J1088" s="8" t="str">
        <f>_xlfn.XLOOKUP(D1088,Master[Product_Code],Master[Size])</f>
        <v>XXL</v>
      </c>
      <c r="K1088" s="8" t="str">
        <f>_xlfn.XLOOKUP(D1088,Master[Product_Code],Master[Color])</f>
        <v>Dark Green</v>
      </c>
      <c r="L1088" s="3">
        <f>_xlfn.XLOOKUP(D1088,Master[Product_Code],Master[Selling_Price])</f>
        <v>680</v>
      </c>
    </row>
    <row r="1089" spans="2:12">
      <c r="B1089" s="2" t="s">
        <v>2209</v>
      </c>
      <c r="C1089" s="7">
        <v>45965</v>
      </c>
      <c r="D1089" s="2" t="s">
        <v>533</v>
      </c>
      <c r="E1089" s="4">
        <v>1</v>
      </c>
      <c r="F1089" s="8" t="str">
        <f>_xlfn.XLOOKUP(D1089,Master[Product_Code],Master[Category])</f>
        <v>T-Shirt</v>
      </c>
      <c r="G1089" s="8" t="str">
        <f>_xlfn.XLOOKUP(D1089,Master[Product_Code],Master[Brand])</f>
        <v>Roadster</v>
      </c>
      <c r="H1089" s="8" t="str">
        <f>_xlfn.XLOOKUP(D1089,Master[Product_Code],Master[Style])</f>
        <v>Half Sleeve</v>
      </c>
      <c r="I1089" s="8" t="str">
        <f>_xlfn.XLOOKUP(D1089,Master[Product_Code],Master[Fabric])</f>
        <v>Cotton Blend</v>
      </c>
      <c r="J1089" s="8" t="str">
        <f>_xlfn.XLOOKUP(D1089,Master[Product_Code],Master[Size])</f>
        <v>XL</v>
      </c>
      <c r="K1089" s="8" t="str">
        <f>_xlfn.XLOOKUP(D1089,Master[Product_Code],Master[Color])</f>
        <v>Charcoal</v>
      </c>
      <c r="L1089" s="3">
        <f>_xlfn.XLOOKUP(D1089,Master[Product_Code],Master[Selling_Price])</f>
        <v>490</v>
      </c>
    </row>
    <row r="1090" spans="2:12">
      <c r="B1090" s="2" t="s">
        <v>2210</v>
      </c>
      <c r="C1090" s="7">
        <v>45965</v>
      </c>
      <c r="D1090" s="2" t="s">
        <v>179</v>
      </c>
      <c r="E1090" s="4">
        <v>1</v>
      </c>
      <c r="F1090" s="8" t="str">
        <f>_xlfn.XLOOKUP(D1090,Master[Product_Code],Master[Category])</f>
        <v>Shirt</v>
      </c>
      <c r="G1090" s="8" t="str">
        <f>_xlfn.XLOOKUP(D1090,Master[Product_Code],Master[Brand])</f>
        <v>USD</v>
      </c>
      <c r="H1090" s="8" t="str">
        <f>_xlfn.XLOOKUP(D1090,Master[Product_Code],Master[Style])</f>
        <v>Casual</v>
      </c>
      <c r="I1090" s="8" t="str">
        <f>_xlfn.XLOOKUP(D1090,Master[Product_Code],Master[Fabric])</f>
        <v>Polyester</v>
      </c>
      <c r="J1090" s="8" t="str">
        <f>_xlfn.XLOOKUP(D1090,Master[Product_Code],Master[Size])</f>
        <v>L</v>
      </c>
      <c r="K1090" s="8" t="str">
        <f>_xlfn.XLOOKUP(D1090,Master[Product_Code],Master[Color])</f>
        <v>Olive</v>
      </c>
      <c r="L1090" s="3">
        <f>_xlfn.XLOOKUP(D1090,Master[Product_Code],Master[Selling_Price])</f>
        <v>900</v>
      </c>
    </row>
    <row r="1091" spans="2:12">
      <c r="B1091" s="2" t="s">
        <v>2210</v>
      </c>
      <c r="C1091" s="7">
        <v>45965</v>
      </c>
      <c r="D1091" s="2" t="s">
        <v>1461</v>
      </c>
      <c r="E1091" s="4">
        <v>1</v>
      </c>
      <c r="F1091" s="8" t="str">
        <f>_xlfn.XLOOKUP(D1091,Master[Product_Code],Master[Category])</f>
        <v>Innerwear</v>
      </c>
      <c r="G1091" s="8" t="str">
        <f>_xlfn.XLOOKUP(D1091,Master[Product_Code],Master[Brand])</f>
        <v>Rupa</v>
      </c>
      <c r="H1091" s="8" t="str">
        <f>_xlfn.XLOOKUP(D1091,Master[Product_Code],Master[Style])</f>
        <v>Boxer</v>
      </c>
      <c r="I1091" s="8" t="str">
        <f>_xlfn.XLOOKUP(D1091,Master[Product_Code],Master[Fabric])</f>
        <v>Cotton</v>
      </c>
      <c r="J1091" s="8" t="str">
        <f>_xlfn.XLOOKUP(D1091,Master[Product_Code],Master[Size])</f>
        <v>100-105</v>
      </c>
      <c r="K1091" s="8" t="str">
        <f>_xlfn.XLOOKUP(D1091,Master[Product_Code],Master[Color])</f>
        <v>Rust</v>
      </c>
      <c r="L1091" s="3">
        <f>_xlfn.XLOOKUP(D1091,Master[Product_Code],Master[Selling_Price])</f>
        <v>160</v>
      </c>
    </row>
    <row r="1092" spans="2:12">
      <c r="B1092" s="2" t="s">
        <v>2211</v>
      </c>
      <c r="C1092" s="7">
        <v>45965</v>
      </c>
      <c r="D1092" s="2" t="s">
        <v>1599</v>
      </c>
      <c r="E1092" s="4">
        <v>1</v>
      </c>
      <c r="F1092" s="8" t="str">
        <f>_xlfn.XLOOKUP(D1092,Master[Product_Code],Master[Category])</f>
        <v>Innerwear</v>
      </c>
      <c r="G1092" s="8" t="str">
        <f>_xlfn.XLOOKUP(D1092,Master[Product_Code],Master[Brand])</f>
        <v>Rupa</v>
      </c>
      <c r="H1092" s="8" t="str">
        <f>_xlfn.XLOOKUP(D1092,Master[Product_Code],Master[Style])</f>
        <v>Boxer</v>
      </c>
      <c r="I1092" s="8" t="str">
        <f>_xlfn.XLOOKUP(D1092,Master[Product_Code],Master[Fabric])</f>
        <v>Cotton Blend</v>
      </c>
      <c r="J1092" s="8" t="str">
        <f>_xlfn.XLOOKUP(D1092,Master[Product_Code],Master[Size])</f>
        <v>75-80</v>
      </c>
      <c r="K1092" s="8" t="str">
        <f>_xlfn.XLOOKUP(D1092,Master[Product_Code],Master[Color])</f>
        <v>Teal</v>
      </c>
      <c r="L1092" s="3">
        <f>_xlfn.XLOOKUP(D1092,Master[Product_Code],Master[Selling_Price])</f>
        <v>120</v>
      </c>
    </row>
    <row r="1093" spans="2:12">
      <c r="B1093" s="2" t="s">
        <v>2212</v>
      </c>
      <c r="C1093" s="7">
        <v>45965</v>
      </c>
      <c r="D1093" s="2" t="s">
        <v>1720</v>
      </c>
      <c r="E1093" s="4">
        <v>1</v>
      </c>
      <c r="F1093" s="8" t="str">
        <f>_xlfn.XLOOKUP(D1093,Master[Product_Code],Master[Category])</f>
        <v>Innerwear</v>
      </c>
      <c r="G1093" s="8" t="str">
        <f>_xlfn.XLOOKUP(D1093,Master[Product_Code],Master[Brand])</f>
        <v>Lux</v>
      </c>
      <c r="H1093" s="8" t="str">
        <f>_xlfn.XLOOKUP(D1093,Master[Product_Code],Master[Style])</f>
        <v>V-Cut</v>
      </c>
      <c r="I1093" s="8" t="str">
        <f>_xlfn.XLOOKUP(D1093,Master[Product_Code],Master[Fabric])</f>
        <v>Cotton Blend</v>
      </c>
      <c r="J1093" s="8" t="str">
        <f>_xlfn.XLOOKUP(D1093,Master[Product_Code],Master[Size])</f>
        <v>85-90</v>
      </c>
      <c r="K1093" s="8" t="str">
        <f>_xlfn.XLOOKUP(D1093,Master[Product_Code],Master[Color])</f>
        <v>Brown</v>
      </c>
      <c r="L1093" s="3">
        <f>_xlfn.XLOOKUP(D1093,Master[Product_Code],Master[Selling_Price])</f>
        <v>130</v>
      </c>
    </row>
    <row r="1094" spans="2:12">
      <c r="B1094" s="2" t="s">
        <v>2212</v>
      </c>
      <c r="C1094" s="7">
        <v>45965</v>
      </c>
      <c r="D1094" s="2" t="s">
        <v>640</v>
      </c>
      <c r="E1094" s="4">
        <v>1</v>
      </c>
      <c r="F1094" s="8" t="str">
        <f>_xlfn.XLOOKUP(D1094,Master[Product_Code],Master[Category])</f>
        <v>T-Shirt</v>
      </c>
      <c r="G1094" s="8" t="str">
        <f>_xlfn.XLOOKUP(D1094,Master[Product_Code],Master[Brand])</f>
        <v>Campus</v>
      </c>
      <c r="H1094" s="8" t="str">
        <f>_xlfn.XLOOKUP(D1094,Master[Product_Code],Master[Style])</f>
        <v>Half Sleeve</v>
      </c>
      <c r="I1094" s="8" t="str">
        <f>_xlfn.XLOOKUP(D1094,Master[Product_Code],Master[Fabric])</f>
        <v>Cotton Blend</v>
      </c>
      <c r="J1094" s="8" t="str">
        <f>_xlfn.XLOOKUP(D1094,Master[Product_Code],Master[Size])</f>
        <v>S</v>
      </c>
      <c r="K1094" s="8" t="str">
        <f>_xlfn.XLOOKUP(D1094,Master[Product_Code],Master[Color])</f>
        <v>Mustard</v>
      </c>
      <c r="L1094" s="3">
        <f>_xlfn.XLOOKUP(D1094,Master[Product_Code],Master[Selling_Price])</f>
        <v>420</v>
      </c>
    </row>
    <row r="1095" spans="2:12">
      <c r="B1095" s="2" t="s">
        <v>2212</v>
      </c>
      <c r="C1095" s="7">
        <v>45965</v>
      </c>
      <c r="D1095" s="2" t="s">
        <v>540</v>
      </c>
      <c r="E1095" s="4">
        <v>1</v>
      </c>
      <c r="F1095" s="8" t="str">
        <f>_xlfn.XLOOKUP(D1095,Master[Product_Code],Master[Category])</f>
        <v>T-Shirt</v>
      </c>
      <c r="G1095" s="8" t="str">
        <f>_xlfn.XLOOKUP(D1095,Master[Product_Code],Master[Brand])</f>
        <v>Turkey</v>
      </c>
      <c r="H1095" s="8" t="str">
        <f>_xlfn.XLOOKUP(D1095,Master[Product_Code],Master[Style])</f>
        <v>3/4 Sleeve</v>
      </c>
      <c r="I1095" s="8" t="str">
        <f>_xlfn.XLOOKUP(D1095,Master[Product_Code],Master[Fabric])</f>
        <v>Cotton</v>
      </c>
      <c r="J1095" s="8" t="str">
        <f>_xlfn.XLOOKUP(D1095,Master[Product_Code],Master[Size])</f>
        <v>XXL</v>
      </c>
      <c r="K1095" s="8" t="str">
        <f>_xlfn.XLOOKUP(D1095,Master[Product_Code],Master[Color])</f>
        <v>Sky Blue</v>
      </c>
      <c r="L1095" s="3">
        <f>_xlfn.XLOOKUP(D1095,Master[Product_Code],Master[Selling_Price])</f>
        <v>470</v>
      </c>
    </row>
    <row r="1096" spans="2:12">
      <c r="B1096" s="2" t="s">
        <v>2213</v>
      </c>
      <c r="C1096" s="7">
        <v>45965</v>
      </c>
      <c r="D1096" s="2" t="s">
        <v>144</v>
      </c>
      <c r="E1096" s="4">
        <v>1</v>
      </c>
      <c r="F1096" s="8" t="str">
        <f>_xlfn.XLOOKUP(D1096,Master[Product_Code],Master[Category])</f>
        <v>Shirt</v>
      </c>
      <c r="G1096" s="8" t="str">
        <f>_xlfn.XLOOKUP(D1096,Master[Product_Code],Master[Brand])</f>
        <v>Zara</v>
      </c>
      <c r="H1096" s="8" t="str">
        <f>_xlfn.XLOOKUP(D1096,Master[Product_Code],Master[Style])</f>
        <v>Partywear</v>
      </c>
      <c r="I1096" s="8" t="str">
        <f>_xlfn.XLOOKUP(D1096,Master[Product_Code],Master[Fabric])</f>
        <v>Lycra</v>
      </c>
      <c r="J1096" s="8" t="str">
        <f>_xlfn.XLOOKUP(D1096,Master[Product_Code],Master[Size])</f>
        <v>M</v>
      </c>
      <c r="K1096" s="8" t="str">
        <f>_xlfn.XLOOKUP(D1096,Master[Product_Code],Master[Color])</f>
        <v>Maroon</v>
      </c>
      <c r="L1096" s="3">
        <f>_xlfn.XLOOKUP(D1096,Master[Product_Code],Master[Selling_Price])</f>
        <v>700</v>
      </c>
    </row>
    <row r="1097" spans="2:12">
      <c r="B1097" s="2" t="s">
        <v>2214</v>
      </c>
      <c r="C1097" s="7">
        <v>45965</v>
      </c>
      <c r="D1097" s="2" t="s">
        <v>473</v>
      </c>
      <c r="E1097" s="4">
        <v>1</v>
      </c>
      <c r="F1097" s="8" t="str">
        <f>_xlfn.XLOOKUP(D1097,Master[Product_Code],Master[Category])</f>
        <v>T-Shirt</v>
      </c>
      <c r="G1097" s="8" t="str">
        <f>_xlfn.XLOOKUP(D1097,Master[Product_Code],Master[Brand])</f>
        <v>Roadster</v>
      </c>
      <c r="H1097" s="8" t="str">
        <f>_xlfn.XLOOKUP(D1097,Master[Product_Code],Master[Style])</f>
        <v>Sleeveless</v>
      </c>
      <c r="I1097" s="8" t="str">
        <f>_xlfn.XLOOKUP(D1097,Master[Product_Code],Master[Fabric])</f>
        <v>Cotton Blend</v>
      </c>
      <c r="J1097" s="8" t="str">
        <f>_xlfn.XLOOKUP(D1097,Master[Product_Code],Master[Size])</f>
        <v>XL</v>
      </c>
      <c r="K1097" s="8" t="str">
        <f>_xlfn.XLOOKUP(D1097,Master[Product_Code],Master[Color])</f>
        <v>Sky Blue</v>
      </c>
      <c r="L1097" s="3">
        <f>_xlfn.XLOOKUP(D1097,Master[Product_Code],Master[Selling_Price])</f>
        <v>360</v>
      </c>
    </row>
    <row r="1098" spans="2:12">
      <c r="B1098" s="2" t="s">
        <v>2214</v>
      </c>
      <c r="C1098" s="7">
        <v>45965</v>
      </c>
      <c r="D1098" s="2" t="s">
        <v>827</v>
      </c>
      <c r="E1098" s="4">
        <v>1</v>
      </c>
      <c r="F1098" s="8" t="str">
        <f>_xlfn.XLOOKUP(D1098,Master[Product_Code],Master[Category])</f>
        <v>T-Shirt</v>
      </c>
      <c r="G1098" s="8" t="str">
        <f>_xlfn.XLOOKUP(D1098,Master[Product_Code],Master[Brand])</f>
        <v>Campus</v>
      </c>
      <c r="H1098" s="8" t="str">
        <f>_xlfn.XLOOKUP(D1098,Master[Product_Code],Master[Style])</f>
        <v>3/4 Sleeve</v>
      </c>
      <c r="I1098" s="8" t="str">
        <f>_xlfn.XLOOKUP(D1098,Master[Product_Code],Master[Fabric])</f>
        <v>Cotton</v>
      </c>
      <c r="J1098" s="8" t="str">
        <f>_xlfn.XLOOKUP(D1098,Master[Product_Code],Master[Size])</f>
        <v>XXL</v>
      </c>
      <c r="K1098" s="8" t="str">
        <f>_xlfn.XLOOKUP(D1098,Master[Product_Code],Master[Color])</f>
        <v>Bottle Green</v>
      </c>
      <c r="L1098" s="3">
        <f>_xlfn.XLOOKUP(D1098,Master[Product_Code],Master[Selling_Price])</f>
        <v>280</v>
      </c>
    </row>
    <row r="1099" spans="2:12">
      <c r="B1099" s="2" t="s">
        <v>2215</v>
      </c>
      <c r="C1099" s="7">
        <v>45965</v>
      </c>
      <c r="D1099" s="2" t="s">
        <v>1203</v>
      </c>
      <c r="E1099" s="4">
        <v>1</v>
      </c>
      <c r="F1099" s="8" t="str">
        <f>_xlfn.XLOOKUP(D1099,Master[Product_Code],Master[Category])</f>
        <v>Pants</v>
      </c>
      <c r="G1099" s="8" t="str">
        <f>_xlfn.XLOOKUP(D1099,Master[Product_Code],Master[Brand])</f>
        <v>Park Avenue</v>
      </c>
      <c r="H1099" s="8" t="str">
        <f>_xlfn.XLOOKUP(D1099,Master[Product_Code],Master[Style])</f>
        <v>Boot Cut</v>
      </c>
      <c r="I1099" s="8" t="str">
        <f>_xlfn.XLOOKUP(D1099,Master[Product_Code],Master[Fabric])</f>
        <v>Poly Viscose</v>
      </c>
      <c r="J1099" s="8">
        <f>_xlfn.XLOOKUP(D1099,Master[Product_Code],Master[Size])</f>
        <v>44</v>
      </c>
      <c r="K1099" s="8" t="str">
        <f>_xlfn.XLOOKUP(D1099,Master[Product_Code],Master[Color])</f>
        <v>Beige</v>
      </c>
      <c r="L1099" s="3">
        <f>_xlfn.XLOOKUP(D1099,Master[Product_Code],Master[Selling_Price])</f>
        <v>870</v>
      </c>
    </row>
    <row r="1100" spans="2:12">
      <c r="B1100" s="2" t="s">
        <v>2216</v>
      </c>
      <c r="C1100" s="7">
        <v>45965</v>
      </c>
      <c r="D1100" s="2" t="s">
        <v>1047</v>
      </c>
      <c r="E1100" s="4">
        <v>1</v>
      </c>
      <c r="F1100" s="8" t="str">
        <f>_xlfn.XLOOKUP(D1100,Master[Product_Code],Master[Category])</f>
        <v>Jeans</v>
      </c>
      <c r="G1100" s="8" t="str">
        <f>_xlfn.XLOOKUP(D1100,Master[Product_Code],Master[Brand])</f>
        <v>Denim Pro</v>
      </c>
      <c r="H1100" s="8" t="str">
        <f>_xlfn.XLOOKUP(D1100,Master[Product_Code],Master[Style])</f>
        <v>Baggy</v>
      </c>
      <c r="I1100" s="8" t="str">
        <f>_xlfn.XLOOKUP(D1100,Master[Product_Code],Master[Fabric])</f>
        <v>Denim</v>
      </c>
      <c r="J1100" s="8">
        <f>_xlfn.XLOOKUP(D1100,Master[Product_Code],Master[Size])</f>
        <v>28</v>
      </c>
      <c r="K1100" s="8" t="str">
        <f>_xlfn.XLOOKUP(D1100,Master[Product_Code],Master[Color])</f>
        <v>Olive</v>
      </c>
      <c r="L1100" s="3">
        <f>_xlfn.XLOOKUP(D1100,Master[Product_Code],Master[Selling_Price])</f>
        <v>790</v>
      </c>
    </row>
    <row r="1101" spans="2:12">
      <c r="B1101" s="2" t="s">
        <v>2216</v>
      </c>
      <c r="C1101" s="7">
        <v>45965</v>
      </c>
      <c r="D1101" s="2" t="s">
        <v>669</v>
      </c>
      <c r="E1101" s="4">
        <v>1</v>
      </c>
      <c r="F1101" s="8" t="str">
        <f>_xlfn.XLOOKUP(D1101,Master[Product_Code],Master[Category])</f>
        <v>T-Shirt</v>
      </c>
      <c r="G1101" s="8" t="str">
        <f>_xlfn.XLOOKUP(D1101,Master[Product_Code],Master[Brand])</f>
        <v>Roadster</v>
      </c>
      <c r="H1101" s="8" t="str">
        <f>_xlfn.XLOOKUP(D1101,Master[Product_Code],Master[Style])</f>
        <v>Full Sleeve</v>
      </c>
      <c r="I1101" s="8" t="str">
        <f>_xlfn.XLOOKUP(D1101,Master[Product_Code],Master[Fabric])</f>
        <v>Cotton Blend</v>
      </c>
      <c r="J1101" s="8" t="str">
        <f>_xlfn.XLOOKUP(D1101,Master[Product_Code],Master[Size])</f>
        <v>S</v>
      </c>
      <c r="K1101" s="8" t="str">
        <f>_xlfn.XLOOKUP(D1101,Master[Product_Code],Master[Color])</f>
        <v>Wine</v>
      </c>
      <c r="L1101" s="3">
        <f>_xlfn.XLOOKUP(D1101,Master[Product_Code],Master[Selling_Price])</f>
        <v>660</v>
      </c>
    </row>
    <row r="1102" spans="2:12">
      <c r="B1102" s="2" t="s">
        <v>2216</v>
      </c>
      <c r="C1102" s="7">
        <v>45965</v>
      </c>
      <c r="D1102" s="2" t="s">
        <v>878</v>
      </c>
      <c r="E1102" s="4">
        <v>1</v>
      </c>
      <c r="F1102" s="8" t="str">
        <f>_xlfn.XLOOKUP(D1102,Master[Product_Code],Master[Category])</f>
        <v>Jeans</v>
      </c>
      <c r="G1102" s="8" t="str">
        <f>_xlfn.XLOOKUP(D1102,Master[Product_Code],Master[Brand])</f>
        <v>Spykar</v>
      </c>
      <c r="H1102" s="8" t="str">
        <f>_xlfn.XLOOKUP(D1102,Master[Product_Code],Master[Style])</f>
        <v>Baggy</v>
      </c>
      <c r="I1102" s="8" t="str">
        <f>_xlfn.XLOOKUP(D1102,Master[Product_Code],Master[Fabric])</f>
        <v>Denim</v>
      </c>
      <c r="J1102" s="8">
        <f>_xlfn.XLOOKUP(D1102,Master[Product_Code],Master[Size])</f>
        <v>40</v>
      </c>
      <c r="K1102" s="8" t="str">
        <f>_xlfn.XLOOKUP(D1102,Master[Product_Code],Master[Color])</f>
        <v>Charcoal</v>
      </c>
      <c r="L1102" s="3">
        <f>_xlfn.XLOOKUP(D1102,Master[Product_Code],Master[Selling_Price])</f>
        <v>770</v>
      </c>
    </row>
    <row r="1103" spans="2:12">
      <c r="B1103" s="2" t="s">
        <v>2217</v>
      </c>
      <c r="C1103" s="7">
        <v>45965</v>
      </c>
      <c r="D1103" s="2" t="s">
        <v>1623</v>
      </c>
      <c r="E1103" s="4">
        <v>1</v>
      </c>
      <c r="F1103" s="8" t="str">
        <f>_xlfn.XLOOKUP(D1103,Master[Product_Code],Master[Category])</f>
        <v>Innerwear</v>
      </c>
      <c r="G1103" s="8" t="str">
        <f>_xlfn.XLOOKUP(D1103,Master[Product_Code],Master[Brand])</f>
        <v>Jockey</v>
      </c>
      <c r="H1103" s="8" t="str">
        <f>_xlfn.XLOOKUP(D1103,Master[Product_Code],Master[Style])</f>
        <v>Boxer</v>
      </c>
      <c r="I1103" s="8" t="str">
        <f>_xlfn.XLOOKUP(D1103,Master[Product_Code],Master[Fabric])</f>
        <v>Cotton Blend</v>
      </c>
      <c r="J1103" s="8" t="str">
        <f>_xlfn.XLOOKUP(D1103,Master[Product_Code],Master[Size])</f>
        <v>85-90</v>
      </c>
      <c r="K1103" s="8" t="str">
        <f>_xlfn.XLOOKUP(D1103,Master[Product_Code],Master[Color])</f>
        <v>Peach</v>
      </c>
      <c r="L1103" s="3">
        <f>_xlfn.XLOOKUP(D1103,Master[Product_Code],Master[Selling_Price])</f>
        <v>100</v>
      </c>
    </row>
    <row r="1104" spans="2:12">
      <c r="B1104" s="2" t="s">
        <v>2217</v>
      </c>
      <c r="C1104" s="7">
        <v>45965</v>
      </c>
      <c r="D1104" s="2" t="s">
        <v>770</v>
      </c>
      <c r="E1104" s="4">
        <v>1</v>
      </c>
      <c r="F1104" s="8" t="str">
        <f>_xlfn.XLOOKUP(D1104,Master[Product_Code],Master[Category])</f>
        <v>T-Shirt</v>
      </c>
      <c r="G1104" s="8" t="str">
        <f>_xlfn.XLOOKUP(D1104,Master[Product_Code],Master[Brand])</f>
        <v>Roadster</v>
      </c>
      <c r="H1104" s="8" t="str">
        <f>_xlfn.XLOOKUP(D1104,Master[Product_Code],Master[Style])</f>
        <v>Half Sleeve</v>
      </c>
      <c r="I1104" s="8" t="str">
        <f>_xlfn.XLOOKUP(D1104,Master[Product_Code],Master[Fabric])</f>
        <v>Poly Cotton</v>
      </c>
      <c r="J1104" s="8" t="str">
        <f>_xlfn.XLOOKUP(D1104,Master[Product_Code],Master[Size])</f>
        <v>M</v>
      </c>
      <c r="K1104" s="8" t="str">
        <f>_xlfn.XLOOKUP(D1104,Master[Product_Code],Master[Color])</f>
        <v>Cream</v>
      </c>
      <c r="L1104" s="3">
        <f>_xlfn.XLOOKUP(D1104,Master[Product_Code],Master[Selling_Price])</f>
        <v>550</v>
      </c>
    </row>
    <row r="1105" spans="2:12">
      <c r="B1105" s="2" t="s">
        <v>2217</v>
      </c>
      <c r="C1105" s="7">
        <v>45965</v>
      </c>
      <c r="D1105" s="2" t="s">
        <v>1613</v>
      </c>
      <c r="E1105" s="4">
        <v>1</v>
      </c>
      <c r="F1105" s="8" t="str">
        <f>_xlfn.XLOOKUP(D1105,Master[Product_Code],Master[Category])</f>
        <v>Innerwear</v>
      </c>
      <c r="G1105" s="8" t="str">
        <f>_xlfn.XLOOKUP(D1105,Master[Product_Code],Master[Brand])</f>
        <v>Dollar</v>
      </c>
      <c r="H1105" s="8" t="str">
        <f>_xlfn.XLOOKUP(D1105,Master[Product_Code],Master[Style])</f>
        <v>V-Cut</v>
      </c>
      <c r="I1105" s="8" t="str">
        <f>_xlfn.XLOOKUP(D1105,Master[Product_Code],Master[Fabric])</f>
        <v>Cotton</v>
      </c>
      <c r="J1105" s="8" t="str">
        <f>_xlfn.XLOOKUP(D1105,Master[Product_Code],Master[Size])</f>
        <v>90-100</v>
      </c>
      <c r="K1105" s="8" t="str">
        <f>_xlfn.XLOOKUP(D1105,Master[Product_Code],Master[Color])</f>
        <v>Peach</v>
      </c>
      <c r="L1105" s="3">
        <f>_xlfn.XLOOKUP(D1105,Master[Product_Code],Master[Selling_Price])</f>
        <v>170</v>
      </c>
    </row>
    <row r="1106" spans="2:12">
      <c r="B1106" s="2" t="s">
        <v>2218</v>
      </c>
      <c r="C1106" s="7">
        <v>45965</v>
      </c>
      <c r="D1106" s="2" t="s">
        <v>1611</v>
      </c>
      <c r="E1106" s="4">
        <v>1</v>
      </c>
      <c r="F1106" s="8" t="str">
        <f>_xlfn.XLOOKUP(D1106,Master[Product_Code],Master[Category])</f>
        <v>Innerwear</v>
      </c>
      <c r="G1106" s="8" t="str">
        <f>_xlfn.XLOOKUP(D1106,Master[Product_Code],Master[Brand])</f>
        <v>V Star</v>
      </c>
      <c r="H1106" s="8" t="str">
        <f>_xlfn.XLOOKUP(D1106,Master[Product_Code],Master[Style])</f>
        <v>Boxer</v>
      </c>
      <c r="I1106" s="8" t="str">
        <f>_xlfn.XLOOKUP(D1106,Master[Product_Code],Master[Fabric])</f>
        <v>Cotton</v>
      </c>
      <c r="J1106" s="8" t="str">
        <f>_xlfn.XLOOKUP(D1106,Master[Product_Code],Master[Size])</f>
        <v>85-90</v>
      </c>
      <c r="K1106" s="8" t="str">
        <f>_xlfn.XLOOKUP(D1106,Master[Product_Code],Master[Color])</f>
        <v>Black</v>
      </c>
      <c r="L1106" s="3">
        <f>_xlfn.XLOOKUP(D1106,Master[Product_Code],Master[Selling_Price])</f>
        <v>180</v>
      </c>
    </row>
    <row r="1107" spans="2:12">
      <c r="B1107" s="2" t="s">
        <v>2218</v>
      </c>
      <c r="C1107" s="7">
        <v>45965</v>
      </c>
      <c r="D1107" s="2" t="s">
        <v>700</v>
      </c>
      <c r="E1107" s="4">
        <v>1</v>
      </c>
      <c r="F1107" s="8" t="str">
        <f>_xlfn.XLOOKUP(D1107,Master[Product_Code],Master[Category])</f>
        <v>T-Shirt</v>
      </c>
      <c r="G1107" s="8" t="str">
        <f>_xlfn.XLOOKUP(D1107,Master[Product_Code],Master[Brand])</f>
        <v>Zara</v>
      </c>
      <c r="H1107" s="8" t="str">
        <f>_xlfn.XLOOKUP(D1107,Master[Product_Code],Master[Style])</f>
        <v>Sleeveless</v>
      </c>
      <c r="I1107" s="8" t="str">
        <f>_xlfn.XLOOKUP(D1107,Master[Product_Code],Master[Fabric])</f>
        <v>Cotton</v>
      </c>
      <c r="J1107" s="8" t="str">
        <f>_xlfn.XLOOKUP(D1107,Master[Product_Code],Master[Size])</f>
        <v>XL</v>
      </c>
      <c r="K1107" s="8" t="str">
        <f>_xlfn.XLOOKUP(D1107,Master[Product_Code],Master[Color])</f>
        <v>Grey</v>
      </c>
      <c r="L1107" s="3">
        <f>_xlfn.XLOOKUP(D1107,Master[Product_Code],Master[Selling_Price])</f>
        <v>340</v>
      </c>
    </row>
    <row r="1108" spans="2:12">
      <c r="B1108" s="2" t="s">
        <v>2218</v>
      </c>
      <c r="C1108" s="7">
        <v>45965</v>
      </c>
      <c r="D1108" s="2" t="s">
        <v>892</v>
      </c>
      <c r="E1108" s="4">
        <v>1</v>
      </c>
      <c r="F1108" s="8" t="str">
        <f>_xlfn.XLOOKUP(D1108,Master[Product_Code],Master[Category])</f>
        <v>Jeans</v>
      </c>
      <c r="G1108" s="8" t="str">
        <f>_xlfn.XLOOKUP(D1108,Master[Product_Code],Master[Brand])</f>
        <v>Denim Pro</v>
      </c>
      <c r="H1108" s="8" t="str">
        <f>_xlfn.XLOOKUP(D1108,Master[Product_Code],Master[Style])</f>
        <v>Mom Fit</v>
      </c>
      <c r="I1108" s="8" t="str">
        <f>_xlfn.XLOOKUP(D1108,Master[Product_Code],Master[Fabric])</f>
        <v>Denim</v>
      </c>
      <c r="J1108" s="8">
        <f>_xlfn.XLOOKUP(D1108,Master[Product_Code],Master[Size])</f>
        <v>32</v>
      </c>
      <c r="K1108" s="8" t="str">
        <f>_xlfn.XLOOKUP(D1108,Master[Product_Code],Master[Color])</f>
        <v>Olive</v>
      </c>
      <c r="L1108" s="3">
        <f>_xlfn.XLOOKUP(D1108,Master[Product_Code],Master[Selling_Price])</f>
        <v>960</v>
      </c>
    </row>
    <row r="1109" spans="2:12">
      <c r="B1109" s="2" t="s">
        <v>2219</v>
      </c>
      <c r="C1109" s="7">
        <v>45965</v>
      </c>
      <c r="D1109" s="2" t="s">
        <v>1097</v>
      </c>
      <c r="E1109" s="4">
        <v>1</v>
      </c>
      <c r="F1109" s="8" t="str">
        <f>_xlfn.XLOOKUP(D1109,Master[Product_Code],Master[Category])</f>
        <v>Jeans</v>
      </c>
      <c r="G1109" s="8" t="str">
        <f>_xlfn.XLOOKUP(D1109,Master[Product_Code],Master[Brand])</f>
        <v>Wrangler</v>
      </c>
      <c r="H1109" s="8" t="str">
        <f>_xlfn.XLOOKUP(D1109,Master[Product_Code],Master[Style])</f>
        <v>Jogger</v>
      </c>
      <c r="I1109" s="8" t="str">
        <f>_xlfn.XLOOKUP(D1109,Master[Product_Code],Master[Fabric])</f>
        <v>Denim</v>
      </c>
      <c r="J1109" s="8">
        <f>_xlfn.XLOOKUP(D1109,Master[Product_Code],Master[Size])</f>
        <v>28</v>
      </c>
      <c r="K1109" s="8" t="str">
        <f>_xlfn.XLOOKUP(D1109,Master[Product_Code],Master[Color])</f>
        <v>Sky Blue</v>
      </c>
      <c r="L1109" s="3">
        <f>_xlfn.XLOOKUP(D1109,Master[Product_Code],Master[Selling_Price])</f>
        <v>860</v>
      </c>
    </row>
    <row r="1110" spans="2:12">
      <c r="B1110" s="2" t="s">
        <v>2219</v>
      </c>
      <c r="C1110" s="7">
        <v>45965</v>
      </c>
      <c r="D1110" s="2" t="s">
        <v>1252</v>
      </c>
      <c r="E1110" s="4">
        <v>1</v>
      </c>
      <c r="F1110" s="8" t="str">
        <f>_xlfn.XLOOKUP(D1110,Master[Product_Code],Master[Category])</f>
        <v>Pants</v>
      </c>
      <c r="G1110" s="8" t="str">
        <f>_xlfn.XLOOKUP(D1110,Master[Product_Code],Master[Brand])</f>
        <v>Louis Philippe</v>
      </c>
      <c r="H1110" s="8" t="str">
        <f>_xlfn.XLOOKUP(D1110,Master[Product_Code],Master[Style])</f>
        <v>Jogger</v>
      </c>
      <c r="I1110" s="8" t="str">
        <f>_xlfn.XLOOKUP(D1110,Master[Product_Code],Master[Fabric])</f>
        <v>Cotton Blend</v>
      </c>
      <c r="J1110" s="8">
        <f>_xlfn.XLOOKUP(D1110,Master[Product_Code],Master[Size])</f>
        <v>44</v>
      </c>
      <c r="K1110" s="8" t="str">
        <f>_xlfn.XLOOKUP(D1110,Master[Product_Code],Master[Color])</f>
        <v>Mustard</v>
      </c>
      <c r="L1110" s="3">
        <f>_xlfn.XLOOKUP(D1110,Master[Product_Code],Master[Selling_Price])</f>
        <v>830</v>
      </c>
    </row>
    <row r="1111" spans="2:12">
      <c r="B1111" s="2" t="s">
        <v>2219</v>
      </c>
      <c r="C1111" s="7">
        <v>45965</v>
      </c>
      <c r="D1111" s="2" t="s">
        <v>1267</v>
      </c>
      <c r="E1111" s="4">
        <v>1</v>
      </c>
      <c r="F1111" s="8" t="str">
        <f>_xlfn.XLOOKUP(D1111,Master[Product_Code],Master[Category])</f>
        <v>Pants</v>
      </c>
      <c r="G1111" s="8" t="str">
        <f>_xlfn.XLOOKUP(D1111,Master[Product_Code],Master[Brand])</f>
        <v>Louis Philippe</v>
      </c>
      <c r="H1111" s="8" t="str">
        <f>_xlfn.XLOOKUP(D1111,Master[Product_Code],Master[Style])</f>
        <v>Kurka</v>
      </c>
      <c r="I1111" s="8" t="str">
        <f>_xlfn.XLOOKUP(D1111,Master[Product_Code],Master[Fabric])</f>
        <v>Lycra</v>
      </c>
      <c r="J1111" s="8">
        <f>_xlfn.XLOOKUP(D1111,Master[Product_Code],Master[Size])</f>
        <v>40</v>
      </c>
      <c r="K1111" s="8" t="str">
        <f>_xlfn.XLOOKUP(D1111,Master[Product_Code],Master[Color])</f>
        <v>Bottle Green</v>
      </c>
      <c r="L1111" s="3">
        <f>_xlfn.XLOOKUP(D1111,Master[Product_Code],Master[Selling_Price])</f>
        <v>950</v>
      </c>
    </row>
    <row r="1112" spans="2:12">
      <c r="B1112" s="2" t="s">
        <v>2219</v>
      </c>
      <c r="C1112" s="7">
        <v>45965</v>
      </c>
      <c r="D1112" s="2" t="s">
        <v>309</v>
      </c>
      <c r="E1112" s="4">
        <v>1</v>
      </c>
      <c r="F1112" s="8" t="str">
        <f>_xlfn.XLOOKUP(D1112,Master[Product_Code],Master[Category])</f>
        <v>Shirt</v>
      </c>
      <c r="G1112" s="8" t="str">
        <f>_xlfn.XLOOKUP(D1112,Master[Product_Code],Master[Brand])</f>
        <v>Thailand</v>
      </c>
      <c r="H1112" s="8" t="str">
        <f>_xlfn.XLOOKUP(D1112,Master[Product_Code],Master[Style])</f>
        <v>Casual</v>
      </c>
      <c r="I1112" s="8" t="str">
        <f>_xlfn.XLOOKUP(D1112,Master[Product_Code],Master[Fabric])</f>
        <v>Polyester</v>
      </c>
      <c r="J1112" s="8" t="str">
        <f>_xlfn.XLOOKUP(D1112,Master[Product_Code],Master[Size])</f>
        <v>XXL</v>
      </c>
      <c r="K1112" s="8" t="str">
        <f>_xlfn.XLOOKUP(D1112,Master[Product_Code],Master[Color])</f>
        <v>Bottle Green</v>
      </c>
      <c r="L1112" s="3">
        <f>_xlfn.XLOOKUP(D1112,Master[Product_Code],Master[Selling_Price])</f>
        <v>750</v>
      </c>
    </row>
    <row r="1113" spans="2:12">
      <c r="B1113" s="2" t="s">
        <v>2220</v>
      </c>
      <c r="C1113" s="7">
        <v>45966</v>
      </c>
      <c r="D1113" s="2" t="s">
        <v>1391</v>
      </c>
      <c r="E1113" s="4">
        <v>1</v>
      </c>
      <c r="F1113" s="8" t="str">
        <f>_xlfn.XLOOKUP(D1113,Master[Product_Code],Master[Category])</f>
        <v>Pants</v>
      </c>
      <c r="G1113" s="8" t="str">
        <f>_xlfn.XLOOKUP(D1113,Master[Product_Code],Master[Brand])</f>
        <v>Louis Philippe</v>
      </c>
      <c r="H1113" s="8" t="str">
        <f>_xlfn.XLOOKUP(D1113,Master[Product_Code],Master[Style])</f>
        <v>Korean</v>
      </c>
      <c r="I1113" s="8" t="str">
        <f>_xlfn.XLOOKUP(D1113,Master[Product_Code],Master[Fabric])</f>
        <v>Lycra</v>
      </c>
      <c r="J1113" s="8">
        <f>_xlfn.XLOOKUP(D1113,Master[Product_Code],Master[Size])</f>
        <v>42</v>
      </c>
      <c r="K1113" s="8" t="str">
        <f>_xlfn.XLOOKUP(D1113,Master[Product_Code],Master[Color])</f>
        <v>Black</v>
      </c>
      <c r="L1113" s="3">
        <f>_xlfn.XLOOKUP(D1113,Master[Product_Code],Master[Selling_Price])</f>
        <v>740</v>
      </c>
    </row>
    <row r="1114" spans="2:12">
      <c r="B1114" s="2" t="s">
        <v>2220</v>
      </c>
      <c r="C1114" s="7">
        <v>45966</v>
      </c>
      <c r="D1114" s="2" t="s">
        <v>484</v>
      </c>
      <c r="E1114" s="4">
        <v>1</v>
      </c>
      <c r="F1114" s="8" t="str">
        <f>_xlfn.XLOOKUP(D1114,Master[Product_Code],Master[Category])</f>
        <v>T-Shirt</v>
      </c>
      <c r="G1114" s="8" t="str">
        <f>_xlfn.XLOOKUP(D1114,Master[Product_Code],Master[Brand])</f>
        <v>Zara</v>
      </c>
      <c r="H1114" s="8" t="str">
        <f>_xlfn.XLOOKUP(D1114,Master[Product_Code],Master[Style])</f>
        <v>Full Sleeve</v>
      </c>
      <c r="I1114" s="8" t="str">
        <f>_xlfn.XLOOKUP(D1114,Master[Product_Code],Master[Fabric])</f>
        <v>Cotton Blend</v>
      </c>
      <c r="J1114" s="8" t="str">
        <f>_xlfn.XLOOKUP(D1114,Master[Product_Code],Master[Size])</f>
        <v>S</v>
      </c>
      <c r="K1114" s="8" t="str">
        <f>_xlfn.XLOOKUP(D1114,Master[Product_Code],Master[Color])</f>
        <v>Olive</v>
      </c>
      <c r="L1114" s="3">
        <f>_xlfn.XLOOKUP(D1114,Master[Product_Code],Master[Selling_Price])</f>
        <v>430</v>
      </c>
    </row>
    <row r="1115" spans="2:12">
      <c r="B1115" s="2" t="s">
        <v>2220</v>
      </c>
      <c r="C1115" s="7">
        <v>45966</v>
      </c>
      <c r="D1115" s="2" t="s">
        <v>704</v>
      </c>
      <c r="E1115" s="4">
        <v>1</v>
      </c>
      <c r="F1115" s="8" t="str">
        <f>_xlfn.XLOOKUP(D1115,Master[Product_Code],Master[Category])</f>
        <v>T-Shirt</v>
      </c>
      <c r="G1115" s="8" t="str">
        <f>_xlfn.XLOOKUP(D1115,Master[Product_Code],Master[Brand])</f>
        <v>Urban Monkey</v>
      </c>
      <c r="H1115" s="8" t="str">
        <f>_xlfn.XLOOKUP(D1115,Master[Product_Code],Master[Style])</f>
        <v>Full Sleeve</v>
      </c>
      <c r="I1115" s="8" t="str">
        <f>_xlfn.XLOOKUP(D1115,Master[Product_Code],Master[Fabric])</f>
        <v>Poly Cotton</v>
      </c>
      <c r="J1115" s="8" t="str">
        <f>_xlfn.XLOOKUP(D1115,Master[Product_Code],Master[Size])</f>
        <v>XXL</v>
      </c>
      <c r="K1115" s="8" t="str">
        <f>_xlfn.XLOOKUP(D1115,Master[Product_Code],Master[Color])</f>
        <v>Olive</v>
      </c>
      <c r="L1115" s="3">
        <f>_xlfn.XLOOKUP(D1115,Master[Product_Code],Master[Selling_Price])</f>
        <v>570</v>
      </c>
    </row>
    <row r="1116" spans="2:12">
      <c r="B1116" s="2" t="s">
        <v>2221</v>
      </c>
      <c r="C1116" s="7">
        <v>45966</v>
      </c>
      <c r="D1116" s="2" t="s">
        <v>581</v>
      </c>
      <c r="E1116" s="4">
        <v>1</v>
      </c>
      <c r="F1116" s="8" t="str">
        <f>_xlfn.XLOOKUP(D1116,Master[Product_Code],Master[Category])</f>
        <v>T-Shirt</v>
      </c>
      <c r="G1116" s="8" t="str">
        <f>_xlfn.XLOOKUP(D1116,Master[Product_Code],Master[Brand])</f>
        <v>Max</v>
      </c>
      <c r="H1116" s="8" t="str">
        <f>_xlfn.XLOOKUP(D1116,Master[Product_Code],Master[Style])</f>
        <v>Half Sleeve</v>
      </c>
      <c r="I1116" s="8" t="str">
        <f>_xlfn.XLOOKUP(D1116,Master[Product_Code],Master[Fabric])</f>
        <v>Cotton Blend</v>
      </c>
      <c r="J1116" s="8" t="str">
        <f>_xlfn.XLOOKUP(D1116,Master[Product_Code],Master[Size])</f>
        <v>XXL</v>
      </c>
      <c r="K1116" s="8" t="str">
        <f>_xlfn.XLOOKUP(D1116,Master[Product_Code],Master[Color])</f>
        <v>Grey</v>
      </c>
      <c r="L1116" s="3">
        <f>_xlfn.XLOOKUP(D1116,Master[Product_Code],Master[Selling_Price])</f>
        <v>590</v>
      </c>
    </row>
    <row r="1117" spans="2:12">
      <c r="B1117" s="2" t="s">
        <v>2221</v>
      </c>
      <c r="C1117" s="7">
        <v>45966</v>
      </c>
      <c r="D1117" s="2" t="s">
        <v>1543</v>
      </c>
      <c r="E1117" s="4">
        <v>1</v>
      </c>
      <c r="F1117" s="8" t="str">
        <f>_xlfn.XLOOKUP(D1117,Master[Product_Code],Master[Category])</f>
        <v>Innerwear</v>
      </c>
      <c r="G1117" s="8" t="str">
        <f>_xlfn.XLOOKUP(D1117,Master[Product_Code],Master[Brand])</f>
        <v>Dollar</v>
      </c>
      <c r="H1117" s="8" t="str">
        <f>_xlfn.XLOOKUP(D1117,Master[Product_Code],Master[Style])</f>
        <v>V-Cut</v>
      </c>
      <c r="I1117" s="8" t="str">
        <f>_xlfn.XLOOKUP(D1117,Master[Product_Code],Master[Fabric])</f>
        <v>Cotton</v>
      </c>
      <c r="J1117" s="8" t="str">
        <f>_xlfn.XLOOKUP(D1117,Master[Product_Code],Master[Size])</f>
        <v>90-100</v>
      </c>
      <c r="K1117" s="8" t="str">
        <f>_xlfn.XLOOKUP(D1117,Master[Product_Code],Master[Color])</f>
        <v>Rust</v>
      </c>
      <c r="L1117" s="3">
        <f>_xlfn.XLOOKUP(D1117,Master[Product_Code],Master[Selling_Price])</f>
        <v>160</v>
      </c>
    </row>
    <row r="1118" spans="2:12">
      <c r="B1118" s="2" t="s">
        <v>2222</v>
      </c>
      <c r="C1118" s="7">
        <v>45966</v>
      </c>
      <c r="D1118" s="2" t="s">
        <v>762</v>
      </c>
      <c r="E1118" s="4">
        <v>1</v>
      </c>
      <c r="F1118" s="8" t="str">
        <f>_xlfn.XLOOKUP(D1118,Master[Product_Code],Master[Category])</f>
        <v>T-Shirt</v>
      </c>
      <c r="G1118" s="8" t="str">
        <f>_xlfn.XLOOKUP(D1118,Master[Product_Code],Master[Brand])</f>
        <v>Turkey</v>
      </c>
      <c r="H1118" s="8" t="str">
        <f>_xlfn.XLOOKUP(D1118,Master[Product_Code],Master[Style])</f>
        <v>Hoodie</v>
      </c>
      <c r="I1118" s="8" t="str">
        <f>_xlfn.XLOOKUP(D1118,Master[Product_Code],Master[Fabric])</f>
        <v>Poly Cotton</v>
      </c>
      <c r="J1118" s="8" t="str">
        <f>_xlfn.XLOOKUP(D1118,Master[Product_Code],Master[Size])</f>
        <v>M</v>
      </c>
      <c r="K1118" s="8" t="str">
        <f>_xlfn.XLOOKUP(D1118,Master[Product_Code],Master[Color])</f>
        <v>Wine</v>
      </c>
      <c r="L1118" s="3">
        <f>_xlfn.XLOOKUP(D1118,Master[Product_Code],Master[Selling_Price])</f>
        <v>680</v>
      </c>
    </row>
    <row r="1119" spans="2:12">
      <c r="B1119" s="2" t="s">
        <v>2222</v>
      </c>
      <c r="C1119" s="7">
        <v>45966</v>
      </c>
      <c r="D1119" s="2" t="s">
        <v>79</v>
      </c>
      <c r="E1119" s="4">
        <v>1</v>
      </c>
      <c r="F1119" s="8" t="str">
        <f>_xlfn.XLOOKUP(D1119,Master[Product_Code],Master[Category])</f>
        <v>Shirt</v>
      </c>
      <c r="G1119" s="8" t="str">
        <f>_xlfn.XLOOKUP(D1119,Master[Product_Code],Master[Brand])</f>
        <v>USD</v>
      </c>
      <c r="H1119" s="8" t="str">
        <f>_xlfn.XLOOKUP(D1119,Master[Product_Code],Master[Style])</f>
        <v>Partywear</v>
      </c>
      <c r="I1119" s="8" t="str">
        <f>_xlfn.XLOOKUP(D1119,Master[Product_Code],Master[Fabric])</f>
        <v>Polyester</v>
      </c>
      <c r="J1119" s="8" t="str">
        <f>_xlfn.XLOOKUP(D1119,Master[Product_Code],Master[Size])</f>
        <v>M</v>
      </c>
      <c r="K1119" s="8" t="str">
        <f>_xlfn.XLOOKUP(D1119,Master[Product_Code],Master[Color])</f>
        <v>Peach</v>
      </c>
      <c r="L1119" s="3">
        <f>_xlfn.XLOOKUP(D1119,Master[Product_Code],Master[Selling_Price])</f>
        <v>820</v>
      </c>
    </row>
    <row r="1120" spans="2:12">
      <c r="B1120" s="2" t="s">
        <v>2223</v>
      </c>
      <c r="C1120" s="7">
        <v>45966</v>
      </c>
      <c r="D1120" s="2" t="s">
        <v>1170</v>
      </c>
      <c r="E1120" s="4">
        <v>1</v>
      </c>
      <c r="F1120" s="8" t="str">
        <f>_xlfn.XLOOKUP(D1120,Master[Product_Code],Master[Category])</f>
        <v>Pants</v>
      </c>
      <c r="G1120" s="8" t="str">
        <f>_xlfn.XLOOKUP(D1120,Master[Product_Code],Master[Brand])</f>
        <v>Van Heusen</v>
      </c>
      <c r="H1120" s="8" t="str">
        <f>_xlfn.XLOOKUP(D1120,Master[Product_Code],Master[Style])</f>
        <v>Jogger</v>
      </c>
      <c r="I1120" s="8" t="str">
        <f>_xlfn.XLOOKUP(D1120,Master[Product_Code],Master[Fabric])</f>
        <v>Poly Viscose</v>
      </c>
      <c r="J1120" s="8">
        <f>_xlfn.XLOOKUP(D1120,Master[Product_Code],Master[Size])</f>
        <v>40</v>
      </c>
      <c r="K1120" s="8" t="str">
        <f>_xlfn.XLOOKUP(D1120,Master[Product_Code],Master[Color])</f>
        <v>Beige</v>
      </c>
      <c r="L1120" s="3">
        <f>_xlfn.XLOOKUP(D1120,Master[Product_Code],Master[Selling_Price])</f>
        <v>910</v>
      </c>
    </row>
    <row r="1121" spans="2:12">
      <c r="B1121" s="2" t="s">
        <v>2223</v>
      </c>
      <c r="C1121" s="7">
        <v>45966</v>
      </c>
      <c r="D1121" s="2" t="s">
        <v>1664</v>
      </c>
      <c r="E1121" s="4">
        <v>1</v>
      </c>
      <c r="F1121" s="8" t="str">
        <f>_xlfn.XLOOKUP(D1121,Master[Product_Code],Master[Category])</f>
        <v>Innerwear</v>
      </c>
      <c r="G1121" s="8" t="str">
        <f>_xlfn.XLOOKUP(D1121,Master[Product_Code],Master[Brand])</f>
        <v>Dollar</v>
      </c>
      <c r="H1121" s="8" t="str">
        <f>_xlfn.XLOOKUP(D1121,Master[Product_Code],Master[Style])</f>
        <v>V-Cut</v>
      </c>
      <c r="I1121" s="8" t="str">
        <f>_xlfn.XLOOKUP(D1121,Master[Product_Code],Master[Fabric])</f>
        <v>Cotton Blend</v>
      </c>
      <c r="J1121" s="8" t="str">
        <f>_xlfn.XLOOKUP(D1121,Master[Product_Code],Master[Size])</f>
        <v>80-85</v>
      </c>
      <c r="K1121" s="8" t="str">
        <f>_xlfn.XLOOKUP(D1121,Master[Product_Code],Master[Color])</f>
        <v>Black</v>
      </c>
      <c r="L1121" s="3">
        <f>_xlfn.XLOOKUP(D1121,Master[Product_Code],Master[Selling_Price])</f>
        <v>190</v>
      </c>
    </row>
    <row r="1122" spans="2:12">
      <c r="B1122" s="2" t="s">
        <v>2223</v>
      </c>
      <c r="C1122" s="7">
        <v>45966</v>
      </c>
      <c r="D1122" s="2" t="s">
        <v>1365</v>
      </c>
      <c r="E1122" s="4">
        <v>1</v>
      </c>
      <c r="F1122" s="8" t="str">
        <f>_xlfn.XLOOKUP(D1122,Master[Product_Code],Master[Category])</f>
        <v>Pants</v>
      </c>
      <c r="G1122" s="8" t="str">
        <f>_xlfn.XLOOKUP(D1122,Master[Product_Code],Master[Brand])</f>
        <v>Park Avenue</v>
      </c>
      <c r="H1122" s="8" t="str">
        <f>_xlfn.XLOOKUP(D1122,Master[Product_Code],Master[Style])</f>
        <v>Kurka</v>
      </c>
      <c r="I1122" s="8" t="str">
        <f>_xlfn.XLOOKUP(D1122,Master[Product_Code],Master[Fabric])</f>
        <v>Lycra</v>
      </c>
      <c r="J1122" s="8">
        <f>_xlfn.XLOOKUP(D1122,Master[Product_Code],Master[Size])</f>
        <v>44</v>
      </c>
      <c r="K1122" s="8" t="str">
        <f>_xlfn.XLOOKUP(D1122,Master[Product_Code],Master[Color])</f>
        <v>Black</v>
      </c>
      <c r="L1122" s="3">
        <f>_xlfn.XLOOKUP(D1122,Master[Product_Code],Master[Selling_Price])</f>
        <v>900</v>
      </c>
    </row>
    <row r="1123" spans="2:12">
      <c r="B1123" s="2" t="s">
        <v>2223</v>
      </c>
      <c r="C1123" s="7">
        <v>45966</v>
      </c>
      <c r="D1123" s="2" t="s">
        <v>156</v>
      </c>
      <c r="E1123" s="4">
        <v>1</v>
      </c>
      <c r="F1123" s="8" t="str">
        <f>_xlfn.XLOOKUP(D1123,Master[Product_Code],Master[Category])</f>
        <v>Shirt</v>
      </c>
      <c r="G1123" s="8" t="str">
        <f>_xlfn.XLOOKUP(D1123,Master[Product_Code],Master[Brand])</f>
        <v>G Studio</v>
      </c>
      <c r="H1123" s="8" t="str">
        <f>_xlfn.XLOOKUP(D1123,Master[Product_Code],Master[Style])</f>
        <v>Formal</v>
      </c>
      <c r="I1123" s="8" t="str">
        <f>_xlfn.XLOOKUP(D1123,Master[Product_Code],Master[Fabric])</f>
        <v>Lycra</v>
      </c>
      <c r="J1123" s="8" t="str">
        <f>_xlfn.XLOOKUP(D1123,Master[Product_Code],Master[Size])</f>
        <v>XL</v>
      </c>
      <c r="K1123" s="8" t="str">
        <f>_xlfn.XLOOKUP(D1123,Master[Product_Code],Master[Color])</f>
        <v>Peach</v>
      </c>
      <c r="L1123" s="3">
        <f>_xlfn.XLOOKUP(D1123,Master[Product_Code],Master[Selling_Price])</f>
        <v>810</v>
      </c>
    </row>
    <row r="1124" spans="2:12">
      <c r="B1124" s="2" t="s">
        <v>2224</v>
      </c>
      <c r="C1124" s="7">
        <v>45966</v>
      </c>
      <c r="D1124" s="2" t="s">
        <v>1070</v>
      </c>
      <c r="E1124" s="4">
        <v>1</v>
      </c>
      <c r="F1124" s="8" t="str">
        <f>_xlfn.XLOOKUP(D1124,Master[Product_Code],Master[Category])</f>
        <v>Jeans</v>
      </c>
      <c r="G1124" s="8" t="str">
        <f>_xlfn.XLOOKUP(D1124,Master[Product_Code],Master[Brand])</f>
        <v>Denim Pro</v>
      </c>
      <c r="H1124" s="8" t="str">
        <f>_xlfn.XLOOKUP(D1124,Master[Product_Code],Master[Style])</f>
        <v>Baggy</v>
      </c>
      <c r="I1124" s="8" t="str">
        <f>_xlfn.XLOOKUP(D1124,Master[Product_Code],Master[Fabric])</f>
        <v>Denim</v>
      </c>
      <c r="J1124" s="8">
        <f>_xlfn.XLOOKUP(D1124,Master[Product_Code],Master[Size])</f>
        <v>44</v>
      </c>
      <c r="K1124" s="8" t="str">
        <f>_xlfn.XLOOKUP(D1124,Master[Product_Code],Master[Color])</f>
        <v>Teal</v>
      </c>
      <c r="L1124" s="3">
        <f>_xlfn.XLOOKUP(D1124,Master[Product_Code],Master[Selling_Price])</f>
        <v>910</v>
      </c>
    </row>
    <row r="1125" spans="2:12">
      <c r="B1125" s="2" t="s">
        <v>2225</v>
      </c>
      <c r="C1125" s="7">
        <v>45966</v>
      </c>
      <c r="D1125" s="2" t="s">
        <v>1528</v>
      </c>
      <c r="E1125" s="4">
        <v>1</v>
      </c>
      <c r="F1125" s="8" t="str">
        <f>_xlfn.XLOOKUP(D1125,Master[Product_Code],Master[Category])</f>
        <v>Innerwear</v>
      </c>
      <c r="G1125" s="8" t="str">
        <f>_xlfn.XLOOKUP(D1125,Master[Product_Code],Master[Brand])</f>
        <v>Lux</v>
      </c>
      <c r="H1125" s="8" t="str">
        <f>_xlfn.XLOOKUP(D1125,Master[Product_Code],Master[Style])</f>
        <v>V-Cut</v>
      </c>
      <c r="I1125" s="8" t="str">
        <f>_xlfn.XLOOKUP(D1125,Master[Product_Code],Master[Fabric])</f>
        <v>Cotton Blend</v>
      </c>
      <c r="J1125" s="8" t="str">
        <f>_xlfn.XLOOKUP(D1125,Master[Product_Code],Master[Size])</f>
        <v>90-100</v>
      </c>
      <c r="K1125" s="8" t="str">
        <f>_xlfn.XLOOKUP(D1125,Master[Product_Code],Master[Color])</f>
        <v>Light Grey</v>
      </c>
      <c r="L1125" s="3">
        <f>_xlfn.XLOOKUP(D1125,Master[Product_Code],Master[Selling_Price])</f>
        <v>100</v>
      </c>
    </row>
    <row r="1126" spans="2:12">
      <c r="B1126" s="2" t="s">
        <v>2225</v>
      </c>
      <c r="C1126" s="7">
        <v>45966</v>
      </c>
      <c r="D1126" s="2" t="s">
        <v>1406</v>
      </c>
      <c r="E1126" s="4">
        <v>1</v>
      </c>
      <c r="F1126" s="8" t="str">
        <f>_xlfn.XLOOKUP(D1126,Master[Product_Code],Master[Category])</f>
        <v>Pants</v>
      </c>
      <c r="G1126" s="8" t="str">
        <f>_xlfn.XLOOKUP(D1126,Master[Product_Code],Master[Brand])</f>
        <v>Raymond</v>
      </c>
      <c r="H1126" s="8" t="str">
        <f>_xlfn.XLOOKUP(D1126,Master[Product_Code],Master[Style])</f>
        <v>Korean</v>
      </c>
      <c r="I1126" s="8" t="str">
        <f>_xlfn.XLOOKUP(D1126,Master[Product_Code],Master[Fabric])</f>
        <v>Lycra</v>
      </c>
      <c r="J1126" s="8">
        <f>_xlfn.XLOOKUP(D1126,Master[Product_Code],Master[Size])</f>
        <v>34</v>
      </c>
      <c r="K1126" s="8" t="str">
        <f>_xlfn.XLOOKUP(D1126,Master[Product_Code],Master[Color])</f>
        <v>Navy Blue</v>
      </c>
      <c r="L1126" s="3">
        <f>_xlfn.XLOOKUP(D1126,Master[Product_Code],Master[Selling_Price])</f>
        <v>820</v>
      </c>
    </row>
    <row r="1127" spans="2:12">
      <c r="B1127" s="2" t="s">
        <v>2226</v>
      </c>
      <c r="C1127" s="7">
        <v>45966</v>
      </c>
      <c r="D1127" s="2" t="s">
        <v>50</v>
      </c>
      <c r="E1127" s="4">
        <v>1</v>
      </c>
      <c r="F1127" s="8" t="str">
        <f>_xlfn.XLOOKUP(D1127,Master[Product_Code],Master[Category])</f>
        <v>Shirt</v>
      </c>
      <c r="G1127" s="8" t="str">
        <f>_xlfn.XLOOKUP(D1127,Master[Product_Code],Master[Brand])</f>
        <v>L7</v>
      </c>
      <c r="H1127" s="8" t="str">
        <f>_xlfn.XLOOKUP(D1127,Master[Product_Code],Master[Style])</f>
        <v>Formal</v>
      </c>
      <c r="I1127" s="8" t="str">
        <f>_xlfn.XLOOKUP(D1127,Master[Product_Code],Master[Fabric])</f>
        <v>Cotton Blend</v>
      </c>
      <c r="J1127" s="8" t="str">
        <f>_xlfn.XLOOKUP(D1127,Master[Product_Code],Master[Size])</f>
        <v>M</v>
      </c>
      <c r="K1127" s="8" t="str">
        <f>_xlfn.XLOOKUP(D1127,Master[Product_Code],Master[Color])</f>
        <v>Peach</v>
      </c>
      <c r="L1127" s="3">
        <f>_xlfn.XLOOKUP(D1127,Master[Product_Code],Master[Selling_Price])</f>
        <v>720</v>
      </c>
    </row>
    <row r="1128" spans="2:12">
      <c r="B1128" s="2" t="s">
        <v>2226</v>
      </c>
      <c r="C1128" s="7">
        <v>45966</v>
      </c>
      <c r="D1128" s="2" t="s">
        <v>1307</v>
      </c>
      <c r="E1128" s="4">
        <v>1</v>
      </c>
      <c r="F1128" s="8" t="str">
        <f>_xlfn.XLOOKUP(D1128,Master[Product_Code],Master[Category])</f>
        <v>Pants</v>
      </c>
      <c r="G1128" s="8" t="str">
        <f>_xlfn.XLOOKUP(D1128,Master[Product_Code],Master[Brand])</f>
        <v>Park Avenue</v>
      </c>
      <c r="H1128" s="8" t="str">
        <f>_xlfn.XLOOKUP(D1128,Master[Product_Code],Master[Style])</f>
        <v>Kurka</v>
      </c>
      <c r="I1128" s="8" t="str">
        <f>_xlfn.XLOOKUP(D1128,Master[Product_Code],Master[Fabric])</f>
        <v>Lycra</v>
      </c>
      <c r="J1128" s="8">
        <f>_xlfn.XLOOKUP(D1128,Master[Product_Code],Master[Size])</f>
        <v>36</v>
      </c>
      <c r="K1128" s="8" t="str">
        <f>_xlfn.XLOOKUP(D1128,Master[Product_Code],Master[Color])</f>
        <v>Cream</v>
      </c>
      <c r="L1128" s="3">
        <f>_xlfn.XLOOKUP(D1128,Master[Product_Code],Master[Selling_Price])</f>
        <v>860</v>
      </c>
    </row>
    <row r="1129" spans="2:12">
      <c r="B1129" s="2" t="s">
        <v>2226</v>
      </c>
      <c r="C1129" s="7">
        <v>45966</v>
      </c>
      <c r="D1129" s="2" t="s">
        <v>1450</v>
      </c>
      <c r="E1129" s="4">
        <v>1</v>
      </c>
      <c r="F1129" s="8" t="str">
        <f>_xlfn.XLOOKUP(D1129,Master[Product_Code],Master[Category])</f>
        <v>Pants</v>
      </c>
      <c r="G1129" s="8" t="str">
        <f>_xlfn.XLOOKUP(D1129,Master[Product_Code],Master[Brand])</f>
        <v>Park Avenue</v>
      </c>
      <c r="H1129" s="8" t="str">
        <f>_xlfn.XLOOKUP(D1129,Master[Product_Code],Master[Style])</f>
        <v>Kurka</v>
      </c>
      <c r="I1129" s="8" t="str">
        <f>_xlfn.XLOOKUP(D1129,Master[Product_Code],Master[Fabric])</f>
        <v>Lycra</v>
      </c>
      <c r="J1129" s="8">
        <f>_xlfn.XLOOKUP(D1129,Master[Product_Code],Master[Size])</f>
        <v>34</v>
      </c>
      <c r="K1129" s="8" t="str">
        <f>_xlfn.XLOOKUP(D1129,Master[Product_Code],Master[Color])</f>
        <v>Charcoal</v>
      </c>
      <c r="L1129" s="3">
        <f>_xlfn.XLOOKUP(D1129,Master[Product_Code],Master[Selling_Price])</f>
        <v>870</v>
      </c>
    </row>
    <row r="1130" spans="2:12">
      <c r="B1130" s="2" t="s">
        <v>2226</v>
      </c>
      <c r="C1130" s="7">
        <v>45966</v>
      </c>
      <c r="D1130" s="2" t="s">
        <v>1368</v>
      </c>
      <c r="E1130" s="4">
        <v>1</v>
      </c>
      <c r="F1130" s="8" t="str">
        <f>_xlfn.XLOOKUP(D1130,Master[Product_Code],Master[Category])</f>
        <v>Pants</v>
      </c>
      <c r="G1130" s="8" t="str">
        <f>_xlfn.XLOOKUP(D1130,Master[Product_Code],Master[Brand])</f>
        <v>Park Avenue</v>
      </c>
      <c r="H1130" s="8" t="str">
        <f>_xlfn.XLOOKUP(D1130,Master[Product_Code],Master[Style])</f>
        <v>Polofit</v>
      </c>
      <c r="I1130" s="8" t="str">
        <f>_xlfn.XLOOKUP(D1130,Master[Product_Code],Master[Fabric])</f>
        <v>Lycra</v>
      </c>
      <c r="J1130" s="8">
        <f>_xlfn.XLOOKUP(D1130,Master[Product_Code],Master[Size])</f>
        <v>28</v>
      </c>
      <c r="K1130" s="8" t="str">
        <f>_xlfn.XLOOKUP(D1130,Master[Product_Code],Master[Color])</f>
        <v>Mustard</v>
      </c>
      <c r="L1130" s="3">
        <f>_xlfn.XLOOKUP(D1130,Master[Product_Code],Master[Selling_Price])</f>
        <v>840</v>
      </c>
    </row>
    <row r="1131" spans="2:12">
      <c r="B1131" s="2" t="s">
        <v>2227</v>
      </c>
      <c r="C1131" s="7">
        <v>45966</v>
      </c>
      <c r="D1131" s="2" t="s">
        <v>1032</v>
      </c>
      <c r="E1131" s="4">
        <v>1</v>
      </c>
      <c r="F1131" s="8" t="str">
        <f>_xlfn.XLOOKUP(D1131,Master[Product_Code],Master[Category])</f>
        <v>Jeans</v>
      </c>
      <c r="G1131" s="8" t="str">
        <f>_xlfn.XLOOKUP(D1131,Master[Product_Code],Master[Brand])</f>
        <v>Spykar</v>
      </c>
      <c r="H1131" s="8" t="str">
        <f>_xlfn.XLOOKUP(D1131,Master[Product_Code],Master[Style])</f>
        <v>Mom Fit</v>
      </c>
      <c r="I1131" s="8" t="str">
        <f>_xlfn.XLOOKUP(D1131,Master[Product_Code],Master[Fabric])</f>
        <v>Denim</v>
      </c>
      <c r="J1131" s="8">
        <f>_xlfn.XLOOKUP(D1131,Master[Product_Code],Master[Size])</f>
        <v>28</v>
      </c>
      <c r="K1131" s="8" t="str">
        <f>_xlfn.XLOOKUP(D1131,Master[Product_Code],Master[Color])</f>
        <v>Light Grey</v>
      </c>
      <c r="L1131" s="3">
        <f>_xlfn.XLOOKUP(D1131,Master[Product_Code],Master[Selling_Price])</f>
        <v>900</v>
      </c>
    </row>
    <row r="1132" spans="2:12">
      <c r="B1132" s="2" t="s">
        <v>2227</v>
      </c>
      <c r="C1132" s="7">
        <v>45966</v>
      </c>
      <c r="D1132" s="2" t="s">
        <v>494</v>
      </c>
      <c r="E1132" s="4">
        <v>1</v>
      </c>
      <c r="F1132" s="8" t="str">
        <f>_xlfn.XLOOKUP(D1132,Master[Product_Code],Master[Category])</f>
        <v>T-Shirt</v>
      </c>
      <c r="G1132" s="8" t="str">
        <f>_xlfn.XLOOKUP(D1132,Master[Product_Code],Master[Brand])</f>
        <v>Urban Monkey</v>
      </c>
      <c r="H1132" s="8" t="str">
        <f>_xlfn.XLOOKUP(D1132,Master[Product_Code],Master[Style])</f>
        <v>Half Sleeve</v>
      </c>
      <c r="I1132" s="8" t="str">
        <f>_xlfn.XLOOKUP(D1132,Master[Product_Code],Master[Fabric])</f>
        <v>Poly Cotton</v>
      </c>
      <c r="J1132" s="8" t="str">
        <f>_xlfn.XLOOKUP(D1132,Master[Product_Code],Master[Size])</f>
        <v>XL</v>
      </c>
      <c r="K1132" s="8" t="str">
        <f>_xlfn.XLOOKUP(D1132,Master[Product_Code],Master[Color])</f>
        <v>Dark Green</v>
      </c>
      <c r="L1132" s="3">
        <f>_xlfn.XLOOKUP(D1132,Master[Product_Code],Master[Selling_Price])</f>
        <v>600</v>
      </c>
    </row>
    <row r="1133" spans="2:12">
      <c r="B1133" s="2" t="s">
        <v>2227</v>
      </c>
      <c r="C1133" s="7">
        <v>45966</v>
      </c>
      <c r="D1133" s="2" t="s">
        <v>776</v>
      </c>
      <c r="E1133" s="4">
        <v>1</v>
      </c>
      <c r="F1133" s="8" t="str">
        <f>_xlfn.XLOOKUP(D1133,Master[Product_Code],Master[Category])</f>
        <v>T-Shirt</v>
      </c>
      <c r="G1133" s="8" t="str">
        <f>_xlfn.XLOOKUP(D1133,Master[Product_Code],Master[Brand])</f>
        <v>Turkey</v>
      </c>
      <c r="H1133" s="8" t="str">
        <f>_xlfn.XLOOKUP(D1133,Master[Product_Code],Master[Style])</f>
        <v>3/4 Sleeve</v>
      </c>
      <c r="I1133" s="8" t="str">
        <f>_xlfn.XLOOKUP(D1133,Master[Product_Code],Master[Fabric])</f>
        <v>Cotton</v>
      </c>
      <c r="J1133" s="8" t="str">
        <f>_xlfn.XLOOKUP(D1133,Master[Product_Code],Master[Size])</f>
        <v>XXL</v>
      </c>
      <c r="K1133" s="8" t="str">
        <f>_xlfn.XLOOKUP(D1133,Master[Product_Code],Master[Color])</f>
        <v>Rust</v>
      </c>
      <c r="L1133" s="3">
        <f>_xlfn.XLOOKUP(D1133,Master[Product_Code],Master[Selling_Price])</f>
        <v>250</v>
      </c>
    </row>
    <row r="1134" spans="2:12">
      <c r="B1134" s="2" t="s">
        <v>2227</v>
      </c>
      <c r="C1134" s="7">
        <v>45966</v>
      </c>
      <c r="D1134" s="2" t="s">
        <v>449</v>
      </c>
      <c r="E1134" s="4">
        <v>1</v>
      </c>
      <c r="F1134" s="8" t="str">
        <f>_xlfn.XLOOKUP(D1134,Master[Product_Code],Master[Category])</f>
        <v>T-Shirt</v>
      </c>
      <c r="G1134" s="8" t="str">
        <f>_xlfn.XLOOKUP(D1134,Master[Product_Code],Master[Brand])</f>
        <v>Zara</v>
      </c>
      <c r="H1134" s="8" t="str">
        <f>_xlfn.XLOOKUP(D1134,Master[Product_Code],Master[Style])</f>
        <v>Half Sleeve</v>
      </c>
      <c r="I1134" s="8" t="str">
        <f>_xlfn.XLOOKUP(D1134,Master[Product_Code],Master[Fabric])</f>
        <v>Cotton Blend</v>
      </c>
      <c r="J1134" s="8" t="str">
        <f>_xlfn.XLOOKUP(D1134,Master[Product_Code],Master[Size])</f>
        <v>XL</v>
      </c>
      <c r="K1134" s="8" t="str">
        <f>_xlfn.XLOOKUP(D1134,Master[Product_Code],Master[Color])</f>
        <v>Teal</v>
      </c>
      <c r="L1134" s="3">
        <f>_xlfn.XLOOKUP(D1134,Master[Product_Code],Master[Selling_Price])</f>
        <v>280</v>
      </c>
    </row>
    <row r="1135" spans="2:12">
      <c r="B1135" s="2" t="s">
        <v>2228</v>
      </c>
      <c r="C1135" s="7">
        <v>45966</v>
      </c>
      <c r="D1135" s="2" t="s">
        <v>73</v>
      </c>
      <c r="E1135" s="4">
        <v>1</v>
      </c>
      <c r="F1135" s="8" t="str">
        <f>_xlfn.XLOOKUP(D1135,Master[Product_Code],Master[Category])</f>
        <v>Shirt</v>
      </c>
      <c r="G1135" s="8" t="str">
        <f>_xlfn.XLOOKUP(D1135,Master[Product_Code],Master[Brand])</f>
        <v>H&amp;M</v>
      </c>
      <c r="H1135" s="8" t="str">
        <f>_xlfn.XLOOKUP(D1135,Master[Product_Code],Master[Style])</f>
        <v>Partywear</v>
      </c>
      <c r="I1135" s="8" t="str">
        <f>_xlfn.XLOOKUP(D1135,Master[Product_Code],Master[Fabric])</f>
        <v>Polyester</v>
      </c>
      <c r="J1135" s="8" t="str">
        <f>_xlfn.XLOOKUP(D1135,Master[Product_Code],Master[Size])</f>
        <v>M</v>
      </c>
      <c r="K1135" s="8" t="str">
        <f>_xlfn.XLOOKUP(D1135,Master[Product_Code],Master[Color])</f>
        <v>Dark Green</v>
      </c>
      <c r="L1135" s="3">
        <f>_xlfn.XLOOKUP(D1135,Master[Product_Code],Master[Selling_Price])</f>
        <v>720</v>
      </c>
    </row>
    <row r="1136" spans="2:12">
      <c r="B1136" s="2" t="s">
        <v>2229</v>
      </c>
      <c r="C1136" s="7">
        <v>45966</v>
      </c>
      <c r="D1136" s="2" t="s">
        <v>355</v>
      </c>
      <c r="E1136" s="4">
        <v>1</v>
      </c>
      <c r="F1136" s="8" t="str">
        <f>_xlfn.XLOOKUP(D1136,Master[Product_Code],Master[Category])</f>
        <v>Shirt</v>
      </c>
      <c r="G1136" s="8" t="str">
        <f>_xlfn.XLOOKUP(D1136,Master[Product_Code],Master[Brand])</f>
        <v>G Studio</v>
      </c>
      <c r="H1136" s="8" t="str">
        <f>_xlfn.XLOOKUP(D1136,Master[Product_Code],Master[Style])</f>
        <v>Casual</v>
      </c>
      <c r="I1136" s="8" t="str">
        <f>_xlfn.XLOOKUP(D1136,Master[Product_Code],Master[Fabric])</f>
        <v>Polyester</v>
      </c>
      <c r="J1136" s="8" t="str">
        <f>_xlfn.XLOOKUP(D1136,Master[Product_Code],Master[Size])</f>
        <v>S</v>
      </c>
      <c r="K1136" s="8" t="str">
        <f>_xlfn.XLOOKUP(D1136,Master[Product_Code],Master[Color])</f>
        <v>Maroon</v>
      </c>
      <c r="L1136" s="3">
        <f>_xlfn.XLOOKUP(D1136,Master[Product_Code],Master[Selling_Price])</f>
        <v>880</v>
      </c>
    </row>
    <row r="1137" spans="2:12">
      <c r="B1137" s="2" t="s">
        <v>2229</v>
      </c>
      <c r="C1137" s="7">
        <v>45966</v>
      </c>
      <c r="D1137" s="2" t="s">
        <v>922</v>
      </c>
      <c r="E1137" s="4">
        <v>1</v>
      </c>
      <c r="F1137" s="8" t="str">
        <f>_xlfn.XLOOKUP(D1137,Master[Product_Code],Master[Category])</f>
        <v>Jeans</v>
      </c>
      <c r="G1137" s="8" t="str">
        <f>_xlfn.XLOOKUP(D1137,Master[Product_Code],Master[Brand])</f>
        <v>Denim Pro</v>
      </c>
      <c r="H1137" s="8" t="str">
        <f>_xlfn.XLOOKUP(D1137,Master[Product_Code],Master[Style])</f>
        <v>Baggy</v>
      </c>
      <c r="I1137" s="8" t="str">
        <f>_xlfn.XLOOKUP(D1137,Master[Product_Code],Master[Fabric])</f>
        <v>Denim</v>
      </c>
      <c r="J1137" s="8">
        <f>_xlfn.XLOOKUP(D1137,Master[Product_Code],Master[Size])</f>
        <v>38</v>
      </c>
      <c r="K1137" s="8" t="str">
        <f>_xlfn.XLOOKUP(D1137,Master[Product_Code],Master[Color])</f>
        <v>Teal</v>
      </c>
      <c r="L1137" s="3">
        <f>_xlfn.XLOOKUP(D1137,Master[Product_Code],Master[Selling_Price])</f>
        <v>810</v>
      </c>
    </row>
    <row r="1138" spans="2:12">
      <c r="B1138" s="2" t="s">
        <v>2229</v>
      </c>
      <c r="C1138" s="7">
        <v>45966</v>
      </c>
      <c r="D1138" s="2" t="s">
        <v>676</v>
      </c>
      <c r="E1138" s="4">
        <v>1</v>
      </c>
      <c r="F1138" s="8" t="str">
        <f>_xlfn.XLOOKUP(D1138,Master[Product_Code],Master[Category])</f>
        <v>T-Shirt</v>
      </c>
      <c r="G1138" s="8" t="str">
        <f>_xlfn.XLOOKUP(D1138,Master[Product_Code],Master[Brand])</f>
        <v>Urban Monkey</v>
      </c>
      <c r="H1138" s="8" t="str">
        <f>_xlfn.XLOOKUP(D1138,Master[Product_Code],Master[Style])</f>
        <v>3/4 Sleeve</v>
      </c>
      <c r="I1138" s="8" t="str">
        <f>_xlfn.XLOOKUP(D1138,Master[Product_Code],Master[Fabric])</f>
        <v>Cotton Blend</v>
      </c>
      <c r="J1138" s="8" t="str">
        <f>_xlfn.XLOOKUP(D1138,Master[Product_Code],Master[Size])</f>
        <v>L</v>
      </c>
      <c r="K1138" s="8" t="str">
        <f>_xlfn.XLOOKUP(D1138,Master[Product_Code],Master[Color])</f>
        <v>Bottle Green</v>
      </c>
      <c r="L1138" s="3">
        <f>_xlfn.XLOOKUP(D1138,Master[Product_Code],Master[Selling_Price])</f>
        <v>240</v>
      </c>
    </row>
    <row r="1139" spans="2:12">
      <c r="B1139" s="2" t="s">
        <v>2230</v>
      </c>
      <c r="C1139" s="7">
        <v>45966</v>
      </c>
      <c r="D1139" s="2" t="s">
        <v>527</v>
      </c>
      <c r="E1139" s="4">
        <v>1</v>
      </c>
      <c r="F1139" s="8" t="str">
        <f>_xlfn.XLOOKUP(D1139,Master[Product_Code],Master[Category])</f>
        <v>T-Shirt</v>
      </c>
      <c r="G1139" s="8" t="str">
        <f>_xlfn.XLOOKUP(D1139,Master[Product_Code],Master[Brand])</f>
        <v>Thailand</v>
      </c>
      <c r="H1139" s="8" t="str">
        <f>_xlfn.XLOOKUP(D1139,Master[Product_Code],Master[Style])</f>
        <v>Full Sleeve</v>
      </c>
      <c r="I1139" s="8" t="str">
        <f>_xlfn.XLOOKUP(D1139,Master[Product_Code],Master[Fabric])</f>
        <v>Cotton Blend</v>
      </c>
      <c r="J1139" s="8" t="str">
        <f>_xlfn.XLOOKUP(D1139,Master[Product_Code],Master[Size])</f>
        <v>XXL</v>
      </c>
      <c r="K1139" s="8" t="str">
        <f>_xlfn.XLOOKUP(D1139,Master[Product_Code],Master[Color])</f>
        <v>Bottle Green</v>
      </c>
      <c r="L1139" s="3">
        <f>_xlfn.XLOOKUP(D1139,Master[Product_Code],Master[Selling_Price])</f>
        <v>470</v>
      </c>
    </row>
    <row r="1140" spans="2:12">
      <c r="B1140" s="2" t="s">
        <v>2230</v>
      </c>
      <c r="C1140" s="7">
        <v>45966</v>
      </c>
      <c r="D1140" s="2" t="s">
        <v>869</v>
      </c>
      <c r="E1140" s="4">
        <v>1</v>
      </c>
      <c r="F1140" s="8" t="str">
        <f>_xlfn.XLOOKUP(D1140,Master[Product_Code],Master[Category])</f>
        <v>Jeans</v>
      </c>
      <c r="G1140" s="8" t="str">
        <f>_xlfn.XLOOKUP(D1140,Master[Product_Code],Master[Brand])</f>
        <v>Pepe</v>
      </c>
      <c r="H1140" s="8" t="str">
        <f>_xlfn.XLOOKUP(D1140,Master[Product_Code],Master[Style])</f>
        <v>Baggy</v>
      </c>
      <c r="I1140" s="8" t="str">
        <f>_xlfn.XLOOKUP(D1140,Master[Product_Code],Master[Fabric])</f>
        <v>Denim</v>
      </c>
      <c r="J1140" s="8">
        <f>_xlfn.XLOOKUP(D1140,Master[Product_Code],Master[Size])</f>
        <v>38</v>
      </c>
      <c r="K1140" s="8" t="str">
        <f>_xlfn.XLOOKUP(D1140,Master[Product_Code],Master[Color])</f>
        <v>Bottle Green</v>
      </c>
      <c r="L1140" s="3">
        <f>_xlfn.XLOOKUP(D1140,Master[Product_Code],Master[Selling_Price])</f>
        <v>820</v>
      </c>
    </row>
    <row r="1141" spans="2:12">
      <c r="B1141" s="2" t="s">
        <v>2230</v>
      </c>
      <c r="C1141" s="7">
        <v>45966</v>
      </c>
      <c r="D1141" s="2" t="s">
        <v>1256</v>
      </c>
      <c r="E1141" s="4">
        <v>1</v>
      </c>
      <c r="F1141" s="8" t="str">
        <f>_xlfn.XLOOKUP(D1141,Master[Product_Code],Master[Category])</f>
        <v>Pants</v>
      </c>
      <c r="G1141" s="8" t="str">
        <f>_xlfn.XLOOKUP(D1141,Master[Product_Code],Master[Brand])</f>
        <v>Louis Philippe</v>
      </c>
      <c r="H1141" s="8" t="str">
        <f>_xlfn.XLOOKUP(D1141,Master[Product_Code],Master[Style])</f>
        <v>Boot Cut</v>
      </c>
      <c r="I1141" s="8" t="str">
        <f>_xlfn.XLOOKUP(D1141,Master[Product_Code],Master[Fabric])</f>
        <v>Cotton Blend</v>
      </c>
      <c r="J1141" s="8">
        <f>_xlfn.XLOOKUP(D1141,Master[Product_Code],Master[Size])</f>
        <v>32</v>
      </c>
      <c r="K1141" s="8" t="str">
        <f>_xlfn.XLOOKUP(D1141,Master[Product_Code],Master[Color])</f>
        <v>Beige</v>
      </c>
      <c r="L1141" s="3">
        <f>_xlfn.XLOOKUP(D1141,Master[Product_Code],Master[Selling_Price])</f>
        <v>810</v>
      </c>
    </row>
    <row r="1142" spans="2:12">
      <c r="B1142" s="2" t="s">
        <v>2230</v>
      </c>
      <c r="C1142" s="7">
        <v>45966</v>
      </c>
      <c r="D1142" s="2" t="s">
        <v>1013</v>
      </c>
      <c r="E1142" s="4">
        <v>1</v>
      </c>
      <c r="F1142" s="8" t="str">
        <f>_xlfn.XLOOKUP(D1142,Master[Product_Code],Master[Category])</f>
        <v>Jeans</v>
      </c>
      <c r="G1142" s="8" t="str">
        <f>_xlfn.XLOOKUP(D1142,Master[Product_Code],Master[Brand])</f>
        <v>Levis</v>
      </c>
      <c r="H1142" s="8" t="str">
        <f>_xlfn.XLOOKUP(D1142,Master[Product_Code],Master[Style])</f>
        <v>Baggy</v>
      </c>
      <c r="I1142" s="8" t="str">
        <f>_xlfn.XLOOKUP(D1142,Master[Product_Code],Master[Fabric])</f>
        <v>Denim</v>
      </c>
      <c r="J1142" s="8">
        <f>_xlfn.XLOOKUP(D1142,Master[Product_Code],Master[Size])</f>
        <v>34</v>
      </c>
      <c r="K1142" s="8" t="str">
        <f>_xlfn.XLOOKUP(D1142,Master[Product_Code],Master[Color])</f>
        <v>Royal Blue</v>
      </c>
      <c r="L1142" s="3">
        <f>_xlfn.XLOOKUP(D1142,Master[Product_Code],Master[Selling_Price])</f>
        <v>960</v>
      </c>
    </row>
    <row r="1143" spans="2:12">
      <c r="B1143" s="2" t="s">
        <v>2231</v>
      </c>
      <c r="C1143" s="7">
        <v>45966</v>
      </c>
      <c r="D1143" s="2" t="s">
        <v>1202</v>
      </c>
      <c r="E1143" s="4">
        <v>1</v>
      </c>
      <c r="F1143" s="8" t="str">
        <f>_xlfn.XLOOKUP(D1143,Master[Product_Code],Master[Category])</f>
        <v>Pants</v>
      </c>
      <c r="G1143" s="8" t="str">
        <f>_xlfn.XLOOKUP(D1143,Master[Product_Code],Master[Brand])</f>
        <v>Louis Philippe</v>
      </c>
      <c r="H1143" s="8" t="str">
        <f>_xlfn.XLOOKUP(D1143,Master[Product_Code],Master[Style])</f>
        <v>Korean</v>
      </c>
      <c r="I1143" s="8" t="str">
        <f>_xlfn.XLOOKUP(D1143,Master[Product_Code],Master[Fabric])</f>
        <v>Lycra</v>
      </c>
      <c r="J1143" s="8">
        <f>_xlfn.XLOOKUP(D1143,Master[Product_Code],Master[Size])</f>
        <v>36</v>
      </c>
      <c r="K1143" s="8" t="str">
        <f>_xlfn.XLOOKUP(D1143,Master[Product_Code],Master[Color])</f>
        <v>Rust</v>
      </c>
      <c r="L1143" s="3">
        <f>_xlfn.XLOOKUP(D1143,Master[Product_Code],Master[Selling_Price])</f>
        <v>850</v>
      </c>
    </row>
    <row r="1144" spans="2:12">
      <c r="B1144" s="2" t="s">
        <v>2231</v>
      </c>
      <c r="C1144" s="7">
        <v>45966</v>
      </c>
      <c r="D1144" s="2" t="s">
        <v>332</v>
      </c>
      <c r="E1144" s="4">
        <v>1</v>
      </c>
      <c r="F1144" s="8" t="str">
        <f>_xlfn.XLOOKUP(D1144,Master[Product_Code],Master[Category])</f>
        <v>Shirt</v>
      </c>
      <c r="G1144" s="8" t="str">
        <f>_xlfn.XLOOKUP(D1144,Master[Product_Code],Master[Brand])</f>
        <v>H&amp;M</v>
      </c>
      <c r="H1144" s="8" t="str">
        <f>_xlfn.XLOOKUP(D1144,Master[Product_Code],Master[Style])</f>
        <v>Casual</v>
      </c>
      <c r="I1144" s="8" t="str">
        <f>_xlfn.XLOOKUP(D1144,Master[Product_Code],Master[Fabric])</f>
        <v>Cotton Blend</v>
      </c>
      <c r="J1144" s="8" t="str">
        <f>_xlfn.XLOOKUP(D1144,Master[Product_Code],Master[Size])</f>
        <v>XL</v>
      </c>
      <c r="K1144" s="8" t="str">
        <f>_xlfn.XLOOKUP(D1144,Master[Product_Code],Master[Color])</f>
        <v>Charcoal</v>
      </c>
      <c r="L1144" s="3">
        <f>_xlfn.XLOOKUP(D1144,Master[Product_Code],Master[Selling_Price])</f>
        <v>810</v>
      </c>
    </row>
    <row r="1145" spans="2:12">
      <c r="B1145" s="2" t="s">
        <v>2232</v>
      </c>
      <c r="C1145" s="7">
        <v>45967</v>
      </c>
      <c r="D1145" s="2" t="s">
        <v>753</v>
      </c>
      <c r="E1145" s="4">
        <v>1</v>
      </c>
      <c r="F1145" s="8" t="str">
        <f>_xlfn.XLOOKUP(D1145,Master[Product_Code],Master[Category])</f>
        <v>T-Shirt</v>
      </c>
      <c r="G1145" s="8" t="str">
        <f>_xlfn.XLOOKUP(D1145,Master[Product_Code],Master[Brand])</f>
        <v>Max</v>
      </c>
      <c r="H1145" s="8" t="str">
        <f>_xlfn.XLOOKUP(D1145,Master[Product_Code],Master[Style])</f>
        <v>Full Sleeve</v>
      </c>
      <c r="I1145" s="8" t="str">
        <f>_xlfn.XLOOKUP(D1145,Master[Product_Code],Master[Fabric])</f>
        <v>Cotton</v>
      </c>
      <c r="J1145" s="8" t="str">
        <f>_xlfn.XLOOKUP(D1145,Master[Product_Code],Master[Size])</f>
        <v>L</v>
      </c>
      <c r="K1145" s="8" t="str">
        <f>_xlfn.XLOOKUP(D1145,Master[Product_Code],Master[Color])</f>
        <v>Charcoal</v>
      </c>
      <c r="L1145" s="3">
        <f>_xlfn.XLOOKUP(D1145,Master[Product_Code],Master[Selling_Price])</f>
        <v>440</v>
      </c>
    </row>
    <row r="1146" spans="2:12">
      <c r="B1146" s="2" t="s">
        <v>2232</v>
      </c>
      <c r="C1146" s="7">
        <v>45967</v>
      </c>
      <c r="D1146" s="2" t="s">
        <v>1674</v>
      </c>
      <c r="E1146" s="4">
        <v>1</v>
      </c>
      <c r="F1146" s="8" t="str">
        <f>_xlfn.XLOOKUP(D1146,Master[Product_Code],Master[Category])</f>
        <v>Innerwear</v>
      </c>
      <c r="G1146" s="8" t="str">
        <f>_xlfn.XLOOKUP(D1146,Master[Product_Code],Master[Brand])</f>
        <v>Jockey</v>
      </c>
      <c r="H1146" s="8" t="str">
        <f>_xlfn.XLOOKUP(D1146,Master[Product_Code],Master[Style])</f>
        <v>Boxer</v>
      </c>
      <c r="I1146" s="8" t="str">
        <f>_xlfn.XLOOKUP(D1146,Master[Product_Code],Master[Fabric])</f>
        <v>Cotton</v>
      </c>
      <c r="J1146" s="8" t="str">
        <f>_xlfn.XLOOKUP(D1146,Master[Product_Code],Master[Size])</f>
        <v>105-110</v>
      </c>
      <c r="K1146" s="8" t="str">
        <f>_xlfn.XLOOKUP(D1146,Master[Product_Code],Master[Color])</f>
        <v>Charcoal</v>
      </c>
      <c r="L1146" s="3">
        <f>_xlfn.XLOOKUP(D1146,Master[Product_Code],Master[Selling_Price])</f>
        <v>180</v>
      </c>
    </row>
    <row r="1147" spans="2:12">
      <c r="B1147" s="2" t="s">
        <v>2232</v>
      </c>
      <c r="C1147" s="7">
        <v>45967</v>
      </c>
      <c r="D1147" s="2" t="s">
        <v>848</v>
      </c>
      <c r="E1147" s="4">
        <v>1</v>
      </c>
      <c r="F1147" s="8" t="str">
        <f>_xlfn.XLOOKUP(D1147,Master[Product_Code],Master[Category])</f>
        <v>Jeans</v>
      </c>
      <c r="G1147" s="8" t="str">
        <f>_xlfn.XLOOKUP(D1147,Master[Product_Code],Master[Brand])</f>
        <v>Levis</v>
      </c>
      <c r="H1147" s="8" t="str">
        <f>_xlfn.XLOOKUP(D1147,Master[Product_Code],Master[Style])</f>
        <v>Mom Fit</v>
      </c>
      <c r="I1147" s="8" t="str">
        <f>_xlfn.XLOOKUP(D1147,Master[Product_Code],Master[Fabric])</f>
        <v>Denim</v>
      </c>
      <c r="J1147" s="8">
        <f>_xlfn.XLOOKUP(D1147,Master[Product_Code],Master[Size])</f>
        <v>30</v>
      </c>
      <c r="K1147" s="8" t="str">
        <f>_xlfn.XLOOKUP(D1147,Master[Product_Code],Master[Color])</f>
        <v>Peach</v>
      </c>
      <c r="L1147" s="3">
        <f>_xlfn.XLOOKUP(D1147,Master[Product_Code],Master[Selling_Price])</f>
        <v>830</v>
      </c>
    </row>
    <row r="1148" spans="2:12">
      <c r="B1148" s="2" t="s">
        <v>2233</v>
      </c>
      <c r="C1148" s="7">
        <v>45967</v>
      </c>
      <c r="D1148" s="2" t="s">
        <v>1741</v>
      </c>
      <c r="E1148" s="4">
        <v>1</v>
      </c>
      <c r="F1148" s="8" t="str">
        <f>_xlfn.XLOOKUP(D1148,Master[Product_Code],Master[Category])</f>
        <v>Innerwear</v>
      </c>
      <c r="G1148" s="8" t="str">
        <f>_xlfn.XLOOKUP(D1148,Master[Product_Code],Master[Brand])</f>
        <v>Dollar</v>
      </c>
      <c r="H1148" s="8" t="str">
        <f>_xlfn.XLOOKUP(D1148,Master[Product_Code],Master[Style])</f>
        <v>V-Cut</v>
      </c>
      <c r="I1148" s="8" t="str">
        <f>_xlfn.XLOOKUP(D1148,Master[Product_Code],Master[Fabric])</f>
        <v>Cotton Blend</v>
      </c>
      <c r="J1148" s="8" t="str">
        <f>_xlfn.XLOOKUP(D1148,Master[Product_Code],Master[Size])</f>
        <v>80-85</v>
      </c>
      <c r="K1148" s="8" t="str">
        <f>_xlfn.XLOOKUP(D1148,Master[Product_Code],Master[Color])</f>
        <v>Sky Blue</v>
      </c>
      <c r="L1148" s="3">
        <f>_xlfn.XLOOKUP(D1148,Master[Product_Code],Master[Selling_Price])</f>
        <v>170</v>
      </c>
    </row>
    <row r="1149" spans="2:12">
      <c r="B1149" s="2" t="s">
        <v>2234</v>
      </c>
      <c r="C1149" s="7">
        <v>45967</v>
      </c>
      <c r="D1149" s="2" t="s">
        <v>900</v>
      </c>
      <c r="E1149" s="4">
        <v>1</v>
      </c>
      <c r="F1149" s="8" t="str">
        <f>_xlfn.XLOOKUP(D1149,Master[Product_Code],Master[Category])</f>
        <v>Jeans</v>
      </c>
      <c r="G1149" s="8" t="str">
        <f>_xlfn.XLOOKUP(D1149,Master[Product_Code],Master[Brand])</f>
        <v>Denim Pro</v>
      </c>
      <c r="H1149" s="8" t="str">
        <f>_xlfn.XLOOKUP(D1149,Master[Product_Code],Master[Style])</f>
        <v>Mom Fit</v>
      </c>
      <c r="I1149" s="8" t="str">
        <f>_xlfn.XLOOKUP(D1149,Master[Product_Code],Master[Fabric])</f>
        <v>Denim</v>
      </c>
      <c r="J1149" s="8">
        <f>_xlfn.XLOOKUP(D1149,Master[Product_Code],Master[Size])</f>
        <v>30</v>
      </c>
      <c r="K1149" s="8" t="str">
        <f>_xlfn.XLOOKUP(D1149,Master[Product_Code],Master[Color])</f>
        <v>Light Grey</v>
      </c>
      <c r="L1149" s="3">
        <f>_xlfn.XLOOKUP(D1149,Master[Product_Code],Master[Selling_Price])</f>
        <v>970</v>
      </c>
    </row>
    <row r="1150" spans="2:12">
      <c r="B1150" s="2" t="s">
        <v>2235</v>
      </c>
      <c r="C1150" s="7">
        <v>45967</v>
      </c>
      <c r="D1150" s="2" t="s">
        <v>333</v>
      </c>
      <c r="E1150" s="4">
        <v>1</v>
      </c>
      <c r="F1150" s="8" t="str">
        <f>_xlfn.XLOOKUP(D1150,Master[Product_Code],Master[Category])</f>
        <v>Shirt</v>
      </c>
      <c r="G1150" s="8" t="str">
        <f>_xlfn.XLOOKUP(D1150,Master[Product_Code],Master[Brand])</f>
        <v>Max</v>
      </c>
      <c r="H1150" s="8" t="str">
        <f>_xlfn.XLOOKUP(D1150,Master[Product_Code],Master[Style])</f>
        <v>Formal</v>
      </c>
      <c r="I1150" s="8" t="str">
        <f>_xlfn.XLOOKUP(D1150,Master[Product_Code],Master[Fabric])</f>
        <v>Cotton</v>
      </c>
      <c r="J1150" s="8" t="str">
        <f>_xlfn.XLOOKUP(D1150,Master[Product_Code],Master[Size])</f>
        <v>M</v>
      </c>
      <c r="K1150" s="8" t="str">
        <f>_xlfn.XLOOKUP(D1150,Master[Product_Code],Master[Color])</f>
        <v>Cream</v>
      </c>
      <c r="L1150" s="3">
        <f>_xlfn.XLOOKUP(D1150,Master[Product_Code],Master[Selling_Price])</f>
        <v>740</v>
      </c>
    </row>
    <row r="1151" spans="2:12">
      <c r="B1151" s="2" t="s">
        <v>2235</v>
      </c>
      <c r="C1151" s="7">
        <v>45967</v>
      </c>
      <c r="D1151" s="2" t="s">
        <v>718</v>
      </c>
      <c r="E1151" s="4">
        <v>1</v>
      </c>
      <c r="F1151" s="8" t="str">
        <f>_xlfn.XLOOKUP(D1151,Master[Product_Code],Master[Category])</f>
        <v>T-Shirt</v>
      </c>
      <c r="G1151" s="8" t="str">
        <f>_xlfn.XLOOKUP(D1151,Master[Product_Code],Master[Brand])</f>
        <v>Zara</v>
      </c>
      <c r="H1151" s="8" t="str">
        <f>_xlfn.XLOOKUP(D1151,Master[Product_Code],Master[Style])</f>
        <v>Half Sleeve</v>
      </c>
      <c r="I1151" s="8" t="str">
        <f>_xlfn.XLOOKUP(D1151,Master[Product_Code],Master[Fabric])</f>
        <v>Poly Cotton</v>
      </c>
      <c r="J1151" s="8" t="str">
        <f>_xlfn.XLOOKUP(D1151,Master[Product_Code],Master[Size])</f>
        <v>L</v>
      </c>
      <c r="K1151" s="8" t="str">
        <f>_xlfn.XLOOKUP(D1151,Master[Product_Code],Master[Color])</f>
        <v>Grey</v>
      </c>
      <c r="L1151" s="3">
        <f>_xlfn.XLOOKUP(D1151,Master[Product_Code],Master[Selling_Price])</f>
        <v>600</v>
      </c>
    </row>
    <row r="1152" spans="2:12">
      <c r="B1152" s="2" t="s">
        <v>2235</v>
      </c>
      <c r="C1152" s="7">
        <v>45967</v>
      </c>
      <c r="D1152" s="2" t="s">
        <v>1262</v>
      </c>
      <c r="E1152" s="4">
        <v>1</v>
      </c>
      <c r="F1152" s="8" t="str">
        <f>_xlfn.XLOOKUP(D1152,Master[Product_Code],Master[Category])</f>
        <v>Pants</v>
      </c>
      <c r="G1152" s="8" t="str">
        <f>_xlfn.XLOOKUP(D1152,Master[Product_Code],Master[Brand])</f>
        <v>Louis Philippe</v>
      </c>
      <c r="H1152" s="8" t="str">
        <f>_xlfn.XLOOKUP(D1152,Master[Product_Code],Master[Style])</f>
        <v>Polofit</v>
      </c>
      <c r="I1152" s="8" t="str">
        <f>_xlfn.XLOOKUP(D1152,Master[Product_Code],Master[Fabric])</f>
        <v>Lycra</v>
      </c>
      <c r="J1152" s="8">
        <f>_xlfn.XLOOKUP(D1152,Master[Product_Code],Master[Size])</f>
        <v>34</v>
      </c>
      <c r="K1152" s="8" t="str">
        <f>_xlfn.XLOOKUP(D1152,Master[Product_Code],Master[Color])</f>
        <v>Grey</v>
      </c>
      <c r="L1152" s="3">
        <f>_xlfn.XLOOKUP(D1152,Master[Product_Code],Master[Selling_Price])</f>
        <v>860</v>
      </c>
    </row>
    <row r="1153" spans="2:12">
      <c r="B1153" s="2" t="s">
        <v>2235</v>
      </c>
      <c r="C1153" s="7">
        <v>45967</v>
      </c>
      <c r="D1153" s="2" t="s">
        <v>818</v>
      </c>
      <c r="E1153" s="4">
        <v>1</v>
      </c>
      <c r="F1153" s="8" t="str">
        <f>_xlfn.XLOOKUP(D1153,Master[Product_Code],Master[Category])</f>
        <v>T-Shirt</v>
      </c>
      <c r="G1153" s="8" t="str">
        <f>_xlfn.XLOOKUP(D1153,Master[Product_Code],Master[Brand])</f>
        <v>Urban Monkey</v>
      </c>
      <c r="H1153" s="8" t="str">
        <f>_xlfn.XLOOKUP(D1153,Master[Product_Code],Master[Style])</f>
        <v>3/4 Sleeve</v>
      </c>
      <c r="I1153" s="8" t="str">
        <f>_xlfn.XLOOKUP(D1153,Master[Product_Code],Master[Fabric])</f>
        <v>Cotton Blend</v>
      </c>
      <c r="J1153" s="8" t="str">
        <f>_xlfn.XLOOKUP(D1153,Master[Product_Code],Master[Size])</f>
        <v>M</v>
      </c>
      <c r="K1153" s="8" t="str">
        <f>_xlfn.XLOOKUP(D1153,Master[Product_Code],Master[Color])</f>
        <v>Wine</v>
      </c>
      <c r="L1153" s="3">
        <f>_xlfn.XLOOKUP(D1153,Master[Product_Code],Master[Selling_Price])</f>
        <v>620</v>
      </c>
    </row>
    <row r="1154" spans="2:12">
      <c r="B1154" s="2" t="s">
        <v>2236</v>
      </c>
      <c r="C1154" s="7">
        <v>45967</v>
      </c>
      <c r="D1154" s="2" t="s">
        <v>571</v>
      </c>
      <c r="E1154" s="4">
        <v>1</v>
      </c>
      <c r="F1154" s="8" t="str">
        <f>_xlfn.XLOOKUP(D1154,Master[Product_Code],Master[Category])</f>
        <v>T-Shirt</v>
      </c>
      <c r="G1154" s="8" t="str">
        <f>_xlfn.XLOOKUP(D1154,Master[Product_Code],Master[Brand])</f>
        <v>Max</v>
      </c>
      <c r="H1154" s="8" t="str">
        <f>_xlfn.XLOOKUP(D1154,Master[Product_Code],Master[Style])</f>
        <v>Full Sleeve</v>
      </c>
      <c r="I1154" s="8" t="str">
        <f>_xlfn.XLOOKUP(D1154,Master[Product_Code],Master[Fabric])</f>
        <v>Poly Cotton</v>
      </c>
      <c r="J1154" s="8" t="str">
        <f>_xlfn.XLOOKUP(D1154,Master[Product_Code],Master[Size])</f>
        <v>XXL</v>
      </c>
      <c r="K1154" s="8" t="str">
        <f>_xlfn.XLOOKUP(D1154,Master[Product_Code],Master[Color])</f>
        <v>Charcoal</v>
      </c>
      <c r="L1154" s="3">
        <f>_xlfn.XLOOKUP(D1154,Master[Product_Code],Master[Selling_Price])</f>
        <v>310</v>
      </c>
    </row>
    <row r="1155" spans="2:12">
      <c r="B1155" s="2" t="s">
        <v>2236</v>
      </c>
      <c r="C1155" s="7">
        <v>45967</v>
      </c>
      <c r="D1155" s="2" t="s">
        <v>903</v>
      </c>
      <c r="E1155" s="4">
        <v>1</v>
      </c>
      <c r="F1155" s="8" t="str">
        <f>_xlfn.XLOOKUP(D1155,Master[Product_Code],Master[Category])</f>
        <v>Jeans</v>
      </c>
      <c r="G1155" s="8" t="str">
        <f>_xlfn.XLOOKUP(D1155,Master[Product_Code],Master[Brand])</f>
        <v>Wrangler</v>
      </c>
      <c r="H1155" s="8" t="str">
        <f>_xlfn.XLOOKUP(D1155,Master[Product_Code],Master[Style])</f>
        <v>Jogger</v>
      </c>
      <c r="I1155" s="8" t="str">
        <f>_xlfn.XLOOKUP(D1155,Master[Product_Code],Master[Fabric])</f>
        <v>Denim</v>
      </c>
      <c r="J1155" s="8">
        <f>_xlfn.XLOOKUP(D1155,Master[Product_Code],Master[Size])</f>
        <v>38</v>
      </c>
      <c r="K1155" s="8" t="str">
        <f>_xlfn.XLOOKUP(D1155,Master[Product_Code],Master[Color])</f>
        <v>Bottle Green</v>
      </c>
      <c r="L1155" s="3">
        <f>_xlfn.XLOOKUP(D1155,Master[Product_Code],Master[Selling_Price])</f>
        <v>900</v>
      </c>
    </row>
    <row r="1156" spans="2:12">
      <c r="B1156" s="2" t="s">
        <v>2236</v>
      </c>
      <c r="C1156" s="7">
        <v>45967</v>
      </c>
      <c r="D1156" s="2" t="s">
        <v>1691</v>
      </c>
      <c r="E1156" s="4">
        <v>1</v>
      </c>
      <c r="F1156" s="8" t="str">
        <f>_xlfn.XLOOKUP(D1156,Master[Product_Code],Master[Category])</f>
        <v>Innerwear</v>
      </c>
      <c r="G1156" s="8" t="str">
        <f>_xlfn.XLOOKUP(D1156,Master[Product_Code],Master[Brand])</f>
        <v>Dollar</v>
      </c>
      <c r="H1156" s="8" t="str">
        <f>_xlfn.XLOOKUP(D1156,Master[Product_Code],Master[Style])</f>
        <v>V-Cut</v>
      </c>
      <c r="I1156" s="8" t="str">
        <f>_xlfn.XLOOKUP(D1156,Master[Product_Code],Master[Fabric])</f>
        <v>Cotton</v>
      </c>
      <c r="J1156" s="8" t="str">
        <f>_xlfn.XLOOKUP(D1156,Master[Product_Code],Master[Size])</f>
        <v>75-80</v>
      </c>
      <c r="K1156" s="8" t="str">
        <f>_xlfn.XLOOKUP(D1156,Master[Product_Code],Master[Color])</f>
        <v>Teal</v>
      </c>
      <c r="L1156" s="3">
        <f>_xlfn.XLOOKUP(D1156,Master[Product_Code],Master[Selling_Price])</f>
        <v>130</v>
      </c>
    </row>
    <row r="1157" spans="2:12">
      <c r="B1157" s="2" t="s">
        <v>2237</v>
      </c>
      <c r="C1157" s="7">
        <v>45967</v>
      </c>
      <c r="D1157" s="2" t="s">
        <v>802</v>
      </c>
      <c r="E1157" s="4">
        <v>1</v>
      </c>
      <c r="F1157" s="8" t="str">
        <f>_xlfn.XLOOKUP(D1157,Master[Product_Code],Master[Category])</f>
        <v>T-Shirt</v>
      </c>
      <c r="G1157" s="8" t="str">
        <f>_xlfn.XLOOKUP(D1157,Master[Product_Code],Master[Brand])</f>
        <v>Zara</v>
      </c>
      <c r="H1157" s="8" t="str">
        <f>_xlfn.XLOOKUP(D1157,Master[Product_Code],Master[Style])</f>
        <v>3/4 Sleeve</v>
      </c>
      <c r="I1157" s="8" t="str">
        <f>_xlfn.XLOOKUP(D1157,Master[Product_Code],Master[Fabric])</f>
        <v>Cotton</v>
      </c>
      <c r="J1157" s="8" t="str">
        <f>_xlfn.XLOOKUP(D1157,Master[Product_Code],Master[Size])</f>
        <v>S</v>
      </c>
      <c r="K1157" s="8" t="str">
        <f>_xlfn.XLOOKUP(D1157,Master[Product_Code],Master[Color])</f>
        <v>Olive</v>
      </c>
      <c r="L1157" s="3">
        <f>_xlfn.XLOOKUP(D1157,Master[Product_Code],Master[Selling_Price])</f>
        <v>690</v>
      </c>
    </row>
    <row r="1158" spans="2:12">
      <c r="B1158" s="2" t="s">
        <v>2237</v>
      </c>
      <c r="C1158" s="7">
        <v>45967</v>
      </c>
      <c r="D1158" s="2" t="s">
        <v>491</v>
      </c>
      <c r="E1158" s="4">
        <v>1</v>
      </c>
      <c r="F1158" s="8" t="str">
        <f>_xlfn.XLOOKUP(D1158,Master[Product_Code],Master[Category])</f>
        <v>T-Shirt</v>
      </c>
      <c r="G1158" s="8" t="str">
        <f>_xlfn.XLOOKUP(D1158,Master[Product_Code],Master[Brand])</f>
        <v>Roadster</v>
      </c>
      <c r="H1158" s="8" t="str">
        <f>_xlfn.XLOOKUP(D1158,Master[Product_Code],Master[Style])</f>
        <v>Half Sleeve</v>
      </c>
      <c r="I1158" s="8" t="str">
        <f>_xlfn.XLOOKUP(D1158,Master[Product_Code],Master[Fabric])</f>
        <v>Cotton</v>
      </c>
      <c r="J1158" s="8" t="str">
        <f>_xlfn.XLOOKUP(D1158,Master[Product_Code],Master[Size])</f>
        <v>L</v>
      </c>
      <c r="K1158" s="8" t="str">
        <f>_xlfn.XLOOKUP(D1158,Master[Product_Code],Master[Color])</f>
        <v>White</v>
      </c>
      <c r="L1158" s="3">
        <f>_xlfn.XLOOKUP(D1158,Master[Product_Code],Master[Selling_Price])</f>
        <v>270</v>
      </c>
    </row>
    <row r="1159" spans="2:12">
      <c r="B1159" s="2" t="s">
        <v>2237</v>
      </c>
      <c r="C1159" s="7">
        <v>45967</v>
      </c>
      <c r="D1159" s="2" t="s">
        <v>597</v>
      </c>
      <c r="E1159" s="4">
        <v>1</v>
      </c>
      <c r="F1159" s="8" t="str">
        <f>_xlfn.XLOOKUP(D1159,Master[Product_Code],Master[Category])</f>
        <v>T-Shirt</v>
      </c>
      <c r="G1159" s="8" t="str">
        <f>_xlfn.XLOOKUP(D1159,Master[Product_Code],Master[Brand])</f>
        <v>Zara</v>
      </c>
      <c r="H1159" s="8" t="str">
        <f>_xlfn.XLOOKUP(D1159,Master[Product_Code],Master[Style])</f>
        <v>3/4 Sleeve</v>
      </c>
      <c r="I1159" s="8" t="str">
        <f>_xlfn.XLOOKUP(D1159,Master[Product_Code],Master[Fabric])</f>
        <v>Cotton</v>
      </c>
      <c r="J1159" s="8" t="str">
        <f>_xlfn.XLOOKUP(D1159,Master[Product_Code],Master[Size])</f>
        <v>XL</v>
      </c>
      <c r="K1159" s="8" t="str">
        <f>_xlfn.XLOOKUP(D1159,Master[Product_Code],Master[Color])</f>
        <v>Olive</v>
      </c>
      <c r="L1159" s="3">
        <f>_xlfn.XLOOKUP(D1159,Master[Product_Code],Master[Selling_Price])</f>
        <v>280</v>
      </c>
    </row>
    <row r="1160" spans="2:12">
      <c r="B1160" s="2" t="s">
        <v>2238</v>
      </c>
      <c r="C1160" s="7">
        <v>45967</v>
      </c>
      <c r="D1160" s="2" t="s">
        <v>436</v>
      </c>
      <c r="E1160" s="4">
        <v>1</v>
      </c>
      <c r="F1160" s="8" t="str">
        <f>_xlfn.XLOOKUP(D1160,Master[Product_Code],Master[Category])</f>
        <v>T-Shirt</v>
      </c>
      <c r="G1160" s="8" t="str">
        <f>_xlfn.XLOOKUP(D1160,Master[Product_Code],Master[Brand])</f>
        <v>Turkey</v>
      </c>
      <c r="H1160" s="8" t="str">
        <f>_xlfn.XLOOKUP(D1160,Master[Product_Code],Master[Style])</f>
        <v>3/4 Sleeve</v>
      </c>
      <c r="I1160" s="8" t="str">
        <f>_xlfn.XLOOKUP(D1160,Master[Product_Code],Master[Fabric])</f>
        <v>Poly Cotton</v>
      </c>
      <c r="J1160" s="8" t="str">
        <f>_xlfn.XLOOKUP(D1160,Master[Product_Code],Master[Size])</f>
        <v>S</v>
      </c>
      <c r="K1160" s="8" t="str">
        <f>_xlfn.XLOOKUP(D1160,Master[Product_Code],Master[Color])</f>
        <v>White</v>
      </c>
      <c r="L1160" s="3">
        <f>_xlfn.XLOOKUP(D1160,Master[Product_Code],Master[Selling_Price])</f>
        <v>710</v>
      </c>
    </row>
    <row r="1161" spans="2:12">
      <c r="B1161" s="2" t="s">
        <v>2238</v>
      </c>
      <c r="C1161" s="7">
        <v>45967</v>
      </c>
      <c r="D1161" s="2" t="s">
        <v>1591</v>
      </c>
      <c r="E1161" s="4">
        <v>1</v>
      </c>
      <c r="F1161" s="8" t="str">
        <f>_xlfn.XLOOKUP(D1161,Master[Product_Code],Master[Category])</f>
        <v>Innerwear</v>
      </c>
      <c r="G1161" s="8" t="str">
        <f>_xlfn.XLOOKUP(D1161,Master[Product_Code],Master[Brand])</f>
        <v>Rupa</v>
      </c>
      <c r="H1161" s="8" t="str">
        <f>_xlfn.XLOOKUP(D1161,Master[Product_Code],Master[Style])</f>
        <v>Boxer</v>
      </c>
      <c r="I1161" s="8" t="str">
        <f>_xlfn.XLOOKUP(D1161,Master[Product_Code],Master[Fabric])</f>
        <v>Cotton Blend</v>
      </c>
      <c r="J1161" s="8" t="str">
        <f>_xlfn.XLOOKUP(D1161,Master[Product_Code],Master[Size])</f>
        <v>90-100</v>
      </c>
      <c r="K1161" s="8" t="str">
        <f>_xlfn.XLOOKUP(D1161,Master[Product_Code],Master[Color])</f>
        <v>Black</v>
      </c>
      <c r="L1161" s="3">
        <f>_xlfn.XLOOKUP(D1161,Master[Product_Code],Master[Selling_Price])</f>
        <v>170</v>
      </c>
    </row>
    <row r="1162" spans="2:12">
      <c r="B1162" s="2" t="s">
        <v>2238</v>
      </c>
      <c r="C1162" s="7">
        <v>45967</v>
      </c>
      <c r="D1162" s="2" t="s">
        <v>1109</v>
      </c>
      <c r="E1162" s="4">
        <v>1</v>
      </c>
      <c r="F1162" s="8" t="str">
        <f>_xlfn.XLOOKUP(D1162,Master[Product_Code],Master[Category])</f>
        <v>Jeans</v>
      </c>
      <c r="G1162" s="8" t="str">
        <f>_xlfn.XLOOKUP(D1162,Master[Product_Code],Master[Brand])</f>
        <v>Levis</v>
      </c>
      <c r="H1162" s="8" t="str">
        <f>_xlfn.XLOOKUP(D1162,Master[Product_Code],Master[Style])</f>
        <v>Baggy</v>
      </c>
      <c r="I1162" s="8" t="str">
        <f>_xlfn.XLOOKUP(D1162,Master[Product_Code],Master[Fabric])</f>
        <v>Denim</v>
      </c>
      <c r="J1162" s="8">
        <f>_xlfn.XLOOKUP(D1162,Master[Product_Code],Master[Size])</f>
        <v>40</v>
      </c>
      <c r="K1162" s="8" t="str">
        <f>_xlfn.XLOOKUP(D1162,Master[Product_Code],Master[Color])</f>
        <v>Charcoal</v>
      </c>
      <c r="L1162" s="3">
        <f>_xlfn.XLOOKUP(D1162,Master[Product_Code],Master[Selling_Price])</f>
        <v>1070</v>
      </c>
    </row>
    <row r="1163" spans="2:12">
      <c r="B1163" s="2" t="s">
        <v>2239</v>
      </c>
      <c r="C1163" s="7">
        <v>45967</v>
      </c>
      <c r="D1163" s="2" t="s">
        <v>883</v>
      </c>
      <c r="E1163" s="4">
        <v>1</v>
      </c>
      <c r="F1163" s="8" t="str">
        <f>_xlfn.XLOOKUP(D1163,Master[Product_Code],Master[Category])</f>
        <v>Jeans</v>
      </c>
      <c r="G1163" s="8" t="str">
        <f>_xlfn.XLOOKUP(D1163,Master[Product_Code],Master[Brand])</f>
        <v>Locomotive</v>
      </c>
      <c r="H1163" s="8" t="str">
        <f>_xlfn.XLOOKUP(D1163,Master[Product_Code],Master[Style])</f>
        <v>Jogger</v>
      </c>
      <c r="I1163" s="8" t="str">
        <f>_xlfn.XLOOKUP(D1163,Master[Product_Code],Master[Fabric])</f>
        <v>Denim</v>
      </c>
      <c r="J1163" s="8">
        <f>_xlfn.XLOOKUP(D1163,Master[Product_Code],Master[Size])</f>
        <v>42</v>
      </c>
      <c r="K1163" s="8" t="str">
        <f>_xlfn.XLOOKUP(D1163,Master[Product_Code],Master[Color])</f>
        <v>Grey</v>
      </c>
      <c r="L1163" s="3">
        <f>_xlfn.XLOOKUP(D1163,Master[Product_Code],Master[Selling_Price])</f>
        <v>880</v>
      </c>
    </row>
    <row r="1164" spans="2:12">
      <c r="B1164" s="2" t="s">
        <v>2239</v>
      </c>
      <c r="C1164" s="7">
        <v>45967</v>
      </c>
      <c r="D1164" s="2" t="s">
        <v>48</v>
      </c>
      <c r="E1164" s="4">
        <v>1</v>
      </c>
      <c r="F1164" s="8" t="str">
        <f>_xlfn.XLOOKUP(D1164,Master[Product_Code],Master[Category])</f>
        <v>Shirt</v>
      </c>
      <c r="G1164" s="8" t="str">
        <f>_xlfn.XLOOKUP(D1164,Master[Product_Code],Master[Brand])</f>
        <v>British</v>
      </c>
      <c r="H1164" s="8" t="str">
        <f>_xlfn.XLOOKUP(D1164,Master[Product_Code],Master[Style])</f>
        <v>Formal</v>
      </c>
      <c r="I1164" s="8" t="str">
        <f>_xlfn.XLOOKUP(D1164,Master[Product_Code],Master[Fabric])</f>
        <v>Lycra</v>
      </c>
      <c r="J1164" s="8" t="str">
        <f>_xlfn.XLOOKUP(D1164,Master[Product_Code],Master[Size])</f>
        <v>S</v>
      </c>
      <c r="K1164" s="8" t="str">
        <f>_xlfn.XLOOKUP(D1164,Master[Product_Code],Master[Color])</f>
        <v>Mustard</v>
      </c>
      <c r="L1164" s="3">
        <f>_xlfn.XLOOKUP(D1164,Master[Product_Code],Master[Selling_Price])</f>
        <v>880</v>
      </c>
    </row>
    <row r="1165" spans="2:12">
      <c r="B1165" s="2" t="s">
        <v>2239</v>
      </c>
      <c r="C1165" s="7">
        <v>45967</v>
      </c>
      <c r="D1165" s="2" t="s">
        <v>506</v>
      </c>
      <c r="E1165" s="4">
        <v>1</v>
      </c>
      <c r="F1165" s="8" t="str">
        <f>_xlfn.XLOOKUP(D1165,Master[Product_Code],Master[Category])</f>
        <v>T-Shirt</v>
      </c>
      <c r="G1165" s="8" t="str">
        <f>_xlfn.XLOOKUP(D1165,Master[Product_Code],Master[Brand])</f>
        <v>Campus</v>
      </c>
      <c r="H1165" s="8" t="str">
        <f>_xlfn.XLOOKUP(D1165,Master[Product_Code],Master[Style])</f>
        <v>3/4 Sleeve</v>
      </c>
      <c r="I1165" s="8" t="str">
        <f>_xlfn.XLOOKUP(D1165,Master[Product_Code],Master[Fabric])</f>
        <v>Cotton</v>
      </c>
      <c r="J1165" s="8" t="str">
        <f>_xlfn.XLOOKUP(D1165,Master[Product_Code],Master[Size])</f>
        <v>XXL</v>
      </c>
      <c r="K1165" s="8" t="str">
        <f>_xlfn.XLOOKUP(D1165,Master[Product_Code],Master[Color])</f>
        <v>Rust</v>
      </c>
      <c r="L1165" s="3">
        <f>_xlfn.XLOOKUP(D1165,Master[Product_Code],Master[Selling_Price])</f>
        <v>660</v>
      </c>
    </row>
    <row r="1166" spans="2:12">
      <c r="B1166" s="2" t="s">
        <v>2239</v>
      </c>
      <c r="C1166" s="7">
        <v>45967</v>
      </c>
      <c r="D1166" s="2" t="s">
        <v>1068</v>
      </c>
      <c r="E1166" s="4">
        <v>1</v>
      </c>
      <c r="F1166" s="8" t="str">
        <f>_xlfn.XLOOKUP(D1166,Master[Product_Code],Master[Category])</f>
        <v>Jeans</v>
      </c>
      <c r="G1166" s="8" t="str">
        <f>_xlfn.XLOOKUP(D1166,Master[Product_Code],Master[Brand])</f>
        <v>Denim Pro</v>
      </c>
      <c r="H1166" s="8" t="str">
        <f>_xlfn.XLOOKUP(D1166,Master[Product_Code],Master[Style])</f>
        <v>Baggy</v>
      </c>
      <c r="I1166" s="8" t="str">
        <f>_xlfn.XLOOKUP(D1166,Master[Product_Code],Master[Fabric])</f>
        <v>Denim</v>
      </c>
      <c r="J1166" s="8">
        <f>_xlfn.XLOOKUP(D1166,Master[Product_Code],Master[Size])</f>
        <v>28</v>
      </c>
      <c r="K1166" s="8" t="str">
        <f>_xlfn.XLOOKUP(D1166,Master[Product_Code],Master[Color])</f>
        <v>Wine</v>
      </c>
      <c r="L1166" s="3">
        <f>_xlfn.XLOOKUP(D1166,Master[Product_Code],Master[Selling_Price])</f>
        <v>820</v>
      </c>
    </row>
    <row r="1167" spans="2:12">
      <c r="B1167" s="2" t="s">
        <v>2240</v>
      </c>
      <c r="C1167" s="7">
        <v>45967</v>
      </c>
      <c r="D1167" s="2" t="s">
        <v>1055</v>
      </c>
      <c r="E1167" s="4">
        <v>1</v>
      </c>
      <c r="F1167" s="8" t="str">
        <f>_xlfn.XLOOKUP(D1167,Master[Product_Code],Master[Category])</f>
        <v>Jeans</v>
      </c>
      <c r="G1167" s="8" t="str">
        <f>_xlfn.XLOOKUP(D1167,Master[Product_Code],Master[Brand])</f>
        <v>Pepe</v>
      </c>
      <c r="H1167" s="8" t="str">
        <f>_xlfn.XLOOKUP(D1167,Master[Product_Code],Master[Style])</f>
        <v>Mom Fit</v>
      </c>
      <c r="I1167" s="8" t="str">
        <f>_xlfn.XLOOKUP(D1167,Master[Product_Code],Master[Fabric])</f>
        <v>Denim</v>
      </c>
      <c r="J1167" s="8">
        <f>_xlfn.XLOOKUP(D1167,Master[Product_Code],Master[Size])</f>
        <v>30</v>
      </c>
      <c r="K1167" s="8" t="str">
        <f>_xlfn.XLOOKUP(D1167,Master[Product_Code],Master[Color])</f>
        <v>Wine</v>
      </c>
      <c r="L1167" s="3">
        <f>_xlfn.XLOOKUP(D1167,Master[Product_Code],Master[Selling_Price])</f>
        <v>1070</v>
      </c>
    </row>
    <row r="1168" spans="2:12">
      <c r="B1168" s="2" t="s">
        <v>2240</v>
      </c>
      <c r="C1168" s="7">
        <v>45967</v>
      </c>
      <c r="D1168" s="2" t="s">
        <v>1400</v>
      </c>
      <c r="E1168" s="4">
        <v>1</v>
      </c>
      <c r="F1168" s="8" t="str">
        <f>_xlfn.XLOOKUP(D1168,Master[Product_Code],Master[Category])</f>
        <v>Pants</v>
      </c>
      <c r="G1168" s="8" t="str">
        <f>_xlfn.XLOOKUP(D1168,Master[Product_Code],Master[Brand])</f>
        <v>Park Avenue</v>
      </c>
      <c r="H1168" s="8" t="str">
        <f>_xlfn.XLOOKUP(D1168,Master[Product_Code],Master[Style])</f>
        <v>Boot Cut</v>
      </c>
      <c r="I1168" s="8" t="str">
        <f>_xlfn.XLOOKUP(D1168,Master[Product_Code],Master[Fabric])</f>
        <v>Poly Viscose</v>
      </c>
      <c r="J1168" s="8">
        <f>_xlfn.XLOOKUP(D1168,Master[Product_Code],Master[Size])</f>
        <v>38</v>
      </c>
      <c r="K1168" s="8" t="str">
        <f>_xlfn.XLOOKUP(D1168,Master[Product_Code],Master[Color])</f>
        <v>Wine</v>
      </c>
      <c r="L1168" s="3">
        <f>_xlfn.XLOOKUP(D1168,Master[Product_Code],Master[Selling_Price])</f>
        <v>740</v>
      </c>
    </row>
    <row r="1169" spans="2:12">
      <c r="B1169" s="2" t="s">
        <v>2241</v>
      </c>
      <c r="C1169" s="7">
        <v>45967</v>
      </c>
      <c r="D1169" s="2" t="s">
        <v>1247</v>
      </c>
      <c r="E1169" s="4">
        <v>1</v>
      </c>
      <c r="F1169" s="8" t="str">
        <f>_xlfn.XLOOKUP(D1169,Master[Product_Code],Master[Category])</f>
        <v>Pants</v>
      </c>
      <c r="G1169" s="8" t="str">
        <f>_xlfn.XLOOKUP(D1169,Master[Product_Code],Master[Brand])</f>
        <v>Louis Philippe</v>
      </c>
      <c r="H1169" s="8" t="str">
        <f>_xlfn.XLOOKUP(D1169,Master[Product_Code],Master[Style])</f>
        <v>Korean</v>
      </c>
      <c r="I1169" s="8" t="str">
        <f>_xlfn.XLOOKUP(D1169,Master[Product_Code],Master[Fabric])</f>
        <v>Lycra</v>
      </c>
      <c r="J1169" s="8">
        <f>_xlfn.XLOOKUP(D1169,Master[Product_Code],Master[Size])</f>
        <v>38</v>
      </c>
      <c r="K1169" s="8" t="str">
        <f>_xlfn.XLOOKUP(D1169,Master[Product_Code],Master[Color])</f>
        <v>Sky Blue</v>
      </c>
      <c r="L1169" s="3">
        <f>_xlfn.XLOOKUP(D1169,Master[Product_Code],Master[Selling_Price])</f>
        <v>900</v>
      </c>
    </row>
    <row r="1170" spans="2:12">
      <c r="B1170" s="2" t="s">
        <v>2241</v>
      </c>
      <c r="C1170" s="7">
        <v>45967</v>
      </c>
      <c r="D1170" s="2" t="s">
        <v>1338</v>
      </c>
      <c r="E1170" s="4">
        <v>1</v>
      </c>
      <c r="F1170" s="8" t="str">
        <f>_xlfn.XLOOKUP(D1170,Master[Product_Code],Master[Category])</f>
        <v>Pants</v>
      </c>
      <c r="G1170" s="8" t="str">
        <f>_xlfn.XLOOKUP(D1170,Master[Product_Code],Master[Brand])</f>
        <v>Van Heusen</v>
      </c>
      <c r="H1170" s="8" t="str">
        <f>_xlfn.XLOOKUP(D1170,Master[Product_Code],Master[Style])</f>
        <v>Boot Cut</v>
      </c>
      <c r="I1170" s="8" t="str">
        <f>_xlfn.XLOOKUP(D1170,Master[Product_Code],Master[Fabric])</f>
        <v>Cotton</v>
      </c>
      <c r="J1170" s="8">
        <f>_xlfn.XLOOKUP(D1170,Master[Product_Code],Master[Size])</f>
        <v>36</v>
      </c>
      <c r="K1170" s="8" t="str">
        <f>_xlfn.XLOOKUP(D1170,Master[Product_Code],Master[Color])</f>
        <v>Navy Blue</v>
      </c>
      <c r="L1170" s="3">
        <f>_xlfn.XLOOKUP(D1170,Master[Product_Code],Master[Selling_Price])</f>
        <v>950</v>
      </c>
    </row>
    <row r="1171" spans="2:12">
      <c r="B1171" s="2" t="s">
        <v>2241</v>
      </c>
      <c r="C1171" s="7">
        <v>45967</v>
      </c>
      <c r="D1171" s="2" t="s">
        <v>570</v>
      </c>
      <c r="E1171" s="4">
        <v>1</v>
      </c>
      <c r="F1171" s="8" t="str">
        <f>_xlfn.XLOOKUP(D1171,Master[Product_Code],Master[Category])</f>
        <v>T-Shirt</v>
      </c>
      <c r="G1171" s="8" t="str">
        <f>_xlfn.XLOOKUP(D1171,Master[Product_Code],Master[Brand])</f>
        <v>Roadster</v>
      </c>
      <c r="H1171" s="8" t="str">
        <f>_xlfn.XLOOKUP(D1171,Master[Product_Code],Master[Style])</f>
        <v>Sleeveless</v>
      </c>
      <c r="I1171" s="8" t="str">
        <f>_xlfn.XLOOKUP(D1171,Master[Product_Code],Master[Fabric])</f>
        <v>Cotton</v>
      </c>
      <c r="J1171" s="8" t="str">
        <f>_xlfn.XLOOKUP(D1171,Master[Product_Code],Master[Size])</f>
        <v>S</v>
      </c>
      <c r="K1171" s="8" t="str">
        <f>_xlfn.XLOOKUP(D1171,Master[Product_Code],Master[Color])</f>
        <v>Beige</v>
      </c>
      <c r="L1171" s="3">
        <f>_xlfn.XLOOKUP(D1171,Master[Product_Code],Master[Selling_Price])</f>
        <v>500</v>
      </c>
    </row>
    <row r="1172" spans="2:12">
      <c r="B1172" s="2" t="s">
        <v>2241</v>
      </c>
      <c r="C1172" s="7">
        <v>45967</v>
      </c>
      <c r="D1172" s="2" t="s">
        <v>1653</v>
      </c>
      <c r="E1172" s="4">
        <v>1</v>
      </c>
      <c r="F1172" s="8" t="str">
        <f>_xlfn.XLOOKUP(D1172,Master[Product_Code],Master[Category])</f>
        <v>Innerwear</v>
      </c>
      <c r="G1172" s="8" t="str">
        <f>_xlfn.XLOOKUP(D1172,Master[Product_Code],Master[Brand])</f>
        <v>V Star</v>
      </c>
      <c r="H1172" s="8" t="str">
        <f>_xlfn.XLOOKUP(D1172,Master[Product_Code],Master[Style])</f>
        <v>Boxer</v>
      </c>
      <c r="I1172" s="8" t="str">
        <f>_xlfn.XLOOKUP(D1172,Master[Product_Code],Master[Fabric])</f>
        <v>Cotton</v>
      </c>
      <c r="J1172" s="8" t="str">
        <f>_xlfn.XLOOKUP(D1172,Master[Product_Code],Master[Size])</f>
        <v>90-100</v>
      </c>
      <c r="K1172" s="8" t="str">
        <f>_xlfn.XLOOKUP(D1172,Master[Product_Code],Master[Color])</f>
        <v>Charcoal</v>
      </c>
      <c r="L1172" s="3">
        <f>_xlfn.XLOOKUP(D1172,Master[Product_Code],Master[Selling_Price])</f>
        <v>130</v>
      </c>
    </row>
    <row r="1173" spans="2:12">
      <c r="B1173" s="2" t="s">
        <v>2242</v>
      </c>
      <c r="C1173" s="7">
        <v>45967</v>
      </c>
      <c r="D1173" s="2" t="s">
        <v>294</v>
      </c>
      <c r="E1173" s="4">
        <v>1</v>
      </c>
      <c r="F1173" s="8" t="str">
        <f>_xlfn.XLOOKUP(D1173,Master[Product_Code],Master[Category])</f>
        <v>Shirt</v>
      </c>
      <c r="G1173" s="8" t="str">
        <f>_xlfn.XLOOKUP(D1173,Master[Product_Code],Master[Brand])</f>
        <v>Thailand</v>
      </c>
      <c r="H1173" s="8" t="str">
        <f>_xlfn.XLOOKUP(D1173,Master[Product_Code],Master[Style])</f>
        <v>Formal</v>
      </c>
      <c r="I1173" s="8" t="str">
        <f>_xlfn.XLOOKUP(D1173,Master[Product_Code],Master[Fabric])</f>
        <v>Cotton Blend</v>
      </c>
      <c r="J1173" s="8" t="str">
        <f>_xlfn.XLOOKUP(D1173,Master[Product_Code],Master[Size])</f>
        <v>S</v>
      </c>
      <c r="K1173" s="8" t="str">
        <f>_xlfn.XLOOKUP(D1173,Master[Product_Code],Master[Color])</f>
        <v>White</v>
      </c>
      <c r="L1173" s="3">
        <f>_xlfn.XLOOKUP(D1173,Master[Product_Code],Master[Selling_Price])</f>
        <v>670</v>
      </c>
    </row>
    <row r="1174" spans="2:12">
      <c r="B1174" s="2" t="s">
        <v>2242</v>
      </c>
      <c r="C1174" s="7">
        <v>45967</v>
      </c>
      <c r="D1174" s="2" t="s">
        <v>763</v>
      </c>
      <c r="E1174" s="4">
        <v>1</v>
      </c>
      <c r="F1174" s="8" t="str">
        <f>_xlfn.XLOOKUP(D1174,Master[Product_Code],Master[Category])</f>
        <v>T-Shirt</v>
      </c>
      <c r="G1174" s="8" t="str">
        <f>_xlfn.XLOOKUP(D1174,Master[Product_Code],Master[Brand])</f>
        <v>Turkey</v>
      </c>
      <c r="H1174" s="8" t="str">
        <f>_xlfn.XLOOKUP(D1174,Master[Product_Code],Master[Style])</f>
        <v>Full Sleeve</v>
      </c>
      <c r="I1174" s="8" t="str">
        <f>_xlfn.XLOOKUP(D1174,Master[Product_Code],Master[Fabric])</f>
        <v>Poly Cotton</v>
      </c>
      <c r="J1174" s="8" t="str">
        <f>_xlfn.XLOOKUP(D1174,Master[Product_Code],Master[Size])</f>
        <v>XXL</v>
      </c>
      <c r="K1174" s="8" t="str">
        <f>_xlfn.XLOOKUP(D1174,Master[Product_Code],Master[Color])</f>
        <v>Maroon</v>
      </c>
      <c r="L1174" s="3">
        <f>_xlfn.XLOOKUP(D1174,Master[Product_Code],Master[Selling_Price])</f>
        <v>530</v>
      </c>
    </row>
    <row r="1175" spans="2:12">
      <c r="B1175" s="2" t="s">
        <v>2242</v>
      </c>
      <c r="C1175" s="7">
        <v>45967</v>
      </c>
      <c r="D1175" s="2" t="s">
        <v>1400</v>
      </c>
      <c r="E1175" s="4">
        <v>1</v>
      </c>
      <c r="F1175" s="8" t="str">
        <f>_xlfn.XLOOKUP(D1175,Master[Product_Code],Master[Category])</f>
        <v>Pants</v>
      </c>
      <c r="G1175" s="8" t="str">
        <f>_xlfn.XLOOKUP(D1175,Master[Product_Code],Master[Brand])</f>
        <v>Park Avenue</v>
      </c>
      <c r="H1175" s="8" t="str">
        <f>_xlfn.XLOOKUP(D1175,Master[Product_Code],Master[Style])</f>
        <v>Boot Cut</v>
      </c>
      <c r="I1175" s="8" t="str">
        <f>_xlfn.XLOOKUP(D1175,Master[Product_Code],Master[Fabric])</f>
        <v>Poly Viscose</v>
      </c>
      <c r="J1175" s="8">
        <f>_xlfn.XLOOKUP(D1175,Master[Product_Code],Master[Size])</f>
        <v>38</v>
      </c>
      <c r="K1175" s="8" t="str">
        <f>_xlfn.XLOOKUP(D1175,Master[Product_Code],Master[Color])</f>
        <v>Wine</v>
      </c>
      <c r="L1175" s="3">
        <f>_xlfn.XLOOKUP(D1175,Master[Product_Code],Master[Selling_Price])</f>
        <v>740</v>
      </c>
    </row>
    <row r="1176" spans="2:12">
      <c r="B1176" s="2" t="s">
        <v>2242</v>
      </c>
      <c r="C1176" s="7">
        <v>45967</v>
      </c>
      <c r="D1176" s="2" t="s">
        <v>907</v>
      </c>
      <c r="E1176" s="4">
        <v>1</v>
      </c>
      <c r="F1176" s="8" t="str">
        <f>_xlfn.XLOOKUP(D1176,Master[Product_Code],Master[Category])</f>
        <v>Jeans</v>
      </c>
      <c r="G1176" s="8" t="str">
        <f>_xlfn.XLOOKUP(D1176,Master[Product_Code],Master[Brand])</f>
        <v>Spykar</v>
      </c>
      <c r="H1176" s="8" t="str">
        <f>_xlfn.XLOOKUP(D1176,Master[Product_Code],Master[Style])</f>
        <v>Baggy</v>
      </c>
      <c r="I1176" s="8" t="str">
        <f>_xlfn.XLOOKUP(D1176,Master[Product_Code],Master[Fabric])</f>
        <v>Denim</v>
      </c>
      <c r="J1176" s="8">
        <f>_xlfn.XLOOKUP(D1176,Master[Product_Code],Master[Size])</f>
        <v>36</v>
      </c>
      <c r="K1176" s="8" t="str">
        <f>_xlfn.XLOOKUP(D1176,Master[Product_Code],Master[Color])</f>
        <v>Charcoal</v>
      </c>
      <c r="L1176" s="3">
        <f>_xlfn.XLOOKUP(D1176,Master[Product_Code],Master[Selling_Price])</f>
        <v>950</v>
      </c>
    </row>
    <row r="1177" spans="2:12">
      <c r="B1177" s="2" t="s">
        <v>2243</v>
      </c>
      <c r="C1177" s="7">
        <v>45967</v>
      </c>
      <c r="D1177" s="2" t="s">
        <v>144</v>
      </c>
      <c r="E1177" s="4">
        <v>1</v>
      </c>
      <c r="F1177" s="8" t="str">
        <f>_xlfn.XLOOKUP(D1177,Master[Product_Code],Master[Category])</f>
        <v>Shirt</v>
      </c>
      <c r="G1177" s="8" t="str">
        <f>_xlfn.XLOOKUP(D1177,Master[Product_Code],Master[Brand])</f>
        <v>Zara</v>
      </c>
      <c r="H1177" s="8" t="str">
        <f>_xlfn.XLOOKUP(D1177,Master[Product_Code],Master[Style])</f>
        <v>Partywear</v>
      </c>
      <c r="I1177" s="8" t="str">
        <f>_xlfn.XLOOKUP(D1177,Master[Product_Code],Master[Fabric])</f>
        <v>Lycra</v>
      </c>
      <c r="J1177" s="8" t="str">
        <f>_xlfn.XLOOKUP(D1177,Master[Product_Code],Master[Size])</f>
        <v>M</v>
      </c>
      <c r="K1177" s="8" t="str">
        <f>_xlfn.XLOOKUP(D1177,Master[Product_Code],Master[Color])</f>
        <v>Maroon</v>
      </c>
      <c r="L1177" s="3">
        <f>_xlfn.XLOOKUP(D1177,Master[Product_Code],Master[Selling_Price])</f>
        <v>700</v>
      </c>
    </row>
    <row r="1178" spans="2:12">
      <c r="B1178" s="2" t="s">
        <v>2244</v>
      </c>
      <c r="C1178" s="7">
        <v>45967</v>
      </c>
      <c r="D1178" s="2" t="s">
        <v>1311</v>
      </c>
      <c r="E1178" s="4">
        <v>1</v>
      </c>
      <c r="F1178" s="8" t="str">
        <f>_xlfn.XLOOKUP(D1178,Master[Product_Code],Master[Category])</f>
        <v>Pants</v>
      </c>
      <c r="G1178" s="8" t="str">
        <f>_xlfn.XLOOKUP(D1178,Master[Product_Code],Master[Brand])</f>
        <v>Louis Philippe</v>
      </c>
      <c r="H1178" s="8" t="str">
        <f>_xlfn.XLOOKUP(D1178,Master[Product_Code],Master[Style])</f>
        <v>Jogger</v>
      </c>
      <c r="I1178" s="8" t="str">
        <f>_xlfn.XLOOKUP(D1178,Master[Product_Code],Master[Fabric])</f>
        <v>Cotton Blend</v>
      </c>
      <c r="J1178" s="8">
        <f>_xlfn.XLOOKUP(D1178,Master[Product_Code],Master[Size])</f>
        <v>44</v>
      </c>
      <c r="K1178" s="8" t="str">
        <f>_xlfn.XLOOKUP(D1178,Master[Product_Code],Master[Color])</f>
        <v>Brown</v>
      </c>
      <c r="L1178" s="3">
        <f>_xlfn.XLOOKUP(D1178,Master[Product_Code],Master[Selling_Price])</f>
        <v>850</v>
      </c>
    </row>
    <row r="1179" spans="2:12">
      <c r="B1179" s="2" t="s">
        <v>2245</v>
      </c>
      <c r="C1179" s="7">
        <v>45967</v>
      </c>
      <c r="D1179" s="2" t="s">
        <v>341</v>
      </c>
      <c r="E1179" s="4">
        <v>1</v>
      </c>
      <c r="F1179" s="8" t="str">
        <f>_xlfn.XLOOKUP(D1179,Master[Product_Code],Master[Category])</f>
        <v>Shirt</v>
      </c>
      <c r="G1179" s="8" t="str">
        <f>_xlfn.XLOOKUP(D1179,Master[Product_Code],Master[Brand])</f>
        <v>Zara</v>
      </c>
      <c r="H1179" s="8" t="str">
        <f>_xlfn.XLOOKUP(D1179,Master[Product_Code],Master[Style])</f>
        <v>Casual</v>
      </c>
      <c r="I1179" s="8" t="str">
        <f>_xlfn.XLOOKUP(D1179,Master[Product_Code],Master[Fabric])</f>
        <v>Polyester</v>
      </c>
      <c r="J1179" s="8" t="str">
        <f>_xlfn.XLOOKUP(D1179,Master[Product_Code],Master[Size])</f>
        <v>XXL</v>
      </c>
      <c r="K1179" s="8" t="str">
        <f>_xlfn.XLOOKUP(D1179,Master[Product_Code],Master[Color])</f>
        <v>Peach</v>
      </c>
      <c r="L1179" s="3">
        <f>_xlfn.XLOOKUP(D1179,Master[Product_Code],Master[Selling_Price])</f>
        <v>650</v>
      </c>
    </row>
    <row r="1180" spans="2:12">
      <c r="B1180" s="2" t="s">
        <v>2246</v>
      </c>
      <c r="C1180" s="7">
        <v>45967</v>
      </c>
      <c r="D1180" s="2" t="s">
        <v>1224</v>
      </c>
      <c r="E1180" s="4">
        <v>1</v>
      </c>
      <c r="F1180" s="8" t="str">
        <f>_xlfn.XLOOKUP(D1180,Master[Product_Code],Master[Category])</f>
        <v>Pants</v>
      </c>
      <c r="G1180" s="8" t="str">
        <f>_xlfn.XLOOKUP(D1180,Master[Product_Code],Master[Brand])</f>
        <v>Van Heusen</v>
      </c>
      <c r="H1180" s="8" t="str">
        <f>_xlfn.XLOOKUP(D1180,Master[Product_Code],Master[Style])</f>
        <v>Korean</v>
      </c>
      <c r="I1180" s="8" t="str">
        <f>_xlfn.XLOOKUP(D1180,Master[Product_Code],Master[Fabric])</f>
        <v>Lycra</v>
      </c>
      <c r="J1180" s="8">
        <f>_xlfn.XLOOKUP(D1180,Master[Product_Code],Master[Size])</f>
        <v>34</v>
      </c>
      <c r="K1180" s="8" t="str">
        <f>_xlfn.XLOOKUP(D1180,Master[Product_Code],Master[Color])</f>
        <v>Peach</v>
      </c>
      <c r="L1180" s="3">
        <f>_xlfn.XLOOKUP(D1180,Master[Product_Code],Master[Selling_Price])</f>
        <v>920</v>
      </c>
    </row>
    <row r="1181" spans="2:12">
      <c r="B1181" s="2" t="s">
        <v>2246</v>
      </c>
      <c r="C1181" s="7">
        <v>45967</v>
      </c>
      <c r="D1181" s="2" t="s">
        <v>338</v>
      </c>
      <c r="E1181" s="4">
        <v>1</v>
      </c>
      <c r="F1181" s="8" t="str">
        <f>_xlfn.XLOOKUP(D1181,Master[Product_Code],Master[Category])</f>
        <v>Shirt</v>
      </c>
      <c r="G1181" s="8" t="str">
        <f>_xlfn.XLOOKUP(D1181,Master[Product_Code],Master[Brand])</f>
        <v>Luke &amp; Burg</v>
      </c>
      <c r="H1181" s="8" t="str">
        <f>_xlfn.XLOOKUP(D1181,Master[Product_Code],Master[Style])</f>
        <v>Formal</v>
      </c>
      <c r="I1181" s="8" t="str">
        <f>_xlfn.XLOOKUP(D1181,Master[Product_Code],Master[Fabric])</f>
        <v>Lycra</v>
      </c>
      <c r="J1181" s="8" t="str">
        <f>_xlfn.XLOOKUP(D1181,Master[Product_Code],Master[Size])</f>
        <v>L</v>
      </c>
      <c r="K1181" s="8" t="str">
        <f>_xlfn.XLOOKUP(D1181,Master[Product_Code],Master[Color])</f>
        <v>Light Grey</v>
      </c>
      <c r="L1181" s="3">
        <f>_xlfn.XLOOKUP(D1181,Master[Product_Code],Master[Selling_Price])</f>
        <v>770</v>
      </c>
    </row>
    <row r="1182" spans="2:12">
      <c r="B1182" s="2" t="s">
        <v>2246</v>
      </c>
      <c r="C1182" s="7">
        <v>45967</v>
      </c>
      <c r="D1182" s="2" t="s">
        <v>1651</v>
      </c>
      <c r="E1182" s="4">
        <v>1</v>
      </c>
      <c r="F1182" s="8" t="str">
        <f>_xlfn.XLOOKUP(D1182,Master[Product_Code],Master[Category])</f>
        <v>Innerwear</v>
      </c>
      <c r="G1182" s="8" t="str">
        <f>_xlfn.XLOOKUP(D1182,Master[Product_Code],Master[Brand])</f>
        <v>Dollar</v>
      </c>
      <c r="H1182" s="8" t="str">
        <f>_xlfn.XLOOKUP(D1182,Master[Product_Code],Master[Style])</f>
        <v>V-Cut</v>
      </c>
      <c r="I1182" s="8" t="str">
        <f>_xlfn.XLOOKUP(D1182,Master[Product_Code],Master[Fabric])</f>
        <v>Cotton Blend</v>
      </c>
      <c r="J1182" s="8" t="str">
        <f>_xlfn.XLOOKUP(D1182,Master[Product_Code],Master[Size])</f>
        <v>75-80</v>
      </c>
      <c r="K1182" s="8" t="str">
        <f>_xlfn.XLOOKUP(D1182,Master[Product_Code],Master[Color])</f>
        <v>Dark Green</v>
      </c>
      <c r="L1182" s="3">
        <f>_xlfn.XLOOKUP(D1182,Master[Product_Code],Master[Selling_Price])</f>
        <v>140</v>
      </c>
    </row>
    <row r="1183" spans="2:12">
      <c r="B1183" s="2" t="s">
        <v>2246</v>
      </c>
      <c r="C1183" s="7">
        <v>45967</v>
      </c>
      <c r="D1183" s="2" t="s">
        <v>779</v>
      </c>
      <c r="E1183" s="4">
        <v>1</v>
      </c>
      <c r="F1183" s="8" t="str">
        <f>_xlfn.XLOOKUP(D1183,Master[Product_Code],Master[Category])</f>
        <v>T-Shirt</v>
      </c>
      <c r="G1183" s="8" t="str">
        <f>_xlfn.XLOOKUP(D1183,Master[Product_Code],Master[Brand])</f>
        <v>Campus</v>
      </c>
      <c r="H1183" s="8" t="str">
        <f>_xlfn.XLOOKUP(D1183,Master[Product_Code],Master[Style])</f>
        <v>Hoodie</v>
      </c>
      <c r="I1183" s="8" t="str">
        <f>_xlfn.XLOOKUP(D1183,Master[Product_Code],Master[Fabric])</f>
        <v>Cotton Blend</v>
      </c>
      <c r="J1183" s="8" t="str">
        <f>_xlfn.XLOOKUP(D1183,Master[Product_Code],Master[Size])</f>
        <v>M</v>
      </c>
      <c r="K1183" s="8" t="str">
        <f>_xlfn.XLOOKUP(D1183,Master[Product_Code],Master[Color])</f>
        <v>Mustard</v>
      </c>
      <c r="L1183" s="3">
        <f>_xlfn.XLOOKUP(D1183,Master[Product_Code],Master[Selling_Price])</f>
        <v>660</v>
      </c>
    </row>
    <row r="1184" spans="2:12">
      <c r="B1184" s="2" t="s">
        <v>2247</v>
      </c>
      <c r="C1184" s="7">
        <v>45968</v>
      </c>
      <c r="D1184" s="2" t="s">
        <v>60</v>
      </c>
      <c r="E1184" s="4">
        <v>1</v>
      </c>
      <c r="F1184" s="8" t="str">
        <f>_xlfn.XLOOKUP(D1184,Master[Product_Code],Master[Category])</f>
        <v>Shirt</v>
      </c>
      <c r="G1184" s="8" t="str">
        <f>_xlfn.XLOOKUP(D1184,Master[Product_Code],Master[Brand])</f>
        <v>Thailand</v>
      </c>
      <c r="H1184" s="8" t="str">
        <f>_xlfn.XLOOKUP(D1184,Master[Product_Code],Master[Style])</f>
        <v>Partywear</v>
      </c>
      <c r="I1184" s="8" t="str">
        <f>_xlfn.XLOOKUP(D1184,Master[Product_Code],Master[Fabric])</f>
        <v>Cotton</v>
      </c>
      <c r="J1184" s="8" t="str">
        <f>_xlfn.XLOOKUP(D1184,Master[Product_Code],Master[Size])</f>
        <v>S</v>
      </c>
      <c r="K1184" s="8" t="str">
        <f>_xlfn.XLOOKUP(D1184,Master[Product_Code],Master[Color])</f>
        <v>Dark Green</v>
      </c>
      <c r="L1184" s="3">
        <f>_xlfn.XLOOKUP(D1184,Master[Product_Code],Master[Selling_Price])</f>
        <v>820</v>
      </c>
    </row>
    <row r="1185" spans="2:12">
      <c r="B1185" s="2" t="s">
        <v>2247</v>
      </c>
      <c r="C1185" s="7">
        <v>45968</v>
      </c>
      <c r="D1185" s="2" t="s">
        <v>1465</v>
      </c>
      <c r="E1185" s="4">
        <v>1</v>
      </c>
      <c r="F1185" s="8" t="str">
        <f>_xlfn.XLOOKUP(D1185,Master[Product_Code],Master[Category])</f>
        <v>Innerwear</v>
      </c>
      <c r="G1185" s="8" t="str">
        <f>_xlfn.XLOOKUP(D1185,Master[Product_Code],Master[Brand])</f>
        <v>Lux</v>
      </c>
      <c r="H1185" s="8" t="str">
        <f>_xlfn.XLOOKUP(D1185,Master[Product_Code],Master[Style])</f>
        <v>Boxer</v>
      </c>
      <c r="I1185" s="8" t="str">
        <f>_xlfn.XLOOKUP(D1185,Master[Product_Code],Master[Fabric])</f>
        <v>Cotton Blend</v>
      </c>
      <c r="J1185" s="8" t="str">
        <f>_xlfn.XLOOKUP(D1185,Master[Product_Code],Master[Size])</f>
        <v>105-110</v>
      </c>
      <c r="K1185" s="8" t="str">
        <f>_xlfn.XLOOKUP(D1185,Master[Product_Code],Master[Color])</f>
        <v>Brown</v>
      </c>
      <c r="L1185" s="3">
        <f>_xlfn.XLOOKUP(D1185,Master[Product_Code],Master[Selling_Price])</f>
        <v>180</v>
      </c>
    </row>
    <row r="1186" spans="2:12">
      <c r="B1186" s="2" t="s">
        <v>2247</v>
      </c>
      <c r="C1186" s="7">
        <v>45968</v>
      </c>
      <c r="D1186" s="2" t="s">
        <v>1221</v>
      </c>
      <c r="E1186" s="4">
        <v>1</v>
      </c>
      <c r="F1186" s="8" t="str">
        <f>_xlfn.XLOOKUP(D1186,Master[Product_Code],Master[Category])</f>
        <v>Pants</v>
      </c>
      <c r="G1186" s="8" t="str">
        <f>_xlfn.XLOOKUP(D1186,Master[Product_Code],Master[Brand])</f>
        <v>Raymond</v>
      </c>
      <c r="H1186" s="8" t="str">
        <f>_xlfn.XLOOKUP(D1186,Master[Product_Code],Master[Style])</f>
        <v>Boot Cut</v>
      </c>
      <c r="I1186" s="8" t="str">
        <f>_xlfn.XLOOKUP(D1186,Master[Product_Code],Master[Fabric])</f>
        <v>Cotton Blend</v>
      </c>
      <c r="J1186" s="8">
        <f>_xlfn.XLOOKUP(D1186,Master[Product_Code],Master[Size])</f>
        <v>28</v>
      </c>
      <c r="K1186" s="8" t="str">
        <f>_xlfn.XLOOKUP(D1186,Master[Product_Code],Master[Color])</f>
        <v>Mustard</v>
      </c>
      <c r="L1186" s="3">
        <f>_xlfn.XLOOKUP(D1186,Master[Product_Code],Master[Selling_Price])</f>
        <v>800</v>
      </c>
    </row>
    <row r="1187" spans="2:12">
      <c r="B1187" s="2" t="s">
        <v>2247</v>
      </c>
      <c r="C1187" s="7">
        <v>45968</v>
      </c>
      <c r="D1187" s="2" t="s">
        <v>1170</v>
      </c>
      <c r="E1187" s="4">
        <v>1</v>
      </c>
      <c r="F1187" s="8" t="str">
        <f>_xlfn.XLOOKUP(D1187,Master[Product_Code],Master[Category])</f>
        <v>Pants</v>
      </c>
      <c r="G1187" s="8" t="str">
        <f>_xlfn.XLOOKUP(D1187,Master[Product_Code],Master[Brand])</f>
        <v>Van Heusen</v>
      </c>
      <c r="H1187" s="8" t="str">
        <f>_xlfn.XLOOKUP(D1187,Master[Product_Code],Master[Style])</f>
        <v>Jogger</v>
      </c>
      <c r="I1187" s="8" t="str">
        <f>_xlfn.XLOOKUP(D1187,Master[Product_Code],Master[Fabric])</f>
        <v>Poly Viscose</v>
      </c>
      <c r="J1187" s="8">
        <f>_xlfn.XLOOKUP(D1187,Master[Product_Code],Master[Size])</f>
        <v>40</v>
      </c>
      <c r="K1187" s="8" t="str">
        <f>_xlfn.XLOOKUP(D1187,Master[Product_Code],Master[Color])</f>
        <v>Beige</v>
      </c>
      <c r="L1187" s="3">
        <f>_xlfn.XLOOKUP(D1187,Master[Product_Code],Master[Selling_Price])</f>
        <v>910</v>
      </c>
    </row>
    <row r="1188" spans="2:12">
      <c r="B1188" s="2" t="s">
        <v>2248</v>
      </c>
      <c r="C1188" s="7">
        <v>45968</v>
      </c>
      <c r="D1188" s="2" t="s">
        <v>248</v>
      </c>
      <c r="E1188" s="4">
        <v>1</v>
      </c>
      <c r="F1188" s="8" t="str">
        <f>_xlfn.XLOOKUP(D1188,Master[Product_Code],Master[Category])</f>
        <v>Shirt</v>
      </c>
      <c r="G1188" s="8" t="str">
        <f>_xlfn.XLOOKUP(D1188,Master[Product_Code],Master[Brand])</f>
        <v>Zara</v>
      </c>
      <c r="H1188" s="8" t="str">
        <f>_xlfn.XLOOKUP(D1188,Master[Product_Code],Master[Style])</f>
        <v>Formal</v>
      </c>
      <c r="I1188" s="8" t="str">
        <f>_xlfn.XLOOKUP(D1188,Master[Product_Code],Master[Fabric])</f>
        <v>Lycra</v>
      </c>
      <c r="J1188" s="8" t="str">
        <f>_xlfn.XLOOKUP(D1188,Master[Product_Code],Master[Size])</f>
        <v>XL</v>
      </c>
      <c r="K1188" s="8" t="str">
        <f>_xlfn.XLOOKUP(D1188,Master[Product_Code],Master[Color])</f>
        <v>Bottle Green</v>
      </c>
      <c r="L1188" s="3">
        <f>_xlfn.XLOOKUP(D1188,Master[Product_Code],Master[Selling_Price])</f>
        <v>680</v>
      </c>
    </row>
    <row r="1189" spans="2:12">
      <c r="B1189" s="2" t="s">
        <v>2249</v>
      </c>
      <c r="C1189" s="7">
        <v>45968</v>
      </c>
      <c r="D1189" s="2" t="s">
        <v>1501</v>
      </c>
      <c r="E1189" s="4">
        <v>1</v>
      </c>
      <c r="F1189" s="8" t="str">
        <f>_xlfn.XLOOKUP(D1189,Master[Product_Code],Master[Category])</f>
        <v>Innerwear</v>
      </c>
      <c r="G1189" s="8" t="str">
        <f>_xlfn.XLOOKUP(D1189,Master[Product_Code],Master[Brand])</f>
        <v>Lux</v>
      </c>
      <c r="H1189" s="8" t="str">
        <f>_xlfn.XLOOKUP(D1189,Master[Product_Code],Master[Style])</f>
        <v>Boxer</v>
      </c>
      <c r="I1189" s="8" t="str">
        <f>_xlfn.XLOOKUP(D1189,Master[Product_Code],Master[Fabric])</f>
        <v>Cotton Blend</v>
      </c>
      <c r="J1189" s="8" t="str">
        <f>_xlfn.XLOOKUP(D1189,Master[Product_Code],Master[Size])</f>
        <v>75-80</v>
      </c>
      <c r="K1189" s="8" t="str">
        <f>_xlfn.XLOOKUP(D1189,Master[Product_Code],Master[Color])</f>
        <v>Navy Blue</v>
      </c>
      <c r="L1189" s="3">
        <f>_xlfn.XLOOKUP(D1189,Master[Product_Code],Master[Selling_Price])</f>
        <v>140</v>
      </c>
    </row>
    <row r="1190" spans="2:12">
      <c r="B1190" s="2" t="s">
        <v>2249</v>
      </c>
      <c r="C1190" s="7">
        <v>45968</v>
      </c>
      <c r="D1190" s="2" t="s">
        <v>1675</v>
      </c>
      <c r="E1190" s="4">
        <v>1</v>
      </c>
      <c r="F1190" s="8" t="str">
        <f>_xlfn.XLOOKUP(D1190,Master[Product_Code],Master[Category])</f>
        <v>Innerwear</v>
      </c>
      <c r="G1190" s="8" t="str">
        <f>_xlfn.XLOOKUP(D1190,Master[Product_Code],Master[Brand])</f>
        <v>V Star</v>
      </c>
      <c r="H1190" s="8" t="str">
        <f>_xlfn.XLOOKUP(D1190,Master[Product_Code],Master[Style])</f>
        <v>Boxer</v>
      </c>
      <c r="I1190" s="8" t="str">
        <f>_xlfn.XLOOKUP(D1190,Master[Product_Code],Master[Fabric])</f>
        <v>Cotton Blend</v>
      </c>
      <c r="J1190" s="8" t="str">
        <f>_xlfn.XLOOKUP(D1190,Master[Product_Code],Master[Size])</f>
        <v>100-105</v>
      </c>
      <c r="K1190" s="8" t="str">
        <f>_xlfn.XLOOKUP(D1190,Master[Product_Code],Master[Color])</f>
        <v>Dark Green</v>
      </c>
      <c r="L1190" s="3">
        <f>_xlfn.XLOOKUP(D1190,Master[Product_Code],Master[Selling_Price])</f>
        <v>170</v>
      </c>
    </row>
    <row r="1191" spans="2:12">
      <c r="B1191" s="2" t="s">
        <v>2249</v>
      </c>
      <c r="C1191" s="7">
        <v>45968</v>
      </c>
      <c r="D1191" s="2" t="s">
        <v>1353</v>
      </c>
      <c r="E1191" s="4">
        <v>1</v>
      </c>
      <c r="F1191" s="8" t="str">
        <f>_xlfn.XLOOKUP(D1191,Master[Product_Code],Master[Category])</f>
        <v>Pants</v>
      </c>
      <c r="G1191" s="8" t="str">
        <f>_xlfn.XLOOKUP(D1191,Master[Product_Code],Master[Brand])</f>
        <v>Peter England</v>
      </c>
      <c r="H1191" s="8" t="str">
        <f>_xlfn.XLOOKUP(D1191,Master[Product_Code],Master[Style])</f>
        <v>Jogger</v>
      </c>
      <c r="I1191" s="8" t="str">
        <f>_xlfn.XLOOKUP(D1191,Master[Product_Code],Master[Fabric])</f>
        <v>Poly Viscose</v>
      </c>
      <c r="J1191" s="8">
        <f>_xlfn.XLOOKUP(D1191,Master[Product_Code],Master[Size])</f>
        <v>30</v>
      </c>
      <c r="K1191" s="8" t="str">
        <f>_xlfn.XLOOKUP(D1191,Master[Product_Code],Master[Color])</f>
        <v>Royal Blue</v>
      </c>
      <c r="L1191" s="3">
        <f>_xlfn.XLOOKUP(D1191,Master[Product_Code],Master[Selling_Price])</f>
        <v>710</v>
      </c>
    </row>
    <row r="1192" spans="2:12">
      <c r="B1192" s="2" t="s">
        <v>2250</v>
      </c>
      <c r="C1192" s="7">
        <v>45968</v>
      </c>
      <c r="D1192" s="2" t="s">
        <v>356</v>
      </c>
      <c r="E1192" s="4">
        <v>1</v>
      </c>
      <c r="F1192" s="8" t="str">
        <f>_xlfn.XLOOKUP(D1192,Master[Product_Code],Master[Category])</f>
        <v>Shirt</v>
      </c>
      <c r="G1192" s="8" t="str">
        <f>_xlfn.XLOOKUP(D1192,Master[Product_Code],Master[Brand])</f>
        <v>British</v>
      </c>
      <c r="H1192" s="8" t="str">
        <f>_xlfn.XLOOKUP(D1192,Master[Product_Code],Master[Style])</f>
        <v>Partywear</v>
      </c>
      <c r="I1192" s="8" t="str">
        <f>_xlfn.XLOOKUP(D1192,Master[Product_Code],Master[Fabric])</f>
        <v>Polyester</v>
      </c>
      <c r="J1192" s="8" t="str">
        <f>_xlfn.XLOOKUP(D1192,Master[Product_Code],Master[Size])</f>
        <v>XXL</v>
      </c>
      <c r="K1192" s="8" t="str">
        <f>_xlfn.XLOOKUP(D1192,Master[Product_Code],Master[Color])</f>
        <v>Rust</v>
      </c>
      <c r="L1192" s="3">
        <f>_xlfn.XLOOKUP(D1192,Master[Product_Code],Master[Selling_Price])</f>
        <v>830</v>
      </c>
    </row>
    <row r="1193" spans="2:12">
      <c r="B1193" s="2" t="s">
        <v>2250</v>
      </c>
      <c r="C1193" s="7">
        <v>45968</v>
      </c>
      <c r="D1193" s="2" t="s">
        <v>1742</v>
      </c>
      <c r="E1193" s="4">
        <v>1</v>
      </c>
      <c r="F1193" s="8" t="str">
        <f>_xlfn.XLOOKUP(D1193,Master[Product_Code],Master[Category])</f>
        <v>Innerwear</v>
      </c>
      <c r="G1193" s="8" t="str">
        <f>_xlfn.XLOOKUP(D1193,Master[Product_Code],Master[Brand])</f>
        <v>Lux</v>
      </c>
      <c r="H1193" s="8" t="str">
        <f>_xlfn.XLOOKUP(D1193,Master[Product_Code],Master[Style])</f>
        <v>Boxer</v>
      </c>
      <c r="I1193" s="8" t="str">
        <f>_xlfn.XLOOKUP(D1193,Master[Product_Code],Master[Fabric])</f>
        <v>Cotton Blend</v>
      </c>
      <c r="J1193" s="8" t="str">
        <f>_xlfn.XLOOKUP(D1193,Master[Product_Code],Master[Size])</f>
        <v>100-105</v>
      </c>
      <c r="K1193" s="8" t="str">
        <f>_xlfn.XLOOKUP(D1193,Master[Product_Code],Master[Color])</f>
        <v>Olive</v>
      </c>
      <c r="L1193" s="3">
        <f>_xlfn.XLOOKUP(D1193,Master[Product_Code],Master[Selling_Price])</f>
        <v>190</v>
      </c>
    </row>
    <row r="1194" spans="2:12">
      <c r="B1194" s="2" t="s">
        <v>2251</v>
      </c>
      <c r="C1194" s="7">
        <v>45968</v>
      </c>
      <c r="D1194" s="2" t="s">
        <v>114</v>
      </c>
      <c r="E1194" s="4">
        <v>1</v>
      </c>
      <c r="F1194" s="8" t="str">
        <f>_xlfn.XLOOKUP(D1194,Master[Product_Code],Master[Category])</f>
        <v>Shirt</v>
      </c>
      <c r="G1194" s="8" t="str">
        <f>_xlfn.XLOOKUP(D1194,Master[Product_Code],Master[Brand])</f>
        <v>H&amp;M</v>
      </c>
      <c r="H1194" s="8" t="str">
        <f>_xlfn.XLOOKUP(D1194,Master[Product_Code],Master[Style])</f>
        <v>Casual</v>
      </c>
      <c r="I1194" s="8" t="str">
        <f>_xlfn.XLOOKUP(D1194,Master[Product_Code],Master[Fabric])</f>
        <v>Cotton Blend</v>
      </c>
      <c r="J1194" s="8" t="str">
        <f>_xlfn.XLOOKUP(D1194,Master[Product_Code],Master[Size])</f>
        <v>S</v>
      </c>
      <c r="K1194" s="8" t="str">
        <f>_xlfn.XLOOKUP(D1194,Master[Product_Code],Master[Color])</f>
        <v>Sky Blue</v>
      </c>
      <c r="L1194" s="3">
        <f>_xlfn.XLOOKUP(D1194,Master[Product_Code],Master[Selling_Price])</f>
        <v>750</v>
      </c>
    </row>
    <row r="1195" spans="2:12">
      <c r="B1195" s="2" t="s">
        <v>2252</v>
      </c>
      <c r="C1195" s="7">
        <v>45968</v>
      </c>
      <c r="D1195" s="2" t="s">
        <v>1136</v>
      </c>
      <c r="E1195" s="4">
        <v>1</v>
      </c>
      <c r="F1195" s="8" t="str">
        <f>_xlfn.XLOOKUP(D1195,Master[Product_Code],Master[Category])</f>
        <v>Jeans</v>
      </c>
      <c r="G1195" s="8" t="str">
        <f>_xlfn.XLOOKUP(D1195,Master[Product_Code],Master[Brand])</f>
        <v>Denim Pro</v>
      </c>
      <c r="H1195" s="8" t="str">
        <f>_xlfn.XLOOKUP(D1195,Master[Product_Code],Master[Style])</f>
        <v>Jogger</v>
      </c>
      <c r="I1195" s="8" t="str">
        <f>_xlfn.XLOOKUP(D1195,Master[Product_Code],Master[Fabric])</f>
        <v>Denim</v>
      </c>
      <c r="J1195" s="8">
        <f>_xlfn.XLOOKUP(D1195,Master[Product_Code],Master[Size])</f>
        <v>32</v>
      </c>
      <c r="K1195" s="8" t="str">
        <f>_xlfn.XLOOKUP(D1195,Master[Product_Code],Master[Color])</f>
        <v>Charcoal</v>
      </c>
      <c r="L1195" s="3">
        <f>_xlfn.XLOOKUP(D1195,Master[Product_Code],Master[Selling_Price])</f>
        <v>830</v>
      </c>
    </row>
    <row r="1196" spans="2:12">
      <c r="B1196" s="2" t="s">
        <v>2252</v>
      </c>
      <c r="C1196" s="7">
        <v>45968</v>
      </c>
      <c r="D1196" s="2" t="s">
        <v>1226</v>
      </c>
      <c r="E1196" s="4">
        <v>1</v>
      </c>
      <c r="F1196" s="8" t="str">
        <f>_xlfn.XLOOKUP(D1196,Master[Product_Code],Master[Category])</f>
        <v>Pants</v>
      </c>
      <c r="G1196" s="8" t="str">
        <f>_xlfn.XLOOKUP(D1196,Master[Product_Code],Master[Brand])</f>
        <v>Park Avenue</v>
      </c>
      <c r="H1196" s="8" t="str">
        <f>_xlfn.XLOOKUP(D1196,Master[Product_Code],Master[Style])</f>
        <v>Polofit</v>
      </c>
      <c r="I1196" s="8" t="str">
        <f>_xlfn.XLOOKUP(D1196,Master[Product_Code],Master[Fabric])</f>
        <v>Lycra</v>
      </c>
      <c r="J1196" s="8">
        <f>_xlfn.XLOOKUP(D1196,Master[Product_Code],Master[Size])</f>
        <v>30</v>
      </c>
      <c r="K1196" s="8" t="str">
        <f>_xlfn.XLOOKUP(D1196,Master[Product_Code],Master[Color])</f>
        <v>Light Grey</v>
      </c>
      <c r="L1196" s="3">
        <f>_xlfn.XLOOKUP(D1196,Master[Product_Code],Master[Selling_Price])</f>
        <v>780</v>
      </c>
    </row>
    <row r="1197" spans="2:12">
      <c r="B1197" s="2" t="s">
        <v>2253</v>
      </c>
      <c r="C1197" s="7">
        <v>45968</v>
      </c>
      <c r="D1197" s="2" t="s">
        <v>314</v>
      </c>
      <c r="E1197" s="4">
        <v>1</v>
      </c>
      <c r="F1197" s="8" t="str">
        <f>_xlfn.XLOOKUP(D1197,Master[Product_Code],Master[Category])</f>
        <v>Shirt</v>
      </c>
      <c r="G1197" s="8" t="str">
        <f>_xlfn.XLOOKUP(D1197,Master[Product_Code],Master[Brand])</f>
        <v>Max</v>
      </c>
      <c r="H1197" s="8" t="str">
        <f>_xlfn.XLOOKUP(D1197,Master[Product_Code],Master[Style])</f>
        <v>Casual</v>
      </c>
      <c r="I1197" s="8" t="str">
        <f>_xlfn.XLOOKUP(D1197,Master[Product_Code],Master[Fabric])</f>
        <v>Cotton Blend</v>
      </c>
      <c r="J1197" s="8" t="str">
        <f>_xlfn.XLOOKUP(D1197,Master[Product_Code],Master[Size])</f>
        <v>XL</v>
      </c>
      <c r="K1197" s="8" t="str">
        <f>_xlfn.XLOOKUP(D1197,Master[Product_Code],Master[Color])</f>
        <v>Navy Blue</v>
      </c>
      <c r="L1197" s="3">
        <f>_xlfn.XLOOKUP(D1197,Master[Product_Code],Master[Selling_Price])</f>
        <v>870</v>
      </c>
    </row>
    <row r="1198" spans="2:12">
      <c r="B1198" s="2" t="s">
        <v>2253</v>
      </c>
      <c r="C1198" s="7">
        <v>45968</v>
      </c>
      <c r="D1198" s="2" t="s">
        <v>1491</v>
      </c>
      <c r="E1198" s="4">
        <v>1</v>
      </c>
      <c r="F1198" s="8" t="str">
        <f>_xlfn.XLOOKUP(D1198,Master[Product_Code],Master[Category])</f>
        <v>Innerwear</v>
      </c>
      <c r="G1198" s="8" t="str">
        <f>_xlfn.XLOOKUP(D1198,Master[Product_Code],Master[Brand])</f>
        <v>Rupa</v>
      </c>
      <c r="H1198" s="8" t="str">
        <f>_xlfn.XLOOKUP(D1198,Master[Product_Code],Master[Style])</f>
        <v>Boxer</v>
      </c>
      <c r="I1198" s="8" t="str">
        <f>_xlfn.XLOOKUP(D1198,Master[Product_Code],Master[Fabric])</f>
        <v>Cotton</v>
      </c>
      <c r="J1198" s="8" t="str">
        <f>_xlfn.XLOOKUP(D1198,Master[Product_Code],Master[Size])</f>
        <v>100-105</v>
      </c>
      <c r="K1198" s="8" t="str">
        <f>_xlfn.XLOOKUP(D1198,Master[Product_Code],Master[Color])</f>
        <v>Rust</v>
      </c>
      <c r="L1198" s="3">
        <f>_xlfn.XLOOKUP(D1198,Master[Product_Code],Master[Selling_Price])</f>
        <v>110</v>
      </c>
    </row>
    <row r="1199" spans="2:12">
      <c r="B1199" s="2" t="s">
        <v>2253</v>
      </c>
      <c r="C1199" s="7">
        <v>45968</v>
      </c>
      <c r="D1199" s="2" t="s">
        <v>639</v>
      </c>
      <c r="E1199" s="4">
        <v>1</v>
      </c>
      <c r="F1199" s="8" t="str">
        <f>_xlfn.XLOOKUP(D1199,Master[Product_Code],Master[Category])</f>
        <v>T-Shirt</v>
      </c>
      <c r="G1199" s="8" t="str">
        <f>_xlfn.XLOOKUP(D1199,Master[Product_Code],Master[Brand])</f>
        <v>Zara</v>
      </c>
      <c r="H1199" s="8" t="str">
        <f>_xlfn.XLOOKUP(D1199,Master[Product_Code],Master[Style])</f>
        <v>Half Sleeve</v>
      </c>
      <c r="I1199" s="8" t="str">
        <f>_xlfn.XLOOKUP(D1199,Master[Product_Code],Master[Fabric])</f>
        <v>Poly Cotton</v>
      </c>
      <c r="J1199" s="8" t="str">
        <f>_xlfn.XLOOKUP(D1199,Master[Product_Code],Master[Size])</f>
        <v>L</v>
      </c>
      <c r="K1199" s="8" t="str">
        <f>_xlfn.XLOOKUP(D1199,Master[Product_Code],Master[Color])</f>
        <v>Dark Green</v>
      </c>
      <c r="L1199" s="3">
        <f>_xlfn.XLOOKUP(D1199,Master[Product_Code],Master[Selling_Price])</f>
        <v>630</v>
      </c>
    </row>
    <row r="1200" spans="2:12">
      <c r="B1200" s="2" t="s">
        <v>2254</v>
      </c>
      <c r="C1200" s="7">
        <v>45968</v>
      </c>
      <c r="D1200" s="2" t="s">
        <v>951</v>
      </c>
      <c r="E1200" s="4">
        <v>1</v>
      </c>
      <c r="F1200" s="8" t="str">
        <f>_xlfn.XLOOKUP(D1200,Master[Product_Code],Master[Category])</f>
        <v>Jeans</v>
      </c>
      <c r="G1200" s="8" t="str">
        <f>_xlfn.XLOOKUP(D1200,Master[Product_Code],Master[Brand])</f>
        <v>Levis</v>
      </c>
      <c r="H1200" s="8" t="str">
        <f>_xlfn.XLOOKUP(D1200,Master[Product_Code],Master[Style])</f>
        <v>Mom Fit</v>
      </c>
      <c r="I1200" s="8" t="str">
        <f>_xlfn.XLOOKUP(D1200,Master[Product_Code],Master[Fabric])</f>
        <v>Denim</v>
      </c>
      <c r="J1200" s="8">
        <f>_xlfn.XLOOKUP(D1200,Master[Product_Code],Master[Size])</f>
        <v>38</v>
      </c>
      <c r="K1200" s="8" t="str">
        <f>_xlfn.XLOOKUP(D1200,Master[Product_Code],Master[Color])</f>
        <v>Rust</v>
      </c>
      <c r="L1200" s="3">
        <f>_xlfn.XLOOKUP(D1200,Master[Product_Code],Master[Selling_Price])</f>
        <v>920</v>
      </c>
    </row>
    <row r="1201" spans="2:12">
      <c r="B1201" s="2" t="s">
        <v>2255</v>
      </c>
      <c r="C1201" s="7">
        <v>45968</v>
      </c>
      <c r="D1201" s="2" t="s">
        <v>900</v>
      </c>
      <c r="E1201" s="4">
        <v>1</v>
      </c>
      <c r="F1201" s="8" t="str">
        <f>_xlfn.XLOOKUP(D1201,Master[Product_Code],Master[Category])</f>
        <v>Jeans</v>
      </c>
      <c r="G1201" s="8" t="str">
        <f>_xlfn.XLOOKUP(D1201,Master[Product_Code],Master[Brand])</f>
        <v>Denim Pro</v>
      </c>
      <c r="H1201" s="8" t="str">
        <f>_xlfn.XLOOKUP(D1201,Master[Product_Code],Master[Style])</f>
        <v>Mom Fit</v>
      </c>
      <c r="I1201" s="8" t="str">
        <f>_xlfn.XLOOKUP(D1201,Master[Product_Code],Master[Fabric])</f>
        <v>Denim</v>
      </c>
      <c r="J1201" s="8">
        <f>_xlfn.XLOOKUP(D1201,Master[Product_Code],Master[Size])</f>
        <v>30</v>
      </c>
      <c r="K1201" s="8" t="str">
        <f>_xlfn.XLOOKUP(D1201,Master[Product_Code],Master[Color])</f>
        <v>Light Grey</v>
      </c>
      <c r="L1201" s="3">
        <f>_xlfn.XLOOKUP(D1201,Master[Product_Code],Master[Selling_Price])</f>
        <v>970</v>
      </c>
    </row>
    <row r="1202" spans="2:12">
      <c r="B1202" s="2" t="s">
        <v>2256</v>
      </c>
      <c r="C1202" s="7">
        <v>45968</v>
      </c>
      <c r="D1202" s="2" t="s">
        <v>392</v>
      </c>
      <c r="E1202" s="4">
        <v>1</v>
      </c>
      <c r="F1202" s="8" t="str">
        <f>_xlfn.XLOOKUP(D1202,Master[Product_Code],Master[Category])</f>
        <v>Shirt</v>
      </c>
      <c r="G1202" s="8" t="str">
        <f>_xlfn.XLOOKUP(D1202,Master[Product_Code],Master[Brand])</f>
        <v>Luke &amp; Burg</v>
      </c>
      <c r="H1202" s="8" t="str">
        <f>_xlfn.XLOOKUP(D1202,Master[Product_Code],Master[Style])</f>
        <v>Formal</v>
      </c>
      <c r="I1202" s="8" t="str">
        <f>_xlfn.XLOOKUP(D1202,Master[Product_Code],Master[Fabric])</f>
        <v>Lycra</v>
      </c>
      <c r="J1202" s="8" t="str">
        <f>_xlfn.XLOOKUP(D1202,Master[Product_Code],Master[Size])</f>
        <v>XL</v>
      </c>
      <c r="K1202" s="8" t="str">
        <f>_xlfn.XLOOKUP(D1202,Master[Product_Code],Master[Color])</f>
        <v>Teal</v>
      </c>
      <c r="L1202" s="3">
        <f>_xlfn.XLOOKUP(D1202,Master[Product_Code],Master[Selling_Price])</f>
        <v>820</v>
      </c>
    </row>
    <row r="1203" spans="2:12">
      <c r="B1203" s="2" t="s">
        <v>2256</v>
      </c>
      <c r="C1203" s="7">
        <v>45968</v>
      </c>
      <c r="D1203" s="2" t="s">
        <v>1572</v>
      </c>
      <c r="E1203" s="4">
        <v>1</v>
      </c>
      <c r="F1203" s="8" t="str">
        <f>_xlfn.XLOOKUP(D1203,Master[Product_Code],Master[Category])</f>
        <v>Innerwear</v>
      </c>
      <c r="G1203" s="8" t="str">
        <f>_xlfn.XLOOKUP(D1203,Master[Product_Code],Master[Brand])</f>
        <v>Rupa</v>
      </c>
      <c r="H1203" s="8" t="str">
        <f>_xlfn.XLOOKUP(D1203,Master[Product_Code],Master[Style])</f>
        <v>Boxer</v>
      </c>
      <c r="I1203" s="8" t="str">
        <f>_xlfn.XLOOKUP(D1203,Master[Product_Code],Master[Fabric])</f>
        <v>Cotton</v>
      </c>
      <c r="J1203" s="8" t="str">
        <f>_xlfn.XLOOKUP(D1203,Master[Product_Code],Master[Size])</f>
        <v>75-80</v>
      </c>
      <c r="K1203" s="8" t="str">
        <f>_xlfn.XLOOKUP(D1203,Master[Product_Code],Master[Color])</f>
        <v>Sky Blue</v>
      </c>
      <c r="L1203" s="3">
        <f>_xlfn.XLOOKUP(D1203,Master[Product_Code],Master[Selling_Price])</f>
        <v>180</v>
      </c>
    </row>
    <row r="1204" spans="2:12">
      <c r="B1204" s="2" t="s">
        <v>2257</v>
      </c>
      <c r="C1204" s="7">
        <v>45968</v>
      </c>
      <c r="D1204" s="2" t="s">
        <v>539</v>
      </c>
      <c r="E1204" s="4">
        <v>1</v>
      </c>
      <c r="F1204" s="8" t="str">
        <f>_xlfn.XLOOKUP(D1204,Master[Product_Code],Master[Category])</f>
        <v>T-Shirt</v>
      </c>
      <c r="G1204" s="8" t="str">
        <f>_xlfn.XLOOKUP(D1204,Master[Product_Code],Master[Brand])</f>
        <v>Max</v>
      </c>
      <c r="H1204" s="8" t="str">
        <f>_xlfn.XLOOKUP(D1204,Master[Product_Code],Master[Style])</f>
        <v>Hoodie</v>
      </c>
      <c r="I1204" s="8" t="str">
        <f>_xlfn.XLOOKUP(D1204,Master[Product_Code],Master[Fabric])</f>
        <v>Cotton Blend</v>
      </c>
      <c r="J1204" s="8" t="str">
        <f>_xlfn.XLOOKUP(D1204,Master[Product_Code],Master[Size])</f>
        <v>S</v>
      </c>
      <c r="K1204" s="8" t="str">
        <f>_xlfn.XLOOKUP(D1204,Master[Product_Code],Master[Color])</f>
        <v>Peach</v>
      </c>
      <c r="L1204" s="3">
        <f>_xlfn.XLOOKUP(D1204,Master[Product_Code],Master[Selling_Price])</f>
        <v>560</v>
      </c>
    </row>
    <row r="1205" spans="2:12">
      <c r="B1205" s="2" t="s">
        <v>2257</v>
      </c>
      <c r="C1205" s="7">
        <v>45968</v>
      </c>
      <c r="D1205" s="2" t="s">
        <v>511</v>
      </c>
      <c r="E1205" s="4">
        <v>1</v>
      </c>
      <c r="F1205" s="8" t="str">
        <f>_xlfn.XLOOKUP(D1205,Master[Product_Code],Master[Category])</f>
        <v>T-Shirt</v>
      </c>
      <c r="G1205" s="8" t="str">
        <f>_xlfn.XLOOKUP(D1205,Master[Product_Code],Master[Brand])</f>
        <v>Campus</v>
      </c>
      <c r="H1205" s="8" t="str">
        <f>_xlfn.XLOOKUP(D1205,Master[Product_Code],Master[Style])</f>
        <v>Full Sleeve</v>
      </c>
      <c r="I1205" s="8" t="str">
        <f>_xlfn.XLOOKUP(D1205,Master[Product_Code],Master[Fabric])</f>
        <v>Poly Cotton</v>
      </c>
      <c r="J1205" s="8" t="str">
        <f>_xlfn.XLOOKUP(D1205,Master[Product_Code],Master[Size])</f>
        <v>L</v>
      </c>
      <c r="K1205" s="8" t="str">
        <f>_xlfn.XLOOKUP(D1205,Master[Product_Code],Master[Color])</f>
        <v>Olive</v>
      </c>
      <c r="L1205" s="3">
        <f>_xlfn.XLOOKUP(D1205,Master[Product_Code],Master[Selling_Price])</f>
        <v>350</v>
      </c>
    </row>
    <row r="1206" spans="2:12">
      <c r="B1206" s="2" t="s">
        <v>2257</v>
      </c>
      <c r="C1206" s="7">
        <v>45968</v>
      </c>
      <c r="D1206" s="2" t="s">
        <v>828</v>
      </c>
      <c r="E1206" s="4">
        <v>1</v>
      </c>
      <c r="F1206" s="8" t="str">
        <f>_xlfn.XLOOKUP(D1206,Master[Product_Code],Master[Category])</f>
        <v>T-Shirt</v>
      </c>
      <c r="G1206" s="8" t="str">
        <f>_xlfn.XLOOKUP(D1206,Master[Product_Code],Master[Brand])</f>
        <v>Turkey</v>
      </c>
      <c r="H1206" s="8" t="str">
        <f>_xlfn.XLOOKUP(D1206,Master[Product_Code],Master[Style])</f>
        <v>Full Sleeve</v>
      </c>
      <c r="I1206" s="8" t="str">
        <f>_xlfn.XLOOKUP(D1206,Master[Product_Code],Master[Fabric])</f>
        <v>Cotton Blend</v>
      </c>
      <c r="J1206" s="8" t="str">
        <f>_xlfn.XLOOKUP(D1206,Master[Product_Code],Master[Size])</f>
        <v>S</v>
      </c>
      <c r="K1206" s="8" t="str">
        <f>_xlfn.XLOOKUP(D1206,Master[Product_Code],Master[Color])</f>
        <v>Olive</v>
      </c>
      <c r="L1206" s="3">
        <f>_xlfn.XLOOKUP(D1206,Master[Product_Code],Master[Selling_Price])</f>
        <v>350</v>
      </c>
    </row>
    <row r="1207" spans="2:12">
      <c r="B1207" s="2" t="s">
        <v>2258</v>
      </c>
      <c r="C1207" s="7">
        <v>45968</v>
      </c>
      <c r="D1207" s="2" t="s">
        <v>1369</v>
      </c>
      <c r="E1207" s="4">
        <v>1</v>
      </c>
      <c r="F1207" s="8" t="str">
        <f>_xlfn.XLOOKUP(D1207,Master[Product_Code],Master[Category])</f>
        <v>Pants</v>
      </c>
      <c r="G1207" s="8" t="str">
        <f>_xlfn.XLOOKUP(D1207,Master[Product_Code],Master[Brand])</f>
        <v>Louis Philippe</v>
      </c>
      <c r="H1207" s="8" t="str">
        <f>_xlfn.XLOOKUP(D1207,Master[Product_Code],Master[Style])</f>
        <v>Polofit</v>
      </c>
      <c r="I1207" s="8" t="str">
        <f>_xlfn.XLOOKUP(D1207,Master[Product_Code],Master[Fabric])</f>
        <v>Lycra</v>
      </c>
      <c r="J1207" s="8">
        <f>_xlfn.XLOOKUP(D1207,Master[Product_Code],Master[Size])</f>
        <v>38</v>
      </c>
      <c r="K1207" s="8" t="str">
        <f>_xlfn.XLOOKUP(D1207,Master[Product_Code],Master[Color])</f>
        <v>Rust</v>
      </c>
      <c r="L1207" s="3">
        <f>_xlfn.XLOOKUP(D1207,Master[Product_Code],Master[Selling_Price])</f>
        <v>760</v>
      </c>
    </row>
    <row r="1208" spans="2:12">
      <c r="B1208" s="2" t="s">
        <v>2258</v>
      </c>
      <c r="C1208" s="7">
        <v>45968</v>
      </c>
      <c r="D1208" s="2" t="s">
        <v>1647</v>
      </c>
      <c r="E1208" s="4">
        <v>1</v>
      </c>
      <c r="F1208" s="8" t="str">
        <f>_xlfn.XLOOKUP(D1208,Master[Product_Code],Master[Category])</f>
        <v>Innerwear</v>
      </c>
      <c r="G1208" s="8" t="str">
        <f>_xlfn.XLOOKUP(D1208,Master[Product_Code],Master[Brand])</f>
        <v>Lux</v>
      </c>
      <c r="H1208" s="8" t="str">
        <f>_xlfn.XLOOKUP(D1208,Master[Product_Code],Master[Style])</f>
        <v>V-Cut</v>
      </c>
      <c r="I1208" s="8" t="str">
        <f>_xlfn.XLOOKUP(D1208,Master[Product_Code],Master[Fabric])</f>
        <v>Cotton Blend</v>
      </c>
      <c r="J1208" s="8" t="str">
        <f>_xlfn.XLOOKUP(D1208,Master[Product_Code],Master[Size])</f>
        <v>75-80</v>
      </c>
      <c r="K1208" s="8" t="str">
        <f>_xlfn.XLOOKUP(D1208,Master[Product_Code],Master[Color])</f>
        <v>Maroon</v>
      </c>
      <c r="L1208" s="3">
        <f>_xlfn.XLOOKUP(D1208,Master[Product_Code],Master[Selling_Price])</f>
        <v>140</v>
      </c>
    </row>
    <row r="1209" spans="2:12">
      <c r="B1209" s="2" t="s">
        <v>2258</v>
      </c>
      <c r="C1209" s="7">
        <v>45968</v>
      </c>
      <c r="D1209" s="2" t="s">
        <v>60</v>
      </c>
      <c r="E1209" s="4">
        <v>1</v>
      </c>
      <c r="F1209" s="8" t="str">
        <f>_xlfn.XLOOKUP(D1209,Master[Product_Code],Master[Category])</f>
        <v>Shirt</v>
      </c>
      <c r="G1209" s="8" t="str">
        <f>_xlfn.XLOOKUP(D1209,Master[Product_Code],Master[Brand])</f>
        <v>Thailand</v>
      </c>
      <c r="H1209" s="8" t="str">
        <f>_xlfn.XLOOKUP(D1209,Master[Product_Code],Master[Style])</f>
        <v>Partywear</v>
      </c>
      <c r="I1209" s="8" t="str">
        <f>_xlfn.XLOOKUP(D1209,Master[Product_Code],Master[Fabric])</f>
        <v>Cotton</v>
      </c>
      <c r="J1209" s="8" t="str">
        <f>_xlfn.XLOOKUP(D1209,Master[Product_Code],Master[Size])</f>
        <v>S</v>
      </c>
      <c r="K1209" s="8" t="str">
        <f>_xlfn.XLOOKUP(D1209,Master[Product_Code],Master[Color])</f>
        <v>Dark Green</v>
      </c>
      <c r="L1209" s="3">
        <f>_xlfn.XLOOKUP(D1209,Master[Product_Code],Master[Selling_Price])</f>
        <v>820</v>
      </c>
    </row>
    <row r="1210" spans="2:12">
      <c r="B1210" s="2" t="s">
        <v>2259</v>
      </c>
      <c r="C1210" s="7">
        <v>45968</v>
      </c>
      <c r="D1210" s="2" t="s">
        <v>563</v>
      </c>
      <c r="E1210" s="4">
        <v>1</v>
      </c>
      <c r="F1210" s="8" t="str">
        <f>_xlfn.XLOOKUP(D1210,Master[Product_Code],Master[Category])</f>
        <v>T-Shirt</v>
      </c>
      <c r="G1210" s="8" t="str">
        <f>_xlfn.XLOOKUP(D1210,Master[Product_Code],Master[Brand])</f>
        <v>Zara</v>
      </c>
      <c r="H1210" s="8" t="str">
        <f>_xlfn.XLOOKUP(D1210,Master[Product_Code],Master[Style])</f>
        <v>Full Sleeve</v>
      </c>
      <c r="I1210" s="8" t="str">
        <f>_xlfn.XLOOKUP(D1210,Master[Product_Code],Master[Fabric])</f>
        <v>Cotton</v>
      </c>
      <c r="J1210" s="8" t="str">
        <f>_xlfn.XLOOKUP(D1210,Master[Product_Code],Master[Size])</f>
        <v>S</v>
      </c>
      <c r="K1210" s="8" t="str">
        <f>_xlfn.XLOOKUP(D1210,Master[Product_Code],Master[Color])</f>
        <v>White</v>
      </c>
      <c r="L1210" s="3">
        <f>_xlfn.XLOOKUP(D1210,Master[Product_Code],Master[Selling_Price])</f>
        <v>540</v>
      </c>
    </row>
    <row r="1211" spans="2:12">
      <c r="B1211" s="2" t="s">
        <v>2259</v>
      </c>
      <c r="C1211" s="7">
        <v>45968</v>
      </c>
      <c r="D1211" s="2" t="s">
        <v>1049</v>
      </c>
      <c r="E1211" s="4">
        <v>1</v>
      </c>
      <c r="F1211" s="8" t="str">
        <f>_xlfn.XLOOKUP(D1211,Master[Product_Code],Master[Category])</f>
        <v>Jeans</v>
      </c>
      <c r="G1211" s="8" t="str">
        <f>_xlfn.XLOOKUP(D1211,Master[Product_Code],Master[Brand])</f>
        <v>Denim Pro</v>
      </c>
      <c r="H1211" s="8" t="str">
        <f>_xlfn.XLOOKUP(D1211,Master[Product_Code],Master[Style])</f>
        <v>Baggy</v>
      </c>
      <c r="I1211" s="8" t="str">
        <f>_xlfn.XLOOKUP(D1211,Master[Product_Code],Master[Fabric])</f>
        <v>Denim</v>
      </c>
      <c r="J1211" s="8">
        <f>_xlfn.XLOOKUP(D1211,Master[Product_Code],Master[Size])</f>
        <v>36</v>
      </c>
      <c r="K1211" s="8" t="str">
        <f>_xlfn.XLOOKUP(D1211,Master[Product_Code],Master[Color])</f>
        <v>Maroon</v>
      </c>
      <c r="L1211" s="3">
        <f>_xlfn.XLOOKUP(D1211,Master[Product_Code],Master[Selling_Price])</f>
        <v>1010</v>
      </c>
    </row>
    <row r="1212" spans="2:12">
      <c r="B1212" s="2" t="s">
        <v>2260</v>
      </c>
      <c r="C1212" s="7">
        <v>45968</v>
      </c>
      <c r="D1212" s="2" t="s">
        <v>1061</v>
      </c>
      <c r="E1212" s="4">
        <v>1</v>
      </c>
      <c r="F1212" s="8" t="str">
        <f>_xlfn.XLOOKUP(D1212,Master[Product_Code],Master[Category])</f>
        <v>Jeans</v>
      </c>
      <c r="G1212" s="8" t="str">
        <f>_xlfn.XLOOKUP(D1212,Master[Product_Code],Master[Brand])</f>
        <v>Denim Pro</v>
      </c>
      <c r="H1212" s="8" t="str">
        <f>_xlfn.XLOOKUP(D1212,Master[Product_Code],Master[Style])</f>
        <v>Baggy</v>
      </c>
      <c r="I1212" s="8" t="str">
        <f>_xlfn.XLOOKUP(D1212,Master[Product_Code],Master[Fabric])</f>
        <v>Denim</v>
      </c>
      <c r="J1212" s="8">
        <f>_xlfn.XLOOKUP(D1212,Master[Product_Code],Master[Size])</f>
        <v>32</v>
      </c>
      <c r="K1212" s="8" t="str">
        <f>_xlfn.XLOOKUP(D1212,Master[Product_Code],Master[Color])</f>
        <v>Navy Blue</v>
      </c>
      <c r="L1212" s="3">
        <f>_xlfn.XLOOKUP(D1212,Master[Product_Code],Master[Selling_Price])</f>
        <v>1020</v>
      </c>
    </row>
    <row r="1213" spans="2:12">
      <c r="B1213" s="2" t="s">
        <v>2261</v>
      </c>
      <c r="C1213" s="7">
        <v>45968</v>
      </c>
      <c r="D1213" s="2" t="s">
        <v>1416</v>
      </c>
      <c r="E1213" s="4">
        <v>1</v>
      </c>
      <c r="F1213" s="8" t="str">
        <f>_xlfn.XLOOKUP(D1213,Master[Product_Code],Master[Category])</f>
        <v>Pants</v>
      </c>
      <c r="G1213" s="8" t="str">
        <f>_xlfn.XLOOKUP(D1213,Master[Product_Code],Master[Brand])</f>
        <v>Louis Philippe</v>
      </c>
      <c r="H1213" s="8" t="str">
        <f>_xlfn.XLOOKUP(D1213,Master[Product_Code],Master[Style])</f>
        <v>Jogger</v>
      </c>
      <c r="I1213" s="8" t="str">
        <f>_xlfn.XLOOKUP(D1213,Master[Product_Code],Master[Fabric])</f>
        <v>Cotton Blend</v>
      </c>
      <c r="J1213" s="8">
        <f>_xlfn.XLOOKUP(D1213,Master[Product_Code],Master[Size])</f>
        <v>38</v>
      </c>
      <c r="K1213" s="8" t="str">
        <f>_xlfn.XLOOKUP(D1213,Master[Product_Code],Master[Color])</f>
        <v>Brown</v>
      </c>
      <c r="L1213" s="3">
        <f>_xlfn.XLOOKUP(D1213,Master[Product_Code],Master[Selling_Price])</f>
        <v>910</v>
      </c>
    </row>
    <row r="1214" spans="2:12">
      <c r="B1214" s="2" t="s">
        <v>2261</v>
      </c>
      <c r="C1214" s="7">
        <v>45968</v>
      </c>
      <c r="D1214" s="2" t="s">
        <v>944</v>
      </c>
      <c r="E1214" s="4">
        <v>1</v>
      </c>
      <c r="F1214" s="8" t="str">
        <f>_xlfn.XLOOKUP(D1214,Master[Product_Code],Master[Category])</f>
        <v>Jeans</v>
      </c>
      <c r="G1214" s="8" t="str">
        <f>_xlfn.XLOOKUP(D1214,Master[Product_Code],Master[Brand])</f>
        <v>Levis</v>
      </c>
      <c r="H1214" s="8" t="str">
        <f>_xlfn.XLOOKUP(D1214,Master[Product_Code],Master[Style])</f>
        <v>Jogger</v>
      </c>
      <c r="I1214" s="8" t="str">
        <f>_xlfn.XLOOKUP(D1214,Master[Product_Code],Master[Fabric])</f>
        <v>Denim</v>
      </c>
      <c r="J1214" s="8">
        <f>_xlfn.XLOOKUP(D1214,Master[Product_Code],Master[Size])</f>
        <v>32</v>
      </c>
      <c r="K1214" s="8" t="str">
        <f>_xlfn.XLOOKUP(D1214,Master[Product_Code],Master[Color])</f>
        <v>Grey</v>
      </c>
      <c r="L1214" s="3">
        <f>_xlfn.XLOOKUP(D1214,Master[Product_Code],Master[Selling_Price])</f>
        <v>880</v>
      </c>
    </row>
    <row r="1215" spans="2:12">
      <c r="B1215" s="2" t="s">
        <v>2261</v>
      </c>
      <c r="C1215" s="7">
        <v>45968</v>
      </c>
      <c r="D1215" s="2" t="s">
        <v>872</v>
      </c>
      <c r="E1215" s="4">
        <v>1</v>
      </c>
      <c r="F1215" s="8" t="str">
        <f>_xlfn.XLOOKUP(D1215,Master[Product_Code],Master[Category])</f>
        <v>Jeans</v>
      </c>
      <c r="G1215" s="8" t="str">
        <f>_xlfn.XLOOKUP(D1215,Master[Product_Code],Master[Brand])</f>
        <v>Spykar</v>
      </c>
      <c r="H1215" s="8" t="str">
        <f>_xlfn.XLOOKUP(D1215,Master[Product_Code],Master[Style])</f>
        <v>Baggy</v>
      </c>
      <c r="I1215" s="8" t="str">
        <f>_xlfn.XLOOKUP(D1215,Master[Product_Code],Master[Fabric])</f>
        <v>Denim</v>
      </c>
      <c r="J1215" s="8">
        <f>_xlfn.XLOOKUP(D1215,Master[Product_Code],Master[Size])</f>
        <v>28</v>
      </c>
      <c r="K1215" s="8" t="str">
        <f>_xlfn.XLOOKUP(D1215,Master[Product_Code],Master[Color])</f>
        <v>Sky Blue</v>
      </c>
      <c r="L1215" s="3">
        <f>_xlfn.XLOOKUP(D1215,Master[Product_Code],Master[Selling_Price])</f>
        <v>830</v>
      </c>
    </row>
    <row r="1216" spans="2:12">
      <c r="B1216" s="2" t="s">
        <v>2262</v>
      </c>
      <c r="C1216" s="7">
        <v>45968</v>
      </c>
      <c r="D1216" s="2" t="s">
        <v>468</v>
      </c>
      <c r="E1216" s="4">
        <v>1</v>
      </c>
      <c r="F1216" s="8" t="str">
        <f>_xlfn.XLOOKUP(D1216,Master[Product_Code],Master[Category])</f>
        <v>T-Shirt</v>
      </c>
      <c r="G1216" s="8" t="str">
        <f>_xlfn.XLOOKUP(D1216,Master[Product_Code],Master[Brand])</f>
        <v>Campus</v>
      </c>
      <c r="H1216" s="8" t="str">
        <f>_xlfn.XLOOKUP(D1216,Master[Product_Code],Master[Style])</f>
        <v>Sleeveless</v>
      </c>
      <c r="I1216" s="8" t="str">
        <f>_xlfn.XLOOKUP(D1216,Master[Product_Code],Master[Fabric])</f>
        <v>Cotton Blend</v>
      </c>
      <c r="J1216" s="8" t="str">
        <f>_xlfn.XLOOKUP(D1216,Master[Product_Code],Master[Size])</f>
        <v>XL</v>
      </c>
      <c r="K1216" s="8" t="str">
        <f>_xlfn.XLOOKUP(D1216,Master[Product_Code],Master[Color])</f>
        <v>Sky Blue</v>
      </c>
      <c r="L1216" s="3">
        <f>_xlfn.XLOOKUP(D1216,Master[Product_Code],Master[Selling_Price])</f>
        <v>610</v>
      </c>
    </row>
    <row r="1217" spans="2:12">
      <c r="B1217" s="2" t="s">
        <v>2262</v>
      </c>
      <c r="C1217" s="7">
        <v>45968</v>
      </c>
      <c r="D1217" s="2" t="s">
        <v>697</v>
      </c>
      <c r="E1217" s="4">
        <v>1</v>
      </c>
      <c r="F1217" s="8" t="str">
        <f>_xlfn.XLOOKUP(D1217,Master[Product_Code],Master[Category])</f>
        <v>T-Shirt</v>
      </c>
      <c r="G1217" s="8" t="str">
        <f>_xlfn.XLOOKUP(D1217,Master[Product_Code],Master[Brand])</f>
        <v>Campus</v>
      </c>
      <c r="H1217" s="8" t="str">
        <f>_xlfn.XLOOKUP(D1217,Master[Product_Code],Master[Style])</f>
        <v>Full Sleeve</v>
      </c>
      <c r="I1217" s="8" t="str">
        <f>_xlfn.XLOOKUP(D1217,Master[Product_Code],Master[Fabric])</f>
        <v>Cotton</v>
      </c>
      <c r="J1217" s="8" t="str">
        <f>_xlfn.XLOOKUP(D1217,Master[Product_Code],Master[Size])</f>
        <v>L</v>
      </c>
      <c r="K1217" s="8" t="str">
        <f>_xlfn.XLOOKUP(D1217,Master[Product_Code],Master[Color])</f>
        <v>Teal</v>
      </c>
      <c r="L1217" s="3">
        <f>_xlfn.XLOOKUP(D1217,Master[Product_Code],Master[Selling_Price])</f>
        <v>750</v>
      </c>
    </row>
    <row r="1218" spans="2:12">
      <c r="B1218" s="2" t="s">
        <v>2262</v>
      </c>
      <c r="C1218" s="7">
        <v>45968</v>
      </c>
      <c r="D1218" s="2" t="s">
        <v>1720</v>
      </c>
      <c r="E1218" s="4">
        <v>1</v>
      </c>
      <c r="F1218" s="8" t="str">
        <f>_xlfn.XLOOKUP(D1218,Master[Product_Code],Master[Category])</f>
        <v>Innerwear</v>
      </c>
      <c r="G1218" s="8" t="str">
        <f>_xlfn.XLOOKUP(D1218,Master[Product_Code],Master[Brand])</f>
        <v>Lux</v>
      </c>
      <c r="H1218" s="8" t="str">
        <f>_xlfn.XLOOKUP(D1218,Master[Product_Code],Master[Style])</f>
        <v>V-Cut</v>
      </c>
      <c r="I1218" s="8" t="str">
        <f>_xlfn.XLOOKUP(D1218,Master[Product_Code],Master[Fabric])</f>
        <v>Cotton Blend</v>
      </c>
      <c r="J1218" s="8" t="str">
        <f>_xlfn.XLOOKUP(D1218,Master[Product_Code],Master[Size])</f>
        <v>85-90</v>
      </c>
      <c r="K1218" s="8" t="str">
        <f>_xlfn.XLOOKUP(D1218,Master[Product_Code],Master[Color])</f>
        <v>Brown</v>
      </c>
      <c r="L1218" s="3">
        <f>_xlfn.XLOOKUP(D1218,Master[Product_Code],Master[Selling_Price])</f>
        <v>130</v>
      </c>
    </row>
    <row r="1219" spans="2:12">
      <c r="B1219" s="2" t="s">
        <v>2262</v>
      </c>
      <c r="C1219" s="7">
        <v>45968</v>
      </c>
      <c r="D1219" s="2" t="s">
        <v>243</v>
      </c>
      <c r="E1219" s="4">
        <v>1</v>
      </c>
      <c r="F1219" s="8" t="str">
        <f>_xlfn.XLOOKUP(D1219,Master[Product_Code],Master[Category])</f>
        <v>Shirt</v>
      </c>
      <c r="G1219" s="8" t="str">
        <f>_xlfn.XLOOKUP(D1219,Master[Product_Code],Master[Brand])</f>
        <v>Thailand</v>
      </c>
      <c r="H1219" s="8" t="str">
        <f>_xlfn.XLOOKUP(D1219,Master[Product_Code],Master[Style])</f>
        <v>Casual</v>
      </c>
      <c r="I1219" s="8" t="str">
        <f>_xlfn.XLOOKUP(D1219,Master[Product_Code],Master[Fabric])</f>
        <v>Cotton</v>
      </c>
      <c r="J1219" s="8" t="str">
        <f>_xlfn.XLOOKUP(D1219,Master[Product_Code],Master[Size])</f>
        <v>XXL</v>
      </c>
      <c r="K1219" s="8" t="str">
        <f>_xlfn.XLOOKUP(D1219,Master[Product_Code],Master[Color])</f>
        <v>Wine</v>
      </c>
      <c r="L1219" s="3">
        <f>_xlfn.XLOOKUP(D1219,Master[Product_Code],Master[Selling_Price])</f>
        <v>840</v>
      </c>
    </row>
    <row r="1220" spans="2:12">
      <c r="B1220" s="2" t="s">
        <v>2263</v>
      </c>
      <c r="C1220" s="7">
        <v>45968</v>
      </c>
      <c r="D1220" s="2" t="s">
        <v>743</v>
      </c>
      <c r="E1220" s="4">
        <v>1</v>
      </c>
      <c r="F1220" s="8" t="str">
        <f>_xlfn.XLOOKUP(D1220,Master[Product_Code],Master[Category])</f>
        <v>T-Shirt</v>
      </c>
      <c r="G1220" s="8" t="str">
        <f>_xlfn.XLOOKUP(D1220,Master[Product_Code],Master[Brand])</f>
        <v>Campus</v>
      </c>
      <c r="H1220" s="8" t="str">
        <f>_xlfn.XLOOKUP(D1220,Master[Product_Code],Master[Style])</f>
        <v>Sleeveless</v>
      </c>
      <c r="I1220" s="8" t="str">
        <f>_xlfn.XLOOKUP(D1220,Master[Product_Code],Master[Fabric])</f>
        <v>Poly Cotton</v>
      </c>
      <c r="J1220" s="8" t="str">
        <f>_xlfn.XLOOKUP(D1220,Master[Product_Code],Master[Size])</f>
        <v>L</v>
      </c>
      <c r="K1220" s="8" t="str">
        <f>_xlfn.XLOOKUP(D1220,Master[Product_Code],Master[Color])</f>
        <v>Maroon</v>
      </c>
      <c r="L1220" s="3">
        <f>_xlfn.XLOOKUP(D1220,Master[Product_Code],Master[Selling_Price])</f>
        <v>310</v>
      </c>
    </row>
    <row r="1221" spans="2:12">
      <c r="B1221" s="2" t="s">
        <v>2263</v>
      </c>
      <c r="C1221" s="7">
        <v>45968</v>
      </c>
      <c r="D1221" s="2" t="s">
        <v>115</v>
      </c>
      <c r="E1221" s="4">
        <v>1</v>
      </c>
      <c r="F1221" s="8" t="str">
        <f>_xlfn.XLOOKUP(D1221,Master[Product_Code],Master[Category])</f>
        <v>Shirt</v>
      </c>
      <c r="G1221" s="8" t="str">
        <f>_xlfn.XLOOKUP(D1221,Master[Product_Code],Master[Brand])</f>
        <v>Thailand</v>
      </c>
      <c r="H1221" s="8" t="str">
        <f>_xlfn.XLOOKUP(D1221,Master[Product_Code],Master[Style])</f>
        <v>Formal</v>
      </c>
      <c r="I1221" s="8" t="str">
        <f>_xlfn.XLOOKUP(D1221,Master[Product_Code],Master[Fabric])</f>
        <v>Cotton</v>
      </c>
      <c r="J1221" s="8" t="str">
        <f>_xlfn.XLOOKUP(D1221,Master[Product_Code],Master[Size])</f>
        <v>XXL</v>
      </c>
      <c r="K1221" s="8" t="str">
        <f>_xlfn.XLOOKUP(D1221,Master[Product_Code],Master[Color])</f>
        <v>Bottle Green</v>
      </c>
      <c r="L1221" s="3">
        <f>_xlfn.XLOOKUP(D1221,Master[Product_Code],Master[Selling_Price])</f>
        <v>690</v>
      </c>
    </row>
    <row r="1222" spans="2:12">
      <c r="B1222" s="2" t="s">
        <v>2263</v>
      </c>
      <c r="C1222" s="7">
        <v>45968</v>
      </c>
      <c r="D1222" s="2" t="s">
        <v>1348</v>
      </c>
      <c r="E1222" s="4">
        <v>1</v>
      </c>
      <c r="F1222" s="8" t="str">
        <f>_xlfn.XLOOKUP(D1222,Master[Product_Code],Master[Category])</f>
        <v>Pants</v>
      </c>
      <c r="G1222" s="8" t="str">
        <f>_xlfn.XLOOKUP(D1222,Master[Product_Code],Master[Brand])</f>
        <v>Peter England</v>
      </c>
      <c r="H1222" s="8" t="str">
        <f>_xlfn.XLOOKUP(D1222,Master[Product_Code],Master[Style])</f>
        <v>Boot Cut</v>
      </c>
      <c r="I1222" s="8" t="str">
        <f>_xlfn.XLOOKUP(D1222,Master[Product_Code],Master[Fabric])</f>
        <v>Cotton</v>
      </c>
      <c r="J1222" s="8">
        <f>_xlfn.XLOOKUP(D1222,Master[Product_Code],Master[Size])</f>
        <v>42</v>
      </c>
      <c r="K1222" s="8" t="str">
        <f>_xlfn.XLOOKUP(D1222,Master[Product_Code],Master[Color])</f>
        <v>Navy Blue</v>
      </c>
      <c r="L1222" s="3">
        <f>_xlfn.XLOOKUP(D1222,Master[Product_Code],Master[Selling_Price])</f>
        <v>850</v>
      </c>
    </row>
    <row r="1223" spans="2:12">
      <c r="B1223" s="2" t="s">
        <v>2264</v>
      </c>
      <c r="C1223" s="7">
        <v>45969</v>
      </c>
      <c r="D1223" s="2" t="s">
        <v>1557</v>
      </c>
      <c r="E1223" s="4">
        <v>1</v>
      </c>
      <c r="F1223" s="8" t="str">
        <f>_xlfn.XLOOKUP(D1223,Master[Product_Code],Master[Category])</f>
        <v>Innerwear</v>
      </c>
      <c r="G1223" s="8" t="str">
        <f>_xlfn.XLOOKUP(D1223,Master[Product_Code],Master[Brand])</f>
        <v>Jockey</v>
      </c>
      <c r="H1223" s="8" t="str">
        <f>_xlfn.XLOOKUP(D1223,Master[Product_Code],Master[Style])</f>
        <v>V-Cut</v>
      </c>
      <c r="I1223" s="8" t="str">
        <f>_xlfn.XLOOKUP(D1223,Master[Product_Code],Master[Fabric])</f>
        <v>Cotton Blend</v>
      </c>
      <c r="J1223" s="8" t="str">
        <f>_xlfn.XLOOKUP(D1223,Master[Product_Code],Master[Size])</f>
        <v>75-80</v>
      </c>
      <c r="K1223" s="8" t="str">
        <f>_xlfn.XLOOKUP(D1223,Master[Product_Code],Master[Color])</f>
        <v>Light Grey</v>
      </c>
      <c r="L1223" s="3">
        <f>_xlfn.XLOOKUP(D1223,Master[Product_Code],Master[Selling_Price])</f>
        <v>150</v>
      </c>
    </row>
    <row r="1224" spans="2:12">
      <c r="B1224" s="2" t="s">
        <v>2264</v>
      </c>
      <c r="C1224" s="7">
        <v>45969</v>
      </c>
      <c r="D1224" s="2" t="s">
        <v>818</v>
      </c>
      <c r="E1224" s="4">
        <v>1</v>
      </c>
      <c r="F1224" s="8" t="str">
        <f>_xlfn.XLOOKUP(D1224,Master[Product_Code],Master[Category])</f>
        <v>T-Shirt</v>
      </c>
      <c r="G1224" s="8" t="str">
        <f>_xlfn.XLOOKUP(D1224,Master[Product_Code],Master[Brand])</f>
        <v>Urban Monkey</v>
      </c>
      <c r="H1224" s="8" t="str">
        <f>_xlfn.XLOOKUP(D1224,Master[Product_Code],Master[Style])</f>
        <v>3/4 Sleeve</v>
      </c>
      <c r="I1224" s="8" t="str">
        <f>_xlfn.XLOOKUP(D1224,Master[Product_Code],Master[Fabric])</f>
        <v>Cotton Blend</v>
      </c>
      <c r="J1224" s="8" t="str">
        <f>_xlfn.XLOOKUP(D1224,Master[Product_Code],Master[Size])</f>
        <v>M</v>
      </c>
      <c r="K1224" s="8" t="str">
        <f>_xlfn.XLOOKUP(D1224,Master[Product_Code],Master[Color])</f>
        <v>Wine</v>
      </c>
      <c r="L1224" s="3">
        <f>_xlfn.XLOOKUP(D1224,Master[Product_Code],Master[Selling_Price])</f>
        <v>620</v>
      </c>
    </row>
    <row r="1225" spans="2:12">
      <c r="B1225" s="2" t="s">
        <v>2265</v>
      </c>
      <c r="C1225" s="7">
        <v>45969</v>
      </c>
      <c r="D1225" s="2" t="s">
        <v>1756</v>
      </c>
      <c r="E1225" s="4">
        <v>1</v>
      </c>
      <c r="F1225" s="8" t="str">
        <f>_xlfn.XLOOKUP(D1225,Master[Product_Code],Master[Category])</f>
        <v>Innerwear</v>
      </c>
      <c r="G1225" s="8" t="str">
        <f>_xlfn.XLOOKUP(D1225,Master[Product_Code],Master[Brand])</f>
        <v>Jockey</v>
      </c>
      <c r="H1225" s="8" t="str">
        <f>_xlfn.XLOOKUP(D1225,Master[Product_Code],Master[Style])</f>
        <v>V-Cut</v>
      </c>
      <c r="I1225" s="8" t="str">
        <f>_xlfn.XLOOKUP(D1225,Master[Product_Code],Master[Fabric])</f>
        <v>Cotton</v>
      </c>
      <c r="J1225" s="8" t="str">
        <f>_xlfn.XLOOKUP(D1225,Master[Product_Code],Master[Size])</f>
        <v>85-90</v>
      </c>
      <c r="K1225" s="8" t="str">
        <f>_xlfn.XLOOKUP(D1225,Master[Product_Code],Master[Color])</f>
        <v>Dark Green</v>
      </c>
      <c r="L1225" s="3">
        <f>_xlfn.XLOOKUP(D1225,Master[Product_Code],Master[Selling_Price])</f>
        <v>150</v>
      </c>
    </row>
    <row r="1226" spans="2:12">
      <c r="B1226" s="2" t="s">
        <v>2265</v>
      </c>
      <c r="C1226" s="7">
        <v>45969</v>
      </c>
      <c r="D1226" s="2" t="s">
        <v>566</v>
      </c>
      <c r="E1226" s="4">
        <v>1</v>
      </c>
      <c r="F1226" s="8" t="str">
        <f>_xlfn.XLOOKUP(D1226,Master[Product_Code],Master[Category])</f>
        <v>T-Shirt</v>
      </c>
      <c r="G1226" s="8" t="str">
        <f>_xlfn.XLOOKUP(D1226,Master[Product_Code],Master[Brand])</f>
        <v>Zara</v>
      </c>
      <c r="H1226" s="8" t="str">
        <f>_xlfn.XLOOKUP(D1226,Master[Product_Code],Master[Style])</f>
        <v>Half Sleeve</v>
      </c>
      <c r="I1226" s="8" t="str">
        <f>_xlfn.XLOOKUP(D1226,Master[Product_Code],Master[Fabric])</f>
        <v>Cotton Blend</v>
      </c>
      <c r="J1226" s="8" t="str">
        <f>_xlfn.XLOOKUP(D1226,Master[Product_Code],Master[Size])</f>
        <v>S</v>
      </c>
      <c r="K1226" s="8" t="str">
        <f>_xlfn.XLOOKUP(D1226,Master[Product_Code],Master[Color])</f>
        <v>Olive</v>
      </c>
      <c r="L1226" s="3">
        <f>_xlfn.XLOOKUP(D1226,Master[Product_Code],Master[Selling_Price])</f>
        <v>450</v>
      </c>
    </row>
    <row r="1227" spans="2:12">
      <c r="B1227" s="2" t="s">
        <v>2266</v>
      </c>
      <c r="C1227" s="7">
        <v>45969</v>
      </c>
      <c r="D1227" s="2" t="s">
        <v>862</v>
      </c>
      <c r="E1227" s="4">
        <v>1</v>
      </c>
      <c r="F1227" s="8" t="str">
        <f>_xlfn.XLOOKUP(D1227,Master[Product_Code],Master[Category])</f>
        <v>Jeans</v>
      </c>
      <c r="G1227" s="8" t="str">
        <f>_xlfn.XLOOKUP(D1227,Master[Product_Code],Master[Brand])</f>
        <v>Denim Pro</v>
      </c>
      <c r="H1227" s="8" t="str">
        <f>_xlfn.XLOOKUP(D1227,Master[Product_Code],Master[Style])</f>
        <v>Jogger</v>
      </c>
      <c r="I1227" s="8" t="str">
        <f>_xlfn.XLOOKUP(D1227,Master[Product_Code],Master[Fabric])</f>
        <v>Denim</v>
      </c>
      <c r="J1227" s="8">
        <f>_xlfn.XLOOKUP(D1227,Master[Product_Code],Master[Size])</f>
        <v>40</v>
      </c>
      <c r="K1227" s="8" t="str">
        <f>_xlfn.XLOOKUP(D1227,Master[Product_Code],Master[Color])</f>
        <v>Charcoal</v>
      </c>
      <c r="L1227" s="3">
        <f>_xlfn.XLOOKUP(D1227,Master[Product_Code],Master[Selling_Price])</f>
        <v>1030</v>
      </c>
    </row>
    <row r="1228" spans="2:12">
      <c r="B1228" s="2" t="s">
        <v>2266</v>
      </c>
      <c r="C1228" s="7">
        <v>45969</v>
      </c>
      <c r="D1228" s="2" t="s">
        <v>1613</v>
      </c>
      <c r="E1228" s="4">
        <v>1</v>
      </c>
      <c r="F1228" s="8" t="str">
        <f>_xlfn.XLOOKUP(D1228,Master[Product_Code],Master[Category])</f>
        <v>Innerwear</v>
      </c>
      <c r="G1228" s="8" t="str">
        <f>_xlfn.XLOOKUP(D1228,Master[Product_Code],Master[Brand])</f>
        <v>Dollar</v>
      </c>
      <c r="H1228" s="8" t="str">
        <f>_xlfn.XLOOKUP(D1228,Master[Product_Code],Master[Style])</f>
        <v>V-Cut</v>
      </c>
      <c r="I1228" s="8" t="str">
        <f>_xlfn.XLOOKUP(D1228,Master[Product_Code],Master[Fabric])</f>
        <v>Cotton</v>
      </c>
      <c r="J1228" s="8" t="str">
        <f>_xlfn.XLOOKUP(D1228,Master[Product_Code],Master[Size])</f>
        <v>90-100</v>
      </c>
      <c r="K1228" s="8" t="str">
        <f>_xlfn.XLOOKUP(D1228,Master[Product_Code],Master[Color])</f>
        <v>Peach</v>
      </c>
      <c r="L1228" s="3">
        <f>_xlfn.XLOOKUP(D1228,Master[Product_Code],Master[Selling_Price])</f>
        <v>170</v>
      </c>
    </row>
    <row r="1229" spans="2:12">
      <c r="B1229" s="2" t="s">
        <v>2267</v>
      </c>
      <c r="C1229" s="7">
        <v>45969</v>
      </c>
      <c r="D1229" s="2" t="s">
        <v>78</v>
      </c>
      <c r="E1229" s="4">
        <v>1</v>
      </c>
      <c r="F1229" s="8" t="str">
        <f>_xlfn.XLOOKUP(D1229,Master[Product_Code],Master[Category])</f>
        <v>Shirt</v>
      </c>
      <c r="G1229" s="8" t="str">
        <f>_xlfn.XLOOKUP(D1229,Master[Product_Code],Master[Brand])</f>
        <v>British</v>
      </c>
      <c r="H1229" s="8" t="str">
        <f>_xlfn.XLOOKUP(D1229,Master[Product_Code],Master[Style])</f>
        <v>Formal</v>
      </c>
      <c r="I1229" s="8" t="str">
        <f>_xlfn.XLOOKUP(D1229,Master[Product_Code],Master[Fabric])</f>
        <v>Lycra</v>
      </c>
      <c r="J1229" s="8" t="str">
        <f>_xlfn.XLOOKUP(D1229,Master[Product_Code],Master[Size])</f>
        <v>L</v>
      </c>
      <c r="K1229" s="8" t="str">
        <f>_xlfn.XLOOKUP(D1229,Master[Product_Code],Master[Color])</f>
        <v>Peach</v>
      </c>
      <c r="L1229" s="3">
        <f>_xlfn.XLOOKUP(D1229,Master[Product_Code],Master[Selling_Price])</f>
        <v>640</v>
      </c>
    </row>
    <row r="1230" spans="2:12">
      <c r="B1230" s="2" t="s">
        <v>2267</v>
      </c>
      <c r="C1230" s="7">
        <v>45969</v>
      </c>
      <c r="D1230" s="2" t="s">
        <v>140</v>
      </c>
      <c r="E1230" s="4">
        <v>1</v>
      </c>
      <c r="F1230" s="8" t="str">
        <f>_xlfn.XLOOKUP(D1230,Master[Product_Code],Master[Category])</f>
        <v>Shirt</v>
      </c>
      <c r="G1230" s="8" t="str">
        <f>_xlfn.XLOOKUP(D1230,Master[Product_Code],Master[Brand])</f>
        <v>Luke &amp; Burg</v>
      </c>
      <c r="H1230" s="8" t="str">
        <f>_xlfn.XLOOKUP(D1230,Master[Product_Code],Master[Style])</f>
        <v>Formal</v>
      </c>
      <c r="I1230" s="8" t="str">
        <f>_xlfn.XLOOKUP(D1230,Master[Product_Code],Master[Fabric])</f>
        <v>Polyester</v>
      </c>
      <c r="J1230" s="8" t="str">
        <f>_xlfn.XLOOKUP(D1230,Master[Product_Code],Master[Size])</f>
        <v>M</v>
      </c>
      <c r="K1230" s="8" t="str">
        <f>_xlfn.XLOOKUP(D1230,Master[Product_Code],Master[Color])</f>
        <v>White</v>
      </c>
      <c r="L1230" s="3">
        <f>_xlfn.XLOOKUP(D1230,Master[Product_Code],Master[Selling_Price])</f>
        <v>660</v>
      </c>
    </row>
    <row r="1231" spans="2:12">
      <c r="B1231" s="2" t="s">
        <v>2267</v>
      </c>
      <c r="C1231" s="7">
        <v>45969</v>
      </c>
      <c r="D1231" s="2" t="s">
        <v>1620</v>
      </c>
      <c r="E1231" s="4">
        <v>1</v>
      </c>
      <c r="F1231" s="8" t="str">
        <f>_xlfn.XLOOKUP(D1231,Master[Product_Code],Master[Category])</f>
        <v>Innerwear</v>
      </c>
      <c r="G1231" s="8" t="str">
        <f>_xlfn.XLOOKUP(D1231,Master[Product_Code],Master[Brand])</f>
        <v>Jockey</v>
      </c>
      <c r="H1231" s="8" t="str">
        <f>_xlfn.XLOOKUP(D1231,Master[Product_Code],Master[Style])</f>
        <v>Boxer</v>
      </c>
      <c r="I1231" s="8" t="str">
        <f>_xlfn.XLOOKUP(D1231,Master[Product_Code],Master[Fabric])</f>
        <v>Cotton</v>
      </c>
      <c r="J1231" s="8" t="str">
        <f>_xlfn.XLOOKUP(D1231,Master[Product_Code],Master[Size])</f>
        <v>85-90</v>
      </c>
      <c r="K1231" s="8" t="str">
        <f>_xlfn.XLOOKUP(D1231,Master[Product_Code],Master[Color])</f>
        <v>Rust</v>
      </c>
      <c r="L1231" s="3">
        <f>_xlfn.XLOOKUP(D1231,Master[Product_Code],Master[Selling_Price])</f>
        <v>170</v>
      </c>
    </row>
    <row r="1232" spans="2:12">
      <c r="B1232" s="2" t="s">
        <v>2267</v>
      </c>
      <c r="C1232" s="7">
        <v>45969</v>
      </c>
      <c r="D1232" s="2" t="s">
        <v>1585</v>
      </c>
      <c r="E1232" s="4">
        <v>1</v>
      </c>
      <c r="F1232" s="8" t="str">
        <f>_xlfn.XLOOKUP(D1232,Master[Product_Code],Master[Category])</f>
        <v>Innerwear</v>
      </c>
      <c r="G1232" s="8" t="str">
        <f>_xlfn.XLOOKUP(D1232,Master[Product_Code],Master[Brand])</f>
        <v>V Star</v>
      </c>
      <c r="H1232" s="8" t="str">
        <f>_xlfn.XLOOKUP(D1232,Master[Product_Code],Master[Style])</f>
        <v>Boxer</v>
      </c>
      <c r="I1232" s="8" t="str">
        <f>_xlfn.XLOOKUP(D1232,Master[Product_Code],Master[Fabric])</f>
        <v>Cotton</v>
      </c>
      <c r="J1232" s="8" t="str">
        <f>_xlfn.XLOOKUP(D1232,Master[Product_Code],Master[Size])</f>
        <v>105-110</v>
      </c>
      <c r="K1232" s="8" t="str">
        <f>_xlfn.XLOOKUP(D1232,Master[Product_Code],Master[Color])</f>
        <v>Sky Blue</v>
      </c>
      <c r="L1232" s="3">
        <f>_xlfn.XLOOKUP(D1232,Master[Product_Code],Master[Selling_Price])</f>
        <v>150</v>
      </c>
    </row>
    <row r="1233" spans="2:12">
      <c r="B1233" s="2" t="s">
        <v>2268</v>
      </c>
      <c r="C1233" s="7">
        <v>45969</v>
      </c>
      <c r="D1233" s="2" t="s">
        <v>1526</v>
      </c>
      <c r="E1233" s="4">
        <v>1</v>
      </c>
      <c r="F1233" s="8" t="str">
        <f>_xlfn.XLOOKUP(D1233,Master[Product_Code],Master[Category])</f>
        <v>Innerwear</v>
      </c>
      <c r="G1233" s="8" t="str">
        <f>_xlfn.XLOOKUP(D1233,Master[Product_Code],Master[Brand])</f>
        <v>Lux</v>
      </c>
      <c r="H1233" s="8" t="str">
        <f>_xlfn.XLOOKUP(D1233,Master[Product_Code],Master[Style])</f>
        <v>Boxer</v>
      </c>
      <c r="I1233" s="8" t="str">
        <f>_xlfn.XLOOKUP(D1233,Master[Product_Code],Master[Fabric])</f>
        <v>Cotton</v>
      </c>
      <c r="J1233" s="8" t="str">
        <f>_xlfn.XLOOKUP(D1233,Master[Product_Code],Master[Size])</f>
        <v>105-110</v>
      </c>
      <c r="K1233" s="8" t="str">
        <f>_xlfn.XLOOKUP(D1233,Master[Product_Code],Master[Color])</f>
        <v>Maroon</v>
      </c>
      <c r="L1233" s="3">
        <f>_xlfn.XLOOKUP(D1233,Master[Product_Code],Master[Selling_Price])</f>
        <v>180</v>
      </c>
    </row>
    <row r="1234" spans="2:12">
      <c r="B1234" s="2" t="s">
        <v>2268</v>
      </c>
      <c r="C1234" s="7">
        <v>45969</v>
      </c>
      <c r="D1234" s="2" t="s">
        <v>1736</v>
      </c>
      <c r="E1234" s="4">
        <v>1</v>
      </c>
      <c r="F1234" s="8" t="str">
        <f>_xlfn.XLOOKUP(D1234,Master[Product_Code],Master[Category])</f>
        <v>Innerwear</v>
      </c>
      <c r="G1234" s="8" t="str">
        <f>_xlfn.XLOOKUP(D1234,Master[Product_Code],Master[Brand])</f>
        <v>Lux</v>
      </c>
      <c r="H1234" s="8" t="str">
        <f>_xlfn.XLOOKUP(D1234,Master[Product_Code],Master[Style])</f>
        <v>Boxer</v>
      </c>
      <c r="I1234" s="8" t="str">
        <f>_xlfn.XLOOKUP(D1234,Master[Product_Code],Master[Fabric])</f>
        <v>Cotton</v>
      </c>
      <c r="J1234" s="8" t="str">
        <f>_xlfn.XLOOKUP(D1234,Master[Product_Code],Master[Size])</f>
        <v>100-105</v>
      </c>
      <c r="K1234" s="8" t="str">
        <f>_xlfn.XLOOKUP(D1234,Master[Product_Code],Master[Color])</f>
        <v>Brown</v>
      </c>
      <c r="L1234" s="3">
        <f>_xlfn.XLOOKUP(D1234,Master[Product_Code],Master[Selling_Price])</f>
        <v>170</v>
      </c>
    </row>
    <row r="1235" spans="2:12">
      <c r="B1235" s="2" t="s">
        <v>2268</v>
      </c>
      <c r="C1235" s="7">
        <v>45969</v>
      </c>
      <c r="D1235" s="2" t="s">
        <v>255</v>
      </c>
      <c r="E1235" s="4">
        <v>1</v>
      </c>
      <c r="F1235" s="8" t="str">
        <f>_xlfn.XLOOKUP(D1235,Master[Product_Code],Master[Category])</f>
        <v>Shirt</v>
      </c>
      <c r="G1235" s="8" t="str">
        <f>_xlfn.XLOOKUP(D1235,Master[Product_Code],Master[Brand])</f>
        <v>Thailand</v>
      </c>
      <c r="H1235" s="8" t="str">
        <f>_xlfn.XLOOKUP(D1235,Master[Product_Code],Master[Style])</f>
        <v>Casual</v>
      </c>
      <c r="I1235" s="8" t="str">
        <f>_xlfn.XLOOKUP(D1235,Master[Product_Code],Master[Fabric])</f>
        <v>Cotton Blend</v>
      </c>
      <c r="J1235" s="8" t="str">
        <f>_xlfn.XLOOKUP(D1235,Master[Product_Code],Master[Size])</f>
        <v>S</v>
      </c>
      <c r="K1235" s="8" t="str">
        <f>_xlfn.XLOOKUP(D1235,Master[Product_Code],Master[Color])</f>
        <v>Black</v>
      </c>
      <c r="L1235" s="3">
        <f>_xlfn.XLOOKUP(D1235,Master[Product_Code],Master[Selling_Price])</f>
        <v>900</v>
      </c>
    </row>
    <row r="1236" spans="2:12">
      <c r="B1236" s="2" t="s">
        <v>2268</v>
      </c>
      <c r="C1236" s="7">
        <v>45969</v>
      </c>
      <c r="D1236" s="2" t="s">
        <v>1742</v>
      </c>
      <c r="E1236" s="4">
        <v>1</v>
      </c>
      <c r="F1236" s="8" t="str">
        <f>_xlfn.XLOOKUP(D1236,Master[Product_Code],Master[Category])</f>
        <v>Innerwear</v>
      </c>
      <c r="G1236" s="8" t="str">
        <f>_xlfn.XLOOKUP(D1236,Master[Product_Code],Master[Brand])</f>
        <v>Lux</v>
      </c>
      <c r="H1236" s="8" t="str">
        <f>_xlfn.XLOOKUP(D1236,Master[Product_Code],Master[Style])</f>
        <v>Boxer</v>
      </c>
      <c r="I1236" s="8" t="str">
        <f>_xlfn.XLOOKUP(D1236,Master[Product_Code],Master[Fabric])</f>
        <v>Cotton Blend</v>
      </c>
      <c r="J1236" s="8" t="str">
        <f>_xlfn.XLOOKUP(D1236,Master[Product_Code],Master[Size])</f>
        <v>100-105</v>
      </c>
      <c r="K1236" s="8" t="str">
        <f>_xlfn.XLOOKUP(D1236,Master[Product_Code],Master[Color])</f>
        <v>Olive</v>
      </c>
      <c r="L1236" s="3">
        <f>_xlfn.XLOOKUP(D1236,Master[Product_Code],Master[Selling_Price])</f>
        <v>190</v>
      </c>
    </row>
    <row r="1237" spans="2:12">
      <c r="B1237" s="2" t="s">
        <v>2269</v>
      </c>
      <c r="C1237" s="7">
        <v>45969</v>
      </c>
      <c r="D1237" s="2" t="s">
        <v>1338</v>
      </c>
      <c r="E1237" s="4">
        <v>1</v>
      </c>
      <c r="F1237" s="8" t="str">
        <f>_xlfn.XLOOKUP(D1237,Master[Product_Code],Master[Category])</f>
        <v>Pants</v>
      </c>
      <c r="G1237" s="8" t="str">
        <f>_xlfn.XLOOKUP(D1237,Master[Product_Code],Master[Brand])</f>
        <v>Van Heusen</v>
      </c>
      <c r="H1237" s="8" t="str">
        <f>_xlfn.XLOOKUP(D1237,Master[Product_Code],Master[Style])</f>
        <v>Boot Cut</v>
      </c>
      <c r="I1237" s="8" t="str">
        <f>_xlfn.XLOOKUP(D1237,Master[Product_Code],Master[Fabric])</f>
        <v>Cotton</v>
      </c>
      <c r="J1237" s="8">
        <f>_xlfn.XLOOKUP(D1237,Master[Product_Code],Master[Size])</f>
        <v>36</v>
      </c>
      <c r="K1237" s="8" t="str">
        <f>_xlfn.XLOOKUP(D1237,Master[Product_Code],Master[Color])</f>
        <v>Navy Blue</v>
      </c>
      <c r="L1237" s="3">
        <f>_xlfn.XLOOKUP(D1237,Master[Product_Code],Master[Selling_Price])</f>
        <v>950</v>
      </c>
    </row>
    <row r="1238" spans="2:12">
      <c r="B1238" s="2" t="s">
        <v>2270</v>
      </c>
      <c r="C1238" s="7">
        <v>45969</v>
      </c>
      <c r="D1238" s="2" t="s">
        <v>808</v>
      </c>
      <c r="E1238" s="4">
        <v>1</v>
      </c>
      <c r="F1238" s="8" t="str">
        <f>_xlfn.XLOOKUP(D1238,Master[Product_Code],Master[Category])</f>
        <v>T-Shirt</v>
      </c>
      <c r="G1238" s="8" t="str">
        <f>_xlfn.XLOOKUP(D1238,Master[Product_Code],Master[Brand])</f>
        <v>Urban Monkey</v>
      </c>
      <c r="H1238" s="8" t="str">
        <f>_xlfn.XLOOKUP(D1238,Master[Product_Code],Master[Style])</f>
        <v>Hoodie</v>
      </c>
      <c r="I1238" s="8" t="str">
        <f>_xlfn.XLOOKUP(D1238,Master[Product_Code],Master[Fabric])</f>
        <v>Cotton Blend</v>
      </c>
      <c r="J1238" s="8" t="str">
        <f>_xlfn.XLOOKUP(D1238,Master[Product_Code],Master[Size])</f>
        <v>XL</v>
      </c>
      <c r="K1238" s="8" t="str">
        <f>_xlfn.XLOOKUP(D1238,Master[Product_Code],Master[Color])</f>
        <v>Rust</v>
      </c>
      <c r="L1238" s="3">
        <f>_xlfn.XLOOKUP(D1238,Master[Product_Code],Master[Selling_Price])</f>
        <v>600</v>
      </c>
    </row>
    <row r="1239" spans="2:12">
      <c r="B1239" s="2" t="s">
        <v>2270</v>
      </c>
      <c r="C1239" s="7">
        <v>45969</v>
      </c>
      <c r="D1239" s="2" t="s">
        <v>1201</v>
      </c>
      <c r="E1239" s="4">
        <v>1</v>
      </c>
      <c r="F1239" s="8" t="str">
        <f>_xlfn.XLOOKUP(D1239,Master[Product_Code],Master[Category])</f>
        <v>Pants</v>
      </c>
      <c r="G1239" s="8" t="str">
        <f>_xlfn.XLOOKUP(D1239,Master[Product_Code],Master[Brand])</f>
        <v>Peter England</v>
      </c>
      <c r="H1239" s="8" t="str">
        <f>_xlfn.XLOOKUP(D1239,Master[Product_Code],Master[Style])</f>
        <v>Korean</v>
      </c>
      <c r="I1239" s="8" t="str">
        <f>_xlfn.XLOOKUP(D1239,Master[Product_Code],Master[Fabric])</f>
        <v>Lycra</v>
      </c>
      <c r="J1239" s="8">
        <f>_xlfn.XLOOKUP(D1239,Master[Product_Code],Master[Size])</f>
        <v>40</v>
      </c>
      <c r="K1239" s="8" t="str">
        <f>_xlfn.XLOOKUP(D1239,Master[Product_Code],Master[Color])</f>
        <v>Sky Blue</v>
      </c>
      <c r="L1239" s="3">
        <f>_xlfn.XLOOKUP(D1239,Master[Product_Code],Master[Selling_Price])</f>
        <v>830</v>
      </c>
    </row>
    <row r="1240" spans="2:12">
      <c r="B1240" s="2" t="s">
        <v>2270</v>
      </c>
      <c r="C1240" s="7">
        <v>45969</v>
      </c>
      <c r="D1240" s="2" t="s">
        <v>743</v>
      </c>
      <c r="E1240" s="4">
        <v>1</v>
      </c>
      <c r="F1240" s="8" t="str">
        <f>_xlfn.XLOOKUP(D1240,Master[Product_Code],Master[Category])</f>
        <v>T-Shirt</v>
      </c>
      <c r="G1240" s="8" t="str">
        <f>_xlfn.XLOOKUP(D1240,Master[Product_Code],Master[Brand])</f>
        <v>Campus</v>
      </c>
      <c r="H1240" s="8" t="str">
        <f>_xlfn.XLOOKUP(D1240,Master[Product_Code],Master[Style])</f>
        <v>Sleeveless</v>
      </c>
      <c r="I1240" s="8" t="str">
        <f>_xlfn.XLOOKUP(D1240,Master[Product_Code],Master[Fabric])</f>
        <v>Poly Cotton</v>
      </c>
      <c r="J1240" s="8" t="str">
        <f>_xlfn.XLOOKUP(D1240,Master[Product_Code],Master[Size])</f>
        <v>L</v>
      </c>
      <c r="K1240" s="8" t="str">
        <f>_xlfn.XLOOKUP(D1240,Master[Product_Code],Master[Color])</f>
        <v>Maroon</v>
      </c>
      <c r="L1240" s="3">
        <f>_xlfn.XLOOKUP(D1240,Master[Product_Code],Master[Selling_Price])</f>
        <v>310</v>
      </c>
    </row>
    <row r="1241" spans="2:12">
      <c r="B1241" s="2" t="s">
        <v>2271</v>
      </c>
      <c r="C1241" s="7">
        <v>45969</v>
      </c>
      <c r="D1241" s="2" t="s">
        <v>973</v>
      </c>
      <c r="E1241" s="4">
        <v>1</v>
      </c>
      <c r="F1241" s="8" t="str">
        <f>_xlfn.XLOOKUP(D1241,Master[Product_Code],Master[Category])</f>
        <v>Jeans</v>
      </c>
      <c r="G1241" s="8" t="str">
        <f>_xlfn.XLOOKUP(D1241,Master[Product_Code],Master[Brand])</f>
        <v>Levis</v>
      </c>
      <c r="H1241" s="8" t="str">
        <f>_xlfn.XLOOKUP(D1241,Master[Product_Code],Master[Style])</f>
        <v>Jogger</v>
      </c>
      <c r="I1241" s="8" t="str">
        <f>_xlfn.XLOOKUP(D1241,Master[Product_Code],Master[Fabric])</f>
        <v>Denim</v>
      </c>
      <c r="J1241" s="8">
        <f>_xlfn.XLOOKUP(D1241,Master[Product_Code],Master[Size])</f>
        <v>36</v>
      </c>
      <c r="K1241" s="8" t="str">
        <f>_xlfn.XLOOKUP(D1241,Master[Product_Code],Master[Color])</f>
        <v>Peach</v>
      </c>
      <c r="L1241" s="3">
        <f>_xlfn.XLOOKUP(D1241,Master[Product_Code],Master[Selling_Price])</f>
        <v>1040</v>
      </c>
    </row>
    <row r="1242" spans="2:12">
      <c r="B1242" s="2" t="s">
        <v>2272</v>
      </c>
      <c r="C1242" s="7">
        <v>45969</v>
      </c>
      <c r="D1242" s="2" t="s">
        <v>1033</v>
      </c>
      <c r="E1242" s="4">
        <v>1</v>
      </c>
      <c r="F1242" s="8" t="str">
        <f>_xlfn.XLOOKUP(D1242,Master[Product_Code],Master[Category])</f>
        <v>Jeans</v>
      </c>
      <c r="G1242" s="8" t="str">
        <f>_xlfn.XLOOKUP(D1242,Master[Product_Code],Master[Brand])</f>
        <v>Denim Pro</v>
      </c>
      <c r="H1242" s="8" t="str">
        <f>_xlfn.XLOOKUP(D1242,Master[Product_Code],Master[Style])</f>
        <v>Mom Fit</v>
      </c>
      <c r="I1242" s="8" t="str">
        <f>_xlfn.XLOOKUP(D1242,Master[Product_Code],Master[Fabric])</f>
        <v>Denim</v>
      </c>
      <c r="J1242" s="8">
        <f>_xlfn.XLOOKUP(D1242,Master[Product_Code],Master[Size])</f>
        <v>40</v>
      </c>
      <c r="K1242" s="8" t="str">
        <f>_xlfn.XLOOKUP(D1242,Master[Product_Code],Master[Color])</f>
        <v>Dark Green</v>
      </c>
      <c r="L1242" s="3">
        <f>_xlfn.XLOOKUP(D1242,Master[Product_Code],Master[Selling_Price])</f>
        <v>1070</v>
      </c>
    </row>
    <row r="1243" spans="2:12">
      <c r="B1243" s="2" t="s">
        <v>2272</v>
      </c>
      <c r="C1243" s="7">
        <v>45969</v>
      </c>
      <c r="D1243" s="2" t="s">
        <v>328</v>
      </c>
      <c r="E1243" s="4">
        <v>1</v>
      </c>
      <c r="F1243" s="8" t="str">
        <f>_xlfn.XLOOKUP(D1243,Master[Product_Code],Master[Category])</f>
        <v>Shirt</v>
      </c>
      <c r="G1243" s="8" t="str">
        <f>_xlfn.XLOOKUP(D1243,Master[Product_Code],Master[Brand])</f>
        <v>L7</v>
      </c>
      <c r="H1243" s="8" t="str">
        <f>_xlfn.XLOOKUP(D1243,Master[Product_Code],Master[Style])</f>
        <v>Casual</v>
      </c>
      <c r="I1243" s="8" t="str">
        <f>_xlfn.XLOOKUP(D1243,Master[Product_Code],Master[Fabric])</f>
        <v>Lycra</v>
      </c>
      <c r="J1243" s="8" t="str">
        <f>_xlfn.XLOOKUP(D1243,Master[Product_Code],Master[Size])</f>
        <v>XXL</v>
      </c>
      <c r="K1243" s="8" t="str">
        <f>_xlfn.XLOOKUP(D1243,Master[Product_Code],Master[Color])</f>
        <v>Beige</v>
      </c>
      <c r="L1243" s="3">
        <f>_xlfn.XLOOKUP(D1243,Master[Product_Code],Master[Selling_Price])</f>
        <v>930</v>
      </c>
    </row>
    <row r="1244" spans="2:12">
      <c r="B1244" s="2" t="s">
        <v>2272</v>
      </c>
      <c r="C1244" s="7">
        <v>45969</v>
      </c>
      <c r="D1244" s="2" t="s">
        <v>1266</v>
      </c>
      <c r="E1244" s="4">
        <v>1</v>
      </c>
      <c r="F1244" s="8" t="str">
        <f>_xlfn.XLOOKUP(D1244,Master[Product_Code],Master[Category])</f>
        <v>Pants</v>
      </c>
      <c r="G1244" s="8" t="str">
        <f>_xlfn.XLOOKUP(D1244,Master[Product_Code],Master[Brand])</f>
        <v>Louis Philippe</v>
      </c>
      <c r="H1244" s="8" t="str">
        <f>_xlfn.XLOOKUP(D1244,Master[Product_Code],Master[Style])</f>
        <v>Polofit</v>
      </c>
      <c r="I1244" s="8" t="str">
        <f>_xlfn.XLOOKUP(D1244,Master[Product_Code],Master[Fabric])</f>
        <v>Lycra</v>
      </c>
      <c r="J1244" s="8">
        <f>_xlfn.XLOOKUP(D1244,Master[Product_Code],Master[Size])</f>
        <v>42</v>
      </c>
      <c r="K1244" s="8" t="str">
        <f>_xlfn.XLOOKUP(D1244,Master[Product_Code],Master[Color])</f>
        <v>Maroon</v>
      </c>
      <c r="L1244" s="3">
        <f>_xlfn.XLOOKUP(D1244,Master[Product_Code],Master[Selling_Price])</f>
        <v>910</v>
      </c>
    </row>
    <row r="1245" spans="2:12">
      <c r="B1245" s="2" t="s">
        <v>2272</v>
      </c>
      <c r="C1245" s="7">
        <v>45969</v>
      </c>
      <c r="D1245" s="2" t="s">
        <v>1595</v>
      </c>
      <c r="E1245" s="4">
        <v>1</v>
      </c>
      <c r="F1245" s="8" t="str">
        <f>_xlfn.XLOOKUP(D1245,Master[Product_Code],Master[Category])</f>
        <v>Innerwear</v>
      </c>
      <c r="G1245" s="8" t="str">
        <f>_xlfn.XLOOKUP(D1245,Master[Product_Code],Master[Brand])</f>
        <v>Lux</v>
      </c>
      <c r="H1245" s="8" t="str">
        <f>_xlfn.XLOOKUP(D1245,Master[Product_Code],Master[Style])</f>
        <v>V-Cut</v>
      </c>
      <c r="I1245" s="8" t="str">
        <f>_xlfn.XLOOKUP(D1245,Master[Product_Code],Master[Fabric])</f>
        <v>Cotton Blend</v>
      </c>
      <c r="J1245" s="8" t="str">
        <f>_xlfn.XLOOKUP(D1245,Master[Product_Code],Master[Size])</f>
        <v>100-105</v>
      </c>
      <c r="K1245" s="8" t="str">
        <f>_xlfn.XLOOKUP(D1245,Master[Product_Code],Master[Color])</f>
        <v>Peach</v>
      </c>
      <c r="L1245" s="3">
        <f>_xlfn.XLOOKUP(D1245,Master[Product_Code],Master[Selling_Price])</f>
        <v>120</v>
      </c>
    </row>
    <row r="1246" spans="2:12">
      <c r="B1246" s="2" t="s">
        <v>2273</v>
      </c>
      <c r="C1246" s="7">
        <v>45969</v>
      </c>
      <c r="D1246" s="2" t="s">
        <v>967</v>
      </c>
      <c r="E1246" s="4">
        <v>1</v>
      </c>
      <c r="F1246" s="8" t="str">
        <f>_xlfn.XLOOKUP(D1246,Master[Product_Code],Master[Category])</f>
        <v>Jeans</v>
      </c>
      <c r="G1246" s="8" t="str">
        <f>_xlfn.XLOOKUP(D1246,Master[Product_Code],Master[Brand])</f>
        <v>Pepe</v>
      </c>
      <c r="H1246" s="8" t="str">
        <f>_xlfn.XLOOKUP(D1246,Master[Product_Code],Master[Style])</f>
        <v>Jogger</v>
      </c>
      <c r="I1246" s="8" t="str">
        <f>_xlfn.XLOOKUP(D1246,Master[Product_Code],Master[Fabric])</f>
        <v>Denim</v>
      </c>
      <c r="J1246" s="8">
        <f>_xlfn.XLOOKUP(D1246,Master[Product_Code],Master[Size])</f>
        <v>34</v>
      </c>
      <c r="K1246" s="8" t="str">
        <f>_xlfn.XLOOKUP(D1246,Master[Product_Code],Master[Color])</f>
        <v>Dark Green</v>
      </c>
      <c r="L1246" s="3">
        <f>_xlfn.XLOOKUP(D1246,Master[Product_Code],Master[Selling_Price])</f>
        <v>930</v>
      </c>
    </row>
    <row r="1247" spans="2:12">
      <c r="B1247" s="2" t="s">
        <v>2273</v>
      </c>
      <c r="C1247" s="7">
        <v>45969</v>
      </c>
      <c r="D1247" s="2" t="s">
        <v>1591</v>
      </c>
      <c r="E1247" s="4">
        <v>1</v>
      </c>
      <c r="F1247" s="8" t="str">
        <f>_xlfn.XLOOKUP(D1247,Master[Product_Code],Master[Category])</f>
        <v>Innerwear</v>
      </c>
      <c r="G1247" s="8" t="str">
        <f>_xlfn.XLOOKUP(D1247,Master[Product_Code],Master[Brand])</f>
        <v>Rupa</v>
      </c>
      <c r="H1247" s="8" t="str">
        <f>_xlfn.XLOOKUP(D1247,Master[Product_Code],Master[Style])</f>
        <v>Boxer</v>
      </c>
      <c r="I1247" s="8" t="str">
        <f>_xlfn.XLOOKUP(D1247,Master[Product_Code],Master[Fabric])</f>
        <v>Cotton Blend</v>
      </c>
      <c r="J1247" s="8" t="str">
        <f>_xlfn.XLOOKUP(D1247,Master[Product_Code],Master[Size])</f>
        <v>90-100</v>
      </c>
      <c r="K1247" s="8" t="str">
        <f>_xlfn.XLOOKUP(D1247,Master[Product_Code],Master[Color])</f>
        <v>Black</v>
      </c>
      <c r="L1247" s="3">
        <f>_xlfn.XLOOKUP(D1247,Master[Product_Code],Master[Selling_Price])</f>
        <v>170</v>
      </c>
    </row>
    <row r="1248" spans="2:12">
      <c r="B1248" s="2" t="s">
        <v>2274</v>
      </c>
      <c r="C1248" s="7">
        <v>45971</v>
      </c>
      <c r="D1248" s="2" t="s">
        <v>1314</v>
      </c>
      <c r="E1248" s="4">
        <v>1</v>
      </c>
      <c r="F1248" s="8" t="str">
        <f>_xlfn.XLOOKUP(D1248,Master[Product_Code],Master[Category])</f>
        <v>Pants</v>
      </c>
      <c r="G1248" s="8" t="str">
        <f>_xlfn.XLOOKUP(D1248,Master[Product_Code],Master[Brand])</f>
        <v>Louis Philippe</v>
      </c>
      <c r="H1248" s="8" t="str">
        <f>_xlfn.XLOOKUP(D1248,Master[Product_Code],Master[Style])</f>
        <v>Boot Cut</v>
      </c>
      <c r="I1248" s="8" t="str">
        <f>_xlfn.XLOOKUP(D1248,Master[Product_Code],Master[Fabric])</f>
        <v>Cotton</v>
      </c>
      <c r="J1248" s="8">
        <f>_xlfn.XLOOKUP(D1248,Master[Product_Code],Master[Size])</f>
        <v>42</v>
      </c>
      <c r="K1248" s="8" t="str">
        <f>_xlfn.XLOOKUP(D1248,Master[Product_Code],Master[Color])</f>
        <v>Royal Blue</v>
      </c>
      <c r="L1248" s="3">
        <f>_xlfn.XLOOKUP(D1248,Master[Product_Code],Master[Selling_Price])</f>
        <v>800</v>
      </c>
    </row>
    <row r="1249" spans="2:12">
      <c r="B1249" s="2" t="s">
        <v>2274</v>
      </c>
      <c r="C1249" s="7">
        <v>45971</v>
      </c>
      <c r="D1249" s="2" t="s">
        <v>331</v>
      </c>
      <c r="E1249" s="4">
        <v>1</v>
      </c>
      <c r="F1249" s="8" t="str">
        <f>_xlfn.XLOOKUP(D1249,Master[Product_Code],Master[Category])</f>
        <v>Shirt</v>
      </c>
      <c r="G1249" s="8" t="str">
        <f>_xlfn.XLOOKUP(D1249,Master[Product_Code],Master[Brand])</f>
        <v>Thailand</v>
      </c>
      <c r="H1249" s="8" t="str">
        <f>_xlfn.XLOOKUP(D1249,Master[Product_Code],Master[Style])</f>
        <v>Partywear</v>
      </c>
      <c r="I1249" s="8" t="str">
        <f>_xlfn.XLOOKUP(D1249,Master[Product_Code],Master[Fabric])</f>
        <v>Lycra</v>
      </c>
      <c r="J1249" s="8" t="str">
        <f>_xlfn.XLOOKUP(D1249,Master[Product_Code],Master[Size])</f>
        <v>XXL</v>
      </c>
      <c r="K1249" s="8" t="str">
        <f>_xlfn.XLOOKUP(D1249,Master[Product_Code],Master[Color])</f>
        <v>Bottle Green</v>
      </c>
      <c r="L1249" s="3">
        <f>_xlfn.XLOOKUP(D1249,Master[Product_Code],Master[Selling_Price])</f>
        <v>860</v>
      </c>
    </row>
    <row r="1250" spans="2:12">
      <c r="B1250" s="2" t="s">
        <v>2274</v>
      </c>
      <c r="C1250" s="7">
        <v>45971</v>
      </c>
      <c r="D1250" s="2" t="s">
        <v>1645</v>
      </c>
      <c r="E1250" s="4">
        <v>1</v>
      </c>
      <c r="F1250" s="8" t="str">
        <f>_xlfn.XLOOKUP(D1250,Master[Product_Code],Master[Category])</f>
        <v>Innerwear</v>
      </c>
      <c r="G1250" s="8" t="str">
        <f>_xlfn.XLOOKUP(D1250,Master[Product_Code],Master[Brand])</f>
        <v>V Star</v>
      </c>
      <c r="H1250" s="8" t="str">
        <f>_xlfn.XLOOKUP(D1250,Master[Product_Code],Master[Style])</f>
        <v>V-Cut</v>
      </c>
      <c r="I1250" s="8" t="str">
        <f>_xlfn.XLOOKUP(D1250,Master[Product_Code],Master[Fabric])</f>
        <v>Cotton Blend</v>
      </c>
      <c r="J1250" s="8" t="str">
        <f>_xlfn.XLOOKUP(D1250,Master[Product_Code],Master[Size])</f>
        <v>100-105</v>
      </c>
      <c r="K1250" s="8" t="str">
        <f>_xlfn.XLOOKUP(D1250,Master[Product_Code],Master[Color])</f>
        <v>Wine</v>
      </c>
      <c r="L1250" s="3">
        <f>_xlfn.XLOOKUP(D1250,Master[Product_Code],Master[Selling_Price])</f>
        <v>140</v>
      </c>
    </row>
    <row r="1251" spans="2:12">
      <c r="B1251" s="2" t="s">
        <v>2274</v>
      </c>
      <c r="C1251" s="7">
        <v>45971</v>
      </c>
      <c r="D1251" s="2" t="s">
        <v>1025</v>
      </c>
      <c r="E1251" s="4">
        <v>1</v>
      </c>
      <c r="F1251" s="8" t="str">
        <f>_xlfn.XLOOKUP(D1251,Master[Product_Code],Master[Category])</f>
        <v>Jeans</v>
      </c>
      <c r="G1251" s="8" t="str">
        <f>_xlfn.XLOOKUP(D1251,Master[Product_Code],Master[Brand])</f>
        <v>Wrangler</v>
      </c>
      <c r="H1251" s="8" t="str">
        <f>_xlfn.XLOOKUP(D1251,Master[Product_Code],Master[Style])</f>
        <v>Mom Fit</v>
      </c>
      <c r="I1251" s="8" t="str">
        <f>_xlfn.XLOOKUP(D1251,Master[Product_Code],Master[Fabric])</f>
        <v>Denim</v>
      </c>
      <c r="J1251" s="8">
        <f>_xlfn.XLOOKUP(D1251,Master[Product_Code],Master[Size])</f>
        <v>40</v>
      </c>
      <c r="K1251" s="8" t="str">
        <f>_xlfn.XLOOKUP(D1251,Master[Product_Code],Master[Color])</f>
        <v>Light Grey</v>
      </c>
      <c r="L1251" s="3">
        <f>_xlfn.XLOOKUP(D1251,Master[Product_Code],Master[Selling_Price])</f>
        <v>1080</v>
      </c>
    </row>
    <row r="1252" spans="2:12">
      <c r="B1252" s="2" t="s">
        <v>2275</v>
      </c>
      <c r="C1252" s="7">
        <v>45971</v>
      </c>
      <c r="D1252" s="2" t="s">
        <v>1525</v>
      </c>
      <c r="E1252" s="4">
        <v>1</v>
      </c>
      <c r="F1252" s="8" t="str">
        <f>_xlfn.XLOOKUP(D1252,Master[Product_Code],Master[Category])</f>
        <v>Innerwear</v>
      </c>
      <c r="G1252" s="8" t="str">
        <f>_xlfn.XLOOKUP(D1252,Master[Product_Code],Master[Brand])</f>
        <v>Lux</v>
      </c>
      <c r="H1252" s="8" t="str">
        <f>_xlfn.XLOOKUP(D1252,Master[Product_Code],Master[Style])</f>
        <v>Boxer</v>
      </c>
      <c r="I1252" s="8" t="str">
        <f>_xlfn.XLOOKUP(D1252,Master[Product_Code],Master[Fabric])</f>
        <v>Cotton Blend</v>
      </c>
      <c r="J1252" s="8" t="str">
        <f>_xlfn.XLOOKUP(D1252,Master[Product_Code],Master[Size])</f>
        <v>105-110</v>
      </c>
      <c r="K1252" s="8" t="str">
        <f>_xlfn.XLOOKUP(D1252,Master[Product_Code],Master[Color])</f>
        <v>Charcoal</v>
      </c>
      <c r="L1252" s="3">
        <f>_xlfn.XLOOKUP(D1252,Master[Product_Code],Master[Selling_Price])</f>
        <v>160</v>
      </c>
    </row>
    <row r="1253" spans="2:12">
      <c r="B1253" s="2" t="s">
        <v>2276</v>
      </c>
      <c r="C1253" s="7">
        <v>45971</v>
      </c>
      <c r="D1253" s="2" t="s">
        <v>641</v>
      </c>
      <c r="E1253" s="4">
        <v>1</v>
      </c>
      <c r="F1253" s="8" t="str">
        <f>_xlfn.XLOOKUP(D1253,Master[Product_Code],Master[Category])</f>
        <v>T-Shirt</v>
      </c>
      <c r="G1253" s="8" t="str">
        <f>_xlfn.XLOOKUP(D1253,Master[Product_Code],Master[Brand])</f>
        <v>Thailand</v>
      </c>
      <c r="H1253" s="8" t="str">
        <f>_xlfn.XLOOKUP(D1253,Master[Product_Code],Master[Style])</f>
        <v>3/4 Sleeve</v>
      </c>
      <c r="I1253" s="8" t="str">
        <f>_xlfn.XLOOKUP(D1253,Master[Product_Code],Master[Fabric])</f>
        <v>Cotton Blend</v>
      </c>
      <c r="J1253" s="8" t="str">
        <f>_xlfn.XLOOKUP(D1253,Master[Product_Code],Master[Size])</f>
        <v>L</v>
      </c>
      <c r="K1253" s="8" t="str">
        <f>_xlfn.XLOOKUP(D1253,Master[Product_Code],Master[Color])</f>
        <v>Grey</v>
      </c>
      <c r="L1253" s="3">
        <f>_xlfn.XLOOKUP(D1253,Master[Product_Code],Master[Selling_Price])</f>
        <v>670</v>
      </c>
    </row>
    <row r="1254" spans="2:12">
      <c r="B1254" s="2" t="s">
        <v>2276</v>
      </c>
      <c r="C1254" s="7">
        <v>45971</v>
      </c>
      <c r="D1254" s="2" t="s">
        <v>595</v>
      </c>
      <c r="E1254" s="4">
        <v>1</v>
      </c>
      <c r="F1254" s="8" t="str">
        <f>_xlfn.XLOOKUP(D1254,Master[Product_Code],Master[Category])</f>
        <v>T-Shirt</v>
      </c>
      <c r="G1254" s="8" t="str">
        <f>_xlfn.XLOOKUP(D1254,Master[Product_Code],Master[Brand])</f>
        <v>Urban Monkey</v>
      </c>
      <c r="H1254" s="8" t="str">
        <f>_xlfn.XLOOKUP(D1254,Master[Product_Code],Master[Style])</f>
        <v>Sleeveless</v>
      </c>
      <c r="I1254" s="8" t="str">
        <f>_xlfn.XLOOKUP(D1254,Master[Product_Code],Master[Fabric])</f>
        <v>Poly Cotton</v>
      </c>
      <c r="J1254" s="8" t="str">
        <f>_xlfn.XLOOKUP(D1254,Master[Product_Code],Master[Size])</f>
        <v>M</v>
      </c>
      <c r="K1254" s="8" t="str">
        <f>_xlfn.XLOOKUP(D1254,Master[Product_Code],Master[Color])</f>
        <v>Olive</v>
      </c>
      <c r="L1254" s="3">
        <f>_xlfn.XLOOKUP(D1254,Master[Product_Code],Master[Selling_Price])</f>
        <v>280</v>
      </c>
    </row>
    <row r="1255" spans="2:12">
      <c r="B1255" s="2" t="s">
        <v>2276</v>
      </c>
      <c r="C1255" s="7">
        <v>45971</v>
      </c>
      <c r="D1255" s="2" t="s">
        <v>857</v>
      </c>
      <c r="E1255" s="4">
        <v>1</v>
      </c>
      <c r="F1255" s="8" t="str">
        <f>_xlfn.XLOOKUP(D1255,Master[Product_Code],Master[Category])</f>
        <v>Jeans</v>
      </c>
      <c r="G1255" s="8" t="str">
        <f>_xlfn.XLOOKUP(D1255,Master[Product_Code],Master[Brand])</f>
        <v>Pepe</v>
      </c>
      <c r="H1255" s="8" t="str">
        <f>_xlfn.XLOOKUP(D1255,Master[Product_Code],Master[Style])</f>
        <v>Baggy</v>
      </c>
      <c r="I1255" s="8" t="str">
        <f>_xlfn.XLOOKUP(D1255,Master[Product_Code],Master[Fabric])</f>
        <v>Denim</v>
      </c>
      <c r="J1255" s="8">
        <f>_xlfn.XLOOKUP(D1255,Master[Product_Code],Master[Size])</f>
        <v>38</v>
      </c>
      <c r="K1255" s="8" t="str">
        <f>_xlfn.XLOOKUP(D1255,Master[Product_Code],Master[Color])</f>
        <v>Bottle Green</v>
      </c>
      <c r="L1255" s="3">
        <f>_xlfn.XLOOKUP(D1255,Master[Product_Code],Master[Selling_Price])</f>
        <v>1060</v>
      </c>
    </row>
    <row r="1256" spans="2:12">
      <c r="B1256" s="2" t="s">
        <v>2277</v>
      </c>
      <c r="C1256" s="7">
        <v>45971</v>
      </c>
      <c r="D1256" s="2" t="s">
        <v>575</v>
      </c>
      <c r="E1256" s="4">
        <v>1</v>
      </c>
      <c r="F1256" s="8" t="str">
        <f>_xlfn.XLOOKUP(D1256,Master[Product_Code],Master[Category])</f>
        <v>T-Shirt</v>
      </c>
      <c r="G1256" s="8" t="str">
        <f>_xlfn.XLOOKUP(D1256,Master[Product_Code],Master[Brand])</f>
        <v>Thailand</v>
      </c>
      <c r="H1256" s="8" t="str">
        <f>_xlfn.XLOOKUP(D1256,Master[Product_Code],Master[Style])</f>
        <v>Hoodie</v>
      </c>
      <c r="I1256" s="8" t="str">
        <f>_xlfn.XLOOKUP(D1256,Master[Product_Code],Master[Fabric])</f>
        <v>Cotton</v>
      </c>
      <c r="J1256" s="8" t="str">
        <f>_xlfn.XLOOKUP(D1256,Master[Product_Code],Master[Size])</f>
        <v>M</v>
      </c>
      <c r="K1256" s="8" t="str">
        <f>_xlfn.XLOOKUP(D1256,Master[Product_Code],Master[Color])</f>
        <v>Sky Blue</v>
      </c>
      <c r="L1256" s="3">
        <f>_xlfn.XLOOKUP(D1256,Master[Product_Code],Master[Selling_Price])</f>
        <v>590</v>
      </c>
    </row>
    <row r="1257" spans="2:12">
      <c r="B1257" s="2" t="s">
        <v>2277</v>
      </c>
      <c r="C1257" s="7">
        <v>45971</v>
      </c>
      <c r="D1257" s="2" t="s">
        <v>434</v>
      </c>
      <c r="E1257" s="4">
        <v>1</v>
      </c>
      <c r="F1257" s="8" t="str">
        <f>_xlfn.XLOOKUP(D1257,Master[Product_Code],Master[Category])</f>
        <v>T-Shirt</v>
      </c>
      <c r="G1257" s="8" t="str">
        <f>_xlfn.XLOOKUP(D1257,Master[Product_Code],Master[Brand])</f>
        <v>Turkey</v>
      </c>
      <c r="H1257" s="8" t="str">
        <f>_xlfn.XLOOKUP(D1257,Master[Product_Code],Master[Style])</f>
        <v>Hoodie</v>
      </c>
      <c r="I1257" s="8" t="str">
        <f>_xlfn.XLOOKUP(D1257,Master[Product_Code],Master[Fabric])</f>
        <v>Poly Cotton</v>
      </c>
      <c r="J1257" s="8" t="str">
        <f>_xlfn.XLOOKUP(D1257,Master[Product_Code],Master[Size])</f>
        <v>L</v>
      </c>
      <c r="K1257" s="8" t="str">
        <f>_xlfn.XLOOKUP(D1257,Master[Product_Code],Master[Color])</f>
        <v>Teal</v>
      </c>
      <c r="L1257" s="3">
        <f>_xlfn.XLOOKUP(D1257,Master[Product_Code],Master[Selling_Price])</f>
        <v>380</v>
      </c>
    </row>
    <row r="1258" spans="2:12">
      <c r="B1258" s="2" t="s">
        <v>2277</v>
      </c>
      <c r="C1258" s="7">
        <v>45971</v>
      </c>
      <c r="D1258" s="2" t="s">
        <v>1516</v>
      </c>
      <c r="E1258" s="4">
        <v>1</v>
      </c>
      <c r="F1258" s="8" t="str">
        <f>_xlfn.XLOOKUP(D1258,Master[Product_Code],Master[Category])</f>
        <v>Innerwear</v>
      </c>
      <c r="G1258" s="8" t="str">
        <f>_xlfn.XLOOKUP(D1258,Master[Product_Code],Master[Brand])</f>
        <v>Dollar</v>
      </c>
      <c r="H1258" s="8" t="str">
        <f>_xlfn.XLOOKUP(D1258,Master[Product_Code],Master[Style])</f>
        <v>Boxer</v>
      </c>
      <c r="I1258" s="8" t="str">
        <f>_xlfn.XLOOKUP(D1258,Master[Product_Code],Master[Fabric])</f>
        <v>Cotton</v>
      </c>
      <c r="J1258" s="8" t="str">
        <f>_xlfn.XLOOKUP(D1258,Master[Product_Code],Master[Size])</f>
        <v>85-90</v>
      </c>
      <c r="K1258" s="8" t="str">
        <f>_xlfn.XLOOKUP(D1258,Master[Product_Code],Master[Color])</f>
        <v>Rust</v>
      </c>
      <c r="L1258" s="3">
        <f>_xlfn.XLOOKUP(D1258,Master[Product_Code],Master[Selling_Price])</f>
        <v>130</v>
      </c>
    </row>
    <row r="1259" spans="2:12">
      <c r="B1259" s="2" t="s">
        <v>2278</v>
      </c>
      <c r="C1259" s="7">
        <v>45971</v>
      </c>
      <c r="D1259" s="2" t="s">
        <v>1724</v>
      </c>
      <c r="E1259" s="4">
        <v>1</v>
      </c>
      <c r="F1259" s="8" t="str">
        <f>_xlfn.XLOOKUP(D1259,Master[Product_Code],Master[Category])</f>
        <v>Innerwear</v>
      </c>
      <c r="G1259" s="8" t="str">
        <f>_xlfn.XLOOKUP(D1259,Master[Product_Code],Master[Brand])</f>
        <v>Jockey</v>
      </c>
      <c r="H1259" s="8" t="str">
        <f>_xlfn.XLOOKUP(D1259,Master[Product_Code],Master[Style])</f>
        <v>V-Cut</v>
      </c>
      <c r="I1259" s="8" t="str">
        <f>_xlfn.XLOOKUP(D1259,Master[Product_Code],Master[Fabric])</f>
        <v>Cotton Blend</v>
      </c>
      <c r="J1259" s="8" t="str">
        <f>_xlfn.XLOOKUP(D1259,Master[Product_Code],Master[Size])</f>
        <v>85-90</v>
      </c>
      <c r="K1259" s="8" t="str">
        <f>_xlfn.XLOOKUP(D1259,Master[Product_Code],Master[Color])</f>
        <v>Sky Blue</v>
      </c>
      <c r="L1259" s="3">
        <f>_xlfn.XLOOKUP(D1259,Master[Product_Code],Master[Selling_Price])</f>
        <v>120</v>
      </c>
    </row>
    <row r="1260" spans="2:12">
      <c r="B1260" s="2" t="s">
        <v>2278</v>
      </c>
      <c r="C1260" s="7">
        <v>45971</v>
      </c>
      <c r="D1260" s="2" t="s">
        <v>1181</v>
      </c>
      <c r="E1260" s="4">
        <v>1</v>
      </c>
      <c r="F1260" s="8" t="str">
        <f>_xlfn.XLOOKUP(D1260,Master[Product_Code],Master[Category])</f>
        <v>Pants</v>
      </c>
      <c r="G1260" s="8" t="str">
        <f>_xlfn.XLOOKUP(D1260,Master[Product_Code],Master[Brand])</f>
        <v>Van Heusen</v>
      </c>
      <c r="H1260" s="8" t="str">
        <f>_xlfn.XLOOKUP(D1260,Master[Product_Code],Master[Style])</f>
        <v>Korean</v>
      </c>
      <c r="I1260" s="8" t="str">
        <f>_xlfn.XLOOKUP(D1260,Master[Product_Code],Master[Fabric])</f>
        <v>Lycra</v>
      </c>
      <c r="J1260" s="8">
        <f>_xlfn.XLOOKUP(D1260,Master[Product_Code],Master[Size])</f>
        <v>42</v>
      </c>
      <c r="K1260" s="8" t="str">
        <f>_xlfn.XLOOKUP(D1260,Master[Product_Code],Master[Color])</f>
        <v>Royal Blue</v>
      </c>
      <c r="L1260" s="3">
        <f>_xlfn.XLOOKUP(D1260,Master[Product_Code],Master[Selling_Price])</f>
        <v>820</v>
      </c>
    </row>
    <row r="1261" spans="2:12">
      <c r="B1261" s="2" t="s">
        <v>2278</v>
      </c>
      <c r="C1261" s="7">
        <v>45971</v>
      </c>
      <c r="D1261" s="2" t="s">
        <v>1114</v>
      </c>
      <c r="E1261" s="4">
        <v>1</v>
      </c>
      <c r="F1261" s="8" t="str">
        <f>_xlfn.XLOOKUP(D1261,Master[Product_Code],Master[Category])</f>
        <v>Jeans</v>
      </c>
      <c r="G1261" s="8" t="str">
        <f>_xlfn.XLOOKUP(D1261,Master[Product_Code],Master[Brand])</f>
        <v>Spykar</v>
      </c>
      <c r="H1261" s="8" t="str">
        <f>_xlfn.XLOOKUP(D1261,Master[Product_Code],Master[Style])</f>
        <v>Jogger</v>
      </c>
      <c r="I1261" s="8" t="str">
        <f>_xlfn.XLOOKUP(D1261,Master[Product_Code],Master[Fabric])</f>
        <v>Denim</v>
      </c>
      <c r="J1261" s="8">
        <f>_xlfn.XLOOKUP(D1261,Master[Product_Code],Master[Size])</f>
        <v>28</v>
      </c>
      <c r="K1261" s="8" t="str">
        <f>_xlfn.XLOOKUP(D1261,Master[Product_Code],Master[Color])</f>
        <v>Peach</v>
      </c>
      <c r="L1261" s="3">
        <f>_xlfn.XLOOKUP(D1261,Master[Product_Code],Master[Selling_Price])</f>
        <v>880</v>
      </c>
    </row>
    <row r="1262" spans="2:12">
      <c r="B1262" s="2" t="s">
        <v>2279</v>
      </c>
      <c r="C1262" s="7">
        <v>45971</v>
      </c>
      <c r="D1262" s="2" t="s">
        <v>380</v>
      </c>
      <c r="E1262" s="4">
        <v>1</v>
      </c>
      <c r="F1262" s="8" t="str">
        <f>_xlfn.XLOOKUP(D1262,Master[Product_Code],Master[Category])</f>
        <v>Shirt</v>
      </c>
      <c r="G1262" s="8" t="str">
        <f>_xlfn.XLOOKUP(D1262,Master[Product_Code],Master[Brand])</f>
        <v>British</v>
      </c>
      <c r="H1262" s="8" t="str">
        <f>_xlfn.XLOOKUP(D1262,Master[Product_Code],Master[Style])</f>
        <v>Casual</v>
      </c>
      <c r="I1262" s="8" t="str">
        <f>_xlfn.XLOOKUP(D1262,Master[Product_Code],Master[Fabric])</f>
        <v>Polyester</v>
      </c>
      <c r="J1262" s="8" t="str">
        <f>_xlfn.XLOOKUP(D1262,Master[Product_Code],Master[Size])</f>
        <v>XXL</v>
      </c>
      <c r="K1262" s="8" t="str">
        <f>_xlfn.XLOOKUP(D1262,Master[Product_Code],Master[Color])</f>
        <v>Grey</v>
      </c>
      <c r="L1262" s="3">
        <f>_xlfn.XLOOKUP(D1262,Master[Product_Code],Master[Selling_Price])</f>
        <v>900</v>
      </c>
    </row>
    <row r="1263" spans="2:12">
      <c r="B1263" s="2" t="s">
        <v>2279</v>
      </c>
      <c r="C1263" s="7">
        <v>45971</v>
      </c>
      <c r="D1263" s="2" t="s">
        <v>429</v>
      </c>
      <c r="E1263" s="4">
        <v>1</v>
      </c>
      <c r="F1263" s="8" t="str">
        <f>_xlfn.XLOOKUP(D1263,Master[Product_Code],Master[Category])</f>
        <v>T-Shirt</v>
      </c>
      <c r="G1263" s="8" t="str">
        <f>_xlfn.XLOOKUP(D1263,Master[Product_Code],Master[Brand])</f>
        <v>Max</v>
      </c>
      <c r="H1263" s="8" t="str">
        <f>_xlfn.XLOOKUP(D1263,Master[Product_Code],Master[Style])</f>
        <v>Full Sleeve</v>
      </c>
      <c r="I1263" s="8" t="str">
        <f>_xlfn.XLOOKUP(D1263,Master[Product_Code],Master[Fabric])</f>
        <v>Poly Cotton</v>
      </c>
      <c r="J1263" s="8" t="str">
        <f>_xlfn.XLOOKUP(D1263,Master[Product_Code],Master[Size])</f>
        <v>M</v>
      </c>
      <c r="K1263" s="8" t="str">
        <f>_xlfn.XLOOKUP(D1263,Master[Product_Code],Master[Color])</f>
        <v>Navy Blue</v>
      </c>
      <c r="L1263" s="3">
        <f>_xlfn.XLOOKUP(D1263,Master[Product_Code],Master[Selling_Price])</f>
        <v>210</v>
      </c>
    </row>
    <row r="1264" spans="2:12">
      <c r="B1264" s="2" t="s">
        <v>2279</v>
      </c>
      <c r="C1264" s="7">
        <v>45971</v>
      </c>
      <c r="D1264" s="2" t="s">
        <v>697</v>
      </c>
      <c r="E1264" s="4">
        <v>1</v>
      </c>
      <c r="F1264" s="8" t="str">
        <f>_xlfn.XLOOKUP(D1264,Master[Product_Code],Master[Category])</f>
        <v>T-Shirt</v>
      </c>
      <c r="G1264" s="8" t="str">
        <f>_xlfn.XLOOKUP(D1264,Master[Product_Code],Master[Brand])</f>
        <v>Campus</v>
      </c>
      <c r="H1264" s="8" t="str">
        <f>_xlfn.XLOOKUP(D1264,Master[Product_Code],Master[Style])</f>
        <v>Full Sleeve</v>
      </c>
      <c r="I1264" s="8" t="str">
        <f>_xlfn.XLOOKUP(D1264,Master[Product_Code],Master[Fabric])</f>
        <v>Cotton</v>
      </c>
      <c r="J1264" s="8" t="str">
        <f>_xlfn.XLOOKUP(D1264,Master[Product_Code],Master[Size])</f>
        <v>L</v>
      </c>
      <c r="K1264" s="8" t="str">
        <f>_xlfn.XLOOKUP(D1264,Master[Product_Code],Master[Color])</f>
        <v>Teal</v>
      </c>
      <c r="L1264" s="3">
        <f>_xlfn.XLOOKUP(D1264,Master[Product_Code],Master[Selling_Price])</f>
        <v>750</v>
      </c>
    </row>
    <row r="1265" spans="2:12">
      <c r="B1265" s="2" t="s">
        <v>2279</v>
      </c>
      <c r="C1265" s="7">
        <v>45971</v>
      </c>
      <c r="D1265" s="2" t="s">
        <v>543</v>
      </c>
      <c r="E1265" s="4">
        <v>1</v>
      </c>
      <c r="F1265" s="8" t="str">
        <f>_xlfn.XLOOKUP(D1265,Master[Product_Code],Master[Category])</f>
        <v>T-Shirt</v>
      </c>
      <c r="G1265" s="8" t="str">
        <f>_xlfn.XLOOKUP(D1265,Master[Product_Code],Master[Brand])</f>
        <v>Thailand</v>
      </c>
      <c r="H1265" s="8" t="str">
        <f>_xlfn.XLOOKUP(D1265,Master[Product_Code],Master[Style])</f>
        <v>Full Sleeve</v>
      </c>
      <c r="I1265" s="8" t="str">
        <f>_xlfn.XLOOKUP(D1265,Master[Product_Code],Master[Fabric])</f>
        <v>Cotton Blend</v>
      </c>
      <c r="J1265" s="8" t="str">
        <f>_xlfn.XLOOKUP(D1265,Master[Product_Code],Master[Size])</f>
        <v>L</v>
      </c>
      <c r="K1265" s="8" t="str">
        <f>_xlfn.XLOOKUP(D1265,Master[Product_Code],Master[Color])</f>
        <v>Beige</v>
      </c>
      <c r="L1265" s="3">
        <f>_xlfn.XLOOKUP(D1265,Master[Product_Code],Master[Selling_Price])</f>
        <v>370</v>
      </c>
    </row>
    <row r="1266" spans="2:12">
      <c r="B1266" s="2" t="s">
        <v>2280</v>
      </c>
      <c r="C1266" s="7">
        <v>45971</v>
      </c>
      <c r="D1266" s="2" t="s">
        <v>1207</v>
      </c>
      <c r="E1266" s="4">
        <v>1</v>
      </c>
      <c r="F1266" s="8" t="str">
        <f>_xlfn.XLOOKUP(D1266,Master[Product_Code],Master[Category])</f>
        <v>Pants</v>
      </c>
      <c r="G1266" s="8" t="str">
        <f>_xlfn.XLOOKUP(D1266,Master[Product_Code],Master[Brand])</f>
        <v>Park Avenue</v>
      </c>
      <c r="H1266" s="8" t="str">
        <f>_xlfn.XLOOKUP(D1266,Master[Product_Code],Master[Style])</f>
        <v>Polofit</v>
      </c>
      <c r="I1266" s="8" t="str">
        <f>_xlfn.XLOOKUP(D1266,Master[Product_Code],Master[Fabric])</f>
        <v>Lycra</v>
      </c>
      <c r="J1266" s="8">
        <f>_xlfn.XLOOKUP(D1266,Master[Product_Code],Master[Size])</f>
        <v>44</v>
      </c>
      <c r="K1266" s="8" t="str">
        <f>_xlfn.XLOOKUP(D1266,Master[Product_Code],Master[Color])</f>
        <v>Peach</v>
      </c>
      <c r="L1266" s="3">
        <f>_xlfn.XLOOKUP(D1266,Master[Product_Code],Master[Selling_Price])</f>
        <v>920</v>
      </c>
    </row>
    <row r="1267" spans="2:12">
      <c r="B1267" s="2" t="s">
        <v>2280</v>
      </c>
      <c r="C1267" s="7">
        <v>45971</v>
      </c>
      <c r="D1267" s="2" t="s">
        <v>1276</v>
      </c>
      <c r="E1267" s="4">
        <v>1</v>
      </c>
      <c r="F1267" s="8" t="str">
        <f>_xlfn.XLOOKUP(D1267,Master[Product_Code],Master[Category])</f>
        <v>Pants</v>
      </c>
      <c r="G1267" s="8" t="str">
        <f>_xlfn.XLOOKUP(D1267,Master[Product_Code],Master[Brand])</f>
        <v>Louis Philippe</v>
      </c>
      <c r="H1267" s="8" t="str">
        <f>_xlfn.XLOOKUP(D1267,Master[Product_Code],Master[Style])</f>
        <v>Polofit</v>
      </c>
      <c r="I1267" s="8" t="str">
        <f>_xlfn.XLOOKUP(D1267,Master[Product_Code],Master[Fabric])</f>
        <v>Lycra</v>
      </c>
      <c r="J1267" s="8">
        <f>_xlfn.XLOOKUP(D1267,Master[Product_Code],Master[Size])</f>
        <v>32</v>
      </c>
      <c r="K1267" s="8" t="str">
        <f>_xlfn.XLOOKUP(D1267,Master[Product_Code],Master[Color])</f>
        <v>White</v>
      </c>
      <c r="L1267" s="3">
        <f>_xlfn.XLOOKUP(D1267,Master[Product_Code],Master[Selling_Price])</f>
        <v>900</v>
      </c>
    </row>
    <row r="1268" spans="2:12">
      <c r="B1268" s="2" t="s">
        <v>2280</v>
      </c>
      <c r="C1268" s="7">
        <v>45971</v>
      </c>
      <c r="D1268" s="2" t="s">
        <v>1477</v>
      </c>
      <c r="E1268" s="4">
        <v>1</v>
      </c>
      <c r="F1268" s="8" t="str">
        <f>_xlfn.XLOOKUP(D1268,Master[Product_Code],Master[Category])</f>
        <v>Innerwear</v>
      </c>
      <c r="G1268" s="8" t="str">
        <f>_xlfn.XLOOKUP(D1268,Master[Product_Code],Master[Brand])</f>
        <v>Dollar</v>
      </c>
      <c r="H1268" s="8" t="str">
        <f>_xlfn.XLOOKUP(D1268,Master[Product_Code],Master[Style])</f>
        <v>Boxer</v>
      </c>
      <c r="I1268" s="8" t="str">
        <f>_xlfn.XLOOKUP(D1268,Master[Product_Code],Master[Fabric])</f>
        <v>Cotton Blend</v>
      </c>
      <c r="J1268" s="8" t="str">
        <f>_xlfn.XLOOKUP(D1268,Master[Product_Code],Master[Size])</f>
        <v>80-85</v>
      </c>
      <c r="K1268" s="8" t="str">
        <f>_xlfn.XLOOKUP(D1268,Master[Product_Code],Master[Color])</f>
        <v>Royal Blue</v>
      </c>
      <c r="L1268" s="3">
        <f>_xlfn.XLOOKUP(D1268,Master[Product_Code],Master[Selling_Price])</f>
        <v>130</v>
      </c>
    </row>
    <row r="1269" spans="2:12">
      <c r="B1269" s="2" t="s">
        <v>2280</v>
      </c>
      <c r="C1269" s="7">
        <v>45971</v>
      </c>
      <c r="D1269" s="2" t="s">
        <v>1225</v>
      </c>
      <c r="E1269" s="4">
        <v>1</v>
      </c>
      <c r="F1269" s="8" t="str">
        <f>_xlfn.XLOOKUP(D1269,Master[Product_Code],Master[Category])</f>
        <v>Pants</v>
      </c>
      <c r="G1269" s="8" t="str">
        <f>_xlfn.XLOOKUP(D1269,Master[Product_Code],Master[Brand])</f>
        <v>Peter England</v>
      </c>
      <c r="H1269" s="8" t="str">
        <f>_xlfn.XLOOKUP(D1269,Master[Product_Code],Master[Style])</f>
        <v>Korean</v>
      </c>
      <c r="I1269" s="8" t="str">
        <f>_xlfn.XLOOKUP(D1269,Master[Product_Code],Master[Fabric])</f>
        <v>Lycra</v>
      </c>
      <c r="J1269" s="8">
        <f>_xlfn.XLOOKUP(D1269,Master[Product_Code],Master[Size])</f>
        <v>28</v>
      </c>
      <c r="K1269" s="8" t="str">
        <f>_xlfn.XLOOKUP(D1269,Master[Product_Code],Master[Color])</f>
        <v>Brown</v>
      </c>
      <c r="L1269" s="3">
        <f>_xlfn.XLOOKUP(D1269,Master[Product_Code],Master[Selling_Price])</f>
        <v>890</v>
      </c>
    </row>
    <row r="1270" spans="2:12">
      <c r="B1270" s="2" t="s">
        <v>2281</v>
      </c>
      <c r="C1270" s="7">
        <v>45971</v>
      </c>
      <c r="D1270" s="2" t="s">
        <v>806</v>
      </c>
      <c r="E1270" s="4">
        <v>1</v>
      </c>
      <c r="F1270" s="8" t="str">
        <f>_xlfn.XLOOKUP(D1270,Master[Product_Code],Master[Category])</f>
        <v>T-Shirt</v>
      </c>
      <c r="G1270" s="8" t="str">
        <f>_xlfn.XLOOKUP(D1270,Master[Product_Code],Master[Brand])</f>
        <v>Roadster</v>
      </c>
      <c r="H1270" s="8" t="str">
        <f>_xlfn.XLOOKUP(D1270,Master[Product_Code],Master[Style])</f>
        <v>Half Sleeve</v>
      </c>
      <c r="I1270" s="8" t="str">
        <f>_xlfn.XLOOKUP(D1270,Master[Product_Code],Master[Fabric])</f>
        <v>Cotton Blend</v>
      </c>
      <c r="J1270" s="8" t="str">
        <f>_xlfn.XLOOKUP(D1270,Master[Product_Code],Master[Size])</f>
        <v>M</v>
      </c>
      <c r="K1270" s="8" t="str">
        <f>_xlfn.XLOOKUP(D1270,Master[Product_Code],Master[Color])</f>
        <v>Bottle Green</v>
      </c>
      <c r="L1270" s="3">
        <f>_xlfn.XLOOKUP(D1270,Master[Product_Code],Master[Selling_Price])</f>
        <v>500</v>
      </c>
    </row>
    <row r="1271" spans="2:12">
      <c r="B1271" s="2" t="s">
        <v>2282</v>
      </c>
      <c r="C1271" s="7">
        <v>45971</v>
      </c>
      <c r="D1271" s="2" t="s">
        <v>105</v>
      </c>
      <c r="E1271" s="4">
        <v>1</v>
      </c>
      <c r="F1271" s="8" t="str">
        <f>_xlfn.XLOOKUP(D1271,Master[Product_Code],Master[Category])</f>
        <v>Shirt</v>
      </c>
      <c r="G1271" s="8" t="str">
        <f>_xlfn.XLOOKUP(D1271,Master[Product_Code],Master[Brand])</f>
        <v>USD</v>
      </c>
      <c r="H1271" s="8" t="str">
        <f>_xlfn.XLOOKUP(D1271,Master[Product_Code],Master[Style])</f>
        <v>Partywear</v>
      </c>
      <c r="I1271" s="8" t="str">
        <f>_xlfn.XLOOKUP(D1271,Master[Product_Code],Master[Fabric])</f>
        <v>Cotton Blend</v>
      </c>
      <c r="J1271" s="8" t="str">
        <f>_xlfn.XLOOKUP(D1271,Master[Product_Code],Master[Size])</f>
        <v>M</v>
      </c>
      <c r="K1271" s="8" t="str">
        <f>_xlfn.XLOOKUP(D1271,Master[Product_Code],Master[Color])</f>
        <v>Cream</v>
      </c>
      <c r="L1271" s="3">
        <f>_xlfn.XLOOKUP(D1271,Master[Product_Code],Master[Selling_Price])</f>
        <v>750</v>
      </c>
    </row>
    <row r="1272" spans="2:12">
      <c r="B1272" s="2" t="s">
        <v>2282</v>
      </c>
      <c r="C1272" s="7">
        <v>45971</v>
      </c>
      <c r="D1272" s="2" t="s">
        <v>1118</v>
      </c>
      <c r="E1272" s="4">
        <v>1</v>
      </c>
      <c r="F1272" s="8" t="str">
        <f>_xlfn.XLOOKUP(D1272,Master[Product_Code],Master[Category])</f>
        <v>Jeans</v>
      </c>
      <c r="G1272" s="8" t="str">
        <f>_xlfn.XLOOKUP(D1272,Master[Product_Code],Master[Brand])</f>
        <v>Levis</v>
      </c>
      <c r="H1272" s="8" t="str">
        <f>_xlfn.XLOOKUP(D1272,Master[Product_Code],Master[Style])</f>
        <v>Baggy</v>
      </c>
      <c r="I1272" s="8" t="str">
        <f>_xlfn.XLOOKUP(D1272,Master[Product_Code],Master[Fabric])</f>
        <v>Denim</v>
      </c>
      <c r="J1272" s="8">
        <f>_xlfn.XLOOKUP(D1272,Master[Product_Code],Master[Size])</f>
        <v>30</v>
      </c>
      <c r="K1272" s="8" t="str">
        <f>_xlfn.XLOOKUP(D1272,Master[Product_Code],Master[Color])</f>
        <v>Royal Blue</v>
      </c>
      <c r="L1272" s="3">
        <f>_xlfn.XLOOKUP(D1272,Master[Product_Code],Master[Selling_Price])</f>
        <v>880</v>
      </c>
    </row>
    <row r="1273" spans="2:12">
      <c r="B1273" s="2" t="s">
        <v>2283</v>
      </c>
      <c r="C1273" s="7">
        <v>45971</v>
      </c>
      <c r="D1273" s="2" t="s">
        <v>786</v>
      </c>
      <c r="E1273" s="4">
        <v>1</v>
      </c>
      <c r="F1273" s="8" t="str">
        <f>_xlfn.XLOOKUP(D1273,Master[Product_Code],Master[Category])</f>
        <v>T-Shirt</v>
      </c>
      <c r="G1273" s="8" t="str">
        <f>_xlfn.XLOOKUP(D1273,Master[Product_Code],Master[Brand])</f>
        <v>Urban Monkey</v>
      </c>
      <c r="H1273" s="8" t="str">
        <f>_xlfn.XLOOKUP(D1273,Master[Product_Code],Master[Style])</f>
        <v>Hoodie</v>
      </c>
      <c r="I1273" s="8" t="str">
        <f>_xlfn.XLOOKUP(D1273,Master[Product_Code],Master[Fabric])</f>
        <v>Cotton</v>
      </c>
      <c r="J1273" s="8" t="str">
        <f>_xlfn.XLOOKUP(D1273,Master[Product_Code],Master[Size])</f>
        <v>XL</v>
      </c>
      <c r="K1273" s="8" t="str">
        <f>_xlfn.XLOOKUP(D1273,Master[Product_Code],Master[Color])</f>
        <v>Maroon</v>
      </c>
      <c r="L1273" s="3">
        <f>_xlfn.XLOOKUP(D1273,Master[Product_Code],Master[Selling_Price])</f>
        <v>630</v>
      </c>
    </row>
    <row r="1274" spans="2:12">
      <c r="B1274" s="2" t="s">
        <v>2284</v>
      </c>
      <c r="C1274" s="7">
        <v>45971</v>
      </c>
      <c r="D1274" s="2" t="s">
        <v>1682</v>
      </c>
      <c r="E1274" s="4">
        <v>1</v>
      </c>
      <c r="F1274" s="8" t="str">
        <f>_xlfn.XLOOKUP(D1274,Master[Product_Code],Master[Category])</f>
        <v>Innerwear</v>
      </c>
      <c r="G1274" s="8" t="str">
        <f>_xlfn.XLOOKUP(D1274,Master[Product_Code],Master[Brand])</f>
        <v>Rupa</v>
      </c>
      <c r="H1274" s="8" t="str">
        <f>_xlfn.XLOOKUP(D1274,Master[Product_Code],Master[Style])</f>
        <v>Boxer</v>
      </c>
      <c r="I1274" s="8" t="str">
        <f>_xlfn.XLOOKUP(D1274,Master[Product_Code],Master[Fabric])</f>
        <v>Cotton</v>
      </c>
      <c r="J1274" s="8" t="str">
        <f>_xlfn.XLOOKUP(D1274,Master[Product_Code],Master[Size])</f>
        <v>75-80</v>
      </c>
      <c r="K1274" s="8" t="str">
        <f>_xlfn.XLOOKUP(D1274,Master[Product_Code],Master[Color])</f>
        <v>Charcoal</v>
      </c>
      <c r="L1274" s="3">
        <f>_xlfn.XLOOKUP(D1274,Master[Product_Code],Master[Selling_Price])</f>
        <v>100</v>
      </c>
    </row>
    <row r="1275" spans="2:12">
      <c r="B1275" s="2" t="s">
        <v>2285</v>
      </c>
      <c r="C1275" s="7">
        <v>45971</v>
      </c>
      <c r="D1275" s="2" t="s">
        <v>877</v>
      </c>
      <c r="E1275" s="4">
        <v>1</v>
      </c>
      <c r="F1275" s="8" t="str">
        <f>_xlfn.XLOOKUP(D1275,Master[Product_Code],Master[Category])</f>
        <v>Jeans</v>
      </c>
      <c r="G1275" s="8" t="str">
        <f>_xlfn.XLOOKUP(D1275,Master[Product_Code],Master[Brand])</f>
        <v>Denim Pro</v>
      </c>
      <c r="H1275" s="8" t="str">
        <f>_xlfn.XLOOKUP(D1275,Master[Product_Code],Master[Style])</f>
        <v>Mom Fit</v>
      </c>
      <c r="I1275" s="8" t="str">
        <f>_xlfn.XLOOKUP(D1275,Master[Product_Code],Master[Fabric])</f>
        <v>Denim</v>
      </c>
      <c r="J1275" s="8">
        <f>_xlfn.XLOOKUP(D1275,Master[Product_Code],Master[Size])</f>
        <v>34</v>
      </c>
      <c r="K1275" s="8" t="str">
        <f>_xlfn.XLOOKUP(D1275,Master[Product_Code],Master[Color])</f>
        <v>Bottle Green</v>
      </c>
      <c r="L1275" s="3">
        <f>_xlfn.XLOOKUP(D1275,Master[Product_Code],Master[Selling_Price])</f>
        <v>1080</v>
      </c>
    </row>
    <row r="1276" spans="2:12">
      <c r="B1276" s="2" t="s">
        <v>2285</v>
      </c>
      <c r="C1276" s="7">
        <v>45971</v>
      </c>
      <c r="D1276" s="2" t="s">
        <v>706</v>
      </c>
      <c r="E1276" s="4">
        <v>1</v>
      </c>
      <c r="F1276" s="8" t="str">
        <f>_xlfn.XLOOKUP(D1276,Master[Product_Code],Master[Category])</f>
        <v>T-Shirt</v>
      </c>
      <c r="G1276" s="8" t="str">
        <f>_xlfn.XLOOKUP(D1276,Master[Product_Code],Master[Brand])</f>
        <v>Roadster</v>
      </c>
      <c r="H1276" s="8" t="str">
        <f>_xlfn.XLOOKUP(D1276,Master[Product_Code],Master[Style])</f>
        <v>Full Sleeve</v>
      </c>
      <c r="I1276" s="8" t="str">
        <f>_xlfn.XLOOKUP(D1276,Master[Product_Code],Master[Fabric])</f>
        <v>Cotton Blend</v>
      </c>
      <c r="J1276" s="8" t="str">
        <f>_xlfn.XLOOKUP(D1276,Master[Product_Code],Master[Size])</f>
        <v>XL</v>
      </c>
      <c r="K1276" s="8" t="str">
        <f>_xlfn.XLOOKUP(D1276,Master[Product_Code],Master[Color])</f>
        <v>Mustard</v>
      </c>
      <c r="L1276" s="3">
        <f>_xlfn.XLOOKUP(D1276,Master[Product_Code],Master[Selling_Price])</f>
        <v>510</v>
      </c>
    </row>
    <row r="1277" spans="2:12">
      <c r="B1277" s="2" t="s">
        <v>2286</v>
      </c>
      <c r="C1277" s="7">
        <v>45971</v>
      </c>
      <c r="D1277" s="2" t="s">
        <v>1069</v>
      </c>
      <c r="E1277" s="4">
        <v>1</v>
      </c>
      <c r="F1277" s="8" t="str">
        <f>_xlfn.XLOOKUP(D1277,Master[Product_Code],Master[Category])</f>
        <v>Jeans</v>
      </c>
      <c r="G1277" s="8" t="str">
        <f>_xlfn.XLOOKUP(D1277,Master[Product_Code],Master[Brand])</f>
        <v>Levis</v>
      </c>
      <c r="H1277" s="8" t="str">
        <f>_xlfn.XLOOKUP(D1277,Master[Product_Code],Master[Style])</f>
        <v>Baggy</v>
      </c>
      <c r="I1277" s="8" t="str">
        <f>_xlfn.XLOOKUP(D1277,Master[Product_Code],Master[Fabric])</f>
        <v>Denim</v>
      </c>
      <c r="J1277" s="8">
        <f>_xlfn.XLOOKUP(D1277,Master[Product_Code],Master[Size])</f>
        <v>44</v>
      </c>
      <c r="K1277" s="8" t="str">
        <f>_xlfn.XLOOKUP(D1277,Master[Product_Code],Master[Color])</f>
        <v>Charcoal</v>
      </c>
      <c r="L1277" s="3">
        <f>_xlfn.XLOOKUP(D1277,Master[Product_Code],Master[Selling_Price])</f>
        <v>940</v>
      </c>
    </row>
    <row r="1278" spans="2:12">
      <c r="B1278" s="2" t="s">
        <v>2287</v>
      </c>
      <c r="C1278" s="7">
        <v>45971</v>
      </c>
      <c r="D1278" s="2" t="s">
        <v>1070</v>
      </c>
      <c r="E1278" s="4">
        <v>1</v>
      </c>
      <c r="F1278" s="8" t="str">
        <f>_xlfn.XLOOKUP(D1278,Master[Product_Code],Master[Category])</f>
        <v>Jeans</v>
      </c>
      <c r="G1278" s="8" t="str">
        <f>_xlfn.XLOOKUP(D1278,Master[Product_Code],Master[Brand])</f>
        <v>Denim Pro</v>
      </c>
      <c r="H1278" s="8" t="str">
        <f>_xlfn.XLOOKUP(D1278,Master[Product_Code],Master[Style])</f>
        <v>Baggy</v>
      </c>
      <c r="I1278" s="8" t="str">
        <f>_xlfn.XLOOKUP(D1278,Master[Product_Code],Master[Fabric])</f>
        <v>Denim</v>
      </c>
      <c r="J1278" s="8">
        <f>_xlfn.XLOOKUP(D1278,Master[Product_Code],Master[Size])</f>
        <v>44</v>
      </c>
      <c r="K1278" s="8" t="str">
        <f>_xlfn.XLOOKUP(D1278,Master[Product_Code],Master[Color])</f>
        <v>Teal</v>
      </c>
      <c r="L1278" s="3">
        <f>_xlfn.XLOOKUP(D1278,Master[Product_Code],Master[Selling_Price])</f>
        <v>910</v>
      </c>
    </row>
    <row r="1279" spans="2:12">
      <c r="B1279" s="2" t="s">
        <v>2287</v>
      </c>
      <c r="C1279" s="7">
        <v>45971</v>
      </c>
      <c r="D1279" s="2" t="s">
        <v>222</v>
      </c>
      <c r="E1279" s="4">
        <v>1</v>
      </c>
      <c r="F1279" s="8" t="str">
        <f>_xlfn.XLOOKUP(D1279,Master[Product_Code],Master[Category])</f>
        <v>Shirt</v>
      </c>
      <c r="G1279" s="8" t="str">
        <f>_xlfn.XLOOKUP(D1279,Master[Product_Code],Master[Brand])</f>
        <v>H&amp;M</v>
      </c>
      <c r="H1279" s="8" t="str">
        <f>_xlfn.XLOOKUP(D1279,Master[Product_Code],Master[Style])</f>
        <v>Casual</v>
      </c>
      <c r="I1279" s="8" t="str">
        <f>_xlfn.XLOOKUP(D1279,Master[Product_Code],Master[Fabric])</f>
        <v>Lycra</v>
      </c>
      <c r="J1279" s="8" t="str">
        <f>_xlfn.XLOOKUP(D1279,Master[Product_Code],Master[Size])</f>
        <v>XL</v>
      </c>
      <c r="K1279" s="8" t="str">
        <f>_xlfn.XLOOKUP(D1279,Master[Product_Code],Master[Color])</f>
        <v>Sky Blue</v>
      </c>
      <c r="L1279" s="3">
        <f>_xlfn.XLOOKUP(D1279,Master[Product_Code],Master[Selling_Price])</f>
        <v>870</v>
      </c>
    </row>
    <row r="1280" spans="2:12">
      <c r="B1280" s="2" t="s">
        <v>2287</v>
      </c>
      <c r="C1280" s="7">
        <v>45971</v>
      </c>
      <c r="D1280" s="2" t="s">
        <v>625</v>
      </c>
      <c r="E1280" s="4">
        <v>1</v>
      </c>
      <c r="F1280" s="8" t="str">
        <f>_xlfn.XLOOKUP(D1280,Master[Product_Code],Master[Category])</f>
        <v>T-Shirt</v>
      </c>
      <c r="G1280" s="8" t="str">
        <f>_xlfn.XLOOKUP(D1280,Master[Product_Code],Master[Brand])</f>
        <v>Thailand</v>
      </c>
      <c r="H1280" s="8" t="str">
        <f>_xlfn.XLOOKUP(D1280,Master[Product_Code],Master[Style])</f>
        <v>Sleeveless</v>
      </c>
      <c r="I1280" s="8" t="str">
        <f>_xlfn.XLOOKUP(D1280,Master[Product_Code],Master[Fabric])</f>
        <v>Poly Cotton</v>
      </c>
      <c r="J1280" s="8" t="str">
        <f>_xlfn.XLOOKUP(D1280,Master[Product_Code],Master[Size])</f>
        <v>S</v>
      </c>
      <c r="K1280" s="8" t="str">
        <f>_xlfn.XLOOKUP(D1280,Master[Product_Code],Master[Color])</f>
        <v>Grey</v>
      </c>
      <c r="L1280" s="3">
        <f>_xlfn.XLOOKUP(D1280,Master[Product_Code],Master[Selling_Price])</f>
        <v>440</v>
      </c>
    </row>
    <row r="1281" spans="2:12">
      <c r="B1281" s="2" t="s">
        <v>2287</v>
      </c>
      <c r="C1281" s="7">
        <v>45971</v>
      </c>
      <c r="D1281" s="2" t="s">
        <v>773</v>
      </c>
      <c r="E1281" s="4">
        <v>1</v>
      </c>
      <c r="F1281" s="8" t="str">
        <f>_xlfn.XLOOKUP(D1281,Master[Product_Code],Master[Category])</f>
        <v>T-Shirt</v>
      </c>
      <c r="G1281" s="8" t="str">
        <f>_xlfn.XLOOKUP(D1281,Master[Product_Code],Master[Brand])</f>
        <v>Campus</v>
      </c>
      <c r="H1281" s="8" t="str">
        <f>_xlfn.XLOOKUP(D1281,Master[Product_Code],Master[Style])</f>
        <v>Half Sleeve</v>
      </c>
      <c r="I1281" s="8" t="str">
        <f>_xlfn.XLOOKUP(D1281,Master[Product_Code],Master[Fabric])</f>
        <v>Cotton Blend</v>
      </c>
      <c r="J1281" s="8" t="str">
        <f>_xlfn.XLOOKUP(D1281,Master[Product_Code],Master[Size])</f>
        <v>XL</v>
      </c>
      <c r="K1281" s="8" t="str">
        <f>_xlfn.XLOOKUP(D1281,Master[Product_Code],Master[Color])</f>
        <v>Peach</v>
      </c>
      <c r="L1281" s="3">
        <f>_xlfn.XLOOKUP(D1281,Master[Product_Code],Master[Selling_Price])</f>
        <v>450</v>
      </c>
    </row>
    <row r="1282" spans="2:12">
      <c r="B1282" s="2" t="s">
        <v>2288</v>
      </c>
      <c r="C1282" s="7">
        <v>45972</v>
      </c>
      <c r="D1282" s="2" t="s">
        <v>387</v>
      </c>
      <c r="E1282" s="4">
        <v>1</v>
      </c>
      <c r="F1282" s="8" t="str">
        <f>_xlfn.XLOOKUP(D1282,Master[Product_Code],Master[Category])</f>
        <v>Shirt</v>
      </c>
      <c r="G1282" s="8" t="str">
        <f>_xlfn.XLOOKUP(D1282,Master[Product_Code],Master[Brand])</f>
        <v>British</v>
      </c>
      <c r="H1282" s="8" t="str">
        <f>_xlfn.XLOOKUP(D1282,Master[Product_Code],Master[Style])</f>
        <v>Partywear</v>
      </c>
      <c r="I1282" s="8" t="str">
        <f>_xlfn.XLOOKUP(D1282,Master[Product_Code],Master[Fabric])</f>
        <v>Cotton</v>
      </c>
      <c r="J1282" s="8" t="str">
        <f>_xlfn.XLOOKUP(D1282,Master[Product_Code],Master[Size])</f>
        <v>XXL</v>
      </c>
      <c r="K1282" s="8" t="str">
        <f>_xlfn.XLOOKUP(D1282,Master[Product_Code],Master[Color])</f>
        <v>White</v>
      </c>
      <c r="L1282" s="3">
        <f>_xlfn.XLOOKUP(D1282,Master[Product_Code],Master[Selling_Price])</f>
        <v>780</v>
      </c>
    </row>
    <row r="1283" spans="2:12">
      <c r="B1283" s="2" t="s">
        <v>2289</v>
      </c>
      <c r="C1283" s="7">
        <v>45972</v>
      </c>
      <c r="D1283" s="2" t="s">
        <v>543</v>
      </c>
      <c r="E1283" s="4">
        <v>1</v>
      </c>
      <c r="F1283" s="8" t="str">
        <f>_xlfn.XLOOKUP(D1283,Master[Product_Code],Master[Category])</f>
        <v>T-Shirt</v>
      </c>
      <c r="G1283" s="8" t="str">
        <f>_xlfn.XLOOKUP(D1283,Master[Product_Code],Master[Brand])</f>
        <v>Thailand</v>
      </c>
      <c r="H1283" s="8" t="str">
        <f>_xlfn.XLOOKUP(D1283,Master[Product_Code],Master[Style])</f>
        <v>Full Sleeve</v>
      </c>
      <c r="I1283" s="8" t="str">
        <f>_xlfn.XLOOKUP(D1283,Master[Product_Code],Master[Fabric])</f>
        <v>Cotton Blend</v>
      </c>
      <c r="J1283" s="8" t="str">
        <f>_xlfn.XLOOKUP(D1283,Master[Product_Code],Master[Size])</f>
        <v>L</v>
      </c>
      <c r="K1283" s="8" t="str">
        <f>_xlfn.XLOOKUP(D1283,Master[Product_Code],Master[Color])</f>
        <v>Beige</v>
      </c>
      <c r="L1283" s="3">
        <f>_xlfn.XLOOKUP(D1283,Master[Product_Code],Master[Selling_Price])</f>
        <v>370</v>
      </c>
    </row>
    <row r="1284" spans="2:12">
      <c r="B1284" s="2" t="s">
        <v>2289</v>
      </c>
      <c r="C1284" s="7">
        <v>45972</v>
      </c>
      <c r="D1284" s="2" t="s">
        <v>521</v>
      </c>
      <c r="E1284" s="4">
        <v>1</v>
      </c>
      <c r="F1284" s="8" t="str">
        <f>_xlfn.XLOOKUP(D1284,Master[Product_Code],Master[Category])</f>
        <v>T-Shirt</v>
      </c>
      <c r="G1284" s="8" t="str">
        <f>_xlfn.XLOOKUP(D1284,Master[Product_Code],Master[Brand])</f>
        <v>Zara</v>
      </c>
      <c r="H1284" s="8" t="str">
        <f>_xlfn.XLOOKUP(D1284,Master[Product_Code],Master[Style])</f>
        <v>Full Sleeve</v>
      </c>
      <c r="I1284" s="8" t="str">
        <f>_xlfn.XLOOKUP(D1284,Master[Product_Code],Master[Fabric])</f>
        <v>Cotton</v>
      </c>
      <c r="J1284" s="8" t="str">
        <f>_xlfn.XLOOKUP(D1284,Master[Product_Code],Master[Size])</f>
        <v>XXL</v>
      </c>
      <c r="K1284" s="8" t="str">
        <f>_xlfn.XLOOKUP(D1284,Master[Product_Code],Master[Color])</f>
        <v>Rust</v>
      </c>
      <c r="L1284" s="3">
        <f>_xlfn.XLOOKUP(D1284,Master[Product_Code],Master[Selling_Price])</f>
        <v>270</v>
      </c>
    </row>
    <row r="1285" spans="2:12">
      <c r="B1285" s="2" t="s">
        <v>2289</v>
      </c>
      <c r="C1285" s="7">
        <v>45972</v>
      </c>
      <c r="D1285" s="2" t="s">
        <v>542</v>
      </c>
      <c r="E1285" s="4">
        <v>1</v>
      </c>
      <c r="F1285" s="8" t="str">
        <f>_xlfn.XLOOKUP(D1285,Master[Product_Code],Master[Category])</f>
        <v>T-Shirt</v>
      </c>
      <c r="G1285" s="8" t="str">
        <f>_xlfn.XLOOKUP(D1285,Master[Product_Code],Master[Brand])</f>
        <v>Thailand</v>
      </c>
      <c r="H1285" s="8" t="str">
        <f>_xlfn.XLOOKUP(D1285,Master[Product_Code],Master[Style])</f>
        <v>Sleeveless</v>
      </c>
      <c r="I1285" s="8" t="str">
        <f>_xlfn.XLOOKUP(D1285,Master[Product_Code],Master[Fabric])</f>
        <v>Cotton</v>
      </c>
      <c r="J1285" s="8" t="str">
        <f>_xlfn.XLOOKUP(D1285,Master[Product_Code],Master[Size])</f>
        <v>M</v>
      </c>
      <c r="K1285" s="8" t="str">
        <f>_xlfn.XLOOKUP(D1285,Master[Product_Code],Master[Color])</f>
        <v>White</v>
      </c>
      <c r="L1285" s="3">
        <f>_xlfn.XLOOKUP(D1285,Master[Product_Code],Master[Selling_Price])</f>
        <v>550</v>
      </c>
    </row>
    <row r="1286" spans="2:12">
      <c r="B1286" s="2" t="s">
        <v>2289</v>
      </c>
      <c r="C1286" s="7">
        <v>45972</v>
      </c>
      <c r="D1286" s="2" t="s">
        <v>682</v>
      </c>
      <c r="E1286" s="4">
        <v>1</v>
      </c>
      <c r="F1286" s="8" t="str">
        <f>_xlfn.XLOOKUP(D1286,Master[Product_Code],Master[Category])</f>
        <v>T-Shirt</v>
      </c>
      <c r="G1286" s="8" t="str">
        <f>_xlfn.XLOOKUP(D1286,Master[Product_Code],Master[Brand])</f>
        <v>Campus</v>
      </c>
      <c r="H1286" s="8" t="str">
        <f>_xlfn.XLOOKUP(D1286,Master[Product_Code],Master[Style])</f>
        <v>Sleeveless</v>
      </c>
      <c r="I1286" s="8" t="str">
        <f>_xlfn.XLOOKUP(D1286,Master[Product_Code],Master[Fabric])</f>
        <v>Cotton</v>
      </c>
      <c r="J1286" s="8" t="str">
        <f>_xlfn.XLOOKUP(D1286,Master[Product_Code],Master[Size])</f>
        <v>XXL</v>
      </c>
      <c r="K1286" s="8" t="str">
        <f>_xlfn.XLOOKUP(D1286,Master[Product_Code],Master[Color])</f>
        <v>Rust</v>
      </c>
      <c r="L1286" s="3">
        <f>_xlfn.XLOOKUP(D1286,Master[Product_Code],Master[Selling_Price])</f>
        <v>620</v>
      </c>
    </row>
    <row r="1287" spans="2:12">
      <c r="B1287" s="2" t="s">
        <v>2290</v>
      </c>
      <c r="C1287" s="7">
        <v>45972</v>
      </c>
      <c r="D1287" s="2" t="s">
        <v>944</v>
      </c>
      <c r="E1287" s="4">
        <v>1</v>
      </c>
      <c r="F1287" s="8" t="str">
        <f>_xlfn.XLOOKUP(D1287,Master[Product_Code],Master[Category])</f>
        <v>Jeans</v>
      </c>
      <c r="G1287" s="8" t="str">
        <f>_xlfn.XLOOKUP(D1287,Master[Product_Code],Master[Brand])</f>
        <v>Levis</v>
      </c>
      <c r="H1287" s="8" t="str">
        <f>_xlfn.XLOOKUP(D1287,Master[Product_Code],Master[Style])</f>
        <v>Jogger</v>
      </c>
      <c r="I1287" s="8" t="str">
        <f>_xlfn.XLOOKUP(D1287,Master[Product_Code],Master[Fabric])</f>
        <v>Denim</v>
      </c>
      <c r="J1287" s="8">
        <f>_xlfn.XLOOKUP(D1287,Master[Product_Code],Master[Size])</f>
        <v>32</v>
      </c>
      <c r="K1287" s="8" t="str">
        <f>_xlfn.XLOOKUP(D1287,Master[Product_Code],Master[Color])</f>
        <v>Grey</v>
      </c>
      <c r="L1287" s="3">
        <f>_xlfn.XLOOKUP(D1287,Master[Product_Code],Master[Selling_Price])</f>
        <v>880</v>
      </c>
    </row>
    <row r="1288" spans="2:12">
      <c r="B1288" s="2" t="s">
        <v>2290</v>
      </c>
      <c r="C1288" s="7">
        <v>45972</v>
      </c>
      <c r="D1288" s="2" t="s">
        <v>1381</v>
      </c>
      <c r="E1288" s="4">
        <v>1</v>
      </c>
      <c r="F1288" s="8" t="str">
        <f>_xlfn.XLOOKUP(D1288,Master[Product_Code],Master[Category])</f>
        <v>Pants</v>
      </c>
      <c r="G1288" s="8" t="str">
        <f>_xlfn.XLOOKUP(D1288,Master[Product_Code],Master[Brand])</f>
        <v>Park Avenue</v>
      </c>
      <c r="H1288" s="8" t="str">
        <f>_xlfn.XLOOKUP(D1288,Master[Product_Code],Master[Style])</f>
        <v>Korean</v>
      </c>
      <c r="I1288" s="8" t="str">
        <f>_xlfn.XLOOKUP(D1288,Master[Product_Code],Master[Fabric])</f>
        <v>Lycra</v>
      </c>
      <c r="J1288" s="8">
        <f>_xlfn.XLOOKUP(D1288,Master[Product_Code],Master[Size])</f>
        <v>32</v>
      </c>
      <c r="K1288" s="8" t="str">
        <f>_xlfn.XLOOKUP(D1288,Master[Product_Code],Master[Color])</f>
        <v>Black</v>
      </c>
      <c r="L1288" s="3">
        <f>_xlfn.XLOOKUP(D1288,Master[Product_Code],Master[Selling_Price])</f>
        <v>860</v>
      </c>
    </row>
    <row r="1289" spans="2:12">
      <c r="B1289" s="2" t="s">
        <v>2291</v>
      </c>
      <c r="C1289" s="7">
        <v>45972</v>
      </c>
      <c r="D1289" s="2" t="s">
        <v>972</v>
      </c>
      <c r="E1289" s="4">
        <v>1</v>
      </c>
      <c r="F1289" s="8" t="str">
        <f>_xlfn.XLOOKUP(D1289,Master[Product_Code],Master[Category])</f>
        <v>Jeans</v>
      </c>
      <c r="G1289" s="8" t="str">
        <f>_xlfn.XLOOKUP(D1289,Master[Product_Code],Master[Brand])</f>
        <v>Pepe</v>
      </c>
      <c r="H1289" s="8" t="str">
        <f>_xlfn.XLOOKUP(D1289,Master[Product_Code],Master[Style])</f>
        <v>Baggy</v>
      </c>
      <c r="I1289" s="8" t="str">
        <f>_xlfn.XLOOKUP(D1289,Master[Product_Code],Master[Fabric])</f>
        <v>Denim</v>
      </c>
      <c r="J1289" s="8">
        <f>_xlfn.XLOOKUP(D1289,Master[Product_Code],Master[Size])</f>
        <v>38</v>
      </c>
      <c r="K1289" s="8" t="str">
        <f>_xlfn.XLOOKUP(D1289,Master[Product_Code],Master[Color])</f>
        <v>Rust</v>
      </c>
      <c r="L1289" s="3">
        <f>_xlfn.XLOOKUP(D1289,Master[Product_Code],Master[Selling_Price])</f>
        <v>780</v>
      </c>
    </row>
    <row r="1290" spans="2:12">
      <c r="B1290" s="2" t="s">
        <v>2292</v>
      </c>
      <c r="C1290" s="7">
        <v>45972</v>
      </c>
      <c r="D1290" s="2" t="s">
        <v>1488</v>
      </c>
      <c r="E1290" s="4">
        <v>1</v>
      </c>
      <c r="F1290" s="8" t="str">
        <f>_xlfn.XLOOKUP(D1290,Master[Product_Code],Master[Category])</f>
        <v>Innerwear</v>
      </c>
      <c r="G1290" s="8" t="str">
        <f>_xlfn.XLOOKUP(D1290,Master[Product_Code],Master[Brand])</f>
        <v>Jockey</v>
      </c>
      <c r="H1290" s="8" t="str">
        <f>_xlfn.XLOOKUP(D1290,Master[Product_Code],Master[Style])</f>
        <v>V-Cut</v>
      </c>
      <c r="I1290" s="8" t="str">
        <f>_xlfn.XLOOKUP(D1290,Master[Product_Code],Master[Fabric])</f>
        <v>Cotton</v>
      </c>
      <c r="J1290" s="8" t="str">
        <f>_xlfn.XLOOKUP(D1290,Master[Product_Code],Master[Size])</f>
        <v>85-90</v>
      </c>
      <c r="K1290" s="8" t="str">
        <f>_xlfn.XLOOKUP(D1290,Master[Product_Code],Master[Color])</f>
        <v>Sky Blue</v>
      </c>
      <c r="L1290" s="3">
        <f>_xlfn.XLOOKUP(D1290,Master[Product_Code],Master[Selling_Price])</f>
        <v>130</v>
      </c>
    </row>
    <row r="1291" spans="2:12">
      <c r="B1291" s="2" t="s">
        <v>2293</v>
      </c>
      <c r="C1291" s="7">
        <v>45972</v>
      </c>
      <c r="D1291" s="2" t="s">
        <v>388</v>
      </c>
      <c r="E1291" s="4">
        <v>1</v>
      </c>
      <c r="F1291" s="8" t="str">
        <f>_xlfn.XLOOKUP(D1291,Master[Product_Code],Master[Category])</f>
        <v>Shirt</v>
      </c>
      <c r="G1291" s="8" t="str">
        <f>_xlfn.XLOOKUP(D1291,Master[Product_Code],Master[Brand])</f>
        <v>Zara</v>
      </c>
      <c r="H1291" s="8" t="str">
        <f>_xlfn.XLOOKUP(D1291,Master[Product_Code],Master[Style])</f>
        <v>Casual</v>
      </c>
      <c r="I1291" s="8" t="str">
        <f>_xlfn.XLOOKUP(D1291,Master[Product_Code],Master[Fabric])</f>
        <v>Polyester</v>
      </c>
      <c r="J1291" s="8" t="str">
        <f>_xlfn.XLOOKUP(D1291,Master[Product_Code],Master[Size])</f>
        <v>M</v>
      </c>
      <c r="K1291" s="8" t="str">
        <f>_xlfn.XLOOKUP(D1291,Master[Product_Code],Master[Color])</f>
        <v>Maroon</v>
      </c>
      <c r="L1291" s="3">
        <f>_xlfn.XLOOKUP(D1291,Master[Product_Code],Master[Selling_Price])</f>
        <v>800</v>
      </c>
    </row>
    <row r="1292" spans="2:12">
      <c r="B1292" s="2" t="s">
        <v>2294</v>
      </c>
      <c r="C1292" s="7">
        <v>45972</v>
      </c>
      <c r="D1292" s="2" t="s">
        <v>1539</v>
      </c>
      <c r="E1292" s="4">
        <v>1</v>
      </c>
      <c r="F1292" s="8" t="str">
        <f>_xlfn.XLOOKUP(D1292,Master[Product_Code],Master[Category])</f>
        <v>Innerwear</v>
      </c>
      <c r="G1292" s="8" t="str">
        <f>_xlfn.XLOOKUP(D1292,Master[Product_Code],Master[Brand])</f>
        <v>Lux</v>
      </c>
      <c r="H1292" s="8" t="str">
        <f>_xlfn.XLOOKUP(D1292,Master[Product_Code],Master[Style])</f>
        <v>Boxer</v>
      </c>
      <c r="I1292" s="8" t="str">
        <f>_xlfn.XLOOKUP(D1292,Master[Product_Code],Master[Fabric])</f>
        <v>Cotton</v>
      </c>
      <c r="J1292" s="8" t="str">
        <f>_xlfn.XLOOKUP(D1292,Master[Product_Code],Master[Size])</f>
        <v>105-110</v>
      </c>
      <c r="K1292" s="8" t="str">
        <f>_xlfn.XLOOKUP(D1292,Master[Product_Code],Master[Color])</f>
        <v>Light Grey</v>
      </c>
      <c r="L1292" s="3">
        <f>_xlfn.XLOOKUP(D1292,Master[Product_Code],Master[Selling_Price])</f>
        <v>100</v>
      </c>
    </row>
    <row r="1293" spans="2:12">
      <c r="B1293" s="2" t="s">
        <v>2294</v>
      </c>
      <c r="C1293" s="7">
        <v>45972</v>
      </c>
      <c r="D1293" s="2" t="s">
        <v>1140</v>
      </c>
      <c r="E1293" s="4">
        <v>1</v>
      </c>
      <c r="F1293" s="8" t="str">
        <f>_xlfn.XLOOKUP(D1293,Master[Product_Code],Master[Category])</f>
        <v>Jeans</v>
      </c>
      <c r="G1293" s="8" t="str">
        <f>_xlfn.XLOOKUP(D1293,Master[Product_Code],Master[Brand])</f>
        <v>Pepe</v>
      </c>
      <c r="H1293" s="8" t="str">
        <f>_xlfn.XLOOKUP(D1293,Master[Product_Code],Master[Style])</f>
        <v>Baggy</v>
      </c>
      <c r="I1293" s="8" t="str">
        <f>_xlfn.XLOOKUP(D1293,Master[Product_Code],Master[Fabric])</f>
        <v>Denim</v>
      </c>
      <c r="J1293" s="8">
        <f>_xlfn.XLOOKUP(D1293,Master[Product_Code],Master[Size])</f>
        <v>32</v>
      </c>
      <c r="K1293" s="8" t="str">
        <f>_xlfn.XLOOKUP(D1293,Master[Product_Code],Master[Color])</f>
        <v>Cream</v>
      </c>
      <c r="L1293" s="3">
        <f>_xlfn.XLOOKUP(D1293,Master[Product_Code],Master[Selling_Price])</f>
        <v>1100</v>
      </c>
    </row>
    <row r="1294" spans="2:12">
      <c r="B1294" s="2" t="s">
        <v>2294</v>
      </c>
      <c r="C1294" s="7">
        <v>45972</v>
      </c>
      <c r="D1294" s="2" t="s">
        <v>1421</v>
      </c>
      <c r="E1294" s="4">
        <v>1</v>
      </c>
      <c r="F1294" s="8" t="str">
        <f>_xlfn.XLOOKUP(D1294,Master[Product_Code],Master[Category])</f>
        <v>Pants</v>
      </c>
      <c r="G1294" s="8" t="str">
        <f>_xlfn.XLOOKUP(D1294,Master[Product_Code],Master[Brand])</f>
        <v>Van Heusen</v>
      </c>
      <c r="H1294" s="8" t="str">
        <f>_xlfn.XLOOKUP(D1294,Master[Product_Code],Master[Style])</f>
        <v>Jogger</v>
      </c>
      <c r="I1294" s="8" t="str">
        <f>_xlfn.XLOOKUP(D1294,Master[Product_Code],Master[Fabric])</f>
        <v>Cotton Blend</v>
      </c>
      <c r="J1294" s="8">
        <f>_xlfn.XLOOKUP(D1294,Master[Product_Code],Master[Size])</f>
        <v>38</v>
      </c>
      <c r="K1294" s="8" t="str">
        <f>_xlfn.XLOOKUP(D1294,Master[Product_Code],Master[Color])</f>
        <v>Royal Blue</v>
      </c>
      <c r="L1294" s="3">
        <f>_xlfn.XLOOKUP(D1294,Master[Product_Code],Master[Selling_Price])</f>
        <v>910</v>
      </c>
    </row>
    <row r="1295" spans="2:12">
      <c r="B1295" s="2" t="s">
        <v>2294</v>
      </c>
      <c r="C1295" s="7">
        <v>45972</v>
      </c>
      <c r="D1295" s="2" t="s">
        <v>511</v>
      </c>
      <c r="E1295" s="4">
        <v>1</v>
      </c>
      <c r="F1295" s="8" t="str">
        <f>_xlfn.XLOOKUP(D1295,Master[Product_Code],Master[Category])</f>
        <v>T-Shirt</v>
      </c>
      <c r="G1295" s="8" t="str">
        <f>_xlfn.XLOOKUP(D1295,Master[Product_Code],Master[Brand])</f>
        <v>Campus</v>
      </c>
      <c r="H1295" s="8" t="str">
        <f>_xlfn.XLOOKUP(D1295,Master[Product_Code],Master[Style])</f>
        <v>Full Sleeve</v>
      </c>
      <c r="I1295" s="8" t="str">
        <f>_xlfn.XLOOKUP(D1295,Master[Product_Code],Master[Fabric])</f>
        <v>Poly Cotton</v>
      </c>
      <c r="J1295" s="8" t="str">
        <f>_xlfn.XLOOKUP(D1295,Master[Product_Code],Master[Size])</f>
        <v>L</v>
      </c>
      <c r="K1295" s="8" t="str">
        <f>_xlfn.XLOOKUP(D1295,Master[Product_Code],Master[Color])</f>
        <v>Olive</v>
      </c>
      <c r="L1295" s="3">
        <f>_xlfn.XLOOKUP(D1295,Master[Product_Code],Master[Selling_Price])</f>
        <v>350</v>
      </c>
    </row>
    <row r="1296" spans="2:12">
      <c r="B1296" s="2" t="s">
        <v>2295</v>
      </c>
      <c r="C1296" s="7">
        <v>45972</v>
      </c>
      <c r="D1296" s="2" t="s">
        <v>936</v>
      </c>
      <c r="E1296" s="4">
        <v>1</v>
      </c>
      <c r="F1296" s="8" t="str">
        <f>_xlfn.XLOOKUP(D1296,Master[Product_Code],Master[Category])</f>
        <v>Jeans</v>
      </c>
      <c r="G1296" s="8" t="str">
        <f>_xlfn.XLOOKUP(D1296,Master[Product_Code],Master[Brand])</f>
        <v>Wrangler</v>
      </c>
      <c r="H1296" s="8" t="str">
        <f>_xlfn.XLOOKUP(D1296,Master[Product_Code],Master[Style])</f>
        <v>Jogger</v>
      </c>
      <c r="I1296" s="8" t="str">
        <f>_xlfn.XLOOKUP(D1296,Master[Product_Code],Master[Fabric])</f>
        <v>Denim</v>
      </c>
      <c r="J1296" s="8">
        <f>_xlfn.XLOOKUP(D1296,Master[Product_Code],Master[Size])</f>
        <v>38</v>
      </c>
      <c r="K1296" s="8" t="str">
        <f>_xlfn.XLOOKUP(D1296,Master[Product_Code],Master[Color])</f>
        <v>Brown</v>
      </c>
      <c r="L1296" s="3">
        <f>_xlfn.XLOOKUP(D1296,Master[Product_Code],Master[Selling_Price])</f>
        <v>780</v>
      </c>
    </row>
    <row r="1297" spans="2:12">
      <c r="B1297" s="2" t="s">
        <v>2295</v>
      </c>
      <c r="C1297" s="7">
        <v>45972</v>
      </c>
      <c r="D1297" s="2" t="s">
        <v>1596</v>
      </c>
      <c r="E1297" s="4">
        <v>1</v>
      </c>
      <c r="F1297" s="8" t="str">
        <f>_xlfn.XLOOKUP(D1297,Master[Product_Code],Master[Category])</f>
        <v>Innerwear</v>
      </c>
      <c r="G1297" s="8" t="str">
        <f>_xlfn.XLOOKUP(D1297,Master[Product_Code],Master[Brand])</f>
        <v>Dollar</v>
      </c>
      <c r="H1297" s="8" t="str">
        <f>_xlfn.XLOOKUP(D1297,Master[Product_Code],Master[Style])</f>
        <v>Boxer</v>
      </c>
      <c r="I1297" s="8" t="str">
        <f>_xlfn.XLOOKUP(D1297,Master[Product_Code],Master[Fabric])</f>
        <v>Cotton Blend</v>
      </c>
      <c r="J1297" s="8" t="str">
        <f>_xlfn.XLOOKUP(D1297,Master[Product_Code],Master[Size])</f>
        <v>100-105</v>
      </c>
      <c r="K1297" s="8" t="str">
        <f>_xlfn.XLOOKUP(D1297,Master[Product_Code],Master[Color])</f>
        <v>Sky Blue</v>
      </c>
      <c r="L1297" s="3">
        <f>_xlfn.XLOOKUP(D1297,Master[Product_Code],Master[Selling_Price])</f>
        <v>190</v>
      </c>
    </row>
    <row r="1298" spans="2:12">
      <c r="B1298" s="2" t="s">
        <v>2295</v>
      </c>
      <c r="C1298" s="7">
        <v>45972</v>
      </c>
      <c r="D1298" s="2" t="s">
        <v>1315</v>
      </c>
      <c r="E1298" s="4">
        <v>1</v>
      </c>
      <c r="F1298" s="8" t="str">
        <f>_xlfn.XLOOKUP(D1298,Master[Product_Code],Master[Category])</f>
        <v>Pants</v>
      </c>
      <c r="G1298" s="8" t="str">
        <f>_xlfn.XLOOKUP(D1298,Master[Product_Code],Master[Brand])</f>
        <v>Louis Philippe</v>
      </c>
      <c r="H1298" s="8" t="str">
        <f>_xlfn.XLOOKUP(D1298,Master[Product_Code],Master[Style])</f>
        <v>Polofit</v>
      </c>
      <c r="I1298" s="8" t="str">
        <f>_xlfn.XLOOKUP(D1298,Master[Product_Code],Master[Fabric])</f>
        <v>Lycra</v>
      </c>
      <c r="J1298" s="8">
        <f>_xlfn.XLOOKUP(D1298,Master[Product_Code],Master[Size])</f>
        <v>36</v>
      </c>
      <c r="K1298" s="8" t="str">
        <f>_xlfn.XLOOKUP(D1298,Master[Product_Code],Master[Color])</f>
        <v>Grey</v>
      </c>
      <c r="L1298" s="3">
        <f>_xlfn.XLOOKUP(D1298,Master[Product_Code],Master[Selling_Price])</f>
        <v>860</v>
      </c>
    </row>
    <row r="1299" spans="2:12">
      <c r="B1299" s="2" t="s">
        <v>2295</v>
      </c>
      <c r="C1299" s="7">
        <v>45972</v>
      </c>
      <c r="D1299" s="2" t="s">
        <v>1552</v>
      </c>
      <c r="E1299" s="4">
        <v>1</v>
      </c>
      <c r="F1299" s="8" t="str">
        <f>_xlfn.XLOOKUP(D1299,Master[Product_Code],Master[Category])</f>
        <v>Innerwear</v>
      </c>
      <c r="G1299" s="8" t="str">
        <f>_xlfn.XLOOKUP(D1299,Master[Product_Code],Master[Brand])</f>
        <v>Dollar</v>
      </c>
      <c r="H1299" s="8" t="str">
        <f>_xlfn.XLOOKUP(D1299,Master[Product_Code],Master[Style])</f>
        <v>Boxer</v>
      </c>
      <c r="I1299" s="8" t="str">
        <f>_xlfn.XLOOKUP(D1299,Master[Product_Code],Master[Fabric])</f>
        <v>Cotton Blend</v>
      </c>
      <c r="J1299" s="8" t="str">
        <f>_xlfn.XLOOKUP(D1299,Master[Product_Code],Master[Size])</f>
        <v>80-85</v>
      </c>
      <c r="K1299" s="8" t="str">
        <f>_xlfn.XLOOKUP(D1299,Master[Product_Code],Master[Color])</f>
        <v>Beige</v>
      </c>
      <c r="L1299" s="3">
        <f>_xlfn.XLOOKUP(D1299,Master[Product_Code],Master[Selling_Price])</f>
        <v>120</v>
      </c>
    </row>
    <row r="1300" spans="2:12">
      <c r="B1300" s="2" t="s">
        <v>2296</v>
      </c>
      <c r="C1300" s="7">
        <v>45972</v>
      </c>
      <c r="D1300" s="2" t="s">
        <v>1089</v>
      </c>
      <c r="E1300" s="4">
        <v>1</v>
      </c>
      <c r="F1300" s="8" t="str">
        <f>_xlfn.XLOOKUP(D1300,Master[Product_Code],Master[Category])</f>
        <v>Jeans</v>
      </c>
      <c r="G1300" s="8" t="str">
        <f>_xlfn.XLOOKUP(D1300,Master[Product_Code],Master[Brand])</f>
        <v>Pepe</v>
      </c>
      <c r="H1300" s="8" t="str">
        <f>_xlfn.XLOOKUP(D1300,Master[Product_Code],Master[Style])</f>
        <v>Jogger</v>
      </c>
      <c r="I1300" s="8" t="str">
        <f>_xlfn.XLOOKUP(D1300,Master[Product_Code],Master[Fabric])</f>
        <v>Denim</v>
      </c>
      <c r="J1300" s="8">
        <f>_xlfn.XLOOKUP(D1300,Master[Product_Code],Master[Size])</f>
        <v>40</v>
      </c>
      <c r="K1300" s="8" t="str">
        <f>_xlfn.XLOOKUP(D1300,Master[Product_Code],Master[Color])</f>
        <v>Peach</v>
      </c>
      <c r="L1300" s="3">
        <f>_xlfn.XLOOKUP(D1300,Master[Product_Code],Master[Selling_Price])</f>
        <v>830</v>
      </c>
    </row>
    <row r="1301" spans="2:12">
      <c r="B1301" s="2" t="s">
        <v>2296</v>
      </c>
      <c r="C1301" s="7">
        <v>45972</v>
      </c>
      <c r="D1301" s="2" t="s">
        <v>643</v>
      </c>
      <c r="E1301" s="4">
        <v>1</v>
      </c>
      <c r="F1301" s="8" t="str">
        <f>_xlfn.XLOOKUP(D1301,Master[Product_Code],Master[Category])</f>
        <v>T-Shirt</v>
      </c>
      <c r="G1301" s="8" t="str">
        <f>_xlfn.XLOOKUP(D1301,Master[Product_Code],Master[Brand])</f>
        <v>Turkey</v>
      </c>
      <c r="H1301" s="8" t="str">
        <f>_xlfn.XLOOKUP(D1301,Master[Product_Code],Master[Style])</f>
        <v>Half Sleeve</v>
      </c>
      <c r="I1301" s="8" t="str">
        <f>_xlfn.XLOOKUP(D1301,Master[Product_Code],Master[Fabric])</f>
        <v>Poly Cotton</v>
      </c>
      <c r="J1301" s="8" t="str">
        <f>_xlfn.XLOOKUP(D1301,Master[Product_Code],Master[Size])</f>
        <v>XL</v>
      </c>
      <c r="K1301" s="8" t="str">
        <f>_xlfn.XLOOKUP(D1301,Master[Product_Code],Master[Color])</f>
        <v>Brown</v>
      </c>
      <c r="L1301" s="3">
        <f>_xlfn.XLOOKUP(D1301,Master[Product_Code],Master[Selling_Price])</f>
        <v>700</v>
      </c>
    </row>
    <row r="1302" spans="2:12">
      <c r="B1302" s="2" t="s">
        <v>2296</v>
      </c>
      <c r="C1302" s="7">
        <v>45972</v>
      </c>
      <c r="D1302" s="2" t="s">
        <v>1255</v>
      </c>
      <c r="E1302" s="4">
        <v>1</v>
      </c>
      <c r="F1302" s="8" t="str">
        <f>_xlfn.XLOOKUP(D1302,Master[Product_Code],Master[Category])</f>
        <v>Pants</v>
      </c>
      <c r="G1302" s="8" t="str">
        <f>_xlfn.XLOOKUP(D1302,Master[Product_Code],Master[Brand])</f>
        <v>Peter England</v>
      </c>
      <c r="H1302" s="8" t="str">
        <f>_xlfn.XLOOKUP(D1302,Master[Product_Code],Master[Style])</f>
        <v>Kurka</v>
      </c>
      <c r="I1302" s="8" t="str">
        <f>_xlfn.XLOOKUP(D1302,Master[Product_Code],Master[Fabric])</f>
        <v>Lycra</v>
      </c>
      <c r="J1302" s="8">
        <f>_xlfn.XLOOKUP(D1302,Master[Product_Code],Master[Size])</f>
        <v>32</v>
      </c>
      <c r="K1302" s="8" t="str">
        <f>_xlfn.XLOOKUP(D1302,Master[Product_Code],Master[Color])</f>
        <v>Royal Blue</v>
      </c>
      <c r="L1302" s="3">
        <f>_xlfn.XLOOKUP(D1302,Master[Product_Code],Master[Selling_Price])</f>
        <v>740</v>
      </c>
    </row>
    <row r="1303" spans="2:12">
      <c r="B1303" s="2" t="s">
        <v>2297</v>
      </c>
      <c r="C1303" s="7">
        <v>45972</v>
      </c>
      <c r="D1303" s="2" t="s">
        <v>1120</v>
      </c>
      <c r="E1303" s="4">
        <v>1</v>
      </c>
      <c r="F1303" s="8" t="str">
        <f>_xlfn.XLOOKUP(D1303,Master[Product_Code],Master[Category])</f>
        <v>Jeans</v>
      </c>
      <c r="G1303" s="8" t="str">
        <f>_xlfn.XLOOKUP(D1303,Master[Product_Code],Master[Brand])</f>
        <v>Levis</v>
      </c>
      <c r="H1303" s="8" t="str">
        <f>_xlfn.XLOOKUP(D1303,Master[Product_Code],Master[Style])</f>
        <v>Jogger</v>
      </c>
      <c r="I1303" s="8" t="str">
        <f>_xlfn.XLOOKUP(D1303,Master[Product_Code],Master[Fabric])</f>
        <v>Denim</v>
      </c>
      <c r="J1303" s="8">
        <f>_xlfn.XLOOKUP(D1303,Master[Product_Code],Master[Size])</f>
        <v>38</v>
      </c>
      <c r="K1303" s="8" t="str">
        <f>_xlfn.XLOOKUP(D1303,Master[Product_Code],Master[Color])</f>
        <v>Teal</v>
      </c>
      <c r="L1303" s="3">
        <f>_xlfn.XLOOKUP(D1303,Master[Product_Code],Master[Selling_Price])</f>
        <v>900</v>
      </c>
    </row>
    <row r="1304" spans="2:12">
      <c r="B1304" s="2" t="s">
        <v>2297</v>
      </c>
      <c r="C1304" s="7">
        <v>45972</v>
      </c>
      <c r="D1304" s="2" t="s">
        <v>1738</v>
      </c>
      <c r="E1304" s="4">
        <v>1</v>
      </c>
      <c r="F1304" s="8" t="str">
        <f>_xlfn.XLOOKUP(D1304,Master[Product_Code],Master[Category])</f>
        <v>Innerwear</v>
      </c>
      <c r="G1304" s="8" t="str">
        <f>_xlfn.XLOOKUP(D1304,Master[Product_Code],Master[Brand])</f>
        <v>Lux</v>
      </c>
      <c r="H1304" s="8" t="str">
        <f>_xlfn.XLOOKUP(D1304,Master[Product_Code],Master[Style])</f>
        <v>V-Cut</v>
      </c>
      <c r="I1304" s="8" t="str">
        <f>_xlfn.XLOOKUP(D1304,Master[Product_Code],Master[Fabric])</f>
        <v>Cotton Blend</v>
      </c>
      <c r="J1304" s="8" t="str">
        <f>_xlfn.XLOOKUP(D1304,Master[Product_Code],Master[Size])</f>
        <v>100-105</v>
      </c>
      <c r="K1304" s="8" t="str">
        <f>_xlfn.XLOOKUP(D1304,Master[Product_Code],Master[Color])</f>
        <v>Royal Blue</v>
      </c>
      <c r="L1304" s="3">
        <f>_xlfn.XLOOKUP(D1304,Master[Product_Code],Master[Selling_Price])</f>
        <v>100</v>
      </c>
    </row>
    <row r="1305" spans="2:12">
      <c r="B1305" s="2" t="s">
        <v>2297</v>
      </c>
      <c r="C1305" s="7">
        <v>45972</v>
      </c>
      <c r="D1305" s="2" t="s">
        <v>1489</v>
      </c>
      <c r="E1305" s="4">
        <v>1</v>
      </c>
      <c r="F1305" s="8" t="str">
        <f>_xlfn.XLOOKUP(D1305,Master[Product_Code],Master[Category])</f>
        <v>Innerwear</v>
      </c>
      <c r="G1305" s="8" t="str">
        <f>_xlfn.XLOOKUP(D1305,Master[Product_Code],Master[Brand])</f>
        <v>Jockey</v>
      </c>
      <c r="H1305" s="8" t="str">
        <f>_xlfn.XLOOKUP(D1305,Master[Product_Code],Master[Style])</f>
        <v>Boxer</v>
      </c>
      <c r="I1305" s="8" t="str">
        <f>_xlfn.XLOOKUP(D1305,Master[Product_Code],Master[Fabric])</f>
        <v>Cotton Blend</v>
      </c>
      <c r="J1305" s="8" t="str">
        <f>_xlfn.XLOOKUP(D1305,Master[Product_Code],Master[Size])</f>
        <v>75-80</v>
      </c>
      <c r="K1305" s="8" t="str">
        <f>_xlfn.XLOOKUP(D1305,Master[Product_Code],Master[Color])</f>
        <v>Navy Blue</v>
      </c>
      <c r="L1305" s="3">
        <f>_xlfn.XLOOKUP(D1305,Master[Product_Code],Master[Selling_Price])</f>
        <v>160</v>
      </c>
    </row>
    <row r="1306" spans="2:12">
      <c r="B1306" s="2" t="s">
        <v>2298</v>
      </c>
      <c r="C1306" s="7">
        <v>45972</v>
      </c>
      <c r="D1306" s="2" t="s">
        <v>1584</v>
      </c>
      <c r="E1306" s="4">
        <v>1</v>
      </c>
      <c r="F1306" s="8" t="str">
        <f>_xlfn.XLOOKUP(D1306,Master[Product_Code],Master[Category])</f>
        <v>Innerwear</v>
      </c>
      <c r="G1306" s="8" t="str">
        <f>_xlfn.XLOOKUP(D1306,Master[Product_Code],Master[Brand])</f>
        <v>Lux</v>
      </c>
      <c r="H1306" s="8" t="str">
        <f>_xlfn.XLOOKUP(D1306,Master[Product_Code],Master[Style])</f>
        <v>Boxer</v>
      </c>
      <c r="I1306" s="8" t="str">
        <f>_xlfn.XLOOKUP(D1306,Master[Product_Code],Master[Fabric])</f>
        <v>Cotton Blend</v>
      </c>
      <c r="J1306" s="8" t="str">
        <f>_xlfn.XLOOKUP(D1306,Master[Product_Code],Master[Size])</f>
        <v>80-85</v>
      </c>
      <c r="K1306" s="8" t="str">
        <f>_xlfn.XLOOKUP(D1306,Master[Product_Code],Master[Color])</f>
        <v>Light Grey</v>
      </c>
      <c r="L1306" s="3">
        <f>_xlfn.XLOOKUP(D1306,Master[Product_Code],Master[Selling_Price])</f>
        <v>150</v>
      </c>
    </row>
    <row r="1307" spans="2:12">
      <c r="B1307" s="2" t="s">
        <v>2299</v>
      </c>
      <c r="C1307" s="7">
        <v>45972</v>
      </c>
      <c r="D1307" s="2" t="s">
        <v>633</v>
      </c>
      <c r="E1307" s="4">
        <v>1</v>
      </c>
      <c r="F1307" s="8" t="str">
        <f>_xlfn.XLOOKUP(D1307,Master[Product_Code],Master[Category])</f>
        <v>T-Shirt</v>
      </c>
      <c r="G1307" s="8" t="str">
        <f>_xlfn.XLOOKUP(D1307,Master[Product_Code],Master[Brand])</f>
        <v>Urban Monkey</v>
      </c>
      <c r="H1307" s="8" t="str">
        <f>_xlfn.XLOOKUP(D1307,Master[Product_Code],Master[Style])</f>
        <v>3/4 Sleeve</v>
      </c>
      <c r="I1307" s="8" t="str">
        <f>_xlfn.XLOOKUP(D1307,Master[Product_Code],Master[Fabric])</f>
        <v>Poly Cotton</v>
      </c>
      <c r="J1307" s="8" t="str">
        <f>_xlfn.XLOOKUP(D1307,Master[Product_Code],Master[Size])</f>
        <v>S</v>
      </c>
      <c r="K1307" s="8" t="str">
        <f>_xlfn.XLOOKUP(D1307,Master[Product_Code],Master[Color])</f>
        <v>Brown</v>
      </c>
      <c r="L1307" s="3">
        <f>_xlfn.XLOOKUP(D1307,Master[Product_Code],Master[Selling_Price])</f>
        <v>330</v>
      </c>
    </row>
    <row r="1308" spans="2:12">
      <c r="B1308" s="2" t="s">
        <v>2299</v>
      </c>
      <c r="C1308" s="7">
        <v>45972</v>
      </c>
      <c r="D1308" s="2" t="s">
        <v>673</v>
      </c>
      <c r="E1308" s="4">
        <v>1</v>
      </c>
      <c r="F1308" s="8" t="str">
        <f>_xlfn.XLOOKUP(D1308,Master[Product_Code],Master[Category])</f>
        <v>T-Shirt</v>
      </c>
      <c r="G1308" s="8" t="str">
        <f>_xlfn.XLOOKUP(D1308,Master[Product_Code],Master[Brand])</f>
        <v>Zara</v>
      </c>
      <c r="H1308" s="8" t="str">
        <f>_xlfn.XLOOKUP(D1308,Master[Product_Code],Master[Style])</f>
        <v>Half Sleeve</v>
      </c>
      <c r="I1308" s="8" t="str">
        <f>_xlfn.XLOOKUP(D1308,Master[Product_Code],Master[Fabric])</f>
        <v>Poly Cotton</v>
      </c>
      <c r="J1308" s="8" t="str">
        <f>_xlfn.XLOOKUP(D1308,Master[Product_Code],Master[Size])</f>
        <v>S</v>
      </c>
      <c r="K1308" s="8" t="str">
        <f>_xlfn.XLOOKUP(D1308,Master[Product_Code],Master[Color])</f>
        <v>Sky Blue</v>
      </c>
      <c r="L1308" s="3">
        <f>_xlfn.XLOOKUP(D1308,Master[Product_Code],Master[Selling_Price])</f>
        <v>380</v>
      </c>
    </row>
    <row r="1309" spans="2:12">
      <c r="B1309" s="2" t="s">
        <v>2300</v>
      </c>
      <c r="C1309" s="7">
        <v>45972</v>
      </c>
      <c r="D1309" s="2" t="s">
        <v>1121</v>
      </c>
      <c r="E1309" s="4">
        <v>1</v>
      </c>
      <c r="F1309" s="8" t="str">
        <f>_xlfn.XLOOKUP(D1309,Master[Product_Code],Master[Category])</f>
        <v>Jeans</v>
      </c>
      <c r="G1309" s="8" t="str">
        <f>_xlfn.XLOOKUP(D1309,Master[Product_Code],Master[Brand])</f>
        <v>Locomotive</v>
      </c>
      <c r="H1309" s="8" t="str">
        <f>_xlfn.XLOOKUP(D1309,Master[Product_Code],Master[Style])</f>
        <v>Jogger</v>
      </c>
      <c r="I1309" s="8" t="str">
        <f>_xlfn.XLOOKUP(D1309,Master[Product_Code],Master[Fabric])</f>
        <v>Denim</v>
      </c>
      <c r="J1309" s="8">
        <f>_xlfn.XLOOKUP(D1309,Master[Product_Code],Master[Size])</f>
        <v>44</v>
      </c>
      <c r="K1309" s="8" t="str">
        <f>_xlfn.XLOOKUP(D1309,Master[Product_Code],Master[Color])</f>
        <v>Grey</v>
      </c>
      <c r="L1309" s="3">
        <f>_xlfn.XLOOKUP(D1309,Master[Product_Code],Master[Selling_Price])</f>
        <v>1000</v>
      </c>
    </row>
    <row r="1310" spans="2:12">
      <c r="B1310" s="2" t="s">
        <v>2301</v>
      </c>
      <c r="C1310" s="7">
        <v>45972</v>
      </c>
      <c r="D1310" s="2" t="s">
        <v>1393</v>
      </c>
      <c r="E1310" s="4">
        <v>1</v>
      </c>
      <c r="F1310" s="8" t="str">
        <f>_xlfn.XLOOKUP(D1310,Master[Product_Code],Master[Category])</f>
        <v>Pants</v>
      </c>
      <c r="G1310" s="8" t="str">
        <f>_xlfn.XLOOKUP(D1310,Master[Product_Code],Master[Brand])</f>
        <v>Peter England</v>
      </c>
      <c r="H1310" s="8" t="str">
        <f>_xlfn.XLOOKUP(D1310,Master[Product_Code],Master[Style])</f>
        <v>Boot Cut</v>
      </c>
      <c r="I1310" s="8" t="str">
        <f>_xlfn.XLOOKUP(D1310,Master[Product_Code],Master[Fabric])</f>
        <v>Poly Viscose</v>
      </c>
      <c r="J1310" s="8">
        <f>_xlfn.XLOOKUP(D1310,Master[Product_Code],Master[Size])</f>
        <v>28</v>
      </c>
      <c r="K1310" s="8" t="str">
        <f>_xlfn.XLOOKUP(D1310,Master[Product_Code],Master[Color])</f>
        <v>Beige</v>
      </c>
      <c r="L1310" s="3">
        <f>_xlfn.XLOOKUP(D1310,Master[Product_Code],Master[Selling_Price])</f>
        <v>780</v>
      </c>
    </row>
    <row r="1311" spans="2:12">
      <c r="B1311" s="2" t="s">
        <v>2301</v>
      </c>
      <c r="C1311" s="7">
        <v>45972</v>
      </c>
      <c r="D1311" s="2" t="s">
        <v>723</v>
      </c>
      <c r="E1311" s="4">
        <v>1</v>
      </c>
      <c r="F1311" s="8" t="str">
        <f>_xlfn.XLOOKUP(D1311,Master[Product_Code],Master[Category])</f>
        <v>T-Shirt</v>
      </c>
      <c r="G1311" s="8" t="str">
        <f>_xlfn.XLOOKUP(D1311,Master[Product_Code],Master[Brand])</f>
        <v>Thailand</v>
      </c>
      <c r="H1311" s="8" t="str">
        <f>_xlfn.XLOOKUP(D1311,Master[Product_Code],Master[Style])</f>
        <v>Sleeveless</v>
      </c>
      <c r="I1311" s="8" t="str">
        <f>_xlfn.XLOOKUP(D1311,Master[Product_Code],Master[Fabric])</f>
        <v>Poly Cotton</v>
      </c>
      <c r="J1311" s="8" t="str">
        <f>_xlfn.XLOOKUP(D1311,Master[Product_Code],Master[Size])</f>
        <v>M</v>
      </c>
      <c r="K1311" s="8" t="str">
        <f>_xlfn.XLOOKUP(D1311,Master[Product_Code],Master[Color])</f>
        <v>White</v>
      </c>
      <c r="L1311" s="3">
        <f>_xlfn.XLOOKUP(D1311,Master[Product_Code],Master[Selling_Price])</f>
        <v>210</v>
      </c>
    </row>
    <row r="1312" spans="2:12">
      <c r="B1312" s="2" t="s">
        <v>2301</v>
      </c>
      <c r="C1312" s="7">
        <v>45972</v>
      </c>
      <c r="D1312" s="2" t="s">
        <v>1231</v>
      </c>
      <c r="E1312" s="4">
        <v>1</v>
      </c>
      <c r="F1312" s="8" t="str">
        <f>_xlfn.XLOOKUP(D1312,Master[Product_Code],Master[Category])</f>
        <v>Pants</v>
      </c>
      <c r="G1312" s="8" t="str">
        <f>_xlfn.XLOOKUP(D1312,Master[Product_Code],Master[Brand])</f>
        <v>Park Avenue</v>
      </c>
      <c r="H1312" s="8" t="str">
        <f>_xlfn.XLOOKUP(D1312,Master[Product_Code],Master[Style])</f>
        <v>Jogger</v>
      </c>
      <c r="I1312" s="8" t="str">
        <f>_xlfn.XLOOKUP(D1312,Master[Product_Code],Master[Fabric])</f>
        <v>Poly Viscose</v>
      </c>
      <c r="J1312" s="8">
        <f>_xlfn.XLOOKUP(D1312,Master[Product_Code],Master[Size])</f>
        <v>28</v>
      </c>
      <c r="K1312" s="8" t="str">
        <f>_xlfn.XLOOKUP(D1312,Master[Product_Code],Master[Color])</f>
        <v>Wine</v>
      </c>
      <c r="L1312" s="3">
        <f>_xlfn.XLOOKUP(D1312,Master[Product_Code],Master[Selling_Price])</f>
        <v>800</v>
      </c>
    </row>
    <row r="1313" spans="2:12">
      <c r="B1313" s="2" t="s">
        <v>2301</v>
      </c>
      <c r="C1313" s="7">
        <v>45972</v>
      </c>
      <c r="D1313" s="2" t="s">
        <v>1030</v>
      </c>
      <c r="E1313" s="4">
        <v>1</v>
      </c>
      <c r="F1313" s="8" t="str">
        <f>_xlfn.XLOOKUP(D1313,Master[Product_Code],Master[Category])</f>
        <v>Jeans</v>
      </c>
      <c r="G1313" s="8" t="str">
        <f>_xlfn.XLOOKUP(D1313,Master[Product_Code],Master[Brand])</f>
        <v>Pepe</v>
      </c>
      <c r="H1313" s="8" t="str">
        <f>_xlfn.XLOOKUP(D1313,Master[Product_Code],Master[Style])</f>
        <v>Mom Fit</v>
      </c>
      <c r="I1313" s="8" t="str">
        <f>_xlfn.XLOOKUP(D1313,Master[Product_Code],Master[Fabric])</f>
        <v>Denim</v>
      </c>
      <c r="J1313" s="8">
        <f>_xlfn.XLOOKUP(D1313,Master[Product_Code],Master[Size])</f>
        <v>42</v>
      </c>
      <c r="K1313" s="8" t="str">
        <f>_xlfn.XLOOKUP(D1313,Master[Product_Code],Master[Color])</f>
        <v>Royal Blue</v>
      </c>
      <c r="L1313" s="3">
        <f>_xlfn.XLOOKUP(D1313,Master[Product_Code],Master[Selling_Price])</f>
        <v>820</v>
      </c>
    </row>
    <row r="1314" spans="2:12">
      <c r="B1314" s="2" t="s">
        <v>2302</v>
      </c>
      <c r="C1314" s="7">
        <v>45972</v>
      </c>
      <c r="D1314" s="2" t="s">
        <v>425</v>
      </c>
      <c r="E1314" s="4">
        <v>1</v>
      </c>
      <c r="F1314" s="8" t="str">
        <f>_xlfn.XLOOKUP(D1314,Master[Product_Code],Master[Category])</f>
        <v>T-Shirt</v>
      </c>
      <c r="G1314" s="8" t="str">
        <f>_xlfn.XLOOKUP(D1314,Master[Product_Code],Master[Brand])</f>
        <v>Thailand</v>
      </c>
      <c r="H1314" s="8" t="str">
        <f>_xlfn.XLOOKUP(D1314,Master[Product_Code],Master[Style])</f>
        <v>Full Sleeve</v>
      </c>
      <c r="I1314" s="8" t="str">
        <f>_xlfn.XLOOKUP(D1314,Master[Product_Code],Master[Fabric])</f>
        <v>Cotton Blend</v>
      </c>
      <c r="J1314" s="8" t="str">
        <f>_xlfn.XLOOKUP(D1314,Master[Product_Code],Master[Size])</f>
        <v>XXL</v>
      </c>
      <c r="K1314" s="8" t="str">
        <f>_xlfn.XLOOKUP(D1314,Master[Product_Code],Master[Color])</f>
        <v>Charcoal</v>
      </c>
      <c r="L1314" s="3">
        <f>_xlfn.XLOOKUP(D1314,Master[Product_Code],Master[Selling_Price])</f>
        <v>350</v>
      </c>
    </row>
    <row r="1315" spans="2:12">
      <c r="B1315" s="2" t="s">
        <v>2302</v>
      </c>
      <c r="C1315" s="7">
        <v>45972</v>
      </c>
      <c r="D1315" s="2" t="s">
        <v>1105</v>
      </c>
      <c r="E1315" s="4">
        <v>1</v>
      </c>
      <c r="F1315" s="8" t="str">
        <f>_xlfn.XLOOKUP(D1315,Master[Product_Code],Master[Category])</f>
        <v>Jeans</v>
      </c>
      <c r="G1315" s="8" t="str">
        <f>_xlfn.XLOOKUP(D1315,Master[Product_Code],Master[Brand])</f>
        <v>Pepe</v>
      </c>
      <c r="H1315" s="8" t="str">
        <f>_xlfn.XLOOKUP(D1315,Master[Product_Code],Master[Style])</f>
        <v>Jogger</v>
      </c>
      <c r="I1315" s="8" t="str">
        <f>_xlfn.XLOOKUP(D1315,Master[Product_Code],Master[Fabric])</f>
        <v>Denim</v>
      </c>
      <c r="J1315" s="8">
        <f>_xlfn.XLOOKUP(D1315,Master[Product_Code],Master[Size])</f>
        <v>36</v>
      </c>
      <c r="K1315" s="8" t="str">
        <f>_xlfn.XLOOKUP(D1315,Master[Product_Code],Master[Color])</f>
        <v>Maroon</v>
      </c>
      <c r="L1315" s="3">
        <f>_xlfn.XLOOKUP(D1315,Master[Product_Code],Master[Selling_Price])</f>
        <v>810</v>
      </c>
    </row>
    <row r="1316" spans="2:12">
      <c r="B1316" s="2" t="s">
        <v>2302</v>
      </c>
      <c r="C1316" s="7">
        <v>45972</v>
      </c>
      <c r="D1316" s="2" t="s">
        <v>1421</v>
      </c>
      <c r="E1316" s="4">
        <v>1</v>
      </c>
      <c r="F1316" s="8" t="str">
        <f>_xlfn.XLOOKUP(D1316,Master[Product_Code],Master[Category])</f>
        <v>Pants</v>
      </c>
      <c r="G1316" s="8" t="str">
        <f>_xlfn.XLOOKUP(D1316,Master[Product_Code],Master[Brand])</f>
        <v>Van Heusen</v>
      </c>
      <c r="H1316" s="8" t="str">
        <f>_xlfn.XLOOKUP(D1316,Master[Product_Code],Master[Style])</f>
        <v>Jogger</v>
      </c>
      <c r="I1316" s="8" t="str">
        <f>_xlfn.XLOOKUP(D1316,Master[Product_Code],Master[Fabric])</f>
        <v>Cotton Blend</v>
      </c>
      <c r="J1316" s="8">
        <f>_xlfn.XLOOKUP(D1316,Master[Product_Code],Master[Size])</f>
        <v>38</v>
      </c>
      <c r="K1316" s="8" t="str">
        <f>_xlfn.XLOOKUP(D1316,Master[Product_Code],Master[Color])</f>
        <v>Royal Blue</v>
      </c>
      <c r="L1316" s="3">
        <f>_xlfn.XLOOKUP(D1316,Master[Product_Code],Master[Selling_Price])</f>
        <v>910</v>
      </c>
    </row>
    <row r="1317" spans="2:12">
      <c r="B1317" s="2" t="s">
        <v>2303</v>
      </c>
      <c r="C1317" s="7">
        <v>45972</v>
      </c>
      <c r="D1317" s="2" t="s">
        <v>1066</v>
      </c>
      <c r="E1317" s="4">
        <v>1</v>
      </c>
      <c r="F1317" s="8" t="str">
        <f>_xlfn.XLOOKUP(D1317,Master[Product_Code],Master[Category])</f>
        <v>Jeans</v>
      </c>
      <c r="G1317" s="8" t="str">
        <f>_xlfn.XLOOKUP(D1317,Master[Product_Code],Master[Brand])</f>
        <v>Pepe</v>
      </c>
      <c r="H1317" s="8" t="str">
        <f>_xlfn.XLOOKUP(D1317,Master[Product_Code],Master[Style])</f>
        <v>Mom Fit</v>
      </c>
      <c r="I1317" s="8" t="str">
        <f>_xlfn.XLOOKUP(D1317,Master[Product_Code],Master[Fabric])</f>
        <v>Denim</v>
      </c>
      <c r="J1317" s="8">
        <f>_xlfn.XLOOKUP(D1317,Master[Product_Code],Master[Size])</f>
        <v>42</v>
      </c>
      <c r="K1317" s="8" t="str">
        <f>_xlfn.XLOOKUP(D1317,Master[Product_Code],Master[Color])</f>
        <v>Black</v>
      </c>
      <c r="L1317" s="3">
        <f>_xlfn.XLOOKUP(D1317,Master[Product_Code],Master[Selling_Price])</f>
        <v>780</v>
      </c>
    </row>
    <row r="1318" spans="2:12">
      <c r="B1318" s="2" t="s">
        <v>2303</v>
      </c>
      <c r="C1318" s="7">
        <v>45972</v>
      </c>
      <c r="D1318" s="2" t="s">
        <v>344</v>
      </c>
      <c r="E1318" s="4">
        <v>1</v>
      </c>
      <c r="F1318" s="8" t="str">
        <f>_xlfn.XLOOKUP(D1318,Master[Product_Code],Master[Category])</f>
        <v>Shirt</v>
      </c>
      <c r="G1318" s="8" t="str">
        <f>_xlfn.XLOOKUP(D1318,Master[Product_Code],Master[Brand])</f>
        <v>H&amp;M</v>
      </c>
      <c r="H1318" s="8" t="str">
        <f>_xlfn.XLOOKUP(D1318,Master[Product_Code],Master[Style])</f>
        <v>Casual</v>
      </c>
      <c r="I1318" s="8" t="str">
        <f>_xlfn.XLOOKUP(D1318,Master[Product_Code],Master[Fabric])</f>
        <v>Cotton</v>
      </c>
      <c r="J1318" s="8" t="str">
        <f>_xlfn.XLOOKUP(D1318,Master[Product_Code],Master[Size])</f>
        <v>XL</v>
      </c>
      <c r="K1318" s="8" t="str">
        <f>_xlfn.XLOOKUP(D1318,Master[Product_Code],Master[Color])</f>
        <v>Wine</v>
      </c>
      <c r="L1318" s="3">
        <f>_xlfn.XLOOKUP(D1318,Master[Product_Code],Master[Selling_Price])</f>
        <v>760</v>
      </c>
    </row>
    <row r="1319" spans="2:12">
      <c r="B1319" s="2" t="s">
        <v>2303</v>
      </c>
      <c r="C1319" s="7">
        <v>45972</v>
      </c>
      <c r="D1319" s="2" t="s">
        <v>1454</v>
      </c>
      <c r="E1319" s="4">
        <v>1</v>
      </c>
      <c r="F1319" s="8" t="str">
        <f>_xlfn.XLOOKUP(D1319,Master[Product_Code],Master[Category])</f>
        <v>Pants</v>
      </c>
      <c r="G1319" s="8" t="str">
        <f>_xlfn.XLOOKUP(D1319,Master[Product_Code],Master[Brand])</f>
        <v>Raymond</v>
      </c>
      <c r="H1319" s="8" t="str">
        <f>_xlfn.XLOOKUP(D1319,Master[Product_Code],Master[Style])</f>
        <v>Boot Cut</v>
      </c>
      <c r="I1319" s="8" t="str">
        <f>_xlfn.XLOOKUP(D1319,Master[Product_Code],Master[Fabric])</f>
        <v>Cotton Blend</v>
      </c>
      <c r="J1319" s="8">
        <f>_xlfn.XLOOKUP(D1319,Master[Product_Code],Master[Size])</f>
        <v>38</v>
      </c>
      <c r="K1319" s="8" t="str">
        <f>_xlfn.XLOOKUP(D1319,Master[Product_Code],Master[Color])</f>
        <v>Mustard</v>
      </c>
      <c r="L1319" s="3">
        <f>_xlfn.XLOOKUP(D1319,Master[Product_Code],Master[Selling_Price])</f>
        <v>810</v>
      </c>
    </row>
    <row r="1320" spans="2:12">
      <c r="B1320" s="2" t="s">
        <v>2304</v>
      </c>
      <c r="C1320" s="7">
        <v>45972</v>
      </c>
      <c r="D1320" s="2" t="s">
        <v>1318</v>
      </c>
      <c r="E1320" s="4">
        <v>1</v>
      </c>
      <c r="F1320" s="8" t="str">
        <f>_xlfn.XLOOKUP(D1320,Master[Product_Code],Master[Category])</f>
        <v>Pants</v>
      </c>
      <c r="G1320" s="8" t="str">
        <f>_xlfn.XLOOKUP(D1320,Master[Product_Code],Master[Brand])</f>
        <v>Peter England</v>
      </c>
      <c r="H1320" s="8" t="str">
        <f>_xlfn.XLOOKUP(D1320,Master[Product_Code],Master[Style])</f>
        <v>Jogger</v>
      </c>
      <c r="I1320" s="8" t="str">
        <f>_xlfn.XLOOKUP(D1320,Master[Product_Code],Master[Fabric])</f>
        <v>Cotton</v>
      </c>
      <c r="J1320" s="8">
        <f>_xlfn.XLOOKUP(D1320,Master[Product_Code],Master[Size])</f>
        <v>36</v>
      </c>
      <c r="K1320" s="8" t="str">
        <f>_xlfn.XLOOKUP(D1320,Master[Product_Code],Master[Color])</f>
        <v>Navy Blue</v>
      </c>
      <c r="L1320" s="3">
        <f>_xlfn.XLOOKUP(D1320,Master[Product_Code],Master[Selling_Price])</f>
        <v>870</v>
      </c>
    </row>
    <row r="1321" spans="2:12">
      <c r="B1321" s="2" t="s">
        <v>2305</v>
      </c>
      <c r="C1321" s="7">
        <v>45972</v>
      </c>
      <c r="D1321" s="2" t="s">
        <v>315</v>
      </c>
      <c r="E1321" s="4">
        <v>1</v>
      </c>
      <c r="F1321" s="8" t="str">
        <f>_xlfn.XLOOKUP(D1321,Master[Product_Code],Master[Category])</f>
        <v>Shirt</v>
      </c>
      <c r="G1321" s="8" t="str">
        <f>_xlfn.XLOOKUP(D1321,Master[Product_Code],Master[Brand])</f>
        <v>British</v>
      </c>
      <c r="H1321" s="8" t="str">
        <f>_xlfn.XLOOKUP(D1321,Master[Product_Code],Master[Style])</f>
        <v>Casual</v>
      </c>
      <c r="I1321" s="8" t="str">
        <f>_xlfn.XLOOKUP(D1321,Master[Product_Code],Master[Fabric])</f>
        <v>Cotton Blend</v>
      </c>
      <c r="J1321" s="8" t="str">
        <f>_xlfn.XLOOKUP(D1321,Master[Product_Code],Master[Size])</f>
        <v>L</v>
      </c>
      <c r="K1321" s="8" t="str">
        <f>_xlfn.XLOOKUP(D1321,Master[Product_Code],Master[Color])</f>
        <v>Charcoal</v>
      </c>
      <c r="L1321" s="3">
        <f>_xlfn.XLOOKUP(D1321,Master[Product_Code],Master[Selling_Price])</f>
        <v>820</v>
      </c>
    </row>
    <row r="1322" spans="2:12">
      <c r="B1322" s="2" t="s">
        <v>2305</v>
      </c>
      <c r="C1322" s="7">
        <v>45972</v>
      </c>
      <c r="D1322" s="2" t="s">
        <v>1104</v>
      </c>
      <c r="E1322" s="4">
        <v>1</v>
      </c>
      <c r="F1322" s="8" t="str">
        <f>_xlfn.XLOOKUP(D1322,Master[Product_Code],Master[Category])</f>
        <v>Jeans</v>
      </c>
      <c r="G1322" s="8" t="str">
        <f>_xlfn.XLOOKUP(D1322,Master[Product_Code],Master[Brand])</f>
        <v>Denim Pro</v>
      </c>
      <c r="H1322" s="8" t="str">
        <f>_xlfn.XLOOKUP(D1322,Master[Product_Code],Master[Style])</f>
        <v>Mom Fit</v>
      </c>
      <c r="I1322" s="8" t="str">
        <f>_xlfn.XLOOKUP(D1322,Master[Product_Code],Master[Fabric])</f>
        <v>Denim</v>
      </c>
      <c r="J1322" s="8">
        <f>_xlfn.XLOOKUP(D1322,Master[Product_Code],Master[Size])</f>
        <v>36</v>
      </c>
      <c r="K1322" s="8" t="str">
        <f>_xlfn.XLOOKUP(D1322,Master[Product_Code],Master[Color])</f>
        <v>Grey</v>
      </c>
      <c r="L1322" s="3">
        <f>_xlfn.XLOOKUP(D1322,Master[Product_Code],Master[Selling_Price])</f>
        <v>930</v>
      </c>
    </row>
    <row r="1323" spans="2:12">
      <c r="B1323" s="2" t="s">
        <v>2305</v>
      </c>
      <c r="C1323" s="7">
        <v>45972</v>
      </c>
      <c r="D1323" s="2" t="s">
        <v>211</v>
      </c>
      <c r="E1323" s="4">
        <v>1</v>
      </c>
      <c r="F1323" s="8" t="str">
        <f>_xlfn.XLOOKUP(D1323,Master[Product_Code],Master[Category])</f>
        <v>Shirt</v>
      </c>
      <c r="G1323" s="8" t="str">
        <f>_xlfn.XLOOKUP(D1323,Master[Product_Code],Master[Brand])</f>
        <v>G Studio</v>
      </c>
      <c r="H1323" s="8" t="str">
        <f>_xlfn.XLOOKUP(D1323,Master[Product_Code],Master[Style])</f>
        <v>Partywear</v>
      </c>
      <c r="I1323" s="8" t="str">
        <f>_xlfn.XLOOKUP(D1323,Master[Product_Code],Master[Fabric])</f>
        <v>Cotton Blend</v>
      </c>
      <c r="J1323" s="8" t="str">
        <f>_xlfn.XLOOKUP(D1323,Master[Product_Code],Master[Size])</f>
        <v>M</v>
      </c>
      <c r="K1323" s="8" t="str">
        <f>_xlfn.XLOOKUP(D1323,Master[Product_Code],Master[Color])</f>
        <v>Sky Blue</v>
      </c>
      <c r="L1323" s="3">
        <f>_xlfn.XLOOKUP(D1323,Master[Product_Code],Master[Selling_Price])</f>
        <v>710</v>
      </c>
    </row>
    <row r="1324" spans="2:12">
      <c r="B1324" s="2" t="s">
        <v>2305</v>
      </c>
      <c r="C1324" s="7">
        <v>45972</v>
      </c>
      <c r="D1324" s="2" t="s">
        <v>823</v>
      </c>
      <c r="E1324" s="4">
        <v>1</v>
      </c>
      <c r="F1324" s="8" t="str">
        <f>_xlfn.XLOOKUP(D1324,Master[Product_Code],Master[Category])</f>
        <v>T-Shirt</v>
      </c>
      <c r="G1324" s="8" t="str">
        <f>_xlfn.XLOOKUP(D1324,Master[Product_Code],Master[Brand])</f>
        <v>Urban Monkey</v>
      </c>
      <c r="H1324" s="8" t="str">
        <f>_xlfn.XLOOKUP(D1324,Master[Product_Code],Master[Style])</f>
        <v>3/4 Sleeve</v>
      </c>
      <c r="I1324" s="8" t="str">
        <f>_xlfn.XLOOKUP(D1324,Master[Product_Code],Master[Fabric])</f>
        <v>Cotton</v>
      </c>
      <c r="J1324" s="8" t="str">
        <f>_xlfn.XLOOKUP(D1324,Master[Product_Code],Master[Size])</f>
        <v>XXL</v>
      </c>
      <c r="K1324" s="8" t="str">
        <f>_xlfn.XLOOKUP(D1324,Master[Product_Code],Master[Color])</f>
        <v>Beige</v>
      </c>
      <c r="L1324" s="3">
        <f>_xlfn.XLOOKUP(D1324,Master[Product_Code],Master[Selling_Price])</f>
        <v>650</v>
      </c>
    </row>
    <row r="1325" spans="2:12">
      <c r="B1325" s="2" t="s">
        <v>2306</v>
      </c>
      <c r="C1325" s="7">
        <v>45973</v>
      </c>
      <c r="D1325" s="2" t="s">
        <v>285</v>
      </c>
      <c r="E1325" s="4">
        <v>1</v>
      </c>
      <c r="F1325" s="8" t="str">
        <f>_xlfn.XLOOKUP(D1325,Master[Product_Code],Master[Category])</f>
        <v>Shirt</v>
      </c>
      <c r="G1325" s="8" t="str">
        <f>_xlfn.XLOOKUP(D1325,Master[Product_Code],Master[Brand])</f>
        <v>Thailand</v>
      </c>
      <c r="H1325" s="8" t="str">
        <f>_xlfn.XLOOKUP(D1325,Master[Product_Code],Master[Style])</f>
        <v>Casual</v>
      </c>
      <c r="I1325" s="8" t="str">
        <f>_xlfn.XLOOKUP(D1325,Master[Product_Code],Master[Fabric])</f>
        <v>Polyester</v>
      </c>
      <c r="J1325" s="8" t="str">
        <f>_xlfn.XLOOKUP(D1325,Master[Product_Code],Master[Size])</f>
        <v>M</v>
      </c>
      <c r="K1325" s="8" t="str">
        <f>_xlfn.XLOOKUP(D1325,Master[Product_Code],Master[Color])</f>
        <v>Grey</v>
      </c>
      <c r="L1325" s="3">
        <f>_xlfn.XLOOKUP(D1325,Master[Product_Code],Master[Selling_Price])</f>
        <v>900</v>
      </c>
    </row>
    <row r="1326" spans="2:12">
      <c r="B1326" s="2" t="s">
        <v>2307</v>
      </c>
      <c r="C1326" s="7">
        <v>45973</v>
      </c>
      <c r="D1326" s="2" t="s">
        <v>317</v>
      </c>
      <c r="E1326" s="4">
        <v>1</v>
      </c>
      <c r="F1326" s="8" t="str">
        <f>_xlfn.XLOOKUP(D1326,Master[Product_Code],Master[Category])</f>
        <v>Shirt</v>
      </c>
      <c r="G1326" s="8" t="str">
        <f>_xlfn.XLOOKUP(D1326,Master[Product_Code],Master[Brand])</f>
        <v>Thailand</v>
      </c>
      <c r="H1326" s="8" t="str">
        <f>_xlfn.XLOOKUP(D1326,Master[Product_Code],Master[Style])</f>
        <v>Partywear</v>
      </c>
      <c r="I1326" s="8" t="str">
        <f>_xlfn.XLOOKUP(D1326,Master[Product_Code],Master[Fabric])</f>
        <v>Polyester</v>
      </c>
      <c r="J1326" s="8" t="str">
        <f>_xlfn.XLOOKUP(D1326,Master[Product_Code],Master[Size])</f>
        <v>M</v>
      </c>
      <c r="K1326" s="8" t="str">
        <f>_xlfn.XLOOKUP(D1326,Master[Product_Code],Master[Color])</f>
        <v>Royal Blue</v>
      </c>
      <c r="L1326" s="3">
        <f>_xlfn.XLOOKUP(D1326,Master[Product_Code],Master[Selling_Price])</f>
        <v>910</v>
      </c>
    </row>
    <row r="1327" spans="2:12">
      <c r="B1327" s="2" t="s">
        <v>2308</v>
      </c>
      <c r="C1327" s="7">
        <v>45973</v>
      </c>
      <c r="D1327" s="2" t="s">
        <v>902</v>
      </c>
      <c r="E1327" s="4">
        <v>1</v>
      </c>
      <c r="F1327" s="8" t="str">
        <f>_xlfn.XLOOKUP(D1327,Master[Product_Code],Master[Category])</f>
        <v>Jeans</v>
      </c>
      <c r="G1327" s="8" t="str">
        <f>_xlfn.XLOOKUP(D1327,Master[Product_Code],Master[Brand])</f>
        <v>Levis</v>
      </c>
      <c r="H1327" s="8" t="str">
        <f>_xlfn.XLOOKUP(D1327,Master[Product_Code],Master[Style])</f>
        <v>Jogger</v>
      </c>
      <c r="I1327" s="8" t="str">
        <f>_xlfn.XLOOKUP(D1327,Master[Product_Code],Master[Fabric])</f>
        <v>Denim</v>
      </c>
      <c r="J1327" s="8">
        <f>_xlfn.XLOOKUP(D1327,Master[Product_Code],Master[Size])</f>
        <v>32</v>
      </c>
      <c r="K1327" s="8" t="str">
        <f>_xlfn.XLOOKUP(D1327,Master[Product_Code],Master[Color])</f>
        <v>Dark Green</v>
      </c>
      <c r="L1327" s="3">
        <f>_xlfn.XLOOKUP(D1327,Master[Product_Code],Master[Selling_Price])</f>
        <v>960</v>
      </c>
    </row>
    <row r="1328" spans="2:12">
      <c r="B1328" s="2" t="s">
        <v>2308</v>
      </c>
      <c r="C1328" s="7">
        <v>45973</v>
      </c>
      <c r="D1328" s="2" t="s">
        <v>226</v>
      </c>
      <c r="E1328" s="4">
        <v>1</v>
      </c>
      <c r="F1328" s="8" t="str">
        <f>_xlfn.XLOOKUP(D1328,Master[Product_Code],Master[Category])</f>
        <v>Shirt</v>
      </c>
      <c r="G1328" s="8" t="str">
        <f>_xlfn.XLOOKUP(D1328,Master[Product_Code],Master[Brand])</f>
        <v>G Studio</v>
      </c>
      <c r="H1328" s="8" t="str">
        <f>_xlfn.XLOOKUP(D1328,Master[Product_Code],Master[Style])</f>
        <v>Partywear</v>
      </c>
      <c r="I1328" s="8" t="str">
        <f>_xlfn.XLOOKUP(D1328,Master[Product_Code],Master[Fabric])</f>
        <v>Cotton</v>
      </c>
      <c r="J1328" s="8" t="str">
        <f>_xlfn.XLOOKUP(D1328,Master[Product_Code],Master[Size])</f>
        <v>S</v>
      </c>
      <c r="K1328" s="8" t="str">
        <f>_xlfn.XLOOKUP(D1328,Master[Product_Code],Master[Color])</f>
        <v>Mustard</v>
      </c>
      <c r="L1328" s="3">
        <f>_xlfn.XLOOKUP(D1328,Master[Product_Code],Master[Selling_Price])</f>
        <v>870</v>
      </c>
    </row>
    <row r="1329" spans="2:12">
      <c r="B1329" s="2" t="s">
        <v>2308</v>
      </c>
      <c r="C1329" s="7">
        <v>45973</v>
      </c>
      <c r="D1329" s="2" t="s">
        <v>1335</v>
      </c>
      <c r="E1329" s="4">
        <v>1</v>
      </c>
      <c r="F1329" s="8" t="str">
        <f>_xlfn.XLOOKUP(D1329,Master[Product_Code],Master[Category])</f>
        <v>Pants</v>
      </c>
      <c r="G1329" s="8" t="str">
        <f>_xlfn.XLOOKUP(D1329,Master[Product_Code],Master[Brand])</f>
        <v>Raymond</v>
      </c>
      <c r="H1329" s="8" t="str">
        <f>_xlfn.XLOOKUP(D1329,Master[Product_Code],Master[Style])</f>
        <v>Jogger</v>
      </c>
      <c r="I1329" s="8" t="str">
        <f>_xlfn.XLOOKUP(D1329,Master[Product_Code],Master[Fabric])</f>
        <v>Poly Viscose</v>
      </c>
      <c r="J1329" s="8">
        <f>_xlfn.XLOOKUP(D1329,Master[Product_Code],Master[Size])</f>
        <v>40</v>
      </c>
      <c r="K1329" s="8" t="str">
        <f>_xlfn.XLOOKUP(D1329,Master[Product_Code],Master[Color])</f>
        <v>Rust</v>
      </c>
      <c r="L1329" s="3">
        <f>_xlfn.XLOOKUP(D1329,Master[Product_Code],Master[Selling_Price])</f>
        <v>900</v>
      </c>
    </row>
    <row r="1330" spans="2:12">
      <c r="B1330" s="2" t="s">
        <v>2309</v>
      </c>
      <c r="C1330" s="7">
        <v>45973</v>
      </c>
      <c r="D1330" s="2" t="s">
        <v>144</v>
      </c>
      <c r="E1330" s="4">
        <v>1</v>
      </c>
      <c r="F1330" s="8" t="str">
        <f>_xlfn.XLOOKUP(D1330,Master[Product_Code],Master[Category])</f>
        <v>Shirt</v>
      </c>
      <c r="G1330" s="8" t="str">
        <f>_xlfn.XLOOKUP(D1330,Master[Product_Code],Master[Brand])</f>
        <v>Zara</v>
      </c>
      <c r="H1330" s="8" t="str">
        <f>_xlfn.XLOOKUP(D1330,Master[Product_Code],Master[Style])</f>
        <v>Partywear</v>
      </c>
      <c r="I1330" s="8" t="str">
        <f>_xlfn.XLOOKUP(D1330,Master[Product_Code],Master[Fabric])</f>
        <v>Lycra</v>
      </c>
      <c r="J1330" s="8" t="str">
        <f>_xlfn.XLOOKUP(D1330,Master[Product_Code],Master[Size])</f>
        <v>M</v>
      </c>
      <c r="K1330" s="8" t="str">
        <f>_xlfn.XLOOKUP(D1330,Master[Product_Code],Master[Color])</f>
        <v>Maroon</v>
      </c>
      <c r="L1330" s="3">
        <f>_xlfn.XLOOKUP(D1330,Master[Product_Code],Master[Selling_Price])</f>
        <v>700</v>
      </c>
    </row>
    <row r="1331" spans="2:12">
      <c r="B1331" s="2" t="s">
        <v>2309</v>
      </c>
      <c r="C1331" s="7">
        <v>45973</v>
      </c>
      <c r="D1331" s="2" t="s">
        <v>266</v>
      </c>
      <c r="E1331" s="4">
        <v>1</v>
      </c>
      <c r="F1331" s="8" t="str">
        <f>_xlfn.XLOOKUP(D1331,Master[Product_Code],Master[Category])</f>
        <v>Shirt</v>
      </c>
      <c r="G1331" s="8" t="str">
        <f>_xlfn.XLOOKUP(D1331,Master[Product_Code],Master[Brand])</f>
        <v>Max</v>
      </c>
      <c r="H1331" s="8" t="str">
        <f>_xlfn.XLOOKUP(D1331,Master[Product_Code],Master[Style])</f>
        <v>Partywear</v>
      </c>
      <c r="I1331" s="8" t="str">
        <f>_xlfn.XLOOKUP(D1331,Master[Product_Code],Master[Fabric])</f>
        <v>Cotton Blend</v>
      </c>
      <c r="J1331" s="8" t="str">
        <f>_xlfn.XLOOKUP(D1331,Master[Product_Code],Master[Size])</f>
        <v>L</v>
      </c>
      <c r="K1331" s="8" t="str">
        <f>_xlfn.XLOOKUP(D1331,Master[Product_Code],Master[Color])</f>
        <v>Maroon</v>
      </c>
      <c r="L1331" s="3">
        <f>_xlfn.XLOOKUP(D1331,Master[Product_Code],Master[Selling_Price])</f>
        <v>800</v>
      </c>
    </row>
    <row r="1332" spans="2:12">
      <c r="B1332" s="2" t="s">
        <v>2309</v>
      </c>
      <c r="C1332" s="7">
        <v>45973</v>
      </c>
      <c r="D1332" s="2" t="s">
        <v>975</v>
      </c>
      <c r="E1332" s="4">
        <v>1</v>
      </c>
      <c r="F1332" s="8" t="str">
        <f>_xlfn.XLOOKUP(D1332,Master[Product_Code],Master[Category])</f>
        <v>Jeans</v>
      </c>
      <c r="G1332" s="8" t="str">
        <f>_xlfn.XLOOKUP(D1332,Master[Product_Code],Master[Brand])</f>
        <v>Spykar</v>
      </c>
      <c r="H1332" s="8" t="str">
        <f>_xlfn.XLOOKUP(D1332,Master[Product_Code],Master[Style])</f>
        <v>Jogger</v>
      </c>
      <c r="I1332" s="8" t="str">
        <f>_xlfn.XLOOKUP(D1332,Master[Product_Code],Master[Fabric])</f>
        <v>Denim</v>
      </c>
      <c r="J1332" s="8">
        <f>_xlfn.XLOOKUP(D1332,Master[Product_Code],Master[Size])</f>
        <v>30</v>
      </c>
      <c r="K1332" s="8" t="str">
        <f>_xlfn.XLOOKUP(D1332,Master[Product_Code],Master[Color])</f>
        <v>Light Grey</v>
      </c>
      <c r="L1332" s="3">
        <f>_xlfn.XLOOKUP(D1332,Master[Product_Code],Master[Selling_Price])</f>
        <v>1020</v>
      </c>
    </row>
    <row r="1333" spans="2:12">
      <c r="B1333" s="2" t="s">
        <v>2309</v>
      </c>
      <c r="C1333" s="7">
        <v>45973</v>
      </c>
      <c r="D1333" s="2" t="s">
        <v>1301</v>
      </c>
      <c r="E1333" s="4">
        <v>1</v>
      </c>
      <c r="F1333" s="8" t="str">
        <f>_xlfn.XLOOKUP(D1333,Master[Product_Code],Master[Category])</f>
        <v>Pants</v>
      </c>
      <c r="G1333" s="8" t="str">
        <f>_xlfn.XLOOKUP(D1333,Master[Product_Code],Master[Brand])</f>
        <v>Peter England</v>
      </c>
      <c r="H1333" s="8" t="str">
        <f>_xlfn.XLOOKUP(D1333,Master[Product_Code],Master[Style])</f>
        <v>Kurka</v>
      </c>
      <c r="I1333" s="8" t="str">
        <f>_xlfn.XLOOKUP(D1333,Master[Product_Code],Master[Fabric])</f>
        <v>Lycra</v>
      </c>
      <c r="J1333" s="8">
        <f>_xlfn.XLOOKUP(D1333,Master[Product_Code],Master[Size])</f>
        <v>30</v>
      </c>
      <c r="K1333" s="8" t="str">
        <f>_xlfn.XLOOKUP(D1333,Master[Product_Code],Master[Color])</f>
        <v>Royal Blue</v>
      </c>
      <c r="L1333" s="3">
        <f>_xlfn.XLOOKUP(D1333,Master[Product_Code],Master[Selling_Price])</f>
        <v>820</v>
      </c>
    </row>
    <row r="1334" spans="2:12">
      <c r="B1334" s="2" t="s">
        <v>2310</v>
      </c>
      <c r="C1334" s="7">
        <v>45973</v>
      </c>
      <c r="D1334" s="2" t="s">
        <v>662</v>
      </c>
      <c r="E1334" s="4">
        <v>1</v>
      </c>
      <c r="F1334" s="8" t="str">
        <f>_xlfn.XLOOKUP(D1334,Master[Product_Code],Master[Category])</f>
        <v>T-Shirt</v>
      </c>
      <c r="G1334" s="8" t="str">
        <f>_xlfn.XLOOKUP(D1334,Master[Product_Code],Master[Brand])</f>
        <v>Turkey</v>
      </c>
      <c r="H1334" s="8" t="str">
        <f>_xlfn.XLOOKUP(D1334,Master[Product_Code],Master[Style])</f>
        <v>3/4 Sleeve</v>
      </c>
      <c r="I1334" s="8" t="str">
        <f>_xlfn.XLOOKUP(D1334,Master[Product_Code],Master[Fabric])</f>
        <v>Cotton Blend</v>
      </c>
      <c r="J1334" s="8" t="str">
        <f>_xlfn.XLOOKUP(D1334,Master[Product_Code],Master[Size])</f>
        <v>L</v>
      </c>
      <c r="K1334" s="8" t="str">
        <f>_xlfn.XLOOKUP(D1334,Master[Product_Code],Master[Color])</f>
        <v>Grey</v>
      </c>
      <c r="L1334" s="3">
        <f>_xlfn.XLOOKUP(D1334,Master[Product_Code],Master[Selling_Price])</f>
        <v>700</v>
      </c>
    </row>
    <row r="1335" spans="2:12">
      <c r="B1335" s="2" t="s">
        <v>2311</v>
      </c>
      <c r="C1335" s="7">
        <v>45973</v>
      </c>
      <c r="D1335" s="2" t="s">
        <v>391</v>
      </c>
      <c r="E1335" s="4">
        <v>1</v>
      </c>
      <c r="F1335" s="8" t="str">
        <f>_xlfn.XLOOKUP(D1335,Master[Product_Code],Master[Category])</f>
        <v>Shirt</v>
      </c>
      <c r="G1335" s="8" t="str">
        <f>_xlfn.XLOOKUP(D1335,Master[Product_Code],Master[Brand])</f>
        <v>G Studio</v>
      </c>
      <c r="H1335" s="8" t="str">
        <f>_xlfn.XLOOKUP(D1335,Master[Product_Code],Master[Style])</f>
        <v>Formal</v>
      </c>
      <c r="I1335" s="8" t="str">
        <f>_xlfn.XLOOKUP(D1335,Master[Product_Code],Master[Fabric])</f>
        <v>Cotton</v>
      </c>
      <c r="J1335" s="8" t="str">
        <f>_xlfn.XLOOKUP(D1335,Master[Product_Code],Master[Size])</f>
        <v>L</v>
      </c>
      <c r="K1335" s="8" t="str">
        <f>_xlfn.XLOOKUP(D1335,Master[Product_Code],Master[Color])</f>
        <v>Cream</v>
      </c>
      <c r="L1335" s="3">
        <f>_xlfn.XLOOKUP(D1335,Master[Product_Code],Master[Selling_Price])</f>
        <v>890</v>
      </c>
    </row>
    <row r="1336" spans="2:12">
      <c r="B1336" s="2" t="s">
        <v>2311</v>
      </c>
      <c r="C1336" s="7">
        <v>45973</v>
      </c>
      <c r="D1336" s="2" t="s">
        <v>1341</v>
      </c>
      <c r="E1336" s="4">
        <v>1</v>
      </c>
      <c r="F1336" s="8" t="str">
        <f>_xlfn.XLOOKUP(D1336,Master[Product_Code],Master[Category])</f>
        <v>Pants</v>
      </c>
      <c r="G1336" s="8" t="str">
        <f>_xlfn.XLOOKUP(D1336,Master[Product_Code],Master[Brand])</f>
        <v>Peter England</v>
      </c>
      <c r="H1336" s="8" t="str">
        <f>_xlfn.XLOOKUP(D1336,Master[Product_Code],Master[Style])</f>
        <v>Polofit</v>
      </c>
      <c r="I1336" s="8" t="str">
        <f>_xlfn.XLOOKUP(D1336,Master[Product_Code],Master[Fabric])</f>
        <v>Lycra</v>
      </c>
      <c r="J1336" s="8">
        <f>_xlfn.XLOOKUP(D1336,Master[Product_Code],Master[Size])</f>
        <v>44</v>
      </c>
      <c r="K1336" s="8" t="str">
        <f>_xlfn.XLOOKUP(D1336,Master[Product_Code],Master[Color])</f>
        <v>Light Grey</v>
      </c>
      <c r="L1336" s="3">
        <f>_xlfn.XLOOKUP(D1336,Master[Product_Code],Master[Selling_Price])</f>
        <v>930</v>
      </c>
    </row>
    <row r="1337" spans="2:12">
      <c r="B1337" s="2" t="s">
        <v>2312</v>
      </c>
      <c r="C1337" s="7">
        <v>45973</v>
      </c>
      <c r="D1337" s="2" t="s">
        <v>1505</v>
      </c>
      <c r="E1337" s="4">
        <v>1</v>
      </c>
      <c r="F1337" s="8" t="str">
        <f>_xlfn.XLOOKUP(D1337,Master[Product_Code],Master[Category])</f>
        <v>Innerwear</v>
      </c>
      <c r="G1337" s="8" t="str">
        <f>_xlfn.XLOOKUP(D1337,Master[Product_Code],Master[Brand])</f>
        <v>V Star</v>
      </c>
      <c r="H1337" s="8" t="str">
        <f>_xlfn.XLOOKUP(D1337,Master[Product_Code],Master[Style])</f>
        <v>V-Cut</v>
      </c>
      <c r="I1337" s="8" t="str">
        <f>_xlfn.XLOOKUP(D1337,Master[Product_Code],Master[Fabric])</f>
        <v>Cotton</v>
      </c>
      <c r="J1337" s="8" t="str">
        <f>_xlfn.XLOOKUP(D1337,Master[Product_Code],Master[Size])</f>
        <v>80-85</v>
      </c>
      <c r="K1337" s="8" t="str">
        <f>_xlfn.XLOOKUP(D1337,Master[Product_Code],Master[Color])</f>
        <v>Black</v>
      </c>
      <c r="L1337" s="3">
        <f>_xlfn.XLOOKUP(D1337,Master[Product_Code],Master[Selling_Price])</f>
        <v>160</v>
      </c>
    </row>
    <row r="1338" spans="2:12">
      <c r="B1338" s="2" t="s">
        <v>2312</v>
      </c>
      <c r="C1338" s="7">
        <v>45973</v>
      </c>
      <c r="D1338" s="2" t="s">
        <v>1455</v>
      </c>
      <c r="E1338" s="4">
        <v>1</v>
      </c>
      <c r="F1338" s="8" t="str">
        <f>_xlfn.XLOOKUP(D1338,Master[Product_Code],Master[Category])</f>
        <v>Pants</v>
      </c>
      <c r="G1338" s="8" t="str">
        <f>_xlfn.XLOOKUP(D1338,Master[Product_Code],Master[Brand])</f>
        <v>Louis Philippe</v>
      </c>
      <c r="H1338" s="8" t="str">
        <f>_xlfn.XLOOKUP(D1338,Master[Product_Code],Master[Style])</f>
        <v>Boot Cut</v>
      </c>
      <c r="I1338" s="8" t="str">
        <f>_xlfn.XLOOKUP(D1338,Master[Product_Code],Master[Fabric])</f>
        <v>Cotton Blend</v>
      </c>
      <c r="J1338" s="8">
        <f>_xlfn.XLOOKUP(D1338,Master[Product_Code],Master[Size])</f>
        <v>44</v>
      </c>
      <c r="K1338" s="8" t="str">
        <f>_xlfn.XLOOKUP(D1338,Master[Product_Code],Master[Color])</f>
        <v>Brown</v>
      </c>
      <c r="L1338" s="3">
        <f>_xlfn.XLOOKUP(D1338,Master[Product_Code],Master[Selling_Price])</f>
        <v>850</v>
      </c>
    </row>
    <row r="1339" spans="2:12">
      <c r="B1339" s="2" t="s">
        <v>2312</v>
      </c>
      <c r="C1339" s="7">
        <v>45973</v>
      </c>
      <c r="D1339" s="2" t="s">
        <v>826</v>
      </c>
      <c r="E1339" s="4">
        <v>1</v>
      </c>
      <c r="F1339" s="8" t="str">
        <f>_xlfn.XLOOKUP(D1339,Master[Product_Code],Master[Category])</f>
        <v>T-Shirt</v>
      </c>
      <c r="G1339" s="8" t="str">
        <f>_xlfn.XLOOKUP(D1339,Master[Product_Code],Master[Brand])</f>
        <v>Max</v>
      </c>
      <c r="H1339" s="8" t="str">
        <f>_xlfn.XLOOKUP(D1339,Master[Product_Code],Master[Style])</f>
        <v>Full Sleeve</v>
      </c>
      <c r="I1339" s="8" t="str">
        <f>_xlfn.XLOOKUP(D1339,Master[Product_Code],Master[Fabric])</f>
        <v>Poly Cotton</v>
      </c>
      <c r="J1339" s="8" t="str">
        <f>_xlfn.XLOOKUP(D1339,Master[Product_Code],Master[Size])</f>
        <v>M</v>
      </c>
      <c r="K1339" s="8" t="str">
        <f>_xlfn.XLOOKUP(D1339,Master[Product_Code],Master[Color])</f>
        <v>Light Grey</v>
      </c>
      <c r="L1339" s="3">
        <f>_xlfn.XLOOKUP(D1339,Master[Product_Code],Master[Selling_Price])</f>
        <v>410</v>
      </c>
    </row>
    <row r="1340" spans="2:12">
      <c r="B1340" s="2" t="s">
        <v>2313</v>
      </c>
      <c r="C1340" s="7">
        <v>45973</v>
      </c>
      <c r="D1340" s="2" t="s">
        <v>627</v>
      </c>
      <c r="E1340" s="4">
        <v>1</v>
      </c>
      <c r="F1340" s="8" t="str">
        <f>_xlfn.XLOOKUP(D1340,Master[Product_Code],Master[Category])</f>
        <v>T-Shirt</v>
      </c>
      <c r="G1340" s="8" t="str">
        <f>_xlfn.XLOOKUP(D1340,Master[Product_Code],Master[Brand])</f>
        <v>Roadster</v>
      </c>
      <c r="H1340" s="8" t="str">
        <f>_xlfn.XLOOKUP(D1340,Master[Product_Code],Master[Style])</f>
        <v>Full Sleeve</v>
      </c>
      <c r="I1340" s="8" t="str">
        <f>_xlfn.XLOOKUP(D1340,Master[Product_Code],Master[Fabric])</f>
        <v>Cotton</v>
      </c>
      <c r="J1340" s="8" t="str">
        <f>_xlfn.XLOOKUP(D1340,Master[Product_Code],Master[Size])</f>
        <v>L</v>
      </c>
      <c r="K1340" s="8" t="str">
        <f>_xlfn.XLOOKUP(D1340,Master[Product_Code],Master[Color])</f>
        <v>Wine</v>
      </c>
      <c r="L1340" s="3">
        <f>_xlfn.XLOOKUP(D1340,Master[Product_Code],Master[Selling_Price])</f>
        <v>250</v>
      </c>
    </row>
    <row r="1341" spans="2:12">
      <c r="B1341" s="2" t="s">
        <v>2313</v>
      </c>
      <c r="C1341" s="7">
        <v>45973</v>
      </c>
      <c r="D1341" s="2" t="s">
        <v>603</v>
      </c>
      <c r="E1341" s="4">
        <v>1</v>
      </c>
      <c r="F1341" s="8" t="str">
        <f>_xlfn.XLOOKUP(D1341,Master[Product_Code],Master[Category])</f>
        <v>T-Shirt</v>
      </c>
      <c r="G1341" s="8" t="str">
        <f>_xlfn.XLOOKUP(D1341,Master[Product_Code],Master[Brand])</f>
        <v>Zara</v>
      </c>
      <c r="H1341" s="8" t="str">
        <f>_xlfn.XLOOKUP(D1341,Master[Product_Code],Master[Style])</f>
        <v>3/4 Sleeve</v>
      </c>
      <c r="I1341" s="8" t="str">
        <f>_xlfn.XLOOKUP(D1341,Master[Product_Code],Master[Fabric])</f>
        <v>Poly Cotton</v>
      </c>
      <c r="J1341" s="8" t="str">
        <f>_xlfn.XLOOKUP(D1341,Master[Product_Code],Master[Size])</f>
        <v>XXL</v>
      </c>
      <c r="K1341" s="8" t="str">
        <f>_xlfn.XLOOKUP(D1341,Master[Product_Code],Master[Color])</f>
        <v>Peach</v>
      </c>
      <c r="L1341" s="3">
        <f>_xlfn.XLOOKUP(D1341,Master[Product_Code],Master[Selling_Price])</f>
        <v>520</v>
      </c>
    </row>
    <row r="1342" spans="2:12">
      <c r="B1342" s="2" t="s">
        <v>2313</v>
      </c>
      <c r="C1342" s="7">
        <v>45973</v>
      </c>
      <c r="D1342" s="2" t="s">
        <v>995</v>
      </c>
      <c r="E1342" s="4">
        <v>1</v>
      </c>
      <c r="F1342" s="8" t="str">
        <f>_xlfn.XLOOKUP(D1342,Master[Product_Code],Master[Category])</f>
        <v>Jeans</v>
      </c>
      <c r="G1342" s="8" t="str">
        <f>_xlfn.XLOOKUP(D1342,Master[Product_Code],Master[Brand])</f>
        <v>Wrangler</v>
      </c>
      <c r="H1342" s="8" t="str">
        <f>_xlfn.XLOOKUP(D1342,Master[Product_Code],Master[Style])</f>
        <v>Mom Fit</v>
      </c>
      <c r="I1342" s="8" t="str">
        <f>_xlfn.XLOOKUP(D1342,Master[Product_Code],Master[Fabric])</f>
        <v>Denim</v>
      </c>
      <c r="J1342" s="8">
        <f>_xlfn.XLOOKUP(D1342,Master[Product_Code],Master[Size])</f>
        <v>44</v>
      </c>
      <c r="K1342" s="8" t="str">
        <f>_xlfn.XLOOKUP(D1342,Master[Product_Code],Master[Color])</f>
        <v>Maroon</v>
      </c>
      <c r="L1342" s="3">
        <f>_xlfn.XLOOKUP(D1342,Master[Product_Code],Master[Selling_Price])</f>
        <v>1050</v>
      </c>
    </row>
    <row r="1343" spans="2:12">
      <c r="B1343" s="2" t="s">
        <v>2314</v>
      </c>
      <c r="C1343" s="7">
        <v>45973</v>
      </c>
      <c r="D1343" s="2" t="s">
        <v>932</v>
      </c>
      <c r="E1343" s="4">
        <v>1</v>
      </c>
      <c r="F1343" s="8" t="str">
        <f>_xlfn.XLOOKUP(D1343,Master[Product_Code],Master[Category])</f>
        <v>Jeans</v>
      </c>
      <c r="G1343" s="8" t="str">
        <f>_xlfn.XLOOKUP(D1343,Master[Product_Code],Master[Brand])</f>
        <v>Denim Pro</v>
      </c>
      <c r="H1343" s="8" t="str">
        <f>_xlfn.XLOOKUP(D1343,Master[Product_Code],Master[Style])</f>
        <v>Baggy</v>
      </c>
      <c r="I1343" s="8" t="str">
        <f>_xlfn.XLOOKUP(D1343,Master[Product_Code],Master[Fabric])</f>
        <v>Denim</v>
      </c>
      <c r="J1343" s="8">
        <f>_xlfn.XLOOKUP(D1343,Master[Product_Code],Master[Size])</f>
        <v>28</v>
      </c>
      <c r="K1343" s="8" t="str">
        <f>_xlfn.XLOOKUP(D1343,Master[Product_Code],Master[Color])</f>
        <v>Brown</v>
      </c>
      <c r="L1343" s="3">
        <f>_xlfn.XLOOKUP(D1343,Master[Product_Code],Master[Selling_Price])</f>
        <v>1010</v>
      </c>
    </row>
    <row r="1344" spans="2:12">
      <c r="B1344" s="2" t="s">
        <v>2314</v>
      </c>
      <c r="C1344" s="7">
        <v>45973</v>
      </c>
      <c r="D1344" s="2" t="s">
        <v>483</v>
      </c>
      <c r="E1344" s="4">
        <v>1</v>
      </c>
      <c r="F1344" s="8" t="str">
        <f>_xlfn.XLOOKUP(D1344,Master[Product_Code],Master[Category])</f>
        <v>T-Shirt</v>
      </c>
      <c r="G1344" s="8" t="str">
        <f>_xlfn.XLOOKUP(D1344,Master[Product_Code],Master[Brand])</f>
        <v>Turkey</v>
      </c>
      <c r="H1344" s="8" t="str">
        <f>_xlfn.XLOOKUP(D1344,Master[Product_Code],Master[Style])</f>
        <v>3/4 Sleeve</v>
      </c>
      <c r="I1344" s="8" t="str">
        <f>_xlfn.XLOOKUP(D1344,Master[Product_Code],Master[Fabric])</f>
        <v>Poly Cotton</v>
      </c>
      <c r="J1344" s="8" t="str">
        <f>_xlfn.XLOOKUP(D1344,Master[Product_Code],Master[Size])</f>
        <v>XXL</v>
      </c>
      <c r="K1344" s="8" t="str">
        <f>_xlfn.XLOOKUP(D1344,Master[Product_Code],Master[Color])</f>
        <v>Navy Blue</v>
      </c>
      <c r="L1344" s="3">
        <f>_xlfn.XLOOKUP(D1344,Master[Product_Code],Master[Selling_Price])</f>
        <v>650</v>
      </c>
    </row>
    <row r="1345" spans="2:12">
      <c r="B1345" s="2" t="s">
        <v>2314</v>
      </c>
      <c r="C1345" s="7">
        <v>45973</v>
      </c>
      <c r="D1345" s="2" t="s">
        <v>1013</v>
      </c>
      <c r="E1345" s="4">
        <v>1</v>
      </c>
      <c r="F1345" s="8" t="str">
        <f>_xlfn.XLOOKUP(D1345,Master[Product_Code],Master[Category])</f>
        <v>Jeans</v>
      </c>
      <c r="G1345" s="8" t="str">
        <f>_xlfn.XLOOKUP(D1345,Master[Product_Code],Master[Brand])</f>
        <v>Levis</v>
      </c>
      <c r="H1345" s="8" t="str">
        <f>_xlfn.XLOOKUP(D1345,Master[Product_Code],Master[Style])</f>
        <v>Baggy</v>
      </c>
      <c r="I1345" s="8" t="str">
        <f>_xlfn.XLOOKUP(D1345,Master[Product_Code],Master[Fabric])</f>
        <v>Denim</v>
      </c>
      <c r="J1345" s="8">
        <f>_xlfn.XLOOKUP(D1345,Master[Product_Code],Master[Size])</f>
        <v>34</v>
      </c>
      <c r="K1345" s="8" t="str">
        <f>_xlfn.XLOOKUP(D1345,Master[Product_Code],Master[Color])</f>
        <v>Royal Blue</v>
      </c>
      <c r="L1345" s="3">
        <f>_xlfn.XLOOKUP(D1345,Master[Product_Code],Master[Selling_Price])</f>
        <v>960</v>
      </c>
    </row>
    <row r="1346" spans="2:12">
      <c r="B1346" s="2" t="s">
        <v>2315</v>
      </c>
      <c r="C1346" s="7">
        <v>45973</v>
      </c>
      <c r="D1346" s="2" t="s">
        <v>1266</v>
      </c>
      <c r="E1346" s="4">
        <v>1</v>
      </c>
      <c r="F1346" s="8" t="str">
        <f>_xlfn.XLOOKUP(D1346,Master[Product_Code],Master[Category])</f>
        <v>Pants</v>
      </c>
      <c r="G1346" s="8" t="str">
        <f>_xlfn.XLOOKUP(D1346,Master[Product_Code],Master[Brand])</f>
        <v>Louis Philippe</v>
      </c>
      <c r="H1346" s="8" t="str">
        <f>_xlfn.XLOOKUP(D1346,Master[Product_Code],Master[Style])</f>
        <v>Polofit</v>
      </c>
      <c r="I1346" s="8" t="str">
        <f>_xlfn.XLOOKUP(D1346,Master[Product_Code],Master[Fabric])</f>
        <v>Lycra</v>
      </c>
      <c r="J1346" s="8">
        <f>_xlfn.XLOOKUP(D1346,Master[Product_Code],Master[Size])</f>
        <v>42</v>
      </c>
      <c r="K1346" s="8" t="str">
        <f>_xlfn.XLOOKUP(D1346,Master[Product_Code],Master[Color])</f>
        <v>Maroon</v>
      </c>
      <c r="L1346" s="3">
        <f>_xlfn.XLOOKUP(D1346,Master[Product_Code],Master[Selling_Price])</f>
        <v>910</v>
      </c>
    </row>
    <row r="1347" spans="2:12">
      <c r="B1347" s="2" t="s">
        <v>2315</v>
      </c>
      <c r="C1347" s="7">
        <v>45973</v>
      </c>
      <c r="D1347" s="2" t="s">
        <v>1756</v>
      </c>
      <c r="E1347" s="4">
        <v>1</v>
      </c>
      <c r="F1347" s="8" t="str">
        <f>_xlfn.XLOOKUP(D1347,Master[Product_Code],Master[Category])</f>
        <v>Innerwear</v>
      </c>
      <c r="G1347" s="8" t="str">
        <f>_xlfn.XLOOKUP(D1347,Master[Product_Code],Master[Brand])</f>
        <v>Jockey</v>
      </c>
      <c r="H1347" s="8" t="str">
        <f>_xlfn.XLOOKUP(D1347,Master[Product_Code],Master[Style])</f>
        <v>V-Cut</v>
      </c>
      <c r="I1347" s="8" t="str">
        <f>_xlfn.XLOOKUP(D1347,Master[Product_Code],Master[Fabric])</f>
        <v>Cotton</v>
      </c>
      <c r="J1347" s="8" t="str">
        <f>_xlfn.XLOOKUP(D1347,Master[Product_Code],Master[Size])</f>
        <v>85-90</v>
      </c>
      <c r="K1347" s="8" t="str">
        <f>_xlfn.XLOOKUP(D1347,Master[Product_Code],Master[Color])</f>
        <v>Dark Green</v>
      </c>
      <c r="L1347" s="3">
        <f>_xlfn.XLOOKUP(D1347,Master[Product_Code],Master[Selling_Price])</f>
        <v>150</v>
      </c>
    </row>
    <row r="1348" spans="2:12">
      <c r="B1348" s="2" t="s">
        <v>2315</v>
      </c>
      <c r="C1348" s="7">
        <v>45973</v>
      </c>
      <c r="D1348" s="2" t="s">
        <v>874</v>
      </c>
      <c r="E1348" s="4">
        <v>1</v>
      </c>
      <c r="F1348" s="8" t="str">
        <f>_xlfn.XLOOKUP(D1348,Master[Product_Code],Master[Category])</f>
        <v>Jeans</v>
      </c>
      <c r="G1348" s="8" t="str">
        <f>_xlfn.XLOOKUP(D1348,Master[Product_Code],Master[Brand])</f>
        <v>Denim Pro</v>
      </c>
      <c r="H1348" s="8" t="str">
        <f>_xlfn.XLOOKUP(D1348,Master[Product_Code],Master[Style])</f>
        <v>Mom Fit</v>
      </c>
      <c r="I1348" s="8" t="str">
        <f>_xlfn.XLOOKUP(D1348,Master[Product_Code],Master[Fabric])</f>
        <v>Denim</v>
      </c>
      <c r="J1348" s="8">
        <f>_xlfn.XLOOKUP(D1348,Master[Product_Code],Master[Size])</f>
        <v>40</v>
      </c>
      <c r="K1348" s="8" t="str">
        <f>_xlfn.XLOOKUP(D1348,Master[Product_Code],Master[Color])</f>
        <v>Brown</v>
      </c>
      <c r="L1348" s="3">
        <f>_xlfn.XLOOKUP(D1348,Master[Product_Code],Master[Selling_Price])</f>
        <v>960</v>
      </c>
    </row>
    <row r="1349" spans="2:12">
      <c r="B1349" s="2" t="s">
        <v>2316</v>
      </c>
      <c r="C1349" s="7">
        <v>45973</v>
      </c>
      <c r="D1349" s="2" t="s">
        <v>494</v>
      </c>
      <c r="E1349" s="4">
        <v>1</v>
      </c>
      <c r="F1349" s="8" t="str">
        <f>_xlfn.XLOOKUP(D1349,Master[Product_Code],Master[Category])</f>
        <v>T-Shirt</v>
      </c>
      <c r="G1349" s="8" t="str">
        <f>_xlfn.XLOOKUP(D1349,Master[Product_Code],Master[Brand])</f>
        <v>Urban Monkey</v>
      </c>
      <c r="H1349" s="8" t="str">
        <f>_xlfn.XLOOKUP(D1349,Master[Product_Code],Master[Style])</f>
        <v>Half Sleeve</v>
      </c>
      <c r="I1349" s="8" t="str">
        <f>_xlfn.XLOOKUP(D1349,Master[Product_Code],Master[Fabric])</f>
        <v>Poly Cotton</v>
      </c>
      <c r="J1349" s="8" t="str">
        <f>_xlfn.XLOOKUP(D1349,Master[Product_Code],Master[Size])</f>
        <v>XL</v>
      </c>
      <c r="K1349" s="8" t="str">
        <f>_xlfn.XLOOKUP(D1349,Master[Product_Code],Master[Color])</f>
        <v>Dark Green</v>
      </c>
      <c r="L1349" s="3">
        <f>_xlfn.XLOOKUP(D1349,Master[Product_Code],Master[Selling_Price])</f>
        <v>600</v>
      </c>
    </row>
    <row r="1350" spans="2:12">
      <c r="B1350" s="2" t="s">
        <v>2316</v>
      </c>
      <c r="C1350" s="7">
        <v>45973</v>
      </c>
      <c r="D1350" s="2" t="s">
        <v>321</v>
      </c>
      <c r="E1350" s="4">
        <v>1</v>
      </c>
      <c r="F1350" s="8" t="str">
        <f>_xlfn.XLOOKUP(D1350,Master[Product_Code],Master[Category])</f>
        <v>Shirt</v>
      </c>
      <c r="G1350" s="8" t="str">
        <f>_xlfn.XLOOKUP(D1350,Master[Product_Code],Master[Brand])</f>
        <v>G Studio</v>
      </c>
      <c r="H1350" s="8" t="str">
        <f>_xlfn.XLOOKUP(D1350,Master[Product_Code],Master[Style])</f>
        <v>Formal</v>
      </c>
      <c r="I1350" s="8" t="str">
        <f>_xlfn.XLOOKUP(D1350,Master[Product_Code],Master[Fabric])</f>
        <v>Lycra</v>
      </c>
      <c r="J1350" s="8" t="str">
        <f>_xlfn.XLOOKUP(D1350,Master[Product_Code],Master[Size])</f>
        <v>XL</v>
      </c>
      <c r="K1350" s="8" t="str">
        <f>_xlfn.XLOOKUP(D1350,Master[Product_Code],Master[Color])</f>
        <v>Black</v>
      </c>
      <c r="L1350" s="3">
        <f>_xlfn.XLOOKUP(D1350,Master[Product_Code],Master[Selling_Price])</f>
        <v>670</v>
      </c>
    </row>
    <row r="1351" spans="2:12">
      <c r="B1351" s="2" t="s">
        <v>2317</v>
      </c>
      <c r="C1351" s="7">
        <v>45973</v>
      </c>
      <c r="D1351" s="2" t="s">
        <v>1226</v>
      </c>
      <c r="E1351" s="4">
        <v>1</v>
      </c>
      <c r="F1351" s="8" t="str">
        <f>_xlfn.XLOOKUP(D1351,Master[Product_Code],Master[Category])</f>
        <v>Pants</v>
      </c>
      <c r="G1351" s="8" t="str">
        <f>_xlfn.XLOOKUP(D1351,Master[Product_Code],Master[Brand])</f>
        <v>Park Avenue</v>
      </c>
      <c r="H1351" s="8" t="str">
        <f>_xlfn.XLOOKUP(D1351,Master[Product_Code],Master[Style])</f>
        <v>Polofit</v>
      </c>
      <c r="I1351" s="8" t="str">
        <f>_xlfn.XLOOKUP(D1351,Master[Product_Code],Master[Fabric])</f>
        <v>Lycra</v>
      </c>
      <c r="J1351" s="8">
        <f>_xlfn.XLOOKUP(D1351,Master[Product_Code],Master[Size])</f>
        <v>30</v>
      </c>
      <c r="K1351" s="8" t="str">
        <f>_xlfn.XLOOKUP(D1351,Master[Product_Code],Master[Color])</f>
        <v>Light Grey</v>
      </c>
      <c r="L1351" s="3">
        <f>_xlfn.XLOOKUP(D1351,Master[Product_Code],Master[Selling_Price])</f>
        <v>780</v>
      </c>
    </row>
    <row r="1352" spans="2:12">
      <c r="B1352" s="2" t="s">
        <v>2317</v>
      </c>
      <c r="C1352" s="7">
        <v>45973</v>
      </c>
      <c r="D1352" s="2" t="s">
        <v>1078</v>
      </c>
      <c r="E1352" s="4">
        <v>1</v>
      </c>
      <c r="F1352" s="8" t="str">
        <f>_xlfn.XLOOKUP(D1352,Master[Product_Code],Master[Category])</f>
        <v>Jeans</v>
      </c>
      <c r="G1352" s="8" t="str">
        <f>_xlfn.XLOOKUP(D1352,Master[Product_Code],Master[Brand])</f>
        <v>Spykar</v>
      </c>
      <c r="H1352" s="8" t="str">
        <f>_xlfn.XLOOKUP(D1352,Master[Product_Code],Master[Style])</f>
        <v>Jogger</v>
      </c>
      <c r="I1352" s="8" t="str">
        <f>_xlfn.XLOOKUP(D1352,Master[Product_Code],Master[Fabric])</f>
        <v>Denim</v>
      </c>
      <c r="J1352" s="8">
        <f>_xlfn.XLOOKUP(D1352,Master[Product_Code],Master[Size])</f>
        <v>44</v>
      </c>
      <c r="K1352" s="8" t="str">
        <f>_xlfn.XLOOKUP(D1352,Master[Product_Code],Master[Color])</f>
        <v>Maroon</v>
      </c>
      <c r="L1352" s="3">
        <f>_xlfn.XLOOKUP(D1352,Master[Product_Code],Master[Selling_Price])</f>
        <v>810</v>
      </c>
    </row>
    <row r="1353" spans="2:12">
      <c r="B1353" s="2" t="s">
        <v>2317</v>
      </c>
      <c r="C1353" s="7">
        <v>45973</v>
      </c>
      <c r="D1353" s="2" t="s">
        <v>1131</v>
      </c>
      <c r="E1353" s="4">
        <v>1</v>
      </c>
      <c r="F1353" s="8" t="str">
        <f>_xlfn.XLOOKUP(D1353,Master[Product_Code],Master[Category])</f>
        <v>Jeans</v>
      </c>
      <c r="G1353" s="8" t="str">
        <f>_xlfn.XLOOKUP(D1353,Master[Product_Code],Master[Brand])</f>
        <v>Pepe</v>
      </c>
      <c r="H1353" s="8" t="str">
        <f>_xlfn.XLOOKUP(D1353,Master[Product_Code],Master[Style])</f>
        <v>Mom Fit</v>
      </c>
      <c r="I1353" s="8" t="str">
        <f>_xlfn.XLOOKUP(D1353,Master[Product_Code],Master[Fabric])</f>
        <v>Denim</v>
      </c>
      <c r="J1353" s="8">
        <f>_xlfn.XLOOKUP(D1353,Master[Product_Code],Master[Size])</f>
        <v>40</v>
      </c>
      <c r="K1353" s="8" t="str">
        <f>_xlfn.XLOOKUP(D1353,Master[Product_Code],Master[Color])</f>
        <v>Light Grey</v>
      </c>
      <c r="L1353" s="3">
        <f>_xlfn.XLOOKUP(D1353,Master[Product_Code],Master[Selling_Price])</f>
        <v>790</v>
      </c>
    </row>
    <row r="1354" spans="2:12">
      <c r="B1354" s="2" t="s">
        <v>2317</v>
      </c>
      <c r="C1354" s="7">
        <v>45973</v>
      </c>
      <c r="D1354" s="2" t="s">
        <v>995</v>
      </c>
      <c r="E1354" s="4">
        <v>1</v>
      </c>
      <c r="F1354" s="8" t="str">
        <f>_xlfn.XLOOKUP(D1354,Master[Product_Code],Master[Category])</f>
        <v>Jeans</v>
      </c>
      <c r="G1354" s="8" t="str">
        <f>_xlfn.XLOOKUP(D1354,Master[Product_Code],Master[Brand])</f>
        <v>Wrangler</v>
      </c>
      <c r="H1354" s="8" t="str">
        <f>_xlfn.XLOOKUP(D1354,Master[Product_Code],Master[Style])</f>
        <v>Mom Fit</v>
      </c>
      <c r="I1354" s="8" t="str">
        <f>_xlfn.XLOOKUP(D1354,Master[Product_Code],Master[Fabric])</f>
        <v>Denim</v>
      </c>
      <c r="J1354" s="8">
        <f>_xlfn.XLOOKUP(D1354,Master[Product_Code],Master[Size])</f>
        <v>44</v>
      </c>
      <c r="K1354" s="8" t="str">
        <f>_xlfn.XLOOKUP(D1354,Master[Product_Code],Master[Color])</f>
        <v>Maroon</v>
      </c>
      <c r="L1354" s="3">
        <f>_xlfn.XLOOKUP(D1354,Master[Product_Code],Master[Selling_Price])</f>
        <v>1050</v>
      </c>
    </row>
    <row r="1355" spans="2:12">
      <c r="B1355" s="2" t="s">
        <v>2318</v>
      </c>
      <c r="C1355" s="7">
        <v>45974</v>
      </c>
      <c r="D1355" s="2" t="s">
        <v>235</v>
      </c>
      <c r="E1355" s="4">
        <v>1</v>
      </c>
      <c r="F1355" s="8" t="str">
        <f>_xlfn.XLOOKUP(D1355,Master[Product_Code],Master[Category])</f>
        <v>Shirt</v>
      </c>
      <c r="G1355" s="8" t="str">
        <f>_xlfn.XLOOKUP(D1355,Master[Product_Code],Master[Brand])</f>
        <v>L7</v>
      </c>
      <c r="H1355" s="8" t="str">
        <f>_xlfn.XLOOKUP(D1355,Master[Product_Code],Master[Style])</f>
        <v>Casual</v>
      </c>
      <c r="I1355" s="8" t="str">
        <f>_xlfn.XLOOKUP(D1355,Master[Product_Code],Master[Fabric])</f>
        <v>Lycra</v>
      </c>
      <c r="J1355" s="8" t="str">
        <f>_xlfn.XLOOKUP(D1355,Master[Product_Code],Master[Size])</f>
        <v>S</v>
      </c>
      <c r="K1355" s="8" t="str">
        <f>_xlfn.XLOOKUP(D1355,Master[Product_Code],Master[Color])</f>
        <v>Maroon</v>
      </c>
      <c r="L1355" s="3">
        <f>_xlfn.XLOOKUP(D1355,Master[Product_Code],Master[Selling_Price])</f>
        <v>950</v>
      </c>
    </row>
    <row r="1356" spans="2:12">
      <c r="B1356" s="2" t="s">
        <v>2319</v>
      </c>
      <c r="C1356" s="7">
        <v>45974</v>
      </c>
      <c r="D1356" s="2" t="s">
        <v>757</v>
      </c>
      <c r="E1356" s="4">
        <v>1</v>
      </c>
      <c r="F1356" s="8" t="str">
        <f>_xlfn.XLOOKUP(D1356,Master[Product_Code],Master[Category])</f>
        <v>T-Shirt</v>
      </c>
      <c r="G1356" s="8" t="str">
        <f>_xlfn.XLOOKUP(D1356,Master[Product_Code],Master[Brand])</f>
        <v>Campus</v>
      </c>
      <c r="H1356" s="8" t="str">
        <f>_xlfn.XLOOKUP(D1356,Master[Product_Code],Master[Style])</f>
        <v>Half Sleeve</v>
      </c>
      <c r="I1356" s="8" t="str">
        <f>_xlfn.XLOOKUP(D1356,Master[Product_Code],Master[Fabric])</f>
        <v>Poly Cotton</v>
      </c>
      <c r="J1356" s="8" t="str">
        <f>_xlfn.XLOOKUP(D1356,Master[Product_Code],Master[Size])</f>
        <v>S</v>
      </c>
      <c r="K1356" s="8" t="str">
        <f>_xlfn.XLOOKUP(D1356,Master[Product_Code],Master[Color])</f>
        <v>Black</v>
      </c>
      <c r="L1356" s="3">
        <f>_xlfn.XLOOKUP(D1356,Master[Product_Code],Master[Selling_Price])</f>
        <v>400</v>
      </c>
    </row>
    <row r="1357" spans="2:12">
      <c r="B1357" s="2" t="s">
        <v>2320</v>
      </c>
      <c r="C1357" s="7">
        <v>45974</v>
      </c>
      <c r="D1357" s="2" t="s">
        <v>1084</v>
      </c>
      <c r="E1357" s="4">
        <v>1</v>
      </c>
      <c r="F1357" s="8" t="str">
        <f>_xlfn.XLOOKUP(D1357,Master[Product_Code],Master[Category])</f>
        <v>Jeans</v>
      </c>
      <c r="G1357" s="8" t="str">
        <f>_xlfn.XLOOKUP(D1357,Master[Product_Code],Master[Brand])</f>
        <v>Locomotive</v>
      </c>
      <c r="H1357" s="8" t="str">
        <f>_xlfn.XLOOKUP(D1357,Master[Product_Code],Master[Style])</f>
        <v>Jogger</v>
      </c>
      <c r="I1357" s="8" t="str">
        <f>_xlfn.XLOOKUP(D1357,Master[Product_Code],Master[Fabric])</f>
        <v>Denim</v>
      </c>
      <c r="J1357" s="8">
        <f>_xlfn.XLOOKUP(D1357,Master[Product_Code],Master[Size])</f>
        <v>38</v>
      </c>
      <c r="K1357" s="8" t="str">
        <f>_xlfn.XLOOKUP(D1357,Master[Product_Code],Master[Color])</f>
        <v>Grey</v>
      </c>
      <c r="L1357" s="3">
        <f>_xlfn.XLOOKUP(D1357,Master[Product_Code],Master[Selling_Price])</f>
        <v>1010</v>
      </c>
    </row>
    <row r="1358" spans="2:12">
      <c r="B1358" s="2" t="s">
        <v>2320</v>
      </c>
      <c r="C1358" s="7">
        <v>45974</v>
      </c>
      <c r="D1358" s="2" t="s">
        <v>854</v>
      </c>
      <c r="E1358" s="4">
        <v>1</v>
      </c>
      <c r="F1358" s="8" t="str">
        <f>_xlfn.XLOOKUP(D1358,Master[Product_Code],Master[Category])</f>
        <v>Jeans</v>
      </c>
      <c r="G1358" s="8" t="str">
        <f>_xlfn.XLOOKUP(D1358,Master[Product_Code],Master[Brand])</f>
        <v>Denim Pro</v>
      </c>
      <c r="H1358" s="8" t="str">
        <f>_xlfn.XLOOKUP(D1358,Master[Product_Code],Master[Style])</f>
        <v>Baggy</v>
      </c>
      <c r="I1358" s="8" t="str">
        <f>_xlfn.XLOOKUP(D1358,Master[Product_Code],Master[Fabric])</f>
        <v>Denim</v>
      </c>
      <c r="J1358" s="8">
        <f>_xlfn.XLOOKUP(D1358,Master[Product_Code],Master[Size])</f>
        <v>42</v>
      </c>
      <c r="K1358" s="8" t="str">
        <f>_xlfn.XLOOKUP(D1358,Master[Product_Code],Master[Color])</f>
        <v>Cream</v>
      </c>
      <c r="L1358" s="3">
        <f>_xlfn.XLOOKUP(D1358,Master[Product_Code],Master[Selling_Price])</f>
        <v>780</v>
      </c>
    </row>
    <row r="1359" spans="2:12">
      <c r="B1359" s="2" t="s">
        <v>2320</v>
      </c>
      <c r="C1359" s="7">
        <v>45974</v>
      </c>
      <c r="D1359" s="2" t="s">
        <v>1373</v>
      </c>
      <c r="E1359" s="4">
        <v>1</v>
      </c>
      <c r="F1359" s="8" t="str">
        <f>_xlfn.XLOOKUP(D1359,Master[Product_Code],Master[Category])</f>
        <v>Pants</v>
      </c>
      <c r="G1359" s="8" t="str">
        <f>_xlfn.XLOOKUP(D1359,Master[Product_Code],Master[Brand])</f>
        <v>Raymond</v>
      </c>
      <c r="H1359" s="8" t="str">
        <f>_xlfn.XLOOKUP(D1359,Master[Product_Code],Master[Style])</f>
        <v>Korean</v>
      </c>
      <c r="I1359" s="8" t="str">
        <f>_xlfn.XLOOKUP(D1359,Master[Product_Code],Master[Fabric])</f>
        <v>Lycra</v>
      </c>
      <c r="J1359" s="8">
        <f>_xlfn.XLOOKUP(D1359,Master[Product_Code],Master[Size])</f>
        <v>40</v>
      </c>
      <c r="K1359" s="8" t="str">
        <f>_xlfn.XLOOKUP(D1359,Master[Product_Code],Master[Color])</f>
        <v>Mustard</v>
      </c>
      <c r="L1359" s="3">
        <f>_xlfn.XLOOKUP(D1359,Master[Product_Code],Master[Selling_Price])</f>
        <v>840</v>
      </c>
    </row>
    <row r="1360" spans="2:12">
      <c r="B1360" s="2" t="s">
        <v>2320</v>
      </c>
      <c r="C1360" s="7">
        <v>45974</v>
      </c>
      <c r="D1360" s="2" t="s">
        <v>696</v>
      </c>
      <c r="E1360" s="4">
        <v>1</v>
      </c>
      <c r="F1360" s="8" t="str">
        <f>_xlfn.XLOOKUP(D1360,Master[Product_Code],Master[Category])</f>
        <v>T-Shirt</v>
      </c>
      <c r="G1360" s="8" t="str">
        <f>_xlfn.XLOOKUP(D1360,Master[Product_Code],Master[Brand])</f>
        <v>Campus</v>
      </c>
      <c r="H1360" s="8" t="str">
        <f>_xlfn.XLOOKUP(D1360,Master[Product_Code],Master[Style])</f>
        <v>3/4 Sleeve</v>
      </c>
      <c r="I1360" s="8" t="str">
        <f>_xlfn.XLOOKUP(D1360,Master[Product_Code],Master[Fabric])</f>
        <v>Poly Cotton</v>
      </c>
      <c r="J1360" s="8" t="str">
        <f>_xlfn.XLOOKUP(D1360,Master[Product_Code],Master[Size])</f>
        <v>XL</v>
      </c>
      <c r="K1360" s="8" t="str">
        <f>_xlfn.XLOOKUP(D1360,Master[Product_Code],Master[Color])</f>
        <v>Sky Blue</v>
      </c>
      <c r="L1360" s="3">
        <f>_xlfn.XLOOKUP(D1360,Master[Product_Code],Master[Selling_Price])</f>
        <v>720</v>
      </c>
    </row>
    <row r="1361" spans="2:12">
      <c r="B1361" s="2" t="s">
        <v>2321</v>
      </c>
      <c r="C1361" s="7">
        <v>45974</v>
      </c>
      <c r="D1361" s="2" t="s">
        <v>1508</v>
      </c>
      <c r="E1361" s="4">
        <v>1</v>
      </c>
      <c r="F1361" s="8" t="str">
        <f>_xlfn.XLOOKUP(D1361,Master[Product_Code],Master[Category])</f>
        <v>Innerwear</v>
      </c>
      <c r="G1361" s="8" t="str">
        <f>_xlfn.XLOOKUP(D1361,Master[Product_Code],Master[Brand])</f>
        <v>Lux</v>
      </c>
      <c r="H1361" s="8" t="str">
        <f>_xlfn.XLOOKUP(D1361,Master[Product_Code],Master[Style])</f>
        <v>V-Cut</v>
      </c>
      <c r="I1361" s="8" t="str">
        <f>_xlfn.XLOOKUP(D1361,Master[Product_Code],Master[Fabric])</f>
        <v>Cotton Blend</v>
      </c>
      <c r="J1361" s="8" t="str">
        <f>_xlfn.XLOOKUP(D1361,Master[Product_Code],Master[Size])</f>
        <v>105-110</v>
      </c>
      <c r="K1361" s="8" t="str">
        <f>_xlfn.XLOOKUP(D1361,Master[Product_Code],Master[Color])</f>
        <v>Mustard</v>
      </c>
      <c r="L1361" s="3">
        <f>_xlfn.XLOOKUP(D1361,Master[Product_Code],Master[Selling_Price])</f>
        <v>130</v>
      </c>
    </row>
    <row r="1362" spans="2:12">
      <c r="B1362" s="2" t="s">
        <v>2321</v>
      </c>
      <c r="C1362" s="7">
        <v>45974</v>
      </c>
      <c r="D1362" s="2" t="s">
        <v>1099</v>
      </c>
      <c r="E1362" s="4">
        <v>1</v>
      </c>
      <c r="F1362" s="8" t="str">
        <f>_xlfn.XLOOKUP(D1362,Master[Product_Code],Master[Category])</f>
        <v>Jeans</v>
      </c>
      <c r="G1362" s="8" t="str">
        <f>_xlfn.XLOOKUP(D1362,Master[Product_Code],Master[Brand])</f>
        <v>Spykar</v>
      </c>
      <c r="H1362" s="8" t="str">
        <f>_xlfn.XLOOKUP(D1362,Master[Product_Code],Master[Style])</f>
        <v>Jogger</v>
      </c>
      <c r="I1362" s="8" t="str">
        <f>_xlfn.XLOOKUP(D1362,Master[Product_Code],Master[Fabric])</f>
        <v>Denim</v>
      </c>
      <c r="J1362" s="8">
        <f>_xlfn.XLOOKUP(D1362,Master[Product_Code],Master[Size])</f>
        <v>38</v>
      </c>
      <c r="K1362" s="8" t="str">
        <f>_xlfn.XLOOKUP(D1362,Master[Product_Code],Master[Color])</f>
        <v>Bottle Green</v>
      </c>
      <c r="L1362" s="3">
        <f>_xlfn.XLOOKUP(D1362,Master[Product_Code],Master[Selling_Price])</f>
        <v>800</v>
      </c>
    </row>
    <row r="1363" spans="2:12">
      <c r="B1363" s="2" t="s">
        <v>2321</v>
      </c>
      <c r="C1363" s="7">
        <v>45974</v>
      </c>
      <c r="D1363" s="2" t="s">
        <v>857</v>
      </c>
      <c r="E1363" s="4">
        <v>1</v>
      </c>
      <c r="F1363" s="8" t="str">
        <f>_xlfn.XLOOKUP(D1363,Master[Product_Code],Master[Category])</f>
        <v>Jeans</v>
      </c>
      <c r="G1363" s="8" t="str">
        <f>_xlfn.XLOOKUP(D1363,Master[Product_Code],Master[Brand])</f>
        <v>Pepe</v>
      </c>
      <c r="H1363" s="8" t="str">
        <f>_xlfn.XLOOKUP(D1363,Master[Product_Code],Master[Style])</f>
        <v>Baggy</v>
      </c>
      <c r="I1363" s="8" t="str">
        <f>_xlfn.XLOOKUP(D1363,Master[Product_Code],Master[Fabric])</f>
        <v>Denim</v>
      </c>
      <c r="J1363" s="8">
        <f>_xlfn.XLOOKUP(D1363,Master[Product_Code],Master[Size])</f>
        <v>38</v>
      </c>
      <c r="K1363" s="8" t="str">
        <f>_xlfn.XLOOKUP(D1363,Master[Product_Code],Master[Color])</f>
        <v>Bottle Green</v>
      </c>
      <c r="L1363" s="3">
        <f>_xlfn.XLOOKUP(D1363,Master[Product_Code],Master[Selling_Price])</f>
        <v>1060</v>
      </c>
    </row>
    <row r="1364" spans="2:12">
      <c r="B1364" s="2" t="s">
        <v>2322</v>
      </c>
      <c r="C1364" s="7">
        <v>45974</v>
      </c>
      <c r="D1364" s="2" t="s">
        <v>802</v>
      </c>
      <c r="E1364" s="4">
        <v>1</v>
      </c>
      <c r="F1364" s="8" t="str">
        <f>_xlfn.XLOOKUP(D1364,Master[Product_Code],Master[Category])</f>
        <v>T-Shirt</v>
      </c>
      <c r="G1364" s="8" t="str">
        <f>_xlfn.XLOOKUP(D1364,Master[Product_Code],Master[Brand])</f>
        <v>Zara</v>
      </c>
      <c r="H1364" s="8" t="str">
        <f>_xlfn.XLOOKUP(D1364,Master[Product_Code],Master[Style])</f>
        <v>3/4 Sleeve</v>
      </c>
      <c r="I1364" s="8" t="str">
        <f>_xlfn.XLOOKUP(D1364,Master[Product_Code],Master[Fabric])</f>
        <v>Cotton</v>
      </c>
      <c r="J1364" s="8" t="str">
        <f>_xlfn.XLOOKUP(D1364,Master[Product_Code],Master[Size])</f>
        <v>S</v>
      </c>
      <c r="K1364" s="8" t="str">
        <f>_xlfn.XLOOKUP(D1364,Master[Product_Code],Master[Color])</f>
        <v>Olive</v>
      </c>
      <c r="L1364" s="3">
        <f>_xlfn.XLOOKUP(D1364,Master[Product_Code],Master[Selling_Price])</f>
        <v>690</v>
      </c>
    </row>
    <row r="1365" spans="2:12">
      <c r="B1365" s="2" t="s">
        <v>2322</v>
      </c>
      <c r="C1365" s="7">
        <v>45974</v>
      </c>
      <c r="D1365" s="2" t="s">
        <v>1242</v>
      </c>
      <c r="E1365" s="4">
        <v>1</v>
      </c>
      <c r="F1365" s="8" t="str">
        <f>_xlfn.XLOOKUP(D1365,Master[Product_Code],Master[Category])</f>
        <v>Pants</v>
      </c>
      <c r="G1365" s="8" t="str">
        <f>_xlfn.XLOOKUP(D1365,Master[Product_Code],Master[Brand])</f>
        <v>Louis Philippe</v>
      </c>
      <c r="H1365" s="8" t="str">
        <f>_xlfn.XLOOKUP(D1365,Master[Product_Code],Master[Style])</f>
        <v>Kurka</v>
      </c>
      <c r="I1365" s="8" t="str">
        <f>_xlfn.XLOOKUP(D1365,Master[Product_Code],Master[Fabric])</f>
        <v>Lycra</v>
      </c>
      <c r="J1365" s="8">
        <f>_xlfn.XLOOKUP(D1365,Master[Product_Code],Master[Size])</f>
        <v>34</v>
      </c>
      <c r="K1365" s="8" t="str">
        <f>_xlfn.XLOOKUP(D1365,Master[Product_Code],Master[Color])</f>
        <v>Maroon</v>
      </c>
      <c r="L1365" s="3">
        <f>_xlfn.XLOOKUP(D1365,Master[Product_Code],Master[Selling_Price])</f>
        <v>910</v>
      </c>
    </row>
    <row r="1366" spans="2:12">
      <c r="B1366" s="2" t="s">
        <v>2323</v>
      </c>
      <c r="C1366" s="7">
        <v>45974</v>
      </c>
      <c r="D1366" s="2" t="s">
        <v>1494</v>
      </c>
      <c r="E1366" s="4">
        <v>1</v>
      </c>
      <c r="F1366" s="8" t="str">
        <f>_xlfn.XLOOKUP(D1366,Master[Product_Code],Master[Category])</f>
        <v>Innerwear</v>
      </c>
      <c r="G1366" s="8" t="str">
        <f>_xlfn.XLOOKUP(D1366,Master[Product_Code],Master[Brand])</f>
        <v>Dollar</v>
      </c>
      <c r="H1366" s="8" t="str">
        <f>_xlfn.XLOOKUP(D1366,Master[Product_Code],Master[Style])</f>
        <v>Boxer</v>
      </c>
      <c r="I1366" s="8" t="str">
        <f>_xlfn.XLOOKUP(D1366,Master[Product_Code],Master[Fabric])</f>
        <v>Cotton</v>
      </c>
      <c r="J1366" s="8" t="str">
        <f>_xlfn.XLOOKUP(D1366,Master[Product_Code],Master[Size])</f>
        <v>100-105</v>
      </c>
      <c r="K1366" s="8" t="str">
        <f>_xlfn.XLOOKUP(D1366,Master[Product_Code],Master[Color])</f>
        <v>Black</v>
      </c>
      <c r="L1366" s="3">
        <f>_xlfn.XLOOKUP(D1366,Master[Product_Code],Master[Selling_Price])</f>
        <v>170</v>
      </c>
    </row>
    <row r="1367" spans="2:12">
      <c r="B1367" s="2" t="s">
        <v>2323</v>
      </c>
      <c r="C1367" s="7">
        <v>45974</v>
      </c>
      <c r="D1367" s="2" t="s">
        <v>1360</v>
      </c>
      <c r="E1367" s="4">
        <v>1</v>
      </c>
      <c r="F1367" s="8" t="str">
        <f>_xlfn.XLOOKUP(D1367,Master[Product_Code],Master[Category])</f>
        <v>Pants</v>
      </c>
      <c r="G1367" s="8" t="str">
        <f>_xlfn.XLOOKUP(D1367,Master[Product_Code],Master[Brand])</f>
        <v>Park Avenue</v>
      </c>
      <c r="H1367" s="8" t="str">
        <f>_xlfn.XLOOKUP(D1367,Master[Product_Code],Master[Style])</f>
        <v>Boot Cut</v>
      </c>
      <c r="I1367" s="8" t="str">
        <f>_xlfn.XLOOKUP(D1367,Master[Product_Code],Master[Fabric])</f>
        <v>Poly Viscose</v>
      </c>
      <c r="J1367" s="8">
        <f>_xlfn.XLOOKUP(D1367,Master[Product_Code],Master[Size])</f>
        <v>42</v>
      </c>
      <c r="K1367" s="8" t="str">
        <f>_xlfn.XLOOKUP(D1367,Master[Product_Code],Master[Color])</f>
        <v>Maroon</v>
      </c>
      <c r="L1367" s="3">
        <f>_xlfn.XLOOKUP(D1367,Master[Product_Code],Master[Selling_Price])</f>
        <v>750</v>
      </c>
    </row>
    <row r="1368" spans="2:12">
      <c r="B1368" s="2" t="s">
        <v>2323</v>
      </c>
      <c r="C1368" s="7">
        <v>45974</v>
      </c>
      <c r="D1368" s="2" t="s">
        <v>1474</v>
      </c>
      <c r="E1368" s="4">
        <v>1</v>
      </c>
      <c r="F1368" s="8" t="str">
        <f>_xlfn.XLOOKUP(D1368,Master[Product_Code],Master[Category])</f>
        <v>Innerwear</v>
      </c>
      <c r="G1368" s="8" t="str">
        <f>_xlfn.XLOOKUP(D1368,Master[Product_Code],Master[Brand])</f>
        <v>Dollar</v>
      </c>
      <c r="H1368" s="8" t="str">
        <f>_xlfn.XLOOKUP(D1368,Master[Product_Code],Master[Style])</f>
        <v>Boxer</v>
      </c>
      <c r="I1368" s="8" t="str">
        <f>_xlfn.XLOOKUP(D1368,Master[Product_Code],Master[Fabric])</f>
        <v>Cotton Blend</v>
      </c>
      <c r="J1368" s="8" t="str">
        <f>_xlfn.XLOOKUP(D1368,Master[Product_Code],Master[Size])</f>
        <v>80-85</v>
      </c>
      <c r="K1368" s="8" t="str">
        <f>_xlfn.XLOOKUP(D1368,Master[Product_Code],Master[Color])</f>
        <v>Sky Blue</v>
      </c>
      <c r="L1368" s="3">
        <f>_xlfn.XLOOKUP(D1368,Master[Product_Code],Master[Selling_Price])</f>
        <v>130</v>
      </c>
    </row>
    <row r="1369" spans="2:12">
      <c r="B1369" s="2" t="s">
        <v>2324</v>
      </c>
      <c r="C1369" s="7">
        <v>45974</v>
      </c>
      <c r="D1369" s="2" t="s">
        <v>735</v>
      </c>
      <c r="E1369" s="4">
        <v>1</v>
      </c>
      <c r="F1369" s="8" t="str">
        <f>_xlfn.XLOOKUP(D1369,Master[Product_Code],Master[Category])</f>
        <v>T-Shirt</v>
      </c>
      <c r="G1369" s="8" t="str">
        <f>_xlfn.XLOOKUP(D1369,Master[Product_Code],Master[Brand])</f>
        <v>Urban Monkey</v>
      </c>
      <c r="H1369" s="8" t="str">
        <f>_xlfn.XLOOKUP(D1369,Master[Product_Code],Master[Style])</f>
        <v>Sleeveless</v>
      </c>
      <c r="I1369" s="8" t="str">
        <f>_xlfn.XLOOKUP(D1369,Master[Product_Code],Master[Fabric])</f>
        <v>Poly Cotton</v>
      </c>
      <c r="J1369" s="8" t="str">
        <f>_xlfn.XLOOKUP(D1369,Master[Product_Code],Master[Size])</f>
        <v>S</v>
      </c>
      <c r="K1369" s="8" t="str">
        <f>_xlfn.XLOOKUP(D1369,Master[Product_Code],Master[Color])</f>
        <v>Maroon</v>
      </c>
      <c r="L1369" s="3">
        <f>_xlfn.XLOOKUP(D1369,Master[Product_Code],Master[Selling_Price])</f>
        <v>600</v>
      </c>
    </row>
    <row r="1370" spans="2:12">
      <c r="B1370" s="2" t="s">
        <v>2324</v>
      </c>
      <c r="C1370" s="7">
        <v>45974</v>
      </c>
      <c r="D1370" s="2" t="s">
        <v>1700</v>
      </c>
      <c r="E1370" s="4">
        <v>1</v>
      </c>
      <c r="F1370" s="8" t="str">
        <f>_xlfn.XLOOKUP(D1370,Master[Product_Code],Master[Category])</f>
        <v>Innerwear</v>
      </c>
      <c r="G1370" s="8" t="str">
        <f>_xlfn.XLOOKUP(D1370,Master[Product_Code],Master[Brand])</f>
        <v>Rupa</v>
      </c>
      <c r="H1370" s="8" t="str">
        <f>_xlfn.XLOOKUP(D1370,Master[Product_Code],Master[Style])</f>
        <v>V-Cut</v>
      </c>
      <c r="I1370" s="8" t="str">
        <f>_xlfn.XLOOKUP(D1370,Master[Product_Code],Master[Fabric])</f>
        <v>Cotton Blend</v>
      </c>
      <c r="J1370" s="8" t="str">
        <f>_xlfn.XLOOKUP(D1370,Master[Product_Code],Master[Size])</f>
        <v>90-100</v>
      </c>
      <c r="K1370" s="8" t="str">
        <f>_xlfn.XLOOKUP(D1370,Master[Product_Code],Master[Color])</f>
        <v>Maroon</v>
      </c>
      <c r="L1370" s="3">
        <f>_xlfn.XLOOKUP(D1370,Master[Product_Code],Master[Selling_Price])</f>
        <v>140</v>
      </c>
    </row>
    <row r="1371" spans="2:12">
      <c r="B1371" s="2" t="s">
        <v>2325</v>
      </c>
      <c r="C1371" s="7">
        <v>45974</v>
      </c>
      <c r="D1371" s="2" t="s">
        <v>541</v>
      </c>
      <c r="E1371" s="4">
        <v>1</v>
      </c>
      <c r="F1371" s="8" t="str">
        <f>_xlfn.XLOOKUP(D1371,Master[Product_Code],Master[Category])</f>
        <v>T-Shirt</v>
      </c>
      <c r="G1371" s="8" t="str">
        <f>_xlfn.XLOOKUP(D1371,Master[Product_Code],Master[Brand])</f>
        <v>Roadster</v>
      </c>
      <c r="H1371" s="8" t="str">
        <f>_xlfn.XLOOKUP(D1371,Master[Product_Code],Master[Style])</f>
        <v>Half Sleeve</v>
      </c>
      <c r="I1371" s="8" t="str">
        <f>_xlfn.XLOOKUP(D1371,Master[Product_Code],Master[Fabric])</f>
        <v>Cotton</v>
      </c>
      <c r="J1371" s="8" t="str">
        <f>_xlfn.XLOOKUP(D1371,Master[Product_Code],Master[Size])</f>
        <v>S</v>
      </c>
      <c r="K1371" s="8" t="str">
        <f>_xlfn.XLOOKUP(D1371,Master[Product_Code],Master[Color])</f>
        <v>Charcoal</v>
      </c>
      <c r="L1371" s="3">
        <f>_xlfn.XLOOKUP(D1371,Master[Product_Code],Master[Selling_Price])</f>
        <v>740</v>
      </c>
    </row>
    <row r="1372" spans="2:12">
      <c r="B1372" s="2" t="s">
        <v>2326</v>
      </c>
      <c r="C1372" s="7">
        <v>45974</v>
      </c>
      <c r="D1372" s="2" t="s">
        <v>563</v>
      </c>
      <c r="E1372" s="4">
        <v>1</v>
      </c>
      <c r="F1372" s="8" t="str">
        <f>_xlfn.XLOOKUP(D1372,Master[Product_Code],Master[Category])</f>
        <v>T-Shirt</v>
      </c>
      <c r="G1372" s="8" t="str">
        <f>_xlfn.XLOOKUP(D1372,Master[Product_Code],Master[Brand])</f>
        <v>Zara</v>
      </c>
      <c r="H1372" s="8" t="str">
        <f>_xlfn.XLOOKUP(D1372,Master[Product_Code],Master[Style])</f>
        <v>Full Sleeve</v>
      </c>
      <c r="I1372" s="8" t="str">
        <f>_xlfn.XLOOKUP(D1372,Master[Product_Code],Master[Fabric])</f>
        <v>Cotton</v>
      </c>
      <c r="J1372" s="8" t="str">
        <f>_xlfn.XLOOKUP(D1372,Master[Product_Code],Master[Size])</f>
        <v>S</v>
      </c>
      <c r="K1372" s="8" t="str">
        <f>_xlfn.XLOOKUP(D1372,Master[Product_Code],Master[Color])</f>
        <v>White</v>
      </c>
      <c r="L1372" s="3">
        <f>_xlfn.XLOOKUP(D1372,Master[Product_Code],Master[Selling_Price])</f>
        <v>540</v>
      </c>
    </row>
    <row r="1373" spans="2:12">
      <c r="B1373" s="2" t="s">
        <v>2326</v>
      </c>
      <c r="C1373" s="7">
        <v>45974</v>
      </c>
      <c r="D1373" s="2" t="s">
        <v>525</v>
      </c>
      <c r="E1373" s="4">
        <v>1</v>
      </c>
      <c r="F1373" s="8" t="str">
        <f>_xlfn.XLOOKUP(D1373,Master[Product_Code],Master[Category])</f>
        <v>T-Shirt</v>
      </c>
      <c r="G1373" s="8" t="str">
        <f>_xlfn.XLOOKUP(D1373,Master[Product_Code],Master[Brand])</f>
        <v>Max</v>
      </c>
      <c r="H1373" s="8" t="str">
        <f>_xlfn.XLOOKUP(D1373,Master[Product_Code],Master[Style])</f>
        <v>3/4 Sleeve</v>
      </c>
      <c r="I1373" s="8" t="str">
        <f>_xlfn.XLOOKUP(D1373,Master[Product_Code],Master[Fabric])</f>
        <v>Poly Cotton</v>
      </c>
      <c r="J1373" s="8" t="str">
        <f>_xlfn.XLOOKUP(D1373,Master[Product_Code],Master[Size])</f>
        <v>S</v>
      </c>
      <c r="K1373" s="8" t="str">
        <f>_xlfn.XLOOKUP(D1373,Master[Product_Code],Master[Color])</f>
        <v>Charcoal</v>
      </c>
      <c r="L1373" s="3">
        <f>_xlfn.XLOOKUP(D1373,Master[Product_Code],Master[Selling_Price])</f>
        <v>740</v>
      </c>
    </row>
    <row r="1374" spans="2:12">
      <c r="B1374" s="2" t="s">
        <v>2327</v>
      </c>
      <c r="C1374" s="7">
        <v>45974</v>
      </c>
      <c r="D1374" s="2" t="s">
        <v>315</v>
      </c>
      <c r="E1374" s="4">
        <v>1</v>
      </c>
      <c r="F1374" s="8" t="str">
        <f>_xlfn.XLOOKUP(D1374,Master[Product_Code],Master[Category])</f>
        <v>Shirt</v>
      </c>
      <c r="G1374" s="8" t="str">
        <f>_xlfn.XLOOKUP(D1374,Master[Product_Code],Master[Brand])</f>
        <v>British</v>
      </c>
      <c r="H1374" s="8" t="str">
        <f>_xlfn.XLOOKUP(D1374,Master[Product_Code],Master[Style])</f>
        <v>Casual</v>
      </c>
      <c r="I1374" s="8" t="str">
        <f>_xlfn.XLOOKUP(D1374,Master[Product_Code],Master[Fabric])</f>
        <v>Cotton Blend</v>
      </c>
      <c r="J1374" s="8" t="str">
        <f>_xlfn.XLOOKUP(D1374,Master[Product_Code],Master[Size])</f>
        <v>L</v>
      </c>
      <c r="K1374" s="8" t="str">
        <f>_xlfn.XLOOKUP(D1374,Master[Product_Code],Master[Color])</f>
        <v>Charcoal</v>
      </c>
      <c r="L1374" s="3">
        <f>_xlfn.XLOOKUP(D1374,Master[Product_Code],Master[Selling_Price])</f>
        <v>820</v>
      </c>
    </row>
    <row r="1375" spans="2:12">
      <c r="B1375" s="2" t="s">
        <v>2328</v>
      </c>
      <c r="C1375" s="7">
        <v>45974</v>
      </c>
      <c r="D1375" s="2" t="s">
        <v>877</v>
      </c>
      <c r="E1375" s="4">
        <v>1</v>
      </c>
      <c r="F1375" s="8" t="str">
        <f>_xlfn.XLOOKUP(D1375,Master[Product_Code],Master[Category])</f>
        <v>Jeans</v>
      </c>
      <c r="G1375" s="8" t="str">
        <f>_xlfn.XLOOKUP(D1375,Master[Product_Code],Master[Brand])</f>
        <v>Denim Pro</v>
      </c>
      <c r="H1375" s="8" t="str">
        <f>_xlfn.XLOOKUP(D1375,Master[Product_Code],Master[Style])</f>
        <v>Mom Fit</v>
      </c>
      <c r="I1375" s="8" t="str">
        <f>_xlfn.XLOOKUP(D1375,Master[Product_Code],Master[Fabric])</f>
        <v>Denim</v>
      </c>
      <c r="J1375" s="8">
        <f>_xlfn.XLOOKUP(D1375,Master[Product_Code],Master[Size])</f>
        <v>34</v>
      </c>
      <c r="K1375" s="8" t="str">
        <f>_xlfn.XLOOKUP(D1375,Master[Product_Code],Master[Color])</f>
        <v>Bottle Green</v>
      </c>
      <c r="L1375" s="3">
        <f>_xlfn.XLOOKUP(D1375,Master[Product_Code],Master[Selling_Price])</f>
        <v>1080</v>
      </c>
    </row>
    <row r="1376" spans="2:12">
      <c r="B1376" s="2" t="s">
        <v>2328</v>
      </c>
      <c r="C1376" s="7">
        <v>45974</v>
      </c>
      <c r="D1376" s="2" t="s">
        <v>1264</v>
      </c>
      <c r="E1376" s="4">
        <v>1</v>
      </c>
      <c r="F1376" s="8" t="str">
        <f>_xlfn.XLOOKUP(D1376,Master[Product_Code],Master[Category])</f>
        <v>Pants</v>
      </c>
      <c r="G1376" s="8" t="str">
        <f>_xlfn.XLOOKUP(D1376,Master[Product_Code],Master[Brand])</f>
        <v>Peter England</v>
      </c>
      <c r="H1376" s="8" t="str">
        <f>_xlfn.XLOOKUP(D1376,Master[Product_Code],Master[Style])</f>
        <v>Boot Cut</v>
      </c>
      <c r="I1376" s="8" t="str">
        <f>_xlfn.XLOOKUP(D1376,Master[Product_Code],Master[Fabric])</f>
        <v>Cotton</v>
      </c>
      <c r="J1376" s="8">
        <f>_xlfn.XLOOKUP(D1376,Master[Product_Code],Master[Size])</f>
        <v>40</v>
      </c>
      <c r="K1376" s="8" t="str">
        <f>_xlfn.XLOOKUP(D1376,Master[Product_Code],Master[Color])</f>
        <v>Maroon</v>
      </c>
      <c r="L1376" s="3">
        <f>_xlfn.XLOOKUP(D1376,Master[Product_Code],Master[Selling_Price])</f>
        <v>800</v>
      </c>
    </row>
    <row r="1377" spans="2:12">
      <c r="B1377" s="2" t="s">
        <v>2328</v>
      </c>
      <c r="C1377" s="7">
        <v>45974</v>
      </c>
      <c r="D1377" s="2" t="s">
        <v>776</v>
      </c>
      <c r="E1377" s="4">
        <v>1</v>
      </c>
      <c r="F1377" s="8" t="str">
        <f>_xlfn.XLOOKUP(D1377,Master[Product_Code],Master[Category])</f>
        <v>T-Shirt</v>
      </c>
      <c r="G1377" s="8" t="str">
        <f>_xlfn.XLOOKUP(D1377,Master[Product_Code],Master[Brand])</f>
        <v>Turkey</v>
      </c>
      <c r="H1377" s="8" t="str">
        <f>_xlfn.XLOOKUP(D1377,Master[Product_Code],Master[Style])</f>
        <v>3/4 Sleeve</v>
      </c>
      <c r="I1377" s="8" t="str">
        <f>_xlfn.XLOOKUP(D1377,Master[Product_Code],Master[Fabric])</f>
        <v>Cotton</v>
      </c>
      <c r="J1377" s="8" t="str">
        <f>_xlfn.XLOOKUP(D1377,Master[Product_Code],Master[Size])</f>
        <v>XXL</v>
      </c>
      <c r="K1377" s="8" t="str">
        <f>_xlfn.XLOOKUP(D1377,Master[Product_Code],Master[Color])</f>
        <v>Rust</v>
      </c>
      <c r="L1377" s="3">
        <f>_xlfn.XLOOKUP(D1377,Master[Product_Code],Master[Selling_Price])</f>
        <v>250</v>
      </c>
    </row>
    <row r="1378" spans="2:12">
      <c r="B1378" s="2" t="s">
        <v>2329</v>
      </c>
      <c r="C1378" s="7">
        <v>45974</v>
      </c>
      <c r="D1378" s="2" t="s">
        <v>1373</v>
      </c>
      <c r="E1378" s="4">
        <v>1</v>
      </c>
      <c r="F1378" s="8" t="str">
        <f>_xlfn.XLOOKUP(D1378,Master[Product_Code],Master[Category])</f>
        <v>Pants</v>
      </c>
      <c r="G1378" s="8" t="str">
        <f>_xlfn.XLOOKUP(D1378,Master[Product_Code],Master[Brand])</f>
        <v>Raymond</v>
      </c>
      <c r="H1378" s="8" t="str">
        <f>_xlfn.XLOOKUP(D1378,Master[Product_Code],Master[Style])</f>
        <v>Korean</v>
      </c>
      <c r="I1378" s="8" t="str">
        <f>_xlfn.XLOOKUP(D1378,Master[Product_Code],Master[Fabric])</f>
        <v>Lycra</v>
      </c>
      <c r="J1378" s="8">
        <f>_xlfn.XLOOKUP(D1378,Master[Product_Code],Master[Size])</f>
        <v>40</v>
      </c>
      <c r="K1378" s="8" t="str">
        <f>_xlfn.XLOOKUP(D1378,Master[Product_Code],Master[Color])</f>
        <v>Mustard</v>
      </c>
      <c r="L1378" s="3">
        <f>_xlfn.XLOOKUP(D1378,Master[Product_Code],Master[Selling_Price])</f>
        <v>840</v>
      </c>
    </row>
    <row r="1379" spans="2:12">
      <c r="B1379" s="2" t="s">
        <v>2329</v>
      </c>
      <c r="C1379" s="7">
        <v>45974</v>
      </c>
      <c r="D1379" s="2" t="s">
        <v>241</v>
      </c>
      <c r="E1379" s="4">
        <v>1</v>
      </c>
      <c r="F1379" s="8" t="str">
        <f>_xlfn.XLOOKUP(D1379,Master[Product_Code],Master[Category])</f>
        <v>Shirt</v>
      </c>
      <c r="G1379" s="8" t="str">
        <f>_xlfn.XLOOKUP(D1379,Master[Product_Code],Master[Brand])</f>
        <v>British</v>
      </c>
      <c r="H1379" s="8" t="str">
        <f>_xlfn.XLOOKUP(D1379,Master[Product_Code],Master[Style])</f>
        <v>Formal</v>
      </c>
      <c r="I1379" s="8" t="str">
        <f>_xlfn.XLOOKUP(D1379,Master[Product_Code],Master[Fabric])</f>
        <v>Cotton</v>
      </c>
      <c r="J1379" s="8" t="str">
        <f>_xlfn.XLOOKUP(D1379,Master[Product_Code],Master[Size])</f>
        <v>XXL</v>
      </c>
      <c r="K1379" s="8" t="str">
        <f>_xlfn.XLOOKUP(D1379,Master[Product_Code],Master[Color])</f>
        <v>Dark Green</v>
      </c>
      <c r="L1379" s="3">
        <f>_xlfn.XLOOKUP(D1379,Master[Product_Code],Master[Selling_Price])</f>
        <v>660</v>
      </c>
    </row>
    <row r="1380" spans="2:12">
      <c r="B1380" s="2" t="s">
        <v>2329</v>
      </c>
      <c r="C1380" s="7">
        <v>45974</v>
      </c>
      <c r="D1380" s="2" t="s">
        <v>1501</v>
      </c>
      <c r="E1380" s="4">
        <v>1</v>
      </c>
      <c r="F1380" s="8" t="str">
        <f>_xlfn.XLOOKUP(D1380,Master[Product_Code],Master[Category])</f>
        <v>Innerwear</v>
      </c>
      <c r="G1380" s="8" t="str">
        <f>_xlfn.XLOOKUP(D1380,Master[Product_Code],Master[Brand])</f>
        <v>Lux</v>
      </c>
      <c r="H1380" s="8" t="str">
        <f>_xlfn.XLOOKUP(D1380,Master[Product_Code],Master[Style])</f>
        <v>Boxer</v>
      </c>
      <c r="I1380" s="8" t="str">
        <f>_xlfn.XLOOKUP(D1380,Master[Product_Code],Master[Fabric])</f>
        <v>Cotton Blend</v>
      </c>
      <c r="J1380" s="8" t="str">
        <f>_xlfn.XLOOKUP(D1380,Master[Product_Code],Master[Size])</f>
        <v>75-80</v>
      </c>
      <c r="K1380" s="8" t="str">
        <f>_xlfn.XLOOKUP(D1380,Master[Product_Code],Master[Color])</f>
        <v>Navy Blue</v>
      </c>
      <c r="L1380" s="3">
        <f>_xlfn.XLOOKUP(D1380,Master[Product_Code],Master[Selling_Price])</f>
        <v>140</v>
      </c>
    </row>
    <row r="1381" spans="2:12">
      <c r="B1381" s="2" t="s">
        <v>2329</v>
      </c>
      <c r="C1381" s="7">
        <v>45974</v>
      </c>
      <c r="D1381" s="2" t="s">
        <v>1640</v>
      </c>
      <c r="E1381" s="4">
        <v>1</v>
      </c>
      <c r="F1381" s="8" t="str">
        <f>_xlfn.XLOOKUP(D1381,Master[Product_Code],Master[Category])</f>
        <v>Innerwear</v>
      </c>
      <c r="G1381" s="8" t="str">
        <f>_xlfn.XLOOKUP(D1381,Master[Product_Code],Master[Brand])</f>
        <v>Dollar</v>
      </c>
      <c r="H1381" s="8" t="str">
        <f>_xlfn.XLOOKUP(D1381,Master[Product_Code],Master[Style])</f>
        <v>Boxer</v>
      </c>
      <c r="I1381" s="8" t="str">
        <f>_xlfn.XLOOKUP(D1381,Master[Product_Code],Master[Fabric])</f>
        <v>Cotton</v>
      </c>
      <c r="J1381" s="8" t="str">
        <f>_xlfn.XLOOKUP(D1381,Master[Product_Code],Master[Size])</f>
        <v>90-100</v>
      </c>
      <c r="K1381" s="8" t="str">
        <f>_xlfn.XLOOKUP(D1381,Master[Product_Code],Master[Color])</f>
        <v>Navy Blue</v>
      </c>
      <c r="L1381" s="3">
        <f>_xlfn.XLOOKUP(D1381,Master[Product_Code],Master[Selling_Price])</f>
        <v>160</v>
      </c>
    </row>
    <row r="1382" spans="2:12">
      <c r="B1382" s="2" t="s">
        <v>2330</v>
      </c>
      <c r="C1382" s="7">
        <v>45974</v>
      </c>
      <c r="D1382" s="2" t="s">
        <v>636</v>
      </c>
      <c r="E1382" s="4">
        <v>1</v>
      </c>
      <c r="F1382" s="8" t="str">
        <f>_xlfn.XLOOKUP(D1382,Master[Product_Code],Master[Category])</f>
        <v>T-Shirt</v>
      </c>
      <c r="G1382" s="8" t="str">
        <f>_xlfn.XLOOKUP(D1382,Master[Product_Code],Master[Brand])</f>
        <v>Zara</v>
      </c>
      <c r="H1382" s="8" t="str">
        <f>_xlfn.XLOOKUP(D1382,Master[Product_Code],Master[Style])</f>
        <v>Sleeveless</v>
      </c>
      <c r="I1382" s="8" t="str">
        <f>_xlfn.XLOOKUP(D1382,Master[Product_Code],Master[Fabric])</f>
        <v>Cotton</v>
      </c>
      <c r="J1382" s="8" t="str">
        <f>_xlfn.XLOOKUP(D1382,Master[Product_Code],Master[Size])</f>
        <v>M</v>
      </c>
      <c r="K1382" s="8" t="str">
        <f>_xlfn.XLOOKUP(D1382,Master[Product_Code],Master[Color])</f>
        <v>Royal Blue</v>
      </c>
      <c r="L1382" s="3">
        <f>_xlfn.XLOOKUP(D1382,Master[Product_Code],Master[Selling_Price])</f>
        <v>700</v>
      </c>
    </row>
    <row r="1383" spans="2:12">
      <c r="B1383" s="2" t="s">
        <v>2331</v>
      </c>
      <c r="C1383" s="7">
        <v>45974</v>
      </c>
      <c r="D1383" s="2" t="s">
        <v>1100</v>
      </c>
      <c r="E1383" s="4">
        <v>1</v>
      </c>
      <c r="F1383" s="8" t="str">
        <f>_xlfn.XLOOKUP(D1383,Master[Product_Code],Master[Category])</f>
        <v>Jeans</v>
      </c>
      <c r="G1383" s="8" t="str">
        <f>_xlfn.XLOOKUP(D1383,Master[Product_Code],Master[Brand])</f>
        <v>Denim Pro</v>
      </c>
      <c r="H1383" s="8" t="str">
        <f>_xlfn.XLOOKUP(D1383,Master[Product_Code],Master[Style])</f>
        <v>Baggy</v>
      </c>
      <c r="I1383" s="8" t="str">
        <f>_xlfn.XLOOKUP(D1383,Master[Product_Code],Master[Fabric])</f>
        <v>Denim</v>
      </c>
      <c r="J1383" s="8">
        <f>_xlfn.XLOOKUP(D1383,Master[Product_Code],Master[Size])</f>
        <v>30</v>
      </c>
      <c r="K1383" s="8" t="str">
        <f>_xlfn.XLOOKUP(D1383,Master[Product_Code],Master[Color])</f>
        <v>Mustard</v>
      </c>
      <c r="L1383" s="3">
        <f>_xlfn.XLOOKUP(D1383,Master[Product_Code],Master[Selling_Price])</f>
        <v>1040</v>
      </c>
    </row>
    <row r="1384" spans="2:12">
      <c r="B1384" s="2" t="s">
        <v>2331</v>
      </c>
      <c r="C1384" s="7">
        <v>45974</v>
      </c>
      <c r="D1384" s="2" t="s">
        <v>1628</v>
      </c>
      <c r="E1384" s="4">
        <v>1</v>
      </c>
      <c r="F1384" s="8" t="str">
        <f>_xlfn.XLOOKUP(D1384,Master[Product_Code],Master[Category])</f>
        <v>Innerwear</v>
      </c>
      <c r="G1384" s="8" t="str">
        <f>_xlfn.XLOOKUP(D1384,Master[Product_Code],Master[Brand])</f>
        <v>Lux</v>
      </c>
      <c r="H1384" s="8" t="str">
        <f>_xlfn.XLOOKUP(D1384,Master[Product_Code],Master[Style])</f>
        <v>Boxer</v>
      </c>
      <c r="I1384" s="8" t="str">
        <f>_xlfn.XLOOKUP(D1384,Master[Product_Code],Master[Fabric])</f>
        <v>Cotton Blend</v>
      </c>
      <c r="J1384" s="8" t="str">
        <f>_xlfn.XLOOKUP(D1384,Master[Product_Code],Master[Size])</f>
        <v>100-105</v>
      </c>
      <c r="K1384" s="8" t="str">
        <f>_xlfn.XLOOKUP(D1384,Master[Product_Code],Master[Color])</f>
        <v>Brown</v>
      </c>
      <c r="L1384" s="3">
        <f>_xlfn.XLOOKUP(D1384,Master[Product_Code],Master[Selling_Price])</f>
        <v>110</v>
      </c>
    </row>
    <row r="1385" spans="2:12">
      <c r="B1385" s="2" t="s">
        <v>2332</v>
      </c>
      <c r="C1385" s="7">
        <v>45974</v>
      </c>
      <c r="D1385" s="2" t="s">
        <v>485</v>
      </c>
      <c r="E1385" s="4">
        <v>1</v>
      </c>
      <c r="F1385" s="8" t="str">
        <f>_xlfn.XLOOKUP(D1385,Master[Product_Code],Master[Category])</f>
        <v>T-Shirt</v>
      </c>
      <c r="G1385" s="8" t="str">
        <f>_xlfn.XLOOKUP(D1385,Master[Product_Code],Master[Brand])</f>
        <v>Turkey</v>
      </c>
      <c r="H1385" s="8" t="str">
        <f>_xlfn.XLOOKUP(D1385,Master[Product_Code],Master[Style])</f>
        <v>Hoodie</v>
      </c>
      <c r="I1385" s="8" t="str">
        <f>_xlfn.XLOOKUP(D1385,Master[Product_Code],Master[Fabric])</f>
        <v>Cotton Blend</v>
      </c>
      <c r="J1385" s="8" t="str">
        <f>_xlfn.XLOOKUP(D1385,Master[Product_Code],Master[Size])</f>
        <v>XL</v>
      </c>
      <c r="K1385" s="8" t="str">
        <f>_xlfn.XLOOKUP(D1385,Master[Product_Code],Master[Color])</f>
        <v>Royal Blue</v>
      </c>
      <c r="L1385" s="3">
        <f>_xlfn.XLOOKUP(D1385,Master[Product_Code],Master[Selling_Price])</f>
        <v>710</v>
      </c>
    </row>
    <row r="1386" spans="2:12">
      <c r="B1386" s="2" t="s">
        <v>2332</v>
      </c>
      <c r="C1386" s="7">
        <v>45974</v>
      </c>
      <c r="D1386" s="2" t="s">
        <v>1439</v>
      </c>
      <c r="E1386" s="4">
        <v>1</v>
      </c>
      <c r="F1386" s="8" t="str">
        <f>_xlfn.XLOOKUP(D1386,Master[Product_Code],Master[Category])</f>
        <v>Pants</v>
      </c>
      <c r="G1386" s="8" t="str">
        <f>_xlfn.XLOOKUP(D1386,Master[Product_Code],Master[Brand])</f>
        <v>Peter England</v>
      </c>
      <c r="H1386" s="8" t="str">
        <f>_xlfn.XLOOKUP(D1386,Master[Product_Code],Master[Style])</f>
        <v>Kurka</v>
      </c>
      <c r="I1386" s="8" t="str">
        <f>_xlfn.XLOOKUP(D1386,Master[Product_Code],Master[Fabric])</f>
        <v>Lycra</v>
      </c>
      <c r="J1386" s="8">
        <f>_xlfn.XLOOKUP(D1386,Master[Product_Code],Master[Size])</f>
        <v>34</v>
      </c>
      <c r="K1386" s="8" t="str">
        <f>_xlfn.XLOOKUP(D1386,Master[Product_Code],Master[Color])</f>
        <v>Rust</v>
      </c>
      <c r="L1386" s="3">
        <f>_xlfn.XLOOKUP(D1386,Master[Product_Code],Master[Selling_Price])</f>
        <v>770</v>
      </c>
    </row>
    <row r="1387" spans="2:12">
      <c r="B1387" s="2" t="s">
        <v>2333</v>
      </c>
      <c r="C1387" s="7">
        <v>45975</v>
      </c>
      <c r="D1387" s="2" t="s">
        <v>741</v>
      </c>
      <c r="E1387" s="4">
        <v>1</v>
      </c>
      <c r="F1387" s="8" t="str">
        <f>_xlfn.XLOOKUP(D1387,Master[Product_Code],Master[Category])</f>
        <v>T-Shirt</v>
      </c>
      <c r="G1387" s="8" t="str">
        <f>_xlfn.XLOOKUP(D1387,Master[Product_Code],Master[Brand])</f>
        <v>Urban Monkey</v>
      </c>
      <c r="H1387" s="8" t="str">
        <f>_xlfn.XLOOKUP(D1387,Master[Product_Code],Master[Style])</f>
        <v>3/4 Sleeve</v>
      </c>
      <c r="I1387" s="8" t="str">
        <f>_xlfn.XLOOKUP(D1387,Master[Product_Code],Master[Fabric])</f>
        <v>Poly Cotton</v>
      </c>
      <c r="J1387" s="8" t="str">
        <f>_xlfn.XLOOKUP(D1387,Master[Product_Code],Master[Size])</f>
        <v>S</v>
      </c>
      <c r="K1387" s="8" t="str">
        <f>_xlfn.XLOOKUP(D1387,Master[Product_Code],Master[Color])</f>
        <v>Brown</v>
      </c>
      <c r="L1387" s="3">
        <f>_xlfn.XLOOKUP(D1387,Master[Product_Code],Master[Selling_Price])</f>
        <v>420</v>
      </c>
    </row>
    <row r="1388" spans="2:12">
      <c r="B1388" s="2" t="s">
        <v>2334</v>
      </c>
      <c r="C1388" s="7">
        <v>45975</v>
      </c>
      <c r="D1388" s="2" t="s">
        <v>1610</v>
      </c>
      <c r="E1388" s="4">
        <v>1</v>
      </c>
      <c r="F1388" s="8" t="str">
        <f>_xlfn.XLOOKUP(D1388,Master[Product_Code],Master[Category])</f>
        <v>Innerwear</v>
      </c>
      <c r="G1388" s="8" t="str">
        <f>_xlfn.XLOOKUP(D1388,Master[Product_Code],Master[Brand])</f>
        <v>Rupa</v>
      </c>
      <c r="H1388" s="8" t="str">
        <f>_xlfn.XLOOKUP(D1388,Master[Product_Code],Master[Style])</f>
        <v>V-Cut</v>
      </c>
      <c r="I1388" s="8" t="str">
        <f>_xlfn.XLOOKUP(D1388,Master[Product_Code],Master[Fabric])</f>
        <v>Cotton Blend</v>
      </c>
      <c r="J1388" s="8" t="str">
        <f>_xlfn.XLOOKUP(D1388,Master[Product_Code],Master[Size])</f>
        <v>80-85</v>
      </c>
      <c r="K1388" s="8" t="str">
        <f>_xlfn.XLOOKUP(D1388,Master[Product_Code],Master[Color])</f>
        <v>Brown</v>
      </c>
      <c r="L1388" s="3">
        <f>_xlfn.XLOOKUP(D1388,Master[Product_Code],Master[Selling_Price])</f>
        <v>140</v>
      </c>
    </row>
    <row r="1389" spans="2:12">
      <c r="B1389" s="2" t="s">
        <v>2334</v>
      </c>
      <c r="C1389" s="7">
        <v>45975</v>
      </c>
      <c r="D1389" s="2" t="s">
        <v>1136</v>
      </c>
      <c r="E1389" s="4">
        <v>1</v>
      </c>
      <c r="F1389" s="8" t="str">
        <f>_xlfn.XLOOKUP(D1389,Master[Product_Code],Master[Category])</f>
        <v>Jeans</v>
      </c>
      <c r="G1389" s="8" t="str">
        <f>_xlfn.XLOOKUP(D1389,Master[Product_Code],Master[Brand])</f>
        <v>Denim Pro</v>
      </c>
      <c r="H1389" s="8" t="str">
        <f>_xlfn.XLOOKUP(D1389,Master[Product_Code],Master[Style])</f>
        <v>Jogger</v>
      </c>
      <c r="I1389" s="8" t="str">
        <f>_xlfn.XLOOKUP(D1389,Master[Product_Code],Master[Fabric])</f>
        <v>Denim</v>
      </c>
      <c r="J1389" s="8">
        <f>_xlfn.XLOOKUP(D1389,Master[Product_Code],Master[Size])</f>
        <v>32</v>
      </c>
      <c r="K1389" s="8" t="str">
        <f>_xlfn.XLOOKUP(D1389,Master[Product_Code],Master[Color])</f>
        <v>Charcoal</v>
      </c>
      <c r="L1389" s="3">
        <f>_xlfn.XLOOKUP(D1389,Master[Product_Code],Master[Selling_Price])</f>
        <v>830</v>
      </c>
    </row>
    <row r="1390" spans="2:12">
      <c r="B1390" s="2" t="s">
        <v>2334</v>
      </c>
      <c r="C1390" s="7">
        <v>45975</v>
      </c>
      <c r="D1390" s="2" t="s">
        <v>999</v>
      </c>
      <c r="E1390" s="4">
        <v>1</v>
      </c>
      <c r="F1390" s="8" t="str">
        <f>_xlfn.XLOOKUP(D1390,Master[Product_Code],Master[Category])</f>
        <v>Jeans</v>
      </c>
      <c r="G1390" s="8" t="str">
        <f>_xlfn.XLOOKUP(D1390,Master[Product_Code],Master[Brand])</f>
        <v>Spykar</v>
      </c>
      <c r="H1390" s="8" t="str">
        <f>_xlfn.XLOOKUP(D1390,Master[Product_Code],Master[Style])</f>
        <v>Baggy</v>
      </c>
      <c r="I1390" s="8" t="str">
        <f>_xlfn.XLOOKUP(D1390,Master[Product_Code],Master[Fabric])</f>
        <v>Denim</v>
      </c>
      <c r="J1390" s="8">
        <f>_xlfn.XLOOKUP(D1390,Master[Product_Code],Master[Size])</f>
        <v>34</v>
      </c>
      <c r="K1390" s="8" t="str">
        <f>_xlfn.XLOOKUP(D1390,Master[Product_Code],Master[Color])</f>
        <v>Brown</v>
      </c>
      <c r="L1390" s="3">
        <f>_xlfn.XLOOKUP(D1390,Master[Product_Code],Master[Selling_Price])</f>
        <v>1000</v>
      </c>
    </row>
    <row r="1391" spans="2:12">
      <c r="B1391" s="2" t="s">
        <v>2335</v>
      </c>
      <c r="C1391" s="7">
        <v>45975</v>
      </c>
      <c r="D1391" s="2" t="s">
        <v>466</v>
      </c>
      <c r="E1391" s="4">
        <v>1</v>
      </c>
      <c r="F1391" s="8" t="str">
        <f>_xlfn.XLOOKUP(D1391,Master[Product_Code],Master[Category])</f>
        <v>T-Shirt</v>
      </c>
      <c r="G1391" s="8" t="str">
        <f>_xlfn.XLOOKUP(D1391,Master[Product_Code],Master[Brand])</f>
        <v>Roadster</v>
      </c>
      <c r="H1391" s="8" t="str">
        <f>_xlfn.XLOOKUP(D1391,Master[Product_Code],Master[Style])</f>
        <v>Sleeveless</v>
      </c>
      <c r="I1391" s="8" t="str">
        <f>_xlfn.XLOOKUP(D1391,Master[Product_Code],Master[Fabric])</f>
        <v>Poly Cotton</v>
      </c>
      <c r="J1391" s="8" t="str">
        <f>_xlfn.XLOOKUP(D1391,Master[Product_Code],Master[Size])</f>
        <v>S</v>
      </c>
      <c r="K1391" s="8" t="str">
        <f>_xlfn.XLOOKUP(D1391,Master[Product_Code],Master[Color])</f>
        <v>Teal</v>
      </c>
      <c r="L1391" s="3">
        <f>_xlfn.XLOOKUP(D1391,Master[Product_Code],Master[Selling_Price])</f>
        <v>590</v>
      </c>
    </row>
    <row r="1392" spans="2:12">
      <c r="B1392" s="2" t="s">
        <v>2335</v>
      </c>
      <c r="C1392" s="7">
        <v>45975</v>
      </c>
      <c r="D1392" s="2" t="s">
        <v>1118</v>
      </c>
      <c r="E1392" s="4">
        <v>1</v>
      </c>
      <c r="F1392" s="8" t="str">
        <f>_xlfn.XLOOKUP(D1392,Master[Product_Code],Master[Category])</f>
        <v>Jeans</v>
      </c>
      <c r="G1392" s="8" t="str">
        <f>_xlfn.XLOOKUP(D1392,Master[Product_Code],Master[Brand])</f>
        <v>Levis</v>
      </c>
      <c r="H1392" s="8" t="str">
        <f>_xlfn.XLOOKUP(D1392,Master[Product_Code],Master[Style])</f>
        <v>Baggy</v>
      </c>
      <c r="I1392" s="8" t="str">
        <f>_xlfn.XLOOKUP(D1392,Master[Product_Code],Master[Fabric])</f>
        <v>Denim</v>
      </c>
      <c r="J1392" s="8">
        <f>_xlfn.XLOOKUP(D1392,Master[Product_Code],Master[Size])</f>
        <v>30</v>
      </c>
      <c r="K1392" s="8" t="str">
        <f>_xlfn.XLOOKUP(D1392,Master[Product_Code],Master[Color])</f>
        <v>Royal Blue</v>
      </c>
      <c r="L1392" s="3">
        <f>_xlfn.XLOOKUP(D1392,Master[Product_Code],Master[Selling_Price])</f>
        <v>880</v>
      </c>
    </row>
    <row r="1393" spans="2:12">
      <c r="B1393" s="2" t="s">
        <v>2335</v>
      </c>
      <c r="C1393" s="7">
        <v>45975</v>
      </c>
      <c r="D1393" s="2" t="s">
        <v>848</v>
      </c>
      <c r="E1393" s="4">
        <v>1</v>
      </c>
      <c r="F1393" s="8" t="str">
        <f>_xlfn.XLOOKUP(D1393,Master[Product_Code],Master[Category])</f>
        <v>Jeans</v>
      </c>
      <c r="G1393" s="8" t="str">
        <f>_xlfn.XLOOKUP(D1393,Master[Product_Code],Master[Brand])</f>
        <v>Levis</v>
      </c>
      <c r="H1393" s="8" t="str">
        <f>_xlfn.XLOOKUP(D1393,Master[Product_Code],Master[Style])</f>
        <v>Mom Fit</v>
      </c>
      <c r="I1393" s="8" t="str">
        <f>_xlfn.XLOOKUP(D1393,Master[Product_Code],Master[Fabric])</f>
        <v>Denim</v>
      </c>
      <c r="J1393" s="8">
        <f>_xlfn.XLOOKUP(D1393,Master[Product_Code],Master[Size])</f>
        <v>30</v>
      </c>
      <c r="K1393" s="8" t="str">
        <f>_xlfn.XLOOKUP(D1393,Master[Product_Code],Master[Color])</f>
        <v>Peach</v>
      </c>
      <c r="L1393" s="3">
        <f>_xlfn.XLOOKUP(D1393,Master[Product_Code],Master[Selling_Price])</f>
        <v>830</v>
      </c>
    </row>
    <row r="1394" spans="2:12">
      <c r="B1394" s="2" t="s">
        <v>2336</v>
      </c>
      <c r="C1394" s="7">
        <v>45975</v>
      </c>
      <c r="D1394" s="2" t="s">
        <v>257</v>
      </c>
      <c r="E1394" s="4">
        <v>1</v>
      </c>
      <c r="F1394" s="8" t="str">
        <f>_xlfn.XLOOKUP(D1394,Master[Product_Code],Master[Category])</f>
        <v>Shirt</v>
      </c>
      <c r="G1394" s="8" t="str">
        <f>_xlfn.XLOOKUP(D1394,Master[Product_Code],Master[Brand])</f>
        <v>H&amp;M</v>
      </c>
      <c r="H1394" s="8" t="str">
        <f>_xlfn.XLOOKUP(D1394,Master[Product_Code],Master[Style])</f>
        <v>Partywear</v>
      </c>
      <c r="I1394" s="8" t="str">
        <f>_xlfn.XLOOKUP(D1394,Master[Product_Code],Master[Fabric])</f>
        <v>Cotton Blend</v>
      </c>
      <c r="J1394" s="8" t="str">
        <f>_xlfn.XLOOKUP(D1394,Master[Product_Code],Master[Size])</f>
        <v>S</v>
      </c>
      <c r="K1394" s="8" t="str">
        <f>_xlfn.XLOOKUP(D1394,Master[Product_Code],Master[Color])</f>
        <v>Rust</v>
      </c>
      <c r="L1394" s="3">
        <f>_xlfn.XLOOKUP(D1394,Master[Product_Code],Master[Selling_Price])</f>
        <v>810</v>
      </c>
    </row>
    <row r="1395" spans="2:12">
      <c r="B1395" s="2" t="s">
        <v>2336</v>
      </c>
      <c r="C1395" s="7">
        <v>45975</v>
      </c>
      <c r="D1395" s="2" t="s">
        <v>311</v>
      </c>
      <c r="E1395" s="4">
        <v>1</v>
      </c>
      <c r="F1395" s="8" t="str">
        <f>_xlfn.XLOOKUP(D1395,Master[Product_Code],Master[Category])</f>
        <v>Shirt</v>
      </c>
      <c r="G1395" s="8" t="str">
        <f>_xlfn.XLOOKUP(D1395,Master[Product_Code],Master[Brand])</f>
        <v>Zara</v>
      </c>
      <c r="H1395" s="8" t="str">
        <f>_xlfn.XLOOKUP(D1395,Master[Product_Code],Master[Style])</f>
        <v>Formal</v>
      </c>
      <c r="I1395" s="8" t="str">
        <f>_xlfn.XLOOKUP(D1395,Master[Product_Code],Master[Fabric])</f>
        <v>Polyester</v>
      </c>
      <c r="J1395" s="8" t="str">
        <f>_xlfn.XLOOKUP(D1395,Master[Product_Code],Master[Size])</f>
        <v>L</v>
      </c>
      <c r="K1395" s="8" t="str">
        <f>_xlfn.XLOOKUP(D1395,Master[Product_Code],Master[Color])</f>
        <v>Wine</v>
      </c>
      <c r="L1395" s="3">
        <f>_xlfn.XLOOKUP(D1395,Master[Product_Code],Master[Selling_Price])</f>
        <v>730</v>
      </c>
    </row>
    <row r="1396" spans="2:12">
      <c r="B1396" s="2" t="s">
        <v>2337</v>
      </c>
      <c r="C1396" s="7">
        <v>45975</v>
      </c>
      <c r="D1396" s="2" t="s">
        <v>1013</v>
      </c>
      <c r="E1396" s="4">
        <v>1</v>
      </c>
      <c r="F1396" s="8" t="str">
        <f>_xlfn.XLOOKUP(D1396,Master[Product_Code],Master[Category])</f>
        <v>Jeans</v>
      </c>
      <c r="G1396" s="8" t="str">
        <f>_xlfn.XLOOKUP(D1396,Master[Product_Code],Master[Brand])</f>
        <v>Levis</v>
      </c>
      <c r="H1396" s="8" t="str">
        <f>_xlfn.XLOOKUP(D1396,Master[Product_Code],Master[Style])</f>
        <v>Baggy</v>
      </c>
      <c r="I1396" s="8" t="str">
        <f>_xlfn.XLOOKUP(D1396,Master[Product_Code],Master[Fabric])</f>
        <v>Denim</v>
      </c>
      <c r="J1396" s="8">
        <f>_xlfn.XLOOKUP(D1396,Master[Product_Code],Master[Size])</f>
        <v>34</v>
      </c>
      <c r="K1396" s="8" t="str">
        <f>_xlfn.XLOOKUP(D1396,Master[Product_Code],Master[Color])</f>
        <v>Royal Blue</v>
      </c>
      <c r="L1396" s="3">
        <f>_xlfn.XLOOKUP(D1396,Master[Product_Code],Master[Selling_Price])</f>
        <v>960</v>
      </c>
    </row>
    <row r="1397" spans="2:12">
      <c r="B1397" s="2" t="s">
        <v>2337</v>
      </c>
      <c r="C1397" s="7">
        <v>45975</v>
      </c>
      <c r="D1397" s="2" t="s">
        <v>218</v>
      </c>
      <c r="E1397" s="4">
        <v>1</v>
      </c>
      <c r="F1397" s="8" t="str">
        <f>_xlfn.XLOOKUP(D1397,Master[Product_Code],Master[Category])</f>
        <v>Shirt</v>
      </c>
      <c r="G1397" s="8" t="str">
        <f>_xlfn.XLOOKUP(D1397,Master[Product_Code],Master[Brand])</f>
        <v>British</v>
      </c>
      <c r="H1397" s="8" t="str">
        <f>_xlfn.XLOOKUP(D1397,Master[Product_Code],Master[Style])</f>
        <v>Formal</v>
      </c>
      <c r="I1397" s="8" t="str">
        <f>_xlfn.XLOOKUP(D1397,Master[Product_Code],Master[Fabric])</f>
        <v>Lycra</v>
      </c>
      <c r="J1397" s="8" t="str">
        <f>_xlfn.XLOOKUP(D1397,Master[Product_Code],Master[Size])</f>
        <v>XL</v>
      </c>
      <c r="K1397" s="8" t="str">
        <f>_xlfn.XLOOKUP(D1397,Master[Product_Code],Master[Color])</f>
        <v>Black</v>
      </c>
      <c r="L1397" s="3">
        <f>_xlfn.XLOOKUP(D1397,Master[Product_Code],Master[Selling_Price])</f>
        <v>920</v>
      </c>
    </row>
    <row r="1398" spans="2:12">
      <c r="B1398" s="2" t="s">
        <v>2338</v>
      </c>
      <c r="C1398" s="7">
        <v>45975</v>
      </c>
      <c r="D1398" s="2" t="s">
        <v>807</v>
      </c>
      <c r="E1398" s="4">
        <v>1</v>
      </c>
      <c r="F1398" s="8" t="str">
        <f>_xlfn.XLOOKUP(D1398,Master[Product_Code],Master[Category])</f>
        <v>T-Shirt</v>
      </c>
      <c r="G1398" s="8" t="str">
        <f>_xlfn.XLOOKUP(D1398,Master[Product_Code],Master[Brand])</f>
        <v>Zara</v>
      </c>
      <c r="H1398" s="8" t="str">
        <f>_xlfn.XLOOKUP(D1398,Master[Product_Code],Master[Style])</f>
        <v>Hoodie</v>
      </c>
      <c r="I1398" s="8" t="str">
        <f>_xlfn.XLOOKUP(D1398,Master[Product_Code],Master[Fabric])</f>
        <v>Cotton Blend</v>
      </c>
      <c r="J1398" s="8" t="str">
        <f>_xlfn.XLOOKUP(D1398,Master[Product_Code],Master[Size])</f>
        <v>L</v>
      </c>
      <c r="K1398" s="8" t="str">
        <f>_xlfn.XLOOKUP(D1398,Master[Product_Code],Master[Color])</f>
        <v>Sky Blue</v>
      </c>
      <c r="L1398" s="3">
        <f>_xlfn.XLOOKUP(D1398,Master[Product_Code],Master[Selling_Price])</f>
        <v>610</v>
      </c>
    </row>
    <row r="1399" spans="2:12">
      <c r="B1399" s="2" t="s">
        <v>2338</v>
      </c>
      <c r="C1399" s="7">
        <v>45975</v>
      </c>
      <c r="D1399" s="2" t="s">
        <v>870</v>
      </c>
      <c r="E1399" s="4">
        <v>1</v>
      </c>
      <c r="F1399" s="8" t="str">
        <f>_xlfn.XLOOKUP(D1399,Master[Product_Code],Master[Category])</f>
        <v>Jeans</v>
      </c>
      <c r="G1399" s="8" t="str">
        <f>_xlfn.XLOOKUP(D1399,Master[Product_Code],Master[Brand])</f>
        <v>Levis</v>
      </c>
      <c r="H1399" s="8" t="str">
        <f>_xlfn.XLOOKUP(D1399,Master[Product_Code],Master[Style])</f>
        <v>Baggy</v>
      </c>
      <c r="I1399" s="8" t="str">
        <f>_xlfn.XLOOKUP(D1399,Master[Product_Code],Master[Fabric])</f>
        <v>Denim</v>
      </c>
      <c r="J1399" s="8">
        <f>_xlfn.XLOOKUP(D1399,Master[Product_Code],Master[Size])</f>
        <v>28</v>
      </c>
      <c r="K1399" s="8" t="str">
        <f>_xlfn.XLOOKUP(D1399,Master[Product_Code],Master[Color])</f>
        <v>Mustard</v>
      </c>
      <c r="L1399" s="3">
        <f>_xlfn.XLOOKUP(D1399,Master[Product_Code],Master[Selling_Price])</f>
        <v>1050</v>
      </c>
    </row>
    <row r="1400" spans="2:12">
      <c r="B1400" s="2" t="s">
        <v>2338</v>
      </c>
      <c r="C1400" s="7">
        <v>45975</v>
      </c>
      <c r="D1400" s="2" t="s">
        <v>1429</v>
      </c>
      <c r="E1400" s="4">
        <v>1</v>
      </c>
      <c r="F1400" s="8" t="str">
        <f>_xlfn.XLOOKUP(D1400,Master[Product_Code],Master[Category])</f>
        <v>Pants</v>
      </c>
      <c r="G1400" s="8" t="str">
        <f>_xlfn.XLOOKUP(D1400,Master[Product_Code],Master[Brand])</f>
        <v>Peter England</v>
      </c>
      <c r="H1400" s="8" t="str">
        <f>_xlfn.XLOOKUP(D1400,Master[Product_Code],Master[Style])</f>
        <v>Korean</v>
      </c>
      <c r="I1400" s="8" t="str">
        <f>_xlfn.XLOOKUP(D1400,Master[Product_Code],Master[Fabric])</f>
        <v>Lycra</v>
      </c>
      <c r="J1400" s="8">
        <f>_xlfn.XLOOKUP(D1400,Master[Product_Code],Master[Size])</f>
        <v>28</v>
      </c>
      <c r="K1400" s="8" t="str">
        <f>_xlfn.XLOOKUP(D1400,Master[Product_Code],Master[Color])</f>
        <v>Maroon</v>
      </c>
      <c r="L1400" s="3">
        <f>_xlfn.XLOOKUP(D1400,Master[Product_Code],Master[Selling_Price])</f>
        <v>710</v>
      </c>
    </row>
    <row r="1401" spans="2:12">
      <c r="B1401" s="2" t="s">
        <v>2339</v>
      </c>
      <c r="C1401" s="7">
        <v>45975</v>
      </c>
      <c r="D1401" s="2" t="s">
        <v>50</v>
      </c>
      <c r="E1401" s="4">
        <v>1</v>
      </c>
      <c r="F1401" s="8" t="str">
        <f>_xlfn.XLOOKUP(D1401,Master[Product_Code],Master[Category])</f>
        <v>Shirt</v>
      </c>
      <c r="G1401" s="8" t="str">
        <f>_xlfn.XLOOKUP(D1401,Master[Product_Code],Master[Brand])</f>
        <v>L7</v>
      </c>
      <c r="H1401" s="8" t="str">
        <f>_xlfn.XLOOKUP(D1401,Master[Product_Code],Master[Style])</f>
        <v>Formal</v>
      </c>
      <c r="I1401" s="8" t="str">
        <f>_xlfn.XLOOKUP(D1401,Master[Product_Code],Master[Fabric])</f>
        <v>Cotton Blend</v>
      </c>
      <c r="J1401" s="8" t="str">
        <f>_xlfn.XLOOKUP(D1401,Master[Product_Code],Master[Size])</f>
        <v>M</v>
      </c>
      <c r="K1401" s="8" t="str">
        <f>_xlfn.XLOOKUP(D1401,Master[Product_Code],Master[Color])</f>
        <v>Peach</v>
      </c>
      <c r="L1401" s="3">
        <f>_xlfn.XLOOKUP(D1401,Master[Product_Code],Master[Selling_Price])</f>
        <v>720</v>
      </c>
    </row>
    <row r="1402" spans="2:12">
      <c r="B1402" s="2" t="s">
        <v>2340</v>
      </c>
      <c r="C1402" s="7">
        <v>45975</v>
      </c>
      <c r="D1402" s="2" t="s">
        <v>34</v>
      </c>
      <c r="E1402" s="4">
        <v>1</v>
      </c>
      <c r="F1402" s="8" t="str">
        <f>_xlfn.XLOOKUP(D1402,Master[Product_Code],Master[Category])</f>
        <v>Shirt</v>
      </c>
      <c r="G1402" s="8" t="str">
        <f>_xlfn.XLOOKUP(D1402,Master[Product_Code],Master[Brand])</f>
        <v>British</v>
      </c>
      <c r="H1402" s="8" t="str">
        <f>_xlfn.XLOOKUP(D1402,Master[Product_Code],Master[Style])</f>
        <v>Formal</v>
      </c>
      <c r="I1402" s="8" t="str">
        <f>_xlfn.XLOOKUP(D1402,Master[Product_Code],Master[Fabric])</f>
        <v>Cotton</v>
      </c>
      <c r="J1402" s="8" t="str">
        <f>_xlfn.XLOOKUP(D1402,Master[Product_Code],Master[Size])</f>
        <v>XL</v>
      </c>
      <c r="K1402" s="8" t="str">
        <f>_xlfn.XLOOKUP(D1402,Master[Product_Code],Master[Color])</f>
        <v>Sky Blue</v>
      </c>
      <c r="L1402" s="3">
        <f>_xlfn.XLOOKUP(D1402,Master[Product_Code],Master[Selling_Price])</f>
        <v>710</v>
      </c>
    </row>
    <row r="1403" spans="2:12">
      <c r="B1403" s="2" t="s">
        <v>2340</v>
      </c>
      <c r="C1403" s="7">
        <v>45975</v>
      </c>
      <c r="D1403" s="2" t="s">
        <v>1506</v>
      </c>
      <c r="E1403" s="4">
        <v>1</v>
      </c>
      <c r="F1403" s="8" t="str">
        <f>_xlfn.XLOOKUP(D1403,Master[Product_Code],Master[Category])</f>
        <v>Innerwear</v>
      </c>
      <c r="G1403" s="8" t="str">
        <f>_xlfn.XLOOKUP(D1403,Master[Product_Code],Master[Brand])</f>
        <v>Rupa</v>
      </c>
      <c r="H1403" s="8" t="str">
        <f>_xlfn.XLOOKUP(D1403,Master[Product_Code],Master[Style])</f>
        <v>Boxer</v>
      </c>
      <c r="I1403" s="8" t="str">
        <f>_xlfn.XLOOKUP(D1403,Master[Product_Code],Master[Fabric])</f>
        <v>Cotton</v>
      </c>
      <c r="J1403" s="8" t="str">
        <f>_xlfn.XLOOKUP(D1403,Master[Product_Code],Master[Size])</f>
        <v>100-105</v>
      </c>
      <c r="K1403" s="8" t="str">
        <f>_xlfn.XLOOKUP(D1403,Master[Product_Code],Master[Color])</f>
        <v>Navy Blue</v>
      </c>
      <c r="L1403" s="3">
        <f>_xlfn.XLOOKUP(D1403,Master[Product_Code],Master[Selling_Price])</f>
        <v>150</v>
      </c>
    </row>
    <row r="1404" spans="2:12">
      <c r="B1404" s="2" t="s">
        <v>2340</v>
      </c>
      <c r="C1404" s="7">
        <v>45975</v>
      </c>
      <c r="D1404" s="2" t="s">
        <v>460</v>
      </c>
      <c r="E1404" s="4">
        <v>1</v>
      </c>
      <c r="F1404" s="8" t="str">
        <f>_xlfn.XLOOKUP(D1404,Master[Product_Code],Master[Category])</f>
        <v>T-Shirt</v>
      </c>
      <c r="G1404" s="8" t="str">
        <f>_xlfn.XLOOKUP(D1404,Master[Product_Code],Master[Brand])</f>
        <v>Thailand</v>
      </c>
      <c r="H1404" s="8" t="str">
        <f>_xlfn.XLOOKUP(D1404,Master[Product_Code],Master[Style])</f>
        <v>Sleeveless</v>
      </c>
      <c r="I1404" s="8" t="str">
        <f>_xlfn.XLOOKUP(D1404,Master[Product_Code],Master[Fabric])</f>
        <v>Poly Cotton</v>
      </c>
      <c r="J1404" s="8" t="str">
        <f>_xlfn.XLOOKUP(D1404,Master[Product_Code],Master[Size])</f>
        <v>M</v>
      </c>
      <c r="K1404" s="8" t="str">
        <f>_xlfn.XLOOKUP(D1404,Master[Product_Code],Master[Color])</f>
        <v>Mustard</v>
      </c>
      <c r="L1404" s="3">
        <f>_xlfn.XLOOKUP(D1404,Master[Product_Code],Master[Selling_Price])</f>
        <v>440</v>
      </c>
    </row>
    <row r="1405" spans="2:12">
      <c r="B1405" s="2" t="s">
        <v>2341</v>
      </c>
      <c r="C1405" s="7">
        <v>45975</v>
      </c>
      <c r="D1405" s="2" t="s">
        <v>884</v>
      </c>
      <c r="E1405" s="4">
        <v>1</v>
      </c>
      <c r="F1405" s="8" t="str">
        <f>_xlfn.XLOOKUP(D1405,Master[Product_Code],Master[Category])</f>
        <v>Jeans</v>
      </c>
      <c r="G1405" s="8" t="str">
        <f>_xlfn.XLOOKUP(D1405,Master[Product_Code],Master[Brand])</f>
        <v>Levis</v>
      </c>
      <c r="H1405" s="8" t="str">
        <f>_xlfn.XLOOKUP(D1405,Master[Product_Code],Master[Style])</f>
        <v>Baggy</v>
      </c>
      <c r="I1405" s="8" t="str">
        <f>_xlfn.XLOOKUP(D1405,Master[Product_Code],Master[Fabric])</f>
        <v>Denim</v>
      </c>
      <c r="J1405" s="8">
        <f>_xlfn.XLOOKUP(D1405,Master[Product_Code],Master[Size])</f>
        <v>36</v>
      </c>
      <c r="K1405" s="8" t="str">
        <f>_xlfn.XLOOKUP(D1405,Master[Product_Code],Master[Color])</f>
        <v>White</v>
      </c>
      <c r="L1405" s="3">
        <f>_xlfn.XLOOKUP(D1405,Master[Product_Code],Master[Selling_Price])</f>
        <v>1020</v>
      </c>
    </row>
    <row r="1406" spans="2:12">
      <c r="B1406" s="2" t="s">
        <v>2341</v>
      </c>
      <c r="C1406" s="7">
        <v>45975</v>
      </c>
      <c r="D1406" s="2" t="s">
        <v>1736</v>
      </c>
      <c r="E1406" s="4">
        <v>1</v>
      </c>
      <c r="F1406" s="8" t="str">
        <f>_xlfn.XLOOKUP(D1406,Master[Product_Code],Master[Category])</f>
        <v>Innerwear</v>
      </c>
      <c r="G1406" s="8" t="str">
        <f>_xlfn.XLOOKUP(D1406,Master[Product_Code],Master[Brand])</f>
        <v>Lux</v>
      </c>
      <c r="H1406" s="8" t="str">
        <f>_xlfn.XLOOKUP(D1406,Master[Product_Code],Master[Style])</f>
        <v>Boxer</v>
      </c>
      <c r="I1406" s="8" t="str">
        <f>_xlfn.XLOOKUP(D1406,Master[Product_Code],Master[Fabric])</f>
        <v>Cotton</v>
      </c>
      <c r="J1406" s="8" t="str">
        <f>_xlfn.XLOOKUP(D1406,Master[Product_Code],Master[Size])</f>
        <v>100-105</v>
      </c>
      <c r="K1406" s="8" t="str">
        <f>_xlfn.XLOOKUP(D1406,Master[Product_Code],Master[Color])</f>
        <v>Brown</v>
      </c>
      <c r="L1406" s="3">
        <f>_xlfn.XLOOKUP(D1406,Master[Product_Code],Master[Selling_Price])</f>
        <v>170</v>
      </c>
    </row>
    <row r="1407" spans="2:12">
      <c r="B1407" s="2" t="s">
        <v>2342</v>
      </c>
      <c r="C1407" s="7">
        <v>45975</v>
      </c>
      <c r="D1407" s="2" t="s">
        <v>535</v>
      </c>
      <c r="E1407" s="4">
        <v>1</v>
      </c>
      <c r="F1407" s="8" t="str">
        <f>_xlfn.XLOOKUP(D1407,Master[Product_Code],Master[Category])</f>
        <v>T-Shirt</v>
      </c>
      <c r="G1407" s="8" t="str">
        <f>_xlfn.XLOOKUP(D1407,Master[Product_Code],Master[Brand])</f>
        <v>Campus</v>
      </c>
      <c r="H1407" s="8" t="str">
        <f>_xlfn.XLOOKUP(D1407,Master[Product_Code],Master[Style])</f>
        <v>Full Sleeve</v>
      </c>
      <c r="I1407" s="8" t="str">
        <f>_xlfn.XLOOKUP(D1407,Master[Product_Code],Master[Fabric])</f>
        <v>Cotton</v>
      </c>
      <c r="J1407" s="8" t="str">
        <f>_xlfn.XLOOKUP(D1407,Master[Product_Code],Master[Size])</f>
        <v>S</v>
      </c>
      <c r="K1407" s="8" t="str">
        <f>_xlfn.XLOOKUP(D1407,Master[Product_Code],Master[Color])</f>
        <v>Maroon</v>
      </c>
      <c r="L1407" s="3">
        <f>_xlfn.XLOOKUP(D1407,Master[Product_Code],Master[Selling_Price])</f>
        <v>430</v>
      </c>
    </row>
    <row r="1408" spans="2:12">
      <c r="B1408" s="2" t="s">
        <v>2342</v>
      </c>
      <c r="C1408" s="7">
        <v>45975</v>
      </c>
      <c r="D1408" s="2" t="s">
        <v>82</v>
      </c>
      <c r="E1408" s="4">
        <v>1</v>
      </c>
      <c r="F1408" s="8" t="str">
        <f>_xlfn.XLOOKUP(D1408,Master[Product_Code],Master[Category])</f>
        <v>Shirt</v>
      </c>
      <c r="G1408" s="8" t="str">
        <f>_xlfn.XLOOKUP(D1408,Master[Product_Code],Master[Brand])</f>
        <v>Zara</v>
      </c>
      <c r="H1408" s="8" t="str">
        <f>_xlfn.XLOOKUP(D1408,Master[Product_Code],Master[Style])</f>
        <v>Partywear</v>
      </c>
      <c r="I1408" s="8" t="str">
        <f>_xlfn.XLOOKUP(D1408,Master[Product_Code],Master[Fabric])</f>
        <v>Cotton</v>
      </c>
      <c r="J1408" s="8" t="str">
        <f>_xlfn.XLOOKUP(D1408,Master[Product_Code],Master[Size])</f>
        <v>S</v>
      </c>
      <c r="K1408" s="8" t="str">
        <f>_xlfn.XLOOKUP(D1408,Master[Product_Code],Master[Color])</f>
        <v>Rust</v>
      </c>
      <c r="L1408" s="3">
        <f>_xlfn.XLOOKUP(D1408,Master[Product_Code],Master[Selling_Price])</f>
        <v>800</v>
      </c>
    </row>
    <row r="1409" spans="2:12">
      <c r="B1409" s="2" t="s">
        <v>2342</v>
      </c>
      <c r="C1409" s="7">
        <v>45975</v>
      </c>
      <c r="D1409" s="2" t="s">
        <v>495</v>
      </c>
      <c r="E1409" s="4">
        <v>1</v>
      </c>
      <c r="F1409" s="8" t="str">
        <f>_xlfn.XLOOKUP(D1409,Master[Product_Code],Master[Category])</f>
        <v>T-Shirt</v>
      </c>
      <c r="G1409" s="8" t="str">
        <f>_xlfn.XLOOKUP(D1409,Master[Product_Code],Master[Brand])</f>
        <v>Zara</v>
      </c>
      <c r="H1409" s="8" t="str">
        <f>_xlfn.XLOOKUP(D1409,Master[Product_Code],Master[Style])</f>
        <v>Full Sleeve</v>
      </c>
      <c r="I1409" s="8" t="str">
        <f>_xlfn.XLOOKUP(D1409,Master[Product_Code],Master[Fabric])</f>
        <v>Cotton Blend</v>
      </c>
      <c r="J1409" s="8" t="str">
        <f>_xlfn.XLOOKUP(D1409,Master[Product_Code],Master[Size])</f>
        <v>S</v>
      </c>
      <c r="K1409" s="8" t="str">
        <f>_xlfn.XLOOKUP(D1409,Master[Product_Code],Master[Color])</f>
        <v>Cream</v>
      </c>
      <c r="L1409" s="3">
        <f>_xlfn.XLOOKUP(D1409,Master[Product_Code],Master[Selling_Price])</f>
        <v>510</v>
      </c>
    </row>
    <row r="1410" spans="2:12">
      <c r="B1410" s="2" t="s">
        <v>2343</v>
      </c>
      <c r="C1410" s="7">
        <v>45975</v>
      </c>
      <c r="D1410" s="2" t="s">
        <v>646</v>
      </c>
      <c r="E1410" s="4">
        <v>1</v>
      </c>
      <c r="F1410" s="8" t="str">
        <f>_xlfn.XLOOKUP(D1410,Master[Product_Code],Master[Category])</f>
        <v>T-Shirt</v>
      </c>
      <c r="G1410" s="8" t="str">
        <f>_xlfn.XLOOKUP(D1410,Master[Product_Code],Master[Brand])</f>
        <v>Thailand</v>
      </c>
      <c r="H1410" s="8" t="str">
        <f>_xlfn.XLOOKUP(D1410,Master[Product_Code],Master[Style])</f>
        <v>Full Sleeve</v>
      </c>
      <c r="I1410" s="8" t="str">
        <f>_xlfn.XLOOKUP(D1410,Master[Product_Code],Master[Fabric])</f>
        <v>Poly Cotton</v>
      </c>
      <c r="J1410" s="8" t="str">
        <f>_xlfn.XLOOKUP(D1410,Master[Product_Code],Master[Size])</f>
        <v>XXL</v>
      </c>
      <c r="K1410" s="8" t="str">
        <f>_xlfn.XLOOKUP(D1410,Master[Product_Code],Master[Color])</f>
        <v>Olive</v>
      </c>
      <c r="L1410" s="3">
        <f>_xlfn.XLOOKUP(D1410,Master[Product_Code],Master[Selling_Price])</f>
        <v>570</v>
      </c>
    </row>
    <row r="1411" spans="2:12">
      <c r="B1411" s="2" t="s">
        <v>2343</v>
      </c>
      <c r="C1411" s="7">
        <v>45975</v>
      </c>
      <c r="D1411" s="2" t="s">
        <v>950</v>
      </c>
      <c r="E1411" s="4">
        <v>1</v>
      </c>
      <c r="F1411" s="8" t="str">
        <f>_xlfn.XLOOKUP(D1411,Master[Product_Code],Master[Category])</f>
        <v>Jeans</v>
      </c>
      <c r="G1411" s="8" t="str">
        <f>_xlfn.XLOOKUP(D1411,Master[Product_Code],Master[Brand])</f>
        <v>Spykar</v>
      </c>
      <c r="H1411" s="8" t="str">
        <f>_xlfn.XLOOKUP(D1411,Master[Product_Code],Master[Style])</f>
        <v>Baggy</v>
      </c>
      <c r="I1411" s="8" t="str">
        <f>_xlfn.XLOOKUP(D1411,Master[Product_Code],Master[Fabric])</f>
        <v>Denim</v>
      </c>
      <c r="J1411" s="8">
        <f>_xlfn.XLOOKUP(D1411,Master[Product_Code],Master[Size])</f>
        <v>38</v>
      </c>
      <c r="K1411" s="8" t="str">
        <f>_xlfn.XLOOKUP(D1411,Master[Product_Code],Master[Color])</f>
        <v>Cream</v>
      </c>
      <c r="L1411" s="3">
        <f>_xlfn.XLOOKUP(D1411,Master[Product_Code],Master[Selling_Price])</f>
        <v>790</v>
      </c>
    </row>
    <row r="1412" spans="2:12">
      <c r="B1412" s="2" t="s">
        <v>2343</v>
      </c>
      <c r="C1412" s="7">
        <v>45975</v>
      </c>
      <c r="D1412" s="2" t="s">
        <v>511</v>
      </c>
      <c r="E1412" s="4">
        <v>1</v>
      </c>
      <c r="F1412" s="8" t="str">
        <f>_xlfn.XLOOKUP(D1412,Master[Product_Code],Master[Category])</f>
        <v>T-Shirt</v>
      </c>
      <c r="G1412" s="8" t="str">
        <f>_xlfn.XLOOKUP(D1412,Master[Product_Code],Master[Brand])</f>
        <v>Campus</v>
      </c>
      <c r="H1412" s="8" t="str">
        <f>_xlfn.XLOOKUP(D1412,Master[Product_Code],Master[Style])</f>
        <v>Full Sleeve</v>
      </c>
      <c r="I1412" s="8" t="str">
        <f>_xlfn.XLOOKUP(D1412,Master[Product_Code],Master[Fabric])</f>
        <v>Poly Cotton</v>
      </c>
      <c r="J1412" s="8" t="str">
        <f>_xlfn.XLOOKUP(D1412,Master[Product_Code],Master[Size])</f>
        <v>L</v>
      </c>
      <c r="K1412" s="8" t="str">
        <f>_xlfn.XLOOKUP(D1412,Master[Product_Code],Master[Color])</f>
        <v>Olive</v>
      </c>
      <c r="L1412" s="3">
        <f>_xlfn.XLOOKUP(D1412,Master[Product_Code],Master[Selling_Price])</f>
        <v>350</v>
      </c>
    </row>
    <row r="1413" spans="2:12">
      <c r="B1413" s="2" t="s">
        <v>2344</v>
      </c>
      <c r="C1413" s="7">
        <v>45975</v>
      </c>
      <c r="D1413" s="2" t="s">
        <v>1403</v>
      </c>
      <c r="E1413" s="4">
        <v>1</v>
      </c>
      <c r="F1413" s="8" t="str">
        <f>_xlfn.XLOOKUP(D1413,Master[Product_Code],Master[Category])</f>
        <v>Pants</v>
      </c>
      <c r="G1413" s="8" t="str">
        <f>_xlfn.XLOOKUP(D1413,Master[Product_Code],Master[Brand])</f>
        <v>Louis Philippe</v>
      </c>
      <c r="H1413" s="8" t="str">
        <f>_xlfn.XLOOKUP(D1413,Master[Product_Code],Master[Style])</f>
        <v>Polofit</v>
      </c>
      <c r="I1413" s="8" t="str">
        <f>_xlfn.XLOOKUP(D1413,Master[Product_Code],Master[Fabric])</f>
        <v>Lycra</v>
      </c>
      <c r="J1413" s="8">
        <f>_xlfn.XLOOKUP(D1413,Master[Product_Code],Master[Size])</f>
        <v>34</v>
      </c>
      <c r="K1413" s="8" t="str">
        <f>_xlfn.XLOOKUP(D1413,Master[Product_Code],Master[Color])</f>
        <v>Olive</v>
      </c>
      <c r="L1413" s="3">
        <f>_xlfn.XLOOKUP(D1413,Master[Product_Code],Master[Selling_Price])</f>
        <v>780</v>
      </c>
    </row>
    <row r="1414" spans="2:12">
      <c r="B1414" s="2" t="s">
        <v>2344</v>
      </c>
      <c r="C1414" s="7">
        <v>45975</v>
      </c>
      <c r="D1414" s="2" t="s">
        <v>1191</v>
      </c>
      <c r="E1414" s="4">
        <v>1</v>
      </c>
      <c r="F1414" s="8" t="str">
        <f>_xlfn.XLOOKUP(D1414,Master[Product_Code],Master[Category])</f>
        <v>Pants</v>
      </c>
      <c r="G1414" s="8" t="str">
        <f>_xlfn.XLOOKUP(D1414,Master[Product_Code],Master[Brand])</f>
        <v>Park Avenue</v>
      </c>
      <c r="H1414" s="8" t="str">
        <f>_xlfn.XLOOKUP(D1414,Master[Product_Code],Master[Style])</f>
        <v>Polofit</v>
      </c>
      <c r="I1414" s="8" t="str">
        <f>_xlfn.XLOOKUP(D1414,Master[Product_Code],Master[Fabric])</f>
        <v>Lycra</v>
      </c>
      <c r="J1414" s="8">
        <f>_xlfn.XLOOKUP(D1414,Master[Product_Code],Master[Size])</f>
        <v>30</v>
      </c>
      <c r="K1414" s="8" t="str">
        <f>_xlfn.XLOOKUP(D1414,Master[Product_Code],Master[Color])</f>
        <v>Grey</v>
      </c>
      <c r="L1414" s="3">
        <f>_xlfn.XLOOKUP(D1414,Master[Product_Code],Master[Selling_Price])</f>
        <v>760</v>
      </c>
    </row>
    <row r="1415" spans="2:12">
      <c r="B1415" s="2" t="s">
        <v>2344</v>
      </c>
      <c r="C1415" s="7">
        <v>45975</v>
      </c>
      <c r="D1415" s="2" t="s">
        <v>1607</v>
      </c>
      <c r="E1415" s="4">
        <v>1</v>
      </c>
      <c r="F1415" s="8" t="str">
        <f>_xlfn.XLOOKUP(D1415,Master[Product_Code],Master[Category])</f>
        <v>Innerwear</v>
      </c>
      <c r="G1415" s="8" t="str">
        <f>_xlfn.XLOOKUP(D1415,Master[Product_Code],Master[Brand])</f>
        <v>Lux</v>
      </c>
      <c r="H1415" s="8" t="str">
        <f>_xlfn.XLOOKUP(D1415,Master[Product_Code],Master[Style])</f>
        <v>Boxer</v>
      </c>
      <c r="I1415" s="8" t="str">
        <f>_xlfn.XLOOKUP(D1415,Master[Product_Code],Master[Fabric])</f>
        <v>Cotton</v>
      </c>
      <c r="J1415" s="8" t="str">
        <f>_xlfn.XLOOKUP(D1415,Master[Product_Code],Master[Size])</f>
        <v>100-105</v>
      </c>
      <c r="K1415" s="8" t="str">
        <f>_xlfn.XLOOKUP(D1415,Master[Product_Code],Master[Color])</f>
        <v>Teal</v>
      </c>
      <c r="L1415" s="3">
        <f>_xlfn.XLOOKUP(D1415,Master[Product_Code],Master[Selling_Price])</f>
        <v>130</v>
      </c>
    </row>
    <row r="1416" spans="2:12">
      <c r="B1416" s="2" t="s">
        <v>2345</v>
      </c>
      <c r="C1416" s="7">
        <v>45975</v>
      </c>
      <c r="D1416" s="2" t="s">
        <v>1023</v>
      </c>
      <c r="E1416" s="4">
        <v>1</v>
      </c>
      <c r="F1416" s="8" t="str">
        <f>_xlfn.XLOOKUP(D1416,Master[Product_Code],Master[Category])</f>
        <v>Jeans</v>
      </c>
      <c r="G1416" s="8" t="str">
        <f>_xlfn.XLOOKUP(D1416,Master[Product_Code],Master[Brand])</f>
        <v>Pepe</v>
      </c>
      <c r="H1416" s="8" t="str">
        <f>_xlfn.XLOOKUP(D1416,Master[Product_Code],Master[Style])</f>
        <v>Jogger</v>
      </c>
      <c r="I1416" s="8" t="str">
        <f>_xlfn.XLOOKUP(D1416,Master[Product_Code],Master[Fabric])</f>
        <v>Denim</v>
      </c>
      <c r="J1416" s="8">
        <f>_xlfn.XLOOKUP(D1416,Master[Product_Code],Master[Size])</f>
        <v>32</v>
      </c>
      <c r="K1416" s="8" t="str">
        <f>_xlfn.XLOOKUP(D1416,Master[Product_Code],Master[Color])</f>
        <v>Brown</v>
      </c>
      <c r="L1416" s="3">
        <f>_xlfn.XLOOKUP(D1416,Master[Product_Code],Master[Selling_Price])</f>
        <v>980</v>
      </c>
    </row>
    <row r="1417" spans="2:12">
      <c r="B1417" s="2" t="s">
        <v>2345</v>
      </c>
      <c r="C1417" s="7">
        <v>45975</v>
      </c>
      <c r="D1417" s="2" t="s">
        <v>1192</v>
      </c>
      <c r="E1417" s="4">
        <v>1</v>
      </c>
      <c r="F1417" s="8" t="str">
        <f>_xlfn.XLOOKUP(D1417,Master[Product_Code],Master[Category])</f>
        <v>Pants</v>
      </c>
      <c r="G1417" s="8" t="str">
        <f>_xlfn.XLOOKUP(D1417,Master[Product_Code],Master[Brand])</f>
        <v>Park Avenue</v>
      </c>
      <c r="H1417" s="8" t="str">
        <f>_xlfn.XLOOKUP(D1417,Master[Product_Code],Master[Style])</f>
        <v>Kurka</v>
      </c>
      <c r="I1417" s="8" t="str">
        <f>_xlfn.XLOOKUP(D1417,Master[Product_Code],Master[Fabric])</f>
        <v>Lycra</v>
      </c>
      <c r="J1417" s="8">
        <f>_xlfn.XLOOKUP(D1417,Master[Product_Code],Master[Size])</f>
        <v>30</v>
      </c>
      <c r="K1417" s="8" t="str">
        <f>_xlfn.XLOOKUP(D1417,Master[Product_Code],Master[Color])</f>
        <v>Olive</v>
      </c>
      <c r="L1417" s="3">
        <f>_xlfn.XLOOKUP(D1417,Master[Product_Code],Master[Selling_Price])</f>
        <v>830</v>
      </c>
    </row>
    <row r="1418" spans="2:12">
      <c r="B1418" s="2" t="s">
        <v>2345</v>
      </c>
      <c r="C1418" s="7">
        <v>45975</v>
      </c>
      <c r="D1418" s="2" t="s">
        <v>1018</v>
      </c>
      <c r="E1418" s="4">
        <v>1</v>
      </c>
      <c r="F1418" s="8" t="str">
        <f>_xlfn.XLOOKUP(D1418,Master[Product_Code],Master[Category])</f>
        <v>Jeans</v>
      </c>
      <c r="G1418" s="8" t="str">
        <f>_xlfn.XLOOKUP(D1418,Master[Product_Code],Master[Brand])</f>
        <v>Levis</v>
      </c>
      <c r="H1418" s="8" t="str">
        <f>_xlfn.XLOOKUP(D1418,Master[Product_Code],Master[Style])</f>
        <v>Mom Fit</v>
      </c>
      <c r="I1418" s="8" t="str">
        <f>_xlfn.XLOOKUP(D1418,Master[Product_Code],Master[Fabric])</f>
        <v>Denim</v>
      </c>
      <c r="J1418" s="8">
        <f>_xlfn.XLOOKUP(D1418,Master[Product_Code],Master[Size])</f>
        <v>40</v>
      </c>
      <c r="K1418" s="8" t="str">
        <f>_xlfn.XLOOKUP(D1418,Master[Product_Code],Master[Color])</f>
        <v>Navy Blue</v>
      </c>
      <c r="L1418" s="3">
        <f>_xlfn.XLOOKUP(D1418,Master[Product_Code],Master[Selling_Price])</f>
        <v>1060</v>
      </c>
    </row>
    <row r="1419" spans="2:12">
      <c r="B1419" s="2" t="s">
        <v>2345</v>
      </c>
      <c r="C1419" s="7">
        <v>45975</v>
      </c>
      <c r="D1419" s="2" t="s">
        <v>763</v>
      </c>
      <c r="E1419" s="4">
        <v>1</v>
      </c>
      <c r="F1419" s="8" t="str">
        <f>_xlfn.XLOOKUP(D1419,Master[Product_Code],Master[Category])</f>
        <v>T-Shirt</v>
      </c>
      <c r="G1419" s="8" t="str">
        <f>_xlfn.XLOOKUP(D1419,Master[Product_Code],Master[Brand])</f>
        <v>Turkey</v>
      </c>
      <c r="H1419" s="8" t="str">
        <f>_xlfn.XLOOKUP(D1419,Master[Product_Code],Master[Style])</f>
        <v>Full Sleeve</v>
      </c>
      <c r="I1419" s="8" t="str">
        <f>_xlfn.XLOOKUP(D1419,Master[Product_Code],Master[Fabric])</f>
        <v>Poly Cotton</v>
      </c>
      <c r="J1419" s="8" t="str">
        <f>_xlfn.XLOOKUP(D1419,Master[Product_Code],Master[Size])</f>
        <v>XXL</v>
      </c>
      <c r="K1419" s="8" t="str">
        <f>_xlfn.XLOOKUP(D1419,Master[Product_Code],Master[Color])</f>
        <v>Maroon</v>
      </c>
      <c r="L1419" s="3">
        <f>_xlfn.XLOOKUP(D1419,Master[Product_Code],Master[Selling_Price])</f>
        <v>530</v>
      </c>
    </row>
    <row r="1420" spans="2:12">
      <c r="B1420" s="2" t="s">
        <v>2346</v>
      </c>
      <c r="C1420" s="7">
        <v>45976</v>
      </c>
      <c r="D1420" s="2" t="s">
        <v>1508</v>
      </c>
      <c r="E1420" s="4">
        <v>1</v>
      </c>
      <c r="F1420" s="8" t="str">
        <f>_xlfn.XLOOKUP(D1420,Master[Product_Code],Master[Category])</f>
        <v>Innerwear</v>
      </c>
      <c r="G1420" s="8" t="str">
        <f>_xlfn.XLOOKUP(D1420,Master[Product_Code],Master[Brand])</f>
        <v>Lux</v>
      </c>
      <c r="H1420" s="8" t="str">
        <f>_xlfn.XLOOKUP(D1420,Master[Product_Code],Master[Style])</f>
        <v>V-Cut</v>
      </c>
      <c r="I1420" s="8" t="str">
        <f>_xlfn.XLOOKUP(D1420,Master[Product_Code],Master[Fabric])</f>
        <v>Cotton Blend</v>
      </c>
      <c r="J1420" s="8" t="str">
        <f>_xlfn.XLOOKUP(D1420,Master[Product_Code],Master[Size])</f>
        <v>105-110</v>
      </c>
      <c r="K1420" s="8" t="str">
        <f>_xlfn.XLOOKUP(D1420,Master[Product_Code],Master[Color])</f>
        <v>Mustard</v>
      </c>
      <c r="L1420" s="3">
        <f>_xlfn.XLOOKUP(D1420,Master[Product_Code],Master[Selling_Price])</f>
        <v>130</v>
      </c>
    </row>
    <row r="1421" spans="2:12">
      <c r="B1421" s="2" t="s">
        <v>2346</v>
      </c>
      <c r="C1421" s="7">
        <v>45976</v>
      </c>
      <c r="D1421" s="2" t="s">
        <v>1416</v>
      </c>
      <c r="E1421" s="4">
        <v>1</v>
      </c>
      <c r="F1421" s="8" t="str">
        <f>_xlfn.XLOOKUP(D1421,Master[Product_Code],Master[Category])</f>
        <v>Pants</v>
      </c>
      <c r="G1421" s="8" t="str">
        <f>_xlfn.XLOOKUP(D1421,Master[Product_Code],Master[Brand])</f>
        <v>Louis Philippe</v>
      </c>
      <c r="H1421" s="8" t="str">
        <f>_xlfn.XLOOKUP(D1421,Master[Product_Code],Master[Style])</f>
        <v>Jogger</v>
      </c>
      <c r="I1421" s="8" t="str">
        <f>_xlfn.XLOOKUP(D1421,Master[Product_Code],Master[Fabric])</f>
        <v>Cotton Blend</v>
      </c>
      <c r="J1421" s="8">
        <f>_xlfn.XLOOKUP(D1421,Master[Product_Code],Master[Size])</f>
        <v>38</v>
      </c>
      <c r="K1421" s="8" t="str">
        <f>_xlfn.XLOOKUP(D1421,Master[Product_Code],Master[Color])</f>
        <v>Brown</v>
      </c>
      <c r="L1421" s="3">
        <f>_xlfn.XLOOKUP(D1421,Master[Product_Code],Master[Selling_Price])</f>
        <v>910</v>
      </c>
    </row>
    <row r="1422" spans="2:12">
      <c r="B1422" s="2" t="s">
        <v>2347</v>
      </c>
      <c r="C1422" s="7">
        <v>45976</v>
      </c>
      <c r="D1422" s="2" t="s">
        <v>1629</v>
      </c>
      <c r="E1422" s="4">
        <v>1</v>
      </c>
      <c r="F1422" s="8" t="str">
        <f>_xlfn.XLOOKUP(D1422,Master[Product_Code],Master[Category])</f>
        <v>Innerwear</v>
      </c>
      <c r="G1422" s="8" t="str">
        <f>_xlfn.XLOOKUP(D1422,Master[Product_Code],Master[Brand])</f>
        <v>Dollar</v>
      </c>
      <c r="H1422" s="8" t="str">
        <f>_xlfn.XLOOKUP(D1422,Master[Product_Code],Master[Style])</f>
        <v>Boxer</v>
      </c>
      <c r="I1422" s="8" t="str">
        <f>_xlfn.XLOOKUP(D1422,Master[Product_Code],Master[Fabric])</f>
        <v>Cotton Blend</v>
      </c>
      <c r="J1422" s="8" t="str">
        <f>_xlfn.XLOOKUP(D1422,Master[Product_Code],Master[Size])</f>
        <v>75-80</v>
      </c>
      <c r="K1422" s="8" t="str">
        <f>_xlfn.XLOOKUP(D1422,Master[Product_Code],Master[Color])</f>
        <v>Wine</v>
      </c>
      <c r="L1422" s="3">
        <f>_xlfn.XLOOKUP(D1422,Master[Product_Code],Master[Selling_Price])</f>
        <v>140</v>
      </c>
    </row>
    <row r="1423" spans="2:12">
      <c r="B1423" s="2" t="s">
        <v>2347</v>
      </c>
      <c r="C1423" s="7">
        <v>45976</v>
      </c>
      <c r="D1423" s="2" t="s">
        <v>535</v>
      </c>
      <c r="E1423" s="4">
        <v>1</v>
      </c>
      <c r="F1423" s="8" t="str">
        <f>_xlfn.XLOOKUP(D1423,Master[Product_Code],Master[Category])</f>
        <v>T-Shirt</v>
      </c>
      <c r="G1423" s="8" t="str">
        <f>_xlfn.XLOOKUP(D1423,Master[Product_Code],Master[Brand])</f>
        <v>Campus</v>
      </c>
      <c r="H1423" s="8" t="str">
        <f>_xlfn.XLOOKUP(D1423,Master[Product_Code],Master[Style])</f>
        <v>Full Sleeve</v>
      </c>
      <c r="I1423" s="8" t="str">
        <f>_xlfn.XLOOKUP(D1423,Master[Product_Code],Master[Fabric])</f>
        <v>Cotton</v>
      </c>
      <c r="J1423" s="8" t="str">
        <f>_xlfn.XLOOKUP(D1423,Master[Product_Code],Master[Size])</f>
        <v>S</v>
      </c>
      <c r="K1423" s="8" t="str">
        <f>_xlfn.XLOOKUP(D1423,Master[Product_Code],Master[Color])</f>
        <v>Maroon</v>
      </c>
      <c r="L1423" s="3">
        <f>_xlfn.XLOOKUP(D1423,Master[Product_Code],Master[Selling_Price])</f>
        <v>430</v>
      </c>
    </row>
    <row r="1424" spans="2:12">
      <c r="B1424" s="2" t="s">
        <v>2347</v>
      </c>
      <c r="C1424" s="7">
        <v>45976</v>
      </c>
      <c r="D1424" s="2" t="s">
        <v>609</v>
      </c>
      <c r="E1424" s="4">
        <v>1</v>
      </c>
      <c r="F1424" s="8" t="str">
        <f>_xlfn.XLOOKUP(D1424,Master[Product_Code],Master[Category])</f>
        <v>T-Shirt</v>
      </c>
      <c r="G1424" s="8" t="str">
        <f>_xlfn.XLOOKUP(D1424,Master[Product_Code],Master[Brand])</f>
        <v>Campus</v>
      </c>
      <c r="H1424" s="8" t="str">
        <f>_xlfn.XLOOKUP(D1424,Master[Product_Code],Master[Style])</f>
        <v>3/4 Sleeve</v>
      </c>
      <c r="I1424" s="8" t="str">
        <f>_xlfn.XLOOKUP(D1424,Master[Product_Code],Master[Fabric])</f>
        <v>Poly Cotton</v>
      </c>
      <c r="J1424" s="8" t="str">
        <f>_xlfn.XLOOKUP(D1424,Master[Product_Code],Master[Size])</f>
        <v>XL</v>
      </c>
      <c r="K1424" s="8" t="str">
        <f>_xlfn.XLOOKUP(D1424,Master[Product_Code],Master[Color])</f>
        <v>Light Grey</v>
      </c>
      <c r="L1424" s="3">
        <f>_xlfn.XLOOKUP(D1424,Master[Product_Code],Master[Selling_Price])</f>
        <v>270</v>
      </c>
    </row>
    <row r="1425" spans="2:12">
      <c r="B1425" s="2" t="s">
        <v>2347</v>
      </c>
      <c r="C1425" s="7">
        <v>45976</v>
      </c>
      <c r="D1425" s="2" t="s">
        <v>1432</v>
      </c>
      <c r="E1425" s="4">
        <v>1</v>
      </c>
      <c r="F1425" s="8" t="str">
        <f>_xlfn.XLOOKUP(D1425,Master[Product_Code],Master[Category])</f>
        <v>Pants</v>
      </c>
      <c r="G1425" s="8" t="str">
        <f>_xlfn.XLOOKUP(D1425,Master[Product_Code],Master[Brand])</f>
        <v>Peter England</v>
      </c>
      <c r="H1425" s="8" t="str">
        <f>_xlfn.XLOOKUP(D1425,Master[Product_Code],Master[Style])</f>
        <v>Kurka</v>
      </c>
      <c r="I1425" s="8" t="str">
        <f>_xlfn.XLOOKUP(D1425,Master[Product_Code],Master[Fabric])</f>
        <v>Lycra</v>
      </c>
      <c r="J1425" s="8">
        <f>_xlfn.XLOOKUP(D1425,Master[Product_Code],Master[Size])</f>
        <v>44</v>
      </c>
      <c r="K1425" s="8" t="str">
        <f>_xlfn.XLOOKUP(D1425,Master[Product_Code],Master[Color])</f>
        <v>Rust</v>
      </c>
      <c r="L1425" s="3">
        <f>_xlfn.XLOOKUP(D1425,Master[Product_Code],Master[Selling_Price])</f>
        <v>750</v>
      </c>
    </row>
    <row r="1426" spans="2:12">
      <c r="B1426" s="2" t="s">
        <v>2348</v>
      </c>
      <c r="C1426" s="7">
        <v>45976</v>
      </c>
      <c r="D1426" s="2" t="s">
        <v>564</v>
      </c>
      <c r="E1426" s="4">
        <v>1</v>
      </c>
      <c r="F1426" s="8" t="str">
        <f>_xlfn.XLOOKUP(D1426,Master[Product_Code],Master[Category])</f>
        <v>T-Shirt</v>
      </c>
      <c r="G1426" s="8" t="str">
        <f>_xlfn.XLOOKUP(D1426,Master[Product_Code],Master[Brand])</f>
        <v>Turkey</v>
      </c>
      <c r="H1426" s="8" t="str">
        <f>_xlfn.XLOOKUP(D1426,Master[Product_Code],Master[Style])</f>
        <v>Sleeveless</v>
      </c>
      <c r="I1426" s="8" t="str">
        <f>_xlfn.XLOOKUP(D1426,Master[Product_Code],Master[Fabric])</f>
        <v>Cotton Blend</v>
      </c>
      <c r="J1426" s="8" t="str">
        <f>_xlfn.XLOOKUP(D1426,Master[Product_Code],Master[Size])</f>
        <v>S</v>
      </c>
      <c r="K1426" s="8" t="str">
        <f>_xlfn.XLOOKUP(D1426,Master[Product_Code],Master[Color])</f>
        <v>Light Grey</v>
      </c>
      <c r="L1426" s="3">
        <f>_xlfn.XLOOKUP(D1426,Master[Product_Code],Master[Selling_Price])</f>
        <v>300</v>
      </c>
    </row>
    <row r="1427" spans="2:12">
      <c r="B1427" s="2" t="s">
        <v>2349</v>
      </c>
      <c r="C1427" s="7">
        <v>45976</v>
      </c>
      <c r="D1427" s="2" t="s">
        <v>1686</v>
      </c>
      <c r="E1427" s="4">
        <v>1</v>
      </c>
      <c r="F1427" s="8" t="str">
        <f>_xlfn.XLOOKUP(D1427,Master[Product_Code],Master[Category])</f>
        <v>Innerwear</v>
      </c>
      <c r="G1427" s="8" t="str">
        <f>_xlfn.XLOOKUP(D1427,Master[Product_Code],Master[Brand])</f>
        <v>Rupa</v>
      </c>
      <c r="H1427" s="8" t="str">
        <f>_xlfn.XLOOKUP(D1427,Master[Product_Code],Master[Style])</f>
        <v>V-Cut</v>
      </c>
      <c r="I1427" s="8" t="str">
        <f>_xlfn.XLOOKUP(D1427,Master[Product_Code],Master[Fabric])</f>
        <v>Cotton Blend</v>
      </c>
      <c r="J1427" s="8" t="str">
        <f>_xlfn.XLOOKUP(D1427,Master[Product_Code],Master[Size])</f>
        <v>90-100</v>
      </c>
      <c r="K1427" s="8" t="str">
        <f>_xlfn.XLOOKUP(D1427,Master[Product_Code],Master[Color])</f>
        <v>Cream</v>
      </c>
      <c r="L1427" s="3">
        <f>_xlfn.XLOOKUP(D1427,Master[Product_Code],Master[Selling_Price])</f>
        <v>190</v>
      </c>
    </row>
    <row r="1428" spans="2:12">
      <c r="B1428" s="2" t="s">
        <v>2349</v>
      </c>
      <c r="C1428" s="7">
        <v>45976</v>
      </c>
      <c r="D1428" s="2" t="s">
        <v>650</v>
      </c>
      <c r="E1428" s="4">
        <v>1</v>
      </c>
      <c r="F1428" s="8" t="str">
        <f>_xlfn.XLOOKUP(D1428,Master[Product_Code],Master[Category])</f>
        <v>T-Shirt</v>
      </c>
      <c r="G1428" s="8" t="str">
        <f>_xlfn.XLOOKUP(D1428,Master[Product_Code],Master[Brand])</f>
        <v>Urban Monkey</v>
      </c>
      <c r="H1428" s="8" t="str">
        <f>_xlfn.XLOOKUP(D1428,Master[Product_Code],Master[Style])</f>
        <v>Half Sleeve</v>
      </c>
      <c r="I1428" s="8" t="str">
        <f>_xlfn.XLOOKUP(D1428,Master[Product_Code],Master[Fabric])</f>
        <v>Cotton Blend</v>
      </c>
      <c r="J1428" s="8" t="str">
        <f>_xlfn.XLOOKUP(D1428,Master[Product_Code],Master[Size])</f>
        <v>S</v>
      </c>
      <c r="K1428" s="8" t="str">
        <f>_xlfn.XLOOKUP(D1428,Master[Product_Code],Master[Color])</f>
        <v>Light Grey</v>
      </c>
      <c r="L1428" s="3">
        <f>_xlfn.XLOOKUP(D1428,Master[Product_Code],Master[Selling_Price])</f>
        <v>540</v>
      </c>
    </row>
    <row r="1429" spans="2:12">
      <c r="B1429" s="2" t="s">
        <v>2349</v>
      </c>
      <c r="C1429" s="7">
        <v>45976</v>
      </c>
      <c r="D1429" s="2" t="s">
        <v>1028</v>
      </c>
      <c r="E1429" s="4">
        <v>1</v>
      </c>
      <c r="F1429" s="8" t="str">
        <f>_xlfn.XLOOKUP(D1429,Master[Product_Code],Master[Category])</f>
        <v>Jeans</v>
      </c>
      <c r="G1429" s="8" t="str">
        <f>_xlfn.XLOOKUP(D1429,Master[Product_Code],Master[Brand])</f>
        <v>Levis</v>
      </c>
      <c r="H1429" s="8" t="str">
        <f>_xlfn.XLOOKUP(D1429,Master[Product_Code],Master[Style])</f>
        <v>Baggy</v>
      </c>
      <c r="I1429" s="8" t="str">
        <f>_xlfn.XLOOKUP(D1429,Master[Product_Code],Master[Fabric])</f>
        <v>Denim</v>
      </c>
      <c r="J1429" s="8">
        <f>_xlfn.XLOOKUP(D1429,Master[Product_Code],Master[Size])</f>
        <v>32</v>
      </c>
      <c r="K1429" s="8" t="str">
        <f>_xlfn.XLOOKUP(D1429,Master[Product_Code],Master[Color])</f>
        <v>Brown</v>
      </c>
      <c r="L1429" s="3">
        <f>_xlfn.XLOOKUP(D1429,Master[Product_Code],Master[Selling_Price])</f>
        <v>970</v>
      </c>
    </row>
    <row r="1430" spans="2:12">
      <c r="B1430" s="2" t="s">
        <v>2350</v>
      </c>
      <c r="C1430" s="7">
        <v>45976</v>
      </c>
      <c r="D1430" s="2" t="s">
        <v>1475</v>
      </c>
      <c r="E1430" s="4">
        <v>1</v>
      </c>
      <c r="F1430" s="8" t="str">
        <f>_xlfn.XLOOKUP(D1430,Master[Product_Code],Master[Category])</f>
        <v>Innerwear</v>
      </c>
      <c r="G1430" s="8" t="str">
        <f>_xlfn.XLOOKUP(D1430,Master[Product_Code],Master[Brand])</f>
        <v>Jockey</v>
      </c>
      <c r="H1430" s="8" t="str">
        <f>_xlfn.XLOOKUP(D1430,Master[Product_Code],Master[Style])</f>
        <v>Boxer</v>
      </c>
      <c r="I1430" s="8" t="str">
        <f>_xlfn.XLOOKUP(D1430,Master[Product_Code],Master[Fabric])</f>
        <v>Cotton</v>
      </c>
      <c r="J1430" s="8" t="str">
        <f>_xlfn.XLOOKUP(D1430,Master[Product_Code],Master[Size])</f>
        <v>90-100</v>
      </c>
      <c r="K1430" s="8" t="str">
        <f>_xlfn.XLOOKUP(D1430,Master[Product_Code],Master[Color])</f>
        <v>Grey</v>
      </c>
      <c r="L1430" s="3">
        <f>_xlfn.XLOOKUP(D1430,Master[Product_Code],Master[Selling_Price])</f>
        <v>190</v>
      </c>
    </row>
    <row r="1431" spans="2:12">
      <c r="B1431" s="2" t="s">
        <v>2351</v>
      </c>
      <c r="C1431" s="7">
        <v>45976</v>
      </c>
      <c r="D1431" s="2" t="s">
        <v>716</v>
      </c>
      <c r="E1431" s="4">
        <v>1</v>
      </c>
      <c r="F1431" s="8" t="str">
        <f>_xlfn.XLOOKUP(D1431,Master[Product_Code],Master[Category])</f>
        <v>T-Shirt</v>
      </c>
      <c r="G1431" s="8" t="str">
        <f>_xlfn.XLOOKUP(D1431,Master[Product_Code],Master[Brand])</f>
        <v>Campus</v>
      </c>
      <c r="H1431" s="8" t="str">
        <f>_xlfn.XLOOKUP(D1431,Master[Product_Code],Master[Style])</f>
        <v>Hoodie</v>
      </c>
      <c r="I1431" s="8" t="str">
        <f>_xlfn.XLOOKUP(D1431,Master[Product_Code],Master[Fabric])</f>
        <v>Cotton Blend</v>
      </c>
      <c r="J1431" s="8" t="str">
        <f>_xlfn.XLOOKUP(D1431,Master[Product_Code],Master[Size])</f>
        <v>M</v>
      </c>
      <c r="K1431" s="8" t="str">
        <f>_xlfn.XLOOKUP(D1431,Master[Product_Code],Master[Color])</f>
        <v>Wine</v>
      </c>
      <c r="L1431" s="3">
        <f>_xlfn.XLOOKUP(D1431,Master[Product_Code],Master[Selling_Price])</f>
        <v>740</v>
      </c>
    </row>
    <row r="1432" spans="2:12">
      <c r="B1432" s="2" t="s">
        <v>2351</v>
      </c>
      <c r="C1432" s="7">
        <v>45976</v>
      </c>
      <c r="D1432" s="2" t="s">
        <v>432</v>
      </c>
      <c r="E1432" s="4">
        <v>1</v>
      </c>
      <c r="F1432" s="8" t="str">
        <f>_xlfn.XLOOKUP(D1432,Master[Product_Code],Master[Category])</f>
        <v>T-Shirt</v>
      </c>
      <c r="G1432" s="8" t="str">
        <f>_xlfn.XLOOKUP(D1432,Master[Product_Code],Master[Brand])</f>
        <v>Zara</v>
      </c>
      <c r="H1432" s="8" t="str">
        <f>_xlfn.XLOOKUP(D1432,Master[Product_Code],Master[Style])</f>
        <v>Hoodie</v>
      </c>
      <c r="I1432" s="8" t="str">
        <f>_xlfn.XLOOKUP(D1432,Master[Product_Code],Master[Fabric])</f>
        <v>Poly Cotton</v>
      </c>
      <c r="J1432" s="8" t="str">
        <f>_xlfn.XLOOKUP(D1432,Master[Product_Code],Master[Size])</f>
        <v>L</v>
      </c>
      <c r="K1432" s="8" t="str">
        <f>_xlfn.XLOOKUP(D1432,Master[Product_Code],Master[Color])</f>
        <v>Dark Green</v>
      </c>
      <c r="L1432" s="3">
        <f>_xlfn.XLOOKUP(D1432,Master[Product_Code],Master[Selling_Price])</f>
        <v>220</v>
      </c>
    </row>
    <row r="1433" spans="2:12">
      <c r="B1433" s="2" t="s">
        <v>2351</v>
      </c>
      <c r="C1433" s="7">
        <v>45976</v>
      </c>
      <c r="D1433" s="2" t="s">
        <v>480</v>
      </c>
      <c r="E1433" s="4">
        <v>1</v>
      </c>
      <c r="F1433" s="8" t="str">
        <f>_xlfn.XLOOKUP(D1433,Master[Product_Code],Master[Category])</f>
        <v>T-Shirt</v>
      </c>
      <c r="G1433" s="8" t="str">
        <f>_xlfn.XLOOKUP(D1433,Master[Product_Code],Master[Brand])</f>
        <v>Turkey</v>
      </c>
      <c r="H1433" s="8" t="str">
        <f>_xlfn.XLOOKUP(D1433,Master[Product_Code],Master[Style])</f>
        <v>3/4 Sleeve</v>
      </c>
      <c r="I1433" s="8" t="str">
        <f>_xlfn.XLOOKUP(D1433,Master[Product_Code],Master[Fabric])</f>
        <v>Cotton Blend</v>
      </c>
      <c r="J1433" s="8" t="str">
        <f>_xlfn.XLOOKUP(D1433,Master[Product_Code],Master[Size])</f>
        <v>M</v>
      </c>
      <c r="K1433" s="8" t="str">
        <f>_xlfn.XLOOKUP(D1433,Master[Product_Code],Master[Color])</f>
        <v>Cream</v>
      </c>
      <c r="L1433" s="3">
        <f>_xlfn.XLOOKUP(D1433,Master[Product_Code],Master[Selling_Price])</f>
        <v>590</v>
      </c>
    </row>
    <row r="1434" spans="2:12">
      <c r="B1434" s="2" t="s">
        <v>2352</v>
      </c>
      <c r="C1434" s="7">
        <v>45976</v>
      </c>
      <c r="D1434" s="2" t="s">
        <v>355</v>
      </c>
      <c r="E1434" s="4">
        <v>1</v>
      </c>
      <c r="F1434" s="8" t="str">
        <f>_xlfn.XLOOKUP(D1434,Master[Product_Code],Master[Category])</f>
        <v>Shirt</v>
      </c>
      <c r="G1434" s="8" t="str">
        <f>_xlfn.XLOOKUP(D1434,Master[Product_Code],Master[Brand])</f>
        <v>G Studio</v>
      </c>
      <c r="H1434" s="8" t="str">
        <f>_xlfn.XLOOKUP(D1434,Master[Product_Code],Master[Style])</f>
        <v>Casual</v>
      </c>
      <c r="I1434" s="8" t="str">
        <f>_xlfn.XLOOKUP(D1434,Master[Product_Code],Master[Fabric])</f>
        <v>Polyester</v>
      </c>
      <c r="J1434" s="8" t="str">
        <f>_xlfn.XLOOKUP(D1434,Master[Product_Code],Master[Size])</f>
        <v>S</v>
      </c>
      <c r="K1434" s="8" t="str">
        <f>_xlfn.XLOOKUP(D1434,Master[Product_Code],Master[Color])</f>
        <v>Maroon</v>
      </c>
      <c r="L1434" s="3">
        <f>_xlfn.XLOOKUP(D1434,Master[Product_Code],Master[Selling_Price])</f>
        <v>880</v>
      </c>
    </row>
    <row r="1435" spans="2:12">
      <c r="B1435" s="2" t="s">
        <v>2353</v>
      </c>
      <c r="C1435" s="7">
        <v>45976</v>
      </c>
      <c r="D1435" s="2" t="s">
        <v>626</v>
      </c>
      <c r="E1435" s="4">
        <v>1</v>
      </c>
      <c r="F1435" s="8" t="str">
        <f>_xlfn.XLOOKUP(D1435,Master[Product_Code],Master[Category])</f>
        <v>T-Shirt</v>
      </c>
      <c r="G1435" s="8" t="str">
        <f>_xlfn.XLOOKUP(D1435,Master[Product_Code],Master[Brand])</f>
        <v>Urban Monkey</v>
      </c>
      <c r="H1435" s="8" t="str">
        <f>_xlfn.XLOOKUP(D1435,Master[Product_Code],Master[Style])</f>
        <v>Sleeveless</v>
      </c>
      <c r="I1435" s="8" t="str">
        <f>_xlfn.XLOOKUP(D1435,Master[Product_Code],Master[Fabric])</f>
        <v>Poly Cotton</v>
      </c>
      <c r="J1435" s="8" t="str">
        <f>_xlfn.XLOOKUP(D1435,Master[Product_Code],Master[Size])</f>
        <v>XL</v>
      </c>
      <c r="K1435" s="8" t="str">
        <f>_xlfn.XLOOKUP(D1435,Master[Product_Code],Master[Color])</f>
        <v>Wine</v>
      </c>
      <c r="L1435" s="3">
        <f>_xlfn.XLOOKUP(D1435,Master[Product_Code],Master[Selling_Price])</f>
        <v>360</v>
      </c>
    </row>
    <row r="1436" spans="2:12">
      <c r="B1436" s="2" t="s">
        <v>2353</v>
      </c>
      <c r="C1436" s="7">
        <v>45976</v>
      </c>
      <c r="D1436" s="2" t="s">
        <v>621</v>
      </c>
      <c r="E1436" s="4">
        <v>1</v>
      </c>
      <c r="F1436" s="8" t="str">
        <f>_xlfn.XLOOKUP(D1436,Master[Product_Code],Master[Category])</f>
        <v>T-Shirt</v>
      </c>
      <c r="G1436" s="8" t="str">
        <f>_xlfn.XLOOKUP(D1436,Master[Product_Code],Master[Brand])</f>
        <v>Thailand</v>
      </c>
      <c r="H1436" s="8" t="str">
        <f>_xlfn.XLOOKUP(D1436,Master[Product_Code],Master[Style])</f>
        <v>Sleeveless</v>
      </c>
      <c r="I1436" s="8" t="str">
        <f>_xlfn.XLOOKUP(D1436,Master[Product_Code],Master[Fabric])</f>
        <v>Cotton</v>
      </c>
      <c r="J1436" s="8" t="str">
        <f>_xlfn.XLOOKUP(D1436,Master[Product_Code],Master[Size])</f>
        <v>XXL</v>
      </c>
      <c r="K1436" s="8" t="str">
        <f>_xlfn.XLOOKUP(D1436,Master[Product_Code],Master[Color])</f>
        <v>Royal Blue</v>
      </c>
      <c r="L1436" s="3">
        <f>_xlfn.XLOOKUP(D1436,Master[Product_Code],Master[Selling_Price])</f>
        <v>330</v>
      </c>
    </row>
    <row r="1437" spans="2:12">
      <c r="B1437" s="2" t="s">
        <v>2353</v>
      </c>
      <c r="C1437" s="7">
        <v>45976</v>
      </c>
      <c r="D1437" s="2" t="s">
        <v>736</v>
      </c>
      <c r="E1437" s="4">
        <v>1</v>
      </c>
      <c r="F1437" s="8" t="str">
        <f>_xlfn.XLOOKUP(D1437,Master[Product_Code],Master[Category])</f>
        <v>T-Shirt</v>
      </c>
      <c r="G1437" s="8" t="str">
        <f>_xlfn.XLOOKUP(D1437,Master[Product_Code],Master[Brand])</f>
        <v>Campus</v>
      </c>
      <c r="H1437" s="8" t="str">
        <f>_xlfn.XLOOKUP(D1437,Master[Product_Code],Master[Style])</f>
        <v>3/4 Sleeve</v>
      </c>
      <c r="I1437" s="8" t="str">
        <f>_xlfn.XLOOKUP(D1437,Master[Product_Code],Master[Fabric])</f>
        <v>Cotton</v>
      </c>
      <c r="J1437" s="8" t="str">
        <f>_xlfn.XLOOKUP(D1437,Master[Product_Code],Master[Size])</f>
        <v>S</v>
      </c>
      <c r="K1437" s="8" t="str">
        <f>_xlfn.XLOOKUP(D1437,Master[Product_Code],Master[Color])</f>
        <v>Navy Blue</v>
      </c>
      <c r="L1437" s="3">
        <f>_xlfn.XLOOKUP(D1437,Master[Product_Code],Master[Selling_Price])</f>
        <v>540</v>
      </c>
    </row>
    <row r="1438" spans="2:12">
      <c r="B1438" s="2" t="s">
        <v>2354</v>
      </c>
      <c r="C1438" s="7">
        <v>45976</v>
      </c>
      <c r="D1438" s="2" t="s">
        <v>1067</v>
      </c>
      <c r="E1438" s="4">
        <v>1</v>
      </c>
      <c r="F1438" s="8" t="str">
        <f>_xlfn.XLOOKUP(D1438,Master[Product_Code],Master[Category])</f>
        <v>Jeans</v>
      </c>
      <c r="G1438" s="8" t="str">
        <f>_xlfn.XLOOKUP(D1438,Master[Product_Code],Master[Brand])</f>
        <v>Denim Pro</v>
      </c>
      <c r="H1438" s="8" t="str">
        <f>_xlfn.XLOOKUP(D1438,Master[Product_Code],Master[Style])</f>
        <v>Jogger</v>
      </c>
      <c r="I1438" s="8" t="str">
        <f>_xlfn.XLOOKUP(D1438,Master[Product_Code],Master[Fabric])</f>
        <v>Denim</v>
      </c>
      <c r="J1438" s="8">
        <f>_xlfn.XLOOKUP(D1438,Master[Product_Code],Master[Size])</f>
        <v>28</v>
      </c>
      <c r="K1438" s="8" t="str">
        <f>_xlfn.XLOOKUP(D1438,Master[Product_Code],Master[Color])</f>
        <v>Rust</v>
      </c>
      <c r="L1438" s="3">
        <f>_xlfn.XLOOKUP(D1438,Master[Product_Code],Master[Selling_Price])</f>
        <v>820</v>
      </c>
    </row>
    <row r="1439" spans="2:12">
      <c r="B1439" s="2" t="s">
        <v>2354</v>
      </c>
      <c r="C1439" s="7">
        <v>45976</v>
      </c>
      <c r="D1439" s="2" t="s">
        <v>1081</v>
      </c>
      <c r="E1439" s="4">
        <v>1</v>
      </c>
      <c r="F1439" s="8" t="str">
        <f>_xlfn.XLOOKUP(D1439,Master[Product_Code],Master[Category])</f>
        <v>Jeans</v>
      </c>
      <c r="G1439" s="8" t="str">
        <f>_xlfn.XLOOKUP(D1439,Master[Product_Code],Master[Brand])</f>
        <v>Pepe</v>
      </c>
      <c r="H1439" s="8" t="str">
        <f>_xlfn.XLOOKUP(D1439,Master[Product_Code],Master[Style])</f>
        <v>Baggy</v>
      </c>
      <c r="I1439" s="8" t="str">
        <f>_xlfn.XLOOKUP(D1439,Master[Product_Code],Master[Fabric])</f>
        <v>Denim</v>
      </c>
      <c r="J1439" s="8">
        <f>_xlfn.XLOOKUP(D1439,Master[Product_Code],Master[Size])</f>
        <v>42</v>
      </c>
      <c r="K1439" s="8" t="str">
        <f>_xlfn.XLOOKUP(D1439,Master[Product_Code],Master[Color])</f>
        <v>Royal Blue</v>
      </c>
      <c r="L1439" s="3">
        <f>_xlfn.XLOOKUP(D1439,Master[Product_Code],Master[Selling_Price])</f>
        <v>1000</v>
      </c>
    </row>
    <row r="1440" spans="2:12">
      <c r="B1440" s="2" t="s">
        <v>2354</v>
      </c>
      <c r="C1440" s="7">
        <v>45976</v>
      </c>
      <c r="D1440" s="2" t="s">
        <v>247</v>
      </c>
      <c r="E1440" s="4">
        <v>1</v>
      </c>
      <c r="F1440" s="8" t="str">
        <f>_xlfn.XLOOKUP(D1440,Master[Product_Code],Master[Category])</f>
        <v>Shirt</v>
      </c>
      <c r="G1440" s="8" t="str">
        <f>_xlfn.XLOOKUP(D1440,Master[Product_Code],Master[Brand])</f>
        <v>Zara</v>
      </c>
      <c r="H1440" s="8" t="str">
        <f>_xlfn.XLOOKUP(D1440,Master[Product_Code],Master[Style])</f>
        <v>Formal</v>
      </c>
      <c r="I1440" s="8" t="str">
        <f>_xlfn.XLOOKUP(D1440,Master[Product_Code],Master[Fabric])</f>
        <v>Lycra</v>
      </c>
      <c r="J1440" s="8" t="str">
        <f>_xlfn.XLOOKUP(D1440,Master[Product_Code],Master[Size])</f>
        <v>XXL</v>
      </c>
      <c r="K1440" s="8" t="str">
        <f>_xlfn.XLOOKUP(D1440,Master[Product_Code],Master[Color])</f>
        <v>Rust</v>
      </c>
      <c r="L1440" s="3">
        <f>_xlfn.XLOOKUP(D1440,Master[Product_Code],Master[Selling_Price])</f>
        <v>750</v>
      </c>
    </row>
    <row r="1441" spans="2:12">
      <c r="B1441" s="2" t="s">
        <v>2354</v>
      </c>
      <c r="C1441" s="7">
        <v>45976</v>
      </c>
      <c r="D1441" s="2" t="s">
        <v>1435</v>
      </c>
      <c r="E1441" s="4">
        <v>1</v>
      </c>
      <c r="F1441" s="8" t="str">
        <f>_xlfn.XLOOKUP(D1441,Master[Product_Code],Master[Category])</f>
        <v>Pants</v>
      </c>
      <c r="G1441" s="8" t="str">
        <f>_xlfn.XLOOKUP(D1441,Master[Product_Code],Master[Brand])</f>
        <v>Park Avenue</v>
      </c>
      <c r="H1441" s="8" t="str">
        <f>_xlfn.XLOOKUP(D1441,Master[Product_Code],Master[Style])</f>
        <v>Jogger</v>
      </c>
      <c r="I1441" s="8" t="str">
        <f>_xlfn.XLOOKUP(D1441,Master[Product_Code],Master[Fabric])</f>
        <v>Poly Viscose</v>
      </c>
      <c r="J1441" s="8">
        <f>_xlfn.XLOOKUP(D1441,Master[Product_Code],Master[Size])</f>
        <v>34</v>
      </c>
      <c r="K1441" s="8" t="str">
        <f>_xlfn.XLOOKUP(D1441,Master[Product_Code],Master[Color])</f>
        <v>Navy Blue</v>
      </c>
      <c r="L1441" s="3">
        <f>_xlfn.XLOOKUP(D1441,Master[Product_Code],Master[Selling_Price])</f>
        <v>740</v>
      </c>
    </row>
    <row r="1442" spans="2:12">
      <c r="B1442" s="2" t="s">
        <v>2355</v>
      </c>
      <c r="C1442" s="7">
        <v>45976</v>
      </c>
      <c r="D1442" s="2" t="s">
        <v>331</v>
      </c>
      <c r="E1442" s="4">
        <v>1</v>
      </c>
      <c r="F1442" s="8" t="str">
        <f>_xlfn.XLOOKUP(D1442,Master[Product_Code],Master[Category])</f>
        <v>Shirt</v>
      </c>
      <c r="G1442" s="8" t="str">
        <f>_xlfn.XLOOKUP(D1442,Master[Product_Code],Master[Brand])</f>
        <v>Thailand</v>
      </c>
      <c r="H1442" s="8" t="str">
        <f>_xlfn.XLOOKUP(D1442,Master[Product_Code],Master[Style])</f>
        <v>Partywear</v>
      </c>
      <c r="I1442" s="8" t="str">
        <f>_xlfn.XLOOKUP(D1442,Master[Product_Code],Master[Fabric])</f>
        <v>Lycra</v>
      </c>
      <c r="J1442" s="8" t="str">
        <f>_xlfn.XLOOKUP(D1442,Master[Product_Code],Master[Size])</f>
        <v>XXL</v>
      </c>
      <c r="K1442" s="8" t="str">
        <f>_xlfn.XLOOKUP(D1442,Master[Product_Code],Master[Color])</f>
        <v>Bottle Green</v>
      </c>
      <c r="L1442" s="3">
        <f>_xlfn.XLOOKUP(D1442,Master[Product_Code],Master[Selling_Price])</f>
        <v>860</v>
      </c>
    </row>
    <row r="1443" spans="2:12">
      <c r="B1443" s="2" t="s">
        <v>2355</v>
      </c>
      <c r="C1443" s="7">
        <v>45976</v>
      </c>
      <c r="D1443" s="2" t="s">
        <v>1550</v>
      </c>
      <c r="E1443" s="4">
        <v>1</v>
      </c>
      <c r="F1443" s="8" t="str">
        <f>_xlfn.XLOOKUP(D1443,Master[Product_Code],Master[Category])</f>
        <v>Innerwear</v>
      </c>
      <c r="G1443" s="8" t="str">
        <f>_xlfn.XLOOKUP(D1443,Master[Product_Code],Master[Brand])</f>
        <v>Jockey</v>
      </c>
      <c r="H1443" s="8" t="str">
        <f>_xlfn.XLOOKUP(D1443,Master[Product_Code],Master[Style])</f>
        <v>V-Cut</v>
      </c>
      <c r="I1443" s="8" t="str">
        <f>_xlfn.XLOOKUP(D1443,Master[Product_Code],Master[Fabric])</f>
        <v>Cotton Blend</v>
      </c>
      <c r="J1443" s="8" t="str">
        <f>_xlfn.XLOOKUP(D1443,Master[Product_Code],Master[Size])</f>
        <v>75-80</v>
      </c>
      <c r="K1443" s="8" t="str">
        <f>_xlfn.XLOOKUP(D1443,Master[Product_Code],Master[Color])</f>
        <v>Peach</v>
      </c>
      <c r="L1443" s="3">
        <f>_xlfn.XLOOKUP(D1443,Master[Product_Code],Master[Selling_Price])</f>
        <v>200</v>
      </c>
    </row>
    <row r="1444" spans="2:12">
      <c r="B1444" s="2" t="s">
        <v>2355</v>
      </c>
      <c r="C1444" s="7">
        <v>45976</v>
      </c>
      <c r="D1444" s="2" t="s">
        <v>1022</v>
      </c>
      <c r="E1444" s="4">
        <v>1</v>
      </c>
      <c r="F1444" s="8" t="str">
        <f>_xlfn.XLOOKUP(D1444,Master[Product_Code],Master[Category])</f>
        <v>Jeans</v>
      </c>
      <c r="G1444" s="8" t="str">
        <f>_xlfn.XLOOKUP(D1444,Master[Product_Code],Master[Brand])</f>
        <v>Locomotive</v>
      </c>
      <c r="H1444" s="8" t="str">
        <f>_xlfn.XLOOKUP(D1444,Master[Product_Code],Master[Style])</f>
        <v>Jogger</v>
      </c>
      <c r="I1444" s="8" t="str">
        <f>_xlfn.XLOOKUP(D1444,Master[Product_Code],Master[Fabric])</f>
        <v>Denim</v>
      </c>
      <c r="J1444" s="8">
        <f>_xlfn.XLOOKUP(D1444,Master[Product_Code],Master[Size])</f>
        <v>40</v>
      </c>
      <c r="K1444" s="8" t="str">
        <f>_xlfn.XLOOKUP(D1444,Master[Product_Code],Master[Color])</f>
        <v>Teal</v>
      </c>
      <c r="L1444" s="3">
        <f>_xlfn.XLOOKUP(D1444,Master[Product_Code],Master[Selling_Price])</f>
        <v>880</v>
      </c>
    </row>
    <row r="1445" spans="2:12">
      <c r="B1445" s="2" t="s">
        <v>2356</v>
      </c>
      <c r="C1445" s="7">
        <v>45976</v>
      </c>
      <c r="D1445" s="2" t="s">
        <v>1064</v>
      </c>
      <c r="E1445" s="4">
        <v>1</v>
      </c>
      <c r="F1445" s="8" t="str">
        <f>_xlfn.XLOOKUP(D1445,Master[Product_Code],Master[Category])</f>
        <v>Jeans</v>
      </c>
      <c r="G1445" s="8" t="str">
        <f>_xlfn.XLOOKUP(D1445,Master[Product_Code],Master[Brand])</f>
        <v>Levis</v>
      </c>
      <c r="H1445" s="8" t="str">
        <f>_xlfn.XLOOKUP(D1445,Master[Product_Code],Master[Style])</f>
        <v>Mom Fit</v>
      </c>
      <c r="I1445" s="8" t="str">
        <f>_xlfn.XLOOKUP(D1445,Master[Product_Code],Master[Fabric])</f>
        <v>Denim</v>
      </c>
      <c r="J1445" s="8">
        <f>_xlfn.XLOOKUP(D1445,Master[Product_Code],Master[Size])</f>
        <v>30</v>
      </c>
      <c r="K1445" s="8" t="str">
        <f>_xlfn.XLOOKUP(D1445,Master[Product_Code],Master[Color])</f>
        <v>Maroon</v>
      </c>
      <c r="L1445" s="3">
        <f>_xlfn.XLOOKUP(D1445,Master[Product_Code],Master[Selling_Price])</f>
        <v>990</v>
      </c>
    </row>
    <row r="1446" spans="2:12">
      <c r="B1446" s="2" t="s">
        <v>2357</v>
      </c>
      <c r="C1446" s="7">
        <v>45976</v>
      </c>
      <c r="D1446" s="2" t="s">
        <v>181</v>
      </c>
      <c r="E1446" s="4">
        <v>1</v>
      </c>
      <c r="F1446" s="8" t="str">
        <f>_xlfn.XLOOKUP(D1446,Master[Product_Code],Master[Category])</f>
        <v>Shirt</v>
      </c>
      <c r="G1446" s="8" t="str">
        <f>_xlfn.XLOOKUP(D1446,Master[Product_Code],Master[Brand])</f>
        <v>L7</v>
      </c>
      <c r="H1446" s="8" t="str">
        <f>_xlfn.XLOOKUP(D1446,Master[Product_Code],Master[Style])</f>
        <v>Formal</v>
      </c>
      <c r="I1446" s="8" t="str">
        <f>_xlfn.XLOOKUP(D1446,Master[Product_Code],Master[Fabric])</f>
        <v>Cotton Blend</v>
      </c>
      <c r="J1446" s="8" t="str">
        <f>_xlfn.XLOOKUP(D1446,Master[Product_Code],Master[Size])</f>
        <v>XL</v>
      </c>
      <c r="K1446" s="8" t="str">
        <f>_xlfn.XLOOKUP(D1446,Master[Product_Code],Master[Color])</f>
        <v>Peach</v>
      </c>
      <c r="L1446" s="3">
        <f>_xlfn.XLOOKUP(D1446,Master[Product_Code],Master[Selling_Price])</f>
        <v>740</v>
      </c>
    </row>
    <row r="1447" spans="2:12">
      <c r="B1447" s="2" t="s">
        <v>2357</v>
      </c>
      <c r="C1447" s="7">
        <v>45976</v>
      </c>
      <c r="D1447" s="2" t="s">
        <v>1661</v>
      </c>
      <c r="E1447" s="4">
        <v>1</v>
      </c>
      <c r="F1447" s="8" t="str">
        <f>_xlfn.XLOOKUP(D1447,Master[Product_Code],Master[Category])</f>
        <v>Innerwear</v>
      </c>
      <c r="G1447" s="8" t="str">
        <f>_xlfn.XLOOKUP(D1447,Master[Product_Code],Master[Brand])</f>
        <v>Lux</v>
      </c>
      <c r="H1447" s="8" t="str">
        <f>_xlfn.XLOOKUP(D1447,Master[Product_Code],Master[Style])</f>
        <v>Boxer</v>
      </c>
      <c r="I1447" s="8" t="str">
        <f>_xlfn.XLOOKUP(D1447,Master[Product_Code],Master[Fabric])</f>
        <v>Cotton</v>
      </c>
      <c r="J1447" s="8" t="str">
        <f>_xlfn.XLOOKUP(D1447,Master[Product_Code],Master[Size])</f>
        <v>80-85</v>
      </c>
      <c r="K1447" s="8" t="str">
        <f>_xlfn.XLOOKUP(D1447,Master[Product_Code],Master[Color])</f>
        <v>Maroon</v>
      </c>
      <c r="L1447" s="3">
        <f>_xlfn.XLOOKUP(D1447,Master[Product_Code],Master[Selling_Price])</f>
        <v>100</v>
      </c>
    </row>
    <row r="1448" spans="2:12">
      <c r="B1448" s="2" t="s">
        <v>2357</v>
      </c>
      <c r="C1448" s="7">
        <v>45976</v>
      </c>
      <c r="D1448" s="2" t="s">
        <v>1320</v>
      </c>
      <c r="E1448" s="4">
        <v>1</v>
      </c>
      <c r="F1448" s="8" t="str">
        <f>_xlfn.XLOOKUP(D1448,Master[Product_Code],Master[Category])</f>
        <v>Pants</v>
      </c>
      <c r="G1448" s="8" t="str">
        <f>_xlfn.XLOOKUP(D1448,Master[Product_Code],Master[Brand])</f>
        <v>Van Heusen</v>
      </c>
      <c r="H1448" s="8" t="str">
        <f>_xlfn.XLOOKUP(D1448,Master[Product_Code],Master[Style])</f>
        <v>Kurka</v>
      </c>
      <c r="I1448" s="8" t="str">
        <f>_xlfn.XLOOKUP(D1448,Master[Product_Code],Master[Fabric])</f>
        <v>Lycra</v>
      </c>
      <c r="J1448" s="8">
        <f>_xlfn.XLOOKUP(D1448,Master[Product_Code],Master[Size])</f>
        <v>44</v>
      </c>
      <c r="K1448" s="8" t="str">
        <f>_xlfn.XLOOKUP(D1448,Master[Product_Code],Master[Color])</f>
        <v>White</v>
      </c>
      <c r="L1448" s="3">
        <f>_xlfn.XLOOKUP(D1448,Master[Product_Code],Master[Selling_Price])</f>
        <v>880</v>
      </c>
    </row>
    <row r="1449" spans="2:12">
      <c r="B1449" s="2" t="s">
        <v>2357</v>
      </c>
      <c r="C1449" s="7">
        <v>45976</v>
      </c>
      <c r="D1449" s="2" t="s">
        <v>1133</v>
      </c>
      <c r="E1449" s="4">
        <v>1</v>
      </c>
      <c r="F1449" s="8" t="str">
        <f>_xlfn.XLOOKUP(D1449,Master[Product_Code],Master[Category])</f>
        <v>Jeans</v>
      </c>
      <c r="G1449" s="8" t="str">
        <f>_xlfn.XLOOKUP(D1449,Master[Product_Code],Master[Brand])</f>
        <v>Wrangler</v>
      </c>
      <c r="H1449" s="8" t="str">
        <f>_xlfn.XLOOKUP(D1449,Master[Product_Code],Master[Style])</f>
        <v>Jogger</v>
      </c>
      <c r="I1449" s="8" t="str">
        <f>_xlfn.XLOOKUP(D1449,Master[Product_Code],Master[Fabric])</f>
        <v>Denim</v>
      </c>
      <c r="J1449" s="8">
        <f>_xlfn.XLOOKUP(D1449,Master[Product_Code],Master[Size])</f>
        <v>36</v>
      </c>
      <c r="K1449" s="8" t="str">
        <f>_xlfn.XLOOKUP(D1449,Master[Product_Code],Master[Color])</f>
        <v>Olive</v>
      </c>
      <c r="L1449" s="3">
        <f>_xlfn.XLOOKUP(D1449,Master[Product_Code],Master[Selling_Price])</f>
        <v>930</v>
      </c>
    </row>
    <row r="1450" spans="2:12">
      <c r="B1450" s="2" t="s">
        <v>2358</v>
      </c>
      <c r="C1450" s="7">
        <v>45976</v>
      </c>
      <c r="D1450" s="2" t="s">
        <v>1148</v>
      </c>
      <c r="E1450" s="4">
        <v>1</v>
      </c>
      <c r="F1450" s="8" t="str">
        <f>_xlfn.XLOOKUP(D1450,Master[Product_Code],Master[Category])</f>
        <v>Pants</v>
      </c>
      <c r="G1450" s="8" t="str">
        <f>_xlfn.XLOOKUP(D1450,Master[Product_Code],Master[Brand])</f>
        <v>Peter England</v>
      </c>
      <c r="H1450" s="8" t="str">
        <f>_xlfn.XLOOKUP(D1450,Master[Product_Code],Master[Style])</f>
        <v>Polofit</v>
      </c>
      <c r="I1450" s="8" t="str">
        <f>_xlfn.XLOOKUP(D1450,Master[Product_Code],Master[Fabric])</f>
        <v>Lycra</v>
      </c>
      <c r="J1450" s="8">
        <f>_xlfn.XLOOKUP(D1450,Master[Product_Code],Master[Size])</f>
        <v>44</v>
      </c>
      <c r="K1450" s="8" t="str">
        <f>_xlfn.XLOOKUP(D1450,Master[Product_Code],Master[Color])</f>
        <v>Cream</v>
      </c>
      <c r="L1450" s="3">
        <f>_xlfn.XLOOKUP(D1450,Master[Product_Code],Master[Selling_Price])</f>
        <v>800</v>
      </c>
    </row>
    <row r="1451" spans="2:12">
      <c r="B1451" s="2" t="s">
        <v>2358</v>
      </c>
      <c r="C1451" s="7">
        <v>45976</v>
      </c>
      <c r="D1451" s="2" t="s">
        <v>1683</v>
      </c>
      <c r="E1451" s="4">
        <v>1</v>
      </c>
      <c r="F1451" s="8" t="str">
        <f>_xlfn.XLOOKUP(D1451,Master[Product_Code],Master[Category])</f>
        <v>Innerwear</v>
      </c>
      <c r="G1451" s="8" t="str">
        <f>_xlfn.XLOOKUP(D1451,Master[Product_Code],Master[Brand])</f>
        <v>V Star</v>
      </c>
      <c r="H1451" s="8" t="str">
        <f>_xlfn.XLOOKUP(D1451,Master[Product_Code],Master[Style])</f>
        <v>Boxer</v>
      </c>
      <c r="I1451" s="8" t="str">
        <f>_xlfn.XLOOKUP(D1451,Master[Product_Code],Master[Fabric])</f>
        <v>Cotton</v>
      </c>
      <c r="J1451" s="8" t="str">
        <f>_xlfn.XLOOKUP(D1451,Master[Product_Code],Master[Size])</f>
        <v>80-85</v>
      </c>
      <c r="K1451" s="8" t="str">
        <f>_xlfn.XLOOKUP(D1451,Master[Product_Code],Master[Color])</f>
        <v>Peach</v>
      </c>
      <c r="L1451" s="3">
        <f>_xlfn.XLOOKUP(D1451,Master[Product_Code],Master[Selling_Price])</f>
        <v>100</v>
      </c>
    </row>
    <row r="1452" spans="2:12">
      <c r="B1452" s="2" t="s">
        <v>2358</v>
      </c>
      <c r="C1452" s="7">
        <v>45976</v>
      </c>
      <c r="D1452" s="2" t="s">
        <v>1744</v>
      </c>
      <c r="E1452" s="4">
        <v>1</v>
      </c>
      <c r="F1452" s="8" t="str">
        <f>_xlfn.XLOOKUP(D1452,Master[Product_Code],Master[Category])</f>
        <v>Innerwear</v>
      </c>
      <c r="G1452" s="8" t="str">
        <f>_xlfn.XLOOKUP(D1452,Master[Product_Code],Master[Brand])</f>
        <v>V Star</v>
      </c>
      <c r="H1452" s="8" t="str">
        <f>_xlfn.XLOOKUP(D1452,Master[Product_Code],Master[Style])</f>
        <v>V-Cut</v>
      </c>
      <c r="I1452" s="8" t="str">
        <f>_xlfn.XLOOKUP(D1452,Master[Product_Code],Master[Fabric])</f>
        <v>Cotton Blend</v>
      </c>
      <c r="J1452" s="8" t="str">
        <f>_xlfn.XLOOKUP(D1452,Master[Product_Code],Master[Size])</f>
        <v>75-80</v>
      </c>
      <c r="K1452" s="8" t="str">
        <f>_xlfn.XLOOKUP(D1452,Master[Product_Code],Master[Color])</f>
        <v>Maroon</v>
      </c>
      <c r="L1452" s="3">
        <f>_xlfn.XLOOKUP(D1452,Master[Product_Code],Master[Selling_Price])</f>
        <v>100</v>
      </c>
    </row>
    <row r="1453" spans="2:12">
      <c r="B1453" s="2" t="s">
        <v>2359</v>
      </c>
      <c r="C1453" s="7">
        <v>45976</v>
      </c>
      <c r="D1453" s="2" t="s">
        <v>725</v>
      </c>
      <c r="E1453" s="4">
        <v>1</v>
      </c>
      <c r="F1453" s="8" t="str">
        <f>_xlfn.XLOOKUP(D1453,Master[Product_Code],Master[Category])</f>
        <v>T-Shirt</v>
      </c>
      <c r="G1453" s="8" t="str">
        <f>_xlfn.XLOOKUP(D1453,Master[Product_Code],Master[Brand])</f>
        <v>Roadster</v>
      </c>
      <c r="H1453" s="8" t="str">
        <f>_xlfn.XLOOKUP(D1453,Master[Product_Code],Master[Style])</f>
        <v>3/4 Sleeve</v>
      </c>
      <c r="I1453" s="8" t="str">
        <f>_xlfn.XLOOKUP(D1453,Master[Product_Code],Master[Fabric])</f>
        <v>Cotton</v>
      </c>
      <c r="J1453" s="8" t="str">
        <f>_xlfn.XLOOKUP(D1453,Master[Product_Code],Master[Size])</f>
        <v>L</v>
      </c>
      <c r="K1453" s="8" t="str">
        <f>_xlfn.XLOOKUP(D1453,Master[Product_Code],Master[Color])</f>
        <v>Wine</v>
      </c>
      <c r="L1453" s="3">
        <f>_xlfn.XLOOKUP(D1453,Master[Product_Code],Master[Selling_Price])</f>
        <v>620</v>
      </c>
    </row>
    <row r="1454" spans="2:12">
      <c r="B1454" s="2" t="s">
        <v>2359</v>
      </c>
      <c r="C1454" s="7">
        <v>45976</v>
      </c>
      <c r="D1454" s="2" t="s">
        <v>1267</v>
      </c>
      <c r="E1454" s="4">
        <v>1</v>
      </c>
      <c r="F1454" s="8" t="str">
        <f>_xlfn.XLOOKUP(D1454,Master[Product_Code],Master[Category])</f>
        <v>Pants</v>
      </c>
      <c r="G1454" s="8" t="str">
        <f>_xlfn.XLOOKUP(D1454,Master[Product_Code],Master[Brand])</f>
        <v>Louis Philippe</v>
      </c>
      <c r="H1454" s="8" t="str">
        <f>_xlfn.XLOOKUP(D1454,Master[Product_Code],Master[Style])</f>
        <v>Kurka</v>
      </c>
      <c r="I1454" s="8" t="str">
        <f>_xlfn.XLOOKUP(D1454,Master[Product_Code],Master[Fabric])</f>
        <v>Lycra</v>
      </c>
      <c r="J1454" s="8">
        <f>_xlfn.XLOOKUP(D1454,Master[Product_Code],Master[Size])</f>
        <v>40</v>
      </c>
      <c r="K1454" s="8" t="str">
        <f>_xlfn.XLOOKUP(D1454,Master[Product_Code],Master[Color])</f>
        <v>Bottle Green</v>
      </c>
      <c r="L1454" s="3">
        <f>_xlfn.XLOOKUP(D1454,Master[Product_Code],Master[Selling_Price])</f>
        <v>950</v>
      </c>
    </row>
    <row r="1455" spans="2:12">
      <c r="B1455" s="2" t="s">
        <v>2359</v>
      </c>
      <c r="C1455" s="7">
        <v>45976</v>
      </c>
      <c r="D1455" s="2" t="s">
        <v>1417</v>
      </c>
      <c r="E1455" s="4">
        <v>1</v>
      </c>
      <c r="F1455" s="8" t="str">
        <f>_xlfn.XLOOKUP(D1455,Master[Product_Code],Master[Category])</f>
        <v>Pants</v>
      </c>
      <c r="G1455" s="8" t="str">
        <f>_xlfn.XLOOKUP(D1455,Master[Product_Code],Master[Brand])</f>
        <v>Louis Philippe</v>
      </c>
      <c r="H1455" s="8" t="str">
        <f>_xlfn.XLOOKUP(D1455,Master[Product_Code],Master[Style])</f>
        <v>Korean</v>
      </c>
      <c r="I1455" s="8" t="str">
        <f>_xlfn.XLOOKUP(D1455,Master[Product_Code],Master[Fabric])</f>
        <v>Lycra</v>
      </c>
      <c r="J1455" s="8">
        <f>_xlfn.XLOOKUP(D1455,Master[Product_Code],Master[Size])</f>
        <v>38</v>
      </c>
      <c r="K1455" s="8" t="str">
        <f>_xlfn.XLOOKUP(D1455,Master[Product_Code],Master[Color])</f>
        <v>Brown</v>
      </c>
      <c r="L1455" s="3">
        <f>_xlfn.XLOOKUP(D1455,Master[Product_Code],Master[Selling_Price])</f>
        <v>750</v>
      </c>
    </row>
    <row r="1456" spans="2:12">
      <c r="B1456" s="2" t="s">
        <v>2360</v>
      </c>
      <c r="C1456" s="7">
        <v>45976</v>
      </c>
      <c r="D1456" s="2" t="s">
        <v>287</v>
      </c>
      <c r="E1456" s="4">
        <v>1</v>
      </c>
      <c r="F1456" s="8" t="str">
        <f>_xlfn.XLOOKUP(D1456,Master[Product_Code],Master[Category])</f>
        <v>Shirt</v>
      </c>
      <c r="G1456" s="8" t="str">
        <f>_xlfn.XLOOKUP(D1456,Master[Product_Code],Master[Brand])</f>
        <v>H&amp;M</v>
      </c>
      <c r="H1456" s="8" t="str">
        <f>_xlfn.XLOOKUP(D1456,Master[Product_Code],Master[Style])</f>
        <v>Formal</v>
      </c>
      <c r="I1456" s="8" t="str">
        <f>_xlfn.XLOOKUP(D1456,Master[Product_Code],Master[Fabric])</f>
        <v>Cotton Blend</v>
      </c>
      <c r="J1456" s="8" t="str">
        <f>_xlfn.XLOOKUP(D1456,Master[Product_Code],Master[Size])</f>
        <v>S</v>
      </c>
      <c r="K1456" s="8" t="str">
        <f>_xlfn.XLOOKUP(D1456,Master[Product_Code],Master[Color])</f>
        <v>Olive</v>
      </c>
      <c r="L1456" s="3">
        <f>_xlfn.XLOOKUP(D1456,Master[Product_Code],Master[Selling_Price])</f>
        <v>880</v>
      </c>
    </row>
    <row r="1457" spans="2:12">
      <c r="B1457" s="2" t="s">
        <v>2360</v>
      </c>
      <c r="C1457" s="7">
        <v>45976</v>
      </c>
      <c r="D1457" s="2" t="s">
        <v>766</v>
      </c>
      <c r="E1457" s="4">
        <v>1</v>
      </c>
      <c r="F1457" s="8" t="str">
        <f>_xlfn.XLOOKUP(D1457,Master[Product_Code],Master[Category])</f>
        <v>T-Shirt</v>
      </c>
      <c r="G1457" s="8" t="str">
        <f>_xlfn.XLOOKUP(D1457,Master[Product_Code],Master[Brand])</f>
        <v>Max</v>
      </c>
      <c r="H1457" s="8" t="str">
        <f>_xlfn.XLOOKUP(D1457,Master[Product_Code],Master[Style])</f>
        <v>Sleeveless</v>
      </c>
      <c r="I1457" s="8" t="str">
        <f>_xlfn.XLOOKUP(D1457,Master[Product_Code],Master[Fabric])</f>
        <v>Cotton</v>
      </c>
      <c r="J1457" s="8" t="str">
        <f>_xlfn.XLOOKUP(D1457,Master[Product_Code],Master[Size])</f>
        <v>S</v>
      </c>
      <c r="K1457" s="8" t="str">
        <f>_xlfn.XLOOKUP(D1457,Master[Product_Code],Master[Color])</f>
        <v>Mustard</v>
      </c>
      <c r="L1457" s="3">
        <f>_xlfn.XLOOKUP(D1457,Master[Product_Code],Master[Selling_Price])</f>
        <v>490</v>
      </c>
    </row>
    <row r="1458" spans="2:12">
      <c r="B1458" s="2" t="s">
        <v>2361</v>
      </c>
      <c r="C1458" s="7">
        <v>45976</v>
      </c>
      <c r="D1458" s="2" t="s">
        <v>458</v>
      </c>
      <c r="E1458" s="4">
        <v>1</v>
      </c>
      <c r="F1458" s="8" t="str">
        <f>_xlfn.XLOOKUP(D1458,Master[Product_Code],Master[Category])</f>
        <v>T-Shirt</v>
      </c>
      <c r="G1458" s="8" t="str">
        <f>_xlfn.XLOOKUP(D1458,Master[Product_Code],Master[Brand])</f>
        <v>Max</v>
      </c>
      <c r="H1458" s="8" t="str">
        <f>_xlfn.XLOOKUP(D1458,Master[Product_Code],Master[Style])</f>
        <v>3/4 Sleeve</v>
      </c>
      <c r="I1458" s="8" t="str">
        <f>_xlfn.XLOOKUP(D1458,Master[Product_Code],Master[Fabric])</f>
        <v>Cotton Blend</v>
      </c>
      <c r="J1458" s="8" t="str">
        <f>_xlfn.XLOOKUP(D1458,Master[Product_Code],Master[Size])</f>
        <v>XXL</v>
      </c>
      <c r="K1458" s="8" t="str">
        <f>_xlfn.XLOOKUP(D1458,Master[Product_Code],Master[Color])</f>
        <v>Maroon</v>
      </c>
      <c r="L1458" s="3">
        <f>_xlfn.XLOOKUP(D1458,Master[Product_Code],Master[Selling_Price])</f>
        <v>440</v>
      </c>
    </row>
    <row r="1459" spans="2:12">
      <c r="B1459" s="2" t="s">
        <v>2361</v>
      </c>
      <c r="C1459" s="7">
        <v>45976</v>
      </c>
      <c r="D1459" s="2" t="s">
        <v>1666</v>
      </c>
      <c r="E1459" s="4">
        <v>1</v>
      </c>
      <c r="F1459" s="8" t="str">
        <f>_xlfn.XLOOKUP(D1459,Master[Product_Code],Master[Category])</f>
        <v>Innerwear</v>
      </c>
      <c r="G1459" s="8" t="str">
        <f>_xlfn.XLOOKUP(D1459,Master[Product_Code],Master[Brand])</f>
        <v>Jockey</v>
      </c>
      <c r="H1459" s="8" t="str">
        <f>_xlfn.XLOOKUP(D1459,Master[Product_Code],Master[Style])</f>
        <v>V-Cut</v>
      </c>
      <c r="I1459" s="8" t="str">
        <f>_xlfn.XLOOKUP(D1459,Master[Product_Code],Master[Fabric])</f>
        <v>Cotton Blend</v>
      </c>
      <c r="J1459" s="8" t="str">
        <f>_xlfn.XLOOKUP(D1459,Master[Product_Code],Master[Size])</f>
        <v>80-85</v>
      </c>
      <c r="K1459" s="8" t="str">
        <f>_xlfn.XLOOKUP(D1459,Master[Product_Code],Master[Color])</f>
        <v>Sky Blue</v>
      </c>
      <c r="L1459" s="3">
        <f>_xlfn.XLOOKUP(D1459,Master[Product_Code],Master[Selling_Price])</f>
        <v>140</v>
      </c>
    </row>
    <row r="1460" spans="2:12">
      <c r="B1460" s="2" t="s">
        <v>2362</v>
      </c>
      <c r="C1460" s="7">
        <v>45976</v>
      </c>
      <c r="D1460" s="2" t="s">
        <v>1578</v>
      </c>
      <c r="E1460" s="4">
        <v>1</v>
      </c>
      <c r="F1460" s="8" t="str">
        <f>_xlfn.XLOOKUP(D1460,Master[Product_Code],Master[Category])</f>
        <v>Innerwear</v>
      </c>
      <c r="G1460" s="8" t="str">
        <f>_xlfn.XLOOKUP(D1460,Master[Product_Code],Master[Brand])</f>
        <v>Lux</v>
      </c>
      <c r="H1460" s="8" t="str">
        <f>_xlfn.XLOOKUP(D1460,Master[Product_Code],Master[Style])</f>
        <v>V-Cut</v>
      </c>
      <c r="I1460" s="8" t="str">
        <f>_xlfn.XLOOKUP(D1460,Master[Product_Code],Master[Fabric])</f>
        <v>Cotton Blend</v>
      </c>
      <c r="J1460" s="8" t="str">
        <f>_xlfn.XLOOKUP(D1460,Master[Product_Code],Master[Size])</f>
        <v>105-110</v>
      </c>
      <c r="K1460" s="8" t="str">
        <f>_xlfn.XLOOKUP(D1460,Master[Product_Code],Master[Color])</f>
        <v>Black</v>
      </c>
      <c r="L1460" s="3">
        <f>_xlfn.XLOOKUP(D1460,Master[Product_Code],Master[Selling_Price])</f>
        <v>160</v>
      </c>
    </row>
    <row r="1461" spans="2:12">
      <c r="B1461" s="2" t="s">
        <v>2362</v>
      </c>
      <c r="C1461" s="7">
        <v>45976</v>
      </c>
      <c r="D1461" s="2" t="s">
        <v>522</v>
      </c>
      <c r="E1461" s="4">
        <v>1</v>
      </c>
      <c r="F1461" s="8" t="str">
        <f>_xlfn.XLOOKUP(D1461,Master[Product_Code],Master[Category])</f>
        <v>T-Shirt</v>
      </c>
      <c r="G1461" s="8" t="str">
        <f>_xlfn.XLOOKUP(D1461,Master[Product_Code],Master[Brand])</f>
        <v>Thailand</v>
      </c>
      <c r="H1461" s="8" t="str">
        <f>_xlfn.XLOOKUP(D1461,Master[Product_Code],Master[Style])</f>
        <v>Full Sleeve</v>
      </c>
      <c r="I1461" s="8" t="str">
        <f>_xlfn.XLOOKUP(D1461,Master[Product_Code],Master[Fabric])</f>
        <v>Cotton</v>
      </c>
      <c r="J1461" s="8" t="str">
        <f>_xlfn.XLOOKUP(D1461,Master[Product_Code],Master[Size])</f>
        <v>L</v>
      </c>
      <c r="K1461" s="8" t="str">
        <f>_xlfn.XLOOKUP(D1461,Master[Product_Code],Master[Color])</f>
        <v>Navy Blue</v>
      </c>
      <c r="L1461" s="3">
        <f>_xlfn.XLOOKUP(D1461,Master[Product_Code],Master[Selling_Price])</f>
        <v>520</v>
      </c>
    </row>
    <row r="1462" spans="2:12">
      <c r="B1462" s="2" t="s">
        <v>2362</v>
      </c>
      <c r="C1462" s="7">
        <v>45976</v>
      </c>
      <c r="D1462" s="2" t="s">
        <v>1053</v>
      </c>
      <c r="E1462" s="4">
        <v>1</v>
      </c>
      <c r="F1462" s="8" t="str">
        <f>_xlfn.XLOOKUP(D1462,Master[Product_Code],Master[Category])</f>
        <v>Jeans</v>
      </c>
      <c r="G1462" s="8" t="str">
        <f>_xlfn.XLOOKUP(D1462,Master[Product_Code],Master[Brand])</f>
        <v>Denim Pro</v>
      </c>
      <c r="H1462" s="8" t="str">
        <f>_xlfn.XLOOKUP(D1462,Master[Product_Code],Master[Style])</f>
        <v>Jogger</v>
      </c>
      <c r="I1462" s="8" t="str">
        <f>_xlfn.XLOOKUP(D1462,Master[Product_Code],Master[Fabric])</f>
        <v>Denim</v>
      </c>
      <c r="J1462" s="8">
        <f>_xlfn.XLOOKUP(D1462,Master[Product_Code],Master[Size])</f>
        <v>34</v>
      </c>
      <c r="K1462" s="8" t="str">
        <f>_xlfn.XLOOKUP(D1462,Master[Product_Code],Master[Color])</f>
        <v>Wine</v>
      </c>
      <c r="L1462" s="3">
        <f>_xlfn.XLOOKUP(D1462,Master[Product_Code],Master[Selling_Price])</f>
        <v>940</v>
      </c>
    </row>
    <row r="1463" spans="2:12">
      <c r="B1463" s="2" t="s">
        <v>2363</v>
      </c>
      <c r="C1463" s="7">
        <v>45976</v>
      </c>
      <c r="D1463" s="2" t="s">
        <v>30</v>
      </c>
      <c r="E1463" s="4">
        <v>1</v>
      </c>
      <c r="F1463" s="8" t="str">
        <f>_xlfn.XLOOKUP(D1463,Master[Product_Code],Master[Category])</f>
        <v>Shirt</v>
      </c>
      <c r="G1463" s="8" t="str">
        <f>_xlfn.XLOOKUP(D1463,Master[Product_Code],Master[Brand])</f>
        <v>Zara</v>
      </c>
      <c r="H1463" s="8" t="str">
        <f>_xlfn.XLOOKUP(D1463,Master[Product_Code],Master[Style])</f>
        <v>Formal</v>
      </c>
      <c r="I1463" s="8" t="str">
        <f>_xlfn.XLOOKUP(D1463,Master[Product_Code],Master[Fabric])</f>
        <v>Polyester</v>
      </c>
      <c r="J1463" s="8" t="str">
        <f>_xlfn.XLOOKUP(D1463,Master[Product_Code],Master[Size])</f>
        <v>L</v>
      </c>
      <c r="K1463" s="8" t="str">
        <f>_xlfn.XLOOKUP(D1463,Master[Product_Code],Master[Color])</f>
        <v>Beige</v>
      </c>
      <c r="L1463" s="3">
        <f>_xlfn.XLOOKUP(D1463,Master[Product_Code],Master[Selling_Price])</f>
        <v>920</v>
      </c>
    </row>
    <row r="1464" spans="2:12">
      <c r="B1464" s="2" t="s">
        <v>2363</v>
      </c>
      <c r="C1464" s="7">
        <v>45976</v>
      </c>
      <c r="D1464" s="2" t="s">
        <v>1736</v>
      </c>
      <c r="E1464" s="4">
        <v>1</v>
      </c>
      <c r="F1464" s="8" t="str">
        <f>_xlfn.XLOOKUP(D1464,Master[Product_Code],Master[Category])</f>
        <v>Innerwear</v>
      </c>
      <c r="G1464" s="8" t="str">
        <f>_xlfn.XLOOKUP(D1464,Master[Product_Code],Master[Brand])</f>
        <v>Lux</v>
      </c>
      <c r="H1464" s="8" t="str">
        <f>_xlfn.XLOOKUP(D1464,Master[Product_Code],Master[Style])</f>
        <v>Boxer</v>
      </c>
      <c r="I1464" s="8" t="str">
        <f>_xlfn.XLOOKUP(D1464,Master[Product_Code],Master[Fabric])</f>
        <v>Cotton</v>
      </c>
      <c r="J1464" s="8" t="str">
        <f>_xlfn.XLOOKUP(D1464,Master[Product_Code],Master[Size])</f>
        <v>100-105</v>
      </c>
      <c r="K1464" s="8" t="str">
        <f>_xlfn.XLOOKUP(D1464,Master[Product_Code],Master[Color])</f>
        <v>Brown</v>
      </c>
      <c r="L1464" s="3">
        <f>_xlfn.XLOOKUP(D1464,Master[Product_Code],Master[Selling_Price])</f>
        <v>170</v>
      </c>
    </row>
    <row r="1465" spans="2:12">
      <c r="B1465" s="2" t="s">
        <v>2364</v>
      </c>
      <c r="C1465" s="7">
        <v>45978</v>
      </c>
      <c r="D1465" s="2" t="s">
        <v>791</v>
      </c>
      <c r="E1465" s="4">
        <v>1</v>
      </c>
      <c r="F1465" s="8" t="str">
        <f>_xlfn.XLOOKUP(D1465,Master[Product_Code],Master[Category])</f>
        <v>T-Shirt</v>
      </c>
      <c r="G1465" s="8" t="str">
        <f>_xlfn.XLOOKUP(D1465,Master[Product_Code],Master[Brand])</f>
        <v>Max</v>
      </c>
      <c r="H1465" s="8" t="str">
        <f>_xlfn.XLOOKUP(D1465,Master[Product_Code],Master[Style])</f>
        <v>Hoodie</v>
      </c>
      <c r="I1465" s="8" t="str">
        <f>_xlfn.XLOOKUP(D1465,Master[Product_Code],Master[Fabric])</f>
        <v>Cotton Blend</v>
      </c>
      <c r="J1465" s="8" t="str">
        <f>_xlfn.XLOOKUP(D1465,Master[Product_Code],Master[Size])</f>
        <v>XXL</v>
      </c>
      <c r="K1465" s="8" t="str">
        <f>_xlfn.XLOOKUP(D1465,Master[Product_Code],Master[Color])</f>
        <v>Beige</v>
      </c>
      <c r="L1465" s="3">
        <f>_xlfn.XLOOKUP(D1465,Master[Product_Code],Master[Selling_Price])</f>
        <v>590</v>
      </c>
    </row>
    <row r="1466" spans="2:12">
      <c r="B1466" s="2" t="s">
        <v>2364</v>
      </c>
      <c r="C1466" s="7">
        <v>45978</v>
      </c>
      <c r="D1466" s="2" t="s">
        <v>564</v>
      </c>
      <c r="E1466" s="4">
        <v>1</v>
      </c>
      <c r="F1466" s="8" t="str">
        <f>_xlfn.XLOOKUP(D1466,Master[Product_Code],Master[Category])</f>
        <v>T-Shirt</v>
      </c>
      <c r="G1466" s="8" t="str">
        <f>_xlfn.XLOOKUP(D1466,Master[Product_Code],Master[Brand])</f>
        <v>Turkey</v>
      </c>
      <c r="H1466" s="8" t="str">
        <f>_xlfn.XLOOKUP(D1466,Master[Product_Code],Master[Style])</f>
        <v>Sleeveless</v>
      </c>
      <c r="I1466" s="8" t="str">
        <f>_xlfn.XLOOKUP(D1466,Master[Product_Code],Master[Fabric])</f>
        <v>Cotton Blend</v>
      </c>
      <c r="J1466" s="8" t="str">
        <f>_xlfn.XLOOKUP(D1466,Master[Product_Code],Master[Size])</f>
        <v>S</v>
      </c>
      <c r="K1466" s="8" t="str">
        <f>_xlfn.XLOOKUP(D1466,Master[Product_Code],Master[Color])</f>
        <v>Light Grey</v>
      </c>
      <c r="L1466" s="3">
        <f>_xlfn.XLOOKUP(D1466,Master[Product_Code],Master[Selling_Price])</f>
        <v>300</v>
      </c>
    </row>
    <row r="1467" spans="2:12">
      <c r="B1467" s="2" t="s">
        <v>2364</v>
      </c>
      <c r="C1467" s="7">
        <v>45978</v>
      </c>
      <c r="D1467" s="2" t="s">
        <v>693</v>
      </c>
      <c r="E1467" s="4">
        <v>1</v>
      </c>
      <c r="F1467" s="8" t="str">
        <f>_xlfn.XLOOKUP(D1467,Master[Product_Code],Master[Category])</f>
        <v>T-Shirt</v>
      </c>
      <c r="G1467" s="8" t="str">
        <f>_xlfn.XLOOKUP(D1467,Master[Product_Code],Master[Brand])</f>
        <v>Roadster</v>
      </c>
      <c r="H1467" s="8" t="str">
        <f>_xlfn.XLOOKUP(D1467,Master[Product_Code],Master[Style])</f>
        <v>Half Sleeve</v>
      </c>
      <c r="I1467" s="8" t="str">
        <f>_xlfn.XLOOKUP(D1467,Master[Product_Code],Master[Fabric])</f>
        <v>Cotton</v>
      </c>
      <c r="J1467" s="8" t="str">
        <f>_xlfn.XLOOKUP(D1467,Master[Product_Code],Master[Size])</f>
        <v>XXL</v>
      </c>
      <c r="K1467" s="8" t="str">
        <f>_xlfn.XLOOKUP(D1467,Master[Product_Code],Master[Color])</f>
        <v>Royal Blue</v>
      </c>
      <c r="L1467" s="3">
        <f>_xlfn.XLOOKUP(D1467,Master[Product_Code],Master[Selling_Price])</f>
        <v>610</v>
      </c>
    </row>
    <row r="1468" spans="2:12">
      <c r="B1468" s="2" t="s">
        <v>2365</v>
      </c>
      <c r="C1468" s="7">
        <v>45978</v>
      </c>
      <c r="D1468" s="2" t="s">
        <v>262</v>
      </c>
      <c r="E1468" s="4">
        <v>1</v>
      </c>
      <c r="F1468" s="8" t="str">
        <f>_xlfn.XLOOKUP(D1468,Master[Product_Code],Master[Category])</f>
        <v>Shirt</v>
      </c>
      <c r="G1468" s="8" t="str">
        <f>_xlfn.XLOOKUP(D1468,Master[Product_Code],Master[Brand])</f>
        <v>Thailand</v>
      </c>
      <c r="H1468" s="8" t="str">
        <f>_xlfn.XLOOKUP(D1468,Master[Product_Code],Master[Style])</f>
        <v>Partywear</v>
      </c>
      <c r="I1468" s="8" t="str">
        <f>_xlfn.XLOOKUP(D1468,Master[Product_Code],Master[Fabric])</f>
        <v>Cotton Blend</v>
      </c>
      <c r="J1468" s="8" t="str">
        <f>_xlfn.XLOOKUP(D1468,Master[Product_Code],Master[Size])</f>
        <v>M</v>
      </c>
      <c r="K1468" s="8" t="str">
        <f>_xlfn.XLOOKUP(D1468,Master[Product_Code],Master[Color])</f>
        <v>Mustard</v>
      </c>
      <c r="L1468" s="3">
        <f>_xlfn.XLOOKUP(D1468,Master[Product_Code],Master[Selling_Price])</f>
        <v>770</v>
      </c>
    </row>
    <row r="1469" spans="2:12">
      <c r="B1469" s="2" t="s">
        <v>2365</v>
      </c>
      <c r="C1469" s="7">
        <v>45978</v>
      </c>
      <c r="D1469" s="2" t="s">
        <v>1478</v>
      </c>
      <c r="E1469" s="4">
        <v>1</v>
      </c>
      <c r="F1469" s="8" t="str">
        <f>_xlfn.XLOOKUP(D1469,Master[Product_Code],Master[Category])</f>
        <v>Innerwear</v>
      </c>
      <c r="G1469" s="8" t="str">
        <f>_xlfn.XLOOKUP(D1469,Master[Product_Code],Master[Brand])</f>
        <v>V Star</v>
      </c>
      <c r="H1469" s="8" t="str">
        <f>_xlfn.XLOOKUP(D1469,Master[Product_Code],Master[Style])</f>
        <v>Boxer</v>
      </c>
      <c r="I1469" s="8" t="str">
        <f>_xlfn.XLOOKUP(D1469,Master[Product_Code],Master[Fabric])</f>
        <v>Cotton Blend</v>
      </c>
      <c r="J1469" s="8" t="str">
        <f>_xlfn.XLOOKUP(D1469,Master[Product_Code],Master[Size])</f>
        <v>80-85</v>
      </c>
      <c r="K1469" s="8" t="str">
        <f>_xlfn.XLOOKUP(D1469,Master[Product_Code],Master[Color])</f>
        <v>Black</v>
      </c>
      <c r="L1469" s="3">
        <f>_xlfn.XLOOKUP(D1469,Master[Product_Code],Master[Selling_Price])</f>
        <v>130</v>
      </c>
    </row>
    <row r="1470" spans="2:12">
      <c r="B1470" s="2" t="s">
        <v>2365</v>
      </c>
      <c r="C1470" s="7">
        <v>45978</v>
      </c>
      <c r="D1470" s="2" t="s">
        <v>1572</v>
      </c>
      <c r="E1470" s="4">
        <v>1</v>
      </c>
      <c r="F1470" s="8" t="str">
        <f>_xlfn.XLOOKUP(D1470,Master[Product_Code],Master[Category])</f>
        <v>Innerwear</v>
      </c>
      <c r="G1470" s="8" t="str">
        <f>_xlfn.XLOOKUP(D1470,Master[Product_Code],Master[Brand])</f>
        <v>Rupa</v>
      </c>
      <c r="H1470" s="8" t="str">
        <f>_xlfn.XLOOKUP(D1470,Master[Product_Code],Master[Style])</f>
        <v>Boxer</v>
      </c>
      <c r="I1470" s="8" t="str">
        <f>_xlfn.XLOOKUP(D1470,Master[Product_Code],Master[Fabric])</f>
        <v>Cotton</v>
      </c>
      <c r="J1470" s="8" t="str">
        <f>_xlfn.XLOOKUP(D1470,Master[Product_Code],Master[Size])</f>
        <v>75-80</v>
      </c>
      <c r="K1470" s="8" t="str">
        <f>_xlfn.XLOOKUP(D1470,Master[Product_Code],Master[Color])</f>
        <v>Sky Blue</v>
      </c>
      <c r="L1470" s="3">
        <f>_xlfn.XLOOKUP(D1470,Master[Product_Code],Master[Selling_Price])</f>
        <v>180</v>
      </c>
    </row>
    <row r="1471" spans="2:12">
      <c r="B1471" s="2" t="s">
        <v>2366</v>
      </c>
      <c r="C1471" s="7">
        <v>45978</v>
      </c>
      <c r="D1471" s="2" t="s">
        <v>728</v>
      </c>
      <c r="E1471" s="4">
        <v>1</v>
      </c>
      <c r="F1471" s="8" t="str">
        <f>_xlfn.XLOOKUP(D1471,Master[Product_Code],Master[Category])</f>
        <v>T-Shirt</v>
      </c>
      <c r="G1471" s="8" t="str">
        <f>_xlfn.XLOOKUP(D1471,Master[Product_Code],Master[Brand])</f>
        <v>Turkey</v>
      </c>
      <c r="H1471" s="8" t="str">
        <f>_xlfn.XLOOKUP(D1471,Master[Product_Code],Master[Style])</f>
        <v>Hoodie</v>
      </c>
      <c r="I1471" s="8" t="str">
        <f>_xlfn.XLOOKUP(D1471,Master[Product_Code],Master[Fabric])</f>
        <v>Poly Cotton</v>
      </c>
      <c r="J1471" s="8" t="str">
        <f>_xlfn.XLOOKUP(D1471,Master[Product_Code],Master[Size])</f>
        <v>XL</v>
      </c>
      <c r="K1471" s="8" t="str">
        <f>_xlfn.XLOOKUP(D1471,Master[Product_Code],Master[Color])</f>
        <v>Dark Green</v>
      </c>
      <c r="L1471" s="3">
        <f>_xlfn.XLOOKUP(D1471,Master[Product_Code],Master[Selling_Price])</f>
        <v>420</v>
      </c>
    </row>
    <row r="1472" spans="2:12">
      <c r="B1472" s="2" t="s">
        <v>2367</v>
      </c>
      <c r="C1472" s="7">
        <v>45978</v>
      </c>
      <c r="D1472" s="2" t="s">
        <v>586</v>
      </c>
      <c r="E1472" s="4">
        <v>1</v>
      </c>
      <c r="F1472" s="8" t="str">
        <f>_xlfn.XLOOKUP(D1472,Master[Product_Code],Master[Category])</f>
        <v>T-Shirt</v>
      </c>
      <c r="G1472" s="8" t="str">
        <f>_xlfn.XLOOKUP(D1472,Master[Product_Code],Master[Brand])</f>
        <v>Campus</v>
      </c>
      <c r="H1472" s="8" t="str">
        <f>_xlfn.XLOOKUP(D1472,Master[Product_Code],Master[Style])</f>
        <v>Hoodie</v>
      </c>
      <c r="I1472" s="8" t="str">
        <f>_xlfn.XLOOKUP(D1472,Master[Product_Code],Master[Fabric])</f>
        <v>Poly Cotton</v>
      </c>
      <c r="J1472" s="8" t="str">
        <f>_xlfn.XLOOKUP(D1472,Master[Product_Code],Master[Size])</f>
        <v>XXL</v>
      </c>
      <c r="K1472" s="8" t="str">
        <f>_xlfn.XLOOKUP(D1472,Master[Product_Code],Master[Color])</f>
        <v>Teal</v>
      </c>
      <c r="L1472" s="3">
        <f>_xlfn.XLOOKUP(D1472,Master[Product_Code],Master[Selling_Price])</f>
        <v>330</v>
      </c>
    </row>
    <row r="1473" spans="2:12">
      <c r="B1473" s="2" t="s">
        <v>2367</v>
      </c>
      <c r="C1473" s="7">
        <v>45978</v>
      </c>
      <c r="D1473" s="2" t="s">
        <v>1485</v>
      </c>
      <c r="E1473" s="4">
        <v>1</v>
      </c>
      <c r="F1473" s="8" t="str">
        <f>_xlfn.XLOOKUP(D1473,Master[Product_Code],Master[Category])</f>
        <v>Innerwear</v>
      </c>
      <c r="G1473" s="8" t="str">
        <f>_xlfn.XLOOKUP(D1473,Master[Product_Code],Master[Brand])</f>
        <v>V Star</v>
      </c>
      <c r="H1473" s="8" t="str">
        <f>_xlfn.XLOOKUP(D1473,Master[Product_Code],Master[Style])</f>
        <v>V-Cut</v>
      </c>
      <c r="I1473" s="8" t="str">
        <f>_xlfn.XLOOKUP(D1473,Master[Product_Code],Master[Fabric])</f>
        <v>Cotton Blend</v>
      </c>
      <c r="J1473" s="8" t="str">
        <f>_xlfn.XLOOKUP(D1473,Master[Product_Code],Master[Size])</f>
        <v>75-80</v>
      </c>
      <c r="K1473" s="8" t="str">
        <f>_xlfn.XLOOKUP(D1473,Master[Product_Code],Master[Color])</f>
        <v>Sky Blue</v>
      </c>
      <c r="L1473" s="3">
        <f>_xlfn.XLOOKUP(D1473,Master[Product_Code],Master[Selling_Price])</f>
        <v>170</v>
      </c>
    </row>
    <row r="1474" spans="2:12">
      <c r="B1474" s="2" t="s">
        <v>2367</v>
      </c>
      <c r="C1474" s="7">
        <v>45978</v>
      </c>
      <c r="D1474" s="2" t="s">
        <v>1645</v>
      </c>
      <c r="E1474" s="4">
        <v>1</v>
      </c>
      <c r="F1474" s="8" t="str">
        <f>_xlfn.XLOOKUP(D1474,Master[Product_Code],Master[Category])</f>
        <v>Innerwear</v>
      </c>
      <c r="G1474" s="8" t="str">
        <f>_xlfn.XLOOKUP(D1474,Master[Product_Code],Master[Brand])</f>
        <v>V Star</v>
      </c>
      <c r="H1474" s="8" t="str">
        <f>_xlfn.XLOOKUP(D1474,Master[Product_Code],Master[Style])</f>
        <v>V-Cut</v>
      </c>
      <c r="I1474" s="8" t="str">
        <f>_xlfn.XLOOKUP(D1474,Master[Product_Code],Master[Fabric])</f>
        <v>Cotton Blend</v>
      </c>
      <c r="J1474" s="8" t="str">
        <f>_xlfn.XLOOKUP(D1474,Master[Product_Code],Master[Size])</f>
        <v>100-105</v>
      </c>
      <c r="K1474" s="8" t="str">
        <f>_xlfn.XLOOKUP(D1474,Master[Product_Code],Master[Color])</f>
        <v>Wine</v>
      </c>
      <c r="L1474" s="3">
        <f>_xlfn.XLOOKUP(D1474,Master[Product_Code],Master[Selling_Price])</f>
        <v>140</v>
      </c>
    </row>
    <row r="1475" spans="2:12">
      <c r="B1475" s="2" t="s">
        <v>2368</v>
      </c>
      <c r="C1475" s="7">
        <v>45978</v>
      </c>
      <c r="D1475" s="2" t="s">
        <v>724</v>
      </c>
      <c r="E1475" s="4">
        <v>1</v>
      </c>
      <c r="F1475" s="8" t="str">
        <f>_xlfn.XLOOKUP(D1475,Master[Product_Code],Master[Category])</f>
        <v>T-Shirt</v>
      </c>
      <c r="G1475" s="8" t="str">
        <f>_xlfn.XLOOKUP(D1475,Master[Product_Code],Master[Brand])</f>
        <v>Roadster</v>
      </c>
      <c r="H1475" s="8" t="str">
        <f>_xlfn.XLOOKUP(D1475,Master[Product_Code],Master[Style])</f>
        <v>Half Sleeve</v>
      </c>
      <c r="I1475" s="8" t="str">
        <f>_xlfn.XLOOKUP(D1475,Master[Product_Code],Master[Fabric])</f>
        <v>Poly Cotton</v>
      </c>
      <c r="J1475" s="8" t="str">
        <f>_xlfn.XLOOKUP(D1475,Master[Product_Code],Master[Size])</f>
        <v>XXL</v>
      </c>
      <c r="K1475" s="8" t="str">
        <f>_xlfn.XLOOKUP(D1475,Master[Product_Code],Master[Color])</f>
        <v>Brown</v>
      </c>
      <c r="L1475" s="3">
        <f>_xlfn.XLOOKUP(D1475,Master[Product_Code],Master[Selling_Price])</f>
        <v>440</v>
      </c>
    </row>
    <row r="1476" spans="2:12">
      <c r="B1476" s="2" t="s">
        <v>2368</v>
      </c>
      <c r="C1476" s="7">
        <v>45978</v>
      </c>
      <c r="D1476" s="2" t="s">
        <v>1243</v>
      </c>
      <c r="E1476" s="4">
        <v>1</v>
      </c>
      <c r="F1476" s="8" t="str">
        <f>_xlfn.XLOOKUP(D1476,Master[Product_Code],Master[Category])</f>
        <v>Pants</v>
      </c>
      <c r="G1476" s="8" t="str">
        <f>_xlfn.XLOOKUP(D1476,Master[Product_Code],Master[Brand])</f>
        <v>Peter England</v>
      </c>
      <c r="H1476" s="8" t="str">
        <f>_xlfn.XLOOKUP(D1476,Master[Product_Code],Master[Style])</f>
        <v>Korean</v>
      </c>
      <c r="I1476" s="8" t="str">
        <f>_xlfn.XLOOKUP(D1476,Master[Product_Code],Master[Fabric])</f>
        <v>Lycra</v>
      </c>
      <c r="J1476" s="8">
        <f>_xlfn.XLOOKUP(D1476,Master[Product_Code],Master[Size])</f>
        <v>40</v>
      </c>
      <c r="K1476" s="8" t="str">
        <f>_xlfn.XLOOKUP(D1476,Master[Product_Code],Master[Color])</f>
        <v>Beige</v>
      </c>
      <c r="L1476" s="3">
        <f>_xlfn.XLOOKUP(D1476,Master[Product_Code],Master[Selling_Price])</f>
        <v>760</v>
      </c>
    </row>
    <row r="1477" spans="2:12">
      <c r="B1477" s="2" t="s">
        <v>2369</v>
      </c>
      <c r="C1477" s="7">
        <v>45978</v>
      </c>
      <c r="D1477" s="2" t="s">
        <v>87</v>
      </c>
      <c r="E1477" s="4">
        <v>1</v>
      </c>
      <c r="F1477" s="8" t="str">
        <f>_xlfn.XLOOKUP(D1477,Master[Product_Code],Master[Category])</f>
        <v>Shirt</v>
      </c>
      <c r="G1477" s="8" t="str">
        <f>_xlfn.XLOOKUP(D1477,Master[Product_Code],Master[Brand])</f>
        <v>Luke &amp; Burg</v>
      </c>
      <c r="H1477" s="8" t="str">
        <f>_xlfn.XLOOKUP(D1477,Master[Product_Code],Master[Style])</f>
        <v>Formal</v>
      </c>
      <c r="I1477" s="8" t="str">
        <f>_xlfn.XLOOKUP(D1477,Master[Product_Code],Master[Fabric])</f>
        <v>Lycra</v>
      </c>
      <c r="J1477" s="8" t="str">
        <f>_xlfn.XLOOKUP(D1477,Master[Product_Code],Master[Size])</f>
        <v>XL</v>
      </c>
      <c r="K1477" s="8" t="str">
        <f>_xlfn.XLOOKUP(D1477,Master[Product_Code],Master[Color])</f>
        <v>Black</v>
      </c>
      <c r="L1477" s="3">
        <f>_xlfn.XLOOKUP(D1477,Master[Product_Code],Master[Selling_Price])</f>
        <v>940</v>
      </c>
    </row>
    <row r="1478" spans="2:12">
      <c r="B1478" s="2" t="s">
        <v>2370</v>
      </c>
      <c r="C1478" s="7">
        <v>45978</v>
      </c>
      <c r="D1478" s="2" t="s">
        <v>972</v>
      </c>
      <c r="E1478" s="4">
        <v>1</v>
      </c>
      <c r="F1478" s="8" t="str">
        <f>_xlfn.XLOOKUP(D1478,Master[Product_Code],Master[Category])</f>
        <v>Jeans</v>
      </c>
      <c r="G1478" s="8" t="str">
        <f>_xlfn.XLOOKUP(D1478,Master[Product_Code],Master[Brand])</f>
        <v>Pepe</v>
      </c>
      <c r="H1478" s="8" t="str">
        <f>_xlfn.XLOOKUP(D1478,Master[Product_Code],Master[Style])</f>
        <v>Baggy</v>
      </c>
      <c r="I1478" s="8" t="str">
        <f>_xlfn.XLOOKUP(D1478,Master[Product_Code],Master[Fabric])</f>
        <v>Denim</v>
      </c>
      <c r="J1478" s="8">
        <f>_xlfn.XLOOKUP(D1478,Master[Product_Code],Master[Size])</f>
        <v>38</v>
      </c>
      <c r="K1478" s="8" t="str">
        <f>_xlfn.XLOOKUP(D1478,Master[Product_Code],Master[Color])</f>
        <v>Rust</v>
      </c>
      <c r="L1478" s="3">
        <f>_xlfn.XLOOKUP(D1478,Master[Product_Code],Master[Selling_Price])</f>
        <v>780</v>
      </c>
    </row>
    <row r="1479" spans="2:12">
      <c r="B1479" s="2" t="s">
        <v>2370</v>
      </c>
      <c r="C1479" s="7">
        <v>45978</v>
      </c>
      <c r="D1479" s="2" t="s">
        <v>1579</v>
      </c>
      <c r="E1479" s="4">
        <v>1</v>
      </c>
      <c r="F1479" s="8" t="str">
        <f>_xlfn.XLOOKUP(D1479,Master[Product_Code],Master[Category])</f>
        <v>Innerwear</v>
      </c>
      <c r="G1479" s="8" t="str">
        <f>_xlfn.XLOOKUP(D1479,Master[Product_Code],Master[Brand])</f>
        <v>V Star</v>
      </c>
      <c r="H1479" s="8" t="str">
        <f>_xlfn.XLOOKUP(D1479,Master[Product_Code],Master[Style])</f>
        <v>Boxer</v>
      </c>
      <c r="I1479" s="8" t="str">
        <f>_xlfn.XLOOKUP(D1479,Master[Product_Code],Master[Fabric])</f>
        <v>Cotton</v>
      </c>
      <c r="J1479" s="8" t="str">
        <f>_xlfn.XLOOKUP(D1479,Master[Product_Code],Master[Size])</f>
        <v>100-105</v>
      </c>
      <c r="K1479" s="8" t="str">
        <f>_xlfn.XLOOKUP(D1479,Master[Product_Code],Master[Color])</f>
        <v>Light Grey</v>
      </c>
      <c r="L1479" s="3">
        <f>_xlfn.XLOOKUP(D1479,Master[Product_Code],Master[Selling_Price])</f>
        <v>190</v>
      </c>
    </row>
    <row r="1480" spans="2:12">
      <c r="B1480" s="2" t="s">
        <v>2371</v>
      </c>
      <c r="C1480" s="7">
        <v>45978</v>
      </c>
      <c r="D1480" s="2" t="s">
        <v>272</v>
      </c>
      <c r="E1480" s="4">
        <v>1</v>
      </c>
      <c r="F1480" s="8" t="str">
        <f>_xlfn.XLOOKUP(D1480,Master[Product_Code],Master[Category])</f>
        <v>Shirt</v>
      </c>
      <c r="G1480" s="8" t="str">
        <f>_xlfn.XLOOKUP(D1480,Master[Product_Code],Master[Brand])</f>
        <v>British</v>
      </c>
      <c r="H1480" s="8" t="str">
        <f>_xlfn.XLOOKUP(D1480,Master[Product_Code],Master[Style])</f>
        <v>Partywear</v>
      </c>
      <c r="I1480" s="8" t="str">
        <f>_xlfn.XLOOKUP(D1480,Master[Product_Code],Master[Fabric])</f>
        <v>Cotton</v>
      </c>
      <c r="J1480" s="8" t="str">
        <f>_xlfn.XLOOKUP(D1480,Master[Product_Code],Master[Size])</f>
        <v>XXL</v>
      </c>
      <c r="K1480" s="8" t="str">
        <f>_xlfn.XLOOKUP(D1480,Master[Product_Code],Master[Color])</f>
        <v>Olive</v>
      </c>
      <c r="L1480" s="3">
        <f>_xlfn.XLOOKUP(D1480,Master[Product_Code],Master[Selling_Price])</f>
        <v>920</v>
      </c>
    </row>
    <row r="1481" spans="2:12">
      <c r="B1481" s="2" t="s">
        <v>2372</v>
      </c>
      <c r="C1481" s="7">
        <v>45978</v>
      </c>
      <c r="D1481" s="2" t="s">
        <v>953</v>
      </c>
      <c r="E1481" s="4">
        <v>1</v>
      </c>
      <c r="F1481" s="8" t="str">
        <f>_xlfn.XLOOKUP(D1481,Master[Product_Code],Master[Category])</f>
        <v>Jeans</v>
      </c>
      <c r="G1481" s="8" t="str">
        <f>_xlfn.XLOOKUP(D1481,Master[Product_Code],Master[Brand])</f>
        <v>Pepe</v>
      </c>
      <c r="H1481" s="8" t="str">
        <f>_xlfn.XLOOKUP(D1481,Master[Product_Code],Master[Style])</f>
        <v>Jogger</v>
      </c>
      <c r="I1481" s="8" t="str">
        <f>_xlfn.XLOOKUP(D1481,Master[Product_Code],Master[Fabric])</f>
        <v>Denim</v>
      </c>
      <c r="J1481" s="8">
        <f>_xlfn.XLOOKUP(D1481,Master[Product_Code],Master[Size])</f>
        <v>44</v>
      </c>
      <c r="K1481" s="8" t="str">
        <f>_xlfn.XLOOKUP(D1481,Master[Product_Code],Master[Color])</f>
        <v>White</v>
      </c>
      <c r="L1481" s="3">
        <f>_xlfn.XLOOKUP(D1481,Master[Product_Code],Master[Selling_Price])</f>
        <v>1030</v>
      </c>
    </row>
    <row r="1482" spans="2:12">
      <c r="B1482" s="2" t="s">
        <v>2372</v>
      </c>
      <c r="C1482" s="7">
        <v>45978</v>
      </c>
      <c r="D1482" s="2" t="s">
        <v>1019</v>
      </c>
      <c r="E1482" s="4">
        <v>1</v>
      </c>
      <c r="F1482" s="8" t="str">
        <f>_xlfn.XLOOKUP(D1482,Master[Product_Code],Master[Category])</f>
        <v>Jeans</v>
      </c>
      <c r="G1482" s="8" t="str">
        <f>_xlfn.XLOOKUP(D1482,Master[Product_Code],Master[Brand])</f>
        <v>Locomotive</v>
      </c>
      <c r="H1482" s="8" t="str">
        <f>_xlfn.XLOOKUP(D1482,Master[Product_Code],Master[Style])</f>
        <v>Baggy</v>
      </c>
      <c r="I1482" s="8" t="str">
        <f>_xlfn.XLOOKUP(D1482,Master[Product_Code],Master[Fabric])</f>
        <v>Denim</v>
      </c>
      <c r="J1482" s="8">
        <f>_xlfn.XLOOKUP(D1482,Master[Product_Code],Master[Size])</f>
        <v>42</v>
      </c>
      <c r="K1482" s="8" t="str">
        <f>_xlfn.XLOOKUP(D1482,Master[Product_Code],Master[Color])</f>
        <v>White</v>
      </c>
      <c r="L1482" s="3">
        <f>_xlfn.XLOOKUP(D1482,Master[Product_Code],Master[Selling_Price])</f>
        <v>1010</v>
      </c>
    </row>
    <row r="1483" spans="2:12">
      <c r="B1483" s="2" t="s">
        <v>2372</v>
      </c>
      <c r="C1483" s="7">
        <v>45978</v>
      </c>
      <c r="D1483" s="2" t="s">
        <v>1340</v>
      </c>
      <c r="E1483" s="4">
        <v>1</v>
      </c>
      <c r="F1483" s="8" t="str">
        <f>_xlfn.XLOOKUP(D1483,Master[Product_Code],Master[Category])</f>
        <v>Pants</v>
      </c>
      <c r="G1483" s="8" t="str">
        <f>_xlfn.XLOOKUP(D1483,Master[Product_Code],Master[Brand])</f>
        <v>Raymond</v>
      </c>
      <c r="H1483" s="8" t="str">
        <f>_xlfn.XLOOKUP(D1483,Master[Product_Code],Master[Style])</f>
        <v>Jogger</v>
      </c>
      <c r="I1483" s="8" t="str">
        <f>_xlfn.XLOOKUP(D1483,Master[Product_Code],Master[Fabric])</f>
        <v>Cotton Blend</v>
      </c>
      <c r="J1483" s="8">
        <f>_xlfn.XLOOKUP(D1483,Master[Product_Code],Master[Size])</f>
        <v>36</v>
      </c>
      <c r="K1483" s="8" t="str">
        <f>_xlfn.XLOOKUP(D1483,Master[Product_Code],Master[Color])</f>
        <v>Wine</v>
      </c>
      <c r="L1483" s="3">
        <f>_xlfn.XLOOKUP(D1483,Master[Product_Code],Master[Selling_Price])</f>
        <v>780</v>
      </c>
    </row>
    <row r="1484" spans="2:12">
      <c r="B1484" s="2" t="s">
        <v>2373</v>
      </c>
      <c r="C1484" s="7">
        <v>45978</v>
      </c>
      <c r="D1484" s="2" t="s">
        <v>560</v>
      </c>
      <c r="E1484" s="4">
        <v>1</v>
      </c>
      <c r="F1484" s="8" t="str">
        <f>_xlfn.XLOOKUP(D1484,Master[Product_Code],Master[Category])</f>
        <v>T-Shirt</v>
      </c>
      <c r="G1484" s="8" t="str">
        <f>_xlfn.XLOOKUP(D1484,Master[Product_Code],Master[Brand])</f>
        <v>Urban Monkey</v>
      </c>
      <c r="H1484" s="8" t="str">
        <f>_xlfn.XLOOKUP(D1484,Master[Product_Code],Master[Style])</f>
        <v>3/4 Sleeve</v>
      </c>
      <c r="I1484" s="8" t="str">
        <f>_xlfn.XLOOKUP(D1484,Master[Product_Code],Master[Fabric])</f>
        <v>Cotton</v>
      </c>
      <c r="J1484" s="8" t="str">
        <f>_xlfn.XLOOKUP(D1484,Master[Product_Code],Master[Size])</f>
        <v>S</v>
      </c>
      <c r="K1484" s="8" t="str">
        <f>_xlfn.XLOOKUP(D1484,Master[Product_Code],Master[Color])</f>
        <v>Charcoal</v>
      </c>
      <c r="L1484" s="3">
        <f>_xlfn.XLOOKUP(D1484,Master[Product_Code],Master[Selling_Price])</f>
        <v>360</v>
      </c>
    </row>
    <row r="1485" spans="2:12">
      <c r="B1485" s="2" t="s">
        <v>2374</v>
      </c>
      <c r="C1485" s="7">
        <v>45978</v>
      </c>
      <c r="D1485" s="2" t="s">
        <v>608</v>
      </c>
      <c r="E1485" s="4">
        <v>1</v>
      </c>
      <c r="F1485" s="8" t="str">
        <f>_xlfn.XLOOKUP(D1485,Master[Product_Code],Master[Category])</f>
        <v>T-Shirt</v>
      </c>
      <c r="G1485" s="8" t="str">
        <f>_xlfn.XLOOKUP(D1485,Master[Product_Code],Master[Brand])</f>
        <v>Urban Monkey</v>
      </c>
      <c r="H1485" s="8" t="str">
        <f>_xlfn.XLOOKUP(D1485,Master[Product_Code],Master[Style])</f>
        <v>3/4 Sleeve</v>
      </c>
      <c r="I1485" s="8" t="str">
        <f>_xlfn.XLOOKUP(D1485,Master[Product_Code],Master[Fabric])</f>
        <v>Poly Cotton</v>
      </c>
      <c r="J1485" s="8" t="str">
        <f>_xlfn.XLOOKUP(D1485,Master[Product_Code],Master[Size])</f>
        <v>S</v>
      </c>
      <c r="K1485" s="8" t="str">
        <f>_xlfn.XLOOKUP(D1485,Master[Product_Code],Master[Color])</f>
        <v>Maroon</v>
      </c>
      <c r="L1485" s="3">
        <f>_xlfn.XLOOKUP(D1485,Master[Product_Code],Master[Selling_Price])</f>
        <v>370</v>
      </c>
    </row>
    <row r="1486" spans="2:12">
      <c r="B1486" s="2" t="s">
        <v>2374</v>
      </c>
      <c r="C1486" s="7">
        <v>45978</v>
      </c>
      <c r="D1486" s="2" t="s">
        <v>1584</v>
      </c>
      <c r="E1486" s="4">
        <v>1</v>
      </c>
      <c r="F1486" s="8" t="str">
        <f>_xlfn.XLOOKUP(D1486,Master[Product_Code],Master[Category])</f>
        <v>Innerwear</v>
      </c>
      <c r="G1486" s="8" t="str">
        <f>_xlfn.XLOOKUP(D1486,Master[Product_Code],Master[Brand])</f>
        <v>Lux</v>
      </c>
      <c r="H1486" s="8" t="str">
        <f>_xlfn.XLOOKUP(D1486,Master[Product_Code],Master[Style])</f>
        <v>Boxer</v>
      </c>
      <c r="I1486" s="8" t="str">
        <f>_xlfn.XLOOKUP(D1486,Master[Product_Code],Master[Fabric])</f>
        <v>Cotton Blend</v>
      </c>
      <c r="J1486" s="8" t="str">
        <f>_xlfn.XLOOKUP(D1486,Master[Product_Code],Master[Size])</f>
        <v>80-85</v>
      </c>
      <c r="K1486" s="8" t="str">
        <f>_xlfn.XLOOKUP(D1486,Master[Product_Code],Master[Color])</f>
        <v>Light Grey</v>
      </c>
      <c r="L1486" s="3">
        <f>_xlfn.XLOOKUP(D1486,Master[Product_Code],Master[Selling_Price])</f>
        <v>150</v>
      </c>
    </row>
    <row r="1487" spans="2:12">
      <c r="B1487" s="2" t="s">
        <v>2375</v>
      </c>
      <c r="C1487" s="7">
        <v>45978</v>
      </c>
      <c r="D1487" s="2" t="s">
        <v>426</v>
      </c>
      <c r="E1487" s="4">
        <v>1</v>
      </c>
      <c r="F1487" s="8" t="str">
        <f>_xlfn.XLOOKUP(D1487,Master[Product_Code],Master[Category])</f>
        <v>T-Shirt</v>
      </c>
      <c r="G1487" s="8" t="str">
        <f>_xlfn.XLOOKUP(D1487,Master[Product_Code],Master[Brand])</f>
        <v>Campus</v>
      </c>
      <c r="H1487" s="8" t="str">
        <f>_xlfn.XLOOKUP(D1487,Master[Product_Code],Master[Style])</f>
        <v>3/4 Sleeve</v>
      </c>
      <c r="I1487" s="8" t="str">
        <f>_xlfn.XLOOKUP(D1487,Master[Product_Code],Master[Fabric])</f>
        <v>Cotton Blend</v>
      </c>
      <c r="J1487" s="8" t="str">
        <f>_xlfn.XLOOKUP(D1487,Master[Product_Code],Master[Size])</f>
        <v>XL</v>
      </c>
      <c r="K1487" s="8" t="str">
        <f>_xlfn.XLOOKUP(D1487,Master[Product_Code],Master[Color])</f>
        <v>Peach</v>
      </c>
      <c r="L1487" s="3">
        <f>_xlfn.XLOOKUP(D1487,Master[Product_Code],Master[Selling_Price])</f>
        <v>600</v>
      </c>
    </row>
    <row r="1488" spans="2:12">
      <c r="B1488" s="2" t="s">
        <v>2375</v>
      </c>
      <c r="C1488" s="7">
        <v>45978</v>
      </c>
      <c r="D1488" s="2" t="s">
        <v>618</v>
      </c>
      <c r="E1488" s="4">
        <v>1</v>
      </c>
      <c r="F1488" s="8" t="str">
        <f>_xlfn.XLOOKUP(D1488,Master[Product_Code],Master[Category])</f>
        <v>T-Shirt</v>
      </c>
      <c r="G1488" s="8" t="str">
        <f>_xlfn.XLOOKUP(D1488,Master[Product_Code],Master[Brand])</f>
        <v>Turkey</v>
      </c>
      <c r="H1488" s="8" t="str">
        <f>_xlfn.XLOOKUP(D1488,Master[Product_Code],Master[Style])</f>
        <v>Full Sleeve</v>
      </c>
      <c r="I1488" s="8" t="str">
        <f>_xlfn.XLOOKUP(D1488,Master[Product_Code],Master[Fabric])</f>
        <v>Poly Cotton</v>
      </c>
      <c r="J1488" s="8" t="str">
        <f>_xlfn.XLOOKUP(D1488,Master[Product_Code],Master[Size])</f>
        <v>XXL</v>
      </c>
      <c r="K1488" s="8" t="str">
        <f>_xlfn.XLOOKUP(D1488,Master[Product_Code],Master[Color])</f>
        <v>Light Grey</v>
      </c>
      <c r="L1488" s="3">
        <f>_xlfn.XLOOKUP(D1488,Master[Product_Code],Master[Selling_Price])</f>
        <v>510</v>
      </c>
    </row>
    <row r="1489" spans="2:12">
      <c r="B1489" s="2" t="s">
        <v>2375</v>
      </c>
      <c r="C1489" s="7">
        <v>45978</v>
      </c>
      <c r="D1489" s="2" t="s">
        <v>1116</v>
      </c>
      <c r="E1489" s="4">
        <v>1</v>
      </c>
      <c r="F1489" s="8" t="str">
        <f>_xlfn.XLOOKUP(D1489,Master[Product_Code],Master[Category])</f>
        <v>Jeans</v>
      </c>
      <c r="G1489" s="8" t="str">
        <f>_xlfn.XLOOKUP(D1489,Master[Product_Code],Master[Brand])</f>
        <v>Denim Pro</v>
      </c>
      <c r="H1489" s="8" t="str">
        <f>_xlfn.XLOOKUP(D1489,Master[Product_Code],Master[Style])</f>
        <v>Baggy</v>
      </c>
      <c r="I1489" s="8" t="str">
        <f>_xlfn.XLOOKUP(D1489,Master[Product_Code],Master[Fabric])</f>
        <v>Denim</v>
      </c>
      <c r="J1489" s="8">
        <f>_xlfn.XLOOKUP(D1489,Master[Product_Code],Master[Size])</f>
        <v>38</v>
      </c>
      <c r="K1489" s="8" t="str">
        <f>_xlfn.XLOOKUP(D1489,Master[Product_Code],Master[Color])</f>
        <v>Cream</v>
      </c>
      <c r="L1489" s="3">
        <f>_xlfn.XLOOKUP(D1489,Master[Product_Code],Master[Selling_Price])</f>
        <v>1080</v>
      </c>
    </row>
    <row r="1490" spans="2:12">
      <c r="B1490" s="2" t="s">
        <v>2376</v>
      </c>
      <c r="C1490" s="7">
        <v>45978</v>
      </c>
      <c r="D1490" s="2" t="s">
        <v>146</v>
      </c>
      <c r="E1490" s="4">
        <v>1</v>
      </c>
      <c r="F1490" s="8" t="str">
        <f>_xlfn.XLOOKUP(D1490,Master[Product_Code],Master[Category])</f>
        <v>Shirt</v>
      </c>
      <c r="G1490" s="8" t="str">
        <f>_xlfn.XLOOKUP(D1490,Master[Product_Code],Master[Brand])</f>
        <v>L7</v>
      </c>
      <c r="H1490" s="8" t="str">
        <f>_xlfn.XLOOKUP(D1490,Master[Product_Code],Master[Style])</f>
        <v>Formal</v>
      </c>
      <c r="I1490" s="8" t="str">
        <f>_xlfn.XLOOKUP(D1490,Master[Product_Code],Master[Fabric])</f>
        <v>Cotton Blend</v>
      </c>
      <c r="J1490" s="8" t="str">
        <f>_xlfn.XLOOKUP(D1490,Master[Product_Code],Master[Size])</f>
        <v>S</v>
      </c>
      <c r="K1490" s="8" t="str">
        <f>_xlfn.XLOOKUP(D1490,Master[Product_Code],Master[Color])</f>
        <v>Light Grey</v>
      </c>
      <c r="L1490" s="3">
        <f>_xlfn.XLOOKUP(D1490,Master[Product_Code],Master[Selling_Price])</f>
        <v>690</v>
      </c>
    </row>
    <row r="1491" spans="2:12">
      <c r="B1491" s="2" t="s">
        <v>2376</v>
      </c>
      <c r="C1491" s="7">
        <v>45978</v>
      </c>
      <c r="D1491" s="2" t="s">
        <v>1395</v>
      </c>
      <c r="E1491" s="4">
        <v>1</v>
      </c>
      <c r="F1491" s="8" t="str">
        <f>_xlfn.XLOOKUP(D1491,Master[Product_Code],Master[Category])</f>
        <v>Pants</v>
      </c>
      <c r="G1491" s="8" t="str">
        <f>_xlfn.XLOOKUP(D1491,Master[Product_Code],Master[Brand])</f>
        <v>Park Avenue</v>
      </c>
      <c r="H1491" s="8" t="str">
        <f>_xlfn.XLOOKUP(D1491,Master[Product_Code],Master[Style])</f>
        <v>Jogger</v>
      </c>
      <c r="I1491" s="8" t="str">
        <f>_xlfn.XLOOKUP(D1491,Master[Product_Code],Master[Fabric])</f>
        <v>Poly Viscose</v>
      </c>
      <c r="J1491" s="8">
        <f>_xlfn.XLOOKUP(D1491,Master[Product_Code],Master[Size])</f>
        <v>32</v>
      </c>
      <c r="K1491" s="8" t="str">
        <f>_xlfn.XLOOKUP(D1491,Master[Product_Code],Master[Color])</f>
        <v>Dark Green</v>
      </c>
      <c r="L1491" s="3">
        <f>_xlfn.XLOOKUP(D1491,Master[Product_Code],Master[Selling_Price])</f>
        <v>800</v>
      </c>
    </row>
    <row r="1492" spans="2:12">
      <c r="B1492" s="2" t="s">
        <v>2377</v>
      </c>
      <c r="C1492" s="7">
        <v>45978</v>
      </c>
      <c r="D1492" s="2" t="s">
        <v>1429</v>
      </c>
      <c r="E1492" s="4">
        <v>1</v>
      </c>
      <c r="F1492" s="8" t="str">
        <f>_xlfn.XLOOKUP(D1492,Master[Product_Code],Master[Category])</f>
        <v>Pants</v>
      </c>
      <c r="G1492" s="8" t="str">
        <f>_xlfn.XLOOKUP(D1492,Master[Product_Code],Master[Brand])</f>
        <v>Peter England</v>
      </c>
      <c r="H1492" s="8" t="str">
        <f>_xlfn.XLOOKUP(D1492,Master[Product_Code],Master[Style])</f>
        <v>Korean</v>
      </c>
      <c r="I1492" s="8" t="str">
        <f>_xlfn.XLOOKUP(D1492,Master[Product_Code],Master[Fabric])</f>
        <v>Lycra</v>
      </c>
      <c r="J1492" s="8">
        <f>_xlfn.XLOOKUP(D1492,Master[Product_Code],Master[Size])</f>
        <v>28</v>
      </c>
      <c r="K1492" s="8" t="str">
        <f>_xlfn.XLOOKUP(D1492,Master[Product_Code],Master[Color])</f>
        <v>Maroon</v>
      </c>
      <c r="L1492" s="3">
        <f>_xlfn.XLOOKUP(D1492,Master[Product_Code],Master[Selling_Price])</f>
        <v>710</v>
      </c>
    </row>
    <row r="1493" spans="2:12">
      <c r="B1493" s="2" t="s">
        <v>2377</v>
      </c>
      <c r="C1493" s="7">
        <v>45978</v>
      </c>
      <c r="D1493" s="2" t="s">
        <v>99</v>
      </c>
      <c r="E1493" s="4">
        <v>1</v>
      </c>
      <c r="F1493" s="8" t="str">
        <f>_xlfn.XLOOKUP(D1493,Master[Product_Code],Master[Category])</f>
        <v>Shirt</v>
      </c>
      <c r="G1493" s="8" t="str">
        <f>_xlfn.XLOOKUP(D1493,Master[Product_Code],Master[Brand])</f>
        <v>H&amp;M</v>
      </c>
      <c r="H1493" s="8" t="str">
        <f>_xlfn.XLOOKUP(D1493,Master[Product_Code],Master[Style])</f>
        <v>Formal</v>
      </c>
      <c r="I1493" s="8" t="str">
        <f>_xlfn.XLOOKUP(D1493,Master[Product_Code],Master[Fabric])</f>
        <v>Cotton Blend</v>
      </c>
      <c r="J1493" s="8" t="str">
        <f>_xlfn.XLOOKUP(D1493,Master[Product_Code],Master[Size])</f>
        <v>S</v>
      </c>
      <c r="K1493" s="8" t="str">
        <f>_xlfn.XLOOKUP(D1493,Master[Product_Code],Master[Color])</f>
        <v>Maroon</v>
      </c>
      <c r="L1493" s="3">
        <f>_xlfn.XLOOKUP(D1493,Master[Product_Code],Master[Selling_Price])</f>
        <v>850</v>
      </c>
    </row>
    <row r="1494" spans="2:12">
      <c r="B1494" s="2" t="s">
        <v>2377</v>
      </c>
      <c r="C1494" s="7">
        <v>45978</v>
      </c>
      <c r="D1494" s="2" t="s">
        <v>954</v>
      </c>
      <c r="E1494" s="4">
        <v>1</v>
      </c>
      <c r="F1494" s="8" t="str">
        <f>_xlfn.XLOOKUP(D1494,Master[Product_Code],Master[Category])</f>
        <v>Jeans</v>
      </c>
      <c r="G1494" s="8" t="str">
        <f>_xlfn.XLOOKUP(D1494,Master[Product_Code],Master[Brand])</f>
        <v>Levis</v>
      </c>
      <c r="H1494" s="8" t="str">
        <f>_xlfn.XLOOKUP(D1494,Master[Product_Code],Master[Style])</f>
        <v>Baggy</v>
      </c>
      <c r="I1494" s="8" t="str">
        <f>_xlfn.XLOOKUP(D1494,Master[Product_Code],Master[Fabric])</f>
        <v>Denim</v>
      </c>
      <c r="J1494" s="8">
        <f>_xlfn.XLOOKUP(D1494,Master[Product_Code],Master[Size])</f>
        <v>36</v>
      </c>
      <c r="K1494" s="8" t="str">
        <f>_xlfn.XLOOKUP(D1494,Master[Product_Code],Master[Color])</f>
        <v>Cream</v>
      </c>
      <c r="L1494" s="3">
        <f>_xlfn.XLOOKUP(D1494,Master[Product_Code],Master[Selling_Price])</f>
        <v>870</v>
      </c>
    </row>
    <row r="1495" spans="2:12">
      <c r="B1495" s="2" t="s">
        <v>2377</v>
      </c>
      <c r="C1495" s="7">
        <v>45978</v>
      </c>
      <c r="D1495" s="2" t="s">
        <v>1090</v>
      </c>
      <c r="E1495" s="4">
        <v>1</v>
      </c>
      <c r="F1495" s="8" t="str">
        <f>_xlfn.XLOOKUP(D1495,Master[Product_Code],Master[Category])</f>
        <v>Jeans</v>
      </c>
      <c r="G1495" s="8" t="str">
        <f>_xlfn.XLOOKUP(D1495,Master[Product_Code],Master[Brand])</f>
        <v>Spykar</v>
      </c>
      <c r="H1495" s="8" t="str">
        <f>_xlfn.XLOOKUP(D1495,Master[Product_Code],Master[Style])</f>
        <v>Jogger</v>
      </c>
      <c r="I1495" s="8" t="str">
        <f>_xlfn.XLOOKUP(D1495,Master[Product_Code],Master[Fabric])</f>
        <v>Denim</v>
      </c>
      <c r="J1495" s="8">
        <f>_xlfn.XLOOKUP(D1495,Master[Product_Code],Master[Size])</f>
        <v>44</v>
      </c>
      <c r="K1495" s="8" t="str">
        <f>_xlfn.XLOOKUP(D1495,Master[Product_Code],Master[Color])</f>
        <v>Cream</v>
      </c>
      <c r="L1495" s="3">
        <f>_xlfn.XLOOKUP(D1495,Master[Product_Code],Master[Selling_Price])</f>
        <v>840</v>
      </c>
    </row>
    <row r="1496" spans="2:12">
      <c r="B1496" s="2" t="s">
        <v>2378</v>
      </c>
      <c r="C1496" s="7">
        <v>45978</v>
      </c>
      <c r="D1496" s="2" t="s">
        <v>1015</v>
      </c>
      <c r="E1496" s="4">
        <v>1</v>
      </c>
      <c r="F1496" s="8" t="str">
        <f>_xlfn.XLOOKUP(D1496,Master[Product_Code],Master[Category])</f>
        <v>Jeans</v>
      </c>
      <c r="G1496" s="8" t="str">
        <f>_xlfn.XLOOKUP(D1496,Master[Product_Code],Master[Brand])</f>
        <v>Denim Pro</v>
      </c>
      <c r="H1496" s="8" t="str">
        <f>_xlfn.XLOOKUP(D1496,Master[Product_Code],Master[Style])</f>
        <v>Jogger</v>
      </c>
      <c r="I1496" s="8" t="str">
        <f>_xlfn.XLOOKUP(D1496,Master[Product_Code],Master[Fabric])</f>
        <v>Denim</v>
      </c>
      <c r="J1496" s="8">
        <f>_xlfn.XLOOKUP(D1496,Master[Product_Code],Master[Size])</f>
        <v>40</v>
      </c>
      <c r="K1496" s="8" t="str">
        <f>_xlfn.XLOOKUP(D1496,Master[Product_Code],Master[Color])</f>
        <v>Light Grey</v>
      </c>
      <c r="L1496" s="3">
        <f>_xlfn.XLOOKUP(D1496,Master[Product_Code],Master[Selling_Price])</f>
        <v>1060</v>
      </c>
    </row>
    <row r="1497" spans="2:12">
      <c r="B1497" s="2" t="s">
        <v>2378</v>
      </c>
      <c r="C1497" s="7">
        <v>45978</v>
      </c>
      <c r="D1497" s="2" t="s">
        <v>733</v>
      </c>
      <c r="E1497" s="4">
        <v>1</v>
      </c>
      <c r="F1497" s="8" t="str">
        <f>_xlfn.XLOOKUP(D1497,Master[Product_Code],Master[Category])</f>
        <v>T-Shirt</v>
      </c>
      <c r="G1497" s="8" t="str">
        <f>_xlfn.XLOOKUP(D1497,Master[Product_Code],Master[Brand])</f>
        <v>Turkey</v>
      </c>
      <c r="H1497" s="8" t="str">
        <f>_xlfn.XLOOKUP(D1497,Master[Product_Code],Master[Style])</f>
        <v>Hoodie</v>
      </c>
      <c r="I1497" s="8" t="str">
        <f>_xlfn.XLOOKUP(D1497,Master[Product_Code],Master[Fabric])</f>
        <v>Poly Cotton</v>
      </c>
      <c r="J1497" s="8" t="str">
        <f>_xlfn.XLOOKUP(D1497,Master[Product_Code],Master[Size])</f>
        <v>S</v>
      </c>
      <c r="K1497" s="8" t="str">
        <f>_xlfn.XLOOKUP(D1497,Master[Product_Code],Master[Color])</f>
        <v>Navy Blue</v>
      </c>
      <c r="L1497" s="3">
        <f>_xlfn.XLOOKUP(D1497,Master[Product_Code],Master[Selling_Price])</f>
        <v>280</v>
      </c>
    </row>
    <row r="1498" spans="2:12">
      <c r="B1498" s="2" t="s">
        <v>2379</v>
      </c>
      <c r="C1498" s="7">
        <v>45978</v>
      </c>
      <c r="D1498" s="2" t="s">
        <v>308</v>
      </c>
      <c r="E1498" s="4">
        <v>1</v>
      </c>
      <c r="F1498" s="8" t="str">
        <f>_xlfn.XLOOKUP(D1498,Master[Product_Code],Master[Category])</f>
        <v>Shirt</v>
      </c>
      <c r="G1498" s="8" t="str">
        <f>_xlfn.XLOOKUP(D1498,Master[Product_Code],Master[Brand])</f>
        <v>USD</v>
      </c>
      <c r="H1498" s="8" t="str">
        <f>_xlfn.XLOOKUP(D1498,Master[Product_Code],Master[Style])</f>
        <v>Partywear</v>
      </c>
      <c r="I1498" s="8" t="str">
        <f>_xlfn.XLOOKUP(D1498,Master[Product_Code],Master[Fabric])</f>
        <v>Cotton Blend</v>
      </c>
      <c r="J1498" s="8" t="str">
        <f>_xlfn.XLOOKUP(D1498,Master[Product_Code],Master[Size])</f>
        <v>L</v>
      </c>
      <c r="K1498" s="8" t="str">
        <f>_xlfn.XLOOKUP(D1498,Master[Product_Code],Master[Color])</f>
        <v>Sky Blue</v>
      </c>
      <c r="L1498" s="3">
        <f>_xlfn.XLOOKUP(D1498,Master[Product_Code],Master[Selling_Price])</f>
        <v>780</v>
      </c>
    </row>
    <row r="1499" spans="2:12">
      <c r="B1499" s="2" t="s">
        <v>2379</v>
      </c>
      <c r="C1499" s="7">
        <v>45978</v>
      </c>
      <c r="D1499" s="2" t="s">
        <v>1200</v>
      </c>
      <c r="E1499" s="4">
        <v>1</v>
      </c>
      <c r="F1499" s="8" t="str">
        <f>_xlfn.XLOOKUP(D1499,Master[Product_Code],Master[Category])</f>
        <v>Pants</v>
      </c>
      <c r="G1499" s="8" t="str">
        <f>_xlfn.XLOOKUP(D1499,Master[Product_Code],Master[Brand])</f>
        <v>Peter England</v>
      </c>
      <c r="H1499" s="8" t="str">
        <f>_xlfn.XLOOKUP(D1499,Master[Product_Code],Master[Style])</f>
        <v>Boot Cut</v>
      </c>
      <c r="I1499" s="8" t="str">
        <f>_xlfn.XLOOKUP(D1499,Master[Product_Code],Master[Fabric])</f>
        <v>Poly Viscose</v>
      </c>
      <c r="J1499" s="8">
        <f>_xlfn.XLOOKUP(D1499,Master[Product_Code],Master[Size])</f>
        <v>30</v>
      </c>
      <c r="K1499" s="8" t="str">
        <f>_xlfn.XLOOKUP(D1499,Master[Product_Code],Master[Color])</f>
        <v>Olive</v>
      </c>
      <c r="L1499" s="3">
        <f>_xlfn.XLOOKUP(D1499,Master[Product_Code],Master[Selling_Price])</f>
        <v>740</v>
      </c>
    </row>
    <row r="1500" spans="2:12">
      <c r="B1500" s="2" t="s">
        <v>2380</v>
      </c>
      <c r="C1500" s="7">
        <v>45978</v>
      </c>
      <c r="D1500" s="2" t="s">
        <v>1547</v>
      </c>
      <c r="E1500" s="4">
        <v>1</v>
      </c>
      <c r="F1500" s="8" t="str">
        <f>_xlfn.XLOOKUP(D1500,Master[Product_Code],Master[Category])</f>
        <v>Innerwear</v>
      </c>
      <c r="G1500" s="8" t="str">
        <f>_xlfn.XLOOKUP(D1500,Master[Product_Code],Master[Brand])</f>
        <v>V Star</v>
      </c>
      <c r="H1500" s="8" t="str">
        <f>_xlfn.XLOOKUP(D1500,Master[Product_Code],Master[Style])</f>
        <v>Boxer</v>
      </c>
      <c r="I1500" s="8" t="str">
        <f>_xlfn.XLOOKUP(D1500,Master[Product_Code],Master[Fabric])</f>
        <v>Cotton Blend</v>
      </c>
      <c r="J1500" s="8" t="str">
        <f>_xlfn.XLOOKUP(D1500,Master[Product_Code],Master[Size])</f>
        <v>105-110</v>
      </c>
      <c r="K1500" s="8" t="str">
        <f>_xlfn.XLOOKUP(D1500,Master[Product_Code],Master[Color])</f>
        <v>Royal Blue</v>
      </c>
      <c r="L1500" s="3">
        <f>_xlfn.XLOOKUP(D1500,Master[Product_Code],Master[Selling_Price])</f>
        <v>140</v>
      </c>
    </row>
    <row r="1501" spans="2:12">
      <c r="B1501" s="2" t="s">
        <v>2380</v>
      </c>
      <c r="C1501" s="7">
        <v>45978</v>
      </c>
      <c r="D1501" s="2" t="s">
        <v>346</v>
      </c>
      <c r="E1501" s="4">
        <v>1</v>
      </c>
      <c r="F1501" s="8" t="str">
        <f>_xlfn.XLOOKUP(D1501,Master[Product_Code],Master[Category])</f>
        <v>Shirt</v>
      </c>
      <c r="G1501" s="8" t="str">
        <f>_xlfn.XLOOKUP(D1501,Master[Product_Code],Master[Brand])</f>
        <v>British</v>
      </c>
      <c r="H1501" s="8" t="str">
        <f>_xlfn.XLOOKUP(D1501,Master[Product_Code],Master[Style])</f>
        <v>Partywear</v>
      </c>
      <c r="I1501" s="8" t="str">
        <f>_xlfn.XLOOKUP(D1501,Master[Product_Code],Master[Fabric])</f>
        <v>Cotton Blend</v>
      </c>
      <c r="J1501" s="8" t="str">
        <f>_xlfn.XLOOKUP(D1501,Master[Product_Code],Master[Size])</f>
        <v>M</v>
      </c>
      <c r="K1501" s="8" t="str">
        <f>_xlfn.XLOOKUP(D1501,Master[Product_Code],Master[Color])</f>
        <v>Grey</v>
      </c>
      <c r="L1501" s="3">
        <f>_xlfn.XLOOKUP(D1501,Master[Product_Code],Master[Selling_Price])</f>
        <v>760</v>
      </c>
    </row>
    <row r="1502" spans="2:12">
      <c r="B1502" s="2" t="s">
        <v>2380</v>
      </c>
      <c r="C1502" s="7">
        <v>45978</v>
      </c>
      <c r="D1502" s="2" t="s">
        <v>85</v>
      </c>
      <c r="E1502" s="4">
        <v>1</v>
      </c>
      <c r="F1502" s="8" t="str">
        <f>_xlfn.XLOOKUP(D1502,Master[Product_Code],Master[Category])</f>
        <v>Shirt</v>
      </c>
      <c r="G1502" s="8" t="str">
        <f>_xlfn.XLOOKUP(D1502,Master[Product_Code],Master[Brand])</f>
        <v>H&amp;M</v>
      </c>
      <c r="H1502" s="8" t="str">
        <f>_xlfn.XLOOKUP(D1502,Master[Product_Code],Master[Style])</f>
        <v>Formal</v>
      </c>
      <c r="I1502" s="8" t="str">
        <f>_xlfn.XLOOKUP(D1502,Master[Product_Code],Master[Fabric])</f>
        <v>Cotton</v>
      </c>
      <c r="J1502" s="8" t="str">
        <f>_xlfn.XLOOKUP(D1502,Master[Product_Code],Master[Size])</f>
        <v>XXL</v>
      </c>
      <c r="K1502" s="8" t="str">
        <f>_xlfn.XLOOKUP(D1502,Master[Product_Code],Master[Color])</f>
        <v>Black</v>
      </c>
      <c r="L1502" s="3">
        <f>_xlfn.XLOOKUP(D1502,Master[Product_Code],Master[Selling_Price])</f>
        <v>790</v>
      </c>
    </row>
    <row r="1503" spans="2:12">
      <c r="B1503" s="2" t="s">
        <v>2381</v>
      </c>
      <c r="C1503" s="7">
        <v>45978</v>
      </c>
      <c r="D1503" s="2" t="s">
        <v>594</v>
      </c>
      <c r="E1503" s="4">
        <v>1</v>
      </c>
      <c r="F1503" s="8" t="str">
        <f>_xlfn.XLOOKUP(D1503,Master[Product_Code],Master[Category])</f>
        <v>T-Shirt</v>
      </c>
      <c r="G1503" s="8" t="str">
        <f>_xlfn.XLOOKUP(D1503,Master[Product_Code],Master[Brand])</f>
        <v>Max</v>
      </c>
      <c r="H1503" s="8" t="str">
        <f>_xlfn.XLOOKUP(D1503,Master[Product_Code],Master[Style])</f>
        <v>Sleeveless</v>
      </c>
      <c r="I1503" s="8" t="str">
        <f>_xlfn.XLOOKUP(D1503,Master[Product_Code],Master[Fabric])</f>
        <v>Cotton Blend</v>
      </c>
      <c r="J1503" s="8" t="str">
        <f>_xlfn.XLOOKUP(D1503,Master[Product_Code],Master[Size])</f>
        <v>L</v>
      </c>
      <c r="K1503" s="8" t="str">
        <f>_xlfn.XLOOKUP(D1503,Master[Product_Code],Master[Color])</f>
        <v>Dark Green</v>
      </c>
      <c r="L1503" s="3">
        <f>_xlfn.XLOOKUP(D1503,Master[Product_Code],Master[Selling_Price])</f>
        <v>330</v>
      </c>
    </row>
    <row r="1504" spans="2:12">
      <c r="B1504" s="2" t="s">
        <v>2381</v>
      </c>
      <c r="C1504" s="7">
        <v>45978</v>
      </c>
      <c r="D1504" s="2" t="s">
        <v>470</v>
      </c>
      <c r="E1504" s="4">
        <v>1</v>
      </c>
      <c r="F1504" s="8" t="str">
        <f>_xlfn.XLOOKUP(D1504,Master[Product_Code],Master[Category])</f>
        <v>T-Shirt</v>
      </c>
      <c r="G1504" s="8" t="str">
        <f>_xlfn.XLOOKUP(D1504,Master[Product_Code],Master[Brand])</f>
        <v>Thailand</v>
      </c>
      <c r="H1504" s="8" t="str">
        <f>_xlfn.XLOOKUP(D1504,Master[Product_Code],Master[Style])</f>
        <v>Sleeveless</v>
      </c>
      <c r="I1504" s="8" t="str">
        <f>_xlfn.XLOOKUP(D1504,Master[Product_Code],Master[Fabric])</f>
        <v>Cotton Blend</v>
      </c>
      <c r="J1504" s="8" t="str">
        <f>_xlfn.XLOOKUP(D1504,Master[Product_Code],Master[Size])</f>
        <v>XXL</v>
      </c>
      <c r="K1504" s="8" t="str">
        <f>_xlfn.XLOOKUP(D1504,Master[Product_Code],Master[Color])</f>
        <v>Wine</v>
      </c>
      <c r="L1504" s="3">
        <f>_xlfn.XLOOKUP(D1504,Master[Product_Code],Master[Selling_Price])</f>
        <v>530</v>
      </c>
    </row>
    <row r="1505" spans="2:12">
      <c r="B1505" s="2" t="s">
        <v>2382</v>
      </c>
      <c r="C1505" s="7">
        <v>45979</v>
      </c>
      <c r="D1505" s="2" t="s">
        <v>188</v>
      </c>
      <c r="E1505" s="4">
        <v>1</v>
      </c>
      <c r="F1505" s="8" t="str">
        <f>_xlfn.XLOOKUP(D1505,Master[Product_Code],Master[Category])</f>
        <v>Shirt</v>
      </c>
      <c r="G1505" s="8" t="str">
        <f>_xlfn.XLOOKUP(D1505,Master[Product_Code],Master[Brand])</f>
        <v>L7</v>
      </c>
      <c r="H1505" s="8" t="str">
        <f>_xlfn.XLOOKUP(D1505,Master[Product_Code],Master[Style])</f>
        <v>Partywear</v>
      </c>
      <c r="I1505" s="8" t="str">
        <f>_xlfn.XLOOKUP(D1505,Master[Product_Code],Master[Fabric])</f>
        <v>Lycra</v>
      </c>
      <c r="J1505" s="8" t="str">
        <f>_xlfn.XLOOKUP(D1505,Master[Product_Code],Master[Size])</f>
        <v>XL</v>
      </c>
      <c r="K1505" s="8" t="str">
        <f>_xlfn.XLOOKUP(D1505,Master[Product_Code],Master[Color])</f>
        <v>Brown</v>
      </c>
      <c r="L1505" s="3">
        <f>_xlfn.XLOOKUP(D1505,Master[Product_Code],Master[Selling_Price])</f>
        <v>800</v>
      </c>
    </row>
    <row r="1506" spans="2:12">
      <c r="B1506" s="2" t="s">
        <v>2382</v>
      </c>
      <c r="C1506" s="7">
        <v>45979</v>
      </c>
      <c r="D1506" s="2" t="s">
        <v>866</v>
      </c>
      <c r="E1506" s="4">
        <v>1</v>
      </c>
      <c r="F1506" s="8" t="str">
        <f>_xlfn.XLOOKUP(D1506,Master[Product_Code],Master[Category])</f>
        <v>Jeans</v>
      </c>
      <c r="G1506" s="8" t="str">
        <f>_xlfn.XLOOKUP(D1506,Master[Product_Code],Master[Brand])</f>
        <v>Denim Pro</v>
      </c>
      <c r="H1506" s="8" t="str">
        <f>_xlfn.XLOOKUP(D1506,Master[Product_Code],Master[Style])</f>
        <v>Jogger</v>
      </c>
      <c r="I1506" s="8" t="str">
        <f>_xlfn.XLOOKUP(D1506,Master[Product_Code],Master[Fabric])</f>
        <v>Denim</v>
      </c>
      <c r="J1506" s="8">
        <f>_xlfn.XLOOKUP(D1506,Master[Product_Code],Master[Size])</f>
        <v>34</v>
      </c>
      <c r="K1506" s="8" t="str">
        <f>_xlfn.XLOOKUP(D1506,Master[Product_Code],Master[Color])</f>
        <v>Mustard</v>
      </c>
      <c r="L1506" s="3">
        <f>_xlfn.XLOOKUP(D1506,Master[Product_Code],Master[Selling_Price])</f>
        <v>870</v>
      </c>
    </row>
    <row r="1507" spans="2:12">
      <c r="B1507" s="2" t="s">
        <v>2383</v>
      </c>
      <c r="C1507" s="7">
        <v>45979</v>
      </c>
      <c r="D1507" s="2" t="s">
        <v>1263</v>
      </c>
      <c r="E1507" s="4">
        <v>1</v>
      </c>
      <c r="F1507" s="8" t="str">
        <f>_xlfn.XLOOKUP(D1507,Master[Product_Code],Master[Category])</f>
        <v>Pants</v>
      </c>
      <c r="G1507" s="8" t="str">
        <f>_xlfn.XLOOKUP(D1507,Master[Product_Code],Master[Brand])</f>
        <v>Louis Philippe</v>
      </c>
      <c r="H1507" s="8" t="str">
        <f>_xlfn.XLOOKUP(D1507,Master[Product_Code],Master[Style])</f>
        <v>Boot Cut</v>
      </c>
      <c r="I1507" s="8" t="str">
        <f>_xlfn.XLOOKUP(D1507,Master[Product_Code],Master[Fabric])</f>
        <v>Cotton</v>
      </c>
      <c r="J1507" s="8">
        <f>_xlfn.XLOOKUP(D1507,Master[Product_Code],Master[Size])</f>
        <v>40</v>
      </c>
      <c r="K1507" s="8" t="str">
        <f>_xlfn.XLOOKUP(D1507,Master[Product_Code],Master[Color])</f>
        <v>Grey</v>
      </c>
      <c r="L1507" s="3">
        <f>_xlfn.XLOOKUP(D1507,Master[Product_Code],Master[Selling_Price])</f>
        <v>800</v>
      </c>
    </row>
    <row r="1508" spans="2:12">
      <c r="B1508" s="2" t="s">
        <v>2384</v>
      </c>
      <c r="C1508" s="7">
        <v>45979</v>
      </c>
      <c r="D1508" s="2" t="s">
        <v>1272</v>
      </c>
      <c r="E1508" s="4">
        <v>1</v>
      </c>
      <c r="F1508" s="8" t="str">
        <f>_xlfn.XLOOKUP(D1508,Master[Product_Code],Master[Category])</f>
        <v>Pants</v>
      </c>
      <c r="G1508" s="8" t="str">
        <f>_xlfn.XLOOKUP(D1508,Master[Product_Code],Master[Brand])</f>
        <v>Louis Philippe</v>
      </c>
      <c r="H1508" s="8" t="str">
        <f>_xlfn.XLOOKUP(D1508,Master[Product_Code],Master[Style])</f>
        <v>Kurka</v>
      </c>
      <c r="I1508" s="8" t="str">
        <f>_xlfn.XLOOKUP(D1508,Master[Product_Code],Master[Fabric])</f>
        <v>Lycra</v>
      </c>
      <c r="J1508" s="8">
        <f>_xlfn.XLOOKUP(D1508,Master[Product_Code],Master[Size])</f>
        <v>38</v>
      </c>
      <c r="K1508" s="8" t="str">
        <f>_xlfn.XLOOKUP(D1508,Master[Product_Code],Master[Color])</f>
        <v>Wine</v>
      </c>
      <c r="L1508" s="3">
        <f>_xlfn.XLOOKUP(D1508,Master[Product_Code],Master[Selling_Price])</f>
        <v>820</v>
      </c>
    </row>
    <row r="1509" spans="2:12">
      <c r="B1509" s="2" t="s">
        <v>2384</v>
      </c>
      <c r="C1509" s="7">
        <v>45979</v>
      </c>
      <c r="D1509" s="2" t="s">
        <v>1713</v>
      </c>
      <c r="E1509" s="4">
        <v>1</v>
      </c>
      <c r="F1509" s="8" t="str">
        <f>_xlfn.XLOOKUP(D1509,Master[Product_Code],Master[Category])</f>
        <v>Innerwear</v>
      </c>
      <c r="G1509" s="8" t="str">
        <f>_xlfn.XLOOKUP(D1509,Master[Product_Code],Master[Brand])</f>
        <v>Jockey</v>
      </c>
      <c r="H1509" s="8" t="str">
        <f>_xlfn.XLOOKUP(D1509,Master[Product_Code],Master[Style])</f>
        <v>V-Cut</v>
      </c>
      <c r="I1509" s="8" t="str">
        <f>_xlfn.XLOOKUP(D1509,Master[Product_Code],Master[Fabric])</f>
        <v>Cotton Blend</v>
      </c>
      <c r="J1509" s="8" t="str">
        <f>_xlfn.XLOOKUP(D1509,Master[Product_Code],Master[Size])</f>
        <v>85-90</v>
      </c>
      <c r="K1509" s="8" t="str">
        <f>_xlfn.XLOOKUP(D1509,Master[Product_Code],Master[Color])</f>
        <v>Navy Blue</v>
      </c>
      <c r="L1509" s="3">
        <f>_xlfn.XLOOKUP(D1509,Master[Product_Code],Master[Selling_Price])</f>
        <v>170</v>
      </c>
    </row>
    <row r="1510" spans="2:12">
      <c r="B1510" s="2" t="s">
        <v>2385</v>
      </c>
      <c r="C1510" s="7">
        <v>45979</v>
      </c>
      <c r="D1510" s="2" t="s">
        <v>575</v>
      </c>
      <c r="E1510" s="4">
        <v>1</v>
      </c>
      <c r="F1510" s="8" t="str">
        <f>_xlfn.XLOOKUP(D1510,Master[Product_Code],Master[Category])</f>
        <v>T-Shirt</v>
      </c>
      <c r="G1510" s="8" t="str">
        <f>_xlfn.XLOOKUP(D1510,Master[Product_Code],Master[Brand])</f>
        <v>Thailand</v>
      </c>
      <c r="H1510" s="8" t="str">
        <f>_xlfn.XLOOKUP(D1510,Master[Product_Code],Master[Style])</f>
        <v>Hoodie</v>
      </c>
      <c r="I1510" s="8" t="str">
        <f>_xlfn.XLOOKUP(D1510,Master[Product_Code],Master[Fabric])</f>
        <v>Cotton</v>
      </c>
      <c r="J1510" s="8" t="str">
        <f>_xlfn.XLOOKUP(D1510,Master[Product_Code],Master[Size])</f>
        <v>M</v>
      </c>
      <c r="K1510" s="8" t="str">
        <f>_xlfn.XLOOKUP(D1510,Master[Product_Code],Master[Color])</f>
        <v>Sky Blue</v>
      </c>
      <c r="L1510" s="3">
        <f>_xlfn.XLOOKUP(D1510,Master[Product_Code],Master[Selling_Price])</f>
        <v>590</v>
      </c>
    </row>
    <row r="1511" spans="2:12">
      <c r="B1511" s="2" t="s">
        <v>2386</v>
      </c>
      <c r="C1511" s="7">
        <v>45979</v>
      </c>
      <c r="D1511" s="2" t="s">
        <v>1274</v>
      </c>
      <c r="E1511" s="4">
        <v>1</v>
      </c>
      <c r="F1511" s="8" t="str">
        <f>_xlfn.XLOOKUP(D1511,Master[Product_Code],Master[Category])</f>
        <v>Pants</v>
      </c>
      <c r="G1511" s="8" t="str">
        <f>_xlfn.XLOOKUP(D1511,Master[Product_Code],Master[Brand])</f>
        <v>Van Heusen</v>
      </c>
      <c r="H1511" s="8" t="str">
        <f>_xlfn.XLOOKUP(D1511,Master[Product_Code],Master[Style])</f>
        <v>Boot Cut</v>
      </c>
      <c r="I1511" s="8" t="str">
        <f>_xlfn.XLOOKUP(D1511,Master[Product_Code],Master[Fabric])</f>
        <v>Poly Viscose</v>
      </c>
      <c r="J1511" s="8">
        <f>_xlfn.XLOOKUP(D1511,Master[Product_Code],Master[Size])</f>
        <v>36</v>
      </c>
      <c r="K1511" s="8" t="str">
        <f>_xlfn.XLOOKUP(D1511,Master[Product_Code],Master[Color])</f>
        <v>Royal Blue</v>
      </c>
      <c r="L1511" s="3">
        <f>_xlfn.XLOOKUP(D1511,Master[Product_Code],Master[Selling_Price])</f>
        <v>800</v>
      </c>
    </row>
    <row r="1512" spans="2:12">
      <c r="B1512" s="2" t="s">
        <v>2386</v>
      </c>
      <c r="C1512" s="7">
        <v>45979</v>
      </c>
      <c r="D1512" s="2" t="s">
        <v>1736</v>
      </c>
      <c r="E1512" s="4">
        <v>1</v>
      </c>
      <c r="F1512" s="8" t="str">
        <f>_xlfn.XLOOKUP(D1512,Master[Product_Code],Master[Category])</f>
        <v>Innerwear</v>
      </c>
      <c r="G1512" s="8" t="str">
        <f>_xlfn.XLOOKUP(D1512,Master[Product_Code],Master[Brand])</f>
        <v>Lux</v>
      </c>
      <c r="H1512" s="8" t="str">
        <f>_xlfn.XLOOKUP(D1512,Master[Product_Code],Master[Style])</f>
        <v>Boxer</v>
      </c>
      <c r="I1512" s="8" t="str">
        <f>_xlfn.XLOOKUP(D1512,Master[Product_Code],Master[Fabric])</f>
        <v>Cotton</v>
      </c>
      <c r="J1512" s="8" t="str">
        <f>_xlfn.XLOOKUP(D1512,Master[Product_Code],Master[Size])</f>
        <v>100-105</v>
      </c>
      <c r="K1512" s="8" t="str">
        <f>_xlfn.XLOOKUP(D1512,Master[Product_Code],Master[Color])</f>
        <v>Brown</v>
      </c>
      <c r="L1512" s="3">
        <f>_xlfn.XLOOKUP(D1512,Master[Product_Code],Master[Selling_Price])</f>
        <v>170</v>
      </c>
    </row>
    <row r="1513" spans="2:12">
      <c r="B1513" s="2" t="s">
        <v>2386</v>
      </c>
      <c r="C1513" s="7">
        <v>45979</v>
      </c>
      <c r="D1513" s="2" t="s">
        <v>929</v>
      </c>
      <c r="E1513" s="4">
        <v>1</v>
      </c>
      <c r="F1513" s="8" t="str">
        <f>_xlfn.XLOOKUP(D1513,Master[Product_Code],Master[Category])</f>
        <v>Jeans</v>
      </c>
      <c r="G1513" s="8" t="str">
        <f>_xlfn.XLOOKUP(D1513,Master[Product_Code],Master[Brand])</f>
        <v>Denim Pro</v>
      </c>
      <c r="H1513" s="8" t="str">
        <f>_xlfn.XLOOKUP(D1513,Master[Product_Code],Master[Style])</f>
        <v>Jogger</v>
      </c>
      <c r="I1513" s="8" t="str">
        <f>_xlfn.XLOOKUP(D1513,Master[Product_Code],Master[Fabric])</f>
        <v>Denim</v>
      </c>
      <c r="J1513" s="8">
        <f>_xlfn.XLOOKUP(D1513,Master[Product_Code],Master[Size])</f>
        <v>40</v>
      </c>
      <c r="K1513" s="8" t="str">
        <f>_xlfn.XLOOKUP(D1513,Master[Product_Code],Master[Color])</f>
        <v>Light Grey</v>
      </c>
      <c r="L1513" s="3">
        <f>_xlfn.XLOOKUP(D1513,Master[Product_Code],Master[Selling_Price])</f>
        <v>1020</v>
      </c>
    </row>
    <row r="1514" spans="2:12">
      <c r="B1514" s="2" t="s">
        <v>2387</v>
      </c>
      <c r="C1514" s="7">
        <v>45979</v>
      </c>
      <c r="D1514" s="2" t="s">
        <v>1060</v>
      </c>
      <c r="E1514" s="4">
        <v>1</v>
      </c>
      <c r="F1514" s="8" t="str">
        <f>_xlfn.XLOOKUP(D1514,Master[Product_Code],Master[Category])</f>
        <v>Jeans</v>
      </c>
      <c r="G1514" s="8" t="str">
        <f>_xlfn.XLOOKUP(D1514,Master[Product_Code],Master[Brand])</f>
        <v>Levis</v>
      </c>
      <c r="H1514" s="8" t="str">
        <f>_xlfn.XLOOKUP(D1514,Master[Product_Code],Master[Style])</f>
        <v>Jogger</v>
      </c>
      <c r="I1514" s="8" t="str">
        <f>_xlfn.XLOOKUP(D1514,Master[Product_Code],Master[Fabric])</f>
        <v>Denim</v>
      </c>
      <c r="J1514" s="8">
        <f>_xlfn.XLOOKUP(D1514,Master[Product_Code],Master[Size])</f>
        <v>42</v>
      </c>
      <c r="K1514" s="8" t="str">
        <f>_xlfn.XLOOKUP(D1514,Master[Product_Code],Master[Color])</f>
        <v>Beige</v>
      </c>
      <c r="L1514" s="3">
        <f>_xlfn.XLOOKUP(D1514,Master[Product_Code],Master[Selling_Price])</f>
        <v>880</v>
      </c>
    </row>
    <row r="1515" spans="2:12">
      <c r="B1515" s="2" t="s">
        <v>2387</v>
      </c>
      <c r="C1515" s="7">
        <v>45979</v>
      </c>
      <c r="D1515" s="2" t="s">
        <v>1356</v>
      </c>
      <c r="E1515" s="4">
        <v>1</v>
      </c>
      <c r="F1515" s="8" t="str">
        <f>_xlfn.XLOOKUP(D1515,Master[Product_Code],Master[Category])</f>
        <v>Pants</v>
      </c>
      <c r="G1515" s="8" t="str">
        <f>_xlfn.XLOOKUP(D1515,Master[Product_Code],Master[Brand])</f>
        <v>Peter England</v>
      </c>
      <c r="H1515" s="8" t="str">
        <f>_xlfn.XLOOKUP(D1515,Master[Product_Code],Master[Style])</f>
        <v>Kurka</v>
      </c>
      <c r="I1515" s="8" t="str">
        <f>_xlfn.XLOOKUP(D1515,Master[Product_Code],Master[Fabric])</f>
        <v>Lycra</v>
      </c>
      <c r="J1515" s="8">
        <f>_xlfn.XLOOKUP(D1515,Master[Product_Code],Master[Size])</f>
        <v>40</v>
      </c>
      <c r="K1515" s="8" t="str">
        <f>_xlfn.XLOOKUP(D1515,Master[Product_Code],Master[Color])</f>
        <v>White</v>
      </c>
      <c r="L1515" s="3">
        <f>_xlfn.XLOOKUP(D1515,Master[Product_Code],Master[Selling_Price])</f>
        <v>710</v>
      </c>
    </row>
    <row r="1516" spans="2:12">
      <c r="B1516" s="2" t="s">
        <v>2387</v>
      </c>
      <c r="C1516" s="7">
        <v>45979</v>
      </c>
      <c r="D1516" s="2" t="s">
        <v>87</v>
      </c>
      <c r="E1516" s="4">
        <v>1</v>
      </c>
      <c r="F1516" s="8" t="str">
        <f>_xlfn.XLOOKUP(D1516,Master[Product_Code],Master[Category])</f>
        <v>Shirt</v>
      </c>
      <c r="G1516" s="8" t="str">
        <f>_xlfn.XLOOKUP(D1516,Master[Product_Code],Master[Brand])</f>
        <v>Luke &amp; Burg</v>
      </c>
      <c r="H1516" s="8" t="str">
        <f>_xlfn.XLOOKUP(D1516,Master[Product_Code],Master[Style])</f>
        <v>Formal</v>
      </c>
      <c r="I1516" s="8" t="str">
        <f>_xlfn.XLOOKUP(D1516,Master[Product_Code],Master[Fabric])</f>
        <v>Lycra</v>
      </c>
      <c r="J1516" s="8" t="str">
        <f>_xlfn.XLOOKUP(D1516,Master[Product_Code],Master[Size])</f>
        <v>XL</v>
      </c>
      <c r="K1516" s="8" t="str">
        <f>_xlfn.XLOOKUP(D1516,Master[Product_Code],Master[Color])</f>
        <v>Black</v>
      </c>
      <c r="L1516" s="3">
        <f>_xlfn.XLOOKUP(D1516,Master[Product_Code],Master[Selling_Price])</f>
        <v>940</v>
      </c>
    </row>
    <row r="1517" spans="2:12">
      <c r="B1517" s="2" t="s">
        <v>2388</v>
      </c>
      <c r="C1517" s="7">
        <v>45979</v>
      </c>
      <c r="D1517" s="2" t="s">
        <v>1715</v>
      </c>
      <c r="E1517" s="4">
        <v>1</v>
      </c>
      <c r="F1517" s="8" t="str">
        <f>_xlfn.XLOOKUP(D1517,Master[Product_Code],Master[Category])</f>
        <v>Innerwear</v>
      </c>
      <c r="G1517" s="8" t="str">
        <f>_xlfn.XLOOKUP(D1517,Master[Product_Code],Master[Brand])</f>
        <v>Jockey</v>
      </c>
      <c r="H1517" s="8" t="str">
        <f>_xlfn.XLOOKUP(D1517,Master[Product_Code],Master[Style])</f>
        <v>V-Cut</v>
      </c>
      <c r="I1517" s="8" t="str">
        <f>_xlfn.XLOOKUP(D1517,Master[Product_Code],Master[Fabric])</f>
        <v>Cotton</v>
      </c>
      <c r="J1517" s="8" t="str">
        <f>_xlfn.XLOOKUP(D1517,Master[Product_Code],Master[Size])</f>
        <v>90-100</v>
      </c>
      <c r="K1517" s="8" t="str">
        <f>_xlfn.XLOOKUP(D1517,Master[Product_Code],Master[Color])</f>
        <v>Maroon</v>
      </c>
      <c r="L1517" s="3">
        <f>_xlfn.XLOOKUP(D1517,Master[Product_Code],Master[Selling_Price])</f>
        <v>150</v>
      </c>
    </row>
    <row r="1518" spans="2:12">
      <c r="B1518" s="2" t="s">
        <v>2388</v>
      </c>
      <c r="C1518" s="7">
        <v>45979</v>
      </c>
      <c r="D1518" s="2" t="s">
        <v>1557</v>
      </c>
      <c r="E1518" s="4">
        <v>1</v>
      </c>
      <c r="F1518" s="8" t="str">
        <f>_xlfn.XLOOKUP(D1518,Master[Product_Code],Master[Category])</f>
        <v>Innerwear</v>
      </c>
      <c r="G1518" s="8" t="str">
        <f>_xlfn.XLOOKUP(D1518,Master[Product_Code],Master[Brand])</f>
        <v>Jockey</v>
      </c>
      <c r="H1518" s="8" t="str">
        <f>_xlfn.XLOOKUP(D1518,Master[Product_Code],Master[Style])</f>
        <v>V-Cut</v>
      </c>
      <c r="I1518" s="8" t="str">
        <f>_xlfn.XLOOKUP(D1518,Master[Product_Code],Master[Fabric])</f>
        <v>Cotton Blend</v>
      </c>
      <c r="J1518" s="8" t="str">
        <f>_xlfn.XLOOKUP(D1518,Master[Product_Code],Master[Size])</f>
        <v>75-80</v>
      </c>
      <c r="K1518" s="8" t="str">
        <f>_xlfn.XLOOKUP(D1518,Master[Product_Code],Master[Color])</f>
        <v>Light Grey</v>
      </c>
      <c r="L1518" s="3">
        <f>_xlfn.XLOOKUP(D1518,Master[Product_Code],Master[Selling_Price])</f>
        <v>150</v>
      </c>
    </row>
    <row r="1519" spans="2:12">
      <c r="B1519" s="2" t="s">
        <v>2388</v>
      </c>
      <c r="C1519" s="7">
        <v>45979</v>
      </c>
      <c r="D1519" s="2" t="s">
        <v>608</v>
      </c>
      <c r="E1519" s="4">
        <v>1</v>
      </c>
      <c r="F1519" s="8" t="str">
        <f>_xlfn.XLOOKUP(D1519,Master[Product_Code],Master[Category])</f>
        <v>T-Shirt</v>
      </c>
      <c r="G1519" s="8" t="str">
        <f>_xlfn.XLOOKUP(D1519,Master[Product_Code],Master[Brand])</f>
        <v>Urban Monkey</v>
      </c>
      <c r="H1519" s="8" t="str">
        <f>_xlfn.XLOOKUP(D1519,Master[Product_Code],Master[Style])</f>
        <v>3/4 Sleeve</v>
      </c>
      <c r="I1519" s="8" t="str">
        <f>_xlfn.XLOOKUP(D1519,Master[Product_Code],Master[Fabric])</f>
        <v>Poly Cotton</v>
      </c>
      <c r="J1519" s="8" t="str">
        <f>_xlfn.XLOOKUP(D1519,Master[Product_Code],Master[Size])</f>
        <v>S</v>
      </c>
      <c r="K1519" s="8" t="str">
        <f>_xlfn.XLOOKUP(D1519,Master[Product_Code],Master[Color])</f>
        <v>Maroon</v>
      </c>
      <c r="L1519" s="3">
        <f>_xlfn.XLOOKUP(D1519,Master[Product_Code],Master[Selling_Price])</f>
        <v>370</v>
      </c>
    </row>
    <row r="1520" spans="2:12">
      <c r="B1520" s="2" t="s">
        <v>2388</v>
      </c>
      <c r="C1520" s="7">
        <v>45979</v>
      </c>
      <c r="D1520" s="2" t="s">
        <v>188</v>
      </c>
      <c r="E1520" s="4">
        <v>1</v>
      </c>
      <c r="F1520" s="8" t="str">
        <f>_xlfn.XLOOKUP(D1520,Master[Product_Code],Master[Category])</f>
        <v>Shirt</v>
      </c>
      <c r="G1520" s="8" t="str">
        <f>_xlfn.XLOOKUP(D1520,Master[Product_Code],Master[Brand])</f>
        <v>L7</v>
      </c>
      <c r="H1520" s="8" t="str">
        <f>_xlfn.XLOOKUP(D1520,Master[Product_Code],Master[Style])</f>
        <v>Partywear</v>
      </c>
      <c r="I1520" s="8" t="str">
        <f>_xlfn.XLOOKUP(D1520,Master[Product_Code],Master[Fabric])</f>
        <v>Lycra</v>
      </c>
      <c r="J1520" s="8" t="str">
        <f>_xlfn.XLOOKUP(D1520,Master[Product_Code],Master[Size])</f>
        <v>XL</v>
      </c>
      <c r="K1520" s="8" t="str">
        <f>_xlfn.XLOOKUP(D1520,Master[Product_Code],Master[Color])</f>
        <v>Brown</v>
      </c>
      <c r="L1520" s="3">
        <f>_xlfn.XLOOKUP(D1520,Master[Product_Code],Master[Selling_Price])</f>
        <v>800</v>
      </c>
    </row>
    <row r="1521" spans="2:12">
      <c r="B1521" s="2" t="s">
        <v>2389</v>
      </c>
      <c r="C1521" s="7">
        <v>45979</v>
      </c>
      <c r="D1521" s="2" t="s">
        <v>1754</v>
      </c>
      <c r="E1521" s="4">
        <v>1</v>
      </c>
      <c r="F1521" s="8" t="str">
        <f>_xlfn.XLOOKUP(D1521,Master[Product_Code],Master[Category])</f>
        <v>Innerwear</v>
      </c>
      <c r="G1521" s="8" t="str">
        <f>_xlfn.XLOOKUP(D1521,Master[Product_Code],Master[Brand])</f>
        <v>Lux</v>
      </c>
      <c r="H1521" s="8" t="str">
        <f>_xlfn.XLOOKUP(D1521,Master[Product_Code],Master[Style])</f>
        <v>V-Cut</v>
      </c>
      <c r="I1521" s="8" t="str">
        <f>_xlfn.XLOOKUP(D1521,Master[Product_Code],Master[Fabric])</f>
        <v>Cotton</v>
      </c>
      <c r="J1521" s="8" t="str">
        <f>_xlfn.XLOOKUP(D1521,Master[Product_Code],Master[Size])</f>
        <v>85-90</v>
      </c>
      <c r="K1521" s="8" t="str">
        <f>_xlfn.XLOOKUP(D1521,Master[Product_Code],Master[Color])</f>
        <v>Sky Blue</v>
      </c>
      <c r="L1521" s="3">
        <f>_xlfn.XLOOKUP(D1521,Master[Product_Code],Master[Selling_Price])</f>
        <v>190</v>
      </c>
    </row>
    <row r="1522" spans="2:12">
      <c r="B1522" s="2" t="s">
        <v>2389</v>
      </c>
      <c r="C1522" s="7">
        <v>45979</v>
      </c>
      <c r="D1522" s="2" t="s">
        <v>1336</v>
      </c>
      <c r="E1522" s="4">
        <v>1</v>
      </c>
      <c r="F1522" s="8" t="str">
        <f>_xlfn.XLOOKUP(D1522,Master[Product_Code],Master[Category])</f>
        <v>Pants</v>
      </c>
      <c r="G1522" s="8" t="str">
        <f>_xlfn.XLOOKUP(D1522,Master[Product_Code],Master[Brand])</f>
        <v>Van Heusen</v>
      </c>
      <c r="H1522" s="8" t="str">
        <f>_xlfn.XLOOKUP(D1522,Master[Product_Code],Master[Style])</f>
        <v>Polofit</v>
      </c>
      <c r="I1522" s="8" t="str">
        <f>_xlfn.XLOOKUP(D1522,Master[Product_Code],Master[Fabric])</f>
        <v>Lycra</v>
      </c>
      <c r="J1522" s="8">
        <f>_xlfn.XLOOKUP(D1522,Master[Product_Code],Master[Size])</f>
        <v>44</v>
      </c>
      <c r="K1522" s="8" t="str">
        <f>_xlfn.XLOOKUP(D1522,Master[Product_Code],Master[Color])</f>
        <v>Royal Blue</v>
      </c>
      <c r="L1522" s="3">
        <f>_xlfn.XLOOKUP(D1522,Master[Product_Code],Master[Selling_Price])</f>
        <v>810</v>
      </c>
    </row>
    <row r="1523" spans="2:12">
      <c r="B1523" s="2" t="s">
        <v>2390</v>
      </c>
      <c r="C1523" s="7">
        <v>45979</v>
      </c>
      <c r="D1523" s="2" t="s">
        <v>738</v>
      </c>
      <c r="E1523" s="4">
        <v>1</v>
      </c>
      <c r="F1523" s="8" t="str">
        <f>_xlfn.XLOOKUP(D1523,Master[Product_Code],Master[Category])</f>
        <v>T-Shirt</v>
      </c>
      <c r="G1523" s="8" t="str">
        <f>_xlfn.XLOOKUP(D1523,Master[Product_Code],Master[Brand])</f>
        <v>Max</v>
      </c>
      <c r="H1523" s="8" t="str">
        <f>_xlfn.XLOOKUP(D1523,Master[Product_Code],Master[Style])</f>
        <v>Sleeveless</v>
      </c>
      <c r="I1523" s="8" t="str">
        <f>_xlfn.XLOOKUP(D1523,Master[Product_Code],Master[Fabric])</f>
        <v>Cotton Blend</v>
      </c>
      <c r="J1523" s="8" t="str">
        <f>_xlfn.XLOOKUP(D1523,Master[Product_Code],Master[Size])</f>
        <v>XL</v>
      </c>
      <c r="K1523" s="8" t="str">
        <f>_xlfn.XLOOKUP(D1523,Master[Product_Code],Master[Color])</f>
        <v>Bottle Green</v>
      </c>
      <c r="L1523" s="3">
        <f>_xlfn.XLOOKUP(D1523,Master[Product_Code],Master[Selling_Price])</f>
        <v>390</v>
      </c>
    </row>
    <row r="1524" spans="2:12">
      <c r="B1524" s="2" t="s">
        <v>2390</v>
      </c>
      <c r="C1524" s="7">
        <v>45979</v>
      </c>
      <c r="D1524" s="2" t="s">
        <v>703</v>
      </c>
      <c r="E1524" s="4">
        <v>1</v>
      </c>
      <c r="F1524" s="8" t="str">
        <f>_xlfn.XLOOKUP(D1524,Master[Product_Code],Master[Category])</f>
        <v>T-Shirt</v>
      </c>
      <c r="G1524" s="8" t="str">
        <f>_xlfn.XLOOKUP(D1524,Master[Product_Code],Master[Brand])</f>
        <v>Campus</v>
      </c>
      <c r="H1524" s="8" t="str">
        <f>_xlfn.XLOOKUP(D1524,Master[Product_Code],Master[Style])</f>
        <v>Half Sleeve</v>
      </c>
      <c r="I1524" s="8" t="str">
        <f>_xlfn.XLOOKUP(D1524,Master[Product_Code],Master[Fabric])</f>
        <v>Poly Cotton</v>
      </c>
      <c r="J1524" s="8" t="str">
        <f>_xlfn.XLOOKUP(D1524,Master[Product_Code],Master[Size])</f>
        <v>XL</v>
      </c>
      <c r="K1524" s="8" t="str">
        <f>_xlfn.XLOOKUP(D1524,Master[Product_Code],Master[Color])</f>
        <v>Light Grey</v>
      </c>
      <c r="L1524" s="3">
        <f>_xlfn.XLOOKUP(D1524,Master[Product_Code],Master[Selling_Price])</f>
        <v>590</v>
      </c>
    </row>
    <row r="1525" spans="2:12">
      <c r="B1525" s="2" t="s">
        <v>2390</v>
      </c>
      <c r="C1525" s="7">
        <v>45979</v>
      </c>
      <c r="D1525" s="2" t="s">
        <v>778</v>
      </c>
      <c r="E1525" s="4">
        <v>1</v>
      </c>
      <c r="F1525" s="8" t="str">
        <f>_xlfn.XLOOKUP(D1525,Master[Product_Code],Master[Category])</f>
        <v>T-Shirt</v>
      </c>
      <c r="G1525" s="8" t="str">
        <f>_xlfn.XLOOKUP(D1525,Master[Product_Code],Master[Brand])</f>
        <v>Turkey</v>
      </c>
      <c r="H1525" s="8" t="str">
        <f>_xlfn.XLOOKUP(D1525,Master[Product_Code],Master[Style])</f>
        <v>Full Sleeve</v>
      </c>
      <c r="I1525" s="8" t="str">
        <f>_xlfn.XLOOKUP(D1525,Master[Product_Code],Master[Fabric])</f>
        <v>Cotton Blend</v>
      </c>
      <c r="J1525" s="8" t="str">
        <f>_xlfn.XLOOKUP(D1525,Master[Product_Code],Master[Size])</f>
        <v>XXL</v>
      </c>
      <c r="K1525" s="8" t="str">
        <f>_xlfn.XLOOKUP(D1525,Master[Product_Code],Master[Color])</f>
        <v>Maroon</v>
      </c>
      <c r="L1525" s="3">
        <f>_xlfn.XLOOKUP(D1525,Master[Product_Code],Master[Selling_Price])</f>
        <v>550</v>
      </c>
    </row>
    <row r="1526" spans="2:12">
      <c r="B1526" s="2" t="s">
        <v>2390</v>
      </c>
      <c r="C1526" s="7">
        <v>45979</v>
      </c>
      <c r="D1526" s="2" t="s">
        <v>140</v>
      </c>
      <c r="E1526" s="4">
        <v>1</v>
      </c>
      <c r="F1526" s="8" t="str">
        <f>_xlfn.XLOOKUP(D1526,Master[Product_Code],Master[Category])</f>
        <v>Shirt</v>
      </c>
      <c r="G1526" s="8" t="str">
        <f>_xlfn.XLOOKUP(D1526,Master[Product_Code],Master[Brand])</f>
        <v>Luke &amp; Burg</v>
      </c>
      <c r="H1526" s="8" t="str">
        <f>_xlfn.XLOOKUP(D1526,Master[Product_Code],Master[Style])</f>
        <v>Formal</v>
      </c>
      <c r="I1526" s="8" t="str">
        <f>_xlfn.XLOOKUP(D1526,Master[Product_Code],Master[Fabric])</f>
        <v>Polyester</v>
      </c>
      <c r="J1526" s="8" t="str">
        <f>_xlfn.XLOOKUP(D1526,Master[Product_Code],Master[Size])</f>
        <v>M</v>
      </c>
      <c r="K1526" s="8" t="str">
        <f>_xlfn.XLOOKUP(D1526,Master[Product_Code],Master[Color])</f>
        <v>White</v>
      </c>
      <c r="L1526" s="3">
        <f>_xlfn.XLOOKUP(D1526,Master[Product_Code],Master[Selling_Price])</f>
        <v>660</v>
      </c>
    </row>
    <row r="1527" spans="2:12">
      <c r="B1527" s="2" t="s">
        <v>2391</v>
      </c>
      <c r="C1527" s="7">
        <v>45979</v>
      </c>
      <c r="D1527" s="2" t="s">
        <v>199</v>
      </c>
      <c r="E1527" s="4">
        <v>1</v>
      </c>
      <c r="F1527" s="8" t="str">
        <f>_xlfn.XLOOKUP(D1527,Master[Product_Code],Master[Category])</f>
        <v>Shirt</v>
      </c>
      <c r="G1527" s="8" t="str">
        <f>_xlfn.XLOOKUP(D1527,Master[Product_Code],Master[Brand])</f>
        <v>Max</v>
      </c>
      <c r="H1527" s="8" t="str">
        <f>_xlfn.XLOOKUP(D1527,Master[Product_Code],Master[Style])</f>
        <v>Partywear</v>
      </c>
      <c r="I1527" s="8" t="str">
        <f>_xlfn.XLOOKUP(D1527,Master[Product_Code],Master[Fabric])</f>
        <v>Cotton</v>
      </c>
      <c r="J1527" s="8" t="str">
        <f>_xlfn.XLOOKUP(D1527,Master[Product_Code],Master[Size])</f>
        <v>XXL</v>
      </c>
      <c r="K1527" s="8" t="str">
        <f>_xlfn.XLOOKUP(D1527,Master[Product_Code],Master[Color])</f>
        <v>Navy Blue</v>
      </c>
      <c r="L1527" s="3">
        <f>_xlfn.XLOOKUP(D1527,Master[Product_Code],Master[Selling_Price])</f>
        <v>740</v>
      </c>
    </row>
    <row r="1528" spans="2:12">
      <c r="B1528" s="2" t="s">
        <v>2391</v>
      </c>
      <c r="C1528" s="7">
        <v>45979</v>
      </c>
      <c r="D1528" s="2" t="s">
        <v>500</v>
      </c>
      <c r="E1528" s="4">
        <v>1</v>
      </c>
      <c r="F1528" s="8" t="str">
        <f>_xlfn.XLOOKUP(D1528,Master[Product_Code],Master[Category])</f>
        <v>T-Shirt</v>
      </c>
      <c r="G1528" s="8" t="str">
        <f>_xlfn.XLOOKUP(D1528,Master[Product_Code],Master[Brand])</f>
        <v>Roadster</v>
      </c>
      <c r="H1528" s="8" t="str">
        <f>_xlfn.XLOOKUP(D1528,Master[Product_Code],Master[Style])</f>
        <v>3/4 Sleeve</v>
      </c>
      <c r="I1528" s="8" t="str">
        <f>_xlfn.XLOOKUP(D1528,Master[Product_Code],Master[Fabric])</f>
        <v>Poly Cotton</v>
      </c>
      <c r="J1528" s="8" t="str">
        <f>_xlfn.XLOOKUP(D1528,Master[Product_Code],Master[Size])</f>
        <v>S</v>
      </c>
      <c r="K1528" s="8" t="str">
        <f>_xlfn.XLOOKUP(D1528,Master[Product_Code],Master[Color])</f>
        <v>Maroon</v>
      </c>
      <c r="L1528" s="3">
        <f>_xlfn.XLOOKUP(D1528,Master[Product_Code],Master[Selling_Price])</f>
        <v>420</v>
      </c>
    </row>
    <row r="1529" spans="2:12">
      <c r="B1529" s="2" t="s">
        <v>2392</v>
      </c>
      <c r="C1529" s="7">
        <v>45979</v>
      </c>
      <c r="D1529" s="2" t="s">
        <v>1710</v>
      </c>
      <c r="E1529" s="4">
        <v>1</v>
      </c>
      <c r="F1529" s="8" t="str">
        <f>_xlfn.XLOOKUP(D1529,Master[Product_Code],Master[Category])</f>
        <v>Innerwear</v>
      </c>
      <c r="G1529" s="8" t="str">
        <f>_xlfn.XLOOKUP(D1529,Master[Product_Code],Master[Brand])</f>
        <v>Lux</v>
      </c>
      <c r="H1529" s="8" t="str">
        <f>_xlfn.XLOOKUP(D1529,Master[Product_Code],Master[Style])</f>
        <v>Boxer</v>
      </c>
      <c r="I1529" s="8" t="str">
        <f>_xlfn.XLOOKUP(D1529,Master[Product_Code],Master[Fabric])</f>
        <v>Cotton Blend</v>
      </c>
      <c r="J1529" s="8" t="str">
        <f>_xlfn.XLOOKUP(D1529,Master[Product_Code],Master[Size])</f>
        <v>80-85</v>
      </c>
      <c r="K1529" s="8" t="str">
        <f>_xlfn.XLOOKUP(D1529,Master[Product_Code],Master[Color])</f>
        <v>Light Grey</v>
      </c>
      <c r="L1529" s="3">
        <f>_xlfn.XLOOKUP(D1529,Master[Product_Code],Master[Selling_Price])</f>
        <v>120</v>
      </c>
    </row>
    <row r="1530" spans="2:12">
      <c r="B1530" s="2" t="s">
        <v>2392</v>
      </c>
      <c r="C1530" s="7">
        <v>45979</v>
      </c>
      <c r="D1530" s="2" t="s">
        <v>1584</v>
      </c>
      <c r="E1530" s="4">
        <v>1</v>
      </c>
      <c r="F1530" s="8" t="str">
        <f>_xlfn.XLOOKUP(D1530,Master[Product_Code],Master[Category])</f>
        <v>Innerwear</v>
      </c>
      <c r="G1530" s="8" t="str">
        <f>_xlfn.XLOOKUP(D1530,Master[Product_Code],Master[Brand])</f>
        <v>Lux</v>
      </c>
      <c r="H1530" s="8" t="str">
        <f>_xlfn.XLOOKUP(D1530,Master[Product_Code],Master[Style])</f>
        <v>Boxer</v>
      </c>
      <c r="I1530" s="8" t="str">
        <f>_xlfn.XLOOKUP(D1530,Master[Product_Code],Master[Fabric])</f>
        <v>Cotton Blend</v>
      </c>
      <c r="J1530" s="8" t="str">
        <f>_xlfn.XLOOKUP(D1530,Master[Product_Code],Master[Size])</f>
        <v>80-85</v>
      </c>
      <c r="K1530" s="8" t="str">
        <f>_xlfn.XLOOKUP(D1530,Master[Product_Code],Master[Color])</f>
        <v>Light Grey</v>
      </c>
      <c r="L1530" s="3">
        <f>_xlfn.XLOOKUP(D1530,Master[Product_Code],Master[Selling_Price])</f>
        <v>150</v>
      </c>
    </row>
    <row r="1531" spans="2:12">
      <c r="B1531" s="2" t="s">
        <v>2393</v>
      </c>
      <c r="C1531" s="7">
        <v>45979</v>
      </c>
      <c r="D1531" s="2" t="s">
        <v>489</v>
      </c>
      <c r="E1531" s="4">
        <v>1</v>
      </c>
      <c r="F1531" s="8" t="str">
        <f>_xlfn.XLOOKUP(D1531,Master[Product_Code],Master[Category])</f>
        <v>T-Shirt</v>
      </c>
      <c r="G1531" s="8" t="str">
        <f>_xlfn.XLOOKUP(D1531,Master[Product_Code],Master[Brand])</f>
        <v>Urban Monkey</v>
      </c>
      <c r="H1531" s="8" t="str">
        <f>_xlfn.XLOOKUP(D1531,Master[Product_Code],Master[Style])</f>
        <v>Sleeveless</v>
      </c>
      <c r="I1531" s="8" t="str">
        <f>_xlfn.XLOOKUP(D1531,Master[Product_Code],Master[Fabric])</f>
        <v>Poly Cotton</v>
      </c>
      <c r="J1531" s="8" t="str">
        <f>_xlfn.XLOOKUP(D1531,Master[Product_Code],Master[Size])</f>
        <v>XXL</v>
      </c>
      <c r="K1531" s="8" t="str">
        <f>_xlfn.XLOOKUP(D1531,Master[Product_Code],Master[Color])</f>
        <v>Peach</v>
      </c>
      <c r="L1531" s="3">
        <f>_xlfn.XLOOKUP(D1531,Master[Product_Code],Master[Selling_Price])</f>
        <v>350</v>
      </c>
    </row>
    <row r="1532" spans="2:12">
      <c r="B1532" s="2" t="s">
        <v>2393</v>
      </c>
      <c r="C1532" s="7">
        <v>45979</v>
      </c>
      <c r="D1532" s="2" t="s">
        <v>754</v>
      </c>
      <c r="E1532" s="4">
        <v>1</v>
      </c>
      <c r="F1532" s="8" t="str">
        <f>_xlfn.XLOOKUP(D1532,Master[Product_Code],Master[Category])</f>
        <v>T-Shirt</v>
      </c>
      <c r="G1532" s="8" t="str">
        <f>_xlfn.XLOOKUP(D1532,Master[Product_Code],Master[Brand])</f>
        <v>Campus</v>
      </c>
      <c r="H1532" s="8" t="str">
        <f>_xlfn.XLOOKUP(D1532,Master[Product_Code],Master[Style])</f>
        <v>Sleeveless</v>
      </c>
      <c r="I1532" s="8" t="str">
        <f>_xlfn.XLOOKUP(D1532,Master[Product_Code],Master[Fabric])</f>
        <v>Cotton Blend</v>
      </c>
      <c r="J1532" s="8" t="str">
        <f>_xlfn.XLOOKUP(D1532,Master[Product_Code],Master[Size])</f>
        <v>L</v>
      </c>
      <c r="K1532" s="8" t="str">
        <f>_xlfn.XLOOKUP(D1532,Master[Product_Code],Master[Color])</f>
        <v>Maroon</v>
      </c>
      <c r="L1532" s="3">
        <f>_xlfn.XLOOKUP(D1532,Master[Product_Code],Master[Selling_Price])</f>
        <v>720</v>
      </c>
    </row>
    <row r="1533" spans="2:12">
      <c r="B1533" s="2" t="s">
        <v>2393</v>
      </c>
      <c r="C1533" s="7">
        <v>45979</v>
      </c>
      <c r="D1533" s="2" t="s">
        <v>1515</v>
      </c>
      <c r="E1533" s="4">
        <v>1</v>
      </c>
      <c r="F1533" s="8" t="str">
        <f>_xlfn.XLOOKUP(D1533,Master[Product_Code],Master[Category])</f>
        <v>Innerwear</v>
      </c>
      <c r="G1533" s="8" t="str">
        <f>_xlfn.XLOOKUP(D1533,Master[Product_Code],Master[Brand])</f>
        <v>Rupa</v>
      </c>
      <c r="H1533" s="8" t="str">
        <f>_xlfn.XLOOKUP(D1533,Master[Product_Code],Master[Style])</f>
        <v>V-Cut</v>
      </c>
      <c r="I1533" s="8" t="str">
        <f>_xlfn.XLOOKUP(D1533,Master[Product_Code],Master[Fabric])</f>
        <v>Cotton Blend</v>
      </c>
      <c r="J1533" s="8" t="str">
        <f>_xlfn.XLOOKUP(D1533,Master[Product_Code],Master[Size])</f>
        <v>85-90</v>
      </c>
      <c r="K1533" s="8" t="str">
        <f>_xlfn.XLOOKUP(D1533,Master[Product_Code],Master[Color])</f>
        <v>Light Grey</v>
      </c>
      <c r="L1533" s="3">
        <f>_xlfn.XLOOKUP(D1533,Master[Product_Code],Master[Selling_Price])</f>
        <v>170</v>
      </c>
    </row>
    <row r="1534" spans="2:12">
      <c r="B1534" s="2" t="s">
        <v>2394</v>
      </c>
      <c r="C1534" s="7">
        <v>45979</v>
      </c>
      <c r="D1534" s="2" t="s">
        <v>169</v>
      </c>
      <c r="E1534" s="4">
        <v>1</v>
      </c>
      <c r="F1534" s="8" t="str">
        <f>_xlfn.XLOOKUP(D1534,Master[Product_Code],Master[Category])</f>
        <v>Shirt</v>
      </c>
      <c r="G1534" s="8" t="str">
        <f>_xlfn.XLOOKUP(D1534,Master[Product_Code],Master[Brand])</f>
        <v>H&amp;M</v>
      </c>
      <c r="H1534" s="8" t="str">
        <f>_xlfn.XLOOKUP(D1534,Master[Product_Code],Master[Style])</f>
        <v>Casual</v>
      </c>
      <c r="I1534" s="8" t="str">
        <f>_xlfn.XLOOKUP(D1534,Master[Product_Code],Master[Fabric])</f>
        <v>Polyester</v>
      </c>
      <c r="J1534" s="8" t="str">
        <f>_xlfn.XLOOKUP(D1534,Master[Product_Code],Master[Size])</f>
        <v>XL</v>
      </c>
      <c r="K1534" s="8" t="str">
        <f>_xlfn.XLOOKUP(D1534,Master[Product_Code],Master[Color])</f>
        <v>Brown</v>
      </c>
      <c r="L1534" s="3">
        <f>_xlfn.XLOOKUP(D1534,Master[Product_Code],Master[Selling_Price])</f>
        <v>910</v>
      </c>
    </row>
    <row r="1535" spans="2:12">
      <c r="B1535" s="2" t="s">
        <v>2395</v>
      </c>
      <c r="C1535" s="7">
        <v>45979</v>
      </c>
      <c r="D1535" s="2" t="s">
        <v>1545</v>
      </c>
      <c r="E1535" s="4">
        <v>1</v>
      </c>
      <c r="F1535" s="8" t="str">
        <f>_xlfn.XLOOKUP(D1535,Master[Product_Code],Master[Category])</f>
        <v>Innerwear</v>
      </c>
      <c r="G1535" s="8" t="str">
        <f>_xlfn.XLOOKUP(D1535,Master[Product_Code],Master[Brand])</f>
        <v>V Star</v>
      </c>
      <c r="H1535" s="8" t="str">
        <f>_xlfn.XLOOKUP(D1535,Master[Product_Code],Master[Style])</f>
        <v>Boxer</v>
      </c>
      <c r="I1535" s="8" t="str">
        <f>_xlfn.XLOOKUP(D1535,Master[Product_Code],Master[Fabric])</f>
        <v>Cotton Blend</v>
      </c>
      <c r="J1535" s="8" t="str">
        <f>_xlfn.XLOOKUP(D1535,Master[Product_Code],Master[Size])</f>
        <v>105-110</v>
      </c>
      <c r="K1535" s="8" t="str">
        <f>_xlfn.XLOOKUP(D1535,Master[Product_Code],Master[Color])</f>
        <v>Grey</v>
      </c>
      <c r="L1535" s="3">
        <f>_xlfn.XLOOKUP(D1535,Master[Product_Code],Master[Selling_Price])</f>
        <v>180</v>
      </c>
    </row>
    <row r="1536" spans="2:12">
      <c r="B1536" s="2" t="s">
        <v>2395</v>
      </c>
      <c r="C1536" s="7">
        <v>45979</v>
      </c>
      <c r="D1536" s="2" t="s">
        <v>1437</v>
      </c>
      <c r="E1536" s="4">
        <v>1</v>
      </c>
      <c r="F1536" s="8" t="str">
        <f>_xlfn.XLOOKUP(D1536,Master[Product_Code],Master[Category])</f>
        <v>Pants</v>
      </c>
      <c r="G1536" s="8" t="str">
        <f>_xlfn.XLOOKUP(D1536,Master[Product_Code],Master[Brand])</f>
        <v>Park Avenue</v>
      </c>
      <c r="H1536" s="8" t="str">
        <f>_xlfn.XLOOKUP(D1536,Master[Product_Code],Master[Style])</f>
        <v>Boot Cut</v>
      </c>
      <c r="I1536" s="8" t="str">
        <f>_xlfn.XLOOKUP(D1536,Master[Product_Code],Master[Fabric])</f>
        <v>Cotton</v>
      </c>
      <c r="J1536" s="8">
        <f>_xlfn.XLOOKUP(D1536,Master[Product_Code],Master[Size])</f>
        <v>38</v>
      </c>
      <c r="K1536" s="8" t="str">
        <f>_xlfn.XLOOKUP(D1536,Master[Product_Code],Master[Color])</f>
        <v>Teal</v>
      </c>
      <c r="L1536" s="3">
        <f>_xlfn.XLOOKUP(D1536,Master[Product_Code],Master[Selling_Price])</f>
        <v>880</v>
      </c>
    </row>
    <row r="1537" spans="2:12">
      <c r="B1537" s="2" t="s">
        <v>2395</v>
      </c>
      <c r="C1537" s="7">
        <v>45979</v>
      </c>
      <c r="D1537" s="2" t="s">
        <v>1622</v>
      </c>
      <c r="E1537" s="4">
        <v>1</v>
      </c>
      <c r="F1537" s="8" t="str">
        <f>_xlfn.XLOOKUP(D1537,Master[Product_Code],Master[Category])</f>
        <v>Innerwear</v>
      </c>
      <c r="G1537" s="8" t="str">
        <f>_xlfn.XLOOKUP(D1537,Master[Product_Code],Master[Brand])</f>
        <v>Lux</v>
      </c>
      <c r="H1537" s="8" t="str">
        <f>_xlfn.XLOOKUP(D1537,Master[Product_Code],Master[Style])</f>
        <v>V-Cut</v>
      </c>
      <c r="I1537" s="8" t="str">
        <f>_xlfn.XLOOKUP(D1537,Master[Product_Code],Master[Fabric])</f>
        <v>Cotton</v>
      </c>
      <c r="J1537" s="8" t="str">
        <f>_xlfn.XLOOKUP(D1537,Master[Product_Code],Master[Size])</f>
        <v>105-110</v>
      </c>
      <c r="K1537" s="8" t="str">
        <f>_xlfn.XLOOKUP(D1537,Master[Product_Code],Master[Color])</f>
        <v>Mustard</v>
      </c>
      <c r="L1537" s="3">
        <f>_xlfn.XLOOKUP(D1537,Master[Product_Code],Master[Selling_Price])</f>
        <v>190</v>
      </c>
    </row>
    <row r="1538" spans="2:12">
      <c r="B1538" s="2" t="s">
        <v>2395</v>
      </c>
      <c r="C1538" s="7">
        <v>45979</v>
      </c>
      <c r="D1538" s="2" t="s">
        <v>290</v>
      </c>
      <c r="E1538" s="4">
        <v>1</v>
      </c>
      <c r="F1538" s="8" t="str">
        <f>_xlfn.XLOOKUP(D1538,Master[Product_Code],Master[Category])</f>
        <v>Shirt</v>
      </c>
      <c r="G1538" s="8" t="str">
        <f>_xlfn.XLOOKUP(D1538,Master[Product_Code],Master[Brand])</f>
        <v>Luke &amp; Burg</v>
      </c>
      <c r="H1538" s="8" t="str">
        <f>_xlfn.XLOOKUP(D1538,Master[Product_Code],Master[Style])</f>
        <v>Formal</v>
      </c>
      <c r="I1538" s="8" t="str">
        <f>_xlfn.XLOOKUP(D1538,Master[Product_Code],Master[Fabric])</f>
        <v>Cotton Blend</v>
      </c>
      <c r="J1538" s="8" t="str">
        <f>_xlfn.XLOOKUP(D1538,Master[Product_Code],Master[Size])</f>
        <v>M</v>
      </c>
      <c r="K1538" s="8" t="str">
        <f>_xlfn.XLOOKUP(D1538,Master[Product_Code],Master[Color])</f>
        <v>Black</v>
      </c>
      <c r="L1538" s="3">
        <f>_xlfn.XLOOKUP(D1538,Master[Product_Code],Master[Selling_Price])</f>
        <v>710</v>
      </c>
    </row>
    <row r="1539" spans="2:12">
      <c r="B1539" s="2" t="s">
        <v>2396</v>
      </c>
      <c r="C1539" s="7">
        <v>45979</v>
      </c>
      <c r="D1539" s="2" t="s">
        <v>664</v>
      </c>
      <c r="E1539" s="4">
        <v>1</v>
      </c>
      <c r="F1539" s="8" t="str">
        <f>_xlfn.XLOOKUP(D1539,Master[Product_Code],Master[Category])</f>
        <v>T-Shirt</v>
      </c>
      <c r="G1539" s="8" t="str">
        <f>_xlfn.XLOOKUP(D1539,Master[Product_Code],Master[Brand])</f>
        <v>Roadster</v>
      </c>
      <c r="H1539" s="8" t="str">
        <f>_xlfn.XLOOKUP(D1539,Master[Product_Code],Master[Style])</f>
        <v>Full Sleeve</v>
      </c>
      <c r="I1539" s="8" t="str">
        <f>_xlfn.XLOOKUP(D1539,Master[Product_Code],Master[Fabric])</f>
        <v>Cotton</v>
      </c>
      <c r="J1539" s="8" t="str">
        <f>_xlfn.XLOOKUP(D1539,Master[Product_Code],Master[Size])</f>
        <v>L</v>
      </c>
      <c r="K1539" s="8" t="str">
        <f>_xlfn.XLOOKUP(D1539,Master[Product_Code],Master[Color])</f>
        <v>White</v>
      </c>
      <c r="L1539" s="3">
        <f>_xlfn.XLOOKUP(D1539,Master[Product_Code],Master[Selling_Price])</f>
        <v>630</v>
      </c>
    </row>
    <row r="1540" spans="2:12">
      <c r="B1540" s="2" t="s">
        <v>2397</v>
      </c>
      <c r="C1540" s="7">
        <v>45979</v>
      </c>
      <c r="D1540" s="2" t="s">
        <v>1041</v>
      </c>
      <c r="E1540" s="4">
        <v>1</v>
      </c>
      <c r="F1540" s="8" t="str">
        <f>_xlfn.XLOOKUP(D1540,Master[Product_Code],Master[Category])</f>
        <v>Jeans</v>
      </c>
      <c r="G1540" s="8" t="str">
        <f>_xlfn.XLOOKUP(D1540,Master[Product_Code],Master[Brand])</f>
        <v>Levis</v>
      </c>
      <c r="H1540" s="8" t="str">
        <f>_xlfn.XLOOKUP(D1540,Master[Product_Code],Master[Style])</f>
        <v>Mom Fit</v>
      </c>
      <c r="I1540" s="8" t="str">
        <f>_xlfn.XLOOKUP(D1540,Master[Product_Code],Master[Fabric])</f>
        <v>Denim</v>
      </c>
      <c r="J1540" s="8">
        <f>_xlfn.XLOOKUP(D1540,Master[Product_Code],Master[Size])</f>
        <v>44</v>
      </c>
      <c r="K1540" s="8" t="str">
        <f>_xlfn.XLOOKUP(D1540,Master[Product_Code],Master[Color])</f>
        <v>Navy Blue</v>
      </c>
      <c r="L1540" s="3">
        <f>_xlfn.XLOOKUP(D1540,Master[Product_Code],Master[Selling_Price])</f>
        <v>870</v>
      </c>
    </row>
    <row r="1541" spans="2:12">
      <c r="B1541" s="2" t="s">
        <v>2397</v>
      </c>
      <c r="C1541" s="7">
        <v>45979</v>
      </c>
      <c r="D1541" s="2" t="s">
        <v>106</v>
      </c>
      <c r="E1541" s="4">
        <v>1</v>
      </c>
      <c r="F1541" s="8" t="str">
        <f>_xlfn.XLOOKUP(D1541,Master[Product_Code],Master[Category])</f>
        <v>Shirt</v>
      </c>
      <c r="G1541" s="8" t="str">
        <f>_xlfn.XLOOKUP(D1541,Master[Product_Code],Master[Brand])</f>
        <v>Zara</v>
      </c>
      <c r="H1541" s="8" t="str">
        <f>_xlfn.XLOOKUP(D1541,Master[Product_Code],Master[Style])</f>
        <v>Formal</v>
      </c>
      <c r="I1541" s="8" t="str">
        <f>_xlfn.XLOOKUP(D1541,Master[Product_Code],Master[Fabric])</f>
        <v>Cotton</v>
      </c>
      <c r="J1541" s="8" t="str">
        <f>_xlfn.XLOOKUP(D1541,Master[Product_Code],Master[Size])</f>
        <v>M</v>
      </c>
      <c r="K1541" s="8" t="str">
        <f>_xlfn.XLOOKUP(D1541,Master[Product_Code],Master[Color])</f>
        <v>Dark Green</v>
      </c>
      <c r="L1541" s="3">
        <f>_xlfn.XLOOKUP(D1541,Master[Product_Code],Master[Selling_Price])</f>
        <v>830</v>
      </c>
    </row>
    <row r="1542" spans="2:12">
      <c r="B1542" s="2" t="s">
        <v>2397</v>
      </c>
      <c r="C1542" s="7">
        <v>45979</v>
      </c>
      <c r="D1542" s="2" t="s">
        <v>883</v>
      </c>
      <c r="E1542" s="4">
        <v>1</v>
      </c>
      <c r="F1542" s="8" t="str">
        <f>_xlfn.XLOOKUP(D1542,Master[Product_Code],Master[Category])</f>
        <v>Jeans</v>
      </c>
      <c r="G1542" s="8" t="str">
        <f>_xlfn.XLOOKUP(D1542,Master[Product_Code],Master[Brand])</f>
        <v>Locomotive</v>
      </c>
      <c r="H1542" s="8" t="str">
        <f>_xlfn.XLOOKUP(D1542,Master[Product_Code],Master[Style])</f>
        <v>Jogger</v>
      </c>
      <c r="I1542" s="8" t="str">
        <f>_xlfn.XLOOKUP(D1542,Master[Product_Code],Master[Fabric])</f>
        <v>Denim</v>
      </c>
      <c r="J1542" s="8">
        <f>_xlfn.XLOOKUP(D1542,Master[Product_Code],Master[Size])</f>
        <v>42</v>
      </c>
      <c r="K1542" s="8" t="str">
        <f>_xlfn.XLOOKUP(D1542,Master[Product_Code],Master[Color])</f>
        <v>Grey</v>
      </c>
      <c r="L1542" s="3">
        <f>_xlfn.XLOOKUP(D1542,Master[Product_Code],Master[Selling_Price])</f>
        <v>880</v>
      </c>
    </row>
    <row r="1543" spans="2:12">
      <c r="B1543" s="2" t="s">
        <v>2398</v>
      </c>
      <c r="C1543" s="7">
        <v>45979</v>
      </c>
      <c r="D1543" s="2" t="s">
        <v>1023</v>
      </c>
      <c r="E1543" s="4">
        <v>1</v>
      </c>
      <c r="F1543" s="8" t="str">
        <f>_xlfn.XLOOKUP(D1543,Master[Product_Code],Master[Category])</f>
        <v>Jeans</v>
      </c>
      <c r="G1543" s="8" t="str">
        <f>_xlfn.XLOOKUP(D1543,Master[Product_Code],Master[Brand])</f>
        <v>Pepe</v>
      </c>
      <c r="H1543" s="8" t="str">
        <f>_xlfn.XLOOKUP(D1543,Master[Product_Code],Master[Style])</f>
        <v>Jogger</v>
      </c>
      <c r="I1543" s="8" t="str">
        <f>_xlfn.XLOOKUP(D1543,Master[Product_Code],Master[Fabric])</f>
        <v>Denim</v>
      </c>
      <c r="J1543" s="8">
        <f>_xlfn.XLOOKUP(D1543,Master[Product_Code],Master[Size])</f>
        <v>32</v>
      </c>
      <c r="K1543" s="8" t="str">
        <f>_xlfn.XLOOKUP(D1543,Master[Product_Code],Master[Color])</f>
        <v>Brown</v>
      </c>
      <c r="L1543" s="3">
        <f>_xlfn.XLOOKUP(D1543,Master[Product_Code],Master[Selling_Price])</f>
        <v>980</v>
      </c>
    </row>
    <row r="1544" spans="2:12">
      <c r="B1544" s="2" t="s">
        <v>2398</v>
      </c>
      <c r="C1544" s="7">
        <v>45979</v>
      </c>
      <c r="D1544" s="2" t="s">
        <v>1732</v>
      </c>
      <c r="E1544" s="4">
        <v>1</v>
      </c>
      <c r="F1544" s="8" t="str">
        <f>_xlfn.XLOOKUP(D1544,Master[Product_Code],Master[Category])</f>
        <v>Innerwear</v>
      </c>
      <c r="G1544" s="8" t="str">
        <f>_xlfn.XLOOKUP(D1544,Master[Product_Code],Master[Brand])</f>
        <v>V Star</v>
      </c>
      <c r="H1544" s="8" t="str">
        <f>_xlfn.XLOOKUP(D1544,Master[Product_Code],Master[Style])</f>
        <v>V-Cut</v>
      </c>
      <c r="I1544" s="8" t="str">
        <f>_xlfn.XLOOKUP(D1544,Master[Product_Code],Master[Fabric])</f>
        <v>Cotton</v>
      </c>
      <c r="J1544" s="8" t="str">
        <f>_xlfn.XLOOKUP(D1544,Master[Product_Code],Master[Size])</f>
        <v>75-80</v>
      </c>
      <c r="K1544" s="8" t="str">
        <f>_xlfn.XLOOKUP(D1544,Master[Product_Code],Master[Color])</f>
        <v>Navy Blue</v>
      </c>
      <c r="L1544" s="3">
        <f>_xlfn.XLOOKUP(D1544,Master[Product_Code],Master[Selling_Price])</f>
        <v>150</v>
      </c>
    </row>
    <row r="1545" spans="2:12">
      <c r="B1545" s="2" t="s">
        <v>2398</v>
      </c>
      <c r="C1545" s="7">
        <v>45979</v>
      </c>
      <c r="D1545" s="2" t="s">
        <v>244</v>
      </c>
      <c r="E1545" s="4">
        <v>1</v>
      </c>
      <c r="F1545" s="8" t="str">
        <f>_xlfn.XLOOKUP(D1545,Master[Product_Code],Master[Category])</f>
        <v>Shirt</v>
      </c>
      <c r="G1545" s="8" t="str">
        <f>_xlfn.XLOOKUP(D1545,Master[Product_Code],Master[Brand])</f>
        <v>Max</v>
      </c>
      <c r="H1545" s="8" t="str">
        <f>_xlfn.XLOOKUP(D1545,Master[Product_Code],Master[Style])</f>
        <v>Formal</v>
      </c>
      <c r="I1545" s="8" t="str">
        <f>_xlfn.XLOOKUP(D1545,Master[Product_Code],Master[Fabric])</f>
        <v>Cotton</v>
      </c>
      <c r="J1545" s="8" t="str">
        <f>_xlfn.XLOOKUP(D1545,Master[Product_Code],Master[Size])</f>
        <v>L</v>
      </c>
      <c r="K1545" s="8" t="str">
        <f>_xlfn.XLOOKUP(D1545,Master[Product_Code],Master[Color])</f>
        <v>Dark Green</v>
      </c>
      <c r="L1545" s="3">
        <f>_xlfn.XLOOKUP(D1545,Master[Product_Code],Master[Selling_Price])</f>
        <v>680</v>
      </c>
    </row>
    <row r="1546" spans="2:12">
      <c r="B1546" s="2" t="s">
        <v>2399</v>
      </c>
      <c r="C1546" s="7">
        <v>45980</v>
      </c>
      <c r="D1546" s="2" t="s">
        <v>518</v>
      </c>
      <c r="E1546" s="4">
        <v>1</v>
      </c>
      <c r="F1546" s="8" t="str">
        <f>_xlfn.XLOOKUP(D1546,Master[Product_Code],Master[Category])</f>
        <v>T-Shirt</v>
      </c>
      <c r="G1546" s="8" t="str">
        <f>_xlfn.XLOOKUP(D1546,Master[Product_Code],Master[Brand])</f>
        <v>Thailand</v>
      </c>
      <c r="H1546" s="8" t="str">
        <f>_xlfn.XLOOKUP(D1546,Master[Product_Code],Master[Style])</f>
        <v>Full Sleeve</v>
      </c>
      <c r="I1546" s="8" t="str">
        <f>_xlfn.XLOOKUP(D1546,Master[Product_Code],Master[Fabric])</f>
        <v>Cotton Blend</v>
      </c>
      <c r="J1546" s="8" t="str">
        <f>_xlfn.XLOOKUP(D1546,Master[Product_Code],Master[Size])</f>
        <v>M</v>
      </c>
      <c r="K1546" s="8" t="str">
        <f>_xlfn.XLOOKUP(D1546,Master[Product_Code],Master[Color])</f>
        <v>Maroon</v>
      </c>
      <c r="L1546" s="3">
        <f>_xlfn.XLOOKUP(D1546,Master[Product_Code],Master[Selling_Price])</f>
        <v>470</v>
      </c>
    </row>
    <row r="1547" spans="2:12">
      <c r="B1547" s="2" t="s">
        <v>2399</v>
      </c>
      <c r="C1547" s="7">
        <v>45980</v>
      </c>
      <c r="D1547" s="2" t="s">
        <v>864</v>
      </c>
      <c r="E1547" s="4">
        <v>1</v>
      </c>
      <c r="F1547" s="8" t="str">
        <f>_xlfn.XLOOKUP(D1547,Master[Product_Code],Master[Category])</f>
        <v>Jeans</v>
      </c>
      <c r="G1547" s="8" t="str">
        <f>_xlfn.XLOOKUP(D1547,Master[Product_Code],Master[Brand])</f>
        <v>Denim Pro</v>
      </c>
      <c r="H1547" s="8" t="str">
        <f>_xlfn.XLOOKUP(D1547,Master[Product_Code],Master[Style])</f>
        <v>Jogger</v>
      </c>
      <c r="I1547" s="8" t="str">
        <f>_xlfn.XLOOKUP(D1547,Master[Product_Code],Master[Fabric])</f>
        <v>Denim</v>
      </c>
      <c r="J1547" s="8">
        <f>_xlfn.XLOOKUP(D1547,Master[Product_Code],Master[Size])</f>
        <v>40</v>
      </c>
      <c r="K1547" s="8" t="str">
        <f>_xlfn.XLOOKUP(D1547,Master[Product_Code],Master[Color])</f>
        <v>Grey</v>
      </c>
      <c r="L1547" s="3">
        <f>_xlfn.XLOOKUP(D1547,Master[Product_Code],Master[Selling_Price])</f>
        <v>870</v>
      </c>
    </row>
    <row r="1548" spans="2:12">
      <c r="B1548" s="2" t="s">
        <v>2400</v>
      </c>
      <c r="C1548" s="7">
        <v>45980</v>
      </c>
      <c r="D1548" s="2" t="s">
        <v>175</v>
      </c>
      <c r="E1548" s="4">
        <v>1</v>
      </c>
      <c r="F1548" s="8" t="str">
        <f>_xlfn.XLOOKUP(D1548,Master[Product_Code],Master[Category])</f>
        <v>Shirt</v>
      </c>
      <c r="G1548" s="8" t="str">
        <f>_xlfn.XLOOKUP(D1548,Master[Product_Code],Master[Brand])</f>
        <v>USD</v>
      </c>
      <c r="H1548" s="8" t="str">
        <f>_xlfn.XLOOKUP(D1548,Master[Product_Code],Master[Style])</f>
        <v>Formal</v>
      </c>
      <c r="I1548" s="8" t="str">
        <f>_xlfn.XLOOKUP(D1548,Master[Product_Code],Master[Fabric])</f>
        <v>Cotton</v>
      </c>
      <c r="J1548" s="8" t="str">
        <f>_xlfn.XLOOKUP(D1548,Master[Product_Code],Master[Size])</f>
        <v>M</v>
      </c>
      <c r="K1548" s="8" t="str">
        <f>_xlfn.XLOOKUP(D1548,Master[Product_Code],Master[Color])</f>
        <v>Brown</v>
      </c>
      <c r="L1548" s="3">
        <f>_xlfn.XLOOKUP(D1548,Master[Product_Code],Master[Selling_Price])</f>
        <v>720</v>
      </c>
    </row>
    <row r="1549" spans="2:12">
      <c r="B1549" s="2" t="s">
        <v>2400</v>
      </c>
      <c r="C1549" s="7">
        <v>45980</v>
      </c>
      <c r="D1549" s="2" t="s">
        <v>1043</v>
      </c>
      <c r="E1549" s="4">
        <v>1</v>
      </c>
      <c r="F1549" s="8" t="str">
        <f>_xlfn.XLOOKUP(D1549,Master[Product_Code],Master[Category])</f>
        <v>Jeans</v>
      </c>
      <c r="G1549" s="8" t="str">
        <f>_xlfn.XLOOKUP(D1549,Master[Product_Code],Master[Brand])</f>
        <v>Pepe</v>
      </c>
      <c r="H1549" s="8" t="str">
        <f>_xlfn.XLOOKUP(D1549,Master[Product_Code],Master[Style])</f>
        <v>Jogger</v>
      </c>
      <c r="I1549" s="8" t="str">
        <f>_xlfn.XLOOKUP(D1549,Master[Product_Code],Master[Fabric])</f>
        <v>Denim</v>
      </c>
      <c r="J1549" s="8">
        <f>_xlfn.XLOOKUP(D1549,Master[Product_Code],Master[Size])</f>
        <v>32</v>
      </c>
      <c r="K1549" s="8" t="str">
        <f>_xlfn.XLOOKUP(D1549,Master[Product_Code],Master[Color])</f>
        <v>Cream</v>
      </c>
      <c r="L1549" s="3">
        <f>_xlfn.XLOOKUP(D1549,Master[Product_Code],Master[Selling_Price])</f>
        <v>1030</v>
      </c>
    </row>
    <row r="1550" spans="2:12">
      <c r="B1550" s="2" t="s">
        <v>2400</v>
      </c>
      <c r="C1550" s="7">
        <v>45980</v>
      </c>
      <c r="D1550" s="2" t="s">
        <v>462</v>
      </c>
      <c r="E1550" s="4">
        <v>1</v>
      </c>
      <c r="F1550" s="8" t="str">
        <f>_xlfn.XLOOKUP(D1550,Master[Product_Code],Master[Category])</f>
        <v>T-Shirt</v>
      </c>
      <c r="G1550" s="8" t="str">
        <f>_xlfn.XLOOKUP(D1550,Master[Product_Code],Master[Brand])</f>
        <v>Roadster</v>
      </c>
      <c r="H1550" s="8" t="str">
        <f>_xlfn.XLOOKUP(D1550,Master[Product_Code],Master[Style])</f>
        <v>Full Sleeve</v>
      </c>
      <c r="I1550" s="8" t="str">
        <f>_xlfn.XLOOKUP(D1550,Master[Product_Code],Master[Fabric])</f>
        <v>Poly Cotton</v>
      </c>
      <c r="J1550" s="8" t="str">
        <f>_xlfn.XLOOKUP(D1550,Master[Product_Code],Master[Size])</f>
        <v>XXL</v>
      </c>
      <c r="K1550" s="8" t="str">
        <f>_xlfn.XLOOKUP(D1550,Master[Product_Code],Master[Color])</f>
        <v>Black</v>
      </c>
      <c r="L1550" s="3">
        <f>_xlfn.XLOOKUP(D1550,Master[Product_Code],Master[Selling_Price])</f>
        <v>630</v>
      </c>
    </row>
    <row r="1551" spans="2:12">
      <c r="B1551" s="2" t="s">
        <v>2400</v>
      </c>
      <c r="C1551" s="7">
        <v>45980</v>
      </c>
      <c r="D1551" s="2" t="s">
        <v>1343</v>
      </c>
      <c r="E1551" s="4">
        <v>1</v>
      </c>
      <c r="F1551" s="8" t="str">
        <f>_xlfn.XLOOKUP(D1551,Master[Product_Code],Master[Category])</f>
        <v>Pants</v>
      </c>
      <c r="G1551" s="8" t="str">
        <f>_xlfn.XLOOKUP(D1551,Master[Product_Code],Master[Brand])</f>
        <v>Park Avenue</v>
      </c>
      <c r="H1551" s="8" t="str">
        <f>_xlfn.XLOOKUP(D1551,Master[Product_Code],Master[Style])</f>
        <v>Korean</v>
      </c>
      <c r="I1551" s="8" t="str">
        <f>_xlfn.XLOOKUP(D1551,Master[Product_Code],Master[Fabric])</f>
        <v>Lycra</v>
      </c>
      <c r="J1551" s="8">
        <f>_xlfn.XLOOKUP(D1551,Master[Product_Code],Master[Size])</f>
        <v>28</v>
      </c>
      <c r="K1551" s="8" t="str">
        <f>_xlfn.XLOOKUP(D1551,Master[Product_Code],Master[Color])</f>
        <v>Sky Blue</v>
      </c>
      <c r="L1551" s="3">
        <f>_xlfn.XLOOKUP(D1551,Master[Product_Code],Master[Selling_Price])</f>
        <v>790</v>
      </c>
    </row>
    <row r="1552" spans="2:12">
      <c r="B1552" s="2" t="s">
        <v>2401</v>
      </c>
      <c r="C1552" s="7">
        <v>45980</v>
      </c>
      <c r="D1552" s="2" t="s">
        <v>1315</v>
      </c>
      <c r="E1552" s="4">
        <v>1</v>
      </c>
      <c r="F1552" s="8" t="str">
        <f>_xlfn.XLOOKUP(D1552,Master[Product_Code],Master[Category])</f>
        <v>Pants</v>
      </c>
      <c r="G1552" s="8" t="str">
        <f>_xlfn.XLOOKUP(D1552,Master[Product_Code],Master[Brand])</f>
        <v>Louis Philippe</v>
      </c>
      <c r="H1552" s="8" t="str">
        <f>_xlfn.XLOOKUP(D1552,Master[Product_Code],Master[Style])</f>
        <v>Polofit</v>
      </c>
      <c r="I1552" s="8" t="str">
        <f>_xlfn.XLOOKUP(D1552,Master[Product_Code],Master[Fabric])</f>
        <v>Lycra</v>
      </c>
      <c r="J1552" s="8">
        <f>_xlfn.XLOOKUP(D1552,Master[Product_Code],Master[Size])</f>
        <v>36</v>
      </c>
      <c r="K1552" s="8" t="str">
        <f>_xlfn.XLOOKUP(D1552,Master[Product_Code],Master[Color])</f>
        <v>Grey</v>
      </c>
      <c r="L1552" s="3">
        <f>_xlfn.XLOOKUP(D1552,Master[Product_Code],Master[Selling_Price])</f>
        <v>860</v>
      </c>
    </row>
    <row r="1553" spans="2:12">
      <c r="B1553" s="2" t="s">
        <v>2401</v>
      </c>
      <c r="C1553" s="7">
        <v>45980</v>
      </c>
      <c r="D1553" s="2" t="s">
        <v>1506</v>
      </c>
      <c r="E1553" s="4">
        <v>1</v>
      </c>
      <c r="F1553" s="8" t="str">
        <f>_xlfn.XLOOKUP(D1553,Master[Product_Code],Master[Category])</f>
        <v>Innerwear</v>
      </c>
      <c r="G1553" s="8" t="str">
        <f>_xlfn.XLOOKUP(D1553,Master[Product_Code],Master[Brand])</f>
        <v>Rupa</v>
      </c>
      <c r="H1553" s="8" t="str">
        <f>_xlfn.XLOOKUP(D1553,Master[Product_Code],Master[Style])</f>
        <v>Boxer</v>
      </c>
      <c r="I1553" s="8" t="str">
        <f>_xlfn.XLOOKUP(D1553,Master[Product_Code],Master[Fabric])</f>
        <v>Cotton</v>
      </c>
      <c r="J1553" s="8" t="str">
        <f>_xlfn.XLOOKUP(D1553,Master[Product_Code],Master[Size])</f>
        <v>100-105</v>
      </c>
      <c r="K1553" s="8" t="str">
        <f>_xlfn.XLOOKUP(D1553,Master[Product_Code],Master[Color])</f>
        <v>Navy Blue</v>
      </c>
      <c r="L1553" s="3">
        <f>_xlfn.XLOOKUP(D1553,Master[Product_Code],Master[Selling_Price])</f>
        <v>150</v>
      </c>
    </row>
    <row r="1554" spans="2:12">
      <c r="B1554" s="2" t="s">
        <v>2401</v>
      </c>
      <c r="C1554" s="7">
        <v>45980</v>
      </c>
      <c r="D1554" s="2" t="s">
        <v>1391</v>
      </c>
      <c r="E1554" s="4">
        <v>1</v>
      </c>
      <c r="F1554" s="8" t="str">
        <f>_xlfn.XLOOKUP(D1554,Master[Product_Code],Master[Category])</f>
        <v>Pants</v>
      </c>
      <c r="G1554" s="8" t="str">
        <f>_xlfn.XLOOKUP(D1554,Master[Product_Code],Master[Brand])</f>
        <v>Louis Philippe</v>
      </c>
      <c r="H1554" s="8" t="str">
        <f>_xlfn.XLOOKUP(D1554,Master[Product_Code],Master[Style])</f>
        <v>Korean</v>
      </c>
      <c r="I1554" s="8" t="str">
        <f>_xlfn.XLOOKUP(D1554,Master[Product_Code],Master[Fabric])</f>
        <v>Lycra</v>
      </c>
      <c r="J1554" s="8">
        <f>_xlfn.XLOOKUP(D1554,Master[Product_Code],Master[Size])</f>
        <v>42</v>
      </c>
      <c r="K1554" s="8" t="str">
        <f>_xlfn.XLOOKUP(D1554,Master[Product_Code],Master[Color])</f>
        <v>Black</v>
      </c>
      <c r="L1554" s="3">
        <f>_xlfn.XLOOKUP(D1554,Master[Product_Code],Master[Selling_Price])</f>
        <v>740</v>
      </c>
    </row>
    <row r="1555" spans="2:12">
      <c r="B1555" s="2" t="s">
        <v>2402</v>
      </c>
      <c r="C1555" s="7">
        <v>45980</v>
      </c>
      <c r="D1555" s="2" t="s">
        <v>846</v>
      </c>
      <c r="E1555" s="4">
        <v>1</v>
      </c>
      <c r="F1555" s="8" t="str">
        <f>_xlfn.XLOOKUP(D1555,Master[Product_Code],Master[Category])</f>
        <v>Jeans</v>
      </c>
      <c r="G1555" s="8" t="str">
        <f>_xlfn.XLOOKUP(D1555,Master[Product_Code],Master[Brand])</f>
        <v>Pepe</v>
      </c>
      <c r="H1555" s="8" t="str">
        <f>_xlfn.XLOOKUP(D1555,Master[Product_Code],Master[Style])</f>
        <v>Mom Fit</v>
      </c>
      <c r="I1555" s="8" t="str">
        <f>_xlfn.XLOOKUP(D1555,Master[Product_Code],Master[Fabric])</f>
        <v>Denim</v>
      </c>
      <c r="J1555" s="8">
        <f>_xlfn.XLOOKUP(D1555,Master[Product_Code],Master[Size])</f>
        <v>36</v>
      </c>
      <c r="K1555" s="8" t="str">
        <f>_xlfn.XLOOKUP(D1555,Master[Product_Code],Master[Color])</f>
        <v>Navy Blue</v>
      </c>
      <c r="L1555" s="3">
        <f>_xlfn.XLOOKUP(D1555,Master[Product_Code],Master[Selling_Price])</f>
        <v>1080</v>
      </c>
    </row>
    <row r="1556" spans="2:12">
      <c r="B1556" s="2" t="s">
        <v>2402</v>
      </c>
      <c r="C1556" s="7">
        <v>45980</v>
      </c>
      <c r="D1556" s="2" t="s">
        <v>888</v>
      </c>
      <c r="E1556" s="4">
        <v>1</v>
      </c>
      <c r="F1556" s="8" t="str">
        <f>_xlfn.XLOOKUP(D1556,Master[Product_Code],Master[Category])</f>
        <v>Jeans</v>
      </c>
      <c r="G1556" s="8" t="str">
        <f>_xlfn.XLOOKUP(D1556,Master[Product_Code],Master[Brand])</f>
        <v>Wrangler</v>
      </c>
      <c r="H1556" s="8" t="str">
        <f>_xlfn.XLOOKUP(D1556,Master[Product_Code],Master[Style])</f>
        <v>Baggy</v>
      </c>
      <c r="I1556" s="8" t="str">
        <f>_xlfn.XLOOKUP(D1556,Master[Product_Code],Master[Fabric])</f>
        <v>Denim</v>
      </c>
      <c r="J1556" s="8">
        <f>_xlfn.XLOOKUP(D1556,Master[Product_Code],Master[Size])</f>
        <v>42</v>
      </c>
      <c r="K1556" s="8" t="str">
        <f>_xlfn.XLOOKUP(D1556,Master[Product_Code],Master[Color])</f>
        <v>Black</v>
      </c>
      <c r="L1556" s="3">
        <f>_xlfn.XLOOKUP(D1556,Master[Product_Code],Master[Selling_Price])</f>
        <v>930</v>
      </c>
    </row>
    <row r="1557" spans="2:12">
      <c r="B1557" s="2" t="s">
        <v>2402</v>
      </c>
      <c r="C1557" s="7">
        <v>45980</v>
      </c>
      <c r="D1557" s="2" t="s">
        <v>1444</v>
      </c>
      <c r="E1557" s="4">
        <v>1</v>
      </c>
      <c r="F1557" s="8" t="str">
        <f>_xlfn.XLOOKUP(D1557,Master[Product_Code],Master[Category])</f>
        <v>Pants</v>
      </c>
      <c r="G1557" s="8" t="str">
        <f>_xlfn.XLOOKUP(D1557,Master[Product_Code],Master[Brand])</f>
        <v>Van Heusen</v>
      </c>
      <c r="H1557" s="8" t="str">
        <f>_xlfn.XLOOKUP(D1557,Master[Product_Code],Master[Style])</f>
        <v>Boot Cut</v>
      </c>
      <c r="I1557" s="8" t="str">
        <f>_xlfn.XLOOKUP(D1557,Master[Product_Code],Master[Fabric])</f>
        <v>Cotton</v>
      </c>
      <c r="J1557" s="8">
        <f>_xlfn.XLOOKUP(D1557,Master[Product_Code],Master[Size])</f>
        <v>32</v>
      </c>
      <c r="K1557" s="8" t="str">
        <f>_xlfn.XLOOKUP(D1557,Master[Product_Code],Master[Color])</f>
        <v>Cream</v>
      </c>
      <c r="L1557" s="3">
        <f>_xlfn.XLOOKUP(D1557,Master[Product_Code],Master[Selling_Price])</f>
        <v>810</v>
      </c>
    </row>
    <row r="1558" spans="2:12">
      <c r="B1558" s="2" t="s">
        <v>2402</v>
      </c>
      <c r="C1558" s="7">
        <v>45980</v>
      </c>
      <c r="D1558" s="2" t="s">
        <v>1038</v>
      </c>
      <c r="E1558" s="4">
        <v>1</v>
      </c>
      <c r="F1558" s="8" t="str">
        <f>_xlfn.XLOOKUP(D1558,Master[Product_Code],Master[Category])</f>
        <v>Jeans</v>
      </c>
      <c r="G1558" s="8" t="str">
        <f>_xlfn.XLOOKUP(D1558,Master[Product_Code],Master[Brand])</f>
        <v>Denim Pro</v>
      </c>
      <c r="H1558" s="8" t="str">
        <f>_xlfn.XLOOKUP(D1558,Master[Product_Code],Master[Style])</f>
        <v>Baggy</v>
      </c>
      <c r="I1558" s="8" t="str">
        <f>_xlfn.XLOOKUP(D1558,Master[Product_Code],Master[Fabric])</f>
        <v>Denim</v>
      </c>
      <c r="J1558" s="8">
        <f>_xlfn.XLOOKUP(D1558,Master[Product_Code],Master[Size])</f>
        <v>38</v>
      </c>
      <c r="K1558" s="8" t="str">
        <f>_xlfn.XLOOKUP(D1558,Master[Product_Code],Master[Color])</f>
        <v>Brown</v>
      </c>
      <c r="L1558" s="3">
        <f>_xlfn.XLOOKUP(D1558,Master[Product_Code],Master[Selling_Price])</f>
        <v>970</v>
      </c>
    </row>
    <row r="1559" spans="2:12">
      <c r="B1559" s="2" t="s">
        <v>2403</v>
      </c>
      <c r="C1559" s="7">
        <v>45980</v>
      </c>
      <c r="D1559" s="2" t="s">
        <v>126</v>
      </c>
      <c r="E1559" s="4">
        <v>1</v>
      </c>
      <c r="F1559" s="8" t="str">
        <f>_xlfn.XLOOKUP(D1559,Master[Product_Code],Master[Category])</f>
        <v>Shirt</v>
      </c>
      <c r="G1559" s="8" t="str">
        <f>_xlfn.XLOOKUP(D1559,Master[Product_Code],Master[Brand])</f>
        <v>L7</v>
      </c>
      <c r="H1559" s="8" t="str">
        <f>_xlfn.XLOOKUP(D1559,Master[Product_Code],Master[Style])</f>
        <v>Casual</v>
      </c>
      <c r="I1559" s="8" t="str">
        <f>_xlfn.XLOOKUP(D1559,Master[Product_Code],Master[Fabric])</f>
        <v>Polyester</v>
      </c>
      <c r="J1559" s="8" t="str">
        <f>_xlfn.XLOOKUP(D1559,Master[Product_Code],Master[Size])</f>
        <v>XXL</v>
      </c>
      <c r="K1559" s="8" t="str">
        <f>_xlfn.XLOOKUP(D1559,Master[Product_Code],Master[Color])</f>
        <v>Grey</v>
      </c>
      <c r="L1559" s="3">
        <f>_xlfn.XLOOKUP(D1559,Master[Product_Code],Master[Selling_Price])</f>
        <v>850</v>
      </c>
    </row>
    <row r="1560" spans="2:12">
      <c r="B1560" s="2" t="s">
        <v>2403</v>
      </c>
      <c r="C1560" s="7">
        <v>45980</v>
      </c>
      <c r="D1560" s="2" t="s">
        <v>326</v>
      </c>
      <c r="E1560" s="4">
        <v>1</v>
      </c>
      <c r="F1560" s="8" t="str">
        <f>_xlfn.XLOOKUP(D1560,Master[Product_Code],Master[Category])</f>
        <v>Shirt</v>
      </c>
      <c r="G1560" s="8" t="str">
        <f>_xlfn.XLOOKUP(D1560,Master[Product_Code],Master[Brand])</f>
        <v>USD</v>
      </c>
      <c r="H1560" s="8" t="str">
        <f>_xlfn.XLOOKUP(D1560,Master[Product_Code],Master[Style])</f>
        <v>Casual</v>
      </c>
      <c r="I1560" s="8" t="str">
        <f>_xlfn.XLOOKUP(D1560,Master[Product_Code],Master[Fabric])</f>
        <v>Cotton</v>
      </c>
      <c r="J1560" s="8" t="str">
        <f>_xlfn.XLOOKUP(D1560,Master[Product_Code],Master[Size])</f>
        <v>S</v>
      </c>
      <c r="K1560" s="8" t="str">
        <f>_xlfn.XLOOKUP(D1560,Master[Product_Code],Master[Color])</f>
        <v>Wine</v>
      </c>
      <c r="L1560" s="3">
        <f>_xlfn.XLOOKUP(D1560,Master[Product_Code],Master[Selling_Price])</f>
        <v>900</v>
      </c>
    </row>
    <row r="1561" spans="2:12">
      <c r="B1561" s="2" t="s">
        <v>2404</v>
      </c>
      <c r="C1561" s="7">
        <v>45980</v>
      </c>
      <c r="D1561" s="2" t="s">
        <v>704</v>
      </c>
      <c r="E1561" s="4">
        <v>1</v>
      </c>
      <c r="F1561" s="8" t="str">
        <f>_xlfn.XLOOKUP(D1561,Master[Product_Code],Master[Category])</f>
        <v>T-Shirt</v>
      </c>
      <c r="G1561" s="8" t="str">
        <f>_xlfn.XLOOKUP(D1561,Master[Product_Code],Master[Brand])</f>
        <v>Urban Monkey</v>
      </c>
      <c r="H1561" s="8" t="str">
        <f>_xlfn.XLOOKUP(D1561,Master[Product_Code],Master[Style])</f>
        <v>Full Sleeve</v>
      </c>
      <c r="I1561" s="8" t="str">
        <f>_xlfn.XLOOKUP(D1561,Master[Product_Code],Master[Fabric])</f>
        <v>Poly Cotton</v>
      </c>
      <c r="J1561" s="8" t="str">
        <f>_xlfn.XLOOKUP(D1561,Master[Product_Code],Master[Size])</f>
        <v>XXL</v>
      </c>
      <c r="K1561" s="8" t="str">
        <f>_xlfn.XLOOKUP(D1561,Master[Product_Code],Master[Color])</f>
        <v>Olive</v>
      </c>
      <c r="L1561" s="3">
        <f>_xlfn.XLOOKUP(D1561,Master[Product_Code],Master[Selling_Price])</f>
        <v>570</v>
      </c>
    </row>
    <row r="1562" spans="2:12">
      <c r="B1562" s="2" t="s">
        <v>2404</v>
      </c>
      <c r="C1562" s="7">
        <v>45980</v>
      </c>
      <c r="D1562" s="2" t="s">
        <v>124</v>
      </c>
      <c r="E1562" s="4">
        <v>1</v>
      </c>
      <c r="F1562" s="8" t="str">
        <f>_xlfn.XLOOKUP(D1562,Master[Product_Code],Master[Category])</f>
        <v>Shirt</v>
      </c>
      <c r="G1562" s="8" t="str">
        <f>_xlfn.XLOOKUP(D1562,Master[Product_Code],Master[Brand])</f>
        <v>L7</v>
      </c>
      <c r="H1562" s="8" t="str">
        <f>_xlfn.XLOOKUP(D1562,Master[Product_Code],Master[Style])</f>
        <v>Casual</v>
      </c>
      <c r="I1562" s="8" t="str">
        <f>_xlfn.XLOOKUP(D1562,Master[Product_Code],Master[Fabric])</f>
        <v>Cotton Blend</v>
      </c>
      <c r="J1562" s="8" t="str">
        <f>_xlfn.XLOOKUP(D1562,Master[Product_Code],Master[Size])</f>
        <v>S</v>
      </c>
      <c r="K1562" s="8" t="str">
        <f>_xlfn.XLOOKUP(D1562,Master[Product_Code],Master[Color])</f>
        <v>Charcoal</v>
      </c>
      <c r="L1562" s="3">
        <f>_xlfn.XLOOKUP(D1562,Master[Product_Code],Master[Selling_Price])</f>
        <v>860</v>
      </c>
    </row>
    <row r="1563" spans="2:12">
      <c r="B1563" s="2" t="s">
        <v>2404</v>
      </c>
      <c r="C1563" s="7">
        <v>45980</v>
      </c>
      <c r="D1563" s="2" t="s">
        <v>1407</v>
      </c>
      <c r="E1563" s="4">
        <v>1</v>
      </c>
      <c r="F1563" s="8" t="str">
        <f>_xlfn.XLOOKUP(D1563,Master[Product_Code],Master[Category])</f>
        <v>Pants</v>
      </c>
      <c r="G1563" s="8" t="str">
        <f>_xlfn.XLOOKUP(D1563,Master[Product_Code],Master[Brand])</f>
        <v>Louis Philippe</v>
      </c>
      <c r="H1563" s="8" t="str">
        <f>_xlfn.XLOOKUP(D1563,Master[Product_Code],Master[Style])</f>
        <v>Jogger</v>
      </c>
      <c r="I1563" s="8" t="str">
        <f>_xlfn.XLOOKUP(D1563,Master[Product_Code],Master[Fabric])</f>
        <v>Cotton</v>
      </c>
      <c r="J1563" s="8">
        <f>_xlfn.XLOOKUP(D1563,Master[Product_Code],Master[Size])</f>
        <v>30</v>
      </c>
      <c r="K1563" s="8" t="str">
        <f>_xlfn.XLOOKUP(D1563,Master[Product_Code],Master[Color])</f>
        <v>White</v>
      </c>
      <c r="L1563" s="3">
        <f>_xlfn.XLOOKUP(D1563,Master[Product_Code],Master[Selling_Price])</f>
        <v>730</v>
      </c>
    </row>
    <row r="1564" spans="2:12">
      <c r="B1564" s="2" t="s">
        <v>2405</v>
      </c>
      <c r="C1564" s="7">
        <v>45980</v>
      </c>
      <c r="D1564" s="2" t="s">
        <v>697</v>
      </c>
      <c r="E1564" s="4">
        <v>1</v>
      </c>
      <c r="F1564" s="8" t="str">
        <f>_xlfn.XLOOKUP(D1564,Master[Product_Code],Master[Category])</f>
        <v>T-Shirt</v>
      </c>
      <c r="G1564" s="8" t="str">
        <f>_xlfn.XLOOKUP(D1564,Master[Product_Code],Master[Brand])</f>
        <v>Campus</v>
      </c>
      <c r="H1564" s="8" t="str">
        <f>_xlfn.XLOOKUP(D1564,Master[Product_Code],Master[Style])</f>
        <v>Full Sleeve</v>
      </c>
      <c r="I1564" s="8" t="str">
        <f>_xlfn.XLOOKUP(D1564,Master[Product_Code],Master[Fabric])</f>
        <v>Cotton</v>
      </c>
      <c r="J1564" s="8" t="str">
        <f>_xlfn.XLOOKUP(D1564,Master[Product_Code],Master[Size])</f>
        <v>L</v>
      </c>
      <c r="K1564" s="8" t="str">
        <f>_xlfn.XLOOKUP(D1564,Master[Product_Code],Master[Color])</f>
        <v>Teal</v>
      </c>
      <c r="L1564" s="3">
        <f>_xlfn.XLOOKUP(D1564,Master[Product_Code],Master[Selling_Price])</f>
        <v>750</v>
      </c>
    </row>
    <row r="1565" spans="2:12">
      <c r="B1565" s="2" t="s">
        <v>2405</v>
      </c>
      <c r="C1565" s="7">
        <v>45980</v>
      </c>
      <c r="D1565" s="2" t="s">
        <v>385</v>
      </c>
      <c r="E1565" s="4">
        <v>1</v>
      </c>
      <c r="F1565" s="8" t="str">
        <f>_xlfn.XLOOKUP(D1565,Master[Product_Code],Master[Category])</f>
        <v>Shirt</v>
      </c>
      <c r="G1565" s="8" t="str">
        <f>_xlfn.XLOOKUP(D1565,Master[Product_Code],Master[Brand])</f>
        <v>Zara</v>
      </c>
      <c r="H1565" s="8" t="str">
        <f>_xlfn.XLOOKUP(D1565,Master[Product_Code],Master[Style])</f>
        <v>Partywear</v>
      </c>
      <c r="I1565" s="8" t="str">
        <f>_xlfn.XLOOKUP(D1565,Master[Product_Code],Master[Fabric])</f>
        <v>Polyester</v>
      </c>
      <c r="J1565" s="8" t="str">
        <f>_xlfn.XLOOKUP(D1565,Master[Product_Code],Master[Size])</f>
        <v>L</v>
      </c>
      <c r="K1565" s="8" t="str">
        <f>_xlfn.XLOOKUP(D1565,Master[Product_Code],Master[Color])</f>
        <v>Black</v>
      </c>
      <c r="L1565" s="3">
        <f>_xlfn.XLOOKUP(D1565,Master[Product_Code],Master[Selling_Price])</f>
        <v>790</v>
      </c>
    </row>
    <row r="1566" spans="2:12">
      <c r="B1566" s="2" t="s">
        <v>2405</v>
      </c>
      <c r="C1566" s="7">
        <v>45980</v>
      </c>
      <c r="D1566" s="2" t="s">
        <v>1041</v>
      </c>
      <c r="E1566" s="4">
        <v>1</v>
      </c>
      <c r="F1566" s="8" t="str">
        <f>_xlfn.XLOOKUP(D1566,Master[Product_Code],Master[Category])</f>
        <v>Jeans</v>
      </c>
      <c r="G1566" s="8" t="str">
        <f>_xlfn.XLOOKUP(D1566,Master[Product_Code],Master[Brand])</f>
        <v>Levis</v>
      </c>
      <c r="H1566" s="8" t="str">
        <f>_xlfn.XLOOKUP(D1566,Master[Product_Code],Master[Style])</f>
        <v>Mom Fit</v>
      </c>
      <c r="I1566" s="8" t="str">
        <f>_xlfn.XLOOKUP(D1566,Master[Product_Code],Master[Fabric])</f>
        <v>Denim</v>
      </c>
      <c r="J1566" s="8">
        <f>_xlfn.XLOOKUP(D1566,Master[Product_Code],Master[Size])</f>
        <v>44</v>
      </c>
      <c r="K1566" s="8" t="str">
        <f>_xlfn.XLOOKUP(D1566,Master[Product_Code],Master[Color])</f>
        <v>Navy Blue</v>
      </c>
      <c r="L1566" s="3">
        <f>_xlfn.XLOOKUP(D1566,Master[Product_Code],Master[Selling_Price])</f>
        <v>870</v>
      </c>
    </row>
    <row r="1567" spans="2:12">
      <c r="B1567" s="2" t="s">
        <v>2405</v>
      </c>
      <c r="C1567" s="7">
        <v>45980</v>
      </c>
      <c r="D1567" s="2" t="s">
        <v>1006</v>
      </c>
      <c r="E1567" s="4">
        <v>1</v>
      </c>
      <c r="F1567" s="8" t="str">
        <f>_xlfn.XLOOKUP(D1567,Master[Product_Code],Master[Category])</f>
        <v>Jeans</v>
      </c>
      <c r="G1567" s="8" t="str">
        <f>_xlfn.XLOOKUP(D1567,Master[Product_Code],Master[Brand])</f>
        <v>Wrangler</v>
      </c>
      <c r="H1567" s="8" t="str">
        <f>_xlfn.XLOOKUP(D1567,Master[Product_Code],Master[Style])</f>
        <v>Mom Fit</v>
      </c>
      <c r="I1567" s="8" t="str">
        <f>_xlfn.XLOOKUP(D1567,Master[Product_Code],Master[Fabric])</f>
        <v>Denim</v>
      </c>
      <c r="J1567" s="8">
        <f>_xlfn.XLOOKUP(D1567,Master[Product_Code],Master[Size])</f>
        <v>42</v>
      </c>
      <c r="K1567" s="8" t="str">
        <f>_xlfn.XLOOKUP(D1567,Master[Product_Code],Master[Color])</f>
        <v>Light Grey</v>
      </c>
      <c r="L1567" s="3">
        <f>_xlfn.XLOOKUP(D1567,Master[Product_Code],Master[Selling_Price])</f>
        <v>880</v>
      </c>
    </row>
    <row r="1568" spans="2:12">
      <c r="B1568" s="2" t="s">
        <v>2406</v>
      </c>
      <c r="C1568" s="7">
        <v>45980</v>
      </c>
      <c r="D1568" s="2" t="s">
        <v>791</v>
      </c>
      <c r="E1568" s="4">
        <v>1</v>
      </c>
      <c r="F1568" s="8" t="str">
        <f>_xlfn.XLOOKUP(D1568,Master[Product_Code],Master[Category])</f>
        <v>T-Shirt</v>
      </c>
      <c r="G1568" s="8" t="str">
        <f>_xlfn.XLOOKUP(D1568,Master[Product_Code],Master[Brand])</f>
        <v>Max</v>
      </c>
      <c r="H1568" s="8" t="str">
        <f>_xlfn.XLOOKUP(D1568,Master[Product_Code],Master[Style])</f>
        <v>Hoodie</v>
      </c>
      <c r="I1568" s="8" t="str">
        <f>_xlfn.XLOOKUP(D1568,Master[Product_Code],Master[Fabric])</f>
        <v>Cotton Blend</v>
      </c>
      <c r="J1568" s="8" t="str">
        <f>_xlfn.XLOOKUP(D1568,Master[Product_Code],Master[Size])</f>
        <v>XXL</v>
      </c>
      <c r="K1568" s="8" t="str">
        <f>_xlfn.XLOOKUP(D1568,Master[Product_Code],Master[Color])</f>
        <v>Beige</v>
      </c>
      <c r="L1568" s="3">
        <f>_xlfn.XLOOKUP(D1568,Master[Product_Code],Master[Selling_Price])</f>
        <v>590</v>
      </c>
    </row>
    <row r="1569" spans="2:12">
      <c r="B1569" s="2" t="s">
        <v>2406</v>
      </c>
      <c r="C1569" s="7">
        <v>45980</v>
      </c>
      <c r="D1569" s="2" t="s">
        <v>89</v>
      </c>
      <c r="E1569" s="4">
        <v>1</v>
      </c>
      <c r="F1569" s="8" t="str">
        <f>_xlfn.XLOOKUP(D1569,Master[Product_Code],Master[Category])</f>
        <v>Shirt</v>
      </c>
      <c r="G1569" s="8" t="str">
        <f>_xlfn.XLOOKUP(D1569,Master[Product_Code],Master[Brand])</f>
        <v>Thailand</v>
      </c>
      <c r="H1569" s="8" t="str">
        <f>_xlfn.XLOOKUP(D1569,Master[Product_Code],Master[Style])</f>
        <v>Formal</v>
      </c>
      <c r="I1569" s="8" t="str">
        <f>_xlfn.XLOOKUP(D1569,Master[Product_Code],Master[Fabric])</f>
        <v>Cotton</v>
      </c>
      <c r="J1569" s="8" t="str">
        <f>_xlfn.XLOOKUP(D1569,Master[Product_Code],Master[Size])</f>
        <v>XXL</v>
      </c>
      <c r="K1569" s="8" t="str">
        <f>_xlfn.XLOOKUP(D1569,Master[Product_Code],Master[Color])</f>
        <v>Dark Green</v>
      </c>
      <c r="L1569" s="3">
        <f>_xlfn.XLOOKUP(D1569,Master[Product_Code],Master[Selling_Price])</f>
        <v>700</v>
      </c>
    </row>
    <row r="1570" spans="2:12">
      <c r="B1570" s="2" t="s">
        <v>2406</v>
      </c>
      <c r="C1570" s="7">
        <v>45980</v>
      </c>
      <c r="D1570" s="2" t="s">
        <v>60</v>
      </c>
      <c r="E1570" s="4">
        <v>1</v>
      </c>
      <c r="F1570" s="8" t="str">
        <f>_xlfn.XLOOKUP(D1570,Master[Product_Code],Master[Category])</f>
        <v>Shirt</v>
      </c>
      <c r="G1570" s="8" t="str">
        <f>_xlfn.XLOOKUP(D1570,Master[Product_Code],Master[Brand])</f>
        <v>Thailand</v>
      </c>
      <c r="H1570" s="8" t="str">
        <f>_xlfn.XLOOKUP(D1570,Master[Product_Code],Master[Style])</f>
        <v>Partywear</v>
      </c>
      <c r="I1570" s="8" t="str">
        <f>_xlfn.XLOOKUP(D1570,Master[Product_Code],Master[Fabric])</f>
        <v>Cotton</v>
      </c>
      <c r="J1570" s="8" t="str">
        <f>_xlfn.XLOOKUP(D1570,Master[Product_Code],Master[Size])</f>
        <v>S</v>
      </c>
      <c r="K1570" s="8" t="str">
        <f>_xlfn.XLOOKUP(D1570,Master[Product_Code],Master[Color])</f>
        <v>Dark Green</v>
      </c>
      <c r="L1570" s="3">
        <f>_xlfn.XLOOKUP(D1570,Master[Product_Code],Master[Selling_Price])</f>
        <v>820</v>
      </c>
    </row>
    <row r="1571" spans="2:12">
      <c r="B1571" s="2" t="s">
        <v>2407</v>
      </c>
      <c r="C1571" s="7">
        <v>45980</v>
      </c>
      <c r="D1571" s="2" t="s">
        <v>109</v>
      </c>
      <c r="E1571" s="4">
        <v>1</v>
      </c>
      <c r="F1571" s="8" t="str">
        <f>_xlfn.XLOOKUP(D1571,Master[Product_Code],Master[Category])</f>
        <v>Shirt</v>
      </c>
      <c r="G1571" s="8" t="str">
        <f>_xlfn.XLOOKUP(D1571,Master[Product_Code],Master[Brand])</f>
        <v>H&amp;M</v>
      </c>
      <c r="H1571" s="8" t="str">
        <f>_xlfn.XLOOKUP(D1571,Master[Product_Code],Master[Style])</f>
        <v>Casual</v>
      </c>
      <c r="I1571" s="8" t="str">
        <f>_xlfn.XLOOKUP(D1571,Master[Product_Code],Master[Fabric])</f>
        <v>Lycra</v>
      </c>
      <c r="J1571" s="8" t="str">
        <f>_xlfn.XLOOKUP(D1571,Master[Product_Code],Master[Size])</f>
        <v>M</v>
      </c>
      <c r="K1571" s="8" t="str">
        <f>_xlfn.XLOOKUP(D1571,Master[Product_Code],Master[Color])</f>
        <v>Olive</v>
      </c>
      <c r="L1571" s="3">
        <f>_xlfn.XLOOKUP(D1571,Master[Product_Code],Master[Selling_Price])</f>
        <v>760</v>
      </c>
    </row>
    <row r="1572" spans="2:12">
      <c r="B1572" s="2" t="s">
        <v>2407</v>
      </c>
      <c r="C1572" s="7">
        <v>45980</v>
      </c>
      <c r="D1572" s="2" t="s">
        <v>203</v>
      </c>
      <c r="E1572" s="4">
        <v>1</v>
      </c>
      <c r="F1572" s="8" t="str">
        <f>_xlfn.XLOOKUP(D1572,Master[Product_Code],Master[Category])</f>
        <v>Shirt</v>
      </c>
      <c r="G1572" s="8" t="str">
        <f>_xlfn.XLOOKUP(D1572,Master[Product_Code],Master[Brand])</f>
        <v>H&amp;M</v>
      </c>
      <c r="H1572" s="8" t="str">
        <f>_xlfn.XLOOKUP(D1572,Master[Product_Code],Master[Style])</f>
        <v>Casual</v>
      </c>
      <c r="I1572" s="8" t="str">
        <f>_xlfn.XLOOKUP(D1572,Master[Product_Code],Master[Fabric])</f>
        <v>Lycra</v>
      </c>
      <c r="J1572" s="8" t="str">
        <f>_xlfn.XLOOKUP(D1572,Master[Product_Code],Master[Size])</f>
        <v>M</v>
      </c>
      <c r="K1572" s="8" t="str">
        <f>_xlfn.XLOOKUP(D1572,Master[Product_Code],Master[Color])</f>
        <v>Olive</v>
      </c>
      <c r="L1572" s="3">
        <f>_xlfn.XLOOKUP(D1572,Master[Product_Code],Master[Selling_Price])</f>
        <v>720</v>
      </c>
    </row>
    <row r="1573" spans="2:12">
      <c r="B1573" s="2" t="s">
        <v>2407</v>
      </c>
      <c r="C1573" s="7">
        <v>45980</v>
      </c>
      <c r="D1573" s="2" t="s">
        <v>1333</v>
      </c>
      <c r="E1573" s="4">
        <v>1</v>
      </c>
      <c r="F1573" s="8" t="str">
        <f>_xlfn.XLOOKUP(D1573,Master[Product_Code],Master[Category])</f>
        <v>Pants</v>
      </c>
      <c r="G1573" s="8" t="str">
        <f>_xlfn.XLOOKUP(D1573,Master[Product_Code],Master[Brand])</f>
        <v>Raymond</v>
      </c>
      <c r="H1573" s="8" t="str">
        <f>_xlfn.XLOOKUP(D1573,Master[Product_Code],Master[Style])</f>
        <v>Jogger</v>
      </c>
      <c r="I1573" s="8" t="str">
        <f>_xlfn.XLOOKUP(D1573,Master[Product_Code],Master[Fabric])</f>
        <v>Cotton</v>
      </c>
      <c r="J1573" s="8">
        <f>_xlfn.XLOOKUP(D1573,Master[Product_Code],Master[Size])</f>
        <v>30</v>
      </c>
      <c r="K1573" s="8" t="str">
        <f>_xlfn.XLOOKUP(D1573,Master[Product_Code],Master[Color])</f>
        <v>Mustard</v>
      </c>
      <c r="L1573" s="3">
        <f>_xlfn.XLOOKUP(D1573,Master[Product_Code],Master[Selling_Price])</f>
        <v>750</v>
      </c>
    </row>
    <row r="1574" spans="2:12">
      <c r="B1574" s="2" t="s">
        <v>2408</v>
      </c>
      <c r="C1574" s="7">
        <v>45980</v>
      </c>
      <c r="D1574" s="2" t="s">
        <v>445</v>
      </c>
      <c r="E1574" s="4">
        <v>1</v>
      </c>
      <c r="F1574" s="8" t="str">
        <f>_xlfn.XLOOKUP(D1574,Master[Product_Code],Master[Category])</f>
        <v>T-Shirt</v>
      </c>
      <c r="G1574" s="8" t="str">
        <f>_xlfn.XLOOKUP(D1574,Master[Product_Code],Master[Brand])</f>
        <v>Zara</v>
      </c>
      <c r="H1574" s="8" t="str">
        <f>_xlfn.XLOOKUP(D1574,Master[Product_Code],Master[Style])</f>
        <v>3/4 Sleeve</v>
      </c>
      <c r="I1574" s="8" t="str">
        <f>_xlfn.XLOOKUP(D1574,Master[Product_Code],Master[Fabric])</f>
        <v>Cotton Blend</v>
      </c>
      <c r="J1574" s="8" t="str">
        <f>_xlfn.XLOOKUP(D1574,Master[Product_Code],Master[Size])</f>
        <v>XL</v>
      </c>
      <c r="K1574" s="8" t="str">
        <f>_xlfn.XLOOKUP(D1574,Master[Product_Code],Master[Color])</f>
        <v>Charcoal</v>
      </c>
      <c r="L1574" s="3">
        <f>_xlfn.XLOOKUP(D1574,Master[Product_Code],Master[Selling_Price])</f>
        <v>440</v>
      </c>
    </row>
    <row r="1575" spans="2:12">
      <c r="B1575" s="2" t="s">
        <v>2408</v>
      </c>
      <c r="C1575" s="7">
        <v>45980</v>
      </c>
      <c r="D1575" s="2" t="s">
        <v>314</v>
      </c>
      <c r="E1575" s="4">
        <v>1</v>
      </c>
      <c r="F1575" s="8" t="str">
        <f>_xlfn.XLOOKUP(D1575,Master[Product_Code],Master[Category])</f>
        <v>Shirt</v>
      </c>
      <c r="G1575" s="8" t="str">
        <f>_xlfn.XLOOKUP(D1575,Master[Product_Code],Master[Brand])</f>
        <v>Max</v>
      </c>
      <c r="H1575" s="8" t="str">
        <f>_xlfn.XLOOKUP(D1575,Master[Product_Code],Master[Style])</f>
        <v>Casual</v>
      </c>
      <c r="I1575" s="8" t="str">
        <f>_xlfn.XLOOKUP(D1575,Master[Product_Code],Master[Fabric])</f>
        <v>Cotton Blend</v>
      </c>
      <c r="J1575" s="8" t="str">
        <f>_xlfn.XLOOKUP(D1575,Master[Product_Code],Master[Size])</f>
        <v>XL</v>
      </c>
      <c r="K1575" s="8" t="str">
        <f>_xlfn.XLOOKUP(D1575,Master[Product_Code],Master[Color])</f>
        <v>Navy Blue</v>
      </c>
      <c r="L1575" s="3">
        <f>_xlfn.XLOOKUP(D1575,Master[Product_Code],Master[Selling_Price])</f>
        <v>870</v>
      </c>
    </row>
    <row r="1576" spans="2:12">
      <c r="B1576" s="2" t="s">
        <v>2408</v>
      </c>
      <c r="C1576" s="7">
        <v>45980</v>
      </c>
      <c r="D1576" s="2" t="s">
        <v>992</v>
      </c>
      <c r="E1576" s="4">
        <v>1</v>
      </c>
      <c r="F1576" s="8" t="str">
        <f>_xlfn.XLOOKUP(D1576,Master[Product_Code],Master[Category])</f>
        <v>Jeans</v>
      </c>
      <c r="G1576" s="8" t="str">
        <f>_xlfn.XLOOKUP(D1576,Master[Product_Code],Master[Brand])</f>
        <v>Locomotive</v>
      </c>
      <c r="H1576" s="8" t="str">
        <f>_xlfn.XLOOKUP(D1576,Master[Product_Code],Master[Style])</f>
        <v>Baggy</v>
      </c>
      <c r="I1576" s="8" t="str">
        <f>_xlfn.XLOOKUP(D1576,Master[Product_Code],Master[Fabric])</f>
        <v>Denim</v>
      </c>
      <c r="J1576" s="8">
        <f>_xlfn.XLOOKUP(D1576,Master[Product_Code],Master[Size])</f>
        <v>30</v>
      </c>
      <c r="K1576" s="8" t="str">
        <f>_xlfn.XLOOKUP(D1576,Master[Product_Code],Master[Color])</f>
        <v>Teal</v>
      </c>
      <c r="L1576" s="3">
        <f>_xlfn.XLOOKUP(D1576,Master[Product_Code],Master[Selling_Price])</f>
        <v>850</v>
      </c>
    </row>
    <row r="1577" spans="2:12">
      <c r="B1577" s="2" t="s">
        <v>2408</v>
      </c>
      <c r="C1577" s="7">
        <v>45980</v>
      </c>
      <c r="D1577" s="2" t="s">
        <v>542</v>
      </c>
      <c r="E1577" s="4">
        <v>1</v>
      </c>
      <c r="F1577" s="8" t="str">
        <f>_xlfn.XLOOKUP(D1577,Master[Product_Code],Master[Category])</f>
        <v>T-Shirt</v>
      </c>
      <c r="G1577" s="8" t="str">
        <f>_xlfn.XLOOKUP(D1577,Master[Product_Code],Master[Brand])</f>
        <v>Thailand</v>
      </c>
      <c r="H1577" s="8" t="str">
        <f>_xlfn.XLOOKUP(D1577,Master[Product_Code],Master[Style])</f>
        <v>Sleeveless</v>
      </c>
      <c r="I1577" s="8" t="str">
        <f>_xlfn.XLOOKUP(D1577,Master[Product_Code],Master[Fabric])</f>
        <v>Cotton</v>
      </c>
      <c r="J1577" s="8" t="str">
        <f>_xlfn.XLOOKUP(D1577,Master[Product_Code],Master[Size])</f>
        <v>M</v>
      </c>
      <c r="K1577" s="8" t="str">
        <f>_xlfn.XLOOKUP(D1577,Master[Product_Code],Master[Color])</f>
        <v>White</v>
      </c>
      <c r="L1577" s="3">
        <f>_xlfn.XLOOKUP(D1577,Master[Product_Code],Master[Selling_Price])</f>
        <v>550</v>
      </c>
    </row>
    <row r="1578" spans="2:12">
      <c r="B1578" s="2" t="s">
        <v>2409</v>
      </c>
      <c r="C1578" s="7">
        <v>45980</v>
      </c>
      <c r="D1578" s="2" t="s">
        <v>1189</v>
      </c>
      <c r="E1578" s="4">
        <v>1</v>
      </c>
      <c r="F1578" s="8" t="str">
        <f>_xlfn.XLOOKUP(D1578,Master[Product_Code],Master[Category])</f>
        <v>Pants</v>
      </c>
      <c r="G1578" s="8" t="str">
        <f>_xlfn.XLOOKUP(D1578,Master[Product_Code],Master[Brand])</f>
        <v>Peter England</v>
      </c>
      <c r="H1578" s="8" t="str">
        <f>_xlfn.XLOOKUP(D1578,Master[Product_Code],Master[Style])</f>
        <v>Jogger</v>
      </c>
      <c r="I1578" s="8" t="str">
        <f>_xlfn.XLOOKUP(D1578,Master[Product_Code],Master[Fabric])</f>
        <v>Cotton Blend</v>
      </c>
      <c r="J1578" s="8">
        <f>_xlfn.XLOOKUP(D1578,Master[Product_Code],Master[Size])</f>
        <v>34</v>
      </c>
      <c r="K1578" s="8" t="str">
        <f>_xlfn.XLOOKUP(D1578,Master[Product_Code],Master[Color])</f>
        <v>Wine</v>
      </c>
      <c r="L1578" s="3">
        <f>_xlfn.XLOOKUP(D1578,Master[Product_Code],Master[Selling_Price])</f>
        <v>830</v>
      </c>
    </row>
    <row r="1579" spans="2:12">
      <c r="B1579" s="2" t="s">
        <v>2409</v>
      </c>
      <c r="C1579" s="7">
        <v>45980</v>
      </c>
      <c r="D1579" s="2" t="s">
        <v>1678</v>
      </c>
      <c r="E1579" s="4">
        <v>1</v>
      </c>
      <c r="F1579" s="8" t="str">
        <f>_xlfn.XLOOKUP(D1579,Master[Product_Code],Master[Category])</f>
        <v>Innerwear</v>
      </c>
      <c r="G1579" s="8" t="str">
        <f>_xlfn.XLOOKUP(D1579,Master[Product_Code],Master[Brand])</f>
        <v>Lux</v>
      </c>
      <c r="H1579" s="8" t="str">
        <f>_xlfn.XLOOKUP(D1579,Master[Product_Code],Master[Style])</f>
        <v>V-Cut</v>
      </c>
      <c r="I1579" s="8" t="str">
        <f>_xlfn.XLOOKUP(D1579,Master[Product_Code],Master[Fabric])</f>
        <v>Cotton Blend</v>
      </c>
      <c r="J1579" s="8" t="str">
        <f>_xlfn.XLOOKUP(D1579,Master[Product_Code],Master[Size])</f>
        <v>85-90</v>
      </c>
      <c r="K1579" s="8" t="str">
        <f>_xlfn.XLOOKUP(D1579,Master[Product_Code],Master[Color])</f>
        <v>Maroon</v>
      </c>
      <c r="L1579" s="3">
        <f>_xlfn.XLOOKUP(D1579,Master[Product_Code],Master[Selling_Price])</f>
        <v>120</v>
      </c>
    </row>
    <row r="1580" spans="2:12">
      <c r="B1580" s="2" t="s">
        <v>2410</v>
      </c>
      <c r="C1580" s="7">
        <v>45981</v>
      </c>
      <c r="D1580" s="2" t="s">
        <v>338</v>
      </c>
      <c r="E1580" s="4">
        <v>1</v>
      </c>
      <c r="F1580" s="8" t="str">
        <f>_xlfn.XLOOKUP(D1580,Master[Product_Code],Master[Category])</f>
        <v>Shirt</v>
      </c>
      <c r="G1580" s="8" t="str">
        <f>_xlfn.XLOOKUP(D1580,Master[Product_Code],Master[Brand])</f>
        <v>Luke &amp; Burg</v>
      </c>
      <c r="H1580" s="8" t="str">
        <f>_xlfn.XLOOKUP(D1580,Master[Product_Code],Master[Style])</f>
        <v>Formal</v>
      </c>
      <c r="I1580" s="8" t="str">
        <f>_xlfn.XLOOKUP(D1580,Master[Product_Code],Master[Fabric])</f>
        <v>Lycra</v>
      </c>
      <c r="J1580" s="8" t="str">
        <f>_xlfn.XLOOKUP(D1580,Master[Product_Code],Master[Size])</f>
        <v>L</v>
      </c>
      <c r="K1580" s="8" t="str">
        <f>_xlfn.XLOOKUP(D1580,Master[Product_Code],Master[Color])</f>
        <v>Light Grey</v>
      </c>
      <c r="L1580" s="3">
        <f>_xlfn.XLOOKUP(D1580,Master[Product_Code],Master[Selling_Price])</f>
        <v>770</v>
      </c>
    </row>
    <row r="1581" spans="2:12">
      <c r="B1581" s="2" t="s">
        <v>2410</v>
      </c>
      <c r="C1581" s="7">
        <v>45981</v>
      </c>
      <c r="D1581" s="2" t="s">
        <v>1717</v>
      </c>
      <c r="E1581" s="4">
        <v>1</v>
      </c>
      <c r="F1581" s="8" t="str">
        <f>_xlfn.XLOOKUP(D1581,Master[Product_Code],Master[Category])</f>
        <v>Innerwear</v>
      </c>
      <c r="G1581" s="8" t="str">
        <f>_xlfn.XLOOKUP(D1581,Master[Product_Code],Master[Brand])</f>
        <v>Rupa</v>
      </c>
      <c r="H1581" s="8" t="str">
        <f>_xlfn.XLOOKUP(D1581,Master[Product_Code],Master[Style])</f>
        <v>V-Cut</v>
      </c>
      <c r="I1581" s="8" t="str">
        <f>_xlfn.XLOOKUP(D1581,Master[Product_Code],Master[Fabric])</f>
        <v>Cotton</v>
      </c>
      <c r="J1581" s="8" t="str">
        <f>_xlfn.XLOOKUP(D1581,Master[Product_Code],Master[Size])</f>
        <v>75-80</v>
      </c>
      <c r="K1581" s="8" t="str">
        <f>_xlfn.XLOOKUP(D1581,Master[Product_Code],Master[Color])</f>
        <v>Bottle Green</v>
      </c>
      <c r="L1581" s="3">
        <f>_xlfn.XLOOKUP(D1581,Master[Product_Code],Master[Selling_Price])</f>
        <v>180</v>
      </c>
    </row>
    <row r="1582" spans="2:12">
      <c r="B1582" s="2" t="s">
        <v>2411</v>
      </c>
      <c r="C1582" s="7">
        <v>45981</v>
      </c>
      <c r="D1582" s="2" t="s">
        <v>213</v>
      </c>
      <c r="E1582" s="4">
        <v>1</v>
      </c>
      <c r="F1582" s="8" t="str">
        <f>_xlfn.XLOOKUP(D1582,Master[Product_Code],Master[Category])</f>
        <v>Shirt</v>
      </c>
      <c r="G1582" s="8" t="str">
        <f>_xlfn.XLOOKUP(D1582,Master[Product_Code],Master[Brand])</f>
        <v>Luke &amp; Burg</v>
      </c>
      <c r="H1582" s="8" t="str">
        <f>_xlfn.XLOOKUP(D1582,Master[Product_Code],Master[Style])</f>
        <v>Formal</v>
      </c>
      <c r="I1582" s="8" t="str">
        <f>_xlfn.XLOOKUP(D1582,Master[Product_Code],Master[Fabric])</f>
        <v>Lycra</v>
      </c>
      <c r="J1582" s="8" t="str">
        <f>_xlfn.XLOOKUP(D1582,Master[Product_Code],Master[Size])</f>
        <v>M</v>
      </c>
      <c r="K1582" s="8" t="str">
        <f>_xlfn.XLOOKUP(D1582,Master[Product_Code],Master[Color])</f>
        <v>Dark Green</v>
      </c>
      <c r="L1582" s="3">
        <f>_xlfn.XLOOKUP(D1582,Master[Product_Code],Master[Selling_Price])</f>
        <v>750</v>
      </c>
    </row>
    <row r="1583" spans="2:12">
      <c r="B1583" s="2" t="s">
        <v>2411</v>
      </c>
      <c r="C1583" s="7">
        <v>45981</v>
      </c>
      <c r="D1583" s="2" t="s">
        <v>1581</v>
      </c>
      <c r="E1583" s="4">
        <v>1</v>
      </c>
      <c r="F1583" s="8" t="str">
        <f>_xlfn.XLOOKUP(D1583,Master[Product_Code],Master[Category])</f>
        <v>Innerwear</v>
      </c>
      <c r="G1583" s="8" t="str">
        <f>_xlfn.XLOOKUP(D1583,Master[Product_Code],Master[Brand])</f>
        <v>Lux</v>
      </c>
      <c r="H1583" s="8" t="str">
        <f>_xlfn.XLOOKUP(D1583,Master[Product_Code],Master[Style])</f>
        <v>V-Cut</v>
      </c>
      <c r="I1583" s="8" t="str">
        <f>_xlfn.XLOOKUP(D1583,Master[Product_Code],Master[Fabric])</f>
        <v>Cotton</v>
      </c>
      <c r="J1583" s="8" t="str">
        <f>_xlfn.XLOOKUP(D1583,Master[Product_Code],Master[Size])</f>
        <v>100-105</v>
      </c>
      <c r="K1583" s="8" t="str">
        <f>_xlfn.XLOOKUP(D1583,Master[Product_Code],Master[Color])</f>
        <v>Grey</v>
      </c>
      <c r="L1583" s="3">
        <f>_xlfn.XLOOKUP(D1583,Master[Product_Code],Master[Selling_Price])</f>
        <v>150</v>
      </c>
    </row>
    <row r="1584" spans="2:12">
      <c r="B1584" s="2" t="s">
        <v>2412</v>
      </c>
      <c r="C1584" s="7">
        <v>45981</v>
      </c>
      <c r="D1584" s="2" t="s">
        <v>1543</v>
      </c>
      <c r="E1584" s="4">
        <v>1</v>
      </c>
      <c r="F1584" s="8" t="str">
        <f>_xlfn.XLOOKUP(D1584,Master[Product_Code],Master[Category])</f>
        <v>Innerwear</v>
      </c>
      <c r="G1584" s="8" t="str">
        <f>_xlfn.XLOOKUP(D1584,Master[Product_Code],Master[Brand])</f>
        <v>Dollar</v>
      </c>
      <c r="H1584" s="8" t="str">
        <f>_xlfn.XLOOKUP(D1584,Master[Product_Code],Master[Style])</f>
        <v>V-Cut</v>
      </c>
      <c r="I1584" s="8" t="str">
        <f>_xlfn.XLOOKUP(D1584,Master[Product_Code],Master[Fabric])</f>
        <v>Cotton</v>
      </c>
      <c r="J1584" s="8" t="str">
        <f>_xlfn.XLOOKUP(D1584,Master[Product_Code],Master[Size])</f>
        <v>90-100</v>
      </c>
      <c r="K1584" s="8" t="str">
        <f>_xlfn.XLOOKUP(D1584,Master[Product_Code],Master[Color])</f>
        <v>Rust</v>
      </c>
      <c r="L1584" s="3">
        <f>_xlfn.XLOOKUP(D1584,Master[Product_Code],Master[Selling_Price])</f>
        <v>160</v>
      </c>
    </row>
    <row r="1585" spans="2:12">
      <c r="B1585" s="2" t="s">
        <v>2412</v>
      </c>
      <c r="C1585" s="7">
        <v>45981</v>
      </c>
      <c r="D1585" s="2" t="s">
        <v>442</v>
      </c>
      <c r="E1585" s="4">
        <v>1</v>
      </c>
      <c r="F1585" s="8" t="str">
        <f>_xlfn.XLOOKUP(D1585,Master[Product_Code],Master[Category])</f>
        <v>T-Shirt</v>
      </c>
      <c r="G1585" s="8" t="str">
        <f>_xlfn.XLOOKUP(D1585,Master[Product_Code],Master[Brand])</f>
        <v>Turkey</v>
      </c>
      <c r="H1585" s="8" t="str">
        <f>_xlfn.XLOOKUP(D1585,Master[Product_Code],Master[Style])</f>
        <v>Hoodie</v>
      </c>
      <c r="I1585" s="8" t="str">
        <f>_xlfn.XLOOKUP(D1585,Master[Product_Code],Master[Fabric])</f>
        <v>Cotton</v>
      </c>
      <c r="J1585" s="8" t="str">
        <f>_xlfn.XLOOKUP(D1585,Master[Product_Code],Master[Size])</f>
        <v>XXL</v>
      </c>
      <c r="K1585" s="8" t="str">
        <f>_xlfn.XLOOKUP(D1585,Master[Product_Code],Master[Color])</f>
        <v>Rust</v>
      </c>
      <c r="L1585" s="3">
        <f>_xlfn.XLOOKUP(D1585,Master[Product_Code],Master[Selling_Price])</f>
        <v>420</v>
      </c>
    </row>
    <row r="1586" spans="2:12">
      <c r="B1586" s="2" t="s">
        <v>2412</v>
      </c>
      <c r="C1586" s="7">
        <v>45981</v>
      </c>
      <c r="D1586" s="2" t="s">
        <v>184</v>
      </c>
      <c r="E1586" s="4">
        <v>1</v>
      </c>
      <c r="F1586" s="8" t="str">
        <f>_xlfn.XLOOKUP(D1586,Master[Product_Code],Master[Category])</f>
        <v>Shirt</v>
      </c>
      <c r="G1586" s="8" t="str">
        <f>_xlfn.XLOOKUP(D1586,Master[Product_Code],Master[Brand])</f>
        <v>Zara</v>
      </c>
      <c r="H1586" s="8" t="str">
        <f>_xlfn.XLOOKUP(D1586,Master[Product_Code],Master[Style])</f>
        <v>Formal</v>
      </c>
      <c r="I1586" s="8" t="str">
        <f>_xlfn.XLOOKUP(D1586,Master[Product_Code],Master[Fabric])</f>
        <v>Cotton Blend</v>
      </c>
      <c r="J1586" s="8" t="str">
        <f>_xlfn.XLOOKUP(D1586,Master[Product_Code],Master[Size])</f>
        <v>XXL</v>
      </c>
      <c r="K1586" s="8" t="str">
        <f>_xlfn.XLOOKUP(D1586,Master[Product_Code],Master[Color])</f>
        <v>Peach</v>
      </c>
      <c r="L1586" s="3">
        <f>_xlfn.XLOOKUP(D1586,Master[Product_Code],Master[Selling_Price])</f>
        <v>780</v>
      </c>
    </row>
    <row r="1587" spans="2:12">
      <c r="B1587" s="2" t="s">
        <v>2413</v>
      </c>
      <c r="C1587" s="7">
        <v>45981</v>
      </c>
      <c r="D1587" s="2" t="s">
        <v>832</v>
      </c>
      <c r="E1587" s="4">
        <v>1</v>
      </c>
      <c r="F1587" s="8" t="str">
        <f>_xlfn.XLOOKUP(D1587,Master[Product_Code],Master[Category])</f>
        <v>T-Shirt</v>
      </c>
      <c r="G1587" s="8" t="str">
        <f>_xlfn.XLOOKUP(D1587,Master[Product_Code],Master[Brand])</f>
        <v>Thailand</v>
      </c>
      <c r="H1587" s="8" t="str">
        <f>_xlfn.XLOOKUP(D1587,Master[Product_Code],Master[Style])</f>
        <v>3/4 Sleeve</v>
      </c>
      <c r="I1587" s="8" t="str">
        <f>_xlfn.XLOOKUP(D1587,Master[Product_Code],Master[Fabric])</f>
        <v>Poly Cotton</v>
      </c>
      <c r="J1587" s="8" t="str">
        <f>_xlfn.XLOOKUP(D1587,Master[Product_Code],Master[Size])</f>
        <v>XXL</v>
      </c>
      <c r="K1587" s="8" t="str">
        <f>_xlfn.XLOOKUP(D1587,Master[Product_Code],Master[Color])</f>
        <v>Beige</v>
      </c>
      <c r="L1587" s="3">
        <f>_xlfn.XLOOKUP(D1587,Master[Product_Code],Master[Selling_Price])</f>
        <v>400</v>
      </c>
    </row>
    <row r="1588" spans="2:12">
      <c r="B1588" s="2" t="s">
        <v>2413</v>
      </c>
      <c r="C1588" s="7">
        <v>45981</v>
      </c>
      <c r="D1588" s="2" t="s">
        <v>11</v>
      </c>
      <c r="E1588" s="4">
        <v>1</v>
      </c>
      <c r="F1588" s="8" t="str">
        <f>_xlfn.XLOOKUP(D1588,Master[Product_Code],Master[Category])</f>
        <v>Shirt</v>
      </c>
      <c r="G1588" s="8" t="str">
        <f>_xlfn.XLOOKUP(D1588,Master[Product_Code],Master[Brand])</f>
        <v>L7</v>
      </c>
      <c r="H1588" s="8" t="str">
        <f>_xlfn.XLOOKUP(D1588,Master[Product_Code],Master[Style])</f>
        <v>Formal</v>
      </c>
      <c r="I1588" s="8" t="str">
        <f>_xlfn.XLOOKUP(D1588,Master[Product_Code],Master[Fabric])</f>
        <v>Cotton Blend</v>
      </c>
      <c r="J1588" s="8" t="str">
        <f>_xlfn.XLOOKUP(D1588,Master[Product_Code],Master[Size])</f>
        <v>M</v>
      </c>
      <c r="K1588" s="8" t="str">
        <f>_xlfn.XLOOKUP(D1588,Master[Product_Code],Master[Color])</f>
        <v>Charcoal</v>
      </c>
      <c r="L1588" s="3">
        <f>_xlfn.XLOOKUP(D1588,Master[Product_Code],Master[Selling_Price])</f>
        <v>860</v>
      </c>
    </row>
    <row r="1589" spans="2:12">
      <c r="B1589" s="2" t="s">
        <v>2413</v>
      </c>
      <c r="C1589" s="7">
        <v>45981</v>
      </c>
      <c r="D1589" s="2" t="s">
        <v>1568</v>
      </c>
      <c r="E1589" s="4">
        <v>1</v>
      </c>
      <c r="F1589" s="8" t="str">
        <f>_xlfn.XLOOKUP(D1589,Master[Product_Code],Master[Category])</f>
        <v>Innerwear</v>
      </c>
      <c r="G1589" s="8" t="str">
        <f>_xlfn.XLOOKUP(D1589,Master[Product_Code],Master[Brand])</f>
        <v>V Star</v>
      </c>
      <c r="H1589" s="8" t="str">
        <f>_xlfn.XLOOKUP(D1589,Master[Product_Code],Master[Style])</f>
        <v>V-Cut</v>
      </c>
      <c r="I1589" s="8" t="str">
        <f>_xlfn.XLOOKUP(D1589,Master[Product_Code],Master[Fabric])</f>
        <v>Cotton Blend</v>
      </c>
      <c r="J1589" s="8" t="str">
        <f>_xlfn.XLOOKUP(D1589,Master[Product_Code],Master[Size])</f>
        <v>105-110</v>
      </c>
      <c r="K1589" s="8" t="str">
        <f>_xlfn.XLOOKUP(D1589,Master[Product_Code],Master[Color])</f>
        <v>Peach</v>
      </c>
      <c r="L1589" s="3">
        <f>_xlfn.XLOOKUP(D1589,Master[Product_Code],Master[Selling_Price])</f>
        <v>120</v>
      </c>
    </row>
    <row r="1590" spans="2:12">
      <c r="B1590" s="2" t="s">
        <v>2414</v>
      </c>
      <c r="C1590" s="7">
        <v>45981</v>
      </c>
      <c r="D1590" s="2" t="s">
        <v>648</v>
      </c>
      <c r="E1590" s="4">
        <v>1</v>
      </c>
      <c r="F1590" s="8" t="str">
        <f>_xlfn.XLOOKUP(D1590,Master[Product_Code],Master[Category])</f>
        <v>T-Shirt</v>
      </c>
      <c r="G1590" s="8" t="str">
        <f>_xlfn.XLOOKUP(D1590,Master[Product_Code],Master[Brand])</f>
        <v>Thailand</v>
      </c>
      <c r="H1590" s="8" t="str">
        <f>_xlfn.XLOOKUP(D1590,Master[Product_Code],Master[Style])</f>
        <v>Half Sleeve</v>
      </c>
      <c r="I1590" s="8" t="str">
        <f>_xlfn.XLOOKUP(D1590,Master[Product_Code],Master[Fabric])</f>
        <v>Cotton</v>
      </c>
      <c r="J1590" s="8" t="str">
        <f>_xlfn.XLOOKUP(D1590,Master[Product_Code],Master[Size])</f>
        <v>L</v>
      </c>
      <c r="K1590" s="8" t="str">
        <f>_xlfn.XLOOKUP(D1590,Master[Product_Code],Master[Color])</f>
        <v>Charcoal</v>
      </c>
      <c r="L1590" s="3">
        <f>_xlfn.XLOOKUP(D1590,Master[Product_Code],Master[Selling_Price])</f>
        <v>700</v>
      </c>
    </row>
    <row r="1591" spans="2:12">
      <c r="B1591" s="2" t="s">
        <v>2414</v>
      </c>
      <c r="C1591" s="7">
        <v>45981</v>
      </c>
      <c r="D1591" s="2" t="s">
        <v>659</v>
      </c>
      <c r="E1591" s="4">
        <v>1</v>
      </c>
      <c r="F1591" s="8" t="str">
        <f>_xlfn.XLOOKUP(D1591,Master[Product_Code],Master[Category])</f>
        <v>T-Shirt</v>
      </c>
      <c r="G1591" s="8" t="str">
        <f>_xlfn.XLOOKUP(D1591,Master[Product_Code],Master[Brand])</f>
        <v>Campus</v>
      </c>
      <c r="H1591" s="8" t="str">
        <f>_xlfn.XLOOKUP(D1591,Master[Product_Code],Master[Style])</f>
        <v>3/4 Sleeve</v>
      </c>
      <c r="I1591" s="8" t="str">
        <f>_xlfn.XLOOKUP(D1591,Master[Product_Code],Master[Fabric])</f>
        <v>Cotton Blend</v>
      </c>
      <c r="J1591" s="8" t="str">
        <f>_xlfn.XLOOKUP(D1591,Master[Product_Code],Master[Size])</f>
        <v>M</v>
      </c>
      <c r="K1591" s="8" t="str">
        <f>_xlfn.XLOOKUP(D1591,Master[Product_Code],Master[Color])</f>
        <v>Sky Blue</v>
      </c>
      <c r="L1591" s="3">
        <f>_xlfn.XLOOKUP(D1591,Master[Product_Code],Master[Selling_Price])</f>
        <v>370</v>
      </c>
    </row>
    <row r="1592" spans="2:12">
      <c r="B1592" s="2" t="s">
        <v>2414</v>
      </c>
      <c r="C1592" s="7">
        <v>45981</v>
      </c>
      <c r="D1592" s="2" t="s">
        <v>446</v>
      </c>
      <c r="E1592" s="4">
        <v>1</v>
      </c>
      <c r="F1592" s="8" t="str">
        <f>_xlfn.XLOOKUP(D1592,Master[Product_Code],Master[Category])</f>
        <v>T-Shirt</v>
      </c>
      <c r="G1592" s="8" t="str">
        <f>_xlfn.XLOOKUP(D1592,Master[Product_Code],Master[Brand])</f>
        <v>Max</v>
      </c>
      <c r="H1592" s="8" t="str">
        <f>_xlfn.XLOOKUP(D1592,Master[Product_Code],Master[Style])</f>
        <v>Sleeveless</v>
      </c>
      <c r="I1592" s="8" t="str">
        <f>_xlfn.XLOOKUP(D1592,Master[Product_Code],Master[Fabric])</f>
        <v>Cotton</v>
      </c>
      <c r="J1592" s="8" t="str">
        <f>_xlfn.XLOOKUP(D1592,Master[Product_Code],Master[Size])</f>
        <v>XXL</v>
      </c>
      <c r="K1592" s="8" t="str">
        <f>_xlfn.XLOOKUP(D1592,Master[Product_Code],Master[Color])</f>
        <v>Rust</v>
      </c>
      <c r="L1592" s="3">
        <f>_xlfn.XLOOKUP(D1592,Master[Product_Code],Master[Selling_Price])</f>
        <v>610</v>
      </c>
    </row>
    <row r="1593" spans="2:12">
      <c r="B1593" s="2" t="s">
        <v>2415</v>
      </c>
      <c r="C1593" s="7">
        <v>45981</v>
      </c>
      <c r="D1593" s="2" t="s">
        <v>1507</v>
      </c>
      <c r="E1593" s="4">
        <v>1</v>
      </c>
      <c r="F1593" s="8" t="str">
        <f>_xlfn.XLOOKUP(D1593,Master[Product_Code],Master[Category])</f>
        <v>Innerwear</v>
      </c>
      <c r="G1593" s="8" t="str">
        <f>_xlfn.XLOOKUP(D1593,Master[Product_Code],Master[Brand])</f>
        <v>Dollar</v>
      </c>
      <c r="H1593" s="8" t="str">
        <f>_xlfn.XLOOKUP(D1593,Master[Product_Code],Master[Style])</f>
        <v>Boxer</v>
      </c>
      <c r="I1593" s="8" t="str">
        <f>_xlfn.XLOOKUP(D1593,Master[Product_Code],Master[Fabric])</f>
        <v>Cotton Blend</v>
      </c>
      <c r="J1593" s="8" t="str">
        <f>_xlfn.XLOOKUP(D1593,Master[Product_Code],Master[Size])</f>
        <v>80-85</v>
      </c>
      <c r="K1593" s="8" t="str">
        <f>_xlfn.XLOOKUP(D1593,Master[Product_Code],Master[Color])</f>
        <v>Maroon</v>
      </c>
      <c r="L1593" s="3">
        <f>_xlfn.XLOOKUP(D1593,Master[Product_Code],Master[Selling_Price])</f>
        <v>120</v>
      </c>
    </row>
    <row r="1594" spans="2:12">
      <c r="B1594" s="2" t="s">
        <v>2416</v>
      </c>
      <c r="C1594" s="7">
        <v>45981</v>
      </c>
      <c r="D1594" s="2" t="s">
        <v>1096</v>
      </c>
      <c r="E1594" s="4">
        <v>1</v>
      </c>
      <c r="F1594" s="8" t="str">
        <f>_xlfn.XLOOKUP(D1594,Master[Product_Code],Master[Category])</f>
        <v>Jeans</v>
      </c>
      <c r="G1594" s="8" t="str">
        <f>_xlfn.XLOOKUP(D1594,Master[Product_Code],Master[Brand])</f>
        <v>Pepe</v>
      </c>
      <c r="H1594" s="8" t="str">
        <f>_xlfn.XLOOKUP(D1594,Master[Product_Code],Master[Style])</f>
        <v>Mom Fit</v>
      </c>
      <c r="I1594" s="8" t="str">
        <f>_xlfn.XLOOKUP(D1594,Master[Product_Code],Master[Fabric])</f>
        <v>Denim</v>
      </c>
      <c r="J1594" s="8">
        <f>_xlfn.XLOOKUP(D1594,Master[Product_Code],Master[Size])</f>
        <v>36</v>
      </c>
      <c r="K1594" s="8" t="str">
        <f>_xlfn.XLOOKUP(D1594,Master[Product_Code],Master[Color])</f>
        <v>Grey</v>
      </c>
      <c r="L1594" s="3">
        <f>_xlfn.XLOOKUP(D1594,Master[Product_Code],Master[Selling_Price])</f>
        <v>1010</v>
      </c>
    </row>
    <row r="1595" spans="2:12">
      <c r="B1595" s="2" t="s">
        <v>2416</v>
      </c>
      <c r="C1595" s="7">
        <v>45981</v>
      </c>
      <c r="D1595" s="2" t="s">
        <v>340</v>
      </c>
      <c r="E1595" s="4">
        <v>1</v>
      </c>
      <c r="F1595" s="8" t="str">
        <f>_xlfn.XLOOKUP(D1595,Master[Product_Code],Master[Category])</f>
        <v>Shirt</v>
      </c>
      <c r="G1595" s="8" t="str">
        <f>_xlfn.XLOOKUP(D1595,Master[Product_Code],Master[Brand])</f>
        <v>L7</v>
      </c>
      <c r="H1595" s="8" t="str">
        <f>_xlfn.XLOOKUP(D1595,Master[Product_Code],Master[Style])</f>
        <v>Casual</v>
      </c>
      <c r="I1595" s="8" t="str">
        <f>_xlfn.XLOOKUP(D1595,Master[Product_Code],Master[Fabric])</f>
        <v>Polyester</v>
      </c>
      <c r="J1595" s="8" t="str">
        <f>_xlfn.XLOOKUP(D1595,Master[Product_Code],Master[Size])</f>
        <v>M</v>
      </c>
      <c r="K1595" s="8" t="str">
        <f>_xlfn.XLOOKUP(D1595,Master[Product_Code],Master[Color])</f>
        <v>Grey</v>
      </c>
      <c r="L1595" s="3">
        <f>_xlfn.XLOOKUP(D1595,Master[Product_Code],Master[Selling_Price])</f>
        <v>640</v>
      </c>
    </row>
    <row r="1596" spans="2:12">
      <c r="B1596" s="2" t="s">
        <v>2416</v>
      </c>
      <c r="C1596" s="7">
        <v>45981</v>
      </c>
      <c r="D1596" s="2" t="s">
        <v>1491</v>
      </c>
      <c r="E1596" s="4">
        <v>1</v>
      </c>
      <c r="F1596" s="8" t="str">
        <f>_xlfn.XLOOKUP(D1596,Master[Product_Code],Master[Category])</f>
        <v>Innerwear</v>
      </c>
      <c r="G1596" s="8" t="str">
        <f>_xlfn.XLOOKUP(D1596,Master[Product_Code],Master[Brand])</f>
        <v>Rupa</v>
      </c>
      <c r="H1596" s="8" t="str">
        <f>_xlfn.XLOOKUP(D1596,Master[Product_Code],Master[Style])</f>
        <v>Boxer</v>
      </c>
      <c r="I1596" s="8" t="str">
        <f>_xlfn.XLOOKUP(D1596,Master[Product_Code],Master[Fabric])</f>
        <v>Cotton</v>
      </c>
      <c r="J1596" s="8" t="str">
        <f>_xlfn.XLOOKUP(D1596,Master[Product_Code],Master[Size])</f>
        <v>100-105</v>
      </c>
      <c r="K1596" s="8" t="str">
        <f>_xlfn.XLOOKUP(D1596,Master[Product_Code],Master[Color])</f>
        <v>Rust</v>
      </c>
      <c r="L1596" s="3">
        <f>_xlfn.XLOOKUP(D1596,Master[Product_Code],Master[Selling_Price])</f>
        <v>110</v>
      </c>
    </row>
    <row r="1597" spans="2:12">
      <c r="B1597" s="2" t="s">
        <v>2417</v>
      </c>
      <c r="C1597" s="7">
        <v>45981</v>
      </c>
      <c r="D1597" s="2" t="s">
        <v>514</v>
      </c>
      <c r="E1597" s="4">
        <v>1</v>
      </c>
      <c r="F1597" s="8" t="str">
        <f>_xlfn.XLOOKUP(D1597,Master[Product_Code],Master[Category])</f>
        <v>T-Shirt</v>
      </c>
      <c r="G1597" s="8" t="str">
        <f>_xlfn.XLOOKUP(D1597,Master[Product_Code],Master[Brand])</f>
        <v>Zara</v>
      </c>
      <c r="H1597" s="8" t="str">
        <f>_xlfn.XLOOKUP(D1597,Master[Product_Code],Master[Style])</f>
        <v>Half Sleeve</v>
      </c>
      <c r="I1597" s="8" t="str">
        <f>_xlfn.XLOOKUP(D1597,Master[Product_Code],Master[Fabric])</f>
        <v>Cotton</v>
      </c>
      <c r="J1597" s="8" t="str">
        <f>_xlfn.XLOOKUP(D1597,Master[Product_Code],Master[Size])</f>
        <v>XL</v>
      </c>
      <c r="K1597" s="8" t="str">
        <f>_xlfn.XLOOKUP(D1597,Master[Product_Code],Master[Color])</f>
        <v>Navy Blue</v>
      </c>
      <c r="L1597" s="3">
        <f>_xlfn.XLOOKUP(D1597,Master[Product_Code],Master[Selling_Price])</f>
        <v>710</v>
      </c>
    </row>
    <row r="1598" spans="2:12">
      <c r="B1598" s="2" t="s">
        <v>2417</v>
      </c>
      <c r="C1598" s="7">
        <v>45981</v>
      </c>
      <c r="D1598" s="2" t="s">
        <v>1716</v>
      </c>
      <c r="E1598" s="4">
        <v>1</v>
      </c>
      <c r="F1598" s="8" t="str">
        <f>_xlfn.XLOOKUP(D1598,Master[Product_Code],Master[Category])</f>
        <v>Innerwear</v>
      </c>
      <c r="G1598" s="8" t="str">
        <f>_xlfn.XLOOKUP(D1598,Master[Product_Code],Master[Brand])</f>
        <v>V Star</v>
      </c>
      <c r="H1598" s="8" t="str">
        <f>_xlfn.XLOOKUP(D1598,Master[Product_Code],Master[Style])</f>
        <v>V-Cut</v>
      </c>
      <c r="I1598" s="8" t="str">
        <f>_xlfn.XLOOKUP(D1598,Master[Product_Code],Master[Fabric])</f>
        <v>Cotton Blend</v>
      </c>
      <c r="J1598" s="8" t="str">
        <f>_xlfn.XLOOKUP(D1598,Master[Product_Code],Master[Size])</f>
        <v>75-80</v>
      </c>
      <c r="K1598" s="8" t="str">
        <f>_xlfn.XLOOKUP(D1598,Master[Product_Code],Master[Color])</f>
        <v>Teal</v>
      </c>
      <c r="L1598" s="3">
        <f>_xlfn.XLOOKUP(D1598,Master[Product_Code],Master[Selling_Price])</f>
        <v>150</v>
      </c>
    </row>
    <row r="1599" spans="2:12">
      <c r="B1599" s="2" t="s">
        <v>2417</v>
      </c>
      <c r="C1599" s="7">
        <v>45981</v>
      </c>
      <c r="D1599" s="2" t="s">
        <v>467</v>
      </c>
      <c r="E1599" s="4">
        <v>1</v>
      </c>
      <c r="F1599" s="8" t="str">
        <f>_xlfn.XLOOKUP(D1599,Master[Product_Code],Master[Category])</f>
        <v>T-Shirt</v>
      </c>
      <c r="G1599" s="8" t="str">
        <f>_xlfn.XLOOKUP(D1599,Master[Product_Code],Master[Brand])</f>
        <v>Urban Monkey</v>
      </c>
      <c r="H1599" s="8" t="str">
        <f>_xlfn.XLOOKUP(D1599,Master[Product_Code],Master[Style])</f>
        <v>Full Sleeve</v>
      </c>
      <c r="I1599" s="8" t="str">
        <f>_xlfn.XLOOKUP(D1599,Master[Product_Code],Master[Fabric])</f>
        <v>Poly Cotton</v>
      </c>
      <c r="J1599" s="8" t="str">
        <f>_xlfn.XLOOKUP(D1599,Master[Product_Code],Master[Size])</f>
        <v>L</v>
      </c>
      <c r="K1599" s="8" t="str">
        <f>_xlfn.XLOOKUP(D1599,Master[Product_Code],Master[Color])</f>
        <v>Olive</v>
      </c>
      <c r="L1599" s="3">
        <f>_xlfn.XLOOKUP(D1599,Master[Product_Code],Master[Selling_Price])</f>
        <v>290</v>
      </c>
    </row>
    <row r="1600" spans="2:12">
      <c r="B1600" s="2" t="s">
        <v>2417</v>
      </c>
      <c r="C1600" s="7">
        <v>45981</v>
      </c>
      <c r="D1600" s="2" t="s">
        <v>1262</v>
      </c>
      <c r="E1600" s="4">
        <v>1</v>
      </c>
      <c r="F1600" s="8" t="str">
        <f>_xlfn.XLOOKUP(D1600,Master[Product_Code],Master[Category])</f>
        <v>Pants</v>
      </c>
      <c r="G1600" s="8" t="str">
        <f>_xlfn.XLOOKUP(D1600,Master[Product_Code],Master[Brand])</f>
        <v>Louis Philippe</v>
      </c>
      <c r="H1600" s="8" t="str">
        <f>_xlfn.XLOOKUP(D1600,Master[Product_Code],Master[Style])</f>
        <v>Polofit</v>
      </c>
      <c r="I1600" s="8" t="str">
        <f>_xlfn.XLOOKUP(D1600,Master[Product_Code],Master[Fabric])</f>
        <v>Lycra</v>
      </c>
      <c r="J1600" s="8">
        <f>_xlfn.XLOOKUP(D1600,Master[Product_Code],Master[Size])</f>
        <v>34</v>
      </c>
      <c r="K1600" s="8" t="str">
        <f>_xlfn.XLOOKUP(D1600,Master[Product_Code],Master[Color])</f>
        <v>Grey</v>
      </c>
      <c r="L1600" s="3">
        <f>_xlfn.XLOOKUP(D1600,Master[Product_Code],Master[Selling_Price])</f>
        <v>860</v>
      </c>
    </row>
    <row r="1601" spans="2:12">
      <c r="B1601" s="2" t="s">
        <v>2418</v>
      </c>
      <c r="C1601" s="7">
        <v>45981</v>
      </c>
      <c r="D1601" s="2" t="s">
        <v>1675</v>
      </c>
      <c r="E1601" s="4">
        <v>1</v>
      </c>
      <c r="F1601" s="8" t="str">
        <f>_xlfn.XLOOKUP(D1601,Master[Product_Code],Master[Category])</f>
        <v>Innerwear</v>
      </c>
      <c r="G1601" s="8" t="str">
        <f>_xlfn.XLOOKUP(D1601,Master[Product_Code],Master[Brand])</f>
        <v>V Star</v>
      </c>
      <c r="H1601" s="8" t="str">
        <f>_xlfn.XLOOKUP(D1601,Master[Product_Code],Master[Style])</f>
        <v>Boxer</v>
      </c>
      <c r="I1601" s="8" t="str">
        <f>_xlfn.XLOOKUP(D1601,Master[Product_Code],Master[Fabric])</f>
        <v>Cotton Blend</v>
      </c>
      <c r="J1601" s="8" t="str">
        <f>_xlfn.XLOOKUP(D1601,Master[Product_Code],Master[Size])</f>
        <v>100-105</v>
      </c>
      <c r="K1601" s="8" t="str">
        <f>_xlfn.XLOOKUP(D1601,Master[Product_Code],Master[Color])</f>
        <v>Dark Green</v>
      </c>
      <c r="L1601" s="3">
        <f>_xlfn.XLOOKUP(D1601,Master[Product_Code],Master[Selling_Price])</f>
        <v>170</v>
      </c>
    </row>
    <row r="1602" spans="2:12">
      <c r="B1602" s="2" t="s">
        <v>2418</v>
      </c>
      <c r="C1602" s="7">
        <v>45981</v>
      </c>
      <c r="D1602" s="2" t="s">
        <v>1677</v>
      </c>
      <c r="E1602" s="4">
        <v>1</v>
      </c>
      <c r="F1602" s="8" t="str">
        <f>_xlfn.XLOOKUP(D1602,Master[Product_Code],Master[Category])</f>
        <v>Innerwear</v>
      </c>
      <c r="G1602" s="8" t="str">
        <f>_xlfn.XLOOKUP(D1602,Master[Product_Code],Master[Brand])</f>
        <v>Lux</v>
      </c>
      <c r="H1602" s="8" t="str">
        <f>_xlfn.XLOOKUP(D1602,Master[Product_Code],Master[Style])</f>
        <v>V-Cut</v>
      </c>
      <c r="I1602" s="8" t="str">
        <f>_xlfn.XLOOKUP(D1602,Master[Product_Code],Master[Fabric])</f>
        <v>Cotton</v>
      </c>
      <c r="J1602" s="8" t="str">
        <f>_xlfn.XLOOKUP(D1602,Master[Product_Code],Master[Size])</f>
        <v>85-90</v>
      </c>
      <c r="K1602" s="8" t="str">
        <f>_xlfn.XLOOKUP(D1602,Master[Product_Code],Master[Color])</f>
        <v>Dark Green</v>
      </c>
      <c r="L1602" s="3">
        <f>_xlfn.XLOOKUP(D1602,Master[Product_Code],Master[Selling_Price])</f>
        <v>160</v>
      </c>
    </row>
    <row r="1603" spans="2:12">
      <c r="B1603" s="2" t="s">
        <v>2419</v>
      </c>
      <c r="C1603" s="7">
        <v>45982</v>
      </c>
      <c r="D1603" s="2" t="s">
        <v>1722</v>
      </c>
      <c r="E1603" s="4">
        <v>1</v>
      </c>
      <c r="F1603" s="8" t="str">
        <f>_xlfn.XLOOKUP(D1603,Master[Product_Code],Master[Category])</f>
        <v>Innerwear</v>
      </c>
      <c r="G1603" s="8" t="str">
        <f>_xlfn.XLOOKUP(D1603,Master[Product_Code],Master[Brand])</f>
        <v>Dollar</v>
      </c>
      <c r="H1603" s="8" t="str">
        <f>_xlfn.XLOOKUP(D1603,Master[Product_Code],Master[Style])</f>
        <v>Boxer</v>
      </c>
      <c r="I1603" s="8" t="str">
        <f>_xlfn.XLOOKUP(D1603,Master[Product_Code],Master[Fabric])</f>
        <v>Cotton</v>
      </c>
      <c r="J1603" s="8" t="str">
        <f>_xlfn.XLOOKUP(D1603,Master[Product_Code],Master[Size])</f>
        <v>100-105</v>
      </c>
      <c r="K1603" s="8" t="str">
        <f>_xlfn.XLOOKUP(D1603,Master[Product_Code],Master[Color])</f>
        <v>Royal Blue</v>
      </c>
      <c r="L1603" s="3">
        <f>_xlfn.XLOOKUP(D1603,Master[Product_Code],Master[Selling_Price])</f>
        <v>180</v>
      </c>
    </row>
    <row r="1604" spans="2:12">
      <c r="B1604" s="2" t="s">
        <v>2419</v>
      </c>
      <c r="C1604" s="7">
        <v>45982</v>
      </c>
      <c r="D1604" s="2" t="s">
        <v>752</v>
      </c>
      <c r="E1604" s="4">
        <v>1</v>
      </c>
      <c r="F1604" s="8" t="str">
        <f>_xlfn.XLOOKUP(D1604,Master[Product_Code],Master[Category])</f>
        <v>T-Shirt</v>
      </c>
      <c r="G1604" s="8" t="str">
        <f>_xlfn.XLOOKUP(D1604,Master[Product_Code],Master[Brand])</f>
        <v>Campus</v>
      </c>
      <c r="H1604" s="8" t="str">
        <f>_xlfn.XLOOKUP(D1604,Master[Product_Code],Master[Style])</f>
        <v>3/4 Sleeve</v>
      </c>
      <c r="I1604" s="8" t="str">
        <f>_xlfn.XLOOKUP(D1604,Master[Product_Code],Master[Fabric])</f>
        <v>Poly Cotton</v>
      </c>
      <c r="J1604" s="8" t="str">
        <f>_xlfn.XLOOKUP(D1604,Master[Product_Code],Master[Size])</f>
        <v>XXL</v>
      </c>
      <c r="K1604" s="8" t="str">
        <f>_xlfn.XLOOKUP(D1604,Master[Product_Code],Master[Color])</f>
        <v>Maroon</v>
      </c>
      <c r="L1604" s="3">
        <f>_xlfn.XLOOKUP(D1604,Master[Product_Code],Master[Selling_Price])</f>
        <v>650</v>
      </c>
    </row>
    <row r="1605" spans="2:12">
      <c r="B1605" s="2" t="s">
        <v>2419</v>
      </c>
      <c r="C1605" s="7">
        <v>45982</v>
      </c>
      <c r="D1605" s="2" t="s">
        <v>1705</v>
      </c>
      <c r="E1605" s="4">
        <v>1</v>
      </c>
      <c r="F1605" s="8" t="str">
        <f>_xlfn.XLOOKUP(D1605,Master[Product_Code],Master[Category])</f>
        <v>Innerwear</v>
      </c>
      <c r="G1605" s="8" t="str">
        <f>_xlfn.XLOOKUP(D1605,Master[Product_Code],Master[Brand])</f>
        <v>Lux</v>
      </c>
      <c r="H1605" s="8" t="str">
        <f>_xlfn.XLOOKUP(D1605,Master[Product_Code],Master[Style])</f>
        <v>V-Cut</v>
      </c>
      <c r="I1605" s="8" t="str">
        <f>_xlfn.XLOOKUP(D1605,Master[Product_Code],Master[Fabric])</f>
        <v>Cotton</v>
      </c>
      <c r="J1605" s="8" t="str">
        <f>_xlfn.XLOOKUP(D1605,Master[Product_Code],Master[Size])</f>
        <v>105-110</v>
      </c>
      <c r="K1605" s="8" t="str">
        <f>_xlfn.XLOOKUP(D1605,Master[Product_Code],Master[Color])</f>
        <v>Cream</v>
      </c>
      <c r="L1605" s="3">
        <f>_xlfn.XLOOKUP(D1605,Master[Product_Code],Master[Selling_Price])</f>
        <v>160</v>
      </c>
    </row>
    <row r="1606" spans="2:12">
      <c r="B1606" s="2" t="s">
        <v>2419</v>
      </c>
      <c r="C1606" s="7">
        <v>45982</v>
      </c>
      <c r="D1606" s="2" t="s">
        <v>120</v>
      </c>
      <c r="E1606" s="4">
        <v>1</v>
      </c>
      <c r="F1606" s="8" t="str">
        <f>_xlfn.XLOOKUP(D1606,Master[Product_Code],Master[Category])</f>
        <v>Shirt</v>
      </c>
      <c r="G1606" s="8" t="str">
        <f>_xlfn.XLOOKUP(D1606,Master[Product_Code],Master[Brand])</f>
        <v>Thailand</v>
      </c>
      <c r="H1606" s="8" t="str">
        <f>_xlfn.XLOOKUP(D1606,Master[Product_Code],Master[Style])</f>
        <v>Partywear</v>
      </c>
      <c r="I1606" s="8" t="str">
        <f>_xlfn.XLOOKUP(D1606,Master[Product_Code],Master[Fabric])</f>
        <v>Lycra</v>
      </c>
      <c r="J1606" s="8" t="str">
        <f>_xlfn.XLOOKUP(D1606,Master[Product_Code],Master[Size])</f>
        <v>M</v>
      </c>
      <c r="K1606" s="8" t="str">
        <f>_xlfn.XLOOKUP(D1606,Master[Product_Code],Master[Color])</f>
        <v>Bottle Green</v>
      </c>
      <c r="L1606" s="3">
        <f>_xlfn.XLOOKUP(D1606,Master[Product_Code],Master[Selling_Price])</f>
        <v>880</v>
      </c>
    </row>
    <row r="1607" spans="2:12">
      <c r="B1607" s="2" t="s">
        <v>2420</v>
      </c>
      <c r="C1607" s="7">
        <v>45982</v>
      </c>
      <c r="D1607" s="2" t="s">
        <v>1189</v>
      </c>
      <c r="E1607" s="4">
        <v>1</v>
      </c>
      <c r="F1607" s="8" t="str">
        <f>_xlfn.XLOOKUP(D1607,Master[Product_Code],Master[Category])</f>
        <v>Pants</v>
      </c>
      <c r="G1607" s="8" t="str">
        <f>_xlfn.XLOOKUP(D1607,Master[Product_Code],Master[Brand])</f>
        <v>Peter England</v>
      </c>
      <c r="H1607" s="8" t="str">
        <f>_xlfn.XLOOKUP(D1607,Master[Product_Code],Master[Style])</f>
        <v>Jogger</v>
      </c>
      <c r="I1607" s="8" t="str">
        <f>_xlfn.XLOOKUP(D1607,Master[Product_Code],Master[Fabric])</f>
        <v>Cotton Blend</v>
      </c>
      <c r="J1607" s="8">
        <f>_xlfn.XLOOKUP(D1607,Master[Product_Code],Master[Size])</f>
        <v>34</v>
      </c>
      <c r="K1607" s="8" t="str">
        <f>_xlfn.XLOOKUP(D1607,Master[Product_Code],Master[Color])</f>
        <v>Wine</v>
      </c>
      <c r="L1607" s="3">
        <f>_xlfn.XLOOKUP(D1607,Master[Product_Code],Master[Selling_Price])</f>
        <v>830</v>
      </c>
    </row>
    <row r="1608" spans="2:12">
      <c r="B1608" s="2" t="s">
        <v>2420</v>
      </c>
      <c r="C1608" s="7">
        <v>45982</v>
      </c>
      <c r="D1608" s="2" t="s">
        <v>229</v>
      </c>
      <c r="E1608" s="4">
        <v>1</v>
      </c>
      <c r="F1608" s="8" t="str">
        <f>_xlfn.XLOOKUP(D1608,Master[Product_Code],Master[Category])</f>
        <v>Shirt</v>
      </c>
      <c r="G1608" s="8" t="str">
        <f>_xlfn.XLOOKUP(D1608,Master[Product_Code],Master[Brand])</f>
        <v>Thailand</v>
      </c>
      <c r="H1608" s="8" t="str">
        <f>_xlfn.XLOOKUP(D1608,Master[Product_Code],Master[Style])</f>
        <v>Formal</v>
      </c>
      <c r="I1608" s="8" t="str">
        <f>_xlfn.XLOOKUP(D1608,Master[Product_Code],Master[Fabric])</f>
        <v>Cotton</v>
      </c>
      <c r="J1608" s="8" t="str">
        <f>_xlfn.XLOOKUP(D1608,Master[Product_Code],Master[Size])</f>
        <v>S</v>
      </c>
      <c r="K1608" s="8" t="str">
        <f>_xlfn.XLOOKUP(D1608,Master[Product_Code],Master[Color])</f>
        <v>Maroon</v>
      </c>
      <c r="L1608" s="3">
        <f>_xlfn.XLOOKUP(D1608,Master[Product_Code],Master[Selling_Price])</f>
        <v>820</v>
      </c>
    </row>
    <row r="1609" spans="2:12">
      <c r="B1609" s="2" t="s">
        <v>2420</v>
      </c>
      <c r="C1609" s="7">
        <v>45982</v>
      </c>
      <c r="D1609" s="2" t="s">
        <v>1501</v>
      </c>
      <c r="E1609" s="4">
        <v>1</v>
      </c>
      <c r="F1609" s="8" t="str">
        <f>_xlfn.XLOOKUP(D1609,Master[Product_Code],Master[Category])</f>
        <v>Innerwear</v>
      </c>
      <c r="G1609" s="8" t="str">
        <f>_xlfn.XLOOKUP(D1609,Master[Product_Code],Master[Brand])</f>
        <v>Lux</v>
      </c>
      <c r="H1609" s="8" t="str">
        <f>_xlfn.XLOOKUP(D1609,Master[Product_Code],Master[Style])</f>
        <v>Boxer</v>
      </c>
      <c r="I1609" s="8" t="str">
        <f>_xlfn.XLOOKUP(D1609,Master[Product_Code],Master[Fabric])</f>
        <v>Cotton Blend</v>
      </c>
      <c r="J1609" s="8" t="str">
        <f>_xlfn.XLOOKUP(D1609,Master[Product_Code],Master[Size])</f>
        <v>75-80</v>
      </c>
      <c r="K1609" s="8" t="str">
        <f>_xlfn.XLOOKUP(D1609,Master[Product_Code],Master[Color])</f>
        <v>Navy Blue</v>
      </c>
      <c r="L1609" s="3">
        <f>_xlfn.XLOOKUP(D1609,Master[Product_Code],Master[Selling_Price])</f>
        <v>140</v>
      </c>
    </row>
    <row r="1610" spans="2:12">
      <c r="B1610" s="2" t="s">
        <v>2420</v>
      </c>
      <c r="C1610" s="7">
        <v>45982</v>
      </c>
      <c r="D1610" s="2" t="s">
        <v>143</v>
      </c>
      <c r="E1610" s="4">
        <v>1</v>
      </c>
      <c r="F1610" s="8" t="str">
        <f>_xlfn.XLOOKUP(D1610,Master[Product_Code],Master[Category])</f>
        <v>Shirt</v>
      </c>
      <c r="G1610" s="8" t="str">
        <f>_xlfn.XLOOKUP(D1610,Master[Product_Code],Master[Brand])</f>
        <v>G Studio</v>
      </c>
      <c r="H1610" s="8" t="str">
        <f>_xlfn.XLOOKUP(D1610,Master[Product_Code],Master[Style])</f>
        <v>Partywear</v>
      </c>
      <c r="I1610" s="8" t="str">
        <f>_xlfn.XLOOKUP(D1610,Master[Product_Code],Master[Fabric])</f>
        <v>Cotton</v>
      </c>
      <c r="J1610" s="8" t="str">
        <f>_xlfn.XLOOKUP(D1610,Master[Product_Code],Master[Size])</f>
        <v>S</v>
      </c>
      <c r="K1610" s="8" t="str">
        <f>_xlfn.XLOOKUP(D1610,Master[Product_Code],Master[Color])</f>
        <v>Black</v>
      </c>
      <c r="L1610" s="3">
        <f>_xlfn.XLOOKUP(D1610,Master[Product_Code],Master[Selling_Price])</f>
        <v>750</v>
      </c>
    </row>
    <row r="1611" spans="2:12">
      <c r="B1611" s="2" t="s">
        <v>2421</v>
      </c>
      <c r="C1611" s="7">
        <v>45982</v>
      </c>
      <c r="D1611" s="2" t="s">
        <v>1713</v>
      </c>
      <c r="E1611" s="4">
        <v>1</v>
      </c>
      <c r="F1611" s="8" t="str">
        <f>_xlfn.XLOOKUP(D1611,Master[Product_Code],Master[Category])</f>
        <v>Innerwear</v>
      </c>
      <c r="G1611" s="8" t="str">
        <f>_xlfn.XLOOKUP(D1611,Master[Product_Code],Master[Brand])</f>
        <v>Jockey</v>
      </c>
      <c r="H1611" s="8" t="str">
        <f>_xlfn.XLOOKUP(D1611,Master[Product_Code],Master[Style])</f>
        <v>V-Cut</v>
      </c>
      <c r="I1611" s="8" t="str">
        <f>_xlfn.XLOOKUP(D1611,Master[Product_Code],Master[Fabric])</f>
        <v>Cotton Blend</v>
      </c>
      <c r="J1611" s="8" t="str">
        <f>_xlfn.XLOOKUP(D1611,Master[Product_Code],Master[Size])</f>
        <v>85-90</v>
      </c>
      <c r="K1611" s="8" t="str">
        <f>_xlfn.XLOOKUP(D1611,Master[Product_Code],Master[Color])</f>
        <v>Navy Blue</v>
      </c>
      <c r="L1611" s="3">
        <f>_xlfn.XLOOKUP(D1611,Master[Product_Code],Master[Selling_Price])</f>
        <v>170</v>
      </c>
    </row>
    <row r="1612" spans="2:12">
      <c r="B1612" s="2" t="s">
        <v>2421</v>
      </c>
      <c r="C1612" s="7">
        <v>45982</v>
      </c>
      <c r="D1612" s="2" t="s">
        <v>1351</v>
      </c>
      <c r="E1612" s="4">
        <v>1</v>
      </c>
      <c r="F1612" s="8" t="str">
        <f>_xlfn.XLOOKUP(D1612,Master[Product_Code],Master[Category])</f>
        <v>Pants</v>
      </c>
      <c r="G1612" s="8" t="str">
        <f>_xlfn.XLOOKUP(D1612,Master[Product_Code],Master[Brand])</f>
        <v>Peter England</v>
      </c>
      <c r="H1612" s="8" t="str">
        <f>_xlfn.XLOOKUP(D1612,Master[Product_Code],Master[Style])</f>
        <v>Kurka</v>
      </c>
      <c r="I1612" s="8" t="str">
        <f>_xlfn.XLOOKUP(D1612,Master[Product_Code],Master[Fabric])</f>
        <v>Lycra</v>
      </c>
      <c r="J1612" s="8">
        <f>_xlfn.XLOOKUP(D1612,Master[Product_Code],Master[Size])</f>
        <v>32</v>
      </c>
      <c r="K1612" s="8" t="str">
        <f>_xlfn.XLOOKUP(D1612,Master[Product_Code],Master[Color])</f>
        <v>Peach</v>
      </c>
      <c r="L1612" s="3">
        <f>_xlfn.XLOOKUP(D1612,Master[Product_Code],Master[Selling_Price])</f>
        <v>850</v>
      </c>
    </row>
    <row r="1613" spans="2:12">
      <c r="B1613" s="2" t="s">
        <v>2422</v>
      </c>
      <c r="C1613" s="7">
        <v>45982</v>
      </c>
      <c r="D1613" s="2" t="s">
        <v>590</v>
      </c>
      <c r="E1613" s="4">
        <v>1</v>
      </c>
      <c r="F1613" s="8" t="str">
        <f>_xlfn.XLOOKUP(D1613,Master[Product_Code],Master[Category])</f>
        <v>T-Shirt</v>
      </c>
      <c r="G1613" s="8" t="str">
        <f>_xlfn.XLOOKUP(D1613,Master[Product_Code],Master[Brand])</f>
        <v>Turkey</v>
      </c>
      <c r="H1613" s="8" t="str">
        <f>_xlfn.XLOOKUP(D1613,Master[Product_Code],Master[Style])</f>
        <v>3/4 Sleeve</v>
      </c>
      <c r="I1613" s="8" t="str">
        <f>_xlfn.XLOOKUP(D1613,Master[Product_Code],Master[Fabric])</f>
        <v>Poly Cotton</v>
      </c>
      <c r="J1613" s="8" t="str">
        <f>_xlfn.XLOOKUP(D1613,Master[Product_Code],Master[Size])</f>
        <v>S</v>
      </c>
      <c r="K1613" s="8" t="str">
        <f>_xlfn.XLOOKUP(D1613,Master[Product_Code],Master[Color])</f>
        <v>Charcoal</v>
      </c>
      <c r="L1613" s="3">
        <f>_xlfn.XLOOKUP(D1613,Master[Product_Code],Master[Selling_Price])</f>
        <v>560</v>
      </c>
    </row>
    <row r="1614" spans="2:12">
      <c r="B1614" s="2" t="s">
        <v>2422</v>
      </c>
      <c r="C1614" s="7">
        <v>45982</v>
      </c>
      <c r="D1614" s="2" t="s">
        <v>483</v>
      </c>
      <c r="E1614" s="4">
        <v>1</v>
      </c>
      <c r="F1614" s="8" t="str">
        <f>_xlfn.XLOOKUP(D1614,Master[Product_Code],Master[Category])</f>
        <v>T-Shirt</v>
      </c>
      <c r="G1614" s="8" t="str">
        <f>_xlfn.XLOOKUP(D1614,Master[Product_Code],Master[Brand])</f>
        <v>Turkey</v>
      </c>
      <c r="H1614" s="8" t="str">
        <f>_xlfn.XLOOKUP(D1614,Master[Product_Code],Master[Style])</f>
        <v>3/4 Sleeve</v>
      </c>
      <c r="I1614" s="8" t="str">
        <f>_xlfn.XLOOKUP(D1614,Master[Product_Code],Master[Fabric])</f>
        <v>Poly Cotton</v>
      </c>
      <c r="J1614" s="8" t="str">
        <f>_xlfn.XLOOKUP(D1614,Master[Product_Code],Master[Size])</f>
        <v>XXL</v>
      </c>
      <c r="K1614" s="8" t="str">
        <f>_xlfn.XLOOKUP(D1614,Master[Product_Code],Master[Color])</f>
        <v>Navy Blue</v>
      </c>
      <c r="L1614" s="3">
        <f>_xlfn.XLOOKUP(D1614,Master[Product_Code],Master[Selling_Price])</f>
        <v>650</v>
      </c>
    </row>
    <row r="1615" spans="2:12">
      <c r="B1615" s="2" t="s">
        <v>2423</v>
      </c>
      <c r="C1615" s="7">
        <v>45982</v>
      </c>
      <c r="D1615" s="2" t="s">
        <v>773</v>
      </c>
      <c r="E1615" s="4">
        <v>1</v>
      </c>
      <c r="F1615" s="8" t="str">
        <f>_xlfn.XLOOKUP(D1615,Master[Product_Code],Master[Category])</f>
        <v>T-Shirt</v>
      </c>
      <c r="G1615" s="8" t="str">
        <f>_xlfn.XLOOKUP(D1615,Master[Product_Code],Master[Brand])</f>
        <v>Campus</v>
      </c>
      <c r="H1615" s="8" t="str">
        <f>_xlfn.XLOOKUP(D1615,Master[Product_Code],Master[Style])</f>
        <v>Half Sleeve</v>
      </c>
      <c r="I1615" s="8" t="str">
        <f>_xlfn.XLOOKUP(D1615,Master[Product_Code],Master[Fabric])</f>
        <v>Cotton Blend</v>
      </c>
      <c r="J1615" s="8" t="str">
        <f>_xlfn.XLOOKUP(D1615,Master[Product_Code],Master[Size])</f>
        <v>XL</v>
      </c>
      <c r="K1615" s="8" t="str">
        <f>_xlfn.XLOOKUP(D1615,Master[Product_Code],Master[Color])</f>
        <v>Peach</v>
      </c>
      <c r="L1615" s="3">
        <f>_xlfn.XLOOKUP(D1615,Master[Product_Code],Master[Selling_Price])</f>
        <v>450</v>
      </c>
    </row>
    <row r="1616" spans="2:12">
      <c r="B1616" s="2" t="s">
        <v>2424</v>
      </c>
      <c r="C1616" s="7">
        <v>45982</v>
      </c>
      <c r="D1616" s="2" t="s">
        <v>1234</v>
      </c>
      <c r="E1616" s="4">
        <v>1</v>
      </c>
      <c r="F1616" s="8" t="str">
        <f>_xlfn.XLOOKUP(D1616,Master[Product_Code],Master[Category])</f>
        <v>Pants</v>
      </c>
      <c r="G1616" s="8" t="str">
        <f>_xlfn.XLOOKUP(D1616,Master[Product_Code],Master[Brand])</f>
        <v>Peter England</v>
      </c>
      <c r="H1616" s="8" t="str">
        <f>_xlfn.XLOOKUP(D1616,Master[Product_Code],Master[Style])</f>
        <v>Korean</v>
      </c>
      <c r="I1616" s="8" t="str">
        <f>_xlfn.XLOOKUP(D1616,Master[Product_Code],Master[Fabric])</f>
        <v>Lycra</v>
      </c>
      <c r="J1616" s="8">
        <f>_xlfn.XLOOKUP(D1616,Master[Product_Code],Master[Size])</f>
        <v>34</v>
      </c>
      <c r="K1616" s="8" t="str">
        <f>_xlfn.XLOOKUP(D1616,Master[Product_Code],Master[Color])</f>
        <v>Rust</v>
      </c>
      <c r="L1616" s="3">
        <f>_xlfn.XLOOKUP(D1616,Master[Product_Code],Master[Selling_Price])</f>
        <v>800</v>
      </c>
    </row>
    <row r="1617" spans="2:12">
      <c r="B1617" s="2" t="s">
        <v>2425</v>
      </c>
      <c r="C1617" s="7">
        <v>45982</v>
      </c>
      <c r="D1617" s="2" t="s">
        <v>318</v>
      </c>
      <c r="E1617" s="4">
        <v>1</v>
      </c>
      <c r="F1617" s="8" t="str">
        <f>_xlfn.XLOOKUP(D1617,Master[Product_Code],Master[Category])</f>
        <v>Shirt</v>
      </c>
      <c r="G1617" s="8" t="str">
        <f>_xlfn.XLOOKUP(D1617,Master[Product_Code],Master[Brand])</f>
        <v>Max</v>
      </c>
      <c r="H1617" s="8" t="str">
        <f>_xlfn.XLOOKUP(D1617,Master[Product_Code],Master[Style])</f>
        <v>Formal</v>
      </c>
      <c r="I1617" s="8" t="str">
        <f>_xlfn.XLOOKUP(D1617,Master[Product_Code],Master[Fabric])</f>
        <v>Cotton</v>
      </c>
      <c r="J1617" s="8" t="str">
        <f>_xlfn.XLOOKUP(D1617,Master[Product_Code],Master[Size])</f>
        <v>M</v>
      </c>
      <c r="K1617" s="8" t="str">
        <f>_xlfn.XLOOKUP(D1617,Master[Product_Code],Master[Color])</f>
        <v>Navy Blue</v>
      </c>
      <c r="L1617" s="3">
        <f>_xlfn.XLOOKUP(D1617,Master[Product_Code],Master[Selling_Price])</f>
        <v>880</v>
      </c>
    </row>
    <row r="1618" spans="2:12">
      <c r="B1618" s="2" t="s">
        <v>2425</v>
      </c>
      <c r="C1618" s="7">
        <v>45982</v>
      </c>
      <c r="D1618" s="2" t="s">
        <v>701</v>
      </c>
      <c r="E1618" s="4">
        <v>1</v>
      </c>
      <c r="F1618" s="8" t="str">
        <f>_xlfn.XLOOKUP(D1618,Master[Product_Code],Master[Category])</f>
        <v>T-Shirt</v>
      </c>
      <c r="G1618" s="8" t="str">
        <f>_xlfn.XLOOKUP(D1618,Master[Product_Code],Master[Brand])</f>
        <v>Urban Monkey</v>
      </c>
      <c r="H1618" s="8" t="str">
        <f>_xlfn.XLOOKUP(D1618,Master[Product_Code],Master[Style])</f>
        <v>Sleeveless</v>
      </c>
      <c r="I1618" s="8" t="str">
        <f>_xlfn.XLOOKUP(D1618,Master[Product_Code],Master[Fabric])</f>
        <v>Cotton</v>
      </c>
      <c r="J1618" s="8" t="str">
        <f>_xlfn.XLOOKUP(D1618,Master[Product_Code],Master[Size])</f>
        <v>XXL</v>
      </c>
      <c r="K1618" s="8" t="str">
        <f>_xlfn.XLOOKUP(D1618,Master[Product_Code],Master[Color])</f>
        <v>Sky Blue</v>
      </c>
      <c r="L1618" s="3">
        <f>_xlfn.XLOOKUP(D1618,Master[Product_Code],Master[Selling_Price])</f>
        <v>290</v>
      </c>
    </row>
    <row r="1619" spans="2:12">
      <c r="B1619" s="2" t="s">
        <v>1964</v>
      </c>
      <c r="C1619" s="7">
        <v>45946</v>
      </c>
      <c r="D1619" s="2" t="s">
        <v>372</v>
      </c>
      <c r="E1619" s="4">
        <v>1</v>
      </c>
      <c r="F1619" s="8" t="str">
        <f>_xlfn.XLOOKUP(D1619,Master[Product_Code],Master[Category])</f>
        <v>Shirt</v>
      </c>
      <c r="G1619" s="8" t="str">
        <f>_xlfn.XLOOKUP(D1619,Master[Product_Code],Master[Brand])</f>
        <v>USD</v>
      </c>
      <c r="H1619" s="8" t="str">
        <f>_xlfn.XLOOKUP(D1619,Master[Product_Code],Master[Style])</f>
        <v>Partywear</v>
      </c>
      <c r="I1619" s="8" t="str">
        <f>_xlfn.XLOOKUP(D1619,Master[Product_Code],Master[Fabric])</f>
        <v>Polyester</v>
      </c>
      <c r="J1619" s="8" t="str">
        <f>_xlfn.XLOOKUP(D1619,Master[Product_Code],Master[Size])</f>
        <v>L</v>
      </c>
      <c r="K1619" s="8" t="str">
        <f>_xlfn.XLOOKUP(D1619,Master[Product_Code],Master[Color])</f>
        <v>Olive</v>
      </c>
      <c r="L1619" s="3">
        <f>_xlfn.XLOOKUP(D1619,Master[Product_Code],Master[Selling_Price])</f>
        <v>750</v>
      </c>
    </row>
    <row r="1620" spans="2:12">
      <c r="B1620" s="2" t="s">
        <v>2425</v>
      </c>
      <c r="C1620" s="7">
        <v>45982</v>
      </c>
      <c r="D1620" s="2" t="s">
        <v>125</v>
      </c>
      <c r="E1620" s="4">
        <v>1</v>
      </c>
      <c r="F1620" s="8" t="str">
        <f>_xlfn.XLOOKUP(D1620,Master[Product_Code],Master[Category])</f>
        <v>Shirt</v>
      </c>
      <c r="G1620" s="8" t="str">
        <f>_xlfn.XLOOKUP(D1620,Master[Product_Code],Master[Brand])</f>
        <v>G Studio</v>
      </c>
      <c r="H1620" s="8" t="str">
        <f>_xlfn.XLOOKUP(D1620,Master[Product_Code],Master[Style])</f>
        <v>Formal</v>
      </c>
      <c r="I1620" s="8" t="str">
        <f>_xlfn.XLOOKUP(D1620,Master[Product_Code],Master[Fabric])</f>
        <v>Cotton</v>
      </c>
      <c r="J1620" s="8" t="str">
        <f>_xlfn.XLOOKUP(D1620,Master[Product_Code],Master[Size])</f>
        <v>S</v>
      </c>
      <c r="K1620" s="8" t="str">
        <f>_xlfn.XLOOKUP(D1620,Master[Product_Code],Master[Color])</f>
        <v>Charcoal</v>
      </c>
      <c r="L1620" s="3">
        <f>_xlfn.XLOOKUP(D1620,Master[Product_Code],Master[Selling_Price])</f>
        <v>710</v>
      </c>
    </row>
    <row r="1621" spans="2:12">
      <c r="B1621" s="2" t="s">
        <v>2426</v>
      </c>
      <c r="C1621" s="7">
        <v>45982</v>
      </c>
      <c r="D1621" s="2" t="s">
        <v>700</v>
      </c>
      <c r="E1621" s="4">
        <v>1</v>
      </c>
      <c r="F1621" s="8" t="str">
        <f>_xlfn.XLOOKUP(D1621,Master[Product_Code],Master[Category])</f>
        <v>T-Shirt</v>
      </c>
      <c r="G1621" s="8" t="str">
        <f>_xlfn.XLOOKUP(D1621,Master[Product_Code],Master[Brand])</f>
        <v>Zara</v>
      </c>
      <c r="H1621" s="8" t="str">
        <f>_xlfn.XLOOKUP(D1621,Master[Product_Code],Master[Style])</f>
        <v>Sleeveless</v>
      </c>
      <c r="I1621" s="8" t="str">
        <f>_xlfn.XLOOKUP(D1621,Master[Product_Code],Master[Fabric])</f>
        <v>Cotton</v>
      </c>
      <c r="J1621" s="8" t="str">
        <f>_xlfn.XLOOKUP(D1621,Master[Product_Code],Master[Size])</f>
        <v>XL</v>
      </c>
      <c r="K1621" s="8" t="str">
        <f>_xlfn.XLOOKUP(D1621,Master[Product_Code],Master[Color])</f>
        <v>Grey</v>
      </c>
      <c r="L1621" s="3">
        <f>_xlfn.XLOOKUP(D1621,Master[Product_Code],Master[Selling_Price])</f>
        <v>340</v>
      </c>
    </row>
    <row r="1622" spans="2:12">
      <c r="B1622" s="2" t="s">
        <v>2426</v>
      </c>
      <c r="C1622" s="7">
        <v>45982</v>
      </c>
      <c r="D1622" s="2" t="s">
        <v>1314</v>
      </c>
      <c r="E1622" s="4">
        <v>1</v>
      </c>
      <c r="F1622" s="8" t="str">
        <f>_xlfn.XLOOKUP(D1622,Master[Product_Code],Master[Category])</f>
        <v>Pants</v>
      </c>
      <c r="G1622" s="8" t="str">
        <f>_xlfn.XLOOKUP(D1622,Master[Product_Code],Master[Brand])</f>
        <v>Louis Philippe</v>
      </c>
      <c r="H1622" s="8" t="str">
        <f>_xlfn.XLOOKUP(D1622,Master[Product_Code],Master[Style])</f>
        <v>Boot Cut</v>
      </c>
      <c r="I1622" s="8" t="str">
        <f>_xlfn.XLOOKUP(D1622,Master[Product_Code],Master[Fabric])</f>
        <v>Cotton</v>
      </c>
      <c r="J1622" s="8">
        <f>_xlfn.XLOOKUP(D1622,Master[Product_Code],Master[Size])</f>
        <v>42</v>
      </c>
      <c r="K1622" s="8" t="str">
        <f>_xlfn.XLOOKUP(D1622,Master[Product_Code],Master[Color])</f>
        <v>Royal Blue</v>
      </c>
      <c r="L1622" s="3">
        <f>_xlfn.XLOOKUP(D1622,Master[Product_Code],Master[Selling_Price])</f>
        <v>800</v>
      </c>
    </row>
    <row r="1623" spans="2:12">
      <c r="B1623" s="2" t="s">
        <v>2426</v>
      </c>
      <c r="C1623" s="7">
        <v>45982</v>
      </c>
      <c r="D1623" s="2" t="s">
        <v>443</v>
      </c>
      <c r="E1623" s="4">
        <v>1</v>
      </c>
      <c r="F1623" s="8" t="str">
        <f>_xlfn.XLOOKUP(D1623,Master[Product_Code],Master[Category])</f>
        <v>T-Shirt</v>
      </c>
      <c r="G1623" s="8" t="str">
        <f>_xlfn.XLOOKUP(D1623,Master[Product_Code],Master[Brand])</f>
        <v>Urban Monkey</v>
      </c>
      <c r="H1623" s="8" t="str">
        <f>_xlfn.XLOOKUP(D1623,Master[Product_Code],Master[Style])</f>
        <v>Full Sleeve</v>
      </c>
      <c r="I1623" s="8" t="str">
        <f>_xlfn.XLOOKUP(D1623,Master[Product_Code],Master[Fabric])</f>
        <v>Poly Cotton</v>
      </c>
      <c r="J1623" s="8" t="str">
        <f>_xlfn.XLOOKUP(D1623,Master[Product_Code],Master[Size])</f>
        <v>S</v>
      </c>
      <c r="K1623" s="8" t="str">
        <f>_xlfn.XLOOKUP(D1623,Master[Product_Code],Master[Color])</f>
        <v>Wine</v>
      </c>
      <c r="L1623" s="3">
        <f>_xlfn.XLOOKUP(D1623,Master[Product_Code],Master[Selling_Price])</f>
        <v>480</v>
      </c>
    </row>
    <row r="1624" spans="2:12">
      <c r="B1624" s="2" t="s">
        <v>2427</v>
      </c>
      <c r="C1624" s="7">
        <v>45982</v>
      </c>
      <c r="D1624" s="2" t="s">
        <v>775</v>
      </c>
      <c r="E1624" s="4">
        <v>1</v>
      </c>
      <c r="F1624" s="8" t="str">
        <f>_xlfn.XLOOKUP(D1624,Master[Product_Code],Master[Category])</f>
        <v>T-Shirt</v>
      </c>
      <c r="G1624" s="8" t="str">
        <f>_xlfn.XLOOKUP(D1624,Master[Product_Code],Master[Brand])</f>
        <v>Roadster</v>
      </c>
      <c r="H1624" s="8" t="str">
        <f>_xlfn.XLOOKUP(D1624,Master[Product_Code],Master[Style])</f>
        <v>Full Sleeve</v>
      </c>
      <c r="I1624" s="8" t="str">
        <f>_xlfn.XLOOKUP(D1624,Master[Product_Code],Master[Fabric])</f>
        <v>Cotton</v>
      </c>
      <c r="J1624" s="8" t="str">
        <f>_xlfn.XLOOKUP(D1624,Master[Product_Code],Master[Size])</f>
        <v>XXL</v>
      </c>
      <c r="K1624" s="8" t="str">
        <f>_xlfn.XLOOKUP(D1624,Master[Product_Code],Master[Color])</f>
        <v>White</v>
      </c>
      <c r="L1624" s="3">
        <f>_xlfn.XLOOKUP(D1624,Master[Product_Code],Master[Selling_Price])</f>
        <v>620</v>
      </c>
    </row>
    <row r="1625" spans="2:12">
      <c r="B1625" s="2" t="s">
        <v>2428</v>
      </c>
      <c r="C1625" s="7">
        <v>45982</v>
      </c>
      <c r="D1625" s="2" t="s">
        <v>1354</v>
      </c>
      <c r="E1625" s="4">
        <v>1</v>
      </c>
      <c r="F1625" s="8" t="str">
        <f>_xlfn.XLOOKUP(D1625,Master[Product_Code],Master[Category])</f>
        <v>Pants</v>
      </c>
      <c r="G1625" s="8" t="str">
        <f>_xlfn.XLOOKUP(D1625,Master[Product_Code],Master[Brand])</f>
        <v>Raymond</v>
      </c>
      <c r="H1625" s="8" t="str">
        <f>_xlfn.XLOOKUP(D1625,Master[Product_Code],Master[Style])</f>
        <v>Korean</v>
      </c>
      <c r="I1625" s="8" t="str">
        <f>_xlfn.XLOOKUP(D1625,Master[Product_Code],Master[Fabric])</f>
        <v>Lycra</v>
      </c>
      <c r="J1625" s="8">
        <f>_xlfn.XLOOKUP(D1625,Master[Product_Code],Master[Size])</f>
        <v>36</v>
      </c>
      <c r="K1625" s="8" t="str">
        <f>_xlfn.XLOOKUP(D1625,Master[Product_Code],Master[Color])</f>
        <v>White</v>
      </c>
      <c r="L1625" s="3">
        <f>_xlfn.XLOOKUP(D1625,Master[Product_Code],Master[Selling_Price])</f>
        <v>740</v>
      </c>
    </row>
    <row r="1626" spans="2:12">
      <c r="B1626" s="2" t="s">
        <v>2428</v>
      </c>
      <c r="C1626" s="7">
        <v>45982</v>
      </c>
      <c r="D1626" s="2" t="s">
        <v>1536</v>
      </c>
      <c r="E1626" s="4">
        <v>1</v>
      </c>
      <c r="F1626" s="8" t="str">
        <f>_xlfn.XLOOKUP(D1626,Master[Product_Code],Master[Category])</f>
        <v>Innerwear</v>
      </c>
      <c r="G1626" s="8" t="str">
        <f>_xlfn.XLOOKUP(D1626,Master[Product_Code],Master[Brand])</f>
        <v>Rupa</v>
      </c>
      <c r="H1626" s="8" t="str">
        <f>_xlfn.XLOOKUP(D1626,Master[Product_Code],Master[Style])</f>
        <v>Boxer</v>
      </c>
      <c r="I1626" s="8" t="str">
        <f>_xlfn.XLOOKUP(D1626,Master[Product_Code],Master[Fabric])</f>
        <v>Cotton Blend</v>
      </c>
      <c r="J1626" s="8" t="str">
        <f>_xlfn.XLOOKUP(D1626,Master[Product_Code],Master[Size])</f>
        <v>90-100</v>
      </c>
      <c r="K1626" s="8" t="str">
        <f>_xlfn.XLOOKUP(D1626,Master[Product_Code],Master[Color])</f>
        <v>Royal Blue</v>
      </c>
      <c r="L1626" s="3">
        <f>_xlfn.XLOOKUP(D1626,Master[Product_Code],Master[Selling_Price])</f>
        <v>130</v>
      </c>
    </row>
    <row r="1627" spans="2:12">
      <c r="B1627" s="2" t="s">
        <v>2429</v>
      </c>
      <c r="C1627" s="7">
        <v>45982</v>
      </c>
      <c r="D1627" s="2" t="s">
        <v>264</v>
      </c>
      <c r="E1627" s="4">
        <v>1</v>
      </c>
      <c r="F1627" s="8" t="str">
        <f>_xlfn.XLOOKUP(D1627,Master[Product_Code],Master[Category])</f>
        <v>Shirt</v>
      </c>
      <c r="G1627" s="8" t="str">
        <f>_xlfn.XLOOKUP(D1627,Master[Product_Code],Master[Brand])</f>
        <v>British</v>
      </c>
      <c r="H1627" s="8" t="str">
        <f>_xlfn.XLOOKUP(D1627,Master[Product_Code],Master[Style])</f>
        <v>Casual</v>
      </c>
      <c r="I1627" s="8" t="str">
        <f>_xlfn.XLOOKUP(D1627,Master[Product_Code],Master[Fabric])</f>
        <v>Lycra</v>
      </c>
      <c r="J1627" s="8" t="str">
        <f>_xlfn.XLOOKUP(D1627,Master[Product_Code],Master[Size])</f>
        <v>M</v>
      </c>
      <c r="K1627" s="8" t="str">
        <f>_xlfn.XLOOKUP(D1627,Master[Product_Code],Master[Color])</f>
        <v>Sky Blue</v>
      </c>
      <c r="L1627" s="3">
        <f>_xlfn.XLOOKUP(D1627,Master[Product_Code],Master[Selling_Price])</f>
        <v>910</v>
      </c>
    </row>
    <row r="1628" spans="2:12">
      <c r="B1628" s="2" t="s">
        <v>2429</v>
      </c>
      <c r="C1628" s="7">
        <v>45982</v>
      </c>
      <c r="D1628" s="2" t="s">
        <v>1184</v>
      </c>
      <c r="E1628" s="4">
        <v>1</v>
      </c>
      <c r="F1628" s="8" t="str">
        <f>_xlfn.XLOOKUP(D1628,Master[Product_Code],Master[Category])</f>
        <v>Pants</v>
      </c>
      <c r="G1628" s="8" t="str">
        <f>_xlfn.XLOOKUP(D1628,Master[Product_Code],Master[Brand])</f>
        <v>Louis Philippe</v>
      </c>
      <c r="H1628" s="8" t="str">
        <f>_xlfn.XLOOKUP(D1628,Master[Product_Code],Master[Style])</f>
        <v>Polofit</v>
      </c>
      <c r="I1628" s="8" t="str">
        <f>_xlfn.XLOOKUP(D1628,Master[Product_Code],Master[Fabric])</f>
        <v>Lycra</v>
      </c>
      <c r="J1628" s="8">
        <f>_xlfn.XLOOKUP(D1628,Master[Product_Code],Master[Size])</f>
        <v>28</v>
      </c>
      <c r="K1628" s="8" t="str">
        <f>_xlfn.XLOOKUP(D1628,Master[Product_Code],Master[Color])</f>
        <v>Peach</v>
      </c>
      <c r="L1628" s="3">
        <f>_xlfn.XLOOKUP(D1628,Master[Product_Code],Master[Selling_Price])</f>
        <v>730</v>
      </c>
    </row>
    <row r="1629" spans="2:12">
      <c r="B1629" s="2" t="s">
        <v>2430</v>
      </c>
      <c r="C1629" s="7">
        <v>45982</v>
      </c>
      <c r="D1629" s="2" t="s">
        <v>1592</v>
      </c>
      <c r="E1629" s="4">
        <v>1</v>
      </c>
      <c r="F1629" s="8" t="str">
        <f>_xlfn.XLOOKUP(D1629,Master[Product_Code],Master[Category])</f>
        <v>Innerwear</v>
      </c>
      <c r="G1629" s="8" t="str">
        <f>_xlfn.XLOOKUP(D1629,Master[Product_Code],Master[Brand])</f>
        <v>Dollar</v>
      </c>
      <c r="H1629" s="8" t="str">
        <f>_xlfn.XLOOKUP(D1629,Master[Product_Code],Master[Style])</f>
        <v>V-Cut</v>
      </c>
      <c r="I1629" s="8" t="str">
        <f>_xlfn.XLOOKUP(D1629,Master[Product_Code],Master[Fabric])</f>
        <v>Cotton</v>
      </c>
      <c r="J1629" s="8" t="str">
        <f>_xlfn.XLOOKUP(D1629,Master[Product_Code],Master[Size])</f>
        <v>105-110</v>
      </c>
      <c r="K1629" s="8" t="str">
        <f>_xlfn.XLOOKUP(D1629,Master[Product_Code],Master[Color])</f>
        <v>Dark Green</v>
      </c>
      <c r="L1629" s="3">
        <f>_xlfn.XLOOKUP(D1629,Master[Product_Code],Master[Selling_Price])</f>
        <v>110</v>
      </c>
    </row>
    <row r="1630" spans="2:12">
      <c r="B1630" s="2" t="s">
        <v>2430</v>
      </c>
      <c r="C1630" s="7">
        <v>45982</v>
      </c>
      <c r="D1630" s="2" t="s">
        <v>1469</v>
      </c>
      <c r="E1630" s="4">
        <v>1</v>
      </c>
      <c r="F1630" s="8" t="str">
        <f>_xlfn.XLOOKUP(D1630,Master[Product_Code],Master[Category])</f>
        <v>Innerwear</v>
      </c>
      <c r="G1630" s="8" t="str">
        <f>_xlfn.XLOOKUP(D1630,Master[Product_Code],Master[Brand])</f>
        <v>Rupa</v>
      </c>
      <c r="H1630" s="8" t="str">
        <f>_xlfn.XLOOKUP(D1630,Master[Product_Code],Master[Style])</f>
        <v>V-Cut</v>
      </c>
      <c r="I1630" s="8" t="str">
        <f>_xlfn.XLOOKUP(D1630,Master[Product_Code],Master[Fabric])</f>
        <v>Cotton</v>
      </c>
      <c r="J1630" s="8" t="str">
        <f>_xlfn.XLOOKUP(D1630,Master[Product_Code],Master[Size])</f>
        <v>90-100</v>
      </c>
      <c r="K1630" s="8" t="str">
        <f>_xlfn.XLOOKUP(D1630,Master[Product_Code],Master[Color])</f>
        <v>Brown</v>
      </c>
      <c r="L1630" s="3">
        <f>_xlfn.XLOOKUP(D1630,Master[Product_Code],Master[Selling_Price])</f>
        <v>100</v>
      </c>
    </row>
    <row r="1631" spans="2:12">
      <c r="B1631" s="2" t="s">
        <v>2430</v>
      </c>
      <c r="C1631" s="7">
        <v>45982</v>
      </c>
      <c r="D1631" s="2" t="s">
        <v>663</v>
      </c>
      <c r="E1631" s="4">
        <v>1</v>
      </c>
      <c r="F1631" s="8" t="str">
        <f>_xlfn.XLOOKUP(D1631,Master[Product_Code],Master[Category])</f>
        <v>T-Shirt</v>
      </c>
      <c r="G1631" s="8" t="str">
        <f>_xlfn.XLOOKUP(D1631,Master[Product_Code],Master[Brand])</f>
        <v>Zara</v>
      </c>
      <c r="H1631" s="8" t="str">
        <f>_xlfn.XLOOKUP(D1631,Master[Product_Code],Master[Style])</f>
        <v>Full Sleeve</v>
      </c>
      <c r="I1631" s="8" t="str">
        <f>_xlfn.XLOOKUP(D1631,Master[Product_Code],Master[Fabric])</f>
        <v>Cotton</v>
      </c>
      <c r="J1631" s="8" t="str">
        <f>_xlfn.XLOOKUP(D1631,Master[Product_Code],Master[Size])</f>
        <v>M</v>
      </c>
      <c r="K1631" s="8" t="str">
        <f>_xlfn.XLOOKUP(D1631,Master[Product_Code],Master[Color])</f>
        <v>Grey</v>
      </c>
      <c r="L1631" s="3">
        <f>_xlfn.XLOOKUP(D1631,Master[Product_Code],Master[Selling_Price])</f>
        <v>500</v>
      </c>
    </row>
    <row r="1632" spans="2:12">
      <c r="B1632" s="2" t="s">
        <v>2430</v>
      </c>
      <c r="C1632" s="7">
        <v>45982</v>
      </c>
      <c r="D1632" s="2" t="s">
        <v>1277</v>
      </c>
      <c r="E1632" s="4">
        <v>1</v>
      </c>
      <c r="F1632" s="8" t="str">
        <f>_xlfn.XLOOKUP(D1632,Master[Product_Code],Master[Category])</f>
        <v>Pants</v>
      </c>
      <c r="G1632" s="8" t="str">
        <f>_xlfn.XLOOKUP(D1632,Master[Product_Code],Master[Brand])</f>
        <v>Raymond</v>
      </c>
      <c r="H1632" s="8" t="str">
        <f>_xlfn.XLOOKUP(D1632,Master[Product_Code],Master[Style])</f>
        <v>Boot Cut</v>
      </c>
      <c r="I1632" s="8" t="str">
        <f>_xlfn.XLOOKUP(D1632,Master[Product_Code],Master[Fabric])</f>
        <v>Poly Viscose</v>
      </c>
      <c r="J1632" s="8">
        <f>_xlfn.XLOOKUP(D1632,Master[Product_Code],Master[Size])</f>
        <v>32</v>
      </c>
      <c r="K1632" s="8" t="str">
        <f>_xlfn.XLOOKUP(D1632,Master[Product_Code],Master[Color])</f>
        <v>Cream</v>
      </c>
      <c r="L1632" s="3">
        <f>_xlfn.XLOOKUP(D1632,Master[Product_Code],Master[Selling_Price])</f>
        <v>760</v>
      </c>
    </row>
    <row r="1633" spans="2:12">
      <c r="B1633" s="2" t="s">
        <v>2431</v>
      </c>
      <c r="C1633" s="7">
        <v>45982</v>
      </c>
      <c r="D1633" s="2" t="s">
        <v>1501</v>
      </c>
      <c r="E1633" s="4">
        <v>1</v>
      </c>
      <c r="F1633" s="8" t="str">
        <f>_xlfn.XLOOKUP(D1633,Master[Product_Code],Master[Category])</f>
        <v>Innerwear</v>
      </c>
      <c r="G1633" s="8" t="str">
        <f>_xlfn.XLOOKUP(D1633,Master[Product_Code],Master[Brand])</f>
        <v>Lux</v>
      </c>
      <c r="H1633" s="8" t="str">
        <f>_xlfn.XLOOKUP(D1633,Master[Product_Code],Master[Style])</f>
        <v>Boxer</v>
      </c>
      <c r="I1633" s="8" t="str">
        <f>_xlfn.XLOOKUP(D1633,Master[Product_Code],Master[Fabric])</f>
        <v>Cotton Blend</v>
      </c>
      <c r="J1633" s="8" t="str">
        <f>_xlfn.XLOOKUP(D1633,Master[Product_Code],Master[Size])</f>
        <v>75-80</v>
      </c>
      <c r="K1633" s="8" t="str">
        <f>_xlfn.XLOOKUP(D1633,Master[Product_Code],Master[Color])</f>
        <v>Navy Blue</v>
      </c>
      <c r="L1633" s="3">
        <f>_xlfn.XLOOKUP(D1633,Master[Product_Code],Master[Selling_Price])</f>
        <v>140</v>
      </c>
    </row>
    <row r="1634" spans="2:12">
      <c r="B1634" s="2" t="s">
        <v>2431</v>
      </c>
      <c r="C1634" s="7">
        <v>45982</v>
      </c>
      <c r="D1634" s="2" t="s">
        <v>270</v>
      </c>
      <c r="E1634" s="4">
        <v>1</v>
      </c>
      <c r="F1634" s="8" t="str">
        <f>_xlfn.XLOOKUP(D1634,Master[Product_Code],Master[Category])</f>
        <v>Shirt</v>
      </c>
      <c r="G1634" s="8" t="str">
        <f>_xlfn.XLOOKUP(D1634,Master[Product_Code],Master[Brand])</f>
        <v>H&amp;M</v>
      </c>
      <c r="H1634" s="8" t="str">
        <f>_xlfn.XLOOKUP(D1634,Master[Product_Code],Master[Style])</f>
        <v>Partywear</v>
      </c>
      <c r="I1634" s="8" t="str">
        <f>_xlfn.XLOOKUP(D1634,Master[Product_Code],Master[Fabric])</f>
        <v>Cotton</v>
      </c>
      <c r="J1634" s="8" t="str">
        <f>_xlfn.XLOOKUP(D1634,Master[Product_Code],Master[Size])</f>
        <v>XL</v>
      </c>
      <c r="K1634" s="8" t="str">
        <f>_xlfn.XLOOKUP(D1634,Master[Product_Code],Master[Color])</f>
        <v>Light Grey</v>
      </c>
      <c r="L1634" s="3">
        <f>_xlfn.XLOOKUP(D1634,Master[Product_Code],Master[Selling_Price])</f>
        <v>800</v>
      </c>
    </row>
    <row r="1635" spans="2:12">
      <c r="B1635" s="2" t="s">
        <v>2431</v>
      </c>
      <c r="C1635" s="7">
        <v>45982</v>
      </c>
      <c r="D1635" s="2" t="s">
        <v>1242</v>
      </c>
      <c r="E1635" s="4">
        <v>1</v>
      </c>
      <c r="F1635" s="8" t="str">
        <f>_xlfn.XLOOKUP(D1635,Master[Product_Code],Master[Category])</f>
        <v>Pants</v>
      </c>
      <c r="G1635" s="8" t="str">
        <f>_xlfn.XLOOKUP(D1635,Master[Product_Code],Master[Brand])</f>
        <v>Louis Philippe</v>
      </c>
      <c r="H1635" s="8" t="str">
        <f>_xlfn.XLOOKUP(D1635,Master[Product_Code],Master[Style])</f>
        <v>Kurka</v>
      </c>
      <c r="I1635" s="8" t="str">
        <f>_xlfn.XLOOKUP(D1635,Master[Product_Code],Master[Fabric])</f>
        <v>Lycra</v>
      </c>
      <c r="J1635" s="8">
        <f>_xlfn.XLOOKUP(D1635,Master[Product_Code],Master[Size])</f>
        <v>34</v>
      </c>
      <c r="K1635" s="8" t="str">
        <f>_xlfn.XLOOKUP(D1635,Master[Product_Code],Master[Color])</f>
        <v>Maroon</v>
      </c>
      <c r="L1635" s="3">
        <f>_xlfn.XLOOKUP(D1635,Master[Product_Code],Master[Selling_Price])</f>
        <v>910</v>
      </c>
    </row>
    <row r="1636" spans="2:12">
      <c r="B1636" s="2" t="s">
        <v>2431</v>
      </c>
      <c r="C1636" s="7">
        <v>45982</v>
      </c>
      <c r="D1636" s="2" t="s">
        <v>232</v>
      </c>
      <c r="E1636" s="4">
        <v>1</v>
      </c>
      <c r="F1636" s="8" t="str">
        <f>_xlfn.XLOOKUP(D1636,Master[Product_Code],Master[Category])</f>
        <v>Shirt</v>
      </c>
      <c r="G1636" s="8" t="str">
        <f>_xlfn.XLOOKUP(D1636,Master[Product_Code],Master[Brand])</f>
        <v>Max</v>
      </c>
      <c r="H1636" s="8" t="str">
        <f>_xlfn.XLOOKUP(D1636,Master[Product_Code],Master[Style])</f>
        <v>Casual</v>
      </c>
      <c r="I1636" s="8" t="str">
        <f>_xlfn.XLOOKUP(D1636,Master[Product_Code],Master[Fabric])</f>
        <v>Cotton</v>
      </c>
      <c r="J1636" s="8" t="str">
        <f>_xlfn.XLOOKUP(D1636,Master[Product_Code],Master[Size])</f>
        <v>XL</v>
      </c>
      <c r="K1636" s="8" t="str">
        <f>_xlfn.XLOOKUP(D1636,Master[Product_Code],Master[Color])</f>
        <v>Wine</v>
      </c>
      <c r="L1636" s="3">
        <f>_xlfn.XLOOKUP(D1636,Master[Product_Code],Master[Selling_Price])</f>
        <v>800</v>
      </c>
    </row>
    <row r="1637" spans="2:12">
      <c r="B1637" s="2" t="s">
        <v>2432</v>
      </c>
      <c r="C1637" s="7">
        <v>45982</v>
      </c>
      <c r="D1637" s="2" t="s">
        <v>354</v>
      </c>
      <c r="E1637" s="4">
        <v>1</v>
      </c>
      <c r="F1637" s="8" t="str">
        <f>_xlfn.XLOOKUP(D1637,Master[Product_Code],Master[Category])</f>
        <v>Shirt</v>
      </c>
      <c r="G1637" s="8" t="str">
        <f>_xlfn.XLOOKUP(D1637,Master[Product_Code],Master[Brand])</f>
        <v>Zara</v>
      </c>
      <c r="H1637" s="8" t="str">
        <f>_xlfn.XLOOKUP(D1637,Master[Product_Code],Master[Style])</f>
        <v>Casual</v>
      </c>
      <c r="I1637" s="8" t="str">
        <f>_xlfn.XLOOKUP(D1637,Master[Product_Code],Master[Fabric])</f>
        <v>Cotton Blend</v>
      </c>
      <c r="J1637" s="8" t="str">
        <f>_xlfn.XLOOKUP(D1637,Master[Product_Code],Master[Size])</f>
        <v>XL</v>
      </c>
      <c r="K1637" s="8" t="str">
        <f>_xlfn.XLOOKUP(D1637,Master[Product_Code],Master[Color])</f>
        <v>Maroon</v>
      </c>
      <c r="L1637" s="3">
        <f>_xlfn.XLOOKUP(D1637,Master[Product_Code],Master[Selling_Price])</f>
        <v>700</v>
      </c>
    </row>
    <row r="1638" spans="2:12">
      <c r="B1638" s="2" t="s">
        <v>2432</v>
      </c>
      <c r="C1638" s="7">
        <v>45982</v>
      </c>
      <c r="D1638" s="2" t="s">
        <v>531</v>
      </c>
      <c r="E1638" s="4">
        <v>1</v>
      </c>
      <c r="F1638" s="8" t="str">
        <f>_xlfn.XLOOKUP(D1638,Master[Product_Code],Master[Category])</f>
        <v>T-Shirt</v>
      </c>
      <c r="G1638" s="8" t="str">
        <f>_xlfn.XLOOKUP(D1638,Master[Product_Code],Master[Brand])</f>
        <v>Roadster</v>
      </c>
      <c r="H1638" s="8" t="str">
        <f>_xlfn.XLOOKUP(D1638,Master[Product_Code],Master[Style])</f>
        <v>Hoodie</v>
      </c>
      <c r="I1638" s="8" t="str">
        <f>_xlfn.XLOOKUP(D1638,Master[Product_Code],Master[Fabric])</f>
        <v>Poly Cotton</v>
      </c>
      <c r="J1638" s="8" t="str">
        <f>_xlfn.XLOOKUP(D1638,Master[Product_Code],Master[Size])</f>
        <v>M</v>
      </c>
      <c r="K1638" s="8" t="str">
        <f>_xlfn.XLOOKUP(D1638,Master[Product_Code],Master[Color])</f>
        <v>Beige</v>
      </c>
      <c r="L1638" s="3">
        <f>_xlfn.XLOOKUP(D1638,Master[Product_Code],Master[Selling_Price])</f>
        <v>670</v>
      </c>
    </row>
    <row r="1639" spans="2:12">
      <c r="B1639" s="2" t="s">
        <v>2433</v>
      </c>
      <c r="C1639" s="7">
        <v>45982</v>
      </c>
      <c r="D1639" s="2" t="s">
        <v>1706</v>
      </c>
      <c r="E1639" s="4">
        <v>1</v>
      </c>
      <c r="F1639" s="8" t="str">
        <f>_xlfn.XLOOKUP(D1639,Master[Product_Code],Master[Category])</f>
        <v>Innerwear</v>
      </c>
      <c r="G1639" s="8" t="str">
        <f>_xlfn.XLOOKUP(D1639,Master[Product_Code],Master[Brand])</f>
        <v>Dollar</v>
      </c>
      <c r="H1639" s="8" t="str">
        <f>_xlfn.XLOOKUP(D1639,Master[Product_Code],Master[Style])</f>
        <v>Boxer</v>
      </c>
      <c r="I1639" s="8" t="str">
        <f>_xlfn.XLOOKUP(D1639,Master[Product_Code],Master[Fabric])</f>
        <v>Cotton</v>
      </c>
      <c r="J1639" s="8" t="str">
        <f>_xlfn.XLOOKUP(D1639,Master[Product_Code],Master[Size])</f>
        <v>75-80</v>
      </c>
      <c r="K1639" s="8" t="str">
        <f>_xlfn.XLOOKUP(D1639,Master[Product_Code],Master[Color])</f>
        <v>Light Grey</v>
      </c>
      <c r="L1639" s="3">
        <f>_xlfn.XLOOKUP(D1639,Master[Product_Code],Master[Selling_Price])</f>
        <v>180</v>
      </c>
    </row>
    <row r="1640" spans="2:12">
      <c r="B1640" s="2" t="s">
        <v>2433</v>
      </c>
      <c r="C1640" s="7">
        <v>45982</v>
      </c>
      <c r="D1640" s="2" t="s">
        <v>1568</v>
      </c>
      <c r="E1640" s="4">
        <v>1</v>
      </c>
      <c r="F1640" s="8" t="str">
        <f>_xlfn.XLOOKUP(D1640,Master[Product_Code],Master[Category])</f>
        <v>Innerwear</v>
      </c>
      <c r="G1640" s="8" t="str">
        <f>_xlfn.XLOOKUP(D1640,Master[Product_Code],Master[Brand])</f>
        <v>V Star</v>
      </c>
      <c r="H1640" s="8" t="str">
        <f>_xlfn.XLOOKUP(D1640,Master[Product_Code],Master[Style])</f>
        <v>V-Cut</v>
      </c>
      <c r="I1640" s="8" t="str">
        <f>_xlfn.XLOOKUP(D1640,Master[Product_Code],Master[Fabric])</f>
        <v>Cotton Blend</v>
      </c>
      <c r="J1640" s="8" t="str">
        <f>_xlfn.XLOOKUP(D1640,Master[Product_Code],Master[Size])</f>
        <v>105-110</v>
      </c>
      <c r="K1640" s="8" t="str">
        <f>_xlfn.XLOOKUP(D1640,Master[Product_Code],Master[Color])</f>
        <v>Peach</v>
      </c>
      <c r="L1640" s="3">
        <f>_xlfn.XLOOKUP(D1640,Master[Product_Code],Master[Selling_Price])</f>
        <v>120</v>
      </c>
    </row>
    <row r="1641" spans="2:12">
      <c r="B1641" s="2" t="s">
        <v>2434</v>
      </c>
      <c r="C1641" s="7">
        <v>45982</v>
      </c>
      <c r="D1641" s="2" t="s">
        <v>1179</v>
      </c>
      <c r="E1641" s="4">
        <v>1</v>
      </c>
      <c r="F1641" s="8" t="str">
        <f>_xlfn.XLOOKUP(D1641,Master[Product_Code],Master[Category])</f>
        <v>Pants</v>
      </c>
      <c r="G1641" s="8" t="str">
        <f>_xlfn.XLOOKUP(D1641,Master[Product_Code],Master[Brand])</f>
        <v>Park Avenue</v>
      </c>
      <c r="H1641" s="8" t="str">
        <f>_xlfn.XLOOKUP(D1641,Master[Product_Code],Master[Style])</f>
        <v>Jogger</v>
      </c>
      <c r="I1641" s="8" t="str">
        <f>_xlfn.XLOOKUP(D1641,Master[Product_Code],Master[Fabric])</f>
        <v>Cotton Blend</v>
      </c>
      <c r="J1641" s="8">
        <f>_xlfn.XLOOKUP(D1641,Master[Product_Code],Master[Size])</f>
        <v>44</v>
      </c>
      <c r="K1641" s="8" t="str">
        <f>_xlfn.XLOOKUP(D1641,Master[Product_Code],Master[Color])</f>
        <v>Dark Green</v>
      </c>
      <c r="L1641" s="3">
        <f>_xlfn.XLOOKUP(D1641,Master[Product_Code],Master[Selling_Price])</f>
        <v>770</v>
      </c>
    </row>
    <row r="1642" spans="2:12">
      <c r="B1642" s="2" t="s">
        <v>2435</v>
      </c>
      <c r="C1642" s="7">
        <v>45983</v>
      </c>
      <c r="D1642" s="2" t="s">
        <v>1498</v>
      </c>
      <c r="E1642" s="4">
        <v>1</v>
      </c>
      <c r="F1642" s="8" t="str">
        <f>_xlfn.XLOOKUP(D1642,Master[Product_Code],Master[Category])</f>
        <v>Innerwear</v>
      </c>
      <c r="G1642" s="8" t="str">
        <f>_xlfn.XLOOKUP(D1642,Master[Product_Code],Master[Brand])</f>
        <v>Dollar</v>
      </c>
      <c r="H1642" s="8" t="str">
        <f>_xlfn.XLOOKUP(D1642,Master[Product_Code],Master[Style])</f>
        <v>V-Cut</v>
      </c>
      <c r="I1642" s="8" t="str">
        <f>_xlfn.XLOOKUP(D1642,Master[Product_Code],Master[Fabric])</f>
        <v>Cotton</v>
      </c>
      <c r="J1642" s="8" t="str">
        <f>_xlfn.XLOOKUP(D1642,Master[Product_Code],Master[Size])</f>
        <v>100-105</v>
      </c>
      <c r="K1642" s="8" t="str">
        <f>_xlfn.XLOOKUP(D1642,Master[Product_Code],Master[Color])</f>
        <v>Rust</v>
      </c>
      <c r="L1642" s="3">
        <f>_xlfn.XLOOKUP(D1642,Master[Product_Code],Master[Selling_Price])</f>
        <v>160</v>
      </c>
    </row>
    <row r="1643" spans="2:12">
      <c r="B1643" s="2" t="s">
        <v>2435</v>
      </c>
      <c r="C1643" s="7">
        <v>45983</v>
      </c>
      <c r="D1643" s="2" t="s">
        <v>1383</v>
      </c>
      <c r="E1643" s="4">
        <v>1</v>
      </c>
      <c r="F1643" s="8" t="str">
        <f>_xlfn.XLOOKUP(D1643,Master[Product_Code],Master[Category])</f>
        <v>Pants</v>
      </c>
      <c r="G1643" s="8" t="str">
        <f>_xlfn.XLOOKUP(D1643,Master[Product_Code],Master[Brand])</f>
        <v>Park Avenue</v>
      </c>
      <c r="H1643" s="8" t="str">
        <f>_xlfn.XLOOKUP(D1643,Master[Product_Code],Master[Style])</f>
        <v>Korean</v>
      </c>
      <c r="I1643" s="8" t="str">
        <f>_xlfn.XLOOKUP(D1643,Master[Product_Code],Master[Fabric])</f>
        <v>Lycra</v>
      </c>
      <c r="J1643" s="8">
        <f>_xlfn.XLOOKUP(D1643,Master[Product_Code],Master[Size])</f>
        <v>32</v>
      </c>
      <c r="K1643" s="8" t="str">
        <f>_xlfn.XLOOKUP(D1643,Master[Product_Code],Master[Color])</f>
        <v>Dark Green</v>
      </c>
      <c r="L1643" s="3">
        <f>_xlfn.XLOOKUP(D1643,Master[Product_Code],Master[Selling_Price])</f>
        <v>910</v>
      </c>
    </row>
    <row r="1644" spans="2:12">
      <c r="B1644" s="2" t="s">
        <v>2435</v>
      </c>
      <c r="C1644" s="7">
        <v>45983</v>
      </c>
      <c r="D1644" s="2" t="s">
        <v>392</v>
      </c>
      <c r="E1644" s="4">
        <v>1</v>
      </c>
      <c r="F1644" s="8" t="str">
        <f>_xlfn.XLOOKUP(D1644,Master[Product_Code],Master[Category])</f>
        <v>Shirt</v>
      </c>
      <c r="G1644" s="8" t="str">
        <f>_xlfn.XLOOKUP(D1644,Master[Product_Code],Master[Brand])</f>
        <v>Luke &amp; Burg</v>
      </c>
      <c r="H1644" s="8" t="str">
        <f>_xlfn.XLOOKUP(D1644,Master[Product_Code],Master[Style])</f>
        <v>Formal</v>
      </c>
      <c r="I1644" s="8" t="str">
        <f>_xlfn.XLOOKUP(D1644,Master[Product_Code],Master[Fabric])</f>
        <v>Lycra</v>
      </c>
      <c r="J1644" s="8" t="str">
        <f>_xlfn.XLOOKUP(D1644,Master[Product_Code],Master[Size])</f>
        <v>XL</v>
      </c>
      <c r="K1644" s="8" t="str">
        <f>_xlfn.XLOOKUP(D1644,Master[Product_Code],Master[Color])</f>
        <v>Teal</v>
      </c>
      <c r="L1644" s="3">
        <f>_xlfn.XLOOKUP(D1644,Master[Product_Code],Master[Selling_Price])</f>
        <v>820</v>
      </c>
    </row>
    <row r="1645" spans="2:12">
      <c r="B1645" s="2" t="s">
        <v>2435</v>
      </c>
      <c r="C1645" s="7">
        <v>45983</v>
      </c>
      <c r="D1645" s="2" t="s">
        <v>394</v>
      </c>
      <c r="E1645" s="4">
        <v>1</v>
      </c>
      <c r="F1645" s="8" t="str">
        <f>_xlfn.XLOOKUP(D1645,Master[Product_Code],Master[Category])</f>
        <v>Shirt</v>
      </c>
      <c r="G1645" s="8" t="str">
        <f>_xlfn.XLOOKUP(D1645,Master[Product_Code],Master[Brand])</f>
        <v>G Studio</v>
      </c>
      <c r="H1645" s="8" t="str">
        <f>_xlfn.XLOOKUP(D1645,Master[Product_Code],Master[Style])</f>
        <v>Formal</v>
      </c>
      <c r="I1645" s="8" t="str">
        <f>_xlfn.XLOOKUP(D1645,Master[Product_Code],Master[Fabric])</f>
        <v>Cotton</v>
      </c>
      <c r="J1645" s="8" t="str">
        <f>_xlfn.XLOOKUP(D1645,Master[Product_Code],Master[Size])</f>
        <v>XXL</v>
      </c>
      <c r="K1645" s="8" t="str">
        <f>_xlfn.XLOOKUP(D1645,Master[Product_Code],Master[Color])</f>
        <v>White</v>
      </c>
      <c r="L1645" s="3">
        <f>_xlfn.XLOOKUP(D1645,Master[Product_Code],Master[Selling_Price])</f>
        <v>720</v>
      </c>
    </row>
    <row r="1646" spans="2:12">
      <c r="B1646" s="2" t="s">
        <v>2436</v>
      </c>
      <c r="C1646" s="7">
        <v>45983</v>
      </c>
      <c r="D1646" s="2" t="s">
        <v>1487</v>
      </c>
      <c r="E1646" s="4">
        <v>1</v>
      </c>
      <c r="F1646" s="8" t="str">
        <f>_xlfn.XLOOKUP(D1646,Master[Product_Code],Master[Category])</f>
        <v>Innerwear</v>
      </c>
      <c r="G1646" s="8" t="str">
        <f>_xlfn.XLOOKUP(D1646,Master[Product_Code],Master[Brand])</f>
        <v>Lux</v>
      </c>
      <c r="H1646" s="8" t="str">
        <f>_xlfn.XLOOKUP(D1646,Master[Product_Code],Master[Style])</f>
        <v>V-Cut</v>
      </c>
      <c r="I1646" s="8" t="str">
        <f>_xlfn.XLOOKUP(D1646,Master[Product_Code],Master[Fabric])</f>
        <v>Cotton Blend</v>
      </c>
      <c r="J1646" s="8" t="str">
        <f>_xlfn.XLOOKUP(D1646,Master[Product_Code],Master[Size])</f>
        <v>90-100</v>
      </c>
      <c r="K1646" s="8" t="str">
        <f>_xlfn.XLOOKUP(D1646,Master[Product_Code],Master[Color])</f>
        <v>Mustard</v>
      </c>
      <c r="L1646" s="3">
        <f>_xlfn.XLOOKUP(D1646,Master[Product_Code],Master[Selling_Price])</f>
        <v>180</v>
      </c>
    </row>
    <row r="1647" spans="2:12">
      <c r="B1647" s="2" t="s">
        <v>2436</v>
      </c>
      <c r="C1647" s="7">
        <v>45983</v>
      </c>
      <c r="D1647" s="2" t="s">
        <v>873</v>
      </c>
      <c r="E1647" s="4">
        <v>1</v>
      </c>
      <c r="F1647" s="8" t="str">
        <f>_xlfn.XLOOKUP(D1647,Master[Product_Code],Master[Category])</f>
        <v>Jeans</v>
      </c>
      <c r="G1647" s="8" t="str">
        <f>_xlfn.XLOOKUP(D1647,Master[Product_Code],Master[Brand])</f>
        <v>Levis</v>
      </c>
      <c r="H1647" s="8" t="str">
        <f>_xlfn.XLOOKUP(D1647,Master[Product_Code],Master[Style])</f>
        <v>Mom Fit</v>
      </c>
      <c r="I1647" s="8" t="str">
        <f>_xlfn.XLOOKUP(D1647,Master[Product_Code],Master[Fabric])</f>
        <v>Denim</v>
      </c>
      <c r="J1647" s="8">
        <f>_xlfn.XLOOKUP(D1647,Master[Product_Code],Master[Size])</f>
        <v>34</v>
      </c>
      <c r="K1647" s="8" t="str">
        <f>_xlfn.XLOOKUP(D1647,Master[Product_Code],Master[Color])</f>
        <v>Cream</v>
      </c>
      <c r="L1647" s="3">
        <f>_xlfn.XLOOKUP(D1647,Master[Product_Code],Master[Selling_Price])</f>
        <v>910</v>
      </c>
    </row>
    <row r="1648" spans="2:12">
      <c r="B1648" s="2" t="s">
        <v>2436</v>
      </c>
      <c r="C1648" s="7">
        <v>45983</v>
      </c>
      <c r="D1648" s="2" t="s">
        <v>1692</v>
      </c>
      <c r="E1648" s="4">
        <v>1</v>
      </c>
      <c r="F1648" s="8" t="str">
        <f>_xlfn.XLOOKUP(D1648,Master[Product_Code],Master[Category])</f>
        <v>Innerwear</v>
      </c>
      <c r="G1648" s="8" t="str">
        <f>_xlfn.XLOOKUP(D1648,Master[Product_Code],Master[Brand])</f>
        <v>Rupa</v>
      </c>
      <c r="H1648" s="8" t="str">
        <f>_xlfn.XLOOKUP(D1648,Master[Product_Code],Master[Style])</f>
        <v>Boxer</v>
      </c>
      <c r="I1648" s="8" t="str">
        <f>_xlfn.XLOOKUP(D1648,Master[Product_Code],Master[Fabric])</f>
        <v>Cotton</v>
      </c>
      <c r="J1648" s="8" t="str">
        <f>_xlfn.XLOOKUP(D1648,Master[Product_Code],Master[Size])</f>
        <v>100-105</v>
      </c>
      <c r="K1648" s="8" t="str">
        <f>_xlfn.XLOOKUP(D1648,Master[Product_Code],Master[Color])</f>
        <v>Sky Blue</v>
      </c>
      <c r="L1648" s="3">
        <f>_xlfn.XLOOKUP(D1648,Master[Product_Code],Master[Selling_Price])</f>
        <v>100</v>
      </c>
    </row>
    <row r="1649" spans="2:12">
      <c r="B1649" s="2" t="s">
        <v>2437</v>
      </c>
      <c r="C1649" s="7">
        <v>45983</v>
      </c>
      <c r="D1649" s="2" t="s">
        <v>1171</v>
      </c>
      <c r="E1649" s="4">
        <v>1</v>
      </c>
      <c r="F1649" s="8" t="str">
        <f>_xlfn.XLOOKUP(D1649,Master[Product_Code],Master[Category])</f>
        <v>Pants</v>
      </c>
      <c r="G1649" s="8" t="str">
        <f>_xlfn.XLOOKUP(D1649,Master[Product_Code],Master[Brand])</f>
        <v>Raymond</v>
      </c>
      <c r="H1649" s="8" t="str">
        <f>_xlfn.XLOOKUP(D1649,Master[Product_Code],Master[Style])</f>
        <v>Korean</v>
      </c>
      <c r="I1649" s="8" t="str">
        <f>_xlfn.XLOOKUP(D1649,Master[Product_Code],Master[Fabric])</f>
        <v>Lycra</v>
      </c>
      <c r="J1649" s="8">
        <f>_xlfn.XLOOKUP(D1649,Master[Product_Code],Master[Size])</f>
        <v>28</v>
      </c>
      <c r="K1649" s="8" t="str">
        <f>_xlfn.XLOOKUP(D1649,Master[Product_Code],Master[Color])</f>
        <v>Beige</v>
      </c>
      <c r="L1649" s="3">
        <f>_xlfn.XLOOKUP(D1649,Master[Product_Code],Master[Selling_Price])</f>
        <v>950</v>
      </c>
    </row>
    <row r="1650" spans="2:12">
      <c r="B1650" s="2" t="s">
        <v>2437</v>
      </c>
      <c r="C1650" s="7">
        <v>45983</v>
      </c>
      <c r="D1650" s="2" t="s">
        <v>461</v>
      </c>
      <c r="E1650" s="4">
        <v>1</v>
      </c>
      <c r="F1650" s="8" t="str">
        <f>_xlfn.XLOOKUP(D1650,Master[Product_Code],Master[Category])</f>
        <v>T-Shirt</v>
      </c>
      <c r="G1650" s="8" t="str">
        <f>_xlfn.XLOOKUP(D1650,Master[Product_Code],Master[Brand])</f>
        <v>Urban Monkey</v>
      </c>
      <c r="H1650" s="8" t="str">
        <f>_xlfn.XLOOKUP(D1650,Master[Product_Code],Master[Style])</f>
        <v>Sleeveless</v>
      </c>
      <c r="I1650" s="8" t="str">
        <f>_xlfn.XLOOKUP(D1650,Master[Product_Code],Master[Fabric])</f>
        <v>Cotton Blend</v>
      </c>
      <c r="J1650" s="8" t="str">
        <f>_xlfn.XLOOKUP(D1650,Master[Product_Code],Master[Size])</f>
        <v>S</v>
      </c>
      <c r="K1650" s="8" t="str">
        <f>_xlfn.XLOOKUP(D1650,Master[Product_Code],Master[Color])</f>
        <v>Light Grey</v>
      </c>
      <c r="L1650" s="3">
        <f>_xlfn.XLOOKUP(D1650,Master[Product_Code],Master[Selling_Price])</f>
        <v>410</v>
      </c>
    </row>
    <row r="1651" spans="2:12">
      <c r="B1651" s="2" t="s">
        <v>2438</v>
      </c>
      <c r="C1651" s="7">
        <v>45983</v>
      </c>
      <c r="D1651" s="2" t="s">
        <v>444</v>
      </c>
      <c r="E1651" s="4">
        <v>1</v>
      </c>
      <c r="F1651" s="8" t="str">
        <f>_xlfn.XLOOKUP(D1651,Master[Product_Code],Master[Category])</f>
        <v>T-Shirt</v>
      </c>
      <c r="G1651" s="8" t="str">
        <f>_xlfn.XLOOKUP(D1651,Master[Product_Code],Master[Brand])</f>
        <v>Zara</v>
      </c>
      <c r="H1651" s="8" t="str">
        <f>_xlfn.XLOOKUP(D1651,Master[Product_Code],Master[Style])</f>
        <v>Sleeveless</v>
      </c>
      <c r="I1651" s="8" t="str">
        <f>_xlfn.XLOOKUP(D1651,Master[Product_Code],Master[Fabric])</f>
        <v>Cotton</v>
      </c>
      <c r="J1651" s="8" t="str">
        <f>_xlfn.XLOOKUP(D1651,Master[Product_Code],Master[Size])</f>
        <v>S</v>
      </c>
      <c r="K1651" s="8" t="str">
        <f>_xlfn.XLOOKUP(D1651,Master[Product_Code],Master[Color])</f>
        <v>Mustard</v>
      </c>
      <c r="L1651" s="3">
        <f>_xlfn.XLOOKUP(D1651,Master[Product_Code],Master[Selling_Price])</f>
        <v>250</v>
      </c>
    </row>
    <row r="1652" spans="2:12">
      <c r="B1652" s="2" t="s">
        <v>2438</v>
      </c>
      <c r="C1652" s="7">
        <v>45983</v>
      </c>
      <c r="D1652" s="2" t="s">
        <v>1304</v>
      </c>
      <c r="E1652" s="4">
        <v>1</v>
      </c>
      <c r="F1652" s="8" t="str">
        <f>_xlfn.XLOOKUP(D1652,Master[Product_Code],Master[Category])</f>
        <v>Pants</v>
      </c>
      <c r="G1652" s="8" t="str">
        <f>_xlfn.XLOOKUP(D1652,Master[Product_Code],Master[Brand])</f>
        <v>Park Avenue</v>
      </c>
      <c r="H1652" s="8" t="str">
        <f>_xlfn.XLOOKUP(D1652,Master[Product_Code],Master[Style])</f>
        <v>Boot Cut</v>
      </c>
      <c r="I1652" s="8" t="str">
        <f>_xlfn.XLOOKUP(D1652,Master[Product_Code],Master[Fabric])</f>
        <v>Poly Viscose</v>
      </c>
      <c r="J1652" s="8">
        <f>_xlfn.XLOOKUP(D1652,Master[Product_Code],Master[Size])</f>
        <v>38</v>
      </c>
      <c r="K1652" s="8" t="str">
        <f>_xlfn.XLOOKUP(D1652,Master[Product_Code],Master[Color])</f>
        <v>Rust</v>
      </c>
      <c r="L1652" s="3">
        <f>_xlfn.XLOOKUP(D1652,Master[Product_Code],Master[Selling_Price])</f>
        <v>940</v>
      </c>
    </row>
    <row r="1653" spans="2:12">
      <c r="B1653" s="2" t="s">
        <v>2438</v>
      </c>
      <c r="C1653" s="7">
        <v>45983</v>
      </c>
      <c r="D1653" s="2" t="s">
        <v>602</v>
      </c>
      <c r="E1653" s="4">
        <v>1</v>
      </c>
      <c r="F1653" s="8" t="str">
        <f>_xlfn.XLOOKUP(D1653,Master[Product_Code],Master[Category])</f>
        <v>T-Shirt</v>
      </c>
      <c r="G1653" s="8" t="str">
        <f>_xlfn.XLOOKUP(D1653,Master[Product_Code],Master[Brand])</f>
        <v>Roadster</v>
      </c>
      <c r="H1653" s="8" t="str">
        <f>_xlfn.XLOOKUP(D1653,Master[Product_Code],Master[Style])</f>
        <v>Sleeveless</v>
      </c>
      <c r="I1653" s="8" t="str">
        <f>_xlfn.XLOOKUP(D1653,Master[Product_Code],Master[Fabric])</f>
        <v>Cotton</v>
      </c>
      <c r="J1653" s="8" t="str">
        <f>_xlfn.XLOOKUP(D1653,Master[Product_Code],Master[Size])</f>
        <v>S</v>
      </c>
      <c r="K1653" s="8" t="str">
        <f>_xlfn.XLOOKUP(D1653,Master[Product_Code],Master[Color])</f>
        <v>Teal</v>
      </c>
      <c r="L1653" s="3">
        <f>_xlfn.XLOOKUP(D1653,Master[Product_Code],Master[Selling_Price])</f>
        <v>620</v>
      </c>
    </row>
    <row r="1654" spans="2:12">
      <c r="B1654" s="2" t="s">
        <v>2439</v>
      </c>
      <c r="C1654" s="7">
        <v>45983</v>
      </c>
      <c r="D1654" s="2" t="s">
        <v>1649</v>
      </c>
      <c r="E1654" s="4">
        <v>1</v>
      </c>
      <c r="F1654" s="8" t="str">
        <f>_xlfn.XLOOKUP(D1654,Master[Product_Code],Master[Category])</f>
        <v>Innerwear</v>
      </c>
      <c r="G1654" s="8" t="str">
        <f>_xlfn.XLOOKUP(D1654,Master[Product_Code],Master[Brand])</f>
        <v>Dollar</v>
      </c>
      <c r="H1654" s="8" t="str">
        <f>_xlfn.XLOOKUP(D1654,Master[Product_Code],Master[Style])</f>
        <v>Boxer</v>
      </c>
      <c r="I1654" s="8" t="str">
        <f>_xlfn.XLOOKUP(D1654,Master[Product_Code],Master[Fabric])</f>
        <v>Cotton Blend</v>
      </c>
      <c r="J1654" s="8" t="str">
        <f>_xlfn.XLOOKUP(D1654,Master[Product_Code],Master[Size])</f>
        <v>75-80</v>
      </c>
      <c r="K1654" s="8" t="str">
        <f>_xlfn.XLOOKUP(D1654,Master[Product_Code],Master[Color])</f>
        <v>Dark Green</v>
      </c>
      <c r="L1654" s="3">
        <f>_xlfn.XLOOKUP(D1654,Master[Product_Code],Master[Selling_Price])</f>
        <v>100</v>
      </c>
    </row>
    <row r="1655" spans="2:12">
      <c r="B1655" s="2" t="s">
        <v>2439</v>
      </c>
      <c r="C1655" s="7">
        <v>45983</v>
      </c>
      <c r="D1655" s="2" t="s">
        <v>593</v>
      </c>
      <c r="E1655" s="4">
        <v>1</v>
      </c>
      <c r="F1655" s="8" t="str">
        <f>_xlfn.XLOOKUP(D1655,Master[Product_Code],Master[Category])</f>
        <v>T-Shirt</v>
      </c>
      <c r="G1655" s="8" t="str">
        <f>_xlfn.XLOOKUP(D1655,Master[Product_Code],Master[Brand])</f>
        <v>Campus</v>
      </c>
      <c r="H1655" s="8" t="str">
        <f>_xlfn.XLOOKUP(D1655,Master[Product_Code],Master[Style])</f>
        <v>Half Sleeve</v>
      </c>
      <c r="I1655" s="8" t="str">
        <f>_xlfn.XLOOKUP(D1655,Master[Product_Code],Master[Fabric])</f>
        <v>Cotton</v>
      </c>
      <c r="J1655" s="8" t="str">
        <f>_xlfn.XLOOKUP(D1655,Master[Product_Code],Master[Size])</f>
        <v>XL</v>
      </c>
      <c r="K1655" s="8" t="str">
        <f>_xlfn.XLOOKUP(D1655,Master[Product_Code],Master[Color])</f>
        <v>Cream</v>
      </c>
      <c r="L1655" s="3">
        <f>_xlfn.XLOOKUP(D1655,Master[Product_Code],Master[Selling_Price])</f>
        <v>290</v>
      </c>
    </row>
    <row r="1656" spans="2:12">
      <c r="B1656" s="2" t="s">
        <v>2439</v>
      </c>
      <c r="C1656" s="7">
        <v>45983</v>
      </c>
      <c r="D1656" s="2" t="s">
        <v>1129</v>
      </c>
      <c r="E1656" s="4">
        <v>1</v>
      </c>
      <c r="F1656" s="8" t="str">
        <f>_xlfn.XLOOKUP(D1656,Master[Product_Code],Master[Category])</f>
        <v>Jeans</v>
      </c>
      <c r="G1656" s="8" t="str">
        <f>_xlfn.XLOOKUP(D1656,Master[Product_Code],Master[Brand])</f>
        <v>Denim Pro</v>
      </c>
      <c r="H1656" s="8" t="str">
        <f>_xlfn.XLOOKUP(D1656,Master[Product_Code],Master[Style])</f>
        <v>Mom Fit</v>
      </c>
      <c r="I1656" s="8" t="str">
        <f>_xlfn.XLOOKUP(D1656,Master[Product_Code],Master[Fabric])</f>
        <v>Denim</v>
      </c>
      <c r="J1656" s="8">
        <f>_xlfn.XLOOKUP(D1656,Master[Product_Code],Master[Size])</f>
        <v>40</v>
      </c>
      <c r="K1656" s="8" t="str">
        <f>_xlfn.XLOOKUP(D1656,Master[Product_Code],Master[Color])</f>
        <v>Dark Green</v>
      </c>
      <c r="L1656" s="3">
        <f>_xlfn.XLOOKUP(D1656,Master[Product_Code],Master[Selling_Price])</f>
        <v>960</v>
      </c>
    </row>
    <row r="1657" spans="2:12">
      <c r="B1657" s="2" t="s">
        <v>2440</v>
      </c>
      <c r="C1657" s="7">
        <v>45983</v>
      </c>
      <c r="D1657" s="2" t="s">
        <v>1570</v>
      </c>
      <c r="E1657" s="4">
        <v>1</v>
      </c>
      <c r="F1657" s="8" t="str">
        <f>_xlfn.XLOOKUP(D1657,Master[Product_Code],Master[Category])</f>
        <v>Innerwear</v>
      </c>
      <c r="G1657" s="8" t="str">
        <f>_xlfn.XLOOKUP(D1657,Master[Product_Code],Master[Brand])</f>
        <v>Rupa</v>
      </c>
      <c r="H1657" s="8" t="str">
        <f>_xlfn.XLOOKUP(D1657,Master[Product_Code],Master[Style])</f>
        <v>Boxer</v>
      </c>
      <c r="I1657" s="8" t="str">
        <f>_xlfn.XLOOKUP(D1657,Master[Product_Code],Master[Fabric])</f>
        <v>Cotton Blend</v>
      </c>
      <c r="J1657" s="8" t="str">
        <f>_xlfn.XLOOKUP(D1657,Master[Product_Code],Master[Size])</f>
        <v>105-110</v>
      </c>
      <c r="K1657" s="8" t="str">
        <f>_xlfn.XLOOKUP(D1657,Master[Product_Code],Master[Color])</f>
        <v>Olive</v>
      </c>
      <c r="L1657" s="3">
        <f>_xlfn.XLOOKUP(D1657,Master[Product_Code],Master[Selling_Price])</f>
        <v>120</v>
      </c>
    </row>
    <row r="1658" spans="2:12">
      <c r="B1658" s="2" t="s">
        <v>2441</v>
      </c>
      <c r="C1658" s="7">
        <v>45983</v>
      </c>
      <c r="D1658" s="2" t="s">
        <v>575</v>
      </c>
      <c r="E1658" s="4">
        <v>1</v>
      </c>
      <c r="F1658" s="8" t="str">
        <f>_xlfn.XLOOKUP(D1658,Master[Product_Code],Master[Category])</f>
        <v>T-Shirt</v>
      </c>
      <c r="G1658" s="8" t="str">
        <f>_xlfn.XLOOKUP(D1658,Master[Product_Code],Master[Brand])</f>
        <v>Thailand</v>
      </c>
      <c r="H1658" s="8" t="str">
        <f>_xlfn.XLOOKUP(D1658,Master[Product_Code],Master[Style])</f>
        <v>Hoodie</v>
      </c>
      <c r="I1658" s="8" t="str">
        <f>_xlfn.XLOOKUP(D1658,Master[Product_Code],Master[Fabric])</f>
        <v>Cotton</v>
      </c>
      <c r="J1658" s="8" t="str">
        <f>_xlfn.XLOOKUP(D1658,Master[Product_Code],Master[Size])</f>
        <v>M</v>
      </c>
      <c r="K1658" s="8" t="str">
        <f>_xlfn.XLOOKUP(D1658,Master[Product_Code],Master[Color])</f>
        <v>Sky Blue</v>
      </c>
      <c r="L1658" s="3">
        <f>_xlfn.XLOOKUP(D1658,Master[Product_Code],Master[Selling_Price])</f>
        <v>590</v>
      </c>
    </row>
    <row r="1659" spans="2:12">
      <c r="B1659" s="2" t="s">
        <v>2441</v>
      </c>
      <c r="C1659" s="7">
        <v>45983</v>
      </c>
      <c r="D1659" s="2" t="s">
        <v>669</v>
      </c>
      <c r="E1659" s="4">
        <v>1</v>
      </c>
      <c r="F1659" s="8" t="str">
        <f>_xlfn.XLOOKUP(D1659,Master[Product_Code],Master[Category])</f>
        <v>T-Shirt</v>
      </c>
      <c r="G1659" s="8" t="str">
        <f>_xlfn.XLOOKUP(D1659,Master[Product_Code],Master[Brand])</f>
        <v>Roadster</v>
      </c>
      <c r="H1659" s="8" t="str">
        <f>_xlfn.XLOOKUP(D1659,Master[Product_Code],Master[Style])</f>
        <v>Full Sleeve</v>
      </c>
      <c r="I1659" s="8" t="str">
        <f>_xlfn.XLOOKUP(D1659,Master[Product_Code],Master[Fabric])</f>
        <v>Cotton Blend</v>
      </c>
      <c r="J1659" s="8" t="str">
        <f>_xlfn.XLOOKUP(D1659,Master[Product_Code],Master[Size])</f>
        <v>S</v>
      </c>
      <c r="K1659" s="8" t="str">
        <f>_xlfn.XLOOKUP(D1659,Master[Product_Code],Master[Color])</f>
        <v>Wine</v>
      </c>
      <c r="L1659" s="3">
        <f>_xlfn.XLOOKUP(D1659,Master[Product_Code],Master[Selling_Price])</f>
        <v>660</v>
      </c>
    </row>
    <row r="1660" spans="2:12">
      <c r="B1660" s="2" t="s">
        <v>2442</v>
      </c>
      <c r="C1660" s="7">
        <v>45983</v>
      </c>
      <c r="D1660" s="2" t="s">
        <v>1493</v>
      </c>
      <c r="E1660" s="4">
        <v>1</v>
      </c>
      <c r="F1660" s="8" t="str">
        <f>_xlfn.XLOOKUP(D1660,Master[Product_Code],Master[Category])</f>
        <v>Innerwear</v>
      </c>
      <c r="G1660" s="8" t="str">
        <f>_xlfn.XLOOKUP(D1660,Master[Product_Code],Master[Brand])</f>
        <v>Lux</v>
      </c>
      <c r="H1660" s="8" t="str">
        <f>_xlfn.XLOOKUP(D1660,Master[Product_Code],Master[Style])</f>
        <v>V-Cut</v>
      </c>
      <c r="I1660" s="8" t="str">
        <f>_xlfn.XLOOKUP(D1660,Master[Product_Code],Master[Fabric])</f>
        <v>Cotton Blend</v>
      </c>
      <c r="J1660" s="8" t="str">
        <f>_xlfn.XLOOKUP(D1660,Master[Product_Code],Master[Size])</f>
        <v>105-110</v>
      </c>
      <c r="K1660" s="8" t="str">
        <f>_xlfn.XLOOKUP(D1660,Master[Product_Code],Master[Color])</f>
        <v>White</v>
      </c>
      <c r="L1660" s="3">
        <f>_xlfn.XLOOKUP(D1660,Master[Product_Code],Master[Selling_Price])</f>
        <v>140</v>
      </c>
    </row>
    <row r="1661" spans="2:12">
      <c r="B1661" s="2" t="s">
        <v>2442</v>
      </c>
      <c r="C1661" s="7">
        <v>45983</v>
      </c>
      <c r="D1661" s="2" t="s">
        <v>513</v>
      </c>
      <c r="E1661" s="4">
        <v>1</v>
      </c>
      <c r="F1661" s="8" t="str">
        <f>_xlfn.XLOOKUP(D1661,Master[Product_Code],Master[Category])</f>
        <v>T-Shirt</v>
      </c>
      <c r="G1661" s="8" t="str">
        <f>_xlfn.XLOOKUP(D1661,Master[Product_Code],Master[Brand])</f>
        <v>Max</v>
      </c>
      <c r="H1661" s="8" t="str">
        <f>_xlfn.XLOOKUP(D1661,Master[Product_Code],Master[Style])</f>
        <v>3/4 Sleeve</v>
      </c>
      <c r="I1661" s="8" t="str">
        <f>_xlfn.XLOOKUP(D1661,Master[Product_Code],Master[Fabric])</f>
        <v>Poly Cotton</v>
      </c>
      <c r="J1661" s="8" t="str">
        <f>_xlfn.XLOOKUP(D1661,Master[Product_Code],Master[Size])</f>
        <v>M</v>
      </c>
      <c r="K1661" s="8" t="str">
        <f>_xlfn.XLOOKUP(D1661,Master[Product_Code],Master[Color])</f>
        <v>Bottle Green</v>
      </c>
      <c r="L1661" s="3">
        <f>_xlfn.XLOOKUP(D1661,Master[Product_Code],Master[Selling_Price])</f>
        <v>250</v>
      </c>
    </row>
    <row r="1662" spans="2:12">
      <c r="B1662" s="2" t="s">
        <v>2442</v>
      </c>
      <c r="C1662" s="7">
        <v>45983</v>
      </c>
      <c r="D1662" s="2" t="s">
        <v>910</v>
      </c>
      <c r="E1662" s="4">
        <v>1</v>
      </c>
      <c r="F1662" s="8" t="str">
        <f>_xlfn.XLOOKUP(D1662,Master[Product_Code],Master[Category])</f>
        <v>Jeans</v>
      </c>
      <c r="G1662" s="8" t="str">
        <f>_xlfn.XLOOKUP(D1662,Master[Product_Code],Master[Brand])</f>
        <v>Locomotive</v>
      </c>
      <c r="H1662" s="8" t="str">
        <f>_xlfn.XLOOKUP(D1662,Master[Product_Code],Master[Style])</f>
        <v>Mom Fit</v>
      </c>
      <c r="I1662" s="8" t="str">
        <f>_xlfn.XLOOKUP(D1662,Master[Product_Code],Master[Fabric])</f>
        <v>Denim</v>
      </c>
      <c r="J1662" s="8">
        <f>_xlfn.XLOOKUP(D1662,Master[Product_Code],Master[Size])</f>
        <v>36</v>
      </c>
      <c r="K1662" s="8" t="str">
        <f>_xlfn.XLOOKUP(D1662,Master[Product_Code],Master[Color])</f>
        <v>Brown</v>
      </c>
      <c r="L1662" s="3">
        <f>_xlfn.XLOOKUP(D1662,Master[Product_Code],Master[Selling_Price])</f>
        <v>900</v>
      </c>
    </row>
    <row r="1663" spans="2:12">
      <c r="B1663" s="2" t="s">
        <v>2442</v>
      </c>
      <c r="C1663" s="7">
        <v>45983</v>
      </c>
      <c r="D1663" s="2" t="s">
        <v>1375</v>
      </c>
      <c r="E1663" s="4">
        <v>1</v>
      </c>
      <c r="F1663" s="8" t="str">
        <f>_xlfn.XLOOKUP(D1663,Master[Product_Code],Master[Category])</f>
        <v>Pants</v>
      </c>
      <c r="G1663" s="8" t="str">
        <f>_xlfn.XLOOKUP(D1663,Master[Product_Code],Master[Brand])</f>
        <v>Park Avenue</v>
      </c>
      <c r="H1663" s="8" t="str">
        <f>_xlfn.XLOOKUP(D1663,Master[Product_Code],Master[Style])</f>
        <v>Jogger</v>
      </c>
      <c r="I1663" s="8" t="str">
        <f>_xlfn.XLOOKUP(D1663,Master[Product_Code],Master[Fabric])</f>
        <v>Poly Viscose</v>
      </c>
      <c r="J1663" s="8">
        <f>_xlfn.XLOOKUP(D1663,Master[Product_Code],Master[Size])</f>
        <v>30</v>
      </c>
      <c r="K1663" s="8" t="str">
        <f>_xlfn.XLOOKUP(D1663,Master[Product_Code],Master[Color])</f>
        <v>Beige</v>
      </c>
      <c r="L1663" s="3">
        <f>_xlfn.XLOOKUP(D1663,Master[Product_Code],Master[Selling_Price])</f>
        <v>880</v>
      </c>
    </row>
    <row r="1664" spans="2:12">
      <c r="B1664" s="2" t="s">
        <v>2443</v>
      </c>
      <c r="C1664" s="7">
        <v>45983</v>
      </c>
      <c r="D1664" s="2" t="s">
        <v>224</v>
      </c>
      <c r="E1664" s="4">
        <v>1</v>
      </c>
      <c r="F1664" s="8" t="str">
        <f>_xlfn.XLOOKUP(D1664,Master[Product_Code],Master[Category])</f>
        <v>Shirt</v>
      </c>
      <c r="G1664" s="8" t="str">
        <f>_xlfn.XLOOKUP(D1664,Master[Product_Code],Master[Brand])</f>
        <v>G Studio</v>
      </c>
      <c r="H1664" s="8" t="str">
        <f>_xlfn.XLOOKUP(D1664,Master[Product_Code],Master[Style])</f>
        <v>Casual</v>
      </c>
      <c r="I1664" s="8" t="str">
        <f>_xlfn.XLOOKUP(D1664,Master[Product_Code],Master[Fabric])</f>
        <v>Cotton</v>
      </c>
      <c r="J1664" s="8" t="str">
        <f>_xlfn.XLOOKUP(D1664,Master[Product_Code],Master[Size])</f>
        <v>L</v>
      </c>
      <c r="K1664" s="8" t="str">
        <f>_xlfn.XLOOKUP(D1664,Master[Product_Code],Master[Color])</f>
        <v>Dark Green</v>
      </c>
      <c r="L1664" s="3">
        <f>_xlfn.XLOOKUP(D1664,Master[Product_Code],Master[Selling_Price])</f>
        <v>790</v>
      </c>
    </row>
    <row r="1665" spans="2:12">
      <c r="B1665" s="2" t="s">
        <v>2443</v>
      </c>
      <c r="C1665" s="7">
        <v>45983</v>
      </c>
      <c r="D1665" s="2" t="s">
        <v>1276</v>
      </c>
      <c r="E1665" s="4">
        <v>1</v>
      </c>
      <c r="F1665" s="8" t="str">
        <f>_xlfn.XLOOKUP(D1665,Master[Product_Code],Master[Category])</f>
        <v>Pants</v>
      </c>
      <c r="G1665" s="8" t="str">
        <f>_xlfn.XLOOKUP(D1665,Master[Product_Code],Master[Brand])</f>
        <v>Louis Philippe</v>
      </c>
      <c r="H1665" s="8" t="str">
        <f>_xlfn.XLOOKUP(D1665,Master[Product_Code],Master[Style])</f>
        <v>Polofit</v>
      </c>
      <c r="I1665" s="8" t="str">
        <f>_xlfn.XLOOKUP(D1665,Master[Product_Code],Master[Fabric])</f>
        <v>Lycra</v>
      </c>
      <c r="J1665" s="8">
        <f>_xlfn.XLOOKUP(D1665,Master[Product_Code],Master[Size])</f>
        <v>32</v>
      </c>
      <c r="K1665" s="8" t="str">
        <f>_xlfn.XLOOKUP(D1665,Master[Product_Code],Master[Color])</f>
        <v>White</v>
      </c>
      <c r="L1665" s="3">
        <f>_xlfn.XLOOKUP(D1665,Master[Product_Code],Master[Selling_Price])</f>
        <v>900</v>
      </c>
    </row>
    <row r="1666" spans="2:12">
      <c r="B1666" s="2" t="s">
        <v>2444</v>
      </c>
      <c r="C1666" s="7">
        <v>45983</v>
      </c>
      <c r="D1666" s="2" t="s">
        <v>211</v>
      </c>
      <c r="E1666" s="4">
        <v>1</v>
      </c>
      <c r="F1666" s="8" t="str">
        <f>_xlfn.XLOOKUP(D1666,Master[Product_Code],Master[Category])</f>
        <v>Shirt</v>
      </c>
      <c r="G1666" s="8" t="str">
        <f>_xlfn.XLOOKUP(D1666,Master[Product_Code],Master[Brand])</f>
        <v>G Studio</v>
      </c>
      <c r="H1666" s="8" t="str">
        <f>_xlfn.XLOOKUP(D1666,Master[Product_Code],Master[Style])</f>
        <v>Partywear</v>
      </c>
      <c r="I1666" s="8" t="str">
        <f>_xlfn.XLOOKUP(D1666,Master[Product_Code],Master[Fabric])</f>
        <v>Cotton Blend</v>
      </c>
      <c r="J1666" s="8" t="str">
        <f>_xlfn.XLOOKUP(D1666,Master[Product_Code],Master[Size])</f>
        <v>M</v>
      </c>
      <c r="K1666" s="8" t="str">
        <f>_xlfn.XLOOKUP(D1666,Master[Product_Code],Master[Color])</f>
        <v>Sky Blue</v>
      </c>
      <c r="L1666" s="3">
        <f>_xlfn.XLOOKUP(D1666,Master[Product_Code],Master[Selling_Price])</f>
        <v>710</v>
      </c>
    </row>
    <row r="1667" spans="2:12">
      <c r="B1667" s="2" t="s">
        <v>2444</v>
      </c>
      <c r="C1667" s="7">
        <v>45983</v>
      </c>
      <c r="D1667" s="2" t="s">
        <v>1165</v>
      </c>
      <c r="E1667" s="4">
        <v>1</v>
      </c>
      <c r="F1667" s="8" t="str">
        <f>_xlfn.XLOOKUP(D1667,Master[Product_Code],Master[Category])</f>
        <v>Pants</v>
      </c>
      <c r="G1667" s="8" t="str">
        <f>_xlfn.XLOOKUP(D1667,Master[Product_Code],Master[Brand])</f>
        <v>Van Heusen</v>
      </c>
      <c r="H1667" s="8" t="str">
        <f>_xlfn.XLOOKUP(D1667,Master[Product_Code],Master[Style])</f>
        <v>Jogger</v>
      </c>
      <c r="I1667" s="8" t="str">
        <f>_xlfn.XLOOKUP(D1667,Master[Product_Code],Master[Fabric])</f>
        <v>Poly Viscose</v>
      </c>
      <c r="J1667" s="8">
        <f>_xlfn.XLOOKUP(D1667,Master[Product_Code],Master[Size])</f>
        <v>28</v>
      </c>
      <c r="K1667" s="8" t="str">
        <f>_xlfn.XLOOKUP(D1667,Master[Product_Code],Master[Color])</f>
        <v>Brown</v>
      </c>
      <c r="L1667" s="3">
        <f>_xlfn.XLOOKUP(D1667,Master[Product_Code],Master[Selling_Price])</f>
        <v>840</v>
      </c>
    </row>
    <row r="1668" spans="2:12">
      <c r="B1668" s="2" t="s">
        <v>2444</v>
      </c>
      <c r="C1668" s="7">
        <v>45983</v>
      </c>
      <c r="D1668" s="2" t="s">
        <v>1359</v>
      </c>
      <c r="E1668" s="4">
        <v>1</v>
      </c>
      <c r="F1668" s="8" t="str">
        <f>_xlfn.XLOOKUP(D1668,Master[Product_Code],Master[Category])</f>
        <v>Pants</v>
      </c>
      <c r="G1668" s="8" t="str">
        <f>_xlfn.XLOOKUP(D1668,Master[Product_Code],Master[Brand])</f>
        <v>Louis Philippe</v>
      </c>
      <c r="H1668" s="8" t="str">
        <f>_xlfn.XLOOKUP(D1668,Master[Product_Code],Master[Style])</f>
        <v>Korean</v>
      </c>
      <c r="I1668" s="8" t="str">
        <f>_xlfn.XLOOKUP(D1668,Master[Product_Code],Master[Fabric])</f>
        <v>Lycra</v>
      </c>
      <c r="J1668" s="8">
        <f>_xlfn.XLOOKUP(D1668,Master[Product_Code],Master[Size])</f>
        <v>42</v>
      </c>
      <c r="K1668" s="8" t="str">
        <f>_xlfn.XLOOKUP(D1668,Master[Product_Code],Master[Color])</f>
        <v>Royal Blue</v>
      </c>
      <c r="L1668" s="3">
        <f>_xlfn.XLOOKUP(D1668,Master[Product_Code],Master[Selling_Price])</f>
        <v>900</v>
      </c>
    </row>
    <row r="1669" spans="2:12">
      <c r="B1669" s="2" t="s">
        <v>2444</v>
      </c>
      <c r="C1669" s="7">
        <v>45983</v>
      </c>
      <c r="D1669" s="2" t="s">
        <v>122</v>
      </c>
      <c r="E1669" s="4">
        <v>1</v>
      </c>
      <c r="F1669" s="8" t="str">
        <f>_xlfn.XLOOKUP(D1669,Master[Product_Code],Master[Category])</f>
        <v>Shirt</v>
      </c>
      <c r="G1669" s="8" t="str">
        <f>_xlfn.XLOOKUP(D1669,Master[Product_Code],Master[Brand])</f>
        <v>Thailand</v>
      </c>
      <c r="H1669" s="8" t="str">
        <f>_xlfn.XLOOKUP(D1669,Master[Product_Code],Master[Style])</f>
        <v>Formal</v>
      </c>
      <c r="I1669" s="8" t="str">
        <f>_xlfn.XLOOKUP(D1669,Master[Product_Code],Master[Fabric])</f>
        <v>Polyester</v>
      </c>
      <c r="J1669" s="8" t="str">
        <f>_xlfn.XLOOKUP(D1669,Master[Product_Code],Master[Size])</f>
        <v>XXL</v>
      </c>
      <c r="K1669" s="8" t="str">
        <f>_xlfn.XLOOKUP(D1669,Master[Product_Code],Master[Color])</f>
        <v>Royal Blue</v>
      </c>
      <c r="L1669" s="3">
        <f>_xlfn.XLOOKUP(D1669,Master[Product_Code],Master[Selling_Price])</f>
        <v>740</v>
      </c>
    </row>
    <row r="1670" spans="2:12">
      <c r="B1670" s="2" t="s">
        <v>2445</v>
      </c>
      <c r="C1670" s="7">
        <v>45983</v>
      </c>
      <c r="D1670" s="2" t="s">
        <v>164</v>
      </c>
      <c r="E1670" s="4">
        <v>1</v>
      </c>
      <c r="F1670" s="8" t="str">
        <f>_xlfn.XLOOKUP(D1670,Master[Product_Code],Master[Category])</f>
        <v>Shirt</v>
      </c>
      <c r="G1670" s="8" t="str">
        <f>_xlfn.XLOOKUP(D1670,Master[Product_Code],Master[Brand])</f>
        <v>Zara</v>
      </c>
      <c r="H1670" s="8" t="str">
        <f>_xlfn.XLOOKUP(D1670,Master[Product_Code],Master[Style])</f>
        <v>Formal</v>
      </c>
      <c r="I1670" s="8" t="str">
        <f>_xlfn.XLOOKUP(D1670,Master[Product_Code],Master[Fabric])</f>
        <v>Cotton Blend</v>
      </c>
      <c r="J1670" s="8" t="str">
        <f>_xlfn.XLOOKUP(D1670,Master[Product_Code],Master[Size])</f>
        <v>M</v>
      </c>
      <c r="K1670" s="8" t="str">
        <f>_xlfn.XLOOKUP(D1670,Master[Product_Code],Master[Color])</f>
        <v>Peach</v>
      </c>
      <c r="L1670" s="3">
        <f>_xlfn.XLOOKUP(D1670,Master[Product_Code],Master[Selling_Price])</f>
        <v>730</v>
      </c>
    </row>
    <row r="1671" spans="2:12">
      <c r="B1671" s="2" t="s">
        <v>2445</v>
      </c>
      <c r="C1671" s="7">
        <v>45983</v>
      </c>
      <c r="D1671" s="2" t="s">
        <v>920</v>
      </c>
      <c r="E1671" s="4">
        <v>1</v>
      </c>
      <c r="F1671" s="8" t="str">
        <f>_xlfn.XLOOKUP(D1671,Master[Product_Code],Master[Category])</f>
        <v>Jeans</v>
      </c>
      <c r="G1671" s="8" t="str">
        <f>_xlfn.XLOOKUP(D1671,Master[Product_Code],Master[Brand])</f>
        <v>Spykar</v>
      </c>
      <c r="H1671" s="8" t="str">
        <f>_xlfn.XLOOKUP(D1671,Master[Product_Code],Master[Style])</f>
        <v>Baggy</v>
      </c>
      <c r="I1671" s="8" t="str">
        <f>_xlfn.XLOOKUP(D1671,Master[Product_Code],Master[Fabric])</f>
        <v>Denim</v>
      </c>
      <c r="J1671" s="8">
        <f>_xlfn.XLOOKUP(D1671,Master[Product_Code],Master[Size])</f>
        <v>34</v>
      </c>
      <c r="K1671" s="8" t="str">
        <f>_xlfn.XLOOKUP(D1671,Master[Product_Code],Master[Color])</f>
        <v>Dark Green</v>
      </c>
      <c r="L1671" s="3">
        <f>_xlfn.XLOOKUP(D1671,Master[Product_Code],Master[Selling_Price])</f>
        <v>970</v>
      </c>
    </row>
    <row r="1672" spans="2:12">
      <c r="B1672" s="2" t="s">
        <v>2445</v>
      </c>
      <c r="C1672" s="7">
        <v>45983</v>
      </c>
      <c r="D1672" s="2" t="s">
        <v>1705</v>
      </c>
      <c r="E1672" s="4">
        <v>1</v>
      </c>
      <c r="F1672" s="8" t="str">
        <f>_xlfn.XLOOKUP(D1672,Master[Product_Code],Master[Category])</f>
        <v>Innerwear</v>
      </c>
      <c r="G1672" s="8" t="str">
        <f>_xlfn.XLOOKUP(D1672,Master[Product_Code],Master[Brand])</f>
        <v>Lux</v>
      </c>
      <c r="H1672" s="8" t="str">
        <f>_xlfn.XLOOKUP(D1672,Master[Product_Code],Master[Style])</f>
        <v>V-Cut</v>
      </c>
      <c r="I1672" s="8" t="str">
        <f>_xlfn.XLOOKUP(D1672,Master[Product_Code],Master[Fabric])</f>
        <v>Cotton</v>
      </c>
      <c r="J1672" s="8" t="str">
        <f>_xlfn.XLOOKUP(D1672,Master[Product_Code],Master[Size])</f>
        <v>105-110</v>
      </c>
      <c r="K1672" s="8" t="str">
        <f>_xlfn.XLOOKUP(D1672,Master[Product_Code],Master[Color])</f>
        <v>Cream</v>
      </c>
      <c r="L1672" s="3">
        <f>_xlfn.XLOOKUP(D1672,Master[Product_Code],Master[Selling_Price])</f>
        <v>160</v>
      </c>
    </row>
    <row r="1673" spans="2:12">
      <c r="B1673" s="2" t="s">
        <v>2445</v>
      </c>
      <c r="C1673" s="7">
        <v>45983</v>
      </c>
      <c r="D1673" s="2" t="s">
        <v>1728</v>
      </c>
      <c r="E1673" s="4">
        <v>1</v>
      </c>
      <c r="F1673" s="8" t="str">
        <f>_xlfn.XLOOKUP(D1673,Master[Product_Code],Master[Category])</f>
        <v>Innerwear</v>
      </c>
      <c r="G1673" s="8" t="str">
        <f>_xlfn.XLOOKUP(D1673,Master[Product_Code],Master[Brand])</f>
        <v>Dollar</v>
      </c>
      <c r="H1673" s="8" t="str">
        <f>_xlfn.XLOOKUP(D1673,Master[Product_Code],Master[Style])</f>
        <v>V-Cut</v>
      </c>
      <c r="I1673" s="8" t="str">
        <f>_xlfn.XLOOKUP(D1673,Master[Product_Code],Master[Fabric])</f>
        <v>Cotton Blend</v>
      </c>
      <c r="J1673" s="8" t="str">
        <f>_xlfn.XLOOKUP(D1673,Master[Product_Code],Master[Size])</f>
        <v>85-90</v>
      </c>
      <c r="K1673" s="8" t="str">
        <f>_xlfn.XLOOKUP(D1673,Master[Product_Code],Master[Color])</f>
        <v>Wine</v>
      </c>
      <c r="L1673" s="3">
        <f>_xlfn.XLOOKUP(D1673,Master[Product_Code],Master[Selling_Price])</f>
        <v>160</v>
      </c>
    </row>
    <row r="1674" spans="2:12">
      <c r="B1674" s="2" t="s">
        <v>2446</v>
      </c>
      <c r="C1674" s="7">
        <v>45983</v>
      </c>
      <c r="D1674" s="2" t="s">
        <v>359</v>
      </c>
      <c r="E1674" s="4">
        <v>1</v>
      </c>
      <c r="F1674" s="8" t="str">
        <f>_xlfn.XLOOKUP(D1674,Master[Product_Code],Master[Category])</f>
        <v>Shirt</v>
      </c>
      <c r="G1674" s="8" t="str">
        <f>_xlfn.XLOOKUP(D1674,Master[Product_Code],Master[Brand])</f>
        <v>Thailand</v>
      </c>
      <c r="H1674" s="8" t="str">
        <f>_xlfn.XLOOKUP(D1674,Master[Product_Code],Master[Style])</f>
        <v>Casual</v>
      </c>
      <c r="I1674" s="8" t="str">
        <f>_xlfn.XLOOKUP(D1674,Master[Product_Code],Master[Fabric])</f>
        <v>Lycra</v>
      </c>
      <c r="J1674" s="8" t="str">
        <f>_xlfn.XLOOKUP(D1674,Master[Product_Code],Master[Size])</f>
        <v>XL</v>
      </c>
      <c r="K1674" s="8" t="str">
        <f>_xlfn.XLOOKUP(D1674,Master[Product_Code],Master[Color])</f>
        <v>Mustard</v>
      </c>
      <c r="L1674" s="3">
        <f>_xlfn.XLOOKUP(D1674,Master[Product_Code],Master[Selling_Price])</f>
        <v>710</v>
      </c>
    </row>
    <row r="1675" spans="2:12">
      <c r="B1675" s="2" t="s">
        <v>2446</v>
      </c>
      <c r="C1675" s="7">
        <v>45983</v>
      </c>
      <c r="D1675" s="2" t="s">
        <v>1064</v>
      </c>
      <c r="E1675" s="4">
        <v>1</v>
      </c>
      <c r="F1675" s="8" t="str">
        <f>_xlfn.XLOOKUP(D1675,Master[Product_Code],Master[Category])</f>
        <v>Jeans</v>
      </c>
      <c r="G1675" s="8" t="str">
        <f>_xlfn.XLOOKUP(D1675,Master[Product_Code],Master[Brand])</f>
        <v>Levis</v>
      </c>
      <c r="H1675" s="8" t="str">
        <f>_xlfn.XLOOKUP(D1675,Master[Product_Code],Master[Style])</f>
        <v>Mom Fit</v>
      </c>
      <c r="I1675" s="8" t="str">
        <f>_xlfn.XLOOKUP(D1675,Master[Product_Code],Master[Fabric])</f>
        <v>Denim</v>
      </c>
      <c r="J1675" s="8">
        <f>_xlfn.XLOOKUP(D1675,Master[Product_Code],Master[Size])</f>
        <v>30</v>
      </c>
      <c r="K1675" s="8" t="str">
        <f>_xlfn.XLOOKUP(D1675,Master[Product_Code],Master[Color])</f>
        <v>Maroon</v>
      </c>
      <c r="L1675" s="3">
        <f>_xlfn.XLOOKUP(D1675,Master[Product_Code],Master[Selling_Price])</f>
        <v>990</v>
      </c>
    </row>
    <row r="1676" spans="2:12">
      <c r="B1676" s="2" t="s">
        <v>2446</v>
      </c>
      <c r="C1676" s="7">
        <v>45983</v>
      </c>
      <c r="D1676" s="2" t="s">
        <v>514</v>
      </c>
      <c r="E1676" s="4">
        <v>1</v>
      </c>
      <c r="F1676" s="8" t="str">
        <f>_xlfn.XLOOKUP(D1676,Master[Product_Code],Master[Category])</f>
        <v>T-Shirt</v>
      </c>
      <c r="G1676" s="8" t="str">
        <f>_xlfn.XLOOKUP(D1676,Master[Product_Code],Master[Brand])</f>
        <v>Zara</v>
      </c>
      <c r="H1676" s="8" t="str">
        <f>_xlfn.XLOOKUP(D1676,Master[Product_Code],Master[Style])</f>
        <v>Half Sleeve</v>
      </c>
      <c r="I1676" s="8" t="str">
        <f>_xlfn.XLOOKUP(D1676,Master[Product_Code],Master[Fabric])</f>
        <v>Cotton</v>
      </c>
      <c r="J1676" s="8" t="str">
        <f>_xlfn.XLOOKUP(D1676,Master[Product_Code],Master[Size])</f>
        <v>XL</v>
      </c>
      <c r="K1676" s="8" t="str">
        <f>_xlfn.XLOOKUP(D1676,Master[Product_Code],Master[Color])</f>
        <v>Navy Blue</v>
      </c>
      <c r="L1676" s="3">
        <f>_xlfn.XLOOKUP(D1676,Master[Product_Code],Master[Selling_Price])</f>
        <v>710</v>
      </c>
    </row>
    <row r="1677" spans="2:12">
      <c r="B1677" s="2" t="s">
        <v>2447</v>
      </c>
      <c r="C1677" s="7">
        <v>45985</v>
      </c>
      <c r="D1677" s="2" t="s">
        <v>769</v>
      </c>
      <c r="E1677" s="4">
        <v>1</v>
      </c>
      <c r="F1677" s="8" t="str">
        <f>_xlfn.XLOOKUP(D1677,Master[Product_Code],Master[Category])</f>
        <v>T-Shirt</v>
      </c>
      <c r="G1677" s="8" t="str">
        <f>_xlfn.XLOOKUP(D1677,Master[Product_Code],Master[Brand])</f>
        <v>Turkey</v>
      </c>
      <c r="H1677" s="8" t="str">
        <f>_xlfn.XLOOKUP(D1677,Master[Product_Code],Master[Style])</f>
        <v>Hoodie</v>
      </c>
      <c r="I1677" s="8" t="str">
        <f>_xlfn.XLOOKUP(D1677,Master[Product_Code],Master[Fabric])</f>
        <v>Cotton Blend</v>
      </c>
      <c r="J1677" s="8" t="str">
        <f>_xlfn.XLOOKUP(D1677,Master[Product_Code],Master[Size])</f>
        <v>L</v>
      </c>
      <c r="K1677" s="8" t="str">
        <f>_xlfn.XLOOKUP(D1677,Master[Product_Code],Master[Color])</f>
        <v>Teal</v>
      </c>
      <c r="L1677" s="3">
        <f>_xlfn.XLOOKUP(D1677,Master[Product_Code],Master[Selling_Price])</f>
        <v>480</v>
      </c>
    </row>
    <row r="1678" spans="2:12">
      <c r="B1678" s="2" t="s">
        <v>2447</v>
      </c>
      <c r="C1678" s="7">
        <v>45985</v>
      </c>
      <c r="D1678" s="2" t="s">
        <v>1059</v>
      </c>
      <c r="E1678" s="4">
        <v>1</v>
      </c>
      <c r="F1678" s="8" t="str">
        <f>_xlfn.XLOOKUP(D1678,Master[Product_Code],Master[Category])</f>
        <v>Jeans</v>
      </c>
      <c r="G1678" s="8" t="str">
        <f>_xlfn.XLOOKUP(D1678,Master[Product_Code],Master[Brand])</f>
        <v>Denim Pro</v>
      </c>
      <c r="H1678" s="8" t="str">
        <f>_xlfn.XLOOKUP(D1678,Master[Product_Code],Master[Style])</f>
        <v>Jogger</v>
      </c>
      <c r="I1678" s="8" t="str">
        <f>_xlfn.XLOOKUP(D1678,Master[Product_Code],Master[Fabric])</f>
        <v>Denim</v>
      </c>
      <c r="J1678" s="8">
        <f>_xlfn.XLOOKUP(D1678,Master[Product_Code],Master[Size])</f>
        <v>30</v>
      </c>
      <c r="K1678" s="8" t="str">
        <f>_xlfn.XLOOKUP(D1678,Master[Product_Code],Master[Color])</f>
        <v>Olive</v>
      </c>
      <c r="L1678" s="3">
        <f>_xlfn.XLOOKUP(D1678,Master[Product_Code],Master[Selling_Price])</f>
        <v>900</v>
      </c>
    </row>
    <row r="1679" spans="2:12">
      <c r="B1679" s="2" t="s">
        <v>2447</v>
      </c>
      <c r="C1679" s="7">
        <v>45985</v>
      </c>
      <c r="D1679" s="2" t="s">
        <v>344</v>
      </c>
      <c r="E1679" s="4">
        <v>1</v>
      </c>
      <c r="F1679" s="8" t="str">
        <f>_xlfn.XLOOKUP(D1679,Master[Product_Code],Master[Category])</f>
        <v>Shirt</v>
      </c>
      <c r="G1679" s="8" t="str">
        <f>_xlfn.XLOOKUP(D1679,Master[Product_Code],Master[Brand])</f>
        <v>H&amp;M</v>
      </c>
      <c r="H1679" s="8" t="str">
        <f>_xlfn.XLOOKUP(D1679,Master[Product_Code],Master[Style])</f>
        <v>Casual</v>
      </c>
      <c r="I1679" s="8" t="str">
        <f>_xlfn.XLOOKUP(D1679,Master[Product_Code],Master[Fabric])</f>
        <v>Cotton</v>
      </c>
      <c r="J1679" s="8" t="str">
        <f>_xlfn.XLOOKUP(D1679,Master[Product_Code],Master[Size])</f>
        <v>XL</v>
      </c>
      <c r="K1679" s="8" t="str">
        <f>_xlfn.XLOOKUP(D1679,Master[Product_Code],Master[Color])</f>
        <v>Wine</v>
      </c>
      <c r="L1679" s="3">
        <f>_xlfn.XLOOKUP(D1679,Master[Product_Code],Master[Selling_Price])</f>
        <v>760</v>
      </c>
    </row>
    <row r="1680" spans="2:12">
      <c r="B1680" s="2" t="s">
        <v>2447</v>
      </c>
      <c r="C1680" s="7">
        <v>45985</v>
      </c>
      <c r="D1680" s="2" t="s">
        <v>255</v>
      </c>
      <c r="E1680" s="4">
        <v>1</v>
      </c>
      <c r="F1680" s="8" t="str">
        <f>_xlfn.XLOOKUP(D1680,Master[Product_Code],Master[Category])</f>
        <v>Shirt</v>
      </c>
      <c r="G1680" s="8" t="str">
        <f>_xlfn.XLOOKUP(D1680,Master[Product_Code],Master[Brand])</f>
        <v>Thailand</v>
      </c>
      <c r="H1680" s="8" t="str">
        <f>_xlfn.XLOOKUP(D1680,Master[Product_Code],Master[Style])</f>
        <v>Casual</v>
      </c>
      <c r="I1680" s="8" t="str">
        <f>_xlfn.XLOOKUP(D1680,Master[Product_Code],Master[Fabric])</f>
        <v>Cotton Blend</v>
      </c>
      <c r="J1680" s="8" t="str">
        <f>_xlfn.XLOOKUP(D1680,Master[Product_Code],Master[Size])</f>
        <v>S</v>
      </c>
      <c r="K1680" s="8" t="str">
        <f>_xlfn.XLOOKUP(D1680,Master[Product_Code],Master[Color])</f>
        <v>Black</v>
      </c>
      <c r="L1680" s="3">
        <f>_xlfn.XLOOKUP(D1680,Master[Product_Code],Master[Selling_Price])</f>
        <v>900</v>
      </c>
    </row>
    <row r="1681" spans="2:12">
      <c r="B1681" s="2" t="s">
        <v>2448</v>
      </c>
      <c r="C1681" s="7">
        <v>45985</v>
      </c>
      <c r="D1681" s="2" t="s">
        <v>599</v>
      </c>
      <c r="E1681" s="4">
        <v>1</v>
      </c>
      <c r="F1681" s="8" t="str">
        <f>_xlfn.XLOOKUP(D1681,Master[Product_Code],Master[Category])</f>
        <v>T-Shirt</v>
      </c>
      <c r="G1681" s="8" t="str">
        <f>_xlfn.XLOOKUP(D1681,Master[Product_Code],Master[Brand])</f>
        <v>Campus</v>
      </c>
      <c r="H1681" s="8" t="str">
        <f>_xlfn.XLOOKUP(D1681,Master[Product_Code],Master[Style])</f>
        <v>Full Sleeve</v>
      </c>
      <c r="I1681" s="8" t="str">
        <f>_xlfn.XLOOKUP(D1681,Master[Product_Code],Master[Fabric])</f>
        <v>Poly Cotton</v>
      </c>
      <c r="J1681" s="8" t="str">
        <f>_xlfn.XLOOKUP(D1681,Master[Product_Code],Master[Size])</f>
        <v>XL</v>
      </c>
      <c r="K1681" s="8" t="str">
        <f>_xlfn.XLOOKUP(D1681,Master[Product_Code],Master[Color])</f>
        <v>Olive</v>
      </c>
      <c r="L1681" s="3">
        <f>_xlfn.XLOOKUP(D1681,Master[Product_Code],Master[Selling_Price])</f>
        <v>520</v>
      </c>
    </row>
    <row r="1682" spans="2:12">
      <c r="B1682" s="2" t="s">
        <v>2449</v>
      </c>
      <c r="C1682" s="7">
        <v>45985</v>
      </c>
      <c r="D1682" s="2" t="s">
        <v>1010</v>
      </c>
      <c r="E1682" s="4">
        <v>1</v>
      </c>
      <c r="F1682" s="8" t="str">
        <f>_xlfn.XLOOKUP(D1682,Master[Product_Code],Master[Category])</f>
        <v>Jeans</v>
      </c>
      <c r="G1682" s="8" t="str">
        <f>_xlfn.XLOOKUP(D1682,Master[Product_Code],Master[Brand])</f>
        <v>Pepe</v>
      </c>
      <c r="H1682" s="8" t="str">
        <f>_xlfn.XLOOKUP(D1682,Master[Product_Code],Master[Style])</f>
        <v>Baggy</v>
      </c>
      <c r="I1682" s="8" t="str">
        <f>_xlfn.XLOOKUP(D1682,Master[Product_Code],Master[Fabric])</f>
        <v>Denim</v>
      </c>
      <c r="J1682" s="8">
        <f>_xlfn.XLOOKUP(D1682,Master[Product_Code],Master[Size])</f>
        <v>38</v>
      </c>
      <c r="K1682" s="8" t="str">
        <f>_xlfn.XLOOKUP(D1682,Master[Product_Code],Master[Color])</f>
        <v>Peach</v>
      </c>
      <c r="L1682" s="3">
        <f>_xlfn.XLOOKUP(D1682,Master[Product_Code],Master[Selling_Price])</f>
        <v>780</v>
      </c>
    </row>
    <row r="1683" spans="2:12">
      <c r="B1683" s="2" t="s">
        <v>2449</v>
      </c>
      <c r="C1683" s="7">
        <v>45985</v>
      </c>
      <c r="D1683" s="2" t="s">
        <v>714</v>
      </c>
      <c r="E1683" s="4">
        <v>1</v>
      </c>
      <c r="F1683" s="8" t="str">
        <f>_xlfn.XLOOKUP(D1683,Master[Product_Code],Master[Category])</f>
        <v>T-Shirt</v>
      </c>
      <c r="G1683" s="8" t="str">
        <f>_xlfn.XLOOKUP(D1683,Master[Product_Code],Master[Brand])</f>
        <v>Urban Monkey</v>
      </c>
      <c r="H1683" s="8" t="str">
        <f>_xlfn.XLOOKUP(D1683,Master[Product_Code],Master[Style])</f>
        <v>Half Sleeve</v>
      </c>
      <c r="I1683" s="8" t="str">
        <f>_xlfn.XLOOKUP(D1683,Master[Product_Code],Master[Fabric])</f>
        <v>Poly Cotton</v>
      </c>
      <c r="J1683" s="8" t="str">
        <f>_xlfn.XLOOKUP(D1683,Master[Product_Code],Master[Size])</f>
        <v>L</v>
      </c>
      <c r="K1683" s="8" t="str">
        <f>_xlfn.XLOOKUP(D1683,Master[Product_Code],Master[Color])</f>
        <v>Grey</v>
      </c>
      <c r="L1683" s="3">
        <f>_xlfn.XLOOKUP(D1683,Master[Product_Code],Master[Selling_Price])</f>
        <v>310</v>
      </c>
    </row>
    <row r="1684" spans="2:12">
      <c r="B1684" s="2" t="s">
        <v>2449</v>
      </c>
      <c r="C1684" s="7">
        <v>45985</v>
      </c>
      <c r="D1684" s="2" t="s">
        <v>559</v>
      </c>
      <c r="E1684" s="4">
        <v>1</v>
      </c>
      <c r="F1684" s="8" t="str">
        <f>_xlfn.XLOOKUP(D1684,Master[Product_Code],Master[Category])</f>
        <v>T-Shirt</v>
      </c>
      <c r="G1684" s="8" t="str">
        <f>_xlfn.XLOOKUP(D1684,Master[Product_Code],Master[Brand])</f>
        <v>Urban Monkey</v>
      </c>
      <c r="H1684" s="8" t="str">
        <f>_xlfn.XLOOKUP(D1684,Master[Product_Code],Master[Style])</f>
        <v>Half Sleeve</v>
      </c>
      <c r="I1684" s="8" t="str">
        <f>_xlfn.XLOOKUP(D1684,Master[Product_Code],Master[Fabric])</f>
        <v>Cotton</v>
      </c>
      <c r="J1684" s="8" t="str">
        <f>_xlfn.XLOOKUP(D1684,Master[Product_Code],Master[Size])</f>
        <v>M</v>
      </c>
      <c r="K1684" s="8" t="str">
        <f>_xlfn.XLOOKUP(D1684,Master[Product_Code],Master[Color])</f>
        <v>Brown</v>
      </c>
      <c r="L1684" s="3">
        <f>_xlfn.XLOOKUP(D1684,Master[Product_Code],Master[Selling_Price])</f>
        <v>400</v>
      </c>
    </row>
    <row r="1685" spans="2:12">
      <c r="B1685" s="2" t="s">
        <v>2449</v>
      </c>
      <c r="C1685" s="7">
        <v>45985</v>
      </c>
      <c r="D1685" s="2" t="s">
        <v>621</v>
      </c>
      <c r="E1685" s="4">
        <v>1</v>
      </c>
      <c r="F1685" s="8" t="str">
        <f>_xlfn.XLOOKUP(D1685,Master[Product_Code],Master[Category])</f>
        <v>T-Shirt</v>
      </c>
      <c r="G1685" s="8" t="str">
        <f>_xlfn.XLOOKUP(D1685,Master[Product_Code],Master[Brand])</f>
        <v>Thailand</v>
      </c>
      <c r="H1685" s="8" t="str">
        <f>_xlfn.XLOOKUP(D1685,Master[Product_Code],Master[Style])</f>
        <v>Sleeveless</v>
      </c>
      <c r="I1685" s="8" t="str">
        <f>_xlfn.XLOOKUP(D1685,Master[Product_Code],Master[Fabric])</f>
        <v>Cotton</v>
      </c>
      <c r="J1685" s="8" t="str">
        <f>_xlfn.XLOOKUP(D1685,Master[Product_Code],Master[Size])</f>
        <v>XXL</v>
      </c>
      <c r="K1685" s="8" t="str">
        <f>_xlfn.XLOOKUP(D1685,Master[Product_Code],Master[Color])</f>
        <v>Royal Blue</v>
      </c>
      <c r="L1685" s="3">
        <f>_xlfn.XLOOKUP(D1685,Master[Product_Code],Master[Selling_Price])</f>
        <v>330</v>
      </c>
    </row>
    <row r="1686" spans="2:12">
      <c r="B1686" s="2" t="s">
        <v>2450</v>
      </c>
      <c r="C1686" s="7">
        <v>45985</v>
      </c>
      <c r="D1686" s="2" t="s">
        <v>1321</v>
      </c>
      <c r="E1686" s="4">
        <v>1</v>
      </c>
      <c r="F1686" s="8" t="str">
        <f>_xlfn.XLOOKUP(D1686,Master[Product_Code],Master[Category])</f>
        <v>Pants</v>
      </c>
      <c r="G1686" s="8" t="str">
        <f>_xlfn.XLOOKUP(D1686,Master[Product_Code],Master[Brand])</f>
        <v>Van Heusen</v>
      </c>
      <c r="H1686" s="8" t="str">
        <f>_xlfn.XLOOKUP(D1686,Master[Product_Code],Master[Style])</f>
        <v>Korean</v>
      </c>
      <c r="I1686" s="8" t="str">
        <f>_xlfn.XLOOKUP(D1686,Master[Product_Code],Master[Fabric])</f>
        <v>Lycra</v>
      </c>
      <c r="J1686" s="8">
        <f>_xlfn.XLOOKUP(D1686,Master[Product_Code],Master[Size])</f>
        <v>32</v>
      </c>
      <c r="K1686" s="8" t="str">
        <f>_xlfn.XLOOKUP(D1686,Master[Product_Code],Master[Color])</f>
        <v>Olive</v>
      </c>
      <c r="L1686" s="3">
        <f>_xlfn.XLOOKUP(D1686,Master[Product_Code],Master[Selling_Price])</f>
        <v>830</v>
      </c>
    </row>
    <row r="1687" spans="2:12">
      <c r="B1687" s="2" t="s">
        <v>2450</v>
      </c>
      <c r="C1687" s="7">
        <v>45985</v>
      </c>
      <c r="D1687" s="2" t="s">
        <v>913</v>
      </c>
      <c r="E1687" s="4">
        <v>1</v>
      </c>
      <c r="F1687" s="8" t="str">
        <f>_xlfn.XLOOKUP(D1687,Master[Product_Code],Master[Category])</f>
        <v>Jeans</v>
      </c>
      <c r="G1687" s="8" t="str">
        <f>_xlfn.XLOOKUP(D1687,Master[Product_Code],Master[Brand])</f>
        <v>Pepe</v>
      </c>
      <c r="H1687" s="8" t="str">
        <f>_xlfn.XLOOKUP(D1687,Master[Product_Code],Master[Style])</f>
        <v>Baggy</v>
      </c>
      <c r="I1687" s="8" t="str">
        <f>_xlfn.XLOOKUP(D1687,Master[Product_Code],Master[Fabric])</f>
        <v>Denim</v>
      </c>
      <c r="J1687" s="8">
        <f>_xlfn.XLOOKUP(D1687,Master[Product_Code],Master[Size])</f>
        <v>40</v>
      </c>
      <c r="K1687" s="8" t="str">
        <f>_xlfn.XLOOKUP(D1687,Master[Product_Code],Master[Color])</f>
        <v>Bottle Green</v>
      </c>
      <c r="L1687" s="3">
        <f>_xlfn.XLOOKUP(D1687,Master[Product_Code],Master[Selling_Price])</f>
        <v>800</v>
      </c>
    </row>
    <row r="1688" spans="2:12">
      <c r="B1688" s="2" t="s">
        <v>2451</v>
      </c>
      <c r="C1688" s="7">
        <v>45985</v>
      </c>
      <c r="D1688" s="2" t="s">
        <v>93</v>
      </c>
      <c r="E1688" s="4">
        <v>1</v>
      </c>
      <c r="F1688" s="8" t="str">
        <f>_xlfn.XLOOKUP(D1688,Master[Product_Code],Master[Category])</f>
        <v>Shirt</v>
      </c>
      <c r="G1688" s="8" t="str">
        <f>_xlfn.XLOOKUP(D1688,Master[Product_Code],Master[Brand])</f>
        <v>L7</v>
      </c>
      <c r="H1688" s="8" t="str">
        <f>_xlfn.XLOOKUP(D1688,Master[Product_Code],Master[Style])</f>
        <v>Casual</v>
      </c>
      <c r="I1688" s="8" t="str">
        <f>_xlfn.XLOOKUP(D1688,Master[Product_Code],Master[Fabric])</f>
        <v>Cotton Blend</v>
      </c>
      <c r="J1688" s="8" t="str">
        <f>_xlfn.XLOOKUP(D1688,Master[Product_Code],Master[Size])</f>
        <v>L</v>
      </c>
      <c r="K1688" s="8" t="str">
        <f>_xlfn.XLOOKUP(D1688,Master[Product_Code],Master[Color])</f>
        <v>Grey</v>
      </c>
      <c r="L1688" s="3">
        <f>_xlfn.XLOOKUP(D1688,Master[Product_Code],Master[Selling_Price])</f>
        <v>850</v>
      </c>
    </row>
    <row r="1689" spans="2:12">
      <c r="B1689" s="2" t="s">
        <v>2451</v>
      </c>
      <c r="C1689" s="7">
        <v>45985</v>
      </c>
      <c r="D1689" s="2" t="s">
        <v>1330</v>
      </c>
      <c r="E1689" s="4">
        <v>1</v>
      </c>
      <c r="F1689" s="8" t="str">
        <f>_xlfn.XLOOKUP(D1689,Master[Product_Code],Master[Category])</f>
        <v>Pants</v>
      </c>
      <c r="G1689" s="8" t="str">
        <f>_xlfn.XLOOKUP(D1689,Master[Product_Code],Master[Brand])</f>
        <v>Van Heusen</v>
      </c>
      <c r="H1689" s="8" t="str">
        <f>_xlfn.XLOOKUP(D1689,Master[Product_Code],Master[Style])</f>
        <v>Korean</v>
      </c>
      <c r="I1689" s="8" t="str">
        <f>_xlfn.XLOOKUP(D1689,Master[Product_Code],Master[Fabric])</f>
        <v>Lycra</v>
      </c>
      <c r="J1689" s="8">
        <f>_xlfn.XLOOKUP(D1689,Master[Product_Code],Master[Size])</f>
        <v>40</v>
      </c>
      <c r="K1689" s="8" t="str">
        <f>_xlfn.XLOOKUP(D1689,Master[Product_Code],Master[Color])</f>
        <v>Teal</v>
      </c>
      <c r="L1689" s="3">
        <f>_xlfn.XLOOKUP(D1689,Master[Product_Code],Master[Selling_Price])</f>
        <v>730</v>
      </c>
    </row>
    <row r="1690" spans="2:12">
      <c r="B1690" s="2" t="s">
        <v>2451</v>
      </c>
      <c r="C1690" s="7">
        <v>45985</v>
      </c>
      <c r="D1690" s="2" t="s">
        <v>1640</v>
      </c>
      <c r="E1690" s="4">
        <v>1</v>
      </c>
      <c r="F1690" s="8" t="str">
        <f>_xlfn.XLOOKUP(D1690,Master[Product_Code],Master[Category])</f>
        <v>Innerwear</v>
      </c>
      <c r="G1690" s="8" t="str">
        <f>_xlfn.XLOOKUP(D1690,Master[Product_Code],Master[Brand])</f>
        <v>Dollar</v>
      </c>
      <c r="H1690" s="8" t="str">
        <f>_xlfn.XLOOKUP(D1690,Master[Product_Code],Master[Style])</f>
        <v>Boxer</v>
      </c>
      <c r="I1690" s="8" t="str">
        <f>_xlfn.XLOOKUP(D1690,Master[Product_Code],Master[Fabric])</f>
        <v>Cotton</v>
      </c>
      <c r="J1690" s="8" t="str">
        <f>_xlfn.XLOOKUP(D1690,Master[Product_Code],Master[Size])</f>
        <v>90-100</v>
      </c>
      <c r="K1690" s="8" t="str">
        <f>_xlfn.XLOOKUP(D1690,Master[Product_Code],Master[Color])</f>
        <v>Navy Blue</v>
      </c>
      <c r="L1690" s="3">
        <f>_xlfn.XLOOKUP(D1690,Master[Product_Code],Master[Selling_Price])</f>
        <v>160</v>
      </c>
    </row>
    <row r="1691" spans="2:12">
      <c r="B1691" s="2" t="s">
        <v>2451</v>
      </c>
      <c r="C1691" s="7">
        <v>45985</v>
      </c>
      <c r="D1691" s="2" t="s">
        <v>694</v>
      </c>
      <c r="E1691" s="4">
        <v>1</v>
      </c>
      <c r="F1691" s="8" t="str">
        <f>_xlfn.XLOOKUP(D1691,Master[Product_Code],Master[Category])</f>
        <v>T-Shirt</v>
      </c>
      <c r="G1691" s="8" t="str">
        <f>_xlfn.XLOOKUP(D1691,Master[Product_Code],Master[Brand])</f>
        <v>Roadster</v>
      </c>
      <c r="H1691" s="8" t="str">
        <f>_xlfn.XLOOKUP(D1691,Master[Product_Code],Master[Style])</f>
        <v>Full Sleeve</v>
      </c>
      <c r="I1691" s="8" t="str">
        <f>_xlfn.XLOOKUP(D1691,Master[Product_Code],Master[Fabric])</f>
        <v>Poly Cotton</v>
      </c>
      <c r="J1691" s="8" t="str">
        <f>_xlfn.XLOOKUP(D1691,Master[Product_Code],Master[Size])</f>
        <v>XL</v>
      </c>
      <c r="K1691" s="8" t="str">
        <f>_xlfn.XLOOKUP(D1691,Master[Product_Code],Master[Color])</f>
        <v>Mustard</v>
      </c>
      <c r="L1691" s="3">
        <f>_xlfn.XLOOKUP(D1691,Master[Product_Code],Master[Selling_Price])</f>
        <v>570</v>
      </c>
    </row>
    <row r="1692" spans="2:12">
      <c r="B1692" s="2" t="s">
        <v>2452</v>
      </c>
      <c r="C1692" s="7">
        <v>45985</v>
      </c>
      <c r="D1692" s="2" t="s">
        <v>457</v>
      </c>
      <c r="E1692" s="4">
        <v>1</v>
      </c>
      <c r="F1692" s="8" t="str">
        <f>_xlfn.XLOOKUP(D1692,Master[Product_Code],Master[Category])</f>
        <v>T-Shirt</v>
      </c>
      <c r="G1692" s="8" t="str">
        <f>_xlfn.XLOOKUP(D1692,Master[Product_Code],Master[Brand])</f>
        <v>Turkey</v>
      </c>
      <c r="H1692" s="8" t="str">
        <f>_xlfn.XLOOKUP(D1692,Master[Product_Code],Master[Style])</f>
        <v>3/4 Sleeve</v>
      </c>
      <c r="I1692" s="8" t="str">
        <f>_xlfn.XLOOKUP(D1692,Master[Product_Code],Master[Fabric])</f>
        <v>Cotton</v>
      </c>
      <c r="J1692" s="8" t="str">
        <f>_xlfn.XLOOKUP(D1692,Master[Product_Code],Master[Size])</f>
        <v>XL</v>
      </c>
      <c r="K1692" s="8" t="str">
        <f>_xlfn.XLOOKUP(D1692,Master[Product_Code],Master[Color])</f>
        <v>Mustard</v>
      </c>
      <c r="L1692" s="3">
        <f>_xlfn.XLOOKUP(D1692,Master[Product_Code],Master[Selling_Price])</f>
        <v>280</v>
      </c>
    </row>
    <row r="1693" spans="2:12">
      <c r="B1693" s="2" t="s">
        <v>2452</v>
      </c>
      <c r="C1693" s="7">
        <v>45985</v>
      </c>
      <c r="D1693" s="2" t="s">
        <v>1318</v>
      </c>
      <c r="E1693" s="4">
        <v>1</v>
      </c>
      <c r="F1693" s="8" t="str">
        <f>_xlfn.XLOOKUP(D1693,Master[Product_Code],Master[Category])</f>
        <v>Pants</v>
      </c>
      <c r="G1693" s="8" t="str">
        <f>_xlfn.XLOOKUP(D1693,Master[Product_Code],Master[Brand])</f>
        <v>Peter England</v>
      </c>
      <c r="H1693" s="8" t="str">
        <f>_xlfn.XLOOKUP(D1693,Master[Product_Code],Master[Style])</f>
        <v>Jogger</v>
      </c>
      <c r="I1693" s="8" t="str">
        <f>_xlfn.XLOOKUP(D1693,Master[Product_Code],Master[Fabric])</f>
        <v>Cotton</v>
      </c>
      <c r="J1693" s="8">
        <f>_xlfn.XLOOKUP(D1693,Master[Product_Code],Master[Size])</f>
        <v>36</v>
      </c>
      <c r="K1693" s="8" t="str">
        <f>_xlfn.XLOOKUP(D1693,Master[Product_Code],Master[Color])</f>
        <v>Navy Blue</v>
      </c>
      <c r="L1693" s="3">
        <f>_xlfn.XLOOKUP(D1693,Master[Product_Code],Master[Selling_Price])</f>
        <v>870</v>
      </c>
    </row>
    <row r="1694" spans="2:12">
      <c r="B1694" s="2" t="s">
        <v>2452</v>
      </c>
      <c r="C1694" s="7">
        <v>45985</v>
      </c>
      <c r="D1694" s="2" t="s">
        <v>326</v>
      </c>
      <c r="E1694" s="4">
        <v>1</v>
      </c>
      <c r="F1694" s="8" t="str">
        <f>_xlfn.XLOOKUP(D1694,Master[Product_Code],Master[Category])</f>
        <v>Shirt</v>
      </c>
      <c r="G1694" s="8" t="str">
        <f>_xlfn.XLOOKUP(D1694,Master[Product_Code],Master[Brand])</f>
        <v>USD</v>
      </c>
      <c r="H1694" s="8" t="str">
        <f>_xlfn.XLOOKUP(D1694,Master[Product_Code],Master[Style])</f>
        <v>Casual</v>
      </c>
      <c r="I1694" s="8" t="str">
        <f>_xlfn.XLOOKUP(D1694,Master[Product_Code],Master[Fabric])</f>
        <v>Cotton</v>
      </c>
      <c r="J1694" s="8" t="str">
        <f>_xlfn.XLOOKUP(D1694,Master[Product_Code],Master[Size])</f>
        <v>S</v>
      </c>
      <c r="K1694" s="8" t="str">
        <f>_xlfn.XLOOKUP(D1694,Master[Product_Code],Master[Color])</f>
        <v>Wine</v>
      </c>
      <c r="L1694" s="3">
        <f>_xlfn.XLOOKUP(D1694,Master[Product_Code],Master[Selling_Price])</f>
        <v>900</v>
      </c>
    </row>
    <row r="1695" spans="2:12">
      <c r="B1695" s="2" t="s">
        <v>2452</v>
      </c>
      <c r="C1695" s="7">
        <v>45985</v>
      </c>
      <c r="D1695" s="2" t="s">
        <v>699</v>
      </c>
      <c r="E1695" s="4">
        <v>1</v>
      </c>
      <c r="F1695" s="8" t="str">
        <f>_xlfn.XLOOKUP(D1695,Master[Product_Code],Master[Category])</f>
        <v>T-Shirt</v>
      </c>
      <c r="G1695" s="8" t="str">
        <f>_xlfn.XLOOKUP(D1695,Master[Product_Code],Master[Brand])</f>
        <v>Turkey</v>
      </c>
      <c r="H1695" s="8" t="str">
        <f>_xlfn.XLOOKUP(D1695,Master[Product_Code],Master[Style])</f>
        <v>Sleeveless</v>
      </c>
      <c r="I1695" s="8" t="str">
        <f>_xlfn.XLOOKUP(D1695,Master[Product_Code],Master[Fabric])</f>
        <v>Cotton</v>
      </c>
      <c r="J1695" s="8" t="str">
        <f>_xlfn.XLOOKUP(D1695,Master[Product_Code],Master[Size])</f>
        <v>L</v>
      </c>
      <c r="K1695" s="8" t="str">
        <f>_xlfn.XLOOKUP(D1695,Master[Product_Code],Master[Color])</f>
        <v>Royal Blue</v>
      </c>
      <c r="L1695" s="3">
        <f>_xlfn.XLOOKUP(D1695,Master[Product_Code],Master[Selling_Price])</f>
        <v>560</v>
      </c>
    </row>
    <row r="1696" spans="2:12">
      <c r="B1696" s="2" t="s">
        <v>2453</v>
      </c>
      <c r="C1696" s="7">
        <v>45985</v>
      </c>
      <c r="D1696" s="2" t="s">
        <v>1363</v>
      </c>
      <c r="E1696" s="4">
        <v>1</v>
      </c>
      <c r="F1696" s="8" t="str">
        <f>_xlfn.XLOOKUP(D1696,Master[Product_Code],Master[Category])</f>
        <v>Pants</v>
      </c>
      <c r="G1696" s="8" t="str">
        <f>_xlfn.XLOOKUP(D1696,Master[Product_Code],Master[Brand])</f>
        <v>Raymond</v>
      </c>
      <c r="H1696" s="8" t="str">
        <f>_xlfn.XLOOKUP(D1696,Master[Product_Code],Master[Style])</f>
        <v>Jogger</v>
      </c>
      <c r="I1696" s="8" t="str">
        <f>_xlfn.XLOOKUP(D1696,Master[Product_Code],Master[Fabric])</f>
        <v>Cotton Blend</v>
      </c>
      <c r="J1696" s="8">
        <f>_xlfn.XLOOKUP(D1696,Master[Product_Code],Master[Size])</f>
        <v>36</v>
      </c>
      <c r="K1696" s="8" t="str">
        <f>_xlfn.XLOOKUP(D1696,Master[Product_Code],Master[Color])</f>
        <v>Dark Green</v>
      </c>
      <c r="L1696" s="3">
        <f>_xlfn.XLOOKUP(D1696,Master[Product_Code],Master[Selling_Price])</f>
        <v>760</v>
      </c>
    </row>
    <row r="1697" spans="2:12">
      <c r="B1697" s="2" t="s">
        <v>2453</v>
      </c>
      <c r="C1697" s="7">
        <v>45985</v>
      </c>
      <c r="D1697" s="2" t="s">
        <v>1694</v>
      </c>
      <c r="E1697" s="4">
        <v>1</v>
      </c>
      <c r="F1697" s="8" t="str">
        <f>_xlfn.XLOOKUP(D1697,Master[Product_Code],Master[Category])</f>
        <v>Innerwear</v>
      </c>
      <c r="G1697" s="8" t="str">
        <f>_xlfn.XLOOKUP(D1697,Master[Product_Code],Master[Brand])</f>
        <v>Rupa</v>
      </c>
      <c r="H1697" s="8" t="str">
        <f>_xlfn.XLOOKUP(D1697,Master[Product_Code],Master[Style])</f>
        <v>Boxer</v>
      </c>
      <c r="I1697" s="8" t="str">
        <f>_xlfn.XLOOKUP(D1697,Master[Product_Code],Master[Fabric])</f>
        <v>Cotton</v>
      </c>
      <c r="J1697" s="8" t="str">
        <f>_xlfn.XLOOKUP(D1697,Master[Product_Code],Master[Size])</f>
        <v>100-105</v>
      </c>
      <c r="K1697" s="8" t="str">
        <f>_xlfn.XLOOKUP(D1697,Master[Product_Code],Master[Color])</f>
        <v>Light Grey</v>
      </c>
      <c r="L1697" s="3">
        <f>_xlfn.XLOOKUP(D1697,Master[Product_Code],Master[Selling_Price])</f>
        <v>100</v>
      </c>
    </row>
    <row r="1698" spans="2:12">
      <c r="B1698" s="2" t="s">
        <v>2454</v>
      </c>
      <c r="C1698" s="7">
        <v>45985</v>
      </c>
      <c r="D1698" s="2" t="s">
        <v>40</v>
      </c>
      <c r="E1698" s="4">
        <v>1</v>
      </c>
      <c r="F1698" s="8" t="str">
        <f>_xlfn.XLOOKUP(D1698,Master[Product_Code],Master[Category])</f>
        <v>Shirt</v>
      </c>
      <c r="G1698" s="8" t="str">
        <f>_xlfn.XLOOKUP(D1698,Master[Product_Code],Master[Brand])</f>
        <v>L7</v>
      </c>
      <c r="H1698" s="8" t="str">
        <f>_xlfn.XLOOKUP(D1698,Master[Product_Code],Master[Style])</f>
        <v>Partywear</v>
      </c>
      <c r="I1698" s="8" t="str">
        <f>_xlfn.XLOOKUP(D1698,Master[Product_Code],Master[Fabric])</f>
        <v>Cotton Blend</v>
      </c>
      <c r="J1698" s="8" t="str">
        <f>_xlfn.XLOOKUP(D1698,Master[Product_Code],Master[Size])</f>
        <v>XXL</v>
      </c>
      <c r="K1698" s="8" t="str">
        <f>_xlfn.XLOOKUP(D1698,Master[Product_Code],Master[Color])</f>
        <v>Teal</v>
      </c>
      <c r="L1698" s="3">
        <f>_xlfn.XLOOKUP(D1698,Master[Product_Code],Master[Selling_Price])</f>
        <v>760</v>
      </c>
    </row>
    <row r="1699" spans="2:12">
      <c r="B1699" s="2" t="s">
        <v>2455</v>
      </c>
      <c r="C1699" s="7">
        <v>45985</v>
      </c>
      <c r="D1699" s="2" t="s">
        <v>1243</v>
      </c>
      <c r="E1699" s="4">
        <v>1</v>
      </c>
      <c r="F1699" s="8" t="str">
        <f>_xlfn.XLOOKUP(D1699,Master[Product_Code],Master[Category])</f>
        <v>Pants</v>
      </c>
      <c r="G1699" s="8" t="str">
        <f>_xlfn.XLOOKUP(D1699,Master[Product_Code],Master[Brand])</f>
        <v>Peter England</v>
      </c>
      <c r="H1699" s="8" t="str">
        <f>_xlfn.XLOOKUP(D1699,Master[Product_Code],Master[Style])</f>
        <v>Korean</v>
      </c>
      <c r="I1699" s="8" t="str">
        <f>_xlfn.XLOOKUP(D1699,Master[Product_Code],Master[Fabric])</f>
        <v>Lycra</v>
      </c>
      <c r="J1699" s="8">
        <f>_xlfn.XLOOKUP(D1699,Master[Product_Code],Master[Size])</f>
        <v>40</v>
      </c>
      <c r="K1699" s="8" t="str">
        <f>_xlfn.XLOOKUP(D1699,Master[Product_Code],Master[Color])</f>
        <v>Beige</v>
      </c>
      <c r="L1699" s="3">
        <f>_xlfn.XLOOKUP(D1699,Master[Product_Code],Master[Selling_Price])</f>
        <v>760</v>
      </c>
    </row>
    <row r="1700" spans="2:12">
      <c r="B1700" s="2" t="s">
        <v>2455</v>
      </c>
      <c r="C1700" s="7">
        <v>45985</v>
      </c>
      <c r="D1700" s="2" t="s">
        <v>710</v>
      </c>
      <c r="E1700" s="4">
        <v>1</v>
      </c>
      <c r="F1700" s="8" t="str">
        <f>_xlfn.XLOOKUP(D1700,Master[Product_Code],Master[Category])</f>
        <v>T-Shirt</v>
      </c>
      <c r="G1700" s="8" t="str">
        <f>_xlfn.XLOOKUP(D1700,Master[Product_Code],Master[Brand])</f>
        <v>Roadster</v>
      </c>
      <c r="H1700" s="8" t="str">
        <f>_xlfn.XLOOKUP(D1700,Master[Product_Code],Master[Style])</f>
        <v>3/4 Sleeve</v>
      </c>
      <c r="I1700" s="8" t="str">
        <f>_xlfn.XLOOKUP(D1700,Master[Product_Code],Master[Fabric])</f>
        <v>Poly Cotton</v>
      </c>
      <c r="J1700" s="8" t="str">
        <f>_xlfn.XLOOKUP(D1700,Master[Product_Code],Master[Size])</f>
        <v>S</v>
      </c>
      <c r="K1700" s="8" t="str">
        <f>_xlfn.XLOOKUP(D1700,Master[Product_Code],Master[Color])</f>
        <v>Teal</v>
      </c>
      <c r="L1700" s="3">
        <f>_xlfn.XLOOKUP(D1700,Master[Product_Code],Master[Selling_Price])</f>
        <v>570</v>
      </c>
    </row>
    <row r="1701" spans="2:12">
      <c r="B1701" s="2" t="s">
        <v>2455</v>
      </c>
      <c r="C1701" s="7">
        <v>45985</v>
      </c>
      <c r="D1701" s="2" t="s">
        <v>1060</v>
      </c>
      <c r="E1701" s="4">
        <v>1</v>
      </c>
      <c r="F1701" s="8" t="str">
        <f>_xlfn.XLOOKUP(D1701,Master[Product_Code],Master[Category])</f>
        <v>Jeans</v>
      </c>
      <c r="G1701" s="8" t="str">
        <f>_xlfn.XLOOKUP(D1701,Master[Product_Code],Master[Brand])</f>
        <v>Levis</v>
      </c>
      <c r="H1701" s="8" t="str">
        <f>_xlfn.XLOOKUP(D1701,Master[Product_Code],Master[Style])</f>
        <v>Jogger</v>
      </c>
      <c r="I1701" s="8" t="str">
        <f>_xlfn.XLOOKUP(D1701,Master[Product_Code],Master[Fabric])</f>
        <v>Denim</v>
      </c>
      <c r="J1701" s="8">
        <f>_xlfn.XLOOKUP(D1701,Master[Product_Code],Master[Size])</f>
        <v>42</v>
      </c>
      <c r="K1701" s="8" t="str">
        <f>_xlfn.XLOOKUP(D1701,Master[Product_Code],Master[Color])</f>
        <v>Beige</v>
      </c>
      <c r="L1701" s="3">
        <f>_xlfn.XLOOKUP(D1701,Master[Product_Code],Master[Selling_Price])</f>
        <v>880</v>
      </c>
    </row>
    <row r="1702" spans="2:12">
      <c r="B1702" s="2" t="s">
        <v>2455</v>
      </c>
      <c r="C1702" s="7">
        <v>45985</v>
      </c>
      <c r="D1702" s="2" t="s">
        <v>1482</v>
      </c>
      <c r="E1702" s="4">
        <v>1</v>
      </c>
      <c r="F1702" s="8" t="str">
        <f>_xlfn.XLOOKUP(D1702,Master[Product_Code],Master[Category])</f>
        <v>Innerwear</v>
      </c>
      <c r="G1702" s="8" t="str">
        <f>_xlfn.XLOOKUP(D1702,Master[Product_Code],Master[Brand])</f>
        <v>Jockey</v>
      </c>
      <c r="H1702" s="8" t="str">
        <f>_xlfn.XLOOKUP(D1702,Master[Product_Code],Master[Style])</f>
        <v>V-Cut</v>
      </c>
      <c r="I1702" s="8" t="str">
        <f>_xlfn.XLOOKUP(D1702,Master[Product_Code],Master[Fabric])</f>
        <v>Cotton Blend</v>
      </c>
      <c r="J1702" s="8" t="str">
        <f>_xlfn.XLOOKUP(D1702,Master[Product_Code],Master[Size])</f>
        <v>80-85</v>
      </c>
      <c r="K1702" s="8" t="str">
        <f>_xlfn.XLOOKUP(D1702,Master[Product_Code],Master[Color])</f>
        <v>Olive</v>
      </c>
      <c r="L1702" s="3">
        <f>_xlfn.XLOOKUP(D1702,Master[Product_Code],Master[Selling_Price])</f>
        <v>150</v>
      </c>
    </row>
    <row r="1703" spans="2:12">
      <c r="B1703" s="2" t="s">
        <v>2456</v>
      </c>
      <c r="C1703" s="7">
        <v>45985</v>
      </c>
      <c r="D1703" s="2" t="s">
        <v>1268</v>
      </c>
      <c r="E1703" s="4">
        <v>1</v>
      </c>
      <c r="F1703" s="8" t="str">
        <f>_xlfn.XLOOKUP(D1703,Master[Product_Code],Master[Category])</f>
        <v>Pants</v>
      </c>
      <c r="G1703" s="8" t="str">
        <f>_xlfn.XLOOKUP(D1703,Master[Product_Code],Master[Brand])</f>
        <v>Raymond</v>
      </c>
      <c r="H1703" s="8" t="str">
        <f>_xlfn.XLOOKUP(D1703,Master[Product_Code],Master[Style])</f>
        <v>Jogger</v>
      </c>
      <c r="I1703" s="8" t="str">
        <f>_xlfn.XLOOKUP(D1703,Master[Product_Code],Master[Fabric])</f>
        <v>Cotton</v>
      </c>
      <c r="J1703" s="8">
        <f>_xlfn.XLOOKUP(D1703,Master[Product_Code],Master[Size])</f>
        <v>28</v>
      </c>
      <c r="K1703" s="8" t="str">
        <f>_xlfn.XLOOKUP(D1703,Master[Product_Code],Master[Color])</f>
        <v>Mustard</v>
      </c>
      <c r="L1703" s="3">
        <f>_xlfn.XLOOKUP(D1703,Master[Product_Code],Master[Selling_Price])</f>
        <v>720</v>
      </c>
    </row>
    <row r="1704" spans="2:12">
      <c r="B1704" s="2" t="s">
        <v>2457</v>
      </c>
      <c r="C1704" s="7">
        <v>45985</v>
      </c>
      <c r="D1704" s="2" t="s">
        <v>550</v>
      </c>
      <c r="E1704" s="4">
        <v>1</v>
      </c>
      <c r="F1704" s="8" t="str">
        <f>_xlfn.XLOOKUP(D1704,Master[Product_Code],Master[Category])</f>
        <v>T-Shirt</v>
      </c>
      <c r="G1704" s="8" t="str">
        <f>_xlfn.XLOOKUP(D1704,Master[Product_Code],Master[Brand])</f>
        <v>Zara</v>
      </c>
      <c r="H1704" s="8" t="str">
        <f>_xlfn.XLOOKUP(D1704,Master[Product_Code],Master[Style])</f>
        <v>Sleeveless</v>
      </c>
      <c r="I1704" s="8" t="str">
        <f>_xlfn.XLOOKUP(D1704,Master[Product_Code],Master[Fabric])</f>
        <v>Poly Cotton</v>
      </c>
      <c r="J1704" s="8" t="str">
        <f>_xlfn.XLOOKUP(D1704,Master[Product_Code],Master[Size])</f>
        <v>L</v>
      </c>
      <c r="K1704" s="8" t="str">
        <f>_xlfn.XLOOKUP(D1704,Master[Product_Code],Master[Color])</f>
        <v>Sky Blue</v>
      </c>
      <c r="L1704" s="3">
        <f>_xlfn.XLOOKUP(D1704,Master[Product_Code],Master[Selling_Price])</f>
        <v>450</v>
      </c>
    </row>
    <row r="1705" spans="2:12">
      <c r="B1705" s="2" t="s">
        <v>2457</v>
      </c>
      <c r="C1705" s="7">
        <v>45985</v>
      </c>
      <c r="D1705" s="2" t="s">
        <v>1409</v>
      </c>
      <c r="E1705" s="4">
        <v>1</v>
      </c>
      <c r="F1705" s="8" t="str">
        <f>_xlfn.XLOOKUP(D1705,Master[Product_Code],Master[Category])</f>
        <v>Pants</v>
      </c>
      <c r="G1705" s="8" t="str">
        <f>_xlfn.XLOOKUP(D1705,Master[Product_Code],Master[Brand])</f>
        <v>Park Avenue</v>
      </c>
      <c r="H1705" s="8" t="str">
        <f>_xlfn.XLOOKUP(D1705,Master[Product_Code],Master[Style])</f>
        <v>Boot Cut</v>
      </c>
      <c r="I1705" s="8" t="str">
        <f>_xlfn.XLOOKUP(D1705,Master[Product_Code],Master[Fabric])</f>
        <v>Cotton</v>
      </c>
      <c r="J1705" s="8">
        <f>_xlfn.XLOOKUP(D1705,Master[Product_Code],Master[Size])</f>
        <v>30</v>
      </c>
      <c r="K1705" s="8" t="str">
        <f>_xlfn.XLOOKUP(D1705,Master[Product_Code],Master[Color])</f>
        <v>White</v>
      </c>
      <c r="L1705" s="3">
        <f>_xlfn.XLOOKUP(D1705,Master[Product_Code],Master[Selling_Price])</f>
        <v>810</v>
      </c>
    </row>
    <row r="1706" spans="2:12">
      <c r="B1706" s="2" t="s">
        <v>2457</v>
      </c>
      <c r="C1706" s="7">
        <v>45985</v>
      </c>
      <c r="D1706" s="2" t="s">
        <v>1653</v>
      </c>
      <c r="E1706" s="4">
        <v>1</v>
      </c>
      <c r="F1706" s="8" t="str">
        <f>_xlfn.XLOOKUP(D1706,Master[Product_Code],Master[Category])</f>
        <v>Innerwear</v>
      </c>
      <c r="G1706" s="8" t="str">
        <f>_xlfn.XLOOKUP(D1706,Master[Product_Code],Master[Brand])</f>
        <v>V Star</v>
      </c>
      <c r="H1706" s="8" t="str">
        <f>_xlfn.XLOOKUP(D1706,Master[Product_Code],Master[Style])</f>
        <v>Boxer</v>
      </c>
      <c r="I1706" s="8" t="str">
        <f>_xlfn.XLOOKUP(D1706,Master[Product_Code],Master[Fabric])</f>
        <v>Cotton</v>
      </c>
      <c r="J1706" s="8" t="str">
        <f>_xlfn.XLOOKUP(D1706,Master[Product_Code],Master[Size])</f>
        <v>90-100</v>
      </c>
      <c r="K1706" s="8" t="str">
        <f>_xlfn.XLOOKUP(D1706,Master[Product_Code],Master[Color])</f>
        <v>Charcoal</v>
      </c>
      <c r="L1706" s="3">
        <f>_xlfn.XLOOKUP(D1706,Master[Product_Code],Master[Selling_Price])</f>
        <v>130</v>
      </c>
    </row>
    <row r="1707" spans="2:12">
      <c r="B1707" s="2" t="s">
        <v>2458</v>
      </c>
      <c r="C1707" s="7">
        <v>45985</v>
      </c>
      <c r="D1707" s="2" t="s">
        <v>560</v>
      </c>
      <c r="E1707" s="4">
        <v>1</v>
      </c>
      <c r="F1707" s="8" t="str">
        <f>_xlfn.XLOOKUP(D1707,Master[Product_Code],Master[Category])</f>
        <v>T-Shirt</v>
      </c>
      <c r="G1707" s="8" t="str">
        <f>_xlfn.XLOOKUP(D1707,Master[Product_Code],Master[Brand])</f>
        <v>Urban Monkey</v>
      </c>
      <c r="H1707" s="8" t="str">
        <f>_xlfn.XLOOKUP(D1707,Master[Product_Code],Master[Style])</f>
        <v>3/4 Sleeve</v>
      </c>
      <c r="I1707" s="8" t="str">
        <f>_xlfn.XLOOKUP(D1707,Master[Product_Code],Master[Fabric])</f>
        <v>Cotton</v>
      </c>
      <c r="J1707" s="8" t="str">
        <f>_xlfn.XLOOKUP(D1707,Master[Product_Code],Master[Size])</f>
        <v>S</v>
      </c>
      <c r="K1707" s="8" t="str">
        <f>_xlfn.XLOOKUP(D1707,Master[Product_Code],Master[Color])</f>
        <v>Charcoal</v>
      </c>
      <c r="L1707" s="3">
        <f>_xlfn.XLOOKUP(D1707,Master[Product_Code],Master[Selling_Price])</f>
        <v>360</v>
      </c>
    </row>
    <row r="1708" spans="2:12">
      <c r="B1708" s="2" t="s">
        <v>2458</v>
      </c>
      <c r="C1708" s="7">
        <v>45985</v>
      </c>
      <c r="D1708" s="2" t="s">
        <v>1115</v>
      </c>
      <c r="E1708" s="4">
        <v>1</v>
      </c>
      <c r="F1708" s="8" t="str">
        <f>_xlfn.XLOOKUP(D1708,Master[Product_Code],Master[Category])</f>
        <v>Jeans</v>
      </c>
      <c r="G1708" s="8" t="str">
        <f>_xlfn.XLOOKUP(D1708,Master[Product_Code],Master[Brand])</f>
        <v>Denim Pro</v>
      </c>
      <c r="H1708" s="8" t="str">
        <f>_xlfn.XLOOKUP(D1708,Master[Product_Code],Master[Style])</f>
        <v>Baggy</v>
      </c>
      <c r="I1708" s="8" t="str">
        <f>_xlfn.XLOOKUP(D1708,Master[Product_Code],Master[Fabric])</f>
        <v>Denim</v>
      </c>
      <c r="J1708" s="8">
        <f>_xlfn.XLOOKUP(D1708,Master[Product_Code],Master[Size])</f>
        <v>42</v>
      </c>
      <c r="K1708" s="8" t="str">
        <f>_xlfn.XLOOKUP(D1708,Master[Product_Code],Master[Color])</f>
        <v>Cream</v>
      </c>
      <c r="L1708" s="3">
        <f>_xlfn.XLOOKUP(D1708,Master[Product_Code],Master[Selling_Price])</f>
        <v>830</v>
      </c>
    </row>
    <row r="1709" spans="2:12">
      <c r="B1709" s="2" t="s">
        <v>2458</v>
      </c>
      <c r="C1709" s="7">
        <v>45985</v>
      </c>
      <c r="D1709" s="2" t="s">
        <v>1742</v>
      </c>
      <c r="E1709" s="4">
        <v>1</v>
      </c>
      <c r="F1709" s="8" t="str">
        <f>_xlfn.XLOOKUP(D1709,Master[Product_Code],Master[Category])</f>
        <v>Innerwear</v>
      </c>
      <c r="G1709" s="8" t="str">
        <f>_xlfn.XLOOKUP(D1709,Master[Product_Code],Master[Brand])</f>
        <v>Lux</v>
      </c>
      <c r="H1709" s="8" t="str">
        <f>_xlfn.XLOOKUP(D1709,Master[Product_Code],Master[Style])</f>
        <v>Boxer</v>
      </c>
      <c r="I1709" s="8" t="str">
        <f>_xlfn.XLOOKUP(D1709,Master[Product_Code],Master[Fabric])</f>
        <v>Cotton Blend</v>
      </c>
      <c r="J1709" s="8" t="str">
        <f>_xlfn.XLOOKUP(D1709,Master[Product_Code],Master[Size])</f>
        <v>100-105</v>
      </c>
      <c r="K1709" s="8" t="str">
        <f>_xlfn.XLOOKUP(D1709,Master[Product_Code],Master[Color])</f>
        <v>Olive</v>
      </c>
      <c r="L1709" s="3">
        <f>_xlfn.XLOOKUP(D1709,Master[Product_Code],Master[Selling_Price])</f>
        <v>190</v>
      </c>
    </row>
    <row r="1710" spans="2:12">
      <c r="B1710" s="2" t="s">
        <v>2459</v>
      </c>
      <c r="C1710" s="7">
        <v>45985</v>
      </c>
      <c r="D1710" s="2" t="s">
        <v>403</v>
      </c>
      <c r="E1710" s="4">
        <v>1</v>
      </c>
      <c r="F1710" s="8" t="str">
        <f>_xlfn.XLOOKUP(D1710,Master[Product_Code],Master[Category])</f>
        <v>T-Shirt</v>
      </c>
      <c r="G1710" s="8" t="str">
        <f>_xlfn.XLOOKUP(D1710,Master[Product_Code],Master[Brand])</f>
        <v>Roadster</v>
      </c>
      <c r="H1710" s="8" t="str">
        <f>_xlfn.XLOOKUP(D1710,Master[Product_Code],Master[Style])</f>
        <v>Full Sleeve</v>
      </c>
      <c r="I1710" s="8" t="str">
        <f>_xlfn.XLOOKUP(D1710,Master[Product_Code],Master[Fabric])</f>
        <v>Cotton Blend</v>
      </c>
      <c r="J1710" s="8" t="str">
        <f>_xlfn.XLOOKUP(D1710,Master[Product_Code],Master[Size])</f>
        <v>M</v>
      </c>
      <c r="K1710" s="8" t="str">
        <f>_xlfn.XLOOKUP(D1710,Master[Product_Code],Master[Color])</f>
        <v>Beige</v>
      </c>
      <c r="L1710" s="3">
        <f>_xlfn.XLOOKUP(D1710,Master[Product_Code],Master[Selling_Price])</f>
        <v>610</v>
      </c>
    </row>
    <row r="1711" spans="2:12">
      <c r="B1711" s="2" t="s">
        <v>2459</v>
      </c>
      <c r="C1711" s="7">
        <v>45985</v>
      </c>
      <c r="D1711" s="2" t="s">
        <v>1549</v>
      </c>
      <c r="E1711" s="4">
        <v>1</v>
      </c>
      <c r="F1711" s="8" t="str">
        <f>_xlfn.XLOOKUP(D1711,Master[Product_Code],Master[Category])</f>
        <v>Innerwear</v>
      </c>
      <c r="G1711" s="8" t="str">
        <f>_xlfn.XLOOKUP(D1711,Master[Product_Code],Master[Brand])</f>
        <v>Rupa</v>
      </c>
      <c r="H1711" s="8" t="str">
        <f>_xlfn.XLOOKUP(D1711,Master[Product_Code],Master[Style])</f>
        <v>V-Cut</v>
      </c>
      <c r="I1711" s="8" t="str">
        <f>_xlfn.XLOOKUP(D1711,Master[Product_Code],Master[Fabric])</f>
        <v>Cotton</v>
      </c>
      <c r="J1711" s="8" t="str">
        <f>_xlfn.XLOOKUP(D1711,Master[Product_Code],Master[Size])</f>
        <v>90-100</v>
      </c>
      <c r="K1711" s="8" t="str">
        <f>_xlfn.XLOOKUP(D1711,Master[Product_Code],Master[Color])</f>
        <v>Navy Blue</v>
      </c>
      <c r="L1711" s="3">
        <f>_xlfn.XLOOKUP(D1711,Master[Product_Code],Master[Selling_Price])</f>
        <v>130</v>
      </c>
    </row>
    <row r="1712" spans="2:12">
      <c r="B1712" s="2" t="s">
        <v>2459</v>
      </c>
      <c r="C1712" s="7">
        <v>45985</v>
      </c>
      <c r="D1712" s="2" t="s">
        <v>1045</v>
      </c>
      <c r="E1712" s="4">
        <v>1</v>
      </c>
      <c r="F1712" s="8" t="str">
        <f>_xlfn.XLOOKUP(D1712,Master[Product_Code],Master[Category])</f>
        <v>Jeans</v>
      </c>
      <c r="G1712" s="8" t="str">
        <f>_xlfn.XLOOKUP(D1712,Master[Product_Code],Master[Brand])</f>
        <v>Pepe</v>
      </c>
      <c r="H1712" s="8" t="str">
        <f>_xlfn.XLOOKUP(D1712,Master[Product_Code],Master[Style])</f>
        <v>Mom Fit</v>
      </c>
      <c r="I1712" s="8" t="str">
        <f>_xlfn.XLOOKUP(D1712,Master[Product_Code],Master[Fabric])</f>
        <v>Denim</v>
      </c>
      <c r="J1712" s="8">
        <f>_xlfn.XLOOKUP(D1712,Master[Product_Code],Master[Size])</f>
        <v>42</v>
      </c>
      <c r="K1712" s="8" t="str">
        <f>_xlfn.XLOOKUP(D1712,Master[Product_Code],Master[Color])</f>
        <v>Bottle Green</v>
      </c>
      <c r="L1712" s="3">
        <f>_xlfn.XLOOKUP(D1712,Master[Product_Code],Master[Selling_Price])</f>
        <v>890</v>
      </c>
    </row>
    <row r="1713" spans="2:12">
      <c r="B1713" s="2" t="s">
        <v>2460</v>
      </c>
      <c r="C1713" s="7">
        <v>45985</v>
      </c>
      <c r="D1713" s="2" t="s">
        <v>1492</v>
      </c>
      <c r="E1713" s="4">
        <v>1</v>
      </c>
      <c r="F1713" s="8" t="str">
        <f>_xlfn.XLOOKUP(D1713,Master[Product_Code],Master[Category])</f>
        <v>Innerwear</v>
      </c>
      <c r="G1713" s="8" t="str">
        <f>_xlfn.XLOOKUP(D1713,Master[Product_Code],Master[Brand])</f>
        <v>Lux</v>
      </c>
      <c r="H1713" s="8" t="str">
        <f>_xlfn.XLOOKUP(D1713,Master[Product_Code],Master[Style])</f>
        <v>Boxer</v>
      </c>
      <c r="I1713" s="8" t="str">
        <f>_xlfn.XLOOKUP(D1713,Master[Product_Code],Master[Fabric])</f>
        <v>Cotton</v>
      </c>
      <c r="J1713" s="8" t="str">
        <f>_xlfn.XLOOKUP(D1713,Master[Product_Code],Master[Size])</f>
        <v>90-100</v>
      </c>
      <c r="K1713" s="8" t="str">
        <f>_xlfn.XLOOKUP(D1713,Master[Product_Code],Master[Color])</f>
        <v>Teal</v>
      </c>
      <c r="L1713" s="3">
        <f>_xlfn.XLOOKUP(D1713,Master[Product_Code],Master[Selling_Price])</f>
        <v>110</v>
      </c>
    </row>
    <row r="1714" spans="2:12">
      <c r="B1714" s="2" t="s">
        <v>2460</v>
      </c>
      <c r="C1714" s="7">
        <v>45985</v>
      </c>
      <c r="D1714" s="2" t="s">
        <v>427</v>
      </c>
      <c r="E1714" s="4">
        <v>1</v>
      </c>
      <c r="F1714" s="8" t="str">
        <f>_xlfn.XLOOKUP(D1714,Master[Product_Code],Master[Category])</f>
        <v>T-Shirt</v>
      </c>
      <c r="G1714" s="8" t="str">
        <f>_xlfn.XLOOKUP(D1714,Master[Product_Code],Master[Brand])</f>
        <v>Campus</v>
      </c>
      <c r="H1714" s="8" t="str">
        <f>_xlfn.XLOOKUP(D1714,Master[Product_Code],Master[Style])</f>
        <v>3/4 Sleeve</v>
      </c>
      <c r="I1714" s="8" t="str">
        <f>_xlfn.XLOOKUP(D1714,Master[Product_Code],Master[Fabric])</f>
        <v>Cotton</v>
      </c>
      <c r="J1714" s="8" t="str">
        <f>_xlfn.XLOOKUP(D1714,Master[Product_Code],Master[Size])</f>
        <v>M</v>
      </c>
      <c r="K1714" s="8" t="str">
        <f>_xlfn.XLOOKUP(D1714,Master[Product_Code],Master[Color])</f>
        <v>Dark Green</v>
      </c>
      <c r="L1714" s="3">
        <f>_xlfn.XLOOKUP(D1714,Master[Product_Code],Master[Selling_Price])</f>
        <v>330</v>
      </c>
    </row>
    <row r="1715" spans="2:12">
      <c r="B1715" s="2" t="s">
        <v>2460</v>
      </c>
      <c r="C1715" s="7">
        <v>45985</v>
      </c>
      <c r="D1715" s="2" t="s">
        <v>1475</v>
      </c>
      <c r="E1715" s="4">
        <v>1</v>
      </c>
      <c r="F1715" s="8" t="str">
        <f>_xlfn.XLOOKUP(D1715,Master[Product_Code],Master[Category])</f>
        <v>Innerwear</v>
      </c>
      <c r="G1715" s="8" t="str">
        <f>_xlfn.XLOOKUP(D1715,Master[Product_Code],Master[Brand])</f>
        <v>Jockey</v>
      </c>
      <c r="H1715" s="8" t="str">
        <f>_xlfn.XLOOKUP(D1715,Master[Product_Code],Master[Style])</f>
        <v>Boxer</v>
      </c>
      <c r="I1715" s="8" t="str">
        <f>_xlfn.XLOOKUP(D1715,Master[Product_Code],Master[Fabric])</f>
        <v>Cotton</v>
      </c>
      <c r="J1715" s="8" t="str">
        <f>_xlfn.XLOOKUP(D1715,Master[Product_Code],Master[Size])</f>
        <v>90-100</v>
      </c>
      <c r="K1715" s="8" t="str">
        <f>_xlfn.XLOOKUP(D1715,Master[Product_Code],Master[Color])</f>
        <v>Grey</v>
      </c>
      <c r="L1715" s="3">
        <f>_xlfn.XLOOKUP(D1715,Master[Product_Code],Master[Selling_Price])</f>
        <v>190</v>
      </c>
    </row>
    <row r="1716" spans="2:12">
      <c r="B1716" s="2" t="s">
        <v>2461</v>
      </c>
      <c r="C1716" s="7">
        <v>45986</v>
      </c>
      <c r="D1716" s="2" t="s">
        <v>809</v>
      </c>
      <c r="E1716" s="4">
        <v>1</v>
      </c>
      <c r="F1716" s="8" t="str">
        <f>_xlfn.XLOOKUP(D1716,Master[Product_Code],Master[Category])</f>
        <v>T-Shirt</v>
      </c>
      <c r="G1716" s="8" t="str">
        <f>_xlfn.XLOOKUP(D1716,Master[Product_Code],Master[Brand])</f>
        <v>Urban Monkey</v>
      </c>
      <c r="H1716" s="8" t="str">
        <f>_xlfn.XLOOKUP(D1716,Master[Product_Code],Master[Style])</f>
        <v>3/4 Sleeve</v>
      </c>
      <c r="I1716" s="8" t="str">
        <f>_xlfn.XLOOKUP(D1716,Master[Product_Code],Master[Fabric])</f>
        <v>Cotton Blend</v>
      </c>
      <c r="J1716" s="8" t="str">
        <f>_xlfn.XLOOKUP(D1716,Master[Product_Code],Master[Size])</f>
        <v>XL</v>
      </c>
      <c r="K1716" s="8" t="str">
        <f>_xlfn.XLOOKUP(D1716,Master[Product_Code],Master[Color])</f>
        <v>Light Grey</v>
      </c>
      <c r="L1716" s="3">
        <f>_xlfn.XLOOKUP(D1716,Master[Product_Code],Master[Selling_Price])</f>
        <v>380</v>
      </c>
    </row>
    <row r="1717" spans="2:12">
      <c r="B1717" s="2" t="s">
        <v>2461</v>
      </c>
      <c r="C1717" s="7">
        <v>45986</v>
      </c>
      <c r="D1717" s="2" t="s">
        <v>1711</v>
      </c>
      <c r="E1717" s="4">
        <v>1</v>
      </c>
      <c r="F1717" s="8" t="str">
        <f>_xlfn.XLOOKUP(D1717,Master[Product_Code],Master[Category])</f>
        <v>Innerwear</v>
      </c>
      <c r="G1717" s="8" t="str">
        <f>_xlfn.XLOOKUP(D1717,Master[Product_Code],Master[Brand])</f>
        <v>Rupa</v>
      </c>
      <c r="H1717" s="8" t="str">
        <f>_xlfn.XLOOKUP(D1717,Master[Product_Code],Master[Style])</f>
        <v>Boxer</v>
      </c>
      <c r="I1717" s="8" t="str">
        <f>_xlfn.XLOOKUP(D1717,Master[Product_Code],Master[Fabric])</f>
        <v>Cotton Blend</v>
      </c>
      <c r="J1717" s="8" t="str">
        <f>_xlfn.XLOOKUP(D1717,Master[Product_Code],Master[Size])</f>
        <v>105-110</v>
      </c>
      <c r="K1717" s="8" t="str">
        <f>_xlfn.XLOOKUP(D1717,Master[Product_Code],Master[Color])</f>
        <v>Navy Blue</v>
      </c>
      <c r="L1717" s="3">
        <f>_xlfn.XLOOKUP(D1717,Master[Product_Code],Master[Selling_Price])</f>
        <v>110</v>
      </c>
    </row>
    <row r="1718" spans="2:12">
      <c r="B1718" s="2" t="s">
        <v>2462</v>
      </c>
      <c r="C1718" s="7">
        <v>45986</v>
      </c>
      <c r="D1718" s="2" t="s">
        <v>957</v>
      </c>
      <c r="E1718" s="4">
        <v>1</v>
      </c>
      <c r="F1718" s="8" t="str">
        <f>_xlfn.XLOOKUP(D1718,Master[Product_Code],Master[Category])</f>
        <v>Jeans</v>
      </c>
      <c r="G1718" s="8" t="str">
        <f>_xlfn.XLOOKUP(D1718,Master[Product_Code],Master[Brand])</f>
        <v>Locomotive</v>
      </c>
      <c r="H1718" s="8" t="str">
        <f>_xlfn.XLOOKUP(D1718,Master[Product_Code],Master[Style])</f>
        <v>Jogger</v>
      </c>
      <c r="I1718" s="8" t="str">
        <f>_xlfn.XLOOKUP(D1718,Master[Product_Code],Master[Fabric])</f>
        <v>Denim</v>
      </c>
      <c r="J1718" s="8">
        <f>_xlfn.XLOOKUP(D1718,Master[Product_Code],Master[Size])</f>
        <v>40</v>
      </c>
      <c r="K1718" s="8" t="str">
        <f>_xlfn.XLOOKUP(D1718,Master[Product_Code],Master[Color])</f>
        <v>Bottle Green</v>
      </c>
      <c r="L1718" s="3">
        <f>_xlfn.XLOOKUP(D1718,Master[Product_Code],Master[Selling_Price])</f>
        <v>1050</v>
      </c>
    </row>
    <row r="1719" spans="2:12">
      <c r="B1719" s="2" t="s">
        <v>2462</v>
      </c>
      <c r="C1719" s="7">
        <v>45986</v>
      </c>
      <c r="D1719" s="2" t="s">
        <v>578</v>
      </c>
      <c r="E1719" s="4">
        <v>1</v>
      </c>
      <c r="F1719" s="8" t="str">
        <f>_xlfn.XLOOKUP(D1719,Master[Product_Code],Master[Category])</f>
        <v>T-Shirt</v>
      </c>
      <c r="G1719" s="8" t="str">
        <f>_xlfn.XLOOKUP(D1719,Master[Product_Code],Master[Brand])</f>
        <v>Campus</v>
      </c>
      <c r="H1719" s="8" t="str">
        <f>_xlfn.XLOOKUP(D1719,Master[Product_Code],Master[Style])</f>
        <v>3/4 Sleeve</v>
      </c>
      <c r="I1719" s="8" t="str">
        <f>_xlfn.XLOOKUP(D1719,Master[Product_Code],Master[Fabric])</f>
        <v>Poly Cotton</v>
      </c>
      <c r="J1719" s="8" t="str">
        <f>_xlfn.XLOOKUP(D1719,Master[Product_Code],Master[Size])</f>
        <v>S</v>
      </c>
      <c r="K1719" s="8" t="str">
        <f>_xlfn.XLOOKUP(D1719,Master[Product_Code],Master[Color])</f>
        <v>Teal</v>
      </c>
      <c r="L1719" s="3">
        <f>_xlfn.XLOOKUP(D1719,Master[Product_Code],Master[Selling_Price])</f>
        <v>740</v>
      </c>
    </row>
    <row r="1720" spans="2:12">
      <c r="B1720" s="2" t="s">
        <v>2462</v>
      </c>
      <c r="C1720" s="7">
        <v>45986</v>
      </c>
      <c r="D1720" s="2" t="s">
        <v>715</v>
      </c>
      <c r="E1720" s="4">
        <v>1</v>
      </c>
      <c r="F1720" s="8" t="str">
        <f>_xlfn.XLOOKUP(D1720,Master[Product_Code],Master[Category])</f>
        <v>T-Shirt</v>
      </c>
      <c r="G1720" s="8" t="str">
        <f>_xlfn.XLOOKUP(D1720,Master[Product_Code],Master[Brand])</f>
        <v>Urban Monkey</v>
      </c>
      <c r="H1720" s="8" t="str">
        <f>_xlfn.XLOOKUP(D1720,Master[Product_Code],Master[Style])</f>
        <v>Sleeveless</v>
      </c>
      <c r="I1720" s="8" t="str">
        <f>_xlfn.XLOOKUP(D1720,Master[Product_Code],Master[Fabric])</f>
        <v>Cotton</v>
      </c>
      <c r="J1720" s="8" t="str">
        <f>_xlfn.XLOOKUP(D1720,Master[Product_Code],Master[Size])</f>
        <v>XXL</v>
      </c>
      <c r="K1720" s="8" t="str">
        <f>_xlfn.XLOOKUP(D1720,Master[Product_Code],Master[Color])</f>
        <v>Dark Green</v>
      </c>
      <c r="L1720" s="3">
        <f>_xlfn.XLOOKUP(D1720,Master[Product_Code],Master[Selling_Price])</f>
        <v>470</v>
      </c>
    </row>
    <row r="1721" spans="2:12">
      <c r="B1721" s="2" t="s">
        <v>2463</v>
      </c>
      <c r="C1721" s="7">
        <v>45986</v>
      </c>
      <c r="D1721" s="2" t="s">
        <v>1091</v>
      </c>
      <c r="E1721" s="4">
        <v>1</v>
      </c>
      <c r="F1721" s="8" t="str">
        <f>_xlfn.XLOOKUP(D1721,Master[Product_Code],Master[Category])</f>
        <v>Jeans</v>
      </c>
      <c r="G1721" s="8" t="str">
        <f>_xlfn.XLOOKUP(D1721,Master[Product_Code],Master[Brand])</f>
        <v>Spykar</v>
      </c>
      <c r="H1721" s="8" t="str">
        <f>_xlfn.XLOOKUP(D1721,Master[Product_Code],Master[Style])</f>
        <v>Jogger</v>
      </c>
      <c r="I1721" s="8" t="str">
        <f>_xlfn.XLOOKUP(D1721,Master[Product_Code],Master[Fabric])</f>
        <v>Denim</v>
      </c>
      <c r="J1721" s="8">
        <f>_xlfn.XLOOKUP(D1721,Master[Product_Code],Master[Size])</f>
        <v>32</v>
      </c>
      <c r="K1721" s="8" t="str">
        <f>_xlfn.XLOOKUP(D1721,Master[Product_Code],Master[Color])</f>
        <v>Peach</v>
      </c>
      <c r="L1721" s="3">
        <f>_xlfn.XLOOKUP(D1721,Master[Product_Code],Master[Selling_Price])</f>
        <v>860</v>
      </c>
    </row>
    <row r="1722" spans="2:12">
      <c r="B1722" s="2" t="s">
        <v>2464</v>
      </c>
      <c r="C1722" s="7">
        <v>45986</v>
      </c>
      <c r="D1722" s="2" t="s">
        <v>200</v>
      </c>
      <c r="E1722" s="4">
        <v>1</v>
      </c>
      <c r="F1722" s="8" t="str">
        <f>_xlfn.XLOOKUP(D1722,Master[Product_Code],Master[Category])</f>
        <v>Shirt</v>
      </c>
      <c r="G1722" s="8" t="str">
        <f>_xlfn.XLOOKUP(D1722,Master[Product_Code],Master[Brand])</f>
        <v>Thailand</v>
      </c>
      <c r="H1722" s="8" t="str">
        <f>_xlfn.XLOOKUP(D1722,Master[Product_Code],Master[Style])</f>
        <v>Formal</v>
      </c>
      <c r="I1722" s="8" t="str">
        <f>_xlfn.XLOOKUP(D1722,Master[Product_Code],Master[Fabric])</f>
        <v>Cotton</v>
      </c>
      <c r="J1722" s="8" t="str">
        <f>_xlfn.XLOOKUP(D1722,Master[Product_Code],Master[Size])</f>
        <v>XL</v>
      </c>
      <c r="K1722" s="8" t="str">
        <f>_xlfn.XLOOKUP(D1722,Master[Product_Code],Master[Color])</f>
        <v>Sky Blue</v>
      </c>
      <c r="L1722" s="3">
        <f>_xlfn.XLOOKUP(D1722,Master[Product_Code],Master[Selling_Price])</f>
        <v>860</v>
      </c>
    </row>
    <row r="1723" spans="2:12">
      <c r="B1723" s="2" t="s">
        <v>2464</v>
      </c>
      <c r="C1723" s="7">
        <v>45986</v>
      </c>
      <c r="D1723" s="2" t="s">
        <v>312</v>
      </c>
      <c r="E1723" s="4">
        <v>1</v>
      </c>
      <c r="F1723" s="8" t="str">
        <f>_xlfn.XLOOKUP(D1723,Master[Product_Code],Master[Category])</f>
        <v>Shirt</v>
      </c>
      <c r="G1723" s="8" t="str">
        <f>_xlfn.XLOOKUP(D1723,Master[Product_Code],Master[Brand])</f>
        <v>USD</v>
      </c>
      <c r="H1723" s="8" t="str">
        <f>_xlfn.XLOOKUP(D1723,Master[Product_Code],Master[Style])</f>
        <v>Partywear</v>
      </c>
      <c r="I1723" s="8" t="str">
        <f>_xlfn.XLOOKUP(D1723,Master[Product_Code],Master[Fabric])</f>
        <v>Polyester</v>
      </c>
      <c r="J1723" s="8" t="str">
        <f>_xlfn.XLOOKUP(D1723,Master[Product_Code],Master[Size])</f>
        <v>S</v>
      </c>
      <c r="K1723" s="8" t="str">
        <f>_xlfn.XLOOKUP(D1723,Master[Product_Code],Master[Color])</f>
        <v>Maroon</v>
      </c>
      <c r="L1723" s="3">
        <f>_xlfn.XLOOKUP(D1723,Master[Product_Code],Master[Selling_Price])</f>
        <v>640</v>
      </c>
    </row>
    <row r="1724" spans="2:12">
      <c r="B1724" s="2" t="s">
        <v>2464</v>
      </c>
      <c r="C1724" s="7">
        <v>45986</v>
      </c>
      <c r="D1724" s="2" t="s">
        <v>1710</v>
      </c>
      <c r="E1724" s="4">
        <v>1</v>
      </c>
      <c r="F1724" s="8" t="str">
        <f>_xlfn.XLOOKUP(D1724,Master[Product_Code],Master[Category])</f>
        <v>Innerwear</v>
      </c>
      <c r="G1724" s="8" t="str">
        <f>_xlfn.XLOOKUP(D1724,Master[Product_Code],Master[Brand])</f>
        <v>Lux</v>
      </c>
      <c r="H1724" s="8" t="str">
        <f>_xlfn.XLOOKUP(D1724,Master[Product_Code],Master[Style])</f>
        <v>Boxer</v>
      </c>
      <c r="I1724" s="8" t="str">
        <f>_xlfn.XLOOKUP(D1724,Master[Product_Code],Master[Fabric])</f>
        <v>Cotton Blend</v>
      </c>
      <c r="J1724" s="8" t="str">
        <f>_xlfn.XLOOKUP(D1724,Master[Product_Code],Master[Size])</f>
        <v>80-85</v>
      </c>
      <c r="K1724" s="8" t="str">
        <f>_xlfn.XLOOKUP(D1724,Master[Product_Code],Master[Color])</f>
        <v>Light Grey</v>
      </c>
      <c r="L1724" s="3">
        <f>_xlfn.XLOOKUP(D1724,Master[Product_Code],Master[Selling_Price])</f>
        <v>120</v>
      </c>
    </row>
    <row r="1725" spans="2:12">
      <c r="B1725" s="2" t="s">
        <v>2465</v>
      </c>
      <c r="C1725" s="7">
        <v>45986</v>
      </c>
      <c r="D1725" s="2" t="s">
        <v>1637</v>
      </c>
      <c r="E1725" s="4">
        <v>1</v>
      </c>
      <c r="F1725" s="8" t="str">
        <f>_xlfn.XLOOKUP(D1725,Master[Product_Code],Master[Category])</f>
        <v>Innerwear</v>
      </c>
      <c r="G1725" s="8" t="str">
        <f>_xlfn.XLOOKUP(D1725,Master[Product_Code],Master[Brand])</f>
        <v>V Star</v>
      </c>
      <c r="H1725" s="8" t="str">
        <f>_xlfn.XLOOKUP(D1725,Master[Product_Code],Master[Style])</f>
        <v>V-Cut</v>
      </c>
      <c r="I1725" s="8" t="str">
        <f>_xlfn.XLOOKUP(D1725,Master[Product_Code],Master[Fabric])</f>
        <v>Cotton</v>
      </c>
      <c r="J1725" s="8" t="str">
        <f>_xlfn.XLOOKUP(D1725,Master[Product_Code],Master[Size])</f>
        <v>105-110</v>
      </c>
      <c r="K1725" s="8" t="str">
        <f>_xlfn.XLOOKUP(D1725,Master[Product_Code],Master[Color])</f>
        <v>Cream</v>
      </c>
      <c r="L1725" s="3">
        <f>_xlfn.XLOOKUP(D1725,Master[Product_Code],Master[Selling_Price])</f>
        <v>100</v>
      </c>
    </row>
    <row r="1726" spans="2:12">
      <c r="B1726" s="2" t="s">
        <v>2465</v>
      </c>
      <c r="C1726" s="7">
        <v>45986</v>
      </c>
      <c r="D1726" s="2" t="s">
        <v>1483</v>
      </c>
      <c r="E1726" s="4">
        <v>1</v>
      </c>
      <c r="F1726" s="8" t="str">
        <f>_xlfn.XLOOKUP(D1726,Master[Product_Code],Master[Category])</f>
        <v>Innerwear</v>
      </c>
      <c r="G1726" s="8" t="str">
        <f>_xlfn.XLOOKUP(D1726,Master[Product_Code],Master[Brand])</f>
        <v>Jockey</v>
      </c>
      <c r="H1726" s="8" t="str">
        <f>_xlfn.XLOOKUP(D1726,Master[Product_Code],Master[Style])</f>
        <v>V-Cut</v>
      </c>
      <c r="I1726" s="8" t="str">
        <f>_xlfn.XLOOKUP(D1726,Master[Product_Code],Master[Fabric])</f>
        <v>Cotton</v>
      </c>
      <c r="J1726" s="8" t="str">
        <f>_xlfn.XLOOKUP(D1726,Master[Product_Code],Master[Size])</f>
        <v>90-100</v>
      </c>
      <c r="K1726" s="8" t="str">
        <f>_xlfn.XLOOKUP(D1726,Master[Product_Code],Master[Color])</f>
        <v>White</v>
      </c>
      <c r="L1726" s="3">
        <f>_xlfn.XLOOKUP(D1726,Master[Product_Code],Master[Selling_Price])</f>
        <v>180</v>
      </c>
    </row>
    <row r="1727" spans="2:12">
      <c r="B1727" s="2" t="s">
        <v>2465</v>
      </c>
      <c r="C1727" s="7">
        <v>45986</v>
      </c>
      <c r="D1727" s="2" t="s">
        <v>233</v>
      </c>
      <c r="E1727" s="4">
        <v>1</v>
      </c>
      <c r="F1727" s="8" t="str">
        <f>_xlfn.XLOOKUP(D1727,Master[Product_Code],Master[Category])</f>
        <v>Shirt</v>
      </c>
      <c r="G1727" s="8" t="str">
        <f>_xlfn.XLOOKUP(D1727,Master[Product_Code],Master[Brand])</f>
        <v>Zara</v>
      </c>
      <c r="H1727" s="8" t="str">
        <f>_xlfn.XLOOKUP(D1727,Master[Product_Code],Master[Style])</f>
        <v>Partywear</v>
      </c>
      <c r="I1727" s="8" t="str">
        <f>_xlfn.XLOOKUP(D1727,Master[Product_Code],Master[Fabric])</f>
        <v>Cotton Blend</v>
      </c>
      <c r="J1727" s="8" t="str">
        <f>_xlfn.XLOOKUP(D1727,Master[Product_Code],Master[Size])</f>
        <v>XL</v>
      </c>
      <c r="K1727" s="8" t="str">
        <f>_xlfn.XLOOKUP(D1727,Master[Product_Code],Master[Color])</f>
        <v>Black</v>
      </c>
      <c r="L1727" s="3">
        <f>_xlfn.XLOOKUP(D1727,Master[Product_Code],Master[Selling_Price])</f>
        <v>850</v>
      </c>
    </row>
    <row r="1728" spans="2:12">
      <c r="B1728" s="2" t="s">
        <v>2466</v>
      </c>
      <c r="C1728" s="7">
        <v>45986</v>
      </c>
      <c r="D1728" s="2" t="s">
        <v>1004</v>
      </c>
      <c r="E1728" s="4">
        <v>1</v>
      </c>
      <c r="F1728" s="8" t="str">
        <f>_xlfn.XLOOKUP(D1728,Master[Product_Code],Master[Category])</f>
        <v>Jeans</v>
      </c>
      <c r="G1728" s="8" t="str">
        <f>_xlfn.XLOOKUP(D1728,Master[Product_Code],Master[Brand])</f>
        <v>Pepe</v>
      </c>
      <c r="H1728" s="8" t="str">
        <f>_xlfn.XLOOKUP(D1728,Master[Product_Code],Master[Style])</f>
        <v>Baggy</v>
      </c>
      <c r="I1728" s="8" t="str">
        <f>_xlfn.XLOOKUP(D1728,Master[Product_Code],Master[Fabric])</f>
        <v>Denim</v>
      </c>
      <c r="J1728" s="8">
        <f>_xlfn.XLOOKUP(D1728,Master[Product_Code],Master[Size])</f>
        <v>30</v>
      </c>
      <c r="K1728" s="8" t="str">
        <f>_xlfn.XLOOKUP(D1728,Master[Product_Code],Master[Color])</f>
        <v>Rust</v>
      </c>
      <c r="L1728" s="3">
        <f>_xlfn.XLOOKUP(D1728,Master[Product_Code],Master[Selling_Price])</f>
        <v>820</v>
      </c>
    </row>
    <row r="1729" spans="2:12">
      <c r="B1729" s="2" t="s">
        <v>2466</v>
      </c>
      <c r="C1729" s="7">
        <v>45986</v>
      </c>
      <c r="D1729" s="2" t="s">
        <v>416</v>
      </c>
      <c r="E1729" s="4">
        <v>1</v>
      </c>
      <c r="F1729" s="8" t="str">
        <f>_xlfn.XLOOKUP(D1729,Master[Product_Code],Master[Category])</f>
        <v>T-Shirt</v>
      </c>
      <c r="G1729" s="8" t="str">
        <f>_xlfn.XLOOKUP(D1729,Master[Product_Code],Master[Brand])</f>
        <v>Urban Monkey</v>
      </c>
      <c r="H1729" s="8" t="str">
        <f>_xlfn.XLOOKUP(D1729,Master[Product_Code],Master[Style])</f>
        <v>3/4 Sleeve</v>
      </c>
      <c r="I1729" s="8" t="str">
        <f>_xlfn.XLOOKUP(D1729,Master[Product_Code],Master[Fabric])</f>
        <v>Cotton Blend</v>
      </c>
      <c r="J1729" s="8" t="str">
        <f>_xlfn.XLOOKUP(D1729,Master[Product_Code],Master[Size])</f>
        <v>S</v>
      </c>
      <c r="K1729" s="8" t="str">
        <f>_xlfn.XLOOKUP(D1729,Master[Product_Code],Master[Color])</f>
        <v>Grey</v>
      </c>
      <c r="L1729" s="3">
        <f>_xlfn.XLOOKUP(D1729,Master[Product_Code],Master[Selling_Price])</f>
        <v>360</v>
      </c>
    </row>
    <row r="1730" spans="2:12">
      <c r="B1730" s="2" t="s">
        <v>2466</v>
      </c>
      <c r="C1730" s="7">
        <v>45986</v>
      </c>
      <c r="D1730" s="2" t="s">
        <v>558</v>
      </c>
      <c r="E1730" s="4">
        <v>1</v>
      </c>
      <c r="F1730" s="8" t="str">
        <f>_xlfn.XLOOKUP(D1730,Master[Product_Code],Master[Category])</f>
        <v>T-Shirt</v>
      </c>
      <c r="G1730" s="8" t="str">
        <f>_xlfn.XLOOKUP(D1730,Master[Product_Code],Master[Brand])</f>
        <v>Roadster</v>
      </c>
      <c r="H1730" s="8" t="str">
        <f>_xlfn.XLOOKUP(D1730,Master[Product_Code],Master[Style])</f>
        <v>3/4 Sleeve</v>
      </c>
      <c r="I1730" s="8" t="str">
        <f>_xlfn.XLOOKUP(D1730,Master[Product_Code],Master[Fabric])</f>
        <v>Cotton</v>
      </c>
      <c r="J1730" s="8" t="str">
        <f>_xlfn.XLOOKUP(D1730,Master[Product_Code],Master[Size])</f>
        <v>XL</v>
      </c>
      <c r="K1730" s="8" t="str">
        <f>_xlfn.XLOOKUP(D1730,Master[Product_Code],Master[Color])</f>
        <v>Brown</v>
      </c>
      <c r="L1730" s="3">
        <f>_xlfn.XLOOKUP(D1730,Master[Product_Code],Master[Selling_Price])</f>
        <v>300</v>
      </c>
    </row>
    <row r="1731" spans="2:12">
      <c r="B1731" s="2" t="s">
        <v>2467</v>
      </c>
      <c r="C1731" s="7">
        <v>45986</v>
      </c>
      <c r="D1731" s="2" t="s">
        <v>1564</v>
      </c>
      <c r="E1731" s="4">
        <v>1</v>
      </c>
      <c r="F1731" s="8" t="str">
        <f>_xlfn.XLOOKUP(D1731,Master[Product_Code],Master[Category])</f>
        <v>Innerwear</v>
      </c>
      <c r="G1731" s="8" t="str">
        <f>_xlfn.XLOOKUP(D1731,Master[Product_Code],Master[Brand])</f>
        <v>Jockey</v>
      </c>
      <c r="H1731" s="8" t="str">
        <f>_xlfn.XLOOKUP(D1731,Master[Product_Code],Master[Style])</f>
        <v>Boxer</v>
      </c>
      <c r="I1731" s="8" t="str">
        <f>_xlfn.XLOOKUP(D1731,Master[Product_Code],Master[Fabric])</f>
        <v>Cotton</v>
      </c>
      <c r="J1731" s="8" t="str">
        <f>_xlfn.XLOOKUP(D1731,Master[Product_Code],Master[Size])</f>
        <v>75-80</v>
      </c>
      <c r="K1731" s="8" t="str">
        <f>_xlfn.XLOOKUP(D1731,Master[Product_Code],Master[Color])</f>
        <v>Dark Green</v>
      </c>
      <c r="L1731" s="3">
        <f>_xlfn.XLOOKUP(D1731,Master[Product_Code],Master[Selling_Price])</f>
        <v>180</v>
      </c>
    </row>
    <row r="1732" spans="2:12">
      <c r="B1732" s="2" t="s">
        <v>2467</v>
      </c>
      <c r="C1732" s="7">
        <v>45986</v>
      </c>
      <c r="D1732" s="2" t="s">
        <v>821</v>
      </c>
      <c r="E1732" s="4">
        <v>1</v>
      </c>
      <c r="F1732" s="8" t="str">
        <f>_xlfn.XLOOKUP(D1732,Master[Product_Code],Master[Category])</f>
        <v>T-Shirt</v>
      </c>
      <c r="G1732" s="8" t="str">
        <f>_xlfn.XLOOKUP(D1732,Master[Product_Code],Master[Brand])</f>
        <v>Zara</v>
      </c>
      <c r="H1732" s="8" t="str">
        <f>_xlfn.XLOOKUP(D1732,Master[Product_Code],Master[Style])</f>
        <v>Hoodie</v>
      </c>
      <c r="I1732" s="8" t="str">
        <f>_xlfn.XLOOKUP(D1732,Master[Product_Code],Master[Fabric])</f>
        <v>Cotton Blend</v>
      </c>
      <c r="J1732" s="8" t="str">
        <f>_xlfn.XLOOKUP(D1732,Master[Product_Code],Master[Size])</f>
        <v>L</v>
      </c>
      <c r="K1732" s="8" t="str">
        <f>_xlfn.XLOOKUP(D1732,Master[Product_Code],Master[Color])</f>
        <v>Black</v>
      </c>
      <c r="L1732" s="3">
        <f>_xlfn.XLOOKUP(D1732,Master[Product_Code],Master[Selling_Price])</f>
        <v>540</v>
      </c>
    </row>
    <row r="1733" spans="2:12">
      <c r="B1733" s="2" t="s">
        <v>2468</v>
      </c>
      <c r="C1733" s="7">
        <v>45986</v>
      </c>
      <c r="D1733" s="2" t="s">
        <v>668</v>
      </c>
      <c r="E1733" s="4">
        <v>1</v>
      </c>
      <c r="F1733" s="8" t="str">
        <f>_xlfn.XLOOKUP(D1733,Master[Product_Code],Master[Category])</f>
        <v>T-Shirt</v>
      </c>
      <c r="G1733" s="8" t="str">
        <f>_xlfn.XLOOKUP(D1733,Master[Product_Code],Master[Brand])</f>
        <v>Campus</v>
      </c>
      <c r="H1733" s="8" t="str">
        <f>_xlfn.XLOOKUP(D1733,Master[Product_Code],Master[Style])</f>
        <v>Half Sleeve</v>
      </c>
      <c r="I1733" s="8" t="str">
        <f>_xlfn.XLOOKUP(D1733,Master[Product_Code],Master[Fabric])</f>
        <v>Cotton Blend</v>
      </c>
      <c r="J1733" s="8" t="str">
        <f>_xlfn.XLOOKUP(D1733,Master[Product_Code],Master[Size])</f>
        <v>XL</v>
      </c>
      <c r="K1733" s="8" t="str">
        <f>_xlfn.XLOOKUP(D1733,Master[Product_Code],Master[Color])</f>
        <v>Sky Blue</v>
      </c>
      <c r="L1733" s="3">
        <f>_xlfn.XLOOKUP(D1733,Master[Product_Code],Master[Selling_Price])</f>
        <v>710</v>
      </c>
    </row>
    <row r="1734" spans="2:12">
      <c r="B1734" s="2" t="s">
        <v>2468</v>
      </c>
      <c r="C1734" s="7">
        <v>45986</v>
      </c>
      <c r="D1734" s="2" t="s">
        <v>1514</v>
      </c>
      <c r="E1734" s="4">
        <v>1</v>
      </c>
      <c r="F1734" s="8" t="str">
        <f>_xlfn.XLOOKUP(D1734,Master[Product_Code],Master[Category])</f>
        <v>Innerwear</v>
      </c>
      <c r="G1734" s="8" t="str">
        <f>_xlfn.XLOOKUP(D1734,Master[Product_Code],Master[Brand])</f>
        <v>Jockey</v>
      </c>
      <c r="H1734" s="8" t="str">
        <f>_xlfn.XLOOKUP(D1734,Master[Product_Code],Master[Style])</f>
        <v>Boxer</v>
      </c>
      <c r="I1734" s="8" t="str">
        <f>_xlfn.XLOOKUP(D1734,Master[Product_Code],Master[Fabric])</f>
        <v>Cotton</v>
      </c>
      <c r="J1734" s="8" t="str">
        <f>_xlfn.XLOOKUP(D1734,Master[Product_Code],Master[Size])</f>
        <v>105-110</v>
      </c>
      <c r="K1734" s="8" t="str">
        <f>_xlfn.XLOOKUP(D1734,Master[Product_Code],Master[Color])</f>
        <v>Grey</v>
      </c>
      <c r="L1734" s="3">
        <f>_xlfn.XLOOKUP(D1734,Master[Product_Code],Master[Selling_Price])</f>
        <v>170</v>
      </c>
    </row>
    <row r="1735" spans="2:12">
      <c r="B1735" s="2" t="s">
        <v>2469</v>
      </c>
      <c r="C1735" s="7">
        <v>45986</v>
      </c>
      <c r="D1735" s="2" t="s">
        <v>521</v>
      </c>
      <c r="E1735" s="4">
        <v>1</v>
      </c>
      <c r="F1735" s="8" t="str">
        <f>_xlfn.XLOOKUP(D1735,Master[Product_Code],Master[Category])</f>
        <v>T-Shirt</v>
      </c>
      <c r="G1735" s="8" t="str">
        <f>_xlfn.XLOOKUP(D1735,Master[Product_Code],Master[Brand])</f>
        <v>Zara</v>
      </c>
      <c r="H1735" s="8" t="str">
        <f>_xlfn.XLOOKUP(D1735,Master[Product_Code],Master[Style])</f>
        <v>Full Sleeve</v>
      </c>
      <c r="I1735" s="8" t="str">
        <f>_xlfn.XLOOKUP(D1735,Master[Product_Code],Master[Fabric])</f>
        <v>Cotton</v>
      </c>
      <c r="J1735" s="8" t="str">
        <f>_xlfn.XLOOKUP(D1735,Master[Product_Code],Master[Size])</f>
        <v>XXL</v>
      </c>
      <c r="K1735" s="8" t="str">
        <f>_xlfn.XLOOKUP(D1735,Master[Product_Code],Master[Color])</f>
        <v>Rust</v>
      </c>
      <c r="L1735" s="3">
        <f>_xlfn.XLOOKUP(D1735,Master[Product_Code],Master[Selling_Price])</f>
        <v>270</v>
      </c>
    </row>
    <row r="1736" spans="2:12">
      <c r="B1736" s="2" t="s">
        <v>2469</v>
      </c>
      <c r="C1736" s="7">
        <v>45986</v>
      </c>
      <c r="D1736" s="2" t="s">
        <v>1275</v>
      </c>
      <c r="E1736" s="4">
        <v>1</v>
      </c>
      <c r="F1736" s="8" t="str">
        <f>_xlfn.XLOOKUP(D1736,Master[Product_Code],Master[Category])</f>
        <v>Pants</v>
      </c>
      <c r="G1736" s="8" t="str">
        <f>_xlfn.XLOOKUP(D1736,Master[Product_Code],Master[Brand])</f>
        <v>Van Heusen</v>
      </c>
      <c r="H1736" s="8" t="str">
        <f>_xlfn.XLOOKUP(D1736,Master[Product_Code],Master[Style])</f>
        <v>Boot Cut</v>
      </c>
      <c r="I1736" s="8" t="str">
        <f>_xlfn.XLOOKUP(D1736,Master[Product_Code],Master[Fabric])</f>
        <v>Cotton</v>
      </c>
      <c r="J1736" s="8">
        <f>_xlfn.XLOOKUP(D1736,Master[Product_Code],Master[Size])</f>
        <v>38</v>
      </c>
      <c r="K1736" s="8" t="str">
        <f>_xlfn.XLOOKUP(D1736,Master[Product_Code],Master[Color])</f>
        <v>Peach</v>
      </c>
      <c r="L1736" s="3">
        <f>_xlfn.XLOOKUP(D1736,Master[Product_Code],Master[Selling_Price])</f>
        <v>880</v>
      </c>
    </row>
    <row r="1737" spans="2:12">
      <c r="B1737" s="2" t="s">
        <v>2470</v>
      </c>
      <c r="C1737" s="7">
        <v>45986</v>
      </c>
      <c r="D1737" s="2" t="s">
        <v>1529</v>
      </c>
      <c r="E1737" s="4">
        <v>1</v>
      </c>
      <c r="F1737" s="8" t="str">
        <f>_xlfn.XLOOKUP(D1737,Master[Product_Code],Master[Category])</f>
        <v>Innerwear</v>
      </c>
      <c r="G1737" s="8" t="str">
        <f>_xlfn.XLOOKUP(D1737,Master[Product_Code],Master[Brand])</f>
        <v>Rupa</v>
      </c>
      <c r="H1737" s="8" t="str">
        <f>_xlfn.XLOOKUP(D1737,Master[Product_Code],Master[Style])</f>
        <v>Boxer</v>
      </c>
      <c r="I1737" s="8" t="str">
        <f>_xlfn.XLOOKUP(D1737,Master[Product_Code],Master[Fabric])</f>
        <v>Cotton</v>
      </c>
      <c r="J1737" s="8" t="str">
        <f>_xlfn.XLOOKUP(D1737,Master[Product_Code],Master[Size])</f>
        <v>90-100</v>
      </c>
      <c r="K1737" s="8" t="str">
        <f>_xlfn.XLOOKUP(D1737,Master[Product_Code],Master[Color])</f>
        <v>Beige</v>
      </c>
      <c r="L1737" s="3">
        <f>_xlfn.XLOOKUP(D1737,Master[Product_Code],Master[Selling_Price])</f>
        <v>190</v>
      </c>
    </row>
    <row r="1738" spans="2:12">
      <c r="B1738" s="2" t="s">
        <v>2471</v>
      </c>
      <c r="C1738" s="7">
        <v>45986</v>
      </c>
      <c r="D1738" s="2" t="s">
        <v>1316</v>
      </c>
      <c r="E1738" s="4">
        <v>1</v>
      </c>
      <c r="F1738" s="8" t="str">
        <f>_xlfn.XLOOKUP(D1738,Master[Product_Code],Master[Category])</f>
        <v>Pants</v>
      </c>
      <c r="G1738" s="8" t="str">
        <f>_xlfn.XLOOKUP(D1738,Master[Product_Code],Master[Brand])</f>
        <v>Louis Philippe</v>
      </c>
      <c r="H1738" s="8" t="str">
        <f>_xlfn.XLOOKUP(D1738,Master[Product_Code],Master[Style])</f>
        <v>Kurka</v>
      </c>
      <c r="I1738" s="8" t="str">
        <f>_xlfn.XLOOKUP(D1738,Master[Product_Code],Master[Fabric])</f>
        <v>Lycra</v>
      </c>
      <c r="J1738" s="8">
        <f>_xlfn.XLOOKUP(D1738,Master[Product_Code],Master[Size])</f>
        <v>34</v>
      </c>
      <c r="K1738" s="8" t="str">
        <f>_xlfn.XLOOKUP(D1738,Master[Product_Code],Master[Color])</f>
        <v>Light Grey</v>
      </c>
      <c r="L1738" s="3">
        <f>_xlfn.XLOOKUP(D1738,Master[Product_Code],Master[Selling_Price])</f>
        <v>820</v>
      </c>
    </row>
    <row r="1739" spans="2:12">
      <c r="B1739" s="2" t="s">
        <v>2471</v>
      </c>
      <c r="C1739" s="7">
        <v>45986</v>
      </c>
      <c r="D1739" s="2" t="s">
        <v>807</v>
      </c>
      <c r="E1739" s="4">
        <v>1</v>
      </c>
      <c r="F1739" s="8" t="str">
        <f>_xlfn.XLOOKUP(D1739,Master[Product_Code],Master[Category])</f>
        <v>T-Shirt</v>
      </c>
      <c r="G1739" s="8" t="str">
        <f>_xlfn.XLOOKUP(D1739,Master[Product_Code],Master[Brand])</f>
        <v>Zara</v>
      </c>
      <c r="H1739" s="8" t="str">
        <f>_xlfn.XLOOKUP(D1739,Master[Product_Code],Master[Style])</f>
        <v>Hoodie</v>
      </c>
      <c r="I1739" s="8" t="str">
        <f>_xlfn.XLOOKUP(D1739,Master[Product_Code],Master[Fabric])</f>
        <v>Cotton Blend</v>
      </c>
      <c r="J1739" s="8" t="str">
        <f>_xlfn.XLOOKUP(D1739,Master[Product_Code],Master[Size])</f>
        <v>L</v>
      </c>
      <c r="K1739" s="8" t="str">
        <f>_xlfn.XLOOKUP(D1739,Master[Product_Code],Master[Color])</f>
        <v>Sky Blue</v>
      </c>
      <c r="L1739" s="3">
        <f>_xlfn.XLOOKUP(D1739,Master[Product_Code],Master[Selling_Price])</f>
        <v>610</v>
      </c>
    </row>
    <row r="1740" spans="2:12">
      <c r="B1740" s="2" t="s">
        <v>2471</v>
      </c>
      <c r="C1740" s="7">
        <v>45986</v>
      </c>
      <c r="D1740" s="2" t="s">
        <v>801</v>
      </c>
      <c r="E1740" s="4">
        <v>1</v>
      </c>
      <c r="F1740" s="8" t="str">
        <f>_xlfn.XLOOKUP(D1740,Master[Product_Code],Master[Category])</f>
        <v>T-Shirt</v>
      </c>
      <c r="G1740" s="8" t="str">
        <f>_xlfn.XLOOKUP(D1740,Master[Product_Code],Master[Brand])</f>
        <v>Zara</v>
      </c>
      <c r="H1740" s="8" t="str">
        <f>_xlfn.XLOOKUP(D1740,Master[Product_Code],Master[Style])</f>
        <v>Hoodie</v>
      </c>
      <c r="I1740" s="8" t="str">
        <f>_xlfn.XLOOKUP(D1740,Master[Product_Code],Master[Fabric])</f>
        <v>Poly Cotton</v>
      </c>
      <c r="J1740" s="8" t="str">
        <f>_xlfn.XLOOKUP(D1740,Master[Product_Code],Master[Size])</f>
        <v>XXL</v>
      </c>
      <c r="K1740" s="8" t="str">
        <f>_xlfn.XLOOKUP(D1740,Master[Product_Code],Master[Color])</f>
        <v>Charcoal</v>
      </c>
      <c r="L1740" s="3">
        <f>_xlfn.XLOOKUP(D1740,Master[Product_Code],Master[Selling_Price])</f>
        <v>350</v>
      </c>
    </row>
    <row r="1741" spans="2:12">
      <c r="B1741" s="2" t="s">
        <v>2471</v>
      </c>
      <c r="C1741" s="7">
        <v>45986</v>
      </c>
      <c r="D1741" s="2" t="s">
        <v>459</v>
      </c>
      <c r="E1741" s="4">
        <v>1</v>
      </c>
      <c r="F1741" s="8" t="str">
        <f>_xlfn.XLOOKUP(D1741,Master[Product_Code],Master[Category])</f>
        <v>T-Shirt</v>
      </c>
      <c r="G1741" s="8" t="str">
        <f>_xlfn.XLOOKUP(D1741,Master[Product_Code],Master[Brand])</f>
        <v>Roadster</v>
      </c>
      <c r="H1741" s="8" t="str">
        <f>_xlfn.XLOOKUP(D1741,Master[Product_Code],Master[Style])</f>
        <v>Full Sleeve</v>
      </c>
      <c r="I1741" s="8" t="str">
        <f>_xlfn.XLOOKUP(D1741,Master[Product_Code],Master[Fabric])</f>
        <v>Cotton Blend</v>
      </c>
      <c r="J1741" s="8" t="str">
        <f>_xlfn.XLOOKUP(D1741,Master[Product_Code],Master[Size])</f>
        <v>L</v>
      </c>
      <c r="K1741" s="8" t="str">
        <f>_xlfn.XLOOKUP(D1741,Master[Product_Code],Master[Color])</f>
        <v>Olive</v>
      </c>
      <c r="L1741" s="3">
        <f>_xlfn.XLOOKUP(D1741,Master[Product_Code],Master[Selling_Price])</f>
        <v>440</v>
      </c>
    </row>
    <row r="1742" spans="2:12">
      <c r="B1742" s="2" t="s">
        <v>2472</v>
      </c>
      <c r="C1742" s="7">
        <v>45986</v>
      </c>
      <c r="D1742" s="2" t="s">
        <v>1517</v>
      </c>
      <c r="E1742" s="4">
        <v>1</v>
      </c>
      <c r="F1742" s="8" t="str">
        <f>_xlfn.XLOOKUP(D1742,Master[Product_Code],Master[Category])</f>
        <v>Innerwear</v>
      </c>
      <c r="G1742" s="8" t="str">
        <f>_xlfn.XLOOKUP(D1742,Master[Product_Code],Master[Brand])</f>
        <v>Jockey</v>
      </c>
      <c r="H1742" s="8" t="str">
        <f>_xlfn.XLOOKUP(D1742,Master[Product_Code],Master[Style])</f>
        <v>Boxer</v>
      </c>
      <c r="I1742" s="8" t="str">
        <f>_xlfn.XLOOKUP(D1742,Master[Product_Code],Master[Fabric])</f>
        <v>Cotton Blend</v>
      </c>
      <c r="J1742" s="8" t="str">
        <f>_xlfn.XLOOKUP(D1742,Master[Product_Code],Master[Size])</f>
        <v>100-105</v>
      </c>
      <c r="K1742" s="8" t="str">
        <f>_xlfn.XLOOKUP(D1742,Master[Product_Code],Master[Color])</f>
        <v>Royal Blue</v>
      </c>
      <c r="L1742" s="3">
        <f>_xlfn.XLOOKUP(D1742,Master[Product_Code],Master[Selling_Price])</f>
        <v>130</v>
      </c>
    </row>
    <row r="1743" spans="2:12">
      <c r="B1743" s="2" t="s">
        <v>2472</v>
      </c>
      <c r="C1743" s="7">
        <v>45986</v>
      </c>
      <c r="D1743" s="2" t="s">
        <v>595</v>
      </c>
      <c r="E1743" s="4">
        <v>1</v>
      </c>
      <c r="F1743" s="8" t="str">
        <f>_xlfn.XLOOKUP(D1743,Master[Product_Code],Master[Category])</f>
        <v>T-Shirt</v>
      </c>
      <c r="G1743" s="8" t="str">
        <f>_xlfn.XLOOKUP(D1743,Master[Product_Code],Master[Brand])</f>
        <v>Urban Monkey</v>
      </c>
      <c r="H1743" s="8" t="str">
        <f>_xlfn.XLOOKUP(D1743,Master[Product_Code],Master[Style])</f>
        <v>Sleeveless</v>
      </c>
      <c r="I1743" s="8" t="str">
        <f>_xlfn.XLOOKUP(D1743,Master[Product_Code],Master[Fabric])</f>
        <v>Poly Cotton</v>
      </c>
      <c r="J1743" s="8" t="str">
        <f>_xlfn.XLOOKUP(D1743,Master[Product_Code],Master[Size])</f>
        <v>M</v>
      </c>
      <c r="K1743" s="8" t="str">
        <f>_xlfn.XLOOKUP(D1743,Master[Product_Code],Master[Color])</f>
        <v>Olive</v>
      </c>
      <c r="L1743" s="3">
        <f>_xlfn.XLOOKUP(D1743,Master[Product_Code],Master[Selling_Price])</f>
        <v>280</v>
      </c>
    </row>
    <row r="1744" spans="2:12">
      <c r="B1744" s="2" t="s">
        <v>2472</v>
      </c>
      <c r="C1744" s="7">
        <v>45986</v>
      </c>
      <c r="D1744" s="2" t="s">
        <v>1086</v>
      </c>
      <c r="E1744" s="4">
        <v>1</v>
      </c>
      <c r="F1744" s="8" t="str">
        <f>_xlfn.XLOOKUP(D1744,Master[Product_Code],Master[Category])</f>
        <v>Jeans</v>
      </c>
      <c r="G1744" s="8" t="str">
        <f>_xlfn.XLOOKUP(D1744,Master[Product_Code],Master[Brand])</f>
        <v>Levis</v>
      </c>
      <c r="H1744" s="8" t="str">
        <f>_xlfn.XLOOKUP(D1744,Master[Product_Code],Master[Style])</f>
        <v>Mom Fit</v>
      </c>
      <c r="I1744" s="8" t="str">
        <f>_xlfn.XLOOKUP(D1744,Master[Product_Code],Master[Fabric])</f>
        <v>Denim</v>
      </c>
      <c r="J1744" s="8">
        <f>_xlfn.XLOOKUP(D1744,Master[Product_Code],Master[Size])</f>
        <v>44</v>
      </c>
      <c r="K1744" s="8" t="str">
        <f>_xlfn.XLOOKUP(D1744,Master[Product_Code],Master[Color])</f>
        <v>Olive</v>
      </c>
      <c r="L1744" s="3">
        <f>_xlfn.XLOOKUP(D1744,Master[Product_Code],Master[Selling_Price])</f>
        <v>1040</v>
      </c>
    </row>
    <row r="1745" spans="2:12">
      <c r="B1745" s="2" t="s">
        <v>2473</v>
      </c>
      <c r="C1745" s="7">
        <v>45986</v>
      </c>
      <c r="D1745" s="2" t="s">
        <v>1560</v>
      </c>
      <c r="E1745" s="4">
        <v>1</v>
      </c>
      <c r="F1745" s="8" t="str">
        <f>_xlfn.XLOOKUP(D1745,Master[Product_Code],Master[Category])</f>
        <v>Innerwear</v>
      </c>
      <c r="G1745" s="8" t="str">
        <f>_xlfn.XLOOKUP(D1745,Master[Product_Code],Master[Brand])</f>
        <v>Jockey</v>
      </c>
      <c r="H1745" s="8" t="str">
        <f>_xlfn.XLOOKUP(D1745,Master[Product_Code],Master[Style])</f>
        <v>Boxer</v>
      </c>
      <c r="I1745" s="8" t="str">
        <f>_xlfn.XLOOKUP(D1745,Master[Product_Code],Master[Fabric])</f>
        <v>Cotton</v>
      </c>
      <c r="J1745" s="8" t="str">
        <f>_xlfn.XLOOKUP(D1745,Master[Product_Code],Master[Size])</f>
        <v>100-105</v>
      </c>
      <c r="K1745" s="8" t="str">
        <f>_xlfn.XLOOKUP(D1745,Master[Product_Code],Master[Color])</f>
        <v>Brown</v>
      </c>
      <c r="L1745" s="3">
        <f>_xlfn.XLOOKUP(D1745,Master[Product_Code],Master[Selling_Price])</f>
        <v>140</v>
      </c>
    </row>
    <row r="1746" spans="2:12">
      <c r="B1746" s="2" t="s">
        <v>2473</v>
      </c>
      <c r="C1746" s="7">
        <v>45986</v>
      </c>
      <c r="D1746" s="2" t="s">
        <v>235</v>
      </c>
      <c r="E1746" s="4">
        <v>1</v>
      </c>
      <c r="F1746" s="8" t="str">
        <f>_xlfn.XLOOKUP(D1746,Master[Product_Code],Master[Category])</f>
        <v>Shirt</v>
      </c>
      <c r="G1746" s="8" t="str">
        <f>_xlfn.XLOOKUP(D1746,Master[Product_Code],Master[Brand])</f>
        <v>L7</v>
      </c>
      <c r="H1746" s="8" t="str">
        <f>_xlfn.XLOOKUP(D1746,Master[Product_Code],Master[Style])</f>
        <v>Casual</v>
      </c>
      <c r="I1746" s="8" t="str">
        <f>_xlfn.XLOOKUP(D1746,Master[Product_Code],Master[Fabric])</f>
        <v>Lycra</v>
      </c>
      <c r="J1746" s="8" t="str">
        <f>_xlfn.XLOOKUP(D1746,Master[Product_Code],Master[Size])</f>
        <v>S</v>
      </c>
      <c r="K1746" s="8" t="str">
        <f>_xlfn.XLOOKUP(D1746,Master[Product_Code],Master[Color])</f>
        <v>Maroon</v>
      </c>
      <c r="L1746" s="3">
        <f>_xlfn.XLOOKUP(D1746,Master[Product_Code],Master[Selling_Price])</f>
        <v>950</v>
      </c>
    </row>
    <row r="1747" spans="2:12">
      <c r="B1747" s="2" t="s">
        <v>2474</v>
      </c>
      <c r="C1747" s="7">
        <v>45987</v>
      </c>
      <c r="D1747" s="2" t="s">
        <v>918</v>
      </c>
      <c r="E1747" s="4">
        <v>1</v>
      </c>
      <c r="F1747" s="8" t="str">
        <f>_xlfn.XLOOKUP(D1747,Master[Product_Code],Master[Category])</f>
        <v>Jeans</v>
      </c>
      <c r="G1747" s="8" t="str">
        <f>_xlfn.XLOOKUP(D1747,Master[Product_Code],Master[Brand])</f>
        <v>Levis</v>
      </c>
      <c r="H1747" s="8" t="str">
        <f>_xlfn.XLOOKUP(D1747,Master[Product_Code],Master[Style])</f>
        <v>Jogger</v>
      </c>
      <c r="I1747" s="8" t="str">
        <f>_xlfn.XLOOKUP(D1747,Master[Product_Code],Master[Fabric])</f>
        <v>Denim</v>
      </c>
      <c r="J1747" s="8">
        <f>_xlfn.XLOOKUP(D1747,Master[Product_Code],Master[Size])</f>
        <v>44</v>
      </c>
      <c r="K1747" s="8" t="str">
        <f>_xlfn.XLOOKUP(D1747,Master[Product_Code],Master[Color])</f>
        <v>Rust</v>
      </c>
      <c r="L1747" s="3">
        <f>_xlfn.XLOOKUP(D1747,Master[Product_Code],Master[Selling_Price])</f>
        <v>800</v>
      </c>
    </row>
    <row r="1748" spans="2:12">
      <c r="B1748" s="2" t="s">
        <v>2474</v>
      </c>
      <c r="C1748" s="7">
        <v>45987</v>
      </c>
      <c r="D1748" s="2" t="s">
        <v>1201</v>
      </c>
      <c r="E1748" s="4">
        <v>1</v>
      </c>
      <c r="F1748" s="8" t="str">
        <f>_xlfn.XLOOKUP(D1748,Master[Product_Code],Master[Category])</f>
        <v>Pants</v>
      </c>
      <c r="G1748" s="8" t="str">
        <f>_xlfn.XLOOKUP(D1748,Master[Product_Code],Master[Brand])</f>
        <v>Peter England</v>
      </c>
      <c r="H1748" s="8" t="str">
        <f>_xlfn.XLOOKUP(D1748,Master[Product_Code],Master[Style])</f>
        <v>Korean</v>
      </c>
      <c r="I1748" s="8" t="str">
        <f>_xlfn.XLOOKUP(D1748,Master[Product_Code],Master[Fabric])</f>
        <v>Lycra</v>
      </c>
      <c r="J1748" s="8">
        <f>_xlfn.XLOOKUP(D1748,Master[Product_Code],Master[Size])</f>
        <v>40</v>
      </c>
      <c r="K1748" s="8" t="str">
        <f>_xlfn.XLOOKUP(D1748,Master[Product_Code],Master[Color])</f>
        <v>Sky Blue</v>
      </c>
      <c r="L1748" s="3">
        <f>_xlfn.XLOOKUP(D1748,Master[Product_Code],Master[Selling_Price])</f>
        <v>830</v>
      </c>
    </row>
    <row r="1749" spans="2:12">
      <c r="B1749" s="2" t="s">
        <v>2475</v>
      </c>
      <c r="C1749" s="7">
        <v>45987</v>
      </c>
      <c r="D1749" s="2" t="s">
        <v>1716</v>
      </c>
      <c r="E1749" s="4">
        <v>1</v>
      </c>
      <c r="F1749" s="8" t="str">
        <f>_xlfn.XLOOKUP(D1749,Master[Product_Code],Master[Category])</f>
        <v>Innerwear</v>
      </c>
      <c r="G1749" s="8" t="str">
        <f>_xlfn.XLOOKUP(D1749,Master[Product_Code],Master[Brand])</f>
        <v>V Star</v>
      </c>
      <c r="H1749" s="8" t="str">
        <f>_xlfn.XLOOKUP(D1749,Master[Product_Code],Master[Style])</f>
        <v>V-Cut</v>
      </c>
      <c r="I1749" s="8" t="str">
        <f>_xlfn.XLOOKUP(D1749,Master[Product_Code],Master[Fabric])</f>
        <v>Cotton Blend</v>
      </c>
      <c r="J1749" s="8" t="str">
        <f>_xlfn.XLOOKUP(D1749,Master[Product_Code],Master[Size])</f>
        <v>75-80</v>
      </c>
      <c r="K1749" s="8" t="str">
        <f>_xlfn.XLOOKUP(D1749,Master[Product_Code],Master[Color])</f>
        <v>Teal</v>
      </c>
      <c r="L1749" s="3">
        <f>_xlfn.XLOOKUP(D1749,Master[Product_Code],Master[Selling_Price])</f>
        <v>150</v>
      </c>
    </row>
    <row r="1750" spans="2:12">
      <c r="B1750" s="2" t="s">
        <v>2475</v>
      </c>
      <c r="C1750" s="7">
        <v>45987</v>
      </c>
      <c r="D1750" s="2" t="s">
        <v>170</v>
      </c>
      <c r="E1750" s="4">
        <v>1</v>
      </c>
      <c r="F1750" s="8" t="str">
        <f>_xlfn.XLOOKUP(D1750,Master[Product_Code],Master[Category])</f>
        <v>Shirt</v>
      </c>
      <c r="G1750" s="8" t="str">
        <f>_xlfn.XLOOKUP(D1750,Master[Product_Code],Master[Brand])</f>
        <v>Zara</v>
      </c>
      <c r="H1750" s="8" t="str">
        <f>_xlfn.XLOOKUP(D1750,Master[Product_Code],Master[Style])</f>
        <v>Partywear</v>
      </c>
      <c r="I1750" s="8" t="str">
        <f>_xlfn.XLOOKUP(D1750,Master[Product_Code],Master[Fabric])</f>
        <v>Cotton</v>
      </c>
      <c r="J1750" s="8" t="str">
        <f>_xlfn.XLOOKUP(D1750,Master[Product_Code],Master[Size])</f>
        <v>M</v>
      </c>
      <c r="K1750" s="8" t="str">
        <f>_xlfn.XLOOKUP(D1750,Master[Product_Code],Master[Color])</f>
        <v>Grey</v>
      </c>
      <c r="L1750" s="3">
        <f>_xlfn.XLOOKUP(D1750,Master[Product_Code],Master[Selling_Price])</f>
        <v>740</v>
      </c>
    </row>
    <row r="1751" spans="2:12">
      <c r="B1751" s="2" t="s">
        <v>2476</v>
      </c>
      <c r="C1751" s="7">
        <v>45987</v>
      </c>
      <c r="D1751" s="2" t="s">
        <v>634</v>
      </c>
      <c r="E1751" s="4">
        <v>1</v>
      </c>
      <c r="F1751" s="8" t="str">
        <f>_xlfn.XLOOKUP(D1751,Master[Product_Code],Master[Category])</f>
        <v>T-Shirt</v>
      </c>
      <c r="G1751" s="8" t="str">
        <f>_xlfn.XLOOKUP(D1751,Master[Product_Code],Master[Brand])</f>
        <v>Zara</v>
      </c>
      <c r="H1751" s="8" t="str">
        <f>_xlfn.XLOOKUP(D1751,Master[Product_Code],Master[Style])</f>
        <v>Full Sleeve</v>
      </c>
      <c r="I1751" s="8" t="str">
        <f>_xlfn.XLOOKUP(D1751,Master[Product_Code],Master[Fabric])</f>
        <v>Poly Cotton</v>
      </c>
      <c r="J1751" s="8" t="str">
        <f>_xlfn.XLOOKUP(D1751,Master[Product_Code],Master[Size])</f>
        <v>M</v>
      </c>
      <c r="K1751" s="8" t="str">
        <f>_xlfn.XLOOKUP(D1751,Master[Product_Code],Master[Color])</f>
        <v>Charcoal</v>
      </c>
      <c r="L1751" s="3">
        <f>_xlfn.XLOOKUP(D1751,Master[Product_Code],Master[Selling_Price])</f>
        <v>480</v>
      </c>
    </row>
    <row r="1752" spans="2:12">
      <c r="B1752" s="2" t="s">
        <v>2476</v>
      </c>
      <c r="C1752" s="7">
        <v>45987</v>
      </c>
      <c r="D1752" s="2" t="s">
        <v>329</v>
      </c>
      <c r="E1752" s="4">
        <v>1</v>
      </c>
      <c r="F1752" s="8" t="str">
        <f>_xlfn.XLOOKUP(D1752,Master[Product_Code],Master[Category])</f>
        <v>Shirt</v>
      </c>
      <c r="G1752" s="8" t="str">
        <f>_xlfn.XLOOKUP(D1752,Master[Product_Code],Master[Brand])</f>
        <v>Thailand</v>
      </c>
      <c r="H1752" s="8" t="str">
        <f>_xlfn.XLOOKUP(D1752,Master[Product_Code],Master[Style])</f>
        <v>Partywear</v>
      </c>
      <c r="I1752" s="8" t="str">
        <f>_xlfn.XLOOKUP(D1752,Master[Product_Code],Master[Fabric])</f>
        <v>Cotton</v>
      </c>
      <c r="J1752" s="8" t="str">
        <f>_xlfn.XLOOKUP(D1752,Master[Product_Code],Master[Size])</f>
        <v>XXL</v>
      </c>
      <c r="K1752" s="8" t="str">
        <f>_xlfn.XLOOKUP(D1752,Master[Product_Code],Master[Color])</f>
        <v>Olive</v>
      </c>
      <c r="L1752" s="3">
        <f>_xlfn.XLOOKUP(D1752,Master[Product_Code],Master[Selling_Price])</f>
        <v>850</v>
      </c>
    </row>
    <row r="1753" spans="2:12">
      <c r="B1753" s="2" t="s">
        <v>2476</v>
      </c>
      <c r="C1753" s="7">
        <v>45987</v>
      </c>
      <c r="D1753" s="2" t="s">
        <v>1603</v>
      </c>
      <c r="E1753" s="4">
        <v>1</v>
      </c>
      <c r="F1753" s="8" t="str">
        <f>_xlfn.XLOOKUP(D1753,Master[Product_Code],Master[Category])</f>
        <v>Innerwear</v>
      </c>
      <c r="G1753" s="8" t="str">
        <f>_xlfn.XLOOKUP(D1753,Master[Product_Code],Master[Brand])</f>
        <v>V Star</v>
      </c>
      <c r="H1753" s="8" t="str">
        <f>_xlfn.XLOOKUP(D1753,Master[Product_Code],Master[Style])</f>
        <v>V-Cut</v>
      </c>
      <c r="I1753" s="8" t="str">
        <f>_xlfn.XLOOKUP(D1753,Master[Product_Code],Master[Fabric])</f>
        <v>Cotton</v>
      </c>
      <c r="J1753" s="8" t="str">
        <f>_xlfn.XLOOKUP(D1753,Master[Product_Code],Master[Size])</f>
        <v>105-110</v>
      </c>
      <c r="K1753" s="8" t="str">
        <f>_xlfn.XLOOKUP(D1753,Master[Product_Code],Master[Color])</f>
        <v>Brown</v>
      </c>
      <c r="L1753" s="3">
        <f>_xlfn.XLOOKUP(D1753,Master[Product_Code],Master[Selling_Price])</f>
        <v>130</v>
      </c>
    </row>
    <row r="1754" spans="2:12">
      <c r="B1754" s="2" t="s">
        <v>2476</v>
      </c>
      <c r="C1754" s="7">
        <v>45987</v>
      </c>
      <c r="D1754" s="2" t="s">
        <v>649</v>
      </c>
      <c r="E1754" s="4">
        <v>1</v>
      </c>
      <c r="F1754" s="8" t="str">
        <f>_xlfn.XLOOKUP(D1754,Master[Product_Code],Master[Category])</f>
        <v>T-Shirt</v>
      </c>
      <c r="G1754" s="8" t="str">
        <f>_xlfn.XLOOKUP(D1754,Master[Product_Code],Master[Brand])</f>
        <v>Urban Monkey</v>
      </c>
      <c r="H1754" s="8" t="str">
        <f>_xlfn.XLOOKUP(D1754,Master[Product_Code],Master[Style])</f>
        <v>3/4 Sleeve</v>
      </c>
      <c r="I1754" s="8" t="str">
        <f>_xlfn.XLOOKUP(D1754,Master[Product_Code],Master[Fabric])</f>
        <v>Cotton Blend</v>
      </c>
      <c r="J1754" s="8" t="str">
        <f>_xlfn.XLOOKUP(D1754,Master[Product_Code],Master[Size])</f>
        <v>L</v>
      </c>
      <c r="K1754" s="8" t="str">
        <f>_xlfn.XLOOKUP(D1754,Master[Product_Code],Master[Color])</f>
        <v>Light Grey</v>
      </c>
      <c r="L1754" s="3">
        <f>_xlfn.XLOOKUP(D1754,Master[Product_Code],Master[Selling_Price])</f>
        <v>510</v>
      </c>
    </row>
    <row r="1755" spans="2:12">
      <c r="B1755" s="2" t="s">
        <v>2477</v>
      </c>
      <c r="C1755" s="7">
        <v>45987</v>
      </c>
      <c r="D1755" s="2" t="s">
        <v>1539</v>
      </c>
      <c r="E1755" s="4">
        <v>1</v>
      </c>
      <c r="F1755" s="8" t="str">
        <f>_xlfn.XLOOKUP(D1755,Master[Product_Code],Master[Category])</f>
        <v>Innerwear</v>
      </c>
      <c r="G1755" s="8" t="str">
        <f>_xlfn.XLOOKUP(D1755,Master[Product_Code],Master[Brand])</f>
        <v>Lux</v>
      </c>
      <c r="H1755" s="8" t="str">
        <f>_xlfn.XLOOKUP(D1755,Master[Product_Code],Master[Style])</f>
        <v>Boxer</v>
      </c>
      <c r="I1755" s="8" t="str">
        <f>_xlfn.XLOOKUP(D1755,Master[Product_Code],Master[Fabric])</f>
        <v>Cotton</v>
      </c>
      <c r="J1755" s="8" t="str">
        <f>_xlfn.XLOOKUP(D1755,Master[Product_Code],Master[Size])</f>
        <v>105-110</v>
      </c>
      <c r="K1755" s="8" t="str">
        <f>_xlfn.XLOOKUP(D1755,Master[Product_Code],Master[Color])</f>
        <v>Light Grey</v>
      </c>
      <c r="L1755" s="3">
        <f>_xlfn.XLOOKUP(D1755,Master[Product_Code],Master[Selling_Price])</f>
        <v>100</v>
      </c>
    </row>
    <row r="1756" spans="2:12">
      <c r="B1756" s="2" t="s">
        <v>2477</v>
      </c>
      <c r="C1756" s="7">
        <v>45987</v>
      </c>
      <c r="D1756" s="2" t="s">
        <v>960</v>
      </c>
      <c r="E1756" s="4">
        <v>1</v>
      </c>
      <c r="F1756" s="8" t="str">
        <f>_xlfn.XLOOKUP(D1756,Master[Product_Code],Master[Category])</f>
        <v>Jeans</v>
      </c>
      <c r="G1756" s="8" t="str">
        <f>_xlfn.XLOOKUP(D1756,Master[Product_Code],Master[Brand])</f>
        <v>Levis</v>
      </c>
      <c r="H1756" s="8" t="str">
        <f>_xlfn.XLOOKUP(D1756,Master[Product_Code],Master[Style])</f>
        <v>Jogger</v>
      </c>
      <c r="I1756" s="8" t="str">
        <f>_xlfn.XLOOKUP(D1756,Master[Product_Code],Master[Fabric])</f>
        <v>Denim</v>
      </c>
      <c r="J1756" s="8">
        <f>_xlfn.XLOOKUP(D1756,Master[Product_Code],Master[Size])</f>
        <v>30</v>
      </c>
      <c r="K1756" s="8" t="str">
        <f>_xlfn.XLOOKUP(D1756,Master[Product_Code],Master[Color])</f>
        <v>Wine</v>
      </c>
      <c r="L1756" s="3">
        <f>_xlfn.XLOOKUP(D1756,Master[Product_Code],Master[Selling_Price])</f>
        <v>1020</v>
      </c>
    </row>
    <row r="1757" spans="2:12">
      <c r="B1757" s="2" t="s">
        <v>2478</v>
      </c>
      <c r="C1757" s="7">
        <v>45987</v>
      </c>
      <c r="D1757" s="2" t="s">
        <v>217</v>
      </c>
      <c r="E1757" s="4">
        <v>1</v>
      </c>
      <c r="F1757" s="8" t="str">
        <f>_xlfn.XLOOKUP(D1757,Master[Product_Code],Master[Category])</f>
        <v>Shirt</v>
      </c>
      <c r="G1757" s="8" t="str">
        <f>_xlfn.XLOOKUP(D1757,Master[Product_Code],Master[Brand])</f>
        <v>H&amp;M</v>
      </c>
      <c r="H1757" s="8" t="str">
        <f>_xlfn.XLOOKUP(D1757,Master[Product_Code],Master[Style])</f>
        <v>Formal</v>
      </c>
      <c r="I1757" s="8" t="str">
        <f>_xlfn.XLOOKUP(D1757,Master[Product_Code],Master[Fabric])</f>
        <v>Polyester</v>
      </c>
      <c r="J1757" s="8" t="str">
        <f>_xlfn.XLOOKUP(D1757,Master[Product_Code],Master[Size])</f>
        <v>L</v>
      </c>
      <c r="K1757" s="8" t="str">
        <f>_xlfn.XLOOKUP(D1757,Master[Product_Code],Master[Color])</f>
        <v>Beige</v>
      </c>
      <c r="L1757" s="3">
        <f>_xlfn.XLOOKUP(D1757,Master[Product_Code],Master[Selling_Price])</f>
        <v>720</v>
      </c>
    </row>
    <row r="1758" spans="2:12">
      <c r="B1758" s="2" t="s">
        <v>2479</v>
      </c>
      <c r="C1758" s="7">
        <v>45987</v>
      </c>
      <c r="D1758" s="2" t="s">
        <v>38</v>
      </c>
      <c r="E1758" s="4">
        <v>1</v>
      </c>
      <c r="F1758" s="8" t="str">
        <f>_xlfn.XLOOKUP(D1758,Master[Product_Code],Master[Category])</f>
        <v>Shirt</v>
      </c>
      <c r="G1758" s="8" t="str">
        <f>_xlfn.XLOOKUP(D1758,Master[Product_Code],Master[Brand])</f>
        <v>British</v>
      </c>
      <c r="H1758" s="8" t="str">
        <f>_xlfn.XLOOKUP(D1758,Master[Product_Code],Master[Style])</f>
        <v>Partywear</v>
      </c>
      <c r="I1758" s="8" t="str">
        <f>_xlfn.XLOOKUP(D1758,Master[Product_Code],Master[Fabric])</f>
        <v>Cotton Blend</v>
      </c>
      <c r="J1758" s="8" t="str">
        <f>_xlfn.XLOOKUP(D1758,Master[Product_Code],Master[Size])</f>
        <v>S</v>
      </c>
      <c r="K1758" s="8" t="str">
        <f>_xlfn.XLOOKUP(D1758,Master[Product_Code],Master[Color])</f>
        <v>Cream</v>
      </c>
      <c r="L1758" s="3">
        <f>_xlfn.XLOOKUP(D1758,Master[Product_Code],Master[Selling_Price])</f>
        <v>930</v>
      </c>
    </row>
    <row r="1759" spans="2:12">
      <c r="B1759" s="2" t="s">
        <v>2479</v>
      </c>
      <c r="C1759" s="7">
        <v>45987</v>
      </c>
      <c r="D1759" s="2" t="s">
        <v>1207</v>
      </c>
      <c r="E1759" s="4">
        <v>1</v>
      </c>
      <c r="F1759" s="8" t="str">
        <f>_xlfn.XLOOKUP(D1759,Master[Product_Code],Master[Category])</f>
        <v>Pants</v>
      </c>
      <c r="G1759" s="8" t="str">
        <f>_xlfn.XLOOKUP(D1759,Master[Product_Code],Master[Brand])</f>
        <v>Park Avenue</v>
      </c>
      <c r="H1759" s="8" t="str">
        <f>_xlfn.XLOOKUP(D1759,Master[Product_Code],Master[Style])</f>
        <v>Polofit</v>
      </c>
      <c r="I1759" s="8" t="str">
        <f>_xlfn.XLOOKUP(D1759,Master[Product_Code],Master[Fabric])</f>
        <v>Lycra</v>
      </c>
      <c r="J1759" s="8">
        <f>_xlfn.XLOOKUP(D1759,Master[Product_Code],Master[Size])</f>
        <v>44</v>
      </c>
      <c r="K1759" s="8" t="str">
        <f>_xlfn.XLOOKUP(D1759,Master[Product_Code],Master[Color])</f>
        <v>Peach</v>
      </c>
      <c r="L1759" s="3">
        <f>_xlfn.XLOOKUP(D1759,Master[Product_Code],Master[Selling_Price])</f>
        <v>920</v>
      </c>
    </row>
    <row r="1760" spans="2:12">
      <c r="B1760" s="2" t="s">
        <v>2479</v>
      </c>
      <c r="C1760" s="7">
        <v>45987</v>
      </c>
      <c r="D1760" s="2" t="s">
        <v>325</v>
      </c>
      <c r="E1760" s="4">
        <v>1</v>
      </c>
      <c r="F1760" s="8" t="str">
        <f>_xlfn.XLOOKUP(D1760,Master[Product_Code],Master[Category])</f>
        <v>Shirt</v>
      </c>
      <c r="G1760" s="8" t="str">
        <f>_xlfn.XLOOKUP(D1760,Master[Product_Code],Master[Brand])</f>
        <v>H&amp;M</v>
      </c>
      <c r="H1760" s="8" t="str">
        <f>_xlfn.XLOOKUP(D1760,Master[Product_Code],Master[Style])</f>
        <v>Casual</v>
      </c>
      <c r="I1760" s="8" t="str">
        <f>_xlfn.XLOOKUP(D1760,Master[Product_Code],Master[Fabric])</f>
        <v>Lycra</v>
      </c>
      <c r="J1760" s="8" t="str">
        <f>_xlfn.XLOOKUP(D1760,Master[Product_Code],Master[Size])</f>
        <v>XXL</v>
      </c>
      <c r="K1760" s="8" t="str">
        <f>_xlfn.XLOOKUP(D1760,Master[Product_Code],Master[Color])</f>
        <v>Light Grey</v>
      </c>
      <c r="L1760" s="3">
        <f>_xlfn.XLOOKUP(D1760,Master[Product_Code],Master[Selling_Price])</f>
        <v>870</v>
      </c>
    </row>
    <row r="1761" spans="2:12">
      <c r="B1761" s="2" t="s">
        <v>2480</v>
      </c>
      <c r="C1761" s="7">
        <v>45987</v>
      </c>
      <c r="D1761" s="2" t="s">
        <v>487</v>
      </c>
      <c r="E1761" s="4">
        <v>1</v>
      </c>
      <c r="F1761" s="8" t="str">
        <f>_xlfn.XLOOKUP(D1761,Master[Product_Code],Master[Category])</f>
        <v>T-Shirt</v>
      </c>
      <c r="G1761" s="8" t="str">
        <f>_xlfn.XLOOKUP(D1761,Master[Product_Code],Master[Brand])</f>
        <v>Turkey</v>
      </c>
      <c r="H1761" s="8" t="str">
        <f>_xlfn.XLOOKUP(D1761,Master[Product_Code],Master[Style])</f>
        <v>Sleeveless</v>
      </c>
      <c r="I1761" s="8" t="str">
        <f>_xlfn.XLOOKUP(D1761,Master[Product_Code],Master[Fabric])</f>
        <v>Cotton Blend</v>
      </c>
      <c r="J1761" s="8" t="str">
        <f>_xlfn.XLOOKUP(D1761,Master[Product_Code],Master[Size])</f>
        <v>M</v>
      </c>
      <c r="K1761" s="8" t="str">
        <f>_xlfn.XLOOKUP(D1761,Master[Product_Code],Master[Color])</f>
        <v>Olive</v>
      </c>
      <c r="L1761" s="3">
        <f>_xlfn.XLOOKUP(D1761,Master[Product_Code],Master[Selling_Price])</f>
        <v>610</v>
      </c>
    </row>
    <row r="1762" spans="2:12">
      <c r="B1762" s="2" t="s">
        <v>2481</v>
      </c>
      <c r="C1762" s="7">
        <v>45987</v>
      </c>
      <c r="D1762" s="2" t="s">
        <v>1711</v>
      </c>
      <c r="E1762" s="4">
        <v>1</v>
      </c>
      <c r="F1762" s="8" t="str">
        <f>_xlfn.XLOOKUP(D1762,Master[Product_Code],Master[Category])</f>
        <v>Innerwear</v>
      </c>
      <c r="G1762" s="8" t="str">
        <f>_xlfn.XLOOKUP(D1762,Master[Product_Code],Master[Brand])</f>
        <v>Rupa</v>
      </c>
      <c r="H1762" s="8" t="str">
        <f>_xlfn.XLOOKUP(D1762,Master[Product_Code],Master[Style])</f>
        <v>Boxer</v>
      </c>
      <c r="I1762" s="8" t="str">
        <f>_xlfn.XLOOKUP(D1762,Master[Product_Code],Master[Fabric])</f>
        <v>Cotton Blend</v>
      </c>
      <c r="J1762" s="8" t="str">
        <f>_xlfn.XLOOKUP(D1762,Master[Product_Code],Master[Size])</f>
        <v>105-110</v>
      </c>
      <c r="K1762" s="8" t="str">
        <f>_xlfn.XLOOKUP(D1762,Master[Product_Code],Master[Color])</f>
        <v>Navy Blue</v>
      </c>
      <c r="L1762" s="3">
        <f>_xlfn.XLOOKUP(D1762,Master[Product_Code],Master[Selling_Price])</f>
        <v>110</v>
      </c>
    </row>
    <row r="1763" spans="2:12">
      <c r="B1763" s="2" t="s">
        <v>2481</v>
      </c>
      <c r="C1763" s="7">
        <v>45987</v>
      </c>
      <c r="D1763" s="2" t="s">
        <v>103</v>
      </c>
      <c r="E1763" s="4">
        <v>1</v>
      </c>
      <c r="F1763" s="8" t="str">
        <f>_xlfn.XLOOKUP(D1763,Master[Product_Code],Master[Category])</f>
        <v>Shirt</v>
      </c>
      <c r="G1763" s="8" t="str">
        <f>_xlfn.XLOOKUP(D1763,Master[Product_Code],Master[Brand])</f>
        <v>Zara</v>
      </c>
      <c r="H1763" s="8" t="str">
        <f>_xlfn.XLOOKUP(D1763,Master[Product_Code],Master[Style])</f>
        <v>Formal</v>
      </c>
      <c r="I1763" s="8" t="str">
        <f>_xlfn.XLOOKUP(D1763,Master[Product_Code],Master[Fabric])</f>
        <v>Polyester</v>
      </c>
      <c r="J1763" s="8" t="str">
        <f>_xlfn.XLOOKUP(D1763,Master[Product_Code],Master[Size])</f>
        <v>L</v>
      </c>
      <c r="K1763" s="8" t="str">
        <f>_xlfn.XLOOKUP(D1763,Master[Product_Code],Master[Color])</f>
        <v>White</v>
      </c>
      <c r="L1763" s="3">
        <f>_xlfn.XLOOKUP(D1763,Master[Product_Code],Master[Selling_Price])</f>
        <v>930</v>
      </c>
    </row>
    <row r="1764" spans="2:12">
      <c r="B1764" s="2" t="s">
        <v>2482</v>
      </c>
      <c r="C1764" s="7">
        <v>45987</v>
      </c>
      <c r="D1764" s="2" t="s">
        <v>1308</v>
      </c>
      <c r="E1764" s="4">
        <v>1</v>
      </c>
      <c r="F1764" s="8" t="str">
        <f>_xlfn.XLOOKUP(D1764,Master[Product_Code],Master[Category])</f>
        <v>Pants</v>
      </c>
      <c r="G1764" s="8" t="str">
        <f>_xlfn.XLOOKUP(D1764,Master[Product_Code],Master[Brand])</f>
        <v>Louis Philippe</v>
      </c>
      <c r="H1764" s="8" t="str">
        <f>_xlfn.XLOOKUP(D1764,Master[Product_Code],Master[Style])</f>
        <v>Polofit</v>
      </c>
      <c r="I1764" s="8" t="str">
        <f>_xlfn.XLOOKUP(D1764,Master[Product_Code],Master[Fabric])</f>
        <v>Lycra</v>
      </c>
      <c r="J1764" s="8">
        <f>_xlfn.XLOOKUP(D1764,Master[Product_Code],Master[Size])</f>
        <v>32</v>
      </c>
      <c r="K1764" s="8" t="str">
        <f>_xlfn.XLOOKUP(D1764,Master[Product_Code],Master[Color])</f>
        <v>Maroon</v>
      </c>
      <c r="L1764" s="3">
        <f>_xlfn.XLOOKUP(D1764,Master[Product_Code],Master[Selling_Price])</f>
        <v>870</v>
      </c>
    </row>
    <row r="1765" spans="2:12">
      <c r="B1765" s="2" t="s">
        <v>2482</v>
      </c>
      <c r="C1765" s="7">
        <v>45987</v>
      </c>
      <c r="D1765" s="2" t="s">
        <v>1316</v>
      </c>
      <c r="E1765" s="4">
        <v>1</v>
      </c>
      <c r="F1765" s="8" t="str">
        <f>_xlfn.XLOOKUP(D1765,Master[Product_Code],Master[Category])</f>
        <v>Pants</v>
      </c>
      <c r="G1765" s="8" t="str">
        <f>_xlfn.XLOOKUP(D1765,Master[Product_Code],Master[Brand])</f>
        <v>Louis Philippe</v>
      </c>
      <c r="H1765" s="8" t="str">
        <f>_xlfn.XLOOKUP(D1765,Master[Product_Code],Master[Style])</f>
        <v>Kurka</v>
      </c>
      <c r="I1765" s="8" t="str">
        <f>_xlfn.XLOOKUP(D1765,Master[Product_Code],Master[Fabric])</f>
        <v>Lycra</v>
      </c>
      <c r="J1765" s="8">
        <f>_xlfn.XLOOKUP(D1765,Master[Product_Code],Master[Size])</f>
        <v>34</v>
      </c>
      <c r="K1765" s="8" t="str">
        <f>_xlfn.XLOOKUP(D1765,Master[Product_Code],Master[Color])</f>
        <v>Light Grey</v>
      </c>
      <c r="L1765" s="3">
        <f>_xlfn.XLOOKUP(D1765,Master[Product_Code],Master[Selling_Price])</f>
        <v>820</v>
      </c>
    </row>
    <row r="1766" spans="2:12">
      <c r="B1766" s="2" t="s">
        <v>2482</v>
      </c>
      <c r="C1766" s="7">
        <v>45987</v>
      </c>
      <c r="D1766" s="2" t="s">
        <v>888</v>
      </c>
      <c r="E1766" s="4">
        <v>1</v>
      </c>
      <c r="F1766" s="8" t="str">
        <f>_xlfn.XLOOKUP(D1766,Master[Product_Code],Master[Category])</f>
        <v>Jeans</v>
      </c>
      <c r="G1766" s="8" t="str">
        <f>_xlfn.XLOOKUP(D1766,Master[Product_Code],Master[Brand])</f>
        <v>Wrangler</v>
      </c>
      <c r="H1766" s="8" t="str">
        <f>_xlfn.XLOOKUP(D1766,Master[Product_Code],Master[Style])</f>
        <v>Baggy</v>
      </c>
      <c r="I1766" s="8" t="str">
        <f>_xlfn.XLOOKUP(D1766,Master[Product_Code],Master[Fabric])</f>
        <v>Denim</v>
      </c>
      <c r="J1766" s="8">
        <f>_xlfn.XLOOKUP(D1766,Master[Product_Code],Master[Size])</f>
        <v>42</v>
      </c>
      <c r="K1766" s="8" t="str">
        <f>_xlfn.XLOOKUP(D1766,Master[Product_Code],Master[Color])</f>
        <v>Black</v>
      </c>
      <c r="L1766" s="3">
        <f>_xlfn.XLOOKUP(D1766,Master[Product_Code],Master[Selling_Price])</f>
        <v>930</v>
      </c>
    </row>
    <row r="1767" spans="2:12">
      <c r="B1767" s="2" t="s">
        <v>2483</v>
      </c>
      <c r="C1767" s="7">
        <v>45987</v>
      </c>
      <c r="D1767" s="2" t="s">
        <v>1064</v>
      </c>
      <c r="E1767" s="4">
        <v>1</v>
      </c>
      <c r="F1767" s="8" t="str">
        <f>_xlfn.XLOOKUP(D1767,Master[Product_Code],Master[Category])</f>
        <v>Jeans</v>
      </c>
      <c r="G1767" s="8" t="str">
        <f>_xlfn.XLOOKUP(D1767,Master[Product_Code],Master[Brand])</f>
        <v>Levis</v>
      </c>
      <c r="H1767" s="8" t="str">
        <f>_xlfn.XLOOKUP(D1767,Master[Product_Code],Master[Style])</f>
        <v>Mom Fit</v>
      </c>
      <c r="I1767" s="8" t="str">
        <f>_xlfn.XLOOKUP(D1767,Master[Product_Code],Master[Fabric])</f>
        <v>Denim</v>
      </c>
      <c r="J1767" s="8">
        <f>_xlfn.XLOOKUP(D1767,Master[Product_Code],Master[Size])</f>
        <v>30</v>
      </c>
      <c r="K1767" s="8" t="str">
        <f>_xlfn.XLOOKUP(D1767,Master[Product_Code],Master[Color])</f>
        <v>Maroon</v>
      </c>
      <c r="L1767" s="3">
        <f>_xlfn.XLOOKUP(D1767,Master[Product_Code],Master[Selling_Price])</f>
        <v>990</v>
      </c>
    </row>
    <row r="1768" spans="2:12">
      <c r="B1768" s="2" t="s">
        <v>2483</v>
      </c>
      <c r="C1768" s="7">
        <v>45987</v>
      </c>
      <c r="D1768" s="2" t="s">
        <v>638</v>
      </c>
      <c r="E1768" s="4">
        <v>1</v>
      </c>
      <c r="F1768" s="8" t="str">
        <f>_xlfn.XLOOKUP(D1768,Master[Product_Code],Master[Category])</f>
        <v>T-Shirt</v>
      </c>
      <c r="G1768" s="8" t="str">
        <f>_xlfn.XLOOKUP(D1768,Master[Product_Code],Master[Brand])</f>
        <v>Max</v>
      </c>
      <c r="H1768" s="8" t="str">
        <f>_xlfn.XLOOKUP(D1768,Master[Product_Code],Master[Style])</f>
        <v>3/4 Sleeve</v>
      </c>
      <c r="I1768" s="8" t="str">
        <f>_xlfn.XLOOKUP(D1768,Master[Product_Code],Master[Fabric])</f>
        <v>Cotton</v>
      </c>
      <c r="J1768" s="8" t="str">
        <f>_xlfn.XLOOKUP(D1768,Master[Product_Code],Master[Size])</f>
        <v>XL</v>
      </c>
      <c r="K1768" s="8" t="str">
        <f>_xlfn.XLOOKUP(D1768,Master[Product_Code],Master[Color])</f>
        <v>Brown</v>
      </c>
      <c r="L1768" s="3">
        <f>_xlfn.XLOOKUP(D1768,Master[Product_Code],Master[Selling_Price])</f>
        <v>460</v>
      </c>
    </row>
    <row r="1769" spans="2:12">
      <c r="B1769" s="2" t="s">
        <v>2483</v>
      </c>
      <c r="C1769" s="7">
        <v>45987</v>
      </c>
      <c r="D1769" s="2" t="s">
        <v>1333</v>
      </c>
      <c r="E1769" s="4">
        <v>1</v>
      </c>
      <c r="F1769" s="8" t="str">
        <f>_xlfn.XLOOKUP(D1769,Master[Product_Code],Master[Category])</f>
        <v>Pants</v>
      </c>
      <c r="G1769" s="8" t="str">
        <f>_xlfn.XLOOKUP(D1769,Master[Product_Code],Master[Brand])</f>
        <v>Raymond</v>
      </c>
      <c r="H1769" s="8" t="str">
        <f>_xlfn.XLOOKUP(D1769,Master[Product_Code],Master[Style])</f>
        <v>Jogger</v>
      </c>
      <c r="I1769" s="8" t="str">
        <f>_xlfn.XLOOKUP(D1769,Master[Product_Code],Master[Fabric])</f>
        <v>Cotton</v>
      </c>
      <c r="J1769" s="8">
        <f>_xlfn.XLOOKUP(D1769,Master[Product_Code],Master[Size])</f>
        <v>30</v>
      </c>
      <c r="K1769" s="8" t="str">
        <f>_xlfn.XLOOKUP(D1769,Master[Product_Code],Master[Color])</f>
        <v>Mustard</v>
      </c>
      <c r="L1769" s="3">
        <f>_xlfn.XLOOKUP(D1769,Master[Product_Code],Master[Selling_Price])</f>
        <v>750</v>
      </c>
    </row>
    <row r="1770" spans="2:12">
      <c r="B1770" s="2" t="s">
        <v>2484</v>
      </c>
      <c r="C1770" s="7">
        <v>45987</v>
      </c>
      <c r="D1770" s="2" t="s">
        <v>824</v>
      </c>
      <c r="E1770" s="4">
        <v>1</v>
      </c>
      <c r="F1770" s="8" t="str">
        <f>_xlfn.XLOOKUP(D1770,Master[Product_Code],Master[Category])</f>
        <v>T-Shirt</v>
      </c>
      <c r="G1770" s="8" t="str">
        <f>_xlfn.XLOOKUP(D1770,Master[Product_Code],Master[Brand])</f>
        <v>Max</v>
      </c>
      <c r="H1770" s="8" t="str">
        <f>_xlfn.XLOOKUP(D1770,Master[Product_Code],Master[Style])</f>
        <v>Hoodie</v>
      </c>
      <c r="I1770" s="8" t="str">
        <f>_xlfn.XLOOKUP(D1770,Master[Product_Code],Master[Fabric])</f>
        <v>Cotton Blend</v>
      </c>
      <c r="J1770" s="8" t="str">
        <f>_xlfn.XLOOKUP(D1770,Master[Product_Code],Master[Size])</f>
        <v>L</v>
      </c>
      <c r="K1770" s="8" t="str">
        <f>_xlfn.XLOOKUP(D1770,Master[Product_Code],Master[Color])</f>
        <v>Olive</v>
      </c>
      <c r="L1770" s="3">
        <f>_xlfn.XLOOKUP(D1770,Master[Product_Code],Master[Selling_Price])</f>
        <v>400</v>
      </c>
    </row>
    <row r="1771" spans="2:12">
      <c r="B1771" s="2" t="s">
        <v>2484</v>
      </c>
      <c r="C1771" s="7">
        <v>45987</v>
      </c>
      <c r="D1771" s="2" t="s">
        <v>808</v>
      </c>
      <c r="E1771" s="4">
        <v>1</v>
      </c>
      <c r="F1771" s="8" t="str">
        <f>_xlfn.XLOOKUP(D1771,Master[Product_Code],Master[Category])</f>
        <v>T-Shirt</v>
      </c>
      <c r="G1771" s="8" t="str">
        <f>_xlfn.XLOOKUP(D1771,Master[Product_Code],Master[Brand])</f>
        <v>Urban Monkey</v>
      </c>
      <c r="H1771" s="8" t="str">
        <f>_xlfn.XLOOKUP(D1771,Master[Product_Code],Master[Style])</f>
        <v>Hoodie</v>
      </c>
      <c r="I1771" s="8" t="str">
        <f>_xlfn.XLOOKUP(D1771,Master[Product_Code],Master[Fabric])</f>
        <v>Cotton Blend</v>
      </c>
      <c r="J1771" s="8" t="str">
        <f>_xlfn.XLOOKUP(D1771,Master[Product_Code],Master[Size])</f>
        <v>XL</v>
      </c>
      <c r="K1771" s="8" t="str">
        <f>_xlfn.XLOOKUP(D1771,Master[Product_Code],Master[Color])</f>
        <v>Rust</v>
      </c>
      <c r="L1771" s="3">
        <f>_xlfn.XLOOKUP(D1771,Master[Product_Code],Master[Selling_Price])</f>
        <v>600</v>
      </c>
    </row>
    <row r="1772" spans="2:12">
      <c r="B1772" s="2" t="s">
        <v>2485</v>
      </c>
      <c r="C1772" s="7">
        <v>45987</v>
      </c>
      <c r="D1772" s="2" t="s">
        <v>345</v>
      </c>
      <c r="E1772" s="4">
        <v>1</v>
      </c>
      <c r="F1772" s="8" t="str">
        <f>_xlfn.XLOOKUP(D1772,Master[Product_Code],Master[Category])</f>
        <v>Shirt</v>
      </c>
      <c r="G1772" s="8" t="str">
        <f>_xlfn.XLOOKUP(D1772,Master[Product_Code],Master[Brand])</f>
        <v>H&amp;M</v>
      </c>
      <c r="H1772" s="8" t="str">
        <f>_xlfn.XLOOKUP(D1772,Master[Product_Code],Master[Style])</f>
        <v>Casual</v>
      </c>
      <c r="I1772" s="8" t="str">
        <f>_xlfn.XLOOKUP(D1772,Master[Product_Code],Master[Fabric])</f>
        <v>Cotton</v>
      </c>
      <c r="J1772" s="8" t="str">
        <f>_xlfn.XLOOKUP(D1772,Master[Product_Code],Master[Size])</f>
        <v>M</v>
      </c>
      <c r="K1772" s="8" t="str">
        <f>_xlfn.XLOOKUP(D1772,Master[Product_Code],Master[Color])</f>
        <v>Sky Blue</v>
      </c>
      <c r="L1772" s="3">
        <f>_xlfn.XLOOKUP(D1772,Master[Product_Code],Master[Selling_Price])</f>
        <v>900</v>
      </c>
    </row>
    <row r="1773" spans="2:12">
      <c r="B1773" s="2" t="s">
        <v>2486</v>
      </c>
      <c r="C1773" s="7">
        <v>45987</v>
      </c>
      <c r="D1773" s="2" t="s">
        <v>1251</v>
      </c>
      <c r="E1773" s="4">
        <v>1</v>
      </c>
      <c r="F1773" s="8" t="str">
        <f>_xlfn.XLOOKUP(D1773,Master[Product_Code],Master[Category])</f>
        <v>Pants</v>
      </c>
      <c r="G1773" s="8" t="str">
        <f>_xlfn.XLOOKUP(D1773,Master[Product_Code],Master[Brand])</f>
        <v>Raymond</v>
      </c>
      <c r="H1773" s="8" t="str">
        <f>_xlfn.XLOOKUP(D1773,Master[Product_Code],Master[Style])</f>
        <v>Kurka</v>
      </c>
      <c r="I1773" s="8" t="str">
        <f>_xlfn.XLOOKUP(D1773,Master[Product_Code],Master[Fabric])</f>
        <v>Lycra</v>
      </c>
      <c r="J1773" s="8">
        <f>_xlfn.XLOOKUP(D1773,Master[Product_Code],Master[Size])</f>
        <v>36</v>
      </c>
      <c r="K1773" s="8" t="str">
        <f>_xlfn.XLOOKUP(D1773,Master[Product_Code],Master[Color])</f>
        <v>Wine</v>
      </c>
      <c r="L1773" s="3">
        <f>_xlfn.XLOOKUP(D1773,Master[Product_Code],Master[Selling_Price])</f>
        <v>850</v>
      </c>
    </row>
    <row r="1774" spans="2:12">
      <c r="B1774" s="2" t="s">
        <v>2486</v>
      </c>
      <c r="C1774" s="7">
        <v>45987</v>
      </c>
      <c r="D1774" s="2" t="s">
        <v>1108</v>
      </c>
      <c r="E1774" s="4">
        <v>1</v>
      </c>
      <c r="F1774" s="8" t="str">
        <f>_xlfn.XLOOKUP(D1774,Master[Product_Code],Master[Category])</f>
        <v>Jeans</v>
      </c>
      <c r="G1774" s="8" t="str">
        <f>_xlfn.XLOOKUP(D1774,Master[Product_Code],Master[Brand])</f>
        <v>Levis</v>
      </c>
      <c r="H1774" s="8" t="str">
        <f>_xlfn.XLOOKUP(D1774,Master[Product_Code],Master[Style])</f>
        <v>Jogger</v>
      </c>
      <c r="I1774" s="8" t="str">
        <f>_xlfn.XLOOKUP(D1774,Master[Product_Code],Master[Fabric])</f>
        <v>Denim</v>
      </c>
      <c r="J1774" s="8">
        <f>_xlfn.XLOOKUP(D1774,Master[Product_Code],Master[Size])</f>
        <v>34</v>
      </c>
      <c r="K1774" s="8" t="str">
        <f>_xlfn.XLOOKUP(D1774,Master[Product_Code],Master[Color])</f>
        <v>Light Grey</v>
      </c>
      <c r="L1774" s="3">
        <f>_xlfn.XLOOKUP(D1774,Master[Product_Code],Master[Selling_Price])</f>
        <v>800</v>
      </c>
    </row>
    <row r="1775" spans="2:12">
      <c r="B1775" s="2" t="s">
        <v>2487</v>
      </c>
      <c r="C1775" s="7">
        <v>45987</v>
      </c>
      <c r="D1775" s="2" t="s">
        <v>1348</v>
      </c>
      <c r="E1775" s="4">
        <v>1</v>
      </c>
      <c r="F1775" s="8" t="str">
        <f>_xlfn.XLOOKUP(D1775,Master[Product_Code],Master[Category])</f>
        <v>Pants</v>
      </c>
      <c r="G1775" s="8" t="str">
        <f>_xlfn.XLOOKUP(D1775,Master[Product_Code],Master[Brand])</f>
        <v>Peter England</v>
      </c>
      <c r="H1775" s="8" t="str">
        <f>_xlfn.XLOOKUP(D1775,Master[Product_Code],Master[Style])</f>
        <v>Boot Cut</v>
      </c>
      <c r="I1775" s="8" t="str">
        <f>_xlfn.XLOOKUP(D1775,Master[Product_Code],Master[Fabric])</f>
        <v>Cotton</v>
      </c>
      <c r="J1775" s="8">
        <f>_xlfn.XLOOKUP(D1775,Master[Product_Code],Master[Size])</f>
        <v>42</v>
      </c>
      <c r="K1775" s="8" t="str">
        <f>_xlfn.XLOOKUP(D1775,Master[Product_Code],Master[Color])</f>
        <v>Navy Blue</v>
      </c>
      <c r="L1775" s="3">
        <f>_xlfn.XLOOKUP(D1775,Master[Product_Code],Master[Selling_Price])</f>
        <v>850</v>
      </c>
    </row>
    <row r="1776" spans="2:12">
      <c r="B1776" s="2" t="s">
        <v>2487</v>
      </c>
      <c r="C1776" s="7">
        <v>45987</v>
      </c>
      <c r="D1776" s="2" t="s">
        <v>1197</v>
      </c>
      <c r="E1776" s="4">
        <v>1</v>
      </c>
      <c r="F1776" s="8" t="str">
        <f>_xlfn.XLOOKUP(D1776,Master[Product_Code],Master[Category])</f>
        <v>Pants</v>
      </c>
      <c r="G1776" s="8" t="str">
        <f>_xlfn.XLOOKUP(D1776,Master[Product_Code],Master[Brand])</f>
        <v>Louis Philippe</v>
      </c>
      <c r="H1776" s="8" t="str">
        <f>_xlfn.XLOOKUP(D1776,Master[Product_Code],Master[Style])</f>
        <v>Kurka</v>
      </c>
      <c r="I1776" s="8" t="str">
        <f>_xlfn.XLOOKUP(D1776,Master[Product_Code],Master[Fabric])</f>
        <v>Lycra</v>
      </c>
      <c r="J1776" s="8">
        <f>_xlfn.XLOOKUP(D1776,Master[Product_Code],Master[Size])</f>
        <v>40</v>
      </c>
      <c r="K1776" s="8" t="str">
        <f>_xlfn.XLOOKUP(D1776,Master[Product_Code],Master[Color])</f>
        <v>Brown</v>
      </c>
      <c r="L1776" s="3">
        <f>_xlfn.XLOOKUP(D1776,Master[Product_Code],Master[Selling_Price])</f>
        <v>940</v>
      </c>
    </row>
    <row r="1777" spans="2:12">
      <c r="B1777" s="2" t="s">
        <v>2487</v>
      </c>
      <c r="C1777" s="7">
        <v>45987</v>
      </c>
      <c r="D1777" s="2" t="s">
        <v>149</v>
      </c>
      <c r="E1777" s="4">
        <v>1</v>
      </c>
      <c r="F1777" s="8" t="str">
        <f>_xlfn.XLOOKUP(D1777,Master[Product_Code],Master[Category])</f>
        <v>Shirt</v>
      </c>
      <c r="G1777" s="8" t="str">
        <f>_xlfn.XLOOKUP(D1777,Master[Product_Code],Master[Brand])</f>
        <v>Luke &amp; Burg</v>
      </c>
      <c r="H1777" s="8" t="str">
        <f>_xlfn.XLOOKUP(D1777,Master[Product_Code],Master[Style])</f>
        <v>Partywear</v>
      </c>
      <c r="I1777" s="8" t="str">
        <f>_xlfn.XLOOKUP(D1777,Master[Product_Code],Master[Fabric])</f>
        <v>Cotton Blend</v>
      </c>
      <c r="J1777" s="8" t="str">
        <f>_xlfn.XLOOKUP(D1777,Master[Product_Code],Master[Size])</f>
        <v>S</v>
      </c>
      <c r="K1777" s="8" t="str">
        <f>_xlfn.XLOOKUP(D1777,Master[Product_Code],Master[Color])</f>
        <v>Wine</v>
      </c>
      <c r="L1777" s="3">
        <f>_xlfn.XLOOKUP(D1777,Master[Product_Code],Master[Selling_Price])</f>
        <v>820</v>
      </c>
    </row>
    <row r="1778" spans="2:12">
      <c r="B1778" s="2" t="s">
        <v>2488</v>
      </c>
      <c r="C1778" s="7">
        <v>45987</v>
      </c>
      <c r="D1778" s="2" t="s">
        <v>293</v>
      </c>
      <c r="E1778" s="4">
        <v>1</v>
      </c>
      <c r="F1778" s="8" t="str">
        <f>_xlfn.XLOOKUP(D1778,Master[Product_Code],Master[Category])</f>
        <v>Shirt</v>
      </c>
      <c r="G1778" s="8" t="str">
        <f>_xlfn.XLOOKUP(D1778,Master[Product_Code],Master[Brand])</f>
        <v>Zara</v>
      </c>
      <c r="H1778" s="8" t="str">
        <f>_xlfn.XLOOKUP(D1778,Master[Product_Code],Master[Style])</f>
        <v>Casual</v>
      </c>
      <c r="I1778" s="8" t="str">
        <f>_xlfn.XLOOKUP(D1778,Master[Product_Code],Master[Fabric])</f>
        <v>Lycra</v>
      </c>
      <c r="J1778" s="8" t="str">
        <f>_xlfn.XLOOKUP(D1778,Master[Product_Code],Master[Size])</f>
        <v>M</v>
      </c>
      <c r="K1778" s="8" t="str">
        <f>_xlfn.XLOOKUP(D1778,Master[Product_Code],Master[Color])</f>
        <v>Dark Green</v>
      </c>
      <c r="L1778" s="3">
        <f>_xlfn.XLOOKUP(D1778,Master[Product_Code],Master[Selling_Price])</f>
        <v>660</v>
      </c>
    </row>
    <row r="1779" spans="2:12">
      <c r="B1779" s="2" t="s">
        <v>2488</v>
      </c>
      <c r="C1779" s="7">
        <v>45987</v>
      </c>
      <c r="D1779" s="2" t="s">
        <v>914</v>
      </c>
      <c r="E1779" s="4">
        <v>1</v>
      </c>
      <c r="F1779" s="8" t="str">
        <f>_xlfn.XLOOKUP(D1779,Master[Product_Code],Master[Category])</f>
        <v>Jeans</v>
      </c>
      <c r="G1779" s="8" t="str">
        <f>_xlfn.XLOOKUP(D1779,Master[Product_Code],Master[Brand])</f>
        <v>Spykar</v>
      </c>
      <c r="H1779" s="8" t="str">
        <f>_xlfn.XLOOKUP(D1779,Master[Product_Code],Master[Style])</f>
        <v>Jogger</v>
      </c>
      <c r="I1779" s="8" t="str">
        <f>_xlfn.XLOOKUP(D1779,Master[Product_Code],Master[Fabric])</f>
        <v>Denim</v>
      </c>
      <c r="J1779" s="8">
        <f>_xlfn.XLOOKUP(D1779,Master[Product_Code],Master[Size])</f>
        <v>40</v>
      </c>
      <c r="K1779" s="8" t="str">
        <f>_xlfn.XLOOKUP(D1779,Master[Product_Code],Master[Color])</f>
        <v>White</v>
      </c>
      <c r="L1779" s="3">
        <f>_xlfn.XLOOKUP(D1779,Master[Product_Code],Master[Selling_Price])</f>
        <v>1080</v>
      </c>
    </row>
    <row r="1780" spans="2:12">
      <c r="B1780" s="2" t="s">
        <v>2488</v>
      </c>
      <c r="C1780" s="7">
        <v>45987</v>
      </c>
      <c r="D1780" s="2" t="s">
        <v>1699</v>
      </c>
      <c r="E1780" s="4">
        <v>1</v>
      </c>
      <c r="F1780" s="8" t="str">
        <f>_xlfn.XLOOKUP(D1780,Master[Product_Code],Master[Category])</f>
        <v>Innerwear</v>
      </c>
      <c r="G1780" s="8" t="str">
        <f>_xlfn.XLOOKUP(D1780,Master[Product_Code],Master[Brand])</f>
        <v>Rupa</v>
      </c>
      <c r="H1780" s="8" t="str">
        <f>_xlfn.XLOOKUP(D1780,Master[Product_Code],Master[Style])</f>
        <v>V-Cut</v>
      </c>
      <c r="I1780" s="8" t="str">
        <f>_xlfn.XLOOKUP(D1780,Master[Product_Code],Master[Fabric])</f>
        <v>Cotton Blend</v>
      </c>
      <c r="J1780" s="8" t="str">
        <f>_xlfn.XLOOKUP(D1780,Master[Product_Code],Master[Size])</f>
        <v>75-80</v>
      </c>
      <c r="K1780" s="8" t="str">
        <f>_xlfn.XLOOKUP(D1780,Master[Product_Code],Master[Color])</f>
        <v>Navy Blue</v>
      </c>
      <c r="L1780" s="3">
        <f>_xlfn.XLOOKUP(D1780,Master[Product_Code],Master[Selling_Price])</f>
        <v>150</v>
      </c>
    </row>
    <row r="1781" spans="2:12">
      <c r="B1781" s="2" t="s">
        <v>2489</v>
      </c>
      <c r="C1781" s="7">
        <v>45987</v>
      </c>
      <c r="D1781" s="2" t="s">
        <v>1571</v>
      </c>
      <c r="E1781" s="4">
        <v>1</v>
      </c>
      <c r="F1781" s="8" t="str">
        <f>_xlfn.XLOOKUP(D1781,Master[Product_Code],Master[Category])</f>
        <v>Innerwear</v>
      </c>
      <c r="G1781" s="8" t="str">
        <f>_xlfn.XLOOKUP(D1781,Master[Product_Code],Master[Brand])</f>
        <v>Dollar</v>
      </c>
      <c r="H1781" s="8" t="str">
        <f>_xlfn.XLOOKUP(D1781,Master[Product_Code],Master[Style])</f>
        <v>Boxer</v>
      </c>
      <c r="I1781" s="8" t="str">
        <f>_xlfn.XLOOKUP(D1781,Master[Product_Code],Master[Fabric])</f>
        <v>Cotton</v>
      </c>
      <c r="J1781" s="8" t="str">
        <f>_xlfn.XLOOKUP(D1781,Master[Product_Code],Master[Size])</f>
        <v>75-80</v>
      </c>
      <c r="K1781" s="8" t="str">
        <f>_xlfn.XLOOKUP(D1781,Master[Product_Code],Master[Color])</f>
        <v>Sky Blue</v>
      </c>
      <c r="L1781" s="3">
        <f>_xlfn.XLOOKUP(D1781,Master[Product_Code],Master[Selling_Price])</f>
        <v>110</v>
      </c>
    </row>
    <row r="1782" spans="2:12">
      <c r="B1782" s="2" t="s">
        <v>2489</v>
      </c>
      <c r="C1782" s="7">
        <v>45987</v>
      </c>
      <c r="D1782" s="2" t="s">
        <v>502</v>
      </c>
      <c r="E1782" s="4">
        <v>1</v>
      </c>
      <c r="F1782" s="8" t="str">
        <f>_xlfn.XLOOKUP(D1782,Master[Product_Code],Master[Category])</f>
        <v>T-Shirt</v>
      </c>
      <c r="G1782" s="8" t="str">
        <f>_xlfn.XLOOKUP(D1782,Master[Product_Code],Master[Brand])</f>
        <v>Thailand</v>
      </c>
      <c r="H1782" s="8" t="str">
        <f>_xlfn.XLOOKUP(D1782,Master[Product_Code],Master[Style])</f>
        <v>Full Sleeve</v>
      </c>
      <c r="I1782" s="8" t="str">
        <f>_xlfn.XLOOKUP(D1782,Master[Product_Code],Master[Fabric])</f>
        <v>Poly Cotton</v>
      </c>
      <c r="J1782" s="8" t="str">
        <f>_xlfn.XLOOKUP(D1782,Master[Product_Code],Master[Size])</f>
        <v>XL</v>
      </c>
      <c r="K1782" s="8" t="str">
        <f>_xlfn.XLOOKUP(D1782,Master[Product_Code],Master[Color])</f>
        <v>Peach</v>
      </c>
      <c r="L1782" s="3">
        <f>_xlfn.XLOOKUP(D1782,Master[Product_Code],Master[Selling_Price])</f>
        <v>720</v>
      </c>
    </row>
    <row r="1783" spans="2:12">
      <c r="B1783" s="2" t="s">
        <v>2489</v>
      </c>
      <c r="C1783" s="7">
        <v>45987</v>
      </c>
      <c r="D1783" s="2" t="s">
        <v>93</v>
      </c>
      <c r="E1783" s="4">
        <v>1</v>
      </c>
      <c r="F1783" s="8" t="str">
        <f>_xlfn.XLOOKUP(D1783,Master[Product_Code],Master[Category])</f>
        <v>Shirt</v>
      </c>
      <c r="G1783" s="8" t="str">
        <f>_xlfn.XLOOKUP(D1783,Master[Product_Code],Master[Brand])</f>
        <v>L7</v>
      </c>
      <c r="H1783" s="8" t="str">
        <f>_xlfn.XLOOKUP(D1783,Master[Product_Code],Master[Style])</f>
        <v>Casual</v>
      </c>
      <c r="I1783" s="8" t="str">
        <f>_xlfn.XLOOKUP(D1783,Master[Product_Code],Master[Fabric])</f>
        <v>Cotton Blend</v>
      </c>
      <c r="J1783" s="8" t="str">
        <f>_xlfn.XLOOKUP(D1783,Master[Product_Code],Master[Size])</f>
        <v>L</v>
      </c>
      <c r="K1783" s="8" t="str">
        <f>_xlfn.XLOOKUP(D1783,Master[Product_Code],Master[Color])</f>
        <v>Grey</v>
      </c>
      <c r="L1783" s="3">
        <f>_xlfn.XLOOKUP(D1783,Master[Product_Code],Master[Selling_Price])</f>
        <v>850</v>
      </c>
    </row>
    <row r="1784" spans="2:12">
      <c r="B1784" s="2" t="s">
        <v>2490</v>
      </c>
      <c r="C1784" s="7">
        <v>45987</v>
      </c>
      <c r="D1784" s="2" t="s">
        <v>857</v>
      </c>
      <c r="E1784" s="4">
        <v>1</v>
      </c>
      <c r="F1784" s="8" t="str">
        <f>_xlfn.XLOOKUP(D1784,Master[Product_Code],Master[Category])</f>
        <v>Jeans</v>
      </c>
      <c r="G1784" s="8" t="str">
        <f>_xlfn.XLOOKUP(D1784,Master[Product_Code],Master[Brand])</f>
        <v>Pepe</v>
      </c>
      <c r="H1784" s="8" t="str">
        <f>_xlfn.XLOOKUP(D1784,Master[Product_Code],Master[Style])</f>
        <v>Baggy</v>
      </c>
      <c r="I1784" s="8" t="str">
        <f>_xlfn.XLOOKUP(D1784,Master[Product_Code],Master[Fabric])</f>
        <v>Denim</v>
      </c>
      <c r="J1784" s="8">
        <f>_xlfn.XLOOKUP(D1784,Master[Product_Code],Master[Size])</f>
        <v>38</v>
      </c>
      <c r="K1784" s="8" t="str">
        <f>_xlfn.XLOOKUP(D1784,Master[Product_Code],Master[Color])</f>
        <v>Bottle Green</v>
      </c>
      <c r="L1784" s="3">
        <f>_xlfn.XLOOKUP(D1784,Master[Product_Code],Master[Selling_Price])</f>
        <v>1060</v>
      </c>
    </row>
    <row r="1785" spans="2:12">
      <c r="B1785" s="2" t="s">
        <v>2490</v>
      </c>
      <c r="C1785" s="7">
        <v>45987</v>
      </c>
      <c r="D1785" s="2" t="s">
        <v>1749</v>
      </c>
      <c r="E1785" s="4">
        <v>1</v>
      </c>
      <c r="F1785" s="8" t="str">
        <f>_xlfn.XLOOKUP(D1785,Master[Product_Code],Master[Category])</f>
        <v>Innerwear</v>
      </c>
      <c r="G1785" s="8" t="str">
        <f>_xlfn.XLOOKUP(D1785,Master[Product_Code],Master[Brand])</f>
        <v>Lux</v>
      </c>
      <c r="H1785" s="8" t="str">
        <f>_xlfn.XLOOKUP(D1785,Master[Product_Code],Master[Style])</f>
        <v>Boxer</v>
      </c>
      <c r="I1785" s="8" t="str">
        <f>_xlfn.XLOOKUP(D1785,Master[Product_Code],Master[Fabric])</f>
        <v>Cotton</v>
      </c>
      <c r="J1785" s="8" t="str">
        <f>_xlfn.XLOOKUP(D1785,Master[Product_Code],Master[Size])</f>
        <v>90-100</v>
      </c>
      <c r="K1785" s="8" t="str">
        <f>_xlfn.XLOOKUP(D1785,Master[Product_Code],Master[Color])</f>
        <v>Navy Blue</v>
      </c>
      <c r="L1785" s="3">
        <f>_xlfn.XLOOKUP(D1785,Master[Product_Code],Master[Selling_Price])</f>
        <v>170</v>
      </c>
    </row>
    <row r="1786" spans="2:12">
      <c r="B1786" s="2" t="s">
        <v>2491</v>
      </c>
      <c r="C1786" s="7">
        <v>45987</v>
      </c>
      <c r="D1786" s="2" t="s">
        <v>446</v>
      </c>
      <c r="E1786" s="4">
        <v>1</v>
      </c>
      <c r="F1786" s="8" t="str">
        <f>_xlfn.XLOOKUP(D1786,Master[Product_Code],Master[Category])</f>
        <v>T-Shirt</v>
      </c>
      <c r="G1786" s="8" t="str">
        <f>_xlfn.XLOOKUP(D1786,Master[Product_Code],Master[Brand])</f>
        <v>Max</v>
      </c>
      <c r="H1786" s="8" t="str">
        <f>_xlfn.XLOOKUP(D1786,Master[Product_Code],Master[Style])</f>
        <v>Sleeveless</v>
      </c>
      <c r="I1786" s="8" t="str">
        <f>_xlfn.XLOOKUP(D1786,Master[Product_Code],Master[Fabric])</f>
        <v>Cotton</v>
      </c>
      <c r="J1786" s="8" t="str">
        <f>_xlfn.XLOOKUP(D1786,Master[Product_Code],Master[Size])</f>
        <v>XXL</v>
      </c>
      <c r="K1786" s="8" t="str">
        <f>_xlfn.XLOOKUP(D1786,Master[Product_Code],Master[Color])</f>
        <v>Rust</v>
      </c>
      <c r="L1786" s="3">
        <f>_xlfn.XLOOKUP(D1786,Master[Product_Code],Master[Selling_Price])</f>
        <v>610</v>
      </c>
    </row>
    <row r="1787" spans="2:12">
      <c r="B1787" s="2" t="s">
        <v>2491</v>
      </c>
      <c r="C1787" s="7">
        <v>45987</v>
      </c>
      <c r="D1787" s="2" t="s">
        <v>348</v>
      </c>
      <c r="E1787" s="4">
        <v>1</v>
      </c>
      <c r="F1787" s="8" t="str">
        <f>_xlfn.XLOOKUP(D1787,Master[Product_Code],Master[Category])</f>
        <v>Shirt</v>
      </c>
      <c r="G1787" s="8" t="str">
        <f>_xlfn.XLOOKUP(D1787,Master[Product_Code],Master[Brand])</f>
        <v>Max</v>
      </c>
      <c r="H1787" s="8" t="str">
        <f>_xlfn.XLOOKUP(D1787,Master[Product_Code],Master[Style])</f>
        <v>Formal</v>
      </c>
      <c r="I1787" s="8" t="str">
        <f>_xlfn.XLOOKUP(D1787,Master[Product_Code],Master[Fabric])</f>
        <v>Lycra</v>
      </c>
      <c r="J1787" s="8" t="str">
        <f>_xlfn.XLOOKUP(D1787,Master[Product_Code],Master[Size])</f>
        <v>L</v>
      </c>
      <c r="K1787" s="8" t="str">
        <f>_xlfn.XLOOKUP(D1787,Master[Product_Code],Master[Color])</f>
        <v>Royal Blue</v>
      </c>
      <c r="L1787" s="3">
        <f>_xlfn.XLOOKUP(D1787,Master[Product_Code],Master[Selling_Price])</f>
        <v>810</v>
      </c>
    </row>
    <row r="1788" spans="2:12">
      <c r="B1788" s="2" t="s">
        <v>2491</v>
      </c>
      <c r="C1788" s="7">
        <v>45987</v>
      </c>
      <c r="D1788" s="2" t="s">
        <v>1480</v>
      </c>
      <c r="E1788" s="4">
        <v>1</v>
      </c>
      <c r="F1788" s="8" t="str">
        <f>_xlfn.XLOOKUP(D1788,Master[Product_Code],Master[Category])</f>
        <v>Innerwear</v>
      </c>
      <c r="G1788" s="8" t="str">
        <f>_xlfn.XLOOKUP(D1788,Master[Product_Code],Master[Brand])</f>
        <v>Jockey</v>
      </c>
      <c r="H1788" s="8" t="str">
        <f>_xlfn.XLOOKUP(D1788,Master[Product_Code],Master[Style])</f>
        <v>V-Cut</v>
      </c>
      <c r="I1788" s="8" t="str">
        <f>_xlfn.XLOOKUP(D1788,Master[Product_Code],Master[Fabric])</f>
        <v>Cotton</v>
      </c>
      <c r="J1788" s="8" t="str">
        <f>_xlfn.XLOOKUP(D1788,Master[Product_Code],Master[Size])</f>
        <v>85-90</v>
      </c>
      <c r="K1788" s="8" t="str">
        <f>_xlfn.XLOOKUP(D1788,Master[Product_Code],Master[Color])</f>
        <v>Cream</v>
      </c>
      <c r="L1788" s="3">
        <f>_xlfn.XLOOKUP(D1788,Master[Product_Code],Master[Selling_Price])</f>
        <v>180</v>
      </c>
    </row>
    <row r="1789" spans="2:12">
      <c r="B1789" s="2" t="s">
        <v>2492</v>
      </c>
      <c r="C1789" s="7">
        <v>45988</v>
      </c>
      <c r="D1789" s="2" t="s">
        <v>1631</v>
      </c>
      <c r="E1789" s="4">
        <v>1</v>
      </c>
      <c r="F1789" s="8" t="str">
        <f>_xlfn.XLOOKUP(D1789,Master[Product_Code],Master[Category])</f>
        <v>Innerwear</v>
      </c>
      <c r="G1789" s="8" t="str">
        <f>_xlfn.XLOOKUP(D1789,Master[Product_Code],Master[Brand])</f>
        <v>Rupa</v>
      </c>
      <c r="H1789" s="8" t="str">
        <f>_xlfn.XLOOKUP(D1789,Master[Product_Code],Master[Style])</f>
        <v>Boxer</v>
      </c>
      <c r="I1789" s="8" t="str">
        <f>_xlfn.XLOOKUP(D1789,Master[Product_Code],Master[Fabric])</f>
        <v>Cotton</v>
      </c>
      <c r="J1789" s="8" t="str">
        <f>_xlfn.XLOOKUP(D1789,Master[Product_Code],Master[Size])</f>
        <v>80-85</v>
      </c>
      <c r="K1789" s="8" t="str">
        <f>_xlfn.XLOOKUP(D1789,Master[Product_Code],Master[Color])</f>
        <v>White</v>
      </c>
      <c r="L1789" s="3">
        <f>_xlfn.XLOOKUP(D1789,Master[Product_Code],Master[Selling_Price])</f>
        <v>170</v>
      </c>
    </row>
    <row r="1790" spans="2:12">
      <c r="B1790" s="2" t="s">
        <v>2492</v>
      </c>
      <c r="C1790" s="7">
        <v>45988</v>
      </c>
      <c r="D1790" s="2" t="s">
        <v>1709</v>
      </c>
      <c r="E1790" s="4">
        <v>1</v>
      </c>
      <c r="F1790" s="8" t="str">
        <f>_xlfn.XLOOKUP(D1790,Master[Product_Code],Master[Category])</f>
        <v>Innerwear</v>
      </c>
      <c r="G1790" s="8" t="str">
        <f>_xlfn.XLOOKUP(D1790,Master[Product_Code],Master[Brand])</f>
        <v>Lux</v>
      </c>
      <c r="H1790" s="8" t="str">
        <f>_xlfn.XLOOKUP(D1790,Master[Product_Code],Master[Style])</f>
        <v>V-Cut</v>
      </c>
      <c r="I1790" s="8" t="str">
        <f>_xlfn.XLOOKUP(D1790,Master[Product_Code],Master[Fabric])</f>
        <v>Cotton</v>
      </c>
      <c r="J1790" s="8" t="str">
        <f>_xlfn.XLOOKUP(D1790,Master[Product_Code],Master[Size])</f>
        <v>105-110</v>
      </c>
      <c r="K1790" s="8" t="str">
        <f>_xlfn.XLOOKUP(D1790,Master[Product_Code],Master[Color])</f>
        <v>Dark Green</v>
      </c>
      <c r="L1790" s="3">
        <f>_xlfn.XLOOKUP(D1790,Master[Product_Code],Master[Selling_Price])</f>
        <v>140</v>
      </c>
    </row>
    <row r="1791" spans="2:12">
      <c r="B1791" s="2" t="s">
        <v>2492</v>
      </c>
      <c r="C1791" s="7">
        <v>45988</v>
      </c>
      <c r="D1791" s="2" t="s">
        <v>1589</v>
      </c>
      <c r="E1791" s="4">
        <v>1</v>
      </c>
      <c r="F1791" s="8" t="str">
        <f>_xlfn.XLOOKUP(D1791,Master[Product_Code],Master[Category])</f>
        <v>Innerwear</v>
      </c>
      <c r="G1791" s="8" t="str">
        <f>_xlfn.XLOOKUP(D1791,Master[Product_Code],Master[Brand])</f>
        <v>Lux</v>
      </c>
      <c r="H1791" s="8" t="str">
        <f>_xlfn.XLOOKUP(D1791,Master[Product_Code],Master[Style])</f>
        <v>Boxer</v>
      </c>
      <c r="I1791" s="8" t="str">
        <f>_xlfn.XLOOKUP(D1791,Master[Product_Code],Master[Fabric])</f>
        <v>Cotton Blend</v>
      </c>
      <c r="J1791" s="8" t="str">
        <f>_xlfn.XLOOKUP(D1791,Master[Product_Code],Master[Size])</f>
        <v>105-110</v>
      </c>
      <c r="K1791" s="8" t="str">
        <f>_xlfn.XLOOKUP(D1791,Master[Product_Code],Master[Color])</f>
        <v>Maroon</v>
      </c>
      <c r="L1791" s="3">
        <f>_xlfn.XLOOKUP(D1791,Master[Product_Code],Master[Selling_Price])</f>
        <v>180</v>
      </c>
    </row>
    <row r="1792" spans="2:12">
      <c r="B1792" s="2" t="s">
        <v>2493</v>
      </c>
      <c r="C1792" s="7">
        <v>45988</v>
      </c>
      <c r="D1792" s="2" t="s">
        <v>572</v>
      </c>
      <c r="E1792" s="4">
        <v>1</v>
      </c>
      <c r="F1792" s="8" t="str">
        <f>_xlfn.XLOOKUP(D1792,Master[Product_Code],Master[Category])</f>
        <v>T-Shirt</v>
      </c>
      <c r="G1792" s="8" t="str">
        <f>_xlfn.XLOOKUP(D1792,Master[Product_Code],Master[Brand])</f>
        <v>Urban Monkey</v>
      </c>
      <c r="H1792" s="8" t="str">
        <f>_xlfn.XLOOKUP(D1792,Master[Product_Code],Master[Style])</f>
        <v>3/4 Sleeve</v>
      </c>
      <c r="I1792" s="8" t="str">
        <f>_xlfn.XLOOKUP(D1792,Master[Product_Code],Master[Fabric])</f>
        <v>Cotton Blend</v>
      </c>
      <c r="J1792" s="8" t="str">
        <f>_xlfn.XLOOKUP(D1792,Master[Product_Code],Master[Size])</f>
        <v>XXL</v>
      </c>
      <c r="K1792" s="8" t="str">
        <f>_xlfn.XLOOKUP(D1792,Master[Product_Code],Master[Color])</f>
        <v>Peach</v>
      </c>
      <c r="L1792" s="3">
        <f>_xlfn.XLOOKUP(D1792,Master[Product_Code],Master[Selling_Price])</f>
        <v>480</v>
      </c>
    </row>
    <row r="1793" spans="2:12">
      <c r="B1793" s="2" t="s">
        <v>2493</v>
      </c>
      <c r="C1793" s="7">
        <v>45988</v>
      </c>
      <c r="D1793" s="2" t="s">
        <v>1134</v>
      </c>
      <c r="E1793" s="4">
        <v>1</v>
      </c>
      <c r="F1793" s="8" t="str">
        <f>_xlfn.XLOOKUP(D1793,Master[Product_Code],Master[Category])</f>
        <v>Jeans</v>
      </c>
      <c r="G1793" s="8" t="str">
        <f>_xlfn.XLOOKUP(D1793,Master[Product_Code],Master[Brand])</f>
        <v>Levis</v>
      </c>
      <c r="H1793" s="8" t="str">
        <f>_xlfn.XLOOKUP(D1793,Master[Product_Code],Master[Style])</f>
        <v>Baggy</v>
      </c>
      <c r="I1793" s="8" t="str">
        <f>_xlfn.XLOOKUP(D1793,Master[Product_Code],Master[Fabric])</f>
        <v>Denim</v>
      </c>
      <c r="J1793" s="8">
        <f>_xlfn.XLOOKUP(D1793,Master[Product_Code],Master[Size])</f>
        <v>28</v>
      </c>
      <c r="K1793" s="8" t="str">
        <f>_xlfn.XLOOKUP(D1793,Master[Product_Code],Master[Color])</f>
        <v>Maroon</v>
      </c>
      <c r="L1793" s="3">
        <f>_xlfn.XLOOKUP(D1793,Master[Product_Code],Master[Selling_Price])</f>
        <v>850</v>
      </c>
    </row>
    <row r="1794" spans="2:12">
      <c r="B1794" s="2" t="s">
        <v>2494</v>
      </c>
      <c r="C1794" s="7">
        <v>45988</v>
      </c>
      <c r="D1794" s="2" t="s">
        <v>1679</v>
      </c>
      <c r="E1794" s="4">
        <v>1</v>
      </c>
      <c r="F1794" s="8" t="str">
        <f>_xlfn.XLOOKUP(D1794,Master[Product_Code],Master[Category])</f>
        <v>Innerwear</v>
      </c>
      <c r="G1794" s="8" t="str">
        <f>_xlfn.XLOOKUP(D1794,Master[Product_Code],Master[Brand])</f>
        <v>Rupa</v>
      </c>
      <c r="H1794" s="8" t="str">
        <f>_xlfn.XLOOKUP(D1794,Master[Product_Code],Master[Style])</f>
        <v>Boxer</v>
      </c>
      <c r="I1794" s="8" t="str">
        <f>_xlfn.XLOOKUP(D1794,Master[Product_Code],Master[Fabric])</f>
        <v>Cotton</v>
      </c>
      <c r="J1794" s="8" t="str">
        <f>_xlfn.XLOOKUP(D1794,Master[Product_Code],Master[Size])</f>
        <v>80-85</v>
      </c>
      <c r="K1794" s="8" t="str">
        <f>_xlfn.XLOOKUP(D1794,Master[Product_Code],Master[Color])</f>
        <v>Charcoal</v>
      </c>
      <c r="L1794" s="3">
        <f>_xlfn.XLOOKUP(D1794,Master[Product_Code],Master[Selling_Price])</f>
        <v>180</v>
      </c>
    </row>
    <row r="1795" spans="2:12">
      <c r="B1795" s="2" t="s">
        <v>2494</v>
      </c>
      <c r="C1795" s="7">
        <v>45988</v>
      </c>
      <c r="D1795" s="2" t="s">
        <v>1184</v>
      </c>
      <c r="E1795" s="4">
        <v>1</v>
      </c>
      <c r="F1795" s="8" t="str">
        <f>_xlfn.XLOOKUP(D1795,Master[Product_Code],Master[Category])</f>
        <v>Pants</v>
      </c>
      <c r="G1795" s="8" t="str">
        <f>_xlfn.XLOOKUP(D1795,Master[Product_Code],Master[Brand])</f>
        <v>Louis Philippe</v>
      </c>
      <c r="H1795" s="8" t="str">
        <f>_xlfn.XLOOKUP(D1795,Master[Product_Code],Master[Style])</f>
        <v>Polofit</v>
      </c>
      <c r="I1795" s="8" t="str">
        <f>_xlfn.XLOOKUP(D1795,Master[Product_Code],Master[Fabric])</f>
        <v>Lycra</v>
      </c>
      <c r="J1795" s="8">
        <f>_xlfn.XLOOKUP(D1795,Master[Product_Code],Master[Size])</f>
        <v>28</v>
      </c>
      <c r="K1795" s="8" t="str">
        <f>_xlfn.XLOOKUP(D1795,Master[Product_Code],Master[Color])</f>
        <v>Peach</v>
      </c>
      <c r="L1795" s="3">
        <f>_xlfn.XLOOKUP(D1795,Master[Product_Code],Master[Selling_Price])</f>
        <v>730</v>
      </c>
    </row>
    <row r="1796" spans="2:12">
      <c r="B1796" s="2" t="s">
        <v>2494</v>
      </c>
      <c r="C1796" s="7">
        <v>45988</v>
      </c>
      <c r="D1796" s="2" t="s">
        <v>1054</v>
      </c>
      <c r="E1796" s="4">
        <v>1</v>
      </c>
      <c r="F1796" s="8" t="str">
        <f>_xlfn.XLOOKUP(D1796,Master[Product_Code],Master[Category])</f>
        <v>Jeans</v>
      </c>
      <c r="G1796" s="8" t="str">
        <f>_xlfn.XLOOKUP(D1796,Master[Product_Code],Master[Brand])</f>
        <v>Denim Pro</v>
      </c>
      <c r="H1796" s="8" t="str">
        <f>_xlfn.XLOOKUP(D1796,Master[Product_Code],Master[Style])</f>
        <v>Mom Fit</v>
      </c>
      <c r="I1796" s="8" t="str">
        <f>_xlfn.XLOOKUP(D1796,Master[Product_Code],Master[Fabric])</f>
        <v>Denim</v>
      </c>
      <c r="J1796" s="8">
        <f>_xlfn.XLOOKUP(D1796,Master[Product_Code],Master[Size])</f>
        <v>44</v>
      </c>
      <c r="K1796" s="8" t="str">
        <f>_xlfn.XLOOKUP(D1796,Master[Product_Code],Master[Color])</f>
        <v>Black</v>
      </c>
      <c r="L1796" s="3">
        <f>_xlfn.XLOOKUP(D1796,Master[Product_Code],Master[Selling_Price])</f>
        <v>1010</v>
      </c>
    </row>
    <row r="1797" spans="2:12">
      <c r="B1797" s="2" t="s">
        <v>2495</v>
      </c>
      <c r="C1797" s="7">
        <v>45988</v>
      </c>
      <c r="D1797" s="2" t="s">
        <v>1575</v>
      </c>
      <c r="E1797" s="4">
        <v>1</v>
      </c>
      <c r="F1797" s="8" t="str">
        <f>_xlfn.XLOOKUP(D1797,Master[Product_Code],Master[Category])</f>
        <v>Innerwear</v>
      </c>
      <c r="G1797" s="8" t="str">
        <f>_xlfn.XLOOKUP(D1797,Master[Product_Code],Master[Brand])</f>
        <v>Lux</v>
      </c>
      <c r="H1797" s="8" t="str">
        <f>_xlfn.XLOOKUP(D1797,Master[Product_Code],Master[Style])</f>
        <v>V-Cut</v>
      </c>
      <c r="I1797" s="8" t="str">
        <f>_xlfn.XLOOKUP(D1797,Master[Product_Code],Master[Fabric])</f>
        <v>Cotton Blend</v>
      </c>
      <c r="J1797" s="8" t="str">
        <f>_xlfn.XLOOKUP(D1797,Master[Product_Code],Master[Size])</f>
        <v>105-110</v>
      </c>
      <c r="K1797" s="8" t="str">
        <f>_xlfn.XLOOKUP(D1797,Master[Product_Code],Master[Color])</f>
        <v>Wine</v>
      </c>
      <c r="L1797" s="3">
        <f>_xlfn.XLOOKUP(D1797,Master[Product_Code],Master[Selling_Price])</f>
        <v>120</v>
      </c>
    </row>
    <row r="1798" spans="2:12">
      <c r="B1798" s="2" t="s">
        <v>2495</v>
      </c>
      <c r="C1798" s="7">
        <v>45988</v>
      </c>
      <c r="D1798" s="2" t="s">
        <v>1298</v>
      </c>
      <c r="E1798" s="4">
        <v>1</v>
      </c>
      <c r="F1798" s="8" t="str">
        <f>_xlfn.XLOOKUP(D1798,Master[Product_Code],Master[Category])</f>
        <v>Pants</v>
      </c>
      <c r="G1798" s="8" t="str">
        <f>_xlfn.XLOOKUP(D1798,Master[Product_Code],Master[Brand])</f>
        <v>Van Heusen</v>
      </c>
      <c r="H1798" s="8" t="str">
        <f>_xlfn.XLOOKUP(D1798,Master[Product_Code],Master[Style])</f>
        <v>Jogger</v>
      </c>
      <c r="I1798" s="8" t="str">
        <f>_xlfn.XLOOKUP(D1798,Master[Product_Code],Master[Fabric])</f>
        <v>Cotton</v>
      </c>
      <c r="J1798" s="8">
        <f>_xlfn.XLOOKUP(D1798,Master[Product_Code],Master[Size])</f>
        <v>44</v>
      </c>
      <c r="K1798" s="8" t="str">
        <f>_xlfn.XLOOKUP(D1798,Master[Product_Code],Master[Color])</f>
        <v>Black</v>
      </c>
      <c r="L1798" s="3">
        <f>_xlfn.XLOOKUP(D1798,Master[Product_Code],Master[Selling_Price])</f>
        <v>830</v>
      </c>
    </row>
    <row r="1799" spans="2:12">
      <c r="B1799" s="2" t="s">
        <v>2495</v>
      </c>
      <c r="C1799" s="7">
        <v>45988</v>
      </c>
      <c r="D1799" s="2" t="s">
        <v>1554</v>
      </c>
      <c r="E1799" s="4">
        <v>1</v>
      </c>
      <c r="F1799" s="8" t="str">
        <f>_xlfn.XLOOKUP(D1799,Master[Product_Code],Master[Category])</f>
        <v>Innerwear</v>
      </c>
      <c r="G1799" s="8" t="str">
        <f>_xlfn.XLOOKUP(D1799,Master[Product_Code],Master[Brand])</f>
        <v>Dollar</v>
      </c>
      <c r="H1799" s="8" t="str">
        <f>_xlfn.XLOOKUP(D1799,Master[Product_Code],Master[Style])</f>
        <v>Boxer</v>
      </c>
      <c r="I1799" s="8" t="str">
        <f>_xlfn.XLOOKUP(D1799,Master[Product_Code],Master[Fabric])</f>
        <v>Cotton Blend</v>
      </c>
      <c r="J1799" s="8" t="str">
        <f>_xlfn.XLOOKUP(D1799,Master[Product_Code],Master[Size])</f>
        <v>105-110</v>
      </c>
      <c r="K1799" s="8" t="str">
        <f>_xlfn.XLOOKUP(D1799,Master[Product_Code],Master[Color])</f>
        <v>Dark Green</v>
      </c>
      <c r="L1799" s="3">
        <f>_xlfn.XLOOKUP(D1799,Master[Product_Code],Master[Selling_Price])</f>
        <v>110</v>
      </c>
    </row>
    <row r="1800" spans="2:12">
      <c r="B1800" s="2" t="s">
        <v>2495</v>
      </c>
      <c r="C1800" s="7">
        <v>45988</v>
      </c>
      <c r="D1800" s="2" t="s">
        <v>671</v>
      </c>
      <c r="E1800" s="4">
        <v>1</v>
      </c>
      <c r="F1800" s="8" t="str">
        <f>_xlfn.XLOOKUP(D1800,Master[Product_Code],Master[Category])</f>
        <v>T-Shirt</v>
      </c>
      <c r="G1800" s="8" t="str">
        <f>_xlfn.XLOOKUP(D1800,Master[Product_Code],Master[Brand])</f>
        <v>Urban Monkey</v>
      </c>
      <c r="H1800" s="8" t="str">
        <f>_xlfn.XLOOKUP(D1800,Master[Product_Code],Master[Style])</f>
        <v>Hoodie</v>
      </c>
      <c r="I1800" s="8" t="str">
        <f>_xlfn.XLOOKUP(D1800,Master[Product_Code],Master[Fabric])</f>
        <v>Cotton</v>
      </c>
      <c r="J1800" s="8" t="str">
        <f>_xlfn.XLOOKUP(D1800,Master[Product_Code],Master[Size])</f>
        <v>L</v>
      </c>
      <c r="K1800" s="8" t="str">
        <f>_xlfn.XLOOKUP(D1800,Master[Product_Code],Master[Color])</f>
        <v>Bottle Green</v>
      </c>
      <c r="L1800" s="3">
        <f>_xlfn.XLOOKUP(D1800,Master[Product_Code],Master[Selling_Price])</f>
        <v>400</v>
      </c>
    </row>
    <row r="1801" spans="2:12">
      <c r="B1801" s="2" t="s">
        <v>2496</v>
      </c>
      <c r="C1801" s="7">
        <v>45988</v>
      </c>
      <c r="D1801" s="2" t="s">
        <v>624</v>
      </c>
      <c r="E1801" s="4">
        <v>1</v>
      </c>
      <c r="F1801" s="8" t="str">
        <f>_xlfn.XLOOKUP(D1801,Master[Product_Code],Master[Category])</f>
        <v>T-Shirt</v>
      </c>
      <c r="G1801" s="8" t="str">
        <f>_xlfn.XLOOKUP(D1801,Master[Product_Code],Master[Brand])</f>
        <v>Urban Monkey</v>
      </c>
      <c r="H1801" s="8" t="str">
        <f>_xlfn.XLOOKUP(D1801,Master[Product_Code],Master[Style])</f>
        <v>Half Sleeve</v>
      </c>
      <c r="I1801" s="8" t="str">
        <f>_xlfn.XLOOKUP(D1801,Master[Product_Code],Master[Fabric])</f>
        <v>Cotton</v>
      </c>
      <c r="J1801" s="8" t="str">
        <f>_xlfn.XLOOKUP(D1801,Master[Product_Code],Master[Size])</f>
        <v>M</v>
      </c>
      <c r="K1801" s="8" t="str">
        <f>_xlfn.XLOOKUP(D1801,Master[Product_Code],Master[Color])</f>
        <v>Brown</v>
      </c>
      <c r="L1801" s="3">
        <f>_xlfn.XLOOKUP(D1801,Master[Product_Code],Master[Selling_Price])</f>
        <v>560</v>
      </c>
    </row>
    <row r="1802" spans="2:12">
      <c r="B1802" s="2" t="s">
        <v>2496</v>
      </c>
      <c r="C1802" s="7">
        <v>45988</v>
      </c>
      <c r="D1802" s="2" t="s">
        <v>410</v>
      </c>
      <c r="E1802" s="4">
        <v>1</v>
      </c>
      <c r="F1802" s="8" t="str">
        <f>_xlfn.XLOOKUP(D1802,Master[Product_Code],Master[Category])</f>
        <v>T-Shirt</v>
      </c>
      <c r="G1802" s="8" t="str">
        <f>_xlfn.XLOOKUP(D1802,Master[Product_Code],Master[Brand])</f>
        <v>Thailand</v>
      </c>
      <c r="H1802" s="8" t="str">
        <f>_xlfn.XLOOKUP(D1802,Master[Product_Code],Master[Style])</f>
        <v>Sleeveless</v>
      </c>
      <c r="I1802" s="8" t="str">
        <f>_xlfn.XLOOKUP(D1802,Master[Product_Code],Master[Fabric])</f>
        <v>Poly Cotton</v>
      </c>
      <c r="J1802" s="8" t="str">
        <f>_xlfn.XLOOKUP(D1802,Master[Product_Code],Master[Size])</f>
        <v>XXL</v>
      </c>
      <c r="K1802" s="8" t="str">
        <f>_xlfn.XLOOKUP(D1802,Master[Product_Code],Master[Color])</f>
        <v>Royal Blue</v>
      </c>
      <c r="L1802" s="3">
        <f>_xlfn.XLOOKUP(D1802,Master[Product_Code],Master[Selling_Price])</f>
        <v>250</v>
      </c>
    </row>
    <row r="1803" spans="2:12">
      <c r="B1803" s="2" t="s">
        <v>2497</v>
      </c>
      <c r="C1803" s="7">
        <v>45988</v>
      </c>
      <c r="D1803" s="2" t="s">
        <v>1531</v>
      </c>
      <c r="E1803" s="4">
        <v>1</v>
      </c>
      <c r="F1803" s="8" t="str">
        <f>_xlfn.XLOOKUP(D1803,Master[Product_Code],Master[Category])</f>
        <v>Innerwear</v>
      </c>
      <c r="G1803" s="8" t="str">
        <f>_xlfn.XLOOKUP(D1803,Master[Product_Code],Master[Brand])</f>
        <v>V Star</v>
      </c>
      <c r="H1803" s="8" t="str">
        <f>_xlfn.XLOOKUP(D1803,Master[Product_Code],Master[Style])</f>
        <v>Boxer</v>
      </c>
      <c r="I1803" s="8" t="str">
        <f>_xlfn.XLOOKUP(D1803,Master[Product_Code],Master[Fabric])</f>
        <v>Cotton</v>
      </c>
      <c r="J1803" s="8" t="str">
        <f>_xlfn.XLOOKUP(D1803,Master[Product_Code],Master[Size])</f>
        <v>85-90</v>
      </c>
      <c r="K1803" s="8" t="str">
        <f>_xlfn.XLOOKUP(D1803,Master[Product_Code],Master[Color])</f>
        <v>Grey</v>
      </c>
      <c r="L1803" s="3">
        <f>_xlfn.XLOOKUP(D1803,Master[Product_Code],Master[Selling_Price])</f>
        <v>120</v>
      </c>
    </row>
    <row r="1804" spans="2:12">
      <c r="B1804" s="2" t="s">
        <v>2497</v>
      </c>
      <c r="C1804" s="7">
        <v>45988</v>
      </c>
      <c r="D1804" s="2" t="s">
        <v>1490</v>
      </c>
      <c r="E1804" s="4">
        <v>1</v>
      </c>
      <c r="F1804" s="8" t="str">
        <f>_xlfn.XLOOKUP(D1804,Master[Product_Code],Master[Category])</f>
        <v>Innerwear</v>
      </c>
      <c r="G1804" s="8" t="str">
        <f>_xlfn.XLOOKUP(D1804,Master[Product_Code],Master[Brand])</f>
        <v>Rupa</v>
      </c>
      <c r="H1804" s="8" t="str">
        <f>_xlfn.XLOOKUP(D1804,Master[Product_Code],Master[Style])</f>
        <v>Boxer</v>
      </c>
      <c r="I1804" s="8" t="str">
        <f>_xlfn.XLOOKUP(D1804,Master[Product_Code],Master[Fabric])</f>
        <v>Cotton Blend</v>
      </c>
      <c r="J1804" s="8" t="str">
        <f>_xlfn.XLOOKUP(D1804,Master[Product_Code],Master[Size])</f>
        <v>80-85</v>
      </c>
      <c r="K1804" s="8" t="str">
        <f>_xlfn.XLOOKUP(D1804,Master[Product_Code],Master[Color])</f>
        <v>Olive</v>
      </c>
      <c r="L1804" s="3">
        <f>_xlfn.XLOOKUP(D1804,Master[Product_Code],Master[Selling_Price])</f>
        <v>180</v>
      </c>
    </row>
    <row r="1805" spans="2:12">
      <c r="B1805" s="2" t="s">
        <v>2497</v>
      </c>
      <c r="C1805" s="7">
        <v>45988</v>
      </c>
      <c r="D1805" s="2" t="s">
        <v>1594</v>
      </c>
      <c r="E1805" s="4">
        <v>1</v>
      </c>
      <c r="F1805" s="8" t="str">
        <f>_xlfn.XLOOKUP(D1805,Master[Product_Code],Master[Category])</f>
        <v>Innerwear</v>
      </c>
      <c r="G1805" s="8" t="str">
        <f>_xlfn.XLOOKUP(D1805,Master[Product_Code],Master[Brand])</f>
        <v>Dollar</v>
      </c>
      <c r="H1805" s="8" t="str">
        <f>_xlfn.XLOOKUP(D1805,Master[Product_Code],Master[Style])</f>
        <v>V-Cut</v>
      </c>
      <c r="I1805" s="8" t="str">
        <f>_xlfn.XLOOKUP(D1805,Master[Product_Code],Master[Fabric])</f>
        <v>Cotton</v>
      </c>
      <c r="J1805" s="8" t="str">
        <f>_xlfn.XLOOKUP(D1805,Master[Product_Code],Master[Size])</f>
        <v>90-100</v>
      </c>
      <c r="K1805" s="8" t="str">
        <f>_xlfn.XLOOKUP(D1805,Master[Product_Code],Master[Color])</f>
        <v>Charcoal</v>
      </c>
      <c r="L1805" s="3">
        <f>_xlfn.XLOOKUP(D1805,Master[Product_Code],Master[Selling_Price])</f>
        <v>140</v>
      </c>
    </row>
    <row r="1806" spans="2:12">
      <c r="B1806" s="2" t="s">
        <v>2498</v>
      </c>
      <c r="C1806" s="7">
        <v>45988</v>
      </c>
      <c r="D1806" s="2" t="s">
        <v>763</v>
      </c>
      <c r="E1806" s="4">
        <v>1</v>
      </c>
      <c r="F1806" s="8" t="str">
        <f>_xlfn.XLOOKUP(D1806,Master[Product_Code],Master[Category])</f>
        <v>T-Shirt</v>
      </c>
      <c r="G1806" s="8" t="str">
        <f>_xlfn.XLOOKUP(D1806,Master[Product_Code],Master[Brand])</f>
        <v>Turkey</v>
      </c>
      <c r="H1806" s="8" t="str">
        <f>_xlfn.XLOOKUP(D1806,Master[Product_Code],Master[Style])</f>
        <v>Full Sleeve</v>
      </c>
      <c r="I1806" s="8" t="str">
        <f>_xlfn.XLOOKUP(D1806,Master[Product_Code],Master[Fabric])</f>
        <v>Poly Cotton</v>
      </c>
      <c r="J1806" s="8" t="str">
        <f>_xlfn.XLOOKUP(D1806,Master[Product_Code],Master[Size])</f>
        <v>XXL</v>
      </c>
      <c r="K1806" s="8" t="str">
        <f>_xlfn.XLOOKUP(D1806,Master[Product_Code],Master[Color])</f>
        <v>Maroon</v>
      </c>
      <c r="L1806" s="3">
        <f>_xlfn.XLOOKUP(D1806,Master[Product_Code],Master[Selling_Price])</f>
        <v>530</v>
      </c>
    </row>
    <row r="1807" spans="2:12">
      <c r="B1807" s="2" t="s">
        <v>2498</v>
      </c>
      <c r="C1807" s="7">
        <v>45988</v>
      </c>
      <c r="D1807" s="2" t="s">
        <v>1216</v>
      </c>
      <c r="E1807" s="4">
        <v>1</v>
      </c>
      <c r="F1807" s="8" t="str">
        <f>_xlfn.XLOOKUP(D1807,Master[Product_Code],Master[Category])</f>
        <v>Pants</v>
      </c>
      <c r="G1807" s="8" t="str">
        <f>_xlfn.XLOOKUP(D1807,Master[Product_Code],Master[Brand])</f>
        <v>Van Heusen</v>
      </c>
      <c r="H1807" s="8" t="str">
        <f>_xlfn.XLOOKUP(D1807,Master[Product_Code],Master[Style])</f>
        <v>Korean</v>
      </c>
      <c r="I1807" s="8" t="str">
        <f>_xlfn.XLOOKUP(D1807,Master[Product_Code],Master[Fabric])</f>
        <v>Lycra</v>
      </c>
      <c r="J1807" s="8">
        <f>_xlfn.XLOOKUP(D1807,Master[Product_Code],Master[Size])</f>
        <v>28</v>
      </c>
      <c r="K1807" s="8" t="str">
        <f>_xlfn.XLOOKUP(D1807,Master[Product_Code],Master[Color])</f>
        <v>Mustard</v>
      </c>
      <c r="L1807" s="3">
        <f>_xlfn.XLOOKUP(D1807,Master[Product_Code],Master[Selling_Price])</f>
        <v>740</v>
      </c>
    </row>
    <row r="1808" spans="2:12">
      <c r="B1808" s="2" t="s">
        <v>2498</v>
      </c>
      <c r="C1808" s="7">
        <v>45988</v>
      </c>
      <c r="D1808" s="2" t="s">
        <v>121</v>
      </c>
      <c r="E1808" s="4">
        <v>1</v>
      </c>
      <c r="F1808" s="8" t="str">
        <f>_xlfn.XLOOKUP(D1808,Master[Product_Code],Master[Category])</f>
        <v>Shirt</v>
      </c>
      <c r="G1808" s="8" t="str">
        <f>_xlfn.XLOOKUP(D1808,Master[Product_Code],Master[Brand])</f>
        <v>USD</v>
      </c>
      <c r="H1808" s="8" t="str">
        <f>_xlfn.XLOOKUP(D1808,Master[Product_Code],Master[Style])</f>
        <v>Partywear</v>
      </c>
      <c r="I1808" s="8" t="str">
        <f>_xlfn.XLOOKUP(D1808,Master[Product_Code],Master[Fabric])</f>
        <v>Cotton Blend</v>
      </c>
      <c r="J1808" s="8" t="str">
        <f>_xlfn.XLOOKUP(D1808,Master[Product_Code],Master[Size])</f>
        <v>XL</v>
      </c>
      <c r="K1808" s="8" t="str">
        <f>_xlfn.XLOOKUP(D1808,Master[Product_Code],Master[Color])</f>
        <v>Dark Green</v>
      </c>
      <c r="L1808" s="3">
        <f>_xlfn.XLOOKUP(D1808,Master[Product_Code],Master[Selling_Price])</f>
        <v>870</v>
      </c>
    </row>
    <row r="1809" spans="2:12">
      <c r="B1809" s="2" t="s">
        <v>2498</v>
      </c>
      <c r="C1809" s="7">
        <v>45988</v>
      </c>
      <c r="D1809" s="2" t="s">
        <v>275</v>
      </c>
      <c r="E1809" s="4">
        <v>1</v>
      </c>
      <c r="F1809" s="8" t="str">
        <f>_xlfn.XLOOKUP(D1809,Master[Product_Code],Master[Category])</f>
        <v>Shirt</v>
      </c>
      <c r="G1809" s="8" t="str">
        <f>_xlfn.XLOOKUP(D1809,Master[Product_Code],Master[Brand])</f>
        <v>H&amp;M</v>
      </c>
      <c r="H1809" s="8" t="str">
        <f>_xlfn.XLOOKUP(D1809,Master[Product_Code],Master[Style])</f>
        <v>Partywear</v>
      </c>
      <c r="I1809" s="8" t="str">
        <f>_xlfn.XLOOKUP(D1809,Master[Product_Code],Master[Fabric])</f>
        <v>Polyester</v>
      </c>
      <c r="J1809" s="8" t="str">
        <f>_xlfn.XLOOKUP(D1809,Master[Product_Code],Master[Size])</f>
        <v>L</v>
      </c>
      <c r="K1809" s="8" t="str">
        <f>_xlfn.XLOOKUP(D1809,Master[Product_Code],Master[Color])</f>
        <v>Beige</v>
      </c>
      <c r="L1809" s="3">
        <f>_xlfn.XLOOKUP(D1809,Master[Product_Code],Master[Selling_Price])</f>
        <v>660</v>
      </c>
    </row>
    <row r="1810" spans="2:12">
      <c r="B1810" s="2" t="s">
        <v>2499</v>
      </c>
      <c r="C1810" s="7">
        <v>45988</v>
      </c>
      <c r="D1810" s="2" t="s">
        <v>925</v>
      </c>
      <c r="E1810" s="4">
        <v>1</v>
      </c>
      <c r="F1810" s="8" t="str">
        <f>_xlfn.XLOOKUP(D1810,Master[Product_Code],Master[Category])</f>
        <v>Jeans</v>
      </c>
      <c r="G1810" s="8" t="str">
        <f>_xlfn.XLOOKUP(D1810,Master[Product_Code],Master[Brand])</f>
        <v>Denim Pro</v>
      </c>
      <c r="H1810" s="8" t="str">
        <f>_xlfn.XLOOKUP(D1810,Master[Product_Code],Master[Style])</f>
        <v>Baggy</v>
      </c>
      <c r="I1810" s="8" t="str">
        <f>_xlfn.XLOOKUP(D1810,Master[Product_Code],Master[Fabric])</f>
        <v>Denim</v>
      </c>
      <c r="J1810" s="8">
        <f>_xlfn.XLOOKUP(D1810,Master[Product_Code],Master[Size])</f>
        <v>30</v>
      </c>
      <c r="K1810" s="8" t="str">
        <f>_xlfn.XLOOKUP(D1810,Master[Product_Code],Master[Color])</f>
        <v>Sky Blue</v>
      </c>
      <c r="L1810" s="3">
        <f>_xlfn.XLOOKUP(D1810,Master[Product_Code],Master[Selling_Price])</f>
        <v>840</v>
      </c>
    </row>
    <row r="1811" spans="2:12">
      <c r="B1811" s="2" t="s">
        <v>2499</v>
      </c>
      <c r="C1811" s="7">
        <v>45988</v>
      </c>
      <c r="D1811" s="2" t="s">
        <v>120</v>
      </c>
      <c r="E1811" s="4">
        <v>1</v>
      </c>
      <c r="F1811" s="8" t="str">
        <f>_xlfn.XLOOKUP(D1811,Master[Product_Code],Master[Category])</f>
        <v>Shirt</v>
      </c>
      <c r="G1811" s="8" t="str">
        <f>_xlfn.XLOOKUP(D1811,Master[Product_Code],Master[Brand])</f>
        <v>Thailand</v>
      </c>
      <c r="H1811" s="8" t="str">
        <f>_xlfn.XLOOKUP(D1811,Master[Product_Code],Master[Style])</f>
        <v>Partywear</v>
      </c>
      <c r="I1811" s="8" t="str">
        <f>_xlfn.XLOOKUP(D1811,Master[Product_Code],Master[Fabric])</f>
        <v>Lycra</v>
      </c>
      <c r="J1811" s="8" t="str">
        <f>_xlfn.XLOOKUP(D1811,Master[Product_Code],Master[Size])</f>
        <v>M</v>
      </c>
      <c r="K1811" s="8" t="str">
        <f>_xlfn.XLOOKUP(D1811,Master[Product_Code],Master[Color])</f>
        <v>Bottle Green</v>
      </c>
      <c r="L1811" s="3">
        <f>_xlfn.XLOOKUP(D1811,Master[Product_Code],Master[Selling_Price])</f>
        <v>880</v>
      </c>
    </row>
    <row r="1812" spans="2:12">
      <c r="B1812" s="2" t="s">
        <v>2500</v>
      </c>
      <c r="C1812" s="7">
        <v>45988</v>
      </c>
      <c r="D1812" s="2" t="s">
        <v>607</v>
      </c>
      <c r="E1812" s="4">
        <v>1</v>
      </c>
      <c r="F1812" s="8" t="str">
        <f>_xlfn.XLOOKUP(D1812,Master[Product_Code],Master[Category])</f>
        <v>T-Shirt</v>
      </c>
      <c r="G1812" s="8" t="str">
        <f>_xlfn.XLOOKUP(D1812,Master[Product_Code],Master[Brand])</f>
        <v>Max</v>
      </c>
      <c r="H1812" s="8" t="str">
        <f>_xlfn.XLOOKUP(D1812,Master[Product_Code],Master[Style])</f>
        <v>Half Sleeve</v>
      </c>
      <c r="I1812" s="8" t="str">
        <f>_xlfn.XLOOKUP(D1812,Master[Product_Code],Master[Fabric])</f>
        <v>Cotton Blend</v>
      </c>
      <c r="J1812" s="8" t="str">
        <f>_xlfn.XLOOKUP(D1812,Master[Product_Code],Master[Size])</f>
        <v>XL</v>
      </c>
      <c r="K1812" s="8" t="str">
        <f>_xlfn.XLOOKUP(D1812,Master[Product_Code],Master[Color])</f>
        <v>Cream</v>
      </c>
      <c r="L1812" s="3">
        <f>_xlfn.XLOOKUP(D1812,Master[Product_Code],Master[Selling_Price])</f>
        <v>340</v>
      </c>
    </row>
    <row r="1813" spans="2:12">
      <c r="B1813" s="2" t="s">
        <v>2500</v>
      </c>
      <c r="C1813" s="7">
        <v>45988</v>
      </c>
      <c r="D1813" s="2" t="s">
        <v>1343</v>
      </c>
      <c r="E1813" s="4">
        <v>1</v>
      </c>
      <c r="F1813" s="8" t="str">
        <f>_xlfn.XLOOKUP(D1813,Master[Product_Code],Master[Category])</f>
        <v>Pants</v>
      </c>
      <c r="G1813" s="8" t="str">
        <f>_xlfn.XLOOKUP(D1813,Master[Product_Code],Master[Brand])</f>
        <v>Park Avenue</v>
      </c>
      <c r="H1813" s="8" t="str">
        <f>_xlfn.XLOOKUP(D1813,Master[Product_Code],Master[Style])</f>
        <v>Korean</v>
      </c>
      <c r="I1813" s="8" t="str">
        <f>_xlfn.XLOOKUP(D1813,Master[Product_Code],Master[Fabric])</f>
        <v>Lycra</v>
      </c>
      <c r="J1813" s="8">
        <f>_xlfn.XLOOKUP(D1813,Master[Product_Code],Master[Size])</f>
        <v>28</v>
      </c>
      <c r="K1813" s="8" t="str">
        <f>_xlfn.XLOOKUP(D1813,Master[Product_Code],Master[Color])</f>
        <v>Sky Blue</v>
      </c>
      <c r="L1813" s="3">
        <f>_xlfn.XLOOKUP(D1813,Master[Product_Code],Master[Selling_Price])</f>
        <v>790</v>
      </c>
    </row>
    <row r="1814" spans="2:12">
      <c r="B1814" s="2" t="s">
        <v>2501</v>
      </c>
      <c r="C1814" s="7">
        <v>45988</v>
      </c>
      <c r="D1814" s="2" t="s">
        <v>1540</v>
      </c>
      <c r="E1814" s="4">
        <v>1</v>
      </c>
      <c r="F1814" s="8" t="str">
        <f>_xlfn.XLOOKUP(D1814,Master[Product_Code],Master[Category])</f>
        <v>Innerwear</v>
      </c>
      <c r="G1814" s="8" t="str">
        <f>_xlfn.XLOOKUP(D1814,Master[Product_Code],Master[Brand])</f>
        <v>Rupa</v>
      </c>
      <c r="H1814" s="8" t="str">
        <f>_xlfn.XLOOKUP(D1814,Master[Product_Code],Master[Style])</f>
        <v>V-Cut</v>
      </c>
      <c r="I1814" s="8" t="str">
        <f>_xlfn.XLOOKUP(D1814,Master[Product_Code],Master[Fabric])</f>
        <v>Cotton Blend</v>
      </c>
      <c r="J1814" s="8" t="str">
        <f>_xlfn.XLOOKUP(D1814,Master[Product_Code],Master[Size])</f>
        <v>100-105</v>
      </c>
      <c r="K1814" s="8" t="str">
        <f>_xlfn.XLOOKUP(D1814,Master[Product_Code],Master[Color])</f>
        <v>Wine</v>
      </c>
      <c r="L1814" s="3">
        <f>_xlfn.XLOOKUP(D1814,Master[Product_Code],Master[Selling_Price])</f>
        <v>110</v>
      </c>
    </row>
    <row r="1815" spans="2:12">
      <c r="B1815" s="2" t="s">
        <v>2501</v>
      </c>
      <c r="C1815" s="7">
        <v>45988</v>
      </c>
      <c r="D1815" s="2" t="s">
        <v>579</v>
      </c>
      <c r="E1815" s="4">
        <v>1</v>
      </c>
      <c r="F1815" s="8" t="str">
        <f>_xlfn.XLOOKUP(D1815,Master[Product_Code],Master[Category])</f>
        <v>T-Shirt</v>
      </c>
      <c r="G1815" s="8" t="str">
        <f>_xlfn.XLOOKUP(D1815,Master[Product_Code],Master[Brand])</f>
        <v>Turkey</v>
      </c>
      <c r="H1815" s="8" t="str">
        <f>_xlfn.XLOOKUP(D1815,Master[Product_Code],Master[Style])</f>
        <v>Sleeveless</v>
      </c>
      <c r="I1815" s="8" t="str">
        <f>_xlfn.XLOOKUP(D1815,Master[Product_Code],Master[Fabric])</f>
        <v>Poly Cotton</v>
      </c>
      <c r="J1815" s="8" t="str">
        <f>_xlfn.XLOOKUP(D1815,Master[Product_Code],Master[Size])</f>
        <v>L</v>
      </c>
      <c r="K1815" s="8" t="str">
        <f>_xlfn.XLOOKUP(D1815,Master[Product_Code],Master[Color])</f>
        <v>Olive</v>
      </c>
      <c r="L1815" s="3">
        <f>_xlfn.XLOOKUP(D1815,Master[Product_Code],Master[Selling_Price])</f>
        <v>610</v>
      </c>
    </row>
    <row r="1816" spans="2:12">
      <c r="B1816" s="2" t="s">
        <v>2502</v>
      </c>
      <c r="C1816" s="7">
        <v>45989</v>
      </c>
      <c r="D1816" s="2" t="s">
        <v>1177</v>
      </c>
      <c r="E1816" s="4">
        <v>1</v>
      </c>
      <c r="F1816" s="8" t="str">
        <f>_xlfn.XLOOKUP(D1816,Master[Product_Code],Master[Category])</f>
        <v>Pants</v>
      </c>
      <c r="G1816" s="8" t="str">
        <f>_xlfn.XLOOKUP(D1816,Master[Product_Code],Master[Brand])</f>
        <v>Raymond</v>
      </c>
      <c r="H1816" s="8" t="str">
        <f>_xlfn.XLOOKUP(D1816,Master[Product_Code],Master[Style])</f>
        <v>Kurka</v>
      </c>
      <c r="I1816" s="8" t="str">
        <f>_xlfn.XLOOKUP(D1816,Master[Product_Code],Master[Fabric])</f>
        <v>Lycra</v>
      </c>
      <c r="J1816" s="8">
        <f>_xlfn.XLOOKUP(D1816,Master[Product_Code],Master[Size])</f>
        <v>36</v>
      </c>
      <c r="K1816" s="8" t="str">
        <f>_xlfn.XLOOKUP(D1816,Master[Product_Code],Master[Color])</f>
        <v>Teal</v>
      </c>
      <c r="L1816" s="3">
        <f>_xlfn.XLOOKUP(D1816,Master[Product_Code],Master[Selling_Price])</f>
        <v>750</v>
      </c>
    </row>
    <row r="1817" spans="2:12">
      <c r="B1817" s="2" t="s">
        <v>2502</v>
      </c>
      <c r="C1817" s="7">
        <v>45989</v>
      </c>
      <c r="D1817" s="2" t="s">
        <v>125</v>
      </c>
      <c r="E1817" s="4">
        <v>1</v>
      </c>
      <c r="F1817" s="8" t="str">
        <f>_xlfn.XLOOKUP(D1817,Master[Product_Code],Master[Category])</f>
        <v>Shirt</v>
      </c>
      <c r="G1817" s="8" t="str">
        <f>_xlfn.XLOOKUP(D1817,Master[Product_Code],Master[Brand])</f>
        <v>G Studio</v>
      </c>
      <c r="H1817" s="8" t="str">
        <f>_xlfn.XLOOKUP(D1817,Master[Product_Code],Master[Style])</f>
        <v>Formal</v>
      </c>
      <c r="I1817" s="8" t="str">
        <f>_xlfn.XLOOKUP(D1817,Master[Product_Code],Master[Fabric])</f>
        <v>Cotton</v>
      </c>
      <c r="J1817" s="8" t="str">
        <f>_xlfn.XLOOKUP(D1817,Master[Product_Code],Master[Size])</f>
        <v>S</v>
      </c>
      <c r="K1817" s="8" t="str">
        <f>_xlfn.XLOOKUP(D1817,Master[Product_Code],Master[Color])</f>
        <v>Charcoal</v>
      </c>
      <c r="L1817" s="3">
        <f>_xlfn.XLOOKUP(D1817,Master[Product_Code],Master[Selling_Price])</f>
        <v>710</v>
      </c>
    </row>
    <row r="1818" spans="2:12">
      <c r="B1818" s="2" t="s">
        <v>2502</v>
      </c>
      <c r="C1818" s="7">
        <v>45989</v>
      </c>
      <c r="D1818" s="2" t="s">
        <v>545</v>
      </c>
      <c r="E1818" s="4">
        <v>1</v>
      </c>
      <c r="F1818" s="8" t="str">
        <f>_xlfn.XLOOKUP(D1818,Master[Product_Code],Master[Category])</f>
        <v>T-Shirt</v>
      </c>
      <c r="G1818" s="8" t="str">
        <f>_xlfn.XLOOKUP(D1818,Master[Product_Code],Master[Brand])</f>
        <v>Zara</v>
      </c>
      <c r="H1818" s="8" t="str">
        <f>_xlfn.XLOOKUP(D1818,Master[Product_Code],Master[Style])</f>
        <v>Sleeveless</v>
      </c>
      <c r="I1818" s="8" t="str">
        <f>_xlfn.XLOOKUP(D1818,Master[Product_Code],Master[Fabric])</f>
        <v>Cotton</v>
      </c>
      <c r="J1818" s="8" t="str">
        <f>_xlfn.XLOOKUP(D1818,Master[Product_Code],Master[Size])</f>
        <v>XL</v>
      </c>
      <c r="K1818" s="8" t="str">
        <f>_xlfn.XLOOKUP(D1818,Master[Product_Code],Master[Color])</f>
        <v>Brown</v>
      </c>
      <c r="L1818" s="3">
        <f>_xlfn.XLOOKUP(D1818,Master[Product_Code],Master[Selling_Price])</f>
        <v>580</v>
      </c>
    </row>
    <row r="1819" spans="2:12">
      <c r="B1819" s="2" t="s">
        <v>2503</v>
      </c>
      <c r="C1819" s="7">
        <v>45989</v>
      </c>
      <c r="D1819" s="2" t="s">
        <v>867</v>
      </c>
      <c r="E1819" s="4">
        <v>1</v>
      </c>
      <c r="F1819" s="8" t="str">
        <f>_xlfn.XLOOKUP(D1819,Master[Product_Code],Master[Category])</f>
        <v>Jeans</v>
      </c>
      <c r="G1819" s="8" t="str">
        <f>_xlfn.XLOOKUP(D1819,Master[Product_Code],Master[Brand])</f>
        <v>Pepe</v>
      </c>
      <c r="H1819" s="8" t="str">
        <f>_xlfn.XLOOKUP(D1819,Master[Product_Code],Master[Style])</f>
        <v>Jogger</v>
      </c>
      <c r="I1819" s="8" t="str">
        <f>_xlfn.XLOOKUP(D1819,Master[Product_Code],Master[Fabric])</f>
        <v>Denim</v>
      </c>
      <c r="J1819" s="8">
        <f>_xlfn.XLOOKUP(D1819,Master[Product_Code],Master[Size])</f>
        <v>32</v>
      </c>
      <c r="K1819" s="8" t="str">
        <f>_xlfn.XLOOKUP(D1819,Master[Product_Code],Master[Color])</f>
        <v>Sky Blue</v>
      </c>
      <c r="L1819" s="3">
        <f>_xlfn.XLOOKUP(D1819,Master[Product_Code],Master[Selling_Price])</f>
        <v>820</v>
      </c>
    </row>
    <row r="1820" spans="2:12">
      <c r="B1820" s="2" t="s">
        <v>2503</v>
      </c>
      <c r="C1820" s="7">
        <v>45989</v>
      </c>
      <c r="D1820" s="2" t="s">
        <v>1363</v>
      </c>
      <c r="E1820" s="4">
        <v>1</v>
      </c>
      <c r="F1820" s="8" t="str">
        <f>_xlfn.XLOOKUP(D1820,Master[Product_Code],Master[Category])</f>
        <v>Pants</v>
      </c>
      <c r="G1820" s="8" t="str">
        <f>_xlfn.XLOOKUP(D1820,Master[Product_Code],Master[Brand])</f>
        <v>Raymond</v>
      </c>
      <c r="H1820" s="8" t="str">
        <f>_xlfn.XLOOKUP(D1820,Master[Product_Code],Master[Style])</f>
        <v>Jogger</v>
      </c>
      <c r="I1820" s="8" t="str">
        <f>_xlfn.XLOOKUP(D1820,Master[Product_Code],Master[Fabric])</f>
        <v>Cotton Blend</v>
      </c>
      <c r="J1820" s="8">
        <f>_xlfn.XLOOKUP(D1820,Master[Product_Code],Master[Size])</f>
        <v>36</v>
      </c>
      <c r="K1820" s="8" t="str">
        <f>_xlfn.XLOOKUP(D1820,Master[Product_Code],Master[Color])</f>
        <v>Dark Green</v>
      </c>
      <c r="L1820" s="3">
        <f>_xlfn.XLOOKUP(D1820,Master[Product_Code],Master[Selling_Price])</f>
        <v>760</v>
      </c>
    </row>
    <row r="1821" spans="2:12">
      <c r="B1821" s="2" t="s">
        <v>2503</v>
      </c>
      <c r="C1821" s="7">
        <v>45989</v>
      </c>
      <c r="D1821" s="2" t="s">
        <v>693</v>
      </c>
      <c r="E1821" s="4">
        <v>1</v>
      </c>
      <c r="F1821" s="8" t="str">
        <f>_xlfn.XLOOKUP(D1821,Master[Product_Code],Master[Category])</f>
        <v>T-Shirt</v>
      </c>
      <c r="G1821" s="8" t="str">
        <f>_xlfn.XLOOKUP(D1821,Master[Product_Code],Master[Brand])</f>
        <v>Roadster</v>
      </c>
      <c r="H1821" s="8" t="str">
        <f>_xlfn.XLOOKUP(D1821,Master[Product_Code],Master[Style])</f>
        <v>Half Sleeve</v>
      </c>
      <c r="I1821" s="8" t="str">
        <f>_xlfn.XLOOKUP(D1821,Master[Product_Code],Master[Fabric])</f>
        <v>Cotton</v>
      </c>
      <c r="J1821" s="8" t="str">
        <f>_xlfn.XLOOKUP(D1821,Master[Product_Code],Master[Size])</f>
        <v>XXL</v>
      </c>
      <c r="K1821" s="8" t="str">
        <f>_xlfn.XLOOKUP(D1821,Master[Product_Code],Master[Color])</f>
        <v>Royal Blue</v>
      </c>
      <c r="L1821" s="3">
        <f>_xlfn.XLOOKUP(D1821,Master[Product_Code],Master[Selling_Price])</f>
        <v>610</v>
      </c>
    </row>
    <row r="1822" spans="2:12">
      <c r="B1822" s="2" t="s">
        <v>2503</v>
      </c>
      <c r="C1822" s="7">
        <v>45989</v>
      </c>
      <c r="D1822" s="2" t="s">
        <v>551</v>
      </c>
      <c r="E1822" s="4">
        <v>1</v>
      </c>
      <c r="F1822" s="8" t="str">
        <f>_xlfn.XLOOKUP(D1822,Master[Product_Code],Master[Category])</f>
        <v>T-Shirt</v>
      </c>
      <c r="G1822" s="8" t="str">
        <f>_xlfn.XLOOKUP(D1822,Master[Product_Code],Master[Brand])</f>
        <v>Turkey</v>
      </c>
      <c r="H1822" s="8" t="str">
        <f>_xlfn.XLOOKUP(D1822,Master[Product_Code],Master[Style])</f>
        <v>Sleeveless</v>
      </c>
      <c r="I1822" s="8" t="str">
        <f>_xlfn.XLOOKUP(D1822,Master[Product_Code],Master[Fabric])</f>
        <v>Cotton Blend</v>
      </c>
      <c r="J1822" s="8" t="str">
        <f>_xlfn.XLOOKUP(D1822,Master[Product_Code],Master[Size])</f>
        <v>S</v>
      </c>
      <c r="K1822" s="8" t="str">
        <f>_xlfn.XLOOKUP(D1822,Master[Product_Code],Master[Color])</f>
        <v>Maroon</v>
      </c>
      <c r="L1822" s="3">
        <f>_xlfn.XLOOKUP(D1822,Master[Product_Code],Master[Selling_Price])</f>
        <v>590</v>
      </c>
    </row>
    <row r="1823" spans="2:12">
      <c r="B1823" s="2" t="s">
        <v>2504</v>
      </c>
      <c r="C1823" s="7">
        <v>45989</v>
      </c>
      <c r="D1823" s="2" t="s">
        <v>567</v>
      </c>
      <c r="E1823" s="4">
        <v>1</v>
      </c>
      <c r="F1823" s="8" t="str">
        <f>_xlfn.XLOOKUP(D1823,Master[Product_Code],Master[Category])</f>
        <v>T-Shirt</v>
      </c>
      <c r="G1823" s="8" t="str">
        <f>_xlfn.XLOOKUP(D1823,Master[Product_Code],Master[Brand])</f>
        <v>Max</v>
      </c>
      <c r="H1823" s="8" t="str">
        <f>_xlfn.XLOOKUP(D1823,Master[Product_Code],Master[Style])</f>
        <v>Sleeveless</v>
      </c>
      <c r="I1823" s="8" t="str">
        <f>_xlfn.XLOOKUP(D1823,Master[Product_Code],Master[Fabric])</f>
        <v>Cotton</v>
      </c>
      <c r="J1823" s="8" t="str">
        <f>_xlfn.XLOOKUP(D1823,Master[Product_Code],Master[Size])</f>
        <v>XL</v>
      </c>
      <c r="K1823" s="8" t="str">
        <f>_xlfn.XLOOKUP(D1823,Master[Product_Code],Master[Color])</f>
        <v>Bottle Green</v>
      </c>
      <c r="L1823" s="3">
        <f>_xlfn.XLOOKUP(D1823,Master[Product_Code],Master[Selling_Price])</f>
        <v>730</v>
      </c>
    </row>
    <row r="1824" spans="2:12">
      <c r="B1824" s="2" t="s">
        <v>2505</v>
      </c>
      <c r="C1824" s="7">
        <v>45989</v>
      </c>
      <c r="D1824" s="2" t="s">
        <v>1241</v>
      </c>
      <c r="E1824" s="4">
        <v>1</v>
      </c>
      <c r="F1824" s="8" t="str">
        <f>_xlfn.XLOOKUP(D1824,Master[Product_Code],Master[Category])</f>
        <v>Pants</v>
      </c>
      <c r="G1824" s="8" t="str">
        <f>_xlfn.XLOOKUP(D1824,Master[Product_Code],Master[Brand])</f>
        <v>Raymond</v>
      </c>
      <c r="H1824" s="8" t="str">
        <f>_xlfn.XLOOKUP(D1824,Master[Product_Code],Master[Style])</f>
        <v>Kurka</v>
      </c>
      <c r="I1824" s="8" t="str">
        <f>_xlfn.XLOOKUP(D1824,Master[Product_Code],Master[Fabric])</f>
        <v>Lycra</v>
      </c>
      <c r="J1824" s="8">
        <f>_xlfn.XLOOKUP(D1824,Master[Product_Code],Master[Size])</f>
        <v>30</v>
      </c>
      <c r="K1824" s="8" t="str">
        <f>_xlfn.XLOOKUP(D1824,Master[Product_Code],Master[Color])</f>
        <v>Mustard</v>
      </c>
      <c r="L1824" s="3">
        <f>_xlfn.XLOOKUP(D1824,Master[Product_Code],Master[Selling_Price])</f>
        <v>880</v>
      </c>
    </row>
    <row r="1825" spans="2:12">
      <c r="B1825" s="2" t="s">
        <v>2505</v>
      </c>
      <c r="C1825" s="7">
        <v>45989</v>
      </c>
      <c r="D1825" s="2" t="s">
        <v>934</v>
      </c>
      <c r="E1825" s="4">
        <v>1</v>
      </c>
      <c r="F1825" s="8" t="str">
        <f>_xlfn.XLOOKUP(D1825,Master[Product_Code],Master[Category])</f>
        <v>Jeans</v>
      </c>
      <c r="G1825" s="8" t="str">
        <f>_xlfn.XLOOKUP(D1825,Master[Product_Code],Master[Brand])</f>
        <v>Spykar</v>
      </c>
      <c r="H1825" s="8" t="str">
        <f>_xlfn.XLOOKUP(D1825,Master[Product_Code],Master[Style])</f>
        <v>Jogger</v>
      </c>
      <c r="I1825" s="8" t="str">
        <f>_xlfn.XLOOKUP(D1825,Master[Product_Code],Master[Fabric])</f>
        <v>Denim</v>
      </c>
      <c r="J1825" s="8">
        <f>_xlfn.XLOOKUP(D1825,Master[Product_Code],Master[Size])</f>
        <v>44</v>
      </c>
      <c r="K1825" s="8" t="str">
        <f>_xlfn.XLOOKUP(D1825,Master[Product_Code],Master[Color])</f>
        <v>Black</v>
      </c>
      <c r="L1825" s="3">
        <f>_xlfn.XLOOKUP(D1825,Master[Product_Code],Master[Selling_Price])</f>
        <v>840</v>
      </c>
    </row>
    <row r="1826" spans="2:12">
      <c r="B1826" s="2" t="s">
        <v>2505</v>
      </c>
      <c r="C1826" s="7">
        <v>45989</v>
      </c>
      <c r="D1826" s="2" t="s">
        <v>145</v>
      </c>
      <c r="E1826" s="4">
        <v>1</v>
      </c>
      <c r="F1826" s="8" t="str">
        <f>_xlfn.XLOOKUP(D1826,Master[Product_Code],Master[Category])</f>
        <v>Shirt</v>
      </c>
      <c r="G1826" s="8" t="str">
        <f>_xlfn.XLOOKUP(D1826,Master[Product_Code],Master[Brand])</f>
        <v>L7</v>
      </c>
      <c r="H1826" s="8" t="str">
        <f>_xlfn.XLOOKUP(D1826,Master[Product_Code],Master[Style])</f>
        <v>Partywear</v>
      </c>
      <c r="I1826" s="8" t="str">
        <f>_xlfn.XLOOKUP(D1826,Master[Product_Code],Master[Fabric])</f>
        <v>Lycra</v>
      </c>
      <c r="J1826" s="8" t="str">
        <f>_xlfn.XLOOKUP(D1826,Master[Product_Code],Master[Size])</f>
        <v>XL</v>
      </c>
      <c r="K1826" s="8" t="str">
        <f>_xlfn.XLOOKUP(D1826,Master[Product_Code],Master[Color])</f>
        <v>Beige</v>
      </c>
      <c r="L1826" s="3">
        <f>_xlfn.XLOOKUP(D1826,Master[Product_Code],Master[Selling_Price])</f>
        <v>870</v>
      </c>
    </row>
    <row r="1827" spans="2:12">
      <c r="B1827" s="2" t="s">
        <v>2506</v>
      </c>
      <c r="C1827" s="7">
        <v>45989</v>
      </c>
      <c r="D1827" s="2" t="s">
        <v>377</v>
      </c>
      <c r="E1827" s="4">
        <v>1</v>
      </c>
      <c r="F1827" s="8" t="str">
        <f>_xlfn.XLOOKUP(D1827,Master[Product_Code],Master[Category])</f>
        <v>Shirt</v>
      </c>
      <c r="G1827" s="8" t="str">
        <f>_xlfn.XLOOKUP(D1827,Master[Product_Code],Master[Brand])</f>
        <v>British</v>
      </c>
      <c r="H1827" s="8" t="str">
        <f>_xlfn.XLOOKUP(D1827,Master[Product_Code],Master[Style])</f>
        <v>Partywear</v>
      </c>
      <c r="I1827" s="8" t="str">
        <f>_xlfn.XLOOKUP(D1827,Master[Product_Code],Master[Fabric])</f>
        <v>Lycra</v>
      </c>
      <c r="J1827" s="8" t="str">
        <f>_xlfn.XLOOKUP(D1827,Master[Product_Code],Master[Size])</f>
        <v>S</v>
      </c>
      <c r="K1827" s="8" t="str">
        <f>_xlfn.XLOOKUP(D1827,Master[Product_Code],Master[Color])</f>
        <v>Sky Blue</v>
      </c>
      <c r="L1827" s="3">
        <f>_xlfn.XLOOKUP(D1827,Master[Product_Code],Master[Selling_Price])</f>
        <v>720</v>
      </c>
    </row>
    <row r="1828" spans="2:12">
      <c r="B1828" s="2" t="s">
        <v>2506</v>
      </c>
      <c r="C1828" s="7">
        <v>45989</v>
      </c>
      <c r="D1828" s="2" t="s">
        <v>1508</v>
      </c>
      <c r="E1828" s="4">
        <v>1</v>
      </c>
      <c r="F1828" s="8" t="str">
        <f>_xlfn.XLOOKUP(D1828,Master[Product_Code],Master[Category])</f>
        <v>Innerwear</v>
      </c>
      <c r="G1828" s="8" t="str">
        <f>_xlfn.XLOOKUP(D1828,Master[Product_Code],Master[Brand])</f>
        <v>Lux</v>
      </c>
      <c r="H1828" s="8" t="str">
        <f>_xlfn.XLOOKUP(D1828,Master[Product_Code],Master[Style])</f>
        <v>V-Cut</v>
      </c>
      <c r="I1828" s="8" t="str">
        <f>_xlfn.XLOOKUP(D1828,Master[Product_Code],Master[Fabric])</f>
        <v>Cotton Blend</v>
      </c>
      <c r="J1828" s="8" t="str">
        <f>_xlfn.XLOOKUP(D1828,Master[Product_Code],Master[Size])</f>
        <v>105-110</v>
      </c>
      <c r="K1828" s="8" t="str">
        <f>_xlfn.XLOOKUP(D1828,Master[Product_Code],Master[Color])</f>
        <v>Mustard</v>
      </c>
      <c r="L1828" s="3">
        <f>_xlfn.XLOOKUP(D1828,Master[Product_Code],Master[Selling_Price])</f>
        <v>130</v>
      </c>
    </row>
    <row r="1829" spans="2:12">
      <c r="B1829" s="2" t="s">
        <v>2507</v>
      </c>
      <c r="C1829" s="7">
        <v>45989</v>
      </c>
      <c r="D1829" s="2" t="s">
        <v>1206</v>
      </c>
      <c r="E1829" s="4">
        <v>1</v>
      </c>
      <c r="F1829" s="8" t="str">
        <f>_xlfn.XLOOKUP(D1829,Master[Product_Code],Master[Category])</f>
        <v>Pants</v>
      </c>
      <c r="G1829" s="8" t="str">
        <f>_xlfn.XLOOKUP(D1829,Master[Product_Code],Master[Brand])</f>
        <v>Raymond</v>
      </c>
      <c r="H1829" s="8" t="str">
        <f>_xlfn.XLOOKUP(D1829,Master[Product_Code],Master[Style])</f>
        <v>Kurka</v>
      </c>
      <c r="I1829" s="8" t="str">
        <f>_xlfn.XLOOKUP(D1829,Master[Product_Code],Master[Fabric])</f>
        <v>Lycra</v>
      </c>
      <c r="J1829" s="8">
        <f>_xlfn.XLOOKUP(D1829,Master[Product_Code],Master[Size])</f>
        <v>38</v>
      </c>
      <c r="K1829" s="8" t="str">
        <f>_xlfn.XLOOKUP(D1829,Master[Product_Code],Master[Color])</f>
        <v>Maroon</v>
      </c>
      <c r="L1829" s="3">
        <f>_xlfn.XLOOKUP(D1829,Master[Product_Code],Master[Selling_Price])</f>
        <v>940</v>
      </c>
    </row>
    <row r="1830" spans="2:12">
      <c r="B1830" s="2" t="s">
        <v>2507</v>
      </c>
      <c r="C1830" s="7">
        <v>45989</v>
      </c>
      <c r="D1830" s="2" t="s">
        <v>766</v>
      </c>
      <c r="E1830" s="4">
        <v>1</v>
      </c>
      <c r="F1830" s="8" t="str">
        <f>_xlfn.XLOOKUP(D1830,Master[Product_Code],Master[Category])</f>
        <v>T-Shirt</v>
      </c>
      <c r="G1830" s="8" t="str">
        <f>_xlfn.XLOOKUP(D1830,Master[Product_Code],Master[Brand])</f>
        <v>Max</v>
      </c>
      <c r="H1830" s="8" t="str">
        <f>_xlfn.XLOOKUP(D1830,Master[Product_Code],Master[Style])</f>
        <v>Sleeveless</v>
      </c>
      <c r="I1830" s="8" t="str">
        <f>_xlfn.XLOOKUP(D1830,Master[Product_Code],Master[Fabric])</f>
        <v>Cotton</v>
      </c>
      <c r="J1830" s="8" t="str">
        <f>_xlfn.XLOOKUP(D1830,Master[Product_Code],Master[Size])</f>
        <v>S</v>
      </c>
      <c r="K1830" s="8" t="str">
        <f>_xlfn.XLOOKUP(D1830,Master[Product_Code],Master[Color])</f>
        <v>Mustard</v>
      </c>
      <c r="L1830" s="3">
        <f>_xlfn.XLOOKUP(D1830,Master[Product_Code],Master[Selling_Price])</f>
        <v>490</v>
      </c>
    </row>
    <row r="1831" spans="2:12">
      <c r="B1831" s="2" t="s">
        <v>2508</v>
      </c>
      <c r="C1831" s="7">
        <v>45989</v>
      </c>
      <c r="D1831" s="2" t="s">
        <v>1390</v>
      </c>
      <c r="E1831" s="4">
        <v>1</v>
      </c>
      <c r="F1831" s="8" t="str">
        <f>_xlfn.XLOOKUP(D1831,Master[Product_Code],Master[Category])</f>
        <v>Pants</v>
      </c>
      <c r="G1831" s="8" t="str">
        <f>_xlfn.XLOOKUP(D1831,Master[Product_Code],Master[Brand])</f>
        <v>Louis Philippe</v>
      </c>
      <c r="H1831" s="8" t="str">
        <f>_xlfn.XLOOKUP(D1831,Master[Product_Code],Master[Style])</f>
        <v>Jogger</v>
      </c>
      <c r="I1831" s="8" t="str">
        <f>_xlfn.XLOOKUP(D1831,Master[Product_Code],Master[Fabric])</f>
        <v>Poly Viscose</v>
      </c>
      <c r="J1831" s="8">
        <f>_xlfn.XLOOKUP(D1831,Master[Product_Code],Master[Size])</f>
        <v>40</v>
      </c>
      <c r="K1831" s="8" t="str">
        <f>_xlfn.XLOOKUP(D1831,Master[Product_Code],Master[Color])</f>
        <v>Olive</v>
      </c>
      <c r="L1831" s="3">
        <f>_xlfn.XLOOKUP(D1831,Master[Product_Code],Master[Selling_Price])</f>
        <v>830</v>
      </c>
    </row>
    <row r="1832" spans="2:12">
      <c r="B1832" s="2" t="s">
        <v>2508</v>
      </c>
      <c r="C1832" s="7">
        <v>45989</v>
      </c>
      <c r="D1832" s="2" t="s">
        <v>1148</v>
      </c>
      <c r="E1832" s="4">
        <v>1</v>
      </c>
      <c r="F1832" s="8" t="str">
        <f>_xlfn.XLOOKUP(D1832,Master[Product_Code],Master[Category])</f>
        <v>Pants</v>
      </c>
      <c r="G1832" s="8" t="str">
        <f>_xlfn.XLOOKUP(D1832,Master[Product_Code],Master[Brand])</f>
        <v>Peter England</v>
      </c>
      <c r="H1832" s="8" t="str">
        <f>_xlfn.XLOOKUP(D1832,Master[Product_Code],Master[Style])</f>
        <v>Polofit</v>
      </c>
      <c r="I1832" s="8" t="str">
        <f>_xlfn.XLOOKUP(D1832,Master[Product_Code],Master[Fabric])</f>
        <v>Lycra</v>
      </c>
      <c r="J1832" s="8">
        <f>_xlfn.XLOOKUP(D1832,Master[Product_Code],Master[Size])</f>
        <v>44</v>
      </c>
      <c r="K1832" s="8" t="str">
        <f>_xlfn.XLOOKUP(D1832,Master[Product_Code],Master[Color])</f>
        <v>Cream</v>
      </c>
      <c r="L1832" s="3">
        <f>_xlfn.XLOOKUP(D1832,Master[Product_Code],Master[Selling_Price])</f>
        <v>800</v>
      </c>
    </row>
    <row r="1833" spans="2:12">
      <c r="B1833" s="2" t="s">
        <v>2509</v>
      </c>
      <c r="C1833" s="7">
        <v>45989</v>
      </c>
      <c r="D1833" s="2" t="s">
        <v>1670</v>
      </c>
      <c r="E1833" s="4">
        <v>1</v>
      </c>
      <c r="F1833" s="8" t="str">
        <f>_xlfn.XLOOKUP(D1833,Master[Product_Code],Master[Category])</f>
        <v>Innerwear</v>
      </c>
      <c r="G1833" s="8" t="str">
        <f>_xlfn.XLOOKUP(D1833,Master[Product_Code],Master[Brand])</f>
        <v>Dollar</v>
      </c>
      <c r="H1833" s="8" t="str">
        <f>_xlfn.XLOOKUP(D1833,Master[Product_Code],Master[Style])</f>
        <v>Boxer</v>
      </c>
      <c r="I1833" s="8" t="str">
        <f>_xlfn.XLOOKUP(D1833,Master[Product_Code],Master[Fabric])</f>
        <v>Cotton Blend</v>
      </c>
      <c r="J1833" s="8" t="str">
        <f>_xlfn.XLOOKUP(D1833,Master[Product_Code],Master[Size])</f>
        <v>85-90</v>
      </c>
      <c r="K1833" s="8" t="str">
        <f>_xlfn.XLOOKUP(D1833,Master[Product_Code],Master[Color])</f>
        <v>Navy Blue</v>
      </c>
      <c r="L1833" s="3">
        <f>_xlfn.XLOOKUP(D1833,Master[Product_Code],Master[Selling_Price])</f>
        <v>120</v>
      </c>
    </row>
    <row r="1834" spans="2:12">
      <c r="B1834" s="2" t="s">
        <v>2510</v>
      </c>
      <c r="C1834" s="7">
        <v>45989</v>
      </c>
      <c r="D1834" s="2" t="s">
        <v>492</v>
      </c>
      <c r="E1834" s="4">
        <v>1</v>
      </c>
      <c r="F1834" s="8" t="str">
        <f>_xlfn.XLOOKUP(D1834,Master[Product_Code],Master[Category])</f>
        <v>T-Shirt</v>
      </c>
      <c r="G1834" s="8" t="str">
        <f>_xlfn.XLOOKUP(D1834,Master[Product_Code],Master[Brand])</f>
        <v>Roadster</v>
      </c>
      <c r="H1834" s="8" t="str">
        <f>_xlfn.XLOOKUP(D1834,Master[Product_Code],Master[Style])</f>
        <v>3/4 Sleeve</v>
      </c>
      <c r="I1834" s="8" t="str">
        <f>_xlfn.XLOOKUP(D1834,Master[Product_Code],Master[Fabric])</f>
        <v>Cotton</v>
      </c>
      <c r="J1834" s="8" t="str">
        <f>_xlfn.XLOOKUP(D1834,Master[Product_Code],Master[Size])</f>
        <v>XL</v>
      </c>
      <c r="K1834" s="8" t="str">
        <f>_xlfn.XLOOKUP(D1834,Master[Product_Code],Master[Color])</f>
        <v>Light Grey</v>
      </c>
      <c r="L1834" s="3">
        <f>_xlfn.XLOOKUP(D1834,Master[Product_Code],Master[Selling_Price])</f>
        <v>370</v>
      </c>
    </row>
    <row r="1835" spans="2:12">
      <c r="B1835" s="2" t="s">
        <v>2510</v>
      </c>
      <c r="C1835" s="7">
        <v>45989</v>
      </c>
      <c r="D1835" s="2" t="s">
        <v>1438</v>
      </c>
      <c r="E1835" s="4">
        <v>1</v>
      </c>
      <c r="F1835" s="8" t="str">
        <f>_xlfn.XLOOKUP(D1835,Master[Product_Code],Master[Category])</f>
        <v>Pants</v>
      </c>
      <c r="G1835" s="8" t="str">
        <f>_xlfn.XLOOKUP(D1835,Master[Product_Code],Master[Brand])</f>
        <v>Louis Philippe</v>
      </c>
      <c r="H1835" s="8" t="str">
        <f>_xlfn.XLOOKUP(D1835,Master[Product_Code],Master[Style])</f>
        <v>Korean</v>
      </c>
      <c r="I1835" s="8" t="str">
        <f>_xlfn.XLOOKUP(D1835,Master[Product_Code],Master[Fabric])</f>
        <v>Lycra</v>
      </c>
      <c r="J1835" s="8">
        <f>_xlfn.XLOOKUP(D1835,Master[Product_Code],Master[Size])</f>
        <v>40</v>
      </c>
      <c r="K1835" s="8" t="str">
        <f>_xlfn.XLOOKUP(D1835,Master[Product_Code],Master[Color])</f>
        <v>Light Grey</v>
      </c>
      <c r="L1835" s="3">
        <f>_xlfn.XLOOKUP(D1835,Master[Product_Code],Master[Selling_Price])</f>
        <v>880</v>
      </c>
    </row>
    <row r="1836" spans="2:12">
      <c r="B1836" s="2" t="s">
        <v>2510</v>
      </c>
      <c r="C1836" s="7">
        <v>45989</v>
      </c>
      <c r="D1836" s="2" t="s">
        <v>938</v>
      </c>
      <c r="E1836" s="4">
        <v>1</v>
      </c>
      <c r="F1836" s="8" t="str">
        <f>_xlfn.XLOOKUP(D1836,Master[Product_Code],Master[Category])</f>
        <v>Jeans</v>
      </c>
      <c r="G1836" s="8" t="str">
        <f>_xlfn.XLOOKUP(D1836,Master[Product_Code],Master[Brand])</f>
        <v>Spykar</v>
      </c>
      <c r="H1836" s="8" t="str">
        <f>_xlfn.XLOOKUP(D1836,Master[Product_Code],Master[Style])</f>
        <v>Baggy</v>
      </c>
      <c r="I1836" s="8" t="str">
        <f>_xlfn.XLOOKUP(D1836,Master[Product_Code],Master[Fabric])</f>
        <v>Denim</v>
      </c>
      <c r="J1836" s="8">
        <f>_xlfn.XLOOKUP(D1836,Master[Product_Code],Master[Size])</f>
        <v>32</v>
      </c>
      <c r="K1836" s="8" t="str">
        <f>_xlfn.XLOOKUP(D1836,Master[Product_Code],Master[Color])</f>
        <v>Navy Blue</v>
      </c>
      <c r="L1836" s="3">
        <f>_xlfn.XLOOKUP(D1836,Master[Product_Code],Master[Selling_Price])</f>
        <v>850</v>
      </c>
    </row>
    <row r="1837" spans="2:12">
      <c r="B1837" s="2" t="s">
        <v>2511</v>
      </c>
      <c r="C1837" s="7">
        <v>45989</v>
      </c>
      <c r="D1837" s="2" t="s">
        <v>662</v>
      </c>
      <c r="E1837" s="4">
        <v>1</v>
      </c>
      <c r="F1837" s="8" t="str">
        <f>_xlfn.XLOOKUP(D1837,Master[Product_Code],Master[Category])</f>
        <v>T-Shirt</v>
      </c>
      <c r="G1837" s="8" t="str">
        <f>_xlfn.XLOOKUP(D1837,Master[Product_Code],Master[Brand])</f>
        <v>Turkey</v>
      </c>
      <c r="H1837" s="8" t="str">
        <f>_xlfn.XLOOKUP(D1837,Master[Product_Code],Master[Style])</f>
        <v>3/4 Sleeve</v>
      </c>
      <c r="I1837" s="8" t="str">
        <f>_xlfn.XLOOKUP(D1837,Master[Product_Code],Master[Fabric])</f>
        <v>Cotton Blend</v>
      </c>
      <c r="J1837" s="8" t="str">
        <f>_xlfn.XLOOKUP(D1837,Master[Product_Code],Master[Size])</f>
        <v>L</v>
      </c>
      <c r="K1837" s="8" t="str">
        <f>_xlfn.XLOOKUP(D1837,Master[Product_Code],Master[Color])</f>
        <v>Grey</v>
      </c>
      <c r="L1837" s="3">
        <f>_xlfn.XLOOKUP(D1837,Master[Product_Code],Master[Selling_Price])</f>
        <v>700</v>
      </c>
    </row>
    <row r="1838" spans="2:12">
      <c r="B1838" s="2" t="s">
        <v>2512</v>
      </c>
      <c r="C1838" s="7">
        <v>45989</v>
      </c>
      <c r="D1838" s="2" t="s">
        <v>607</v>
      </c>
      <c r="E1838" s="4">
        <v>1</v>
      </c>
      <c r="F1838" s="8" t="str">
        <f>_xlfn.XLOOKUP(D1838,Master[Product_Code],Master[Category])</f>
        <v>T-Shirt</v>
      </c>
      <c r="G1838" s="8" t="str">
        <f>_xlfn.XLOOKUP(D1838,Master[Product_Code],Master[Brand])</f>
        <v>Max</v>
      </c>
      <c r="H1838" s="8" t="str">
        <f>_xlfn.XLOOKUP(D1838,Master[Product_Code],Master[Style])</f>
        <v>Half Sleeve</v>
      </c>
      <c r="I1838" s="8" t="str">
        <f>_xlfn.XLOOKUP(D1838,Master[Product_Code],Master[Fabric])</f>
        <v>Cotton Blend</v>
      </c>
      <c r="J1838" s="8" t="str">
        <f>_xlfn.XLOOKUP(D1838,Master[Product_Code],Master[Size])</f>
        <v>XL</v>
      </c>
      <c r="K1838" s="8" t="str">
        <f>_xlfn.XLOOKUP(D1838,Master[Product_Code],Master[Color])</f>
        <v>Cream</v>
      </c>
      <c r="L1838" s="3">
        <f>_xlfn.XLOOKUP(D1838,Master[Product_Code],Master[Selling_Price])</f>
        <v>340</v>
      </c>
    </row>
    <row r="1839" spans="2:12">
      <c r="B1839" s="2" t="s">
        <v>2512</v>
      </c>
      <c r="C1839" s="7">
        <v>45989</v>
      </c>
      <c r="D1839" s="2" t="s">
        <v>1620</v>
      </c>
      <c r="E1839" s="4">
        <v>1</v>
      </c>
      <c r="F1839" s="8" t="str">
        <f>_xlfn.XLOOKUP(D1839,Master[Product_Code],Master[Category])</f>
        <v>Innerwear</v>
      </c>
      <c r="G1839" s="8" t="str">
        <f>_xlfn.XLOOKUP(D1839,Master[Product_Code],Master[Brand])</f>
        <v>Jockey</v>
      </c>
      <c r="H1839" s="8" t="str">
        <f>_xlfn.XLOOKUP(D1839,Master[Product_Code],Master[Style])</f>
        <v>Boxer</v>
      </c>
      <c r="I1839" s="8" t="str">
        <f>_xlfn.XLOOKUP(D1839,Master[Product_Code],Master[Fabric])</f>
        <v>Cotton</v>
      </c>
      <c r="J1839" s="8" t="str">
        <f>_xlfn.XLOOKUP(D1839,Master[Product_Code],Master[Size])</f>
        <v>85-90</v>
      </c>
      <c r="K1839" s="8" t="str">
        <f>_xlfn.XLOOKUP(D1839,Master[Product_Code],Master[Color])</f>
        <v>Rust</v>
      </c>
      <c r="L1839" s="3">
        <f>_xlfn.XLOOKUP(D1839,Master[Product_Code],Master[Selling_Price])</f>
        <v>170</v>
      </c>
    </row>
    <row r="1840" spans="2:12">
      <c r="B1840" s="2" t="s">
        <v>2513</v>
      </c>
      <c r="C1840" s="7">
        <v>45989</v>
      </c>
      <c r="D1840" s="2" t="s">
        <v>926</v>
      </c>
      <c r="E1840" s="4">
        <v>1</v>
      </c>
      <c r="F1840" s="8" t="str">
        <f>_xlfn.XLOOKUP(D1840,Master[Product_Code],Master[Category])</f>
        <v>Jeans</v>
      </c>
      <c r="G1840" s="8" t="str">
        <f>_xlfn.XLOOKUP(D1840,Master[Product_Code],Master[Brand])</f>
        <v>Locomotive</v>
      </c>
      <c r="H1840" s="8" t="str">
        <f>_xlfn.XLOOKUP(D1840,Master[Product_Code],Master[Style])</f>
        <v>Mom Fit</v>
      </c>
      <c r="I1840" s="8" t="str">
        <f>_xlfn.XLOOKUP(D1840,Master[Product_Code],Master[Fabric])</f>
        <v>Denim</v>
      </c>
      <c r="J1840" s="8">
        <f>_xlfn.XLOOKUP(D1840,Master[Product_Code],Master[Size])</f>
        <v>28</v>
      </c>
      <c r="K1840" s="8" t="str">
        <f>_xlfn.XLOOKUP(D1840,Master[Product_Code],Master[Color])</f>
        <v>Mustard</v>
      </c>
      <c r="L1840" s="3">
        <f>_xlfn.XLOOKUP(D1840,Master[Product_Code],Master[Selling_Price])</f>
        <v>860</v>
      </c>
    </row>
    <row r="1841" spans="2:12">
      <c r="B1841" s="2" t="s">
        <v>2513</v>
      </c>
      <c r="C1841" s="7">
        <v>45989</v>
      </c>
      <c r="D1841" s="2" t="s">
        <v>1083</v>
      </c>
      <c r="E1841" s="4">
        <v>1</v>
      </c>
      <c r="F1841" s="8" t="str">
        <f>_xlfn.XLOOKUP(D1841,Master[Product_Code],Master[Category])</f>
        <v>Jeans</v>
      </c>
      <c r="G1841" s="8" t="str">
        <f>_xlfn.XLOOKUP(D1841,Master[Product_Code],Master[Brand])</f>
        <v>Spykar</v>
      </c>
      <c r="H1841" s="8" t="str">
        <f>_xlfn.XLOOKUP(D1841,Master[Product_Code],Master[Style])</f>
        <v>Baggy</v>
      </c>
      <c r="I1841" s="8" t="str">
        <f>_xlfn.XLOOKUP(D1841,Master[Product_Code],Master[Fabric])</f>
        <v>Denim</v>
      </c>
      <c r="J1841" s="8">
        <f>_xlfn.XLOOKUP(D1841,Master[Product_Code],Master[Size])</f>
        <v>40</v>
      </c>
      <c r="K1841" s="8" t="str">
        <f>_xlfn.XLOOKUP(D1841,Master[Product_Code],Master[Color])</f>
        <v>Mustard</v>
      </c>
      <c r="L1841" s="3">
        <f>_xlfn.XLOOKUP(D1841,Master[Product_Code],Master[Selling_Price])</f>
        <v>790</v>
      </c>
    </row>
    <row r="1842" spans="2:12">
      <c r="B1842" s="2" t="s">
        <v>2514</v>
      </c>
      <c r="C1842" s="7">
        <v>45989</v>
      </c>
      <c r="D1842" s="2" t="s">
        <v>620</v>
      </c>
      <c r="E1842" s="4">
        <v>1</v>
      </c>
      <c r="F1842" s="8" t="str">
        <f>_xlfn.XLOOKUP(D1842,Master[Product_Code],Master[Category])</f>
        <v>T-Shirt</v>
      </c>
      <c r="G1842" s="8" t="str">
        <f>_xlfn.XLOOKUP(D1842,Master[Product_Code],Master[Brand])</f>
        <v>Max</v>
      </c>
      <c r="H1842" s="8" t="str">
        <f>_xlfn.XLOOKUP(D1842,Master[Product_Code],Master[Style])</f>
        <v>Sleeveless</v>
      </c>
      <c r="I1842" s="8" t="str">
        <f>_xlfn.XLOOKUP(D1842,Master[Product_Code],Master[Fabric])</f>
        <v>Poly Cotton</v>
      </c>
      <c r="J1842" s="8" t="str">
        <f>_xlfn.XLOOKUP(D1842,Master[Product_Code],Master[Size])</f>
        <v>XXL</v>
      </c>
      <c r="K1842" s="8" t="str">
        <f>_xlfn.XLOOKUP(D1842,Master[Product_Code],Master[Color])</f>
        <v>Peach</v>
      </c>
      <c r="L1842" s="3">
        <f>_xlfn.XLOOKUP(D1842,Master[Product_Code],Master[Selling_Price])</f>
        <v>400</v>
      </c>
    </row>
    <row r="1843" spans="2:12">
      <c r="B1843" s="2" t="s">
        <v>2515</v>
      </c>
      <c r="C1843" s="7">
        <v>45989</v>
      </c>
      <c r="D1843" s="2" t="s">
        <v>659</v>
      </c>
      <c r="E1843" s="4">
        <v>1</v>
      </c>
      <c r="F1843" s="8" t="str">
        <f>_xlfn.XLOOKUP(D1843,Master[Product_Code],Master[Category])</f>
        <v>T-Shirt</v>
      </c>
      <c r="G1843" s="8" t="str">
        <f>_xlfn.XLOOKUP(D1843,Master[Product_Code],Master[Brand])</f>
        <v>Campus</v>
      </c>
      <c r="H1843" s="8" t="str">
        <f>_xlfn.XLOOKUP(D1843,Master[Product_Code],Master[Style])</f>
        <v>3/4 Sleeve</v>
      </c>
      <c r="I1843" s="8" t="str">
        <f>_xlfn.XLOOKUP(D1843,Master[Product_Code],Master[Fabric])</f>
        <v>Cotton Blend</v>
      </c>
      <c r="J1843" s="8" t="str">
        <f>_xlfn.XLOOKUP(D1843,Master[Product_Code],Master[Size])</f>
        <v>M</v>
      </c>
      <c r="K1843" s="8" t="str">
        <f>_xlfn.XLOOKUP(D1843,Master[Product_Code],Master[Color])</f>
        <v>Sky Blue</v>
      </c>
      <c r="L1843" s="3">
        <f>_xlfn.XLOOKUP(D1843,Master[Product_Code],Master[Selling_Price])</f>
        <v>370</v>
      </c>
    </row>
    <row r="1844" spans="2:12">
      <c r="B1844" s="2" t="s">
        <v>2515</v>
      </c>
      <c r="C1844" s="7">
        <v>45989</v>
      </c>
      <c r="D1844" s="2" t="s">
        <v>1448</v>
      </c>
      <c r="E1844" s="4">
        <v>1</v>
      </c>
      <c r="F1844" s="8" t="str">
        <f>_xlfn.XLOOKUP(D1844,Master[Product_Code],Master[Category])</f>
        <v>Pants</v>
      </c>
      <c r="G1844" s="8" t="str">
        <f>_xlfn.XLOOKUP(D1844,Master[Product_Code],Master[Brand])</f>
        <v>Van Heusen</v>
      </c>
      <c r="H1844" s="8" t="str">
        <f>_xlfn.XLOOKUP(D1844,Master[Product_Code],Master[Style])</f>
        <v>Kurka</v>
      </c>
      <c r="I1844" s="8" t="str">
        <f>_xlfn.XLOOKUP(D1844,Master[Product_Code],Master[Fabric])</f>
        <v>Lycra</v>
      </c>
      <c r="J1844" s="8">
        <f>_xlfn.XLOOKUP(D1844,Master[Product_Code],Master[Size])</f>
        <v>32</v>
      </c>
      <c r="K1844" s="8" t="str">
        <f>_xlfn.XLOOKUP(D1844,Master[Product_Code],Master[Color])</f>
        <v>Dark Green</v>
      </c>
      <c r="L1844" s="3">
        <f>_xlfn.XLOOKUP(D1844,Master[Product_Code],Master[Selling_Price])</f>
        <v>940</v>
      </c>
    </row>
    <row r="1845" spans="2:12">
      <c r="B1845" s="2" t="s">
        <v>2515</v>
      </c>
      <c r="C1845" s="7">
        <v>45989</v>
      </c>
      <c r="D1845" s="2" t="s">
        <v>1266</v>
      </c>
      <c r="E1845" s="4">
        <v>1</v>
      </c>
      <c r="F1845" s="8" t="str">
        <f>_xlfn.XLOOKUP(D1845,Master[Product_Code],Master[Category])</f>
        <v>Pants</v>
      </c>
      <c r="G1845" s="8" t="str">
        <f>_xlfn.XLOOKUP(D1845,Master[Product_Code],Master[Brand])</f>
        <v>Louis Philippe</v>
      </c>
      <c r="H1845" s="8" t="str">
        <f>_xlfn.XLOOKUP(D1845,Master[Product_Code],Master[Style])</f>
        <v>Polofit</v>
      </c>
      <c r="I1845" s="8" t="str">
        <f>_xlfn.XLOOKUP(D1845,Master[Product_Code],Master[Fabric])</f>
        <v>Lycra</v>
      </c>
      <c r="J1845" s="8">
        <f>_xlfn.XLOOKUP(D1845,Master[Product_Code],Master[Size])</f>
        <v>42</v>
      </c>
      <c r="K1845" s="8" t="str">
        <f>_xlfn.XLOOKUP(D1845,Master[Product_Code],Master[Color])</f>
        <v>Maroon</v>
      </c>
      <c r="L1845" s="3">
        <f>_xlfn.XLOOKUP(D1845,Master[Product_Code],Master[Selling_Price])</f>
        <v>910</v>
      </c>
    </row>
    <row r="1846" spans="2:12">
      <c r="B1846" s="2" t="s">
        <v>2516</v>
      </c>
      <c r="C1846" s="7">
        <v>45990</v>
      </c>
      <c r="D1846" s="2" t="s">
        <v>1600</v>
      </c>
      <c r="E1846" s="4">
        <v>1</v>
      </c>
      <c r="F1846" s="8" t="str">
        <f>_xlfn.XLOOKUP(D1846,Master[Product_Code],Master[Category])</f>
        <v>Innerwear</v>
      </c>
      <c r="G1846" s="8" t="str">
        <f>_xlfn.XLOOKUP(D1846,Master[Product_Code],Master[Brand])</f>
        <v>Jockey</v>
      </c>
      <c r="H1846" s="8" t="str">
        <f>_xlfn.XLOOKUP(D1846,Master[Product_Code],Master[Style])</f>
        <v>V-Cut</v>
      </c>
      <c r="I1846" s="8" t="str">
        <f>_xlfn.XLOOKUP(D1846,Master[Product_Code],Master[Fabric])</f>
        <v>Cotton Blend</v>
      </c>
      <c r="J1846" s="8" t="str">
        <f>_xlfn.XLOOKUP(D1846,Master[Product_Code],Master[Size])</f>
        <v>85-90</v>
      </c>
      <c r="K1846" s="8" t="str">
        <f>_xlfn.XLOOKUP(D1846,Master[Product_Code],Master[Color])</f>
        <v>Cream</v>
      </c>
      <c r="L1846" s="3">
        <f>_xlfn.XLOOKUP(D1846,Master[Product_Code],Master[Selling_Price])</f>
        <v>170</v>
      </c>
    </row>
    <row r="1847" spans="2:12">
      <c r="B1847" s="2" t="s">
        <v>2516</v>
      </c>
      <c r="C1847" s="7">
        <v>45990</v>
      </c>
      <c r="D1847" s="2" t="s">
        <v>571</v>
      </c>
      <c r="E1847" s="4">
        <v>1</v>
      </c>
      <c r="F1847" s="8" t="str">
        <f>_xlfn.XLOOKUP(D1847,Master[Product_Code],Master[Category])</f>
        <v>T-Shirt</v>
      </c>
      <c r="G1847" s="8" t="str">
        <f>_xlfn.XLOOKUP(D1847,Master[Product_Code],Master[Brand])</f>
        <v>Max</v>
      </c>
      <c r="H1847" s="8" t="str">
        <f>_xlfn.XLOOKUP(D1847,Master[Product_Code],Master[Style])</f>
        <v>Full Sleeve</v>
      </c>
      <c r="I1847" s="8" t="str">
        <f>_xlfn.XLOOKUP(D1847,Master[Product_Code],Master[Fabric])</f>
        <v>Poly Cotton</v>
      </c>
      <c r="J1847" s="8" t="str">
        <f>_xlfn.XLOOKUP(D1847,Master[Product_Code],Master[Size])</f>
        <v>XXL</v>
      </c>
      <c r="K1847" s="8" t="str">
        <f>_xlfn.XLOOKUP(D1847,Master[Product_Code],Master[Color])</f>
        <v>Charcoal</v>
      </c>
      <c r="L1847" s="3">
        <f>_xlfn.XLOOKUP(D1847,Master[Product_Code],Master[Selling_Price])</f>
        <v>310</v>
      </c>
    </row>
    <row r="1848" spans="2:12">
      <c r="B1848" s="2" t="s">
        <v>2516</v>
      </c>
      <c r="C1848" s="7">
        <v>45990</v>
      </c>
      <c r="D1848" s="2" t="s">
        <v>1247</v>
      </c>
      <c r="E1848" s="4">
        <v>1</v>
      </c>
      <c r="F1848" s="8" t="str">
        <f>_xlfn.XLOOKUP(D1848,Master[Product_Code],Master[Category])</f>
        <v>Pants</v>
      </c>
      <c r="G1848" s="8" t="str">
        <f>_xlfn.XLOOKUP(D1848,Master[Product_Code],Master[Brand])</f>
        <v>Louis Philippe</v>
      </c>
      <c r="H1848" s="8" t="str">
        <f>_xlfn.XLOOKUP(D1848,Master[Product_Code],Master[Style])</f>
        <v>Korean</v>
      </c>
      <c r="I1848" s="8" t="str">
        <f>_xlfn.XLOOKUP(D1848,Master[Product_Code],Master[Fabric])</f>
        <v>Lycra</v>
      </c>
      <c r="J1848" s="8">
        <f>_xlfn.XLOOKUP(D1848,Master[Product_Code],Master[Size])</f>
        <v>38</v>
      </c>
      <c r="K1848" s="8" t="str">
        <f>_xlfn.XLOOKUP(D1848,Master[Product_Code],Master[Color])</f>
        <v>Sky Blue</v>
      </c>
      <c r="L1848" s="3">
        <f>_xlfn.XLOOKUP(D1848,Master[Product_Code],Master[Selling_Price])</f>
        <v>900</v>
      </c>
    </row>
    <row r="1849" spans="2:12">
      <c r="B1849" s="2" t="s">
        <v>2517</v>
      </c>
      <c r="C1849" s="7">
        <v>45990</v>
      </c>
      <c r="D1849" s="2" t="s">
        <v>1212</v>
      </c>
      <c r="E1849" s="4">
        <v>1</v>
      </c>
      <c r="F1849" s="8" t="str">
        <f>_xlfn.XLOOKUP(D1849,Master[Product_Code],Master[Category])</f>
        <v>Pants</v>
      </c>
      <c r="G1849" s="8" t="str">
        <f>_xlfn.XLOOKUP(D1849,Master[Product_Code],Master[Brand])</f>
        <v>Van Heusen</v>
      </c>
      <c r="H1849" s="8" t="str">
        <f>_xlfn.XLOOKUP(D1849,Master[Product_Code],Master[Style])</f>
        <v>Boot Cut</v>
      </c>
      <c r="I1849" s="8" t="str">
        <f>_xlfn.XLOOKUP(D1849,Master[Product_Code],Master[Fabric])</f>
        <v>Poly Viscose</v>
      </c>
      <c r="J1849" s="8">
        <f>_xlfn.XLOOKUP(D1849,Master[Product_Code],Master[Size])</f>
        <v>30</v>
      </c>
      <c r="K1849" s="8" t="str">
        <f>_xlfn.XLOOKUP(D1849,Master[Product_Code],Master[Color])</f>
        <v>Light Grey</v>
      </c>
      <c r="L1849" s="3">
        <f>_xlfn.XLOOKUP(D1849,Master[Product_Code],Master[Selling_Price])</f>
        <v>750</v>
      </c>
    </row>
    <row r="1850" spans="2:12">
      <c r="B1850" s="2" t="s">
        <v>2517</v>
      </c>
      <c r="C1850" s="7">
        <v>45990</v>
      </c>
      <c r="D1850" s="2" t="s">
        <v>1065</v>
      </c>
      <c r="E1850" s="4">
        <v>1</v>
      </c>
      <c r="F1850" s="8" t="str">
        <f>_xlfn.XLOOKUP(D1850,Master[Product_Code],Master[Category])</f>
        <v>Jeans</v>
      </c>
      <c r="G1850" s="8" t="str">
        <f>_xlfn.XLOOKUP(D1850,Master[Product_Code],Master[Brand])</f>
        <v>Locomotive</v>
      </c>
      <c r="H1850" s="8" t="str">
        <f>_xlfn.XLOOKUP(D1850,Master[Product_Code],Master[Style])</f>
        <v>Jogger</v>
      </c>
      <c r="I1850" s="8" t="str">
        <f>_xlfn.XLOOKUP(D1850,Master[Product_Code],Master[Fabric])</f>
        <v>Denim</v>
      </c>
      <c r="J1850" s="8">
        <f>_xlfn.XLOOKUP(D1850,Master[Product_Code],Master[Size])</f>
        <v>42</v>
      </c>
      <c r="K1850" s="8" t="str">
        <f>_xlfn.XLOOKUP(D1850,Master[Product_Code],Master[Color])</f>
        <v>Beige</v>
      </c>
      <c r="L1850" s="3">
        <f>_xlfn.XLOOKUP(D1850,Master[Product_Code],Master[Selling_Price])</f>
        <v>850</v>
      </c>
    </row>
    <row r="1851" spans="2:12">
      <c r="B1851" s="2" t="s">
        <v>2518</v>
      </c>
      <c r="C1851" s="7">
        <v>45990</v>
      </c>
      <c r="D1851" s="2" t="s">
        <v>1308</v>
      </c>
      <c r="E1851" s="4">
        <v>1</v>
      </c>
      <c r="F1851" s="8" t="str">
        <f>_xlfn.XLOOKUP(D1851,Master[Product_Code],Master[Category])</f>
        <v>Pants</v>
      </c>
      <c r="G1851" s="8" t="str">
        <f>_xlfn.XLOOKUP(D1851,Master[Product_Code],Master[Brand])</f>
        <v>Louis Philippe</v>
      </c>
      <c r="H1851" s="8" t="str">
        <f>_xlfn.XLOOKUP(D1851,Master[Product_Code],Master[Style])</f>
        <v>Polofit</v>
      </c>
      <c r="I1851" s="8" t="str">
        <f>_xlfn.XLOOKUP(D1851,Master[Product_Code],Master[Fabric])</f>
        <v>Lycra</v>
      </c>
      <c r="J1851" s="8">
        <f>_xlfn.XLOOKUP(D1851,Master[Product_Code],Master[Size])</f>
        <v>32</v>
      </c>
      <c r="K1851" s="8" t="str">
        <f>_xlfn.XLOOKUP(D1851,Master[Product_Code],Master[Color])</f>
        <v>Maroon</v>
      </c>
      <c r="L1851" s="3">
        <f>_xlfn.XLOOKUP(D1851,Master[Product_Code],Master[Selling_Price])</f>
        <v>870</v>
      </c>
    </row>
    <row r="1852" spans="2:12">
      <c r="B1852" s="2" t="s">
        <v>2518</v>
      </c>
      <c r="C1852" s="7">
        <v>45990</v>
      </c>
      <c r="D1852" s="2" t="s">
        <v>1733</v>
      </c>
      <c r="E1852" s="4">
        <v>1</v>
      </c>
      <c r="F1852" s="8" t="str">
        <f>_xlfn.XLOOKUP(D1852,Master[Product_Code],Master[Category])</f>
        <v>Innerwear</v>
      </c>
      <c r="G1852" s="8" t="str">
        <f>_xlfn.XLOOKUP(D1852,Master[Product_Code],Master[Brand])</f>
        <v>Lux</v>
      </c>
      <c r="H1852" s="8" t="str">
        <f>_xlfn.XLOOKUP(D1852,Master[Product_Code],Master[Style])</f>
        <v>Boxer</v>
      </c>
      <c r="I1852" s="8" t="str">
        <f>_xlfn.XLOOKUP(D1852,Master[Product_Code],Master[Fabric])</f>
        <v>Cotton</v>
      </c>
      <c r="J1852" s="8" t="str">
        <f>_xlfn.XLOOKUP(D1852,Master[Product_Code],Master[Size])</f>
        <v>105-110</v>
      </c>
      <c r="K1852" s="8" t="str">
        <f>_xlfn.XLOOKUP(D1852,Master[Product_Code],Master[Color])</f>
        <v>Cream</v>
      </c>
      <c r="L1852" s="3">
        <f>_xlfn.XLOOKUP(D1852,Master[Product_Code],Master[Selling_Price])</f>
        <v>170</v>
      </c>
    </row>
    <row r="1853" spans="2:12">
      <c r="B1853" s="2" t="s">
        <v>2519</v>
      </c>
      <c r="C1853" s="7">
        <v>45990</v>
      </c>
      <c r="D1853" s="2" t="s">
        <v>1296</v>
      </c>
      <c r="E1853" s="4">
        <v>1</v>
      </c>
      <c r="F1853" s="8" t="str">
        <f>_xlfn.XLOOKUP(D1853,Master[Product_Code],Master[Category])</f>
        <v>Pants</v>
      </c>
      <c r="G1853" s="8" t="str">
        <f>_xlfn.XLOOKUP(D1853,Master[Product_Code],Master[Brand])</f>
        <v>Park Avenue</v>
      </c>
      <c r="H1853" s="8" t="str">
        <f>_xlfn.XLOOKUP(D1853,Master[Product_Code],Master[Style])</f>
        <v>Polofit</v>
      </c>
      <c r="I1853" s="8" t="str">
        <f>_xlfn.XLOOKUP(D1853,Master[Product_Code],Master[Fabric])</f>
        <v>Lycra</v>
      </c>
      <c r="J1853" s="8">
        <f>_xlfn.XLOOKUP(D1853,Master[Product_Code],Master[Size])</f>
        <v>30</v>
      </c>
      <c r="K1853" s="8" t="str">
        <f>_xlfn.XLOOKUP(D1853,Master[Product_Code],Master[Color])</f>
        <v>White</v>
      </c>
      <c r="L1853" s="3">
        <f>_xlfn.XLOOKUP(D1853,Master[Product_Code],Master[Selling_Price])</f>
        <v>800</v>
      </c>
    </row>
    <row r="1854" spans="2:12">
      <c r="B1854" s="2" t="s">
        <v>2519</v>
      </c>
      <c r="C1854" s="7">
        <v>45990</v>
      </c>
      <c r="D1854" s="2" t="s">
        <v>1195</v>
      </c>
      <c r="E1854" s="4">
        <v>1</v>
      </c>
      <c r="F1854" s="8" t="str">
        <f>_xlfn.XLOOKUP(D1854,Master[Product_Code],Master[Category])</f>
        <v>Pants</v>
      </c>
      <c r="G1854" s="8" t="str">
        <f>_xlfn.XLOOKUP(D1854,Master[Product_Code],Master[Brand])</f>
        <v>Van Heusen</v>
      </c>
      <c r="H1854" s="8" t="str">
        <f>_xlfn.XLOOKUP(D1854,Master[Product_Code],Master[Style])</f>
        <v>Jogger</v>
      </c>
      <c r="I1854" s="8" t="str">
        <f>_xlfn.XLOOKUP(D1854,Master[Product_Code],Master[Fabric])</f>
        <v>Cotton Blend</v>
      </c>
      <c r="J1854" s="8">
        <f>_xlfn.XLOOKUP(D1854,Master[Product_Code],Master[Size])</f>
        <v>28</v>
      </c>
      <c r="K1854" s="8" t="str">
        <f>_xlfn.XLOOKUP(D1854,Master[Product_Code],Master[Color])</f>
        <v>Navy Blue</v>
      </c>
      <c r="L1854" s="3">
        <f>_xlfn.XLOOKUP(D1854,Master[Product_Code],Master[Selling_Price])</f>
        <v>830</v>
      </c>
    </row>
    <row r="1855" spans="2:12">
      <c r="B1855" s="2" t="s">
        <v>2519</v>
      </c>
      <c r="C1855" s="7">
        <v>45990</v>
      </c>
      <c r="D1855" s="2" t="s">
        <v>688</v>
      </c>
      <c r="E1855" s="4">
        <v>1</v>
      </c>
      <c r="F1855" s="8" t="str">
        <f>_xlfn.XLOOKUP(D1855,Master[Product_Code],Master[Category])</f>
        <v>T-Shirt</v>
      </c>
      <c r="G1855" s="8" t="str">
        <f>_xlfn.XLOOKUP(D1855,Master[Product_Code],Master[Brand])</f>
        <v>Urban Monkey</v>
      </c>
      <c r="H1855" s="8" t="str">
        <f>_xlfn.XLOOKUP(D1855,Master[Product_Code],Master[Style])</f>
        <v>Full Sleeve</v>
      </c>
      <c r="I1855" s="8" t="str">
        <f>_xlfn.XLOOKUP(D1855,Master[Product_Code],Master[Fabric])</f>
        <v>Cotton</v>
      </c>
      <c r="J1855" s="8" t="str">
        <f>_xlfn.XLOOKUP(D1855,Master[Product_Code],Master[Size])</f>
        <v>XL</v>
      </c>
      <c r="K1855" s="8" t="str">
        <f>_xlfn.XLOOKUP(D1855,Master[Product_Code],Master[Color])</f>
        <v>Mustard</v>
      </c>
      <c r="L1855" s="3">
        <f>_xlfn.XLOOKUP(D1855,Master[Product_Code],Master[Selling_Price])</f>
        <v>560</v>
      </c>
    </row>
    <row r="1856" spans="2:12">
      <c r="B1856" s="2" t="s">
        <v>2520</v>
      </c>
      <c r="C1856" s="7">
        <v>45990</v>
      </c>
      <c r="D1856" s="2" t="s">
        <v>1154</v>
      </c>
      <c r="E1856" s="4">
        <v>1</v>
      </c>
      <c r="F1856" s="8" t="str">
        <f>_xlfn.XLOOKUP(D1856,Master[Product_Code],Master[Category])</f>
        <v>Pants</v>
      </c>
      <c r="G1856" s="8" t="str">
        <f>_xlfn.XLOOKUP(D1856,Master[Product_Code],Master[Brand])</f>
        <v>Van Heusen</v>
      </c>
      <c r="H1856" s="8" t="str">
        <f>_xlfn.XLOOKUP(D1856,Master[Product_Code],Master[Style])</f>
        <v>Boot Cut</v>
      </c>
      <c r="I1856" s="8" t="str">
        <f>_xlfn.XLOOKUP(D1856,Master[Product_Code],Master[Fabric])</f>
        <v>Cotton</v>
      </c>
      <c r="J1856" s="8">
        <f>_xlfn.XLOOKUP(D1856,Master[Product_Code],Master[Size])</f>
        <v>40</v>
      </c>
      <c r="K1856" s="8" t="str">
        <f>_xlfn.XLOOKUP(D1856,Master[Product_Code],Master[Color])</f>
        <v>Teal</v>
      </c>
      <c r="L1856" s="3">
        <f>_xlfn.XLOOKUP(D1856,Master[Product_Code],Master[Selling_Price])</f>
        <v>940</v>
      </c>
    </row>
    <row r="1857" spans="2:12">
      <c r="B1857" s="2" t="s">
        <v>2520</v>
      </c>
      <c r="C1857" s="7">
        <v>45990</v>
      </c>
      <c r="D1857" s="2" t="s">
        <v>1543</v>
      </c>
      <c r="E1857" s="4">
        <v>1</v>
      </c>
      <c r="F1857" s="8" t="str">
        <f>_xlfn.XLOOKUP(D1857,Master[Product_Code],Master[Category])</f>
        <v>Innerwear</v>
      </c>
      <c r="G1857" s="8" t="str">
        <f>_xlfn.XLOOKUP(D1857,Master[Product_Code],Master[Brand])</f>
        <v>Dollar</v>
      </c>
      <c r="H1857" s="8" t="str">
        <f>_xlfn.XLOOKUP(D1857,Master[Product_Code],Master[Style])</f>
        <v>V-Cut</v>
      </c>
      <c r="I1857" s="8" t="str">
        <f>_xlfn.XLOOKUP(D1857,Master[Product_Code],Master[Fabric])</f>
        <v>Cotton</v>
      </c>
      <c r="J1857" s="8" t="str">
        <f>_xlfn.XLOOKUP(D1857,Master[Product_Code],Master[Size])</f>
        <v>90-100</v>
      </c>
      <c r="K1857" s="8" t="str">
        <f>_xlfn.XLOOKUP(D1857,Master[Product_Code],Master[Color])</f>
        <v>Rust</v>
      </c>
      <c r="L1857" s="3">
        <f>_xlfn.XLOOKUP(D1857,Master[Product_Code],Master[Selling_Price])</f>
        <v>160</v>
      </c>
    </row>
    <row r="1858" spans="2:12">
      <c r="B1858" s="2" t="s">
        <v>2520</v>
      </c>
      <c r="C1858" s="7">
        <v>45990</v>
      </c>
      <c r="D1858" s="2" t="s">
        <v>887</v>
      </c>
      <c r="E1858" s="4">
        <v>1</v>
      </c>
      <c r="F1858" s="8" t="str">
        <f>_xlfn.XLOOKUP(D1858,Master[Product_Code],Master[Category])</f>
        <v>Jeans</v>
      </c>
      <c r="G1858" s="8" t="str">
        <f>_xlfn.XLOOKUP(D1858,Master[Product_Code],Master[Brand])</f>
        <v>Locomotive</v>
      </c>
      <c r="H1858" s="8" t="str">
        <f>_xlfn.XLOOKUP(D1858,Master[Product_Code],Master[Style])</f>
        <v>Jogger</v>
      </c>
      <c r="I1858" s="8" t="str">
        <f>_xlfn.XLOOKUP(D1858,Master[Product_Code],Master[Fabric])</f>
        <v>Denim</v>
      </c>
      <c r="J1858" s="8">
        <f>_xlfn.XLOOKUP(D1858,Master[Product_Code],Master[Size])</f>
        <v>30</v>
      </c>
      <c r="K1858" s="8" t="str">
        <f>_xlfn.XLOOKUP(D1858,Master[Product_Code],Master[Color])</f>
        <v>Wine</v>
      </c>
      <c r="L1858" s="3">
        <f>_xlfn.XLOOKUP(D1858,Master[Product_Code],Master[Selling_Price])</f>
        <v>1080</v>
      </c>
    </row>
    <row r="1859" spans="2:12">
      <c r="B1859" s="2" t="s">
        <v>2520</v>
      </c>
      <c r="C1859" s="7">
        <v>45990</v>
      </c>
      <c r="D1859" s="2" t="s">
        <v>171</v>
      </c>
      <c r="E1859" s="4">
        <v>1</v>
      </c>
      <c r="F1859" s="8" t="str">
        <f>_xlfn.XLOOKUP(D1859,Master[Product_Code],Master[Category])</f>
        <v>Shirt</v>
      </c>
      <c r="G1859" s="8" t="str">
        <f>_xlfn.XLOOKUP(D1859,Master[Product_Code],Master[Brand])</f>
        <v>L7</v>
      </c>
      <c r="H1859" s="8" t="str">
        <f>_xlfn.XLOOKUP(D1859,Master[Product_Code],Master[Style])</f>
        <v>Formal</v>
      </c>
      <c r="I1859" s="8" t="str">
        <f>_xlfn.XLOOKUP(D1859,Master[Product_Code],Master[Fabric])</f>
        <v>Lycra</v>
      </c>
      <c r="J1859" s="8" t="str">
        <f>_xlfn.XLOOKUP(D1859,Master[Product_Code],Master[Size])</f>
        <v>M</v>
      </c>
      <c r="K1859" s="8" t="str">
        <f>_xlfn.XLOOKUP(D1859,Master[Product_Code],Master[Color])</f>
        <v>Dark Green</v>
      </c>
      <c r="L1859" s="3">
        <f>_xlfn.XLOOKUP(D1859,Master[Product_Code],Master[Selling_Price])</f>
        <v>870</v>
      </c>
    </row>
    <row r="1860" spans="2:12">
      <c r="B1860" s="2" t="s">
        <v>2521</v>
      </c>
      <c r="C1860" s="7">
        <v>45990</v>
      </c>
      <c r="D1860" s="2" t="s">
        <v>1586</v>
      </c>
      <c r="E1860" s="4">
        <v>1</v>
      </c>
      <c r="F1860" s="8" t="str">
        <f>_xlfn.XLOOKUP(D1860,Master[Product_Code],Master[Category])</f>
        <v>Innerwear</v>
      </c>
      <c r="G1860" s="8" t="str">
        <f>_xlfn.XLOOKUP(D1860,Master[Product_Code],Master[Brand])</f>
        <v>Lux</v>
      </c>
      <c r="H1860" s="8" t="str">
        <f>_xlfn.XLOOKUP(D1860,Master[Product_Code],Master[Style])</f>
        <v>V-Cut</v>
      </c>
      <c r="I1860" s="8" t="str">
        <f>_xlfn.XLOOKUP(D1860,Master[Product_Code],Master[Fabric])</f>
        <v>Cotton</v>
      </c>
      <c r="J1860" s="8" t="str">
        <f>_xlfn.XLOOKUP(D1860,Master[Product_Code],Master[Size])</f>
        <v>85-90</v>
      </c>
      <c r="K1860" s="8" t="str">
        <f>_xlfn.XLOOKUP(D1860,Master[Product_Code],Master[Color])</f>
        <v>Grey</v>
      </c>
      <c r="L1860" s="3">
        <f>_xlfn.XLOOKUP(D1860,Master[Product_Code],Master[Selling_Price])</f>
        <v>140</v>
      </c>
    </row>
    <row r="1861" spans="2:12">
      <c r="B1861" s="2" t="s">
        <v>2521</v>
      </c>
      <c r="C1861" s="7">
        <v>45990</v>
      </c>
      <c r="D1861" s="2" t="s">
        <v>596</v>
      </c>
      <c r="E1861" s="4">
        <v>1</v>
      </c>
      <c r="F1861" s="8" t="str">
        <f>_xlfn.XLOOKUP(D1861,Master[Product_Code],Master[Category])</f>
        <v>T-Shirt</v>
      </c>
      <c r="G1861" s="8" t="str">
        <f>_xlfn.XLOOKUP(D1861,Master[Product_Code],Master[Brand])</f>
        <v>Urban Monkey</v>
      </c>
      <c r="H1861" s="8" t="str">
        <f>_xlfn.XLOOKUP(D1861,Master[Product_Code],Master[Style])</f>
        <v>Half Sleeve</v>
      </c>
      <c r="I1861" s="8" t="str">
        <f>_xlfn.XLOOKUP(D1861,Master[Product_Code],Master[Fabric])</f>
        <v>Cotton Blend</v>
      </c>
      <c r="J1861" s="8" t="str">
        <f>_xlfn.XLOOKUP(D1861,Master[Product_Code],Master[Size])</f>
        <v>S</v>
      </c>
      <c r="K1861" s="8" t="str">
        <f>_xlfn.XLOOKUP(D1861,Master[Product_Code],Master[Color])</f>
        <v>Mustard</v>
      </c>
      <c r="L1861" s="3">
        <f>_xlfn.XLOOKUP(D1861,Master[Product_Code],Master[Selling_Price])</f>
        <v>260</v>
      </c>
    </row>
    <row r="1862" spans="2:12">
      <c r="B1862" s="2" t="s">
        <v>2522</v>
      </c>
      <c r="C1862" s="7">
        <v>45990</v>
      </c>
      <c r="D1862" s="2" t="s">
        <v>1517</v>
      </c>
      <c r="E1862" s="4">
        <v>1</v>
      </c>
      <c r="F1862" s="8" t="str">
        <f>_xlfn.XLOOKUP(D1862,Master[Product_Code],Master[Category])</f>
        <v>Innerwear</v>
      </c>
      <c r="G1862" s="8" t="str">
        <f>_xlfn.XLOOKUP(D1862,Master[Product_Code],Master[Brand])</f>
        <v>Jockey</v>
      </c>
      <c r="H1862" s="8" t="str">
        <f>_xlfn.XLOOKUP(D1862,Master[Product_Code],Master[Style])</f>
        <v>Boxer</v>
      </c>
      <c r="I1862" s="8" t="str">
        <f>_xlfn.XLOOKUP(D1862,Master[Product_Code],Master[Fabric])</f>
        <v>Cotton Blend</v>
      </c>
      <c r="J1862" s="8" t="str">
        <f>_xlfn.XLOOKUP(D1862,Master[Product_Code],Master[Size])</f>
        <v>100-105</v>
      </c>
      <c r="K1862" s="8" t="str">
        <f>_xlfn.XLOOKUP(D1862,Master[Product_Code],Master[Color])</f>
        <v>Royal Blue</v>
      </c>
      <c r="L1862" s="3">
        <f>_xlfn.XLOOKUP(D1862,Master[Product_Code],Master[Selling_Price])</f>
        <v>130</v>
      </c>
    </row>
    <row r="1863" spans="2:12">
      <c r="B1863" s="2" t="s">
        <v>2522</v>
      </c>
      <c r="C1863" s="7">
        <v>45990</v>
      </c>
      <c r="D1863" s="2" t="s">
        <v>214</v>
      </c>
      <c r="E1863" s="4">
        <v>1</v>
      </c>
      <c r="F1863" s="8" t="str">
        <f>_xlfn.XLOOKUP(D1863,Master[Product_Code],Master[Category])</f>
        <v>Shirt</v>
      </c>
      <c r="G1863" s="8" t="str">
        <f>_xlfn.XLOOKUP(D1863,Master[Product_Code],Master[Brand])</f>
        <v>H&amp;M</v>
      </c>
      <c r="H1863" s="8" t="str">
        <f>_xlfn.XLOOKUP(D1863,Master[Product_Code],Master[Style])</f>
        <v>Casual</v>
      </c>
      <c r="I1863" s="8" t="str">
        <f>_xlfn.XLOOKUP(D1863,Master[Product_Code],Master[Fabric])</f>
        <v>Lycra</v>
      </c>
      <c r="J1863" s="8" t="str">
        <f>_xlfn.XLOOKUP(D1863,Master[Product_Code],Master[Size])</f>
        <v>L</v>
      </c>
      <c r="K1863" s="8" t="str">
        <f>_xlfn.XLOOKUP(D1863,Master[Product_Code],Master[Color])</f>
        <v>Peach</v>
      </c>
      <c r="L1863" s="3">
        <f>_xlfn.XLOOKUP(D1863,Master[Product_Code],Master[Selling_Price])</f>
        <v>820</v>
      </c>
    </row>
    <row r="1864" spans="2:12">
      <c r="B1864" s="2" t="s">
        <v>2523</v>
      </c>
      <c r="C1864" s="7">
        <v>45990</v>
      </c>
      <c r="D1864" s="2" t="s">
        <v>547</v>
      </c>
      <c r="E1864" s="4">
        <v>1</v>
      </c>
      <c r="F1864" s="8" t="str">
        <f>_xlfn.XLOOKUP(D1864,Master[Product_Code],Master[Category])</f>
        <v>T-Shirt</v>
      </c>
      <c r="G1864" s="8" t="str">
        <f>_xlfn.XLOOKUP(D1864,Master[Product_Code],Master[Brand])</f>
        <v>Roadster</v>
      </c>
      <c r="H1864" s="8" t="str">
        <f>_xlfn.XLOOKUP(D1864,Master[Product_Code],Master[Style])</f>
        <v>3/4 Sleeve</v>
      </c>
      <c r="I1864" s="8" t="str">
        <f>_xlfn.XLOOKUP(D1864,Master[Product_Code],Master[Fabric])</f>
        <v>Poly Cotton</v>
      </c>
      <c r="J1864" s="8" t="str">
        <f>_xlfn.XLOOKUP(D1864,Master[Product_Code],Master[Size])</f>
        <v>XXL</v>
      </c>
      <c r="K1864" s="8" t="str">
        <f>_xlfn.XLOOKUP(D1864,Master[Product_Code],Master[Color])</f>
        <v>Charcoal</v>
      </c>
      <c r="L1864" s="3">
        <f>_xlfn.XLOOKUP(D1864,Master[Product_Code],Master[Selling_Price])</f>
        <v>420</v>
      </c>
    </row>
    <row r="1865" spans="2:12">
      <c r="B1865" s="2" t="s">
        <v>2523</v>
      </c>
      <c r="C1865" s="7">
        <v>45990</v>
      </c>
      <c r="D1865" s="2" t="s">
        <v>1469</v>
      </c>
      <c r="E1865" s="4">
        <v>1</v>
      </c>
      <c r="F1865" s="8" t="str">
        <f>_xlfn.XLOOKUP(D1865,Master[Product_Code],Master[Category])</f>
        <v>Innerwear</v>
      </c>
      <c r="G1865" s="8" t="str">
        <f>_xlfn.XLOOKUP(D1865,Master[Product_Code],Master[Brand])</f>
        <v>Rupa</v>
      </c>
      <c r="H1865" s="8" t="str">
        <f>_xlfn.XLOOKUP(D1865,Master[Product_Code],Master[Style])</f>
        <v>V-Cut</v>
      </c>
      <c r="I1865" s="8" t="str">
        <f>_xlfn.XLOOKUP(D1865,Master[Product_Code],Master[Fabric])</f>
        <v>Cotton</v>
      </c>
      <c r="J1865" s="8" t="str">
        <f>_xlfn.XLOOKUP(D1865,Master[Product_Code],Master[Size])</f>
        <v>90-100</v>
      </c>
      <c r="K1865" s="8" t="str">
        <f>_xlfn.XLOOKUP(D1865,Master[Product_Code],Master[Color])</f>
        <v>Brown</v>
      </c>
      <c r="L1865" s="3">
        <f>_xlfn.XLOOKUP(D1865,Master[Product_Code],Master[Selling_Price])</f>
        <v>100</v>
      </c>
    </row>
    <row r="1866" spans="2:12">
      <c r="B1866" s="2" t="s">
        <v>2523</v>
      </c>
      <c r="C1866" s="7">
        <v>45990</v>
      </c>
      <c r="D1866" s="2" t="s">
        <v>99</v>
      </c>
      <c r="E1866" s="4">
        <v>1</v>
      </c>
      <c r="F1866" s="8" t="str">
        <f>_xlfn.XLOOKUP(D1866,Master[Product_Code],Master[Category])</f>
        <v>Shirt</v>
      </c>
      <c r="G1866" s="8" t="str">
        <f>_xlfn.XLOOKUP(D1866,Master[Product_Code],Master[Brand])</f>
        <v>H&amp;M</v>
      </c>
      <c r="H1866" s="8" t="str">
        <f>_xlfn.XLOOKUP(D1866,Master[Product_Code],Master[Style])</f>
        <v>Formal</v>
      </c>
      <c r="I1866" s="8" t="str">
        <f>_xlfn.XLOOKUP(D1866,Master[Product_Code],Master[Fabric])</f>
        <v>Cotton Blend</v>
      </c>
      <c r="J1866" s="8" t="str">
        <f>_xlfn.XLOOKUP(D1866,Master[Product_Code],Master[Size])</f>
        <v>S</v>
      </c>
      <c r="K1866" s="8" t="str">
        <f>_xlfn.XLOOKUP(D1866,Master[Product_Code],Master[Color])</f>
        <v>Maroon</v>
      </c>
      <c r="L1866" s="3">
        <f>_xlfn.XLOOKUP(D1866,Master[Product_Code],Master[Selling_Price])</f>
        <v>850</v>
      </c>
    </row>
    <row r="1867" spans="2:12">
      <c r="B1867" s="2" t="s">
        <v>2524</v>
      </c>
      <c r="C1867" s="7">
        <v>45990</v>
      </c>
      <c r="D1867" s="2" t="s">
        <v>292</v>
      </c>
      <c r="E1867" s="4">
        <v>1</v>
      </c>
      <c r="F1867" s="8" t="str">
        <f>_xlfn.XLOOKUP(D1867,Master[Product_Code],Master[Category])</f>
        <v>Shirt</v>
      </c>
      <c r="G1867" s="8" t="str">
        <f>_xlfn.XLOOKUP(D1867,Master[Product_Code],Master[Brand])</f>
        <v>USD</v>
      </c>
      <c r="H1867" s="8" t="str">
        <f>_xlfn.XLOOKUP(D1867,Master[Product_Code],Master[Style])</f>
        <v>Partywear</v>
      </c>
      <c r="I1867" s="8" t="str">
        <f>_xlfn.XLOOKUP(D1867,Master[Product_Code],Master[Fabric])</f>
        <v>Polyester</v>
      </c>
      <c r="J1867" s="8" t="str">
        <f>_xlfn.XLOOKUP(D1867,Master[Product_Code],Master[Size])</f>
        <v>XL</v>
      </c>
      <c r="K1867" s="8" t="str">
        <f>_xlfn.XLOOKUP(D1867,Master[Product_Code],Master[Color])</f>
        <v>Royal Blue</v>
      </c>
      <c r="L1867" s="3">
        <f>_xlfn.XLOOKUP(D1867,Master[Product_Code],Master[Selling_Price])</f>
        <v>880</v>
      </c>
    </row>
    <row r="1868" spans="2:12">
      <c r="B1868" s="2" t="s">
        <v>2525</v>
      </c>
      <c r="C1868" s="7">
        <v>45990</v>
      </c>
      <c r="D1868" s="2" t="s">
        <v>371</v>
      </c>
      <c r="E1868" s="4">
        <v>1</v>
      </c>
      <c r="F1868" s="8" t="str">
        <f>_xlfn.XLOOKUP(D1868,Master[Product_Code],Master[Category])</f>
        <v>Shirt</v>
      </c>
      <c r="G1868" s="8" t="str">
        <f>_xlfn.XLOOKUP(D1868,Master[Product_Code],Master[Brand])</f>
        <v>USD</v>
      </c>
      <c r="H1868" s="8" t="str">
        <f>_xlfn.XLOOKUP(D1868,Master[Product_Code],Master[Style])</f>
        <v>Partywear</v>
      </c>
      <c r="I1868" s="8" t="str">
        <f>_xlfn.XLOOKUP(D1868,Master[Product_Code],Master[Fabric])</f>
        <v>Polyester</v>
      </c>
      <c r="J1868" s="8" t="str">
        <f>_xlfn.XLOOKUP(D1868,Master[Product_Code],Master[Size])</f>
        <v>L</v>
      </c>
      <c r="K1868" s="8" t="str">
        <f>_xlfn.XLOOKUP(D1868,Master[Product_Code],Master[Color])</f>
        <v>Grey</v>
      </c>
      <c r="L1868" s="3">
        <f>_xlfn.XLOOKUP(D1868,Master[Product_Code],Master[Selling_Price])</f>
        <v>950</v>
      </c>
    </row>
    <row r="1869" spans="2:12">
      <c r="B1869" s="2" t="s">
        <v>2526</v>
      </c>
      <c r="C1869" s="7">
        <v>45990</v>
      </c>
      <c r="D1869" s="2" t="s">
        <v>1455</v>
      </c>
      <c r="E1869" s="4">
        <v>1</v>
      </c>
      <c r="F1869" s="8" t="str">
        <f>_xlfn.XLOOKUP(D1869,Master[Product_Code],Master[Category])</f>
        <v>Pants</v>
      </c>
      <c r="G1869" s="8" t="str">
        <f>_xlfn.XLOOKUP(D1869,Master[Product_Code],Master[Brand])</f>
        <v>Louis Philippe</v>
      </c>
      <c r="H1869" s="8" t="str">
        <f>_xlfn.XLOOKUP(D1869,Master[Product_Code],Master[Style])</f>
        <v>Boot Cut</v>
      </c>
      <c r="I1869" s="8" t="str">
        <f>_xlfn.XLOOKUP(D1869,Master[Product_Code],Master[Fabric])</f>
        <v>Cotton Blend</v>
      </c>
      <c r="J1869" s="8">
        <f>_xlfn.XLOOKUP(D1869,Master[Product_Code],Master[Size])</f>
        <v>44</v>
      </c>
      <c r="K1869" s="8" t="str">
        <f>_xlfn.XLOOKUP(D1869,Master[Product_Code],Master[Color])</f>
        <v>Brown</v>
      </c>
      <c r="L1869" s="3">
        <f>_xlfn.XLOOKUP(D1869,Master[Product_Code],Master[Selling_Price])</f>
        <v>850</v>
      </c>
    </row>
    <row r="1870" spans="2:12">
      <c r="B1870" s="2" t="s">
        <v>2527</v>
      </c>
      <c r="C1870" s="7">
        <v>45990</v>
      </c>
      <c r="D1870" s="2" t="s">
        <v>504</v>
      </c>
      <c r="E1870" s="4">
        <v>1</v>
      </c>
      <c r="F1870" s="8" t="str">
        <f>_xlfn.XLOOKUP(D1870,Master[Product_Code],Master[Category])</f>
        <v>T-Shirt</v>
      </c>
      <c r="G1870" s="8" t="str">
        <f>_xlfn.XLOOKUP(D1870,Master[Product_Code],Master[Brand])</f>
        <v>Campus</v>
      </c>
      <c r="H1870" s="8" t="str">
        <f>_xlfn.XLOOKUP(D1870,Master[Product_Code],Master[Style])</f>
        <v>Half Sleeve</v>
      </c>
      <c r="I1870" s="8" t="str">
        <f>_xlfn.XLOOKUP(D1870,Master[Product_Code],Master[Fabric])</f>
        <v>Cotton Blend</v>
      </c>
      <c r="J1870" s="8" t="str">
        <f>_xlfn.XLOOKUP(D1870,Master[Product_Code],Master[Size])</f>
        <v>XXL</v>
      </c>
      <c r="K1870" s="8" t="str">
        <f>_xlfn.XLOOKUP(D1870,Master[Product_Code],Master[Color])</f>
        <v>Beige</v>
      </c>
      <c r="L1870" s="3">
        <f>_xlfn.XLOOKUP(D1870,Master[Product_Code],Master[Selling_Price])</f>
        <v>260</v>
      </c>
    </row>
    <row r="1871" spans="2:12">
      <c r="B1871" s="2" t="s">
        <v>2527</v>
      </c>
      <c r="C1871" s="7">
        <v>45990</v>
      </c>
      <c r="D1871" s="2" t="s">
        <v>1264</v>
      </c>
      <c r="E1871" s="4">
        <v>1</v>
      </c>
      <c r="F1871" s="8" t="str">
        <f>_xlfn.XLOOKUP(D1871,Master[Product_Code],Master[Category])</f>
        <v>Pants</v>
      </c>
      <c r="G1871" s="8" t="str">
        <f>_xlfn.XLOOKUP(D1871,Master[Product_Code],Master[Brand])</f>
        <v>Peter England</v>
      </c>
      <c r="H1871" s="8" t="str">
        <f>_xlfn.XLOOKUP(D1871,Master[Product_Code],Master[Style])</f>
        <v>Boot Cut</v>
      </c>
      <c r="I1871" s="8" t="str">
        <f>_xlfn.XLOOKUP(D1871,Master[Product_Code],Master[Fabric])</f>
        <v>Cotton</v>
      </c>
      <c r="J1871" s="8">
        <f>_xlfn.XLOOKUP(D1871,Master[Product_Code],Master[Size])</f>
        <v>40</v>
      </c>
      <c r="K1871" s="8" t="str">
        <f>_xlfn.XLOOKUP(D1871,Master[Product_Code],Master[Color])</f>
        <v>Maroon</v>
      </c>
      <c r="L1871" s="3">
        <f>_xlfn.XLOOKUP(D1871,Master[Product_Code],Master[Selling_Price])</f>
        <v>800</v>
      </c>
    </row>
    <row r="1872" spans="2:12">
      <c r="B1872" s="2" t="s">
        <v>2527</v>
      </c>
      <c r="C1872" s="7">
        <v>45990</v>
      </c>
      <c r="D1872" s="2" t="s">
        <v>701</v>
      </c>
      <c r="E1872" s="4">
        <v>1</v>
      </c>
      <c r="F1872" s="8" t="str">
        <f>_xlfn.XLOOKUP(D1872,Master[Product_Code],Master[Category])</f>
        <v>T-Shirt</v>
      </c>
      <c r="G1872" s="8" t="str">
        <f>_xlfn.XLOOKUP(D1872,Master[Product_Code],Master[Brand])</f>
        <v>Urban Monkey</v>
      </c>
      <c r="H1872" s="8" t="str">
        <f>_xlfn.XLOOKUP(D1872,Master[Product_Code],Master[Style])</f>
        <v>Sleeveless</v>
      </c>
      <c r="I1872" s="8" t="str">
        <f>_xlfn.XLOOKUP(D1872,Master[Product_Code],Master[Fabric])</f>
        <v>Cotton</v>
      </c>
      <c r="J1872" s="8" t="str">
        <f>_xlfn.XLOOKUP(D1872,Master[Product_Code],Master[Size])</f>
        <v>XXL</v>
      </c>
      <c r="K1872" s="8" t="str">
        <f>_xlfn.XLOOKUP(D1872,Master[Product_Code],Master[Color])</f>
        <v>Sky Blue</v>
      </c>
      <c r="L1872" s="3">
        <f>_xlfn.XLOOKUP(D1872,Master[Product_Code],Master[Selling_Price])</f>
        <v>290</v>
      </c>
    </row>
    <row r="1873" spans="2:12">
      <c r="B1873" s="2" t="s">
        <v>2528</v>
      </c>
      <c r="C1873" s="7">
        <v>45990</v>
      </c>
      <c r="D1873" s="2" t="s">
        <v>1526</v>
      </c>
      <c r="E1873" s="4">
        <v>1</v>
      </c>
      <c r="F1873" s="8" t="str">
        <f>_xlfn.XLOOKUP(D1873,Master[Product_Code],Master[Category])</f>
        <v>Innerwear</v>
      </c>
      <c r="G1873" s="8" t="str">
        <f>_xlfn.XLOOKUP(D1873,Master[Product_Code],Master[Brand])</f>
        <v>Lux</v>
      </c>
      <c r="H1873" s="8" t="str">
        <f>_xlfn.XLOOKUP(D1873,Master[Product_Code],Master[Style])</f>
        <v>Boxer</v>
      </c>
      <c r="I1873" s="8" t="str">
        <f>_xlfn.XLOOKUP(D1873,Master[Product_Code],Master[Fabric])</f>
        <v>Cotton</v>
      </c>
      <c r="J1873" s="8" t="str">
        <f>_xlfn.XLOOKUP(D1873,Master[Product_Code],Master[Size])</f>
        <v>105-110</v>
      </c>
      <c r="K1873" s="8" t="str">
        <f>_xlfn.XLOOKUP(D1873,Master[Product_Code],Master[Color])</f>
        <v>Maroon</v>
      </c>
      <c r="L1873" s="3">
        <f>_xlfn.XLOOKUP(D1873,Master[Product_Code],Master[Selling_Price])</f>
        <v>180</v>
      </c>
    </row>
    <row r="1874" spans="2:12">
      <c r="B1874" s="2" t="s">
        <v>2528</v>
      </c>
      <c r="C1874" s="7">
        <v>45990</v>
      </c>
      <c r="D1874" s="2" t="s">
        <v>1488</v>
      </c>
      <c r="E1874" s="4">
        <v>1</v>
      </c>
      <c r="F1874" s="8" t="str">
        <f>_xlfn.XLOOKUP(D1874,Master[Product_Code],Master[Category])</f>
        <v>Innerwear</v>
      </c>
      <c r="G1874" s="8" t="str">
        <f>_xlfn.XLOOKUP(D1874,Master[Product_Code],Master[Brand])</f>
        <v>Jockey</v>
      </c>
      <c r="H1874" s="8" t="str">
        <f>_xlfn.XLOOKUP(D1874,Master[Product_Code],Master[Style])</f>
        <v>V-Cut</v>
      </c>
      <c r="I1874" s="8" t="str">
        <f>_xlfn.XLOOKUP(D1874,Master[Product_Code],Master[Fabric])</f>
        <v>Cotton</v>
      </c>
      <c r="J1874" s="8" t="str">
        <f>_xlfn.XLOOKUP(D1874,Master[Product_Code],Master[Size])</f>
        <v>85-90</v>
      </c>
      <c r="K1874" s="8" t="str">
        <f>_xlfn.XLOOKUP(D1874,Master[Product_Code],Master[Color])</f>
        <v>Sky Blue</v>
      </c>
      <c r="L1874" s="3">
        <f>_xlfn.XLOOKUP(D1874,Master[Product_Code],Master[Selling_Price])</f>
        <v>130</v>
      </c>
    </row>
    <row r="1875" spans="2:12">
      <c r="B1875" s="2" t="s">
        <v>2529</v>
      </c>
      <c r="C1875" s="7">
        <v>45990</v>
      </c>
      <c r="D1875" s="2" t="s">
        <v>871</v>
      </c>
      <c r="E1875" s="4">
        <v>1</v>
      </c>
      <c r="F1875" s="8" t="str">
        <f>_xlfn.XLOOKUP(D1875,Master[Product_Code],Master[Category])</f>
        <v>Jeans</v>
      </c>
      <c r="G1875" s="8" t="str">
        <f>_xlfn.XLOOKUP(D1875,Master[Product_Code],Master[Brand])</f>
        <v>Spykar</v>
      </c>
      <c r="H1875" s="8" t="str">
        <f>_xlfn.XLOOKUP(D1875,Master[Product_Code],Master[Style])</f>
        <v>Mom Fit</v>
      </c>
      <c r="I1875" s="8" t="str">
        <f>_xlfn.XLOOKUP(D1875,Master[Product_Code],Master[Fabric])</f>
        <v>Denim</v>
      </c>
      <c r="J1875" s="8">
        <f>_xlfn.XLOOKUP(D1875,Master[Product_Code],Master[Size])</f>
        <v>40</v>
      </c>
      <c r="K1875" s="8" t="str">
        <f>_xlfn.XLOOKUP(D1875,Master[Product_Code],Master[Color])</f>
        <v>Navy Blue</v>
      </c>
      <c r="L1875" s="3">
        <f>_xlfn.XLOOKUP(D1875,Master[Product_Code],Master[Selling_Price])</f>
        <v>1070</v>
      </c>
    </row>
    <row r="1876" spans="2:12">
      <c r="B1876" s="2" t="s">
        <v>2529</v>
      </c>
      <c r="C1876" s="7">
        <v>45990</v>
      </c>
      <c r="D1876" s="2" t="s">
        <v>760</v>
      </c>
      <c r="E1876" s="4">
        <v>1</v>
      </c>
      <c r="F1876" s="8" t="str">
        <f>_xlfn.XLOOKUP(D1876,Master[Product_Code],Master[Category])</f>
        <v>T-Shirt</v>
      </c>
      <c r="G1876" s="8" t="str">
        <f>_xlfn.XLOOKUP(D1876,Master[Product_Code],Master[Brand])</f>
        <v>Urban Monkey</v>
      </c>
      <c r="H1876" s="8" t="str">
        <f>_xlfn.XLOOKUP(D1876,Master[Product_Code],Master[Style])</f>
        <v>Hoodie</v>
      </c>
      <c r="I1876" s="8" t="str">
        <f>_xlfn.XLOOKUP(D1876,Master[Product_Code],Master[Fabric])</f>
        <v>Poly Cotton</v>
      </c>
      <c r="J1876" s="8" t="str">
        <f>_xlfn.XLOOKUP(D1876,Master[Product_Code],Master[Size])</f>
        <v>L</v>
      </c>
      <c r="K1876" s="8" t="str">
        <f>_xlfn.XLOOKUP(D1876,Master[Product_Code],Master[Color])</f>
        <v>Maroon</v>
      </c>
      <c r="L1876" s="3">
        <f>_xlfn.XLOOKUP(D1876,Master[Product_Code],Master[Selling_Price])</f>
        <v>370</v>
      </c>
    </row>
    <row r="1877" spans="2:12">
      <c r="B1877" s="2" t="s">
        <v>2530</v>
      </c>
      <c r="C1877" s="7">
        <v>45990</v>
      </c>
      <c r="D1877" s="2" t="s">
        <v>221</v>
      </c>
      <c r="E1877" s="4">
        <v>1</v>
      </c>
      <c r="F1877" s="8" t="str">
        <f>_xlfn.XLOOKUP(D1877,Master[Product_Code],Master[Category])</f>
        <v>Shirt</v>
      </c>
      <c r="G1877" s="8" t="str">
        <f>_xlfn.XLOOKUP(D1877,Master[Product_Code],Master[Brand])</f>
        <v>G Studio</v>
      </c>
      <c r="H1877" s="8" t="str">
        <f>_xlfn.XLOOKUP(D1877,Master[Product_Code],Master[Style])</f>
        <v>Partywear</v>
      </c>
      <c r="I1877" s="8" t="str">
        <f>_xlfn.XLOOKUP(D1877,Master[Product_Code],Master[Fabric])</f>
        <v>Lycra</v>
      </c>
      <c r="J1877" s="8" t="str">
        <f>_xlfn.XLOOKUP(D1877,Master[Product_Code],Master[Size])</f>
        <v>XL</v>
      </c>
      <c r="K1877" s="8" t="str">
        <f>_xlfn.XLOOKUP(D1877,Master[Product_Code],Master[Color])</f>
        <v>Cream</v>
      </c>
      <c r="L1877" s="3">
        <f>_xlfn.XLOOKUP(D1877,Master[Product_Code],Master[Selling_Price])</f>
        <v>660</v>
      </c>
    </row>
    <row r="1878" spans="2:12">
      <c r="B1878" s="2" t="s">
        <v>2531</v>
      </c>
      <c r="C1878" s="7">
        <v>45990</v>
      </c>
      <c r="D1878" s="2" t="s">
        <v>1577</v>
      </c>
      <c r="E1878" s="4">
        <v>1</v>
      </c>
      <c r="F1878" s="8" t="str">
        <f>_xlfn.XLOOKUP(D1878,Master[Product_Code],Master[Category])</f>
        <v>Innerwear</v>
      </c>
      <c r="G1878" s="8" t="str">
        <f>_xlfn.XLOOKUP(D1878,Master[Product_Code],Master[Brand])</f>
        <v>Jockey</v>
      </c>
      <c r="H1878" s="8" t="str">
        <f>_xlfn.XLOOKUP(D1878,Master[Product_Code],Master[Style])</f>
        <v>Boxer</v>
      </c>
      <c r="I1878" s="8" t="str">
        <f>_xlfn.XLOOKUP(D1878,Master[Product_Code],Master[Fabric])</f>
        <v>Cotton Blend</v>
      </c>
      <c r="J1878" s="8" t="str">
        <f>_xlfn.XLOOKUP(D1878,Master[Product_Code],Master[Size])</f>
        <v>100-105</v>
      </c>
      <c r="K1878" s="8" t="str">
        <f>_xlfn.XLOOKUP(D1878,Master[Product_Code],Master[Color])</f>
        <v>Maroon</v>
      </c>
      <c r="L1878" s="3">
        <f>_xlfn.XLOOKUP(D1878,Master[Product_Code],Master[Selling_Price])</f>
        <v>170</v>
      </c>
    </row>
    <row r="1879" spans="2:12">
      <c r="B1879" s="2" t="s">
        <v>2532</v>
      </c>
      <c r="C1879" s="7">
        <v>45990</v>
      </c>
      <c r="D1879" s="2" t="s">
        <v>92</v>
      </c>
      <c r="E1879" s="4">
        <v>1</v>
      </c>
      <c r="F1879" s="8" t="str">
        <f>_xlfn.XLOOKUP(D1879,Master[Product_Code],Master[Category])</f>
        <v>Shirt</v>
      </c>
      <c r="G1879" s="8" t="str">
        <f>_xlfn.XLOOKUP(D1879,Master[Product_Code],Master[Brand])</f>
        <v>G Studio</v>
      </c>
      <c r="H1879" s="8" t="str">
        <f>_xlfn.XLOOKUP(D1879,Master[Product_Code],Master[Style])</f>
        <v>Casual</v>
      </c>
      <c r="I1879" s="8" t="str">
        <f>_xlfn.XLOOKUP(D1879,Master[Product_Code],Master[Fabric])</f>
        <v>Cotton</v>
      </c>
      <c r="J1879" s="8" t="str">
        <f>_xlfn.XLOOKUP(D1879,Master[Product_Code],Master[Size])</f>
        <v>XXL</v>
      </c>
      <c r="K1879" s="8" t="str">
        <f>_xlfn.XLOOKUP(D1879,Master[Product_Code],Master[Color])</f>
        <v>Charcoal</v>
      </c>
      <c r="L1879" s="3">
        <f>_xlfn.XLOOKUP(D1879,Master[Product_Code],Master[Selling_Price])</f>
        <v>870</v>
      </c>
    </row>
    <row r="1880" spans="2:12">
      <c r="B1880" s="2" t="s">
        <v>2532</v>
      </c>
      <c r="C1880" s="7">
        <v>45990</v>
      </c>
      <c r="D1880" s="2" t="s">
        <v>26</v>
      </c>
      <c r="E1880" s="4">
        <v>1</v>
      </c>
      <c r="F1880" s="8" t="str">
        <f>_xlfn.XLOOKUP(D1880,Master[Product_Code],Master[Category])</f>
        <v>Shirt</v>
      </c>
      <c r="G1880" s="8" t="str">
        <f>_xlfn.XLOOKUP(D1880,Master[Product_Code],Master[Brand])</f>
        <v>G Studio</v>
      </c>
      <c r="H1880" s="8" t="str">
        <f>_xlfn.XLOOKUP(D1880,Master[Product_Code],Master[Style])</f>
        <v>Partywear</v>
      </c>
      <c r="I1880" s="8" t="str">
        <f>_xlfn.XLOOKUP(D1880,Master[Product_Code],Master[Fabric])</f>
        <v>Polyester</v>
      </c>
      <c r="J1880" s="8" t="str">
        <f>_xlfn.XLOOKUP(D1880,Master[Product_Code],Master[Size])</f>
        <v>M</v>
      </c>
      <c r="K1880" s="8" t="str">
        <f>_xlfn.XLOOKUP(D1880,Master[Product_Code],Master[Color])</f>
        <v>Cream</v>
      </c>
      <c r="L1880" s="3">
        <f>_xlfn.XLOOKUP(D1880,Master[Product_Code],Master[Selling_Price])</f>
        <v>830</v>
      </c>
    </row>
    <row r="1881" spans="2:12">
      <c r="B1881" s="2" t="s">
        <v>2533</v>
      </c>
      <c r="C1881" s="7">
        <v>45990</v>
      </c>
      <c r="D1881" s="2" t="s">
        <v>209</v>
      </c>
      <c r="E1881" s="4">
        <v>1</v>
      </c>
      <c r="F1881" s="8" t="str">
        <f>_xlfn.XLOOKUP(D1881,Master[Product_Code],Master[Category])</f>
        <v>Shirt</v>
      </c>
      <c r="G1881" s="8" t="str">
        <f>_xlfn.XLOOKUP(D1881,Master[Product_Code],Master[Brand])</f>
        <v>Thailand</v>
      </c>
      <c r="H1881" s="8" t="str">
        <f>_xlfn.XLOOKUP(D1881,Master[Product_Code],Master[Style])</f>
        <v>Partywear</v>
      </c>
      <c r="I1881" s="8" t="str">
        <f>_xlfn.XLOOKUP(D1881,Master[Product_Code],Master[Fabric])</f>
        <v>Cotton Blend</v>
      </c>
      <c r="J1881" s="8" t="str">
        <f>_xlfn.XLOOKUP(D1881,Master[Product_Code],Master[Size])</f>
        <v>S</v>
      </c>
      <c r="K1881" s="8" t="str">
        <f>_xlfn.XLOOKUP(D1881,Master[Product_Code],Master[Color])</f>
        <v>Rust</v>
      </c>
      <c r="L1881" s="3">
        <f>_xlfn.XLOOKUP(D1881,Master[Product_Code],Master[Selling_Price])</f>
        <v>840</v>
      </c>
    </row>
    <row r="1882" spans="2:12">
      <c r="B1882" s="2" t="s">
        <v>2534</v>
      </c>
      <c r="C1882" s="7">
        <v>45990</v>
      </c>
      <c r="D1882" s="2" t="s">
        <v>680</v>
      </c>
      <c r="E1882" s="4">
        <v>1</v>
      </c>
      <c r="F1882" s="8" t="str">
        <f>_xlfn.XLOOKUP(D1882,Master[Product_Code],Master[Category])</f>
        <v>T-Shirt</v>
      </c>
      <c r="G1882" s="8" t="str">
        <f>_xlfn.XLOOKUP(D1882,Master[Product_Code],Master[Brand])</f>
        <v>Urban Monkey</v>
      </c>
      <c r="H1882" s="8" t="str">
        <f>_xlfn.XLOOKUP(D1882,Master[Product_Code],Master[Style])</f>
        <v>Sleeveless</v>
      </c>
      <c r="I1882" s="8" t="str">
        <f>_xlfn.XLOOKUP(D1882,Master[Product_Code],Master[Fabric])</f>
        <v>Cotton Blend</v>
      </c>
      <c r="J1882" s="8" t="str">
        <f>_xlfn.XLOOKUP(D1882,Master[Product_Code],Master[Size])</f>
        <v>M</v>
      </c>
      <c r="K1882" s="8" t="str">
        <f>_xlfn.XLOOKUP(D1882,Master[Product_Code],Master[Color])</f>
        <v>Sky Blue</v>
      </c>
      <c r="L1882" s="3">
        <f>_xlfn.XLOOKUP(D1882,Master[Product_Code],Master[Selling_Price])</f>
        <v>700</v>
      </c>
    </row>
    <row r="1883" spans="2:12">
      <c r="B1883" s="2" t="s">
        <v>2534</v>
      </c>
      <c r="C1883" s="7">
        <v>45990</v>
      </c>
      <c r="D1883" s="2" t="s">
        <v>1544</v>
      </c>
      <c r="E1883" s="4">
        <v>1</v>
      </c>
      <c r="F1883" s="8" t="str">
        <f>_xlfn.XLOOKUP(D1883,Master[Product_Code],Master[Category])</f>
        <v>Innerwear</v>
      </c>
      <c r="G1883" s="8" t="str">
        <f>_xlfn.XLOOKUP(D1883,Master[Product_Code],Master[Brand])</f>
        <v>V Star</v>
      </c>
      <c r="H1883" s="8" t="str">
        <f>_xlfn.XLOOKUP(D1883,Master[Product_Code],Master[Style])</f>
        <v>V-Cut</v>
      </c>
      <c r="I1883" s="8" t="str">
        <f>_xlfn.XLOOKUP(D1883,Master[Product_Code],Master[Fabric])</f>
        <v>Cotton Blend</v>
      </c>
      <c r="J1883" s="8" t="str">
        <f>_xlfn.XLOOKUP(D1883,Master[Product_Code],Master[Size])</f>
        <v>105-110</v>
      </c>
      <c r="K1883" s="8" t="str">
        <f>_xlfn.XLOOKUP(D1883,Master[Product_Code],Master[Color])</f>
        <v>Charcoal</v>
      </c>
      <c r="L1883" s="3">
        <f>_xlfn.XLOOKUP(D1883,Master[Product_Code],Master[Selling_Price])</f>
        <v>100</v>
      </c>
    </row>
    <row r="1884" spans="2:12">
      <c r="B1884" s="2" t="s">
        <v>2534</v>
      </c>
      <c r="C1884" s="7">
        <v>45990</v>
      </c>
      <c r="D1884" s="2" t="s">
        <v>236</v>
      </c>
      <c r="E1884" s="4">
        <v>1</v>
      </c>
      <c r="F1884" s="8" t="str">
        <f>_xlfn.XLOOKUP(D1884,Master[Product_Code],Master[Category])</f>
        <v>Shirt</v>
      </c>
      <c r="G1884" s="8" t="str">
        <f>_xlfn.XLOOKUP(D1884,Master[Product_Code],Master[Brand])</f>
        <v>H&amp;M</v>
      </c>
      <c r="H1884" s="8" t="str">
        <f>_xlfn.XLOOKUP(D1884,Master[Product_Code],Master[Style])</f>
        <v>Partywear</v>
      </c>
      <c r="I1884" s="8" t="str">
        <f>_xlfn.XLOOKUP(D1884,Master[Product_Code],Master[Fabric])</f>
        <v>Cotton Blend</v>
      </c>
      <c r="J1884" s="8" t="str">
        <f>_xlfn.XLOOKUP(D1884,Master[Product_Code],Master[Size])</f>
        <v>XL</v>
      </c>
      <c r="K1884" s="8" t="str">
        <f>_xlfn.XLOOKUP(D1884,Master[Product_Code],Master[Color])</f>
        <v>Royal Blue</v>
      </c>
      <c r="L1884" s="3">
        <f>_xlfn.XLOOKUP(D1884,Master[Product_Code],Master[Selling_Price])</f>
        <v>850</v>
      </c>
    </row>
    <row r="1885" spans="2:12">
      <c r="B1885" s="2" t="s">
        <v>2535</v>
      </c>
      <c r="C1885" s="7">
        <v>45992</v>
      </c>
      <c r="D1885" s="2" t="s">
        <v>481</v>
      </c>
      <c r="E1885" s="4">
        <v>1</v>
      </c>
      <c r="F1885" s="8" t="str">
        <f>_xlfn.XLOOKUP(D1885,Master[Product_Code],Master[Category])</f>
        <v>T-Shirt</v>
      </c>
      <c r="G1885" s="8" t="str">
        <f>_xlfn.XLOOKUP(D1885,Master[Product_Code],Master[Brand])</f>
        <v>Campus</v>
      </c>
      <c r="H1885" s="8" t="str">
        <f>_xlfn.XLOOKUP(D1885,Master[Product_Code],Master[Style])</f>
        <v>Sleeveless</v>
      </c>
      <c r="I1885" s="8" t="str">
        <f>_xlfn.XLOOKUP(D1885,Master[Product_Code],Master[Fabric])</f>
        <v>Poly Cotton</v>
      </c>
      <c r="J1885" s="8" t="str">
        <f>_xlfn.XLOOKUP(D1885,Master[Product_Code],Master[Size])</f>
        <v>L</v>
      </c>
      <c r="K1885" s="8" t="str">
        <f>_xlfn.XLOOKUP(D1885,Master[Product_Code],Master[Color])</f>
        <v>Royal Blue</v>
      </c>
      <c r="L1885" s="3">
        <f>_xlfn.XLOOKUP(D1885,Master[Product_Code],Master[Selling_Price])</f>
        <v>400</v>
      </c>
    </row>
    <row r="1886" spans="2:12">
      <c r="B1886" s="2" t="s">
        <v>2535</v>
      </c>
      <c r="C1886" s="7">
        <v>45992</v>
      </c>
      <c r="D1886" s="2" t="s">
        <v>388</v>
      </c>
      <c r="E1886" s="4">
        <v>1</v>
      </c>
      <c r="F1886" s="8" t="str">
        <f>_xlfn.XLOOKUP(D1886,Master[Product_Code],Master[Category])</f>
        <v>Shirt</v>
      </c>
      <c r="G1886" s="8" t="str">
        <f>_xlfn.XLOOKUP(D1886,Master[Product_Code],Master[Brand])</f>
        <v>Zara</v>
      </c>
      <c r="H1886" s="8" t="str">
        <f>_xlfn.XLOOKUP(D1886,Master[Product_Code],Master[Style])</f>
        <v>Casual</v>
      </c>
      <c r="I1886" s="8" t="str">
        <f>_xlfn.XLOOKUP(D1886,Master[Product_Code],Master[Fabric])</f>
        <v>Polyester</v>
      </c>
      <c r="J1886" s="8" t="str">
        <f>_xlfn.XLOOKUP(D1886,Master[Product_Code],Master[Size])</f>
        <v>M</v>
      </c>
      <c r="K1886" s="8" t="str">
        <f>_xlfn.XLOOKUP(D1886,Master[Product_Code],Master[Color])</f>
        <v>Maroon</v>
      </c>
      <c r="L1886" s="3">
        <f>_xlfn.XLOOKUP(D1886,Master[Product_Code],Master[Selling_Price])</f>
        <v>800</v>
      </c>
    </row>
    <row r="1887" spans="2:12">
      <c r="B1887" s="2" t="s">
        <v>2535</v>
      </c>
      <c r="C1887" s="7">
        <v>45992</v>
      </c>
      <c r="D1887" s="2" t="s">
        <v>608</v>
      </c>
      <c r="E1887" s="4">
        <v>1</v>
      </c>
      <c r="F1887" s="8" t="str">
        <f>_xlfn.XLOOKUP(D1887,Master[Product_Code],Master[Category])</f>
        <v>T-Shirt</v>
      </c>
      <c r="G1887" s="8" t="str">
        <f>_xlfn.XLOOKUP(D1887,Master[Product_Code],Master[Brand])</f>
        <v>Urban Monkey</v>
      </c>
      <c r="H1887" s="8" t="str">
        <f>_xlfn.XLOOKUP(D1887,Master[Product_Code],Master[Style])</f>
        <v>3/4 Sleeve</v>
      </c>
      <c r="I1887" s="8" t="str">
        <f>_xlfn.XLOOKUP(D1887,Master[Product_Code],Master[Fabric])</f>
        <v>Poly Cotton</v>
      </c>
      <c r="J1887" s="8" t="str">
        <f>_xlfn.XLOOKUP(D1887,Master[Product_Code],Master[Size])</f>
        <v>S</v>
      </c>
      <c r="K1887" s="8" t="str">
        <f>_xlfn.XLOOKUP(D1887,Master[Product_Code],Master[Color])</f>
        <v>Maroon</v>
      </c>
      <c r="L1887" s="3">
        <f>_xlfn.XLOOKUP(D1887,Master[Product_Code],Master[Selling_Price])</f>
        <v>370</v>
      </c>
    </row>
    <row r="1888" spans="2:12">
      <c r="B1888" s="2" t="s">
        <v>2536</v>
      </c>
      <c r="C1888" s="7">
        <v>45992</v>
      </c>
      <c r="D1888" s="2" t="s">
        <v>341</v>
      </c>
      <c r="E1888" s="4">
        <v>1</v>
      </c>
      <c r="F1888" s="8" t="str">
        <f>_xlfn.XLOOKUP(D1888,Master[Product_Code],Master[Category])</f>
        <v>Shirt</v>
      </c>
      <c r="G1888" s="8" t="str">
        <f>_xlfn.XLOOKUP(D1888,Master[Product_Code],Master[Brand])</f>
        <v>Zara</v>
      </c>
      <c r="H1888" s="8" t="str">
        <f>_xlfn.XLOOKUP(D1888,Master[Product_Code],Master[Style])</f>
        <v>Casual</v>
      </c>
      <c r="I1888" s="8" t="str">
        <f>_xlfn.XLOOKUP(D1888,Master[Product_Code],Master[Fabric])</f>
        <v>Polyester</v>
      </c>
      <c r="J1888" s="8" t="str">
        <f>_xlfn.XLOOKUP(D1888,Master[Product_Code],Master[Size])</f>
        <v>XXL</v>
      </c>
      <c r="K1888" s="8" t="str">
        <f>_xlfn.XLOOKUP(D1888,Master[Product_Code],Master[Color])</f>
        <v>Peach</v>
      </c>
      <c r="L1888" s="3">
        <f>_xlfn.XLOOKUP(D1888,Master[Product_Code],Master[Selling_Price])</f>
        <v>650</v>
      </c>
    </row>
    <row r="1889" spans="2:12">
      <c r="B1889" s="2" t="s">
        <v>2537</v>
      </c>
      <c r="C1889" s="7">
        <v>45992</v>
      </c>
      <c r="D1889" s="2" t="s">
        <v>841</v>
      </c>
      <c r="E1889" s="4">
        <v>1</v>
      </c>
      <c r="F1889" s="8" t="str">
        <f>_xlfn.XLOOKUP(D1889,Master[Product_Code],Master[Category])</f>
        <v>Jeans</v>
      </c>
      <c r="G1889" s="8" t="str">
        <f>_xlfn.XLOOKUP(D1889,Master[Product_Code],Master[Brand])</f>
        <v>Wrangler</v>
      </c>
      <c r="H1889" s="8" t="str">
        <f>_xlfn.XLOOKUP(D1889,Master[Product_Code],Master[Style])</f>
        <v>Baggy</v>
      </c>
      <c r="I1889" s="8" t="str">
        <f>_xlfn.XLOOKUP(D1889,Master[Product_Code],Master[Fabric])</f>
        <v>Denim</v>
      </c>
      <c r="J1889" s="8">
        <f>_xlfn.XLOOKUP(D1889,Master[Product_Code],Master[Size])</f>
        <v>30</v>
      </c>
      <c r="K1889" s="8" t="str">
        <f>_xlfn.XLOOKUP(D1889,Master[Product_Code],Master[Color])</f>
        <v>Navy Blue</v>
      </c>
      <c r="L1889" s="3">
        <f>_xlfn.XLOOKUP(D1889,Master[Product_Code],Master[Selling_Price])</f>
        <v>1000</v>
      </c>
    </row>
    <row r="1890" spans="2:12">
      <c r="B1890" s="2" t="s">
        <v>2537</v>
      </c>
      <c r="C1890" s="7">
        <v>45992</v>
      </c>
      <c r="D1890" s="2" t="s">
        <v>693</v>
      </c>
      <c r="E1890" s="4">
        <v>1</v>
      </c>
      <c r="F1890" s="8" t="str">
        <f>_xlfn.XLOOKUP(D1890,Master[Product_Code],Master[Category])</f>
        <v>T-Shirt</v>
      </c>
      <c r="G1890" s="8" t="str">
        <f>_xlfn.XLOOKUP(D1890,Master[Product_Code],Master[Brand])</f>
        <v>Roadster</v>
      </c>
      <c r="H1890" s="8" t="str">
        <f>_xlfn.XLOOKUP(D1890,Master[Product_Code],Master[Style])</f>
        <v>Half Sleeve</v>
      </c>
      <c r="I1890" s="8" t="str">
        <f>_xlfn.XLOOKUP(D1890,Master[Product_Code],Master[Fabric])</f>
        <v>Cotton</v>
      </c>
      <c r="J1890" s="8" t="str">
        <f>_xlfn.XLOOKUP(D1890,Master[Product_Code],Master[Size])</f>
        <v>XXL</v>
      </c>
      <c r="K1890" s="8" t="str">
        <f>_xlfn.XLOOKUP(D1890,Master[Product_Code],Master[Color])</f>
        <v>Royal Blue</v>
      </c>
      <c r="L1890" s="3">
        <f>_xlfn.XLOOKUP(D1890,Master[Product_Code],Master[Selling_Price])</f>
        <v>610</v>
      </c>
    </row>
    <row r="1891" spans="2:12">
      <c r="B1891" s="2" t="s">
        <v>2537</v>
      </c>
      <c r="C1891" s="7">
        <v>45992</v>
      </c>
      <c r="D1891" s="2" t="s">
        <v>1575</v>
      </c>
      <c r="E1891" s="4">
        <v>1</v>
      </c>
      <c r="F1891" s="8" t="str">
        <f>_xlfn.XLOOKUP(D1891,Master[Product_Code],Master[Category])</f>
        <v>Innerwear</v>
      </c>
      <c r="G1891" s="8" t="str">
        <f>_xlfn.XLOOKUP(D1891,Master[Product_Code],Master[Brand])</f>
        <v>Lux</v>
      </c>
      <c r="H1891" s="8" t="str">
        <f>_xlfn.XLOOKUP(D1891,Master[Product_Code],Master[Style])</f>
        <v>V-Cut</v>
      </c>
      <c r="I1891" s="8" t="str">
        <f>_xlfn.XLOOKUP(D1891,Master[Product_Code],Master[Fabric])</f>
        <v>Cotton Blend</v>
      </c>
      <c r="J1891" s="8" t="str">
        <f>_xlfn.XLOOKUP(D1891,Master[Product_Code],Master[Size])</f>
        <v>105-110</v>
      </c>
      <c r="K1891" s="8" t="str">
        <f>_xlfn.XLOOKUP(D1891,Master[Product_Code],Master[Color])</f>
        <v>Wine</v>
      </c>
      <c r="L1891" s="3">
        <f>_xlfn.XLOOKUP(D1891,Master[Product_Code],Master[Selling_Price])</f>
        <v>120</v>
      </c>
    </row>
    <row r="1892" spans="2:12">
      <c r="B1892" s="2" t="s">
        <v>2538</v>
      </c>
      <c r="C1892" s="7">
        <v>45992</v>
      </c>
      <c r="D1892" s="2" t="s">
        <v>1443</v>
      </c>
      <c r="E1892" s="4">
        <v>1</v>
      </c>
      <c r="F1892" s="8" t="str">
        <f>_xlfn.XLOOKUP(D1892,Master[Product_Code],Master[Category])</f>
        <v>Pants</v>
      </c>
      <c r="G1892" s="8" t="str">
        <f>_xlfn.XLOOKUP(D1892,Master[Product_Code],Master[Brand])</f>
        <v>Louis Philippe</v>
      </c>
      <c r="H1892" s="8" t="str">
        <f>_xlfn.XLOOKUP(D1892,Master[Product_Code],Master[Style])</f>
        <v>Boot Cut</v>
      </c>
      <c r="I1892" s="8" t="str">
        <f>_xlfn.XLOOKUP(D1892,Master[Product_Code],Master[Fabric])</f>
        <v>Poly Viscose</v>
      </c>
      <c r="J1892" s="8">
        <f>_xlfn.XLOOKUP(D1892,Master[Product_Code],Master[Size])</f>
        <v>40</v>
      </c>
      <c r="K1892" s="8" t="str">
        <f>_xlfn.XLOOKUP(D1892,Master[Product_Code],Master[Color])</f>
        <v>Teal</v>
      </c>
      <c r="L1892" s="3">
        <f>_xlfn.XLOOKUP(D1892,Master[Product_Code],Master[Selling_Price])</f>
        <v>850</v>
      </c>
    </row>
    <row r="1893" spans="2:12">
      <c r="B1893" s="2" t="s">
        <v>2538</v>
      </c>
      <c r="C1893" s="7">
        <v>45992</v>
      </c>
      <c r="D1893" s="2" t="s">
        <v>975</v>
      </c>
      <c r="E1893" s="4">
        <v>1</v>
      </c>
      <c r="F1893" s="8" t="str">
        <f>_xlfn.XLOOKUP(D1893,Master[Product_Code],Master[Category])</f>
        <v>Jeans</v>
      </c>
      <c r="G1893" s="8" t="str">
        <f>_xlfn.XLOOKUP(D1893,Master[Product_Code],Master[Brand])</f>
        <v>Spykar</v>
      </c>
      <c r="H1893" s="8" t="str">
        <f>_xlfn.XLOOKUP(D1893,Master[Product_Code],Master[Style])</f>
        <v>Jogger</v>
      </c>
      <c r="I1893" s="8" t="str">
        <f>_xlfn.XLOOKUP(D1893,Master[Product_Code],Master[Fabric])</f>
        <v>Denim</v>
      </c>
      <c r="J1893" s="8">
        <f>_xlfn.XLOOKUP(D1893,Master[Product_Code],Master[Size])</f>
        <v>30</v>
      </c>
      <c r="K1893" s="8" t="str">
        <f>_xlfn.XLOOKUP(D1893,Master[Product_Code],Master[Color])</f>
        <v>Light Grey</v>
      </c>
      <c r="L1893" s="3">
        <f>_xlfn.XLOOKUP(D1893,Master[Product_Code],Master[Selling_Price])</f>
        <v>1020</v>
      </c>
    </row>
    <row r="1894" spans="2:12">
      <c r="B1894" s="2" t="s">
        <v>2539</v>
      </c>
      <c r="C1894" s="7">
        <v>45992</v>
      </c>
      <c r="D1894" s="2" t="s">
        <v>655</v>
      </c>
      <c r="E1894" s="4">
        <v>1</v>
      </c>
      <c r="F1894" s="8" t="str">
        <f>_xlfn.XLOOKUP(D1894,Master[Product_Code],Master[Category])</f>
        <v>T-Shirt</v>
      </c>
      <c r="G1894" s="8" t="str">
        <f>_xlfn.XLOOKUP(D1894,Master[Product_Code],Master[Brand])</f>
        <v>Turkey</v>
      </c>
      <c r="H1894" s="8" t="str">
        <f>_xlfn.XLOOKUP(D1894,Master[Product_Code],Master[Style])</f>
        <v>Full Sleeve</v>
      </c>
      <c r="I1894" s="8" t="str">
        <f>_xlfn.XLOOKUP(D1894,Master[Product_Code],Master[Fabric])</f>
        <v>Poly Cotton</v>
      </c>
      <c r="J1894" s="8" t="str">
        <f>_xlfn.XLOOKUP(D1894,Master[Product_Code],Master[Size])</f>
        <v>M</v>
      </c>
      <c r="K1894" s="8" t="str">
        <f>_xlfn.XLOOKUP(D1894,Master[Product_Code],Master[Color])</f>
        <v>Peach</v>
      </c>
      <c r="L1894" s="3">
        <f>_xlfn.XLOOKUP(D1894,Master[Product_Code],Master[Selling_Price])</f>
        <v>410</v>
      </c>
    </row>
    <row r="1895" spans="2:12">
      <c r="B1895" s="2" t="s">
        <v>2539</v>
      </c>
      <c r="C1895" s="7">
        <v>45992</v>
      </c>
      <c r="D1895" s="2" t="s">
        <v>97</v>
      </c>
      <c r="E1895" s="4">
        <v>1</v>
      </c>
      <c r="F1895" s="8" t="str">
        <f>_xlfn.XLOOKUP(D1895,Master[Product_Code],Master[Category])</f>
        <v>Shirt</v>
      </c>
      <c r="G1895" s="8" t="str">
        <f>_xlfn.XLOOKUP(D1895,Master[Product_Code],Master[Brand])</f>
        <v>H&amp;M</v>
      </c>
      <c r="H1895" s="8" t="str">
        <f>_xlfn.XLOOKUP(D1895,Master[Product_Code],Master[Style])</f>
        <v>Formal</v>
      </c>
      <c r="I1895" s="8" t="str">
        <f>_xlfn.XLOOKUP(D1895,Master[Product_Code],Master[Fabric])</f>
        <v>Cotton Blend</v>
      </c>
      <c r="J1895" s="8" t="str">
        <f>_xlfn.XLOOKUP(D1895,Master[Product_Code],Master[Size])</f>
        <v>M</v>
      </c>
      <c r="K1895" s="8" t="str">
        <f>_xlfn.XLOOKUP(D1895,Master[Product_Code],Master[Color])</f>
        <v>Teal</v>
      </c>
      <c r="L1895" s="3">
        <f>_xlfn.XLOOKUP(D1895,Master[Product_Code],Master[Selling_Price])</f>
        <v>660</v>
      </c>
    </row>
    <row r="1896" spans="2:12">
      <c r="B1896" s="2" t="s">
        <v>2539</v>
      </c>
      <c r="C1896" s="7">
        <v>45992</v>
      </c>
      <c r="D1896" s="2" t="s">
        <v>135</v>
      </c>
      <c r="E1896" s="4">
        <v>1</v>
      </c>
      <c r="F1896" s="8" t="str">
        <f>_xlfn.XLOOKUP(D1896,Master[Product_Code],Master[Category])</f>
        <v>Shirt</v>
      </c>
      <c r="G1896" s="8" t="str">
        <f>_xlfn.XLOOKUP(D1896,Master[Product_Code],Master[Brand])</f>
        <v>H&amp;M</v>
      </c>
      <c r="H1896" s="8" t="str">
        <f>_xlfn.XLOOKUP(D1896,Master[Product_Code],Master[Style])</f>
        <v>Casual</v>
      </c>
      <c r="I1896" s="8" t="str">
        <f>_xlfn.XLOOKUP(D1896,Master[Product_Code],Master[Fabric])</f>
        <v>Polyester</v>
      </c>
      <c r="J1896" s="8" t="str">
        <f>_xlfn.XLOOKUP(D1896,Master[Product_Code],Master[Size])</f>
        <v>S</v>
      </c>
      <c r="K1896" s="8" t="str">
        <f>_xlfn.XLOOKUP(D1896,Master[Product_Code],Master[Color])</f>
        <v>Grey</v>
      </c>
      <c r="L1896" s="3">
        <f>_xlfn.XLOOKUP(D1896,Master[Product_Code],Master[Selling_Price])</f>
        <v>750</v>
      </c>
    </row>
    <row r="1897" spans="2:12">
      <c r="B1897" s="2" t="s">
        <v>2539</v>
      </c>
      <c r="C1897" s="7">
        <v>45992</v>
      </c>
      <c r="D1897" s="2" t="s">
        <v>1735</v>
      </c>
      <c r="E1897" s="4">
        <v>1</v>
      </c>
      <c r="F1897" s="8" t="str">
        <f>_xlfn.XLOOKUP(D1897,Master[Product_Code],Master[Category])</f>
        <v>Innerwear</v>
      </c>
      <c r="G1897" s="8" t="str">
        <f>_xlfn.XLOOKUP(D1897,Master[Product_Code],Master[Brand])</f>
        <v>Rupa</v>
      </c>
      <c r="H1897" s="8" t="str">
        <f>_xlfn.XLOOKUP(D1897,Master[Product_Code],Master[Style])</f>
        <v>Boxer</v>
      </c>
      <c r="I1897" s="8" t="str">
        <f>_xlfn.XLOOKUP(D1897,Master[Product_Code],Master[Fabric])</f>
        <v>Cotton</v>
      </c>
      <c r="J1897" s="8" t="str">
        <f>_xlfn.XLOOKUP(D1897,Master[Product_Code],Master[Size])</f>
        <v>85-90</v>
      </c>
      <c r="K1897" s="8" t="str">
        <f>_xlfn.XLOOKUP(D1897,Master[Product_Code],Master[Color])</f>
        <v>Cream</v>
      </c>
      <c r="L1897" s="3">
        <f>_xlfn.XLOOKUP(D1897,Master[Product_Code],Master[Selling_Price])</f>
        <v>120</v>
      </c>
    </row>
    <row r="1898" spans="2:12">
      <c r="B1898" s="2" t="s">
        <v>2540</v>
      </c>
      <c r="C1898" s="7">
        <v>45992</v>
      </c>
      <c r="D1898" s="2" t="s">
        <v>1693</v>
      </c>
      <c r="E1898" s="4">
        <v>1</v>
      </c>
      <c r="F1898" s="8" t="str">
        <f>_xlfn.XLOOKUP(D1898,Master[Product_Code],Master[Category])</f>
        <v>Innerwear</v>
      </c>
      <c r="G1898" s="8" t="str">
        <f>_xlfn.XLOOKUP(D1898,Master[Product_Code],Master[Brand])</f>
        <v>V Star</v>
      </c>
      <c r="H1898" s="8" t="str">
        <f>_xlfn.XLOOKUP(D1898,Master[Product_Code],Master[Style])</f>
        <v>V-Cut</v>
      </c>
      <c r="I1898" s="8" t="str">
        <f>_xlfn.XLOOKUP(D1898,Master[Product_Code],Master[Fabric])</f>
        <v>Cotton Blend</v>
      </c>
      <c r="J1898" s="8" t="str">
        <f>_xlfn.XLOOKUP(D1898,Master[Product_Code],Master[Size])</f>
        <v>80-85</v>
      </c>
      <c r="K1898" s="8" t="str">
        <f>_xlfn.XLOOKUP(D1898,Master[Product_Code],Master[Color])</f>
        <v>Dark Green</v>
      </c>
      <c r="L1898" s="3">
        <f>_xlfn.XLOOKUP(D1898,Master[Product_Code],Master[Selling_Price])</f>
        <v>140</v>
      </c>
    </row>
    <row r="1899" spans="2:12">
      <c r="B1899" s="2" t="s">
        <v>2540</v>
      </c>
      <c r="C1899" s="7">
        <v>45992</v>
      </c>
      <c r="D1899" s="2" t="s">
        <v>163</v>
      </c>
      <c r="E1899" s="4">
        <v>1</v>
      </c>
      <c r="F1899" s="8" t="str">
        <f>_xlfn.XLOOKUP(D1899,Master[Product_Code],Master[Category])</f>
        <v>Shirt</v>
      </c>
      <c r="G1899" s="8" t="str">
        <f>_xlfn.XLOOKUP(D1899,Master[Product_Code],Master[Brand])</f>
        <v>British</v>
      </c>
      <c r="H1899" s="8" t="str">
        <f>_xlfn.XLOOKUP(D1899,Master[Product_Code],Master[Style])</f>
        <v>Formal</v>
      </c>
      <c r="I1899" s="8" t="str">
        <f>_xlfn.XLOOKUP(D1899,Master[Product_Code],Master[Fabric])</f>
        <v>Cotton Blend</v>
      </c>
      <c r="J1899" s="8" t="str">
        <f>_xlfn.XLOOKUP(D1899,Master[Product_Code],Master[Size])</f>
        <v>S</v>
      </c>
      <c r="K1899" s="8" t="str">
        <f>_xlfn.XLOOKUP(D1899,Master[Product_Code],Master[Color])</f>
        <v>Dark Green</v>
      </c>
      <c r="L1899" s="3">
        <f>_xlfn.XLOOKUP(D1899,Master[Product_Code],Master[Selling_Price])</f>
        <v>710</v>
      </c>
    </row>
    <row r="1900" spans="2:12">
      <c r="B1900" s="2" t="s">
        <v>2540</v>
      </c>
      <c r="C1900" s="7">
        <v>45992</v>
      </c>
      <c r="D1900" s="2" t="s">
        <v>702</v>
      </c>
      <c r="E1900" s="4">
        <v>1</v>
      </c>
      <c r="F1900" s="8" t="str">
        <f>_xlfn.XLOOKUP(D1900,Master[Product_Code],Master[Category])</f>
        <v>T-Shirt</v>
      </c>
      <c r="G1900" s="8" t="str">
        <f>_xlfn.XLOOKUP(D1900,Master[Product_Code],Master[Brand])</f>
        <v>Campus</v>
      </c>
      <c r="H1900" s="8" t="str">
        <f>_xlfn.XLOOKUP(D1900,Master[Product_Code],Master[Style])</f>
        <v>Hoodie</v>
      </c>
      <c r="I1900" s="8" t="str">
        <f>_xlfn.XLOOKUP(D1900,Master[Product_Code],Master[Fabric])</f>
        <v>Poly Cotton</v>
      </c>
      <c r="J1900" s="8" t="str">
        <f>_xlfn.XLOOKUP(D1900,Master[Product_Code],Master[Size])</f>
        <v>M</v>
      </c>
      <c r="K1900" s="8" t="str">
        <f>_xlfn.XLOOKUP(D1900,Master[Product_Code],Master[Color])</f>
        <v>Peach</v>
      </c>
      <c r="L1900" s="3">
        <f>_xlfn.XLOOKUP(D1900,Master[Product_Code],Master[Selling_Price])</f>
        <v>540</v>
      </c>
    </row>
    <row r="1901" spans="2:12">
      <c r="B1901" s="2" t="s">
        <v>2541</v>
      </c>
      <c r="C1901" s="7">
        <v>45992</v>
      </c>
      <c r="D1901" s="2" t="s">
        <v>1069</v>
      </c>
      <c r="E1901" s="4">
        <v>1</v>
      </c>
      <c r="F1901" s="8" t="str">
        <f>_xlfn.XLOOKUP(D1901,Master[Product_Code],Master[Category])</f>
        <v>Jeans</v>
      </c>
      <c r="G1901" s="8" t="str">
        <f>_xlfn.XLOOKUP(D1901,Master[Product_Code],Master[Brand])</f>
        <v>Levis</v>
      </c>
      <c r="H1901" s="8" t="str">
        <f>_xlfn.XLOOKUP(D1901,Master[Product_Code],Master[Style])</f>
        <v>Baggy</v>
      </c>
      <c r="I1901" s="8" t="str">
        <f>_xlfn.XLOOKUP(D1901,Master[Product_Code],Master[Fabric])</f>
        <v>Denim</v>
      </c>
      <c r="J1901" s="8">
        <f>_xlfn.XLOOKUP(D1901,Master[Product_Code],Master[Size])</f>
        <v>44</v>
      </c>
      <c r="K1901" s="8" t="str">
        <f>_xlfn.XLOOKUP(D1901,Master[Product_Code],Master[Color])</f>
        <v>Charcoal</v>
      </c>
      <c r="L1901" s="3">
        <f>_xlfn.XLOOKUP(D1901,Master[Product_Code],Master[Selling_Price])</f>
        <v>940</v>
      </c>
    </row>
    <row r="1902" spans="2:12">
      <c r="B1902" s="2" t="s">
        <v>2542</v>
      </c>
      <c r="C1902" s="7">
        <v>45992</v>
      </c>
      <c r="D1902" s="2" t="s">
        <v>1483</v>
      </c>
      <c r="E1902" s="4">
        <v>1</v>
      </c>
      <c r="F1902" s="8" t="str">
        <f>_xlfn.XLOOKUP(D1902,Master[Product_Code],Master[Category])</f>
        <v>Innerwear</v>
      </c>
      <c r="G1902" s="8" t="str">
        <f>_xlfn.XLOOKUP(D1902,Master[Product_Code],Master[Brand])</f>
        <v>Jockey</v>
      </c>
      <c r="H1902" s="8" t="str">
        <f>_xlfn.XLOOKUP(D1902,Master[Product_Code],Master[Style])</f>
        <v>V-Cut</v>
      </c>
      <c r="I1902" s="8" t="str">
        <f>_xlfn.XLOOKUP(D1902,Master[Product_Code],Master[Fabric])</f>
        <v>Cotton</v>
      </c>
      <c r="J1902" s="8" t="str">
        <f>_xlfn.XLOOKUP(D1902,Master[Product_Code],Master[Size])</f>
        <v>90-100</v>
      </c>
      <c r="K1902" s="8" t="str">
        <f>_xlfn.XLOOKUP(D1902,Master[Product_Code],Master[Color])</f>
        <v>White</v>
      </c>
      <c r="L1902" s="3">
        <f>_xlfn.XLOOKUP(D1902,Master[Product_Code],Master[Selling_Price])</f>
        <v>180</v>
      </c>
    </row>
    <row r="1903" spans="2:12">
      <c r="B1903" s="2" t="s">
        <v>2543</v>
      </c>
      <c r="C1903" s="7">
        <v>45992</v>
      </c>
      <c r="D1903" s="2" t="s">
        <v>895</v>
      </c>
      <c r="E1903" s="4">
        <v>1</v>
      </c>
      <c r="F1903" s="8" t="str">
        <f>_xlfn.XLOOKUP(D1903,Master[Product_Code],Master[Category])</f>
        <v>Jeans</v>
      </c>
      <c r="G1903" s="8" t="str">
        <f>_xlfn.XLOOKUP(D1903,Master[Product_Code],Master[Brand])</f>
        <v>Denim Pro</v>
      </c>
      <c r="H1903" s="8" t="str">
        <f>_xlfn.XLOOKUP(D1903,Master[Product_Code],Master[Style])</f>
        <v>Mom Fit</v>
      </c>
      <c r="I1903" s="8" t="str">
        <f>_xlfn.XLOOKUP(D1903,Master[Product_Code],Master[Fabric])</f>
        <v>Denim</v>
      </c>
      <c r="J1903" s="8">
        <f>_xlfn.XLOOKUP(D1903,Master[Product_Code],Master[Size])</f>
        <v>34</v>
      </c>
      <c r="K1903" s="8" t="str">
        <f>_xlfn.XLOOKUP(D1903,Master[Product_Code],Master[Color])</f>
        <v>Peach</v>
      </c>
      <c r="L1903" s="3">
        <f>_xlfn.XLOOKUP(D1903,Master[Product_Code],Master[Selling_Price])</f>
        <v>990</v>
      </c>
    </row>
    <row r="1904" spans="2:12">
      <c r="B1904" s="2" t="s">
        <v>2543</v>
      </c>
      <c r="C1904" s="7">
        <v>45992</v>
      </c>
      <c r="D1904" s="2" t="s">
        <v>1542</v>
      </c>
      <c r="E1904" s="4">
        <v>1</v>
      </c>
      <c r="F1904" s="8" t="str">
        <f>_xlfn.XLOOKUP(D1904,Master[Product_Code],Master[Category])</f>
        <v>Innerwear</v>
      </c>
      <c r="G1904" s="8" t="str">
        <f>_xlfn.XLOOKUP(D1904,Master[Product_Code],Master[Brand])</f>
        <v>Rupa</v>
      </c>
      <c r="H1904" s="8" t="str">
        <f>_xlfn.XLOOKUP(D1904,Master[Product_Code],Master[Style])</f>
        <v>Boxer</v>
      </c>
      <c r="I1904" s="8" t="str">
        <f>_xlfn.XLOOKUP(D1904,Master[Product_Code],Master[Fabric])</f>
        <v>Cotton Blend</v>
      </c>
      <c r="J1904" s="8" t="str">
        <f>_xlfn.XLOOKUP(D1904,Master[Product_Code],Master[Size])</f>
        <v>90-100</v>
      </c>
      <c r="K1904" s="8" t="str">
        <f>_xlfn.XLOOKUP(D1904,Master[Product_Code],Master[Color])</f>
        <v>Royal Blue</v>
      </c>
      <c r="L1904" s="3">
        <f>_xlfn.XLOOKUP(D1904,Master[Product_Code],Master[Selling_Price])</f>
        <v>150</v>
      </c>
    </row>
    <row r="1905" spans="2:12">
      <c r="B1905" s="2" t="s">
        <v>2544</v>
      </c>
      <c r="C1905" s="7">
        <v>45992</v>
      </c>
      <c r="D1905" s="2" t="s">
        <v>218</v>
      </c>
      <c r="E1905" s="4">
        <v>1</v>
      </c>
      <c r="F1905" s="8" t="str">
        <f>_xlfn.XLOOKUP(D1905,Master[Product_Code],Master[Category])</f>
        <v>Shirt</v>
      </c>
      <c r="G1905" s="8" t="str">
        <f>_xlfn.XLOOKUP(D1905,Master[Product_Code],Master[Brand])</f>
        <v>British</v>
      </c>
      <c r="H1905" s="8" t="str">
        <f>_xlfn.XLOOKUP(D1905,Master[Product_Code],Master[Style])</f>
        <v>Formal</v>
      </c>
      <c r="I1905" s="8" t="str">
        <f>_xlfn.XLOOKUP(D1905,Master[Product_Code],Master[Fabric])</f>
        <v>Lycra</v>
      </c>
      <c r="J1905" s="8" t="str">
        <f>_xlfn.XLOOKUP(D1905,Master[Product_Code],Master[Size])</f>
        <v>XL</v>
      </c>
      <c r="K1905" s="8" t="str">
        <f>_xlfn.XLOOKUP(D1905,Master[Product_Code],Master[Color])</f>
        <v>Black</v>
      </c>
      <c r="L1905" s="3">
        <f>_xlfn.XLOOKUP(D1905,Master[Product_Code],Master[Selling_Price])</f>
        <v>920</v>
      </c>
    </row>
    <row r="1906" spans="2:12">
      <c r="B1906" s="2" t="s">
        <v>2544</v>
      </c>
      <c r="C1906" s="7">
        <v>45992</v>
      </c>
      <c r="D1906" s="2" t="s">
        <v>973</v>
      </c>
      <c r="E1906" s="4">
        <v>1</v>
      </c>
      <c r="F1906" s="8" t="str">
        <f>_xlfn.XLOOKUP(D1906,Master[Product_Code],Master[Category])</f>
        <v>Jeans</v>
      </c>
      <c r="G1906" s="8" t="str">
        <f>_xlfn.XLOOKUP(D1906,Master[Product_Code],Master[Brand])</f>
        <v>Levis</v>
      </c>
      <c r="H1906" s="8" t="str">
        <f>_xlfn.XLOOKUP(D1906,Master[Product_Code],Master[Style])</f>
        <v>Jogger</v>
      </c>
      <c r="I1906" s="8" t="str">
        <f>_xlfn.XLOOKUP(D1906,Master[Product_Code],Master[Fabric])</f>
        <v>Denim</v>
      </c>
      <c r="J1906" s="8">
        <f>_xlfn.XLOOKUP(D1906,Master[Product_Code],Master[Size])</f>
        <v>36</v>
      </c>
      <c r="K1906" s="8" t="str">
        <f>_xlfn.XLOOKUP(D1906,Master[Product_Code],Master[Color])</f>
        <v>Peach</v>
      </c>
      <c r="L1906" s="3">
        <f>_xlfn.XLOOKUP(D1906,Master[Product_Code],Master[Selling_Price])</f>
        <v>1040</v>
      </c>
    </row>
    <row r="1907" spans="2:12">
      <c r="B1907" s="2" t="s">
        <v>2545</v>
      </c>
      <c r="C1907" s="7">
        <v>45992</v>
      </c>
      <c r="D1907" s="2" t="s">
        <v>913</v>
      </c>
      <c r="E1907" s="4">
        <v>1</v>
      </c>
      <c r="F1907" s="8" t="str">
        <f>_xlfn.XLOOKUP(D1907,Master[Product_Code],Master[Category])</f>
        <v>Jeans</v>
      </c>
      <c r="G1907" s="8" t="str">
        <f>_xlfn.XLOOKUP(D1907,Master[Product_Code],Master[Brand])</f>
        <v>Pepe</v>
      </c>
      <c r="H1907" s="8" t="str">
        <f>_xlfn.XLOOKUP(D1907,Master[Product_Code],Master[Style])</f>
        <v>Baggy</v>
      </c>
      <c r="I1907" s="8" t="str">
        <f>_xlfn.XLOOKUP(D1907,Master[Product_Code],Master[Fabric])</f>
        <v>Denim</v>
      </c>
      <c r="J1907" s="8">
        <f>_xlfn.XLOOKUP(D1907,Master[Product_Code],Master[Size])</f>
        <v>40</v>
      </c>
      <c r="K1907" s="8" t="str">
        <f>_xlfn.XLOOKUP(D1907,Master[Product_Code],Master[Color])</f>
        <v>Bottle Green</v>
      </c>
      <c r="L1907" s="3">
        <f>_xlfn.XLOOKUP(D1907,Master[Product_Code],Master[Selling_Price])</f>
        <v>800</v>
      </c>
    </row>
    <row r="1908" spans="2:12">
      <c r="B1908" s="2" t="s">
        <v>2545</v>
      </c>
      <c r="C1908" s="7">
        <v>45992</v>
      </c>
      <c r="D1908" s="2" t="s">
        <v>1339</v>
      </c>
      <c r="E1908" s="4">
        <v>1</v>
      </c>
      <c r="F1908" s="8" t="str">
        <f>_xlfn.XLOOKUP(D1908,Master[Product_Code],Master[Category])</f>
        <v>Pants</v>
      </c>
      <c r="G1908" s="8" t="str">
        <f>_xlfn.XLOOKUP(D1908,Master[Product_Code],Master[Brand])</f>
        <v>Van Heusen</v>
      </c>
      <c r="H1908" s="8" t="str">
        <f>_xlfn.XLOOKUP(D1908,Master[Product_Code],Master[Style])</f>
        <v>Boot Cut</v>
      </c>
      <c r="I1908" s="8" t="str">
        <f>_xlfn.XLOOKUP(D1908,Master[Product_Code],Master[Fabric])</f>
        <v>Cotton Blend</v>
      </c>
      <c r="J1908" s="8">
        <f>_xlfn.XLOOKUP(D1908,Master[Product_Code],Master[Size])</f>
        <v>32</v>
      </c>
      <c r="K1908" s="8" t="str">
        <f>_xlfn.XLOOKUP(D1908,Master[Product_Code],Master[Color])</f>
        <v>Wine</v>
      </c>
      <c r="L1908" s="3">
        <f>_xlfn.XLOOKUP(D1908,Master[Product_Code],Master[Selling_Price])</f>
        <v>890</v>
      </c>
    </row>
    <row r="1909" spans="2:12">
      <c r="B1909" s="2" t="s">
        <v>2546</v>
      </c>
      <c r="C1909" s="7">
        <v>45992</v>
      </c>
      <c r="D1909" s="2" t="s">
        <v>98</v>
      </c>
      <c r="E1909" s="4">
        <v>1</v>
      </c>
      <c r="F1909" s="8" t="str">
        <f>_xlfn.XLOOKUP(D1909,Master[Product_Code],Master[Category])</f>
        <v>Shirt</v>
      </c>
      <c r="G1909" s="8" t="str">
        <f>_xlfn.XLOOKUP(D1909,Master[Product_Code],Master[Brand])</f>
        <v>G Studio</v>
      </c>
      <c r="H1909" s="8" t="str">
        <f>_xlfn.XLOOKUP(D1909,Master[Product_Code],Master[Style])</f>
        <v>Casual</v>
      </c>
      <c r="I1909" s="8" t="str">
        <f>_xlfn.XLOOKUP(D1909,Master[Product_Code],Master[Fabric])</f>
        <v>Cotton Blend</v>
      </c>
      <c r="J1909" s="8" t="str">
        <f>_xlfn.XLOOKUP(D1909,Master[Product_Code],Master[Size])</f>
        <v>M</v>
      </c>
      <c r="K1909" s="8" t="str">
        <f>_xlfn.XLOOKUP(D1909,Master[Product_Code],Master[Color])</f>
        <v>Cream</v>
      </c>
      <c r="L1909" s="3">
        <f>_xlfn.XLOOKUP(D1909,Master[Product_Code],Master[Selling_Price])</f>
        <v>940</v>
      </c>
    </row>
    <row r="1910" spans="2:12">
      <c r="B1910" s="2" t="s">
        <v>2547</v>
      </c>
      <c r="C1910" s="7">
        <v>45992</v>
      </c>
      <c r="D1910" s="2" t="s">
        <v>1637</v>
      </c>
      <c r="E1910" s="4">
        <v>1</v>
      </c>
      <c r="F1910" s="8" t="str">
        <f>_xlfn.XLOOKUP(D1910,Master[Product_Code],Master[Category])</f>
        <v>Innerwear</v>
      </c>
      <c r="G1910" s="8" t="str">
        <f>_xlfn.XLOOKUP(D1910,Master[Product_Code],Master[Brand])</f>
        <v>V Star</v>
      </c>
      <c r="H1910" s="8" t="str">
        <f>_xlfn.XLOOKUP(D1910,Master[Product_Code],Master[Style])</f>
        <v>V-Cut</v>
      </c>
      <c r="I1910" s="8" t="str">
        <f>_xlfn.XLOOKUP(D1910,Master[Product_Code],Master[Fabric])</f>
        <v>Cotton</v>
      </c>
      <c r="J1910" s="8" t="str">
        <f>_xlfn.XLOOKUP(D1910,Master[Product_Code],Master[Size])</f>
        <v>105-110</v>
      </c>
      <c r="K1910" s="8" t="str">
        <f>_xlfn.XLOOKUP(D1910,Master[Product_Code],Master[Color])</f>
        <v>Cream</v>
      </c>
      <c r="L1910" s="3">
        <f>_xlfn.XLOOKUP(D1910,Master[Product_Code],Master[Selling_Price])</f>
        <v>100</v>
      </c>
    </row>
    <row r="1911" spans="2:12">
      <c r="B1911" s="2" t="s">
        <v>2548</v>
      </c>
      <c r="C1911" s="7">
        <v>45992</v>
      </c>
      <c r="D1911" s="2" t="s">
        <v>1276</v>
      </c>
      <c r="E1911" s="4">
        <v>1</v>
      </c>
      <c r="F1911" s="8" t="str">
        <f>_xlfn.XLOOKUP(D1911,Master[Product_Code],Master[Category])</f>
        <v>Pants</v>
      </c>
      <c r="G1911" s="8" t="str">
        <f>_xlfn.XLOOKUP(D1911,Master[Product_Code],Master[Brand])</f>
        <v>Louis Philippe</v>
      </c>
      <c r="H1911" s="8" t="str">
        <f>_xlfn.XLOOKUP(D1911,Master[Product_Code],Master[Style])</f>
        <v>Polofit</v>
      </c>
      <c r="I1911" s="8" t="str">
        <f>_xlfn.XLOOKUP(D1911,Master[Product_Code],Master[Fabric])</f>
        <v>Lycra</v>
      </c>
      <c r="J1911" s="8">
        <f>_xlfn.XLOOKUP(D1911,Master[Product_Code],Master[Size])</f>
        <v>32</v>
      </c>
      <c r="K1911" s="8" t="str">
        <f>_xlfn.XLOOKUP(D1911,Master[Product_Code],Master[Color])</f>
        <v>White</v>
      </c>
      <c r="L1911" s="3">
        <f>_xlfn.XLOOKUP(D1911,Master[Product_Code],Master[Selling_Price])</f>
        <v>900</v>
      </c>
    </row>
    <row r="1912" spans="2:12">
      <c r="B1912" s="2" t="s">
        <v>2548</v>
      </c>
      <c r="C1912" s="7">
        <v>45992</v>
      </c>
      <c r="D1912" s="2" t="s">
        <v>896</v>
      </c>
      <c r="E1912" s="4">
        <v>1</v>
      </c>
      <c r="F1912" s="8" t="str">
        <f>_xlfn.XLOOKUP(D1912,Master[Product_Code],Master[Category])</f>
        <v>Jeans</v>
      </c>
      <c r="G1912" s="8" t="str">
        <f>_xlfn.XLOOKUP(D1912,Master[Product_Code],Master[Brand])</f>
        <v>Denim Pro</v>
      </c>
      <c r="H1912" s="8" t="str">
        <f>_xlfn.XLOOKUP(D1912,Master[Product_Code],Master[Style])</f>
        <v>Mom Fit</v>
      </c>
      <c r="I1912" s="8" t="str">
        <f>_xlfn.XLOOKUP(D1912,Master[Product_Code],Master[Fabric])</f>
        <v>Denim</v>
      </c>
      <c r="J1912" s="8">
        <f>_xlfn.XLOOKUP(D1912,Master[Product_Code],Master[Size])</f>
        <v>44</v>
      </c>
      <c r="K1912" s="8" t="str">
        <f>_xlfn.XLOOKUP(D1912,Master[Product_Code],Master[Color])</f>
        <v>Bottle Green</v>
      </c>
      <c r="L1912" s="3">
        <f>_xlfn.XLOOKUP(D1912,Master[Product_Code],Master[Selling_Price])</f>
        <v>940</v>
      </c>
    </row>
    <row r="1913" spans="2:12">
      <c r="B1913" s="2" t="s">
        <v>2549</v>
      </c>
      <c r="C1913" s="7">
        <v>45992</v>
      </c>
      <c r="D1913" s="2" t="s">
        <v>398</v>
      </c>
      <c r="E1913" s="4">
        <v>1</v>
      </c>
      <c r="F1913" s="8" t="str">
        <f>_xlfn.XLOOKUP(D1913,Master[Product_Code],Master[Category])</f>
        <v>Shirt</v>
      </c>
      <c r="G1913" s="8" t="str">
        <f>_xlfn.XLOOKUP(D1913,Master[Product_Code],Master[Brand])</f>
        <v>H&amp;M</v>
      </c>
      <c r="H1913" s="8" t="str">
        <f>_xlfn.XLOOKUP(D1913,Master[Product_Code],Master[Style])</f>
        <v>Formal</v>
      </c>
      <c r="I1913" s="8" t="str">
        <f>_xlfn.XLOOKUP(D1913,Master[Product_Code],Master[Fabric])</f>
        <v>Polyester</v>
      </c>
      <c r="J1913" s="8" t="str">
        <f>_xlfn.XLOOKUP(D1913,Master[Product_Code],Master[Size])</f>
        <v>L</v>
      </c>
      <c r="K1913" s="8" t="str">
        <f>_xlfn.XLOOKUP(D1913,Master[Product_Code],Master[Color])</f>
        <v>Beige</v>
      </c>
      <c r="L1913" s="3">
        <f>_xlfn.XLOOKUP(D1913,Master[Product_Code],Master[Selling_Price])</f>
        <v>870</v>
      </c>
    </row>
    <row r="1914" spans="2:12">
      <c r="B1914" s="2" t="s">
        <v>2549</v>
      </c>
      <c r="C1914" s="7">
        <v>45992</v>
      </c>
      <c r="D1914" s="2" t="s">
        <v>394</v>
      </c>
      <c r="E1914" s="4">
        <v>1</v>
      </c>
      <c r="F1914" s="8" t="str">
        <f>_xlfn.XLOOKUP(D1914,Master[Product_Code],Master[Category])</f>
        <v>Shirt</v>
      </c>
      <c r="G1914" s="8" t="str">
        <f>_xlfn.XLOOKUP(D1914,Master[Product_Code],Master[Brand])</f>
        <v>G Studio</v>
      </c>
      <c r="H1914" s="8" t="str">
        <f>_xlfn.XLOOKUP(D1914,Master[Product_Code],Master[Style])</f>
        <v>Formal</v>
      </c>
      <c r="I1914" s="8" t="str">
        <f>_xlfn.XLOOKUP(D1914,Master[Product_Code],Master[Fabric])</f>
        <v>Cotton</v>
      </c>
      <c r="J1914" s="8" t="str">
        <f>_xlfn.XLOOKUP(D1914,Master[Product_Code],Master[Size])</f>
        <v>XXL</v>
      </c>
      <c r="K1914" s="8" t="str">
        <f>_xlfn.XLOOKUP(D1914,Master[Product_Code],Master[Color])</f>
        <v>White</v>
      </c>
      <c r="L1914" s="3">
        <f>_xlfn.XLOOKUP(D1914,Master[Product_Code],Master[Selling_Price])</f>
        <v>720</v>
      </c>
    </row>
    <row r="1915" spans="2:12">
      <c r="B1915" s="2" t="s">
        <v>2550</v>
      </c>
      <c r="C1915" s="7">
        <v>45992</v>
      </c>
      <c r="D1915" s="2" t="s">
        <v>1548</v>
      </c>
      <c r="E1915" s="4">
        <v>1</v>
      </c>
      <c r="F1915" s="8" t="str">
        <f>_xlfn.XLOOKUP(D1915,Master[Product_Code],Master[Category])</f>
        <v>Innerwear</v>
      </c>
      <c r="G1915" s="8" t="str">
        <f>_xlfn.XLOOKUP(D1915,Master[Product_Code],Master[Brand])</f>
        <v>Jockey</v>
      </c>
      <c r="H1915" s="8" t="str">
        <f>_xlfn.XLOOKUP(D1915,Master[Product_Code],Master[Style])</f>
        <v>Boxer</v>
      </c>
      <c r="I1915" s="8" t="str">
        <f>_xlfn.XLOOKUP(D1915,Master[Product_Code],Master[Fabric])</f>
        <v>Cotton</v>
      </c>
      <c r="J1915" s="8" t="str">
        <f>_xlfn.XLOOKUP(D1915,Master[Product_Code],Master[Size])</f>
        <v>105-110</v>
      </c>
      <c r="K1915" s="8" t="str">
        <f>_xlfn.XLOOKUP(D1915,Master[Product_Code],Master[Color])</f>
        <v>Rust</v>
      </c>
      <c r="L1915" s="3">
        <f>_xlfn.XLOOKUP(D1915,Master[Product_Code],Master[Selling_Price])</f>
        <v>160</v>
      </c>
    </row>
    <row r="1916" spans="2:12">
      <c r="B1916" s="2" t="s">
        <v>2550</v>
      </c>
      <c r="C1916" s="7">
        <v>45992</v>
      </c>
      <c r="D1916" s="2" t="s">
        <v>1404</v>
      </c>
      <c r="E1916" s="4">
        <v>1</v>
      </c>
      <c r="F1916" s="8" t="str">
        <f>_xlfn.XLOOKUP(D1916,Master[Product_Code],Master[Category])</f>
        <v>Pants</v>
      </c>
      <c r="G1916" s="8" t="str">
        <f>_xlfn.XLOOKUP(D1916,Master[Product_Code],Master[Brand])</f>
        <v>Raymond</v>
      </c>
      <c r="H1916" s="8" t="str">
        <f>_xlfn.XLOOKUP(D1916,Master[Product_Code],Master[Style])</f>
        <v>Polofit</v>
      </c>
      <c r="I1916" s="8" t="str">
        <f>_xlfn.XLOOKUP(D1916,Master[Product_Code],Master[Fabric])</f>
        <v>Lycra</v>
      </c>
      <c r="J1916" s="8">
        <f>_xlfn.XLOOKUP(D1916,Master[Product_Code],Master[Size])</f>
        <v>42</v>
      </c>
      <c r="K1916" s="8" t="str">
        <f>_xlfn.XLOOKUP(D1916,Master[Product_Code],Master[Color])</f>
        <v>Bottle Green</v>
      </c>
      <c r="L1916" s="3">
        <f>_xlfn.XLOOKUP(D1916,Master[Product_Code],Master[Selling_Price])</f>
        <v>810</v>
      </c>
    </row>
    <row r="1917" spans="2:12">
      <c r="B1917" s="2" t="s">
        <v>2550</v>
      </c>
      <c r="C1917" s="7">
        <v>45992</v>
      </c>
      <c r="D1917" s="2" t="s">
        <v>1640</v>
      </c>
      <c r="E1917" s="4">
        <v>1</v>
      </c>
      <c r="F1917" s="8" t="str">
        <f>_xlfn.XLOOKUP(D1917,Master[Product_Code],Master[Category])</f>
        <v>Innerwear</v>
      </c>
      <c r="G1917" s="8" t="str">
        <f>_xlfn.XLOOKUP(D1917,Master[Product_Code],Master[Brand])</f>
        <v>Dollar</v>
      </c>
      <c r="H1917" s="8" t="str">
        <f>_xlfn.XLOOKUP(D1917,Master[Product_Code],Master[Style])</f>
        <v>Boxer</v>
      </c>
      <c r="I1917" s="8" t="str">
        <f>_xlfn.XLOOKUP(D1917,Master[Product_Code],Master[Fabric])</f>
        <v>Cotton</v>
      </c>
      <c r="J1917" s="8" t="str">
        <f>_xlfn.XLOOKUP(D1917,Master[Product_Code],Master[Size])</f>
        <v>90-100</v>
      </c>
      <c r="K1917" s="8" t="str">
        <f>_xlfn.XLOOKUP(D1917,Master[Product_Code],Master[Color])</f>
        <v>Navy Blue</v>
      </c>
      <c r="L1917" s="3">
        <f>_xlfn.XLOOKUP(D1917,Master[Product_Code],Master[Selling_Price])</f>
        <v>160</v>
      </c>
    </row>
    <row r="1918" spans="2:12">
      <c r="B1918" s="2" t="s">
        <v>2551</v>
      </c>
      <c r="C1918" s="7">
        <v>45993</v>
      </c>
      <c r="D1918" s="2" t="s">
        <v>759</v>
      </c>
      <c r="E1918" s="4">
        <v>1</v>
      </c>
      <c r="F1918" s="8" t="str">
        <f>_xlfn.XLOOKUP(D1918,Master[Product_Code],Master[Category])</f>
        <v>T-Shirt</v>
      </c>
      <c r="G1918" s="8" t="str">
        <f>_xlfn.XLOOKUP(D1918,Master[Product_Code],Master[Brand])</f>
        <v>Roadster</v>
      </c>
      <c r="H1918" s="8" t="str">
        <f>_xlfn.XLOOKUP(D1918,Master[Product_Code],Master[Style])</f>
        <v>Sleeveless</v>
      </c>
      <c r="I1918" s="8" t="str">
        <f>_xlfn.XLOOKUP(D1918,Master[Product_Code],Master[Fabric])</f>
        <v>Poly Cotton</v>
      </c>
      <c r="J1918" s="8" t="str">
        <f>_xlfn.XLOOKUP(D1918,Master[Product_Code],Master[Size])</f>
        <v>M</v>
      </c>
      <c r="K1918" s="8" t="str">
        <f>_xlfn.XLOOKUP(D1918,Master[Product_Code],Master[Color])</f>
        <v>Teal</v>
      </c>
      <c r="L1918" s="3">
        <f>_xlfn.XLOOKUP(D1918,Master[Product_Code],Master[Selling_Price])</f>
        <v>600</v>
      </c>
    </row>
    <row r="1919" spans="2:12">
      <c r="B1919" s="2" t="s">
        <v>2551</v>
      </c>
      <c r="C1919" s="7">
        <v>45993</v>
      </c>
      <c r="D1919" s="2" t="s">
        <v>1403</v>
      </c>
      <c r="E1919" s="4">
        <v>1</v>
      </c>
      <c r="F1919" s="8" t="str">
        <f>_xlfn.XLOOKUP(D1919,Master[Product_Code],Master[Category])</f>
        <v>Pants</v>
      </c>
      <c r="G1919" s="8" t="str">
        <f>_xlfn.XLOOKUP(D1919,Master[Product_Code],Master[Brand])</f>
        <v>Louis Philippe</v>
      </c>
      <c r="H1919" s="8" t="str">
        <f>_xlfn.XLOOKUP(D1919,Master[Product_Code],Master[Style])</f>
        <v>Polofit</v>
      </c>
      <c r="I1919" s="8" t="str">
        <f>_xlfn.XLOOKUP(D1919,Master[Product_Code],Master[Fabric])</f>
        <v>Lycra</v>
      </c>
      <c r="J1919" s="8">
        <f>_xlfn.XLOOKUP(D1919,Master[Product_Code],Master[Size])</f>
        <v>34</v>
      </c>
      <c r="K1919" s="8" t="str">
        <f>_xlfn.XLOOKUP(D1919,Master[Product_Code],Master[Color])</f>
        <v>Olive</v>
      </c>
      <c r="L1919" s="3">
        <f>_xlfn.XLOOKUP(D1919,Master[Product_Code],Master[Selling_Price])</f>
        <v>780</v>
      </c>
    </row>
    <row r="1920" spans="2:12">
      <c r="B1920" s="2" t="s">
        <v>2552</v>
      </c>
      <c r="C1920" s="7">
        <v>45993</v>
      </c>
      <c r="D1920" s="2" t="s">
        <v>1447</v>
      </c>
      <c r="E1920" s="4">
        <v>1</v>
      </c>
      <c r="F1920" s="8" t="str">
        <f>_xlfn.XLOOKUP(D1920,Master[Product_Code],Master[Category])</f>
        <v>Pants</v>
      </c>
      <c r="G1920" s="8" t="str">
        <f>_xlfn.XLOOKUP(D1920,Master[Product_Code],Master[Brand])</f>
        <v>Peter England</v>
      </c>
      <c r="H1920" s="8" t="str">
        <f>_xlfn.XLOOKUP(D1920,Master[Product_Code],Master[Style])</f>
        <v>Korean</v>
      </c>
      <c r="I1920" s="8" t="str">
        <f>_xlfn.XLOOKUP(D1920,Master[Product_Code],Master[Fabric])</f>
        <v>Lycra</v>
      </c>
      <c r="J1920" s="8">
        <f>_xlfn.XLOOKUP(D1920,Master[Product_Code],Master[Size])</f>
        <v>38</v>
      </c>
      <c r="K1920" s="8" t="str">
        <f>_xlfn.XLOOKUP(D1920,Master[Product_Code],Master[Color])</f>
        <v>Beige</v>
      </c>
      <c r="L1920" s="3">
        <f>_xlfn.XLOOKUP(D1920,Master[Product_Code],Master[Selling_Price])</f>
        <v>890</v>
      </c>
    </row>
    <row r="1921" spans="2:12">
      <c r="B1921" s="2" t="s">
        <v>2552</v>
      </c>
      <c r="C1921" s="7">
        <v>45993</v>
      </c>
      <c r="D1921" s="2" t="s">
        <v>937</v>
      </c>
      <c r="E1921" s="4">
        <v>1</v>
      </c>
      <c r="F1921" s="8" t="str">
        <f>_xlfn.XLOOKUP(D1921,Master[Product_Code],Master[Category])</f>
        <v>Jeans</v>
      </c>
      <c r="G1921" s="8" t="str">
        <f>_xlfn.XLOOKUP(D1921,Master[Product_Code],Master[Brand])</f>
        <v>Wrangler</v>
      </c>
      <c r="H1921" s="8" t="str">
        <f>_xlfn.XLOOKUP(D1921,Master[Product_Code],Master[Style])</f>
        <v>Mom Fit</v>
      </c>
      <c r="I1921" s="8" t="str">
        <f>_xlfn.XLOOKUP(D1921,Master[Product_Code],Master[Fabric])</f>
        <v>Denim</v>
      </c>
      <c r="J1921" s="8">
        <f>_xlfn.XLOOKUP(D1921,Master[Product_Code],Master[Size])</f>
        <v>40</v>
      </c>
      <c r="K1921" s="8" t="str">
        <f>_xlfn.XLOOKUP(D1921,Master[Product_Code],Master[Color])</f>
        <v>Black</v>
      </c>
      <c r="L1921" s="3">
        <f>_xlfn.XLOOKUP(D1921,Master[Product_Code],Master[Selling_Price])</f>
        <v>950</v>
      </c>
    </row>
    <row r="1922" spans="2:12">
      <c r="B1922" s="2" t="s">
        <v>2552</v>
      </c>
      <c r="C1922" s="7">
        <v>45993</v>
      </c>
      <c r="D1922" s="2" t="s">
        <v>1027</v>
      </c>
      <c r="E1922" s="4">
        <v>1</v>
      </c>
      <c r="F1922" s="8" t="str">
        <f>_xlfn.XLOOKUP(D1922,Master[Product_Code],Master[Category])</f>
        <v>Jeans</v>
      </c>
      <c r="G1922" s="8" t="str">
        <f>_xlfn.XLOOKUP(D1922,Master[Product_Code],Master[Brand])</f>
        <v>Spykar</v>
      </c>
      <c r="H1922" s="8" t="str">
        <f>_xlfn.XLOOKUP(D1922,Master[Product_Code],Master[Style])</f>
        <v>Jogger</v>
      </c>
      <c r="I1922" s="8" t="str">
        <f>_xlfn.XLOOKUP(D1922,Master[Product_Code],Master[Fabric])</f>
        <v>Denim</v>
      </c>
      <c r="J1922" s="8">
        <f>_xlfn.XLOOKUP(D1922,Master[Product_Code],Master[Size])</f>
        <v>42</v>
      </c>
      <c r="K1922" s="8" t="str">
        <f>_xlfn.XLOOKUP(D1922,Master[Product_Code],Master[Color])</f>
        <v>Maroon</v>
      </c>
      <c r="L1922" s="3">
        <f>_xlfn.XLOOKUP(D1922,Master[Product_Code],Master[Selling_Price])</f>
        <v>960</v>
      </c>
    </row>
    <row r="1923" spans="2:12">
      <c r="B1923" s="2" t="s">
        <v>2553</v>
      </c>
      <c r="C1923" s="7">
        <v>45993</v>
      </c>
      <c r="D1923" s="2" t="s">
        <v>876</v>
      </c>
      <c r="E1923" s="4">
        <v>1</v>
      </c>
      <c r="F1923" s="8" t="str">
        <f>_xlfn.XLOOKUP(D1923,Master[Product_Code],Master[Category])</f>
        <v>Jeans</v>
      </c>
      <c r="G1923" s="8" t="str">
        <f>_xlfn.XLOOKUP(D1923,Master[Product_Code],Master[Brand])</f>
        <v>Levis</v>
      </c>
      <c r="H1923" s="8" t="str">
        <f>_xlfn.XLOOKUP(D1923,Master[Product_Code],Master[Style])</f>
        <v>Jogger</v>
      </c>
      <c r="I1923" s="8" t="str">
        <f>_xlfn.XLOOKUP(D1923,Master[Product_Code],Master[Fabric])</f>
        <v>Denim</v>
      </c>
      <c r="J1923" s="8">
        <f>_xlfn.XLOOKUP(D1923,Master[Product_Code],Master[Size])</f>
        <v>34</v>
      </c>
      <c r="K1923" s="8" t="str">
        <f>_xlfn.XLOOKUP(D1923,Master[Product_Code],Master[Color])</f>
        <v>Teal</v>
      </c>
      <c r="L1923" s="3">
        <f>_xlfn.XLOOKUP(D1923,Master[Product_Code],Master[Selling_Price])</f>
        <v>860</v>
      </c>
    </row>
    <row r="1924" spans="2:12">
      <c r="B1924" s="2" t="s">
        <v>2553</v>
      </c>
      <c r="C1924" s="7">
        <v>45993</v>
      </c>
      <c r="D1924" s="2" t="s">
        <v>1689</v>
      </c>
      <c r="E1924" s="4">
        <v>1</v>
      </c>
      <c r="F1924" s="8" t="str">
        <f>_xlfn.XLOOKUP(D1924,Master[Product_Code],Master[Category])</f>
        <v>Innerwear</v>
      </c>
      <c r="G1924" s="8" t="str">
        <f>_xlfn.XLOOKUP(D1924,Master[Product_Code],Master[Brand])</f>
        <v>Jockey</v>
      </c>
      <c r="H1924" s="8" t="str">
        <f>_xlfn.XLOOKUP(D1924,Master[Product_Code],Master[Style])</f>
        <v>V-Cut</v>
      </c>
      <c r="I1924" s="8" t="str">
        <f>_xlfn.XLOOKUP(D1924,Master[Product_Code],Master[Fabric])</f>
        <v>Cotton</v>
      </c>
      <c r="J1924" s="8" t="str">
        <f>_xlfn.XLOOKUP(D1924,Master[Product_Code],Master[Size])</f>
        <v>105-110</v>
      </c>
      <c r="K1924" s="8" t="str">
        <f>_xlfn.XLOOKUP(D1924,Master[Product_Code],Master[Color])</f>
        <v>Cream</v>
      </c>
      <c r="L1924" s="3">
        <f>_xlfn.XLOOKUP(D1924,Master[Product_Code],Master[Selling_Price])</f>
        <v>140</v>
      </c>
    </row>
    <row r="1925" spans="2:12">
      <c r="B1925" s="2" t="s">
        <v>2553</v>
      </c>
      <c r="C1925" s="7">
        <v>45993</v>
      </c>
      <c r="D1925" s="2" t="s">
        <v>1053</v>
      </c>
      <c r="E1925" s="4">
        <v>1</v>
      </c>
      <c r="F1925" s="8" t="str">
        <f>_xlfn.XLOOKUP(D1925,Master[Product_Code],Master[Category])</f>
        <v>Jeans</v>
      </c>
      <c r="G1925" s="8" t="str">
        <f>_xlfn.XLOOKUP(D1925,Master[Product_Code],Master[Brand])</f>
        <v>Denim Pro</v>
      </c>
      <c r="H1925" s="8" t="str">
        <f>_xlfn.XLOOKUP(D1925,Master[Product_Code],Master[Style])</f>
        <v>Jogger</v>
      </c>
      <c r="I1925" s="8" t="str">
        <f>_xlfn.XLOOKUP(D1925,Master[Product_Code],Master[Fabric])</f>
        <v>Denim</v>
      </c>
      <c r="J1925" s="8">
        <f>_xlfn.XLOOKUP(D1925,Master[Product_Code],Master[Size])</f>
        <v>34</v>
      </c>
      <c r="K1925" s="8" t="str">
        <f>_xlfn.XLOOKUP(D1925,Master[Product_Code],Master[Color])</f>
        <v>Wine</v>
      </c>
      <c r="L1925" s="3">
        <f>_xlfn.XLOOKUP(D1925,Master[Product_Code],Master[Selling_Price])</f>
        <v>940</v>
      </c>
    </row>
    <row r="1926" spans="2:12">
      <c r="B1926" s="2" t="s">
        <v>2553</v>
      </c>
      <c r="C1926" s="7">
        <v>45993</v>
      </c>
      <c r="D1926" s="2" t="s">
        <v>783</v>
      </c>
      <c r="E1926" s="4">
        <v>1</v>
      </c>
      <c r="F1926" s="8" t="str">
        <f>_xlfn.XLOOKUP(D1926,Master[Product_Code],Master[Category])</f>
        <v>T-Shirt</v>
      </c>
      <c r="G1926" s="8" t="str">
        <f>_xlfn.XLOOKUP(D1926,Master[Product_Code],Master[Brand])</f>
        <v>Roadster</v>
      </c>
      <c r="H1926" s="8" t="str">
        <f>_xlfn.XLOOKUP(D1926,Master[Product_Code],Master[Style])</f>
        <v>Half Sleeve</v>
      </c>
      <c r="I1926" s="8" t="str">
        <f>_xlfn.XLOOKUP(D1926,Master[Product_Code],Master[Fabric])</f>
        <v>Cotton</v>
      </c>
      <c r="J1926" s="8" t="str">
        <f>_xlfn.XLOOKUP(D1926,Master[Product_Code],Master[Size])</f>
        <v>XL</v>
      </c>
      <c r="K1926" s="8" t="str">
        <f>_xlfn.XLOOKUP(D1926,Master[Product_Code],Master[Color])</f>
        <v>Maroon</v>
      </c>
      <c r="L1926" s="3">
        <f>_xlfn.XLOOKUP(D1926,Master[Product_Code],Master[Selling_Price])</f>
        <v>590</v>
      </c>
    </row>
    <row r="1927" spans="2:12">
      <c r="B1927" s="2" t="s">
        <v>2554</v>
      </c>
      <c r="C1927" s="7">
        <v>45993</v>
      </c>
      <c r="D1927" s="2" t="s">
        <v>251</v>
      </c>
      <c r="E1927" s="4">
        <v>1</v>
      </c>
      <c r="F1927" s="8" t="str">
        <f>_xlfn.XLOOKUP(D1927,Master[Product_Code],Master[Category])</f>
        <v>Shirt</v>
      </c>
      <c r="G1927" s="8" t="str">
        <f>_xlfn.XLOOKUP(D1927,Master[Product_Code],Master[Brand])</f>
        <v>Max</v>
      </c>
      <c r="H1927" s="8" t="str">
        <f>_xlfn.XLOOKUP(D1927,Master[Product_Code],Master[Style])</f>
        <v>Partywear</v>
      </c>
      <c r="I1927" s="8" t="str">
        <f>_xlfn.XLOOKUP(D1927,Master[Product_Code],Master[Fabric])</f>
        <v>Polyester</v>
      </c>
      <c r="J1927" s="8" t="str">
        <f>_xlfn.XLOOKUP(D1927,Master[Product_Code],Master[Size])</f>
        <v>XL</v>
      </c>
      <c r="K1927" s="8" t="str">
        <f>_xlfn.XLOOKUP(D1927,Master[Product_Code],Master[Color])</f>
        <v>Royal Blue</v>
      </c>
      <c r="L1927" s="3">
        <f>_xlfn.XLOOKUP(D1927,Master[Product_Code],Master[Selling_Price])</f>
        <v>730</v>
      </c>
    </row>
    <row r="1928" spans="2:12">
      <c r="B1928" s="2" t="s">
        <v>2555</v>
      </c>
      <c r="C1928" s="7">
        <v>45993</v>
      </c>
      <c r="D1928" s="2" t="s">
        <v>980</v>
      </c>
      <c r="E1928" s="4">
        <v>1</v>
      </c>
      <c r="F1928" s="8" t="str">
        <f>_xlfn.XLOOKUP(D1928,Master[Product_Code],Master[Category])</f>
        <v>Jeans</v>
      </c>
      <c r="G1928" s="8" t="str">
        <f>_xlfn.XLOOKUP(D1928,Master[Product_Code],Master[Brand])</f>
        <v>Pepe</v>
      </c>
      <c r="H1928" s="8" t="str">
        <f>_xlfn.XLOOKUP(D1928,Master[Product_Code],Master[Style])</f>
        <v>Jogger</v>
      </c>
      <c r="I1928" s="8" t="str">
        <f>_xlfn.XLOOKUP(D1928,Master[Product_Code],Master[Fabric])</f>
        <v>Denim</v>
      </c>
      <c r="J1928" s="8">
        <f>_xlfn.XLOOKUP(D1928,Master[Product_Code],Master[Size])</f>
        <v>40</v>
      </c>
      <c r="K1928" s="8" t="str">
        <f>_xlfn.XLOOKUP(D1928,Master[Product_Code],Master[Color])</f>
        <v>Bottle Green</v>
      </c>
      <c r="L1928" s="3">
        <f>_xlfn.XLOOKUP(D1928,Master[Product_Code],Master[Selling_Price])</f>
        <v>990</v>
      </c>
    </row>
    <row r="1929" spans="2:12">
      <c r="B1929" s="2" t="s">
        <v>2556</v>
      </c>
      <c r="C1929" s="7">
        <v>45993</v>
      </c>
      <c r="D1929" s="2" t="s">
        <v>1702</v>
      </c>
      <c r="E1929" s="4">
        <v>1</v>
      </c>
      <c r="F1929" s="8" t="str">
        <f>_xlfn.XLOOKUP(D1929,Master[Product_Code],Master[Category])</f>
        <v>Innerwear</v>
      </c>
      <c r="G1929" s="8" t="str">
        <f>_xlfn.XLOOKUP(D1929,Master[Product_Code],Master[Brand])</f>
        <v>V Star</v>
      </c>
      <c r="H1929" s="8" t="str">
        <f>_xlfn.XLOOKUP(D1929,Master[Product_Code],Master[Style])</f>
        <v>V-Cut</v>
      </c>
      <c r="I1929" s="8" t="str">
        <f>_xlfn.XLOOKUP(D1929,Master[Product_Code],Master[Fabric])</f>
        <v>Cotton</v>
      </c>
      <c r="J1929" s="8" t="str">
        <f>_xlfn.XLOOKUP(D1929,Master[Product_Code],Master[Size])</f>
        <v>100-105</v>
      </c>
      <c r="K1929" s="8" t="str">
        <f>_xlfn.XLOOKUP(D1929,Master[Product_Code],Master[Color])</f>
        <v>Peach</v>
      </c>
      <c r="L1929" s="3">
        <f>_xlfn.XLOOKUP(D1929,Master[Product_Code],Master[Selling_Price])</f>
        <v>130</v>
      </c>
    </row>
    <row r="1930" spans="2:12">
      <c r="B1930" s="2" t="s">
        <v>2557</v>
      </c>
      <c r="C1930" s="7">
        <v>45993</v>
      </c>
      <c r="D1930" s="2" t="s">
        <v>58</v>
      </c>
      <c r="E1930" s="4">
        <v>1</v>
      </c>
      <c r="F1930" s="8" t="str">
        <f>_xlfn.XLOOKUP(D1930,Master[Product_Code],Master[Category])</f>
        <v>Shirt</v>
      </c>
      <c r="G1930" s="8" t="str">
        <f>_xlfn.XLOOKUP(D1930,Master[Product_Code],Master[Brand])</f>
        <v>Luke &amp; Burg</v>
      </c>
      <c r="H1930" s="8" t="str">
        <f>_xlfn.XLOOKUP(D1930,Master[Product_Code],Master[Style])</f>
        <v>Partywear</v>
      </c>
      <c r="I1930" s="8" t="str">
        <f>_xlfn.XLOOKUP(D1930,Master[Product_Code],Master[Fabric])</f>
        <v>Cotton</v>
      </c>
      <c r="J1930" s="8" t="str">
        <f>_xlfn.XLOOKUP(D1930,Master[Product_Code],Master[Size])</f>
        <v>XL</v>
      </c>
      <c r="K1930" s="8" t="str">
        <f>_xlfn.XLOOKUP(D1930,Master[Product_Code],Master[Color])</f>
        <v>Rust</v>
      </c>
      <c r="L1930" s="3">
        <f>_xlfn.XLOOKUP(D1930,Master[Product_Code],Master[Selling_Price])</f>
        <v>910</v>
      </c>
    </row>
    <row r="1931" spans="2:12">
      <c r="B1931" s="2" t="s">
        <v>2558</v>
      </c>
      <c r="C1931" s="7">
        <v>45993</v>
      </c>
      <c r="D1931" s="2" t="s">
        <v>1676</v>
      </c>
      <c r="E1931" s="4">
        <v>1</v>
      </c>
      <c r="F1931" s="8" t="str">
        <f>_xlfn.XLOOKUP(D1931,Master[Product_Code],Master[Category])</f>
        <v>Innerwear</v>
      </c>
      <c r="G1931" s="8" t="str">
        <f>_xlfn.XLOOKUP(D1931,Master[Product_Code],Master[Brand])</f>
        <v>Lux</v>
      </c>
      <c r="H1931" s="8" t="str">
        <f>_xlfn.XLOOKUP(D1931,Master[Product_Code],Master[Style])</f>
        <v>Boxer</v>
      </c>
      <c r="I1931" s="8" t="str">
        <f>_xlfn.XLOOKUP(D1931,Master[Product_Code],Master[Fabric])</f>
        <v>Cotton</v>
      </c>
      <c r="J1931" s="8" t="str">
        <f>_xlfn.XLOOKUP(D1931,Master[Product_Code],Master[Size])</f>
        <v>105-110</v>
      </c>
      <c r="K1931" s="8" t="str">
        <f>_xlfn.XLOOKUP(D1931,Master[Product_Code],Master[Color])</f>
        <v>Navy Blue</v>
      </c>
      <c r="L1931" s="3">
        <f>_xlfn.XLOOKUP(D1931,Master[Product_Code],Master[Selling_Price])</f>
        <v>170</v>
      </c>
    </row>
    <row r="1932" spans="2:12">
      <c r="B1932" s="2" t="s">
        <v>2558</v>
      </c>
      <c r="C1932" s="7">
        <v>45993</v>
      </c>
      <c r="D1932" s="2" t="s">
        <v>1035</v>
      </c>
      <c r="E1932" s="4">
        <v>1</v>
      </c>
      <c r="F1932" s="8" t="str">
        <f>_xlfn.XLOOKUP(D1932,Master[Product_Code],Master[Category])</f>
        <v>Jeans</v>
      </c>
      <c r="G1932" s="8" t="str">
        <f>_xlfn.XLOOKUP(D1932,Master[Product_Code],Master[Brand])</f>
        <v>Pepe</v>
      </c>
      <c r="H1932" s="8" t="str">
        <f>_xlfn.XLOOKUP(D1932,Master[Product_Code],Master[Style])</f>
        <v>Mom Fit</v>
      </c>
      <c r="I1932" s="8" t="str">
        <f>_xlfn.XLOOKUP(D1932,Master[Product_Code],Master[Fabric])</f>
        <v>Denim</v>
      </c>
      <c r="J1932" s="8">
        <f>_xlfn.XLOOKUP(D1932,Master[Product_Code],Master[Size])</f>
        <v>42</v>
      </c>
      <c r="K1932" s="8" t="str">
        <f>_xlfn.XLOOKUP(D1932,Master[Product_Code],Master[Color])</f>
        <v>Wine</v>
      </c>
      <c r="L1932" s="3">
        <f>_xlfn.XLOOKUP(D1932,Master[Product_Code],Master[Selling_Price])</f>
        <v>1020</v>
      </c>
    </row>
    <row r="1933" spans="2:12">
      <c r="B1933" s="2" t="s">
        <v>2559</v>
      </c>
      <c r="C1933" s="7">
        <v>45993</v>
      </c>
      <c r="D1933" s="2" t="s">
        <v>1337</v>
      </c>
      <c r="E1933" s="4">
        <v>1</v>
      </c>
      <c r="F1933" s="8" t="str">
        <f>_xlfn.XLOOKUP(D1933,Master[Product_Code],Master[Category])</f>
        <v>Pants</v>
      </c>
      <c r="G1933" s="8" t="str">
        <f>_xlfn.XLOOKUP(D1933,Master[Product_Code],Master[Brand])</f>
        <v>Louis Philippe</v>
      </c>
      <c r="H1933" s="8" t="str">
        <f>_xlfn.XLOOKUP(D1933,Master[Product_Code],Master[Style])</f>
        <v>Boot Cut</v>
      </c>
      <c r="I1933" s="8" t="str">
        <f>_xlfn.XLOOKUP(D1933,Master[Product_Code],Master[Fabric])</f>
        <v>Cotton Blend</v>
      </c>
      <c r="J1933" s="8">
        <f>_xlfn.XLOOKUP(D1933,Master[Product_Code],Master[Size])</f>
        <v>34</v>
      </c>
      <c r="K1933" s="8" t="str">
        <f>_xlfn.XLOOKUP(D1933,Master[Product_Code],Master[Color])</f>
        <v>Dark Green</v>
      </c>
      <c r="L1933" s="3">
        <f>_xlfn.XLOOKUP(D1933,Master[Product_Code],Master[Selling_Price])</f>
        <v>950</v>
      </c>
    </row>
    <row r="1934" spans="2:12">
      <c r="B1934" s="2" t="s">
        <v>2559</v>
      </c>
      <c r="C1934" s="7">
        <v>45993</v>
      </c>
      <c r="D1934" s="2" t="s">
        <v>448</v>
      </c>
      <c r="E1934" s="4">
        <v>1</v>
      </c>
      <c r="F1934" s="8" t="str">
        <f>_xlfn.XLOOKUP(D1934,Master[Product_Code],Master[Category])</f>
        <v>T-Shirt</v>
      </c>
      <c r="G1934" s="8" t="str">
        <f>_xlfn.XLOOKUP(D1934,Master[Product_Code],Master[Brand])</f>
        <v>Max</v>
      </c>
      <c r="H1934" s="8" t="str">
        <f>_xlfn.XLOOKUP(D1934,Master[Product_Code],Master[Style])</f>
        <v>Full Sleeve</v>
      </c>
      <c r="I1934" s="8" t="str">
        <f>_xlfn.XLOOKUP(D1934,Master[Product_Code],Master[Fabric])</f>
        <v>Poly Cotton</v>
      </c>
      <c r="J1934" s="8" t="str">
        <f>_xlfn.XLOOKUP(D1934,Master[Product_Code],Master[Size])</f>
        <v>XL</v>
      </c>
      <c r="K1934" s="8" t="str">
        <f>_xlfn.XLOOKUP(D1934,Master[Product_Code],Master[Color])</f>
        <v>Mustard</v>
      </c>
      <c r="L1934" s="3">
        <f>_xlfn.XLOOKUP(D1934,Master[Product_Code],Master[Selling_Price])</f>
        <v>320</v>
      </c>
    </row>
    <row r="1935" spans="2:12">
      <c r="B1935" s="2" t="s">
        <v>2559</v>
      </c>
      <c r="C1935" s="7">
        <v>45993</v>
      </c>
      <c r="D1935" s="2" t="s">
        <v>397</v>
      </c>
      <c r="E1935" s="4">
        <v>1</v>
      </c>
      <c r="F1935" s="8" t="str">
        <f>_xlfn.XLOOKUP(D1935,Master[Product_Code],Master[Category])</f>
        <v>Shirt</v>
      </c>
      <c r="G1935" s="8" t="str">
        <f>_xlfn.XLOOKUP(D1935,Master[Product_Code],Master[Brand])</f>
        <v>British</v>
      </c>
      <c r="H1935" s="8" t="str">
        <f>_xlfn.XLOOKUP(D1935,Master[Product_Code],Master[Style])</f>
        <v>Partywear</v>
      </c>
      <c r="I1935" s="8" t="str">
        <f>_xlfn.XLOOKUP(D1935,Master[Product_Code],Master[Fabric])</f>
        <v>Cotton Blend</v>
      </c>
      <c r="J1935" s="8" t="str">
        <f>_xlfn.XLOOKUP(D1935,Master[Product_Code],Master[Size])</f>
        <v>M</v>
      </c>
      <c r="K1935" s="8" t="str">
        <f>_xlfn.XLOOKUP(D1935,Master[Product_Code],Master[Color])</f>
        <v>Brown</v>
      </c>
      <c r="L1935" s="3">
        <f>_xlfn.XLOOKUP(D1935,Master[Product_Code],Master[Selling_Price])</f>
        <v>920</v>
      </c>
    </row>
    <row r="1936" spans="2:12">
      <c r="B1936" s="2" t="s">
        <v>2560</v>
      </c>
      <c r="C1936" s="7">
        <v>45993</v>
      </c>
      <c r="D1936" s="2" t="s">
        <v>56</v>
      </c>
      <c r="E1936" s="4">
        <v>1</v>
      </c>
      <c r="F1936" s="8" t="str">
        <f>_xlfn.XLOOKUP(D1936,Master[Product_Code],Master[Category])</f>
        <v>Shirt</v>
      </c>
      <c r="G1936" s="8" t="str">
        <f>_xlfn.XLOOKUP(D1936,Master[Product_Code],Master[Brand])</f>
        <v>Max</v>
      </c>
      <c r="H1936" s="8" t="str">
        <f>_xlfn.XLOOKUP(D1936,Master[Product_Code],Master[Style])</f>
        <v>Formal</v>
      </c>
      <c r="I1936" s="8" t="str">
        <f>_xlfn.XLOOKUP(D1936,Master[Product_Code],Master[Fabric])</f>
        <v>Cotton</v>
      </c>
      <c r="J1936" s="8" t="str">
        <f>_xlfn.XLOOKUP(D1936,Master[Product_Code],Master[Size])</f>
        <v>S</v>
      </c>
      <c r="K1936" s="8" t="str">
        <f>_xlfn.XLOOKUP(D1936,Master[Product_Code],Master[Color])</f>
        <v>Maroon</v>
      </c>
      <c r="L1936" s="3">
        <f>_xlfn.XLOOKUP(D1936,Master[Product_Code],Master[Selling_Price])</f>
        <v>810</v>
      </c>
    </row>
    <row r="1937" spans="2:12">
      <c r="B1937" s="2" t="s">
        <v>2560</v>
      </c>
      <c r="C1937" s="7">
        <v>45993</v>
      </c>
      <c r="D1937" s="2" t="s">
        <v>570</v>
      </c>
      <c r="E1937" s="4">
        <v>1</v>
      </c>
      <c r="F1937" s="8" t="str">
        <f>_xlfn.XLOOKUP(D1937,Master[Product_Code],Master[Category])</f>
        <v>T-Shirt</v>
      </c>
      <c r="G1937" s="8" t="str">
        <f>_xlfn.XLOOKUP(D1937,Master[Product_Code],Master[Brand])</f>
        <v>Roadster</v>
      </c>
      <c r="H1937" s="8" t="str">
        <f>_xlfn.XLOOKUP(D1937,Master[Product_Code],Master[Style])</f>
        <v>Sleeveless</v>
      </c>
      <c r="I1937" s="8" t="str">
        <f>_xlfn.XLOOKUP(D1937,Master[Product_Code],Master[Fabric])</f>
        <v>Cotton</v>
      </c>
      <c r="J1937" s="8" t="str">
        <f>_xlfn.XLOOKUP(D1937,Master[Product_Code],Master[Size])</f>
        <v>S</v>
      </c>
      <c r="K1937" s="8" t="str">
        <f>_xlfn.XLOOKUP(D1937,Master[Product_Code],Master[Color])</f>
        <v>Beige</v>
      </c>
      <c r="L1937" s="3">
        <f>_xlfn.XLOOKUP(D1937,Master[Product_Code],Master[Selling_Price])</f>
        <v>500</v>
      </c>
    </row>
    <row r="1938" spans="2:12">
      <c r="B1938" s="2" t="s">
        <v>2560</v>
      </c>
      <c r="C1938" s="7">
        <v>45993</v>
      </c>
      <c r="D1938" s="2" t="s">
        <v>503</v>
      </c>
      <c r="E1938" s="4">
        <v>1</v>
      </c>
      <c r="F1938" s="8" t="str">
        <f>_xlfn.XLOOKUP(D1938,Master[Product_Code],Master[Category])</f>
        <v>T-Shirt</v>
      </c>
      <c r="G1938" s="8" t="str">
        <f>_xlfn.XLOOKUP(D1938,Master[Product_Code],Master[Brand])</f>
        <v>Campus</v>
      </c>
      <c r="H1938" s="8" t="str">
        <f>_xlfn.XLOOKUP(D1938,Master[Product_Code],Master[Style])</f>
        <v>3/4 Sleeve</v>
      </c>
      <c r="I1938" s="8" t="str">
        <f>_xlfn.XLOOKUP(D1938,Master[Product_Code],Master[Fabric])</f>
        <v>Poly Cotton</v>
      </c>
      <c r="J1938" s="8" t="str">
        <f>_xlfn.XLOOKUP(D1938,Master[Product_Code],Master[Size])</f>
        <v>XL</v>
      </c>
      <c r="K1938" s="8" t="str">
        <f>_xlfn.XLOOKUP(D1938,Master[Product_Code],Master[Color])</f>
        <v>Rust</v>
      </c>
      <c r="L1938" s="3">
        <f>_xlfn.XLOOKUP(D1938,Master[Product_Code],Master[Selling_Price])</f>
        <v>620</v>
      </c>
    </row>
    <row r="1939" spans="2:12">
      <c r="B1939" s="2" t="s">
        <v>2561</v>
      </c>
      <c r="C1939" s="7">
        <v>45993</v>
      </c>
      <c r="D1939" s="2" t="s">
        <v>1372</v>
      </c>
      <c r="E1939" s="4">
        <v>1</v>
      </c>
      <c r="F1939" s="8" t="str">
        <f>_xlfn.XLOOKUP(D1939,Master[Product_Code],Master[Category])</f>
        <v>Pants</v>
      </c>
      <c r="G1939" s="8" t="str">
        <f>_xlfn.XLOOKUP(D1939,Master[Product_Code],Master[Brand])</f>
        <v>Park Avenue</v>
      </c>
      <c r="H1939" s="8" t="str">
        <f>_xlfn.XLOOKUP(D1939,Master[Product_Code],Master[Style])</f>
        <v>Korean</v>
      </c>
      <c r="I1939" s="8" t="str">
        <f>_xlfn.XLOOKUP(D1939,Master[Product_Code],Master[Fabric])</f>
        <v>Lycra</v>
      </c>
      <c r="J1939" s="8">
        <f>_xlfn.XLOOKUP(D1939,Master[Product_Code],Master[Size])</f>
        <v>28</v>
      </c>
      <c r="K1939" s="8" t="str">
        <f>_xlfn.XLOOKUP(D1939,Master[Product_Code],Master[Color])</f>
        <v>White</v>
      </c>
      <c r="L1939" s="3">
        <f>_xlfn.XLOOKUP(D1939,Master[Product_Code],Master[Selling_Price])</f>
        <v>720</v>
      </c>
    </row>
    <row r="1940" spans="2:12">
      <c r="B1940" s="2" t="s">
        <v>2561</v>
      </c>
      <c r="C1940" s="7">
        <v>45993</v>
      </c>
      <c r="D1940" s="2" t="s">
        <v>102</v>
      </c>
      <c r="E1940" s="4">
        <v>1</v>
      </c>
      <c r="F1940" s="8" t="str">
        <f>_xlfn.XLOOKUP(D1940,Master[Product_Code],Master[Category])</f>
        <v>Shirt</v>
      </c>
      <c r="G1940" s="8" t="str">
        <f>_xlfn.XLOOKUP(D1940,Master[Product_Code],Master[Brand])</f>
        <v>British</v>
      </c>
      <c r="H1940" s="8" t="str">
        <f>_xlfn.XLOOKUP(D1940,Master[Product_Code],Master[Style])</f>
        <v>Formal</v>
      </c>
      <c r="I1940" s="8" t="str">
        <f>_xlfn.XLOOKUP(D1940,Master[Product_Code],Master[Fabric])</f>
        <v>Cotton Blend</v>
      </c>
      <c r="J1940" s="8" t="str">
        <f>_xlfn.XLOOKUP(D1940,Master[Product_Code],Master[Size])</f>
        <v>XXL</v>
      </c>
      <c r="K1940" s="8" t="str">
        <f>_xlfn.XLOOKUP(D1940,Master[Product_Code],Master[Color])</f>
        <v>Peach</v>
      </c>
      <c r="L1940" s="3">
        <f>_xlfn.XLOOKUP(D1940,Master[Product_Code],Master[Selling_Price])</f>
        <v>890</v>
      </c>
    </row>
    <row r="1941" spans="2:12">
      <c r="B1941" s="2" t="s">
        <v>2561</v>
      </c>
      <c r="C1941" s="7">
        <v>45993</v>
      </c>
      <c r="D1941" s="2" t="s">
        <v>659</v>
      </c>
      <c r="E1941" s="4">
        <v>1</v>
      </c>
      <c r="F1941" s="8" t="str">
        <f>_xlfn.XLOOKUP(D1941,Master[Product_Code],Master[Category])</f>
        <v>T-Shirt</v>
      </c>
      <c r="G1941" s="8" t="str">
        <f>_xlfn.XLOOKUP(D1941,Master[Product_Code],Master[Brand])</f>
        <v>Campus</v>
      </c>
      <c r="H1941" s="8" t="str">
        <f>_xlfn.XLOOKUP(D1941,Master[Product_Code],Master[Style])</f>
        <v>3/4 Sleeve</v>
      </c>
      <c r="I1941" s="8" t="str">
        <f>_xlfn.XLOOKUP(D1941,Master[Product_Code],Master[Fabric])</f>
        <v>Cotton Blend</v>
      </c>
      <c r="J1941" s="8" t="str">
        <f>_xlfn.XLOOKUP(D1941,Master[Product_Code],Master[Size])</f>
        <v>M</v>
      </c>
      <c r="K1941" s="8" t="str">
        <f>_xlfn.XLOOKUP(D1941,Master[Product_Code],Master[Color])</f>
        <v>Sky Blue</v>
      </c>
      <c r="L1941" s="3">
        <f>_xlfn.XLOOKUP(D1941,Master[Product_Code],Master[Selling_Price])</f>
        <v>370</v>
      </c>
    </row>
    <row r="1942" spans="2:12">
      <c r="B1942" s="2" t="s">
        <v>2561</v>
      </c>
      <c r="C1942" s="7">
        <v>45993</v>
      </c>
      <c r="D1942" s="2" t="s">
        <v>1689</v>
      </c>
      <c r="E1942" s="4">
        <v>1</v>
      </c>
      <c r="F1942" s="8" t="str">
        <f>_xlfn.XLOOKUP(D1942,Master[Product_Code],Master[Category])</f>
        <v>Innerwear</v>
      </c>
      <c r="G1942" s="8" t="str">
        <f>_xlfn.XLOOKUP(D1942,Master[Product_Code],Master[Brand])</f>
        <v>Jockey</v>
      </c>
      <c r="H1942" s="8" t="str">
        <f>_xlfn.XLOOKUP(D1942,Master[Product_Code],Master[Style])</f>
        <v>V-Cut</v>
      </c>
      <c r="I1942" s="8" t="str">
        <f>_xlfn.XLOOKUP(D1942,Master[Product_Code],Master[Fabric])</f>
        <v>Cotton</v>
      </c>
      <c r="J1942" s="8" t="str">
        <f>_xlfn.XLOOKUP(D1942,Master[Product_Code],Master[Size])</f>
        <v>105-110</v>
      </c>
      <c r="K1942" s="8" t="str">
        <f>_xlfn.XLOOKUP(D1942,Master[Product_Code],Master[Color])</f>
        <v>Cream</v>
      </c>
      <c r="L1942" s="3">
        <f>_xlfn.XLOOKUP(D1942,Master[Product_Code],Master[Selling_Price])</f>
        <v>140</v>
      </c>
    </row>
    <row r="1943" spans="2:12">
      <c r="B1943" s="2" t="s">
        <v>2562</v>
      </c>
      <c r="C1943" s="7">
        <v>45994</v>
      </c>
      <c r="D1943" s="2" t="s">
        <v>1135</v>
      </c>
      <c r="E1943" s="4">
        <v>1</v>
      </c>
      <c r="F1943" s="8" t="str">
        <f>_xlfn.XLOOKUP(D1943,Master[Product_Code],Master[Category])</f>
        <v>Jeans</v>
      </c>
      <c r="G1943" s="8" t="str">
        <f>_xlfn.XLOOKUP(D1943,Master[Product_Code],Master[Brand])</f>
        <v>Levis</v>
      </c>
      <c r="H1943" s="8" t="str">
        <f>_xlfn.XLOOKUP(D1943,Master[Product_Code],Master[Style])</f>
        <v>Mom Fit</v>
      </c>
      <c r="I1943" s="8" t="str">
        <f>_xlfn.XLOOKUP(D1943,Master[Product_Code],Master[Fabric])</f>
        <v>Denim</v>
      </c>
      <c r="J1943" s="8">
        <f>_xlfn.XLOOKUP(D1943,Master[Product_Code],Master[Size])</f>
        <v>44</v>
      </c>
      <c r="K1943" s="8" t="str">
        <f>_xlfn.XLOOKUP(D1943,Master[Product_Code],Master[Color])</f>
        <v>Brown</v>
      </c>
      <c r="L1943" s="3">
        <f>_xlfn.XLOOKUP(D1943,Master[Product_Code],Master[Selling_Price])</f>
        <v>870</v>
      </c>
    </row>
    <row r="1944" spans="2:12">
      <c r="B1944" s="2" t="s">
        <v>2563</v>
      </c>
      <c r="C1944" s="7">
        <v>45994</v>
      </c>
      <c r="D1944" s="2" t="s">
        <v>1204</v>
      </c>
      <c r="E1944" s="4">
        <v>1</v>
      </c>
      <c r="F1944" s="8" t="str">
        <f>_xlfn.XLOOKUP(D1944,Master[Product_Code],Master[Category])</f>
        <v>Pants</v>
      </c>
      <c r="G1944" s="8" t="str">
        <f>_xlfn.XLOOKUP(D1944,Master[Product_Code],Master[Brand])</f>
        <v>Raymond</v>
      </c>
      <c r="H1944" s="8" t="str">
        <f>_xlfn.XLOOKUP(D1944,Master[Product_Code],Master[Style])</f>
        <v>Polofit</v>
      </c>
      <c r="I1944" s="8" t="str">
        <f>_xlfn.XLOOKUP(D1944,Master[Product_Code],Master[Fabric])</f>
        <v>Lycra</v>
      </c>
      <c r="J1944" s="8">
        <f>_xlfn.XLOOKUP(D1944,Master[Product_Code],Master[Size])</f>
        <v>42</v>
      </c>
      <c r="K1944" s="8" t="str">
        <f>_xlfn.XLOOKUP(D1944,Master[Product_Code],Master[Color])</f>
        <v>Peach</v>
      </c>
      <c r="L1944" s="3">
        <f>_xlfn.XLOOKUP(D1944,Master[Product_Code],Master[Selling_Price])</f>
        <v>860</v>
      </c>
    </row>
    <row r="1945" spans="2:12">
      <c r="B1945" s="2" t="s">
        <v>2563</v>
      </c>
      <c r="C1945" s="7">
        <v>45994</v>
      </c>
      <c r="D1945" s="2" t="s">
        <v>949</v>
      </c>
      <c r="E1945" s="4">
        <v>1</v>
      </c>
      <c r="F1945" s="8" t="str">
        <f>_xlfn.XLOOKUP(D1945,Master[Product_Code],Master[Category])</f>
        <v>Jeans</v>
      </c>
      <c r="G1945" s="8" t="str">
        <f>_xlfn.XLOOKUP(D1945,Master[Product_Code],Master[Brand])</f>
        <v>Pepe</v>
      </c>
      <c r="H1945" s="8" t="str">
        <f>_xlfn.XLOOKUP(D1945,Master[Product_Code],Master[Style])</f>
        <v>Baggy</v>
      </c>
      <c r="I1945" s="8" t="str">
        <f>_xlfn.XLOOKUP(D1945,Master[Product_Code],Master[Fabric])</f>
        <v>Denim</v>
      </c>
      <c r="J1945" s="8">
        <f>_xlfn.XLOOKUP(D1945,Master[Product_Code],Master[Size])</f>
        <v>34</v>
      </c>
      <c r="K1945" s="8" t="str">
        <f>_xlfn.XLOOKUP(D1945,Master[Product_Code],Master[Color])</f>
        <v>Grey</v>
      </c>
      <c r="L1945" s="3">
        <f>_xlfn.XLOOKUP(D1945,Master[Product_Code],Master[Selling_Price])</f>
        <v>1040</v>
      </c>
    </row>
    <row r="1946" spans="2:12">
      <c r="B1946" s="2" t="s">
        <v>2564</v>
      </c>
      <c r="C1946" s="7">
        <v>45994</v>
      </c>
      <c r="D1946" s="2" t="s">
        <v>1016</v>
      </c>
      <c r="E1946" s="4">
        <v>1</v>
      </c>
      <c r="F1946" s="8" t="str">
        <f>_xlfn.XLOOKUP(D1946,Master[Product_Code],Master[Category])</f>
        <v>Jeans</v>
      </c>
      <c r="G1946" s="8" t="str">
        <f>_xlfn.XLOOKUP(D1946,Master[Product_Code],Master[Brand])</f>
        <v>Denim Pro</v>
      </c>
      <c r="H1946" s="8" t="str">
        <f>_xlfn.XLOOKUP(D1946,Master[Product_Code],Master[Style])</f>
        <v>Mom Fit</v>
      </c>
      <c r="I1946" s="8" t="str">
        <f>_xlfn.XLOOKUP(D1946,Master[Product_Code],Master[Fabric])</f>
        <v>Denim</v>
      </c>
      <c r="J1946" s="8">
        <f>_xlfn.XLOOKUP(D1946,Master[Product_Code],Master[Size])</f>
        <v>30</v>
      </c>
      <c r="K1946" s="8" t="str">
        <f>_xlfn.XLOOKUP(D1946,Master[Product_Code],Master[Color])</f>
        <v>Light Grey</v>
      </c>
      <c r="L1946" s="3">
        <f>_xlfn.XLOOKUP(D1946,Master[Product_Code],Master[Selling_Price])</f>
        <v>960</v>
      </c>
    </row>
    <row r="1947" spans="2:12">
      <c r="B1947" s="2" t="s">
        <v>2565</v>
      </c>
      <c r="C1947" s="7">
        <v>45994</v>
      </c>
      <c r="D1947" s="2" t="s">
        <v>1419</v>
      </c>
      <c r="E1947" s="4">
        <v>1</v>
      </c>
      <c r="F1947" s="8" t="str">
        <f>_xlfn.XLOOKUP(D1947,Master[Product_Code],Master[Category])</f>
        <v>Pants</v>
      </c>
      <c r="G1947" s="8" t="str">
        <f>_xlfn.XLOOKUP(D1947,Master[Product_Code],Master[Brand])</f>
        <v>Park Avenue</v>
      </c>
      <c r="H1947" s="8" t="str">
        <f>_xlfn.XLOOKUP(D1947,Master[Product_Code],Master[Style])</f>
        <v>Polofit</v>
      </c>
      <c r="I1947" s="8" t="str">
        <f>_xlfn.XLOOKUP(D1947,Master[Product_Code],Master[Fabric])</f>
        <v>Lycra</v>
      </c>
      <c r="J1947" s="8">
        <f>_xlfn.XLOOKUP(D1947,Master[Product_Code],Master[Size])</f>
        <v>38</v>
      </c>
      <c r="K1947" s="8" t="str">
        <f>_xlfn.XLOOKUP(D1947,Master[Product_Code],Master[Color])</f>
        <v>Grey</v>
      </c>
      <c r="L1947" s="3">
        <f>_xlfn.XLOOKUP(D1947,Master[Product_Code],Master[Selling_Price])</f>
        <v>880</v>
      </c>
    </row>
    <row r="1948" spans="2:12">
      <c r="B1948" s="2" t="s">
        <v>2565</v>
      </c>
      <c r="C1948" s="7">
        <v>45994</v>
      </c>
      <c r="D1948" s="2" t="s">
        <v>519</v>
      </c>
      <c r="E1948" s="4">
        <v>1</v>
      </c>
      <c r="F1948" s="8" t="str">
        <f>_xlfn.XLOOKUP(D1948,Master[Product_Code],Master[Category])</f>
        <v>T-Shirt</v>
      </c>
      <c r="G1948" s="8" t="str">
        <f>_xlfn.XLOOKUP(D1948,Master[Product_Code],Master[Brand])</f>
        <v>Roadster</v>
      </c>
      <c r="H1948" s="8" t="str">
        <f>_xlfn.XLOOKUP(D1948,Master[Product_Code],Master[Style])</f>
        <v>Half Sleeve</v>
      </c>
      <c r="I1948" s="8" t="str">
        <f>_xlfn.XLOOKUP(D1948,Master[Product_Code],Master[Fabric])</f>
        <v>Poly Cotton</v>
      </c>
      <c r="J1948" s="8" t="str">
        <f>_xlfn.XLOOKUP(D1948,Master[Product_Code],Master[Size])</f>
        <v>M</v>
      </c>
      <c r="K1948" s="8" t="str">
        <f>_xlfn.XLOOKUP(D1948,Master[Product_Code],Master[Color])</f>
        <v>Cream</v>
      </c>
      <c r="L1948" s="3">
        <f>_xlfn.XLOOKUP(D1948,Master[Product_Code],Master[Selling_Price])</f>
        <v>590</v>
      </c>
    </row>
    <row r="1949" spans="2:12">
      <c r="B1949" s="2" t="s">
        <v>2565</v>
      </c>
      <c r="C1949" s="7">
        <v>45994</v>
      </c>
      <c r="D1949" s="2" t="s">
        <v>1584</v>
      </c>
      <c r="E1949" s="4">
        <v>1</v>
      </c>
      <c r="F1949" s="8" t="str">
        <f>_xlfn.XLOOKUP(D1949,Master[Product_Code],Master[Category])</f>
        <v>Innerwear</v>
      </c>
      <c r="G1949" s="8" t="str">
        <f>_xlfn.XLOOKUP(D1949,Master[Product_Code],Master[Brand])</f>
        <v>Lux</v>
      </c>
      <c r="H1949" s="8" t="str">
        <f>_xlfn.XLOOKUP(D1949,Master[Product_Code],Master[Style])</f>
        <v>Boxer</v>
      </c>
      <c r="I1949" s="8" t="str">
        <f>_xlfn.XLOOKUP(D1949,Master[Product_Code],Master[Fabric])</f>
        <v>Cotton Blend</v>
      </c>
      <c r="J1949" s="8" t="str">
        <f>_xlfn.XLOOKUP(D1949,Master[Product_Code],Master[Size])</f>
        <v>80-85</v>
      </c>
      <c r="K1949" s="8" t="str">
        <f>_xlfn.XLOOKUP(D1949,Master[Product_Code],Master[Color])</f>
        <v>Light Grey</v>
      </c>
      <c r="L1949" s="3">
        <f>_xlfn.XLOOKUP(D1949,Master[Product_Code],Master[Selling_Price])</f>
        <v>150</v>
      </c>
    </row>
    <row r="1950" spans="2:12">
      <c r="B1950" s="2" t="s">
        <v>2565</v>
      </c>
      <c r="C1950" s="7">
        <v>45994</v>
      </c>
      <c r="D1950" s="2" t="s">
        <v>735</v>
      </c>
      <c r="E1950" s="4">
        <v>1</v>
      </c>
      <c r="F1950" s="8" t="str">
        <f>_xlfn.XLOOKUP(D1950,Master[Product_Code],Master[Category])</f>
        <v>T-Shirt</v>
      </c>
      <c r="G1950" s="8" t="str">
        <f>_xlfn.XLOOKUP(D1950,Master[Product_Code],Master[Brand])</f>
        <v>Urban Monkey</v>
      </c>
      <c r="H1950" s="8" t="str">
        <f>_xlfn.XLOOKUP(D1950,Master[Product_Code],Master[Style])</f>
        <v>Sleeveless</v>
      </c>
      <c r="I1950" s="8" t="str">
        <f>_xlfn.XLOOKUP(D1950,Master[Product_Code],Master[Fabric])</f>
        <v>Poly Cotton</v>
      </c>
      <c r="J1950" s="8" t="str">
        <f>_xlfn.XLOOKUP(D1950,Master[Product_Code],Master[Size])</f>
        <v>S</v>
      </c>
      <c r="K1950" s="8" t="str">
        <f>_xlfn.XLOOKUP(D1950,Master[Product_Code],Master[Color])</f>
        <v>Maroon</v>
      </c>
      <c r="L1950" s="3">
        <f>_xlfn.XLOOKUP(D1950,Master[Product_Code],Master[Selling_Price])</f>
        <v>600</v>
      </c>
    </row>
    <row r="1951" spans="2:12">
      <c r="B1951" s="2" t="s">
        <v>2566</v>
      </c>
      <c r="C1951" s="7">
        <v>45994</v>
      </c>
      <c r="D1951" s="2" t="s">
        <v>419</v>
      </c>
      <c r="E1951" s="4">
        <v>1</v>
      </c>
      <c r="F1951" s="8" t="str">
        <f>_xlfn.XLOOKUP(D1951,Master[Product_Code],Master[Category])</f>
        <v>T-Shirt</v>
      </c>
      <c r="G1951" s="8" t="str">
        <f>_xlfn.XLOOKUP(D1951,Master[Product_Code],Master[Brand])</f>
        <v>Zara</v>
      </c>
      <c r="H1951" s="8" t="str">
        <f>_xlfn.XLOOKUP(D1951,Master[Product_Code],Master[Style])</f>
        <v>Sleeveless</v>
      </c>
      <c r="I1951" s="8" t="str">
        <f>_xlfn.XLOOKUP(D1951,Master[Product_Code],Master[Fabric])</f>
        <v>Cotton</v>
      </c>
      <c r="J1951" s="8" t="str">
        <f>_xlfn.XLOOKUP(D1951,Master[Product_Code],Master[Size])</f>
        <v>XXL</v>
      </c>
      <c r="K1951" s="8" t="str">
        <f>_xlfn.XLOOKUP(D1951,Master[Product_Code],Master[Color])</f>
        <v>Grey</v>
      </c>
      <c r="L1951" s="3">
        <f>_xlfn.XLOOKUP(D1951,Master[Product_Code],Master[Selling_Price])</f>
        <v>740</v>
      </c>
    </row>
    <row r="1952" spans="2:12">
      <c r="B1952" s="2" t="s">
        <v>2566</v>
      </c>
      <c r="C1952" s="7">
        <v>45994</v>
      </c>
      <c r="D1952" s="2" t="s">
        <v>461</v>
      </c>
      <c r="E1952" s="4">
        <v>1</v>
      </c>
      <c r="F1952" s="8" t="str">
        <f>_xlfn.XLOOKUP(D1952,Master[Product_Code],Master[Category])</f>
        <v>T-Shirt</v>
      </c>
      <c r="G1952" s="8" t="str">
        <f>_xlfn.XLOOKUP(D1952,Master[Product_Code],Master[Brand])</f>
        <v>Urban Monkey</v>
      </c>
      <c r="H1952" s="8" t="str">
        <f>_xlfn.XLOOKUP(D1952,Master[Product_Code],Master[Style])</f>
        <v>Sleeveless</v>
      </c>
      <c r="I1952" s="8" t="str">
        <f>_xlfn.XLOOKUP(D1952,Master[Product_Code],Master[Fabric])</f>
        <v>Cotton Blend</v>
      </c>
      <c r="J1952" s="8" t="str">
        <f>_xlfn.XLOOKUP(D1952,Master[Product_Code],Master[Size])</f>
        <v>S</v>
      </c>
      <c r="K1952" s="8" t="str">
        <f>_xlfn.XLOOKUP(D1952,Master[Product_Code],Master[Color])</f>
        <v>Light Grey</v>
      </c>
      <c r="L1952" s="3">
        <f>_xlfn.XLOOKUP(D1952,Master[Product_Code],Master[Selling_Price])</f>
        <v>410</v>
      </c>
    </row>
    <row r="1953" spans="2:12">
      <c r="B1953" s="2" t="s">
        <v>2566</v>
      </c>
      <c r="C1953" s="7">
        <v>45994</v>
      </c>
      <c r="D1953" s="2" t="s">
        <v>653</v>
      </c>
      <c r="E1953" s="4">
        <v>1</v>
      </c>
      <c r="F1953" s="8" t="str">
        <f>_xlfn.XLOOKUP(D1953,Master[Product_Code],Master[Category])</f>
        <v>T-Shirt</v>
      </c>
      <c r="G1953" s="8" t="str">
        <f>_xlfn.XLOOKUP(D1953,Master[Product_Code],Master[Brand])</f>
        <v>Max</v>
      </c>
      <c r="H1953" s="8" t="str">
        <f>_xlfn.XLOOKUP(D1953,Master[Product_Code],Master[Style])</f>
        <v>Full Sleeve</v>
      </c>
      <c r="I1953" s="8" t="str">
        <f>_xlfn.XLOOKUP(D1953,Master[Product_Code],Master[Fabric])</f>
        <v>Cotton Blend</v>
      </c>
      <c r="J1953" s="8" t="str">
        <f>_xlfn.XLOOKUP(D1953,Master[Product_Code],Master[Size])</f>
        <v>M</v>
      </c>
      <c r="K1953" s="8" t="str">
        <f>_xlfn.XLOOKUP(D1953,Master[Product_Code],Master[Color])</f>
        <v>Navy Blue</v>
      </c>
      <c r="L1953" s="3">
        <f>_xlfn.XLOOKUP(D1953,Master[Product_Code],Master[Selling_Price])</f>
        <v>620</v>
      </c>
    </row>
    <row r="1954" spans="2:12">
      <c r="B1954" s="2" t="s">
        <v>2567</v>
      </c>
      <c r="C1954" s="7">
        <v>45994</v>
      </c>
      <c r="D1954" s="2" t="s">
        <v>973</v>
      </c>
      <c r="E1954" s="4">
        <v>1</v>
      </c>
      <c r="F1954" s="8" t="str">
        <f>_xlfn.XLOOKUP(D1954,Master[Product_Code],Master[Category])</f>
        <v>Jeans</v>
      </c>
      <c r="G1954" s="8" t="str">
        <f>_xlfn.XLOOKUP(D1954,Master[Product_Code],Master[Brand])</f>
        <v>Levis</v>
      </c>
      <c r="H1954" s="8" t="str">
        <f>_xlfn.XLOOKUP(D1954,Master[Product_Code],Master[Style])</f>
        <v>Jogger</v>
      </c>
      <c r="I1954" s="8" t="str">
        <f>_xlfn.XLOOKUP(D1954,Master[Product_Code],Master[Fabric])</f>
        <v>Denim</v>
      </c>
      <c r="J1954" s="8">
        <f>_xlfn.XLOOKUP(D1954,Master[Product_Code],Master[Size])</f>
        <v>36</v>
      </c>
      <c r="K1954" s="8" t="str">
        <f>_xlfn.XLOOKUP(D1954,Master[Product_Code],Master[Color])</f>
        <v>Peach</v>
      </c>
      <c r="L1954" s="3">
        <f>_xlfn.XLOOKUP(D1954,Master[Product_Code],Master[Selling_Price])</f>
        <v>1040</v>
      </c>
    </row>
    <row r="1955" spans="2:12">
      <c r="B1955" s="2" t="s">
        <v>2568</v>
      </c>
      <c r="C1955" s="7">
        <v>45994</v>
      </c>
      <c r="D1955" s="2" t="s">
        <v>514</v>
      </c>
      <c r="E1955" s="4">
        <v>1</v>
      </c>
      <c r="F1955" s="8" t="str">
        <f>_xlfn.XLOOKUP(D1955,Master[Product_Code],Master[Category])</f>
        <v>T-Shirt</v>
      </c>
      <c r="G1955" s="8" t="str">
        <f>_xlfn.XLOOKUP(D1955,Master[Product_Code],Master[Brand])</f>
        <v>Zara</v>
      </c>
      <c r="H1955" s="8" t="str">
        <f>_xlfn.XLOOKUP(D1955,Master[Product_Code],Master[Style])</f>
        <v>Half Sleeve</v>
      </c>
      <c r="I1955" s="8" t="str">
        <f>_xlfn.XLOOKUP(D1955,Master[Product_Code],Master[Fabric])</f>
        <v>Cotton</v>
      </c>
      <c r="J1955" s="8" t="str">
        <f>_xlfn.XLOOKUP(D1955,Master[Product_Code],Master[Size])</f>
        <v>XL</v>
      </c>
      <c r="K1955" s="8" t="str">
        <f>_xlfn.XLOOKUP(D1955,Master[Product_Code],Master[Color])</f>
        <v>Navy Blue</v>
      </c>
      <c r="L1955" s="3">
        <f>_xlfn.XLOOKUP(D1955,Master[Product_Code],Master[Selling_Price])</f>
        <v>710</v>
      </c>
    </row>
    <row r="1956" spans="2:12">
      <c r="B1956" s="2" t="s">
        <v>2568</v>
      </c>
      <c r="C1956" s="7">
        <v>45994</v>
      </c>
      <c r="D1956" s="2" t="s">
        <v>463</v>
      </c>
      <c r="E1956" s="4">
        <v>1</v>
      </c>
      <c r="F1956" s="8" t="str">
        <f>_xlfn.XLOOKUP(D1956,Master[Product_Code],Master[Category])</f>
        <v>T-Shirt</v>
      </c>
      <c r="G1956" s="8" t="str">
        <f>_xlfn.XLOOKUP(D1956,Master[Product_Code],Master[Brand])</f>
        <v>Turkey</v>
      </c>
      <c r="H1956" s="8" t="str">
        <f>_xlfn.XLOOKUP(D1956,Master[Product_Code],Master[Style])</f>
        <v>Sleeveless</v>
      </c>
      <c r="I1956" s="8" t="str">
        <f>_xlfn.XLOOKUP(D1956,Master[Product_Code],Master[Fabric])</f>
        <v>Cotton Blend</v>
      </c>
      <c r="J1956" s="8" t="str">
        <f>_xlfn.XLOOKUP(D1956,Master[Product_Code],Master[Size])</f>
        <v>S</v>
      </c>
      <c r="K1956" s="8" t="str">
        <f>_xlfn.XLOOKUP(D1956,Master[Product_Code],Master[Color])</f>
        <v>Bottle Green</v>
      </c>
      <c r="L1956" s="3">
        <f>_xlfn.XLOOKUP(D1956,Master[Product_Code],Master[Selling_Price])</f>
        <v>720</v>
      </c>
    </row>
    <row r="1957" spans="2:12">
      <c r="B1957" s="2" t="s">
        <v>2569</v>
      </c>
      <c r="C1957" s="7">
        <v>45994</v>
      </c>
      <c r="D1957" s="2" t="s">
        <v>1138</v>
      </c>
      <c r="E1957" s="4">
        <v>1</v>
      </c>
      <c r="F1957" s="8" t="str">
        <f>_xlfn.XLOOKUP(D1957,Master[Product_Code],Master[Category])</f>
        <v>Jeans</v>
      </c>
      <c r="G1957" s="8" t="str">
        <f>_xlfn.XLOOKUP(D1957,Master[Product_Code],Master[Brand])</f>
        <v>Spykar</v>
      </c>
      <c r="H1957" s="8" t="str">
        <f>_xlfn.XLOOKUP(D1957,Master[Product_Code],Master[Style])</f>
        <v>Jogger</v>
      </c>
      <c r="I1957" s="8" t="str">
        <f>_xlfn.XLOOKUP(D1957,Master[Product_Code],Master[Fabric])</f>
        <v>Denim</v>
      </c>
      <c r="J1957" s="8">
        <f>_xlfn.XLOOKUP(D1957,Master[Product_Code],Master[Size])</f>
        <v>38</v>
      </c>
      <c r="K1957" s="8" t="str">
        <f>_xlfn.XLOOKUP(D1957,Master[Product_Code],Master[Color])</f>
        <v>Teal</v>
      </c>
      <c r="L1957" s="3">
        <f>_xlfn.XLOOKUP(D1957,Master[Product_Code],Master[Selling_Price])</f>
        <v>840</v>
      </c>
    </row>
    <row r="1958" spans="2:12">
      <c r="B1958" s="2" t="s">
        <v>2569</v>
      </c>
      <c r="C1958" s="7">
        <v>45994</v>
      </c>
      <c r="D1958" s="2" t="s">
        <v>1717</v>
      </c>
      <c r="E1958" s="4">
        <v>1</v>
      </c>
      <c r="F1958" s="8" t="str">
        <f>_xlfn.XLOOKUP(D1958,Master[Product_Code],Master[Category])</f>
        <v>Innerwear</v>
      </c>
      <c r="G1958" s="8" t="str">
        <f>_xlfn.XLOOKUP(D1958,Master[Product_Code],Master[Brand])</f>
        <v>Rupa</v>
      </c>
      <c r="H1958" s="8" t="str">
        <f>_xlfn.XLOOKUP(D1958,Master[Product_Code],Master[Style])</f>
        <v>V-Cut</v>
      </c>
      <c r="I1958" s="8" t="str">
        <f>_xlfn.XLOOKUP(D1958,Master[Product_Code],Master[Fabric])</f>
        <v>Cotton</v>
      </c>
      <c r="J1958" s="8" t="str">
        <f>_xlfn.XLOOKUP(D1958,Master[Product_Code],Master[Size])</f>
        <v>75-80</v>
      </c>
      <c r="K1958" s="8" t="str">
        <f>_xlfn.XLOOKUP(D1958,Master[Product_Code],Master[Color])</f>
        <v>Bottle Green</v>
      </c>
      <c r="L1958" s="3">
        <f>_xlfn.XLOOKUP(D1958,Master[Product_Code],Master[Selling_Price])</f>
        <v>180</v>
      </c>
    </row>
    <row r="1959" spans="2:12">
      <c r="B1959" s="2" t="s">
        <v>2570</v>
      </c>
      <c r="C1959" s="7">
        <v>45994</v>
      </c>
      <c r="D1959" s="2" t="s">
        <v>70</v>
      </c>
      <c r="E1959" s="4">
        <v>1</v>
      </c>
      <c r="F1959" s="8" t="str">
        <f>_xlfn.XLOOKUP(D1959,Master[Product_Code],Master[Category])</f>
        <v>Shirt</v>
      </c>
      <c r="G1959" s="8" t="str">
        <f>_xlfn.XLOOKUP(D1959,Master[Product_Code],Master[Brand])</f>
        <v>Thailand</v>
      </c>
      <c r="H1959" s="8" t="str">
        <f>_xlfn.XLOOKUP(D1959,Master[Product_Code],Master[Style])</f>
        <v>Formal</v>
      </c>
      <c r="I1959" s="8" t="str">
        <f>_xlfn.XLOOKUP(D1959,Master[Product_Code],Master[Fabric])</f>
        <v>Cotton</v>
      </c>
      <c r="J1959" s="8" t="str">
        <f>_xlfn.XLOOKUP(D1959,Master[Product_Code],Master[Size])</f>
        <v>M</v>
      </c>
      <c r="K1959" s="8" t="str">
        <f>_xlfn.XLOOKUP(D1959,Master[Product_Code],Master[Color])</f>
        <v>Light Grey</v>
      </c>
      <c r="L1959" s="3">
        <f>_xlfn.XLOOKUP(D1959,Master[Product_Code],Master[Selling_Price])</f>
        <v>760</v>
      </c>
    </row>
    <row r="1960" spans="2:12">
      <c r="B1960" s="2" t="s">
        <v>2570</v>
      </c>
      <c r="C1960" s="7">
        <v>45994</v>
      </c>
      <c r="D1960" s="2" t="s">
        <v>311</v>
      </c>
      <c r="E1960" s="4">
        <v>1</v>
      </c>
      <c r="F1960" s="8" t="str">
        <f>_xlfn.XLOOKUP(D1960,Master[Product_Code],Master[Category])</f>
        <v>Shirt</v>
      </c>
      <c r="G1960" s="8" t="str">
        <f>_xlfn.XLOOKUP(D1960,Master[Product_Code],Master[Brand])</f>
        <v>Zara</v>
      </c>
      <c r="H1960" s="8" t="str">
        <f>_xlfn.XLOOKUP(D1960,Master[Product_Code],Master[Style])</f>
        <v>Formal</v>
      </c>
      <c r="I1960" s="8" t="str">
        <f>_xlfn.XLOOKUP(D1960,Master[Product_Code],Master[Fabric])</f>
        <v>Polyester</v>
      </c>
      <c r="J1960" s="8" t="str">
        <f>_xlfn.XLOOKUP(D1960,Master[Product_Code],Master[Size])</f>
        <v>L</v>
      </c>
      <c r="K1960" s="8" t="str">
        <f>_xlfn.XLOOKUP(D1960,Master[Product_Code],Master[Color])</f>
        <v>Wine</v>
      </c>
      <c r="L1960" s="3">
        <f>_xlfn.XLOOKUP(D1960,Master[Product_Code],Master[Selling_Price])</f>
        <v>730</v>
      </c>
    </row>
    <row r="1961" spans="2:12">
      <c r="B1961" s="2" t="s">
        <v>2570</v>
      </c>
      <c r="C1961" s="7">
        <v>45994</v>
      </c>
      <c r="D1961" s="2" t="s">
        <v>179</v>
      </c>
      <c r="E1961" s="4">
        <v>1</v>
      </c>
      <c r="F1961" s="8" t="str">
        <f>_xlfn.XLOOKUP(D1961,Master[Product_Code],Master[Category])</f>
        <v>Shirt</v>
      </c>
      <c r="G1961" s="8" t="str">
        <f>_xlfn.XLOOKUP(D1961,Master[Product_Code],Master[Brand])</f>
        <v>USD</v>
      </c>
      <c r="H1961" s="8" t="str">
        <f>_xlfn.XLOOKUP(D1961,Master[Product_Code],Master[Style])</f>
        <v>Casual</v>
      </c>
      <c r="I1961" s="8" t="str">
        <f>_xlfn.XLOOKUP(D1961,Master[Product_Code],Master[Fabric])</f>
        <v>Polyester</v>
      </c>
      <c r="J1961" s="8" t="str">
        <f>_xlfn.XLOOKUP(D1961,Master[Product_Code],Master[Size])</f>
        <v>L</v>
      </c>
      <c r="K1961" s="8" t="str">
        <f>_xlfn.XLOOKUP(D1961,Master[Product_Code],Master[Color])</f>
        <v>Olive</v>
      </c>
      <c r="L1961" s="3">
        <f>_xlfn.XLOOKUP(D1961,Master[Product_Code],Master[Selling_Price])</f>
        <v>900</v>
      </c>
    </row>
    <row r="1962" spans="2:12">
      <c r="B1962" s="2" t="s">
        <v>2571</v>
      </c>
      <c r="C1962" s="7">
        <v>45994</v>
      </c>
      <c r="D1962" s="2" t="s">
        <v>584</v>
      </c>
      <c r="E1962" s="4">
        <v>1</v>
      </c>
      <c r="F1962" s="8" t="str">
        <f>_xlfn.XLOOKUP(D1962,Master[Product_Code],Master[Category])</f>
        <v>T-Shirt</v>
      </c>
      <c r="G1962" s="8" t="str">
        <f>_xlfn.XLOOKUP(D1962,Master[Product_Code],Master[Brand])</f>
        <v>Campus</v>
      </c>
      <c r="H1962" s="8" t="str">
        <f>_xlfn.XLOOKUP(D1962,Master[Product_Code],Master[Style])</f>
        <v>Sleeveless</v>
      </c>
      <c r="I1962" s="8" t="str">
        <f>_xlfn.XLOOKUP(D1962,Master[Product_Code],Master[Fabric])</f>
        <v>Poly Cotton</v>
      </c>
      <c r="J1962" s="8" t="str">
        <f>_xlfn.XLOOKUP(D1962,Master[Product_Code],Master[Size])</f>
        <v>S</v>
      </c>
      <c r="K1962" s="8" t="str">
        <f>_xlfn.XLOOKUP(D1962,Master[Product_Code],Master[Color])</f>
        <v>Mustard</v>
      </c>
      <c r="L1962" s="3">
        <f>_xlfn.XLOOKUP(D1962,Master[Product_Code],Master[Selling_Price])</f>
        <v>480</v>
      </c>
    </row>
    <row r="1963" spans="2:12">
      <c r="B1963" s="2" t="s">
        <v>2572</v>
      </c>
      <c r="C1963" s="7">
        <v>45994</v>
      </c>
      <c r="D1963" s="2" t="s">
        <v>148</v>
      </c>
      <c r="E1963" s="4">
        <v>1</v>
      </c>
      <c r="F1963" s="8" t="str">
        <f>_xlfn.XLOOKUP(D1963,Master[Product_Code],Master[Category])</f>
        <v>Shirt</v>
      </c>
      <c r="G1963" s="8" t="str">
        <f>_xlfn.XLOOKUP(D1963,Master[Product_Code],Master[Brand])</f>
        <v>Thailand</v>
      </c>
      <c r="H1963" s="8" t="str">
        <f>_xlfn.XLOOKUP(D1963,Master[Product_Code],Master[Style])</f>
        <v>Partywear</v>
      </c>
      <c r="I1963" s="8" t="str">
        <f>_xlfn.XLOOKUP(D1963,Master[Product_Code],Master[Fabric])</f>
        <v>Cotton</v>
      </c>
      <c r="J1963" s="8" t="str">
        <f>_xlfn.XLOOKUP(D1963,Master[Product_Code],Master[Size])</f>
        <v>XXL</v>
      </c>
      <c r="K1963" s="8" t="str">
        <f>_xlfn.XLOOKUP(D1963,Master[Product_Code],Master[Color])</f>
        <v>White</v>
      </c>
      <c r="L1963" s="3">
        <f>_xlfn.XLOOKUP(D1963,Master[Product_Code],Master[Selling_Price])</f>
        <v>670</v>
      </c>
    </row>
    <row r="1964" spans="2:12">
      <c r="B1964" s="2" t="s">
        <v>2572</v>
      </c>
      <c r="C1964" s="7">
        <v>45994</v>
      </c>
      <c r="D1964" s="2" t="s">
        <v>312</v>
      </c>
      <c r="E1964" s="4">
        <v>1</v>
      </c>
      <c r="F1964" s="8" t="str">
        <f>_xlfn.XLOOKUP(D1964,Master[Product_Code],Master[Category])</f>
        <v>Shirt</v>
      </c>
      <c r="G1964" s="8" t="str">
        <f>_xlfn.XLOOKUP(D1964,Master[Product_Code],Master[Brand])</f>
        <v>USD</v>
      </c>
      <c r="H1964" s="8" t="str">
        <f>_xlfn.XLOOKUP(D1964,Master[Product_Code],Master[Style])</f>
        <v>Partywear</v>
      </c>
      <c r="I1964" s="8" t="str">
        <f>_xlfn.XLOOKUP(D1964,Master[Product_Code],Master[Fabric])</f>
        <v>Polyester</v>
      </c>
      <c r="J1964" s="8" t="str">
        <f>_xlfn.XLOOKUP(D1964,Master[Product_Code],Master[Size])</f>
        <v>S</v>
      </c>
      <c r="K1964" s="8" t="str">
        <f>_xlfn.XLOOKUP(D1964,Master[Product_Code],Master[Color])</f>
        <v>Maroon</v>
      </c>
      <c r="L1964" s="3">
        <f>_xlfn.XLOOKUP(D1964,Master[Product_Code],Master[Selling_Price])</f>
        <v>640</v>
      </c>
    </row>
    <row r="1965" spans="2:12">
      <c r="B1965" s="2" t="s">
        <v>2572</v>
      </c>
      <c r="C1965" s="7">
        <v>45994</v>
      </c>
      <c r="D1965" s="2" t="s">
        <v>328</v>
      </c>
      <c r="E1965" s="4">
        <v>1</v>
      </c>
      <c r="F1965" s="8" t="str">
        <f>_xlfn.XLOOKUP(D1965,Master[Product_Code],Master[Category])</f>
        <v>Shirt</v>
      </c>
      <c r="G1965" s="8" t="str">
        <f>_xlfn.XLOOKUP(D1965,Master[Product_Code],Master[Brand])</f>
        <v>L7</v>
      </c>
      <c r="H1965" s="8" t="str">
        <f>_xlfn.XLOOKUP(D1965,Master[Product_Code],Master[Style])</f>
        <v>Casual</v>
      </c>
      <c r="I1965" s="8" t="str">
        <f>_xlfn.XLOOKUP(D1965,Master[Product_Code],Master[Fabric])</f>
        <v>Lycra</v>
      </c>
      <c r="J1965" s="8" t="str">
        <f>_xlfn.XLOOKUP(D1965,Master[Product_Code],Master[Size])</f>
        <v>XXL</v>
      </c>
      <c r="K1965" s="8" t="str">
        <f>_xlfn.XLOOKUP(D1965,Master[Product_Code],Master[Color])</f>
        <v>Beige</v>
      </c>
      <c r="L1965" s="3">
        <f>_xlfn.XLOOKUP(D1965,Master[Product_Code],Master[Selling_Price])</f>
        <v>930</v>
      </c>
    </row>
    <row r="1966" spans="2:12">
      <c r="B1966" s="2" t="s">
        <v>2573</v>
      </c>
      <c r="C1966" s="7">
        <v>45994</v>
      </c>
      <c r="D1966" s="2" t="s">
        <v>648</v>
      </c>
      <c r="E1966" s="4">
        <v>1</v>
      </c>
      <c r="F1966" s="8" t="str">
        <f>_xlfn.XLOOKUP(D1966,Master[Product_Code],Master[Category])</f>
        <v>T-Shirt</v>
      </c>
      <c r="G1966" s="8" t="str">
        <f>_xlfn.XLOOKUP(D1966,Master[Product_Code],Master[Brand])</f>
        <v>Thailand</v>
      </c>
      <c r="H1966" s="8" t="str">
        <f>_xlfn.XLOOKUP(D1966,Master[Product_Code],Master[Style])</f>
        <v>Half Sleeve</v>
      </c>
      <c r="I1966" s="8" t="str">
        <f>_xlfn.XLOOKUP(D1966,Master[Product_Code],Master[Fabric])</f>
        <v>Cotton</v>
      </c>
      <c r="J1966" s="8" t="str">
        <f>_xlfn.XLOOKUP(D1966,Master[Product_Code],Master[Size])</f>
        <v>L</v>
      </c>
      <c r="K1966" s="8" t="str">
        <f>_xlfn.XLOOKUP(D1966,Master[Product_Code],Master[Color])</f>
        <v>Charcoal</v>
      </c>
      <c r="L1966" s="3">
        <f>_xlfn.XLOOKUP(D1966,Master[Product_Code],Master[Selling_Price])</f>
        <v>700</v>
      </c>
    </row>
    <row r="1967" spans="2:12">
      <c r="B1967" s="2" t="s">
        <v>2573</v>
      </c>
      <c r="C1967" s="7">
        <v>45994</v>
      </c>
      <c r="D1967" s="2" t="s">
        <v>1485</v>
      </c>
      <c r="E1967" s="4">
        <v>1</v>
      </c>
      <c r="F1967" s="8" t="str">
        <f>_xlfn.XLOOKUP(D1967,Master[Product_Code],Master[Category])</f>
        <v>Innerwear</v>
      </c>
      <c r="G1967" s="8" t="str">
        <f>_xlfn.XLOOKUP(D1967,Master[Product_Code],Master[Brand])</f>
        <v>V Star</v>
      </c>
      <c r="H1967" s="8" t="str">
        <f>_xlfn.XLOOKUP(D1967,Master[Product_Code],Master[Style])</f>
        <v>V-Cut</v>
      </c>
      <c r="I1967" s="8" t="str">
        <f>_xlfn.XLOOKUP(D1967,Master[Product_Code],Master[Fabric])</f>
        <v>Cotton Blend</v>
      </c>
      <c r="J1967" s="8" t="str">
        <f>_xlfn.XLOOKUP(D1967,Master[Product_Code],Master[Size])</f>
        <v>75-80</v>
      </c>
      <c r="K1967" s="8" t="str">
        <f>_xlfn.XLOOKUP(D1967,Master[Product_Code],Master[Color])</f>
        <v>Sky Blue</v>
      </c>
      <c r="L1967" s="3">
        <f>_xlfn.XLOOKUP(D1967,Master[Product_Code],Master[Selling_Price])</f>
        <v>170</v>
      </c>
    </row>
    <row r="1968" spans="2:12">
      <c r="B1968" s="2" t="s">
        <v>2574</v>
      </c>
      <c r="C1968" s="7">
        <v>45995</v>
      </c>
      <c r="D1968" s="2" t="s">
        <v>152</v>
      </c>
      <c r="E1968" s="4">
        <v>1</v>
      </c>
      <c r="F1968" s="8" t="str">
        <f>_xlfn.XLOOKUP(D1968,Master[Product_Code],Master[Category])</f>
        <v>Shirt</v>
      </c>
      <c r="G1968" s="8" t="str">
        <f>_xlfn.XLOOKUP(D1968,Master[Product_Code],Master[Brand])</f>
        <v>Luke &amp; Burg</v>
      </c>
      <c r="H1968" s="8" t="str">
        <f>_xlfn.XLOOKUP(D1968,Master[Product_Code],Master[Style])</f>
        <v>Partywear</v>
      </c>
      <c r="I1968" s="8" t="str">
        <f>_xlfn.XLOOKUP(D1968,Master[Product_Code],Master[Fabric])</f>
        <v>Cotton Blend</v>
      </c>
      <c r="J1968" s="8" t="str">
        <f>_xlfn.XLOOKUP(D1968,Master[Product_Code],Master[Size])</f>
        <v>L</v>
      </c>
      <c r="K1968" s="8" t="str">
        <f>_xlfn.XLOOKUP(D1968,Master[Product_Code],Master[Color])</f>
        <v>Charcoal</v>
      </c>
      <c r="L1968" s="3">
        <f>_xlfn.XLOOKUP(D1968,Master[Product_Code],Master[Selling_Price])</f>
        <v>800</v>
      </c>
    </row>
    <row r="1969" spans="2:12">
      <c r="B1969" s="2" t="s">
        <v>2574</v>
      </c>
      <c r="C1969" s="7">
        <v>45995</v>
      </c>
      <c r="D1969" s="2" t="s">
        <v>1490</v>
      </c>
      <c r="E1969" s="4">
        <v>1</v>
      </c>
      <c r="F1969" s="8" t="str">
        <f>_xlfn.XLOOKUP(D1969,Master[Product_Code],Master[Category])</f>
        <v>Innerwear</v>
      </c>
      <c r="G1969" s="8" t="str">
        <f>_xlfn.XLOOKUP(D1969,Master[Product_Code],Master[Brand])</f>
        <v>Rupa</v>
      </c>
      <c r="H1969" s="8" t="str">
        <f>_xlfn.XLOOKUP(D1969,Master[Product_Code],Master[Style])</f>
        <v>Boxer</v>
      </c>
      <c r="I1969" s="8" t="str">
        <f>_xlfn.XLOOKUP(D1969,Master[Product_Code],Master[Fabric])</f>
        <v>Cotton Blend</v>
      </c>
      <c r="J1969" s="8" t="str">
        <f>_xlfn.XLOOKUP(D1969,Master[Product_Code],Master[Size])</f>
        <v>80-85</v>
      </c>
      <c r="K1969" s="8" t="str">
        <f>_xlfn.XLOOKUP(D1969,Master[Product_Code],Master[Color])</f>
        <v>Olive</v>
      </c>
      <c r="L1969" s="3">
        <f>_xlfn.XLOOKUP(D1969,Master[Product_Code],Master[Selling_Price])</f>
        <v>180</v>
      </c>
    </row>
    <row r="1970" spans="2:12">
      <c r="B1970" s="2" t="s">
        <v>2574</v>
      </c>
      <c r="C1970" s="7">
        <v>45995</v>
      </c>
      <c r="D1970" s="2" t="s">
        <v>730</v>
      </c>
      <c r="E1970" s="4">
        <v>1</v>
      </c>
      <c r="F1970" s="8" t="str">
        <f>_xlfn.XLOOKUP(D1970,Master[Product_Code],Master[Category])</f>
        <v>T-Shirt</v>
      </c>
      <c r="G1970" s="8" t="str">
        <f>_xlfn.XLOOKUP(D1970,Master[Product_Code],Master[Brand])</f>
        <v>Campus</v>
      </c>
      <c r="H1970" s="8" t="str">
        <f>_xlfn.XLOOKUP(D1970,Master[Product_Code],Master[Style])</f>
        <v>3/4 Sleeve</v>
      </c>
      <c r="I1970" s="8" t="str">
        <f>_xlfn.XLOOKUP(D1970,Master[Product_Code],Master[Fabric])</f>
        <v>Cotton Blend</v>
      </c>
      <c r="J1970" s="8" t="str">
        <f>_xlfn.XLOOKUP(D1970,Master[Product_Code],Master[Size])</f>
        <v>S</v>
      </c>
      <c r="K1970" s="8" t="str">
        <f>_xlfn.XLOOKUP(D1970,Master[Product_Code],Master[Color])</f>
        <v>Rust</v>
      </c>
      <c r="L1970" s="3">
        <f>_xlfn.XLOOKUP(D1970,Master[Product_Code],Master[Selling_Price])</f>
        <v>240</v>
      </c>
    </row>
    <row r="1971" spans="2:12">
      <c r="B1971" s="2" t="s">
        <v>2574</v>
      </c>
      <c r="C1971" s="7">
        <v>45995</v>
      </c>
      <c r="D1971" s="2" t="s">
        <v>370</v>
      </c>
      <c r="E1971" s="4">
        <v>1</v>
      </c>
      <c r="F1971" s="8" t="str">
        <f>_xlfn.XLOOKUP(D1971,Master[Product_Code],Master[Category])</f>
        <v>Shirt</v>
      </c>
      <c r="G1971" s="8" t="str">
        <f>_xlfn.XLOOKUP(D1971,Master[Product_Code],Master[Brand])</f>
        <v>L7</v>
      </c>
      <c r="H1971" s="8" t="str">
        <f>_xlfn.XLOOKUP(D1971,Master[Product_Code],Master[Style])</f>
        <v>Casual</v>
      </c>
      <c r="I1971" s="8" t="str">
        <f>_xlfn.XLOOKUP(D1971,Master[Product_Code],Master[Fabric])</f>
        <v>Cotton Blend</v>
      </c>
      <c r="J1971" s="8" t="str">
        <f>_xlfn.XLOOKUP(D1971,Master[Product_Code],Master[Size])</f>
        <v>XL</v>
      </c>
      <c r="K1971" s="8" t="str">
        <f>_xlfn.XLOOKUP(D1971,Master[Product_Code],Master[Color])</f>
        <v>Dark Green</v>
      </c>
      <c r="L1971" s="3">
        <f>_xlfn.XLOOKUP(D1971,Master[Product_Code],Master[Selling_Price])</f>
        <v>830</v>
      </c>
    </row>
    <row r="1972" spans="2:12">
      <c r="B1972" s="2" t="s">
        <v>2575</v>
      </c>
      <c r="C1972" s="7">
        <v>45995</v>
      </c>
      <c r="D1972" s="2" t="s">
        <v>1492</v>
      </c>
      <c r="E1972" s="4">
        <v>1</v>
      </c>
      <c r="F1972" s="8" t="str">
        <f>_xlfn.XLOOKUP(D1972,Master[Product_Code],Master[Category])</f>
        <v>Innerwear</v>
      </c>
      <c r="G1972" s="8" t="str">
        <f>_xlfn.XLOOKUP(D1972,Master[Product_Code],Master[Brand])</f>
        <v>Lux</v>
      </c>
      <c r="H1972" s="8" t="str">
        <f>_xlfn.XLOOKUP(D1972,Master[Product_Code],Master[Style])</f>
        <v>Boxer</v>
      </c>
      <c r="I1972" s="8" t="str">
        <f>_xlfn.XLOOKUP(D1972,Master[Product_Code],Master[Fabric])</f>
        <v>Cotton</v>
      </c>
      <c r="J1972" s="8" t="str">
        <f>_xlfn.XLOOKUP(D1972,Master[Product_Code],Master[Size])</f>
        <v>90-100</v>
      </c>
      <c r="K1972" s="8" t="str">
        <f>_xlfn.XLOOKUP(D1972,Master[Product_Code],Master[Color])</f>
        <v>Teal</v>
      </c>
      <c r="L1972" s="3">
        <f>_xlfn.XLOOKUP(D1972,Master[Product_Code],Master[Selling_Price])</f>
        <v>110</v>
      </c>
    </row>
    <row r="1973" spans="2:12">
      <c r="B1973" s="2" t="s">
        <v>2575</v>
      </c>
      <c r="C1973" s="7">
        <v>45995</v>
      </c>
      <c r="D1973" s="2" t="s">
        <v>111</v>
      </c>
      <c r="E1973" s="4">
        <v>1</v>
      </c>
      <c r="F1973" s="8" t="str">
        <f>_xlfn.XLOOKUP(D1973,Master[Product_Code],Master[Category])</f>
        <v>Shirt</v>
      </c>
      <c r="G1973" s="8" t="str">
        <f>_xlfn.XLOOKUP(D1973,Master[Product_Code],Master[Brand])</f>
        <v>USD</v>
      </c>
      <c r="H1973" s="8" t="str">
        <f>_xlfn.XLOOKUP(D1973,Master[Product_Code],Master[Style])</f>
        <v>Partywear</v>
      </c>
      <c r="I1973" s="8" t="str">
        <f>_xlfn.XLOOKUP(D1973,Master[Product_Code],Master[Fabric])</f>
        <v>Cotton</v>
      </c>
      <c r="J1973" s="8" t="str">
        <f>_xlfn.XLOOKUP(D1973,Master[Product_Code],Master[Size])</f>
        <v>XL</v>
      </c>
      <c r="K1973" s="8" t="str">
        <f>_xlfn.XLOOKUP(D1973,Master[Product_Code],Master[Color])</f>
        <v>White</v>
      </c>
      <c r="L1973" s="3">
        <f>_xlfn.XLOOKUP(D1973,Master[Product_Code],Master[Selling_Price])</f>
        <v>720</v>
      </c>
    </row>
    <row r="1974" spans="2:12">
      <c r="B1974" s="2" t="s">
        <v>2575</v>
      </c>
      <c r="C1974" s="7">
        <v>45995</v>
      </c>
      <c r="D1974" s="2" t="s">
        <v>11</v>
      </c>
      <c r="E1974" s="4">
        <v>1</v>
      </c>
      <c r="F1974" s="8" t="str">
        <f>_xlfn.XLOOKUP(D1974,Master[Product_Code],Master[Category])</f>
        <v>Shirt</v>
      </c>
      <c r="G1974" s="8" t="str">
        <f>_xlfn.XLOOKUP(D1974,Master[Product_Code],Master[Brand])</f>
        <v>L7</v>
      </c>
      <c r="H1974" s="8" t="str">
        <f>_xlfn.XLOOKUP(D1974,Master[Product_Code],Master[Style])</f>
        <v>Formal</v>
      </c>
      <c r="I1974" s="8" t="str">
        <f>_xlfn.XLOOKUP(D1974,Master[Product_Code],Master[Fabric])</f>
        <v>Cotton Blend</v>
      </c>
      <c r="J1974" s="8" t="str">
        <f>_xlfn.XLOOKUP(D1974,Master[Product_Code],Master[Size])</f>
        <v>M</v>
      </c>
      <c r="K1974" s="8" t="str">
        <f>_xlfn.XLOOKUP(D1974,Master[Product_Code],Master[Color])</f>
        <v>Charcoal</v>
      </c>
      <c r="L1974" s="3">
        <f>_xlfn.XLOOKUP(D1974,Master[Product_Code],Master[Selling_Price])</f>
        <v>860</v>
      </c>
    </row>
    <row r="1975" spans="2:12">
      <c r="B1975" s="2" t="s">
        <v>2576</v>
      </c>
      <c r="C1975" s="7">
        <v>45995</v>
      </c>
      <c r="D1975" s="2" t="s">
        <v>1654</v>
      </c>
      <c r="E1975" s="4">
        <v>1</v>
      </c>
      <c r="F1975" s="8" t="str">
        <f>_xlfn.XLOOKUP(D1975,Master[Product_Code],Master[Category])</f>
        <v>Innerwear</v>
      </c>
      <c r="G1975" s="8" t="str">
        <f>_xlfn.XLOOKUP(D1975,Master[Product_Code],Master[Brand])</f>
        <v>Rupa</v>
      </c>
      <c r="H1975" s="8" t="str">
        <f>_xlfn.XLOOKUP(D1975,Master[Product_Code],Master[Style])</f>
        <v>Boxer</v>
      </c>
      <c r="I1975" s="8" t="str">
        <f>_xlfn.XLOOKUP(D1975,Master[Product_Code],Master[Fabric])</f>
        <v>Cotton</v>
      </c>
      <c r="J1975" s="8" t="str">
        <f>_xlfn.XLOOKUP(D1975,Master[Product_Code],Master[Size])</f>
        <v>90-100</v>
      </c>
      <c r="K1975" s="8" t="str">
        <f>_xlfn.XLOOKUP(D1975,Master[Product_Code],Master[Color])</f>
        <v>Olive</v>
      </c>
      <c r="L1975" s="3">
        <f>_xlfn.XLOOKUP(D1975,Master[Product_Code],Master[Selling_Price])</f>
        <v>160</v>
      </c>
    </row>
    <row r="1976" spans="2:12">
      <c r="B1976" s="2" t="s">
        <v>2576</v>
      </c>
      <c r="C1976" s="7">
        <v>45995</v>
      </c>
      <c r="D1976" s="2" t="s">
        <v>1644</v>
      </c>
      <c r="E1976" s="4">
        <v>1</v>
      </c>
      <c r="F1976" s="8" t="str">
        <f>_xlfn.XLOOKUP(D1976,Master[Product_Code],Master[Category])</f>
        <v>Innerwear</v>
      </c>
      <c r="G1976" s="8" t="str">
        <f>_xlfn.XLOOKUP(D1976,Master[Product_Code],Master[Brand])</f>
        <v>Jockey</v>
      </c>
      <c r="H1976" s="8" t="str">
        <f>_xlfn.XLOOKUP(D1976,Master[Product_Code],Master[Style])</f>
        <v>Boxer</v>
      </c>
      <c r="I1976" s="8" t="str">
        <f>_xlfn.XLOOKUP(D1976,Master[Product_Code],Master[Fabric])</f>
        <v>Cotton</v>
      </c>
      <c r="J1976" s="8" t="str">
        <f>_xlfn.XLOOKUP(D1976,Master[Product_Code],Master[Size])</f>
        <v>80-85</v>
      </c>
      <c r="K1976" s="8" t="str">
        <f>_xlfn.XLOOKUP(D1976,Master[Product_Code],Master[Color])</f>
        <v>Black</v>
      </c>
      <c r="L1976" s="3">
        <f>_xlfn.XLOOKUP(D1976,Master[Product_Code],Master[Selling_Price])</f>
        <v>170</v>
      </c>
    </row>
    <row r="1977" spans="2:12">
      <c r="B1977" s="2" t="s">
        <v>2576</v>
      </c>
      <c r="C1977" s="7">
        <v>45995</v>
      </c>
      <c r="D1977" s="2" t="s">
        <v>1359</v>
      </c>
      <c r="E1977" s="4">
        <v>1</v>
      </c>
      <c r="F1977" s="8" t="str">
        <f>_xlfn.XLOOKUP(D1977,Master[Product_Code],Master[Category])</f>
        <v>Pants</v>
      </c>
      <c r="G1977" s="8" t="str">
        <f>_xlfn.XLOOKUP(D1977,Master[Product_Code],Master[Brand])</f>
        <v>Louis Philippe</v>
      </c>
      <c r="H1977" s="8" t="str">
        <f>_xlfn.XLOOKUP(D1977,Master[Product_Code],Master[Style])</f>
        <v>Korean</v>
      </c>
      <c r="I1977" s="8" t="str">
        <f>_xlfn.XLOOKUP(D1977,Master[Product_Code],Master[Fabric])</f>
        <v>Lycra</v>
      </c>
      <c r="J1977" s="8">
        <f>_xlfn.XLOOKUP(D1977,Master[Product_Code],Master[Size])</f>
        <v>42</v>
      </c>
      <c r="K1977" s="8" t="str">
        <f>_xlfn.XLOOKUP(D1977,Master[Product_Code],Master[Color])</f>
        <v>Royal Blue</v>
      </c>
      <c r="L1977" s="3">
        <f>_xlfn.XLOOKUP(D1977,Master[Product_Code],Master[Selling_Price])</f>
        <v>900</v>
      </c>
    </row>
    <row r="1978" spans="2:12">
      <c r="B1978" s="2" t="s">
        <v>2577</v>
      </c>
      <c r="C1978" s="7">
        <v>45995</v>
      </c>
      <c r="D1978" s="2" t="s">
        <v>99</v>
      </c>
      <c r="E1978" s="4">
        <v>1</v>
      </c>
      <c r="F1978" s="8" t="str">
        <f>_xlfn.XLOOKUP(D1978,Master[Product_Code],Master[Category])</f>
        <v>Shirt</v>
      </c>
      <c r="G1978" s="8" t="str">
        <f>_xlfn.XLOOKUP(D1978,Master[Product_Code],Master[Brand])</f>
        <v>H&amp;M</v>
      </c>
      <c r="H1978" s="8" t="str">
        <f>_xlfn.XLOOKUP(D1978,Master[Product_Code],Master[Style])</f>
        <v>Formal</v>
      </c>
      <c r="I1978" s="8" t="str">
        <f>_xlfn.XLOOKUP(D1978,Master[Product_Code],Master[Fabric])</f>
        <v>Cotton Blend</v>
      </c>
      <c r="J1978" s="8" t="str">
        <f>_xlfn.XLOOKUP(D1978,Master[Product_Code],Master[Size])</f>
        <v>S</v>
      </c>
      <c r="K1978" s="8" t="str">
        <f>_xlfn.XLOOKUP(D1978,Master[Product_Code],Master[Color])</f>
        <v>Maroon</v>
      </c>
      <c r="L1978" s="3">
        <f>_xlfn.XLOOKUP(D1978,Master[Product_Code],Master[Selling_Price])</f>
        <v>850</v>
      </c>
    </row>
    <row r="1979" spans="2:12">
      <c r="B1979" s="2" t="s">
        <v>2578</v>
      </c>
      <c r="C1979" s="7">
        <v>45995</v>
      </c>
      <c r="D1979" s="2" t="s">
        <v>1666</v>
      </c>
      <c r="E1979" s="4">
        <v>1</v>
      </c>
      <c r="F1979" s="8" t="str">
        <f>_xlfn.XLOOKUP(D1979,Master[Product_Code],Master[Category])</f>
        <v>Innerwear</v>
      </c>
      <c r="G1979" s="8" t="str">
        <f>_xlfn.XLOOKUP(D1979,Master[Product_Code],Master[Brand])</f>
        <v>Jockey</v>
      </c>
      <c r="H1979" s="8" t="str">
        <f>_xlfn.XLOOKUP(D1979,Master[Product_Code],Master[Style])</f>
        <v>V-Cut</v>
      </c>
      <c r="I1979" s="8" t="str">
        <f>_xlfn.XLOOKUP(D1979,Master[Product_Code],Master[Fabric])</f>
        <v>Cotton Blend</v>
      </c>
      <c r="J1979" s="8" t="str">
        <f>_xlfn.XLOOKUP(D1979,Master[Product_Code],Master[Size])</f>
        <v>80-85</v>
      </c>
      <c r="K1979" s="8" t="str">
        <f>_xlfn.XLOOKUP(D1979,Master[Product_Code],Master[Color])</f>
        <v>Sky Blue</v>
      </c>
      <c r="L1979" s="3">
        <f>_xlfn.XLOOKUP(D1979,Master[Product_Code],Master[Selling_Price])</f>
        <v>140</v>
      </c>
    </row>
    <row r="1980" spans="2:12">
      <c r="B1980" s="2" t="s">
        <v>2578</v>
      </c>
      <c r="C1980" s="7">
        <v>45995</v>
      </c>
      <c r="D1980" s="2" t="s">
        <v>1364</v>
      </c>
      <c r="E1980" s="4">
        <v>1</v>
      </c>
      <c r="F1980" s="8" t="str">
        <f>_xlfn.XLOOKUP(D1980,Master[Product_Code],Master[Category])</f>
        <v>Pants</v>
      </c>
      <c r="G1980" s="8" t="str">
        <f>_xlfn.XLOOKUP(D1980,Master[Product_Code],Master[Brand])</f>
        <v>Park Avenue</v>
      </c>
      <c r="H1980" s="8" t="str">
        <f>_xlfn.XLOOKUP(D1980,Master[Product_Code],Master[Style])</f>
        <v>Polofit</v>
      </c>
      <c r="I1980" s="8" t="str">
        <f>_xlfn.XLOOKUP(D1980,Master[Product_Code],Master[Fabric])</f>
        <v>Lycra</v>
      </c>
      <c r="J1980" s="8">
        <f>_xlfn.XLOOKUP(D1980,Master[Product_Code],Master[Size])</f>
        <v>44</v>
      </c>
      <c r="K1980" s="8" t="str">
        <f>_xlfn.XLOOKUP(D1980,Master[Product_Code],Master[Color])</f>
        <v>Light Grey</v>
      </c>
      <c r="L1980" s="3">
        <f>_xlfn.XLOOKUP(D1980,Master[Product_Code],Master[Selling_Price])</f>
        <v>930</v>
      </c>
    </row>
    <row r="1981" spans="2:12">
      <c r="B1981" s="2" t="s">
        <v>2578</v>
      </c>
      <c r="C1981" s="7">
        <v>45995</v>
      </c>
      <c r="D1981" s="2" t="s">
        <v>1402</v>
      </c>
      <c r="E1981" s="4">
        <v>1</v>
      </c>
      <c r="F1981" s="8" t="str">
        <f>_xlfn.XLOOKUP(D1981,Master[Product_Code],Master[Category])</f>
        <v>Pants</v>
      </c>
      <c r="G1981" s="8" t="str">
        <f>_xlfn.XLOOKUP(D1981,Master[Product_Code],Master[Brand])</f>
        <v>Louis Philippe</v>
      </c>
      <c r="H1981" s="8" t="str">
        <f>_xlfn.XLOOKUP(D1981,Master[Product_Code],Master[Style])</f>
        <v>Kurka</v>
      </c>
      <c r="I1981" s="8" t="str">
        <f>_xlfn.XLOOKUP(D1981,Master[Product_Code],Master[Fabric])</f>
        <v>Lycra</v>
      </c>
      <c r="J1981" s="8">
        <f>_xlfn.XLOOKUP(D1981,Master[Product_Code],Master[Size])</f>
        <v>30</v>
      </c>
      <c r="K1981" s="8" t="str">
        <f>_xlfn.XLOOKUP(D1981,Master[Product_Code],Master[Color])</f>
        <v>Light Grey</v>
      </c>
      <c r="L1981" s="3">
        <f>_xlfn.XLOOKUP(D1981,Master[Product_Code],Master[Selling_Price])</f>
        <v>700</v>
      </c>
    </row>
    <row r="1982" spans="2:12">
      <c r="B1982" s="2" t="s">
        <v>2578</v>
      </c>
      <c r="C1982" s="7">
        <v>45995</v>
      </c>
      <c r="D1982" s="2" t="s">
        <v>63</v>
      </c>
      <c r="E1982" s="4">
        <v>1</v>
      </c>
      <c r="F1982" s="8" t="str">
        <f>_xlfn.XLOOKUP(D1982,Master[Product_Code],Master[Category])</f>
        <v>Shirt</v>
      </c>
      <c r="G1982" s="8" t="str">
        <f>_xlfn.XLOOKUP(D1982,Master[Product_Code],Master[Brand])</f>
        <v>British</v>
      </c>
      <c r="H1982" s="8" t="str">
        <f>_xlfn.XLOOKUP(D1982,Master[Product_Code],Master[Style])</f>
        <v>Formal</v>
      </c>
      <c r="I1982" s="8" t="str">
        <f>_xlfn.XLOOKUP(D1982,Master[Product_Code],Master[Fabric])</f>
        <v>Cotton Blend</v>
      </c>
      <c r="J1982" s="8" t="str">
        <f>_xlfn.XLOOKUP(D1982,Master[Product_Code],Master[Size])</f>
        <v>XL</v>
      </c>
      <c r="K1982" s="8" t="str">
        <f>_xlfn.XLOOKUP(D1982,Master[Product_Code],Master[Color])</f>
        <v>Olive</v>
      </c>
      <c r="L1982" s="3">
        <f>_xlfn.XLOOKUP(D1982,Master[Product_Code],Master[Selling_Price])</f>
        <v>900</v>
      </c>
    </row>
    <row r="1983" spans="2:12">
      <c r="B1983" s="2" t="s">
        <v>2579</v>
      </c>
      <c r="C1983" s="7">
        <v>45995</v>
      </c>
      <c r="D1983" s="2" t="s">
        <v>788</v>
      </c>
      <c r="E1983" s="4">
        <v>1</v>
      </c>
      <c r="F1983" s="8" t="str">
        <f>_xlfn.XLOOKUP(D1983,Master[Product_Code],Master[Category])</f>
        <v>T-Shirt</v>
      </c>
      <c r="G1983" s="8" t="str">
        <f>_xlfn.XLOOKUP(D1983,Master[Product_Code],Master[Brand])</f>
        <v>Turkey</v>
      </c>
      <c r="H1983" s="8" t="str">
        <f>_xlfn.XLOOKUP(D1983,Master[Product_Code],Master[Style])</f>
        <v>Half Sleeve</v>
      </c>
      <c r="I1983" s="8" t="str">
        <f>_xlfn.XLOOKUP(D1983,Master[Product_Code],Master[Fabric])</f>
        <v>Poly Cotton</v>
      </c>
      <c r="J1983" s="8" t="str">
        <f>_xlfn.XLOOKUP(D1983,Master[Product_Code],Master[Size])</f>
        <v>S</v>
      </c>
      <c r="K1983" s="8" t="str">
        <f>_xlfn.XLOOKUP(D1983,Master[Product_Code],Master[Color])</f>
        <v>Light Grey</v>
      </c>
      <c r="L1983" s="3">
        <f>_xlfn.XLOOKUP(D1983,Master[Product_Code],Master[Selling_Price])</f>
        <v>390</v>
      </c>
    </row>
    <row r="1984" spans="2:12">
      <c r="B1984" s="2" t="s">
        <v>2579</v>
      </c>
      <c r="C1984" s="7">
        <v>45995</v>
      </c>
      <c r="D1984" s="2" t="s">
        <v>1036</v>
      </c>
      <c r="E1984" s="4">
        <v>1</v>
      </c>
      <c r="F1984" s="8" t="str">
        <f>_xlfn.XLOOKUP(D1984,Master[Product_Code],Master[Category])</f>
        <v>Jeans</v>
      </c>
      <c r="G1984" s="8" t="str">
        <f>_xlfn.XLOOKUP(D1984,Master[Product_Code],Master[Brand])</f>
        <v>Locomotive</v>
      </c>
      <c r="H1984" s="8" t="str">
        <f>_xlfn.XLOOKUP(D1984,Master[Product_Code],Master[Style])</f>
        <v>Mom Fit</v>
      </c>
      <c r="I1984" s="8" t="str">
        <f>_xlfn.XLOOKUP(D1984,Master[Product_Code],Master[Fabric])</f>
        <v>Denim</v>
      </c>
      <c r="J1984" s="8">
        <f>_xlfn.XLOOKUP(D1984,Master[Product_Code],Master[Size])</f>
        <v>42</v>
      </c>
      <c r="K1984" s="8" t="str">
        <f>_xlfn.XLOOKUP(D1984,Master[Product_Code],Master[Color])</f>
        <v>Navy Blue</v>
      </c>
      <c r="L1984" s="3">
        <f>_xlfn.XLOOKUP(D1984,Master[Product_Code],Master[Selling_Price])</f>
        <v>960</v>
      </c>
    </row>
    <row r="1985" spans="2:12">
      <c r="B1985" s="2" t="s">
        <v>2579</v>
      </c>
      <c r="C1985" s="7">
        <v>45995</v>
      </c>
      <c r="D1985" s="2" t="s">
        <v>534</v>
      </c>
      <c r="E1985" s="4">
        <v>1</v>
      </c>
      <c r="F1985" s="8" t="str">
        <f>_xlfn.XLOOKUP(D1985,Master[Product_Code],Master[Category])</f>
        <v>T-Shirt</v>
      </c>
      <c r="G1985" s="8" t="str">
        <f>_xlfn.XLOOKUP(D1985,Master[Product_Code],Master[Brand])</f>
        <v>Zara</v>
      </c>
      <c r="H1985" s="8" t="str">
        <f>_xlfn.XLOOKUP(D1985,Master[Product_Code],Master[Style])</f>
        <v>Sleeveless</v>
      </c>
      <c r="I1985" s="8" t="str">
        <f>_xlfn.XLOOKUP(D1985,Master[Product_Code],Master[Fabric])</f>
        <v>Cotton</v>
      </c>
      <c r="J1985" s="8" t="str">
        <f>_xlfn.XLOOKUP(D1985,Master[Product_Code],Master[Size])</f>
        <v>XL</v>
      </c>
      <c r="K1985" s="8" t="str">
        <f>_xlfn.XLOOKUP(D1985,Master[Product_Code],Master[Color])</f>
        <v>Royal Blue</v>
      </c>
      <c r="L1985" s="3">
        <f>_xlfn.XLOOKUP(D1985,Master[Product_Code],Master[Selling_Price])</f>
        <v>380</v>
      </c>
    </row>
    <row r="1986" spans="2:12">
      <c r="B1986" s="2" t="s">
        <v>2579</v>
      </c>
      <c r="C1986" s="7">
        <v>45995</v>
      </c>
      <c r="D1986" s="2" t="s">
        <v>1584</v>
      </c>
      <c r="E1986" s="4">
        <v>1</v>
      </c>
      <c r="F1986" s="8" t="str">
        <f>_xlfn.XLOOKUP(D1986,Master[Product_Code],Master[Category])</f>
        <v>Innerwear</v>
      </c>
      <c r="G1986" s="8" t="str">
        <f>_xlfn.XLOOKUP(D1986,Master[Product_Code],Master[Brand])</f>
        <v>Lux</v>
      </c>
      <c r="H1986" s="8" t="str">
        <f>_xlfn.XLOOKUP(D1986,Master[Product_Code],Master[Style])</f>
        <v>Boxer</v>
      </c>
      <c r="I1986" s="8" t="str">
        <f>_xlfn.XLOOKUP(D1986,Master[Product_Code],Master[Fabric])</f>
        <v>Cotton Blend</v>
      </c>
      <c r="J1986" s="8" t="str">
        <f>_xlfn.XLOOKUP(D1986,Master[Product_Code],Master[Size])</f>
        <v>80-85</v>
      </c>
      <c r="K1986" s="8" t="str">
        <f>_xlfn.XLOOKUP(D1986,Master[Product_Code],Master[Color])</f>
        <v>Light Grey</v>
      </c>
      <c r="L1986" s="3">
        <f>_xlfn.XLOOKUP(D1986,Master[Product_Code],Master[Selling_Price])</f>
        <v>150</v>
      </c>
    </row>
    <row r="1987" spans="2:12">
      <c r="B1987" s="2" t="s">
        <v>2580</v>
      </c>
      <c r="C1987" s="7">
        <v>45995</v>
      </c>
      <c r="D1987" s="2" t="s">
        <v>91</v>
      </c>
      <c r="E1987" s="4">
        <v>1</v>
      </c>
      <c r="F1987" s="8" t="str">
        <f>_xlfn.XLOOKUP(D1987,Master[Product_Code],Master[Category])</f>
        <v>Shirt</v>
      </c>
      <c r="G1987" s="8" t="str">
        <f>_xlfn.XLOOKUP(D1987,Master[Product_Code],Master[Brand])</f>
        <v>H&amp;M</v>
      </c>
      <c r="H1987" s="8" t="str">
        <f>_xlfn.XLOOKUP(D1987,Master[Product_Code],Master[Style])</f>
        <v>Formal</v>
      </c>
      <c r="I1987" s="8" t="str">
        <f>_xlfn.XLOOKUP(D1987,Master[Product_Code],Master[Fabric])</f>
        <v>Lycra</v>
      </c>
      <c r="J1987" s="8" t="str">
        <f>_xlfn.XLOOKUP(D1987,Master[Product_Code],Master[Size])</f>
        <v>S</v>
      </c>
      <c r="K1987" s="8" t="str">
        <f>_xlfn.XLOOKUP(D1987,Master[Product_Code],Master[Color])</f>
        <v>Royal Blue</v>
      </c>
      <c r="L1987" s="3">
        <f>_xlfn.XLOOKUP(D1987,Master[Product_Code],Master[Selling_Price])</f>
        <v>650</v>
      </c>
    </row>
    <row r="1988" spans="2:12">
      <c r="B1988" s="2" t="s">
        <v>2580</v>
      </c>
      <c r="C1988" s="7">
        <v>45995</v>
      </c>
      <c r="D1988" s="2" t="s">
        <v>1598</v>
      </c>
      <c r="E1988" s="4">
        <v>1</v>
      </c>
      <c r="F1988" s="8" t="str">
        <f>_xlfn.XLOOKUP(D1988,Master[Product_Code],Master[Category])</f>
        <v>Innerwear</v>
      </c>
      <c r="G1988" s="8" t="str">
        <f>_xlfn.XLOOKUP(D1988,Master[Product_Code],Master[Brand])</f>
        <v>V Star</v>
      </c>
      <c r="H1988" s="8" t="str">
        <f>_xlfn.XLOOKUP(D1988,Master[Product_Code],Master[Style])</f>
        <v>V-Cut</v>
      </c>
      <c r="I1988" s="8" t="str">
        <f>_xlfn.XLOOKUP(D1988,Master[Product_Code],Master[Fabric])</f>
        <v>Cotton Blend</v>
      </c>
      <c r="J1988" s="8" t="str">
        <f>_xlfn.XLOOKUP(D1988,Master[Product_Code],Master[Size])</f>
        <v>75-80</v>
      </c>
      <c r="K1988" s="8" t="str">
        <f>_xlfn.XLOOKUP(D1988,Master[Product_Code],Master[Color])</f>
        <v>Wine</v>
      </c>
      <c r="L1988" s="3">
        <f>_xlfn.XLOOKUP(D1988,Master[Product_Code],Master[Selling_Price])</f>
        <v>180</v>
      </c>
    </row>
    <row r="1989" spans="2:12">
      <c r="B1989" s="2" t="s">
        <v>2581</v>
      </c>
      <c r="C1989" s="7">
        <v>45995</v>
      </c>
      <c r="D1989" s="2" t="s">
        <v>747</v>
      </c>
      <c r="E1989" s="4">
        <v>1</v>
      </c>
      <c r="F1989" s="8" t="str">
        <f>_xlfn.XLOOKUP(D1989,Master[Product_Code],Master[Category])</f>
        <v>T-Shirt</v>
      </c>
      <c r="G1989" s="8" t="str">
        <f>_xlfn.XLOOKUP(D1989,Master[Product_Code],Master[Brand])</f>
        <v>Turkey</v>
      </c>
      <c r="H1989" s="8" t="str">
        <f>_xlfn.XLOOKUP(D1989,Master[Product_Code],Master[Style])</f>
        <v>Full Sleeve</v>
      </c>
      <c r="I1989" s="8" t="str">
        <f>_xlfn.XLOOKUP(D1989,Master[Product_Code],Master[Fabric])</f>
        <v>Poly Cotton</v>
      </c>
      <c r="J1989" s="8" t="str">
        <f>_xlfn.XLOOKUP(D1989,Master[Product_Code],Master[Size])</f>
        <v>L</v>
      </c>
      <c r="K1989" s="8" t="str">
        <f>_xlfn.XLOOKUP(D1989,Master[Product_Code],Master[Color])</f>
        <v>Grey</v>
      </c>
      <c r="L1989" s="3">
        <f>_xlfn.XLOOKUP(D1989,Master[Product_Code],Master[Selling_Price])</f>
        <v>320</v>
      </c>
    </row>
    <row r="1990" spans="2:12">
      <c r="B1990" s="2" t="s">
        <v>2582</v>
      </c>
      <c r="C1990" s="7">
        <v>45995</v>
      </c>
      <c r="D1990" s="2" t="s">
        <v>1189</v>
      </c>
      <c r="E1990" s="4">
        <v>1</v>
      </c>
      <c r="F1990" s="8" t="str">
        <f>_xlfn.XLOOKUP(D1990,Master[Product_Code],Master[Category])</f>
        <v>Pants</v>
      </c>
      <c r="G1990" s="8" t="str">
        <f>_xlfn.XLOOKUP(D1990,Master[Product_Code],Master[Brand])</f>
        <v>Peter England</v>
      </c>
      <c r="H1990" s="8" t="str">
        <f>_xlfn.XLOOKUP(D1990,Master[Product_Code],Master[Style])</f>
        <v>Jogger</v>
      </c>
      <c r="I1990" s="8" t="str">
        <f>_xlfn.XLOOKUP(D1990,Master[Product_Code],Master[Fabric])</f>
        <v>Cotton Blend</v>
      </c>
      <c r="J1990" s="8">
        <f>_xlfn.XLOOKUP(D1990,Master[Product_Code],Master[Size])</f>
        <v>34</v>
      </c>
      <c r="K1990" s="8" t="str">
        <f>_xlfn.XLOOKUP(D1990,Master[Product_Code],Master[Color])</f>
        <v>Wine</v>
      </c>
      <c r="L1990" s="3">
        <f>_xlfn.XLOOKUP(D1990,Master[Product_Code],Master[Selling_Price])</f>
        <v>830</v>
      </c>
    </row>
    <row r="1991" spans="2:12">
      <c r="B1991" s="2" t="s">
        <v>2582</v>
      </c>
      <c r="C1991" s="7">
        <v>45995</v>
      </c>
      <c r="D1991" s="2" t="s">
        <v>1454</v>
      </c>
      <c r="E1991" s="4">
        <v>1</v>
      </c>
      <c r="F1991" s="8" t="str">
        <f>_xlfn.XLOOKUP(D1991,Master[Product_Code],Master[Category])</f>
        <v>Pants</v>
      </c>
      <c r="G1991" s="8" t="str">
        <f>_xlfn.XLOOKUP(D1991,Master[Product_Code],Master[Brand])</f>
        <v>Raymond</v>
      </c>
      <c r="H1991" s="8" t="str">
        <f>_xlfn.XLOOKUP(D1991,Master[Product_Code],Master[Style])</f>
        <v>Boot Cut</v>
      </c>
      <c r="I1991" s="8" t="str">
        <f>_xlfn.XLOOKUP(D1991,Master[Product_Code],Master[Fabric])</f>
        <v>Cotton Blend</v>
      </c>
      <c r="J1991" s="8">
        <f>_xlfn.XLOOKUP(D1991,Master[Product_Code],Master[Size])</f>
        <v>38</v>
      </c>
      <c r="K1991" s="8" t="str">
        <f>_xlfn.XLOOKUP(D1991,Master[Product_Code],Master[Color])</f>
        <v>Mustard</v>
      </c>
      <c r="L1991" s="3">
        <f>_xlfn.XLOOKUP(D1991,Master[Product_Code],Master[Selling_Price])</f>
        <v>810</v>
      </c>
    </row>
    <row r="1992" spans="2:12">
      <c r="B1992" s="2" t="s">
        <v>2582</v>
      </c>
      <c r="C1992" s="7">
        <v>45995</v>
      </c>
      <c r="D1992" s="2" t="s">
        <v>861</v>
      </c>
      <c r="E1992" s="4">
        <v>1</v>
      </c>
      <c r="F1992" s="8" t="str">
        <f>_xlfn.XLOOKUP(D1992,Master[Product_Code],Master[Category])</f>
        <v>Jeans</v>
      </c>
      <c r="G1992" s="8" t="str">
        <f>_xlfn.XLOOKUP(D1992,Master[Product_Code],Master[Brand])</f>
        <v>Levis</v>
      </c>
      <c r="H1992" s="8" t="str">
        <f>_xlfn.XLOOKUP(D1992,Master[Product_Code],Master[Style])</f>
        <v>Jogger</v>
      </c>
      <c r="I1992" s="8" t="str">
        <f>_xlfn.XLOOKUP(D1992,Master[Product_Code],Master[Fabric])</f>
        <v>Denim</v>
      </c>
      <c r="J1992" s="8">
        <f>_xlfn.XLOOKUP(D1992,Master[Product_Code],Master[Size])</f>
        <v>40</v>
      </c>
      <c r="K1992" s="8" t="str">
        <f>_xlfn.XLOOKUP(D1992,Master[Product_Code],Master[Color])</f>
        <v>Charcoal</v>
      </c>
      <c r="L1992" s="3">
        <f>_xlfn.XLOOKUP(D1992,Master[Product_Code],Master[Selling_Price])</f>
        <v>840</v>
      </c>
    </row>
    <row r="1993" spans="2:12">
      <c r="B1993" s="2" t="s">
        <v>2582</v>
      </c>
      <c r="C1993" s="7">
        <v>45995</v>
      </c>
      <c r="D1993" s="2" t="s">
        <v>1074</v>
      </c>
      <c r="E1993" s="4">
        <v>1</v>
      </c>
      <c r="F1993" s="8" t="str">
        <f>_xlfn.XLOOKUP(D1993,Master[Product_Code],Master[Category])</f>
        <v>Jeans</v>
      </c>
      <c r="G1993" s="8" t="str">
        <f>_xlfn.XLOOKUP(D1993,Master[Product_Code],Master[Brand])</f>
        <v>Pepe</v>
      </c>
      <c r="H1993" s="8" t="str">
        <f>_xlfn.XLOOKUP(D1993,Master[Product_Code],Master[Style])</f>
        <v>Jogger</v>
      </c>
      <c r="I1993" s="8" t="str">
        <f>_xlfn.XLOOKUP(D1993,Master[Product_Code],Master[Fabric])</f>
        <v>Denim</v>
      </c>
      <c r="J1993" s="8">
        <f>_xlfn.XLOOKUP(D1993,Master[Product_Code],Master[Size])</f>
        <v>34</v>
      </c>
      <c r="K1993" s="8" t="str">
        <f>_xlfn.XLOOKUP(D1993,Master[Product_Code],Master[Color])</f>
        <v>Maroon</v>
      </c>
      <c r="L1993" s="3">
        <f>_xlfn.XLOOKUP(D1993,Master[Product_Code],Master[Selling_Price])</f>
        <v>940</v>
      </c>
    </row>
    <row r="1994" spans="2:12">
      <c r="B1994" s="2" t="s">
        <v>2583</v>
      </c>
      <c r="C1994" s="7">
        <v>45995</v>
      </c>
      <c r="D1994" s="2" t="s">
        <v>560</v>
      </c>
      <c r="E1994" s="4">
        <v>1</v>
      </c>
      <c r="F1994" s="8" t="str">
        <f>_xlfn.XLOOKUP(D1994,Master[Product_Code],Master[Category])</f>
        <v>T-Shirt</v>
      </c>
      <c r="G1994" s="8" t="str">
        <f>_xlfn.XLOOKUP(D1994,Master[Product_Code],Master[Brand])</f>
        <v>Urban Monkey</v>
      </c>
      <c r="H1994" s="8" t="str">
        <f>_xlfn.XLOOKUP(D1994,Master[Product_Code],Master[Style])</f>
        <v>3/4 Sleeve</v>
      </c>
      <c r="I1994" s="8" t="str">
        <f>_xlfn.XLOOKUP(D1994,Master[Product_Code],Master[Fabric])</f>
        <v>Cotton</v>
      </c>
      <c r="J1994" s="8" t="str">
        <f>_xlfn.XLOOKUP(D1994,Master[Product_Code],Master[Size])</f>
        <v>S</v>
      </c>
      <c r="K1994" s="8" t="str">
        <f>_xlfn.XLOOKUP(D1994,Master[Product_Code],Master[Color])</f>
        <v>Charcoal</v>
      </c>
      <c r="L1994" s="3">
        <f>_xlfn.XLOOKUP(D1994,Master[Product_Code],Master[Selling_Price])</f>
        <v>360</v>
      </c>
    </row>
    <row r="1995" spans="2:12">
      <c r="B1995" s="2" t="s">
        <v>2583</v>
      </c>
      <c r="C1995" s="7">
        <v>45995</v>
      </c>
      <c r="D1995" s="2" t="s">
        <v>1402</v>
      </c>
      <c r="E1995" s="4">
        <v>1</v>
      </c>
      <c r="F1995" s="8" t="str">
        <f>_xlfn.XLOOKUP(D1995,Master[Product_Code],Master[Category])</f>
        <v>Pants</v>
      </c>
      <c r="G1995" s="8" t="str">
        <f>_xlfn.XLOOKUP(D1995,Master[Product_Code],Master[Brand])</f>
        <v>Louis Philippe</v>
      </c>
      <c r="H1995" s="8" t="str">
        <f>_xlfn.XLOOKUP(D1995,Master[Product_Code],Master[Style])</f>
        <v>Kurka</v>
      </c>
      <c r="I1995" s="8" t="str">
        <f>_xlfn.XLOOKUP(D1995,Master[Product_Code],Master[Fabric])</f>
        <v>Lycra</v>
      </c>
      <c r="J1995" s="8">
        <f>_xlfn.XLOOKUP(D1995,Master[Product_Code],Master[Size])</f>
        <v>30</v>
      </c>
      <c r="K1995" s="8" t="str">
        <f>_xlfn.XLOOKUP(D1995,Master[Product_Code],Master[Color])</f>
        <v>Light Grey</v>
      </c>
      <c r="L1995" s="3">
        <f>_xlfn.XLOOKUP(D1995,Master[Product_Code],Master[Selling_Price])</f>
        <v>700</v>
      </c>
    </row>
    <row r="1996" spans="2:12">
      <c r="B1996" s="2" t="s">
        <v>2584</v>
      </c>
      <c r="C1996" s="7">
        <v>45995</v>
      </c>
      <c r="D1996" s="2" t="s">
        <v>1512</v>
      </c>
      <c r="E1996" s="4">
        <v>1</v>
      </c>
      <c r="F1996" s="8" t="str">
        <f>_xlfn.XLOOKUP(D1996,Master[Product_Code],Master[Category])</f>
        <v>Innerwear</v>
      </c>
      <c r="G1996" s="8" t="str">
        <f>_xlfn.XLOOKUP(D1996,Master[Product_Code],Master[Brand])</f>
        <v>Jockey</v>
      </c>
      <c r="H1996" s="8" t="str">
        <f>_xlfn.XLOOKUP(D1996,Master[Product_Code],Master[Style])</f>
        <v>V-Cut</v>
      </c>
      <c r="I1996" s="8" t="str">
        <f>_xlfn.XLOOKUP(D1996,Master[Product_Code],Master[Fabric])</f>
        <v>Cotton</v>
      </c>
      <c r="J1996" s="8" t="str">
        <f>_xlfn.XLOOKUP(D1996,Master[Product_Code],Master[Size])</f>
        <v>75-80</v>
      </c>
      <c r="K1996" s="8" t="str">
        <f>_xlfn.XLOOKUP(D1996,Master[Product_Code],Master[Color])</f>
        <v>Maroon</v>
      </c>
      <c r="L1996" s="3">
        <f>_xlfn.XLOOKUP(D1996,Master[Product_Code],Master[Selling_Price])</f>
        <v>110</v>
      </c>
    </row>
    <row r="1997" spans="2:12">
      <c r="B1997" s="2" t="s">
        <v>2585</v>
      </c>
      <c r="C1997" s="7">
        <v>45995</v>
      </c>
      <c r="D1997" s="2" t="s">
        <v>1654</v>
      </c>
      <c r="E1997" s="4">
        <v>1</v>
      </c>
      <c r="F1997" s="8" t="str">
        <f>_xlfn.XLOOKUP(D1997,Master[Product_Code],Master[Category])</f>
        <v>Innerwear</v>
      </c>
      <c r="G1997" s="8" t="str">
        <f>_xlfn.XLOOKUP(D1997,Master[Product_Code],Master[Brand])</f>
        <v>Rupa</v>
      </c>
      <c r="H1997" s="8" t="str">
        <f>_xlfn.XLOOKUP(D1997,Master[Product_Code],Master[Style])</f>
        <v>Boxer</v>
      </c>
      <c r="I1997" s="8" t="str">
        <f>_xlfn.XLOOKUP(D1997,Master[Product_Code],Master[Fabric])</f>
        <v>Cotton</v>
      </c>
      <c r="J1997" s="8" t="str">
        <f>_xlfn.XLOOKUP(D1997,Master[Product_Code],Master[Size])</f>
        <v>90-100</v>
      </c>
      <c r="K1997" s="8" t="str">
        <f>_xlfn.XLOOKUP(D1997,Master[Product_Code],Master[Color])</f>
        <v>Olive</v>
      </c>
      <c r="L1997" s="3">
        <f>_xlfn.XLOOKUP(D1997,Master[Product_Code],Master[Selling_Price])</f>
        <v>160</v>
      </c>
    </row>
    <row r="1998" spans="2:12">
      <c r="B1998" s="2" t="s">
        <v>2585</v>
      </c>
      <c r="C1998" s="7">
        <v>45995</v>
      </c>
      <c r="D1998" s="2" t="s">
        <v>1532</v>
      </c>
      <c r="E1998" s="4">
        <v>1</v>
      </c>
      <c r="F1998" s="8" t="str">
        <f>_xlfn.XLOOKUP(D1998,Master[Product_Code],Master[Category])</f>
        <v>Innerwear</v>
      </c>
      <c r="G1998" s="8" t="str">
        <f>_xlfn.XLOOKUP(D1998,Master[Product_Code],Master[Brand])</f>
        <v>Lux</v>
      </c>
      <c r="H1998" s="8" t="str">
        <f>_xlfn.XLOOKUP(D1998,Master[Product_Code],Master[Style])</f>
        <v>V-Cut</v>
      </c>
      <c r="I1998" s="8" t="str">
        <f>_xlfn.XLOOKUP(D1998,Master[Product_Code],Master[Fabric])</f>
        <v>Cotton Blend</v>
      </c>
      <c r="J1998" s="8" t="str">
        <f>_xlfn.XLOOKUP(D1998,Master[Product_Code],Master[Size])</f>
        <v>75-80</v>
      </c>
      <c r="K1998" s="8" t="str">
        <f>_xlfn.XLOOKUP(D1998,Master[Product_Code],Master[Color])</f>
        <v>Sky Blue</v>
      </c>
      <c r="L1998" s="3">
        <f>_xlfn.XLOOKUP(D1998,Master[Product_Code],Master[Selling_Price])</f>
        <v>150</v>
      </c>
    </row>
    <row r="1999" spans="2:12">
      <c r="B1999" s="2" t="s">
        <v>2585</v>
      </c>
      <c r="C1999" s="7">
        <v>45995</v>
      </c>
      <c r="D1999" s="2" t="s">
        <v>778</v>
      </c>
      <c r="E1999" s="4">
        <v>1</v>
      </c>
      <c r="F1999" s="8" t="str">
        <f>_xlfn.XLOOKUP(D1999,Master[Product_Code],Master[Category])</f>
        <v>T-Shirt</v>
      </c>
      <c r="G1999" s="8" t="str">
        <f>_xlfn.XLOOKUP(D1999,Master[Product_Code],Master[Brand])</f>
        <v>Turkey</v>
      </c>
      <c r="H1999" s="8" t="str">
        <f>_xlfn.XLOOKUP(D1999,Master[Product_Code],Master[Style])</f>
        <v>Full Sleeve</v>
      </c>
      <c r="I1999" s="8" t="str">
        <f>_xlfn.XLOOKUP(D1999,Master[Product_Code],Master[Fabric])</f>
        <v>Cotton Blend</v>
      </c>
      <c r="J1999" s="8" t="str">
        <f>_xlfn.XLOOKUP(D1999,Master[Product_Code],Master[Size])</f>
        <v>XXL</v>
      </c>
      <c r="K1999" s="8" t="str">
        <f>_xlfn.XLOOKUP(D1999,Master[Product_Code],Master[Color])</f>
        <v>Maroon</v>
      </c>
      <c r="L1999" s="3">
        <f>_xlfn.XLOOKUP(D1999,Master[Product_Code],Master[Selling_Price])</f>
        <v>550</v>
      </c>
    </row>
    <row r="2000" spans="2:12">
      <c r="B2000" s="2" t="s">
        <v>2586</v>
      </c>
      <c r="C2000" s="7">
        <v>45996</v>
      </c>
      <c r="D2000" s="2" t="s">
        <v>1313</v>
      </c>
      <c r="E2000" s="4">
        <v>1</v>
      </c>
      <c r="F2000" s="8" t="str">
        <f>_xlfn.XLOOKUP(D2000,Master[Product_Code],Master[Category])</f>
        <v>Pants</v>
      </c>
      <c r="G2000" s="8" t="str">
        <f>_xlfn.XLOOKUP(D2000,Master[Product_Code],Master[Brand])</f>
        <v>Raymond</v>
      </c>
      <c r="H2000" s="8" t="str">
        <f>_xlfn.XLOOKUP(D2000,Master[Product_Code],Master[Style])</f>
        <v>Boot Cut</v>
      </c>
      <c r="I2000" s="8" t="str">
        <f>_xlfn.XLOOKUP(D2000,Master[Product_Code],Master[Fabric])</f>
        <v>Cotton Blend</v>
      </c>
      <c r="J2000" s="8">
        <f>_xlfn.XLOOKUP(D2000,Master[Product_Code],Master[Size])</f>
        <v>38</v>
      </c>
      <c r="K2000" s="8" t="str">
        <f>_xlfn.XLOOKUP(D2000,Master[Product_Code],Master[Color])</f>
        <v>Dark Green</v>
      </c>
      <c r="L2000" s="3">
        <f>_xlfn.XLOOKUP(D2000,Master[Product_Code],Master[Selling_Price])</f>
        <v>890</v>
      </c>
    </row>
    <row r="2001" spans="2:12">
      <c r="B2001" s="2" t="s">
        <v>2587</v>
      </c>
      <c r="C2001" s="7">
        <v>45996</v>
      </c>
      <c r="D2001" s="2" t="s">
        <v>1755</v>
      </c>
      <c r="E2001" s="4">
        <v>1</v>
      </c>
      <c r="F2001" s="8" t="str">
        <f>_xlfn.XLOOKUP(D2001,Master[Product_Code],Master[Category])</f>
        <v>Innerwear</v>
      </c>
      <c r="G2001" s="8" t="str">
        <f>_xlfn.XLOOKUP(D2001,Master[Product_Code],Master[Brand])</f>
        <v>Dollar</v>
      </c>
      <c r="H2001" s="8" t="str">
        <f>_xlfn.XLOOKUP(D2001,Master[Product_Code],Master[Style])</f>
        <v>V-Cut</v>
      </c>
      <c r="I2001" s="8" t="str">
        <f>_xlfn.XLOOKUP(D2001,Master[Product_Code],Master[Fabric])</f>
        <v>Cotton</v>
      </c>
      <c r="J2001" s="8" t="str">
        <f>_xlfn.XLOOKUP(D2001,Master[Product_Code],Master[Size])</f>
        <v>75-80</v>
      </c>
      <c r="K2001" s="8" t="str">
        <f>_xlfn.XLOOKUP(D2001,Master[Product_Code],Master[Color])</f>
        <v>Maroon</v>
      </c>
      <c r="L2001" s="3">
        <f>_xlfn.XLOOKUP(D2001,Master[Product_Code],Master[Selling_Price])</f>
        <v>100</v>
      </c>
    </row>
    <row r="2002" spans="2:12">
      <c r="B2002" s="2" t="s">
        <v>2587</v>
      </c>
      <c r="C2002" s="7">
        <v>45996</v>
      </c>
      <c r="D2002" s="2" t="s">
        <v>1468</v>
      </c>
      <c r="E2002" s="4">
        <v>1</v>
      </c>
      <c r="F2002" s="8" t="str">
        <f>_xlfn.XLOOKUP(D2002,Master[Product_Code],Master[Category])</f>
        <v>Innerwear</v>
      </c>
      <c r="G2002" s="8" t="str">
        <f>_xlfn.XLOOKUP(D2002,Master[Product_Code],Master[Brand])</f>
        <v>Lux</v>
      </c>
      <c r="H2002" s="8" t="str">
        <f>_xlfn.XLOOKUP(D2002,Master[Product_Code],Master[Style])</f>
        <v>V-Cut</v>
      </c>
      <c r="I2002" s="8" t="str">
        <f>_xlfn.XLOOKUP(D2002,Master[Product_Code],Master[Fabric])</f>
        <v>Cotton</v>
      </c>
      <c r="J2002" s="8" t="str">
        <f>_xlfn.XLOOKUP(D2002,Master[Product_Code],Master[Size])</f>
        <v>105-110</v>
      </c>
      <c r="K2002" s="8" t="str">
        <f>_xlfn.XLOOKUP(D2002,Master[Product_Code],Master[Color])</f>
        <v>Royal Blue</v>
      </c>
      <c r="L2002" s="3">
        <f>_xlfn.XLOOKUP(D2002,Master[Product_Code],Master[Selling_Price])</f>
        <v>130</v>
      </c>
    </row>
    <row r="2003" spans="2:12">
      <c r="B2003" s="2" t="s">
        <v>2588</v>
      </c>
      <c r="C2003" s="7">
        <v>45996</v>
      </c>
      <c r="D2003" s="2" t="s">
        <v>1172</v>
      </c>
      <c r="E2003" s="4">
        <v>1</v>
      </c>
      <c r="F2003" s="8" t="str">
        <f>_xlfn.XLOOKUP(D2003,Master[Product_Code],Master[Category])</f>
        <v>Pants</v>
      </c>
      <c r="G2003" s="8" t="str">
        <f>_xlfn.XLOOKUP(D2003,Master[Product_Code],Master[Brand])</f>
        <v>Raymond</v>
      </c>
      <c r="H2003" s="8" t="str">
        <f>_xlfn.XLOOKUP(D2003,Master[Product_Code],Master[Style])</f>
        <v>Kurka</v>
      </c>
      <c r="I2003" s="8" t="str">
        <f>_xlfn.XLOOKUP(D2003,Master[Product_Code],Master[Fabric])</f>
        <v>Lycra</v>
      </c>
      <c r="J2003" s="8">
        <f>_xlfn.XLOOKUP(D2003,Master[Product_Code],Master[Size])</f>
        <v>42</v>
      </c>
      <c r="K2003" s="8" t="str">
        <f>_xlfn.XLOOKUP(D2003,Master[Product_Code],Master[Color])</f>
        <v>Maroon</v>
      </c>
      <c r="L2003" s="3">
        <f>_xlfn.XLOOKUP(D2003,Master[Product_Code],Master[Selling_Price])</f>
        <v>910</v>
      </c>
    </row>
    <row r="2004" spans="2:12">
      <c r="B2004" s="2" t="s">
        <v>2588</v>
      </c>
      <c r="C2004" s="7">
        <v>45996</v>
      </c>
      <c r="D2004" s="2" t="s">
        <v>1723</v>
      </c>
      <c r="E2004" s="4">
        <v>1</v>
      </c>
      <c r="F2004" s="8" t="str">
        <f>_xlfn.XLOOKUP(D2004,Master[Product_Code],Master[Category])</f>
        <v>Innerwear</v>
      </c>
      <c r="G2004" s="8" t="str">
        <f>_xlfn.XLOOKUP(D2004,Master[Product_Code],Master[Brand])</f>
        <v>V Star</v>
      </c>
      <c r="H2004" s="8" t="str">
        <f>_xlfn.XLOOKUP(D2004,Master[Product_Code],Master[Style])</f>
        <v>V-Cut</v>
      </c>
      <c r="I2004" s="8" t="str">
        <f>_xlfn.XLOOKUP(D2004,Master[Product_Code],Master[Fabric])</f>
        <v>Cotton Blend</v>
      </c>
      <c r="J2004" s="8" t="str">
        <f>_xlfn.XLOOKUP(D2004,Master[Product_Code],Master[Size])</f>
        <v>105-110</v>
      </c>
      <c r="K2004" s="8" t="str">
        <f>_xlfn.XLOOKUP(D2004,Master[Product_Code],Master[Color])</f>
        <v>Mustard</v>
      </c>
      <c r="L2004" s="3">
        <f>_xlfn.XLOOKUP(D2004,Master[Product_Code],Master[Selling_Price])</f>
        <v>110</v>
      </c>
    </row>
    <row r="2005" spans="2:12">
      <c r="B2005" s="2" t="s">
        <v>2588</v>
      </c>
      <c r="C2005" s="7">
        <v>45996</v>
      </c>
      <c r="D2005" s="2" t="s">
        <v>262</v>
      </c>
      <c r="E2005" s="4">
        <v>1</v>
      </c>
      <c r="F2005" s="8" t="str">
        <f>_xlfn.XLOOKUP(D2005,Master[Product_Code],Master[Category])</f>
        <v>Shirt</v>
      </c>
      <c r="G2005" s="8" t="str">
        <f>_xlfn.XLOOKUP(D2005,Master[Product_Code],Master[Brand])</f>
        <v>Thailand</v>
      </c>
      <c r="H2005" s="8" t="str">
        <f>_xlfn.XLOOKUP(D2005,Master[Product_Code],Master[Style])</f>
        <v>Partywear</v>
      </c>
      <c r="I2005" s="8" t="str">
        <f>_xlfn.XLOOKUP(D2005,Master[Product_Code],Master[Fabric])</f>
        <v>Cotton Blend</v>
      </c>
      <c r="J2005" s="8" t="str">
        <f>_xlfn.XLOOKUP(D2005,Master[Product_Code],Master[Size])</f>
        <v>M</v>
      </c>
      <c r="K2005" s="8" t="str">
        <f>_xlfn.XLOOKUP(D2005,Master[Product_Code],Master[Color])</f>
        <v>Mustard</v>
      </c>
      <c r="L2005" s="3">
        <f>_xlfn.XLOOKUP(D2005,Master[Product_Code],Master[Selling_Price])</f>
        <v>770</v>
      </c>
    </row>
    <row r="2006" spans="2:12">
      <c r="B2006" s="2" t="s">
        <v>2588</v>
      </c>
      <c r="C2006" s="7">
        <v>45996</v>
      </c>
      <c r="D2006" s="2" t="s">
        <v>1050</v>
      </c>
      <c r="E2006" s="4">
        <v>1</v>
      </c>
      <c r="F2006" s="8" t="str">
        <f>_xlfn.XLOOKUP(D2006,Master[Product_Code],Master[Category])</f>
        <v>Jeans</v>
      </c>
      <c r="G2006" s="8" t="str">
        <f>_xlfn.XLOOKUP(D2006,Master[Product_Code],Master[Brand])</f>
        <v>Wrangler</v>
      </c>
      <c r="H2006" s="8" t="str">
        <f>_xlfn.XLOOKUP(D2006,Master[Product_Code],Master[Style])</f>
        <v>Baggy</v>
      </c>
      <c r="I2006" s="8" t="str">
        <f>_xlfn.XLOOKUP(D2006,Master[Product_Code],Master[Fabric])</f>
        <v>Denim</v>
      </c>
      <c r="J2006" s="8">
        <f>_xlfn.XLOOKUP(D2006,Master[Product_Code],Master[Size])</f>
        <v>38</v>
      </c>
      <c r="K2006" s="8" t="str">
        <f>_xlfn.XLOOKUP(D2006,Master[Product_Code],Master[Color])</f>
        <v>Wine</v>
      </c>
      <c r="L2006" s="3">
        <f>_xlfn.XLOOKUP(D2006,Master[Product_Code],Master[Selling_Price])</f>
        <v>770</v>
      </c>
    </row>
    <row r="2007" spans="2:12">
      <c r="B2007" s="2" t="s">
        <v>2589</v>
      </c>
      <c r="C2007" s="7">
        <v>45996</v>
      </c>
      <c r="D2007" s="2" t="s">
        <v>74</v>
      </c>
      <c r="E2007" s="4">
        <v>1</v>
      </c>
      <c r="F2007" s="8" t="str">
        <f>_xlfn.XLOOKUP(D2007,Master[Product_Code],Master[Category])</f>
        <v>Shirt</v>
      </c>
      <c r="G2007" s="8" t="str">
        <f>_xlfn.XLOOKUP(D2007,Master[Product_Code],Master[Brand])</f>
        <v>Thailand</v>
      </c>
      <c r="H2007" s="8" t="str">
        <f>_xlfn.XLOOKUP(D2007,Master[Product_Code],Master[Style])</f>
        <v>Casual</v>
      </c>
      <c r="I2007" s="8" t="str">
        <f>_xlfn.XLOOKUP(D2007,Master[Product_Code],Master[Fabric])</f>
        <v>Cotton Blend</v>
      </c>
      <c r="J2007" s="8" t="str">
        <f>_xlfn.XLOOKUP(D2007,Master[Product_Code],Master[Size])</f>
        <v>XL</v>
      </c>
      <c r="K2007" s="8" t="str">
        <f>_xlfn.XLOOKUP(D2007,Master[Product_Code],Master[Color])</f>
        <v>Wine</v>
      </c>
      <c r="L2007" s="3">
        <f>_xlfn.XLOOKUP(D2007,Master[Product_Code],Master[Selling_Price])</f>
        <v>880</v>
      </c>
    </row>
    <row r="2008" spans="2:12">
      <c r="B2008" s="2" t="s">
        <v>2589</v>
      </c>
      <c r="C2008" s="7">
        <v>45996</v>
      </c>
      <c r="D2008" s="2" t="s">
        <v>440</v>
      </c>
      <c r="E2008" s="4">
        <v>1</v>
      </c>
      <c r="F2008" s="8" t="str">
        <f>_xlfn.XLOOKUP(D2008,Master[Product_Code],Master[Category])</f>
        <v>T-Shirt</v>
      </c>
      <c r="G2008" s="8" t="str">
        <f>_xlfn.XLOOKUP(D2008,Master[Product_Code],Master[Brand])</f>
        <v>Zara</v>
      </c>
      <c r="H2008" s="8" t="str">
        <f>_xlfn.XLOOKUP(D2008,Master[Product_Code],Master[Style])</f>
        <v>3/4 Sleeve</v>
      </c>
      <c r="I2008" s="8" t="str">
        <f>_xlfn.XLOOKUP(D2008,Master[Product_Code],Master[Fabric])</f>
        <v>Poly Cotton</v>
      </c>
      <c r="J2008" s="8" t="str">
        <f>_xlfn.XLOOKUP(D2008,Master[Product_Code],Master[Size])</f>
        <v>XXL</v>
      </c>
      <c r="K2008" s="8" t="str">
        <f>_xlfn.XLOOKUP(D2008,Master[Product_Code],Master[Color])</f>
        <v>White</v>
      </c>
      <c r="L2008" s="3">
        <f>_xlfn.XLOOKUP(D2008,Master[Product_Code],Master[Selling_Price])</f>
        <v>240</v>
      </c>
    </row>
    <row r="2009" spans="2:12">
      <c r="B2009" s="2" t="s">
        <v>2589</v>
      </c>
      <c r="C2009" s="7">
        <v>45996</v>
      </c>
      <c r="D2009" s="2" t="s">
        <v>1718</v>
      </c>
      <c r="E2009" s="4">
        <v>1</v>
      </c>
      <c r="F2009" s="8" t="str">
        <f>_xlfn.XLOOKUP(D2009,Master[Product_Code],Master[Category])</f>
        <v>Innerwear</v>
      </c>
      <c r="G2009" s="8" t="str">
        <f>_xlfn.XLOOKUP(D2009,Master[Product_Code],Master[Brand])</f>
        <v>Rupa</v>
      </c>
      <c r="H2009" s="8" t="str">
        <f>_xlfn.XLOOKUP(D2009,Master[Product_Code],Master[Style])</f>
        <v>V-Cut</v>
      </c>
      <c r="I2009" s="8" t="str">
        <f>_xlfn.XLOOKUP(D2009,Master[Product_Code],Master[Fabric])</f>
        <v>Cotton</v>
      </c>
      <c r="J2009" s="8" t="str">
        <f>_xlfn.XLOOKUP(D2009,Master[Product_Code],Master[Size])</f>
        <v>75-80</v>
      </c>
      <c r="K2009" s="8" t="str">
        <f>_xlfn.XLOOKUP(D2009,Master[Product_Code],Master[Color])</f>
        <v>Beige</v>
      </c>
      <c r="L2009" s="3">
        <f>_xlfn.XLOOKUP(D2009,Master[Product_Code],Master[Selling_Price])</f>
        <v>140</v>
      </c>
    </row>
    <row r="2010" spans="2:12">
      <c r="B2010" s="2" t="s">
        <v>2589</v>
      </c>
      <c r="C2010" s="7">
        <v>45996</v>
      </c>
      <c r="D2010" s="2" t="s">
        <v>379</v>
      </c>
      <c r="E2010" s="4">
        <v>1</v>
      </c>
      <c r="F2010" s="8" t="str">
        <f>_xlfn.XLOOKUP(D2010,Master[Product_Code],Master[Category])</f>
        <v>Shirt</v>
      </c>
      <c r="G2010" s="8" t="str">
        <f>_xlfn.XLOOKUP(D2010,Master[Product_Code],Master[Brand])</f>
        <v>G Studio</v>
      </c>
      <c r="H2010" s="8" t="str">
        <f>_xlfn.XLOOKUP(D2010,Master[Product_Code],Master[Style])</f>
        <v>Formal</v>
      </c>
      <c r="I2010" s="8" t="str">
        <f>_xlfn.XLOOKUP(D2010,Master[Product_Code],Master[Fabric])</f>
        <v>Lycra</v>
      </c>
      <c r="J2010" s="8" t="str">
        <f>_xlfn.XLOOKUP(D2010,Master[Product_Code],Master[Size])</f>
        <v>XL</v>
      </c>
      <c r="K2010" s="8" t="str">
        <f>_xlfn.XLOOKUP(D2010,Master[Product_Code],Master[Color])</f>
        <v>Maroon</v>
      </c>
      <c r="L2010" s="3">
        <f>_xlfn.XLOOKUP(D2010,Master[Product_Code],Master[Selling_Price])</f>
        <v>850</v>
      </c>
    </row>
    <row r="2011" spans="2:12">
      <c r="B2011" s="2" t="s">
        <v>2590</v>
      </c>
      <c r="C2011" s="7">
        <v>45996</v>
      </c>
      <c r="D2011" s="2" t="s">
        <v>258</v>
      </c>
      <c r="E2011" s="4">
        <v>1</v>
      </c>
      <c r="F2011" s="8" t="str">
        <f>_xlfn.XLOOKUP(D2011,Master[Product_Code],Master[Category])</f>
        <v>Shirt</v>
      </c>
      <c r="G2011" s="8" t="str">
        <f>_xlfn.XLOOKUP(D2011,Master[Product_Code],Master[Brand])</f>
        <v>Zara</v>
      </c>
      <c r="H2011" s="8" t="str">
        <f>_xlfn.XLOOKUP(D2011,Master[Product_Code],Master[Style])</f>
        <v>Casual</v>
      </c>
      <c r="I2011" s="8" t="str">
        <f>_xlfn.XLOOKUP(D2011,Master[Product_Code],Master[Fabric])</f>
        <v>Cotton</v>
      </c>
      <c r="J2011" s="8" t="str">
        <f>_xlfn.XLOOKUP(D2011,Master[Product_Code],Master[Size])</f>
        <v>L</v>
      </c>
      <c r="K2011" s="8" t="str">
        <f>_xlfn.XLOOKUP(D2011,Master[Product_Code],Master[Color])</f>
        <v>Light Grey</v>
      </c>
      <c r="L2011" s="3">
        <f>_xlfn.XLOOKUP(D2011,Master[Product_Code],Master[Selling_Price])</f>
        <v>780</v>
      </c>
    </row>
    <row r="2012" spans="2:12">
      <c r="B2012" s="2" t="s">
        <v>2590</v>
      </c>
      <c r="C2012" s="7">
        <v>45996</v>
      </c>
      <c r="D2012" s="2" t="s">
        <v>482</v>
      </c>
      <c r="E2012" s="4">
        <v>1</v>
      </c>
      <c r="F2012" s="8" t="str">
        <f>_xlfn.XLOOKUP(D2012,Master[Product_Code],Master[Category])</f>
        <v>T-Shirt</v>
      </c>
      <c r="G2012" s="8" t="str">
        <f>_xlfn.XLOOKUP(D2012,Master[Product_Code],Master[Brand])</f>
        <v>Max</v>
      </c>
      <c r="H2012" s="8" t="str">
        <f>_xlfn.XLOOKUP(D2012,Master[Product_Code],Master[Style])</f>
        <v>Hoodie</v>
      </c>
      <c r="I2012" s="8" t="str">
        <f>_xlfn.XLOOKUP(D2012,Master[Product_Code],Master[Fabric])</f>
        <v>Cotton</v>
      </c>
      <c r="J2012" s="8" t="str">
        <f>_xlfn.XLOOKUP(D2012,Master[Product_Code],Master[Size])</f>
        <v>L</v>
      </c>
      <c r="K2012" s="8" t="str">
        <f>_xlfn.XLOOKUP(D2012,Master[Product_Code],Master[Color])</f>
        <v>Teal</v>
      </c>
      <c r="L2012" s="3">
        <f>_xlfn.XLOOKUP(D2012,Master[Product_Code],Master[Selling_Price])</f>
        <v>650</v>
      </c>
    </row>
    <row r="2013" spans="2:12">
      <c r="B2013" s="2" t="s">
        <v>2590</v>
      </c>
      <c r="C2013" s="7">
        <v>45996</v>
      </c>
      <c r="D2013" s="2" t="s">
        <v>470</v>
      </c>
      <c r="E2013" s="4">
        <v>1</v>
      </c>
      <c r="F2013" s="8" t="str">
        <f>_xlfn.XLOOKUP(D2013,Master[Product_Code],Master[Category])</f>
        <v>T-Shirt</v>
      </c>
      <c r="G2013" s="8" t="str">
        <f>_xlfn.XLOOKUP(D2013,Master[Product_Code],Master[Brand])</f>
        <v>Thailand</v>
      </c>
      <c r="H2013" s="8" t="str">
        <f>_xlfn.XLOOKUP(D2013,Master[Product_Code],Master[Style])</f>
        <v>Sleeveless</v>
      </c>
      <c r="I2013" s="8" t="str">
        <f>_xlfn.XLOOKUP(D2013,Master[Product_Code],Master[Fabric])</f>
        <v>Cotton Blend</v>
      </c>
      <c r="J2013" s="8" t="str">
        <f>_xlfn.XLOOKUP(D2013,Master[Product_Code],Master[Size])</f>
        <v>XXL</v>
      </c>
      <c r="K2013" s="8" t="str">
        <f>_xlfn.XLOOKUP(D2013,Master[Product_Code],Master[Color])</f>
        <v>Wine</v>
      </c>
      <c r="L2013" s="3">
        <f>_xlfn.XLOOKUP(D2013,Master[Product_Code],Master[Selling_Price])</f>
        <v>530</v>
      </c>
    </row>
    <row r="2014" spans="2:12">
      <c r="B2014" s="2" t="s">
        <v>2590</v>
      </c>
      <c r="C2014" s="7">
        <v>45996</v>
      </c>
      <c r="D2014" s="2" t="s">
        <v>1225</v>
      </c>
      <c r="E2014" s="4">
        <v>1</v>
      </c>
      <c r="F2014" s="8" t="str">
        <f>_xlfn.XLOOKUP(D2014,Master[Product_Code],Master[Category])</f>
        <v>Pants</v>
      </c>
      <c r="G2014" s="8" t="str">
        <f>_xlfn.XLOOKUP(D2014,Master[Product_Code],Master[Brand])</f>
        <v>Peter England</v>
      </c>
      <c r="H2014" s="8" t="str">
        <f>_xlfn.XLOOKUP(D2014,Master[Product_Code],Master[Style])</f>
        <v>Korean</v>
      </c>
      <c r="I2014" s="8" t="str">
        <f>_xlfn.XLOOKUP(D2014,Master[Product_Code],Master[Fabric])</f>
        <v>Lycra</v>
      </c>
      <c r="J2014" s="8">
        <f>_xlfn.XLOOKUP(D2014,Master[Product_Code],Master[Size])</f>
        <v>28</v>
      </c>
      <c r="K2014" s="8" t="str">
        <f>_xlfn.XLOOKUP(D2014,Master[Product_Code],Master[Color])</f>
        <v>Brown</v>
      </c>
      <c r="L2014" s="3">
        <f>_xlfn.XLOOKUP(D2014,Master[Product_Code],Master[Selling_Price])</f>
        <v>890</v>
      </c>
    </row>
    <row r="2015" spans="2:12">
      <c r="B2015" s="2" t="s">
        <v>2591</v>
      </c>
      <c r="C2015" s="7">
        <v>45996</v>
      </c>
      <c r="D2015" s="2" t="s">
        <v>1424</v>
      </c>
      <c r="E2015" s="4">
        <v>1</v>
      </c>
      <c r="F2015" s="8" t="str">
        <f>_xlfn.XLOOKUP(D2015,Master[Product_Code],Master[Category])</f>
        <v>Pants</v>
      </c>
      <c r="G2015" s="8" t="str">
        <f>_xlfn.XLOOKUP(D2015,Master[Product_Code],Master[Brand])</f>
        <v>Louis Philippe</v>
      </c>
      <c r="H2015" s="8" t="str">
        <f>_xlfn.XLOOKUP(D2015,Master[Product_Code],Master[Style])</f>
        <v>Korean</v>
      </c>
      <c r="I2015" s="8" t="str">
        <f>_xlfn.XLOOKUP(D2015,Master[Product_Code],Master[Fabric])</f>
        <v>Lycra</v>
      </c>
      <c r="J2015" s="8">
        <f>_xlfn.XLOOKUP(D2015,Master[Product_Code],Master[Size])</f>
        <v>40</v>
      </c>
      <c r="K2015" s="8" t="str">
        <f>_xlfn.XLOOKUP(D2015,Master[Product_Code],Master[Color])</f>
        <v>Grey</v>
      </c>
      <c r="L2015" s="3">
        <f>_xlfn.XLOOKUP(D2015,Master[Product_Code],Master[Selling_Price])</f>
        <v>780</v>
      </c>
    </row>
    <row r="2016" spans="2:12">
      <c r="B2016" s="2" t="s">
        <v>2592</v>
      </c>
      <c r="C2016" s="7">
        <v>45996</v>
      </c>
      <c r="D2016" s="2" t="s">
        <v>172</v>
      </c>
      <c r="E2016" s="4">
        <v>1</v>
      </c>
      <c r="F2016" s="8" t="str">
        <f>_xlfn.XLOOKUP(D2016,Master[Product_Code],Master[Category])</f>
        <v>Shirt</v>
      </c>
      <c r="G2016" s="8" t="str">
        <f>_xlfn.XLOOKUP(D2016,Master[Product_Code],Master[Brand])</f>
        <v>Zara</v>
      </c>
      <c r="H2016" s="8" t="str">
        <f>_xlfn.XLOOKUP(D2016,Master[Product_Code],Master[Style])</f>
        <v>Casual</v>
      </c>
      <c r="I2016" s="8" t="str">
        <f>_xlfn.XLOOKUP(D2016,Master[Product_Code],Master[Fabric])</f>
        <v>Polyester</v>
      </c>
      <c r="J2016" s="8" t="str">
        <f>_xlfn.XLOOKUP(D2016,Master[Product_Code],Master[Size])</f>
        <v>XXL</v>
      </c>
      <c r="K2016" s="8" t="str">
        <f>_xlfn.XLOOKUP(D2016,Master[Product_Code],Master[Color])</f>
        <v>Peach</v>
      </c>
      <c r="L2016" s="3">
        <f>_xlfn.XLOOKUP(D2016,Master[Product_Code],Master[Selling_Price])</f>
        <v>690</v>
      </c>
    </row>
    <row r="2017" spans="2:12">
      <c r="B2017" s="2" t="s">
        <v>2592</v>
      </c>
      <c r="C2017" s="7">
        <v>45996</v>
      </c>
      <c r="D2017" s="2" t="s">
        <v>1734</v>
      </c>
      <c r="E2017" s="4">
        <v>1</v>
      </c>
      <c r="F2017" s="8" t="str">
        <f>_xlfn.XLOOKUP(D2017,Master[Product_Code],Master[Category])</f>
        <v>Innerwear</v>
      </c>
      <c r="G2017" s="8" t="str">
        <f>_xlfn.XLOOKUP(D2017,Master[Product_Code],Master[Brand])</f>
        <v>Jockey</v>
      </c>
      <c r="H2017" s="8" t="str">
        <f>_xlfn.XLOOKUP(D2017,Master[Product_Code],Master[Style])</f>
        <v>V-Cut</v>
      </c>
      <c r="I2017" s="8" t="str">
        <f>_xlfn.XLOOKUP(D2017,Master[Product_Code],Master[Fabric])</f>
        <v>Cotton</v>
      </c>
      <c r="J2017" s="8" t="str">
        <f>_xlfn.XLOOKUP(D2017,Master[Product_Code],Master[Size])</f>
        <v>90-100</v>
      </c>
      <c r="K2017" s="8" t="str">
        <f>_xlfn.XLOOKUP(D2017,Master[Product_Code],Master[Color])</f>
        <v>Dark Green</v>
      </c>
      <c r="L2017" s="3">
        <f>_xlfn.XLOOKUP(D2017,Master[Product_Code],Master[Selling_Price])</f>
        <v>150</v>
      </c>
    </row>
    <row r="2018" spans="2:12">
      <c r="B2018" s="2" t="s">
        <v>2592</v>
      </c>
      <c r="C2018" s="7">
        <v>45996</v>
      </c>
      <c r="D2018" s="2" t="s">
        <v>777</v>
      </c>
      <c r="E2018" s="4">
        <v>1</v>
      </c>
      <c r="F2018" s="8" t="str">
        <f>_xlfn.XLOOKUP(D2018,Master[Product_Code],Master[Category])</f>
        <v>T-Shirt</v>
      </c>
      <c r="G2018" s="8" t="str">
        <f>_xlfn.XLOOKUP(D2018,Master[Product_Code],Master[Brand])</f>
        <v>Campus</v>
      </c>
      <c r="H2018" s="8" t="str">
        <f>_xlfn.XLOOKUP(D2018,Master[Product_Code],Master[Style])</f>
        <v>3/4 Sleeve</v>
      </c>
      <c r="I2018" s="8" t="str">
        <f>_xlfn.XLOOKUP(D2018,Master[Product_Code],Master[Fabric])</f>
        <v>Cotton</v>
      </c>
      <c r="J2018" s="8" t="str">
        <f>_xlfn.XLOOKUP(D2018,Master[Product_Code],Master[Size])</f>
        <v>M</v>
      </c>
      <c r="K2018" s="8" t="str">
        <f>_xlfn.XLOOKUP(D2018,Master[Product_Code],Master[Color])</f>
        <v>Cream</v>
      </c>
      <c r="L2018" s="3">
        <f>_xlfn.XLOOKUP(D2018,Master[Product_Code],Master[Selling_Price])</f>
        <v>720</v>
      </c>
    </row>
    <row r="2019" spans="2:12">
      <c r="B2019" s="2" t="s">
        <v>2592</v>
      </c>
      <c r="C2019" s="7">
        <v>45996</v>
      </c>
      <c r="D2019" s="2" t="s">
        <v>628</v>
      </c>
      <c r="E2019" s="4">
        <v>1</v>
      </c>
      <c r="F2019" s="8" t="str">
        <f>_xlfn.XLOOKUP(D2019,Master[Product_Code],Master[Category])</f>
        <v>T-Shirt</v>
      </c>
      <c r="G2019" s="8" t="str">
        <f>_xlfn.XLOOKUP(D2019,Master[Product_Code],Master[Brand])</f>
        <v>Urban Monkey</v>
      </c>
      <c r="H2019" s="8" t="str">
        <f>_xlfn.XLOOKUP(D2019,Master[Product_Code],Master[Style])</f>
        <v>Hoodie</v>
      </c>
      <c r="I2019" s="8" t="str">
        <f>_xlfn.XLOOKUP(D2019,Master[Product_Code],Master[Fabric])</f>
        <v>Poly Cotton</v>
      </c>
      <c r="J2019" s="8" t="str">
        <f>_xlfn.XLOOKUP(D2019,Master[Product_Code],Master[Size])</f>
        <v>S</v>
      </c>
      <c r="K2019" s="8" t="str">
        <f>_xlfn.XLOOKUP(D2019,Master[Product_Code],Master[Color])</f>
        <v>Olive</v>
      </c>
      <c r="L2019" s="3">
        <f>_xlfn.XLOOKUP(D2019,Master[Product_Code],Master[Selling_Price])</f>
        <v>310</v>
      </c>
    </row>
    <row r="2020" spans="2:12">
      <c r="B2020" s="2" t="s">
        <v>2593</v>
      </c>
      <c r="C2020" s="7">
        <v>45996</v>
      </c>
      <c r="D2020" s="2" t="s">
        <v>634</v>
      </c>
      <c r="E2020" s="4">
        <v>1</v>
      </c>
      <c r="F2020" s="8" t="str">
        <f>_xlfn.XLOOKUP(D2020,Master[Product_Code],Master[Category])</f>
        <v>T-Shirt</v>
      </c>
      <c r="G2020" s="8" t="str">
        <f>_xlfn.XLOOKUP(D2020,Master[Product_Code],Master[Brand])</f>
        <v>Zara</v>
      </c>
      <c r="H2020" s="8" t="str">
        <f>_xlfn.XLOOKUP(D2020,Master[Product_Code],Master[Style])</f>
        <v>Full Sleeve</v>
      </c>
      <c r="I2020" s="8" t="str">
        <f>_xlfn.XLOOKUP(D2020,Master[Product_Code],Master[Fabric])</f>
        <v>Poly Cotton</v>
      </c>
      <c r="J2020" s="8" t="str">
        <f>_xlfn.XLOOKUP(D2020,Master[Product_Code],Master[Size])</f>
        <v>M</v>
      </c>
      <c r="K2020" s="8" t="str">
        <f>_xlfn.XLOOKUP(D2020,Master[Product_Code],Master[Color])</f>
        <v>Charcoal</v>
      </c>
      <c r="L2020" s="3">
        <f>_xlfn.XLOOKUP(D2020,Master[Product_Code],Master[Selling_Price])</f>
        <v>480</v>
      </c>
    </row>
    <row r="2021" spans="2:12">
      <c r="B2021" s="2" t="s">
        <v>2593</v>
      </c>
      <c r="C2021" s="7">
        <v>45996</v>
      </c>
      <c r="D2021" s="2" t="s">
        <v>691</v>
      </c>
      <c r="E2021" s="4">
        <v>1</v>
      </c>
      <c r="F2021" s="8" t="str">
        <f>_xlfn.XLOOKUP(D2021,Master[Product_Code],Master[Category])</f>
        <v>T-Shirt</v>
      </c>
      <c r="G2021" s="8" t="str">
        <f>_xlfn.XLOOKUP(D2021,Master[Product_Code],Master[Brand])</f>
        <v>Urban Monkey</v>
      </c>
      <c r="H2021" s="8" t="str">
        <f>_xlfn.XLOOKUP(D2021,Master[Product_Code],Master[Style])</f>
        <v>Sleeveless</v>
      </c>
      <c r="I2021" s="8" t="str">
        <f>_xlfn.XLOOKUP(D2021,Master[Product_Code],Master[Fabric])</f>
        <v>Cotton Blend</v>
      </c>
      <c r="J2021" s="8" t="str">
        <f>_xlfn.XLOOKUP(D2021,Master[Product_Code],Master[Size])</f>
        <v>L</v>
      </c>
      <c r="K2021" s="8" t="str">
        <f>_xlfn.XLOOKUP(D2021,Master[Product_Code],Master[Color])</f>
        <v>Sky Blue</v>
      </c>
      <c r="L2021" s="3">
        <f>_xlfn.XLOOKUP(D2021,Master[Product_Code],Master[Selling_Price])</f>
        <v>270</v>
      </c>
    </row>
    <row r="2022" spans="2:12">
      <c r="B2022" s="2" t="s">
        <v>2593</v>
      </c>
      <c r="C2022" s="7">
        <v>45996</v>
      </c>
      <c r="D2022" s="2" t="s">
        <v>284</v>
      </c>
      <c r="E2022" s="4">
        <v>1</v>
      </c>
      <c r="F2022" s="8" t="str">
        <f>_xlfn.XLOOKUP(D2022,Master[Product_Code],Master[Category])</f>
        <v>Shirt</v>
      </c>
      <c r="G2022" s="8" t="str">
        <f>_xlfn.XLOOKUP(D2022,Master[Product_Code],Master[Brand])</f>
        <v>Max</v>
      </c>
      <c r="H2022" s="8" t="str">
        <f>_xlfn.XLOOKUP(D2022,Master[Product_Code],Master[Style])</f>
        <v>Formal</v>
      </c>
      <c r="I2022" s="8" t="str">
        <f>_xlfn.XLOOKUP(D2022,Master[Product_Code],Master[Fabric])</f>
        <v>Cotton Blend</v>
      </c>
      <c r="J2022" s="8" t="str">
        <f>_xlfn.XLOOKUP(D2022,Master[Product_Code],Master[Size])</f>
        <v>XXL</v>
      </c>
      <c r="K2022" s="8" t="str">
        <f>_xlfn.XLOOKUP(D2022,Master[Product_Code],Master[Color])</f>
        <v>Cream</v>
      </c>
      <c r="L2022" s="3">
        <f>_xlfn.XLOOKUP(D2022,Master[Product_Code],Master[Selling_Price])</f>
        <v>740</v>
      </c>
    </row>
    <row r="2023" spans="2:12">
      <c r="B2023" s="2" t="s">
        <v>2594</v>
      </c>
      <c r="C2023" s="7">
        <v>45996</v>
      </c>
      <c r="D2023" s="2" t="s">
        <v>1061</v>
      </c>
      <c r="E2023" s="4">
        <v>1</v>
      </c>
      <c r="F2023" s="8" t="str">
        <f>_xlfn.XLOOKUP(D2023,Master[Product_Code],Master[Category])</f>
        <v>Jeans</v>
      </c>
      <c r="G2023" s="8" t="str">
        <f>_xlfn.XLOOKUP(D2023,Master[Product_Code],Master[Brand])</f>
        <v>Denim Pro</v>
      </c>
      <c r="H2023" s="8" t="str">
        <f>_xlfn.XLOOKUP(D2023,Master[Product_Code],Master[Style])</f>
        <v>Baggy</v>
      </c>
      <c r="I2023" s="8" t="str">
        <f>_xlfn.XLOOKUP(D2023,Master[Product_Code],Master[Fabric])</f>
        <v>Denim</v>
      </c>
      <c r="J2023" s="8">
        <f>_xlfn.XLOOKUP(D2023,Master[Product_Code],Master[Size])</f>
        <v>32</v>
      </c>
      <c r="K2023" s="8" t="str">
        <f>_xlfn.XLOOKUP(D2023,Master[Product_Code],Master[Color])</f>
        <v>Navy Blue</v>
      </c>
      <c r="L2023" s="3">
        <f>_xlfn.XLOOKUP(D2023,Master[Product_Code],Master[Selling_Price])</f>
        <v>1020</v>
      </c>
    </row>
    <row r="2024" spans="2:12">
      <c r="B2024" s="2" t="s">
        <v>2594</v>
      </c>
      <c r="C2024" s="7">
        <v>45996</v>
      </c>
      <c r="D2024" s="2" t="s">
        <v>629</v>
      </c>
      <c r="E2024" s="4">
        <v>1</v>
      </c>
      <c r="F2024" s="8" t="str">
        <f>_xlfn.XLOOKUP(D2024,Master[Product_Code],Master[Category])</f>
        <v>T-Shirt</v>
      </c>
      <c r="G2024" s="8" t="str">
        <f>_xlfn.XLOOKUP(D2024,Master[Product_Code],Master[Brand])</f>
        <v>Urban Monkey</v>
      </c>
      <c r="H2024" s="8" t="str">
        <f>_xlfn.XLOOKUP(D2024,Master[Product_Code],Master[Style])</f>
        <v>Half Sleeve</v>
      </c>
      <c r="I2024" s="8" t="str">
        <f>_xlfn.XLOOKUP(D2024,Master[Product_Code],Master[Fabric])</f>
        <v>Cotton</v>
      </c>
      <c r="J2024" s="8" t="str">
        <f>_xlfn.XLOOKUP(D2024,Master[Product_Code],Master[Size])</f>
        <v>S</v>
      </c>
      <c r="K2024" s="8" t="str">
        <f>_xlfn.XLOOKUP(D2024,Master[Product_Code],Master[Color])</f>
        <v>Cream</v>
      </c>
      <c r="L2024" s="3">
        <f>_xlfn.XLOOKUP(D2024,Master[Product_Code],Master[Selling_Price])</f>
        <v>350</v>
      </c>
    </row>
    <row r="2025" spans="2:12">
      <c r="B2025" s="2" t="s">
        <v>2594</v>
      </c>
      <c r="C2025" s="7">
        <v>45996</v>
      </c>
      <c r="D2025" s="2" t="s">
        <v>686</v>
      </c>
      <c r="E2025" s="4">
        <v>1</v>
      </c>
      <c r="F2025" s="8" t="str">
        <f>_xlfn.XLOOKUP(D2025,Master[Product_Code],Master[Category])</f>
        <v>T-Shirt</v>
      </c>
      <c r="G2025" s="8" t="str">
        <f>_xlfn.XLOOKUP(D2025,Master[Product_Code],Master[Brand])</f>
        <v>Campus</v>
      </c>
      <c r="H2025" s="8" t="str">
        <f>_xlfn.XLOOKUP(D2025,Master[Product_Code],Master[Style])</f>
        <v>Full Sleeve</v>
      </c>
      <c r="I2025" s="8" t="str">
        <f>_xlfn.XLOOKUP(D2025,Master[Product_Code],Master[Fabric])</f>
        <v>Cotton Blend</v>
      </c>
      <c r="J2025" s="8" t="str">
        <f>_xlfn.XLOOKUP(D2025,Master[Product_Code],Master[Size])</f>
        <v>L</v>
      </c>
      <c r="K2025" s="8" t="str">
        <f>_xlfn.XLOOKUP(D2025,Master[Product_Code],Master[Color])</f>
        <v>Rust</v>
      </c>
      <c r="L2025" s="3">
        <f>_xlfn.XLOOKUP(D2025,Master[Product_Code],Master[Selling_Price])</f>
        <v>520</v>
      </c>
    </row>
    <row r="2026" spans="2:12">
      <c r="B2026" s="2" t="s">
        <v>2595</v>
      </c>
      <c r="C2026" s="7">
        <v>45996</v>
      </c>
      <c r="D2026" s="2" t="s">
        <v>506</v>
      </c>
      <c r="E2026" s="4">
        <v>1</v>
      </c>
      <c r="F2026" s="8" t="str">
        <f>_xlfn.XLOOKUP(D2026,Master[Product_Code],Master[Category])</f>
        <v>T-Shirt</v>
      </c>
      <c r="G2026" s="8" t="str">
        <f>_xlfn.XLOOKUP(D2026,Master[Product_Code],Master[Brand])</f>
        <v>Campus</v>
      </c>
      <c r="H2026" s="8" t="str">
        <f>_xlfn.XLOOKUP(D2026,Master[Product_Code],Master[Style])</f>
        <v>3/4 Sleeve</v>
      </c>
      <c r="I2026" s="8" t="str">
        <f>_xlfn.XLOOKUP(D2026,Master[Product_Code],Master[Fabric])</f>
        <v>Cotton</v>
      </c>
      <c r="J2026" s="8" t="str">
        <f>_xlfn.XLOOKUP(D2026,Master[Product_Code],Master[Size])</f>
        <v>XXL</v>
      </c>
      <c r="K2026" s="8" t="str">
        <f>_xlfn.XLOOKUP(D2026,Master[Product_Code],Master[Color])</f>
        <v>Rust</v>
      </c>
      <c r="L2026" s="3">
        <f>_xlfn.XLOOKUP(D2026,Master[Product_Code],Master[Selling_Price])</f>
        <v>660</v>
      </c>
    </row>
    <row r="2027" spans="2:12">
      <c r="B2027" s="2" t="s">
        <v>2595</v>
      </c>
      <c r="C2027" s="7">
        <v>45996</v>
      </c>
      <c r="D2027" s="2" t="s">
        <v>1191</v>
      </c>
      <c r="E2027" s="4">
        <v>1</v>
      </c>
      <c r="F2027" s="8" t="str">
        <f>_xlfn.XLOOKUP(D2027,Master[Product_Code],Master[Category])</f>
        <v>Pants</v>
      </c>
      <c r="G2027" s="8" t="str">
        <f>_xlfn.XLOOKUP(D2027,Master[Product_Code],Master[Brand])</f>
        <v>Park Avenue</v>
      </c>
      <c r="H2027" s="8" t="str">
        <f>_xlfn.XLOOKUP(D2027,Master[Product_Code],Master[Style])</f>
        <v>Polofit</v>
      </c>
      <c r="I2027" s="8" t="str">
        <f>_xlfn.XLOOKUP(D2027,Master[Product_Code],Master[Fabric])</f>
        <v>Lycra</v>
      </c>
      <c r="J2027" s="8">
        <f>_xlfn.XLOOKUP(D2027,Master[Product_Code],Master[Size])</f>
        <v>30</v>
      </c>
      <c r="K2027" s="8" t="str">
        <f>_xlfn.XLOOKUP(D2027,Master[Product_Code],Master[Color])</f>
        <v>Grey</v>
      </c>
      <c r="L2027" s="3">
        <f>_xlfn.XLOOKUP(D2027,Master[Product_Code],Master[Selling_Price])</f>
        <v>760</v>
      </c>
    </row>
    <row r="2028" spans="2:12">
      <c r="B2028" s="2" t="s">
        <v>2595</v>
      </c>
      <c r="C2028" s="7">
        <v>45996</v>
      </c>
      <c r="D2028" s="2" t="s">
        <v>89</v>
      </c>
      <c r="E2028" s="4">
        <v>1</v>
      </c>
      <c r="F2028" s="8" t="str">
        <f>_xlfn.XLOOKUP(D2028,Master[Product_Code],Master[Category])</f>
        <v>Shirt</v>
      </c>
      <c r="G2028" s="8" t="str">
        <f>_xlfn.XLOOKUP(D2028,Master[Product_Code],Master[Brand])</f>
        <v>Thailand</v>
      </c>
      <c r="H2028" s="8" t="str">
        <f>_xlfn.XLOOKUP(D2028,Master[Product_Code],Master[Style])</f>
        <v>Formal</v>
      </c>
      <c r="I2028" s="8" t="str">
        <f>_xlfn.XLOOKUP(D2028,Master[Product_Code],Master[Fabric])</f>
        <v>Cotton</v>
      </c>
      <c r="J2028" s="8" t="str">
        <f>_xlfn.XLOOKUP(D2028,Master[Product_Code],Master[Size])</f>
        <v>XXL</v>
      </c>
      <c r="K2028" s="8" t="str">
        <f>_xlfn.XLOOKUP(D2028,Master[Product_Code],Master[Color])</f>
        <v>Dark Green</v>
      </c>
      <c r="L2028" s="3">
        <f>_xlfn.XLOOKUP(D2028,Master[Product_Code],Master[Selling_Price])</f>
        <v>700</v>
      </c>
    </row>
    <row r="2029" spans="2:12">
      <c r="B2029" s="2" t="s">
        <v>2596</v>
      </c>
      <c r="C2029" s="7">
        <v>45996</v>
      </c>
      <c r="D2029" s="2" t="s">
        <v>1608</v>
      </c>
      <c r="E2029" s="4">
        <v>1</v>
      </c>
      <c r="F2029" s="8" t="str">
        <f>_xlfn.XLOOKUP(D2029,Master[Product_Code],Master[Category])</f>
        <v>Innerwear</v>
      </c>
      <c r="G2029" s="8" t="str">
        <f>_xlfn.XLOOKUP(D2029,Master[Product_Code],Master[Brand])</f>
        <v>Jockey</v>
      </c>
      <c r="H2029" s="8" t="str">
        <f>_xlfn.XLOOKUP(D2029,Master[Product_Code],Master[Style])</f>
        <v>Boxer</v>
      </c>
      <c r="I2029" s="8" t="str">
        <f>_xlfn.XLOOKUP(D2029,Master[Product_Code],Master[Fabric])</f>
        <v>Cotton</v>
      </c>
      <c r="J2029" s="8" t="str">
        <f>_xlfn.XLOOKUP(D2029,Master[Product_Code],Master[Size])</f>
        <v>85-90</v>
      </c>
      <c r="K2029" s="8" t="str">
        <f>_xlfn.XLOOKUP(D2029,Master[Product_Code],Master[Color])</f>
        <v>Sky Blue</v>
      </c>
      <c r="L2029" s="3">
        <f>_xlfn.XLOOKUP(D2029,Master[Product_Code],Master[Selling_Price])</f>
        <v>170</v>
      </c>
    </row>
    <row r="2030" spans="2:12">
      <c r="B2030" s="2" t="s">
        <v>2596</v>
      </c>
      <c r="C2030" s="7">
        <v>45996</v>
      </c>
      <c r="D2030" s="2" t="s">
        <v>501</v>
      </c>
      <c r="E2030" s="4">
        <v>1</v>
      </c>
      <c r="F2030" s="8" t="str">
        <f>_xlfn.XLOOKUP(D2030,Master[Product_Code],Master[Category])</f>
        <v>T-Shirt</v>
      </c>
      <c r="G2030" s="8" t="str">
        <f>_xlfn.XLOOKUP(D2030,Master[Product_Code],Master[Brand])</f>
        <v>Thailand</v>
      </c>
      <c r="H2030" s="8" t="str">
        <f>_xlfn.XLOOKUP(D2030,Master[Product_Code],Master[Style])</f>
        <v>Full Sleeve</v>
      </c>
      <c r="I2030" s="8" t="str">
        <f>_xlfn.XLOOKUP(D2030,Master[Product_Code],Master[Fabric])</f>
        <v>Poly Cotton</v>
      </c>
      <c r="J2030" s="8" t="str">
        <f>_xlfn.XLOOKUP(D2030,Master[Product_Code],Master[Size])</f>
        <v>M</v>
      </c>
      <c r="K2030" s="8" t="str">
        <f>_xlfn.XLOOKUP(D2030,Master[Product_Code],Master[Color])</f>
        <v>Charcoal</v>
      </c>
      <c r="L2030" s="3">
        <f>_xlfn.XLOOKUP(D2030,Master[Product_Code],Master[Selling_Price])</f>
        <v>250</v>
      </c>
    </row>
    <row r="2031" spans="2:12">
      <c r="B2031" s="2" t="s">
        <v>2597</v>
      </c>
      <c r="C2031" s="7">
        <v>45996</v>
      </c>
      <c r="D2031" s="2" t="s">
        <v>302</v>
      </c>
      <c r="E2031" s="4">
        <v>1</v>
      </c>
      <c r="F2031" s="8" t="str">
        <f>_xlfn.XLOOKUP(D2031,Master[Product_Code],Master[Category])</f>
        <v>Shirt</v>
      </c>
      <c r="G2031" s="8" t="str">
        <f>_xlfn.XLOOKUP(D2031,Master[Product_Code],Master[Brand])</f>
        <v>USD</v>
      </c>
      <c r="H2031" s="8" t="str">
        <f>_xlfn.XLOOKUP(D2031,Master[Product_Code],Master[Style])</f>
        <v>Formal</v>
      </c>
      <c r="I2031" s="8" t="str">
        <f>_xlfn.XLOOKUP(D2031,Master[Product_Code],Master[Fabric])</f>
        <v>Cotton</v>
      </c>
      <c r="J2031" s="8" t="str">
        <f>_xlfn.XLOOKUP(D2031,Master[Product_Code],Master[Size])</f>
        <v>XL</v>
      </c>
      <c r="K2031" s="8" t="str">
        <f>_xlfn.XLOOKUP(D2031,Master[Product_Code],Master[Color])</f>
        <v>White</v>
      </c>
      <c r="L2031" s="3">
        <f>_xlfn.XLOOKUP(D2031,Master[Product_Code],Master[Selling_Price])</f>
        <v>860</v>
      </c>
    </row>
    <row r="2032" spans="2:12">
      <c r="B2032" s="2" t="s">
        <v>2598</v>
      </c>
      <c r="C2032" s="7">
        <v>45996</v>
      </c>
      <c r="D2032" s="2" t="s">
        <v>1546</v>
      </c>
      <c r="E2032" s="4">
        <v>1</v>
      </c>
      <c r="F2032" s="8" t="str">
        <f>_xlfn.XLOOKUP(D2032,Master[Product_Code],Master[Category])</f>
        <v>Innerwear</v>
      </c>
      <c r="G2032" s="8" t="str">
        <f>_xlfn.XLOOKUP(D2032,Master[Product_Code],Master[Brand])</f>
        <v>Lux</v>
      </c>
      <c r="H2032" s="8" t="str">
        <f>_xlfn.XLOOKUP(D2032,Master[Product_Code],Master[Style])</f>
        <v>Boxer</v>
      </c>
      <c r="I2032" s="8" t="str">
        <f>_xlfn.XLOOKUP(D2032,Master[Product_Code],Master[Fabric])</f>
        <v>Cotton</v>
      </c>
      <c r="J2032" s="8" t="str">
        <f>_xlfn.XLOOKUP(D2032,Master[Product_Code],Master[Size])</f>
        <v>105-110</v>
      </c>
      <c r="K2032" s="8" t="str">
        <f>_xlfn.XLOOKUP(D2032,Master[Product_Code],Master[Color])</f>
        <v>Mustard</v>
      </c>
      <c r="L2032" s="3">
        <f>_xlfn.XLOOKUP(D2032,Master[Product_Code],Master[Selling_Price])</f>
        <v>160</v>
      </c>
    </row>
    <row r="2033" spans="2:12">
      <c r="B2033" s="2" t="s">
        <v>2598</v>
      </c>
      <c r="C2033" s="7">
        <v>45996</v>
      </c>
      <c r="D2033" s="2" t="s">
        <v>1271</v>
      </c>
      <c r="E2033" s="4">
        <v>1</v>
      </c>
      <c r="F2033" s="8" t="str">
        <f>_xlfn.XLOOKUP(D2033,Master[Product_Code],Master[Category])</f>
        <v>Pants</v>
      </c>
      <c r="G2033" s="8" t="str">
        <f>_xlfn.XLOOKUP(D2033,Master[Product_Code],Master[Brand])</f>
        <v>Raymond</v>
      </c>
      <c r="H2033" s="8" t="str">
        <f>_xlfn.XLOOKUP(D2033,Master[Product_Code],Master[Style])</f>
        <v>Jogger</v>
      </c>
      <c r="I2033" s="8" t="str">
        <f>_xlfn.XLOOKUP(D2033,Master[Product_Code],Master[Fabric])</f>
        <v>Cotton</v>
      </c>
      <c r="J2033" s="8">
        <f>_xlfn.XLOOKUP(D2033,Master[Product_Code],Master[Size])</f>
        <v>36</v>
      </c>
      <c r="K2033" s="8" t="str">
        <f>_xlfn.XLOOKUP(D2033,Master[Product_Code],Master[Color])</f>
        <v>Olive</v>
      </c>
      <c r="L2033" s="3">
        <f>_xlfn.XLOOKUP(D2033,Master[Product_Code],Master[Selling_Price])</f>
        <v>900</v>
      </c>
    </row>
    <row r="2034" spans="2:12">
      <c r="B2034" s="2" t="s">
        <v>2598</v>
      </c>
      <c r="C2034" s="7">
        <v>45996</v>
      </c>
      <c r="D2034" s="2" t="s">
        <v>1573</v>
      </c>
      <c r="E2034" s="4">
        <v>1</v>
      </c>
      <c r="F2034" s="8" t="str">
        <f>_xlfn.XLOOKUP(D2034,Master[Product_Code],Master[Category])</f>
        <v>Innerwear</v>
      </c>
      <c r="G2034" s="8" t="str">
        <f>_xlfn.XLOOKUP(D2034,Master[Product_Code],Master[Brand])</f>
        <v>Jockey</v>
      </c>
      <c r="H2034" s="8" t="str">
        <f>_xlfn.XLOOKUP(D2034,Master[Product_Code],Master[Style])</f>
        <v>Boxer</v>
      </c>
      <c r="I2034" s="8" t="str">
        <f>_xlfn.XLOOKUP(D2034,Master[Product_Code],Master[Fabric])</f>
        <v>Cotton</v>
      </c>
      <c r="J2034" s="8" t="str">
        <f>_xlfn.XLOOKUP(D2034,Master[Product_Code],Master[Size])</f>
        <v>105-110</v>
      </c>
      <c r="K2034" s="8" t="str">
        <f>_xlfn.XLOOKUP(D2034,Master[Product_Code],Master[Color])</f>
        <v>Rust</v>
      </c>
      <c r="L2034" s="3">
        <f>_xlfn.XLOOKUP(D2034,Master[Product_Code],Master[Selling_Price])</f>
        <v>170</v>
      </c>
    </row>
    <row r="2035" spans="2:12">
      <c r="B2035" s="2" t="s">
        <v>2598</v>
      </c>
      <c r="C2035" s="7">
        <v>45996</v>
      </c>
      <c r="D2035" s="2" t="s">
        <v>524</v>
      </c>
      <c r="E2035" s="4">
        <v>1</v>
      </c>
      <c r="F2035" s="8" t="str">
        <f>_xlfn.XLOOKUP(D2035,Master[Product_Code],Master[Category])</f>
        <v>T-Shirt</v>
      </c>
      <c r="G2035" s="8" t="str">
        <f>_xlfn.XLOOKUP(D2035,Master[Product_Code],Master[Brand])</f>
        <v>Thailand</v>
      </c>
      <c r="H2035" s="8" t="str">
        <f>_xlfn.XLOOKUP(D2035,Master[Product_Code],Master[Style])</f>
        <v>Full Sleeve</v>
      </c>
      <c r="I2035" s="8" t="str">
        <f>_xlfn.XLOOKUP(D2035,Master[Product_Code],Master[Fabric])</f>
        <v>Poly Cotton</v>
      </c>
      <c r="J2035" s="8" t="str">
        <f>_xlfn.XLOOKUP(D2035,Master[Product_Code],Master[Size])</f>
        <v>XXL</v>
      </c>
      <c r="K2035" s="8" t="str">
        <f>_xlfn.XLOOKUP(D2035,Master[Product_Code],Master[Color])</f>
        <v>Wine</v>
      </c>
      <c r="L2035" s="3">
        <f>_xlfn.XLOOKUP(D2035,Master[Product_Code],Master[Selling_Price])</f>
        <v>680</v>
      </c>
    </row>
    <row r="2036" spans="2:12">
      <c r="B2036" s="2" t="s">
        <v>2599</v>
      </c>
      <c r="C2036" s="7">
        <v>45997</v>
      </c>
      <c r="D2036" s="2" t="s">
        <v>362</v>
      </c>
      <c r="E2036" s="4">
        <v>1</v>
      </c>
      <c r="F2036" s="8" t="str">
        <f>_xlfn.XLOOKUP(D2036,Master[Product_Code],Master[Category])</f>
        <v>Shirt</v>
      </c>
      <c r="G2036" s="8" t="str">
        <f>_xlfn.XLOOKUP(D2036,Master[Product_Code],Master[Brand])</f>
        <v>L7</v>
      </c>
      <c r="H2036" s="8" t="str">
        <f>_xlfn.XLOOKUP(D2036,Master[Product_Code],Master[Style])</f>
        <v>Casual</v>
      </c>
      <c r="I2036" s="8" t="str">
        <f>_xlfn.XLOOKUP(D2036,Master[Product_Code],Master[Fabric])</f>
        <v>Polyester</v>
      </c>
      <c r="J2036" s="8" t="str">
        <f>_xlfn.XLOOKUP(D2036,Master[Product_Code],Master[Size])</f>
        <v>L</v>
      </c>
      <c r="K2036" s="8" t="str">
        <f>_xlfn.XLOOKUP(D2036,Master[Product_Code],Master[Color])</f>
        <v>Peach</v>
      </c>
      <c r="L2036" s="3">
        <f>_xlfn.XLOOKUP(D2036,Master[Product_Code],Master[Selling_Price])</f>
        <v>880</v>
      </c>
    </row>
    <row r="2037" spans="2:12">
      <c r="B2037" s="2" t="s">
        <v>2599</v>
      </c>
      <c r="C2037" s="7">
        <v>45997</v>
      </c>
      <c r="D2037" s="2" t="s">
        <v>1259</v>
      </c>
      <c r="E2037" s="4">
        <v>1</v>
      </c>
      <c r="F2037" s="8" t="str">
        <f>_xlfn.XLOOKUP(D2037,Master[Product_Code],Master[Category])</f>
        <v>Pants</v>
      </c>
      <c r="G2037" s="8" t="str">
        <f>_xlfn.XLOOKUP(D2037,Master[Product_Code],Master[Brand])</f>
        <v>Park Avenue</v>
      </c>
      <c r="H2037" s="8" t="str">
        <f>_xlfn.XLOOKUP(D2037,Master[Product_Code],Master[Style])</f>
        <v>Kurka</v>
      </c>
      <c r="I2037" s="8" t="str">
        <f>_xlfn.XLOOKUP(D2037,Master[Product_Code],Master[Fabric])</f>
        <v>Lycra</v>
      </c>
      <c r="J2037" s="8">
        <f>_xlfn.XLOOKUP(D2037,Master[Product_Code],Master[Size])</f>
        <v>42</v>
      </c>
      <c r="K2037" s="8" t="str">
        <f>_xlfn.XLOOKUP(D2037,Master[Product_Code],Master[Color])</f>
        <v>Grey</v>
      </c>
      <c r="L2037" s="3">
        <f>_xlfn.XLOOKUP(D2037,Master[Product_Code],Master[Selling_Price])</f>
        <v>900</v>
      </c>
    </row>
    <row r="2038" spans="2:12">
      <c r="B2038" s="2" t="s">
        <v>2600</v>
      </c>
      <c r="C2038" s="7">
        <v>45997</v>
      </c>
      <c r="D2038" s="2" t="s">
        <v>129</v>
      </c>
      <c r="E2038" s="4">
        <v>1</v>
      </c>
      <c r="F2038" s="8" t="str">
        <f>_xlfn.XLOOKUP(D2038,Master[Product_Code],Master[Category])</f>
        <v>Shirt</v>
      </c>
      <c r="G2038" s="8" t="str">
        <f>_xlfn.XLOOKUP(D2038,Master[Product_Code],Master[Brand])</f>
        <v>L7</v>
      </c>
      <c r="H2038" s="8" t="str">
        <f>_xlfn.XLOOKUP(D2038,Master[Product_Code],Master[Style])</f>
        <v>Casual</v>
      </c>
      <c r="I2038" s="8" t="str">
        <f>_xlfn.XLOOKUP(D2038,Master[Product_Code],Master[Fabric])</f>
        <v>Lycra</v>
      </c>
      <c r="J2038" s="8" t="str">
        <f>_xlfn.XLOOKUP(D2038,Master[Product_Code],Master[Size])</f>
        <v>XL</v>
      </c>
      <c r="K2038" s="8" t="str">
        <f>_xlfn.XLOOKUP(D2038,Master[Product_Code],Master[Color])</f>
        <v>Wine</v>
      </c>
      <c r="L2038" s="3">
        <f>_xlfn.XLOOKUP(D2038,Master[Product_Code],Master[Selling_Price])</f>
        <v>930</v>
      </c>
    </row>
    <row r="2039" spans="2:12">
      <c r="B2039" s="2" t="s">
        <v>2601</v>
      </c>
      <c r="C2039" s="7">
        <v>45997</v>
      </c>
      <c r="D2039" s="2" t="s">
        <v>1461</v>
      </c>
      <c r="E2039" s="4">
        <v>1</v>
      </c>
      <c r="F2039" s="8" t="str">
        <f>_xlfn.XLOOKUP(D2039,Master[Product_Code],Master[Category])</f>
        <v>Innerwear</v>
      </c>
      <c r="G2039" s="8" t="str">
        <f>_xlfn.XLOOKUP(D2039,Master[Product_Code],Master[Brand])</f>
        <v>Rupa</v>
      </c>
      <c r="H2039" s="8" t="str">
        <f>_xlfn.XLOOKUP(D2039,Master[Product_Code],Master[Style])</f>
        <v>Boxer</v>
      </c>
      <c r="I2039" s="8" t="str">
        <f>_xlfn.XLOOKUP(D2039,Master[Product_Code],Master[Fabric])</f>
        <v>Cotton</v>
      </c>
      <c r="J2039" s="8" t="str">
        <f>_xlfn.XLOOKUP(D2039,Master[Product_Code],Master[Size])</f>
        <v>100-105</v>
      </c>
      <c r="K2039" s="8" t="str">
        <f>_xlfn.XLOOKUP(D2039,Master[Product_Code],Master[Color])</f>
        <v>Rust</v>
      </c>
      <c r="L2039" s="3">
        <f>_xlfn.XLOOKUP(D2039,Master[Product_Code],Master[Selling_Price])</f>
        <v>160</v>
      </c>
    </row>
    <row r="2040" spans="2:12">
      <c r="B2040" s="2" t="s">
        <v>2601</v>
      </c>
      <c r="C2040" s="7">
        <v>45997</v>
      </c>
      <c r="D2040" s="2" t="s">
        <v>610</v>
      </c>
      <c r="E2040" s="4">
        <v>1</v>
      </c>
      <c r="F2040" s="8" t="str">
        <f>_xlfn.XLOOKUP(D2040,Master[Product_Code],Master[Category])</f>
        <v>T-Shirt</v>
      </c>
      <c r="G2040" s="8" t="str">
        <f>_xlfn.XLOOKUP(D2040,Master[Product_Code],Master[Brand])</f>
        <v>Zara</v>
      </c>
      <c r="H2040" s="8" t="str">
        <f>_xlfn.XLOOKUP(D2040,Master[Product_Code],Master[Style])</f>
        <v>Sleeveless</v>
      </c>
      <c r="I2040" s="8" t="str">
        <f>_xlfn.XLOOKUP(D2040,Master[Product_Code],Master[Fabric])</f>
        <v>Poly Cotton</v>
      </c>
      <c r="J2040" s="8" t="str">
        <f>_xlfn.XLOOKUP(D2040,Master[Product_Code],Master[Size])</f>
        <v>XL</v>
      </c>
      <c r="K2040" s="8" t="str">
        <f>_xlfn.XLOOKUP(D2040,Master[Product_Code],Master[Color])</f>
        <v>Dark Green</v>
      </c>
      <c r="L2040" s="3">
        <f>_xlfn.XLOOKUP(D2040,Master[Product_Code],Master[Selling_Price])</f>
        <v>610</v>
      </c>
    </row>
    <row r="2041" spans="2:12">
      <c r="B2041" s="2" t="s">
        <v>2601</v>
      </c>
      <c r="C2041" s="7">
        <v>45997</v>
      </c>
      <c r="D2041" s="2" t="s">
        <v>628</v>
      </c>
      <c r="E2041" s="4">
        <v>1</v>
      </c>
      <c r="F2041" s="8" t="str">
        <f>_xlfn.XLOOKUP(D2041,Master[Product_Code],Master[Category])</f>
        <v>T-Shirt</v>
      </c>
      <c r="G2041" s="8" t="str">
        <f>_xlfn.XLOOKUP(D2041,Master[Product_Code],Master[Brand])</f>
        <v>Urban Monkey</v>
      </c>
      <c r="H2041" s="8" t="str">
        <f>_xlfn.XLOOKUP(D2041,Master[Product_Code],Master[Style])</f>
        <v>Hoodie</v>
      </c>
      <c r="I2041" s="8" t="str">
        <f>_xlfn.XLOOKUP(D2041,Master[Product_Code],Master[Fabric])</f>
        <v>Poly Cotton</v>
      </c>
      <c r="J2041" s="8" t="str">
        <f>_xlfn.XLOOKUP(D2041,Master[Product_Code],Master[Size])</f>
        <v>S</v>
      </c>
      <c r="K2041" s="8" t="str">
        <f>_xlfn.XLOOKUP(D2041,Master[Product_Code],Master[Color])</f>
        <v>Olive</v>
      </c>
      <c r="L2041" s="3">
        <f>_xlfn.XLOOKUP(D2041,Master[Product_Code],Master[Selling_Price])</f>
        <v>310</v>
      </c>
    </row>
    <row r="2042" spans="2:12">
      <c r="B2042" s="2" t="s">
        <v>2601</v>
      </c>
      <c r="C2042" s="7">
        <v>45997</v>
      </c>
      <c r="D2042" s="2" t="s">
        <v>178</v>
      </c>
      <c r="E2042" s="4">
        <v>1</v>
      </c>
      <c r="F2042" s="8" t="str">
        <f>_xlfn.XLOOKUP(D2042,Master[Product_Code],Master[Category])</f>
        <v>Shirt</v>
      </c>
      <c r="G2042" s="8" t="str">
        <f>_xlfn.XLOOKUP(D2042,Master[Product_Code],Master[Brand])</f>
        <v>L7</v>
      </c>
      <c r="H2042" s="8" t="str">
        <f>_xlfn.XLOOKUP(D2042,Master[Product_Code],Master[Style])</f>
        <v>Formal</v>
      </c>
      <c r="I2042" s="8" t="str">
        <f>_xlfn.XLOOKUP(D2042,Master[Product_Code],Master[Fabric])</f>
        <v>Cotton</v>
      </c>
      <c r="J2042" s="8" t="str">
        <f>_xlfn.XLOOKUP(D2042,Master[Product_Code],Master[Size])</f>
        <v>L</v>
      </c>
      <c r="K2042" s="8" t="str">
        <f>_xlfn.XLOOKUP(D2042,Master[Product_Code],Master[Color])</f>
        <v>Light Grey</v>
      </c>
      <c r="L2042" s="3">
        <f>_xlfn.XLOOKUP(D2042,Master[Product_Code],Master[Selling_Price])</f>
        <v>640</v>
      </c>
    </row>
    <row r="2043" spans="2:12">
      <c r="B2043" s="2" t="s">
        <v>2602</v>
      </c>
      <c r="C2043" s="7">
        <v>45997</v>
      </c>
      <c r="D2043" s="2" t="s">
        <v>525</v>
      </c>
      <c r="E2043" s="4">
        <v>1</v>
      </c>
      <c r="F2043" s="8" t="str">
        <f>_xlfn.XLOOKUP(D2043,Master[Product_Code],Master[Category])</f>
        <v>T-Shirt</v>
      </c>
      <c r="G2043" s="8" t="str">
        <f>_xlfn.XLOOKUP(D2043,Master[Product_Code],Master[Brand])</f>
        <v>Max</v>
      </c>
      <c r="H2043" s="8" t="str">
        <f>_xlfn.XLOOKUP(D2043,Master[Product_Code],Master[Style])</f>
        <v>3/4 Sleeve</v>
      </c>
      <c r="I2043" s="8" t="str">
        <f>_xlfn.XLOOKUP(D2043,Master[Product_Code],Master[Fabric])</f>
        <v>Poly Cotton</v>
      </c>
      <c r="J2043" s="8" t="str">
        <f>_xlfn.XLOOKUP(D2043,Master[Product_Code],Master[Size])</f>
        <v>S</v>
      </c>
      <c r="K2043" s="8" t="str">
        <f>_xlfn.XLOOKUP(D2043,Master[Product_Code],Master[Color])</f>
        <v>Charcoal</v>
      </c>
      <c r="L2043" s="3">
        <f>_xlfn.XLOOKUP(D2043,Master[Product_Code],Master[Selling_Price])</f>
        <v>740</v>
      </c>
    </row>
    <row r="2044" spans="2:12">
      <c r="B2044" s="2" t="s">
        <v>2603</v>
      </c>
      <c r="C2044" s="7">
        <v>45997</v>
      </c>
      <c r="D2044" s="2" t="s">
        <v>1450</v>
      </c>
      <c r="E2044" s="4">
        <v>1</v>
      </c>
      <c r="F2044" s="8" t="str">
        <f>_xlfn.XLOOKUP(D2044,Master[Product_Code],Master[Category])</f>
        <v>Pants</v>
      </c>
      <c r="G2044" s="8" t="str">
        <f>_xlfn.XLOOKUP(D2044,Master[Product_Code],Master[Brand])</f>
        <v>Park Avenue</v>
      </c>
      <c r="H2044" s="8" t="str">
        <f>_xlfn.XLOOKUP(D2044,Master[Product_Code],Master[Style])</f>
        <v>Kurka</v>
      </c>
      <c r="I2044" s="8" t="str">
        <f>_xlfn.XLOOKUP(D2044,Master[Product_Code],Master[Fabric])</f>
        <v>Lycra</v>
      </c>
      <c r="J2044" s="8">
        <f>_xlfn.XLOOKUP(D2044,Master[Product_Code],Master[Size])</f>
        <v>34</v>
      </c>
      <c r="K2044" s="8" t="str">
        <f>_xlfn.XLOOKUP(D2044,Master[Product_Code],Master[Color])</f>
        <v>Charcoal</v>
      </c>
      <c r="L2044" s="3">
        <f>_xlfn.XLOOKUP(D2044,Master[Product_Code],Master[Selling_Price])</f>
        <v>870</v>
      </c>
    </row>
    <row r="2045" spans="2:12">
      <c r="B2045" s="2" t="s">
        <v>2603</v>
      </c>
      <c r="C2045" s="7">
        <v>45997</v>
      </c>
      <c r="D2045" s="2" t="s">
        <v>655</v>
      </c>
      <c r="E2045" s="4">
        <v>1</v>
      </c>
      <c r="F2045" s="8" t="str">
        <f>_xlfn.XLOOKUP(D2045,Master[Product_Code],Master[Category])</f>
        <v>T-Shirt</v>
      </c>
      <c r="G2045" s="8" t="str">
        <f>_xlfn.XLOOKUP(D2045,Master[Product_Code],Master[Brand])</f>
        <v>Turkey</v>
      </c>
      <c r="H2045" s="8" t="str">
        <f>_xlfn.XLOOKUP(D2045,Master[Product_Code],Master[Style])</f>
        <v>Full Sleeve</v>
      </c>
      <c r="I2045" s="8" t="str">
        <f>_xlfn.XLOOKUP(D2045,Master[Product_Code],Master[Fabric])</f>
        <v>Poly Cotton</v>
      </c>
      <c r="J2045" s="8" t="str">
        <f>_xlfn.XLOOKUP(D2045,Master[Product_Code],Master[Size])</f>
        <v>M</v>
      </c>
      <c r="K2045" s="8" t="str">
        <f>_xlfn.XLOOKUP(D2045,Master[Product_Code],Master[Color])</f>
        <v>Peach</v>
      </c>
      <c r="L2045" s="3">
        <f>_xlfn.XLOOKUP(D2045,Master[Product_Code],Master[Selling_Price])</f>
        <v>410</v>
      </c>
    </row>
    <row r="2046" spans="2:12">
      <c r="B2046" s="2" t="s">
        <v>2604</v>
      </c>
      <c r="C2046" s="7">
        <v>45997</v>
      </c>
      <c r="D2046" s="2" t="s">
        <v>160</v>
      </c>
      <c r="E2046" s="4">
        <v>1</v>
      </c>
      <c r="F2046" s="8" t="str">
        <f>_xlfn.XLOOKUP(D2046,Master[Product_Code],Master[Category])</f>
        <v>Shirt</v>
      </c>
      <c r="G2046" s="8" t="str">
        <f>_xlfn.XLOOKUP(D2046,Master[Product_Code],Master[Brand])</f>
        <v>Max</v>
      </c>
      <c r="H2046" s="8" t="str">
        <f>_xlfn.XLOOKUP(D2046,Master[Product_Code],Master[Style])</f>
        <v>Casual</v>
      </c>
      <c r="I2046" s="8" t="str">
        <f>_xlfn.XLOOKUP(D2046,Master[Product_Code],Master[Fabric])</f>
        <v>Cotton Blend</v>
      </c>
      <c r="J2046" s="8" t="str">
        <f>_xlfn.XLOOKUP(D2046,Master[Product_Code],Master[Size])</f>
        <v>L</v>
      </c>
      <c r="K2046" s="8" t="str">
        <f>_xlfn.XLOOKUP(D2046,Master[Product_Code],Master[Color])</f>
        <v>Charcoal</v>
      </c>
      <c r="L2046" s="3">
        <f>_xlfn.XLOOKUP(D2046,Master[Product_Code],Master[Selling_Price])</f>
        <v>760</v>
      </c>
    </row>
    <row r="2047" spans="2:12">
      <c r="B2047" s="2" t="s">
        <v>2604</v>
      </c>
      <c r="C2047" s="7">
        <v>45997</v>
      </c>
      <c r="D2047" s="2" t="s">
        <v>315</v>
      </c>
      <c r="E2047" s="4">
        <v>1</v>
      </c>
      <c r="F2047" s="8" t="str">
        <f>_xlfn.XLOOKUP(D2047,Master[Product_Code],Master[Category])</f>
        <v>Shirt</v>
      </c>
      <c r="G2047" s="8" t="str">
        <f>_xlfn.XLOOKUP(D2047,Master[Product_Code],Master[Brand])</f>
        <v>British</v>
      </c>
      <c r="H2047" s="8" t="str">
        <f>_xlfn.XLOOKUP(D2047,Master[Product_Code],Master[Style])</f>
        <v>Casual</v>
      </c>
      <c r="I2047" s="8" t="str">
        <f>_xlfn.XLOOKUP(D2047,Master[Product_Code],Master[Fabric])</f>
        <v>Cotton Blend</v>
      </c>
      <c r="J2047" s="8" t="str">
        <f>_xlfn.XLOOKUP(D2047,Master[Product_Code],Master[Size])</f>
        <v>L</v>
      </c>
      <c r="K2047" s="8" t="str">
        <f>_xlfn.XLOOKUP(D2047,Master[Product_Code],Master[Color])</f>
        <v>Charcoal</v>
      </c>
      <c r="L2047" s="3">
        <f>_xlfn.XLOOKUP(D2047,Master[Product_Code],Master[Selling_Price])</f>
        <v>820</v>
      </c>
    </row>
    <row r="2048" spans="2:12">
      <c r="B2048" s="2" t="s">
        <v>2604</v>
      </c>
      <c r="C2048" s="7">
        <v>45997</v>
      </c>
      <c r="D2048" s="2" t="s">
        <v>455</v>
      </c>
      <c r="E2048" s="4">
        <v>1</v>
      </c>
      <c r="F2048" s="8" t="str">
        <f>_xlfn.XLOOKUP(D2048,Master[Product_Code],Master[Category])</f>
        <v>T-Shirt</v>
      </c>
      <c r="G2048" s="8" t="str">
        <f>_xlfn.XLOOKUP(D2048,Master[Product_Code],Master[Brand])</f>
        <v>Thailand</v>
      </c>
      <c r="H2048" s="8" t="str">
        <f>_xlfn.XLOOKUP(D2048,Master[Product_Code],Master[Style])</f>
        <v>Sleeveless</v>
      </c>
      <c r="I2048" s="8" t="str">
        <f>_xlfn.XLOOKUP(D2048,Master[Product_Code],Master[Fabric])</f>
        <v>Cotton Blend</v>
      </c>
      <c r="J2048" s="8" t="str">
        <f>_xlfn.XLOOKUP(D2048,Master[Product_Code],Master[Size])</f>
        <v>XL</v>
      </c>
      <c r="K2048" s="8" t="str">
        <f>_xlfn.XLOOKUP(D2048,Master[Product_Code],Master[Color])</f>
        <v>Navy Blue</v>
      </c>
      <c r="L2048" s="3">
        <f>_xlfn.XLOOKUP(D2048,Master[Product_Code],Master[Selling_Price])</f>
        <v>520</v>
      </c>
    </row>
    <row r="2049" spans="2:12">
      <c r="B2049" s="2" t="s">
        <v>2605</v>
      </c>
      <c r="C2049" s="7">
        <v>45997</v>
      </c>
      <c r="D2049" s="2" t="s">
        <v>269</v>
      </c>
      <c r="E2049" s="4">
        <v>1</v>
      </c>
      <c r="F2049" s="8" t="str">
        <f>_xlfn.XLOOKUP(D2049,Master[Product_Code],Master[Category])</f>
        <v>Shirt</v>
      </c>
      <c r="G2049" s="8" t="str">
        <f>_xlfn.XLOOKUP(D2049,Master[Product_Code],Master[Brand])</f>
        <v>British</v>
      </c>
      <c r="H2049" s="8" t="str">
        <f>_xlfn.XLOOKUP(D2049,Master[Product_Code],Master[Style])</f>
        <v>Casual</v>
      </c>
      <c r="I2049" s="8" t="str">
        <f>_xlfn.XLOOKUP(D2049,Master[Product_Code],Master[Fabric])</f>
        <v>Cotton</v>
      </c>
      <c r="J2049" s="8" t="str">
        <f>_xlfn.XLOOKUP(D2049,Master[Product_Code],Master[Size])</f>
        <v>S</v>
      </c>
      <c r="K2049" s="8" t="str">
        <f>_xlfn.XLOOKUP(D2049,Master[Product_Code],Master[Color])</f>
        <v>Royal Blue</v>
      </c>
      <c r="L2049" s="3">
        <f>_xlfn.XLOOKUP(D2049,Master[Product_Code],Master[Selling_Price])</f>
        <v>650</v>
      </c>
    </row>
    <row r="2050" spans="2:12">
      <c r="B2050" s="2" t="s">
        <v>2605</v>
      </c>
      <c r="C2050" s="7">
        <v>45997</v>
      </c>
      <c r="D2050" s="2" t="s">
        <v>1096</v>
      </c>
      <c r="E2050" s="4">
        <v>1</v>
      </c>
      <c r="F2050" s="8" t="str">
        <f>_xlfn.XLOOKUP(D2050,Master[Product_Code],Master[Category])</f>
        <v>Jeans</v>
      </c>
      <c r="G2050" s="8" t="str">
        <f>_xlfn.XLOOKUP(D2050,Master[Product_Code],Master[Brand])</f>
        <v>Pepe</v>
      </c>
      <c r="H2050" s="8" t="str">
        <f>_xlfn.XLOOKUP(D2050,Master[Product_Code],Master[Style])</f>
        <v>Mom Fit</v>
      </c>
      <c r="I2050" s="8" t="str">
        <f>_xlfn.XLOOKUP(D2050,Master[Product_Code],Master[Fabric])</f>
        <v>Denim</v>
      </c>
      <c r="J2050" s="8">
        <f>_xlfn.XLOOKUP(D2050,Master[Product_Code],Master[Size])</f>
        <v>36</v>
      </c>
      <c r="K2050" s="8" t="str">
        <f>_xlfn.XLOOKUP(D2050,Master[Product_Code],Master[Color])</f>
        <v>Grey</v>
      </c>
      <c r="L2050" s="3">
        <f>_xlfn.XLOOKUP(D2050,Master[Product_Code],Master[Selling_Price])</f>
        <v>1010</v>
      </c>
    </row>
    <row r="2051" spans="2:12">
      <c r="B2051" s="2" t="s">
        <v>2606</v>
      </c>
      <c r="C2051" s="7">
        <v>45997</v>
      </c>
      <c r="D2051" s="2" t="s">
        <v>1712</v>
      </c>
      <c r="E2051" s="4">
        <v>1</v>
      </c>
      <c r="F2051" s="8" t="str">
        <f>_xlfn.XLOOKUP(D2051,Master[Product_Code],Master[Category])</f>
        <v>Innerwear</v>
      </c>
      <c r="G2051" s="8" t="str">
        <f>_xlfn.XLOOKUP(D2051,Master[Product_Code],Master[Brand])</f>
        <v>Jockey</v>
      </c>
      <c r="H2051" s="8" t="str">
        <f>_xlfn.XLOOKUP(D2051,Master[Product_Code],Master[Style])</f>
        <v>Boxer</v>
      </c>
      <c r="I2051" s="8" t="str">
        <f>_xlfn.XLOOKUP(D2051,Master[Product_Code],Master[Fabric])</f>
        <v>Cotton</v>
      </c>
      <c r="J2051" s="8" t="str">
        <f>_xlfn.XLOOKUP(D2051,Master[Product_Code],Master[Size])</f>
        <v>75-80</v>
      </c>
      <c r="K2051" s="8" t="str">
        <f>_xlfn.XLOOKUP(D2051,Master[Product_Code],Master[Color])</f>
        <v>Olive</v>
      </c>
      <c r="L2051" s="3">
        <f>_xlfn.XLOOKUP(D2051,Master[Product_Code],Master[Selling_Price])</f>
        <v>180</v>
      </c>
    </row>
    <row r="2052" spans="2:12">
      <c r="B2052" s="2" t="s">
        <v>2606</v>
      </c>
      <c r="C2052" s="7">
        <v>45997</v>
      </c>
      <c r="D2052" s="2" t="s">
        <v>1596</v>
      </c>
      <c r="E2052" s="4">
        <v>1</v>
      </c>
      <c r="F2052" s="8" t="str">
        <f>_xlfn.XLOOKUP(D2052,Master[Product_Code],Master[Category])</f>
        <v>Innerwear</v>
      </c>
      <c r="G2052" s="8" t="str">
        <f>_xlfn.XLOOKUP(D2052,Master[Product_Code],Master[Brand])</f>
        <v>Dollar</v>
      </c>
      <c r="H2052" s="8" t="str">
        <f>_xlfn.XLOOKUP(D2052,Master[Product_Code],Master[Style])</f>
        <v>Boxer</v>
      </c>
      <c r="I2052" s="8" t="str">
        <f>_xlfn.XLOOKUP(D2052,Master[Product_Code],Master[Fabric])</f>
        <v>Cotton Blend</v>
      </c>
      <c r="J2052" s="8" t="str">
        <f>_xlfn.XLOOKUP(D2052,Master[Product_Code],Master[Size])</f>
        <v>100-105</v>
      </c>
      <c r="K2052" s="8" t="str">
        <f>_xlfn.XLOOKUP(D2052,Master[Product_Code],Master[Color])</f>
        <v>Sky Blue</v>
      </c>
      <c r="L2052" s="3">
        <f>_xlfn.XLOOKUP(D2052,Master[Product_Code],Master[Selling_Price])</f>
        <v>190</v>
      </c>
    </row>
    <row r="2053" spans="2:12">
      <c r="B2053" s="2" t="s">
        <v>2606</v>
      </c>
      <c r="C2053" s="7">
        <v>45997</v>
      </c>
      <c r="D2053" s="2" t="s">
        <v>357</v>
      </c>
      <c r="E2053" s="4">
        <v>1</v>
      </c>
      <c r="F2053" s="8" t="str">
        <f>_xlfn.XLOOKUP(D2053,Master[Product_Code],Master[Category])</f>
        <v>Shirt</v>
      </c>
      <c r="G2053" s="8" t="str">
        <f>_xlfn.XLOOKUP(D2053,Master[Product_Code],Master[Brand])</f>
        <v>Max</v>
      </c>
      <c r="H2053" s="8" t="str">
        <f>_xlfn.XLOOKUP(D2053,Master[Product_Code],Master[Style])</f>
        <v>Partywear</v>
      </c>
      <c r="I2053" s="8" t="str">
        <f>_xlfn.XLOOKUP(D2053,Master[Product_Code],Master[Fabric])</f>
        <v>Cotton Blend</v>
      </c>
      <c r="J2053" s="8" t="str">
        <f>_xlfn.XLOOKUP(D2053,Master[Product_Code],Master[Size])</f>
        <v>XXL</v>
      </c>
      <c r="K2053" s="8" t="str">
        <f>_xlfn.XLOOKUP(D2053,Master[Product_Code],Master[Color])</f>
        <v>Teal</v>
      </c>
      <c r="L2053" s="3">
        <f>_xlfn.XLOOKUP(D2053,Master[Product_Code],Master[Selling_Price])</f>
        <v>690</v>
      </c>
    </row>
    <row r="2054" spans="2:12">
      <c r="B2054" s="2" t="s">
        <v>2607</v>
      </c>
      <c r="C2054" s="7">
        <v>45997</v>
      </c>
      <c r="D2054" s="2" t="s">
        <v>486</v>
      </c>
      <c r="E2054" s="4">
        <v>1</v>
      </c>
      <c r="F2054" s="8" t="str">
        <f>_xlfn.XLOOKUP(D2054,Master[Product_Code],Master[Category])</f>
        <v>T-Shirt</v>
      </c>
      <c r="G2054" s="8" t="str">
        <f>_xlfn.XLOOKUP(D2054,Master[Product_Code],Master[Brand])</f>
        <v>Max</v>
      </c>
      <c r="H2054" s="8" t="str">
        <f>_xlfn.XLOOKUP(D2054,Master[Product_Code],Master[Style])</f>
        <v>Sleeveless</v>
      </c>
      <c r="I2054" s="8" t="str">
        <f>_xlfn.XLOOKUP(D2054,Master[Product_Code],Master[Fabric])</f>
        <v>Cotton</v>
      </c>
      <c r="J2054" s="8" t="str">
        <f>_xlfn.XLOOKUP(D2054,Master[Product_Code],Master[Size])</f>
        <v>XL</v>
      </c>
      <c r="K2054" s="8" t="str">
        <f>_xlfn.XLOOKUP(D2054,Master[Product_Code],Master[Color])</f>
        <v>Dark Green</v>
      </c>
      <c r="L2054" s="3">
        <f>_xlfn.XLOOKUP(D2054,Master[Product_Code],Master[Selling_Price])</f>
        <v>620</v>
      </c>
    </row>
    <row r="2055" spans="2:12">
      <c r="B2055" s="2" t="s">
        <v>2607</v>
      </c>
      <c r="C2055" s="7">
        <v>45997</v>
      </c>
      <c r="D2055" s="2" t="s">
        <v>1494</v>
      </c>
      <c r="E2055" s="4">
        <v>1</v>
      </c>
      <c r="F2055" s="8" t="str">
        <f>_xlfn.XLOOKUP(D2055,Master[Product_Code],Master[Category])</f>
        <v>Innerwear</v>
      </c>
      <c r="G2055" s="8" t="str">
        <f>_xlfn.XLOOKUP(D2055,Master[Product_Code],Master[Brand])</f>
        <v>Dollar</v>
      </c>
      <c r="H2055" s="8" t="str">
        <f>_xlfn.XLOOKUP(D2055,Master[Product_Code],Master[Style])</f>
        <v>Boxer</v>
      </c>
      <c r="I2055" s="8" t="str">
        <f>_xlfn.XLOOKUP(D2055,Master[Product_Code],Master[Fabric])</f>
        <v>Cotton</v>
      </c>
      <c r="J2055" s="8" t="str">
        <f>_xlfn.XLOOKUP(D2055,Master[Product_Code],Master[Size])</f>
        <v>100-105</v>
      </c>
      <c r="K2055" s="8" t="str">
        <f>_xlfn.XLOOKUP(D2055,Master[Product_Code],Master[Color])</f>
        <v>Black</v>
      </c>
      <c r="L2055" s="3">
        <f>_xlfn.XLOOKUP(D2055,Master[Product_Code],Master[Selling_Price])</f>
        <v>170</v>
      </c>
    </row>
    <row r="2056" spans="2:12">
      <c r="B2056" s="2" t="s">
        <v>2608</v>
      </c>
      <c r="C2056" s="7">
        <v>45997</v>
      </c>
      <c r="D2056" s="2" t="s">
        <v>1576</v>
      </c>
      <c r="E2056" s="4">
        <v>1</v>
      </c>
      <c r="F2056" s="8" t="str">
        <f>_xlfn.XLOOKUP(D2056,Master[Product_Code],Master[Category])</f>
        <v>Innerwear</v>
      </c>
      <c r="G2056" s="8" t="str">
        <f>_xlfn.XLOOKUP(D2056,Master[Product_Code],Master[Brand])</f>
        <v>V Star</v>
      </c>
      <c r="H2056" s="8" t="str">
        <f>_xlfn.XLOOKUP(D2056,Master[Product_Code],Master[Style])</f>
        <v>Boxer</v>
      </c>
      <c r="I2056" s="8" t="str">
        <f>_xlfn.XLOOKUP(D2056,Master[Product_Code],Master[Fabric])</f>
        <v>Cotton Blend</v>
      </c>
      <c r="J2056" s="8" t="str">
        <f>_xlfn.XLOOKUP(D2056,Master[Product_Code],Master[Size])</f>
        <v>105-110</v>
      </c>
      <c r="K2056" s="8" t="str">
        <f>_xlfn.XLOOKUP(D2056,Master[Product_Code],Master[Color])</f>
        <v>Sky Blue</v>
      </c>
      <c r="L2056" s="3">
        <f>_xlfn.XLOOKUP(D2056,Master[Product_Code],Master[Selling_Price])</f>
        <v>100</v>
      </c>
    </row>
    <row r="2057" spans="2:12">
      <c r="B2057" s="2" t="s">
        <v>2608</v>
      </c>
      <c r="C2057" s="7">
        <v>45997</v>
      </c>
      <c r="D2057" s="2" t="s">
        <v>129</v>
      </c>
      <c r="E2057" s="4">
        <v>1</v>
      </c>
      <c r="F2057" s="8" t="str">
        <f>_xlfn.XLOOKUP(D2057,Master[Product_Code],Master[Category])</f>
        <v>Shirt</v>
      </c>
      <c r="G2057" s="8" t="str">
        <f>_xlfn.XLOOKUP(D2057,Master[Product_Code],Master[Brand])</f>
        <v>L7</v>
      </c>
      <c r="H2057" s="8" t="str">
        <f>_xlfn.XLOOKUP(D2057,Master[Product_Code],Master[Style])</f>
        <v>Casual</v>
      </c>
      <c r="I2057" s="8" t="str">
        <f>_xlfn.XLOOKUP(D2057,Master[Product_Code],Master[Fabric])</f>
        <v>Lycra</v>
      </c>
      <c r="J2057" s="8" t="str">
        <f>_xlfn.XLOOKUP(D2057,Master[Product_Code],Master[Size])</f>
        <v>XL</v>
      </c>
      <c r="K2057" s="8" t="str">
        <f>_xlfn.XLOOKUP(D2057,Master[Product_Code],Master[Color])</f>
        <v>Wine</v>
      </c>
      <c r="L2057" s="3">
        <f>_xlfn.XLOOKUP(D2057,Master[Product_Code],Master[Selling_Price])</f>
        <v>930</v>
      </c>
    </row>
    <row r="2058" spans="2:12">
      <c r="B2058" s="2" t="s">
        <v>2609</v>
      </c>
      <c r="C2058" s="7">
        <v>45997</v>
      </c>
      <c r="D2058" s="2" t="s">
        <v>1644</v>
      </c>
      <c r="E2058" s="4">
        <v>1</v>
      </c>
      <c r="F2058" s="8" t="str">
        <f>_xlfn.XLOOKUP(D2058,Master[Product_Code],Master[Category])</f>
        <v>Innerwear</v>
      </c>
      <c r="G2058" s="8" t="str">
        <f>_xlfn.XLOOKUP(D2058,Master[Product_Code],Master[Brand])</f>
        <v>Jockey</v>
      </c>
      <c r="H2058" s="8" t="str">
        <f>_xlfn.XLOOKUP(D2058,Master[Product_Code],Master[Style])</f>
        <v>Boxer</v>
      </c>
      <c r="I2058" s="8" t="str">
        <f>_xlfn.XLOOKUP(D2058,Master[Product_Code],Master[Fabric])</f>
        <v>Cotton</v>
      </c>
      <c r="J2058" s="8" t="str">
        <f>_xlfn.XLOOKUP(D2058,Master[Product_Code],Master[Size])</f>
        <v>80-85</v>
      </c>
      <c r="K2058" s="8" t="str">
        <f>_xlfn.XLOOKUP(D2058,Master[Product_Code],Master[Color])</f>
        <v>Black</v>
      </c>
      <c r="L2058" s="3">
        <f>_xlfn.XLOOKUP(D2058,Master[Product_Code],Master[Selling_Price])</f>
        <v>170</v>
      </c>
    </row>
    <row r="2059" spans="2:12">
      <c r="B2059" s="2" t="s">
        <v>2610</v>
      </c>
      <c r="C2059" s="7">
        <v>45997</v>
      </c>
      <c r="D2059" s="2" t="s">
        <v>1184</v>
      </c>
      <c r="E2059" s="4">
        <v>1</v>
      </c>
      <c r="F2059" s="8" t="str">
        <f>_xlfn.XLOOKUP(D2059,Master[Product_Code],Master[Category])</f>
        <v>Pants</v>
      </c>
      <c r="G2059" s="8" t="str">
        <f>_xlfn.XLOOKUP(D2059,Master[Product_Code],Master[Brand])</f>
        <v>Louis Philippe</v>
      </c>
      <c r="H2059" s="8" t="str">
        <f>_xlfn.XLOOKUP(D2059,Master[Product_Code],Master[Style])</f>
        <v>Polofit</v>
      </c>
      <c r="I2059" s="8" t="str">
        <f>_xlfn.XLOOKUP(D2059,Master[Product_Code],Master[Fabric])</f>
        <v>Lycra</v>
      </c>
      <c r="J2059" s="8">
        <f>_xlfn.XLOOKUP(D2059,Master[Product_Code],Master[Size])</f>
        <v>28</v>
      </c>
      <c r="K2059" s="8" t="str">
        <f>_xlfn.XLOOKUP(D2059,Master[Product_Code],Master[Color])</f>
        <v>Peach</v>
      </c>
      <c r="L2059" s="3">
        <f>_xlfn.XLOOKUP(D2059,Master[Product_Code],Master[Selling_Price])</f>
        <v>730</v>
      </c>
    </row>
    <row r="2060" spans="2:12">
      <c r="B2060" s="2" t="s">
        <v>2610</v>
      </c>
      <c r="C2060" s="7">
        <v>45997</v>
      </c>
      <c r="D2060" s="2" t="s">
        <v>1732</v>
      </c>
      <c r="E2060" s="4">
        <v>1</v>
      </c>
      <c r="F2060" s="8" t="str">
        <f>_xlfn.XLOOKUP(D2060,Master[Product_Code],Master[Category])</f>
        <v>Innerwear</v>
      </c>
      <c r="G2060" s="8" t="str">
        <f>_xlfn.XLOOKUP(D2060,Master[Product_Code],Master[Brand])</f>
        <v>V Star</v>
      </c>
      <c r="H2060" s="8" t="str">
        <f>_xlfn.XLOOKUP(D2060,Master[Product_Code],Master[Style])</f>
        <v>V-Cut</v>
      </c>
      <c r="I2060" s="8" t="str">
        <f>_xlfn.XLOOKUP(D2060,Master[Product_Code],Master[Fabric])</f>
        <v>Cotton</v>
      </c>
      <c r="J2060" s="8" t="str">
        <f>_xlfn.XLOOKUP(D2060,Master[Product_Code],Master[Size])</f>
        <v>75-80</v>
      </c>
      <c r="K2060" s="8" t="str">
        <f>_xlfn.XLOOKUP(D2060,Master[Product_Code],Master[Color])</f>
        <v>Navy Blue</v>
      </c>
      <c r="L2060" s="3">
        <f>_xlfn.XLOOKUP(D2060,Master[Product_Code],Master[Selling_Price])</f>
        <v>150</v>
      </c>
    </row>
    <row r="2061" spans="2:12">
      <c r="B2061" s="2" t="s">
        <v>2611</v>
      </c>
      <c r="C2061" s="7">
        <v>45997</v>
      </c>
      <c r="D2061" s="2" t="s">
        <v>1485</v>
      </c>
      <c r="E2061" s="4">
        <v>1</v>
      </c>
      <c r="F2061" s="8" t="str">
        <f>_xlfn.XLOOKUP(D2061,Master[Product_Code],Master[Category])</f>
        <v>Innerwear</v>
      </c>
      <c r="G2061" s="8" t="str">
        <f>_xlfn.XLOOKUP(D2061,Master[Product_Code],Master[Brand])</f>
        <v>V Star</v>
      </c>
      <c r="H2061" s="8" t="str">
        <f>_xlfn.XLOOKUP(D2061,Master[Product_Code],Master[Style])</f>
        <v>V-Cut</v>
      </c>
      <c r="I2061" s="8" t="str">
        <f>_xlfn.XLOOKUP(D2061,Master[Product_Code],Master[Fabric])</f>
        <v>Cotton Blend</v>
      </c>
      <c r="J2061" s="8" t="str">
        <f>_xlfn.XLOOKUP(D2061,Master[Product_Code],Master[Size])</f>
        <v>75-80</v>
      </c>
      <c r="K2061" s="8" t="str">
        <f>_xlfn.XLOOKUP(D2061,Master[Product_Code],Master[Color])</f>
        <v>Sky Blue</v>
      </c>
      <c r="L2061" s="3">
        <f>_xlfn.XLOOKUP(D2061,Master[Product_Code],Master[Selling_Price])</f>
        <v>170</v>
      </c>
    </row>
    <row r="2062" spans="2:12">
      <c r="B2062" s="2" t="s">
        <v>2611</v>
      </c>
      <c r="C2062" s="7">
        <v>45997</v>
      </c>
      <c r="D2062" s="2" t="s">
        <v>683</v>
      </c>
      <c r="E2062" s="4">
        <v>1</v>
      </c>
      <c r="F2062" s="8" t="str">
        <f>_xlfn.XLOOKUP(D2062,Master[Product_Code],Master[Category])</f>
        <v>T-Shirt</v>
      </c>
      <c r="G2062" s="8" t="str">
        <f>_xlfn.XLOOKUP(D2062,Master[Product_Code],Master[Brand])</f>
        <v>Zara</v>
      </c>
      <c r="H2062" s="8" t="str">
        <f>_xlfn.XLOOKUP(D2062,Master[Product_Code],Master[Style])</f>
        <v>Full Sleeve</v>
      </c>
      <c r="I2062" s="8" t="str">
        <f>_xlfn.XLOOKUP(D2062,Master[Product_Code],Master[Fabric])</f>
        <v>Cotton Blend</v>
      </c>
      <c r="J2062" s="8" t="str">
        <f>_xlfn.XLOOKUP(D2062,Master[Product_Code],Master[Size])</f>
        <v>XL</v>
      </c>
      <c r="K2062" s="8" t="str">
        <f>_xlfn.XLOOKUP(D2062,Master[Product_Code],Master[Color])</f>
        <v>Sky Blue</v>
      </c>
      <c r="L2062" s="3">
        <f>_xlfn.XLOOKUP(D2062,Master[Product_Code],Master[Selling_Price])</f>
        <v>650</v>
      </c>
    </row>
    <row r="2063" spans="2:12">
      <c r="B2063" s="2" t="s">
        <v>2611</v>
      </c>
      <c r="C2063" s="7">
        <v>45997</v>
      </c>
      <c r="D2063" s="2" t="s">
        <v>1292</v>
      </c>
      <c r="E2063" s="4">
        <v>1</v>
      </c>
      <c r="F2063" s="8" t="str">
        <f>_xlfn.XLOOKUP(D2063,Master[Product_Code],Master[Category])</f>
        <v>Pants</v>
      </c>
      <c r="G2063" s="8" t="str">
        <f>_xlfn.XLOOKUP(D2063,Master[Product_Code],Master[Brand])</f>
        <v>Park Avenue</v>
      </c>
      <c r="H2063" s="8" t="str">
        <f>_xlfn.XLOOKUP(D2063,Master[Product_Code],Master[Style])</f>
        <v>Kurka</v>
      </c>
      <c r="I2063" s="8" t="str">
        <f>_xlfn.XLOOKUP(D2063,Master[Product_Code],Master[Fabric])</f>
        <v>Lycra</v>
      </c>
      <c r="J2063" s="8">
        <f>_xlfn.XLOOKUP(D2063,Master[Product_Code],Master[Size])</f>
        <v>40</v>
      </c>
      <c r="K2063" s="8" t="str">
        <f>_xlfn.XLOOKUP(D2063,Master[Product_Code],Master[Color])</f>
        <v>Navy Blue</v>
      </c>
      <c r="L2063" s="3">
        <f>_xlfn.XLOOKUP(D2063,Master[Product_Code],Master[Selling_Price])</f>
        <v>830</v>
      </c>
    </row>
    <row r="2064" spans="2:12">
      <c r="B2064" s="2" t="s">
        <v>2612</v>
      </c>
      <c r="C2064" s="7">
        <v>45997</v>
      </c>
      <c r="D2064" s="2" t="s">
        <v>1173</v>
      </c>
      <c r="E2064" s="4">
        <v>1</v>
      </c>
      <c r="F2064" s="8" t="str">
        <f>_xlfn.XLOOKUP(D2064,Master[Product_Code],Master[Category])</f>
        <v>Pants</v>
      </c>
      <c r="G2064" s="8" t="str">
        <f>_xlfn.XLOOKUP(D2064,Master[Product_Code],Master[Brand])</f>
        <v>Raymond</v>
      </c>
      <c r="H2064" s="8" t="str">
        <f>_xlfn.XLOOKUP(D2064,Master[Product_Code],Master[Style])</f>
        <v>Korean</v>
      </c>
      <c r="I2064" s="8" t="str">
        <f>_xlfn.XLOOKUP(D2064,Master[Product_Code],Master[Fabric])</f>
        <v>Lycra</v>
      </c>
      <c r="J2064" s="8">
        <f>_xlfn.XLOOKUP(D2064,Master[Product_Code],Master[Size])</f>
        <v>40</v>
      </c>
      <c r="K2064" s="8" t="str">
        <f>_xlfn.XLOOKUP(D2064,Master[Product_Code],Master[Color])</f>
        <v>Teal</v>
      </c>
      <c r="L2064" s="3">
        <f>_xlfn.XLOOKUP(D2064,Master[Product_Code],Master[Selling_Price])</f>
        <v>760</v>
      </c>
    </row>
    <row r="2065" spans="2:12">
      <c r="B2065" s="2" t="s">
        <v>2612</v>
      </c>
      <c r="C2065" s="7">
        <v>45997</v>
      </c>
      <c r="D2065" s="2" t="s">
        <v>121</v>
      </c>
      <c r="E2065" s="4">
        <v>1</v>
      </c>
      <c r="F2065" s="8" t="str">
        <f>_xlfn.XLOOKUP(D2065,Master[Product_Code],Master[Category])</f>
        <v>Shirt</v>
      </c>
      <c r="G2065" s="8" t="str">
        <f>_xlfn.XLOOKUP(D2065,Master[Product_Code],Master[Brand])</f>
        <v>USD</v>
      </c>
      <c r="H2065" s="8" t="str">
        <f>_xlfn.XLOOKUP(D2065,Master[Product_Code],Master[Style])</f>
        <v>Partywear</v>
      </c>
      <c r="I2065" s="8" t="str">
        <f>_xlfn.XLOOKUP(D2065,Master[Product_Code],Master[Fabric])</f>
        <v>Cotton Blend</v>
      </c>
      <c r="J2065" s="8" t="str">
        <f>_xlfn.XLOOKUP(D2065,Master[Product_Code],Master[Size])</f>
        <v>XL</v>
      </c>
      <c r="K2065" s="8" t="str">
        <f>_xlfn.XLOOKUP(D2065,Master[Product_Code],Master[Color])</f>
        <v>Dark Green</v>
      </c>
      <c r="L2065" s="3">
        <f>_xlfn.XLOOKUP(D2065,Master[Product_Code],Master[Selling_Price])</f>
        <v>870</v>
      </c>
    </row>
    <row r="2066" spans="2:12">
      <c r="B2066" s="2" t="s">
        <v>2612</v>
      </c>
      <c r="C2066" s="7">
        <v>45997</v>
      </c>
      <c r="D2066" s="2" t="s">
        <v>18</v>
      </c>
      <c r="E2066" s="4">
        <v>1</v>
      </c>
      <c r="F2066" s="8" t="str">
        <f>_xlfn.XLOOKUP(D2066,Master[Product_Code],Master[Category])</f>
        <v>Shirt</v>
      </c>
      <c r="G2066" s="8" t="str">
        <f>_xlfn.XLOOKUP(D2066,Master[Product_Code],Master[Brand])</f>
        <v>L7</v>
      </c>
      <c r="H2066" s="8" t="str">
        <f>_xlfn.XLOOKUP(D2066,Master[Product_Code],Master[Style])</f>
        <v>Partywear</v>
      </c>
      <c r="I2066" s="8" t="str">
        <f>_xlfn.XLOOKUP(D2066,Master[Product_Code],Master[Fabric])</f>
        <v>Cotton</v>
      </c>
      <c r="J2066" s="8" t="str">
        <f>_xlfn.XLOOKUP(D2066,Master[Product_Code],Master[Size])</f>
        <v>XXL</v>
      </c>
      <c r="K2066" s="8" t="str">
        <f>_xlfn.XLOOKUP(D2066,Master[Product_Code],Master[Color])</f>
        <v>Bottle Green</v>
      </c>
      <c r="L2066" s="3">
        <f>_xlfn.XLOOKUP(D2066,Master[Product_Code],Master[Selling_Price])</f>
        <v>890</v>
      </c>
    </row>
    <row r="2067" spans="2:12">
      <c r="B2067" s="2" t="s">
        <v>2613</v>
      </c>
      <c r="C2067" s="7">
        <v>45997</v>
      </c>
      <c r="D2067" s="2" t="s">
        <v>133</v>
      </c>
      <c r="E2067" s="4">
        <v>1</v>
      </c>
      <c r="F2067" s="8" t="str">
        <f>_xlfn.XLOOKUP(D2067,Master[Product_Code],Master[Category])</f>
        <v>Shirt</v>
      </c>
      <c r="G2067" s="8" t="str">
        <f>_xlfn.XLOOKUP(D2067,Master[Product_Code],Master[Brand])</f>
        <v>British</v>
      </c>
      <c r="H2067" s="8" t="str">
        <f>_xlfn.XLOOKUP(D2067,Master[Product_Code],Master[Style])</f>
        <v>Casual</v>
      </c>
      <c r="I2067" s="8" t="str">
        <f>_xlfn.XLOOKUP(D2067,Master[Product_Code],Master[Fabric])</f>
        <v>Cotton</v>
      </c>
      <c r="J2067" s="8" t="str">
        <f>_xlfn.XLOOKUP(D2067,Master[Product_Code],Master[Size])</f>
        <v>M</v>
      </c>
      <c r="K2067" s="8" t="str">
        <f>_xlfn.XLOOKUP(D2067,Master[Product_Code],Master[Color])</f>
        <v>Maroon</v>
      </c>
      <c r="L2067" s="3">
        <f>_xlfn.XLOOKUP(D2067,Master[Product_Code],Master[Selling_Price])</f>
        <v>730</v>
      </c>
    </row>
    <row r="2068" spans="2:12">
      <c r="B2068" s="2" t="s">
        <v>2613</v>
      </c>
      <c r="C2068" s="7">
        <v>45997</v>
      </c>
      <c r="D2068" s="2" t="s">
        <v>1258</v>
      </c>
      <c r="E2068" s="4">
        <v>1</v>
      </c>
      <c r="F2068" s="8" t="str">
        <f>_xlfn.XLOOKUP(D2068,Master[Product_Code],Master[Category])</f>
        <v>Pants</v>
      </c>
      <c r="G2068" s="8" t="str">
        <f>_xlfn.XLOOKUP(D2068,Master[Product_Code],Master[Brand])</f>
        <v>Peter England</v>
      </c>
      <c r="H2068" s="8" t="str">
        <f>_xlfn.XLOOKUP(D2068,Master[Product_Code],Master[Style])</f>
        <v>Boot Cut</v>
      </c>
      <c r="I2068" s="8" t="str">
        <f>_xlfn.XLOOKUP(D2068,Master[Product_Code],Master[Fabric])</f>
        <v>Poly Viscose</v>
      </c>
      <c r="J2068" s="8">
        <f>_xlfn.XLOOKUP(D2068,Master[Product_Code],Master[Size])</f>
        <v>34</v>
      </c>
      <c r="K2068" s="8" t="str">
        <f>_xlfn.XLOOKUP(D2068,Master[Product_Code],Master[Color])</f>
        <v>Black</v>
      </c>
      <c r="L2068" s="3">
        <f>_xlfn.XLOOKUP(D2068,Master[Product_Code],Master[Selling_Price])</f>
        <v>830</v>
      </c>
    </row>
    <row r="2069" spans="2:12">
      <c r="B2069" s="2" t="s">
        <v>2614</v>
      </c>
      <c r="C2069" s="7">
        <v>45997</v>
      </c>
      <c r="D2069" s="2" t="s">
        <v>683</v>
      </c>
      <c r="E2069" s="4">
        <v>1</v>
      </c>
      <c r="F2069" s="8" t="str">
        <f>_xlfn.XLOOKUP(D2069,Master[Product_Code],Master[Category])</f>
        <v>T-Shirt</v>
      </c>
      <c r="G2069" s="8" t="str">
        <f>_xlfn.XLOOKUP(D2069,Master[Product_Code],Master[Brand])</f>
        <v>Zara</v>
      </c>
      <c r="H2069" s="8" t="str">
        <f>_xlfn.XLOOKUP(D2069,Master[Product_Code],Master[Style])</f>
        <v>Full Sleeve</v>
      </c>
      <c r="I2069" s="8" t="str">
        <f>_xlfn.XLOOKUP(D2069,Master[Product_Code],Master[Fabric])</f>
        <v>Cotton Blend</v>
      </c>
      <c r="J2069" s="8" t="str">
        <f>_xlfn.XLOOKUP(D2069,Master[Product_Code],Master[Size])</f>
        <v>XL</v>
      </c>
      <c r="K2069" s="8" t="str">
        <f>_xlfn.XLOOKUP(D2069,Master[Product_Code],Master[Color])</f>
        <v>Sky Blue</v>
      </c>
      <c r="L2069" s="3">
        <f>_xlfn.XLOOKUP(D2069,Master[Product_Code],Master[Selling_Price])</f>
        <v>650</v>
      </c>
    </row>
    <row r="2070" spans="2:12">
      <c r="B2070" s="2" t="s">
        <v>2615</v>
      </c>
      <c r="C2070" s="7">
        <v>45997</v>
      </c>
      <c r="D2070" s="2" t="s">
        <v>626</v>
      </c>
      <c r="E2070" s="4">
        <v>1</v>
      </c>
      <c r="F2070" s="8" t="str">
        <f>_xlfn.XLOOKUP(D2070,Master[Product_Code],Master[Category])</f>
        <v>T-Shirt</v>
      </c>
      <c r="G2070" s="8" t="str">
        <f>_xlfn.XLOOKUP(D2070,Master[Product_Code],Master[Brand])</f>
        <v>Urban Monkey</v>
      </c>
      <c r="H2070" s="8" t="str">
        <f>_xlfn.XLOOKUP(D2070,Master[Product_Code],Master[Style])</f>
        <v>Sleeveless</v>
      </c>
      <c r="I2070" s="8" t="str">
        <f>_xlfn.XLOOKUP(D2070,Master[Product_Code],Master[Fabric])</f>
        <v>Poly Cotton</v>
      </c>
      <c r="J2070" s="8" t="str">
        <f>_xlfn.XLOOKUP(D2070,Master[Product_Code],Master[Size])</f>
        <v>XL</v>
      </c>
      <c r="K2070" s="8" t="str">
        <f>_xlfn.XLOOKUP(D2070,Master[Product_Code],Master[Color])</f>
        <v>Wine</v>
      </c>
      <c r="L2070" s="3">
        <f>_xlfn.XLOOKUP(D2070,Master[Product_Code],Master[Selling_Price])</f>
        <v>360</v>
      </c>
    </row>
    <row r="2071" spans="2:12">
      <c r="B2071" s="2" t="s">
        <v>2616</v>
      </c>
      <c r="C2071" s="7">
        <v>45997</v>
      </c>
      <c r="D2071" s="2" t="s">
        <v>869</v>
      </c>
      <c r="E2071" s="4">
        <v>1</v>
      </c>
      <c r="F2071" s="8" t="str">
        <f>_xlfn.XLOOKUP(D2071,Master[Product_Code],Master[Category])</f>
        <v>Jeans</v>
      </c>
      <c r="G2071" s="8" t="str">
        <f>_xlfn.XLOOKUP(D2071,Master[Product_Code],Master[Brand])</f>
        <v>Pepe</v>
      </c>
      <c r="H2071" s="8" t="str">
        <f>_xlfn.XLOOKUP(D2071,Master[Product_Code],Master[Style])</f>
        <v>Baggy</v>
      </c>
      <c r="I2071" s="8" t="str">
        <f>_xlfn.XLOOKUP(D2071,Master[Product_Code],Master[Fabric])</f>
        <v>Denim</v>
      </c>
      <c r="J2071" s="8">
        <f>_xlfn.XLOOKUP(D2071,Master[Product_Code],Master[Size])</f>
        <v>38</v>
      </c>
      <c r="K2071" s="8" t="str">
        <f>_xlfn.XLOOKUP(D2071,Master[Product_Code],Master[Color])</f>
        <v>Bottle Green</v>
      </c>
      <c r="L2071" s="3">
        <f>_xlfn.XLOOKUP(D2071,Master[Product_Code],Master[Selling_Price])</f>
        <v>820</v>
      </c>
    </row>
    <row r="2072" spans="2:12">
      <c r="B2072" s="2" t="s">
        <v>2616</v>
      </c>
      <c r="C2072" s="7">
        <v>45997</v>
      </c>
      <c r="D2072" s="2" t="s">
        <v>684</v>
      </c>
      <c r="E2072" s="4">
        <v>1</v>
      </c>
      <c r="F2072" s="8" t="str">
        <f>_xlfn.XLOOKUP(D2072,Master[Product_Code],Master[Category])</f>
        <v>T-Shirt</v>
      </c>
      <c r="G2072" s="8" t="str">
        <f>_xlfn.XLOOKUP(D2072,Master[Product_Code],Master[Brand])</f>
        <v>Zara</v>
      </c>
      <c r="H2072" s="8" t="str">
        <f>_xlfn.XLOOKUP(D2072,Master[Product_Code],Master[Style])</f>
        <v>Half Sleeve</v>
      </c>
      <c r="I2072" s="8" t="str">
        <f>_xlfn.XLOOKUP(D2072,Master[Product_Code],Master[Fabric])</f>
        <v>Cotton Blend</v>
      </c>
      <c r="J2072" s="8" t="str">
        <f>_xlfn.XLOOKUP(D2072,Master[Product_Code],Master[Size])</f>
        <v>L</v>
      </c>
      <c r="K2072" s="8" t="str">
        <f>_xlfn.XLOOKUP(D2072,Master[Product_Code],Master[Color])</f>
        <v>Black</v>
      </c>
      <c r="L2072" s="3">
        <f>_xlfn.XLOOKUP(D2072,Master[Product_Code],Master[Selling_Price])</f>
        <v>520</v>
      </c>
    </row>
    <row r="2073" spans="2:12">
      <c r="B2073" s="2" t="s">
        <v>2617</v>
      </c>
      <c r="C2073" s="7">
        <v>45997</v>
      </c>
      <c r="D2073" s="2" t="s">
        <v>958</v>
      </c>
      <c r="E2073" s="4">
        <v>1</v>
      </c>
      <c r="F2073" s="8" t="str">
        <f>_xlfn.XLOOKUP(D2073,Master[Product_Code],Master[Category])</f>
        <v>Jeans</v>
      </c>
      <c r="G2073" s="8" t="str">
        <f>_xlfn.XLOOKUP(D2073,Master[Product_Code],Master[Brand])</f>
        <v>Pepe</v>
      </c>
      <c r="H2073" s="8" t="str">
        <f>_xlfn.XLOOKUP(D2073,Master[Product_Code],Master[Style])</f>
        <v>Mom Fit</v>
      </c>
      <c r="I2073" s="8" t="str">
        <f>_xlfn.XLOOKUP(D2073,Master[Product_Code],Master[Fabric])</f>
        <v>Denim</v>
      </c>
      <c r="J2073" s="8">
        <f>_xlfn.XLOOKUP(D2073,Master[Product_Code],Master[Size])</f>
        <v>34</v>
      </c>
      <c r="K2073" s="8" t="str">
        <f>_xlfn.XLOOKUP(D2073,Master[Product_Code],Master[Color])</f>
        <v>Cream</v>
      </c>
      <c r="L2073" s="3">
        <f>_xlfn.XLOOKUP(D2073,Master[Product_Code],Master[Selling_Price])</f>
        <v>930</v>
      </c>
    </row>
    <row r="2074" spans="2:12">
      <c r="B2074" s="2" t="s">
        <v>2618</v>
      </c>
      <c r="C2074" s="7">
        <v>45997</v>
      </c>
      <c r="D2074" s="2" t="s">
        <v>112</v>
      </c>
      <c r="E2074" s="4">
        <v>1</v>
      </c>
      <c r="F2074" s="8" t="str">
        <f>_xlfn.XLOOKUP(D2074,Master[Product_Code],Master[Category])</f>
        <v>Shirt</v>
      </c>
      <c r="G2074" s="8" t="str">
        <f>_xlfn.XLOOKUP(D2074,Master[Product_Code],Master[Brand])</f>
        <v>G Studio</v>
      </c>
      <c r="H2074" s="8" t="str">
        <f>_xlfn.XLOOKUP(D2074,Master[Product_Code],Master[Style])</f>
        <v>Casual</v>
      </c>
      <c r="I2074" s="8" t="str">
        <f>_xlfn.XLOOKUP(D2074,Master[Product_Code],Master[Fabric])</f>
        <v>Cotton Blend</v>
      </c>
      <c r="J2074" s="8" t="str">
        <f>_xlfn.XLOOKUP(D2074,Master[Product_Code],Master[Size])</f>
        <v>L</v>
      </c>
      <c r="K2074" s="8" t="str">
        <f>_xlfn.XLOOKUP(D2074,Master[Product_Code],Master[Color])</f>
        <v>Charcoal</v>
      </c>
      <c r="L2074" s="3">
        <f>_xlfn.XLOOKUP(D2074,Master[Product_Code],Master[Selling_Price])</f>
        <v>710</v>
      </c>
    </row>
    <row r="2075" spans="2:12">
      <c r="B2075" s="2" t="s">
        <v>2618</v>
      </c>
      <c r="C2075" s="7">
        <v>45997</v>
      </c>
      <c r="D2075" s="2" t="s">
        <v>154</v>
      </c>
      <c r="E2075" s="4">
        <v>1</v>
      </c>
      <c r="F2075" s="8" t="str">
        <f>_xlfn.XLOOKUP(D2075,Master[Product_Code],Master[Category])</f>
        <v>Shirt</v>
      </c>
      <c r="G2075" s="8" t="str">
        <f>_xlfn.XLOOKUP(D2075,Master[Product_Code],Master[Brand])</f>
        <v>Zara</v>
      </c>
      <c r="H2075" s="8" t="str">
        <f>_xlfn.XLOOKUP(D2075,Master[Product_Code],Master[Style])</f>
        <v>Casual</v>
      </c>
      <c r="I2075" s="8" t="str">
        <f>_xlfn.XLOOKUP(D2075,Master[Product_Code],Master[Fabric])</f>
        <v>Cotton Blend</v>
      </c>
      <c r="J2075" s="8" t="str">
        <f>_xlfn.XLOOKUP(D2075,Master[Product_Code],Master[Size])</f>
        <v>M</v>
      </c>
      <c r="K2075" s="8" t="str">
        <f>_xlfn.XLOOKUP(D2075,Master[Product_Code],Master[Color])</f>
        <v>Peach</v>
      </c>
      <c r="L2075" s="3">
        <f>_xlfn.XLOOKUP(D2075,Master[Product_Code],Master[Selling_Price])</f>
        <v>750</v>
      </c>
    </row>
    <row r="2076" spans="2:12">
      <c r="B2076" s="2" t="s">
        <v>2618</v>
      </c>
      <c r="C2076" s="7">
        <v>45997</v>
      </c>
      <c r="D2076" s="2" t="s">
        <v>537</v>
      </c>
      <c r="E2076" s="4">
        <v>1</v>
      </c>
      <c r="F2076" s="8" t="str">
        <f>_xlfn.XLOOKUP(D2076,Master[Product_Code],Master[Category])</f>
        <v>T-Shirt</v>
      </c>
      <c r="G2076" s="8" t="str">
        <f>_xlfn.XLOOKUP(D2076,Master[Product_Code],Master[Brand])</f>
        <v>Turkey</v>
      </c>
      <c r="H2076" s="8" t="str">
        <f>_xlfn.XLOOKUP(D2076,Master[Product_Code],Master[Style])</f>
        <v>3/4 Sleeve</v>
      </c>
      <c r="I2076" s="8" t="str">
        <f>_xlfn.XLOOKUP(D2076,Master[Product_Code],Master[Fabric])</f>
        <v>Poly Cotton</v>
      </c>
      <c r="J2076" s="8" t="str">
        <f>_xlfn.XLOOKUP(D2076,Master[Product_Code],Master[Size])</f>
        <v>S</v>
      </c>
      <c r="K2076" s="8" t="str">
        <f>_xlfn.XLOOKUP(D2076,Master[Product_Code],Master[Color])</f>
        <v>Black</v>
      </c>
      <c r="L2076" s="3">
        <f>_xlfn.XLOOKUP(D2076,Master[Product_Code],Master[Selling_Price])</f>
        <v>480</v>
      </c>
    </row>
    <row r="2077" spans="2:12">
      <c r="B2077" s="2" t="s">
        <v>2618</v>
      </c>
      <c r="C2077" s="7">
        <v>45997</v>
      </c>
      <c r="D2077" s="2" t="s">
        <v>966</v>
      </c>
      <c r="E2077" s="4">
        <v>1</v>
      </c>
      <c r="F2077" s="8" t="str">
        <f>_xlfn.XLOOKUP(D2077,Master[Product_Code],Master[Category])</f>
        <v>Jeans</v>
      </c>
      <c r="G2077" s="8" t="str">
        <f>_xlfn.XLOOKUP(D2077,Master[Product_Code],Master[Brand])</f>
        <v>Levis</v>
      </c>
      <c r="H2077" s="8" t="str">
        <f>_xlfn.XLOOKUP(D2077,Master[Product_Code],Master[Style])</f>
        <v>Mom Fit</v>
      </c>
      <c r="I2077" s="8" t="str">
        <f>_xlfn.XLOOKUP(D2077,Master[Product_Code],Master[Fabric])</f>
        <v>Denim</v>
      </c>
      <c r="J2077" s="8">
        <f>_xlfn.XLOOKUP(D2077,Master[Product_Code],Master[Size])</f>
        <v>42</v>
      </c>
      <c r="K2077" s="8" t="str">
        <f>_xlfn.XLOOKUP(D2077,Master[Product_Code],Master[Color])</f>
        <v>Cream</v>
      </c>
      <c r="L2077" s="3">
        <f>_xlfn.XLOOKUP(D2077,Master[Product_Code],Master[Selling_Price])</f>
        <v>990</v>
      </c>
    </row>
    <row r="2078" spans="2:12">
      <c r="B2078" s="2" t="s">
        <v>2619</v>
      </c>
      <c r="C2078" s="7">
        <v>45999</v>
      </c>
      <c r="D2078" s="2" t="s">
        <v>1561</v>
      </c>
      <c r="E2078" s="4">
        <v>1</v>
      </c>
      <c r="F2078" s="8" t="str">
        <f>_xlfn.XLOOKUP(D2078,Master[Product_Code],Master[Category])</f>
        <v>Innerwear</v>
      </c>
      <c r="G2078" s="8" t="str">
        <f>_xlfn.XLOOKUP(D2078,Master[Product_Code],Master[Brand])</f>
        <v>V Star</v>
      </c>
      <c r="H2078" s="8" t="str">
        <f>_xlfn.XLOOKUP(D2078,Master[Product_Code],Master[Style])</f>
        <v>Boxer</v>
      </c>
      <c r="I2078" s="8" t="str">
        <f>_xlfn.XLOOKUP(D2078,Master[Product_Code],Master[Fabric])</f>
        <v>Cotton Blend</v>
      </c>
      <c r="J2078" s="8" t="str">
        <f>_xlfn.XLOOKUP(D2078,Master[Product_Code],Master[Size])</f>
        <v>100-105</v>
      </c>
      <c r="K2078" s="8" t="str">
        <f>_xlfn.XLOOKUP(D2078,Master[Product_Code],Master[Color])</f>
        <v>Sky Blue</v>
      </c>
      <c r="L2078" s="3">
        <f>_xlfn.XLOOKUP(D2078,Master[Product_Code],Master[Selling_Price])</f>
        <v>100</v>
      </c>
    </row>
    <row r="2079" spans="2:12">
      <c r="B2079" s="2" t="s">
        <v>2619</v>
      </c>
      <c r="C2079" s="7">
        <v>45999</v>
      </c>
      <c r="D2079" s="2" t="s">
        <v>813</v>
      </c>
      <c r="E2079" s="4">
        <v>1</v>
      </c>
      <c r="F2079" s="8" t="str">
        <f>_xlfn.XLOOKUP(D2079,Master[Product_Code],Master[Category])</f>
        <v>T-Shirt</v>
      </c>
      <c r="G2079" s="8" t="str">
        <f>_xlfn.XLOOKUP(D2079,Master[Product_Code],Master[Brand])</f>
        <v>Thailand</v>
      </c>
      <c r="H2079" s="8" t="str">
        <f>_xlfn.XLOOKUP(D2079,Master[Product_Code],Master[Style])</f>
        <v>3/4 Sleeve</v>
      </c>
      <c r="I2079" s="8" t="str">
        <f>_xlfn.XLOOKUP(D2079,Master[Product_Code],Master[Fabric])</f>
        <v>Cotton</v>
      </c>
      <c r="J2079" s="8" t="str">
        <f>_xlfn.XLOOKUP(D2079,Master[Product_Code],Master[Size])</f>
        <v>XXL</v>
      </c>
      <c r="K2079" s="8" t="str">
        <f>_xlfn.XLOOKUP(D2079,Master[Product_Code],Master[Color])</f>
        <v>Beige</v>
      </c>
      <c r="L2079" s="3">
        <f>_xlfn.XLOOKUP(D2079,Master[Product_Code],Master[Selling_Price])</f>
        <v>550</v>
      </c>
    </row>
    <row r="2080" spans="2:12">
      <c r="B2080" s="2" t="s">
        <v>2619</v>
      </c>
      <c r="C2080" s="7">
        <v>45999</v>
      </c>
      <c r="D2080" s="2" t="s">
        <v>156</v>
      </c>
      <c r="E2080" s="4">
        <v>1</v>
      </c>
      <c r="F2080" s="8" t="str">
        <f>_xlfn.XLOOKUP(D2080,Master[Product_Code],Master[Category])</f>
        <v>Shirt</v>
      </c>
      <c r="G2080" s="8" t="str">
        <f>_xlfn.XLOOKUP(D2080,Master[Product_Code],Master[Brand])</f>
        <v>G Studio</v>
      </c>
      <c r="H2080" s="8" t="str">
        <f>_xlfn.XLOOKUP(D2080,Master[Product_Code],Master[Style])</f>
        <v>Formal</v>
      </c>
      <c r="I2080" s="8" t="str">
        <f>_xlfn.XLOOKUP(D2080,Master[Product_Code],Master[Fabric])</f>
        <v>Lycra</v>
      </c>
      <c r="J2080" s="8" t="str">
        <f>_xlfn.XLOOKUP(D2080,Master[Product_Code],Master[Size])</f>
        <v>XL</v>
      </c>
      <c r="K2080" s="8" t="str">
        <f>_xlfn.XLOOKUP(D2080,Master[Product_Code],Master[Color])</f>
        <v>Peach</v>
      </c>
      <c r="L2080" s="3">
        <f>_xlfn.XLOOKUP(D2080,Master[Product_Code],Master[Selling_Price])</f>
        <v>810</v>
      </c>
    </row>
    <row r="2081" spans="2:12">
      <c r="B2081" s="2" t="s">
        <v>2620</v>
      </c>
      <c r="C2081" s="7">
        <v>45999</v>
      </c>
      <c r="D2081" s="2" t="s">
        <v>1072</v>
      </c>
      <c r="E2081" s="4">
        <v>1</v>
      </c>
      <c r="F2081" s="8" t="str">
        <f>_xlfn.XLOOKUP(D2081,Master[Product_Code],Master[Category])</f>
        <v>Jeans</v>
      </c>
      <c r="G2081" s="8" t="str">
        <f>_xlfn.XLOOKUP(D2081,Master[Product_Code],Master[Brand])</f>
        <v>Levis</v>
      </c>
      <c r="H2081" s="8" t="str">
        <f>_xlfn.XLOOKUP(D2081,Master[Product_Code],Master[Style])</f>
        <v>Baggy</v>
      </c>
      <c r="I2081" s="8" t="str">
        <f>_xlfn.XLOOKUP(D2081,Master[Product_Code],Master[Fabric])</f>
        <v>Denim</v>
      </c>
      <c r="J2081" s="8">
        <f>_xlfn.XLOOKUP(D2081,Master[Product_Code],Master[Size])</f>
        <v>32</v>
      </c>
      <c r="K2081" s="8" t="str">
        <f>_xlfn.XLOOKUP(D2081,Master[Product_Code],Master[Color])</f>
        <v>Dark Green</v>
      </c>
      <c r="L2081" s="3">
        <f>_xlfn.XLOOKUP(D2081,Master[Product_Code],Master[Selling_Price])</f>
        <v>800</v>
      </c>
    </row>
    <row r="2082" spans="2:12">
      <c r="B2082" s="2" t="s">
        <v>2621</v>
      </c>
      <c r="C2082" s="7">
        <v>45999</v>
      </c>
      <c r="D2082" s="2" t="s">
        <v>1041</v>
      </c>
      <c r="E2082" s="4">
        <v>1</v>
      </c>
      <c r="F2082" s="8" t="str">
        <f>_xlfn.XLOOKUP(D2082,Master[Product_Code],Master[Category])</f>
        <v>Jeans</v>
      </c>
      <c r="G2082" s="8" t="str">
        <f>_xlfn.XLOOKUP(D2082,Master[Product_Code],Master[Brand])</f>
        <v>Levis</v>
      </c>
      <c r="H2082" s="8" t="str">
        <f>_xlfn.XLOOKUP(D2082,Master[Product_Code],Master[Style])</f>
        <v>Mom Fit</v>
      </c>
      <c r="I2082" s="8" t="str">
        <f>_xlfn.XLOOKUP(D2082,Master[Product_Code],Master[Fabric])</f>
        <v>Denim</v>
      </c>
      <c r="J2082" s="8">
        <f>_xlfn.XLOOKUP(D2082,Master[Product_Code],Master[Size])</f>
        <v>44</v>
      </c>
      <c r="K2082" s="8" t="str">
        <f>_xlfn.XLOOKUP(D2082,Master[Product_Code],Master[Color])</f>
        <v>Navy Blue</v>
      </c>
      <c r="L2082" s="3">
        <f>_xlfn.XLOOKUP(D2082,Master[Product_Code],Master[Selling_Price])</f>
        <v>870</v>
      </c>
    </row>
    <row r="2083" spans="2:12">
      <c r="B2083" s="2" t="s">
        <v>2621</v>
      </c>
      <c r="C2083" s="7">
        <v>45999</v>
      </c>
      <c r="D2083" s="2" t="s">
        <v>682</v>
      </c>
      <c r="E2083" s="4">
        <v>1</v>
      </c>
      <c r="F2083" s="8" t="str">
        <f>_xlfn.XLOOKUP(D2083,Master[Product_Code],Master[Category])</f>
        <v>T-Shirt</v>
      </c>
      <c r="G2083" s="8" t="str">
        <f>_xlfn.XLOOKUP(D2083,Master[Product_Code],Master[Brand])</f>
        <v>Campus</v>
      </c>
      <c r="H2083" s="8" t="str">
        <f>_xlfn.XLOOKUP(D2083,Master[Product_Code],Master[Style])</f>
        <v>Sleeveless</v>
      </c>
      <c r="I2083" s="8" t="str">
        <f>_xlfn.XLOOKUP(D2083,Master[Product_Code],Master[Fabric])</f>
        <v>Cotton</v>
      </c>
      <c r="J2083" s="8" t="str">
        <f>_xlfn.XLOOKUP(D2083,Master[Product_Code],Master[Size])</f>
        <v>XXL</v>
      </c>
      <c r="K2083" s="8" t="str">
        <f>_xlfn.XLOOKUP(D2083,Master[Product_Code],Master[Color])</f>
        <v>Rust</v>
      </c>
      <c r="L2083" s="3">
        <f>_xlfn.XLOOKUP(D2083,Master[Product_Code],Master[Selling_Price])</f>
        <v>620</v>
      </c>
    </row>
    <row r="2084" spans="2:12">
      <c r="B2084" s="2" t="s">
        <v>2621</v>
      </c>
      <c r="C2084" s="7">
        <v>45999</v>
      </c>
      <c r="D2084" s="2" t="s">
        <v>1057</v>
      </c>
      <c r="E2084" s="4">
        <v>1</v>
      </c>
      <c r="F2084" s="8" t="str">
        <f>_xlfn.XLOOKUP(D2084,Master[Product_Code],Master[Category])</f>
        <v>Jeans</v>
      </c>
      <c r="G2084" s="8" t="str">
        <f>_xlfn.XLOOKUP(D2084,Master[Product_Code],Master[Brand])</f>
        <v>Pepe</v>
      </c>
      <c r="H2084" s="8" t="str">
        <f>_xlfn.XLOOKUP(D2084,Master[Product_Code],Master[Style])</f>
        <v>Jogger</v>
      </c>
      <c r="I2084" s="8" t="str">
        <f>_xlfn.XLOOKUP(D2084,Master[Product_Code],Master[Fabric])</f>
        <v>Denim</v>
      </c>
      <c r="J2084" s="8">
        <f>_xlfn.XLOOKUP(D2084,Master[Product_Code],Master[Size])</f>
        <v>28</v>
      </c>
      <c r="K2084" s="8" t="str">
        <f>_xlfn.XLOOKUP(D2084,Master[Product_Code],Master[Color])</f>
        <v>Royal Blue</v>
      </c>
      <c r="L2084" s="3">
        <f>_xlfn.XLOOKUP(D2084,Master[Product_Code],Master[Selling_Price])</f>
        <v>780</v>
      </c>
    </row>
    <row r="2085" spans="2:12">
      <c r="B2085" s="2" t="s">
        <v>2622</v>
      </c>
      <c r="C2085" s="7">
        <v>45999</v>
      </c>
      <c r="D2085" s="2" t="s">
        <v>584</v>
      </c>
      <c r="E2085" s="4">
        <v>1</v>
      </c>
      <c r="F2085" s="8" t="str">
        <f>_xlfn.XLOOKUP(D2085,Master[Product_Code],Master[Category])</f>
        <v>T-Shirt</v>
      </c>
      <c r="G2085" s="8" t="str">
        <f>_xlfn.XLOOKUP(D2085,Master[Product_Code],Master[Brand])</f>
        <v>Campus</v>
      </c>
      <c r="H2085" s="8" t="str">
        <f>_xlfn.XLOOKUP(D2085,Master[Product_Code],Master[Style])</f>
        <v>Sleeveless</v>
      </c>
      <c r="I2085" s="8" t="str">
        <f>_xlfn.XLOOKUP(D2085,Master[Product_Code],Master[Fabric])</f>
        <v>Poly Cotton</v>
      </c>
      <c r="J2085" s="8" t="str">
        <f>_xlfn.XLOOKUP(D2085,Master[Product_Code],Master[Size])</f>
        <v>S</v>
      </c>
      <c r="K2085" s="8" t="str">
        <f>_xlfn.XLOOKUP(D2085,Master[Product_Code],Master[Color])</f>
        <v>Mustard</v>
      </c>
      <c r="L2085" s="3">
        <f>_xlfn.XLOOKUP(D2085,Master[Product_Code],Master[Selling_Price])</f>
        <v>480</v>
      </c>
    </row>
    <row r="2086" spans="2:12">
      <c r="B2086" s="2" t="s">
        <v>2623</v>
      </c>
      <c r="C2086" s="7">
        <v>45999</v>
      </c>
      <c r="D2086" s="2" t="s">
        <v>310</v>
      </c>
      <c r="E2086" s="4">
        <v>1</v>
      </c>
      <c r="F2086" s="8" t="str">
        <f>_xlfn.XLOOKUP(D2086,Master[Product_Code],Master[Category])</f>
        <v>Shirt</v>
      </c>
      <c r="G2086" s="8" t="str">
        <f>_xlfn.XLOOKUP(D2086,Master[Product_Code],Master[Brand])</f>
        <v>Max</v>
      </c>
      <c r="H2086" s="8" t="str">
        <f>_xlfn.XLOOKUP(D2086,Master[Product_Code],Master[Style])</f>
        <v>Casual</v>
      </c>
      <c r="I2086" s="8" t="str">
        <f>_xlfn.XLOOKUP(D2086,Master[Product_Code],Master[Fabric])</f>
        <v>Polyester</v>
      </c>
      <c r="J2086" s="8" t="str">
        <f>_xlfn.XLOOKUP(D2086,Master[Product_Code],Master[Size])</f>
        <v>S</v>
      </c>
      <c r="K2086" s="8" t="str">
        <f>_xlfn.XLOOKUP(D2086,Master[Product_Code],Master[Color])</f>
        <v>Teal</v>
      </c>
      <c r="L2086" s="3">
        <f>_xlfn.XLOOKUP(D2086,Master[Product_Code],Master[Selling_Price])</f>
        <v>880</v>
      </c>
    </row>
    <row r="2087" spans="2:12">
      <c r="B2087" s="2" t="s">
        <v>2623</v>
      </c>
      <c r="C2087" s="7">
        <v>45999</v>
      </c>
      <c r="D2087" s="2" t="s">
        <v>1119</v>
      </c>
      <c r="E2087" s="4">
        <v>1</v>
      </c>
      <c r="F2087" s="8" t="str">
        <f>_xlfn.XLOOKUP(D2087,Master[Product_Code],Master[Category])</f>
        <v>Jeans</v>
      </c>
      <c r="G2087" s="8" t="str">
        <f>_xlfn.XLOOKUP(D2087,Master[Product_Code],Master[Brand])</f>
        <v>Pepe</v>
      </c>
      <c r="H2087" s="8" t="str">
        <f>_xlfn.XLOOKUP(D2087,Master[Product_Code],Master[Style])</f>
        <v>Jogger</v>
      </c>
      <c r="I2087" s="8" t="str">
        <f>_xlfn.XLOOKUP(D2087,Master[Product_Code],Master[Fabric])</f>
        <v>Denim</v>
      </c>
      <c r="J2087" s="8">
        <f>_xlfn.XLOOKUP(D2087,Master[Product_Code],Master[Size])</f>
        <v>28</v>
      </c>
      <c r="K2087" s="8" t="str">
        <f>_xlfn.XLOOKUP(D2087,Master[Product_Code],Master[Color])</f>
        <v>Sky Blue</v>
      </c>
      <c r="L2087" s="3">
        <f>_xlfn.XLOOKUP(D2087,Master[Product_Code],Master[Selling_Price])</f>
        <v>1030</v>
      </c>
    </row>
    <row r="2088" spans="2:12">
      <c r="B2088" s="2" t="s">
        <v>2623</v>
      </c>
      <c r="C2088" s="7">
        <v>45999</v>
      </c>
      <c r="D2088" s="2" t="s">
        <v>717</v>
      </c>
      <c r="E2088" s="4">
        <v>1</v>
      </c>
      <c r="F2088" s="8" t="str">
        <f>_xlfn.XLOOKUP(D2088,Master[Product_Code],Master[Category])</f>
        <v>T-Shirt</v>
      </c>
      <c r="G2088" s="8" t="str">
        <f>_xlfn.XLOOKUP(D2088,Master[Product_Code],Master[Brand])</f>
        <v>Campus</v>
      </c>
      <c r="H2088" s="8" t="str">
        <f>_xlfn.XLOOKUP(D2088,Master[Product_Code],Master[Style])</f>
        <v>Half Sleeve</v>
      </c>
      <c r="I2088" s="8" t="str">
        <f>_xlfn.XLOOKUP(D2088,Master[Product_Code],Master[Fabric])</f>
        <v>Cotton Blend</v>
      </c>
      <c r="J2088" s="8" t="str">
        <f>_xlfn.XLOOKUP(D2088,Master[Product_Code],Master[Size])</f>
        <v>XL</v>
      </c>
      <c r="K2088" s="8" t="str">
        <f>_xlfn.XLOOKUP(D2088,Master[Product_Code],Master[Color])</f>
        <v>Bottle Green</v>
      </c>
      <c r="L2088" s="3">
        <f>_xlfn.XLOOKUP(D2088,Master[Product_Code],Master[Selling_Price])</f>
        <v>700</v>
      </c>
    </row>
    <row r="2089" spans="2:12">
      <c r="B2089" s="2" t="s">
        <v>2623</v>
      </c>
      <c r="C2089" s="7">
        <v>45999</v>
      </c>
      <c r="D2089" s="2" t="s">
        <v>269</v>
      </c>
      <c r="E2089" s="4">
        <v>1</v>
      </c>
      <c r="F2089" s="8" t="str">
        <f>_xlfn.XLOOKUP(D2089,Master[Product_Code],Master[Category])</f>
        <v>Shirt</v>
      </c>
      <c r="G2089" s="8" t="str">
        <f>_xlfn.XLOOKUP(D2089,Master[Product_Code],Master[Brand])</f>
        <v>British</v>
      </c>
      <c r="H2089" s="8" t="str">
        <f>_xlfn.XLOOKUP(D2089,Master[Product_Code],Master[Style])</f>
        <v>Casual</v>
      </c>
      <c r="I2089" s="8" t="str">
        <f>_xlfn.XLOOKUP(D2089,Master[Product_Code],Master[Fabric])</f>
        <v>Cotton</v>
      </c>
      <c r="J2089" s="8" t="str">
        <f>_xlfn.XLOOKUP(D2089,Master[Product_Code],Master[Size])</f>
        <v>S</v>
      </c>
      <c r="K2089" s="8" t="str">
        <f>_xlfn.XLOOKUP(D2089,Master[Product_Code],Master[Color])</f>
        <v>Royal Blue</v>
      </c>
      <c r="L2089" s="3">
        <f>_xlfn.XLOOKUP(D2089,Master[Product_Code],Master[Selling_Price])</f>
        <v>650</v>
      </c>
    </row>
    <row r="2090" spans="2:12">
      <c r="B2090" s="2" t="s">
        <v>2624</v>
      </c>
      <c r="C2090" s="7">
        <v>45999</v>
      </c>
      <c r="D2090" s="2" t="s">
        <v>1075</v>
      </c>
      <c r="E2090" s="4">
        <v>1</v>
      </c>
      <c r="F2090" s="8" t="str">
        <f>_xlfn.XLOOKUP(D2090,Master[Product_Code],Master[Category])</f>
        <v>Jeans</v>
      </c>
      <c r="G2090" s="8" t="str">
        <f>_xlfn.XLOOKUP(D2090,Master[Product_Code],Master[Brand])</f>
        <v>Pepe</v>
      </c>
      <c r="H2090" s="8" t="str">
        <f>_xlfn.XLOOKUP(D2090,Master[Product_Code],Master[Style])</f>
        <v>Jogger</v>
      </c>
      <c r="I2090" s="8" t="str">
        <f>_xlfn.XLOOKUP(D2090,Master[Product_Code],Master[Fabric])</f>
        <v>Denim</v>
      </c>
      <c r="J2090" s="8">
        <f>_xlfn.XLOOKUP(D2090,Master[Product_Code],Master[Size])</f>
        <v>42</v>
      </c>
      <c r="K2090" s="8" t="str">
        <f>_xlfn.XLOOKUP(D2090,Master[Product_Code],Master[Color])</f>
        <v>Rust</v>
      </c>
      <c r="L2090" s="3">
        <f>_xlfn.XLOOKUP(D2090,Master[Product_Code],Master[Selling_Price])</f>
        <v>840</v>
      </c>
    </row>
    <row r="2091" spans="2:12">
      <c r="B2091" s="2" t="s">
        <v>2624</v>
      </c>
      <c r="C2091" s="7">
        <v>45999</v>
      </c>
      <c r="D2091" s="2" t="s">
        <v>569</v>
      </c>
      <c r="E2091" s="4">
        <v>1</v>
      </c>
      <c r="F2091" s="8" t="str">
        <f>_xlfn.XLOOKUP(D2091,Master[Product_Code],Master[Category])</f>
        <v>T-Shirt</v>
      </c>
      <c r="G2091" s="8" t="str">
        <f>_xlfn.XLOOKUP(D2091,Master[Product_Code],Master[Brand])</f>
        <v>Roadster</v>
      </c>
      <c r="H2091" s="8" t="str">
        <f>_xlfn.XLOOKUP(D2091,Master[Product_Code],Master[Style])</f>
        <v>Hoodie</v>
      </c>
      <c r="I2091" s="8" t="str">
        <f>_xlfn.XLOOKUP(D2091,Master[Product_Code],Master[Fabric])</f>
        <v>Poly Cotton</v>
      </c>
      <c r="J2091" s="8" t="str">
        <f>_xlfn.XLOOKUP(D2091,Master[Product_Code],Master[Size])</f>
        <v>M</v>
      </c>
      <c r="K2091" s="8" t="str">
        <f>_xlfn.XLOOKUP(D2091,Master[Product_Code],Master[Color])</f>
        <v>Brown</v>
      </c>
      <c r="L2091" s="3">
        <f>_xlfn.XLOOKUP(D2091,Master[Product_Code],Master[Selling_Price])</f>
        <v>230</v>
      </c>
    </row>
    <row r="2092" spans="2:12">
      <c r="B2092" s="2" t="s">
        <v>2625</v>
      </c>
      <c r="C2092" s="7">
        <v>45999</v>
      </c>
      <c r="D2092" s="2" t="s">
        <v>1423</v>
      </c>
      <c r="E2092" s="4">
        <v>1</v>
      </c>
      <c r="F2092" s="8" t="str">
        <f>_xlfn.XLOOKUP(D2092,Master[Product_Code],Master[Category])</f>
        <v>Pants</v>
      </c>
      <c r="G2092" s="8" t="str">
        <f>_xlfn.XLOOKUP(D2092,Master[Product_Code],Master[Brand])</f>
        <v>Raymond</v>
      </c>
      <c r="H2092" s="8" t="str">
        <f>_xlfn.XLOOKUP(D2092,Master[Product_Code],Master[Style])</f>
        <v>Kurka</v>
      </c>
      <c r="I2092" s="8" t="str">
        <f>_xlfn.XLOOKUP(D2092,Master[Product_Code],Master[Fabric])</f>
        <v>Lycra</v>
      </c>
      <c r="J2092" s="8">
        <f>_xlfn.XLOOKUP(D2092,Master[Product_Code],Master[Size])</f>
        <v>34</v>
      </c>
      <c r="K2092" s="8" t="str">
        <f>_xlfn.XLOOKUP(D2092,Master[Product_Code],Master[Color])</f>
        <v>Cream</v>
      </c>
      <c r="L2092" s="3">
        <f>_xlfn.XLOOKUP(D2092,Master[Product_Code],Master[Selling_Price])</f>
        <v>780</v>
      </c>
    </row>
    <row r="2093" spans="2:12">
      <c r="B2093" s="2" t="s">
        <v>2625</v>
      </c>
      <c r="C2093" s="7">
        <v>45999</v>
      </c>
      <c r="D2093" s="2" t="s">
        <v>363</v>
      </c>
      <c r="E2093" s="4">
        <v>1</v>
      </c>
      <c r="F2093" s="8" t="str">
        <f>_xlfn.XLOOKUP(D2093,Master[Product_Code],Master[Category])</f>
        <v>Shirt</v>
      </c>
      <c r="G2093" s="8" t="str">
        <f>_xlfn.XLOOKUP(D2093,Master[Product_Code],Master[Brand])</f>
        <v>H&amp;M</v>
      </c>
      <c r="H2093" s="8" t="str">
        <f>_xlfn.XLOOKUP(D2093,Master[Product_Code],Master[Style])</f>
        <v>Casual</v>
      </c>
      <c r="I2093" s="8" t="str">
        <f>_xlfn.XLOOKUP(D2093,Master[Product_Code],Master[Fabric])</f>
        <v>Cotton Blend</v>
      </c>
      <c r="J2093" s="8" t="str">
        <f>_xlfn.XLOOKUP(D2093,Master[Product_Code],Master[Size])</f>
        <v>M</v>
      </c>
      <c r="K2093" s="8" t="str">
        <f>_xlfn.XLOOKUP(D2093,Master[Product_Code],Master[Color])</f>
        <v>Sky Blue</v>
      </c>
      <c r="L2093" s="3">
        <f>_xlfn.XLOOKUP(D2093,Master[Product_Code],Master[Selling_Price])</f>
        <v>700</v>
      </c>
    </row>
    <row r="2094" spans="2:12">
      <c r="B2094" s="2" t="s">
        <v>2625</v>
      </c>
      <c r="C2094" s="7">
        <v>45999</v>
      </c>
      <c r="D2094" s="2" t="s">
        <v>696</v>
      </c>
      <c r="E2094" s="4">
        <v>1</v>
      </c>
      <c r="F2094" s="8" t="str">
        <f>_xlfn.XLOOKUP(D2094,Master[Product_Code],Master[Category])</f>
        <v>T-Shirt</v>
      </c>
      <c r="G2094" s="8" t="str">
        <f>_xlfn.XLOOKUP(D2094,Master[Product_Code],Master[Brand])</f>
        <v>Campus</v>
      </c>
      <c r="H2094" s="8" t="str">
        <f>_xlfn.XLOOKUP(D2094,Master[Product_Code],Master[Style])</f>
        <v>3/4 Sleeve</v>
      </c>
      <c r="I2094" s="8" t="str">
        <f>_xlfn.XLOOKUP(D2094,Master[Product_Code],Master[Fabric])</f>
        <v>Poly Cotton</v>
      </c>
      <c r="J2094" s="8" t="str">
        <f>_xlfn.XLOOKUP(D2094,Master[Product_Code],Master[Size])</f>
        <v>XL</v>
      </c>
      <c r="K2094" s="8" t="str">
        <f>_xlfn.XLOOKUP(D2094,Master[Product_Code],Master[Color])</f>
        <v>Sky Blue</v>
      </c>
      <c r="L2094" s="3">
        <f>_xlfn.XLOOKUP(D2094,Master[Product_Code],Master[Selling_Price])</f>
        <v>720</v>
      </c>
    </row>
    <row r="2095" spans="2:12">
      <c r="B2095" s="2" t="s">
        <v>2626</v>
      </c>
      <c r="C2095" s="7">
        <v>45999</v>
      </c>
      <c r="D2095" s="2" t="s">
        <v>499</v>
      </c>
      <c r="E2095" s="4">
        <v>1</v>
      </c>
      <c r="F2095" s="8" t="str">
        <f>_xlfn.XLOOKUP(D2095,Master[Product_Code],Master[Category])</f>
        <v>T-Shirt</v>
      </c>
      <c r="G2095" s="8" t="str">
        <f>_xlfn.XLOOKUP(D2095,Master[Product_Code],Master[Brand])</f>
        <v>Thailand</v>
      </c>
      <c r="H2095" s="8" t="str">
        <f>_xlfn.XLOOKUP(D2095,Master[Product_Code],Master[Style])</f>
        <v>Hoodie</v>
      </c>
      <c r="I2095" s="8" t="str">
        <f>_xlfn.XLOOKUP(D2095,Master[Product_Code],Master[Fabric])</f>
        <v>Poly Cotton</v>
      </c>
      <c r="J2095" s="8" t="str">
        <f>_xlfn.XLOOKUP(D2095,Master[Product_Code],Master[Size])</f>
        <v>M</v>
      </c>
      <c r="K2095" s="8" t="str">
        <f>_xlfn.XLOOKUP(D2095,Master[Product_Code],Master[Color])</f>
        <v>Mustard</v>
      </c>
      <c r="L2095" s="3">
        <f>_xlfn.XLOOKUP(D2095,Master[Product_Code],Master[Selling_Price])</f>
        <v>590</v>
      </c>
    </row>
    <row r="2096" spans="2:12">
      <c r="B2096" s="2" t="s">
        <v>2626</v>
      </c>
      <c r="C2096" s="7">
        <v>45999</v>
      </c>
      <c r="D2096" s="2" t="s">
        <v>1181</v>
      </c>
      <c r="E2096" s="4">
        <v>1</v>
      </c>
      <c r="F2096" s="8" t="str">
        <f>_xlfn.XLOOKUP(D2096,Master[Product_Code],Master[Category])</f>
        <v>Pants</v>
      </c>
      <c r="G2096" s="8" t="str">
        <f>_xlfn.XLOOKUP(D2096,Master[Product_Code],Master[Brand])</f>
        <v>Van Heusen</v>
      </c>
      <c r="H2096" s="8" t="str">
        <f>_xlfn.XLOOKUP(D2096,Master[Product_Code],Master[Style])</f>
        <v>Korean</v>
      </c>
      <c r="I2096" s="8" t="str">
        <f>_xlfn.XLOOKUP(D2096,Master[Product_Code],Master[Fabric])</f>
        <v>Lycra</v>
      </c>
      <c r="J2096" s="8">
        <f>_xlfn.XLOOKUP(D2096,Master[Product_Code],Master[Size])</f>
        <v>42</v>
      </c>
      <c r="K2096" s="8" t="str">
        <f>_xlfn.XLOOKUP(D2096,Master[Product_Code],Master[Color])</f>
        <v>Royal Blue</v>
      </c>
      <c r="L2096" s="3">
        <f>_xlfn.XLOOKUP(D2096,Master[Product_Code],Master[Selling_Price])</f>
        <v>820</v>
      </c>
    </row>
    <row r="2097" spans="2:12">
      <c r="B2097" s="2" t="s">
        <v>2626</v>
      </c>
      <c r="C2097" s="7">
        <v>45999</v>
      </c>
      <c r="D2097" s="2" t="s">
        <v>563</v>
      </c>
      <c r="E2097" s="4">
        <v>1</v>
      </c>
      <c r="F2097" s="8" t="str">
        <f>_xlfn.XLOOKUP(D2097,Master[Product_Code],Master[Category])</f>
        <v>T-Shirt</v>
      </c>
      <c r="G2097" s="8" t="str">
        <f>_xlfn.XLOOKUP(D2097,Master[Product_Code],Master[Brand])</f>
        <v>Zara</v>
      </c>
      <c r="H2097" s="8" t="str">
        <f>_xlfn.XLOOKUP(D2097,Master[Product_Code],Master[Style])</f>
        <v>Full Sleeve</v>
      </c>
      <c r="I2097" s="8" t="str">
        <f>_xlfn.XLOOKUP(D2097,Master[Product_Code],Master[Fabric])</f>
        <v>Cotton</v>
      </c>
      <c r="J2097" s="8" t="str">
        <f>_xlfn.XLOOKUP(D2097,Master[Product_Code],Master[Size])</f>
        <v>S</v>
      </c>
      <c r="K2097" s="8" t="str">
        <f>_xlfn.XLOOKUP(D2097,Master[Product_Code],Master[Color])</f>
        <v>White</v>
      </c>
      <c r="L2097" s="3">
        <f>_xlfn.XLOOKUP(D2097,Master[Product_Code],Master[Selling_Price])</f>
        <v>540</v>
      </c>
    </row>
    <row r="2098" spans="2:12">
      <c r="B2098" s="2" t="s">
        <v>2627</v>
      </c>
      <c r="C2098" s="7">
        <v>45999</v>
      </c>
      <c r="D2098" s="2" t="s">
        <v>955</v>
      </c>
      <c r="E2098" s="4">
        <v>1</v>
      </c>
      <c r="F2098" s="8" t="str">
        <f>_xlfn.XLOOKUP(D2098,Master[Product_Code],Master[Category])</f>
        <v>Jeans</v>
      </c>
      <c r="G2098" s="8" t="str">
        <f>_xlfn.XLOOKUP(D2098,Master[Product_Code],Master[Brand])</f>
        <v>Wrangler</v>
      </c>
      <c r="H2098" s="8" t="str">
        <f>_xlfn.XLOOKUP(D2098,Master[Product_Code],Master[Style])</f>
        <v>Jogger</v>
      </c>
      <c r="I2098" s="8" t="str">
        <f>_xlfn.XLOOKUP(D2098,Master[Product_Code],Master[Fabric])</f>
        <v>Denim</v>
      </c>
      <c r="J2098" s="8">
        <f>_xlfn.XLOOKUP(D2098,Master[Product_Code],Master[Size])</f>
        <v>44</v>
      </c>
      <c r="K2098" s="8" t="str">
        <f>_xlfn.XLOOKUP(D2098,Master[Product_Code],Master[Color])</f>
        <v>Maroon</v>
      </c>
      <c r="L2098" s="3">
        <f>_xlfn.XLOOKUP(D2098,Master[Product_Code],Master[Selling_Price])</f>
        <v>920</v>
      </c>
    </row>
    <row r="2099" spans="2:12">
      <c r="B2099" s="2" t="s">
        <v>2627</v>
      </c>
      <c r="C2099" s="7">
        <v>45999</v>
      </c>
      <c r="D2099" s="2" t="s">
        <v>284</v>
      </c>
      <c r="E2099" s="4">
        <v>1</v>
      </c>
      <c r="F2099" s="8" t="str">
        <f>_xlfn.XLOOKUP(D2099,Master[Product_Code],Master[Category])</f>
        <v>Shirt</v>
      </c>
      <c r="G2099" s="8" t="str">
        <f>_xlfn.XLOOKUP(D2099,Master[Product_Code],Master[Brand])</f>
        <v>Max</v>
      </c>
      <c r="H2099" s="8" t="str">
        <f>_xlfn.XLOOKUP(D2099,Master[Product_Code],Master[Style])</f>
        <v>Formal</v>
      </c>
      <c r="I2099" s="8" t="str">
        <f>_xlfn.XLOOKUP(D2099,Master[Product_Code],Master[Fabric])</f>
        <v>Cotton Blend</v>
      </c>
      <c r="J2099" s="8" t="str">
        <f>_xlfn.XLOOKUP(D2099,Master[Product_Code],Master[Size])</f>
        <v>XXL</v>
      </c>
      <c r="K2099" s="8" t="str">
        <f>_xlfn.XLOOKUP(D2099,Master[Product_Code],Master[Color])</f>
        <v>Cream</v>
      </c>
      <c r="L2099" s="3">
        <f>_xlfn.XLOOKUP(D2099,Master[Product_Code],Master[Selling_Price])</f>
        <v>740</v>
      </c>
    </row>
    <row r="2100" spans="2:12">
      <c r="B2100" s="2" t="s">
        <v>2628</v>
      </c>
      <c r="C2100" s="7">
        <v>45999</v>
      </c>
      <c r="D2100" s="2" t="s">
        <v>425</v>
      </c>
      <c r="E2100" s="4">
        <v>1</v>
      </c>
      <c r="F2100" s="8" t="str">
        <f>_xlfn.XLOOKUP(D2100,Master[Product_Code],Master[Category])</f>
        <v>T-Shirt</v>
      </c>
      <c r="G2100" s="8" t="str">
        <f>_xlfn.XLOOKUP(D2100,Master[Product_Code],Master[Brand])</f>
        <v>Thailand</v>
      </c>
      <c r="H2100" s="8" t="str">
        <f>_xlfn.XLOOKUP(D2100,Master[Product_Code],Master[Style])</f>
        <v>Full Sleeve</v>
      </c>
      <c r="I2100" s="8" t="str">
        <f>_xlfn.XLOOKUP(D2100,Master[Product_Code],Master[Fabric])</f>
        <v>Cotton Blend</v>
      </c>
      <c r="J2100" s="8" t="str">
        <f>_xlfn.XLOOKUP(D2100,Master[Product_Code],Master[Size])</f>
        <v>XXL</v>
      </c>
      <c r="K2100" s="8" t="str">
        <f>_xlfn.XLOOKUP(D2100,Master[Product_Code],Master[Color])</f>
        <v>Charcoal</v>
      </c>
      <c r="L2100" s="3">
        <f>_xlfn.XLOOKUP(D2100,Master[Product_Code],Master[Selling_Price])</f>
        <v>350</v>
      </c>
    </row>
    <row r="2101" spans="2:12">
      <c r="B2101" s="2" t="s">
        <v>2628</v>
      </c>
      <c r="C2101" s="7">
        <v>45999</v>
      </c>
      <c r="D2101" s="2" t="s">
        <v>932</v>
      </c>
      <c r="E2101" s="4">
        <v>1</v>
      </c>
      <c r="F2101" s="8" t="str">
        <f>_xlfn.XLOOKUP(D2101,Master[Product_Code],Master[Category])</f>
        <v>Jeans</v>
      </c>
      <c r="G2101" s="8" t="str">
        <f>_xlfn.XLOOKUP(D2101,Master[Product_Code],Master[Brand])</f>
        <v>Denim Pro</v>
      </c>
      <c r="H2101" s="8" t="str">
        <f>_xlfn.XLOOKUP(D2101,Master[Product_Code],Master[Style])</f>
        <v>Baggy</v>
      </c>
      <c r="I2101" s="8" t="str">
        <f>_xlfn.XLOOKUP(D2101,Master[Product_Code],Master[Fabric])</f>
        <v>Denim</v>
      </c>
      <c r="J2101" s="8">
        <f>_xlfn.XLOOKUP(D2101,Master[Product_Code],Master[Size])</f>
        <v>28</v>
      </c>
      <c r="K2101" s="8" t="str">
        <f>_xlfn.XLOOKUP(D2101,Master[Product_Code],Master[Color])</f>
        <v>Brown</v>
      </c>
      <c r="L2101" s="3">
        <f>_xlfn.XLOOKUP(D2101,Master[Product_Code],Master[Selling_Price])</f>
        <v>1010</v>
      </c>
    </row>
    <row r="2102" spans="2:12">
      <c r="B2102" s="2" t="s">
        <v>2629</v>
      </c>
      <c r="C2102" s="7">
        <v>45999</v>
      </c>
      <c r="D2102" s="2" t="s">
        <v>1000</v>
      </c>
      <c r="E2102" s="4">
        <v>1</v>
      </c>
      <c r="F2102" s="8" t="str">
        <f>_xlfn.XLOOKUP(D2102,Master[Product_Code],Master[Category])</f>
        <v>Jeans</v>
      </c>
      <c r="G2102" s="8" t="str">
        <f>_xlfn.XLOOKUP(D2102,Master[Product_Code],Master[Brand])</f>
        <v>Wrangler</v>
      </c>
      <c r="H2102" s="8" t="str">
        <f>_xlfn.XLOOKUP(D2102,Master[Product_Code],Master[Style])</f>
        <v>Baggy</v>
      </c>
      <c r="I2102" s="8" t="str">
        <f>_xlfn.XLOOKUP(D2102,Master[Product_Code],Master[Fabric])</f>
        <v>Denim</v>
      </c>
      <c r="J2102" s="8">
        <f>_xlfn.XLOOKUP(D2102,Master[Product_Code],Master[Size])</f>
        <v>36</v>
      </c>
      <c r="K2102" s="8" t="str">
        <f>_xlfn.XLOOKUP(D2102,Master[Product_Code],Master[Color])</f>
        <v>Maroon</v>
      </c>
      <c r="L2102" s="3">
        <f>_xlfn.XLOOKUP(D2102,Master[Product_Code],Master[Selling_Price])</f>
        <v>960</v>
      </c>
    </row>
    <row r="2103" spans="2:12">
      <c r="B2103" s="2" t="s">
        <v>2630</v>
      </c>
      <c r="C2103" s="7">
        <v>45999</v>
      </c>
      <c r="D2103" s="2" t="s">
        <v>277</v>
      </c>
      <c r="E2103" s="4">
        <v>1</v>
      </c>
      <c r="F2103" s="8" t="str">
        <f>_xlfn.XLOOKUP(D2103,Master[Product_Code],Master[Category])</f>
        <v>Shirt</v>
      </c>
      <c r="G2103" s="8" t="str">
        <f>_xlfn.XLOOKUP(D2103,Master[Product_Code],Master[Brand])</f>
        <v>L7</v>
      </c>
      <c r="H2103" s="8" t="str">
        <f>_xlfn.XLOOKUP(D2103,Master[Product_Code],Master[Style])</f>
        <v>Casual</v>
      </c>
      <c r="I2103" s="8" t="str">
        <f>_xlfn.XLOOKUP(D2103,Master[Product_Code],Master[Fabric])</f>
        <v>Polyester</v>
      </c>
      <c r="J2103" s="8" t="str">
        <f>_xlfn.XLOOKUP(D2103,Master[Product_Code],Master[Size])</f>
        <v>L</v>
      </c>
      <c r="K2103" s="8" t="str">
        <f>_xlfn.XLOOKUP(D2103,Master[Product_Code],Master[Color])</f>
        <v>Maroon</v>
      </c>
      <c r="L2103" s="3">
        <f>_xlfn.XLOOKUP(D2103,Master[Product_Code],Master[Selling_Price])</f>
        <v>680</v>
      </c>
    </row>
    <row r="2104" spans="2:12">
      <c r="B2104" s="2" t="s">
        <v>2630</v>
      </c>
      <c r="C2104" s="7">
        <v>45999</v>
      </c>
      <c r="D2104" s="2" t="s">
        <v>1653</v>
      </c>
      <c r="E2104" s="4">
        <v>1</v>
      </c>
      <c r="F2104" s="8" t="str">
        <f>_xlfn.XLOOKUP(D2104,Master[Product_Code],Master[Category])</f>
        <v>Innerwear</v>
      </c>
      <c r="G2104" s="8" t="str">
        <f>_xlfn.XLOOKUP(D2104,Master[Product_Code],Master[Brand])</f>
        <v>V Star</v>
      </c>
      <c r="H2104" s="8" t="str">
        <f>_xlfn.XLOOKUP(D2104,Master[Product_Code],Master[Style])</f>
        <v>Boxer</v>
      </c>
      <c r="I2104" s="8" t="str">
        <f>_xlfn.XLOOKUP(D2104,Master[Product_Code],Master[Fabric])</f>
        <v>Cotton</v>
      </c>
      <c r="J2104" s="8" t="str">
        <f>_xlfn.XLOOKUP(D2104,Master[Product_Code],Master[Size])</f>
        <v>90-100</v>
      </c>
      <c r="K2104" s="8" t="str">
        <f>_xlfn.XLOOKUP(D2104,Master[Product_Code],Master[Color])</f>
        <v>Charcoal</v>
      </c>
      <c r="L2104" s="3">
        <f>_xlfn.XLOOKUP(D2104,Master[Product_Code],Master[Selling_Price])</f>
        <v>130</v>
      </c>
    </row>
    <row r="2105" spans="2:12">
      <c r="B2105" s="2" t="s">
        <v>2630</v>
      </c>
      <c r="C2105" s="7">
        <v>45999</v>
      </c>
      <c r="D2105" s="2" t="s">
        <v>1543</v>
      </c>
      <c r="E2105" s="4">
        <v>1</v>
      </c>
      <c r="F2105" s="8" t="str">
        <f>_xlfn.XLOOKUP(D2105,Master[Product_Code],Master[Category])</f>
        <v>Innerwear</v>
      </c>
      <c r="G2105" s="8" t="str">
        <f>_xlfn.XLOOKUP(D2105,Master[Product_Code],Master[Brand])</f>
        <v>Dollar</v>
      </c>
      <c r="H2105" s="8" t="str">
        <f>_xlfn.XLOOKUP(D2105,Master[Product_Code],Master[Style])</f>
        <v>V-Cut</v>
      </c>
      <c r="I2105" s="8" t="str">
        <f>_xlfn.XLOOKUP(D2105,Master[Product_Code],Master[Fabric])</f>
        <v>Cotton</v>
      </c>
      <c r="J2105" s="8" t="str">
        <f>_xlfn.XLOOKUP(D2105,Master[Product_Code],Master[Size])</f>
        <v>90-100</v>
      </c>
      <c r="K2105" s="8" t="str">
        <f>_xlfn.XLOOKUP(D2105,Master[Product_Code],Master[Color])</f>
        <v>Rust</v>
      </c>
      <c r="L2105" s="3">
        <f>_xlfn.XLOOKUP(D2105,Master[Product_Code],Master[Selling_Price])</f>
        <v>160</v>
      </c>
    </row>
    <row r="2106" spans="2:12">
      <c r="B2106" s="2" t="s">
        <v>2631</v>
      </c>
      <c r="C2106" s="7">
        <v>45999</v>
      </c>
      <c r="D2106" s="2" t="s">
        <v>366</v>
      </c>
      <c r="E2106" s="4">
        <v>1</v>
      </c>
      <c r="F2106" s="8" t="str">
        <f>_xlfn.XLOOKUP(D2106,Master[Product_Code],Master[Category])</f>
        <v>Shirt</v>
      </c>
      <c r="G2106" s="8" t="str">
        <f>_xlfn.XLOOKUP(D2106,Master[Product_Code],Master[Brand])</f>
        <v>USD</v>
      </c>
      <c r="H2106" s="8" t="str">
        <f>_xlfn.XLOOKUP(D2106,Master[Product_Code],Master[Style])</f>
        <v>Casual</v>
      </c>
      <c r="I2106" s="8" t="str">
        <f>_xlfn.XLOOKUP(D2106,Master[Product_Code],Master[Fabric])</f>
        <v>Polyester</v>
      </c>
      <c r="J2106" s="8" t="str">
        <f>_xlfn.XLOOKUP(D2106,Master[Product_Code],Master[Size])</f>
        <v>XL</v>
      </c>
      <c r="K2106" s="8" t="str">
        <f>_xlfn.XLOOKUP(D2106,Master[Product_Code],Master[Color])</f>
        <v>Grey</v>
      </c>
      <c r="L2106" s="3">
        <f>_xlfn.XLOOKUP(D2106,Master[Product_Code],Master[Selling_Price])</f>
        <v>830</v>
      </c>
    </row>
    <row r="2107" spans="2:12">
      <c r="B2107" s="2" t="s">
        <v>2631</v>
      </c>
      <c r="C2107" s="7">
        <v>45999</v>
      </c>
      <c r="D2107" s="2" t="s">
        <v>1317</v>
      </c>
      <c r="E2107" s="4">
        <v>1</v>
      </c>
      <c r="F2107" s="8" t="str">
        <f>_xlfn.XLOOKUP(D2107,Master[Product_Code],Master[Category])</f>
        <v>Pants</v>
      </c>
      <c r="G2107" s="8" t="str">
        <f>_xlfn.XLOOKUP(D2107,Master[Product_Code],Master[Brand])</f>
        <v>Louis Philippe</v>
      </c>
      <c r="H2107" s="8" t="str">
        <f>_xlfn.XLOOKUP(D2107,Master[Product_Code],Master[Style])</f>
        <v>Kurka</v>
      </c>
      <c r="I2107" s="8" t="str">
        <f>_xlfn.XLOOKUP(D2107,Master[Product_Code],Master[Fabric])</f>
        <v>Lycra</v>
      </c>
      <c r="J2107" s="8">
        <f>_xlfn.XLOOKUP(D2107,Master[Product_Code],Master[Size])</f>
        <v>40</v>
      </c>
      <c r="K2107" s="8" t="str">
        <f>_xlfn.XLOOKUP(D2107,Master[Product_Code],Master[Color])</f>
        <v>Bottle Green</v>
      </c>
      <c r="L2107" s="3">
        <f>_xlfn.XLOOKUP(D2107,Master[Product_Code],Master[Selling_Price])</f>
        <v>920</v>
      </c>
    </row>
    <row r="2108" spans="2:12">
      <c r="B2108" s="2" t="s">
        <v>2631</v>
      </c>
      <c r="C2108" s="7">
        <v>45999</v>
      </c>
      <c r="D2108" s="2" t="s">
        <v>844</v>
      </c>
      <c r="E2108" s="4">
        <v>1</v>
      </c>
      <c r="F2108" s="8" t="str">
        <f>_xlfn.XLOOKUP(D2108,Master[Product_Code],Master[Category])</f>
        <v>Jeans</v>
      </c>
      <c r="G2108" s="8" t="str">
        <f>_xlfn.XLOOKUP(D2108,Master[Product_Code],Master[Brand])</f>
        <v>Levis</v>
      </c>
      <c r="H2108" s="8" t="str">
        <f>_xlfn.XLOOKUP(D2108,Master[Product_Code],Master[Style])</f>
        <v>Baggy</v>
      </c>
      <c r="I2108" s="8" t="str">
        <f>_xlfn.XLOOKUP(D2108,Master[Product_Code],Master[Fabric])</f>
        <v>Denim</v>
      </c>
      <c r="J2108" s="8">
        <f>_xlfn.XLOOKUP(D2108,Master[Product_Code],Master[Size])</f>
        <v>40</v>
      </c>
      <c r="K2108" s="8" t="str">
        <f>_xlfn.XLOOKUP(D2108,Master[Product_Code],Master[Color])</f>
        <v>Olive</v>
      </c>
      <c r="L2108" s="3">
        <f>_xlfn.XLOOKUP(D2108,Master[Product_Code],Master[Selling_Price])</f>
        <v>870</v>
      </c>
    </row>
    <row r="2109" spans="2:12">
      <c r="B2109" s="2" t="s">
        <v>2632</v>
      </c>
      <c r="C2109" s="7">
        <v>46000</v>
      </c>
      <c r="D2109" s="2" t="s">
        <v>956</v>
      </c>
      <c r="E2109" s="4">
        <v>1</v>
      </c>
      <c r="F2109" s="8" t="str">
        <f>_xlfn.XLOOKUP(D2109,Master[Product_Code],Master[Category])</f>
        <v>Jeans</v>
      </c>
      <c r="G2109" s="8" t="str">
        <f>_xlfn.XLOOKUP(D2109,Master[Product_Code],Master[Brand])</f>
        <v>Denim Pro</v>
      </c>
      <c r="H2109" s="8" t="str">
        <f>_xlfn.XLOOKUP(D2109,Master[Product_Code],Master[Style])</f>
        <v>Baggy</v>
      </c>
      <c r="I2109" s="8" t="str">
        <f>_xlfn.XLOOKUP(D2109,Master[Product_Code],Master[Fabric])</f>
        <v>Denim</v>
      </c>
      <c r="J2109" s="8">
        <f>_xlfn.XLOOKUP(D2109,Master[Product_Code],Master[Size])</f>
        <v>44</v>
      </c>
      <c r="K2109" s="8" t="str">
        <f>_xlfn.XLOOKUP(D2109,Master[Product_Code],Master[Color])</f>
        <v>Sky Blue</v>
      </c>
      <c r="L2109" s="3">
        <f>_xlfn.XLOOKUP(D2109,Master[Product_Code],Master[Selling_Price])</f>
        <v>1070</v>
      </c>
    </row>
    <row r="2110" spans="2:12">
      <c r="B2110" s="2" t="s">
        <v>2633</v>
      </c>
      <c r="C2110" s="7">
        <v>46000</v>
      </c>
      <c r="D2110" s="2" t="s">
        <v>384</v>
      </c>
      <c r="E2110" s="4">
        <v>1</v>
      </c>
      <c r="F2110" s="8" t="str">
        <f>_xlfn.XLOOKUP(D2110,Master[Product_Code],Master[Category])</f>
        <v>Shirt</v>
      </c>
      <c r="G2110" s="8" t="str">
        <f>_xlfn.XLOOKUP(D2110,Master[Product_Code],Master[Brand])</f>
        <v>H&amp;M</v>
      </c>
      <c r="H2110" s="8" t="str">
        <f>_xlfn.XLOOKUP(D2110,Master[Product_Code],Master[Style])</f>
        <v>Casual</v>
      </c>
      <c r="I2110" s="8" t="str">
        <f>_xlfn.XLOOKUP(D2110,Master[Product_Code],Master[Fabric])</f>
        <v>Cotton</v>
      </c>
      <c r="J2110" s="8" t="str">
        <f>_xlfn.XLOOKUP(D2110,Master[Product_Code],Master[Size])</f>
        <v>XL</v>
      </c>
      <c r="K2110" s="8" t="str">
        <f>_xlfn.XLOOKUP(D2110,Master[Product_Code],Master[Color])</f>
        <v>Maroon</v>
      </c>
      <c r="L2110" s="3">
        <f>_xlfn.XLOOKUP(D2110,Master[Product_Code],Master[Selling_Price])</f>
        <v>660</v>
      </c>
    </row>
    <row r="2111" spans="2:12">
      <c r="B2111" s="2" t="s">
        <v>2633</v>
      </c>
      <c r="C2111" s="7">
        <v>46000</v>
      </c>
      <c r="D2111" s="2" t="s">
        <v>255</v>
      </c>
      <c r="E2111" s="4">
        <v>1</v>
      </c>
      <c r="F2111" s="8" t="str">
        <f>_xlfn.XLOOKUP(D2111,Master[Product_Code],Master[Category])</f>
        <v>Shirt</v>
      </c>
      <c r="G2111" s="8" t="str">
        <f>_xlfn.XLOOKUP(D2111,Master[Product_Code],Master[Brand])</f>
        <v>Thailand</v>
      </c>
      <c r="H2111" s="8" t="str">
        <f>_xlfn.XLOOKUP(D2111,Master[Product_Code],Master[Style])</f>
        <v>Casual</v>
      </c>
      <c r="I2111" s="8" t="str">
        <f>_xlfn.XLOOKUP(D2111,Master[Product_Code],Master[Fabric])</f>
        <v>Cotton Blend</v>
      </c>
      <c r="J2111" s="8" t="str">
        <f>_xlfn.XLOOKUP(D2111,Master[Product_Code],Master[Size])</f>
        <v>S</v>
      </c>
      <c r="K2111" s="8" t="str">
        <f>_xlfn.XLOOKUP(D2111,Master[Product_Code],Master[Color])</f>
        <v>Black</v>
      </c>
      <c r="L2111" s="3">
        <f>_xlfn.XLOOKUP(D2111,Master[Product_Code],Master[Selling_Price])</f>
        <v>900</v>
      </c>
    </row>
    <row r="2112" spans="2:12">
      <c r="B2112" s="2" t="s">
        <v>2634</v>
      </c>
      <c r="C2112" s="7">
        <v>46000</v>
      </c>
      <c r="D2112" s="2" t="s">
        <v>770</v>
      </c>
      <c r="E2112" s="4">
        <v>1</v>
      </c>
      <c r="F2112" s="8" t="str">
        <f>_xlfn.XLOOKUP(D2112,Master[Product_Code],Master[Category])</f>
        <v>T-Shirt</v>
      </c>
      <c r="G2112" s="8" t="str">
        <f>_xlfn.XLOOKUP(D2112,Master[Product_Code],Master[Brand])</f>
        <v>Roadster</v>
      </c>
      <c r="H2112" s="8" t="str">
        <f>_xlfn.XLOOKUP(D2112,Master[Product_Code],Master[Style])</f>
        <v>Half Sleeve</v>
      </c>
      <c r="I2112" s="8" t="str">
        <f>_xlfn.XLOOKUP(D2112,Master[Product_Code],Master[Fabric])</f>
        <v>Poly Cotton</v>
      </c>
      <c r="J2112" s="8" t="str">
        <f>_xlfn.XLOOKUP(D2112,Master[Product_Code],Master[Size])</f>
        <v>M</v>
      </c>
      <c r="K2112" s="8" t="str">
        <f>_xlfn.XLOOKUP(D2112,Master[Product_Code],Master[Color])</f>
        <v>Cream</v>
      </c>
      <c r="L2112" s="3">
        <f>_xlfn.XLOOKUP(D2112,Master[Product_Code],Master[Selling_Price])</f>
        <v>550</v>
      </c>
    </row>
    <row r="2113" spans="2:12">
      <c r="B2113" s="2" t="s">
        <v>2634</v>
      </c>
      <c r="C2113" s="7">
        <v>46000</v>
      </c>
      <c r="D2113" s="2" t="s">
        <v>158</v>
      </c>
      <c r="E2113" s="4">
        <v>1</v>
      </c>
      <c r="F2113" s="8" t="str">
        <f>_xlfn.XLOOKUP(D2113,Master[Product_Code],Master[Category])</f>
        <v>Shirt</v>
      </c>
      <c r="G2113" s="8" t="str">
        <f>_xlfn.XLOOKUP(D2113,Master[Product_Code],Master[Brand])</f>
        <v>G Studio</v>
      </c>
      <c r="H2113" s="8" t="str">
        <f>_xlfn.XLOOKUP(D2113,Master[Product_Code],Master[Style])</f>
        <v>Casual</v>
      </c>
      <c r="I2113" s="8" t="str">
        <f>_xlfn.XLOOKUP(D2113,Master[Product_Code],Master[Fabric])</f>
        <v>Lycra</v>
      </c>
      <c r="J2113" s="8" t="str">
        <f>_xlfn.XLOOKUP(D2113,Master[Product_Code],Master[Size])</f>
        <v>L</v>
      </c>
      <c r="K2113" s="8" t="str">
        <f>_xlfn.XLOOKUP(D2113,Master[Product_Code],Master[Color])</f>
        <v>Light Grey</v>
      </c>
      <c r="L2113" s="3">
        <f>_xlfn.XLOOKUP(D2113,Master[Product_Code],Master[Selling_Price])</f>
        <v>740</v>
      </c>
    </row>
    <row r="2114" spans="2:12">
      <c r="B2114" s="2" t="s">
        <v>2634</v>
      </c>
      <c r="C2114" s="7">
        <v>46000</v>
      </c>
      <c r="D2114" s="2" t="s">
        <v>1055</v>
      </c>
      <c r="E2114" s="4">
        <v>1</v>
      </c>
      <c r="F2114" s="8" t="str">
        <f>_xlfn.XLOOKUP(D2114,Master[Product_Code],Master[Category])</f>
        <v>Jeans</v>
      </c>
      <c r="G2114" s="8" t="str">
        <f>_xlfn.XLOOKUP(D2114,Master[Product_Code],Master[Brand])</f>
        <v>Pepe</v>
      </c>
      <c r="H2114" s="8" t="str">
        <f>_xlfn.XLOOKUP(D2114,Master[Product_Code],Master[Style])</f>
        <v>Mom Fit</v>
      </c>
      <c r="I2114" s="8" t="str">
        <f>_xlfn.XLOOKUP(D2114,Master[Product_Code],Master[Fabric])</f>
        <v>Denim</v>
      </c>
      <c r="J2114" s="8">
        <f>_xlfn.XLOOKUP(D2114,Master[Product_Code],Master[Size])</f>
        <v>30</v>
      </c>
      <c r="K2114" s="8" t="str">
        <f>_xlfn.XLOOKUP(D2114,Master[Product_Code],Master[Color])</f>
        <v>Wine</v>
      </c>
      <c r="L2114" s="3">
        <f>_xlfn.XLOOKUP(D2114,Master[Product_Code],Master[Selling_Price])</f>
        <v>1070</v>
      </c>
    </row>
    <row r="2115" spans="2:12">
      <c r="B2115" s="2" t="s">
        <v>2634</v>
      </c>
      <c r="C2115" s="7">
        <v>46000</v>
      </c>
      <c r="D2115" s="2" t="s">
        <v>821</v>
      </c>
      <c r="E2115" s="4">
        <v>1</v>
      </c>
      <c r="F2115" s="8" t="str">
        <f>_xlfn.XLOOKUP(D2115,Master[Product_Code],Master[Category])</f>
        <v>T-Shirt</v>
      </c>
      <c r="G2115" s="8" t="str">
        <f>_xlfn.XLOOKUP(D2115,Master[Product_Code],Master[Brand])</f>
        <v>Zara</v>
      </c>
      <c r="H2115" s="8" t="str">
        <f>_xlfn.XLOOKUP(D2115,Master[Product_Code],Master[Style])</f>
        <v>Hoodie</v>
      </c>
      <c r="I2115" s="8" t="str">
        <f>_xlfn.XLOOKUP(D2115,Master[Product_Code],Master[Fabric])</f>
        <v>Cotton Blend</v>
      </c>
      <c r="J2115" s="8" t="str">
        <f>_xlfn.XLOOKUP(D2115,Master[Product_Code],Master[Size])</f>
        <v>L</v>
      </c>
      <c r="K2115" s="8" t="str">
        <f>_xlfn.XLOOKUP(D2115,Master[Product_Code],Master[Color])</f>
        <v>Black</v>
      </c>
      <c r="L2115" s="3">
        <f>_xlfn.XLOOKUP(D2115,Master[Product_Code],Master[Selling_Price])</f>
        <v>540</v>
      </c>
    </row>
    <row r="2116" spans="2:12">
      <c r="B2116" s="2" t="s">
        <v>2635</v>
      </c>
      <c r="C2116" s="7">
        <v>46000</v>
      </c>
      <c r="D2116" s="2" t="s">
        <v>1319</v>
      </c>
      <c r="E2116" s="4">
        <v>1</v>
      </c>
      <c r="F2116" s="8" t="str">
        <f>_xlfn.XLOOKUP(D2116,Master[Product_Code],Master[Category])</f>
        <v>Pants</v>
      </c>
      <c r="G2116" s="8" t="str">
        <f>_xlfn.XLOOKUP(D2116,Master[Product_Code],Master[Brand])</f>
        <v>Peter England</v>
      </c>
      <c r="H2116" s="8" t="str">
        <f>_xlfn.XLOOKUP(D2116,Master[Product_Code],Master[Style])</f>
        <v>Kurka</v>
      </c>
      <c r="I2116" s="8" t="str">
        <f>_xlfn.XLOOKUP(D2116,Master[Product_Code],Master[Fabric])</f>
        <v>Lycra</v>
      </c>
      <c r="J2116" s="8">
        <f>_xlfn.XLOOKUP(D2116,Master[Product_Code],Master[Size])</f>
        <v>42</v>
      </c>
      <c r="K2116" s="8" t="str">
        <f>_xlfn.XLOOKUP(D2116,Master[Product_Code],Master[Color])</f>
        <v>Sky Blue</v>
      </c>
      <c r="L2116" s="3">
        <f>_xlfn.XLOOKUP(D2116,Master[Product_Code],Master[Selling_Price])</f>
        <v>750</v>
      </c>
    </row>
    <row r="2117" spans="2:12">
      <c r="B2117" s="2" t="s">
        <v>2635</v>
      </c>
      <c r="C2117" s="7">
        <v>46000</v>
      </c>
      <c r="D2117" s="2" t="s">
        <v>865</v>
      </c>
      <c r="E2117" s="4">
        <v>1</v>
      </c>
      <c r="F2117" s="8" t="str">
        <f>_xlfn.XLOOKUP(D2117,Master[Product_Code],Master[Category])</f>
        <v>Jeans</v>
      </c>
      <c r="G2117" s="8" t="str">
        <f>_xlfn.XLOOKUP(D2117,Master[Product_Code],Master[Brand])</f>
        <v>Spykar</v>
      </c>
      <c r="H2117" s="8" t="str">
        <f>_xlfn.XLOOKUP(D2117,Master[Product_Code],Master[Style])</f>
        <v>Baggy</v>
      </c>
      <c r="I2117" s="8" t="str">
        <f>_xlfn.XLOOKUP(D2117,Master[Product_Code],Master[Fabric])</f>
        <v>Denim</v>
      </c>
      <c r="J2117" s="8">
        <f>_xlfn.XLOOKUP(D2117,Master[Product_Code],Master[Size])</f>
        <v>42</v>
      </c>
      <c r="K2117" s="8" t="str">
        <f>_xlfn.XLOOKUP(D2117,Master[Product_Code],Master[Color])</f>
        <v>Royal Blue</v>
      </c>
      <c r="L2117" s="3">
        <f>_xlfn.XLOOKUP(D2117,Master[Product_Code],Master[Selling_Price])</f>
        <v>830</v>
      </c>
    </row>
    <row r="2118" spans="2:12">
      <c r="B2118" s="2" t="s">
        <v>2635</v>
      </c>
      <c r="C2118" s="7">
        <v>46000</v>
      </c>
      <c r="D2118" s="2" t="s">
        <v>1089</v>
      </c>
      <c r="E2118" s="4">
        <v>1</v>
      </c>
      <c r="F2118" s="8" t="str">
        <f>_xlfn.XLOOKUP(D2118,Master[Product_Code],Master[Category])</f>
        <v>Jeans</v>
      </c>
      <c r="G2118" s="8" t="str">
        <f>_xlfn.XLOOKUP(D2118,Master[Product_Code],Master[Brand])</f>
        <v>Pepe</v>
      </c>
      <c r="H2118" s="8" t="str">
        <f>_xlfn.XLOOKUP(D2118,Master[Product_Code],Master[Style])</f>
        <v>Jogger</v>
      </c>
      <c r="I2118" s="8" t="str">
        <f>_xlfn.XLOOKUP(D2118,Master[Product_Code],Master[Fabric])</f>
        <v>Denim</v>
      </c>
      <c r="J2118" s="8">
        <f>_xlfn.XLOOKUP(D2118,Master[Product_Code],Master[Size])</f>
        <v>40</v>
      </c>
      <c r="K2118" s="8" t="str">
        <f>_xlfn.XLOOKUP(D2118,Master[Product_Code],Master[Color])</f>
        <v>Peach</v>
      </c>
      <c r="L2118" s="3">
        <f>_xlfn.XLOOKUP(D2118,Master[Product_Code],Master[Selling_Price])</f>
        <v>830</v>
      </c>
    </row>
    <row r="2119" spans="2:12">
      <c r="B2119" s="2" t="s">
        <v>2635</v>
      </c>
      <c r="C2119" s="7">
        <v>46000</v>
      </c>
      <c r="D2119" s="2" t="s">
        <v>931</v>
      </c>
      <c r="E2119" s="4">
        <v>1</v>
      </c>
      <c r="F2119" s="8" t="str">
        <f>_xlfn.XLOOKUP(D2119,Master[Product_Code],Master[Category])</f>
        <v>Jeans</v>
      </c>
      <c r="G2119" s="8" t="str">
        <f>_xlfn.XLOOKUP(D2119,Master[Product_Code],Master[Brand])</f>
        <v>Levis</v>
      </c>
      <c r="H2119" s="8" t="str">
        <f>_xlfn.XLOOKUP(D2119,Master[Product_Code],Master[Style])</f>
        <v>Jogger</v>
      </c>
      <c r="I2119" s="8" t="str">
        <f>_xlfn.XLOOKUP(D2119,Master[Product_Code],Master[Fabric])</f>
        <v>Denim</v>
      </c>
      <c r="J2119" s="8">
        <f>_xlfn.XLOOKUP(D2119,Master[Product_Code],Master[Size])</f>
        <v>30</v>
      </c>
      <c r="K2119" s="8" t="str">
        <f>_xlfn.XLOOKUP(D2119,Master[Product_Code],Master[Color])</f>
        <v>Rust</v>
      </c>
      <c r="L2119" s="3">
        <f>_xlfn.XLOOKUP(D2119,Master[Product_Code],Master[Selling_Price])</f>
        <v>790</v>
      </c>
    </row>
    <row r="2120" spans="2:12">
      <c r="B2120" s="2" t="s">
        <v>2636</v>
      </c>
      <c r="C2120" s="7">
        <v>46000</v>
      </c>
      <c r="D2120" s="2" t="s">
        <v>1308</v>
      </c>
      <c r="E2120" s="4">
        <v>1</v>
      </c>
      <c r="F2120" s="8" t="str">
        <f>_xlfn.XLOOKUP(D2120,Master[Product_Code],Master[Category])</f>
        <v>Pants</v>
      </c>
      <c r="G2120" s="8" t="str">
        <f>_xlfn.XLOOKUP(D2120,Master[Product_Code],Master[Brand])</f>
        <v>Louis Philippe</v>
      </c>
      <c r="H2120" s="8" t="str">
        <f>_xlfn.XLOOKUP(D2120,Master[Product_Code],Master[Style])</f>
        <v>Polofit</v>
      </c>
      <c r="I2120" s="8" t="str">
        <f>_xlfn.XLOOKUP(D2120,Master[Product_Code],Master[Fabric])</f>
        <v>Lycra</v>
      </c>
      <c r="J2120" s="8">
        <f>_xlfn.XLOOKUP(D2120,Master[Product_Code],Master[Size])</f>
        <v>32</v>
      </c>
      <c r="K2120" s="8" t="str">
        <f>_xlfn.XLOOKUP(D2120,Master[Product_Code],Master[Color])</f>
        <v>Maroon</v>
      </c>
      <c r="L2120" s="3">
        <f>_xlfn.XLOOKUP(D2120,Master[Product_Code],Master[Selling_Price])</f>
        <v>870</v>
      </c>
    </row>
    <row r="2121" spans="2:12">
      <c r="B2121" s="2" t="s">
        <v>2636</v>
      </c>
      <c r="C2121" s="7">
        <v>46000</v>
      </c>
      <c r="D2121" s="2" t="s">
        <v>341</v>
      </c>
      <c r="E2121" s="4">
        <v>1</v>
      </c>
      <c r="F2121" s="8" t="str">
        <f>_xlfn.XLOOKUP(D2121,Master[Product_Code],Master[Category])</f>
        <v>Shirt</v>
      </c>
      <c r="G2121" s="8" t="str">
        <f>_xlfn.XLOOKUP(D2121,Master[Product_Code],Master[Brand])</f>
        <v>Zara</v>
      </c>
      <c r="H2121" s="8" t="str">
        <f>_xlfn.XLOOKUP(D2121,Master[Product_Code],Master[Style])</f>
        <v>Casual</v>
      </c>
      <c r="I2121" s="8" t="str">
        <f>_xlfn.XLOOKUP(D2121,Master[Product_Code],Master[Fabric])</f>
        <v>Polyester</v>
      </c>
      <c r="J2121" s="8" t="str">
        <f>_xlfn.XLOOKUP(D2121,Master[Product_Code],Master[Size])</f>
        <v>XXL</v>
      </c>
      <c r="K2121" s="8" t="str">
        <f>_xlfn.XLOOKUP(D2121,Master[Product_Code],Master[Color])</f>
        <v>Peach</v>
      </c>
      <c r="L2121" s="3">
        <f>_xlfn.XLOOKUP(D2121,Master[Product_Code],Master[Selling_Price])</f>
        <v>650</v>
      </c>
    </row>
    <row r="2122" spans="2:12">
      <c r="B2122" s="2" t="s">
        <v>2637</v>
      </c>
      <c r="C2122" s="7">
        <v>46000</v>
      </c>
      <c r="D2122" s="2" t="s">
        <v>1538</v>
      </c>
      <c r="E2122" s="4">
        <v>1</v>
      </c>
      <c r="F2122" s="8" t="str">
        <f>_xlfn.XLOOKUP(D2122,Master[Product_Code],Master[Category])</f>
        <v>Innerwear</v>
      </c>
      <c r="G2122" s="8" t="str">
        <f>_xlfn.XLOOKUP(D2122,Master[Product_Code],Master[Brand])</f>
        <v>Dollar</v>
      </c>
      <c r="H2122" s="8" t="str">
        <f>_xlfn.XLOOKUP(D2122,Master[Product_Code],Master[Style])</f>
        <v>V-Cut</v>
      </c>
      <c r="I2122" s="8" t="str">
        <f>_xlfn.XLOOKUP(D2122,Master[Product_Code],Master[Fabric])</f>
        <v>Cotton</v>
      </c>
      <c r="J2122" s="8" t="str">
        <f>_xlfn.XLOOKUP(D2122,Master[Product_Code],Master[Size])</f>
        <v>90-100</v>
      </c>
      <c r="K2122" s="8" t="str">
        <f>_xlfn.XLOOKUP(D2122,Master[Product_Code],Master[Color])</f>
        <v>Peach</v>
      </c>
      <c r="L2122" s="3">
        <f>_xlfn.XLOOKUP(D2122,Master[Product_Code],Master[Selling_Price])</f>
        <v>110</v>
      </c>
    </row>
    <row r="2123" spans="2:12">
      <c r="B2123" s="2" t="s">
        <v>2637</v>
      </c>
      <c r="C2123" s="7">
        <v>46000</v>
      </c>
      <c r="D2123" s="2" t="s">
        <v>1577</v>
      </c>
      <c r="E2123" s="4">
        <v>1</v>
      </c>
      <c r="F2123" s="8" t="str">
        <f>_xlfn.XLOOKUP(D2123,Master[Product_Code],Master[Category])</f>
        <v>Innerwear</v>
      </c>
      <c r="G2123" s="8" t="str">
        <f>_xlfn.XLOOKUP(D2123,Master[Product_Code],Master[Brand])</f>
        <v>Jockey</v>
      </c>
      <c r="H2123" s="8" t="str">
        <f>_xlfn.XLOOKUP(D2123,Master[Product_Code],Master[Style])</f>
        <v>Boxer</v>
      </c>
      <c r="I2123" s="8" t="str">
        <f>_xlfn.XLOOKUP(D2123,Master[Product_Code],Master[Fabric])</f>
        <v>Cotton Blend</v>
      </c>
      <c r="J2123" s="8" t="str">
        <f>_xlfn.XLOOKUP(D2123,Master[Product_Code],Master[Size])</f>
        <v>100-105</v>
      </c>
      <c r="K2123" s="8" t="str">
        <f>_xlfn.XLOOKUP(D2123,Master[Product_Code],Master[Color])</f>
        <v>Maroon</v>
      </c>
      <c r="L2123" s="3">
        <f>_xlfn.XLOOKUP(D2123,Master[Product_Code],Master[Selling_Price])</f>
        <v>170</v>
      </c>
    </row>
    <row r="2124" spans="2:12">
      <c r="B2124" s="2" t="s">
        <v>2637</v>
      </c>
      <c r="C2124" s="7">
        <v>46000</v>
      </c>
      <c r="D2124" s="2" t="s">
        <v>1612</v>
      </c>
      <c r="E2124" s="4">
        <v>1</v>
      </c>
      <c r="F2124" s="8" t="str">
        <f>_xlfn.XLOOKUP(D2124,Master[Product_Code],Master[Category])</f>
        <v>Innerwear</v>
      </c>
      <c r="G2124" s="8" t="str">
        <f>_xlfn.XLOOKUP(D2124,Master[Product_Code],Master[Brand])</f>
        <v>Dollar</v>
      </c>
      <c r="H2124" s="8" t="str">
        <f>_xlfn.XLOOKUP(D2124,Master[Product_Code],Master[Style])</f>
        <v>Boxer</v>
      </c>
      <c r="I2124" s="8" t="str">
        <f>_xlfn.XLOOKUP(D2124,Master[Product_Code],Master[Fabric])</f>
        <v>Cotton</v>
      </c>
      <c r="J2124" s="8" t="str">
        <f>_xlfn.XLOOKUP(D2124,Master[Product_Code],Master[Size])</f>
        <v>75-80</v>
      </c>
      <c r="K2124" s="8" t="str">
        <f>_xlfn.XLOOKUP(D2124,Master[Product_Code],Master[Color])</f>
        <v>Teal</v>
      </c>
      <c r="L2124" s="3">
        <f>_xlfn.XLOOKUP(D2124,Master[Product_Code],Master[Selling_Price])</f>
        <v>160</v>
      </c>
    </row>
    <row r="2125" spans="2:12">
      <c r="B2125" s="2" t="s">
        <v>2637</v>
      </c>
      <c r="C2125" s="7">
        <v>46000</v>
      </c>
      <c r="D2125" s="2" t="s">
        <v>90</v>
      </c>
      <c r="E2125" s="4">
        <v>1</v>
      </c>
      <c r="F2125" s="8" t="str">
        <f>_xlfn.XLOOKUP(D2125,Master[Product_Code],Master[Category])</f>
        <v>Shirt</v>
      </c>
      <c r="G2125" s="8" t="str">
        <f>_xlfn.XLOOKUP(D2125,Master[Product_Code],Master[Brand])</f>
        <v>British</v>
      </c>
      <c r="H2125" s="8" t="str">
        <f>_xlfn.XLOOKUP(D2125,Master[Product_Code],Master[Style])</f>
        <v>Formal</v>
      </c>
      <c r="I2125" s="8" t="str">
        <f>_xlfn.XLOOKUP(D2125,Master[Product_Code],Master[Fabric])</f>
        <v>Cotton</v>
      </c>
      <c r="J2125" s="8" t="str">
        <f>_xlfn.XLOOKUP(D2125,Master[Product_Code],Master[Size])</f>
        <v>XXL</v>
      </c>
      <c r="K2125" s="8" t="str">
        <f>_xlfn.XLOOKUP(D2125,Master[Product_Code],Master[Color])</f>
        <v>Peach</v>
      </c>
      <c r="L2125" s="3">
        <f>_xlfn.XLOOKUP(D2125,Master[Product_Code],Master[Selling_Price])</f>
        <v>900</v>
      </c>
    </row>
    <row r="2126" spans="2:12">
      <c r="B2126" s="2" t="s">
        <v>2638</v>
      </c>
      <c r="C2126" s="7">
        <v>46000</v>
      </c>
      <c r="D2126" s="2" t="s">
        <v>764</v>
      </c>
      <c r="E2126" s="4">
        <v>1</v>
      </c>
      <c r="F2126" s="8" t="str">
        <f>_xlfn.XLOOKUP(D2126,Master[Product_Code],Master[Category])</f>
        <v>T-Shirt</v>
      </c>
      <c r="G2126" s="8" t="str">
        <f>_xlfn.XLOOKUP(D2126,Master[Product_Code],Master[Brand])</f>
        <v>Zara</v>
      </c>
      <c r="H2126" s="8" t="str">
        <f>_xlfn.XLOOKUP(D2126,Master[Product_Code],Master[Style])</f>
        <v>Full Sleeve</v>
      </c>
      <c r="I2126" s="8" t="str">
        <f>_xlfn.XLOOKUP(D2126,Master[Product_Code],Master[Fabric])</f>
        <v>Cotton Blend</v>
      </c>
      <c r="J2126" s="8" t="str">
        <f>_xlfn.XLOOKUP(D2126,Master[Product_Code],Master[Size])</f>
        <v>M</v>
      </c>
      <c r="K2126" s="8" t="str">
        <f>_xlfn.XLOOKUP(D2126,Master[Product_Code],Master[Color])</f>
        <v>Navy Blue</v>
      </c>
      <c r="L2126" s="3">
        <f>_xlfn.XLOOKUP(D2126,Master[Product_Code],Master[Selling_Price])</f>
        <v>470</v>
      </c>
    </row>
    <row r="2127" spans="2:12">
      <c r="B2127" s="2" t="s">
        <v>2638</v>
      </c>
      <c r="C2127" s="7">
        <v>46000</v>
      </c>
      <c r="D2127" s="2" t="s">
        <v>1525</v>
      </c>
      <c r="E2127" s="4">
        <v>1</v>
      </c>
      <c r="F2127" s="8" t="str">
        <f>_xlfn.XLOOKUP(D2127,Master[Product_Code],Master[Category])</f>
        <v>Innerwear</v>
      </c>
      <c r="G2127" s="8" t="str">
        <f>_xlfn.XLOOKUP(D2127,Master[Product_Code],Master[Brand])</f>
        <v>Lux</v>
      </c>
      <c r="H2127" s="8" t="str">
        <f>_xlfn.XLOOKUP(D2127,Master[Product_Code],Master[Style])</f>
        <v>Boxer</v>
      </c>
      <c r="I2127" s="8" t="str">
        <f>_xlfn.XLOOKUP(D2127,Master[Product_Code],Master[Fabric])</f>
        <v>Cotton Blend</v>
      </c>
      <c r="J2127" s="8" t="str">
        <f>_xlfn.XLOOKUP(D2127,Master[Product_Code],Master[Size])</f>
        <v>105-110</v>
      </c>
      <c r="K2127" s="8" t="str">
        <f>_xlfn.XLOOKUP(D2127,Master[Product_Code],Master[Color])</f>
        <v>Charcoal</v>
      </c>
      <c r="L2127" s="3">
        <f>_xlfn.XLOOKUP(D2127,Master[Product_Code],Master[Selling_Price])</f>
        <v>160</v>
      </c>
    </row>
    <row r="2128" spans="2:12">
      <c r="B2128" s="2" t="s">
        <v>2639</v>
      </c>
      <c r="C2128" s="7">
        <v>46000</v>
      </c>
      <c r="D2128" s="2" t="s">
        <v>23</v>
      </c>
      <c r="E2128" s="4">
        <v>1</v>
      </c>
      <c r="F2128" s="8" t="str">
        <f>_xlfn.XLOOKUP(D2128,Master[Product_Code],Master[Category])</f>
        <v>Shirt</v>
      </c>
      <c r="G2128" s="8" t="str">
        <f>_xlfn.XLOOKUP(D2128,Master[Product_Code],Master[Brand])</f>
        <v>L7</v>
      </c>
      <c r="H2128" s="8" t="str">
        <f>_xlfn.XLOOKUP(D2128,Master[Product_Code],Master[Style])</f>
        <v>Formal</v>
      </c>
      <c r="I2128" s="8" t="str">
        <f>_xlfn.XLOOKUP(D2128,Master[Product_Code],Master[Fabric])</f>
        <v>Lycra</v>
      </c>
      <c r="J2128" s="8" t="str">
        <f>_xlfn.XLOOKUP(D2128,Master[Product_Code],Master[Size])</f>
        <v>XXL</v>
      </c>
      <c r="K2128" s="8" t="str">
        <f>_xlfn.XLOOKUP(D2128,Master[Product_Code],Master[Color])</f>
        <v>Royal Blue</v>
      </c>
      <c r="L2128" s="3">
        <f>_xlfn.XLOOKUP(D2128,Master[Product_Code],Master[Selling_Price])</f>
        <v>640</v>
      </c>
    </row>
    <row r="2129" spans="2:12">
      <c r="B2129" s="2" t="s">
        <v>2640</v>
      </c>
      <c r="C2129" s="7">
        <v>46000</v>
      </c>
      <c r="D2129" s="2" t="s">
        <v>504</v>
      </c>
      <c r="E2129" s="4">
        <v>1</v>
      </c>
      <c r="F2129" s="8" t="str">
        <f>_xlfn.XLOOKUP(D2129,Master[Product_Code],Master[Category])</f>
        <v>T-Shirt</v>
      </c>
      <c r="G2129" s="8" t="str">
        <f>_xlfn.XLOOKUP(D2129,Master[Product_Code],Master[Brand])</f>
        <v>Campus</v>
      </c>
      <c r="H2129" s="8" t="str">
        <f>_xlfn.XLOOKUP(D2129,Master[Product_Code],Master[Style])</f>
        <v>Half Sleeve</v>
      </c>
      <c r="I2129" s="8" t="str">
        <f>_xlfn.XLOOKUP(D2129,Master[Product_Code],Master[Fabric])</f>
        <v>Cotton Blend</v>
      </c>
      <c r="J2129" s="8" t="str">
        <f>_xlfn.XLOOKUP(D2129,Master[Product_Code],Master[Size])</f>
        <v>XXL</v>
      </c>
      <c r="K2129" s="8" t="str">
        <f>_xlfn.XLOOKUP(D2129,Master[Product_Code],Master[Color])</f>
        <v>Beige</v>
      </c>
      <c r="L2129" s="3">
        <f>_xlfn.XLOOKUP(D2129,Master[Product_Code],Master[Selling_Price])</f>
        <v>260</v>
      </c>
    </row>
    <row r="2130" spans="2:12">
      <c r="B2130" s="2" t="s">
        <v>2641</v>
      </c>
      <c r="C2130" s="7">
        <v>46000</v>
      </c>
      <c r="D2130" s="2" t="s">
        <v>1618</v>
      </c>
      <c r="E2130" s="4">
        <v>1</v>
      </c>
      <c r="F2130" s="8" t="str">
        <f>_xlfn.XLOOKUP(D2130,Master[Product_Code],Master[Category])</f>
        <v>Innerwear</v>
      </c>
      <c r="G2130" s="8" t="str">
        <f>_xlfn.XLOOKUP(D2130,Master[Product_Code],Master[Brand])</f>
        <v>Rupa</v>
      </c>
      <c r="H2130" s="8" t="str">
        <f>_xlfn.XLOOKUP(D2130,Master[Product_Code],Master[Style])</f>
        <v>Boxer</v>
      </c>
      <c r="I2130" s="8" t="str">
        <f>_xlfn.XLOOKUP(D2130,Master[Product_Code],Master[Fabric])</f>
        <v>Cotton</v>
      </c>
      <c r="J2130" s="8" t="str">
        <f>_xlfn.XLOOKUP(D2130,Master[Product_Code],Master[Size])</f>
        <v>80-85</v>
      </c>
      <c r="K2130" s="8" t="str">
        <f>_xlfn.XLOOKUP(D2130,Master[Product_Code],Master[Color])</f>
        <v>Rust</v>
      </c>
      <c r="L2130" s="3">
        <f>_xlfn.XLOOKUP(D2130,Master[Product_Code],Master[Selling_Price])</f>
        <v>120</v>
      </c>
    </row>
    <row r="2131" spans="2:12">
      <c r="B2131" s="2" t="s">
        <v>2641</v>
      </c>
      <c r="C2131" s="7">
        <v>46000</v>
      </c>
      <c r="D2131" s="2" t="s">
        <v>963</v>
      </c>
      <c r="E2131" s="4">
        <v>1</v>
      </c>
      <c r="F2131" s="8" t="str">
        <f>_xlfn.XLOOKUP(D2131,Master[Product_Code],Master[Category])</f>
        <v>Jeans</v>
      </c>
      <c r="G2131" s="8" t="str">
        <f>_xlfn.XLOOKUP(D2131,Master[Product_Code],Master[Brand])</f>
        <v>Denim Pro</v>
      </c>
      <c r="H2131" s="8" t="str">
        <f>_xlfn.XLOOKUP(D2131,Master[Product_Code],Master[Style])</f>
        <v>Mom Fit</v>
      </c>
      <c r="I2131" s="8" t="str">
        <f>_xlfn.XLOOKUP(D2131,Master[Product_Code],Master[Fabric])</f>
        <v>Denim</v>
      </c>
      <c r="J2131" s="8">
        <f>_xlfn.XLOOKUP(D2131,Master[Product_Code],Master[Size])</f>
        <v>36</v>
      </c>
      <c r="K2131" s="8" t="str">
        <f>_xlfn.XLOOKUP(D2131,Master[Product_Code],Master[Color])</f>
        <v>Brown</v>
      </c>
      <c r="L2131" s="3">
        <f>_xlfn.XLOOKUP(D2131,Master[Product_Code],Master[Selling_Price])</f>
        <v>1040</v>
      </c>
    </row>
    <row r="2132" spans="2:12">
      <c r="B2132" s="2" t="s">
        <v>2641</v>
      </c>
      <c r="C2132" s="7">
        <v>46000</v>
      </c>
      <c r="D2132" s="2" t="s">
        <v>849</v>
      </c>
      <c r="E2132" s="4">
        <v>1</v>
      </c>
      <c r="F2132" s="8" t="str">
        <f>_xlfn.XLOOKUP(D2132,Master[Product_Code],Master[Category])</f>
        <v>Jeans</v>
      </c>
      <c r="G2132" s="8" t="str">
        <f>_xlfn.XLOOKUP(D2132,Master[Product_Code],Master[Brand])</f>
        <v>Levis</v>
      </c>
      <c r="H2132" s="8" t="str">
        <f>_xlfn.XLOOKUP(D2132,Master[Product_Code],Master[Style])</f>
        <v>Jogger</v>
      </c>
      <c r="I2132" s="8" t="str">
        <f>_xlfn.XLOOKUP(D2132,Master[Product_Code],Master[Fabric])</f>
        <v>Denim</v>
      </c>
      <c r="J2132" s="8">
        <f>_xlfn.XLOOKUP(D2132,Master[Product_Code],Master[Size])</f>
        <v>30</v>
      </c>
      <c r="K2132" s="8" t="str">
        <f>_xlfn.XLOOKUP(D2132,Master[Product_Code],Master[Color])</f>
        <v>Beige</v>
      </c>
      <c r="L2132" s="3">
        <f>_xlfn.XLOOKUP(D2132,Master[Product_Code],Master[Selling_Price])</f>
        <v>780</v>
      </c>
    </row>
    <row r="2133" spans="2:12">
      <c r="B2133" s="2" t="s">
        <v>2641</v>
      </c>
      <c r="C2133" s="7">
        <v>46000</v>
      </c>
      <c r="D2133" s="2" t="s">
        <v>855</v>
      </c>
      <c r="E2133" s="4">
        <v>1</v>
      </c>
      <c r="F2133" s="8" t="str">
        <f>_xlfn.XLOOKUP(D2133,Master[Product_Code],Master[Category])</f>
        <v>Jeans</v>
      </c>
      <c r="G2133" s="8" t="str">
        <f>_xlfn.XLOOKUP(D2133,Master[Product_Code],Master[Brand])</f>
        <v>Levis</v>
      </c>
      <c r="H2133" s="8" t="str">
        <f>_xlfn.XLOOKUP(D2133,Master[Product_Code],Master[Style])</f>
        <v>Mom Fit</v>
      </c>
      <c r="I2133" s="8" t="str">
        <f>_xlfn.XLOOKUP(D2133,Master[Product_Code],Master[Fabric])</f>
        <v>Denim</v>
      </c>
      <c r="J2133" s="8">
        <f>_xlfn.XLOOKUP(D2133,Master[Product_Code],Master[Size])</f>
        <v>42</v>
      </c>
      <c r="K2133" s="8" t="str">
        <f>_xlfn.XLOOKUP(D2133,Master[Product_Code],Master[Color])</f>
        <v>Light Grey</v>
      </c>
      <c r="L2133" s="3">
        <f>_xlfn.XLOOKUP(D2133,Master[Product_Code],Master[Selling_Price])</f>
        <v>960</v>
      </c>
    </row>
    <row r="2134" spans="2:12">
      <c r="B2134" s="2" t="s">
        <v>2642</v>
      </c>
      <c r="C2134" s="7">
        <v>46000</v>
      </c>
      <c r="D2134" s="2" t="s">
        <v>751</v>
      </c>
      <c r="E2134" s="4">
        <v>1</v>
      </c>
      <c r="F2134" s="8" t="str">
        <f>_xlfn.XLOOKUP(D2134,Master[Product_Code],Master[Category])</f>
        <v>T-Shirt</v>
      </c>
      <c r="G2134" s="8" t="str">
        <f>_xlfn.XLOOKUP(D2134,Master[Product_Code],Master[Brand])</f>
        <v>Zara</v>
      </c>
      <c r="H2134" s="8" t="str">
        <f>_xlfn.XLOOKUP(D2134,Master[Product_Code],Master[Style])</f>
        <v>Full Sleeve</v>
      </c>
      <c r="I2134" s="8" t="str">
        <f>_xlfn.XLOOKUP(D2134,Master[Product_Code],Master[Fabric])</f>
        <v>Cotton Blend</v>
      </c>
      <c r="J2134" s="8" t="str">
        <f>_xlfn.XLOOKUP(D2134,Master[Product_Code],Master[Size])</f>
        <v>XL</v>
      </c>
      <c r="K2134" s="8" t="str">
        <f>_xlfn.XLOOKUP(D2134,Master[Product_Code],Master[Color])</f>
        <v>Cream</v>
      </c>
      <c r="L2134" s="3">
        <f>_xlfn.XLOOKUP(D2134,Master[Product_Code],Master[Selling_Price])</f>
        <v>650</v>
      </c>
    </row>
    <row r="2135" spans="2:12">
      <c r="B2135" s="2" t="s">
        <v>2642</v>
      </c>
      <c r="C2135" s="7">
        <v>46000</v>
      </c>
      <c r="D2135" s="2" t="s">
        <v>278</v>
      </c>
      <c r="E2135" s="4">
        <v>1</v>
      </c>
      <c r="F2135" s="8" t="str">
        <f>_xlfn.XLOOKUP(D2135,Master[Product_Code],Master[Category])</f>
        <v>Shirt</v>
      </c>
      <c r="G2135" s="8" t="str">
        <f>_xlfn.XLOOKUP(D2135,Master[Product_Code],Master[Brand])</f>
        <v>Luke &amp; Burg</v>
      </c>
      <c r="H2135" s="8" t="str">
        <f>_xlfn.XLOOKUP(D2135,Master[Product_Code],Master[Style])</f>
        <v>Partywear</v>
      </c>
      <c r="I2135" s="8" t="str">
        <f>_xlfn.XLOOKUP(D2135,Master[Product_Code],Master[Fabric])</f>
        <v>Cotton Blend</v>
      </c>
      <c r="J2135" s="8" t="str">
        <f>_xlfn.XLOOKUP(D2135,Master[Product_Code],Master[Size])</f>
        <v>S</v>
      </c>
      <c r="K2135" s="8" t="str">
        <f>_xlfn.XLOOKUP(D2135,Master[Product_Code],Master[Color])</f>
        <v>Teal</v>
      </c>
      <c r="L2135" s="3">
        <f>_xlfn.XLOOKUP(D2135,Master[Product_Code],Master[Selling_Price])</f>
        <v>860</v>
      </c>
    </row>
    <row r="2136" spans="2:12">
      <c r="B2136" s="2" t="s">
        <v>2642</v>
      </c>
      <c r="C2136" s="7">
        <v>46000</v>
      </c>
      <c r="D2136" s="2" t="s">
        <v>1044</v>
      </c>
      <c r="E2136" s="4">
        <v>1</v>
      </c>
      <c r="F2136" s="8" t="str">
        <f>_xlfn.XLOOKUP(D2136,Master[Product_Code],Master[Category])</f>
        <v>Jeans</v>
      </c>
      <c r="G2136" s="8" t="str">
        <f>_xlfn.XLOOKUP(D2136,Master[Product_Code],Master[Brand])</f>
        <v>Spykar</v>
      </c>
      <c r="H2136" s="8" t="str">
        <f>_xlfn.XLOOKUP(D2136,Master[Product_Code],Master[Style])</f>
        <v>Baggy</v>
      </c>
      <c r="I2136" s="8" t="str">
        <f>_xlfn.XLOOKUP(D2136,Master[Product_Code],Master[Fabric])</f>
        <v>Denim</v>
      </c>
      <c r="J2136" s="8">
        <f>_xlfn.XLOOKUP(D2136,Master[Product_Code],Master[Size])</f>
        <v>42</v>
      </c>
      <c r="K2136" s="8" t="str">
        <f>_xlfn.XLOOKUP(D2136,Master[Product_Code],Master[Color])</f>
        <v>Olive</v>
      </c>
      <c r="L2136" s="3">
        <f>_xlfn.XLOOKUP(D2136,Master[Product_Code],Master[Selling_Price])</f>
        <v>1060</v>
      </c>
    </row>
    <row r="2137" spans="2:12">
      <c r="B2137" s="2" t="s">
        <v>2642</v>
      </c>
      <c r="C2137" s="7">
        <v>46000</v>
      </c>
      <c r="D2137" s="2" t="s">
        <v>1135</v>
      </c>
      <c r="E2137" s="4">
        <v>1</v>
      </c>
      <c r="F2137" s="8" t="str">
        <f>_xlfn.XLOOKUP(D2137,Master[Product_Code],Master[Category])</f>
        <v>Jeans</v>
      </c>
      <c r="G2137" s="8" t="str">
        <f>_xlfn.XLOOKUP(D2137,Master[Product_Code],Master[Brand])</f>
        <v>Levis</v>
      </c>
      <c r="H2137" s="8" t="str">
        <f>_xlfn.XLOOKUP(D2137,Master[Product_Code],Master[Style])</f>
        <v>Mom Fit</v>
      </c>
      <c r="I2137" s="8" t="str">
        <f>_xlfn.XLOOKUP(D2137,Master[Product_Code],Master[Fabric])</f>
        <v>Denim</v>
      </c>
      <c r="J2137" s="8">
        <f>_xlfn.XLOOKUP(D2137,Master[Product_Code],Master[Size])</f>
        <v>44</v>
      </c>
      <c r="K2137" s="8" t="str">
        <f>_xlfn.XLOOKUP(D2137,Master[Product_Code],Master[Color])</f>
        <v>Brown</v>
      </c>
      <c r="L2137" s="3">
        <f>_xlfn.XLOOKUP(D2137,Master[Product_Code],Master[Selling_Price])</f>
        <v>870</v>
      </c>
    </row>
    <row r="2138" spans="2:12">
      <c r="B2138" s="2" t="s">
        <v>2643</v>
      </c>
      <c r="C2138" s="7">
        <v>46001</v>
      </c>
      <c r="D2138" s="2" t="s">
        <v>203</v>
      </c>
      <c r="E2138" s="4">
        <v>1</v>
      </c>
      <c r="F2138" s="8" t="str">
        <f>_xlfn.XLOOKUP(D2138,Master[Product_Code],Master[Category])</f>
        <v>Shirt</v>
      </c>
      <c r="G2138" s="8" t="str">
        <f>_xlfn.XLOOKUP(D2138,Master[Product_Code],Master[Brand])</f>
        <v>H&amp;M</v>
      </c>
      <c r="H2138" s="8" t="str">
        <f>_xlfn.XLOOKUP(D2138,Master[Product_Code],Master[Style])</f>
        <v>Casual</v>
      </c>
      <c r="I2138" s="8" t="str">
        <f>_xlfn.XLOOKUP(D2138,Master[Product_Code],Master[Fabric])</f>
        <v>Lycra</v>
      </c>
      <c r="J2138" s="8" t="str">
        <f>_xlfn.XLOOKUP(D2138,Master[Product_Code],Master[Size])</f>
        <v>M</v>
      </c>
      <c r="K2138" s="8" t="str">
        <f>_xlfn.XLOOKUP(D2138,Master[Product_Code],Master[Color])</f>
        <v>Olive</v>
      </c>
      <c r="L2138" s="3">
        <f>_xlfn.XLOOKUP(D2138,Master[Product_Code],Master[Selling_Price])</f>
        <v>720</v>
      </c>
    </row>
    <row r="2139" spans="2:12">
      <c r="B2139" s="2" t="s">
        <v>2644</v>
      </c>
      <c r="C2139" s="7">
        <v>46001</v>
      </c>
      <c r="D2139" s="2" t="s">
        <v>195</v>
      </c>
      <c r="E2139" s="4">
        <v>1</v>
      </c>
      <c r="F2139" s="8" t="str">
        <f>_xlfn.XLOOKUP(D2139,Master[Product_Code],Master[Category])</f>
        <v>Shirt</v>
      </c>
      <c r="G2139" s="8" t="str">
        <f>_xlfn.XLOOKUP(D2139,Master[Product_Code],Master[Brand])</f>
        <v>USD</v>
      </c>
      <c r="H2139" s="8" t="str">
        <f>_xlfn.XLOOKUP(D2139,Master[Product_Code],Master[Style])</f>
        <v>Casual</v>
      </c>
      <c r="I2139" s="8" t="str">
        <f>_xlfn.XLOOKUP(D2139,Master[Product_Code],Master[Fabric])</f>
        <v>Cotton</v>
      </c>
      <c r="J2139" s="8" t="str">
        <f>_xlfn.XLOOKUP(D2139,Master[Product_Code],Master[Size])</f>
        <v>M</v>
      </c>
      <c r="K2139" s="8" t="str">
        <f>_xlfn.XLOOKUP(D2139,Master[Product_Code],Master[Color])</f>
        <v>Wine</v>
      </c>
      <c r="L2139" s="3">
        <f>_xlfn.XLOOKUP(D2139,Master[Product_Code],Master[Selling_Price])</f>
        <v>870</v>
      </c>
    </row>
    <row r="2140" spans="2:12">
      <c r="B2140" s="2" t="s">
        <v>2644</v>
      </c>
      <c r="C2140" s="7">
        <v>46001</v>
      </c>
      <c r="D2140" s="2" t="s">
        <v>792</v>
      </c>
      <c r="E2140" s="4">
        <v>1</v>
      </c>
      <c r="F2140" s="8" t="str">
        <f>_xlfn.XLOOKUP(D2140,Master[Product_Code],Master[Category])</f>
        <v>T-Shirt</v>
      </c>
      <c r="G2140" s="8" t="str">
        <f>_xlfn.XLOOKUP(D2140,Master[Product_Code],Master[Brand])</f>
        <v>Turkey</v>
      </c>
      <c r="H2140" s="8" t="str">
        <f>_xlfn.XLOOKUP(D2140,Master[Product_Code],Master[Style])</f>
        <v>Sleeveless</v>
      </c>
      <c r="I2140" s="8" t="str">
        <f>_xlfn.XLOOKUP(D2140,Master[Product_Code],Master[Fabric])</f>
        <v>Poly Cotton</v>
      </c>
      <c r="J2140" s="8" t="str">
        <f>_xlfn.XLOOKUP(D2140,Master[Product_Code],Master[Size])</f>
        <v>XXL</v>
      </c>
      <c r="K2140" s="8" t="str">
        <f>_xlfn.XLOOKUP(D2140,Master[Product_Code],Master[Color])</f>
        <v>Peach</v>
      </c>
      <c r="L2140" s="3">
        <f>_xlfn.XLOOKUP(D2140,Master[Product_Code],Master[Selling_Price])</f>
        <v>750</v>
      </c>
    </row>
    <row r="2141" spans="2:12">
      <c r="B2141" s="2" t="s">
        <v>2645</v>
      </c>
      <c r="C2141" s="7">
        <v>46001</v>
      </c>
      <c r="D2141" s="2" t="s">
        <v>1337</v>
      </c>
      <c r="E2141" s="4">
        <v>1</v>
      </c>
      <c r="F2141" s="8" t="str">
        <f>_xlfn.XLOOKUP(D2141,Master[Product_Code],Master[Category])</f>
        <v>Pants</v>
      </c>
      <c r="G2141" s="8" t="str">
        <f>_xlfn.XLOOKUP(D2141,Master[Product_Code],Master[Brand])</f>
        <v>Louis Philippe</v>
      </c>
      <c r="H2141" s="8" t="str">
        <f>_xlfn.XLOOKUP(D2141,Master[Product_Code],Master[Style])</f>
        <v>Boot Cut</v>
      </c>
      <c r="I2141" s="8" t="str">
        <f>_xlfn.XLOOKUP(D2141,Master[Product_Code],Master[Fabric])</f>
        <v>Cotton Blend</v>
      </c>
      <c r="J2141" s="8">
        <f>_xlfn.XLOOKUP(D2141,Master[Product_Code],Master[Size])</f>
        <v>34</v>
      </c>
      <c r="K2141" s="8" t="str">
        <f>_xlfn.XLOOKUP(D2141,Master[Product_Code],Master[Color])</f>
        <v>Dark Green</v>
      </c>
      <c r="L2141" s="3">
        <f>_xlfn.XLOOKUP(D2141,Master[Product_Code],Master[Selling_Price])</f>
        <v>950</v>
      </c>
    </row>
    <row r="2142" spans="2:12">
      <c r="B2142" s="2" t="s">
        <v>2646</v>
      </c>
      <c r="C2142" s="7">
        <v>46001</v>
      </c>
      <c r="D2142" s="2" t="s">
        <v>983</v>
      </c>
      <c r="E2142" s="4">
        <v>1</v>
      </c>
      <c r="F2142" s="8" t="str">
        <f>_xlfn.XLOOKUP(D2142,Master[Product_Code],Master[Category])</f>
        <v>Jeans</v>
      </c>
      <c r="G2142" s="8" t="str">
        <f>_xlfn.XLOOKUP(D2142,Master[Product_Code],Master[Brand])</f>
        <v>Pepe</v>
      </c>
      <c r="H2142" s="8" t="str">
        <f>_xlfn.XLOOKUP(D2142,Master[Product_Code],Master[Style])</f>
        <v>Mom Fit</v>
      </c>
      <c r="I2142" s="8" t="str">
        <f>_xlfn.XLOOKUP(D2142,Master[Product_Code],Master[Fabric])</f>
        <v>Denim</v>
      </c>
      <c r="J2142" s="8">
        <f>_xlfn.XLOOKUP(D2142,Master[Product_Code],Master[Size])</f>
        <v>38</v>
      </c>
      <c r="K2142" s="8" t="str">
        <f>_xlfn.XLOOKUP(D2142,Master[Product_Code],Master[Color])</f>
        <v>Rust</v>
      </c>
      <c r="L2142" s="3">
        <f>_xlfn.XLOOKUP(D2142,Master[Product_Code],Master[Selling_Price])</f>
        <v>1040</v>
      </c>
    </row>
    <row r="2143" spans="2:12">
      <c r="B2143" s="2" t="s">
        <v>2647</v>
      </c>
      <c r="C2143" s="7">
        <v>46001</v>
      </c>
      <c r="D2143" s="2" t="s">
        <v>1240</v>
      </c>
      <c r="E2143" s="4">
        <v>1</v>
      </c>
      <c r="F2143" s="8" t="str">
        <f>_xlfn.XLOOKUP(D2143,Master[Product_Code],Master[Category])</f>
        <v>Pants</v>
      </c>
      <c r="G2143" s="8" t="str">
        <f>_xlfn.XLOOKUP(D2143,Master[Product_Code],Master[Brand])</f>
        <v>Peter England</v>
      </c>
      <c r="H2143" s="8" t="str">
        <f>_xlfn.XLOOKUP(D2143,Master[Product_Code],Master[Style])</f>
        <v>Polofit</v>
      </c>
      <c r="I2143" s="8" t="str">
        <f>_xlfn.XLOOKUP(D2143,Master[Product_Code],Master[Fabric])</f>
        <v>Lycra</v>
      </c>
      <c r="J2143" s="8">
        <f>_xlfn.XLOOKUP(D2143,Master[Product_Code],Master[Size])</f>
        <v>44</v>
      </c>
      <c r="K2143" s="8" t="str">
        <f>_xlfn.XLOOKUP(D2143,Master[Product_Code],Master[Color])</f>
        <v>Sky Blue</v>
      </c>
      <c r="L2143" s="3">
        <f>_xlfn.XLOOKUP(D2143,Master[Product_Code],Master[Selling_Price])</f>
        <v>750</v>
      </c>
    </row>
    <row r="2144" spans="2:12">
      <c r="B2144" s="2" t="s">
        <v>2647</v>
      </c>
      <c r="C2144" s="7">
        <v>46001</v>
      </c>
      <c r="D2144" s="2" t="s">
        <v>607</v>
      </c>
      <c r="E2144" s="4">
        <v>1</v>
      </c>
      <c r="F2144" s="8" t="str">
        <f>_xlfn.XLOOKUP(D2144,Master[Product_Code],Master[Category])</f>
        <v>T-Shirt</v>
      </c>
      <c r="G2144" s="8" t="str">
        <f>_xlfn.XLOOKUP(D2144,Master[Product_Code],Master[Brand])</f>
        <v>Max</v>
      </c>
      <c r="H2144" s="8" t="str">
        <f>_xlfn.XLOOKUP(D2144,Master[Product_Code],Master[Style])</f>
        <v>Half Sleeve</v>
      </c>
      <c r="I2144" s="8" t="str">
        <f>_xlfn.XLOOKUP(D2144,Master[Product_Code],Master[Fabric])</f>
        <v>Cotton Blend</v>
      </c>
      <c r="J2144" s="8" t="str">
        <f>_xlfn.XLOOKUP(D2144,Master[Product_Code],Master[Size])</f>
        <v>XL</v>
      </c>
      <c r="K2144" s="8" t="str">
        <f>_xlfn.XLOOKUP(D2144,Master[Product_Code],Master[Color])</f>
        <v>Cream</v>
      </c>
      <c r="L2144" s="3">
        <f>_xlfn.XLOOKUP(D2144,Master[Product_Code],Master[Selling_Price])</f>
        <v>340</v>
      </c>
    </row>
    <row r="2145" spans="2:12">
      <c r="B2145" s="2" t="s">
        <v>2647</v>
      </c>
      <c r="C2145" s="7">
        <v>46001</v>
      </c>
      <c r="D2145" s="2" t="s">
        <v>1171</v>
      </c>
      <c r="E2145" s="4">
        <v>1</v>
      </c>
      <c r="F2145" s="8" t="str">
        <f>_xlfn.XLOOKUP(D2145,Master[Product_Code],Master[Category])</f>
        <v>Pants</v>
      </c>
      <c r="G2145" s="8" t="str">
        <f>_xlfn.XLOOKUP(D2145,Master[Product_Code],Master[Brand])</f>
        <v>Raymond</v>
      </c>
      <c r="H2145" s="8" t="str">
        <f>_xlfn.XLOOKUP(D2145,Master[Product_Code],Master[Style])</f>
        <v>Korean</v>
      </c>
      <c r="I2145" s="8" t="str">
        <f>_xlfn.XLOOKUP(D2145,Master[Product_Code],Master[Fabric])</f>
        <v>Lycra</v>
      </c>
      <c r="J2145" s="8">
        <f>_xlfn.XLOOKUP(D2145,Master[Product_Code],Master[Size])</f>
        <v>28</v>
      </c>
      <c r="K2145" s="8" t="str">
        <f>_xlfn.XLOOKUP(D2145,Master[Product_Code],Master[Color])</f>
        <v>Beige</v>
      </c>
      <c r="L2145" s="3">
        <f>_xlfn.XLOOKUP(D2145,Master[Product_Code],Master[Selling_Price])</f>
        <v>950</v>
      </c>
    </row>
    <row r="2146" spans="2:12">
      <c r="B2146" s="2" t="s">
        <v>2648</v>
      </c>
      <c r="C2146" s="7">
        <v>46001</v>
      </c>
      <c r="D2146" s="2" t="s">
        <v>287</v>
      </c>
      <c r="E2146" s="4">
        <v>1</v>
      </c>
      <c r="F2146" s="8" t="str">
        <f>_xlfn.XLOOKUP(D2146,Master[Product_Code],Master[Category])</f>
        <v>Shirt</v>
      </c>
      <c r="G2146" s="8" t="str">
        <f>_xlfn.XLOOKUP(D2146,Master[Product_Code],Master[Brand])</f>
        <v>H&amp;M</v>
      </c>
      <c r="H2146" s="8" t="str">
        <f>_xlfn.XLOOKUP(D2146,Master[Product_Code],Master[Style])</f>
        <v>Formal</v>
      </c>
      <c r="I2146" s="8" t="str">
        <f>_xlfn.XLOOKUP(D2146,Master[Product_Code],Master[Fabric])</f>
        <v>Cotton Blend</v>
      </c>
      <c r="J2146" s="8" t="str">
        <f>_xlfn.XLOOKUP(D2146,Master[Product_Code],Master[Size])</f>
        <v>S</v>
      </c>
      <c r="K2146" s="8" t="str">
        <f>_xlfn.XLOOKUP(D2146,Master[Product_Code],Master[Color])</f>
        <v>Olive</v>
      </c>
      <c r="L2146" s="3">
        <f>_xlfn.XLOOKUP(D2146,Master[Product_Code],Master[Selling_Price])</f>
        <v>880</v>
      </c>
    </row>
    <row r="2147" spans="2:12">
      <c r="B2147" s="2" t="s">
        <v>2648</v>
      </c>
      <c r="C2147" s="7">
        <v>46001</v>
      </c>
      <c r="D2147" s="2" t="s">
        <v>1003</v>
      </c>
      <c r="E2147" s="4">
        <v>1</v>
      </c>
      <c r="F2147" s="8" t="str">
        <f>_xlfn.XLOOKUP(D2147,Master[Product_Code],Master[Category])</f>
        <v>Jeans</v>
      </c>
      <c r="G2147" s="8" t="str">
        <f>_xlfn.XLOOKUP(D2147,Master[Product_Code],Master[Brand])</f>
        <v>Pepe</v>
      </c>
      <c r="H2147" s="8" t="str">
        <f>_xlfn.XLOOKUP(D2147,Master[Product_Code],Master[Style])</f>
        <v>Baggy</v>
      </c>
      <c r="I2147" s="8" t="str">
        <f>_xlfn.XLOOKUP(D2147,Master[Product_Code],Master[Fabric])</f>
        <v>Denim</v>
      </c>
      <c r="J2147" s="8">
        <f>_xlfn.XLOOKUP(D2147,Master[Product_Code],Master[Size])</f>
        <v>44</v>
      </c>
      <c r="K2147" s="8" t="str">
        <f>_xlfn.XLOOKUP(D2147,Master[Product_Code],Master[Color])</f>
        <v>Cream</v>
      </c>
      <c r="L2147" s="3">
        <f>_xlfn.XLOOKUP(D2147,Master[Product_Code],Master[Selling_Price])</f>
        <v>830</v>
      </c>
    </row>
    <row r="2148" spans="2:12">
      <c r="B2148" s="2" t="s">
        <v>2648</v>
      </c>
      <c r="C2148" s="7">
        <v>46001</v>
      </c>
      <c r="D2148" s="2" t="s">
        <v>463</v>
      </c>
      <c r="E2148" s="4">
        <v>1</v>
      </c>
      <c r="F2148" s="8" t="str">
        <f>_xlfn.XLOOKUP(D2148,Master[Product_Code],Master[Category])</f>
        <v>T-Shirt</v>
      </c>
      <c r="G2148" s="8" t="str">
        <f>_xlfn.XLOOKUP(D2148,Master[Product_Code],Master[Brand])</f>
        <v>Turkey</v>
      </c>
      <c r="H2148" s="8" t="str">
        <f>_xlfn.XLOOKUP(D2148,Master[Product_Code],Master[Style])</f>
        <v>Sleeveless</v>
      </c>
      <c r="I2148" s="8" t="str">
        <f>_xlfn.XLOOKUP(D2148,Master[Product_Code],Master[Fabric])</f>
        <v>Cotton Blend</v>
      </c>
      <c r="J2148" s="8" t="str">
        <f>_xlfn.XLOOKUP(D2148,Master[Product_Code],Master[Size])</f>
        <v>S</v>
      </c>
      <c r="K2148" s="8" t="str">
        <f>_xlfn.XLOOKUP(D2148,Master[Product_Code],Master[Color])</f>
        <v>Bottle Green</v>
      </c>
      <c r="L2148" s="3">
        <f>_xlfn.XLOOKUP(D2148,Master[Product_Code],Master[Selling_Price])</f>
        <v>720</v>
      </c>
    </row>
    <row r="2149" spans="2:12">
      <c r="B2149" s="2" t="s">
        <v>2649</v>
      </c>
      <c r="C2149" s="7">
        <v>46001</v>
      </c>
      <c r="D2149" s="2" t="s">
        <v>265</v>
      </c>
      <c r="E2149" s="4">
        <v>1</v>
      </c>
      <c r="F2149" s="8" t="str">
        <f>_xlfn.XLOOKUP(D2149,Master[Product_Code],Master[Category])</f>
        <v>Shirt</v>
      </c>
      <c r="G2149" s="8" t="str">
        <f>_xlfn.XLOOKUP(D2149,Master[Product_Code],Master[Brand])</f>
        <v>G Studio</v>
      </c>
      <c r="H2149" s="8" t="str">
        <f>_xlfn.XLOOKUP(D2149,Master[Product_Code],Master[Style])</f>
        <v>Formal</v>
      </c>
      <c r="I2149" s="8" t="str">
        <f>_xlfn.XLOOKUP(D2149,Master[Product_Code],Master[Fabric])</f>
        <v>Lycra</v>
      </c>
      <c r="J2149" s="8" t="str">
        <f>_xlfn.XLOOKUP(D2149,Master[Product_Code],Master[Size])</f>
        <v>S</v>
      </c>
      <c r="K2149" s="8" t="str">
        <f>_xlfn.XLOOKUP(D2149,Master[Product_Code],Master[Color])</f>
        <v>Olive</v>
      </c>
      <c r="L2149" s="3">
        <f>_xlfn.XLOOKUP(D2149,Master[Product_Code],Master[Selling_Price])</f>
        <v>720</v>
      </c>
    </row>
    <row r="2150" spans="2:12">
      <c r="B2150" s="2" t="s">
        <v>2649</v>
      </c>
      <c r="C2150" s="7">
        <v>46001</v>
      </c>
      <c r="D2150" s="2" t="s">
        <v>230</v>
      </c>
      <c r="E2150" s="4">
        <v>1</v>
      </c>
      <c r="F2150" s="8" t="str">
        <f>_xlfn.XLOOKUP(D2150,Master[Product_Code],Master[Category])</f>
        <v>Shirt</v>
      </c>
      <c r="G2150" s="8" t="str">
        <f>_xlfn.XLOOKUP(D2150,Master[Product_Code],Master[Brand])</f>
        <v>G Studio</v>
      </c>
      <c r="H2150" s="8" t="str">
        <f>_xlfn.XLOOKUP(D2150,Master[Product_Code],Master[Style])</f>
        <v>Partywear</v>
      </c>
      <c r="I2150" s="8" t="str">
        <f>_xlfn.XLOOKUP(D2150,Master[Product_Code],Master[Fabric])</f>
        <v>Cotton Blend</v>
      </c>
      <c r="J2150" s="8" t="str">
        <f>_xlfn.XLOOKUP(D2150,Master[Product_Code],Master[Size])</f>
        <v>S</v>
      </c>
      <c r="K2150" s="8" t="str">
        <f>_xlfn.XLOOKUP(D2150,Master[Product_Code],Master[Color])</f>
        <v>Olive</v>
      </c>
      <c r="L2150" s="3">
        <f>_xlfn.XLOOKUP(D2150,Master[Product_Code],Master[Selling_Price])</f>
        <v>760</v>
      </c>
    </row>
    <row r="2151" spans="2:12">
      <c r="B2151" s="2" t="s">
        <v>2650</v>
      </c>
      <c r="C2151" s="7">
        <v>46001</v>
      </c>
      <c r="D2151" s="2" t="s">
        <v>277</v>
      </c>
      <c r="E2151" s="4">
        <v>1</v>
      </c>
      <c r="F2151" s="8" t="str">
        <f>_xlfn.XLOOKUP(D2151,Master[Product_Code],Master[Category])</f>
        <v>Shirt</v>
      </c>
      <c r="G2151" s="8" t="str">
        <f>_xlfn.XLOOKUP(D2151,Master[Product_Code],Master[Brand])</f>
        <v>L7</v>
      </c>
      <c r="H2151" s="8" t="str">
        <f>_xlfn.XLOOKUP(D2151,Master[Product_Code],Master[Style])</f>
        <v>Casual</v>
      </c>
      <c r="I2151" s="8" t="str">
        <f>_xlfn.XLOOKUP(D2151,Master[Product_Code],Master[Fabric])</f>
        <v>Polyester</v>
      </c>
      <c r="J2151" s="8" t="str">
        <f>_xlfn.XLOOKUP(D2151,Master[Product_Code],Master[Size])</f>
        <v>L</v>
      </c>
      <c r="K2151" s="8" t="str">
        <f>_xlfn.XLOOKUP(D2151,Master[Product_Code],Master[Color])</f>
        <v>Maroon</v>
      </c>
      <c r="L2151" s="3">
        <f>_xlfn.XLOOKUP(D2151,Master[Product_Code],Master[Selling_Price])</f>
        <v>680</v>
      </c>
    </row>
    <row r="2152" spans="2:12">
      <c r="B2152" s="2" t="s">
        <v>2651</v>
      </c>
      <c r="C2152" s="7">
        <v>46001</v>
      </c>
      <c r="D2152" s="2" t="s">
        <v>247</v>
      </c>
      <c r="E2152" s="4">
        <v>1</v>
      </c>
      <c r="F2152" s="8" t="str">
        <f>_xlfn.XLOOKUP(D2152,Master[Product_Code],Master[Category])</f>
        <v>Shirt</v>
      </c>
      <c r="G2152" s="8" t="str">
        <f>_xlfn.XLOOKUP(D2152,Master[Product_Code],Master[Brand])</f>
        <v>Zara</v>
      </c>
      <c r="H2152" s="8" t="str">
        <f>_xlfn.XLOOKUP(D2152,Master[Product_Code],Master[Style])</f>
        <v>Formal</v>
      </c>
      <c r="I2152" s="8" t="str">
        <f>_xlfn.XLOOKUP(D2152,Master[Product_Code],Master[Fabric])</f>
        <v>Lycra</v>
      </c>
      <c r="J2152" s="8" t="str">
        <f>_xlfn.XLOOKUP(D2152,Master[Product_Code],Master[Size])</f>
        <v>XXL</v>
      </c>
      <c r="K2152" s="8" t="str">
        <f>_xlfn.XLOOKUP(D2152,Master[Product_Code],Master[Color])</f>
        <v>Rust</v>
      </c>
      <c r="L2152" s="3">
        <f>_xlfn.XLOOKUP(D2152,Master[Product_Code],Master[Selling_Price])</f>
        <v>750</v>
      </c>
    </row>
    <row r="2153" spans="2:12">
      <c r="B2153" s="2" t="s">
        <v>2651</v>
      </c>
      <c r="C2153" s="7">
        <v>46001</v>
      </c>
      <c r="D2153" s="2" t="s">
        <v>505</v>
      </c>
      <c r="E2153" s="4">
        <v>1</v>
      </c>
      <c r="F2153" s="8" t="str">
        <f>_xlfn.XLOOKUP(D2153,Master[Product_Code],Master[Category])</f>
        <v>T-Shirt</v>
      </c>
      <c r="G2153" s="8" t="str">
        <f>_xlfn.XLOOKUP(D2153,Master[Product_Code],Master[Brand])</f>
        <v>Max</v>
      </c>
      <c r="H2153" s="8" t="str">
        <f>_xlfn.XLOOKUP(D2153,Master[Product_Code],Master[Style])</f>
        <v>3/4 Sleeve</v>
      </c>
      <c r="I2153" s="8" t="str">
        <f>_xlfn.XLOOKUP(D2153,Master[Product_Code],Master[Fabric])</f>
        <v>Poly Cotton</v>
      </c>
      <c r="J2153" s="8" t="str">
        <f>_xlfn.XLOOKUP(D2153,Master[Product_Code],Master[Size])</f>
        <v>S</v>
      </c>
      <c r="K2153" s="8" t="str">
        <f>_xlfn.XLOOKUP(D2153,Master[Product_Code],Master[Color])</f>
        <v>Navy Blue</v>
      </c>
      <c r="L2153" s="3">
        <f>_xlfn.XLOOKUP(D2153,Master[Product_Code],Master[Selling_Price])</f>
        <v>530</v>
      </c>
    </row>
    <row r="2154" spans="2:12">
      <c r="B2154" s="2" t="s">
        <v>2652</v>
      </c>
      <c r="C2154" s="7">
        <v>46001</v>
      </c>
      <c r="D2154" s="2" t="s">
        <v>1031</v>
      </c>
      <c r="E2154" s="4">
        <v>1</v>
      </c>
      <c r="F2154" s="8" t="str">
        <f>_xlfn.XLOOKUP(D2154,Master[Product_Code],Master[Category])</f>
        <v>Jeans</v>
      </c>
      <c r="G2154" s="8" t="str">
        <f>_xlfn.XLOOKUP(D2154,Master[Product_Code],Master[Brand])</f>
        <v>Spykar</v>
      </c>
      <c r="H2154" s="8" t="str">
        <f>_xlfn.XLOOKUP(D2154,Master[Product_Code],Master[Style])</f>
        <v>Baggy</v>
      </c>
      <c r="I2154" s="8" t="str">
        <f>_xlfn.XLOOKUP(D2154,Master[Product_Code],Master[Fabric])</f>
        <v>Denim</v>
      </c>
      <c r="J2154" s="8">
        <f>_xlfn.XLOOKUP(D2154,Master[Product_Code],Master[Size])</f>
        <v>44</v>
      </c>
      <c r="K2154" s="8" t="str">
        <f>_xlfn.XLOOKUP(D2154,Master[Product_Code],Master[Color])</f>
        <v>Cream</v>
      </c>
      <c r="L2154" s="3">
        <f>_xlfn.XLOOKUP(D2154,Master[Product_Code],Master[Selling_Price])</f>
        <v>990</v>
      </c>
    </row>
    <row r="2155" spans="2:12">
      <c r="B2155" s="2" t="s">
        <v>2652</v>
      </c>
      <c r="C2155" s="7">
        <v>46001</v>
      </c>
      <c r="D2155" s="2" t="s">
        <v>233</v>
      </c>
      <c r="E2155" s="4">
        <v>1</v>
      </c>
      <c r="F2155" s="8" t="str">
        <f>_xlfn.XLOOKUP(D2155,Master[Product_Code],Master[Category])</f>
        <v>Shirt</v>
      </c>
      <c r="G2155" s="8" t="str">
        <f>_xlfn.XLOOKUP(D2155,Master[Product_Code],Master[Brand])</f>
        <v>Zara</v>
      </c>
      <c r="H2155" s="8" t="str">
        <f>_xlfn.XLOOKUP(D2155,Master[Product_Code],Master[Style])</f>
        <v>Partywear</v>
      </c>
      <c r="I2155" s="8" t="str">
        <f>_xlfn.XLOOKUP(D2155,Master[Product_Code],Master[Fabric])</f>
        <v>Cotton Blend</v>
      </c>
      <c r="J2155" s="8" t="str">
        <f>_xlfn.XLOOKUP(D2155,Master[Product_Code],Master[Size])</f>
        <v>XL</v>
      </c>
      <c r="K2155" s="8" t="str">
        <f>_xlfn.XLOOKUP(D2155,Master[Product_Code],Master[Color])</f>
        <v>Black</v>
      </c>
      <c r="L2155" s="3">
        <f>_xlfn.XLOOKUP(D2155,Master[Product_Code],Master[Selling_Price])</f>
        <v>850</v>
      </c>
    </row>
    <row r="2156" spans="2:12">
      <c r="B2156" s="2" t="s">
        <v>2652</v>
      </c>
      <c r="C2156" s="7">
        <v>46001</v>
      </c>
      <c r="D2156" s="2" t="s">
        <v>1453</v>
      </c>
      <c r="E2156" s="4">
        <v>1</v>
      </c>
      <c r="F2156" s="8" t="str">
        <f>_xlfn.XLOOKUP(D2156,Master[Product_Code],Master[Category])</f>
        <v>Pants</v>
      </c>
      <c r="G2156" s="8" t="str">
        <f>_xlfn.XLOOKUP(D2156,Master[Product_Code],Master[Brand])</f>
        <v>Louis Philippe</v>
      </c>
      <c r="H2156" s="8" t="str">
        <f>_xlfn.XLOOKUP(D2156,Master[Product_Code],Master[Style])</f>
        <v>Jogger</v>
      </c>
      <c r="I2156" s="8" t="str">
        <f>_xlfn.XLOOKUP(D2156,Master[Product_Code],Master[Fabric])</f>
        <v>Cotton</v>
      </c>
      <c r="J2156" s="8">
        <f>_xlfn.XLOOKUP(D2156,Master[Product_Code],Master[Size])</f>
        <v>38</v>
      </c>
      <c r="K2156" s="8" t="str">
        <f>_xlfn.XLOOKUP(D2156,Master[Product_Code],Master[Color])</f>
        <v>Maroon</v>
      </c>
      <c r="L2156" s="3">
        <f>_xlfn.XLOOKUP(D2156,Master[Product_Code],Master[Selling_Price])</f>
        <v>860</v>
      </c>
    </row>
    <row r="2157" spans="2:12">
      <c r="B2157" s="2" t="s">
        <v>2653</v>
      </c>
      <c r="C2157" s="7">
        <v>46001</v>
      </c>
      <c r="D2157" s="2" t="s">
        <v>184</v>
      </c>
      <c r="E2157" s="4">
        <v>1</v>
      </c>
      <c r="F2157" s="8" t="str">
        <f>_xlfn.XLOOKUP(D2157,Master[Product_Code],Master[Category])</f>
        <v>Shirt</v>
      </c>
      <c r="G2157" s="8" t="str">
        <f>_xlfn.XLOOKUP(D2157,Master[Product_Code],Master[Brand])</f>
        <v>Zara</v>
      </c>
      <c r="H2157" s="8" t="str">
        <f>_xlfn.XLOOKUP(D2157,Master[Product_Code],Master[Style])</f>
        <v>Formal</v>
      </c>
      <c r="I2157" s="8" t="str">
        <f>_xlfn.XLOOKUP(D2157,Master[Product_Code],Master[Fabric])</f>
        <v>Cotton Blend</v>
      </c>
      <c r="J2157" s="8" t="str">
        <f>_xlfn.XLOOKUP(D2157,Master[Product_Code],Master[Size])</f>
        <v>XXL</v>
      </c>
      <c r="K2157" s="8" t="str">
        <f>_xlfn.XLOOKUP(D2157,Master[Product_Code],Master[Color])</f>
        <v>Peach</v>
      </c>
      <c r="L2157" s="3">
        <f>_xlfn.XLOOKUP(D2157,Master[Product_Code],Master[Selling_Price])</f>
        <v>780</v>
      </c>
    </row>
    <row r="2158" spans="2:12">
      <c r="B2158" s="2" t="s">
        <v>2654</v>
      </c>
      <c r="C2158" s="7">
        <v>46001</v>
      </c>
      <c r="D2158" s="2" t="s">
        <v>1008</v>
      </c>
      <c r="E2158" s="4">
        <v>1</v>
      </c>
      <c r="F2158" s="8" t="str">
        <f>_xlfn.XLOOKUP(D2158,Master[Product_Code],Master[Category])</f>
        <v>Jeans</v>
      </c>
      <c r="G2158" s="8" t="str">
        <f>_xlfn.XLOOKUP(D2158,Master[Product_Code],Master[Brand])</f>
        <v>Spykar</v>
      </c>
      <c r="H2158" s="8" t="str">
        <f>_xlfn.XLOOKUP(D2158,Master[Product_Code],Master[Style])</f>
        <v>Mom Fit</v>
      </c>
      <c r="I2158" s="8" t="str">
        <f>_xlfn.XLOOKUP(D2158,Master[Product_Code],Master[Fabric])</f>
        <v>Denim</v>
      </c>
      <c r="J2158" s="8">
        <f>_xlfn.XLOOKUP(D2158,Master[Product_Code],Master[Size])</f>
        <v>36</v>
      </c>
      <c r="K2158" s="8" t="str">
        <f>_xlfn.XLOOKUP(D2158,Master[Product_Code],Master[Color])</f>
        <v>Teal</v>
      </c>
      <c r="L2158" s="3">
        <f>_xlfn.XLOOKUP(D2158,Master[Product_Code],Master[Selling_Price])</f>
        <v>940</v>
      </c>
    </row>
    <row r="2159" spans="2:12">
      <c r="B2159" s="2" t="s">
        <v>2654</v>
      </c>
      <c r="C2159" s="7">
        <v>46001</v>
      </c>
      <c r="D2159" s="2" t="s">
        <v>823</v>
      </c>
      <c r="E2159" s="4">
        <v>1</v>
      </c>
      <c r="F2159" s="8" t="str">
        <f>_xlfn.XLOOKUP(D2159,Master[Product_Code],Master[Category])</f>
        <v>T-Shirt</v>
      </c>
      <c r="G2159" s="8" t="str">
        <f>_xlfn.XLOOKUP(D2159,Master[Product_Code],Master[Brand])</f>
        <v>Urban Monkey</v>
      </c>
      <c r="H2159" s="8" t="str">
        <f>_xlfn.XLOOKUP(D2159,Master[Product_Code],Master[Style])</f>
        <v>3/4 Sleeve</v>
      </c>
      <c r="I2159" s="8" t="str">
        <f>_xlfn.XLOOKUP(D2159,Master[Product_Code],Master[Fabric])</f>
        <v>Cotton</v>
      </c>
      <c r="J2159" s="8" t="str">
        <f>_xlfn.XLOOKUP(D2159,Master[Product_Code],Master[Size])</f>
        <v>XXL</v>
      </c>
      <c r="K2159" s="8" t="str">
        <f>_xlfn.XLOOKUP(D2159,Master[Product_Code],Master[Color])</f>
        <v>Beige</v>
      </c>
      <c r="L2159" s="3">
        <f>_xlfn.XLOOKUP(D2159,Master[Product_Code],Master[Selling_Price])</f>
        <v>650</v>
      </c>
    </row>
    <row r="2160" spans="2:12">
      <c r="B2160" s="2" t="s">
        <v>2654</v>
      </c>
      <c r="C2160" s="7">
        <v>46001</v>
      </c>
      <c r="D2160" s="2" t="s">
        <v>445</v>
      </c>
      <c r="E2160" s="4">
        <v>1</v>
      </c>
      <c r="F2160" s="8" t="str">
        <f>_xlfn.XLOOKUP(D2160,Master[Product_Code],Master[Category])</f>
        <v>T-Shirt</v>
      </c>
      <c r="G2160" s="8" t="str">
        <f>_xlfn.XLOOKUP(D2160,Master[Product_Code],Master[Brand])</f>
        <v>Zara</v>
      </c>
      <c r="H2160" s="8" t="str">
        <f>_xlfn.XLOOKUP(D2160,Master[Product_Code],Master[Style])</f>
        <v>3/4 Sleeve</v>
      </c>
      <c r="I2160" s="8" t="str">
        <f>_xlfn.XLOOKUP(D2160,Master[Product_Code],Master[Fabric])</f>
        <v>Cotton Blend</v>
      </c>
      <c r="J2160" s="8" t="str">
        <f>_xlfn.XLOOKUP(D2160,Master[Product_Code],Master[Size])</f>
        <v>XL</v>
      </c>
      <c r="K2160" s="8" t="str">
        <f>_xlfn.XLOOKUP(D2160,Master[Product_Code],Master[Color])</f>
        <v>Charcoal</v>
      </c>
      <c r="L2160" s="3">
        <f>_xlfn.XLOOKUP(D2160,Master[Product_Code],Master[Selling_Price])</f>
        <v>440</v>
      </c>
    </row>
    <row r="2161" spans="2:12">
      <c r="B2161" s="2" t="s">
        <v>2655</v>
      </c>
      <c r="C2161" s="7">
        <v>46001</v>
      </c>
      <c r="D2161" s="2" t="s">
        <v>894</v>
      </c>
      <c r="E2161" s="4">
        <v>1</v>
      </c>
      <c r="F2161" s="8" t="str">
        <f>_xlfn.XLOOKUP(D2161,Master[Product_Code],Master[Category])</f>
        <v>Jeans</v>
      </c>
      <c r="G2161" s="8" t="str">
        <f>_xlfn.XLOOKUP(D2161,Master[Product_Code],Master[Brand])</f>
        <v>Levis</v>
      </c>
      <c r="H2161" s="8" t="str">
        <f>_xlfn.XLOOKUP(D2161,Master[Product_Code],Master[Style])</f>
        <v>Jogger</v>
      </c>
      <c r="I2161" s="8" t="str">
        <f>_xlfn.XLOOKUP(D2161,Master[Product_Code],Master[Fabric])</f>
        <v>Denim</v>
      </c>
      <c r="J2161" s="8">
        <f>_xlfn.XLOOKUP(D2161,Master[Product_Code],Master[Size])</f>
        <v>28</v>
      </c>
      <c r="K2161" s="8" t="str">
        <f>_xlfn.XLOOKUP(D2161,Master[Product_Code],Master[Color])</f>
        <v>Teal</v>
      </c>
      <c r="L2161" s="3">
        <f>_xlfn.XLOOKUP(D2161,Master[Product_Code],Master[Selling_Price])</f>
        <v>1000</v>
      </c>
    </row>
    <row r="2162" spans="2:12">
      <c r="B2162" s="2" t="s">
        <v>2655</v>
      </c>
      <c r="C2162" s="7">
        <v>46001</v>
      </c>
      <c r="D2162" s="2" t="s">
        <v>299</v>
      </c>
      <c r="E2162" s="4">
        <v>1</v>
      </c>
      <c r="F2162" s="8" t="str">
        <f>_xlfn.XLOOKUP(D2162,Master[Product_Code],Master[Category])</f>
        <v>Shirt</v>
      </c>
      <c r="G2162" s="8" t="str">
        <f>_xlfn.XLOOKUP(D2162,Master[Product_Code],Master[Brand])</f>
        <v>Luke &amp; Burg</v>
      </c>
      <c r="H2162" s="8" t="str">
        <f>_xlfn.XLOOKUP(D2162,Master[Product_Code],Master[Style])</f>
        <v>Casual</v>
      </c>
      <c r="I2162" s="8" t="str">
        <f>_xlfn.XLOOKUP(D2162,Master[Product_Code],Master[Fabric])</f>
        <v>Cotton Blend</v>
      </c>
      <c r="J2162" s="8" t="str">
        <f>_xlfn.XLOOKUP(D2162,Master[Product_Code],Master[Size])</f>
        <v>S</v>
      </c>
      <c r="K2162" s="8" t="str">
        <f>_xlfn.XLOOKUP(D2162,Master[Product_Code],Master[Color])</f>
        <v>Teal</v>
      </c>
      <c r="L2162" s="3">
        <f>_xlfn.XLOOKUP(D2162,Master[Product_Code],Master[Selling_Price])</f>
        <v>860</v>
      </c>
    </row>
    <row r="2163" spans="2:12">
      <c r="B2163" s="2" t="s">
        <v>2655</v>
      </c>
      <c r="C2163" s="7">
        <v>46001</v>
      </c>
      <c r="D2163" s="2" t="s">
        <v>1251</v>
      </c>
      <c r="E2163" s="4">
        <v>1</v>
      </c>
      <c r="F2163" s="8" t="str">
        <f>_xlfn.XLOOKUP(D2163,Master[Product_Code],Master[Category])</f>
        <v>Pants</v>
      </c>
      <c r="G2163" s="8" t="str">
        <f>_xlfn.XLOOKUP(D2163,Master[Product_Code],Master[Brand])</f>
        <v>Raymond</v>
      </c>
      <c r="H2163" s="8" t="str">
        <f>_xlfn.XLOOKUP(D2163,Master[Product_Code],Master[Style])</f>
        <v>Kurka</v>
      </c>
      <c r="I2163" s="8" t="str">
        <f>_xlfn.XLOOKUP(D2163,Master[Product_Code],Master[Fabric])</f>
        <v>Lycra</v>
      </c>
      <c r="J2163" s="8">
        <f>_xlfn.XLOOKUP(D2163,Master[Product_Code],Master[Size])</f>
        <v>36</v>
      </c>
      <c r="K2163" s="8" t="str">
        <f>_xlfn.XLOOKUP(D2163,Master[Product_Code],Master[Color])</f>
        <v>Wine</v>
      </c>
      <c r="L2163" s="3">
        <f>_xlfn.XLOOKUP(D2163,Master[Product_Code],Master[Selling_Price])</f>
        <v>850</v>
      </c>
    </row>
    <row r="2164" spans="2:12">
      <c r="B2164" s="2" t="s">
        <v>2655</v>
      </c>
      <c r="C2164" s="7">
        <v>46001</v>
      </c>
      <c r="D2164" s="2" t="s">
        <v>1448</v>
      </c>
      <c r="E2164" s="4">
        <v>1</v>
      </c>
      <c r="F2164" s="8" t="str">
        <f>_xlfn.XLOOKUP(D2164,Master[Product_Code],Master[Category])</f>
        <v>Pants</v>
      </c>
      <c r="G2164" s="8" t="str">
        <f>_xlfn.XLOOKUP(D2164,Master[Product_Code],Master[Brand])</f>
        <v>Van Heusen</v>
      </c>
      <c r="H2164" s="8" t="str">
        <f>_xlfn.XLOOKUP(D2164,Master[Product_Code],Master[Style])</f>
        <v>Kurka</v>
      </c>
      <c r="I2164" s="8" t="str">
        <f>_xlfn.XLOOKUP(D2164,Master[Product_Code],Master[Fabric])</f>
        <v>Lycra</v>
      </c>
      <c r="J2164" s="8">
        <f>_xlfn.XLOOKUP(D2164,Master[Product_Code],Master[Size])</f>
        <v>32</v>
      </c>
      <c r="K2164" s="8" t="str">
        <f>_xlfn.XLOOKUP(D2164,Master[Product_Code],Master[Color])</f>
        <v>Dark Green</v>
      </c>
      <c r="L2164" s="3">
        <f>_xlfn.XLOOKUP(D2164,Master[Product_Code],Master[Selling_Price])</f>
        <v>940</v>
      </c>
    </row>
    <row r="2165" spans="2:12">
      <c r="B2165" s="2" t="s">
        <v>2656</v>
      </c>
      <c r="C2165" s="7">
        <v>46002</v>
      </c>
      <c r="D2165" s="2" t="s">
        <v>1576</v>
      </c>
      <c r="E2165" s="4">
        <v>1</v>
      </c>
      <c r="F2165" s="8" t="str">
        <f>_xlfn.XLOOKUP(D2165,Master[Product_Code],Master[Category])</f>
        <v>Innerwear</v>
      </c>
      <c r="G2165" s="8" t="str">
        <f>_xlfn.XLOOKUP(D2165,Master[Product_Code],Master[Brand])</f>
        <v>V Star</v>
      </c>
      <c r="H2165" s="8" t="str">
        <f>_xlfn.XLOOKUP(D2165,Master[Product_Code],Master[Style])</f>
        <v>Boxer</v>
      </c>
      <c r="I2165" s="8" t="str">
        <f>_xlfn.XLOOKUP(D2165,Master[Product_Code],Master[Fabric])</f>
        <v>Cotton Blend</v>
      </c>
      <c r="J2165" s="8" t="str">
        <f>_xlfn.XLOOKUP(D2165,Master[Product_Code],Master[Size])</f>
        <v>105-110</v>
      </c>
      <c r="K2165" s="8" t="str">
        <f>_xlfn.XLOOKUP(D2165,Master[Product_Code],Master[Color])</f>
        <v>Sky Blue</v>
      </c>
      <c r="L2165" s="3">
        <f>_xlfn.XLOOKUP(D2165,Master[Product_Code],Master[Selling_Price])</f>
        <v>100</v>
      </c>
    </row>
    <row r="2166" spans="2:12">
      <c r="B2166" s="2" t="s">
        <v>2657</v>
      </c>
      <c r="C2166" s="7">
        <v>46002</v>
      </c>
      <c r="D2166" s="2" t="s">
        <v>779</v>
      </c>
      <c r="E2166" s="4">
        <v>1</v>
      </c>
      <c r="F2166" s="8" t="str">
        <f>_xlfn.XLOOKUP(D2166,Master[Product_Code],Master[Category])</f>
        <v>T-Shirt</v>
      </c>
      <c r="G2166" s="8" t="str">
        <f>_xlfn.XLOOKUP(D2166,Master[Product_Code],Master[Brand])</f>
        <v>Campus</v>
      </c>
      <c r="H2166" s="8" t="str">
        <f>_xlfn.XLOOKUP(D2166,Master[Product_Code],Master[Style])</f>
        <v>Hoodie</v>
      </c>
      <c r="I2166" s="8" t="str">
        <f>_xlfn.XLOOKUP(D2166,Master[Product_Code],Master[Fabric])</f>
        <v>Cotton Blend</v>
      </c>
      <c r="J2166" s="8" t="str">
        <f>_xlfn.XLOOKUP(D2166,Master[Product_Code],Master[Size])</f>
        <v>M</v>
      </c>
      <c r="K2166" s="8" t="str">
        <f>_xlfn.XLOOKUP(D2166,Master[Product_Code],Master[Color])</f>
        <v>Mustard</v>
      </c>
      <c r="L2166" s="3">
        <f>_xlfn.XLOOKUP(D2166,Master[Product_Code],Master[Selling_Price])</f>
        <v>660</v>
      </c>
    </row>
    <row r="2167" spans="2:12">
      <c r="B2167" s="2" t="s">
        <v>2658</v>
      </c>
      <c r="C2167" s="7">
        <v>46002</v>
      </c>
      <c r="D2167" s="2" t="s">
        <v>427</v>
      </c>
      <c r="E2167" s="4">
        <v>1</v>
      </c>
      <c r="F2167" s="8" t="str">
        <f>_xlfn.XLOOKUP(D2167,Master[Product_Code],Master[Category])</f>
        <v>T-Shirt</v>
      </c>
      <c r="G2167" s="8" t="str">
        <f>_xlfn.XLOOKUP(D2167,Master[Product_Code],Master[Brand])</f>
        <v>Campus</v>
      </c>
      <c r="H2167" s="8" t="str">
        <f>_xlfn.XLOOKUP(D2167,Master[Product_Code],Master[Style])</f>
        <v>3/4 Sleeve</v>
      </c>
      <c r="I2167" s="8" t="str">
        <f>_xlfn.XLOOKUP(D2167,Master[Product_Code],Master[Fabric])</f>
        <v>Cotton</v>
      </c>
      <c r="J2167" s="8" t="str">
        <f>_xlfn.XLOOKUP(D2167,Master[Product_Code],Master[Size])</f>
        <v>M</v>
      </c>
      <c r="K2167" s="8" t="str">
        <f>_xlfn.XLOOKUP(D2167,Master[Product_Code],Master[Color])</f>
        <v>Dark Green</v>
      </c>
      <c r="L2167" s="3">
        <f>_xlfn.XLOOKUP(D2167,Master[Product_Code],Master[Selling_Price])</f>
        <v>330</v>
      </c>
    </row>
    <row r="2168" spans="2:12">
      <c r="B2168" s="2" t="s">
        <v>2658</v>
      </c>
      <c r="C2168" s="7">
        <v>46002</v>
      </c>
      <c r="D2168" s="2" t="s">
        <v>733</v>
      </c>
      <c r="E2168" s="4">
        <v>1</v>
      </c>
      <c r="F2168" s="8" t="str">
        <f>_xlfn.XLOOKUP(D2168,Master[Product_Code],Master[Category])</f>
        <v>T-Shirt</v>
      </c>
      <c r="G2168" s="8" t="str">
        <f>_xlfn.XLOOKUP(D2168,Master[Product_Code],Master[Brand])</f>
        <v>Turkey</v>
      </c>
      <c r="H2168" s="8" t="str">
        <f>_xlfn.XLOOKUP(D2168,Master[Product_Code],Master[Style])</f>
        <v>Hoodie</v>
      </c>
      <c r="I2168" s="8" t="str">
        <f>_xlfn.XLOOKUP(D2168,Master[Product_Code],Master[Fabric])</f>
        <v>Poly Cotton</v>
      </c>
      <c r="J2168" s="8" t="str">
        <f>_xlfn.XLOOKUP(D2168,Master[Product_Code],Master[Size])</f>
        <v>S</v>
      </c>
      <c r="K2168" s="8" t="str">
        <f>_xlfn.XLOOKUP(D2168,Master[Product_Code],Master[Color])</f>
        <v>Navy Blue</v>
      </c>
      <c r="L2168" s="3">
        <f>_xlfn.XLOOKUP(D2168,Master[Product_Code],Master[Selling_Price])</f>
        <v>280</v>
      </c>
    </row>
    <row r="2169" spans="2:12">
      <c r="B2169" s="2" t="s">
        <v>2659</v>
      </c>
      <c r="C2169" s="7">
        <v>46002</v>
      </c>
      <c r="D2169" s="2" t="s">
        <v>1268</v>
      </c>
      <c r="E2169" s="4">
        <v>1</v>
      </c>
      <c r="F2169" s="8" t="str">
        <f>_xlfn.XLOOKUP(D2169,Master[Product_Code],Master[Category])</f>
        <v>Pants</v>
      </c>
      <c r="G2169" s="8" t="str">
        <f>_xlfn.XLOOKUP(D2169,Master[Product_Code],Master[Brand])</f>
        <v>Raymond</v>
      </c>
      <c r="H2169" s="8" t="str">
        <f>_xlfn.XLOOKUP(D2169,Master[Product_Code],Master[Style])</f>
        <v>Jogger</v>
      </c>
      <c r="I2169" s="8" t="str">
        <f>_xlfn.XLOOKUP(D2169,Master[Product_Code],Master[Fabric])</f>
        <v>Cotton</v>
      </c>
      <c r="J2169" s="8">
        <f>_xlfn.XLOOKUP(D2169,Master[Product_Code],Master[Size])</f>
        <v>28</v>
      </c>
      <c r="K2169" s="8" t="str">
        <f>_xlfn.XLOOKUP(D2169,Master[Product_Code],Master[Color])</f>
        <v>Mustard</v>
      </c>
      <c r="L2169" s="3">
        <f>_xlfn.XLOOKUP(D2169,Master[Product_Code],Master[Selling_Price])</f>
        <v>720</v>
      </c>
    </row>
    <row r="2170" spans="2:12">
      <c r="B2170" s="2" t="s">
        <v>2660</v>
      </c>
      <c r="C2170" s="7">
        <v>46002</v>
      </c>
      <c r="D2170" s="2" t="s">
        <v>823</v>
      </c>
      <c r="E2170" s="4">
        <v>1</v>
      </c>
      <c r="F2170" s="8" t="str">
        <f>_xlfn.XLOOKUP(D2170,Master[Product_Code],Master[Category])</f>
        <v>T-Shirt</v>
      </c>
      <c r="G2170" s="8" t="str">
        <f>_xlfn.XLOOKUP(D2170,Master[Product_Code],Master[Brand])</f>
        <v>Urban Monkey</v>
      </c>
      <c r="H2170" s="8" t="str">
        <f>_xlfn.XLOOKUP(D2170,Master[Product_Code],Master[Style])</f>
        <v>3/4 Sleeve</v>
      </c>
      <c r="I2170" s="8" t="str">
        <f>_xlfn.XLOOKUP(D2170,Master[Product_Code],Master[Fabric])</f>
        <v>Cotton</v>
      </c>
      <c r="J2170" s="8" t="str">
        <f>_xlfn.XLOOKUP(D2170,Master[Product_Code],Master[Size])</f>
        <v>XXL</v>
      </c>
      <c r="K2170" s="8" t="str">
        <f>_xlfn.XLOOKUP(D2170,Master[Product_Code],Master[Color])</f>
        <v>Beige</v>
      </c>
      <c r="L2170" s="3">
        <f>_xlfn.XLOOKUP(D2170,Master[Product_Code],Master[Selling_Price])</f>
        <v>650</v>
      </c>
    </row>
    <row r="2171" spans="2:12">
      <c r="B2171" s="2" t="s">
        <v>2660</v>
      </c>
      <c r="C2171" s="7">
        <v>46002</v>
      </c>
      <c r="D2171" s="2" t="s">
        <v>1342</v>
      </c>
      <c r="E2171" s="4">
        <v>1</v>
      </c>
      <c r="F2171" s="8" t="str">
        <f>_xlfn.XLOOKUP(D2171,Master[Product_Code],Master[Category])</f>
        <v>Pants</v>
      </c>
      <c r="G2171" s="8" t="str">
        <f>_xlfn.XLOOKUP(D2171,Master[Product_Code],Master[Brand])</f>
        <v>Van Heusen</v>
      </c>
      <c r="H2171" s="8" t="str">
        <f>_xlfn.XLOOKUP(D2171,Master[Product_Code],Master[Style])</f>
        <v>Boot Cut</v>
      </c>
      <c r="I2171" s="8" t="str">
        <f>_xlfn.XLOOKUP(D2171,Master[Product_Code],Master[Fabric])</f>
        <v>Cotton Blend</v>
      </c>
      <c r="J2171" s="8">
        <f>_xlfn.XLOOKUP(D2171,Master[Product_Code],Master[Size])</f>
        <v>30</v>
      </c>
      <c r="K2171" s="8" t="str">
        <f>_xlfn.XLOOKUP(D2171,Master[Product_Code],Master[Color])</f>
        <v>White</v>
      </c>
      <c r="L2171" s="3">
        <f>_xlfn.XLOOKUP(D2171,Master[Product_Code],Master[Selling_Price])</f>
        <v>780</v>
      </c>
    </row>
    <row r="2172" spans="2:12">
      <c r="B2172" s="2" t="s">
        <v>2661</v>
      </c>
      <c r="C2172" s="7">
        <v>46002</v>
      </c>
      <c r="D2172" s="2" t="s">
        <v>1329</v>
      </c>
      <c r="E2172" s="4">
        <v>1</v>
      </c>
      <c r="F2172" s="8" t="str">
        <f>_xlfn.XLOOKUP(D2172,Master[Product_Code],Master[Category])</f>
        <v>Pants</v>
      </c>
      <c r="G2172" s="8" t="str">
        <f>_xlfn.XLOOKUP(D2172,Master[Product_Code],Master[Brand])</f>
        <v>Raymond</v>
      </c>
      <c r="H2172" s="8" t="str">
        <f>_xlfn.XLOOKUP(D2172,Master[Product_Code],Master[Style])</f>
        <v>Kurka</v>
      </c>
      <c r="I2172" s="8" t="str">
        <f>_xlfn.XLOOKUP(D2172,Master[Product_Code],Master[Fabric])</f>
        <v>Lycra</v>
      </c>
      <c r="J2172" s="8">
        <f>_xlfn.XLOOKUP(D2172,Master[Product_Code],Master[Size])</f>
        <v>38</v>
      </c>
      <c r="K2172" s="8" t="str">
        <f>_xlfn.XLOOKUP(D2172,Master[Product_Code],Master[Color])</f>
        <v>Brown</v>
      </c>
      <c r="L2172" s="3">
        <f>_xlfn.XLOOKUP(D2172,Master[Product_Code],Master[Selling_Price])</f>
        <v>850</v>
      </c>
    </row>
    <row r="2173" spans="2:12">
      <c r="B2173" s="2" t="s">
        <v>2661</v>
      </c>
      <c r="C2173" s="7">
        <v>46002</v>
      </c>
      <c r="D2173" s="2" t="s">
        <v>30</v>
      </c>
      <c r="E2173" s="4">
        <v>1</v>
      </c>
      <c r="F2173" s="8" t="str">
        <f>_xlfn.XLOOKUP(D2173,Master[Product_Code],Master[Category])</f>
        <v>Shirt</v>
      </c>
      <c r="G2173" s="8" t="str">
        <f>_xlfn.XLOOKUP(D2173,Master[Product_Code],Master[Brand])</f>
        <v>Zara</v>
      </c>
      <c r="H2173" s="8" t="str">
        <f>_xlfn.XLOOKUP(D2173,Master[Product_Code],Master[Style])</f>
        <v>Formal</v>
      </c>
      <c r="I2173" s="8" t="str">
        <f>_xlfn.XLOOKUP(D2173,Master[Product_Code],Master[Fabric])</f>
        <v>Polyester</v>
      </c>
      <c r="J2173" s="8" t="str">
        <f>_xlfn.XLOOKUP(D2173,Master[Product_Code],Master[Size])</f>
        <v>L</v>
      </c>
      <c r="K2173" s="8" t="str">
        <f>_xlfn.XLOOKUP(D2173,Master[Product_Code],Master[Color])</f>
        <v>Beige</v>
      </c>
      <c r="L2173" s="3">
        <f>_xlfn.XLOOKUP(D2173,Master[Product_Code],Master[Selling_Price])</f>
        <v>920</v>
      </c>
    </row>
    <row r="2174" spans="2:12">
      <c r="B2174" s="2" t="s">
        <v>2661</v>
      </c>
      <c r="C2174" s="7">
        <v>46002</v>
      </c>
      <c r="D2174" s="2" t="s">
        <v>155</v>
      </c>
      <c r="E2174" s="4">
        <v>1</v>
      </c>
      <c r="F2174" s="8" t="str">
        <f>_xlfn.XLOOKUP(D2174,Master[Product_Code],Master[Category])</f>
        <v>Shirt</v>
      </c>
      <c r="G2174" s="8" t="str">
        <f>_xlfn.XLOOKUP(D2174,Master[Product_Code],Master[Brand])</f>
        <v>Thailand</v>
      </c>
      <c r="H2174" s="8" t="str">
        <f>_xlfn.XLOOKUP(D2174,Master[Product_Code],Master[Style])</f>
        <v>Casual</v>
      </c>
      <c r="I2174" s="8" t="str">
        <f>_xlfn.XLOOKUP(D2174,Master[Product_Code],Master[Fabric])</f>
        <v>Cotton Blend</v>
      </c>
      <c r="J2174" s="8" t="str">
        <f>_xlfn.XLOOKUP(D2174,Master[Product_Code],Master[Size])</f>
        <v>XXL</v>
      </c>
      <c r="K2174" s="8" t="str">
        <f>_xlfn.XLOOKUP(D2174,Master[Product_Code],Master[Color])</f>
        <v>Beige</v>
      </c>
      <c r="L2174" s="3">
        <f>_xlfn.XLOOKUP(D2174,Master[Product_Code],Master[Selling_Price])</f>
        <v>760</v>
      </c>
    </row>
    <row r="2175" spans="2:12">
      <c r="B2175" s="2" t="s">
        <v>2661</v>
      </c>
      <c r="C2175" s="7">
        <v>46002</v>
      </c>
      <c r="D2175" s="2" t="s">
        <v>691</v>
      </c>
      <c r="E2175" s="4">
        <v>1</v>
      </c>
      <c r="F2175" s="8" t="str">
        <f>_xlfn.XLOOKUP(D2175,Master[Product_Code],Master[Category])</f>
        <v>T-Shirt</v>
      </c>
      <c r="G2175" s="8" t="str">
        <f>_xlfn.XLOOKUP(D2175,Master[Product_Code],Master[Brand])</f>
        <v>Urban Monkey</v>
      </c>
      <c r="H2175" s="8" t="str">
        <f>_xlfn.XLOOKUP(D2175,Master[Product_Code],Master[Style])</f>
        <v>Sleeveless</v>
      </c>
      <c r="I2175" s="8" t="str">
        <f>_xlfn.XLOOKUP(D2175,Master[Product_Code],Master[Fabric])</f>
        <v>Cotton Blend</v>
      </c>
      <c r="J2175" s="8" t="str">
        <f>_xlfn.XLOOKUP(D2175,Master[Product_Code],Master[Size])</f>
        <v>L</v>
      </c>
      <c r="K2175" s="8" t="str">
        <f>_xlfn.XLOOKUP(D2175,Master[Product_Code],Master[Color])</f>
        <v>Sky Blue</v>
      </c>
      <c r="L2175" s="3">
        <f>_xlfn.XLOOKUP(D2175,Master[Product_Code],Master[Selling_Price])</f>
        <v>270</v>
      </c>
    </row>
    <row r="2176" spans="2:12">
      <c r="B2176" s="2" t="s">
        <v>2662</v>
      </c>
      <c r="C2176" s="7">
        <v>46002</v>
      </c>
      <c r="D2176" s="2" t="s">
        <v>997</v>
      </c>
      <c r="E2176" s="4">
        <v>1</v>
      </c>
      <c r="F2176" s="8" t="str">
        <f>_xlfn.XLOOKUP(D2176,Master[Product_Code],Master[Category])</f>
        <v>Jeans</v>
      </c>
      <c r="G2176" s="8" t="str">
        <f>_xlfn.XLOOKUP(D2176,Master[Product_Code],Master[Brand])</f>
        <v>Pepe</v>
      </c>
      <c r="H2176" s="8" t="str">
        <f>_xlfn.XLOOKUP(D2176,Master[Product_Code],Master[Style])</f>
        <v>Jogger</v>
      </c>
      <c r="I2176" s="8" t="str">
        <f>_xlfn.XLOOKUP(D2176,Master[Product_Code],Master[Fabric])</f>
        <v>Denim</v>
      </c>
      <c r="J2176" s="8">
        <f>_xlfn.XLOOKUP(D2176,Master[Product_Code],Master[Size])</f>
        <v>38</v>
      </c>
      <c r="K2176" s="8" t="str">
        <f>_xlfn.XLOOKUP(D2176,Master[Product_Code],Master[Color])</f>
        <v>Cream</v>
      </c>
      <c r="L2176" s="3">
        <f>_xlfn.XLOOKUP(D2176,Master[Product_Code],Master[Selling_Price])</f>
        <v>880</v>
      </c>
    </row>
    <row r="2177" spans="2:12">
      <c r="B2177" s="2" t="s">
        <v>2662</v>
      </c>
      <c r="C2177" s="7">
        <v>46002</v>
      </c>
      <c r="D2177" s="2" t="s">
        <v>1671</v>
      </c>
      <c r="E2177" s="4">
        <v>1</v>
      </c>
      <c r="F2177" s="8" t="str">
        <f>_xlfn.XLOOKUP(D2177,Master[Product_Code],Master[Category])</f>
        <v>Innerwear</v>
      </c>
      <c r="G2177" s="8" t="str">
        <f>_xlfn.XLOOKUP(D2177,Master[Product_Code],Master[Brand])</f>
        <v>Rupa</v>
      </c>
      <c r="H2177" s="8" t="str">
        <f>_xlfn.XLOOKUP(D2177,Master[Product_Code],Master[Style])</f>
        <v>Boxer</v>
      </c>
      <c r="I2177" s="8" t="str">
        <f>_xlfn.XLOOKUP(D2177,Master[Product_Code],Master[Fabric])</f>
        <v>Cotton</v>
      </c>
      <c r="J2177" s="8" t="str">
        <f>_xlfn.XLOOKUP(D2177,Master[Product_Code],Master[Size])</f>
        <v>90-100</v>
      </c>
      <c r="K2177" s="8" t="str">
        <f>_xlfn.XLOOKUP(D2177,Master[Product_Code],Master[Color])</f>
        <v>Cream</v>
      </c>
      <c r="L2177" s="3">
        <f>_xlfn.XLOOKUP(D2177,Master[Product_Code],Master[Selling_Price])</f>
        <v>120</v>
      </c>
    </row>
    <row r="2178" spans="2:12">
      <c r="B2178" s="2" t="s">
        <v>2662</v>
      </c>
      <c r="C2178" s="7">
        <v>46002</v>
      </c>
      <c r="D2178" s="2" t="s">
        <v>1712</v>
      </c>
      <c r="E2178" s="4">
        <v>1</v>
      </c>
      <c r="F2178" s="8" t="str">
        <f>_xlfn.XLOOKUP(D2178,Master[Product_Code],Master[Category])</f>
        <v>Innerwear</v>
      </c>
      <c r="G2178" s="8" t="str">
        <f>_xlfn.XLOOKUP(D2178,Master[Product_Code],Master[Brand])</f>
        <v>Jockey</v>
      </c>
      <c r="H2178" s="8" t="str">
        <f>_xlfn.XLOOKUP(D2178,Master[Product_Code],Master[Style])</f>
        <v>Boxer</v>
      </c>
      <c r="I2178" s="8" t="str">
        <f>_xlfn.XLOOKUP(D2178,Master[Product_Code],Master[Fabric])</f>
        <v>Cotton</v>
      </c>
      <c r="J2178" s="8" t="str">
        <f>_xlfn.XLOOKUP(D2178,Master[Product_Code],Master[Size])</f>
        <v>75-80</v>
      </c>
      <c r="K2178" s="8" t="str">
        <f>_xlfn.XLOOKUP(D2178,Master[Product_Code],Master[Color])</f>
        <v>Olive</v>
      </c>
      <c r="L2178" s="3">
        <f>_xlfn.XLOOKUP(D2178,Master[Product_Code],Master[Selling_Price])</f>
        <v>180</v>
      </c>
    </row>
    <row r="2179" spans="2:12">
      <c r="B2179" s="2" t="s">
        <v>2662</v>
      </c>
      <c r="C2179" s="7">
        <v>46002</v>
      </c>
      <c r="D2179" s="2" t="s">
        <v>95</v>
      </c>
      <c r="E2179" s="4">
        <v>1</v>
      </c>
      <c r="F2179" s="8" t="str">
        <f>_xlfn.XLOOKUP(D2179,Master[Product_Code],Master[Category])</f>
        <v>Shirt</v>
      </c>
      <c r="G2179" s="8" t="str">
        <f>_xlfn.XLOOKUP(D2179,Master[Product_Code],Master[Brand])</f>
        <v>Thailand</v>
      </c>
      <c r="H2179" s="8" t="str">
        <f>_xlfn.XLOOKUP(D2179,Master[Product_Code],Master[Style])</f>
        <v>Casual</v>
      </c>
      <c r="I2179" s="8" t="str">
        <f>_xlfn.XLOOKUP(D2179,Master[Product_Code],Master[Fabric])</f>
        <v>Lycra</v>
      </c>
      <c r="J2179" s="8" t="str">
        <f>_xlfn.XLOOKUP(D2179,Master[Product_Code],Master[Size])</f>
        <v>L</v>
      </c>
      <c r="K2179" s="8" t="str">
        <f>_xlfn.XLOOKUP(D2179,Master[Product_Code],Master[Color])</f>
        <v>Cream</v>
      </c>
      <c r="L2179" s="3">
        <f>_xlfn.XLOOKUP(D2179,Master[Product_Code],Master[Selling_Price])</f>
        <v>720</v>
      </c>
    </row>
    <row r="2180" spans="2:12">
      <c r="B2180" s="2" t="s">
        <v>2663</v>
      </c>
      <c r="C2180" s="7">
        <v>46002</v>
      </c>
      <c r="D2180" s="2" t="s">
        <v>1139</v>
      </c>
      <c r="E2180" s="4">
        <v>1</v>
      </c>
      <c r="F2180" s="8" t="str">
        <f>_xlfn.XLOOKUP(D2180,Master[Product_Code],Master[Category])</f>
        <v>Jeans</v>
      </c>
      <c r="G2180" s="8" t="str">
        <f>_xlfn.XLOOKUP(D2180,Master[Product_Code],Master[Brand])</f>
        <v>Levis</v>
      </c>
      <c r="H2180" s="8" t="str">
        <f>_xlfn.XLOOKUP(D2180,Master[Product_Code],Master[Style])</f>
        <v>Jogger</v>
      </c>
      <c r="I2180" s="8" t="str">
        <f>_xlfn.XLOOKUP(D2180,Master[Product_Code],Master[Fabric])</f>
        <v>Denim</v>
      </c>
      <c r="J2180" s="8">
        <f>_xlfn.XLOOKUP(D2180,Master[Product_Code],Master[Size])</f>
        <v>44</v>
      </c>
      <c r="K2180" s="8" t="str">
        <f>_xlfn.XLOOKUP(D2180,Master[Product_Code],Master[Color])</f>
        <v>Brown</v>
      </c>
      <c r="L2180" s="3">
        <f>_xlfn.XLOOKUP(D2180,Master[Product_Code],Master[Selling_Price])</f>
        <v>900</v>
      </c>
    </row>
    <row r="2181" spans="2:12">
      <c r="B2181" s="2" t="s">
        <v>2663</v>
      </c>
      <c r="C2181" s="7">
        <v>46002</v>
      </c>
      <c r="D2181" s="2" t="s">
        <v>1367</v>
      </c>
      <c r="E2181" s="4">
        <v>1</v>
      </c>
      <c r="F2181" s="8" t="str">
        <f>_xlfn.XLOOKUP(D2181,Master[Product_Code],Master[Category])</f>
        <v>Pants</v>
      </c>
      <c r="G2181" s="8" t="str">
        <f>_xlfn.XLOOKUP(D2181,Master[Product_Code],Master[Brand])</f>
        <v>Park Avenue</v>
      </c>
      <c r="H2181" s="8" t="str">
        <f>_xlfn.XLOOKUP(D2181,Master[Product_Code],Master[Style])</f>
        <v>Boot Cut</v>
      </c>
      <c r="I2181" s="8" t="str">
        <f>_xlfn.XLOOKUP(D2181,Master[Product_Code],Master[Fabric])</f>
        <v>Cotton</v>
      </c>
      <c r="J2181" s="8">
        <f>_xlfn.XLOOKUP(D2181,Master[Product_Code],Master[Size])</f>
        <v>44</v>
      </c>
      <c r="K2181" s="8" t="str">
        <f>_xlfn.XLOOKUP(D2181,Master[Product_Code],Master[Color])</f>
        <v>Royal Blue</v>
      </c>
      <c r="L2181" s="3">
        <f>_xlfn.XLOOKUP(D2181,Master[Product_Code],Master[Selling_Price])</f>
        <v>950</v>
      </c>
    </row>
    <row r="2182" spans="2:12">
      <c r="B2182" s="2" t="s">
        <v>2664</v>
      </c>
      <c r="C2182" s="7">
        <v>46002</v>
      </c>
      <c r="D2182" s="2" t="s">
        <v>1624</v>
      </c>
      <c r="E2182" s="4">
        <v>1</v>
      </c>
      <c r="F2182" s="8" t="str">
        <f>_xlfn.XLOOKUP(D2182,Master[Product_Code],Master[Category])</f>
        <v>Innerwear</v>
      </c>
      <c r="G2182" s="8" t="str">
        <f>_xlfn.XLOOKUP(D2182,Master[Product_Code],Master[Brand])</f>
        <v>Rupa</v>
      </c>
      <c r="H2182" s="8" t="str">
        <f>_xlfn.XLOOKUP(D2182,Master[Product_Code],Master[Style])</f>
        <v>V-Cut</v>
      </c>
      <c r="I2182" s="8" t="str">
        <f>_xlfn.XLOOKUP(D2182,Master[Product_Code],Master[Fabric])</f>
        <v>Cotton</v>
      </c>
      <c r="J2182" s="8" t="str">
        <f>_xlfn.XLOOKUP(D2182,Master[Product_Code],Master[Size])</f>
        <v>80-85</v>
      </c>
      <c r="K2182" s="8" t="str">
        <f>_xlfn.XLOOKUP(D2182,Master[Product_Code],Master[Color])</f>
        <v>Beige</v>
      </c>
      <c r="L2182" s="3">
        <f>_xlfn.XLOOKUP(D2182,Master[Product_Code],Master[Selling_Price])</f>
        <v>170</v>
      </c>
    </row>
    <row r="2183" spans="2:12">
      <c r="B2183" s="2" t="s">
        <v>2664</v>
      </c>
      <c r="C2183" s="7">
        <v>46002</v>
      </c>
      <c r="D2183" s="2" t="s">
        <v>1250</v>
      </c>
      <c r="E2183" s="4">
        <v>1</v>
      </c>
      <c r="F2183" s="8" t="str">
        <f>_xlfn.XLOOKUP(D2183,Master[Product_Code],Master[Category])</f>
        <v>Pants</v>
      </c>
      <c r="G2183" s="8" t="str">
        <f>_xlfn.XLOOKUP(D2183,Master[Product_Code],Master[Brand])</f>
        <v>Van Heusen</v>
      </c>
      <c r="H2183" s="8" t="str">
        <f>_xlfn.XLOOKUP(D2183,Master[Product_Code],Master[Style])</f>
        <v>Polofit</v>
      </c>
      <c r="I2183" s="8" t="str">
        <f>_xlfn.XLOOKUP(D2183,Master[Product_Code],Master[Fabric])</f>
        <v>Lycra</v>
      </c>
      <c r="J2183" s="8">
        <f>_xlfn.XLOOKUP(D2183,Master[Product_Code],Master[Size])</f>
        <v>42</v>
      </c>
      <c r="K2183" s="8" t="str">
        <f>_xlfn.XLOOKUP(D2183,Master[Product_Code],Master[Color])</f>
        <v>Bottle Green</v>
      </c>
      <c r="L2183" s="3">
        <f>_xlfn.XLOOKUP(D2183,Master[Product_Code],Master[Selling_Price])</f>
        <v>710</v>
      </c>
    </row>
    <row r="2184" spans="2:12">
      <c r="B2184" s="2" t="s">
        <v>2664</v>
      </c>
      <c r="C2184" s="7">
        <v>46002</v>
      </c>
      <c r="D2184" s="2" t="s">
        <v>1397</v>
      </c>
      <c r="E2184" s="4">
        <v>1</v>
      </c>
      <c r="F2184" s="8" t="str">
        <f>_xlfn.XLOOKUP(D2184,Master[Product_Code],Master[Category])</f>
        <v>Pants</v>
      </c>
      <c r="G2184" s="8" t="str">
        <f>_xlfn.XLOOKUP(D2184,Master[Product_Code],Master[Brand])</f>
        <v>Peter England</v>
      </c>
      <c r="H2184" s="8" t="str">
        <f>_xlfn.XLOOKUP(D2184,Master[Product_Code],Master[Style])</f>
        <v>Korean</v>
      </c>
      <c r="I2184" s="8" t="str">
        <f>_xlfn.XLOOKUP(D2184,Master[Product_Code],Master[Fabric])</f>
        <v>Lycra</v>
      </c>
      <c r="J2184" s="8">
        <f>_xlfn.XLOOKUP(D2184,Master[Product_Code],Master[Size])</f>
        <v>34</v>
      </c>
      <c r="K2184" s="8" t="str">
        <f>_xlfn.XLOOKUP(D2184,Master[Product_Code],Master[Color])</f>
        <v>Wine</v>
      </c>
      <c r="L2184" s="3">
        <f>_xlfn.XLOOKUP(D2184,Master[Product_Code],Master[Selling_Price])</f>
        <v>720</v>
      </c>
    </row>
    <row r="2185" spans="2:12">
      <c r="B2185" s="2" t="s">
        <v>2664</v>
      </c>
      <c r="C2185" s="7">
        <v>46002</v>
      </c>
      <c r="D2185" s="2" t="s">
        <v>384</v>
      </c>
      <c r="E2185" s="4">
        <v>1</v>
      </c>
      <c r="F2185" s="8" t="str">
        <f>_xlfn.XLOOKUP(D2185,Master[Product_Code],Master[Category])</f>
        <v>Shirt</v>
      </c>
      <c r="G2185" s="8" t="str">
        <f>_xlfn.XLOOKUP(D2185,Master[Product_Code],Master[Brand])</f>
        <v>H&amp;M</v>
      </c>
      <c r="H2185" s="8" t="str">
        <f>_xlfn.XLOOKUP(D2185,Master[Product_Code],Master[Style])</f>
        <v>Casual</v>
      </c>
      <c r="I2185" s="8" t="str">
        <f>_xlfn.XLOOKUP(D2185,Master[Product_Code],Master[Fabric])</f>
        <v>Cotton</v>
      </c>
      <c r="J2185" s="8" t="str">
        <f>_xlfn.XLOOKUP(D2185,Master[Product_Code],Master[Size])</f>
        <v>XL</v>
      </c>
      <c r="K2185" s="8" t="str">
        <f>_xlfn.XLOOKUP(D2185,Master[Product_Code],Master[Color])</f>
        <v>Maroon</v>
      </c>
      <c r="L2185" s="3">
        <f>_xlfn.XLOOKUP(D2185,Master[Product_Code],Master[Selling_Price])</f>
        <v>660</v>
      </c>
    </row>
    <row r="2186" spans="2:12">
      <c r="B2186" s="2" t="s">
        <v>2665</v>
      </c>
      <c r="C2186" s="7">
        <v>46002</v>
      </c>
      <c r="D2186" s="2" t="s">
        <v>65</v>
      </c>
      <c r="E2186" s="4">
        <v>1</v>
      </c>
      <c r="F2186" s="8" t="str">
        <f>_xlfn.XLOOKUP(D2186,Master[Product_Code],Master[Category])</f>
        <v>Shirt</v>
      </c>
      <c r="G2186" s="8" t="str">
        <f>_xlfn.XLOOKUP(D2186,Master[Product_Code],Master[Brand])</f>
        <v>Thailand</v>
      </c>
      <c r="H2186" s="8" t="str">
        <f>_xlfn.XLOOKUP(D2186,Master[Product_Code],Master[Style])</f>
        <v>Partywear</v>
      </c>
      <c r="I2186" s="8" t="str">
        <f>_xlfn.XLOOKUP(D2186,Master[Product_Code],Master[Fabric])</f>
        <v>Lycra</v>
      </c>
      <c r="J2186" s="8" t="str">
        <f>_xlfn.XLOOKUP(D2186,Master[Product_Code],Master[Size])</f>
        <v>XXL</v>
      </c>
      <c r="K2186" s="8" t="str">
        <f>_xlfn.XLOOKUP(D2186,Master[Product_Code],Master[Color])</f>
        <v>Sky Blue</v>
      </c>
      <c r="L2186" s="3">
        <f>_xlfn.XLOOKUP(D2186,Master[Product_Code],Master[Selling_Price])</f>
        <v>630</v>
      </c>
    </row>
    <row r="2187" spans="2:12">
      <c r="B2187" s="2" t="s">
        <v>2666</v>
      </c>
      <c r="C2187" s="7">
        <v>46002</v>
      </c>
      <c r="D2187" s="2" t="s">
        <v>1216</v>
      </c>
      <c r="E2187" s="4">
        <v>1</v>
      </c>
      <c r="F2187" s="8" t="str">
        <f>_xlfn.XLOOKUP(D2187,Master[Product_Code],Master[Category])</f>
        <v>Pants</v>
      </c>
      <c r="G2187" s="8" t="str">
        <f>_xlfn.XLOOKUP(D2187,Master[Product_Code],Master[Brand])</f>
        <v>Van Heusen</v>
      </c>
      <c r="H2187" s="8" t="str">
        <f>_xlfn.XLOOKUP(D2187,Master[Product_Code],Master[Style])</f>
        <v>Korean</v>
      </c>
      <c r="I2187" s="8" t="str">
        <f>_xlfn.XLOOKUP(D2187,Master[Product_Code],Master[Fabric])</f>
        <v>Lycra</v>
      </c>
      <c r="J2187" s="8">
        <f>_xlfn.XLOOKUP(D2187,Master[Product_Code],Master[Size])</f>
        <v>28</v>
      </c>
      <c r="K2187" s="8" t="str">
        <f>_xlfn.XLOOKUP(D2187,Master[Product_Code],Master[Color])</f>
        <v>Mustard</v>
      </c>
      <c r="L2187" s="3">
        <f>_xlfn.XLOOKUP(D2187,Master[Product_Code],Master[Selling_Price])</f>
        <v>740</v>
      </c>
    </row>
    <row r="2188" spans="2:12">
      <c r="B2188" s="2" t="s">
        <v>2667</v>
      </c>
      <c r="C2188" s="7">
        <v>46002</v>
      </c>
      <c r="D2188" s="2" t="s">
        <v>1127</v>
      </c>
      <c r="E2188" s="4">
        <v>1</v>
      </c>
      <c r="F2188" s="8" t="str">
        <f>_xlfn.XLOOKUP(D2188,Master[Product_Code],Master[Category])</f>
        <v>Jeans</v>
      </c>
      <c r="G2188" s="8" t="str">
        <f>_xlfn.XLOOKUP(D2188,Master[Product_Code],Master[Brand])</f>
        <v>Levis</v>
      </c>
      <c r="H2188" s="8" t="str">
        <f>_xlfn.XLOOKUP(D2188,Master[Product_Code],Master[Style])</f>
        <v>Mom Fit</v>
      </c>
      <c r="I2188" s="8" t="str">
        <f>_xlfn.XLOOKUP(D2188,Master[Product_Code],Master[Fabric])</f>
        <v>Denim</v>
      </c>
      <c r="J2188" s="8">
        <f>_xlfn.XLOOKUP(D2188,Master[Product_Code],Master[Size])</f>
        <v>30</v>
      </c>
      <c r="K2188" s="8" t="str">
        <f>_xlfn.XLOOKUP(D2188,Master[Product_Code],Master[Color])</f>
        <v>Sky Blue</v>
      </c>
      <c r="L2188" s="3">
        <f>_xlfn.XLOOKUP(D2188,Master[Product_Code],Master[Selling_Price])</f>
        <v>800</v>
      </c>
    </row>
    <row r="2189" spans="2:12">
      <c r="B2189" s="2" t="s">
        <v>2668</v>
      </c>
      <c r="C2189" s="7">
        <v>46002</v>
      </c>
      <c r="D2189" s="2" t="s">
        <v>721</v>
      </c>
      <c r="E2189" s="4">
        <v>1</v>
      </c>
      <c r="F2189" s="8" t="str">
        <f>_xlfn.XLOOKUP(D2189,Master[Product_Code],Master[Category])</f>
        <v>T-Shirt</v>
      </c>
      <c r="G2189" s="8" t="str">
        <f>_xlfn.XLOOKUP(D2189,Master[Product_Code],Master[Brand])</f>
        <v>Campus</v>
      </c>
      <c r="H2189" s="8" t="str">
        <f>_xlfn.XLOOKUP(D2189,Master[Product_Code],Master[Style])</f>
        <v>Hoodie</v>
      </c>
      <c r="I2189" s="8" t="str">
        <f>_xlfn.XLOOKUP(D2189,Master[Product_Code],Master[Fabric])</f>
        <v>Cotton</v>
      </c>
      <c r="J2189" s="8" t="str">
        <f>_xlfn.XLOOKUP(D2189,Master[Product_Code],Master[Size])</f>
        <v>XL</v>
      </c>
      <c r="K2189" s="8" t="str">
        <f>_xlfn.XLOOKUP(D2189,Master[Product_Code],Master[Color])</f>
        <v>White</v>
      </c>
      <c r="L2189" s="3">
        <f>_xlfn.XLOOKUP(D2189,Master[Product_Code],Master[Selling_Price])</f>
        <v>330</v>
      </c>
    </row>
    <row r="2190" spans="2:12">
      <c r="B2190" s="2" t="s">
        <v>2668</v>
      </c>
      <c r="C2190" s="7">
        <v>46002</v>
      </c>
      <c r="D2190" s="2" t="s">
        <v>1534</v>
      </c>
      <c r="E2190" s="4">
        <v>1</v>
      </c>
      <c r="F2190" s="8" t="str">
        <f>_xlfn.XLOOKUP(D2190,Master[Product_Code],Master[Category])</f>
        <v>Innerwear</v>
      </c>
      <c r="G2190" s="8" t="str">
        <f>_xlfn.XLOOKUP(D2190,Master[Product_Code],Master[Brand])</f>
        <v>Dollar</v>
      </c>
      <c r="H2190" s="8" t="str">
        <f>_xlfn.XLOOKUP(D2190,Master[Product_Code],Master[Style])</f>
        <v>V-Cut</v>
      </c>
      <c r="I2190" s="8" t="str">
        <f>_xlfn.XLOOKUP(D2190,Master[Product_Code],Master[Fabric])</f>
        <v>Cotton</v>
      </c>
      <c r="J2190" s="8" t="str">
        <f>_xlfn.XLOOKUP(D2190,Master[Product_Code],Master[Size])</f>
        <v>80-85</v>
      </c>
      <c r="K2190" s="8" t="str">
        <f>_xlfn.XLOOKUP(D2190,Master[Product_Code],Master[Color])</f>
        <v>Peach</v>
      </c>
      <c r="L2190" s="3">
        <f>_xlfn.XLOOKUP(D2190,Master[Product_Code],Master[Selling_Price])</f>
        <v>130</v>
      </c>
    </row>
    <row r="2191" spans="2:12">
      <c r="B2191" s="2" t="s">
        <v>2669</v>
      </c>
      <c r="C2191" s="7">
        <v>46002</v>
      </c>
      <c r="D2191" s="2" t="s">
        <v>1325</v>
      </c>
      <c r="E2191" s="4">
        <v>1</v>
      </c>
      <c r="F2191" s="8" t="str">
        <f>_xlfn.XLOOKUP(D2191,Master[Product_Code],Master[Category])</f>
        <v>Pants</v>
      </c>
      <c r="G2191" s="8" t="str">
        <f>_xlfn.XLOOKUP(D2191,Master[Product_Code],Master[Brand])</f>
        <v>Raymond</v>
      </c>
      <c r="H2191" s="8" t="str">
        <f>_xlfn.XLOOKUP(D2191,Master[Product_Code],Master[Style])</f>
        <v>Polofit</v>
      </c>
      <c r="I2191" s="8" t="str">
        <f>_xlfn.XLOOKUP(D2191,Master[Product_Code],Master[Fabric])</f>
        <v>Lycra</v>
      </c>
      <c r="J2191" s="8">
        <f>_xlfn.XLOOKUP(D2191,Master[Product_Code],Master[Size])</f>
        <v>30</v>
      </c>
      <c r="K2191" s="8" t="str">
        <f>_xlfn.XLOOKUP(D2191,Master[Product_Code],Master[Color])</f>
        <v>Dark Green</v>
      </c>
      <c r="L2191" s="3">
        <f>_xlfn.XLOOKUP(D2191,Master[Product_Code],Master[Selling_Price])</f>
        <v>860</v>
      </c>
    </row>
    <row r="2192" spans="2:12">
      <c r="B2192" s="2" t="s">
        <v>2670</v>
      </c>
      <c r="C2192" s="7">
        <v>46002</v>
      </c>
      <c r="D2192" s="2" t="s">
        <v>629</v>
      </c>
      <c r="E2192" s="4">
        <v>1</v>
      </c>
      <c r="F2192" s="8" t="str">
        <f>_xlfn.XLOOKUP(D2192,Master[Product_Code],Master[Category])</f>
        <v>T-Shirt</v>
      </c>
      <c r="G2192" s="8" t="str">
        <f>_xlfn.XLOOKUP(D2192,Master[Product_Code],Master[Brand])</f>
        <v>Urban Monkey</v>
      </c>
      <c r="H2192" s="8" t="str">
        <f>_xlfn.XLOOKUP(D2192,Master[Product_Code],Master[Style])</f>
        <v>Half Sleeve</v>
      </c>
      <c r="I2192" s="8" t="str">
        <f>_xlfn.XLOOKUP(D2192,Master[Product_Code],Master[Fabric])</f>
        <v>Cotton</v>
      </c>
      <c r="J2192" s="8" t="str">
        <f>_xlfn.XLOOKUP(D2192,Master[Product_Code],Master[Size])</f>
        <v>S</v>
      </c>
      <c r="K2192" s="8" t="str">
        <f>_xlfn.XLOOKUP(D2192,Master[Product_Code],Master[Color])</f>
        <v>Cream</v>
      </c>
      <c r="L2192" s="3">
        <f>_xlfn.XLOOKUP(D2192,Master[Product_Code],Master[Selling_Price])</f>
        <v>350</v>
      </c>
    </row>
    <row r="2193" spans="2:12">
      <c r="B2193" s="2" t="s">
        <v>2670</v>
      </c>
      <c r="C2193" s="7">
        <v>46002</v>
      </c>
      <c r="D2193" s="2" t="s">
        <v>1024</v>
      </c>
      <c r="E2193" s="4">
        <v>1</v>
      </c>
      <c r="F2193" s="8" t="str">
        <f>_xlfn.XLOOKUP(D2193,Master[Product_Code],Master[Category])</f>
        <v>Jeans</v>
      </c>
      <c r="G2193" s="8" t="str">
        <f>_xlfn.XLOOKUP(D2193,Master[Product_Code],Master[Brand])</f>
        <v>Locomotive</v>
      </c>
      <c r="H2193" s="8" t="str">
        <f>_xlfn.XLOOKUP(D2193,Master[Product_Code],Master[Style])</f>
        <v>Mom Fit</v>
      </c>
      <c r="I2193" s="8" t="str">
        <f>_xlfn.XLOOKUP(D2193,Master[Product_Code],Master[Fabric])</f>
        <v>Denim</v>
      </c>
      <c r="J2193" s="8">
        <f>_xlfn.XLOOKUP(D2193,Master[Product_Code],Master[Size])</f>
        <v>44</v>
      </c>
      <c r="K2193" s="8" t="str">
        <f>_xlfn.XLOOKUP(D2193,Master[Product_Code],Master[Color])</f>
        <v>Teal</v>
      </c>
      <c r="L2193" s="3">
        <f>_xlfn.XLOOKUP(D2193,Master[Product_Code],Master[Selling_Price])</f>
        <v>900</v>
      </c>
    </row>
    <row r="2194" spans="2:12">
      <c r="B2194" s="2" t="s">
        <v>2671</v>
      </c>
      <c r="C2194" s="7">
        <v>46003</v>
      </c>
      <c r="D2194" s="2" t="s">
        <v>459</v>
      </c>
      <c r="E2194" s="4">
        <v>1</v>
      </c>
      <c r="F2194" s="8" t="str">
        <f>_xlfn.XLOOKUP(D2194,Master[Product_Code],Master[Category])</f>
        <v>T-Shirt</v>
      </c>
      <c r="G2194" s="8" t="str">
        <f>_xlfn.XLOOKUP(D2194,Master[Product_Code],Master[Brand])</f>
        <v>Roadster</v>
      </c>
      <c r="H2194" s="8" t="str">
        <f>_xlfn.XLOOKUP(D2194,Master[Product_Code],Master[Style])</f>
        <v>Full Sleeve</v>
      </c>
      <c r="I2194" s="8" t="str">
        <f>_xlfn.XLOOKUP(D2194,Master[Product_Code],Master[Fabric])</f>
        <v>Cotton Blend</v>
      </c>
      <c r="J2194" s="8" t="str">
        <f>_xlfn.XLOOKUP(D2194,Master[Product_Code],Master[Size])</f>
        <v>L</v>
      </c>
      <c r="K2194" s="8" t="str">
        <f>_xlfn.XLOOKUP(D2194,Master[Product_Code],Master[Color])</f>
        <v>Olive</v>
      </c>
      <c r="L2194" s="3">
        <f>_xlfn.XLOOKUP(D2194,Master[Product_Code],Master[Selling_Price])</f>
        <v>440</v>
      </c>
    </row>
    <row r="2195" spans="2:12">
      <c r="B2195" s="2" t="s">
        <v>2671</v>
      </c>
      <c r="C2195" s="7">
        <v>46003</v>
      </c>
      <c r="D2195" s="2" t="s">
        <v>653</v>
      </c>
      <c r="E2195" s="4">
        <v>1</v>
      </c>
      <c r="F2195" s="8" t="str">
        <f>_xlfn.XLOOKUP(D2195,Master[Product_Code],Master[Category])</f>
        <v>T-Shirt</v>
      </c>
      <c r="G2195" s="8" t="str">
        <f>_xlfn.XLOOKUP(D2195,Master[Product_Code],Master[Brand])</f>
        <v>Max</v>
      </c>
      <c r="H2195" s="8" t="str">
        <f>_xlfn.XLOOKUP(D2195,Master[Product_Code],Master[Style])</f>
        <v>Full Sleeve</v>
      </c>
      <c r="I2195" s="8" t="str">
        <f>_xlfn.XLOOKUP(D2195,Master[Product_Code],Master[Fabric])</f>
        <v>Cotton Blend</v>
      </c>
      <c r="J2195" s="8" t="str">
        <f>_xlfn.XLOOKUP(D2195,Master[Product_Code],Master[Size])</f>
        <v>M</v>
      </c>
      <c r="K2195" s="8" t="str">
        <f>_xlfn.XLOOKUP(D2195,Master[Product_Code],Master[Color])</f>
        <v>Navy Blue</v>
      </c>
      <c r="L2195" s="3">
        <f>_xlfn.XLOOKUP(D2195,Master[Product_Code],Master[Selling_Price])</f>
        <v>620</v>
      </c>
    </row>
    <row r="2196" spans="2:12">
      <c r="B2196" s="2" t="s">
        <v>2672</v>
      </c>
      <c r="C2196" s="7">
        <v>46003</v>
      </c>
      <c r="D2196" s="2" t="s">
        <v>1613</v>
      </c>
      <c r="E2196" s="4">
        <v>1</v>
      </c>
      <c r="F2196" s="8" t="str">
        <f>_xlfn.XLOOKUP(D2196,Master[Product_Code],Master[Category])</f>
        <v>Innerwear</v>
      </c>
      <c r="G2196" s="8" t="str">
        <f>_xlfn.XLOOKUP(D2196,Master[Product_Code],Master[Brand])</f>
        <v>Dollar</v>
      </c>
      <c r="H2196" s="8" t="str">
        <f>_xlfn.XLOOKUP(D2196,Master[Product_Code],Master[Style])</f>
        <v>V-Cut</v>
      </c>
      <c r="I2196" s="8" t="str">
        <f>_xlfn.XLOOKUP(D2196,Master[Product_Code],Master[Fabric])</f>
        <v>Cotton</v>
      </c>
      <c r="J2196" s="8" t="str">
        <f>_xlfn.XLOOKUP(D2196,Master[Product_Code],Master[Size])</f>
        <v>90-100</v>
      </c>
      <c r="K2196" s="8" t="str">
        <f>_xlfn.XLOOKUP(D2196,Master[Product_Code],Master[Color])</f>
        <v>Peach</v>
      </c>
      <c r="L2196" s="3">
        <f>_xlfn.XLOOKUP(D2196,Master[Product_Code],Master[Selling_Price])</f>
        <v>170</v>
      </c>
    </row>
    <row r="2197" spans="2:12">
      <c r="B2197" s="2" t="s">
        <v>2673</v>
      </c>
      <c r="C2197" s="7">
        <v>46003</v>
      </c>
      <c r="D2197" s="2" t="s">
        <v>335</v>
      </c>
      <c r="E2197" s="4">
        <v>1</v>
      </c>
      <c r="F2197" s="8" t="str">
        <f>_xlfn.XLOOKUP(D2197,Master[Product_Code],Master[Category])</f>
        <v>Shirt</v>
      </c>
      <c r="G2197" s="8" t="str">
        <f>_xlfn.XLOOKUP(D2197,Master[Product_Code],Master[Brand])</f>
        <v>British</v>
      </c>
      <c r="H2197" s="8" t="str">
        <f>_xlfn.XLOOKUP(D2197,Master[Product_Code],Master[Style])</f>
        <v>Partywear</v>
      </c>
      <c r="I2197" s="8" t="str">
        <f>_xlfn.XLOOKUP(D2197,Master[Product_Code],Master[Fabric])</f>
        <v>Cotton Blend</v>
      </c>
      <c r="J2197" s="8" t="str">
        <f>_xlfn.XLOOKUP(D2197,Master[Product_Code],Master[Size])</f>
        <v>XL</v>
      </c>
      <c r="K2197" s="8" t="str">
        <f>_xlfn.XLOOKUP(D2197,Master[Product_Code],Master[Color])</f>
        <v>Maroon</v>
      </c>
      <c r="L2197" s="3">
        <f>_xlfn.XLOOKUP(D2197,Master[Product_Code],Master[Selling_Price])</f>
        <v>940</v>
      </c>
    </row>
    <row r="2198" spans="2:12">
      <c r="B2198" s="2" t="s">
        <v>2673</v>
      </c>
      <c r="C2198" s="7">
        <v>46003</v>
      </c>
      <c r="D2198" s="2" t="s">
        <v>949</v>
      </c>
      <c r="E2198" s="4">
        <v>1</v>
      </c>
      <c r="F2198" s="8" t="str">
        <f>_xlfn.XLOOKUP(D2198,Master[Product_Code],Master[Category])</f>
        <v>Jeans</v>
      </c>
      <c r="G2198" s="8" t="str">
        <f>_xlfn.XLOOKUP(D2198,Master[Product_Code],Master[Brand])</f>
        <v>Pepe</v>
      </c>
      <c r="H2198" s="8" t="str">
        <f>_xlfn.XLOOKUP(D2198,Master[Product_Code],Master[Style])</f>
        <v>Baggy</v>
      </c>
      <c r="I2198" s="8" t="str">
        <f>_xlfn.XLOOKUP(D2198,Master[Product_Code],Master[Fabric])</f>
        <v>Denim</v>
      </c>
      <c r="J2198" s="8">
        <f>_xlfn.XLOOKUP(D2198,Master[Product_Code],Master[Size])</f>
        <v>34</v>
      </c>
      <c r="K2198" s="8" t="str">
        <f>_xlfn.XLOOKUP(D2198,Master[Product_Code],Master[Color])</f>
        <v>Grey</v>
      </c>
      <c r="L2198" s="3">
        <f>_xlfn.XLOOKUP(D2198,Master[Product_Code],Master[Selling_Price])</f>
        <v>1040</v>
      </c>
    </row>
    <row r="2199" spans="2:12">
      <c r="B2199" s="2" t="s">
        <v>2673</v>
      </c>
      <c r="C2199" s="7">
        <v>46003</v>
      </c>
      <c r="D2199" s="2" t="s">
        <v>1372</v>
      </c>
      <c r="E2199" s="4">
        <v>1</v>
      </c>
      <c r="F2199" s="8" t="str">
        <f>_xlfn.XLOOKUP(D2199,Master[Product_Code],Master[Category])</f>
        <v>Pants</v>
      </c>
      <c r="G2199" s="8" t="str">
        <f>_xlfn.XLOOKUP(D2199,Master[Product_Code],Master[Brand])</f>
        <v>Park Avenue</v>
      </c>
      <c r="H2199" s="8" t="str">
        <f>_xlfn.XLOOKUP(D2199,Master[Product_Code],Master[Style])</f>
        <v>Korean</v>
      </c>
      <c r="I2199" s="8" t="str">
        <f>_xlfn.XLOOKUP(D2199,Master[Product_Code],Master[Fabric])</f>
        <v>Lycra</v>
      </c>
      <c r="J2199" s="8">
        <f>_xlfn.XLOOKUP(D2199,Master[Product_Code],Master[Size])</f>
        <v>28</v>
      </c>
      <c r="K2199" s="8" t="str">
        <f>_xlfn.XLOOKUP(D2199,Master[Product_Code],Master[Color])</f>
        <v>White</v>
      </c>
      <c r="L2199" s="3">
        <f>_xlfn.XLOOKUP(D2199,Master[Product_Code],Master[Selling_Price])</f>
        <v>720</v>
      </c>
    </row>
    <row r="2200" spans="2:12">
      <c r="B2200" s="2" t="s">
        <v>2673</v>
      </c>
      <c r="C2200" s="7">
        <v>46003</v>
      </c>
      <c r="D2200" s="2" t="s">
        <v>458</v>
      </c>
      <c r="E2200" s="4">
        <v>1</v>
      </c>
      <c r="F2200" s="8" t="str">
        <f>_xlfn.XLOOKUP(D2200,Master[Product_Code],Master[Category])</f>
        <v>T-Shirt</v>
      </c>
      <c r="G2200" s="8" t="str">
        <f>_xlfn.XLOOKUP(D2200,Master[Product_Code],Master[Brand])</f>
        <v>Max</v>
      </c>
      <c r="H2200" s="8" t="str">
        <f>_xlfn.XLOOKUP(D2200,Master[Product_Code],Master[Style])</f>
        <v>3/4 Sleeve</v>
      </c>
      <c r="I2200" s="8" t="str">
        <f>_xlfn.XLOOKUP(D2200,Master[Product_Code],Master[Fabric])</f>
        <v>Cotton Blend</v>
      </c>
      <c r="J2200" s="8" t="str">
        <f>_xlfn.XLOOKUP(D2200,Master[Product_Code],Master[Size])</f>
        <v>XXL</v>
      </c>
      <c r="K2200" s="8" t="str">
        <f>_xlfn.XLOOKUP(D2200,Master[Product_Code],Master[Color])</f>
        <v>Maroon</v>
      </c>
      <c r="L2200" s="3">
        <f>_xlfn.XLOOKUP(D2200,Master[Product_Code],Master[Selling_Price])</f>
        <v>440</v>
      </c>
    </row>
    <row r="2201" spans="2:12">
      <c r="B2201" s="2" t="s">
        <v>2674</v>
      </c>
      <c r="C2201" s="7">
        <v>46003</v>
      </c>
      <c r="D2201" s="2" t="s">
        <v>637</v>
      </c>
      <c r="E2201" s="4">
        <v>1</v>
      </c>
      <c r="F2201" s="8" t="str">
        <f>_xlfn.XLOOKUP(D2201,Master[Product_Code],Master[Category])</f>
        <v>T-Shirt</v>
      </c>
      <c r="G2201" s="8" t="str">
        <f>_xlfn.XLOOKUP(D2201,Master[Product_Code],Master[Brand])</f>
        <v>Thailand</v>
      </c>
      <c r="H2201" s="8" t="str">
        <f>_xlfn.XLOOKUP(D2201,Master[Product_Code],Master[Style])</f>
        <v>Hoodie</v>
      </c>
      <c r="I2201" s="8" t="str">
        <f>_xlfn.XLOOKUP(D2201,Master[Product_Code],Master[Fabric])</f>
        <v>Cotton Blend</v>
      </c>
      <c r="J2201" s="8" t="str">
        <f>_xlfn.XLOOKUP(D2201,Master[Product_Code],Master[Size])</f>
        <v>L</v>
      </c>
      <c r="K2201" s="8" t="str">
        <f>_xlfn.XLOOKUP(D2201,Master[Product_Code],Master[Color])</f>
        <v>Bottle Green</v>
      </c>
      <c r="L2201" s="3">
        <f>_xlfn.XLOOKUP(D2201,Master[Product_Code],Master[Selling_Price])</f>
        <v>370</v>
      </c>
    </row>
    <row r="2202" spans="2:12">
      <c r="B2202" s="2" t="s">
        <v>2674</v>
      </c>
      <c r="C2202" s="7">
        <v>46003</v>
      </c>
      <c r="D2202" s="2" t="s">
        <v>129</v>
      </c>
      <c r="E2202" s="4">
        <v>1</v>
      </c>
      <c r="F2202" s="8" t="str">
        <f>_xlfn.XLOOKUP(D2202,Master[Product_Code],Master[Category])</f>
        <v>Shirt</v>
      </c>
      <c r="G2202" s="8" t="str">
        <f>_xlfn.XLOOKUP(D2202,Master[Product_Code],Master[Brand])</f>
        <v>L7</v>
      </c>
      <c r="H2202" s="8" t="str">
        <f>_xlfn.XLOOKUP(D2202,Master[Product_Code],Master[Style])</f>
        <v>Casual</v>
      </c>
      <c r="I2202" s="8" t="str">
        <f>_xlfn.XLOOKUP(D2202,Master[Product_Code],Master[Fabric])</f>
        <v>Lycra</v>
      </c>
      <c r="J2202" s="8" t="str">
        <f>_xlfn.XLOOKUP(D2202,Master[Product_Code],Master[Size])</f>
        <v>XL</v>
      </c>
      <c r="K2202" s="8" t="str">
        <f>_xlfn.XLOOKUP(D2202,Master[Product_Code],Master[Color])</f>
        <v>Wine</v>
      </c>
      <c r="L2202" s="3">
        <f>_xlfn.XLOOKUP(D2202,Master[Product_Code],Master[Selling_Price])</f>
        <v>930</v>
      </c>
    </row>
    <row r="2203" spans="2:12">
      <c r="B2203" s="2" t="s">
        <v>2674</v>
      </c>
      <c r="C2203" s="7">
        <v>46003</v>
      </c>
      <c r="D2203" s="2" t="s">
        <v>1020</v>
      </c>
      <c r="E2203" s="4">
        <v>1</v>
      </c>
      <c r="F2203" s="8" t="str">
        <f>_xlfn.XLOOKUP(D2203,Master[Product_Code],Master[Category])</f>
        <v>Jeans</v>
      </c>
      <c r="G2203" s="8" t="str">
        <f>_xlfn.XLOOKUP(D2203,Master[Product_Code],Master[Brand])</f>
        <v>Spykar</v>
      </c>
      <c r="H2203" s="8" t="str">
        <f>_xlfn.XLOOKUP(D2203,Master[Product_Code],Master[Style])</f>
        <v>Jogger</v>
      </c>
      <c r="I2203" s="8" t="str">
        <f>_xlfn.XLOOKUP(D2203,Master[Product_Code],Master[Fabric])</f>
        <v>Denim</v>
      </c>
      <c r="J2203" s="8">
        <f>_xlfn.XLOOKUP(D2203,Master[Product_Code],Master[Size])</f>
        <v>32</v>
      </c>
      <c r="K2203" s="8" t="str">
        <f>_xlfn.XLOOKUP(D2203,Master[Product_Code],Master[Color])</f>
        <v>Maroon</v>
      </c>
      <c r="L2203" s="3">
        <f>_xlfn.XLOOKUP(D2203,Master[Product_Code],Master[Selling_Price])</f>
        <v>850</v>
      </c>
    </row>
    <row r="2204" spans="2:12">
      <c r="B2204" s="2" t="s">
        <v>2674</v>
      </c>
      <c r="C2204" s="7">
        <v>46003</v>
      </c>
      <c r="D2204" s="2" t="s">
        <v>87</v>
      </c>
      <c r="E2204" s="4">
        <v>1</v>
      </c>
      <c r="F2204" s="8" t="str">
        <f>_xlfn.XLOOKUP(D2204,Master[Product_Code],Master[Category])</f>
        <v>Shirt</v>
      </c>
      <c r="G2204" s="8" t="str">
        <f>_xlfn.XLOOKUP(D2204,Master[Product_Code],Master[Brand])</f>
        <v>Luke &amp; Burg</v>
      </c>
      <c r="H2204" s="8" t="str">
        <f>_xlfn.XLOOKUP(D2204,Master[Product_Code],Master[Style])</f>
        <v>Formal</v>
      </c>
      <c r="I2204" s="8" t="str">
        <f>_xlfn.XLOOKUP(D2204,Master[Product_Code],Master[Fabric])</f>
        <v>Lycra</v>
      </c>
      <c r="J2204" s="8" t="str">
        <f>_xlfn.XLOOKUP(D2204,Master[Product_Code],Master[Size])</f>
        <v>XL</v>
      </c>
      <c r="K2204" s="8" t="str">
        <f>_xlfn.XLOOKUP(D2204,Master[Product_Code],Master[Color])</f>
        <v>Black</v>
      </c>
      <c r="L2204" s="3">
        <f>_xlfn.XLOOKUP(D2204,Master[Product_Code],Master[Selling_Price])</f>
        <v>940</v>
      </c>
    </row>
    <row r="2205" spans="2:12">
      <c r="B2205" s="2" t="s">
        <v>2675</v>
      </c>
      <c r="C2205" s="7">
        <v>46003</v>
      </c>
      <c r="D2205" s="2" t="s">
        <v>265</v>
      </c>
      <c r="E2205" s="4">
        <v>1</v>
      </c>
      <c r="F2205" s="8" t="str">
        <f>_xlfn.XLOOKUP(D2205,Master[Product_Code],Master[Category])</f>
        <v>Shirt</v>
      </c>
      <c r="G2205" s="8" t="str">
        <f>_xlfn.XLOOKUP(D2205,Master[Product_Code],Master[Brand])</f>
        <v>G Studio</v>
      </c>
      <c r="H2205" s="8" t="str">
        <f>_xlfn.XLOOKUP(D2205,Master[Product_Code],Master[Style])</f>
        <v>Formal</v>
      </c>
      <c r="I2205" s="8" t="str">
        <f>_xlfn.XLOOKUP(D2205,Master[Product_Code],Master[Fabric])</f>
        <v>Lycra</v>
      </c>
      <c r="J2205" s="8" t="str">
        <f>_xlfn.XLOOKUP(D2205,Master[Product_Code],Master[Size])</f>
        <v>S</v>
      </c>
      <c r="K2205" s="8" t="str">
        <f>_xlfn.XLOOKUP(D2205,Master[Product_Code],Master[Color])</f>
        <v>Olive</v>
      </c>
      <c r="L2205" s="3">
        <f>_xlfn.XLOOKUP(D2205,Master[Product_Code],Master[Selling_Price])</f>
        <v>720</v>
      </c>
    </row>
    <row r="2206" spans="2:12">
      <c r="B2206" s="2" t="s">
        <v>2675</v>
      </c>
      <c r="C2206" s="7">
        <v>46003</v>
      </c>
      <c r="D2206" s="2" t="s">
        <v>1616</v>
      </c>
      <c r="E2206" s="4">
        <v>1</v>
      </c>
      <c r="F2206" s="8" t="str">
        <f>_xlfn.XLOOKUP(D2206,Master[Product_Code],Master[Category])</f>
        <v>Innerwear</v>
      </c>
      <c r="G2206" s="8" t="str">
        <f>_xlfn.XLOOKUP(D2206,Master[Product_Code],Master[Brand])</f>
        <v>Jockey</v>
      </c>
      <c r="H2206" s="8" t="str">
        <f>_xlfn.XLOOKUP(D2206,Master[Product_Code],Master[Style])</f>
        <v>V-Cut</v>
      </c>
      <c r="I2206" s="8" t="str">
        <f>_xlfn.XLOOKUP(D2206,Master[Product_Code],Master[Fabric])</f>
        <v>Cotton Blend</v>
      </c>
      <c r="J2206" s="8" t="str">
        <f>_xlfn.XLOOKUP(D2206,Master[Product_Code],Master[Size])</f>
        <v>75-80</v>
      </c>
      <c r="K2206" s="8" t="str">
        <f>_xlfn.XLOOKUP(D2206,Master[Product_Code],Master[Color])</f>
        <v>Cream</v>
      </c>
      <c r="L2206" s="3">
        <f>_xlfn.XLOOKUP(D2206,Master[Product_Code],Master[Selling_Price])</f>
        <v>160</v>
      </c>
    </row>
    <row r="2207" spans="2:12">
      <c r="B2207" s="2" t="s">
        <v>2675</v>
      </c>
      <c r="C2207" s="7">
        <v>46003</v>
      </c>
      <c r="D2207" s="2" t="s">
        <v>1049</v>
      </c>
      <c r="E2207" s="4">
        <v>1</v>
      </c>
      <c r="F2207" s="8" t="str">
        <f>_xlfn.XLOOKUP(D2207,Master[Product_Code],Master[Category])</f>
        <v>Jeans</v>
      </c>
      <c r="G2207" s="8" t="str">
        <f>_xlfn.XLOOKUP(D2207,Master[Product_Code],Master[Brand])</f>
        <v>Denim Pro</v>
      </c>
      <c r="H2207" s="8" t="str">
        <f>_xlfn.XLOOKUP(D2207,Master[Product_Code],Master[Style])</f>
        <v>Baggy</v>
      </c>
      <c r="I2207" s="8" t="str">
        <f>_xlfn.XLOOKUP(D2207,Master[Product_Code],Master[Fabric])</f>
        <v>Denim</v>
      </c>
      <c r="J2207" s="8">
        <f>_xlfn.XLOOKUP(D2207,Master[Product_Code],Master[Size])</f>
        <v>36</v>
      </c>
      <c r="K2207" s="8" t="str">
        <f>_xlfn.XLOOKUP(D2207,Master[Product_Code],Master[Color])</f>
        <v>Maroon</v>
      </c>
      <c r="L2207" s="3">
        <f>_xlfn.XLOOKUP(D2207,Master[Product_Code],Master[Selling_Price])</f>
        <v>1010</v>
      </c>
    </row>
    <row r="2208" spans="2:12">
      <c r="B2208" s="2" t="s">
        <v>2675</v>
      </c>
      <c r="C2208" s="7">
        <v>46003</v>
      </c>
      <c r="D2208" s="2" t="s">
        <v>1717</v>
      </c>
      <c r="E2208" s="4">
        <v>1</v>
      </c>
      <c r="F2208" s="8" t="str">
        <f>_xlfn.XLOOKUP(D2208,Master[Product_Code],Master[Category])</f>
        <v>Innerwear</v>
      </c>
      <c r="G2208" s="8" t="str">
        <f>_xlfn.XLOOKUP(D2208,Master[Product_Code],Master[Brand])</f>
        <v>Rupa</v>
      </c>
      <c r="H2208" s="8" t="str">
        <f>_xlfn.XLOOKUP(D2208,Master[Product_Code],Master[Style])</f>
        <v>V-Cut</v>
      </c>
      <c r="I2208" s="8" t="str">
        <f>_xlfn.XLOOKUP(D2208,Master[Product_Code],Master[Fabric])</f>
        <v>Cotton</v>
      </c>
      <c r="J2208" s="8" t="str">
        <f>_xlfn.XLOOKUP(D2208,Master[Product_Code],Master[Size])</f>
        <v>75-80</v>
      </c>
      <c r="K2208" s="8" t="str">
        <f>_xlfn.XLOOKUP(D2208,Master[Product_Code],Master[Color])</f>
        <v>Bottle Green</v>
      </c>
      <c r="L2208" s="3">
        <f>_xlfn.XLOOKUP(D2208,Master[Product_Code],Master[Selling_Price])</f>
        <v>180</v>
      </c>
    </row>
    <row r="2209" spans="2:12">
      <c r="B2209" s="2" t="s">
        <v>2676</v>
      </c>
      <c r="C2209" s="7">
        <v>46003</v>
      </c>
      <c r="D2209" s="2" t="s">
        <v>275</v>
      </c>
      <c r="E2209" s="4">
        <v>1</v>
      </c>
      <c r="F2209" s="8" t="str">
        <f>_xlfn.XLOOKUP(D2209,Master[Product_Code],Master[Category])</f>
        <v>Shirt</v>
      </c>
      <c r="G2209" s="8" t="str">
        <f>_xlfn.XLOOKUP(D2209,Master[Product_Code],Master[Brand])</f>
        <v>H&amp;M</v>
      </c>
      <c r="H2209" s="8" t="str">
        <f>_xlfn.XLOOKUP(D2209,Master[Product_Code],Master[Style])</f>
        <v>Partywear</v>
      </c>
      <c r="I2209" s="8" t="str">
        <f>_xlfn.XLOOKUP(D2209,Master[Product_Code],Master[Fabric])</f>
        <v>Polyester</v>
      </c>
      <c r="J2209" s="8" t="str">
        <f>_xlfn.XLOOKUP(D2209,Master[Product_Code],Master[Size])</f>
        <v>L</v>
      </c>
      <c r="K2209" s="8" t="str">
        <f>_xlfn.XLOOKUP(D2209,Master[Product_Code],Master[Color])</f>
        <v>Beige</v>
      </c>
      <c r="L2209" s="3">
        <f>_xlfn.XLOOKUP(D2209,Master[Product_Code],Master[Selling_Price])</f>
        <v>660</v>
      </c>
    </row>
    <row r="2210" spans="2:12">
      <c r="B2210" s="2" t="s">
        <v>2677</v>
      </c>
      <c r="C2210" s="7">
        <v>46003</v>
      </c>
      <c r="D2210" s="2" t="s">
        <v>320</v>
      </c>
      <c r="E2210" s="4">
        <v>1</v>
      </c>
      <c r="F2210" s="8" t="str">
        <f>_xlfn.XLOOKUP(D2210,Master[Product_Code],Master[Category])</f>
        <v>Shirt</v>
      </c>
      <c r="G2210" s="8" t="str">
        <f>_xlfn.XLOOKUP(D2210,Master[Product_Code],Master[Brand])</f>
        <v>Thailand</v>
      </c>
      <c r="H2210" s="8" t="str">
        <f>_xlfn.XLOOKUP(D2210,Master[Product_Code],Master[Style])</f>
        <v>Formal</v>
      </c>
      <c r="I2210" s="8" t="str">
        <f>_xlfn.XLOOKUP(D2210,Master[Product_Code],Master[Fabric])</f>
        <v>Lycra</v>
      </c>
      <c r="J2210" s="8" t="str">
        <f>_xlfn.XLOOKUP(D2210,Master[Product_Code],Master[Size])</f>
        <v>L</v>
      </c>
      <c r="K2210" s="8" t="str">
        <f>_xlfn.XLOOKUP(D2210,Master[Product_Code],Master[Color])</f>
        <v>Wine</v>
      </c>
      <c r="L2210" s="3">
        <f>_xlfn.XLOOKUP(D2210,Master[Product_Code],Master[Selling_Price])</f>
        <v>950</v>
      </c>
    </row>
    <row r="2211" spans="2:12">
      <c r="B2211" s="2" t="s">
        <v>2677</v>
      </c>
      <c r="C2211" s="7">
        <v>46003</v>
      </c>
      <c r="D2211" s="2" t="s">
        <v>473</v>
      </c>
      <c r="E2211" s="4">
        <v>1</v>
      </c>
      <c r="F2211" s="8" t="str">
        <f>_xlfn.XLOOKUP(D2211,Master[Product_Code],Master[Category])</f>
        <v>T-Shirt</v>
      </c>
      <c r="G2211" s="8" t="str">
        <f>_xlfn.XLOOKUP(D2211,Master[Product_Code],Master[Brand])</f>
        <v>Roadster</v>
      </c>
      <c r="H2211" s="8" t="str">
        <f>_xlfn.XLOOKUP(D2211,Master[Product_Code],Master[Style])</f>
        <v>Sleeveless</v>
      </c>
      <c r="I2211" s="8" t="str">
        <f>_xlfn.XLOOKUP(D2211,Master[Product_Code],Master[Fabric])</f>
        <v>Cotton Blend</v>
      </c>
      <c r="J2211" s="8" t="str">
        <f>_xlfn.XLOOKUP(D2211,Master[Product_Code],Master[Size])</f>
        <v>XL</v>
      </c>
      <c r="K2211" s="8" t="str">
        <f>_xlfn.XLOOKUP(D2211,Master[Product_Code],Master[Color])</f>
        <v>Sky Blue</v>
      </c>
      <c r="L2211" s="3">
        <f>_xlfn.XLOOKUP(D2211,Master[Product_Code],Master[Selling_Price])</f>
        <v>360</v>
      </c>
    </row>
    <row r="2212" spans="2:12">
      <c r="B2212" s="2" t="s">
        <v>2678</v>
      </c>
      <c r="C2212" s="7">
        <v>46003</v>
      </c>
      <c r="D2212" s="2" t="s">
        <v>1092</v>
      </c>
      <c r="E2212" s="4">
        <v>1</v>
      </c>
      <c r="F2212" s="8" t="str">
        <f>_xlfn.XLOOKUP(D2212,Master[Product_Code],Master[Category])</f>
        <v>Jeans</v>
      </c>
      <c r="G2212" s="8" t="str">
        <f>_xlfn.XLOOKUP(D2212,Master[Product_Code],Master[Brand])</f>
        <v>Wrangler</v>
      </c>
      <c r="H2212" s="8" t="str">
        <f>_xlfn.XLOOKUP(D2212,Master[Product_Code],Master[Style])</f>
        <v>Baggy</v>
      </c>
      <c r="I2212" s="8" t="str">
        <f>_xlfn.XLOOKUP(D2212,Master[Product_Code],Master[Fabric])</f>
        <v>Denim</v>
      </c>
      <c r="J2212" s="8">
        <f>_xlfn.XLOOKUP(D2212,Master[Product_Code],Master[Size])</f>
        <v>28</v>
      </c>
      <c r="K2212" s="8" t="str">
        <f>_xlfn.XLOOKUP(D2212,Master[Product_Code],Master[Color])</f>
        <v>Dark Green</v>
      </c>
      <c r="L2212" s="3">
        <f>_xlfn.XLOOKUP(D2212,Master[Product_Code],Master[Selling_Price])</f>
        <v>990</v>
      </c>
    </row>
    <row r="2213" spans="2:12">
      <c r="B2213" s="2" t="s">
        <v>2678</v>
      </c>
      <c r="C2213" s="7">
        <v>46003</v>
      </c>
      <c r="D2213" s="2" t="s">
        <v>769</v>
      </c>
      <c r="E2213" s="4">
        <v>1</v>
      </c>
      <c r="F2213" s="8" t="str">
        <f>_xlfn.XLOOKUP(D2213,Master[Product_Code],Master[Category])</f>
        <v>T-Shirt</v>
      </c>
      <c r="G2213" s="8" t="str">
        <f>_xlfn.XLOOKUP(D2213,Master[Product_Code],Master[Brand])</f>
        <v>Turkey</v>
      </c>
      <c r="H2213" s="8" t="str">
        <f>_xlfn.XLOOKUP(D2213,Master[Product_Code],Master[Style])</f>
        <v>Hoodie</v>
      </c>
      <c r="I2213" s="8" t="str">
        <f>_xlfn.XLOOKUP(D2213,Master[Product_Code],Master[Fabric])</f>
        <v>Cotton Blend</v>
      </c>
      <c r="J2213" s="8" t="str">
        <f>_xlfn.XLOOKUP(D2213,Master[Product_Code],Master[Size])</f>
        <v>L</v>
      </c>
      <c r="K2213" s="8" t="str">
        <f>_xlfn.XLOOKUP(D2213,Master[Product_Code],Master[Color])</f>
        <v>Teal</v>
      </c>
      <c r="L2213" s="3">
        <f>_xlfn.XLOOKUP(D2213,Master[Product_Code],Master[Selling_Price])</f>
        <v>480</v>
      </c>
    </row>
    <row r="2214" spans="2:12">
      <c r="B2214" s="2" t="s">
        <v>2679</v>
      </c>
      <c r="C2214" s="7">
        <v>46003</v>
      </c>
      <c r="D2214" s="2" t="s">
        <v>1118</v>
      </c>
      <c r="E2214" s="4">
        <v>1</v>
      </c>
      <c r="F2214" s="8" t="str">
        <f>_xlfn.XLOOKUP(D2214,Master[Product_Code],Master[Category])</f>
        <v>Jeans</v>
      </c>
      <c r="G2214" s="8" t="str">
        <f>_xlfn.XLOOKUP(D2214,Master[Product_Code],Master[Brand])</f>
        <v>Levis</v>
      </c>
      <c r="H2214" s="8" t="str">
        <f>_xlfn.XLOOKUP(D2214,Master[Product_Code],Master[Style])</f>
        <v>Baggy</v>
      </c>
      <c r="I2214" s="8" t="str">
        <f>_xlfn.XLOOKUP(D2214,Master[Product_Code],Master[Fabric])</f>
        <v>Denim</v>
      </c>
      <c r="J2214" s="8">
        <f>_xlfn.XLOOKUP(D2214,Master[Product_Code],Master[Size])</f>
        <v>30</v>
      </c>
      <c r="K2214" s="8" t="str">
        <f>_xlfn.XLOOKUP(D2214,Master[Product_Code],Master[Color])</f>
        <v>Royal Blue</v>
      </c>
      <c r="L2214" s="3">
        <f>_xlfn.XLOOKUP(D2214,Master[Product_Code],Master[Selling_Price])</f>
        <v>880</v>
      </c>
    </row>
    <row r="2215" spans="2:12">
      <c r="B2215" s="2" t="s">
        <v>2679</v>
      </c>
      <c r="C2215" s="7">
        <v>46003</v>
      </c>
      <c r="D2215" s="2" t="s">
        <v>855</v>
      </c>
      <c r="E2215" s="4">
        <v>1</v>
      </c>
      <c r="F2215" s="8" t="str">
        <f>_xlfn.XLOOKUP(D2215,Master[Product_Code],Master[Category])</f>
        <v>Jeans</v>
      </c>
      <c r="G2215" s="8" t="str">
        <f>_xlfn.XLOOKUP(D2215,Master[Product_Code],Master[Brand])</f>
        <v>Levis</v>
      </c>
      <c r="H2215" s="8" t="str">
        <f>_xlfn.XLOOKUP(D2215,Master[Product_Code],Master[Style])</f>
        <v>Mom Fit</v>
      </c>
      <c r="I2215" s="8" t="str">
        <f>_xlfn.XLOOKUP(D2215,Master[Product_Code],Master[Fabric])</f>
        <v>Denim</v>
      </c>
      <c r="J2215" s="8">
        <f>_xlfn.XLOOKUP(D2215,Master[Product_Code],Master[Size])</f>
        <v>42</v>
      </c>
      <c r="K2215" s="8" t="str">
        <f>_xlfn.XLOOKUP(D2215,Master[Product_Code],Master[Color])</f>
        <v>Light Grey</v>
      </c>
      <c r="L2215" s="3">
        <f>_xlfn.XLOOKUP(D2215,Master[Product_Code],Master[Selling_Price])</f>
        <v>960</v>
      </c>
    </row>
    <row r="2216" spans="2:12">
      <c r="B2216" s="2" t="s">
        <v>2679</v>
      </c>
      <c r="C2216" s="7">
        <v>46003</v>
      </c>
      <c r="D2216" s="2" t="s">
        <v>753</v>
      </c>
      <c r="E2216" s="4">
        <v>1</v>
      </c>
      <c r="F2216" s="8" t="str">
        <f>_xlfn.XLOOKUP(D2216,Master[Product_Code],Master[Category])</f>
        <v>T-Shirt</v>
      </c>
      <c r="G2216" s="8" t="str">
        <f>_xlfn.XLOOKUP(D2216,Master[Product_Code],Master[Brand])</f>
        <v>Max</v>
      </c>
      <c r="H2216" s="8" t="str">
        <f>_xlfn.XLOOKUP(D2216,Master[Product_Code],Master[Style])</f>
        <v>Full Sleeve</v>
      </c>
      <c r="I2216" s="8" t="str">
        <f>_xlfn.XLOOKUP(D2216,Master[Product_Code],Master[Fabric])</f>
        <v>Cotton</v>
      </c>
      <c r="J2216" s="8" t="str">
        <f>_xlfn.XLOOKUP(D2216,Master[Product_Code],Master[Size])</f>
        <v>L</v>
      </c>
      <c r="K2216" s="8" t="str">
        <f>_xlfn.XLOOKUP(D2216,Master[Product_Code],Master[Color])</f>
        <v>Charcoal</v>
      </c>
      <c r="L2216" s="3">
        <f>_xlfn.XLOOKUP(D2216,Master[Product_Code],Master[Selling_Price])</f>
        <v>440</v>
      </c>
    </row>
    <row r="2217" spans="2:12">
      <c r="B2217" s="2" t="s">
        <v>2679</v>
      </c>
      <c r="C2217" s="7">
        <v>46003</v>
      </c>
      <c r="D2217" s="2" t="s">
        <v>982</v>
      </c>
      <c r="E2217" s="4">
        <v>1</v>
      </c>
      <c r="F2217" s="8" t="str">
        <f>_xlfn.XLOOKUP(D2217,Master[Product_Code],Master[Category])</f>
        <v>Jeans</v>
      </c>
      <c r="G2217" s="8" t="str">
        <f>_xlfn.XLOOKUP(D2217,Master[Product_Code],Master[Brand])</f>
        <v>Pepe</v>
      </c>
      <c r="H2217" s="8" t="str">
        <f>_xlfn.XLOOKUP(D2217,Master[Product_Code],Master[Style])</f>
        <v>Baggy</v>
      </c>
      <c r="I2217" s="8" t="str">
        <f>_xlfn.XLOOKUP(D2217,Master[Product_Code],Master[Fabric])</f>
        <v>Denim</v>
      </c>
      <c r="J2217" s="8">
        <f>_xlfn.XLOOKUP(D2217,Master[Product_Code],Master[Size])</f>
        <v>44</v>
      </c>
      <c r="K2217" s="8" t="str">
        <f>_xlfn.XLOOKUP(D2217,Master[Product_Code],Master[Color])</f>
        <v>Dark Green</v>
      </c>
      <c r="L2217" s="3">
        <f>_xlfn.XLOOKUP(D2217,Master[Product_Code],Master[Selling_Price])</f>
        <v>860</v>
      </c>
    </row>
    <row r="2218" spans="2:12">
      <c r="B2218" s="2" t="s">
        <v>2680</v>
      </c>
      <c r="C2218" s="7">
        <v>46003</v>
      </c>
      <c r="D2218" s="2" t="s">
        <v>795</v>
      </c>
      <c r="E2218" s="4">
        <v>1</v>
      </c>
      <c r="F2218" s="8" t="str">
        <f>_xlfn.XLOOKUP(D2218,Master[Product_Code],Master[Category])</f>
        <v>T-Shirt</v>
      </c>
      <c r="G2218" s="8" t="str">
        <f>_xlfn.XLOOKUP(D2218,Master[Product_Code],Master[Brand])</f>
        <v>Turkey</v>
      </c>
      <c r="H2218" s="8" t="str">
        <f>_xlfn.XLOOKUP(D2218,Master[Product_Code],Master[Style])</f>
        <v>Half Sleeve</v>
      </c>
      <c r="I2218" s="8" t="str">
        <f>_xlfn.XLOOKUP(D2218,Master[Product_Code],Master[Fabric])</f>
        <v>Cotton</v>
      </c>
      <c r="J2218" s="8" t="str">
        <f>_xlfn.XLOOKUP(D2218,Master[Product_Code],Master[Size])</f>
        <v>XXL</v>
      </c>
      <c r="K2218" s="8" t="str">
        <f>_xlfn.XLOOKUP(D2218,Master[Product_Code],Master[Color])</f>
        <v>Rust</v>
      </c>
      <c r="L2218" s="3">
        <f>_xlfn.XLOOKUP(D2218,Master[Product_Code],Master[Selling_Price])</f>
        <v>710</v>
      </c>
    </row>
    <row r="2219" spans="2:12">
      <c r="B2219" s="2" t="s">
        <v>2680</v>
      </c>
      <c r="C2219" s="7">
        <v>46003</v>
      </c>
      <c r="D2219" s="2" t="s">
        <v>721</v>
      </c>
      <c r="E2219" s="4">
        <v>1</v>
      </c>
      <c r="F2219" s="8" t="str">
        <f>_xlfn.XLOOKUP(D2219,Master[Product_Code],Master[Category])</f>
        <v>T-Shirt</v>
      </c>
      <c r="G2219" s="8" t="str">
        <f>_xlfn.XLOOKUP(D2219,Master[Product_Code],Master[Brand])</f>
        <v>Campus</v>
      </c>
      <c r="H2219" s="8" t="str">
        <f>_xlfn.XLOOKUP(D2219,Master[Product_Code],Master[Style])</f>
        <v>Hoodie</v>
      </c>
      <c r="I2219" s="8" t="str">
        <f>_xlfn.XLOOKUP(D2219,Master[Product_Code],Master[Fabric])</f>
        <v>Cotton</v>
      </c>
      <c r="J2219" s="8" t="str">
        <f>_xlfn.XLOOKUP(D2219,Master[Product_Code],Master[Size])</f>
        <v>XL</v>
      </c>
      <c r="K2219" s="8" t="str">
        <f>_xlfn.XLOOKUP(D2219,Master[Product_Code],Master[Color])</f>
        <v>White</v>
      </c>
      <c r="L2219" s="3">
        <f>_xlfn.XLOOKUP(D2219,Master[Product_Code],Master[Selling_Price])</f>
        <v>330</v>
      </c>
    </row>
    <row r="2220" spans="2:12">
      <c r="B2220" s="2" t="s">
        <v>2681</v>
      </c>
      <c r="C2220" s="7">
        <v>46003</v>
      </c>
      <c r="D2220" s="2" t="s">
        <v>883</v>
      </c>
      <c r="E2220" s="4">
        <v>1</v>
      </c>
      <c r="F2220" s="8" t="str">
        <f>_xlfn.XLOOKUP(D2220,Master[Product_Code],Master[Category])</f>
        <v>Jeans</v>
      </c>
      <c r="G2220" s="8" t="str">
        <f>_xlfn.XLOOKUP(D2220,Master[Product_Code],Master[Brand])</f>
        <v>Locomotive</v>
      </c>
      <c r="H2220" s="8" t="str">
        <f>_xlfn.XLOOKUP(D2220,Master[Product_Code],Master[Style])</f>
        <v>Jogger</v>
      </c>
      <c r="I2220" s="8" t="str">
        <f>_xlfn.XLOOKUP(D2220,Master[Product_Code],Master[Fabric])</f>
        <v>Denim</v>
      </c>
      <c r="J2220" s="8">
        <f>_xlfn.XLOOKUP(D2220,Master[Product_Code],Master[Size])</f>
        <v>42</v>
      </c>
      <c r="K2220" s="8" t="str">
        <f>_xlfn.XLOOKUP(D2220,Master[Product_Code],Master[Color])</f>
        <v>Grey</v>
      </c>
      <c r="L2220" s="3">
        <f>_xlfn.XLOOKUP(D2220,Master[Product_Code],Master[Selling_Price])</f>
        <v>880</v>
      </c>
    </row>
    <row r="2221" spans="2:12">
      <c r="B2221" s="2" t="s">
        <v>2681</v>
      </c>
      <c r="C2221" s="7">
        <v>46003</v>
      </c>
      <c r="D2221" s="2" t="s">
        <v>1184</v>
      </c>
      <c r="E2221" s="4">
        <v>1</v>
      </c>
      <c r="F2221" s="8" t="str">
        <f>_xlfn.XLOOKUP(D2221,Master[Product_Code],Master[Category])</f>
        <v>Pants</v>
      </c>
      <c r="G2221" s="8" t="str">
        <f>_xlfn.XLOOKUP(D2221,Master[Product_Code],Master[Brand])</f>
        <v>Louis Philippe</v>
      </c>
      <c r="H2221" s="8" t="str">
        <f>_xlfn.XLOOKUP(D2221,Master[Product_Code],Master[Style])</f>
        <v>Polofit</v>
      </c>
      <c r="I2221" s="8" t="str">
        <f>_xlfn.XLOOKUP(D2221,Master[Product_Code],Master[Fabric])</f>
        <v>Lycra</v>
      </c>
      <c r="J2221" s="8">
        <f>_xlfn.XLOOKUP(D2221,Master[Product_Code],Master[Size])</f>
        <v>28</v>
      </c>
      <c r="K2221" s="8" t="str">
        <f>_xlfn.XLOOKUP(D2221,Master[Product_Code],Master[Color])</f>
        <v>Peach</v>
      </c>
      <c r="L2221" s="3">
        <f>_xlfn.XLOOKUP(D2221,Master[Product_Code],Master[Selling_Price])</f>
        <v>730</v>
      </c>
    </row>
    <row r="2222" spans="2:12">
      <c r="B2222" s="2" t="s">
        <v>2681</v>
      </c>
      <c r="C2222" s="7">
        <v>46003</v>
      </c>
      <c r="D2222" s="2" t="s">
        <v>707</v>
      </c>
      <c r="E2222" s="4">
        <v>1</v>
      </c>
      <c r="F2222" s="8" t="str">
        <f>_xlfn.XLOOKUP(D2222,Master[Product_Code],Master[Category])</f>
        <v>T-Shirt</v>
      </c>
      <c r="G2222" s="8" t="str">
        <f>_xlfn.XLOOKUP(D2222,Master[Product_Code],Master[Brand])</f>
        <v>Urban Monkey</v>
      </c>
      <c r="H2222" s="8" t="str">
        <f>_xlfn.XLOOKUP(D2222,Master[Product_Code],Master[Style])</f>
        <v>Full Sleeve</v>
      </c>
      <c r="I2222" s="8" t="str">
        <f>_xlfn.XLOOKUP(D2222,Master[Product_Code],Master[Fabric])</f>
        <v>Cotton</v>
      </c>
      <c r="J2222" s="8" t="str">
        <f>_xlfn.XLOOKUP(D2222,Master[Product_Code],Master[Size])</f>
        <v>XL</v>
      </c>
      <c r="K2222" s="8" t="str">
        <f>_xlfn.XLOOKUP(D2222,Master[Product_Code],Master[Color])</f>
        <v>Royal Blue</v>
      </c>
      <c r="L2222" s="3">
        <f>_xlfn.XLOOKUP(D2222,Master[Product_Code],Master[Selling_Price])</f>
        <v>530</v>
      </c>
    </row>
    <row r="2223" spans="2:12">
      <c r="B2223" s="2" t="s">
        <v>2682</v>
      </c>
      <c r="C2223" s="7">
        <v>46003</v>
      </c>
      <c r="D2223" s="2" t="s">
        <v>1410</v>
      </c>
      <c r="E2223" s="4">
        <v>1</v>
      </c>
      <c r="F2223" s="8" t="str">
        <f>_xlfn.XLOOKUP(D2223,Master[Product_Code],Master[Category])</f>
        <v>Pants</v>
      </c>
      <c r="G2223" s="8" t="str">
        <f>_xlfn.XLOOKUP(D2223,Master[Product_Code],Master[Brand])</f>
        <v>Louis Philippe</v>
      </c>
      <c r="H2223" s="8" t="str">
        <f>_xlfn.XLOOKUP(D2223,Master[Product_Code],Master[Style])</f>
        <v>Boot Cut</v>
      </c>
      <c r="I2223" s="8" t="str">
        <f>_xlfn.XLOOKUP(D2223,Master[Product_Code],Master[Fabric])</f>
        <v>Cotton</v>
      </c>
      <c r="J2223" s="8">
        <f>_xlfn.XLOOKUP(D2223,Master[Product_Code],Master[Size])</f>
        <v>40</v>
      </c>
      <c r="K2223" s="8" t="str">
        <f>_xlfn.XLOOKUP(D2223,Master[Product_Code],Master[Color])</f>
        <v>Charcoal</v>
      </c>
      <c r="L2223" s="3">
        <f>_xlfn.XLOOKUP(D2223,Master[Product_Code],Master[Selling_Price])</f>
        <v>800</v>
      </c>
    </row>
    <row r="2224" spans="2:12">
      <c r="B2224" s="2" t="s">
        <v>2682</v>
      </c>
      <c r="C2224" s="7">
        <v>46003</v>
      </c>
      <c r="D2224" s="2" t="s">
        <v>634</v>
      </c>
      <c r="E2224" s="4">
        <v>1</v>
      </c>
      <c r="F2224" s="8" t="str">
        <f>_xlfn.XLOOKUP(D2224,Master[Product_Code],Master[Category])</f>
        <v>T-Shirt</v>
      </c>
      <c r="G2224" s="8" t="str">
        <f>_xlfn.XLOOKUP(D2224,Master[Product_Code],Master[Brand])</f>
        <v>Zara</v>
      </c>
      <c r="H2224" s="8" t="str">
        <f>_xlfn.XLOOKUP(D2224,Master[Product_Code],Master[Style])</f>
        <v>Full Sleeve</v>
      </c>
      <c r="I2224" s="8" t="str">
        <f>_xlfn.XLOOKUP(D2224,Master[Product_Code],Master[Fabric])</f>
        <v>Poly Cotton</v>
      </c>
      <c r="J2224" s="8" t="str">
        <f>_xlfn.XLOOKUP(D2224,Master[Product_Code],Master[Size])</f>
        <v>M</v>
      </c>
      <c r="K2224" s="8" t="str">
        <f>_xlfn.XLOOKUP(D2224,Master[Product_Code],Master[Color])</f>
        <v>Charcoal</v>
      </c>
      <c r="L2224" s="3">
        <f>_xlfn.XLOOKUP(D2224,Master[Product_Code],Master[Selling_Price])</f>
        <v>480</v>
      </c>
    </row>
    <row r="2225" spans="2:12">
      <c r="B2225" s="2" t="s">
        <v>2683</v>
      </c>
      <c r="C2225" s="7">
        <v>46004</v>
      </c>
      <c r="D2225" s="2" t="s">
        <v>1487</v>
      </c>
      <c r="E2225" s="4">
        <v>1</v>
      </c>
      <c r="F2225" s="8" t="str">
        <f>_xlfn.XLOOKUP(D2225,Master[Product_Code],Master[Category])</f>
        <v>Innerwear</v>
      </c>
      <c r="G2225" s="8" t="str">
        <f>_xlfn.XLOOKUP(D2225,Master[Product_Code],Master[Brand])</f>
        <v>Lux</v>
      </c>
      <c r="H2225" s="8" t="str">
        <f>_xlfn.XLOOKUP(D2225,Master[Product_Code],Master[Style])</f>
        <v>V-Cut</v>
      </c>
      <c r="I2225" s="8" t="str">
        <f>_xlfn.XLOOKUP(D2225,Master[Product_Code],Master[Fabric])</f>
        <v>Cotton Blend</v>
      </c>
      <c r="J2225" s="8" t="str">
        <f>_xlfn.XLOOKUP(D2225,Master[Product_Code],Master[Size])</f>
        <v>90-100</v>
      </c>
      <c r="K2225" s="8" t="str">
        <f>_xlfn.XLOOKUP(D2225,Master[Product_Code],Master[Color])</f>
        <v>Mustard</v>
      </c>
      <c r="L2225" s="3">
        <f>_xlfn.XLOOKUP(D2225,Master[Product_Code],Master[Selling_Price])</f>
        <v>180</v>
      </c>
    </row>
    <row r="2226" spans="2:12">
      <c r="B2226" s="2" t="s">
        <v>2683</v>
      </c>
      <c r="C2226" s="7">
        <v>46004</v>
      </c>
      <c r="D2226" s="2" t="s">
        <v>616</v>
      </c>
      <c r="E2226" s="4">
        <v>1</v>
      </c>
      <c r="F2226" s="8" t="str">
        <f>_xlfn.XLOOKUP(D2226,Master[Product_Code],Master[Category])</f>
        <v>T-Shirt</v>
      </c>
      <c r="G2226" s="8" t="str">
        <f>_xlfn.XLOOKUP(D2226,Master[Product_Code],Master[Brand])</f>
        <v>Max</v>
      </c>
      <c r="H2226" s="8" t="str">
        <f>_xlfn.XLOOKUP(D2226,Master[Product_Code],Master[Style])</f>
        <v>Hoodie</v>
      </c>
      <c r="I2226" s="8" t="str">
        <f>_xlfn.XLOOKUP(D2226,Master[Product_Code],Master[Fabric])</f>
        <v>Cotton Blend</v>
      </c>
      <c r="J2226" s="8" t="str">
        <f>_xlfn.XLOOKUP(D2226,Master[Product_Code],Master[Size])</f>
        <v>L</v>
      </c>
      <c r="K2226" s="8" t="str">
        <f>_xlfn.XLOOKUP(D2226,Master[Product_Code],Master[Color])</f>
        <v>Wine</v>
      </c>
      <c r="L2226" s="3">
        <f>_xlfn.XLOOKUP(D2226,Master[Product_Code],Master[Selling_Price])</f>
        <v>610</v>
      </c>
    </row>
    <row r="2227" spans="2:12">
      <c r="B2227" s="2" t="s">
        <v>2683</v>
      </c>
      <c r="C2227" s="7">
        <v>46004</v>
      </c>
      <c r="D2227" s="2" t="s">
        <v>498</v>
      </c>
      <c r="E2227" s="4">
        <v>1</v>
      </c>
      <c r="F2227" s="8" t="str">
        <f>_xlfn.XLOOKUP(D2227,Master[Product_Code],Master[Category])</f>
        <v>T-Shirt</v>
      </c>
      <c r="G2227" s="8" t="str">
        <f>_xlfn.XLOOKUP(D2227,Master[Product_Code],Master[Brand])</f>
        <v>Turkey</v>
      </c>
      <c r="H2227" s="8" t="str">
        <f>_xlfn.XLOOKUP(D2227,Master[Product_Code],Master[Style])</f>
        <v>Full Sleeve</v>
      </c>
      <c r="I2227" s="8" t="str">
        <f>_xlfn.XLOOKUP(D2227,Master[Product_Code],Master[Fabric])</f>
        <v>Cotton</v>
      </c>
      <c r="J2227" s="8" t="str">
        <f>_xlfn.XLOOKUP(D2227,Master[Product_Code],Master[Size])</f>
        <v>S</v>
      </c>
      <c r="K2227" s="8" t="str">
        <f>_xlfn.XLOOKUP(D2227,Master[Product_Code],Master[Color])</f>
        <v>Light Grey</v>
      </c>
      <c r="L2227" s="3">
        <f>_xlfn.XLOOKUP(D2227,Master[Product_Code],Master[Selling_Price])</f>
        <v>650</v>
      </c>
    </row>
    <row r="2228" spans="2:12">
      <c r="B2228" s="2" t="s">
        <v>2684</v>
      </c>
      <c r="C2228" s="7">
        <v>46004</v>
      </c>
      <c r="D2228" s="2" t="s">
        <v>1627</v>
      </c>
      <c r="E2228" s="4">
        <v>1</v>
      </c>
      <c r="F2228" s="8" t="str">
        <f>_xlfn.XLOOKUP(D2228,Master[Product_Code],Master[Category])</f>
        <v>Innerwear</v>
      </c>
      <c r="G2228" s="8" t="str">
        <f>_xlfn.XLOOKUP(D2228,Master[Product_Code],Master[Brand])</f>
        <v>Dollar</v>
      </c>
      <c r="H2228" s="8" t="str">
        <f>_xlfn.XLOOKUP(D2228,Master[Product_Code],Master[Style])</f>
        <v>V-Cut</v>
      </c>
      <c r="I2228" s="8" t="str">
        <f>_xlfn.XLOOKUP(D2228,Master[Product_Code],Master[Fabric])</f>
        <v>Cotton</v>
      </c>
      <c r="J2228" s="8" t="str">
        <f>_xlfn.XLOOKUP(D2228,Master[Product_Code],Master[Size])</f>
        <v>90-100</v>
      </c>
      <c r="K2228" s="8" t="str">
        <f>_xlfn.XLOOKUP(D2228,Master[Product_Code],Master[Color])</f>
        <v>Black</v>
      </c>
      <c r="L2228" s="3">
        <f>_xlfn.XLOOKUP(D2228,Master[Product_Code],Master[Selling_Price])</f>
        <v>100</v>
      </c>
    </row>
    <row r="2229" spans="2:12">
      <c r="B2229" s="2" t="s">
        <v>2685</v>
      </c>
      <c r="C2229" s="7">
        <v>46004</v>
      </c>
      <c r="D2229" s="2" t="s">
        <v>1520</v>
      </c>
      <c r="E2229" s="4">
        <v>1</v>
      </c>
      <c r="F2229" s="8" t="str">
        <f>_xlfn.XLOOKUP(D2229,Master[Product_Code],Master[Category])</f>
        <v>Innerwear</v>
      </c>
      <c r="G2229" s="8" t="str">
        <f>_xlfn.XLOOKUP(D2229,Master[Product_Code],Master[Brand])</f>
        <v>Dollar</v>
      </c>
      <c r="H2229" s="8" t="str">
        <f>_xlfn.XLOOKUP(D2229,Master[Product_Code],Master[Style])</f>
        <v>Boxer</v>
      </c>
      <c r="I2229" s="8" t="str">
        <f>_xlfn.XLOOKUP(D2229,Master[Product_Code],Master[Fabric])</f>
        <v>Cotton Blend</v>
      </c>
      <c r="J2229" s="8" t="str">
        <f>_xlfn.XLOOKUP(D2229,Master[Product_Code],Master[Size])</f>
        <v>75-80</v>
      </c>
      <c r="K2229" s="8" t="str">
        <f>_xlfn.XLOOKUP(D2229,Master[Product_Code],Master[Color])</f>
        <v>Mustard</v>
      </c>
      <c r="L2229" s="3">
        <f>_xlfn.XLOOKUP(D2229,Master[Product_Code],Master[Selling_Price])</f>
        <v>180</v>
      </c>
    </row>
    <row r="2230" spans="2:12">
      <c r="B2230" s="2" t="s">
        <v>2685</v>
      </c>
      <c r="C2230" s="7">
        <v>46004</v>
      </c>
      <c r="D2230" s="2" t="s">
        <v>212</v>
      </c>
      <c r="E2230" s="4">
        <v>1</v>
      </c>
      <c r="F2230" s="8" t="str">
        <f>_xlfn.XLOOKUP(D2230,Master[Product_Code],Master[Category])</f>
        <v>Shirt</v>
      </c>
      <c r="G2230" s="8" t="str">
        <f>_xlfn.XLOOKUP(D2230,Master[Product_Code],Master[Brand])</f>
        <v>Max</v>
      </c>
      <c r="H2230" s="8" t="str">
        <f>_xlfn.XLOOKUP(D2230,Master[Product_Code],Master[Style])</f>
        <v>Formal</v>
      </c>
      <c r="I2230" s="8" t="str">
        <f>_xlfn.XLOOKUP(D2230,Master[Product_Code],Master[Fabric])</f>
        <v>Cotton Blend</v>
      </c>
      <c r="J2230" s="8" t="str">
        <f>_xlfn.XLOOKUP(D2230,Master[Product_Code],Master[Size])</f>
        <v>M</v>
      </c>
      <c r="K2230" s="8" t="str">
        <f>_xlfn.XLOOKUP(D2230,Master[Product_Code],Master[Color])</f>
        <v>Navy Blue</v>
      </c>
      <c r="L2230" s="3">
        <f>_xlfn.XLOOKUP(D2230,Master[Product_Code],Master[Selling_Price])</f>
        <v>740</v>
      </c>
    </row>
    <row r="2231" spans="2:12">
      <c r="B2231" s="2" t="s">
        <v>2685</v>
      </c>
      <c r="C2231" s="7">
        <v>46004</v>
      </c>
      <c r="D2231" s="2" t="s">
        <v>1046</v>
      </c>
      <c r="E2231" s="4">
        <v>1</v>
      </c>
      <c r="F2231" s="8" t="str">
        <f>_xlfn.XLOOKUP(D2231,Master[Product_Code],Master[Category])</f>
        <v>Jeans</v>
      </c>
      <c r="G2231" s="8" t="str">
        <f>_xlfn.XLOOKUP(D2231,Master[Product_Code],Master[Brand])</f>
        <v>Denim Pro</v>
      </c>
      <c r="H2231" s="8" t="str">
        <f>_xlfn.XLOOKUP(D2231,Master[Product_Code],Master[Style])</f>
        <v>Baggy</v>
      </c>
      <c r="I2231" s="8" t="str">
        <f>_xlfn.XLOOKUP(D2231,Master[Product_Code],Master[Fabric])</f>
        <v>Denim</v>
      </c>
      <c r="J2231" s="8">
        <f>_xlfn.XLOOKUP(D2231,Master[Product_Code],Master[Size])</f>
        <v>34</v>
      </c>
      <c r="K2231" s="8" t="str">
        <f>_xlfn.XLOOKUP(D2231,Master[Product_Code],Master[Color])</f>
        <v>Light Grey</v>
      </c>
      <c r="L2231" s="3">
        <f>_xlfn.XLOOKUP(D2231,Master[Product_Code],Master[Selling_Price])</f>
        <v>850</v>
      </c>
    </row>
    <row r="2232" spans="2:12">
      <c r="B2232" s="2" t="s">
        <v>2685</v>
      </c>
      <c r="C2232" s="7">
        <v>46004</v>
      </c>
      <c r="D2232" s="2" t="s">
        <v>690</v>
      </c>
      <c r="E2232" s="4">
        <v>1</v>
      </c>
      <c r="F2232" s="8" t="str">
        <f>_xlfn.XLOOKUP(D2232,Master[Product_Code],Master[Category])</f>
        <v>T-Shirt</v>
      </c>
      <c r="G2232" s="8" t="str">
        <f>_xlfn.XLOOKUP(D2232,Master[Product_Code],Master[Brand])</f>
        <v>Urban Monkey</v>
      </c>
      <c r="H2232" s="8" t="str">
        <f>_xlfn.XLOOKUP(D2232,Master[Product_Code],Master[Style])</f>
        <v>Full Sleeve</v>
      </c>
      <c r="I2232" s="8" t="str">
        <f>_xlfn.XLOOKUP(D2232,Master[Product_Code],Master[Fabric])</f>
        <v>Cotton</v>
      </c>
      <c r="J2232" s="8" t="str">
        <f>_xlfn.XLOOKUP(D2232,Master[Product_Code],Master[Size])</f>
        <v>XL</v>
      </c>
      <c r="K2232" s="8" t="str">
        <f>_xlfn.XLOOKUP(D2232,Master[Product_Code],Master[Color])</f>
        <v>Cream</v>
      </c>
      <c r="L2232" s="3">
        <f>_xlfn.XLOOKUP(D2232,Master[Product_Code],Master[Selling_Price])</f>
        <v>500</v>
      </c>
    </row>
    <row r="2233" spans="2:12">
      <c r="B2233" s="2" t="s">
        <v>2686</v>
      </c>
      <c r="C2233" s="7">
        <v>46004</v>
      </c>
      <c r="D2233" s="2" t="s">
        <v>1566</v>
      </c>
      <c r="E2233" s="4">
        <v>1</v>
      </c>
      <c r="F2233" s="8" t="str">
        <f>_xlfn.XLOOKUP(D2233,Master[Product_Code],Master[Category])</f>
        <v>Innerwear</v>
      </c>
      <c r="G2233" s="8" t="str">
        <f>_xlfn.XLOOKUP(D2233,Master[Product_Code],Master[Brand])</f>
        <v>Dollar</v>
      </c>
      <c r="H2233" s="8" t="str">
        <f>_xlfn.XLOOKUP(D2233,Master[Product_Code],Master[Style])</f>
        <v>Boxer</v>
      </c>
      <c r="I2233" s="8" t="str">
        <f>_xlfn.XLOOKUP(D2233,Master[Product_Code],Master[Fabric])</f>
        <v>Cotton</v>
      </c>
      <c r="J2233" s="8" t="str">
        <f>_xlfn.XLOOKUP(D2233,Master[Product_Code],Master[Size])</f>
        <v>105-110</v>
      </c>
      <c r="K2233" s="8" t="str">
        <f>_xlfn.XLOOKUP(D2233,Master[Product_Code],Master[Color])</f>
        <v>Dark Green</v>
      </c>
      <c r="L2233" s="3">
        <f>_xlfn.XLOOKUP(D2233,Master[Product_Code],Master[Selling_Price])</f>
        <v>190</v>
      </c>
    </row>
    <row r="2234" spans="2:12">
      <c r="B2234" s="2" t="s">
        <v>2686</v>
      </c>
      <c r="C2234" s="7">
        <v>46004</v>
      </c>
      <c r="D2234" s="2" t="s">
        <v>1241</v>
      </c>
      <c r="E2234" s="4">
        <v>1</v>
      </c>
      <c r="F2234" s="8" t="str">
        <f>_xlfn.XLOOKUP(D2234,Master[Product_Code],Master[Category])</f>
        <v>Pants</v>
      </c>
      <c r="G2234" s="8" t="str">
        <f>_xlfn.XLOOKUP(D2234,Master[Product_Code],Master[Brand])</f>
        <v>Raymond</v>
      </c>
      <c r="H2234" s="8" t="str">
        <f>_xlfn.XLOOKUP(D2234,Master[Product_Code],Master[Style])</f>
        <v>Kurka</v>
      </c>
      <c r="I2234" s="8" t="str">
        <f>_xlfn.XLOOKUP(D2234,Master[Product_Code],Master[Fabric])</f>
        <v>Lycra</v>
      </c>
      <c r="J2234" s="8">
        <f>_xlfn.XLOOKUP(D2234,Master[Product_Code],Master[Size])</f>
        <v>30</v>
      </c>
      <c r="K2234" s="8" t="str">
        <f>_xlfn.XLOOKUP(D2234,Master[Product_Code],Master[Color])</f>
        <v>Mustard</v>
      </c>
      <c r="L2234" s="3">
        <f>_xlfn.XLOOKUP(D2234,Master[Product_Code],Master[Selling_Price])</f>
        <v>880</v>
      </c>
    </row>
    <row r="2235" spans="2:12">
      <c r="B2235" s="2" t="s">
        <v>2687</v>
      </c>
      <c r="C2235" s="7">
        <v>46004</v>
      </c>
      <c r="D2235" s="2" t="s">
        <v>942</v>
      </c>
      <c r="E2235" s="4">
        <v>1</v>
      </c>
      <c r="F2235" s="8" t="str">
        <f>_xlfn.XLOOKUP(D2235,Master[Product_Code],Master[Category])</f>
        <v>Jeans</v>
      </c>
      <c r="G2235" s="8" t="str">
        <f>_xlfn.XLOOKUP(D2235,Master[Product_Code],Master[Brand])</f>
        <v>Spykar</v>
      </c>
      <c r="H2235" s="8" t="str">
        <f>_xlfn.XLOOKUP(D2235,Master[Product_Code],Master[Style])</f>
        <v>Jogger</v>
      </c>
      <c r="I2235" s="8" t="str">
        <f>_xlfn.XLOOKUP(D2235,Master[Product_Code],Master[Fabric])</f>
        <v>Denim</v>
      </c>
      <c r="J2235" s="8">
        <f>_xlfn.XLOOKUP(D2235,Master[Product_Code],Master[Size])</f>
        <v>38</v>
      </c>
      <c r="K2235" s="8" t="str">
        <f>_xlfn.XLOOKUP(D2235,Master[Product_Code],Master[Color])</f>
        <v>Navy Blue</v>
      </c>
      <c r="L2235" s="3">
        <f>_xlfn.XLOOKUP(D2235,Master[Product_Code],Master[Selling_Price])</f>
        <v>920</v>
      </c>
    </row>
    <row r="2236" spans="2:12">
      <c r="B2236" s="2" t="s">
        <v>2687</v>
      </c>
      <c r="C2236" s="7">
        <v>46004</v>
      </c>
      <c r="D2236" s="2" t="s">
        <v>77</v>
      </c>
      <c r="E2236" s="4">
        <v>1</v>
      </c>
      <c r="F2236" s="8" t="str">
        <f>_xlfn.XLOOKUP(D2236,Master[Product_Code],Master[Category])</f>
        <v>Shirt</v>
      </c>
      <c r="G2236" s="8" t="str">
        <f>_xlfn.XLOOKUP(D2236,Master[Product_Code],Master[Brand])</f>
        <v>G Studio</v>
      </c>
      <c r="H2236" s="8" t="str">
        <f>_xlfn.XLOOKUP(D2236,Master[Product_Code],Master[Style])</f>
        <v>Formal</v>
      </c>
      <c r="I2236" s="8" t="str">
        <f>_xlfn.XLOOKUP(D2236,Master[Product_Code],Master[Fabric])</f>
        <v>Cotton</v>
      </c>
      <c r="J2236" s="8" t="str">
        <f>_xlfn.XLOOKUP(D2236,Master[Product_Code],Master[Size])</f>
        <v>S</v>
      </c>
      <c r="K2236" s="8" t="str">
        <f>_xlfn.XLOOKUP(D2236,Master[Product_Code],Master[Color])</f>
        <v>Charcoal</v>
      </c>
      <c r="L2236" s="3">
        <f>_xlfn.XLOOKUP(D2236,Master[Product_Code],Master[Selling_Price])</f>
        <v>840</v>
      </c>
    </row>
    <row r="2237" spans="2:12">
      <c r="B2237" s="2" t="s">
        <v>2687</v>
      </c>
      <c r="C2237" s="7">
        <v>46004</v>
      </c>
      <c r="D2237" s="2" t="s">
        <v>870</v>
      </c>
      <c r="E2237" s="4">
        <v>1</v>
      </c>
      <c r="F2237" s="8" t="str">
        <f>_xlfn.XLOOKUP(D2237,Master[Product_Code],Master[Category])</f>
        <v>Jeans</v>
      </c>
      <c r="G2237" s="8" t="str">
        <f>_xlfn.XLOOKUP(D2237,Master[Product_Code],Master[Brand])</f>
        <v>Levis</v>
      </c>
      <c r="H2237" s="8" t="str">
        <f>_xlfn.XLOOKUP(D2237,Master[Product_Code],Master[Style])</f>
        <v>Baggy</v>
      </c>
      <c r="I2237" s="8" t="str">
        <f>_xlfn.XLOOKUP(D2237,Master[Product_Code],Master[Fabric])</f>
        <v>Denim</v>
      </c>
      <c r="J2237" s="8">
        <f>_xlfn.XLOOKUP(D2237,Master[Product_Code],Master[Size])</f>
        <v>28</v>
      </c>
      <c r="K2237" s="8" t="str">
        <f>_xlfn.XLOOKUP(D2237,Master[Product_Code],Master[Color])</f>
        <v>Mustard</v>
      </c>
      <c r="L2237" s="3">
        <f>_xlfn.XLOOKUP(D2237,Master[Product_Code],Master[Selling_Price])</f>
        <v>1050</v>
      </c>
    </row>
    <row r="2238" spans="2:12">
      <c r="B2238" s="2" t="s">
        <v>2688</v>
      </c>
      <c r="C2238" s="7">
        <v>46004</v>
      </c>
      <c r="D2238" s="2" t="s">
        <v>1247</v>
      </c>
      <c r="E2238" s="4">
        <v>1</v>
      </c>
      <c r="F2238" s="8" t="str">
        <f>_xlfn.XLOOKUP(D2238,Master[Product_Code],Master[Category])</f>
        <v>Pants</v>
      </c>
      <c r="G2238" s="8" t="str">
        <f>_xlfn.XLOOKUP(D2238,Master[Product_Code],Master[Brand])</f>
        <v>Louis Philippe</v>
      </c>
      <c r="H2238" s="8" t="str">
        <f>_xlfn.XLOOKUP(D2238,Master[Product_Code],Master[Style])</f>
        <v>Korean</v>
      </c>
      <c r="I2238" s="8" t="str">
        <f>_xlfn.XLOOKUP(D2238,Master[Product_Code],Master[Fabric])</f>
        <v>Lycra</v>
      </c>
      <c r="J2238" s="8">
        <f>_xlfn.XLOOKUP(D2238,Master[Product_Code],Master[Size])</f>
        <v>38</v>
      </c>
      <c r="K2238" s="8" t="str">
        <f>_xlfn.XLOOKUP(D2238,Master[Product_Code],Master[Color])</f>
        <v>Sky Blue</v>
      </c>
      <c r="L2238" s="3">
        <f>_xlfn.XLOOKUP(D2238,Master[Product_Code],Master[Selling_Price])</f>
        <v>900</v>
      </c>
    </row>
    <row r="2239" spans="2:12">
      <c r="B2239" s="2" t="s">
        <v>2688</v>
      </c>
      <c r="C2239" s="7">
        <v>46004</v>
      </c>
      <c r="D2239" s="2" t="s">
        <v>1074</v>
      </c>
      <c r="E2239" s="4">
        <v>1</v>
      </c>
      <c r="F2239" s="8" t="str">
        <f>_xlfn.XLOOKUP(D2239,Master[Product_Code],Master[Category])</f>
        <v>Jeans</v>
      </c>
      <c r="G2239" s="8" t="str">
        <f>_xlfn.XLOOKUP(D2239,Master[Product_Code],Master[Brand])</f>
        <v>Pepe</v>
      </c>
      <c r="H2239" s="8" t="str">
        <f>_xlfn.XLOOKUP(D2239,Master[Product_Code],Master[Style])</f>
        <v>Jogger</v>
      </c>
      <c r="I2239" s="8" t="str">
        <f>_xlfn.XLOOKUP(D2239,Master[Product_Code],Master[Fabric])</f>
        <v>Denim</v>
      </c>
      <c r="J2239" s="8">
        <f>_xlfn.XLOOKUP(D2239,Master[Product_Code],Master[Size])</f>
        <v>34</v>
      </c>
      <c r="K2239" s="8" t="str">
        <f>_xlfn.XLOOKUP(D2239,Master[Product_Code],Master[Color])</f>
        <v>Maroon</v>
      </c>
      <c r="L2239" s="3">
        <f>_xlfn.XLOOKUP(D2239,Master[Product_Code],Master[Selling_Price])</f>
        <v>940</v>
      </c>
    </row>
    <row r="2240" spans="2:12">
      <c r="B2240" s="2" t="s">
        <v>2689</v>
      </c>
      <c r="C2240" s="7">
        <v>46004</v>
      </c>
      <c r="D2240" s="2" t="s">
        <v>1743</v>
      </c>
      <c r="E2240" s="4">
        <v>1</v>
      </c>
      <c r="F2240" s="8" t="str">
        <f>_xlfn.XLOOKUP(D2240,Master[Product_Code],Master[Category])</f>
        <v>Innerwear</v>
      </c>
      <c r="G2240" s="8" t="str">
        <f>_xlfn.XLOOKUP(D2240,Master[Product_Code],Master[Brand])</f>
        <v>Lux</v>
      </c>
      <c r="H2240" s="8" t="str">
        <f>_xlfn.XLOOKUP(D2240,Master[Product_Code],Master[Style])</f>
        <v>V-Cut</v>
      </c>
      <c r="I2240" s="8" t="str">
        <f>_xlfn.XLOOKUP(D2240,Master[Product_Code],Master[Fabric])</f>
        <v>Cotton</v>
      </c>
      <c r="J2240" s="8" t="str">
        <f>_xlfn.XLOOKUP(D2240,Master[Product_Code],Master[Size])</f>
        <v>90-100</v>
      </c>
      <c r="K2240" s="8" t="str">
        <f>_xlfn.XLOOKUP(D2240,Master[Product_Code],Master[Color])</f>
        <v>Black</v>
      </c>
      <c r="L2240" s="3">
        <f>_xlfn.XLOOKUP(D2240,Master[Product_Code],Master[Selling_Price])</f>
        <v>130</v>
      </c>
    </row>
    <row r="2241" spans="2:12">
      <c r="B2241" s="2" t="s">
        <v>2690</v>
      </c>
      <c r="C2241" s="7">
        <v>46004</v>
      </c>
      <c r="D2241" s="2" t="s">
        <v>1656</v>
      </c>
      <c r="E2241" s="4">
        <v>1</v>
      </c>
      <c r="F2241" s="8" t="str">
        <f>_xlfn.XLOOKUP(D2241,Master[Product_Code],Master[Category])</f>
        <v>Innerwear</v>
      </c>
      <c r="G2241" s="8" t="str">
        <f>_xlfn.XLOOKUP(D2241,Master[Product_Code],Master[Brand])</f>
        <v>Dollar</v>
      </c>
      <c r="H2241" s="8" t="str">
        <f>_xlfn.XLOOKUP(D2241,Master[Product_Code],Master[Style])</f>
        <v>V-Cut</v>
      </c>
      <c r="I2241" s="8" t="str">
        <f>_xlfn.XLOOKUP(D2241,Master[Product_Code],Master[Fabric])</f>
        <v>Cotton</v>
      </c>
      <c r="J2241" s="8" t="str">
        <f>_xlfn.XLOOKUP(D2241,Master[Product_Code],Master[Size])</f>
        <v>90-100</v>
      </c>
      <c r="K2241" s="8" t="str">
        <f>_xlfn.XLOOKUP(D2241,Master[Product_Code],Master[Color])</f>
        <v>Royal Blue</v>
      </c>
      <c r="L2241" s="3">
        <f>_xlfn.XLOOKUP(D2241,Master[Product_Code],Master[Selling_Price])</f>
        <v>100</v>
      </c>
    </row>
    <row r="2242" spans="2:12">
      <c r="B2242" s="2" t="s">
        <v>2691</v>
      </c>
      <c r="C2242" s="7">
        <v>46004</v>
      </c>
      <c r="D2242" s="2" t="s">
        <v>779</v>
      </c>
      <c r="E2242" s="4">
        <v>1</v>
      </c>
      <c r="F2242" s="8" t="str">
        <f>_xlfn.XLOOKUP(D2242,Master[Product_Code],Master[Category])</f>
        <v>T-Shirt</v>
      </c>
      <c r="G2242" s="8" t="str">
        <f>_xlfn.XLOOKUP(D2242,Master[Product_Code],Master[Brand])</f>
        <v>Campus</v>
      </c>
      <c r="H2242" s="8" t="str">
        <f>_xlfn.XLOOKUP(D2242,Master[Product_Code],Master[Style])</f>
        <v>Hoodie</v>
      </c>
      <c r="I2242" s="8" t="str">
        <f>_xlfn.XLOOKUP(D2242,Master[Product_Code],Master[Fabric])</f>
        <v>Cotton Blend</v>
      </c>
      <c r="J2242" s="8" t="str">
        <f>_xlfn.XLOOKUP(D2242,Master[Product_Code],Master[Size])</f>
        <v>M</v>
      </c>
      <c r="K2242" s="8" t="str">
        <f>_xlfn.XLOOKUP(D2242,Master[Product_Code],Master[Color])</f>
        <v>Mustard</v>
      </c>
      <c r="L2242" s="3">
        <f>_xlfn.XLOOKUP(D2242,Master[Product_Code],Master[Selling_Price])</f>
        <v>660</v>
      </c>
    </row>
    <row r="2243" spans="2:12">
      <c r="B2243" s="2" t="s">
        <v>2692</v>
      </c>
      <c r="C2243" s="7">
        <v>46004</v>
      </c>
      <c r="D2243" s="2" t="s">
        <v>127</v>
      </c>
      <c r="E2243" s="4">
        <v>1</v>
      </c>
      <c r="F2243" s="8" t="str">
        <f>_xlfn.XLOOKUP(D2243,Master[Product_Code],Master[Category])</f>
        <v>Shirt</v>
      </c>
      <c r="G2243" s="8" t="str">
        <f>_xlfn.XLOOKUP(D2243,Master[Product_Code],Master[Brand])</f>
        <v>Luke &amp; Burg</v>
      </c>
      <c r="H2243" s="8" t="str">
        <f>_xlfn.XLOOKUP(D2243,Master[Product_Code],Master[Style])</f>
        <v>Formal</v>
      </c>
      <c r="I2243" s="8" t="str">
        <f>_xlfn.XLOOKUP(D2243,Master[Product_Code],Master[Fabric])</f>
        <v>Lycra</v>
      </c>
      <c r="J2243" s="8" t="str">
        <f>_xlfn.XLOOKUP(D2243,Master[Product_Code],Master[Size])</f>
        <v>S</v>
      </c>
      <c r="K2243" s="8" t="str">
        <f>_xlfn.XLOOKUP(D2243,Master[Product_Code],Master[Color])</f>
        <v>Sky Blue</v>
      </c>
      <c r="L2243" s="3">
        <f>_xlfn.XLOOKUP(D2243,Master[Product_Code],Master[Selling_Price])</f>
        <v>810</v>
      </c>
    </row>
    <row r="2244" spans="2:12">
      <c r="B2244" s="2" t="s">
        <v>2692</v>
      </c>
      <c r="C2244" s="7">
        <v>46004</v>
      </c>
      <c r="D2244" s="2" t="s">
        <v>311</v>
      </c>
      <c r="E2244" s="4">
        <v>1</v>
      </c>
      <c r="F2244" s="8" t="str">
        <f>_xlfn.XLOOKUP(D2244,Master[Product_Code],Master[Category])</f>
        <v>Shirt</v>
      </c>
      <c r="G2244" s="8" t="str">
        <f>_xlfn.XLOOKUP(D2244,Master[Product_Code],Master[Brand])</f>
        <v>Zara</v>
      </c>
      <c r="H2244" s="8" t="str">
        <f>_xlfn.XLOOKUP(D2244,Master[Product_Code],Master[Style])</f>
        <v>Formal</v>
      </c>
      <c r="I2244" s="8" t="str">
        <f>_xlfn.XLOOKUP(D2244,Master[Product_Code],Master[Fabric])</f>
        <v>Polyester</v>
      </c>
      <c r="J2244" s="8" t="str">
        <f>_xlfn.XLOOKUP(D2244,Master[Product_Code],Master[Size])</f>
        <v>L</v>
      </c>
      <c r="K2244" s="8" t="str">
        <f>_xlfn.XLOOKUP(D2244,Master[Product_Code],Master[Color])</f>
        <v>Wine</v>
      </c>
      <c r="L2244" s="3">
        <f>_xlfn.XLOOKUP(D2244,Master[Product_Code],Master[Selling_Price])</f>
        <v>730</v>
      </c>
    </row>
    <row r="2245" spans="2:12">
      <c r="B2245" s="2" t="s">
        <v>2692</v>
      </c>
      <c r="C2245" s="7">
        <v>46004</v>
      </c>
      <c r="D2245" s="2" t="s">
        <v>346</v>
      </c>
      <c r="E2245" s="4">
        <v>1</v>
      </c>
      <c r="F2245" s="8" t="str">
        <f>_xlfn.XLOOKUP(D2245,Master[Product_Code],Master[Category])</f>
        <v>Shirt</v>
      </c>
      <c r="G2245" s="8" t="str">
        <f>_xlfn.XLOOKUP(D2245,Master[Product_Code],Master[Brand])</f>
        <v>British</v>
      </c>
      <c r="H2245" s="8" t="str">
        <f>_xlfn.XLOOKUP(D2245,Master[Product_Code],Master[Style])</f>
        <v>Partywear</v>
      </c>
      <c r="I2245" s="8" t="str">
        <f>_xlfn.XLOOKUP(D2245,Master[Product_Code],Master[Fabric])</f>
        <v>Cotton Blend</v>
      </c>
      <c r="J2245" s="8" t="str">
        <f>_xlfn.XLOOKUP(D2245,Master[Product_Code],Master[Size])</f>
        <v>M</v>
      </c>
      <c r="K2245" s="8" t="str">
        <f>_xlfn.XLOOKUP(D2245,Master[Product_Code],Master[Color])</f>
        <v>Grey</v>
      </c>
      <c r="L2245" s="3">
        <f>_xlfn.XLOOKUP(D2245,Master[Product_Code],Master[Selling_Price])</f>
        <v>760</v>
      </c>
    </row>
    <row r="2246" spans="2:12">
      <c r="B2246" s="2" t="s">
        <v>2692</v>
      </c>
      <c r="C2246" s="7">
        <v>46004</v>
      </c>
      <c r="D2246" s="2" t="s">
        <v>1677</v>
      </c>
      <c r="E2246" s="4">
        <v>1</v>
      </c>
      <c r="F2246" s="8" t="str">
        <f>_xlfn.XLOOKUP(D2246,Master[Product_Code],Master[Category])</f>
        <v>Innerwear</v>
      </c>
      <c r="G2246" s="8" t="str">
        <f>_xlfn.XLOOKUP(D2246,Master[Product_Code],Master[Brand])</f>
        <v>Lux</v>
      </c>
      <c r="H2246" s="8" t="str">
        <f>_xlfn.XLOOKUP(D2246,Master[Product_Code],Master[Style])</f>
        <v>V-Cut</v>
      </c>
      <c r="I2246" s="8" t="str">
        <f>_xlfn.XLOOKUP(D2246,Master[Product_Code],Master[Fabric])</f>
        <v>Cotton</v>
      </c>
      <c r="J2246" s="8" t="str">
        <f>_xlfn.XLOOKUP(D2246,Master[Product_Code],Master[Size])</f>
        <v>85-90</v>
      </c>
      <c r="K2246" s="8" t="str">
        <f>_xlfn.XLOOKUP(D2246,Master[Product_Code],Master[Color])</f>
        <v>Dark Green</v>
      </c>
      <c r="L2246" s="3">
        <f>_xlfn.XLOOKUP(D2246,Master[Product_Code],Master[Selling_Price])</f>
        <v>160</v>
      </c>
    </row>
    <row r="2247" spans="2:12">
      <c r="B2247" s="2" t="s">
        <v>2693</v>
      </c>
      <c r="C2247" s="7">
        <v>46004</v>
      </c>
      <c r="D2247" s="2" t="s">
        <v>989</v>
      </c>
      <c r="E2247" s="4">
        <v>1</v>
      </c>
      <c r="F2247" s="8" t="str">
        <f>_xlfn.XLOOKUP(D2247,Master[Product_Code],Master[Category])</f>
        <v>Jeans</v>
      </c>
      <c r="G2247" s="8" t="str">
        <f>_xlfn.XLOOKUP(D2247,Master[Product_Code],Master[Brand])</f>
        <v>Pepe</v>
      </c>
      <c r="H2247" s="8" t="str">
        <f>_xlfn.XLOOKUP(D2247,Master[Product_Code],Master[Style])</f>
        <v>Baggy</v>
      </c>
      <c r="I2247" s="8" t="str">
        <f>_xlfn.XLOOKUP(D2247,Master[Product_Code],Master[Fabric])</f>
        <v>Denim</v>
      </c>
      <c r="J2247" s="8">
        <f>_xlfn.XLOOKUP(D2247,Master[Product_Code],Master[Size])</f>
        <v>44</v>
      </c>
      <c r="K2247" s="8" t="str">
        <f>_xlfn.XLOOKUP(D2247,Master[Product_Code],Master[Color])</f>
        <v>Olive</v>
      </c>
      <c r="L2247" s="3">
        <f>_xlfn.XLOOKUP(D2247,Master[Product_Code],Master[Selling_Price])</f>
        <v>870</v>
      </c>
    </row>
    <row r="2248" spans="2:12">
      <c r="B2248" s="2" t="s">
        <v>2694</v>
      </c>
      <c r="C2248" s="7">
        <v>46004</v>
      </c>
      <c r="D2248" s="2" t="s">
        <v>1270</v>
      </c>
      <c r="E2248" s="4">
        <v>1</v>
      </c>
      <c r="F2248" s="8" t="str">
        <f>_xlfn.XLOOKUP(D2248,Master[Product_Code],Master[Category])</f>
        <v>Pants</v>
      </c>
      <c r="G2248" s="8" t="str">
        <f>_xlfn.XLOOKUP(D2248,Master[Product_Code],Master[Brand])</f>
        <v>Park Avenue</v>
      </c>
      <c r="H2248" s="8" t="str">
        <f>_xlfn.XLOOKUP(D2248,Master[Product_Code],Master[Style])</f>
        <v>Boot Cut</v>
      </c>
      <c r="I2248" s="8" t="str">
        <f>_xlfn.XLOOKUP(D2248,Master[Product_Code],Master[Fabric])</f>
        <v>Poly Viscose</v>
      </c>
      <c r="J2248" s="8">
        <f>_xlfn.XLOOKUP(D2248,Master[Product_Code],Master[Size])</f>
        <v>40</v>
      </c>
      <c r="K2248" s="8" t="str">
        <f>_xlfn.XLOOKUP(D2248,Master[Product_Code],Master[Color])</f>
        <v>Teal</v>
      </c>
      <c r="L2248" s="3">
        <f>_xlfn.XLOOKUP(D2248,Master[Product_Code],Master[Selling_Price])</f>
        <v>880</v>
      </c>
    </row>
    <row r="2249" spans="2:12">
      <c r="B2249" s="2" t="s">
        <v>2695</v>
      </c>
      <c r="C2249" s="7">
        <v>46004</v>
      </c>
      <c r="D2249" s="2" t="s">
        <v>1505</v>
      </c>
      <c r="E2249" s="4">
        <v>1</v>
      </c>
      <c r="F2249" s="8" t="str">
        <f>_xlfn.XLOOKUP(D2249,Master[Product_Code],Master[Category])</f>
        <v>Innerwear</v>
      </c>
      <c r="G2249" s="8" t="str">
        <f>_xlfn.XLOOKUP(D2249,Master[Product_Code],Master[Brand])</f>
        <v>V Star</v>
      </c>
      <c r="H2249" s="8" t="str">
        <f>_xlfn.XLOOKUP(D2249,Master[Product_Code],Master[Style])</f>
        <v>V-Cut</v>
      </c>
      <c r="I2249" s="8" t="str">
        <f>_xlfn.XLOOKUP(D2249,Master[Product_Code],Master[Fabric])</f>
        <v>Cotton</v>
      </c>
      <c r="J2249" s="8" t="str">
        <f>_xlfn.XLOOKUP(D2249,Master[Product_Code],Master[Size])</f>
        <v>80-85</v>
      </c>
      <c r="K2249" s="8" t="str">
        <f>_xlfn.XLOOKUP(D2249,Master[Product_Code],Master[Color])</f>
        <v>Black</v>
      </c>
      <c r="L2249" s="3">
        <f>_xlfn.XLOOKUP(D2249,Master[Product_Code],Master[Selling_Price])</f>
        <v>160</v>
      </c>
    </row>
    <row r="2250" spans="2:12">
      <c r="B2250" s="2" t="s">
        <v>2695</v>
      </c>
      <c r="C2250" s="7">
        <v>46004</v>
      </c>
      <c r="D2250" s="2" t="s">
        <v>1393</v>
      </c>
      <c r="E2250" s="4">
        <v>1</v>
      </c>
      <c r="F2250" s="8" t="str">
        <f>_xlfn.XLOOKUP(D2250,Master[Product_Code],Master[Category])</f>
        <v>Pants</v>
      </c>
      <c r="G2250" s="8" t="str">
        <f>_xlfn.XLOOKUP(D2250,Master[Product_Code],Master[Brand])</f>
        <v>Peter England</v>
      </c>
      <c r="H2250" s="8" t="str">
        <f>_xlfn.XLOOKUP(D2250,Master[Product_Code],Master[Style])</f>
        <v>Boot Cut</v>
      </c>
      <c r="I2250" s="8" t="str">
        <f>_xlfn.XLOOKUP(D2250,Master[Product_Code],Master[Fabric])</f>
        <v>Poly Viscose</v>
      </c>
      <c r="J2250" s="8">
        <f>_xlfn.XLOOKUP(D2250,Master[Product_Code],Master[Size])</f>
        <v>28</v>
      </c>
      <c r="K2250" s="8" t="str">
        <f>_xlfn.XLOOKUP(D2250,Master[Product_Code],Master[Color])</f>
        <v>Beige</v>
      </c>
      <c r="L2250" s="3">
        <f>_xlfn.XLOOKUP(D2250,Master[Product_Code],Master[Selling_Price])</f>
        <v>780</v>
      </c>
    </row>
    <row r="2251" spans="2:12">
      <c r="B2251" s="2" t="s">
        <v>2695</v>
      </c>
      <c r="C2251" s="7">
        <v>46004</v>
      </c>
      <c r="D2251" s="2" t="s">
        <v>744</v>
      </c>
      <c r="E2251" s="4">
        <v>1</v>
      </c>
      <c r="F2251" s="8" t="str">
        <f>_xlfn.XLOOKUP(D2251,Master[Product_Code],Master[Category])</f>
        <v>T-Shirt</v>
      </c>
      <c r="G2251" s="8" t="str">
        <f>_xlfn.XLOOKUP(D2251,Master[Product_Code],Master[Brand])</f>
        <v>Urban Monkey</v>
      </c>
      <c r="H2251" s="8" t="str">
        <f>_xlfn.XLOOKUP(D2251,Master[Product_Code],Master[Style])</f>
        <v>3/4 Sleeve</v>
      </c>
      <c r="I2251" s="8" t="str">
        <f>_xlfn.XLOOKUP(D2251,Master[Product_Code],Master[Fabric])</f>
        <v>Cotton</v>
      </c>
      <c r="J2251" s="8" t="str">
        <f>_xlfn.XLOOKUP(D2251,Master[Product_Code],Master[Size])</f>
        <v>XXL</v>
      </c>
      <c r="K2251" s="8" t="str">
        <f>_xlfn.XLOOKUP(D2251,Master[Product_Code],Master[Color])</f>
        <v>Dark Green</v>
      </c>
      <c r="L2251" s="3">
        <f>_xlfn.XLOOKUP(D2251,Master[Product_Code],Master[Selling_Price])</f>
        <v>690</v>
      </c>
    </row>
    <row r="2252" spans="2:12">
      <c r="B2252" s="2" t="s">
        <v>2695</v>
      </c>
      <c r="C2252" s="7">
        <v>46004</v>
      </c>
      <c r="D2252" s="2" t="s">
        <v>54</v>
      </c>
      <c r="E2252" s="4">
        <v>1</v>
      </c>
      <c r="F2252" s="8" t="str">
        <f>_xlfn.XLOOKUP(D2252,Master[Product_Code],Master[Category])</f>
        <v>Shirt</v>
      </c>
      <c r="G2252" s="8" t="str">
        <f>_xlfn.XLOOKUP(D2252,Master[Product_Code],Master[Brand])</f>
        <v>Luke &amp; Burg</v>
      </c>
      <c r="H2252" s="8" t="str">
        <f>_xlfn.XLOOKUP(D2252,Master[Product_Code],Master[Style])</f>
        <v>Partywear</v>
      </c>
      <c r="I2252" s="8" t="str">
        <f>_xlfn.XLOOKUP(D2252,Master[Product_Code],Master[Fabric])</f>
        <v>Polyester</v>
      </c>
      <c r="J2252" s="8" t="str">
        <f>_xlfn.XLOOKUP(D2252,Master[Product_Code],Master[Size])</f>
        <v>L</v>
      </c>
      <c r="K2252" s="8" t="str">
        <f>_xlfn.XLOOKUP(D2252,Master[Product_Code],Master[Color])</f>
        <v>Charcoal</v>
      </c>
      <c r="L2252" s="3">
        <f>_xlfn.XLOOKUP(D2252,Master[Product_Code],Master[Selling_Price])</f>
        <v>900</v>
      </c>
    </row>
    <row r="2253" spans="2:12">
      <c r="B2253" s="2" t="s">
        <v>2696</v>
      </c>
      <c r="C2253" s="7">
        <v>46006</v>
      </c>
      <c r="D2253" s="2" t="s">
        <v>198</v>
      </c>
      <c r="E2253" s="4">
        <v>1</v>
      </c>
      <c r="F2253" s="8" t="str">
        <f>_xlfn.XLOOKUP(D2253,Master[Product_Code],Master[Category])</f>
        <v>Shirt</v>
      </c>
      <c r="G2253" s="8" t="str">
        <f>_xlfn.XLOOKUP(D2253,Master[Product_Code],Master[Brand])</f>
        <v>Luke &amp; Burg</v>
      </c>
      <c r="H2253" s="8" t="str">
        <f>_xlfn.XLOOKUP(D2253,Master[Product_Code],Master[Style])</f>
        <v>Partywear</v>
      </c>
      <c r="I2253" s="8" t="str">
        <f>_xlfn.XLOOKUP(D2253,Master[Product_Code],Master[Fabric])</f>
        <v>Cotton</v>
      </c>
      <c r="J2253" s="8" t="str">
        <f>_xlfn.XLOOKUP(D2253,Master[Product_Code],Master[Size])</f>
        <v>L</v>
      </c>
      <c r="K2253" s="8" t="str">
        <f>_xlfn.XLOOKUP(D2253,Master[Product_Code],Master[Color])</f>
        <v>Dark Green</v>
      </c>
      <c r="L2253" s="3">
        <f>_xlfn.XLOOKUP(D2253,Master[Product_Code],Master[Selling_Price])</f>
        <v>750</v>
      </c>
    </row>
    <row r="2254" spans="2:12">
      <c r="B2254" s="2" t="s">
        <v>2696</v>
      </c>
      <c r="C2254" s="7">
        <v>46006</v>
      </c>
      <c r="D2254" s="2" t="s">
        <v>1205</v>
      </c>
      <c r="E2254" s="4">
        <v>1</v>
      </c>
      <c r="F2254" s="8" t="str">
        <f>_xlfn.XLOOKUP(D2254,Master[Product_Code],Master[Category])</f>
        <v>Pants</v>
      </c>
      <c r="G2254" s="8" t="str">
        <f>_xlfn.XLOOKUP(D2254,Master[Product_Code],Master[Brand])</f>
        <v>Peter England</v>
      </c>
      <c r="H2254" s="8" t="str">
        <f>_xlfn.XLOOKUP(D2254,Master[Product_Code],Master[Style])</f>
        <v>Polofit</v>
      </c>
      <c r="I2254" s="8" t="str">
        <f>_xlfn.XLOOKUP(D2254,Master[Product_Code],Master[Fabric])</f>
        <v>Lycra</v>
      </c>
      <c r="J2254" s="8">
        <f>_xlfn.XLOOKUP(D2254,Master[Product_Code],Master[Size])</f>
        <v>28</v>
      </c>
      <c r="K2254" s="8" t="str">
        <f>_xlfn.XLOOKUP(D2254,Master[Product_Code],Master[Color])</f>
        <v>Navy Blue</v>
      </c>
      <c r="L2254" s="3">
        <f>_xlfn.XLOOKUP(D2254,Master[Product_Code],Master[Selling_Price])</f>
        <v>920</v>
      </c>
    </row>
    <row r="2255" spans="2:12">
      <c r="B2255" s="2" t="s">
        <v>2697</v>
      </c>
      <c r="C2255" s="7">
        <v>46006</v>
      </c>
      <c r="D2255" s="2" t="s">
        <v>1006</v>
      </c>
      <c r="E2255" s="4">
        <v>1</v>
      </c>
      <c r="F2255" s="8" t="str">
        <f>_xlfn.XLOOKUP(D2255,Master[Product_Code],Master[Category])</f>
        <v>Jeans</v>
      </c>
      <c r="G2255" s="8" t="str">
        <f>_xlfn.XLOOKUP(D2255,Master[Product_Code],Master[Brand])</f>
        <v>Wrangler</v>
      </c>
      <c r="H2255" s="8" t="str">
        <f>_xlfn.XLOOKUP(D2255,Master[Product_Code],Master[Style])</f>
        <v>Mom Fit</v>
      </c>
      <c r="I2255" s="8" t="str">
        <f>_xlfn.XLOOKUP(D2255,Master[Product_Code],Master[Fabric])</f>
        <v>Denim</v>
      </c>
      <c r="J2255" s="8">
        <f>_xlfn.XLOOKUP(D2255,Master[Product_Code],Master[Size])</f>
        <v>42</v>
      </c>
      <c r="K2255" s="8" t="str">
        <f>_xlfn.XLOOKUP(D2255,Master[Product_Code],Master[Color])</f>
        <v>Light Grey</v>
      </c>
      <c r="L2255" s="3">
        <f>_xlfn.XLOOKUP(D2255,Master[Product_Code],Master[Selling_Price])</f>
        <v>880</v>
      </c>
    </row>
    <row r="2256" spans="2:12">
      <c r="B2256" s="2" t="s">
        <v>2697</v>
      </c>
      <c r="C2256" s="7">
        <v>46006</v>
      </c>
      <c r="D2256" s="2" t="s">
        <v>1513</v>
      </c>
      <c r="E2256" s="4">
        <v>1</v>
      </c>
      <c r="F2256" s="8" t="str">
        <f>_xlfn.XLOOKUP(D2256,Master[Product_Code],Master[Category])</f>
        <v>Innerwear</v>
      </c>
      <c r="G2256" s="8" t="str">
        <f>_xlfn.XLOOKUP(D2256,Master[Product_Code],Master[Brand])</f>
        <v>Lux</v>
      </c>
      <c r="H2256" s="8" t="str">
        <f>_xlfn.XLOOKUP(D2256,Master[Product_Code],Master[Style])</f>
        <v>V-Cut</v>
      </c>
      <c r="I2256" s="8" t="str">
        <f>_xlfn.XLOOKUP(D2256,Master[Product_Code],Master[Fabric])</f>
        <v>Cotton</v>
      </c>
      <c r="J2256" s="8" t="str">
        <f>_xlfn.XLOOKUP(D2256,Master[Product_Code],Master[Size])</f>
        <v>80-85</v>
      </c>
      <c r="K2256" s="8" t="str">
        <f>_xlfn.XLOOKUP(D2256,Master[Product_Code],Master[Color])</f>
        <v>Wine</v>
      </c>
      <c r="L2256" s="3">
        <f>_xlfn.XLOOKUP(D2256,Master[Product_Code],Master[Selling_Price])</f>
        <v>120</v>
      </c>
    </row>
    <row r="2257" spans="2:12">
      <c r="B2257" s="2" t="s">
        <v>2697</v>
      </c>
      <c r="C2257" s="7">
        <v>46006</v>
      </c>
      <c r="D2257" s="2" t="s">
        <v>340</v>
      </c>
      <c r="E2257" s="4">
        <v>1</v>
      </c>
      <c r="F2257" s="8" t="str">
        <f>_xlfn.XLOOKUP(D2257,Master[Product_Code],Master[Category])</f>
        <v>Shirt</v>
      </c>
      <c r="G2257" s="8" t="str">
        <f>_xlfn.XLOOKUP(D2257,Master[Product_Code],Master[Brand])</f>
        <v>L7</v>
      </c>
      <c r="H2257" s="8" t="str">
        <f>_xlfn.XLOOKUP(D2257,Master[Product_Code],Master[Style])</f>
        <v>Casual</v>
      </c>
      <c r="I2257" s="8" t="str">
        <f>_xlfn.XLOOKUP(D2257,Master[Product_Code],Master[Fabric])</f>
        <v>Polyester</v>
      </c>
      <c r="J2257" s="8" t="str">
        <f>_xlfn.XLOOKUP(D2257,Master[Product_Code],Master[Size])</f>
        <v>M</v>
      </c>
      <c r="K2257" s="8" t="str">
        <f>_xlfn.XLOOKUP(D2257,Master[Product_Code],Master[Color])</f>
        <v>Grey</v>
      </c>
      <c r="L2257" s="3">
        <f>_xlfn.XLOOKUP(D2257,Master[Product_Code],Master[Selling_Price])</f>
        <v>640</v>
      </c>
    </row>
    <row r="2258" spans="2:12">
      <c r="B2258" s="2" t="s">
        <v>2698</v>
      </c>
      <c r="C2258" s="7">
        <v>46006</v>
      </c>
      <c r="D2258" s="2" t="s">
        <v>306</v>
      </c>
      <c r="E2258" s="4">
        <v>1</v>
      </c>
      <c r="F2258" s="8" t="str">
        <f>_xlfn.XLOOKUP(D2258,Master[Product_Code],Master[Category])</f>
        <v>Shirt</v>
      </c>
      <c r="G2258" s="8" t="str">
        <f>_xlfn.XLOOKUP(D2258,Master[Product_Code],Master[Brand])</f>
        <v>Luke &amp; Burg</v>
      </c>
      <c r="H2258" s="8" t="str">
        <f>_xlfn.XLOOKUP(D2258,Master[Product_Code],Master[Style])</f>
        <v>Partywear</v>
      </c>
      <c r="I2258" s="8" t="str">
        <f>_xlfn.XLOOKUP(D2258,Master[Product_Code],Master[Fabric])</f>
        <v>Polyester</v>
      </c>
      <c r="J2258" s="8" t="str">
        <f>_xlfn.XLOOKUP(D2258,Master[Product_Code],Master[Size])</f>
        <v>XL</v>
      </c>
      <c r="K2258" s="8" t="str">
        <f>_xlfn.XLOOKUP(D2258,Master[Product_Code],Master[Color])</f>
        <v>Mustard</v>
      </c>
      <c r="L2258" s="3">
        <f>_xlfn.XLOOKUP(D2258,Master[Product_Code],Master[Selling_Price])</f>
        <v>780</v>
      </c>
    </row>
    <row r="2259" spans="2:12">
      <c r="B2259" s="2" t="s">
        <v>2698</v>
      </c>
      <c r="C2259" s="7">
        <v>46006</v>
      </c>
      <c r="D2259" s="2" t="s">
        <v>368</v>
      </c>
      <c r="E2259" s="4">
        <v>1</v>
      </c>
      <c r="F2259" s="8" t="str">
        <f>_xlfn.XLOOKUP(D2259,Master[Product_Code],Master[Category])</f>
        <v>Shirt</v>
      </c>
      <c r="G2259" s="8" t="str">
        <f>_xlfn.XLOOKUP(D2259,Master[Product_Code],Master[Brand])</f>
        <v>Zara</v>
      </c>
      <c r="H2259" s="8" t="str">
        <f>_xlfn.XLOOKUP(D2259,Master[Product_Code],Master[Style])</f>
        <v>Formal</v>
      </c>
      <c r="I2259" s="8" t="str">
        <f>_xlfn.XLOOKUP(D2259,Master[Product_Code],Master[Fabric])</f>
        <v>Polyester</v>
      </c>
      <c r="J2259" s="8" t="str">
        <f>_xlfn.XLOOKUP(D2259,Master[Product_Code],Master[Size])</f>
        <v>M</v>
      </c>
      <c r="K2259" s="8" t="str">
        <f>_xlfn.XLOOKUP(D2259,Master[Product_Code],Master[Color])</f>
        <v>White</v>
      </c>
      <c r="L2259" s="3">
        <f>_xlfn.XLOOKUP(D2259,Master[Product_Code],Master[Selling_Price])</f>
        <v>820</v>
      </c>
    </row>
    <row r="2260" spans="2:12">
      <c r="B2260" s="2" t="s">
        <v>2699</v>
      </c>
      <c r="C2260" s="7">
        <v>46006</v>
      </c>
      <c r="D2260" s="2" t="s">
        <v>26</v>
      </c>
      <c r="E2260" s="4">
        <v>1</v>
      </c>
      <c r="F2260" s="8" t="str">
        <f>_xlfn.XLOOKUP(D2260,Master[Product_Code],Master[Category])</f>
        <v>Shirt</v>
      </c>
      <c r="G2260" s="8" t="str">
        <f>_xlfn.XLOOKUP(D2260,Master[Product_Code],Master[Brand])</f>
        <v>G Studio</v>
      </c>
      <c r="H2260" s="8" t="str">
        <f>_xlfn.XLOOKUP(D2260,Master[Product_Code],Master[Style])</f>
        <v>Partywear</v>
      </c>
      <c r="I2260" s="8" t="str">
        <f>_xlfn.XLOOKUP(D2260,Master[Product_Code],Master[Fabric])</f>
        <v>Polyester</v>
      </c>
      <c r="J2260" s="8" t="str">
        <f>_xlfn.XLOOKUP(D2260,Master[Product_Code],Master[Size])</f>
        <v>M</v>
      </c>
      <c r="K2260" s="8" t="str">
        <f>_xlfn.XLOOKUP(D2260,Master[Product_Code],Master[Color])</f>
        <v>Cream</v>
      </c>
      <c r="L2260" s="3">
        <f>_xlfn.XLOOKUP(D2260,Master[Product_Code],Master[Selling_Price])</f>
        <v>830</v>
      </c>
    </row>
    <row r="2261" spans="2:12">
      <c r="B2261" s="2" t="s">
        <v>2699</v>
      </c>
      <c r="C2261" s="7">
        <v>46006</v>
      </c>
      <c r="D2261" s="2" t="s">
        <v>338</v>
      </c>
      <c r="E2261" s="4">
        <v>1</v>
      </c>
      <c r="F2261" s="8" t="str">
        <f>_xlfn.XLOOKUP(D2261,Master[Product_Code],Master[Category])</f>
        <v>Shirt</v>
      </c>
      <c r="G2261" s="8" t="str">
        <f>_xlfn.XLOOKUP(D2261,Master[Product_Code],Master[Brand])</f>
        <v>Luke &amp; Burg</v>
      </c>
      <c r="H2261" s="8" t="str">
        <f>_xlfn.XLOOKUP(D2261,Master[Product_Code],Master[Style])</f>
        <v>Formal</v>
      </c>
      <c r="I2261" s="8" t="str">
        <f>_xlfn.XLOOKUP(D2261,Master[Product_Code],Master[Fabric])</f>
        <v>Lycra</v>
      </c>
      <c r="J2261" s="8" t="str">
        <f>_xlfn.XLOOKUP(D2261,Master[Product_Code],Master[Size])</f>
        <v>L</v>
      </c>
      <c r="K2261" s="8" t="str">
        <f>_xlfn.XLOOKUP(D2261,Master[Product_Code],Master[Color])</f>
        <v>Light Grey</v>
      </c>
      <c r="L2261" s="3">
        <f>_xlfn.XLOOKUP(D2261,Master[Product_Code],Master[Selling_Price])</f>
        <v>770</v>
      </c>
    </row>
    <row r="2262" spans="2:12">
      <c r="B2262" s="2" t="s">
        <v>2700</v>
      </c>
      <c r="C2262" s="7">
        <v>46006</v>
      </c>
      <c r="D2262" s="2" t="s">
        <v>1096</v>
      </c>
      <c r="E2262" s="4">
        <v>1</v>
      </c>
      <c r="F2262" s="8" t="str">
        <f>_xlfn.XLOOKUP(D2262,Master[Product_Code],Master[Category])</f>
        <v>Jeans</v>
      </c>
      <c r="G2262" s="8" t="str">
        <f>_xlfn.XLOOKUP(D2262,Master[Product_Code],Master[Brand])</f>
        <v>Pepe</v>
      </c>
      <c r="H2262" s="8" t="str">
        <f>_xlfn.XLOOKUP(D2262,Master[Product_Code],Master[Style])</f>
        <v>Mom Fit</v>
      </c>
      <c r="I2262" s="8" t="str">
        <f>_xlfn.XLOOKUP(D2262,Master[Product_Code],Master[Fabric])</f>
        <v>Denim</v>
      </c>
      <c r="J2262" s="8">
        <f>_xlfn.XLOOKUP(D2262,Master[Product_Code],Master[Size])</f>
        <v>36</v>
      </c>
      <c r="K2262" s="8" t="str">
        <f>_xlfn.XLOOKUP(D2262,Master[Product_Code],Master[Color])</f>
        <v>Grey</v>
      </c>
      <c r="L2262" s="3">
        <f>_xlfn.XLOOKUP(D2262,Master[Product_Code],Master[Selling_Price])</f>
        <v>1010</v>
      </c>
    </row>
    <row r="2263" spans="2:12">
      <c r="B2263" s="2" t="s">
        <v>2700</v>
      </c>
      <c r="C2263" s="7">
        <v>46006</v>
      </c>
      <c r="D2263" s="2" t="s">
        <v>359</v>
      </c>
      <c r="E2263" s="4">
        <v>1</v>
      </c>
      <c r="F2263" s="8" t="str">
        <f>_xlfn.XLOOKUP(D2263,Master[Product_Code],Master[Category])</f>
        <v>Shirt</v>
      </c>
      <c r="G2263" s="8" t="str">
        <f>_xlfn.XLOOKUP(D2263,Master[Product_Code],Master[Brand])</f>
        <v>Thailand</v>
      </c>
      <c r="H2263" s="8" t="str">
        <f>_xlfn.XLOOKUP(D2263,Master[Product_Code],Master[Style])</f>
        <v>Casual</v>
      </c>
      <c r="I2263" s="8" t="str">
        <f>_xlfn.XLOOKUP(D2263,Master[Product_Code],Master[Fabric])</f>
        <v>Lycra</v>
      </c>
      <c r="J2263" s="8" t="str">
        <f>_xlfn.XLOOKUP(D2263,Master[Product_Code],Master[Size])</f>
        <v>XL</v>
      </c>
      <c r="K2263" s="8" t="str">
        <f>_xlfn.XLOOKUP(D2263,Master[Product_Code],Master[Color])</f>
        <v>Mustard</v>
      </c>
      <c r="L2263" s="3">
        <f>_xlfn.XLOOKUP(D2263,Master[Product_Code],Master[Selling_Price])</f>
        <v>710</v>
      </c>
    </row>
    <row r="2264" spans="2:12">
      <c r="B2264" s="2" t="s">
        <v>2700</v>
      </c>
      <c r="C2264" s="7">
        <v>46006</v>
      </c>
      <c r="D2264" s="2" t="s">
        <v>118</v>
      </c>
      <c r="E2264" s="4">
        <v>1</v>
      </c>
      <c r="F2264" s="8" t="str">
        <f>_xlfn.XLOOKUP(D2264,Master[Product_Code],Master[Category])</f>
        <v>Shirt</v>
      </c>
      <c r="G2264" s="8" t="str">
        <f>_xlfn.XLOOKUP(D2264,Master[Product_Code],Master[Brand])</f>
        <v>Luke &amp; Burg</v>
      </c>
      <c r="H2264" s="8" t="str">
        <f>_xlfn.XLOOKUP(D2264,Master[Product_Code],Master[Style])</f>
        <v>Formal</v>
      </c>
      <c r="I2264" s="8" t="str">
        <f>_xlfn.XLOOKUP(D2264,Master[Product_Code],Master[Fabric])</f>
        <v>Cotton Blend</v>
      </c>
      <c r="J2264" s="8" t="str">
        <f>_xlfn.XLOOKUP(D2264,Master[Product_Code],Master[Size])</f>
        <v>XXL</v>
      </c>
      <c r="K2264" s="8" t="str">
        <f>_xlfn.XLOOKUP(D2264,Master[Product_Code],Master[Color])</f>
        <v>Mustard</v>
      </c>
      <c r="L2264" s="3">
        <f>_xlfn.XLOOKUP(D2264,Master[Product_Code],Master[Selling_Price])</f>
        <v>760</v>
      </c>
    </row>
    <row r="2265" spans="2:12">
      <c r="B2265" s="2" t="s">
        <v>2700</v>
      </c>
      <c r="C2265" s="7">
        <v>46006</v>
      </c>
      <c r="D2265" s="2" t="s">
        <v>878</v>
      </c>
      <c r="E2265" s="4">
        <v>1</v>
      </c>
      <c r="F2265" s="8" t="str">
        <f>_xlfn.XLOOKUP(D2265,Master[Product_Code],Master[Category])</f>
        <v>Jeans</v>
      </c>
      <c r="G2265" s="8" t="str">
        <f>_xlfn.XLOOKUP(D2265,Master[Product_Code],Master[Brand])</f>
        <v>Spykar</v>
      </c>
      <c r="H2265" s="8" t="str">
        <f>_xlfn.XLOOKUP(D2265,Master[Product_Code],Master[Style])</f>
        <v>Baggy</v>
      </c>
      <c r="I2265" s="8" t="str">
        <f>_xlfn.XLOOKUP(D2265,Master[Product_Code],Master[Fabric])</f>
        <v>Denim</v>
      </c>
      <c r="J2265" s="8">
        <f>_xlfn.XLOOKUP(D2265,Master[Product_Code],Master[Size])</f>
        <v>40</v>
      </c>
      <c r="K2265" s="8" t="str">
        <f>_xlfn.XLOOKUP(D2265,Master[Product_Code],Master[Color])</f>
        <v>Charcoal</v>
      </c>
      <c r="L2265" s="3">
        <f>_xlfn.XLOOKUP(D2265,Master[Product_Code],Master[Selling_Price])</f>
        <v>770</v>
      </c>
    </row>
    <row r="2266" spans="2:12">
      <c r="B2266" s="2" t="s">
        <v>2701</v>
      </c>
      <c r="C2266" s="7">
        <v>46006</v>
      </c>
      <c r="D2266" s="2" t="s">
        <v>560</v>
      </c>
      <c r="E2266" s="4">
        <v>1</v>
      </c>
      <c r="F2266" s="8" t="str">
        <f>_xlfn.XLOOKUP(D2266,Master[Product_Code],Master[Category])</f>
        <v>T-Shirt</v>
      </c>
      <c r="G2266" s="8" t="str">
        <f>_xlfn.XLOOKUP(D2266,Master[Product_Code],Master[Brand])</f>
        <v>Urban Monkey</v>
      </c>
      <c r="H2266" s="8" t="str">
        <f>_xlfn.XLOOKUP(D2266,Master[Product_Code],Master[Style])</f>
        <v>3/4 Sleeve</v>
      </c>
      <c r="I2266" s="8" t="str">
        <f>_xlfn.XLOOKUP(D2266,Master[Product_Code],Master[Fabric])</f>
        <v>Cotton</v>
      </c>
      <c r="J2266" s="8" t="str">
        <f>_xlfn.XLOOKUP(D2266,Master[Product_Code],Master[Size])</f>
        <v>S</v>
      </c>
      <c r="K2266" s="8" t="str">
        <f>_xlfn.XLOOKUP(D2266,Master[Product_Code],Master[Color])</f>
        <v>Charcoal</v>
      </c>
      <c r="L2266" s="3">
        <f>_xlfn.XLOOKUP(D2266,Master[Product_Code],Master[Selling_Price])</f>
        <v>360</v>
      </c>
    </row>
    <row r="2267" spans="2:12">
      <c r="B2267" s="2" t="s">
        <v>2701</v>
      </c>
      <c r="C2267" s="7">
        <v>46006</v>
      </c>
      <c r="D2267" s="2" t="s">
        <v>815</v>
      </c>
      <c r="E2267" s="4">
        <v>1</v>
      </c>
      <c r="F2267" s="8" t="str">
        <f>_xlfn.XLOOKUP(D2267,Master[Product_Code],Master[Category])</f>
        <v>T-Shirt</v>
      </c>
      <c r="G2267" s="8" t="str">
        <f>_xlfn.XLOOKUP(D2267,Master[Product_Code],Master[Brand])</f>
        <v>Turkey</v>
      </c>
      <c r="H2267" s="8" t="str">
        <f>_xlfn.XLOOKUP(D2267,Master[Product_Code],Master[Style])</f>
        <v>Full Sleeve</v>
      </c>
      <c r="I2267" s="8" t="str">
        <f>_xlfn.XLOOKUP(D2267,Master[Product_Code],Master[Fabric])</f>
        <v>Cotton</v>
      </c>
      <c r="J2267" s="8" t="str">
        <f>_xlfn.XLOOKUP(D2267,Master[Product_Code],Master[Size])</f>
        <v>M</v>
      </c>
      <c r="K2267" s="8" t="str">
        <f>_xlfn.XLOOKUP(D2267,Master[Product_Code],Master[Color])</f>
        <v>Royal Blue</v>
      </c>
      <c r="L2267" s="3">
        <f>_xlfn.XLOOKUP(D2267,Master[Product_Code],Master[Selling_Price])</f>
        <v>400</v>
      </c>
    </row>
    <row r="2268" spans="2:12">
      <c r="B2268" s="2" t="s">
        <v>2701</v>
      </c>
      <c r="C2268" s="7">
        <v>46006</v>
      </c>
      <c r="D2268" s="2" t="s">
        <v>544</v>
      </c>
      <c r="E2268" s="4">
        <v>1</v>
      </c>
      <c r="F2268" s="8" t="str">
        <f>_xlfn.XLOOKUP(D2268,Master[Product_Code],Master[Category])</f>
        <v>T-Shirt</v>
      </c>
      <c r="G2268" s="8" t="str">
        <f>_xlfn.XLOOKUP(D2268,Master[Product_Code],Master[Brand])</f>
        <v>Thailand</v>
      </c>
      <c r="H2268" s="8" t="str">
        <f>_xlfn.XLOOKUP(D2268,Master[Product_Code],Master[Style])</f>
        <v>Half Sleeve</v>
      </c>
      <c r="I2268" s="8" t="str">
        <f>_xlfn.XLOOKUP(D2268,Master[Product_Code],Master[Fabric])</f>
        <v>Poly Cotton</v>
      </c>
      <c r="J2268" s="8" t="str">
        <f>_xlfn.XLOOKUP(D2268,Master[Product_Code],Master[Size])</f>
        <v>S</v>
      </c>
      <c r="K2268" s="8" t="str">
        <f>_xlfn.XLOOKUP(D2268,Master[Product_Code],Master[Color])</f>
        <v>Olive</v>
      </c>
      <c r="L2268" s="3">
        <f>_xlfn.XLOOKUP(D2268,Master[Product_Code],Master[Selling_Price])</f>
        <v>620</v>
      </c>
    </row>
    <row r="2269" spans="2:12">
      <c r="B2269" s="2" t="s">
        <v>2701</v>
      </c>
      <c r="C2269" s="7">
        <v>46006</v>
      </c>
      <c r="D2269" s="2" t="s">
        <v>1571</v>
      </c>
      <c r="E2269" s="4">
        <v>1</v>
      </c>
      <c r="F2269" s="8" t="str">
        <f>_xlfn.XLOOKUP(D2269,Master[Product_Code],Master[Category])</f>
        <v>Innerwear</v>
      </c>
      <c r="G2269" s="8" t="str">
        <f>_xlfn.XLOOKUP(D2269,Master[Product_Code],Master[Brand])</f>
        <v>Dollar</v>
      </c>
      <c r="H2269" s="8" t="str">
        <f>_xlfn.XLOOKUP(D2269,Master[Product_Code],Master[Style])</f>
        <v>Boxer</v>
      </c>
      <c r="I2269" s="8" t="str">
        <f>_xlfn.XLOOKUP(D2269,Master[Product_Code],Master[Fabric])</f>
        <v>Cotton</v>
      </c>
      <c r="J2269" s="8" t="str">
        <f>_xlfn.XLOOKUP(D2269,Master[Product_Code],Master[Size])</f>
        <v>75-80</v>
      </c>
      <c r="K2269" s="8" t="str">
        <f>_xlfn.XLOOKUP(D2269,Master[Product_Code],Master[Color])</f>
        <v>Sky Blue</v>
      </c>
      <c r="L2269" s="3">
        <f>_xlfn.XLOOKUP(D2269,Master[Product_Code],Master[Selling_Price])</f>
        <v>110</v>
      </c>
    </row>
    <row r="2270" spans="2:12">
      <c r="B2270" s="2" t="s">
        <v>2702</v>
      </c>
      <c r="C2270" s="7">
        <v>46006</v>
      </c>
      <c r="D2270" s="2" t="s">
        <v>791</v>
      </c>
      <c r="E2270" s="4">
        <v>1</v>
      </c>
      <c r="F2270" s="8" t="str">
        <f>_xlfn.XLOOKUP(D2270,Master[Product_Code],Master[Category])</f>
        <v>T-Shirt</v>
      </c>
      <c r="G2270" s="8" t="str">
        <f>_xlfn.XLOOKUP(D2270,Master[Product_Code],Master[Brand])</f>
        <v>Max</v>
      </c>
      <c r="H2270" s="8" t="str">
        <f>_xlfn.XLOOKUP(D2270,Master[Product_Code],Master[Style])</f>
        <v>Hoodie</v>
      </c>
      <c r="I2270" s="8" t="str">
        <f>_xlfn.XLOOKUP(D2270,Master[Product_Code],Master[Fabric])</f>
        <v>Cotton Blend</v>
      </c>
      <c r="J2270" s="8" t="str">
        <f>_xlfn.XLOOKUP(D2270,Master[Product_Code],Master[Size])</f>
        <v>XXL</v>
      </c>
      <c r="K2270" s="8" t="str">
        <f>_xlfn.XLOOKUP(D2270,Master[Product_Code],Master[Color])</f>
        <v>Beige</v>
      </c>
      <c r="L2270" s="3">
        <f>_xlfn.XLOOKUP(D2270,Master[Product_Code],Master[Selling_Price])</f>
        <v>590</v>
      </c>
    </row>
    <row r="2271" spans="2:12">
      <c r="B2271" s="2" t="s">
        <v>2702</v>
      </c>
      <c r="C2271" s="7">
        <v>46006</v>
      </c>
      <c r="D2271" s="2" t="s">
        <v>1206</v>
      </c>
      <c r="E2271" s="4">
        <v>1</v>
      </c>
      <c r="F2271" s="8" t="str">
        <f>_xlfn.XLOOKUP(D2271,Master[Product_Code],Master[Category])</f>
        <v>Pants</v>
      </c>
      <c r="G2271" s="8" t="str">
        <f>_xlfn.XLOOKUP(D2271,Master[Product_Code],Master[Brand])</f>
        <v>Raymond</v>
      </c>
      <c r="H2271" s="8" t="str">
        <f>_xlfn.XLOOKUP(D2271,Master[Product_Code],Master[Style])</f>
        <v>Kurka</v>
      </c>
      <c r="I2271" s="8" t="str">
        <f>_xlfn.XLOOKUP(D2271,Master[Product_Code],Master[Fabric])</f>
        <v>Lycra</v>
      </c>
      <c r="J2271" s="8">
        <f>_xlfn.XLOOKUP(D2271,Master[Product_Code],Master[Size])</f>
        <v>38</v>
      </c>
      <c r="K2271" s="8" t="str">
        <f>_xlfn.XLOOKUP(D2271,Master[Product_Code],Master[Color])</f>
        <v>Maroon</v>
      </c>
      <c r="L2271" s="3">
        <f>_xlfn.XLOOKUP(D2271,Master[Product_Code],Master[Selling_Price])</f>
        <v>940</v>
      </c>
    </row>
    <row r="2272" spans="2:12">
      <c r="B2272" s="2" t="s">
        <v>2703</v>
      </c>
      <c r="C2272" s="7">
        <v>46006</v>
      </c>
      <c r="D2272" s="2" t="s">
        <v>1691</v>
      </c>
      <c r="E2272" s="4">
        <v>1</v>
      </c>
      <c r="F2272" s="8" t="str">
        <f>_xlfn.XLOOKUP(D2272,Master[Product_Code],Master[Category])</f>
        <v>Innerwear</v>
      </c>
      <c r="G2272" s="8" t="str">
        <f>_xlfn.XLOOKUP(D2272,Master[Product_Code],Master[Brand])</f>
        <v>Dollar</v>
      </c>
      <c r="H2272" s="8" t="str">
        <f>_xlfn.XLOOKUP(D2272,Master[Product_Code],Master[Style])</f>
        <v>V-Cut</v>
      </c>
      <c r="I2272" s="8" t="str">
        <f>_xlfn.XLOOKUP(D2272,Master[Product_Code],Master[Fabric])</f>
        <v>Cotton</v>
      </c>
      <c r="J2272" s="8" t="str">
        <f>_xlfn.XLOOKUP(D2272,Master[Product_Code],Master[Size])</f>
        <v>75-80</v>
      </c>
      <c r="K2272" s="8" t="str">
        <f>_xlfn.XLOOKUP(D2272,Master[Product_Code],Master[Color])</f>
        <v>Teal</v>
      </c>
      <c r="L2272" s="3">
        <f>_xlfn.XLOOKUP(D2272,Master[Product_Code],Master[Selling_Price])</f>
        <v>130</v>
      </c>
    </row>
    <row r="2273" spans="2:12">
      <c r="B2273" s="2" t="s">
        <v>2703</v>
      </c>
      <c r="C2273" s="7">
        <v>46006</v>
      </c>
      <c r="D2273" s="2" t="s">
        <v>891</v>
      </c>
      <c r="E2273" s="4">
        <v>1</v>
      </c>
      <c r="F2273" s="8" t="str">
        <f>_xlfn.XLOOKUP(D2273,Master[Product_Code],Master[Category])</f>
        <v>Jeans</v>
      </c>
      <c r="G2273" s="8" t="str">
        <f>_xlfn.XLOOKUP(D2273,Master[Product_Code],Master[Brand])</f>
        <v>Wrangler</v>
      </c>
      <c r="H2273" s="8" t="str">
        <f>_xlfn.XLOOKUP(D2273,Master[Product_Code],Master[Style])</f>
        <v>Baggy</v>
      </c>
      <c r="I2273" s="8" t="str">
        <f>_xlfn.XLOOKUP(D2273,Master[Product_Code],Master[Fabric])</f>
        <v>Denim</v>
      </c>
      <c r="J2273" s="8">
        <f>_xlfn.XLOOKUP(D2273,Master[Product_Code],Master[Size])</f>
        <v>38</v>
      </c>
      <c r="K2273" s="8" t="str">
        <f>_xlfn.XLOOKUP(D2273,Master[Product_Code],Master[Color])</f>
        <v>Sky Blue</v>
      </c>
      <c r="L2273" s="3">
        <f>_xlfn.XLOOKUP(D2273,Master[Product_Code],Master[Selling_Price])</f>
        <v>990</v>
      </c>
    </row>
    <row r="2274" spans="2:12">
      <c r="B2274" s="2" t="s">
        <v>2703</v>
      </c>
      <c r="C2274" s="7">
        <v>46006</v>
      </c>
      <c r="D2274" s="2" t="s">
        <v>710</v>
      </c>
      <c r="E2274" s="4">
        <v>1</v>
      </c>
      <c r="F2274" s="8" t="str">
        <f>_xlfn.XLOOKUP(D2274,Master[Product_Code],Master[Category])</f>
        <v>T-Shirt</v>
      </c>
      <c r="G2274" s="8" t="str">
        <f>_xlfn.XLOOKUP(D2274,Master[Product_Code],Master[Brand])</f>
        <v>Roadster</v>
      </c>
      <c r="H2274" s="8" t="str">
        <f>_xlfn.XLOOKUP(D2274,Master[Product_Code],Master[Style])</f>
        <v>3/4 Sleeve</v>
      </c>
      <c r="I2274" s="8" t="str">
        <f>_xlfn.XLOOKUP(D2274,Master[Product_Code],Master[Fabric])</f>
        <v>Poly Cotton</v>
      </c>
      <c r="J2274" s="8" t="str">
        <f>_xlfn.XLOOKUP(D2274,Master[Product_Code],Master[Size])</f>
        <v>S</v>
      </c>
      <c r="K2274" s="8" t="str">
        <f>_xlfn.XLOOKUP(D2274,Master[Product_Code],Master[Color])</f>
        <v>Teal</v>
      </c>
      <c r="L2274" s="3">
        <f>_xlfn.XLOOKUP(D2274,Master[Product_Code],Master[Selling_Price])</f>
        <v>570</v>
      </c>
    </row>
    <row r="2275" spans="2:12">
      <c r="B2275" s="2" t="s">
        <v>2703</v>
      </c>
      <c r="C2275" s="7">
        <v>46006</v>
      </c>
      <c r="D2275" s="2" t="s">
        <v>1277</v>
      </c>
      <c r="E2275" s="4">
        <v>1</v>
      </c>
      <c r="F2275" s="8" t="str">
        <f>_xlfn.XLOOKUP(D2275,Master[Product_Code],Master[Category])</f>
        <v>Pants</v>
      </c>
      <c r="G2275" s="8" t="str">
        <f>_xlfn.XLOOKUP(D2275,Master[Product_Code],Master[Brand])</f>
        <v>Raymond</v>
      </c>
      <c r="H2275" s="8" t="str">
        <f>_xlfn.XLOOKUP(D2275,Master[Product_Code],Master[Style])</f>
        <v>Boot Cut</v>
      </c>
      <c r="I2275" s="8" t="str">
        <f>_xlfn.XLOOKUP(D2275,Master[Product_Code],Master[Fabric])</f>
        <v>Poly Viscose</v>
      </c>
      <c r="J2275" s="8">
        <f>_xlfn.XLOOKUP(D2275,Master[Product_Code],Master[Size])</f>
        <v>32</v>
      </c>
      <c r="K2275" s="8" t="str">
        <f>_xlfn.XLOOKUP(D2275,Master[Product_Code],Master[Color])</f>
        <v>Cream</v>
      </c>
      <c r="L2275" s="3">
        <f>_xlfn.XLOOKUP(D2275,Master[Product_Code],Master[Selling_Price])</f>
        <v>760</v>
      </c>
    </row>
    <row r="2276" spans="2:12">
      <c r="B2276" s="2" t="s">
        <v>2704</v>
      </c>
      <c r="C2276" s="7">
        <v>46006</v>
      </c>
      <c r="D2276" s="2" t="s">
        <v>147</v>
      </c>
      <c r="E2276" s="4">
        <v>1</v>
      </c>
      <c r="F2276" s="8" t="str">
        <f>_xlfn.XLOOKUP(D2276,Master[Product_Code],Master[Category])</f>
        <v>Shirt</v>
      </c>
      <c r="G2276" s="8" t="str">
        <f>_xlfn.XLOOKUP(D2276,Master[Product_Code],Master[Brand])</f>
        <v>Luke &amp; Burg</v>
      </c>
      <c r="H2276" s="8" t="str">
        <f>_xlfn.XLOOKUP(D2276,Master[Product_Code],Master[Style])</f>
        <v>Casual</v>
      </c>
      <c r="I2276" s="8" t="str">
        <f>_xlfn.XLOOKUP(D2276,Master[Product_Code],Master[Fabric])</f>
        <v>Lycra</v>
      </c>
      <c r="J2276" s="8" t="str">
        <f>_xlfn.XLOOKUP(D2276,Master[Product_Code],Master[Size])</f>
        <v>S</v>
      </c>
      <c r="K2276" s="8" t="str">
        <f>_xlfn.XLOOKUP(D2276,Master[Product_Code],Master[Color])</f>
        <v>Light Grey</v>
      </c>
      <c r="L2276" s="3">
        <f>_xlfn.XLOOKUP(D2276,Master[Product_Code],Master[Selling_Price])</f>
        <v>740</v>
      </c>
    </row>
    <row r="2277" spans="2:12">
      <c r="B2277" s="2" t="s">
        <v>2704</v>
      </c>
      <c r="C2277" s="7">
        <v>46006</v>
      </c>
      <c r="D2277" s="2" t="s">
        <v>1014</v>
      </c>
      <c r="E2277" s="4">
        <v>1</v>
      </c>
      <c r="F2277" s="8" t="str">
        <f>_xlfn.XLOOKUP(D2277,Master[Product_Code],Master[Category])</f>
        <v>Jeans</v>
      </c>
      <c r="G2277" s="8" t="str">
        <f>_xlfn.XLOOKUP(D2277,Master[Product_Code],Master[Brand])</f>
        <v>Spykar</v>
      </c>
      <c r="H2277" s="8" t="str">
        <f>_xlfn.XLOOKUP(D2277,Master[Product_Code],Master[Style])</f>
        <v>Baggy</v>
      </c>
      <c r="I2277" s="8" t="str">
        <f>_xlfn.XLOOKUP(D2277,Master[Product_Code],Master[Fabric])</f>
        <v>Denim</v>
      </c>
      <c r="J2277" s="8">
        <f>_xlfn.XLOOKUP(D2277,Master[Product_Code],Master[Size])</f>
        <v>30</v>
      </c>
      <c r="K2277" s="8" t="str">
        <f>_xlfn.XLOOKUP(D2277,Master[Product_Code],Master[Color])</f>
        <v>Mustard</v>
      </c>
      <c r="L2277" s="3">
        <f>_xlfn.XLOOKUP(D2277,Master[Product_Code],Master[Selling_Price])</f>
        <v>960</v>
      </c>
    </row>
    <row r="2278" spans="2:12">
      <c r="B2278" s="2" t="s">
        <v>2705</v>
      </c>
      <c r="C2278" s="7">
        <v>46006</v>
      </c>
      <c r="D2278" s="2" t="s">
        <v>598</v>
      </c>
      <c r="E2278" s="4">
        <v>1</v>
      </c>
      <c r="F2278" s="8" t="str">
        <f>_xlfn.XLOOKUP(D2278,Master[Product_Code],Master[Category])</f>
        <v>T-Shirt</v>
      </c>
      <c r="G2278" s="8" t="str">
        <f>_xlfn.XLOOKUP(D2278,Master[Product_Code],Master[Brand])</f>
        <v>Zara</v>
      </c>
      <c r="H2278" s="8" t="str">
        <f>_xlfn.XLOOKUP(D2278,Master[Product_Code],Master[Style])</f>
        <v>3/4 Sleeve</v>
      </c>
      <c r="I2278" s="8" t="str">
        <f>_xlfn.XLOOKUP(D2278,Master[Product_Code],Master[Fabric])</f>
        <v>Poly Cotton</v>
      </c>
      <c r="J2278" s="8" t="str">
        <f>_xlfn.XLOOKUP(D2278,Master[Product_Code],Master[Size])</f>
        <v>XXL</v>
      </c>
      <c r="K2278" s="8" t="str">
        <f>_xlfn.XLOOKUP(D2278,Master[Product_Code],Master[Color])</f>
        <v>Peach</v>
      </c>
      <c r="L2278" s="3">
        <f>_xlfn.XLOOKUP(D2278,Master[Product_Code],Master[Selling_Price])</f>
        <v>600</v>
      </c>
    </row>
    <row r="2279" spans="2:12">
      <c r="B2279" s="2" t="s">
        <v>2706</v>
      </c>
      <c r="C2279" s="7">
        <v>46006</v>
      </c>
      <c r="D2279" s="2" t="s">
        <v>719</v>
      </c>
      <c r="E2279" s="4">
        <v>1</v>
      </c>
      <c r="F2279" s="8" t="str">
        <f>_xlfn.XLOOKUP(D2279,Master[Product_Code],Master[Category])</f>
        <v>T-Shirt</v>
      </c>
      <c r="G2279" s="8" t="str">
        <f>_xlfn.XLOOKUP(D2279,Master[Product_Code],Master[Brand])</f>
        <v>Campus</v>
      </c>
      <c r="H2279" s="8" t="str">
        <f>_xlfn.XLOOKUP(D2279,Master[Product_Code],Master[Style])</f>
        <v>3/4 Sleeve</v>
      </c>
      <c r="I2279" s="8" t="str">
        <f>_xlfn.XLOOKUP(D2279,Master[Product_Code],Master[Fabric])</f>
        <v>Poly Cotton</v>
      </c>
      <c r="J2279" s="8" t="str">
        <f>_xlfn.XLOOKUP(D2279,Master[Product_Code],Master[Size])</f>
        <v>XXL</v>
      </c>
      <c r="K2279" s="8" t="str">
        <f>_xlfn.XLOOKUP(D2279,Master[Product_Code],Master[Color])</f>
        <v>Royal Blue</v>
      </c>
      <c r="L2279" s="3">
        <f>_xlfn.XLOOKUP(D2279,Master[Product_Code],Master[Selling_Price])</f>
        <v>370</v>
      </c>
    </row>
    <row r="2280" spans="2:12">
      <c r="B2280" s="2" t="s">
        <v>2707</v>
      </c>
      <c r="C2280" s="7">
        <v>46006</v>
      </c>
      <c r="D2280" s="2" t="s">
        <v>748</v>
      </c>
      <c r="E2280" s="4">
        <v>1</v>
      </c>
      <c r="F2280" s="8" t="str">
        <f>_xlfn.XLOOKUP(D2280,Master[Product_Code],Master[Category])</f>
        <v>T-Shirt</v>
      </c>
      <c r="G2280" s="8" t="str">
        <f>_xlfn.XLOOKUP(D2280,Master[Product_Code],Master[Brand])</f>
        <v>Campus</v>
      </c>
      <c r="H2280" s="8" t="str">
        <f>_xlfn.XLOOKUP(D2280,Master[Product_Code],Master[Style])</f>
        <v>Hoodie</v>
      </c>
      <c r="I2280" s="8" t="str">
        <f>_xlfn.XLOOKUP(D2280,Master[Product_Code],Master[Fabric])</f>
        <v>Cotton</v>
      </c>
      <c r="J2280" s="8" t="str">
        <f>_xlfn.XLOOKUP(D2280,Master[Product_Code],Master[Size])</f>
        <v>XXL</v>
      </c>
      <c r="K2280" s="8" t="str">
        <f>_xlfn.XLOOKUP(D2280,Master[Product_Code],Master[Color])</f>
        <v>Cream</v>
      </c>
      <c r="L2280" s="3">
        <f>_xlfn.XLOOKUP(D2280,Master[Product_Code],Master[Selling_Price])</f>
        <v>340</v>
      </c>
    </row>
    <row r="2281" spans="2:12">
      <c r="B2281" s="2" t="s">
        <v>2708</v>
      </c>
      <c r="C2281" s="7">
        <v>46006</v>
      </c>
      <c r="D2281" s="2" t="s">
        <v>550</v>
      </c>
      <c r="E2281" s="4">
        <v>1</v>
      </c>
      <c r="F2281" s="8" t="str">
        <f>_xlfn.XLOOKUP(D2281,Master[Product_Code],Master[Category])</f>
        <v>T-Shirt</v>
      </c>
      <c r="G2281" s="8" t="str">
        <f>_xlfn.XLOOKUP(D2281,Master[Product_Code],Master[Brand])</f>
        <v>Zara</v>
      </c>
      <c r="H2281" s="8" t="str">
        <f>_xlfn.XLOOKUP(D2281,Master[Product_Code],Master[Style])</f>
        <v>Sleeveless</v>
      </c>
      <c r="I2281" s="8" t="str">
        <f>_xlfn.XLOOKUP(D2281,Master[Product_Code],Master[Fabric])</f>
        <v>Poly Cotton</v>
      </c>
      <c r="J2281" s="8" t="str">
        <f>_xlfn.XLOOKUP(D2281,Master[Product_Code],Master[Size])</f>
        <v>L</v>
      </c>
      <c r="K2281" s="8" t="str">
        <f>_xlfn.XLOOKUP(D2281,Master[Product_Code],Master[Color])</f>
        <v>Sky Blue</v>
      </c>
      <c r="L2281" s="3">
        <f>_xlfn.XLOOKUP(D2281,Master[Product_Code],Master[Selling_Price])</f>
        <v>450</v>
      </c>
    </row>
    <row r="2282" spans="2:12">
      <c r="B2282" s="2" t="s">
        <v>2709</v>
      </c>
      <c r="C2282" s="7">
        <v>46007</v>
      </c>
      <c r="D2282" s="2" t="s">
        <v>754</v>
      </c>
      <c r="E2282" s="4">
        <v>1</v>
      </c>
      <c r="F2282" s="8" t="str">
        <f>_xlfn.XLOOKUP(D2282,Master[Product_Code],Master[Category])</f>
        <v>T-Shirt</v>
      </c>
      <c r="G2282" s="8" t="str">
        <f>_xlfn.XLOOKUP(D2282,Master[Product_Code],Master[Brand])</f>
        <v>Campus</v>
      </c>
      <c r="H2282" s="8" t="str">
        <f>_xlfn.XLOOKUP(D2282,Master[Product_Code],Master[Style])</f>
        <v>Sleeveless</v>
      </c>
      <c r="I2282" s="8" t="str">
        <f>_xlfn.XLOOKUP(D2282,Master[Product_Code],Master[Fabric])</f>
        <v>Cotton Blend</v>
      </c>
      <c r="J2282" s="8" t="str">
        <f>_xlfn.XLOOKUP(D2282,Master[Product_Code],Master[Size])</f>
        <v>L</v>
      </c>
      <c r="K2282" s="8" t="str">
        <f>_xlfn.XLOOKUP(D2282,Master[Product_Code],Master[Color])</f>
        <v>Maroon</v>
      </c>
      <c r="L2282" s="3">
        <f>_xlfn.XLOOKUP(D2282,Master[Product_Code],Master[Selling_Price])</f>
        <v>720</v>
      </c>
    </row>
    <row r="2283" spans="2:12">
      <c r="B2283" s="2" t="s">
        <v>2709</v>
      </c>
      <c r="C2283" s="7">
        <v>46007</v>
      </c>
      <c r="D2283" s="2" t="s">
        <v>1312</v>
      </c>
      <c r="E2283" s="4">
        <v>1</v>
      </c>
      <c r="F2283" s="8" t="str">
        <f>_xlfn.XLOOKUP(D2283,Master[Product_Code],Master[Category])</f>
        <v>Pants</v>
      </c>
      <c r="G2283" s="8" t="str">
        <f>_xlfn.XLOOKUP(D2283,Master[Product_Code],Master[Brand])</f>
        <v>Louis Philippe</v>
      </c>
      <c r="H2283" s="8" t="str">
        <f>_xlfn.XLOOKUP(D2283,Master[Product_Code],Master[Style])</f>
        <v>Boot Cut</v>
      </c>
      <c r="I2283" s="8" t="str">
        <f>_xlfn.XLOOKUP(D2283,Master[Product_Code],Master[Fabric])</f>
        <v>Cotton Blend</v>
      </c>
      <c r="J2283" s="8">
        <f>_xlfn.XLOOKUP(D2283,Master[Product_Code],Master[Size])</f>
        <v>42</v>
      </c>
      <c r="K2283" s="8" t="str">
        <f>_xlfn.XLOOKUP(D2283,Master[Product_Code],Master[Color])</f>
        <v>Charcoal</v>
      </c>
      <c r="L2283" s="3">
        <f>_xlfn.XLOOKUP(D2283,Master[Product_Code],Master[Selling_Price])</f>
        <v>870</v>
      </c>
    </row>
    <row r="2284" spans="2:12">
      <c r="B2284" s="2" t="s">
        <v>2710</v>
      </c>
      <c r="C2284" s="7">
        <v>46007</v>
      </c>
      <c r="D2284" s="2" t="s">
        <v>1569</v>
      </c>
      <c r="E2284" s="4">
        <v>1</v>
      </c>
      <c r="F2284" s="8" t="str">
        <f>_xlfn.XLOOKUP(D2284,Master[Product_Code],Master[Category])</f>
        <v>Innerwear</v>
      </c>
      <c r="G2284" s="8" t="str">
        <f>_xlfn.XLOOKUP(D2284,Master[Product_Code],Master[Brand])</f>
        <v>Rupa</v>
      </c>
      <c r="H2284" s="8" t="str">
        <f>_xlfn.XLOOKUP(D2284,Master[Product_Code],Master[Style])</f>
        <v>V-Cut</v>
      </c>
      <c r="I2284" s="8" t="str">
        <f>_xlfn.XLOOKUP(D2284,Master[Product_Code],Master[Fabric])</f>
        <v>Cotton</v>
      </c>
      <c r="J2284" s="8" t="str">
        <f>_xlfn.XLOOKUP(D2284,Master[Product_Code],Master[Size])</f>
        <v>105-110</v>
      </c>
      <c r="K2284" s="8" t="str">
        <f>_xlfn.XLOOKUP(D2284,Master[Product_Code],Master[Color])</f>
        <v>Black</v>
      </c>
      <c r="L2284" s="3">
        <f>_xlfn.XLOOKUP(D2284,Master[Product_Code],Master[Selling_Price])</f>
        <v>120</v>
      </c>
    </row>
    <row r="2285" spans="2:12">
      <c r="B2285" s="2" t="s">
        <v>2710</v>
      </c>
      <c r="C2285" s="7">
        <v>46007</v>
      </c>
      <c r="D2285" s="2" t="s">
        <v>1259</v>
      </c>
      <c r="E2285" s="4">
        <v>1</v>
      </c>
      <c r="F2285" s="8" t="str">
        <f>_xlfn.XLOOKUP(D2285,Master[Product_Code],Master[Category])</f>
        <v>Pants</v>
      </c>
      <c r="G2285" s="8" t="str">
        <f>_xlfn.XLOOKUP(D2285,Master[Product_Code],Master[Brand])</f>
        <v>Park Avenue</v>
      </c>
      <c r="H2285" s="8" t="str">
        <f>_xlfn.XLOOKUP(D2285,Master[Product_Code],Master[Style])</f>
        <v>Kurka</v>
      </c>
      <c r="I2285" s="8" t="str">
        <f>_xlfn.XLOOKUP(D2285,Master[Product_Code],Master[Fabric])</f>
        <v>Lycra</v>
      </c>
      <c r="J2285" s="8">
        <f>_xlfn.XLOOKUP(D2285,Master[Product_Code],Master[Size])</f>
        <v>42</v>
      </c>
      <c r="K2285" s="8" t="str">
        <f>_xlfn.XLOOKUP(D2285,Master[Product_Code],Master[Color])</f>
        <v>Grey</v>
      </c>
      <c r="L2285" s="3">
        <f>_xlfn.XLOOKUP(D2285,Master[Product_Code],Master[Selling_Price])</f>
        <v>900</v>
      </c>
    </row>
    <row r="2286" spans="2:12">
      <c r="B2286" s="2" t="s">
        <v>2710</v>
      </c>
      <c r="C2286" s="7">
        <v>46007</v>
      </c>
      <c r="D2286" s="2" t="s">
        <v>138</v>
      </c>
      <c r="E2286" s="4">
        <v>1</v>
      </c>
      <c r="F2286" s="8" t="str">
        <f>_xlfn.XLOOKUP(D2286,Master[Product_Code],Master[Category])</f>
        <v>Shirt</v>
      </c>
      <c r="G2286" s="8" t="str">
        <f>_xlfn.XLOOKUP(D2286,Master[Product_Code],Master[Brand])</f>
        <v>Max</v>
      </c>
      <c r="H2286" s="8" t="str">
        <f>_xlfn.XLOOKUP(D2286,Master[Product_Code],Master[Style])</f>
        <v>Formal</v>
      </c>
      <c r="I2286" s="8" t="str">
        <f>_xlfn.XLOOKUP(D2286,Master[Product_Code],Master[Fabric])</f>
        <v>Polyester</v>
      </c>
      <c r="J2286" s="8" t="str">
        <f>_xlfn.XLOOKUP(D2286,Master[Product_Code],Master[Size])</f>
        <v>L</v>
      </c>
      <c r="K2286" s="8" t="str">
        <f>_xlfn.XLOOKUP(D2286,Master[Product_Code],Master[Color])</f>
        <v>Rust</v>
      </c>
      <c r="L2286" s="3">
        <f>_xlfn.XLOOKUP(D2286,Master[Product_Code],Master[Selling_Price])</f>
        <v>780</v>
      </c>
    </row>
    <row r="2287" spans="2:12">
      <c r="B2287" s="2" t="s">
        <v>2711</v>
      </c>
      <c r="C2287" s="7">
        <v>46007</v>
      </c>
      <c r="D2287" s="2" t="s">
        <v>1393</v>
      </c>
      <c r="E2287" s="4">
        <v>1</v>
      </c>
      <c r="F2287" s="8" t="str">
        <f>_xlfn.XLOOKUP(D2287,Master[Product_Code],Master[Category])</f>
        <v>Pants</v>
      </c>
      <c r="G2287" s="8" t="str">
        <f>_xlfn.XLOOKUP(D2287,Master[Product_Code],Master[Brand])</f>
        <v>Peter England</v>
      </c>
      <c r="H2287" s="8" t="str">
        <f>_xlfn.XLOOKUP(D2287,Master[Product_Code],Master[Style])</f>
        <v>Boot Cut</v>
      </c>
      <c r="I2287" s="8" t="str">
        <f>_xlfn.XLOOKUP(D2287,Master[Product_Code],Master[Fabric])</f>
        <v>Poly Viscose</v>
      </c>
      <c r="J2287" s="8">
        <f>_xlfn.XLOOKUP(D2287,Master[Product_Code],Master[Size])</f>
        <v>28</v>
      </c>
      <c r="K2287" s="8" t="str">
        <f>_xlfn.XLOOKUP(D2287,Master[Product_Code],Master[Color])</f>
        <v>Beige</v>
      </c>
      <c r="L2287" s="3">
        <f>_xlfn.XLOOKUP(D2287,Master[Product_Code],Master[Selling_Price])</f>
        <v>780</v>
      </c>
    </row>
    <row r="2288" spans="2:12">
      <c r="B2288" s="2" t="s">
        <v>2711</v>
      </c>
      <c r="C2288" s="7">
        <v>46007</v>
      </c>
      <c r="D2288" s="2" t="s">
        <v>449</v>
      </c>
      <c r="E2288" s="4">
        <v>1</v>
      </c>
      <c r="F2288" s="8" t="str">
        <f>_xlfn.XLOOKUP(D2288,Master[Product_Code],Master[Category])</f>
        <v>T-Shirt</v>
      </c>
      <c r="G2288" s="8" t="str">
        <f>_xlfn.XLOOKUP(D2288,Master[Product_Code],Master[Brand])</f>
        <v>Zara</v>
      </c>
      <c r="H2288" s="8" t="str">
        <f>_xlfn.XLOOKUP(D2288,Master[Product_Code],Master[Style])</f>
        <v>Half Sleeve</v>
      </c>
      <c r="I2288" s="8" t="str">
        <f>_xlfn.XLOOKUP(D2288,Master[Product_Code],Master[Fabric])</f>
        <v>Cotton Blend</v>
      </c>
      <c r="J2288" s="8" t="str">
        <f>_xlfn.XLOOKUP(D2288,Master[Product_Code],Master[Size])</f>
        <v>XL</v>
      </c>
      <c r="K2288" s="8" t="str">
        <f>_xlfn.XLOOKUP(D2288,Master[Product_Code],Master[Color])</f>
        <v>Teal</v>
      </c>
      <c r="L2288" s="3">
        <f>_xlfn.XLOOKUP(D2288,Master[Product_Code],Master[Selling_Price])</f>
        <v>280</v>
      </c>
    </row>
    <row r="2289" spans="2:12">
      <c r="B2289" s="2" t="s">
        <v>2711</v>
      </c>
      <c r="C2289" s="7">
        <v>46007</v>
      </c>
      <c r="D2289" s="2" t="s">
        <v>1240</v>
      </c>
      <c r="E2289" s="4">
        <v>1</v>
      </c>
      <c r="F2289" s="8" t="str">
        <f>_xlfn.XLOOKUP(D2289,Master[Product_Code],Master[Category])</f>
        <v>Pants</v>
      </c>
      <c r="G2289" s="8" t="str">
        <f>_xlfn.XLOOKUP(D2289,Master[Product_Code],Master[Brand])</f>
        <v>Peter England</v>
      </c>
      <c r="H2289" s="8" t="str">
        <f>_xlfn.XLOOKUP(D2289,Master[Product_Code],Master[Style])</f>
        <v>Polofit</v>
      </c>
      <c r="I2289" s="8" t="str">
        <f>_xlfn.XLOOKUP(D2289,Master[Product_Code],Master[Fabric])</f>
        <v>Lycra</v>
      </c>
      <c r="J2289" s="8">
        <f>_xlfn.XLOOKUP(D2289,Master[Product_Code],Master[Size])</f>
        <v>44</v>
      </c>
      <c r="K2289" s="8" t="str">
        <f>_xlfn.XLOOKUP(D2289,Master[Product_Code],Master[Color])</f>
        <v>Sky Blue</v>
      </c>
      <c r="L2289" s="3">
        <f>_xlfn.XLOOKUP(D2289,Master[Product_Code],Master[Selling_Price])</f>
        <v>750</v>
      </c>
    </row>
    <row r="2290" spans="2:12">
      <c r="B2290" s="2" t="s">
        <v>2711</v>
      </c>
      <c r="C2290" s="7">
        <v>46007</v>
      </c>
      <c r="D2290" s="2" t="s">
        <v>1601</v>
      </c>
      <c r="E2290" s="4">
        <v>1</v>
      </c>
      <c r="F2290" s="8" t="str">
        <f>_xlfn.XLOOKUP(D2290,Master[Product_Code],Master[Category])</f>
        <v>Innerwear</v>
      </c>
      <c r="G2290" s="8" t="str">
        <f>_xlfn.XLOOKUP(D2290,Master[Product_Code],Master[Brand])</f>
        <v>Jockey</v>
      </c>
      <c r="H2290" s="8" t="str">
        <f>_xlfn.XLOOKUP(D2290,Master[Product_Code],Master[Style])</f>
        <v>V-Cut</v>
      </c>
      <c r="I2290" s="8" t="str">
        <f>_xlfn.XLOOKUP(D2290,Master[Product_Code],Master[Fabric])</f>
        <v>Cotton Blend</v>
      </c>
      <c r="J2290" s="8" t="str">
        <f>_xlfn.XLOOKUP(D2290,Master[Product_Code],Master[Size])</f>
        <v>105-110</v>
      </c>
      <c r="K2290" s="8" t="str">
        <f>_xlfn.XLOOKUP(D2290,Master[Product_Code],Master[Color])</f>
        <v>Navy Blue</v>
      </c>
      <c r="L2290" s="3">
        <f>_xlfn.XLOOKUP(D2290,Master[Product_Code],Master[Selling_Price])</f>
        <v>150</v>
      </c>
    </row>
    <row r="2291" spans="2:12">
      <c r="B2291" s="2" t="s">
        <v>2712</v>
      </c>
      <c r="C2291" s="7">
        <v>46007</v>
      </c>
      <c r="D2291" s="2" t="s">
        <v>955</v>
      </c>
      <c r="E2291" s="4">
        <v>1</v>
      </c>
      <c r="F2291" s="8" t="str">
        <f>_xlfn.XLOOKUP(D2291,Master[Product_Code],Master[Category])</f>
        <v>Jeans</v>
      </c>
      <c r="G2291" s="8" t="str">
        <f>_xlfn.XLOOKUP(D2291,Master[Product_Code],Master[Brand])</f>
        <v>Wrangler</v>
      </c>
      <c r="H2291" s="8" t="str">
        <f>_xlfn.XLOOKUP(D2291,Master[Product_Code],Master[Style])</f>
        <v>Jogger</v>
      </c>
      <c r="I2291" s="8" t="str">
        <f>_xlfn.XLOOKUP(D2291,Master[Product_Code],Master[Fabric])</f>
        <v>Denim</v>
      </c>
      <c r="J2291" s="8">
        <f>_xlfn.XLOOKUP(D2291,Master[Product_Code],Master[Size])</f>
        <v>44</v>
      </c>
      <c r="K2291" s="8" t="str">
        <f>_xlfn.XLOOKUP(D2291,Master[Product_Code],Master[Color])</f>
        <v>Maroon</v>
      </c>
      <c r="L2291" s="3">
        <f>_xlfn.XLOOKUP(D2291,Master[Product_Code],Master[Selling_Price])</f>
        <v>920</v>
      </c>
    </row>
    <row r="2292" spans="2:12">
      <c r="B2292" s="2" t="s">
        <v>2712</v>
      </c>
      <c r="C2292" s="7">
        <v>46007</v>
      </c>
      <c r="D2292" s="2" t="s">
        <v>103</v>
      </c>
      <c r="E2292" s="4">
        <v>1</v>
      </c>
      <c r="F2292" s="8" t="str">
        <f>_xlfn.XLOOKUP(D2292,Master[Product_Code],Master[Category])</f>
        <v>Shirt</v>
      </c>
      <c r="G2292" s="8" t="str">
        <f>_xlfn.XLOOKUP(D2292,Master[Product_Code],Master[Brand])</f>
        <v>Zara</v>
      </c>
      <c r="H2292" s="8" t="str">
        <f>_xlfn.XLOOKUP(D2292,Master[Product_Code],Master[Style])</f>
        <v>Formal</v>
      </c>
      <c r="I2292" s="8" t="str">
        <f>_xlfn.XLOOKUP(D2292,Master[Product_Code],Master[Fabric])</f>
        <v>Polyester</v>
      </c>
      <c r="J2292" s="8" t="str">
        <f>_xlfn.XLOOKUP(D2292,Master[Product_Code],Master[Size])</f>
        <v>L</v>
      </c>
      <c r="K2292" s="8" t="str">
        <f>_xlfn.XLOOKUP(D2292,Master[Product_Code],Master[Color])</f>
        <v>White</v>
      </c>
      <c r="L2292" s="3">
        <f>_xlfn.XLOOKUP(D2292,Master[Product_Code],Master[Selling_Price])</f>
        <v>930</v>
      </c>
    </row>
    <row r="2293" spans="2:12">
      <c r="B2293" s="2" t="s">
        <v>2712</v>
      </c>
      <c r="C2293" s="7">
        <v>46007</v>
      </c>
      <c r="D2293" s="2" t="s">
        <v>493</v>
      </c>
      <c r="E2293" s="4">
        <v>1</v>
      </c>
      <c r="F2293" s="8" t="str">
        <f>_xlfn.XLOOKUP(D2293,Master[Product_Code],Master[Category])</f>
        <v>T-Shirt</v>
      </c>
      <c r="G2293" s="8" t="str">
        <f>_xlfn.XLOOKUP(D2293,Master[Product_Code],Master[Brand])</f>
        <v>Roadster</v>
      </c>
      <c r="H2293" s="8" t="str">
        <f>_xlfn.XLOOKUP(D2293,Master[Product_Code],Master[Style])</f>
        <v>Half Sleeve</v>
      </c>
      <c r="I2293" s="8" t="str">
        <f>_xlfn.XLOOKUP(D2293,Master[Product_Code],Master[Fabric])</f>
        <v>Poly Cotton</v>
      </c>
      <c r="J2293" s="8" t="str">
        <f>_xlfn.XLOOKUP(D2293,Master[Product_Code],Master[Size])</f>
        <v>S</v>
      </c>
      <c r="K2293" s="8" t="str">
        <f>_xlfn.XLOOKUP(D2293,Master[Product_Code],Master[Color])</f>
        <v>Beige</v>
      </c>
      <c r="L2293" s="3">
        <f>_xlfn.XLOOKUP(D2293,Master[Product_Code],Master[Selling_Price])</f>
        <v>600</v>
      </c>
    </row>
    <row r="2294" spans="2:12">
      <c r="B2294" s="2" t="s">
        <v>2713</v>
      </c>
      <c r="C2294" s="7">
        <v>46007</v>
      </c>
      <c r="D2294" s="2" t="s">
        <v>1031</v>
      </c>
      <c r="E2294" s="4">
        <v>1</v>
      </c>
      <c r="F2294" s="8" t="str">
        <f>_xlfn.XLOOKUP(D2294,Master[Product_Code],Master[Category])</f>
        <v>Jeans</v>
      </c>
      <c r="G2294" s="8" t="str">
        <f>_xlfn.XLOOKUP(D2294,Master[Product_Code],Master[Brand])</f>
        <v>Spykar</v>
      </c>
      <c r="H2294" s="8" t="str">
        <f>_xlfn.XLOOKUP(D2294,Master[Product_Code],Master[Style])</f>
        <v>Baggy</v>
      </c>
      <c r="I2294" s="8" t="str">
        <f>_xlfn.XLOOKUP(D2294,Master[Product_Code],Master[Fabric])</f>
        <v>Denim</v>
      </c>
      <c r="J2294" s="8">
        <f>_xlfn.XLOOKUP(D2294,Master[Product_Code],Master[Size])</f>
        <v>44</v>
      </c>
      <c r="K2294" s="8" t="str">
        <f>_xlfn.XLOOKUP(D2294,Master[Product_Code],Master[Color])</f>
        <v>Cream</v>
      </c>
      <c r="L2294" s="3">
        <f>_xlfn.XLOOKUP(D2294,Master[Product_Code],Master[Selling_Price])</f>
        <v>990</v>
      </c>
    </row>
    <row r="2295" spans="2:12">
      <c r="B2295" s="2" t="s">
        <v>2713</v>
      </c>
      <c r="C2295" s="7">
        <v>46007</v>
      </c>
      <c r="D2295" s="2" t="s">
        <v>1225</v>
      </c>
      <c r="E2295" s="4">
        <v>1</v>
      </c>
      <c r="F2295" s="8" t="str">
        <f>_xlfn.XLOOKUP(D2295,Master[Product_Code],Master[Category])</f>
        <v>Pants</v>
      </c>
      <c r="G2295" s="8" t="str">
        <f>_xlfn.XLOOKUP(D2295,Master[Product_Code],Master[Brand])</f>
        <v>Peter England</v>
      </c>
      <c r="H2295" s="8" t="str">
        <f>_xlfn.XLOOKUP(D2295,Master[Product_Code],Master[Style])</f>
        <v>Korean</v>
      </c>
      <c r="I2295" s="8" t="str">
        <f>_xlfn.XLOOKUP(D2295,Master[Product_Code],Master[Fabric])</f>
        <v>Lycra</v>
      </c>
      <c r="J2295" s="8">
        <f>_xlfn.XLOOKUP(D2295,Master[Product_Code],Master[Size])</f>
        <v>28</v>
      </c>
      <c r="K2295" s="8" t="str">
        <f>_xlfn.XLOOKUP(D2295,Master[Product_Code],Master[Color])</f>
        <v>Brown</v>
      </c>
      <c r="L2295" s="3">
        <f>_xlfn.XLOOKUP(D2295,Master[Product_Code],Master[Selling_Price])</f>
        <v>890</v>
      </c>
    </row>
    <row r="2296" spans="2:12">
      <c r="B2296" s="2" t="s">
        <v>2713</v>
      </c>
      <c r="C2296" s="7">
        <v>46007</v>
      </c>
      <c r="D2296" s="2" t="s">
        <v>520</v>
      </c>
      <c r="E2296" s="4">
        <v>1</v>
      </c>
      <c r="F2296" s="8" t="str">
        <f>_xlfn.XLOOKUP(D2296,Master[Product_Code],Master[Category])</f>
        <v>T-Shirt</v>
      </c>
      <c r="G2296" s="8" t="str">
        <f>_xlfn.XLOOKUP(D2296,Master[Product_Code],Master[Brand])</f>
        <v>Turkey</v>
      </c>
      <c r="H2296" s="8" t="str">
        <f>_xlfn.XLOOKUP(D2296,Master[Product_Code],Master[Style])</f>
        <v>Full Sleeve</v>
      </c>
      <c r="I2296" s="8" t="str">
        <f>_xlfn.XLOOKUP(D2296,Master[Product_Code],Master[Fabric])</f>
        <v>Cotton Blend</v>
      </c>
      <c r="J2296" s="8" t="str">
        <f>_xlfn.XLOOKUP(D2296,Master[Product_Code],Master[Size])</f>
        <v>XXL</v>
      </c>
      <c r="K2296" s="8" t="str">
        <f>_xlfn.XLOOKUP(D2296,Master[Product_Code],Master[Color])</f>
        <v>Cream</v>
      </c>
      <c r="L2296" s="3">
        <f>_xlfn.XLOOKUP(D2296,Master[Product_Code],Master[Selling_Price])</f>
        <v>730</v>
      </c>
    </row>
    <row r="2297" spans="2:12">
      <c r="B2297" s="2" t="s">
        <v>2713</v>
      </c>
      <c r="C2297" s="7">
        <v>46007</v>
      </c>
      <c r="D2297" s="2" t="s">
        <v>312</v>
      </c>
      <c r="E2297" s="4">
        <v>1</v>
      </c>
      <c r="F2297" s="8" t="str">
        <f>_xlfn.XLOOKUP(D2297,Master[Product_Code],Master[Category])</f>
        <v>Shirt</v>
      </c>
      <c r="G2297" s="8" t="str">
        <f>_xlfn.XLOOKUP(D2297,Master[Product_Code],Master[Brand])</f>
        <v>USD</v>
      </c>
      <c r="H2297" s="8" t="str">
        <f>_xlfn.XLOOKUP(D2297,Master[Product_Code],Master[Style])</f>
        <v>Partywear</v>
      </c>
      <c r="I2297" s="8" t="str">
        <f>_xlfn.XLOOKUP(D2297,Master[Product_Code],Master[Fabric])</f>
        <v>Polyester</v>
      </c>
      <c r="J2297" s="8" t="str">
        <f>_xlfn.XLOOKUP(D2297,Master[Product_Code],Master[Size])</f>
        <v>S</v>
      </c>
      <c r="K2297" s="8" t="str">
        <f>_xlfn.XLOOKUP(D2297,Master[Product_Code],Master[Color])</f>
        <v>Maroon</v>
      </c>
      <c r="L2297" s="3">
        <f>_xlfn.XLOOKUP(D2297,Master[Product_Code],Master[Selling_Price])</f>
        <v>640</v>
      </c>
    </row>
    <row r="2298" spans="2:12">
      <c r="B2298" s="2" t="s">
        <v>2714</v>
      </c>
      <c r="C2298" s="7">
        <v>46007</v>
      </c>
      <c r="D2298" s="2" t="s">
        <v>512</v>
      </c>
      <c r="E2298" s="4">
        <v>1</v>
      </c>
      <c r="F2298" s="8" t="str">
        <f>_xlfn.XLOOKUP(D2298,Master[Product_Code],Master[Category])</f>
        <v>T-Shirt</v>
      </c>
      <c r="G2298" s="8" t="str">
        <f>_xlfn.XLOOKUP(D2298,Master[Product_Code],Master[Brand])</f>
        <v>Campus</v>
      </c>
      <c r="H2298" s="8" t="str">
        <f>_xlfn.XLOOKUP(D2298,Master[Product_Code],Master[Style])</f>
        <v>3/4 Sleeve</v>
      </c>
      <c r="I2298" s="8" t="str">
        <f>_xlfn.XLOOKUP(D2298,Master[Product_Code],Master[Fabric])</f>
        <v>Cotton Blend</v>
      </c>
      <c r="J2298" s="8" t="str">
        <f>_xlfn.XLOOKUP(D2298,Master[Product_Code],Master[Size])</f>
        <v>S</v>
      </c>
      <c r="K2298" s="8" t="str">
        <f>_xlfn.XLOOKUP(D2298,Master[Product_Code],Master[Color])</f>
        <v>Teal</v>
      </c>
      <c r="L2298" s="3">
        <f>_xlfn.XLOOKUP(D2298,Master[Product_Code],Master[Selling_Price])</f>
        <v>280</v>
      </c>
    </row>
    <row r="2299" spans="2:12">
      <c r="B2299" s="2" t="s">
        <v>2715</v>
      </c>
      <c r="C2299" s="7">
        <v>46007</v>
      </c>
      <c r="D2299" s="2" t="s">
        <v>93</v>
      </c>
      <c r="E2299" s="4">
        <v>1</v>
      </c>
      <c r="F2299" s="8" t="str">
        <f>_xlfn.XLOOKUP(D2299,Master[Product_Code],Master[Category])</f>
        <v>Shirt</v>
      </c>
      <c r="G2299" s="8" t="str">
        <f>_xlfn.XLOOKUP(D2299,Master[Product_Code],Master[Brand])</f>
        <v>L7</v>
      </c>
      <c r="H2299" s="8" t="str">
        <f>_xlfn.XLOOKUP(D2299,Master[Product_Code],Master[Style])</f>
        <v>Casual</v>
      </c>
      <c r="I2299" s="8" t="str">
        <f>_xlfn.XLOOKUP(D2299,Master[Product_Code],Master[Fabric])</f>
        <v>Cotton Blend</v>
      </c>
      <c r="J2299" s="8" t="str">
        <f>_xlfn.XLOOKUP(D2299,Master[Product_Code],Master[Size])</f>
        <v>L</v>
      </c>
      <c r="K2299" s="8" t="str">
        <f>_xlfn.XLOOKUP(D2299,Master[Product_Code],Master[Color])</f>
        <v>Grey</v>
      </c>
      <c r="L2299" s="3">
        <f>_xlfn.XLOOKUP(D2299,Master[Product_Code],Master[Selling_Price])</f>
        <v>850</v>
      </c>
    </row>
    <row r="2300" spans="2:12">
      <c r="B2300" s="2" t="s">
        <v>2715</v>
      </c>
      <c r="C2300" s="7">
        <v>46007</v>
      </c>
      <c r="D2300" s="2" t="s">
        <v>1237</v>
      </c>
      <c r="E2300" s="4">
        <v>1</v>
      </c>
      <c r="F2300" s="8" t="str">
        <f>_xlfn.XLOOKUP(D2300,Master[Product_Code],Master[Category])</f>
        <v>Pants</v>
      </c>
      <c r="G2300" s="8" t="str">
        <f>_xlfn.XLOOKUP(D2300,Master[Product_Code],Master[Brand])</f>
        <v>Peter England</v>
      </c>
      <c r="H2300" s="8" t="str">
        <f>_xlfn.XLOOKUP(D2300,Master[Product_Code],Master[Style])</f>
        <v>Polofit</v>
      </c>
      <c r="I2300" s="8" t="str">
        <f>_xlfn.XLOOKUP(D2300,Master[Product_Code],Master[Fabric])</f>
        <v>Lycra</v>
      </c>
      <c r="J2300" s="8">
        <f>_xlfn.XLOOKUP(D2300,Master[Product_Code],Master[Size])</f>
        <v>36</v>
      </c>
      <c r="K2300" s="8" t="str">
        <f>_xlfn.XLOOKUP(D2300,Master[Product_Code],Master[Color])</f>
        <v>Dark Green</v>
      </c>
      <c r="L2300" s="3">
        <f>_xlfn.XLOOKUP(D2300,Master[Product_Code],Master[Selling_Price])</f>
        <v>800</v>
      </c>
    </row>
    <row r="2301" spans="2:12">
      <c r="B2301" s="2" t="s">
        <v>2715</v>
      </c>
      <c r="C2301" s="7">
        <v>46007</v>
      </c>
      <c r="D2301" s="2" t="s">
        <v>940</v>
      </c>
      <c r="E2301" s="4">
        <v>1</v>
      </c>
      <c r="F2301" s="8" t="str">
        <f>_xlfn.XLOOKUP(D2301,Master[Product_Code],Master[Category])</f>
        <v>Jeans</v>
      </c>
      <c r="G2301" s="8" t="str">
        <f>_xlfn.XLOOKUP(D2301,Master[Product_Code],Master[Brand])</f>
        <v>Wrangler</v>
      </c>
      <c r="H2301" s="8" t="str">
        <f>_xlfn.XLOOKUP(D2301,Master[Product_Code],Master[Style])</f>
        <v>Jogger</v>
      </c>
      <c r="I2301" s="8" t="str">
        <f>_xlfn.XLOOKUP(D2301,Master[Product_Code],Master[Fabric])</f>
        <v>Denim</v>
      </c>
      <c r="J2301" s="8">
        <f>_xlfn.XLOOKUP(D2301,Master[Product_Code],Master[Size])</f>
        <v>42</v>
      </c>
      <c r="K2301" s="8" t="str">
        <f>_xlfn.XLOOKUP(D2301,Master[Product_Code],Master[Color])</f>
        <v>Dark Green</v>
      </c>
      <c r="L2301" s="3">
        <f>_xlfn.XLOOKUP(D2301,Master[Product_Code],Master[Selling_Price])</f>
        <v>920</v>
      </c>
    </row>
    <row r="2302" spans="2:12">
      <c r="B2302" s="2" t="s">
        <v>2716</v>
      </c>
      <c r="C2302" s="7">
        <v>46007</v>
      </c>
      <c r="D2302" s="2" t="s">
        <v>954</v>
      </c>
      <c r="E2302" s="4">
        <v>1</v>
      </c>
      <c r="F2302" s="8" t="str">
        <f>_xlfn.XLOOKUP(D2302,Master[Product_Code],Master[Category])</f>
        <v>Jeans</v>
      </c>
      <c r="G2302" s="8" t="str">
        <f>_xlfn.XLOOKUP(D2302,Master[Product_Code],Master[Brand])</f>
        <v>Levis</v>
      </c>
      <c r="H2302" s="8" t="str">
        <f>_xlfn.XLOOKUP(D2302,Master[Product_Code],Master[Style])</f>
        <v>Baggy</v>
      </c>
      <c r="I2302" s="8" t="str">
        <f>_xlfn.XLOOKUP(D2302,Master[Product_Code],Master[Fabric])</f>
        <v>Denim</v>
      </c>
      <c r="J2302" s="8">
        <f>_xlfn.XLOOKUP(D2302,Master[Product_Code],Master[Size])</f>
        <v>36</v>
      </c>
      <c r="K2302" s="8" t="str">
        <f>_xlfn.XLOOKUP(D2302,Master[Product_Code],Master[Color])</f>
        <v>Cream</v>
      </c>
      <c r="L2302" s="3">
        <f>_xlfn.XLOOKUP(D2302,Master[Product_Code],Master[Selling_Price])</f>
        <v>870</v>
      </c>
    </row>
    <row r="2303" spans="2:12">
      <c r="B2303" s="2" t="s">
        <v>2716</v>
      </c>
      <c r="C2303" s="7">
        <v>46007</v>
      </c>
      <c r="D2303" s="2" t="s">
        <v>544</v>
      </c>
      <c r="E2303" s="4">
        <v>1</v>
      </c>
      <c r="F2303" s="8" t="str">
        <f>_xlfn.XLOOKUP(D2303,Master[Product_Code],Master[Category])</f>
        <v>T-Shirt</v>
      </c>
      <c r="G2303" s="8" t="str">
        <f>_xlfn.XLOOKUP(D2303,Master[Product_Code],Master[Brand])</f>
        <v>Thailand</v>
      </c>
      <c r="H2303" s="8" t="str">
        <f>_xlfn.XLOOKUP(D2303,Master[Product_Code],Master[Style])</f>
        <v>Half Sleeve</v>
      </c>
      <c r="I2303" s="8" t="str">
        <f>_xlfn.XLOOKUP(D2303,Master[Product_Code],Master[Fabric])</f>
        <v>Poly Cotton</v>
      </c>
      <c r="J2303" s="8" t="str">
        <f>_xlfn.XLOOKUP(D2303,Master[Product_Code],Master[Size])</f>
        <v>S</v>
      </c>
      <c r="K2303" s="8" t="str">
        <f>_xlfn.XLOOKUP(D2303,Master[Product_Code],Master[Color])</f>
        <v>Olive</v>
      </c>
      <c r="L2303" s="3">
        <f>_xlfn.XLOOKUP(D2303,Master[Product_Code],Master[Selling_Price])</f>
        <v>620</v>
      </c>
    </row>
    <row r="2304" spans="2:12">
      <c r="B2304" s="2" t="s">
        <v>2716</v>
      </c>
      <c r="C2304" s="7">
        <v>46007</v>
      </c>
      <c r="D2304" s="2" t="s">
        <v>1577</v>
      </c>
      <c r="E2304" s="4">
        <v>1</v>
      </c>
      <c r="F2304" s="8" t="str">
        <f>_xlfn.XLOOKUP(D2304,Master[Product_Code],Master[Category])</f>
        <v>Innerwear</v>
      </c>
      <c r="G2304" s="8" t="str">
        <f>_xlfn.XLOOKUP(D2304,Master[Product_Code],Master[Brand])</f>
        <v>Jockey</v>
      </c>
      <c r="H2304" s="8" t="str">
        <f>_xlfn.XLOOKUP(D2304,Master[Product_Code],Master[Style])</f>
        <v>Boxer</v>
      </c>
      <c r="I2304" s="8" t="str">
        <f>_xlfn.XLOOKUP(D2304,Master[Product_Code],Master[Fabric])</f>
        <v>Cotton Blend</v>
      </c>
      <c r="J2304" s="8" t="str">
        <f>_xlfn.XLOOKUP(D2304,Master[Product_Code],Master[Size])</f>
        <v>100-105</v>
      </c>
      <c r="K2304" s="8" t="str">
        <f>_xlfn.XLOOKUP(D2304,Master[Product_Code],Master[Color])</f>
        <v>Maroon</v>
      </c>
      <c r="L2304" s="3">
        <f>_xlfn.XLOOKUP(D2304,Master[Product_Code],Master[Selling_Price])</f>
        <v>170</v>
      </c>
    </row>
    <row r="2305" spans="2:12">
      <c r="B2305" s="2" t="s">
        <v>2716</v>
      </c>
      <c r="C2305" s="7">
        <v>46007</v>
      </c>
      <c r="D2305" s="2" t="s">
        <v>334</v>
      </c>
      <c r="E2305" s="4">
        <v>1</v>
      </c>
      <c r="F2305" s="8" t="str">
        <f>_xlfn.XLOOKUP(D2305,Master[Product_Code],Master[Category])</f>
        <v>Shirt</v>
      </c>
      <c r="G2305" s="8" t="str">
        <f>_xlfn.XLOOKUP(D2305,Master[Product_Code],Master[Brand])</f>
        <v>Max</v>
      </c>
      <c r="H2305" s="8" t="str">
        <f>_xlfn.XLOOKUP(D2305,Master[Product_Code],Master[Style])</f>
        <v>Formal</v>
      </c>
      <c r="I2305" s="8" t="str">
        <f>_xlfn.XLOOKUP(D2305,Master[Product_Code],Master[Fabric])</f>
        <v>Cotton Blend</v>
      </c>
      <c r="J2305" s="8" t="str">
        <f>_xlfn.XLOOKUP(D2305,Master[Product_Code],Master[Size])</f>
        <v>XXL</v>
      </c>
      <c r="K2305" s="8" t="str">
        <f>_xlfn.XLOOKUP(D2305,Master[Product_Code],Master[Color])</f>
        <v>Maroon</v>
      </c>
      <c r="L2305" s="3">
        <f>_xlfn.XLOOKUP(D2305,Master[Product_Code],Master[Selling_Price])</f>
        <v>800</v>
      </c>
    </row>
    <row r="2306" spans="2:12">
      <c r="B2306" s="2" t="s">
        <v>2717</v>
      </c>
      <c r="C2306" s="7">
        <v>46007</v>
      </c>
      <c r="D2306" s="2" t="s">
        <v>1073</v>
      </c>
      <c r="E2306" s="4">
        <v>1</v>
      </c>
      <c r="F2306" s="8" t="str">
        <f>_xlfn.XLOOKUP(D2306,Master[Product_Code],Master[Category])</f>
        <v>Jeans</v>
      </c>
      <c r="G2306" s="8" t="str">
        <f>_xlfn.XLOOKUP(D2306,Master[Product_Code],Master[Brand])</f>
        <v>Denim Pro</v>
      </c>
      <c r="H2306" s="8" t="str">
        <f>_xlfn.XLOOKUP(D2306,Master[Product_Code],Master[Style])</f>
        <v>Mom Fit</v>
      </c>
      <c r="I2306" s="8" t="str">
        <f>_xlfn.XLOOKUP(D2306,Master[Product_Code],Master[Fabric])</f>
        <v>Denim</v>
      </c>
      <c r="J2306" s="8">
        <f>_xlfn.XLOOKUP(D2306,Master[Product_Code],Master[Size])</f>
        <v>40</v>
      </c>
      <c r="K2306" s="8" t="str">
        <f>_xlfn.XLOOKUP(D2306,Master[Product_Code],Master[Color])</f>
        <v>Sky Blue</v>
      </c>
      <c r="L2306" s="3">
        <f>_xlfn.XLOOKUP(D2306,Master[Product_Code],Master[Selling_Price])</f>
        <v>910</v>
      </c>
    </row>
    <row r="2307" spans="2:12">
      <c r="B2307" s="2" t="s">
        <v>2717</v>
      </c>
      <c r="C2307" s="7">
        <v>46007</v>
      </c>
      <c r="D2307" s="2" t="s">
        <v>1456</v>
      </c>
      <c r="E2307" s="4">
        <v>1</v>
      </c>
      <c r="F2307" s="8" t="str">
        <f>_xlfn.XLOOKUP(D2307,Master[Product_Code],Master[Category])</f>
        <v>Innerwear</v>
      </c>
      <c r="G2307" s="8" t="str">
        <f>_xlfn.XLOOKUP(D2307,Master[Product_Code],Master[Brand])</f>
        <v>V Star</v>
      </c>
      <c r="H2307" s="8" t="str">
        <f>_xlfn.XLOOKUP(D2307,Master[Product_Code],Master[Style])</f>
        <v>V-Cut</v>
      </c>
      <c r="I2307" s="8" t="str">
        <f>_xlfn.XLOOKUP(D2307,Master[Product_Code],Master[Fabric])</f>
        <v>Cotton</v>
      </c>
      <c r="J2307" s="8" t="str">
        <f>_xlfn.XLOOKUP(D2307,Master[Product_Code],Master[Size])</f>
        <v>80-85</v>
      </c>
      <c r="K2307" s="8" t="str">
        <f>_xlfn.XLOOKUP(D2307,Master[Product_Code],Master[Color])</f>
        <v>Mustard</v>
      </c>
      <c r="L2307" s="3">
        <f>_xlfn.XLOOKUP(D2307,Master[Product_Code],Master[Selling_Price])</f>
        <v>100</v>
      </c>
    </row>
    <row r="2308" spans="2:12">
      <c r="B2308" s="2" t="s">
        <v>2718</v>
      </c>
      <c r="C2308" s="7">
        <v>46007</v>
      </c>
      <c r="D2308" s="2" t="s">
        <v>100</v>
      </c>
      <c r="E2308" s="4">
        <v>1</v>
      </c>
      <c r="F2308" s="8" t="str">
        <f>_xlfn.XLOOKUP(D2308,Master[Product_Code],Master[Category])</f>
        <v>Shirt</v>
      </c>
      <c r="G2308" s="8" t="str">
        <f>_xlfn.XLOOKUP(D2308,Master[Product_Code],Master[Brand])</f>
        <v>L7</v>
      </c>
      <c r="H2308" s="8" t="str">
        <f>_xlfn.XLOOKUP(D2308,Master[Product_Code],Master[Style])</f>
        <v>Partywear</v>
      </c>
      <c r="I2308" s="8" t="str">
        <f>_xlfn.XLOOKUP(D2308,Master[Product_Code],Master[Fabric])</f>
        <v>Lycra</v>
      </c>
      <c r="J2308" s="8" t="str">
        <f>_xlfn.XLOOKUP(D2308,Master[Product_Code],Master[Size])</f>
        <v>L</v>
      </c>
      <c r="K2308" s="8" t="str">
        <f>_xlfn.XLOOKUP(D2308,Master[Product_Code],Master[Color])</f>
        <v>Brown</v>
      </c>
      <c r="L2308" s="3">
        <f>_xlfn.XLOOKUP(D2308,Master[Product_Code],Master[Selling_Price])</f>
        <v>670</v>
      </c>
    </row>
    <row r="2309" spans="2:12">
      <c r="B2309" s="2" t="s">
        <v>2718</v>
      </c>
      <c r="C2309" s="7">
        <v>46007</v>
      </c>
      <c r="D2309" s="2" t="s">
        <v>388</v>
      </c>
      <c r="E2309" s="4">
        <v>1</v>
      </c>
      <c r="F2309" s="8" t="str">
        <f>_xlfn.XLOOKUP(D2309,Master[Product_Code],Master[Category])</f>
        <v>Shirt</v>
      </c>
      <c r="G2309" s="8" t="str">
        <f>_xlfn.XLOOKUP(D2309,Master[Product_Code],Master[Brand])</f>
        <v>Zara</v>
      </c>
      <c r="H2309" s="8" t="str">
        <f>_xlfn.XLOOKUP(D2309,Master[Product_Code],Master[Style])</f>
        <v>Casual</v>
      </c>
      <c r="I2309" s="8" t="str">
        <f>_xlfn.XLOOKUP(D2309,Master[Product_Code],Master[Fabric])</f>
        <v>Polyester</v>
      </c>
      <c r="J2309" s="8" t="str">
        <f>_xlfn.XLOOKUP(D2309,Master[Product_Code],Master[Size])</f>
        <v>M</v>
      </c>
      <c r="K2309" s="8" t="str">
        <f>_xlfn.XLOOKUP(D2309,Master[Product_Code],Master[Color])</f>
        <v>Maroon</v>
      </c>
      <c r="L2309" s="3">
        <f>_xlfn.XLOOKUP(D2309,Master[Product_Code],Master[Selling_Price])</f>
        <v>800</v>
      </c>
    </row>
    <row r="2310" spans="2:12">
      <c r="B2310" s="2" t="s">
        <v>2718</v>
      </c>
      <c r="C2310" s="7">
        <v>46007</v>
      </c>
      <c r="D2310" s="2" t="s">
        <v>1598</v>
      </c>
      <c r="E2310" s="4">
        <v>1</v>
      </c>
      <c r="F2310" s="8" t="str">
        <f>_xlfn.XLOOKUP(D2310,Master[Product_Code],Master[Category])</f>
        <v>Innerwear</v>
      </c>
      <c r="G2310" s="8" t="str">
        <f>_xlfn.XLOOKUP(D2310,Master[Product_Code],Master[Brand])</f>
        <v>V Star</v>
      </c>
      <c r="H2310" s="8" t="str">
        <f>_xlfn.XLOOKUP(D2310,Master[Product_Code],Master[Style])</f>
        <v>V-Cut</v>
      </c>
      <c r="I2310" s="8" t="str">
        <f>_xlfn.XLOOKUP(D2310,Master[Product_Code],Master[Fabric])</f>
        <v>Cotton Blend</v>
      </c>
      <c r="J2310" s="8" t="str">
        <f>_xlfn.XLOOKUP(D2310,Master[Product_Code],Master[Size])</f>
        <v>75-80</v>
      </c>
      <c r="K2310" s="8" t="str">
        <f>_xlfn.XLOOKUP(D2310,Master[Product_Code],Master[Color])</f>
        <v>Wine</v>
      </c>
      <c r="L2310" s="3">
        <f>_xlfn.XLOOKUP(D2310,Master[Product_Code],Master[Selling_Price])</f>
        <v>180</v>
      </c>
    </row>
    <row r="2311" spans="2:12">
      <c r="B2311" s="2" t="s">
        <v>2718</v>
      </c>
      <c r="C2311" s="7">
        <v>46007</v>
      </c>
      <c r="D2311" s="2" t="s">
        <v>996</v>
      </c>
      <c r="E2311" s="4">
        <v>1</v>
      </c>
      <c r="F2311" s="8" t="str">
        <f>_xlfn.XLOOKUP(D2311,Master[Product_Code],Master[Category])</f>
        <v>Jeans</v>
      </c>
      <c r="G2311" s="8" t="str">
        <f>_xlfn.XLOOKUP(D2311,Master[Product_Code],Master[Brand])</f>
        <v>Pepe</v>
      </c>
      <c r="H2311" s="8" t="str">
        <f>_xlfn.XLOOKUP(D2311,Master[Product_Code],Master[Style])</f>
        <v>Baggy</v>
      </c>
      <c r="I2311" s="8" t="str">
        <f>_xlfn.XLOOKUP(D2311,Master[Product_Code],Master[Fabric])</f>
        <v>Denim</v>
      </c>
      <c r="J2311" s="8">
        <f>_xlfn.XLOOKUP(D2311,Master[Product_Code],Master[Size])</f>
        <v>44</v>
      </c>
      <c r="K2311" s="8" t="str">
        <f>_xlfn.XLOOKUP(D2311,Master[Product_Code],Master[Color])</f>
        <v>Sky Blue</v>
      </c>
      <c r="L2311" s="3">
        <f>_xlfn.XLOOKUP(D2311,Master[Product_Code],Master[Selling_Price])</f>
        <v>1030</v>
      </c>
    </row>
    <row r="2312" spans="2:12">
      <c r="B2312" s="2" t="s">
        <v>2719</v>
      </c>
      <c r="C2312" s="7">
        <v>46007</v>
      </c>
      <c r="D2312" s="2" t="s">
        <v>1299</v>
      </c>
      <c r="E2312" s="4">
        <v>1</v>
      </c>
      <c r="F2312" s="8" t="str">
        <f>_xlfn.XLOOKUP(D2312,Master[Product_Code],Master[Category])</f>
        <v>Pants</v>
      </c>
      <c r="G2312" s="8" t="str">
        <f>_xlfn.XLOOKUP(D2312,Master[Product_Code],Master[Brand])</f>
        <v>Louis Philippe</v>
      </c>
      <c r="H2312" s="8" t="str">
        <f>_xlfn.XLOOKUP(D2312,Master[Product_Code],Master[Style])</f>
        <v>Kurka</v>
      </c>
      <c r="I2312" s="8" t="str">
        <f>_xlfn.XLOOKUP(D2312,Master[Product_Code],Master[Fabric])</f>
        <v>Lycra</v>
      </c>
      <c r="J2312" s="8">
        <f>_xlfn.XLOOKUP(D2312,Master[Product_Code],Master[Size])</f>
        <v>40</v>
      </c>
      <c r="K2312" s="8" t="str">
        <f>_xlfn.XLOOKUP(D2312,Master[Product_Code],Master[Color])</f>
        <v>White</v>
      </c>
      <c r="L2312" s="3">
        <f>_xlfn.XLOOKUP(D2312,Master[Product_Code],Master[Selling_Price])</f>
        <v>940</v>
      </c>
    </row>
    <row r="2313" spans="2:12">
      <c r="B2313" s="2" t="s">
        <v>2719</v>
      </c>
      <c r="C2313" s="7">
        <v>46007</v>
      </c>
      <c r="D2313" s="2" t="s">
        <v>293</v>
      </c>
      <c r="E2313" s="4">
        <v>1</v>
      </c>
      <c r="F2313" s="8" t="str">
        <f>_xlfn.XLOOKUP(D2313,Master[Product_Code],Master[Category])</f>
        <v>Shirt</v>
      </c>
      <c r="G2313" s="8" t="str">
        <f>_xlfn.XLOOKUP(D2313,Master[Product_Code],Master[Brand])</f>
        <v>Zara</v>
      </c>
      <c r="H2313" s="8" t="str">
        <f>_xlfn.XLOOKUP(D2313,Master[Product_Code],Master[Style])</f>
        <v>Casual</v>
      </c>
      <c r="I2313" s="8" t="str">
        <f>_xlfn.XLOOKUP(D2313,Master[Product_Code],Master[Fabric])</f>
        <v>Lycra</v>
      </c>
      <c r="J2313" s="8" t="str">
        <f>_xlfn.XLOOKUP(D2313,Master[Product_Code],Master[Size])</f>
        <v>M</v>
      </c>
      <c r="K2313" s="8" t="str">
        <f>_xlfn.XLOOKUP(D2313,Master[Product_Code],Master[Color])</f>
        <v>Dark Green</v>
      </c>
      <c r="L2313" s="3">
        <f>_xlfn.XLOOKUP(D2313,Master[Product_Code],Master[Selling_Price])</f>
        <v>660</v>
      </c>
    </row>
    <row r="2314" spans="2:12">
      <c r="B2314" s="2" t="s">
        <v>2719</v>
      </c>
      <c r="C2314" s="7">
        <v>46007</v>
      </c>
      <c r="D2314" s="2" t="s">
        <v>769</v>
      </c>
      <c r="E2314" s="4">
        <v>1</v>
      </c>
      <c r="F2314" s="8" t="str">
        <f>_xlfn.XLOOKUP(D2314,Master[Product_Code],Master[Category])</f>
        <v>T-Shirt</v>
      </c>
      <c r="G2314" s="8" t="str">
        <f>_xlfn.XLOOKUP(D2314,Master[Product_Code],Master[Brand])</f>
        <v>Turkey</v>
      </c>
      <c r="H2314" s="8" t="str">
        <f>_xlfn.XLOOKUP(D2314,Master[Product_Code],Master[Style])</f>
        <v>Hoodie</v>
      </c>
      <c r="I2314" s="8" t="str">
        <f>_xlfn.XLOOKUP(D2314,Master[Product_Code],Master[Fabric])</f>
        <v>Cotton Blend</v>
      </c>
      <c r="J2314" s="8" t="str">
        <f>_xlfn.XLOOKUP(D2314,Master[Product_Code],Master[Size])</f>
        <v>L</v>
      </c>
      <c r="K2314" s="8" t="str">
        <f>_xlfn.XLOOKUP(D2314,Master[Product_Code],Master[Color])</f>
        <v>Teal</v>
      </c>
      <c r="L2314" s="3">
        <f>_xlfn.XLOOKUP(D2314,Master[Product_Code],Master[Selling_Price])</f>
        <v>480</v>
      </c>
    </row>
    <row r="2315" spans="2:12">
      <c r="B2315" s="2" t="s">
        <v>2719</v>
      </c>
      <c r="C2315" s="7">
        <v>46007</v>
      </c>
      <c r="D2315" s="2" t="s">
        <v>799</v>
      </c>
      <c r="E2315" s="4">
        <v>1</v>
      </c>
      <c r="F2315" s="8" t="str">
        <f>_xlfn.XLOOKUP(D2315,Master[Product_Code],Master[Category])</f>
        <v>T-Shirt</v>
      </c>
      <c r="G2315" s="8" t="str">
        <f>_xlfn.XLOOKUP(D2315,Master[Product_Code],Master[Brand])</f>
        <v>Campus</v>
      </c>
      <c r="H2315" s="8" t="str">
        <f>_xlfn.XLOOKUP(D2315,Master[Product_Code],Master[Style])</f>
        <v>Hoodie</v>
      </c>
      <c r="I2315" s="8" t="str">
        <f>_xlfn.XLOOKUP(D2315,Master[Product_Code],Master[Fabric])</f>
        <v>Cotton Blend</v>
      </c>
      <c r="J2315" s="8" t="str">
        <f>_xlfn.XLOOKUP(D2315,Master[Product_Code],Master[Size])</f>
        <v>XXL</v>
      </c>
      <c r="K2315" s="8" t="str">
        <f>_xlfn.XLOOKUP(D2315,Master[Product_Code],Master[Color])</f>
        <v>White</v>
      </c>
      <c r="L2315" s="3">
        <f>_xlfn.XLOOKUP(D2315,Master[Product_Code],Master[Selling_Price])</f>
        <v>650</v>
      </c>
    </row>
    <row r="2316" spans="2:12">
      <c r="B2316" s="2" t="s">
        <v>2720</v>
      </c>
      <c r="C2316" s="7">
        <v>46007</v>
      </c>
      <c r="D2316" s="2" t="s">
        <v>391</v>
      </c>
      <c r="E2316" s="4">
        <v>1</v>
      </c>
      <c r="F2316" s="8" t="str">
        <f>_xlfn.XLOOKUP(D2316,Master[Product_Code],Master[Category])</f>
        <v>Shirt</v>
      </c>
      <c r="G2316" s="8" t="str">
        <f>_xlfn.XLOOKUP(D2316,Master[Product_Code],Master[Brand])</f>
        <v>G Studio</v>
      </c>
      <c r="H2316" s="8" t="str">
        <f>_xlfn.XLOOKUP(D2316,Master[Product_Code],Master[Style])</f>
        <v>Formal</v>
      </c>
      <c r="I2316" s="8" t="str">
        <f>_xlfn.XLOOKUP(D2316,Master[Product_Code],Master[Fabric])</f>
        <v>Cotton</v>
      </c>
      <c r="J2316" s="8" t="str">
        <f>_xlfn.XLOOKUP(D2316,Master[Product_Code],Master[Size])</f>
        <v>L</v>
      </c>
      <c r="K2316" s="8" t="str">
        <f>_xlfn.XLOOKUP(D2316,Master[Product_Code],Master[Color])</f>
        <v>Cream</v>
      </c>
      <c r="L2316" s="3">
        <f>_xlfn.XLOOKUP(D2316,Master[Product_Code],Master[Selling_Price])</f>
        <v>890</v>
      </c>
    </row>
    <row r="2317" spans="2:12">
      <c r="B2317" s="2" t="s">
        <v>2720</v>
      </c>
      <c r="C2317" s="7">
        <v>46007</v>
      </c>
      <c r="D2317" s="2" t="s">
        <v>374</v>
      </c>
      <c r="E2317" s="4">
        <v>1</v>
      </c>
      <c r="F2317" s="8" t="str">
        <f>_xlfn.XLOOKUP(D2317,Master[Product_Code],Master[Category])</f>
        <v>Shirt</v>
      </c>
      <c r="G2317" s="8" t="str">
        <f>_xlfn.XLOOKUP(D2317,Master[Product_Code],Master[Brand])</f>
        <v>Luke &amp; Burg</v>
      </c>
      <c r="H2317" s="8" t="str">
        <f>_xlfn.XLOOKUP(D2317,Master[Product_Code],Master[Style])</f>
        <v>Partywear</v>
      </c>
      <c r="I2317" s="8" t="str">
        <f>_xlfn.XLOOKUP(D2317,Master[Product_Code],Master[Fabric])</f>
        <v>Cotton Blend</v>
      </c>
      <c r="J2317" s="8" t="str">
        <f>_xlfn.XLOOKUP(D2317,Master[Product_Code],Master[Size])</f>
        <v>S</v>
      </c>
      <c r="K2317" s="8" t="str">
        <f>_xlfn.XLOOKUP(D2317,Master[Product_Code],Master[Color])</f>
        <v>Rust</v>
      </c>
      <c r="L2317" s="3">
        <f>_xlfn.XLOOKUP(D2317,Master[Product_Code],Master[Selling_Price])</f>
        <v>920</v>
      </c>
    </row>
    <row r="2318" spans="2:12">
      <c r="B2318" s="2" t="s">
        <v>2720</v>
      </c>
      <c r="C2318" s="7">
        <v>46007</v>
      </c>
      <c r="D2318" s="2" t="s">
        <v>125</v>
      </c>
      <c r="E2318" s="4">
        <v>1</v>
      </c>
      <c r="F2318" s="8" t="str">
        <f>_xlfn.XLOOKUP(D2318,Master[Product_Code],Master[Category])</f>
        <v>Shirt</v>
      </c>
      <c r="G2318" s="8" t="str">
        <f>_xlfn.XLOOKUP(D2318,Master[Product_Code],Master[Brand])</f>
        <v>G Studio</v>
      </c>
      <c r="H2318" s="8" t="str">
        <f>_xlfn.XLOOKUP(D2318,Master[Product_Code],Master[Style])</f>
        <v>Formal</v>
      </c>
      <c r="I2318" s="8" t="str">
        <f>_xlfn.XLOOKUP(D2318,Master[Product_Code],Master[Fabric])</f>
        <v>Cotton</v>
      </c>
      <c r="J2318" s="8" t="str">
        <f>_xlfn.XLOOKUP(D2318,Master[Product_Code],Master[Size])</f>
        <v>S</v>
      </c>
      <c r="K2318" s="8" t="str">
        <f>_xlfn.XLOOKUP(D2318,Master[Product_Code],Master[Color])</f>
        <v>Charcoal</v>
      </c>
      <c r="L2318" s="3">
        <f>_xlfn.XLOOKUP(D2318,Master[Product_Code],Master[Selling_Price])</f>
        <v>710</v>
      </c>
    </row>
    <row r="2319" spans="2:12">
      <c r="B2319" s="2" t="s">
        <v>2721</v>
      </c>
      <c r="C2319" s="7">
        <v>46007</v>
      </c>
      <c r="D2319" s="2" t="s">
        <v>93</v>
      </c>
      <c r="E2319" s="4">
        <v>1</v>
      </c>
      <c r="F2319" s="8" t="str">
        <f>_xlfn.XLOOKUP(D2319,Master[Product_Code],Master[Category])</f>
        <v>Shirt</v>
      </c>
      <c r="G2319" s="8" t="str">
        <f>_xlfn.XLOOKUP(D2319,Master[Product_Code],Master[Brand])</f>
        <v>L7</v>
      </c>
      <c r="H2319" s="8" t="str">
        <f>_xlfn.XLOOKUP(D2319,Master[Product_Code],Master[Style])</f>
        <v>Casual</v>
      </c>
      <c r="I2319" s="8" t="str">
        <f>_xlfn.XLOOKUP(D2319,Master[Product_Code],Master[Fabric])</f>
        <v>Cotton Blend</v>
      </c>
      <c r="J2319" s="8" t="str">
        <f>_xlfn.XLOOKUP(D2319,Master[Product_Code],Master[Size])</f>
        <v>L</v>
      </c>
      <c r="K2319" s="8" t="str">
        <f>_xlfn.XLOOKUP(D2319,Master[Product_Code],Master[Color])</f>
        <v>Grey</v>
      </c>
      <c r="L2319" s="3">
        <f>_xlfn.XLOOKUP(D2319,Master[Product_Code],Master[Selling_Price])</f>
        <v>850</v>
      </c>
    </row>
    <row r="2320" spans="2:12">
      <c r="B2320" s="2" t="s">
        <v>2722</v>
      </c>
      <c r="C2320" s="7">
        <v>46007</v>
      </c>
      <c r="D2320" s="2" t="s">
        <v>791</v>
      </c>
      <c r="E2320" s="4">
        <v>1</v>
      </c>
      <c r="F2320" s="8" t="str">
        <f>_xlfn.XLOOKUP(D2320,Master[Product_Code],Master[Category])</f>
        <v>T-Shirt</v>
      </c>
      <c r="G2320" s="8" t="str">
        <f>_xlfn.XLOOKUP(D2320,Master[Product_Code],Master[Brand])</f>
        <v>Max</v>
      </c>
      <c r="H2320" s="8" t="str">
        <f>_xlfn.XLOOKUP(D2320,Master[Product_Code],Master[Style])</f>
        <v>Hoodie</v>
      </c>
      <c r="I2320" s="8" t="str">
        <f>_xlfn.XLOOKUP(D2320,Master[Product_Code],Master[Fabric])</f>
        <v>Cotton Blend</v>
      </c>
      <c r="J2320" s="8" t="str">
        <f>_xlfn.XLOOKUP(D2320,Master[Product_Code],Master[Size])</f>
        <v>XXL</v>
      </c>
      <c r="K2320" s="8" t="str">
        <f>_xlfn.XLOOKUP(D2320,Master[Product_Code],Master[Color])</f>
        <v>Beige</v>
      </c>
      <c r="L2320" s="3">
        <f>_xlfn.XLOOKUP(D2320,Master[Product_Code],Master[Selling_Price])</f>
        <v>590</v>
      </c>
    </row>
    <row r="2321" spans="2:12">
      <c r="B2321" s="2" t="s">
        <v>2722</v>
      </c>
      <c r="C2321" s="7">
        <v>46007</v>
      </c>
      <c r="D2321" s="2" t="s">
        <v>1422</v>
      </c>
      <c r="E2321" s="4">
        <v>1</v>
      </c>
      <c r="F2321" s="8" t="str">
        <f>_xlfn.XLOOKUP(D2321,Master[Product_Code],Master[Category])</f>
        <v>Pants</v>
      </c>
      <c r="G2321" s="8" t="str">
        <f>_xlfn.XLOOKUP(D2321,Master[Product_Code],Master[Brand])</f>
        <v>Van Heusen</v>
      </c>
      <c r="H2321" s="8" t="str">
        <f>_xlfn.XLOOKUP(D2321,Master[Product_Code],Master[Style])</f>
        <v>Kurka</v>
      </c>
      <c r="I2321" s="8" t="str">
        <f>_xlfn.XLOOKUP(D2321,Master[Product_Code],Master[Fabric])</f>
        <v>Lycra</v>
      </c>
      <c r="J2321" s="8">
        <f>_xlfn.XLOOKUP(D2321,Master[Product_Code],Master[Size])</f>
        <v>42</v>
      </c>
      <c r="K2321" s="8" t="str">
        <f>_xlfn.XLOOKUP(D2321,Master[Product_Code],Master[Color])</f>
        <v>White</v>
      </c>
      <c r="L2321" s="3">
        <f>_xlfn.XLOOKUP(D2321,Master[Product_Code],Master[Selling_Price])</f>
        <v>850</v>
      </c>
    </row>
    <row r="2322" spans="2:12">
      <c r="B2322" s="2" t="s">
        <v>2723</v>
      </c>
      <c r="C2322" s="7">
        <v>46007</v>
      </c>
      <c r="D2322" s="2" t="s">
        <v>1579</v>
      </c>
      <c r="E2322" s="4">
        <v>1</v>
      </c>
      <c r="F2322" s="8" t="str">
        <f>_xlfn.XLOOKUP(D2322,Master[Product_Code],Master[Category])</f>
        <v>Innerwear</v>
      </c>
      <c r="G2322" s="8" t="str">
        <f>_xlfn.XLOOKUP(D2322,Master[Product_Code],Master[Brand])</f>
        <v>V Star</v>
      </c>
      <c r="H2322" s="8" t="str">
        <f>_xlfn.XLOOKUP(D2322,Master[Product_Code],Master[Style])</f>
        <v>Boxer</v>
      </c>
      <c r="I2322" s="8" t="str">
        <f>_xlfn.XLOOKUP(D2322,Master[Product_Code],Master[Fabric])</f>
        <v>Cotton</v>
      </c>
      <c r="J2322" s="8" t="str">
        <f>_xlfn.XLOOKUP(D2322,Master[Product_Code],Master[Size])</f>
        <v>100-105</v>
      </c>
      <c r="K2322" s="8" t="str">
        <f>_xlfn.XLOOKUP(D2322,Master[Product_Code],Master[Color])</f>
        <v>Light Grey</v>
      </c>
      <c r="L2322" s="3">
        <f>_xlfn.XLOOKUP(D2322,Master[Product_Code],Master[Selling_Price])</f>
        <v>190</v>
      </c>
    </row>
    <row r="2323" spans="2:12">
      <c r="B2323" s="2" t="s">
        <v>2723</v>
      </c>
      <c r="C2323" s="7">
        <v>46007</v>
      </c>
      <c r="D2323" s="2" t="s">
        <v>1199</v>
      </c>
      <c r="E2323" s="4">
        <v>1</v>
      </c>
      <c r="F2323" s="8" t="str">
        <f>_xlfn.XLOOKUP(D2323,Master[Product_Code],Master[Category])</f>
        <v>Pants</v>
      </c>
      <c r="G2323" s="8" t="str">
        <f>_xlfn.XLOOKUP(D2323,Master[Product_Code],Master[Brand])</f>
        <v>Louis Philippe</v>
      </c>
      <c r="H2323" s="8" t="str">
        <f>_xlfn.XLOOKUP(D2323,Master[Product_Code],Master[Style])</f>
        <v>Polofit</v>
      </c>
      <c r="I2323" s="8" t="str">
        <f>_xlfn.XLOOKUP(D2323,Master[Product_Code],Master[Fabric])</f>
        <v>Lycra</v>
      </c>
      <c r="J2323" s="8">
        <f>_xlfn.XLOOKUP(D2323,Master[Product_Code],Master[Size])</f>
        <v>42</v>
      </c>
      <c r="K2323" s="8" t="str">
        <f>_xlfn.XLOOKUP(D2323,Master[Product_Code],Master[Color])</f>
        <v>Wine</v>
      </c>
      <c r="L2323" s="3">
        <f>_xlfn.XLOOKUP(D2323,Master[Product_Code],Master[Selling_Price])</f>
        <v>940</v>
      </c>
    </row>
    <row r="2324" spans="2:12">
      <c r="B2324" s="2" t="s">
        <v>2724</v>
      </c>
      <c r="C2324" s="7">
        <v>46008</v>
      </c>
      <c r="D2324" s="2" t="s">
        <v>1403</v>
      </c>
      <c r="E2324" s="4">
        <v>1</v>
      </c>
      <c r="F2324" s="8" t="str">
        <f>_xlfn.XLOOKUP(D2324,Master[Product_Code],Master[Category])</f>
        <v>Pants</v>
      </c>
      <c r="G2324" s="8" t="str">
        <f>_xlfn.XLOOKUP(D2324,Master[Product_Code],Master[Brand])</f>
        <v>Louis Philippe</v>
      </c>
      <c r="H2324" s="8" t="str">
        <f>_xlfn.XLOOKUP(D2324,Master[Product_Code],Master[Style])</f>
        <v>Polofit</v>
      </c>
      <c r="I2324" s="8" t="str">
        <f>_xlfn.XLOOKUP(D2324,Master[Product_Code],Master[Fabric])</f>
        <v>Lycra</v>
      </c>
      <c r="J2324" s="8">
        <f>_xlfn.XLOOKUP(D2324,Master[Product_Code],Master[Size])</f>
        <v>34</v>
      </c>
      <c r="K2324" s="8" t="str">
        <f>_xlfn.XLOOKUP(D2324,Master[Product_Code],Master[Color])</f>
        <v>Olive</v>
      </c>
      <c r="L2324" s="3">
        <f>_xlfn.XLOOKUP(D2324,Master[Product_Code],Master[Selling_Price])</f>
        <v>780</v>
      </c>
    </row>
    <row r="2325" spans="2:12">
      <c r="B2325" s="2" t="s">
        <v>2725</v>
      </c>
      <c r="C2325" s="7">
        <v>46008</v>
      </c>
      <c r="D2325" s="2" t="s">
        <v>193</v>
      </c>
      <c r="E2325" s="4">
        <v>1</v>
      </c>
      <c r="F2325" s="8" t="str">
        <f>_xlfn.XLOOKUP(D2325,Master[Product_Code],Master[Category])</f>
        <v>Shirt</v>
      </c>
      <c r="G2325" s="8" t="str">
        <f>_xlfn.XLOOKUP(D2325,Master[Product_Code],Master[Brand])</f>
        <v>British</v>
      </c>
      <c r="H2325" s="8" t="str">
        <f>_xlfn.XLOOKUP(D2325,Master[Product_Code],Master[Style])</f>
        <v>Formal</v>
      </c>
      <c r="I2325" s="8" t="str">
        <f>_xlfn.XLOOKUP(D2325,Master[Product_Code],Master[Fabric])</f>
        <v>Lycra</v>
      </c>
      <c r="J2325" s="8" t="str">
        <f>_xlfn.XLOOKUP(D2325,Master[Product_Code],Master[Size])</f>
        <v>XXL</v>
      </c>
      <c r="K2325" s="8" t="str">
        <f>_xlfn.XLOOKUP(D2325,Master[Product_Code],Master[Color])</f>
        <v>Rust</v>
      </c>
      <c r="L2325" s="3">
        <f>_xlfn.XLOOKUP(D2325,Master[Product_Code],Master[Selling_Price])</f>
        <v>790</v>
      </c>
    </row>
    <row r="2326" spans="2:12">
      <c r="B2326" s="2" t="s">
        <v>2726</v>
      </c>
      <c r="C2326" s="7">
        <v>46008</v>
      </c>
      <c r="D2326" s="2" t="s">
        <v>1009</v>
      </c>
      <c r="E2326" s="4">
        <v>1</v>
      </c>
      <c r="F2326" s="8" t="str">
        <f>_xlfn.XLOOKUP(D2326,Master[Product_Code],Master[Category])</f>
        <v>Jeans</v>
      </c>
      <c r="G2326" s="8" t="str">
        <f>_xlfn.XLOOKUP(D2326,Master[Product_Code],Master[Brand])</f>
        <v>Denim Pro</v>
      </c>
      <c r="H2326" s="8" t="str">
        <f>_xlfn.XLOOKUP(D2326,Master[Product_Code],Master[Style])</f>
        <v>Jogger</v>
      </c>
      <c r="I2326" s="8" t="str">
        <f>_xlfn.XLOOKUP(D2326,Master[Product_Code],Master[Fabric])</f>
        <v>Denim</v>
      </c>
      <c r="J2326" s="8">
        <f>_xlfn.XLOOKUP(D2326,Master[Product_Code],Master[Size])</f>
        <v>38</v>
      </c>
      <c r="K2326" s="8" t="str">
        <f>_xlfn.XLOOKUP(D2326,Master[Product_Code],Master[Color])</f>
        <v>Cream</v>
      </c>
      <c r="L2326" s="3">
        <f>_xlfn.XLOOKUP(D2326,Master[Product_Code],Master[Selling_Price])</f>
        <v>830</v>
      </c>
    </row>
    <row r="2327" spans="2:12">
      <c r="B2327" s="2" t="s">
        <v>2726</v>
      </c>
      <c r="C2327" s="7">
        <v>46008</v>
      </c>
      <c r="D2327" s="2" t="s">
        <v>169</v>
      </c>
      <c r="E2327" s="4">
        <v>1</v>
      </c>
      <c r="F2327" s="8" t="str">
        <f>_xlfn.XLOOKUP(D2327,Master[Product_Code],Master[Category])</f>
        <v>Shirt</v>
      </c>
      <c r="G2327" s="8" t="str">
        <f>_xlfn.XLOOKUP(D2327,Master[Product_Code],Master[Brand])</f>
        <v>H&amp;M</v>
      </c>
      <c r="H2327" s="8" t="str">
        <f>_xlfn.XLOOKUP(D2327,Master[Product_Code],Master[Style])</f>
        <v>Casual</v>
      </c>
      <c r="I2327" s="8" t="str">
        <f>_xlfn.XLOOKUP(D2327,Master[Product_Code],Master[Fabric])</f>
        <v>Polyester</v>
      </c>
      <c r="J2327" s="8" t="str">
        <f>_xlfn.XLOOKUP(D2327,Master[Product_Code],Master[Size])</f>
        <v>XL</v>
      </c>
      <c r="K2327" s="8" t="str">
        <f>_xlfn.XLOOKUP(D2327,Master[Product_Code],Master[Color])</f>
        <v>Brown</v>
      </c>
      <c r="L2327" s="3">
        <f>_xlfn.XLOOKUP(D2327,Master[Product_Code],Master[Selling_Price])</f>
        <v>910</v>
      </c>
    </row>
    <row r="2328" spans="2:12">
      <c r="B2328" s="2" t="s">
        <v>2726</v>
      </c>
      <c r="C2328" s="7">
        <v>46008</v>
      </c>
      <c r="D2328" s="2" t="s">
        <v>1030</v>
      </c>
      <c r="E2328" s="4">
        <v>1</v>
      </c>
      <c r="F2328" s="8" t="str">
        <f>_xlfn.XLOOKUP(D2328,Master[Product_Code],Master[Category])</f>
        <v>Jeans</v>
      </c>
      <c r="G2328" s="8" t="str">
        <f>_xlfn.XLOOKUP(D2328,Master[Product_Code],Master[Brand])</f>
        <v>Pepe</v>
      </c>
      <c r="H2328" s="8" t="str">
        <f>_xlfn.XLOOKUP(D2328,Master[Product_Code],Master[Style])</f>
        <v>Mom Fit</v>
      </c>
      <c r="I2328" s="8" t="str">
        <f>_xlfn.XLOOKUP(D2328,Master[Product_Code],Master[Fabric])</f>
        <v>Denim</v>
      </c>
      <c r="J2328" s="8">
        <f>_xlfn.XLOOKUP(D2328,Master[Product_Code],Master[Size])</f>
        <v>42</v>
      </c>
      <c r="K2328" s="8" t="str">
        <f>_xlfn.XLOOKUP(D2328,Master[Product_Code],Master[Color])</f>
        <v>Royal Blue</v>
      </c>
      <c r="L2328" s="3">
        <f>_xlfn.XLOOKUP(D2328,Master[Product_Code],Master[Selling_Price])</f>
        <v>820</v>
      </c>
    </row>
    <row r="2329" spans="2:12">
      <c r="B2329" s="2" t="s">
        <v>2726</v>
      </c>
      <c r="C2329" s="7">
        <v>46008</v>
      </c>
      <c r="D2329" s="2" t="s">
        <v>259</v>
      </c>
      <c r="E2329" s="4">
        <v>1</v>
      </c>
      <c r="F2329" s="8" t="str">
        <f>_xlfn.XLOOKUP(D2329,Master[Product_Code],Master[Category])</f>
        <v>Shirt</v>
      </c>
      <c r="G2329" s="8" t="str">
        <f>_xlfn.XLOOKUP(D2329,Master[Product_Code],Master[Brand])</f>
        <v>Luke &amp; Burg</v>
      </c>
      <c r="H2329" s="8" t="str">
        <f>_xlfn.XLOOKUP(D2329,Master[Product_Code],Master[Style])</f>
        <v>Partywear</v>
      </c>
      <c r="I2329" s="8" t="str">
        <f>_xlfn.XLOOKUP(D2329,Master[Product_Code],Master[Fabric])</f>
        <v>Polyester</v>
      </c>
      <c r="J2329" s="8" t="str">
        <f>_xlfn.XLOOKUP(D2329,Master[Product_Code],Master[Size])</f>
        <v>L</v>
      </c>
      <c r="K2329" s="8" t="str">
        <f>_xlfn.XLOOKUP(D2329,Master[Product_Code],Master[Color])</f>
        <v>Sky Blue</v>
      </c>
      <c r="L2329" s="3">
        <f>_xlfn.XLOOKUP(D2329,Master[Product_Code],Master[Selling_Price])</f>
        <v>830</v>
      </c>
    </row>
    <row r="2330" spans="2:12">
      <c r="B2330" s="2" t="s">
        <v>2727</v>
      </c>
      <c r="C2330" s="7">
        <v>46008</v>
      </c>
      <c r="D2330" s="2" t="s">
        <v>1257</v>
      </c>
      <c r="E2330" s="4">
        <v>1</v>
      </c>
      <c r="F2330" s="8" t="str">
        <f>_xlfn.XLOOKUP(D2330,Master[Product_Code],Master[Category])</f>
        <v>Pants</v>
      </c>
      <c r="G2330" s="8" t="str">
        <f>_xlfn.XLOOKUP(D2330,Master[Product_Code],Master[Brand])</f>
        <v>Park Avenue</v>
      </c>
      <c r="H2330" s="8" t="str">
        <f>_xlfn.XLOOKUP(D2330,Master[Product_Code],Master[Style])</f>
        <v>Korean</v>
      </c>
      <c r="I2330" s="8" t="str">
        <f>_xlfn.XLOOKUP(D2330,Master[Product_Code],Master[Fabric])</f>
        <v>Lycra</v>
      </c>
      <c r="J2330" s="8">
        <f>_xlfn.XLOOKUP(D2330,Master[Product_Code],Master[Size])</f>
        <v>34</v>
      </c>
      <c r="K2330" s="8" t="str">
        <f>_xlfn.XLOOKUP(D2330,Master[Product_Code],Master[Color])</f>
        <v>Navy Blue</v>
      </c>
      <c r="L2330" s="3">
        <f>_xlfn.XLOOKUP(D2330,Master[Product_Code],Master[Selling_Price])</f>
        <v>940</v>
      </c>
    </row>
    <row r="2331" spans="2:12">
      <c r="B2331" s="2" t="s">
        <v>2727</v>
      </c>
      <c r="C2331" s="7">
        <v>46008</v>
      </c>
      <c r="D2331" s="2" t="s">
        <v>508</v>
      </c>
      <c r="E2331" s="4">
        <v>1</v>
      </c>
      <c r="F2331" s="8" t="str">
        <f>_xlfn.XLOOKUP(D2331,Master[Product_Code],Master[Category])</f>
        <v>T-Shirt</v>
      </c>
      <c r="G2331" s="8" t="str">
        <f>_xlfn.XLOOKUP(D2331,Master[Product_Code],Master[Brand])</f>
        <v>Roadster</v>
      </c>
      <c r="H2331" s="8" t="str">
        <f>_xlfn.XLOOKUP(D2331,Master[Product_Code],Master[Style])</f>
        <v>Hoodie</v>
      </c>
      <c r="I2331" s="8" t="str">
        <f>_xlfn.XLOOKUP(D2331,Master[Product_Code],Master[Fabric])</f>
        <v>Cotton</v>
      </c>
      <c r="J2331" s="8" t="str">
        <f>_xlfn.XLOOKUP(D2331,Master[Product_Code],Master[Size])</f>
        <v>XXL</v>
      </c>
      <c r="K2331" s="8" t="str">
        <f>_xlfn.XLOOKUP(D2331,Master[Product_Code],Master[Color])</f>
        <v>Peach</v>
      </c>
      <c r="L2331" s="3">
        <f>_xlfn.XLOOKUP(D2331,Master[Product_Code],Master[Selling_Price])</f>
        <v>450</v>
      </c>
    </row>
    <row r="2332" spans="2:12">
      <c r="B2332" s="2" t="s">
        <v>2727</v>
      </c>
      <c r="C2332" s="7">
        <v>46008</v>
      </c>
      <c r="D2332" s="2" t="s">
        <v>1655</v>
      </c>
      <c r="E2332" s="4">
        <v>1</v>
      </c>
      <c r="F2332" s="8" t="str">
        <f>_xlfn.XLOOKUP(D2332,Master[Product_Code],Master[Category])</f>
        <v>Innerwear</v>
      </c>
      <c r="G2332" s="8" t="str">
        <f>_xlfn.XLOOKUP(D2332,Master[Product_Code],Master[Brand])</f>
        <v>Rupa</v>
      </c>
      <c r="H2332" s="8" t="str">
        <f>_xlfn.XLOOKUP(D2332,Master[Product_Code],Master[Style])</f>
        <v>V-Cut</v>
      </c>
      <c r="I2332" s="8" t="str">
        <f>_xlfn.XLOOKUP(D2332,Master[Product_Code],Master[Fabric])</f>
        <v>Cotton Blend</v>
      </c>
      <c r="J2332" s="8" t="str">
        <f>_xlfn.XLOOKUP(D2332,Master[Product_Code],Master[Size])</f>
        <v>105-110</v>
      </c>
      <c r="K2332" s="8" t="str">
        <f>_xlfn.XLOOKUP(D2332,Master[Product_Code],Master[Color])</f>
        <v>Olive</v>
      </c>
      <c r="L2332" s="3">
        <f>_xlfn.XLOOKUP(D2332,Master[Product_Code],Master[Selling_Price])</f>
        <v>130</v>
      </c>
    </row>
    <row r="2333" spans="2:12">
      <c r="B2333" s="2" t="s">
        <v>2727</v>
      </c>
      <c r="C2333" s="7">
        <v>46008</v>
      </c>
      <c r="D2333" s="2" t="s">
        <v>778</v>
      </c>
      <c r="E2333" s="4">
        <v>1</v>
      </c>
      <c r="F2333" s="8" t="str">
        <f>_xlfn.XLOOKUP(D2333,Master[Product_Code],Master[Category])</f>
        <v>T-Shirt</v>
      </c>
      <c r="G2333" s="8" t="str">
        <f>_xlfn.XLOOKUP(D2333,Master[Product_Code],Master[Brand])</f>
        <v>Turkey</v>
      </c>
      <c r="H2333" s="8" t="str">
        <f>_xlfn.XLOOKUP(D2333,Master[Product_Code],Master[Style])</f>
        <v>Full Sleeve</v>
      </c>
      <c r="I2333" s="8" t="str">
        <f>_xlfn.XLOOKUP(D2333,Master[Product_Code],Master[Fabric])</f>
        <v>Cotton Blend</v>
      </c>
      <c r="J2333" s="8" t="str">
        <f>_xlfn.XLOOKUP(D2333,Master[Product_Code],Master[Size])</f>
        <v>XXL</v>
      </c>
      <c r="K2333" s="8" t="str">
        <f>_xlfn.XLOOKUP(D2333,Master[Product_Code],Master[Color])</f>
        <v>Maroon</v>
      </c>
      <c r="L2333" s="3">
        <f>_xlfn.XLOOKUP(D2333,Master[Product_Code],Master[Selling_Price])</f>
        <v>550</v>
      </c>
    </row>
    <row r="2334" spans="2:12">
      <c r="B2334" s="2" t="s">
        <v>2728</v>
      </c>
      <c r="C2334" s="7">
        <v>46008</v>
      </c>
      <c r="D2334" s="2" t="s">
        <v>1026</v>
      </c>
      <c r="E2334" s="4">
        <v>1</v>
      </c>
      <c r="F2334" s="8" t="str">
        <f>_xlfn.XLOOKUP(D2334,Master[Product_Code],Master[Category])</f>
        <v>Jeans</v>
      </c>
      <c r="G2334" s="8" t="str">
        <f>_xlfn.XLOOKUP(D2334,Master[Product_Code],Master[Brand])</f>
        <v>Wrangler</v>
      </c>
      <c r="H2334" s="8" t="str">
        <f>_xlfn.XLOOKUP(D2334,Master[Product_Code],Master[Style])</f>
        <v>Jogger</v>
      </c>
      <c r="I2334" s="8" t="str">
        <f>_xlfn.XLOOKUP(D2334,Master[Product_Code],Master[Fabric])</f>
        <v>Denim</v>
      </c>
      <c r="J2334" s="8">
        <f>_xlfn.XLOOKUP(D2334,Master[Product_Code],Master[Size])</f>
        <v>40</v>
      </c>
      <c r="K2334" s="8" t="str">
        <f>_xlfn.XLOOKUP(D2334,Master[Product_Code],Master[Color])</f>
        <v>Rust</v>
      </c>
      <c r="L2334" s="3">
        <f>_xlfn.XLOOKUP(D2334,Master[Product_Code],Master[Selling_Price])</f>
        <v>990</v>
      </c>
    </row>
    <row r="2335" spans="2:12">
      <c r="B2335" s="2" t="s">
        <v>2728</v>
      </c>
      <c r="C2335" s="7">
        <v>46008</v>
      </c>
      <c r="D2335" s="2" t="s">
        <v>731</v>
      </c>
      <c r="E2335" s="4">
        <v>1</v>
      </c>
      <c r="F2335" s="8" t="str">
        <f>_xlfn.XLOOKUP(D2335,Master[Product_Code],Master[Category])</f>
        <v>T-Shirt</v>
      </c>
      <c r="G2335" s="8" t="str">
        <f>_xlfn.XLOOKUP(D2335,Master[Product_Code],Master[Brand])</f>
        <v>Campus</v>
      </c>
      <c r="H2335" s="8" t="str">
        <f>_xlfn.XLOOKUP(D2335,Master[Product_Code],Master[Style])</f>
        <v>3/4 Sleeve</v>
      </c>
      <c r="I2335" s="8" t="str">
        <f>_xlfn.XLOOKUP(D2335,Master[Product_Code],Master[Fabric])</f>
        <v>Cotton</v>
      </c>
      <c r="J2335" s="8" t="str">
        <f>_xlfn.XLOOKUP(D2335,Master[Product_Code],Master[Size])</f>
        <v>XXL</v>
      </c>
      <c r="K2335" s="8" t="str">
        <f>_xlfn.XLOOKUP(D2335,Master[Product_Code],Master[Color])</f>
        <v>Teal</v>
      </c>
      <c r="L2335" s="3">
        <f>_xlfn.XLOOKUP(D2335,Master[Product_Code],Master[Selling_Price])</f>
        <v>600</v>
      </c>
    </row>
    <row r="2336" spans="2:12">
      <c r="B2336" s="2" t="s">
        <v>2729</v>
      </c>
      <c r="C2336" s="7">
        <v>46008</v>
      </c>
      <c r="D2336" s="2" t="s">
        <v>1736</v>
      </c>
      <c r="E2336" s="4">
        <v>1</v>
      </c>
      <c r="F2336" s="8" t="str">
        <f>_xlfn.XLOOKUP(D2336,Master[Product_Code],Master[Category])</f>
        <v>Innerwear</v>
      </c>
      <c r="G2336" s="8" t="str">
        <f>_xlfn.XLOOKUP(D2336,Master[Product_Code],Master[Brand])</f>
        <v>Lux</v>
      </c>
      <c r="H2336" s="8" t="str">
        <f>_xlfn.XLOOKUP(D2336,Master[Product_Code],Master[Style])</f>
        <v>Boxer</v>
      </c>
      <c r="I2336" s="8" t="str">
        <f>_xlfn.XLOOKUP(D2336,Master[Product_Code],Master[Fabric])</f>
        <v>Cotton</v>
      </c>
      <c r="J2336" s="8" t="str">
        <f>_xlfn.XLOOKUP(D2336,Master[Product_Code],Master[Size])</f>
        <v>100-105</v>
      </c>
      <c r="K2336" s="8" t="str">
        <f>_xlfn.XLOOKUP(D2336,Master[Product_Code],Master[Color])</f>
        <v>Brown</v>
      </c>
      <c r="L2336" s="3">
        <f>_xlfn.XLOOKUP(D2336,Master[Product_Code],Master[Selling_Price])</f>
        <v>170</v>
      </c>
    </row>
    <row r="2337" spans="2:12">
      <c r="B2337" s="2" t="s">
        <v>2729</v>
      </c>
      <c r="C2337" s="7">
        <v>46008</v>
      </c>
      <c r="D2337" s="2" t="s">
        <v>1521</v>
      </c>
      <c r="E2337" s="4">
        <v>1</v>
      </c>
      <c r="F2337" s="8" t="str">
        <f>_xlfn.XLOOKUP(D2337,Master[Product_Code],Master[Category])</f>
        <v>Innerwear</v>
      </c>
      <c r="G2337" s="8" t="str">
        <f>_xlfn.XLOOKUP(D2337,Master[Product_Code],Master[Brand])</f>
        <v>Rupa</v>
      </c>
      <c r="H2337" s="8" t="str">
        <f>_xlfn.XLOOKUP(D2337,Master[Product_Code],Master[Style])</f>
        <v>V-Cut</v>
      </c>
      <c r="I2337" s="8" t="str">
        <f>_xlfn.XLOOKUP(D2337,Master[Product_Code],Master[Fabric])</f>
        <v>Cotton</v>
      </c>
      <c r="J2337" s="8" t="str">
        <f>_xlfn.XLOOKUP(D2337,Master[Product_Code],Master[Size])</f>
        <v>75-80</v>
      </c>
      <c r="K2337" s="8" t="str">
        <f>_xlfn.XLOOKUP(D2337,Master[Product_Code],Master[Color])</f>
        <v>Black</v>
      </c>
      <c r="L2337" s="3">
        <f>_xlfn.XLOOKUP(D2337,Master[Product_Code],Master[Selling_Price])</f>
        <v>180</v>
      </c>
    </row>
    <row r="2338" spans="2:12">
      <c r="B2338" s="2" t="s">
        <v>2729</v>
      </c>
      <c r="C2338" s="7">
        <v>46008</v>
      </c>
      <c r="D2338" s="2" t="s">
        <v>1286</v>
      </c>
      <c r="E2338" s="4">
        <v>1</v>
      </c>
      <c r="F2338" s="8" t="str">
        <f>_xlfn.XLOOKUP(D2338,Master[Product_Code],Master[Category])</f>
        <v>Pants</v>
      </c>
      <c r="G2338" s="8" t="str">
        <f>_xlfn.XLOOKUP(D2338,Master[Product_Code],Master[Brand])</f>
        <v>Raymond</v>
      </c>
      <c r="H2338" s="8" t="str">
        <f>_xlfn.XLOOKUP(D2338,Master[Product_Code],Master[Style])</f>
        <v>Korean</v>
      </c>
      <c r="I2338" s="8" t="str">
        <f>_xlfn.XLOOKUP(D2338,Master[Product_Code],Master[Fabric])</f>
        <v>Lycra</v>
      </c>
      <c r="J2338" s="8">
        <f>_xlfn.XLOOKUP(D2338,Master[Product_Code],Master[Size])</f>
        <v>28</v>
      </c>
      <c r="K2338" s="8" t="str">
        <f>_xlfn.XLOOKUP(D2338,Master[Product_Code],Master[Color])</f>
        <v>Navy Blue</v>
      </c>
      <c r="L2338" s="3">
        <f>_xlfn.XLOOKUP(D2338,Master[Product_Code],Master[Selling_Price])</f>
        <v>780</v>
      </c>
    </row>
    <row r="2339" spans="2:12">
      <c r="B2339" s="2" t="s">
        <v>2730</v>
      </c>
      <c r="C2339" s="7">
        <v>46008</v>
      </c>
      <c r="D2339" s="2" t="s">
        <v>1687</v>
      </c>
      <c r="E2339" s="4">
        <v>1</v>
      </c>
      <c r="F2339" s="8" t="str">
        <f>_xlfn.XLOOKUP(D2339,Master[Product_Code],Master[Category])</f>
        <v>Innerwear</v>
      </c>
      <c r="G2339" s="8" t="str">
        <f>_xlfn.XLOOKUP(D2339,Master[Product_Code],Master[Brand])</f>
        <v>Dollar</v>
      </c>
      <c r="H2339" s="8" t="str">
        <f>_xlfn.XLOOKUP(D2339,Master[Product_Code],Master[Style])</f>
        <v>V-Cut</v>
      </c>
      <c r="I2339" s="8" t="str">
        <f>_xlfn.XLOOKUP(D2339,Master[Product_Code],Master[Fabric])</f>
        <v>Cotton Blend</v>
      </c>
      <c r="J2339" s="8" t="str">
        <f>_xlfn.XLOOKUP(D2339,Master[Product_Code],Master[Size])</f>
        <v>80-85</v>
      </c>
      <c r="K2339" s="8" t="str">
        <f>_xlfn.XLOOKUP(D2339,Master[Product_Code],Master[Color])</f>
        <v>Beige</v>
      </c>
      <c r="L2339" s="3">
        <f>_xlfn.XLOOKUP(D2339,Master[Product_Code],Master[Selling_Price])</f>
        <v>190</v>
      </c>
    </row>
    <row r="2340" spans="2:12">
      <c r="B2340" s="2" t="s">
        <v>2730</v>
      </c>
      <c r="C2340" s="7">
        <v>46008</v>
      </c>
      <c r="D2340" s="2" t="s">
        <v>1271</v>
      </c>
      <c r="E2340" s="4">
        <v>1</v>
      </c>
      <c r="F2340" s="8" t="str">
        <f>_xlfn.XLOOKUP(D2340,Master[Product_Code],Master[Category])</f>
        <v>Pants</v>
      </c>
      <c r="G2340" s="8" t="str">
        <f>_xlfn.XLOOKUP(D2340,Master[Product_Code],Master[Brand])</f>
        <v>Raymond</v>
      </c>
      <c r="H2340" s="8" t="str">
        <f>_xlfn.XLOOKUP(D2340,Master[Product_Code],Master[Style])</f>
        <v>Jogger</v>
      </c>
      <c r="I2340" s="8" t="str">
        <f>_xlfn.XLOOKUP(D2340,Master[Product_Code],Master[Fabric])</f>
        <v>Cotton</v>
      </c>
      <c r="J2340" s="8">
        <f>_xlfn.XLOOKUP(D2340,Master[Product_Code],Master[Size])</f>
        <v>36</v>
      </c>
      <c r="K2340" s="8" t="str">
        <f>_xlfn.XLOOKUP(D2340,Master[Product_Code],Master[Color])</f>
        <v>Olive</v>
      </c>
      <c r="L2340" s="3">
        <f>_xlfn.XLOOKUP(D2340,Master[Product_Code],Master[Selling_Price])</f>
        <v>900</v>
      </c>
    </row>
    <row r="2341" spans="2:12">
      <c r="B2341" s="2" t="s">
        <v>2730</v>
      </c>
      <c r="C2341" s="7">
        <v>46008</v>
      </c>
      <c r="D2341" s="2" t="s">
        <v>1237</v>
      </c>
      <c r="E2341" s="4">
        <v>1</v>
      </c>
      <c r="F2341" s="8" t="str">
        <f>_xlfn.XLOOKUP(D2341,Master[Product_Code],Master[Category])</f>
        <v>Pants</v>
      </c>
      <c r="G2341" s="8" t="str">
        <f>_xlfn.XLOOKUP(D2341,Master[Product_Code],Master[Brand])</f>
        <v>Peter England</v>
      </c>
      <c r="H2341" s="8" t="str">
        <f>_xlfn.XLOOKUP(D2341,Master[Product_Code],Master[Style])</f>
        <v>Polofit</v>
      </c>
      <c r="I2341" s="8" t="str">
        <f>_xlfn.XLOOKUP(D2341,Master[Product_Code],Master[Fabric])</f>
        <v>Lycra</v>
      </c>
      <c r="J2341" s="8">
        <f>_xlfn.XLOOKUP(D2341,Master[Product_Code],Master[Size])</f>
        <v>36</v>
      </c>
      <c r="K2341" s="8" t="str">
        <f>_xlfn.XLOOKUP(D2341,Master[Product_Code],Master[Color])</f>
        <v>Dark Green</v>
      </c>
      <c r="L2341" s="3">
        <f>_xlfn.XLOOKUP(D2341,Master[Product_Code],Master[Selling_Price])</f>
        <v>800</v>
      </c>
    </row>
    <row r="2342" spans="2:12">
      <c r="B2342" s="2" t="s">
        <v>2730</v>
      </c>
      <c r="C2342" s="7">
        <v>46008</v>
      </c>
      <c r="D2342" s="2" t="s">
        <v>1700</v>
      </c>
      <c r="E2342" s="4">
        <v>1</v>
      </c>
      <c r="F2342" s="8" t="str">
        <f>_xlfn.XLOOKUP(D2342,Master[Product_Code],Master[Category])</f>
        <v>Innerwear</v>
      </c>
      <c r="G2342" s="8" t="str">
        <f>_xlfn.XLOOKUP(D2342,Master[Product_Code],Master[Brand])</f>
        <v>Rupa</v>
      </c>
      <c r="H2342" s="8" t="str">
        <f>_xlfn.XLOOKUP(D2342,Master[Product_Code],Master[Style])</f>
        <v>V-Cut</v>
      </c>
      <c r="I2342" s="8" t="str">
        <f>_xlfn.XLOOKUP(D2342,Master[Product_Code],Master[Fabric])</f>
        <v>Cotton Blend</v>
      </c>
      <c r="J2342" s="8" t="str">
        <f>_xlfn.XLOOKUP(D2342,Master[Product_Code],Master[Size])</f>
        <v>90-100</v>
      </c>
      <c r="K2342" s="8" t="str">
        <f>_xlfn.XLOOKUP(D2342,Master[Product_Code],Master[Color])</f>
        <v>Maroon</v>
      </c>
      <c r="L2342" s="3">
        <f>_xlfn.XLOOKUP(D2342,Master[Product_Code],Master[Selling_Price])</f>
        <v>140</v>
      </c>
    </row>
    <row r="2343" spans="2:12">
      <c r="B2343" s="2" t="s">
        <v>2731</v>
      </c>
      <c r="C2343" s="7">
        <v>46008</v>
      </c>
      <c r="D2343" s="2" t="s">
        <v>432</v>
      </c>
      <c r="E2343" s="4">
        <v>1</v>
      </c>
      <c r="F2343" s="8" t="str">
        <f>_xlfn.XLOOKUP(D2343,Master[Product_Code],Master[Category])</f>
        <v>T-Shirt</v>
      </c>
      <c r="G2343" s="8" t="str">
        <f>_xlfn.XLOOKUP(D2343,Master[Product_Code],Master[Brand])</f>
        <v>Zara</v>
      </c>
      <c r="H2343" s="8" t="str">
        <f>_xlfn.XLOOKUP(D2343,Master[Product_Code],Master[Style])</f>
        <v>Hoodie</v>
      </c>
      <c r="I2343" s="8" t="str">
        <f>_xlfn.XLOOKUP(D2343,Master[Product_Code],Master[Fabric])</f>
        <v>Poly Cotton</v>
      </c>
      <c r="J2343" s="8" t="str">
        <f>_xlfn.XLOOKUP(D2343,Master[Product_Code],Master[Size])</f>
        <v>L</v>
      </c>
      <c r="K2343" s="8" t="str">
        <f>_xlfn.XLOOKUP(D2343,Master[Product_Code],Master[Color])</f>
        <v>Dark Green</v>
      </c>
      <c r="L2343" s="3">
        <f>_xlfn.XLOOKUP(D2343,Master[Product_Code],Master[Selling_Price])</f>
        <v>220</v>
      </c>
    </row>
    <row r="2344" spans="2:12">
      <c r="B2344" s="2" t="s">
        <v>2731</v>
      </c>
      <c r="C2344" s="7">
        <v>46008</v>
      </c>
      <c r="D2344" s="2" t="s">
        <v>1356</v>
      </c>
      <c r="E2344" s="4">
        <v>1</v>
      </c>
      <c r="F2344" s="8" t="str">
        <f>_xlfn.XLOOKUP(D2344,Master[Product_Code],Master[Category])</f>
        <v>Pants</v>
      </c>
      <c r="G2344" s="8" t="str">
        <f>_xlfn.XLOOKUP(D2344,Master[Product_Code],Master[Brand])</f>
        <v>Peter England</v>
      </c>
      <c r="H2344" s="8" t="str">
        <f>_xlfn.XLOOKUP(D2344,Master[Product_Code],Master[Style])</f>
        <v>Kurka</v>
      </c>
      <c r="I2344" s="8" t="str">
        <f>_xlfn.XLOOKUP(D2344,Master[Product_Code],Master[Fabric])</f>
        <v>Lycra</v>
      </c>
      <c r="J2344" s="8">
        <f>_xlfn.XLOOKUP(D2344,Master[Product_Code],Master[Size])</f>
        <v>40</v>
      </c>
      <c r="K2344" s="8" t="str">
        <f>_xlfn.XLOOKUP(D2344,Master[Product_Code],Master[Color])</f>
        <v>White</v>
      </c>
      <c r="L2344" s="3">
        <f>_xlfn.XLOOKUP(D2344,Master[Product_Code],Master[Selling_Price])</f>
        <v>710</v>
      </c>
    </row>
    <row r="2345" spans="2:12">
      <c r="B2345" s="2" t="s">
        <v>2731</v>
      </c>
      <c r="C2345" s="7">
        <v>46008</v>
      </c>
      <c r="D2345" s="2" t="s">
        <v>111</v>
      </c>
      <c r="E2345" s="4">
        <v>1</v>
      </c>
      <c r="F2345" s="8" t="str">
        <f>_xlfn.XLOOKUP(D2345,Master[Product_Code],Master[Category])</f>
        <v>Shirt</v>
      </c>
      <c r="G2345" s="8" t="str">
        <f>_xlfn.XLOOKUP(D2345,Master[Product_Code],Master[Brand])</f>
        <v>USD</v>
      </c>
      <c r="H2345" s="8" t="str">
        <f>_xlfn.XLOOKUP(D2345,Master[Product_Code],Master[Style])</f>
        <v>Partywear</v>
      </c>
      <c r="I2345" s="8" t="str">
        <f>_xlfn.XLOOKUP(D2345,Master[Product_Code],Master[Fabric])</f>
        <v>Cotton</v>
      </c>
      <c r="J2345" s="8" t="str">
        <f>_xlfn.XLOOKUP(D2345,Master[Product_Code],Master[Size])</f>
        <v>XL</v>
      </c>
      <c r="K2345" s="8" t="str">
        <f>_xlfn.XLOOKUP(D2345,Master[Product_Code],Master[Color])</f>
        <v>White</v>
      </c>
      <c r="L2345" s="3">
        <f>_xlfn.XLOOKUP(D2345,Master[Product_Code],Master[Selling_Price])</f>
        <v>720</v>
      </c>
    </row>
    <row r="2346" spans="2:12">
      <c r="B2346" s="2" t="s">
        <v>2731</v>
      </c>
      <c r="C2346" s="7">
        <v>46008</v>
      </c>
      <c r="D2346" s="2" t="s">
        <v>465</v>
      </c>
      <c r="E2346" s="4">
        <v>1</v>
      </c>
      <c r="F2346" s="8" t="str">
        <f>_xlfn.XLOOKUP(D2346,Master[Product_Code],Master[Category])</f>
        <v>T-Shirt</v>
      </c>
      <c r="G2346" s="8" t="str">
        <f>_xlfn.XLOOKUP(D2346,Master[Product_Code],Master[Brand])</f>
        <v>Zara</v>
      </c>
      <c r="H2346" s="8" t="str">
        <f>_xlfn.XLOOKUP(D2346,Master[Product_Code],Master[Style])</f>
        <v>Sleeveless</v>
      </c>
      <c r="I2346" s="8" t="str">
        <f>_xlfn.XLOOKUP(D2346,Master[Product_Code],Master[Fabric])</f>
        <v>Poly Cotton</v>
      </c>
      <c r="J2346" s="8" t="str">
        <f>_xlfn.XLOOKUP(D2346,Master[Product_Code],Master[Size])</f>
        <v>XL</v>
      </c>
      <c r="K2346" s="8" t="str">
        <f>_xlfn.XLOOKUP(D2346,Master[Product_Code],Master[Color])</f>
        <v>Light Grey</v>
      </c>
      <c r="L2346" s="3">
        <f>_xlfn.XLOOKUP(D2346,Master[Product_Code],Master[Selling_Price])</f>
        <v>480</v>
      </c>
    </row>
    <row r="2347" spans="2:12">
      <c r="B2347" s="2" t="s">
        <v>2732</v>
      </c>
      <c r="C2347" s="7">
        <v>46008</v>
      </c>
      <c r="D2347" s="2" t="s">
        <v>1246</v>
      </c>
      <c r="E2347" s="4">
        <v>1</v>
      </c>
      <c r="F2347" s="8" t="str">
        <f>_xlfn.XLOOKUP(D2347,Master[Product_Code],Master[Category])</f>
        <v>Pants</v>
      </c>
      <c r="G2347" s="8" t="str">
        <f>_xlfn.XLOOKUP(D2347,Master[Product_Code],Master[Brand])</f>
        <v>Raymond</v>
      </c>
      <c r="H2347" s="8" t="str">
        <f>_xlfn.XLOOKUP(D2347,Master[Product_Code],Master[Style])</f>
        <v>Jogger</v>
      </c>
      <c r="I2347" s="8" t="str">
        <f>_xlfn.XLOOKUP(D2347,Master[Product_Code],Master[Fabric])</f>
        <v>Cotton</v>
      </c>
      <c r="J2347" s="8">
        <f>_xlfn.XLOOKUP(D2347,Master[Product_Code],Master[Size])</f>
        <v>28</v>
      </c>
      <c r="K2347" s="8" t="str">
        <f>_xlfn.XLOOKUP(D2347,Master[Product_Code],Master[Color])</f>
        <v>Charcoal</v>
      </c>
      <c r="L2347" s="3">
        <f>_xlfn.XLOOKUP(D2347,Master[Product_Code],Master[Selling_Price])</f>
        <v>810</v>
      </c>
    </row>
    <row r="2348" spans="2:12">
      <c r="B2348" s="2" t="s">
        <v>2733</v>
      </c>
      <c r="C2348" s="7">
        <v>46008</v>
      </c>
      <c r="D2348" s="2" t="s">
        <v>146</v>
      </c>
      <c r="E2348" s="4">
        <v>1</v>
      </c>
      <c r="F2348" s="8" t="str">
        <f>_xlfn.XLOOKUP(D2348,Master[Product_Code],Master[Category])</f>
        <v>Shirt</v>
      </c>
      <c r="G2348" s="8" t="str">
        <f>_xlfn.XLOOKUP(D2348,Master[Product_Code],Master[Brand])</f>
        <v>L7</v>
      </c>
      <c r="H2348" s="8" t="str">
        <f>_xlfn.XLOOKUP(D2348,Master[Product_Code],Master[Style])</f>
        <v>Formal</v>
      </c>
      <c r="I2348" s="8" t="str">
        <f>_xlfn.XLOOKUP(D2348,Master[Product_Code],Master[Fabric])</f>
        <v>Cotton Blend</v>
      </c>
      <c r="J2348" s="8" t="str">
        <f>_xlfn.XLOOKUP(D2348,Master[Product_Code],Master[Size])</f>
        <v>S</v>
      </c>
      <c r="K2348" s="8" t="str">
        <f>_xlfn.XLOOKUP(D2348,Master[Product_Code],Master[Color])</f>
        <v>Light Grey</v>
      </c>
      <c r="L2348" s="3">
        <f>_xlfn.XLOOKUP(D2348,Master[Product_Code],Master[Selling_Price])</f>
        <v>690</v>
      </c>
    </row>
    <row r="2349" spans="2:12">
      <c r="B2349" s="2" t="s">
        <v>2733</v>
      </c>
      <c r="C2349" s="7">
        <v>46008</v>
      </c>
      <c r="D2349" s="2" t="s">
        <v>869</v>
      </c>
      <c r="E2349" s="4">
        <v>1</v>
      </c>
      <c r="F2349" s="8" t="str">
        <f>_xlfn.XLOOKUP(D2349,Master[Product_Code],Master[Category])</f>
        <v>Jeans</v>
      </c>
      <c r="G2349" s="8" t="str">
        <f>_xlfn.XLOOKUP(D2349,Master[Product_Code],Master[Brand])</f>
        <v>Pepe</v>
      </c>
      <c r="H2349" s="8" t="str">
        <f>_xlfn.XLOOKUP(D2349,Master[Product_Code],Master[Style])</f>
        <v>Baggy</v>
      </c>
      <c r="I2349" s="8" t="str">
        <f>_xlfn.XLOOKUP(D2349,Master[Product_Code],Master[Fabric])</f>
        <v>Denim</v>
      </c>
      <c r="J2349" s="8">
        <f>_xlfn.XLOOKUP(D2349,Master[Product_Code],Master[Size])</f>
        <v>38</v>
      </c>
      <c r="K2349" s="8" t="str">
        <f>_xlfn.XLOOKUP(D2349,Master[Product_Code],Master[Color])</f>
        <v>Bottle Green</v>
      </c>
      <c r="L2349" s="3">
        <f>_xlfn.XLOOKUP(D2349,Master[Product_Code],Master[Selling_Price])</f>
        <v>820</v>
      </c>
    </row>
    <row r="2350" spans="2:12">
      <c r="B2350" s="2" t="s">
        <v>2734</v>
      </c>
      <c r="C2350" s="7">
        <v>46008</v>
      </c>
      <c r="D2350" s="2" t="s">
        <v>413</v>
      </c>
      <c r="E2350" s="4">
        <v>1</v>
      </c>
      <c r="F2350" s="8" t="str">
        <f>_xlfn.XLOOKUP(D2350,Master[Product_Code],Master[Category])</f>
        <v>T-Shirt</v>
      </c>
      <c r="G2350" s="8" t="str">
        <f>_xlfn.XLOOKUP(D2350,Master[Product_Code],Master[Brand])</f>
        <v>Turkey</v>
      </c>
      <c r="H2350" s="8" t="str">
        <f>_xlfn.XLOOKUP(D2350,Master[Product_Code],Master[Style])</f>
        <v>Hoodie</v>
      </c>
      <c r="I2350" s="8" t="str">
        <f>_xlfn.XLOOKUP(D2350,Master[Product_Code],Master[Fabric])</f>
        <v>Poly Cotton</v>
      </c>
      <c r="J2350" s="8" t="str">
        <f>_xlfn.XLOOKUP(D2350,Master[Product_Code],Master[Size])</f>
        <v>XXL</v>
      </c>
      <c r="K2350" s="8" t="str">
        <f>_xlfn.XLOOKUP(D2350,Master[Product_Code],Master[Color])</f>
        <v>Grey</v>
      </c>
      <c r="L2350" s="3">
        <f>_xlfn.XLOOKUP(D2350,Master[Product_Code],Master[Selling_Price])</f>
        <v>260</v>
      </c>
    </row>
    <row r="2351" spans="2:12">
      <c r="B2351" s="2" t="s">
        <v>2734</v>
      </c>
      <c r="C2351" s="7">
        <v>46008</v>
      </c>
      <c r="D2351" s="2" t="s">
        <v>919</v>
      </c>
      <c r="E2351" s="4">
        <v>1</v>
      </c>
      <c r="F2351" s="8" t="str">
        <f>_xlfn.XLOOKUP(D2351,Master[Product_Code],Master[Category])</f>
        <v>Jeans</v>
      </c>
      <c r="G2351" s="8" t="str">
        <f>_xlfn.XLOOKUP(D2351,Master[Product_Code],Master[Brand])</f>
        <v>Levis</v>
      </c>
      <c r="H2351" s="8" t="str">
        <f>_xlfn.XLOOKUP(D2351,Master[Product_Code],Master[Style])</f>
        <v>Jogger</v>
      </c>
      <c r="I2351" s="8" t="str">
        <f>_xlfn.XLOOKUP(D2351,Master[Product_Code],Master[Fabric])</f>
        <v>Denim</v>
      </c>
      <c r="J2351" s="8">
        <f>_xlfn.XLOOKUP(D2351,Master[Product_Code],Master[Size])</f>
        <v>32</v>
      </c>
      <c r="K2351" s="8" t="str">
        <f>_xlfn.XLOOKUP(D2351,Master[Product_Code],Master[Color])</f>
        <v>Maroon</v>
      </c>
      <c r="L2351" s="3">
        <f>_xlfn.XLOOKUP(D2351,Master[Product_Code],Master[Selling_Price])</f>
        <v>800</v>
      </c>
    </row>
    <row r="2352" spans="2:12">
      <c r="B2352" s="2" t="s">
        <v>2734</v>
      </c>
      <c r="C2352" s="7">
        <v>46008</v>
      </c>
      <c r="D2352" s="2" t="s">
        <v>989</v>
      </c>
      <c r="E2352" s="4">
        <v>1</v>
      </c>
      <c r="F2352" s="8" t="str">
        <f>_xlfn.XLOOKUP(D2352,Master[Product_Code],Master[Category])</f>
        <v>Jeans</v>
      </c>
      <c r="G2352" s="8" t="str">
        <f>_xlfn.XLOOKUP(D2352,Master[Product_Code],Master[Brand])</f>
        <v>Pepe</v>
      </c>
      <c r="H2352" s="8" t="str">
        <f>_xlfn.XLOOKUP(D2352,Master[Product_Code],Master[Style])</f>
        <v>Baggy</v>
      </c>
      <c r="I2352" s="8" t="str">
        <f>_xlfn.XLOOKUP(D2352,Master[Product_Code],Master[Fabric])</f>
        <v>Denim</v>
      </c>
      <c r="J2352" s="8">
        <f>_xlfn.XLOOKUP(D2352,Master[Product_Code],Master[Size])</f>
        <v>44</v>
      </c>
      <c r="K2352" s="8" t="str">
        <f>_xlfn.XLOOKUP(D2352,Master[Product_Code],Master[Color])</f>
        <v>Olive</v>
      </c>
      <c r="L2352" s="3">
        <f>_xlfn.XLOOKUP(D2352,Master[Product_Code],Master[Selling_Price])</f>
        <v>870</v>
      </c>
    </row>
    <row r="2353" spans="2:12">
      <c r="B2353" s="2" t="s">
        <v>2735</v>
      </c>
      <c r="C2353" s="7">
        <v>46009</v>
      </c>
      <c r="D2353" s="2" t="s">
        <v>227</v>
      </c>
      <c r="E2353" s="4">
        <v>1</v>
      </c>
      <c r="F2353" s="8" t="str">
        <f>_xlfn.XLOOKUP(D2353,Master[Product_Code],Master[Category])</f>
        <v>Shirt</v>
      </c>
      <c r="G2353" s="8" t="str">
        <f>_xlfn.XLOOKUP(D2353,Master[Product_Code],Master[Brand])</f>
        <v>G Studio</v>
      </c>
      <c r="H2353" s="8" t="str">
        <f>_xlfn.XLOOKUP(D2353,Master[Product_Code],Master[Style])</f>
        <v>Formal</v>
      </c>
      <c r="I2353" s="8" t="str">
        <f>_xlfn.XLOOKUP(D2353,Master[Product_Code],Master[Fabric])</f>
        <v>Lycra</v>
      </c>
      <c r="J2353" s="8" t="str">
        <f>_xlfn.XLOOKUP(D2353,Master[Product_Code],Master[Size])</f>
        <v>XXL</v>
      </c>
      <c r="K2353" s="8" t="str">
        <f>_xlfn.XLOOKUP(D2353,Master[Product_Code],Master[Color])</f>
        <v>Grey</v>
      </c>
      <c r="L2353" s="3">
        <f>_xlfn.XLOOKUP(D2353,Master[Product_Code],Master[Selling_Price])</f>
        <v>670</v>
      </c>
    </row>
    <row r="2354" spans="2:12">
      <c r="B2354" s="2" t="s">
        <v>2736</v>
      </c>
      <c r="C2354" s="7">
        <v>46009</v>
      </c>
      <c r="D2354" s="2" t="s">
        <v>1587</v>
      </c>
      <c r="E2354" s="4">
        <v>1</v>
      </c>
      <c r="F2354" s="8" t="str">
        <f>_xlfn.XLOOKUP(D2354,Master[Product_Code],Master[Category])</f>
        <v>Innerwear</v>
      </c>
      <c r="G2354" s="8" t="str">
        <f>_xlfn.XLOOKUP(D2354,Master[Product_Code],Master[Brand])</f>
        <v>Rupa</v>
      </c>
      <c r="H2354" s="8" t="str">
        <f>_xlfn.XLOOKUP(D2354,Master[Product_Code],Master[Style])</f>
        <v>Boxer</v>
      </c>
      <c r="I2354" s="8" t="str">
        <f>_xlfn.XLOOKUP(D2354,Master[Product_Code],Master[Fabric])</f>
        <v>Cotton Blend</v>
      </c>
      <c r="J2354" s="8" t="str">
        <f>_xlfn.XLOOKUP(D2354,Master[Product_Code],Master[Size])</f>
        <v>80-85</v>
      </c>
      <c r="K2354" s="8" t="str">
        <f>_xlfn.XLOOKUP(D2354,Master[Product_Code],Master[Color])</f>
        <v>Royal Blue</v>
      </c>
      <c r="L2354" s="3">
        <f>_xlfn.XLOOKUP(D2354,Master[Product_Code],Master[Selling_Price])</f>
        <v>200</v>
      </c>
    </row>
    <row r="2355" spans="2:12">
      <c r="B2355" s="2" t="s">
        <v>2736</v>
      </c>
      <c r="C2355" s="7">
        <v>46009</v>
      </c>
      <c r="D2355" s="2" t="s">
        <v>839</v>
      </c>
      <c r="E2355" s="4">
        <v>1</v>
      </c>
      <c r="F2355" s="8" t="str">
        <f>_xlfn.XLOOKUP(D2355,Master[Product_Code],Master[Category])</f>
        <v>Jeans</v>
      </c>
      <c r="G2355" s="8" t="str">
        <f>_xlfn.XLOOKUP(D2355,Master[Product_Code],Master[Brand])</f>
        <v>Pepe</v>
      </c>
      <c r="H2355" s="8" t="str">
        <f>_xlfn.XLOOKUP(D2355,Master[Product_Code],Master[Style])</f>
        <v>Baggy</v>
      </c>
      <c r="I2355" s="8" t="str">
        <f>_xlfn.XLOOKUP(D2355,Master[Product_Code],Master[Fabric])</f>
        <v>Denim</v>
      </c>
      <c r="J2355" s="8">
        <f>_xlfn.XLOOKUP(D2355,Master[Product_Code],Master[Size])</f>
        <v>42</v>
      </c>
      <c r="K2355" s="8" t="str">
        <f>_xlfn.XLOOKUP(D2355,Master[Product_Code],Master[Color])</f>
        <v>Maroon</v>
      </c>
      <c r="L2355" s="3">
        <f>_xlfn.XLOOKUP(D2355,Master[Product_Code],Master[Selling_Price])</f>
        <v>1090</v>
      </c>
    </row>
    <row r="2356" spans="2:12">
      <c r="B2356" s="2" t="s">
        <v>2737</v>
      </c>
      <c r="C2356" s="7">
        <v>46009</v>
      </c>
      <c r="D2356" s="2" t="s">
        <v>1141</v>
      </c>
      <c r="E2356" s="4">
        <v>1</v>
      </c>
      <c r="F2356" s="8" t="str">
        <f>_xlfn.XLOOKUP(D2356,Master[Product_Code],Master[Category])</f>
        <v>Jeans</v>
      </c>
      <c r="G2356" s="8" t="str">
        <f>_xlfn.XLOOKUP(D2356,Master[Product_Code],Master[Brand])</f>
        <v>Pepe</v>
      </c>
      <c r="H2356" s="8" t="str">
        <f>_xlfn.XLOOKUP(D2356,Master[Product_Code],Master[Style])</f>
        <v>Jogger</v>
      </c>
      <c r="I2356" s="8" t="str">
        <f>_xlfn.XLOOKUP(D2356,Master[Product_Code],Master[Fabric])</f>
        <v>Denim</v>
      </c>
      <c r="J2356" s="8">
        <f>_xlfn.XLOOKUP(D2356,Master[Product_Code],Master[Size])</f>
        <v>36</v>
      </c>
      <c r="K2356" s="8" t="str">
        <f>_xlfn.XLOOKUP(D2356,Master[Product_Code],Master[Color])</f>
        <v>Peach</v>
      </c>
      <c r="L2356" s="3">
        <f>_xlfn.XLOOKUP(D2356,Master[Product_Code],Master[Selling_Price])</f>
        <v>820</v>
      </c>
    </row>
    <row r="2357" spans="2:12">
      <c r="B2357" s="2" t="s">
        <v>2738</v>
      </c>
      <c r="C2357" s="7">
        <v>46009</v>
      </c>
      <c r="D2357" s="2" t="s">
        <v>1605</v>
      </c>
      <c r="E2357" s="4">
        <v>1</v>
      </c>
      <c r="F2357" s="8" t="str">
        <f>_xlfn.XLOOKUP(D2357,Master[Product_Code],Master[Category])</f>
        <v>Innerwear</v>
      </c>
      <c r="G2357" s="8" t="str">
        <f>_xlfn.XLOOKUP(D2357,Master[Product_Code],Master[Brand])</f>
        <v>Lux</v>
      </c>
      <c r="H2357" s="8" t="str">
        <f>_xlfn.XLOOKUP(D2357,Master[Product_Code],Master[Style])</f>
        <v>V-Cut</v>
      </c>
      <c r="I2357" s="8" t="str">
        <f>_xlfn.XLOOKUP(D2357,Master[Product_Code],Master[Fabric])</f>
        <v>Cotton</v>
      </c>
      <c r="J2357" s="8" t="str">
        <f>_xlfn.XLOOKUP(D2357,Master[Product_Code],Master[Size])</f>
        <v>105-110</v>
      </c>
      <c r="K2357" s="8" t="str">
        <f>_xlfn.XLOOKUP(D2357,Master[Product_Code],Master[Color])</f>
        <v>Bottle Green</v>
      </c>
      <c r="L2357" s="3">
        <f>_xlfn.XLOOKUP(D2357,Master[Product_Code],Master[Selling_Price])</f>
        <v>170</v>
      </c>
    </row>
    <row r="2358" spans="2:12">
      <c r="B2358" s="2" t="s">
        <v>2739</v>
      </c>
      <c r="C2358" s="7">
        <v>46009</v>
      </c>
      <c r="D2358" s="2" t="s">
        <v>1307</v>
      </c>
      <c r="E2358" s="4">
        <v>1</v>
      </c>
      <c r="F2358" s="8" t="str">
        <f>_xlfn.XLOOKUP(D2358,Master[Product_Code],Master[Category])</f>
        <v>Pants</v>
      </c>
      <c r="G2358" s="8" t="str">
        <f>_xlfn.XLOOKUP(D2358,Master[Product_Code],Master[Brand])</f>
        <v>Park Avenue</v>
      </c>
      <c r="H2358" s="8" t="str">
        <f>_xlfn.XLOOKUP(D2358,Master[Product_Code],Master[Style])</f>
        <v>Kurka</v>
      </c>
      <c r="I2358" s="8" t="str">
        <f>_xlfn.XLOOKUP(D2358,Master[Product_Code],Master[Fabric])</f>
        <v>Lycra</v>
      </c>
      <c r="J2358" s="8">
        <f>_xlfn.XLOOKUP(D2358,Master[Product_Code],Master[Size])</f>
        <v>36</v>
      </c>
      <c r="K2358" s="8" t="str">
        <f>_xlfn.XLOOKUP(D2358,Master[Product_Code],Master[Color])</f>
        <v>Cream</v>
      </c>
      <c r="L2358" s="3">
        <f>_xlfn.XLOOKUP(D2358,Master[Product_Code],Master[Selling_Price])</f>
        <v>860</v>
      </c>
    </row>
    <row r="2359" spans="2:12">
      <c r="B2359" s="2" t="s">
        <v>2739</v>
      </c>
      <c r="C2359" s="7">
        <v>46009</v>
      </c>
      <c r="D2359" s="2" t="s">
        <v>777</v>
      </c>
      <c r="E2359" s="4">
        <v>1</v>
      </c>
      <c r="F2359" s="8" t="str">
        <f>_xlfn.XLOOKUP(D2359,Master[Product_Code],Master[Category])</f>
        <v>T-Shirt</v>
      </c>
      <c r="G2359" s="8" t="str">
        <f>_xlfn.XLOOKUP(D2359,Master[Product_Code],Master[Brand])</f>
        <v>Campus</v>
      </c>
      <c r="H2359" s="8" t="str">
        <f>_xlfn.XLOOKUP(D2359,Master[Product_Code],Master[Style])</f>
        <v>3/4 Sleeve</v>
      </c>
      <c r="I2359" s="8" t="str">
        <f>_xlfn.XLOOKUP(D2359,Master[Product_Code],Master[Fabric])</f>
        <v>Cotton</v>
      </c>
      <c r="J2359" s="8" t="str">
        <f>_xlfn.XLOOKUP(D2359,Master[Product_Code],Master[Size])</f>
        <v>M</v>
      </c>
      <c r="K2359" s="8" t="str">
        <f>_xlfn.XLOOKUP(D2359,Master[Product_Code],Master[Color])</f>
        <v>Cream</v>
      </c>
      <c r="L2359" s="3">
        <f>_xlfn.XLOOKUP(D2359,Master[Product_Code],Master[Selling_Price])</f>
        <v>720</v>
      </c>
    </row>
    <row r="2360" spans="2:12">
      <c r="B2360" s="2" t="s">
        <v>2740</v>
      </c>
      <c r="C2360" s="7">
        <v>46009</v>
      </c>
      <c r="D2360" s="2" t="s">
        <v>559</v>
      </c>
      <c r="E2360" s="4">
        <v>1</v>
      </c>
      <c r="F2360" s="8" t="str">
        <f>_xlfn.XLOOKUP(D2360,Master[Product_Code],Master[Category])</f>
        <v>T-Shirt</v>
      </c>
      <c r="G2360" s="8" t="str">
        <f>_xlfn.XLOOKUP(D2360,Master[Product_Code],Master[Brand])</f>
        <v>Urban Monkey</v>
      </c>
      <c r="H2360" s="8" t="str">
        <f>_xlfn.XLOOKUP(D2360,Master[Product_Code],Master[Style])</f>
        <v>Half Sleeve</v>
      </c>
      <c r="I2360" s="8" t="str">
        <f>_xlfn.XLOOKUP(D2360,Master[Product_Code],Master[Fabric])</f>
        <v>Cotton</v>
      </c>
      <c r="J2360" s="8" t="str">
        <f>_xlfn.XLOOKUP(D2360,Master[Product_Code],Master[Size])</f>
        <v>M</v>
      </c>
      <c r="K2360" s="8" t="str">
        <f>_xlfn.XLOOKUP(D2360,Master[Product_Code],Master[Color])</f>
        <v>Brown</v>
      </c>
      <c r="L2360" s="3">
        <f>_xlfn.XLOOKUP(D2360,Master[Product_Code],Master[Selling_Price])</f>
        <v>400</v>
      </c>
    </row>
    <row r="2361" spans="2:12">
      <c r="B2361" s="2" t="s">
        <v>2740</v>
      </c>
      <c r="C2361" s="7">
        <v>46009</v>
      </c>
      <c r="D2361" s="2" t="s">
        <v>654</v>
      </c>
      <c r="E2361" s="4">
        <v>1</v>
      </c>
      <c r="F2361" s="8" t="str">
        <f>_xlfn.XLOOKUP(D2361,Master[Product_Code],Master[Category])</f>
        <v>T-Shirt</v>
      </c>
      <c r="G2361" s="8" t="str">
        <f>_xlfn.XLOOKUP(D2361,Master[Product_Code],Master[Brand])</f>
        <v>Campus</v>
      </c>
      <c r="H2361" s="8" t="str">
        <f>_xlfn.XLOOKUP(D2361,Master[Product_Code],Master[Style])</f>
        <v>Full Sleeve</v>
      </c>
      <c r="I2361" s="8" t="str">
        <f>_xlfn.XLOOKUP(D2361,Master[Product_Code],Master[Fabric])</f>
        <v>Cotton Blend</v>
      </c>
      <c r="J2361" s="8" t="str">
        <f>_xlfn.XLOOKUP(D2361,Master[Product_Code],Master[Size])</f>
        <v>S</v>
      </c>
      <c r="K2361" s="8" t="str">
        <f>_xlfn.XLOOKUP(D2361,Master[Product_Code],Master[Color])</f>
        <v>Black</v>
      </c>
      <c r="L2361" s="3">
        <f>_xlfn.XLOOKUP(D2361,Master[Product_Code],Master[Selling_Price])</f>
        <v>450</v>
      </c>
    </row>
    <row r="2362" spans="2:12">
      <c r="B2362" s="2" t="s">
        <v>2740</v>
      </c>
      <c r="C2362" s="7">
        <v>46009</v>
      </c>
      <c r="D2362" s="2" t="s">
        <v>310</v>
      </c>
      <c r="E2362" s="4">
        <v>1</v>
      </c>
      <c r="F2362" s="8" t="str">
        <f>_xlfn.XLOOKUP(D2362,Master[Product_Code],Master[Category])</f>
        <v>Shirt</v>
      </c>
      <c r="G2362" s="8" t="str">
        <f>_xlfn.XLOOKUP(D2362,Master[Product_Code],Master[Brand])</f>
        <v>Max</v>
      </c>
      <c r="H2362" s="8" t="str">
        <f>_xlfn.XLOOKUP(D2362,Master[Product_Code],Master[Style])</f>
        <v>Casual</v>
      </c>
      <c r="I2362" s="8" t="str">
        <f>_xlfn.XLOOKUP(D2362,Master[Product_Code],Master[Fabric])</f>
        <v>Polyester</v>
      </c>
      <c r="J2362" s="8" t="str">
        <f>_xlfn.XLOOKUP(D2362,Master[Product_Code],Master[Size])</f>
        <v>S</v>
      </c>
      <c r="K2362" s="8" t="str">
        <f>_xlfn.XLOOKUP(D2362,Master[Product_Code],Master[Color])</f>
        <v>Teal</v>
      </c>
      <c r="L2362" s="3">
        <f>_xlfn.XLOOKUP(D2362,Master[Product_Code],Master[Selling_Price])</f>
        <v>880</v>
      </c>
    </row>
    <row r="2363" spans="2:12">
      <c r="B2363" s="2" t="s">
        <v>2740</v>
      </c>
      <c r="C2363" s="7">
        <v>46009</v>
      </c>
      <c r="D2363" s="2" t="s">
        <v>1176</v>
      </c>
      <c r="E2363" s="4">
        <v>1</v>
      </c>
      <c r="F2363" s="8" t="str">
        <f>_xlfn.XLOOKUP(D2363,Master[Product_Code],Master[Category])</f>
        <v>Pants</v>
      </c>
      <c r="G2363" s="8" t="str">
        <f>_xlfn.XLOOKUP(D2363,Master[Product_Code],Master[Brand])</f>
        <v>Van Heusen</v>
      </c>
      <c r="H2363" s="8" t="str">
        <f>_xlfn.XLOOKUP(D2363,Master[Product_Code],Master[Style])</f>
        <v>Korean</v>
      </c>
      <c r="I2363" s="8" t="str">
        <f>_xlfn.XLOOKUP(D2363,Master[Product_Code],Master[Fabric])</f>
        <v>Lycra</v>
      </c>
      <c r="J2363" s="8">
        <f>_xlfn.XLOOKUP(D2363,Master[Product_Code],Master[Size])</f>
        <v>38</v>
      </c>
      <c r="K2363" s="8" t="str">
        <f>_xlfn.XLOOKUP(D2363,Master[Product_Code],Master[Color])</f>
        <v>Sky Blue</v>
      </c>
      <c r="L2363" s="3">
        <f>_xlfn.XLOOKUP(D2363,Master[Product_Code],Master[Selling_Price])</f>
        <v>810</v>
      </c>
    </row>
    <row r="2364" spans="2:12">
      <c r="B2364" s="2" t="s">
        <v>2741</v>
      </c>
      <c r="C2364" s="7">
        <v>46009</v>
      </c>
      <c r="D2364" s="2" t="s">
        <v>968</v>
      </c>
      <c r="E2364" s="4">
        <v>1</v>
      </c>
      <c r="F2364" s="8" t="str">
        <f>_xlfn.XLOOKUP(D2364,Master[Product_Code],Master[Category])</f>
        <v>Jeans</v>
      </c>
      <c r="G2364" s="8" t="str">
        <f>_xlfn.XLOOKUP(D2364,Master[Product_Code],Master[Brand])</f>
        <v>Denim Pro</v>
      </c>
      <c r="H2364" s="8" t="str">
        <f>_xlfn.XLOOKUP(D2364,Master[Product_Code],Master[Style])</f>
        <v>Jogger</v>
      </c>
      <c r="I2364" s="8" t="str">
        <f>_xlfn.XLOOKUP(D2364,Master[Product_Code],Master[Fabric])</f>
        <v>Denim</v>
      </c>
      <c r="J2364" s="8">
        <f>_xlfn.XLOOKUP(D2364,Master[Product_Code],Master[Size])</f>
        <v>28</v>
      </c>
      <c r="K2364" s="8" t="str">
        <f>_xlfn.XLOOKUP(D2364,Master[Product_Code],Master[Color])</f>
        <v>Olive</v>
      </c>
      <c r="L2364" s="3">
        <f>_xlfn.XLOOKUP(D2364,Master[Product_Code],Master[Selling_Price])</f>
        <v>990</v>
      </c>
    </row>
    <row r="2365" spans="2:12">
      <c r="B2365" s="2" t="s">
        <v>2741</v>
      </c>
      <c r="C2365" s="7">
        <v>46009</v>
      </c>
      <c r="D2365" s="2" t="s">
        <v>1571</v>
      </c>
      <c r="E2365" s="4">
        <v>1</v>
      </c>
      <c r="F2365" s="8" t="str">
        <f>_xlfn.XLOOKUP(D2365,Master[Product_Code],Master[Category])</f>
        <v>Innerwear</v>
      </c>
      <c r="G2365" s="8" t="str">
        <f>_xlfn.XLOOKUP(D2365,Master[Product_Code],Master[Brand])</f>
        <v>Dollar</v>
      </c>
      <c r="H2365" s="8" t="str">
        <f>_xlfn.XLOOKUP(D2365,Master[Product_Code],Master[Style])</f>
        <v>Boxer</v>
      </c>
      <c r="I2365" s="8" t="str">
        <f>_xlfn.XLOOKUP(D2365,Master[Product_Code],Master[Fabric])</f>
        <v>Cotton</v>
      </c>
      <c r="J2365" s="8" t="str">
        <f>_xlfn.XLOOKUP(D2365,Master[Product_Code],Master[Size])</f>
        <v>75-80</v>
      </c>
      <c r="K2365" s="8" t="str">
        <f>_xlfn.XLOOKUP(D2365,Master[Product_Code],Master[Color])</f>
        <v>Sky Blue</v>
      </c>
      <c r="L2365" s="3">
        <f>_xlfn.XLOOKUP(D2365,Master[Product_Code],Master[Selling_Price])</f>
        <v>110</v>
      </c>
    </row>
    <row r="2366" spans="2:12">
      <c r="B2366" s="2" t="s">
        <v>2742</v>
      </c>
      <c r="C2366" s="7">
        <v>46009</v>
      </c>
      <c r="D2366" s="2" t="s">
        <v>1670</v>
      </c>
      <c r="E2366" s="4">
        <v>1</v>
      </c>
      <c r="F2366" s="8" t="str">
        <f>_xlfn.XLOOKUP(D2366,Master[Product_Code],Master[Category])</f>
        <v>Innerwear</v>
      </c>
      <c r="G2366" s="8" t="str">
        <f>_xlfn.XLOOKUP(D2366,Master[Product_Code],Master[Brand])</f>
        <v>Dollar</v>
      </c>
      <c r="H2366" s="8" t="str">
        <f>_xlfn.XLOOKUP(D2366,Master[Product_Code],Master[Style])</f>
        <v>Boxer</v>
      </c>
      <c r="I2366" s="8" t="str">
        <f>_xlfn.XLOOKUP(D2366,Master[Product_Code],Master[Fabric])</f>
        <v>Cotton Blend</v>
      </c>
      <c r="J2366" s="8" t="str">
        <f>_xlfn.XLOOKUP(D2366,Master[Product_Code],Master[Size])</f>
        <v>85-90</v>
      </c>
      <c r="K2366" s="8" t="str">
        <f>_xlfn.XLOOKUP(D2366,Master[Product_Code],Master[Color])</f>
        <v>Navy Blue</v>
      </c>
      <c r="L2366" s="3">
        <f>_xlfn.XLOOKUP(D2366,Master[Product_Code],Master[Selling_Price])</f>
        <v>120</v>
      </c>
    </row>
    <row r="2367" spans="2:12">
      <c r="B2367" s="2" t="s">
        <v>2742</v>
      </c>
      <c r="C2367" s="7">
        <v>46009</v>
      </c>
      <c r="D2367" s="2" t="s">
        <v>627</v>
      </c>
      <c r="E2367" s="4">
        <v>1</v>
      </c>
      <c r="F2367" s="8" t="str">
        <f>_xlfn.XLOOKUP(D2367,Master[Product_Code],Master[Category])</f>
        <v>T-Shirt</v>
      </c>
      <c r="G2367" s="8" t="str">
        <f>_xlfn.XLOOKUP(D2367,Master[Product_Code],Master[Brand])</f>
        <v>Roadster</v>
      </c>
      <c r="H2367" s="8" t="str">
        <f>_xlfn.XLOOKUP(D2367,Master[Product_Code],Master[Style])</f>
        <v>Full Sleeve</v>
      </c>
      <c r="I2367" s="8" t="str">
        <f>_xlfn.XLOOKUP(D2367,Master[Product_Code],Master[Fabric])</f>
        <v>Cotton</v>
      </c>
      <c r="J2367" s="8" t="str">
        <f>_xlfn.XLOOKUP(D2367,Master[Product_Code],Master[Size])</f>
        <v>L</v>
      </c>
      <c r="K2367" s="8" t="str">
        <f>_xlfn.XLOOKUP(D2367,Master[Product_Code],Master[Color])</f>
        <v>Wine</v>
      </c>
      <c r="L2367" s="3">
        <f>_xlfn.XLOOKUP(D2367,Master[Product_Code],Master[Selling_Price])</f>
        <v>250</v>
      </c>
    </row>
    <row r="2368" spans="2:12">
      <c r="B2368" s="2" t="s">
        <v>2742</v>
      </c>
      <c r="C2368" s="7">
        <v>46009</v>
      </c>
      <c r="D2368" s="2" t="s">
        <v>725</v>
      </c>
      <c r="E2368" s="4">
        <v>1</v>
      </c>
      <c r="F2368" s="8" t="str">
        <f>_xlfn.XLOOKUP(D2368,Master[Product_Code],Master[Category])</f>
        <v>T-Shirt</v>
      </c>
      <c r="G2368" s="8" t="str">
        <f>_xlfn.XLOOKUP(D2368,Master[Product_Code],Master[Brand])</f>
        <v>Roadster</v>
      </c>
      <c r="H2368" s="8" t="str">
        <f>_xlfn.XLOOKUP(D2368,Master[Product_Code],Master[Style])</f>
        <v>3/4 Sleeve</v>
      </c>
      <c r="I2368" s="8" t="str">
        <f>_xlfn.XLOOKUP(D2368,Master[Product_Code],Master[Fabric])</f>
        <v>Cotton</v>
      </c>
      <c r="J2368" s="8" t="str">
        <f>_xlfn.XLOOKUP(D2368,Master[Product_Code],Master[Size])</f>
        <v>L</v>
      </c>
      <c r="K2368" s="8" t="str">
        <f>_xlfn.XLOOKUP(D2368,Master[Product_Code],Master[Color])</f>
        <v>Wine</v>
      </c>
      <c r="L2368" s="3">
        <f>_xlfn.XLOOKUP(D2368,Master[Product_Code],Master[Selling_Price])</f>
        <v>620</v>
      </c>
    </row>
    <row r="2369" spans="2:12">
      <c r="B2369" s="2" t="s">
        <v>2742</v>
      </c>
      <c r="C2369" s="7">
        <v>46009</v>
      </c>
      <c r="D2369" s="2" t="s">
        <v>1381</v>
      </c>
      <c r="E2369" s="4">
        <v>1</v>
      </c>
      <c r="F2369" s="8" t="str">
        <f>_xlfn.XLOOKUP(D2369,Master[Product_Code],Master[Category])</f>
        <v>Pants</v>
      </c>
      <c r="G2369" s="8" t="str">
        <f>_xlfn.XLOOKUP(D2369,Master[Product_Code],Master[Brand])</f>
        <v>Park Avenue</v>
      </c>
      <c r="H2369" s="8" t="str">
        <f>_xlfn.XLOOKUP(D2369,Master[Product_Code],Master[Style])</f>
        <v>Korean</v>
      </c>
      <c r="I2369" s="8" t="str">
        <f>_xlfn.XLOOKUP(D2369,Master[Product_Code],Master[Fabric])</f>
        <v>Lycra</v>
      </c>
      <c r="J2369" s="8">
        <f>_xlfn.XLOOKUP(D2369,Master[Product_Code],Master[Size])</f>
        <v>32</v>
      </c>
      <c r="K2369" s="8" t="str">
        <f>_xlfn.XLOOKUP(D2369,Master[Product_Code],Master[Color])</f>
        <v>Black</v>
      </c>
      <c r="L2369" s="3">
        <f>_xlfn.XLOOKUP(D2369,Master[Product_Code],Master[Selling_Price])</f>
        <v>860</v>
      </c>
    </row>
    <row r="2370" spans="2:12">
      <c r="B2370" s="2" t="s">
        <v>2743</v>
      </c>
      <c r="C2370" s="7">
        <v>46009</v>
      </c>
      <c r="D2370" s="2" t="s">
        <v>917</v>
      </c>
      <c r="E2370" s="4">
        <v>1</v>
      </c>
      <c r="F2370" s="8" t="str">
        <f>_xlfn.XLOOKUP(D2370,Master[Product_Code],Master[Category])</f>
        <v>Jeans</v>
      </c>
      <c r="G2370" s="8" t="str">
        <f>_xlfn.XLOOKUP(D2370,Master[Product_Code],Master[Brand])</f>
        <v>Levis</v>
      </c>
      <c r="H2370" s="8" t="str">
        <f>_xlfn.XLOOKUP(D2370,Master[Product_Code],Master[Style])</f>
        <v>Baggy</v>
      </c>
      <c r="I2370" s="8" t="str">
        <f>_xlfn.XLOOKUP(D2370,Master[Product_Code],Master[Fabric])</f>
        <v>Denim</v>
      </c>
      <c r="J2370" s="8">
        <f>_xlfn.XLOOKUP(D2370,Master[Product_Code],Master[Size])</f>
        <v>32</v>
      </c>
      <c r="K2370" s="8" t="str">
        <f>_xlfn.XLOOKUP(D2370,Master[Product_Code],Master[Color])</f>
        <v>Maroon</v>
      </c>
      <c r="L2370" s="3">
        <f>_xlfn.XLOOKUP(D2370,Master[Product_Code],Master[Selling_Price])</f>
        <v>850</v>
      </c>
    </row>
    <row r="2371" spans="2:12">
      <c r="B2371" s="2" t="s">
        <v>2744</v>
      </c>
      <c r="C2371" s="7">
        <v>46009</v>
      </c>
      <c r="D2371" s="2" t="s">
        <v>1614</v>
      </c>
      <c r="E2371" s="4">
        <v>1</v>
      </c>
      <c r="F2371" s="8" t="str">
        <f>_xlfn.XLOOKUP(D2371,Master[Product_Code],Master[Category])</f>
        <v>Innerwear</v>
      </c>
      <c r="G2371" s="8" t="str">
        <f>_xlfn.XLOOKUP(D2371,Master[Product_Code],Master[Brand])</f>
        <v>V Star</v>
      </c>
      <c r="H2371" s="8" t="str">
        <f>_xlfn.XLOOKUP(D2371,Master[Product_Code],Master[Style])</f>
        <v>V-Cut</v>
      </c>
      <c r="I2371" s="8" t="str">
        <f>_xlfn.XLOOKUP(D2371,Master[Product_Code],Master[Fabric])</f>
        <v>Cotton Blend</v>
      </c>
      <c r="J2371" s="8" t="str">
        <f>_xlfn.XLOOKUP(D2371,Master[Product_Code],Master[Size])</f>
        <v>75-80</v>
      </c>
      <c r="K2371" s="8" t="str">
        <f>_xlfn.XLOOKUP(D2371,Master[Product_Code],Master[Color])</f>
        <v>Peach</v>
      </c>
      <c r="L2371" s="3">
        <f>_xlfn.XLOOKUP(D2371,Master[Product_Code],Master[Selling_Price])</f>
        <v>110</v>
      </c>
    </row>
    <row r="2372" spans="2:12">
      <c r="B2372" s="2" t="s">
        <v>2744</v>
      </c>
      <c r="C2372" s="7">
        <v>46009</v>
      </c>
      <c r="D2372" s="2" t="s">
        <v>1552</v>
      </c>
      <c r="E2372" s="4">
        <v>1</v>
      </c>
      <c r="F2372" s="8" t="str">
        <f>_xlfn.XLOOKUP(D2372,Master[Product_Code],Master[Category])</f>
        <v>Innerwear</v>
      </c>
      <c r="G2372" s="8" t="str">
        <f>_xlfn.XLOOKUP(D2372,Master[Product_Code],Master[Brand])</f>
        <v>Dollar</v>
      </c>
      <c r="H2372" s="8" t="str">
        <f>_xlfn.XLOOKUP(D2372,Master[Product_Code],Master[Style])</f>
        <v>Boxer</v>
      </c>
      <c r="I2372" s="8" t="str">
        <f>_xlfn.XLOOKUP(D2372,Master[Product_Code],Master[Fabric])</f>
        <v>Cotton Blend</v>
      </c>
      <c r="J2372" s="8" t="str">
        <f>_xlfn.XLOOKUP(D2372,Master[Product_Code],Master[Size])</f>
        <v>80-85</v>
      </c>
      <c r="K2372" s="8" t="str">
        <f>_xlfn.XLOOKUP(D2372,Master[Product_Code],Master[Color])</f>
        <v>Beige</v>
      </c>
      <c r="L2372" s="3">
        <f>_xlfn.XLOOKUP(D2372,Master[Product_Code],Master[Selling_Price])</f>
        <v>120</v>
      </c>
    </row>
    <row r="2373" spans="2:12">
      <c r="B2373" s="2" t="s">
        <v>2744</v>
      </c>
      <c r="C2373" s="7">
        <v>46009</v>
      </c>
      <c r="D2373" s="2" t="s">
        <v>343</v>
      </c>
      <c r="E2373" s="4">
        <v>1</v>
      </c>
      <c r="F2373" s="8" t="str">
        <f>_xlfn.XLOOKUP(D2373,Master[Product_Code],Master[Category])</f>
        <v>Shirt</v>
      </c>
      <c r="G2373" s="8" t="str">
        <f>_xlfn.XLOOKUP(D2373,Master[Product_Code],Master[Brand])</f>
        <v>Luke &amp; Burg</v>
      </c>
      <c r="H2373" s="8" t="str">
        <f>_xlfn.XLOOKUP(D2373,Master[Product_Code],Master[Style])</f>
        <v>Casual</v>
      </c>
      <c r="I2373" s="8" t="str">
        <f>_xlfn.XLOOKUP(D2373,Master[Product_Code],Master[Fabric])</f>
        <v>Cotton</v>
      </c>
      <c r="J2373" s="8" t="str">
        <f>_xlfn.XLOOKUP(D2373,Master[Product_Code],Master[Size])</f>
        <v>XL</v>
      </c>
      <c r="K2373" s="8" t="str">
        <f>_xlfn.XLOOKUP(D2373,Master[Product_Code],Master[Color])</f>
        <v>White</v>
      </c>
      <c r="L2373" s="3">
        <f>_xlfn.XLOOKUP(D2373,Master[Product_Code],Master[Selling_Price])</f>
        <v>900</v>
      </c>
    </row>
    <row r="2374" spans="2:12">
      <c r="B2374" s="2" t="s">
        <v>2745</v>
      </c>
      <c r="C2374" s="7">
        <v>46009</v>
      </c>
      <c r="D2374" s="2" t="s">
        <v>859</v>
      </c>
      <c r="E2374" s="4">
        <v>1</v>
      </c>
      <c r="F2374" s="8" t="str">
        <f>_xlfn.XLOOKUP(D2374,Master[Product_Code],Master[Category])</f>
        <v>Jeans</v>
      </c>
      <c r="G2374" s="8" t="str">
        <f>_xlfn.XLOOKUP(D2374,Master[Product_Code],Master[Brand])</f>
        <v>Levis</v>
      </c>
      <c r="H2374" s="8" t="str">
        <f>_xlfn.XLOOKUP(D2374,Master[Product_Code],Master[Style])</f>
        <v>Jogger</v>
      </c>
      <c r="I2374" s="8" t="str">
        <f>_xlfn.XLOOKUP(D2374,Master[Product_Code],Master[Fabric])</f>
        <v>Denim</v>
      </c>
      <c r="J2374" s="8">
        <f>_xlfn.XLOOKUP(D2374,Master[Product_Code],Master[Size])</f>
        <v>42</v>
      </c>
      <c r="K2374" s="8" t="str">
        <f>_xlfn.XLOOKUP(D2374,Master[Product_Code],Master[Color])</f>
        <v>Peach</v>
      </c>
      <c r="L2374" s="3">
        <f>_xlfn.XLOOKUP(D2374,Master[Product_Code],Master[Selling_Price])</f>
        <v>870</v>
      </c>
    </row>
    <row r="2375" spans="2:12">
      <c r="B2375" s="2" t="s">
        <v>2745</v>
      </c>
      <c r="C2375" s="7">
        <v>46009</v>
      </c>
      <c r="D2375" s="2" t="s">
        <v>772</v>
      </c>
      <c r="E2375" s="4">
        <v>1</v>
      </c>
      <c r="F2375" s="8" t="str">
        <f>_xlfn.XLOOKUP(D2375,Master[Product_Code],Master[Category])</f>
        <v>T-Shirt</v>
      </c>
      <c r="G2375" s="8" t="str">
        <f>_xlfn.XLOOKUP(D2375,Master[Product_Code],Master[Brand])</f>
        <v>Turkey</v>
      </c>
      <c r="H2375" s="8" t="str">
        <f>_xlfn.XLOOKUP(D2375,Master[Product_Code],Master[Style])</f>
        <v>3/4 Sleeve</v>
      </c>
      <c r="I2375" s="8" t="str">
        <f>_xlfn.XLOOKUP(D2375,Master[Product_Code],Master[Fabric])</f>
        <v>Poly Cotton</v>
      </c>
      <c r="J2375" s="8" t="str">
        <f>_xlfn.XLOOKUP(D2375,Master[Product_Code],Master[Size])</f>
        <v>S</v>
      </c>
      <c r="K2375" s="8" t="str">
        <f>_xlfn.XLOOKUP(D2375,Master[Product_Code],Master[Color])</f>
        <v>Charcoal</v>
      </c>
      <c r="L2375" s="3">
        <f>_xlfn.XLOOKUP(D2375,Master[Product_Code],Master[Selling_Price])</f>
        <v>340</v>
      </c>
    </row>
    <row r="2376" spans="2:12">
      <c r="B2376" s="2" t="s">
        <v>2745</v>
      </c>
      <c r="C2376" s="7">
        <v>46009</v>
      </c>
      <c r="D2376" s="2" t="s">
        <v>875</v>
      </c>
      <c r="E2376" s="4">
        <v>1</v>
      </c>
      <c r="F2376" s="8" t="str">
        <f>_xlfn.XLOOKUP(D2376,Master[Product_Code],Master[Category])</f>
        <v>Jeans</v>
      </c>
      <c r="G2376" s="8" t="str">
        <f>_xlfn.XLOOKUP(D2376,Master[Product_Code],Master[Brand])</f>
        <v>Denim Pro</v>
      </c>
      <c r="H2376" s="8" t="str">
        <f>_xlfn.XLOOKUP(D2376,Master[Product_Code],Master[Style])</f>
        <v>Jogger</v>
      </c>
      <c r="I2376" s="8" t="str">
        <f>_xlfn.XLOOKUP(D2376,Master[Product_Code],Master[Fabric])</f>
        <v>Denim</v>
      </c>
      <c r="J2376" s="8">
        <f>_xlfn.XLOOKUP(D2376,Master[Product_Code],Master[Size])</f>
        <v>44</v>
      </c>
      <c r="K2376" s="8" t="str">
        <f>_xlfn.XLOOKUP(D2376,Master[Product_Code],Master[Color])</f>
        <v>Wine</v>
      </c>
      <c r="L2376" s="3">
        <f>_xlfn.XLOOKUP(D2376,Master[Product_Code],Master[Selling_Price])</f>
        <v>830</v>
      </c>
    </row>
    <row r="2377" spans="2:12">
      <c r="B2377" s="2" t="s">
        <v>2746</v>
      </c>
      <c r="C2377" s="7">
        <v>46009</v>
      </c>
      <c r="D2377" s="2" t="s">
        <v>1186</v>
      </c>
      <c r="E2377" s="4">
        <v>1</v>
      </c>
      <c r="F2377" s="8" t="str">
        <f>_xlfn.XLOOKUP(D2377,Master[Product_Code],Master[Category])</f>
        <v>Pants</v>
      </c>
      <c r="G2377" s="8" t="str">
        <f>_xlfn.XLOOKUP(D2377,Master[Product_Code],Master[Brand])</f>
        <v>Raymond</v>
      </c>
      <c r="H2377" s="8" t="str">
        <f>_xlfn.XLOOKUP(D2377,Master[Product_Code],Master[Style])</f>
        <v>Korean</v>
      </c>
      <c r="I2377" s="8" t="str">
        <f>_xlfn.XLOOKUP(D2377,Master[Product_Code],Master[Fabric])</f>
        <v>Lycra</v>
      </c>
      <c r="J2377" s="8">
        <f>_xlfn.XLOOKUP(D2377,Master[Product_Code],Master[Size])</f>
        <v>30</v>
      </c>
      <c r="K2377" s="8" t="str">
        <f>_xlfn.XLOOKUP(D2377,Master[Product_Code],Master[Color])</f>
        <v>Brown</v>
      </c>
      <c r="L2377" s="3">
        <f>_xlfn.XLOOKUP(D2377,Master[Product_Code],Master[Selling_Price])</f>
        <v>870</v>
      </c>
    </row>
    <row r="2378" spans="2:12">
      <c r="B2378" s="2" t="s">
        <v>2746</v>
      </c>
      <c r="C2378" s="7">
        <v>46009</v>
      </c>
      <c r="D2378" s="2" t="s">
        <v>1469</v>
      </c>
      <c r="E2378" s="4">
        <v>1</v>
      </c>
      <c r="F2378" s="8" t="str">
        <f>_xlfn.XLOOKUP(D2378,Master[Product_Code],Master[Category])</f>
        <v>Innerwear</v>
      </c>
      <c r="G2378" s="8" t="str">
        <f>_xlfn.XLOOKUP(D2378,Master[Product_Code],Master[Brand])</f>
        <v>Rupa</v>
      </c>
      <c r="H2378" s="8" t="str">
        <f>_xlfn.XLOOKUP(D2378,Master[Product_Code],Master[Style])</f>
        <v>V-Cut</v>
      </c>
      <c r="I2378" s="8" t="str">
        <f>_xlfn.XLOOKUP(D2378,Master[Product_Code],Master[Fabric])</f>
        <v>Cotton</v>
      </c>
      <c r="J2378" s="8" t="str">
        <f>_xlfn.XLOOKUP(D2378,Master[Product_Code],Master[Size])</f>
        <v>90-100</v>
      </c>
      <c r="K2378" s="8" t="str">
        <f>_xlfn.XLOOKUP(D2378,Master[Product_Code],Master[Color])</f>
        <v>Brown</v>
      </c>
      <c r="L2378" s="3">
        <f>_xlfn.XLOOKUP(D2378,Master[Product_Code],Master[Selling_Price])</f>
        <v>100</v>
      </c>
    </row>
    <row r="2379" spans="2:12">
      <c r="B2379" s="2" t="s">
        <v>2747</v>
      </c>
      <c r="C2379" s="7">
        <v>46009</v>
      </c>
      <c r="D2379" s="2" t="s">
        <v>1645</v>
      </c>
      <c r="E2379" s="4">
        <v>1</v>
      </c>
      <c r="F2379" s="8" t="str">
        <f>_xlfn.XLOOKUP(D2379,Master[Product_Code],Master[Category])</f>
        <v>Innerwear</v>
      </c>
      <c r="G2379" s="8" t="str">
        <f>_xlfn.XLOOKUP(D2379,Master[Product_Code],Master[Brand])</f>
        <v>V Star</v>
      </c>
      <c r="H2379" s="8" t="str">
        <f>_xlfn.XLOOKUP(D2379,Master[Product_Code],Master[Style])</f>
        <v>V-Cut</v>
      </c>
      <c r="I2379" s="8" t="str">
        <f>_xlfn.XLOOKUP(D2379,Master[Product_Code],Master[Fabric])</f>
        <v>Cotton Blend</v>
      </c>
      <c r="J2379" s="8" t="str">
        <f>_xlfn.XLOOKUP(D2379,Master[Product_Code],Master[Size])</f>
        <v>100-105</v>
      </c>
      <c r="K2379" s="8" t="str">
        <f>_xlfn.XLOOKUP(D2379,Master[Product_Code],Master[Color])</f>
        <v>Wine</v>
      </c>
      <c r="L2379" s="3">
        <f>_xlfn.XLOOKUP(D2379,Master[Product_Code],Master[Selling_Price])</f>
        <v>140</v>
      </c>
    </row>
    <row r="2380" spans="2:12">
      <c r="B2380" s="2" t="s">
        <v>2747</v>
      </c>
      <c r="C2380" s="7">
        <v>46009</v>
      </c>
      <c r="D2380" s="2" t="s">
        <v>1500</v>
      </c>
      <c r="E2380" s="4">
        <v>1</v>
      </c>
      <c r="F2380" s="8" t="str">
        <f>_xlfn.XLOOKUP(D2380,Master[Product_Code],Master[Category])</f>
        <v>Innerwear</v>
      </c>
      <c r="G2380" s="8" t="str">
        <f>_xlfn.XLOOKUP(D2380,Master[Product_Code],Master[Brand])</f>
        <v>Jockey</v>
      </c>
      <c r="H2380" s="8" t="str">
        <f>_xlfn.XLOOKUP(D2380,Master[Product_Code],Master[Style])</f>
        <v>Boxer</v>
      </c>
      <c r="I2380" s="8" t="str">
        <f>_xlfn.XLOOKUP(D2380,Master[Product_Code],Master[Fabric])</f>
        <v>Cotton</v>
      </c>
      <c r="J2380" s="8" t="str">
        <f>_xlfn.XLOOKUP(D2380,Master[Product_Code],Master[Size])</f>
        <v>90-100</v>
      </c>
      <c r="K2380" s="8" t="str">
        <f>_xlfn.XLOOKUP(D2380,Master[Product_Code],Master[Color])</f>
        <v>Grey</v>
      </c>
      <c r="L2380" s="3">
        <f>_xlfn.XLOOKUP(D2380,Master[Product_Code],Master[Selling_Price])</f>
        <v>100</v>
      </c>
    </row>
    <row r="2381" spans="2:12">
      <c r="B2381" s="2" t="s">
        <v>2747</v>
      </c>
      <c r="C2381" s="7">
        <v>46009</v>
      </c>
      <c r="D2381" s="2" t="s">
        <v>1652</v>
      </c>
      <c r="E2381" s="4">
        <v>1</v>
      </c>
      <c r="F2381" s="8" t="str">
        <f>_xlfn.XLOOKUP(D2381,Master[Product_Code],Master[Category])</f>
        <v>Innerwear</v>
      </c>
      <c r="G2381" s="8" t="str">
        <f>_xlfn.XLOOKUP(D2381,Master[Product_Code],Master[Brand])</f>
        <v>Dollar</v>
      </c>
      <c r="H2381" s="8" t="str">
        <f>_xlfn.XLOOKUP(D2381,Master[Product_Code],Master[Style])</f>
        <v>V-Cut</v>
      </c>
      <c r="I2381" s="8" t="str">
        <f>_xlfn.XLOOKUP(D2381,Master[Product_Code],Master[Fabric])</f>
        <v>Cotton Blend</v>
      </c>
      <c r="J2381" s="8" t="str">
        <f>_xlfn.XLOOKUP(D2381,Master[Product_Code],Master[Size])</f>
        <v>80-85</v>
      </c>
      <c r="K2381" s="8" t="str">
        <f>_xlfn.XLOOKUP(D2381,Master[Product_Code],Master[Color])</f>
        <v>Mustard</v>
      </c>
      <c r="L2381" s="3">
        <f>_xlfn.XLOOKUP(D2381,Master[Product_Code],Master[Selling_Price])</f>
        <v>160</v>
      </c>
    </row>
    <row r="2382" spans="2:12">
      <c r="B2382" s="2" t="s">
        <v>2748</v>
      </c>
      <c r="C2382" s="7">
        <v>46009</v>
      </c>
      <c r="D2382" s="2" t="s">
        <v>1050</v>
      </c>
      <c r="E2382" s="4">
        <v>1</v>
      </c>
      <c r="F2382" s="8" t="str">
        <f>_xlfn.XLOOKUP(D2382,Master[Product_Code],Master[Category])</f>
        <v>Jeans</v>
      </c>
      <c r="G2382" s="8" t="str">
        <f>_xlfn.XLOOKUP(D2382,Master[Product_Code],Master[Brand])</f>
        <v>Wrangler</v>
      </c>
      <c r="H2382" s="8" t="str">
        <f>_xlfn.XLOOKUP(D2382,Master[Product_Code],Master[Style])</f>
        <v>Baggy</v>
      </c>
      <c r="I2382" s="8" t="str">
        <f>_xlfn.XLOOKUP(D2382,Master[Product_Code],Master[Fabric])</f>
        <v>Denim</v>
      </c>
      <c r="J2382" s="8">
        <f>_xlfn.XLOOKUP(D2382,Master[Product_Code],Master[Size])</f>
        <v>38</v>
      </c>
      <c r="K2382" s="8" t="str">
        <f>_xlfn.XLOOKUP(D2382,Master[Product_Code],Master[Color])</f>
        <v>Wine</v>
      </c>
      <c r="L2382" s="3">
        <f>_xlfn.XLOOKUP(D2382,Master[Product_Code],Master[Selling_Price])</f>
        <v>770</v>
      </c>
    </row>
    <row r="2383" spans="2:12">
      <c r="B2383" s="2" t="s">
        <v>2748</v>
      </c>
      <c r="C2383" s="7">
        <v>46009</v>
      </c>
      <c r="D2383" s="2" t="s">
        <v>368</v>
      </c>
      <c r="E2383" s="4">
        <v>1</v>
      </c>
      <c r="F2383" s="8" t="str">
        <f>_xlfn.XLOOKUP(D2383,Master[Product_Code],Master[Category])</f>
        <v>Shirt</v>
      </c>
      <c r="G2383" s="8" t="str">
        <f>_xlfn.XLOOKUP(D2383,Master[Product_Code],Master[Brand])</f>
        <v>Zara</v>
      </c>
      <c r="H2383" s="8" t="str">
        <f>_xlfn.XLOOKUP(D2383,Master[Product_Code],Master[Style])</f>
        <v>Formal</v>
      </c>
      <c r="I2383" s="8" t="str">
        <f>_xlfn.XLOOKUP(D2383,Master[Product_Code],Master[Fabric])</f>
        <v>Polyester</v>
      </c>
      <c r="J2383" s="8" t="str">
        <f>_xlfn.XLOOKUP(D2383,Master[Product_Code],Master[Size])</f>
        <v>M</v>
      </c>
      <c r="K2383" s="8" t="str">
        <f>_xlfn.XLOOKUP(D2383,Master[Product_Code],Master[Color])</f>
        <v>White</v>
      </c>
      <c r="L2383" s="3">
        <f>_xlfn.XLOOKUP(D2383,Master[Product_Code],Master[Selling_Price])</f>
        <v>820</v>
      </c>
    </row>
    <row r="2384" spans="2:12">
      <c r="B2384" s="2" t="s">
        <v>2748</v>
      </c>
      <c r="C2384" s="7">
        <v>46009</v>
      </c>
      <c r="D2384" s="2" t="s">
        <v>1535</v>
      </c>
      <c r="E2384" s="4">
        <v>1</v>
      </c>
      <c r="F2384" s="8" t="str">
        <f>_xlfn.XLOOKUP(D2384,Master[Product_Code],Master[Category])</f>
        <v>Innerwear</v>
      </c>
      <c r="G2384" s="8" t="str">
        <f>_xlfn.XLOOKUP(D2384,Master[Product_Code],Master[Brand])</f>
        <v>Lux</v>
      </c>
      <c r="H2384" s="8" t="str">
        <f>_xlfn.XLOOKUP(D2384,Master[Product_Code],Master[Style])</f>
        <v>Boxer</v>
      </c>
      <c r="I2384" s="8" t="str">
        <f>_xlfn.XLOOKUP(D2384,Master[Product_Code],Master[Fabric])</f>
        <v>Cotton</v>
      </c>
      <c r="J2384" s="8" t="str">
        <f>_xlfn.XLOOKUP(D2384,Master[Product_Code],Master[Size])</f>
        <v>80-85</v>
      </c>
      <c r="K2384" s="8" t="str">
        <f>_xlfn.XLOOKUP(D2384,Master[Product_Code],Master[Color])</f>
        <v>Grey</v>
      </c>
      <c r="L2384" s="3">
        <f>_xlfn.XLOOKUP(D2384,Master[Product_Code],Master[Selling_Price])</f>
        <v>190</v>
      </c>
    </row>
    <row r="2385" spans="2:12">
      <c r="B2385" s="2" t="s">
        <v>2749</v>
      </c>
      <c r="C2385" s="7">
        <v>46010</v>
      </c>
      <c r="D2385" s="2" t="s">
        <v>1488</v>
      </c>
      <c r="E2385" s="4">
        <v>1</v>
      </c>
      <c r="F2385" s="8" t="str">
        <f>_xlfn.XLOOKUP(D2385,Master[Product_Code],Master[Category])</f>
        <v>Innerwear</v>
      </c>
      <c r="G2385" s="8" t="str">
        <f>_xlfn.XLOOKUP(D2385,Master[Product_Code],Master[Brand])</f>
        <v>Jockey</v>
      </c>
      <c r="H2385" s="8" t="str">
        <f>_xlfn.XLOOKUP(D2385,Master[Product_Code],Master[Style])</f>
        <v>V-Cut</v>
      </c>
      <c r="I2385" s="8" t="str">
        <f>_xlfn.XLOOKUP(D2385,Master[Product_Code],Master[Fabric])</f>
        <v>Cotton</v>
      </c>
      <c r="J2385" s="8" t="str">
        <f>_xlfn.XLOOKUP(D2385,Master[Product_Code],Master[Size])</f>
        <v>85-90</v>
      </c>
      <c r="K2385" s="8" t="str">
        <f>_xlfn.XLOOKUP(D2385,Master[Product_Code],Master[Color])</f>
        <v>Sky Blue</v>
      </c>
      <c r="L2385" s="3">
        <f>_xlfn.XLOOKUP(D2385,Master[Product_Code],Master[Selling_Price])</f>
        <v>130</v>
      </c>
    </row>
    <row r="2386" spans="2:12">
      <c r="B2386" s="2" t="s">
        <v>2749</v>
      </c>
      <c r="C2386" s="7">
        <v>46010</v>
      </c>
      <c r="D2386" s="2" t="s">
        <v>1519</v>
      </c>
      <c r="E2386" s="4">
        <v>1</v>
      </c>
      <c r="F2386" s="8" t="str">
        <f>_xlfn.XLOOKUP(D2386,Master[Product_Code],Master[Category])</f>
        <v>Innerwear</v>
      </c>
      <c r="G2386" s="8" t="str">
        <f>_xlfn.XLOOKUP(D2386,Master[Product_Code],Master[Brand])</f>
        <v>Rupa</v>
      </c>
      <c r="H2386" s="8" t="str">
        <f>_xlfn.XLOOKUP(D2386,Master[Product_Code],Master[Style])</f>
        <v>V-Cut</v>
      </c>
      <c r="I2386" s="8" t="str">
        <f>_xlfn.XLOOKUP(D2386,Master[Product_Code],Master[Fabric])</f>
        <v>Cotton Blend</v>
      </c>
      <c r="J2386" s="8" t="str">
        <f>_xlfn.XLOOKUP(D2386,Master[Product_Code],Master[Size])</f>
        <v>90-100</v>
      </c>
      <c r="K2386" s="8" t="str">
        <f>_xlfn.XLOOKUP(D2386,Master[Product_Code],Master[Color])</f>
        <v>Cream</v>
      </c>
      <c r="L2386" s="3">
        <f>_xlfn.XLOOKUP(D2386,Master[Product_Code],Master[Selling_Price])</f>
        <v>190</v>
      </c>
    </row>
    <row r="2387" spans="2:12">
      <c r="B2387" s="2" t="s">
        <v>2750</v>
      </c>
      <c r="C2387" s="7">
        <v>46010</v>
      </c>
      <c r="D2387" s="2" t="s">
        <v>1530</v>
      </c>
      <c r="E2387" s="4">
        <v>1</v>
      </c>
      <c r="F2387" s="8" t="str">
        <f>_xlfn.XLOOKUP(D2387,Master[Product_Code],Master[Category])</f>
        <v>Innerwear</v>
      </c>
      <c r="G2387" s="8" t="str">
        <f>_xlfn.XLOOKUP(D2387,Master[Product_Code],Master[Brand])</f>
        <v>V Star</v>
      </c>
      <c r="H2387" s="8" t="str">
        <f>_xlfn.XLOOKUP(D2387,Master[Product_Code],Master[Style])</f>
        <v>Boxer</v>
      </c>
      <c r="I2387" s="8" t="str">
        <f>_xlfn.XLOOKUP(D2387,Master[Product_Code],Master[Fabric])</f>
        <v>Cotton Blend</v>
      </c>
      <c r="J2387" s="8" t="str">
        <f>_xlfn.XLOOKUP(D2387,Master[Product_Code],Master[Size])</f>
        <v>105-110</v>
      </c>
      <c r="K2387" s="8" t="str">
        <f>_xlfn.XLOOKUP(D2387,Master[Product_Code],Master[Color])</f>
        <v>Bottle Green</v>
      </c>
      <c r="L2387" s="3">
        <f>_xlfn.XLOOKUP(D2387,Master[Product_Code],Master[Selling_Price])</f>
        <v>190</v>
      </c>
    </row>
    <row r="2388" spans="2:12">
      <c r="B2388" s="2" t="s">
        <v>2750</v>
      </c>
      <c r="C2388" s="7">
        <v>46010</v>
      </c>
      <c r="D2388" s="2" t="s">
        <v>1310</v>
      </c>
      <c r="E2388" s="4">
        <v>1</v>
      </c>
      <c r="F2388" s="8" t="str">
        <f>_xlfn.XLOOKUP(D2388,Master[Product_Code],Master[Category])</f>
        <v>Pants</v>
      </c>
      <c r="G2388" s="8" t="str">
        <f>_xlfn.XLOOKUP(D2388,Master[Product_Code],Master[Brand])</f>
        <v>Louis Philippe</v>
      </c>
      <c r="H2388" s="8" t="str">
        <f>_xlfn.XLOOKUP(D2388,Master[Product_Code],Master[Style])</f>
        <v>Polofit</v>
      </c>
      <c r="I2388" s="8" t="str">
        <f>_xlfn.XLOOKUP(D2388,Master[Product_Code],Master[Fabric])</f>
        <v>Lycra</v>
      </c>
      <c r="J2388" s="8">
        <f>_xlfn.XLOOKUP(D2388,Master[Product_Code],Master[Size])</f>
        <v>28</v>
      </c>
      <c r="K2388" s="8" t="str">
        <f>_xlfn.XLOOKUP(D2388,Master[Product_Code],Master[Color])</f>
        <v>Sky Blue</v>
      </c>
      <c r="L2388" s="3">
        <f>_xlfn.XLOOKUP(D2388,Master[Product_Code],Master[Selling_Price])</f>
        <v>900</v>
      </c>
    </row>
    <row r="2389" spans="2:12">
      <c r="B2389" s="2" t="s">
        <v>2750</v>
      </c>
      <c r="C2389" s="7">
        <v>46010</v>
      </c>
      <c r="D2389" s="2" t="s">
        <v>1356</v>
      </c>
      <c r="E2389" s="4">
        <v>1</v>
      </c>
      <c r="F2389" s="8" t="str">
        <f>_xlfn.XLOOKUP(D2389,Master[Product_Code],Master[Category])</f>
        <v>Pants</v>
      </c>
      <c r="G2389" s="8" t="str">
        <f>_xlfn.XLOOKUP(D2389,Master[Product_Code],Master[Brand])</f>
        <v>Peter England</v>
      </c>
      <c r="H2389" s="8" t="str">
        <f>_xlfn.XLOOKUP(D2389,Master[Product_Code],Master[Style])</f>
        <v>Kurka</v>
      </c>
      <c r="I2389" s="8" t="str">
        <f>_xlfn.XLOOKUP(D2389,Master[Product_Code],Master[Fabric])</f>
        <v>Lycra</v>
      </c>
      <c r="J2389" s="8">
        <f>_xlfn.XLOOKUP(D2389,Master[Product_Code],Master[Size])</f>
        <v>40</v>
      </c>
      <c r="K2389" s="8" t="str">
        <f>_xlfn.XLOOKUP(D2389,Master[Product_Code],Master[Color])</f>
        <v>White</v>
      </c>
      <c r="L2389" s="3">
        <f>_xlfn.XLOOKUP(D2389,Master[Product_Code],Master[Selling_Price])</f>
        <v>710</v>
      </c>
    </row>
    <row r="2390" spans="2:12">
      <c r="B2390" s="2" t="s">
        <v>2750</v>
      </c>
      <c r="C2390" s="7">
        <v>46010</v>
      </c>
      <c r="D2390" s="2" t="s">
        <v>521</v>
      </c>
      <c r="E2390" s="4">
        <v>1</v>
      </c>
      <c r="F2390" s="8" t="str">
        <f>_xlfn.XLOOKUP(D2390,Master[Product_Code],Master[Category])</f>
        <v>T-Shirt</v>
      </c>
      <c r="G2390" s="8" t="str">
        <f>_xlfn.XLOOKUP(D2390,Master[Product_Code],Master[Brand])</f>
        <v>Zara</v>
      </c>
      <c r="H2390" s="8" t="str">
        <f>_xlfn.XLOOKUP(D2390,Master[Product_Code],Master[Style])</f>
        <v>Full Sleeve</v>
      </c>
      <c r="I2390" s="8" t="str">
        <f>_xlfn.XLOOKUP(D2390,Master[Product_Code],Master[Fabric])</f>
        <v>Cotton</v>
      </c>
      <c r="J2390" s="8" t="str">
        <f>_xlfn.XLOOKUP(D2390,Master[Product_Code],Master[Size])</f>
        <v>XXL</v>
      </c>
      <c r="K2390" s="8" t="str">
        <f>_xlfn.XLOOKUP(D2390,Master[Product_Code],Master[Color])</f>
        <v>Rust</v>
      </c>
      <c r="L2390" s="3">
        <f>_xlfn.XLOOKUP(D2390,Master[Product_Code],Master[Selling_Price])</f>
        <v>270</v>
      </c>
    </row>
    <row r="2391" spans="2:12">
      <c r="B2391" s="2" t="s">
        <v>2751</v>
      </c>
      <c r="C2391" s="7">
        <v>46010</v>
      </c>
      <c r="D2391" s="2" t="s">
        <v>1697</v>
      </c>
      <c r="E2391" s="4">
        <v>1</v>
      </c>
      <c r="F2391" s="8" t="str">
        <f>_xlfn.XLOOKUP(D2391,Master[Product_Code],Master[Category])</f>
        <v>Innerwear</v>
      </c>
      <c r="G2391" s="8" t="str">
        <f>_xlfn.XLOOKUP(D2391,Master[Product_Code],Master[Brand])</f>
        <v>Lux</v>
      </c>
      <c r="H2391" s="8" t="str">
        <f>_xlfn.XLOOKUP(D2391,Master[Product_Code],Master[Style])</f>
        <v>Boxer</v>
      </c>
      <c r="I2391" s="8" t="str">
        <f>_xlfn.XLOOKUP(D2391,Master[Product_Code],Master[Fabric])</f>
        <v>Cotton Blend</v>
      </c>
      <c r="J2391" s="8" t="str">
        <f>_xlfn.XLOOKUP(D2391,Master[Product_Code],Master[Size])</f>
        <v>105-110</v>
      </c>
      <c r="K2391" s="8" t="str">
        <f>_xlfn.XLOOKUP(D2391,Master[Product_Code],Master[Color])</f>
        <v>Wine</v>
      </c>
      <c r="L2391" s="3">
        <f>_xlfn.XLOOKUP(D2391,Master[Product_Code],Master[Selling_Price])</f>
        <v>120</v>
      </c>
    </row>
    <row r="2392" spans="2:12">
      <c r="B2392" s="2" t="s">
        <v>2751</v>
      </c>
      <c r="C2392" s="7">
        <v>46010</v>
      </c>
      <c r="D2392" s="2" t="s">
        <v>1651</v>
      </c>
      <c r="E2392" s="4">
        <v>1</v>
      </c>
      <c r="F2392" s="8" t="str">
        <f>_xlfn.XLOOKUP(D2392,Master[Product_Code],Master[Category])</f>
        <v>Innerwear</v>
      </c>
      <c r="G2392" s="8" t="str">
        <f>_xlfn.XLOOKUP(D2392,Master[Product_Code],Master[Brand])</f>
        <v>Dollar</v>
      </c>
      <c r="H2392" s="8" t="str">
        <f>_xlfn.XLOOKUP(D2392,Master[Product_Code],Master[Style])</f>
        <v>V-Cut</v>
      </c>
      <c r="I2392" s="8" t="str">
        <f>_xlfn.XLOOKUP(D2392,Master[Product_Code],Master[Fabric])</f>
        <v>Cotton Blend</v>
      </c>
      <c r="J2392" s="8" t="str">
        <f>_xlfn.XLOOKUP(D2392,Master[Product_Code],Master[Size])</f>
        <v>75-80</v>
      </c>
      <c r="K2392" s="8" t="str">
        <f>_xlfn.XLOOKUP(D2392,Master[Product_Code],Master[Color])</f>
        <v>Dark Green</v>
      </c>
      <c r="L2392" s="3">
        <f>_xlfn.XLOOKUP(D2392,Master[Product_Code],Master[Selling_Price])</f>
        <v>140</v>
      </c>
    </row>
    <row r="2393" spans="2:12">
      <c r="B2393" s="2" t="s">
        <v>2752</v>
      </c>
      <c r="C2393" s="7">
        <v>46010</v>
      </c>
      <c r="D2393" s="2" t="s">
        <v>428</v>
      </c>
      <c r="E2393" s="4">
        <v>1</v>
      </c>
      <c r="F2393" s="8" t="str">
        <f>_xlfn.XLOOKUP(D2393,Master[Product_Code],Master[Category])</f>
        <v>T-Shirt</v>
      </c>
      <c r="G2393" s="8" t="str">
        <f>_xlfn.XLOOKUP(D2393,Master[Product_Code],Master[Brand])</f>
        <v>Roadster</v>
      </c>
      <c r="H2393" s="8" t="str">
        <f>_xlfn.XLOOKUP(D2393,Master[Product_Code],Master[Style])</f>
        <v>Half Sleeve</v>
      </c>
      <c r="I2393" s="8" t="str">
        <f>_xlfn.XLOOKUP(D2393,Master[Product_Code],Master[Fabric])</f>
        <v>Poly Cotton</v>
      </c>
      <c r="J2393" s="8" t="str">
        <f>_xlfn.XLOOKUP(D2393,Master[Product_Code],Master[Size])</f>
        <v>S</v>
      </c>
      <c r="K2393" s="8" t="str">
        <f>_xlfn.XLOOKUP(D2393,Master[Product_Code],Master[Color])</f>
        <v>Navy Blue</v>
      </c>
      <c r="L2393" s="3">
        <f>_xlfn.XLOOKUP(D2393,Master[Product_Code],Master[Selling_Price])</f>
        <v>340</v>
      </c>
    </row>
    <row r="2394" spans="2:12">
      <c r="B2394" s="2" t="s">
        <v>2752</v>
      </c>
      <c r="C2394" s="7">
        <v>46010</v>
      </c>
      <c r="D2394" s="2" t="s">
        <v>783</v>
      </c>
      <c r="E2394" s="4">
        <v>1</v>
      </c>
      <c r="F2394" s="8" t="str">
        <f>_xlfn.XLOOKUP(D2394,Master[Product_Code],Master[Category])</f>
        <v>T-Shirt</v>
      </c>
      <c r="G2394" s="8" t="str">
        <f>_xlfn.XLOOKUP(D2394,Master[Product_Code],Master[Brand])</f>
        <v>Roadster</v>
      </c>
      <c r="H2394" s="8" t="str">
        <f>_xlfn.XLOOKUP(D2394,Master[Product_Code],Master[Style])</f>
        <v>Half Sleeve</v>
      </c>
      <c r="I2394" s="8" t="str">
        <f>_xlfn.XLOOKUP(D2394,Master[Product_Code],Master[Fabric])</f>
        <v>Cotton</v>
      </c>
      <c r="J2394" s="8" t="str">
        <f>_xlfn.XLOOKUP(D2394,Master[Product_Code],Master[Size])</f>
        <v>XL</v>
      </c>
      <c r="K2394" s="8" t="str">
        <f>_xlfn.XLOOKUP(D2394,Master[Product_Code],Master[Color])</f>
        <v>Maroon</v>
      </c>
      <c r="L2394" s="3">
        <f>_xlfn.XLOOKUP(D2394,Master[Product_Code],Master[Selling_Price])</f>
        <v>590</v>
      </c>
    </row>
    <row r="2395" spans="2:12">
      <c r="B2395" s="2" t="s">
        <v>2753</v>
      </c>
      <c r="C2395" s="7">
        <v>46010</v>
      </c>
      <c r="D2395" s="2" t="s">
        <v>133</v>
      </c>
      <c r="E2395" s="4">
        <v>1</v>
      </c>
      <c r="F2395" s="8" t="str">
        <f>_xlfn.XLOOKUP(D2395,Master[Product_Code],Master[Category])</f>
        <v>Shirt</v>
      </c>
      <c r="G2395" s="8" t="str">
        <f>_xlfn.XLOOKUP(D2395,Master[Product_Code],Master[Brand])</f>
        <v>British</v>
      </c>
      <c r="H2395" s="8" t="str">
        <f>_xlfn.XLOOKUP(D2395,Master[Product_Code],Master[Style])</f>
        <v>Casual</v>
      </c>
      <c r="I2395" s="8" t="str">
        <f>_xlfn.XLOOKUP(D2395,Master[Product_Code],Master[Fabric])</f>
        <v>Cotton</v>
      </c>
      <c r="J2395" s="8" t="str">
        <f>_xlfn.XLOOKUP(D2395,Master[Product_Code],Master[Size])</f>
        <v>M</v>
      </c>
      <c r="K2395" s="8" t="str">
        <f>_xlfn.XLOOKUP(D2395,Master[Product_Code],Master[Color])</f>
        <v>Maroon</v>
      </c>
      <c r="L2395" s="3">
        <f>_xlfn.XLOOKUP(D2395,Master[Product_Code],Master[Selling_Price])</f>
        <v>730</v>
      </c>
    </row>
    <row r="2396" spans="2:12">
      <c r="B2396" s="2" t="s">
        <v>2753</v>
      </c>
      <c r="C2396" s="7">
        <v>46010</v>
      </c>
      <c r="D2396" s="2" t="s">
        <v>1257</v>
      </c>
      <c r="E2396" s="4">
        <v>1</v>
      </c>
      <c r="F2396" s="8" t="str">
        <f>_xlfn.XLOOKUP(D2396,Master[Product_Code],Master[Category])</f>
        <v>Pants</v>
      </c>
      <c r="G2396" s="8" t="str">
        <f>_xlfn.XLOOKUP(D2396,Master[Product_Code],Master[Brand])</f>
        <v>Park Avenue</v>
      </c>
      <c r="H2396" s="8" t="str">
        <f>_xlfn.XLOOKUP(D2396,Master[Product_Code],Master[Style])</f>
        <v>Korean</v>
      </c>
      <c r="I2396" s="8" t="str">
        <f>_xlfn.XLOOKUP(D2396,Master[Product_Code],Master[Fabric])</f>
        <v>Lycra</v>
      </c>
      <c r="J2396" s="8">
        <f>_xlfn.XLOOKUP(D2396,Master[Product_Code],Master[Size])</f>
        <v>34</v>
      </c>
      <c r="K2396" s="8" t="str">
        <f>_xlfn.XLOOKUP(D2396,Master[Product_Code],Master[Color])</f>
        <v>Navy Blue</v>
      </c>
      <c r="L2396" s="3">
        <f>_xlfn.XLOOKUP(D2396,Master[Product_Code],Master[Selling_Price])</f>
        <v>940</v>
      </c>
    </row>
    <row r="2397" spans="2:12">
      <c r="B2397" s="2" t="s">
        <v>2754</v>
      </c>
      <c r="C2397" s="7">
        <v>46010</v>
      </c>
      <c r="D2397" s="2" t="s">
        <v>975</v>
      </c>
      <c r="E2397" s="4">
        <v>1</v>
      </c>
      <c r="F2397" s="8" t="str">
        <f>_xlfn.XLOOKUP(D2397,Master[Product_Code],Master[Category])</f>
        <v>Jeans</v>
      </c>
      <c r="G2397" s="8" t="str">
        <f>_xlfn.XLOOKUP(D2397,Master[Product_Code],Master[Brand])</f>
        <v>Spykar</v>
      </c>
      <c r="H2397" s="8" t="str">
        <f>_xlfn.XLOOKUP(D2397,Master[Product_Code],Master[Style])</f>
        <v>Jogger</v>
      </c>
      <c r="I2397" s="8" t="str">
        <f>_xlfn.XLOOKUP(D2397,Master[Product_Code],Master[Fabric])</f>
        <v>Denim</v>
      </c>
      <c r="J2397" s="8">
        <f>_xlfn.XLOOKUP(D2397,Master[Product_Code],Master[Size])</f>
        <v>30</v>
      </c>
      <c r="K2397" s="8" t="str">
        <f>_xlfn.XLOOKUP(D2397,Master[Product_Code],Master[Color])</f>
        <v>Light Grey</v>
      </c>
      <c r="L2397" s="3">
        <f>_xlfn.XLOOKUP(D2397,Master[Product_Code],Master[Selling_Price])</f>
        <v>1020</v>
      </c>
    </row>
    <row r="2398" spans="2:12">
      <c r="B2398" s="2" t="s">
        <v>2755</v>
      </c>
      <c r="C2398" s="7">
        <v>46010</v>
      </c>
      <c r="D2398" s="2" t="s">
        <v>260</v>
      </c>
      <c r="E2398" s="4">
        <v>1</v>
      </c>
      <c r="F2398" s="8" t="str">
        <f>_xlfn.XLOOKUP(D2398,Master[Product_Code],Master[Category])</f>
        <v>Shirt</v>
      </c>
      <c r="G2398" s="8" t="str">
        <f>_xlfn.XLOOKUP(D2398,Master[Product_Code],Master[Brand])</f>
        <v>British</v>
      </c>
      <c r="H2398" s="8" t="str">
        <f>_xlfn.XLOOKUP(D2398,Master[Product_Code],Master[Style])</f>
        <v>Formal</v>
      </c>
      <c r="I2398" s="8" t="str">
        <f>_xlfn.XLOOKUP(D2398,Master[Product_Code],Master[Fabric])</f>
        <v>Polyester</v>
      </c>
      <c r="J2398" s="8" t="str">
        <f>_xlfn.XLOOKUP(D2398,Master[Product_Code],Master[Size])</f>
        <v>L</v>
      </c>
      <c r="K2398" s="8" t="str">
        <f>_xlfn.XLOOKUP(D2398,Master[Product_Code],Master[Color])</f>
        <v>Navy Blue</v>
      </c>
      <c r="L2398" s="3">
        <f>_xlfn.XLOOKUP(D2398,Master[Product_Code],Master[Selling_Price])</f>
        <v>640</v>
      </c>
    </row>
    <row r="2399" spans="2:12">
      <c r="B2399" s="2" t="s">
        <v>2755</v>
      </c>
      <c r="C2399" s="7">
        <v>46010</v>
      </c>
      <c r="D2399" s="2" t="s">
        <v>1659</v>
      </c>
      <c r="E2399" s="4">
        <v>1</v>
      </c>
      <c r="F2399" s="8" t="str">
        <f>_xlfn.XLOOKUP(D2399,Master[Product_Code],Master[Category])</f>
        <v>Innerwear</v>
      </c>
      <c r="G2399" s="8" t="str">
        <f>_xlfn.XLOOKUP(D2399,Master[Product_Code],Master[Brand])</f>
        <v>Lux</v>
      </c>
      <c r="H2399" s="8" t="str">
        <f>_xlfn.XLOOKUP(D2399,Master[Product_Code],Master[Style])</f>
        <v>V-Cut</v>
      </c>
      <c r="I2399" s="8" t="str">
        <f>_xlfn.XLOOKUP(D2399,Master[Product_Code],Master[Fabric])</f>
        <v>Cotton</v>
      </c>
      <c r="J2399" s="8" t="str">
        <f>_xlfn.XLOOKUP(D2399,Master[Product_Code],Master[Size])</f>
        <v>105-110</v>
      </c>
      <c r="K2399" s="8" t="str">
        <f>_xlfn.XLOOKUP(D2399,Master[Product_Code],Master[Color])</f>
        <v>White</v>
      </c>
      <c r="L2399" s="3">
        <f>_xlfn.XLOOKUP(D2399,Master[Product_Code],Master[Selling_Price])</f>
        <v>170</v>
      </c>
    </row>
    <row r="2400" spans="2:12">
      <c r="B2400" s="2" t="s">
        <v>2755</v>
      </c>
      <c r="C2400" s="7">
        <v>46010</v>
      </c>
      <c r="D2400" s="2" t="s">
        <v>302</v>
      </c>
      <c r="E2400" s="4">
        <v>1</v>
      </c>
      <c r="F2400" s="8" t="str">
        <f>_xlfn.XLOOKUP(D2400,Master[Product_Code],Master[Category])</f>
        <v>Shirt</v>
      </c>
      <c r="G2400" s="8" t="str">
        <f>_xlfn.XLOOKUP(D2400,Master[Product_Code],Master[Brand])</f>
        <v>USD</v>
      </c>
      <c r="H2400" s="8" t="str">
        <f>_xlfn.XLOOKUP(D2400,Master[Product_Code],Master[Style])</f>
        <v>Formal</v>
      </c>
      <c r="I2400" s="8" t="str">
        <f>_xlfn.XLOOKUP(D2400,Master[Product_Code],Master[Fabric])</f>
        <v>Cotton</v>
      </c>
      <c r="J2400" s="8" t="str">
        <f>_xlfn.XLOOKUP(D2400,Master[Product_Code],Master[Size])</f>
        <v>XL</v>
      </c>
      <c r="K2400" s="8" t="str">
        <f>_xlfn.XLOOKUP(D2400,Master[Product_Code],Master[Color])</f>
        <v>White</v>
      </c>
      <c r="L2400" s="3">
        <f>_xlfn.XLOOKUP(D2400,Master[Product_Code],Master[Selling_Price])</f>
        <v>860</v>
      </c>
    </row>
    <row r="2401" spans="2:12">
      <c r="B2401" s="2" t="s">
        <v>2755</v>
      </c>
      <c r="C2401" s="7">
        <v>46010</v>
      </c>
      <c r="D2401" s="2" t="s">
        <v>523</v>
      </c>
      <c r="E2401" s="4">
        <v>1</v>
      </c>
      <c r="F2401" s="8" t="str">
        <f>_xlfn.XLOOKUP(D2401,Master[Product_Code],Master[Category])</f>
        <v>T-Shirt</v>
      </c>
      <c r="G2401" s="8" t="str">
        <f>_xlfn.XLOOKUP(D2401,Master[Product_Code],Master[Brand])</f>
        <v>Roadster</v>
      </c>
      <c r="H2401" s="8" t="str">
        <f>_xlfn.XLOOKUP(D2401,Master[Product_Code],Master[Style])</f>
        <v>Hoodie</v>
      </c>
      <c r="I2401" s="8" t="str">
        <f>_xlfn.XLOOKUP(D2401,Master[Product_Code],Master[Fabric])</f>
        <v>Poly Cotton</v>
      </c>
      <c r="J2401" s="8" t="str">
        <f>_xlfn.XLOOKUP(D2401,Master[Product_Code],Master[Size])</f>
        <v>XXL</v>
      </c>
      <c r="K2401" s="8" t="str">
        <f>_xlfn.XLOOKUP(D2401,Master[Product_Code],Master[Color])</f>
        <v>Brown</v>
      </c>
      <c r="L2401" s="3">
        <f>_xlfn.XLOOKUP(D2401,Master[Product_Code],Master[Selling_Price])</f>
        <v>610</v>
      </c>
    </row>
    <row r="2402" spans="2:12">
      <c r="B2402" s="2" t="s">
        <v>2756</v>
      </c>
      <c r="C2402" s="7">
        <v>46010</v>
      </c>
      <c r="D2402" s="2" t="s">
        <v>955</v>
      </c>
      <c r="E2402" s="4">
        <v>1</v>
      </c>
      <c r="F2402" s="8" t="str">
        <f>_xlfn.XLOOKUP(D2402,Master[Product_Code],Master[Category])</f>
        <v>Jeans</v>
      </c>
      <c r="G2402" s="8" t="str">
        <f>_xlfn.XLOOKUP(D2402,Master[Product_Code],Master[Brand])</f>
        <v>Wrangler</v>
      </c>
      <c r="H2402" s="8" t="str">
        <f>_xlfn.XLOOKUP(D2402,Master[Product_Code],Master[Style])</f>
        <v>Jogger</v>
      </c>
      <c r="I2402" s="8" t="str">
        <f>_xlfn.XLOOKUP(D2402,Master[Product_Code],Master[Fabric])</f>
        <v>Denim</v>
      </c>
      <c r="J2402" s="8">
        <f>_xlfn.XLOOKUP(D2402,Master[Product_Code],Master[Size])</f>
        <v>44</v>
      </c>
      <c r="K2402" s="8" t="str">
        <f>_xlfn.XLOOKUP(D2402,Master[Product_Code],Master[Color])</f>
        <v>Maroon</v>
      </c>
      <c r="L2402" s="3">
        <f>_xlfn.XLOOKUP(D2402,Master[Product_Code],Master[Selling_Price])</f>
        <v>920</v>
      </c>
    </row>
    <row r="2403" spans="2:12">
      <c r="B2403" s="2" t="s">
        <v>2756</v>
      </c>
      <c r="C2403" s="7">
        <v>46010</v>
      </c>
      <c r="D2403" s="2" t="s">
        <v>1725</v>
      </c>
      <c r="E2403" s="4">
        <v>1</v>
      </c>
      <c r="F2403" s="8" t="str">
        <f>_xlfn.XLOOKUP(D2403,Master[Product_Code],Master[Category])</f>
        <v>Innerwear</v>
      </c>
      <c r="G2403" s="8" t="str">
        <f>_xlfn.XLOOKUP(D2403,Master[Product_Code],Master[Brand])</f>
        <v>V Star</v>
      </c>
      <c r="H2403" s="8" t="str">
        <f>_xlfn.XLOOKUP(D2403,Master[Product_Code],Master[Style])</f>
        <v>V-Cut</v>
      </c>
      <c r="I2403" s="8" t="str">
        <f>_xlfn.XLOOKUP(D2403,Master[Product_Code],Master[Fabric])</f>
        <v>Cotton Blend</v>
      </c>
      <c r="J2403" s="8" t="str">
        <f>_xlfn.XLOOKUP(D2403,Master[Product_Code],Master[Size])</f>
        <v>80-85</v>
      </c>
      <c r="K2403" s="8" t="str">
        <f>_xlfn.XLOOKUP(D2403,Master[Product_Code],Master[Color])</f>
        <v>Cream</v>
      </c>
      <c r="L2403" s="3">
        <f>_xlfn.XLOOKUP(D2403,Master[Product_Code],Master[Selling_Price])</f>
        <v>140</v>
      </c>
    </row>
    <row r="2404" spans="2:12">
      <c r="B2404" s="2" t="s">
        <v>2756</v>
      </c>
      <c r="C2404" s="7">
        <v>46010</v>
      </c>
      <c r="D2404" s="2" t="s">
        <v>1373</v>
      </c>
      <c r="E2404" s="4">
        <v>1</v>
      </c>
      <c r="F2404" s="8" t="str">
        <f>_xlfn.XLOOKUP(D2404,Master[Product_Code],Master[Category])</f>
        <v>Pants</v>
      </c>
      <c r="G2404" s="8" t="str">
        <f>_xlfn.XLOOKUP(D2404,Master[Product_Code],Master[Brand])</f>
        <v>Raymond</v>
      </c>
      <c r="H2404" s="8" t="str">
        <f>_xlfn.XLOOKUP(D2404,Master[Product_Code],Master[Style])</f>
        <v>Korean</v>
      </c>
      <c r="I2404" s="8" t="str">
        <f>_xlfn.XLOOKUP(D2404,Master[Product_Code],Master[Fabric])</f>
        <v>Lycra</v>
      </c>
      <c r="J2404" s="8">
        <f>_xlfn.XLOOKUP(D2404,Master[Product_Code],Master[Size])</f>
        <v>40</v>
      </c>
      <c r="K2404" s="8" t="str">
        <f>_xlfn.XLOOKUP(D2404,Master[Product_Code],Master[Color])</f>
        <v>Mustard</v>
      </c>
      <c r="L2404" s="3">
        <f>_xlfn.XLOOKUP(D2404,Master[Product_Code],Master[Selling_Price])</f>
        <v>840</v>
      </c>
    </row>
    <row r="2405" spans="2:12">
      <c r="B2405" s="2" t="s">
        <v>2756</v>
      </c>
      <c r="C2405" s="7">
        <v>46010</v>
      </c>
      <c r="D2405" s="2" t="s">
        <v>708</v>
      </c>
      <c r="E2405" s="4">
        <v>1</v>
      </c>
      <c r="F2405" s="8" t="str">
        <f>_xlfn.XLOOKUP(D2405,Master[Product_Code],Master[Category])</f>
        <v>T-Shirt</v>
      </c>
      <c r="G2405" s="8" t="str">
        <f>_xlfn.XLOOKUP(D2405,Master[Product_Code],Master[Brand])</f>
        <v>Roadster</v>
      </c>
      <c r="H2405" s="8" t="str">
        <f>_xlfn.XLOOKUP(D2405,Master[Product_Code],Master[Style])</f>
        <v>3/4 Sleeve</v>
      </c>
      <c r="I2405" s="8" t="str">
        <f>_xlfn.XLOOKUP(D2405,Master[Product_Code],Master[Fabric])</f>
        <v>Poly Cotton</v>
      </c>
      <c r="J2405" s="8" t="str">
        <f>_xlfn.XLOOKUP(D2405,Master[Product_Code],Master[Size])</f>
        <v>XXL</v>
      </c>
      <c r="K2405" s="8" t="str">
        <f>_xlfn.XLOOKUP(D2405,Master[Product_Code],Master[Color])</f>
        <v>Grey</v>
      </c>
      <c r="L2405" s="3">
        <f>_xlfn.XLOOKUP(D2405,Master[Product_Code],Master[Selling_Price])</f>
        <v>710</v>
      </c>
    </row>
    <row r="2406" spans="2:12">
      <c r="B2406" s="2" t="s">
        <v>2757</v>
      </c>
      <c r="C2406" s="7">
        <v>46010</v>
      </c>
      <c r="D2406" s="2" t="s">
        <v>1718</v>
      </c>
      <c r="E2406" s="4">
        <v>1</v>
      </c>
      <c r="F2406" s="8" t="str">
        <f>_xlfn.XLOOKUP(D2406,Master[Product_Code],Master[Category])</f>
        <v>Innerwear</v>
      </c>
      <c r="G2406" s="8" t="str">
        <f>_xlfn.XLOOKUP(D2406,Master[Product_Code],Master[Brand])</f>
        <v>Rupa</v>
      </c>
      <c r="H2406" s="8" t="str">
        <f>_xlfn.XLOOKUP(D2406,Master[Product_Code],Master[Style])</f>
        <v>V-Cut</v>
      </c>
      <c r="I2406" s="8" t="str">
        <f>_xlfn.XLOOKUP(D2406,Master[Product_Code],Master[Fabric])</f>
        <v>Cotton</v>
      </c>
      <c r="J2406" s="8" t="str">
        <f>_xlfn.XLOOKUP(D2406,Master[Product_Code],Master[Size])</f>
        <v>75-80</v>
      </c>
      <c r="K2406" s="8" t="str">
        <f>_xlfn.XLOOKUP(D2406,Master[Product_Code],Master[Color])</f>
        <v>Beige</v>
      </c>
      <c r="L2406" s="3">
        <f>_xlfn.XLOOKUP(D2406,Master[Product_Code],Master[Selling_Price])</f>
        <v>140</v>
      </c>
    </row>
    <row r="2407" spans="2:12">
      <c r="B2407" s="2" t="s">
        <v>2757</v>
      </c>
      <c r="C2407" s="7">
        <v>46010</v>
      </c>
      <c r="D2407" s="2" t="s">
        <v>1644</v>
      </c>
      <c r="E2407" s="4">
        <v>1</v>
      </c>
      <c r="F2407" s="8" t="str">
        <f>_xlfn.XLOOKUP(D2407,Master[Product_Code],Master[Category])</f>
        <v>Innerwear</v>
      </c>
      <c r="G2407" s="8" t="str">
        <f>_xlfn.XLOOKUP(D2407,Master[Product_Code],Master[Brand])</f>
        <v>Jockey</v>
      </c>
      <c r="H2407" s="8" t="str">
        <f>_xlfn.XLOOKUP(D2407,Master[Product_Code],Master[Style])</f>
        <v>Boxer</v>
      </c>
      <c r="I2407" s="8" t="str">
        <f>_xlfn.XLOOKUP(D2407,Master[Product_Code],Master[Fabric])</f>
        <v>Cotton</v>
      </c>
      <c r="J2407" s="8" t="str">
        <f>_xlfn.XLOOKUP(D2407,Master[Product_Code],Master[Size])</f>
        <v>80-85</v>
      </c>
      <c r="K2407" s="8" t="str">
        <f>_xlfn.XLOOKUP(D2407,Master[Product_Code],Master[Color])</f>
        <v>Black</v>
      </c>
      <c r="L2407" s="3">
        <f>_xlfn.XLOOKUP(D2407,Master[Product_Code],Master[Selling_Price])</f>
        <v>170</v>
      </c>
    </row>
    <row r="2408" spans="2:12">
      <c r="B2408" s="2" t="s">
        <v>2758</v>
      </c>
      <c r="C2408" s="7">
        <v>46010</v>
      </c>
      <c r="D2408" s="2" t="s">
        <v>1231</v>
      </c>
      <c r="E2408" s="4">
        <v>1</v>
      </c>
      <c r="F2408" s="8" t="str">
        <f>_xlfn.XLOOKUP(D2408,Master[Product_Code],Master[Category])</f>
        <v>Pants</v>
      </c>
      <c r="G2408" s="8" t="str">
        <f>_xlfn.XLOOKUP(D2408,Master[Product_Code],Master[Brand])</f>
        <v>Park Avenue</v>
      </c>
      <c r="H2408" s="8" t="str">
        <f>_xlfn.XLOOKUP(D2408,Master[Product_Code],Master[Style])</f>
        <v>Jogger</v>
      </c>
      <c r="I2408" s="8" t="str">
        <f>_xlfn.XLOOKUP(D2408,Master[Product_Code],Master[Fabric])</f>
        <v>Poly Viscose</v>
      </c>
      <c r="J2408" s="8">
        <f>_xlfn.XLOOKUP(D2408,Master[Product_Code],Master[Size])</f>
        <v>28</v>
      </c>
      <c r="K2408" s="8" t="str">
        <f>_xlfn.XLOOKUP(D2408,Master[Product_Code],Master[Color])</f>
        <v>Wine</v>
      </c>
      <c r="L2408" s="3">
        <f>_xlfn.XLOOKUP(D2408,Master[Product_Code],Master[Selling_Price])</f>
        <v>800</v>
      </c>
    </row>
    <row r="2409" spans="2:12">
      <c r="B2409" s="2" t="s">
        <v>2758</v>
      </c>
      <c r="C2409" s="7">
        <v>46010</v>
      </c>
      <c r="D2409" s="2" t="s">
        <v>900</v>
      </c>
      <c r="E2409" s="4">
        <v>1</v>
      </c>
      <c r="F2409" s="8" t="str">
        <f>_xlfn.XLOOKUP(D2409,Master[Product_Code],Master[Category])</f>
        <v>Jeans</v>
      </c>
      <c r="G2409" s="8" t="str">
        <f>_xlfn.XLOOKUP(D2409,Master[Product_Code],Master[Brand])</f>
        <v>Denim Pro</v>
      </c>
      <c r="H2409" s="8" t="str">
        <f>_xlfn.XLOOKUP(D2409,Master[Product_Code],Master[Style])</f>
        <v>Mom Fit</v>
      </c>
      <c r="I2409" s="8" t="str">
        <f>_xlfn.XLOOKUP(D2409,Master[Product_Code],Master[Fabric])</f>
        <v>Denim</v>
      </c>
      <c r="J2409" s="8">
        <f>_xlfn.XLOOKUP(D2409,Master[Product_Code],Master[Size])</f>
        <v>30</v>
      </c>
      <c r="K2409" s="8" t="str">
        <f>_xlfn.XLOOKUP(D2409,Master[Product_Code],Master[Color])</f>
        <v>Light Grey</v>
      </c>
      <c r="L2409" s="3">
        <f>_xlfn.XLOOKUP(D2409,Master[Product_Code],Master[Selling_Price])</f>
        <v>970</v>
      </c>
    </row>
    <row r="2410" spans="2:12">
      <c r="B2410" s="2" t="s">
        <v>2759</v>
      </c>
      <c r="C2410" s="7">
        <v>46010</v>
      </c>
      <c r="D2410" s="2" t="s">
        <v>219</v>
      </c>
      <c r="E2410" s="4">
        <v>1</v>
      </c>
      <c r="F2410" s="8" t="str">
        <f>_xlfn.XLOOKUP(D2410,Master[Product_Code],Master[Category])</f>
        <v>Shirt</v>
      </c>
      <c r="G2410" s="8" t="str">
        <f>_xlfn.XLOOKUP(D2410,Master[Product_Code],Master[Brand])</f>
        <v>G Studio</v>
      </c>
      <c r="H2410" s="8" t="str">
        <f>_xlfn.XLOOKUP(D2410,Master[Product_Code],Master[Style])</f>
        <v>Partywear</v>
      </c>
      <c r="I2410" s="8" t="str">
        <f>_xlfn.XLOOKUP(D2410,Master[Product_Code],Master[Fabric])</f>
        <v>Cotton</v>
      </c>
      <c r="J2410" s="8" t="str">
        <f>_xlfn.XLOOKUP(D2410,Master[Product_Code],Master[Size])</f>
        <v>XL</v>
      </c>
      <c r="K2410" s="8" t="str">
        <f>_xlfn.XLOOKUP(D2410,Master[Product_Code],Master[Color])</f>
        <v>Brown</v>
      </c>
      <c r="L2410" s="3">
        <f>_xlfn.XLOOKUP(D2410,Master[Product_Code],Master[Selling_Price])</f>
        <v>850</v>
      </c>
    </row>
    <row r="2411" spans="2:12">
      <c r="B2411" s="2" t="s">
        <v>2759</v>
      </c>
      <c r="C2411" s="7">
        <v>46010</v>
      </c>
      <c r="D2411" s="2" t="s">
        <v>347</v>
      </c>
      <c r="E2411" s="4">
        <v>1</v>
      </c>
      <c r="F2411" s="8" t="str">
        <f>_xlfn.XLOOKUP(D2411,Master[Product_Code],Master[Category])</f>
        <v>Shirt</v>
      </c>
      <c r="G2411" s="8" t="str">
        <f>_xlfn.XLOOKUP(D2411,Master[Product_Code],Master[Brand])</f>
        <v>Zara</v>
      </c>
      <c r="H2411" s="8" t="str">
        <f>_xlfn.XLOOKUP(D2411,Master[Product_Code],Master[Style])</f>
        <v>Formal</v>
      </c>
      <c r="I2411" s="8" t="str">
        <f>_xlfn.XLOOKUP(D2411,Master[Product_Code],Master[Fabric])</f>
        <v>Cotton</v>
      </c>
      <c r="J2411" s="8" t="str">
        <f>_xlfn.XLOOKUP(D2411,Master[Product_Code],Master[Size])</f>
        <v>M</v>
      </c>
      <c r="K2411" s="8" t="str">
        <f>_xlfn.XLOOKUP(D2411,Master[Product_Code],Master[Color])</f>
        <v>Mustard</v>
      </c>
      <c r="L2411" s="3">
        <f>_xlfn.XLOOKUP(D2411,Master[Product_Code],Master[Selling_Price])</f>
        <v>810</v>
      </c>
    </row>
    <row r="2412" spans="2:12">
      <c r="B2412" s="2" t="s">
        <v>2759</v>
      </c>
      <c r="C2412" s="7">
        <v>46010</v>
      </c>
      <c r="D2412" s="2" t="s">
        <v>993</v>
      </c>
      <c r="E2412" s="4">
        <v>1</v>
      </c>
      <c r="F2412" s="8" t="str">
        <f>_xlfn.XLOOKUP(D2412,Master[Product_Code],Master[Category])</f>
        <v>Jeans</v>
      </c>
      <c r="G2412" s="8" t="str">
        <f>_xlfn.XLOOKUP(D2412,Master[Product_Code],Master[Brand])</f>
        <v>Spykar</v>
      </c>
      <c r="H2412" s="8" t="str">
        <f>_xlfn.XLOOKUP(D2412,Master[Product_Code],Master[Style])</f>
        <v>Mom Fit</v>
      </c>
      <c r="I2412" s="8" t="str">
        <f>_xlfn.XLOOKUP(D2412,Master[Product_Code],Master[Fabric])</f>
        <v>Denim</v>
      </c>
      <c r="J2412" s="8">
        <f>_xlfn.XLOOKUP(D2412,Master[Product_Code],Master[Size])</f>
        <v>44</v>
      </c>
      <c r="K2412" s="8" t="str">
        <f>_xlfn.XLOOKUP(D2412,Master[Product_Code],Master[Color])</f>
        <v>Black</v>
      </c>
      <c r="L2412" s="3">
        <f>_xlfn.XLOOKUP(D2412,Master[Product_Code],Master[Selling_Price])</f>
        <v>1050</v>
      </c>
    </row>
    <row r="2413" spans="2:12">
      <c r="B2413" s="2" t="s">
        <v>2760</v>
      </c>
      <c r="C2413" s="7">
        <v>46011</v>
      </c>
      <c r="D2413" s="2" t="s">
        <v>967</v>
      </c>
      <c r="E2413" s="4">
        <v>1</v>
      </c>
      <c r="F2413" s="8" t="str">
        <f>_xlfn.XLOOKUP(D2413,Master[Product_Code],Master[Category])</f>
        <v>Jeans</v>
      </c>
      <c r="G2413" s="8" t="str">
        <f>_xlfn.XLOOKUP(D2413,Master[Product_Code],Master[Brand])</f>
        <v>Pepe</v>
      </c>
      <c r="H2413" s="8" t="str">
        <f>_xlfn.XLOOKUP(D2413,Master[Product_Code],Master[Style])</f>
        <v>Jogger</v>
      </c>
      <c r="I2413" s="8" t="str">
        <f>_xlfn.XLOOKUP(D2413,Master[Product_Code],Master[Fabric])</f>
        <v>Denim</v>
      </c>
      <c r="J2413" s="8">
        <f>_xlfn.XLOOKUP(D2413,Master[Product_Code],Master[Size])</f>
        <v>34</v>
      </c>
      <c r="K2413" s="8" t="str">
        <f>_xlfn.XLOOKUP(D2413,Master[Product_Code],Master[Color])</f>
        <v>Dark Green</v>
      </c>
      <c r="L2413" s="3">
        <f>_xlfn.XLOOKUP(D2413,Master[Product_Code],Master[Selling_Price])</f>
        <v>930</v>
      </c>
    </row>
    <row r="2414" spans="2:12">
      <c r="B2414" s="2" t="s">
        <v>2760</v>
      </c>
      <c r="C2414" s="7">
        <v>46011</v>
      </c>
      <c r="D2414" s="2" t="s">
        <v>1480</v>
      </c>
      <c r="E2414" s="4">
        <v>1</v>
      </c>
      <c r="F2414" s="8" t="str">
        <f>_xlfn.XLOOKUP(D2414,Master[Product_Code],Master[Category])</f>
        <v>Innerwear</v>
      </c>
      <c r="G2414" s="8" t="str">
        <f>_xlfn.XLOOKUP(D2414,Master[Product_Code],Master[Brand])</f>
        <v>Jockey</v>
      </c>
      <c r="H2414" s="8" t="str">
        <f>_xlfn.XLOOKUP(D2414,Master[Product_Code],Master[Style])</f>
        <v>V-Cut</v>
      </c>
      <c r="I2414" s="8" t="str">
        <f>_xlfn.XLOOKUP(D2414,Master[Product_Code],Master[Fabric])</f>
        <v>Cotton</v>
      </c>
      <c r="J2414" s="8" t="str">
        <f>_xlfn.XLOOKUP(D2414,Master[Product_Code],Master[Size])</f>
        <v>85-90</v>
      </c>
      <c r="K2414" s="8" t="str">
        <f>_xlfn.XLOOKUP(D2414,Master[Product_Code],Master[Color])</f>
        <v>Cream</v>
      </c>
      <c r="L2414" s="3">
        <f>_xlfn.XLOOKUP(D2414,Master[Product_Code],Master[Selling_Price])</f>
        <v>180</v>
      </c>
    </row>
    <row r="2415" spans="2:12">
      <c r="B2415" s="2" t="s">
        <v>2760</v>
      </c>
      <c r="C2415" s="7">
        <v>46011</v>
      </c>
      <c r="D2415" s="2" t="s">
        <v>707</v>
      </c>
      <c r="E2415" s="4">
        <v>1</v>
      </c>
      <c r="F2415" s="8" t="str">
        <f>_xlfn.XLOOKUP(D2415,Master[Product_Code],Master[Category])</f>
        <v>T-Shirt</v>
      </c>
      <c r="G2415" s="8" t="str">
        <f>_xlfn.XLOOKUP(D2415,Master[Product_Code],Master[Brand])</f>
        <v>Urban Monkey</v>
      </c>
      <c r="H2415" s="8" t="str">
        <f>_xlfn.XLOOKUP(D2415,Master[Product_Code],Master[Style])</f>
        <v>Full Sleeve</v>
      </c>
      <c r="I2415" s="8" t="str">
        <f>_xlfn.XLOOKUP(D2415,Master[Product_Code],Master[Fabric])</f>
        <v>Cotton</v>
      </c>
      <c r="J2415" s="8" t="str">
        <f>_xlfn.XLOOKUP(D2415,Master[Product_Code],Master[Size])</f>
        <v>XL</v>
      </c>
      <c r="K2415" s="8" t="str">
        <f>_xlfn.XLOOKUP(D2415,Master[Product_Code],Master[Color])</f>
        <v>Royal Blue</v>
      </c>
      <c r="L2415" s="3">
        <f>_xlfn.XLOOKUP(D2415,Master[Product_Code],Master[Selling_Price])</f>
        <v>530</v>
      </c>
    </row>
    <row r="2416" spans="2:12">
      <c r="B2416" s="2" t="s">
        <v>2761</v>
      </c>
      <c r="C2416" s="7">
        <v>46011</v>
      </c>
      <c r="D2416" s="2" t="s">
        <v>1432</v>
      </c>
      <c r="E2416" s="4">
        <v>1</v>
      </c>
      <c r="F2416" s="8" t="str">
        <f>_xlfn.XLOOKUP(D2416,Master[Product_Code],Master[Category])</f>
        <v>Pants</v>
      </c>
      <c r="G2416" s="8" t="str">
        <f>_xlfn.XLOOKUP(D2416,Master[Product_Code],Master[Brand])</f>
        <v>Peter England</v>
      </c>
      <c r="H2416" s="8" t="str">
        <f>_xlfn.XLOOKUP(D2416,Master[Product_Code],Master[Style])</f>
        <v>Kurka</v>
      </c>
      <c r="I2416" s="8" t="str">
        <f>_xlfn.XLOOKUP(D2416,Master[Product_Code],Master[Fabric])</f>
        <v>Lycra</v>
      </c>
      <c r="J2416" s="8">
        <f>_xlfn.XLOOKUP(D2416,Master[Product_Code],Master[Size])</f>
        <v>44</v>
      </c>
      <c r="K2416" s="8" t="str">
        <f>_xlfn.XLOOKUP(D2416,Master[Product_Code],Master[Color])</f>
        <v>Rust</v>
      </c>
      <c r="L2416" s="3">
        <f>_xlfn.XLOOKUP(D2416,Master[Product_Code],Master[Selling_Price])</f>
        <v>750</v>
      </c>
    </row>
    <row r="2417" spans="2:12">
      <c r="B2417" s="2" t="s">
        <v>2761</v>
      </c>
      <c r="C2417" s="7">
        <v>46011</v>
      </c>
      <c r="D2417" s="2" t="s">
        <v>1261</v>
      </c>
      <c r="E2417" s="4">
        <v>1</v>
      </c>
      <c r="F2417" s="8" t="str">
        <f>_xlfn.XLOOKUP(D2417,Master[Product_Code],Master[Category])</f>
        <v>Pants</v>
      </c>
      <c r="G2417" s="8" t="str">
        <f>_xlfn.XLOOKUP(D2417,Master[Product_Code],Master[Brand])</f>
        <v>Raymond</v>
      </c>
      <c r="H2417" s="8" t="str">
        <f>_xlfn.XLOOKUP(D2417,Master[Product_Code],Master[Style])</f>
        <v>Korean</v>
      </c>
      <c r="I2417" s="8" t="str">
        <f>_xlfn.XLOOKUP(D2417,Master[Product_Code],Master[Fabric])</f>
        <v>Lycra</v>
      </c>
      <c r="J2417" s="8">
        <f>_xlfn.XLOOKUP(D2417,Master[Product_Code],Master[Size])</f>
        <v>30</v>
      </c>
      <c r="K2417" s="8" t="str">
        <f>_xlfn.XLOOKUP(D2417,Master[Product_Code],Master[Color])</f>
        <v>Black</v>
      </c>
      <c r="L2417" s="3">
        <f>_xlfn.XLOOKUP(D2417,Master[Product_Code],Master[Selling_Price])</f>
        <v>750</v>
      </c>
    </row>
    <row r="2418" spans="2:12">
      <c r="B2418" s="2" t="s">
        <v>2761</v>
      </c>
      <c r="C2418" s="7">
        <v>46011</v>
      </c>
      <c r="D2418" s="2" t="s">
        <v>301</v>
      </c>
      <c r="E2418" s="4">
        <v>1</v>
      </c>
      <c r="F2418" s="8" t="str">
        <f>_xlfn.XLOOKUP(D2418,Master[Product_Code],Master[Category])</f>
        <v>Shirt</v>
      </c>
      <c r="G2418" s="8" t="str">
        <f>_xlfn.XLOOKUP(D2418,Master[Product_Code],Master[Brand])</f>
        <v>British</v>
      </c>
      <c r="H2418" s="8" t="str">
        <f>_xlfn.XLOOKUP(D2418,Master[Product_Code],Master[Style])</f>
        <v>Partywear</v>
      </c>
      <c r="I2418" s="8" t="str">
        <f>_xlfn.XLOOKUP(D2418,Master[Product_Code],Master[Fabric])</f>
        <v>Cotton Blend</v>
      </c>
      <c r="J2418" s="8" t="str">
        <f>_xlfn.XLOOKUP(D2418,Master[Product_Code],Master[Size])</f>
        <v>M</v>
      </c>
      <c r="K2418" s="8" t="str">
        <f>_xlfn.XLOOKUP(D2418,Master[Product_Code],Master[Color])</f>
        <v>Cream</v>
      </c>
      <c r="L2418" s="3">
        <f>_xlfn.XLOOKUP(D2418,Master[Product_Code],Master[Selling_Price])</f>
        <v>640</v>
      </c>
    </row>
    <row r="2419" spans="2:12">
      <c r="B2419" s="2" t="s">
        <v>2762</v>
      </c>
      <c r="C2419" s="7">
        <v>46011</v>
      </c>
      <c r="D2419" s="2" t="s">
        <v>1101</v>
      </c>
      <c r="E2419" s="4">
        <v>1</v>
      </c>
      <c r="F2419" s="8" t="str">
        <f>_xlfn.XLOOKUP(D2419,Master[Product_Code],Master[Category])</f>
        <v>Jeans</v>
      </c>
      <c r="G2419" s="8" t="str">
        <f>_xlfn.XLOOKUP(D2419,Master[Product_Code],Master[Brand])</f>
        <v>Spykar</v>
      </c>
      <c r="H2419" s="8" t="str">
        <f>_xlfn.XLOOKUP(D2419,Master[Product_Code],Master[Style])</f>
        <v>Jogger</v>
      </c>
      <c r="I2419" s="8" t="str">
        <f>_xlfn.XLOOKUP(D2419,Master[Product_Code],Master[Fabric])</f>
        <v>Denim</v>
      </c>
      <c r="J2419" s="8">
        <f>_xlfn.XLOOKUP(D2419,Master[Product_Code],Master[Size])</f>
        <v>34</v>
      </c>
      <c r="K2419" s="8" t="str">
        <f>_xlfn.XLOOKUP(D2419,Master[Product_Code],Master[Color])</f>
        <v>Rust</v>
      </c>
      <c r="L2419" s="3">
        <f>_xlfn.XLOOKUP(D2419,Master[Product_Code],Master[Selling_Price])</f>
        <v>800</v>
      </c>
    </row>
    <row r="2420" spans="2:12">
      <c r="B2420" s="2" t="s">
        <v>2763</v>
      </c>
      <c r="C2420" s="7">
        <v>46011</v>
      </c>
      <c r="D2420" s="2" t="s">
        <v>174</v>
      </c>
      <c r="E2420" s="4">
        <v>1</v>
      </c>
      <c r="F2420" s="8" t="str">
        <f>_xlfn.XLOOKUP(D2420,Master[Product_Code],Master[Category])</f>
        <v>Shirt</v>
      </c>
      <c r="G2420" s="8" t="str">
        <f>_xlfn.XLOOKUP(D2420,Master[Product_Code],Master[Brand])</f>
        <v>G Studio</v>
      </c>
      <c r="H2420" s="8" t="str">
        <f>_xlfn.XLOOKUP(D2420,Master[Product_Code],Master[Style])</f>
        <v>Casual</v>
      </c>
      <c r="I2420" s="8" t="str">
        <f>_xlfn.XLOOKUP(D2420,Master[Product_Code],Master[Fabric])</f>
        <v>Cotton</v>
      </c>
      <c r="J2420" s="8" t="str">
        <f>_xlfn.XLOOKUP(D2420,Master[Product_Code],Master[Size])</f>
        <v>XXL</v>
      </c>
      <c r="K2420" s="8" t="str">
        <f>_xlfn.XLOOKUP(D2420,Master[Product_Code],Master[Color])</f>
        <v>Charcoal</v>
      </c>
      <c r="L2420" s="3">
        <f>_xlfn.XLOOKUP(D2420,Master[Product_Code],Master[Selling_Price])</f>
        <v>720</v>
      </c>
    </row>
    <row r="2421" spans="2:12">
      <c r="B2421" s="2" t="s">
        <v>2763</v>
      </c>
      <c r="C2421" s="7">
        <v>46011</v>
      </c>
      <c r="D2421" s="2" t="s">
        <v>164</v>
      </c>
      <c r="E2421" s="4">
        <v>1</v>
      </c>
      <c r="F2421" s="8" t="str">
        <f>_xlfn.XLOOKUP(D2421,Master[Product_Code],Master[Category])</f>
        <v>Shirt</v>
      </c>
      <c r="G2421" s="8" t="str">
        <f>_xlfn.XLOOKUP(D2421,Master[Product_Code],Master[Brand])</f>
        <v>Zara</v>
      </c>
      <c r="H2421" s="8" t="str">
        <f>_xlfn.XLOOKUP(D2421,Master[Product_Code],Master[Style])</f>
        <v>Formal</v>
      </c>
      <c r="I2421" s="8" t="str">
        <f>_xlfn.XLOOKUP(D2421,Master[Product_Code],Master[Fabric])</f>
        <v>Cotton Blend</v>
      </c>
      <c r="J2421" s="8" t="str">
        <f>_xlfn.XLOOKUP(D2421,Master[Product_Code],Master[Size])</f>
        <v>M</v>
      </c>
      <c r="K2421" s="8" t="str">
        <f>_xlfn.XLOOKUP(D2421,Master[Product_Code],Master[Color])</f>
        <v>Peach</v>
      </c>
      <c r="L2421" s="3">
        <f>_xlfn.XLOOKUP(D2421,Master[Product_Code],Master[Selling_Price])</f>
        <v>730</v>
      </c>
    </row>
    <row r="2422" spans="2:12">
      <c r="B2422" s="2" t="s">
        <v>2763</v>
      </c>
      <c r="C2422" s="7">
        <v>46011</v>
      </c>
      <c r="D2422" s="2" t="s">
        <v>1081</v>
      </c>
      <c r="E2422" s="4">
        <v>1</v>
      </c>
      <c r="F2422" s="8" t="str">
        <f>_xlfn.XLOOKUP(D2422,Master[Product_Code],Master[Category])</f>
        <v>Jeans</v>
      </c>
      <c r="G2422" s="8" t="str">
        <f>_xlfn.XLOOKUP(D2422,Master[Product_Code],Master[Brand])</f>
        <v>Pepe</v>
      </c>
      <c r="H2422" s="8" t="str">
        <f>_xlfn.XLOOKUP(D2422,Master[Product_Code],Master[Style])</f>
        <v>Baggy</v>
      </c>
      <c r="I2422" s="8" t="str">
        <f>_xlfn.XLOOKUP(D2422,Master[Product_Code],Master[Fabric])</f>
        <v>Denim</v>
      </c>
      <c r="J2422" s="8">
        <f>_xlfn.XLOOKUP(D2422,Master[Product_Code],Master[Size])</f>
        <v>42</v>
      </c>
      <c r="K2422" s="8" t="str">
        <f>_xlfn.XLOOKUP(D2422,Master[Product_Code],Master[Color])</f>
        <v>Royal Blue</v>
      </c>
      <c r="L2422" s="3">
        <f>_xlfn.XLOOKUP(D2422,Master[Product_Code],Master[Selling_Price])</f>
        <v>1000</v>
      </c>
    </row>
    <row r="2423" spans="2:12">
      <c r="B2423" s="2" t="s">
        <v>2763</v>
      </c>
      <c r="C2423" s="7">
        <v>46011</v>
      </c>
      <c r="D2423" s="2" t="s">
        <v>1063</v>
      </c>
      <c r="E2423" s="4">
        <v>1</v>
      </c>
      <c r="F2423" s="8" t="str">
        <f>_xlfn.XLOOKUP(D2423,Master[Product_Code],Master[Category])</f>
        <v>Jeans</v>
      </c>
      <c r="G2423" s="8" t="str">
        <f>_xlfn.XLOOKUP(D2423,Master[Product_Code],Master[Brand])</f>
        <v>Wrangler</v>
      </c>
      <c r="H2423" s="8" t="str">
        <f>_xlfn.XLOOKUP(D2423,Master[Product_Code],Master[Style])</f>
        <v>Mom Fit</v>
      </c>
      <c r="I2423" s="8" t="str">
        <f>_xlfn.XLOOKUP(D2423,Master[Product_Code],Master[Fabric])</f>
        <v>Denim</v>
      </c>
      <c r="J2423" s="8">
        <f>_xlfn.XLOOKUP(D2423,Master[Product_Code],Master[Size])</f>
        <v>30</v>
      </c>
      <c r="K2423" s="8" t="str">
        <f>_xlfn.XLOOKUP(D2423,Master[Product_Code],Master[Color])</f>
        <v>Peach</v>
      </c>
      <c r="L2423" s="3">
        <f>_xlfn.XLOOKUP(D2423,Master[Product_Code],Master[Selling_Price])</f>
        <v>1060</v>
      </c>
    </row>
    <row r="2424" spans="2:12">
      <c r="B2424" s="2" t="s">
        <v>2764</v>
      </c>
      <c r="C2424" s="7">
        <v>46011</v>
      </c>
      <c r="D2424" s="2" t="s">
        <v>784</v>
      </c>
      <c r="E2424" s="4">
        <v>1</v>
      </c>
      <c r="F2424" s="8" t="str">
        <f>_xlfn.XLOOKUP(D2424,Master[Product_Code],Master[Category])</f>
        <v>T-Shirt</v>
      </c>
      <c r="G2424" s="8" t="str">
        <f>_xlfn.XLOOKUP(D2424,Master[Product_Code],Master[Brand])</f>
        <v>Campus</v>
      </c>
      <c r="H2424" s="8" t="str">
        <f>_xlfn.XLOOKUP(D2424,Master[Product_Code],Master[Style])</f>
        <v>Sleeveless</v>
      </c>
      <c r="I2424" s="8" t="str">
        <f>_xlfn.XLOOKUP(D2424,Master[Product_Code],Master[Fabric])</f>
        <v>Poly Cotton</v>
      </c>
      <c r="J2424" s="8" t="str">
        <f>_xlfn.XLOOKUP(D2424,Master[Product_Code],Master[Size])</f>
        <v>XL</v>
      </c>
      <c r="K2424" s="8" t="str">
        <f>_xlfn.XLOOKUP(D2424,Master[Product_Code],Master[Color])</f>
        <v>Teal</v>
      </c>
      <c r="L2424" s="3">
        <f>_xlfn.XLOOKUP(D2424,Master[Product_Code],Master[Selling_Price])</f>
        <v>700</v>
      </c>
    </row>
    <row r="2425" spans="2:12">
      <c r="B2425" s="2" t="s">
        <v>2765</v>
      </c>
      <c r="C2425" s="7">
        <v>46011</v>
      </c>
      <c r="D2425" s="2" t="s">
        <v>1731</v>
      </c>
      <c r="E2425" s="4">
        <v>1</v>
      </c>
      <c r="F2425" s="8" t="str">
        <f>_xlfn.XLOOKUP(D2425,Master[Product_Code],Master[Category])</f>
        <v>Innerwear</v>
      </c>
      <c r="G2425" s="8" t="str">
        <f>_xlfn.XLOOKUP(D2425,Master[Product_Code],Master[Brand])</f>
        <v>V Star</v>
      </c>
      <c r="H2425" s="8" t="str">
        <f>_xlfn.XLOOKUP(D2425,Master[Product_Code],Master[Style])</f>
        <v>V-Cut</v>
      </c>
      <c r="I2425" s="8" t="str">
        <f>_xlfn.XLOOKUP(D2425,Master[Product_Code],Master[Fabric])</f>
        <v>Cotton Blend</v>
      </c>
      <c r="J2425" s="8" t="str">
        <f>_xlfn.XLOOKUP(D2425,Master[Product_Code],Master[Size])</f>
        <v>90-100</v>
      </c>
      <c r="K2425" s="8" t="str">
        <f>_xlfn.XLOOKUP(D2425,Master[Product_Code],Master[Color])</f>
        <v>Brown</v>
      </c>
      <c r="L2425" s="3">
        <f>_xlfn.XLOOKUP(D2425,Master[Product_Code],Master[Selling_Price])</f>
        <v>130</v>
      </c>
    </row>
    <row r="2426" spans="2:12">
      <c r="B2426" s="2" t="s">
        <v>2766</v>
      </c>
      <c r="C2426" s="7">
        <v>46011</v>
      </c>
      <c r="D2426" s="2" t="s">
        <v>296</v>
      </c>
      <c r="E2426" s="4">
        <v>1</v>
      </c>
      <c r="F2426" s="8" t="str">
        <f>_xlfn.XLOOKUP(D2426,Master[Product_Code],Master[Category])</f>
        <v>Shirt</v>
      </c>
      <c r="G2426" s="8" t="str">
        <f>_xlfn.XLOOKUP(D2426,Master[Product_Code],Master[Brand])</f>
        <v>H&amp;M</v>
      </c>
      <c r="H2426" s="8" t="str">
        <f>_xlfn.XLOOKUP(D2426,Master[Product_Code],Master[Style])</f>
        <v>Partywear</v>
      </c>
      <c r="I2426" s="8" t="str">
        <f>_xlfn.XLOOKUP(D2426,Master[Product_Code],Master[Fabric])</f>
        <v>Lycra</v>
      </c>
      <c r="J2426" s="8" t="str">
        <f>_xlfn.XLOOKUP(D2426,Master[Product_Code],Master[Size])</f>
        <v>M</v>
      </c>
      <c r="K2426" s="8" t="str">
        <f>_xlfn.XLOOKUP(D2426,Master[Product_Code],Master[Color])</f>
        <v>Brown</v>
      </c>
      <c r="L2426" s="3">
        <f>_xlfn.XLOOKUP(D2426,Master[Product_Code],Master[Selling_Price])</f>
        <v>860</v>
      </c>
    </row>
    <row r="2427" spans="2:12">
      <c r="B2427" s="2" t="s">
        <v>2766</v>
      </c>
      <c r="C2427" s="7">
        <v>46011</v>
      </c>
      <c r="D2427" s="2" t="s">
        <v>515</v>
      </c>
      <c r="E2427" s="4">
        <v>1</v>
      </c>
      <c r="F2427" s="8" t="str">
        <f>_xlfn.XLOOKUP(D2427,Master[Product_Code],Master[Category])</f>
        <v>T-Shirt</v>
      </c>
      <c r="G2427" s="8" t="str">
        <f>_xlfn.XLOOKUP(D2427,Master[Product_Code],Master[Brand])</f>
        <v>Turkey</v>
      </c>
      <c r="H2427" s="8" t="str">
        <f>_xlfn.XLOOKUP(D2427,Master[Product_Code],Master[Style])</f>
        <v>Hoodie</v>
      </c>
      <c r="I2427" s="8" t="str">
        <f>_xlfn.XLOOKUP(D2427,Master[Product_Code],Master[Fabric])</f>
        <v>Poly Cotton</v>
      </c>
      <c r="J2427" s="8" t="str">
        <f>_xlfn.XLOOKUP(D2427,Master[Product_Code],Master[Size])</f>
        <v>XL</v>
      </c>
      <c r="K2427" s="8" t="str">
        <f>_xlfn.XLOOKUP(D2427,Master[Product_Code],Master[Color])</f>
        <v>Black</v>
      </c>
      <c r="L2427" s="3">
        <f>_xlfn.XLOOKUP(D2427,Master[Product_Code],Master[Selling_Price])</f>
        <v>630</v>
      </c>
    </row>
    <row r="2428" spans="2:12">
      <c r="B2428" s="2" t="s">
        <v>2767</v>
      </c>
      <c r="C2428" s="7">
        <v>46011</v>
      </c>
      <c r="D2428" s="2" t="s">
        <v>906</v>
      </c>
      <c r="E2428" s="4">
        <v>1</v>
      </c>
      <c r="F2428" s="8" t="str">
        <f>_xlfn.XLOOKUP(D2428,Master[Product_Code],Master[Category])</f>
        <v>Jeans</v>
      </c>
      <c r="G2428" s="8" t="str">
        <f>_xlfn.XLOOKUP(D2428,Master[Product_Code],Master[Brand])</f>
        <v>Pepe</v>
      </c>
      <c r="H2428" s="8" t="str">
        <f>_xlfn.XLOOKUP(D2428,Master[Product_Code],Master[Style])</f>
        <v>Jogger</v>
      </c>
      <c r="I2428" s="8" t="str">
        <f>_xlfn.XLOOKUP(D2428,Master[Product_Code],Master[Fabric])</f>
        <v>Denim</v>
      </c>
      <c r="J2428" s="8">
        <f>_xlfn.XLOOKUP(D2428,Master[Product_Code],Master[Size])</f>
        <v>36</v>
      </c>
      <c r="K2428" s="8" t="str">
        <f>_xlfn.XLOOKUP(D2428,Master[Product_Code],Master[Color])</f>
        <v>Royal Blue</v>
      </c>
      <c r="L2428" s="3">
        <f>_xlfn.XLOOKUP(D2428,Master[Product_Code],Master[Selling_Price])</f>
        <v>910</v>
      </c>
    </row>
    <row r="2429" spans="2:12">
      <c r="B2429" s="2" t="s">
        <v>2767</v>
      </c>
      <c r="C2429" s="7">
        <v>46011</v>
      </c>
      <c r="D2429" s="2" t="s">
        <v>952</v>
      </c>
      <c r="E2429" s="4">
        <v>1</v>
      </c>
      <c r="F2429" s="8" t="str">
        <f>_xlfn.XLOOKUP(D2429,Master[Product_Code],Master[Category])</f>
        <v>Jeans</v>
      </c>
      <c r="G2429" s="8" t="str">
        <f>_xlfn.XLOOKUP(D2429,Master[Product_Code],Master[Brand])</f>
        <v>Pepe</v>
      </c>
      <c r="H2429" s="8" t="str">
        <f>_xlfn.XLOOKUP(D2429,Master[Product_Code],Master[Style])</f>
        <v>Baggy</v>
      </c>
      <c r="I2429" s="8" t="str">
        <f>_xlfn.XLOOKUP(D2429,Master[Product_Code],Master[Fabric])</f>
        <v>Denim</v>
      </c>
      <c r="J2429" s="8">
        <f>_xlfn.XLOOKUP(D2429,Master[Product_Code],Master[Size])</f>
        <v>28</v>
      </c>
      <c r="K2429" s="8" t="str">
        <f>_xlfn.XLOOKUP(D2429,Master[Product_Code],Master[Color])</f>
        <v>Charcoal</v>
      </c>
      <c r="L2429" s="3">
        <f>_xlfn.XLOOKUP(D2429,Master[Product_Code],Master[Selling_Price])</f>
        <v>960</v>
      </c>
    </row>
    <row r="2430" spans="2:12">
      <c r="B2430" s="2" t="s">
        <v>2768</v>
      </c>
      <c r="C2430" s="7">
        <v>46011</v>
      </c>
      <c r="D2430" s="2" t="s">
        <v>1297</v>
      </c>
      <c r="E2430" s="4">
        <v>1</v>
      </c>
      <c r="F2430" s="8" t="str">
        <f>_xlfn.XLOOKUP(D2430,Master[Product_Code],Master[Category])</f>
        <v>Pants</v>
      </c>
      <c r="G2430" s="8" t="str">
        <f>_xlfn.XLOOKUP(D2430,Master[Product_Code],Master[Brand])</f>
        <v>Louis Philippe</v>
      </c>
      <c r="H2430" s="8" t="str">
        <f>_xlfn.XLOOKUP(D2430,Master[Product_Code],Master[Style])</f>
        <v>Boot Cut</v>
      </c>
      <c r="I2430" s="8" t="str">
        <f>_xlfn.XLOOKUP(D2430,Master[Product_Code],Master[Fabric])</f>
        <v>Cotton</v>
      </c>
      <c r="J2430" s="8">
        <f>_xlfn.XLOOKUP(D2430,Master[Product_Code],Master[Size])</f>
        <v>42</v>
      </c>
      <c r="K2430" s="8" t="str">
        <f>_xlfn.XLOOKUP(D2430,Master[Product_Code],Master[Color])</f>
        <v>Light Grey</v>
      </c>
      <c r="L2430" s="3">
        <f>_xlfn.XLOOKUP(D2430,Master[Product_Code],Master[Selling_Price])</f>
        <v>880</v>
      </c>
    </row>
    <row r="2431" spans="2:12">
      <c r="B2431" s="2" t="s">
        <v>2769</v>
      </c>
      <c r="C2431" s="7">
        <v>46011</v>
      </c>
      <c r="D2431" s="2" t="s">
        <v>1232</v>
      </c>
      <c r="E2431" s="4">
        <v>1</v>
      </c>
      <c r="F2431" s="8" t="str">
        <f>_xlfn.XLOOKUP(D2431,Master[Product_Code],Master[Category])</f>
        <v>Pants</v>
      </c>
      <c r="G2431" s="8" t="str">
        <f>_xlfn.XLOOKUP(D2431,Master[Product_Code],Master[Brand])</f>
        <v>Louis Philippe</v>
      </c>
      <c r="H2431" s="8" t="str">
        <f>_xlfn.XLOOKUP(D2431,Master[Product_Code],Master[Style])</f>
        <v>Kurka</v>
      </c>
      <c r="I2431" s="8" t="str">
        <f>_xlfn.XLOOKUP(D2431,Master[Product_Code],Master[Fabric])</f>
        <v>Lycra</v>
      </c>
      <c r="J2431" s="8">
        <f>_xlfn.XLOOKUP(D2431,Master[Product_Code],Master[Size])</f>
        <v>32</v>
      </c>
      <c r="K2431" s="8" t="str">
        <f>_xlfn.XLOOKUP(D2431,Master[Product_Code],Master[Color])</f>
        <v>Brown</v>
      </c>
      <c r="L2431" s="3">
        <f>_xlfn.XLOOKUP(D2431,Master[Product_Code],Master[Selling_Price])</f>
        <v>830</v>
      </c>
    </row>
    <row r="2432" spans="2:12">
      <c r="B2432" s="2" t="s">
        <v>2770</v>
      </c>
      <c r="C2432" s="7">
        <v>46011</v>
      </c>
      <c r="D2432" s="2" t="s">
        <v>1027</v>
      </c>
      <c r="E2432" s="4">
        <v>1</v>
      </c>
      <c r="F2432" s="8" t="str">
        <f>_xlfn.XLOOKUP(D2432,Master[Product_Code],Master[Category])</f>
        <v>Jeans</v>
      </c>
      <c r="G2432" s="8" t="str">
        <f>_xlfn.XLOOKUP(D2432,Master[Product_Code],Master[Brand])</f>
        <v>Spykar</v>
      </c>
      <c r="H2432" s="8" t="str">
        <f>_xlfn.XLOOKUP(D2432,Master[Product_Code],Master[Style])</f>
        <v>Jogger</v>
      </c>
      <c r="I2432" s="8" t="str">
        <f>_xlfn.XLOOKUP(D2432,Master[Product_Code],Master[Fabric])</f>
        <v>Denim</v>
      </c>
      <c r="J2432" s="8">
        <f>_xlfn.XLOOKUP(D2432,Master[Product_Code],Master[Size])</f>
        <v>42</v>
      </c>
      <c r="K2432" s="8" t="str">
        <f>_xlfn.XLOOKUP(D2432,Master[Product_Code],Master[Color])</f>
        <v>Maroon</v>
      </c>
      <c r="L2432" s="3">
        <f>_xlfn.XLOOKUP(D2432,Master[Product_Code],Master[Selling_Price])</f>
        <v>960</v>
      </c>
    </row>
    <row r="2433" spans="2:12">
      <c r="B2433" s="2" t="s">
        <v>2771</v>
      </c>
      <c r="C2433" s="7">
        <v>46011</v>
      </c>
      <c r="D2433" s="2" t="s">
        <v>437</v>
      </c>
      <c r="E2433" s="4">
        <v>1</v>
      </c>
      <c r="F2433" s="8" t="str">
        <f>_xlfn.XLOOKUP(D2433,Master[Product_Code],Master[Category])</f>
        <v>T-Shirt</v>
      </c>
      <c r="G2433" s="8" t="str">
        <f>_xlfn.XLOOKUP(D2433,Master[Product_Code],Master[Brand])</f>
        <v>Max</v>
      </c>
      <c r="H2433" s="8" t="str">
        <f>_xlfn.XLOOKUP(D2433,Master[Product_Code],Master[Style])</f>
        <v>Sleeveless</v>
      </c>
      <c r="I2433" s="8" t="str">
        <f>_xlfn.XLOOKUP(D2433,Master[Product_Code],Master[Fabric])</f>
        <v>Poly Cotton</v>
      </c>
      <c r="J2433" s="8" t="str">
        <f>_xlfn.XLOOKUP(D2433,Master[Product_Code],Master[Size])</f>
        <v>XL</v>
      </c>
      <c r="K2433" s="8" t="str">
        <f>_xlfn.XLOOKUP(D2433,Master[Product_Code],Master[Color])</f>
        <v>White</v>
      </c>
      <c r="L2433" s="3">
        <f>_xlfn.XLOOKUP(D2433,Master[Product_Code],Master[Selling_Price])</f>
        <v>500</v>
      </c>
    </row>
    <row r="2434" spans="2:12">
      <c r="B2434" s="2" t="s">
        <v>2771</v>
      </c>
      <c r="C2434" s="7">
        <v>46011</v>
      </c>
      <c r="D2434" s="2" t="s">
        <v>511</v>
      </c>
      <c r="E2434" s="4">
        <v>1</v>
      </c>
      <c r="F2434" s="8" t="str">
        <f>_xlfn.XLOOKUP(D2434,Master[Product_Code],Master[Category])</f>
        <v>T-Shirt</v>
      </c>
      <c r="G2434" s="8" t="str">
        <f>_xlfn.XLOOKUP(D2434,Master[Product_Code],Master[Brand])</f>
        <v>Campus</v>
      </c>
      <c r="H2434" s="8" t="str">
        <f>_xlfn.XLOOKUP(D2434,Master[Product_Code],Master[Style])</f>
        <v>Full Sleeve</v>
      </c>
      <c r="I2434" s="8" t="str">
        <f>_xlfn.XLOOKUP(D2434,Master[Product_Code],Master[Fabric])</f>
        <v>Poly Cotton</v>
      </c>
      <c r="J2434" s="8" t="str">
        <f>_xlfn.XLOOKUP(D2434,Master[Product_Code],Master[Size])</f>
        <v>L</v>
      </c>
      <c r="K2434" s="8" t="str">
        <f>_xlfn.XLOOKUP(D2434,Master[Product_Code],Master[Color])</f>
        <v>Olive</v>
      </c>
      <c r="L2434" s="3">
        <f>_xlfn.XLOOKUP(D2434,Master[Product_Code],Master[Selling_Price])</f>
        <v>350</v>
      </c>
    </row>
    <row r="2435" spans="2:12">
      <c r="B2435" s="2" t="s">
        <v>2772</v>
      </c>
      <c r="C2435" s="7">
        <v>46011</v>
      </c>
      <c r="D2435" s="2" t="s">
        <v>1675</v>
      </c>
      <c r="E2435" s="4">
        <v>1</v>
      </c>
      <c r="F2435" s="8" t="str">
        <f>_xlfn.XLOOKUP(D2435,Master[Product_Code],Master[Category])</f>
        <v>Innerwear</v>
      </c>
      <c r="G2435" s="8" t="str">
        <f>_xlfn.XLOOKUP(D2435,Master[Product_Code],Master[Brand])</f>
        <v>V Star</v>
      </c>
      <c r="H2435" s="8" t="str">
        <f>_xlfn.XLOOKUP(D2435,Master[Product_Code],Master[Style])</f>
        <v>Boxer</v>
      </c>
      <c r="I2435" s="8" t="str">
        <f>_xlfn.XLOOKUP(D2435,Master[Product_Code],Master[Fabric])</f>
        <v>Cotton Blend</v>
      </c>
      <c r="J2435" s="8" t="str">
        <f>_xlfn.XLOOKUP(D2435,Master[Product_Code],Master[Size])</f>
        <v>100-105</v>
      </c>
      <c r="K2435" s="8" t="str">
        <f>_xlfn.XLOOKUP(D2435,Master[Product_Code],Master[Color])</f>
        <v>Dark Green</v>
      </c>
      <c r="L2435" s="3">
        <f>_xlfn.XLOOKUP(D2435,Master[Product_Code],Master[Selling_Price])</f>
        <v>170</v>
      </c>
    </row>
    <row r="2436" spans="2:12">
      <c r="B2436" s="2" t="s">
        <v>2772</v>
      </c>
      <c r="C2436" s="7">
        <v>46011</v>
      </c>
      <c r="D2436" s="2" t="s">
        <v>346</v>
      </c>
      <c r="E2436" s="4">
        <v>1</v>
      </c>
      <c r="F2436" s="8" t="str">
        <f>_xlfn.XLOOKUP(D2436,Master[Product_Code],Master[Category])</f>
        <v>Shirt</v>
      </c>
      <c r="G2436" s="8" t="str">
        <f>_xlfn.XLOOKUP(D2436,Master[Product_Code],Master[Brand])</f>
        <v>British</v>
      </c>
      <c r="H2436" s="8" t="str">
        <f>_xlfn.XLOOKUP(D2436,Master[Product_Code],Master[Style])</f>
        <v>Partywear</v>
      </c>
      <c r="I2436" s="8" t="str">
        <f>_xlfn.XLOOKUP(D2436,Master[Product_Code],Master[Fabric])</f>
        <v>Cotton Blend</v>
      </c>
      <c r="J2436" s="8" t="str">
        <f>_xlfn.XLOOKUP(D2436,Master[Product_Code],Master[Size])</f>
        <v>M</v>
      </c>
      <c r="K2436" s="8" t="str">
        <f>_xlfn.XLOOKUP(D2436,Master[Product_Code],Master[Color])</f>
        <v>Grey</v>
      </c>
      <c r="L2436" s="3">
        <f>_xlfn.XLOOKUP(D2436,Master[Product_Code],Master[Selling_Price])</f>
        <v>760</v>
      </c>
    </row>
    <row r="2437" spans="2:12">
      <c r="B2437" s="2" t="s">
        <v>2772</v>
      </c>
      <c r="C2437" s="7">
        <v>46011</v>
      </c>
      <c r="D2437" s="2" t="s">
        <v>453</v>
      </c>
      <c r="E2437" s="4">
        <v>1</v>
      </c>
      <c r="F2437" s="8" t="str">
        <f>_xlfn.XLOOKUP(D2437,Master[Product_Code],Master[Category])</f>
        <v>T-Shirt</v>
      </c>
      <c r="G2437" s="8" t="str">
        <f>_xlfn.XLOOKUP(D2437,Master[Product_Code],Master[Brand])</f>
        <v>Roadster</v>
      </c>
      <c r="H2437" s="8" t="str">
        <f>_xlfn.XLOOKUP(D2437,Master[Product_Code],Master[Style])</f>
        <v>Full Sleeve</v>
      </c>
      <c r="I2437" s="8" t="str">
        <f>_xlfn.XLOOKUP(D2437,Master[Product_Code],Master[Fabric])</f>
        <v>Poly Cotton</v>
      </c>
      <c r="J2437" s="8" t="str">
        <f>_xlfn.XLOOKUP(D2437,Master[Product_Code],Master[Size])</f>
        <v>XL</v>
      </c>
      <c r="K2437" s="8" t="str">
        <f>_xlfn.XLOOKUP(D2437,Master[Product_Code],Master[Color])</f>
        <v>Olive</v>
      </c>
      <c r="L2437" s="3">
        <f>_xlfn.XLOOKUP(D2437,Master[Product_Code],Master[Selling_Price])</f>
        <v>620</v>
      </c>
    </row>
    <row r="2438" spans="2:12">
      <c r="B2438" s="2" t="s">
        <v>2772</v>
      </c>
      <c r="C2438" s="7">
        <v>46011</v>
      </c>
      <c r="D2438" s="2" t="s">
        <v>1562</v>
      </c>
      <c r="E2438" s="4">
        <v>1</v>
      </c>
      <c r="F2438" s="8" t="str">
        <f>_xlfn.XLOOKUP(D2438,Master[Product_Code],Master[Category])</f>
        <v>Innerwear</v>
      </c>
      <c r="G2438" s="8" t="str">
        <f>_xlfn.XLOOKUP(D2438,Master[Product_Code],Master[Brand])</f>
        <v>Rupa</v>
      </c>
      <c r="H2438" s="8" t="str">
        <f>_xlfn.XLOOKUP(D2438,Master[Product_Code],Master[Style])</f>
        <v>Boxer</v>
      </c>
      <c r="I2438" s="8" t="str">
        <f>_xlfn.XLOOKUP(D2438,Master[Product_Code],Master[Fabric])</f>
        <v>Cotton Blend</v>
      </c>
      <c r="J2438" s="8" t="str">
        <f>_xlfn.XLOOKUP(D2438,Master[Product_Code],Master[Size])</f>
        <v>105-110</v>
      </c>
      <c r="K2438" s="8" t="str">
        <f>_xlfn.XLOOKUP(D2438,Master[Product_Code],Master[Color])</f>
        <v>Rust</v>
      </c>
      <c r="L2438" s="3">
        <f>_xlfn.XLOOKUP(D2438,Master[Product_Code],Master[Selling_Price])</f>
        <v>180</v>
      </c>
    </row>
    <row r="2439" spans="2:12">
      <c r="B2439" s="2" t="s">
        <v>2773</v>
      </c>
      <c r="C2439" s="7">
        <v>46013</v>
      </c>
      <c r="D2439" s="2" t="s">
        <v>153</v>
      </c>
      <c r="E2439" s="4">
        <v>1</v>
      </c>
      <c r="F2439" s="8" t="str">
        <f>_xlfn.XLOOKUP(D2439,Master[Product_Code],Master[Category])</f>
        <v>Shirt</v>
      </c>
      <c r="G2439" s="8" t="str">
        <f>_xlfn.XLOOKUP(D2439,Master[Product_Code],Master[Brand])</f>
        <v>Max</v>
      </c>
      <c r="H2439" s="8" t="str">
        <f>_xlfn.XLOOKUP(D2439,Master[Product_Code],Master[Style])</f>
        <v>Formal</v>
      </c>
      <c r="I2439" s="8" t="str">
        <f>_xlfn.XLOOKUP(D2439,Master[Product_Code],Master[Fabric])</f>
        <v>Polyester</v>
      </c>
      <c r="J2439" s="8" t="str">
        <f>_xlfn.XLOOKUP(D2439,Master[Product_Code],Master[Size])</f>
        <v>XXL</v>
      </c>
      <c r="K2439" s="8" t="str">
        <f>_xlfn.XLOOKUP(D2439,Master[Product_Code],Master[Color])</f>
        <v>Royal Blue</v>
      </c>
      <c r="L2439" s="3">
        <f>_xlfn.XLOOKUP(D2439,Master[Product_Code],Master[Selling_Price])</f>
        <v>730</v>
      </c>
    </row>
    <row r="2440" spans="2:12">
      <c r="B2440" s="2" t="s">
        <v>2773</v>
      </c>
      <c r="C2440" s="7">
        <v>46013</v>
      </c>
      <c r="D2440" s="2" t="s">
        <v>629</v>
      </c>
      <c r="E2440" s="4">
        <v>1</v>
      </c>
      <c r="F2440" s="8" t="str">
        <f>_xlfn.XLOOKUP(D2440,Master[Product_Code],Master[Category])</f>
        <v>T-Shirt</v>
      </c>
      <c r="G2440" s="8" t="str">
        <f>_xlfn.XLOOKUP(D2440,Master[Product_Code],Master[Brand])</f>
        <v>Urban Monkey</v>
      </c>
      <c r="H2440" s="8" t="str">
        <f>_xlfn.XLOOKUP(D2440,Master[Product_Code],Master[Style])</f>
        <v>Half Sleeve</v>
      </c>
      <c r="I2440" s="8" t="str">
        <f>_xlfn.XLOOKUP(D2440,Master[Product_Code],Master[Fabric])</f>
        <v>Cotton</v>
      </c>
      <c r="J2440" s="8" t="str">
        <f>_xlfn.XLOOKUP(D2440,Master[Product_Code],Master[Size])</f>
        <v>S</v>
      </c>
      <c r="K2440" s="8" t="str">
        <f>_xlfn.XLOOKUP(D2440,Master[Product_Code],Master[Color])</f>
        <v>Cream</v>
      </c>
      <c r="L2440" s="3">
        <f>_xlfn.XLOOKUP(D2440,Master[Product_Code],Master[Selling_Price])</f>
        <v>350</v>
      </c>
    </row>
    <row r="2441" spans="2:12">
      <c r="B2441" s="2" t="s">
        <v>2773</v>
      </c>
      <c r="C2441" s="7">
        <v>46013</v>
      </c>
      <c r="D2441" s="2" t="s">
        <v>1455</v>
      </c>
      <c r="E2441" s="4">
        <v>1</v>
      </c>
      <c r="F2441" s="8" t="str">
        <f>_xlfn.XLOOKUP(D2441,Master[Product_Code],Master[Category])</f>
        <v>Pants</v>
      </c>
      <c r="G2441" s="8" t="str">
        <f>_xlfn.XLOOKUP(D2441,Master[Product_Code],Master[Brand])</f>
        <v>Louis Philippe</v>
      </c>
      <c r="H2441" s="8" t="str">
        <f>_xlfn.XLOOKUP(D2441,Master[Product_Code],Master[Style])</f>
        <v>Boot Cut</v>
      </c>
      <c r="I2441" s="8" t="str">
        <f>_xlfn.XLOOKUP(D2441,Master[Product_Code],Master[Fabric])</f>
        <v>Cotton Blend</v>
      </c>
      <c r="J2441" s="8">
        <f>_xlfn.XLOOKUP(D2441,Master[Product_Code],Master[Size])</f>
        <v>44</v>
      </c>
      <c r="K2441" s="8" t="str">
        <f>_xlfn.XLOOKUP(D2441,Master[Product_Code],Master[Color])</f>
        <v>Brown</v>
      </c>
      <c r="L2441" s="3">
        <f>_xlfn.XLOOKUP(D2441,Master[Product_Code],Master[Selling_Price])</f>
        <v>850</v>
      </c>
    </row>
    <row r="2442" spans="2:12">
      <c r="B2442" s="2" t="s">
        <v>2773</v>
      </c>
      <c r="C2442" s="7">
        <v>46013</v>
      </c>
      <c r="D2442" s="2" t="s">
        <v>466</v>
      </c>
      <c r="E2442" s="4">
        <v>1</v>
      </c>
      <c r="F2442" s="8" t="str">
        <f>_xlfn.XLOOKUP(D2442,Master[Product_Code],Master[Category])</f>
        <v>T-Shirt</v>
      </c>
      <c r="G2442" s="8" t="str">
        <f>_xlfn.XLOOKUP(D2442,Master[Product_Code],Master[Brand])</f>
        <v>Roadster</v>
      </c>
      <c r="H2442" s="8" t="str">
        <f>_xlfn.XLOOKUP(D2442,Master[Product_Code],Master[Style])</f>
        <v>Sleeveless</v>
      </c>
      <c r="I2442" s="8" t="str">
        <f>_xlfn.XLOOKUP(D2442,Master[Product_Code],Master[Fabric])</f>
        <v>Poly Cotton</v>
      </c>
      <c r="J2442" s="8" t="str">
        <f>_xlfn.XLOOKUP(D2442,Master[Product_Code],Master[Size])</f>
        <v>S</v>
      </c>
      <c r="K2442" s="8" t="str">
        <f>_xlfn.XLOOKUP(D2442,Master[Product_Code],Master[Color])</f>
        <v>Teal</v>
      </c>
      <c r="L2442" s="3">
        <f>_xlfn.XLOOKUP(D2442,Master[Product_Code],Master[Selling_Price])</f>
        <v>590</v>
      </c>
    </row>
    <row r="2443" spans="2:12">
      <c r="B2443" s="2" t="s">
        <v>2774</v>
      </c>
      <c r="C2443" s="7">
        <v>46013</v>
      </c>
      <c r="D2443" s="2" t="s">
        <v>1590</v>
      </c>
      <c r="E2443" s="4">
        <v>1</v>
      </c>
      <c r="F2443" s="8" t="str">
        <f>_xlfn.XLOOKUP(D2443,Master[Product_Code],Master[Category])</f>
        <v>Innerwear</v>
      </c>
      <c r="G2443" s="8" t="str">
        <f>_xlfn.XLOOKUP(D2443,Master[Product_Code],Master[Brand])</f>
        <v>Dollar</v>
      </c>
      <c r="H2443" s="8" t="str">
        <f>_xlfn.XLOOKUP(D2443,Master[Product_Code],Master[Style])</f>
        <v>V-Cut</v>
      </c>
      <c r="I2443" s="8" t="str">
        <f>_xlfn.XLOOKUP(D2443,Master[Product_Code],Master[Fabric])</f>
        <v>Cotton Blend</v>
      </c>
      <c r="J2443" s="8" t="str">
        <f>_xlfn.XLOOKUP(D2443,Master[Product_Code],Master[Size])</f>
        <v>100-105</v>
      </c>
      <c r="K2443" s="8" t="str">
        <f>_xlfn.XLOOKUP(D2443,Master[Product_Code],Master[Color])</f>
        <v>Wine</v>
      </c>
      <c r="L2443" s="3">
        <f>_xlfn.XLOOKUP(D2443,Master[Product_Code],Master[Selling_Price])</f>
        <v>110</v>
      </c>
    </row>
    <row r="2444" spans="2:12">
      <c r="B2444" s="2" t="s">
        <v>2774</v>
      </c>
      <c r="C2444" s="7">
        <v>46013</v>
      </c>
      <c r="D2444" s="2" t="s">
        <v>1059</v>
      </c>
      <c r="E2444" s="4">
        <v>1</v>
      </c>
      <c r="F2444" s="8" t="str">
        <f>_xlfn.XLOOKUP(D2444,Master[Product_Code],Master[Category])</f>
        <v>Jeans</v>
      </c>
      <c r="G2444" s="8" t="str">
        <f>_xlfn.XLOOKUP(D2444,Master[Product_Code],Master[Brand])</f>
        <v>Denim Pro</v>
      </c>
      <c r="H2444" s="8" t="str">
        <f>_xlfn.XLOOKUP(D2444,Master[Product_Code],Master[Style])</f>
        <v>Jogger</v>
      </c>
      <c r="I2444" s="8" t="str">
        <f>_xlfn.XLOOKUP(D2444,Master[Product_Code],Master[Fabric])</f>
        <v>Denim</v>
      </c>
      <c r="J2444" s="8">
        <f>_xlfn.XLOOKUP(D2444,Master[Product_Code],Master[Size])</f>
        <v>30</v>
      </c>
      <c r="K2444" s="8" t="str">
        <f>_xlfn.XLOOKUP(D2444,Master[Product_Code],Master[Color])</f>
        <v>Olive</v>
      </c>
      <c r="L2444" s="3">
        <f>_xlfn.XLOOKUP(D2444,Master[Product_Code],Master[Selling_Price])</f>
        <v>900</v>
      </c>
    </row>
    <row r="2445" spans="2:12">
      <c r="B2445" s="2" t="s">
        <v>2775</v>
      </c>
      <c r="C2445" s="7">
        <v>46013</v>
      </c>
      <c r="D2445" s="2" t="s">
        <v>223</v>
      </c>
      <c r="E2445" s="4">
        <v>1</v>
      </c>
      <c r="F2445" s="8" t="str">
        <f>_xlfn.XLOOKUP(D2445,Master[Product_Code],Master[Category])</f>
        <v>Shirt</v>
      </c>
      <c r="G2445" s="8" t="str">
        <f>_xlfn.XLOOKUP(D2445,Master[Product_Code],Master[Brand])</f>
        <v>Luke &amp; Burg</v>
      </c>
      <c r="H2445" s="8" t="str">
        <f>_xlfn.XLOOKUP(D2445,Master[Product_Code],Master[Style])</f>
        <v>Casual</v>
      </c>
      <c r="I2445" s="8" t="str">
        <f>_xlfn.XLOOKUP(D2445,Master[Product_Code],Master[Fabric])</f>
        <v>Cotton</v>
      </c>
      <c r="J2445" s="8" t="str">
        <f>_xlfn.XLOOKUP(D2445,Master[Product_Code],Master[Size])</f>
        <v>L</v>
      </c>
      <c r="K2445" s="8" t="str">
        <f>_xlfn.XLOOKUP(D2445,Master[Product_Code],Master[Color])</f>
        <v>Grey</v>
      </c>
      <c r="L2445" s="3">
        <f>_xlfn.XLOOKUP(D2445,Master[Product_Code],Master[Selling_Price])</f>
        <v>850</v>
      </c>
    </row>
    <row r="2446" spans="2:12">
      <c r="B2446" s="2" t="s">
        <v>2775</v>
      </c>
      <c r="C2446" s="7">
        <v>46013</v>
      </c>
      <c r="D2446" s="2" t="s">
        <v>96</v>
      </c>
      <c r="E2446" s="4">
        <v>1</v>
      </c>
      <c r="F2446" s="8" t="str">
        <f>_xlfn.XLOOKUP(D2446,Master[Product_Code],Master[Category])</f>
        <v>Shirt</v>
      </c>
      <c r="G2446" s="8" t="str">
        <f>_xlfn.XLOOKUP(D2446,Master[Product_Code],Master[Brand])</f>
        <v>L7</v>
      </c>
      <c r="H2446" s="8" t="str">
        <f>_xlfn.XLOOKUP(D2446,Master[Product_Code],Master[Style])</f>
        <v>Formal</v>
      </c>
      <c r="I2446" s="8" t="str">
        <f>_xlfn.XLOOKUP(D2446,Master[Product_Code],Master[Fabric])</f>
        <v>Polyester</v>
      </c>
      <c r="J2446" s="8" t="str">
        <f>_xlfn.XLOOKUP(D2446,Master[Product_Code],Master[Size])</f>
        <v>XXL</v>
      </c>
      <c r="K2446" s="8" t="str">
        <f>_xlfn.XLOOKUP(D2446,Master[Product_Code],Master[Color])</f>
        <v>Light Grey</v>
      </c>
      <c r="L2446" s="3">
        <f>_xlfn.XLOOKUP(D2446,Master[Product_Code],Master[Selling_Price])</f>
        <v>900</v>
      </c>
    </row>
    <row r="2447" spans="2:12">
      <c r="B2447" s="2" t="s">
        <v>2775</v>
      </c>
      <c r="C2447" s="7">
        <v>46013</v>
      </c>
      <c r="D2447" s="2" t="s">
        <v>134</v>
      </c>
      <c r="E2447" s="4">
        <v>1</v>
      </c>
      <c r="F2447" s="8" t="str">
        <f>_xlfn.XLOOKUP(D2447,Master[Product_Code],Master[Category])</f>
        <v>Shirt</v>
      </c>
      <c r="G2447" s="8" t="str">
        <f>_xlfn.XLOOKUP(D2447,Master[Product_Code],Master[Brand])</f>
        <v>USD</v>
      </c>
      <c r="H2447" s="8" t="str">
        <f>_xlfn.XLOOKUP(D2447,Master[Product_Code],Master[Style])</f>
        <v>Partywear</v>
      </c>
      <c r="I2447" s="8" t="str">
        <f>_xlfn.XLOOKUP(D2447,Master[Product_Code],Master[Fabric])</f>
        <v>Lycra</v>
      </c>
      <c r="J2447" s="8" t="str">
        <f>_xlfn.XLOOKUP(D2447,Master[Product_Code],Master[Size])</f>
        <v>S</v>
      </c>
      <c r="K2447" s="8" t="str">
        <f>_xlfn.XLOOKUP(D2447,Master[Product_Code],Master[Color])</f>
        <v>Bottle Green</v>
      </c>
      <c r="L2447" s="3">
        <f>_xlfn.XLOOKUP(D2447,Master[Product_Code],Master[Selling_Price])</f>
        <v>770</v>
      </c>
    </row>
    <row r="2448" spans="2:12">
      <c r="B2448" s="2" t="s">
        <v>2776</v>
      </c>
      <c r="C2448" s="7">
        <v>46013</v>
      </c>
      <c r="D2448" s="2" t="s">
        <v>954</v>
      </c>
      <c r="E2448" s="4">
        <v>1</v>
      </c>
      <c r="F2448" s="8" t="str">
        <f>_xlfn.XLOOKUP(D2448,Master[Product_Code],Master[Category])</f>
        <v>Jeans</v>
      </c>
      <c r="G2448" s="8" t="str">
        <f>_xlfn.XLOOKUP(D2448,Master[Product_Code],Master[Brand])</f>
        <v>Levis</v>
      </c>
      <c r="H2448" s="8" t="str">
        <f>_xlfn.XLOOKUP(D2448,Master[Product_Code],Master[Style])</f>
        <v>Baggy</v>
      </c>
      <c r="I2448" s="8" t="str">
        <f>_xlfn.XLOOKUP(D2448,Master[Product_Code],Master[Fabric])</f>
        <v>Denim</v>
      </c>
      <c r="J2448" s="8">
        <f>_xlfn.XLOOKUP(D2448,Master[Product_Code],Master[Size])</f>
        <v>36</v>
      </c>
      <c r="K2448" s="8" t="str">
        <f>_xlfn.XLOOKUP(D2448,Master[Product_Code],Master[Color])</f>
        <v>Cream</v>
      </c>
      <c r="L2448" s="3">
        <f>_xlfn.XLOOKUP(D2448,Master[Product_Code],Master[Selling_Price])</f>
        <v>870</v>
      </c>
    </row>
    <row r="2449" spans="2:12">
      <c r="B2449" s="2" t="s">
        <v>2776</v>
      </c>
      <c r="C2449" s="7">
        <v>46013</v>
      </c>
      <c r="D2449" s="2" t="s">
        <v>828</v>
      </c>
      <c r="E2449" s="4">
        <v>1</v>
      </c>
      <c r="F2449" s="8" t="str">
        <f>_xlfn.XLOOKUP(D2449,Master[Product_Code],Master[Category])</f>
        <v>T-Shirt</v>
      </c>
      <c r="G2449" s="8" t="str">
        <f>_xlfn.XLOOKUP(D2449,Master[Product_Code],Master[Brand])</f>
        <v>Turkey</v>
      </c>
      <c r="H2449" s="8" t="str">
        <f>_xlfn.XLOOKUP(D2449,Master[Product_Code],Master[Style])</f>
        <v>Full Sleeve</v>
      </c>
      <c r="I2449" s="8" t="str">
        <f>_xlfn.XLOOKUP(D2449,Master[Product_Code],Master[Fabric])</f>
        <v>Cotton Blend</v>
      </c>
      <c r="J2449" s="8" t="str">
        <f>_xlfn.XLOOKUP(D2449,Master[Product_Code],Master[Size])</f>
        <v>S</v>
      </c>
      <c r="K2449" s="8" t="str">
        <f>_xlfn.XLOOKUP(D2449,Master[Product_Code],Master[Color])</f>
        <v>Olive</v>
      </c>
      <c r="L2449" s="3">
        <f>_xlfn.XLOOKUP(D2449,Master[Product_Code],Master[Selling_Price])</f>
        <v>350</v>
      </c>
    </row>
    <row r="2450" spans="2:12">
      <c r="B2450" s="2" t="s">
        <v>2776</v>
      </c>
      <c r="C2450" s="7">
        <v>46013</v>
      </c>
      <c r="D2450" s="2" t="s">
        <v>1429</v>
      </c>
      <c r="E2450" s="4">
        <v>1</v>
      </c>
      <c r="F2450" s="8" t="str">
        <f>_xlfn.XLOOKUP(D2450,Master[Product_Code],Master[Category])</f>
        <v>Pants</v>
      </c>
      <c r="G2450" s="8" t="str">
        <f>_xlfn.XLOOKUP(D2450,Master[Product_Code],Master[Brand])</f>
        <v>Peter England</v>
      </c>
      <c r="H2450" s="8" t="str">
        <f>_xlfn.XLOOKUP(D2450,Master[Product_Code],Master[Style])</f>
        <v>Korean</v>
      </c>
      <c r="I2450" s="8" t="str">
        <f>_xlfn.XLOOKUP(D2450,Master[Product_Code],Master[Fabric])</f>
        <v>Lycra</v>
      </c>
      <c r="J2450" s="8">
        <f>_xlfn.XLOOKUP(D2450,Master[Product_Code],Master[Size])</f>
        <v>28</v>
      </c>
      <c r="K2450" s="8" t="str">
        <f>_xlfn.XLOOKUP(D2450,Master[Product_Code],Master[Color])</f>
        <v>Maroon</v>
      </c>
      <c r="L2450" s="3">
        <f>_xlfn.XLOOKUP(D2450,Master[Product_Code],Master[Selling_Price])</f>
        <v>710</v>
      </c>
    </row>
    <row r="2451" spans="2:12">
      <c r="B2451" s="2" t="s">
        <v>2776</v>
      </c>
      <c r="C2451" s="7">
        <v>46013</v>
      </c>
      <c r="D2451" s="2" t="s">
        <v>1174</v>
      </c>
      <c r="E2451" s="4">
        <v>1</v>
      </c>
      <c r="F2451" s="8" t="str">
        <f>_xlfn.XLOOKUP(D2451,Master[Product_Code],Master[Category])</f>
        <v>Pants</v>
      </c>
      <c r="G2451" s="8" t="str">
        <f>_xlfn.XLOOKUP(D2451,Master[Product_Code],Master[Brand])</f>
        <v>Van Heusen</v>
      </c>
      <c r="H2451" s="8" t="str">
        <f>_xlfn.XLOOKUP(D2451,Master[Product_Code],Master[Style])</f>
        <v>Jogger</v>
      </c>
      <c r="I2451" s="8" t="str">
        <f>_xlfn.XLOOKUP(D2451,Master[Product_Code],Master[Fabric])</f>
        <v>Cotton Blend</v>
      </c>
      <c r="J2451" s="8">
        <f>_xlfn.XLOOKUP(D2451,Master[Product_Code],Master[Size])</f>
        <v>30</v>
      </c>
      <c r="K2451" s="8" t="str">
        <f>_xlfn.XLOOKUP(D2451,Master[Product_Code],Master[Color])</f>
        <v>Wine</v>
      </c>
      <c r="L2451" s="3">
        <f>_xlfn.XLOOKUP(D2451,Master[Product_Code],Master[Selling_Price])</f>
        <v>800</v>
      </c>
    </row>
    <row r="2452" spans="2:12">
      <c r="B2452" s="2" t="s">
        <v>2777</v>
      </c>
      <c r="C2452" s="7">
        <v>46013</v>
      </c>
      <c r="D2452" s="2" t="s">
        <v>1431</v>
      </c>
      <c r="E2452" s="4">
        <v>1</v>
      </c>
      <c r="F2452" s="8" t="str">
        <f>_xlfn.XLOOKUP(D2452,Master[Product_Code],Master[Category])</f>
        <v>Pants</v>
      </c>
      <c r="G2452" s="8" t="str">
        <f>_xlfn.XLOOKUP(D2452,Master[Product_Code],Master[Brand])</f>
        <v>Van Heusen</v>
      </c>
      <c r="H2452" s="8" t="str">
        <f>_xlfn.XLOOKUP(D2452,Master[Product_Code],Master[Style])</f>
        <v>Kurka</v>
      </c>
      <c r="I2452" s="8" t="str">
        <f>_xlfn.XLOOKUP(D2452,Master[Product_Code],Master[Fabric])</f>
        <v>Lycra</v>
      </c>
      <c r="J2452" s="8">
        <f>_xlfn.XLOOKUP(D2452,Master[Product_Code],Master[Size])</f>
        <v>40</v>
      </c>
      <c r="K2452" s="8" t="str">
        <f>_xlfn.XLOOKUP(D2452,Master[Product_Code],Master[Color])</f>
        <v>Navy Blue</v>
      </c>
      <c r="L2452" s="3">
        <f>_xlfn.XLOOKUP(D2452,Master[Product_Code],Master[Selling_Price])</f>
        <v>830</v>
      </c>
    </row>
    <row r="2453" spans="2:12">
      <c r="B2453" s="2" t="s">
        <v>2778</v>
      </c>
      <c r="C2453" s="7">
        <v>46013</v>
      </c>
      <c r="D2453" s="2" t="s">
        <v>1187</v>
      </c>
      <c r="E2453" s="4">
        <v>1</v>
      </c>
      <c r="F2453" s="8" t="str">
        <f>_xlfn.XLOOKUP(D2453,Master[Product_Code],Master[Category])</f>
        <v>Pants</v>
      </c>
      <c r="G2453" s="8" t="str">
        <f>_xlfn.XLOOKUP(D2453,Master[Product_Code],Master[Brand])</f>
        <v>Raymond</v>
      </c>
      <c r="H2453" s="8" t="str">
        <f>_xlfn.XLOOKUP(D2453,Master[Product_Code],Master[Style])</f>
        <v>Jogger</v>
      </c>
      <c r="I2453" s="8" t="str">
        <f>_xlfn.XLOOKUP(D2453,Master[Product_Code],Master[Fabric])</f>
        <v>Cotton</v>
      </c>
      <c r="J2453" s="8">
        <f>_xlfn.XLOOKUP(D2453,Master[Product_Code],Master[Size])</f>
        <v>34</v>
      </c>
      <c r="K2453" s="8" t="str">
        <f>_xlfn.XLOOKUP(D2453,Master[Product_Code],Master[Color])</f>
        <v>Olive</v>
      </c>
      <c r="L2453" s="3">
        <f>_xlfn.XLOOKUP(D2453,Master[Product_Code],Master[Selling_Price])</f>
        <v>730</v>
      </c>
    </row>
    <row r="2454" spans="2:12">
      <c r="B2454" s="2" t="s">
        <v>2778</v>
      </c>
      <c r="C2454" s="7">
        <v>46013</v>
      </c>
      <c r="D2454" s="2" t="s">
        <v>84</v>
      </c>
      <c r="E2454" s="4">
        <v>1</v>
      </c>
      <c r="F2454" s="8" t="str">
        <f>_xlfn.XLOOKUP(D2454,Master[Product_Code],Master[Category])</f>
        <v>Shirt</v>
      </c>
      <c r="G2454" s="8" t="str">
        <f>_xlfn.XLOOKUP(D2454,Master[Product_Code],Master[Brand])</f>
        <v>Luke &amp; Burg</v>
      </c>
      <c r="H2454" s="8" t="str">
        <f>_xlfn.XLOOKUP(D2454,Master[Product_Code],Master[Style])</f>
        <v>Formal</v>
      </c>
      <c r="I2454" s="8" t="str">
        <f>_xlfn.XLOOKUP(D2454,Master[Product_Code],Master[Fabric])</f>
        <v>Cotton Blend</v>
      </c>
      <c r="J2454" s="8" t="str">
        <f>_xlfn.XLOOKUP(D2454,Master[Product_Code],Master[Size])</f>
        <v>XL</v>
      </c>
      <c r="K2454" s="8" t="str">
        <f>_xlfn.XLOOKUP(D2454,Master[Product_Code],Master[Color])</f>
        <v>Charcoal</v>
      </c>
      <c r="L2454" s="3">
        <f>_xlfn.XLOOKUP(D2454,Master[Product_Code],Master[Selling_Price])</f>
        <v>680</v>
      </c>
    </row>
    <row r="2455" spans="2:12">
      <c r="B2455" s="2" t="s">
        <v>2779</v>
      </c>
      <c r="C2455" s="7">
        <v>46013</v>
      </c>
      <c r="D2455" s="2" t="s">
        <v>66</v>
      </c>
      <c r="E2455" s="4">
        <v>1</v>
      </c>
      <c r="F2455" s="8" t="str">
        <f>_xlfn.XLOOKUP(D2455,Master[Product_Code],Master[Category])</f>
        <v>Shirt</v>
      </c>
      <c r="G2455" s="8" t="str">
        <f>_xlfn.XLOOKUP(D2455,Master[Product_Code],Master[Brand])</f>
        <v>H&amp;M</v>
      </c>
      <c r="H2455" s="8" t="str">
        <f>_xlfn.XLOOKUP(D2455,Master[Product_Code],Master[Style])</f>
        <v>Partywear</v>
      </c>
      <c r="I2455" s="8" t="str">
        <f>_xlfn.XLOOKUP(D2455,Master[Product_Code],Master[Fabric])</f>
        <v>Lycra</v>
      </c>
      <c r="J2455" s="8" t="str">
        <f>_xlfn.XLOOKUP(D2455,Master[Product_Code],Master[Size])</f>
        <v>M</v>
      </c>
      <c r="K2455" s="8" t="str">
        <f>_xlfn.XLOOKUP(D2455,Master[Product_Code],Master[Color])</f>
        <v>Teal</v>
      </c>
      <c r="L2455" s="3">
        <f>_xlfn.XLOOKUP(D2455,Master[Product_Code],Master[Selling_Price])</f>
        <v>930</v>
      </c>
    </row>
    <row r="2456" spans="2:12">
      <c r="B2456" s="2" t="s">
        <v>2779</v>
      </c>
      <c r="C2456" s="7">
        <v>46013</v>
      </c>
      <c r="D2456" s="2" t="s">
        <v>1752</v>
      </c>
      <c r="E2456" s="4">
        <v>1</v>
      </c>
      <c r="F2456" s="8" t="str">
        <f>_xlfn.XLOOKUP(D2456,Master[Product_Code],Master[Category])</f>
        <v>Innerwear</v>
      </c>
      <c r="G2456" s="8" t="str">
        <f>_xlfn.XLOOKUP(D2456,Master[Product_Code],Master[Brand])</f>
        <v>Dollar</v>
      </c>
      <c r="H2456" s="8" t="str">
        <f>_xlfn.XLOOKUP(D2456,Master[Product_Code],Master[Style])</f>
        <v>Boxer</v>
      </c>
      <c r="I2456" s="8" t="str">
        <f>_xlfn.XLOOKUP(D2456,Master[Product_Code],Master[Fabric])</f>
        <v>Cotton Blend</v>
      </c>
      <c r="J2456" s="8" t="str">
        <f>_xlfn.XLOOKUP(D2456,Master[Product_Code],Master[Size])</f>
        <v>100-105</v>
      </c>
      <c r="K2456" s="8" t="str">
        <f>_xlfn.XLOOKUP(D2456,Master[Product_Code],Master[Color])</f>
        <v>Royal Blue</v>
      </c>
      <c r="L2456" s="3">
        <f>_xlfn.XLOOKUP(D2456,Master[Product_Code],Master[Selling_Price])</f>
        <v>120</v>
      </c>
    </row>
    <row r="2457" spans="2:12">
      <c r="B2457" s="2" t="s">
        <v>2779</v>
      </c>
      <c r="C2457" s="7">
        <v>46013</v>
      </c>
      <c r="D2457" s="2" t="s">
        <v>932</v>
      </c>
      <c r="E2457" s="4">
        <v>1</v>
      </c>
      <c r="F2457" s="8" t="str">
        <f>_xlfn.XLOOKUP(D2457,Master[Product_Code],Master[Category])</f>
        <v>Jeans</v>
      </c>
      <c r="G2457" s="8" t="str">
        <f>_xlfn.XLOOKUP(D2457,Master[Product_Code],Master[Brand])</f>
        <v>Denim Pro</v>
      </c>
      <c r="H2457" s="8" t="str">
        <f>_xlfn.XLOOKUP(D2457,Master[Product_Code],Master[Style])</f>
        <v>Baggy</v>
      </c>
      <c r="I2457" s="8" t="str">
        <f>_xlfn.XLOOKUP(D2457,Master[Product_Code],Master[Fabric])</f>
        <v>Denim</v>
      </c>
      <c r="J2457" s="8">
        <f>_xlfn.XLOOKUP(D2457,Master[Product_Code],Master[Size])</f>
        <v>28</v>
      </c>
      <c r="K2457" s="8" t="str">
        <f>_xlfn.XLOOKUP(D2457,Master[Product_Code],Master[Color])</f>
        <v>Brown</v>
      </c>
      <c r="L2457" s="3">
        <f>_xlfn.XLOOKUP(D2457,Master[Product_Code],Master[Selling_Price])</f>
        <v>1010</v>
      </c>
    </row>
    <row r="2458" spans="2:12">
      <c r="B2458" s="2" t="s">
        <v>2780</v>
      </c>
      <c r="C2458" s="7">
        <v>46013</v>
      </c>
      <c r="D2458" s="2" t="s">
        <v>381</v>
      </c>
      <c r="E2458" s="4">
        <v>1</v>
      </c>
      <c r="F2458" s="8" t="str">
        <f>_xlfn.XLOOKUP(D2458,Master[Product_Code],Master[Category])</f>
        <v>Shirt</v>
      </c>
      <c r="G2458" s="8" t="str">
        <f>_xlfn.XLOOKUP(D2458,Master[Product_Code],Master[Brand])</f>
        <v>L7</v>
      </c>
      <c r="H2458" s="8" t="str">
        <f>_xlfn.XLOOKUP(D2458,Master[Product_Code],Master[Style])</f>
        <v>Partywear</v>
      </c>
      <c r="I2458" s="8" t="str">
        <f>_xlfn.XLOOKUP(D2458,Master[Product_Code],Master[Fabric])</f>
        <v>Polyester</v>
      </c>
      <c r="J2458" s="8" t="str">
        <f>_xlfn.XLOOKUP(D2458,Master[Product_Code],Master[Size])</f>
        <v>XXL</v>
      </c>
      <c r="K2458" s="8" t="str">
        <f>_xlfn.XLOOKUP(D2458,Master[Product_Code],Master[Color])</f>
        <v>Teal</v>
      </c>
      <c r="L2458" s="3">
        <f>_xlfn.XLOOKUP(D2458,Master[Product_Code],Master[Selling_Price])</f>
        <v>870</v>
      </c>
    </row>
    <row r="2459" spans="2:12">
      <c r="B2459" s="2" t="s">
        <v>2780</v>
      </c>
      <c r="C2459" s="7">
        <v>46013</v>
      </c>
      <c r="D2459" s="2" t="s">
        <v>791</v>
      </c>
      <c r="E2459" s="4">
        <v>1</v>
      </c>
      <c r="F2459" s="8" t="str">
        <f>_xlfn.XLOOKUP(D2459,Master[Product_Code],Master[Category])</f>
        <v>T-Shirt</v>
      </c>
      <c r="G2459" s="8" t="str">
        <f>_xlfn.XLOOKUP(D2459,Master[Product_Code],Master[Brand])</f>
        <v>Max</v>
      </c>
      <c r="H2459" s="8" t="str">
        <f>_xlfn.XLOOKUP(D2459,Master[Product_Code],Master[Style])</f>
        <v>Hoodie</v>
      </c>
      <c r="I2459" s="8" t="str">
        <f>_xlfn.XLOOKUP(D2459,Master[Product_Code],Master[Fabric])</f>
        <v>Cotton Blend</v>
      </c>
      <c r="J2459" s="8" t="str">
        <f>_xlfn.XLOOKUP(D2459,Master[Product_Code],Master[Size])</f>
        <v>XXL</v>
      </c>
      <c r="K2459" s="8" t="str">
        <f>_xlfn.XLOOKUP(D2459,Master[Product_Code],Master[Color])</f>
        <v>Beige</v>
      </c>
      <c r="L2459" s="3">
        <f>_xlfn.XLOOKUP(D2459,Master[Product_Code],Master[Selling_Price])</f>
        <v>590</v>
      </c>
    </row>
    <row r="2460" spans="2:12">
      <c r="B2460" s="2" t="s">
        <v>2781</v>
      </c>
      <c r="C2460" s="7">
        <v>46013</v>
      </c>
      <c r="D2460" s="2" t="s">
        <v>582</v>
      </c>
      <c r="E2460" s="4">
        <v>1</v>
      </c>
      <c r="F2460" s="8" t="str">
        <f>_xlfn.XLOOKUP(D2460,Master[Product_Code],Master[Category])</f>
        <v>T-Shirt</v>
      </c>
      <c r="G2460" s="8" t="str">
        <f>_xlfn.XLOOKUP(D2460,Master[Product_Code],Master[Brand])</f>
        <v>Campus</v>
      </c>
      <c r="H2460" s="8" t="str">
        <f>_xlfn.XLOOKUP(D2460,Master[Product_Code],Master[Style])</f>
        <v>Full Sleeve</v>
      </c>
      <c r="I2460" s="8" t="str">
        <f>_xlfn.XLOOKUP(D2460,Master[Product_Code],Master[Fabric])</f>
        <v>Cotton Blend</v>
      </c>
      <c r="J2460" s="8" t="str">
        <f>_xlfn.XLOOKUP(D2460,Master[Product_Code],Master[Size])</f>
        <v>S</v>
      </c>
      <c r="K2460" s="8" t="str">
        <f>_xlfn.XLOOKUP(D2460,Master[Product_Code],Master[Color])</f>
        <v>Black</v>
      </c>
      <c r="L2460" s="3">
        <f>_xlfn.XLOOKUP(D2460,Master[Product_Code],Master[Selling_Price])</f>
        <v>450</v>
      </c>
    </row>
    <row r="2461" spans="2:12">
      <c r="B2461" s="2" t="s">
        <v>2781</v>
      </c>
      <c r="C2461" s="7">
        <v>46013</v>
      </c>
      <c r="D2461" s="2" t="s">
        <v>250</v>
      </c>
      <c r="E2461" s="4">
        <v>1</v>
      </c>
      <c r="F2461" s="8" t="str">
        <f>_xlfn.XLOOKUP(D2461,Master[Product_Code],Master[Category])</f>
        <v>Shirt</v>
      </c>
      <c r="G2461" s="8" t="str">
        <f>_xlfn.XLOOKUP(D2461,Master[Product_Code],Master[Brand])</f>
        <v>Zara</v>
      </c>
      <c r="H2461" s="8" t="str">
        <f>_xlfn.XLOOKUP(D2461,Master[Product_Code],Master[Style])</f>
        <v>Formal</v>
      </c>
      <c r="I2461" s="8" t="str">
        <f>_xlfn.XLOOKUP(D2461,Master[Product_Code],Master[Fabric])</f>
        <v>Lycra</v>
      </c>
      <c r="J2461" s="8" t="str">
        <f>_xlfn.XLOOKUP(D2461,Master[Product_Code],Master[Size])</f>
        <v>XXL</v>
      </c>
      <c r="K2461" s="8" t="str">
        <f>_xlfn.XLOOKUP(D2461,Master[Product_Code],Master[Color])</f>
        <v>White</v>
      </c>
      <c r="L2461" s="3">
        <f>_xlfn.XLOOKUP(D2461,Master[Product_Code],Master[Selling_Price])</f>
        <v>950</v>
      </c>
    </row>
    <row r="2462" spans="2:12">
      <c r="B2462" s="2" t="s">
        <v>2781</v>
      </c>
      <c r="C2462" s="7">
        <v>46013</v>
      </c>
      <c r="D2462" s="2" t="s">
        <v>1215</v>
      </c>
      <c r="E2462" s="4">
        <v>1</v>
      </c>
      <c r="F2462" s="8" t="str">
        <f>_xlfn.XLOOKUP(D2462,Master[Product_Code],Master[Category])</f>
        <v>Pants</v>
      </c>
      <c r="G2462" s="8" t="str">
        <f>_xlfn.XLOOKUP(D2462,Master[Product_Code],Master[Brand])</f>
        <v>Van Heusen</v>
      </c>
      <c r="H2462" s="8" t="str">
        <f>_xlfn.XLOOKUP(D2462,Master[Product_Code],Master[Style])</f>
        <v>Korean</v>
      </c>
      <c r="I2462" s="8" t="str">
        <f>_xlfn.XLOOKUP(D2462,Master[Product_Code],Master[Fabric])</f>
        <v>Lycra</v>
      </c>
      <c r="J2462" s="8">
        <f>_xlfn.XLOOKUP(D2462,Master[Product_Code],Master[Size])</f>
        <v>28</v>
      </c>
      <c r="K2462" s="8" t="str">
        <f>_xlfn.XLOOKUP(D2462,Master[Product_Code],Master[Color])</f>
        <v>Black</v>
      </c>
      <c r="L2462" s="3">
        <f>_xlfn.XLOOKUP(D2462,Master[Product_Code],Master[Selling_Price])</f>
        <v>920</v>
      </c>
    </row>
    <row r="2463" spans="2:12">
      <c r="B2463" s="2" t="s">
        <v>2781</v>
      </c>
      <c r="C2463" s="7">
        <v>46013</v>
      </c>
      <c r="D2463" s="2" t="s">
        <v>1396</v>
      </c>
      <c r="E2463" s="4">
        <v>1</v>
      </c>
      <c r="F2463" s="8" t="str">
        <f>_xlfn.XLOOKUP(D2463,Master[Product_Code],Master[Category])</f>
        <v>Pants</v>
      </c>
      <c r="G2463" s="8" t="str">
        <f>_xlfn.XLOOKUP(D2463,Master[Product_Code],Master[Brand])</f>
        <v>Park Avenue</v>
      </c>
      <c r="H2463" s="8" t="str">
        <f>_xlfn.XLOOKUP(D2463,Master[Product_Code],Master[Style])</f>
        <v>Jogger</v>
      </c>
      <c r="I2463" s="8" t="str">
        <f>_xlfn.XLOOKUP(D2463,Master[Product_Code],Master[Fabric])</f>
        <v>Cotton Blend</v>
      </c>
      <c r="J2463" s="8">
        <f>_xlfn.XLOOKUP(D2463,Master[Product_Code],Master[Size])</f>
        <v>32</v>
      </c>
      <c r="K2463" s="8" t="str">
        <f>_xlfn.XLOOKUP(D2463,Master[Product_Code],Master[Color])</f>
        <v>Navy Blue</v>
      </c>
      <c r="L2463" s="3">
        <f>_xlfn.XLOOKUP(D2463,Master[Product_Code],Master[Selling_Price])</f>
        <v>940</v>
      </c>
    </row>
    <row r="2464" spans="2:12">
      <c r="B2464" s="2" t="s">
        <v>2782</v>
      </c>
      <c r="C2464" s="7">
        <v>46013</v>
      </c>
      <c r="D2464" s="2" t="s">
        <v>950</v>
      </c>
      <c r="E2464" s="4">
        <v>1</v>
      </c>
      <c r="F2464" s="8" t="str">
        <f>_xlfn.XLOOKUP(D2464,Master[Product_Code],Master[Category])</f>
        <v>Jeans</v>
      </c>
      <c r="G2464" s="8" t="str">
        <f>_xlfn.XLOOKUP(D2464,Master[Product_Code],Master[Brand])</f>
        <v>Spykar</v>
      </c>
      <c r="H2464" s="8" t="str">
        <f>_xlfn.XLOOKUP(D2464,Master[Product_Code],Master[Style])</f>
        <v>Baggy</v>
      </c>
      <c r="I2464" s="8" t="str">
        <f>_xlfn.XLOOKUP(D2464,Master[Product_Code],Master[Fabric])</f>
        <v>Denim</v>
      </c>
      <c r="J2464" s="8">
        <f>_xlfn.XLOOKUP(D2464,Master[Product_Code],Master[Size])</f>
        <v>38</v>
      </c>
      <c r="K2464" s="8" t="str">
        <f>_xlfn.XLOOKUP(D2464,Master[Product_Code],Master[Color])</f>
        <v>Cream</v>
      </c>
      <c r="L2464" s="3">
        <f>_xlfn.XLOOKUP(D2464,Master[Product_Code],Master[Selling_Price])</f>
        <v>790</v>
      </c>
    </row>
    <row r="2465" spans="2:12">
      <c r="B2465" s="2" t="s">
        <v>2783</v>
      </c>
      <c r="C2465" s="7">
        <v>46013</v>
      </c>
      <c r="D2465" s="2" t="s">
        <v>149</v>
      </c>
      <c r="E2465" s="4">
        <v>1</v>
      </c>
      <c r="F2465" s="8" t="str">
        <f>_xlfn.XLOOKUP(D2465,Master[Product_Code],Master[Category])</f>
        <v>Shirt</v>
      </c>
      <c r="G2465" s="8" t="str">
        <f>_xlfn.XLOOKUP(D2465,Master[Product_Code],Master[Brand])</f>
        <v>Luke &amp; Burg</v>
      </c>
      <c r="H2465" s="8" t="str">
        <f>_xlfn.XLOOKUP(D2465,Master[Product_Code],Master[Style])</f>
        <v>Partywear</v>
      </c>
      <c r="I2465" s="8" t="str">
        <f>_xlfn.XLOOKUP(D2465,Master[Product_Code],Master[Fabric])</f>
        <v>Cotton Blend</v>
      </c>
      <c r="J2465" s="8" t="str">
        <f>_xlfn.XLOOKUP(D2465,Master[Product_Code],Master[Size])</f>
        <v>S</v>
      </c>
      <c r="K2465" s="8" t="str">
        <f>_xlfn.XLOOKUP(D2465,Master[Product_Code],Master[Color])</f>
        <v>Wine</v>
      </c>
      <c r="L2465" s="3">
        <f>_xlfn.XLOOKUP(D2465,Master[Product_Code],Master[Selling_Price])</f>
        <v>820</v>
      </c>
    </row>
    <row r="2466" spans="2:12">
      <c r="B2466" s="2" t="s">
        <v>2783</v>
      </c>
      <c r="C2466" s="7">
        <v>46013</v>
      </c>
      <c r="D2466" s="2" t="s">
        <v>1655</v>
      </c>
      <c r="E2466" s="4">
        <v>1</v>
      </c>
      <c r="F2466" s="8" t="str">
        <f>_xlfn.XLOOKUP(D2466,Master[Product_Code],Master[Category])</f>
        <v>Innerwear</v>
      </c>
      <c r="G2466" s="8" t="str">
        <f>_xlfn.XLOOKUP(D2466,Master[Product_Code],Master[Brand])</f>
        <v>Rupa</v>
      </c>
      <c r="H2466" s="8" t="str">
        <f>_xlfn.XLOOKUP(D2466,Master[Product_Code],Master[Style])</f>
        <v>V-Cut</v>
      </c>
      <c r="I2466" s="8" t="str">
        <f>_xlfn.XLOOKUP(D2466,Master[Product_Code],Master[Fabric])</f>
        <v>Cotton Blend</v>
      </c>
      <c r="J2466" s="8" t="str">
        <f>_xlfn.XLOOKUP(D2466,Master[Product_Code],Master[Size])</f>
        <v>105-110</v>
      </c>
      <c r="K2466" s="8" t="str">
        <f>_xlfn.XLOOKUP(D2466,Master[Product_Code],Master[Color])</f>
        <v>Olive</v>
      </c>
      <c r="L2466" s="3">
        <f>_xlfn.XLOOKUP(D2466,Master[Product_Code],Master[Selling_Price])</f>
        <v>130</v>
      </c>
    </row>
    <row r="2467" spans="2:12">
      <c r="B2467" s="2" t="s">
        <v>2783</v>
      </c>
      <c r="C2467" s="7">
        <v>46013</v>
      </c>
      <c r="D2467" s="2" t="s">
        <v>1566</v>
      </c>
      <c r="E2467" s="4">
        <v>1</v>
      </c>
      <c r="F2467" s="8" t="str">
        <f>_xlfn.XLOOKUP(D2467,Master[Product_Code],Master[Category])</f>
        <v>Innerwear</v>
      </c>
      <c r="G2467" s="8" t="str">
        <f>_xlfn.XLOOKUP(D2467,Master[Product_Code],Master[Brand])</f>
        <v>Dollar</v>
      </c>
      <c r="H2467" s="8" t="str">
        <f>_xlfn.XLOOKUP(D2467,Master[Product_Code],Master[Style])</f>
        <v>Boxer</v>
      </c>
      <c r="I2467" s="8" t="str">
        <f>_xlfn.XLOOKUP(D2467,Master[Product_Code],Master[Fabric])</f>
        <v>Cotton</v>
      </c>
      <c r="J2467" s="8" t="str">
        <f>_xlfn.XLOOKUP(D2467,Master[Product_Code],Master[Size])</f>
        <v>105-110</v>
      </c>
      <c r="K2467" s="8" t="str">
        <f>_xlfn.XLOOKUP(D2467,Master[Product_Code],Master[Color])</f>
        <v>Dark Green</v>
      </c>
      <c r="L2467" s="3">
        <f>_xlfn.XLOOKUP(D2467,Master[Product_Code],Master[Selling_Price])</f>
        <v>190</v>
      </c>
    </row>
    <row r="2468" spans="2:12">
      <c r="B2468" s="2" t="s">
        <v>2784</v>
      </c>
      <c r="C2468" s="7">
        <v>46014</v>
      </c>
      <c r="D2468" s="2" t="s">
        <v>79</v>
      </c>
      <c r="E2468" s="4">
        <v>1</v>
      </c>
      <c r="F2468" s="8" t="str">
        <f>_xlfn.XLOOKUP(D2468,Master[Product_Code],Master[Category])</f>
        <v>Shirt</v>
      </c>
      <c r="G2468" s="8" t="str">
        <f>_xlfn.XLOOKUP(D2468,Master[Product_Code],Master[Brand])</f>
        <v>USD</v>
      </c>
      <c r="H2468" s="8" t="str">
        <f>_xlfn.XLOOKUP(D2468,Master[Product_Code],Master[Style])</f>
        <v>Partywear</v>
      </c>
      <c r="I2468" s="8" t="str">
        <f>_xlfn.XLOOKUP(D2468,Master[Product_Code],Master[Fabric])</f>
        <v>Polyester</v>
      </c>
      <c r="J2468" s="8" t="str">
        <f>_xlfn.XLOOKUP(D2468,Master[Product_Code],Master[Size])</f>
        <v>M</v>
      </c>
      <c r="K2468" s="8" t="str">
        <f>_xlfn.XLOOKUP(D2468,Master[Product_Code],Master[Color])</f>
        <v>Peach</v>
      </c>
      <c r="L2468" s="3">
        <f>_xlfn.XLOOKUP(D2468,Master[Product_Code],Master[Selling_Price])</f>
        <v>820</v>
      </c>
    </row>
    <row r="2469" spans="2:12">
      <c r="B2469" s="2" t="s">
        <v>2784</v>
      </c>
      <c r="C2469" s="7">
        <v>46014</v>
      </c>
      <c r="D2469" s="2" t="s">
        <v>1664</v>
      </c>
      <c r="E2469" s="4">
        <v>1</v>
      </c>
      <c r="F2469" s="8" t="str">
        <f>_xlfn.XLOOKUP(D2469,Master[Product_Code],Master[Category])</f>
        <v>Innerwear</v>
      </c>
      <c r="G2469" s="8" t="str">
        <f>_xlfn.XLOOKUP(D2469,Master[Product_Code],Master[Brand])</f>
        <v>Dollar</v>
      </c>
      <c r="H2469" s="8" t="str">
        <f>_xlfn.XLOOKUP(D2469,Master[Product_Code],Master[Style])</f>
        <v>V-Cut</v>
      </c>
      <c r="I2469" s="8" t="str">
        <f>_xlfn.XLOOKUP(D2469,Master[Product_Code],Master[Fabric])</f>
        <v>Cotton Blend</v>
      </c>
      <c r="J2469" s="8" t="str">
        <f>_xlfn.XLOOKUP(D2469,Master[Product_Code],Master[Size])</f>
        <v>80-85</v>
      </c>
      <c r="K2469" s="8" t="str">
        <f>_xlfn.XLOOKUP(D2469,Master[Product_Code],Master[Color])</f>
        <v>Black</v>
      </c>
      <c r="L2469" s="3">
        <f>_xlfn.XLOOKUP(D2469,Master[Product_Code],Master[Selling_Price])</f>
        <v>190</v>
      </c>
    </row>
    <row r="2470" spans="2:12">
      <c r="B2470" s="2" t="s">
        <v>2784</v>
      </c>
      <c r="C2470" s="7">
        <v>46014</v>
      </c>
      <c r="D2470" s="2" t="s">
        <v>1319</v>
      </c>
      <c r="E2470" s="4">
        <v>1</v>
      </c>
      <c r="F2470" s="8" t="str">
        <f>_xlfn.XLOOKUP(D2470,Master[Product_Code],Master[Category])</f>
        <v>Pants</v>
      </c>
      <c r="G2470" s="8" t="str">
        <f>_xlfn.XLOOKUP(D2470,Master[Product_Code],Master[Brand])</f>
        <v>Peter England</v>
      </c>
      <c r="H2470" s="8" t="str">
        <f>_xlfn.XLOOKUP(D2470,Master[Product_Code],Master[Style])</f>
        <v>Kurka</v>
      </c>
      <c r="I2470" s="8" t="str">
        <f>_xlfn.XLOOKUP(D2470,Master[Product_Code],Master[Fabric])</f>
        <v>Lycra</v>
      </c>
      <c r="J2470" s="8">
        <f>_xlfn.XLOOKUP(D2470,Master[Product_Code],Master[Size])</f>
        <v>42</v>
      </c>
      <c r="K2470" s="8" t="str">
        <f>_xlfn.XLOOKUP(D2470,Master[Product_Code],Master[Color])</f>
        <v>Sky Blue</v>
      </c>
      <c r="L2470" s="3">
        <f>_xlfn.XLOOKUP(D2470,Master[Product_Code],Master[Selling_Price])</f>
        <v>750</v>
      </c>
    </row>
    <row r="2471" spans="2:12">
      <c r="B2471" s="2" t="s">
        <v>2784</v>
      </c>
      <c r="C2471" s="7">
        <v>46014</v>
      </c>
      <c r="D2471" s="2" t="s">
        <v>525</v>
      </c>
      <c r="E2471" s="4">
        <v>1</v>
      </c>
      <c r="F2471" s="8" t="str">
        <f>_xlfn.XLOOKUP(D2471,Master[Product_Code],Master[Category])</f>
        <v>T-Shirt</v>
      </c>
      <c r="G2471" s="8" t="str">
        <f>_xlfn.XLOOKUP(D2471,Master[Product_Code],Master[Brand])</f>
        <v>Max</v>
      </c>
      <c r="H2471" s="8" t="str">
        <f>_xlfn.XLOOKUP(D2471,Master[Product_Code],Master[Style])</f>
        <v>3/4 Sleeve</v>
      </c>
      <c r="I2471" s="8" t="str">
        <f>_xlfn.XLOOKUP(D2471,Master[Product_Code],Master[Fabric])</f>
        <v>Poly Cotton</v>
      </c>
      <c r="J2471" s="8" t="str">
        <f>_xlfn.XLOOKUP(D2471,Master[Product_Code],Master[Size])</f>
        <v>S</v>
      </c>
      <c r="K2471" s="8" t="str">
        <f>_xlfn.XLOOKUP(D2471,Master[Product_Code],Master[Color])</f>
        <v>Charcoal</v>
      </c>
      <c r="L2471" s="3">
        <f>_xlfn.XLOOKUP(D2471,Master[Product_Code],Master[Selling_Price])</f>
        <v>740</v>
      </c>
    </row>
    <row r="2472" spans="2:12">
      <c r="B2472" s="2" t="s">
        <v>2785</v>
      </c>
      <c r="C2472" s="7">
        <v>46014</v>
      </c>
      <c r="D2472" s="2" t="s">
        <v>148</v>
      </c>
      <c r="E2472" s="4">
        <v>1</v>
      </c>
      <c r="F2472" s="8" t="str">
        <f>_xlfn.XLOOKUP(D2472,Master[Product_Code],Master[Category])</f>
        <v>Shirt</v>
      </c>
      <c r="G2472" s="8" t="str">
        <f>_xlfn.XLOOKUP(D2472,Master[Product_Code],Master[Brand])</f>
        <v>Thailand</v>
      </c>
      <c r="H2472" s="8" t="str">
        <f>_xlfn.XLOOKUP(D2472,Master[Product_Code],Master[Style])</f>
        <v>Partywear</v>
      </c>
      <c r="I2472" s="8" t="str">
        <f>_xlfn.XLOOKUP(D2472,Master[Product_Code],Master[Fabric])</f>
        <v>Cotton</v>
      </c>
      <c r="J2472" s="8" t="str">
        <f>_xlfn.XLOOKUP(D2472,Master[Product_Code],Master[Size])</f>
        <v>XXL</v>
      </c>
      <c r="K2472" s="8" t="str">
        <f>_xlfn.XLOOKUP(D2472,Master[Product_Code],Master[Color])</f>
        <v>White</v>
      </c>
      <c r="L2472" s="3">
        <f>_xlfn.XLOOKUP(D2472,Master[Product_Code],Master[Selling_Price])</f>
        <v>670</v>
      </c>
    </row>
    <row r="2473" spans="2:12">
      <c r="B2473" s="2" t="s">
        <v>2786</v>
      </c>
      <c r="C2473" s="7">
        <v>46014</v>
      </c>
      <c r="D2473" s="2" t="s">
        <v>802</v>
      </c>
      <c r="E2473" s="4">
        <v>1</v>
      </c>
      <c r="F2473" s="8" t="str">
        <f>_xlfn.XLOOKUP(D2473,Master[Product_Code],Master[Category])</f>
        <v>T-Shirt</v>
      </c>
      <c r="G2473" s="8" t="str">
        <f>_xlfn.XLOOKUP(D2473,Master[Product_Code],Master[Brand])</f>
        <v>Zara</v>
      </c>
      <c r="H2473" s="8" t="str">
        <f>_xlfn.XLOOKUP(D2473,Master[Product_Code],Master[Style])</f>
        <v>3/4 Sleeve</v>
      </c>
      <c r="I2473" s="8" t="str">
        <f>_xlfn.XLOOKUP(D2473,Master[Product_Code],Master[Fabric])</f>
        <v>Cotton</v>
      </c>
      <c r="J2473" s="8" t="str">
        <f>_xlfn.XLOOKUP(D2473,Master[Product_Code],Master[Size])</f>
        <v>S</v>
      </c>
      <c r="K2473" s="8" t="str">
        <f>_xlfn.XLOOKUP(D2473,Master[Product_Code],Master[Color])</f>
        <v>Olive</v>
      </c>
      <c r="L2473" s="3">
        <f>_xlfn.XLOOKUP(D2473,Master[Product_Code],Master[Selling_Price])</f>
        <v>690</v>
      </c>
    </row>
    <row r="2474" spans="2:12">
      <c r="B2474" s="2" t="s">
        <v>2786</v>
      </c>
      <c r="C2474" s="7">
        <v>46014</v>
      </c>
      <c r="D2474" s="2" t="s">
        <v>1009</v>
      </c>
      <c r="E2474" s="4">
        <v>1</v>
      </c>
      <c r="F2474" s="8" t="str">
        <f>_xlfn.XLOOKUP(D2474,Master[Product_Code],Master[Category])</f>
        <v>Jeans</v>
      </c>
      <c r="G2474" s="8" t="str">
        <f>_xlfn.XLOOKUP(D2474,Master[Product_Code],Master[Brand])</f>
        <v>Denim Pro</v>
      </c>
      <c r="H2474" s="8" t="str">
        <f>_xlfn.XLOOKUP(D2474,Master[Product_Code],Master[Style])</f>
        <v>Jogger</v>
      </c>
      <c r="I2474" s="8" t="str">
        <f>_xlfn.XLOOKUP(D2474,Master[Product_Code],Master[Fabric])</f>
        <v>Denim</v>
      </c>
      <c r="J2474" s="8">
        <f>_xlfn.XLOOKUP(D2474,Master[Product_Code],Master[Size])</f>
        <v>38</v>
      </c>
      <c r="K2474" s="8" t="str">
        <f>_xlfn.XLOOKUP(D2474,Master[Product_Code],Master[Color])</f>
        <v>Cream</v>
      </c>
      <c r="L2474" s="3">
        <f>_xlfn.XLOOKUP(D2474,Master[Product_Code],Master[Selling_Price])</f>
        <v>830</v>
      </c>
    </row>
    <row r="2475" spans="2:12">
      <c r="B2475" s="2" t="s">
        <v>2786</v>
      </c>
      <c r="C2475" s="7">
        <v>46014</v>
      </c>
      <c r="D2475" s="2" t="s">
        <v>1404</v>
      </c>
      <c r="E2475" s="4">
        <v>1</v>
      </c>
      <c r="F2475" s="8" t="str">
        <f>_xlfn.XLOOKUP(D2475,Master[Product_Code],Master[Category])</f>
        <v>Pants</v>
      </c>
      <c r="G2475" s="8" t="str">
        <f>_xlfn.XLOOKUP(D2475,Master[Product_Code],Master[Brand])</f>
        <v>Raymond</v>
      </c>
      <c r="H2475" s="8" t="str">
        <f>_xlfn.XLOOKUP(D2475,Master[Product_Code],Master[Style])</f>
        <v>Polofit</v>
      </c>
      <c r="I2475" s="8" t="str">
        <f>_xlfn.XLOOKUP(D2475,Master[Product_Code],Master[Fabric])</f>
        <v>Lycra</v>
      </c>
      <c r="J2475" s="8">
        <f>_xlfn.XLOOKUP(D2475,Master[Product_Code],Master[Size])</f>
        <v>42</v>
      </c>
      <c r="K2475" s="8" t="str">
        <f>_xlfn.XLOOKUP(D2475,Master[Product_Code],Master[Color])</f>
        <v>Bottle Green</v>
      </c>
      <c r="L2475" s="3">
        <f>_xlfn.XLOOKUP(D2475,Master[Product_Code],Master[Selling_Price])</f>
        <v>810</v>
      </c>
    </row>
    <row r="2476" spans="2:12">
      <c r="B2476" s="2" t="s">
        <v>2786</v>
      </c>
      <c r="C2476" s="7">
        <v>46014</v>
      </c>
      <c r="D2476" s="2" t="s">
        <v>1193</v>
      </c>
      <c r="E2476" s="4">
        <v>1</v>
      </c>
      <c r="F2476" s="8" t="str">
        <f>_xlfn.XLOOKUP(D2476,Master[Product_Code],Master[Category])</f>
        <v>Pants</v>
      </c>
      <c r="G2476" s="8" t="str">
        <f>_xlfn.XLOOKUP(D2476,Master[Product_Code],Master[Brand])</f>
        <v>Louis Philippe</v>
      </c>
      <c r="H2476" s="8" t="str">
        <f>_xlfn.XLOOKUP(D2476,Master[Product_Code],Master[Style])</f>
        <v>Kurka</v>
      </c>
      <c r="I2476" s="8" t="str">
        <f>_xlfn.XLOOKUP(D2476,Master[Product_Code],Master[Fabric])</f>
        <v>Lycra</v>
      </c>
      <c r="J2476" s="8">
        <f>_xlfn.XLOOKUP(D2476,Master[Product_Code],Master[Size])</f>
        <v>34</v>
      </c>
      <c r="K2476" s="8" t="str">
        <f>_xlfn.XLOOKUP(D2476,Master[Product_Code],Master[Color])</f>
        <v>Bottle Green</v>
      </c>
      <c r="L2476" s="3">
        <f>_xlfn.XLOOKUP(D2476,Master[Product_Code],Master[Selling_Price])</f>
        <v>840</v>
      </c>
    </row>
    <row r="2477" spans="2:12">
      <c r="B2477" s="2" t="s">
        <v>2787</v>
      </c>
      <c r="C2477" s="7">
        <v>46014</v>
      </c>
      <c r="D2477" s="2" t="s">
        <v>831</v>
      </c>
      <c r="E2477" s="4">
        <v>1</v>
      </c>
      <c r="F2477" s="8" t="str">
        <f>_xlfn.XLOOKUP(D2477,Master[Product_Code],Master[Category])</f>
        <v>T-Shirt</v>
      </c>
      <c r="G2477" s="8" t="str">
        <f>_xlfn.XLOOKUP(D2477,Master[Product_Code],Master[Brand])</f>
        <v>Turkey</v>
      </c>
      <c r="H2477" s="8" t="str">
        <f>_xlfn.XLOOKUP(D2477,Master[Product_Code],Master[Style])</f>
        <v>3/4 Sleeve</v>
      </c>
      <c r="I2477" s="8" t="str">
        <f>_xlfn.XLOOKUP(D2477,Master[Product_Code],Master[Fabric])</f>
        <v>Cotton Blend</v>
      </c>
      <c r="J2477" s="8" t="str">
        <f>_xlfn.XLOOKUP(D2477,Master[Product_Code],Master[Size])</f>
        <v>S</v>
      </c>
      <c r="K2477" s="8" t="str">
        <f>_xlfn.XLOOKUP(D2477,Master[Product_Code],Master[Color])</f>
        <v>Cream</v>
      </c>
      <c r="L2477" s="3">
        <f>_xlfn.XLOOKUP(D2477,Master[Product_Code],Master[Selling_Price])</f>
        <v>250</v>
      </c>
    </row>
    <row r="2478" spans="2:12">
      <c r="B2478" s="2" t="s">
        <v>2787</v>
      </c>
      <c r="C2478" s="7">
        <v>46014</v>
      </c>
      <c r="D2478" s="2" t="s">
        <v>1477</v>
      </c>
      <c r="E2478" s="4">
        <v>1</v>
      </c>
      <c r="F2478" s="8" t="str">
        <f>_xlfn.XLOOKUP(D2478,Master[Product_Code],Master[Category])</f>
        <v>Innerwear</v>
      </c>
      <c r="G2478" s="8" t="str">
        <f>_xlfn.XLOOKUP(D2478,Master[Product_Code],Master[Brand])</f>
        <v>Dollar</v>
      </c>
      <c r="H2478" s="8" t="str">
        <f>_xlfn.XLOOKUP(D2478,Master[Product_Code],Master[Style])</f>
        <v>Boxer</v>
      </c>
      <c r="I2478" s="8" t="str">
        <f>_xlfn.XLOOKUP(D2478,Master[Product_Code],Master[Fabric])</f>
        <v>Cotton Blend</v>
      </c>
      <c r="J2478" s="8" t="str">
        <f>_xlfn.XLOOKUP(D2478,Master[Product_Code],Master[Size])</f>
        <v>80-85</v>
      </c>
      <c r="K2478" s="8" t="str">
        <f>_xlfn.XLOOKUP(D2478,Master[Product_Code],Master[Color])</f>
        <v>Royal Blue</v>
      </c>
      <c r="L2478" s="3">
        <f>_xlfn.XLOOKUP(D2478,Master[Product_Code],Master[Selling_Price])</f>
        <v>130</v>
      </c>
    </row>
    <row r="2479" spans="2:12">
      <c r="B2479" s="2" t="s">
        <v>2788</v>
      </c>
      <c r="C2479" s="7">
        <v>46014</v>
      </c>
      <c r="D2479" s="2" t="s">
        <v>1163</v>
      </c>
      <c r="E2479" s="4">
        <v>1</v>
      </c>
      <c r="F2479" s="8" t="str">
        <f>_xlfn.XLOOKUP(D2479,Master[Product_Code],Master[Category])</f>
        <v>Pants</v>
      </c>
      <c r="G2479" s="8" t="str">
        <f>_xlfn.XLOOKUP(D2479,Master[Product_Code],Master[Brand])</f>
        <v>Park Avenue</v>
      </c>
      <c r="H2479" s="8" t="str">
        <f>_xlfn.XLOOKUP(D2479,Master[Product_Code],Master[Style])</f>
        <v>Boot Cut</v>
      </c>
      <c r="I2479" s="8" t="str">
        <f>_xlfn.XLOOKUP(D2479,Master[Product_Code],Master[Fabric])</f>
        <v>Cotton Blend</v>
      </c>
      <c r="J2479" s="8">
        <f>_xlfn.XLOOKUP(D2479,Master[Product_Code],Master[Size])</f>
        <v>32</v>
      </c>
      <c r="K2479" s="8" t="str">
        <f>_xlfn.XLOOKUP(D2479,Master[Product_Code],Master[Color])</f>
        <v>Grey</v>
      </c>
      <c r="L2479" s="3">
        <f>_xlfn.XLOOKUP(D2479,Master[Product_Code],Master[Selling_Price])</f>
        <v>760</v>
      </c>
    </row>
    <row r="2480" spans="2:12">
      <c r="B2480" s="2" t="s">
        <v>2788</v>
      </c>
      <c r="C2480" s="7">
        <v>46014</v>
      </c>
      <c r="D2480" s="2" t="s">
        <v>482</v>
      </c>
      <c r="E2480" s="4">
        <v>1</v>
      </c>
      <c r="F2480" s="8" t="str">
        <f>_xlfn.XLOOKUP(D2480,Master[Product_Code],Master[Category])</f>
        <v>T-Shirt</v>
      </c>
      <c r="G2480" s="8" t="str">
        <f>_xlfn.XLOOKUP(D2480,Master[Product_Code],Master[Brand])</f>
        <v>Max</v>
      </c>
      <c r="H2480" s="8" t="str">
        <f>_xlfn.XLOOKUP(D2480,Master[Product_Code],Master[Style])</f>
        <v>Hoodie</v>
      </c>
      <c r="I2480" s="8" t="str">
        <f>_xlfn.XLOOKUP(D2480,Master[Product_Code],Master[Fabric])</f>
        <v>Cotton</v>
      </c>
      <c r="J2480" s="8" t="str">
        <f>_xlfn.XLOOKUP(D2480,Master[Product_Code],Master[Size])</f>
        <v>L</v>
      </c>
      <c r="K2480" s="8" t="str">
        <f>_xlfn.XLOOKUP(D2480,Master[Product_Code],Master[Color])</f>
        <v>Teal</v>
      </c>
      <c r="L2480" s="3">
        <f>_xlfn.XLOOKUP(D2480,Master[Product_Code],Master[Selling_Price])</f>
        <v>650</v>
      </c>
    </row>
    <row r="2481" spans="2:12">
      <c r="B2481" s="2" t="s">
        <v>2788</v>
      </c>
      <c r="C2481" s="7">
        <v>46014</v>
      </c>
      <c r="D2481" s="2" t="s">
        <v>1067</v>
      </c>
      <c r="E2481" s="4">
        <v>1</v>
      </c>
      <c r="F2481" s="8" t="str">
        <f>_xlfn.XLOOKUP(D2481,Master[Product_Code],Master[Category])</f>
        <v>Jeans</v>
      </c>
      <c r="G2481" s="8" t="str">
        <f>_xlfn.XLOOKUP(D2481,Master[Product_Code],Master[Brand])</f>
        <v>Denim Pro</v>
      </c>
      <c r="H2481" s="8" t="str">
        <f>_xlfn.XLOOKUP(D2481,Master[Product_Code],Master[Style])</f>
        <v>Jogger</v>
      </c>
      <c r="I2481" s="8" t="str">
        <f>_xlfn.XLOOKUP(D2481,Master[Product_Code],Master[Fabric])</f>
        <v>Denim</v>
      </c>
      <c r="J2481" s="8">
        <f>_xlfn.XLOOKUP(D2481,Master[Product_Code],Master[Size])</f>
        <v>28</v>
      </c>
      <c r="K2481" s="8" t="str">
        <f>_xlfn.XLOOKUP(D2481,Master[Product_Code],Master[Color])</f>
        <v>Rust</v>
      </c>
      <c r="L2481" s="3">
        <f>_xlfn.XLOOKUP(D2481,Master[Product_Code],Master[Selling_Price])</f>
        <v>820</v>
      </c>
    </row>
    <row r="2482" spans="2:12">
      <c r="B2482" s="2" t="s">
        <v>2789</v>
      </c>
      <c r="C2482" s="7">
        <v>46014</v>
      </c>
      <c r="D2482" s="2" t="s">
        <v>372</v>
      </c>
      <c r="E2482" s="4">
        <v>1</v>
      </c>
      <c r="F2482" s="8" t="str">
        <f>_xlfn.XLOOKUP(D2482,Master[Product_Code],Master[Category])</f>
        <v>Shirt</v>
      </c>
      <c r="G2482" s="8" t="str">
        <f>_xlfn.XLOOKUP(D2482,Master[Product_Code],Master[Brand])</f>
        <v>USD</v>
      </c>
      <c r="H2482" s="8" t="str">
        <f>_xlfn.XLOOKUP(D2482,Master[Product_Code],Master[Style])</f>
        <v>Partywear</v>
      </c>
      <c r="I2482" s="8" t="str">
        <f>_xlfn.XLOOKUP(D2482,Master[Product_Code],Master[Fabric])</f>
        <v>Polyester</v>
      </c>
      <c r="J2482" s="8" t="str">
        <f>_xlfn.XLOOKUP(D2482,Master[Product_Code],Master[Size])</f>
        <v>L</v>
      </c>
      <c r="K2482" s="8" t="str">
        <f>_xlfn.XLOOKUP(D2482,Master[Product_Code],Master[Color])</f>
        <v>Olive</v>
      </c>
      <c r="L2482" s="3">
        <f>_xlfn.XLOOKUP(D2482,Master[Product_Code],Master[Selling_Price])</f>
        <v>750</v>
      </c>
    </row>
    <row r="2483" spans="2:12">
      <c r="B2483" s="2" t="s">
        <v>2790</v>
      </c>
      <c r="C2483" s="7">
        <v>46014</v>
      </c>
      <c r="D2483" s="2" t="s">
        <v>1419</v>
      </c>
      <c r="E2483" s="4">
        <v>1</v>
      </c>
      <c r="F2483" s="8" t="str">
        <f>_xlfn.XLOOKUP(D2483,Master[Product_Code],Master[Category])</f>
        <v>Pants</v>
      </c>
      <c r="G2483" s="8" t="str">
        <f>_xlfn.XLOOKUP(D2483,Master[Product_Code],Master[Brand])</f>
        <v>Park Avenue</v>
      </c>
      <c r="H2483" s="8" t="str">
        <f>_xlfn.XLOOKUP(D2483,Master[Product_Code],Master[Style])</f>
        <v>Polofit</v>
      </c>
      <c r="I2483" s="8" t="str">
        <f>_xlfn.XLOOKUP(D2483,Master[Product_Code],Master[Fabric])</f>
        <v>Lycra</v>
      </c>
      <c r="J2483" s="8">
        <f>_xlfn.XLOOKUP(D2483,Master[Product_Code],Master[Size])</f>
        <v>38</v>
      </c>
      <c r="K2483" s="8" t="str">
        <f>_xlfn.XLOOKUP(D2483,Master[Product_Code],Master[Color])</f>
        <v>Grey</v>
      </c>
      <c r="L2483" s="3">
        <f>_xlfn.XLOOKUP(D2483,Master[Product_Code],Master[Selling_Price])</f>
        <v>880</v>
      </c>
    </row>
    <row r="2484" spans="2:12">
      <c r="B2484" s="2" t="s">
        <v>2791</v>
      </c>
      <c r="C2484" s="7">
        <v>46014</v>
      </c>
      <c r="D2484" s="2" t="s">
        <v>767</v>
      </c>
      <c r="E2484" s="4">
        <v>1</v>
      </c>
      <c r="F2484" s="8" t="str">
        <f>_xlfn.XLOOKUP(D2484,Master[Product_Code],Master[Category])</f>
        <v>T-Shirt</v>
      </c>
      <c r="G2484" s="8" t="str">
        <f>_xlfn.XLOOKUP(D2484,Master[Product_Code],Master[Brand])</f>
        <v>Roadster</v>
      </c>
      <c r="H2484" s="8" t="str">
        <f>_xlfn.XLOOKUP(D2484,Master[Product_Code],Master[Style])</f>
        <v>3/4 Sleeve</v>
      </c>
      <c r="I2484" s="8" t="str">
        <f>_xlfn.XLOOKUP(D2484,Master[Product_Code],Master[Fabric])</f>
        <v>Poly Cotton</v>
      </c>
      <c r="J2484" s="8" t="str">
        <f>_xlfn.XLOOKUP(D2484,Master[Product_Code],Master[Size])</f>
        <v>L</v>
      </c>
      <c r="K2484" s="8" t="str">
        <f>_xlfn.XLOOKUP(D2484,Master[Product_Code],Master[Color])</f>
        <v>Light Grey</v>
      </c>
      <c r="L2484" s="3">
        <f>_xlfn.XLOOKUP(D2484,Master[Product_Code],Master[Selling_Price])</f>
        <v>710</v>
      </c>
    </row>
    <row r="2485" spans="2:12">
      <c r="B2485" s="2" t="s">
        <v>2791</v>
      </c>
      <c r="C2485" s="7">
        <v>46014</v>
      </c>
      <c r="D2485" s="2" t="s">
        <v>1336</v>
      </c>
      <c r="E2485" s="4">
        <v>1</v>
      </c>
      <c r="F2485" s="8" t="str">
        <f>_xlfn.XLOOKUP(D2485,Master[Product_Code],Master[Category])</f>
        <v>Pants</v>
      </c>
      <c r="G2485" s="8" t="str">
        <f>_xlfn.XLOOKUP(D2485,Master[Product_Code],Master[Brand])</f>
        <v>Van Heusen</v>
      </c>
      <c r="H2485" s="8" t="str">
        <f>_xlfn.XLOOKUP(D2485,Master[Product_Code],Master[Style])</f>
        <v>Polofit</v>
      </c>
      <c r="I2485" s="8" t="str">
        <f>_xlfn.XLOOKUP(D2485,Master[Product_Code],Master[Fabric])</f>
        <v>Lycra</v>
      </c>
      <c r="J2485" s="8">
        <f>_xlfn.XLOOKUP(D2485,Master[Product_Code],Master[Size])</f>
        <v>44</v>
      </c>
      <c r="K2485" s="8" t="str">
        <f>_xlfn.XLOOKUP(D2485,Master[Product_Code],Master[Color])</f>
        <v>Royal Blue</v>
      </c>
      <c r="L2485" s="3">
        <f>_xlfn.XLOOKUP(D2485,Master[Product_Code],Master[Selling_Price])</f>
        <v>810</v>
      </c>
    </row>
    <row r="2486" spans="2:12">
      <c r="B2486" s="2" t="s">
        <v>2792</v>
      </c>
      <c r="C2486" s="7">
        <v>46014</v>
      </c>
      <c r="D2486" s="2" t="s">
        <v>1254</v>
      </c>
      <c r="E2486" s="4">
        <v>1</v>
      </c>
      <c r="F2486" s="8" t="str">
        <f>_xlfn.XLOOKUP(D2486,Master[Product_Code],Master[Category])</f>
        <v>Pants</v>
      </c>
      <c r="G2486" s="8" t="str">
        <f>_xlfn.XLOOKUP(D2486,Master[Product_Code],Master[Brand])</f>
        <v>Louis Philippe</v>
      </c>
      <c r="H2486" s="8" t="str">
        <f>_xlfn.XLOOKUP(D2486,Master[Product_Code],Master[Style])</f>
        <v>Kurka</v>
      </c>
      <c r="I2486" s="8" t="str">
        <f>_xlfn.XLOOKUP(D2486,Master[Product_Code],Master[Fabric])</f>
        <v>Lycra</v>
      </c>
      <c r="J2486" s="8">
        <f>_xlfn.XLOOKUP(D2486,Master[Product_Code],Master[Size])</f>
        <v>36</v>
      </c>
      <c r="K2486" s="8" t="str">
        <f>_xlfn.XLOOKUP(D2486,Master[Product_Code],Master[Color])</f>
        <v>Mustard</v>
      </c>
      <c r="L2486" s="3">
        <f>_xlfn.XLOOKUP(D2486,Master[Product_Code],Master[Selling_Price])</f>
        <v>700</v>
      </c>
    </row>
    <row r="2487" spans="2:12">
      <c r="B2487" s="2" t="s">
        <v>2792</v>
      </c>
      <c r="C2487" s="7">
        <v>46014</v>
      </c>
      <c r="D2487" s="2" t="s">
        <v>666</v>
      </c>
      <c r="E2487" s="4">
        <v>1</v>
      </c>
      <c r="F2487" s="8" t="str">
        <f>_xlfn.XLOOKUP(D2487,Master[Product_Code],Master[Category])</f>
        <v>T-Shirt</v>
      </c>
      <c r="G2487" s="8" t="str">
        <f>_xlfn.XLOOKUP(D2487,Master[Product_Code],Master[Brand])</f>
        <v>Zara</v>
      </c>
      <c r="H2487" s="8" t="str">
        <f>_xlfn.XLOOKUP(D2487,Master[Product_Code],Master[Style])</f>
        <v>Half Sleeve</v>
      </c>
      <c r="I2487" s="8" t="str">
        <f>_xlfn.XLOOKUP(D2487,Master[Product_Code],Master[Fabric])</f>
        <v>Cotton</v>
      </c>
      <c r="J2487" s="8" t="str">
        <f>_xlfn.XLOOKUP(D2487,Master[Product_Code],Master[Size])</f>
        <v>S</v>
      </c>
      <c r="K2487" s="8" t="str">
        <f>_xlfn.XLOOKUP(D2487,Master[Product_Code],Master[Color])</f>
        <v>Bottle Green</v>
      </c>
      <c r="L2487" s="3">
        <f>_xlfn.XLOOKUP(D2487,Master[Product_Code],Master[Selling_Price])</f>
        <v>680</v>
      </c>
    </row>
    <row r="2488" spans="2:12">
      <c r="B2488" s="2" t="s">
        <v>2792</v>
      </c>
      <c r="C2488" s="7">
        <v>46014</v>
      </c>
      <c r="D2488" s="2" t="s">
        <v>261</v>
      </c>
      <c r="E2488" s="4">
        <v>1</v>
      </c>
      <c r="F2488" s="8" t="str">
        <f>_xlfn.XLOOKUP(D2488,Master[Product_Code],Master[Category])</f>
        <v>Shirt</v>
      </c>
      <c r="G2488" s="8" t="str">
        <f>_xlfn.XLOOKUP(D2488,Master[Product_Code],Master[Brand])</f>
        <v>L7</v>
      </c>
      <c r="H2488" s="8" t="str">
        <f>_xlfn.XLOOKUP(D2488,Master[Product_Code],Master[Style])</f>
        <v>Formal</v>
      </c>
      <c r="I2488" s="8" t="str">
        <f>_xlfn.XLOOKUP(D2488,Master[Product_Code],Master[Fabric])</f>
        <v>Polyester</v>
      </c>
      <c r="J2488" s="8" t="str">
        <f>_xlfn.XLOOKUP(D2488,Master[Product_Code],Master[Size])</f>
        <v>XXL</v>
      </c>
      <c r="K2488" s="8" t="str">
        <f>_xlfn.XLOOKUP(D2488,Master[Product_Code],Master[Color])</f>
        <v>Rust</v>
      </c>
      <c r="L2488" s="3">
        <f>_xlfn.XLOOKUP(D2488,Master[Product_Code],Master[Selling_Price])</f>
        <v>930</v>
      </c>
    </row>
    <row r="2489" spans="2:12">
      <c r="B2489" s="2" t="s">
        <v>2793</v>
      </c>
      <c r="C2489" s="7">
        <v>46014</v>
      </c>
      <c r="D2489" s="2" t="s">
        <v>1193</v>
      </c>
      <c r="E2489" s="4">
        <v>1</v>
      </c>
      <c r="F2489" s="8" t="str">
        <f>_xlfn.XLOOKUP(D2489,Master[Product_Code],Master[Category])</f>
        <v>Pants</v>
      </c>
      <c r="G2489" s="8" t="str">
        <f>_xlfn.XLOOKUP(D2489,Master[Product_Code],Master[Brand])</f>
        <v>Louis Philippe</v>
      </c>
      <c r="H2489" s="8" t="str">
        <f>_xlfn.XLOOKUP(D2489,Master[Product_Code],Master[Style])</f>
        <v>Kurka</v>
      </c>
      <c r="I2489" s="8" t="str">
        <f>_xlfn.XLOOKUP(D2489,Master[Product_Code],Master[Fabric])</f>
        <v>Lycra</v>
      </c>
      <c r="J2489" s="8">
        <f>_xlfn.XLOOKUP(D2489,Master[Product_Code],Master[Size])</f>
        <v>34</v>
      </c>
      <c r="K2489" s="8" t="str">
        <f>_xlfn.XLOOKUP(D2489,Master[Product_Code],Master[Color])</f>
        <v>Bottle Green</v>
      </c>
      <c r="L2489" s="3">
        <f>_xlfn.XLOOKUP(D2489,Master[Product_Code],Master[Selling_Price])</f>
        <v>840</v>
      </c>
    </row>
    <row r="2490" spans="2:12">
      <c r="B2490" s="2" t="s">
        <v>2793</v>
      </c>
      <c r="C2490" s="7">
        <v>46014</v>
      </c>
      <c r="D2490" s="2" t="s">
        <v>1640</v>
      </c>
      <c r="E2490" s="4">
        <v>1</v>
      </c>
      <c r="F2490" s="8" t="str">
        <f>_xlfn.XLOOKUP(D2490,Master[Product_Code],Master[Category])</f>
        <v>Innerwear</v>
      </c>
      <c r="G2490" s="8" t="str">
        <f>_xlfn.XLOOKUP(D2490,Master[Product_Code],Master[Brand])</f>
        <v>Dollar</v>
      </c>
      <c r="H2490" s="8" t="str">
        <f>_xlfn.XLOOKUP(D2490,Master[Product_Code],Master[Style])</f>
        <v>Boxer</v>
      </c>
      <c r="I2490" s="8" t="str">
        <f>_xlfn.XLOOKUP(D2490,Master[Product_Code],Master[Fabric])</f>
        <v>Cotton</v>
      </c>
      <c r="J2490" s="8" t="str">
        <f>_xlfn.XLOOKUP(D2490,Master[Product_Code],Master[Size])</f>
        <v>90-100</v>
      </c>
      <c r="K2490" s="8" t="str">
        <f>_xlfn.XLOOKUP(D2490,Master[Product_Code],Master[Color])</f>
        <v>Navy Blue</v>
      </c>
      <c r="L2490" s="3">
        <f>_xlfn.XLOOKUP(D2490,Master[Product_Code],Master[Selling_Price])</f>
        <v>160</v>
      </c>
    </row>
    <row r="2491" spans="2:12">
      <c r="B2491" s="2" t="s">
        <v>2793</v>
      </c>
      <c r="C2491" s="7">
        <v>46014</v>
      </c>
      <c r="D2491" s="2" t="s">
        <v>1381</v>
      </c>
      <c r="E2491" s="4">
        <v>1</v>
      </c>
      <c r="F2491" s="8" t="str">
        <f>_xlfn.XLOOKUP(D2491,Master[Product_Code],Master[Category])</f>
        <v>Pants</v>
      </c>
      <c r="G2491" s="8" t="str">
        <f>_xlfn.XLOOKUP(D2491,Master[Product_Code],Master[Brand])</f>
        <v>Park Avenue</v>
      </c>
      <c r="H2491" s="8" t="str">
        <f>_xlfn.XLOOKUP(D2491,Master[Product_Code],Master[Style])</f>
        <v>Korean</v>
      </c>
      <c r="I2491" s="8" t="str">
        <f>_xlfn.XLOOKUP(D2491,Master[Product_Code],Master[Fabric])</f>
        <v>Lycra</v>
      </c>
      <c r="J2491" s="8">
        <f>_xlfn.XLOOKUP(D2491,Master[Product_Code],Master[Size])</f>
        <v>32</v>
      </c>
      <c r="K2491" s="8" t="str">
        <f>_xlfn.XLOOKUP(D2491,Master[Product_Code],Master[Color])</f>
        <v>Black</v>
      </c>
      <c r="L2491" s="3">
        <f>_xlfn.XLOOKUP(D2491,Master[Product_Code],Master[Selling_Price])</f>
        <v>860</v>
      </c>
    </row>
    <row r="2492" spans="2:12">
      <c r="B2492" s="2" t="s">
        <v>2794</v>
      </c>
      <c r="C2492" s="7">
        <v>46014</v>
      </c>
      <c r="D2492" s="2" t="s">
        <v>863</v>
      </c>
      <c r="E2492" s="4">
        <v>1</v>
      </c>
      <c r="F2492" s="8" t="str">
        <f>_xlfn.XLOOKUP(D2492,Master[Product_Code],Master[Category])</f>
        <v>Jeans</v>
      </c>
      <c r="G2492" s="8" t="str">
        <f>_xlfn.XLOOKUP(D2492,Master[Product_Code],Master[Brand])</f>
        <v>Levis</v>
      </c>
      <c r="H2492" s="8" t="str">
        <f>_xlfn.XLOOKUP(D2492,Master[Product_Code],Master[Style])</f>
        <v>Jogger</v>
      </c>
      <c r="I2492" s="8" t="str">
        <f>_xlfn.XLOOKUP(D2492,Master[Product_Code],Master[Fabric])</f>
        <v>Denim</v>
      </c>
      <c r="J2492" s="8">
        <f>_xlfn.XLOOKUP(D2492,Master[Product_Code],Master[Size])</f>
        <v>44</v>
      </c>
      <c r="K2492" s="8" t="str">
        <f>_xlfn.XLOOKUP(D2492,Master[Product_Code],Master[Color])</f>
        <v>Royal Blue</v>
      </c>
      <c r="L2492" s="3">
        <f>_xlfn.XLOOKUP(D2492,Master[Product_Code],Master[Selling_Price])</f>
        <v>800</v>
      </c>
    </row>
    <row r="2493" spans="2:12">
      <c r="B2493" s="2" t="s">
        <v>2794</v>
      </c>
      <c r="C2493" s="7">
        <v>46014</v>
      </c>
      <c r="D2493" s="2" t="s">
        <v>612</v>
      </c>
      <c r="E2493" s="4">
        <v>1</v>
      </c>
      <c r="F2493" s="8" t="str">
        <f>_xlfn.XLOOKUP(D2493,Master[Product_Code],Master[Category])</f>
        <v>T-Shirt</v>
      </c>
      <c r="G2493" s="8" t="str">
        <f>_xlfn.XLOOKUP(D2493,Master[Product_Code],Master[Brand])</f>
        <v>Roadster</v>
      </c>
      <c r="H2493" s="8" t="str">
        <f>_xlfn.XLOOKUP(D2493,Master[Product_Code],Master[Style])</f>
        <v>Hoodie</v>
      </c>
      <c r="I2493" s="8" t="str">
        <f>_xlfn.XLOOKUP(D2493,Master[Product_Code],Master[Fabric])</f>
        <v>Poly Cotton</v>
      </c>
      <c r="J2493" s="8" t="str">
        <f>_xlfn.XLOOKUP(D2493,Master[Product_Code],Master[Size])</f>
        <v>XXL</v>
      </c>
      <c r="K2493" s="8" t="str">
        <f>_xlfn.XLOOKUP(D2493,Master[Product_Code],Master[Color])</f>
        <v>Maroon</v>
      </c>
      <c r="L2493" s="3">
        <f>_xlfn.XLOOKUP(D2493,Master[Product_Code],Master[Selling_Price])</f>
        <v>570</v>
      </c>
    </row>
    <row r="2494" spans="2:12">
      <c r="B2494" s="2" t="s">
        <v>2795</v>
      </c>
      <c r="C2494" s="7">
        <v>46014</v>
      </c>
      <c r="D2494" s="2" t="s">
        <v>227</v>
      </c>
      <c r="E2494" s="4">
        <v>1</v>
      </c>
      <c r="F2494" s="8" t="str">
        <f>_xlfn.XLOOKUP(D2494,Master[Product_Code],Master[Category])</f>
        <v>Shirt</v>
      </c>
      <c r="G2494" s="8" t="str">
        <f>_xlfn.XLOOKUP(D2494,Master[Product_Code],Master[Brand])</f>
        <v>G Studio</v>
      </c>
      <c r="H2494" s="8" t="str">
        <f>_xlfn.XLOOKUP(D2494,Master[Product_Code],Master[Style])</f>
        <v>Formal</v>
      </c>
      <c r="I2494" s="8" t="str">
        <f>_xlfn.XLOOKUP(D2494,Master[Product_Code],Master[Fabric])</f>
        <v>Lycra</v>
      </c>
      <c r="J2494" s="8" t="str">
        <f>_xlfn.XLOOKUP(D2494,Master[Product_Code],Master[Size])</f>
        <v>XXL</v>
      </c>
      <c r="K2494" s="8" t="str">
        <f>_xlfn.XLOOKUP(D2494,Master[Product_Code],Master[Color])</f>
        <v>Grey</v>
      </c>
      <c r="L2494" s="3">
        <f>_xlfn.XLOOKUP(D2494,Master[Product_Code],Master[Selling_Price])</f>
        <v>670</v>
      </c>
    </row>
    <row r="2495" spans="2:12">
      <c r="B2495" s="2" t="s">
        <v>2795</v>
      </c>
      <c r="C2495" s="7">
        <v>46014</v>
      </c>
      <c r="D2495" s="2" t="s">
        <v>220</v>
      </c>
      <c r="E2495" s="4">
        <v>1</v>
      </c>
      <c r="F2495" s="8" t="str">
        <f>_xlfn.XLOOKUP(D2495,Master[Product_Code],Master[Category])</f>
        <v>Shirt</v>
      </c>
      <c r="G2495" s="8" t="str">
        <f>_xlfn.XLOOKUP(D2495,Master[Product_Code],Master[Brand])</f>
        <v>USD</v>
      </c>
      <c r="H2495" s="8" t="str">
        <f>_xlfn.XLOOKUP(D2495,Master[Product_Code],Master[Style])</f>
        <v>Formal</v>
      </c>
      <c r="I2495" s="8" t="str">
        <f>_xlfn.XLOOKUP(D2495,Master[Product_Code],Master[Fabric])</f>
        <v>Cotton</v>
      </c>
      <c r="J2495" s="8" t="str">
        <f>_xlfn.XLOOKUP(D2495,Master[Product_Code],Master[Size])</f>
        <v>L</v>
      </c>
      <c r="K2495" s="8" t="str">
        <f>_xlfn.XLOOKUP(D2495,Master[Product_Code],Master[Color])</f>
        <v>Peach</v>
      </c>
      <c r="L2495" s="3">
        <f>_xlfn.XLOOKUP(D2495,Master[Product_Code],Master[Selling_Price])</f>
        <v>670</v>
      </c>
    </row>
    <row r="2496" spans="2:12">
      <c r="B2496" s="2" t="s">
        <v>2796</v>
      </c>
      <c r="C2496" s="7">
        <v>46014</v>
      </c>
      <c r="D2496" s="2" t="s">
        <v>1072</v>
      </c>
      <c r="E2496" s="4">
        <v>1</v>
      </c>
      <c r="F2496" s="8" t="str">
        <f>_xlfn.XLOOKUP(D2496,Master[Product_Code],Master[Category])</f>
        <v>Jeans</v>
      </c>
      <c r="G2496" s="8" t="str">
        <f>_xlfn.XLOOKUP(D2496,Master[Product_Code],Master[Brand])</f>
        <v>Levis</v>
      </c>
      <c r="H2496" s="8" t="str">
        <f>_xlfn.XLOOKUP(D2496,Master[Product_Code],Master[Style])</f>
        <v>Baggy</v>
      </c>
      <c r="I2496" s="8" t="str">
        <f>_xlfn.XLOOKUP(D2496,Master[Product_Code],Master[Fabric])</f>
        <v>Denim</v>
      </c>
      <c r="J2496" s="8">
        <f>_xlfn.XLOOKUP(D2496,Master[Product_Code],Master[Size])</f>
        <v>32</v>
      </c>
      <c r="K2496" s="8" t="str">
        <f>_xlfn.XLOOKUP(D2496,Master[Product_Code],Master[Color])</f>
        <v>Dark Green</v>
      </c>
      <c r="L2496" s="3">
        <f>_xlfn.XLOOKUP(D2496,Master[Product_Code],Master[Selling_Price])</f>
        <v>800</v>
      </c>
    </row>
    <row r="2497" spans="2:12">
      <c r="B2497" s="2" t="s">
        <v>2797</v>
      </c>
      <c r="C2497" s="7">
        <v>46014</v>
      </c>
      <c r="D2497" s="2" t="s">
        <v>1008</v>
      </c>
      <c r="E2497" s="4">
        <v>1</v>
      </c>
      <c r="F2497" s="8" t="str">
        <f>_xlfn.XLOOKUP(D2497,Master[Product_Code],Master[Category])</f>
        <v>Jeans</v>
      </c>
      <c r="G2497" s="8" t="str">
        <f>_xlfn.XLOOKUP(D2497,Master[Product_Code],Master[Brand])</f>
        <v>Spykar</v>
      </c>
      <c r="H2497" s="8" t="str">
        <f>_xlfn.XLOOKUP(D2497,Master[Product_Code],Master[Style])</f>
        <v>Mom Fit</v>
      </c>
      <c r="I2497" s="8" t="str">
        <f>_xlfn.XLOOKUP(D2497,Master[Product_Code],Master[Fabric])</f>
        <v>Denim</v>
      </c>
      <c r="J2497" s="8">
        <f>_xlfn.XLOOKUP(D2497,Master[Product_Code],Master[Size])</f>
        <v>36</v>
      </c>
      <c r="K2497" s="8" t="str">
        <f>_xlfn.XLOOKUP(D2497,Master[Product_Code],Master[Color])</f>
        <v>Teal</v>
      </c>
      <c r="L2497" s="3">
        <f>_xlfn.XLOOKUP(D2497,Master[Product_Code],Master[Selling_Price])</f>
        <v>940</v>
      </c>
    </row>
    <row r="2498" spans="2:12">
      <c r="B2498" s="2" t="s">
        <v>2798</v>
      </c>
      <c r="C2498" s="7">
        <v>46014</v>
      </c>
      <c r="D2498" s="2" t="s">
        <v>653</v>
      </c>
      <c r="E2498" s="4">
        <v>1</v>
      </c>
      <c r="F2498" s="8" t="str">
        <f>_xlfn.XLOOKUP(D2498,Master[Product_Code],Master[Category])</f>
        <v>T-Shirt</v>
      </c>
      <c r="G2498" s="8" t="str">
        <f>_xlfn.XLOOKUP(D2498,Master[Product_Code],Master[Brand])</f>
        <v>Max</v>
      </c>
      <c r="H2498" s="8" t="str">
        <f>_xlfn.XLOOKUP(D2498,Master[Product_Code],Master[Style])</f>
        <v>Full Sleeve</v>
      </c>
      <c r="I2498" s="8" t="str">
        <f>_xlfn.XLOOKUP(D2498,Master[Product_Code],Master[Fabric])</f>
        <v>Cotton Blend</v>
      </c>
      <c r="J2498" s="8" t="str">
        <f>_xlfn.XLOOKUP(D2498,Master[Product_Code],Master[Size])</f>
        <v>M</v>
      </c>
      <c r="K2498" s="8" t="str">
        <f>_xlfn.XLOOKUP(D2498,Master[Product_Code],Master[Color])</f>
        <v>Navy Blue</v>
      </c>
      <c r="L2498" s="3">
        <f>_xlfn.XLOOKUP(D2498,Master[Product_Code],Master[Selling_Price])</f>
        <v>620</v>
      </c>
    </row>
    <row r="2499" spans="2:12">
      <c r="B2499" s="2" t="s">
        <v>2798</v>
      </c>
      <c r="C2499" s="7">
        <v>46014</v>
      </c>
      <c r="D2499" s="2" t="s">
        <v>1714</v>
      </c>
      <c r="E2499" s="4">
        <v>1</v>
      </c>
      <c r="F2499" s="8" t="str">
        <f>_xlfn.XLOOKUP(D2499,Master[Product_Code],Master[Category])</f>
        <v>Innerwear</v>
      </c>
      <c r="G2499" s="8" t="str">
        <f>_xlfn.XLOOKUP(D2499,Master[Product_Code],Master[Brand])</f>
        <v>V Star</v>
      </c>
      <c r="H2499" s="8" t="str">
        <f>_xlfn.XLOOKUP(D2499,Master[Product_Code],Master[Style])</f>
        <v>Boxer</v>
      </c>
      <c r="I2499" s="8" t="str">
        <f>_xlfn.XLOOKUP(D2499,Master[Product_Code],Master[Fabric])</f>
        <v>Cotton</v>
      </c>
      <c r="J2499" s="8" t="str">
        <f>_xlfn.XLOOKUP(D2499,Master[Product_Code],Master[Size])</f>
        <v>105-110</v>
      </c>
      <c r="K2499" s="8" t="str">
        <f>_xlfn.XLOOKUP(D2499,Master[Product_Code],Master[Color])</f>
        <v>Peach</v>
      </c>
      <c r="L2499" s="3">
        <f>_xlfn.XLOOKUP(D2499,Master[Product_Code],Master[Selling_Price])</f>
        <v>160</v>
      </c>
    </row>
    <row r="2500" spans="2:12">
      <c r="B2500" s="2" t="s">
        <v>2799</v>
      </c>
      <c r="C2500" s="7">
        <v>46014</v>
      </c>
      <c r="D2500" s="2" t="s">
        <v>230</v>
      </c>
      <c r="E2500" s="4">
        <v>1</v>
      </c>
      <c r="F2500" s="8" t="str">
        <f>_xlfn.XLOOKUP(D2500,Master[Product_Code],Master[Category])</f>
        <v>Shirt</v>
      </c>
      <c r="G2500" s="8" t="str">
        <f>_xlfn.XLOOKUP(D2500,Master[Product_Code],Master[Brand])</f>
        <v>G Studio</v>
      </c>
      <c r="H2500" s="8" t="str">
        <f>_xlfn.XLOOKUP(D2500,Master[Product_Code],Master[Style])</f>
        <v>Partywear</v>
      </c>
      <c r="I2500" s="8" t="str">
        <f>_xlfn.XLOOKUP(D2500,Master[Product_Code],Master[Fabric])</f>
        <v>Cotton Blend</v>
      </c>
      <c r="J2500" s="8" t="str">
        <f>_xlfn.XLOOKUP(D2500,Master[Product_Code],Master[Size])</f>
        <v>S</v>
      </c>
      <c r="K2500" s="8" t="str">
        <f>_xlfn.XLOOKUP(D2500,Master[Product_Code],Master[Color])</f>
        <v>Olive</v>
      </c>
      <c r="L2500" s="3">
        <f>_xlfn.XLOOKUP(D2500,Master[Product_Code],Master[Selling_Price])</f>
        <v>760</v>
      </c>
    </row>
    <row r="2501" spans="2:12">
      <c r="B2501" s="2" t="s">
        <v>2800</v>
      </c>
      <c r="C2501" s="7">
        <v>46014</v>
      </c>
      <c r="D2501" s="2" t="s">
        <v>70</v>
      </c>
      <c r="E2501" s="4">
        <v>1</v>
      </c>
      <c r="F2501" s="8" t="str">
        <f>_xlfn.XLOOKUP(D2501,Master[Product_Code],Master[Category])</f>
        <v>Shirt</v>
      </c>
      <c r="G2501" s="8" t="str">
        <f>_xlfn.XLOOKUP(D2501,Master[Product_Code],Master[Brand])</f>
        <v>Thailand</v>
      </c>
      <c r="H2501" s="8" t="str">
        <f>_xlfn.XLOOKUP(D2501,Master[Product_Code],Master[Style])</f>
        <v>Formal</v>
      </c>
      <c r="I2501" s="8" t="str">
        <f>_xlfn.XLOOKUP(D2501,Master[Product_Code],Master[Fabric])</f>
        <v>Cotton</v>
      </c>
      <c r="J2501" s="8" t="str">
        <f>_xlfn.XLOOKUP(D2501,Master[Product_Code],Master[Size])</f>
        <v>M</v>
      </c>
      <c r="K2501" s="8" t="str">
        <f>_xlfn.XLOOKUP(D2501,Master[Product_Code],Master[Color])</f>
        <v>Light Grey</v>
      </c>
      <c r="L2501" s="3">
        <f>_xlfn.XLOOKUP(D2501,Master[Product_Code],Master[Selling_Price])</f>
        <v>760</v>
      </c>
    </row>
    <row r="2502" spans="2:12">
      <c r="B2502" s="2" t="s">
        <v>2800</v>
      </c>
      <c r="C2502" s="7">
        <v>46014</v>
      </c>
      <c r="D2502" s="2" t="s">
        <v>533</v>
      </c>
      <c r="E2502" s="4">
        <v>1</v>
      </c>
      <c r="F2502" s="8" t="str">
        <f>_xlfn.XLOOKUP(D2502,Master[Product_Code],Master[Category])</f>
        <v>T-Shirt</v>
      </c>
      <c r="G2502" s="8" t="str">
        <f>_xlfn.XLOOKUP(D2502,Master[Product_Code],Master[Brand])</f>
        <v>Roadster</v>
      </c>
      <c r="H2502" s="8" t="str">
        <f>_xlfn.XLOOKUP(D2502,Master[Product_Code],Master[Style])</f>
        <v>Half Sleeve</v>
      </c>
      <c r="I2502" s="8" t="str">
        <f>_xlfn.XLOOKUP(D2502,Master[Product_Code],Master[Fabric])</f>
        <v>Cotton Blend</v>
      </c>
      <c r="J2502" s="8" t="str">
        <f>_xlfn.XLOOKUP(D2502,Master[Product_Code],Master[Size])</f>
        <v>XL</v>
      </c>
      <c r="K2502" s="8" t="str">
        <f>_xlfn.XLOOKUP(D2502,Master[Product_Code],Master[Color])</f>
        <v>Charcoal</v>
      </c>
      <c r="L2502" s="3">
        <f>_xlfn.XLOOKUP(D2502,Master[Product_Code],Master[Selling_Price])</f>
        <v>490</v>
      </c>
    </row>
    <row r="2503" spans="2:12">
      <c r="B2503" s="2" t="s">
        <v>2801</v>
      </c>
      <c r="C2503" s="7">
        <v>46014</v>
      </c>
      <c r="D2503" s="2" t="s">
        <v>815</v>
      </c>
      <c r="E2503" s="4">
        <v>1</v>
      </c>
      <c r="F2503" s="8" t="str">
        <f>_xlfn.XLOOKUP(D2503,Master[Product_Code],Master[Category])</f>
        <v>T-Shirt</v>
      </c>
      <c r="G2503" s="8" t="str">
        <f>_xlfn.XLOOKUP(D2503,Master[Product_Code],Master[Brand])</f>
        <v>Turkey</v>
      </c>
      <c r="H2503" s="8" t="str">
        <f>_xlfn.XLOOKUP(D2503,Master[Product_Code],Master[Style])</f>
        <v>Full Sleeve</v>
      </c>
      <c r="I2503" s="8" t="str">
        <f>_xlfn.XLOOKUP(D2503,Master[Product_Code],Master[Fabric])</f>
        <v>Cotton</v>
      </c>
      <c r="J2503" s="8" t="str">
        <f>_xlfn.XLOOKUP(D2503,Master[Product_Code],Master[Size])</f>
        <v>M</v>
      </c>
      <c r="K2503" s="8" t="str">
        <f>_xlfn.XLOOKUP(D2503,Master[Product_Code],Master[Color])</f>
        <v>Royal Blue</v>
      </c>
      <c r="L2503" s="3">
        <f>_xlfn.XLOOKUP(D2503,Master[Product_Code],Master[Selling_Price])</f>
        <v>400</v>
      </c>
    </row>
    <row r="2504" spans="2:12">
      <c r="B2504" s="2" t="s">
        <v>2801</v>
      </c>
      <c r="C2504" s="7">
        <v>46014</v>
      </c>
      <c r="D2504" s="2" t="s">
        <v>320</v>
      </c>
      <c r="E2504" s="4">
        <v>1</v>
      </c>
      <c r="F2504" s="8" t="str">
        <f>_xlfn.XLOOKUP(D2504,Master[Product_Code],Master[Category])</f>
        <v>Shirt</v>
      </c>
      <c r="G2504" s="8" t="str">
        <f>_xlfn.XLOOKUP(D2504,Master[Product_Code],Master[Brand])</f>
        <v>Thailand</v>
      </c>
      <c r="H2504" s="8" t="str">
        <f>_xlfn.XLOOKUP(D2504,Master[Product_Code],Master[Style])</f>
        <v>Formal</v>
      </c>
      <c r="I2504" s="8" t="str">
        <f>_xlfn.XLOOKUP(D2504,Master[Product_Code],Master[Fabric])</f>
        <v>Lycra</v>
      </c>
      <c r="J2504" s="8" t="str">
        <f>_xlfn.XLOOKUP(D2504,Master[Product_Code],Master[Size])</f>
        <v>L</v>
      </c>
      <c r="K2504" s="8" t="str">
        <f>_xlfn.XLOOKUP(D2504,Master[Product_Code],Master[Color])</f>
        <v>Wine</v>
      </c>
      <c r="L2504" s="3">
        <f>_xlfn.XLOOKUP(D2504,Master[Product_Code],Master[Selling_Price])</f>
        <v>950</v>
      </c>
    </row>
    <row r="2505" spans="2:12">
      <c r="B2505" s="2" t="s">
        <v>2801</v>
      </c>
      <c r="C2505" s="7">
        <v>46014</v>
      </c>
      <c r="D2505" s="2" t="s">
        <v>1662</v>
      </c>
      <c r="E2505" s="4">
        <v>1</v>
      </c>
      <c r="F2505" s="8" t="str">
        <f>_xlfn.XLOOKUP(D2505,Master[Product_Code],Master[Category])</f>
        <v>Innerwear</v>
      </c>
      <c r="G2505" s="8" t="str">
        <f>_xlfn.XLOOKUP(D2505,Master[Product_Code],Master[Brand])</f>
        <v>Rupa</v>
      </c>
      <c r="H2505" s="8" t="str">
        <f>_xlfn.XLOOKUP(D2505,Master[Product_Code],Master[Style])</f>
        <v>Boxer</v>
      </c>
      <c r="I2505" s="8" t="str">
        <f>_xlfn.XLOOKUP(D2505,Master[Product_Code],Master[Fabric])</f>
        <v>Cotton Blend</v>
      </c>
      <c r="J2505" s="8" t="str">
        <f>_xlfn.XLOOKUP(D2505,Master[Product_Code],Master[Size])</f>
        <v>90-100</v>
      </c>
      <c r="K2505" s="8" t="str">
        <f>_xlfn.XLOOKUP(D2505,Master[Product_Code],Master[Color])</f>
        <v>Maroon</v>
      </c>
      <c r="L2505" s="3">
        <f>_xlfn.XLOOKUP(D2505,Master[Product_Code],Master[Selling_Price])</f>
        <v>180</v>
      </c>
    </row>
    <row r="2506" spans="2:12">
      <c r="B2506" s="2" t="s">
        <v>2801</v>
      </c>
      <c r="C2506" s="7">
        <v>46014</v>
      </c>
      <c r="D2506" s="2" t="s">
        <v>1219</v>
      </c>
      <c r="E2506" s="4">
        <v>1</v>
      </c>
      <c r="F2506" s="8" t="str">
        <f>_xlfn.XLOOKUP(D2506,Master[Product_Code],Master[Category])</f>
        <v>Pants</v>
      </c>
      <c r="G2506" s="8" t="str">
        <f>_xlfn.XLOOKUP(D2506,Master[Product_Code],Master[Brand])</f>
        <v>Raymond</v>
      </c>
      <c r="H2506" s="8" t="str">
        <f>_xlfn.XLOOKUP(D2506,Master[Product_Code],Master[Style])</f>
        <v>Korean</v>
      </c>
      <c r="I2506" s="8" t="str">
        <f>_xlfn.XLOOKUP(D2506,Master[Product_Code],Master[Fabric])</f>
        <v>Lycra</v>
      </c>
      <c r="J2506" s="8">
        <f>_xlfn.XLOOKUP(D2506,Master[Product_Code],Master[Size])</f>
        <v>38</v>
      </c>
      <c r="K2506" s="8" t="str">
        <f>_xlfn.XLOOKUP(D2506,Master[Product_Code],Master[Color])</f>
        <v>Olive</v>
      </c>
      <c r="L2506" s="3">
        <f>_xlfn.XLOOKUP(D2506,Master[Product_Code],Master[Selling_Price])</f>
        <v>950</v>
      </c>
    </row>
    <row r="2507" spans="2:12">
      <c r="B2507" s="2" t="s">
        <v>2802</v>
      </c>
      <c r="C2507" s="7">
        <v>46014</v>
      </c>
      <c r="D2507" s="2" t="s">
        <v>427</v>
      </c>
      <c r="E2507" s="4">
        <v>1</v>
      </c>
      <c r="F2507" s="8" t="str">
        <f>_xlfn.XLOOKUP(D2507,Master[Product_Code],Master[Category])</f>
        <v>T-Shirt</v>
      </c>
      <c r="G2507" s="8" t="str">
        <f>_xlfn.XLOOKUP(D2507,Master[Product_Code],Master[Brand])</f>
        <v>Campus</v>
      </c>
      <c r="H2507" s="8" t="str">
        <f>_xlfn.XLOOKUP(D2507,Master[Product_Code],Master[Style])</f>
        <v>3/4 Sleeve</v>
      </c>
      <c r="I2507" s="8" t="str">
        <f>_xlfn.XLOOKUP(D2507,Master[Product_Code],Master[Fabric])</f>
        <v>Cotton</v>
      </c>
      <c r="J2507" s="8" t="str">
        <f>_xlfn.XLOOKUP(D2507,Master[Product_Code],Master[Size])</f>
        <v>M</v>
      </c>
      <c r="K2507" s="8" t="str">
        <f>_xlfn.XLOOKUP(D2507,Master[Product_Code],Master[Color])</f>
        <v>Dark Green</v>
      </c>
      <c r="L2507" s="3">
        <f>_xlfn.XLOOKUP(D2507,Master[Product_Code],Master[Selling_Price])</f>
        <v>330</v>
      </c>
    </row>
    <row r="2508" spans="2:12">
      <c r="B2508" s="2" t="s">
        <v>2802</v>
      </c>
      <c r="C2508" s="7">
        <v>46014</v>
      </c>
      <c r="D2508" s="2" t="s">
        <v>481</v>
      </c>
      <c r="E2508" s="4">
        <v>1</v>
      </c>
      <c r="F2508" s="8" t="str">
        <f>_xlfn.XLOOKUP(D2508,Master[Product_Code],Master[Category])</f>
        <v>T-Shirt</v>
      </c>
      <c r="G2508" s="8" t="str">
        <f>_xlfn.XLOOKUP(D2508,Master[Product_Code],Master[Brand])</f>
        <v>Campus</v>
      </c>
      <c r="H2508" s="8" t="str">
        <f>_xlfn.XLOOKUP(D2508,Master[Product_Code],Master[Style])</f>
        <v>Sleeveless</v>
      </c>
      <c r="I2508" s="8" t="str">
        <f>_xlfn.XLOOKUP(D2508,Master[Product_Code],Master[Fabric])</f>
        <v>Poly Cotton</v>
      </c>
      <c r="J2508" s="8" t="str">
        <f>_xlfn.XLOOKUP(D2508,Master[Product_Code],Master[Size])</f>
        <v>L</v>
      </c>
      <c r="K2508" s="8" t="str">
        <f>_xlfn.XLOOKUP(D2508,Master[Product_Code],Master[Color])</f>
        <v>Royal Blue</v>
      </c>
      <c r="L2508" s="3">
        <f>_xlfn.XLOOKUP(D2508,Master[Product_Code],Master[Selling_Price])</f>
        <v>400</v>
      </c>
    </row>
    <row r="2509" spans="2:12">
      <c r="B2509" s="2" t="s">
        <v>2802</v>
      </c>
      <c r="C2509" s="7">
        <v>46014</v>
      </c>
      <c r="D2509" s="2" t="s">
        <v>1631</v>
      </c>
      <c r="E2509" s="4">
        <v>1</v>
      </c>
      <c r="F2509" s="8" t="str">
        <f>_xlfn.XLOOKUP(D2509,Master[Product_Code],Master[Category])</f>
        <v>Innerwear</v>
      </c>
      <c r="G2509" s="8" t="str">
        <f>_xlfn.XLOOKUP(D2509,Master[Product_Code],Master[Brand])</f>
        <v>Rupa</v>
      </c>
      <c r="H2509" s="8" t="str">
        <f>_xlfn.XLOOKUP(D2509,Master[Product_Code],Master[Style])</f>
        <v>Boxer</v>
      </c>
      <c r="I2509" s="8" t="str">
        <f>_xlfn.XLOOKUP(D2509,Master[Product_Code],Master[Fabric])</f>
        <v>Cotton</v>
      </c>
      <c r="J2509" s="8" t="str">
        <f>_xlfn.XLOOKUP(D2509,Master[Product_Code],Master[Size])</f>
        <v>80-85</v>
      </c>
      <c r="K2509" s="8" t="str">
        <f>_xlfn.XLOOKUP(D2509,Master[Product_Code],Master[Color])</f>
        <v>White</v>
      </c>
      <c r="L2509" s="3">
        <f>_xlfn.XLOOKUP(D2509,Master[Product_Code],Master[Selling_Price])</f>
        <v>170</v>
      </c>
    </row>
    <row r="2510" spans="2:12">
      <c r="B2510" s="2" t="s">
        <v>2803</v>
      </c>
      <c r="C2510" s="7">
        <v>46015</v>
      </c>
      <c r="D2510" s="2" t="s">
        <v>1431</v>
      </c>
      <c r="E2510" s="4">
        <v>1</v>
      </c>
      <c r="F2510" s="8" t="str">
        <f>_xlfn.XLOOKUP(D2510,Master[Product_Code],Master[Category])</f>
        <v>Pants</v>
      </c>
      <c r="G2510" s="8" t="str">
        <f>_xlfn.XLOOKUP(D2510,Master[Product_Code],Master[Brand])</f>
        <v>Van Heusen</v>
      </c>
      <c r="H2510" s="8" t="str">
        <f>_xlfn.XLOOKUP(D2510,Master[Product_Code],Master[Style])</f>
        <v>Kurka</v>
      </c>
      <c r="I2510" s="8" t="str">
        <f>_xlfn.XLOOKUP(D2510,Master[Product_Code],Master[Fabric])</f>
        <v>Lycra</v>
      </c>
      <c r="J2510" s="8">
        <f>_xlfn.XLOOKUP(D2510,Master[Product_Code],Master[Size])</f>
        <v>40</v>
      </c>
      <c r="K2510" s="8" t="str">
        <f>_xlfn.XLOOKUP(D2510,Master[Product_Code],Master[Color])</f>
        <v>Navy Blue</v>
      </c>
      <c r="L2510" s="3">
        <f>_xlfn.XLOOKUP(D2510,Master[Product_Code],Master[Selling_Price])</f>
        <v>830</v>
      </c>
    </row>
    <row r="2511" spans="2:12">
      <c r="B2511" s="2" t="s">
        <v>2803</v>
      </c>
      <c r="C2511" s="7">
        <v>46015</v>
      </c>
      <c r="D2511" s="2" t="s">
        <v>540</v>
      </c>
      <c r="E2511" s="4">
        <v>1</v>
      </c>
      <c r="F2511" s="8" t="str">
        <f>_xlfn.XLOOKUP(D2511,Master[Product_Code],Master[Category])</f>
        <v>T-Shirt</v>
      </c>
      <c r="G2511" s="8" t="str">
        <f>_xlfn.XLOOKUP(D2511,Master[Product_Code],Master[Brand])</f>
        <v>Turkey</v>
      </c>
      <c r="H2511" s="8" t="str">
        <f>_xlfn.XLOOKUP(D2511,Master[Product_Code],Master[Style])</f>
        <v>3/4 Sleeve</v>
      </c>
      <c r="I2511" s="8" t="str">
        <f>_xlfn.XLOOKUP(D2511,Master[Product_Code],Master[Fabric])</f>
        <v>Cotton</v>
      </c>
      <c r="J2511" s="8" t="str">
        <f>_xlfn.XLOOKUP(D2511,Master[Product_Code],Master[Size])</f>
        <v>XXL</v>
      </c>
      <c r="K2511" s="8" t="str">
        <f>_xlfn.XLOOKUP(D2511,Master[Product_Code],Master[Color])</f>
        <v>Sky Blue</v>
      </c>
      <c r="L2511" s="3">
        <f>_xlfn.XLOOKUP(D2511,Master[Product_Code],Master[Selling_Price])</f>
        <v>470</v>
      </c>
    </row>
    <row r="2512" spans="2:12">
      <c r="B2512" s="2" t="s">
        <v>2803</v>
      </c>
      <c r="C2512" s="7">
        <v>46015</v>
      </c>
      <c r="D2512" s="2" t="s">
        <v>1103</v>
      </c>
      <c r="E2512" s="4">
        <v>1</v>
      </c>
      <c r="F2512" s="8" t="str">
        <f>_xlfn.XLOOKUP(D2512,Master[Product_Code],Master[Category])</f>
        <v>Jeans</v>
      </c>
      <c r="G2512" s="8" t="str">
        <f>_xlfn.XLOOKUP(D2512,Master[Product_Code],Master[Brand])</f>
        <v>Locomotive</v>
      </c>
      <c r="H2512" s="8" t="str">
        <f>_xlfn.XLOOKUP(D2512,Master[Product_Code],Master[Style])</f>
        <v>Baggy</v>
      </c>
      <c r="I2512" s="8" t="str">
        <f>_xlfn.XLOOKUP(D2512,Master[Product_Code],Master[Fabric])</f>
        <v>Denim</v>
      </c>
      <c r="J2512" s="8">
        <f>_xlfn.XLOOKUP(D2512,Master[Product_Code],Master[Size])</f>
        <v>40</v>
      </c>
      <c r="K2512" s="8" t="str">
        <f>_xlfn.XLOOKUP(D2512,Master[Product_Code],Master[Color])</f>
        <v>Teal</v>
      </c>
      <c r="L2512" s="3">
        <f>_xlfn.XLOOKUP(D2512,Master[Product_Code],Master[Selling_Price])</f>
        <v>850</v>
      </c>
    </row>
    <row r="2513" spans="2:12">
      <c r="B2513" s="2" t="s">
        <v>2804</v>
      </c>
      <c r="C2513" s="7">
        <v>46015</v>
      </c>
      <c r="D2513" s="2" t="s">
        <v>508</v>
      </c>
      <c r="E2513" s="4">
        <v>1</v>
      </c>
      <c r="F2513" s="8" t="str">
        <f>_xlfn.XLOOKUP(D2513,Master[Product_Code],Master[Category])</f>
        <v>T-Shirt</v>
      </c>
      <c r="G2513" s="8" t="str">
        <f>_xlfn.XLOOKUP(D2513,Master[Product_Code],Master[Brand])</f>
        <v>Roadster</v>
      </c>
      <c r="H2513" s="8" t="str">
        <f>_xlfn.XLOOKUP(D2513,Master[Product_Code],Master[Style])</f>
        <v>Hoodie</v>
      </c>
      <c r="I2513" s="8" t="str">
        <f>_xlfn.XLOOKUP(D2513,Master[Product_Code],Master[Fabric])</f>
        <v>Cotton</v>
      </c>
      <c r="J2513" s="8" t="str">
        <f>_xlfn.XLOOKUP(D2513,Master[Product_Code],Master[Size])</f>
        <v>XXL</v>
      </c>
      <c r="K2513" s="8" t="str">
        <f>_xlfn.XLOOKUP(D2513,Master[Product_Code],Master[Color])</f>
        <v>Peach</v>
      </c>
      <c r="L2513" s="3">
        <f>_xlfn.XLOOKUP(D2513,Master[Product_Code],Master[Selling_Price])</f>
        <v>450</v>
      </c>
    </row>
    <row r="2514" spans="2:12">
      <c r="B2514" s="2" t="s">
        <v>2805</v>
      </c>
      <c r="C2514" s="7">
        <v>46015</v>
      </c>
      <c r="D2514" s="2" t="s">
        <v>79</v>
      </c>
      <c r="E2514" s="4">
        <v>1</v>
      </c>
      <c r="F2514" s="8" t="str">
        <f>_xlfn.XLOOKUP(D2514,Master[Product_Code],Master[Category])</f>
        <v>Shirt</v>
      </c>
      <c r="G2514" s="8" t="str">
        <f>_xlfn.XLOOKUP(D2514,Master[Product_Code],Master[Brand])</f>
        <v>USD</v>
      </c>
      <c r="H2514" s="8" t="str">
        <f>_xlfn.XLOOKUP(D2514,Master[Product_Code],Master[Style])</f>
        <v>Partywear</v>
      </c>
      <c r="I2514" s="8" t="str">
        <f>_xlfn.XLOOKUP(D2514,Master[Product_Code],Master[Fabric])</f>
        <v>Polyester</v>
      </c>
      <c r="J2514" s="8" t="str">
        <f>_xlfn.XLOOKUP(D2514,Master[Product_Code],Master[Size])</f>
        <v>M</v>
      </c>
      <c r="K2514" s="8" t="str">
        <f>_xlfn.XLOOKUP(D2514,Master[Product_Code],Master[Color])</f>
        <v>Peach</v>
      </c>
      <c r="L2514" s="3">
        <f>_xlfn.XLOOKUP(D2514,Master[Product_Code],Master[Selling_Price])</f>
        <v>820</v>
      </c>
    </row>
    <row r="2515" spans="2:12">
      <c r="B2515" s="2" t="s">
        <v>2805</v>
      </c>
      <c r="C2515" s="7">
        <v>46015</v>
      </c>
      <c r="D2515" s="2" t="s">
        <v>587</v>
      </c>
      <c r="E2515" s="4">
        <v>1</v>
      </c>
      <c r="F2515" s="8" t="str">
        <f>_xlfn.XLOOKUP(D2515,Master[Product_Code],Master[Category])</f>
        <v>T-Shirt</v>
      </c>
      <c r="G2515" s="8" t="str">
        <f>_xlfn.XLOOKUP(D2515,Master[Product_Code],Master[Brand])</f>
        <v>Roadster</v>
      </c>
      <c r="H2515" s="8" t="str">
        <f>_xlfn.XLOOKUP(D2515,Master[Product_Code],Master[Style])</f>
        <v>Full Sleeve</v>
      </c>
      <c r="I2515" s="8" t="str">
        <f>_xlfn.XLOOKUP(D2515,Master[Product_Code],Master[Fabric])</f>
        <v>Cotton Blend</v>
      </c>
      <c r="J2515" s="8" t="str">
        <f>_xlfn.XLOOKUP(D2515,Master[Product_Code],Master[Size])</f>
        <v>L</v>
      </c>
      <c r="K2515" s="8" t="str">
        <f>_xlfn.XLOOKUP(D2515,Master[Product_Code],Master[Color])</f>
        <v>Brown</v>
      </c>
      <c r="L2515" s="3">
        <f>_xlfn.XLOOKUP(D2515,Master[Product_Code],Master[Selling_Price])</f>
        <v>690</v>
      </c>
    </row>
    <row r="2516" spans="2:12">
      <c r="B2516" s="2" t="s">
        <v>2805</v>
      </c>
      <c r="C2516" s="7">
        <v>46015</v>
      </c>
      <c r="D2516" s="2" t="s">
        <v>1730</v>
      </c>
      <c r="E2516" s="4">
        <v>1</v>
      </c>
      <c r="F2516" s="8" t="str">
        <f>_xlfn.XLOOKUP(D2516,Master[Product_Code],Master[Category])</f>
        <v>Innerwear</v>
      </c>
      <c r="G2516" s="8" t="str">
        <f>_xlfn.XLOOKUP(D2516,Master[Product_Code],Master[Brand])</f>
        <v>Dollar</v>
      </c>
      <c r="H2516" s="8" t="str">
        <f>_xlfn.XLOOKUP(D2516,Master[Product_Code],Master[Style])</f>
        <v>V-Cut</v>
      </c>
      <c r="I2516" s="8" t="str">
        <f>_xlfn.XLOOKUP(D2516,Master[Product_Code],Master[Fabric])</f>
        <v>Cotton</v>
      </c>
      <c r="J2516" s="8" t="str">
        <f>_xlfn.XLOOKUP(D2516,Master[Product_Code],Master[Size])</f>
        <v>90-100</v>
      </c>
      <c r="K2516" s="8" t="str">
        <f>_xlfn.XLOOKUP(D2516,Master[Product_Code],Master[Color])</f>
        <v>Bottle Green</v>
      </c>
      <c r="L2516" s="3">
        <f>_xlfn.XLOOKUP(D2516,Master[Product_Code],Master[Selling_Price])</f>
        <v>190</v>
      </c>
    </row>
    <row r="2517" spans="2:12">
      <c r="B2517" s="2" t="s">
        <v>2805</v>
      </c>
      <c r="C2517" s="7">
        <v>46015</v>
      </c>
      <c r="D2517" s="2" t="s">
        <v>725</v>
      </c>
      <c r="E2517" s="4">
        <v>1</v>
      </c>
      <c r="F2517" s="8" t="str">
        <f>_xlfn.XLOOKUP(D2517,Master[Product_Code],Master[Category])</f>
        <v>T-Shirt</v>
      </c>
      <c r="G2517" s="8" t="str">
        <f>_xlfn.XLOOKUP(D2517,Master[Product_Code],Master[Brand])</f>
        <v>Roadster</v>
      </c>
      <c r="H2517" s="8" t="str">
        <f>_xlfn.XLOOKUP(D2517,Master[Product_Code],Master[Style])</f>
        <v>3/4 Sleeve</v>
      </c>
      <c r="I2517" s="8" t="str">
        <f>_xlfn.XLOOKUP(D2517,Master[Product_Code],Master[Fabric])</f>
        <v>Cotton</v>
      </c>
      <c r="J2517" s="8" t="str">
        <f>_xlfn.XLOOKUP(D2517,Master[Product_Code],Master[Size])</f>
        <v>L</v>
      </c>
      <c r="K2517" s="8" t="str">
        <f>_xlfn.XLOOKUP(D2517,Master[Product_Code],Master[Color])</f>
        <v>Wine</v>
      </c>
      <c r="L2517" s="3">
        <f>_xlfn.XLOOKUP(D2517,Master[Product_Code],Master[Selling_Price])</f>
        <v>620</v>
      </c>
    </row>
    <row r="2518" spans="2:12">
      <c r="B2518" s="2" t="s">
        <v>2806</v>
      </c>
      <c r="C2518" s="7">
        <v>46015</v>
      </c>
      <c r="D2518" s="2" t="s">
        <v>1181</v>
      </c>
      <c r="E2518" s="4">
        <v>1</v>
      </c>
      <c r="F2518" s="8" t="str">
        <f>_xlfn.XLOOKUP(D2518,Master[Product_Code],Master[Category])</f>
        <v>Pants</v>
      </c>
      <c r="G2518" s="8" t="str">
        <f>_xlfn.XLOOKUP(D2518,Master[Product_Code],Master[Brand])</f>
        <v>Van Heusen</v>
      </c>
      <c r="H2518" s="8" t="str">
        <f>_xlfn.XLOOKUP(D2518,Master[Product_Code],Master[Style])</f>
        <v>Korean</v>
      </c>
      <c r="I2518" s="8" t="str">
        <f>_xlfn.XLOOKUP(D2518,Master[Product_Code],Master[Fabric])</f>
        <v>Lycra</v>
      </c>
      <c r="J2518" s="8">
        <f>_xlfn.XLOOKUP(D2518,Master[Product_Code],Master[Size])</f>
        <v>42</v>
      </c>
      <c r="K2518" s="8" t="str">
        <f>_xlfn.XLOOKUP(D2518,Master[Product_Code],Master[Color])</f>
        <v>Royal Blue</v>
      </c>
      <c r="L2518" s="3">
        <f>_xlfn.XLOOKUP(D2518,Master[Product_Code],Master[Selling_Price])</f>
        <v>820</v>
      </c>
    </row>
    <row r="2519" spans="2:12">
      <c r="B2519" s="2" t="s">
        <v>2806</v>
      </c>
      <c r="C2519" s="7">
        <v>46015</v>
      </c>
      <c r="D2519" s="2" t="s">
        <v>214</v>
      </c>
      <c r="E2519" s="4">
        <v>1</v>
      </c>
      <c r="F2519" s="8" t="str">
        <f>_xlfn.XLOOKUP(D2519,Master[Product_Code],Master[Category])</f>
        <v>Shirt</v>
      </c>
      <c r="G2519" s="8" t="str">
        <f>_xlfn.XLOOKUP(D2519,Master[Product_Code],Master[Brand])</f>
        <v>H&amp;M</v>
      </c>
      <c r="H2519" s="8" t="str">
        <f>_xlfn.XLOOKUP(D2519,Master[Product_Code],Master[Style])</f>
        <v>Casual</v>
      </c>
      <c r="I2519" s="8" t="str">
        <f>_xlfn.XLOOKUP(D2519,Master[Product_Code],Master[Fabric])</f>
        <v>Lycra</v>
      </c>
      <c r="J2519" s="8" t="str">
        <f>_xlfn.XLOOKUP(D2519,Master[Product_Code],Master[Size])</f>
        <v>L</v>
      </c>
      <c r="K2519" s="8" t="str">
        <f>_xlfn.XLOOKUP(D2519,Master[Product_Code],Master[Color])</f>
        <v>Peach</v>
      </c>
      <c r="L2519" s="3">
        <f>_xlfn.XLOOKUP(D2519,Master[Product_Code],Master[Selling_Price])</f>
        <v>820</v>
      </c>
    </row>
    <row r="2520" spans="2:12">
      <c r="B2520" s="2" t="s">
        <v>2807</v>
      </c>
      <c r="C2520" s="7">
        <v>46015</v>
      </c>
      <c r="D2520" s="2" t="s">
        <v>432</v>
      </c>
      <c r="E2520" s="4">
        <v>1</v>
      </c>
      <c r="F2520" s="8" t="str">
        <f>_xlfn.XLOOKUP(D2520,Master[Product_Code],Master[Category])</f>
        <v>T-Shirt</v>
      </c>
      <c r="G2520" s="8" t="str">
        <f>_xlfn.XLOOKUP(D2520,Master[Product_Code],Master[Brand])</f>
        <v>Zara</v>
      </c>
      <c r="H2520" s="8" t="str">
        <f>_xlfn.XLOOKUP(D2520,Master[Product_Code],Master[Style])</f>
        <v>Hoodie</v>
      </c>
      <c r="I2520" s="8" t="str">
        <f>_xlfn.XLOOKUP(D2520,Master[Product_Code],Master[Fabric])</f>
        <v>Poly Cotton</v>
      </c>
      <c r="J2520" s="8" t="str">
        <f>_xlfn.XLOOKUP(D2520,Master[Product_Code],Master[Size])</f>
        <v>L</v>
      </c>
      <c r="K2520" s="8" t="str">
        <f>_xlfn.XLOOKUP(D2520,Master[Product_Code],Master[Color])</f>
        <v>Dark Green</v>
      </c>
      <c r="L2520" s="3">
        <f>_xlfn.XLOOKUP(D2520,Master[Product_Code],Master[Selling_Price])</f>
        <v>220</v>
      </c>
    </row>
    <row r="2521" spans="2:12">
      <c r="B2521" s="2" t="s">
        <v>2807</v>
      </c>
      <c r="C2521" s="7">
        <v>46015</v>
      </c>
      <c r="D2521" s="2" t="s">
        <v>1324</v>
      </c>
      <c r="E2521" s="4">
        <v>1</v>
      </c>
      <c r="F2521" s="8" t="str">
        <f>_xlfn.XLOOKUP(D2521,Master[Product_Code],Master[Category])</f>
        <v>Pants</v>
      </c>
      <c r="G2521" s="8" t="str">
        <f>_xlfn.XLOOKUP(D2521,Master[Product_Code],Master[Brand])</f>
        <v>Park Avenue</v>
      </c>
      <c r="H2521" s="8" t="str">
        <f>_xlfn.XLOOKUP(D2521,Master[Product_Code],Master[Style])</f>
        <v>Jogger</v>
      </c>
      <c r="I2521" s="8" t="str">
        <f>_xlfn.XLOOKUP(D2521,Master[Product_Code],Master[Fabric])</f>
        <v>Cotton Blend</v>
      </c>
      <c r="J2521" s="8">
        <f>_xlfn.XLOOKUP(D2521,Master[Product_Code],Master[Size])</f>
        <v>30</v>
      </c>
      <c r="K2521" s="8" t="str">
        <f>_xlfn.XLOOKUP(D2521,Master[Product_Code],Master[Color])</f>
        <v>White</v>
      </c>
      <c r="L2521" s="3">
        <f>_xlfn.XLOOKUP(D2521,Master[Product_Code],Master[Selling_Price])</f>
        <v>750</v>
      </c>
    </row>
    <row r="2522" spans="2:12">
      <c r="B2522" s="2" t="s">
        <v>2807</v>
      </c>
      <c r="C2522" s="7">
        <v>46015</v>
      </c>
      <c r="D2522" s="2" t="s">
        <v>1258</v>
      </c>
      <c r="E2522" s="4">
        <v>1</v>
      </c>
      <c r="F2522" s="8" t="str">
        <f>_xlfn.XLOOKUP(D2522,Master[Product_Code],Master[Category])</f>
        <v>Pants</v>
      </c>
      <c r="G2522" s="8" t="str">
        <f>_xlfn.XLOOKUP(D2522,Master[Product_Code],Master[Brand])</f>
        <v>Peter England</v>
      </c>
      <c r="H2522" s="8" t="str">
        <f>_xlfn.XLOOKUP(D2522,Master[Product_Code],Master[Style])</f>
        <v>Boot Cut</v>
      </c>
      <c r="I2522" s="8" t="str">
        <f>_xlfn.XLOOKUP(D2522,Master[Product_Code],Master[Fabric])</f>
        <v>Poly Viscose</v>
      </c>
      <c r="J2522" s="8">
        <f>_xlfn.XLOOKUP(D2522,Master[Product_Code],Master[Size])</f>
        <v>34</v>
      </c>
      <c r="K2522" s="8" t="str">
        <f>_xlfn.XLOOKUP(D2522,Master[Product_Code],Master[Color])</f>
        <v>Black</v>
      </c>
      <c r="L2522" s="3">
        <f>_xlfn.XLOOKUP(D2522,Master[Product_Code],Master[Selling_Price])</f>
        <v>830</v>
      </c>
    </row>
    <row r="2523" spans="2:12">
      <c r="B2523" s="2" t="s">
        <v>2807</v>
      </c>
      <c r="C2523" s="7">
        <v>46015</v>
      </c>
      <c r="D2523" s="2" t="s">
        <v>1008</v>
      </c>
      <c r="E2523" s="4">
        <v>1</v>
      </c>
      <c r="F2523" s="8" t="str">
        <f>_xlfn.XLOOKUP(D2523,Master[Product_Code],Master[Category])</f>
        <v>Jeans</v>
      </c>
      <c r="G2523" s="8" t="str">
        <f>_xlfn.XLOOKUP(D2523,Master[Product_Code],Master[Brand])</f>
        <v>Spykar</v>
      </c>
      <c r="H2523" s="8" t="str">
        <f>_xlfn.XLOOKUP(D2523,Master[Product_Code],Master[Style])</f>
        <v>Mom Fit</v>
      </c>
      <c r="I2523" s="8" t="str">
        <f>_xlfn.XLOOKUP(D2523,Master[Product_Code],Master[Fabric])</f>
        <v>Denim</v>
      </c>
      <c r="J2523" s="8">
        <f>_xlfn.XLOOKUP(D2523,Master[Product_Code],Master[Size])</f>
        <v>36</v>
      </c>
      <c r="K2523" s="8" t="str">
        <f>_xlfn.XLOOKUP(D2523,Master[Product_Code],Master[Color])</f>
        <v>Teal</v>
      </c>
      <c r="L2523" s="3">
        <f>_xlfn.XLOOKUP(D2523,Master[Product_Code],Master[Selling_Price])</f>
        <v>940</v>
      </c>
    </row>
    <row r="2524" spans="2:12">
      <c r="B2524" s="2" t="s">
        <v>2808</v>
      </c>
      <c r="C2524" s="7">
        <v>46015</v>
      </c>
      <c r="D2524" s="2" t="s">
        <v>1215</v>
      </c>
      <c r="E2524" s="4">
        <v>1</v>
      </c>
      <c r="F2524" s="8" t="str">
        <f>_xlfn.XLOOKUP(D2524,Master[Product_Code],Master[Category])</f>
        <v>Pants</v>
      </c>
      <c r="G2524" s="8" t="str">
        <f>_xlfn.XLOOKUP(D2524,Master[Product_Code],Master[Brand])</f>
        <v>Van Heusen</v>
      </c>
      <c r="H2524" s="8" t="str">
        <f>_xlfn.XLOOKUP(D2524,Master[Product_Code],Master[Style])</f>
        <v>Korean</v>
      </c>
      <c r="I2524" s="8" t="str">
        <f>_xlfn.XLOOKUP(D2524,Master[Product_Code],Master[Fabric])</f>
        <v>Lycra</v>
      </c>
      <c r="J2524" s="8">
        <f>_xlfn.XLOOKUP(D2524,Master[Product_Code],Master[Size])</f>
        <v>28</v>
      </c>
      <c r="K2524" s="8" t="str">
        <f>_xlfn.XLOOKUP(D2524,Master[Product_Code],Master[Color])</f>
        <v>Black</v>
      </c>
      <c r="L2524" s="3">
        <f>_xlfn.XLOOKUP(D2524,Master[Product_Code],Master[Selling_Price])</f>
        <v>920</v>
      </c>
    </row>
    <row r="2525" spans="2:12">
      <c r="B2525" s="2" t="s">
        <v>2808</v>
      </c>
      <c r="C2525" s="7">
        <v>46015</v>
      </c>
      <c r="D2525" s="2" t="s">
        <v>175</v>
      </c>
      <c r="E2525" s="4">
        <v>1</v>
      </c>
      <c r="F2525" s="8" t="str">
        <f>_xlfn.XLOOKUP(D2525,Master[Product_Code],Master[Category])</f>
        <v>Shirt</v>
      </c>
      <c r="G2525" s="8" t="str">
        <f>_xlfn.XLOOKUP(D2525,Master[Product_Code],Master[Brand])</f>
        <v>USD</v>
      </c>
      <c r="H2525" s="8" t="str">
        <f>_xlfn.XLOOKUP(D2525,Master[Product_Code],Master[Style])</f>
        <v>Formal</v>
      </c>
      <c r="I2525" s="8" t="str">
        <f>_xlfn.XLOOKUP(D2525,Master[Product_Code],Master[Fabric])</f>
        <v>Cotton</v>
      </c>
      <c r="J2525" s="8" t="str">
        <f>_xlfn.XLOOKUP(D2525,Master[Product_Code],Master[Size])</f>
        <v>M</v>
      </c>
      <c r="K2525" s="8" t="str">
        <f>_xlfn.XLOOKUP(D2525,Master[Product_Code],Master[Color])</f>
        <v>Brown</v>
      </c>
      <c r="L2525" s="3">
        <f>_xlfn.XLOOKUP(D2525,Master[Product_Code],Master[Selling_Price])</f>
        <v>720</v>
      </c>
    </row>
    <row r="2526" spans="2:12">
      <c r="B2526" s="2" t="s">
        <v>2808</v>
      </c>
      <c r="C2526" s="7">
        <v>46015</v>
      </c>
      <c r="D2526" s="2" t="s">
        <v>905</v>
      </c>
      <c r="E2526" s="4">
        <v>1</v>
      </c>
      <c r="F2526" s="8" t="str">
        <f>_xlfn.XLOOKUP(D2526,Master[Product_Code],Master[Category])</f>
        <v>Jeans</v>
      </c>
      <c r="G2526" s="8" t="str">
        <f>_xlfn.XLOOKUP(D2526,Master[Product_Code],Master[Brand])</f>
        <v>Locomotive</v>
      </c>
      <c r="H2526" s="8" t="str">
        <f>_xlfn.XLOOKUP(D2526,Master[Product_Code],Master[Style])</f>
        <v>Jogger</v>
      </c>
      <c r="I2526" s="8" t="str">
        <f>_xlfn.XLOOKUP(D2526,Master[Product_Code],Master[Fabric])</f>
        <v>Denim</v>
      </c>
      <c r="J2526" s="8">
        <f>_xlfn.XLOOKUP(D2526,Master[Product_Code],Master[Size])</f>
        <v>38</v>
      </c>
      <c r="K2526" s="8" t="str">
        <f>_xlfn.XLOOKUP(D2526,Master[Product_Code],Master[Color])</f>
        <v>Cream</v>
      </c>
      <c r="L2526" s="3">
        <f>_xlfn.XLOOKUP(D2526,Master[Product_Code],Master[Selling_Price])</f>
        <v>1040</v>
      </c>
    </row>
    <row r="2527" spans="2:12">
      <c r="B2527" s="2" t="s">
        <v>2809</v>
      </c>
      <c r="C2527" s="7">
        <v>46015</v>
      </c>
      <c r="D2527" s="2" t="s">
        <v>1563</v>
      </c>
      <c r="E2527" s="4">
        <v>1</v>
      </c>
      <c r="F2527" s="8" t="str">
        <f>_xlfn.XLOOKUP(D2527,Master[Product_Code],Master[Category])</f>
        <v>Innerwear</v>
      </c>
      <c r="G2527" s="8" t="str">
        <f>_xlfn.XLOOKUP(D2527,Master[Product_Code],Master[Brand])</f>
        <v>Rupa</v>
      </c>
      <c r="H2527" s="8" t="str">
        <f>_xlfn.XLOOKUP(D2527,Master[Product_Code],Master[Style])</f>
        <v>V-Cut</v>
      </c>
      <c r="I2527" s="8" t="str">
        <f>_xlfn.XLOOKUP(D2527,Master[Product_Code],Master[Fabric])</f>
        <v>Cotton</v>
      </c>
      <c r="J2527" s="8" t="str">
        <f>_xlfn.XLOOKUP(D2527,Master[Product_Code],Master[Size])</f>
        <v>105-110</v>
      </c>
      <c r="K2527" s="8" t="str">
        <f>_xlfn.XLOOKUP(D2527,Master[Product_Code],Master[Color])</f>
        <v>White</v>
      </c>
      <c r="L2527" s="3">
        <f>_xlfn.XLOOKUP(D2527,Master[Product_Code],Master[Selling_Price])</f>
        <v>160</v>
      </c>
    </row>
    <row r="2528" spans="2:12">
      <c r="B2528" s="2" t="s">
        <v>2809</v>
      </c>
      <c r="C2528" s="7">
        <v>46015</v>
      </c>
      <c r="D2528" s="2" t="s">
        <v>456</v>
      </c>
      <c r="E2528" s="4">
        <v>1</v>
      </c>
      <c r="F2528" s="8" t="str">
        <f>_xlfn.XLOOKUP(D2528,Master[Product_Code],Master[Category])</f>
        <v>T-Shirt</v>
      </c>
      <c r="G2528" s="8" t="str">
        <f>_xlfn.XLOOKUP(D2528,Master[Product_Code],Master[Brand])</f>
        <v>Turkey</v>
      </c>
      <c r="H2528" s="8" t="str">
        <f>_xlfn.XLOOKUP(D2528,Master[Product_Code],Master[Style])</f>
        <v>Sleeveless</v>
      </c>
      <c r="I2528" s="8" t="str">
        <f>_xlfn.XLOOKUP(D2528,Master[Product_Code],Master[Fabric])</f>
        <v>Poly Cotton</v>
      </c>
      <c r="J2528" s="8" t="str">
        <f>_xlfn.XLOOKUP(D2528,Master[Product_Code],Master[Size])</f>
        <v>XXL</v>
      </c>
      <c r="K2528" s="8" t="str">
        <f>_xlfn.XLOOKUP(D2528,Master[Product_Code],Master[Color])</f>
        <v>Grey</v>
      </c>
      <c r="L2528" s="3">
        <f>_xlfn.XLOOKUP(D2528,Master[Product_Code],Master[Selling_Price])</f>
        <v>390</v>
      </c>
    </row>
    <row r="2529" spans="2:12">
      <c r="B2529" s="2" t="s">
        <v>2810</v>
      </c>
      <c r="C2529" s="7">
        <v>46015</v>
      </c>
      <c r="D2529" s="2" t="s">
        <v>1086</v>
      </c>
      <c r="E2529" s="4">
        <v>1</v>
      </c>
      <c r="F2529" s="8" t="str">
        <f>_xlfn.XLOOKUP(D2529,Master[Product_Code],Master[Category])</f>
        <v>Jeans</v>
      </c>
      <c r="G2529" s="8" t="str">
        <f>_xlfn.XLOOKUP(D2529,Master[Product_Code],Master[Brand])</f>
        <v>Levis</v>
      </c>
      <c r="H2529" s="8" t="str">
        <f>_xlfn.XLOOKUP(D2529,Master[Product_Code],Master[Style])</f>
        <v>Mom Fit</v>
      </c>
      <c r="I2529" s="8" t="str">
        <f>_xlfn.XLOOKUP(D2529,Master[Product_Code],Master[Fabric])</f>
        <v>Denim</v>
      </c>
      <c r="J2529" s="8">
        <f>_xlfn.XLOOKUP(D2529,Master[Product_Code],Master[Size])</f>
        <v>44</v>
      </c>
      <c r="K2529" s="8" t="str">
        <f>_xlfn.XLOOKUP(D2529,Master[Product_Code],Master[Color])</f>
        <v>Olive</v>
      </c>
      <c r="L2529" s="3">
        <f>_xlfn.XLOOKUP(D2529,Master[Product_Code],Master[Selling_Price])</f>
        <v>1040</v>
      </c>
    </row>
    <row r="2530" spans="2:12">
      <c r="B2530" s="2" t="s">
        <v>2811</v>
      </c>
      <c r="C2530" s="7">
        <v>46015</v>
      </c>
      <c r="D2530" s="2" t="s">
        <v>1431</v>
      </c>
      <c r="E2530" s="4">
        <v>1</v>
      </c>
      <c r="F2530" s="8" t="str">
        <f>_xlfn.XLOOKUP(D2530,Master[Product_Code],Master[Category])</f>
        <v>Pants</v>
      </c>
      <c r="G2530" s="8" t="str">
        <f>_xlfn.XLOOKUP(D2530,Master[Product_Code],Master[Brand])</f>
        <v>Van Heusen</v>
      </c>
      <c r="H2530" s="8" t="str">
        <f>_xlfn.XLOOKUP(D2530,Master[Product_Code],Master[Style])</f>
        <v>Kurka</v>
      </c>
      <c r="I2530" s="8" t="str">
        <f>_xlfn.XLOOKUP(D2530,Master[Product_Code],Master[Fabric])</f>
        <v>Lycra</v>
      </c>
      <c r="J2530" s="8">
        <f>_xlfn.XLOOKUP(D2530,Master[Product_Code],Master[Size])</f>
        <v>40</v>
      </c>
      <c r="K2530" s="8" t="str">
        <f>_xlfn.XLOOKUP(D2530,Master[Product_Code],Master[Color])</f>
        <v>Navy Blue</v>
      </c>
      <c r="L2530" s="3">
        <f>_xlfn.XLOOKUP(D2530,Master[Product_Code],Master[Selling_Price])</f>
        <v>830</v>
      </c>
    </row>
    <row r="2531" spans="2:12">
      <c r="B2531" s="2" t="s">
        <v>2812</v>
      </c>
      <c r="C2531" s="7">
        <v>46015</v>
      </c>
      <c r="D2531" s="2" t="s">
        <v>554</v>
      </c>
      <c r="E2531" s="4">
        <v>1</v>
      </c>
      <c r="F2531" s="8" t="str">
        <f>_xlfn.XLOOKUP(D2531,Master[Product_Code],Master[Category])</f>
        <v>T-Shirt</v>
      </c>
      <c r="G2531" s="8" t="str">
        <f>_xlfn.XLOOKUP(D2531,Master[Product_Code],Master[Brand])</f>
        <v>Roadster</v>
      </c>
      <c r="H2531" s="8" t="str">
        <f>_xlfn.XLOOKUP(D2531,Master[Product_Code],Master[Style])</f>
        <v>Hoodie</v>
      </c>
      <c r="I2531" s="8" t="str">
        <f>_xlfn.XLOOKUP(D2531,Master[Product_Code],Master[Fabric])</f>
        <v>Cotton</v>
      </c>
      <c r="J2531" s="8" t="str">
        <f>_xlfn.XLOOKUP(D2531,Master[Product_Code],Master[Size])</f>
        <v>XL</v>
      </c>
      <c r="K2531" s="8" t="str">
        <f>_xlfn.XLOOKUP(D2531,Master[Product_Code],Master[Color])</f>
        <v>Maroon</v>
      </c>
      <c r="L2531" s="3">
        <f>_xlfn.XLOOKUP(D2531,Master[Product_Code],Master[Selling_Price])</f>
        <v>260</v>
      </c>
    </row>
    <row r="2532" spans="2:12">
      <c r="B2532" s="2" t="s">
        <v>2812</v>
      </c>
      <c r="C2532" s="7">
        <v>46015</v>
      </c>
      <c r="D2532" s="2" t="s">
        <v>1700</v>
      </c>
      <c r="E2532" s="4">
        <v>1</v>
      </c>
      <c r="F2532" s="8" t="str">
        <f>_xlfn.XLOOKUP(D2532,Master[Product_Code],Master[Category])</f>
        <v>Innerwear</v>
      </c>
      <c r="G2532" s="8" t="str">
        <f>_xlfn.XLOOKUP(D2532,Master[Product_Code],Master[Brand])</f>
        <v>Rupa</v>
      </c>
      <c r="H2532" s="8" t="str">
        <f>_xlfn.XLOOKUP(D2532,Master[Product_Code],Master[Style])</f>
        <v>V-Cut</v>
      </c>
      <c r="I2532" s="8" t="str">
        <f>_xlfn.XLOOKUP(D2532,Master[Product_Code],Master[Fabric])</f>
        <v>Cotton Blend</v>
      </c>
      <c r="J2532" s="8" t="str">
        <f>_xlfn.XLOOKUP(D2532,Master[Product_Code],Master[Size])</f>
        <v>90-100</v>
      </c>
      <c r="K2532" s="8" t="str">
        <f>_xlfn.XLOOKUP(D2532,Master[Product_Code],Master[Color])</f>
        <v>Maroon</v>
      </c>
      <c r="L2532" s="3">
        <f>_xlfn.XLOOKUP(D2532,Master[Product_Code],Master[Selling_Price])</f>
        <v>140</v>
      </c>
    </row>
    <row r="2533" spans="2:12">
      <c r="B2533" s="2" t="s">
        <v>2813</v>
      </c>
      <c r="C2533" s="7">
        <v>46015</v>
      </c>
      <c r="D2533" s="2" t="s">
        <v>820</v>
      </c>
      <c r="E2533" s="4">
        <v>1</v>
      </c>
      <c r="F2533" s="8" t="str">
        <f>_xlfn.XLOOKUP(D2533,Master[Product_Code],Master[Category])</f>
        <v>T-Shirt</v>
      </c>
      <c r="G2533" s="8" t="str">
        <f>_xlfn.XLOOKUP(D2533,Master[Product_Code],Master[Brand])</f>
        <v>Roadster</v>
      </c>
      <c r="H2533" s="8" t="str">
        <f>_xlfn.XLOOKUP(D2533,Master[Product_Code],Master[Style])</f>
        <v>Half Sleeve</v>
      </c>
      <c r="I2533" s="8" t="str">
        <f>_xlfn.XLOOKUP(D2533,Master[Product_Code],Master[Fabric])</f>
        <v>Poly Cotton</v>
      </c>
      <c r="J2533" s="8" t="str">
        <f>_xlfn.XLOOKUP(D2533,Master[Product_Code],Master[Size])</f>
        <v>L</v>
      </c>
      <c r="K2533" s="8" t="str">
        <f>_xlfn.XLOOKUP(D2533,Master[Product_Code],Master[Color])</f>
        <v>Rust</v>
      </c>
      <c r="L2533" s="3">
        <f>_xlfn.XLOOKUP(D2533,Master[Product_Code],Master[Selling_Price])</f>
        <v>550</v>
      </c>
    </row>
    <row r="2534" spans="2:12">
      <c r="B2534" s="2" t="s">
        <v>2813</v>
      </c>
      <c r="C2534" s="7">
        <v>46015</v>
      </c>
      <c r="D2534" s="2" t="s">
        <v>162</v>
      </c>
      <c r="E2534" s="4">
        <v>1</v>
      </c>
      <c r="F2534" s="8" t="str">
        <f>_xlfn.XLOOKUP(D2534,Master[Product_Code],Master[Category])</f>
        <v>Shirt</v>
      </c>
      <c r="G2534" s="8" t="str">
        <f>_xlfn.XLOOKUP(D2534,Master[Product_Code],Master[Brand])</f>
        <v>Max</v>
      </c>
      <c r="H2534" s="8" t="str">
        <f>_xlfn.XLOOKUP(D2534,Master[Product_Code],Master[Style])</f>
        <v>Casual</v>
      </c>
      <c r="I2534" s="8" t="str">
        <f>_xlfn.XLOOKUP(D2534,Master[Product_Code],Master[Fabric])</f>
        <v>Cotton Blend</v>
      </c>
      <c r="J2534" s="8" t="str">
        <f>_xlfn.XLOOKUP(D2534,Master[Product_Code],Master[Size])</f>
        <v>S</v>
      </c>
      <c r="K2534" s="8" t="str">
        <f>_xlfn.XLOOKUP(D2534,Master[Product_Code],Master[Color])</f>
        <v>Grey</v>
      </c>
      <c r="L2534" s="3">
        <f>_xlfn.XLOOKUP(D2534,Master[Product_Code],Master[Selling_Price])</f>
        <v>710</v>
      </c>
    </row>
    <row r="2535" spans="2:12">
      <c r="B2535" s="2" t="s">
        <v>2813</v>
      </c>
      <c r="C2535" s="7">
        <v>46015</v>
      </c>
      <c r="D2535" s="2" t="s">
        <v>1362</v>
      </c>
      <c r="E2535" s="4">
        <v>1</v>
      </c>
      <c r="F2535" s="8" t="str">
        <f>_xlfn.XLOOKUP(D2535,Master[Product_Code],Master[Category])</f>
        <v>Pants</v>
      </c>
      <c r="G2535" s="8" t="str">
        <f>_xlfn.XLOOKUP(D2535,Master[Product_Code],Master[Brand])</f>
        <v>Park Avenue</v>
      </c>
      <c r="H2535" s="8" t="str">
        <f>_xlfn.XLOOKUP(D2535,Master[Product_Code],Master[Style])</f>
        <v>Polofit</v>
      </c>
      <c r="I2535" s="8" t="str">
        <f>_xlfn.XLOOKUP(D2535,Master[Product_Code],Master[Fabric])</f>
        <v>Lycra</v>
      </c>
      <c r="J2535" s="8">
        <f>_xlfn.XLOOKUP(D2535,Master[Product_Code],Master[Size])</f>
        <v>42</v>
      </c>
      <c r="K2535" s="8" t="str">
        <f>_xlfn.XLOOKUP(D2535,Master[Product_Code],Master[Color])</f>
        <v>Beige</v>
      </c>
      <c r="L2535" s="3">
        <f>_xlfn.XLOOKUP(D2535,Master[Product_Code],Master[Selling_Price])</f>
        <v>820</v>
      </c>
    </row>
    <row r="2536" spans="2:12">
      <c r="B2536" s="2" t="s">
        <v>2813</v>
      </c>
      <c r="C2536" s="7">
        <v>46015</v>
      </c>
      <c r="D2536" s="2" t="s">
        <v>332</v>
      </c>
      <c r="E2536" s="4">
        <v>1</v>
      </c>
      <c r="F2536" s="8" t="str">
        <f>_xlfn.XLOOKUP(D2536,Master[Product_Code],Master[Category])</f>
        <v>Shirt</v>
      </c>
      <c r="G2536" s="8" t="str">
        <f>_xlfn.XLOOKUP(D2536,Master[Product_Code],Master[Brand])</f>
        <v>H&amp;M</v>
      </c>
      <c r="H2536" s="8" t="str">
        <f>_xlfn.XLOOKUP(D2536,Master[Product_Code],Master[Style])</f>
        <v>Casual</v>
      </c>
      <c r="I2536" s="8" t="str">
        <f>_xlfn.XLOOKUP(D2536,Master[Product_Code],Master[Fabric])</f>
        <v>Cotton Blend</v>
      </c>
      <c r="J2536" s="8" t="str">
        <f>_xlfn.XLOOKUP(D2536,Master[Product_Code],Master[Size])</f>
        <v>XL</v>
      </c>
      <c r="K2536" s="8" t="str">
        <f>_xlfn.XLOOKUP(D2536,Master[Product_Code],Master[Color])</f>
        <v>Charcoal</v>
      </c>
      <c r="L2536" s="3">
        <f>_xlfn.XLOOKUP(D2536,Master[Product_Code],Master[Selling_Price])</f>
        <v>810</v>
      </c>
    </row>
    <row r="2537" spans="2:12">
      <c r="B2537" s="2" t="s">
        <v>2814</v>
      </c>
      <c r="C2537" s="7">
        <v>46015</v>
      </c>
      <c r="D2537" s="2" t="s">
        <v>1547</v>
      </c>
      <c r="E2537" s="4">
        <v>1</v>
      </c>
      <c r="F2537" s="8" t="str">
        <f>_xlfn.XLOOKUP(D2537,Master[Product_Code],Master[Category])</f>
        <v>Innerwear</v>
      </c>
      <c r="G2537" s="8" t="str">
        <f>_xlfn.XLOOKUP(D2537,Master[Product_Code],Master[Brand])</f>
        <v>V Star</v>
      </c>
      <c r="H2537" s="8" t="str">
        <f>_xlfn.XLOOKUP(D2537,Master[Product_Code],Master[Style])</f>
        <v>Boxer</v>
      </c>
      <c r="I2537" s="8" t="str">
        <f>_xlfn.XLOOKUP(D2537,Master[Product_Code],Master[Fabric])</f>
        <v>Cotton Blend</v>
      </c>
      <c r="J2537" s="8" t="str">
        <f>_xlfn.XLOOKUP(D2537,Master[Product_Code],Master[Size])</f>
        <v>105-110</v>
      </c>
      <c r="K2537" s="8" t="str">
        <f>_xlfn.XLOOKUP(D2537,Master[Product_Code],Master[Color])</f>
        <v>Royal Blue</v>
      </c>
      <c r="L2537" s="3">
        <f>_xlfn.XLOOKUP(D2537,Master[Product_Code],Master[Selling_Price])</f>
        <v>140</v>
      </c>
    </row>
    <row r="2538" spans="2:12">
      <c r="B2538" s="2" t="s">
        <v>2814</v>
      </c>
      <c r="C2538" s="7">
        <v>46015</v>
      </c>
      <c r="D2538" s="2" t="s">
        <v>927</v>
      </c>
      <c r="E2538" s="4">
        <v>1</v>
      </c>
      <c r="F2538" s="8" t="str">
        <f>_xlfn.XLOOKUP(D2538,Master[Product_Code],Master[Category])</f>
        <v>Jeans</v>
      </c>
      <c r="G2538" s="8" t="str">
        <f>_xlfn.XLOOKUP(D2538,Master[Product_Code],Master[Brand])</f>
        <v>Levis</v>
      </c>
      <c r="H2538" s="8" t="str">
        <f>_xlfn.XLOOKUP(D2538,Master[Product_Code],Master[Style])</f>
        <v>Baggy</v>
      </c>
      <c r="I2538" s="8" t="str">
        <f>_xlfn.XLOOKUP(D2538,Master[Product_Code],Master[Fabric])</f>
        <v>Denim</v>
      </c>
      <c r="J2538" s="8">
        <f>_xlfn.XLOOKUP(D2538,Master[Product_Code],Master[Size])</f>
        <v>38</v>
      </c>
      <c r="K2538" s="8" t="str">
        <f>_xlfn.XLOOKUP(D2538,Master[Product_Code],Master[Color])</f>
        <v>Grey</v>
      </c>
      <c r="L2538" s="3">
        <f>_xlfn.XLOOKUP(D2538,Master[Product_Code],Master[Selling_Price])</f>
        <v>880</v>
      </c>
    </row>
    <row r="2539" spans="2:12">
      <c r="B2539" s="2" t="s">
        <v>2814</v>
      </c>
      <c r="C2539" s="7">
        <v>46015</v>
      </c>
      <c r="D2539" s="2" t="s">
        <v>144</v>
      </c>
      <c r="E2539" s="4">
        <v>1</v>
      </c>
      <c r="F2539" s="8" t="str">
        <f>_xlfn.XLOOKUP(D2539,Master[Product_Code],Master[Category])</f>
        <v>Shirt</v>
      </c>
      <c r="G2539" s="8" t="str">
        <f>_xlfn.XLOOKUP(D2539,Master[Product_Code],Master[Brand])</f>
        <v>Zara</v>
      </c>
      <c r="H2539" s="8" t="str">
        <f>_xlfn.XLOOKUP(D2539,Master[Product_Code],Master[Style])</f>
        <v>Partywear</v>
      </c>
      <c r="I2539" s="8" t="str">
        <f>_xlfn.XLOOKUP(D2539,Master[Product_Code],Master[Fabric])</f>
        <v>Lycra</v>
      </c>
      <c r="J2539" s="8" t="str">
        <f>_xlfn.XLOOKUP(D2539,Master[Product_Code],Master[Size])</f>
        <v>M</v>
      </c>
      <c r="K2539" s="8" t="str">
        <f>_xlfn.XLOOKUP(D2539,Master[Product_Code],Master[Color])</f>
        <v>Maroon</v>
      </c>
      <c r="L2539" s="3">
        <f>_xlfn.XLOOKUP(D2539,Master[Product_Code],Master[Selling_Price])</f>
        <v>700</v>
      </c>
    </row>
    <row r="2540" spans="2:12">
      <c r="B2540" s="2" t="s">
        <v>2814</v>
      </c>
      <c r="C2540" s="7">
        <v>46015</v>
      </c>
      <c r="D2540" s="2" t="s">
        <v>1684</v>
      </c>
      <c r="E2540" s="4">
        <v>1</v>
      </c>
      <c r="F2540" s="8" t="str">
        <f>_xlfn.XLOOKUP(D2540,Master[Product_Code],Master[Category])</f>
        <v>Innerwear</v>
      </c>
      <c r="G2540" s="8" t="str">
        <f>_xlfn.XLOOKUP(D2540,Master[Product_Code],Master[Brand])</f>
        <v>Dollar</v>
      </c>
      <c r="H2540" s="8" t="str">
        <f>_xlfn.XLOOKUP(D2540,Master[Product_Code],Master[Style])</f>
        <v>Boxer</v>
      </c>
      <c r="I2540" s="8" t="str">
        <f>_xlfn.XLOOKUP(D2540,Master[Product_Code],Master[Fabric])</f>
        <v>Cotton Blend</v>
      </c>
      <c r="J2540" s="8" t="str">
        <f>_xlfn.XLOOKUP(D2540,Master[Product_Code],Master[Size])</f>
        <v>105-110</v>
      </c>
      <c r="K2540" s="8" t="str">
        <f>_xlfn.XLOOKUP(D2540,Master[Product_Code],Master[Color])</f>
        <v>Mustard</v>
      </c>
      <c r="L2540" s="3">
        <f>_xlfn.XLOOKUP(D2540,Master[Product_Code],Master[Selling_Price])</f>
        <v>190</v>
      </c>
    </row>
    <row r="2541" spans="2:12">
      <c r="B2541" s="2" t="s">
        <v>2815</v>
      </c>
      <c r="C2541" s="7">
        <v>46015</v>
      </c>
      <c r="D2541" s="2" t="s">
        <v>1034</v>
      </c>
      <c r="E2541" s="4">
        <v>1</v>
      </c>
      <c r="F2541" s="8" t="str">
        <f>_xlfn.XLOOKUP(D2541,Master[Product_Code],Master[Category])</f>
        <v>Jeans</v>
      </c>
      <c r="G2541" s="8" t="str">
        <f>_xlfn.XLOOKUP(D2541,Master[Product_Code],Master[Brand])</f>
        <v>Pepe</v>
      </c>
      <c r="H2541" s="8" t="str">
        <f>_xlfn.XLOOKUP(D2541,Master[Product_Code],Master[Style])</f>
        <v>Jogger</v>
      </c>
      <c r="I2541" s="8" t="str">
        <f>_xlfn.XLOOKUP(D2541,Master[Product_Code],Master[Fabric])</f>
        <v>Denim</v>
      </c>
      <c r="J2541" s="8">
        <f>_xlfn.XLOOKUP(D2541,Master[Product_Code],Master[Size])</f>
        <v>38</v>
      </c>
      <c r="K2541" s="8" t="str">
        <f>_xlfn.XLOOKUP(D2541,Master[Product_Code],Master[Color])</f>
        <v>Sky Blue</v>
      </c>
      <c r="L2541" s="3">
        <f>_xlfn.XLOOKUP(D2541,Master[Product_Code],Master[Selling_Price])</f>
        <v>780</v>
      </c>
    </row>
    <row r="2542" spans="2:12">
      <c r="B2542" s="2" t="s">
        <v>2816</v>
      </c>
      <c r="C2542" s="7">
        <v>46015</v>
      </c>
      <c r="D2542" s="2" t="s">
        <v>861</v>
      </c>
      <c r="E2542" s="4">
        <v>1</v>
      </c>
      <c r="F2542" s="8" t="str">
        <f>_xlfn.XLOOKUP(D2542,Master[Product_Code],Master[Category])</f>
        <v>Jeans</v>
      </c>
      <c r="G2542" s="8" t="str">
        <f>_xlfn.XLOOKUP(D2542,Master[Product_Code],Master[Brand])</f>
        <v>Levis</v>
      </c>
      <c r="H2542" s="8" t="str">
        <f>_xlfn.XLOOKUP(D2542,Master[Product_Code],Master[Style])</f>
        <v>Jogger</v>
      </c>
      <c r="I2542" s="8" t="str">
        <f>_xlfn.XLOOKUP(D2542,Master[Product_Code],Master[Fabric])</f>
        <v>Denim</v>
      </c>
      <c r="J2542" s="8">
        <f>_xlfn.XLOOKUP(D2542,Master[Product_Code],Master[Size])</f>
        <v>40</v>
      </c>
      <c r="K2542" s="8" t="str">
        <f>_xlfn.XLOOKUP(D2542,Master[Product_Code],Master[Color])</f>
        <v>Charcoal</v>
      </c>
      <c r="L2542" s="3">
        <f>_xlfn.XLOOKUP(D2542,Master[Product_Code],Master[Selling_Price])</f>
        <v>840</v>
      </c>
    </row>
    <row r="2543" spans="2:12">
      <c r="B2543" s="2" t="s">
        <v>2816</v>
      </c>
      <c r="C2543" s="7">
        <v>46015</v>
      </c>
      <c r="D2543" s="2" t="s">
        <v>882</v>
      </c>
      <c r="E2543" s="4">
        <v>1</v>
      </c>
      <c r="F2543" s="8" t="str">
        <f>_xlfn.XLOOKUP(D2543,Master[Product_Code],Master[Category])</f>
        <v>Jeans</v>
      </c>
      <c r="G2543" s="8" t="str">
        <f>_xlfn.XLOOKUP(D2543,Master[Product_Code],Master[Brand])</f>
        <v>Denim Pro</v>
      </c>
      <c r="H2543" s="8" t="str">
        <f>_xlfn.XLOOKUP(D2543,Master[Product_Code],Master[Style])</f>
        <v>Mom Fit</v>
      </c>
      <c r="I2543" s="8" t="str">
        <f>_xlfn.XLOOKUP(D2543,Master[Product_Code],Master[Fabric])</f>
        <v>Denim</v>
      </c>
      <c r="J2543" s="8">
        <f>_xlfn.XLOOKUP(D2543,Master[Product_Code],Master[Size])</f>
        <v>32</v>
      </c>
      <c r="K2543" s="8" t="str">
        <f>_xlfn.XLOOKUP(D2543,Master[Product_Code],Master[Color])</f>
        <v>Peach</v>
      </c>
      <c r="L2543" s="3">
        <f>_xlfn.XLOOKUP(D2543,Master[Product_Code],Master[Selling_Price])</f>
        <v>900</v>
      </c>
    </row>
    <row r="2544" spans="2:12">
      <c r="B2544" s="2" t="s">
        <v>2816</v>
      </c>
      <c r="C2544" s="7">
        <v>46015</v>
      </c>
      <c r="D2544" s="2" t="s">
        <v>367</v>
      </c>
      <c r="E2544" s="4">
        <v>1</v>
      </c>
      <c r="F2544" s="8" t="str">
        <f>_xlfn.XLOOKUP(D2544,Master[Product_Code],Master[Category])</f>
        <v>Shirt</v>
      </c>
      <c r="G2544" s="8" t="str">
        <f>_xlfn.XLOOKUP(D2544,Master[Product_Code],Master[Brand])</f>
        <v>Thailand</v>
      </c>
      <c r="H2544" s="8" t="str">
        <f>_xlfn.XLOOKUP(D2544,Master[Product_Code],Master[Style])</f>
        <v>Partywear</v>
      </c>
      <c r="I2544" s="8" t="str">
        <f>_xlfn.XLOOKUP(D2544,Master[Product_Code],Master[Fabric])</f>
        <v>Cotton</v>
      </c>
      <c r="J2544" s="8" t="str">
        <f>_xlfn.XLOOKUP(D2544,Master[Product_Code],Master[Size])</f>
        <v>S</v>
      </c>
      <c r="K2544" s="8" t="str">
        <f>_xlfn.XLOOKUP(D2544,Master[Product_Code],Master[Color])</f>
        <v>Light Grey</v>
      </c>
      <c r="L2544" s="3">
        <f>_xlfn.XLOOKUP(D2544,Master[Product_Code],Master[Selling_Price])</f>
        <v>740</v>
      </c>
    </row>
    <row r="2545" spans="2:12">
      <c r="B2545" s="2" t="s">
        <v>2817</v>
      </c>
      <c r="C2545" s="7">
        <v>46016</v>
      </c>
      <c r="D2545" s="2" t="s">
        <v>576</v>
      </c>
      <c r="E2545" s="4">
        <v>1</v>
      </c>
      <c r="F2545" s="8" t="str">
        <f>_xlfn.XLOOKUP(D2545,Master[Product_Code],Master[Category])</f>
        <v>T-Shirt</v>
      </c>
      <c r="G2545" s="8" t="str">
        <f>_xlfn.XLOOKUP(D2545,Master[Product_Code],Master[Brand])</f>
        <v>Turkey</v>
      </c>
      <c r="H2545" s="8" t="str">
        <f>_xlfn.XLOOKUP(D2545,Master[Product_Code],Master[Style])</f>
        <v>3/4 Sleeve</v>
      </c>
      <c r="I2545" s="8" t="str">
        <f>_xlfn.XLOOKUP(D2545,Master[Product_Code],Master[Fabric])</f>
        <v>Poly Cotton</v>
      </c>
      <c r="J2545" s="8" t="str">
        <f>_xlfn.XLOOKUP(D2545,Master[Product_Code],Master[Size])</f>
        <v>S</v>
      </c>
      <c r="K2545" s="8" t="str">
        <f>_xlfn.XLOOKUP(D2545,Master[Product_Code],Master[Color])</f>
        <v>Charcoal</v>
      </c>
      <c r="L2545" s="3">
        <f>_xlfn.XLOOKUP(D2545,Master[Product_Code],Master[Selling_Price])</f>
        <v>680</v>
      </c>
    </row>
    <row r="2546" spans="2:12">
      <c r="B2546" s="2" t="s">
        <v>2817</v>
      </c>
      <c r="C2546" s="7">
        <v>46016</v>
      </c>
      <c r="D2546" s="2" t="s">
        <v>585</v>
      </c>
      <c r="E2546" s="4">
        <v>1</v>
      </c>
      <c r="F2546" s="8" t="str">
        <f>_xlfn.XLOOKUP(D2546,Master[Product_Code],Master[Category])</f>
        <v>T-Shirt</v>
      </c>
      <c r="G2546" s="8" t="str">
        <f>_xlfn.XLOOKUP(D2546,Master[Product_Code],Master[Brand])</f>
        <v>Turkey</v>
      </c>
      <c r="H2546" s="8" t="str">
        <f>_xlfn.XLOOKUP(D2546,Master[Product_Code],Master[Style])</f>
        <v>Full Sleeve</v>
      </c>
      <c r="I2546" s="8" t="str">
        <f>_xlfn.XLOOKUP(D2546,Master[Product_Code],Master[Fabric])</f>
        <v>Poly Cotton</v>
      </c>
      <c r="J2546" s="8" t="str">
        <f>_xlfn.XLOOKUP(D2546,Master[Product_Code],Master[Size])</f>
        <v>XL</v>
      </c>
      <c r="K2546" s="8" t="str">
        <f>_xlfn.XLOOKUP(D2546,Master[Product_Code],Master[Color])</f>
        <v>Peach</v>
      </c>
      <c r="L2546" s="3">
        <f>_xlfn.XLOOKUP(D2546,Master[Product_Code],Master[Selling_Price])</f>
        <v>440</v>
      </c>
    </row>
    <row r="2547" spans="2:12">
      <c r="B2547" s="2" t="s">
        <v>2817</v>
      </c>
      <c r="C2547" s="7">
        <v>46016</v>
      </c>
      <c r="D2547" s="2" t="s">
        <v>1528</v>
      </c>
      <c r="E2547" s="4">
        <v>1</v>
      </c>
      <c r="F2547" s="8" t="str">
        <f>_xlfn.XLOOKUP(D2547,Master[Product_Code],Master[Category])</f>
        <v>Innerwear</v>
      </c>
      <c r="G2547" s="8" t="str">
        <f>_xlfn.XLOOKUP(D2547,Master[Product_Code],Master[Brand])</f>
        <v>Lux</v>
      </c>
      <c r="H2547" s="8" t="str">
        <f>_xlfn.XLOOKUP(D2547,Master[Product_Code],Master[Style])</f>
        <v>V-Cut</v>
      </c>
      <c r="I2547" s="8" t="str">
        <f>_xlfn.XLOOKUP(D2547,Master[Product_Code],Master[Fabric])</f>
        <v>Cotton Blend</v>
      </c>
      <c r="J2547" s="8" t="str">
        <f>_xlfn.XLOOKUP(D2547,Master[Product_Code],Master[Size])</f>
        <v>90-100</v>
      </c>
      <c r="K2547" s="8" t="str">
        <f>_xlfn.XLOOKUP(D2547,Master[Product_Code],Master[Color])</f>
        <v>Light Grey</v>
      </c>
      <c r="L2547" s="3">
        <f>_xlfn.XLOOKUP(D2547,Master[Product_Code],Master[Selling_Price])</f>
        <v>100</v>
      </c>
    </row>
    <row r="2548" spans="2:12">
      <c r="B2548" s="2" t="s">
        <v>2818</v>
      </c>
      <c r="C2548" s="7">
        <v>46016</v>
      </c>
      <c r="D2548" s="2" t="s">
        <v>1454</v>
      </c>
      <c r="E2548" s="4">
        <v>1</v>
      </c>
      <c r="F2548" s="8" t="str">
        <f>_xlfn.XLOOKUP(D2548,Master[Product_Code],Master[Category])</f>
        <v>Pants</v>
      </c>
      <c r="G2548" s="8" t="str">
        <f>_xlfn.XLOOKUP(D2548,Master[Product_Code],Master[Brand])</f>
        <v>Raymond</v>
      </c>
      <c r="H2548" s="8" t="str">
        <f>_xlfn.XLOOKUP(D2548,Master[Product_Code],Master[Style])</f>
        <v>Boot Cut</v>
      </c>
      <c r="I2548" s="8" t="str">
        <f>_xlfn.XLOOKUP(D2548,Master[Product_Code],Master[Fabric])</f>
        <v>Cotton Blend</v>
      </c>
      <c r="J2548" s="8">
        <f>_xlfn.XLOOKUP(D2548,Master[Product_Code],Master[Size])</f>
        <v>38</v>
      </c>
      <c r="K2548" s="8" t="str">
        <f>_xlfn.XLOOKUP(D2548,Master[Product_Code],Master[Color])</f>
        <v>Mustard</v>
      </c>
      <c r="L2548" s="3">
        <f>_xlfn.XLOOKUP(D2548,Master[Product_Code],Master[Selling_Price])</f>
        <v>810</v>
      </c>
    </row>
    <row r="2549" spans="2:12">
      <c r="B2549" s="2" t="s">
        <v>2818</v>
      </c>
      <c r="C2549" s="7">
        <v>46016</v>
      </c>
      <c r="D2549" s="2" t="s">
        <v>1019</v>
      </c>
      <c r="E2549" s="4">
        <v>1</v>
      </c>
      <c r="F2549" s="8" t="str">
        <f>_xlfn.XLOOKUP(D2549,Master[Product_Code],Master[Category])</f>
        <v>Jeans</v>
      </c>
      <c r="G2549" s="8" t="str">
        <f>_xlfn.XLOOKUP(D2549,Master[Product_Code],Master[Brand])</f>
        <v>Locomotive</v>
      </c>
      <c r="H2549" s="8" t="str">
        <f>_xlfn.XLOOKUP(D2549,Master[Product_Code],Master[Style])</f>
        <v>Baggy</v>
      </c>
      <c r="I2549" s="8" t="str">
        <f>_xlfn.XLOOKUP(D2549,Master[Product_Code],Master[Fabric])</f>
        <v>Denim</v>
      </c>
      <c r="J2549" s="8">
        <f>_xlfn.XLOOKUP(D2549,Master[Product_Code],Master[Size])</f>
        <v>42</v>
      </c>
      <c r="K2549" s="8" t="str">
        <f>_xlfn.XLOOKUP(D2549,Master[Product_Code],Master[Color])</f>
        <v>White</v>
      </c>
      <c r="L2549" s="3">
        <f>_xlfn.XLOOKUP(D2549,Master[Product_Code],Master[Selling_Price])</f>
        <v>1010</v>
      </c>
    </row>
    <row r="2550" spans="2:12">
      <c r="B2550" s="2" t="s">
        <v>2818</v>
      </c>
      <c r="C2550" s="7">
        <v>46016</v>
      </c>
      <c r="D2550" s="2" t="s">
        <v>1073</v>
      </c>
      <c r="E2550" s="4">
        <v>1</v>
      </c>
      <c r="F2550" s="8" t="str">
        <f>_xlfn.XLOOKUP(D2550,Master[Product_Code],Master[Category])</f>
        <v>Jeans</v>
      </c>
      <c r="G2550" s="8" t="str">
        <f>_xlfn.XLOOKUP(D2550,Master[Product_Code],Master[Brand])</f>
        <v>Denim Pro</v>
      </c>
      <c r="H2550" s="8" t="str">
        <f>_xlfn.XLOOKUP(D2550,Master[Product_Code],Master[Style])</f>
        <v>Mom Fit</v>
      </c>
      <c r="I2550" s="8" t="str">
        <f>_xlfn.XLOOKUP(D2550,Master[Product_Code],Master[Fabric])</f>
        <v>Denim</v>
      </c>
      <c r="J2550" s="8">
        <f>_xlfn.XLOOKUP(D2550,Master[Product_Code],Master[Size])</f>
        <v>40</v>
      </c>
      <c r="K2550" s="8" t="str">
        <f>_xlfn.XLOOKUP(D2550,Master[Product_Code],Master[Color])</f>
        <v>Sky Blue</v>
      </c>
      <c r="L2550" s="3">
        <f>_xlfn.XLOOKUP(D2550,Master[Product_Code],Master[Selling_Price])</f>
        <v>910</v>
      </c>
    </row>
    <row r="2551" spans="2:12">
      <c r="B2551" s="2" t="s">
        <v>2819</v>
      </c>
      <c r="C2551" s="7">
        <v>46016</v>
      </c>
      <c r="D2551" s="2" t="s">
        <v>1104</v>
      </c>
      <c r="E2551" s="4">
        <v>1</v>
      </c>
      <c r="F2551" s="8" t="str">
        <f>_xlfn.XLOOKUP(D2551,Master[Product_Code],Master[Category])</f>
        <v>Jeans</v>
      </c>
      <c r="G2551" s="8" t="str">
        <f>_xlfn.XLOOKUP(D2551,Master[Product_Code],Master[Brand])</f>
        <v>Denim Pro</v>
      </c>
      <c r="H2551" s="8" t="str">
        <f>_xlfn.XLOOKUP(D2551,Master[Product_Code],Master[Style])</f>
        <v>Mom Fit</v>
      </c>
      <c r="I2551" s="8" t="str">
        <f>_xlfn.XLOOKUP(D2551,Master[Product_Code],Master[Fabric])</f>
        <v>Denim</v>
      </c>
      <c r="J2551" s="8">
        <f>_xlfn.XLOOKUP(D2551,Master[Product_Code],Master[Size])</f>
        <v>36</v>
      </c>
      <c r="K2551" s="8" t="str">
        <f>_xlfn.XLOOKUP(D2551,Master[Product_Code],Master[Color])</f>
        <v>Grey</v>
      </c>
      <c r="L2551" s="3">
        <f>_xlfn.XLOOKUP(D2551,Master[Product_Code],Master[Selling_Price])</f>
        <v>930</v>
      </c>
    </row>
    <row r="2552" spans="2:12">
      <c r="B2552" s="2" t="s">
        <v>2819</v>
      </c>
      <c r="C2552" s="7">
        <v>46016</v>
      </c>
      <c r="D2552" s="2" t="s">
        <v>270</v>
      </c>
      <c r="E2552" s="4">
        <v>1</v>
      </c>
      <c r="F2552" s="8" t="str">
        <f>_xlfn.XLOOKUP(D2552,Master[Product_Code],Master[Category])</f>
        <v>Shirt</v>
      </c>
      <c r="G2552" s="8" t="str">
        <f>_xlfn.XLOOKUP(D2552,Master[Product_Code],Master[Brand])</f>
        <v>H&amp;M</v>
      </c>
      <c r="H2552" s="8" t="str">
        <f>_xlfn.XLOOKUP(D2552,Master[Product_Code],Master[Style])</f>
        <v>Partywear</v>
      </c>
      <c r="I2552" s="8" t="str">
        <f>_xlfn.XLOOKUP(D2552,Master[Product_Code],Master[Fabric])</f>
        <v>Cotton</v>
      </c>
      <c r="J2552" s="8" t="str">
        <f>_xlfn.XLOOKUP(D2552,Master[Product_Code],Master[Size])</f>
        <v>XL</v>
      </c>
      <c r="K2552" s="8" t="str">
        <f>_xlfn.XLOOKUP(D2552,Master[Product_Code],Master[Color])</f>
        <v>Light Grey</v>
      </c>
      <c r="L2552" s="3">
        <f>_xlfn.XLOOKUP(D2552,Master[Product_Code],Master[Selling_Price])</f>
        <v>800</v>
      </c>
    </row>
    <row r="2553" spans="2:12">
      <c r="B2553" s="2" t="s">
        <v>2820</v>
      </c>
      <c r="C2553" s="7">
        <v>46016</v>
      </c>
      <c r="D2553" s="2" t="s">
        <v>592</v>
      </c>
      <c r="E2553" s="4">
        <v>1</v>
      </c>
      <c r="F2553" s="8" t="str">
        <f>_xlfn.XLOOKUP(D2553,Master[Product_Code],Master[Category])</f>
        <v>T-Shirt</v>
      </c>
      <c r="G2553" s="8" t="str">
        <f>_xlfn.XLOOKUP(D2553,Master[Product_Code],Master[Brand])</f>
        <v>Turkey</v>
      </c>
      <c r="H2553" s="8" t="str">
        <f>_xlfn.XLOOKUP(D2553,Master[Product_Code],Master[Style])</f>
        <v>Full Sleeve</v>
      </c>
      <c r="I2553" s="8" t="str">
        <f>_xlfn.XLOOKUP(D2553,Master[Product_Code],Master[Fabric])</f>
        <v>Poly Cotton</v>
      </c>
      <c r="J2553" s="8" t="str">
        <f>_xlfn.XLOOKUP(D2553,Master[Product_Code],Master[Size])</f>
        <v>S</v>
      </c>
      <c r="K2553" s="8" t="str">
        <f>_xlfn.XLOOKUP(D2553,Master[Product_Code],Master[Color])</f>
        <v>Teal</v>
      </c>
      <c r="L2553" s="3">
        <f>_xlfn.XLOOKUP(D2553,Master[Product_Code],Master[Selling_Price])</f>
        <v>400</v>
      </c>
    </row>
    <row r="2554" spans="2:12">
      <c r="B2554" s="2" t="s">
        <v>2820</v>
      </c>
      <c r="C2554" s="7">
        <v>46016</v>
      </c>
      <c r="D2554" s="2" t="s">
        <v>1480</v>
      </c>
      <c r="E2554" s="4">
        <v>1</v>
      </c>
      <c r="F2554" s="8" t="str">
        <f>_xlfn.XLOOKUP(D2554,Master[Product_Code],Master[Category])</f>
        <v>Innerwear</v>
      </c>
      <c r="G2554" s="8" t="str">
        <f>_xlfn.XLOOKUP(D2554,Master[Product_Code],Master[Brand])</f>
        <v>Jockey</v>
      </c>
      <c r="H2554" s="8" t="str">
        <f>_xlfn.XLOOKUP(D2554,Master[Product_Code],Master[Style])</f>
        <v>V-Cut</v>
      </c>
      <c r="I2554" s="8" t="str">
        <f>_xlfn.XLOOKUP(D2554,Master[Product_Code],Master[Fabric])</f>
        <v>Cotton</v>
      </c>
      <c r="J2554" s="8" t="str">
        <f>_xlfn.XLOOKUP(D2554,Master[Product_Code],Master[Size])</f>
        <v>85-90</v>
      </c>
      <c r="K2554" s="8" t="str">
        <f>_xlfn.XLOOKUP(D2554,Master[Product_Code],Master[Color])</f>
        <v>Cream</v>
      </c>
      <c r="L2554" s="3">
        <f>_xlfn.XLOOKUP(D2554,Master[Product_Code],Master[Selling_Price])</f>
        <v>180</v>
      </c>
    </row>
    <row r="2555" spans="2:12">
      <c r="B2555" s="2" t="s">
        <v>2821</v>
      </c>
      <c r="C2555" s="7">
        <v>46016</v>
      </c>
      <c r="D2555" s="2" t="s">
        <v>1217</v>
      </c>
      <c r="E2555" s="4">
        <v>1</v>
      </c>
      <c r="F2555" s="8" t="str">
        <f>_xlfn.XLOOKUP(D2555,Master[Product_Code],Master[Category])</f>
        <v>Pants</v>
      </c>
      <c r="G2555" s="8" t="str">
        <f>_xlfn.XLOOKUP(D2555,Master[Product_Code],Master[Brand])</f>
        <v>Louis Philippe</v>
      </c>
      <c r="H2555" s="8" t="str">
        <f>_xlfn.XLOOKUP(D2555,Master[Product_Code],Master[Style])</f>
        <v>Korean</v>
      </c>
      <c r="I2555" s="8" t="str">
        <f>_xlfn.XLOOKUP(D2555,Master[Product_Code],Master[Fabric])</f>
        <v>Lycra</v>
      </c>
      <c r="J2555" s="8">
        <f>_xlfn.XLOOKUP(D2555,Master[Product_Code],Master[Size])</f>
        <v>40</v>
      </c>
      <c r="K2555" s="8" t="str">
        <f>_xlfn.XLOOKUP(D2555,Master[Product_Code],Master[Color])</f>
        <v>Teal</v>
      </c>
      <c r="L2555" s="3">
        <f>_xlfn.XLOOKUP(D2555,Master[Product_Code],Master[Selling_Price])</f>
        <v>730</v>
      </c>
    </row>
    <row r="2556" spans="2:12">
      <c r="B2556" s="2" t="s">
        <v>2822</v>
      </c>
      <c r="C2556" s="7">
        <v>46016</v>
      </c>
      <c r="D2556" s="2" t="s">
        <v>1321</v>
      </c>
      <c r="E2556" s="4">
        <v>1</v>
      </c>
      <c r="F2556" s="8" t="str">
        <f>_xlfn.XLOOKUP(D2556,Master[Product_Code],Master[Category])</f>
        <v>Pants</v>
      </c>
      <c r="G2556" s="8" t="str">
        <f>_xlfn.XLOOKUP(D2556,Master[Product_Code],Master[Brand])</f>
        <v>Van Heusen</v>
      </c>
      <c r="H2556" s="8" t="str">
        <f>_xlfn.XLOOKUP(D2556,Master[Product_Code],Master[Style])</f>
        <v>Korean</v>
      </c>
      <c r="I2556" s="8" t="str">
        <f>_xlfn.XLOOKUP(D2556,Master[Product_Code],Master[Fabric])</f>
        <v>Lycra</v>
      </c>
      <c r="J2556" s="8">
        <f>_xlfn.XLOOKUP(D2556,Master[Product_Code],Master[Size])</f>
        <v>32</v>
      </c>
      <c r="K2556" s="8" t="str">
        <f>_xlfn.XLOOKUP(D2556,Master[Product_Code],Master[Color])</f>
        <v>Olive</v>
      </c>
      <c r="L2556" s="3">
        <f>_xlfn.XLOOKUP(D2556,Master[Product_Code],Master[Selling_Price])</f>
        <v>830</v>
      </c>
    </row>
    <row r="2557" spans="2:12">
      <c r="B2557" s="2" t="s">
        <v>2822</v>
      </c>
      <c r="C2557" s="7">
        <v>46016</v>
      </c>
      <c r="D2557" s="2" t="s">
        <v>1170</v>
      </c>
      <c r="E2557" s="4">
        <v>1</v>
      </c>
      <c r="F2557" s="8" t="str">
        <f>_xlfn.XLOOKUP(D2557,Master[Product_Code],Master[Category])</f>
        <v>Pants</v>
      </c>
      <c r="G2557" s="8" t="str">
        <f>_xlfn.XLOOKUP(D2557,Master[Product_Code],Master[Brand])</f>
        <v>Van Heusen</v>
      </c>
      <c r="H2557" s="8" t="str">
        <f>_xlfn.XLOOKUP(D2557,Master[Product_Code],Master[Style])</f>
        <v>Jogger</v>
      </c>
      <c r="I2557" s="8" t="str">
        <f>_xlfn.XLOOKUP(D2557,Master[Product_Code],Master[Fabric])</f>
        <v>Poly Viscose</v>
      </c>
      <c r="J2557" s="8">
        <f>_xlfn.XLOOKUP(D2557,Master[Product_Code],Master[Size])</f>
        <v>40</v>
      </c>
      <c r="K2557" s="8" t="str">
        <f>_xlfn.XLOOKUP(D2557,Master[Product_Code],Master[Color])</f>
        <v>Beige</v>
      </c>
      <c r="L2557" s="3">
        <f>_xlfn.XLOOKUP(D2557,Master[Product_Code],Master[Selling_Price])</f>
        <v>910</v>
      </c>
    </row>
    <row r="2558" spans="2:12">
      <c r="B2558" s="2" t="s">
        <v>2822</v>
      </c>
      <c r="C2558" s="7">
        <v>46016</v>
      </c>
      <c r="D2558" s="2" t="s">
        <v>281</v>
      </c>
      <c r="E2558" s="4">
        <v>1</v>
      </c>
      <c r="F2558" s="8" t="str">
        <f>_xlfn.XLOOKUP(D2558,Master[Product_Code],Master[Category])</f>
        <v>Shirt</v>
      </c>
      <c r="G2558" s="8" t="str">
        <f>_xlfn.XLOOKUP(D2558,Master[Product_Code],Master[Brand])</f>
        <v>British</v>
      </c>
      <c r="H2558" s="8" t="str">
        <f>_xlfn.XLOOKUP(D2558,Master[Product_Code],Master[Style])</f>
        <v>Partywear</v>
      </c>
      <c r="I2558" s="8" t="str">
        <f>_xlfn.XLOOKUP(D2558,Master[Product_Code],Master[Fabric])</f>
        <v>Lycra</v>
      </c>
      <c r="J2558" s="8" t="str">
        <f>_xlfn.XLOOKUP(D2558,Master[Product_Code],Master[Size])</f>
        <v>XXL</v>
      </c>
      <c r="K2558" s="8" t="str">
        <f>_xlfn.XLOOKUP(D2558,Master[Product_Code],Master[Color])</f>
        <v>Rust</v>
      </c>
      <c r="L2558" s="3">
        <f>_xlfn.XLOOKUP(D2558,Master[Product_Code],Master[Selling_Price])</f>
        <v>870</v>
      </c>
    </row>
    <row r="2559" spans="2:12">
      <c r="B2559" s="2" t="s">
        <v>2823</v>
      </c>
      <c r="C2559" s="7">
        <v>46016</v>
      </c>
      <c r="D2559" s="2" t="s">
        <v>1168</v>
      </c>
      <c r="E2559" s="4">
        <v>1</v>
      </c>
      <c r="F2559" s="8" t="str">
        <f>_xlfn.XLOOKUP(D2559,Master[Product_Code],Master[Category])</f>
        <v>Pants</v>
      </c>
      <c r="G2559" s="8" t="str">
        <f>_xlfn.XLOOKUP(D2559,Master[Product_Code],Master[Brand])</f>
        <v>Van Heusen</v>
      </c>
      <c r="H2559" s="8" t="str">
        <f>_xlfn.XLOOKUP(D2559,Master[Product_Code],Master[Style])</f>
        <v>Boot Cut</v>
      </c>
      <c r="I2559" s="8" t="str">
        <f>_xlfn.XLOOKUP(D2559,Master[Product_Code],Master[Fabric])</f>
        <v>Cotton</v>
      </c>
      <c r="J2559" s="8">
        <f>_xlfn.XLOOKUP(D2559,Master[Product_Code],Master[Size])</f>
        <v>36</v>
      </c>
      <c r="K2559" s="8" t="str">
        <f>_xlfn.XLOOKUP(D2559,Master[Product_Code],Master[Color])</f>
        <v>Bottle Green</v>
      </c>
      <c r="L2559" s="3">
        <f>_xlfn.XLOOKUP(D2559,Master[Product_Code],Master[Selling_Price])</f>
        <v>790</v>
      </c>
    </row>
    <row r="2560" spans="2:12">
      <c r="B2560" s="2" t="s">
        <v>2823</v>
      </c>
      <c r="C2560" s="7">
        <v>46016</v>
      </c>
      <c r="D2560" s="2" t="s">
        <v>159</v>
      </c>
      <c r="E2560" s="4">
        <v>1</v>
      </c>
      <c r="F2560" s="8" t="str">
        <f>_xlfn.XLOOKUP(D2560,Master[Product_Code],Master[Category])</f>
        <v>Shirt</v>
      </c>
      <c r="G2560" s="8" t="str">
        <f>_xlfn.XLOOKUP(D2560,Master[Product_Code],Master[Brand])</f>
        <v>H&amp;M</v>
      </c>
      <c r="H2560" s="8" t="str">
        <f>_xlfn.XLOOKUP(D2560,Master[Product_Code],Master[Style])</f>
        <v>Partywear</v>
      </c>
      <c r="I2560" s="8" t="str">
        <f>_xlfn.XLOOKUP(D2560,Master[Product_Code],Master[Fabric])</f>
        <v>Cotton Blend</v>
      </c>
      <c r="J2560" s="8" t="str">
        <f>_xlfn.XLOOKUP(D2560,Master[Product_Code],Master[Size])</f>
        <v>XL</v>
      </c>
      <c r="K2560" s="8" t="str">
        <f>_xlfn.XLOOKUP(D2560,Master[Product_Code],Master[Color])</f>
        <v>Dark Green</v>
      </c>
      <c r="L2560" s="3">
        <f>_xlfn.XLOOKUP(D2560,Master[Product_Code],Master[Selling_Price])</f>
        <v>800</v>
      </c>
    </row>
    <row r="2561" spans="2:12">
      <c r="B2561" s="2" t="s">
        <v>2823</v>
      </c>
      <c r="C2561" s="7">
        <v>46016</v>
      </c>
      <c r="D2561" s="2" t="s">
        <v>874</v>
      </c>
      <c r="E2561" s="4">
        <v>1</v>
      </c>
      <c r="F2561" s="8" t="str">
        <f>_xlfn.XLOOKUP(D2561,Master[Product_Code],Master[Category])</f>
        <v>Jeans</v>
      </c>
      <c r="G2561" s="8" t="str">
        <f>_xlfn.XLOOKUP(D2561,Master[Product_Code],Master[Brand])</f>
        <v>Denim Pro</v>
      </c>
      <c r="H2561" s="8" t="str">
        <f>_xlfn.XLOOKUP(D2561,Master[Product_Code],Master[Style])</f>
        <v>Mom Fit</v>
      </c>
      <c r="I2561" s="8" t="str">
        <f>_xlfn.XLOOKUP(D2561,Master[Product_Code],Master[Fabric])</f>
        <v>Denim</v>
      </c>
      <c r="J2561" s="8">
        <f>_xlfn.XLOOKUP(D2561,Master[Product_Code],Master[Size])</f>
        <v>40</v>
      </c>
      <c r="K2561" s="8" t="str">
        <f>_xlfn.XLOOKUP(D2561,Master[Product_Code],Master[Color])</f>
        <v>Brown</v>
      </c>
      <c r="L2561" s="3">
        <f>_xlfn.XLOOKUP(D2561,Master[Product_Code],Master[Selling_Price])</f>
        <v>960</v>
      </c>
    </row>
    <row r="2562" spans="2:12">
      <c r="B2562" s="2" t="s">
        <v>2824</v>
      </c>
      <c r="C2562" s="7">
        <v>46016</v>
      </c>
      <c r="D2562" s="2" t="s">
        <v>110</v>
      </c>
      <c r="E2562" s="4">
        <v>1</v>
      </c>
      <c r="F2562" s="8" t="str">
        <f>_xlfn.XLOOKUP(D2562,Master[Product_Code],Master[Category])</f>
        <v>Shirt</v>
      </c>
      <c r="G2562" s="8" t="str">
        <f>_xlfn.XLOOKUP(D2562,Master[Product_Code],Master[Brand])</f>
        <v>Luke &amp; Burg</v>
      </c>
      <c r="H2562" s="8" t="str">
        <f>_xlfn.XLOOKUP(D2562,Master[Product_Code],Master[Style])</f>
        <v>Formal</v>
      </c>
      <c r="I2562" s="8" t="str">
        <f>_xlfn.XLOOKUP(D2562,Master[Product_Code],Master[Fabric])</f>
        <v>Lycra</v>
      </c>
      <c r="J2562" s="8" t="str">
        <f>_xlfn.XLOOKUP(D2562,Master[Product_Code],Master[Size])</f>
        <v>L</v>
      </c>
      <c r="K2562" s="8" t="str">
        <f>_xlfn.XLOOKUP(D2562,Master[Product_Code],Master[Color])</f>
        <v>Bottle Green</v>
      </c>
      <c r="L2562" s="3">
        <f>_xlfn.XLOOKUP(D2562,Master[Product_Code],Master[Selling_Price])</f>
        <v>940</v>
      </c>
    </row>
    <row r="2563" spans="2:12">
      <c r="B2563" s="2" t="s">
        <v>2824</v>
      </c>
      <c r="C2563" s="7">
        <v>46016</v>
      </c>
      <c r="D2563" s="2" t="s">
        <v>410</v>
      </c>
      <c r="E2563" s="4">
        <v>1</v>
      </c>
      <c r="F2563" s="8" t="str">
        <f>_xlfn.XLOOKUP(D2563,Master[Product_Code],Master[Category])</f>
        <v>T-Shirt</v>
      </c>
      <c r="G2563" s="8" t="str">
        <f>_xlfn.XLOOKUP(D2563,Master[Product_Code],Master[Brand])</f>
        <v>Thailand</v>
      </c>
      <c r="H2563" s="8" t="str">
        <f>_xlfn.XLOOKUP(D2563,Master[Product_Code],Master[Style])</f>
        <v>Sleeveless</v>
      </c>
      <c r="I2563" s="8" t="str">
        <f>_xlfn.XLOOKUP(D2563,Master[Product_Code],Master[Fabric])</f>
        <v>Poly Cotton</v>
      </c>
      <c r="J2563" s="8" t="str">
        <f>_xlfn.XLOOKUP(D2563,Master[Product_Code],Master[Size])</f>
        <v>XXL</v>
      </c>
      <c r="K2563" s="8" t="str">
        <f>_xlfn.XLOOKUP(D2563,Master[Product_Code],Master[Color])</f>
        <v>Royal Blue</v>
      </c>
      <c r="L2563" s="3">
        <f>_xlfn.XLOOKUP(D2563,Master[Product_Code],Master[Selling_Price])</f>
        <v>250</v>
      </c>
    </row>
    <row r="2564" spans="2:12">
      <c r="B2564" s="2" t="s">
        <v>2824</v>
      </c>
      <c r="C2564" s="7">
        <v>46016</v>
      </c>
      <c r="D2564" s="2" t="s">
        <v>44</v>
      </c>
      <c r="E2564" s="4">
        <v>1</v>
      </c>
      <c r="F2564" s="8" t="str">
        <f>_xlfn.XLOOKUP(D2564,Master[Product_Code],Master[Category])</f>
        <v>Shirt</v>
      </c>
      <c r="G2564" s="8" t="str">
        <f>_xlfn.XLOOKUP(D2564,Master[Product_Code],Master[Brand])</f>
        <v>L7</v>
      </c>
      <c r="H2564" s="8" t="str">
        <f>_xlfn.XLOOKUP(D2564,Master[Product_Code],Master[Style])</f>
        <v>Casual</v>
      </c>
      <c r="I2564" s="8" t="str">
        <f>_xlfn.XLOOKUP(D2564,Master[Product_Code],Master[Fabric])</f>
        <v>Cotton Blend</v>
      </c>
      <c r="J2564" s="8" t="str">
        <f>_xlfn.XLOOKUP(D2564,Master[Product_Code],Master[Size])</f>
        <v>XL</v>
      </c>
      <c r="K2564" s="8" t="str">
        <f>_xlfn.XLOOKUP(D2564,Master[Product_Code],Master[Color])</f>
        <v>Teal</v>
      </c>
      <c r="L2564" s="3">
        <f>_xlfn.XLOOKUP(D2564,Master[Product_Code],Master[Selling_Price])</f>
        <v>940</v>
      </c>
    </row>
    <row r="2565" spans="2:12">
      <c r="B2565" s="2" t="s">
        <v>2825</v>
      </c>
      <c r="C2565" s="7">
        <v>46016</v>
      </c>
      <c r="D2565" s="2" t="s">
        <v>367</v>
      </c>
      <c r="E2565" s="4">
        <v>1</v>
      </c>
      <c r="F2565" s="8" t="str">
        <f>_xlfn.XLOOKUP(D2565,Master[Product_Code],Master[Category])</f>
        <v>Shirt</v>
      </c>
      <c r="G2565" s="8" t="str">
        <f>_xlfn.XLOOKUP(D2565,Master[Product_Code],Master[Brand])</f>
        <v>Thailand</v>
      </c>
      <c r="H2565" s="8" t="str">
        <f>_xlfn.XLOOKUP(D2565,Master[Product_Code],Master[Style])</f>
        <v>Partywear</v>
      </c>
      <c r="I2565" s="8" t="str">
        <f>_xlfn.XLOOKUP(D2565,Master[Product_Code],Master[Fabric])</f>
        <v>Cotton</v>
      </c>
      <c r="J2565" s="8" t="str">
        <f>_xlfn.XLOOKUP(D2565,Master[Product_Code],Master[Size])</f>
        <v>S</v>
      </c>
      <c r="K2565" s="8" t="str">
        <f>_xlfn.XLOOKUP(D2565,Master[Product_Code],Master[Color])</f>
        <v>Light Grey</v>
      </c>
      <c r="L2565" s="3">
        <f>_xlfn.XLOOKUP(D2565,Master[Product_Code],Master[Selling_Price])</f>
        <v>740</v>
      </c>
    </row>
    <row r="2566" spans="2:12">
      <c r="B2566" s="2" t="s">
        <v>2825</v>
      </c>
      <c r="C2566" s="7">
        <v>46016</v>
      </c>
      <c r="D2566" s="2" t="s">
        <v>795</v>
      </c>
      <c r="E2566" s="4">
        <v>1</v>
      </c>
      <c r="F2566" s="8" t="str">
        <f>_xlfn.XLOOKUP(D2566,Master[Product_Code],Master[Category])</f>
        <v>T-Shirt</v>
      </c>
      <c r="G2566" s="8" t="str">
        <f>_xlfn.XLOOKUP(D2566,Master[Product_Code],Master[Brand])</f>
        <v>Turkey</v>
      </c>
      <c r="H2566" s="8" t="str">
        <f>_xlfn.XLOOKUP(D2566,Master[Product_Code],Master[Style])</f>
        <v>Half Sleeve</v>
      </c>
      <c r="I2566" s="8" t="str">
        <f>_xlfn.XLOOKUP(D2566,Master[Product_Code],Master[Fabric])</f>
        <v>Cotton</v>
      </c>
      <c r="J2566" s="8" t="str">
        <f>_xlfn.XLOOKUP(D2566,Master[Product_Code],Master[Size])</f>
        <v>XXL</v>
      </c>
      <c r="K2566" s="8" t="str">
        <f>_xlfn.XLOOKUP(D2566,Master[Product_Code],Master[Color])</f>
        <v>Rust</v>
      </c>
      <c r="L2566" s="3">
        <f>_xlfn.XLOOKUP(D2566,Master[Product_Code],Master[Selling_Price])</f>
        <v>710</v>
      </c>
    </row>
    <row r="2567" spans="2:12">
      <c r="B2567" s="2" t="s">
        <v>2825</v>
      </c>
      <c r="C2567" s="7">
        <v>46016</v>
      </c>
      <c r="D2567" s="2" t="s">
        <v>739</v>
      </c>
      <c r="E2567" s="4">
        <v>1</v>
      </c>
      <c r="F2567" s="8" t="str">
        <f>_xlfn.XLOOKUP(D2567,Master[Product_Code],Master[Category])</f>
        <v>T-Shirt</v>
      </c>
      <c r="G2567" s="8" t="str">
        <f>_xlfn.XLOOKUP(D2567,Master[Product_Code],Master[Brand])</f>
        <v>Max</v>
      </c>
      <c r="H2567" s="8" t="str">
        <f>_xlfn.XLOOKUP(D2567,Master[Product_Code],Master[Style])</f>
        <v>Half Sleeve</v>
      </c>
      <c r="I2567" s="8" t="str">
        <f>_xlfn.XLOOKUP(D2567,Master[Product_Code],Master[Fabric])</f>
        <v>Poly Cotton</v>
      </c>
      <c r="J2567" s="8" t="str">
        <f>_xlfn.XLOOKUP(D2567,Master[Product_Code],Master[Size])</f>
        <v>S</v>
      </c>
      <c r="K2567" s="8" t="str">
        <f>_xlfn.XLOOKUP(D2567,Master[Product_Code],Master[Color])</f>
        <v>Royal Blue</v>
      </c>
      <c r="L2567" s="3">
        <f>_xlfn.XLOOKUP(D2567,Master[Product_Code],Master[Selling_Price])</f>
        <v>220</v>
      </c>
    </row>
    <row r="2568" spans="2:12">
      <c r="B2568" s="2" t="s">
        <v>2826</v>
      </c>
      <c r="C2568" s="7">
        <v>46016</v>
      </c>
      <c r="D2568" s="2" t="s">
        <v>1689</v>
      </c>
      <c r="E2568" s="4">
        <v>1</v>
      </c>
      <c r="F2568" s="8" t="str">
        <f>_xlfn.XLOOKUP(D2568,Master[Product_Code],Master[Category])</f>
        <v>Innerwear</v>
      </c>
      <c r="G2568" s="8" t="str">
        <f>_xlfn.XLOOKUP(D2568,Master[Product_Code],Master[Brand])</f>
        <v>Jockey</v>
      </c>
      <c r="H2568" s="8" t="str">
        <f>_xlfn.XLOOKUP(D2568,Master[Product_Code],Master[Style])</f>
        <v>V-Cut</v>
      </c>
      <c r="I2568" s="8" t="str">
        <f>_xlfn.XLOOKUP(D2568,Master[Product_Code],Master[Fabric])</f>
        <v>Cotton</v>
      </c>
      <c r="J2568" s="8" t="str">
        <f>_xlfn.XLOOKUP(D2568,Master[Product_Code],Master[Size])</f>
        <v>105-110</v>
      </c>
      <c r="K2568" s="8" t="str">
        <f>_xlfn.XLOOKUP(D2568,Master[Product_Code],Master[Color])</f>
        <v>Cream</v>
      </c>
      <c r="L2568" s="3">
        <f>_xlfn.XLOOKUP(D2568,Master[Product_Code],Master[Selling_Price])</f>
        <v>140</v>
      </c>
    </row>
    <row r="2569" spans="2:12">
      <c r="B2569" s="2" t="s">
        <v>2826</v>
      </c>
      <c r="C2569" s="7">
        <v>46016</v>
      </c>
      <c r="D2569" s="2" t="s">
        <v>1246</v>
      </c>
      <c r="E2569" s="4">
        <v>1</v>
      </c>
      <c r="F2569" s="8" t="str">
        <f>_xlfn.XLOOKUP(D2569,Master[Product_Code],Master[Category])</f>
        <v>Pants</v>
      </c>
      <c r="G2569" s="8" t="str">
        <f>_xlfn.XLOOKUP(D2569,Master[Product_Code],Master[Brand])</f>
        <v>Raymond</v>
      </c>
      <c r="H2569" s="8" t="str">
        <f>_xlfn.XLOOKUP(D2569,Master[Product_Code],Master[Style])</f>
        <v>Jogger</v>
      </c>
      <c r="I2569" s="8" t="str">
        <f>_xlfn.XLOOKUP(D2569,Master[Product_Code],Master[Fabric])</f>
        <v>Cotton</v>
      </c>
      <c r="J2569" s="8">
        <f>_xlfn.XLOOKUP(D2569,Master[Product_Code],Master[Size])</f>
        <v>28</v>
      </c>
      <c r="K2569" s="8" t="str">
        <f>_xlfn.XLOOKUP(D2569,Master[Product_Code],Master[Color])</f>
        <v>Charcoal</v>
      </c>
      <c r="L2569" s="3">
        <f>_xlfn.XLOOKUP(D2569,Master[Product_Code],Master[Selling_Price])</f>
        <v>810</v>
      </c>
    </row>
    <row r="2570" spans="2:12">
      <c r="B2570" s="2" t="s">
        <v>2827</v>
      </c>
      <c r="C2570" s="7">
        <v>46016</v>
      </c>
      <c r="D2570" s="2" t="s">
        <v>416</v>
      </c>
      <c r="E2570" s="4">
        <v>1</v>
      </c>
      <c r="F2570" s="8" t="str">
        <f>_xlfn.XLOOKUP(D2570,Master[Product_Code],Master[Category])</f>
        <v>T-Shirt</v>
      </c>
      <c r="G2570" s="8" t="str">
        <f>_xlfn.XLOOKUP(D2570,Master[Product_Code],Master[Brand])</f>
        <v>Urban Monkey</v>
      </c>
      <c r="H2570" s="8" t="str">
        <f>_xlfn.XLOOKUP(D2570,Master[Product_Code],Master[Style])</f>
        <v>3/4 Sleeve</v>
      </c>
      <c r="I2570" s="8" t="str">
        <f>_xlfn.XLOOKUP(D2570,Master[Product_Code],Master[Fabric])</f>
        <v>Cotton Blend</v>
      </c>
      <c r="J2570" s="8" t="str">
        <f>_xlfn.XLOOKUP(D2570,Master[Product_Code],Master[Size])</f>
        <v>S</v>
      </c>
      <c r="K2570" s="8" t="str">
        <f>_xlfn.XLOOKUP(D2570,Master[Product_Code],Master[Color])</f>
        <v>Grey</v>
      </c>
      <c r="L2570" s="3">
        <f>_xlfn.XLOOKUP(D2570,Master[Product_Code],Master[Selling_Price])</f>
        <v>360</v>
      </c>
    </row>
    <row r="2571" spans="2:12">
      <c r="B2571" s="2" t="s">
        <v>2827</v>
      </c>
      <c r="C2571" s="7">
        <v>46016</v>
      </c>
      <c r="D2571" s="2" t="s">
        <v>916</v>
      </c>
      <c r="E2571" s="4">
        <v>1</v>
      </c>
      <c r="F2571" s="8" t="str">
        <f>_xlfn.XLOOKUP(D2571,Master[Product_Code],Master[Category])</f>
        <v>Jeans</v>
      </c>
      <c r="G2571" s="8" t="str">
        <f>_xlfn.XLOOKUP(D2571,Master[Product_Code],Master[Brand])</f>
        <v>Pepe</v>
      </c>
      <c r="H2571" s="8" t="str">
        <f>_xlfn.XLOOKUP(D2571,Master[Product_Code],Master[Style])</f>
        <v>Jogger</v>
      </c>
      <c r="I2571" s="8" t="str">
        <f>_xlfn.XLOOKUP(D2571,Master[Product_Code],Master[Fabric])</f>
        <v>Denim</v>
      </c>
      <c r="J2571" s="8">
        <f>_xlfn.XLOOKUP(D2571,Master[Product_Code],Master[Size])</f>
        <v>42</v>
      </c>
      <c r="K2571" s="8" t="str">
        <f>_xlfn.XLOOKUP(D2571,Master[Product_Code],Master[Color])</f>
        <v>Royal Blue</v>
      </c>
      <c r="L2571" s="3">
        <f>_xlfn.XLOOKUP(D2571,Master[Product_Code],Master[Selling_Price])</f>
        <v>820</v>
      </c>
    </row>
    <row r="2572" spans="2:12">
      <c r="B2572" s="2" t="s">
        <v>2828</v>
      </c>
      <c r="C2572" s="7">
        <v>46016</v>
      </c>
      <c r="D2572" s="2" t="s">
        <v>1627</v>
      </c>
      <c r="E2572" s="4">
        <v>1</v>
      </c>
      <c r="F2572" s="8" t="str">
        <f>_xlfn.XLOOKUP(D2572,Master[Product_Code],Master[Category])</f>
        <v>Innerwear</v>
      </c>
      <c r="G2572" s="8" t="str">
        <f>_xlfn.XLOOKUP(D2572,Master[Product_Code],Master[Brand])</f>
        <v>Dollar</v>
      </c>
      <c r="H2572" s="8" t="str">
        <f>_xlfn.XLOOKUP(D2572,Master[Product_Code],Master[Style])</f>
        <v>V-Cut</v>
      </c>
      <c r="I2572" s="8" t="str">
        <f>_xlfn.XLOOKUP(D2572,Master[Product_Code],Master[Fabric])</f>
        <v>Cotton</v>
      </c>
      <c r="J2572" s="8" t="str">
        <f>_xlfn.XLOOKUP(D2572,Master[Product_Code],Master[Size])</f>
        <v>90-100</v>
      </c>
      <c r="K2572" s="8" t="str">
        <f>_xlfn.XLOOKUP(D2572,Master[Product_Code],Master[Color])</f>
        <v>Black</v>
      </c>
      <c r="L2572" s="3">
        <f>_xlfn.XLOOKUP(D2572,Master[Product_Code],Master[Selling_Price])</f>
        <v>100</v>
      </c>
    </row>
    <row r="2573" spans="2:12">
      <c r="B2573" s="2" t="s">
        <v>2828</v>
      </c>
      <c r="C2573" s="7">
        <v>46016</v>
      </c>
      <c r="D2573" s="2" t="s">
        <v>884</v>
      </c>
      <c r="E2573" s="4">
        <v>1</v>
      </c>
      <c r="F2573" s="8" t="str">
        <f>_xlfn.XLOOKUP(D2573,Master[Product_Code],Master[Category])</f>
        <v>Jeans</v>
      </c>
      <c r="G2573" s="8" t="str">
        <f>_xlfn.XLOOKUP(D2573,Master[Product_Code],Master[Brand])</f>
        <v>Levis</v>
      </c>
      <c r="H2573" s="8" t="str">
        <f>_xlfn.XLOOKUP(D2573,Master[Product_Code],Master[Style])</f>
        <v>Baggy</v>
      </c>
      <c r="I2573" s="8" t="str">
        <f>_xlfn.XLOOKUP(D2573,Master[Product_Code],Master[Fabric])</f>
        <v>Denim</v>
      </c>
      <c r="J2573" s="8">
        <f>_xlfn.XLOOKUP(D2573,Master[Product_Code],Master[Size])</f>
        <v>36</v>
      </c>
      <c r="K2573" s="8" t="str">
        <f>_xlfn.XLOOKUP(D2573,Master[Product_Code],Master[Color])</f>
        <v>White</v>
      </c>
      <c r="L2573" s="3">
        <f>_xlfn.XLOOKUP(D2573,Master[Product_Code],Master[Selling_Price])</f>
        <v>1020</v>
      </c>
    </row>
    <row r="2574" spans="2:12">
      <c r="B2574" s="2" t="s">
        <v>2829</v>
      </c>
      <c r="C2574" s="7">
        <v>46016</v>
      </c>
      <c r="D2574" s="2" t="s">
        <v>487</v>
      </c>
      <c r="E2574" s="4">
        <v>1</v>
      </c>
      <c r="F2574" s="8" t="str">
        <f>_xlfn.XLOOKUP(D2574,Master[Product_Code],Master[Category])</f>
        <v>T-Shirt</v>
      </c>
      <c r="G2574" s="8" t="str">
        <f>_xlfn.XLOOKUP(D2574,Master[Product_Code],Master[Brand])</f>
        <v>Turkey</v>
      </c>
      <c r="H2574" s="8" t="str">
        <f>_xlfn.XLOOKUP(D2574,Master[Product_Code],Master[Style])</f>
        <v>Sleeveless</v>
      </c>
      <c r="I2574" s="8" t="str">
        <f>_xlfn.XLOOKUP(D2574,Master[Product_Code],Master[Fabric])</f>
        <v>Cotton Blend</v>
      </c>
      <c r="J2574" s="8" t="str">
        <f>_xlfn.XLOOKUP(D2574,Master[Product_Code],Master[Size])</f>
        <v>M</v>
      </c>
      <c r="K2574" s="8" t="str">
        <f>_xlfn.XLOOKUP(D2574,Master[Product_Code],Master[Color])</f>
        <v>Olive</v>
      </c>
      <c r="L2574" s="3">
        <f>_xlfn.XLOOKUP(D2574,Master[Product_Code],Master[Selling_Price])</f>
        <v>610</v>
      </c>
    </row>
    <row r="2575" spans="2:12">
      <c r="B2575" s="2" t="s">
        <v>2830</v>
      </c>
      <c r="C2575" s="7">
        <v>46016</v>
      </c>
      <c r="D2575" s="2" t="s">
        <v>718</v>
      </c>
      <c r="E2575" s="4">
        <v>1</v>
      </c>
      <c r="F2575" s="8" t="str">
        <f>_xlfn.XLOOKUP(D2575,Master[Product_Code],Master[Category])</f>
        <v>T-Shirt</v>
      </c>
      <c r="G2575" s="8" t="str">
        <f>_xlfn.XLOOKUP(D2575,Master[Product_Code],Master[Brand])</f>
        <v>Zara</v>
      </c>
      <c r="H2575" s="8" t="str">
        <f>_xlfn.XLOOKUP(D2575,Master[Product_Code],Master[Style])</f>
        <v>Half Sleeve</v>
      </c>
      <c r="I2575" s="8" t="str">
        <f>_xlfn.XLOOKUP(D2575,Master[Product_Code],Master[Fabric])</f>
        <v>Poly Cotton</v>
      </c>
      <c r="J2575" s="8" t="str">
        <f>_xlfn.XLOOKUP(D2575,Master[Product_Code],Master[Size])</f>
        <v>L</v>
      </c>
      <c r="K2575" s="8" t="str">
        <f>_xlfn.XLOOKUP(D2575,Master[Product_Code],Master[Color])</f>
        <v>Grey</v>
      </c>
      <c r="L2575" s="3">
        <f>_xlfn.XLOOKUP(D2575,Master[Product_Code],Master[Selling_Price])</f>
        <v>600</v>
      </c>
    </row>
    <row r="2576" spans="2:12">
      <c r="B2576" s="2" t="s">
        <v>2830</v>
      </c>
      <c r="C2576" s="7">
        <v>46016</v>
      </c>
      <c r="D2576" s="2" t="s">
        <v>177</v>
      </c>
      <c r="E2576" s="4">
        <v>1</v>
      </c>
      <c r="F2576" s="8" t="str">
        <f>_xlfn.XLOOKUP(D2576,Master[Product_Code],Master[Category])</f>
        <v>Shirt</v>
      </c>
      <c r="G2576" s="8" t="str">
        <f>_xlfn.XLOOKUP(D2576,Master[Product_Code],Master[Brand])</f>
        <v>L7</v>
      </c>
      <c r="H2576" s="8" t="str">
        <f>_xlfn.XLOOKUP(D2576,Master[Product_Code],Master[Style])</f>
        <v>Partywear</v>
      </c>
      <c r="I2576" s="8" t="str">
        <f>_xlfn.XLOOKUP(D2576,Master[Product_Code],Master[Fabric])</f>
        <v>Cotton</v>
      </c>
      <c r="J2576" s="8" t="str">
        <f>_xlfn.XLOOKUP(D2576,Master[Product_Code],Master[Size])</f>
        <v>XL</v>
      </c>
      <c r="K2576" s="8" t="str">
        <f>_xlfn.XLOOKUP(D2576,Master[Product_Code],Master[Color])</f>
        <v>Mustard</v>
      </c>
      <c r="L2576" s="3">
        <f>_xlfn.XLOOKUP(D2576,Master[Product_Code],Master[Selling_Price])</f>
        <v>790</v>
      </c>
    </row>
    <row r="2577" spans="2:12">
      <c r="B2577" s="2" t="s">
        <v>2830</v>
      </c>
      <c r="C2577" s="7">
        <v>46016</v>
      </c>
      <c r="D2577" s="2" t="s">
        <v>1671</v>
      </c>
      <c r="E2577" s="4">
        <v>1</v>
      </c>
      <c r="F2577" s="8" t="str">
        <f>_xlfn.XLOOKUP(D2577,Master[Product_Code],Master[Category])</f>
        <v>Innerwear</v>
      </c>
      <c r="G2577" s="8" t="str">
        <f>_xlfn.XLOOKUP(D2577,Master[Product_Code],Master[Brand])</f>
        <v>Rupa</v>
      </c>
      <c r="H2577" s="8" t="str">
        <f>_xlfn.XLOOKUP(D2577,Master[Product_Code],Master[Style])</f>
        <v>Boxer</v>
      </c>
      <c r="I2577" s="8" t="str">
        <f>_xlfn.XLOOKUP(D2577,Master[Product_Code],Master[Fabric])</f>
        <v>Cotton</v>
      </c>
      <c r="J2577" s="8" t="str">
        <f>_xlfn.XLOOKUP(D2577,Master[Product_Code],Master[Size])</f>
        <v>90-100</v>
      </c>
      <c r="K2577" s="8" t="str">
        <f>_xlfn.XLOOKUP(D2577,Master[Product_Code],Master[Color])</f>
        <v>Cream</v>
      </c>
      <c r="L2577" s="3">
        <f>_xlfn.XLOOKUP(D2577,Master[Product_Code],Master[Selling_Price])</f>
        <v>120</v>
      </c>
    </row>
    <row r="2578" spans="2:12">
      <c r="B2578" s="2" t="s">
        <v>2831</v>
      </c>
      <c r="C2578" s="7">
        <v>46016</v>
      </c>
      <c r="D2578" s="2" t="s">
        <v>419</v>
      </c>
      <c r="E2578" s="4">
        <v>1</v>
      </c>
      <c r="F2578" s="8" t="str">
        <f>_xlfn.XLOOKUP(D2578,Master[Product_Code],Master[Category])</f>
        <v>T-Shirt</v>
      </c>
      <c r="G2578" s="8" t="str">
        <f>_xlfn.XLOOKUP(D2578,Master[Product_Code],Master[Brand])</f>
        <v>Zara</v>
      </c>
      <c r="H2578" s="8" t="str">
        <f>_xlfn.XLOOKUP(D2578,Master[Product_Code],Master[Style])</f>
        <v>Sleeveless</v>
      </c>
      <c r="I2578" s="8" t="str">
        <f>_xlfn.XLOOKUP(D2578,Master[Product_Code],Master[Fabric])</f>
        <v>Cotton</v>
      </c>
      <c r="J2578" s="8" t="str">
        <f>_xlfn.XLOOKUP(D2578,Master[Product_Code],Master[Size])</f>
        <v>XXL</v>
      </c>
      <c r="K2578" s="8" t="str">
        <f>_xlfn.XLOOKUP(D2578,Master[Product_Code],Master[Color])</f>
        <v>Grey</v>
      </c>
      <c r="L2578" s="3">
        <f>_xlfn.XLOOKUP(D2578,Master[Product_Code],Master[Selling_Price])</f>
        <v>740</v>
      </c>
    </row>
    <row r="2579" spans="2:12">
      <c r="B2579" s="2" t="s">
        <v>2831</v>
      </c>
      <c r="C2579" s="7">
        <v>46016</v>
      </c>
      <c r="D2579" s="2" t="s">
        <v>771</v>
      </c>
      <c r="E2579" s="4">
        <v>1</v>
      </c>
      <c r="F2579" s="8" t="str">
        <f>_xlfn.XLOOKUP(D2579,Master[Product_Code],Master[Category])</f>
        <v>T-Shirt</v>
      </c>
      <c r="G2579" s="8" t="str">
        <f>_xlfn.XLOOKUP(D2579,Master[Product_Code],Master[Brand])</f>
        <v>Zara</v>
      </c>
      <c r="H2579" s="8" t="str">
        <f>_xlfn.XLOOKUP(D2579,Master[Product_Code],Master[Style])</f>
        <v>Hoodie</v>
      </c>
      <c r="I2579" s="8" t="str">
        <f>_xlfn.XLOOKUP(D2579,Master[Product_Code],Master[Fabric])</f>
        <v>Poly Cotton</v>
      </c>
      <c r="J2579" s="8" t="str">
        <f>_xlfn.XLOOKUP(D2579,Master[Product_Code],Master[Size])</f>
        <v>L</v>
      </c>
      <c r="K2579" s="8" t="str">
        <f>_xlfn.XLOOKUP(D2579,Master[Product_Code],Master[Color])</f>
        <v>Grey</v>
      </c>
      <c r="L2579" s="3">
        <f>_xlfn.XLOOKUP(D2579,Master[Product_Code],Master[Selling_Price])</f>
        <v>370</v>
      </c>
    </row>
    <row r="2580" spans="2:12">
      <c r="B2580" s="2" t="s">
        <v>2831</v>
      </c>
      <c r="C2580" s="7">
        <v>46016</v>
      </c>
      <c r="D2580" s="2" t="s">
        <v>906</v>
      </c>
      <c r="E2580" s="4">
        <v>1</v>
      </c>
      <c r="F2580" s="8" t="str">
        <f>_xlfn.XLOOKUP(D2580,Master[Product_Code],Master[Category])</f>
        <v>Jeans</v>
      </c>
      <c r="G2580" s="8" t="str">
        <f>_xlfn.XLOOKUP(D2580,Master[Product_Code],Master[Brand])</f>
        <v>Pepe</v>
      </c>
      <c r="H2580" s="8" t="str">
        <f>_xlfn.XLOOKUP(D2580,Master[Product_Code],Master[Style])</f>
        <v>Jogger</v>
      </c>
      <c r="I2580" s="8" t="str">
        <f>_xlfn.XLOOKUP(D2580,Master[Product_Code],Master[Fabric])</f>
        <v>Denim</v>
      </c>
      <c r="J2580" s="8">
        <f>_xlfn.XLOOKUP(D2580,Master[Product_Code],Master[Size])</f>
        <v>36</v>
      </c>
      <c r="K2580" s="8" t="str">
        <f>_xlfn.XLOOKUP(D2580,Master[Product_Code],Master[Color])</f>
        <v>Royal Blue</v>
      </c>
      <c r="L2580" s="3">
        <f>_xlfn.XLOOKUP(D2580,Master[Product_Code],Master[Selling_Price])</f>
        <v>910</v>
      </c>
    </row>
    <row r="2581" spans="2:12">
      <c r="B2581" s="2" t="s">
        <v>2831</v>
      </c>
      <c r="C2581" s="7">
        <v>46016</v>
      </c>
      <c r="D2581" s="2" t="s">
        <v>504</v>
      </c>
      <c r="E2581" s="4">
        <v>1</v>
      </c>
      <c r="F2581" s="8" t="str">
        <f>_xlfn.XLOOKUP(D2581,Master[Product_Code],Master[Category])</f>
        <v>T-Shirt</v>
      </c>
      <c r="G2581" s="8" t="str">
        <f>_xlfn.XLOOKUP(D2581,Master[Product_Code],Master[Brand])</f>
        <v>Campus</v>
      </c>
      <c r="H2581" s="8" t="str">
        <f>_xlfn.XLOOKUP(D2581,Master[Product_Code],Master[Style])</f>
        <v>Half Sleeve</v>
      </c>
      <c r="I2581" s="8" t="str">
        <f>_xlfn.XLOOKUP(D2581,Master[Product_Code],Master[Fabric])</f>
        <v>Cotton Blend</v>
      </c>
      <c r="J2581" s="8" t="str">
        <f>_xlfn.XLOOKUP(D2581,Master[Product_Code],Master[Size])</f>
        <v>XXL</v>
      </c>
      <c r="K2581" s="8" t="str">
        <f>_xlfn.XLOOKUP(D2581,Master[Product_Code],Master[Color])</f>
        <v>Beige</v>
      </c>
      <c r="L2581" s="3">
        <f>_xlfn.XLOOKUP(D2581,Master[Product_Code],Master[Selling_Price])</f>
        <v>260</v>
      </c>
    </row>
    <row r="2582" spans="2:12">
      <c r="B2582" s="2" t="s">
        <v>2832</v>
      </c>
      <c r="C2582" s="7">
        <v>46017</v>
      </c>
      <c r="D2582" s="2" t="s">
        <v>1604</v>
      </c>
      <c r="E2582" s="4">
        <v>1</v>
      </c>
      <c r="F2582" s="8" t="str">
        <f>_xlfn.XLOOKUP(D2582,Master[Product_Code],Master[Category])</f>
        <v>Innerwear</v>
      </c>
      <c r="G2582" s="8" t="str">
        <f>_xlfn.XLOOKUP(D2582,Master[Product_Code],Master[Brand])</f>
        <v>Jockey</v>
      </c>
      <c r="H2582" s="8" t="str">
        <f>_xlfn.XLOOKUP(D2582,Master[Product_Code],Master[Style])</f>
        <v>V-Cut</v>
      </c>
      <c r="I2582" s="8" t="str">
        <f>_xlfn.XLOOKUP(D2582,Master[Product_Code],Master[Fabric])</f>
        <v>Cotton Blend</v>
      </c>
      <c r="J2582" s="8" t="str">
        <f>_xlfn.XLOOKUP(D2582,Master[Product_Code],Master[Size])</f>
        <v>90-100</v>
      </c>
      <c r="K2582" s="8" t="str">
        <f>_xlfn.XLOOKUP(D2582,Master[Product_Code],Master[Color])</f>
        <v>Wine</v>
      </c>
      <c r="L2582" s="3">
        <f>_xlfn.XLOOKUP(D2582,Master[Product_Code],Master[Selling_Price])</f>
        <v>100</v>
      </c>
    </row>
    <row r="2583" spans="2:12">
      <c r="B2583" s="2" t="s">
        <v>2832</v>
      </c>
      <c r="C2583" s="7">
        <v>46017</v>
      </c>
      <c r="D2583" s="2" t="s">
        <v>453</v>
      </c>
      <c r="E2583" s="4">
        <v>1</v>
      </c>
      <c r="F2583" s="8" t="str">
        <f>_xlfn.XLOOKUP(D2583,Master[Product_Code],Master[Category])</f>
        <v>T-Shirt</v>
      </c>
      <c r="G2583" s="8" t="str">
        <f>_xlfn.XLOOKUP(D2583,Master[Product_Code],Master[Brand])</f>
        <v>Roadster</v>
      </c>
      <c r="H2583" s="8" t="str">
        <f>_xlfn.XLOOKUP(D2583,Master[Product_Code],Master[Style])</f>
        <v>Full Sleeve</v>
      </c>
      <c r="I2583" s="8" t="str">
        <f>_xlfn.XLOOKUP(D2583,Master[Product_Code],Master[Fabric])</f>
        <v>Poly Cotton</v>
      </c>
      <c r="J2583" s="8" t="str">
        <f>_xlfn.XLOOKUP(D2583,Master[Product_Code],Master[Size])</f>
        <v>XL</v>
      </c>
      <c r="K2583" s="8" t="str">
        <f>_xlfn.XLOOKUP(D2583,Master[Product_Code],Master[Color])</f>
        <v>Olive</v>
      </c>
      <c r="L2583" s="3">
        <f>_xlfn.XLOOKUP(D2583,Master[Product_Code],Master[Selling_Price])</f>
        <v>620</v>
      </c>
    </row>
    <row r="2584" spans="2:12">
      <c r="B2584" s="2" t="s">
        <v>2832</v>
      </c>
      <c r="C2584" s="7">
        <v>46017</v>
      </c>
      <c r="D2584" s="2" t="s">
        <v>626</v>
      </c>
      <c r="E2584" s="4">
        <v>1</v>
      </c>
      <c r="F2584" s="8" t="str">
        <f>_xlfn.XLOOKUP(D2584,Master[Product_Code],Master[Category])</f>
        <v>T-Shirt</v>
      </c>
      <c r="G2584" s="8" t="str">
        <f>_xlfn.XLOOKUP(D2584,Master[Product_Code],Master[Brand])</f>
        <v>Urban Monkey</v>
      </c>
      <c r="H2584" s="8" t="str">
        <f>_xlfn.XLOOKUP(D2584,Master[Product_Code],Master[Style])</f>
        <v>Sleeveless</v>
      </c>
      <c r="I2584" s="8" t="str">
        <f>_xlfn.XLOOKUP(D2584,Master[Product_Code],Master[Fabric])</f>
        <v>Poly Cotton</v>
      </c>
      <c r="J2584" s="8" t="str">
        <f>_xlfn.XLOOKUP(D2584,Master[Product_Code],Master[Size])</f>
        <v>XL</v>
      </c>
      <c r="K2584" s="8" t="str">
        <f>_xlfn.XLOOKUP(D2584,Master[Product_Code],Master[Color])</f>
        <v>Wine</v>
      </c>
      <c r="L2584" s="3">
        <f>_xlfn.XLOOKUP(D2584,Master[Product_Code],Master[Selling_Price])</f>
        <v>360</v>
      </c>
    </row>
    <row r="2585" spans="2:12">
      <c r="B2585" s="2" t="s">
        <v>2832</v>
      </c>
      <c r="C2585" s="7">
        <v>46017</v>
      </c>
      <c r="D2585" s="2" t="s">
        <v>1742</v>
      </c>
      <c r="E2585" s="4">
        <v>1</v>
      </c>
      <c r="F2585" s="8" t="str">
        <f>_xlfn.XLOOKUP(D2585,Master[Product_Code],Master[Category])</f>
        <v>Innerwear</v>
      </c>
      <c r="G2585" s="8" t="str">
        <f>_xlfn.XLOOKUP(D2585,Master[Product_Code],Master[Brand])</f>
        <v>Lux</v>
      </c>
      <c r="H2585" s="8" t="str">
        <f>_xlfn.XLOOKUP(D2585,Master[Product_Code],Master[Style])</f>
        <v>Boxer</v>
      </c>
      <c r="I2585" s="8" t="str">
        <f>_xlfn.XLOOKUP(D2585,Master[Product_Code],Master[Fabric])</f>
        <v>Cotton Blend</v>
      </c>
      <c r="J2585" s="8" t="str">
        <f>_xlfn.XLOOKUP(D2585,Master[Product_Code],Master[Size])</f>
        <v>100-105</v>
      </c>
      <c r="K2585" s="8" t="str">
        <f>_xlfn.XLOOKUP(D2585,Master[Product_Code],Master[Color])</f>
        <v>Olive</v>
      </c>
      <c r="L2585" s="3">
        <f>_xlfn.XLOOKUP(D2585,Master[Product_Code],Master[Selling_Price])</f>
        <v>190</v>
      </c>
    </row>
    <row r="2586" spans="2:12">
      <c r="B2586" s="2" t="s">
        <v>2833</v>
      </c>
      <c r="C2586" s="7">
        <v>46017</v>
      </c>
      <c r="D2586" s="2" t="s">
        <v>1725</v>
      </c>
      <c r="E2586" s="4">
        <v>1</v>
      </c>
      <c r="F2586" s="8" t="str">
        <f>_xlfn.XLOOKUP(D2586,Master[Product_Code],Master[Category])</f>
        <v>Innerwear</v>
      </c>
      <c r="G2586" s="8" t="str">
        <f>_xlfn.XLOOKUP(D2586,Master[Product_Code],Master[Brand])</f>
        <v>V Star</v>
      </c>
      <c r="H2586" s="8" t="str">
        <f>_xlfn.XLOOKUP(D2586,Master[Product_Code],Master[Style])</f>
        <v>V-Cut</v>
      </c>
      <c r="I2586" s="8" t="str">
        <f>_xlfn.XLOOKUP(D2586,Master[Product_Code],Master[Fabric])</f>
        <v>Cotton Blend</v>
      </c>
      <c r="J2586" s="8" t="str">
        <f>_xlfn.XLOOKUP(D2586,Master[Product_Code],Master[Size])</f>
        <v>80-85</v>
      </c>
      <c r="K2586" s="8" t="str">
        <f>_xlfn.XLOOKUP(D2586,Master[Product_Code],Master[Color])</f>
        <v>Cream</v>
      </c>
      <c r="L2586" s="3">
        <f>_xlfn.XLOOKUP(D2586,Master[Product_Code],Master[Selling_Price])</f>
        <v>140</v>
      </c>
    </row>
    <row r="2587" spans="2:12">
      <c r="B2587" s="2" t="s">
        <v>2833</v>
      </c>
      <c r="C2587" s="7">
        <v>46017</v>
      </c>
      <c r="D2587" s="2" t="s">
        <v>1000</v>
      </c>
      <c r="E2587" s="4">
        <v>1</v>
      </c>
      <c r="F2587" s="8" t="str">
        <f>_xlfn.XLOOKUP(D2587,Master[Product_Code],Master[Category])</f>
        <v>Jeans</v>
      </c>
      <c r="G2587" s="8" t="str">
        <f>_xlfn.XLOOKUP(D2587,Master[Product_Code],Master[Brand])</f>
        <v>Wrangler</v>
      </c>
      <c r="H2587" s="8" t="str">
        <f>_xlfn.XLOOKUP(D2587,Master[Product_Code],Master[Style])</f>
        <v>Baggy</v>
      </c>
      <c r="I2587" s="8" t="str">
        <f>_xlfn.XLOOKUP(D2587,Master[Product_Code],Master[Fabric])</f>
        <v>Denim</v>
      </c>
      <c r="J2587" s="8">
        <f>_xlfn.XLOOKUP(D2587,Master[Product_Code],Master[Size])</f>
        <v>36</v>
      </c>
      <c r="K2587" s="8" t="str">
        <f>_xlfn.XLOOKUP(D2587,Master[Product_Code],Master[Color])</f>
        <v>Maroon</v>
      </c>
      <c r="L2587" s="3">
        <f>_xlfn.XLOOKUP(D2587,Master[Product_Code],Master[Selling_Price])</f>
        <v>960</v>
      </c>
    </row>
    <row r="2588" spans="2:12">
      <c r="B2588" s="2" t="s">
        <v>2834</v>
      </c>
      <c r="C2588" s="7">
        <v>46017</v>
      </c>
      <c r="D2588" s="2" t="s">
        <v>583</v>
      </c>
      <c r="E2588" s="4">
        <v>1</v>
      </c>
      <c r="F2588" s="8" t="str">
        <f>_xlfn.XLOOKUP(D2588,Master[Product_Code],Master[Category])</f>
        <v>T-Shirt</v>
      </c>
      <c r="G2588" s="8" t="str">
        <f>_xlfn.XLOOKUP(D2588,Master[Product_Code],Master[Brand])</f>
        <v>Campus</v>
      </c>
      <c r="H2588" s="8" t="str">
        <f>_xlfn.XLOOKUP(D2588,Master[Product_Code],Master[Style])</f>
        <v>Full Sleeve</v>
      </c>
      <c r="I2588" s="8" t="str">
        <f>_xlfn.XLOOKUP(D2588,Master[Product_Code],Master[Fabric])</f>
        <v>Cotton</v>
      </c>
      <c r="J2588" s="8" t="str">
        <f>_xlfn.XLOOKUP(D2588,Master[Product_Code],Master[Size])</f>
        <v>XXL</v>
      </c>
      <c r="K2588" s="8" t="str">
        <f>_xlfn.XLOOKUP(D2588,Master[Product_Code],Master[Color])</f>
        <v>Teal</v>
      </c>
      <c r="L2588" s="3">
        <f>_xlfn.XLOOKUP(D2588,Master[Product_Code],Master[Selling_Price])</f>
        <v>630</v>
      </c>
    </row>
    <row r="2589" spans="2:12">
      <c r="B2589" s="2" t="s">
        <v>2835</v>
      </c>
      <c r="C2589" s="7">
        <v>46017</v>
      </c>
      <c r="D2589" s="2" t="s">
        <v>803</v>
      </c>
      <c r="E2589" s="4">
        <v>1</v>
      </c>
      <c r="F2589" s="8" t="str">
        <f>_xlfn.XLOOKUP(D2589,Master[Product_Code],Master[Category])</f>
        <v>T-Shirt</v>
      </c>
      <c r="G2589" s="8" t="str">
        <f>_xlfn.XLOOKUP(D2589,Master[Product_Code],Master[Brand])</f>
        <v>Urban Monkey</v>
      </c>
      <c r="H2589" s="8" t="str">
        <f>_xlfn.XLOOKUP(D2589,Master[Product_Code],Master[Style])</f>
        <v>Sleeveless</v>
      </c>
      <c r="I2589" s="8" t="str">
        <f>_xlfn.XLOOKUP(D2589,Master[Product_Code],Master[Fabric])</f>
        <v>Cotton Blend</v>
      </c>
      <c r="J2589" s="8" t="str">
        <f>_xlfn.XLOOKUP(D2589,Master[Product_Code],Master[Size])</f>
        <v>XL</v>
      </c>
      <c r="K2589" s="8" t="str">
        <f>_xlfn.XLOOKUP(D2589,Master[Product_Code],Master[Color])</f>
        <v>Rust</v>
      </c>
      <c r="L2589" s="3">
        <f>_xlfn.XLOOKUP(D2589,Master[Product_Code],Master[Selling_Price])</f>
        <v>410</v>
      </c>
    </row>
    <row r="2590" spans="2:12">
      <c r="B2590" s="2" t="s">
        <v>2835</v>
      </c>
      <c r="C2590" s="7">
        <v>46017</v>
      </c>
      <c r="D2590" s="2" t="s">
        <v>453</v>
      </c>
      <c r="E2590" s="4">
        <v>1</v>
      </c>
      <c r="F2590" s="8" t="str">
        <f>_xlfn.XLOOKUP(D2590,Master[Product_Code],Master[Category])</f>
        <v>T-Shirt</v>
      </c>
      <c r="G2590" s="8" t="str">
        <f>_xlfn.XLOOKUP(D2590,Master[Product_Code],Master[Brand])</f>
        <v>Roadster</v>
      </c>
      <c r="H2590" s="8" t="str">
        <f>_xlfn.XLOOKUP(D2590,Master[Product_Code],Master[Style])</f>
        <v>Full Sleeve</v>
      </c>
      <c r="I2590" s="8" t="str">
        <f>_xlfn.XLOOKUP(D2590,Master[Product_Code],Master[Fabric])</f>
        <v>Poly Cotton</v>
      </c>
      <c r="J2590" s="8" t="str">
        <f>_xlfn.XLOOKUP(D2590,Master[Product_Code],Master[Size])</f>
        <v>XL</v>
      </c>
      <c r="K2590" s="8" t="str">
        <f>_xlfn.XLOOKUP(D2590,Master[Product_Code],Master[Color])</f>
        <v>Olive</v>
      </c>
      <c r="L2590" s="3">
        <f>_xlfn.XLOOKUP(D2590,Master[Product_Code],Master[Selling_Price])</f>
        <v>620</v>
      </c>
    </row>
    <row r="2591" spans="2:12">
      <c r="B2591" s="2" t="s">
        <v>2835</v>
      </c>
      <c r="C2591" s="7">
        <v>46017</v>
      </c>
      <c r="D2591" s="2" t="s">
        <v>149</v>
      </c>
      <c r="E2591" s="4">
        <v>1</v>
      </c>
      <c r="F2591" s="8" t="str">
        <f>_xlfn.XLOOKUP(D2591,Master[Product_Code],Master[Category])</f>
        <v>Shirt</v>
      </c>
      <c r="G2591" s="8" t="str">
        <f>_xlfn.XLOOKUP(D2591,Master[Product_Code],Master[Brand])</f>
        <v>Luke &amp; Burg</v>
      </c>
      <c r="H2591" s="8" t="str">
        <f>_xlfn.XLOOKUP(D2591,Master[Product_Code],Master[Style])</f>
        <v>Partywear</v>
      </c>
      <c r="I2591" s="8" t="str">
        <f>_xlfn.XLOOKUP(D2591,Master[Product_Code],Master[Fabric])</f>
        <v>Cotton Blend</v>
      </c>
      <c r="J2591" s="8" t="str">
        <f>_xlfn.XLOOKUP(D2591,Master[Product_Code],Master[Size])</f>
        <v>S</v>
      </c>
      <c r="K2591" s="8" t="str">
        <f>_xlfn.XLOOKUP(D2591,Master[Product_Code],Master[Color])</f>
        <v>Wine</v>
      </c>
      <c r="L2591" s="3">
        <f>_xlfn.XLOOKUP(D2591,Master[Product_Code],Master[Selling_Price])</f>
        <v>820</v>
      </c>
    </row>
    <row r="2592" spans="2:12">
      <c r="B2592" s="2" t="s">
        <v>2835</v>
      </c>
      <c r="C2592" s="7">
        <v>46017</v>
      </c>
      <c r="D2592" s="2" t="s">
        <v>946</v>
      </c>
      <c r="E2592" s="4">
        <v>1</v>
      </c>
      <c r="F2592" s="8" t="str">
        <f>_xlfn.XLOOKUP(D2592,Master[Product_Code],Master[Category])</f>
        <v>Jeans</v>
      </c>
      <c r="G2592" s="8" t="str">
        <f>_xlfn.XLOOKUP(D2592,Master[Product_Code],Master[Brand])</f>
        <v>Denim Pro</v>
      </c>
      <c r="H2592" s="8" t="str">
        <f>_xlfn.XLOOKUP(D2592,Master[Product_Code],Master[Style])</f>
        <v>Mom Fit</v>
      </c>
      <c r="I2592" s="8" t="str">
        <f>_xlfn.XLOOKUP(D2592,Master[Product_Code],Master[Fabric])</f>
        <v>Denim</v>
      </c>
      <c r="J2592" s="8">
        <f>_xlfn.XLOOKUP(D2592,Master[Product_Code],Master[Size])</f>
        <v>30</v>
      </c>
      <c r="K2592" s="8" t="str">
        <f>_xlfn.XLOOKUP(D2592,Master[Product_Code],Master[Color])</f>
        <v>Peach</v>
      </c>
      <c r="L2592" s="3">
        <f>_xlfn.XLOOKUP(D2592,Master[Product_Code],Master[Selling_Price])</f>
        <v>850</v>
      </c>
    </row>
    <row r="2593" spans="2:12">
      <c r="B2593" s="2" t="s">
        <v>2836</v>
      </c>
      <c r="C2593" s="7">
        <v>46017</v>
      </c>
      <c r="D2593" s="2" t="s">
        <v>1186</v>
      </c>
      <c r="E2593" s="4">
        <v>1</v>
      </c>
      <c r="F2593" s="8" t="str">
        <f>_xlfn.XLOOKUP(D2593,Master[Product_Code],Master[Category])</f>
        <v>Pants</v>
      </c>
      <c r="G2593" s="8" t="str">
        <f>_xlfn.XLOOKUP(D2593,Master[Product_Code],Master[Brand])</f>
        <v>Raymond</v>
      </c>
      <c r="H2593" s="8" t="str">
        <f>_xlfn.XLOOKUP(D2593,Master[Product_Code],Master[Style])</f>
        <v>Korean</v>
      </c>
      <c r="I2593" s="8" t="str">
        <f>_xlfn.XLOOKUP(D2593,Master[Product_Code],Master[Fabric])</f>
        <v>Lycra</v>
      </c>
      <c r="J2593" s="8">
        <f>_xlfn.XLOOKUP(D2593,Master[Product_Code],Master[Size])</f>
        <v>30</v>
      </c>
      <c r="K2593" s="8" t="str">
        <f>_xlfn.XLOOKUP(D2593,Master[Product_Code],Master[Color])</f>
        <v>Brown</v>
      </c>
      <c r="L2593" s="3">
        <f>_xlfn.XLOOKUP(D2593,Master[Product_Code],Master[Selling_Price])</f>
        <v>870</v>
      </c>
    </row>
    <row r="2594" spans="2:12">
      <c r="B2594" s="2" t="s">
        <v>2836</v>
      </c>
      <c r="C2594" s="7">
        <v>46017</v>
      </c>
      <c r="D2594" s="2" t="s">
        <v>454</v>
      </c>
      <c r="E2594" s="4">
        <v>1</v>
      </c>
      <c r="F2594" s="8" t="str">
        <f>_xlfn.XLOOKUP(D2594,Master[Product_Code],Master[Category])</f>
        <v>T-Shirt</v>
      </c>
      <c r="G2594" s="8" t="str">
        <f>_xlfn.XLOOKUP(D2594,Master[Product_Code],Master[Brand])</f>
        <v>Thailand</v>
      </c>
      <c r="H2594" s="8" t="str">
        <f>_xlfn.XLOOKUP(D2594,Master[Product_Code],Master[Style])</f>
        <v>3/4 Sleeve</v>
      </c>
      <c r="I2594" s="8" t="str">
        <f>_xlfn.XLOOKUP(D2594,Master[Product_Code],Master[Fabric])</f>
        <v>Cotton Blend</v>
      </c>
      <c r="J2594" s="8" t="str">
        <f>_xlfn.XLOOKUP(D2594,Master[Product_Code],Master[Size])</f>
        <v>M</v>
      </c>
      <c r="K2594" s="8" t="str">
        <f>_xlfn.XLOOKUP(D2594,Master[Product_Code],Master[Color])</f>
        <v>Navy Blue</v>
      </c>
      <c r="L2594" s="3">
        <f>_xlfn.XLOOKUP(D2594,Master[Product_Code],Master[Selling_Price])</f>
        <v>400</v>
      </c>
    </row>
    <row r="2595" spans="2:12">
      <c r="B2595" s="2" t="s">
        <v>2837</v>
      </c>
      <c r="C2595" s="7">
        <v>46017</v>
      </c>
      <c r="D2595" s="2" t="s">
        <v>1038</v>
      </c>
      <c r="E2595" s="4">
        <v>1</v>
      </c>
      <c r="F2595" s="8" t="str">
        <f>_xlfn.XLOOKUP(D2595,Master[Product_Code],Master[Category])</f>
        <v>Jeans</v>
      </c>
      <c r="G2595" s="8" t="str">
        <f>_xlfn.XLOOKUP(D2595,Master[Product_Code],Master[Brand])</f>
        <v>Denim Pro</v>
      </c>
      <c r="H2595" s="8" t="str">
        <f>_xlfn.XLOOKUP(D2595,Master[Product_Code],Master[Style])</f>
        <v>Baggy</v>
      </c>
      <c r="I2595" s="8" t="str">
        <f>_xlfn.XLOOKUP(D2595,Master[Product_Code],Master[Fabric])</f>
        <v>Denim</v>
      </c>
      <c r="J2595" s="8">
        <f>_xlfn.XLOOKUP(D2595,Master[Product_Code],Master[Size])</f>
        <v>38</v>
      </c>
      <c r="K2595" s="8" t="str">
        <f>_xlfn.XLOOKUP(D2595,Master[Product_Code],Master[Color])</f>
        <v>Brown</v>
      </c>
      <c r="L2595" s="3">
        <f>_xlfn.XLOOKUP(D2595,Master[Product_Code],Master[Selling_Price])</f>
        <v>970</v>
      </c>
    </row>
    <row r="2596" spans="2:12">
      <c r="B2596" s="2" t="s">
        <v>2837</v>
      </c>
      <c r="C2596" s="7">
        <v>46017</v>
      </c>
      <c r="D2596" s="2" t="s">
        <v>1745</v>
      </c>
      <c r="E2596" s="4">
        <v>1</v>
      </c>
      <c r="F2596" s="8" t="str">
        <f>_xlfn.XLOOKUP(D2596,Master[Product_Code],Master[Category])</f>
        <v>Innerwear</v>
      </c>
      <c r="G2596" s="8" t="str">
        <f>_xlfn.XLOOKUP(D2596,Master[Product_Code],Master[Brand])</f>
        <v>Rupa</v>
      </c>
      <c r="H2596" s="8" t="str">
        <f>_xlfn.XLOOKUP(D2596,Master[Product_Code],Master[Style])</f>
        <v>V-Cut</v>
      </c>
      <c r="I2596" s="8" t="str">
        <f>_xlfn.XLOOKUP(D2596,Master[Product_Code],Master[Fabric])</f>
        <v>Cotton</v>
      </c>
      <c r="J2596" s="8" t="str">
        <f>_xlfn.XLOOKUP(D2596,Master[Product_Code],Master[Size])</f>
        <v>85-90</v>
      </c>
      <c r="K2596" s="8" t="str">
        <f>_xlfn.XLOOKUP(D2596,Master[Product_Code],Master[Color])</f>
        <v>Grey</v>
      </c>
      <c r="L2596" s="3">
        <f>_xlfn.XLOOKUP(D2596,Master[Product_Code],Master[Selling_Price])</f>
        <v>160</v>
      </c>
    </row>
    <row r="2597" spans="2:12">
      <c r="B2597" s="2" t="s">
        <v>2838</v>
      </c>
      <c r="C2597" s="7">
        <v>46017</v>
      </c>
      <c r="D2597" s="2" t="s">
        <v>1362</v>
      </c>
      <c r="E2597" s="4">
        <v>1</v>
      </c>
      <c r="F2597" s="8" t="str">
        <f>_xlfn.XLOOKUP(D2597,Master[Product_Code],Master[Category])</f>
        <v>Pants</v>
      </c>
      <c r="G2597" s="8" t="str">
        <f>_xlfn.XLOOKUP(D2597,Master[Product_Code],Master[Brand])</f>
        <v>Park Avenue</v>
      </c>
      <c r="H2597" s="8" t="str">
        <f>_xlfn.XLOOKUP(D2597,Master[Product_Code],Master[Style])</f>
        <v>Polofit</v>
      </c>
      <c r="I2597" s="8" t="str">
        <f>_xlfn.XLOOKUP(D2597,Master[Product_Code],Master[Fabric])</f>
        <v>Lycra</v>
      </c>
      <c r="J2597" s="8">
        <f>_xlfn.XLOOKUP(D2597,Master[Product_Code],Master[Size])</f>
        <v>42</v>
      </c>
      <c r="K2597" s="8" t="str">
        <f>_xlfn.XLOOKUP(D2597,Master[Product_Code],Master[Color])</f>
        <v>Beige</v>
      </c>
      <c r="L2597" s="3">
        <f>_xlfn.XLOOKUP(D2597,Master[Product_Code],Master[Selling_Price])</f>
        <v>820</v>
      </c>
    </row>
    <row r="2598" spans="2:12">
      <c r="B2598" s="2" t="s">
        <v>2838</v>
      </c>
      <c r="C2598" s="7">
        <v>46017</v>
      </c>
      <c r="D2598" s="2" t="s">
        <v>519</v>
      </c>
      <c r="E2598" s="4">
        <v>1</v>
      </c>
      <c r="F2598" s="8" t="str">
        <f>_xlfn.XLOOKUP(D2598,Master[Product_Code],Master[Category])</f>
        <v>T-Shirt</v>
      </c>
      <c r="G2598" s="8" t="str">
        <f>_xlfn.XLOOKUP(D2598,Master[Product_Code],Master[Brand])</f>
        <v>Roadster</v>
      </c>
      <c r="H2598" s="8" t="str">
        <f>_xlfn.XLOOKUP(D2598,Master[Product_Code],Master[Style])</f>
        <v>Half Sleeve</v>
      </c>
      <c r="I2598" s="8" t="str">
        <f>_xlfn.XLOOKUP(D2598,Master[Product_Code],Master[Fabric])</f>
        <v>Poly Cotton</v>
      </c>
      <c r="J2598" s="8" t="str">
        <f>_xlfn.XLOOKUP(D2598,Master[Product_Code],Master[Size])</f>
        <v>M</v>
      </c>
      <c r="K2598" s="8" t="str">
        <f>_xlfn.XLOOKUP(D2598,Master[Product_Code],Master[Color])</f>
        <v>Cream</v>
      </c>
      <c r="L2598" s="3">
        <f>_xlfn.XLOOKUP(D2598,Master[Product_Code],Master[Selling_Price])</f>
        <v>590</v>
      </c>
    </row>
    <row r="2599" spans="2:12">
      <c r="B2599" s="2" t="s">
        <v>2839</v>
      </c>
      <c r="C2599" s="7">
        <v>46017</v>
      </c>
      <c r="D2599" s="2" t="s">
        <v>1609</v>
      </c>
      <c r="E2599" s="4">
        <v>1</v>
      </c>
      <c r="F2599" s="8" t="str">
        <f>_xlfn.XLOOKUP(D2599,Master[Product_Code],Master[Category])</f>
        <v>Innerwear</v>
      </c>
      <c r="G2599" s="8" t="str">
        <f>_xlfn.XLOOKUP(D2599,Master[Product_Code],Master[Brand])</f>
        <v>V Star</v>
      </c>
      <c r="H2599" s="8" t="str">
        <f>_xlfn.XLOOKUP(D2599,Master[Product_Code],Master[Style])</f>
        <v>V-Cut</v>
      </c>
      <c r="I2599" s="8" t="str">
        <f>_xlfn.XLOOKUP(D2599,Master[Product_Code],Master[Fabric])</f>
        <v>Cotton Blend</v>
      </c>
      <c r="J2599" s="8" t="str">
        <f>_xlfn.XLOOKUP(D2599,Master[Product_Code],Master[Size])</f>
        <v>85-90</v>
      </c>
      <c r="K2599" s="8" t="str">
        <f>_xlfn.XLOOKUP(D2599,Master[Product_Code],Master[Color])</f>
        <v>Peach</v>
      </c>
      <c r="L2599" s="3">
        <f>_xlfn.XLOOKUP(D2599,Master[Product_Code],Master[Selling_Price])</f>
        <v>140</v>
      </c>
    </row>
    <row r="2600" spans="2:12">
      <c r="B2600" s="2" t="s">
        <v>2839</v>
      </c>
      <c r="C2600" s="7">
        <v>46017</v>
      </c>
      <c r="D2600" s="2" t="s">
        <v>295</v>
      </c>
      <c r="E2600" s="4">
        <v>1</v>
      </c>
      <c r="F2600" s="8" t="str">
        <f>_xlfn.XLOOKUP(D2600,Master[Product_Code],Master[Category])</f>
        <v>Shirt</v>
      </c>
      <c r="G2600" s="8" t="str">
        <f>_xlfn.XLOOKUP(D2600,Master[Product_Code],Master[Brand])</f>
        <v>Max</v>
      </c>
      <c r="H2600" s="8" t="str">
        <f>_xlfn.XLOOKUP(D2600,Master[Product_Code],Master[Style])</f>
        <v>Formal</v>
      </c>
      <c r="I2600" s="8" t="str">
        <f>_xlfn.XLOOKUP(D2600,Master[Product_Code],Master[Fabric])</f>
        <v>Cotton</v>
      </c>
      <c r="J2600" s="8" t="str">
        <f>_xlfn.XLOOKUP(D2600,Master[Product_Code],Master[Size])</f>
        <v>XL</v>
      </c>
      <c r="K2600" s="8" t="str">
        <f>_xlfn.XLOOKUP(D2600,Master[Product_Code],Master[Color])</f>
        <v>Royal Blue</v>
      </c>
      <c r="L2600" s="3">
        <f>_xlfn.XLOOKUP(D2600,Master[Product_Code],Master[Selling_Price])</f>
        <v>780</v>
      </c>
    </row>
    <row r="2601" spans="2:12">
      <c r="B2601" s="2" t="s">
        <v>2839</v>
      </c>
      <c r="C2601" s="7">
        <v>46017</v>
      </c>
      <c r="D2601" s="2" t="s">
        <v>318</v>
      </c>
      <c r="E2601" s="4">
        <v>1</v>
      </c>
      <c r="F2601" s="8" t="str">
        <f>_xlfn.XLOOKUP(D2601,Master[Product_Code],Master[Category])</f>
        <v>Shirt</v>
      </c>
      <c r="G2601" s="8" t="str">
        <f>_xlfn.XLOOKUP(D2601,Master[Product_Code],Master[Brand])</f>
        <v>Max</v>
      </c>
      <c r="H2601" s="8" t="str">
        <f>_xlfn.XLOOKUP(D2601,Master[Product_Code],Master[Style])</f>
        <v>Formal</v>
      </c>
      <c r="I2601" s="8" t="str">
        <f>_xlfn.XLOOKUP(D2601,Master[Product_Code],Master[Fabric])</f>
        <v>Cotton</v>
      </c>
      <c r="J2601" s="8" t="str">
        <f>_xlfn.XLOOKUP(D2601,Master[Product_Code],Master[Size])</f>
        <v>M</v>
      </c>
      <c r="K2601" s="8" t="str">
        <f>_xlfn.XLOOKUP(D2601,Master[Product_Code],Master[Color])</f>
        <v>Navy Blue</v>
      </c>
      <c r="L2601" s="3">
        <f>_xlfn.XLOOKUP(D2601,Master[Product_Code],Master[Selling_Price])</f>
        <v>880</v>
      </c>
    </row>
    <row r="2602" spans="2:12">
      <c r="B2602" s="2" t="s">
        <v>2839</v>
      </c>
      <c r="C2602" s="7">
        <v>46017</v>
      </c>
      <c r="D2602" s="2" t="s">
        <v>1674</v>
      </c>
      <c r="E2602" s="4">
        <v>1</v>
      </c>
      <c r="F2602" s="8" t="str">
        <f>_xlfn.XLOOKUP(D2602,Master[Product_Code],Master[Category])</f>
        <v>Innerwear</v>
      </c>
      <c r="G2602" s="8" t="str">
        <f>_xlfn.XLOOKUP(D2602,Master[Product_Code],Master[Brand])</f>
        <v>Jockey</v>
      </c>
      <c r="H2602" s="8" t="str">
        <f>_xlfn.XLOOKUP(D2602,Master[Product_Code],Master[Style])</f>
        <v>Boxer</v>
      </c>
      <c r="I2602" s="8" t="str">
        <f>_xlfn.XLOOKUP(D2602,Master[Product_Code],Master[Fabric])</f>
        <v>Cotton</v>
      </c>
      <c r="J2602" s="8" t="str">
        <f>_xlfn.XLOOKUP(D2602,Master[Product_Code],Master[Size])</f>
        <v>105-110</v>
      </c>
      <c r="K2602" s="8" t="str">
        <f>_xlfn.XLOOKUP(D2602,Master[Product_Code],Master[Color])</f>
        <v>Charcoal</v>
      </c>
      <c r="L2602" s="3">
        <f>_xlfn.XLOOKUP(D2602,Master[Product_Code],Master[Selling_Price])</f>
        <v>180</v>
      </c>
    </row>
    <row r="2603" spans="2:12">
      <c r="B2603" s="2" t="s">
        <v>2840</v>
      </c>
      <c r="C2603" s="7">
        <v>46017</v>
      </c>
      <c r="D2603" s="2" t="s">
        <v>888</v>
      </c>
      <c r="E2603" s="4">
        <v>1</v>
      </c>
      <c r="F2603" s="8" t="str">
        <f>_xlfn.XLOOKUP(D2603,Master[Product_Code],Master[Category])</f>
        <v>Jeans</v>
      </c>
      <c r="G2603" s="8" t="str">
        <f>_xlfn.XLOOKUP(D2603,Master[Product_Code],Master[Brand])</f>
        <v>Wrangler</v>
      </c>
      <c r="H2603" s="8" t="str">
        <f>_xlfn.XLOOKUP(D2603,Master[Product_Code],Master[Style])</f>
        <v>Baggy</v>
      </c>
      <c r="I2603" s="8" t="str">
        <f>_xlfn.XLOOKUP(D2603,Master[Product_Code],Master[Fabric])</f>
        <v>Denim</v>
      </c>
      <c r="J2603" s="8">
        <f>_xlfn.XLOOKUP(D2603,Master[Product_Code],Master[Size])</f>
        <v>42</v>
      </c>
      <c r="K2603" s="8" t="str">
        <f>_xlfn.XLOOKUP(D2603,Master[Product_Code],Master[Color])</f>
        <v>Black</v>
      </c>
      <c r="L2603" s="3">
        <f>_xlfn.XLOOKUP(D2603,Master[Product_Code],Master[Selling_Price])</f>
        <v>930</v>
      </c>
    </row>
    <row r="2604" spans="2:12">
      <c r="B2604" s="2" t="s">
        <v>2840</v>
      </c>
      <c r="C2604" s="7">
        <v>46017</v>
      </c>
      <c r="D2604" s="2" t="s">
        <v>1554</v>
      </c>
      <c r="E2604" s="4">
        <v>1</v>
      </c>
      <c r="F2604" s="8" t="str">
        <f>_xlfn.XLOOKUP(D2604,Master[Product_Code],Master[Category])</f>
        <v>Innerwear</v>
      </c>
      <c r="G2604" s="8" t="str">
        <f>_xlfn.XLOOKUP(D2604,Master[Product_Code],Master[Brand])</f>
        <v>Dollar</v>
      </c>
      <c r="H2604" s="8" t="str">
        <f>_xlfn.XLOOKUP(D2604,Master[Product_Code],Master[Style])</f>
        <v>Boxer</v>
      </c>
      <c r="I2604" s="8" t="str">
        <f>_xlfn.XLOOKUP(D2604,Master[Product_Code],Master[Fabric])</f>
        <v>Cotton Blend</v>
      </c>
      <c r="J2604" s="8" t="str">
        <f>_xlfn.XLOOKUP(D2604,Master[Product_Code],Master[Size])</f>
        <v>105-110</v>
      </c>
      <c r="K2604" s="8" t="str">
        <f>_xlfn.XLOOKUP(D2604,Master[Product_Code],Master[Color])</f>
        <v>Dark Green</v>
      </c>
      <c r="L2604" s="3">
        <f>_xlfn.XLOOKUP(D2604,Master[Product_Code],Master[Selling_Price])</f>
        <v>110</v>
      </c>
    </row>
    <row r="2605" spans="2:12">
      <c r="B2605" s="2" t="s">
        <v>2840</v>
      </c>
      <c r="C2605" s="7">
        <v>46017</v>
      </c>
      <c r="D2605" s="2" t="s">
        <v>1646</v>
      </c>
      <c r="E2605" s="4">
        <v>1</v>
      </c>
      <c r="F2605" s="8" t="str">
        <f>_xlfn.XLOOKUP(D2605,Master[Product_Code],Master[Category])</f>
        <v>Innerwear</v>
      </c>
      <c r="G2605" s="8" t="str">
        <f>_xlfn.XLOOKUP(D2605,Master[Product_Code],Master[Brand])</f>
        <v>Rupa</v>
      </c>
      <c r="H2605" s="8" t="str">
        <f>_xlfn.XLOOKUP(D2605,Master[Product_Code],Master[Style])</f>
        <v>Boxer</v>
      </c>
      <c r="I2605" s="8" t="str">
        <f>_xlfn.XLOOKUP(D2605,Master[Product_Code],Master[Fabric])</f>
        <v>Cotton Blend</v>
      </c>
      <c r="J2605" s="8" t="str">
        <f>_xlfn.XLOOKUP(D2605,Master[Product_Code],Master[Size])</f>
        <v>100-105</v>
      </c>
      <c r="K2605" s="8" t="str">
        <f>_xlfn.XLOOKUP(D2605,Master[Product_Code],Master[Color])</f>
        <v>Sky Blue</v>
      </c>
      <c r="L2605" s="3">
        <f>_xlfn.XLOOKUP(D2605,Master[Product_Code],Master[Selling_Price])</f>
        <v>150</v>
      </c>
    </row>
    <row r="2606" spans="2:12">
      <c r="B2606" s="2" t="s">
        <v>2841</v>
      </c>
      <c r="C2606" s="7">
        <v>46017</v>
      </c>
      <c r="D2606" s="2" t="s">
        <v>841</v>
      </c>
      <c r="E2606" s="4">
        <v>1</v>
      </c>
      <c r="F2606" s="8" t="str">
        <f>_xlfn.XLOOKUP(D2606,Master[Product_Code],Master[Category])</f>
        <v>Jeans</v>
      </c>
      <c r="G2606" s="8" t="str">
        <f>_xlfn.XLOOKUP(D2606,Master[Product_Code],Master[Brand])</f>
        <v>Wrangler</v>
      </c>
      <c r="H2606" s="8" t="str">
        <f>_xlfn.XLOOKUP(D2606,Master[Product_Code],Master[Style])</f>
        <v>Baggy</v>
      </c>
      <c r="I2606" s="8" t="str">
        <f>_xlfn.XLOOKUP(D2606,Master[Product_Code],Master[Fabric])</f>
        <v>Denim</v>
      </c>
      <c r="J2606" s="8">
        <f>_xlfn.XLOOKUP(D2606,Master[Product_Code],Master[Size])</f>
        <v>30</v>
      </c>
      <c r="K2606" s="8" t="str">
        <f>_xlfn.XLOOKUP(D2606,Master[Product_Code],Master[Color])</f>
        <v>Navy Blue</v>
      </c>
      <c r="L2606" s="3">
        <f>_xlfn.XLOOKUP(D2606,Master[Product_Code],Master[Selling_Price])</f>
        <v>1000</v>
      </c>
    </row>
    <row r="2607" spans="2:12">
      <c r="B2607" s="2" t="s">
        <v>2842</v>
      </c>
      <c r="C2607" s="7">
        <v>46017</v>
      </c>
      <c r="D2607" s="2" t="s">
        <v>765</v>
      </c>
      <c r="E2607" s="4">
        <v>1</v>
      </c>
      <c r="F2607" s="8" t="str">
        <f>_xlfn.XLOOKUP(D2607,Master[Product_Code],Master[Category])</f>
        <v>T-Shirt</v>
      </c>
      <c r="G2607" s="8" t="str">
        <f>_xlfn.XLOOKUP(D2607,Master[Product_Code],Master[Brand])</f>
        <v>Turkey</v>
      </c>
      <c r="H2607" s="8" t="str">
        <f>_xlfn.XLOOKUP(D2607,Master[Product_Code],Master[Style])</f>
        <v>Half Sleeve</v>
      </c>
      <c r="I2607" s="8" t="str">
        <f>_xlfn.XLOOKUP(D2607,Master[Product_Code],Master[Fabric])</f>
        <v>Poly Cotton</v>
      </c>
      <c r="J2607" s="8" t="str">
        <f>_xlfn.XLOOKUP(D2607,Master[Product_Code],Master[Size])</f>
        <v>M</v>
      </c>
      <c r="K2607" s="8" t="str">
        <f>_xlfn.XLOOKUP(D2607,Master[Product_Code],Master[Color])</f>
        <v>Wine</v>
      </c>
      <c r="L2607" s="3">
        <f>_xlfn.XLOOKUP(D2607,Master[Product_Code],Master[Selling_Price])</f>
        <v>470</v>
      </c>
    </row>
    <row r="2608" spans="2:12">
      <c r="B2608" s="2" t="s">
        <v>2842</v>
      </c>
      <c r="C2608" s="7">
        <v>46017</v>
      </c>
      <c r="D2608" s="2" t="s">
        <v>1086</v>
      </c>
      <c r="E2608" s="4">
        <v>1</v>
      </c>
      <c r="F2608" s="8" t="str">
        <f>_xlfn.XLOOKUP(D2608,Master[Product_Code],Master[Category])</f>
        <v>Jeans</v>
      </c>
      <c r="G2608" s="8" t="str">
        <f>_xlfn.XLOOKUP(D2608,Master[Product_Code],Master[Brand])</f>
        <v>Levis</v>
      </c>
      <c r="H2608" s="8" t="str">
        <f>_xlfn.XLOOKUP(D2608,Master[Product_Code],Master[Style])</f>
        <v>Mom Fit</v>
      </c>
      <c r="I2608" s="8" t="str">
        <f>_xlfn.XLOOKUP(D2608,Master[Product_Code],Master[Fabric])</f>
        <v>Denim</v>
      </c>
      <c r="J2608" s="8">
        <f>_xlfn.XLOOKUP(D2608,Master[Product_Code],Master[Size])</f>
        <v>44</v>
      </c>
      <c r="K2608" s="8" t="str">
        <f>_xlfn.XLOOKUP(D2608,Master[Product_Code],Master[Color])</f>
        <v>Olive</v>
      </c>
      <c r="L2608" s="3">
        <f>_xlfn.XLOOKUP(D2608,Master[Product_Code],Master[Selling_Price])</f>
        <v>1040</v>
      </c>
    </row>
    <row r="2609" spans="2:12">
      <c r="B2609" s="2" t="s">
        <v>2843</v>
      </c>
      <c r="C2609" s="7">
        <v>46017</v>
      </c>
      <c r="D2609" s="2" t="s">
        <v>1245</v>
      </c>
      <c r="E2609" s="4">
        <v>1</v>
      </c>
      <c r="F2609" s="8" t="str">
        <f>_xlfn.XLOOKUP(D2609,Master[Product_Code],Master[Category])</f>
        <v>Pants</v>
      </c>
      <c r="G2609" s="8" t="str">
        <f>_xlfn.XLOOKUP(D2609,Master[Product_Code],Master[Brand])</f>
        <v>Peter England</v>
      </c>
      <c r="H2609" s="8" t="str">
        <f>_xlfn.XLOOKUP(D2609,Master[Product_Code],Master[Style])</f>
        <v>Korean</v>
      </c>
      <c r="I2609" s="8" t="str">
        <f>_xlfn.XLOOKUP(D2609,Master[Product_Code],Master[Fabric])</f>
        <v>Lycra</v>
      </c>
      <c r="J2609" s="8">
        <f>_xlfn.XLOOKUP(D2609,Master[Product_Code],Master[Size])</f>
        <v>38</v>
      </c>
      <c r="K2609" s="8" t="str">
        <f>_xlfn.XLOOKUP(D2609,Master[Product_Code],Master[Color])</f>
        <v>Peach</v>
      </c>
      <c r="L2609" s="3">
        <f>_xlfn.XLOOKUP(D2609,Master[Product_Code],Master[Selling_Price])</f>
        <v>870</v>
      </c>
    </row>
    <row r="2610" spans="2:12">
      <c r="B2610" s="2" t="s">
        <v>2843</v>
      </c>
      <c r="C2610" s="7">
        <v>46017</v>
      </c>
      <c r="D2610" s="2" t="s">
        <v>1028</v>
      </c>
      <c r="E2610" s="4">
        <v>1</v>
      </c>
      <c r="F2610" s="8" t="str">
        <f>_xlfn.XLOOKUP(D2610,Master[Product_Code],Master[Category])</f>
        <v>Jeans</v>
      </c>
      <c r="G2610" s="8" t="str">
        <f>_xlfn.XLOOKUP(D2610,Master[Product_Code],Master[Brand])</f>
        <v>Levis</v>
      </c>
      <c r="H2610" s="8" t="str">
        <f>_xlfn.XLOOKUP(D2610,Master[Product_Code],Master[Style])</f>
        <v>Baggy</v>
      </c>
      <c r="I2610" s="8" t="str">
        <f>_xlfn.XLOOKUP(D2610,Master[Product_Code],Master[Fabric])</f>
        <v>Denim</v>
      </c>
      <c r="J2610" s="8">
        <f>_xlfn.XLOOKUP(D2610,Master[Product_Code],Master[Size])</f>
        <v>32</v>
      </c>
      <c r="K2610" s="8" t="str">
        <f>_xlfn.XLOOKUP(D2610,Master[Product_Code],Master[Color])</f>
        <v>Brown</v>
      </c>
      <c r="L2610" s="3">
        <f>_xlfn.XLOOKUP(D2610,Master[Product_Code],Master[Selling_Price])</f>
        <v>970</v>
      </c>
    </row>
    <row r="2611" spans="2:12">
      <c r="B2611" s="2" t="s">
        <v>2843</v>
      </c>
      <c r="C2611" s="7">
        <v>46017</v>
      </c>
      <c r="D2611" s="2" t="s">
        <v>1064</v>
      </c>
      <c r="E2611" s="4">
        <v>1</v>
      </c>
      <c r="F2611" s="8" t="str">
        <f>_xlfn.XLOOKUP(D2611,Master[Product_Code],Master[Category])</f>
        <v>Jeans</v>
      </c>
      <c r="G2611" s="8" t="str">
        <f>_xlfn.XLOOKUP(D2611,Master[Product_Code],Master[Brand])</f>
        <v>Levis</v>
      </c>
      <c r="H2611" s="8" t="str">
        <f>_xlfn.XLOOKUP(D2611,Master[Product_Code],Master[Style])</f>
        <v>Mom Fit</v>
      </c>
      <c r="I2611" s="8" t="str">
        <f>_xlfn.XLOOKUP(D2611,Master[Product_Code],Master[Fabric])</f>
        <v>Denim</v>
      </c>
      <c r="J2611" s="8">
        <f>_xlfn.XLOOKUP(D2611,Master[Product_Code],Master[Size])</f>
        <v>30</v>
      </c>
      <c r="K2611" s="8" t="str">
        <f>_xlfn.XLOOKUP(D2611,Master[Product_Code],Master[Color])</f>
        <v>Maroon</v>
      </c>
      <c r="L2611" s="3">
        <f>_xlfn.XLOOKUP(D2611,Master[Product_Code],Master[Selling_Price])</f>
        <v>990</v>
      </c>
    </row>
    <row r="2612" spans="2:12">
      <c r="B2612" s="2" t="s">
        <v>2844</v>
      </c>
      <c r="C2612" s="7">
        <v>46017</v>
      </c>
      <c r="D2612" s="2" t="s">
        <v>1669</v>
      </c>
      <c r="E2612" s="4">
        <v>1</v>
      </c>
      <c r="F2612" s="8" t="str">
        <f>_xlfn.XLOOKUP(D2612,Master[Product_Code],Master[Category])</f>
        <v>Innerwear</v>
      </c>
      <c r="G2612" s="8" t="str">
        <f>_xlfn.XLOOKUP(D2612,Master[Product_Code],Master[Brand])</f>
        <v>Jockey</v>
      </c>
      <c r="H2612" s="8" t="str">
        <f>_xlfn.XLOOKUP(D2612,Master[Product_Code],Master[Style])</f>
        <v>V-Cut</v>
      </c>
      <c r="I2612" s="8" t="str">
        <f>_xlfn.XLOOKUP(D2612,Master[Product_Code],Master[Fabric])</f>
        <v>Cotton Blend</v>
      </c>
      <c r="J2612" s="8" t="str">
        <f>_xlfn.XLOOKUP(D2612,Master[Product_Code],Master[Size])</f>
        <v>100-105</v>
      </c>
      <c r="K2612" s="8" t="str">
        <f>_xlfn.XLOOKUP(D2612,Master[Product_Code],Master[Color])</f>
        <v>Brown</v>
      </c>
      <c r="L2612" s="3">
        <f>_xlfn.XLOOKUP(D2612,Master[Product_Code],Master[Selling_Price])</f>
        <v>130</v>
      </c>
    </row>
    <row r="2613" spans="2:12">
      <c r="B2613" s="2" t="s">
        <v>2845</v>
      </c>
      <c r="C2613" s="7">
        <v>46017</v>
      </c>
      <c r="D2613" s="2" t="s">
        <v>600</v>
      </c>
      <c r="E2613" s="4">
        <v>1</v>
      </c>
      <c r="F2613" s="8" t="str">
        <f>_xlfn.XLOOKUP(D2613,Master[Product_Code],Master[Category])</f>
        <v>T-Shirt</v>
      </c>
      <c r="G2613" s="8" t="str">
        <f>_xlfn.XLOOKUP(D2613,Master[Product_Code],Master[Brand])</f>
        <v>Thailand</v>
      </c>
      <c r="H2613" s="8" t="str">
        <f>_xlfn.XLOOKUP(D2613,Master[Product_Code],Master[Style])</f>
        <v>Full Sleeve</v>
      </c>
      <c r="I2613" s="8" t="str">
        <f>_xlfn.XLOOKUP(D2613,Master[Product_Code],Master[Fabric])</f>
        <v>Cotton</v>
      </c>
      <c r="J2613" s="8" t="str">
        <f>_xlfn.XLOOKUP(D2613,Master[Product_Code],Master[Size])</f>
        <v>XL</v>
      </c>
      <c r="K2613" s="8" t="str">
        <f>_xlfn.XLOOKUP(D2613,Master[Product_Code],Master[Color])</f>
        <v>Dark Green</v>
      </c>
      <c r="L2613" s="3">
        <f>_xlfn.XLOOKUP(D2613,Master[Product_Code],Master[Selling_Price])</f>
        <v>280</v>
      </c>
    </row>
    <row r="2614" spans="2:12">
      <c r="B2614" s="2" t="s">
        <v>2845</v>
      </c>
      <c r="C2614" s="7">
        <v>46017</v>
      </c>
      <c r="D2614" s="2" t="s">
        <v>820</v>
      </c>
      <c r="E2614" s="4">
        <v>1</v>
      </c>
      <c r="F2614" s="8" t="str">
        <f>_xlfn.XLOOKUP(D2614,Master[Product_Code],Master[Category])</f>
        <v>T-Shirt</v>
      </c>
      <c r="G2614" s="8" t="str">
        <f>_xlfn.XLOOKUP(D2614,Master[Product_Code],Master[Brand])</f>
        <v>Roadster</v>
      </c>
      <c r="H2614" s="8" t="str">
        <f>_xlfn.XLOOKUP(D2614,Master[Product_Code],Master[Style])</f>
        <v>Half Sleeve</v>
      </c>
      <c r="I2614" s="8" t="str">
        <f>_xlfn.XLOOKUP(D2614,Master[Product_Code],Master[Fabric])</f>
        <v>Poly Cotton</v>
      </c>
      <c r="J2614" s="8" t="str">
        <f>_xlfn.XLOOKUP(D2614,Master[Product_Code],Master[Size])</f>
        <v>L</v>
      </c>
      <c r="K2614" s="8" t="str">
        <f>_xlfn.XLOOKUP(D2614,Master[Product_Code],Master[Color])</f>
        <v>Rust</v>
      </c>
      <c r="L2614" s="3">
        <f>_xlfn.XLOOKUP(D2614,Master[Product_Code],Master[Selling_Price])</f>
        <v>550</v>
      </c>
    </row>
    <row r="2615" spans="2:12">
      <c r="B2615" s="2" t="s">
        <v>2846</v>
      </c>
      <c r="C2615" s="7">
        <v>46017</v>
      </c>
      <c r="D2615" s="2" t="s">
        <v>329</v>
      </c>
      <c r="E2615" s="4">
        <v>1</v>
      </c>
      <c r="F2615" s="8" t="str">
        <f>_xlfn.XLOOKUP(D2615,Master[Product_Code],Master[Category])</f>
        <v>Shirt</v>
      </c>
      <c r="G2615" s="8" t="str">
        <f>_xlfn.XLOOKUP(D2615,Master[Product_Code],Master[Brand])</f>
        <v>Thailand</v>
      </c>
      <c r="H2615" s="8" t="str">
        <f>_xlfn.XLOOKUP(D2615,Master[Product_Code],Master[Style])</f>
        <v>Partywear</v>
      </c>
      <c r="I2615" s="8" t="str">
        <f>_xlfn.XLOOKUP(D2615,Master[Product_Code],Master[Fabric])</f>
        <v>Cotton</v>
      </c>
      <c r="J2615" s="8" t="str">
        <f>_xlfn.XLOOKUP(D2615,Master[Product_Code],Master[Size])</f>
        <v>XXL</v>
      </c>
      <c r="K2615" s="8" t="str">
        <f>_xlfn.XLOOKUP(D2615,Master[Product_Code],Master[Color])</f>
        <v>Olive</v>
      </c>
      <c r="L2615" s="3">
        <f>_xlfn.XLOOKUP(D2615,Master[Product_Code],Master[Selling_Price])</f>
        <v>850</v>
      </c>
    </row>
    <row r="2616" spans="2:12">
      <c r="B2616" s="2" t="s">
        <v>2846</v>
      </c>
      <c r="C2616" s="7">
        <v>46017</v>
      </c>
      <c r="D2616" s="2" t="s">
        <v>243</v>
      </c>
      <c r="E2616" s="4">
        <v>1</v>
      </c>
      <c r="F2616" s="8" t="str">
        <f>_xlfn.XLOOKUP(D2616,Master[Product_Code],Master[Category])</f>
        <v>Shirt</v>
      </c>
      <c r="G2616" s="8" t="str">
        <f>_xlfn.XLOOKUP(D2616,Master[Product_Code],Master[Brand])</f>
        <v>Thailand</v>
      </c>
      <c r="H2616" s="8" t="str">
        <f>_xlfn.XLOOKUP(D2616,Master[Product_Code],Master[Style])</f>
        <v>Casual</v>
      </c>
      <c r="I2616" s="8" t="str">
        <f>_xlfn.XLOOKUP(D2616,Master[Product_Code],Master[Fabric])</f>
        <v>Cotton</v>
      </c>
      <c r="J2616" s="8" t="str">
        <f>_xlfn.XLOOKUP(D2616,Master[Product_Code],Master[Size])</f>
        <v>XXL</v>
      </c>
      <c r="K2616" s="8" t="str">
        <f>_xlfn.XLOOKUP(D2616,Master[Product_Code],Master[Color])</f>
        <v>Wine</v>
      </c>
      <c r="L2616" s="3">
        <f>_xlfn.XLOOKUP(D2616,Master[Product_Code],Master[Selling_Price])</f>
        <v>840</v>
      </c>
    </row>
    <row r="2617" spans="2:12">
      <c r="B2617" s="2" t="s">
        <v>2846</v>
      </c>
      <c r="C2617" s="7">
        <v>46017</v>
      </c>
      <c r="D2617" s="2" t="s">
        <v>1225</v>
      </c>
      <c r="E2617" s="4">
        <v>1</v>
      </c>
      <c r="F2617" s="8" t="str">
        <f>_xlfn.XLOOKUP(D2617,Master[Product_Code],Master[Category])</f>
        <v>Pants</v>
      </c>
      <c r="G2617" s="8" t="str">
        <f>_xlfn.XLOOKUP(D2617,Master[Product_Code],Master[Brand])</f>
        <v>Peter England</v>
      </c>
      <c r="H2617" s="8" t="str">
        <f>_xlfn.XLOOKUP(D2617,Master[Product_Code],Master[Style])</f>
        <v>Korean</v>
      </c>
      <c r="I2617" s="8" t="str">
        <f>_xlfn.XLOOKUP(D2617,Master[Product_Code],Master[Fabric])</f>
        <v>Lycra</v>
      </c>
      <c r="J2617" s="8">
        <f>_xlfn.XLOOKUP(D2617,Master[Product_Code],Master[Size])</f>
        <v>28</v>
      </c>
      <c r="K2617" s="8" t="str">
        <f>_xlfn.XLOOKUP(D2617,Master[Product_Code],Master[Color])</f>
        <v>Brown</v>
      </c>
      <c r="L2617" s="3">
        <f>_xlfn.XLOOKUP(D2617,Master[Product_Code],Master[Selling_Price])</f>
        <v>890</v>
      </c>
    </row>
    <row r="2618" spans="2:12">
      <c r="B2618" s="2" t="s">
        <v>2847</v>
      </c>
      <c r="C2618" s="7">
        <v>46017</v>
      </c>
      <c r="D2618" s="2" t="s">
        <v>1526</v>
      </c>
      <c r="E2618" s="4">
        <v>1</v>
      </c>
      <c r="F2618" s="8" t="str">
        <f>_xlfn.XLOOKUP(D2618,Master[Product_Code],Master[Category])</f>
        <v>Innerwear</v>
      </c>
      <c r="G2618" s="8" t="str">
        <f>_xlfn.XLOOKUP(D2618,Master[Product_Code],Master[Brand])</f>
        <v>Lux</v>
      </c>
      <c r="H2618" s="8" t="str">
        <f>_xlfn.XLOOKUP(D2618,Master[Product_Code],Master[Style])</f>
        <v>Boxer</v>
      </c>
      <c r="I2618" s="8" t="str">
        <f>_xlfn.XLOOKUP(D2618,Master[Product_Code],Master[Fabric])</f>
        <v>Cotton</v>
      </c>
      <c r="J2618" s="8" t="str">
        <f>_xlfn.XLOOKUP(D2618,Master[Product_Code],Master[Size])</f>
        <v>105-110</v>
      </c>
      <c r="K2618" s="8" t="str">
        <f>_xlfn.XLOOKUP(D2618,Master[Product_Code],Master[Color])</f>
        <v>Maroon</v>
      </c>
      <c r="L2618" s="3">
        <f>_xlfn.XLOOKUP(D2618,Master[Product_Code],Master[Selling_Price])</f>
        <v>180</v>
      </c>
    </row>
    <row r="2619" spans="2:12">
      <c r="B2619" s="2" t="s">
        <v>2847</v>
      </c>
      <c r="C2619" s="7">
        <v>46017</v>
      </c>
      <c r="D2619" s="2" t="s">
        <v>386</v>
      </c>
      <c r="E2619" s="4">
        <v>1</v>
      </c>
      <c r="F2619" s="8" t="str">
        <f>_xlfn.XLOOKUP(D2619,Master[Product_Code],Master[Category])</f>
        <v>Shirt</v>
      </c>
      <c r="G2619" s="8" t="str">
        <f>_xlfn.XLOOKUP(D2619,Master[Product_Code],Master[Brand])</f>
        <v>Zara</v>
      </c>
      <c r="H2619" s="8" t="str">
        <f>_xlfn.XLOOKUP(D2619,Master[Product_Code],Master[Style])</f>
        <v>Partywear</v>
      </c>
      <c r="I2619" s="8" t="str">
        <f>_xlfn.XLOOKUP(D2619,Master[Product_Code],Master[Fabric])</f>
        <v>Lycra</v>
      </c>
      <c r="J2619" s="8" t="str">
        <f>_xlfn.XLOOKUP(D2619,Master[Product_Code],Master[Size])</f>
        <v>XXL</v>
      </c>
      <c r="K2619" s="8" t="str">
        <f>_xlfn.XLOOKUP(D2619,Master[Product_Code],Master[Color])</f>
        <v>Navy Blue</v>
      </c>
      <c r="L2619" s="3">
        <f>_xlfn.XLOOKUP(D2619,Master[Product_Code],Master[Selling_Price])</f>
        <v>720</v>
      </c>
    </row>
    <row r="2620" spans="2:12">
      <c r="B2620" s="2" t="s">
        <v>2848</v>
      </c>
      <c r="C2620" s="7">
        <v>46017</v>
      </c>
      <c r="D2620" s="2" t="s">
        <v>44</v>
      </c>
      <c r="E2620" s="4">
        <v>1</v>
      </c>
      <c r="F2620" s="8" t="str">
        <f>_xlfn.XLOOKUP(D2620,Master[Product_Code],Master[Category])</f>
        <v>Shirt</v>
      </c>
      <c r="G2620" s="8" t="str">
        <f>_xlfn.XLOOKUP(D2620,Master[Product_Code],Master[Brand])</f>
        <v>L7</v>
      </c>
      <c r="H2620" s="8" t="str">
        <f>_xlfn.XLOOKUP(D2620,Master[Product_Code],Master[Style])</f>
        <v>Casual</v>
      </c>
      <c r="I2620" s="8" t="str">
        <f>_xlfn.XLOOKUP(D2620,Master[Product_Code],Master[Fabric])</f>
        <v>Cotton Blend</v>
      </c>
      <c r="J2620" s="8" t="str">
        <f>_xlfn.XLOOKUP(D2620,Master[Product_Code],Master[Size])</f>
        <v>XL</v>
      </c>
      <c r="K2620" s="8" t="str">
        <f>_xlfn.XLOOKUP(D2620,Master[Product_Code],Master[Color])</f>
        <v>Teal</v>
      </c>
      <c r="L2620" s="3">
        <f>_xlfn.XLOOKUP(D2620,Master[Product_Code],Master[Selling_Price])</f>
        <v>940</v>
      </c>
    </row>
    <row r="2621" spans="2:12">
      <c r="B2621" s="2" t="s">
        <v>2848</v>
      </c>
      <c r="C2621" s="7">
        <v>46017</v>
      </c>
      <c r="D2621" s="2" t="s">
        <v>162</v>
      </c>
      <c r="E2621" s="4">
        <v>1</v>
      </c>
      <c r="F2621" s="8" t="str">
        <f>_xlfn.XLOOKUP(D2621,Master[Product_Code],Master[Category])</f>
        <v>Shirt</v>
      </c>
      <c r="G2621" s="8" t="str">
        <f>_xlfn.XLOOKUP(D2621,Master[Product_Code],Master[Brand])</f>
        <v>Max</v>
      </c>
      <c r="H2621" s="8" t="str">
        <f>_xlfn.XLOOKUP(D2621,Master[Product_Code],Master[Style])</f>
        <v>Casual</v>
      </c>
      <c r="I2621" s="8" t="str">
        <f>_xlfn.XLOOKUP(D2621,Master[Product_Code],Master[Fabric])</f>
        <v>Cotton Blend</v>
      </c>
      <c r="J2621" s="8" t="str">
        <f>_xlfn.XLOOKUP(D2621,Master[Product_Code],Master[Size])</f>
        <v>S</v>
      </c>
      <c r="K2621" s="8" t="str">
        <f>_xlfn.XLOOKUP(D2621,Master[Product_Code],Master[Color])</f>
        <v>Grey</v>
      </c>
      <c r="L2621" s="3">
        <f>_xlfn.XLOOKUP(D2621,Master[Product_Code],Master[Selling_Price])</f>
        <v>710</v>
      </c>
    </row>
    <row r="2622" spans="2:12">
      <c r="B2622" s="2" t="s">
        <v>2848</v>
      </c>
      <c r="C2622" s="7">
        <v>46017</v>
      </c>
      <c r="D2622" s="2" t="s">
        <v>216</v>
      </c>
      <c r="E2622" s="4">
        <v>1</v>
      </c>
      <c r="F2622" s="8" t="str">
        <f>_xlfn.XLOOKUP(D2622,Master[Product_Code],Master[Category])</f>
        <v>Shirt</v>
      </c>
      <c r="G2622" s="8" t="str">
        <f>_xlfn.XLOOKUP(D2622,Master[Product_Code],Master[Brand])</f>
        <v>Luke &amp; Burg</v>
      </c>
      <c r="H2622" s="8" t="str">
        <f>_xlfn.XLOOKUP(D2622,Master[Product_Code],Master[Style])</f>
        <v>Partywear</v>
      </c>
      <c r="I2622" s="8" t="str">
        <f>_xlfn.XLOOKUP(D2622,Master[Product_Code],Master[Fabric])</f>
        <v>Cotton Blend</v>
      </c>
      <c r="J2622" s="8" t="str">
        <f>_xlfn.XLOOKUP(D2622,Master[Product_Code],Master[Size])</f>
        <v>S</v>
      </c>
      <c r="K2622" s="8" t="str">
        <f>_xlfn.XLOOKUP(D2622,Master[Product_Code],Master[Color])</f>
        <v>Rust</v>
      </c>
      <c r="L2622" s="3">
        <f>_xlfn.XLOOKUP(D2622,Master[Product_Code],Master[Selling_Price])</f>
        <v>940</v>
      </c>
    </row>
    <row r="2623" spans="2:12">
      <c r="B2623" s="2" t="s">
        <v>2848</v>
      </c>
      <c r="C2623" s="7">
        <v>46017</v>
      </c>
      <c r="D2623" s="2" t="s">
        <v>582</v>
      </c>
      <c r="E2623" s="4">
        <v>1</v>
      </c>
      <c r="F2623" s="8" t="str">
        <f>_xlfn.XLOOKUP(D2623,Master[Product_Code],Master[Category])</f>
        <v>T-Shirt</v>
      </c>
      <c r="G2623" s="8" t="str">
        <f>_xlfn.XLOOKUP(D2623,Master[Product_Code],Master[Brand])</f>
        <v>Campus</v>
      </c>
      <c r="H2623" s="8" t="str">
        <f>_xlfn.XLOOKUP(D2623,Master[Product_Code],Master[Style])</f>
        <v>Full Sleeve</v>
      </c>
      <c r="I2623" s="8" t="str">
        <f>_xlfn.XLOOKUP(D2623,Master[Product_Code],Master[Fabric])</f>
        <v>Cotton Blend</v>
      </c>
      <c r="J2623" s="8" t="str">
        <f>_xlfn.XLOOKUP(D2623,Master[Product_Code],Master[Size])</f>
        <v>S</v>
      </c>
      <c r="K2623" s="8" t="str">
        <f>_xlfn.XLOOKUP(D2623,Master[Product_Code],Master[Color])</f>
        <v>Black</v>
      </c>
      <c r="L2623" s="3">
        <f>_xlfn.XLOOKUP(D2623,Master[Product_Code],Master[Selling_Price])</f>
        <v>450</v>
      </c>
    </row>
    <row r="2624" spans="2:12">
      <c r="B2624" s="2" t="s">
        <v>2849</v>
      </c>
      <c r="C2624" s="7">
        <v>46018</v>
      </c>
      <c r="D2624" s="2" t="s">
        <v>208</v>
      </c>
      <c r="E2624" s="4">
        <v>1</v>
      </c>
      <c r="F2624" s="8" t="str">
        <f>_xlfn.XLOOKUP(D2624,Master[Product_Code],Master[Category])</f>
        <v>Shirt</v>
      </c>
      <c r="G2624" s="8" t="str">
        <f>_xlfn.XLOOKUP(D2624,Master[Product_Code],Master[Brand])</f>
        <v>Luke &amp; Burg</v>
      </c>
      <c r="H2624" s="8" t="str">
        <f>_xlfn.XLOOKUP(D2624,Master[Product_Code],Master[Style])</f>
        <v>Casual</v>
      </c>
      <c r="I2624" s="8" t="str">
        <f>_xlfn.XLOOKUP(D2624,Master[Product_Code],Master[Fabric])</f>
        <v>Cotton</v>
      </c>
      <c r="J2624" s="8" t="str">
        <f>_xlfn.XLOOKUP(D2624,Master[Product_Code],Master[Size])</f>
        <v>M</v>
      </c>
      <c r="K2624" s="8" t="str">
        <f>_xlfn.XLOOKUP(D2624,Master[Product_Code],Master[Color])</f>
        <v>Rust</v>
      </c>
      <c r="L2624" s="3">
        <f>_xlfn.XLOOKUP(D2624,Master[Product_Code],Master[Selling_Price])</f>
        <v>700</v>
      </c>
    </row>
    <row r="2625" spans="2:12">
      <c r="B2625" s="2" t="s">
        <v>2850</v>
      </c>
      <c r="C2625" s="7">
        <v>46018</v>
      </c>
      <c r="D2625" s="2" t="s">
        <v>1665</v>
      </c>
      <c r="E2625" s="4">
        <v>1</v>
      </c>
      <c r="F2625" s="8" t="str">
        <f>_xlfn.XLOOKUP(D2625,Master[Product_Code],Master[Category])</f>
        <v>Innerwear</v>
      </c>
      <c r="G2625" s="8" t="str">
        <f>_xlfn.XLOOKUP(D2625,Master[Product_Code],Master[Brand])</f>
        <v>Rupa</v>
      </c>
      <c r="H2625" s="8" t="str">
        <f>_xlfn.XLOOKUP(D2625,Master[Product_Code],Master[Style])</f>
        <v>Boxer</v>
      </c>
      <c r="I2625" s="8" t="str">
        <f>_xlfn.XLOOKUP(D2625,Master[Product_Code],Master[Fabric])</f>
        <v>Cotton Blend</v>
      </c>
      <c r="J2625" s="8" t="str">
        <f>_xlfn.XLOOKUP(D2625,Master[Product_Code],Master[Size])</f>
        <v>80-85</v>
      </c>
      <c r="K2625" s="8" t="str">
        <f>_xlfn.XLOOKUP(D2625,Master[Product_Code],Master[Color])</f>
        <v>Teal</v>
      </c>
      <c r="L2625" s="3">
        <f>_xlfn.XLOOKUP(D2625,Master[Product_Code],Master[Selling_Price])</f>
        <v>100</v>
      </c>
    </row>
    <row r="2626" spans="2:12">
      <c r="B2626" s="2" t="s">
        <v>2851</v>
      </c>
      <c r="C2626" s="7">
        <v>46018</v>
      </c>
      <c r="D2626" s="2" t="s">
        <v>574</v>
      </c>
      <c r="E2626" s="4">
        <v>1</v>
      </c>
      <c r="F2626" s="8" t="str">
        <f>_xlfn.XLOOKUP(D2626,Master[Product_Code],Master[Category])</f>
        <v>T-Shirt</v>
      </c>
      <c r="G2626" s="8" t="str">
        <f>_xlfn.XLOOKUP(D2626,Master[Product_Code],Master[Brand])</f>
        <v>Roadster</v>
      </c>
      <c r="H2626" s="8" t="str">
        <f>_xlfn.XLOOKUP(D2626,Master[Product_Code],Master[Style])</f>
        <v>Full Sleeve</v>
      </c>
      <c r="I2626" s="8" t="str">
        <f>_xlfn.XLOOKUP(D2626,Master[Product_Code],Master[Fabric])</f>
        <v>Cotton</v>
      </c>
      <c r="J2626" s="8" t="str">
        <f>_xlfn.XLOOKUP(D2626,Master[Product_Code],Master[Size])</f>
        <v>L</v>
      </c>
      <c r="K2626" s="8" t="str">
        <f>_xlfn.XLOOKUP(D2626,Master[Product_Code],Master[Color])</f>
        <v>White</v>
      </c>
      <c r="L2626" s="3">
        <f>_xlfn.XLOOKUP(D2626,Master[Product_Code],Master[Selling_Price])</f>
        <v>440</v>
      </c>
    </row>
    <row r="2627" spans="2:12">
      <c r="B2627" s="2" t="s">
        <v>2852</v>
      </c>
      <c r="C2627" s="7">
        <v>46018</v>
      </c>
      <c r="D2627" s="2" t="s">
        <v>785</v>
      </c>
      <c r="E2627" s="4">
        <v>1</v>
      </c>
      <c r="F2627" s="8" t="str">
        <f>_xlfn.XLOOKUP(D2627,Master[Product_Code],Master[Category])</f>
        <v>T-Shirt</v>
      </c>
      <c r="G2627" s="8" t="str">
        <f>_xlfn.XLOOKUP(D2627,Master[Product_Code],Master[Brand])</f>
        <v>Roadster</v>
      </c>
      <c r="H2627" s="8" t="str">
        <f>_xlfn.XLOOKUP(D2627,Master[Product_Code],Master[Style])</f>
        <v>Sleeveless</v>
      </c>
      <c r="I2627" s="8" t="str">
        <f>_xlfn.XLOOKUP(D2627,Master[Product_Code],Master[Fabric])</f>
        <v>Cotton</v>
      </c>
      <c r="J2627" s="8" t="str">
        <f>_xlfn.XLOOKUP(D2627,Master[Product_Code],Master[Size])</f>
        <v>XL</v>
      </c>
      <c r="K2627" s="8" t="str">
        <f>_xlfn.XLOOKUP(D2627,Master[Product_Code],Master[Color])</f>
        <v>Rust</v>
      </c>
      <c r="L2627" s="3">
        <f>_xlfn.XLOOKUP(D2627,Master[Product_Code],Master[Selling_Price])</f>
        <v>710</v>
      </c>
    </row>
    <row r="2628" spans="2:12">
      <c r="B2628" s="2" t="s">
        <v>2852</v>
      </c>
      <c r="C2628" s="7">
        <v>46018</v>
      </c>
      <c r="D2628" s="2" t="s">
        <v>1197</v>
      </c>
      <c r="E2628" s="4">
        <v>1</v>
      </c>
      <c r="F2628" s="8" t="str">
        <f>_xlfn.XLOOKUP(D2628,Master[Product_Code],Master[Category])</f>
        <v>Pants</v>
      </c>
      <c r="G2628" s="8" t="str">
        <f>_xlfn.XLOOKUP(D2628,Master[Product_Code],Master[Brand])</f>
        <v>Louis Philippe</v>
      </c>
      <c r="H2628" s="8" t="str">
        <f>_xlfn.XLOOKUP(D2628,Master[Product_Code],Master[Style])</f>
        <v>Kurka</v>
      </c>
      <c r="I2628" s="8" t="str">
        <f>_xlfn.XLOOKUP(D2628,Master[Product_Code],Master[Fabric])</f>
        <v>Lycra</v>
      </c>
      <c r="J2628" s="8">
        <f>_xlfn.XLOOKUP(D2628,Master[Product_Code],Master[Size])</f>
        <v>40</v>
      </c>
      <c r="K2628" s="8" t="str">
        <f>_xlfn.XLOOKUP(D2628,Master[Product_Code],Master[Color])</f>
        <v>Brown</v>
      </c>
      <c r="L2628" s="3">
        <f>_xlfn.XLOOKUP(D2628,Master[Product_Code],Master[Selling_Price])</f>
        <v>940</v>
      </c>
    </row>
    <row r="2629" spans="2:12">
      <c r="B2629" s="2" t="s">
        <v>2852</v>
      </c>
      <c r="C2629" s="7">
        <v>46018</v>
      </c>
      <c r="D2629" s="2" t="s">
        <v>397</v>
      </c>
      <c r="E2629" s="4">
        <v>1</v>
      </c>
      <c r="F2629" s="8" t="str">
        <f>_xlfn.XLOOKUP(D2629,Master[Product_Code],Master[Category])</f>
        <v>Shirt</v>
      </c>
      <c r="G2629" s="8" t="str">
        <f>_xlfn.XLOOKUP(D2629,Master[Product_Code],Master[Brand])</f>
        <v>British</v>
      </c>
      <c r="H2629" s="8" t="str">
        <f>_xlfn.XLOOKUP(D2629,Master[Product_Code],Master[Style])</f>
        <v>Partywear</v>
      </c>
      <c r="I2629" s="8" t="str">
        <f>_xlfn.XLOOKUP(D2629,Master[Product_Code],Master[Fabric])</f>
        <v>Cotton Blend</v>
      </c>
      <c r="J2629" s="8" t="str">
        <f>_xlfn.XLOOKUP(D2629,Master[Product_Code],Master[Size])</f>
        <v>M</v>
      </c>
      <c r="K2629" s="8" t="str">
        <f>_xlfn.XLOOKUP(D2629,Master[Product_Code],Master[Color])</f>
        <v>Brown</v>
      </c>
      <c r="L2629" s="3">
        <f>_xlfn.XLOOKUP(D2629,Master[Product_Code],Master[Selling_Price])</f>
        <v>920</v>
      </c>
    </row>
    <row r="2630" spans="2:12">
      <c r="B2630" s="2" t="s">
        <v>2853</v>
      </c>
      <c r="C2630" s="7">
        <v>46018</v>
      </c>
      <c r="D2630" s="2" t="s">
        <v>1162</v>
      </c>
      <c r="E2630" s="4">
        <v>1</v>
      </c>
      <c r="F2630" s="8" t="str">
        <f>_xlfn.XLOOKUP(D2630,Master[Product_Code],Master[Category])</f>
        <v>Pants</v>
      </c>
      <c r="G2630" s="8" t="str">
        <f>_xlfn.XLOOKUP(D2630,Master[Product_Code],Master[Brand])</f>
        <v>Louis Philippe</v>
      </c>
      <c r="H2630" s="8" t="str">
        <f>_xlfn.XLOOKUP(D2630,Master[Product_Code],Master[Style])</f>
        <v>Polofit</v>
      </c>
      <c r="I2630" s="8" t="str">
        <f>_xlfn.XLOOKUP(D2630,Master[Product_Code],Master[Fabric])</f>
        <v>Lycra</v>
      </c>
      <c r="J2630" s="8">
        <f>_xlfn.XLOOKUP(D2630,Master[Product_Code],Master[Size])</f>
        <v>40</v>
      </c>
      <c r="K2630" s="8" t="str">
        <f>_xlfn.XLOOKUP(D2630,Master[Product_Code],Master[Color])</f>
        <v>Beige</v>
      </c>
      <c r="L2630" s="3">
        <f>_xlfn.XLOOKUP(D2630,Master[Product_Code],Master[Selling_Price])</f>
        <v>910</v>
      </c>
    </row>
    <row r="2631" spans="2:12">
      <c r="B2631" s="2" t="s">
        <v>2853</v>
      </c>
      <c r="C2631" s="7">
        <v>46018</v>
      </c>
      <c r="D2631" s="2" t="s">
        <v>953</v>
      </c>
      <c r="E2631" s="4">
        <v>1</v>
      </c>
      <c r="F2631" s="8" t="str">
        <f>_xlfn.XLOOKUP(D2631,Master[Product_Code],Master[Category])</f>
        <v>Jeans</v>
      </c>
      <c r="G2631" s="8" t="str">
        <f>_xlfn.XLOOKUP(D2631,Master[Product_Code],Master[Brand])</f>
        <v>Pepe</v>
      </c>
      <c r="H2631" s="8" t="str">
        <f>_xlfn.XLOOKUP(D2631,Master[Product_Code],Master[Style])</f>
        <v>Jogger</v>
      </c>
      <c r="I2631" s="8" t="str">
        <f>_xlfn.XLOOKUP(D2631,Master[Product_Code],Master[Fabric])</f>
        <v>Denim</v>
      </c>
      <c r="J2631" s="8">
        <f>_xlfn.XLOOKUP(D2631,Master[Product_Code],Master[Size])</f>
        <v>44</v>
      </c>
      <c r="K2631" s="8" t="str">
        <f>_xlfn.XLOOKUP(D2631,Master[Product_Code],Master[Color])</f>
        <v>White</v>
      </c>
      <c r="L2631" s="3">
        <f>_xlfn.XLOOKUP(D2631,Master[Product_Code],Master[Selling_Price])</f>
        <v>1030</v>
      </c>
    </row>
    <row r="2632" spans="2:12">
      <c r="B2632" s="2" t="s">
        <v>2854</v>
      </c>
      <c r="C2632" s="7">
        <v>46018</v>
      </c>
      <c r="D2632" s="2" t="s">
        <v>1633</v>
      </c>
      <c r="E2632" s="4">
        <v>1</v>
      </c>
      <c r="F2632" s="8" t="str">
        <f>_xlfn.XLOOKUP(D2632,Master[Product_Code],Master[Category])</f>
        <v>Innerwear</v>
      </c>
      <c r="G2632" s="8" t="str">
        <f>_xlfn.XLOOKUP(D2632,Master[Product_Code],Master[Brand])</f>
        <v>Rupa</v>
      </c>
      <c r="H2632" s="8" t="str">
        <f>_xlfn.XLOOKUP(D2632,Master[Product_Code],Master[Style])</f>
        <v>Boxer</v>
      </c>
      <c r="I2632" s="8" t="str">
        <f>_xlfn.XLOOKUP(D2632,Master[Product_Code],Master[Fabric])</f>
        <v>Cotton Blend</v>
      </c>
      <c r="J2632" s="8" t="str">
        <f>_xlfn.XLOOKUP(D2632,Master[Product_Code],Master[Size])</f>
        <v>85-90</v>
      </c>
      <c r="K2632" s="8" t="str">
        <f>_xlfn.XLOOKUP(D2632,Master[Product_Code],Master[Color])</f>
        <v>Mustard</v>
      </c>
      <c r="L2632" s="3">
        <f>_xlfn.XLOOKUP(D2632,Master[Product_Code],Master[Selling_Price])</f>
        <v>180</v>
      </c>
    </row>
    <row r="2633" spans="2:12">
      <c r="B2633" s="2" t="s">
        <v>2854</v>
      </c>
      <c r="C2633" s="7">
        <v>46018</v>
      </c>
      <c r="D2633" s="2" t="s">
        <v>1505</v>
      </c>
      <c r="E2633" s="4">
        <v>1</v>
      </c>
      <c r="F2633" s="8" t="str">
        <f>_xlfn.XLOOKUP(D2633,Master[Product_Code],Master[Category])</f>
        <v>Innerwear</v>
      </c>
      <c r="G2633" s="8" t="str">
        <f>_xlfn.XLOOKUP(D2633,Master[Product_Code],Master[Brand])</f>
        <v>V Star</v>
      </c>
      <c r="H2633" s="8" t="str">
        <f>_xlfn.XLOOKUP(D2633,Master[Product_Code],Master[Style])</f>
        <v>V-Cut</v>
      </c>
      <c r="I2633" s="8" t="str">
        <f>_xlfn.XLOOKUP(D2633,Master[Product_Code],Master[Fabric])</f>
        <v>Cotton</v>
      </c>
      <c r="J2633" s="8" t="str">
        <f>_xlfn.XLOOKUP(D2633,Master[Product_Code],Master[Size])</f>
        <v>80-85</v>
      </c>
      <c r="K2633" s="8" t="str">
        <f>_xlfn.XLOOKUP(D2633,Master[Product_Code],Master[Color])</f>
        <v>Black</v>
      </c>
      <c r="L2633" s="3">
        <f>_xlfn.XLOOKUP(D2633,Master[Product_Code],Master[Selling_Price])</f>
        <v>160</v>
      </c>
    </row>
    <row r="2634" spans="2:12">
      <c r="B2634" s="2" t="s">
        <v>2854</v>
      </c>
      <c r="C2634" s="7">
        <v>46018</v>
      </c>
      <c r="D2634" s="2" t="s">
        <v>395</v>
      </c>
      <c r="E2634" s="4">
        <v>1</v>
      </c>
      <c r="F2634" s="8" t="str">
        <f>_xlfn.XLOOKUP(D2634,Master[Product_Code],Master[Category])</f>
        <v>Shirt</v>
      </c>
      <c r="G2634" s="8" t="str">
        <f>_xlfn.XLOOKUP(D2634,Master[Product_Code],Master[Brand])</f>
        <v>Zara</v>
      </c>
      <c r="H2634" s="8" t="str">
        <f>_xlfn.XLOOKUP(D2634,Master[Product_Code],Master[Style])</f>
        <v>Formal</v>
      </c>
      <c r="I2634" s="8" t="str">
        <f>_xlfn.XLOOKUP(D2634,Master[Product_Code],Master[Fabric])</f>
        <v>Cotton</v>
      </c>
      <c r="J2634" s="8" t="str">
        <f>_xlfn.XLOOKUP(D2634,Master[Product_Code],Master[Size])</f>
        <v>XL</v>
      </c>
      <c r="K2634" s="8" t="str">
        <f>_xlfn.XLOOKUP(D2634,Master[Product_Code],Master[Color])</f>
        <v>Cream</v>
      </c>
      <c r="L2634" s="3">
        <f>_xlfn.XLOOKUP(D2634,Master[Product_Code],Master[Selling_Price])</f>
        <v>840</v>
      </c>
    </row>
    <row r="2635" spans="2:12">
      <c r="B2635" s="2" t="s">
        <v>2854</v>
      </c>
      <c r="C2635" s="7">
        <v>46018</v>
      </c>
      <c r="D2635" s="2" t="s">
        <v>777</v>
      </c>
      <c r="E2635" s="4">
        <v>1</v>
      </c>
      <c r="F2635" s="8" t="str">
        <f>_xlfn.XLOOKUP(D2635,Master[Product_Code],Master[Category])</f>
        <v>T-Shirt</v>
      </c>
      <c r="G2635" s="8" t="str">
        <f>_xlfn.XLOOKUP(D2635,Master[Product_Code],Master[Brand])</f>
        <v>Campus</v>
      </c>
      <c r="H2635" s="8" t="str">
        <f>_xlfn.XLOOKUP(D2635,Master[Product_Code],Master[Style])</f>
        <v>3/4 Sleeve</v>
      </c>
      <c r="I2635" s="8" t="str">
        <f>_xlfn.XLOOKUP(D2635,Master[Product_Code],Master[Fabric])</f>
        <v>Cotton</v>
      </c>
      <c r="J2635" s="8" t="str">
        <f>_xlfn.XLOOKUP(D2635,Master[Product_Code],Master[Size])</f>
        <v>M</v>
      </c>
      <c r="K2635" s="8" t="str">
        <f>_xlfn.XLOOKUP(D2635,Master[Product_Code],Master[Color])</f>
        <v>Cream</v>
      </c>
      <c r="L2635" s="3">
        <f>_xlfn.XLOOKUP(D2635,Master[Product_Code],Master[Selling_Price])</f>
        <v>720</v>
      </c>
    </row>
    <row r="2636" spans="2:12">
      <c r="B2636" s="2" t="s">
        <v>2855</v>
      </c>
      <c r="C2636" s="7">
        <v>46018</v>
      </c>
      <c r="D2636" s="2" t="s">
        <v>781</v>
      </c>
      <c r="E2636" s="4">
        <v>1</v>
      </c>
      <c r="F2636" s="8" t="str">
        <f>_xlfn.XLOOKUP(D2636,Master[Product_Code],Master[Category])</f>
        <v>T-Shirt</v>
      </c>
      <c r="G2636" s="8" t="str">
        <f>_xlfn.XLOOKUP(D2636,Master[Product_Code],Master[Brand])</f>
        <v>Zara</v>
      </c>
      <c r="H2636" s="8" t="str">
        <f>_xlfn.XLOOKUP(D2636,Master[Product_Code],Master[Style])</f>
        <v>Full Sleeve</v>
      </c>
      <c r="I2636" s="8" t="str">
        <f>_xlfn.XLOOKUP(D2636,Master[Product_Code],Master[Fabric])</f>
        <v>Poly Cotton</v>
      </c>
      <c r="J2636" s="8" t="str">
        <f>_xlfn.XLOOKUP(D2636,Master[Product_Code],Master[Size])</f>
        <v>XXL</v>
      </c>
      <c r="K2636" s="8" t="str">
        <f>_xlfn.XLOOKUP(D2636,Master[Product_Code],Master[Color])</f>
        <v>Bottle Green</v>
      </c>
      <c r="L2636" s="3">
        <f>_xlfn.XLOOKUP(D2636,Master[Product_Code],Master[Selling_Price])</f>
        <v>290</v>
      </c>
    </row>
    <row r="2637" spans="2:12">
      <c r="B2637" s="2" t="s">
        <v>2856</v>
      </c>
      <c r="C2637" s="7">
        <v>46018</v>
      </c>
      <c r="D2637" s="2" t="s">
        <v>115</v>
      </c>
      <c r="E2637" s="4">
        <v>1</v>
      </c>
      <c r="F2637" s="8" t="str">
        <f>_xlfn.XLOOKUP(D2637,Master[Product_Code],Master[Category])</f>
        <v>Shirt</v>
      </c>
      <c r="G2637" s="8" t="str">
        <f>_xlfn.XLOOKUP(D2637,Master[Product_Code],Master[Brand])</f>
        <v>Thailand</v>
      </c>
      <c r="H2637" s="8" t="str">
        <f>_xlfn.XLOOKUP(D2637,Master[Product_Code],Master[Style])</f>
        <v>Formal</v>
      </c>
      <c r="I2637" s="8" t="str">
        <f>_xlfn.XLOOKUP(D2637,Master[Product_Code],Master[Fabric])</f>
        <v>Cotton</v>
      </c>
      <c r="J2637" s="8" t="str">
        <f>_xlfn.XLOOKUP(D2637,Master[Product_Code],Master[Size])</f>
        <v>XXL</v>
      </c>
      <c r="K2637" s="8" t="str">
        <f>_xlfn.XLOOKUP(D2637,Master[Product_Code],Master[Color])</f>
        <v>Bottle Green</v>
      </c>
      <c r="L2637" s="3">
        <f>_xlfn.XLOOKUP(D2637,Master[Product_Code],Master[Selling_Price])</f>
        <v>690</v>
      </c>
    </row>
    <row r="2638" spans="2:12">
      <c r="B2638" s="2" t="s">
        <v>2856</v>
      </c>
      <c r="C2638" s="7">
        <v>46018</v>
      </c>
      <c r="D2638" s="2" t="s">
        <v>1628</v>
      </c>
      <c r="E2638" s="4">
        <v>1</v>
      </c>
      <c r="F2638" s="8" t="str">
        <f>_xlfn.XLOOKUP(D2638,Master[Product_Code],Master[Category])</f>
        <v>Innerwear</v>
      </c>
      <c r="G2638" s="8" t="str">
        <f>_xlfn.XLOOKUP(D2638,Master[Product_Code],Master[Brand])</f>
        <v>Lux</v>
      </c>
      <c r="H2638" s="8" t="str">
        <f>_xlfn.XLOOKUP(D2638,Master[Product_Code],Master[Style])</f>
        <v>Boxer</v>
      </c>
      <c r="I2638" s="8" t="str">
        <f>_xlfn.XLOOKUP(D2638,Master[Product_Code],Master[Fabric])</f>
        <v>Cotton Blend</v>
      </c>
      <c r="J2638" s="8" t="str">
        <f>_xlfn.XLOOKUP(D2638,Master[Product_Code],Master[Size])</f>
        <v>100-105</v>
      </c>
      <c r="K2638" s="8" t="str">
        <f>_xlfn.XLOOKUP(D2638,Master[Product_Code],Master[Color])</f>
        <v>Brown</v>
      </c>
      <c r="L2638" s="3">
        <f>_xlfn.XLOOKUP(D2638,Master[Product_Code],Master[Selling_Price])</f>
        <v>110</v>
      </c>
    </row>
    <row r="2639" spans="2:12">
      <c r="B2639" s="2" t="s">
        <v>2856</v>
      </c>
      <c r="C2639" s="7">
        <v>46018</v>
      </c>
      <c r="D2639" s="2" t="s">
        <v>448</v>
      </c>
      <c r="E2639" s="4">
        <v>1</v>
      </c>
      <c r="F2639" s="8" t="str">
        <f>_xlfn.XLOOKUP(D2639,Master[Product_Code],Master[Category])</f>
        <v>T-Shirt</v>
      </c>
      <c r="G2639" s="8" t="str">
        <f>_xlfn.XLOOKUP(D2639,Master[Product_Code],Master[Brand])</f>
        <v>Max</v>
      </c>
      <c r="H2639" s="8" t="str">
        <f>_xlfn.XLOOKUP(D2639,Master[Product_Code],Master[Style])</f>
        <v>Full Sleeve</v>
      </c>
      <c r="I2639" s="8" t="str">
        <f>_xlfn.XLOOKUP(D2639,Master[Product_Code],Master[Fabric])</f>
        <v>Poly Cotton</v>
      </c>
      <c r="J2639" s="8" t="str">
        <f>_xlfn.XLOOKUP(D2639,Master[Product_Code],Master[Size])</f>
        <v>XL</v>
      </c>
      <c r="K2639" s="8" t="str">
        <f>_xlfn.XLOOKUP(D2639,Master[Product_Code],Master[Color])</f>
        <v>Mustard</v>
      </c>
      <c r="L2639" s="3">
        <f>_xlfn.XLOOKUP(D2639,Master[Product_Code],Master[Selling_Price])</f>
        <v>320</v>
      </c>
    </row>
    <row r="2640" spans="2:12">
      <c r="B2640" s="2" t="s">
        <v>2857</v>
      </c>
      <c r="C2640" s="7">
        <v>46018</v>
      </c>
      <c r="D2640" s="2" t="s">
        <v>662</v>
      </c>
      <c r="E2640" s="4">
        <v>1</v>
      </c>
      <c r="F2640" s="8" t="str">
        <f>_xlfn.XLOOKUP(D2640,Master[Product_Code],Master[Category])</f>
        <v>T-Shirt</v>
      </c>
      <c r="G2640" s="8" t="str">
        <f>_xlfn.XLOOKUP(D2640,Master[Product_Code],Master[Brand])</f>
        <v>Turkey</v>
      </c>
      <c r="H2640" s="8" t="str">
        <f>_xlfn.XLOOKUP(D2640,Master[Product_Code],Master[Style])</f>
        <v>3/4 Sleeve</v>
      </c>
      <c r="I2640" s="8" t="str">
        <f>_xlfn.XLOOKUP(D2640,Master[Product_Code],Master[Fabric])</f>
        <v>Cotton Blend</v>
      </c>
      <c r="J2640" s="8" t="str">
        <f>_xlfn.XLOOKUP(D2640,Master[Product_Code],Master[Size])</f>
        <v>L</v>
      </c>
      <c r="K2640" s="8" t="str">
        <f>_xlfn.XLOOKUP(D2640,Master[Product_Code],Master[Color])</f>
        <v>Grey</v>
      </c>
      <c r="L2640" s="3">
        <f>_xlfn.XLOOKUP(D2640,Master[Product_Code],Master[Selling_Price])</f>
        <v>700</v>
      </c>
    </row>
    <row r="2641" spans="2:12">
      <c r="B2641" s="2" t="s">
        <v>2857</v>
      </c>
      <c r="C2641" s="7">
        <v>46018</v>
      </c>
      <c r="D2641" s="2" t="s">
        <v>747</v>
      </c>
      <c r="E2641" s="4">
        <v>1</v>
      </c>
      <c r="F2641" s="8" t="str">
        <f>_xlfn.XLOOKUP(D2641,Master[Product_Code],Master[Category])</f>
        <v>T-Shirt</v>
      </c>
      <c r="G2641" s="8" t="str">
        <f>_xlfn.XLOOKUP(D2641,Master[Product_Code],Master[Brand])</f>
        <v>Turkey</v>
      </c>
      <c r="H2641" s="8" t="str">
        <f>_xlfn.XLOOKUP(D2641,Master[Product_Code],Master[Style])</f>
        <v>Full Sleeve</v>
      </c>
      <c r="I2641" s="8" t="str">
        <f>_xlfn.XLOOKUP(D2641,Master[Product_Code],Master[Fabric])</f>
        <v>Poly Cotton</v>
      </c>
      <c r="J2641" s="8" t="str">
        <f>_xlfn.XLOOKUP(D2641,Master[Product_Code],Master[Size])</f>
        <v>L</v>
      </c>
      <c r="K2641" s="8" t="str">
        <f>_xlfn.XLOOKUP(D2641,Master[Product_Code],Master[Color])</f>
        <v>Grey</v>
      </c>
      <c r="L2641" s="3">
        <f>_xlfn.XLOOKUP(D2641,Master[Product_Code],Master[Selling_Price])</f>
        <v>320</v>
      </c>
    </row>
    <row r="2642" spans="2:12">
      <c r="B2642" s="2" t="s">
        <v>2857</v>
      </c>
      <c r="C2642" s="7">
        <v>46018</v>
      </c>
      <c r="D2642" s="2" t="s">
        <v>598</v>
      </c>
      <c r="E2642" s="4">
        <v>1</v>
      </c>
      <c r="F2642" s="8" t="str">
        <f>_xlfn.XLOOKUP(D2642,Master[Product_Code],Master[Category])</f>
        <v>T-Shirt</v>
      </c>
      <c r="G2642" s="8" t="str">
        <f>_xlfn.XLOOKUP(D2642,Master[Product_Code],Master[Brand])</f>
        <v>Zara</v>
      </c>
      <c r="H2642" s="8" t="str">
        <f>_xlfn.XLOOKUP(D2642,Master[Product_Code],Master[Style])</f>
        <v>3/4 Sleeve</v>
      </c>
      <c r="I2642" s="8" t="str">
        <f>_xlfn.XLOOKUP(D2642,Master[Product_Code],Master[Fabric])</f>
        <v>Poly Cotton</v>
      </c>
      <c r="J2642" s="8" t="str">
        <f>_xlfn.XLOOKUP(D2642,Master[Product_Code],Master[Size])</f>
        <v>XXL</v>
      </c>
      <c r="K2642" s="8" t="str">
        <f>_xlfn.XLOOKUP(D2642,Master[Product_Code],Master[Color])</f>
        <v>Peach</v>
      </c>
      <c r="L2642" s="3">
        <f>_xlfn.XLOOKUP(D2642,Master[Product_Code],Master[Selling_Price])</f>
        <v>600</v>
      </c>
    </row>
    <row r="2643" spans="2:12">
      <c r="B2643" s="2" t="s">
        <v>2857</v>
      </c>
      <c r="C2643" s="7">
        <v>46018</v>
      </c>
      <c r="D2643" s="2" t="s">
        <v>1625</v>
      </c>
      <c r="E2643" s="4">
        <v>1</v>
      </c>
      <c r="F2643" s="8" t="str">
        <f>_xlfn.XLOOKUP(D2643,Master[Product_Code],Master[Category])</f>
        <v>Innerwear</v>
      </c>
      <c r="G2643" s="8" t="str">
        <f>_xlfn.XLOOKUP(D2643,Master[Product_Code],Master[Brand])</f>
        <v>Rupa</v>
      </c>
      <c r="H2643" s="8" t="str">
        <f>_xlfn.XLOOKUP(D2643,Master[Product_Code],Master[Style])</f>
        <v>Boxer</v>
      </c>
      <c r="I2643" s="8" t="str">
        <f>_xlfn.XLOOKUP(D2643,Master[Product_Code],Master[Fabric])</f>
        <v>Cotton</v>
      </c>
      <c r="J2643" s="8" t="str">
        <f>_xlfn.XLOOKUP(D2643,Master[Product_Code],Master[Size])</f>
        <v>90-100</v>
      </c>
      <c r="K2643" s="8" t="str">
        <f>_xlfn.XLOOKUP(D2643,Master[Product_Code],Master[Color])</f>
        <v>Sky Blue</v>
      </c>
      <c r="L2643" s="3">
        <f>_xlfn.XLOOKUP(D2643,Master[Product_Code],Master[Selling_Price])</f>
        <v>140</v>
      </c>
    </row>
    <row r="2644" spans="2:12">
      <c r="B2644" s="2" t="s">
        <v>2858</v>
      </c>
      <c r="C2644" s="7">
        <v>46018</v>
      </c>
      <c r="D2644" s="2" t="s">
        <v>942</v>
      </c>
      <c r="E2644" s="4">
        <v>1</v>
      </c>
      <c r="F2644" s="8" t="str">
        <f>_xlfn.XLOOKUP(D2644,Master[Product_Code],Master[Category])</f>
        <v>Jeans</v>
      </c>
      <c r="G2644" s="8" t="str">
        <f>_xlfn.XLOOKUP(D2644,Master[Product_Code],Master[Brand])</f>
        <v>Spykar</v>
      </c>
      <c r="H2644" s="8" t="str">
        <f>_xlfn.XLOOKUP(D2644,Master[Product_Code],Master[Style])</f>
        <v>Jogger</v>
      </c>
      <c r="I2644" s="8" t="str">
        <f>_xlfn.XLOOKUP(D2644,Master[Product_Code],Master[Fabric])</f>
        <v>Denim</v>
      </c>
      <c r="J2644" s="8">
        <f>_xlfn.XLOOKUP(D2644,Master[Product_Code],Master[Size])</f>
        <v>38</v>
      </c>
      <c r="K2644" s="8" t="str">
        <f>_xlfn.XLOOKUP(D2644,Master[Product_Code],Master[Color])</f>
        <v>Navy Blue</v>
      </c>
      <c r="L2644" s="3">
        <f>_xlfn.XLOOKUP(D2644,Master[Product_Code],Master[Selling_Price])</f>
        <v>920</v>
      </c>
    </row>
    <row r="2645" spans="2:12">
      <c r="B2645" s="2" t="s">
        <v>2859</v>
      </c>
      <c r="C2645" s="7">
        <v>46018</v>
      </c>
      <c r="D2645" s="2" t="s">
        <v>371</v>
      </c>
      <c r="E2645" s="4">
        <v>1</v>
      </c>
      <c r="F2645" s="8" t="str">
        <f>_xlfn.XLOOKUP(D2645,Master[Product_Code],Master[Category])</f>
        <v>Shirt</v>
      </c>
      <c r="G2645" s="8" t="str">
        <f>_xlfn.XLOOKUP(D2645,Master[Product_Code],Master[Brand])</f>
        <v>USD</v>
      </c>
      <c r="H2645" s="8" t="str">
        <f>_xlfn.XLOOKUP(D2645,Master[Product_Code],Master[Style])</f>
        <v>Partywear</v>
      </c>
      <c r="I2645" s="8" t="str">
        <f>_xlfn.XLOOKUP(D2645,Master[Product_Code],Master[Fabric])</f>
        <v>Polyester</v>
      </c>
      <c r="J2645" s="8" t="str">
        <f>_xlfn.XLOOKUP(D2645,Master[Product_Code],Master[Size])</f>
        <v>L</v>
      </c>
      <c r="K2645" s="8" t="str">
        <f>_xlfn.XLOOKUP(D2645,Master[Product_Code],Master[Color])</f>
        <v>Grey</v>
      </c>
      <c r="L2645" s="3">
        <f>_xlfn.XLOOKUP(D2645,Master[Product_Code],Master[Selling_Price])</f>
        <v>950</v>
      </c>
    </row>
    <row r="2646" spans="2:12">
      <c r="B2646" s="2" t="s">
        <v>2859</v>
      </c>
      <c r="C2646" s="7">
        <v>46018</v>
      </c>
      <c r="D2646" s="2" t="s">
        <v>109</v>
      </c>
      <c r="E2646" s="4">
        <v>1</v>
      </c>
      <c r="F2646" s="8" t="str">
        <f>_xlfn.XLOOKUP(D2646,Master[Product_Code],Master[Category])</f>
        <v>Shirt</v>
      </c>
      <c r="G2646" s="8" t="str">
        <f>_xlfn.XLOOKUP(D2646,Master[Product_Code],Master[Brand])</f>
        <v>H&amp;M</v>
      </c>
      <c r="H2646" s="8" t="str">
        <f>_xlfn.XLOOKUP(D2646,Master[Product_Code],Master[Style])</f>
        <v>Casual</v>
      </c>
      <c r="I2646" s="8" t="str">
        <f>_xlfn.XLOOKUP(D2646,Master[Product_Code],Master[Fabric])</f>
        <v>Lycra</v>
      </c>
      <c r="J2646" s="8" t="str">
        <f>_xlfn.XLOOKUP(D2646,Master[Product_Code],Master[Size])</f>
        <v>M</v>
      </c>
      <c r="K2646" s="8" t="str">
        <f>_xlfn.XLOOKUP(D2646,Master[Product_Code],Master[Color])</f>
        <v>Olive</v>
      </c>
      <c r="L2646" s="3">
        <f>_xlfn.XLOOKUP(D2646,Master[Product_Code],Master[Selling_Price])</f>
        <v>760</v>
      </c>
    </row>
    <row r="2647" spans="2:12">
      <c r="B2647" s="2" t="s">
        <v>2860</v>
      </c>
      <c r="C2647" s="7">
        <v>46018</v>
      </c>
      <c r="D2647" s="2" t="s">
        <v>1411</v>
      </c>
      <c r="E2647" s="4">
        <v>1</v>
      </c>
      <c r="F2647" s="8" t="str">
        <f>_xlfn.XLOOKUP(D2647,Master[Product_Code],Master[Category])</f>
        <v>Pants</v>
      </c>
      <c r="G2647" s="8" t="str">
        <f>_xlfn.XLOOKUP(D2647,Master[Product_Code],Master[Brand])</f>
        <v>Louis Philippe</v>
      </c>
      <c r="H2647" s="8" t="str">
        <f>_xlfn.XLOOKUP(D2647,Master[Product_Code],Master[Style])</f>
        <v>Boot Cut</v>
      </c>
      <c r="I2647" s="8" t="str">
        <f>_xlfn.XLOOKUP(D2647,Master[Product_Code],Master[Fabric])</f>
        <v>Poly Viscose</v>
      </c>
      <c r="J2647" s="8">
        <f>_xlfn.XLOOKUP(D2647,Master[Product_Code],Master[Size])</f>
        <v>30</v>
      </c>
      <c r="K2647" s="8" t="str">
        <f>_xlfn.XLOOKUP(D2647,Master[Product_Code],Master[Color])</f>
        <v>Mustard</v>
      </c>
      <c r="L2647" s="3">
        <f>_xlfn.XLOOKUP(D2647,Master[Product_Code],Master[Selling_Price])</f>
        <v>860</v>
      </c>
    </row>
    <row r="2648" spans="2:12">
      <c r="B2648" s="2" t="s">
        <v>2861</v>
      </c>
      <c r="C2648" s="7">
        <v>46018</v>
      </c>
      <c r="D2648" s="2" t="s">
        <v>1328</v>
      </c>
      <c r="E2648" s="4">
        <v>1</v>
      </c>
      <c r="F2648" s="8" t="str">
        <f>_xlfn.XLOOKUP(D2648,Master[Product_Code],Master[Category])</f>
        <v>Pants</v>
      </c>
      <c r="G2648" s="8" t="str">
        <f>_xlfn.XLOOKUP(D2648,Master[Product_Code],Master[Brand])</f>
        <v>Van Heusen</v>
      </c>
      <c r="H2648" s="8" t="str">
        <f>_xlfn.XLOOKUP(D2648,Master[Product_Code],Master[Style])</f>
        <v>Korean</v>
      </c>
      <c r="I2648" s="8" t="str">
        <f>_xlfn.XLOOKUP(D2648,Master[Product_Code],Master[Fabric])</f>
        <v>Lycra</v>
      </c>
      <c r="J2648" s="8">
        <f>_xlfn.XLOOKUP(D2648,Master[Product_Code],Master[Size])</f>
        <v>30</v>
      </c>
      <c r="K2648" s="8" t="str">
        <f>_xlfn.XLOOKUP(D2648,Master[Product_Code],Master[Color])</f>
        <v>Grey</v>
      </c>
      <c r="L2648" s="3">
        <f>_xlfn.XLOOKUP(D2648,Master[Product_Code],Master[Selling_Price])</f>
        <v>930</v>
      </c>
    </row>
    <row r="2649" spans="2:12">
      <c r="B2649" s="2" t="s">
        <v>2861</v>
      </c>
      <c r="C2649" s="7">
        <v>46018</v>
      </c>
      <c r="D2649" s="2" t="s">
        <v>1415</v>
      </c>
      <c r="E2649" s="4">
        <v>1</v>
      </c>
      <c r="F2649" s="8" t="str">
        <f>_xlfn.XLOOKUP(D2649,Master[Product_Code],Master[Category])</f>
        <v>Pants</v>
      </c>
      <c r="G2649" s="8" t="str">
        <f>_xlfn.XLOOKUP(D2649,Master[Product_Code],Master[Brand])</f>
        <v>Peter England</v>
      </c>
      <c r="H2649" s="8" t="str">
        <f>_xlfn.XLOOKUP(D2649,Master[Product_Code],Master[Style])</f>
        <v>Kurka</v>
      </c>
      <c r="I2649" s="8" t="str">
        <f>_xlfn.XLOOKUP(D2649,Master[Product_Code],Master[Fabric])</f>
        <v>Lycra</v>
      </c>
      <c r="J2649" s="8">
        <f>_xlfn.XLOOKUP(D2649,Master[Product_Code],Master[Size])</f>
        <v>28</v>
      </c>
      <c r="K2649" s="8" t="str">
        <f>_xlfn.XLOOKUP(D2649,Master[Product_Code],Master[Color])</f>
        <v>Maroon</v>
      </c>
      <c r="L2649" s="3">
        <f>_xlfn.XLOOKUP(D2649,Master[Product_Code],Master[Selling_Price])</f>
        <v>760</v>
      </c>
    </row>
    <row r="2650" spans="2:12">
      <c r="B2650" s="2" t="s">
        <v>2861</v>
      </c>
      <c r="C2650" s="7">
        <v>46018</v>
      </c>
      <c r="D2650" s="2" t="s">
        <v>598</v>
      </c>
      <c r="E2650" s="4">
        <v>1</v>
      </c>
      <c r="F2650" s="8" t="str">
        <f>_xlfn.XLOOKUP(D2650,Master[Product_Code],Master[Category])</f>
        <v>T-Shirt</v>
      </c>
      <c r="G2650" s="8" t="str">
        <f>_xlfn.XLOOKUP(D2650,Master[Product_Code],Master[Brand])</f>
        <v>Zara</v>
      </c>
      <c r="H2650" s="8" t="str">
        <f>_xlfn.XLOOKUP(D2650,Master[Product_Code],Master[Style])</f>
        <v>3/4 Sleeve</v>
      </c>
      <c r="I2650" s="8" t="str">
        <f>_xlfn.XLOOKUP(D2650,Master[Product_Code],Master[Fabric])</f>
        <v>Poly Cotton</v>
      </c>
      <c r="J2650" s="8" t="str">
        <f>_xlfn.XLOOKUP(D2650,Master[Product_Code],Master[Size])</f>
        <v>XXL</v>
      </c>
      <c r="K2650" s="8" t="str">
        <f>_xlfn.XLOOKUP(D2650,Master[Product_Code],Master[Color])</f>
        <v>Peach</v>
      </c>
      <c r="L2650" s="3">
        <f>_xlfn.XLOOKUP(D2650,Master[Product_Code],Master[Selling_Price])</f>
        <v>600</v>
      </c>
    </row>
    <row r="2651" spans="2:12">
      <c r="B2651" s="2" t="s">
        <v>2862</v>
      </c>
      <c r="C2651" s="7">
        <v>46018</v>
      </c>
      <c r="D2651" s="2" t="s">
        <v>1261</v>
      </c>
      <c r="E2651" s="4">
        <v>1</v>
      </c>
      <c r="F2651" s="8" t="str">
        <f>_xlfn.XLOOKUP(D2651,Master[Product_Code],Master[Category])</f>
        <v>Pants</v>
      </c>
      <c r="G2651" s="8" t="str">
        <f>_xlfn.XLOOKUP(D2651,Master[Product_Code],Master[Brand])</f>
        <v>Raymond</v>
      </c>
      <c r="H2651" s="8" t="str">
        <f>_xlfn.XLOOKUP(D2651,Master[Product_Code],Master[Style])</f>
        <v>Korean</v>
      </c>
      <c r="I2651" s="8" t="str">
        <f>_xlfn.XLOOKUP(D2651,Master[Product_Code],Master[Fabric])</f>
        <v>Lycra</v>
      </c>
      <c r="J2651" s="8">
        <f>_xlfn.XLOOKUP(D2651,Master[Product_Code],Master[Size])</f>
        <v>30</v>
      </c>
      <c r="K2651" s="8" t="str">
        <f>_xlfn.XLOOKUP(D2651,Master[Product_Code],Master[Color])</f>
        <v>Black</v>
      </c>
      <c r="L2651" s="3">
        <f>_xlfn.XLOOKUP(D2651,Master[Product_Code],Master[Selling_Price])</f>
        <v>750</v>
      </c>
    </row>
    <row r="2652" spans="2:12">
      <c r="B2652" s="2" t="s">
        <v>2863</v>
      </c>
      <c r="C2652" s="7">
        <v>46018</v>
      </c>
      <c r="D2652" s="2" t="s">
        <v>212</v>
      </c>
      <c r="E2652" s="4">
        <v>1</v>
      </c>
      <c r="F2652" s="8" t="str">
        <f>_xlfn.XLOOKUP(D2652,Master[Product_Code],Master[Category])</f>
        <v>Shirt</v>
      </c>
      <c r="G2652" s="8" t="str">
        <f>_xlfn.XLOOKUP(D2652,Master[Product_Code],Master[Brand])</f>
        <v>Max</v>
      </c>
      <c r="H2652" s="8" t="str">
        <f>_xlfn.XLOOKUP(D2652,Master[Product_Code],Master[Style])</f>
        <v>Formal</v>
      </c>
      <c r="I2652" s="8" t="str">
        <f>_xlfn.XLOOKUP(D2652,Master[Product_Code],Master[Fabric])</f>
        <v>Cotton Blend</v>
      </c>
      <c r="J2652" s="8" t="str">
        <f>_xlfn.XLOOKUP(D2652,Master[Product_Code],Master[Size])</f>
        <v>M</v>
      </c>
      <c r="K2652" s="8" t="str">
        <f>_xlfn.XLOOKUP(D2652,Master[Product_Code],Master[Color])</f>
        <v>Navy Blue</v>
      </c>
      <c r="L2652" s="3">
        <f>_xlfn.XLOOKUP(D2652,Master[Product_Code],Master[Selling_Price])</f>
        <v>740</v>
      </c>
    </row>
    <row r="2653" spans="2:12">
      <c r="B2653" s="2" t="s">
        <v>2863</v>
      </c>
      <c r="C2653" s="7">
        <v>46018</v>
      </c>
      <c r="D2653" s="2" t="s">
        <v>948</v>
      </c>
      <c r="E2653" s="4">
        <v>1</v>
      </c>
      <c r="F2653" s="8" t="str">
        <f>_xlfn.XLOOKUP(D2653,Master[Product_Code],Master[Category])</f>
        <v>Jeans</v>
      </c>
      <c r="G2653" s="8" t="str">
        <f>_xlfn.XLOOKUP(D2653,Master[Product_Code],Master[Brand])</f>
        <v>Spykar</v>
      </c>
      <c r="H2653" s="8" t="str">
        <f>_xlfn.XLOOKUP(D2653,Master[Product_Code],Master[Style])</f>
        <v>Mom Fit</v>
      </c>
      <c r="I2653" s="8" t="str">
        <f>_xlfn.XLOOKUP(D2653,Master[Product_Code],Master[Fabric])</f>
        <v>Denim</v>
      </c>
      <c r="J2653" s="8">
        <f>_xlfn.XLOOKUP(D2653,Master[Product_Code],Master[Size])</f>
        <v>34</v>
      </c>
      <c r="K2653" s="8" t="str">
        <f>_xlfn.XLOOKUP(D2653,Master[Product_Code],Master[Color])</f>
        <v>White</v>
      </c>
      <c r="L2653" s="3">
        <f>_xlfn.XLOOKUP(D2653,Master[Product_Code],Master[Selling_Price])</f>
        <v>940</v>
      </c>
    </row>
    <row r="2654" spans="2:12">
      <c r="B2654" s="2" t="s">
        <v>2863</v>
      </c>
      <c r="C2654" s="7">
        <v>46018</v>
      </c>
      <c r="D2654" s="2" t="s">
        <v>629</v>
      </c>
      <c r="E2654" s="4">
        <v>1</v>
      </c>
      <c r="F2654" s="8" t="str">
        <f>_xlfn.XLOOKUP(D2654,Master[Product_Code],Master[Category])</f>
        <v>T-Shirt</v>
      </c>
      <c r="G2654" s="8" t="str">
        <f>_xlfn.XLOOKUP(D2654,Master[Product_Code],Master[Brand])</f>
        <v>Urban Monkey</v>
      </c>
      <c r="H2654" s="8" t="str">
        <f>_xlfn.XLOOKUP(D2654,Master[Product_Code],Master[Style])</f>
        <v>Half Sleeve</v>
      </c>
      <c r="I2654" s="8" t="str">
        <f>_xlfn.XLOOKUP(D2654,Master[Product_Code],Master[Fabric])</f>
        <v>Cotton</v>
      </c>
      <c r="J2654" s="8" t="str">
        <f>_xlfn.XLOOKUP(D2654,Master[Product_Code],Master[Size])</f>
        <v>S</v>
      </c>
      <c r="K2654" s="8" t="str">
        <f>_xlfn.XLOOKUP(D2654,Master[Product_Code],Master[Color])</f>
        <v>Cream</v>
      </c>
      <c r="L2654" s="3">
        <f>_xlfn.XLOOKUP(D2654,Master[Product_Code],Master[Selling_Price])</f>
        <v>350</v>
      </c>
    </row>
    <row r="2655" spans="2:12">
      <c r="B2655" s="2" t="s">
        <v>2863</v>
      </c>
      <c r="C2655" s="7">
        <v>46018</v>
      </c>
      <c r="D2655" s="2" t="s">
        <v>680</v>
      </c>
      <c r="E2655" s="4">
        <v>1</v>
      </c>
      <c r="F2655" s="8" t="str">
        <f>_xlfn.XLOOKUP(D2655,Master[Product_Code],Master[Category])</f>
        <v>T-Shirt</v>
      </c>
      <c r="G2655" s="8" t="str">
        <f>_xlfn.XLOOKUP(D2655,Master[Product_Code],Master[Brand])</f>
        <v>Urban Monkey</v>
      </c>
      <c r="H2655" s="8" t="str">
        <f>_xlfn.XLOOKUP(D2655,Master[Product_Code],Master[Style])</f>
        <v>Sleeveless</v>
      </c>
      <c r="I2655" s="8" t="str">
        <f>_xlfn.XLOOKUP(D2655,Master[Product_Code],Master[Fabric])</f>
        <v>Cotton Blend</v>
      </c>
      <c r="J2655" s="8" t="str">
        <f>_xlfn.XLOOKUP(D2655,Master[Product_Code],Master[Size])</f>
        <v>M</v>
      </c>
      <c r="K2655" s="8" t="str">
        <f>_xlfn.XLOOKUP(D2655,Master[Product_Code],Master[Color])</f>
        <v>Sky Blue</v>
      </c>
      <c r="L2655" s="3">
        <f>_xlfn.XLOOKUP(D2655,Master[Product_Code],Master[Selling_Price])</f>
        <v>700</v>
      </c>
    </row>
    <row r="2656" spans="2:12">
      <c r="B2656" s="2" t="s">
        <v>2864</v>
      </c>
      <c r="C2656" s="7">
        <v>46018</v>
      </c>
      <c r="D2656" s="2" t="s">
        <v>115</v>
      </c>
      <c r="E2656" s="4">
        <v>1</v>
      </c>
      <c r="F2656" s="8" t="str">
        <f>_xlfn.XLOOKUP(D2656,Master[Product_Code],Master[Category])</f>
        <v>Shirt</v>
      </c>
      <c r="G2656" s="8" t="str">
        <f>_xlfn.XLOOKUP(D2656,Master[Product_Code],Master[Brand])</f>
        <v>Thailand</v>
      </c>
      <c r="H2656" s="8" t="str">
        <f>_xlfn.XLOOKUP(D2656,Master[Product_Code],Master[Style])</f>
        <v>Formal</v>
      </c>
      <c r="I2656" s="8" t="str">
        <f>_xlfn.XLOOKUP(D2656,Master[Product_Code],Master[Fabric])</f>
        <v>Cotton</v>
      </c>
      <c r="J2656" s="8" t="str">
        <f>_xlfn.XLOOKUP(D2656,Master[Product_Code],Master[Size])</f>
        <v>XXL</v>
      </c>
      <c r="K2656" s="8" t="str">
        <f>_xlfn.XLOOKUP(D2656,Master[Product_Code],Master[Color])</f>
        <v>Bottle Green</v>
      </c>
      <c r="L2656" s="3">
        <f>_xlfn.XLOOKUP(D2656,Master[Product_Code],Master[Selling_Price])</f>
        <v>690</v>
      </c>
    </row>
    <row r="2657" spans="2:12">
      <c r="B2657" s="2" t="s">
        <v>2864</v>
      </c>
      <c r="C2657" s="7">
        <v>46018</v>
      </c>
      <c r="D2657" s="2" t="s">
        <v>516</v>
      </c>
      <c r="E2657" s="4">
        <v>1</v>
      </c>
      <c r="F2657" s="8" t="str">
        <f>_xlfn.XLOOKUP(D2657,Master[Product_Code],Master[Category])</f>
        <v>T-Shirt</v>
      </c>
      <c r="G2657" s="8" t="str">
        <f>_xlfn.XLOOKUP(D2657,Master[Product_Code],Master[Brand])</f>
        <v>Thailand</v>
      </c>
      <c r="H2657" s="8" t="str">
        <f>_xlfn.XLOOKUP(D2657,Master[Product_Code],Master[Style])</f>
        <v>Half Sleeve</v>
      </c>
      <c r="I2657" s="8" t="str">
        <f>_xlfn.XLOOKUP(D2657,Master[Product_Code],Master[Fabric])</f>
        <v>Cotton Blend</v>
      </c>
      <c r="J2657" s="8" t="str">
        <f>_xlfn.XLOOKUP(D2657,Master[Product_Code],Master[Size])</f>
        <v>M</v>
      </c>
      <c r="K2657" s="8" t="str">
        <f>_xlfn.XLOOKUP(D2657,Master[Product_Code],Master[Color])</f>
        <v>Peach</v>
      </c>
      <c r="L2657" s="3">
        <f>_xlfn.XLOOKUP(D2657,Master[Product_Code],Master[Selling_Price])</f>
        <v>710</v>
      </c>
    </row>
    <row r="2658" spans="2:12">
      <c r="B2658" s="2" t="s">
        <v>2864</v>
      </c>
      <c r="C2658" s="7">
        <v>46018</v>
      </c>
      <c r="D2658" s="2" t="s">
        <v>1191</v>
      </c>
      <c r="E2658" s="4">
        <v>1</v>
      </c>
      <c r="F2658" s="8" t="str">
        <f>_xlfn.XLOOKUP(D2658,Master[Product_Code],Master[Category])</f>
        <v>Pants</v>
      </c>
      <c r="G2658" s="8" t="str">
        <f>_xlfn.XLOOKUP(D2658,Master[Product_Code],Master[Brand])</f>
        <v>Park Avenue</v>
      </c>
      <c r="H2658" s="8" t="str">
        <f>_xlfn.XLOOKUP(D2658,Master[Product_Code],Master[Style])</f>
        <v>Polofit</v>
      </c>
      <c r="I2658" s="8" t="str">
        <f>_xlfn.XLOOKUP(D2658,Master[Product_Code],Master[Fabric])</f>
        <v>Lycra</v>
      </c>
      <c r="J2658" s="8">
        <f>_xlfn.XLOOKUP(D2658,Master[Product_Code],Master[Size])</f>
        <v>30</v>
      </c>
      <c r="K2658" s="8" t="str">
        <f>_xlfn.XLOOKUP(D2658,Master[Product_Code],Master[Color])</f>
        <v>Grey</v>
      </c>
      <c r="L2658" s="3">
        <f>_xlfn.XLOOKUP(D2658,Master[Product_Code],Master[Selling_Price])</f>
        <v>760</v>
      </c>
    </row>
    <row r="2659" spans="2:12">
      <c r="B2659" s="2" t="s">
        <v>2864</v>
      </c>
      <c r="C2659" s="7">
        <v>46018</v>
      </c>
      <c r="D2659" s="2" t="s">
        <v>717</v>
      </c>
      <c r="E2659" s="4">
        <v>1</v>
      </c>
      <c r="F2659" s="8" t="str">
        <f>_xlfn.XLOOKUP(D2659,Master[Product_Code],Master[Category])</f>
        <v>T-Shirt</v>
      </c>
      <c r="G2659" s="8" t="str">
        <f>_xlfn.XLOOKUP(D2659,Master[Product_Code],Master[Brand])</f>
        <v>Campus</v>
      </c>
      <c r="H2659" s="8" t="str">
        <f>_xlfn.XLOOKUP(D2659,Master[Product_Code],Master[Style])</f>
        <v>Half Sleeve</v>
      </c>
      <c r="I2659" s="8" t="str">
        <f>_xlfn.XLOOKUP(D2659,Master[Product_Code],Master[Fabric])</f>
        <v>Cotton Blend</v>
      </c>
      <c r="J2659" s="8" t="str">
        <f>_xlfn.XLOOKUP(D2659,Master[Product_Code],Master[Size])</f>
        <v>XL</v>
      </c>
      <c r="K2659" s="8" t="str">
        <f>_xlfn.XLOOKUP(D2659,Master[Product_Code],Master[Color])</f>
        <v>Bottle Green</v>
      </c>
      <c r="L2659" s="3">
        <f>_xlfn.XLOOKUP(D2659,Master[Product_Code],Master[Selling_Price])</f>
        <v>700</v>
      </c>
    </row>
    <row r="2660" spans="2:12">
      <c r="B2660" s="2" t="s">
        <v>2865</v>
      </c>
      <c r="C2660" s="7">
        <v>46020</v>
      </c>
      <c r="D2660" s="2" t="s">
        <v>661</v>
      </c>
      <c r="E2660" s="4">
        <v>1</v>
      </c>
      <c r="F2660" s="8" t="str">
        <f>_xlfn.XLOOKUP(D2660,Master[Product_Code],Master[Category])</f>
        <v>T-Shirt</v>
      </c>
      <c r="G2660" s="8" t="str">
        <f>_xlfn.XLOOKUP(D2660,Master[Product_Code],Master[Brand])</f>
        <v>Max</v>
      </c>
      <c r="H2660" s="8" t="str">
        <f>_xlfn.XLOOKUP(D2660,Master[Product_Code],Master[Style])</f>
        <v>Hoodie</v>
      </c>
      <c r="I2660" s="8" t="str">
        <f>_xlfn.XLOOKUP(D2660,Master[Product_Code],Master[Fabric])</f>
        <v>Poly Cotton</v>
      </c>
      <c r="J2660" s="8" t="str">
        <f>_xlfn.XLOOKUP(D2660,Master[Product_Code],Master[Size])</f>
        <v>XXL</v>
      </c>
      <c r="K2660" s="8" t="str">
        <f>_xlfn.XLOOKUP(D2660,Master[Product_Code],Master[Color])</f>
        <v>Mustard</v>
      </c>
      <c r="L2660" s="3">
        <f>_xlfn.XLOOKUP(D2660,Master[Product_Code],Master[Selling_Price])</f>
        <v>420</v>
      </c>
    </row>
    <row r="2661" spans="2:12">
      <c r="B2661" s="2" t="s">
        <v>2865</v>
      </c>
      <c r="C2661" s="7">
        <v>46020</v>
      </c>
      <c r="D2661" s="2" t="s">
        <v>266</v>
      </c>
      <c r="E2661" s="4">
        <v>1</v>
      </c>
      <c r="F2661" s="8" t="str">
        <f>_xlfn.XLOOKUP(D2661,Master[Product_Code],Master[Category])</f>
        <v>Shirt</v>
      </c>
      <c r="G2661" s="8" t="str">
        <f>_xlfn.XLOOKUP(D2661,Master[Product_Code],Master[Brand])</f>
        <v>Max</v>
      </c>
      <c r="H2661" s="8" t="str">
        <f>_xlfn.XLOOKUP(D2661,Master[Product_Code],Master[Style])</f>
        <v>Partywear</v>
      </c>
      <c r="I2661" s="8" t="str">
        <f>_xlfn.XLOOKUP(D2661,Master[Product_Code],Master[Fabric])</f>
        <v>Cotton Blend</v>
      </c>
      <c r="J2661" s="8" t="str">
        <f>_xlfn.XLOOKUP(D2661,Master[Product_Code],Master[Size])</f>
        <v>L</v>
      </c>
      <c r="K2661" s="8" t="str">
        <f>_xlfn.XLOOKUP(D2661,Master[Product_Code],Master[Color])</f>
        <v>Maroon</v>
      </c>
      <c r="L2661" s="3">
        <f>_xlfn.XLOOKUP(D2661,Master[Product_Code],Master[Selling_Price])</f>
        <v>800</v>
      </c>
    </row>
    <row r="2662" spans="2:12">
      <c r="B2662" s="2" t="s">
        <v>2865</v>
      </c>
      <c r="C2662" s="7">
        <v>46020</v>
      </c>
      <c r="D2662" s="2" t="s">
        <v>242</v>
      </c>
      <c r="E2662" s="4">
        <v>1</v>
      </c>
      <c r="F2662" s="8" t="str">
        <f>_xlfn.XLOOKUP(D2662,Master[Product_Code],Master[Category])</f>
        <v>Shirt</v>
      </c>
      <c r="G2662" s="8" t="str">
        <f>_xlfn.XLOOKUP(D2662,Master[Product_Code],Master[Brand])</f>
        <v>L7</v>
      </c>
      <c r="H2662" s="8" t="str">
        <f>_xlfn.XLOOKUP(D2662,Master[Product_Code],Master[Style])</f>
        <v>Casual</v>
      </c>
      <c r="I2662" s="8" t="str">
        <f>_xlfn.XLOOKUP(D2662,Master[Product_Code],Master[Fabric])</f>
        <v>Cotton Blend</v>
      </c>
      <c r="J2662" s="8" t="str">
        <f>_xlfn.XLOOKUP(D2662,Master[Product_Code],Master[Size])</f>
        <v>XL</v>
      </c>
      <c r="K2662" s="8" t="str">
        <f>_xlfn.XLOOKUP(D2662,Master[Product_Code],Master[Color])</f>
        <v>White</v>
      </c>
      <c r="L2662" s="3">
        <f>_xlfn.XLOOKUP(D2662,Master[Product_Code],Master[Selling_Price])</f>
        <v>870</v>
      </c>
    </row>
    <row r="2663" spans="2:12">
      <c r="B2663" s="2" t="s">
        <v>2865</v>
      </c>
      <c r="C2663" s="7">
        <v>46020</v>
      </c>
      <c r="D2663" s="2" t="s">
        <v>632</v>
      </c>
      <c r="E2663" s="4">
        <v>1</v>
      </c>
      <c r="F2663" s="8" t="str">
        <f>_xlfn.XLOOKUP(D2663,Master[Product_Code],Master[Category])</f>
        <v>T-Shirt</v>
      </c>
      <c r="G2663" s="8" t="str">
        <f>_xlfn.XLOOKUP(D2663,Master[Product_Code],Master[Brand])</f>
        <v>Urban Monkey</v>
      </c>
      <c r="H2663" s="8" t="str">
        <f>_xlfn.XLOOKUP(D2663,Master[Product_Code],Master[Style])</f>
        <v>Sleeveless</v>
      </c>
      <c r="I2663" s="8" t="str">
        <f>_xlfn.XLOOKUP(D2663,Master[Product_Code],Master[Fabric])</f>
        <v>Poly Cotton</v>
      </c>
      <c r="J2663" s="8" t="str">
        <f>_xlfn.XLOOKUP(D2663,Master[Product_Code],Master[Size])</f>
        <v>XXL</v>
      </c>
      <c r="K2663" s="8" t="str">
        <f>_xlfn.XLOOKUP(D2663,Master[Product_Code],Master[Color])</f>
        <v>Teal</v>
      </c>
      <c r="L2663" s="3">
        <f>_xlfn.XLOOKUP(D2663,Master[Product_Code],Master[Selling_Price])</f>
        <v>340</v>
      </c>
    </row>
    <row r="2664" spans="2:12">
      <c r="B2664" s="2" t="s">
        <v>2866</v>
      </c>
      <c r="C2664" s="7">
        <v>46020</v>
      </c>
      <c r="D2664" s="2" t="s">
        <v>691</v>
      </c>
      <c r="E2664" s="4">
        <v>1</v>
      </c>
      <c r="F2664" s="8" t="str">
        <f>_xlfn.XLOOKUP(D2664,Master[Product_Code],Master[Category])</f>
        <v>T-Shirt</v>
      </c>
      <c r="G2664" s="8" t="str">
        <f>_xlfn.XLOOKUP(D2664,Master[Product_Code],Master[Brand])</f>
        <v>Urban Monkey</v>
      </c>
      <c r="H2664" s="8" t="str">
        <f>_xlfn.XLOOKUP(D2664,Master[Product_Code],Master[Style])</f>
        <v>Sleeveless</v>
      </c>
      <c r="I2664" s="8" t="str">
        <f>_xlfn.XLOOKUP(D2664,Master[Product_Code],Master[Fabric])</f>
        <v>Cotton Blend</v>
      </c>
      <c r="J2664" s="8" t="str">
        <f>_xlfn.XLOOKUP(D2664,Master[Product_Code],Master[Size])</f>
        <v>L</v>
      </c>
      <c r="K2664" s="8" t="str">
        <f>_xlfn.XLOOKUP(D2664,Master[Product_Code],Master[Color])</f>
        <v>Sky Blue</v>
      </c>
      <c r="L2664" s="3">
        <f>_xlfn.XLOOKUP(D2664,Master[Product_Code],Master[Selling_Price])</f>
        <v>270</v>
      </c>
    </row>
    <row r="2665" spans="2:12">
      <c r="B2665" s="2" t="s">
        <v>2867</v>
      </c>
      <c r="C2665" s="7">
        <v>46020</v>
      </c>
      <c r="D2665" s="2" t="s">
        <v>1263</v>
      </c>
      <c r="E2665" s="4">
        <v>1</v>
      </c>
      <c r="F2665" s="8" t="str">
        <f>_xlfn.XLOOKUP(D2665,Master[Product_Code],Master[Category])</f>
        <v>Pants</v>
      </c>
      <c r="G2665" s="8" t="str">
        <f>_xlfn.XLOOKUP(D2665,Master[Product_Code],Master[Brand])</f>
        <v>Louis Philippe</v>
      </c>
      <c r="H2665" s="8" t="str">
        <f>_xlfn.XLOOKUP(D2665,Master[Product_Code],Master[Style])</f>
        <v>Boot Cut</v>
      </c>
      <c r="I2665" s="8" t="str">
        <f>_xlfn.XLOOKUP(D2665,Master[Product_Code],Master[Fabric])</f>
        <v>Cotton</v>
      </c>
      <c r="J2665" s="8">
        <f>_xlfn.XLOOKUP(D2665,Master[Product_Code],Master[Size])</f>
        <v>40</v>
      </c>
      <c r="K2665" s="8" t="str">
        <f>_xlfn.XLOOKUP(D2665,Master[Product_Code],Master[Color])</f>
        <v>Grey</v>
      </c>
      <c r="L2665" s="3">
        <f>_xlfn.XLOOKUP(D2665,Master[Product_Code],Master[Selling_Price])</f>
        <v>800</v>
      </c>
    </row>
    <row r="2666" spans="2:12">
      <c r="B2666" s="2" t="s">
        <v>2867</v>
      </c>
      <c r="C2666" s="7">
        <v>46020</v>
      </c>
      <c r="D2666" s="2" t="s">
        <v>798</v>
      </c>
      <c r="E2666" s="4">
        <v>1</v>
      </c>
      <c r="F2666" s="8" t="str">
        <f>_xlfn.XLOOKUP(D2666,Master[Product_Code],Master[Category])</f>
        <v>T-Shirt</v>
      </c>
      <c r="G2666" s="8" t="str">
        <f>_xlfn.XLOOKUP(D2666,Master[Product_Code],Master[Brand])</f>
        <v>Thailand</v>
      </c>
      <c r="H2666" s="8" t="str">
        <f>_xlfn.XLOOKUP(D2666,Master[Product_Code],Master[Style])</f>
        <v>Half Sleeve</v>
      </c>
      <c r="I2666" s="8" t="str">
        <f>_xlfn.XLOOKUP(D2666,Master[Product_Code],Master[Fabric])</f>
        <v>Poly Cotton</v>
      </c>
      <c r="J2666" s="8" t="str">
        <f>_xlfn.XLOOKUP(D2666,Master[Product_Code],Master[Size])</f>
        <v>S</v>
      </c>
      <c r="K2666" s="8" t="str">
        <f>_xlfn.XLOOKUP(D2666,Master[Product_Code],Master[Color])</f>
        <v>Rust</v>
      </c>
      <c r="L2666" s="3">
        <f>_xlfn.XLOOKUP(D2666,Master[Product_Code],Master[Selling_Price])</f>
        <v>370</v>
      </c>
    </row>
    <row r="2667" spans="2:12">
      <c r="B2667" s="2" t="s">
        <v>2868</v>
      </c>
      <c r="C2667" s="7">
        <v>46020</v>
      </c>
      <c r="D2667" s="2" t="s">
        <v>1509</v>
      </c>
      <c r="E2667" s="4">
        <v>1</v>
      </c>
      <c r="F2667" s="8" t="str">
        <f>_xlfn.XLOOKUP(D2667,Master[Product_Code],Master[Category])</f>
        <v>Innerwear</v>
      </c>
      <c r="G2667" s="8" t="str">
        <f>_xlfn.XLOOKUP(D2667,Master[Product_Code],Master[Brand])</f>
        <v>Dollar</v>
      </c>
      <c r="H2667" s="8" t="str">
        <f>_xlfn.XLOOKUP(D2667,Master[Product_Code],Master[Style])</f>
        <v>V-Cut</v>
      </c>
      <c r="I2667" s="8" t="str">
        <f>_xlfn.XLOOKUP(D2667,Master[Product_Code],Master[Fabric])</f>
        <v>Cotton Blend</v>
      </c>
      <c r="J2667" s="8" t="str">
        <f>_xlfn.XLOOKUP(D2667,Master[Product_Code],Master[Size])</f>
        <v>105-110</v>
      </c>
      <c r="K2667" s="8" t="str">
        <f>_xlfn.XLOOKUP(D2667,Master[Product_Code],Master[Color])</f>
        <v>Brown</v>
      </c>
      <c r="L2667" s="3">
        <f>_xlfn.XLOOKUP(D2667,Master[Product_Code],Master[Selling_Price])</f>
        <v>150</v>
      </c>
    </row>
    <row r="2668" spans="2:12">
      <c r="B2668" s="2" t="s">
        <v>2868</v>
      </c>
      <c r="C2668" s="7">
        <v>46020</v>
      </c>
      <c r="D2668" s="2" t="s">
        <v>1496</v>
      </c>
      <c r="E2668" s="4">
        <v>1</v>
      </c>
      <c r="F2668" s="8" t="str">
        <f>_xlfn.XLOOKUP(D2668,Master[Product_Code],Master[Category])</f>
        <v>Innerwear</v>
      </c>
      <c r="G2668" s="8" t="str">
        <f>_xlfn.XLOOKUP(D2668,Master[Product_Code],Master[Brand])</f>
        <v>Jockey</v>
      </c>
      <c r="H2668" s="8" t="str">
        <f>_xlfn.XLOOKUP(D2668,Master[Product_Code],Master[Style])</f>
        <v>V-Cut</v>
      </c>
      <c r="I2668" s="8" t="str">
        <f>_xlfn.XLOOKUP(D2668,Master[Product_Code],Master[Fabric])</f>
        <v>Cotton</v>
      </c>
      <c r="J2668" s="8" t="str">
        <f>_xlfn.XLOOKUP(D2668,Master[Product_Code],Master[Size])</f>
        <v>85-90</v>
      </c>
      <c r="K2668" s="8" t="str">
        <f>_xlfn.XLOOKUP(D2668,Master[Product_Code],Master[Color])</f>
        <v>Grey</v>
      </c>
      <c r="L2668" s="3">
        <f>_xlfn.XLOOKUP(D2668,Master[Product_Code],Master[Selling_Price])</f>
        <v>100</v>
      </c>
    </row>
    <row r="2669" spans="2:12">
      <c r="B2669" s="2" t="s">
        <v>2868</v>
      </c>
      <c r="C2669" s="7">
        <v>46020</v>
      </c>
      <c r="D2669" s="2" t="s">
        <v>463</v>
      </c>
      <c r="E2669" s="4">
        <v>1</v>
      </c>
      <c r="F2669" s="8" t="str">
        <f>_xlfn.XLOOKUP(D2669,Master[Product_Code],Master[Category])</f>
        <v>T-Shirt</v>
      </c>
      <c r="G2669" s="8" t="str">
        <f>_xlfn.XLOOKUP(D2669,Master[Product_Code],Master[Brand])</f>
        <v>Turkey</v>
      </c>
      <c r="H2669" s="8" t="str">
        <f>_xlfn.XLOOKUP(D2669,Master[Product_Code],Master[Style])</f>
        <v>Sleeveless</v>
      </c>
      <c r="I2669" s="8" t="str">
        <f>_xlfn.XLOOKUP(D2669,Master[Product_Code],Master[Fabric])</f>
        <v>Cotton Blend</v>
      </c>
      <c r="J2669" s="8" t="str">
        <f>_xlfn.XLOOKUP(D2669,Master[Product_Code],Master[Size])</f>
        <v>S</v>
      </c>
      <c r="K2669" s="8" t="str">
        <f>_xlfn.XLOOKUP(D2669,Master[Product_Code],Master[Color])</f>
        <v>Bottle Green</v>
      </c>
      <c r="L2669" s="3">
        <f>_xlfn.XLOOKUP(D2669,Master[Product_Code],Master[Selling_Price])</f>
        <v>720</v>
      </c>
    </row>
    <row r="2670" spans="2:12">
      <c r="B2670" s="2" t="s">
        <v>2868</v>
      </c>
      <c r="C2670" s="7">
        <v>46020</v>
      </c>
      <c r="D2670" s="2" t="s">
        <v>1439</v>
      </c>
      <c r="E2670" s="4">
        <v>1</v>
      </c>
      <c r="F2670" s="8" t="str">
        <f>_xlfn.XLOOKUP(D2670,Master[Product_Code],Master[Category])</f>
        <v>Pants</v>
      </c>
      <c r="G2670" s="8" t="str">
        <f>_xlfn.XLOOKUP(D2670,Master[Product_Code],Master[Brand])</f>
        <v>Peter England</v>
      </c>
      <c r="H2670" s="8" t="str">
        <f>_xlfn.XLOOKUP(D2670,Master[Product_Code],Master[Style])</f>
        <v>Kurka</v>
      </c>
      <c r="I2670" s="8" t="str">
        <f>_xlfn.XLOOKUP(D2670,Master[Product_Code],Master[Fabric])</f>
        <v>Lycra</v>
      </c>
      <c r="J2670" s="8">
        <f>_xlfn.XLOOKUP(D2670,Master[Product_Code],Master[Size])</f>
        <v>34</v>
      </c>
      <c r="K2670" s="8" t="str">
        <f>_xlfn.XLOOKUP(D2670,Master[Product_Code],Master[Color])</f>
        <v>Rust</v>
      </c>
      <c r="L2670" s="3">
        <f>_xlfn.XLOOKUP(D2670,Master[Product_Code],Master[Selling_Price])</f>
        <v>770</v>
      </c>
    </row>
    <row r="2671" spans="2:12">
      <c r="B2671" s="2" t="s">
        <v>2869</v>
      </c>
      <c r="C2671" s="7">
        <v>46020</v>
      </c>
      <c r="D2671" s="2" t="s">
        <v>1449</v>
      </c>
      <c r="E2671" s="4">
        <v>1</v>
      </c>
      <c r="F2671" s="8" t="str">
        <f>_xlfn.XLOOKUP(D2671,Master[Product_Code],Master[Category])</f>
        <v>Pants</v>
      </c>
      <c r="G2671" s="8" t="str">
        <f>_xlfn.XLOOKUP(D2671,Master[Product_Code],Master[Brand])</f>
        <v>Van Heusen</v>
      </c>
      <c r="H2671" s="8" t="str">
        <f>_xlfn.XLOOKUP(D2671,Master[Product_Code],Master[Style])</f>
        <v>Korean</v>
      </c>
      <c r="I2671" s="8" t="str">
        <f>_xlfn.XLOOKUP(D2671,Master[Product_Code],Master[Fabric])</f>
        <v>Lycra</v>
      </c>
      <c r="J2671" s="8">
        <f>_xlfn.XLOOKUP(D2671,Master[Product_Code],Master[Size])</f>
        <v>40</v>
      </c>
      <c r="K2671" s="8" t="str">
        <f>_xlfn.XLOOKUP(D2671,Master[Product_Code],Master[Color])</f>
        <v>Rust</v>
      </c>
      <c r="L2671" s="3">
        <f>_xlfn.XLOOKUP(D2671,Master[Product_Code],Master[Selling_Price])</f>
        <v>700</v>
      </c>
    </row>
    <row r="2672" spans="2:12">
      <c r="B2672" s="2" t="s">
        <v>2870</v>
      </c>
      <c r="C2672" s="7">
        <v>46020</v>
      </c>
      <c r="D2672" s="2" t="s">
        <v>1621</v>
      </c>
      <c r="E2672" s="4">
        <v>1</v>
      </c>
      <c r="F2672" s="8" t="str">
        <f>_xlfn.XLOOKUP(D2672,Master[Product_Code],Master[Category])</f>
        <v>Innerwear</v>
      </c>
      <c r="G2672" s="8" t="str">
        <f>_xlfn.XLOOKUP(D2672,Master[Product_Code],Master[Brand])</f>
        <v>Lux</v>
      </c>
      <c r="H2672" s="8" t="str">
        <f>_xlfn.XLOOKUP(D2672,Master[Product_Code],Master[Style])</f>
        <v>V-Cut</v>
      </c>
      <c r="I2672" s="8" t="str">
        <f>_xlfn.XLOOKUP(D2672,Master[Product_Code],Master[Fabric])</f>
        <v>Cotton</v>
      </c>
      <c r="J2672" s="8" t="str">
        <f>_xlfn.XLOOKUP(D2672,Master[Product_Code],Master[Size])</f>
        <v>80-85</v>
      </c>
      <c r="K2672" s="8" t="str">
        <f>_xlfn.XLOOKUP(D2672,Master[Product_Code],Master[Color])</f>
        <v>Maroon</v>
      </c>
      <c r="L2672" s="3">
        <f>_xlfn.XLOOKUP(D2672,Master[Product_Code],Master[Selling_Price])</f>
        <v>120</v>
      </c>
    </row>
    <row r="2673" spans="2:12">
      <c r="B2673" s="2" t="s">
        <v>2870</v>
      </c>
      <c r="C2673" s="7">
        <v>46020</v>
      </c>
      <c r="D2673" s="2" t="s">
        <v>130</v>
      </c>
      <c r="E2673" s="4">
        <v>1</v>
      </c>
      <c r="F2673" s="8" t="str">
        <f>_xlfn.XLOOKUP(D2673,Master[Product_Code],Master[Category])</f>
        <v>Shirt</v>
      </c>
      <c r="G2673" s="8" t="str">
        <f>_xlfn.XLOOKUP(D2673,Master[Product_Code],Master[Brand])</f>
        <v>Max</v>
      </c>
      <c r="H2673" s="8" t="str">
        <f>_xlfn.XLOOKUP(D2673,Master[Product_Code],Master[Style])</f>
        <v>Partywear</v>
      </c>
      <c r="I2673" s="8" t="str">
        <f>_xlfn.XLOOKUP(D2673,Master[Product_Code],Master[Fabric])</f>
        <v>Polyester</v>
      </c>
      <c r="J2673" s="8" t="str">
        <f>_xlfn.XLOOKUP(D2673,Master[Product_Code],Master[Size])</f>
        <v>XXL</v>
      </c>
      <c r="K2673" s="8" t="str">
        <f>_xlfn.XLOOKUP(D2673,Master[Product_Code],Master[Color])</f>
        <v>Cream</v>
      </c>
      <c r="L2673" s="3">
        <f>_xlfn.XLOOKUP(D2673,Master[Product_Code],Master[Selling_Price])</f>
        <v>900</v>
      </c>
    </row>
    <row r="2674" spans="2:12">
      <c r="B2674" s="2" t="s">
        <v>2871</v>
      </c>
      <c r="C2674" s="7">
        <v>46020</v>
      </c>
      <c r="D2674" s="2" t="s">
        <v>635</v>
      </c>
      <c r="E2674" s="4">
        <v>1</v>
      </c>
      <c r="F2674" s="8" t="str">
        <f>_xlfn.XLOOKUP(D2674,Master[Product_Code],Master[Category])</f>
        <v>T-Shirt</v>
      </c>
      <c r="G2674" s="8" t="str">
        <f>_xlfn.XLOOKUP(D2674,Master[Product_Code],Master[Brand])</f>
        <v>Turkey</v>
      </c>
      <c r="H2674" s="8" t="str">
        <f>_xlfn.XLOOKUP(D2674,Master[Product_Code],Master[Style])</f>
        <v>3/4 Sleeve</v>
      </c>
      <c r="I2674" s="8" t="str">
        <f>_xlfn.XLOOKUP(D2674,Master[Product_Code],Master[Fabric])</f>
        <v>Poly Cotton</v>
      </c>
      <c r="J2674" s="8" t="str">
        <f>_xlfn.XLOOKUP(D2674,Master[Product_Code],Master[Size])</f>
        <v>XL</v>
      </c>
      <c r="K2674" s="8" t="str">
        <f>_xlfn.XLOOKUP(D2674,Master[Product_Code],Master[Color])</f>
        <v>Wine</v>
      </c>
      <c r="L2674" s="3">
        <f>_xlfn.XLOOKUP(D2674,Master[Product_Code],Master[Selling_Price])</f>
        <v>690</v>
      </c>
    </row>
    <row r="2675" spans="2:12">
      <c r="B2675" s="2" t="s">
        <v>2871</v>
      </c>
      <c r="C2675" s="7">
        <v>46020</v>
      </c>
      <c r="D2675" s="2" t="s">
        <v>829</v>
      </c>
      <c r="E2675" s="4">
        <v>1</v>
      </c>
      <c r="F2675" s="8" t="str">
        <f>_xlfn.XLOOKUP(D2675,Master[Product_Code],Master[Category])</f>
        <v>T-Shirt</v>
      </c>
      <c r="G2675" s="8" t="str">
        <f>_xlfn.XLOOKUP(D2675,Master[Product_Code],Master[Brand])</f>
        <v>Turkey</v>
      </c>
      <c r="H2675" s="8" t="str">
        <f>_xlfn.XLOOKUP(D2675,Master[Product_Code],Master[Style])</f>
        <v>Hoodie</v>
      </c>
      <c r="I2675" s="8" t="str">
        <f>_xlfn.XLOOKUP(D2675,Master[Product_Code],Master[Fabric])</f>
        <v>Poly Cotton</v>
      </c>
      <c r="J2675" s="8" t="str">
        <f>_xlfn.XLOOKUP(D2675,Master[Product_Code],Master[Size])</f>
        <v>L</v>
      </c>
      <c r="K2675" s="8" t="str">
        <f>_xlfn.XLOOKUP(D2675,Master[Product_Code],Master[Color])</f>
        <v>Peach</v>
      </c>
      <c r="L2675" s="3">
        <f>_xlfn.XLOOKUP(D2675,Master[Product_Code],Master[Selling_Price])</f>
        <v>570</v>
      </c>
    </row>
    <row r="2676" spans="2:12">
      <c r="B2676" s="2" t="s">
        <v>2871</v>
      </c>
      <c r="C2676" s="7">
        <v>46020</v>
      </c>
      <c r="D2676" s="2" t="s">
        <v>897</v>
      </c>
      <c r="E2676" s="4">
        <v>1</v>
      </c>
      <c r="F2676" s="8" t="str">
        <f>_xlfn.XLOOKUP(D2676,Master[Product_Code],Master[Category])</f>
        <v>Jeans</v>
      </c>
      <c r="G2676" s="8" t="str">
        <f>_xlfn.XLOOKUP(D2676,Master[Product_Code],Master[Brand])</f>
        <v>Denim Pro</v>
      </c>
      <c r="H2676" s="8" t="str">
        <f>_xlfn.XLOOKUP(D2676,Master[Product_Code],Master[Style])</f>
        <v>Mom Fit</v>
      </c>
      <c r="I2676" s="8" t="str">
        <f>_xlfn.XLOOKUP(D2676,Master[Product_Code],Master[Fabric])</f>
        <v>Denim</v>
      </c>
      <c r="J2676" s="8">
        <f>_xlfn.XLOOKUP(D2676,Master[Product_Code],Master[Size])</f>
        <v>44</v>
      </c>
      <c r="K2676" s="8" t="str">
        <f>_xlfn.XLOOKUP(D2676,Master[Product_Code],Master[Color])</f>
        <v>White</v>
      </c>
      <c r="L2676" s="3">
        <f>_xlfn.XLOOKUP(D2676,Master[Product_Code],Master[Selling_Price])</f>
        <v>1050</v>
      </c>
    </row>
    <row r="2677" spans="2:12">
      <c r="B2677" s="2" t="s">
        <v>2872</v>
      </c>
      <c r="C2677" s="7">
        <v>46020</v>
      </c>
      <c r="D2677" s="2" t="s">
        <v>1563</v>
      </c>
      <c r="E2677" s="4">
        <v>1</v>
      </c>
      <c r="F2677" s="8" t="str">
        <f>_xlfn.XLOOKUP(D2677,Master[Product_Code],Master[Category])</f>
        <v>Innerwear</v>
      </c>
      <c r="G2677" s="8" t="str">
        <f>_xlfn.XLOOKUP(D2677,Master[Product_Code],Master[Brand])</f>
        <v>Rupa</v>
      </c>
      <c r="H2677" s="8" t="str">
        <f>_xlfn.XLOOKUP(D2677,Master[Product_Code],Master[Style])</f>
        <v>V-Cut</v>
      </c>
      <c r="I2677" s="8" t="str">
        <f>_xlfn.XLOOKUP(D2677,Master[Product_Code],Master[Fabric])</f>
        <v>Cotton</v>
      </c>
      <c r="J2677" s="8" t="str">
        <f>_xlfn.XLOOKUP(D2677,Master[Product_Code],Master[Size])</f>
        <v>105-110</v>
      </c>
      <c r="K2677" s="8" t="str">
        <f>_xlfn.XLOOKUP(D2677,Master[Product_Code],Master[Color])</f>
        <v>White</v>
      </c>
      <c r="L2677" s="3">
        <f>_xlfn.XLOOKUP(D2677,Master[Product_Code],Master[Selling_Price])</f>
        <v>160</v>
      </c>
    </row>
    <row r="2678" spans="2:12">
      <c r="B2678" s="2" t="s">
        <v>2873</v>
      </c>
      <c r="C2678" s="7">
        <v>46020</v>
      </c>
      <c r="D2678" s="2" t="s">
        <v>504</v>
      </c>
      <c r="E2678" s="4">
        <v>1</v>
      </c>
      <c r="F2678" s="8" t="str">
        <f>_xlfn.XLOOKUP(D2678,Master[Product_Code],Master[Category])</f>
        <v>T-Shirt</v>
      </c>
      <c r="G2678" s="8" t="str">
        <f>_xlfn.XLOOKUP(D2678,Master[Product_Code],Master[Brand])</f>
        <v>Campus</v>
      </c>
      <c r="H2678" s="8" t="str">
        <f>_xlfn.XLOOKUP(D2678,Master[Product_Code],Master[Style])</f>
        <v>Half Sleeve</v>
      </c>
      <c r="I2678" s="8" t="str">
        <f>_xlfn.XLOOKUP(D2678,Master[Product_Code],Master[Fabric])</f>
        <v>Cotton Blend</v>
      </c>
      <c r="J2678" s="8" t="str">
        <f>_xlfn.XLOOKUP(D2678,Master[Product_Code],Master[Size])</f>
        <v>XXL</v>
      </c>
      <c r="K2678" s="8" t="str">
        <f>_xlfn.XLOOKUP(D2678,Master[Product_Code],Master[Color])</f>
        <v>Beige</v>
      </c>
      <c r="L2678" s="3">
        <f>_xlfn.XLOOKUP(D2678,Master[Product_Code],Master[Selling_Price])</f>
        <v>260</v>
      </c>
    </row>
    <row r="2679" spans="2:12">
      <c r="B2679" s="2" t="s">
        <v>2874</v>
      </c>
      <c r="C2679" s="7">
        <v>46020</v>
      </c>
      <c r="D2679" s="2" t="s">
        <v>344</v>
      </c>
      <c r="E2679" s="4">
        <v>1</v>
      </c>
      <c r="F2679" s="8" t="str">
        <f>_xlfn.XLOOKUP(D2679,Master[Product_Code],Master[Category])</f>
        <v>Shirt</v>
      </c>
      <c r="G2679" s="8" t="str">
        <f>_xlfn.XLOOKUP(D2679,Master[Product_Code],Master[Brand])</f>
        <v>H&amp;M</v>
      </c>
      <c r="H2679" s="8" t="str">
        <f>_xlfn.XLOOKUP(D2679,Master[Product_Code],Master[Style])</f>
        <v>Casual</v>
      </c>
      <c r="I2679" s="8" t="str">
        <f>_xlfn.XLOOKUP(D2679,Master[Product_Code],Master[Fabric])</f>
        <v>Cotton</v>
      </c>
      <c r="J2679" s="8" t="str">
        <f>_xlfn.XLOOKUP(D2679,Master[Product_Code],Master[Size])</f>
        <v>XL</v>
      </c>
      <c r="K2679" s="8" t="str">
        <f>_xlfn.XLOOKUP(D2679,Master[Product_Code],Master[Color])</f>
        <v>Wine</v>
      </c>
      <c r="L2679" s="3">
        <f>_xlfn.XLOOKUP(D2679,Master[Product_Code],Master[Selling_Price])</f>
        <v>760</v>
      </c>
    </row>
    <row r="2680" spans="2:12">
      <c r="B2680" s="2" t="s">
        <v>2874</v>
      </c>
      <c r="C2680" s="7">
        <v>46020</v>
      </c>
      <c r="D2680" s="2" t="s">
        <v>1652</v>
      </c>
      <c r="E2680" s="4">
        <v>1</v>
      </c>
      <c r="F2680" s="8" t="str">
        <f>_xlfn.XLOOKUP(D2680,Master[Product_Code],Master[Category])</f>
        <v>Innerwear</v>
      </c>
      <c r="G2680" s="8" t="str">
        <f>_xlfn.XLOOKUP(D2680,Master[Product_Code],Master[Brand])</f>
        <v>Dollar</v>
      </c>
      <c r="H2680" s="8" t="str">
        <f>_xlfn.XLOOKUP(D2680,Master[Product_Code],Master[Style])</f>
        <v>V-Cut</v>
      </c>
      <c r="I2680" s="8" t="str">
        <f>_xlfn.XLOOKUP(D2680,Master[Product_Code],Master[Fabric])</f>
        <v>Cotton Blend</v>
      </c>
      <c r="J2680" s="8" t="str">
        <f>_xlfn.XLOOKUP(D2680,Master[Product_Code],Master[Size])</f>
        <v>80-85</v>
      </c>
      <c r="K2680" s="8" t="str">
        <f>_xlfn.XLOOKUP(D2680,Master[Product_Code],Master[Color])</f>
        <v>Mustard</v>
      </c>
      <c r="L2680" s="3">
        <f>_xlfn.XLOOKUP(D2680,Master[Product_Code],Master[Selling_Price])</f>
        <v>160</v>
      </c>
    </row>
    <row r="2681" spans="2:12">
      <c r="B2681" s="2" t="s">
        <v>2874</v>
      </c>
      <c r="C2681" s="7">
        <v>46020</v>
      </c>
      <c r="D2681" s="2" t="s">
        <v>1311</v>
      </c>
      <c r="E2681" s="4">
        <v>1</v>
      </c>
      <c r="F2681" s="8" t="str">
        <f>_xlfn.XLOOKUP(D2681,Master[Product_Code],Master[Category])</f>
        <v>Pants</v>
      </c>
      <c r="G2681" s="8" t="str">
        <f>_xlfn.XLOOKUP(D2681,Master[Product_Code],Master[Brand])</f>
        <v>Louis Philippe</v>
      </c>
      <c r="H2681" s="8" t="str">
        <f>_xlfn.XLOOKUP(D2681,Master[Product_Code],Master[Style])</f>
        <v>Jogger</v>
      </c>
      <c r="I2681" s="8" t="str">
        <f>_xlfn.XLOOKUP(D2681,Master[Product_Code],Master[Fabric])</f>
        <v>Cotton Blend</v>
      </c>
      <c r="J2681" s="8">
        <f>_xlfn.XLOOKUP(D2681,Master[Product_Code],Master[Size])</f>
        <v>44</v>
      </c>
      <c r="K2681" s="8" t="str">
        <f>_xlfn.XLOOKUP(D2681,Master[Product_Code],Master[Color])</f>
        <v>Brown</v>
      </c>
      <c r="L2681" s="3">
        <f>_xlfn.XLOOKUP(D2681,Master[Product_Code],Master[Selling_Price])</f>
        <v>850</v>
      </c>
    </row>
    <row r="2682" spans="2:12">
      <c r="B2682" s="2" t="s">
        <v>2875</v>
      </c>
      <c r="C2682" s="7">
        <v>46020</v>
      </c>
      <c r="D2682" s="2" t="s">
        <v>721</v>
      </c>
      <c r="E2682" s="4">
        <v>1</v>
      </c>
      <c r="F2682" s="8" t="str">
        <f>_xlfn.XLOOKUP(D2682,Master[Product_Code],Master[Category])</f>
        <v>T-Shirt</v>
      </c>
      <c r="G2682" s="8" t="str">
        <f>_xlfn.XLOOKUP(D2682,Master[Product_Code],Master[Brand])</f>
        <v>Campus</v>
      </c>
      <c r="H2682" s="8" t="str">
        <f>_xlfn.XLOOKUP(D2682,Master[Product_Code],Master[Style])</f>
        <v>Hoodie</v>
      </c>
      <c r="I2682" s="8" t="str">
        <f>_xlfn.XLOOKUP(D2682,Master[Product_Code],Master[Fabric])</f>
        <v>Cotton</v>
      </c>
      <c r="J2682" s="8" t="str">
        <f>_xlfn.XLOOKUP(D2682,Master[Product_Code],Master[Size])</f>
        <v>XL</v>
      </c>
      <c r="K2682" s="8" t="str">
        <f>_xlfn.XLOOKUP(D2682,Master[Product_Code],Master[Color])</f>
        <v>White</v>
      </c>
      <c r="L2682" s="3">
        <f>_xlfn.XLOOKUP(D2682,Master[Product_Code],Master[Selling_Price])</f>
        <v>330</v>
      </c>
    </row>
    <row r="2683" spans="2:12">
      <c r="B2683" s="2" t="s">
        <v>2875</v>
      </c>
      <c r="C2683" s="7">
        <v>46020</v>
      </c>
      <c r="D2683" s="2" t="s">
        <v>1323</v>
      </c>
      <c r="E2683" s="4">
        <v>1</v>
      </c>
      <c r="F2683" s="8" t="str">
        <f>_xlfn.XLOOKUP(D2683,Master[Product_Code],Master[Category])</f>
        <v>Pants</v>
      </c>
      <c r="G2683" s="8" t="str">
        <f>_xlfn.XLOOKUP(D2683,Master[Product_Code],Master[Brand])</f>
        <v>Van Heusen</v>
      </c>
      <c r="H2683" s="8" t="str">
        <f>_xlfn.XLOOKUP(D2683,Master[Product_Code],Master[Style])</f>
        <v>Korean</v>
      </c>
      <c r="I2683" s="8" t="str">
        <f>_xlfn.XLOOKUP(D2683,Master[Product_Code],Master[Fabric])</f>
        <v>Lycra</v>
      </c>
      <c r="J2683" s="8">
        <f>_xlfn.XLOOKUP(D2683,Master[Product_Code],Master[Size])</f>
        <v>28</v>
      </c>
      <c r="K2683" s="8" t="str">
        <f>_xlfn.XLOOKUP(D2683,Master[Product_Code],Master[Color])</f>
        <v>Dark Green</v>
      </c>
      <c r="L2683" s="3">
        <f>_xlfn.XLOOKUP(D2683,Master[Product_Code],Master[Selling_Price])</f>
        <v>870</v>
      </c>
    </row>
    <row r="2684" spans="2:12">
      <c r="B2684" s="2" t="s">
        <v>2875</v>
      </c>
      <c r="C2684" s="7">
        <v>46020</v>
      </c>
      <c r="D2684" s="2" t="s">
        <v>1616</v>
      </c>
      <c r="E2684" s="4">
        <v>1</v>
      </c>
      <c r="F2684" s="8" t="str">
        <f>_xlfn.XLOOKUP(D2684,Master[Product_Code],Master[Category])</f>
        <v>Innerwear</v>
      </c>
      <c r="G2684" s="8" t="str">
        <f>_xlfn.XLOOKUP(D2684,Master[Product_Code],Master[Brand])</f>
        <v>Jockey</v>
      </c>
      <c r="H2684" s="8" t="str">
        <f>_xlfn.XLOOKUP(D2684,Master[Product_Code],Master[Style])</f>
        <v>V-Cut</v>
      </c>
      <c r="I2684" s="8" t="str">
        <f>_xlfn.XLOOKUP(D2684,Master[Product_Code],Master[Fabric])</f>
        <v>Cotton Blend</v>
      </c>
      <c r="J2684" s="8" t="str">
        <f>_xlfn.XLOOKUP(D2684,Master[Product_Code],Master[Size])</f>
        <v>75-80</v>
      </c>
      <c r="K2684" s="8" t="str">
        <f>_xlfn.XLOOKUP(D2684,Master[Product_Code],Master[Color])</f>
        <v>Cream</v>
      </c>
      <c r="L2684" s="3">
        <f>_xlfn.XLOOKUP(D2684,Master[Product_Code],Master[Selling_Price])</f>
        <v>160</v>
      </c>
    </row>
    <row r="2685" spans="2:12">
      <c r="B2685" s="2" t="s">
        <v>2876</v>
      </c>
      <c r="C2685" s="7">
        <v>46020</v>
      </c>
      <c r="D2685" s="2" t="s">
        <v>846</v>
      </c>
      <c r="E2685" s="4">
        <v>1</v>
      </c>
      <c r="F2685" s="8" t="str">
        <f>_xlfn.XLOOKUP(D2685,Master[Product_Code],Master[Category])</f>
        <v>Jeans</v>
      </c>
      <c r="G2685" s="8" t="str">
        <f>_xlfn.XLOOKUP(D2685,Master[Product_Code],Master[Brand])</f>
        <v>Pepe</v>
      </c>
      <c r="H2685" s="8" t="str">
        <f>_xlfn.XLOOKUP(D2685,Master[Product_Code],Master[Style])</f>
        <v>Mom Fit</v>
      </c>
      <c r="I2685" s="8" t="str">
        <f>_xlfn.XLOOKUP(D2685,Master[Product_Code],Master[Fabric])</f>
        <v>Denim</v>
      </c>
      <c r="J2685" s="8">
        <f>_xlfn.XLOOKUP(D2685,Master[Product_Code],Master[Size])</f>
        <v>36</v>
      </c>
      <c r="K2685" s="8" t="str">
        <f>_xlfn.XLOOKUP(D2685,Master[Product_Code],Master[Color])</f>
        <v>Navy Blue</v>
      </c>
      <c r="L2685" s="3">
        <f>_xlfn.XLOOKUP(D2685,Master[Product_Code],Master[Selling_Price])</f>
        <v>1080</v>
      </c>
    </row>
    <row r="2686" spans="2:12">
      <c r="B2686" s="2" t="s">
        <v>2876</v>
      </c>
      <c r="C2686" s="7">
        <v>46020</v>
      </c>
      <c r="D2686" s="2" t="s">
        <v>750</v>
      </c>
      <c r="E2686" s="4">
        <v>1</v>
      </c>
      <c r="F2686" s="8" t="str">
        <f>_xlfn.XLOOKUP(D2686,Master[Product_Code],Master[Category])</f>
        <v>T-Shirt</v>
      </c>
      <c r="G2686" s="8" t="str">
        <f>_xlfn.XLOOKUP(D2686,Master[Product_Code],Master[Brand])</f>
        <v>Thailand</v>
      </c>
      <c r="H2686" s="8" t="str">
        <f>_xlfn.XLOOKUP(D2686,Master[Product_Code],Master[Style])</f>
        <v>Full Sleeve</v>
      </c>
      <c r="I2686" s="8" t="str">
        <f>_xlfn.XLOOKUP(D2686,Master[Product_Code],Master[Fabric])</f>
        <v>Poly Cotton</v>
      </c>
      <c r="J2686" s="8" t="str">
        <f>_xlfn.XLOOKUP(D2686,Master[Product_Code],Master[Size])</f>
        <v>M</v>
      </c>
      <c r="K2686" s="8" t="str">
        <f>_xlfn.XLOOKUP(D2686,Master[Product_Code],Master[Color])</f>
        <v>Sky Blue</v>
      </c>
      <c r="L2686" s="3">
        <f>_xlfn.XLOOKUP(D2686,Master[Product_Code],Master[Selling_Price])</f>
        <v>450</v>
      </c>
    </row>
    <row r="2687" spans="2:12">
      <c r="B2687" s="2" t="s">
        <v>2876</v>
      </c>
      <c r="C2687" s="7">
        <v>46020</v>
      </c>
      <c r="D2687" s="2" t="s">
        <v>392</v>
      </c>
      <c r="E2687" s="4">
        <v>1</v>
      </c>
      <c r="F2687" s="8" t="str">
        <f>_xlfn.XLOOKUP(D2687,Master[Product_Code],Master[Category])</f>
        <v>Shirt</v>
      </c>
      <c r="G2687" s="8" t="str">
        <f>_xlfn.XLOOKUP(D2687,Master[Product_Code],Master[Brand])</f>
        <v>Luke &amp; Burg</v>
      </c>
      <c r="H2687" s="8" t="str">
        <f>_xlfn.XLOOKUP(D2687,Master[Product_Code],Master[Style])</f>
        <v>Formal</v>
      </c>
      <c r="I2687" s="8" t="str">
        <f>_xlfn.XLOOKUP(D2687,Master[Product_Code],Master[Fabric])</f>
        <v>Lycra</v>
      </c>
      <c r="J2687" s="8" t="str">
        <f>_xlfn.XLOOKUP(D2687,Master[Product_Code],Master[Size])</f>
        <v>XL</v>
      </c>
      <c r="K2687" s="8" t="str">
        <f>_xlfn.XLOOKUP(D2687,Master[Product_Code],Master[Color])</f>
        <v>Teal</v>
      </c>
      <c r="L2687" s="3">
        <f>_xlfn.XLOOKUP(D2687,Master[Product_Code],Master[Selling_Price])</f>
        <v>820</v>
      </c>
    </row>
    <row r="2688" spans="2:12">
      <c r="B2688" s="2" t="s">
        <v>2876</v>
      </c>
      <c r="C2688" s="7">
        <v>46020</v>
      </c>
      <c r="D2688" s="2" t="s">
        <v>278</v>
      </c>
      <c r="E2688" s="4">
        <v>1</v>
      </c>
      <c r="F2688" s="8" t="str">
        <f>_xlfn.XLOOKUP(D2688,Master[Product_Code],Master[Category])</f>
        <v>Shirt</v>
      </c>
      <c r="G2688" s="8" t="str">
        <f>_xlfn.XLOOKUP(D2688,Master[Product_Code],Master[Brand])</f>
        <v>Luke &amp; Burg</v>
      </c>
      <c r="H2688" s="8" t="str">
        <f>_xlfn.XLOOKUP(D2688,Master[Product_Code],Master[Style])</f>
        <v>Partywear</v>
      </c>
      <c r="I2688" s="8" t="str">
        <f>_xlfn.XLOOKUP(D2688,Master[Product_Code],Master[Fabric])</f>
        <v>Cotton Blend</v>
      </c>
      <c r="J2688" s="8" t="str">
        <f>_xlfn.XLOOKUP(D2688,Master[Product_Code],Master[Size])</f>
        <v>S</v>
      </c>
      <c r="K2688" s="8" t="str">
        <f>_xlfn.XLOOKUP(D2688,Master[Product_Code],Master[Color])</f>
        <v>Teal</v>
      </c>
      <c r="L2688" s="3">
        <f>_xlfn.XLOOKUP(D2688,Master[Product_Code],Master[Selling_Price])</f>
        <v>860</v>
      </c>
    </row>
    <row r="2689" spans="2:12">
      <c r="B2689" s="2" t="s">
        <v>2877</v>
      </c>
      <c r="C2689" s="7">
        <v>46020</v>
      </c>
      <c r="D2689" s="2" t="s">
        <v>1197</v>
      </c>
      <c r="E2689" s="4">
        <v>1</v>
      </c>
      <c r="F2689" s="8" t="str">
        <f>_xlfn.XLOOKUP(D2689,Master[Product_Code],Master[Category])</f>
        <v>Pants</v>
      </c>
      <c r="G2689" s="8" t="str">
        <f>_xlfn.XLOOKUP(D2689,Master[Product_Code],Master[Brand])</f>
        <v>Louis Philippe</v>
      </c>
      <c r="H2689" s="8" t="str">
        <f>_xlfn.XLOOKUP(D2689,Master[Product_Code],Master[Style])</f>
        <v>Kurka</v>
      </c>
      <c r="I2689" s="8" t="str">
        <f>_xlfn.XLOOKUP(D2689,Master[Product_Code],Master[Fabric])</f>
        <v>Lycra</v>
      </c>
      <c r="J2689" s="8">
        <f>_xlfn.XLOOKUP(D2689,Master[Product_Code],Master[Size])</f>
        <v>40</v>
      </c>
      <c r="K2689" s="8" t="str">
        <f>_xlfn.XLOOKUP(D2689,Master[Product_Code],Master[Color])</f>
        <v>Brown</v>
      </c>
      <c r="L2689" s="3">
        <f>_xlfn.XLOOKUP(D2689,Master[Product_Code],Master[Selling_Price])</f>
        <v>940</v>
      </c>
    </row>
    <row r="2690" spans="2:12">
      <c r="B2690" s="2" t="s">
        <v>2878</v>
      </c>
      <c r="C2690" s="7">
        <v>46020</v>
      </c>
      <c r="D2690" s="2" t="s">
        <v>954</v>
      </c>
      <c r="E2690" s="4">
        <v>1</v>
      </c>
      <c r="F2690" s="8" t="str">
        <f>_xlfn.XLOOKUP(D2690,Master[Product_Code],Master[Category])</f>
        <v>Jeans</v>
      </c>
      <c r="G2690" s="8" t="str">
        <f>_xlfn.XLOOKUP(D2690,Master[Product_Code],Master[Brand])</f>
        <v>Levis</v>
      </c>
      <c r="H2690" s="8" t="str">
        <f>_xlfn.XLOOKUP(D2690,Master[Product_Code],Master[Style])</f>
        <v>Baggy</v>
      </c>
      <c r="I2690" s="8" t="str">
        <f>_xlfn.XLOOKUP(D2690,Master[Product_Code],Master[Fabric])</f>
        <v>Denim</v>
      </c>
      <c r="J2690" s="8">
        <f>_xlfn.XLOOKUP(D2690,Master[Product_Code],Master[Size])</f>
        <v>36</v>
      </c>
      <c r="K2690" s="8" t="str">
        <f>_xlfn.XLOOKUP(D2690,Master[Product_Code],Master[Color])</f>
        <v>Cream</v>
      </c>
      <c r="L2690" s="3">
        <f>_xlfn.XLOOKUP(D2690,Master[Product_Code],Master[Selling_Price])</f>
        <v>870</v>
      </c>
    </row>
    <row r="2691" spans="2:12">
      <c r="B2691" s="2" t="s">
        <v>2879</v>
      </c>
      <c r="C2691" s="7">
        <v>46020</v>
      </c>
      <c r="D2691" s="2" t="s">
        <v>1640</v>
      </c>
      <c r="E2691" s="4">
        <v>1</v>
      </c>
      <c r="F2691" s="8" t="str">
        <f>_xlfn.XLOOKUP(D2691,Master[Product_Code],Master[Category])</f>
        <v>Innerwear</v>
      </c>
      <c r="G2691" s="8" t="str">
        <f>_xlfn.XLOOKUP(D2691,Master[Product_Code],Master[Brand])</f>
        <v>Dollar</v>
      </c>
      <c r="H2691" s="8" t="str">
        <f>_xlfn.XLOOKUP(D2691,Master[Product_Code],Master[Style])</f>
        <v>Boxer</v>
      </c>
      <c r="I2691" s="8" t="str">
        <f>_xlfn.XLOOKUP(D2691,Master[Product_Code],Master[Fabric])</f>
        <v>Cotton</v>
      </c>
      <c r="J2691" s="8" t="str">
        <f>_xlfn.XLOOKUP(D2691,Master[Product_Code],Master[Size])</f>
        <v>90-100</v>
      </c>
      <c r="K2691" s="8" t="str">
        <f>_xlfn.XLOOKUP(D2691,Master[Product_Code],Master[Color])</f>
        <v>Navy Blue</v>
      </c>
      <c r="L2691" s="3">
        <f>_xlfn.XLOOKUP(D2691,Master[Product_Code],Master[Selling_Price])</f>
        <v>160</v>
      </c>
    </row>
    <row r="2692" spans="2:12">
      <c r="B2692" s="2" t="s">
        <v>2880</v>
      </c>
      <c r="C2692" s="7">
        <v>46020</v>
      </c>
      <c r="D2692" s="2" t="s">
        <v>467</v>
      </c>
      <c r="E2692" s="4">
        <v>1</v>
      </c>
      <c r="F2692" s="8" t="str">
        <f>_xlfn.XLOOKUP(D2692,Master[Product_Code],Master[Category])</f>
        <v>T-Shirt</v>
      </c>
      <c r="G2692" s="8" t="str">
        <f>_xlfn.XLOOKUP(D2692,Master[Product_Code],Master[Brand])</f>
        <v>Urban Monkey</v>
      </c>
      <c r="H2692" s="8" t="str">
        <f>_xlfn.XLOOKUP(D2692,Master[Product_Code],Master[Style])</f>
        <v>Full Sleeve</v>
      </c>
      <c r="I2692" s="8" t="str">
        <f>_xlfn.XLOOKUP(D2692,Master[Product_Code],Master[Fabric])</f>
        <v>Poly Cotton</v>
      </c>
      <c r="J2692" s="8" t="str">
        <f>_xlfn.XLOOKUP(D2692,Master[Product_Code],Master[Size])</f>
        <v>L</v>
      </c>
      <c r="K2692" s="8" t="str">
        <f>_xlfn.XLOOKUP(D2692,Master[Product_Code],Master[Color])</f>
        <v>Olive</v>
      </c>
      <c r="L2692" s="3">
        <f>_xlfn.XLOOKUP(D2692,Master[Product_Code],Master[Selling_Price])</f>
        <v>290</v>
      </c>
    </row>
    <row r="2693" spans="2:12">
      <c r="B2693" s="2" t="s">
        <v>2880</v>
      </c>
      <c r="C2693" s="7">
        <v>46020</v>
      </c>
      <c r="D2693" s="2" t="s">
        <v>746</v>
      </c>
      <c r="E2693" s="4">
        <v>1</v>
      </c>
      <c r="F2693" s="8" t="str">
        <f>_xlfn.XLOOKUP(D2693,Master[Product_Code],Master[Category])</f>
        <v>T-Shirt</v>
      </c>
      <c r="G2693" s="8" t="str">
        <f>_xlfn.XLOOKUP(D2693,Master[Product_Code],Master[Brand])</f>
        <v>Turkey</v>
      </c>
      <c r="H2693" s="8" t="str">
        <f>_xlfn.XLOOKUP(D2693,Master[Product_Code],Master[Style])</f>
        <v>3/4 Sleeve</v>
      </c>
      <c r="I2693" s="8" t="str">
        <f>_xlfn.XLOOKUP(D2693,Master[Product_Code],Master[Fabric])</f>
        <v>Cotton</v>
      </c>
      <c r="J2693" s="8" t="str">
        <f>_xlfn.XLOOKUP(D2693,Master[Product_Code],Master[Size])</f>
        <v>XL</v>
      </c>
      <c r="K2693" s="8" t="str">
        <f>_xlfn.XLOOKUP(D2693,Master[Product_Code],Master[Color])</f>
        <v>Wine</v>
      </c>
      <c r="L2693" s="3">
        <f>_xlfn.XLOOKUP(D2693,Master[Product_Code],Master[Selling_Price])</f>
        <v>430</v>
      </c>
    </row>
    <row r="2694" spans="2:12">
      <c r="B2694" s="2" t="s">
        <v>2881</v>
      </c>
      <c r="C2694" s="7">
        <v>46020</v>
      </c>
      <c r="D2694" s="2" t="s">
        <v>1003</v>
      </c>
      <c r="E2694" s="4">
        <v>1</v>
      </c>
      <c r="F2694" s="8" t="str">
        <f>_xlfn.XLOOKUP(D2694,Master[Product_Code],Master[Category])</f>
        <v>Jeans</v>
      </c>
      <c r="G2694" s="8" t="str">
        <f>_xlfn.XLOOKUP(D2694,Master[Product_Code],Master[Brand])</f>
        <v>Pepe</v>
      </c>
      <c r="H2694" s="8" t="str">
        <f>_xlfn.XLOOKUP(D2694,Master[Product_Code],Master[Style])</f>
        <v>Baggy</v>
      </c>
      <c r="I2694" s="8" t="str">
        <f>_xlfn.XLOOKUP(D2694,Master[Product_Code],Master[Fabric])</f>
        <v>Denim</v>
      </c>
      <c r="J2694" s="8">
        <f>_xlfn.XLOOKUP(D2694,Master[Product_Code],Master[Size])</f>
        <v>44</v>
      </c>
      <c r="K2694" s="8" t="str">
        <f>_xlfn.XLOOKUP(D2694,Master[Product_Code],Master[Color])</f>
        <v>Cream</v>
      </c>
      <c r="L2694" s="3">
        <f>_xlfn.XLOOKUP(D2694,Master[Product_Code],Master[Selling_Price])</f>
        <v>830</v>
      </c>
    </row>
    <row r="2695" spans="2:12">
      <c r="B2695" s="2" t="s">
        <v>2881</v>
      </c>
      <c r="C2695" s="7">
        <v>46020</v>
      </c>
      <c r="D2695" s="2" t="s">
        <v>1277</v>
      </c>
      <c r="E2695" s="4">
        <v>1</v>
      </c>
      <c r="F2695" s="8" t="str">
        <f>_xlfn.XLOOKUP(D2695,Master[Product_Code],Master[Category])</f>
        <v>Pants</v>
      </c>
      <c r="G2695" s="8" t="str">
        <f>_xlfn.XLOOKUP(D2695,Master[Product_Code],Master[Brand])</f>
        <v>Raymond</v>
      </c>
      <c r="H2695" s="8" t="str">
        <f>_xlfn.XLOOKUP(D2695,Master[Product_Code],Master[Style])</f>
        <v>Boot Cut</v>
      </c>
      <c r="I2695" s="8" t="str">
        <f>_xlfn.XLOOKUP(D2695,Master[Product_Code],Master[Fabric])</f>
        <v>Poly Viscose</v>
      </c>
      <c r="J2695" s="8">
        <f>_xlfn.XLOOKUP(D2695,Master[Product_Code],Master[Size])</f>
        <v>32</v>
      </c>
      <c r="K2695" s="8" t="str">
        <f>_xlfn.XLOOKUP(D2695,Master[Product_Code],Master[Color])</f>
        <v>Cream</v>
      </c>
      <c r="L2695" s="3">
        <f>_xlfn.XLOOKUP(D2695,Master[Product_Code],Master[Selling_Price])</f>
        <v>760</v>
      </c>
    </row>
    <row r="2696" spans="2:12">
      <c r="B2696" s="2" t="s">
        <v>2881</v>
      </c>
      <c r="C2696" s="7">
        <v>46020</v>
      </c>
      <c r="D2696" s="2" t="s">
        <v>884</v>
      </c>
      <c r="E2696" s="4">
        <v>1</v>
      </c>
      <c r="F2696" s="8" t="str">
        <f>_xlfn.XLOOKUP(D2696,Master[Product_Code],Master[Category])</f>
        <v>Jeans</v>
      </c>
      <c r="G2696" s="8" t="str">
        <f>_xlfn.XLOOKUP(D2696,Master[Product_Code],Master[Brand])</f>
        <v>Levis</v>
      </c>
      <c r="H2696" s="8" t="str">
        <f>_xlfn.XLOOKUP(D2696,Master[Product_Code],Master[Style])</f>
        <v>Baggy</v>
      </c>
      <c r="I2696" s="8" t="str">
        <f>_xlfn.XLOOKUP(D2696,Master[Product_Code],Master[Fabric])</f>
        <v>Denim</v>
      </c>
      <c r="J2696" s="8">
        <f>_xlfn.XLOOKUP(D2696,Master[Product_Code],Master[Size])</f>
        <v>36</v>
      </c>
      <c r="K2696" s="8" t="str">
        <f>_xlfn.XLOOKUP(D2696,Master[Product_Code],Master[Color])</f>
        <v>White</v>
      </c>
      <c r="L2696" s="3">
        <f>_xlfn.XLOOKUP(D2696,Master[Product_Code],Master[Selling_Price])</f>
        <v>1020</v>
      </c>
    </row>
    <row r="2697" spans="2:12">
      <c r="B2697" s="2" t="s">
        <v>2882</v>
      </c>
      <c r="C2697" s="7">
        <v>46020</v>
      </c>
      <c r="D2697" s="2" t="s">
        <v>1443</v>
      </c>
      <c r="E2697" s="4">
        <v>1</v>
      </c>
      <c r="F2697" s="8" t="str">
        <f>_xlfn.XLOOKUP(D2697,Master[Product_Code],Master[Category])</f>
        <v>Pants</v>
      </c>
      <c r="G2697" s="8" t="str">
        <f>_xlfn.XLOOKUP(D2697,Master[Product_Code],Master[Brand])</f>
        <v>Louis Philippe</v>
      </c>
      <c r="H2697" s="8" t="str">
        <f>_xlfn.XLOOKUP(D2697,Master[Product_Code],Master[Style])</f>
        <v>Boot Cut</v>
      </c>
      <c r="I2697" s="8" t="str">
        <f>_xlfn.XLOOKUP(D2697,Master[Product_Code],Master[Fabric])</f>
        <v>Poly Viscose</v>
      </c>
      <c r="J2697" s="8">
        <f>_xlfn.XLOOKUP(D2697,Master[Product_Code],Master[Size])</f>
        <v>40</v>
      </c>
      <c r="K2697" s="8" t="str">
        <f>_xlfn.XLOOKUP(D2697,Master[Product_Code],Master[Color])</f>
        <v>Teal</v>
      </c>
      <c r="L2697" s="3">
        <f>_xlfn.XLOOKUP(D2697,Master[Product_Code],Master[Selling_Price])</f>
        <v>850</v>
      </c>
    </row>
    <row r="2698" spans="2:12">
      <c r="B2698" s="2" t="s">
        <v>2883</v>
      </c>
      <c r="C2698" s="7">
        <v>46020</v>
      </c>
      <c r="D2698" s="2" t="s">
        <v>132</v>
      </c>
      <c r="E2698" s="4">
        <v>1</v>
      </c>
      <c r="F2698" s="8" t="str">
        <f>_xlfn.XLOOKUP(D2698,Master[Product_Code],Master[Category])</f>
        <v>Shirt</v>
      </c>
      <c r="G2698" s="8" t="str">
        <f>_xlfn.XLOOKUP(D2698,Master[Product_Code],Master[Brand])</f>
        <v>G Studio</v>
      </c>
      <c r="H2698" s="8" t="str">
        <f>_xlfn.XLOOKUP(D2698,Master[Product_Code],Master[Style])</f>
        <v>Casual</v>
      </c>
      <c r="I2698" s="8" t="str">
        <f>_xlfn.XLOOKUP(D2698,Master[Product_Code],Master[Fabric])</f>
        <v>Polyester</v>
      </c>
      <c r="J2698" s="8" t="str">
        <f>_xlfn.XLOOKUP(D2698,Master[Product_Code],Master[Size])</f>
        <v>S</v>
      </c>
      <c r="K2698" s="8" t="str">
        <f>_xlfn.XLOOKUP(D2698,Master[Product_Code],Master[Color])</f>
        <v>Brown</v>
      </c>
      <c r="L2698" s="3">
        <f>_xlfn.XLOOKUP(D2698,Master[Product_Code],Master[Selling_Price])</f>
        <v>850</v>
      </c>
    </row>
    <row r="2699" spans="2:12">
      <c r="B2699" s="2" t="s">
        <v>2883</v>
      </c>
      <c r="C2699" s="7">
        <v>46020</v>
      </c>
      <c r="D2699" s="2" t="s">
        <v>1508</v>
      </c>
      <c r="E2699" s="4">
        <v>1</v>
      </c>
      <c r="F2699" s="8" t="str">
        <f>_xlfn.XLOOKUP(D2699,Master[Product_Code],Master[Category])</f>
        <v>Innerwear</v>
      </c>
      <c r="G2699" s="8" t="str">
        <f>_xlfn.XLOOKUP(D2699,Master[Product_Code],Master[Brand])</f>
        <v>Lux</v>
      </c>
      <c r="H2699" s="8" t="str">
        <f>_xlfn.XLOOKUP(D2699,Master[Product_Code],Master[Style])</f>
        <v>V-Cut</v>
      </c>
      <c r="I2699" s="8" t="str">
        <f>_xlfn.XLOOKUP(D2699,Master[Product_Code],Master[Fabric])</f>
        <v>Cotton Blend</v>
      </c>
      <c r="J2699" s="8" t="str">
        <f>_xlfn.XLOOKUP(D2699,Master[Product_Code],Master[Size])</f>
        <v>105-110</v>
      </c>
      <c r="K2699" s="8" t="str">
        <f>_xlfn.XLOOKUP(D2699,Master[Product_Code],Master[Color])</f>
        <v>Mustard</v>
      </c>
      <c r="L2699" s="3">
        <f>_xlfn.XLOOKUP(D2699,Master[Product_Code],Master[Selling_Price])</f>
        <v>130</v>
      </c>
    </row>
    <row r="2700" spans="2:12">
      <c r="B2700" s="2" t="s">
        <v>2884</v>
      </c>
      <c r="C2700" s="7">
        <v>46020</v>
      </c>
      <c r="D2700" s="2" t="s">
        <v>1612</v>
      </c>
      <c r="E2700" s="4">
        <v>1</v>
      </c>
      <c r="F2700" s="8" t="str">
        <f>_xlfn.XLOOKUP(D2700,Master[Product_Code],Master[Category])</f>
        <v>Innerwear</v>
      </c>
      <c r="G2700" s="8" t="str">
        <f>_xlfn.XLOOKUP(D2700,Master[Product_Code],Master[Brand])</f>
        <v>Dollar</v>
      </c>
      <c r="H2700" s="8" t="str">
        <f>_xlfn.XLOOKUP(D2700,Master[Product_Code],Master[Style])</f>
        <v>Boxer</v>
      </c>
      <c r="I2700" s="8" t="str">
        <f>_xlfn.XLOOKUP(D2700,Master[Product_Code],Master[Fabric])</f>
        <v>Cotton</v>
      </c>
      <c r="J2700" s="8" t="str">
        <f>_xlfn.XLOOKUP(D2700,Master[Product_Code],Master[Size])</f>
        <v>75-80</v>
      </c>
      <c r="K2700" s="8" t="str">
        <f>_xlfn.XLOOKUP(D2700,Master[Product_Code],Master[Color])</f>
        <v>Teal</v>
      </c>
      <c r="L2700" s="3">
        <f>_xlfn.XLOOKUP(D2700,Master[Product_Code],Master[Selling_Price])</f>
        <v>160</v>
      </c>
    </row>
    <row r="2701" spans="2:12">
      <c r="B2701" s="2" t="s">
        <v>2884</v>
      </c>
      <c r="C2701" s="7">
        <v>46020</v>
      </c>
      <c r="D2701" s="2" t="s">
        <v>1252</v>
      </c>
      <c r="E2701" s="4">
        <v>1</v>
      </c>
      <c r="F2701" s="8" t="str">
        <f>_xlfn.XLOOKUP(D2701,Master[Product_Code],Master[Category])</f>
        <v>Pants</v>
      </c>
      <c r="G2701" s="8" t="str">
        <f>_xlfn.XLOOKUP(D2701,Master[Product_Code],Master[Brand])</f>
        <v>Louis Philippe</v>
      </c>
      <c r="H2701" s="8" t="str">
        <f>_xlfn.XLOOKUP(D2701,Master[Product_Code],Master[Style])</f>
        <v>Jogger</v>
      </c>
      <c r="I2701" s="8" t="str">
        <f>_xlfn.XLOOKUP(D2701,Master[Product_Code],Master[Fabric])</f>
        <v>Cotton Blend</v>
      </c>
      <c r="J2701" s="8">
        <f>_xlfn.XLOOKUP(D2701,Master[Product_Code],Master[Size])</f>
        <v>44</v>
      </c>
      <c r="K2701" s="8" t="str">
        <f>_xlfn.XLOOKUP(D2701,Master[Product_Code],Master[Color])</f>
        <v>Mustard</v>
      </c>
      <c r="L2701" s="3">
        <f>_xlfn.XLOOKUP(D2701,Master[Product_Code],Master[Selling_Price])</f>
        <v>830</v>
      </c>
    </row>
    <row r="2702" spans="2:12">
      <c r="B2702" s="2" t="s">
        <v>2884</v>
      </c>
      <c r="C2702" s="7">
        <v>46020</v>
      </c>
      <c r="D2702" s="2" t="s">
        <v>168</v>
      </c>
      <c r="E2702" s="4">
        <v>1</v>
      </c>
      <c r="F2702" s="8" t="str">
        <f>_xlfn.XLOOKUP(D2702,Master[Product_Code],Master[Category])</f>
        <v>Shirt</v>
      </c>
      <c r="G2702" s="8" t="str">
        <f>_xlfn.XLOOKUP(D2702,Master[Product_Code],Master[Brand])</f>
        <v>G Studio</v>
      </c>
      <c r="H2702" s="8" t="str">
        <f>_xlfn.XLOOKUP(D2702,Master[Product_Code],Master[Style])</f>
        <v>Formal</v>
      </c>
      <c r="I2702" s="8" t="str">
        <f>_xlfn.XLOOKUP(D2702,Master[Product_Code],Master[Fabric])</f>
        <v>Polyester</v>
      </c>
      <c r="J2702" s="8" t="str">
        <f>_xlfn.XLOOKUP(D2702,Master[Product_Code],Master[Size])</f>
        <v>XXL</v>
      </c>
      <c r="K2702" s="8" t="str">
        <f>_xlfn.XLOOKUP(D2702,Master[Product_Code],Master[Color])</f>
        <v>Royal Blue</v>
      </c>
      <c r="L2702" s="3">
        <f>_xlfn.XLOOKUP(D2702,Master[Product_Code],Master[Selling_Price])</f>
        <v>660</v>
      </c>
    </row>
    <row r="2703" spans="2:12">
      <c r="B2703" s="2" t="s">
        <v>2884</v>
      </c>
      <c r="C2703" s="7">
        <v>46020</v>
      </c>
      <c r="D2703" s="2" t="s">
        <v>1532</v>
      </c>
      <c r="E2703" s="4">
        <v>1</v>
      </c>
      <c r="F2703" s="8" t="str">
        <f>_xlfn.XLOOKUP(D2703,Master[Product_Code],Master[Category])</f>
        <v>Innerwear</v>
      </c>
      <c r="G2703" s="8" t="str">
        <f>_xlfn.XLOOKUP(D2703,Master[Product_Code],Master[Brand])</f>
        <v>Lux</v>
      </c>
      <c r="H2703" s="8" t="str">
        <f>_xlfn.XLOOKUP(D2703,Master[Product_Code],Master[Style])</f>
        <v>V-Cut</v>
      </c>
      <c r="I2703" s="8" t="str">
        <f>_xlfn.XLOOKUP(D2703,Master[Product_Code],Master[Fabric])</f>
        <v>Cotton Blend</v>
      </c>
      <c r="J2703" s="8" t="str">
        <f>_xlfn.XLOOKUP(D2703,Master[Product_Code],Master[Size])</f>
        <v>75-80</v>
      </c>
      <c r="K2703" s="8" t="str">
        <f>_xlfn.XLOOKUP(D2703,Master[Product_Code],Master[Color])</f>
        <v>Sky Blue</v>
      </c>
      <c r="L2703" s="3">
        <f>_xlfn.XLOOKUP(D2703,Master[Product_Code],Master[Selling_Price])</f>
        <v>150</v>
      </c>
    </row>
    <row r="2704" spans="2:12">
      <c r="B2704" s="2" t="s">
        <v>2885</v>
      </c>
      <c r="C2704" s="7">
        <v>46021</v>
      </c>
      <c r="D2704" s="2" t="s">
        <v>890</v>
      </c>
      <c r="E2704" s="4">
        <v>1</v>
      </c>
      <c r="F2704" s="8" t="str">
        <f>_xlfn.XLOOKUP(D2704,Master[Product_Code],Master[Category])</f>
        <v>Jeans</v>
      </c>
      <c r="G2704" s="8" t="str">
        <f>_xlfn.XLOOKUP(D2704,Master[Product_Code],Master[Brand])</f>
        <v>Locomotive</v>
      </c>
      <c r="H2704" s="8" t="str">
        <f>_xlfn.XLOOKUP(D2704,Master[Product_Code],Master[Style])</f>
        <v>Baggy</v>
      </c>
      <c r="I2704" s="8" t="str">
        <f>_xlfn.XLOOKUP(D2704,Master[Product_Code],Master[Fabric])</f>
        <v>Denim</v>
      </c>
      <c r="J2704" s="8">
        <f>_xlfn.XLOOKUP(D2704,Master[Product_Code],Master[Size])</f>
        <v>44</v>
      </c>
      <c r="K2704" s="8" t="str">
        <f>_xlfn.XLOOKUP(D2704,Master[Product_Code],Master[Color])</f>
        <v>Peach</v>
      </c>
      <c r="L2704" s="3">
        <f>_xlfn.XLOOKUP(D2704,Master[Product_Code],Master[Selling_Price])</f>
        <v>1000</v>
      </c>
    </row>
    <row r="2705" spans="2:12">
      <c r="B2705" s="2" t="s">
        <v>2885</v>
      </c>
      <c r="C2705" s="7">
        <v>46021</v>
      </c>
      <c r="D2705" s="2" t="s">
        <v>1532</v>
      </c>
      <c r="E2705" s="4">
        <v>1</v>
      </c>
      <c r="F2705" s="8" t="str">
        <f>_xlfn.XLOOKUP(D2705,Master[Product_Code],Master[Category])</f>
        <v>Innerwear</v>
      </c>
      <c r="G2705" s="8" t="str">
        <f>_xlfn.XLOOKUP(D2705,Master[Product_Code],Master[Brand])</f>
        <v>Lux</v>
      </c>
      <c r="H2705" s="8" t="str">
        <f>_xlfn.XLOOKUP(D2705,Master[Product_Code],Master[Style])</f>
        <v>V-Cut</v>
      </c>
      <c r="I2705" s="8" t="str">
        <f>_xlfn.XLOOKUP(D2705,Master[Product_Code],Master[Fabric])</f>
        <v>Cotton Blend</v>
      </c>
      <c r="J2705" s="8" t="str">
        <f>_xlfn.XLOOKUP(D2705,Master[Product_Code],Master[Size])</f>
        <v>75-80</v>
      </c>
      <c r="K2705" s="8" t="str">
        <f>_xlfn.XLOOKUP(D2705,Master[Product_Code],Master[Color])</f>
        <v>Sky Blue</v>
      </c>
      <c r="L2705" s="3">
        <f>_xlfn.XLOOKUP(D2705,Master[Product_Code],Master[Selling_Price])</f>
        <v>150</v>
      </c>
    </row>
    <row r="2706" spans="2:12">
      <c r="B2706" s="2" t="s">
        <v>2886</v>
      </c>
      <c r="C2706" s="7">
        <v>46021</v>
      </c>
      <c r="D2706" s="2" t="s">
        <v>350</v>
      </c>
      <c r="E2706" s="4">
        <v>1</v>
      </c>
      <c r="F2706" s="8" t="str">
        <f>_xlfn.XLOOKUP(D2706,Master[Product_Code],Master[Category])</f>
        <v>Shirt</v>
      </c>
      <c r="G2706" s="8" t="str">
        <f>_xlfn.XLOOKUP(D2706,Master[Product_Code],Master[Brand])</f>
        <v>Thailand</v>
      </c>
      <c r="H2706" s="8" t="str">
        <f>_xlfn.XLOOKUP(D2706,Master[Product_Code],Master[Style])</f>
        <v>Casual</v>
      </c>
      <c r="I2706" s="8" t="str">
        <f>_xlfn.XLOOKUP(D2706,Master[Product_Code],Master[Fabric])</f>
        <v>Cotton</v>
      </c>
      <c r="J2706" s="8" t="str">
        <f>_xlfn.XLOOKUP(D2706,Master[Product_Code],Master[Size])</f>
        <v>L</v>
      </c>
      <c r="K2706" s="8" t="str">
        <f>_xlfn.XLOOKUP(D2706,Master[Product_Code],Master[Color])</f>
        <v>Mustard</v>
      </c>
      <c r="L2706" s="3">
        <f>_xlfn.XLOOKUP(D2706,Master[Product_Code],Master[Selling_Price])</f>
        <v>880</v>
      </c>
    </row>
    <row r="2707" spans="2:12">
      <c r="B2707" s="2" t="s">
        <v>2887</v>
      </c>
      <c r="C2707" s="7">
        <v>46021</v>
      </c>
      <c r="D2707" s="2" t="s">
        <v>261</v>
      </c>
      <c r="E2707" s="4">
        <v>1</v>
      </c>
      <c r="F2707" s="8" t="str">
        <f>_xlfn.XLOOKUP(D2707,Master[Product_Code],Master[Category])</f>
        <v>Shirt</v>
      </c>
      <c r="G2707" s="8" t="str">
        <f>_xlfn.XLOOKUP(D2707,Master[Product_Code],Master[Brand])</f>
        <v>L7</v>
      </c>
      <c r="H2707" s="8" t="str">
        <f>_xlfn.XLOOKUP(D2707,Master[Product_Code],Master[Style])</f>
        <v>Formal</v>
      </c>
      <c r="I2707" s="8" t="str">
        <f>_xlfn.XLOOKUP(D2707,Master[Product_Code],Master[Fabric])</f>
        <v>Polyester</v>
      </c>
      <c r="J2707" s="8" t="str">
        <f>_xlfn.XLOOKUP(D2707,Master[Product_Code],Master[Size])</f>
        <v>XXL</v>
      </c>
      <c r="K2707" s="8" t="str">
        <f>_xlfn.XLOOKUP(D2707,Master[Product_Code],Master[Color])</f>
        <v>Rust</v>
      </c>
      <c r="L2707" s="3">
        <f>_xlfn.XLOOKUP(D2707,Master[Product_Code],Master[Selling_Price])</f>
        <v>930</v>
      </c>
    </row>
    <row r="2708" spans="2:12">
      <c r="B2708" s="2" t="s">
        <v>2888</v>
      </c>
      <c r="C2708" s="7">
        <v>46021</v>
      </c>
      <c r="D2708" s="2" t="s">
        <v>128</v>
      </c>
      <c r="E2708" s="4">
        <v>1</v>
      </c>
      <c r="F2708" s="8" t="str">
        <f>_xlfn.XLOOKUP(D2708,Master[Product_Code],Master[Category])</f>
        <v>Shirt</v>
      </c>
      <c r="G2708" s="8" t="str">
        <f>_xlfn.XLOOKUP(D2708,Master[Product_Code],Master[Brand])</f>
        <v>USD</v>
      </c>
      <c r="H2708" s="8" t="str">
        <f>_xlfn.XLOOKUP(D2708,Master[Product_Code],Master[Style])</f>
        <v>Partywear</v>
      </c>
      <c r="I2708" s="8" t="str">
        <f>_xlfn.XLOOKUP(D2708,Master[Product_Code],Master[Fabric])</f>
        <v>Polyester</v>
      </c>
      <c r="J2708" s="8" t="str">
        <f>_xlfn.XLOOKUP(D2708,Master[Product_Code],Master[Size])</f>
        <v>S</v>
      </c>
      <c r="K2708" s="8" t="str">
        <f>_xlfn.XLOOKUP(D2708,Master[Product_Code],Master[Color])</f>
        <v>Dark Green</v>
      </c>
      <c r="L2708" s="3">
        <f>_xlfn.XLOOKUP(D2708,Master[Product_Code],Master[Selling_Price])</f>
        <v>710</v>
      </c>
    </row>
    <row r="2709" spans="2:12">
      <c r="B2709" s="2" t="s">
        <v>2888</v>
      </c>
      <c r="C2709" s="7">
        <v>46021</v>
      </c>
      <c r="D2709" s="2" t="s">
        <v>193</v>
      </c>
      <c r="E2709" s="4">
        <v>1</v>
      </c>
      <c r="F2709" s="8" t="str">
        <f>_xlfn.XLOOKUP(D2709,Master[Product_Code],Master[Category])</f>
        <v>Shirt</v>
      </c>
      <c r="G2709" s="8" t="str">
        <f>_xlfn.XLOOKUP(D2709,Master[Product_Code],Master[Brand])</f>
        <v>British</v>
      </c>
      <c r="H2709" s="8" t="str">
        <f>_xlfn.XLOOKUP(D2709,Master[Product_Code],Master[Style])</f>
        <v>Formal</v>
      </c>
      <c r="I2709" s="8" t="str">
        <f>_xlfn.XLOOKUP(D2709,Master[Product_Code],Master[Fabric])</f>
        <v>Lycra</v>
      </c>
      <c r="J2709" s="8" t="str">
        <f>_xlfn.XLOOKUP(D2709,Master[Product_Code],Master[Size])</f>
        <v>XXL</v>
      </c>
      <c r="K2709" s="8" t="str">
        <f>_xlfn.XLOOKUP(D2709,Master[Product_Code],Master[Color])</f>
        <v>Rust</v>
      </c>
      <c r="L2709" s="3">
        <f>_xlfn.XLOOKUP(D2709,Master[Product_Code],Master[Selling_Price])</f>
        <v>790</v>
      </c>
    </row>
    <row r="2710" spans="2:12">
      <c r="B2710" s="2" t="s">
        <v>2888</v>
      </c>
      <c r="C2710" s="7">
        <v>46021</v>
      </c>
      <c r="D2710" s="2" t="s">
        <v>490</v>
      </c>
      <c r="E2710" s="4">
        <v>1</v>
      </c>
      <c r="F2710" s="8" t="str">
        <f>_xlfn.XLOOKUP(D2710,Master[Product_Code],Master[Category])</f>
        <v>T-Shirt</v>
      </c>
      <c r="G2710" s="8" t="str">
        <f>_xlfn.XLOOKUP(D2710,Master[Product_Code],Master[Brand])</f>
        <v>Max</v>
      </c>
      <c r="H2710" s="8" t="str">
        <f>_xlfn.XLOOKUP(D2710,Master[Product_Code],Master[Style])</f>
        <v>Sleeveless</v>
      </c>
      <c r="I2710" s="8" t="str">
        <f>_xlfn.XLOOKUP(D2710,Master[Product_Code],Master[Fabric])</f>
        <v>Poly Cotton</v>
      </c>
      <c r="J2710" s="8" t="str">
        <f>_xlfn.XLOOKUP(D2710,Master[Product_Code],Master[Size])</f>
        <v>XL</v>
      </c>
      <c r="K2710" s="8" t="str">
        <f>_xlfn.XLOOKUP(D2710,Master[Product_Code],Master[Color])</f>
        <v>Peach</v>
      </c>
      <c r="L2710" s="3">
        <f>_xlfn.XLOOKUP(D2710,Master[Product_Code],Master[Selling_Price])</f>
        <v>700</v>
      </c>
    </row>
    <row r="2711" spans="2:12">
      <c r="B2711" s="2" t="s">
        <v>2888</v>
      </c>
      <c r="C2711" s="7">
        <v>46021</v>
      </c>
      <c r="D2711" s="2" t="s">
        <v>700</v>
      </c>
      <c r="E2711" s="4">
        <v>1</v>
      </c>
      <c r="F2711" s="8" t="str">
        <f>_xlfn.XLOOKUP(D2711,Master[Product_Code],Master[Category])</f>
        <v>T-Shirt</v>
      </c>
      <c r="G2711" s="8" t="str">
        <f>_xlfn.XLOOKUP(D2711,Master[Product_Code],Master[Brand])</f>
        <v>Zara</v>
      </c>
      <c r="H2711" s="8" t="str">
        <f>_xlfn.XLOOKUP(D2711,Master[Product_Code],Master[Style])</f>
        <v>Sleeveless</v>
      </c>
      <c r="I2711" s="8" t="str">
        <f>_xlfn.XLOOKUP(D2711,Master[Product_Code],Master[Fabric])</f>
        <v>Cotton</v>
      </c>
      <c r="J2711" s="8" t="str">
        <f>_xlfn.XLOOKUP(D2711,Master[Product_Code],Master[Size])</f>
        <v>XL</v>
      </c>
      <c r="K2711" s="8" t="str">
        <f>_xlfn.XLOOKUP(D2711,Master[Product_Code],Master[Color])</f>
        <v>Grey</v>
      </c>
      <c r="L2711" s="3">
        <f>_xlfn.XLOOKUP(D2711,Master[Product_Code],Master[Selling_Price])</f>
        <v>340</v>
      </c>
    </row>
    <row r="2712" spans="2:12">
      <c r="B2712" s="2" t="s">
        <v>2889</v>
      </c>
      <c r="C2712" s="7">
        <v>46021</v>
      </c>
      <c r="D2712" s="2" t="s">
        <v>482</v>
      </c>
      <c r="E2712" s="4">
        <v>1</v>
      </c>
      <c r="F2712" s="8" t="str">
        <f>_xlfn.XLOOKUP(D2712,Master[Product_Code],Master[Category])</f>
        <v>T-Shirt</v>
      </c>
      <c r="G2712" s="8" t="str">
        <f>_xlfn.XLOOKUP(D2712,Master[Product_Code],Master[Brand])</f>
        <v>Max</v>
      </c>
      <c r="H2712" s="8" t="str">
        <f>_xlfn.XLOOKUP(D2712,Master[Product_Code],Master[Style])</f>
        <v>Hoodie</v>
      </c>
      <c r="I2712" s="8" t="str">
        <f>_xlfn.XLOOKUP(D2712,Master[Product_Code],Master[Fabric])</f>
        <v>Cotton</v>
      </c>
      <c r="J2712" s="8" t="str">
        <f>_xlfn.XLOOKUP(D2712,Master[Product_Code],Master[Size])</f>
        <v>L</v>
      </c>
      <c r="K2712" s="8" t="str">
        <f>_xlfn.XLOOKUP(D2712,Master[Product_Code],Master[Color])</f>
        <v>Teal</v>
      </c>
      <c r="L2712" s="3">
        <f>_xlfn.XLOOKUP(D2712,Master[Product_Code],Master[Selling_Price])</f>
        <v>650</v>
      </c>
    </row>
    <row r="2713" spans="2:12">
      <c r="B2713" s="2" t="s">
        <v>2889</v>
      </c>
      <c r="C2713" s="7">
        <v>46021</v>
      </c>
      <c r="D2713" s="2" t="s">
        <v>127</v>
      </c>
      <c r="E2713" s="4">
        <v>1</v>
      </c>
      <c r="F2713" s="8" t="str">
        <f>_xlfn.XLOOKUP(D2713,Master[Product_Code],Master[Category])</f>
        <v>Shirt</v>
      </c>
      <c r="G2713" s="8" t="str">
        <f>_xlfn.XLOOKUP(D2713,Master[Product_Code],Master[Brand])</f>
        <v>Luke &amp; Burg</v>
      </c>
      <c r="H2713" s="8" t="str">
        <f>_xlfn.XLOOKUP(D2713,Master[Product_Code],Master[Style])</f>
        <v>Formal</v>
      </c>
      <c r="I2713" s="8" t="str">
        <f>_xlfn.XLOOKUP(D2713,Master[Product_Code],Master[Fabric])</f>
        <v>Lycra</v>
      </c>
      <c r="J2713" s="8" t="str">
        <f>_xlfn.XLOOKUP(D2713,Master[Product_Code],Master[Size])</f>
        <v>S</v>
      </c>
      <c r="K2713" s="8" t="str">
        <f>_xlfn.XLOOKUP(D2713,Master[Product_Code],Master[Color])</f>
        <v>Sky Blue</v>
      </c>
      <c r="L2713" s="3">
        <f>_xlfn.XLOOKUP(D2713,Master[Product_Code],Master[Selling_Price])</f>
        <v>810</v>
      </c>
    </row>
    <row r="2714" spans="2:12">
      <c r="B2714" s="2" t="s">
        <v>2890</v>
      </c>
      <c r="C2714" s="7">
        <v>46021</v>
      </c>
      <c r="D2714" s="2" t="s">
        <v>965</v>
      </c>
      <c r="E2714" s="4">
        <v>1</v>
      </c>
      <c r="F2714" s="8" t="str">
        <f>_xlfn.XLOOKUP(D2714,Master[Product_Code],Master[Category])</f>
        <v>Jeans</v>
      </c>
      <c r="G2714" s="8" t="str">
        <f>_xlfn.XLOOKUP(D2714,Master[Product_Code],Master[Brand])</f>
        <v>Wrangler</v>
      </c>
      <c r="H2714" s="8" t="str">
        <f>_xlfn.XLOOKUP(D2714,Master[Product_Code],Master[Style])</f>
        <v>Mom Fit</v>
      </c>
      <c r="I2714" s="8" t="str">
        <f>_xlfn.XLOOKUP(D2714,Master[Product_Code],Master[Fabric])</f>
        <v>Denim</v>
      </c>
      <c r="J2714" s="8">
        <f>_xlfn.XLOOKUP(D2714,Master[Product_Code],Master[Size])</f>
        <v>42</v>
      </c>
      <c r="K2714" s="8" t="str">
        <f>_xlfn.XLOOKUP(D2714,Master[Product_Code],Master[Color])</f>
        <v>Peach</v>
      </c>
      <c r="L2714" s="3">
        <f>_xlfn.XLOOKUP(D2714,Master[Product_Code],Master[Selling_Price])</f>
        <v>990</v>
      </c>
    </row>
    <row r="2715" spans="2:12">
      <c r="B2715" s="2" t="s">
        <v>2890</v>
      </c>
      <c r="C2715" s="7">
        <v>46021</v>
      </c>
      <c r="D2715" s="2" t="s">
        <v>225</v>
      </c>
      <c r="E2715" s="4">
        <v>1</v>
      </c>
      <c r="F2715" s="8" t="str">
        <f>_xlfn.XLOOKUP(D2715,Master[Product_Code],Master[Category])</f>
        <v>Shirt</v>
      </c>
      <c r="G2715" s="8" t="str">
        <f>_xlfn.XLOOKUP(D2715,Master[Product_Code],Master[Brand])</f>
        <v>Luke &amp; Burg</v>
      </c>
      <c r="H2715" s="8" t="str">
        <f>_xlfn.XLOOKUP(D2715,Master[Product_Code],Master[Style])</f>
        <v>Casual</v>
      </c>
      <c r="I2715" s="8" t="str">
        <f>_xlfn.XLOOKUP(D2715,Master[Product_Code],Master[Fabric])</f>
        <v>Lycra</v>
      </c>
      <c r="J2715" s="8" t="str">
        <f>_xlfn.XLOOKUP(D2715,Master[Product_Code],Master[Size])</f>
        <v>S</v>
      </c>
      <c r="K2715" s="8" t="str">
        <f>_xlfn.XLOOKUP(D2715,Master[Product_Code],Master[Color])</f>
        <v>Cream</v>
      </c>
      <c r="L2715" s="3">
        <f>_xlfn.XLOOKUP(D2715,Master[Product_Code],Master[Selling_Price])</f>
        <v>650</v>
      </c>
    </row>
    <row r="2716" spans="2:12">
      <c r="B2716" s="2" t="s">
        <v>2891</v>
      </c>
      <c r="C2716" s="7">
        <v>46021</v>
      </c>
      <c r="D2716" s="2" t="s">
        <v>640</v>
      </c>
      <c r="E2716" s="4">
        <v>1</v>
      </c>
      <c r="F2716" s="8" t="str">
        <f>_xlfn.XLOOKUP(D2716,Master[Product_Code],Master[Category])</f>
        <v>T-Shirt</v>
      </c>
      <c r="G2716" s="8" t="str">
        <f>_xlfn.XLOOKUP(D2716,Master[Product_Code],Master[Brand])</f>
        <v>Campus</v>
      </c>
      <c r="H2716" s="8" t="str">
        <f>_xlfn.XLOOKUP(D2716,Master[Product_Code],Master[Style])</f>
        <v>Half Sleeve</v>
      </c>
      <c r="I2716" s="8" t="str">
        <f>_xlfn.XLOOKUP(D2716,Master[Product_Code],Master[Fabric])</f>
        <v>Cotton Blend</v>
      </c>
      <c r="J2716" s="8" t="str">
        <f>_xlfn.XLOOKUP(D2716,Master[Product_Code],Master[Size])</f>
        <v>S</v>
      </c>
      <c r="K2716" s="8" t="str">
        <f>_xlfn.XLOOKUP(D2716,Master[Product_Code],Master[Color])</f>
        <v>Mustard</v>
      </c>
      <c r="L2716" s="3">
        <f>_xlfn.XLOOKUP(D2716,Master[Product_Code],Master[Selling_Price])</f>
        <v>420</v>
      </c>
    </row>
    <row r="2717" spans="2:12">
      <c r="B2717" s="2" t="s">
        <v>2891</v>
      </c>
      <c r="C2717" s="7">
        <v>46021</v>
      </c>
      <c r="D2717" s="2" t="s">
        <v>496</v>
      </c>
      <c r="E2717" s="4">
        <v>1</v>
      </c>
      <c r="F2717" s="8" t="str">
        <f>_xlfn.XLOOKUP(D2717,Master[Product_Code],Master[Category])</f>
        <v>T-Shirt</v>
      </c>
      <c r="G2717" s="8" t="str">
        <f>_xlfn.XLOOKUP(D2717,Master[Product_Code],Master[Brand])</f>
        <v>Urban Monkey</v>
      </c>
      <c r="H2717" s="8" t="str">
        <f>_xlfn.XLOOKUP(D2717,Master[Product_Code],Master[Style])</f>
        <v>Half Sleeve</v>
      </c>
      <c r="I2717" s="8" t="str">
        <f>_xlfn.XLOOKUP(D2717,Master[Product_Code],Master[Fabric])</f>
        <v>Cotton Blend</v>
      </c>
      <c r="J2717" s="8" t="str">
        <f>_xlfn.XLOOKUP(D2717,Master[Product_Code],Master[Size])</f>
        <v>S</v>
      </c>
      <c r="K2717" s="8" t="str">
        <f>_xlfn.XLOOKUP(D2717,Master[Product_Code],Master[Color])</f>
        <v>Charcoal</v>
      </c>
      <c r="L2717" s="3">
        <f>_xlfn.XLOOKUP(D2717,Master[Product_Code],Master[Selling_Price])</f>
        <v>460</v>
      </c>
    </row>
    <row r="2718" spans="2:12">
      <c r="B2718" s="2" t="s">
        <v>2891</v>
      </c>
      <c r="C2718" s="7">
        <v>46021</v>
      </c>
      <c r="D2718" s="2" t="s">
        <v>1119</v>
      </c>
      <c r="E2718" s="4">
        <v>1</v>
      </c>
      <c r="F2718" s="8" t="str">
        <f>_xlfn.XLOOKUP(D2718,Master[Product_Code],Master[Category])</f>
        <v>Jeans</v>
      </c>
      <c r="G2718" s="8" t="str">
        <f>_xlfn.XLOOKUP(D2718,Master[Product_Code],Master[Brand])</f>
        <v>Pepe</v>
      </c>
      <c r="H2718" s="8" t="str">
        <f>_xlfn.XLOOKUP(D2718,Master[Product_Code],Master[Style])</f>
        <v>Jogger</v>
      </c>
      <c r="I2718" s="8" t="str">
        <f>_xlfn.XLOOKUP(D2718,Master[Product_Code],Master[Fabric])</f>
        <v>Denim</v>
      </c>
      <c r="J2718" s="8">
        <f>_xlfn.XLOOKUP(D2718,Master[Product_Code],Master[Size])</f>
        <v>28</v>
      </c>
      <c r="K2718" s="8" t="str">
        <f>_xlfn.XLOOKUP(D2718,Master[Product_Code],Master[Color])</f>
        <v>Sky Blue</v>
      </c>
      <c r="L2718" s="3">
        <f>_xlfn.XLOOKUP(D2718,Master[Product_Code],Master[Selling_Price])</f>
        <v>1030</v>
      </c>
    </row>
    <row r="2719" spans="2:12">
      <c r="B2719" s="2" t="s">
        <v>2891</v>
      </c>
      <c r="C2719" s="7">
        <v>46021</v>
      </c>
      <c r="D2719" s="2" t="s">
        <v>464</v>
      </c>
      <c r="E2719" s="4">
        <v>1</v>
      </c>
      <c r="F2719" s="8" t="str">
        <f>_xlfn.XLOOKUP(D2719,Master[Product_Code],Master[Category])</f>
        <v>T-Shirt</v>
      </c>
      <c r="G2719" s="8" t="str">
        <f>_xlfn.XLOOKUP(D2719,Master[Product_Code],Master[Brand])</f>
        <v>Campus</v>
      </c>
      <c r="H2719" s="8" t="str">
        <f>_xlfn.XLOOKUP(D2719,Master[Product_Code],Master[Style])</f>
        <v>3/4 Sleeve</v>
      </c>
      <c r="I2719" s="8" t="str">
        <f>_xlfn.XLOOKUP(D2719,Master[Product_Code],Master[Fabric])</f>
        <v>Cotton</v>
      </c>
      <c r="J2719" s="8" t="str">
        <f>_xlfn.XLOOKUP(D2719,Master[Product_Code],Master[Size])</f>
        <v>L</v>
      </c>
      <c r="K2719" s="8" t="str">
        <f>_xlfn.XLOOKUP(D2719,Master[Product_Code],Master[Color])</f>
        <v>Maroon</v>
      </c>
      <c r="L2719" s="3">
        <f>_xlfn.XLOOKUP(D2719,Master[Product_Code],Master[Selling_Price])</f>
        <v>310</v>
      </c>
    </row>
    <row r="2720" spans="2:12">
      <c r="B2720" s="2" t="s">
        <v>2892</v>
      </c>
      <c r="C2720" s="7">
        <v>46021</v>
      </c>
      <c r="D2720" s="2" t="s">
        <v>222</v>
      </c>
      <c r="E2720" s="4">
        <v>1</v>
      </c>
      <c r="F2720" s="8" t="str">
        <f>_xlfn.XLOOKUP(D2720,Master[Product_Code],Master[Category])</f>
        <v>Shirt</v>
      </c>
      <c r="G2720" s="8" t="str">
        <f>_xlfn.XLOOKUP(D2720,Master[Product_Code],Master[Brand])</f>
        <v>H&amp;M</v>
      </c>
      <c r="H2720" s="8" t="str">
        <f>_xlfn.XLOOKUP(D2720,Master[Product_Code],Master[Style])</f>
        <v>Casual</v>
      </c>
      <c r="I2720" s="8" t="str">
        <f>_xlfn.XLOOKUP(D2720,Master[Product_Code],Master[Fabric])</f>
        <v>Lycra</v>
      </c>
      <c r="J2720" s="8" t="str">
        <f>_xlfn.XLOOKUP(D2720,Master[Product_Code],Master[Size])</f>
        <v>XL</v>
      </c>
      <c r="K2720" s="8" t="str">
        <f>_xlfn.XLOOKUP(D2720,Master[Product_Code],Master[Color])</f>
        <v>Sky Blue</v>
      </c>
      <c r="L2720" s="3">
        <f>_xlfn.XLOOKUP(D2720,Master[Product_Code],Master[Selling_Price])</f>
        <v>870</v>
      </c>
    </row>
    <row r="2721" spans="2:12">
      <c r="B2721" s="2" t="s">
        <v>2893</v>
      </c>
      <c r="C2721" s="7">
        <v>46021</v>
      </c>
      <c r="D2721" s="2" t="s">
        <v>715</v>
      </c>
      <c r="E2721" s="4">
        <v>1</v>
      </c>
      <c r="F2721" s="8" t="str">
        <f>_xlfn.XLOOKUP(D2721,Master[Product_Code],Master[Category])</f>
        <v>T-Shirt</v>
      </c>
      <c r="G2721" s="8" t="str">
        <f>_xlfn.XLOOKUP(D2721,Master[Product_Code],Master[Brand])</f>
        <v>Urban Monkey</v>
      </c>
      <c r="H2721" s="8" t="str">
        <f>_xlfn.XLOOKUP(D2721,Master[Product_Code],Master[Style])</f>
        <v>Sleeveless</v>
      </c>
      <c r="I2721" s="8" t="str">
        <f>_xlfn.XLOOKUP(D2721,Master[Product_Code],Master[Fabric])</f>
        <v>Cotton</v>
      </c>
      <c r="J2721" s="8" t="str">
        <f>_xlfn.XLOOKUP(D2721,Master[Product_Code],Master[Size])</f>
        <v>XXL</v>
      </c>
      <c r="K2721" s="8" t="str">
        <f>_xlfn.XLOOKUP(D2721,Master[Product_Code],Master[Color])</f>
        <v>Dark Green</v>
      </c>
      <c r="L2721" s="3">
        <f>_xlfn.XLOOKUP(D2721,Master[Product_Code],Master[Selling_Price])</f>
        <v>470</v>
      </c>
    </row>
    <row r="2722" spans="2:12">
      <c r="B2722" s="2" t="s">
        <v>2894</v>
      </c>
      <c r="C2722" s="7">
        <v>46021</v>
      </c>
      <c r="D2722" s="2" t="s">
        <v>203</v>
      </c>
      <c r="E2722" s="4">
        <v>1</v>
      </c>
      <c r="F2722" s="8" t="str">
        <f>_xlfn.XLOOKUP(D2722,Master[Product_Code],Master[Category])</f>
        <v>Shirt</v>
      </c>
      <c r="G2722" s="8" t="str">
        <f>_xlfn.XLOOKUP(D2722,Master[Product_Code],Master[Brand])</f>
        <v>H&amp;M</v>
      </c>
      <c r="H2722" s="8" t="str">
        <f>_xlfn.XLOOKUP(D2722,Master[Product_Code],Master[Style])</f>
        <v>Casual</v>
      </c>
      <c r="I2722" s="8" t="str">
        <f>_xlfn.XLOOKUP(D2722,Master[Product_Code],Master[Fabric])</f>
        <v>Lycra</v>
      </c>
      <c r="J2722" s="8" t="str">
        <f>_xlfn.XLOOKUP(D2722,Master[Product_Code],Master[Size])</f>
        <v>M</v>
      </c>
      <c r="K2722" s="8" t="str">
        <f>_xlfn.XLOOKUP(D2722,Master[Product_Code],Master[Color])</f>
        <v>Olive</v>
      </c>
      <c r="L2722" s="3">
        <f>_xlfn.XLOOKUP(D2722,Master[Product_Code],Master[Selling_Price])</f>
        <v>720</v>
      </c>
    </row>
    <row r="2723" spans="2:12">
      <c r="B2723" s="2" t="s">
        <v>2895</v>
      </c>
      <c r="C2723" s="7">
        <v>46021</v>
      </c>
      <c r="D2723" s="2" t="s">
        <v>740</v>
      </c>
      <c r="E2723" s="4">
        <v>1</v>
      </c>
      <c r="F2723" s="8" t="str">
        <f>_xlfn.XLOOKUP(D2723,Master[Product_Code],Master[Category])</f>
        <v>T-Shirt</v>
      </c>
      <c r="G2723" s="8" t="str">
        <f>_xlfn.XLOOKUP(D2723,Master[Product_Code],Master[Brand])</f>
        <v>Campus</v>
      </c>
      <c r="H2723" s="8" t="str">
        <f>_xlfn.XLOOKUP(D2723,Master[Product_Code],Master[Style])</f>
        <v>Hoodie</v>
      </c>
      <c r="I2723" s="8" t="str">
        <f>_xlfn.XLOOKUP(D2723,Master[Product_Code],Master[Fabric])</f>
        <v>Cotton</v>
      </c>
      <c r="J2723" s="8" t="str">
        <f>_xlfn.XLOOKUP(D2723,Master[Product_Code],Master[Size])</f>
        <v>S</v>
      </c>
      <c r="K2723" s="8" t="str">
        <f>_xlfn.XLOOKUP(D2723,Master[Product_Code],Master[Color])</f>
        <v>Teal</v>
      </c>
      <c r="L2723" s="3">
        <f>_xlfn.XLOOKUP(D2723,Master[Product_Code],Master[Selling_Price])</f>
        <v>750</v>
      </c>
    </row>
    <row r="2724" spans="2:12">
      <c r="B2724" s="2" t="s">
        <v>2896</v>
      </c>
      <c r="C2724" s="7">
        <v>46021</v>
      </c>
      <c r="D2724" s="2" t="s">
        <v>1304</v>
      </c>
      <c r="E2724" s="4">
        <v>1</v>
      </c>
      <c r="F2724" s="8" t="str">
        <f>_xlfn.XLOOKUP(D2724,Master[Product_Code],Master[Category])</f>
        <v>Pants</v>
      </c>
      <c r="G2724" s="8" t="str">
        <f>_xlfn.XLOOKUP(D2724,Master[Product_Code],Master[Brand])</f>
        <v>Park Avenue</v>
      </c>
      <c r="H2724" s="8" t="str">
        <f>_xlfn.XLOOKUP(D2724,Master[Product_Code],Master[Style])</f>
        <v>Boot Cut</v>
      </c>
      <c r="I2724" s="8" t="str">
        <f>_xlfn.XLOOKUP(D2724,Master[Product_Code],Master[Fabric])</f>
        <v>Poly Viscose</v>
      </c>
      <c r="J2724" s="8">
        <f>_xlfn.XLOOKUP(D2724,Master[Product_Code],Master[Size])</f>
        <v>38</v>
      </c>
      <c r="K2724" s="8" t="str">
        <f>_xlfn.XLOOKUP(D2724,Master[Product_Code],Master[Color])</f>
        <v>Rust</v>
      </c>
      <c r="L2724" s="3">
        <f>_xlfn.XLOOKUP(D2724,Master[Product_Code],Master[Selling_Price])</f>
        <v>940</v>
      </c>
    </row>
    <row r="2725" spans="2:12">
      <c r="B2725" s="2" t="s">
        <v>2896</v>
      </c>
      <c r="C2725" s="7">
        <v>46021</v>
      </c>
      <c r="D2725" s="2" t="s">
        <v>282</v>
      </c>
      <c r="E2725" s="4">
        <v>1</v>
      </c>
      <c r="F2725" s="8" t="str">
        <f>_xlfn.XLOOKUP(D2725,Master[Product_Code],Master[Category])</f>
        <v>Shirt</v>
      </c>
      <c r="G2725" s="8" t="str">
        <f>_xlfn.XLOOKUP(D2725,Master[Product_Code],Master[Brand])</f>
        <v>USD</v>
      </c>
      <c r="H2725" s="8" t="str">
        <f>_xlfn.XLOOKUP(D2725,Master[Product_Code],Master[Style])</f>
        <v>Partywear</v>
      </c>
      <c r="I2725" s="8" t="str">
        <f>_xlfn.XLOOKUP(D2725,Master[Product_Code],Master[Fabric])</f>
        <v>Lycra</v>
      </c>
      <c r="J2725" s="8" t="str">
        <f>_xlfn.XLOOKUP(D2725,Master[Product_Code],Master[Size])</f>
        <v>XL</v>
      </c>
      <c r="K2725" s="8" t="str">
        <f>_xlfn.XLOOKUP(D2725,Master[Product_Code],Master[Color])</f>
        <v>White</v>
      </c>
      <c r="L2725" s="3">
        <f>_xlfn.XLOOKUP(D2725,Master[Product_Code],Master[Selling_Price])</f>
        <v>690</v>
      </c>
    </row>
    <row r="2726" spans="2:12">
      <c r="B2726" s="2" t="s">
        <v>2897</v>
      </c>
      <c r="C2726" s="7">
        <v>46021</v>
      </c>
      <c r="D2726" s="2" t="s">
        <v>1305</v>
      </c>
      <c r="E2726" s="4">
        <v>1</v>
      </c>
      <c r="F2726" s="8" t="str">
        <f>_xlfn.XLOOKUP(D2726,Master[Product_Code],Master[Category])</f>
        <v>Pants</v>
      </c>
      <c r="G2726" s="8" t="str">
        <f>_xlfn.XLOOKUP(D2726,Master[Product_Code],Master[Brand])</f>
        <v>Peter England</v>
      </c>
      <c r="H2726" s="8" t="str">
        <f>_xlfn.XLOOKUP(D2726,Master[Product_Code],Master[Style])</f>
        <v>Kurka</v>
      </c>
      <c r="I2726" s="8" t="str">
        <f>_xlfn.XLOOKUP(D2726,Master[Product_Code],Master[Fabric])</f>
        <v>Lycra</v>
      </c>
      <c r="J2726" s="8">
        <f>_xlfn.XLOOKUP(D2726,Master[Product_Code],Master[Size])</f>
        <v>34</v>
      </c>
      <c r="K2726" s="8" t="str">
        <f>_xlfn.XLOOKUP(D2726,Master[Product_Code],Master[Color])</f>
        <v>Sky Blue</v>
      </c>
      <c r="L2726" s="3">
        <f>_xlfn.XLOOKUP(D2726,Master[Product_Code],Master[Selling_Price])</f>
        <v>730</v>
      </c>
    </row>
    <row r="2727" spans="2:12">
      <c r="B2727" s="2" t="s">
        <v>2898</v>
      </c>
      <c r="C2727" s="7">
        <v>46021</v>
      </c>
      <c r="D2727" s="2" t="s">
        <v>523</v>
      </c>
      <c r="E2727" s="4">
        <v>1</v>
      </c>
      <c r="F2727" s="8" t="str">
        <f>_xlfn.XLOOKUP(D2727,Master[Product_Code],Master[Category])</f>
        <v>T-Shirt</v>
      </c>
      <c r="G2727" s="8" t="str">
        <f>_xlfn.XLOOKUP(D2727,Master[Product_Code],Master[Brand])</f>
        <v>Roadster</v>
      </c>
      <c r="H2727" s="8" t="str">
        <f>_xlfn.XLOOKUP(D2727,Master[Product_Code],Master[Style])</f>
        <v>Hoodie</v>
      </c>
      <c r="I2727" s="8" t="str">
        <f>_xlfn.XLOOKUP(D2727,Master[Product_Code],Master[Fabric])</f>
        <v>Poly Cotton</v>
      </c>
      <c r="J2727" s="8" t="str">
        <f>_xlfn.XLOOKUP(D2727,Master[Product_Code],Master[Size])</f>
        <v>XXL</v>
      </c>
      <c r="K2727" s="8" t="str">
        <f>_xlfn.XLOOKUP(D2727,Master[Product_Code],Master[Color])</f>
        <v>Brown</v>
      </c>
      <c r="L2727" s="3">
        <f>_xlfn.XLOOKUP(D2727,Master[Product_Code],Master[Selling_Price])</f>
        <v>610</v>
      </c>
    </row>
    <row r="2728" spans="2:12">
      <c r="B2728" s="2" t="s">
        <v>2898</v>
      </c>
      <c r="C2728" s="7">
        <v>46021</v>
      </c>
      <c r="D2728" s="2" t="s">
        <v>809</v>
      </c>
      <c r="E2728" s="4">
        <v>1</v>
      </c>
      <c r="F2728" s="8" t="str">
        <f>_xlfn.XLOOKUP(D2728,Master[Product_Code],Master[Category])</f>
        <v>T-Shirt</v>
      </c>
      <c r="G2728" s="8" t="str">
        <f>_xlfn.XLOOKUP(D2728,Master[Product_Code],Master[Brand])</f>
        <v>Urban Monkey</v>
      </c>
      <c r="H2728" s="8" t="str">
        <f>_xlfn.XLOOKUP(D2728,Master[Product_Code],Master[Style])</f>
        <v>3/4 Sleeve</v>
      </c>
      <c r="I2728" s="8" t="str">
        <f>_xlfn.XLOOKUP(D2728,Master[Product_Code],Master[Fabric])</f>
        <v>Cotton Blend</v>
      </c>
      <c r="J2728" s="8" t="str">
        <f>_xlfn.XLOOKUP(D2728,Master[Product_Code],Master[Size])</f>
        <v>XL</v>
      </c>
      <c r="K2728" s="8" t="str">
        <f>_xlfn.XLOOKUP(D2728,Master[Product_Code],Master[Color])</f>
        <v>Light Grey</v>
      </c>
      <c r="L2728" s="3">
        <f>_xlfn.XLOOKUP(D2728,Master[Product_Code],Master[Selling_Price])</f>
        <v>380</v>
      </c>
    </row>
    <row r="2729" spans="2:12">
      <c r="B2729" s="2" t="s">
        <v>2899</v>
      </c>
      <c r="C2729" s="7">
        <v>46021</v>
      </c>
      <c r="D2729" s="2" t="s">
        <v>1201</v>
      </c>
      <c r="E2729" s="4">
        <v>1</v>
      </c>
      <c r="F2729" s="8" t="str">
        <f>_xlfn.XLOOKUP(D2729,Master[Product_Code],Master[Category])</f>
        <v>Pants</v>
      </c>
      <c r="G2729" s="8" t="str">
        <f>_xlfn.XLOOKUP(D2729,Master[Product_Code],Master[Brand])</f>
        <v>Peter England</v>
      </c>
      <c r="H2729" s="8" t="str">
        <f>_xlfn.XLOOKUP(D2729,Master[Product_Code],Master[Style])</f>
        <v>Korean</v>
      </c>
      <c r="I2729" s="8" t="str">
        <f>_xlfn.XLOOKUP(D2729,Master[Product_Code],Master[Fabric])</f>
        <v>Lycra</v>
      </c>
      <c r="J2729" s="8">
        <f>_xlfn.XLOOKUP(D2729,Master[Product_Code],Master[Size])</f>
        <v>40</v>
      </c>
      <c r="K2729" s="8" t="str">
        <f>_xlfn.XLOOKUP(D2729,Master[Product_Code],Master[Color])</f>
        <v>Sky Blue</v>
      </c>
      <c r="L2729" s="3">
        <f>_xlfn.XLOOKUP(D2729,Master[Product_Code],Master[Selling_Price])</f>
        <v>830</v>
      </c>
    </row>
    <row r="2730" spans="2:12">
      <c r="B2730" s="2" t="s">
        <v>2899</v>
      </c>
      <c r="C2730" s="7">
        <v>46021</v>
      </c>
      <c r="D2730" s="2" t="s">
        <v>874</v>
      </c>
      <c r="E2730" s="4">
        <v>1</v>
      </c>
      <c r="F2730" s="8" t="str">
        <f>_xlfn.XLOOKUP(D2730,Master[Product_Code],Master[Category])</f>
        <v>Jeans</v>
      </c>
      <c r="G2730" s="8" t="str">
        <f>_xlfn.XLOOKUP(D2730,Master[Product_Code],Master[Brand])</f>
        <v>Denim Pro</v>
      </c>
      <c r="H2730" s="8" t="str">
        <f>_xlfn.XLOOKUP(D2730,Master[Product_Code],Master[Style])</f>
        <v>Mom Fit</v>
      </c>
      <c r="I2730" s="8" t="str">
        <f>_xlfn.XLOOKUP(D2730,Master[Product_Code],Master[Fabric])</f>
        <v>Denim</v>
      </c>
      <c r="J2730" s="8">
        <f>_xlfn.XLOOKUP(D2730,Master[Product_Code],Master[Size])</f>
        <v>40</v>
      </c>
      <c r="K2730" s="8" t="str">
        <f>_xlfn.XLOOKUP(D2730,Master[Product_Code],Master[Color])</f>
        <v>Brown</v>
      </c>
      <c r="L2730" s="3">
        <f>_xlfn.XLOOKUP(D2730,Master[Product_Code],Master[Selling_Price])</f>
        <v>960</v>
      </c>
    </row>
    <row r="2731" spans="2:12">
      <c r="B2731" s="2" t="s">
        <v>2900</v>
      </c>
      <c r="C2731" s="7">
        <v>46021</v>
      </c>
      <c r="D2731" s="2" t="s">
        <v>996</v>
      </c>
      <c r="E2731" s="4">
        <v>1</v>
      </c>
      <c r="F2731" s="8" t="str">
        <f>_xlfn.XLOOKUP(D2731,Master[Product_Code],Master[Category])</f>
        <v>Jeans</v>
      </c>
      <c r="G2731" s="8" t="str">
        <f>_xlfn.XLOOKUP(D2731,Master[Product_Code],Master[Brand])</f>
        <v>Pepe</v>
      </c>
      <c r="H2731" s="8" t="str">
        <f>_xlfn.XLOOKUP(D2731,Master[Product_Code],Master[Style])</f>
        <v>Baggy</v>
      </c>
      <c r="I2731" s="8" t="str">
        <f>_xlfn.XLOOKUP(D2731,Master[Product_Code],Master[Fabric])</f>
        <v>Denim</v>
      </c>
      <c r="J2731" s="8">
        <f>_xlfn.XLOOKUP(D2731,Master[Product_Code],Master[Size])</f>
        <v>44</v>
      </c>
      <c r="K2731" s="8" t="str">
        <f>_xlfn.XLOOKUP(D2731,Master[Product_Code],Master[Color])</f>
        <v>Sky Blue</v>
      </c>
      <c r="L2731" s="3">
        <f>_xlfn.XLOOKUP(D2731,Master[Product_Code],Master[Selling_Price])</f>
        <v>1030</v>
      </c>
    </row>
    <row r="2732" spans="2:12">
      <c r="B2732" s="2" t="s">
        <v>2900</v>
      </c>
      <c r="C2732" s="7">
        <v>46021</v>
      </c>
      <c r="D2732" s="2" t="s">
        <v>1716</v>
      </c>
      <c r="E2732" s="4">
        <v>1</v>
      </c>
      <c r="F2732" s="8" t="str">
        <f>_xlfn.XLOOKUP(D2732,Master[Product_Code],Master[Category])</f>
        <v>Innerwear</v>
      </c>
      <c r="G2732" s="8" t="str">
        <f>_xlfn.XLOOKUP(D2732,Master[Product_Code],Master[Brand])</f>
        <v>V Star</v>
      </c>
      <c r="H2732" s="8" t="str">
        <f>_xlfn.XLOOKUP(D2732,Master[Product_Code],Master[Style])</f>
        <v>V-Cut</v>
      </c>
      <c r="I2732" s="8" t="str">
        <f>_xlfn.XLOOKUP(D2732,Master[Product_Code],Master[Fabric])</f>
        <v>Cotton Blend</v>
      </c>
      <c r="J2732" s="8" t="str">
        <f>_xlfn.XLOOKUP(D2732,Master[Product_Code],Master[Size])</f>
        <v>75-80</v>
      </c>
      <c r="K2732" s="8" t="str">
        <f>_xlfn.XLOOKUP(D2732,Master[Product_Code],Master[Color])</f>
        <v>Teal</v>
      </c>
      <c r="L2732" s="3">
        <f>_xlfn.XLOOKUP(D2732,Master[Product_Code],Master[Selling_Price])</f>
        <v>150</v>
      </c>
    </row>
    <row r="2733" spans="2:12">
      <c r="B2733" s="2" t="s">
        <v>2901</v>
      </c>
      <c r="C2733" s="7">
        <v>46021</v>
      </c>
      <c r="D2733" s="2" t="s">
        <v>612</v>
      </c>
      <c r="E2733" s="4">
        <v>1</v>
      </c>
      <c r="F2733" s="8" t="str">
        <f>_xlfn.XLOOKUP(D2733,Master[Product_Code],Master[Category])</f>
        <v>T-Shirt</v>
      </c>
      <c r="G2733" s="8" t="str">
        <f>_xlfn.XLOOKUP(D2733,Master[Product_Code],Master[Brand])</f>
        <v>Roadster</v>
      </c>
      <c r="H2733" s="8" t="str">
        <f>_xlfn.XLOOKUP(D2733,Master[Product_Code],Master[Style])</f>
        <v>Hoodie</v>
      </c>
      <c r="I2733" s="8" t="str">
        <f>_xlfn.XLOOKUP(D2733,Master[Product_Code],Master[Fabric])</f>
        <v>Poly Cotton</v>
      </c>
      <c r="J2733" s="8" t="str">
        <f>_xlfn.XLOOKUP(D2733,Master[Product_Code],Master[Size])</f>
        <v>XXL</v>
      </c>
      <c r="K2733" s="8" t="str">
        <f>_xlfn.XLOOKUP(D2733,Master[Product_Code],Master[Color])</f>
        <v>Maroon</v>
      </c>
      <c r="L2733" s="3">
        <f>_xlfn.XLOOKUP(D2733,Master[Product_Code],Master[Selling_Price])</f>
        <v>570</v>
      </c>
    </row>
    <row r="2734" spans="2:12">
      <c r="B2734" s="2" t="s">
        <v>2901</v>
      </c>
      <c r="C2734" s="7">
        <v>46021</v>
      </c>
      <c r="D2734" s="2" t="s">
        <v>1137</v>
      </c>
      <c r="E2734" s="4">
        <v>1</v>
      </c>
      <c r="F2734" s="8" t="str">
        <f>_xlfn.XLOOKUP(D2734,Master[Product_Code],Master[Category])</f>
        <v>Jeans</v>
      </c>
      <c r="G2734" s="8" t="str">
        <f>_xlfn.XLOOKUP(D2734,Master[Product_Code],Master[Brand])</f>
        <v>Wrangler</v>
      </c>
      <c r="H2734" s="8" t="str">
        <f>_xlfn.XLOOKUP(D2734,Master[Product_Code],Master[Style])</f>
        <v>Jogger</v>
      </c>
      <c r="I2734" s="8" t="str">
        <f>_xlfn.XLOOKUP(D2734,Master[Product_Code],Master[Fabric])</f>
        <v>Denim</v>
      </c>
      <c r="J2734" s="8">
        <f>_xlfn.XLOOKUP(D2734,Master[Product_Code],Master[Size])</f>
        <v>42</v>
      </c>
      <c r="K2734" s="8" t="str">
        <f>_xlfn.XLOOKUP(D2734,Master[Product_Code],Master[Color])</f>
        <v>Beige</v>
      </c>
      <c r="L2734" s="3">
        <f>_xlfn.XLOOKUP(D2734,Master[Product_Code],Master[Selling_Price])</f>
        <v>780</v>
      </c>
    </row>
    <row r="2735" spans="2:12">
      <c r="B2735" s="2" t="s">
        <v>2901</v>
      </c>
      <c r="C2735" s="7">
        <v>46021</v>
      </c>
      <c r="D2735" s="2" t="s">
        <v>377</v>
      </c>
      <c r="E2735" s="4">
        <v>1</v>
      </c>
      <c r="F2735" s="8" t="str">
        <f>_xlfn.XLOOKUP(D2735,Master[Product_Code],Master[Category])</f>
        <v>Shirt</v>
      </c>
      <c r="G2735" s="8" t="str">
        <f>_xlfn.XLOOKUP(D2735,Master[Product_Code],Master[Brand])</f>
        <v>British</v>
      </c>
      <c r="H2735" s="8" t="str">
        <f>_xlfn.XLOOKUP(D2735,Master[Product_Code],Master[Style])</f>
        <v>Partywear</v>
      </c>
      <c r="I2735" s="8" t="str">
        <f>_xlfn.XLOOKUP(D2735,Master[Product_Code],Master[Fabric])</f>
        <v>Lycra</v>
      </c>
      <c r="J2735" s="8" t="str">
        <f>_xlfn.XLOOKUP(D2735,Master[Product_Code],Master[Size])</f>
        <v>S</v>
      </c>
      <c r="K2735" s="8" t="str">
        <f>_xlfn.XLOOKUP(D2735,Master[Product_Code],Master[Color])</f>
        <v>Sky Blue</v>
      </c>
      <c r="L2735" s="3">
        <f>_xlfn.XLOOKUP(D2735,Master[Product_Code],Master[Selling_Price])</f>
        <v>720</v>
      </c>
    </row>
    <row r="2736" spans="2:12">
      <c r="B2736" s="2" t="s">
        <v>2901</v>
      </c>
      <c r="C2736" s="7">
        <v>46021</v>
      </c>
      <c r="D2736" s="2" t="s">
        <v>1734</v>
      </c>
      <c r="E2736" s="4">
        <v>1</v>
      </c>
      <c r="F2736" s="8" t="str">
        <f>_xlfn.XLOOKUP(D2736,Master[Product_Code],Master[Category])</f>
        <v>Innerwear</v>
      </c>
      <c r="G2736" s="8" t="str">
        <f>_xlfn.XLOOKUP(D2736,Master[Product_Code],Master[Brand])</f>
        <v>Jockey</v>
      </c>
      <c r="H2736" s="8" t="str">
        <f>_xlfn.XLOOKUP(D2736,Master[Product_Code],Master[Style])</f>
        <v>V-Cut</v>
      </c>
      <c r="I2736" s="8" t="str">
        <f>_xlfn.XLOOKUP(D2736,Master[Product_Code],Master[Fabric])</f>
        <v>Cotton</v>
      </c>
      <c r="J2736" s="8" t="str">
        <f>_xlfn.XLOOKUP(D2736,Master[Product_Code],Master[Size])</f>
        <v>90-100</v>
      </c>
      <c r="K2736" s="8" t="str">
        <f>_xlfn.XLOOKUP(D2736,Master[Product_Code],Master[Color])</f>
        <v>Dark Green</v>
      </c>
      <c r="L2736" s="3">
        <f>_xlfn.XLOOKUP(D2736,Master[Product_Code],Master[Selling_Price])</f>
        <v>150</v>
      </c>
    </row>
    <row r="2737" spans="2:12">
      <c r="B2737" s="2" t="s">
        <v>2902</v>
      </c>
      <c r="C2737" s="7">
        <v>46021</v>
      </c>
      <c r="D2737" s="2" t="s">
        <v>1249</v>
      </c>
      <c r="E2737" s="4">
        <v>1</v>
      </c>
      <c r="F2737" s="8" t="str">
        <f>_xlfn.XLOOKUP(D2737,Master[Product_Code],Master[Category])</f>
        <v>Pants</v>
      </c>
      <c r="G2737" s="8" t="str">
        <f>_xlfn.XLOOKUP(D2737,Master[Product_Code],Master[Brand])</f>
        <v>Van Heusen</v>
      </c>
      <c r="H2737" s="8" t="str">
        <f>_xlfn.XLOOKUP(D2737,Master[Product_Code],Master[Style])</f>
        <v>Kurka</v>
      </c>
      <c r="I2737" s="8" t="str">
        <f>_xlfn.XLOOKUP(D2737,Master[Product_Code],Master[Fabric])</f>
        <v>Lycra</v>
      </c>
      <c r="J2737" s="8">
        <f>_xlfn.XLOOKUP(D2737,Master[Product_Code],Master[Size])</f>
        <v>42</v>
      </c>
      <c r="K2737" s="8" t="str">
        <f>_xlfn.XLOOKUP(D2737,Master[Product_Code],Master[Color])</f>
        <v>Mustard</v>
      </c>
      <c r="L2737" s="3">
        <f>_xlfn.XLOOKUP(D2737,Master[Product_Code],Master[Selling_Price])</f>
        <v>780</v>
      </c>
    </row>
    <row r="2738" spans="2:12">
      <c r="B2738" s="2" t="s">
        <v>2902</v>
      </c>
      <c r="C2738" s="7">
        <v>46021</v>
      </c>
      <c r="D2738" s="2" t="s">
        <v>444</v>
      </c>
      <c r="E2738" s="4">
        <v>1</v>
      </c>
      <c r="F2738" s="8" t="str">
        <f>_xlfn.XLOOKUP(D2738,Master[Product_Code],Master[Category])</f>
        <v>T-Shirt</v>
      </c>
      <c r="G2738" s="8" t="str">
        <f>_xlfn.XLOOKUP(D2738,Master[Product_Code],Master[Brand])</f>
        <v>Zara</v>
      </c>
      <c r="H2738" s="8" t="str">
        <f>_xlfn.XLOOKUP(D2738,Master[Product_Code],Master[Style])</f>
        <v>Sleeveless</v>
      </c>
      <c r="I2738" s="8" t="str">
        <f>_xlfn.XLOOKUP(D2738,Master[Product_Code],Master[Fabric])</f>
        <v>Cotton</v>
      </c>
      <c r="J2738" s="8" t="str">
        <f>_xlfn.XLOOKUP(D2738,Master[Product_Code],Master[Size])</f>
        <v>S</v>
      </c>
      <c r="K2738" s="8" t="str">
        <f>_xlfn.XLOOKUP(D2738,Master[Product_Code],Master[Color])</f>
        <v>Mustard</v>
      </c>
      <c r="L2738" s="3">
        <f>_xlfn.XLOOKUP(D2738,Master[Product_Code],Master[Selling_Price])</f>
        <v>250</v>
      </c>
    </row>
    <row r="2739" spans="2:12">
      <c r="B2739" s="2" t="s">
        <v>2902</v>
      </c>
      <c r="C2739" s="7">
        <v>46021</v>
      </c>
      <c r="D2739" s="2" t="s">
        <v>229</v>
      </c>
      <c r="E2739" s="4">
        <v>1</v>
      </c>
      <c r="F2739" s="8" t="str">
        <f>_xlfn.XLOOKUP(D2739,Master[Product_Code],Master[Category])</f>
        <v>Shirt</v>
      </c>
      <c r="G2739" s="8" t="str">
        <f>_xlfn.XLOOKUP(D2739,Master[Product_Code],Master[Brand])</f>
        <v>Thailand</v>
      </c>
      <c r="H2739" s="8" t="str">
        <f>_xlfn.XLOOKUP(D2739,Master[Product_Code],Master[Style])</f>
        <v>Formal</v>
      </c>
      <c r="I2739" s="8" t="str">
        <f>_xlfn.XLOOKUP(D2739,Master[Product_Code],Master[Fabric])</f>
        <v>Cotton</v>
      </c>
      <c r="J2739" s="8" t="str">
        <f>_xlfn.XLOOKUP(D2739,Master[Product_Code],Master[Size])</f>
        <v>S</v>
      </c>
      <c r="K2739" s="8" t="str">
        <f>_xlfn.XLOOKUP(D2739,Master[Product_Code],Master[Color])</f>
        <v>Maroon</v>
      </c>
      <c r="L2739" s="3">
        <f>_xlfn.XLOOKUP(D2739,Master[Product_Code],Master[Selling_Price])</f>
        <v>820</v>
      </c>
    </row>
    <row r="2740" spans="2:12">
      <c r="B2740" s="2" t="s">
        <v>2902</v>
      </c>
      <c r="C2740" s="7">
        <v>46021</v>
      </c>
      <c r="D2740" s="2" t="s">
        <v>509</v>
      </c>
      <c r="E2740" s="4">
        <v>1</v>
      </c>
      <c r="F2740" s="8" t="str">
        <f>_xlfn.XLOOKUP(D2740,Master[Product_Code],Master[Category])</f>
        <v>T-Shirt</v>
      </c>
      <c r="G2740" s="8" t="str">
        <f>_xlfn.XLOOKUP(D2740,Master[Product_Code],Master[Brand])</f>
        <v>Urban Monkey</v>
      </c>
      <c r="H2740" s="8" t="str">
        <f>_xlfn.XLOOKUP(D2740,Master[Product_Code],Master[Style])</f>
        <v>Half Sleeve</v>
      </c>
      <c r="I2740" s="8" t="str">
        <f>_xlfn.XLOOKUP(D2740,Master[Product_Code],Master[Fabric])</f>
        <v>Cotton</v>
      </c>
      <c r="J2740" s="8" t="str">
        <f>_xlfn.XLOOKUP(D2740,Master[Product_Code],Master[Size])</f>
        <v>S</v>
      </c>
      <c r="K2740" s="8" t="str">
        <f>_xlfn.XLOOKUP(D2740,Master[Product_Code],Master[Color])</f>
        <v>Cream</v>
      </c>
      <c r="L2740" s="3">
        <f>_xlfn.XLOOKUP(D2740,Master[Product_Code],Master[Selling_Price])</f>
        <v>700</v>
      </c>
    </row>
    <row r="2741" spans="2:12">
      <c r="B2741" s="2" t="s">
        <v>2903</v>
      </c>
      <c r="C2741" s="7">
        <v>46021</v>
      </c>
      <c r="D2741" s="2" t="s">
        <v>163</v>
      </c>
      <c r="E2741" s="4">
        <v>1</v>
      </c>
      <c r="F2741" s="8" t="str">
        <f>_xlfn.XLOOKUP(D2741,Master[Product_Code],Master[Category])</f>
        <v>Shirt</v>
      </c>
      <c r="G2741" s="8" t="str">
        <f>_xlfn.XLOOKUP(D2741,Master[Product_Code],Master[Brand])</f>
        <v>British</v>
      </c>
      <c r="H2741" s="8" t="str">
        <f>_xlfn.XLOOKUP(D2741,Master[Product_Code],Master[Style])</f>
        <v>Formal</v>
      </c>
      <c r="I2741" s="8" t="str">
        <f>_xlfn.XLOOKUP(D2741,Master[Product_Code],Master[Fabric])</f>
        <v>Cotton Blend</v>
      </c>
      <c r="J2741" s="8" t="str">
        <f>_xlfn.XLOOKUP(D2741,Master[Product_Code],Master[Size])</f>
        <v>S</v>
      </c>
      <c r="K2741" s="8" t="str">
        <f>_xlfn.XLOOKUP(D2741,Master[Product_Code],Master[Color])</f>
        <v>Dark Green</v>
      </c>
      <c r="L2741" s="3">
        <f>_xlfn.XLOOKUP(D2741,Master[Product_Code],Master[Selling_Price])</f>
        <v>710</v>
      </c>
    </row>
    <row r="2742" spans="2:12">
      <c r="B2742" s="2" t="s">
        <v>2903</v>
      </c>
      <c r="C2742" s="7">
        <v>46021</v>
      </c>
      <c r="D2742" s="2" t="s">
        <v>1184</v>
      </c>
      <c r="E2742" s="4">
        <v>1</v>
      </c>
      <c r="F2742" s="8" t="str">
        <f>_xlfn.XLOOKUP(D2742,Master[Product_Code],Master[Category])</f>
        <v>Pants</v>
      </c>
      <c r="G2742" s="8" t="str">
        <f>_xlfn.XLOOKUP(D2742,Master[Product_Code],Master[Brand])</f>
        <v>Louis Philippe</v>
      </c>
      <c r="H2742" s="8" t="str">
        <f>_xlfn.XLOOKUP(D2742,Master[Product_Code],Master[Style])</f>
        <v>Polofit</v>
      </c>
      <c r="I2742" s="8" t="str">
        <f>_xlfn.XLOOKUP(D2742,Master[Product_Code],Master[Fabric])</f>
        <v>Lycra</v>
      </c>
      <c r="J2742" s="8">
        <f>_xlfn.XLOOKUP(D2742,Master[Product_Code],Master[Size])</f>
        <v>28</v>
      </c>
      <c r="K2742" s="8" t="str">
        <f>_xlfn.XLOOKUP(D2742,Master[Product_Code],Master[Color])</f>
        <v>Peach</v>
      </c>
      <c r="L2742" s="3">
        <f>_xlfn.XLOOKUP(D2742,Master[Product_Code],Master[Selling_Price])</f>
        <v>730</v>
      </c>
    </row>
    <row r="2743" spans="2:12">
      <c r="B2743" s="2" t="s">
        <v>2903</v>
      </c>
      <c r="C2743" s="7">
        <v>46021</v>
      </c>
      <c r="D2743" s="2" t="s">
        <v>889</v>
      </c>
      <c r="E2743" s="4">
        <v>1</v>
      </c>
      <c r="F2743" s="8" t="str">
        <f>_xlfn.XLOOKUP(D2743,Master[Product_Code],Master[Category])</f>
        <v>Jeans</v>
      </c>
      <c r="G2743" s="8" t="str">
        <f>_xlfn.XLOOKUP(D2743,Master[Product_Code],Master[Brand])</f>
        <v>Spykar</v>
      </c>
      <c r="H2743" s="8" t="str">
        <f>_xlfn.XLOOKUP(D2743,Master[Product_Code],Master[Style])</f>
        <v>Mom Fit</v>
      </c>
      <c r="I2743" s="8" t="str">
        <f>_xlfn.XLOOKUP(D2743,Master[Product_Code],Master[Fabric])</f>
        <v>Denim</v>
      </c>
      <c r="J2743" s="8">
        <f>_xlfn.XLOOKUP(D2743,Master[Product_Code],Master[Size])</f>
        <v>34</v>
      </c>
      <c r="K2743" s="8" t="str">
        <f>_xlfn.XLOOKUP(D2743,Master[Product_Code],Master[Color])</f>
        <v>Mustard</v>
      </c>
      <c r="L2743" s="3">
        <f>_xlfn.XLOOKUP(D2743,Master[Product_Code],Master[Selling_Price])</f>
        <v>1030</v>
      </c>
    </row>
    <row r="2744" spans="2:12">
      <c r="B2744" s="2" t="s">
        <v>2903</v>
      </c>
      <c r="C2744" s="7">
        <v>46021</v>
      </c>
      <c r="D2744" s="2" t="s">
        <v>712</v>
      </c>
      <c r="E2744" s="4">
        <v>1</v>
      </c>
      <c r="F2744" s="8" t="str">
        <f>_xlfn.XLOOKUP(D2744,Master[Product_Code],Master[Category])</f>
        <v>T-Shirt</v>
      </c>
      <c r="G2744" s="8" t="str">
        <f>_xlfn.XLOOKUP(D2744,Master[Product_Code],Master[Brand])</f>
        <v>Roadster</v>
      </c>
      <c r="H2744" s="8" t="str">
        <f>_xlfn.XLOOKUP(D2744,Master[Product_Code],Master[Style])</f>
        <v>Half Sleeve</v>
      </c>
      <c r="I2744" s="8" t="str">
        <f>_xlfn.XLOOKUP(D2744,Master[Product_Code],Master[Fabric])</f>
        <v>Cotton</v>
      </c>
      <c r="J2744" s="8" t="str">
        <f>_xlfn.XLOOKUP(D2744,Master[Product_Code],Master[Size])</f>
        <v>XL</v>
      </c>
      <c r="K2744" s="8" t="str">
        <f>_xlfn.XLOOKUP(D2744,Master[Product_Code],Master[Color])</f>
        <v>Maroon</v>
      </c>
      <c r="L2744" s="3">
        <f>_xlfn.XLOOKUP(D2744,Master[Product_Code],Master[Selling_Price])</f>
        <v>220</v>
      </c>
    </row>
    <row r="2745" spans="2:12">
      <c r="B2745" s="2" t="s">
        <v>2904</v>
      </c>
      <c r="C2745" s="7">
        <v>46022</v>
      </c>
      <c r="D2745" s="2" t="s">
        <v>1525</v>
      </c>
      <c r="E2745" s="4">
        <v>1</v>
      </c>
      <c r="F2745" s="8" t="str">
        <f>_xlfn.XLOOKUP(D2745,Master[Product_Code],Master[Category])</f>
        <v>Innerwear</v>
      </c>
      <c r="G2745" s="8" t="str">
        <f>_xlfn.XLOOKUP(D2745,Master[Product_Code],Master[Brand])</f>
        <v>Lux</v>
      </c>
      <c r="H2745" s="8" t="str">
        <f>_xlfn.XLOOKUP(D2745,Master[Product_Code],Master[Style])</f>
        <v>Boxer</v>
      </c>
      <c r="I2745" s="8" t="str">
        <f>_xlfn.XLOOKUP(D2745,Master[Product_Code],Master[Fabric])</f>
        <v>Cotton Blend</v>
      </c>
      <c r="J2745" s="8" t="str">
        <f>_xlfn.XLOOKUP(D2745,Master[Product_Code],Master[Size])</f>
        <v>105-110</v>
      </c>
      <c r="K2745" s="8" t="str">
        <f>_xlfn.XLOOKUP(D2745,Master[Product_Code],Master[Color])</f>
        <v>Charcoal</v>
      </c>
      <c r="L2745" s="3">
        <f>_xlfn.XLOOKUP(D2745,Master[Product_Code],Master[Selling_Price])</f>
        <v>160</v>
      </c>
    </row>
    <row r="2746" spans="2:12">
      <c r="B2746" s="2" t="s">
        <v>2904</v>
      </c>
      <c r="C2746" s="7">
        <v>46022</v>
      </c>
      <c r="D2746" s="2" t="s">
        <v>612</v>
      </c>
      <c r="E2746" s="4">
        <v>1</v>
      </c>
      <c r="F2746" s="8" t="str">
        <f>_xlfn.XLOOKUP(D2746,Master[Product_Code],Master[Category])</f>
        <v>T-Shirt</v>
      </c>
      <c r="G2746" s="8" t="str">
        <f>_xlfn.XLOOKUP(D2746,Master[Product_Code],Master[Brand])</f>
        <v>Roadster</v>
      </c>
      <c r="H2746" s="8" t="str">
        <f>_xlfn.XLOOKUP(D2746,Master[Product_Code],Master[Style])</f>
        <v>Hoodie</v>
      </c>
      <c r="I2746" s="8" t="str">
        <f>_xlfn.XLOOKUP(D2746,Master[Product_Code],Master[Fabric])</f>
        <v>Poly Cotton</v>
      </c>
      <c r="J2746" s="8" t="str">
        <f>_xlfn.XLOOKUP(D2746,Master[Product_Code],Master[Size])</f>
        <v>XXL</v>
      </c>
      <c r="K2746" s="8" t="str">
        <f>_xlfn.XLOOKUP(D2746,Master[Product_Code],Master[Color])</f>
        <v>Maroon</v>
      </c>
      <c r="L2746" s="3">
        <f>_xlfn.XLOOKUP(D2746,Master[Product_Code],Master[Selling_Price])</f>
        <v>570</v>
      </c>
    </row>
    <row r="2747" spans="2:12">
      <c r="B2747" s="2" t="s">
        <v>2904</v>
      </c>
      <c r="C2747" s="7">
        <v>46022</v>
      </c>
      <c r="D2747" s="2" t="s">
        <v>1300</v>
      </c>
      <c r="E2747" s="4">
        <v>1</v>
      </c>
      <c r="F2747" s="8" t="str">
        <f>_xlfn.XLOOKUP(D2747,Master[Product_Code],Master[Category])</f>
        <v>Pants</v>
      </c>
      <c r="G2747" s="8" t="str">
        <f>_xlfn.XLOOKUP(D2747,Master[Product_Code],Master[Brand])</f>
        <v>Van Heusen</v>
      </c>
      <c r="H2747" s="8" t="str">
        <f>_xlfn.XLOOKUP(D2747,Master[Product_Code],Master[Style])</f>
        <v>Korean</v>
      </c>
      <c r="I2747" s="8" t="str">
        <f>_xlfn.XLOOKUP(D2747,Master[Product_Code],Master[Fabric])</f>
        <v>Lycra</v>
      </c>
      <c r="J2747" s="8">
        <f>_xlfn.XLOOKUP(D2747,Master[Product_Code],Master[Size])</f>
        <v>42</v>
      </c>
      <c r="K2747" s="8" t="str">
        <f>_xlfn.XLOOKUP(D2747,Master[Product_Code],Master[Color])</f>
        <v>Cream</v>
      </c>
      <c r="L2747" s="3">
        <f>_xlfn.XLOOKUP(D2747,Master[Product_Code],Master[Selling_Price])</f>
        <v>850</v>
      </c>
    </row>
    <row r="2748" spans="2:12">
      <c r="B2748" s="2" t="s">
        <v>2905</v>
      </c>
      <c r="C2748" s="7">
        <v>46022</v>
      </c>
      <c r="D2748" s="2" t="s">
        <v>216</v>
      </c>
      <c r="E2748" s="4">
        <v>1</v>
      </c>
      <c r="F2748" s="8" t="str">
        <f>_xlfn.XLOOKUP(D2748,Master[Product_Code],Master[Category])</f>
        <v>Shirt</v>
      </c>
      <c r="G2748" s="8" t="str">
        <f>_xlfn.XLOOKUP(D2748,Master[Product_Code],Master[Brand])</f>
        <v>Luke &amp; Burg</v>
      </c>
      <c r="H2748" s="8" t="str">
        <f>_xlfn.XLOOKUP(D2748,Master[Product_Code],Master[Style])</f>
        <v>Partywear</v>
      </c>
      <c r="I2748" s="8" t="str">
        <f>_xlfn.XLOOKUP(D2748,Master[Product_Code],Master[Fabric])</f>
        <v>Cotton Blend</v>
      </c>
      <c r="J2748" s="8" t="str">
        <f>_xlfn.XLOOKUP(D2748,Master[Product_Code],Master[Size])</f>
        <v>S</v>
      </c>
      <c r="K2748" s="8" t="str">
        <f>_xlfn.XLOOKUP(D2748,Master[Product_Code],Master[Color])</f>
        <v>Rust</v>
      </c>
      <c r="L2748" s="3">
        <f>_xlfn.XLOOKUP(D2748,Master[Product_Code],Master[Selling_Price])</f>
        <v>940</v>
      </c>
    </row>
    <row r="2749" spans="2:12">
      <c r="B2749" s="2" t="s">
        <v>2905</v>
      </c>
      <c r="C2749" s="7">
        <v>46022</v>
      </c>
      <c r="D2749" s="2" t="s">
        <v>1387</v>
      </c>
      <c r="E2749" s="4">
        <v>1</v>
      </c>
      <c r="F2749" s="8" t="str">
        <f>_xlfn.XLOOKUP(D2749,Master[Product_Code],Master[Category])</f>
        <v>Pants</v>
      </c>
      <c r="G2749" s="8" t="str">
        <f>_xlfn.XLOOKUP(D2749,Master[Product_Code],Master[Brand])</f>
        <v>Park Avenue</v>
      </c>
      <c r="H2749" s="8" t="str">
        <f>_xlfn.XLOOKUP(D2749,Master[Product_Code],Master[Style])</f>
        <v>Korean</v>
      </c>
      <c r="I2749" s="8" t="str">
        <f>_xlfn.XLOOKUP(D2749,Master[Product_Code],Master[Fabric])</f>
        <v>Lycra</v>
      </c>
      <c r="J2749" s="8">
        <f>_xlfn.XLOOKUP(D2749,Master[Product_Code],Master[Size])</f>
        <v>32</v>
      </c>
      <c r="K2749" s="8" t="str">
        <f>_xlfn.XLOOKUP(D2749,Master[Product_Code],Master[Color])</f>
        <v>Black</v>
      </c>
      <c r="L2749" s="3">
        <f>_xlfn.XLOOKUP(D2749,Master[Product_Code],Master[Selling_Price])</f>
        <v>860</v>
      </c>
    </row>
    <row r="2750" spans="2:12">
      <c r="B2750" s="2" t="s">
        <v>2905</v>
      </c>
      <c r="C2750" s="7">
        <v>46022</v>
      </c>
      <c r="D2750" s="2" t="s">
        <v>1465</v>
      </c>
      <c r="E2750" s="4">
        <v>1</v>
      </c>
      <c r="F2750" s="8" t="str">
        <f>_xlfn.XLOOKUP(D2750,Master[Product_Code],Master[Category])</f>
        <v>Innerwear</v>
      </c>
      <c r="G2750" s="8" t="str">
        <f>_xlfn.XLOOKUP(D2750,Master[Product_Code],Master[Brand])</f>
        <v>Lux</v>
      </c>
      <c r="H2750" s="8" t="str">
        <f>_xlfn.XLOOKUP(D2750,Master[Product_Code],Master[Style])</f>
        <v>Boxer</v>
      </c>
      <c r="I2750" s="8" t="str">
        <f>_xlfn.XLOOKUP(D2750,Master[Product_Code],Master[Fabric])</f>
        <v>Cotton Blend</v>
      </c>
      <c r="J2750" s="8" t="str">
        <f>_xlfn.XLOOKUP(D2750,Master[Product_Code],Master[Size])</f>
        <v>105-110</v>
      </c>
      <c r="K2750" s="8" t="str">
        <f>_xlfn.XLOOKUP(D2750,Master[Product_Code],Master[Color])</f>
        <v>Brown</v>
      </c>
      <c r="L2750" s="3">
        <f>_xlfn.XLOOKUP(D2750,Master[Product_Code],Master[Selling_Price])</f>
        <v>180</v>
      </c>
    </row>
    <row r="2751" spans="2:12">
      <c r="B2751" s="2" t="s">
        <v>2906</v>
      </c>
      <c r="C2751" s="7">
        <v>46022</v>
      </c>
      <c r="D2751" s="2" t="s">
        <v>1447</v>
      </c>
      <c r="E2751" s="4">
        <v>1</v>
      </c>
      <c r="F2751" s="8" t="str">
        <f>_xlfn.XLOOKUP(D2751,Master[Product_Code],Master[Category])</f>
        <v>Pants</v>
      </c>
      <c r="G2751" s="8" t="str">
        <f>_xlfn.XLOOKUP(D2751,Master[Product_Code],Master[Brand])</f>
        <v>Peter England</v>
      </c>
      <c r="H2751" s="8" t="str">
        <f>_xlfn.XLOOKUP(D2751,Master[Product_Code],Master[Style])</f>
        <v>Korean</v>
      </c>
      <c r="I2751" s="8" t="str">
        <f>_xlfn.XLOOKUP(D2751,Master[Product_Code],Master[Fabric])</f>
        <v>Lycra</v>
      </c>
      <c r="J2751" s="8">
        <f>_xlfn.XLOOKUP(D2751,Master[Product_Code],Master[Size])</f>
        <v>38</v>
      </c>
      <c r="K2751" s="8" t="str">
        <f>_xlfn.XLOOKUP(D2751,Master[Product_Code],Master[Color])</f>
        <v>Beige</v>
      </c>
      <c r="L2751" s="3">
        <f>_xlfn.XLOOKUP(D2751,Master[Product_Code],Master[Selling_Price])</f>
        <v>890</v>
      </c>
    </row>
    <row r="2752" spans="2:12">
      <c r="B2752" s="2" t="s">
        <v>2907</v>
      </c>
      <c r="C2752" s="7">
        <v>46022</v>
      </c>
      <c r="D2752" s="2" t="s">
        <v>1387</v>
      </c>
      <c r="E2752" s="4">
        <v>1</v>
      </c>
      <c r="F2752" s="8" t="str">
        <f>_xlfn.XLOOKUP(D2752,Master[Product_Code],Master[Category])</f>
        <v>Pants</v>
      </c>
      <c r="G2752" s="8" t="str">
        <f>_xlfn.XLOOKUP(D2752,Master[Product_Code],Master[Brand])</f>
        <v>Park Avenue</v>
      </c>
      <c r="H2752" s="8" t="str">
        <f>_xlfn.XLOOKUP(D2752,Master[Product_Code],Master[Style])</f>
        <v>Korean</v>
      </c>
      <c r="I2752" s="8" t="str">
        <f>_xlfn.XLOOKUP(D2752,Master[Product_Code],Master[Fabric])</f>
        <v>Lycra</v>
      </c>
      <c r="J2752" s="8">
        <f>_xlfn.XLOOKUP(D2752,Master[Product_Code],Master[Size])</f>
        <v>32</v>
      </c>
      <c r="K2752" s="8" t="str">
        <f>_xlfn.XLOOKUP(D2752,Master[Product_Code],Master[Color])</f>
        <v>Black</v>
      </c>
      <c r="L2752" s="3">
        <f>_xlfn.XLOOKUP(D2752,Master[Product_Code],Master[Selling_Price])</f>
        <v>860</v>
      </c>
    </row>
    <row r="2753" spans="2:12">
      <c r="B2753" s="2" t="s">
        <v>2907</v>
      </c>
      <c r="C2753" s="7">
        <v>46022</v>
      </c>
      <c r="D2753" s="2" t="s">
        <v>513</v>
      </c>
      <c r="E2753" s="4">
        <v>1</v>
      </c>
      <c r="F2753" s="8" t="str">
        <f>_xlfn.XLOOKUP(D2753,Master[Product_Code],Master[Category])</f>
        <v>T-Shirt</v>
      </c>
      <c r="G2753" s="8" t="str">
        <f>_xlfn.XLOOKUP(D2753,Master[Product_Code],Master[Brand])</f>
        <v>Max</v>
      </c>
      <c r="H2753" s="8" t="str">
        <f>_xlfn.XLOOKUP(D2753,Master[Product_Code],Master[Style])</f>
        <v>3/4 Sleeve</v>
      </c>
      <c r="I2753" s="8" t="str">
        <f>_xlfn.XLOOKUP(D2753,Master[Product_Code],Master[Fabric])</f>
        <v>Poly Cotton</v>
      </c>
      <c r="J2753" s="8" t="str">
        <f>_xlfn.XLOOKUP(D2753,Master[Product_Code],Master[Size])</f>
        <v>M</v>
      </c>
      <c r="K2753" s="8" t="str">
        <f>_xlfn.XLOOKUP(D2753,Master[Product_Code],Master[Color])</f>
        <v>Bottle Green</v>
      </c>
      <c r="L2753" s="3">
        <f>_xlfn.XLOOKUP(D2753,Master[Product_Code],Master[Selling_Price])</f>
        <v>250</v>
      </c>
    </row>
    <row r="2754" spans="2:12">
      <c r="B2754" s="2" t="s">
        <v>2908</v>
      </c>
      <c r="C2754" s="7">
        <v>46022</v>
      </c>
      <c r="D2754" s="2" t="s">
        <v>1300</v>
      </c>
      <c r="E2754" s="4">
        <v>1</v>
      </c>
      <c r="F2754" s="8" t="str">
        <f>_xlfn.XLOOKUP(D2754,Master[Product_Code],Master[Category])</f>
        <v>Pants</v>
      </c>
      <c r="G2754" s="8" t="str">
        <f>_xlfn.XLOOKUP(D2754,Master[Product_Code],Master[Brand])</f>
        <v>Van Heusen</v>
      </c>
      <c r="H2754" s="8" t="str">
        <f>_xlfn.XLOOKUP(D2754,Master[Product_Code],Master[Style])</f>
        <v>Korean</v>
      </c>
      <c r="I2754" s="8" t="str">
        <f>_xlfn.XLOOKUP(D2754,Master[Product_Code],Master[Fabric])</f>
        <v>Lycra</v>
      </c>
      <c r="J2754" s="8">
        <f>_xlfn.XLOOKUP(D2754,Master[Product_Code],Master[Size])</f>
        <v>42</v>
      </c>
      <c r="K2754" s="8" t="str">
        <f>_xlfn.XLOOKUP(D2754,Master[Product_Code],Master[Color])</f>
        <v>Cream</v>
      </c>
      <c r="L2754" s="3">
        <f>_xlfn.XLOOKUP(D2754,Master[Product_Code],Master[Selling_Price])</f>
        <v>850</v>
      </c>
    </row>
    <row r="2755" spans="2:12">
      <c r="B2755" s="2" t="s">
        <v>2908</v>
      </c>
      <c r="C2755" s="7">
        <v>46022</v>
      </c>
      <c r="D2755" s="2" t="s">
        <v>1205</v>
      </c>
      <c r="E2755" s="4">
        <v>1</v>
      </c>
      <c r="F2755" s="8" t="str">
        <f>_xlfn.XLOOKUP(D2755,Master[Product_Code],Master[Category])</f>
        <v>Pants</v>
      </c>
      <c r="G2755" s="8" t="str">
        <f>_xlfn.XLOOKUP(D2755,Master[Product_Code],Master[Brand])</f>
        <v>Peter England</v>
      </c>
      <c r="H2755" s="8" t="str">
        <f>_xlfn.XLOOKUP(D2755,Master[Product_Code],Master[Style])</f>
        <v>Polofit</v>
      </c>
      <c r="I2755" s="8" t="str">
        <f>_xlfn.XLOOKUP(D2755,Master[Product_Code],Master[Fabric])</f>
        <v>Lycra</v>
      </c>
      <c r="J2755" s="8">
        <f>_xlfn.XLOOKUP(D2755,Master[Product_Code],Master[Size])</f>
        <v>28</v>
      </c>
      <c r="K2755" s="8" t="str">
        <f>_xlfn.XLOOKUP(D2755,Master[Product_Code],Master[Color])</f>
        <v>Navy Blue</v>
      </c>
      <c r="L2755" s="3">
        <f>_xlfn.XLOOKUP(D2755,Master[Product_Code],Master[Selling_Price])</f>
        <v>920</v>
      </c>
    </row>
    <row r="2756" spans="2:12">
      <c r="B2756" s="2" t="s">
        <v>2909</v>
      </c>
      <c r="C2756" s="7">
        <v>46022</v>
      </c>
      <c r="D2756" s="2" t="s">
        <v>218</v>
      </c>
      <c r="E2756" s="4">
        <v>1</v>
      </c>
      <c r="F2756" s="8" t="str">
        <f>_xlfn.XLOOKUP(D2756,Master[Product_Code],Master[Category])</f>
        <v>Shirt</v>
      </c>
      <c r="G2756" s="8" t="str">
        <f>_xlfn.XLOOKUP(D2756,Master[Product_Code],Master[Brand])</f>
        <v>British</v>
      </c>
      <c r="H2756" s="8" t="str">
        <f>_xlfn.XLOOKUP(D2756,Master[Product_Code],Master[Style])</f>
        <v>Formal</v>
      </c>
      <c r="I2756" s="8" t="str">
        <f>_xlfn.XLOOKUP(D2756,Master[Product_Code],Master[Fabric])</f>
        <v>Lycra</v>
      </c>
      <c r="J2756" s="8" t="str">
        <f>_xlfn.XLOOKUP(D2756,Master[Product_Code],Master[Size])</f>
        <v>XL</v>
      </c>
      <c r="K2756" s="8" t="str">
        <f>_xlfn.XLOOKUP(D2756,Master[Product_Code],Master[Color])</f>
        <v>Black</v>
      </c>
      <c r="L2756" s="3">
        <f>_xlfn.XLOOKUP(D2756,Master[Product_Code],Master[Selling_Price])</f>
        <v>920</v>
      </c>
    </row>
    <row r="2757" spans="2:12">
      <c r="B2757" s="2" t="s">
        <v>2909</v>
      </c>
      <c r="C2757" s="7">
        <v>46022</v>
      </c>
      <c r="D2757" s="2" t="s">
        <v>1419</v>
      </c>
      <c r="E2757" s="4">
        <v>1</v>
      </c>
      <c r="F2757" s="8" t="str">
        <f>_xlfn.XLOOKUP(D2757,Master[Product_Code],Master[Category])</f>
        <v>Pants</v>
      </c>
      <c r="G2757" s="8" t="str">
        <f>_xlfn.XLOOKUP(D2757,Master[Product_Code],Master[Brand])</f>
        <v>Park Avenue</v>
      </c>
      <c r="H2757" s="8" t="str">
        <f>_xlfn.XLOOKUP(D2757,Master[Product_Code],Master[Style])</f>
        <v>Polofit</v>
      </c>
      <c r="I2757" s="8" t="str">
        <f>_xlfn.XLOOKUP(D2757,Master[Product_Code],Master[Fabric])</f>
        <v>Lycra</v>
      </c>
      <c r="J2757" s="8">
        <f>_xlfn.XLOOKUP(D2757,Master[Product_Code],Master[Size])</f>
        <v>38</v>
      </c>
      <c r="K2757" s="8" t="str">
        <f>_xlfn.XLOOKUP(D2757,Master[Product_Code],Master[Color])</f>
        <v>Grey</v>
      </c>
      <c r="L2757" s="3">
        <f>_xlfn.XLOOKUP(D2757,Master[Product_Code],Master[Selling_Price])</f>
        <v>880</v>
      </c>
    </row>
    <row r="2758" spans="2:12">
      <c r="B2758" s="2" t="s">
        <v>2909</v>
      </c>
      <c r="C2758" s="7">
        <v>46022</v>
      </c>
      <c r="D2758" s="2" t="s">
        <v>1272</v>
      </c>
      <c r="E2758" s="4">
        <v>1</v>
      </c>
      <c r="F2758" s="8" t="str">
        <f>_xlfn.XLOOKUP(D2758,Master[Product_Code],Master[Category])</f>
        <v>Pants</v>
      </c>
      <c r="G2758" s="8" t="str">
        <f>_xlfn.XLOOKUP(D2758,Master[Product_Code],Master[Brand])</f>
        <v>Louis Philippe</v>
      </c>
      <c r="H2758" s="8" t="str">
        <f>_xlfn.XLOOKUP(D2758,Master[Product_Code],Master[Style])</f>
        <v>Kurka</v>
      </c>
      <c r="I2758" s="8" t="str">
        <f>_xlfn.XLOOKUP(D2758,Master[Product_Code],Master[Fabric])</f>
        <v>Lycra</v>
      </c>
      <c r="J2758" s="8">
        <f>_xlfn.XLOOKUP(D2758,Master[Product_Code],Master[Size])</f>
        <v>38</v>
      </c>
      <c r="K2758" s="8" t="str">
        <f>_xlfn.XLOOKUP(D2758,Master[Product_Code],Master[Color])</f>
        <v>Wine</v>
      </c>
      <c r="L2758" s="3">
        <f>_xlfn.XLOOKUP(D2758,Master[Product_Code],Master[Selling_Price])</f>
        <v>820</v>
      </c>
    </row>
    <row r="2759" spans="2:12">
      <c r="B2759" s="2" t="s">
        <v>2910</v>
      </c>
      <c r="C2759" s="7">
        <v>46022</v>
      </c>
      <c r="D2759" s="2" t="s">
        <v>1253</v>
      </c>
      <c r="E2759" s="4">
        <v>1</v>
      </c>
      <c r="F2759" s="8" t="str">
        <f>_xlfn.XLOOKUP(D2759,Master[Product_Code],Master[Category])</f>
        <v>Pants</v>
      </c>
      <c r="G2759" s="8" t="str">
        <f>_xlfn.XLOOKUP(D2759,Master[Product_Code],Master[Brand])</f>
        <v>Raymond</v>
      </c>
      <c r="H2759" s="8" t="str">
        <f>_xlfn.XLOOKUP(D2759,Master[Product_Code],Master[Style])</f>
        <v>Polofit</v>
      </c>
      <c r="I2759" s="8" t="str">
        <f>_xlfn.XLOOKUP(D2759,Master[Product_Code],Master[Fabric])</f>
        <v>Lycra</v>
      </c>
      <c r="J2759" s="8">
        <f>_xlfn.XLOOKUP(D2759,Master[Product_Code],Master[Size])</f>
        <v>32</v>
      </c>
      <c r="K2759" s="8" t="str">
        <f>_xlfn.XLOOKUP(D2759,Master[Product_Code],Master[Color])</f>
        <v>Cream</v>
      </c>
      <c r="L2759" s="3">
        <f>_xlfn.XLOOKUP(D2759,Master[Product_Code],Master[Selling_Price])</f>
        <v>950</v>
      </c>
    </row>
    <row r="2760" spans="2:12">
      <c r="B2760" s="2" t="s">
        <v>2911</v>
      </c>
      <c r="C2760" s="7">
        <v>46022</v>
      </c>
      <c r="D2760" s="2" t="s">
        <v>729</v>
      </c>
      <c r="E2760" s="4">
        <v>1</v>
      </c>
      <c r="F2760" s="8" t="str">
        <f>_xlfn.XLOOKUP(D2760,Master[Product_Code],Master[Category])</f>
        <v>T-Shirt</v>
      </c>
      <c r="G2760" s="8" t="str">
        <f>_xlfn.XLOOKUP(D2760,Master[Product_Code],Master[Brand])</f>
        <v>Campus</v>
      </c>
      <c r="H2760" s="8" t="str">
        <f>_xlfn.XLOOKUP(D2760,Master[Product_Code],Master[Style])</f>
        <v>3/4 Sleeve</v>
      </c>
      <c r="I2760" s="8" t="str">
        <f>_xlfn.XLOOKUP(D2760,Master[Product_Code],Master[Fabric])</f>
        <v>Cotton Blend</v>
      </c>
      <c r="J2760" s="8" t="str">
        <f>_xlfn.XLOOKUP(D2760,Master[Product_Code],Master[Size])</f>
        <v>M</v>
      </c>
      <c r="K2760" s="8" t="str">
        <f>_xlfn.XLOOKUP(D2760,Master[Product_Code],Master[Color])</f>
        <v>Royal Blue</v>
      </c>
      <c r="L2760" s="3">
        <f>_xlfn.XLOOKUP(D2760,Master[Product_Code],Master[Selling_Price])</f>
        <v>290</v>
      </c>
    </row>
    <row r="2761" spans="2:12">
      <c r="B2761" s="2" t="s">
        <v>2911</v>
      </c>
      <c r="C2761" s="7">
        <v>46022</v>
      </c>
      <c r="D2761" s="2" t="s">
        <v>1327</v>
      </c>
      <c r="E2761" s="4">
        <v>1</v>
      </c>
      <c r="F2761" s="8" t="str">
        <f>_xlfn.XLOOKUP(D2761,Master[Product_Code],Master[Category])</f>
        <v>Pants</v>
      </c>
      <c r="G2761" s="8" t="str">
        <f>_xlfn.XLOOKUP(D2761,Master[Product_Code],Master[Brand])</f>
        <v>Van Heusen</v>
      </c>
      <c r="H2761" s="8" t="str">
        <f>_xlfn.XLOOKUP(D2761,Master[Product_Code],Master[Style])</f>
        <v>Boot Cut</v>
      </c>
      <c r="I2761" s="8" t="str">
        <f>_xlfn.XLOOKUP(D2761,Master[Product_Code],Master[Fabric])</f>
        <v>Cotton Blend</v>
      </c>
      <c r="J2761" s="8">
        <f>_xlfn.XLOOKUP(D2761,Master[Product_Code],Master[Size])</f>
        <v>42</v>
      </c>
      <c r="K2761" s="8" t="str">
        <f>_xlfn.XLOOKUP(D2761,Master[Product_Code],Master[Color])</f>
        <v>Sky Blue</v>
      </c>
      <c r="L2761" s="3">
        <f>_xlfn.XLOOKUP(D2761,Master[Product_Code],Master[Selling_Price])</f>
        <v>760</v>
      </c>
    </row>
    <row r="2762" spans="2:12">
      <c r="B2762" s="2" t="s">
        <v>2911</v>
      </c>
      <c r="C2762" s="7">
        <v>46022</v>
      </c>
      <c r="D2762" s="2" t="s">
        <v>503</v>
      </c>
      <c r="E2762" s="4">
        <v>1</v>
      </c>
      <c r="F2762" s="8" t="str">
        <f>_xlfn.XLOOKUP(D2762,Master[Product_Code],Master[Category])</f>
        <v>T-Shirt</v>
      </c>
      <c r="G2762" s="8" t="str">
        <f>_xlfn.XLOOKUP(D2762,Master[Product_Code],Master[Brand])</f>
        <v>Campus</v>
      </c>
      <c r="H2762" s="8" t="str">
        <f>_xlfn.XLOOKUP(D2762,Master[Product_Code],Master[Style])</f>
        <v>3/4 Sleeve</v>
      </c>
      <c r="I2762" s="8" t="str">
        <f>_xlfn.XLOOKUP(D2762,Master[Product_Code],Master[Fabric])</f>
        <v>Poly Cotton</v>
      </c>
      <c r="J2762" s="8" t="str">
        <f>_xlfn.XLOOKUP(D2762,Master[Product_Code],Master[Size])</f>
        <v>XL</v>
      </c>
      <c r="K2762" s="8" t="str">
        <f>_xlfn.XLOOKUP(D2762,Master[Product_Code],Master[Color])</f>
        <v>Rust</v>
      </c>
      <c r="L2762" s="3">
        <f>_xlfn.XLOOKUP(D2762,Master[Product_Code],Master[Selling_Price])</f>
        <v>620</v>
      </c>
    </row>
    <row r="2763" spans="2:12">
      <c r="B2763" s="2" t="s">
        <v>2911</v>
      </c>
      <c r="C2763" s="7">
        <v>46022</v>
      </c>
      <c r="D2763" s="2" t="s">
        <v>213</v>
      </c>
      <c r="E2763" s="4">
        <v>1</v>
      </c>
      <c r="F2763" s="8" t="str">
        <f>_xlfn.XLOOKUP(D2763,Master[Product_Code],Master[Category])</f>
        <v>Shirt</v>
      </c>
      <c r="G2763" s="8" t="str">
        <f>_xlfn.XLOOKUP(D2763,Master[Product_Code],Master[Brand])</f>
        <v>Luke &amp; Burg</v>
      </c>
      <c r="H2763" s="8" t="str">
        <f>_xlfn.XLOOKUP(D2763,Master[Product_Code],Master[Style])</f>
        <v>Formal</v>
      </c>
      <c r="I2763" s="8" t="str">
        <f>_xlfn.XLOOKUP(D2763,Master[Product_Code],Master[Fabric])</f>
        <v>Lycra</v>
      </c>
      <c r="J2763" s="8" t="str">
        <f>_xlfn.XLOOKUP(D2763,Master[Product_Code],Master[Size])</f>
        <v>M</v>
      </c>
      <c r="K2763" s="8" t="str">
        <f>_xlfn.XLOOKUP(D2763,Master[Product_Code],Master[Color])</f>
        <v>Dark Green</v>
      </c>
      <c r="L2763" s="3">
        <f>_xlfn.XLOOKUP(D2763,Master[Product_Code],Master[Selling_Price])</f>
        <v>750</v>
      </c>
    </row>
    <row r="2764" spans="2:12">
      <c r="B2764" s="2" t="s">
        <v>2912</v>
      </c>
      <c r="C2764" s="7">
        <v>46022</v>
      </c>
      <c r="D2764" s="2" t="s">
        <v>303</v>
      </c>
      <c r="E2764" s="4">
        <v>1</v>
      </c>
      <c r="F2764" s="8" t="str">
        <f>_xlfn.XLOOKUP(D2764,Master[Product_Code],Master[Category])</f>
        <v>Shirt</v>
      </c>
      <c r="G2764" s="8" t="str">
        <f>_xlfn.XLOOKUP(D2764,Master[Product_Code],Master[Brand])</f>
        <v>Zara</v>
      </c>
      <c r="H2764" s="8" t="str">
        <f>_xlfn.XLOOKUP(D2764,Master[Product_Code],Master[Style])</f>
        <v>Formal</v>
      </c>
      <c r="I2764" s="8" t="str">
        <f>_xlfn.XLOOKUP(D2764,Master[Product_Code],Master[Fabric])</f>
        <v>Cotton</v>
      </c>
      <c r="J2764" s="8" t="str">
        <f>_xlfn.XLOOKUP(D2764,Master[Product_Code],Master[Size])</f>
        <v>L</v>
      </c>
      <c r="K2764" s="8" t="str">
        <f>_xlfn.XLOOKUP(D2764,Master[Product_Code],Master[Color])</f>
        <v>Brown</v>
      </c>
      <c r="L2764" s="3">
        <f>_xlfn.XLOOKUP(D2764,Master[Product_Code],Master[Selling_Price])</f>
        <v>700</v>
      </c>
    </row>
    <row r="2765" spans="2:12">
      <c r="B2765" s="2" t="s">
        <v>2912</v>
      </c>
      <c r="C2765" s="7">
        <v>46022</v>
      </c>
      <c r="D2765" s="2" t="s">
        <v>1138</v>
      </c>
      <c r="E2765" s="4">
        <v>1</v>
      </c>
      <c r="F2765" s="8" t="str">
        <f>_xlfn.XLOOKUP(D2765,Master[Product_Code],Master[Category])</f>
        <v>Jeans</v>
      </c>
      <c r="G2765" s="8" t="str">
        <f>_xlfn.XLOOKUP(D2765,Master[Product_Code],Master[Brand])</f>
        <v>Spykar</v>
      </c>
      <c r="H2765" s="8" t="str">
        <f>_xlfn.XLOOKUP(D2765,Master[Product_Code],Master[Style])</f>
        <v>Jogger</v>
      </c>
      <c r="I2765" s="8" t="str">
        <f>_xlfn.XLOOKUP(D2765,Master[Product_Code],Master[Fabric])</f>
        <v>Denim</v>
      </c>
      <c r="J2765" s="8">
        <f>_xlfn.XLOOKUP(D2765,Master[Product_Code],Master[Size])</f>
        <v>38</v>
      </c>
      <c r="K2765" s="8" t="str">
        <f>_xlfn.XLOOKUP(D2765,Master[Product_Code],Master[Color])</f>
        <v>Teal</v>
      </c>
      <c r="L2765" s="3">
        <f>_xlfn.XLOOKUP(D2765,Master[Product_Code],Master[Selling_Price])</f>
        <v>840</v>
      </c>
    </row>
    <row r="2766" spans="2:12">
      <c r="B2766" s="2" t="s">
        <v>2912</v>
      </c>
      <c r="C2766" s="7">
        <v>46022</v>
      </c>
      <c r="D2766" s="2" t="s">
        <v>492</v>
      </c>
      <c r="E2766" s="4">
        <v>1</v>
      </c>
      <c r="F2766" s="8" t="str">
        <f>_xlfn.XLOOKUP(D2766,Master[Product_Code],Master[Category])</f>
        <v>T-Shirt</v>
      </c>
      <c r="G2766" s="8" t="str">
        <f>_xlfn.XLOOKUP(D2766,Master[Product_Code],Master[Brand])</f>
        <v>Roadster</v>
      </c>
      <c r="H2766" s="8" t="str">
        <f>_xlfn.XLOOKUP(D2766,Master[Product_Code],Master[Style])</f>
        <v>3/4 Sleeve</v>
      </c>
      <c r="I2766" s="8" t="str">
        <f>_xlfn.XLOOKUP(D2766,Master[Product_Code],Master[Fabric])</f>
        <v>Cotton</v>
      </c>
      <c r="J2766" s="8" t="str">
        <f>_xlfn.XLOOKUP(D2766,Master[Product_Code],Master[Size])</f>
        <v>XL</v>
      </c>
      <c r="K2766" s="8" t="str">
        <f>_xlfn.XLOOKUP(D2766,Master[Product_Code],Master[Color])</f>
        <v>Light Grey</v>
      </c>
      <c r="L2766" s="3">
        <f>_xlfn.XLOOKUP(D2766,Master[Product_Code],Master[Selling_Price])</f>
        <v>370</v>
      </c>
    </row>
    <row r="2767" spans="2:12">
      <c r="B2767" s="2" t="s">
        <v>2913</v>
      </c>
      <c r="C2767" s="7">
        <v>46022</v>
      </c>
      <c r="D2767" s="2" t="s">
        <v>500</v>
      </c>
      <c r="E2767" s="4">
        <v>1</v>
      </c>
      <c r="F2767" s="8" t="str">
        <f>_xlfn.XLOOKUP(D2767,Master[Product_Code],Master[Category])</f>
        <v>T-Shirt</v>
      </c>
      <c r="G2767" s="8" t="str">
        <f>_xlfn.XLOOKUP(D2767,Master[Product_Code],Master[Brand])</f>
        <v>Roadster</v>
      </c>
      <c r="H2767" s="8" t="str">
        <f>_xlfn.XLOOKUP(D2767,Master[Product_Code],Master[Style])</f>
        <v>3/4 Sleeve</v>
      </c>
      <c r="I2767" s="8" t="str">
        <f>_xlfn.XLOOKUP(D2767,Master[Product_Code],Master[Fabric])</f>
        <v>Poly Cotton</v>
      </c>
      <c r="J2767" s="8" t="str">
        <f>_xlfn.XLOOKUP(D2767,Master[Product_Code],Master[Size])</f>
        <v>S</v>
      </c>
      <c r="K2767" s="8" t="str">
        <f>_xlfn.XLOOKUP(D2767,Master[Product_Code],Master[Color])</f>
        <v>Maroon</v>
      </c>
      <c r="L2767" s="3">
        <f>_xlfn.XLOOKUP(D2767,Master[Product_Code],Master[Selling_Price])</f>
        <v>420</v>
      </c>
    </row>
    <row r="2768" spans="2:12">
      <c r="B2768" s="2" t="s">
        <v>2913</v>
      </c>
      <c r="C2768" s="7">
        <v>46022</v>
      </c>
      <c r="D2768" s="2" t="s">
        <v>1413</v>
      </c>
      <c r="E2768" s="4">
        <v>1</v>
      </c>
      <c r="F2768" s="8" t="str">
        <f>_xlfn.XLOOKUP(D2768,Master[Product_Code],Master[Category])</f>
        <v>Pants</v>
      </c>
      <c r="G2768" s="8" t="str">
        <f>_xlfn.XLOOKUP(D2768,Master[Product_Code],Master[Brand])</f>
        <v>Park Avenue</v>
      </c>
      <c r="H2768" s="8" t="str">
        <f>_xlfn.XLOOKUP(D2768,Master[Product_Code],Master[Style])</f>
        <v>Polofit</v>
      </c>
      <c r="I2768" s="8" t="str">
        <f>_xlfn.XLOOKUP(D2768,Master[Product_Code],Master[Fabric])</f>
        <v>Lycra</v>
      </c>
      <c r="J2768" s="8">
        <f>_xlfn.XLOOKUP(D2768,Master[Product_Code],Master[Size])</f>
        <v>34</v>
      </c>
      <c r="K2768" s="8" t="str">
        <f>_xlfn.XLOOKUP(D2768,Master[Product_Code],Master[Color])</f>
        <v>Light Grey</v>
      </c>
      <c r="L2768" s="3">
        <f>_xlfn.XLOOKUP(D2768,Master[Product_Code],Master[Selling_Price])</f>
        <v>700</v>
      </c>
    </row>
    <row r="2769" spans="2:12">
      <c r="B2769" s="2" t="s">
        <v>2913</v>
      </c>
      <c r="C2769" s="7">
        <v>46022</v>
      </c>
      <c r="D2769" s="2" t="s">
        <v>1269</v>
      </c>
      <c r="E2769" s="4">
        <v>1</v>
      </c>
      <c r="F2769" s="8" t="str">
        <f>_xlfn.XLOOKUP(D2769,Master[Product_Code],Master[Category])</f>
        <v>Pants</v>
      </c>
      <c r="G2769" s="8" t="str">
        <f>_xlfn.XLOOKUP(D2769,Master[Product_Code],Master[Brand])</f>
        <v>Van Heusen</v>
      </c>
      <c r="H2769" s="8" t="str">
        <f>_xlfn.XLOOKUP(D2769,Master[Product_Code],Master[Style])</f>
        <v>Jogger</v>
      </c>
      <c r="I2769" s="8" t="str">
        <f>_xlfn.XLOOKUP(D2769,Master[Product_Code],Master[Fabric])</f>
        <v>Cotton Blend</v>
      </c>
      <c r="J2769" s="8">
        <f>_xlfn.XLOOKUP(D2769,Master[Product_Code],Master[Size])</f>
        <v>28</v>
      </c>
      <c r="K2769" s="8" t="str">
        <f>_xlfn.XLOOKUP(D2769,Master[Product_Code],Master[Color])</f>
        <v>Black</v>
      </c>
      <c r="L2769" s="3">
        <f>_xlfn.XLOOKUP(D2769,Master[Product_Code],Master[Selling_Price])</f>
        <v>870</v>
      </c>
    </row>
    <row r="2770" spans="2:12">
      <c r="B2770" s="2" t="s">
        <v>2914</v>
      </c>
      <c r="C2770" s="7">
        <v>46022</v>
      </c>
      <c r="D2770" s="2" t="s">
        <v>11</v>
      </c>
      <c r="E2770" s="4">
        <v>1</v>
      </c>
      <c r="F2770" s="8" t="str">
        <f>_xlfn.XLOOKUP(D2770,Master[Product_Code],Master[Category])</f>
        <v>Shirt</v>
      </c>
      <c r="G2770" s="8" t="str">
        <f>_xlfn.XLOOKUP(D2770,Master[Product_Code],Master[Brand])</f>
        <v>L7</v>
      </c>
      <c r="H2770" s="8" t="str">
        <f>_xlfn.XLOOKUP(D2770,Master[Product_Code],Master[Style])</f>
        <v>Formal</v>
      </c>
      <c r="I2770" s="8" t="str">
        <f>_xlfn.XLOOKUP(D2770,Master[Product_Code],Master[Fabric])</f>
        <v>Cotton Blend</v>
      </c>
      <c r="J2770" s="8" t="str">
        <f>_xlfn.XLOOKUP(D2770,Master[Product_Code],Master[Size])</f>
        <v>M</v>
      </c>
      <c r="K2770" s="8" t="str">
        <f>_xlfn.XLOOKUP(D2770,Master[Product_Code],Master[Color])</f>
        <v>Charcoal</v>
      </c>
      <c r="L2770" s="3">
        <f>_xlfn.XLOOKUP(D2770,Master[Product_Code],Master[Selling_Price])</f>
        <v>860</v>
      </c>
    </row>
    <row r="2771" spans="2:12">
      <c r="B2771" s="2" t="s">
        <v>2915</v>
      </c>
      <c r="C2771" s="7">
        <v>46022</v>
      </c>
      <c r="D2771" s="2" t="s">
        <v>516</v>
      </c>
      <c r="E2771" s="4">
        <v>1</v>
      </c>
      <c r="F2771" s="8" t="str">
        <f>_xlfn.XLOOKUP(D2771,Master[Product_Code],Master[Category])</f>
        <v>T-Shirt</v>
      </c>
      <c r="G2771" s="8" t="str">
        <f>_xlfn.XLOOKUP(D2771,Master[Product_Code],Master[Brand])</f>
        <v>Thailand</v>
      </c>
      <c r="H2771" s="8" t="str">
        <f>_xlfn.XLOOKUP(D2771,Master[Product_Code],Master[Style])</f>
        <v>Half Sleeve</v>
      </c>
      <c r="I2771" s="8" t="str">
        <f>_xlfn.XLOOKUP(D2771,Master[Product_Code],Master[Fabric])</f>
        <v>Cotton Blend</v>
      </c>
      <c r="J2771" s="8" t="str">
        <f>_xlfn.XLOOKUP(D2771,Master[Product_Code],Master[Size])</f>
        <v>M</v>
      </c>
      <c r="K2771" s="8" t="str">
        <f>_xlfn.XLOOKUP(D2771,Master[Product_Code],Master[Color])</f>
        <v>Peach</v>
      </c>
      <c r="L2771" s="3">
        <f>_xlfn.XLOOKUP(D2771,Master[Product_Code],Master[Selling_Price])</f>
        <v>710</v>
      </c>
    </row>
    <row r="2772" spans="2:12">
      <c r="B2772" s="2" t="s">
        <v>2915</v>
      </c>
      <c r="C2772" s="7">
        <v>46022</v>
      </c>
      <c r="D2772" s="2" t="s">
        <v>327</v>
      </c>
      <c r="E2772" s="4">
        <v>1</v>
      </c>
      <c r="F2772" s="8" t="str">
        <f>_xlfn.XLOOKUP(D2772,Master[Product_Code],Master[Category])</f>
        <v>Shirt</v>
      </c>
      <c r="G2772" s="8" t="str">
        <f>_xlfn.XLOOKUP(D2772,Master[Product_Code],Master[Brand])</f>
        <v>USD</v>
      </c>
      <c r="H2772" s="8" t="str">
        <f>_xlfn.XLOOKUP(D2772,Master[Product_Code],Master[Style])</f>
        <v>Formal</v>
      </c>
      <c r="I2772" s="8" t="str">
        <f>_xlfn.XLOOKUP(D2772,Master[Product_Code],Master[Fabric])</f>
        <v>Cotton Blend</v>
      </c>
      <c r="J2772" s="8" t="str">
        <f>_xlfn.XLOOKUP(D2772,Master[Product_Code],Master[Size])</f>
        <v>M</v>
      </c>
      <c r="K2772" s="8" t="str">
        <f>_xlfn.XLOOKUP(D2772,Master[Product_Code],Master[Color])</f>
        <v>Teal</v>
      </c>
      <c r="L2772" s="3">
        <f>_xlfn.XLOOKUP(D2772,Master[Product_Code],Master[Selling_Price])</f>
        <v>740</v>
      </c>
    </row>
    <row r="2773" spans="2:12">
      <c r="B2773" s="2" t="s">
        <v>2915</v>
      </c>
      <c r="C2773" s="7">
        <v>46022</v>
      </c>
      <c r="D2773" s="2" t="s">
        <v>1449</v>
      </c>
      <c r="E2773" s="4">
        <v>1</v>
      </c>
      <c r="F2773" s="8" t="str">
        <f>_xlfn.XLOOKUP(D2773,Master[Product_Code],Master[Category])</f>
        <v>Pants</v>
      </c>
      <c r="G2773" s="8" t="str">
        <f>_xlfn.XLOOKUP(D2773,Master[Product_Code],Master[Brand])</f>
        <v>Van Heusen</v>
      </c>
      <c r="H2773" s="8" t="str">
        <f>_xlfn.XLOOKUP(D2773,Master[Product_Code],Master[Style])</f>
        <v>Korean</v>
      </c>
      <c r="I2773" s="8" t="str">
        <f>_xlfn.XLOOKUP(D2773,Master[Product_Code],Master[Fabric])</f>
        <v>Lycra</v>
      </c>
      <c r="J2773" s="8">
        <f>_xlfn.XLOOKUP(D2773,Master[Product_Code],Master[Size])</f>
        <v>40</v>
      </c>
      <c r="K2773" s="8" t="str">
        <f>_xlfn.XLOOKUP(D2773,Master[Product_Code],Master[Color])</f>
        <v>Rust</v>
      </c>
      <c r="L2773" s="3">
        <f>_xlfn.XLOOKUP(D2773,Master[Product_Code],Master[Selling_Price])</f>
        <v>700</v>
      </c>
    </row>
    <row r="2774" spans="2:12">
      <c r="B2774" s="2" t="s">
        <v>2916</v>
      </c>
      <c r="C2774" s="7">
        <v>46022</v>
      </c>
      <c r="D2774" s="2" t="s">
        <v>1227</v>
      </c>
      <c r="E2774" s="4">
        <v>1</v>
      </c>
      <c r="F2774" s="8" t="str">
        <f>_xlfn.XLOOKUP(D2774,Master[Product_Code],Master[Category])</f>
        <v>Pants</v>
      </c>
      <c r="G2774" s="8" t="str">
        <f>_xlfn.XLOOKUP(D2774,Master[Product_Code],Master[Brand])</f>
        <v>Raymond</v>
      </c>
      <c r="H2774" s="8" t="str">
        <f>_xlfn.XLOOKUP(D2774,Master[Product_Code],Master[Style])</f>
        <v>Jogger</v>
      </c>
      <c r="I2774" s="8" t="str">
        <f>_xlfn.XLOOKUP(D2774,Master[Product_Code],Master[Fabric])</f>
        <v>Cotton Blend</v>
      </c>
      <c r="J2774" s="8">
        <f>_xlfn.XLOOKUP(D2774,Master[Product_Code],Master[Size])</f>
        <v>42</v>
      </c>
      <c r="K2774" s="8" t="str">
        <f>_xlfn.XLOOKUP(D2774,Master[Product_Code],Master[Color])</f>
        <v>Bottle Green</v>
      </c>
      <c r="L2774" s="3">
        <f>_xlfn.XLOOKUP(D2774,Master[Product_Code],Master[Selling_Price])</f>
        <v>800</v>
      </c>
    </row>
    <row r="2775" spans="2:12">
      <c r="B2775" s="2" t="s">
        <v>2916</v>
      </c>
      <c r="C2775" s="7">
        <v>46022</v>
      </c>
      <c r="D2775" s="2" t="s">
        <v>1632</v>
      </c>
      <c r="E2775" s="4">
        <v>1</v>
      </c>
      <c r="F2775" s="8" t="str">
        <f>_xlfn.XLOOKUP(D2775,Master[Product_Code],Master[Category])</f>
        <v>Innerwear</v>
      </c>
      <c r="G2775" s="8" t="str">
        <f>_xlfn.XLOOKUP(D2775,Master[Product_Code],Master[Brand])</f>
        <v>Dollar</v>
      </c>
      <c r="H2775" s="8" t="str">
        <f>_xlfn.XLOOKUP(D2775,Master[Product_Code],Master[Style])</f>
        <v>V-Cut</v>
      </c>
      <c r="I2775" s="8" t="str">
        <f>_xlfn.XLOOKUP(D2775,Master[Product_Code],Master[Fabric])</f>
        <v>Cotton Blend</v>
      </c>
      <c r="J2775" s="8" t="str">
        <f>_xlfn.XLOOKUP(D2775,Master[Product_Code],Master[Size])</f>
        <v>90-100</v>
      </c>
      <c r="K2775" s="8" t="str">
        <f>_xlfn.XLOOKUP(D2775,Master[Product_Code],Master[Color])</f>
        <v>Beige</v>
      </c>
      <c r="L2775" s="3">
        <f>_xlfn.XLOOKUP(D2775,Master[Product_Code],Master[Selling_Price])</f>
        <v>110</v>
      </c>
    </row>
    <row r="2776" spans="2:12">
      <c r="B2776" s="2" t="s">
        <v>2916</v>
      </c>
      <c r="C2776" s="7">
        <v>46022</v>
      </c>
      <c r="D2776" s="2" t="s">
        <v>174</v>
      </c>
      <c r="E2776" s="4">
        <v>1</v>
      </c>
      <c r="F2776" s="8" t="str">
        <f>_xlfn.XLOOKUP(D2776,Master[Product_Code],Master[Category])</f>
        <v>Shirt</v>
      </c>
      <c r="G2776" s="8" t="str">
        <f>_xlfn.XLOOKUP(D2776,Master[Product_Code],Master[Brand])</f>
        <v>G Studio</v>
      </c>
      <c r="H2776" s="8" t="str">
        <f>_xlfn.XLOOKUP(D2776,Master[Product_Code],Master[Style])</f>
        <v>Casual</v>
      </c>
      <c r="I2776" s="8" t="str">
        <f>_xlfn.XLOOKUP(D2776,Master[Product_Code],Master[Fabric])</f>
        <v>Cotton</v>
      </c>
      <c r="J2776" s="8" t="str">
        <f>_xlfn.XLOOKUP(D2776,Master[Product_Code],Master[Size])</f>
        <v>XXL</v>
      </c>
      <c r="K2776" s="8" t="str">
        <f>_xlfn.XLOOKUP(D2776,Master[Product_Code],Master[Color])</f>
        <v>Charcoal</v>
      </c>
      <c r="L2776" s="3">
        <f>_xlfn.XLOOKUP(D2776,Master[Product_Code],Master[Selling_Price])</f>
        <v>720</v>
      </c>
    </row>
    <row r="2777" spans="2:12">
      <c r="B2777" s="2" t="s">
        <v>2916</v>
      </c>
      <c r="C2777" s="7">
        <v>46022</v>
      </c>
      <c r="D2777" s="2" t="s">
        <v>794</v>
      </c>
      <c r="E2777" s="4">
        <v>1</v>
      </c>
      <c r="F2777" s="8" t="str">
        <f>_xlfn.XLOOKUP(D2777,Master[Product_Code],Master[Category])</f>
        <v>T-Shirt</v>
      </c>
      <c r="G2777" s="8" t="str">
        <f>_xlfn.XLOOKUP(D2777,Master[Product_Code],Master[Brand])</f>
        <v>Max</v>
      </c>
      <c r="H2777" s="8" t="str">
        <f>_xlfn.XLOOKUP(D2777,Master[Product_Code],Master[Style])</f>
        <v>Full Sleeve</v>
      </c>
      <c r="I2777" s="8" t="str">
        <f>_xlfn.XLOOKUP(D2777,Master[Product_Code],Master[Fabric])</f>
        <v>Poly Cotton</v>
      </c>
      <c r="J2777" s="8" t="str">
        <f>_xlfn.XLOOKUP(D2777,Master[Product_Code],Master[Size])</f>
        <v>S</v>
      </c>
      <c r="K2777" s="8" t="str">
        <f>_xlfn.XLOOKUP(D2777,Master[Product_Code],Master[Color])</f>
        <v>Charcoal</v>
      </c>
      <c r="L2777" s="3">
        <f>_xlfn.XLOOKUP(D2777,Master[Product_Code],Master[Selling_Price])</f>
        <v>720</v>
      </c>
    </row>
    <row r="2778" spans="2:12">
      <c r="B2778" s="2" t="s">
        <v>2917</v>
      </c>
      <c r="C2778" s="7">
        <v>46022</v>
      </c>
      <c r="D2778" s="2" t="s">
        <v>842</v>
      </c>
      <c r="E2778" s="4">
        <v>1</v>
      </c>
      <c r="F2778" s="8" t="str">
        <f>_xlfn.XLOOKUP(D2778,Master[Product_Code],Master[Category])</f>
        <v>Jeans</v>
      </c>
      <c r="G2778" s="8" t="str">
        <f>_xlfn.XLOOKUP(D2778,Master[Product_Code],Master[Brand])</f>
        <v>Spykar</v>
      </c>
      <c r="H2778" s="8" t="str">
        <f>_xlfn.XLOOKUP(D2778,Master[Product_Code],Master[Style])</f>
        <v>Baggy</v>
      </c>
      <c r="I2778" s="8" t="str">
        <f>_xlfn.XLOOKUP(D2778,Master[Product_Code],Master[Fabric])</f>
        <v>Denim</v>
      </c>
      <c r="J2778" s="8">
        <f>_xlfn.XLOOKUP(D2778,Master[Product_Code],Master[Size])</f>
        <v>36</v>
      </c>
      <c r="K2778" s="8" t="str">
        <f>_xlfn.XLOOKUP(D2778,Master[Product_Code],Master[Color])</f>
        <v>Beige</v>
      </c>
      <c r="L2778" s="3">
        <f>_xlfn.XLOOKUP(D2778,Master[Product_Code],Master[Selling_Price])</f>
        <v>890</v>
      </c>
    </row>
  </sheetData>
  <protectedRanges>
    <protectedRange sqref="B3:D2777 A2776:A2980 B2778:C2980" name="Manual 1"/>
    <protectedRange sqref="E4:E2777 D2778:D4900" name="Range2"/>
  </protectedRanges>
  <mergeCells count="1">
    <mergeCell ref="C1:G1"/>
  </mergeCells>
  <dataValidations count="3">
    <dataValidation type="whole" allowBlank="1" showInputMessage="1" showErrorMessage="1" sqref="E3:E2777" xr:uid="{576ACA1E-EEE3-4921-A397-F14C2251D559}">
      <formula1>0</formula1>
      <formula2>10</formula2>
    </dataValidation>
    <dataValidation type="date" allowBlank="1" showInputMessage="1" showErrorMessage="1" sqref="C4:C1048576" xr:uid="{E7084009-A1F0-42C1-A585-37ECB4E56575}">
      <formula1>45931</formula1>
      <formula2>46752</formula2>
    </dataValidation>
    <dataValidation type="whole" allowBlank="1" showInputMessage="1" showErrorMessage="1" sqref="L4:L2778" xr:uid="{19512BA7-B60F-4D9A-BDDE-9CA345E2B295}">
      <formula1>50</formula1>
      <formula2>10000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103980-26A7-421A-9B07-D2768C605B85}">
          <x14:formula1>
            <xm:f>Product_Master!$B$4:$B$1660</xm:f>
          </x14:formula1>
          <xm:sqref>E4:E2777 D4:D2947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859D-72F5-4D23-AEEA-51D6A0F56AA0}">
  <dimension ref="A1:M1201"/>
  <sheetViews>
    <sheetView workbookViewId="0">
      <selection activeCell="G10" sqref="G10"/>
    </sheetView>
  </sheetViews>
  <sheetFormatPr defaultColWidth="9.140625" defaultRowHeight="14.25" customHeight="1"/>
  <cols>
    <col min="1" max="1" width="4.42578125" style="2" customWidth="1"/>
    <col min="2" max="2" width="11.42578125" style="2" bestFit="1" customWidth="1"/>
    <col min="3" max="3" width="13.140625" style="2" bestFit="1" customWidth="1"/>
    <col min="4" max="4" width="12.28515625" style="2" bestFit="1" customWidth="1"/>
    <col min="5" max="5" width="14" style="2" bestFit="1" customWidth="1"/>
    <col min="6" max="6" width="11.5703125" style="2" bestFit="1" customWidth="1"/>
    <col min="7" max="7" width="20.7109375" style="2" bestFit="1" customWidth="1"/>
    <col min="8" max="8" width="16.85546875" style="2" bestFit="1" customWidth="1"/>
    <col min="9" max="9" width="18.85546875" style="2" bestFit="1" customWidth="1"/>
    <col min="10" max="11" width="11" style="2" bestFit="1" customWidth="1"/>
    <col min="12" max="12" width="12" style="2" customWidth="1"/>
    <col min="13" max="13" width="4.5703125" style="2" customWidth="1"/>
    <col min="14" max="17" width="7.42578125" style="2" bestFit="1" customWidth="1"/>
    <col min="18" max="18" width="6.7109375" style="2" customWidth="1"/>
    <col min="19" max="1137" width="7.42578125" style="2" bestFit="1" customWidth="1"/>
    <col min="1138" max="1138" width="11.42578125" style="2" bestFit="1" customWidth="1"/>
    <col min="1139" max="16384" width="9.140625" style="2"/>
  </cols>
  <sheetData>
    <row r="1" spans="1:13" ht="82.5" customHeight="1">
      <c r="A1" s="14"/>
      <c r="B1" s="15"/>
      <c r="C1" s="46" t="s">
        <v>2918</v>
      </c>
      <c r="D1" s="46"/>
      <c r="E1" s="46"/>
      <c r="F1" s="46"/>
      <c r="G1" s="46"/>
      <c r="H1" s="1"/>
      <c r="I1" s="15"/>
      <c r="J1" s="15"/>
      <c r="K1" s="15"/>
      <c r="L1" s="15"/>
      <c r="M1" s="14"/>
    </row>
    <row r="3" spans="1:13" ht="15">
      <c r="B3" s="19" t="s">
        <v>1764</v>
      </c>
      <c r="C3" s="19" t="s">
        <v>1765</v>
      </c>
      <c r="D3" s="19" t="s">
        <v>2919</v>
      </c>
      <c r="E3" s="19" t="s">
        <v>2920</v>
      </c>
      <c r="F3" s="33" t="s">
        <v>2921</v>
      </c>
      <c r="G3" s="33" t="s">
        <v>2922</v>
      </c>
      <c r="H3" s="33" t="s">
        <v>2923</v>
      </c>
      <c r="I3" s="33" t="s">
        <v>2924</v>
      </c>
      <c r="J3" s="33" t="s">
        <v>2925</v>
      </c>
      <c r="K3" s="33" t="s">
        <v>2926</v>
      </c>
      <c r="L3" s="33" t="s">
        <v>2927</v>
      </c>
      <c r="M3" s="3"/>
    </row>
    <row r="4" spans="1:13">
      <c r="B4" s="2" t="s">
        <v>1768</v>
      </c>
      <c r="C4" s="9">
        <v>45931</v>
      </c>
      <c r="D4" s="4">
        <v>1</v>
      </c>
      <c r="E4" s="3">
        <v>710</v>
      </c>
      <c r="F4" s="7">
        <f>C4</f>
        <v>45931</v>
      </c>
      <c r="G4" s="3">
        <f>IF(E4&lt;&gt;"", E4*10%, "")</f>
        <v>71</v>
      </c>
      <c r="H4" s="3">
        <f>IF(E4&lt;&gt;"",ROUND(IF(E4&gt;1500,E4*5%,),0),"")</f>
        <v>0</v>
      </c>
      <c r="I4" s="5" t="s">
        <v>2926</v>
      </c>
      <c r="J4" s="3" t="str">
        <f>IF(I4="Cash",L4,"")</f>
        <v/>
      </c>
      <c r="K4" s="3">
        <f>IF(I4="UPI",L4,"")</f>
        <v>639</v>
      </c>
      <c r="L4" s="3">
        <f>IF(E4&lt;&gt;"",E4-G4-H4,"")</f>
        <v>639</v>
      </c>
    </row>
    <row r="5" spans="1:13">
      <c r="B5" s="2" t="s">
        <v>1769</v>
      </c>
      <c r="C5" s="9">
        <v>45931</v>
      </c>
      <c r="D5" s="4">
        <v>2</v>
      </c>
      <c r="E5" s="3">
        <v>1380</v>
      </c>
      <c r="F5" s="7">
        <f t="shared" ref="F5:F68" si="0">C5</f>
        <v>45931</v>
      </c>
      <c r="G5" s="3">
        <f>IF(E5&lt;&gt;"", E5*10%, "")</f>
        <v>138</v>
      </c>
      <c r="H5" s="3">
        <f>IF(E5&lt;&gt;"",ROUND(IF(E5&gt;1500,E5*5%,),0),"")</f>
        <v>0</v>
      </c>
      <c r="I5" s="5" t="s">
        <v>2926</v>
      </c>
      <c r="J5" s="3" t="str">
        <f>IF(I5="Cash",L5,"")</f>
        <v/>
      </c>
      <c r="K5" s="3">
        <f>IF(I5="UPI",L5,"")</f>
        <v>1242</v>
      </c>
      <c r="L5" s="3">
        <f>IF(E5&lt;&gt;"",E5-G5-H5,"")</f>
        <v>1242</v>
      </c>
    </row>
    <row r="6" spans="1:13">
      <c r="B6" s="2" t="s">
        <v>1770</v>
      </c>
      <c r="C6" s="9">
        <v>45931</v>
      </c>
      <c r="D6" s="4">
        <v>4</v>
      </c>
      <c r="E6" s="3">
        <v>2950</v>
      </c>
      <c r="F6" s="7">
        <f t="shared" si="0"/>
        <v>45931</v>
      </c>
      <c r="G6" s="3">
        <f>IF(E6&lt;&gt;"", E6*10%, "")</f>
        <v>295</v>
      </c>
      <c r="H6" s="3">
        <f>IF(E6&lt;&gt;"",ROUND(IF(E6&gt;1500,E6*5%,),0),"")</f>
        <v>148</v>
      </c>
      <c r="I6" s="2" t="s">
        <v>2928</v>
      </c>
      <c r="J6" s="3">
        <v>1100</v>
      </c>
      <c r="K6" s="3">
        <v>1407</v>
      </c>
      <c r="L6" s="3">
        <f>IF(E6&lt;&gt;"",E6-G6-H6,"")</f>
        <v>2507</v>
      </c>
    </row>
    <row r="7" spans="1:13">
      <c r="B7" s="2" t="s">
        <v>1771</v>
      </c>
      <c r="C7" s="9">
        <v>45931</v>
      </c>
      <c r="D7" s="4">
        <v>4</v>
      </c>
      <c r="E7" s="3">
        <v>2890</v>
      </c>
      <c r="F7" s="7">
        <f t="shared" si="0"/>
        <v>45931</v>
      </c>
      <c r="G7" s="3">
        <f>IF(E7&lt;&gt;"", E7*10%, "")</f>
        <v>289</v>
      </c>
      <c r="H7" s="3">
        <f>IF(E7&lt;&gt;"",ROUND(IF(E7&gt;1500,E7*5%,),0),"")</f>
        <v>145</v>
      </c>
      <c r="I7" s="2" t="s">
        <v>2928</v>
      </c>
      <c r="J7" s="10">
        <v>1100</v>
      </c>
      <c r="K7" s="10">
        <v>1356</v>
      </c>
      <c r="L7" s="3">
        <f>IF(E7&lt;&gt;"",E7-G7-H7,"")</f>
        <v>2456</v>
      </c>
    </row>
    <row r="8" spans="1:13">
      <c r="B8" s="2" t="s">
        <v>1772</v>
      </c>
      <c r="C8" s="9">
        <v>45931</v>
      </c>
      <c r="D8" s="4">
        <v>2</v>
      </c>
      <c r="E8" s="3">
        <v>1130</v>
      </c>
      <c r="F8" s="7">
        <f t="shared" si="0"/>
        <v>45931</v>
      </c>
      <c r="G8" s="3">
        <f>IF(E8&lt;&gt;"", E8*10%, "")</f>
        <v>113</v>
      </c>
      <c r="H8" s="3">
        <f>IF(E8&lt;&gt;"",ROUND(IF(E8&gt;1500,E8*5%,),0),"")</f>
        <v>0</v>
      </c>
      <c r="I8" s="2" t="s">
        <v>2926</v>
      </c>
      <c r="J8" s="3" t="str">
        <f>IF(I8="Cash",L8,"")</f>
        <v/>
      </c>
      <c r="K8" s="3">
        <f>IF(I8="UPI",L8,"")</f>
        <v>1017</v>
      </c>
      <c r="L8" s="3">
        <f>IF(E8&lt;&gt;"",E8-G8-H8,"")</f>
        <v>1017</v>
      </c>
    </row>
    <row r="9" spans="1:13">
      <c r="B9" s="2" t="s">
        <v>1773</v>
      </c>
      <c r="C9" s="9">
        <v>45931</v>
      </c>
      <c r="D9" s="4">
        <v>4</v>
      </c>
      <c r="E9" s="3">
        <v>2730</v>
      </c>
      <c r="F9" s="7">
        <f t="shared" si="0"/>
        <v>45931</v>
      </c>
      <c r="G9" s="3">
        <f>IF(E9&lt;&gt;"", E9*10%, "")</f>
        <v>273</v>
      </c>
      <c r="H9" s="3">
        <f>IF(E9&lt;&gt;"",ROUND(IF(E9&gt;1500,E9*5%,),0),"")</f>
        <v>137</v>
      </c>
      <c r="I9" s="2" t="s">
        <v>2925</v>
      </c>
      <c r="J9" s="3">
        <f>IF(I9="Cash",L9,"")</f>
        <v>2320</v>
      </c>
      <c r="K9" s="3" t="str">
        <f>IF(I9="UPI",L9,"")</f>
        <v/>
      </c>
      <c r="L9" s="3">
        <f>IF(E9&lt;&gt;"",E9-G9-H9,"")</f>
        <v>2320</v>
      </c>
    </row>
    <row r="10" spans="1:13">
      <c r="B10" s="2" t="s">
        <v>1774</v>
      </c>
      <c r="C10" s="9">
        <v>45931</v>
      </c>
      <c r="D10" s="4">
        <v>1</v>
      </c>
      <c r="E10" s="3">
        <v>680</v>
      </c>
      <c r="F10" s="7">
        <f t="shared" si="0"/>
        <v>45931</v>
      </c>
      <c r="G10" s="3">
        <f>IF(E10&lt;&gt;"", E10*10%, "")</f>
        <v>68</v>
      </c>
      <c r="H10" s="3">
        <f>IF(E10&lt;&gt;"",ROUND(IF(E10&gt;1500,E10*5%,),0),"")</f>
        <v>0</v>
      </c>
      <c r="I10" s="2" t="s">
        <v>2926</v>
      </c>
      <c r="J10" s="3" t="str">
        <f>IF(I10="Cash",L10,"")</f>
        <v/>
      </c>
      <c r="K10" s="3">
        <f>IF(I10="UPI",L10,"")</f>
        <v>612</v>
      </c>
      <c r="L10" s="3">
        <f>IF(E10&lt;&gt;"",E10-G10-H10,"")</f>
        <v>612</v>
      </c>
    </row>
    <row r="11" spans="1:13">
      <c r="B11" s="2" t="s">
        <v>1775</v>
      </c>
      <c r="C11" s="9">
        <v>45931</v>
      </c>
      <c r="D11" s="4">
        <v>4</v>
      </c>
      <c r="E11" s="3">
        <v>1930</v>
      </c>
      <c r="F11" s="7">
        <f t="shared" si="0"/>
        <v>45931</v>
      </c>
      <c r="G11" s="3">
        <f>IF(E11&lt;&gt;"", E11*10%, "")</f>
        <v>193</v>
      </c>
      <c r="H11" s="3">
        <f>IF(E11&lt;&gt;"",ROUND(IF(E11&gt;1500,E11*5%,),0),"")</f>
        <v>97</v>
      </c>
      <c r="I11" s="2" t="s">
        <v>2925</v>
      </c>
      <c r="J11" s="3">
        <f>IF(I11="Cash",L11,"")</f>
        <v>1640</v>
      </c>
      <c r="K11" s="3" t="str">
        <f>IF(I11="UPI",L11,"")</f>
        <v/>
      </c>
      <c r="L11" s="3">
        <f>IF(E11&lt;&gt;"",E11-G11-H11,"")</f>
        <v>1640</v>
      </c>
    </row>
    <row r="12" spans="1:13">
      <c r="B12" s="2" t="s">
        <v>1776</v>
      </c>
      <c r="C12" s="9">
        <v>45931</v>
      </c>
      <c r="D12" s="4">
        <v>1</v>
      </c>
      <c r="E12" s="3">
        <v>710</v>
      </c>
      <c r="F12" s="7">
        <f t="shared" si="0"/>
        <v>45931</v>
      </c>
      <c r="G12" s="3">
        <f>IF(E12&lt;&gt;"", E12*10%, "")</f>
        <v>71</v>
      </c>
      <c r="H12" s="3">
        <f>IF(E12&lt;&gt;"",ROUND(IF(E12&gt;1500,E12*5%,),0),"")</f>
        <v>0</v>
      </c>
      <c r="I12" s="2" t="s">
        <v>2926</v>
      </c>
      <c r="J12" s="3" t="str">
        <f>IF(I12="Cash",L12,"")</f>
        <v/>
      </c>
      <c r="K12" s="3">
        <f>IF(I12="UPI",L12,"")</f>
        <v>639</v>
      </c>
      <c r="L12" s="3">
        <f>IF(E12&lt;&gt;"",E12-G12-H12,"")</f>
        <v>639</v>
      </c>
    </row>
    <row r="13" spans="1:13">
      <c r="B13" s="2" t="s">
        <v>1777</v>
      </c>
      <c r="C13" s="9">
        <v>45931</v>
      </c>
      <c r="D13" s="4">
        <v>4</v>
      </c>
      <c r="E13" s="3">
        <v>2050</v>
      </c>
      <c r="F13" s="7">
        <f t="shared" si="0"/>
        <v>45931</v>
      </c>
      <c r="G13" s="3">
        <f>IF(E13&lt;&gt;"", E13*10%, "")</f>
        <v>205</v>
      </c>
      <c r="H13" s="3">
        <f>IF(E13&lt;&gt;"",ROUND(IF(E13&gt;1500,E13*5%,),0),"")</f>
        <v>103</v>
      </c>
      <c r="I13" s="2" t="s">
        <v>2925</v>
      </c>
      <c r="J13" s="3">
        <f>IF(I13="Cash",L13,"")</f>
        <v>1742</v>
      </c>
      <c r="K13" s="3" t="str">
        <f>IF(I13="UPI",L13,"")</f>
        <v/>
      </c>
      <c r="L13" s="3">
        <f>IF(E13&lt;&gt;"",E13-G13-H13,"")</f>
        <v>1742</v>
      </c>
    </row>
    <row r="14" spans="1:13">
      <c r="B14" s="2" t="s">
        <v>1778</v>
      </c>
      <c r="C14" s="9">
        <v>45931</v>
      </c>
      <c r="D14" s="4">
        <v>1</v>
      </c>
      <c r="E14" s="3">
        <v>830</v>
      </c>
      <c r="F14" s="7">
        <f t="shared" si="0"/>
        <v>45931</v>
      </c>
      <c r="G14" s="3">
        <f>IF(E14&lt;&gt;"", E14*10%, "")</f>
        <v>83</v>
      </c>
      <c r="H14" s="3">
        <f>IF(E14&lt;&gt;"",ROUND(IF(E14&gt;1500,E14*5%,),0),"")</f>
        <v>0</v>
      </c>
      <c r="I14" s="2" t="s">
        <v>2926</v>
      </c>
      <c r="J14" s="3" t="str">
        <f>IF(I14="Cash",L14,"")</f>
        <v/>
      </c>
      <c r="K14" s="3">
        <f>IF(I14="UPI",L14,"")</f>
        <v>747</v>
      </c>
      <c r="L14" s="3">
        <f>IF(E14&lt;&gt;"",E14-G14-H14,"")</f>
        <v>747</v>
      </c>
    </row>
    <row r="15" spans="1:13">
      <c r="B15" s="2" t="s">
        <v>1779</v>
      </c>
      <c r="C15" s="9">
        <v>45931</v>
      </c>
      <c r="D15" s="4">
        <v>2</v>
      </c>
      <c r="E15" s="3">
        <v>870</v>
      </c>
      <c r="F15" s="7">
        <f t="shared" si="0"/>
        <v>45931</v>
      </c>
      <c r="G15" s="3">
        <f>IF(E15&lt;&gt;"", E15*10%, "")</f>
        <v>87</v>
      </c>
      <c r="H15" s="3">
        <f>IF(E15&lt;&gt;"",ROUND(IF(E15&gt;1500,E15*5%,),0),"")</f>
        <v>0</v>
      </c>
      <c r="I15" s="2" t="s">
        <v>2926</v>
      </c>
      <c r="J15" s="3" t="str">
        <f>IF(I15="Cash",L15,"")</f>
        <v/>
      </c>
      <c r="K15" s="3">
        <f>IF(I15="UPI",L15,"")</f>
        <v>783</v>
      </c>
      <c r="L15" s="3">
        <f>IF(E15&lt;&gt;"",E15-G15-H15,"")</f>
        <v>783</v>
      </c>
    </row>
    <row r="16" spans="1:13">
      <c r="B16" s="2" t="s">
        <v>1780</v>
      </c>
      <c r="C16" s="9">
        <v>45931</v>
      </c>
      <c r="D16" s="4">
        <v>2</v>
      </c>
      <c r="E16" s="3">
        <v>1630</v>
      </c>
      <c r="F16" s="7">
        <f t="shared" si="0"/>
        <v>45931</v>
      </c>
      <c r="G16" s="3">
        <f>IF(E16&lt;&gt;"", E16*10%, "")</f>
        <v>163</v>
      </c>
      <c r="H16" s="3">
        <f>IF(E16&lt;&gt;"",ROUND(IF(E16&gt;1500,E16*5%,),0),"")</f>
        <v>82</v>
      </c>
      <c r="I16" s="2" t="s">
        <v>2926</v>
      </c>
      <c r="J16" s="3" t="str">
        <f>IF(I16="Cash",L16,"")</f>
        <v/>
      </c>
      <c r="K16" s="3">
        <f>IF(I16="UPI",L16,"")</f>
        <v>1385</v>
      </c>
      <c r="L16" s="3">
        <f>IF(E16&lt;&gt;"",E16-G16-H16,"")</f>
        <v>1385</v>
      </c>
    </row>
    <row r="17" spans="2:12">
      <c r="B17" s="2" t="s">
        <v>1781</v>
      </c>
      <c r="C17" s="9">
        <v>45931</v>
      </c>
      <c r="D17" s="4">
        <v>3</v>
      </c>
      <c r="E17" s="3">
        <v>2830</v>
      </c>
      <c r="F17" s="7">
        <f t="shared" si="0"/>
        <v>45931</v>
      </c>
      <c r="G17" s="3">
        <f>IF(E17&lt;&gt;"", E17*10%, "")</f>
        <v>283</v>
      </c>
      <c r="H17" s="3">
        <f>IF(E17&lt;&gt;"",ROUND(IF(E17&gt;1500,E17*5%,),0),"")</f>
        <v>142</v>
      </c>
      <c r="I17" s="2" t="s">
        <v>2928</v>
      </c>
      <c r="J17" s="10">
        <v>700</v>
      </c>
      <c r="K17" s="10">
        <v>1705</v>
      </c>
      <c r="L17" s="3">
        <f>IF(E17&lt;&gt;"",E17-G17-H17,"")</f>
        <v>2405</v>
      </c>
    </row>
    <row r="18" spans="2:12">
      <c r="B18" s="2" t="s">
        <v>1782</v>
      </c>
      <c r="C18" s="9">
        <v>45931</v>
      </c>
      <c r="D18" s="4">
        <v>2</v>
      </c>
      <c r="E18" s="3">
        <v>1710</v>
      </c>
      <c r="F18" s="7">
        <f t="shared" si="0"/>
        <v>45931</v>
      </c>
      <c r="G18" s="3">
        <f>IF(E18&lt;&gt;"", E18*10%, "")</f>
        <v>171</v>
      </c>
      <c r="H18" s="3">
        <f>IF(E18&lt;&gt;"",ROUND(IF(E18&gt;1500,E18*5%,),0),"")</f>
        <v>86</v>
      </c>
      <c r="I18" s="2" t="s">
        <v>2925</v>
      </c>
      <c r="J18" s="3">
        <f>IF(I18="Cash",L18,"")</f>
        <v>1453</v>
      </c>
      <c r="K18" s="3" t="str">
        <f>IF(I18="UPI",L18,"")</f>
        <v/>
      </c>
      <c r="L18" s="3">
        <f>IF(E18&lt;&gt;"",E18-G18-H18,"")</f>
        <v>1453</v>
      </c>
    </row>
    <row r="19" spans="2:12">
      <c r="B19" s="2" t="s">
        <v>1783</v>
      </c>
      <c r="C19" s="9">
        <v>45931</v>
      </c>
      <c r="D19" s="4">
        <v>3</v>
      </c>
      <c r="E19" s="3">
        <v>1920</v>
      </c>
      <c r="F19" s="7">
        <f t="shared" si="0"/>
        <v>45931</v>
      </c>
      <c r="G19" s="3">
        <f>IF(E19&lt;&gt;"", E19*10%, "")</f>
        <v>192</v>
      </c>
      <c r="H19" s="3">
        <f>IF(E19&lt;&gt;"",ROUND(IF(E19&gt;1500,E19*5%,),0),"")</f>
        <v>96</v>
      </c>
      <c r="I19" s="2" t="s">
        <v>2925</v>
      </c>
      <c r="J19" s="3">
        <f>IF(I19="Cash",L19,"")</f>
        <v>1632</v>
      </c>
      <c r="K19" s="3" t="str">
        <f>IF(I19="UPI",L19,"")</f>
        <v/>
      </c>
      <c r="L19" s="3">
        <f>IF(E19&lt;&gt;"",E19-G19-H19,"")</f>
        <v>1632</v>
      </c>
    </row>
    <row r="20" spans="2:12">
      <c r="B20" s="2" t="s">
        <v>1784</v>
      </c>
      <c r="C20" s="9">
        <v>45931</v>
      </c>
      <c r="D20" s="4">
        <v>4</v>
      </c>
      <c r="E20" s="3">
        <v>1680</v>
      </c>
      <c r="F20" s="7">
        <f t="shared" si="0"/>
        <v>45931</v>
      </c>
      <c r="G20" s="3">
        <f>IF(E20&lt;&gt;"", E20*10%, "")</f>
        <v>168</v>
      </c>
      <c r="H20" s="3">
        <f>IF(E20&lt;&gt;"",ROUND(IF(E20&gt;1500,E20*5%,),0),"")</f>
        <v>84</v>
      </c>
      <c r="I20" s="2" t="s">
        <v>2925</v>
      </c>
      <c r="J20" s="3">
        <f>IF(I20="Cash",L20,"")</f>
        <v>1428</v>
      </c>
      <c r="K20" s="3" t="str">
        <f>IF(I20="UPI",L20,"")</f>
        <v/>
      </c>
      <c r="L20" s="3">
        <f>IF(E20&lt;&gt;"",E20-G20-H20,"")</f>
        <v>1428</v>
      </c>
    </row>
    <row r="21" spans="2:12">
      <c r="B21" s="2" t="s">
        <v>1785</v>
      </c>
      <c r="C21" s="9">
        <v>45932</v>
      </c>
      <c r="D21" s="4">
        <v>1</v>
      </c>
      <c r="E21" s="3">
        <v>180</v>
      </c>
      <c r="F21" s="7">
        <f t="shared" si="0"/>
        <v>45932</v>
      </c>
      <c r="G21" s="3">
        <f>IF(E21&lt;&gt;"", E21*10%, "")</f>
        <v>18</v>
      </c>
      <c r="H21" s="3">
        <f>IF(E21&lt;&gt;"",ROUND(IF(E21&gt;1500,E21*5%,),0),"")</f>
        <v>0</v>
      </c>
      <c r="I21" s="2" t="s">
        <v>2926</v>
      </c>
      <c r="J21" s="3" t="str">
        <f>IF(I21="Cash",L21,"")</f>
        <v/>
      </c>
      <c r="K21" s="3">
        <f>IF(I21="UPI",L21,"")</f>
        <v>162</v>
      </c>
      <c r="L21" s="3">
        <f>IF(E21&lt;&gt;"",E21-G21-H21,"")</f>
        <v>162</v>
      </c>
    </row>
    <row r="22" spans="2:12">
      <c r="B22" s="2" t="s">
        <v>1786</v>
      </c>
      <c r="C22" s="9">
        <v>45932</v>
      </c>
      <c r="D22" s="4">
        <v>3</v>
      </c>
      <c r="E22" s="3">
        <v>1690</v>
      </c>
      <c r="F22" s="7">
        <f t="shared" si="0"/>
        <v>45932</v>
      </c>
      <c r="G22" s="3">
        <f>IF(E22&lt;&gt;"", E22*10%, "")</f>
        <v>169</v>
      </c>
      <c r="H22" s="3">
        <f>IF(E22&lt;&gt;"",ROUND(IF(E22&gt;1500,E22*5%,),0),"")</f>
        <v>85</v>
      </c>
      <c r="I22" s="2" t="s">
        <v>2925</v>
      </c>
      <c r="J22" s="3">
        <f>IF(I22="Cash",L22,"")</f>
        <v>1436</v>
      </c>
      <c r="K22" s="3" t="str">
        <f>IF(I22="UPI",L22,"")</f>
        <v/>
      </c>
      <c r="L22" s="3">
        <f>IF(E22&lt;&gt;"",E22-G22-H22,"")</f>
        <v>1436</v>
      </c>
    </row>
    <row r="23" spans="2:12">
      <c r="B23" s="2" t="s">
        <v>1787</v>
      </c>
      <c r="C23" s="9">
        <v>45932</v>
      </c>
      <c r="D23" s="4">
        <v>3</v>
      </c>
      <c r="E23" s="3">
        <v>1570</v>
      </c>
      <c r="F23" s="7">
        <f t="shared" si="0"/>
        <v>45932</v>
      </c>
      <c r="G23" s="3">
        <f>IF(E23&lt;&gt;"", E23*10%, "")</f>
        <v>157</v>
      </c>
      <c r="H23" s="3">
        <f>IF(E23&lt;&gt;"",ROUND(IF(E23&gt;1500,E23*5%,),0),"")</f>
        <v>79</v>
      </c>
      <c r="I23" s="2" t="s">
        <v>2926</v>
      </c>
      <c r="J23" s="3" t="str">
        <f>IF(I23="Cash",L23,"")</f>
        <v/>
      </c>
      <c r="K23" s="3">
        <f>IF(I23="UPI",L23,"")</f>
        <v>1334</v>
      </c>
      <c r="L23" s="3">
        <f>IF(E23&lt;&gt;"",E23-G23-H23,"")</f>
        <v>1334</v>
      </c>
    </row>
    <row r="24" spans="2:12">
      <c r="B24" s="2" t="s">
        <v>1788</v>
      </c>
      <c r="C24" s="9">
        <v>45932</v>
      </c>
      <c r="D24" s="4">
        <v>1</v>
      </c>
      <c r="E24" s="3">
        <v>870</v>
      </c>
      <c r="F24" s="7">
        <f t="shared" si="0"/>
        <v>45932</v>
      </c>
      <c r="G24" s="3">
        <f>IF(E24&lt;&gt;"", E24*10%, "")</f>
        <v>87</v>
      </c>
      <c r="H24" s="3">
        <f>IF(E24&lt;&gt;"",ROUND(IF(E24&gt;1500,E24*5%,),0),"")</f>
        <v>0</v>
      </c>
      <c r="I24" s="2" t="s">
        <v>2926</v>
      </c>
      <c r="J24" s="3" t="str">
        <f>IF(I24="Cash",L24,"")</f>
        <v/>
      </c>
      <c r="K24" s="3">
        <f>IF(I24="UPI",L24,"")</f>
        <v>783</v>
      </c>
      <c r="L24" s="3">
        <f>IF(E24&lt;&gt;"",E24-G24-H24,"")</f>
        <v>783</v>
      </c>
    </row>
    <row r="25" spans="2:12">
      <c r="B25" s="2" t="s">
        <v>1789</v>
      </c>
      <c r="C25" s="9">
        <v>45932</v>
      </c>
      <c r="D25" s="4">
        <v>3</v>
      </c>
      <c r="E25" s="3">
        <v>1730</v>
      </c>
      <c r="F25" s="7">
        <f t="shared" si="0"/>
        <v>45932</v>
      </c>
      <c r="G25" s="3">
        <f>IF(E25&lt;&gt;"", E25*10%, "")</f>
        <v>173</v>
      </c>
      <c r="H25" s="3">
        <f>IF(E25&lt;&gt;"",ROUND(IF(E25&gt;1500,E25*5%,),0),"")</f>
        <v>87</v>
      </c>
      <c r="I25" s="2" t="s">
        <v>2925</v>
      </c>
      <c r="J25" s="3">
        <f>IF(I25="Cash",L25,"")</f>
        <v>1470</v>
      </c>
      <c r="K25" s="3" t="str">
        <f>IF(I25="UPI",L25,"")</f>
        <v/>
      </c>
      <c r="L25" s="3">
        <f>IF(E25&lt;&gt;"",E25-G25-H25,"")</f>
        <v>1470</v>
      </c>
    </row>
    <row r="26" spans="2:12">
      <c r="B26" s="2" t="s">
        <v>1790</v>
      </c>
      <c r="C26" s="9">
        <v>45932</v>
      </c>
      <c r="D26" s="4">
        <v>4</v>
      </c>
      <c r="E26" s="3">
        <v>2630</v>
      </c>
      <c r="F26" s="7">
        <f t="shared" si="0"/>
        <v>45932</v>
      </c>
      <c r="G26" s="3">
        <f>IF(E26&lt;&gt;"", E26*10%, "")</f>
        <v>263</v>
      </c>
      <c r="H26" s="3">
        <f>IF(E26&lt;&gt;"",ROUND(IF(E26&gt;1500,E26*5%,),0),"")</f>
        <v>132</v>
      </c>
      <c r="I26" s="2" t="s">
        <v>2925</v>
      </c>
      <c r="J26" s="3">
        <f>IF(I26="Cash",L26,"")</f>
        <v>2235</v>
      </c>
      <c r="K26" s="3" t="str">
        <f>IF(I26="UPI",L26,"")</f>
        <v/>
      </c>
      <c r="L26" s="3">
        <f>IF(E26&lt;&gt;"",E26-G26-H26,"")</f>
        <v>2235</v>
      </c>
    </row>
    <row r="27" spans="2:12">
      <c r="B27" s="2" t="s">
        <v>1791</v>
      </c>
      <c r="C27" s="9">
        <v>45932</v>
      </c>
      <c r="D27" s="4">
        <v>3</v>
      </c>
      <c r="E27" s="3">
        <v>1410</v>
      </c>
      <c r="F27" s="7">
        <f t="shared" si="0"/>
        <v>45932</v>
      </c>
      <c r="G27" s="3">
        <f>IF(E27&lt;&gt;"", E27*10%, "")</f>
        <v>141</v>
      </c>
      <c r="H27" s="3">
        <f>IF(E27&lt;&gt;"",ROUND(IF(E27&gt;1500,E27*5%,),0),"")</f>
        <v>0</v>
      </c>
      <c r="I27" s="2" t="s">
        <v>2926</v>
      </c>
      <c r="J27" s="3" t="str">
        <f>IF(I27="Cash",L27,"")</f>
        <v/>
      </c>
      <c r="K27" s="3">
        <f>IF(I27="UPI",L27,"")</f>
        <v>1269</v>
      </c>
      <c r="L27" s="3">
        <f>IF(E27&lt;&gt;"",E27-G27-H27,"")</f>
        <v>1269</v>
      </c>
    </row>
    <row r="28" spans="2:12">
      <c r="B28" s="2" t="s">
        <v>1792</v>
      </c>
      <c r="C28" s="9">
        <v>45932</v>
      </c>
      <c r="D28" s="4">
        <v>2</v>
      </c>
      <c r="E28" s="3">
        <v>210</v>
      </c>
      <c r="F28" s="7">
        <f t="shared" si="0"/>
        <v>45932</v>
      </c>
      <c r="G28" s="3">
        <f>IF(E28&lt;&gt;"", E28*10%, "")</f>
        <v>21</v>
      </c>
      <c r="H28" s="3">
        <f>IF(E28&lt;&gt;"",ROUND(IF(E28&gt;1500,E28*5%,),0),"")</f>
        <v>0</v>
      </c>
      <c r="I28" s="2" t="s">
        <v>2926</v>
      </c>
      <c r="J28" s="3" t="str">
        <f>IF(I28="Cash",L28,"")</f>
        <v/>
      </c>
      <c r="K28" s="3">
        <f>IF(I28="UPI",L28,"")</f>
        <v>189</v>
      </c>
      <c r="L28" s="3">
        <f>IF(E28&lt;&gt;"",E28-G28-H28,"")</f>
        <v>189</v>
      </c>
    </row>
    <row r="29" spans="2:12">
      <c r="B29" s="2" t="s">
        <v>1793</v>
      </c>
      <c r="C29" s="9">
        <v>45932</v>
      </c>
      <c r="D29" s="4">
        <v>3</v>
      </c>
      <c r="E29" s="3">
        <v>1780</v>
      </c>
      <c r="F29" s="7">
        <f t="shared" si="0"/>
        <v>45932</v>
      </c>
      <c r="G29" s="3">
        <f>IF(E29&lt;&gt;"", E29*10%, "")</f>
        <v>178</v>
      </c>
      <c r="H29" s="3">
        <f>IF(E29&lt;&gt;"",ROUND(IF(E29&gt;1500,E29*5%,),0),"")</f>
        <v>89</v>
      </c>
      <c r="I29" s="2" t="s">
        <v>2925</v>
      </c>
      <c r="J29" s="3">
        <f>IF(I29="Cash",L29,"")</f>
        <v>1513</v>
      </c>
      <c r="K29" s="3" t="str">
        <f>IF(I29="UPI",L29,"")</f>
        <v/>
      </c>
      <c r="L29" s="3">
        <f>IF(E29&lt;&gt;"",E29-G29-H29,"")</f>
        <v>1513</v>
      </c>
    </row>
    <row r="30" spans="2:12">
      <c r="B30" s="2" t="s">
        <v>1794</v>
      </c>
      <c r="C30" s="9">
        <v>45932</v>
      </c>
      <c r="D30" s="4">
        <v>3</v>
      </c>
      <c r="E30" s="3">
        <v>2490</v>
      </c>
      <c r="F30" s="7">
        <f t="shared" si="0"/>
        <v>45932</v>
      </c>
      <c r="G30" s="3">
        <f>IF(E30&lt;&gt;"", E30*10%, "")</f>
        <v>249</v>
      </c>
      <c r="H30" s="3">
        <f>IF(E30&lt;&gt;"",ROUND(IF(E30&gt;1500,E30*5%,),0),"")</f>
        <v>125</v>
      </c>
      <c r="I30" s="2" t="s">
        <v>2925</v>
      </c>
      <c r="J30" s="3">
        <f>IF(I30="Cash",L30,"")</f>
        <v>2116</v>
      </c>
      <c r="K30" s="3" t="str">
        <f>IF(I30="UPI",L30,"")</f>
        <v/>
      </c>
      <c r="L30" s="3">
        <f>IF(E30&lt;&gt;"",E30-G30-H30,"")</f>
        <v>2116</v>
      </c>
    </row>
    <row r="31" spans="2:12">
      <c r="B31" s="2" t="s">
        <v>1795</v>
      </c>
      <c r="C31" s="9">
        <v>45932</v>
      </c>
      <c r="D31" s="4">
        <v>1</v>
      </c>
      <c r="E31" s="3">
        <v>660</v>
      </c>
      <c r="F31" s="7">
        <f t="shared" si="0"/>
        <v>45932</v>
      </c>
      <c r="G31" s="3">
        <f>IF(E31&lt;&gt;"", E31*10%, "")</f>
        <v>66</v>
      </c>
      <c r="H31" s="3">
        <f>IF(E31&lt;&gt;"",ROUND(IF(E31&gt;1500,E31*5%,),0),"")</f>
        <v>0</v>
      </c>
      <c r="I31" s="2" t="s">
        <v>2926</v>
      </c>
      <c r="J31" s="3" t="str">
        <f>IF(I31="Cash",L31,"")</f>
        <v/>
      </c>
      <c r="K31" s="3">
        <f>IF(I31="UPI",L31,"")</f>
        <v>594</v>
      </c>
      <c r="L31" s="3">
        <f>IF(E31&lt;&gt;"",E31-G31-H31,"")</f>
        <v>594</v>
      </c>
    </row>
    <row r="32" spans="2:12">
      <c r="B32" s="2" t="s">
        <v>1796</v>
      </c>
      <c r="C32" s="9">
        <v>45932</v>
      </c>
      <c r="D32" s="4">
        <v>3</v>
      </c>
      <c r="E32" s="3">
        <v>2160</v>
      </c>
      <c r="F32" s="7">
        <f t="shared" si="0"/>
        <v>45932</v>
      </c>
      <c r="G32" s="3">
        <f>IF(E32&lt;&gt;"", E32*10%, "")</f>
        <v>216</v>
      </c>
      <c r="H32" s="3">
        <f>IF(E32&lt;&gt;"",ROUND(IF(E32&gt;1500,E32*5%,),0),"")</f>
        <v>108</v>
      </c>
      <c r="I32" s="2" t="s">
        <v>2925</v>
      </c>
      <c r="J32" s="3">
        <f>IF(I32="Cash",L32,"")</f>
        <v>1836</v>
      </c>
      <c r="K32" s="3" t="str">
        <f>IF(I32="UPI",L32,"")</f>
        <v/>
      </c>
      <c r="L32" s="3">
        <f>IF(E32&lt;&gt;"",E32-G32-H32,"")</f>
        <v>1836</v>
      </c>
    </row>
    <row r="33" spans="2:12">
      <c r="B33" s="2" t="s">
        <v>1797</v>
      </c>
      <c r="C33" s="9">
        <v>45932</v>
      </c>
      <c r="D33" s="4">
        <v>1</v>
      </c>
      <c r="E33" s="3">
        <v>750</v>
      </c>
      <c r="F33" s="7">
        <f t="shared" si="0"/>
        <v>45932</v>
      </c>
      <c r="G33" s="3">
        <f>IF(E33&lt;&gt;"", E33*10%, "")</f>
        <v>75</v>
      </c>
      <c r="H33" s="3">
        <f>IF(E33&lt;&gt;"",ROUND(IF(E33&gt;1500,E33*5%,),0),"")</f>
        <v>0</v>
      </c>
      <c r="I33" s="2" t="s">
        <v>2926</v>
      </c>
      <c r="J33" s="3" t="str">
        <f>IF(I33="Cash",L33,"")</f>
        <v/>
      </c>
      <c r="K33" s="3">
        <f>IF(I33="UPI",L33,"")</f>
        <v>675</v>
      </c>
      <c r="L33" s="3">
        <f>IF(E33&lt;&gt;"",E33-G33-H33,"")</f>
        <v>675</v>
      </c>
    </row>
    <row r="34" spans="2:12">
      <c r="B34" s="2" t="s">
        <v>1798</v>
      </c>
      <c r="C34" s="9">
        <v>45932</v>
      </c>
      <c r="D34" s="4">
        <v>4</v>
      </c>
      <c r="E34" s="3">
        <v>2900</v>
      </c>
      <c r="F34" s="7">
        <f t="shared" si="0"/>
        <v>45932</v>
      </c>
      <c r="G34" s="3">
        <f>IF(E34&lt;&gt;"", E34*10%, "")</f>
        <v>290</v>
      </c>
      <c r="H34" s="3">
        <f>IF(E34&lt;&gt;"",ROUND(IF(E34&gt;1500,E34*5%,),0),"")</f>
        <v>145</v>
      </c>
      <c r="I34" s="2" t="s">
        <v>2928</v>
      </c>
      <c r="J34" s="10">
        <v>300</v>
      </c>
      <c r="K34" s="10">
        <v>2165</v>
      </c>
      <c r="L34" s="3">
        <f>IF(E34&lt;&gt;"",E34-G34-H34,"")</f>
        <v>2465</v>
      </c>
    </row>
    <row r="35" spans="2:12">
      <c r="B35" s="2" t="s">
        <v>1799</v>
      </c>
      <c r="C35" s="9">
        <v>45932</v>
      </c>
      <c r="D35" s="4">
        <v>4</v>
      </c>
      <c r="E35" s="3">
        <v>2700</v>
      </c>
      <c r="F35" s="7">
        <f t="shared" si="0"/>
        <v>45932</v>
      </c>
      <c r="G35" s="3">
        <f>IF(E35&lt;&gt;"", E35*10%, "")</f>
        <v>270</v>
      </c>
      <c r="H35" s="3">
        <f>IF(E35&lt;&gt;"",ROUND(IF(E35&gt;1500,E35*5%,),0),"")</f>
        <v>135</v>
      </c>
      <c r="I35" s="2" t="s">
        <v>2925</v>
      </c>
      <c r="J35" s="3">
        <f>IF(I35="Cash",L35,"")</f>
        <v>2295</v>
      </c>
      <c r="K35" s="3" t="str">
        <f>IF(I35="UPI",L35,"")</f>
        <v/>
      </c>
      <c r="L35" s="3">
        <f>IF(E35&lt;&gt;"",E35-G35-H35,"")</f>
        <v>2295</v>
      </c>
    </row>
    <row r="36" spans="2:12">
      <c r="B36" s="2" t="s">
        <v>1800</v>
      </c>
      <c r="C36" s="9">
        <v>45933</v>
      </c>
      <c r="D36" s="4">
        <v>4</v>
      </c>
      <c r="E36" s="3">
        <v>1510</v>
      </c>
      <c r="F36" s="7">
        <f t="shared" si="0"/>
        <v>45933</v>
      </c>
      <c r="G36" s="3">
        <f>IF(E36&lt;&gt;"", E36*10%, "")</f>
        <v>151</v>
      </c>
      <c r="H36" s="3">
        <f>IF(E36&lt;&gt;"",ROUND(IF(E36&gt;1500,E36*5%,),0),"")</f>
        <v>76</v>
      </c>
      <c r="I36" s="2" t="s">
        <v>2926</v>
      </c>
      <c r="J36" s="3" t="str">
        <f>IF(I36="Cash",L36,"")</f>
        <v/>
      </c>
      <c r="K36" s="3">
        <f>IF(I36="UPI",L36,"")</f>
        <v>1283</v>
      </c>
      <c r="L36" s="3">
        <f>IF(E36&lt;&gt;"",E36-G36-H36,"")</f>
        <v>1283</v>
      </c>
    </row>
    <row r="37" spans="2:12">
      <c r="B37" s="2" t="s">
        <v>1801</v>
      </c>
      <c r="C37" s="9">
        <v>45933</v>
      </c>
      <c r="D37" s="4">
        <v>3</v>
      </c>
      <c r="E37" s="3">
        <v>1390</v>
      </c>
      <c r="F37" s="7">
        <f t="shared" si="0"/>
        <v>45933</v>
      </c>
      <c r="G37" s="3">
        <f>IF(E37&lt;&gt;"", E37*10%, "")</f>
        <v>139</v>
      </c>
      <c r="H37" s="3">
        <f>IF(E37&lt;&gt;"",ROUND(IF(E37&gt;1500,E37*5%,),0),"")</f>
        <v>0</v>
      </c>
      <c r="I37" s="2" t="s">
        <v>2926</v>
      </c>
      <c r="J37" s="3" t="str">
        <f>IF(I37="Cash",L37,"")</f>
        <v/>
      </c>
      <c r="K37" s="3">
        <f>IF(I37="UPI",L37,"")</f>
        <v>1251</v>
      </c>
      <c r="L37" s="3">
        <f>IF(E37&lt;&gt;"",E37-G37-H37,"")</f>
        <v>1251</v>
      </c>
    </row>
    <row r="38" spans="2:12">
      <c r="B38" s="2" t="s">
        <v>1802</v>
      </c>
      <c r="C38" s="9">
        <v>45933</v>
      </c>
      <c r="D38" s="4">
        <v>1</v>
      </c>
      <c r="E38" s="3">
        <v>140</v>
      </c>
      <c r="F38" s="7">
        <f t="shared" si="0"/>
        <v>45933</v>
      </c>
      <c r="G38" s="3">
        <f>IF(E38&lt;&gt;"", E38*10%, "")</f>
        <v>14</v>
      </c>
      <c r="H38" s="3">
        <f>IF(E38&lt;&gt;"",ROUND(IF(E38&gt;1500,E38*5%,),0),"")</f>
        <v>0</v>
      </c>
      <c r="I38" s="2" t="s">
        <v>2926</v>
      </c>
      <c r="J38" s="3" t="str">
        <f>IF(I38="Cash",L38,"")</f>
        <v/>
      </c>
      <c r="K38" s="3">
        <f>IF(I38="UPI",L38,"")</f>
        <v>126</v>
      </c>
      <c r="L38" s="3">
        <f>IF(E38&lt;&gt;"",E38-G38-H38,"")</f>
        <v>126</v>
      </c>
    </row>
    <row r="39" spans="2:12">
      <c r="B39" s="2" t="s">
        <v>1803</v>
      </c>
      <c r="C39" s="9">
        <v>45933</v>
      </c>
      <c r="D39" s="4">
        <v>3</v>
      </c>
      <c r="E39" s="3">
        <v>2570</v>
      </c>
      <c r="F39" s="7">
        <f t="shared" si="0"/>
        <v>45933</v>
      </c>
      <c r="G39" s="3">
        <f>IF(E39&lt;&gt;"", E39*10%, "")</f>
        <v>257</v>
      </c>
      <c r="H39" s="3">
        <f>IF(E39&lt;&gt;"",ROUND(IF(E39&gt;1500,E39*5%,),0),"")</f>
        <v>129</v>
      </c>
      <c r="I39" s="2" t="s">
        <v>2925</v>
      </c>
      <c r="J39" s="3">
        <f>IF(I39="Cash",L39,"")</f>
        <v>2184</v>
      </c>
      <c r="K39" s="3" t="str">
        <f>IF(I39="UPI",L39,"")</f>
        <v/>
      </c>
      <c r="L39" s="3">
        <f>IF(E39&lt;&gt;"",E39-G39-H39,"")</f>
        <v>2184</v>
      </c>
    </row>
    <row r="40" spans="2:12">
      <c r="B40" s="2" t="s">
        <v>1804</v>
      </c>
      <c r="C40" s="9">
        <v>45933</v>
      </c>
      <c r="D40" s="4">
        <v>2</v>
      </c>
      <c r="E40" s="3">
        <v>750</v>
      </c>
      <c r="F40" s="7">
        <f t="shared" si="0"/>
        <v>45933</v>
      </c>
      <c r="G40" s="3">
        <f>IF(E40&lt;&gt;"", E40*10%, "")</f>
        <v>75</v>
      </c>
      <c r="H40" s="3">
        <f>IF(E40&lt;&gt;"",ROUND(IF(E40&gt;1500,E40*5%,),0),"")</f>
        <v>0</v>
      </c>
      <c r="I40" s="2" t="s">
        <v>2926</v>
      </c>
      <c r="J40" s="3" t="str">
        <f>IF(I40="Cash",L40,"")</f>
        <v/>
      </c>
      <c r="K40" s="3">
        <f>IF(I40="UPI",L40,"")</f>
        <v>675</v>
      </c>
      <c r="L40" s="3">
        <f>IF(E40&lt;&gt;"",E40-G40-H40,"")</f>
        <v>675</v>
      </c>
    </row>
    <row r="41" spans="2:12">
      <c r="B41" s="2" t="s">
        <v>1805</v>
      </c>
      <c r="C41" s="9">
        <v>45933</v>
      </c>
      <c r="D41" s="4">
        <v>3</v>
      </c>
      <c r="E41" s="3">
        <v>2140</v>
      </c>
      <c r="F41" s="7">
        <f t="shared" si="0"/>
        <v>45933</v>
      </c>
      <c r="G41" s="3">
        <f>IF(E41&lt;&gt;"", E41*10%, "")</f>
        <v>214</v>
      </c>
      <c r="H41" s="3">
        <f>IF(E41&lt;&gt;"",ROUND(IF(E41&gt;1500,E41*5%,),0),"")</f>
        <v>107</v>
      </c>
      <c r="I41" s="2" t="s">
        <v>2925</v>
      </c>
      <c r="J41" s="3">
        <f>IF(I41="Cash",L41,"")</f>
        <v>1819</v>
      </c>
      <c r="K41" s="3" t="str">
        <f>IF(I41="UPI",L41,"")</f>
        <v/>
      </c>
      <c r="L41" s="3">
        <f>IF(E41&lt;&gt;"",E41-G41-H41,"")</f>
        <v>1819</v>
      </c>
    </row>
    <row r="42" spans="2:12">
      <c r="B42" s="2" t="s">
        <v>1806</v>
      </c>
      <c r="C42" s="9">
        <v>45933</v>
      </c>
      <c r="D42" s="4">
        <v>3</v>
      </c>
      <c r="E42" s="3">
        <v>1500</v>
      </c>
      <c r="F42" s="7">
        <f t="shared" si="0"/>
        <v>45933</v>
      </c>
      <c r="G42" s="3">
        <f>IF(E42&lt;&gt;"", E42*10%, "")</f>
        <v>150</v>
      </c>
      <c r="H42" s="3">
        <f>IF(E42&lt;&gt;"",ROUND(IF(E42&gt;1500,E42*5%,),0),"")</f>
        <v>0</v>
      </c>
      <c r="I42" s="2" t="s">
        <v>2926</v>
      </c>
      <c r="J42" s="3" t="str">
        <f>IF(I42="Cash",L42,"")</f>
        <v/>
      </c>
      <c r="K42" s="3">
        <f>IF(I42="UPI",L42,"")</f>
        <v>1350</v>
      </c>
      <c r="L42" s="3">
        <f>IF(E42&lt;&gt;"",E42-G42-H42,"")</f>
        <v>1350</v>
      </c>
    </row>
    <row r="43" spans="2:12">
      <c r="B43" s="2" t="s">
        <v>1807</v>
      </c>
      <c r="C43" s="9">
        <v>45933</v>
      </c>
      <c r="D43" s="4">
        <v>3</v>
      </c>
      <c r="E43" s="3">
        <v>1450</v>
      </c>
      <c r="F43" s="7">
        <f t="shared" si="0"/>
        <v>45933</v>
      </c>
      <c r="G43" s="3">
        <f>IF(E43&lt;&gt;"", E43*10%, "")</f>
        <v>145</v>
      </c>
      <c r="H43" s="3">
        <f>IF(E43&lt;&gt;"",ROUND(IF(E43&gt;1500,E43*5%,),0),"")</f>
        <v>0</v>
      </c>
      <c r="I43" s="2" t="s">
        <v>2926</v>
      </c>
      <c r="J43" s="3" t="str">
        <f>IF(I43="Cash",L43,"")</f>
        <v/>
      </c>
      <c r="K43" s="3">
        <f>IF(I43="UPI",L43,"")</f>
        <v>1305</v>
      </c>
      <c r="L43" s="3">
        <f>IF(E43&lt;&gt;"",E43-G43-H43,"")</f>
        <v>1305</v>
      </c>
    </row>
    <row r="44" spans="2:12">
      <c r="B44" s="2" t="s">
        <v>1808</v>
      </c>
      <c r="C44" s="9">
        <v>45933</v>
      </c>
      <c r="D44" s="4">
        <v>1</v>
      </c>
      <c r="E44" s="3">
        <v>810</v>
      </c>
      <c r="F44" s="7">
        <f t="shared" si="0"/>
        <v>45933</v>
      </c>
      <c r="G44" s="3">
        <f>IF(E44&lt;&gt;"", E44*10%, "")</f>
        <v>81</v>
      </c>
      <c r="H44" s="3">
        <f>IF(E44&lt;&gt;"",ROUND(IF(E44&gt;1500,E44*5%,),0),"")</f>
        <v>0</v>
      </c>
      <c r="I44" s="2" t="s">
        <v>2926</v>
      </c>
      <c r="J44" s="3" t="str">
        <f>IF(I44="Cash",L44,"")</f>
        <v/>
      </c>
      <c r="K44" s="3">
        <f>IF(I44="UPI",L44,"")</f>
        <v>729</v>
      </c>
      <c r="L44" s="3">
        <f>IF(E44&lt;&gt;"",E44-G44-H44,"")</f>
        <v>729</v>
      </c>
    </row>
    <row r="45" spans="2:12">
      <c r="B45" s="2" t="s">
        <v>1809</v>
      </c>
      <c r="C45" s="9">
        <v>45933</v>
      </c>
      <c r="D45" s="4">
        <v>4</v>
      </c>
      <c r="E45" s="3">
        <v>1110</v>
      </c>
      <c r="F45" s="7">
        <f t="shared" si="0"/>
        <v>45933</v>
      </c>
      <c r="G45" s="3">
        <f>IF(E45&lt;&gt;"", E45*10%, "")</f>
        <v>111</v>
      </c>
      <c r="H45" s="3">
        <f>IF(E45&lt;&gt;"",ROUND(IF(E45&gt;1500,E45*5%,),0),"")</f>
        <v>0</v>
      </c>
      <c r="I45" s="2" t="s">
        <v>2926</v>
      </c>
      <c r="J45" s="3" t="str">
        <f>IF(I45="Cash",L45,"")</f>
        <v/>
      </c>
      <c r="K45" s="3">
        <f>IF(I45="UPI",L45,"")</f>
        <v>999</v>
      </c>
      <c r="L45" s="3">
        <f>IF(E45&lt;&gt;"",E45-G45-H45,"")</f>
        <v>999</v>
      </c>
    </row>
    <row r="46" spans="2:12">
      <c r="B46" s="2" t="s">
        <v>1810</v>
      </c>
      <c r="C46" s="9">
        <v>45933</v>
      </c>
      <c r="D46" s="4">
        <v>2</v>
      </c>
      <c r="E46" s="3">
        <v>1780</v>
      </c>
      <c r="F46" s="7">
        <f t="shared" si="0"/>
        <v>45933</v>
      </c>
      <c r="G46" s="3">
        <f>IF(E46&lt;&gt;"", E46*10%, "")</f>
        <v>178</v>
      </c>
      <c r="H46" s="3">
        <f>IF(E46&lt;&gt;"",ROUND(IF(E46&gt;1500,E46*5%,),0),"")</f>
        <v>89</v>
      </c>
      <c r="I46" s="2" t="s">
        <v>2925</v>
      </c>
      <c r="J46" s="3">
        <f>IF(I46="Cash",L46,"")</f>
        <v>1513</v>
      </c>
      <c r="K46" s="3" t="str">
        <f>IF(I46="UPI",L46,"")</f>
        <v/>
      </c>
      <c r="L46" s="3">
        <f>IF(E46&lt;&gt;"",E46-G46-H46,"")</f>
        <v>1513</v>
      </c>
    </row>
    <row r="47" spans="2:12">
      <c r="B47" s="2" t="s">
        <v>1811</v>
      </c>
      <c r="C47" s="9">
        <v>45934</v>
      </c>
      <c r="D47" s="4">
        <v>2</v>
      </c>
      <c r="E47" s="3">
        <v>1760</v>
      </c>
      <c r="F47" s="7">
        <f t="shared" si="0"/>
        <v>45934</v>
      </c>
      <c r="G47" s="3">
        <f>IF(E47&lt;&gt;"", E47*10%, "")</f>
        <v>176</v>
      </c>
      <c r="H47" s="3">
        <f>IF(E47&lt;&gt;"",ROUND(IF(E47&gt;1500,E47*5%,),0),"")</f>
        <v>88</v>
      </c>
      <c r="I47" s="2" t="s">
        <v>2925</v>
      </c>
      <c r="J47" s="3">
        <f>IF(I47="Cash",L47,"")</f>
        <v>1496</v>
      </c>
      <c r="K47" s="3" t="str">
        <f>IF(I47="UPI",L47,"")</f>
        <v/>
      </c>
      <c r="L47" s="3">
        <f>IF(E47&lt;&gt;"",E47-G47-H47,"")</f>
        <v>1496</v>
      </c>
    </row>
    <row r="48" spans="2:12">
      <c r="B48" s="2" t="s">
        <v>1812</v>
      </c>
      <c r="C48" s="9">
        <v>45934</v>
      </c>
      <c r="D48" s="4">
        <v>3</v>
      </c>
      <c r="E48" s="3">
        <v>2080</v>
      </c>
      <c r="F48" s="7">
        <f t="shared" si="0"/>
        <v>45934</v>
      </c>
      <c r="G48" s="3">
        <f>IF(E48&lt;&gt;"", E48*10%, "")</f>
        <v>208</v>
      </c>
      <c r="H48" s="3">
        <f>IF(E48&lt;&gt;"",ROUND(IF(E48&gt;1500,E48*5%,),0),"")</f>
        <v>104</v>
      </c>
      <c r="I48" s="2" t="s">
        <v>2925</v>
      </c>
      <c r="J48" s="3">
        <f>IF(I48="Cash",L48,"")</f>
        <v>1768</v>
      </c>
      <c r="K48" s="3" t="str">
        <f>IF(I48="UPI",L48,"")</f>
        <v/>
      </c>
      <c r="L48" s="3">
        <f>IF(E48&lt;&gt;"",E48-G48-H48,"")</f>
        <v>1768</v>
      </c>
    </row>
    <row r="49" spans="2:12">
      <c r="B49" s="2" t="s">
        <v>1813</v>
      </c>
      <c r="C49" s="9">
        <v>45934</v>
      </c>
      <c r="D49" s="4">
        <v>1</v>
      </c>
      <c r="E49" s="3">
        <v>810</v>
      </c>
      <c r="F49" s="7">
        <f t="shared" si="0"/>
        <v>45934</v>
      </c>
      <c r="G49" s="3">
        <f>IF(E49&lt;&gt;"", E49*10%, "")</f>
        <v>81</v>
      </c>
      <c r="H49" s="3">
        <f>IF(E49&lt;&gt;"",ROUND(IF(E49&gt;1500,E49*5%,),0),"")</f>
        <v>0</v>
      </c>
      <c r="I49" s="2" t="s">
        <v>2926</v>
      </c>
      <c r="J49" s="3" t="str">
        <f>IF(I49="Cash",L49,"")</f>
        <v/>
      </c>
      <c r="K49" s="3">
        <f>IF(I49="UPI",L49,"")</f>
        <v>729</v>
      </c>
      <c r="L49" s="3">
        <f>IF(E49&lt;&gt;"",E49-G49-H49,"")</f>
        <v>729</v>
      </c>
    </row>
    <row r="50" spans="2:12">
      <c r="B50" s="2" t="s">
        <v>1814</v>
      </c>
      <c r="C50" s="9">
        <v>45934</v>
      </c>
      <c r="D50" s="4">
        <v>2</v>
      </c>
      <c r="E50" s="3">
        <v>1750</v>
      </c>
      <c r="F50" s="7">
        <f t="shared" si="0"/>
        <v>45934</v>
      </c>
      <c r="G50" s="3">
        <f>IF(E50&lt;&gt;"", E50*10%, "")</f>
        <v>175</v>
      </c>
      <c r="H50" s="3">
        <f>IF(E50&lt;&gt;"",ROUND(IF(E50&gt;1500,E50*5%,),0),"")</f>
        <v>88</v>
      </c>
      <c r="I50" s="2" t="s">
        <v>2925</v>
      </c>
      <c r="J50" s="3">
        <f>IF(I50="Cash",L50,"")</f>
        <v>1487</v>
      </c>
      <c r="K50" s="3" t="str">
        <f>IF(I50="UPI",L50,"")</f>
        <v/>
      </c>
      <c r="L50" s="3">
        <f>IF(E50&lt;&gt;"",E50-G50-H50,"")</f>
        <v>1487</v>
      </c>
    </row>
    <row r="51" spans="2:12">
      <c r="B51" s="2" t="s">
        <v>1815</v>
      </c>
      <c r="C51" s="9">
        <v>45934</v>
      </c>
      <c r="D51" s="4">
        <v>1</v>
      </c>
      <c r="E51" s="3">
        <v>550</v>
      </c>
      <c r="F51" s="7">
        <f t="shared" si="0"/>
        <v>45934</v>
      </c>
      <c r="G51" s="3">
        <f>IF(E51&lt;&gt;"", E51*10%, "")</f>
        <v>55</v>
      </c>
      <c r="H51" s="3">
        <f>IF(E51&lt;&gt;"",ROUND(IF(E51&gt;1500,E51*5%,),0),"")</f>
        <v>0</v>
      </c>
      <c r="I51" s="2" t="s">
        <v>2926</v>
      </c>
      <c r="J51" s="3" t="str">
        <f>IF(I51="Cash",L51,"")</f>
        <v/>
      </c>
      <c r="K51" s="3">
        <f>IF(I51="UPI",L51,"")</f>
        <v>495</v>
      </c>
      <c r="L51" s="3">
        <f>IF(E51&lt;&gt;"",E51-G51-H51,"")</f>
        <v>495</v>
      </c>
    </row>
    <row r="52" spans="2:12">
      <c r="B52" s="2" t="s">
        <v>1816</v>
      </c>
      <c r="C52" s="9">
        <v>45934</v>
      </c>
      <c r="D52" s="4">
        <v>4</v>
      </c>
      <c r="E52" s="3">
        <v>1140</v>
      </c>
      <c r="F52" s="7">
        <f t="shared" si="0"/>
        <v>45934</v>
      </c>
      <c r="G52" s="3">
        <f>IF(E52&lt;&gt;"", E52*10%, "")</f>
        <v>114</v>
      </c>
      <c r="H52" s="3">
        <f>IF(E52&lt;&gt;"",ROUND(IF(E52&gt;1500,E52*5%,),0),"")</f>
        <v>0</v>
      </c>
      <c r="I52" s="2" t="s">
        <v>2926</v>
      </c>
      <c r="J52" s="3" t="str">
        <f>IF(I52="Cash",L52,"")</f>
        <v/>
      </c>
      <c r="K52" s="3">
        <f>IF(I52="UPI",L52,"")</f>
        <v>1026</v>
      </c>
      <c r="L52" s="3">
        <f>IF(E52&lt;&gt;"",E52-G52-H52,"")</f>
        <v>1026</v>
      </c>
    </row>
    <row r="53" spans="2:12">
      <c r="B53" s="2" t="s">
        <v>1817</v>
      </c>
      <c r="C53" s="9">
        <v>45934</v>
      </c>
      <c r="D53" s="4">
        <v>3</v>
      </c>
      <c r="E53" s="3">
        <v>1900</v>
      </c>
      <c r="F53" s="7">
        <f t="shared" si="0"/>
        <v>45934</v>
      </c>
      <c r="G53" s="3">
        <f>IF(E53&lt;&gt;"", E53*10%, "")</f>
        <v>190</v>
      </c>
      <c r="H53" s="3">
        <f>IF(E53&lt;&gt;"",ROUND(IF(E53&gt;1500,E53*5%,),0),"")</f>
        <v>95</v>
      </c>
      <c r="I53" s="2" t="s">
        <v>2925</v>
      </c>
      <c r="J53" s="3">
        <f>IF(I53="Cash",L53,"")</f>
        <v>1615</v>
      </c>
      <c r="K53" s="3" t="str">
        <f>IF(I53="UPI",L53,"")</f>
        <v/>
      </c>
      <c r="L53" s="3">
        <f>IF(E53&lt;&gt;"",E53-G53-H53,"")</f>
        <v>1615</v>
      </c>
    </row>
    <row r="54" spans="2:12">
      <c r="B54" s="2" t="s">
        <v>1818</v>
      </c>
      <c r="C54" s="9">
        <v>45934</v>
      </c>
      <c r="D54" s="4">
        <v>2</v>
      </c>
      <c r="E54" s="3">
        <v>1660</v>
      </c>
      <c r="F54" s="7">
        <f t="shared" si="0"/>
        <v>45934</v>
      </c>
      <c r="G54" s="3">
        <f>IF(E54&lt;&gt;"", E54*10%, "")</f>
        <v>166</v>
      </c>
      <c r="H54" s="3">
        <f>IF(E54&lt;&gt;"",ROUND(IF(E54&gt;1500,E54*5%,),0),"")</f>
        <v>83</v>
      </c>
      <c r="I54" s="2" t="s">
        <v>2926</v>
      </c>
      <c r="J54" s="3" t="str">
        <f>IF(I54="Cash",L54,"")</f>
        <v/>
      </c>
      <c r="K54" s="3">
        <f>IF(I54="UPI",L54,"")</f>
        <v>1411</v>
      </c>
      <c r="L54" s="3">
        <f>IF(E54&lt;&gt;"",E54-G54-H54,"")</f>
        <v>1411</v>
      </c>
    </row>
    <row r="55" spans="2:12">
      <c r="B55" s="2" t="s">
        <v>1819</v>
      </c>
      <c r="C55" s="9">
        <v>45934</v>
      </c>
      <c r="D55" s="4">
        <v>4</v>
      </c>
      <c r="E55" s="3">
        <v>1980</v>
      </c>
      <c r="F55" s="7">
        <f t="shared" si="0"/>
        <v>45934</v>
      </c>
      <c r="G55" s="3">
        <f>IF(E55&lt;&gt;"", E55*10%, "")</f>
        <v>198</v>
      </c>
      <c r="H55" s="3">
        <f>IF(E55&lt;&gt;"",ROUND(IF(E55&gt;1500,E55*5%,),0),"")</f>
        <v>99</v>
      </c>
      <c r="I55" s="2" t="s">
        <v>2925</v>
      </c>
      <c r="J55" s="3">
        <f>IF(I55="Cash",L55,"")</f>
        <v>1683</v>
      </c>
      <c r="K55" s="3" t="str">
        <f>IF(I55="UPI",L55,"")</f>
        <v/>
      </c>
      <c r="L55" s="3">
        <f>IF(E55&lt;&gt;"",E55-G55-H55,"")</f>
        <v>1683</v>
      </c>
    </row>
    <row r="56" spans="2:12">
      <c r="B56" s="2" t="s">
        <v>1820</v>
      </c>
      <c r="C56" s="9">
        <v>45934</v>
      </c>
      <c r="D56" s="4">
        <v>1</v>
      </c>
      <c r="E56" s="3">
        <v>140</v>
      </c>
      <c r="F56" s="7">
        <f t="shared" si="0"/>
        <v>45934</v>
      </c>
      <c r="G56" s="3">
        <f>IF(E56&lt;&gt;"", E56*10%, "")</f>
        <v>14</v>
      </c>
      <c r="H56" s="3">
        <f>IF(E56&lt;&gt;"",ROUND(IF(E56&gt;1500,E56*5%,),0),"")</f>
        <v>0</v>
      </c>
      <c r="I56" s="2" t="s">
        <v>2926</v>
      </c>
      <c r="J56" s="3" t="str">
        <f>IF(I56="Cash",L56,"")</f>
        <v/>
      </c>
      <c r="K56" s="3">
        <f>IF(I56="UPI",L56,"")</f>
        <v>126</v>
      </c>
      <c r="L56" s="3">
        <f>IF(E56&lt;&gt;"",E56-G56-H56,"")</f>
        <v>126</v>
      </c>
    </row>
    <row r="57" spans="2:12">
      <c r="B57" s="2" t="s">
        <v>1821</v>
      </c>
      <c r="C57" s="9">
        <v>45934</v>
      </c>
      <c r="D57" s="4">
        <v>1</v>
      </c>
      <c r="E57" s="3">
        <v>850</v>
      </c>
      <c r="F57" s="7">
        <f t="shared" si="0"/>
        <v>45934</v>
      </c>
      <c r="G57" s="3">
        <f>IF(E57&lt;&gt;"", E57*10%, "")</f>
        <v>85</v>
      </c>
      <c r="H57" s="3">
        <f>IF(E57&lt;&gt;"",ROUND(IF(E57&gt;1500,E57*5%,),0),"")</f>
        <v>0</v>
      </c>
      <c r="I57" s="2" t="s">
        <v>2926</v>
      </c>
      <c r="J57" s="3" t="str">
        <f>IF(I57="Cash",L57,"")</f>
        <v/>
      </c>
      <c r="K57" s="3">
        <f>IF(I57="UPI",L57,"")</f>
        <v>765</v>
      </c>
      <c r="L57" s="3">
        <f>IF(E57&lt;&gt;"",E57-G57-H57,"")</f>
        <v>765</v>
      </c>
    </row>
    <row r="58" spans="2:12">
      <c r="B58" s="2" t="s">
        <v>1822</v>
      </c>
      <c r="C58" s="9">
        <v>45934</v>
      </c>
      <c r="D58" s="4">
        <v>2</v>
      </c>
      <c r="E58" s="3">
        <v>1250</v>
      </c>
      <c r="F58" s="7">
        <f t="shared" si="0"/>
        <v>45934</v>
      </c>
      <c r="G58" s="3">
        <f>IF(E58&lt;&gt;"", E58*10%, "")</f>
        <v>125</v>
      </c>
      <c r="H58" s="3">
        <f>IF(E58&lt;&gt;"",ROUND(IF(E58&gt;1500,E58*5%,),0),"")</f>
        <v>0</v>
      </c>
      <c r="I58" s="2" t="s">
        <v>2926</v>
      </c>
      <c r="J58" s="3" t="str">
        <f>IF(I58="Cash",L58,"")</f>
        <v/>
      </c>
      <c r="K58" s="3">
        <f>IF(I58="UPI",L58,"")</f>
        <v>1125</v>
      </c>
      <c r="L58" s="3">
        <f>IF(E58&lt;&gt;"",E58-G58-H58,"")</f>
        <v>1125</v>
      </c>
    </row>
    <row r="59" spans="2:12">
      <c r="B59" s="2" t="s">
        <v>1823</v>
      </c>
      <c r="C59" s="9">
        <v>45934</v>
      </c>
      <c r="D59" s="4">
        <v>3</v>
      </c>
      <c r="E59" s="3">
        <v>1940</v>
      </c>
      <c r="F59" s="7">
        <f t="shared" si="0"/>
        <v>45934</v>
      </c>
      <c r="G59" s="3">
        <f>IF(E59&lt;&gt;"", E59*10%, "")</f>
        <v>194</v>
      </c>
      <c r="H59" s="3">
        <f>IF(E59&lt;&gt;"",ROUND(IF(E59&gt;1500,E59*5%,),0),"")</f>
        <v>97</v>
      </c>
      <c r="I59" s="2" t="s">
        <v>2925</v>
      </c>
      <c r="J59" s="3">
        <f>IF(I59="Cash",L59,"")</f>
        <v>1649</v>
      </c>
      <c r="K59" s="3" t="str">
        <f>IF(I59="UPI",L59,"")</f>
        <v/>
      </c>
      <c r="L59" s="3">
        <f>IF(E59&lt;&gt;"",E59-G59-H59,"")</f>
        <v>1649</v>
      </c>
    </row>
    <row r="60" spans="2:12">
      <c r="B60" s="2" t="s">
        <v>1824</v>
      </c>
      <c r="C60" s="9">
        <v>45934</v>
      </c>
      <c r="D60" s="4">
        <v>2</v>
      </c>
      <c r="E60" s="3">
        <v>780</v>
      </c>
      <c r="F60" s="7">
        <f t="shared" si="0"/>
        <v>45934</v>
      </c>
      <c r="G60" s="3">
        <f>IF(E60&lt;&gt;"", E60*10%, "")</f>
        <v>78</v>
      </c>
      <c r="H60" s="3">
        <f>IF(E60&lt;&gt;"",ROUND(IF(E60&gt;1500,E60*5%,),0),"")</f>
        <v>0</v>
      </c>
      <c r="I60" s="2" t="s">
        <v>2926</v>
      </c>
      <c r="J60" s="3" t="str">
        <f>IF(I60="Cash",L60,"")</f>
        <v/>
      </c>
      <c r="K60" s="3">
        <f>IF(I60="UPI",L60,"")</f>
        <v>702</v>
      </c>
      <c r="L60" s="3">
        <f>IF(E60&lt;&gt;"",E60-G60-H60,"")</f>
        <v>702</v>
      </c>
    </row>
    <row r="61" spans="2:12">
      <c r="B61" s="2" t="s">
        <v>1825</v>
      </c>
      <c r="C61" s="9">
        <v>45934</v>
      </c>
      <c r="D61" s="4">
        <v>3</v>
      </c>
      <c r="E61" s="3">
        <v>2530</v>
      </c>
      <c r="F61" s="7">
        <f t="shared" si="0"/>
        <v>45934</v>
      </c>
      <c r="G61" s="3">
        <f>IF(E61&lt;&gt;"", E61*10%, "")</f>
        <v>253</v>
      </c>
      <c r="H61" s="3">
        <f>IF(E61&lt;&gt;"",ROUND(IF(E61&gt;1500,E61*5%,),0),"")</f>
        <v>127</v>
      </c>
      <c r="I61" s="2" t="s">
        <v>2925</v>
      </c>
      <c r="J61" s="3">
        <f>IF(I61="Cash",L61,"")</f>
        <v>2150</v>
      </c>
      <c r="K61" s="3" t="str">
        <f>IF(I61="UPI",L61,"")</f>
        <v/>
      </c>
      <c r="L61" s="3">
        <f>IF(E61&lt;&gt;"",E61-G61-H61,"")</f>
        <v>2150</v>
      </c>
    </row>
    <row r="62" spans="2:12">
      <c r="B62" s="2" t="s">
        <v>1826</v>
      </c>
      <c r="C62" s="9">
        <v>45934</v>
      </c>
      <c r="D62" s="4">
        <v>2</v>
      </c>
      <c r="E62" s="3">
        <v>1620</v>
      </c>
      <c r="F62" s="7">
        <f t="shared" si="0"/>
        <v>45934</v>
      </c>
      <c r="G62" s="3">
        <f>IF(E62&lt;&gt;"", E62*10%, "")</f>
        <v>162</v>
      </c>
      <c r="H62" s="3">
        <f>IF(E62&lt;&gt;"",ROUND(IF(E62&gt;1500,E62*5%,),0),"")</f>
        <v>81</v>
      </c>
      <c r="I62" s="2" t="s">
        <v>2926</v>
      </c>
      <c r="J62" s="3" t="str">
        <f>IF(I62="Cash",L62,"")</f>
        <v/>
      </c>
      <c r="K62" s="3">
        <f>IF(I62="UPI",L62,"")</f>
        <v>1377</v>
      </c>
      <c r="L62" s="3">
        <f>IF(E62&lt;&gt;"",E62-G62-H62,"")</f>
        <v>1377</v>
      </c>
    </row>
    <row r="63" spans="2:12">
      <c r="B63" s="2" t="s">
        <v>1827</v>
      </c>
      <c r="C63" s="9">
        <v>45934</v>
      </c>
      <c r="D63" s="4">
        <v>1</v>
      </c>
      <c r="E63" s="3">
        <v>430</v>
      </c>
      <c r="F63" s="7">
        <f t="shared" si="0"/>
        <v>45934</v>
      </c>
      <c r="G63" s="3">
        <f>IF(E63&lt;&gt;"", E63*10%, "")</f>
        <v>43</v>
      </c>
      <c r="H63" s="3">
        <f>IF(E63&lt;&gt;"",ROUND(IF(E63&gt;1500,E63*5%,),0),"")</f>
        <v>0</v>
      </c>
      <c r="I63" s="2" t="s">
        <v>2926</v>
      </c>
      <c r="J63" s="3" t="str">
        <f>IF(I63="Cash",L63,"")</f>
        <v/>
      </c>
      <c r="K63" s="3">
        <f>IF(I63="UPI",L63,"")</f>
        <v>387</v>
      </c>
      <c r="L63" s="3">
        <f>IF(E63&lt;&gt;"",E63-G63-H63,"")</f>
        <v>387</v>
      </c>
    </row>
    <row r="64" spans="2:12">
      <c r="B64" s="2" t="s">
        <v>1828</v>
      </c>
      <c r="C64" s="9">
        <v>45934</v>
      </c>
      <c r="D64" s="4">
        <v>1</v>
      </c>
      <c r="E64" s="3">
        <v>870</v>
      </c>
      <c r="F64" s="7">
        <f t="shared" si="0"/>
        <v>45934</v>
      </c>
      <c r="G64" s="3">
        <f>IF(E64&lt;&gt;"", E64*10%, "")</f>
        <v>87</v>
      </c>
      <c r="H64" s="3">
        <f>IF(E64&lt;&gt;"",ROUND(IF(E64&gt;1500,E64*5%,),0),"")</f>
        <v>0</v>
      </c>
      <c r="I64" s="2" t="s">
        <v>2926</v>
      </c>
      <c r="J64" s="3" t="str">
        <f>IF(I64="Cash",L64,"")</f>
        <v/>
      </c>
      <c r="K64" s="3">
        <f>IF(I64="UPI",L64,"")</f>
        <v>783</v>
      </c>
      <c r="L64" s="3">
        <f>IF(E64&lt;&gt;"",E64-G64-H64,"")</f>
        <v>783</v>
      </c>
    </row>
    <row r="65" spans="2:12">
      <c r="B65" s="2" t="s">
        <v>1829</v>
      </c>
      <c r="C65" s="9">
        <v>45934</v>
      </c>
      <c r="D65" s="4">
        <v>1</v>
      </c>
      <c r="E65" s="3">
        <v>820</v>
      </c>
      <c r="F65" s="7">
        <f t="shared" si="0"/>
        <v>45934</v>
      </c>
      <c r="G65" s="3">
        <f>IF(E65&lt;&gt;"", E65*10%, "")</f>
        <v>82</v>
      </c>
      <c r="H65" s="3">
        <f>IF(E65&lt;&gt;"",ROUND(IF(E65&gt;1500,E65*5%,),0),"")</f>
        <v>0</v>
      </c>
      <c r="I65" s="2" t="s">
        <v>2926</v>
      </c>
      <c r="J65" s="3" t="str">
        <f>IF(I65="Cash",L65,"")</f>
        <v/>
      </c>
      <c r="K65" s="3">
        <f>IF(I65="UPI",L65,"")</f>
        <v>738</v>
      </c>
      <c r="L65" s="3">
        <f>IF(E65&lt;&gt;"",E65-G65-H65,"")</f>
        <v>738</v>
      </c>
    </row>
    <row r="66" spans="2:12">
      <c r="B66" s="2" t="s">
        <v>1830</v>
      </c>
      <c r="C66" s="9">
        <v>45936</v>
      </c>
      <c r="D66" s="4">
        <v>2</v>
      </c>
      <c r="E66" s="3">
        <v>330</v>
      </c>
      <c r="F66" s="7">
        <f t="shared" si="0"/>
        <v>45936</v>
      </c>
      <c r="G66" s="3">
        <f>IF(E66&lt;&gt;"", E66*10%, "")</f>
        <v>33</v>
      </c>
      <c r="H66" s="3">
        <f>IF(E66&lt;&gt;"",ROUND(IF(E66&gt;1500,E66*5%,),0),"")</f>
        <v>0</v>
      </c>
      <c r="I66" s="2" t="s">
        <v>2926</v>
      </c>
      <c r="J66" s="3" t="str">
        <f>IF(I66="Cash",L66,"")</f>
        <v/>
      </c>
      <c r="K66" s="3">
        <f>IF(I66="UPI",L66,"")</f>
        <v>297</v>
      </c>
      <c r="L66" s="3">
        <f>IF(E66&lt;&gt;"",E66-G66-H66,"")</f>
        <v>297</v>
      </c>
    </row>
    <row r="67" spans="2:12">
      <c r="B67" s="2" t="s">
        <v>1831</v>
      </c>
      <c r="C67" s="9">
        <v>45936</v>
      </c>
      <c r="D67" s="4">
        <v>3</v>
      </c>
      <c r="E67" s="3">
        <v>1730</v>
      </c>
      <c r="F67" s="7">
        <f t="shared" si="0"/>
        <v>45936</v>
      </c>
      <c r="G67" s="3">
        <f>IF(E67&lt;&gt;"", E67*10%, "")</f>
        <v>173</v>
      </c>
      <c r="H67" s="3">
        <f>IF(E67&lt;&gt;"",ROUND(IF(E67&gt;1500,E67*5%,),0),"")</f>
        <v>87</v>
      </c>
      <c r="I67" s="2" t="s">
        <v>2925</v>
      </c>
      <c r="J67" s="3">
        <f>IF(I67="Cash",L67,"")</f>
        <v>1470</v>
      </c>
      <c r="K67" s="3" t="str">
        <f>IF(I67="UPI",L67,"")</f>
        <v/>
      </c>
      <c r="L67" s="3">
        <f>IF(E67&lt;&gt;"",E67-G67-H67,"")</f>
        <v>1470</v>
      </c>
    </row>
    <row r="68" spans="2:12">
      <c r="B68" s="2" t="s">
        <v>1832</v>
      </c>
      <c r="C68" s="9">
        <v>45936</v>
      </c>
      <c r="D68" s="4">
        <v>2</v>
      </c>
      <c r="E68" s="3">
        <v>1140</v>
      </c>
      <c r="F68" s="7">
        <f t="shared" si="0"/>
        <v>45936</v>
      </c>
      <c r="G68" s="3">
        <f>IF(E68&lt;&gt;"", E68*10%, "")</f>
        <v>114</v>
      </c>
      <c r="H68" s="3">
        <f>IF(E68&lt;&gt;"",ROUND(IF(E68&gt;1500,E68*5%,),0),"")</f>
        <v>0</v>
      </c>
      <c r="I68" s="2" t="s">
        <v>2926</v>
      </c>
      <c r="J68" s="3" t="str">
        <f>IF(I68="Cash",L68,"")</f>
        <v/>
      </c>
      <c r="K68" s="3">
        <f>IF(I68="UPI",L68,"")</f>
        <v>1026</v>
      </c>
      <c r="L68" s="3">
        <f>IF(E68&lt;&gt;"",E68-G68-H68,"")</f>
        <v>1026</v>
      </c>
    </row>
    <row r="69" spans="2:12">
      <c r="B69" s="2" t="s">
        <v>1833</v>
      </c>
      <c r="C69" s="9">
        <v>45936</v>
      </c>
      <c r="D69" s="4">
        <v>2</v>
      </c>
      <c r="E69" s="3">
        <v>1940</v>
      </c>
      <c r="F69" s="7">
        <f t="shared" ref="F69:F132" si="1">C69</f>
        <v>45936</v>
      </c>
      <c r="G69" s="3">
        <f>IF(E69&lt;&gt;"", E69*10%, "")</f>
        <v>194</v>
      </c>
      <c r="H69" s="3">
        <f>IF(E69&lt;&gt;"",ROUND(IF(E69&gt;1500,E69*5%,),0),"")</f>
        <v>97</v>
      </c>
      <c r="I69" s="2" t="s">
        <v>2925</v>
      </c>
      <c r="J69" s="3">
        <f>IF(I69="Cash",L69,"")</f>
        <v>1649</v>
      </c>
      <c r="K69" s="3" t="str">
        <f>IF(I69="UPI",L69,"")</f>
        <v/>
      </c>
      <c r="L69" s="3">
        <f>IF(E69&lt;&gt;"",E69-G69-H69,"")</f>
        <v>1649</v>
      </c>
    </row>
    <row r="70" spans="2:12">
      <c r="B70" s="2" t="s">
        <v>1834</v>
      </c>
      <c r="C70" s="9">
        <v>45936</v>
      </c>
      <c r="D70" s="4">
        <v>3</v>
      </c>
      <c r="E70" s="3">
        <v>1890</v>
      </c>
      <c r="F70" s="7">
        <f t="shared" si="1"/>
        <v>45936</v>
      </c>
      <c r="G70" s="3">
        <f>IF(E70&lt;&gt;"", E70*10%, "")</f>
        <v>189</v>
      </c>
      <c r="H70" s="3">
        <f>IF(E70&lt;&gt;"",ROUND(IF(E70&gt;1500,E70*5%,),0),"")</f>
        <v>95</v>
      </c>
      <c r="I70" s="2" t="s">
        <v>2925</v>
      </c>
      <c r="J70" s="3">
        <f>IF(I70="Cash",L70,"")</f>
        <v>1606</v>
      </c>
      <c r="K70" s="3" t="str">
        <f>IF(I70="UPI",L70,"")</f>
        <v/>
      </c>
      <c r="L70" s="3">
        <f>IF(E70&lt;&gt;"",E70-G70-H70,"")</f>
        <v>1606</v>
      </c>
    </row>
    <row r="71" spans="2:12">
      <c r="B71" s="2" t="s">
        <v>1835</v>
      </c>
      <c r="C71" s="9">
        <v>45936</v>
      </c>
      <c r="D71" s="4">
        <v>3</v>
      </c>
      <c r="E71" s="3">
        <v>980</v>
      </c>
      <c r="F71" s="7">
        <f t="shared" si="1"/>
        <v>45936</v>
      </c>
      <c r="G71" s="3">
        <f>IF(E71&lt;&gt;"", E71*10%, "")</f>
        <v>98</v>
      </c>
      <c r="H71" s="3">
        <f>IF(E71&lt;&gt;"",ROUND(IF(E71&gt;1500,E71*5%,),0),"")</f>
        <v>0</v>
      </c>
      <c r="I71" s="2" t="s">
        <v>2926</v>
      </c>
      <c r="J71" s="3" t="str">
        <f>IF(I71="Cash",L71,"")</f>
        <v/>
      </c>
      <c r="K71" s="3">
        <f>IF(I71="UPI",L71,"")</f>
        <v>882</v>
      </c>
      <c r="L71" s="3">
        <f>IF(E71&lt;&gt;"",E71-G71-H71,"")</f>
        <v>882</v>
      </c>
    </row>
    <row r="72" spans="2:12">
      <c r="B72" s="2" t="s">
        <v>1836</v>
      </c>
      <c r="C72" s="9">
        <v>45936</v>
      </c>
      <c r="D72" s="4">
        <v>3</v>
      </c>
      <c r="E72" s="3">
        <v>1630</v>
      </c>
      <c r="F72" s="7">
        <f t="shared" si="1"/>
        <v>45936</v>
      </c>
      <c r="G72" s="3">
        <f>IF(E72&lt;&gt;"", E72*10%, "")</f>
        <v>163</v>
      </c>
      <c r="H72" s="3">
        <f>IF(E72&lt;&gt;"",ROUND(IF(E72&gt;1500,E72*5%,),0),"")</f>
        <v>82</v>
      </c>
      <c r="I72" s="2" t="s">
        <v>2926</v>
      </c>
      <c r="J72" s="3" t="str">
        <f>IF(I72="Cash",L72,"")</f>
        <v/>
      </c>
      <c r="K72" s="3">
        <f>IF(I72="UPI",L72,"")</f>
        <v>1385</v>
      </c>
      <c r="L72" s="3">
        <f>IF(E72&lt;&gt;"",E72-G72-H72,"")</f>
        <v>1385</v>
      </c>
    </row>
    <row r="73" spans="2:12">
      <c r="B73" s="2" t="s">
        <v>1837</v>
      </c>
      <c r="C73" s="9">
        <v>45936</v>
      </c>
      <c r="D73" s="4">
        <v>3</v>
      </c>
      <c r="E73" s="3">
        <v>1690</v>
      </c>
      <c r="F73" s="7">
        <f t="shared" si="1"/>
        <v>45936</v>
      </c>
      <c r="G73" s="3">
        <f>IF(E73&lt;&gt;"", E73*10%, "")</f>
        <v>169</v>
      </c>
      <c r="H73" s="3">
        <f>IF(E73&lt;&gt;"",ROUND(IF(E73&gt;1500,E73*5%,),0),"")</f>
        <v>85</v>
      </c>
      <c r="I73" s="2" t="s">
        <v>2925</v>
      </c>
      <c r="J73" s="3">
        <f>IF(I73="Cash",L73,"")</f>
        <v>1436</v>
      </c>
      <c r="K73" s="3" t="str">
        <f>IF(I73="UPI",L73,"")</f>
        <v/>
      </c>
      <c r="L73" s="3">
        <f>IF(E73&lt;&gt;"",E73-G73-H73,"")</f>
        <v>1436</v>
      </c>
    </row>
    <row r="74" spans="2:12">
      <c r="B74" s="2" t="s">
        <v>1838</v>
      </c>
      <c r="C74" s="9">
        <v>45936</v>
      </c>
      <c r="D74" s="4">
        <v>3</v>
      </c>
      <c r="E74" s="3">
        <v>1300</v>
      </c>
      <c r="F74" s="7">
        <f t="shared" si="1"/>
        <v>45936</v>
      </c>
      <c r="G74" s="3">
        <f>IF(E74&lt;&gt;"", E74*10%, "")</f>
        <v>130</v>
      </c>
      <c r="H74" s="3">
        <f>IF(E74&lt;&gt;"",ROUND(IF(E74&gt;1500,E74*5%,),0),"")</f>
        <v>0</v>
      </c>
      <c r="I74" s="2" t="s">
        <v>2926</v>
      </c>
      <c r="J74" s="3" t="str">
        <f>IF(I74="Cash",L74,"")</f>
        <v/>
      </c>
      <c r="K74" s="3">
        <f>IF(I74="UPI",L74,"")</f>
        <v>1170</v>
      </c>
      <c r="L74" s="3">
        <f>IF(E74&lt;&gt;"",E74-G74-H74,"")</f>
        <v>1170</v>
      </c>
    </row>
    <row r="75" spans="2:12">
      <c r="B75" s="2" t="s">
        <v>1839</v>
      </c>
      <c r="C75" s="9">
        <v>45936</v>
      </c>
      <c r="D75" s="4">
        <v>1</v>
      </c>
      <c r="E75" s="3">
        <v>880</v>
      </c>
      <c r="F75" s="7">
        <f t="shared" si="1"/>
        <v>45936</v>
      </c>
      <c r="G75" s="3">
        <f>IF(E75&lt;&gt;"", E75*10%, "")</f>
        <v>88</v>
      </c>
      <c r="H75" s="3">
        <f>IF(E75&lt;&gt;"",ROUND(IF(E75&gt;1500,E75*5%,),0),"")</f>
        <v>0</v>
      </c>
      <c r="I75" s="2" t="s">
        <v>2926</v>
      </c>
      <c r="J75" s="3" t="str">
        <f>IF(I75="Cash",L75,"")</f>
        <v/>
      </c>
      <c r="K75" s="3">
        <f>IF(I75="UPI",L75,"")</f>
        <v>792</v>
      </c>
      <c r="L75" s="3">
        <f>IF(E75&lt;&gt;"",E75-G75-H75,"")</f>
        <v>792</v>
      </c>
    </row>
    <row r="76" spans="2:12">
      <c r="B76" s="2" t="s">
        <v>1840</v>
      </c>
      <c r="C76" s="9">
        <v>45936</v>
      </c>
      <c r="D76" s="4">
        <v>1</v>
      </c>
      <c r="E76" s="3">
        <v>460</v>
      </c>
      <c r="F76" s="7">
        <f t="shared" si="1"/>
        <v>45936</v>
      </c>
      <c r="G76" s="3">
        <f>IF(E76&lt;&gt;"", E76*10%, "")</f>
        <v>46</v>
      </c>
      <c r="H76" s="3">
        <f>IF(E76&lt;&gt;"",ROUND(IF(E76&gt;1500,E76*5%,),0),"")</f>
        <v>0</v>
      </c>
      <c r="I76" s="2" t="s">
        <v>2926</v>
      </c>
      <c r="J76" s="3" t="str">
        <f>IF(I76="Cash",L76,"")</f>
        <v/>
      </c>
      <c r="K76" s="3">
        <f>IF(I76="UPI",L76,"")</f>
        <v>414</v>
      </c>
      <c r="L76" s="3">
        <f>IF(E76&lt;&gt;"",E76-G76-H76,"")</f>
        <v>414</v>
      </c>
    </row>
    <row r="77" spans="2:12">
      <c r="B77" s="2" t="s">
        <v>1841</v>
      </c>
      <c r="C77" s="9">
        <v>45937</v>
      </c>
      <c r="D77" s="4">
        <v>3</v>
      </c>
      <c r="E77" s="3">
        <v>2380</v>
      </c>
      <c r="F77" s="7">
        <f t="shared" si="1"/>
        <v>45937</v>
      </c>
      <c r="G77" s="3">
        <f>IF(E77&lt;&gt;"", E77*10%, "")</f>
        <v>238</v>
      </c>
      <c r="H77" s="3">
        <f>IF(E77&lt;&gt;"",ROUND(IF(E77&gt;1500,E77*5%,),0),"")</f>
        <v>119</v>
      </c>
      <c r="I77" s="2" t="s">
        <v>2925</v>
      </c>
      <c r="J77" s="3">
        <f>IF(I77="Cash",L77,"")</f>
        <v>2023</v>
      </c>
      <c r="K77" s="3" t="str">
        <f>IF(I77="UPI",L77,"")</f>
        <v/>
      </c>
      <c r="L77" s="3">
        <f>IF(E77&lt;&gt;"",E77-G77-H77,"")</f>
        <v>2023</v>
      </c>
    </row>
    <row r="78" spans="2:12">
      <c r="B78" s="2" t="s">
        <v>1842</v>
      </c>
      <c r="C78" s="9">
        <v>45937</v>
      </c>
      <c r="D78" s="4">
        <v>3</v>
      </c>
      <c r="E78" s="3">
        <v>1790</v>
      </c>
      <c r="F78" s="7">
        <f t="shared" si="1"/>
        <v>45937</v>
      </c>
      <c r="G78" s="3">
        <f>IF(E78&lt;&gt;"", E78*10%, "")</f>
        <v>179</v>
      </c>
      <c r="H78" s="3">
        <f>IF(E78&lt;&gt;"",ROUND(IF(E78&gt;1500,E78*5%,),0),"")</f>
        <v>90</v>
      </c>
      <c r="I78" s="2" t="s">
        <v>2925</v>
      </c>
      <c r="J78" s="3">
        <f>IF(I78="Cash",L78,"")</f>
        <v>1521</v>
      </c>
      <c r="K78" s="3" t="str">
        <f>IF(I78="UPI",L78,"")</f>
        <v/>
      </c>
      <c r="L78" s="3">
        <f>IF(E78&lt;&gt;"",E78-G78-H78,"")</f>
        <v>1521</v>
      </c>
    </row>
    <row r="79" spans="2:12">
      <c r="B79" s="2" t="s">
        <v>1843</v>
      </c>
      <c r="C79" s="9">
        <v>45937</v>
      </c>
      <c r="D79" s="4">
        <v>2</v>
      </c>
      <c r="E79" s="3">
        <v>1260</v>
      </c>
      <c r="F79" s="7">
        <f t="shared" si="1"/>
        <v>45937</v>
      </c>
      <c r="G79" s="3">
        <f>IF(E79&lt;&gt;"", E79*10%, "")</f>
        <v>126</v>
      </c>
      <c r="H79" s="3">
        <f>IF(E79&lt;&gt;"",ROUND(IF(E79&gt;1500,E79*5%,),0),"")</f>
        <v>0</v>
      </c>
      <c r="I79" s="2" t="s">
        <v>2926</v>
      </c>
      <c r="J79" s="3" t="str">
        <f>IF(I79="Cash",L79,"")</f>
        <v/>
      </c>
      <c r="K79" s="3">
        <f>IF(I79="UPI",L79,"")</f>
        <v>1134</v>
      </c>
      <c r="L79" s="3">
        <f>IF(E79&lt;&gt;"",E79-G79-H79,"")</f>
        <v>1134</v>
      </c>
    </row>
    <row r="80" spans="2:12">
      <c r="B80" s="2" t="s">
        <v>1844</v>
      </c>
      <c r="C80" s="9">
        <v>45937</v>
      </c>
      <c r="D80" s="4">
        <v>3</v>
      </c>
      <c r="E80" s="3">
        <v>1980</v>
      </c>
      <c r="F80" s="7">
        <f t="shared" si="1"/>
        <v>45937</v>
      </c>
      <c r="G80" s="3">
        <f>IF(E80&lt;&gt;"", E80*10%, "")</f>
        <v>198</v>
      </c>
      <c r="H80" s="3">
        <f>IF(E80&lt;&gt;"",ROUND(IF(E80&gt;1500,E80*5%,),0),"")</f>
        <v>99</v>
      </c>
      <c r="I80" s="2" t="s">
        <v>2925</v>
      </c>
      <c r="J80" s="3">
        <f>IF(I80="Cash",L80,"")</f>
        <v>1683</v>
      </c>
      <c r="K80" s="3" t="str">
        <f>IF(I80="UPI",L80,"")</f>
        <v/>
      </c>
      <c r="L80" s="3">
        <f>IF(E80&lt;&gt;"",E80-G80-H80,"")</f>
        <v>1683</v>
      </c>
    </row>
    <row r="81" spans="2:12">
      <c r="B81" s="2" t="s">
        <v>1845</v>
      </c>
      <c r="C81" s="9">
        <v>45937</v>
      </c>
      <c r="D81" s="4">
        <v>3</v>
      </c>
      <c r="E81" s="3">
        <v>2670</v>
      </c>
      <c r="F81" s="7">
        <f t="shared" si="1"/>
        <v>45937</v>
      </c>
      <c r="G81" s="3">
        <f>IF(E81&lt;&gt;"", E81*10%, "")</f>
        <v>267</v>
      </c>
      <c r="H81" s="3">
        <f>IF(E81&lt;&gt;"",ROUND(IF(E81&gt;1500,E81*5%,),0),"")</f>
        <v>134</v>
      </c>
      <c r="I81" s="2" t="s">
        <v>2925</v>
      </c>
      <c r="J81" s="3">
        <f>IF(I81="Cash",L81,"")</f>
        <v>2269</v>
      </c>
      <c r="K81" s="3" t="str">
        <f>IF(I81="UPI",L81,"")</f>
        <v/>
      </c>
      <c r="L81" s="3">
        <f>IF(E81&lt;&gt;"",E81-G81-H81,"")</f>
        <v>2269</v>
      </c>
    </row>
    <row r="82" spans="2:12">
      <c r="B82" s="2" t="s">
        <v>1846</v>
      </c>
      <c r="C82" s="9">
        <v>45937</v>
      </c>
      <c r="D82" s="4">
        <v>1</v>
      </c>
      <c r="E82" s="3">
        <v>630</v>
      </c>
      <c r="F82" s="7">
        <f t="shared" si="1"/>
        <v>45937</v>
      </c>
      <c r="G82" s="3">
        <f>IF(E82&lt;&gt;"", E82*10%, "")</f>
        <v>63</v>
      </c>
      <c r="H82" s="3">
        <f>IF(E82&lt;&gt;"",ROUND(IF(E82&gt;1500,E82*5%,),0),"")</f>
        <v>0</v>
      </c>
      <c r="I82" s="2" t="s">
        <v>2926</v>
      </c>
      <c r="J82" s="3" t="str">
        <f>IF(I82="Cash",L82,"")</f>
        <v/>
      </c>
      <c r="K82" s="3">
        <f>IF(I82="UPI",L82,"")</f>
        <v>567</v>
      </c>
      <c r="L82" s="3">
        <f>IF(E82&lt;&gt;"",E82-G82-H82,"")</f>
        <v>567</v>
      </c>
    </row>
    <row r="83" spans="2:12">
      <c r="B83" s="2" t="s">
        <v>1847</v>
      </c>
      <c r="C83" s="9">
        <v>45937</v>
      </c>
      <c r="D83" s="4">
        <v>2</v>
      </c>
      <c r="E83" s="3">
        <v>1110</v>
      </c>
      <c r="F83" s="7">
        <f t="shared" si="1"/>
        <v>45937</v>
      </c>
      <c r="G83" s="3">
        <f>IF(E83&lt;&gt;"", E83*10%, "")</f>
        <v>111</v>
      </c>
      <c r="H83" s="3">
        <f>IF(E83&lt;&gt;"",ROUND(IF(E83&gt;1500,E83*5%,),0),"")</f>
        <v>0</v>
      </c>
      <c r="I83" s="2" t="s">
        <v>2926</v>
      </c>
      <c r="J83" s="3" t="str">
        <f>IF(I83="Cash",L83,"")</f>
        <v/>
      </c>
      <c r="K83" s="3">
        <f>IF(I83="UPI",L83,"")</f>
        <v>999</v>
      </c>
      <c r="L83" s="3">
        <f>IF(E83&lt;&gt;"",E83-G83-H83,"")</f>
        <v>999</v>
      </c>
    </row>
    <row r="84" spans="2:12">
      <c r="B84" s="2" t="s">
        <v>1848</v>
      </c>
      <c r="C84" s="9">
        <v>45937</v>
      </c>
      <c r="D84" s="4">
        <v>1</v>
      </c>
      <c r="E84" s="3">
        <v>860</v>
      </c>
      <c r="F84" s="7">
        <f t="shared" si="1"/>
        <v>45937</v>
      </c>
      <c r="G84" s="3">
        <f>IF(E84&lt;&gt;"", E84*10%, "")</f>
        <v>86</v>
      </c>
      <c r="H84" s="3">
        <f>IF(E84&lt;&gt;"",ROUND(IF(E84&gt;1500,E84*5%,),0),"")</f>
        <v>0</v>
      </c>
      <c r="I84" s="2" t="s">
        <v>2926</v>
      </c>
      <c r="J84" s="3" t="str">
        <f>IF(I84="Cash",L84,"")</f>
        <v/>
      </c>
      <c r="K84" s="3">
        <f>IF(I84="UPI",L84,"")</f>
        <v>774</v>
      </c>
      <c r="L84" s="3">
        <f>IF(E84&lt;&gt;"",E84-G84-H84,"")</f>
        <v>774</v>
      </c>
    </row>
    <row r="85" spans="2:12">
      <c r="B85" s="2" t="s">
        <v>1849</v>
      </c>
      <c r="C85" s="9">
        <v>45937</v>
      </c>
      <c r="D85" s="4">
        <v>1</v>
      </c>
      <c r="E85" s="3">
        <v>140</v>
      </c>
      <c r="F85" s="7">
        <f t="shared" si="1"/>
        <v>45937</v>
      </c>
      <c r="G85" s="3">
        <f>IF(E85&lt;&gt;"", E85*10%, "")</f>
        <v>14</v>
      </c>
      <c r="H85" s="3">
        <f>IF(E85&lt;&gt;"",ROUND(IF(E85&gt;1500,E85*5%,),0),"")</f>
        <v>0</v>
      </c>
      <c r="I85" s="2" t="s">
        <v>2926</v>
      </c>
      <c r="J85" s="3" t="str">
        <f>IF(I85="Cash",L85,"")</f>
        <v/>
      </c>
      <c r="K85" s="3">
        <f>IF(I85="UPI",L85,"")</f>
        <v>126</v>
      </c>
      <c r="L85" s="3">
        <f>IF(E85&lt;&gt;"",E85-G85-H85,"")</f>
        <v>126</v>
      </c>
    </row>
    <row r="86" spans="2:12">
      <c r="B86" s="2" t="s">
        <v>1850</v>
      </c>
      <c r="C86" s="9">
        <v>45937</v>
      </c>
      <c r="D86" s="4">
        <v>1</v>
      </c>
      <c r="E86" s="3">
        <v>940</v>
      </c>
      <c r="F86" s="7">
        <f t="shared" si="1"/>
        <v>45937</v>
      </c>
      <c r="G86" s="3">
        <f>IF(E86&lt;&gt;"", E86*10%, "")</f>
        <v>94</v>
      </c>
      <c r="H86" s="3">
        <f>IF(E86&lt;&gt;"",ROUND(IF(E86&gt;1500,E86*5%,),0),"")</f>
        <v>0</v>
      </c>
      <c r="I86" s="2" t="s">
        <v>2926</v>
      </c>
      <c r="J86" s="3" t="str">
        <f>IF(I86="Cash",L86,"")</f>
        <v/>
      </c>
      <c r="K86" s="3">
        <f>IF(I86="UPI",L86,"")</f>
        <v>846</v>
      </c>
      <c r="L86" s="3">
        <f>IF(E86&lt;&gt;"",E86-G86-H86,"")</f>
        <v>846</v>
      </c>
    </row>
    <row r="87" spans="2:12">
      <c r="B87" s="2" t="s">
        <v>1851</v>
      </c>
      <c r="C87" s="9">
        <v>45937</v>
      </c>
      <c r="D87" s="4">
        <v>4</v>
      </c>
      <c r="E87" s="3">
        <v>1890</v>
      </c>
      <c r="F87" s="7">
        <f t="shared" si="1"/>
        <v>45937</v>
      </c>
      <c r="G87" s="3">
        <f>IF(E87&lt;&gt;"", E87*10%, "")</f>
        <v>189</v>
      </c>
      <c r="H87" s="3">
        <f>IF(E87&lt;&gt;"",ROUND(IF(E87&gt;1500,E87*5%,),0),"")</f>
        <v>95</v>
      </c>
      <c r="I87" s="2" t="s">
        <v>2925</v>
      </c>
      <c r="J87" s="3">
        <f>IF(I87="Cash",L87,"")</f>
        <v>1606</v>
      </c>
      <c r="K87" s="3" t="str">
        <f>IF(I87="UPI",L87,"")</f>
        <v/>
      </c>
      <c r="L87" s="3">
        <f>IF(E87&lt;&gt;"",E87-G87-H87,"")</f>
        <v>1606</v>
      </c>
    </row>
    <row r="88" spans="2:12">
      <c r="B88" s="2" t="s">
        <v>1852</v>
      </c>
      <c r="C88" s="9">
        <v>45937</v>
      </c>
      <c r="D88" s="4">
        <v>4</v>
      </c>
      <c r="E88" s="3">
        <v>2730</v>
      </c>
      <c r="F88" s="7">
        <f t="shared" si="1"/>
        <v>45937</v>
      </c>
      <c r="G88" s="3">
        <f>IF(E88&lt;&gt;"", E88*10%, "")</f>
        <v>273</v>
      </c>
      <c r="H88" s="3">
        <f>IF(E88&lt;&gt;"",ROUND(IF(E88&gt;1500,E88*5%,),0),"")</f>
        <v>137</v>
      </c>
      <c r="I88" s="2" t="s">
        <v>2925</v>
      </c>
      <c r="J88" s="3">
        <f>IF(I88="Cash",L88,"")</f>
        <v>2320</v>
      </c>
      <c r="K88" s="3" t="str">
        <f>IF(I88="UPI",L88,"")</f>
        <v/>
      </c>
      <c r="L88" s="3">
        <f>IF(E88&lt;&gt;"",E88-G88-H88,"")</f>
        <v>2320</v>
      </c>
    </row>
    <row r="89" spans="2:12">
      <c r="B89" s="2" t="s">
        <v>1853</v>
      </c>
      <c r="C89" s="9">
        <v>45937</v>
      </c>
      <c r="D89" s="4">
        <v>3</v>
      </c>
      <c r="E89" s="3">
        <v>2060</v>
      </c>
      <c r="F89" s="7">
        <f t="shared" si="1"/>
        <v>45937</v>
      </c>
      <c r="G89" s="3">
        <f>IF(E89&lt;&gt;"", E89*10%, "")</f>
        <v>206</v>
      </c>
      <c r="H89" s="3">
        <f>IF(E89&lt;&gt;"",ROUND(IF(E89&gt;1500,E89*5%,),0),"")</f>
        <v>103</v>
      </c>
      <c r="I89" s="2" t="s">
        <v>2925</v>
      </c>
      <c r="J89" s="3">
        <f>IF(I89="Cash",L89,"")</f>
        <v>1751</v>
      </c>
      <c r="K89" s="3" t="str">
        <f>IF(I89="UPI",L89,"")</f>
        <v/>
      </c>
      <c r="L89" s="3">
        <f>IF(E89&lt;&gt;"",E89-G89-H89,"")</f>
        <v>1751</v>
      </c>
    </row>
    <row r="90" spans="2:12">
      <c r="B90" s="2" t="s">
        <v>1854</v>
      </c>
      <c r="C90" s="9">
        <v>45937</v>
      </c>
      <c r="D90" s="4">
        <v>1</v>
      </c>
      <c r="E90" s="3">
        <v>730</v>
      </c>
      <c r="F90" s="7">
        <f t="shared" si="1"/>
        <v>45937</v>
      </c>
      <c r="G90" s="3">
        <f>IF(E90&lt;&gt;"", E90*10%, "")</f>
        <v>73</v>
      </c>
      <c r="H90" s="3">
        <f>IF(E90&lt;&gt;"",ROUND(IF(E90&gt;1500,E90*5%,),0),"")</f>
        <v>0</v>
      </c>
      <c r="I90" s="2" t="s">
        <v>2926</v>
      </c>
      <c r="J90" s="3" t="str">
        <f>IF(I90="Cash",L90,"")</f>
        <v/>
      </c>
      <c r="K90" s="3">
        <f>IF(I90="UPI",L90,"")</f>
        <v>657</v>
      </c>
      <c r="L90" s="3">
        <f>IF(E90&lt;&gt;"",E90-G90-H90,"")</f>
        <v>657</v>
      </c>
    </row>
    <row r="91" spans="2:12">
      <c r="B91" s="2" t="s">
        <v>1855</v>
      </c>
      <c r="C91" s="9">
        <v>45937</v>
      </c>
      <c r="D91" s="4">
        <v>1</v>
      </c>
      <c r="E91" s="3">
        <v>860</v>
      </c>
      <c r="F91" s="7">
        <f t="shared" si="1"/>
        <v>45937</v>
      </c>
      <c r="G91" s="3">
        <f>IF(E91&lt;&gt;"", E91*10%, "")</f>
        <v>86</v>
      </c>
      <c r="H91" s="3">
        <f>IF(E91&lt;&gt;"",ROUND(IF(E91&gt;1500,E91*5%,),0),"")</f>
        <v>0</v>
      </c>
      <c r="I91" s="2" t="s">
        <v>2926</v>
      </c>
      <c r="J91" s="3" t="str">
        <f>IF(I91="Cash",L91,"")</f>
        <v/>
      </c>
      <c r="K91" s="3">
        <f>IF(I91="UPI",L91,"")</f>
        <v>774</v>
      </c>
      <c r="L91" s="3">
        <f>IF(E91&lt;&gt;"",E91-G91-H91,"")</f>
        <v>774</v>
      </c>
    </row>
    <row r="92" spans="2:12">
      <c r="B92" s="2" t="s">
        <v>1856</v>
      </c>
      <c r="C92" s="9">
        <v>45937</v>
      </c>
      <c r="D92" s="4">
        <v>4</v>
      </c>
      <c r="E92" s="3">
        <v>2850</v>
      </c>
      <c r="F92" s="7">
        <f t="shared" si="1"/>
        <v>45937</v>
      </c>
      <c r="G92" s="3">
        <f>IF(E92&lt;&gt;"", E92*10%, "")</f>
        <v>285</v>
      </c>
      <c r="H92" s="3">
        <f>IF(E92&lt;&gt;"",ROUND(IF(E92&gt;1500,E92*5%,),0),"")</f>
        <v>143</v>
      </c>
      <c r="I92" s="2" t="s">
        <v>2928</v>
      </c>
      <c r="J92" s="10">
        <v>1300</v>
      </c>
      <c r="K92" s="10">
        <v>1122</v>
      </c>
      <c r="L92" s="3">
        <f>IF(E92&lt;&gt;"",E92-G92-H92,"")</f>
        <v>2422</v>
      </c>
    </row>
    <row r="93" spans="2:12">
      <c r="B93" s="2" t="s">
        <v>1857</v>
      </c>
      <c r="C93" s="9">
        <v>45937</v>
      </c>
      <c r="D93" s="4">
        <v>4</v>
      </c>
      <c r="E93" s="3">
        <v>2750</v>
      </c>
      <c r="F93" s="7">
        <f t="shared" si="1"/>
        <v>45937</v>
      </c>
      <c r="G93" s="3">
        <f>IF(E93&lt;&gt;"", E93*10%, "")</f>
        <v>275</v>
      </c>
      <c r="H93" s="3">
        <f>IF(E93&lt;&gt;"",ROUND(IF(E93&gt;1500,E93*5%,),0),"")</f>
        <v>138</v>
      </c>
      <c r="I93" s="2" t="s">
        <v>2925</v>
      </c>
      <c r="J93" s="3">
        <f>IF(I93="Cash",L93,"")</f>
        <v>2337</v>
      </c>
      <c r="K93" s="3" t="str">
        <f>IF(I93="UPI",L93,"")</f>
        <v/>
      </c>
      <c r="L93" s="3">
        <f>IF(E93&lt;&gt;"",E93-G93-H93,"")</f>
        <v>2337</v>
      </c>
    </row>
    <row r="94" spans="2:12">
      <c r="B94" s="2" t="s">
        <v>1858</v>
      </c>
      <c r="C94" s="9">
        <v>45937</v>
      </c>
      <c r="D94" s="4">
        <v>3</v>
      </c>
      <c r="E94" s="3">
        <v>2580</v>
      </c>
      <c r="F94" s="7">
        <f t="shared" si="1"/>
        <v>45937</v>
      </c>
      <c r="G94" s="3">
        <f>IF(E94&lt;&gt;"", E94*10%, "")</f>
        <v>258</v>
      </c>
      <c r="H94" s="3">
        <f>IF(E94&lt;&gt;"",ROUND(IF(E94&gt;1500,E94*5%,),0),"")</f>
        <v>129</v>
      </c>
      <c r="I94" s="2" t="s">
        <v>2925</v>
      </c>
      <c r="J94" s="3">
        <f>IF(I94="Cash",L94,"")</f>
        <v>2193</v>
      </c>
      <c r="K94" s="3" t="str">
        <f>IF(I94="UPI",L94,"")</f>
        <v/>
      </c>
      <c r="L94" s="3">
        <f>IF(E94&lt;&gt;"",E94-G94-H94,"")</f>
        <v>2193</v>
      </c>
    </row>
    <row r="95" spans="2:12">
      <c r="B95" s="2" t="s">
        <v>1859</v>
      </c>
      <c r="C95" s="9">
        <v>45938</v>
      </c>
      <c r="D95" s="4">
        <v>2</v>
      </c>
      <c r="E95" s="3">
        <v>1580</v>
      </c>
      <c r="F95" s="7">
        <f t="shared" si="1"/>
        <v>45938</v>
      </c>
      <c r="G95" s="3">
        <f>IF(E95&lt;&gt;"", E95*10%, "")</f>
        <v>158</v>
      </c>
      <c r="H95" s="3">
        <f>IF(E95&lt;&gt;"",ROUND(IF(E95&gt;1500,E95*5%,),0),"")</f>
        <v>79</v>
      </c>
      <c r="I95" s="2" t="s">
        <v>2926</v>
      </c>
      <c r="J95" s="3" t="str">
        <f>IF(I95="Cash",L95,"")</f>
        <v/>
      </c>
      <c r="K95" s="3">
        <f>IF(I95="UPI",L95,"")</f>
        <v>1343</v>
      </c>
      <c r="L95" s="3">
        <f>IF(E95&lt;&gt;"",E95-G95-H95,"")</f>
        <v>1343</v>
      </c>
    </row>
    <row r="96" spans="2:12">
      <c r="B96" s="2" t="s">
        <v>1860</v>
      </c>
      <c r="C96" s="9">
        <v>45938</v>
      </c>
      <c r="D96" s="4">
        <v>2</v>
      </c>
      <c r="E96" s="3">
        <v>1820</v>
      </c>
      <c r="F96" s="7">
        <f t="shared" si="1"/>
        <v>45938</v>
      </c>
      <c r="G96" s="3">
        <f>IF(E96&lt;&gt;"", E96*10%, "")</f>
        <v>182</v>
      </c>
      <c r="H96" s="3">
        <f>IF(E96&lt;&gt;"",ROUND(IF(E96&gt;1500,E96*5%,),0),"")</f>
        <v>91</v>
      </c>
      <c r="I96" s="2" t="s">
        <v>2925</v>
      </c>
      <c r="J96" s="3">
        <f>IF(I96="Cash",L96,"")</f>
        <v>1547</v>
      </c>
      <c r="K96" s="3" t="str">
        <f>IF(I96="UPI",L96,"")</f>
        <v/>
      </c>
      <c r="L96" s="3">
        <f>IF(E96&lt;&gt;"",E96-G96-H96,"")</f>
        <v>1547</v>
      </c>
    </row>
    <row r="97" spans="2:12">
      <c r="B97" s="2" t="s">
        <v>1861</v>
      </c>
      <c r="C97" s="9">
        <v>45938</v>
      </c>
      <c r="D97" s="4">
        <v>1</v>
      </c>
      <c r="E97" s="3">
        <v>120</v>
      </c>
      <c r="F97" s="7">
        <f t="shared" si="1"/>
        <v>45938</v>
      </c>
      <c r="G97" s="3">
        <f>IF(E97&lt;&gt;"", E97*10%, "")</f>
        <v>12</v>
      </c>
      <c r="H97" s="3">
        <f>IF(E97&lt;&gt;"",ROUND(IF(E97&gt;1500,E97*5%,),0),"")</f>
        <v>0</v>
      </c>
      <c r="I97" s="2" t="s">
        <v>2926</v>
      </c>
      <c r="J97" s="3" t="str">
        <f>IF(I97="Cash",L97,"")</f>
        <v/>
      </c>
      <c r="K97" s="3">
        <f>IF(I97="UPI",L97,"")</f>
        <v>108</v>
      </c>
      <c r="L97" s="3">
        <f>IF(E97&lt;&gt;"",E97-G97-H97,"")</f>
        <v>108</v>
      </c>
    </row>
    <row r="98" spans="2:12">
      <c r="B98" s="2" t="s">
        <v>1862</v>
      </c>
      <c r="C98" s="9">
        <v>45938</v>
      </c>
      <c r="D98" s="4">
        <v>4</v>
      </c>
      <c r="E98" s="3">
        <v>2400</v>
      </c>
      <c r="F98" s="7">
        <f t="shared" si="1"/>
        <v>45938</v>
      </c>
      <c r="G98" s="3">
        <f>IF(E98&lt;&gt;"", E98*10%, "")</f>
        <v>240</v>
      </c>
      <c r="H98" s="3">
        <f>IF(E98&lt;&gt;"",ROUND(IF(E98&gt;1500,E98*5%,),0),"")</f>
        <v>120</v>
      </c>
      <c r="I98" s="2" t="s">
        <v>2925</v>
      </c>
      <c r="J98" s="3">
        <f>IF(I98="Cash",L98,"")</f>
        <v>2040</v>
      </c>
      <c r="K98" s="3" t="str">
        <f>IF(I98="UPI",L98,"")</f>
        <v/>
      </c>
      <c r="L98" s="3">
        <f>IF(E98&lt;&gt;"",E98-G98-H98,"")</f>
        <v>2040</v>
      </c>
    </row>
    <row r="99" spans="2:12">
      <c r="B99" s="2" t="s">
        <v>1863</v>
      </c>
      <c r="C99" s="9">
        <v>45938</v>
      </c>
      <c r="D99" s="4">
        <v>2</v>
      </c>
      <c r="E99" s="3">
        <v>600</v>
      </c>
      <c r="F99" s="7">
        <f t="shared" si="1"/>
        <v>45938</v>
      </c>
      <c r="G99" s="3">
        <f>IF(E99&lt;&gt;"", E99*10%, "")</f>
        <v>60</v>
      </c>
      <c r="H99" s="3">
        <f>IF(E99&lt;&gt;"",ROUND(IF(E99&gt;1500,E99*5%,),0),"")</f>
        <v>0</v>
      </c>
      <c r="I99" s="2" t="s">
        <v>2926</v>
      </c>
      <c r="J99" s="3" t="str">
        <f>IF(I99="Cash",L99,"")</f>
        <v/>
      </c>
      <c r="K99" s="3">
        <f>IF(I99="UPI",L99,"")</f>
        <v>540</v>
      </c>
      <c r="L99" s="3">
        <f>IF(E99&lt;&gt;"",E99-G99-H99,"")</f>
        <v>540</v>
      </c>
    </row>
    <row r="100" spans="2:12">
      <c r="B100" s="2" t="s">
        <v>1864</v>
      </c>
      <c r="C100" s="9">
        <v>45938</v>
      </c>
      <c r="D100" s="4">
        <v>4</v>
      </c>
      <c r="E100" s="3">
        <v>1120</v>
      </c>
      <c r="F100" s="7">
        <f t="shared" si="1"/>
        <v>45938</v>
      </c>
      <c r="G100" s="3">
        <f>IF(E100&lt;&gt;"", E100*10%, "")</f>
        <v>112</v>
      </c>
      <c r="H100" s="3">
        <f>IF(E100&lt;&gt;"",ROUND(IF(E100&gt;1500,E100*5%,),0),"")</f>
        <v>0</v>
      </c>
      <c r="I100" s="2" t="s">
        <v>2926</v>
      </c>
      <c r="J100" s="3" t="str">
        <f>IF(I100="Cash",L100,"")</f>
        <v/>
      </c>
      <c r="K100" s="3">
        <f>IF(I100="UPI",L100,"")</f>
        <v>1008</v>
      </c>
      <c r="L100" s="3">
        <f>IF(E100&lt;&gt;"",E100-G100-H100,"")</f>
        <v>1008</v>
      </c>
    </row>
    <row r="101" spans="2:12">
      <c r="B101" s="2" t="s">
        <v>1865</v>
      </c>
      <c r="C101" s="9">
        <v>45938</v>
      </c>
      <c r="D101" s="4">
        <v>4</v>
      </c>
      <c r="E101" s="3">
        <v>3190</v>
      </c>
      <c r="F101" s="7">
        <f t="shared" si="1"/>
        <v>45938</v>
      </c>
      <c r="G101" s="3">
        <f>IF(E101&lt;&gt;"", E101*10%, "")</f>
        <v>319</v>
      </c>
      <c r="H101" s="3">
        <f>IF(E101&lt;&gt;"",ROUND(IF(E101&gt;1500,E101*5%,),0),"")</f>
        <v>160</v>
      </c>
      <c r="I101" s="2" t="s">
        <v>2928</v>
      </c>
      <c r="J101" s="10">
        <v>1800</v>
      </c>
      <c r="K101" s="10">
        <v>911</v>
      </c>
      <c r="L101" s="3">
        <f>IF(E101&lt;&gt;"",E101-G101-H101,"")</f>
        <v>2711</v>
      </c>
    </row>
    <row r="102" spans="2:12">
      <c r="B102" s="2" t="s">
        <v>1866</v>
      </c>
      <c r="C102" s="9">
        <v>45938</v>
      </c>
      <c r="D102" s="4">
        <v>1</v>
      </c>
      <c r="E102" s="3">
        <v>790</v>
      </c>
      <c r="F102" s="7">
        <f t="shared" si="1"/>
        <v>45938</v>
      </c>
      <c r="G102" s="3">
        <f>IF(E102&lt;&gt;"", E102*10%, "")</f>
        <v>79</v>
      </c>
      <c r="H102" s="3">
        <f>IF(E102&lt;&gt;"",ROUND(IF(E102&gt;1500,E102*5%,),0),"")</f>
        <v>0</v>
      </c>
      <c r="I102" s="2" t="s">
        <v>2926</v>
      </c>
      <c r="J102" s="3" t="str">
        <f>IF(I102="Cash",L102,"")</f>
        <v/>
      </c>
      <c r="K102" s="3">
        <f>IF(I102="UPI",L102,"")</f>
        <v>711</v>
      </c>
      <c r="L102" s="3">
        <f>IF(E102&lt;&gt;"",E102-G102-H102,"")</f>
        <v>711</v>
      </c>
    </row>
    <row r="103" spans="2:12">
      <c r="B103" s="2" t="s">
        <v>1867</v>
      </c>
      <c r="C103" s="9">
        <v>45938</v>
      </c>
      <c r="D103" s="4">
        <v>2</v>
      </c>
      <c r="E103" s="3">
        <v>400</v>
      </c>
      <c r="F103" s="7">
        <f t="shared" si="1"/>
        <v>45938</v>
      </c>
      <c r="G103" s="3">
        <f>IF(E103&lt;&gt;"", E103*10%, "")</f>
        <v>40</v>
      </c>
      <c r="H103" s="3">
        <f>IF(E103&lt;&gt;"",ROUND(IF(E103&gt;1500,E103*5%,),0),"")</f>
        <v>0</v>
      </c>
      <c r="I103" s="2" t="s">
        <v>2926</v>
      </c>
      <c r="J103" s="3" t="str">
        <f>IF(I103="Cash",L103,"")</f>
        <v/>
      </c>
      <c r="K103" s="3">
        <f>IF(I103="UPI",L103,"")</f>
        <v>360</v>
      </c>
      <c r="L103" s="3">
        <f>IF(E103&lt;&gt;"",E103-G103-H103,"")</f>
        <v>360</v>
      </c>
    </row>
    <row r="104" spans="2:12">
      <c r="B104" s="2" t="s">
        <v>1868</v>
      </c>
      <c r="C104" s="9">
        <v>45938</v>
      </c>
      <c r="D104" s="4">
        <v>4</v>
      </c>
      <c r="E104" s="3">
        <v>3350</v>
      </c>
      <c r="F104" s="7">
        <f t="shared" si="1"/>
        <v>45938</v>
      </c>
      <c r="G104" s="3">
        <f>IF(E104&lt;&gt;"", E104*10%, "")</f>
        <v>335</v>
      </c>
      <c r="H104" s="3">
        <f>IF(E104&lt;&gt;"",ROUND(IF(E104&gt;1500,E104*5%,),0),"")</f>
        <v>168</v>
      </c>
      <c r="I104" s="2" t="s">
        <v>2928</v>
      </c>
      <c r="J104" s="10">
        <v>140</v>
      </c>
      <c r="K104" s="10">
        <v>2707</v>
      </c>
      <c r="L104" s="3">
        <f>IF(E104&lt;&gt;"",E104-G104-H104,"")</f>
        <v>2847</v>
      </c>
    </row>
    <row r="105" spans="2:12">
      <c r="B105" s="2" t="s">
        <v>1869</v>
      </c>
      <c r="C105" s="9">
        <v>45938</v>
      </c>
      <c r="D105" s="4">
        <v>1</v>
      </c>
      <c r="E105" s="3">
        <v>720</v>
      </c>
      <c r="F105" s="7">
        <f t="shared" si="1"/>
        <v>45938</v>
      </c>
      <c r="G105" s="3">
        <f>IF(E105&lt;&gt;"", E105*10%, "")</f>
        <v>72</v>
      </c>
      <c r="H105" s="3">
        <f>IF(E105&lt;&gt;"",ROUND(IF(E105&gt;1500,E105*5%,),0),"")</f>
        <v>0</v>
      </c>
      <c r="I105" s="2" t="s">
        <v>2926</v>
      </c>
      <c r="J105" s="3" t="str">
        <f>IF(I105="Cash",L105,"")</f>
        <v/>
      </c>
      <c r="K105" s="3">
        <f>IF(I105="UPI",L105,"")</f>
        <v>648</v>
      </c>
      <c r="L105" s="3">
        <f>IF(E105&lt;&gt;"",E105-G105-H105,"")</f>
        <v>648</v>
      </c>
    </row>
    <row r="106" spans="2:12">
      <c r="B106" s="2" t="s">
        <v>1870</v>
      </c>
      <c r="C106" s="9">
        <v>45938</v>
      </c>
      <c r="D106" s="4">
        <v>1</v>
      </c>
      <c r="E106" s="3">
        <v>980</v>
      </c>
      <c r="F106" s="7">
        <f t="shared" si="1"/>
        <v>45938</v>
      </c>
      <c r="G106" s="3">
        <f>IF(E106&lt;&gt;"", E106*10%, "")</f>
        <v>98</v>
      </c>
      <c r="H106" s="3">
        <f>IF(E106&lt;&gt;"",ROUND(IF(E106&gt;1500,E106*5%,),0),"")</f>
        <v>0</v>
      </c>
      <c r="I106" s="2" t="s">
        <v>2926</v>
      </c>
      <c r="J106" s="3" t="str">
        <f>IF(I106="Cash",L106,"")</f>
        <v/>
      </c>
      <c r="K106" s="3">
        <f>IF(I106="UPI",L106,"")</f>
        <v>882</v>
      </c>
      <c r="L106" s="3">
        <f>IF(E106&lt;&gt;"",E106-G106-H106,"")</f>
        <v>882</v>
      </c>
    </row>
    <row r="107" spans="2:12">
      <c r="B107" s="2" t="s">
        <v>1871</v>
      </c>
      <c r="C107" s="9">
        <v>45938</v>
      </c>
      <c r="D107" s="4">
        <v>3</v>
      </c>
      <c r="E107" s="3">
        <v>1620</v>
      </c>
      <c r="F107" s="7">
        <f t="shared" si="1"/>
        <v>45938</v>
      </c>
      <c r="G107" s="3">
        <f>IF(E107&lt;&gt;"", E107*10%, "")</f>
        <v>162</v>
      </c>
      <c r="H107" s="3">
        <f>IF(E107&lt;&gt;"",ROUND(IF(E107&gt;1500,E107*5%,),0),"")</f>
        <v>81</v>
      </c>
      <c r="I107" s="2" t="s">
        <v>2926</v>
      </c>
      <c r="J107" s="3" t="str">
        <f>IF(I107="Cash",L107,"")</f>
        <v/>
      </c>
      <c r="K107" s="3">
        <f>IF(I107="UPI",L107,"")</f>
        <v>1377</v>
      </c>
      <c r="L107" s="3">
        <f>IF(E107&lt;&gt;"",E107-G107-H107,"")</f>
        <v>1377</v>
      </c>
    </row>
    <row r="108" spans="2:12">
      <c r="B108" s="2" t="s">
        <v>1872</v>
      </c>
      <c r="C108" s="9">
        <v>45938</v>
      </c>
      <c r="D108" s="4">
        <v>3</v>
      </c>
      <c r="E108" s="3">
        <v>1210</v>
      </c>
      <c r="F108" s="7">
        <f t="shared" si="1"/>
        <v>45938</v>
      </c>
      <c r="G108" s="3">
        <f>IF(E108&lt;&gt;"", E108*10%, "")</f>
        <v>121</v>
      </c>
      <c r="H108" s="3">
        <f>IF(E108&lt;&gt;"",ROUND(IF(E108&gt;1500,E108*5%,),0),"")</f>
        <v>0</v>
      </c>
      <c r="I108" s="2" t="s">
        <v>2926</v>
      </c>
      <c r="J108" s="3" t="str">
        <f>IF(I108="Cash",L108,"")</f>
        <v/>
      </c>
      <c r="K108" s="3">
        <f>IF(I108="UPI",L108,"")</f>
        <v>1089</v>
      </c>
      <c r="L108" s="3">
        <f>IF(E108&lt;&gt;"",E108-G108-H108,"")</f>
        <v>1089</v>
      </c>
    </row>
    <row r="109" spans="2:12">
      <c r="B109" s="2" t="s">
        <v>1873</v>
      </c>
      <c r="C109" s="9">
        <v>45938</v>
      </c>
      <c r="D109" s="4">
        <v>1</v>
      </c>
      <c r="E109" s="3">
        <v>620</v>
      </c>
      <c r="F109" s="7">
        <f t="shared" si="1"/>
        <v>45938</v>
      </c>
      <c r="G109" s="3">
        <f>IF(E109&lt;&gt;"", E109*10%, "")</f>
        <v>62</v>
      </c>
      <c r="H109" s="3">
        <f>IF(E109&lt;&gt;"",ROUND(IF(E109&gt;1500,E109*5%,),0),"")</f>
        <v>0</v>
      </c>
      <c r="I109" s="2" t="s">
        <v>2926</v>
      </c>
      <c r="J109" s="3" t="str">
        <f>IF(I109="Cash",L109,"")</f>
        <v/>
      </c>
      <c r="K109" s="3">
        <f>IF(I109="UPI",L109,"")</f>
        <v>558</v>
      </c>
      <c r="L109" s="3">
        <f>IF(E109&lt;&gt;"",E109-G109-H109,"")</f>
        <v>558</v>
      </c>
    </row>
    <row r="110" spans="2:12">
      <c r="B110" s="2" t="s">
        <v>1874</v>
      </c>
      <c r="C110" s="9">
        <v>45938</v>
      </c>
      <c r="D110" s="4">
        <v>2</v>
      </c>
      <c r="E110" s="3">
        <v>1890</v>
      </c>
      <c r="F110" s="7">
        <f t="shared" si="1"/>
        <v>45938</v>
      </c>
      <c r="G110" s="3">
        <f>IF(E110&lt;&gt;"", E110*10%, "")</f>
        <v>189</v>
      </c>
      <c r="H110" s="3">
        <f>IF(E110&lt;&gt;"",ROUND(IF(E110&gt;1500,E110*5%,),0),"")</f>
        <v>95</v>
      </c>
      <c r="I110" s="2" t="s">
        <v>2925</v>
      </c>
      <c r="J110" s="3">
        <f>IF(I110="Cash",L110,"")</f>
        <v>1606</v>
      </c>
      <c r="K110" s="3" t="str">
        <f>IF(I110="UPI",L110,"")</f>
        <v/>
      </c>
      <c r="L110" s="3">
        <f>IF(E110&lt;&gt;"",E110-G110-H110,"")</f>
        <v>1606</v>
      </c>
    </row>
    <row r="111" spans="2:12">
      <c r="B111" s="2" t="s">
        <v>1875</v>
      </c>
      <c r="C111" s="9">
        <v>45939</v>
      </c>
      <c r="D111" s="4">
        <v>2</v>
      </c>
      <c r="E111" s="3">
        <v>1130</v>
      </c>
      <c r="F111" s="7">
        <f t="shared" si="1"/>
        <v>45939</v>
      </c>
      <c r="G111" s="3">
        <f>IF(E111&lt;&gt;"", E111*10%, "")</f>
        <v>113</v>
      </c>
      <c r="H111" s="3">
        <f>IF(E111&lt;&gt;"",ROUND(IF(E111&gt;1500,E111*5%,),0),"")</f>
        <v>0</v>
      </c>
      <c r="I111" s="2" t="s">
        <v>2926</v>
      </c>
      <c r="J111" s="3" t="str">
        <f>IF(I111="Cash",L111,"")</f>
        <v/>
      </c>
      <c r="K111" s="3">
        <f>IF(I111="UPI",L111,"")</f>
        <v>1017</v>
      </c>
      <c r="L111" s="3">
        <f>IF(E111&lt;&gt;"",E111-G111-H111,"")</f>
        <v>1017</v>
      </c>
    </row>
    <row r="112" spans="2:12">
      <c r="B112" s="2" t="s">
        <v>1876</v>
      </c>
      <c r="C112" s="9">
        <v>45939</v>
      </c>
      <c r="D112" s="4">
        <v>1</v>
      </c>
      <c r="E112" s="3">
        <v>820</v>
      </c>
      <c r="F112" s="7">
        <f t="shared" si="1"/>
        <v>45939</v>
      </c>
      <c r="G112" s="3">
        <f>IF(E112&lt;&gt;"", E112*10%, "")</f>
        <v>82</v>
      </c>
      <c r="H112" s="3">
        <f>IF(E112&lt;&gt;"",ROUND(IF(E112&gt;1500,E112*5%,),0),"")</f>
        <v>0</v>
      </c>
      <c r="I112" s="2" t="s">
        <v>2926</v>
      </c>
      <c r="J112" s="3" t="str">
        <f>IF(I112="Cash",L112,"")</f>
        <v/>
      </c>
      <c r="K112" s="3">
        <f>IF(I112="UPI",L112,"")</f>
        <v>738</v>
      </c>
      <c r="L112" s="3">
        <f>IF(E112&lt;&gt;"",E112-G112-H112,"")</f>
        <v>738</v>
      </c>
    </row>
    <row r="113" spans="2:12">
      <c r="B113" s="2" t="s">
        <v>1877</v>
      </c>
      <c r="C113" s="9">
        <v>45939</v>
      </c>
      <c r="D113" s="4">
        <v>2</v>
      </c>
      <c r="E113" s="3">
        <v>1660</v>
      </c>
      <c r="F113" s="7">
        <f t="shared" si="1"/>
        <v>45939</v>
      </c>
      <c r="G113" s="3">
        <f>IF(E113&lt;&gt;"", E113*10%, "")</f>
        <v>166</v>
      </c>
      <c r="H113" s="3">
        <f>IF(E113&lt;&gt;"",ROUND(IF(E113&gt;1500,E113*5%,),0),"")</f>
        <v>83</v>
      </c>
      <c r="I113" s="2" t="s">
        <v>2926</v>
      </c>
      <c r="J113" s="3" t="str">
        <f>IF(I113="Cash",L113,"")</f>
        <v/>
      </c>
      <c r="K113" s="3">
        <f>IF(I113="UPI",L113,"")</f>
        <v>1411</v>
      </c>
      <c r="L113" s="3">
        <f>IF(E113&lt;&gt;"",E113-G113-H113,"")</f>
        <v>1411</v>
      </c>
    </row>
    <row r="114" spans="2:12">
      <c r="B114" s="2" t="s">
        <v>1878</v>
      </c>
      <c r="C114" s="9">
        <v>45939</v>
      </c>
      <c r="D114" s="4">
        <v>3</v>
      </c>
      <c r="E114" s="3">
        <v>2210</v>
      </c>
      <c r="F114" s="7">
        <f t="shared" si="1"/>
        <v>45939</v>
      </c>
      <c r="G114" s="3">
        <f>IF(E114&lt;&gt;"", E114*10%, "")</f>
        <v>221</v>
      </c>
      <c r="H114" s="3">
        <f>IF(E114&lt;&gt;"",ROUND(IF(E114&gt;1500,E114*5%,),0),"")</f>
        <v>111</v>
      </c>
      <c r="I114" s="2" t="s">
        <v>2925</v>
      </c>
      <c r="J114" s="3">
        <f>IF(I114="Cash",L114,"")</f>
        <v>1878</v>
      </c>
      <c r="K114" s="3" t="str">
        <f>IF(I114="UPI",L114,"")</f>
        <v/>
      </c>
      <c r="L114" s="3">
        <f>IF(E114&lt;&gt;"",E114-G114-H114,"")</f>
        <v>1878</v>
      </c>
    </row>
    <row r="115" spans="2:12">
      <c r="B115" s="2" t="s">
        <v>1879</v>
      </c>
      <c r="C115" s="9">
        <v>45939</v>
      </c>
      <c r="D115" s="4">
        <v>2</v>
      </c>
      <c r="E115" s="3">
        <v>970</v>
      </c>
      <c r="F115" s="7">
        <f t="shared" si="1"/>
        <v>45939</v>
      </c>
      <c r="G115" s="3">
        <f>IF(E115&lt;&gt;"", E115*10%, "")</f>
        <v>97</v>
      </c>
      <c r="H115" s="3">
        <f>IF(E115&lt;&gt;"",ROUND(IF(E115&gt;1500,E115*5%,),0),"")</f>
        <v>0</v>
      </c>
      <c r="I115" s="2" t="s">
        <v>2926</v>
      </c>
      <c r="J115" s="3" t="str">
        <f>IF(I115="Cash",L115,"")</f>
        <v/>
      </c>
      <c r="K115" s="3">
        <f>IF(I115="UPI",L115,"")</f>
        <v>873</v>
      </c>
      <c r="L115" s="3">
        <f>IF(E115&lt;&gt;"",E115-G115-H115,"")</f>
        <v>873</v>
      </c>
    </row>
    <row r="116" spans="2:12">
      <c r="B116" s="2" t="s">
        <v>1880</v>
      </c>
      <c r="C116" s="9">
        <v>45939</v>
      </c>
      <c r="D116" s="4">
        <v>3</v>
      </c>
      <c r="E116" s="3">
        <v>1380</v>
      </c>
      <c r="F116" s="7">
        <f t="shared" si="1"/>
        <v>45939</v>
      </c>
      <c r="G116" s="3">
        <f>IF(E116&lt;&gt;"", E116*10%, "")</f>
        <v>138</v>
      </c>
      <c r="H116" s="3">
        <f>IF(E116&lt;&gt;"",ROUND(IF(E116&gt;1500,E116*5%,),0),"")</f>
        <v>0</v>
      </c>
      <c r="I116" s="2" t="s">
        <v>2926</v>
      </c>
      <c r="J116" s="3" t="str">
        <f>IF(I116="Cash",L116,"")</f>
        <v/>
      </c>
      <c r="K116" s="3">
        <f>IF(I116="UPI",L116,"")</f>
        <v>1242</v>
      </c>
      <c r="L116" s="3">
        <f>IF(E116&lt;&gt;"",E116-G116-H116,"")</f>
        <v>1242</v>
      </c>
    </row>
    <row r="117" spans="2:12">
      <c r="B117" s="2" t="s">
        <v>1881</v>
      </c>
      <c r="C117" s="9">
        <v>45939</v>
      </c>
      <c r="D117" s="4">
        <v>4</v>
      </c>
      <c r="E117" s="3">
        <v>2640</v>
      </c>
      <c r="F117" s="7">
        <f t="shared" si="1"/>
        <v>45939</v>
      </c>
      <c r="G117" s="3">
        <f>IF(E117&lt;&gt;"", E117*10%, "")</f>
        <v>264</v>
      </c>
      <c r="H117" s="3">
        <f>IF(E117&lt;&gt;"",ROUND(IF(E117&gt;1500,E117*5%,),0),"")</f>
        <v>132</v>
      </c>
      <c r="I117" s="2" t="s">
        <v>2925</v>
      </c>
      <c r="J117" s="3">
        <f>IF(I117="Cash",L117,"")</f>
        <v>2244</v>
      </c>
      <c r="K117" s="3" t="str">
        <f>IF(I117="UPI",L117,"")</f>
        <v/>
      </c>
      <c r="L117" s="3">
        <f>IF(E117&lt;&gt;"",E117-G117-H117,"")</f>
        <v>2244</v>
      </c>
    </row>
    <row r="118" spans="2:12">
      <c r="B118" s="2" t="s">
        <v>1882</v>
      </c>
      <c r="C118" s="9">
        <v>45939</v>
      </c>
      <c r="D118" s="4">
        <v>1</v>
      </c>
      <c r="E118" s="3">
        <v>1080</v>
      </c>
      <c r="F118" s="7">
        <f t="shared" si="1"/>
        <v>45939</v>
      </c>
      <c r="G118" s="3">
        <f>IF(E118&lt;&gt;"", E118*10%, "")</f>
        <v>108</v>
      </c>
      <c r="H118" s="3">
        <f>IF(E118&lt;&gt;"",ROUND(IF(E118&gt;1500,E118*5%,),0),"")</f>
        <v>0</v>
      </c>
      <c r="I118" s="2" t="s">
        <v>2926</v>
      </c>
      <c r="J118" s="3" t="str">
        <f>IF(I118="Cash",L118,"")</f>
        <v/>
      </c>
      <c r="K118" s="3">
        <f>IF(I118="UPI",L118,"")</f>
        <v>972</v>
      </c>
      <c r="L118" s="3">
        <f>IF(E118&lt;&gt;"",E118-G118-H118,"")</f>
        <v>972</v>
      </c>
    </row>
    <row r="119" spans="2:12">
      <c r="B119" s="2" t="s">
        <v>1883</v>
      </c>
      <c r="C119" s="9">
        <v>45939</v>
      </c>
      <c r="D119" s="4">
        <v>4</v>
      </c>
      <c r="E119" s="3">
        <v>2400</v>
      </c>
      <c r="F119" s="7">
        <f t="shared" si="1"/>
        <v>45939</v>
      </c>
      <c r="G119" s="3">
        <f>IF(E119&lt;&gt;"", E119*10%, "")</f>
        <v>240</v>
      </c>
      <c r="H119" s="3">
        <f>IF(E119&lt;&gt;"",ROUND(IF(E119&gt;1500,E119*5%,),0),"")</f>
        <v>120</v>
      </c>
      <c r="I119" s="2" t="s">
        <v>2925</v>
      </c>
      <c r="J119" s="3">
        <f>IF(I119="Cash",L119,"")</f>
        <v>2040</v>
      </c>
      <c r="K119" s="3" t="str">
        <f>IF(I119="UPI",L119,"")</f>
        <v/>
      </c>
      <c r="L119" s="3">
        <f>IF(E119&lt;&gt;"",E119-G119-H119,"")</f>
        <v>2040</v>
      </c>
    </row>
    <row r="120" spans="2:12">
      <c r="B120" s="2" t="s">
        <v>1884</v>
      </c>
      <c r="C120" s="9">
        <v>45939</v>
      </c>
      <c r="D120" s="4">
        <v>2</v>
      </c>
      <c r="E120" s="3">
        <v>1070</v>
      </c>
      <c r="F120" s="7">
        <f t="shared" si="1"/>
        <v>45939</v>
      </c>
      <c r="G120" s="3">
        <f>IF(E120&lt;&gt;"", E120*10%, "")</f>
        <v>107</v>
      </c>
      <c r="H120" s="3">
        <f>IF(E120&lt;&gt;"",ROUND(IF(E120&gt;1500,E120*5%,),0),"")</f>
        <v>0</v>
      </c>
      <c r="I120" s="2" t="s">
        <v>2926</v>
      </c>
      <c r="J120" s="3" t="str">
        <f>IF(I120="Cash",L120,"")</f>
        <v/>
      </c>
      <c r="K120" s="3">
        <f>IF(I120="UPI",L120,"")</f>
        <v>963</v>
      </c>
      <c r="L120" s="3">
        <f>IF(E120&lt;&gt;"",E120-G120-H120,"")</f>
        <v>963</v>
      </c>
    </row>
    <row r="121" spans="2:12">
      <c r="B121" s="2" t="s">
        <v>1885</v>
      </c>
      <c r="C121" s="9">
        <v>45939</v>
      </c>
      <c r="D121" s="4">
        <v>1</v>
      </c>
      <c r="E121" s="3">
        <v>910</v>
      </c>
      <c r="F121" s="7">
        <f t="shared" si="1"/>
        <v>45939</v>
      </c>
      <c r="G121" s="3">
        <f>IF(E121&lt;&gt;"", E121*10%, "")</f>
        <v>91</v>
      </c>
      <c r="H121" s="3">
        <f>IF(E121&lt;&gt;"",ROUND(IF(E121&gt;1500,E121*5%,),0),"")</f>
        <v>0</v>
      </c>
      <c r="I121" s="2" t="s">
        <v>2926</v>
      </c>
      <c r="J121" s="3" t="str">
        <f>IF(I121="Cash",L121,"")</f>
        <v/>
      </c>
      <c r="K121" s="3">
        <f>IF(I121="UPI",L121,"")</f>
        <v>819</v>
      </c>
      <c r="L121" s="3">
        <f>IF(E121&lt;&gt;"",E121-G121-H121,"")</f>
        <v>819</v>
      </c>
    </row>
    <row r="122" spans="2:12">
      <c r="B122" s="2" t="s">
        <v>1886</v>
      </c>
      <c r="C122" s="9">
        <v>45939</v>
      </c>
      <c r="D122" s="4">
        <v>3</v>
      </c>
      <c r="E122" s="3">
        <v>1710</v>
      </c>
      <c r="F122" s="7">
        <f t="shared" si="1"/>
        <v>45939</v>
      </c>
      <c r="G122" s="3">
        <f>IF(E122&lt;&gt;"", E122*10%, "")</f>
        <v>171</v>
      </c>
      <c r="H122" s="3">
        <f>IF(E122&lt;&gt;"",ROUND(IF(E122&gt;1500,E122*5%,),0),"")</f>
        <v>86</v>
      </c>
      <c r="I122" s="2" t="s">
        <v>2925</v>
      </c>
      <c r="J122" s="3">
        <f>IF(I122="Cash",L122,"")</f>
        <v>1453</v>
      </c>
      <c r="K122" s="3" t="str">
        <f>IF(I122="UPI",L122,"")</f>
        <v/>
      </c>
      <c r="L122" s="3">
        <f>IF(E122&lt;&gt;"",E122-G122-H122,"")</f>
        <v>1453</v>
      </c>
    </row>
    <row r="123" spans="2:12">
      <c r="B123" s="2" t="s">
        <v>1887</v>
      </c>
      <c r="C123" s="9">
        <v>45939</v>
      </c>
      <c r="D123" s="4">
        <v>1</v>
      </c>
      <c r="E123" s="3">
        <v>840</v>
      </c>
      <c r="F123" s="7">
        <f t="shared" si="1"/>
        <v>45939</v>
      </c>
      <c r="G123" s="3">
        <f>IF(E123&lt;&gt;"", E123*10%, "")</f>
        <v>84</v>
      </c>
      <c r="H123" s="3">
        <f>IF(E123&lt;&gt;"",ROUND(IF(E123&gt;1500,E123*5%,),0),"")</f>
        <v>0</v>
      </c>
      <c r="I123" s="2" t="s">
        <v>2926</v>
      </c>
      <c r="J123" s="3" t="str">
        <f>IF(I123="Cash",L123,"")</f>
        <v/>
      </c>
      <c r="K123" s="3">
        <f>IF(I123="UPI",L123,"")</f>
        <v>756</v>
      </c>
      <c r="L123" s="3">
        <f>IF(E123&lt;&gt;"",E123-G123-H123,"")</f>
        <v>756</v>
      </c>
    </row>
    <row r="124" spans="2:12">
      <c r="B124" s="2" t="s">
        <v>1888</v>
      </c>
      <c r="C124" s="9">
        <v>45939</v>
      </c>
      <c r="D124" s="4">
        <v>4</v>
      </c>
      <c r="E124" s="3">
        <v>2850</v>
      </c>
      <c r="F124" s="7">
        <f t="shared" si="1"/>
        <v>45939</v>
      </c>
      <c r="G124" s="3">
        <f>IF(E124&lt;&gt;"", E124*10%, "")</f>
        <v>285</v>
      </c>
      <c r="H124" s="3">
        <f>IF(E124&lt;&gt;"",ROUND(IF(E124&gt;1500,E124*5%,),0),"")</f>
        <v>143</v>
      </c>
      <c r="I124" s="2" t="s">
        <v>2928</v>
      </c>
      <c r="J124" s="10">
        <v>1600</v>
      </c>
      <c r="K124" s="10">
        <v>822</v>
      </c>
      <c r="L124" s="3">
        <f>IF(E124&lt;&gt;"",E124-G124-H124,"")</f>
        <v>2422</v>
      </c>
    </row>
    <row r="125" spans="2:12">
      <c r="B125" s="2" t="s">
        <v>1889</v>
      </c>
      <c r="C125" s="9">
        <v>45939</v>
      </c>
      <c r="D125" s="4">
        <v>2</v>
      </c>
      <c r="E125" s="3">
        <v>1010</v>
      </c>
      <c r="F125" s="7">
        <f t="shared" si="1"/>
        <v>45939</v>
      </c>
      <c r="G125" s="3">
        <f>IF(E125&lt;&gt;"", E125*10%, "")</f>
        <v>101</v>
      </c>
      <c r="H125" s="3">
        <f>IF(E125&lt;&gt;"",ROUND(IF(E125&gt;1500,E125*5%,),0),"")</f>
        <v>0</v>
      </c>
      <c r="I125" s="2" t="s">
        <v>2926</v>
      </c>
      <c r="J125" s="3" t="str">
        <f>IF(I125="Cash",L125,"")</f>
        <v/>
      </c>
      <c r="K125" s="3">
        <f>IF(I125="UPI",L125,"")</f>
        <v>909</v>
      </c>
      <c r="L125" s="3">
        <f>IF(E125&lt;&gt;"",E125-G125-H125,"")</f>
        <v>909</v>
      </c>
    </row>
    <row r="126" spans="2:12">
      <c r="B126" s="2" t="s">
        <v>1890</v>
      </c>
      <c r="C126" s="9">
        <v>45939</v>
      </c>
      <c r="D126" s="4">
        <v>4</v>
      </c>
      <c r="E126" s="3">
        <v>2210</v>
      </c>
      <c r="F126" s="7">
        <f t="shared" si="1"/>
        <v>45939</v>
      </c>
      <c r="G126" s="3">
        <f>IF(E126&lt;&gt;"", E126*10%, "")</f>
        <v>221</v>
      </c>
      <c r="H126" s="3">
        <f>IF(E126&lt;&gt;"",ROUND(IF(E126&gt;1500,E126*5%,),0),"")</f>
        <v>111</v>
      </c>
      <c r="I126" s="2" t="s">
        <v>2925</v>
      </c>
      <c r="J126" s="3">
        <f>IF(I126="Cash",L126,"")</f>
        <v>1878</v>
      </c>
      <c r="K126" s="3" t="str">
        <f>IF(I126="UPI",L126,"")</f>
        <v/>
      </c>
      <c r="L126" s="3">
        <f>IF(E126&lt;&gt;"",E126-G126-H126,"")</f>
        <v>1878</v>
      </c>
    </row>
    <row r="127" spans="2:12">
      <c r="B127" s="2" t="s">
        <v>1891</v>
      </c>
      <c r="C127" s="9">
        <v>45940</v>
      </c>
      <c r="D127" s="4">
        <v>1</v>
      </c>
      <c r="E127" s="3">
        <v>960</v>
      </c>
      <c r="F127" s="7">
        <f t="shared" si="1"/>
        <v>45940</v>
      </c>
      <c r="G127" s="3">
        <f>IF(E127&lt;&gt;"", E127*10%, "")</f>
        <v>96</v>
      </c>
      <c r="H127" s="3">
        <f>IF(E127&lt;&gt;"",ROUND(IF(E127&gt;1500,E127*5%,),0),"")</f>
        <v>0</v>
      </c>
      <c r="I127" s="2" t="s">
        <v>2926</v>
      </c>
      <c r="J127" s="3" t="str">
        <f>IF(I127="Cash",L127,"")</f>
        <v/>
      </c>
      <c r="K127" s="3">
        <f>IF(I127="UPI",L127,"")</f>
        <v>864</v>
      </c>
      <c r="L127" s="3">
        <f>IF(E127&lt;&gt;"",E127-G127-H127,"")</f>
        <v>864</v>
      </c>
    </row>
    <row r="128" spans="2:12">
      <c r="B128" s="2" t="s">
        <v>1892</v>
      </c>
      <c r="C128" s="9">
        <v>45940</v>
      </c>
      <c r="D128" s="4">
        <v>4</v>
      </c>
      <c r="E128" s="3">
        <v>1780</v>
      </c>
      <c r="F128" s="7">
        <f t="shared" si="1"/>
        <v>45940</v>
      </c>
      <c r="G128" s="3">
        <f>IF(E128&lt;&gt;"", E128*10%, "")</f>
        <v>178</v>
      </c>
      <c r="H128" s="3">
        <f>IF(E128&lt;&gt;"",ROUND(IF(E128&gt;1500,E128*5%,),0),"")</f>
        <v>89</v>
      </c>
      <c r="I128" s="2" t="s">
        <v>2925</v>
      </c>
      <c r="J128" s="3">
        <f>IF(I128="Cash",L128,"")</f>
        <v>1513</v>
      </c>
      <c r="K128" s="3" t="str">
        <f>IF(I128="UPI",L128,"")</f>
        <v/>
      </c>
      <c r="L128" s="3">
        <f>IF(E128&lt;&gt;"",E128-G128-H128,"")</f>
        <v>1513</v>
      </c>
    </row>
    <row r="129" spans="2:12">
      <c r="B129" s="2" t="s">
        <v>1893</v>
      </c>
      <c r="C129" s="9">
        <v>45940</v>
      </c>
      <c r="D129" s="4">
        <v>3</v>
      </c>
      <c r="E129" s="3">
        <v>2590</v>
      </c>
      <c r="F129" s="7">
        <f t="shared" si="1"/>
        <v>45940</v>
      </c>
      <c r="G129" s="3">
        <f>IF(E129&lt;&gt;"", E129*10%, "")</f>
        <v>259</v>
      </c>
      <c r="H129" s="3">
        <f>IF(E129&lt;&gt;"",ROUND(IF(E129&gt;1500,E129*5%,),0),"")</f>
        <v>130</v>
      </c>
      <c r="I129" s="2" t="s">
        <v>2925</v>
      </c>
      <c r="J129" s="3">
        <f>IF(I129="Cash",L129,"")</f>
        <v>2201</v>
      </c>
      <c r="K129" s="3" t="str">
        <f>IF(I129="UPI",L129,"")</f>
        <v/>
      </c>
      <c r="L129" s="3">
        <f>IF(E129&lt;&gt;"",E129-G129-H129,"")</f>
        <v>2201</v>
      </c>
    </row>
    <row r="130" spans="2:12">
      <c r="B130" s="2" t="s">
        <v>1894</v>
      </c>
      <c r="C130" s="9">
        <v>45940</v>
      </c>
      <c r="D130" s="4">
        <v>4</v>
      </c>
      <c r="E130" s="3">
        <v>3280</v>
      </c>
      <c r="F130" s="7">
        <f t="shared" si="1"/>
        <v>45940</v>
      </c>
      <c r="G130" s="3">
        <f>IF(E130&lt;&gt;"", E130*10%, "")</f>
        <v>328</v>
      </c>
      <c r="H130" s="3">
        <f>IF(E130&lt;&gt;"",ROUND(IF(E130&gt;1500,E130*5%,),0),"")</f>
        <v>164</v>
      </c>
      <c r="I130" s="2" t="s">
        <v>2928</v>
      </c>
      <c r="J130" s="10">
        <v>900</v>
      </c>
      <c r="K130" s="10">
        <v>1888</v>
      </c>
      <c r="L130" s="3">
        <f>IF(E130&lt;&gt;"",E130-G130-H130,"")</f>
        <v>2788</v>
      </c>
    </row>
    <row r="131" spans="2:12">
      <c r="B131" s="2" t="s">
        <v>1895</v>
      </c>
      <c r="C131" s="9">
        <v>45940</v>
      </c>
      <c r="D131" s="4">
        <v>1</v>
      </c>
      <c r="E131" s="3">
        <v>130</v>
      </c>
      <c r="F131" s="7">
        <f t="shared" si="1"/>
        <v>45940</v>
      </c>
      <c r="G131" s="3">
        <f>IF(E131&lt;&gt;"", E131*10%, "")</f>
        <v>13</v>
      </c>
      <c r="H131" s="3">
        <f>IF(E131&lt;&gt;"",ROUND(IF(E131&gt;1500,E131*5%,),0),"")</f>
        <v>0</v>
      </c>
      <c r="I131" s="2" t="s">
        <v>2926</v>
      </c>
      <c r="J131" s="3" t="str">
        <f>IF(I131="Cash",L131,"")</f>
        <v/>
      </c>
      <c r="K131" s="3">
        <f>IF(I131="UPI",L131,"")</f>
        <v>117</v>
      </c>
      <c r="L131" s="3">
        <f>IF(E131&lt;&gt;"",E131-G131-H131,"")</f>
        <v>117</v>
      </c>
    </row>
    <row r="132" spans="2:12">
      <c r="B132" s="2" t="s">
        <v>1896</v>
      </c>
      <c r="C132" s="9">
        <v>45940</v>
      </c>
      <c r="D132" s="4">
        <v>1</v>
      </c>
      <c r="E132" s="3">
        <v>990</v>
      </c>
      <c r="F132" s="7">
        <f t="shared" si="1"/>
        <v>45940</v>
      </c>
      <c r="G132" s="3">
        <f>IF(E132&lt;&gt;"", E132*10%, "")</f>
        <v>99</v>
      </c>
      <c r="H132" s="3">
        <f>IF(E132&lt;&gt;"",ROUND(IF(E132&gt;1500,E132*5%,),0),"")</f>
        <v>0</v>
      </c>
      <c r="I132" s="2" t="s">
        <v>2926</v>
      </c>
      <c r="J132" s="3" t="str">
        <f>IF(I132="Cash",L132,"")</f>
        <v/>
      </c>
      <c r="K132" s="3">
        <f>IF(I132="UPI",L132,"")</f>
        <v>891</v>
      </c>
      <c r="L132" s="3">
        <f>IF(E132&lt;&gt;"",E132-G132-H132,"")</f>
        <v>891</v>
      </c>
    </row>
    <row r="133" spans="2:12">
      <c r="B133" s="2" t="s">
        <v>1897</v>
      </c>
      <c r="C133" s="9">
        <v>45940</v>
      </c>
      <c r="D133" s="4">
        <v>1</v>
      </c>
      <c r="E133" s="3">
        <v>750</v>
      </c>
      <c r="F133" s="7">
        <f t="shared" ref="F133:F196" si="2">C133</f>
        <v>45940</v>
      </c>
      <c r="G133" s="3">
        <f>IF(E133&lt;&gt;"", E133*10%, "")</f>
        <v>75</v>
      </c>
      <c r="H133" s="3">
        <f>IF(E133&lt;&gt;"",ROUND(IF(E133&gt;1500,E133*5%,),0),"")</f>
        <v>0</v>
      </c>
      <c r="I133" s="2" t="s">
        <v>2926</v>
      </c>
      <c r="J133" s="3" t="str">
        <f>IF(I133="Cash",L133,"")</f>
        <v/>
      </c>
      <c r="K133" s="3">
        <f>IF(I133="UPI",L133,"")</f>
        <v>675</v>
      </c>
      <c r="L133" s="3">
        <f>IF(E133&lt;&gt;"",E133-G133-H133,"")</f>
        <v>675</v>
      </c>
    </row>
    <row r="134" spans="2:12">
      <c r="B134" s="2" t="s">
        <v>1898</v>
      </c>
      <c r="C134" s="9">
        <v>45940</v>
      </c>
      <c r="D134" s="4">
        <v>1</v>
      </c>
      <c r="E134" s="3">
        <v>500</v>
      </c>
      <c r="F134" s="7">
        <f t="shared" si="2"/>
        <v>45940</v>
      </c>
      <c r="G134" s="3">
        <f>IF(E134&lt;&gt;"", E134*10%, "")</f>
        <v>50</v>
      </c>
      <c r="H134" s="3">
        <f>IF(E134&lt;&gt;"",ROUND(IF(E134&gt;1500,E134*5%,),0),"")</f>
        <v>0</v>
      </c>
      <c r="I134" s="2" t="s">
        <v>2926</v>
      </c>
      <c r="J134" s="3" t="str">
        <f>IF(I134="Cash",L134,"")</f>
        <v/>
      </c>
      <c r="K134" s="3">
        <f>IF(I134="UPI",L134,"")</f>
        <v>450</v>
      </c>
      <c r="L134" s="3">
        <f>IF(E134&lt;&gt;"",E134-G134-H134,"")</f>
        <v>450</v>
      </c>
    </row>
    <row r="135" spans="2:12">
      <c r="B135" s="2" t="s">
        <v>1899</v>
      </c>
      <c r="C135" s="9">
        <v>45940</v>
      </c>
      <c r="D135" s="4">
        <v>3</v>
      </c>
      <c r="E135" s="3">
        <v>1640</v>
      </c>
      <c r="F135" s="7">
        <f t="shared" si="2"/>
        <v>45940</v>
      </c>
      <c r="G135" s="3">
        <f>IF(E135&lt;&gt;"", E135*10%, "")</f>
        <v>164</v>
      </c>
      <c r="H135" s="3">
        <f>IF(E135&lt;&gt;"",ROUND(IF(E135&gt;1500,E135*5%,),0),"")</f>
        <v>82</v>
      </c>
      <c r="I135" s="2" t="s">
        <v>2926</v>
      </c>
      <c r="J135" s="3" t="str">
        <f>IF(I135="Cash",L135,"")</f>
        <v/>
      </c>
      <c r="K135" s="3">
        <f>IF(I135="UPI",L135,"")</f>
        <v>1394</v>
      </c>
      <c r="L135" s="3">
        <f>IF(E135&lt;&gt;"",E135-G135-H135,"")</f>
        <v>1394</v>
      </c>
    </row>
    <row r="136" spans="2:12">
      <c r="B136" s="2" t="s">
        <v>1900</v>
      </c>
      <c r="C136" s="9">
        <v>45940</v>
      </c>
      <c r="D136" s="4">
        <v>4</v>
      </c>
      <c r="E136" s="3">
        <v>2720</v>
      </c>
      <c r="F136" s="7">
        <f t="shared" si="2"/>
        <v>45940</v>
      </c>
      <c r="G136" s="3">
        <f>IF(E136&lt;&gt;"", E136*10%, "")</f>
        <v>272</v>
      </c>
      <c r="H136" s="3">
        <f>IF(E136&lt;&gt;"",ROUND(IF(E136&gt;1500,E136*5%,),0),"")</f>
        <v>136</v>
      </c>
      <c r="I136" s="2" t="s">
        <v>2925</v>
      </c>
      <c r="J136" s="3">
        <f>IF(I136="Cash",L136,"")</f>
        <v>2312</v>
      </c>
      <c r="K136" s="3" t="str">
        <f>IF(I136="UPI",L136,"")</f>
        <v/>
      </c>
      <c r="L136" s="3">
        <f>IF(E136&lt;&gt;"",E136-G136-H136,"")</f>
        <v>2312</v>
      </c>
    </row>
    <row r="137" spans="2:12">
      <c r="B137" s="2" t="s">
        <v>1901</v>
      </c>
      <c r="C137" s="9">
        <v>45940</v>
      </c>
      <c r="D137" s="4">
        <v>2</v>
      </c>
      <c r="E137" s="3">
        <v>1270</v>
      </c>
      <c r="F137" s="7">
        <f t="shared" si="2"/>
        <v>45940</v>
      </c>
      <c r="G137" s="3">
        <f>IF(E137&lt;&gt;"", E137*10%, "")</f>
        <v>127</v>
      </c>
      <c r="H137" s="3">
        <f>IF(E137&lt;&gt;"",ROUND(IF(E137&gt;1500,E137*5%,),0),"")</f>
        <v>0</v>
      </c>
      <c r="I137" s="2" t="s">
        <v>2926</v>
      </c>
      <c r="J137" s="3" t="str">
        <f>IF(I137="Cash",L137,"")</f>
        <v/>
      </c>
      <c r="K137" s="3">
        <f>IF(I137="UPI",L137,"")</f>
        <v>1143</v>
      </c>
      <c r="L137" s="3">
        <f>IF(E137&lt;&gt;"",E137-G137-H137,"")</f>
        <v>1143</v>
      </c>
    </row>
    <row r="138" spans="2:12">
      <c r="B138" s="2" t="s">
        <v>1902</v>
      </c>
      <c r="C138" s="9">
        <v>45940</v>
      </c>
      <c r="D138" s="4">
        <v>2</v>
      </c>
      <c r="E138" s="3">
        <v>1700</v>
      </c>
      <c r="F138" s="7">
        <f t="shared" si="2"/>
        <v>45940</v>
      </c>
      <c r="G138" s="3">
        <f>IF(E138&lt;&gt;"", E138*10%, "")</f>
        <v>170</v>
      </c>
      <c r="H138" s="3">
        <f>IF(E138&lt;&gt;"",ROUND(IF(E138&gt;1500,E138*5%,),0),"")</f>
        <v>85</v>
      </c>
      <c r="I138" s="2" t="s">
        <v>2925</v>
      </c>
      <c r="J138" s="3">
        <f>IF(I138="Cash",L138,"")</f>
        <v>1445</v>
      </c>
      <c r="K138" s="3" t="str">
        <f>IF(I138="UPI",L138,"")</f>
        <v/>
      </c>
      <c r="L138" s="3">
        <f>IF(E138&lt;&gt;"",E138-G138-H138,"")</f>
        <v>1445</v>
      </c>
    </row>
    <row r="139" spans="2:12">
      <c r="B139" s="2" t="s">
        <v>1903</v>
      </c>
      <c r="C139" s="9">
        <v>45940</v>
      </c>
      <c r="D139" s="4">
        <v>4</v>
      </c>
      <c r="E139" s="3">
        <v>1700</v>
      </c>
      <c r="F139" s="7">
        <f t="shared" si="2"/>
        <v>45940</v>
      </c>
      <c r="G139" s="3">
        <f>IF(E139&lt;&gt;"", E139*10%, "")</f>
        <v>170</v>
      </c>
      <c r="H139" s="3">
        <f>IF(E139&lt;&gt;"",ROUND(IF(E139&gt;1500,E139*5%,),0),"")</f>
        <v>85</v>
      </c>
      <c r="I139" s="2" t="s">
        <v>2925</v>
      </c>
      <c r="J139" s="3">
        <f>IF(I139="Cash",L139,"")</f>
        <v>1445</v>
      </c>
      <c r="K139" s="3" t="str">
        <f>IF(I139="UPI",L139,"")</f>
        <v/>
      </c>
      <c r="L139" s="3">
        <f>IF(E139&lt;&gt;"",E139-G139-H139,"")</f>
        <v>1445</v>
      </c>
    </row>
    <row r="140" spans="2:12">
      <c r="B140" s="2" t="s">
        <v>1904</v>
      </c>
      <c r="C140" s="9">
        <v>45940</v>
      </c>
      <c r="D140" s="4">
        <v>2</v>
      </c>
      <c r="E140" s="3">
        <v>1500</v>
      </c>
      <c r="F140" s="7">
        <f t="shared" si="2"/>
        <v>45940</v>
      </c>
      <c r="G140" s="3">
        <f>IF(E140&lt;&gt;"", E140*10%, "")</f>
        <v>150</v>
      </c>
      <c r="H140" s="3">
        <f>IF(E140&lt;&gt;"",ROUND(IF(E140&gt;1500,E140*5%,),0),"")</f>
        <v>0</v>
      </c>
      <c r="I140" s="2" t="s">
        <v>2926</v>
      </c>
      <c r="J140" s="3" t="str">
        <f>IF(I140="Cash",L140,"")</f>
        <v/>
      </c>
      <c r="K140" s="3">
        <f>IF(I140="UPI",L140,"")</f>
        <v>1350</v>
      </c>
      <c r="L140" s="3">
        <f>IF(E140&lt;&gt;"",E140-G140-H140,"")</f>
        <v>1350</v>
      </c>
    </row>
    <row r="141" spans="2:12">
      <c r="B141" s="2" t="s">
        <v>1905</v>
      </c>
      <c r="C141" s="9">
        <v>45940</v>
      </c>
      <c r="D141" s="4">
        <v>1</v>
      </c>
      <c r="E141" s="3">
        <v>910</v>
      </c>
      <c r="F141" s="7">
        <f t="shared" si="2"/>
        <v>45940</v>
      </c>
      <c r="G141" s="3">
        <f>IF(E141&lt;&gt;"", E141*10%, "")</f>
        <v>91</v>
      </c>
      <c r="H141" s="3">
        <f>IF(E141&lt;&gt;"",ROUND(IF(E141&gt;1500,E141*5%,),0),"")</f>
        <v>0</v>
      </c>
      <c r="I141" s="2" t="s">
        <v>2926</v>
      </c>
      <c r="J141" s="3" t="str">
        <f>IF(I141="Cash",L141,"")</f>
        <v/>
      </c>
      <c r="K141" s="3">
        <f>IF(I141="UPI",L141,"")</f>
        <v>819</v>
      </c>
      <c r="L141" s="3">
        <f>IF(E141&lt;&gt;"",E141-G141-H141,"")</f>
        <v>819</v>
      </c>
    </row>
    <row r="142" spans="2:12">
      <c r="B142" s="2" t="s">
        <v>1906</v>
      </c>
      <c r="C142" s="9">
        <v>45940</v>
      </c>
      <c r="D142" s="4">
        <v>2</v>
      </c>
      <c r="E142" s="3">
        <v>1460</v>
      </c>
      <c r="F142" s="7">
        <f t="shared" si="2"/>
        <v>45940</v>
      </c>
      <c r="G142" s="3">
        <f>IF(E142&lt;&gt;"", E142*10%, "")</f>
        <v>146</v>
      </c>
      <c r="H142" s="3">
        <f>IF(E142&lt;&gt;"",ROUND(IF(E142&gt;1500,E142*5%,),0),"")</f>
        <v>0</v>
      </c>
      <c r="I142" s="2" t="s">
        <v>2926</v>
      </c>
      <c r="J142" s="3" t="str">
        <f>IF(I142="Cash",L142,"")</f>
        <v/>
      </c>
      <c r="K142" s="3">
        <f>IF(I142="UPI",L142,"")</f>
        <v>1314</v>
      </c>
      <c r="L142" s="3">
        <f>IF(E142&lt;&gt;"",E142-G142-H142,"")</f>
        <v>1314</v>
      </c>
    </row>
    <row r="143" spans="2:12">
      <c r="B143" s="2" t="s">
        <v>1907</v>
      </c>
      <c r="C143" s="9">
        <v>45940</v>
      </c>
      <c r="D143" s="4">
        <v>3</v>
      </c>
      <c r="E143" s="3">
        <v>2290</v>
      </c>
      <c r="F143" s="7">
        <f t="shared" si="2"/>
        <v>45940</v>
      </c>
      <c r="G143" s="3">
        <f>IF(E143&lt;&gt;"", E143*10%, "")</f>
        <v>229</v>
      </c>
      <c r="H143" s="3">
        <f>IF(E143&lt;&gt;"",ROUND(IF(E143&gt;1500,E143*5%,),0),"")</f>
        <v>115</v>
      </c>
      <c r="I143" s="2" t="s">
        <v>2925</v>
      </c>
      <c r="J143" s="3">
        <f>IF(I143="Cash",L143,"")</f>
        <v>1946</v>
      </c>
      <c r="K143" s="3" t="str">
        <f>IF(I143="UPI",L143,"")</f>
        <v/>
      </c>
      <c r="L143" s="3">
        <f>IF(E143&lt;&gt;"",E143-G143-H143,"")</f>
        <v>1946</v>
      </c>
    </row>
    <row r="144" spans="2:12">
      <c r="B144" s="2" t="s">
        <v>1908</v>
      </c>
      <c r="C144" s="9">
        <v>45941</v>
      </c>
      <c r="D144" s="4">
        <v>4</v>
      </c>
      <c r="E144" s="3">
        <v>3130</v>
      </c>
      <c r="F144" s="7">
        <f t="shared" si="2"/>
        <v>45941</v>
      </c>
      <c r="G144" s="3">
        <f>IF(E144&lt;&gt;"", E144*10%, "")</f>
        <v>313</v>
      </c>
      <c r="H144" s="3">
        <f>IF(E144&lt;&gt;"",ROUND(IF(E144&gt;1500,E144*5%,),0),"")</f>
        <v>157</v>
      </c>
      <c r="I144" s="2" t="s">
        <v>2928</v>
      </c>
      <c r="J144" s="10">
        <v>800</v>
      </c>
      <c r="K144" s="10">
        <v>1860</v>
      </c>
      <c r="L144" s="3">
        <f>IF(E144&lt;&gt;"",E144-G144-H144,"")</f>
        <v>2660</v>
      </c>
    </row>
    <row r="145" spans="2:12">
      <c r="B145" s="2" t="s">
        <v>1909</v>
      </c>
      <c r="C145" s="9">
        <v>45941</v>
      </c>
      <c r="D145" s="4">
        <v>1</v>
      </c>
      <c r="E145" s="3">
        <v>180</v>
      </c>
      <c r="F145" s="7">
        <f t="shared" si="2"/>
        <v>45941</v>
      </c>
      <c r="G145" s="3">
        <f>IF(E145&lt;&gt;"", E145*10%, "")</f>
        <v>18</v>
      </c>
      <c r="H145" s="3">
        <f>IF(E145&lt;&gt;"",ROUND(IF(E145&gt;1500,E145*5%,),0),"")</f>
        <v>0</v>
      </c>
      <c r="I145" s="2" t="s">
        <v>2926</v>
      </c>
      <c r="J145" s="3" t="str">
        <f>IF(I145="Cash",L145,"")</f>
        <v/>
      </c>
      <c r="K145" s="3">
        <f>IF(I145="UPI",L145,"")</f>
        <v>162</v>
      </c>
      <c r="L145" s="3">
        <f>IF(E145&lt;&gt;"",E145-G145-H145,"")</f>
        <v>162</v>
      </c>
    </row>
    <row r="146" spans="2:12">
      <c r="B146" s="2" t="s">
        <v>1910</v>
      </c>
      <c r="C146" s="9">
        <v>45941</v>
      </c>
      <c r="D146" s="4">
        <v>2</v>
      </c>
      <c r="E146" s="3">
        <v>1230</v>
      </c>
      <c r="F146" s="7">
        <f t="shared" si="2"/>
        <v>45941</v>
      </c>
      <c r="G146" s="3">
        <f>IF(E146&lt;&gt;"", E146*10%, "")</f>
        <v>123</v>
      </c>
      <c r="H146" s="3">
        <f>IF(E146&lt;&gt;"",ROUND(IF(E146&gt;1500,E146*5%,),0),"")</f>
        <v>0</v>
      </c>
      <c r="I146" s="2" t="s">
        <v>2926</v>
      </c>
      <c r="J146" s="3" t="str">
        <f>IF(I146="Cash",L146,"")</f>
        <v/>
      </c>
      <c r="K146" s="3">
        <f>IF(I146="UPI",L146,"")</f>
        <v>1107</v>
      </c>
      <c r="L146" s="3">
        <f>IF(E146&lt;&gt;"",E146-G146-H146,"")</f>
        <v>1107</v>
      </c>
    </row>
    <row r="147" spans="2:12">
      <c r="B147" s="2" t="s">
        <v>1911</v>
      </c>
      <c r="C147" s="9">
        <v>45941</v>
      </c>
      <c r="D147" s="4">
        <v>1</v>
      </c>
      <c r="E147" s="3">
        <v>890</v>
      </c>
      <c r="F147" s="7">
        <f t="shared" si="2"/>
        <v>45941</v>
      </c>
      <c r="G147" s="3">
        <f>IF(E147&lt;&gt;"", E147*10%, "")</f>
        <v>89</v>
      </c>
      <c r="H147" s="3">
        <f>IF(E147&lt;&gt;"",ROUND(IF(E147&gt;1500,E147*5%,),0),"")</f>
        <v>0</v>
      </c>
      <c r="I147" s="2" t="s">
        <v>2926</v>
      </c>
      <c r="J147" s="3" t="str">
        <f>IF(I147="Cash",L147,"")</f>
        <v/>
      </c>
      <c r="K147" s="3">
        <f>IF(I147="UPI",L147,"")</f>
        <v>801</v>
      </c>
      <c r="L147" s="3">
        <f>IF(E147&lt;&gt;"",E147-G147-H147,"")</f>
        <v>801</v>
      </c>
    </row>
    <row r="148" spans="2:12">
      <c r="B148" s="2" t="s">
        <v>1912</v>
      </c>
      <c r="C148" s="9">
        <v>45941</v>
      </c>
      <c r="D148" s="4">
        <v>3</v>
      </c>
      <c r="E148" s="3">
        <v>1350</v>
      </c>
      <c r="F148" s="7">
        <f t="shared" si="2"/>
        <v>45941</v>
      </c>
      <c r="G148" s="3">
        <f>IF(E148&lt;&gt;"", E148*10%, "")</f>
        <v>135</v>
      </c>
      <c r="H148" s="3">
        <f>IF(E148&lt;&gt;"",ROUND(IF(E148&gt;1500,E148*5%,),0),"")</f>
        <v>0</v>
      </c>
      <c r="I148" s="2" t="s">
        <v>2926</v>
      </c>
      <c r="J148" s="3" t="str">
        <f>IF(I148="Cash",L148,"")</f>
        <v/>
      </c>
      <c r="K148" s="3">
        <f>IF(I148="UPI",L148,"")</f>
        <v>1215</v>
      </c>
      <c r="L148" s="3">
        <f>IF(E148&lt;&gt;"",E148-G148-H148,"")</f>
        <v>1215</v>
      </c>
    </row>
    <row r="149" spans="2:12">
      <c r="B149" s="2" t="s">
        <v>1913</v>
      </c>
      <c r="C149" s="9">
        <v>45941</v>
      </c>
      <c r="D149" s="4">
        <v>3</v>
      </c>
      <c r="E149" s="3">
        <v>1260</v>
      </c>
      <c r="F149" s="7">
        <f t="shared" si="2"/>
        <v>45941</v>
      </c>
      <c r="G149" s="3">
        <f>IF(E149&lt;&gt;"", E149*10%, "")</f>
        <v>126</v>
      </c>
      <c r="H149" s="3">
        <f>IF(E149&lt;&gt;"",ROUND(IF(E149&gt;1500,E149*5%,),0),"")</f>
        <v>0</v>
      </c>
      <c r="I149" s="2" t="s">
        <v>2926</v>
      </c>
      <c r="J149" s="3" t="str">
        <f>IF(I149="Cash",L149,"")</f>
        <v/>
      </c>
      <c r="K149" s="3">
        <f>IF(I149="UPI",L149,"")</f>
        <v>1134</v>
      </c>
      <c r="L149" s="3">
        <f>IF(E149&lt;&gt;"",E149-G149-H149,"")</f>
        <v>1134</v>
      </c>
    </row>
    <row r="150" spans="2:12">
      <c r="B150" s="2" t="s">
        <v>1914</v>
      </c>
      <c r="C150" s="9">
        <v>45941</v>
      </c>
      <c r="D150" s="4">
        <v>4</v>
      </c>
      <c r="E150" s="3">
        <v>2080</v>
      </c>
      <c r="F150" s="7">
        <f t="shared" si="2"/>
        <v>45941</v>
      </c>
      <c r="G150" s="3">
        <f>IF(E150&lt;&gt;"", E150*10%, "")</f>
        <v>208</v>
      </c>
      <c r="H150" s="3">
        <f>IF(E150&lt;&gt;"",ROUND(IF(E150&gt;1500,E150*5%,),0),"")</f>
        <v>104</v>
      </c>
      <c r="I150" s="2" t="s">
        <v>2925</v>
      </c>
      <c r="J150" s="3">
        <f>IF(I150="Cash",L150,"")</f>
        <v>1768</v>
      </c>
      <c r="K150" s="3" t="str">
        <f>IF(I150="UPI",L150,"")</f>
        <v/>
      </c>
      <c r="L150" s="3">
        <f>IF(E150&lt;&gt;"",E150-G150-H150,"")</f>
        <v>1768</v>
      </c>
    </row>
    <row r="151" spans="2:12">
      <c r="B151" s="2" t="s">
        <v>1915</v>
      </c>
      <c r="C151" s="9">
        <v>45941</v>
      </c>
      <c r="D151" s="4">
        <v>3</v>
      </c>
      <c r="E151" s="3">
        <v>2570</v>
      </c>
      <c r="F151" s="7">
        <f t="shared" si="2"/>
        <v>45941</v>
      </c>
      <c r="G151" s="3">
        <f>IF(E151&lt;&gt;"", E151*10%, "")</f>
        <v>257</v>
      </c>
      <c r="H151" s="3">
        <f>IF(E151&lt;&gt;"",ROUND(IF(E151&gt;1500,E151*5%,),0),"")</f>
        <v>129</v>
      </c>
      <c r="I151" s="2" t="s">
        <v>2925</v>
      </c>
      <c r="J151" s="3">
        <f>IF(I151="Cash",L151,"")</f>
        <v>2184</v>
      </c>
      <c r="K151" s="3" t="str">
        <f>IF(I151="UPI",L151,"")</f>
        <v/>
      </c>
      <c r="L151" s="3">
        <f>IF(E151&lt;&gt;"",E151-G151-H151,"")</f>
        <v>2184</v>
      </c>
    </row>
    <row r="152" spans="2:12">
      <c r="B152" s="2" t="s">
        <v>1916</v>
      </c>
      <c r="C152" s="9">
        <v>45941</v>
      </c>
      <c r="D152" s="4">
        <v>4</v>
      </c>
      <c r="E152" s="3">
        <v>1440</v>
      </c>
      <c r="F152" s="7">
        <f t="shared" si="2"/>
        <v>45941</v>
      </c>
      <c r="G152" s="3">
        <f>IF(E152&lt;&gt;"", E152*10%, "")</f>
        <v>144</v>
      </c>
      <c r="H152" s="3">
        <f>IF(E152&lt;&gt;"",ROUND(IF(E152&gt;1500,E152*5%,),0),"")</f>
        <v>0</v>
      </c>
      <c r="I152" s="2" t="s">
        <v>2926</v>
      </c>
      <c r="J152" s="3" t="str">
        <f>IF(I152="Cash",L152,"")</f>
        <v/>
      </c>
      <c r="K152" s="3">
        <f>IF(I152="UPI",L152,"")</f>
        <v>1296</v>
      </c>
      <c r="L152" s="3">
        <f>IF(E152&lt;&gt;"",E152-G152-H152,"")</f>
        <v>1296</v>
      </c>
    </row>
    <row r="153" spans="2:12">
      <c r="B153" s="2" t="s">
        <v>1917</v>
      </c>
      <c r="C153" s="9">
        <v>45941</v>
      </c>
      <c r="D153" s="4">
        <v>1</v>
      </c>
      <c r="E153" s="3">
        <v>930</v>
      </c>
      <c r="F153" s="7">
        <f t="shared" si="2"/>
        <v>45941</v>
      </c>
      <c r="G153" s="3">
        <f>IF(E153&lt;&gt;"", E153*10%, "")</f>
        <v>93</v>
      </c>
      <c r="H153" s="3">
        <f>IF(E153&lt;&gt;"",ROUND(IF(E153&gt;1500,E153*5%,),0),"")</f>
        <v>0</v>
      </c>
      <c r="I153" s="2" t="s">
        <v>2926</v>
      </c>
      <c r="J153" s="3" t="str">
        <f>IF(I153="Cash",L153,"")</f>
        <v/>
      </c>
      <c r="K153" s="3">
        <f>IF(I153="UPI",L153,"")</f>
        <v>837</v>
      </c>
      <c r="L153" s="3">
        <f>IF(E153&lt;&gt;"",E153-G153-H153,"")</f>
        <v>837</v>
      </c>
    </row>
    <row r="154" spans="2:12">
      <c r="B154" s="2" t="s">
        <v>1918</v>
      </c>
      <c r="C154" s="9">
        <v>45941</v>
      </c>
      <c r="D154" s="4">
        <v>2</v>
      </c>
      <c r="E154" s="3">
        <v>1420</v>
      </c>
      <c r="F154" s="7">
        <f t="shared" si="2"/>
        <v>45941</v>
      </c>
      <c r="G154" s="3">
        <f>IF(E154&lt;&gt;"", E154*10%, "")</f>
        <v>142</v>
      </c>
      <c r="H154" s="3">
        <f>IF(E154&lt;&gt;"",ROUND(IF(E154&gt;1500,E154*5%,),0),"")</f>
        <v>0</v>
      </c>
      <c r="I154" s="2" t="s">
        <v>2926</v>
      </c>
      <c r="J154" s="3" t="str">
        <f>IF(I154="Cash",L154,"")</f>
        <v/>
      </c>
      <c r="K154" s="3">
        <f>IF(I154="UPI",L154,"")</f>
        <v>1278</v>
      </c>
      <c r="L154" s="3">
        <f>IF(E154&lt;&gt;"",E154-G154-H154,"")</f>
        <v>1278</v>
      </c>
    </row>
    <row r="155" spans="2:12">
      <c r="B155" s="2" t="s">
        <v>1919</v>
      </c>
      <c r="C155" s="9">
        <v>45941</v>
      </c>
      <c r="D155" s="4">
        <v>2</v>
      </c>
      <c r="E155" s="3">
        <v>870</v>
      </c>
      <c r="F155" s="7">
        <f t="shared" si="2"/>
        <v>45941</v>
      </c>
      <c r="G155" s="3">
        <f>IF(E155&lt;&gt;"", E155*10%, "")</f>
        <v>87</v>
      </c>
      <c r="H155" s="3">
        <f>IF(E155&lt;&gt;"",ROUND(IF(E155&gt;1500,E155*5%,),0),"")</f>
        <v>0</v>
      </c>
      <c r="I155" s="2" t="s">
        <v>2926</v>
      </c>
      <c r="J155" s="3" t="str">
        <f>IF(I155="Cash",L155,"")</f>
        <v/>
      </c>
      <c r="K155" s="3">
        <f>IF(I155="UPI",L155,"")</f>
        <v>783</v>
      </c>
      <c r="L155" s="3">
        <f>IF(E155&lt;&gt;"",E155-G155-H155,"")</f>
        <v>783</v>
      </c>
    </row>
    <row r="156" spans="2:12">
      <c r="B156" s="2" t="s">
        <v>1920</v>
      </c>
      <c r="C156" s="9">
        <v>45941</v>
      </c>
      <c r="D156" s="4">
        <v>4</v>
      </c>
      <c r="E156" s="3">
        <v>1700</v>
      </c>
      <c r="F156" s="7">
        <f t="shared" si="2"/>
        <v>45941</v>
      </c>
      <c r="G156" s="3">
        <f>IF(E156&lt;&gt;"", E156*10%, "")</f>
        <v>170</v>
      </c>
      <c r="H156" s="3">
        <f>IF(E156&lt;&gt;"",ROUND(IF(E156&gt;1500,E156*5%,),0),"")</f>
        <v>85</v>
      </c>
      <c r="I156" s="2" t="s">
        <v>2925</v>
      </c>
      <c r="J156" s="3">
        <f>IF(I156="Cash",L156,"")</f>
        <v>1445</v>
      </c>
      <c r="K156" s="3" t="str">
        <f>IF(I156="UPI",L156,"")</f>
        <v/>
      </c>
      <c r="L156" s="3">
        <f>IF(E156&lt;&gt;"",E156-G156-H156,"")</f>
        <v>1445</v>
      </c>
    </row>
    <row r="157" spans="2:12">
      <c r="B157" s="2" t="s">
        <v>1921</v>
      </c>
      <c r="C157" s="9">
        <v>45941</v>
      </c>
      <c r="D157" s="4">
        <v>4</v>
      </c>
      <c r="E157" s="3">
        <v>1260</v>
      </c>
      <c r="F157" s="7">
        <f t="shared" si="2"/>
        <v>45941</v>
      </c>
      <c r="G157" s="3">
        <f>IF(E157&lt;&gt;"", E157*10%, "")</f>
        <v>126</v>
      </c>
      <c r="H157" s="3">
        <f>IF(E157&lt;&gt;"",ROUND(IF(E157&gt;1500,E157*5%,),0),"")</f>
        <v>0</v>
      </c>
      <c r="I157" s="2" t="s">
        <v>2926</v>
      </c>
      <c r="J157" s="3" t="str">
        <f>IF(I157="Cash",L157,"")</f>
        <v/>
      </c>
      <c r="K157" s="3">
        <f>IF(I157="UPI",L157,"")</f>
        <v>1134</v>
      </c>
      <c r="L157" s="3">
        <f>IF(E157&lt;&gt;"",E157-G157-H157,"")</f>
        <v>1134</v>
      </c>
    </row>
    <row r="158" spans="2:12">
      <c r="B158" s="2" t="s">
        <v>1922</v>
      </c>
      <c r="C158" s="9">
        <v>45943</v>
      </c>
      <c r="D158" s="4">
        <v>1</v>
      </c>
      <c r="E158" s="3">
        <v>880</v>
      </c>
      <c r="F158" s="7">
        <f t="shared" si="2"/>
        <v>45943</v>
      </c>
      <c r="G158" s="3">
        <f>IF(E158&lt;&gt;"", E158*10%, "")</f>
        <v>88</v>
      </c>
      <c r="H158" s="3">
        <f>IF(E158&lt;&gt;"",ROUND(IF(E158&gt;1500,E158*5%,),0),"")</f>
        <v>0</v>
      </c>
      <c r="I158" s="2" t="s">
        <v>2926</v>
      </c>
      <c r="J158" s="3" t="str">
        <f>IF(I158="Cash",L158,"")</f>
        <v/>
      </c>
      <c r="K158" s="3">
        <f>IF(I158="UPI",L158,"")</f>
        <v>792</v>
      </c>
      <c r="L158" s="3">
        <f>IF(E158&lt;&gt;"",E158-G158-H158,"")</f>
        <v>792</v>
      </c>
    </row>
    <row r="159" spans="2:12">
      <c r="B159" s="2" t="s">
        <v>1923</v>
      </c>
      <c r="C159" s="9">
        <v>45943</v>
      </c>
      <c r="D159" s="4">
        <v>2</v>
      </c>
      <c r="E159" s="3">
        <v>1480</v>
      </c>
      <c r="F159" s="7">
        <f t="shared" si="2"/>
        <v>45943</v>
      </c>
      <c r="G159" s="3">
        <f>IF(E159&lt;&gt;"", E159*10%, "")</f>
        <v>148</v>
      </c>
      <c r="H159" s="3">
        <f>IF(E159&lt;&gt;"",ROUND(IF(E159&gt;1500,E159*5%,),0),"")</f>
        <v>0</v>
      </c>
      <c r="I159" s="2" t="s">
        <v>2926</v>
      </c>
      <c r="J159" s="3" t="str">
        <f>IF(I159="Cash",L159,"")</f>
        <v/>
      </c>
      <c r="K159" s="3">
        <f>IF(I159="UPI",L159,"")</f>
        <v>1332</v>
      </c>
      <c r="L159" s="3">
        <f>IF(E159&lt;&gt;"",E159-G159-H159,"")</f>
        <v>1332</v>
      </c>
    </row>
    <row r="160" spans="2:12">
      <c r="B160" s="2" t="s">
        <v>1924</v>
      </c>
      <c r="C160" s="9">
        <v>45943</v>
      </c>
      <c r="D160" s="4">
        <v>2</v>
      </c>
      <c r="E160" s="3">
        <v>960</v>
      </c>
      <c r="F160" s="7">
        <f t="shared" si="2"/>
        <v>45943</v>
      </c>
      <c r="G160" s="3">
        <f>IF(E160&lt;&gt;"", E160*10%, "")</f>
        <v>96</v>
      </c>
      <c r="H160" s="3">
        <f>IF(E160&lt;&gt;"",ROUND(IF(E160&gt;1500,E160*5%,),0),"")</f>
        <v>0</v>
      </c>
      <c r="I160" s="2" t="s">
        <v>2926</v>
      </c>
      <c r="J160" s="3" t="str">
        <f>IF(I160="Cash",L160,"")</f>
        <v/>
      </c>
      <c r="K160" s="3">
        <f>IF(I160="UPI",L160,"")</f>
        <v>864</v>
      </c>
      <c r="L160" s="3">
        <f>IF(E160&lt;&gt;"",E160-G160-H160,"")</f>
        <v>864</v>
      </c>
    </row>
    <row r="161" spans="2:12">
      <c r="B161" s="2" t="s">
        <v>1925</v>
      </c>
      <c r="C161" s="9">
        <v>45943</v>
      </c>
      <c r="D161" s="4">
        <v>1</v>
      </c>
      <c r="E161" s="3">
        <v>870</v>
      </c>
      <c r="F161" s="7">
        <f t="shared" si="2"/>
        <v>45943</v>
      </c>
      <c r="G161" s="3">
        <f>IF(E161&lt;&gt;"", E161*10%, "")</f>
        <v>87</v>
      </c>
      <c r="H161" s="3">
        <f>IF(E161&lt;&gt;"",ROUND(IF(E161&gt;1500,E161*5%,),0),"")</f>
        <v>0</v>
      </c>
      <c r="I161" s="2" t="s">
        <v>2926</v>
      </c>
      <c r="J161" s="3" t="str">
        <f>IF(I161="Cash",L161,"")</f>
        <v/>
      </c>
      <c r="K161" s="3">
        <f>IF(I161="UPI",L161,"")</f>
        <v>783</v>
      </c>
      <c r="L161" s="3">
        <f>IF(E161&lt;&gt;"",E161-G161-H161,"")</f>
        <v>783</v>
      </c>
    </row>
    <row r="162" spans="2:12">
      <c r="B162" s="2" t="s">
        <v>1926</v>
      </c>
      <c r="C162" s="9">
        <v>45943</v>
      </c>
      <c r="D162" s="4">
        <v>2</v>
      </c>
      <c r="E162" s="3">
        <v>1870</v>
      </c>
      <c r="F162" s="7">
        <f t="shared" si="2"/>
        <v>45943</v>
      </c>
      <c r="G162" s="3">
        <f>IF(E162&lt;&gt;"", E162*10%, "")</f>
        <v>187</v>
      </c>
      <c r="H162" s="3">
        <f>IF(E162&lt;&gt;"",ROUND(IF(E162&gt;1500,E162*5%,),0),"")</f>
        <v>94</v>
      </c>
      <c r="I162" s="2" t="s">
        <v>2925</v>
      </c>
      <c r="J162" s="3">
        <f>IF(I162="Cash",L162,"")</f>
        <v>1589</v>
      </c>
      <c r="K162" s="3" t="str">
        <f>IF(I162="UPI",L162,"")</f>
        <v/>
      </c>
      <c r="L162" s="3">
        <f>IF(E162&lt;&gt;"",E162-G162-H162,"")</f>
        <v>1589</v>
      </c>
    </row>
    <row r="163" spans="2:12">
      <c r="B163" s="2" t="s">
        <v>1927</v>
      </c>
      <c r="C163" s="9">
        <v>45943</v>
      </c>
      <c r="D163" s="4">
        <v>1</v>
      </c>
      <c r="E163" s="3">
        <v>740</v>
      </c>
      <c r="F163" s="7">
        <f t="shared" si="2"/>
        <v>45943</v>
      </c>
      <c r="G163" s="3">
        <f>IF(E163&lt;&gt;"", E163*10%, "")</f>
        <v>74</v>
      </c>
      <c r="H163" s="3">
        <f>IF(E163&lt;&gt;"",ROUND(IF(E163&gt;1500,E163*5%,),0),"")</f>
        <v>0</v>
      </c>
      <c r="I163" s="2" t="s">
        <v>2926</v>
      </c>
      <c r="J163" s="3" t="str">
        <f>IF(I163="Cash",L163,"")</f>
        <v/>
      </c>
      <c r="K163" s="3">
        <f>IF(I163="UPI",L163,"")</f>
        <v>666</v>
      </c>
      <c r="L163" s="3">
        <f>IF(E163&lt;&gt;"",E163-G163-H163,"")</f>
        <v>666</v>
      </c>
    </row>
    <row r="164" spans="2:12">
      <c r="B164" s="2" t="s">
        <v>1928</v>
      </c>
      <c r="C164" s="9">
        <v>45943</v>
      </c>
      <c r="D164" s="4">
        <v>4</v>
      </c>
      <c r="E164" s="3">
        <v>2760</v>
      </c>
      <c r="F164" s="7">
        <f t="shared" si="2"/>
        <v>45943</v>
      </c>
      <c r="G164" s="3">
        <f>IF(E164&lt;&gt;"", E164*10%, "")</f>
        <v>276</v>
      </c>
      <c r="H164" s="3">
        <f>IF(E164&lt;&gt;"",ROUND(IF(E164&gt;1500,E164*5%,),0),"")</f>
        <v>138</v>
      </c>
      <c r="I164" s="2" t="s">
        <v>2925</v>
      </c>
      <c r="J164" s="3">
        <f>IF(I164="Cash",L164,"")</f>
        <v>2346</v>
      </c>
      <c r="K164" s="3" t="str">
        <f>IF(I164="UPI",L164,"")</f>
        <v/>
      </c>
      <c r="L164" s="3">
        <f>IF(E164&lt;&gt;"",E164-G164-H164,"")</f>
        <v>2346</v>
      </c>
    </row>
    <row r="165" spans="2:12">
      <c r="B165" s="2" t="s">
        <v>1929</v>
      </c>
      <c r="C165" s="9">
        <v>45943</v>
      </c>
      <c r="D165" s="4">
        <v>4</v>
      </c>
      <c r="E165" s="3">
        <v>3620</v>
      </c>
      <c r="F165" s="7">
        <f t="shared" si="2"/>
        <v>45943</v>
      </c>
      <c r="G165" s="3">
        <f>IF(E165&lt;&gt;"", E165*10%, "")</f>
        <v>362</v>
      </c>
      <c r="H165" s="3">
        <f>IF(E165&lt;&gt;"",ROUND(IF(E165&gt;1500,E165*5%,),0),"")</f>
        <v>181</v>
      </c>
      <c r="I165" s="2" t="s">
        <v>2928</v>
      </c>
      <c r="J165" s="10">
        <v>900</v>
      </c>
      <c r="K165" s="10">
        <v>2177</v>
      </c>
      <c r="L165" s="3">
        <f>IF(E165&lt;&gt;"",E165-G165-H165,"")</f>
        <v>3077</v>
      </c>
    </row>
    <row r="166" spans="2:12">
      <c r="B166" s="2" t="s">
        <v>1930</v>
      </c>
      <c r="C166" s="9">
        <v>45943</v>
      </c>
      <c r="D166" s="4">
        <v>1</v>
      </c>
      <c r="E166" s="3">
        <v>1080</v>
      </c>
      <c r="F166" s="7">
        <f t="shared" si="2"/>
        <v>45943</v>
      </c>
      <c r="G166" s="3">
        <f>IF(E166&lt;&gt;"", E166*10%, "")</f>
        <v>108</v>
      </c>
      <c r="H166" s="3">
        <f>IF(E166&lt;&gt;"",ROUND(IF(E166&gt;1500,E166*5%,),0),"")</f>
        <v>0</v>
      </c>
      <c r="I166" s="2" t="s">
        <v>2926</v>
      </c>
      <c r="J166" s="3" t="str">
        <f>IF(I166="Cash",L166,"")</f>
        <v/>
      </c>
      <c r="K166" s="3">
        <f>IF(I166="UPI",L166,"")</f>
        <v>972</v>
      </c>
      <c r="L166" s="3">
        <f>IF(E166&lt;&gt;"",E166-G166-H166,"")</f>
        <v>972</v>
      </c>
    </row>
    <row r="167" spans="2:12">
      <c r="B167" s="2" t="s">
        <v>1931</v>
      </c>
      <c r="C167" s="9">
        <v>45943</v>
      </c>
      <c r="D167" s="4">
        <v>2</v>
      </c>
      <c r="E167" s="3">
        <v>1700</v>
      </c>
      <c r="F167" s="7">
        <f t="shared" si="2"/>
        <v>45943</v>
      </c>
      <c r="G167" s="3">
        <f>IF(E167&lt;&gt;"", E167*10%, "")</f>
        <v>170</v>
      </c>
      <c r="H167" s="3">
        <f>IF(E167&lt;&gt;"",ROUND(IF(E167&gt;1500,E167*5%,),0),"")</f>
        <v>85</v>
      </c>
      <c r="I167" s="2" t="s">
        <v>2925</v>
      </c>
      <c r="J167" s="3">
        <f>IF(I167="Cash",L167,"")</f>
        <v>1445</v>
      </c>
      <c r="K167" s="3" t="str">
        <f>IF(I167="UPI",L167,"")</f>
        <v/>
      </c>
      <c r="L167" s="3">
        <f>IF(E167&lt;&gt;"",E167-G167-H167,"")</f>
        <v>1445</v>
      </c>
    </row>
    <row r="168" spans="2:12">
      <c r="B168" s="2" t="s">
        <v>1932</v>
      </c>
      <c r="C168" s="9">
        <v>45943</v>
      </c>
      <c r="D168" s="4">
        <v>1</v>
      </c>
      <c r="E168" s="3">
        <v>1060</v>
      </c>
      <c r="F168" s="7">
        <f t="shared" si="2"/>
        <v>45943</v>
      </c>
      <c r="G168" s="3">
        <f>IF(E168&lt;&gt;"", E168*10%, "")</f>
        <v>106</v>
      </c>
      <c r="H168" s="3">
        <f>IF(E168&lt;&gt;"",ROUND(IF(E168&gt;1500,E168*5%,),0),"")</f>
        <v>0</v>
      </c>
      <c r="I168" s="2" t="s">
        <v>2926</v>
      </c>
      <c r="J168" s="3" t="str">
        <f>IF(I168="Cash",L168,"")</f>
        <v/>
      </c>
      <c r="K168" s="3">
        <f>IF(I168="UPI",L168,"")</f>
        <v>954</v>
      </c>
      <c r="L168" s="3">
        <f>IF(E168&lt;&gt;"",E168-G168-H168,"")</f>
        <v>954</v>
      </c>
    </row>
    <row r="169" spans="2:12">
      <c r="B169" s="2" t="s">
        <v>1933</v>
      </c>
      <c r="C169" s="9">
        <v>45943</v>
      </c>
      <c r="D169" s="4">
        <v>4</v>
      </c>
      <c r="E169" s="3">
        <v>2540</v>
      </c>
      <c r="F169" s="7">
        <f t="shared" si="2"/>
        <v>45943</v>
      </c>
      <c r="G169" s="3">
        <f>IF(E169&lt;&gt;"", E169*10%, "")</f>
        <v>254</v>
      </c>
      <c r="H169" s="3">
        <f>IF(E169&lt;&gt;"",ROUND(IF(E169&gt;1500,E169*5%,),0),"")</f>
        <v>127</v>
      </c>
      <c r="I169" s="2" t="s">
        <v>2925</v>
      </c>
      <c r="J169" s="3">
        <f>IF(I169="Cash",L169,"")</f>
        <v>2159</v>
      </c>
      <c r="K169" s="3" t="str">
        <f>IF(I169="UPI",L169,"")</f>
        <v/>
      </c>
      <c r="L169" s="3">
        <f>IF(E169&lt;&gt;"",E169-G169-H169,"")</f>
        <v>2159</v>
      </c>
    </row>
    <row r="170" spans="2:12">
      <c r="B170" s="2" t="s">
        <v>1934</v>
      </c>
      <c r="C170" s="9">
        <v>45943</v>
      </c>
      <c r="D170" s="4">
        <v>3</v>
      </c>
      <c r="E170" s="3">
        <v>2290</v>
      </c>
      <c r="F170" s="7">
        <f t="shared" si="2"/>
        <v>45943</v>
      </c>
      <c r="G170" s="3">
        <f>IF(E170&lt;&gt;"", E170*10%, "")</f>
        <v>229</v>
      </c>
      <c r="H170" s="3">
        <f>IF(E170&lt;&gt;"",ROUND(IF(E170&gt;1500,E170*5%,),0),"")</f>
        <v>115</v>
      </c>
      <c r="I170" s="2" t="s">
        <v>2925</v>
      </c>
      <c r="J170" s="3">
        <f>IF(I170="Cash",L170,"")</f>
        <v>1946</v>
      </c>
      <c r="K170" s="3" t="str">
        <f>IF(I170="UPI",L170,"")</f>
        <v/>
      </c>
      <c r="L170" s="3">
        <f>IF(E170&lt;&gt;"",E170-G170-H170,"")</f>
        <v>1946</v>
      </c>
    </row>
    <row r="171" spans="2:12">
      <c r="B171" s="2" t="s">
        <v>1935</v>
      </c>
      <c r="C171" s="9">
        <v>45943</v>
      </c>
      <c r="D171" s="4">
        <v>2</v>
      </c>
      <c r="E171" s="3">
        <v>1090</v>
      </c>
      <c r="F171" s="7">
        <f t="shared" si="2"/>
        <v>45943</v>
      </c>
      <c r="G171" s="3">
        <f>IF(E171&lt;&gt;"", E171*10%, "")</f>
        <v>109</v>
      </c>
      <c r="H171" s="3">
        <f>IF(E171&lt;&gt;"",ROUND(IF(E171&gt;1500,E171*5%,),0),"")</f>
        <v>0</v>
      </c>
      <c r="I171" s="2" t="s">
        <v>2926</v>
      </c>
      <c r="J171" s="3" t="str">
        <f>IF(I171="Cash",L171,"")</f>
        <v/>
      </c>
      <c r="K171" s="3">
        <f>IF(I171="UPI",L171,"")</f>
        <v>981</v>
      </c>
      <c r="L171" s="3">
        <f>IF(E171&lt;&gt;"",E171-G171-H171,"")</f>
        <v>981</v>
      </c>
    </row>
    <row r="172" spans="2:12">
      <c r="B172" s="2" t="s">
        <v>1936</v>
      </c>
      <c r="C172" s="9">
        <v>45943</v>
      </c>
      <c r="D172" s="4">
        <v>3</v>
      </c>
      <c r="E172" s="3">
        <v>2410</v>
      </c>
      <c r="F172" s="7">
        <f t="shared" si="2"/>
        <v>45943</v>
      </c>
      <c r="G172" s="3">
        <f>IF(E172&lt;&gt;"", E172*10%, "")</f>
        <v>241</v>
      </c>
      <c r="H172" s="3">
        <f>IF(E172&lt;&gt;"",ROUND(IF(E172&gt;1500,E172*5%,),0),"")</f>
        <v>121</v>
      </c>
      <c r="I172" s="2" t="s">
        <v>2925</v>
      </c>
      <c r="J172" s="3">
        <f>IF(I172="Cash",L172,"")</f>
        <v>2048</v>
      </c>
      <c r="K172" s="3" t="str">
        <f>IF(I172="UPI",L172,"")</f>
        <v/>
      </c>
      <c r="L172" s="3">
        <f>IF(E172&lt;&gt;"",E172-G172-H172,"")</f>
        <v>2048</v>
      </c>
    </row>
    <row r="173" spans="2:12">
      <c r="B173" s="2" t="s">
        <v>1937</v>
      </c>
      <c r="C173" s="9">
        <v>45943</v>
      </c>
      <c r="D173" s="4">
        <v>1</v>
      </c>
      <c r="E173" s="3">
        <v>780</v>
      </c>
      <c r="F173" s="7">
        <f t="shared" si="2"/>
        <v>45943</v>
      </c>
      <c r="G173" s="3">
        <f>IF(E173&lt;&gt;"", E173*10%, "")</f>
        <v>78</v>
      </c>
      <c r="H173" s="3">
        <f>IF(E173&lt;&gt;"",ROUND(IF(E173&gt;1500,E173*5%,),0),"")</f>
        <v>0</v>
      </c>
      <c r="I173" s="2" t="s">
        <v>2926</v>
      </c>
      <c r="J173" s="3" t="str">
        <f>IF(I173="Cash",L173,"")</f>
        <v/>
      </c>
      <c r="K173" s="3">
        <f>IF(I173="UPI",L173,"")</f>
        <v>702</v>
      </c>
      <c r="L173" s="3">
        <f>IF(E173&lt;&gt;"",E173-G173-H173,"")</f>
        <v>702</v>
      </c>
    </row>
    <row r="174" spans="2:12">
      <c r="B174" s="2" t="s">
        <v>1938</v>
      </c>
      <c r="C174" s="9">
        <v>45943</v>
      </c>
      <c r="D174" s="4">
        <v>3</v>
      </c>
      <c r="E174" s="3">
        <v>2140</v>
      </c>
      <c r="F174" s="7">
        <f t="shared" si="2"/>
        <v>45943</v>
      </c>
      <c r="G174" s="3">
        <f>IF(E174&lt;&gt;"", E174*10%, "")</f>
        <v>214</v>
      </c>
      <c r="H174" s="3">
        <f>IF(E174&lt;&gt;"",ROUND(IF(E174&gt;1500,E174*5%,),0),"")</f>
        <v>107</v>
      </c>
      <c r="I174" s="2" t="s">
        <v>2925</v>
      </c>
      <c r="J174" s="3">
        <f>IF(I174="Cash",L174,"")</f>
        <v>1819</v>
      </c>
      <c r="K174" s="3" t="str">
        <f>IF(I174="UPI",L174,"")</f>
        <v/>
      </c>
      <c r="L174" s="3">
        <f>IF(E174&lt;&gt;"",E174-G174-H174,"")</f>
        <v>1819</v>
      </c>
    </row>
    <row r="175" spans="2:12">
      <c r="B175" s="2" t="s">
        <v>1939</v>
      </c>
      <c r="C175" s="9">
        <v>45944</v>
      </c>
      <c r="D175" s="4">
        <v>4</v>
      </c>
      <c r="E175" s="3">
        <v>2770</v>
      </c>
      <c r="F175" s="7">
        <f t="shared" si="2"/>
        <v>45944</v>
      </c>
      <c r="G175" s="3">
        <f>IF(E175&lt;&gt;"", E175*10%, "")</f>
        <v>277</v>
      </c>
      <c r="H175" s="3">
        <f>IF(E175&lt;&gt;"",ROUND(IF(E175&gt;1500,E175*5%,),0),"")</f>
        <v>139</v>
      </c>
      <c r="I175" s="2" t="s">
        <v>2925</v>
      </c>
      <c r="J175" s="3">
        <f>IF(I175="Cash",L175,"")</f>
        <v>2354</v>
      </c>
      <c r="K175" s="3" t="str">
        <f>IF(I175="UPI",L175,"")</f>
        <v/>
      </c>
      <c r="L175" s="3">
        <f>IF(E175&lt;&gt;"",E175-G175-H175,"")</f>
        <v>2354</v>
      </c>
    </row>
    <row r="176" spans="2:12">
      <c r="B176" s="2" t="s">
        <v>1940</v>
      </c>
      <c r="C176" s="9">
        <v>45944</v>
      </c>
      <c r="D176" s="4">
        <v>2</v>
      </c>
      <c r="E176" s="3">
        <v>1640</v>
      </c>
      <c r="F176" s="7">
        <f t="shared" si="2"/>
        <v>45944</v>
      </c>
      <c r="G176" s="3">
        <f>IF(E176&lt;&gt;"", E176*10%, "")</f>
        <v>164</v>
      </c>
      <c r="H176" s="3">
        <f>IF(E176&lt;&gt;"",ROUND(IF(E176&gt;1500,E176*5%,),0),"")</f>
        <v>82</v>
      </c>
      <c r="I176" s="2" t="s">
        <v>2926</v>
      </c>
      <c r="J176" s="3" t="str">
        <f>IF(I176="Cash",L176,"")</f>
        <v/>
      </c>
      <c r="K176" s="3">
        <f>IF(I176="UPI",L176,"")</f>
        <v>1394</v>
      </c>
      <c r="L176" s="3">
        <f>IF(E176&lt;&gt;"",E176-G176-H176,"")</f>
        <v>1394</v>
      </c>
    </row>
    <row r="177" spans="2:12">
      <c r="B177" s="2" t="s">
        <v>1941</v>
      </c>
      <c r="C177" s="9">
        <v>45944</v>
      </c>
      <c r="D177" s="4">
        <v>4</v>
      </c>
      <c r="E177" s="3">
        <v>1310</v>
      </c>
      <c r="F177" s="7">
        <f t="shared" si="2"/>
        <v>45944</v>
      </c>
      <c r="G177" s="3">
        <f>IF(E177&lt;&gt;"", E177*10%, "")</f>
        <v>131</v>
      </c>
      <c r="H177" s="3">
        <f>IF(E177&lt;&gt;"",ROUND(IF(E177&gt;1500,E177*5%,),0),"")</f>
        <v>0</v>
      </c>
      <c r="I177" s="2" t="s">
        <v>2926</v>
      </c>
      <c r="J177" s="3" t="str">
        <f>IF(I177="Cash",L177,"")</f>
        <v/>
      </c>
      <c r="K177" s="3">
        <f>IF(I177="UPI",L177,"")</f>
        <v>1179</v>
      </c>
      <c r="L177" s="3">
        <f>IF(E177&lt;&gt;"",E177-G177-H177,"")</f>
        <v>1179</v>
      </c>
    </row>
    <row r="178" spans="2:12">
      <c r="B178" s="2" t="s">
        <v>1942</v>
      </c>
      <c r="C178" s="9">
        <v>45944</v>
      </c>
      <c r="D178" s="4">
        <v>1</v>
      </c>
      <c r="E178" s="3">
        <v>550</v>
      </c>
      <c r="F178" s="7">
        <f t="shared" si="2"/>
        <v>45944</v>
      </c>
      <c r="G178" s="3">
        <f>IF(E178&lt;&gt;"", E178*10%, "")</f>
        <v>55</v>
      </c>
      <c r="H178" s="3">
        <f>IF(E178&lt;&gt;"",ROUND(IF(E178&gt;1500,E178*5%,),0),"")</f>
        <v>0</v>
      </c>
      <c r="I178" s="2" t="s">
        <v>2926</v>
      </c>
      <c r="J178" s="3" t="str">
        <f>IF(I178="Cash",L178,"")</f>
        <v/>
      </c>
      <c r="K178" s="3">
        <f>IF(I178="UPI",L178,"")</f>
        <v>495</v>
      </c>
      <c r="L178" s="3">
        <f>IF(E178&lt;&gt;"",E178-G178-H178,"")</f>
        <v>495</v>
      </c>
    </row>
    <row r="179" spans="2:12">
      <c r="B179" s="2" t="s">
        <v>1943</v>
      </c>
      <c r="C179" s="9">
        <v>45944</v>
      </c>
      <c r="D179" s="4">
        <v>1</v>
      </c>
      <c r="E179" s="3">
        <v>830</v>
      </c>
      <c r="F179" s="7">
        <f t="shared" si="2"/>
        <v>45944</v>
      </c>
      <c r="G179" s="3">
        <f>IF(E179&lt;&gt;"", E179*10%, "")</f>
        <v>83</v>
      </c>
      <c r="H179" s="3">
        <f>IF(E179&lt;&gt;"",ROUND(IF(E179&gt;1500,E179*5%,),0),"")</f>
        <v>0</v>
      </c>
      <c r="I179" s="2" t="s">
        <v>2926</v>
      </c>
      <c r="J179" s="3" t="str">
        <f>IF(I179="Cash",L179,"")</f>
        <v/>
      </c>
      <c r="K179" s="3">
        <f>IF(I179="UPI",L179,"")</f>
        <v>747</v>
      </c>
      <c r="L179" s="3">
        <f>IF(E179&lt;&gt;"",E179-G179-H179,"")</f>
        <v>747</v>
      </c>
    </row>
    <row r="180" spans="2:12">
      <c r="B180" s="2" t="s">
        <v>1944</v>
      </c>
      <c r="C180" s="9">
        <v>45944</v>
      </c>
      <c r="D180" s="4">
        <v>1</v>
      </c>
      <c r="E180" s="3">
        <v>790</v>
      </c>
      <c r="F180" s="7">
        <f t="shared" si="2"/>
        <v>45944</v>
      </c>
      <c r="G180" s="3">
        <f>IF(E180&lt;&gt;"", E180*10%, "")</f>
        <v>79</v>
      </c>
      <c r="H180" s="3">
        <f>IF(E180&lt;&gt;"",ROUND(IF(E180&gt;1500,E180*5%,),0),"")</f>
        <v>0</v>
      </c>
      <c r="I180" s="2" t="s">
        <v>2926</v>
      </c>
      <c r="J180" s="3" t="str">
        <f>IF(I180="Cash",L180,"")</f>
        <v/>
      </c>
      <c r="K180" s="3">
        <f>IF(I180="UPI",L180,"")</f>
        <v>711</v>
      </c>
      <c r="L180" s="3">
        <f>IF(E180&lt;&gt;"",E180-G180-H180,"")</f>
        <v>711</v>
      </c>
    </row>
    <row r="181" spans="2:12">
      <c r="B181" s="2" t="s">
        <v>1945</v>
      </c>
      <c r="C181" s="9">
        <v>45944</v>
      </c>
      <c r="D181" s="4">
        <v>3</v>
      </c>
      <c r="E181" s="3">
        <v>1700</v>
      </c>
      <c r="F181" s="7">
        <f t="shared" si="2"/>
        <v>45944</v>
      </c>
      <c r="G181" s="3">
        <f>IF(E181&lt;&gt;"", E181*10%, "")</f>
        <v>170</v>
      </c>
      <c r="H181" s="3">
        <f>IF(E181&lt;&gt;"",ROUND(IF(E181&gt;1500,E181*5%,),0),"")</f>
        <v>85</v>
      </c>
      <c r="I181" s="2" t="s">
        <v>2925</v>
      </c>
      <c r="J181" s="3">
        <f>IF(I181="Cash",L181,"")</f>
        <v>1445</v>
      </c>
      <c r="K181" s="3" t="str">
        <f>IF(I181="UPI",L181,"")</f>
        <v/>
      </c>
      <c r="L181" s="3">
        <f>IF(E181&lt;&gt;"",E181-G181-H181,"")</f>
        <v>1445</v>
      </c>
    </row>
    <row r="182" spans="2:12">
      <c r="B182" s="2" t="s">
        <v>1946</v>
      </c>
      <c r="C182" s="9">
        <v>45944</v>
      </c>
      <c r="D182" s="4">
        <v>3</v>
      </c>
      <c r="E182" s="3">
        <v>1470</v>
      </c>
      <c r="F182" s="7">
        <f t="shared" si="2"/>
        <v>45944</v>
      </c>
      <c r="G182" s="3">
        <f>IF(E182&lt;&gt;"", E182*10%, "")</f>
        <v>147</v>
      </c>
      <c r="H182" s="3">
        <f>IF(E182&lt;&gt;"",ROUND(IF(E182&gt;1500,E182*5%,),0),"")</f>
        <v>0</v>
      </c>
      <c r="I182" s="2" t="s">
        <v>2926</v>
      </c>
      <c r="J182" s="3" t="str">
        <f>IF(I182="Cash",L182,"")</f>
        <v/>
      </c>
      <c r="K182" s="3">
        <f>IF(I182="UPI",L182,"")</f>
        <v>1323</v>
      </c>
      <c r="L182" s="3">
        <f>IF(E182&lt;&gt;"",E182-G182-H182,"")</f>
        <v>1323</v>
      </c>
    </row>
    <row r="183" spans="2:12">
      <c r="B183" s="2" t="s">
        <v>1947</v>
      </c>
      <c r="C183" s="9">
        <v>45944</v>
      </c>
      <c r="D183" s="4">
        <v>4</v>
      </c>
      <c r="E183" s="3">
        <v>2240</v>
      </c>
      <c r="F183" s="7">
        <f t="shared" si="2"/>
        <v>45944</v>
      </c>
      <c r="G183" s="3">
        <f>IF(E183&lt;&gt;"", E183*10%, "")</f>
        <v>224</v>
      </c>
      <c r="H183" s="3">
        <f>IF(E183&lt;&gt;"",ROUND(IF(E183&gt;1500,E183*5%,),0),"")</f>
        <v>112</v>
      </c>
      <c r="I183" s="2" t="s">
        <v>2925</v>
      </c>
      <c r="J183" s="3">
        <f>IF(I183="Cash",L183,"")</f>
        <v>1904</v>
      </c>
      <c r="K183" s="3" t="str">
        <f>IF(I183="UPI",L183,"")</f>
        <v/>
      </c>
      <c r="L183" s="3">
        <f>IF(E183&lt;&gt;"",E183-G183-H183,"")</f>
        <v>1904</v>
      </c>
    </row>
    <row r="184" spans="2:12">
      <c r="B184" s="2" t="s">
        <v>1948</v>
      </c>
      <c r="C184" s="9">
        <v>45944</v>
      </c>
      <c r="D184" s="4">
        <v>1</v>
      </c>
      <c r="E184" s="3">
        <v>710</v>
      </c>
      <c r="F184" s="7">
        <f t="shared" si="2"/>
        <v>45944</v>
      </c>
      <c r="G184" s="3">
        <f>IF(E184&lt;&gt;"", E184*10%, "")</f>
        <v>71</v>
      </c>
      <c r="H184" s="3">
        <f>IF(E184&lt;&gt;"",ROUND(IF(E184&gt;1500,E184*5%,),0),"")</f>
        <v>0</v>
      </c>
      <c r="I184" s="2" t="s">
        <v>2926</v>
      </c>
      <c r="J184" s="3" t="str">
        <f>IF(I184="Cash",L184,"")</f>
        <v/>
      </c>
      <c r="K184" s="3">
        <f>IF(I184="UPI",L184,"")</f>
        <v>639</v>
      </c>
      <c r="L184" s="3">
        <f>IF(E184&lt;&gt;"",E184-G184-H184,"")</f>
        <v>639</v>
      </c>
    </row>
    <row r="185" spans="2:12">
      <c r="B185" s="2" t="s">
        <v>1949</v>
      </c>
      <c r="C185" s="9">
        <v>45944</v>
      </c>
      <c r="D185" s="4">
        <v>3</v>
      </c>
      <c r="E185" s="3">
        <v>2500</v>
      </c>
      <c r="F185" s="7">
        <f t="shared" si="2"/>
        <v>45944</v>
      </c>
      <c r="G185" s="3">
        <f>IF(E185&lt;&gt;"", E185*10%, "")</f>
        <v>250</v>
      </c>
      <c r="H185" s="3">
        <f>IF(E185&lt;&gt;"",ROUND(IF(E185&gt;1500,E185*5%,),0),"")</f>
        <v>125</v>
      </c>
      <c r="I185" s="2" t="s">
        <v>2925</v>
      </c>
      <c r="J185" s="3">
        <f>IF(I185="Cash",L185,"")</f>
        <v>2125</v>
      </c>
      <c r="K185" s="3" t="str">
        <f>IF(I185="UPI",L185,"")</f>
        <v/>
      </c>
      <c r="L185" s="3">
        <f>IF(E185&lt;&gt;"",E185-G185-H185,"")</f>
        <v>2125</v>
      </c>
    </row>
    <row r="186" spans="2:12">
      <c r="B186" s="2" t="s">
        <v>1950</v>
      </c>
      <c r="C186" s="9">
        <v>45944</v>
      </c>
      <c r="D186" s="4">
        <v>4</v>
      </c>
      <c r="E186" s="3">
        <v>3550</v>
      </c>
      <c r="F186" s="7">
        <f t="shared" si="2"/>
        <v>45944</v>
      </c>
      <c r="G186" s="3">
        <f>IF(E186&lt;&gt;"", E186*10%, "")</f>
        <v>355</v>
      </c>
      <c r="H186" s="3">
        <f>IF(E186&lt;&gt;"",ROUND(IF(E186&gt;1500,E186*5%,),0),"")</f>
        <v>178</v>
      </c>
      <c r="I186" s="2" t="s">
        <v>2928</v>
      </c>
      <c r="J186" s="10">
        <v>1700</v>
      </c>
      <c r="K186" s="10">
        <v>1317</v>
      </c>
      <c r="L186" s="3">
        <f>IF(E186&lt;&gt;"",E186-G186-H186,"")</f>
        <v>3017</v>
      </c>
    </row>
    <row r="187" spans="2:12">
      <c r="B187" s="2" t="s">
        <v>1951</v>
      </c>
      <c r="C187" s="9">
        <v>45944</v>
      </c>
      <c r="D187" s="4">
        <v>2</v>
      </c>
      <c r="E187" s="3">
        <v>1630</v>
      </c>
      <c r="F187" s="7">
        <f t="shared" si="2"/>
        <v>45944</v>
      </c>
      <c r="G187" s="3">
        <f>IF(E187&lt;&gt;"", E187*10%, "")</f>
        <v>163</v>
      </c>
      <c r="H187" s="3">
        <f>IF(E187&lt;&gt;"",ROUND(IF(E187&gt;1500,E187*5%,),0),"")</f>
        <v>82</v>
      </c>
      <c r="I187" s="2" t="s">
        <v>2926</v>
      </c>
      <c r="J187" s="3" t="str">
        <f>IF(I187="Cash",L187,"")</f>
        <v/>
      </c>
      <c r="K187" s="3">
        <f>IF(I187="UPI",L187,"")</f>
        <v>1385</v>
      </c>
      <c r="L187" s="3">
        <f>IF(E187&lt;&gt;"",E187-G187-H187,"")</f>
        <v>1385</v>
      </c>
    </row>
    <row r="188" spans="2:12">
      <c r="B188" s="2" t="s">
        <v>1952</v>
      </c>
      <c r="C188" s="9">
        <v>45944</v>
      </c>
      <c r="D188" s="4">
        <v>1</v>
      </c>
      <c r="E188" s="3">
        <v>820</v>
      </c>
      <c r="F188" s="7">
        <f t="shared" si="2"/>
        <v>45944</v>
      </c>
      <c r="G188" s="3">
        <f>IF(E188&lt;&gt;"", E188*10%, "")</f>
        <v>82</v>
      </c>
      <c r="H188" s="3">
        <f>IF(E188&lt;&gt;"",ROUND(IF(E188&gt;1500,E188*5%,),0),"")</f>
        <v>0</v>
      </c>
      <c r="I188" s="2" t="s">
        <v>2926</v>
      </c>
      <c r="J188" s="3" t="str">
        <f>IF(I188="Cash",L188,"")</f>
        <v/>
      </c>
      <c r="K188" s="3">
        <f>IF(I188="UPI",L188,"")</f>
        <v>738</v>
      </c>
      <c r="L188" s="3">
        <f>IF(E188&lt;&gt;"",E188-G188-H188,"")</f>
        <v>738</v>
      </c>
    </row>
    <row r="189" spans="2:12">
      <c r="B189" s="2" t="s">
        <v>1953</v>
      </c>
      <c r="C189" s="9">
        <v>45945</v>
      </c>
      <c r="D189" s="4">
        <v>3</v>
      </c>
      <c r="E189" s="3">
        <v>2270</v>
      </c>
      <c r="F189" s="7">
        <f t="shared" si="2"/>
        <v>45945</v>
      </c>
      <c r="G189" s="3">
        <f>IF(E189&lt;&gt;"", E189*10%, "")</f>
        <v>227</v>
      </c>
      <c r="H189" s="3">
        <f>IF(E189&lt;&gt;"",ROUND(IF(E189&gt;1500,E189*5%,),0),"")</f>
        <v>114</v>
      </c>
      <c r="I189" s="2" t="s">
        <v>2925</v>
      </c>
      <c r="J189" s="3">
        <f>IF(I189="Cash",L189,"")</f>
        <v>1929</v>
      </c>
      <c r="K189" s="3" t="str">
        <f>IF(I189="UPI",L189,"")</f>
        <v/>
      </c>
      <c r="L189" s="3">
        <f>IF(E189&lt;&gt;"",E189-G189-H189,"")</f>
        <v>1929</v>
      </c>
    </row>
    <row r="190" spans="2:12">
      <c r="B190" s="2" t="s">
        <v>1954</v>
      </c>
      <c r="C190" s="9">
        <v>45945</v>
      </c>
      <c r="D190" s="4">
        <v>4</v>
      </c>
      <c r="E190" s="3">
        <v>3330</v>
      </c>
      <c r="F190" s="7">
        <f t="shared" si="2"/>
        <v>45945</v>
      </c>
      <c r="G190" s="3">
        <f>IF(E190&lt;&gt;"", E190*10%, "")</f>
        <v>333</v>
      </c>
      <c r="H190" s="3">
        <f>IF(E190&lt;&gt;"",ROUND(IF(E190&gt;1500,E190*5%,),0),"")</f>
        <v>167</v>
      </c>
      <c r="I190" s="2" t="s">
        <v>2928</v>
      </c>
      <c r="J190" s="10">
        <v>500</v>
      </c>
      <c r="K190" s="10">
        <v>2330</v>
      </c>
      <c r="L190" s="3">
        <f>IF(E190&lt;&gt;"",E190-G190-H190,"")</f>
        <v>2830</v>
      </c>
    </row>
    <row r="191" spans="2:12">
      <c r="B191" s="2" t="s">
        <v>1955</v>
      </c>
      <c r="C191" s="9">
        <v>45945</v>
      </c>
      <c r="D191" s="4">
        <v>3</v>
      </c>
      <c r="E191" s="3">
        <v>1800</v>
      </c>
      <c r="F191" s="7">
        <f t="shared" si="2"/>
        <v>45945</v>
      </c>
      <c r="G191" s="3">
        <f>IF(E191&lt;&gt;"", E191*10%, "")</f>
        <v>180</v>
      </c>
      <c r="H191" s="3">
        <f>IF(E191&lt;&gt;"",ROUND(IF(E191&gt;1500,E191*5%,),0),"")</f>
        <v>90</v>
      </c>
      <c r="I191" s="2" t="s">
        <v>2925</v>
      </c>
      <c r="J191" s="3">
        <f>IF(I191="Cash",L191,"")</f>
        <v>1530</v>
      </c>
      <c r="K191" s="3" t="str">
        <f>IF(I191="UPI",L191,"")</f>
        <v/>
      </c>
      <c r="L191" s="3">
        <f>IF(E191&lt;&gt;"",E191-G191-H191,"")</f>
        <v>1530</v>
      </c>
    </row>
    <row r="192" spans="2:12">
      <c r="B192" s="2" t="s">
        <v>1956</v>
      </c>
      <c r="C192" s="9">
        <v>45945</v>
      </c>
      <c r="D192" s="4">
        <v>2</v>
      </c>
      <c r="E192" s="3">
        <v>1260</v>
      </c>
      <c r="F192" s="7">
        <f t="shared" si="2"/>
        <v>45945</v>
      </c>
      <c r="G192" s="3">
        <f>IF(E192&lt;&gt;"", E192*10%, "")</f>
        <v>126</v>
      </c>
      <c r="H192" s="3">
        <f>IF(E192&lt;&gt;"",ROUND(IF(E192&gt;1500,E192*5%,),0),"")</f>
        <v>0</v>
      </c>
      <c r="I192" s="2" t="s">
        <v>2926</v>
      </c>
      <c r="J192" s="3" t="str">
        <f>IF(I192="Cash",L192,"")</f>
        <v/>
      </c>
      <c r="K192" s="3">
        <f>IF(I192="UPI",L192,"")</f>
        <v>1134</v>
      </c>
      <c r="L192" s="3">
        <f>IF(E192&lt;&gt;"",E192-G192-H192,"")</f>
        <v>1134</v>
      </c>
    </row>
    <row r="193" spans="2:12">
      <c r="B193" s="2" t="s">
        <v>1957</v>
      </c>
      <c r="C193" s="9">
        <v>45945</v>
      </c>
      <c r="D193" s="4">
        <v>2</v>
      </c>
      <c r="E193" s="3">
        <v>1770</v>
      </c>
      <c r="F193" s="7">
        <f t="shared" si="2"/>
        <v>45945</v>
      </c>
      <c r="G193" s="3">
        <f>IF(E193&lt;&gt;"", E193*10%, "")</f>
        <v>177</v>
      </c>
      <c r="H193" s="3">
        <f>IF(E193&lt;&gt;"",ROUND(IF(E193&gt;1500,E193*5%,),0),"")</f>
        <v>89</v>
      </c>
      <c r="I193" s="2" t="s">
        <v>2925</v>
      </c>
      <c r="J193" s="3">
        <f>IF(I193="Cash",L193,"")</f>
        <v>1504</v>
      </c>
      <c r="K193" s="3" t="str">
        <f>IF(I193="UPI",L193,"")</f>
        <v/>
      </c>
      <c r="L193" s="3">
        <f>IF(E193&lt;&gt;"",E193-G193-H193,"")</f>
        <v>1504</v>
      </c>
    </row>
    <row r="194" spans="2:12">
      <c r="B194" s="2" t="s">
        <v>1958</v>
      </c>
      <c r="C194" s="9">
        <v>45945</v>
      </c>
      <c r="D194" s="4">
        <v>1</v>
      </c>
      <c r="E194" s="3">
        <v>130</v>
      </c>
      <c r="F194" s="7">
        <f t="shared" si="2"/>
        <v>45945</v>
      </c>
      <c r="G194" s="3">
        <f>IF(E194&lt;&gt;"", E194*10%, "")</f>
        <v>13</v>
      </c>
      <c r="H194" s="3">
        <f>IF(E194&lt;&gt;"",ROUND(IF(E194&gt;1500,E194*5%,),0),"")</f>
        <v>0</v>
      </c>
      <c r="I194" s="2" t="s">
        <v>2926</v>
      </c>
      <c r="J194" s="3" t="str">
        <f>IF(I194="Cash",L194,"")</f>
        <v/>
      </c>
      <c r="K194" s="3">
        <f>IF(I194="UPI",L194,"")</f>
        <v>117</v>
      </c>
      <c r="L194" s="3">
        <f>IF(E194&lt;&gt;"",E194-G194-H194,"")</f>
        <v>117</v>
      </c>
    </row>
    <row r="195" spans="2:12">
      <c r="B195" s="2" t="s">
        <v>1959</v>
      </c>
      <c r="C195" s="9">
        <v>45945</v>
      </c>
      <c r="D195" s="4">
        <v>3</v>
      </c>
      <c r="E195" s="3">
        <v>790</v>
      </c>
      <c r="F195" s="7">
        <f t="shared" si="2"/>
        <v>45945</v>
      </c>
      <c r="G195" s="3">
        <f>IF(E195&lt;&gt;"", E195*10%, "")</f>
        <v>79</v>
      </c>
      <c r="H195" s="3">
        <f>IF(E195&lt;&gt;"",ROUND(IF(E195&gt;1500,E195*5%,),0),"")</f>
        <v>0</v>
      </c>
      <c r="I195" s="2" t="s">
        <v>2926</v>
      </c>
      <c r="J195" s="3" t="str">
        <f>IF(I195="Cash",L195,"")</f>
        <v/>
      </c>
      <c r="K195" s="3">
        <f>IF(I195="UPI",L195,"")</f>
        <v>711</v>
      </c>
      <c r="L195" s="3">
        <f>IF(E195&lt;&gt;"",E195-G195-H195,"")</f>
        <v>711</v>
      </c>
    </row>
    <row r="196" spans="2:12">
      <c r="B196" s="2" t="s">
        <v>1960</v>
      </c>
      <c r="C196" s="9">
        <v>45945</v>
      </c>
      <c r="D196" s="4">
        <v>4</v>
      </c>
      <c r="E196" s="3">
        <v>3530</v>
      </c>
      <c r="F196" s="7">
        <f t="shared" si="2"/>
        <v>45945</v>
      </c>
      <c r="G196" s="3">
        <f>IF(E196&lt;&gt;"", E196*10%, "")</f>
        <v>353</v>
      </c>
      <c r="H196" s="3">
        <f>IF(E196&lt;&gt;"",ROUND(IF(E196&gt;1500,E196*5%,),0),"")</f>
        <v>177</v>
      </c>
      <c r="I196" s="2" t="s">
        <v>2928</v>
      </c>
      <c r="J196" s="10">
        <v>1000</v>
      </c>
      <c r="K196" s="10">
        <v>2000</v>
      </c>
      <c r="L196" s="3">
        <f>IF(E196&lt;&gt;"",E196-G196-H196,"")</f>
        <v>3000</v>
      </c>
    </row>
    <row r="197" spans="2:12">
      <c r="B197" s="2" t="s">
        <v>1961</v>
      </c>
      <c r="C197" s="9">
        <v>45945</v>
      </c>
      <c r="D197" s="4">
        <v>3</v>
      </c>
      <c r="E197" s="3">
        <v>2300</v>
      </c>
      <c r="F197" s="7">
        <f t="shared" ref="F197:F260" si="3">C197</f>
        <v>45945</v>
      </c>
      <c r="G197" s="3">
        <f>IF(E197&lt;&gt;"", E197*10%, "")</f>
        <v>230</v>
      </c>
      <c r="H197" s="3">
        <f>IF(E197&lt;&gt;"",ROUND(IF(E197&gt;1500,E197*5%,),0),"")</f>
        <v>115</v>
      </c>
      <c r="I197" s="2" t="s">
        <v>2925</v>
      </c>
      <c r="J197" s="3">
        <f>IF(I197="Cash",L197,"")</f>
        <v>1955</v>
      </c>
      <c r="K197" s="3" t="str">
        <f>IF(I197="UPI",L197,"")</f>
        <v/>
      </c>
      <c r="L197" s="3">
        <f>IF(E197&lt;&gt;"",E197-G197-H197,"")</f>
        <v>1955</v>
      </c>
    </row>
    <row r="198" spans="2:12">
      <c r="B198" s="2" t="s">
        <v>1962</v>
      </c>
      <c r="C198" s="9">
        <v>45945</v>
      </c>
      <c r="D198" s="4">
        <v>3</v>
      </c>
      <c r="E198" s="3">
        <v>1960</v>
      </c>
      <c r="F198" s="7">
        <f t="shared" si="3"/>
        <v>45945</v>
      </c>
      <c r="G198" s="3">
        <f>IF(E198&lt;&gt;"", E198*10%, "")</f>
        <v>196</v>
      </c>
      <c r="H198" s="3">
        <f>IF(E198&lt;&gt;"",ROUND(IF(E198&gt;1500,E198*5%,),0),"")</f>
        <v>98</v>
      </c>
      <c r="I198" s="2" t="s">
        <v>2925</v>
      </c>
      <c r="J198" s="3">
        <f>IF(I198="Cash",L198,"")</f>
        <v>1666</v>
      </c>
      <c r="K198" s="3" t="str">
        <f>IF(I198="UPI",L198,"")</f>
        <v/>
      </c>
      <c r="L198" s="3">
        <f>IF(E198&lt;&gt;"",E198-G198-H198,"")</f>
        <v>1666</v>
      </c>
    </row>
    <row r="199" spans="2:12">
      <c r="B199" s="2" t="s">
        <v>1963</v>
      </c>
      <c r="C199" s="9">
        <v>45946</v>
      </c>
      <c r="D199" s="4">
        <v>3</v>
      </c>
      <c r="E199" s="3">
        <v>1570</v>
      </c>
      <c r="F199" s="7">
        <f t="shared" si="3"/>
        <v>45946</v>
      </c>
      <c r="G199" s="3">
        <f>IF(E199&lt;&gt;"", E199*10%, "")</f>
        <v>157</v>
      </c>
      <c r="H199" s="3">
        <f>IF(E199&lt;&gt;"",ROUND(IF(E199&gt;1500,E199*5%,),0),"")</f>
        <v>79</v>
      </c>
      <c r="I199" s="2" t="s">
        <v>2926</v>
      </c>
      <c r="J199" s="3" t="str">
        <f>IF(I199="Cash",L199,"")</f>
        <v/>
      </c>
      <c r="K199" s="3">
        <f>IF(I199="UPI",L199,"")</f>
        <v>1334</v>
      </c>
      <c r="L199" s="3">
        <f>IF(E199&lt;&gt;"",E199-G199-H199,"")</f>
        <v>1334</v>
      </c>
    </row>
    <row r="200" spans="2:12">
      <c r="B200" s="2" t="s">
        <v>1964</v>
      </c>
      <c r="C200" s="9">
        <v>45946</v>
      </c>
      <c r="D200" s="4">
        <v>3</v>
      </c>
      <c r="E200" s="3">
        <v>2400</v>
      </c>
      <c r="F200" s="7">
        <f t="shared" si="3"/>
        <v>45946</v>
      </c>
      <c r="G200" s="3">
        <f>IF(E200&lt;&gt;"", E200*10%, "")</f>
        <v>240</v>
      </c>
      <c r="H200" s="3">
        <f>IF(E200&lt;&gt;"",ROUND(IF(E200&gt;1500,E200*5%,),0),"")</f>
        <v>120</v>
      </c>
      <c r="I200" s="2" t="s">
        <v>2925</v>
      </c>
      <c r="J200" s="3">
        <f>IF(I200="Cash",L200,"")</f>
        <v>2040</v>
      </c>
      <c r="K200" s="3" t="str">
        <f>IF(I200="UPI",L200,"")</f>
        <v/>
      </c>
      <c r="L200" s="3">
        <f>IF(E200&lt;&gt;"",E200-G200-H200,"")</f>
        <v>2040</v>
      </c>
    </row>
    <row r="201" spans="2:12">
      <c r="B201" s="2" t="s">
        <v>1965</v>
      </c>
      <c r="C201" s="9">
        <v>45946</v>
      </c>
      <c r="D201" s="4">
        <v>1</v>
      </c>
      <c r="E201" s="3">
        <v>160</v>
      </c>
      <c r="F201" s="7">
        <f t="shared" si="3"/>
        <v>45946</v>
      </c>
      <c r="G201" s="3">
        <f>IF(E201&lt;&gt;"", E201*10%, "")</f>
        <v>16</v>
      </c>
      <c r="H201" s="3">
        <f>IF(E201&lt;&gt;"",ROUND(IF(E201&gt;1500,E201*5%,),0),"")</f>
        <v>0</v>
      </c>
      <c r="I201" s="2" t="s">
        <v>2926</v>
      </c>
      <c r="J201" s="3" t="str">
        <f>IF(I201="Cash",L201,"")</f>
        <v/>
      </c>
      <c r="K201" s="3">
        <f>IF(I201="UPI",L201,"")</f>
        <v>144</v>
      </c>
      <c r="L201" s="3">
        <f>IF(E201&lt;&gt;"",E201-G201-H201,"")</f>
        <v>144</v>
      </c>
    </row>
    <row r="202" spans="2:12">
      <c r="B202" s="2" t="s">
        <v>1966</v>
      </c>
      <c r="C202" s="9">
        <v>45946</v>
      </c>
      <c r="D202" s="4">
        <v>3</v>
      </c>
      <c r="E202" s="3">
        <v>480</v>
      </c>
      <c r="F202" s="7">
        <f t="shared" si="3"/>
        <v>45946</v>
      </c>
      <c r="G202" s="3">
        <f>IF(E202&lt;&gt;"", E202*10%, "")</f>
        <v>48</v>
      </c>
      <c r="H202" s="3">
        <f>IF(E202&lt;&gt;"",ROUND(IF(E202&gt;1500,E202*5%,),0),"")</f>
        <v>0</v>
      </c>
      <c r="I202" s="2" t="s">
        <v>2926</v>
      </c>
      <c r="J202" s="3" t="str">
        <f>IF(I202="Cash",L202,"")</f>
        <v/>
      </c>
      <c r="K202" s="3">
        <f>IF(I202="UPI",L202,"")</f>
        <v>432</v>
      </c>
      <c r="L202" s="3">
        <f>IF(E202&lt;&gt;"",E202-G202-H202,"")</f>
        <v>432</v>
      </c>
    </row>
    <row r="203" spans="2:12">
      <c r="B203" s="2" t="s">
        <v>1967</v>
      </c>
      <c r="C203" s="9">
        <v>45946</v>
      </c>
      <c r="D203" s="4">
        <v>2</v>
      </c>
      <c r="E203" s="3">
        <v>1700</v>
      </c>
      <c r="F203" s="7">
        <f t="shared" si="3"/>
        <v>45946</v>
      </c>
      <c r="G203" s="3">
        <f>IF(E203&lt;&gt;"", E203*10%, "")</f>
        <v>170</v>
      </c>
      <c r="H203" s="3">
        <f>IF(E203&lt;&gt;"",ROUND(IF(E203&gt;1500,E203*5%,),0),"")</f>
        <v>85</v>
      </c>
      <c r="I203" s="2" t="s">
        <v>2925</v>
      </c>
      <c r="J203" s="3">
        <f>IF(I203="Cash",L203,"")</f>
        <v>1445</v>
      </c>
      <c r="K203" s="3" t="str">
        <f>IF(I203="UPI",L203,"")</f>
        <v/>
      </c>
      <c r="L203" s="3">
        <f>IF(E203&lt;&gt;"",E203-G203-H203,"")</f>
        <v>1445</v>
      </c>
    </row>
    <row r="204" spans="2:12">
      <c r="B204" s="2" t="s">
        <v>1968</v>
      </c>
      <c r="C204" s="9">
        <v>45946</v>
      </c>
      <c r="D204" s="4">
        <v>1</v>
      </c>
      <c r="E204" s="3">
        <v>870</v>
      </c>
      <c r="F204" s="7">
        <f t="shared" si="3"/>
        <v>45946</v>
      </c>
      <c r="G204" s="3">
        <f>IF(E204&lt;&gt;"", E204*10%, "")</f>
        <v>87</v>
      </c>
      <c r="H204" s="3">
        <f>IF(E204&lt;&gt;"",ROUND(IF(E204&gt;1500,E204*5%,),0),"")</f>
        <v>0</v>
      </c>
      <c r="I204" s="2" t="s">
        <v>2926</v>
      </c>
      <c r="J204" s="3" t="str">
        <f>IF(I204="Cash",L204,"")</f>
        <v/>
      </c>
      <c r="K204" s="3">
        <f>IF(I204="UPI",L204,"")</f>
        <v>783</v>
      </c>
      <c r="L204" s="3">
        <f>IF(E204&lt;&gt;"",E204-G204-H204,"")</f>
        <v>783</v>
      </c>
    </row>
    <row r="205" spans="2:12">
      <c r="B205" s="2" t="s">
        <v>1969</v>
      </c>
      <c r="C205" s="9">
        <v>45946</v>
      </c>
      <c r="D205" s="4">
        <v>3</v>
      </c>
      <c r="E205" s="3">
        <v>1590</v>
      </c>
      <c r="F205" s="7">
        <f t="shared" si="3"/>
        <v>45946</v>
      </c>
      <c r="G205" s="3">
        <f>IF(E205&lt;&gt;"", E205*10%, "")</f>
        <v>159</v>
      </c>
      <c r="H205" s="3">
        <f>IF(E205&lt;&gt;"",ROUND(IF(E205&gt;1500,E205*5%,),0),"")</f>
        <v>80</v>
      </c>
      <c r="I205" s="2" t="s">
        <v>2926</v>
      </c>
      <c r="J205" s="3" t="str">
        <f>IF(I205="Cash",L205,"")</f>
        <v/>
      </c>
      <c r="K205" s="3">
        <f>IF(I205="UPI",L205,"")</f>
        <v>1351</v>
      </c>
      <c r="L205" s="3">
        <f>IF(E205&lt;&gt;"",E205-G205-H205,"")</f>
        <v>1351</v>
      </c>
    </row>
    <row r="206" spans="2:12">
      <c r="B206" s="2" t="s">
        <v>1970</v>
      </c>
      <c r="C206" s="9">
        <v>45946</v>
      </c>
      <c r="D206" s="4">
        <v>3</v>
      </c>
      <c r="E206" s="3">
        <v>2610</v>
      </c>
      <c r="F206" s="7">
        <f t="shared" si="3"/>
        <v>45946</v>
      </c>
      <c r="G206" s="3">
        <f>IF(E206&lt;&gt;"", E206*10%, "")</f>
        <v>261</v>
      </c>
      <c r="H206" s="3">
        <f>IF(E206&lt;&gt;"",ROUND(IF(E206&gt;1500,E206*5%,),0),"")</f>
        <v>131</v>
      </c>
      <c r="I206" s="2" t="s">
        <v>2925</v>
      </c>
      <c r="J206" s="3">
        <f>IF(I206="Cash",L206,"")</f>
        <v>2218</v>
      </c>
      <c r="K206" s="3" t="str">
        <f>IF(I206="UPI",L206,"")</f>
        <v/>
      </c>
      <c r="L206" s="3">
        <f>IF(E206&lt;&gt;"",E206-G206-H206,"")</f>
        <v>2218</v>
      </c>
    </row>
    <row r="207" spans="2:12">
      <c r="B207" s="2" t="s">
        <v>1971</v>
      </c>
      <c r="C207" s="9">
        <v>45946</v>
      </c>
      <c r="D207" s="4">
        <v>2</v>
      </c>
      <c r="E207" s="3">
        <v>1660</v>
      </c>
      <c r="F207" s="7">
        <f t="shared" si="3"/>
        <v>45946</v>
      </c>
      <c r="G207" s="3">
        <f>IF(E207&lt;&gt;"", E207*10%, "")</f>
        <v>166</v>
      </c>
      <c r="H207" s="3">
        <f>IF(E207&lt;&gt;"",ROUND(IF(E207&gt;1500,E207*5%,),0),"")</f>
        <v>83</v>
      </c>
      <c r="I207" s="2" t="s">
        <v>2926</v>
      </c>
      <c r="J207" s="3" t="str">
        <f>IF(I207="Cash",L207,"")</f>
        <v/>
      </c>
      <c r="K207" s="3">
        <f>IF(I207="UPI",L207,"")</f>
        <v>1411</v>
      </c>
      <c r="L207" s="3">
        <f>IF(E207&lt;&gt;"",E207-G207-H207,"")</f>
        <v>1411</v>
      </c>
    </row>
    <row r="208" spans="2:12">
      <c r="B208" s="2" t="s">
        <v>1972</v>
      </c>
      <c r="C208" s="9">
        <v>45946</v>
      </c>
      <c r="D208" s="4">
        <v>4</v>
      </c>
      <c r="E208" s="3">
        <v>2180</v>
      </c>
      <c r="F208" s="7">
        <f t="shared" si="3"/>
        <v>45946</v>
      </c>
      <c r="G208" s="3">
        <f>IF(E208&lt;&gt;"", E208*10%, "")</f>
        <v>218</v>
      </c>
      <c r="H208" s="3">
        <f>IF(E208&lt;&gt;"",ROUND(IF(E208&gt;1500,E208*5%,),0),"")</f>
        <v>109</v>
      </c>
      <c r="I208" s="2" t="s">
        <v>2925</v>
      </c>
      <c r="J208" s="3">
        <f>IF(I208="Cash",L208,"")</f>
        <v>1853</v>
      </c>
      <c r="K208" s="3" t="str">
        <f>IF(I208="UPI",L208,"")</f>
        <v/>
      </c>
      <c r="L208" s="3">
        <f>IF(E208&lt;&gt;"",E208-G208-H208,"")</f>
        <v>1853</v>
      </c>
    </row>
    <row r="209" spans="2:12">
      <c r="B209" s="2" t="s">
        <v>1973</v>
      </c>
      <c r="C209" s="9">
        <v>45946</v>
      </c>
      <c r="D209" s="4">
        <v>4</v>
      </c>
      <c r="E209" s="3">
        <v>3530</v>
      </c>
      <c r="F209" s="7">
        <f t="shared" si="3"/>
        <v>45946</v>
      </c>
      <c r="G209" s="3">
        <f>IF(E209&lt;&gt;"", E209*10%, "")</f>
        <v>353</v>
      </c>
      <c r="H209" s="3">
        <f>IF(E209&lt;&gt;"",ROUND(IF(E209&gt;1500,E209*5%,),0),"")</f>
        <v>177</v>
      </c>
      <c r="I209" s="2" t="s">
        <v>2928</v>
      </c>
      <c r="J209" s="10">
        <v>1800</v>
      </c>
      <c r="K209" s="10">
        <v>1200</v>
      </c>
      <c r="L209" s="3">
        <f>IF(E209&lt;&gt;"",E209-G209-H209,"")</f>
        <v>3000</v>
      </c>
    </row>
    <row r="210" spans="2:12">
      <c r="B210" s="2" t="s">
        <v>1974</v>
      </c>
      <c r="C210" s="9">
        <v>45946</v>
      </c>
      <c r="D210" s="4">
        <v>3</v>
      </c>
      <c r="E210" s="3">
        <v>2080</v>
      </c>
      <c r="F210" s="7">
        <f t="shared" si="3"/>
        <v>45946</v>
      </c>
      <c r="G210" s="3">
        <f>IF(E210&lt;&gt;"", E210*10%, "")</f>
        <v>208</v>
      </c>
      <c r="H210" s="3">
        <f>IF(E210&lt;&gt;"",ROUND(IF(E210&gt;1500,E210*5%,),0),"")</f>
        <v>104</v>
      </c>
      <c r="I210" s="2" t="s">
        <v>2925</v>
      </c>
      <c r="J210" s="3">
        <f>IF(I210="Cash",L210,"")</f>
        <v>1768</v>
      </c>
      <c r="K210" s="3" t="str">
        <f>IF(I210="UPI",L210,"")</f>
        <v/>
      </c>
      <c r="L210" s="3">
        <f>IF(E210&lt;&gt;"",E210-G210-H210,"")</f>
        <v>1768</v>
      </c>
    </row>
    <row r="211" spans="2:12">
      <c r="B211" s="2" t="s">
        <v>1975</v>
      </c>
      <c r="C211" s="9">
        <v>45946</v>
      </c>
      <c r="D211" s="4">
        <v>1</v>
      </c>
      <c r="E211" s="3">
        <v>620</v>
      </c>
      <c r="F211" s="7">
        <f t="shared" si="3"/>
        <v>45946</v>
      </c>
      <c r="G211" s="3">
        <f>IF(E211&lt;&gt;"", E211*10%, "")</f>
        <v>62</v>
      </c>
      <c r="H211" s="3">
        <f>IF(E211&lt;&gt;"",ROUND(IF(E211&gt;1500,E211*5%,),0),"")</f>
        <v>0</v>
      </c>
      <c r="I211" s="2" t="s">
        <v>2926</v>
      </c>
      <c r="J211" s="3" t="str">
        <f>IF(I211="Cash",L211,"")</f>
        <v/>
      </c>
      <c r="K211" s="3">
        <f>IF(I211="UPI",L211,"")</f>
        <v>558</v>
      </c>
      <c r="L211" s="3">
        <f>IF(E211&lt;&gt;"",E211-G211-H211,"")</f>
        <v>558</v>
      </c>
    </row>
    <row r="212" spans="2:12">
      <c r="B212" s="2" t="s">
        <v>1976</v>
      </c>
      <c r="C212" s="9">
        <v>45946</v>
      </c>
      <c r="D212" s="4">
        <v>4</v>
      </c>
      <c r="E212" s="3">
        <v>3420</v>
      </c>
      <c r="F212" s="7">
        <f t="shared" si="3"/>
        <v>45946</v>
      </c>
      <c r="G212" s="3">
        <f>IF(E212&lt;&gt;"", E212*10%, "")</f>
        <v>342</v>
      </c>
      <c r="H212" s="3">
        <f>IF(E212&lt;&gt;"",ROUND(IF(E212&gt;1500,E212*5%,),0),"")</f>
        <v>171</v>
      </c>
      <c r="I212" s="2" t="s">
        <v>2928</v>
      </c>
      <c r="J212" s="10">
        <v>1600</v>
      </c>
      <c r="K212" s="10">
        <v>1307</v>
      </c>
      <c r="L212" s="3">
        <f>IF(E212&lt;&gt;"",E212-G212-H212,"")</f>
        <v>2907</v>
      </c>
    </row>
    <row r="213" spans="2:12">
      <c r="B213" s="2" t="s">
        <v>1977</v>
      </c>
      <c r="C213" s="9">
        <v>45946</v>
      </c>
      <c r="D213" s="4">
        <v>1</v>
      </c>
      <c r="E213" s="3">
        <v>960</v>
      </c>
      <c r="F213" s="7">
        <f t="shared" si="3"/>
        <v>45946</v>
      </c>
      <c r="G213" s="3">
        <f>IF(E213&lt;&gt;"", E213*10%, "")</f>
        <v>96</v>
      </c>
      <c r="H213" s="3">
        <f>IF(E213&lt;&gt;"",ROUND(IF(E213&gt;1500,E213*5%,),0),"")</f>
        <v>0</v>
      </c>
      <c r="I213" s="2" t="s">
        <v>2926</v>
      </c>
      <c r="J213" s="3" t="str">
        <f>IF(I213="Cash",L213,"")</f>
        <v/>
      </c>
      <c r="K213" s="3">
        <f>IF(I213="UPI",L213,"")</f>
        <v>864</v>
      </c>
      <c r="L213" s="3">
        <f>IF(E213&lt;&gt;"",E213-G213-H213,"")</f>
        <v>864</v>
      </c>
    </row>
    <row r="214" spans="2:12">
      <c r="B214" s="2" t="s">
        <v>1978</v>
      </c>
      <c r="C214" s="9">
        <v>45946</v>
      </c>
      <c r="D214" s="4">
        <v>4</v>
      </c>
      <c r="E214" s="3">
        <v>3000</v>
      </c>
      <c r="F214" s="7">
        <f t="shared" si="3"/>
        <v>45946</v>
      </c>
      <c r="G214" s="3">
        <f>IF(E214&lt;&gt;"", E214*10%, "")</f>
        <v>300</v>
      </c>
      <c r="H214" s="3">
        <f>IF(E214&lt;&gt;"",ROUND(IF(E214&gt;1500,E214*5%,),0),"")</f>
        <v>150</v>
      </c>
      <c r="I214" s="2" t="s">
        <v>2928</v>
      </c>
      <c r="J214" s="10">
        <v>100</v>
      </c>
      <c r="K214" s="10">
        <v>2450</v>
      </c>
      <c r="L214" s="3">
        <f>IF(E214&lt;&gt;"",E214-G214-H214,"")</f>
        <v>2550</v>
      </c>
    </row>
    <row r="215" spans="2:12">
      <c r="B215" s="2" t="s">
        <v>1979</v>
      </c>
      <c r="C215" s="9">
        <v>45947</v>
      </c>
      <c r="D215" s="4">
        <v>2</v>
      </c>
      <c r="E215" s="3">
        <v>1250</v>
      </c>
      <c r="F215" s="7">
        <f t="shared" si="3"/>
        <v>45947</v>
      </c>
      <c r="G215" s="3">
        <f>IF(E215&lt;&gt;"", E215*10%, "")</f>
        <v>125</v>
      </c>
      <c r="H215" s="3">
        <f>IF(E215&lt;&gt;"",ROUND(IF(E215&gt;1500,E215*5%,),0),"")</f>
        <v>0</v>
      </c>
      <c r="I215" s="2" t="s">
        <v>2926</v>
      </c>
      <c r="J215" s="3" t="str">
        <f>IF(I215="Cash",L215,"")</f>
        <v/>
      </c>
      <c r="K215" s="3">
        <f>IF(I215="UPI",L215,"")</f>
        <v>1125</v>
      </c>
      <c r="L215" s="3">
        <f>IF(E215&lt;&gt;"",E215-G215-H215,"")</f>
        <v>1125</v>
      </c>
    </row>
    <row r="216" spans="2:12">
      <c r="B216" s="2" t="s">
        <v>1980</v>
      </c>
      <c r="C216" s="9">
        <v>45947</v>
      </c>
      <c r="D216" s="4">
        <v>4</v>
      </c>
      <c r="E216" s="3">
        <v>2770</v>
      </c>
      <c r="F216" s="7">
        <f t="shared" si="3"/>
        <v>45947</v>
      </c>
      <c r="G216" s="3">
        <f>IF(E216&lt;&gt;"", E216*10%, "")</f>
        <v>277</v>
      </c>
      <c r="H216" s="3">
        <f>IF(E216&lt;&gt;"",ROUND(IF(E216&gt;1500,E216*5%,),0),"")</f>
        <v>139</v>
      </c>
      <c r="I216" s="2" t="s">
        <v>2925</v>
      </c>
      <c r="J216" s="3">
        <f>IF(I216="Cash",L216,"")</f>
        <v>2354</v>
      </c>
      <c r="K216" s="3" t="str">
        <f>IF(I216="UPI",L216,"")</f>
        <v/>
      </c>
      <c r="L216" s="3">
        <f>IF(E216&lt;&gt;"",E216-G216-H216,"")</f>
        <v>2354</v>
      </c>
    </row>
    <row r="217" spans="2:12">
      <c r="B217" s="2" t="s">
        <v>1981</v>
      </c>
      <c r="C217" s="9">
        <v>45947</v>
      </c>
      <c r="D217" s="4">
        <v>2</v>
      </c>
      <c r="E217" s="3">
        <v>1790</v>
      </c>
      <c r="F217" s="7">
        <f t="shared" si="3"/>
        <v>45947</v>
      </c>
      <c r="G217" s="3">
        <f>IF(E217&lt;&gt;"", E217*10%, "")</f>
        <v>179</v>
      </c>
      <c r="H217" s="3">
        <f>IF(E217&lt;&gt;"",ROUND(IF(E217&gt;1500,E217*5%,),0),"")</f>
        <v>90</v>
      </c>
      <c r="I217" s="2" t="s">
        <v>2925</v>
      </c>
      <c r="J217" s="3">
        <f>IF(I217="Cash",L217,"")</f>
        <v>1521</v>
      </c>
      <c r="K217" s="3" t="str">
        <f>IF(I217="UPI",L217,"")</f>
        <v/>
      </c>
      <c r="L217" s="3">
        <f>IF(E217&lt;&gt;"",E217-G217-H217,"")</f>
        <v>1521</v>
      </c>
    </row>
    <row r="218" spans="2:12">
      <c r="B218" s="2" t="s">
        <v>1982</v>
      </c>
      <c r="C218" s="9">
        <v>45947</v>
      </c>
      <c r="D218" s="4">
        <v>4</v>
      </c>
      <c r="E218" s="3">
        <v>1960</v>
      </c>
      <c r="F218" s="7">
        <f t="shared" si="3"/>
        <v>45947</v>
      </c>
      <c r="G218" s="3">
        <f>IF(E218&lt;&gt;"", E218*10%, "")</f>
        <v>196</v>
      </c>
      <c r="H218" s="3">
        <f>IF(E218&lt;&gt;"",ROUND(IF(E218&gt;1500,E218*5%,),0),"")</f>
        <v>98</v>
      </c>
      <c r="I218" s="2" t="s">
        <v>2925</v>
      </c>
      <c r="J218" s="3">
        <f>IF(I218="Cash",L218,"")</f>
        <v>1666</v>
      </c>
      <c r="K218" s="3" t="str">
        <f>IF(I218="UPI",L218,"")</f>
        <v/>
      </c>
      <c r="L218" s="3">
        <f>IF(E218&lt;&gt;"",E218-G218-H218,"")</f>
        <v>1666</v>
      </c>
    </row>
    <row r="219" spans="2:12">
      <c r="B219" s="2" t="s">
        <v>1983</v>
      </c>
      <c r="C219" s="9">
        <v>45947</v>
      </c>
      <c r="D219" s="4">
        <v>3</v>
      </c>
      <c r="E219" s="3">
        <v>2320</v>
      </c>
      <c r="F219" s="7">
        <f t="shared" si="3"/>
        <v>45947</v>
      </c>
      <c r="G219" s="3">
        <f>IF(E219&lt;&gt;"", E219*10%, "")</f>
        <v>232</v>
      </c>
      <c r="H219" s="3">
        <f>IF(E219&lt;&gt;"",ROUND(IF(E219&gt;1500,E219*5%,),0),"")</f>
        <v>116</v>
      </c>
      <c r="I219" s="2" t="s">
        <v>2925</v>
      </c>
      <c r="J219" s="3">
        <f>IF(I219="Cash",L219,"")</f>
        <v>1972</v>
      </c>
      <c r="K219" s="3" t="str">
        <f>IF(I219="UPI",L219,"")</f>
        <v/>
      </c>
      <c r="L219" s="3">
        <f>IF(E219&lt;&gt;"",E219-G219-H219,"")</f>
        <v>1972</v>
      </c>
    </row>
    <row r="220" spans="2:12">
      <c r="B220" s="2" t="s">
        <v>1984</v>
      </c>
      <c r="C220" s="9">
        <v>45947</v>
      </c>
      <c r="D220" s="4">
        <v>1</v>
      </c>
      <c r="E220" s="3">
        <v>870</v>
      </c>
      <c r="F220" s="7">
        <f t="shared" si="3"/>
        <v>45947</v>
      </c>
      <c r="G220" s="3">
        <f>IF(E220&lt;&gt;"", E220*10%, "")</f>
        <v>87</v>
      </c>
      <c r="H220" s="3">
        <f>IF(E220&lt;&gt;"",ROUND(IF(E220&gt;1500,E220*5%,),0),"")</f>
        <v>0</v>
      </c>
      <c r="I220" s="2" t="s">
        <v>2926</v>
      </c>
      <c r="J220" s="3" t="str">
        <f>IF(I220="Cash",L220,"")</f>
        <v/>
      </c>
      <c r="K220" s="3">
        <f>IF(I220="UPI",L220,"")</f>
        <v>783</v>
      </c>
      <c r="L220" s="3">
        <f>IF(E220&lt;&gt;"",E220-G220-H220,"")</f>
        <v>783</v>
      </c>
    </row>
    <row r="221" spans="2:12">
      <c r="B221" s="2" t="s">
        <v>1985</v>
      </c>
      <c r="C221" s="9">
        <v>45947</v>
      </c>
      <c r="D221" s="4">
        <v>2</v>
      </c>
      <c r="E221" s="3">
        <v>1810</v>
      </c>
      <c r="F221" s="7">
        <f t="shared" si="3"/>
        <v>45947</v>
      </c>
      <c r="G221" s="3">
        <f>IF(E221&lt;&gt;"", E221*10%, "")</f>
        <v>181</v>
      </c>
      <c r="H221" s="3">
        <f>IF(E221&lt;&gt;"",ROUND(IF(E221&gt;1500,E221*5%,),0),"")</f>
        <v>91</v>
      </c>
      <c r="I221" s="2" t="s">
        <v>2925</v>
      </c>
      <c r="J221" s="3">
        <f>IF(I221="Cash",L221,"")</f>
        <v>1538</v>
      </c>
      <c r="K221" s="3" t="str">
        <f>IF(I221="UPI",L221,"")</f>
        <v/>
      </c>
      <c r="L221" s="3">
        <f>IF(E221&lt;&gt;"",E221-G221-H221,"")</f>
        <v>1538</v>
      </c>
    </row>
    <row r="222" spans="2:12">
      <c r="B222" s="2" t="s">
        <v>1986</v>
      </c>
      <c r="C222" s="9">
        <v>45947</v>
      </c>
      <c r="D222" s="4">
        <v>1</v>
      </c>
      <c r="E222" s="3">
        <v>910</v>
      </c>
      <c r="F222" s="7">
        <f t="shared" si="3"/>
        <v>45947</v>
      </c>
      <c r="G222" s="3">
        <f>IF(E222&lt;&gt;"", E222*10%, "")</f>
        <v>91</v>
      </c>
      <c r="H222" s="3">
        <f>IF(E222&lt;&gt;"",ROUND(IF(E222&gt;1500,E222*5%,),0),"")</f>
        <v>0</v>
      </c>
      <c r="I222" s="2" t="s">
        <v>2926</v>
      </c>
      <c r="J222" s="3" t="str">
        <f>IF(I222="Cash",L222,"")</f>
        <v/>
      </c>
      <c r="K222" s="3">
        <f>IF(I222="UPI",L222,"")</f>
        <v>819</v>
      </c>
      <c r="L222" s="3">
        <f>IF(E222&lt;&gt;"",E222-G222-H222,"")</f>
        <v>819</v>
      </c>
    </row>
    <row r="223" spans="2:12">
      <c r="B223" s="2" t="s">
        <v>1987</v>
      </c>
      <c r="C223" s="9">
        <v>45947</v>
      </c>
      <c r="D223" s="4">
        <v>3</v>
      </c>
      <c r="E223" s="3">
        <v>1500</v>
      </c>
      <c r="F223" s="7">
        <f t="shared" si="3"/>
        <v>45947</v>
      </c>
      <c r="G223" s="3">
        <f>IF(E223&lt;&gt;"", E223*10%, "")</f>
        <v>150</v>
      </c>
      <c r="H223" s="3">
        <f>IF(E223&lt;&gt;"",ROUND(IF(E223&gt;1500,E223*5%,),0),"")</f>
        <v>0</v>
      </c>
      <c r="I223" s="2" t="s">
        <v>2926</v>
      </c>
      <c r="J223" s="3" t="str">
        <f>IF(I223="Cash",L223,"")</f>
        <v/>
      </c>
      <c r="K223" s="3">
        <f>IF(I223="UPI",L223,"")</f>
        <v>1350</v>
      </c>
      <c r="L223" s="3">
        <f>IF(E223&lt;&gt;"",E223-G223-H223,"")</f>
        <v>1350</v>
      </c>
    </row>
    <row r="224" spans="2:12">
      <c r="B224" s="2" t="s">
        <v>1988</v>
      </c>
      <c r="C224" s="9">
        <v>45947</v>
      </c>
      <c r="D224" s="4">
        <v>3</v>
      </c>
      <c r="E224" s="3">
        <v>2660</v>
      </c>
      <c r="F224" s="7">
        <f t="shared" si="3"/>
        <v>45947</v>
      </c>
      <c r="G224" s="3">
        <f>IF(E224&lt;&gt;"", E224*10%, "")</f>
        <v>266</v>
      </c>
      <c r="H224" s="3">
        <f>IF(E224&lt;&gt;"",ROUND(IF(E224&gt;1500,E224*5%,),0),"")</f>
        <v>133</v>
      </c>
      <c r="I224" s="2" t="s">
        <v>2925</v>
      </c>
      <c r="J224" s="3">
        <f>IF(I224="Cash",L224,"")</f>
        <v>2261</v>
      </c>
      <c r="K224" s="3" t="str">
        <f>IF(I224="UPI",L224,"")</f>
        <v/>
      </c>
      <c r="L224" s="3">
        <f>IF(E224&lt;&gt;"",E224-G224-H224,"")</f>
        <v>2261</v>
      </c>
    </row>
    <row r="225" spans="2:12">
      <c r="B225" s="2" t="s">
        <v>1989</v>
      </c>
      <c r="C225" s="9">
        <v>45947</v>
      </c>
      <c r="D225" s="4">
        <v>2</v>
      </c>
      <c r="E225" s="3">
        <v>1060</v>
      </c>
      <c r="F225" s="7">
        <f t="shared" si="3"/>
        <v>45947</v>
      </c>
      <c r="G225" s="3">
        <f>IF(E225&lt;&gt;"", E225*10%, "")</f>
        <v>106</v>
      </c>
      <c r="H225" s="3">
        <f>IF(E225&lt;&gt;"",ROUND(IF(E225&gt;1500,E225*5%,),0),"")</f>
        <v>0</v>
      </c>
      <c r="I225" s="2" t="s">
        <v>2926</v>
      </c>
      <c r="J225" s="3" t="str">
        <f>IF(I225="Cash",L225,"")</f>
        <v/>
      </c>
      <c r="K225" s="3">
        <f>IF(I225="UPI",L225,"")</f>
        <v>954</v>
      </c>
      <c r="L225" s="3">
        <f>IF(E225&lt;&gt;"",E225-G225-H225,"")</f>
        <v>954</v>
      </c>
    </row>
    <row r="226" spans="2:12">
      <c r="B226" s="2" t="s">
        <v>1990</v>
      </c>
      <c r="C226" s="9">
        <v>45947</v>
      </c>
      <c r="D226" s="4">
        <v>4</v>
      </c>
      <c r="E226" s="3">
        <v>1880</v>
      </c>
      <c r="F226" s="7">
        <f t="shared" si="3"/>
        <v>45947</v>
      </c>
      <c r="G226" s="3">
        <f>IF(E226&lt;&gt;"", E226*10%, "")</f>
        <v>188</v>
      </c>
      <c r="H226" s="3">
        <f>IF(E226&lt;&gt;"",ROUND(IF(E226&gt;1500,E226*5%,),0),"")</f>
        <v>94</v>
      </c>
      <c r="I226" s="2" t="s">
        <v>2925</v>
      </c>
      <c r="J226" s="3">
        <f>IF(I226="Cash",L226,"")</f>
        <v>1598</v>
      </c>
      <c r="K226" s="3" t="str">
        <f>IF(I226="UPI",L226,"")</f>
        <v/>
      </c>
      <c r="L226" s="3">
        <f>IF(E226&lt;&gt;"",E226-G226-H226,"")</f>
        <v>1598</v>
      </c>
    </row>
    <row r="227" spans="2:12">
      <c r="B227" s="2" t="s">
        <v>1991</v>
      </c>
      <c r="C227" s="9">
        <v>45947</v>
      </c>
      <c r="D227" s="4">
        <v>1</v>
      </c>
      <c r="E227" s="3">
        <v>950</v>
      </c>
      <c r="F227" s="7">
        <f t="shared" si="3"/>
        <v>45947</v>
      </c>
      <c r="G227" s="3">
        <f>IF(E227&lt;&gt;"", E227*10%, "")</f>
        <v>95</v>
      </c>
      <c r="H227" s="3">
        <f>IF(E227&lt;&gt;"",ROUND(IF(E227&gt;1500,E227*5%,),0),"")</f>
        <v>0</v>
      </c>
      <c r="I227" s="2" t="s">
        <v>2926</v>
      </c>
      <c r="J227" s="3" t="str">
        <f>IF(I227="Cash",L227,"")</f>
        <v/>
      </c>
      <c r="K227" s="3">
        <f>IF(I227="UPI",L227,"")</f>
        <v>855</v>
      </c>
      <c r="L227" s="3">
        <f>IF(E227&lt;&gt;"",E227-G227-H227,"")</f>
        <v>855</v>
      </c>
    </row>
    <row r="228" spans="2:12">
      <c r="B228" s="2" t="s">
        <v>1992</v>
      </c>
      <c r="C228" s="9">
        <v>45947</v>
      </c>
      <c r="D228" s="4">
        <v>2</v>
      </c>
      <c r="E228" s="3">
        <v>1550</v>
      </c>
      <c r="F228" s="7">
        <f t="shared" si="3"/>
        <v>45947</v>
      </c>
      <c r="G228" s="3">
        <f>IF(E228&lt;&gt;"", E228*10%, "")</f>
        <v>155</v>
      </c>
      <c r="H228" s="3">
        <f>IF(E228&lt;&gt;"",ROUND(IF(E228&gt;1500,E228*5%,),0),"")</f>
        <v>78</v>
      </c>
      <c r="I228" s="2" t="s">
        <v>2926</v>
      </c>
      <c r="J228" s="3" t="str">
        <f>IF(I228="Cash",L228,"")</f>
        <v/>
      </c>
      <c r="K228" s="3">
        <f>IF(I228="UPI",L228,"")</f>
        <v>1317</v>
      </c>
      <c r="L228" s="3">
        <f>IF(E228&lt;&gt;"",E228-G228-H228,"")</f>
        <v>1317</v>
      </c>
    </row>
    <row r="229" spans="2:12">
      <c r="B229" s="2" t="s">
        <v>1993</v>
      </c>
      <c r="C229" s="9">
        <v>45947</v>
      </c>
      <c r="D229" s="4">
        <v>4</v>
      </c>
      <c r="E229" s="3">
        <v>2140</v>
      </c>
      <c r="F229" s="7">
        <f t="shared" si="3"/>
        <v>45947</v>
      </c>
      <c r="G229" s="3">
        <f>IF(E229&lt;&gt;"", E229*10%, "")</f>
        <v>214</v>
      </c>
      <c r="H229" s="3">
        <f>IF(E229&lt;&gt;"",ROUND(IF(E229&gt;1500,E229*5%,),0),"")</f>
        <v>107</v>
      </c>
      <c r="I229" s="2" t="s">
        <v>2925</v>
      </c>
      <c r="J229" s="3">
        <f>IF(I229="Cash",L229,"")</f>
        <v>1819</v>
      </c>
      <c r="K229" s="3" t="str">
        <f>IF(I229="UPI",L229,"")</f>
        <v/>
      </c>
      <c r="L229" s="3">
        <f>IF(E229&lt;&gt;"",E229-G229-H229,"")</f>
        <v>1819</v>
      </c>
    </row>
    <row r="230" spans="2:12">
      <c r="B230" s="2" t="s">
        <v>1994</v>
      </c>
      <c r="C230" s="9">
        <v>45947</v>
      </c>
      <c r="D230" s="4">
        <v>3</v>
      </c>
      <c r="E230" s="3">
        <v>2380</v>
      </c>
      <c r="F230" s="7">
        <f t="shared" si="3"/>
        <v>45947</v>
      </c>
      <c r="G230" s="3">
        <f>IF(E230&lt;&gt;"", E230*10%, "")</f>
        <v>238</v>
      </c>
      <c r="H230" s="3">
        <f>IF(E230&lt;&gt;"",ROUND(IF(E230&gt;1500,E230*5%,),0),"")</f>
        <v>119</v>
      </c>
      <c r="I230" s="2" t="s">
        <v>2925</v>
      </c>
      <c r="J230" s="3">
        <f>IF(I230="Cash",L230,"")</f>
        <v>2023</v>
      </c>
      <c r="K230" s="3" t="str">
        <f>IF(I230="UPI",L230,"")</f>
        <v/>
      </c>
      <c r="L230" s="3">
        <f>IF(E230&lt;&gt;"",E230-G230-H230,"")</f>
        <v>2023</v>
      </c>
    </row>
    <row r="231" spans="2:12">
      <c r="B231" s="2" t="s">
        <v>1995</v>
      </c>
      <c r="C231" s="9">
        <v>45947</v>
      </c>
      <c r="D231" s="4">
        <v>1</v>
      </c>
      <c r="E231" s="3">
        <v>720</v>
      </c>
      <c r="F231" s="7">
        <f t="shared" si="3"/>
        <v>45947</v>
      </c>
      <c r="G231" s="3">
        <f>IF(E231&lt;&gt;"", E231*10%, "")</f>
        <v>72</v>
      </c>
      <c r="H231" s="3">
        <f>IF(E231&lt;&gt;"",ROUND(IF(E231&gt;1500,E231*5%,),0),"")</f>
        <v>0</v>
      </c>
      <c r="I231" s="2" t="s">
        <v>2926</v>
      </c>
      <c r="J231" s="3" t="str">
        <f>IF(I231="Cash",L231,"")</f>
        <v/>
      </c>
      <c r="K231" s="3">
        <f>IF(I231="UPI",L231,"")</f>
        <v>648</v>
      </c>
      <c r="L231" s="3">
        <f>IF(E231&lt;&gt;"",E231-G231-H231,"")</f>
        <v>648</v>
      </c>
    </row>
    <row r="232" spans="2:12">
      <c r="B232" s="2" t="s">
        <v>1996</v>
      </c>
      <c r="C232" s="9">
        <v>45947</v>
      </c>
      <c r="D232" s="4">
        <v>3</v>
      </c>
      <c r="E232" s="3">
        <v>2320</v>
      </c>
      <c r="F232" s="7">
        <f t="shared" si="3"/>
        <v>45947</v>
      </c>
      <c r="G232" s="3">
        <f>IF(E232&lt;&gt;"", E232*10%, "")</f>
        <v>232</v>
      </c>
      <c r="H232" s="3">
        <f>IF(E232&lt;&gt;"",ROUND(IF(E232&gt;1500,E232*5%,),0),"")</f>
        <v>116</v>
      </c>
      <c r="I232" s="2" t="s">
        <v>2925</v>
      </c>
      <c r="J232" s="3">
        <f>IF(I232="Cash",L232,"")</f>
        <v>1972</v>
      </c>
      <c r="K232" s="3" t="str">
        <f>IF(I232="UPI",L232,"")</f>
        <v/>
      </c>
      <c r="L232" s="3">
        <f>IF(E232&lt;&gt;"",E232-G232-H232,"")</f>
        <v>1972</v>
      </c>
    </row>
    <row r="233" spans="2:12">
      <c r="B233" s="2" t="s">
        <v>1997</v>
      </c>
      <c r="C233" s="9">
        <v>45948</v>
      </c>
      <c r="D233" s="4">
        <v>2</v>
      </c>
      <c r="E233" s="3">
        <v>1390</v>
      </c>
      <c r="F233" s="7">
        <f t="shared" si="3"/>
        <v>45948</v>
      </c>
      <c r="G233" s="3">
        <f>IF(E233&lt;&gt;"", E233*10%, "")</f>
        <v>139</v>
      </c>
      <c r="H233" s="3">
        <f>IF(E233&lt;&gt;"",ROUND(IF(E233&gt;1500,E233*5%,),0),"")</f>
        <v>0</v>
      </c>
      <c r="I233" s="2" t="s">
        <v>2926</v>
      </c>
      <c r="J233" s="3" t="str">
        <f>IF(I233="Cash",L233,"")</f>
        <v/>
      </c>
      <c r="K233" s="3">
        <f>IF(I233="UPI",L233,"")</f>
        <v>1251</v>
      </c>
      <c r="L233" s="3">
        <f>IF(E233&lt;&gt;"",E233-G233-H233,"")</f>
        <v>1251</v>
      </c>
    </row>
    <row r="234" spans="2:12">
      <c r="B234" s="2" t="s">
        <v>1998</v>
      </c>
      <c r="C234" s="9">
        <v>45948</v>
      </c>
      <c r="D234" s="4">
        <v>2</v>
      </c>
      <c r="E234" s="3">
        <v>1670</v>
      </c>
      <c r="F234" s="7">
        <f t="shared" si="3"/>
        <v>45948</v>
      </c>
      <c r="G234" s="3">
        <f>IF(E234&lt;&gt;"", E234*10%, "")</f>
        <v>167</v>
      </c>
      <c r="H234" s="3">
        <f>IF(E234&lt;&gt;"",ROUND(IF(E234&gt;1500,E234*5%,),0),"")</f>
        <v>84</v>
      </c>
      <c r="I234" s="2" t="s">
        <v>2926</v>
      </c>
      <c r="J234" s="3" t="str">
        <f>IF(I234="Cash",L234,"")</f>
        <v/>
      </c>
      <c r="K234" s="3">
        <f>IF(I234="UPI",L234,"")</f>
        <v>1419</v>
      </c>
      <c r="L234" s="3">
        <f>IF(E234&lt;&gt;"",E234-G234-H234,"")</f>
        <v>1419</v>
      </c>
    </row>
    <row r="235" spans="2:12">
      <c r="B235" s="2" t="s">
        <v>1999</v>
      </c>
      <c r="C235" s="9">
        <v>45948</v>
      </c>
      <c r="D235" s="4">
        <v>2</v>
      </c>
      <c r="E235" s="3">
        <v>910</v>
      </c>
      <c r="F235" s="7">
        <f t="shared" si="3"/>
        <v>45948</v>
      </c>
      <c r="G235" s="3">
        <f>IF(E235&lt;&gt;"", E235*10%, "")</f>
        <v>91</v>
      </c>
      <c r="H235" s="3">
        <f>IF(E235&lt;&gt;"",ROUND(IF(E235&gt;1500,E235*5%,),0),"")</f>
        <v>0</v>
      </c>
      <c r="I235" s="2" t="s">
        <v>2926</v>
      </c>
      <c r="J235" s="3" t="str">
        <f>IF(I235="Cash",L235,"")</f>
        <v/>
      </c>
      <c r="K235" s="3">
        <f>IF(I235="UPI",L235,"")</f>
        <v>819</v>
      </c>
      <c r="L235" s="3">
        <f>IF(E235&lt;&gt;"",E235-G235-H235,"")</f>
        <v>819</v>
      </c>
    </row>
    <row r="236" spans="2:12">
      <c r="B236" s="2" t="s">
        <v>2000</v>
      </c>
      <c r="C236" s="9">
        <v>45948</v>
      </c>
      <c r="D236" s="4">
        <v>4</v>
      </c>
      <c r="E236" s="3">
        <v>1920</v>
      </c>
      <c r="F236" s="7">
        <f t="shared" si="3"/>
        <v>45948</v>
      </c>
      <c r="G236" s="3">
        <f>IF(E236&lt;&gt;"", E236*10%, "")</f>
        <v>192</v>
      </c>
      <c r="H236" s="3">
        <f>IF(E236&lt;&gt;"",ROUND(IF(E236&gt;1500,E236*5%,),0),"")</f>
        <v>96</v>
      </c>
      <c r="I236" s="2" t="s">
        <v>2925</v>
      </c>
      <c r="J236" s="3">
        <f>IF(I236="Cash",L236,"")</f>
        <v>1632</v>
      </c>
      <c r="K236" s="3" t="str">
        <f>IF(I236="UPI",L236,"")</f>
        <v/>
      </c>
      <c r="L236" s="3">
        <f>IF(E236&lt;&gt;"",E236-G236-H236,"")</f>
        <v>1632</v>
      </c>
    </row>
    <row r="237" spans="2:12">
      <c r="B237" s="2" t="s">
        <v>2001</v>
      </c>
      <c r="C237" s="9">
        <v>45948</v>
      </c>
      <c r="D237" s="4">
        <v>3</v>
      </c>
      <c r="E237" s="3">
        <v>1400</v>
      </c>
      <c r="F237" s="7">
        <f t="shared" si="3"/>
        <v>45948</v>
      </c>
      <c r="G237" s="3">
        <f>IF(E237&lt;&gt;"", E237*10%, "")</f>
        <v>140</v>
      </c>
      <c r="H237" s="3">
        <f>IF(E237&lt;&gt;"",ROUND(IF(E237&gt;1500,E237*5%,),0),"")</f>
        <v>0</v>
      </c>
      <c r="I237" s="2" t="s">
        <v>2926</v>
      </c>
      <c r="J237" s="3" t="str">
        <f>IF(I237="Cash",L237,"")</f>
        <v/>
      </c>
      <c r="K237" s="3">
        <f>IF(I237="UPI",L237,"")</f>
        <v>1260</v>
      </c>
      <c r="L237" s="3">
        <f>IF(E237&lt;&gt;"",E237-G237-H237,"")</f>
        <v>1260</v>
      </c>
    </row>
    <row r="238" spans="2:12">
      <c r="B238" s="2" t="s">
        <v>2002</v>
      </c>
      <c r="C238" s="9">
        <v>45948</v>
      </c>
      <c r="D238" s="4">
        <v>4</v>
      </c>
      <c r="E238" s="3">
        <v>3320</v>
      </c>
      <c r="F238" s="7">
        <f t="shared" si="3"/>
        <v>45948</v>
      </c>
      <c r="G238" s="3">
        <f>IF(E238&lt;&gt;"", E238*10%, "")</f>
        <v>332</v>
      </c>
      <c r="H238" s="3">
        <f>IF(E238&lt;&gt;"",ROUND(IF(E238&gt;1500,E238*5%,),0),"")</f>
        <v>166</v>
      </c>
      <c r="I238" s="2" t="s">
        <v>2928</v>
      </c>
      <c r="J238" s="10">
        <v>1000</v>
      </c>
      <c r="K238" s="10">
        <v>1822</v>
      </c>
      <c r="L238" s="3">
        <f>IF(E238&lt;&gt;"",E238-G238-H238,"")</f>
        <v>2822</v>
      </c>
    </row>
    <row r="239" spans="2:12">
      <c r="B239" s="2" t="s">
        <v>2003</v>
      </c>
      <c r="C239" s="9">
        <v>45948</v>
      </c>
      <c r="D239" s="4">
        <v>3</v>
      </c>
      <c r="E239" s="3">
        <v>480</v>
      </c>
      <c r="F239" s="7">
        <f t="shared" si="3"/>
        <v>45948</v>
      </c>
      <c r="G239" s="3">
        <f>IF(E239&lt;&gt;"", E239*10%, "")</f>
        <v>48</v>
      </c>
      <c r="H239" s="3">
        <f>IF(E239&lt;&gt;"",ROUND(IF(E239&gt;1500,E239*5%,),0),"")</f>
        <v>0</v>
      </c>
      <c r="I239" s="2" t="s">
        <v>2926</v>
      </c>
      <c r="J239" s="3" t="str">
        <f>IF(I239="Cash",L239,"")</f>
        <v/>
      </c>
      <c r="K239" s="3">
        <f>IF(I239="UPI",L239,"")</f>
        <v>432</v>
      </c>
      <c r="L239" s="3">
        <f>IF(E239&lt;&gt;"",E239-G239-H239,"")</f>
        <v>432</v>
      </c>
    </row>
    <row r="240" spans="2:12">
      <c r="B240" s="2" t="s">
        <v>2004</v>
      </c>
      <c r="C240" s="9">
        <v>45948</v>
      </c>
      <c r="D240" s="4">
        <v>1</v>
      </c>
      <c r="E240" s="3">
        <v>950</v>
      </c>
      <c r="F240" s="7">
        <f t="shared" si="3"/>
        <v>45948</v>
      </c>
      <c r="G240" s="3">
        <f>IF(E240&lt;&gt;"", E240*10%, "")</f>
        <v>95</v>
      </c>
      <c r="H240" s="3">
        <f>IF(E240&lt;&gt;"",ROUND(IF(E240&gt;1500,E240*5%,),0),"")</f>
        <v>0</v>
      </c>
      <c r="I240" s="2" t="s">
        <v>2926</v>
      </c>
      <c r="J240" s="3" t="str">
        <f>IF(I240="Cash",L240,"")</f>
        <v/>
      </c>
      <c r="K240" s="3">
        <f>IF(I240="UPI",L240,"")</f>
        <v>855</v>
      </c>
      <c r="L240" s="3">
        <f>IF(E240&lt;&gt;"",E240-G240-H240,"")</f>
        <v>855</v>
      </c>
    </row>
    <row r="241" spans="2:12">
      <c r="B241" s="2" t="s">
        <v>2005</v>
      </c>
      <c r="C241" s="9">
        <v>45948</v>
      </c>
      <c r="D241" s="4">
        <v>1</v>
      </c>
      <c r="E241" s="3">
        <v>650</v>
      </c>
      <c r="F241" s="7">
        <f t="shared" si="3"/>
        <v>45948</v>
      </c>
      <c r="G241" s="3">
        <f>IF(E241&lt;&gt;"", E241*10%, "")</f>
        <v>65</v>
      </c>
      <c r="H241" s="3">
        <f>IF(E241&lt;&gt;"",ROUND(IF(E241&gt;1500,E241*5%,),0),"")</f>
        <v>0</v>
      </c>
      <c r="I241" s="2" t="s">
        <v>2926</v>
      </c>
      <c r="J241" s="3" t="str">
        <f>IF(I241="Cash",L241,"")</f>
        <v/>
      </c>
      <c r="K241" s="3">
        <f>IF(I241="UPI",L241,"")</f>
        <v>585</v>
      </c>
      <c r="L241" s="3">
        <f>IF(E241&lt;&gt;"",E241-G241-H241,"")</f>
        <v>585</v>
      </c>
    </row>
    <row r="242" spans="2:12">
      <c r="B242" s="2" t="s">
        <v>2006</v>
      </c>
      <c r="C242" s="9">
        <v>45948</v>
      </c>
      <c r="D242" s="4">
        <v>2</v>
      </c>
      <c r="E242" s="3">
        <v>1070</v>
      </c>
      <c r="F242" s="7">
        <f t="shared" si="3"/>
        <v>45948</v>
      </c>
      <c r="G242" s="3">
        <f>IF(E242&lt;&gt;"", E242*10%, "")</f>
        <v>107</v>
      </c>
      <c r="H242" s="3">
        <f>IF(E242&lt;&gt;"",ROUND(IF(E242&gt;1500,E242*5%,),0),"")</f>
        <v>0</v>
      </c>
      <c r="I242" s="2" t="s">
        <v>2926</v>
      </c>
      <c r="J242" s="3" t="str">
        <f>IF(I242="Cash",L242,"")</f>
        <v/>
      </c>
      <c r="K242" s="3">
        <f>IF(I242="UPI",L242,"")</f>
        <v>963</v>
      </c>
      <c r="L242" s="3">
        <f>IF(E242&lt;&gt;"",E242-G242-H242,"")</f>
        <v>963</v>
      </c>
    </row>
    <row r="243" spans="2:12">
      <c r="B243" s="2" t="s">
        <v>2007</v>
      </c>
      <c r="C243" s="9">
        <v>45948</v>
      </c>
      <c r="D243" s="4">
        <v>3</v>
      </c>
      <c r="E243" s="3">
        <v>1620</v>
      </c>
      <c r="F243" s="7">
        <f t="shared" si="3"/>
        <v>45948</v>
      </c>
      <c r="G243" s="3">
        <f>IF(E243&lt;&gt;"", E243*10%, "")</f>
        <v>162</v>
      </c>
      <c r="H243" s="3">
        <f>IF(E243&lt;&gt;"",ROUND(IF(E243&gt;1500,E243*5%,),0),"")</f>
        <v>81</v>
      </c>
      <c r="I243" s="2" t="s">
        <v>2926</v>
      </c>
      <c r="J243" s="3" t="str">
        <f>IF(I243="Cash",L243,"")</f>
        <v/>
      </c>
      <c r="K243" s="3">
        <f>IF(I243="UPI",L243,"")</f>
        <v>1377</v>
      </c>
      <c r="L243" s="3">
        <f>IF(E243&lt;&gt;"",E243-G243-H243,"")</f>
        <v>1377</v>
      </c>
    </row>
    <row r="244" spans="2:12">
      <c r="B244" s="2" t="s">
        <v>2008</v>
      </c>
      <c r="C244" s="9">
        <v>45948</v>
      </c>
      <c r="D244" s="4">
        <v>2</v>
      </c>
      <c r="E244" s="3">
        <v>1120</v>
      </c>
      <c r="F244" s="7">
        <f t="shared" si="3"/>
        <v>45948</v>
      </c>
      <c r="G244" s="3">
        <f>IF(E244&lt;&gt;"", E244*10%, "")</f>
        <v>112</v>
      </c>
      <c r="H244" s="3">
        <f>IF(E244&lt;&gt;"",ROUND(IF(E244&gt;1500,E244*5%,),0),"")</f>
        <v>0</v>
      </c>
      <c r="I244" s="2" t="s">
        <v>2926</v>
      </c>
      <c r="J244" s="3" t="str">
        <f>IF(I244="Cash",L244,"")</f>
        <v/>
      </c>
      <c r="K244" s="3">
        <f>IF(I244="UPI",L244,"")</f>
        <v>1008</v>
      </c>
      <c r="L244" s="3">
        <f>IF(E244&lt;&gt;"",E244-G244-H244,"")</f>
        <v>1008</v>
      </c>
    </row>
    <row r="245" spans="2:12">
      <c r="B245" s="2" t="s">
        <v>2009</v>
      </c>
      <c r="C245" s="9">
        <v>45948</v>
      </c>
      <c r="D245" s="4">
        <v>2</v>
      </c>
      <c r="E245" s="3">
        <v>1710</v>
      </c>
      <c r="F245" s="7">
        <f t="shared" si="3"/>
        <v>45948</v>
      </c>
      <c r="G245" s="3">
        <f>IF(E245&lt;&gt;"", E245*10%, "")</f>
        <v>171</v>
      </c>
      <c r="H245" s="3">
        <f>IF(E245&lt;&gt;"",ROUND(IF(E245&gt;1500,E245*5%,),0),"")</f>
        <v>86</v>
      </c>
      <c r="I245" s="2" t="s">
        <v>2925</v>
      </c>
      <c r="J245" s="3">
        <f>IF(I245="Cash",L245,"")</f>
        <v>1453</v>
      </c>
      <c r="K245" s="3" t="str">
        <f>IF(I245="UPI",L245,"")</f>
        <v/>
      </c>
      <c r="L245" s="3">
        <f>IF(E245&lt;&gt;"",E245-G245-H245,"")</f>
        <v>1453</v>
      </c>
    </row>
    <row r="246" spans="2:12">
      <c r="B246" s="2" t="s">
        <v>2010</v>
      </c>
      <c r="C246" s="9">
        <v>45948</v>
      </c>
      <c r="D246" s="4">
        <v>3</v>
      </c>
      <c r="E246" s="3">
        <v>2700</v>
      </c>
      <c r="F246" s="7">
        <f t="shared" si="3"/>
        <v>45948</v>
      </c>
      <c r="G246" s="3">
        <f>IF(E246&lt;&gt;"", E246*10%, "")</f>
        <v>270</v>
      </c>
      <c r="H246" s="3">
        <f>IF(E246&lt;&gt;"",ROUND(IF(E246&gt;1500,E246*5%,),0),"")</f>
        <v>135</v>
      </c>
      <c r="I246" s="2" t="s">
        <v>2925</v>
      </c>
      <c r="J246" s="3">
        <f>IF(I246="Cash",L246,"")</f>
        <v>2295</v>
      </c>
      <c r="K246" s="3" t="str">
        <f>IF(I246="UPI",L246,"")</f>
        <v/>
      </c>
      <c r="L246" s="3">
        <f>IF(E246&lt;&gt;"",E246-G246-H246,"")</f>
        <v>2295</v>
      </c>
    </row>
    <row r="247" spans="2:12">
      <c r="B247" s="2" t="s">
        <v>2011</v>
      </c>
      <c r="C247" s="9">
        <v>45948</v>
      </c>
      <c r="D247" s="4">
        <v>2</v>
      </c>
      <c r="E247" s="3">
        <v>1500</v>
      </c>
      <c r="F247" s="7">
        <f t="shared" si="3"/>
        <v>45948</v>
      </c>
      <c r="G247" s="3">
        <f>IF(E247&lt;&gt;"", E247*10%, "")</f>
        <v>150</v>
      </c>
      <c r="H247" s="3">
        <f>IF(E247&lt;&gt;"",ROUND(IF(E247&gt;1500,E247*5%,),0),"")</f>
        <v>0</v>
      </c>
      <c r="I247" s="2" t="s">
        <v>2926</v>
      </c>
      <c r="J247" s="3" t="str">
        <f>IF(I247="Cash",L247,"")</f>
        <v/>
      </c>
      <c r="K247" s="3">
        <f>IF(I247="UPI",L247,"")</f>
        <v>1350</v>
      </c>
      <c r="L247" s="3">
        <f>IF(E247&lt;&gt;"",E247-G247-H247,"")</f>
        <v>1350</v>
      </c>
    </row>
    <row r="248" spans="2:12">
      <c r="B248" s="2" t="s">
        <v>2012</v>
      </c>
      <c r="C248" s="9">
        <v>45948</v>
      </c>
      <c r="D248" s="4">
        <v>1</v>
      </c>
      <c r="E248" s="3">
        <v>830</v>
      </c>
      <c r="F248" s="7">
        <f t="shared" si="3"/>
        <v>45948</v>
      </c>
      <c r="G248" s="3">
        <f>IF(E248&lt;&gt;"", E248*10%, "")</f>
        <v>83</v>
      </c>
      <c r="H248" s="3">
        <f>IF(E248&lt;&gt;"",ROUND(IF(E248&gt;1500,E248*5%,),0),"")</f>
        <v>0</v>
      </c>
      <c r="I248" s="2" t="s">
        <v>2926</v>
      </c>
      <c r="J248" s="3" t="str">
        <f>IF(I248="Cash",L248,"")</f>
        <v/>
      </c>
      <c r="K248" s="3">
        <f>IF(I248="UPI",L248,"")</f>
        <v>747</v>
      </c>
      <c r="L248" s="3">
        <f>IF(E248&lt;&gt;"",E248-G248-H248,"")</f>
        <v>747</v>
      </c>
    </row>
    <row r="249" spans="2:12">
      <c r="B249" s="2" t="s">
        <v>2013</v>
      </c>
      <c r="C249" s="9">
        <v>45948</v>
      </c>
      <c r="D249" s="4">
        <v>2</v>
      </c>
      <c r="E249" s="3">
        <v>1040</v>
      </c>
      <c r="F249" s="7">
        <f t="shared" si="3"/>
        <v>45948</v>
      </c>
      <c r="G249" s="3">
        <f>IF(E249&lt;&gt;"", E249*10%, "")</f>
        <v>104</v>
      </c>
      <c r="H249" s="3">
        <f>IF(E249&lt;&gt;"",ROUND(IF(E249&gt;1500,E249*5%,),0),"")</f>
        <v>0</v>
      </c>
      <c r="I249" s="2" t="s">
        <v>2926</v>
      </c>
      <c r="J249" s="3" t="str">
        <f>IF(I249="Cash",L249,"")</f>
        <v/>
      </c>
      <c r="K249" s="3">
        <f>IF(I249="UPI",L249,"")</f>
        <v>936</v>
      </c>
      <c r="L249" s="3">
        <f>IF(E249&lt;&gt;"",E249-G249-H249,"")</f>
        <v>936</v>
      </c>
    </row>
    <row r="250" spans="2:12">
      <c r="B250" s="2" t="s">
        <v>2014</v>
      </c>
      <c r="C250" s="9">
        <v>45948</v>
      </c>
      <c r="D250" s="4">
        <v>3</v>
      </c>
      <c r="E250" s="3">
        <v>1700</v>
      </c>
      <c r="F250" s="7">
        <f t="shared" si="3"/>
        <v>45948</v>
      </c>
      <c r="G250" s="3">
        <f>IF(E250&lt;&gt;"", E250*10%, "")</f>
        <v>170</v>
      </c>
      <c r="H250" s="3">
        <f>IF(E250&lt;&gt;"",ROUND(IF(E250&gt;1500,E250*5%,),0),"")</f>
        <v>85</v>
      </c>
      <c r="I250" s="2" t="s">
        <v>2925</v>
      </c>
      <c r="J250" s="3">
        <f>IF(I250="Cash",L250,"")</f>
        <v>1445</v>
      </c>
      <c r="K250" s="3" t="str">
        <f>IF(I250="UPI",L250,"")</f>
        <v/>
      </c>
      <c r="L250" s="3">
        <f>IF(E250&lt;&gt;"",E250-G250-H250,"")</f>
        <v>1445</v>
      </c>
    </row>
    <row r="251" spans="2:12">
      <c r="B251" s="2" t="s">
        <v>2015</v>
      </c>
      <c r="C251" s="9">
        <v>45950</v>
      </c>
      <c r="D251" s="4">
        <v>3</v>
      </c>
      <c r="E251" s="3">
        <v>1630</v>
      </c>
      <c r="F251" s="7">
        <f t="shared" si="3"/>
        <v>45950</v>
      </c>
      <c r="G251" s="3">
        <f>IF(E251&lt;&gt;"", E251*10%, "")</f>
        <v>163</v>
      </c>
      <c r="H251" s="3">
        <f>IF(E251&lt;&gt;"",ROUND(IF(E251&gt;1500,E251*5%,),0),"")</f>
        <v>82</v>
      </c>
      <c r="I251" s="2" t="s">
        <v>2926</v>
      </c>
      <c r="J251" s="3" t="str">
        <f>IF(I251="Cash",L251,"")</f>
        <v/>
      </c>
      <c r="K251" s="3">
        <f>IF(I251="UPI",L251,"")</f>
        <v>1385</v>
      </c>
      <c r="L251" s="3">
        <f>IF(E251&lt;&gt;"",E251-G251-H251,"")</f>
        <v>1385</v>
      </c>
    </row>
    <row r="252" spans="2:12">
      <c r="B252" s="2" t="s">
        <v>2016</v>
      </c>
      <c r="C252" s="9">
        <v>45950</v>
      </c>
      <c r="D252" s="4">
        <v>1</v>
      </c>
      <c r="E252" s="3">
        <v>410</v>
      </c>
      <c r="F252" s="7">
        <f t="shared" si="3"/>
        <v>45950</v>
      </c>
      <c r="G252" s="3">
        <f>IF(E252&lt;&gt;"", E252*10%, "")</f>
        <v>41</v>
      </c>
      <c r="H252" s="3">
        <f>IF(E252&lt;&gt;"",ROUND(IF(E252&gt;1500,E252*5%,),0),"")</f>
        <v>0</v>
      </c>
      <c r="I252" s="2" t="s">
        <v>2926</v>
      </c>
      <c r="J252" s="3" t="str">
        <f>IF(I252="Cash",L252,"")</f>
        <v/>
      </c>
      <c r="K252" s="3">
        <f>IF(I252="UPI",L252,"")</f>
        <v>369</v>
      </c>
      <c r="L252" s="3">
        <f>IF(E252&lt;&gt;"",E252-G252-H252,"")</f>
        <v>369</v>
      </c>
    </row>
    <row r="253" spans="2:12">
      <c r="B253" s="2" t="s">
        <v>2017</v>
      </c>
      <c r="C253" s="9">
        <v>45950</v>
      </c>
      <c r="D253" s="4">
        <v>4</v>
      </c>
      <c r="E253" s="3">
        <v>3060</v>
      </c>
      <c r="F253" s="7">
        <f t="shared" si="3"/>
        <v>45950</v>
      </c>
      <c r="G253" s="3">
        <f>IF(E253&lt;&gt;"", E253*10%, "")</f>
        <v>306</v>
      </c>
      <c r="H253" s="3">
        <f>IF(E253&lt;&gt;"",ROUND(IF(E253&gt;1500,E253*5%,),0),"")</f>
        <v>153</v>
      </c>
      <c r="I253" s="2" t="s">
        <v>2928</v>
      </c>
      <c r="J253" s="10">
        <v>1000</v>
      </c>
      <c r="K253" s="10">
        <v>1601</v>
      </c>
      <c r="L253" s="3">
        <f>IF(E253&lt;&gt;"",E253-G253-H253,"")</f>
        <v>2601</v>
      </c>
    </row>
    <row r="254" spans="2:12">
      <c r="B254" s="2" t="s">
        <v>2018</v>
      </c>
      <c r="C254" s="9">
        <v>45950</v>
      </c>
      <c r="D254" s="4">
        <v>2</v>
      </c>
      <c r="E254" s="3">
        <v>1600</v>
      </c>
      <c r="F254" s="7">
        <f t="shared" si="3"/>
        <v>45950</v>
      </c>
      <c r="G254" s="3">
        <f>IF(E254&lt;&gt;"", E254*10%, "")</f>
        <v>160</v>
      </c>
      <c r="H254" s="3">
        <f>IF(E254&lt;&gt;"",ROUND(IF(E254&gt;1500,E254*5%,),0),"")</f>
        <v>80</v>
      </c>
      <c r="I254" s="2" t="s">
        <v>2926</v>
      </c>
      <c r="J254" s="10">
        <v>454</v>
      </c>
      <c r="K254" s="10">
        <v>1467</v>
      </c>
      <c r="L254" s="3">
        <f>IF(E254&lt;&gt;"",E254-G254-H254,"")</f>
        <v>1360</v>
      </c>
    </row>
    <row r="255" spans="2:12">
      <c r="B255" s="2" t="s">
        <v>2019</v>
      </c>
      <c r="C255" s="9">
        <v>45950</v>
      </c>
      <c r="D255" s="4">
        <v>3</v>
      </c>
      <c r="E255" s="3">
        <v>1420</v>
      </c>
      <c r="F255" s="7">
        <f t="shared" si="3"/>
        <v>45950</v>
      </c>
      <c r="G255" s="3">
        <f>IF(E255&lt;&gt;"", E255*10%, "")</f>
        <v>142</v>
      </c>
      <c r="H255" s="3">
        <f>IF(E255&lt;&gt;"",ROUND(IF(E255&gt;1500,E255*5%,),0),"")</f>
        <v>0</v>
      </c>
      <c r="I255" s="2" t="s">
        <v>2926</v>
      </c>
      <c r="J255" s="10">
        <v>1482</v>
      </c>
      <c r="K255" s="10">
        <v>235</v>
      </c>
      <c r="L255" s="3">
        <f>IF(E255&lt;&gt;"",E255-G255-H255,"")</f>
        <v>1278</v>
      </c>
    </row>
    <row r="256" spans="2:12">
      <c r="B256" s="2" t="s">
        <v>2020</v>
      </c>
      <c r="C256" s="9">
        <v>45950</v>
      </c>
      <c r="D256" s="4">
        <v>2</v>
      </c>
      <c r="E256" s="3">
        <v>1740</v>
      </c>
      <c r="F256" s="7">
        <f t="shared" si="3"/>
        <v>45950</v>
      </c>
      <c r="G256" s="3">
        <f>IF(E256&lt;&gt;"", E256*10%, "")</f>
        <v>174</v>
      </c>
      <c r="H256" s="3">
        <f>IF(E256&lt;&gt;"",ROUND(IF(E256&gt;1500,E256*5%,),0),"")</f>
        <v>87</v>
      </c>
      <c r="I256" s="2" t="s">
        <v>2925</v>
      </c>
      <c r="J256" s="3">
        <f>IF(I256="Cash",L256,"")</f>
        <v>1479</v>
      </c>
      <c r="K256" s="3" t="str">
        <f>IF(I256="UPI",L256,"")</f>
        <v/>
      </c>
      <c r="L256" s="3">
        <f>IF(E256&lt;&gt;"",E256-G256-H256,"")</f>
        <v>1479</v>
      </c>
    </row>
    <row r="257" spans="2:12">
      <c r="B257" s="2" t="s">
        <v>2021</v>
      </c>
      <c r="C257" s="9">
        <v>45950</v>
      </c>
      <c r="D257" s="4">
        <v>3</v>
      </c>
      <c r="E257" s="3">
        <v>2310</v>
      </c>
      <c r="F257" s="7">
        <f t="shared" si="3"/>
        <v>45950</v>
      </c>
      <c r="G257" s="3">
        <f>IF(E257&lt;&gt;"", E257*10%, "")</f>
        <v>231</v>
      </c>
      <c r="H257" s="3">
        <f>IF(E257&lt;&gt;"",ROUND(IF(E257&gt;1500,E257*5%,),0),"")</f>
        <v>116</v>
      </c>
      <c r="I257" s="2" t="s">
        <v>2925</v>
      </c>
      <c r="J257" s="3">
        <f>IF(I257="Cash",L257,"")</f>
        <v>1963</v>
      </c>
      <c r="K257" s="3" t="str">
        <f>IF(I257="UPI",L257,"")</f>
        <v/>
      </c>
      <c r="L257" s="3">
        <f>IF(E257&lt;&gt;"",E257-G257-H257,"")</f>
        <v>1963</v>
      </c>
    </row>
    <row r="258" spans="2:12">
      <c r="B258" s="2" t="s">
        <v>2022</v>
      </c>
      <c r="C258" s="9">
        <v>45950</v>
      </c>
      <c r="D258" s="4">
        <v>1</v>
      </c>
      <c r="E258" s="3">
        <v>580</v>
      </c>
      <c r="F258" s="7">
        <f t="shared" si="3"/>
        <v>45950</v>
      </c>
      <c r="G258" s="3">
        <f>IF(E258&lt;&gt;"", E258*10%, "")</f>
        <v>58</v>
      </c>
      <c r="H258" s="3">
        <f>IF(E258&lt;&gt;"",ROUND(IF(E258&gt;1500,E258*5%,),0),"")</f>
        <v>0</v>
      </c>
      <c r="I258" s="2" t="s">
        <v>2926</v>
      </c>
      <c r="J258" s="3" t="str">
        <f>IF(I258="Cash",L258,"")</f>
        <v/>
      </c>
      <c r="K258" s="3">
        <f>IF(I258="UPI",L258,"")</f>
        <v>522</v>
      </c>
      <c r="L258" s="3">
        <f>IF(E258&lt;&gt;"",E258-G258-H258,"")</f>
        <v>522</v>
      </c>
    </row>
    <row r="259" spans="2:12">
      <c r="B259" s="2" t="s">
        <v>2023</v>
      </c>
      <c r="C259" s="9">
        <v>45950</v>
      </c>
      <c r="D259" s="4">
        <v>2</v>
      </c>
      <c r="E259" s="3">
        <v>970</v>
      </c>
      <c r="F259" s="7">
        <f t="shared" si="3"/>
        <v>45950</v>
      </c>
      <c r="G259" s="3">
        <f>IF(E259&lt;&gt;"", E259*10%, "")</f>
        <v>97</v>
      </c>
      <c r="H259" s="3">
        <f>IF(E259&lt;&gt;"",ROUND(IF(E259&gt;1500,E259*5%,),0),"")</f>
        <v>0</v>
      </c>
      <c r="I259" s="2" t="s">
        <v>2926</v>
      </c>
      <c r="J259" s="3" t="str">
        <f>IF(I259="Cash",L259,"")</f>
        <v/>
      </c>
      <c r="K259" s="3">
        <f>IF(I259="UPI",L259,"")</f>
        <v>873</v>
      </c>
      <c r="L259" s="3">
        <f>IF(E259&lt;&gt;"",E259-G259-H259,"")</f>
        <v>873</v>
      </c>
    </row>
    <row r="260" spans="2:12">
      <c r="B260" s="2" t="s">
        <v>2024</v>
      </c>
      <c r="C260" s="9">
        <v>45950</v>
      </c>
      <c r="D260" s="4">
        <v>2</v>
      </c>
      <c r="E260" s="3">
        <v>1670</v>
      </c>
      <c r="F260" s="7">
        <f t="shared" si="3"/>
        <v>45950</v>
      </c>
      <c r="G260" s="3">
        <f>IF(E260&lt;&gt;"", E260*10%, "")</f>
        <v>167</v>
      </c>
      <c r="H260" s="3">
        <f>IF(E260&lt;&gt;"",ROUND(IF(E260&gt;1500,E260*5%,),0),"")</f>
        <v>84</v>
      </c>
      <c r="I260" s="2" t="s">
        <v>2926</v>
      </c>
      <c r="J260" s="3" t="str">
        <f>IF(I260="Cash",L260,"")</f>
        <v/>
      </c>
      <c r="K260" s="3">
        <f>IF(I260="UPI",L260,"")</f>
        <v>1419</v>
      </c>
      <c r="L260" s="3">
        <f>IF(E260&lt;&gt;"",E260-G260-H260,"")</f>
        <v>1419</v>
      </c>
    </row>
    <row r="261" spans="2:12">
      <c r="B261" s="2" t="s">
        <v>2025</v>
      </c>
      <c r="C261" s="9">
        <v>45950</v>
      </c>
      <c r="D261" s="4">
        <v>1</v>
      </c>
      <c r="E261" s="3">
        <v>140</v>
      </c>
      <c r="F261" s="7">
        <f t="shared" ref="F261:F324" si="4">C261</f>
        <v>45950</v>
      </c>
      <c r="G261" s="3">
        <f>IF(E261&lt;&gt;"", E261*10%, "")</f>
        <v>14</v>
      </c>
      <c r="H261" s="3">
        <f>IF(E261&lt;&gt;"",ROUND(IF(E261&gt;1500,E261*5%,),0),"")</f>
        <v>0</v>
      </c>
      <c r="I261" s="2" t="s">
        <v>2926</v>
      </c>
      <c r="J261" s="3" t="str">
        <f>IF(I261="Cash",L261,"")</f>
        <v/>
      </c>
      <c r="K261" s="3">
        <f>IF(I261="UPI",L261,"")</f>
        <v>126</v>
      </c>
      <c r="L261" s="3">
        <f>IF(E261&lt;&gt;"",E261-G261-H261,"")</f>
        <v>126</v>
      </c>
    </row>
    <row r="262" spans="2:12">
      <c r="B262" s="2" t="s">
        <v>2026</v>
      </c>
      <c r="C262" s="9">
        <v>45950</v>
      </c>
      <c r="D262" s="4">
        <v>2</v>
      </c>
      <c r="E262" s="3">
        <v>1450</v>
      </c>
      <c r="F262" s="7">
        <f t="shared" si="4"/>
        <v>45950</v>
      </c>
      <c r="G262" s="3">
        <f>IF(E262&lt;&gt;"", E262*10%, "")</f>
        <v>145</v>
      </c>
      <c r="H262" s="3">
        <f>IF(E262&lt;&gt;"",ROUND(IF(E262&gt;1500,E262*5%,),0),"")</f>
        <v>0</v>
      </c>
      <c r="I262" s="2" t="s">
        <v>2926</v>
      </c>
      <c r="J262" s="3" t="str">
        <f>IF(I262="Cash",L262,"")</f>
        <v/>
      </c>
      <c r="K262" s="3">
        <f>IF(I262="UPI",L262,"")</f>
        <v>1305</v>
      </c>
      <c r="L262" s="3">
        <f>IF(E262&lt;&gt;"",E262-G262-H262,"")</f>
        <v>1305</v>
      </c>
    </row>
    <row r="263" spans="2:12">
      <c r="B263" s="2" t="s">
        <v>2027</v>
      </c>
      <c r="C263" s="9">
        <v>45950</v>
      </c>
      <c r="D263" s="4">
        <v>3</v>
      </c>
      <c r="E263" s="3">
        <v>2530</v>
      </c>
      <c r="F263" s="7">
        <f t="shared" si="4"/>
        <v>45950</v>
      </c>
      <c r="G263" s="3">
        <f>IF(E263&lt;&gt;"", E263*10%, "")</f>
        <v>253</v>
      </c>
      <c r="H263" s="3">
        <f>IF(E263&lt;&gt;"",ROUND(IF(E263&gt;1500,E263*5%,),0),"")</f>
        <v>127</v>
      </c>
      <c r="I263" s="2" t="s">
        <v>2925</v>
      </c>
      <c r="J263" s="3">
        <f>IF(I263="Cash",L263,"")</f>
        <v>2150</v>
      </c>
      <c r="K263" s="3" t="str">
        <f>IF(I263="UPI",L263,"")</f>
        <v/>
      </c>
      <c r="L263" s="3">
        <f>IF(E263&lt;&gt;"",E263-G263-H263,"")</f>
        <v>2150</v>
      </c>
    </row>
    <row r="264" spans="2:12">
      <c r="B264" s="2" t="s">
        <v>2028</v>
      </c>
      <c r="C264" s="9">
        <v>45951</v>
      </c>
      <c r="D264" s="4">
        <v>1</v>
      </c>
      <c r="E264" s="3">
        <v>880</v>
      </c>
      <c r="F264" s="7">
        <f t="shared" si="4"/>
        <v>45951</v>
      </c>
      <c r="G264" s="3">
        <f>IF(E264&lt;&gt;"", E264*10%, "")</f>
        <v>88</v>
      </c>
      <c r="H264" s="3">
        <f>IF(E264&lt;&gt;"",ROUND(IF(E264&gt;1500,E264*5%,),0),"")</f>
        <v>0</v>
      </c>
      <c r="I264" s="2" t="s">
        <v>2926</v>
      </c>
      <c r="J264" s="3" t="str">
        <f>IF(I264="Cash",L264,"")</f>
        <v/>
      </c>
      <c r="K264" s="3">
        <f>IF(I264="UPI",L264,"")</f>
        <v>792</v>
      </c>
      <c r="L264" s="3">
        <f>IF(E264&lt;&gt;"",E264-G264-H264,"")</f>
        <v>792</v>
      </c>
    </row>
    <row r="265" spans="2:12">
      <c r="B265" s="2" t="s">
        <v>2029</v>
      </c>
      <c r="C265" s="9">
        <v>45951</v>
      </c>
      <c r="D265" s="4">
        <v>3</v>
      </c>
      <c r="E265" s="3">
        <v>1470</v>
      </c>
      <c r="F265" s="7">
        <f t="shared" si="4"/>
        <v>45951</v>
      </c>
      <c r="G265" s="3">
        <f>IF(E265&lt;&gt;"", E265*10%, "")</f>
        <v>147</v>
      </c>
      <c r="H265" s="3">
        <f>IF(E265&lt;&gt;"",ROUND(IF(E265&gt;1500,E265*5%,),0),"")</f>
        <v>0</v>
      </c>
      <c r="I265" s="2" t="s">
        <v>2926</v>
      </c>
      <c r="J265" s="3" t="str">
        <f>IF(I265="Cash",L265,"")</f>
        <v/>
      </c>
      <c r="K265" s="3">
        <f>IF(I265="UPI",L265,"")</f>
        <v>1323</v>
      </c>
      <c r="L265" s="3">
        <f>IF(E265&lt;&gt;"",E265-G265-H265,"")</f>
        <v>1323</v>
      </c>
    </row>
    <row r="266" spans="2:12">
      <c r="B266" s="2" t="s">
        <v>2030</v>
      </c>
      <c r="C266" s="9">
        <v>45951</v>
      </c>
      <c r="D266" s="4">
        <v>4</v>
      </c>
      <c r="E266" s="3">
        <v>2470</v>
      </c>
      <c r="F266" s="7">
        <f t="shared" si="4"/>
        <v>45951</v>
      </c>
      <c r="G266" s="3">
        <f>IF(E266&lt;&gt;"", E266*10%, "")</f>
        <v>247</v>
      </c>
      <c r="H266" s="3">
        <f>IF(E266&lt;&gt;"",ROUND(IF(E266&gt;1500,E266*5%,),0),"")</f>
        <v>124</v>
      </c>
      <c r="I266" s="2" t="s">
        <v>2925</v>
      </c>
      <c r="J266" s="3">
        <f>IF(I266="Cash",L266,"")</f>
        <v>2099</v>
      </c>
      <c r="K266" s="3" t="str">
        <f>IF(I266="UPI",L266,"")</f>
        <v/>
      </c>
      <c r="L266" s="3">
        <f>IF(E266&lt;&gt;"",E266-G266-H266,"")</f>
        <v>2099</v>
      </c>
    </row>
    <row r="267" spans="2:12">
      <c r="B267" s="2" t="s">
        <v>2031</v>
      </c>
      <c r="C267" s="9">
        <v>45951</v>
      </c>
      <c r="D267" s="4">
        <v>4</v>
      </c>
      <c r="E267" s="3">
        <v>2780</v>
      </c>
      <c r="F267" s="7">
        <f t="shared" si="4"/>
        <v>45951</v>
      </c>
      <c r="G267" s="3">
        <f>IF(E267&lt;&gt;"", E267*10%, "")</f>
        <v>278</v>
      </c>
      <c r="H267" s="3">
        <f>IF(E267&lt;&gt;"",ROUND(IF(E267&gt;1500,E267*5%,),0),"")</f>
        <v>139</v>
      </c>
      <c r="I267" s="2" t="s">
        <v>2925</v>
      </c>
      <c r="J267" s="3">
        <f>IF(I267="Cash",L267,"")</f>
        <v>2363</v>
      </c>
      <c r="K267" s="3" t="str">
        <f>IF(I267="UPI",L267,"")</f>
        <v/>
      </c>
      <c r="L267" s="3">
        <f>IF(E267&lt;&gt;"",E267-G267-H267,"")</f>
        <v>2363</v>
      </c>
    </row>
    <row r="268" spans="2:12">
      <c r="B268" s="2" t="s">
        <v>2032</v>
      </c>
      <c r="C268" s="9">
        <v>45951</v>
      </c>
      <c r="D268" s="4">
        <v>2</v>
      </c>
      <c r="E268" s="3">
        <v>1730</v>
      </c>
      <c r="F268" s="7">
        <f t="shared" si="4"/>
        <v>45951</v>
      </c>
      <c r="G268" s="3">
        <f>IF(E268&lt;&gt;"", E268*10%, "")</f>
        <v>173</v>
      </c>
      <c r="H268" s="3">
        <f>IF(E268&lt;&gt;"",ROUND(IF(E268&gt;1500,E268*5%,),0),"")</f>
        <v>87</v>
      </c>
      <c r="I268" s="2" t="s">
        <v>2925</v>
      </c>
      <c r="J268" s="3">
        <f>IF(I268="Cash",L268,"")</f>
        <v>1470</v>
      </c>
      <c r="K268" s="3" t="str">
        <f>IF(I268="UPI",L268,"")</f>
        <v/>
      </c>
      <c r="L268" s="3">
        <f>IF(E268&lt;&gt;"",E268-G268-H268,"")</f>
        <v>1470</v>
      </c>
    </row>
    <row r="269" spans="2:12">
      <c r="B269" s="2" t="s">
        <v>2033</v>
      </c>
      <c r="C269" s="9">
        <v>45951</v>
      </c>
      <c r="D269" s="4">
        <v>2</v>
      </c>
      <c r="E269" s="3">
        <v>1040</v>
      </c>
      <c r="F269" s="7">
        <f t="shared" si="4"/>
        <v>45951</v>
      </c>
      <c r="G269" s="3">
        <f>IF(E269&lt;&gt;"", E269*10%, "")</f>
        <v>104</v>
      </c>
      <c r="H269" s="3">
        <f>IF(E269&lt;&gt;"",ROUND(IF(E269&gt;1500,E269*5%,),0),"")</f>
        <v>0</v>
      </c>
      <c r="I269" s="2" t="s">
        <v>2926</v>
      </c>
      <c r="J269" s="3" t="str">
        <f>IF(I269="Cash",L269,"")</f>
        <v/>
      </c>
      <c r="K269" s="3">
        <f>IF(I269="UPI",L269,"")</f>
        <v>936</v>
      </c>
      <c r="L269" s="3">
        <f>IF(E269&lt;&gt;"",E269-G269-H269,"")</f>
        <v>936</v>
      </c>
    </row>
    <row r="270" spans="2:12">
      <c r="B270" s="2" t="s">
        <v>2034</v>
      </c>
      <c r="C270" s="9">
        <v>45951</v>
      </c>
      <c r="D270" s="4">
        <v>3</v>
      </c>
      <c r="E270" s="3">
        <v>2210</v>
      </c>
      <c r="F270" s="7">
        <f t="shared" si="4"/>
        <v>45951</v>
      </c>
      <c r="G270" s="3">
        <f>IF(E270&lt;&gt;"", E270*10%, "")</f>
        <v>221</v>
      </c>
      <c r="H270" s="3">
        <f>IF(E270&lt;&gt;"",ROUND(IF(E270&gt;1500,E270*5%,),0),"")</f>
        <v>111</v>
      </c>
      <c r="I270" s="2" t="s">
        <v>2925</v>
      </c>
      <c r="J270" s="3">
        <f>IF(I270="Cash",L270,"")</f>
        <v>1878</v>
      </c>
      <c r="K270" s="3" t="str">
        <f>IF(I270="UPI",L270,"")</f>
        <v/>
      </c>
      <c r="L270" s="3">
        <f>IF(E270&lt;&gt;"",E270-G270-H270,"")</f>
        <v>1878</v>
      </c>
    </row>
    <row r="271" spans="2:12">
      <c r="B271" s="2" t="s">
        <v>2035</v>
      </c>
      <c r="C271" s="9">
        <v>45951</v>
      </c>
      <c r="D271" s="4">
        <v>4</v>
      </c>
      <c r="E271" s="3">
        <v>1820</v>
      </c>
      <c r="F271" s="7">
        <f t="shared" si="4"/>
        <v>45951</v>
      </c>
      <c r="G271" s="3">
        <f>IF(E271&lt;&gt;"", E271*10%, "")</f>
        <v>182</v>
      </c>
      <c r="H271" s="3">
        <f>IF(E271&lt;&gt;"",ROUND(IF(E271&gt;1500,E271*5%,),0),"")</f>
        <v>91</v>
      </c>
      <c r="I271" s="2" t="s">
        <v>2925</v>
      </c>
      <c r="J271" s="3">
        <f>IF(I271="Cash",L271,"")</f>
        <v>1547</v>
      </c>
      <c r="K271" s="3" t="str">
        <f>IF(I271="UPI",L271,"")</f>
        <v/>
      </c>
      <c r="L271" s="3">
        <f>IF(E271&lt;&gt;"",E271-G271-H271,"")</f>
        <v>1547</v>
      </c>
    </row>
    <row r="272" spans="2:12">
      <c r="B272" s="2" t="s">
        <v>2036</v>
      </c>
      <c r="C272" s="9">
        <v>45951</v>
      </c>
      <c r="D272" s="4">
        <v>3</v>
      </c>
      <c r="E272" s="3">
        <v>1580</v>
      </c>
      <c r="F272" s="7">
        <f t="shared" si="4"/>
        <v>45951</v>
      </c>
      <c r="G272" s="3">
        <f>IF(E272&lt;&gt;"", E272*10%, "")</f>
        <v>158</v>
      </c>
      <c r="H272" s="3">
        <f>IF(E272&lt;&gt;"",ROUND(IF(E272&gt;1500,E272*5%,),0),"")</f>
        <v>79</v>
      </c>
      <c r="I272" s="2" t="s">
        <v>2926</v>
      </c>
      <c r="J272" s="3" t="str">
        <f>IF(I272="Cash",L272,"")</f>
        <v/>
      </c>
      <c r="K272" s="3">
        <f>IF(I272="UPI",L272,"")</f>
        <v>1343</v>
      </c>
      <c r="L272" s="3">
        <f>IF(E272&lt;&gt;"",E272-G272-H272,"")</f>
        <v>1343</v>
      </c>
    </row>
    <row r="273" spans="2:12">
      <c r="B273" s="2" t="s">
        <v>2037</v>
      </c>
      <c r="C273" s="9">
        <v>45951</v>
      </c>
      <c r="D273" s="4">
        <v>4</v>
      </c>
      <c r="E273" s="3">
        <v>2780</v>
      </c>
      <c r="F273" s="7">
        <f t="shared" si="4"/>
        <v>45951</v>
      </c>
      <c r="G273" s="3">
        <f>IF(E273&lt;&gt;"", E273*10%, "")</f>
        <v>278</v>
      </c>
      <c r="H273" s="3">
        <f>IF(E273&lt;&gt;"",ROUND(IF(E273&gt;1500,E273*5%,),0),"")</f>
        <v>139</v>
      </c>
      <c r="I273" s="2" t="s">
        <v>2925</v>
      </c>
      <c r="J273" s="3">
        <f>IF(I273="Cash",L273,"")</f>
        <v>2363</v>
      </c>
      <c r="K273" s="3" t="str">
        <f>IF(I273="UPI",L273,"")</f>
        <v/>
      </c>
      <c r="L273" s="3">
        <f>IF(E273&lt;&gt;"",E273-G273-H273,"")</f>
        <v>2363</v>
      </c>
    </row>
    <row r="274" spans="2:12">
      <c r="B274" s="2" t="s">
        <v>2038</v>
      </c>
      <c r="C274" s="9">
        <v>45951</v>
      </c>
      <c r="D274" s="4">
        <v>4</v>
      </c>
      <c r="E274" s="3">
        <v>3160</v>
      </c>
      <c r="F274" s="7">
        <f t="shared" si="4"/>
        <v>45951</v>
      </c>
      <c r="G274" s="3">
        <f>IF(E274&lt;&gt;"", E274*10%, "")</f>
        <v>316</v>
      </c>
      <c r="H274" s="3">
        <f>IF(E274&lt;&gt;"",ROUND(IF(E274&gt;1500,E274*5%,),0),"")</f>
        <v>158</v>
      </c>
      <c r="I274" s="2" t="s">
        <v>2928</v>
      </c>
      <c r="J274" s="10">
        <v>500</v>
      </c>
      <c r="K274" s="10">
        <v>2186</v>
      </c>
      <c r="L274" s="3">
        <f>IF(E274&lt;&gt;"",E274-G274-H274,"")</f>
        <v>2686</v>
      </c>
    </row>
    <row r="275" spans="2:12">
      <c r="B275" s="2" t="s">
        <v>2039</v>
      </c>
      <c r="C275" s="9">
        <v>45952</v>
      </c>
      <c r="D275" s="4">
        <v>3</v>
      </c>
      <c r="E275" s="3">
        <v>1670</v>
      </c>
      <c r="F275" s="7">
        <f t="shared" si="4"/>
        <v>45952</v>
      </c>
      <c r="G275" s="3">
        <f>IF(E275&lt;&gt;"", E275*10%, "")</f>
        <v>167</v>
      </c>
      <c r="H275" s="3">
        <f>IF(E275&lt;&gt;"",ROUND(IF(E275&gt;1500,E275*5%,),0),"")</f>
        <v>84</v>
      </c>
      <c r="I275" s="2" t="s">
        <v>2926</v>
      </c>
      <c r="J275" s="3" t="str">
        <f>IF(I275="Cash",L275,"")</f>
        <v/>
      </c>
      <c r="K275" s="3">
        <f>IF(I275="UPI",L275,"")</f>
        <v>1419</v>
      </c>
      <c r="L275" s="3">
        <f>IF(E275&lt;&gt;"",E275-G275-H275,"")</f>
        <v>1419</v>
      </c>
    </row>
    <row r="276" spans="2:12">
      <c r="B276" s="2" t="s">
        <v>2040</v>
      </c>
      <c r="C276" s="9">
        <v>45952</v>
      </c>
      <c r="D276" s="4">
        <v>4</v>
      </c>
      <c r="E276" s="3">
        <v>2210</v>
      </c>
      <c r="F276" s="7">
        <f t="shared" si="4"/>
        <v>45952</v>
      </c>
      <c r="G276" s="3">
        <f>IF(E276&lt;&gt;"", E276*10%, "")</f>
        <v>221</v>
      </c>
      <c r="H276" s="3">
        <f>IF(E276&lt;&gt;"",ROUND(IF(E276&gt;1500,E276*5%,),0),"")</f>
        <v>111</v>
      </c>
      <c r="I276" s="2" t="s">
        <v>2925</v>
      </c>
      <c r="J276" s="3">
        <f>IF(I276="Cash",L276,"")</f>
        <v>1878</v>
      </c>
      <c r="K276" s="3" t="str">
        <f>IF(I276="UPI",L276,"")</f>
        <v/>
      </c>
      <c r="L276" s="3">
        <f>IF(E276&lt;&gt;"",E276-G276-H276,"")</f>
        <v>1878</v>
      </c>
    </row>
    <row r="277" spans="2:12">
      <c r="B277" s="2" t="s">
        <v>2041</v>
      </c>
      <c r="C277" s="9">
        <v>45952</v>
      </c>
      <c r="D277" s="4">
        <v>4</v>
      </c>
      <c r="E277" s="3">
        <v>2340</v>
      </c>
      <c r="F277" s="7">
        <f t="shared" si="4"/>
        <v>45952</v>
      </c>
      <c r="G277" s="3">
        <f>IF(E277&lt;&gt;"", E277*10%, "")</f>
        <v>234</v>
      </c>
      <c r="H277" s="3">
        <f>IF(E277&lt;&gt;"",ROUND(IF(E277&gt;1500,E277*5%,),0),"")</f>
        <v>117</v>
      </c>
      <c r="I277" s="2" t="s">
        <v>2925</v>
      </c>
      <c r="J277" s="3">
        <f>IF(I277="Cash",L277,"")</f>
        <v>1989</v>
      </c>
      <c r="K277" s="3" t="str">
        <f>IF(I277="UPI",L277,"")</f>
        <v/>
      </c>
      <c r="L277" s="3">
        <f>IF(E277&lt;&gt;"",E277-G277-H277,"")</f>
        <v>1989</v>
      </c>
    </row>
    <row r="278" spans="2:12">
      <c r="B278" s="2" t="s">
        <v>2042</v>
      </c>
      <c r="C278" s="9">
        <v>45952</v>
      </c>
      <c r="D278" s="4">
        <v>2</v>
      </c>
      <c r="E278" s="3">
        <v>1020</v>
      </c>
      <c r="F278" s="7">
        <f t="shared" si="4"/>
        <v>45952</v>
      </c>
      <c r="G278" s="3">
        <f>IF(E278&lt;&gt;"", E278*10%, "")</f>
        <v>102</v>
      </c>
      <c r="H278" s="3">
        <f>IF(E278&lt;&gt;"",ROUND(IF(E278&gt;1500,E278*5%,),0),"")</f>
        <v>0</v>
      </c>
      <c r="I278" s="2" t="s">
        <v>2926</v>
      </c>
      <c r="J278" s="3" t="str">
        <f>IF(I278="Cash",L278,"")</f>
        <v/>
      </c>
      <c r="K278" s="3">
        <f>IF(I278="UPI",L278,"")</f>
        <v>918</v>
      </c>
      <c r="L278" s="3">
        <f>IF(E278&lt;&gt;"",E278-G278-H278,"")</f>
        <v>918</v>
      </c>
    </row>
    <row r="279" spans="2:12">
      <c r="B279" s="2" t="s">
        <v>2043</v>
      </c>
      <c r="C279" s="9">
        <v>45952</v>
      </c>
      <c r="D279" s="4">
        <v>4</v>
      </c>
      <c r="E279" s="3">
        <v>2810</v>
      </c>
      <c r="F279" s="7">
        <f t="shared" si="4"/>
        <v>45952</v>
      </c>
      <c r="G279" s="3">
        <f>IF(E279&lt;&gt;"", E279*10%, "")</f>
        <v>281</v>
      </c>
      <c r="H279" s="3">
        <f>IF(E279&lt;&gt;"",ROUND(IF(E279&gt;1500,E279*5%,),0),"")</f>
        <v>141</v>
      </c>
      <c r="I279" s="2" t="s">
        <v>2925</v>
      </c>
      <c r="J279" s="3">
        <f>IF(I279="Cash",L279,"")</f>
        <v>2388</v>
      </c>
      <c r="K279" s="3" t="str">
        <f>IF(I279="UPI",L279,"")</f>
        <v/>
      </c>
      <c r="L279" s="3">
        <f>IF(E279&lt;&gt;"",E279-G279-H279,"")</f>
        <v>2388</v>
      </c>
    </row>
    <row r="280" spans="2:12">
      <c r="B280" s="2" t="s">
        <v>2044</v>
      </c>
      <c r="C280" s="9">
        <v>45952</v>
      </c>
      <c r="D280" s="4">
        <v>4</v>
      </c>
      <c r="E280" s="3">
        <v>2370</v>
      </c>
      <c r="F280" s="7">
        <f t="shared" si="4"/>
        <v>45952</v>
      </c>
      <c r="G280" s="3">
        <f>IF(E280&lt;&gt;"", E280*10%, "")</f>
        <v>237</v>
      </c>
      <c r="H280" s="3">
        <f>IF(E280&lt;&gt;"",ROUND(IF(E280&gt;1500,E280*5%,),0),"")</f>
        <v>119</v>
      </c>
      <c r="I280" s="2" t="s">
        <v>2925</v>
      </c>
      <c r="J280" s="3">
        <f>IF(I280="Cash",L280,"")</f>
        <v>2014</v>
      </c>
      <c r="K280" s="3" t="str">
        <f>IF(I280="UPI",L280,"")</f>
        <v/>
      </c>
      <c r="L280" s="3">
        <f>IF(E280&lt;&gt;"",E280-G280-H280,"")</f>
        <v>2014</v>
      </c>
    </row>
    <row r="281" spans="2:12">
      <c r="B281" s="2" t="s">
        <v>2045</v>
      </c>
      <c r="C281" s="9">
        <v>45952</v>
      </c>
      <c r="D281" s="4">
        <v>1</v>
      </c>
      <c r="E281" s="3">
        <v>880</v>
      </c>
      <c r="F281" s="7">
        <f t="shared" si="4"/>
        <v>45952</v>
      </c>
      <c r="G281" s="3">
        <f>IF(E281&lt;&gt;"", E281*10%, "")</f>
        <v>88</v>
      </c>
      <c r="H281" s="3">
        <f>IF(E281&lt;&gt;"",ROUND(IF(E281&gt;1500,E281*5%,),0),"")</f>
        <v>0</v>
      </c>
      <c r="I281" s="2" t="s">
        <v>2926</v>
      </c>
      <c r="J281" s="3" t="str">
        <f>IF(I281="Cash",L281,"")</f>
        <v/>
      </c>
      <c r="K281" s="3">
        <f>IF(I281="UPI",L281,"")</f>
        <v>792</v>
      </c>
      <c r="L281" s="3">
        <f>IF(E281&lt;&gt;"",E281-G281-H281,"")</f>
        <v>792</v>
      </c>
    </row>
    <row r="282" spans="2:12">
      <c r="B282" s="2" t="s">
        <v>2046</v>
      </c>
      <c r="C282" s="9">
        <v>45952</v>
      </c>
      <c r="D282" s="4">
        <v>1</v>
      </c>
      <c r="E282" s="3">
        <v>130</v>
      </c>
      <c r="F282" s="7">
        <f t="shared" si="4"/>
        <v>45952</v>
      </c>
      <c r="G282" s="3">
        <f>IF(E282&lt;&gt;"", E282*10%, "")</f>
        <v>13</v>
      </c>
      <c r="H282" s="3">
        <f>IF(E282&lt;&gt;"",ROUND(IF(E282&gt;1500,E282*5%,),0),"")</f>
        <v>0</v>
      </c>
      <c r="I282" s="2" t="s">
        <v>2926</v>
      </c>
      <c r="J282" s="3" t="str">
        <f>IF(I282="Cash",L282,"")</f>
        <v/>
      </c>
      <c r="K282" s="3">
        <f>IF(I282="UPI",L282,"")</f>
        <v>117</v>
      </c>
      <c r="L282" s="3">
        <f>IF(E282&lt;&gt;"",E282-G282-H282,"")</f>
        <v>117</v>
      </c>
    </row>
    <row r="283" spans="2:12">
      <c r="B283" s="2" t="s">
        <v>2047</v>
      </c>
      <c r="C283" s="9">
        <v>45952</v>
      </c>
      <c r="D283" s="4">
        <v>3</v>
      </c>
      <c r="E283" s="3">
        <v>2470</v>
      </c>
      <c r="F283" s="7">
        <f t="shared" si="4"/>
        <v>45952</v>
      </c>
      <c r="G283" s="3">
        <f>IF(E283&lt;&gt;"", E283*10%, "")</f>
        <v>247</v>
      </c>
      <c r="H283" s="3">
        <f>IF(E283&lt;&gt;"",ROUND(IF(E283&gt;1500,E283*5%,),0),"")</f>
        <v>124</v>
      </c>
      <c r="I283" s="2" t="s">
        <v>2925</v>
      </c>
      <c r="J283" s="3">
        <f>IF(I283="Cash",L283,"")</f>
        <v>2099</v>
      </c>
      <c r="K283" s="3" t="str">
        <f>IF(I283="UPI",L283,"")</f>
        <v/>
      </c>
      <c r="L283" s="3">
        <f>IF(E283&lt;&gt;"",E283-G283-H283,"")</f>
        <v>2099</v>
      </c>
    </row>
    <row r="284" spans="2:12">
      <c r="B284" s="2" t="s">
        <v>2048</v>
      </c>
      <c r="C284" s="9">
        <v>45952</v>
      </c>
      <c r="D284" s="4">
        <v>1</v>
      </c>
      <c r="E284" s="3">
        <v>830</v>
      </c>
      <c r="F284" s="7">
        <f t="shared" si="4"/>
        <v>45952</v>
      </c>
      <c r="G284" s="3">
        <f>IF(E284&lt;&gt;"", E284*10%, "")</f>
        <v>83</v>
      </c>
      <c r="H284" s="3">
        <f>IF(E284&lt;&gt;"",ROUND(IF(E284&gt;1500,E284*5%,),0),"")</f>
        <v>0</v>
      </c>
      <c r="I284" s="2" t="s">
        <v>2926</v>
      </c>
      <c r="J284" s="3" t="str">
        <f>IF(I284="Cash",L284,"")</f>
        <v/>
      </c>
      <c r="K284" s="3">
        <f>IF(I284="UPI",L284,"")</f>
        <v>747</v>
      </c>
      <c r="L284" s="3">
        <f>IF(E284&lt;&gt;"",E284-G284-H284,"")</f>
        <v>747</v>
      </c>
    </row>
    <row r="285" spans="2:12">
      <c r="B285" s="2" t="s">
        <v>2049</v>
      </c>
      <c r="C285" s="9">
        <v>45952</v>
      </c>
      <c r="D285" s="4">
        <v>3</v>
      </c>
      <c r="E285" s="3">
        <v>2560</v>
      </c>
      <c r="F285" s="7">
        <f t="shared" si="4"/>
        <v>45952</v>
      </c>
      <c r="G285" s="3">
        <f>IF(E285&lt;&gt;"", E285*10%, "")</f>
        <v>256</v>
      </c>
      <c r="H285" s="3">
        <f>IF(E285&lt;&gt;"",ROUND(IF(E285&gt;1500,E285*5%,),0),"")</f>
        <v>128</v>
      </c>
      <c r="I285" s="2" t="s">
        <v>2925</v>
      </c>
      <c r="J285" s="3">
        <f>IF(I285="Cash",L285,"")</f>
        <v>2176</v>
      </c>
      <c r="K285" s="3" t="str">
        <f>IF(I285="UPI",L285,"")</f>
        <v/>
      </c>
      <c r="L285" s="3">
        <f>IF(E285&lt;&gt;"",E285-G285-H285,"")</f>
        <v>2176</v>
      </c>
    </row>
    <row r="286" spans="2:12">
      <c r="B286" s="2" t="s">
        <v>2050</v>
      </c>
      <c r="C286" s="9">
        <v>45953</v>
      </c>
      <c r="D286" s="4">
        <v>3</v>
      </c>
      <c r="E286" s="3">
        <v>1420</v>
      </c>
      <c r="F286" s="7">
        <f t="shared" si="4"/>
        <v>45953</v>
      </c>
      <c r="G286" s="3">
        <f>IF(E286&lt;&gt;"", E286*10%, "")</f>
        <v>142</v>
      </c>
      <c r="H286" s="3">
        <f>IF(E286&lt;&gt;"",ROUND(IF(E286&gt;1500,E286*5%,),0),"")</f>
        <v>0</v>
      </c>
      <c r="I286" s="2" t="s">
        <v>2926</v>
      </c>
      <c r="J286" s="3" t="str">
        <f>IF(I286="Cash",L286,"")</f>
        <v/>
      </c>
      <c r="K286" s="3">
        <f>IF(I286="UPI",L286,"")</f>
        <v>1278</v>
      </c>
      <c r="L286" s="3">
        <f>IF(E286&lt;&gt;"",E286-G286-H286,"")</f>
        <v>1278</v>
      </c>
    </row>
    <row r="287" spans="2:12">
      <c r="B287" s="2" t="s">
        <v>2051</v>
      </c>
      <c r="C287" s="9">
        <v>45953</v>
      </c>
      <c r="D287" s="4">
        <v>3</v>
      </c>
      <c r="E287" s="3">
        <v>1160</v>
      </c>
      <c r="F287" s="7">
        <f t="shared" si="4"/>
        <v>45953</v>
      </c>
      <c r="G287" s="3">
        <f>IF(E287&lt;&gt;"", E287*10%, "")</f>
        <v>116</v>
      </c>
      <c r="H287" s="3">
        <f>IF(E287&lt;&gt;"",ROUND(IF(E287&gt;1500,E287*5%,),0),"")</f>
        <v>0</v>
      </c>
      <c r="I287" s="2" t="s">
        <v>2926</v>
      </c>
      <c r="J287" s="3" t="str">
        <f>IF(I287="Cash",L287,"")</f>
        <v/>
      </c>
      <c r="K287" s="3">
        <f>IF(I287="UPI",L287,"")</f>
        <v>1044</v>
      </c>
      <c r="L287" s="3">
        <f>IF(E287&lt;&gt;"",E287-G287-H287,"")</f>
        <v>1044</v>
      </c>
    </row>
    <row r="288" spans="2:12">
      <c r="B288" s="2" t="s">
        <v>2052</v>
      </c>
      <c r="C288" s="9">
        <v>45953</v>
      </c>
      <c r="D288" s="4">
        <v>4</v>
      </c>
      <c r="E288" s="3">
        <v>2050</v>
      </c>
      <c r="F288" s="7">
        <f t="shared" si="4"/>
        <v>45953</v>
      </c>
      <c r="G288" s="3">
        <f>IF(E288&lt;&gt;"", E288*10%, "")</f>
        <v>205</v>
      </c>
      <c r="H288" s="3">
        <f>IF(E288&lt;&gt;"",ROUND(IF(E288&gt;1500,E288*5%,),0),"")</f>
        <v>103</v>
      </c>
      <c r="I288" s="2" t="s">
        <v>2925</v>
      </c>
      <c r="J288" s="3">
        <f>IF(I288="Cash",L288,"")</f>
        <v>1742</v>
      </c>
      <c r="K288" s="3" t="str">
        <f>IF(I288="UPI",L288,"")</f>
        <v/>
      </c>
      <c r="L288" s="3">
        <f>IF(E288&lt;&gt;"",E288-G288-H288,"")</f>
        <v>1742</v>
      </c>
    </row>
    <row r="289" spans="2:12">
      <c r="B289" s="2" t="s">
        <v>2053</v>
      </c>
      <c r="C289" s="9">
        <v>45953</v>
      </c>
      <c r="D289" s="4">
        <v>3</v>
      </c>
      <c r="E289" s="3">
        <v>1610</v>
      </c>
      <c r="F289" s="7">
        <f t="shared" si="4"/>
        <v>45953</v>
      </c>
      <c r="G289" s="3">
        <f>IF(E289&lt;&gt;"", E289*10%, "")</f>
        <v>161</v>
      </c>
      <c r="H289" s="3">
        <f>IF(E289&lt;&gt;"",ROUND(IF(E289&gt;1500,E289*5%,),0),"")</f>
        <v>81</v>
      </c>
      <c r="I289" s="2" t="s">
        <v>2926</v>
      </c>
      <c r="J289" s="3" t="str">
        <f>IF(I289="Cash",L289,"")</f>
        <v/>
      </c>
      <c r="K289" s="3">
        <f>IF(I289="UPI",L289,"")</f>
        <v>1368</v>
      </c>
      <c r="L289" s="3">
        <f>IF(E289&lt;&gt;"",E289-G289-H289,"")</f>
        <v>1368</v>
      </c>
    </row>
    <row r="290" spans="2:12">
      <c r="B290" s="2" t="s">
        <v>2054</v>
      </c>
      <c r="C290" s="9">
        <v>45953</v>
      </c>
      <c r="D290" s="4">
        <v>2</v>
      </c>
      <c r="E290" s="3">
        <v>1760</v>
      </c>
      <c r="F290" s="7">
        <f t="shared" si="4"/>
        <v>45953</v>
      </c>
      <c r="G290" s="3">
        <f>IF(E290&lt;&gt;"", E290*10%, "")</f>
        <v>176</v>
      </c>
      <c r="H290" s="3">
        <f>IF(E290&lt;&gt;"",ROUND(IF(E290&gt;1500,E290*5%,),0),"")</f>
        <v>88</v>
      </c>
      <c r="I290" s="2" t="s">
        <v>2925</v>
      </c>
      <c r="J290" s="3">
        <f>IF(I290="Cash",L290,"")</f>
        <v>1496</v>
      </c>
      <c r="K290" s="3" t="str">
        <f>IF(I290="UPI",L290,"")</f>
        <v/>
      </c>
      <c r="L290" s="3">
        <f>IF(E290&lt;&gt;"",E290-G290-H290,"")</f>
        <v>1496</v>
      </c>
    </row>
    <row r="291" spans="2:12">
      <c r="B291" s="2" t="s">
        <v>2055</v>
      </c>
      <c r="C291" s="9">
        <v>45953</v>
      </c>
      <c r="D291" s="4">
        <v>3</v>
      </c>
      <c r="E291" s="3">
        <v>1410</v>
      </c>
      <c r="F291" s="7">
        <f t="shared" si="4"/>
        <v>45953</v>
      </c>
      <c r="G291" s="3">
        <f>IF(E291&lt;&gt;"", E291*10%, "")</f>
        <v>141</v>
      </c>
      <c r="H291" s="3">
        <f>IF(E291&lt;&gt;"",ROUND(IF(E291&gt;1500,E291*5%,),0),"")</f>
        <v>0</v>
      </c>
      <c r="I291" s="2" t="s">
        <v>2926</v>
      </c>
      <c r="J291" s="3" t="str">
        <f>IF(I291="Cash",L291,"")</f>
        <v/>
      </c>
      <c r="K291" s="3">
        <f>IF(I291="UPI",L291,"")</f>
        <v>1269</v>
      </c>
      <c r="L291" s="3">
        <f>IF(E291&lt;&gt;"",E291-G291-H291,"")</f>
        <v>1269</v>
      </c>
    </row>
    <row r="292" spans="2:12">
      <c r="B292" s="2" t="s">
        <v>2056</v>
      </c>
      <c r="C292" s="9">
        <v>45953</v>
      </c>
      <c r="D292" s="4">
        <v>4</v>
      </c>
      <c r="E292" s="3">
        <v>2560</v>
      </c>
      <c r="F292" s="7">
        <f t="shared" si="4"/>
        <v>45953</v>
      </c>
      <c r="G292" s="3">
        <f>IF(E292&lt;&gt;"", E292*10%, "")</f>
        <v>256</v>
      </c>
      <c r="H292" s="3">
        <f>IF(E292&lt;&gt;"",ROUND(IF(E292&gt;1500,E292*5%,),0),"")</f>
        <v>128</v>
      </c>
      <c r="I292" s="2" t="s">
        <v>2925</v>
      </c>
      <c r="J292" s="3">
        <f>IF(I292="Cash",L292,"")</f>
        <v>2176</v>
      </c>
      <c r="K292" s="3" t="str">
        <f>IF(I292="UPI",L292,"")</f>
        <v/>
      </c>
      <c r="L292" s="3">
        <f>IF(E292&lt;&gt;"",E292-G292-H292,"")</f>
        <v>2176</v>
      </c>
    </row>
    <row r="293" spans="2:12">
      <c r="B293" s="2" t="s">
        <v>2057</v>
      </c>
      <c r="C293" s="9">
        <v>45953</v>
      </c>
      <c r="D293" s="4">
        <v>3</v>
      </c>
      <c r="E293" s="3">
        <v>2840</v>
      </c>
      <c r="F293" s="7">
        <f t="shared" si="4"/>
        <v>45953</v>
      </c>
      <c r="G293" s="3">
        <f>IF(E293&lt;&gt;"", E293*10%, "")</f>
        <v>284</v>
      </c>
      <c r="H293" s="3">
        <f>IF(E293&lt;&gt;"",ROUND(IF(E293&gt;1500,E293*5%,),0),"")</f>
        <v>142</v>
      </c>
      <c r="I293" s="2" t="s">
        <v>2928</v>
      </c>
      <c r="J293" s="10">
        <v>1500</v>
      </c>
      <c r="K293" s="10">
        <v>914</v>
      </c>
      <c r="L293" s="3">
        <f>IF(E293&lt;&gt;"",E293-G293-H293,"")</f>
        <v>2414</v>
      </c>
    </row>
    <row r="294" spans="2:12">
      <c r="B294" s="2" t="s">
        <v>2058</v>
      </c>
      <c r="C294" s="9">
        <v>45953</v>
      </c>
      <c r="D294" s="4">
        <v>3</v>
      </c>
      <c r="E294" s="3">
        <v>1910</v>
      </c>
      <c r="F294" s="7">
        <f t="shared" si="4"/>
        <v>45953</v>
      </c>
      <c r="G294" s="3">
        <f>IF(E294&lt;&gt;"", E294*10%, "")</f>
        <v>191</v>
      </c>
      <c r="H294" s="3">
        <f>IF(E294&lt;&gt;"",ROUND(IF(E294&gt;1500,E294*5%,),0),"")</f>
        <v>96</v>
      </c>
      <c r="I294" s="2" t="s">
        <v>2925</v>
      </c>
      <c r="J294" s="3">
        <f>IF(I294="Cash",L294,"")</f>
        <v>1623</v>
      </c>
      <c r="K294" s="3" t="str">
        <f>IF(I294="UPI",L294,"")</f>
        <v/>
      </c>
      <c r="L294" s="3">
        <f>IF(E294&lt;&gt;"",E294-G294-H294,"")</f>
        <v>1623</v>
      </c>
    </row>
    <row r="295" spans="2:12">
      <c r="B295" s="2" t="s">
        <v>2059</v>
      </c>
      <c r="C295" s="9">
        <v>45953</v>
      </c>
      <c r="D295" s="4">
        <v>2</v>
      </c>
      <c r="E295" s="3">
        <v>1680</v>
      </c>
      <c r="F295" s="7">
        <f t="shared" si="4"/>
        <v>45953</v>
      </c>
      <c r="G295" s="3">
        <f>IF(E295&lt;&gt;"", E295*10%, "")</f>
        <v>168</v>
      </c>
      <c r="H295" s="3">
        <f>IF(E295&lt;&gt;"",ROUND(IF(E295&gt;1500,E295*5%,),0),"")</f>
        <v>84</v>
      </c>
      <c r="I295" s="2" t="s">
        <v>2925</v>
      </c>
      <c r="J295" s="3">
        <f>IF(I295="Cash",L295,"")</f>
        <v>1428</v>
      </c>
      <c r="K295" s="3" t="str">
        <f>IF(I295="UPI",L295,"")</f>
        <v/>
      </c>
      <c r="L295" s="3">
        <f>IF(E295&lt;&gt;"",E295-G295-H295,"")</f>
        <v>1428</v>
      </c>
    </row>
    <row r="296" spans="2:12">
      <c r="B296" s="2" t="s">
        <v>2060</v>
      </c>
      <c r="C296" s="9">
        <v>45953</v>
      </c>
      <c r="D296" s="4">
        <v>3</v>
      </c>
      <c r="E296" s="3">
        <v>1220</v>
      </c>
      <c r="F296" s="7">
        <f t="shared" si="4"/>
        <v>45953</v>
      </c>
      <c r="G296" s="3">
        <f>IF(E296&lt;&gt;"", E296*10%, "")</f>
        <v>122</v>
      </c>
      <c r="H296" s="3">
        <f>IF(E296&lt;&gt;"",ROUND(IF(E296&gt;1500,E296*5%,),0),"")</f>
        <v>0</v>
      </c>
      <c r="I296" s="2" t="s">
        <v>2926</v>
      </c>
      <c r="J296" s="3" t="str">
        <f>IF(I296="Cash",L296,"")</f>
        <v/>
      </c>
      <c r="K296" s="3">
        <f>IF(I296="UPI",L296,"")</f>
        <v>1098</v>
      </c>
      <c r="L296" s="3">
        <f>IF(E296&lt;&gt;"",E296-G296-H296,"")</f>
        <v>1098</v>
      </c>
    </row>
    <row r="297" spans="2:12">
      <c r="B297" s="2" t="s">
        <v>2061</v>
      </c>
      <c r="C297" s="9">
        <v>45953</v>
      </c>
      <c r="D297" s="4">
        <v>3</v>
      </c>
      <c r="E297" s="3">
        <v>1750</v>
      </c>
      <c r="F297" s="7">
        <f t="shared" si="4"/>
        <v>45953</v>
      </c>
      <c r="G297" s="3">
        <f>IF(E297&lt;&gt;"", E297*10%, "")</f>
        <v>175</v>
      </c>
      <c r="H297" s="3">
        <f>IF(E297&lt;&gt;"",ROUND(IF(E297&gt;1500,E297*5%,),0),"")</f>
        <v>88</v>
      </c>
      <c r="I297" s="2" t="s">
        <v>2925</v>
      </c>
      <c r="J297" s="3">
        <f>IF(I297="Cash",L297,"")</f>
        <v>1487</v>
      </c>
      <c r="K297" s="3" t="str">
        <f>IF(I297="UPI",L297,"")</f>
        <v/>
      </c>
      <c r="L297" s="3">
        <f>IF(E297&lt;&gt;"",E297-G297-H297,"")</f>
        <v>1487</v>
      </c>
    </row>
    <row r="298" spans="2:12">
      <c r="B298" s="2" t="s">
        <v>2062</v>
      </c>
      <c r="C298" s="9">
        <v>45954</v>
      </c>
      <c r="D298" s="4">
        <v>4</v>
      </c>
      <c r="E298" s="3">
        <v>3040</v>
      </c>
      <c r="F298" s="7">
        <f t="shared" si="4"/>
        <v>45954</v>
      </c>
      <c r="G298" s="3">
        <f>IF(E298&lt;&gt;"", E298*10%, "")</f>
        <v>304</v>
      </c>
      <c r="H298" s="3">
        <f>IF(E298&lt;&gt;"",ROUND(IF(E298&gt;1500,E298*5%,),0),"")</f>
        <v>152</v>
      </c>
      <c r="I298" s="2" t="s">
        <v>2928</v>
      </c>
      <c r="J298" s="10">
        <v>700</v>
      </c>
      <c r="K298" s="10">
        <v>1884</v>
      </c>
      <c r="L298" s="3">
        <f>IF(E298&lt;&gt;"",E298-G298-H298,"")</f>
        <v>2584</v>
      </c>
    </row>
    <row r="299" spans="2:12">
      <c r="B299" s="2" t="s">
        <v>2063</v>
      </c>
      <c r="C299" s="9">
        <v>45954</v>
      </c>
      <c r="D299" s="4">
        <v>4</v>
      </c>
      <c r="E299" s="3">
        <v>1330</v>
      </c>
      <c r="F299" s="7">
        <f t="shared" si="4"/>
        <v>45954</v>
      </c>
      <c r="G299" s="3">
        <f>IF(E299&lt;&gt;"", E299*10%, "")</f>
        <v>133</v>
      </c>
      <c r="H299" s="3">
        <f>IF(E299&lt;&gt;"",ROUND(IF(E299&gt;1500,E299*5%,),0),"")</f>
        <v>0</v>
      </c>
      <c r="I299" s="2" t="s">
        <v>2926</v>
      </c>
      <c r="J299" s="3" t="str">
        <f>IF(I299="Cash",L299,"")</f>
        <v/>
      </c>
      <c r="K299" s="3">
        <f>IF(I299="UPI",L299,"")</f>
        <v>1197</v>
      </c>
      <c r="L299" s="3">
        <f>IF(E299&lt;&gt;"",E299-G299-H299,"")</f>
        <v>1197</v>
      </c>
    </row>
    <row r="300" spans="2:12">
      <c r="B300" s="2" t="s">
        <v>2064</v>
      </c>
      <c r="C300" s="9">
        <v>45954</v>
      </c>
      <c r="D300" s="4">
        <v>2</v>
      </c>
      <c r="E300" s="3">
        <v>1820</v>
      </c>
      <c r="F300" s="7">
        <f t="shared" si="4"/>
        <v>45954</v>
      </c>
      <c r="G300" s="3">
        <f>IF(E300&lt;&gt;"", E300*10%, "")</f>
        <v>182</v>
      </c>
      <c r="H300" s="3">
        <f>IF(E300&lt;&gt;"",ROUND(IF(E300&gt;1500,E300*5%,),0),"")</f>
        <v>91</v>
      </c>
      <c r="I300" s="2" t="s">
        <v>2925</v>
      </c>
      <c r="J300" s="3">
        <f>IF(I300="Cash",L300,"")</f>
        <v>1547</v>
      </c>
      <c r="K300" s="3" t="str">
        <f>IF(I300="UPI",L300,"")</f>
        <v/>
      </c>
      <c r="L300" s="3">
        <f>IF(E300&lt;&gt;"",E300-G300-H300,"")</f>
        <v>1547</v>
      </c>
    </row>
    <row r="301" spans="2:12">
      <c r="B301" s="2" t="s">
        <v>2065</v>
      </c>
      <c r="C301" s="9">
        <v>45954</v>
      </c>
      <c r="D301" s="4">
        <v>3</v>
      </c>
      <c r="E301" s="3">
        <v>1720</v>
      </c>
      <c r="F301" s="7">
        <f t="shared" si="4"/>
        <v>45954</v>
      </c>
      <c r="G301" s="3">
        <f>IF(E301&lt;&gt;"", E301*10%, "")</f>
        <v>172</v>
      </c>
      <c r="H301" s="3">
        <f>IF(E301&lt;&gt;"",ROUND(IF(E301&gt;1500,E301*5%,),0),"")</f>
        <v>86</v>
      </c>
      <c r="I301" s="2" t="s">
        <v>2925</v>
      </c>
      <c r="J301" s="3">
        <f>IF(I301="Cash",L301,"")</f>
        <v>1462</v>
      </c>
      <c r="K301" s="3" t="str">
        <f>IF(I301="UPI",L301,"")</f>
        <v/>
      </c>
      <c r="L301" s="3">
        <f>IF(E301&lt;&gt;"",E301-G301-H301,"")</f>
        <v>1462</v>
      </c>
    </row>
    <row r="302" spans="2:12">
      <c r="B302" s="2" t="s">
        <v>2066</v>
      </c>
      <c r="C302" s="9">
        <v>45954</v>
      </c>
      <c r="D302" s="4">
        <v>1</v>
      </c>
      <c r="E302" s="3">
        <v>720</v>
      </c>
      <c r="F302" s="7">
        <f t="shared" si="4"/>
        <v>45954</v>
      </c>
      <c r="G302" s="3">
        <f>IF(E302&lt;&gt;"", E302*10%, "")</f>
        <v>72</v>
      </c>
      <c r="H302" s="3">
        <f>IF(E302&lt;&gt;"",ROUND(IF(E302&gt;1500,E302*5%,),0),"")</f>
        <v>0</v>
      </c>
      <c r="I302" s="2" t="s">
        <v>2926</v>
      </c>
      <c r="J302" s="3" t="str">
        <f>IF(I302="Cash",L302,"")</f>
        <v/>
      </c>
      <c r="K302" s="3">
        <f>IF(I302="UPI",L302,"")</f>
        <v>648</v>
      </c>
      <c r="L302" s="3">
        <f>IF(E302&lt;&gt;"",E302-G302-H302,"")</f>
        <v>648</v>
      </c>
    </row>
    <row r="303" spans="2:12">
      <c r="B303" s="2" t="s">
        <v>2067</v>
      </c>
      <c r="C303" s="9">
        <v>45954</v>
      </c>
      <c r="D303" s="4">
        <v>2</v>
      </c>
      <c r="E303" s="3">
        <v>460</v>
      </c>
      <c r="F303" s="7">
        <f t="shared" si="4"/>
        <v>45954</v>
      </c>
      <c r="G303" s="3">
        <f>IF(E303&lt;&gt;"", E303*10%, "")</f>
        <v>46</v>
      </c>
      <c r="H303" s="3">
        <f>IF(E303&lt;&gt;"",ROUND(IF(E303&gt;1500,E303*5%,),0),"")</f>
        <v>0</v>
      </c>
      <c r="I303" s="2" t="s">
        <v>2926</v>
      </c>
      <c r="J303" s="3" t="str">
        <f>IF(I303="Cash",L303,"")</f>
        <v/>
      </c>
      <c r="K303" s="3">
        <f>IF(I303="UPI",L303,"")</f>
        <v>414</v>
      </c>
      <c r="L303" s="3">
        <f>IF(E303&lt;&gt;"",E303-G303-H303,"")</f>
        <v>414</v>
      </c>
    </row>
    <row r="304" spans="2:12">
      <c r="B304" s="2" t="s">
        <v>2068</v>
      </c>
      <c r="C304" s="9">
        <v>45954</v>
      </c>
      <c r="D304" s="4">
        <v>2</v>
      </c>
      <c r="E304" s="3">
        <v>1670</v>
      </c>
      <c r="F304" s="7">
        <f t="shared" si="4"/>
        <v>45954</v>
      </c>
      <c r="G304" s="3">
        <f>IF(E304&lt;&gt;"", E304*10%, "")</f>
        <v>167</v>
      </c>
      <c r="H304" s="3">
        <f>IF(E304&lt;&gt;"",ROUND(IF(E304&gt;1500,E304*5%,),0),"")</f>
        <v>84</v>
      </c>
      <c r="I304" s="2" t="s">
        <v>2926</v>
      </c>
      <c r="J304" s="3" t="str">
        <f>IF(I304="Cash",L304,"")</f>
        <v/>
      </c>
      <c r="K304" s="3">
        <f>IF(I304="UPI",L304,"")</f>
        <v>1419</v>
      </c>
      <c r="L304" s="3">
        <f>IF(E304&lt;&gt;"",E304-G304-H304,"")</f>
        <v>1419</v>
      </c>
    </row>
    <row r="305" spans="2:12">
      <c r="B305" s="2" t="s">
        <v>2069</v>
      </c>
      <c r="C305" s="9">
        <v>45954</v>
      </c>
      <c r="D305" s="4">
        <v>3</v>
      </c>
      <c r="E305" s="3">
        <v>2150</v>
      </c>
      <c r="F305" s="7">
        <f t="shared" si="4"/>
        <v>45954</v>
      </c>
      <c r="G305" s="3">
        <f>IF(E305&lt;&gt;"", E305*10%, "")</f>
        <v>215</v>
      </c>
      <c r="H305" s="3">
        <f>IF(E305&lt;&gt;"",ROUND(IF(E305&gt;1500,E305*5%,),0),"")</f>
        <v>108</v>
      </c>
      <c r="I305" s="2" t="s">
        <v>2925</v>
      </c>
      <c r="J305" s="3">
        <f>IF(I305="Cash",L305,"")</f>
        <v>1827</v>
      </c>
      <c r="K305" s="3" t="str">
        <f>IF(I305="UPI",L305,"")</f>
        <v/>
      </c>
      <c r="L305" s="3">
        <f>IF(E305&lt;&gt;"",E305-G305-H305,"")</f>
        <v>1827</v>
      </c>
    </row>
    <row r="306" spans="2:12">
      <c r="B306" s="2" t="s">
        <v>2070</v>
      </c>
      <c r="C306" s="9">
        <v>45954</v>
      </c>
      <c r="D306" s="4">
        <v>1</v>
      </c>
      <c r="E306" s="3">
        <v>250</v>
      </c>
      <c r="F306" s="7">
        <f t="shared" si="4"/>
        <v>45954</v>
      </c>
      <c r="G306" s="3">
        <f>IF(E306&lt;&gt;"", E306*10%, "")</f>
        <v>25</v>
      </c>
      <c r="H306" s="3">
        <f>IF(E306&lt;&gt;"",ROUND(IF(E306&gt;1500,E306*5%,),0),"")</f>
        <v>0</v>
      </c>
      <c r="I306" s="2" t="s">
        <v>2926</v>
      </c>
      <c r="J306" s="3" t="str">
        <f>IF(I306="Cash",L306,"")</f>
        <v/>
      </c>
      <c r="K306" s="3">
        <f>IF(I306="UPI",L306,"")</f>
        <v>225</v>
      </c>
      <c r="L306" s="3">
        <f>IF(E306&lt;&gt;"",E306-G306-H306,"")</f>
        <v>225</v>
      </c>
    </row>
    <row r="307" spans="2:12">
      <c r="B307" s="2" t="s">
        <v>2071</v>
      </c>
      <c r="C307" s="9">
        <v>45954</v>
      </c>
      <c r="D307" s="4">
        <v>4</v>
      </c>
      <c r="E307" s="3">
        <v>1460</v>
      </c>
      <c r="F307" s="7">
        <f t="shared" si="4"/>
        <v>45954</v>
      </c>
      <c r="G307" s="3">
        <f>IF(E307&lt;&gt;"", E307*10%, "")</f>
        <v>146</v>
      </c>
      <c r="H307" s="3">
        <f>IF(E307&lt;&gt;"",ROUND(IF(E307&gt;1500,E307*5%,),0),"")</f>
        <v>0</v>
      </c>
      <c r="I307" s="2" t="s">
        <v>2926</v>
      </c>
      <c r="J307" s="3" t="str">
        <f>IF(I307="Cash",L307,"")</f>
        <v/>
      </c>
      <c r="K307" s="3">
        <f>IF(I307="UPI",L307,"")</f>
        <v>1314</v>
      </c>
      <c r="L307" s="3">
        <f>IF(E307&lt;&gt;"",E307-G307-H307,"")</f>
        <v>1314</v>
      </c>
    </row>
    <row r="308" spans="2:12">
      <c r="B308" s="2" t="s">
        <v>2072</v>
      </c>
      <c r="C308" s="9">
        <v>45954</v>
      </c>
      <c r="D308" s="4">
        <v>4</v>
      </c>
      <c r="E308" s="3">
        <v>2650</v>
      </c>
      <c r="F308" s="7">
        <f t="shared" si="4"/>
        <v>45954</v>
      </c>
      <c r="G308" s="3">
        <f>IF(E308&lt;&gt;"", E308*10%, "")</f>
        <v>265</v>
      </c>
      <c r="H308" s="3">
        <f>IF(E308&lt;&gt;"",ROUND(IF(E308&gt;1500,E308*5%,),0),"")</f>
        <v>133</v>
      </c>
      <c r="I308" s="2" t="s">
        <v>2925</v>
      </c>
      <c r="J308" s="3">
        <f>IF(I308="Cash",L308,"")</f>
        <v>2252</v>
      </c>
      <c r="K308" s="3" t="str">
        <f>IF(I308="UPI",L308,"")</f>
        <v/>
      </c>
      <c r="L308" s="3">
        <f>IF(E308&lt;&gt;"",E308-G308-H308,"")</f>
        <v>2252</v>
      </c>
    </row>
    <row r="309" spans="2:12">
      <c r="B309" s="2" t="s">
        <v>2073</v>
      </c>
      <c r="C309" s="9">
        <v>45954</v>
      </c>
      <c r="D309" s="4">
        <v>2</v>
      </c>
      <c r="E309" s="3">
        <v>980</v>
      </c>
      <c r="F309" s="7">
        <f t="shared" si="4"/>
        <v>45954</v>
      </c>
      <c r="G309" s="3">
        <f>IF(E309&lt;&gt;"", E309*10%, "")</f>
        <v>98</v>
      </c>
      <c r="H309" s="3">
        <f>IF(E309&lt;&gt;"",ROUND(IF(E309&gt;1500,E309*5%,),0),"")</f>
        <v>0</v>
      </c>
      <c r="I309" s="2" t="s">
        <v>2926</v>
      </c>
      <c r="J309" s="3" t="str">
        <f>IF(I309="Cash",L309,"")</f>
        <v/>
      </c>
      <c r="K309" s="3">
        <f>IF(I309="UPI",L309,"")</f>
        <v>882</v>
      </c>
      <c r="L309" s="3">
        <f>IF(E309&lt;&gt;"",E309-G309-H309,"")</f>
        <v>882</v>
      </c>
    </row>
    <row r="310" spans="2:12">
      <c r="B310" s="2" t="s">
        <v>2074</v>
      </c>
      <c r="C310" s="9">
        <v>45954</v>
      </c>
      <c r="D310" s="4">
        <v>2</v>
      </c>
      <c r="E310" s="3">
        <v>1250</v>
      </c>
      <c r="F310" s="7">
        <f t="shared" si="4"/>
        <v>45954</v>
      </c>
      <c r="G310" s="3">
        <f>IF(E310&lt;&gt;"", E310*10%, "")</f>
        <v>125</v>
      </c>
      <c r="H310" s="3">
        <f>IF(E310&lt;&gt;"",ROUND(IF(E310&gt;1500,E310*5%,),0),"")</f>
        <v>0</v>
      </c>
      <c r="I310" s="2" t="s">
        <v>2926</v>
      </c>
      <c r="J310" s="3" t="str">
        <f>IF(I310="Cash",L310,"")</f>
        <v/>
      </c>
      <c r="K310" s="3">
        <f>IF(I310="UPI",L310,"")</f>
        <v>1125</v>
      </c>
      <c r="L310" s="3">
        <f>IF(E310&lt;&gt;"",E310-G310-H310,"")</f>
        <v>1125</v>
      </c>
    </row>
    <row r="311" spans="2:12">
      <c r="B311" s="2" t="s">
        <v>2075</v>
      </c>
      <c r="C311" s="9">
        <v>45954</v>
      </c>
      <c r="D311" s="4">
        <v>1</v>
      </c>
      <c r="E311" s="3">
        <v>770</v>
      </c>
      <c r="F311" s="7">
        <f t="shared" si="4"/>
        <v>45954</v>
      </c>
      <c r="G311" s="3">
        <f>IF(E311&lt;&gt;"", E311*10%, "")</f>
        <v>77</v>
      </c>
      <c r="H311" s="3">
        <f>IF(E311&lt;&gt;"",ROUND(IF(E311&gt;1500,E311*5%,),0),"")</f>
        <v>0</v>
      </c>
      <c r="I311" s="2" t="s">
        <v>2926</v>
      </c>
      <c r="J311" s="3" t="str">
        <f>IF(I311="Cash",L311,"")</f>
        <v/>
      </c>
      <c r="K311" s="3">
        <f>IF(I311="UPI",L311,"")</f>
        <v>693</v>
      </c>
      <c r="L311" s="3">
        <f>IF(E311&lt;&gt;"",E311-G311-H311,"")</f>
        <v>693</v>
      </c>
    </row>
    <row r="312" spans="2:12">
      <c r="B312" s="2" t="s">
        <v>2076</v>
      </c>
      <c r="C312" s="9">
        <v>45954</v>
      </c>
      <c r="D312" s="4">
        <v>4</v>
      </c>
      <c r="E312" s="3">
        <v>2130</v>
      </c>
      <c r="F312" s="7">
        <f t="shared" si="4"/>
        <v>45954</v>
      </c>
      <c r="G312" s="3">
        <f>IF(E312&lt;&gt;"", E312*10%, "")</f>
        <v>213</v>
      </c>
      <c r="H312" s="3">
        <f>IF(E312&lt;&gt;"",ROUND(IF(E312&gt;1500,E312*5%,),0),"")</f>
        <v>107</v>
      </c>
      <c r="I312" s="2" t="s">
        <v>2925</v>
      </c>
      <c r="J312" s="3">
        <f>IF(I312="Cash",L312,"")</f>
        <v>1810</v>
      </c>
      <c r="K312" s="3" t="str">
        <f>IF(I312="UPI",L312,"")</f>
        <v/>
      </c>
      <c r="L312" s="3">
        <f>IF(E312&lt;&gt;"",E312-G312-H312,"")</f>
        <v>1810</v>
      </c>
    </row>
    <row r="313" spans="2:12">
      <c r="B313" s="2" t="s">
        <v>2077</v>
      </c>
      <c r="C313" s="9">
        <v>45954</v>
      </c>
      <c r="D313" s="4">
        <v>4</v>
      </c>
      <c r="E313" s="3">
        <v>1820</v>
      </c>
      <c r="F313" s="7">
        <f t="shared" si="4"/>
        <v>45954</v>
      </c>
      <c r="G313" s="3">
        <f>IF(E313&lt;&gt;"", E313*10%, "")</f>
        <v>182</v>
      </c>
      <c r="H313" s="3">
        <f>IF(E313&lt;&gt;"",ROUND(IF(E313&gt;1500,E313*5%,),0),"")</f>
        <v>91</v>
      </c>
      <c r="I313" s="2" t="s">
        <v>2925</v>
      </c>
      <c r="J313" s="3">
        <f>IF(I313="Cash",L313,"")</f>
        <v>1547</v>
      </c>
      <c r="K313" s="3" t="str">
        <f>IF(I313="UPI",L313,"")</f>
        <v/>
      </c>
      <c r="L313" s="3">
        <f>IF(E313&lt;&gt;"",E313-G313-H313,"")</f>
        <v>1547</v>
      </c>
    </row>
    <row r="314" spans="2:12">
      <c r="B314" s="2" t="s">
        <v>2078</v>
      </c>
      <c r="C314" s="9">
        <v>45955</v>
      </c>
      <c r="D314" s="4">
        <v>2</v>
      </c>
      <c r="E314" s="3">
        <v>1220</v>
      </c>
      <c r="F314" s="7">
        <f t="shared" si="4"/>
        <v>45955</v>
      </c>
      <c r="G314" s="3">
        <f>IF(E314&lt;&gt;"", E314*10%, "")</f>
        <v>122</v>
      </c>
      <c r="H314" s="3">
        <f>IF(E314&lt;&gt;"",ROUND(IF(E314&gt;1500,E314*5%,),0),"")</f>
        <v>0</v>
      </c>
      <c r="I314" s="2" t="s">
        <v>2926</v>
      </c>
      <c r="J314" s="3" t="str">
        <f>IF(I314="Cash",L314,"")</f>
        <v/>
      </c>
      <c r="K314" s="3">
        <f>IF(I314="UPI",L314,"")</f>
        <v>1098</v>
      </c>
      <c r="L314" s="3">
        <f>IF(E314&lt;&gt;"",E314-G314-H314,"")</f>
        <v>1098</v>
      </c>
    </row>
    <row r="315" spans="2:12">
      <c r="B315" s="2" t="s">
        <v>2079</v>
      </c>
      <c r="C315" s="9">
        <v>45955</v>
      </c>
      <c r="D315" s="4">
        <v>1</v>
      </c>
      <c r="E315" s="3">
        <v>870</v>
      </c>
      <c r="F315" s="7">
        <f t="shared" si="4"/>
        <v>45955</v>
      </c>
      <c r="G315" s="3">
        <f>IF(E315&lt;&gt;"", E315*10%, "")</f>
        <v>87</v>
      </c>
      <c r="H315" s="3">
        <f>IF(E315&lt;&gt;"",ROUND(IF(E315&gt;1500,E315*5%,),0),"")</f>
        <v>0</v>
      </c>
      <c r="I315" s="2" t="s">
        <v>2926</v>
      </c>
      <c r="J315" s="3" t="str">
        <f>IF(I315="Cash",L315,"")</f>
        <v/>
      </c>
      <c r="K315" s="3">
        <f>IF(I315="UPI",L315,"")</f>
        <v>783</v>
      </c>
      <c r="L315" s="3">
        <f>IF(E315&lt;&gt;"",E315-G315-H315,"")</f>
        <v>783</v>
      </c>
    </row>
    <row r="316" spans="2:12">
      <c r="B316" s="2" t="s">
        <v>2080</v>
      </c>
      <c r="C316" s="9">
        <v>45955</v>
      </c>
      <c r="D316" s="4">
        <v>3</v>
      </c>
      <c r="E316" s="3">
        <v>1950</v>
      </c>
      <c r="F316" s="7">
        <f t="shared" si="4"/>
        <v>45955</v>
      </c>
      <c r="G316" s="3">
        <f>IF(E316&lt;&gt;"", E316*10%, "")</f>
        <v>195</v>
      </c>
      <c r="H316" s="3">
        <f>IF(E316&lt;&gt;"",ROUND(IF(E316&gt;1500,E316*5%,),0),"")</f>
        <v>98</v>
      </c>
      <c r="I316" s="2" t="s">
        <v>2925</v>
      </c>
      <c r="J316" s="3">
        <f>IF(I316="Cash",L316,"")</f>
        <v>1657</v>
      </c>
      <c r="K316" s="3" t="str">
        <f>IF(I316="UPI",L316,"")</f>
        <v/>
      </c>
      <c r="L316" s="3">
        <f>IF(E316&lt;&gt;"",E316-G316-H316,"")</f>
        <v>1657</v>
      </c>
    </row>
    <row r="317" spans="2:12">
      <c r="B317" s="2" t="s">
        <v>2081</v>
      </c>
      <c r="C317" s="9">
        <v>45955</v>
      </c>
      <c r="D317" s="4">
        <v>1</v>
      </c>
      <c r="E317" s="3">
        <v>760</v>
      </c>
      <c r="F317" s="7">
        <f t="shared" si="4"/>
        <v>45955</v>
      </c>
      <c r="G317" s="3">
        <f>IF(E317&lt;&gt;"", E317*10%, "")</f>
        <v>76</v>
      </c>
      <c r="H317" s="3">
        <f>IF(E317&lt;&gt;"",ROUND(IF(E317&gt;1500,E317*5%,),0),"")</f>
        <v>0</v>
      </c>
      <c r="I317" s="2" t="s">
        <v>2926</v>
      </c>
      <c r="J317" s="3" t="str">
        <f>IF(I317="Cash",L317,"")</f>
        <v/>
      </c>
      <c r="K317" s="3">
        <f>IF(I317="UPI",L317,"")</f>
        <v>684</v>
      </c>
      <c r="L317" s="3">
        <f>IF(E317&lt;&gt;"",E317-G317-H317,"")</f>
        <v>684</v>
      </c>
    </row>
    <row r="318" spans="2:12">
      <c r="B318" s="2" t="s">
        <v>2082</v>
      </c>
      <c r="C318" s="9">
        <v>45955</v>
      </c>
      <c r="D318" s="4">
        <v>3</v>
      </c>
      <c r="E318" s="3">
        <v>2650</v>
      </c>
      <c r="F318" s="7">
        <f t="shared" si="4"/>
        <v>45955</v>
      </c>
      <c r="G318" s="3">
        <f>IF(E318&lt;&gt;"", E318*10%, "")</f>
        <v>265</v>
      </c>
      <c r="H318" s="3">
        <f>IF(E318&lt;&gt;"",ROUND(IF(E318&gt;1500,E318*5%,),0),"")</f>
        <v>133</v>
      </c>
      <c r="I318" s="2" t="s">
        <v>2925</v>
      </c>
      <c r="J318" s="3">
        <f>IF(I318="Cash",L318,"")</f>
        <v>2252</v>
      </c>
      <c r="K318" s="3" t="str">
        <f>IF(I318="UPI",L318,"")</f>
        <v/>
      </c>
      <c r="L318" s="3">
        <f>IF(E318&lt;&gt;"",E318-G318-H318,"")</f>
        <v>2252</v>
      </c>
    </row>
    <row r="319" spans="2:12">
      <c r="B319" s="2" t="s">
        <v>2083</v>
      </c>
      <c r="C319" s="9">
        <v>45955</v>
      </c>
      <c r="D319" s="4">
        <v>1</v>
      </c>
      <c r="E319" s="3">
        <v>510</v>
      </c>
      <c r="F319" s="7">
        <f t="shared" si="4"/>
        <v>45955</v>
      </c>
      <c r="G319" s="3">
        <f>IF(E319&lt;&gt;"", E319*10%, "")</f>
        <v>51</v>
      </c>
      <c r="H319" s="3">
        <f>IF(E319&lt;&gt;"",ROUND(IF(E319&gt;1500,E319*5%,),0),"")</f>
        <v>0</v>
      </c>
      <c r="I319" s="2" t="s">
        <v>2926</v>
      </c>
      <c r="J319" s="3" t="str">
        <f>IF(I319="Cash",L319,"")</f>
        <v/>
      </c>
      <c r="K319" s="3">
        <f>IF(I319="UPI",L319,"")</f>
        <v>459</v>
      </c>
      <c r="L319" s="3">
        <f>IF(E319&lt;&gt;"",E319-G319-H319,"")</f>
        <v>459</v>
      </c>
    </row>
    <row r="320" spans="2:12">
      <c r="B320" s="2" t="s">
        <v>2084</v>
      </c>
      <c r="C320" s="9">
        <v>45955</v>
      </c>
      <c r="D320" s="4">
        <v>1</v>
      </c>
      <c r="E320" s="3">
        <v>720</v>
      </c>
      <c r="F320" s="7">
        <f t="shared" si="4"/>
        <v>45955</v>
      </c>
      <c r="G320" s="3">
        <f>IF(E320&lt;&gt;"", E320*10%, "")</f>
        <v>72</v>
      </c>
      <c r="H320" s="3">
        <f>IF(E320&lt;&gt;"",ROUND(IF(E320&gt;1500,E320*5%,),0),"")</f>
        <v>0</v>
      </c>
      <c r="I320" s="2" t="s">
        <v>2926</v>
      </c>
      <c r="J320" s="3" t="str">
        <f>IF(I320="Cash",L320,"")</f>
        <v/>
      </c>
      <c r="K320" s="3">
        <f>IF(I320="UPI",L320,"")</f>
        <v>648</v>
      </c>
      <c r="L320" s="3">
        <f>IF(E320&lt;&gt;"",E320-G320-H320,"")</f>
        <v>648</v>
      </c>
    </row>
    <row r="321" spans="2:12">
      <c r="B321" s="2" t="s">
        <v>2085</v>
      </c>
      <c r="C321" s="9">
        <v>45955</v>
      </c>
      <c r="D321" s="4">
        <v>1</v>
      </c>
      <c r="E321" s="3">
        <v>780</v>
      </c>
      <c r="F321" s="7">
        <f t="shared" si="4"/>
        <v>45955</v>
      </c>
      <c r="G321" s="3">
        <f>IF(E321&lt;&gt;"", E321*10%, "")</f>
        <v>78</v>
      </c>
      <c r="H321" s="3">
        <f>IF(E321&lt;&gt;"",ROUND(IF(E321&gt;1500,E321*5%,),0),"")</f>
        <v>0</v>
      </c>
      <c r="I321" s="2" t="s">
        <v>2926</v>
      </c>
      <c r="J321" s="3" t="str">
        <f>IF(I321="Cash",L321,"")</f>
        <v/>
      </c>
      <c r="K321" s="3">
        <f>IF(I321="UPI",L321,"")</f>
        <v>702</v>
      </c>
      <c r="L321" s="3">
        <f>IF(E321&lt;&gt;"",E321-G321-H321,"")</f>
        <v>702</v>
      </c>
    </row>
    <row r="322" spans="2:12">
      <c r="B322" s="2" t="s">
        <v>2086</v>
      </c>
      <c r="C322" s="9">
        <v>45955</v>
      </c>
      <c r="D322" s="4">
        <v>4</v>
      </c>
      <c r="E322" s="3">
        <v>2060</v>
      </c>
      <c r="F322" s="7">
        <f t="shared" si="4"/>
        <v>45955</v>
      </c>
      <c r="G322" s="3">
        <f>IF(E322&lt;&gt;"", E322*10%, "")</f>
        <v>206</v>
      </c>
      <c r="H322" s="3">
        <f>IF(E322&lt;&gt;"",ROUND(IF(E322&gt;1500,E322*5%,),0),"")</f>
        <v>103</v>
      </c>
      <c r="I322" s="2" t="s">
        <v>2925</v>
      </c>
      <c r="J322" s="3">
        <f>IF(I322="Cash",L322,"")</f>
        <v>1751</v>
      </c>
      <c r="K322" s="3" t="str">
        <f>IF(I322="UPI",L322,"")</f>
        <v/>
      </c>
      <c r="L322" s="3">
        <f>IF(E322&lt;&gt;"",E322-G322-H322,"")</f>
        <v>1751</v>
      </c>
    </row>
    <row r="323" spans="2:12">
      <c r="B323" s="2" t="s">
        <v>2087</v>
      </c>
      <c r="C323" s="9">
        <v>45955</v>
      </c>
      <c r="D323" s="4">
        <v>1</v>
      </c>
      <c r="E323" s="3">
        <v>810</v>
      </c>
      <c r="F323" s="7">
        <f t="shared" si="4"/>
        <v>45955</v>
      </c>
      <c r="G323" s="3">
        <f>IF(E323&lt;&gt;"", E323*10%, "")</f>
        <v>81</v>
      </c>
      <c r="H323" s="3">
        <f>IF(E323&lt;&gt;"",ROUND(IF(E323&gt;1500,E323*5%,),0),"")</f>
        <v>0</v>
      </c>
      <c r="I323" s="2" t="s">
        <v>2926</v>
      </c>
      <c r="J323" s="3" t="str">
        <f>IF(I323="Cash",L323,"")</f>
        <v/>
      </c>
      <c r="K323" s="3">
        <f>IF(I323="UPI",L323,"")</f>
        <v>729</v>
      </c>
      <c r="L323" s="3">
        <f>IF(E323&lt;&gt;"",E323-G323-H323,"")</f>
        <v>729</v>
      </c>
    </row>
    <row r="324" spans="2:12">
      <c r="B324" s="2" t="s">
        <v>2088</v>
      </c>
      <c r="C324" s="9">
        <v>45955</v>
      </c>
      <c r="D324" s="4">
        <v>2</v>
      </c>
      <c r="E324" s="3">
        <v>1630</v>
      </c>
      <c r="F324" s="7">
        <f t="shared" si="4"/>
        <v>45955</v>
      </c>
      <c r="G324" s="3">
        <f>IF(E324&lt;&gt;"", E324*10%, "")</f>
        <v>163</v>
      </c>
      <c r="H324" s="3">
        <f>IF(E324&lt;&gt;"",ROUND(IF(E324&gt;1500,E324*5%,),0),"")</f>
        <v>82</v>
      </c>
      <c r="I324" s="2" t="s">
        <v>2926</v>
      </c>
      <c r="J324" s="3" t="str">
        <f>IF(I324="Cash",L324,"")</f>
        <v/>
      </c>
      <c r="K324" s="3">
        <f>IF(I324="UPI",L324,"")</f>
        <v>1385</v>
      </c>
      <c r="L324" s="3">
        <f>IF(E324&lt;&gt;"",E324-G324-H324,"")</f>
        <v>1385</v>
      </c>
    </row>
    <row r="325" spans="2:12">
      <c r="B325" s="2" t="s">
        <v>2089</v>
      </c>
      <c r="C325" s="9">
        <v>45955</v>
      </c>
      <c r="D325" s="4">
        <v>3</v>
      </c>
      <c r="E325" s="3">
        <v>1960</v>
      </c>
      <c r="F325" s="7">
        <f t="shared" ref="F325:F388" si="5">C325</f>
        <v>45955</v>
      </c>
      <c r="G325" s="3">
        <f>IF(E325&lt;&gt;"", E325*10%, "")</f>
        <v>196</v>
      </c>
      <c r="H325" s="3">
        <f>IF(E325&lt;&gt;"",ROUND(IF(E325&gt;1500,E325*5%,),0),"")</f>
        <v>98</v>
      </c>
      <c r="I325" s="2" t="s">
        <v>2925</v>
      </c>
      <c r="J325" s="3">
        <f>IF(I325="Cash",L325,"")</f>
        <v>1666</v>
      </c>
      <c r="K325" s="3" t="str">
        <f>IF(I325="UPI",L325,"")</f>
        <v/>
      </c>
      <c r="L325" s="3">
        <f>IF(E325&lt;&gt;"",E325-G325-H325,"")</f>
        <v>1666</v>
      </c>
    </row>
    <row r="326" spans="2:12">
      <c r="B326" s="2" t="s">
        <v>2090</v>
      </c>
      <c r="C326" s="9">
        <v>45955</v>
      </c>
      <c r="D326" s="4">
        <v>3</v>
      </c>
      <c r="E326" s="3">
        <v>1170</v>
      </c>
      <c r="F326" s="7">
        <f t="shared" si="5"/>
        <v>45955</v>
      </c>
      <c r="G326" s="3">
        <f>IF(E326&lt;&gt;"", E326*10%, "")</f>
        <v>117</v>
      </c>
      <c r="H326" s="3">
        <f>IF(E326&lt;&gt;"",ROUND(IF(E326&gt;1500,E326*5%,),0),"")</f>
        <v>0</v>
      </c>
      <c r="I326" s="2" t="s">
        <v>2926</v>
      </c>
      <c r="J326" s="3" t="str">
        <f>IF(I326="Cash",L326,"")</f>
        <v/>
      </c>
      <c r="K326" s="3">
        <f>IF(I326="UPI",L326,"")</f>
        <v>1053</v>
      </c>
      <c r="L326" s="3">
        <f>IF(E326&lt;&gt;"",E326-G326-H326,"")</f>
        <v>1053</v>
      </c>
    </row>
    <row r="327" spans="2:12">
      <c r="B327" s="2" t="s">
        <v>2091</v>
      </c>
      <c r="C327" s="9">
        <v>45955</v>
      </c>
      <c r="D327" s="4">
        <v>2</v>
      </c>
      <c r="E327" s="3">
        <v>1740</v>
      </c>
      <c r="F327" s="7">
        <f t="shared" si="5"/>
        <v>45955</v>
      </c>
      <c r="G327" s="3">
        <f>IF(E327&lt;&gt;"", E327*10%, "")</f>
        <v>174</v>
      </c>
      <c r="H327" s="3">
        <f>IF(E327&lt;&gt;"",ROUND(IF(E327&gt;1500,E327*5%,),0),"")</f>
        <v>87</v>
      </c>
      <c r="I327" s="2" t="s">
        <v>2925</v>
      </c>
      <c r="J327" s="3">
        <f>IF(I327="Cash",L327,"")</f>
        <v>1479</v>
      </c>
      <c r="K327" s="3" t="str">
        <f>IF(I327="UPI",L327,"")</f>
        <v/>
      </c>
      <c r="L327" s="3">
        <f>IF(E327&lt;&gt;"",E327-G327-H327,"")</f>
        <v>1479</v>
      </c>
    </row>
    <row r="328" spans="2:12">
      <c r="B328" s="2" t="s">
        <v>2092</v>
      </c>
      <c r="C328" s="9">
        <v>45955</v>
      </c>
      <c r="D328" s="4">
        <v>3</v>
      </c>
      <c r="E328" s="3">
        <v>2630</v>
      </c>
      <c r="F328" s="7">
        <f t="shared" si="5"/>
        <v>45955</v>
      </c>
      <c r="G328" s="3">
        <f>IF(E328&lt;&gt;"", E328*10%, "")</f>
        <v>263</v>
      </c>
      <c r="H328" s="3">
        <f>IF(E328&lt;&gt;"",ROUND(IF(E328&gt;1500,E328*5%,),0),"")</f>
        <v>132</v>
      </c>
      <c r="I328" s="2" t="s">
        <v>2925</v>
      </c>
      <c r="J328" s="3">
        <f>IF(I328="Cash",L328,"")</f>
        <v>2235</v>
      </c>
      <c r="K328" s="3" t="str">
        <f>IF(I328="UPI",L328,"")</f>
        <v/>
      </c>
      <c r="L328" s="3">
        <f>IF(E328&lt;&gt;"",E328-G328-H328,"")</f>
        <v>2235</v>
      </c>
    </row>
    <row r="329" spans="2:12">
      <c r="B329" s="2" t="s">
        <v>2093</v>
      </c>
      <c r="C329" s="9">
        <v>45955</v>
      </c>
      <c r="D329" s="4">
        <v>1</v>
      </c>
      <c r="E329" s="3">
        <v>800</v>
      </c>
      <c r="F329" s="7">
        <f t="shared" si="5"/>
        <v>45955</v>
      </c>
      <c r="G329" s="3">
        <f>IF(E329&lt;&gt;"", E329*10%, "")</f>
        <v>80</v>
      </c>
      <c r="H329" s="3">
        <f>IF(E329&lt;&gt;"",ROUND(IF(E329&gt;1500,E329*5%,),0),"")</f>
        <v>0</v>
      </c>
      <c r="I329" s="2" t="s">
        <v>2926</v>
      </c>
      <c r="J329" s="3" t="str">
        <f>IF(I329="Cash",L329,"")</f>
        <v/>
      </c>
      <c r="K329" s="3">
        <f>IF(I329="UPI",L329,"")</f>
        <v>720</v>
      </c>
      <c r="L329" s="3">
        <f>IF(E329&lt;&gt;"",E329-G329-H329,"")</f>
        <v>720</v>
      </c>
    </row>
    <row r="330" spans="2:12">
      <c r="B330" s="2" t="s">
        <v>2094</v>
      </c>
      <c r="C330" s="9">
        <v>45955</v>
      </c>
      <c r="D330" s="4">
        <v>2</v>
      </c>
      <c r="E330" s="3">
        <v>1670</v>
      </c>
      <c r="F330" s="7">
        <f t="shared" si="5"/>
        <v>45955</v>
      </c>
      <c r="G330" s="3">
        <f>IF(E330&lt;&gt;"", E330*10%, "")</f>
        <v>167</v>
      </c>
      <c r="H330" s="3">
        <f>IF(E330&lt;&gt;"",ROUND(IF(E330&gt;1500,E330*5%,),0),"")</f>
        <v>84</v>
      </c>
      <c r="I330" s="2" t="s">
        <v>2926</v>
      </c>
      <c r="J330" s="3" t="str">
        <f>IF(I330="Cash",L330,"")</f>
        <v/>
      </c>
      <c r="K330" s="3">
        <f>IF(I330="UPI",L330,"")</f>
        <v>1419</v>
      </c>
      <c r="L330" s="3">
        <f>IF(E330&lt;&gt;"",E330-G330-H330,"")</f>
        <v>1419</v>
      </c>
    </row>
    <row r="331" spans="2:12">
      <c r="B331" s="2" t="s">
        <v>2095</v>
      </c>
      <c r="C331" s="9">
        <v>45955</v>
      </c>
      <c r="D331" s="4">
        <v>2</v>
      </c>
      <c r="E331" s="3">
        <v>1170</v>
      </c>
      <c r="F331" s="7">
        <f t="shared" si="5"/>
        <v>45955</v>
      </c>
      <c r="G331" s="3">
        <f>IF(E331&lt;&gt;"", E331*10%, "")</f>
        <v>117</v>
      </c>
      <c r="H331" s="3">
        <f>IF(E331&lt;&gt;"",ROUND(IF(E331&gt;1500,E331*5%,),0),"")</f>
        <v>0</v>
      </c>
      <c r="I331" s="2" t="s">
        <v>2926</v>
      </c>
      <c r="J331" s="3" t="str">
        <f>IF(I331="Cash",L331,"")</f>
        <v/>
      </c>
      <c r="K331" s="3">
        <f>IF(I331="UPI",L331,"")</f>
        <v>1053</v>
      </c>
      <c r="L331" s="3">
        <f>IF(E331&lt;&gt;"",E331-G331-H331,"")</f>
        <v>1053</v>
      </c>
    </row>
    <row r="332" spans="2:12">
      <c r="B332" s="2" t="s">
        <v>2096</v>
      </c>
      <c r="C332" s="9">
        <v>45957</v>
      </c>
      <c r="D332" s="4">
        <v>3</v>
      </c>
      <c r="E332" s="3">
        <v>1480</v>
      </c>
      <c r="F332" s="7">
        <f t="shared" si="5"/>
        <v>45957</v>
      </c>
      <c r="G332" s="3">
        <f>IF(E332&lt;&gt;"", E332*10%, "")</f>
        <v>148</v>
      </c>
      <c r="H332" s="3">
        <f>IF(E332&lt;&gt;"",ROUND(IF(E332&gt;1500,E332*5%,),0),"")</f>
        <v>0</v>
      </c>
      <c r="I332" s="2" t="s">
        <v>2926</v>
      </c>
      <c r="J332" s="3" t="str">
        <f>IF(I332="Cash",L332,"")</f>
        <v/>
      </c>
      <c r="K332" s="3">
        <f>IF(I332="UPI",L332,"")</f>
        <v>1332</v>
      </c>
      <c r="L332" s="3">
        <f>IF(E332&lt;&gt;"",E332-G332-H332,"")</f>
        <v>1332</v>
      </c>
    </row>
    <row r="333" spans="2:12">
      <c r="B333" s="2" t="s">
        <v>2097</v>
      </c>
      <c r="C333" s="9">
        <v>45957</v>
      </c>
      <c r="D333" s="4">
        <v>3</v>
      </c>
      <c r="E333" s="3">
        <v>1240</v>
      </c>
      <c r="F333" s="7">
        <f t="shared" si="5"/>
        <v>45957</v>
      </c>
      <c r="G333" s="3">
        <f>IF(E333&lt;&gt;"", E333*10%, "")</f>
        <v>124</v>
      </c>
      <c r="H333" s="3">
        <f>IF(E333&lt;&gt;"",ROUND(IF(E333&gt;1500,E333*5%,),0),"")</f>
        <v>0</v>
      </c>
      <c r="I333" s="2" t="s">
        <v>2926</v>
      </c>
      <c r="J333" s="3" t="str">
        <f>IF(I333="Cash",L333,"")</f>
        <v/>
      </c>
      <c r="K333" s="3">
        <f>IF(I333="UPI",L333,"")</f>
        <v>1116</v>
      </c>
      <c r="L333" s="3">
        <f>IF(E333&lt;&gt;"",E333-G333-H333,"")</f>
        <v>1116</v>
      </c>
    </row>
    <row r="334" spans="2:12">
      <c r="B334" s="2" t="s">
        <v>2098</v>
      </c>
      <c r="C334" s="9">
        <v>45957</v>
      </c>
      <c r="D334" s="4">
        <v>1</v>
      </c>
      <c r="E334" s="3">
        <v>870</v>
      </c>
      <c r="F334" s="7">
        <f t="shared" si="5"/>
        <v>45957</v>
      </c>
      <c r="G334" s="3">
        <f>IF(E334&lt;&gt;"", E334*10%, "")</f>
        <v>87</v>
      </c>
      <c r="H334" s="3">
        <f>IF(E334&lt;&gt;"",ROUND(IF(E334&gt;1500,E334*5%,),0),"")</f>
        <v>0</v>
      </c>
      <c r="I334" s="2" t="s">
        <v>2926</v>
      </c>
      <c r="J334" s="3" t="str">
        <f>IF(I334="Cash",L334,"")</f>
        <v/>
      </c>
      <c r="K334" s="3">
        <f>IF(I334="UPI",L334,"")</f>
        <v>783</v>
      </c>
      <c r="L334" s="3">
        <f>IF(E334&lt;&gt;"",E334-G334-H334,"")</f>
        <v>783</v>
      </c>
    </row>
    <row r="335" spans="2:12">
      <c r="B335" s="2" t="s">
        <v>2099</v>
      </c>
      <c r="C335" s="9">
        <v>45957</v>
      </c>
      <c r="D335" s="4">
        <v>3</v>
      </c>
      <c r="E335" s="3">
        <v>2520</v>
      </c>
      <c r="F335" s="7">
        <f t="shared" si="5"/>
        <v>45957</v>
      </c>
      <c r="G335" s="3">
        <f>IF(E335&lt;&gt;"", E335*10%, "")</f>
        <v>252</v>
      </c>
      <c r="H335" s="3">
        <f>IF(E335&lt;&gt;"",ROUND(IF(E335&gt;1500,E335*5%,),0),"")</f>
        <v>126</v>
      </c>
      <c r="I335" s="2" t="s">
        <v>2925</v>
      </c>
      <c r="J335" s="3">
        <f>IF(I335="Cash",L335,"")</f>
        <v>2142</v>
      </c>
      <c r="K335" s="3" t="str">
        <f>IF(I335="UPI",L335,"")</f>
        <v/>
      </c>
      <c r="L335" s="3">
        <f>IF(E335&lt;&gt;"",E335-G335-H335,"")</f>
        <v>2142</v>
      </c>
    </row>
    <row r="336" spans="2:12">
      <c r="B336" s="2" t="s">
        <v>2100</v>
      </c>
      <c r="C336" s="9">
        <v>45957</v>
      </c>
      <c r="D336" s="4">
        <v>3</v>
      </c>
      <c r="E336" s="3">
        <v>1700</v>
      </c>
      <c r="F336" s="7">
        <f t="shared" si="5"/>
        <v>45957</v>
      </c>
      <c r="G336" s="3">
        <f>IF(E336&lt;&gt;"", E336*10%, "")</f>
        <v>170</v>
      </c>
      <c r="H336" s="3">
        <f>IF(E336&lt;&gt;"",ROUND(IF(E336&gt;1500,E336*5%,),0),"")</f>
        <v>85</v>
      </c>
      <c r="I336" s="2" t="s">
        <v>2925</v>
      </c>
      <c r="J336" s="3">
        <f>IF(I336="Cash",L336,"")</f>
        <v>1445</v>
      </c>
      <c r="K336" s="3" t="str">
        <f>IF(I336="UPI",L336,"")</f>
        <v/>
      </c>
      <c r="L336" s="3">
        <f>IF(E336&lt;&gt;"",E336-G336-H336,"")</f>
        <v>1445</v>
      </c>
    </row>
    <row r="337" spans="2:12">
      <c r="B337" s="2" t="s">
        <v>2101</v>
      </c>
      <c r="C337" s="9">
        <v>45957</v>
      </c>
      <c r="D337" s="4">
        <v>4</v>
      </c>
      <c r="E337" s="3">
        <v>2900</v>
      </c>
      <c r="F337" s="7">
        <f t="shared" si="5"/>
        <v>45957</v>
      </c>
      <c r="G337" s="3">
        <f>IF(E337&lt;&gt;"", E337*10%, "")</f>
        <v>290</v>
      </c>
      <c r="H337" s="3">
        <f>IF(E337&lt;&gt;"",ROUND(IF(E337&gt;1500,E337*5%,),0),"")</f>
        <v>145</v>
      </c>
      <c r="I337" s="2" t="s">
        <v>2928</v>
      </c>
      <c r="J337" s="3">
        <v>1000</v>
      </c>
      <c r="K337" s="3">
        <v>1465</v>
      </c>
      <c r="L337" s="3">
        <f>IF(E337&lt;&gt;"",E337-G337-H337,"")</f>
        <v>2465</v>
      </c>
    </row>
    <row r="338" spans="2:12">
      <c r="B338" s="2" t="s">
        <v>2102</v>
      </c>
      <c r="C338" s="9">
        <v>45957</v>
      </c>
      <c r="D338" s="4">
        <v>1</v>
      </c>
      <c r="E338" s="3">
        <v>970</v>
      </c>
      <c r="F338" s="7">
        <f t="shared" si="5"/>
        <v>45957</v>
      </c>
      <c r="G338" s="3">
        <f>IF(E338&lt;&gt;"", E338*10%, "")</f>
        <v>97</v>
      </c>
      <c r="H338" s="3">
        <f>IF(E338&lt;&gt;"",ROUND(IF(E338&gt;1500,E338*5%,),0),"")</f>
        <v>0</v>
      </c>
      <c r="I338" s="2" t="s">
        <v>2926</v>
      </c>
      <c r="J338" s="3" t="str">
        <f>IF(I338="Cash",L338,"")</f>
        <v/>
      </c>
      <c r="K338" s="3">
        <f>IF(I338="UPI",L338,"")</f>
        <v>873</v>
      </c>
      <c r="L338" s="3">
        <f>IF(E338&lt;&gt;"",E338-G338-H338,"")</f>
        <v>873</v>
      </c>
    </row>
    <row r="339" spans="2:12">
      <c r="B339" s="2" t="s">
        <v>2103</v>
      </c>
      <c r="C339" s="9">
        <v>45957</v>
      </c>
      <c r="D339" s="4">
        <v>4</v>
      </c>
      <c r="E339" s="3">
        <v>3010</v>
      </c>
      <c r="F339" s="7">
        <f t="shared" si="5"/>
        <v>45957</v>
      </c>
      <c r="G339" s="3">
        <f>IF(E339&lt;&gt;"", E339*10%, "")</f>
        <v>301</v>
      </c>
      <c r="H339" s="3">
        <f>IF(E339&lt;&gt;"",ROUND(IF(E339&gt;1500,E339*5%,),0),"")</f>
        <v>151</v>
      </c>
      <c r="I339" s="2" t="s">
        <v>2928</v>
      </c>
      <c r="J339" s="3">
        <v>800</v>
      </c>
      <c r="K339" s="3">
        <v>1758</v>
      </c>
      <c r="L339" s="3">
        <f>IF(E339&lt;&gt;"",E339-G339-H339,"")</f>
        <v>2558</v>
      </c>
    </row>
    <row r="340" spans="2:12">
      <c r="B340" s="2" t="s">
        <v>2104</v>
      </c>
      <c r="C340" s="9">
        <v>45957</v>
      </c>
      <c r="D340" s="4">
        <v>4</v>
      </c>
      <c r="E340" s="3">
        <v>2020</v>
      </c>
      <c r="F340" s="7">
        <f t="shared" si="5"/>
        <v>45957</v>
      </c>
      <c r="G340" s="3">
        <f>IF(E340&lt;&gt;"", E340*10%, "")</f>
        <v>202</v>
      </c>
      <c r="H340" s="3">
        <f>IF(E340&lt;&gt;"",ROUND(IF(E340&gt;1500,E340*5%,),0),"")</f>
        <v>101</v>
      </c>
      <c r="I340" s="2" t="s">
        <v>2925</v>
      </c>
      <c r="J340" s="3">
        <f>IF(I340="Cash",L340,"")</f>
        <v>1717</v>
      </c>
      <c r="K340" s="3" t="str">
        <f>IF(I340="UPI",L340,"")</f>
        <v/>
      </c>
      <c r="L340" s="3">
        <f>IF(E340&lt;&gt;"",E340-G340-H340,"")</f>
        <v>1717</v>
      </c>
    </row>
    <row r="341" spans="2:12">
      <c r="B341" s="2" t="s">
        <v>2105</v>
      </c>
      <c r="C341" s="9">
        <v>45957</v>
      </c>
      <c r="D341" s="4">
        <v>2</v>
      </c>
      <c r="E341" s="3">
        <v>1670</v>
      </c>
      <c r="F341" s="7">
        <f t="shared" si="5"/>
        <v>45957</v>
      </c>
      <c r="G341" s="3">
        <f>IF(E341&lt;&gt;"", E341*10%, "")</f>
        <v>167</v>
      </c>
      <c r="H341" s="3">
        <f>IF(E341&lt;&gt;"",ROUND(IF(E341&gt;1500,E341*5%,),0),"")</f>
        <v>84</v>
      </c>
      <c r="I341" s="2" t="s">
        <v>2926</v>
      </c>
      <c r="J341" s="3" t="str">
        <f>IF(I341="Cash",L341,"")</f>
        <v/>
      </c>
      <c r="K341" s="3">
        <f>IF(I341="UPI",L341,"")</f>
        <v>1419</v>
      </c>
      <c r="L341" s="3">
        <f>IF(E341&lt;&gt;"",E341-G341-H341,"")</f>
        <v>1419</v>
      </c>
    </row>
    <row r="342" spans="2:12">
      <c r="B342" s="2" t="s">
        <v>2106</v>
      </c>
      <c r="C342" s="9">
        <v>45957</v>
      </c>
      <c r="D342" s="4">
        <v>4</v>
      </c>
      <c r="E342" s="3">
        <v>2450</v>
      </c>
      <c r="F342" s="7">
        <f t="shared" si="5"/>
        <v>45957</v>
      </c>
      <c r="G342" s="3">
        <f>IF(E342&lt;&gt;"", E342*10%, "")</f>
        <v>245</v>
      </c>
      <c r="H342" s="3">
        <f>IF(E342&lt;&gt;"",ROUND(IF(E342&gt;1500,E342*5%,),0),"")</f>
        <v>123</v>
      </c>
      <c r="I342" s="2" t="s">
        <v>2925</v>
      </c>
      <c r="J342" s="3">
        <f>IF(I342="Cash",L342,"")</f>
        <v>2082</v>
      </c>
      <c r="K342" s="3" t="str">
        <f>IF(I342="UPI",L342,"")</f>
        <v/>
      </c>
      <c r="L342" s="3">
        <f>IF(E342&lt;&gt;"",E342-G342-H342,"")</f>
        <v>2082</v>
      </c>
    </row>
    <row r="343" spans="2:12">
      <c r="B343" s="2" t="s">
        <v>2107</v>
      </c>
      <c r="C343" s="9">
        <v>45957</v>
      </c>
      <c r="D343" s="4">
        <v>3</v>
      </c>
      <c r="E343" s="3">
        <v>1530</v>
      </c>
      <c r="F343" s="7">
        <f t="shared" si="5"/>
        <v>45957</v>
      </c>
      <c r="G343" s="3">
        <f>IF(E343&lt;&gt;"", E343*10%, "")</f>
        <v>153</v>
      </c>
      <c r="H343" s="3">
        <f>IF(E343&lt;&gt;"",ROUND(IF(E343&gt;1500,E343*5%,),0),"")</f>
        <v>77</v>
      </c>
      <c r="I343" s="2" t="s">
        <v>2926</v>
      </c>
      <c r="J343" s="3" t="str">
        <f>IF(I343="Cash",L343,"")</f>
        <v/>
      </c>
      <c r="K343" s="3">
        <f>IF(I343="UPI",L343,"")</f>
        <v>1300</v>
      </c>
      <c r="L343" s="3">
        <f>IF(E343&lt;&gt;"",E343-G343-H343,"")</f>
        <v>1300</v>
      </c>
    </row>
    <row r="344" spans="2:12">
      <c r="B344" s="2" t="s">
        <v>2108</v>
      </c>
      <c r="C344" s="9">
        <v>45957</v>
      </c>
      <c r="D344" s="4">
        <v>1</v>
      </c>
      <c r="E344" s="3">
        <v>420</v>
      </c>
      <c r="F344" s="7">
        <f t="shared" si="5"/>
        <v>45957</v>
      </c>
      <c r="G344" s="3">
        <f>IF(E344&lt;&gt;"", E344*10%, "")</f>
        <v>42</v>
      </c>
      <c r="H344" s="3">
        <f>IF(E344&lt;&gt;"",ROUND(IF(E344&gt;1500,E344*5%,),0),"")</f>
        <v>0</v>
      </c>
      <c r="I344" s="2" t="s">
        <v>2926</v>
      </c>
      <c r="J344" s="3" t="str">
        <f>IF(I344="Cash",L344,"")</f>
        <v/>
      </c>
      <c r="K344" s="3">
        <f>IF(I344="UPI",L344,"")</f>
        <v>378</v>
      </c>
      <c r="L344" s="3">
        <f>IF(E344&lt;&gt;"",E344-G344-H344,"")</f>
        <v>378</v>
      </c>
    </row>
    <row r="345" spans="2:12">
      <c r="B345" s="2" t="s">
        <v>2109</v>
      </c>
      <c r="C345" s="9">
        <v>45957</v>
      </c>
      <c r="D345" s="4">
        <v>1</v>
      </c>
      <c r="E345" s="3">
        <v>760</v>
      </c>
      <c r="F345" s="7">
        <f t="shared" si="5"/>
        <v>45957</v>
      </c>
      <c r="G345" s="3">
        <f>IF(E345&lt;&gt;"", E345*10%, "")</f>
        <v>76</v>
      </c>
      <c r="H345" s="3">
        <f>IF(E345&lt;&gt;"",ROUND(IF(E345&gt;1500,E345*5%,),0),"")</f>
        <v>0</v>
      </c>
      <c r="I345" s="2" t="s">
        <v>2926</v>
      </c>
      <c r="J345" s="3" t="str">
        <f>IF(I345="Cash",L345,"")</f>
        <v/>
      </c>
      <c r="K345" s="3">
        <f>IF(I345="UPI",L345,"")</f>
        <v>684</v>
      </c>
      <c r="L345" s="3">
        <f>IF(E345&lt;&gt;"",E345-G345-H345,"")</f>
        <v>684</v>
      </c>
    </row>
    <row r="346" spans="2:12">
      <c r="B346" s="2" t="s">
        <v>2110</v>
      </c>
      <c r="C346" s="9">
        <v>45957</v>
      </c>
      <c r="D346" s="4">
        <v>4</v>
      </c>
      <c r="E346" s="3">
        <v>2910</v>
      </c>
      <c r="F346" s="7">
        <f t="shared" si="5"/>
        <v>45957</v>
      </c>
      <c r="G346" s="3">
        <f>IF(E346&lt;&gt;"", E346*10%, "")</f>
        <v>291</v>
      </c>
      <c r="H346" s="3">
        <f>IF(E346&lt;&gt;"",ROUND(IF(E346&gt;1500,E346*5%,),0),"")</f>
        <v>146</v>
      </c>
      <c r="I346" s="2" t="s">
        <v>2928</v>
      </c>
      <c r="J346" s="3">
        <v>1000</v>
      </c>
      <c r="K346" s="3">
        <v>1473</v>
      </c>
      <c r="L346" s="3">
        <f>IF(E346&lt;&gt;"",E346-G346-H346,"")</f>
        <v>2473</v>
      </c>
    </row>
    <row r="347" spans="2:12">
      <c r="B347" s="2" t="s">
        <v>2111</v>
      </c>
      <c r="C347" s="9">
        <v>45957</v>
      </c>
      <c r="D347" s="4">
        <v>2</v>
      </c>
      <c r="E347" s="3">
        <v>1540</v>
      </c>
      <c r="F347" s="7">
        <f t="shared" si="5"/>
        <v>45957</v>
      </c>
      <c r="G347" s="3">
        <f>IF(E347&lt;&gt;"", E347*10%, "")</f>
        <v>154</v>
      </c>
      <c r="H347" s="3">
        <f>IF(E347&lt;&gt;"",ROUND(IF(E347&gt;1500,E347*5%,),0),"")</f>
        <v>77</v>
      </c>
      <c r="I347" s="2" t="s">
        <v>2926</v>
      </c>
      <c r="J347" s="3" t="str">
        <f>IF(I347="Cash",L347,"")</f>
        <v/>
      </c>
      <c r="K347" s="3">
        <f>IF(I347="UPI",L347,"")</f>
        <v>1309</v>
      </c>
      <c r="L347" s="3">
        <f>IF(E347&lt;&gt;"",E347-G347-H347,"")</f>
        <v>1309</v>
      </c>
    </row>
    <row r="348" spans="2:12">
      <c r="B348" s="2" t="s">
        <v>2112</v>
      </c>
      <c r="C348" s="9">
        <v>45958</v>
      </c>
      <c r="D348" s="4">
        <v>3</v>
      </c>
      <c r="E348" s="3">
        <v>1650</v>
      </c>
      <c r="F348" s="7">
        <f t="shared" si="5"/>
        <v>45958</v>
      </c>
      <c r="G348" s="3">
        <f>IF(E348&lt;&gt;"", E348*10%, "")</f>
        <v>165</v>
      </c>
      <c r="H348" s="3">
        <f>IF(E348&lt;&gt;"",ROUND(IF(E348&gt;1500,E348*5%,),0),"")</f>
        <v>83</v>
      </c>
      <c r="I348" s="2" t="s">
        <v>2926</v>
      </c>
      <c r="J348" s="3" t="str">
        <f>IF(I348="Cash",L348,"")</f>
        <v/>
      </c>
      <c r="K348" s="3">
        <f>IF(I348="UPI",L348,"")</f>
        <v>1402</v>
      </c>
      <c r="L348" s="3">
        <f>IF(E348&lt;&gt;"",E348-G348-H348,"")</f>
        <v>1402</v>
      </c>
    </row>
    <row r="349" spans="2:12">
      <c r="B349" s="2" t="s">
        <v>2113</v>
      </c>
      <c r="C349" s="9">
        <v>45958</v>
      </c>
      <c r="D349" s="4">
        <v>2</v>
      </c>
      <c r="E349" s="3">
        <v>1280</v>
      </c>
      <c r="F349" s="7">
        <f t="shared" si="5"/>
        <v>45958</v>
      </c>
      <c r="G349" s="3">
        <f>IF(E349&lt;&gt;"", E349*10%, "")</f>
        <v>128</v>
      </c>
      <c r="H349" s="3">
        <f>IF(E349&lt;&gt;"",ROUND(IF(E349&gt;1500,E349*5%,),0),"")</f>
        <v>0</v>
      </c>
      <c r="I349" s="2" t="s">
        <v>2926</v>
      </c>
      <c r="J349" s="3" t="str">
        <f>IF(I349="Cash",L349,"")</f>
        <v/>
      </c>
      <c r="K349" s="3">
        <f>IF(I349="UPI",L349,"")</f>
        <v>1152</v>
      </c>
      <c r="L349" s="3">
        <f>IF(E349&lt;&gt;"",E349-G349-H349,"")</f>
        <v>1152</v>
      </c>
    </row>
    <row r="350" spans="2:12">
      <c r="B350" s="2" t="s">
        <v>2114</v>
      </c>
      <c r="C350" s="9">
        <v>45958</v>
      </c>
      <c r="D350" s="4">
        <v>3</v>
      </c>
      <c r="E350" s="3">
        <v>1500</v>
      </c>
      <c r="F350" s="7">
        <f t="shared" si="5"/>
        <v>45958</v>
      </c>
      <c r="G350" s="3">
        <f>IF(E350&lt;&gt;"", E350*10%, "")</f>
        <v>150</v>
      </c>
      <c r="H350" s="3">
        <f>IF(E350&lt;&gt;"",ROUND(IF(E350&gt;1500,E350*5%,),0),"")</f>
        <v>0</v>
      </c>
      <c r="I350" s="2" t="s">
        <v>2926</v>
      </c>
      <c r="J350" s="3" t="str">
        <f>IF(I350="Cash",L350,"")</f>
        <v/>
      </c>
      <c r="K350" s="3">
        <f>IF(I350="UPI",L350,"")</f>
        <v>1350</v>
      </c>
      <c r="L350" s="3">
        <f>IF(E350&lt;&gt;"",E350-G350-H350,"")</f>
        <v>1350</v>
      </c>
    </row>
    <row r="351" spans="2:12">
      <c r="B351" s="2" t="s">
        <v>2115</v>
      </c>
      <c r="C351" s="9">
        <v>45958</v>
      </c>
      <c r="D351" s="4">
        <v>1</v>
      </c>
      <c r="E351" s="3">
        <v>600</v>
      </c>
      <c r="F351" s="7">
        <f t="shared" si="5"/>
        <v>45958</v>
      </c>
      <c r="G351" s="3">
        <f>IF(E351&lt;&gt;"", E351*10%, "")</f>
        <v>60</v>
      </c>
      <c r="H351" s="3">
        <f>IF(E351&lt;&gt;"",ROUND(IF(E351&gt;1500,E351*5%,),0),"")</f>
        <v>0</v>
      </c>
      <c r="I351" s="2" t="s">
        <v>2926</v>
      </c>
      <c r="J351" s="3" t="str">
        <f>IF(I351="Cash",L351,"")</f>
        <v/>
      </c>
      <c r="K351" s="3">
        <f>IF(I351="UPI",L351,"")</f>
        <v>540</v>
      </c>
      <c r="L351" s="3">
        <f>IF(E351&lt;&gt;"",E351-G351-H351,"")</f>
        <v>540</v>
      </c>
    </row>
    <row r="352" spans="2:12">
      <c r="B352" s="2" t="s">
        <v>2116</v>
      </c>
      <c r="C352" s="9">
        <v>45958</v>
      </c>
      <c r="D352" s="4">
        <v>4</v>
      </c>
      <c r="E352" s="3">
        <v>1480</v>
      </c>
      <c r="F352" s="7">
        <f t="shared" si="5"/>
        <v>45958</v>
      </c>
      <c r="G352" s="3">
        <f>IF(E352&lt;&gt;"", E352*10%, "")</f>
        <v>148</v>
      </c>
      <c r="H352" s="3">
        <f>IF(E352&lt;&gt;"",ROUND(IF(E352&gt;1500,E352*5%,),0),"")</f>
        <v>0</v>
      </c>
      <c r="I352" s="2" t="s">
        <v>2926</v>
      </c>
      <c r="J352" s="3" t="str">
        <f>IF(I352="Cash",L352,"")</f>
        <v/>
      </c>
      <c r="K352" s="3">
        <f>IF(I352="UPI",L352,"")</f>
        <v>1332</v>
      </c>
      <c r="L352" s="3">
        <f>IF(E352&lt;&gt;"",E352-G352-H352,"")</f>
        <v>1332</v>
      </c>
    </row>
    <row r="353" spans="2:12">
      <c r="B353" s="2" t="s">
        <v>2117</v>
      </c>
      <c r="C353" s="9">
        <v>45958</v>
      </c>
      <c r="D353" s="4">
        <v>1</v>
      </c>
      <c r="E353" s="3">
        <v>990</v>
      </c>
      <c r="F353" s="7">
        <f t="shared" si="5"/>
        <v>45958</v>
      </c>
      <c r="G353" s="3">
        <f>IF(E353&lt;&gt;"", E353*10%, "")</f>
        <v>99</v>
      </c>
      <c r="H353" s="3">
        <f>IF(E353&lt;&gt;"",ROUND(IF(E353&gt;1500,E353*5%,),0),"")</f>
        <v>0</v>
      </c>
      <c r="I353" s="2" t="s">
        <v>2926</v>
      </c>
      <c r="J353" s="3" t="str">
        <f>IF(I353="Cash",L353,"")</f>
        <v/>
      </c>
      <c r="K353" s="3">
        <f>IF(I353="UPI",L353,"")</f>
        <v>891</v>
      </c>
      <c r="L353" s="3">
        <f>IF(E353&lt;&gt;"",E353-G353-H353,"")</f>
        <v>891</v>
      </c>
    </row>
    <row r="354" spans="2:12">
      <c r="B354" s="2" t="s">
        <v>2118</v>
      </c>
      <c r="C354" s="9">
        <v>45958</v>
      </c>
      <c r="D354" s="4">
        <v>3</v>
      </c>
      <c r="E354" s="3">
        <v>2640</v>
      </c>
      <c r="F354" s="7">
        <f t="shared" si="5"/>
        <v>45958</v>
      </c>
      <c r="G354" s="3">
        <f>IF(E354&lt;&gt;"", E354*10%, "")</f>
        <v>264</v>
      </c>
      <c r="H354" s="3">
        <f>IF(E354&lt;&gt;"",ROUND(IF(E354&gt;1500,E354*5%,),0),"")</f>
        <v>132</v>
      </c>
      <c r="I354" s="2" t="s">
        <v>2925</v>
      </c>
      <c r="J354" s="3">
        <f>IF(I354="Cash",L354,"")</f>
        <v>2244</v>
      </c>
      <c r="K354" s="3" t="str">
        <f>IF(I354="UPI",L354,"")</f>
        <v/>
      </c>
      <c r="L354" s="3">
        <f>IF(E354&lt;&gt;"",E354-G354-H354,"")</f>
        <v>2244</v>
      </c>
    </row>
    <row r="355" spans="2:12">
      <c r="B355" s="2" t="s">
        <v>2119</v>
      </c>
      <c r="C355" s="9">
        <v>45958</v>
      </c>
      <c r="D355" s="4">
        <v>3</v>
      </c>
      <c r="E355" s="3">
        <v>1770</v>
      </c>
      <c r="F355" s="7">
        <f t="shared" si="5"/>
        <v>45958</v>
      </c>
      <c r="G355" s="3">
        <f>IF(E355&lt;&gt;"", E355*10%, "")</f>
        <v>177</v>
      </c>
      <c r="H355" s="3">
        <f>IF(E355&lt;&gt;"",ROUND(IF(E355&gt;1500,E355*5%,),0),"")</f>
        <v>89</v>
      </c>
      <c r="I355" s="2" t="s">
        <v>2925</v>
      </c>
      <c r="J355" s="3">
        <f>IF(I355="Cash",L355,"")</f>
        <v>1504</v>
      </c>
      <c r="K355" s="3" t="str">
        <f>IF(I355="UPI",L355,"")</f>
        <v/>
      </c>
      <c r="L355" s="3">
        <f>IF(E355&lt;&gt;"",E355-G355-H355,"")</f>
        <v>1504</v>
      </c>
    </row>
    <row r="356" spans="2:12">
      <c r="B356" s="2" t="s">
        <v>2120</v>
      </c>
      <c r="C356" s="9">
        <v>45958</v>
      </c>
      <c r="D356" s="4">
        <v>1</v>
      </c>
      <c r="E356" s="3">
        <v>180</v>
      </c>
      <c r="F356" s="7">
        <f t="shared" si="5"/>
        <v>45958</v>
      </c>
      <c r="G356" s="3">
        <f>IF(E356&lt;&gt;"", E356*10%, "")</f>
        <v>18</v>
      </c>
      <c r="H356" s="3">
        <f>IF(E356&lt;&gt;"",ROUND(IF(E356&gt;1500,E356*5%,),0),"")</f>
        <v>0</v>
      </c>
      <c r="I356" s="2" t="s">
        <v>2926</v>
      </c>
      <c r="J356" s="3" t="str">
        <f>IF(I356="Cash",L356,"")</f>
        <v/>
      </c>
      <c r="K356" s="3">
        <f>IF(I356="UPI",L356,"")</f>
        <v>162</v>
      </c>
      <c r="L356" s="3">
        <f>IF(E356&lt;&gt;"",E356-G356-H356,"")</f>
        <v>162</v>
      </c>
    </row>
    <row r="357" spans="2:12">
      <c r="B357" s="2" t="s">
        <v>2121</v>
      </c>
      <c r="C357" s="9">
        <v>45958</v>
      </c>
      <c r="D357" s="4">
        <v>2</v>
      </c>
      <c r="E357" s="3">
        <v>1710</v>
      </c>
      <c r="F357" s="7">
        <f t="shared" si="5"/>
        <v>45958</v>
      </c>
      <c r="G357" s="3">
        <f>IF(E357&lt;&gt;"", E357*10%, "")</f>
        <v>171</v>
      </c>
      <c r="H357" s="3">
        <f>IF(E357&lt;&gt;"",ROUND(IF(E357&gt;1500,E357*5%,),0),"")</f>
        <v>86</v>
      </c>
      <c r="I357" s="2" t="s">
        <v>2925</v>
      </c>
      <c r="J357" s="3">
        <f>IF(I357="Cash",L357,"")</f>
        <v>1453</v>
      </c>
      <c r="K357" s="3" t="str">
        <f>IF(I357="UPI",L357,"")</f>
        <v/>
      </c>
      <c r="L357" s="3">
        <f>IF(E357&lt;&gt;"",E357-G357-H357,"")</f>
        <v>1453</v>
      </c>
    </row>
    <row r="358" spans="2:12">
      <c r="B358" s="2" t="s">
        <v>2122</v>
      </c>
      <c r="C358" s="9">
        <v>45958</v>
      </c>
      <c r="D358" s="4">
        <v>3</v>
      </c>
      <c r="E358" s="3">
        <v>2310</v>
      </c>
      <c r="F358" s="7">
        <f t="shared" si="5"/>
        <v>45958</v>
      </c>
      <c r="G358" s="3">
        <f>IF(E358&lt;&gt;"", E358*10%, "")</f>
        <v>231</v>
      </c>
      <c r="H358" s="3">
        <f>IF(E358&lt;&gt;"",ROUND(IF(E358&gt;1500,E358*5%,),0),"")</f>
        <v>116</v>
      </c>
      <c r="I358" s="2" t="s">
        <v>2925</v>
      </c>
      <c r="J358" s="3">
        <f>IF(I358="Cash",L358,"")</f>
        <v>1963</v>
      </c>
      <c r="K358" s="3" t="str">
        <f>IF(I358="UPI",L358,"")</f>
        <v/>
      </c>
      <c r="L358" s="3">
        <f>IF(E358&lt;&gt;"",E358-G358-H358,"")</f>
        <v>1963</v>
      </c>
    </row>
    <row r="359" spans="2:12">
      <c r="B359" s="2" t="s">
        <v>2123</v>
      </c>
      <c r="C359" s="9">
        <v>45958</v>
      </c>
      <c r="D359" s="4">
        <v>3</v>
      </c>
      <c r="E359" s="3">
        <v>1870</v>
      </c>
      <c r="F359" s="7">
        <f t="shared" si="5"/>
        <v>45958</v>
      </c>
      <c r="G359" s="3">
        <f>IF(E359&lt;&gt;"", E359*10%, "")</f>
        <v>187</v>
      </c>
      <c r="H359" s="3">
        <f>IF(E359&lt;&gt;"",ROUND(IF(E359&gt;1500,E359*5%,),0),"")</f>
        <v>94</v>
      </c>
      <c r="I359" s="2" t="s">
        <v>2925</v>
      </c>
      <c r="J359" s="3">
        <f>IF(I359="Cash",L359,"")</f>
        <v>1589</v>
      </c>
      <c r="K359" s="3" t="str">
        <f>IF(I359="UPI",L359,"")</f>
        <v/>
      </c>
      <c r="L359" s="3">
        <f>IF(E359&lt;&gt;"",E359-G359-H359,"")</f>
        <v>1589</v>
      </c>
    </row>
    <row r="360" spans="2:12">
      <c r="B360" s="2" t="s">
        <v>2124</v>
      </c>
      <c r="C360" s="9">
        <v>45958</v>
      </c>
      <c r="D360" s="4">
        <v>2</v>
      </c>
      <c r="E360" s="3">
        <v>650</v>
      </c>
      <c r="F360" s="7">
        <f t="shared" si="5"/>
        <v>45958</v>
      </c>
      <c r="G360" s="3">
        <f>IF(E360&lt;&gt;"", E360*10%, "")</f>
        <v>65</v>
      </c>
      <c r="H360" s="3">
        <f>IF(E360&lt;&gt;"",ROUND(IF(E360&gt;1500,E360*5%,),0),"")</f>
        <v>0</v>
      </c>
      <c r="I360" s="2" t="s">
        <v>2926</v>
      </c>
      <c r="J360" s="3" t="str">
        <f>IF(I360="Cash",L360,"")</f>
        <v/>
      </c>
      <c r="K360" s="3">
        <f>IF(I360="UPI",L360,"")</f>
        <v>585</v>
      </c>
      <c r="L360" s="3">
        <f>IF(E360&lt;&gt;"",E360-G360-H360,"")</f>
        <v>585</v>
      </c>
    </row>
    <row r="361" spans="2:12">
      <c r="B361" s="2" t="s">
        <v>2125</v>
      </c>
      <c r="C361" s="9">
        <v>45958</v>
      </c>
      <c r="D361" s="4">
        <v>4</v>
      </c>
      <c r="E361" s="3">
        <v>3020</v>
      </c>
      <c r="F361" s="7">
        <f t="shared" si="5"/>
        <v>45958</v>
      </c>
      <c r="G361" s="3">
        <f>IF(E361&lt;&gt;"", E361*10%, "")</f>
        <v>302</v>
      </c>
      <c r="H361" s="3">
        <f>IF(E361&lt;&gt;"",ROUND(IF(E361&gt;1500,E361*5%,),0),"")</f>
        <v>151</v>
      </c>
      <c r="I361" s="2" t="s">
        <v>2928</v>
      </c>
      <c r="J361" s="3">
        <v>800</v>
      </c>
      <c r="K361" s="3">
        <v>1767</v>
      </c>
      <c r="L361" s="3">
        <f>IF(E361&lt;&gt;"",E361-G361-H361,"")</f>
        <v>2567</v>
      </c>
    </row>
    <row r="362" spans="2:12">
      <c r="B362" s="2" t="s">
        <v>2126</v>
      </c>
      <c r="C362" s="9">
        <v>45958</v>
      </c>
      <c r="D362" s="4">
        <v>1</v>
      </c>
      <c r="E362" s="3">
        <v>960</v>
      </c>
      <c r="F362" s="7">
        <f t="shared" si="5"/>
        <v>45958</v>
      </c>
      <c r="G362" s="3">
        <f>IF(E362&lt;&gt;"", E362*10%, "")</f>
        <v>96</v>
      </c>
      <c r="H362" s="3">
        <f>IF(E362&lt;&gt;"",ROUND(IF(E362&gt;1500,E362*5%,),0),"")</f>
        <v>0</v>
      </c>
      <c r="I362" s="2" t="s">
        <v>2926</v>
      </c>
      <c r="J362" s="3" t="str">
        <f>IF(I362="Cash",L362,"")</f>
        <v/>
      </c>
      <c r="K362" s="3">
        <f>IF(I362="UPI",L362,"")</f>
        <v>864</v>
      </c>
      <c r="L362" s="3">
        <f>IF(E362&lt;&gt;"",E362-G362-H362,"")</f>
        <v>864</v>
      </c>
    </row>
    <row r="363" spans="2:12">
      <c r="B363" s="2" t="s">
        <v>2127</v>
      </c>
      <c r="C363" s="9">
        <v>45958</v>
      </c>
      <c r="D363" s="4">
        <v>3</v>
      </c>
      <c r="E363" s="3">
        <v>2710</v>
      </c>
      <c r="F363" s="7">
        <f t="shared" si="5"/>
        <v>45958</v>
      </c>
      <c r="G363" s="3">
        <f>IF(E363&lt;&gt;"", E363*10%, "")</f>
        <v>271</v>
      </c>
      <c r="H363" s="3">
        <f>IF(E363&lt;&gt;"",ROUND(IF(E363&gt;1500,E363*5%,),0),"")</f>
        <v>136</v>
      </c>
      <c r="I363" s="2" t="s">
        <v>2925</v>
      </c>
      <c r="J363" s="3">
        <f>IF(I363="Cash",L363,"")</f>
        <v>2303</v>
      </c>
      <c r="K363" s="3" t="str">
        <f>IF(I363="UPI",L363,"")</f>
        <v/>
      </c>
      <c r="L363" s="3">
        <f>IF(E363&lt;&gt;"",E363-G363-H363,"")</f>
        <v>2303</v>
      </c>
    </row>
    <row r="364" spans="2:12">
      <c r="B364" s="2" t="s">
        <v>2128</v>
      </c>
      <c r="C364" s="9">
        <v>45958</v>
      </c>
      <c r="D364" s="4">
        <v>3</v>
      </c>
      <c r="E364" s="3">
        <v>1090</v>
      </c>
      <c r="F364" s="7">
        <f t="shared" si="5"/>
        <v>45958</v>
      </c>
      <c r="G364" s="3">
        <f>IF(E364&lt;&gt;"", E364*10%, "")</f>
        <v>109</v>
      </c>
      <c r="H364" s="3">
        <f>IF(E364&lt;&gt;"",ROUND(IF(E364&gt;1500,E364*5%,),0),"")</f>
        <v>0</v>
      </c>
      <c r="I364" s="2" t="s">
        <v>2926</v>
      </c>
      <c r="J364" s="3" t="str">
        <f>IF(I364="Cash",L364,"")</f>
        <v/>
      </c>
      <c r="K364" s="3">
        <f>IF(I364="UPI",L364,"")</f>
        <v>981</v>
      </c>
      <c r="L364" s="3">
        <f>IF(E364&lt;&gt;"",E364-G364-H364,"")</f>
        <v>981</v>
      </c>
    </row>
    <row r="365" spans="2:12">
      <c r="B365" s="2" t="s">
        <v>2129</v>
      </c>
      <c r="C365" s="9">
        <v>45958</v>
      </c>
      <c r="D365" s="4">
        <v>4</v>
      </c>
      <c r="E365" s="3">
        <v>3360</v>
      </c>
      <c r="F365" s="7">
        <f t="shared" si="5"/>
        <v>45958</v>
      </c>
      <c r="G365" s="3">
        <f>IF(E365&lt;&gt;"", E365*10%, "")</f>
        <v>336</v>
      </c>
      <c r="H365" s="3">
        <f>IF(E365&lt;&gt;"",ROUND(IF(E365&gt;1500,E365*5%,),0),"")</f>
        <v>168</v>
      </c>
      <c r="I365" s="2" t="s">
        <v>2928</v>
      </c>
      <c r="J365" s="3">
        <v>1000</v>
      </c>
      <c r="K365" s="3">
        <v>1856</v>
      </c>
      <c r="L365" s="3">
        <f>IF(E365&lt;&gt;"",E365-G365-H365,"")</f>
        <v>2856</v>
      </c>
    </row>
    <row r="366" spans="2:12">
      <c r="B366" s="2" t="s">
        <v>2130</v>
      </c>
      <c r="C366" s="9">
        <v>45959</v>
      </c>
      <c r="D366" s="4">
        <v>3</v>
      </c>
      <c r="E366" s="3">
        <v>2800</v>
      </c>
      <c r="F366" s="7">
        <f t="shared" si="5"/>
        <v>45959</v>
      </c>
      <c r="G366" s="3">
        <f>IF(E366&lt;&gt;"", E366*10%, "")</f>
        <v>280</v>
      </c>
      <c r="H366" s="3">
        <f>IF(E366&lt;&gt;"",ROUND(IF(E366&gt;1500,E366*5%,),0),"")</f>
        <v>140</v>
      </c>
      <c r="I366" s="2" t="s">
        <v>2925</v>
      </c>
      <c r="J366" s="3">
        <f>IF(I366="Cash",L366,"")</f>
        <v>2380</v>
      </c>
      <c r="K366" s="3" t="str">
        <f>IF(I366="UPI",L366,"")</f>
        <v/>
      </c>
      <c r="L366" s="3">
        <f>IF(E366&lt;&gt;"",E366-G366-H366,"")</f>
        <v>2380</v>
      </c>
    </row>
    <row r="367" spans="2:12">
      <c r="B367" s="2" t="s">
        <v>2131</v>
      </c>
      <c r="C367" s="9">
        <v>45959</v>
      </c>
      <c r="D367" s="4">
        <v>4</v>
      </c>
      <c r="E367" s="3">
        <v>2730</v>
      </c>
      <c r="F367" s="7">
        <f t="shared" si="5"/>
        <v>45959</v>
      </c>
      <c r="G367" s="3">
        <f>IF(E367&lt;&gt;"", E367*10%, "")</f>
        <v>273</v>
      </c>
      <c r="H367" s="3">
        <f>IF(E367&lt;&gt;"",ROUND(IF(E367&gt;1500,E367*5%,),0),"")</f>
        <v>137</v>
      </c>
      <c r="I367" s="2" t="s">
        <v>2925</v>
      </c>
      <c r="J367" s="3">
        <f>IF(I367="Cash",L367,"")</f>
        <v>2320</v>
      </c>
      <c r="K367" s="3" t="str">
        <f>IF(I367="UPI",L367,"")</f>
        <v/>
      </c>
      <c r="L367" s="3">
        <f>IF(E367&lt;&gt;"",E367-G367-H367,"")</f>
        <v>2320</v>
      </c>
    </row>
    <row r="368" spans="2:12">
      <c r="B368" s="2" t="s">
        <v>2132</v>
      </c>
      <c r="C368" s="9">
        <v>45959</v>
      </c>
      <c r="D368" s="4">
        <v>1</v>
      </c>
      <c r="E368" s="3">
        <v>660</v>
      </c>
      <c r="F368" s="7">
        <f t="shared" si="5"/>
        <v>45959</v>
      </c>
      <c r="G368" s="3">
        <f>IF(E368&lt;&gt;"", E368*10%, "")</f>
        <v>66</v>
      </c>
      <c r="H368" s="3">
        <f>IF(E368&lt;&gt;"",ROUND(IF(E368&gt;1500,E368*5%,),0),"")</f>
        <v>0</v>
      </c>
      <c r="I368" s="2" t="s">
        <v>2926</v>
      </c>
      <c r="J368" s="3" t="str">
        <f>IF(I368="Cash",L368,"")</f>
        <v/>
      </c>
      <c r="K368" s="3">
        <f>IF(I368="UPI",L368,"")</f>
        <v>594</v>
      </c>
      <c r="L368" s="3">
        <f>IF(E368&lt;&gt;"",E368-G368-H368,"")</f>
        <v>594</v>
      </c>
    </row>
    <row r="369" spans="2:12">
      <c r="B369" s="2" t="s">
        <v>2133</v>
      </c>
      <c r="C369" s="9">
        <v>45959</v>
      </c>
      <c r="D369" s="4">
        <v>3</v>
      </c>
      <c r="E369" s="3">
        <v>2020</v>
      </c>
      <c r="F369" s="7">
        <f t="shared" si="5"/>
        <v>45959</v>
      </c>
      <c r="G369" s="3">
        <f>IF(E369&lt;&gt;"", E369*10%, "")</f>
        <v>202</v>
      </c>
      <c r="H369" s="3">
        <f>IF(E369&lt;&gt;"",ROUND(IF(E369&gt;1500,E369*5%,),0),"")</f>
        <v>101</v>
      </c>
      <c r="I369" s="2" t="s">
        <v>2925</v>
      </c>
      <c r="J369" s="3">
        <f>IF(I369="Cash",L369,"")</f>
        <v>1717</v>
      </c>
      <c r="K369" s="3" t="str">
        <f>IF(I369="UPI",L369,"")</f>
        <v/>
      </c>
      <c r="L369" s="3">
        <f>IF(E369&lt;&gt;"",E369-G369-H369,"")</f>
        <v>1717</v>
      </c>
    </row>
    <row r="370" spans="2:12">
      <c r="B370" s="2" t="s">
        <v>2134</v>
      </c>
      <c r="C370" s="9">
        <v>45959</v>
      </c>
      <c r="D370" s="4">
        <v>3</v>
      </c>
      <c r="E370" s="3">
        <v>1640</v>
      </c>
      <c r="F370" s="7">
        <f t="shared" si="5"/>
        <v>45959</v>
      </c>
      <c r="G370" s="3">
        <f>IF(E370&lt;&gt;"", E370*10%, "")</f>
        <v>164</v>
      </c>
      <c r="H370" s="3">
        <f>IF(E370&lt;&gt;"",ROUND(IF(E370&gt;1500,E370*5%,),0),"")</f>
        <v>82</v>
      </c>
      <c r="I370" s="2" t="s">
        <v>2926</v>
      </c>
      <c r="J370" s="3" t="str">
        <f>IF(I370="Cash",L370,"")</f>
        <v/>
      </c>
      <c r="K370" s="3">
        <f>IF(I370="UPI",L370,"")</f>
        <v>1394</v>
      </c>
      <c r="L370" s="3">
        <f>IF(E370&lt;&gt;"",E370-G370-H370,"")</f>
        <v>1394</v>
      </c>
    </row>
    <row r="371" spans="2:12">
      <c r="B371" s="2" t="s">
        <v>2135</v>
      </c>
      <c r="C371" s="9">
        <v>45959</v>
      </c>
      <c r="D371" s="4">
        <v>1</v>
      </c>
      <c r="E371" s="3">
        <v>730</v>
      </c>
      <c r="F371" s="7">
        <f t="shared" si="5"/>
        <v>45959</v>
      </c>
      <c r="G371" s="3">
        <f>IF(E371&lt;&gt;"", E371*10%, "")</f>
        <v>73</v>
      </c>
      <c r="H371" s="3">
        <f>IF(E371&lt;&gt;"",ROUND(IF(E371&gt;1500,E371*5%,),0),"")</f>
        <v>0</v>
      </c>
      <c r="I371" s="2" t="s">
        <v>2926</v>
      </c>
      <c r="J371" s="3" t="str">
        <f>IF(I371="Cash",L371,"")</f>
        <v/>
      </c>
      <c r="K371" s="3">
        <f>IF(I371="UPI",L371,"")</f>
        <v>657</v>
      </c>
      <c r="L371" s="3">
        <f>IF(E371&lt;&gt;"",E371-G371-H371,"")</f>
        <v>657</v>
      </c>
    </row>
    <row r="372" spans="2:12">
      <c r="B372" s="2" t="s">
        <v>2136</v>
      </c>
      <c r="C372" s="9">
        <v>45959</v>
      </c>
      <c r="D372" s="4">
        <v>3</v>
      </c>
      <c r="E372" s="3">
        <v>1940</v>
      </c>
      <c r="F372" s="7">
        <f t="shared" si="5"/>
        <v>45959</v>
      </c>
      <c r="G372" s="3">
        <f>IF(E372&lt;&gt;"", E372*10%, "")</f>
        <v>194</v>
      </c>
      <c r="H372" s="3">
        <f>IF(E372&lt;&gt;"",ROUND(IF(E372&gt;1500,E372*5%,),0),"")</f>
        <v>97</v>
      </c>
      <c r="I372" s="2" t="s">
        <v>2925</v>
      </c>
      <c r="J372" s="3">
        <f>IF(I372="Cash",L372,"")</f>
        <v>1649</v>
      </c>
      <c r="K372" s="3" t="str">
        <f>IF(I372="UPI",L372,"")</f>
        <v/>
      </c>
      <c r="L372" s="3">
        <f>IF(E372&lt;&gt;"",E372-G372-H372,"")</f>
        <v>1649</v>
      </c>
    </row>
    <row r="373" spans="2:12">
      <c r="B373" s="2" t="s">
        <v>2137</v>
      </c>
      <c r="C373" s="9">
        <v>45959</v>
      </c>
      <c r="D373" s="4">
        <v>3</v>
      </c>
      <c r="E373" s="3">
        <v>1630</v>
      </c>
      <c r="F373" s="7">
        <f t="shared" si="5"/>
        <v>45959</v>
      </c>
      <c r="G373" s="3">
        <f>IF(E373&lt;&gt;"", E373*10%, "")</f>
        <v>163</v>
      </c>
      <c r="H373" s="3">
        <f>IF(E373&lt;&gt;"",ROUND(IF(E373&gt;1500,E373*5%,),0),"")</f>
        <v>82</v>
      </c>
      <c r="I373" s="2" t="s">
        <v>2926</v>
      </c>
      <c r="J373" s="3" t="str">
        <f>IF(I373="Cash",L373,"")</f>
        <v/>
      </c>
      <c r="K373" s="3">
        <f>IF(I373="UPI",L373,"")</f>
        <v>1385</v>
      </c>
      <c r="L373" s="3">
        <f>IF(E373&lt;&gt;"",E373-G373-H373,"")</f>
        <v>1385</v>
      </c>
    </row>
    <row r="374" spans="2:12">
      <c r="B374" s="2" t="s">
        <v>2138</v>
      </c>
      <c r="C374" s="9">
        <v>45959</v>
      </c>
      <c r="D374" s="4">
        <v>1</v>
      </c>
      <c r="E374" s="3">
        <v>940</v>
      </c>
      <c r="F374" s="7">
        <f t="shared" si="5"/>
        <v>45959</v>
      </c>
      <c r="G374" s="3">
        <f>IF(E374&lt;&gt;"", E374*10%, "")</f>
        <v>94</v>
      </c>
      <c r="H374" s="3">
        <f>IF(E374&lt;&gt;"",ROUND(IF(E374&gt;1500,E374*5%,),0),"")</f>
        <v>0</v>
      </c>
      <c r="I374" s="2" t="s">
        <v>2926</v>
      </c>
      <c r="J374" s="3" t="str">
        <f>IF(I374="Cash",L374,"")</f>
        <v/>
      </c>
      <c r="K374" s="3">
        <f>IF(I374="UPI",L374,"")</f>
        <v>846</v>
      </c>
      <c r="L374" s="3">
        <f>IF(E374&lt;&gt;"",E374-G374-H374,"")</f>
        <v>846</v>
      </c>
    </row>
    <row r="375" spans="2:12">
      <c r="B375" s="2" t="s">
        <v>2139</v>
      </c>
      <c r="C375" s="9">
        <v>45959</v>
      </c>
      <c r="D375" s="4">
        <v>1</v>
      </c>
      <c r="E375" s="3">
        <v>980</v>
      </c>
      <c r="F375" s="7">
        <f t="shared" si="5"/>
        <v>45959</v>
      </c>
      <c r="G375" s="3">
        <f>IF(E375&lt;&gt;"", E375*10%, "")</f>
        <v>98</v>
      </c>
      <c r="H375" s="3">
        <f>IF(E375&lt;&gt;"",ROUND(IF(E375&gt;1500,E375*5%,),0),"")</f>
        <v>0</v>
      </c>
      <c r="I375" s="2" t="s">
        <v>2926</v>
      </c>
      <c r="J375" s="3" t="str">
        <f>IF(I375="Cash",L375,"")</f>
        <v/>
      </c>
      <c r="K375" s="3">
        <f>IF(I375="UPI",L375,"")</f>
        <v>882</v>
      </c>
      <c r="L375" s="3">
        <f>IF(E375&lt;&gt;"",E375-G375-H375,"")</f>
        <v>882</v>
      </c>
    </row>
    <row r="376" spans="2:12">
      <c r="B376" s="2" t="s">
        <v>2140</v>
      </c>
      <c r="C376" s="9">
        <v>45959</v>
      </c>
      <c r="D376" s="4">
        <v>3</v>
      </c>
      <c r="E376" s="3">
        <v>1530</v>
      </c>
      <c r="F376" s="7">
        <f t="shared" si="5"/>
        <v>45959</v>
      </c>
      <c r="G376" s="3">
        <f>IF(E376&lt;&gt;"", E376*10%, "")</f>
        <v>153</v>
      </c>
      <c r="H376" s="3">
        <f>IF(E376&lt;&gt;"",ROUND(IF(E376&gt;1500,E376*5%,),0),"")</f>
        <v>77</v>
      </c>
      <c r="I376" s="2" t="s">
        <v>2926</v>
      </c>
      <c r="J376" s="3" t="str">
        <f>IF(I376="Cash",L376,"")</f>
        <v/>
      </c>
      <c r="K376" s="3">
        <f>IF(I376="UPI",L376,"")</f>
        <v>1300</v>
      </c>
      <c r="L376" s="3">
        <f>IF(E376&lt;&gt;"",E376-G376-H376,"")</f>
        <v>1300</v>
      </c>
    </row>
    <row r="377" spans="2:12">
      <c r="B377" s="2" t="s">
        <v>2141</v>
      </c>
      <c r="C377" s="9">
        <v>45959</v>
      </c>
      <c r="D377" s="4">
        <v>3</v>
      </c>
      <c r="E377" s="3">
        <v>1900</v>
      </c>
      <c r="F377" s="7">
        <f t="shared" si="5"/>
        <v>45959</v>
      </c>
      <c r="G377" s="3">
        <f>IF(E377&lt;&gt;"", E377*10%, "")</f>
        <v>190</v>
      </c>
      <c r="H377" s="3">
        <f>IF(E377&lt;&gt;"",ROUND(IF(E377&gt;1500,E377*5%,),0),"")</f>
        <v>95</v>
      </c>
      <c r="I377" s="2" t="s">
        <v>2925</v>
      </c>
      <c r="J377" s="3">
        <f>IF(I377="Cash",L377,"")</f>
        <v>1615</v>
      </c>
      <c r="K377" s="3" t="str">
        <f>IF(I377="UPI",L377,"")</f>
        <v/>
      </c>
      <c r="L377" s="3">
        <f>IF(E377&lt;&gt;"",E377-G377-H377,"")</f>
        <v>1615</v>
      </c>
    </row>
    <row r="378" spans="2:12">
      <c r="B378" s="2" t="s">
        <v>2142</v>
      </c>
      <c r="C378" s="9">
        <v>45959</v>
      </c>
      <c r="D378" s="4">
        <v>1</v>
      </c>
      <c r="E378" s="3">
        <v>720</v>
      </c>
      <c r="F378" s="7">
        <f t="shared" si="5"/>
        <v>45959</v>
      </c>
      <c r="G378" s="3">
        <f>IF(E378&lt;&gt;"", E378*10%, "")</f>
        <v>72</v>
      </c>
      <c r="H378" s="3">
        <f>IF(E378&lt;&gt;"",ROUND(IF(E378&gt;1500,E378*5%,),0),"")</f>
        <v>0</v>
      </c>
      <c r="I378" s="2" t="s">
        <v>2926</v>
      </c>
      <c r="J378" s="3" t="str">
        <f>IF(I378="Cash",L378,"")</f>
        <v/>
      </c>
      <c r="K378" s="3">
        <f>IF(I378="UPI",L378,"")</f>
        <v>648</v>
      </c>
      <c r="L378" s="3">
        <f>IF(E378&lt;&gt;"",E378-G378-H378,"")</f>
        <v>648</v>
      </c>
    </row>
    <row r="379" spans="2:12">
      <c r="B379" s="2" t="s">
        <v>2143</v>
      </c>
      <c r="C379" s="9">
        <v>45959</v>
      </c>
      <c r="D379" s="4">
        <v>3</v>
      </c>
      <c r="E379" s="3">
        <v>1950</v>
      </c>
      <c r="F379" s="7">
        <f t="shared" si="5"/>
        <v>45959</v>
      </c>
      <c r="G379" s="3">
        <f>IF(E379&lt;&gt;"", E379*10%, "")</f>
        <v>195</v>
      </c>
      <c r="H379" s="3">
        <f>IF(E379&lt;&gt;"",ROUND(IF(E379&gt;1500,E379*5%,),0),"")</f>
        <v>98</v>
      </c>
      <c r="I379" s="2" t="s">
        <v>2925</v>
      </c>
      <c r="J379" s="3">
        <f>IF(I379="Cash",L379,"")</f>
        <v>1657</v>
      </c>
      <c r="K379" s="3" t="str">
        <f>IF(I379="UPI",L379,"")</f>
        <v/>
      </c>
      <c r="L379" s="3">
        <f>IF(E379&lt;&gt;"",E379-G379-H379,"")</f>
        <v>1657</v>
      </c>
    </row>
    <row r="380" spans="2:12">
      <c r="B380" s="2" t="s">
        <v>2144</v>
      </c>
      <c r="C380" s="9">
        <v>45959</v>
      </c>
      <c r="D380" s="4">
        <v>3</v>
      </c>
      <c r="E380" s="3">
        <v>1820</v>
      </c>
      <c r="F380" s="7">
        <f t="shared" si="5"/>
        <v>45959</v>
      </c>
      <c r="G380" s="3">
        <f>IF(E380&lt;&gt;"", E380*10%, "")</f>
        <v>182</v>
      </c>
      <c r="H380" s="3">
        <f>IF(E380&lt;&gt;"",ROUND(IF(E380&gt;1500,E380*5%,),0),"")</f>
        <v>91</v>
      </c>
      <c r="I380" s="2" t="s">
        <v>2925</v>
      </c>
      <c r="J380" s="3">
        <f>IF(I380="Cash",L380,"")</f>
        <v>1547</v>
      </c>
      <c r="K380" s="3" t="str">
        <f>IF(I380="UPI",L380,"")</f>
        <v/>
      </c>
      <c r="L380" s="3">
        <f>IF(E380&lt;&gt;"",E380-G380-H380,"")</f>
        <v>1547</v>
      </c>
    </row>
    <row r="381" spans="2:12">
      <c r="B381" s="2" t="s">
        <v>2145</v>
      </c>
      <c r="C381" s="9">
        <v>45959</v>
      </c>
      <c r="D381" s="4">
        <v>3</v>
      </c>
      <c r="E381" s="3">
        <v>2730</v>
      </c>
      <c r="F381" s="7">
        <f t="shared" si="5"/>
        <v>45959</v>
      </c>
      <c r="G381" s="3">
        <f>IF(E381&lt;&gt;"", E381*10%, "")</f>
        <v>273</v>
      </c>
      <c r="H381" s="3">
        <f>IF(E381&lt;&gt;"",ROUND(IF(E381&gt;1500,E381*5%,),0),"")</f>
        <v>137</v>
      </c>
      <c r="I381" s="2" t="s">
        <v>2925</v>
      </c>
      <c r="J381" s="3">
        <f>IF(I381="Cash",L381,"")</f>
        <v>2320</v>
      </c>
      <c r="K381" s="3" t="str">
        <f>IF(I381="UPI",L381,"")</f>
        <v/>
      </c>
      <c r="L381" s="3">
        <f>IF(E381&lt;&gt;"",E381-G381-H381,"")</f>
        <v>2320</v>
      </c>
    </row>
    <row r="382" spans="2:12">
      <c r="B382" s="2" t="s">
        <v>2146</v>
      </c>
      <c r="C382" s="9">
        <v>45960</v>
      </c>
      <c r="D382" s="4">
        <v>1</v>
      </c>
      <c r="E382" s="3">
        <v>660</v>
      </c>
      <c r="F382" s="7">
        <f t="shared" si="5"/>
        <v>45960</v>
      </c>
      <c r="G382" s="3">
        <f>IF(E382&lt;&gt;"", E382*10%, "")</f>
        <v>66</v>
      </c>
      <c r="H382" s="3">
        <f>IF(E382&lt;&gt;"",ROUND(IF(E382&gt;1500,E382*5%,),0),"")</f>
        <v>0</v>
      </c>
      <c r="I382" s="2" t="s">
        <v>2926</v>
      </c>
      <c r="J382" s="3" t="str">
        <f>IF(I382="Cash",L382,"")</f>
        <v/>
      </c>
      <c r="K382" s="3">
        <f>IF(I382="UPI",L382,"")</f>
        <v>594</v>
      </c>
      <c r="L382" s="3">
        <f>IF(E382&lt;&gt;"",E382-G382-H382,"")</f>
        <v>594</v>
      </c>
    </row>
    <row r="383" spans="2:12">
      <c r="B383" s="2" t="s">
        <v>2147</v>
      </c>
      <c r="C383" s="9">
        <v>45960</v>
      </c>
      <c r="D383" s="4">
        <v>1</v>
      </c>
      <c r="E383" s="3">
        <v>830</v>
      </c>
      <c r="F383" s="7">
        <f t="shared" si="5"/>
        <v>45960</v>
      </c>
      <c r="G383" s="3">
        <f>IF(E383&lt;&gt;"", E383*10%, "")</f>
        <v>83</v>
      </c>
      <c r="H383" s="3">
        <f>IF(E383&lt;&gt;"",ROUND(IF(E383&gt;1500,E383*5%,),0),"")</f>
        <v>0</v>
      </c>
      <c r="I383" s="2" t="s">
        <v>2926</v>
      </c>
      <c r="J383" s="3" t="str">
        <f>IF(I383="Cash",L383,"")</f>
        <v/>
      </c>
      <c r="K383" s="3">
        <f>IF(I383="UPI",L383,"")</f>
        <v>747</v>
      </c>
      <c r="L383" s="3">
        <f>IF(E383&lt;&gt;"",E383-G383-H383,"")</f>
        <v>747</v>
      </c>
    </row>
    <row r="384" spans="2:12">
      <c r="B384" s="2" t="s">
        <v>2148</v>
      </c>
      <c r="C384" s="9">
        <v>45960</v>
      </c>
      <c r="D384" s="4">
        <v>1</v>
      </c>
      <c r="E384" s="3">
        <v>880</v>
      </c>
      <c r="F384" s="7">
        <f t="shared" si="5"/>
        <v>45960</v>
      </c>
      <c r="G384" s="3">
        <f>IF(E384&lt;&gt;"", E384*10%, "")</f>
        <v>88</v>
      </c>
      <c r="H384" s="3">
        <f>IF(E384&lt;&gt;"",ROUND(IF(E384&gt;1500,E384*5%,),0),"")</f>
        <v>0</v>
      </c>
      <c r="I384" s="2" t="s">
        <v>2926</v>
      </c>
      <c r="J384" s="3" t="str">
        <f>IF(I384="Cash",L384,"")</f>
        <v/>
      </c>
      <c r="K384" s="3">
        <f>IF(I384="UPI",L384,"")</f>
        <v>792</v>
      </c>
      <c r="L384" s="3">
        <f>IF(E384&lt;&gt;"",E384-G384-H384,"")</f>
        <v>792</v>
      </c>
    </row>
    <row r="385" spans="2:12">
      <c r="B385" s="2" t="s">
        <v>2149</v>
      </c>
      <c r="C385" s="9">
        <v>45960</v>
      </c>
      <c r="D385" s="4">
        <v>1</v>
      </c>
      <c r="E385" s="3">
        <v>590</v>
      </c>
      <c r="F385" s="7">
        <f t="shared" si="5"/>
        <v>45960</v>
      </c>
      <c r="G385" s="3">
        <f>IF(E385&lt;&gt;"", E385*10%, "")</f>
        <v>59</v>
      </c>
      <c r="H385" s="3">
        <f>IF(E385&lt;&gt;"",ROUND(IF(E385&gt;1500,E385*5%,),0),"")</f>
        <v>0</v>
      </c>
      <c r="I385" s="2" t="s">
        <v>2926</v>
      </c>
      <c r="J385" s="3" t="str">
        <f>IF(I385="Cash",L385,"")</f>
        <v/>
      </c>
      <c r="K385" s="3">
        <f>IF(I385="UPI",L385,"")</f>
        <v>531</v>
      </c>
      <c r="L385" s="3">
        <f>IF(E385&lt;&gt;"",E385-G385-H385,"")</f>
        <v>531</v>
      </c>
    </row>
    <row r="386" spans="2:12">
      <c r="B386" s="2" t="s">
        <v>2150</v>
      </c>
      <c r="C386" s="9">
        <v>45960</v>
      </c>
      <c r="D386" s="4">
        <v>4</v>
      </c>
      <c r="E386" s="3">
        <v>3010</v>
      </c>
      <c r="F386" s="7">
        <f t="shared" si="5"/>
        <v>45960</v>
      </c>
      <c r="G386" s="3">
        <f>IF(E386&lt;&gt;"", E386*10%, "")</f>
        <v>301</v>
      </c>
      <c r="H386" s="3">
        <f>IF(E386&lt;&gt;"",ROUND(IF(E386&gt;1500,E386*5%,),0),"")</f>
        <v>151</v>
      </c>
      <c r="I386" s="2" t="s">
        <v>2928</v>
      </c>
      <c r="J386" s="3">
        <v>1000</v>
      </c>
      <c r="K386" s="3">
        <v>1558</v>
      </c>
      <c r="L386" s="3">
        <f>IF(E386&lt;&gt;"",E386-G386-H386,"")</f>
        <v>2558</v>
      </c>
    </row>
    <row r="387" spans="2:12">
      <c r="B387" s="2" t="s">
        <v>2151</v>
      </c>
      <c r="C387" s="9">
        <v>45960</v>
      </c>
      <c r="D387" s="4">
        <v>1</v>
      </c>
      <c r="E387" s="3">
        <v>940</v>
      </c>
      <c r="F387" s="7">
        <f t="shared" si="5"/>
        <v>45960</v>
      </c>
      <c r="G387" s="3">
        <f>IF(E387&lt;&gt;"", E387*10%, "")</f>
        <v>94</v>
      </c>
      <c r="H387" s="3">
        <f>IF(E387&lt;&gt;"",ROUND(IF(E387&gt;1500,E387*5%,),0),"")</f>
        <v>0</v>
      </c>
      <c r="I387" s="2" t="s">
        <v>2926</v>
      </c>
      <c r="J387" s="3" t="str">
        <f>IF(I387="Cash",L387,"")</f>
        <v/>
      </c>
      <c r="K387" s="3">
        <f>IF(I387="UPI",L387,"")</f>
        <v>846</v>
      </c>
      <c r="L387" s="3">
        <f>IF(E387&lt;&gt;"",E387-G387-H387,"")</f>
        <v>846</v>
      </c>
    </row>
    <row r="388" spans="2:12">
      <c r="B388" s="2" t="s">
        <v>2152</v>
      </c>
      <c r="C388" s="9">
        <v>45960</v>
      </c>
      <c r="D388" s="4">
        <v>3</v>
      </c>
      <c r="E388" s="3">
        <v>2450</v>
      </c>
      <c r="F388" s="7">
        <f t="shared" si="5"/>
        <v>45960</v>
      </c>
      <c r="G388" s="3">
        <f>IF(E388&lt;&gt;"", E388*10%, "")</f>
        <v>245</v>
      </c>
      <c r="H388" s="3">
        <f>IF(E388&lt;&gt;"",ROUND(IF(E388&gt;1500,E388*5%,),0),"")</f>
        <v>123</v>
      </c>
      <c r="I388" s="2" t="s">
        <v>2925</v>
      </c>
      <c r="J388" s="3">
        <f>IF(I388="Cash",L388,"")</f>
        <v>2082</v>
      </c>
      <c r="K388" s="3" t="str">
        <f>IF(I388="UPI",L388,"")</f>
        <v/>
      </c>
      <c r="L388" s="3">
        <f>IF(E388&lt;&gt;"",E388-G388-H388,"")</f>
        <v>2082</v>
      </c>
    </row>
    <row r="389" spans="2:12">
      <c r="B389" s="2" t="s">
        <v>2153</v>
      </c>
      <c r="C389" s="9">
        <v>45960</v>
      </c>
      <c r="D389" s="4">
        <v>3</v>
      </c>
      <c r="E389" s="3">
        <v>1540</v>
      </c>
      <c r="F389" s="7">
        <f t="shared" ref="F389:F452" si="6">C389</f>
        <v>45960</v>
      </c>
      <c r="G389" s="3">
        <f>IF(E389&lt;&gt;"", E389*10%, "")</f>
        <v>154</v>
      </c>
      <c r="H389" s="3">
        <f>IF(E389&lt;&gt;"",ROUND(IF(E389&gt;1500,E389*5%,),0),"")</f>
        <v>77</v>
      </c>
      <c r="I389" s="2" t="s">
        <v>2926</v>
      </c>
      <c r="J389" s="3" t="str">
        <f>IF(I389="Cash",L389,"")</f>
        <v/>
      </c>
      <c r="K389" s="3">
        <f>IF(I389="UPI",L389,"")</f>
        <v>1309</v>
      </c>
      <c r="L389" s="3">
        <f>IF(E389&lt;&gt;"",E389-G389-H389,"")</f>
        <v>1309</v>
      </c>
    </row>
    <row r="390" spans="2:12">
      <c r="B390" s="2" t="s">
        <v>2154</v>
      </c>
      <c r="C390" s="9">
        <v>45960</v>
      </c>
      <c r="D390" s="4">
        <v>3</v>
      </c>
      <c r="E390" s="3">
        <v>1880</v>
      </c>
      <c r="F390" s="7">
        <f t="shared" si="6"/>
        <v>45960</v>
      </c>
      <c r="G390" s="3">
        <f>IF(E390&lt;&gt;"", E390*10%, "")</f>
        <v>188</v>
      </c>
      <c r="H390" s="3">
        <f>IF(E390&lt;&gt;"",ROUND(IF(E390&gt;1500,E390*5%,),0),"")</f>
        <v>94</v>
      </c>
      <c r="I390" s="2" t="s">
        <v>2925</v>
      </c>
      <c r="J390" s="3">
        <f>IF(I390="Cash",L390,"")</f>
        <v>1598</v>
      </c>
      <c r="K390" s="3" t="str">
        <f>IF(I390="UPI",L390,"")</f>
        <v/>
      </c>
      <c r="L390" s="3">
        <f>IF(E390&lt;&gt;"",E390-G390-H390,"")</f>
        <v>1598</v>
      </c>
    </row>
    <row r="391" spans="2:12">
      <c r="B391" s="2" t="s">
        <v>2155</v>
      </c>
      <c r="C391" s="9">
        <v>45960</v>
      </c>
      <c r="D391" s="4">
        <v>3</v>
      </c>
      <c r="E391" s="3">
        <v>2100</v>
      </c>
      <c r="F391" s="7">
        <f t="shared" si="6"/>
        <v>45960</v>
      </c>
      <c r="G391" s="3">
        <f>IF(E391&lt;&gt;"", E391*10%, "")</f>
        <v>210</v>
      </c>
      <c r="H391" s="3">
        <f>IF(E391&lt;&gt;"",ROUND(IF(E391&gt;1500,E391*5%,),0),"")</f>
        <v>105</v>
      </c>
      <c r="I391" s="2" t="s">
        <v>2925</v>
      </c>
      <c r="J391" s="3">
        <f>IF(I391="Cash",L391,"")</f>
        <v>1785</v>
      </c>
      <c r="K391" s="3" t="str">
        <f>IF(I391="UPI",L391,"")</f>
        <v/>
      </c>
      <c r="L391" s="3">
        <f>IF(E391&lt;&gt;"",E391-G391-H391,"")</f>
        <v>1785</v>
      </c>
    </row>
    <row r="392" spans="2:12">
      <c r="B392" s="2" t="s">
        <v>2156</v>
      </c>
      <c r="C392" s="9">
        <v>45960</v>
      </c>
      <c r="D392" s="4">
        <v>1</v>
      </c>
      <c r="E392" s="3">
        <v>810</v>
      </c>
      <c r="F392" s="7">
        <f t="shared" si="6"/>
        <v>45960</v>
      </c>
      <c r="G392" s="3">
        <f>IF(E392&lt;&gt;"", E392*10%, "")</f>
        <v>81</v>
      </c>
      <c r="H392" s="3">
        <f>IF(E392&lt;&gt;"",ROUND(IF(E392&gt;1500,E392*5%,),0),"")</f>
        <v>0</v>
      </c>
      <c r="I392" s="2" t="s">
        <v>2926</v>
      </c>
      <c r="J392" s="3" t="str">
        <f>IF(I392="Cash",L392,"")</f>
        <v/>
      </c>
      <c r="K392" s="3">
        <f>IF(I392="UPI",L392,"")</f>
        <v>729</v>
      </c>
      <c r="L392" s="3">
        <f>IF(E392&lt;&gt;"",E392-G392-H392,"")</f>
        <v>729</v>
      </c>
    </row>
    <row r="393" spans="2:12">
      <c r="B393" s="2" t="s">
        <v>2157</v>
      </c>
      <c r="C393" s="9">
        <v>45960</v>
      </c>
      <c r="D393" s="4">
        <v>1</v>
      </c>
      <c r="E393" s="3">
        <v>790</v>
      </c>
      <c r="F393" s="7">
        <f t="shared" si="6"/>
        <v>45960</v>
      </c>
      <c r="G393" s="3">
        <f>IF(E393&lt;&gt;"", E393*10%, "")</f>
        <v>79</v>
      </c>
      <c r="H393" s="3">
        <f>IF(E393&lt;&gt;"",ROUND(IF(E393&gt;1500,E393*5%,),0),"")</f>
        <v>0</v>
      </c>
      <c r="I393" s="2" t="s">
        <v>2926</v>
      </c>
      <c r="J393" s="3" t="str">
        <f>IF(I393="Cash",L393,"")</f>
        <v/>
      </c>
      <c r="K393" s="3">
        <f>IF(I393="UPI",L393,"")</f>
        <v>711</v>
      </c>
      <c r="L393" s="3">
        <f>IF(E393&lt;&gt;"",E393-G393-H393,"")</f>
        <v>711</v>
      </c>
    </row>
    <row r="394" spans="2:12">
      <c r="B394" s="2" t="s">
        <v>2158</v>
      </c>
      <c r="C394" s="9">
        <v>45960</v>
      </c>
      <c r="D394" s="4">
        <v>1</v>
      </c>
      <c r="E394" s="3">
        <v>990</v>
      </c>
      <c r="F394" s="7">
        <f t="shared" si="6"/>
        <v>45960</v>
      </c>
      <c r="G394" s="3">
        <f>IF(E394&lt;&gt;"", E394*10%, "")</f>
        <v>99</v>
      </c>
      <c r="H394" s="3">
        <f>IF(E394&lt;&gt;"",ROUND(IF(E394&gt;1500,E394*5%,),0),"")</f>
        <v>0</v>
      </c>
      <c r="I394" s="2" t="s">
        <v>2926</v>
      </c>
      <c r="J394" s="3" t="str">
        <f>IF(I394="Cash",L394,"")</f>
        <v/>
      </c>
      <c r="K394" s="3">
        <f>IF(I394="UPI",L394,"")</f>
        <v>891</v>
      </c>
      <c r="L394" s="3">
        <f>IF(E394&lt;&gt;"",E394-G394-H394,"")</f>
        <v>891</v>
      </c>
    </row>
    <row r="395" spans="2:12">
      <c r="B395" s="2" t="s">
        <v>2159</v>
      </c>
      <c r="C395" s="9">
        <v>45960</v>
      </c>
      <c r="D395" s="4">
        <v>2</v>
      </c>
      <c r="E395" s="3">
        <v>1630</v>
      </c>
      <c r="F395" s="7">
        <f t="shared" si="6"/>
        <v>45960</v>
      </c>
      <c r="G395" s="3">
        <f>IF(E395&lt;&gt;"", E395*10%, "")</f>
        <v>163</v>
      </c>
      <c r="H395" s="3">
        <f>IF(E395&lt;&gt;"",ROUND(IF(E395&gt;1500,E395*5%,),0),"")</f>
        <v>82</v>
      </c>
      <c r="I395" s="2" t="s">
        <v>2926</v>
      </c>
      <c r="J395" s="3" t="str">
        <f>IF(I395="Cash",L395,"")</f>
        <v/>
      </c>
      <c r="K395" s="3">
        <f>IF(I395="UPI",L395,"")</f>
        <v>1385</v>
      </c>
      <c r="L395" s="3">
        <f>IF(E395&lt;&gt;"",E395-G395-H395,"")</f>
        <v>1385</v>
      </c>
    </row>
    <row r="396" spans="2:12">
      <c r="B396" s="2" t="s">
        <v>2160</v>
      </c>
      <c r="C396" s="9">
        <v>45961</v>
      </c>
      <c r="D396" s="4">
        <v>1</v>
      </c>
      <c r="E396" s="3">
        <v>280</v>
      </c>
      <c r="F396" s="7">
        <f t="shared" si="6"/>
        <v>45961</v>
      </c>
      <c r="G396" s="3">
        <f>IF(E396&lt;&gt;"", E396*10%, "")</f>
        <v>28</v>
      </c>
      <c r="H396" s="3">
        <f>IF(E396&lt;&gt;"",ROUND(IF(E396&gt;1500,E396*5%,),0),"")</f>
        <v>0</v>
      </c>
      <c r="I396" s="2" t="s">
        <v>2926</v>
      </c>
      <c r="J396" s="3" t="str">
        <f>IF(I396="Cash",L396,"")</f>
        <v/>
      </c>
      <c r="K396" s="3">
        <f>IF(I396="UPI",L396,"")</f>
        <v>252</v>
      </c>
      <c r="L396" s="3">
        <f>IF(E396&lt;&gt;"",E396-G396-H396,"")</f>
        <v>252</v>
      </c>
    </row>
    <row r="397" spans="2:12">
      <c r="B397" s="2" t="s">
        <v>2161</v>
      </c>
      <c r="C397" s="9">
        <v>45961</v>
      </c>
      <c r="D397" s="4">
        <v>3</v>
      </c>
      <c r="E397" s="3">
        <v>2840</v>
      </c>
      <c r="F397" s="7">
        <f t="shared" si="6"/>
        <v>45961</v>
      </c>
      <c r="G397" s="3">
        <f>IF(E397&lt;&gt;"", E397*10%, "")</f>
        <v>284</v>
      </c>
      <c r="H397" s="3">
        <f>IF(E397&lt;&gt;"",ROUND(IF(E397&gt;1500,E397*5%,),0),"")</f>
        <v>142</v>
      </c>
      <c r="I397" s="2" t="s">
        <v>2928</v>
      </c>
      <c r="J397" s="3">
        <v>1000</v>
      </c>
      <c r="K397" s="3">
        <v>1414</v>
      </c>
      <c r="L397" s="3">
        <f>IF(E397&lt;&gt;"",E397-G397-H397,"")</f>
        <v>2414</v>
      </c>
    </row>
    <row r="398" spans="2:12">
      <c r="B398" s="2" t="s">
        <v>2162</v>
      </c>
      <c r="C398" s="9">
        <v>45961</v>
      </c>
      <c r="D398" s="4">
        <v>3</v>
      </c>
      <c r="E398" s="3">
        <v>1840</v>
      </c>
      <c r="F398" s="7">
        <f t="shared" si="6"/>
        <v>45961</v>
      </c>
      <c r="G398" s="3">
        <f>IF(E398&lt;&gt;"", E398*10%, "")</f>
        <v>184</v>
      </c>
      <c r="H398" s="3">
        <f>IF(E398&lt;&gt;"",ROUND(IF(E398&gt;1500,E398*5%,),0),"")</f>
        <v>92</v>
      </c>
      <c r="I398" s="2" t="s">
        <v>2925</v>
      </c>
      <c r="J398" s="3">
        <f>IF(I398="Cash",L398,"")</f>
        <v>1564</v>
      </c>
      <c r="K398" s="3" t="str">
        <f>IF(I398="UPI",L398,"")</f>
        <v/>
      </c>
      <c r="L398" s="3">
        <f>IF(E398&lt;&gt;"",E398-G398-H398,"")</f>
        <v>1564</v>
      </c>
    </row>
    <row r="399" spans="2:12">
      <c r="B399" s="2" t="s">
        <v>2163</v>
      </c>
      <c r="C399" s="9">
        <v>45961</v>
      </c>
      <c r="D399" s="4">
        <v>1</v>
      </c>
      <c r="E399" s="3">
        <v>610</v>
      </c>
      <c r="F399" s="7">
        <f t="shared" si="6"/>
        <v>45961</v>
      </c>
      <c r="G399" s="3">
        <f>IF(E399&lt;&gt;"", E399*10%, "")</f>
        <v>61</v>
      </c>
      <c r="H399" s="3">
        <f>IF(E399&lt;&gt;"",ROUND(IF(E399&gt;1500,E399*5%,),0),"")</f>
        <v>0</v>
      </c>
      <c r="I399" s="2" t="s">
        <v>2926</v>
      </c>
      <c r="J399" s="3" t="str">
        <f>IF(I399="Cash",L399,"")</f>
        <v/>
      </c>
      <c r="K399" s="3">
        <f>IF(I399="UPI",L399,"")</f>
        <v>549</v>
      </c>
      <c r="L399" s="3">
        <f>IF(E399&lt;&gt;"",E399-G399-H399,"")</f>
        <v>549</v>
      </c>
    </row>
    <row r="400" spans="2:12">
      <c r="B400" s="2" t="s">
        <v>2164</v>
      </c>
      <c r="C400" s="9">
        <v>45961</v>
      </c>
      <c r="D400" s="4">
        <v>1</v>
      </c>
      <c r="E400" s="3">
        <v>900</v>
      </c>
      <c r="F400" s="7">
        <f t="shared" si="6"/>
        <v>45961</v>
      </c>
      <c r="G400" s="3">
        <f>IF(E400&lt;&gt;"", E400*10%, "")</f>
        <v>90</v>
      </c>
      <c r="H400" s="3">
        <f>IF(E400&lt;&gt;"",ROUND(IF(E400&gt;1500,E400*5%,),0),"")</f>
        <v>0</v>
      </c>
      <c r="I400" s="2" t="s">
        <v>2926</v>
      </c>
      <c r="J400" s="3" t="str">
        <f>IF(I400="Cash",L400,"")</f>
        <v/>
      </c>
      <c r="K400" s="3">
        <f>IF(I400="UPI",L400,"")</f>
        <v>810</v>
      </c>
      <c r="L400" s="3">
        <f>IF(E400&lt;&gt;"",E400-G400-H400,"")</f>
        <v>810</v>
      </c>
    </row>
    <row r="401" spans="2:12">
      <c r="B401" s="2" t="s">
        <v>2165</v>
      </c>
      <c r="C401" s="9">
        <v>45961</v>
      </c>
      <c r="D401" s="4">
        <v>3</v>
      </c>
      <c r="E401" s="3">
        <v>1940</v>
      </c>
      <c r="F401" s="7">
        <f t="shared" si="6"/>
        <v>45961</v>
      </c>
      <c r="G401" s="3">
        <f>IF(E401&lt;&gt;"", E401*10%, "")</f>
        <v>194</v>
      </c>
      <c r="H401" s="3">
        <f>IF(E401&lt;&gt;"",ROUND(IF(E401&gt;1500,E401*5%,),0),"")</f>
        <v>97</v>
      </c>
      <c r="I401" s="2" t="s">
        <v>2925</v>
      </c>
      <c r="J401" s="3">
        <f>IF(I401="Cash",L401,"")</f>
        <v>1649</v>
      </c>
      <c r="K401" s="3" t="str">
        <f>IF(I401="UPI",L401,"")</f>
        <v/>
      </c>
      <c r="L401" s="3">
        <f>IF(E401&lt;&gt;"",E401-G401-H401,"")</f>
        <v>1649</v>
      </c>
    </row>
    <row r="402" spans="2:12">
      <c r="B402" s="2" t="s">
        <v>2166</v>
      </c>
      <c r="C402" s="9">
        <v>45961</v>
      </c>
      <c r="D402" s="4">
        <v>1</v>
      </c>
      <c r="E402" s="3">
        <v>720</v>
      </c>
      <c r="F402" s="7">
        <f t="shared" si="6"/>
        <v>45961</v>
      </c>
      <c r="G402" s="3">
        <f>IF(E402&lt;&gt;"", E402*10%, "")</f>
        <v>72</v>
      </c>
      <c r="H402" s="3">
        <f>IF(E402&lt;&gt;"",ROUND(IF(E402&gt;1500,E402*5%,),0),"")</f>
        <v>0</v>
      </c>
      <c r="I402" s="2" t="s">
        <v>2926</v>
      </c>
      <c r="J402" s="3" t="str">
        <f>IF(I402="Cash",L402,"")</f>
        <v/>
      </c>
      <c r="K402" s="3">
        <f>IF(I402="UPI",L402,"")</f>
        <v>648</v>
      </c>
      <c r="L402" s="3">
        <f>IF(E402&lt;&gt;"",E402-G402-H402,"")</f>
        <v>648</v>
      </c>
    </row>
    <row r="403" spans="2:12">
      <c r="B403" s="2" t="s">
        <v>2167</v>
      </c>
      <c r="C403" s="9">
        <v>45961</v>
      </c>
      <c r="D403" s="4">
        <v>4</v>
      </c>
      <c r="E403" s="3">
        <v>3270</v>
      </c>
      <c r="F403" s="7">
        <f t="shared" si="6"/>
        <v>45961</v>
      </c>
      <c r="G403" s="3">
        <f>IF(E403&lt;&gt;"", E403*10%, "")</f>
        <v>327</v>
      </c>
      <c r="H403" s="3">
        <f>IF(E403&lt;&gt;"",ROUND(IF(E403&gt;1500,E403*5%,),0),"")</f>
        <v>164</v>
      </c>
      <c r="I403" s="2" t="s">
        <v>2928</v>
      </c>
      <c r="J403" s="3">
        <v>1000</v>
      </c>
      <c r="K403" s="3">
        <v>1779</v>
      </c>
      <c r="L403" s="3">
        <f>IF(E403&lt;&gt;"",E403-G403-H403,"")</f>
        <v>2779</v>
      </c>
    </row>
    <row r="404" spans="2:12">
      <c r="B404" s="2" t="s">
        <v>2168</v>
      </c>
      <c r="C404" s="9">
        <v>45961</v>
      </c>
      <c r="D404" s="4">
        <v>2</v>
      </c>
      <c r="E404" s="3">
        <v>900</v>
      </c>
      <c r="F404" s="7">
        <f t="shared" si="6"/>
        <v>45961</v>
      </c>
      <c r="G404" s="3">
        <f>IF(E404&lt;&gt;"", E404*10%, "")</f>
        <v>90</v>
      </c>
      <c r="H404" s="3">
        <f>IF(E404&lt;&gt;"",ROUND(IF(E404&gt;1500,E404*5%,),0),"")</f>
        <v>0</v>
      </c>
      <c r="I404" s="2" t="s">
        <v>2926</v>
      </c>
      <c r="J404" s="3" t="str">
        <f>IF(I404="Cash",L404,"")</f>
        <v/>
      </c>
      <c r="K404" s="3">
        <f>IF(I404="UPI",L404,"")</f>
        <v>810</v>
      </c>
      <c r="L404" s="3">
        <f>IF(E404&lt;&gt;"",E404-G404-H404,"")</f>
        <v>810</v>
      </c>
    </row>
    <row r="405" spans="2:12">
      <c r="B405" s="2" t="s">
        <v>2169</v>
      </c>
      <c r="C405" s="9">
        <v>45961</v>
      </c>
      <c r="D405" s="4">
        <v>3</v>
      </c>
      <c r="E405" s="3">
        <v>1790</v>
      </c>
      <c r="F405" s="7">
        <f t="shared" si="6"/>
        <v>45961</v>
      </c>
      <c r="G405" s="3">
        <f>IF(E405&lt;&gt;"", E405*10%, "")</f>
        <v>179</v>
      </c>
      <c r="H405" s="3">
        <f>IF(E405&lt;&gt;"",ROUND(IF(E405&gt;1500,E405*5%,),0),"")</f>
        <v>90</v>
      </c>
      <c r="I405" s="2" t="s">
        <v>2925</v>
      </c>
      <c r="J405" s="3">
        <f>IF(I405="Cash",L405,"")</f>
        <v>1521</v>
      </c>
      <c r="K405" s="3" t="str">
        <f>IF(I405="UPI",L405,"")</f>
        <v/>
      </c>
      <c r="L405" s="3">
        <f>IF(E405&lt;&gt;"",E405-G405-H405,"")</f>
        <v>1521</v>
      </c>
    </row>
    <row r="406" spans="2:12">
      <c r="B406" s="2" t="s">
        <v>2170</v>
      </c>
      <c r="C406" s="9">
        <v>45961</v>
      </c>
      <c r="D406" s="4">
        <v>2</v>
      </c>
      <c r="E406" s="3">
        <v>920</v>
      </c>
      <c r="F406" s="7">
        <f t="shared" si="6"/>
        <v>45961</v>
      </c>
      <c r="G406" s="3">
        <f>IF(E406&lt;&gt;"", E406*10%, "")</f>
        <v>92</v>
      </c>
      <c r="H406" s="3">
        <f>IF(E406&lt;&gt;"",ROUND(IF(E406&gt;1500,E406*5%,),0),"")</f>
        <v>0</v>
      </c>
      <c r="I406" s="2" t="s">
        <v>2926</v>
      </c>
      <c r="J406" s="3" t="str">
        <f>IF(I406="Cash",L406,"")</f>
        <v/>
      </c>
      <c r="K406" s="3">
        <f>IF(I406="UPI",L406,"")</f>
        <v>828</v>
      </c>
      <c r="L406" s="3">
        <f>IF(E406&lt;&gt;"",E406-G406-H406,"")</f>
        <v>828</v>
      </c>
    </row>
    <row r="407" spans="2:12">
      <c r="B407" s="2" t="s">
        <v>2171</v>
      </c>
      <c r="C407" s="9">
        <v>45961</v>
      </c>
      <c r="D407" s="4">
        <v>2</v>
      </c>
      <c r="E407" s="3">
        <v>1090</v>
      </c>
      <c r="F407" s="7">
        <f t="shared" si="6"/>
        <v>45961</v>
      </c>
      <c r="G407" s="3">
        <f>IF(E407&lt;&gt;"", E407*10%, "")</f>
        <v>109</v>
      </c>
      <c r="H407" s="3">
        <f>IF(E407&lt;&gt;"",ROUND(IF(E407&gt;1500,E407*5%,),0),"")</f>
        <v>0</v>
      </c>
      <c r="I407" s="2" t="s">
        <v>2926</v>
      </c>
      <c r="J407" s="3" t="str">
        <f>IF(I407="Cash",L407,"")</f>
        <v/>
      </c>
      <c r="K407" s="3">
        <f>IF(I407="UPI",L407,"")</f>
        <v>981</v>
      </c>
      <c r="L407" s="3">
        <f>IF(E407&lt;&gt;"",E407-G407-H407,"")</f>
        <v>981</v>
      </c>
    </row>
    <row r="408" spans="2:12">
      <c r="B408" s="2" t="s">
        <v>2172</v>
      </c>
      <c r="C408" s="9">
        <v>45961</v>
      </c>
      <c r="D408" s="4">
        <v>3</v>
      </c>
      <c r="E408" s="3">
        <v>2190</v>
      </c>
      <c r="F408" s="7">
        <f t="shared" si="6"/>
        <v>45961</v>
      </c>
      <c r="G408" s="3">
        <f>IF(E408&lt;&gt;"", E408*10%, "")</f>
        <v>219</v>
      </c>
      <c r="H408" s="3">
        <f>IF(E408&lt;&gt;"",ROUND(IF(E408&gt;1500,E408*5%,),0),"")</f>
        <v>110</v>
      </c>
      <c r="I408" s="2" t="s">
        <v>2925</v>
      </c>
      <c r="J408" s="3">
        <f>IF(I408="Cash",L408,"")</f>
        <v>1861</v>
      </c>
      <c r="K408" s="3" t="str">
        <f>IF(I408="UPI",L408,"")</f>
        <v/>
      </c>
      <c r="L408" s="3">
        <f>IF(E408&lt;&gt;"",E408-G408-H408,"")</f>
        <v>1861</v>
      </c>
    </row>
    <row r="409" spans="2:12">
      <c r="B409" s="2" t="s">
        <v>2173</v>
      </c>
      <c r="C409" s="9">
        <v>45962</v>
      </c>
      <c r="D409" s="4">
        <v>3</v>
      </c>
      <c r="E409" s="3">
        <v>1840</v>
      </c>
      <c r="F409" s="7">
        <f t="shared" si="6"/>
        <v>45962</v>
      </c>
      <c r="G409" s="3">
        <f>IF(E409&lt;&gt;"", E409*10%, "")</f>
        <v>184</v>
      </c>
      <c r="H409" s="3">
        <f>IF(E409&lt;&gt;"",ROUND(IF(E409&gt;1500,E409*5%,),0),"")</f>
        <v>92</v>
      </c>
      <c r="I409" s="2" t="s">
        <v>2925</v>
      </c>
      <c r="J409" s="3">
        <f>IF(I409="Cash",L409,"")</f>
        <v>1564</v>
      </c>
      <c r="K409" s="3" t="str">
        <f>IF(I409="UPI",L409,"")</f>
        <v/>
      </c>
      <c r="L409" s="3">
        <f>IF(E409&lt;&gt;"",E409-G409-H409,"")</f>
        <v>1564</v>
      </c>
    </row>
    <row r="410" spans="2:12">
      <c r="B410" s="2" t="s">
        <v>2174</v>
      </c>
      <c r="C410" s="9">
        <v>45962</v>
      </c>
      <c r="D410" s="4">
        <v>2</v>
      </c>
      <c r="E410" s="3">
        <v>1030</v>
      </c>
      <c r="F410" s="7">
        <f t="shared" si="6"/>
        <v>45962</v>
      </c>
      <c r="G410" s="3">
        <f>IF(E410&lt;&gt;"", E410*10%, "")</f>
        <v>103</v>
      </c>
      <c r="H410" s="3">
        <f>IF(E410&lt;&gt;"",ROUND(IF(E410&gt;1500,E410*5%,),0),"")</f>
        <v>0</v>
      </c>
      <c r="I410" s="2" t="s">
        <v>2926</v>
      </c>
      <c r="J410" s="3" t="str">
        <f>IF(I410="Cash",L410,"")</f>
        <v/>
      </c>
      <c r="K410" s="3">
        <f>IF(I410="UPI",L410,"")</f>
        <v>927</v>
      </c>
      <c r="L410" s="3">
        <f>IF(E410&lt;&gt;"",E410-G410-H410,"")</f>
        <v>927</v>
      </c>
    </row>
    <row r="411" spans="2:12">
      <c r="B411" s="2" t="s">
        <v>2175</v>
      </c>
      <c r="C411" s="9">
        <v>45962</v>
      </c>
      <c r="D411" s="4">
        <v>1</v>
      </c>
      <c r="E411" s="3">
        <v>760</v>
      </c>
      <c r="F411" s="7">
        <f t="shared" si="6"/>
        <v>45962</v>
      </c>
      <c r="G411" s="3">
        <f>IF(E411&lt;&gt;"", E411*10%, "")</f>
        <v>76</v>
      </c>
      <c r="H411" s="3">
        <f>IF(E411&lt;&gt;"",ROUND(IF(E411&gt;1500,E411*5%,),0),"")</f>
        <v>0</v>
      </c>
      <c r="I411" s="2" t="s">
        <v>2926</v>
      </c>
      <c r="J411" s="3" t="str">
        <f>IF(I411="Cash",L411,"")</f>
        <v/>
      </c>
      <c r="K411" s="3">
        <f>IF(I411="UPI",L411,"")</f>
        <v>684</v>
      </c>
      <c r="L411" s="3">
        <f>IF(E411&lt;&gt;"",E411-G411-H411,"")</f>
        <v>684</v>
      </c>
    </row>
    <row r="412" spans="2:12">
      <c r="B412" s="2" t="s">
        <v>2176</v>
      </c>
      <c r="C412" s="9">
        <v>45962</v>
      </c>
      <c r="D412" s="4">
        <v>2</v>
      </c>
      <c r="E412" s="3">
        <v>780</v>
      </c>
      <c r="F412" s="7">
        <f t="shared" si="6"/>
        <v>45962</v>
      </c>
      <c r="G412" s="3">
        <f>IF(E412&lt;&gt;"", E412*10%, "")</f>
        <v>78</v>
      </c>
      <c r="H412" s="3">
        <f>IF(E412&lt;&gt;"",ROUND(IF(E412&gt;1500,E412*5%,),0),"")</f>
        <v>0</v>
      </c>
      <c r="I412" s="2" t="s">
        <v>2926</v>
      </c>
      <c r="J412" s="3" t="str">
        <f>IF(I412="Cash",L412,"")</f>
        <v/>
      </c>
      <c r="K412" s="3">
        <f>IF(I412="UPI",L412,"")</f>
        <v>702</v>
      </c>
      <c r="L412" s="3">
        <f>IF(E412&lt;&gt;"",E412-G412-H412,"")</f>
        <v>702</v>
      </c>
    </row>
    <row r="413" spans="2:12">
      <c r="B413" s="2" t="s">
        <v>2177</v>
      </c>
      <c r="C413" s="9">
        <v>45962</v>
      </c>
      <c r="D413" s="4">
        <v>3</v>
      </c>
      <c r="E413" s="3">
        <v>2430</v>
      </c>
      <c r="F413" s="7">
        <f t="shared" si="6"/>
        <v>45962</v>
      </c>
      <c r="G413" s="3">
        <f>IF(E413&lt;&gt;"", E413*10%, "")</f>
        <v>243</v>
      </c>
      <c r="H413" s="3">
        <f>IF(E413&lt;&gt;"",ROUND(IF(E413&gt;1500,E413*5%,),0),"")</f>
        <v>122</v>
      </c>
      <c r="I413" s="2" t="s">
        <v>2925</v>
      </c>
      <c r="J413" s="3">
        <f>IF(I413="Cash",L413,"")</f>
        <v>2065</v>
      </c>
      <c r="K413" s="3" t="str">
        <f>IF(I413="UPI",L413,"")</f>
        <v/>
      </c>
      <c r="L413" s="3">
        <f>IF(E413&lt;&gt;"",E413-G413-H413,"")</f>
        <v>2065</v>
      </c>
    </row>
    <row r="414" spans="2:12">
      <c r="B414" s="2" t="s">
        <v>2178</v>
      </c>
      <c r="C414" s="9">
        <v>45962</v>
      </c>
      <c r="D414" s="4">
        <v>3</v>
      </c>
      <c r="E414" s="3">
        <v>1820</v>
      </c>
      <c r="F414" s="7">
        <f t="shared" si="6"/>
        <v>45962</v>
      </c>
      <c r="G414" s="3">
        <f>IF(E414&lt;&gt;"", E414*10%, "")</f>
        <v>182</v>
      </c>
      <c r="H414" s="3">
        <f>IF(E414&lt;&gt;"",ROUND(IF(E414&gt;1500,E414*5%,),0),"")</f>
        <v>91</v>
      </c>
      <c r="I414" s="2" t="s">
        <v>2925</v>
      </c>
      <c r="J414" s="3">
        <f>IF(I414="Cash",L414,"")</f>
        <v>1547</v>
      </c>
      <c r="K414" s="3" t="str">
        <f>IF(I414="UPI",L414,"")</f>
        <v/>
      </c>
      <c r="L414" s="3">
        <f>IF(E414&lt;&gt;"",E414-G414-H414,"")</f>
        <v>1547</v>
      </c>
    </row>
    <row r="415" spans="2:12">
      <c r="B415" s="2" t="s">
        <v>2179</v>
      </c>
      <c r="C415" s="9">
        <v>45962</v>
      </c>
      <c r="D415" s="4">
        <v>2</v>
      </c>
      <c r="E415" s="3">
        <v>730</v>
      </c>
      <c r="F415" s="7">
        <f t="shared" si="6"/>
        <v>45962</v>
      </c>
      <c r="G415" s="3">
        <f>IF(E415&lt;&gt;"", E415*10%, "")</f>
        <v>73</v>
      </c>
      <c r="H415" s="3">
        <f>IF(E415&lt;&gt;"",ROUND(IF(E415&gt;1500,E415*5%,),0),"")</f>
        <v>0</v>
      </c>
      <c r="I415" s="2" t="s">
        <v>2926</v>
      </c>
      <c r="J415" s="3" t="str">
        <f>IF(I415="Cash",L415,"")</f>
        <v/>
      </c>
      <c r="K415" s="3">
        <f>IF(I415="UPI",L415,"")</f>
        <v>657</v>
      </c>
      <c r="L415" s="3">
        <f>IF(E415&lt;&gt;"",E415-G415-H415,"")</f>
        <v>657</v>
      </c>
    </row>
    <row r="416" spans="2:12">
      <c r="B416" s="2" t="s">
        <v>2180</v>
      </c>
      <c r="C416" s="9">
        <v>45962</v>
      </c>
      <c r="D416" s="4">
        <v>1</v>
      </c>
      <c r="E416" s="3">
        <v>920</v>
      </c>
      <c r="F416" s="7">
        <f t="shared" si="6"/>
        <v>45962</v>
      </c>
      <c r="G416" s="3">
        <f>IF(E416&lt;&gt;"", E416*10%, "")</f>
        <v>92</v>
      </c>
      <c r="H416" s="3">
        <f>IF(E416&lt;&gt;"",ROUND(IF(E416&gt;1500,E416*5%,),0),"")</f>
        <v>0</v>
      </c>
      <c r="I416" s="2" t="s">
        <v>2926</v>
      </c>
      <c r="J416" s="3" t="str">
        <f>IF(I416="Cash",L416,"")</f>
        <v/>
      </c>
      <c r="K416" s="3">
        <f>IF(I416="UPI",L416,"")</f>
        <v>828</v>
      </c>
      <c r="L416" s="3">
        <f>IF(E416&lt;&gt;"",E416-G416-H416,"")</f>
        <v>828</v>
      </c>
    </row>
    <row r="417" spans="2:12">
      <c r="B417" s="2" t="s">
        <v>2181</v>
      </c>
      <c r="C417" s="9">
        <v>45962</v>
      </c>
      <c r="D417" s="4">
        <v>2</v>
      </c>
      <c r="E417" s="3">
        <v>1140</v>
      </c>
      <c r="F417" s="7">
        <f t="shared" si="6"/>
        <v>45962</v>
      </c>
      <c r="G417" s="3">
        <f>IF(E417&lt;&gt;"", E417*10%, "")</f>
        <v>114</v>
      </c>
      <c r="H417" s="3">
        <f>IF(E417&lt;&gt;"",ROUND(IF(E417&gt;1500,E417*5%,),0),"")</f>
        <v>0</v>
      </c>
      <c r="I417" s="2" t="s">
        <v>2926</v>
      </c>
      <c r="J417" s="3" t="str">
        <f>IF(I417="Cash",L417,"")</f>
        <v/>
      </c>
      <c r="K417" s="3">
        <f>IF(I417="UPI",L417,"")</f>
        <v>1026</v>
      </c>
      <c r="L417" s="3">
        <f>IF(E417&lt;&gt;"",E417-G417-H417,"")</f>
        <v>1026</v>
      </c>
    </row>
    <row r="418" spans="2:12">
      <c r="B418" s="2" t="s">
        <v>2182</v>
      </c>
      <c r="C418" s="9">
        <v>45962</v>
      </c>
      <c r="D418" s="4">
        <v>3</v>
      </c>
      <c r="E418" s="3">
        <v>2230</v>
      </c>
      <c r="F418" s="7">
        <f t="shared" si="6"/>
        <v>45962</v>
      </c>
      <c r="G418" s="3">
        <f>IF(E418&lt;&gt;"", E418*10%, "")</f>
        <v>223</v>
      </c>
      <c r="H418" s="3">
        <f>IF(E418&lt;&gt;"",ROUND(IF(E418&gt;1500,E418*5%,),0),"")</f>
        <v>112</v>
      </c>
      <c r="I418" s="2" t="s">
        <v>2925</v>
      </c>
      <c r="J418" s="3">
        <f>IF(I418="Cash",L418,"")</f>
        <v>1895</v>
      </c>
      <c r="K418" s="3" t="str">
        <f>IF(I418="UPI",L418,"")</f>
        <v/>
      </c>
      <c r="L418" s="3">
        <f>IF(E418&lt;&gt;"",E418-G418-H418,"")</f>
        <v>1895</v>
      </c>
    </row>
    <row r="419" spans="2:12">
      <c r="B419" s="2" t="s">
        <v>2183</v>
      </c>
      <c r="C419" s="9">
        <v>45962</v>
      </c>
      <c r="D419" s="4">
        <v>1</v>
      </c>
      <c r="E419" s="3">
        <v>380</v>
      </c>
      <c r="F419" s="7">
        <f t="shared" si="6"/>
        <v>45962</v>
      </c>
      <c r="G419" s="3">
        <f>IF(E419&lt;&gt;"", E419*10%, "")</f>
        <v>38</v>
      </c>
      <c r="H419" s="3">
        <f>IF(E419&lt;&gt;"",ROUND(IF(E419&gt;1500,E419*5%,),0),"")</f>
        <v>0</v>
      </c>
      <c r="I419" s="2" t="s">
        <v>2926</v>
      </c>
      <c r="J419" s="3" t="str">
        <f>IF(I419="Cash",L419,"")</f>
        <v/>
      </c>
      <c r="K419" s="3">
        <f>IF(I419="UPI",L419,"")</f>
        <v>342</v>
      </c>
      <c r="L419" s="3">
        <f>IF(E419&lt;&gt;"",E419-G419-H419,"")</f>
        <v>342</v>
      </c>
    </row>
    <row r="420" spans="2:12">
      <c r="B420" s="2" t="s">
        <v>2184</v>
      </c>
      <c r="C420" s="9">
        <v>45962</v>
      </c>
      <c r="D420" s="4">
        <v>4</v>
      </c>
      <c r="E420" s="3">
        <v>2100</v>
      </c>
      <c r="F420" s="7">
        <f t="shared" si="6"/>
        <v>45962</v>
      </c>
      <c r="G420" s="3">
        <f>IF(E420&lt;&gt;"", E420*10%, "")</f>
        <v>210</v>
      </c>
      <c r="H420" s="3">
        <f>IF(E420&lt;&gt;"",ROUND(IF(E420&gt;1500,E420*5%,),0),"")</f>
        <v>105</v>
      </c>
      <c r="I420" s="2" t="s">
        <v>2925</v>
      </c>
      <c r="J420" s="3">
        <f>IF(I420="Cash",L420,"")</f>
        <v>1785</v>
      </c>
      <c r="K420" s="3" t="str">
        <f>IF(I420="UPI",L420,"")</f>
        <v/>
      </c>
      <c r="L420" s="3">
        <f>IF(E420&lt;&gt;"",E420-G420-H420,"")</f>
        <v>1785</v>
      </c>
    </row>
    <row r="421" spans="2:12">
      <c r="B421" s="2" t="s">
        <v>2185</v>
      </c>
      <c r="C421" s="9">
        <v>45962</v>
      </c>
      <c r="D421" s="4">
        <v>3</v>
      </c>
      <c r="E421" s="3">
        <v>2170</v>
      </c>
      <c r="F421" s="7">
        <f t="shared" si="6"/>
        <v>45962</v>
      </c>
      <c r="G421" s="3">
        <f>IF(E421&lt;&gt;"", E421*10%, "")</f>
        <v>217</v>
      </c>
      <c r="H421" s="3">
        <f>IF(E421&lt;&gt;"",ROUND(IF(E421&gt;1500,E421*5%,),0),"")</f>
        <v>109</v>
      </c>
      <c r="I421" s="2" t="s">
        <v>2925</v>
      </c>
      <c r="J421" s="3">
        <f>IF(I421="Cash",L421,"")</f>
        <v>1844</v>
      </c>
      <c r="K421" s="3" t="str">
        <f>IF(I421="UPI",L421,"")</f>
        <v/>
      </c>
      <c r="L421" s="3">
        <f>IF(E421&lt;&gt;"",E421-G421-H421,"")</f>
        <v>1844</v>
      </c>
    </row>
    <row r="422" spans="2:12">
      <c r="B422" s="2" t="s">
        <v>2186</v>
      </c>
      <c r="C422" s="9">
        <v>45962</v>
      </c>
      <c r="D422" s="4">
        <v>2</v>
      </c>
      <c r="E422" s="3">
        <v>1420</v>
      </c>
      <c r="F422" s="7">
        <f t="shared" si="6"/>
        <v>45962</v>
      </c>
      <c r="G422" s="3">
        <f>IF(E422&lt;&gt;"", E422*10%, "")</f>
        <v>142</v>
      </c>
      <c r="H422" s="3">
        <f>IF(E422&lt;&gt;"",ROUND(IF(E422&gt;1500,E422*5%,),0),"")</f>
        <v>0</v>
      </c>
      <c r="I422" s="2" t="s">
        <v>2926</v>
      </c>
      <c r="J422" s="3" t="str">
        <f>IF(I422="Cash",L422,"")</f>
        <v/>
      </c>
      <c r="K422" s="3">
        <f>IF(I422="UPI",L422,"")</f>
        <v>1278</v>
      </c>
      <c r="L422" s="3">
        <f>IF(E422&lt;&gt;"",E422-G422-H422,"")</f>
        <v>1278</v>
      </c>
    </row>
    <row r="423" spans="2:12">
      <c r="B423" s="2" t="s">
        <v>2187</v>
      </c>
      <c r="C423" s="9">
        <v>45962</v>
      </c>
      <c r="D423" s="4">
        <v>2</v>
      </c>
      <c r="E423" s="3">
        <v>1710</v>
      </c>
      <c r="F423" s="7">
        <f t="shared" si="6"/>
        <v>45962</v>
      </c>
      <c r="G423" s="3">
        <f>IF(E423&lt;&gt;"", E423*10%, "")</f>
        <v>171</v>
      </c>
      <c r="H423" s="3">
        <f>IF(E423&lt;&gt;"",ROUND(IF(E423&gt;1500,E423*5%,),0),"")</f>
        <v>86</v>
      </c>
      <c r="I423" s="2" t="s">
        <v>2925</v>
      </c>
      <c r="J423" s="3">
        <f>IF(I423="Cash",L423,"")</f>
        <v>1453</v>
      </c>
      <c r="K423" s="3" t="str">
        <f>IF(I423="UPI",L423,"")</f>
        <v/>
      </c>
      <c r="L423" s="3">
        <f>IF(E423&lt;&gt;"",E423-G423-H423,"")</f>
        <v>1453</v>
      </c>
    </row>
    <row r="424" spans="2:12">
      <c r="B424" s="2" t="s">
        <v>2188</v>
      </c>
      <c r="C424" s="9">
        <v>45962</v>
      </c>
      <c r="D424" s="4">
        <v>2</v>
      </c>
      <c r="E424" s="3">
        <v>1660</v>
      </c>
      <c r="F424" s="7">
        <f t="shared" si="6"/>
        <v>45962</v>
      </c>
      <c r="G424" s="3">
        <f>IF(E424&lt;&gt;"", E424*10%, "")</f>
        <v>166</v>
      </c>
      <c r="H424" s="3">
        <f>IF(E424&lt;&gt;"",ROUND(IF(E424&gt;1500,E424*5%,),0),"")</f>
        <v>83</v>
      </c>
      <c r="I424" s="2" t="s">
        <v>2926</v>
      </c>
      <c r="J424" s="3" t="str">
        <f>IF(I424="Cash",L424,"")</f>
        <v/>
      </c>
      <c r="K424" s="3">
        <f>IF(I424="UPI",L424,"")</f>
        <v>1411</v>
      </c>
      <c r="L424" s="3">
        <f>IF(E424&lt;&gt;"",E424-G424-H424,"")</f>
        <v>1411</v>
      </c>
    </row>
    <row r="425" spans="2:12">
      <c r="B425" s="2" t="s">
        <v>2189</v>
      </c>
      <c r="C425" s="9">
        <v>45964</v>
      </c>
      <c r="D425" s="4">
        <v>3</v>
      </c>
      <c r="E425" s="3">
        <v>2110</v>
      </c>
      <c r="F425" s="7">
        <f t="shared" si="6"/>
        <v>45964</v>
      </c>
      <c r="G425" s="3">
        <f>IF(E425&lt;&gt;"", E425*10%, "")</f>
        <v>211</v>
      </c>
      <c r="H425" s="3">
        <f>IF(E425&lt;&gt;"",ROUND(IF(E425&gt;1500,E425*5%,),0),"")</f>
        <v>106</v>
      </c>
      <c r="I425" s="2" t="s">
        <v>2925</v>
      </c>
      <c r="J425" s="3">
        <f>IF(I425="Cash",L425,"")</f>
        <v>1793</v>
      </c>
      <c r="K425" s="3" t="str">
        <f>IF(I425="UPI",L425,"")</f>
        <v/>
      </c>
      <c r="L425" s="3">
        <f>IF(E425&lt;&gt;"",E425-G425-H425,"")</f>
        <v>1793</v>
      </c>
    </row>
    <row r="426" spans="2:12">
      <c r="B426" s="2" t="s">
        <v>2190</v>
      </c>
      <c r="C426" s="9">
        <v>45964</v>
      </c>
      <c r="D426" s="4">
        <v>2</v>
      </c>
      <c r="E426" s="3">
        <v>1680</v>
      </c>
      <c r="F426" s="7">
        <f t="shared" si="6"/>
        <v>45964</v>
      </c>
      <c r="G426" s="3">
        <f>IF(E426&lt;&gt;"", E426*10%, "")</f>
        <v>168</v>
      </c>
      <c r="H426" s="3">
        <f>IF(E426&lt;&gt;"",ROUND(IF(E426&gt;1500,E426*5%,),0),"")</f>
        <v>84</v>
      </c>
      <c r="I426" s="2" t="s">
        <v>2925</v>
      </c>
      <c r="J426" s="3">
        <f>IF(I426="Cash",L426,"")</f>
        <v>1428</v>
      </c>
      <c r="K426" s="3" t="str">
        <f>IF(I426="UPI",L426,"")</f>
        <v/>
      </c>
      <c r="L426" s="3">
        <f>IF(E426&lt;&gt;"",E426-G426-H426,"")</f>
        <v>1428</v>
      </c>
    </row>
    <row r="427" spans="2:12">
      <c r="B427" s="2" t="s">
        <v>2191</v>
      </c>
      <c r="C427" s="9">
        <v>45964</v>
      </c>
      <c r="D427" s="4">
        <v>4</v>
      </c>
      <c r="E427" s="3">
        <v>2080</v>
      </c>
      <c r="F427" s="7">
        <f t="shared" si="6"/>
        <v>45964</v>
      </c>
      <c r="G427" s="3">
        <f>IF(E427&lt;&gt;"", E427*10%, "")</f>
        <v>208</v>
      </c>
      <c r="H427" s="3">
        <f>IF(E427&lt;&gt;"",ROUND(IF(E427&gt;1500,E427*5%,),0),"")</f>
        <v>104</v>
      </c>
      <c r="I427" s="2" t="s">
        <v>2925</v>
      </c>
      <c r="J427" s="3">
        <f>IF(I427="Cash",L427,"")</f>
        <v>1768</v>
      </c>
      <c r="K427" s="3" t="str">
        <f>IF(I427="UPI",L427,"")</f>
        <v/>
      </c>
      <c r="L427" s="3">
        <f>IF(E427&lt;&gt;"",E427-G427-H427,"")</f>
        <v>1768</v>
      </c>
    </row>
    <row r="428" spans="2:12">
      <c r="B428" s="2" t="s">
        <v>2192</v>
      </c>
      <c r="C428" s="9">
        <v>45964</v>
      </c>
      <c r="D428" s="4">
        <v>2</v>
      </c>
      <c r="E428" s="3">
        <v>1780</v>
      </c>
      <c r="F428" s="7">
        <f t="shared" si="6"/>
        <v>45964</v>
      </c>
      <c r="G428" s="3">
        <f>IF(E428&lt;&gt;"", E428*10%, "")</f>
        <v>178</v>
      </c>
      <c r="H428" s="3">
        <f>IF(E428&lt;&gt;"",ROUND(IF(E428&gt;1500,E428*5%,),0),"")</f>
        <v>89</v>
      </c>
      <c r="I428" s="2" t="s">
        <v>2925</v>
      </c>
      <c r="J428" s="3">
        <f>IF(I428="Cash",L428,"")</f>
        <v>1513</v>
      </c>
      <c r="K428" s="3" t="str">
        <f>IF(I428="UPI",L428,"")</f>
        <v/>
      </c>
      <c r="L428" s="3">
        <f>IF(E428&lt;&gt;"",E428-G428-H428,"")</f>
        <v>1513</v>
      </c>
    </row>
    <row r="429" spans="2:12">
      <c r="B429" s="2" t="s">
        <v>2193</v>
      </c>
      <c r="C429" s="9">
        <v>45964</v>
      </c>
      <c r="D429" s="4">
        <v>4</v>
      </c>
      <c r="E429" s="3">
        <v>2660</v>
      </c>
      <c r="F429" s="7">
        <f t="shared" si="6"/>
        <v>45964</v>
      </c>
      <c r="G429" s="3">
        <f>IF(E429&lt;&gt;"", E429*10%, "")</f>
        <v>266</v>
      </c>
      <c r="H429" s="3">
        <f>IF(E429&lt;&gt;"",ROUND(IF(E429&gt;1500,E429*5%,),0),"")</f>
        <v>133</v>
      </c>
      <c r="I429" s="2" t="s">
        <v>2925</v>
      </c>
      <c r="J429" s="3">
        <f>IF(I429="Cash",L429,"")</f>
        <v>2261</v>
      </c>
      <c r="K429" s="3" t="str">
        <f>IF(I429="UPI",L429,"")</f>
        <v/>
      </c>
      <c r="L429" s="3">
        <f>IF(E429&lt;&gt;"",E429-G429-H429,"")</f>
        <v>2261</v>
      </c>
    </row>
    <row r="430" spans="2:12">
      <c r="B430" s="2" t="s">
        <v>2194</v>
      </c>
      <c r="C430" s="9">
        <v>45964</v>
      </c>
      <c r="D430" s="4">
        <v>3</v>
      </c>
      <c r="E430" s="3">
        <v>2100</v>
      </c>
      <c r="F430" s="7">
        <f t="shared" si="6"/>
        <v>45964</v>
      </c>
      <c r="G430" s="3">
        <f>IF(E430&lt;&gt;"", E430*10%, "")</f>
        <v>210</v>
      </c>
      <c r="H430" s="3">
        <f>IF(E430&lt;&gt;"",ROUND(IF(E430&gt;1500,E430*5%,),0),"")</f>
        <v>105</v>
      </c>
      <c r="I430" s="2" t="s">
        <v>2925</v>
      </c>
      <c r="J430" s="3">
        <f>IF(I430="Cash",L430,"")</f>
        <v>1785</v>
      </c>
      <c r="K430" s="3" t="str">
        <f>IF(I430="UPI",L430,"")</f>
        <v/>
      </c>
      <c r="L430" s="3">
        <f>IF(E430&lt;&gt;"",E430-G430-H430,"")</f>
        <v>1785</v>
      </c>
    </row>
    <row r="431" spans="2:12">
      <c r="B431" s="2" t="s">
        <v>2195</v>
      </c>
      <c r="C431" s="9">
        <v>45964</v>
      </c>
      <c r="D431" s="4">
        <v>4</v>
      </c>
      <c r="E431" s="3">
        <v>2490</v>
      </c>
      <c r="F431" s="7">
        <f t="shared" si="6"/>
        <v>45964</v>
      </c>
      <c r="G431" s="3">
        <f>IF(E431&lt;&gt;"", E431*10%, "")</f>
        <v>249</v>
      </c>
      <c r="H431" s="3">
        <f>IF(E431&lt;&gt;"",ROUND(IF(E431&gt;1500,E431*5%,),0),"")</f>
        <v>125</v>
      </c>
      <c r="I431" s="2" t="s">
        <v>2925</v>
      </c>
      <c r="J431" s="3">
        <f>IF(I431="Cash",L431,"")</f>
        <v>2116</v>
      </c>
      <c r="K431" s="3" t="str">
        <f>IF(I431="UPI",L431,"")</f>
        <v/>
      </c>
      <c r="L431" s="3">
        <f>IF(E431&lt;&gt;"",E431-G431-H431,"")</f>
        <v>2116</v>
      </c>
    </row>
    <row r="432" spans="2:12">
      <c r="B432" s="2" t="s">
        <v>2196</v>
      </c>
      <c r="C432" s="9">
        <v>45964</v>
      </c>
      <c r="D432" s="4">
        <v>3</v>
      </c>
      <c r="E432" s="3">
        <v>2330</v>
      </c>
      <c r="F432" s="7">
        <f t="shared" si="6"/>
        <v>45964</v>
      </c>
      <c r="G432" s="3">
        <f>IF(E432&lt;&gt;"", E432*10%, "")</f>
        <v>233</v>
      </c>
      <c r="H432" s="3">
        <f>IF(E432&lt;&gt;"",ROUND(IF(E432&gt;1500,E432*5%,),0),"")</f>
        <v>117</v>
      </c>
      <c r="I432" s="2" t="s">
        <v>2925</v>
      </c>
      <c r="J432" s="3">
        <f>IF(I432="Cash",L432,"")</f>
        <v>1980</v>
      </c>
      <c r="K432" s="3" t="str">
        <f>IF(I432="UPI",L432,"")</f>
        <v/>
      </c>
      <c r="L432" s="3">
        <f>IF(E432&lt;&gt;"",E432-G432-H432,"")</f>
        <v>1980</v>
      </c>
    </row>
    <row r="433" spans="2:12">
      <c r="B433" s="2" t="s">
        <v>2197</v>
      </c>
      <c r="C433" s="9">
        <v>45964</v>
      </c>
      <c r="D433" s="4">
        <v>1</v>
      </c>
      <c r="E433" s="3">
        <v>940</v>
      </c>
      <c r="F433" s="7">
        <f t="shared" si="6"/>
        <v>45964</v>
      </c>
      <c r="G433" s="3">
        <f>IF(E433&lt;&gt;"", E433*10%, "")</f>
        <v>94</v>
      </c>
      <c r="H433" s="3">
        <f>IF(E433&lt;&gt;"",ROUND(IF(E433&gt;1500,E433*5%,),0),"")</f>
        <v>0</v>
      </c>
      <c r="I433" s="2" t="s">
        <v>2926</v>
      </c>
      <c r="J433" s="3" t="str">
        <f>IF(I433="Cash",L433,"")</f>
        <v/>
      </c>
      <c r="K433" s="3">
        <f>IF(I433="UPI",L433,"")</f>
        <v>846</v>
      </c>
      <c r="L433" s="3">
        <f>IF(E433&lt;&gt;"",E433-G433-H433,"")</f>
        <v>846</v>
      </c>
    </row>
    <row r="434" spans="2:12">
      <c r="B434" s="2" t="s">
        <v>2198</v>
      </c>
      <c r="C434" s="9">
        <v>45964</v>
      </c>
      <c r="D434" s="4">
        <v>3</v>
      </c>
      <c r="E434" s="3">
        <v>1310</v>
      </c>
      <c r="F434" s="7">
        <f t="shared" si="6"/>
        <v>45964</v>
      </c>
      <c r="G434" s="3">
        <f>IF(E434&lt;&gt;"", E434*10%, "")</f>
        <v>131</v>
      </c>
      <c r="H434" s="3">
        <f>IF(E434&lt;&gt;"",ROUND(IF(E434&gt;1500,E434*5%,),0),"")</f>
        <v>0</v>
      </c>
      <c r="I434" s="2" t="s">
        <v>2926</v>
      </c>
      <c r="J434" s="3" t="str">
        <f>IF(I434="Cash",L434,"")</f>
        <v/>
      </c>
      <c r="K434" s="3">
        <f>IF(I434="UPI",L434,"")</f>
        <v>1179</v>
      </c>
      <c r="L434" s="3">
        <f>IF(E434&lt;&gt;"",E434-G434-H434,"")</f>
        <v>1179</v>
      </c>
    </row>
    <row r="435" spans="2:12">
      <c r="B435" s="2" t="s">
        <v>2199</v>
      </c>
      <c r="C435" s="9">
        <v>45964</v>
      </c>
      <c r="D435" s="4">
        <v>3</v>
      </c>
      <c r="E435" s="3">
        <v>2320</v>
      </c>
      <c r="F435" s="7">
        <f t="shared" si="6"/>
        <v>45964</v>
      </c>
      <c r="G435" s="3">
        <f>IF(E435&lt;&gt;"", E435*10%, "")</f>
        <v>232</v>
      </c>
      <c r="H435" s="3">
        <f>IF(E435&lt;&gt;"",ROUND(IF(E435&gt;1500,E435*5%,),0),"")</f>
        <v>116</v>
      </c>
      <c r="I435" s="2" t="s">
        <v>2925</v>
      </c>
      <c r="J435" s="3">
        <f>IF(I435="Cash",L435,"")</f>
        <v>1972</v>
      </c>
      <c r="K435" s="3" t="str">
        <f>IF(I435="UPI",L435,"")</f>
        <v/>
      </c>
      <c r="L435" s="3">
        <f>IF(E435&lt;&gt;"",E435-G435-H435,"")</f>
        <v>1972</v>
      </c>
    </row>
    <row r="436" spans="2:12">
      <c r="B436" s="2" t="s">
        <v>2200</v>
      </c>
      <c r="C436" s="9">
        <v>45964</v>
      </c>
      <c r="D436" s="4">
        <v>1</v>
      </c>
      <c r="E436" s="3">
        <v>1020</v>
      </c>
      <c r="F436" s="7">
        <f t="shared" si="6"/>
        <v>45964</v>
      </c>
      <c r="G436" s="3">
        <f>IF(E436&lt;&gt;"", E436*10%, "")</f>
        <v>102</v>
      </c>
      <c r="H436" s="3">
        <f>IF(E436&lt;&gt;"",ROUND(IF(E436&gt;1500,E436*5%,),0),"")</f>
        <v>0</v>
      </c>
      <c r="I436" s="2" t="s">
        <v>2926</v>
      </c>
      <c r="J436" s="3" t="str">
        <f>IF(I436="Cash",L436,"")</f>
        <v/>
      </c>
      <c r="K436" s="3">
        <f>IF(I436="UPI",L436,"")</f>
        <v>918</v>
      </c>
      <c r="L436" s="3">
        <f>IF(E436&lt;&gt;"",E436-G436-H436,"")</f>
        <v>918</v>
      </c>
    </row>
    <row r="437" spans="2:12">
      <c r="B437" s="2" t="s">
        <v>2201</v>
      </c>
      <c r="C437" s="9">
        <v>45964</v>
      </c>
      <c r="D437" s="4">
        <v>4</v>
      </c>
      <c r="E437" s="3">
        <v>3300</v>
      </c>
      <c r="F437" s="7">
        <f t="shared" si="6"/>
        <v>45964</v>
      </c>
      <c r="G437" s="3">
        <f>IF(E437&lt;&gt;"", E437*10%, "")</f>
        <v>330</v>
      </c>
      <c r="H437" s="3">
        <f>IF(E437&lt;&gt;"",ROUND(IF(E437&gt;1500,E437*5%,),0),"")</f>
        <v>165</v>
      </c>
      <c r="I437" s="2" t="s">
        <v>2928</v>
      </c>
      <c r="J437" s="3">
        <v>1000</v>
      </c>
      <c r="K437" s="3">
        <v>1805</v>
      </c>
      <c r="L437" s="3">
        <f>IF(E437&lt;&gt;"",E437-G437-H437,"")</f>
        <v>2805</v>
      </c>
    </row>
    <row r="438" spans="2:12">
      <c r="B438" s="2" t="s">
        <v>2202</v>
      </c>
      <c r="C438" s="9">
        <v>45965</v>
      </c>
      <c r="D438" s="4">
        <v>3</v>
      </c>
      <c r="E438" s="3">
        <v>1830</v>
      </c>
      <c r="F438" s="7">
        <f t="shared" si="6"/>
        <v>45965</v>
      </c>
      <c r="G438" s="3">
        <f>IF(E438&lt;&gt;"", E438*10%, "")</f>
        <v>183</v>
      </c>
      <c r="H438" s="3">
        <f>IF(E438&lt;&gt;"",ROUND(IF(E438&gt;1500,E438*5%,),0),"")</f>
        <v>92</v>
      </c>
      <c r="I438" s="2" t="s">
        <v>2925</v>
      </c>
      <c r="J438" s="3">
        <f>IF(I438="Cash",L438,"")</f>
        <v>1555</v>
      </c>
      <c r="K438" s="3" t="str">
        <f>IF(I438="UPI",L438,"")</f>
        <v/>
      </c>
      <c r="L438" s="3">
        <f>IF(E438&lt;&gt;"",E438-G438-H438,"")</f>
        <v>1555</v>
      </c>
    </row>
    <row r="439" spans="2:12">
      <c r="B439" s="2" t="s">
        <v>2203</v>
      </c>
      <c r="C439" s="9">
        <v>45965</v>
      </c>
      <c r="D439" s="4">
        <v>1</v>
      </c>
      <c r="E439" s="3">
        <v>650</v>
      </c>
      <c r="F439" s="7">
        <f t="shared" si="6"/>
        <v>45965</v>
      </c>
      <c r="G439" s="3">
        <f>IF(E439&lt;&gt;"", E439*10%, "")</f>
        <v>65</v>
      </c>
      <c r="H439" s="3">
        <f>IF(E439&lt;&gt;"",ROUND(IF(E439&gt;1500,E439*5%,),0),"")</f>
        <v>0</v>
      </c>
      <c r="I439" s="2" t="s">
        <v>2926</v>
      </c>
      <c r="J439" s="3" t="str">
        <f>IF(I439="Cash",L439,"")</f>
        <v/>
      </c>
      <c r="K439" s="3">
        <f>IF(I439="UPI",L439,"")</f>
        <v>585</v>
      </c>
      <c r="L439" s="3">
        <f>IF(E439&lt;&gt;"",E439-G439-H439,"")</f>
        <v>585</v>
      </c>
    </row>
    <row r="440" spans="2:12">
      <c r="B440" s="2" t="s">
        <v>2204</v>
      </c>
      <c r="C440" s="9">
        <v>45965</v>
      </c>
      <c r="D440" s="4">
        <v>3</v>
      </c>
      <c r="E440" s="3">
        <v>1950</v>
      </c>
      <c r="F440" s="7">
        <f t="shared" si="6"/>
        <v>45965</v>
      </c>
      <c r="G440" s="3">
        <f>IF(E440&lt;&gt;"", E440*10%, "")</f>
        <v>195</v>
      </c>
      <c r="H440" s="3">
        <f>IF(E440&lt;&gt;"",ROUND(IF(E440&gt;1500,E440*5%,),0),"")</f>
        <v>98</v>
      </c>
      <c r="I440" s="2" t="s">
        <v>2925</v>
      </c>
      <c r="J440" s="3">
        <f>IF(I440="Cash",L440,"")</f>
        <v>1657</v>
      </c>
      <c r="K440" s="3" t="str">
        <f>IF(I440="UPI",L440,"")</f>
        <v/>
      </c>
      <c r="L440" s="3">
        <f>IF(E440&lt;&gt;"",E440-G440-H440,"")</f>
        <v>1657</v>
      </c>
    </row>
    <row r="441" spans="2:12">
      <c r="B441" s="2" t="s">
        <v>2205</v>
      </c>
      <c r="C441" s="9">
        <v>45965</v>
      </c>
      <c r="D441" s="4">
        <v>3</v>
      </c>
      <c r="E441" s="3">
        <v>2420</v>
      </c>
      <c r="F441" s="7">
        <f t="shared" si="6"/>
        <v>45965</v>
      </c>
      <c r="G441" s="3">
        <f>IF(E441&lt;&gt;"", E441*10%, "")</f>
        <v>242</v>
      </c>
      <c r="H441" s="3">
        <f>IF(E441&lt;&gt;"",ROUND(IF(E441&gt;1500,E441*5%,),0),"")</f>
        <v>121</v>
      </c>
      <c r="I441" s="2" t="s">
        <v>2925</v>
      </c>
      <c r="J441" s="3">
        <f>IF(I441="Cash",L441,"")</f>
        <v>2057</v>
      </c>
      <c r="K441" s="3" t="str">
        <f>IF(I441="UPI",L441,"")</f>
        <v/>
      </c>
      <c r="L441" s="3">
        <f>IF(E441&lt;&gt;"",E441-G441-H441,"")</f>
        <v>2057</v>
      </c>
    </row>
    <row r="442" spans="2:12">
      <c r="B442" s="2" t="s">
        <v>2206</v>
      </c>
      <c r="C442" s="9">
        <v>45965</v>
      </c>
      <c r="D442" s="4">
        <v>2</v>
      </c>
      <c r="E442" s="3">
        <v>720</v>
      </c>
      <c r="F442" s="7">
        <f t="shared" si="6"/>
        <v>45965</v>
      </c>
      <c r="G442" s="3">
        <f>IF(E442&lt;&gt;"", E442*10%, "")</f>
        <v>72</v>
      </c>
      <c r="H442" s="3">
        <f>IF(E442&lt;&gt;"",ROUND(IF(E442&gt;1500,E442*5%,),0),"")</f>
        <v>0</v>
      </c>
      <c r="I442" s="2" t="s">
        <v>2926</v>
      </c>
      <c r="J442" s="3" t="str">
        <f>IF(I442="Cash",L442,"")</f>
        <v/>
      </c>
      <c r="K442" s="3">
        <f>IF(I442="UPI",L442,"")</f>
        <v>648</v>
      </c>
      <c r="L442" s="3">
        <f>IF(E442&lt;&gt;"",E442-G442-H442,"")</f>
        <v>648</v>
      </c>
    </row>
    <row r="443" spans="2:12">
      <c r="B443" s="2" t="s">
        <v>2207</v>
      </c>
      <c r="C443" s="9">
        <v>45965</v>
      </c>
      <c r="D443" s="4">
        <v>3</v>
      </c>
      <c r="E443" s="3">
        <v>1460</v>
      </c>
      <c r="F443" s="7">
        <f t="shared" si="6"/>
        <v>45965</v>
      </c>
      <c r="G443" s="3">
        <f>IF(E443&lt;&gt;"", E443*10%, "")</f>
        <v>146</v>
      </c>
      <c r="H443" s="3">
        <f>IF(E443&lt;&gt;"",ROUND(IF(E443&gt;1500,E443*5%,),0),"")</f>
        <v>0</v>
      </c>
      <c r="I443" s="2" t="s">
        <v>2926</v>
      </c>
      <c r="J443" s="3" t="str">
        <f>IF(I443="Cash",L443,"")</f>
        <v/>
      </c>
      <c r="K443" s="3">
        <f>IF(I443="UPI",L443,"")</f>
        <v>1314</v>
      </c>
      <c r="L443" s="3">
        <f>IF(E443&lt;&gt;"",E443-G443-H443,"")</f>
        <v>1314</v>
      </c>
    </row>
    <row r="444" spans="2:12">
      <c r="B444" s="2" t="s">
        <v>2208</v>
      </c>
      <c r="C444" s="9">
        <v>45965</v>
      </c>
      <c r="D444" s="4">
        <v>3</v>
      </c>
      <c r="E444" s="3">
        <v>1500</v>
      </c>
      <c r="F444" s="7">
        <f t="shared" si="6"/>
        <v>45965</v>
      </c>
      <c r="G444" s="3">
        <f>IF(E444&lt;&gt;"", E444*10%, "")</f>
        <v>150</v>
      </c>
      <c r="H444" s="3">
        <f>IF(E444&lt;&gt;"",ROUND(IF(E444&gt;1500,E444*5%,),0),"")</f>
        <v>0</v>
      </c>
      <c r="I444" s="2" t="s">
        <v>2926</v>
      </c>
      <c r="J444" s="3" t="str">
        <f>IF(I444="Cash",L444,"")</f>
        <v/>
      </c>
      <c r="K444" s="3">
        <f>IF(I444="UPI",L444,"")</f>
        <v>1350</v>
      </c>
      <c r="L444" s="3">
        <f>IF(E444&lt;&gt;"",E444-G444-H444,"")</f>
        <v>1350</v>
      </c>
    </row>
    <row r="445" spans="2:12">
      <c r="B445" s="2" t="s">
        <v>2209</v>
      </c>
      <c r="C445" s="9">
        <v>45965</v>
      </c>
      <c r="D445" s="4">
        <v>3</v>
      </c>
      <c r="E445" s="3">
        <v>1570</v>
      </c>
      <c r="F445" s="7">
        <f t="shared" si="6"/>
        <v>45965</v>
      </c>
      <c r="G445" s="3">
        <f>IF(E445&lt;&gt;"", E445*10%, "")</f>
        <v>157</v>
      </c>
      <c r="H445" s="3">
        <f>IF(E445&lt;&gt;"",ROUND(IF(E445&gt;1500,E445*5%,),0),"")</f>
        <v>79</v>
      </c>
      <c r="I445" s="2" t="s">
        <v>2926</v>
      </c>
      <c r="J445" s="3" t="str">
        <f>IF(I445="Cash",L445,"")</f>
        <v/>
      </c>
      <c r="K445" s="3">
        <f>IF(I445="UPI",L445,"")</f>
        <v>1334</v>
      </c>
      <c r="L445" s="3">
        <f>IF(E445&lt;&gt;"",E445-G445-H445,"")</f>
        <v>1334</v>
      </c>
    </row>
    <row r="446" spans="2:12">
      <c r="B446" s="2" t="s">
        <v>2210</v>
      </c>
      <c r="C446" s="9">
        <v>45965</v>
      </c>
      <c r="D446" s="4">
        <v>2</v>
      </c>
      <c r="E446" s="3">
        <v>1060</v>
      </c>
      <c r="F446" s="7">
        <f t="shared" si="6"/>
        <v>45965</v>
      </c>
      <c r="G446" s="3">
        <f>IF(E446&lt;&gt;"", E446*10%, "")</f>
        <v>106</v>
      </c>
      <c r="H446" s="3">
        <f>IF(E446&lt;&gt;"",ROUND(IF(E446&gt;1500,E446*5%,),0),"")</f>
        <v>0</v>
      </c>
      <c r="I446" s="2" t="s">
        <v>2926</v>
      </c>
      <c r="J446" s="3" t="str">
        <f>IF(I446="Cash",L446,"")</f>
        <v/>
      </c>
      <c r="K446" s="3">
        <f>IF(I446="UPI",L446,"")</f>
        <v>954</v>
      </c>
      <c r="L446" s="3">
        <f>IF(E446&lt;&gt;"",E446-G446-H446,"")</f>
        <v>954</v>
      </c>
    </row>
    <row r="447" spans="2:12">
      <c r="B447" s="2" t="s">
        <v>2211</v>
      </c>
      <c r="C447" s="9">
        <v>45965</v>
      </c>
      <c r="D447" s="4">
        <v>1</v>
      </c>
      <c r="E447" s="3">
        <v>120</v>
      </c>
      <c r="F447" s="7">
        <f t="shared" si="6"/>
        <v>45965</v>
      </c>
      <c r="G447" s="3">
        <f>IF(E447&lt;&gt;"", E447*10%, "")</f>
        <v>12</v>
      </c>
      <c r="H447" s="3">
        <f>IF(E447&lt;&gt;"",ROUND(IF(E447&gt;1500,E447*5%,),0),"")</f>
        <v>0</v>
      </c>
      <c r="I447" s="2" t="s">
        <v>2926</v>
      </c>
      <c r="J447" s="3" t="str">
        <f>IF(I447="Cash",L447,"")</f>
        <v/>
      </c>
      <c r="K447" s="3">
        <f>IF(I447="UPI",L447,"")</f>
        <v>108</v>
      </c>
      <c r="L447" s="3">
        <f>IF(E447&lt;&gt;"",E447-G447-H447,"")</f>
        <v>108</v>
      </c>
    </row>
    <row r="448" spans="2:12">
      <c r="B448" s="2" t="s">
        <v>2212</v>
      </c>
      <c r="C448" s="9">
        <v>45965</v>
      </c>
      <c r="D448" s="4">
        <v>3</v>
      </c>
      <c r="E448" s="3">
        <v>1020</v>
      </c>
      <c r="F448" s="7">
        <f t="shared" si="6"/>
        <v>45965</v>
      </c>
      <c r="G448" s="3">
        <f>IF(E448&lt;&gt;"", E448*10%, "")</f>
        <v>102</v>
      </c>
      <c r="H448" s="3">
        <f>IF(E448&lt;&gt;"",ROUND(IF(E448&gt;1500,E448*5%,),0),"")</f>
        <v>0</v>
      </c>
      <c r="I448" s="2" t="s">
        <v>2926</v>
      </c>
      <c r="J448" s="3" t="str">
        <f>IF(I448="Cash",L448,"")</f>
        <v/>
      </c>
      <c r="K448" s="3">
        <f>IF(I448="UPI",L448,"")</f>
        <v>918</v>
      </c>
      <c r="L448" s="3">
        <f>IF(E448&lt;&gt;"",E448-G448-H448,"")</f>
        <v>918</v>
      </c>
    </row>
    <row r="449" spans="2:12">
      <c r="B449" s="2" t="s">
        <v>2213</v>
      </c>
      <c r="C449" s="9">
        <v>45965</v>
      </c>
      <c r="D449" s="4">
        <v>1</v>
      </c>
      <c r="E449" s="3">
        <v>700</v>
      </c>
      <c r="F449" s="7">
        <f t="shared" si="6"/>
        <v>45965</v>
      </c>
      <c r="G449" s="3">
        <f>IF(E449&lt;&gt;"", E449*10%, "")</f>
        <v>70</v>
      </c>
      <c r="H449" s="3">
        <f>IF(E449&lt;&gt;"",ROUND(IF(E449&gt;1500,E449*5%,),0),"")</f>
        <v>0</v>
      </c>
      <c r="I449" s="2" t="s">
        <v>2926</v>
      </c>
      <c r="J449" s="3" t="str">
        <f>IF(I449="Cash",L449,"")</f>
        <v/>
      </c>
      <c r="K449" s="3">
        <f>IF(I449="UPI",L449,"")</f>
        <v>630</v>
      </c>
      <c r="L449" s="3">
        <f>IF(E449&lt;&gt;"",E449-G449-H449,"")</f>
        <v>630</v>
      </c>
    </row>
    <row r="450" spans="2:12">
      <c r="B450" s="2" t="s">
        <v>2214</v>
      </c>
      <c r="C450" s="9">
        <v>45965</v>
      </c>
      <c r="D450" s="4">
        <v>2</v>
      </c>
      <c r="E450" s="3">
        <v>640</v>
      </c>
      <c r="F450" s="7">
        <f t="shared" si="6"/>
        <v>45965</v>
      </c>
      <c r="G450" s="3">
        <f>IF(E450&lt;&gt;"", E450*10%, "")</f>
        <v>64</v>
      </c>
      <c r="H450" s="3">
        <f>IF(E450&lt;&gt;"",ROUND(IF(E450&gt;1500,E450*5%,),0),"")</f>
        <v>0</v>
      </c>
      <c r="I450" s="2" t="s">
        <v>2926</v>
      </c>
      <c r="J450" s="3" t="str">
        <f>IF(I450="Cash",L450,"")</f>
        <v/>
      </c>
      <c r="K450" s="3">
        <f>IF(I450="UPI",L450,"")</f>
        <v>576</v>
      </c>
      <c r="L450" s="3">
        <f>IF(E450&lt;&gt;"",E450-G450-H450,"")</f>
        <v>576</v>
      </c>
    </row>
    <row r="451" spans="2:12">
      <c r="B451" s="2" t="s">
        <v>2215</v>
      </c>
      <c r="C451" s="9">
        <v>45965</v>
      </c>
      <c r="D451" s="4">
        <v>1</v>
      </c>
      <c r="E451" s="3">
        <v>870</v>
      </c>
      <c r="F451" s="7">
        <f t="shared" si="6"/>
        <v>45965</v>
      </c>
      <c r="G451" s="3">
        <f>IF(E451&lt;&gt;"", E451*10%, "")</f>
        <v>87</v>
      </c>
      <c r="H451" s="3">
        <f>IF(E451&lt;&gt;"",ROUND(IF(E451&gt;1500,E451*5%,),0),"")</f>
        <v>0</v>
      </c>
      <c r="I451" s="2" t="s">
        <v>2926</v>
      </c>
      <c r="J451" s="3" t="str">
        <f>IF(I451="Cash",L451,"")</f>
        <v/>
      </c>
      <c r="K451" s="3">
        <f>IF(I451="UPI",L451,"")</f>
        <v>783</v>
      </c>
      <c r="L451" s="3">
        <f>IF(E451&lt;&gt;"",E451-G451-H451,"")</f>
        <v>783</v>
      </c>
    </row>
    <row r="452" spans="2:12">
      <c r="B452" s="2" t="s">
        <v>2216</v>
      </c>
      <c r="C452" s="9">
        <v>45965</v>
      </c>
      <c r="D452" s="4">
        <v>3</v>
      </c>
      <c r="E452" s="3">
        <v>2220</v>
      </c>
      <c r="F452" s="7">
        <f t="shared" si="6"/>
        <v>45965</v>
      </c>
      <c r="G452" s="3">
        <f>IF(E452&lt;&gt;"", E452*10%, "")</f>
        <v>222</v>
      </c>
      <c r="H452" s="3">
        <f>IF(E452&lt;&gt;"",ROUND(IF(E452&gt;1500,E452*5%,),0),"")</f>
        <v>111</v>
      </c>
      <c r="I452" s="2" t="s">
        <v>2925</v>
      </c>
      <c r="J452" s="3">
        <f>IF(I452="Cash",L452,"")</f>
        <v>1887</v>
      </c>
      <c r="K452" s="3" t="str">
        <f>IF(I452="UPI",L452,"")</f>
        <v/>
      </c>
      <c r="L452" s="3">
        <f>IF(E452&lt;&gt;"",E452-G452-H452,"")</f>
        <v>1887</v>
      </c>
    </row>
    <row r="453" spans="2:12">
      <c r="B453" s="2" t="s">
        <v>2217</v>
      </c>
      <c r="C453" s="9">
        <v>45965</v>
      </c>
      <c r="D453" s="4">
        <v>3</v>
      </c>
      <c r="E453" s="3">
        <v>820</v>
      </c>
      <c r="F453" s="7">
        <f t="shared" ref="F453:F516" si="7">C453</f>
        <v>45965</v>
      </c>
      <c r="G453" s="3">
        <f>IF(E453&lt;&gt;"", E453*10%, "")</f>
        <v>82</v>
      </c>
      <c r="H453" s="3">
        <f>IF(E453&lt;&gt;"",ROUND(IF(E453&gt;1500,E453*5%,),0),"")</f>
        <v>0</v>
      </c>
      <c r="I453" s="2" t="s">
        <v>2926</v>
      </c>
      <c r="J453" s="3" t="str">
        <f>IF(I453="Cash",L453,"")</f>
        <v/>
      </c>
      <c r="K453" s="3">
        <f>IF(I453="UPI",L453,"")</f>
        <v>738</v>
      </c>
      <c r="L453" s="3">
        <f>IF(E453&lt;&gt;"",E453-G453-H453,"")</f>
        <v>738</v>
      </c>
    </row>
    <row r="454" spans="2:12">
      <c r="B454" s="2" t="s">
        <v>2218</v>
      </c>
      <c r="C454" s="9">
        <v>45965</v>
      </c>
      <c r="D454" s="4">
        <v>3</v>
      </c>
      <c r="E454" s="3">
        <v>1480</v>
      </c>
      <c r="F454" s="7">
        <f t="shared" si="7"/>
        <v>45965</v>
      </c>
      <c r="G454" s="3">
        <f>IF(E454&lt;&gt;"", E454*10%, "")</f>
        <v>148</v>
      </c>
      <c r="H454" s="3">
        <f>IF(E454&lt;&gt;"",ROUND(IF(E454&gt;1500,E454*5%,),0),"")</f>
        <v>0</v>
      </c>
      <c r="I454" s="2" t="s">
        <v>2926</v>
      </c>
      <c r="J454" s="3" t="str">
        <f>IF(I454="Cash",L454,"")</f>
        <v/>
      </c>
      <c r="K454" s="3">
        <f>IF(I454="UPI",L454,"")</f>
        <v>1332</v>
      </c>
      <c r="L454" s="3">
        <f>IF(E454&lt;&gt;"",E454-G454-H454,"")</f>
        <v>1332</v>
      </c>
    </row>
    <row r="455" spans="2:12">
      <c r="B455" s="2" t="s">
        <v>2219</v>
      </c>
      <c r="C455" s="9">
        <v>45965</v>
      </c>
      <c r="D455" s="4">
        <v>4</v>
      </c>
      <c r="E455" s="3">
        <v>3390</v>
      </c>
      <c r="F455" s="7">
        <f t="shared" si="7"/>
        <v>45965</v>
      </c>
      <c r="G455" s="3">
        <f>IF(E455&lt;&gt;"", E455*10%, "")</f>
        <v>339</v>
      </c>
      <c r="H455" s="3">
        <f>IF(E455&lt;&gt;"",ROUND(IF(E455&gt;1500,E455*5%,),0),"")</f>
        <v>170</v>
      </c>
      <c r="I455" s="2" t="s">
        <v>2928</v>
      </c>
      <c r="J455" s="3">
        <v>1000</v>
      </c>
      <c r="K455" s="3">
        <v>1881</v>
      </c>
      <c r="L455" s="3">
        <f>IF(E455&lt;&gt;"",E455-G455-H455,"")</f>
        <v>2881</v>
      </c>
    </row>
    <row r="456" spans="2:12">
      <c r="B456" s="2" t="s">
        <v>2220</v>
      </c>
      <c r="C456" s="9">
        <v>45966</v>
      </c>
      <c r="D456" s="4">
        <v>3</v>
      </c>
      <c r="E456" s="3">
        <v>1740</v>
      </c>
      <c r="F456" s="7">
        <f t="shared" si="7"/>
        <v>45966</v>
      </c>
      <c r="G456" s="3">
        <f>IF(E456&lt;&gt;"", E456*10%, "")</f>
        <v>174</v>
      </c>
      <c r="H456" s="3">
        <f>IF(E456&lt;&gt;"",ROUND(IF(E456&gt;1500,E456*5%,),0),"")</f>
        <v>87</v>
      </c>
      <c r="I456" s="2" t="s">
        <v>2925</v>
      </c>
      <c r="J456" s="3">
        <f>IF(I456="Cash",L456,"")</f>
        <v>1479</v>
      </c>
      <c r="K456" s="3" t="str">
        <f>IF(I456="UPI",L456,"")</f>
        <v/>
      </c>
      <c r="L456" s="3">
        <f>IF(E456&lt;&gt;"",E456-G456-H456,"")</f>
        <v>1479</v>
      </c>
    </row>
    <row r="457" spans="2:12">
      <c r="B457" s="2" t="s">
        <v>2221</v>
      </c>
      <c r="C457" s="9">
        <v>45966</v>
      </c>
      <c r="D457" s="4">
        <v>2</v>
      </c>
      <c r="E457" s="3">
        <v>750</v>
      </c>
      <c r="F457" s="7">
        <f t="shared" si="7"/>
        <v>45966</v>
      </c>
      <c r="G457" s="3">
        <f>IF(E457&lt;&gt;"", E457*10%, "")</f>
        <v>75</v>
      </c>
      <c r="H457" s="3">
        <f>IF(E457&lt;&gt;"",ROUND(IF(E457&gt;1500,E457*5%,),0),"")</f>
        <v>0</v>
      </c>
      <c r="I457" s="2" t="s">
        <v>2926</v>
      </c>
      <c r="J457" s="3" t="str">
        <f>IF(I457="Cash",L457,"")</f>
        <v/>
      </c>
      <c r="K457" s="3">
        <f>IF(I457="UPI",L457,"")</f>
        <v>675</v>
      </c>
      <c r="L457" s="3">
        <f>IF(E457&lt;&gt;"",E457-G457-H457,"")</f>
        <v>675</v>
      </c>
    </row>
    <row r="458" spans="2:12">
      <c r="B458" s="2" t="s">
        <v>2222</v>
      </c>
      <c r="C458" s="9">
        <v>45966</v>
      </c>
      <c r="D458" s="4">
        <v>2</v>
      </c>
      <c r="E458" s="3">
        <v>1500</v>
      </c>
      <c r="F458" s="7">
        <f t="shared" si="7"/>
        <v>45966</v>
      </c>
      <c r="G458" s="3">
        <f>IF(E458&lt;&gt;"", E458*10%, "")</f>
        <v>150</v>
      </c>
      <c r="H458" s="3">
        <f>IF(E458&lt;&gt;"",ROUND(IF(E458&gt;1500,E458*5%,),0),"")</f>
        <v>0</v>
      </c>
      <c r="I458" s="2" t="s">
        <v>2926</v>
      </c>
      <c r="J458" s="3" t="str">
        <f>IF(I458="Cash",L458,"")</f>
        <v/>
      </c>
      <c r="K458" s="3">
        <f>IF(I458="UPI",L458,"")</f>
        <v>1350</v>
      </c>
      <c r="L458" s="3">
        <f>IF(E458&lt;&gt;"",E458-G458-H458,"")</f>
        <v>1350</v>
      </c>
    </row>
    <row r="459" spans="2:12">
      <c r="B459" s="2" t="s">
        <v>2223</v>
      </c>
      <c r="C459" s="9">
        <v>45966</v>
      </c>
      <c r="D459" s="4">
        <v>4</v>
      </c>
      <c r="E459" s="3">
        <v>2810</v>
      </c>
      <c r="F459" s="7">
        <f t="shared" si="7"/>
        <v>45966</v>
      </c>
      <c r="G459" s="3">
        <f>IF(E459&lt;&gt;"", E459*10%, "")</f>
        <v>281</v>
      </c>
      <c r="H459" s="3">
        <f>IF(E459&lt;&gt;"",ROUND(IF(E459&gt;1500,E459*5%,),0),"")</f>
        <v>141</v>
      </c>
      <c r="I459" s="2" t="s">
        <v>2928</v>
      </c>
      <c r="J459" s="3">
        <v>700</v>
      </c>
      <c r="K459" s="3">
        <v>1688</v>
      </c>
      <c r="L459" s="3">
        <f>IF(E459&lt;&gt;"",E459-G459-H459,"")</f>
        <v>2388</v>
      </c>
    </row>
    <row r="460" spans="2:12">
      <c r="B460" s="2" t="s">
        <v>2224</v>
      </c>
      <c r="C460" s="9">
        <v>45966</v>
      </c>
      <c r="D460" s="4">
        <v>1</v>
      </c>
      <c r="E460" s="3">
        <v>910</v>
      </c>
      <c r="F460" s="7">
        <f t="shared" si="7"/>
        <v>45966</v>
      </c>
      <c r="G460" s="3">
        <f>IF(E460&lt;&gt;"", E460*10%, "")</f>
        <v>91</v>
      </c>
      <c r="H460" s="3">
        <f>IF(E460&lt;&gt;"",ROUND(IF(E460&gt;1500,E460*5%,),0),"")</f>
        <v>0</v>
      </c>
      <c r="I460" s="2" t="s">
        <v>2926</v>
      </c>
      <c r="J460" s="3" t="str">
        <f>IF(I460="Cash",L460,"")</f>
        <v/>
      </c>
      <c r="K460" s="3">
        <f>IF(I460="UPI",L460,"")</f>
        <v>819</v>
      </c>
      <c r="L460" s="3">
        <f>IF(E460&lt;&gt;"",E460-G460-H460,"")</f>
        <v>819</v>
      </c>
    </row>
    <row r="461" spans="2:12">
      <c r="B461" s="2" t="s">
        <v>2225</v>
      </c>
      <c r="C461" s="9">
        <v>45966</v>
      </c>
      <c r="D461" s="4">
        <v>2</v>
      </c>
      <c r="E461" s="3">
        <v>920</v>
      </c>
      <c r="F461" s="7">
        <f t="shared" si="7"/>
        <v>45966</v>
      </c>
      <c r="G461" s="3">
        <f>IF(E461&lt;&gt;"", E461*10%, "")</f>
        <v>92</v>
      </c>
      <c r="H461" s="3">
        <f>IF(E461&lt;&gt;"",ROUND(IF(E461&gt;1500,E461*5%,),0),"")</f>
        <v>0</v>
      </c>
      <c r="I461" s="2" t="s">
        <v>2926</v>
      </c>
      <c r="J461" s="3" t="str">
        <f>IF(I461="Cash",L461,"")</f>
        <v/>
      </c>
      <c r="K461" s="3">
        <f>IF(I461="UPI",L461,"")</f>
        <v>828</v>
      </c>
      <c r="L461" s="3">
        <f>IF(E461&lt;&gt;"",E461-G461-H461,"")</f>
        <v>828</v>
      </c>
    </row>
    <row r="462" spans="2:12">
      <c r="B462" s="2" t="s">
        <v>2226</v>
      </c>
      <c r="C462" s="9">
        <v>45966</v>
      </c>
      <c r="D462" s="4">
        <v>4</v>
      </c>
      <c r="E462" s="3">
        <v>3290</v>
      </c>
      <c r="F462" s="7">
        <f t="shared" si="7"/>
        <v>45966</v>
      </c>
      <c r="G462" s="3">
        <f>IF(E462&lt;&gt;"", E462*10%, "")</f>
        <v>329</v>
      </c>
      <c r="H462" s="3">
        <f>IF(E462&lt;&gt;"",ROUND(IF(E462&gt;1500,E462*5%,),0),"")</f>
        <v>165</v>
      </c>
      <c r="I462" s="2" t="s">
        <v>2928</v>
      </c>
      <c r="J462" s="3">
        <v>1500</v>
      </c>
      <c r="K462" s="3">
        <v>1296</v>
      </c>
      <c r="L462" s="3">
        <f>IF(E462&lt;&gt;"",E462-G462-H462,"")</f>
        <v>2796</v>
      </c>
    </row>
    <row r="463" spans="2:12">
      <c r="B463" s="2" t="s">
        <v>2227</v>
      </c>
      <c r="C463" s="9">
        <v>45966</v>
      </c>
      <c r="D463" s="4">
        <v>4</v>
      </c>
      <c r="E463" s="3">
        <v>2030</v>
      </c>
      <c r="F463" s="7">
        <f t="shared" si="7"/>
        <v>45966</v>
      </c>
      <c r="G463" s="3">
        <f>IF(E463&lt;&gt;"", E463*10%, "")</f>
        <v>203</v>
      </c>
      <c r="H463" s="3">
        <f>IF(E463&lt;&gt;"",ROUND(IF(E463&gt;1500,E463*5%,),0),"")</f>
        <v>102</v>
      </c>
      <c r="I463" s="2" t="s">
        <v>2925</v>
      </c>
      <c r="J463" s="3">
        <f>IF(I463="Cash",L463,"")</f>
        <v>1725</v>
      </c>
      <c r="K463" s="3" t="str">
        <f>IF(I463="UPI",L463,"")</f>
        <v/>
      </c>
      <c r="L463" s="3">
        <f>IF(E463&lt;&gt;"",E463-G463-H463,"")</f>
        <v>1725</v>
      </c>
    </row>
    <row r="464" spans="2:12">
      <c r="B464" s="2" t="s">
        <v>2228</v>
      </c>
      <c r="C464" s="9">
        <v>45966</v>
      </c>
      <c r="D464" s="4">
        <v>1</v>
      </c>
      <c r="E464" s="3">
        <v>720</v>
      </c>
      <c r="F464" s="7">
        <f t="shared" si="7"/>
        <v>45966</v>
      </c>
      <c r="G464" s="3">
        <f>IF(E464&lt;&gt;"", E464*10%, "")</f>
        <v>72</v>
      </c>
      <c r="H464" s="3">
        <f>IF(E464&lt;&gt;"",ROUND(IF(E464&gt;1500,E464*5%,),0),"")</f>
        <v>0</v>
      </c>
      <c r="I464" s="2" t="s">
        <v>2926</v>
      </c>
      <c r="J464" s="3" t="str">
        <f>IF(I464="Cash",L464,"")</f>
        <v/>
      </c>
      <c r="K464" s="3">
        <f>IF(I464="UPI",L464,"")</f>
        <v>648</v>
      </c>
      <c r="L464" s="3">
        <f>IF(E464&lt;&gt;"",E464-G464-H464,"")</f>
        <v>648</v>
      </c>
    </row>
    <row r="465" spans="2:12">
      <c r="B465" s="2" t="s">
        <v>2229</v>
      </c>
      <c r="C465" s="9">
        <v>45966</v>
      </c>
      <c r="D465" s="4">
        <v>3</v>
      </c>
      <c r="E465" s="3">
        <v>1930</v>
      </c>
      <c r="F465" s="7">
        <f t="shared" si="7"/>
        <v>45966</v>
      </c>
      <c r="G465" s="3">
        <f>IF(E465&lt;&gt;"", E465*10%, "")</f>
        <v>193</v>
      </c>
      <c r="H465" s="3">
        <f>IF(E465&lt;&gt;"",ROUND(IF(E465&gt;1500,E465*5%,),0),"")</f>
        <v>97</v>
      </c>
      <c r="I465" s="2" t="s">
        <v>2925</v>
      </c>
      <c r="J465" s="3">
        <f>IF(I465="Cash",L465,"")</f>
        <v>1640</v>
      </c>
      <c r="K465" s="3" t="str">
        <f>IF(I465="UPI",L465,"")</f>
        <v/>
      </c>
      <c r="L465" s="3">
        <f>IF(E465&lt;&gt;"",E465-G465-H465,"")</f>
        <v>1640</v>
      </c>
    </row>
    <row r="466" spans="2:12">
      <c r="B466" s="2" t="s">
        <v>2230</v>
      </c>
      <c r="C466" s="9">
        <v>45966</v>
      </c>
      <c r="D466" s="4">
        <v>4</v>
      </c>
      <c r="E466" s="3">
        <v>3060</v>
      </c>
      <c r="F466" s="7">
        <f t="shared" si="7"/>
        <v>45966</v>
      </c>
      <c r="G466" s="3">
        <f>IF(E466&lt;&gt;"", E466*10%, "")</f>
        <v>306</v>
      </c>
      <c r="H466" s="3">
        <f>IF(E466&lt;&gt;"",ROUND(IF(E466&gt;1500,E466*5%,),0),"")</f>
        <v>153</v>
      </c>
      <c r="I466" s="2" t="s">
        <v>2928</v>
      </c>
      <c r="J466" s="3">
        <v>1500</v>
      </c>
      <c r="K466" s="3">
        <v>1101</v>
      </c>
      <c r="L466" s="3">
        <f>IF(E466&lt;&gt;"",E466-G466-H466,"")</f>
        <v>2601</v>
      </c>
    </row>
    <row r="467" spans="2:12">
      <c r="B467" s="2" t="s">
        <v>2231</v>
      </c>
      <c r="C467" s="9">
        <v>45966</v>
      </c>
      <c r="D467" s="4">
        <v>2</v>
      </c>
      <c r="E467" s="3">
        <v>1660</v>
      </c>
      <c r="F467" s="7">
        <f t="shared" si="7"/>
        <v>45966</v>
      </c>
      <c r="G467" s="3">
        <f>IF(E467&lt;&gt;"", E467*10%, "")</f>
        <v>166</v>
      </c>
      <c r="H467" s="3">
        <f>IF(E467&lt;&gt;"",ROUND(IF(E467&gt;1500,E467*5%,),0),"")</f>
        <v>83</v>
      </c>
      <c r="I467" s="2" t="s">
        <v>2926</v>
      </c>
      <c r="J467" s="3" t="str">
        <f>IF(I467="Cash",L467,"")</f>
        <v/>
      </c>
      <c r="K467" s="3">
        <f>IF(I467="UPI",L467,"")</f>
        <v>1411</v>
      </c>
      <c r="L467" s="3">
        <f>IF(E467&lt;&gt;"",E467-G467-H467,"")</f>
        <v>1411</v>
      </c>
    </row>
    <row r="468" spans="2:12">
      <c r="B468" s="2" t="s">
        <v>2232</v>
      </c>
      <c r="C468" s="9">
        <v>45967</v>
      </c>
      <c r="D468" s="4">
        <v>3</v>
      </c>
      <c r="E468" s="3">
        <v>1450</v>
      </c>
      <c r="F468" s="7">
        <f t="shared" si="7"/>
        <v>45967</v>
      </c>
      <c r="G468" s="3">
        <f>IF(E468&lt;&gt;"", E468*10%, "")</f>
        <v>145</v>
      </c>
      <c r="H468" s="3">
        <f>IF(E468&lt;&gt;"",ROUND(IF(E468&gt;1500,E468*5%,),0),"")</f>
        <v>0</v>
      </c>
      <c r="I468" s="2" t="s">
        <v>2926</v>
      </c>
      <c r="J468" s="3" t="str">
        <f>IF(I468="Cash",L468,"")</f>
        <v/>
      </c>
      <c r="K468" s="3">
        <f>IF(I468="UPI",L468,"")</f>
        <v>1305</v>
      </c>
      <c r="L468" s="3">
        <f>IF(E468&lt;&gt;"",E468-G468-H468,"")</f>
        <v>1305</v>
      </c>
    </row>
    <row r="469" spans="2:12">
      <c r="B469" s="2" t="s">
        <v>2233</v>
      </c>
      <c r="C469" s="9">
        <v>45967</v>
      </c>
      <c r="D469" s="4">
        <v>1</v>
      </c>
      <c r="E469" s="3">
        <v>170</v>
      </c>
      <c r="F469" s="7">
        <f t="shared" si="7"/>
        <v>45967</v>
      </c>
      <c r="G469" s="3">
        <f>IF(E469&lt;&gt;"", E469*10%, "")</f>
        <v>17</v>
      </c>
      <c r="H469" s="3">
        <f>IF(E469&lt;&gt;"",ROUND(IF(E469&gt;1500,E469*5%,),0),"")</f>
        <v>0</v>
      </c>
      <c r="I469" s="2" t="s">
        <v>2926</v>
      </c>
      <c r="J469" s="3" t="str">
        <f>IF(I469="Cash",L469,"")</f>
        <v/>
      </c>
      <c r="K469" s="3">
        <f>IF(I469="UPI",L469,"")</f>
        <v>153</v>
      </c>
      <c r="L469" s="3">
        <f>IF(E469&lt;&gt;"",E469-G469-H469,"")</f>
        <v>153</v>
      </c>
    </row>
    <row r="470" spans="2:12">
      <c r="B470" s="2" t="s">
        <v>2234</v>
      </c>
      <c r="C470" s="9">
        <v>45967</v>
      </c>
      <c r="D470" s="4">
        <v>1</v>
      </c>
      <c r="E470" s="3">
        <v>970</v>
      </c>
      <c r="F470" s="7">
        <f t="shared" si="7"/>
        <v>45967</v>
      </c>
      <c r="G470" s="3">
        <f>IF(E470&lt;&gt;"", E470*10%, "")</f>
        <v>97</v>
      </c>
      <c r="H470" s="3">
        <f>IF(E470&lt;&gt;"",ROUND(IF(E470&gt;1500,E470*5%,),0),"")</f>
        <v>0</v>
      </c>
      <c r="I470" s="2" t="s">
        <v>2926</v>
      </c>
      <c r="J470" s="3" t="str">
        <f>IF(I470="Cash",L470,"")</f>
        <v/>
      </c>
      <c r="K470" s="3">
        <f>IF(I470="UPI",L470,"")</f>
        <v>873</v>
      </c>
      <c r="L470" s="3">
        <f>IF(E470&lt;&gt;"",E470-G470-H470,"")</f>
        <v>873</v>
      </c>
    </row>
    <row r="471" spans="2:12">
      <c r="B471" s="2" t="s">
        <v>2235</v>
      </c>
      <c r="C471" s="9">
        <v>45967</v>
      </c>
      <c r="D471" s="4">
        <v>4</v>
      </c>
      <c r="E471" s="3">
        <v>2820</v>
      </c>
      <c r="F471" s="7">
        <f t="shared" si="7"/>
        <v>45967</v>
      </c>
      <c r="G471" s="3">
        <f>IF(E471&lt;&gt;"", E471*10%, "")</f>
        <v>282</v>
      </c>
      <c r="H471" s="3">
        <f>IF(E471&lt;&gt;"",ROUND(IF(E471&gt;1500,E471*5%,),0),"")</f>
        <v>141</v>
      </c>
      <c r="I471" s="2" t="s">
        <v>2928</v>
      </c>
      <c r="J471" s="3">
        <v>1400</v>
      </c>
      <c r="K471" s="3">
        <v>997</v>
      </c>
      <c r="L471" s="3">
        <f>IF(E471&lt;&gt;"",E471-G471-H471,"")</f>
        <v>2397</v>
      </c>
    </row>
    <row r="472" spans="2:12">
      <c r="B472" s="2" t="s">
        <v>2236</v>
      </c>
      <c r="C472" s="9">
        <v>45967</v>
      </c>
      <c r="D472" s="4">
        <v>3</v>
      </c>
      <c r="E472" s="3">
        <v>1340</v>
      </c>
      <c r="F472" s="7">
        <f t="shared" si="7"/>
        <v>45967</v>
      </c>
      <c r="G472" s="3">
        <f>IF(E472&lt;&gt;"", E472*10%, "")</f>
        <v>134</v>
      </c>
      <c r="H472" s="3">
        <f>IF(E472&lt;&gt;"",ROUND(IF(E472&gt;1500,E472*5%,),0),"")</f>
        <v>0</v>
      </c>
      <c r="I472" s="2" t="s">
        <v>2926</v>
      </c>
      <c r="J472" s="3" t="str">
        <f>IF(I472="Cash",L472,"")</f>
        <v/>
      </c>
      <c r="K472" s="3">
        <f>IF(I472="UPI",L472,"")</f>
        <v>1206</v>
      </c>
      <c r="L472" s="3">
        <f>IF(E472&lt;&gt;"",E472-G472-H472,"")</f>
        <v>1206</v>
      </c>
    </row>
    <row r="473" spans="2:12">
      <c r="B473" s="2" t="s">
        <v>2237</v>
      </c>
      <c r="C473" s="9">
        <v>45967</v>
      </c>
      <c r="D473" s="4">
        <v>3</v>
      </c>
      <c r="E473" s="3">
        <v>1240</v>
      </c>
      <c r="F473" s="7">
        <f t="shared" si="7"/>
        <v>45967</v>
      </c>
      <c r="G473" s="3">
        <f>IF(E473&lt;&gt;"", E473*10%, "")</f>
        <v>124</v>
      </c>
      <c r="H473" s="3">
        <f>IF(E473&lt;&gt;"",ROUND(IF(E473&gt;1500,E473*5%,),0),"")</f>
        <v>0</v>
      </c>
      <c r="I473" s="2" t="s">
        <v>2926</v>
      </c>
      <c r="J473" s="3" t="str">
        <f>IF(I473="Cash",L473,"")</f>
        <v/>
      </c>
      <c r="K473" s="3">
        <f>IF(I473="UPI",L473,"")</f>
        <v>1116</v>
      </c>
      <c r="L473" s="3">
        <f>IF(E473&lt;&gt;"",E473-G473-H473,"")</f>
        <v>1116</v>
      </c>
    </row>
    <row r="474" spans="2:12">
      <c r="B474" s="2" t="s">
        <v>2238</v>
      </c>
      <c r="C474" s="9">
        <v>45967</v>
      </c>
      <c r="D474" s="4">
        <v>3</v>
      </c>
      <c r="E474" s="3">
        <v>1950</v>
      </c>
      <c r="F474" s="7">
        <f t="shared" si="7"/>
        <v>45967</v>
      </c>
      <c r="G474" s="3">
        <f>IF(E474&lt;&gt;"", E474*10%, "")</f>
        <v>195</v>
      </c>
      <c r="H474" s="3">
        <f>IF(E474&lt;&gt;"",ROUND(IF(E474&gt;1500,E474*5%,),0),"")</f>
        <v>98</v>
      </c>
      <c r="I474" s="2" t="s">
        <v>2925</v>
      </c>
      <c r="J474" s="3">
        <f>IF(I474="Cash",L474,"")</f>
        <v>1657</v>
      </c>
      <c r="K474" s="3" t="str">
        <f>IF(I474="UPI",L474,"")</f>
        <v/>
      </c>
      <c r="L474" s="3">
        <f>IF(E474&lt;&gt;"",E474-G474-H474,"")</f>
        <v>1657</v>
      </c>
    </row>
    <row r="475" spans="2:12">
      <c r="B475" s="2" t="s">
        <v>2239</v>
      </c>
      <c r="C475" s="9">
        <v>45967</v>
      </c>
      <c r="D475" s="4">
        <v>4</v>
      </c>
      <c r="E475" s="3">
        <v>3240</v>
      </c>
      <c r="F475" s="7">
        <f t="shared" si="7"/>
        <v>45967</v>
      </c>
      <c r="G475" s="3">
        <f>IF(E475&lt;&gt;"", E475*10%, "")</f>
        <v>324</v>
      </c>
      <c r="H475" s="3">
        <f>IF(E475&lt;&gt;"",ROUND(IF(E475&gt;1500,E475*5%,),0),"")</f>
        <v>162</v>
      </c>
      <c r="I475" s="2" t="s">
        <v>2928</v>
      </c>
      <c r="J475" s="3">
        <v>1800</v>
      </c>
      <c r="K475" s="3">
        <v>954</v>
      </c>
      <c r="L475" s="3">
        <f>IF(E475&lt;&gt;"",E475-G475-H475,"")</f>
        <v>2754</v>
      </c>
    </row>
    <row r="476" spans="2:12">
      <c r="B476" s="2" t="s">
        <v>2240</v>
      </c>
      <c r="C476" s="9">
        <v>45967</v>
      </c>
      <c r="D476" s="4">
        <v>2</v>
      </c>
      <c r="E476" s="3">
        <v>1810</v>
      </c>
      <c r="F476" s="7">
        <f t="shared" si="7"/>
        <v>45967</v>
      </c>
      <c r="G476" s="3">
        <f>IF(E476&lt;&gt;"", E476*10%, "")</f>
        <v>181</v>
      </c>
      <c r="H476" s="3">
        <f>IF(E476&lt;&gt;"",ROUND(IF(E476&gt;1500,E476*5%,),0),"")</f>
        <v>91</v>
      </c>
      <c r="I476" s="2" t="s">
        <v>2925</v>
      </c>
      <c r="J476" s="3">
        <f>IF(I476="Cash",L476,"")</f>
        <v>1538</v>
      </c>
      <c r="K476" s="3" t="str">
        <f>IF(I476="UPI",L476,"")</f>
        <v/>
      </c>
      <c r="L476" s="3">
        <f>IF(E476&lt;&gt;"",E476-G476-H476,"")</f>
        <v>1538</v>
      </c>
    </row>
    <row r="477" spans="2:12">
      <c r="B477" s="2" t="s">
        <v>2241</v>
      </c>
      <c r="C477" s="9">
        <v>45967</v>
      </c>
      <c r="D477" s="4">
        <v>4</v>
      </c>
      <c r="E477" s="3">
        <v>2480</v>
      </c>
      <c r="F477" s="7">
        <f t="shared" si="7"/>
        <v>45967</v>
      </c>
      <c r="G477" s="3">
        <f>IF(E477&lt;&gt;"", E477*10%, "")</f>
        <v>248</v>
      </c>
      <c r="H477" s="3">
        <f>IF(E477&lt;&gt;"",ROUND(IF(E477&gt;1500,E477*5%,),0),"")</f>
        <v>124</v>
      </c>
      <c r="I477" s="2" t="s">
        <v>2925</v>
      </c>
      <c r="J477" s="3">
        <f>IF(I477="Cash",L477,"")</f>
        <v>2108</v>
      </c>
      <c r="K477" s="3" t="str">
        <f>IF(I477="UPI",L477,"")</f>
        <v/>
      </c>
      <c r="L477" s="3">
        <f>IF(E477&lt;&gt;"",E477-G477-H477,"")</f>
        <v>2108</v>
      </c>
    </row>
    <row r="478" spans="2:12">
      <c r="B478" s="2" t="s">
        <v>2242</v>
      </c>
      <c r="C478" s="9">
        <v>45967</v>
      </c>
      <c r="D478" s="4">
        <v>4</v>
      </c>
      <c r="E478" s="3">
        <v>2890</v>
      </c>
      <c r="F478" s="7">
        <f t="shared" si="7"/>
        <v>45967</v>
      </c>
      <c r="G478" s="3">
        <f>IF(E478&lt;&gt;"", E478*10%, "")</f>
        <v>289</v>
      </c>
      <c r="H478" s="3">
        <f>IF(E478&lt;&gt;"",ROUND(IF(E478&gt;1500,E478*5%,),0),"")</f>
        <v>145</v>
      </c>
      <c r="I478" s="2" t="s">
        <v>2928</v>
      </c>
      <c r="J478" s="3">
        <v>1700</v>
      </c>
      <c r="K478" s="3">
        <v>756</v>
      </c>
      <c r="L478" s="3">
        <f>IF(E478&lt;&gt;"",E478-G478-H478,"")</f>
        <v>2456</v>
      </c>
    </row>
    <row r="479" spans="2:12">
      <c r="B479" s="2" t="s">
        <v>2243</v>
      </c>
      <c r="C479" s="9">
        <v>45967</v>
      </c>
      <c r="D479" s="4">
        <v>1</v>
      </c>
      <c r="E479" s="3">
        <v>700</v>
      </c>
      <c r="F479" s="7">
        <f t="shared" si="7"/>
        <v>45967</v>
      </c>
      <c r="G479" s="3">
        <f>IF(E479&lt;&gt;"", E479*10%, "")</f>
        <v>70</v>
      </c>
      <c r="H479" s="3">
        <f>IF(E479&lt;&gt;"",ROUND(IF(E479&gt;1500,E479*5%,),0),"")</f>
        <v>0</v>
      </c>
      <c r="I479" s="2" t="s">
        <v>2926</v>
      </c>
      <c r="J479" s="3" t="str">
        <f>IF(I479="Cash",L479,"")</f>
        <v/>
      </c>
      <c r="K479" s="3">
        <f>IF(I479="UPI",L479,"")</f>
        <v>630</v>
      </c>
      <c r="L479" s="3">
        <f>IF(E479&lt;&gt;"",E479-G479-H479,"")</f>
        <v>630</v>
      </c>
    </row>
    <row r="480" spans="2:12">
      <c r="B480" s="2" t="s">
        <v>2244</v>
      </c>
      <c r="C480" s="9">
        <v>45967</v>
      </c>
      <c r="D480" s="4">
        <v>1</v>
      </c>
      <c r="E480" s="3">
        <v>850</v>
      </c>
      <c r="F480" s="7">
        <f t="shared" si="7"/>
        <v>45967</v>
      </c>
      <c r="G480" s="3">
        <f>IF(E480&lt;&gt;"", E480*10%, "")</f>
        <v>85</v>
      </c>
      <c r="H480" s="3">
        <f>IF(E480&lt;&gt;"",ROUND(IF(E480&gt;1500,E480*5%,),0),"")</f>
        <v>0</v>
      </c>
      <c r="I480" s="2" t="s">
        <v>2926</v>
      </c>
      <c r="J480" s="3" t="str">
        <f>IF(I480="Cash",L480,"")</f>
        <v/>
      </c>
      <c r="K480" s="3">
        <f>IF(I480="UPI",L480,"")</f>
        <v>765</v>
      </c>
      <c r="L480" s="3">
        <f>IF(E480&lt;&gt;"",E480-G480-H480,"")</f>
        <v>765</v>
      </c>
    </row>
    <row r="481" spans="2:12">
      <c r="B481" s="2" t="s">
        <v>2245</v>
      </c>
      <c r="C481" s="9">
        <v>45967</v>
      </c>
      <c r="D481" s="4">
        <v>1</v>
      </c>
      <c r="E481" s="3">
        <v>650</v>
      </c>
      <c r="F481" s="7">
        <f t="shared" si="7"/>
        <v>45967</v>
      </c>
      <c r="G481" s="3">
        <f>IF(E481&lt;&gt;"", E481*10%, "")</f>
        <v>65</v>
      </c>
      <c r="H481" s="3">
        <f>IF(E481&lt;&gt;"",ROUND(IF(E481&gt;1500,E481*5%,),0),"")</f>
        <v>0</v>
      </c>
      <c r="I481" s="2" t="s">
        <v>2926</v>
      </c>
      <c r="J481" s="3" t="str">
        <f>IF(I481="Cash",L481,"")</f>
        <v/>
      </c>
      <c r="K481" s="3">
        <f>IF(I481="UPI",L481,"")</f>
        <v>585</v>
      </c>
      <c r="L481" s="3">
        <f>IF(E481&lt;&gt;"",E481-G481-H481,"")</f>
        <v>585</v>
      </c>
    </row>
    <row r="482" spans="2:12">
      <c r="B482" s="2" t="s">
        <v>2246</v>
      </c>
      <c r="C482" s="9">
        <v>45967</v>
      </c>
      <c r="D482" s="4">
        <v>4</v>
      </c>
      <c r="E482" s="3">
        <v>2490</v>
      </c>
      <c r="F482" s="7">
        <f t="shared" si="7"/>
        <v>45967</v>
      </c>
      <c r="G482" s="3">
        <f>IF(E482&lt;&gt;"", E482*10%, "")</f>
        <v>249</v>
      </c>
      <c r="H482" s="3">
        <f>IF(E482&lt;&gt;"",ROUND(IF(E482&gt;1500,E482*5%,),0),"")</f>
        <v>125</v>
      </c>
      <c r="I482" s="2" t="s">
        <v>2925</v>
      </c>
      <c r="J482" s="3">
        <f>IF(I482="Cash",L482,"")</f>
        <v>2116</v>
      </c>
      <c r="K482" s="3" t="str">
        <f>IF(I482="UPI",L482,"")</f>
        <v/>
      </c>
      <c r="L482" s="3">
        <f>IF(E482&lt;&gt;"",E482-G482-H482,"")</f>
        <v>2116</v>
      </c>
    </row>
    <row r="483" spans="2:12">
      <c r="B483" s="2" t="s">
        <v>2247</v>
      </c>
      <c r="C483" s="9">
        <v>45968</v>
      </c>
      <c r="D483" s="4">
        <v>4</v>
      </c>
      <c r="E483" s="3">
        <v>2710</v>
      </c>
      <c r="F483" s="7">
        <f t="shared" si="7"/>
        <v>45968</v>
      </c>
      <c r="G483" s="3">
        <f>IF(E483&lt;&gt;"", E483*10%, "")</f>
        <v>271</v>
      </c>
      <c r="H483" s="3">
        <f>IF(E483&lt;&gt;"",ROUND(IF(E483&gt;1500,E483*5%,),0),"")</f>
        <v>136</v>
      </c>
      <c r="I483" s="2" t="s">
        <v>2925</v>
      </c>
      <c r="J483" s="3">
        <f>IF(I483="Cash",L483,"")</f>
        <v>2303</v>
      </c>
      <c r="K483" s="3" t="str">
        <f>IF(I483="UPI",L483,"")</f>
        <v/>
      </c>
      <c r="L483" s="3">
        <f>IF(E483&lt;&gt;"",E483-G483-H483,"")</f>
        <v>2303</v>
      </c>
    </row>
    <row r="484" spans="2:12">
      <c r="B484" s="2" t="s">
        <v>2248</v>
      </c>
      <c r="C484" s="9">
        <v>45968</v>
      </c>
      <c r="D484" s="4">
        <v>1</v>
      </c>
      <c r="E484" s="3">
        <v>680</v>
      </c>
      <c r="F484" s="7">
        <f t="shared" si="7"/>
        <v>45968</v>
      </c>
      <c r="G484" s="3">
        <f>IF(E484&lt;&gt;"", E484*10%, "")</f>
        <v>68</v>
      </c>
      <c r="H484" s="3">
        <f>IF(E484&lt;&gt;"",ROUND(IF(E484&gt;1500,E484*5%,),0),"")</f>
        <v>0</v>
      </c>
      <c r="I484" s="2" t="s">
        <v>2926</v>
      </c>
      <c r="J484" s="3" t="str">
        <f>IF(I484="Cash",L484,"")</f>
        <v/>
      </c>
      <c r="K484" s="3">
        <f>IF(I484="UPI",L484,"")</f>
        <v>612</v>
      </c>
      <c r="L484" s="3">
        <f>IF(E484&lt;&gt;"",E484-G484-H484,"")</f>
        <v>612</v>
      </c>
    </row>
    <row r="485" spans="2:12">
      <c r="B485" s="2" t="s">
        <v>2249</v>
      </c>
      <c r="C485" s="9">
        <v>45968</v>
      </c>
      <c r="D485" s="4">
        <v>3</v>
      </c>
      <c r="E485" s="3">
        <v>1020</v>
      </c>
      <c r="F485" s="7">
        <f t="shared" si="7"/>
        <v>45968</v>
      </c>
      <c r="G485" s="3">
        <f>IF(E485&lt;&gt;"", E485*10%, "")</f>
        <v>102</v>
      </c>
      <c r="H485" s="3">
        <f>IF(E485&lt;&gt;"",ROUND(IF(E485&gt;1500,E485*5%,),0),"")</f>
        <v>0</v>
      </c>
      <c r="I485" s="2" t="s">
        <v>2926</v>
      </c>
      <c r="J485" s="3" t="str">
        <f>IF(I485="Cash",L485,"")</f>
        <v/>
      </c>
      <c r="K485" s="3">
        <f>IF(I485="UPI",L485,"")</f>
        <v>918</v>
      </c>
      <c r="L485" s="3">
        <f>IF(E485&lt;&gt;"",E485-G485-H485,"")</f>
        <v>918</v>
      </c>
    </row>
    <row r="486" spans="2:12">
      <c r="B486" s="2" t="s">
        <v>2250</v>
      </c>
      <c r="C486" s="9">
        <v>45968</v>
      </c>
      <c r="D486" s="4">
        <v>2</v>
      </c>
      <c r="E486" s="3">
        <v>1020</v>
      </c>
      <c r="F486" s="7">
        <f t="shared" si="7"/>
        <v>45968</v>
      </c>
      <c r="G486" s="3">
        <f>IF(E486&lt;&gt;"", E486*10%, "")</f>
        <v>102</v>
      </c>
      <c r="H486" s="3">
        <f>IF(E486&lt;&gt;"",ROUND(IF(E486&gt;1500,E486*5%,),0),"")</f>
        <v>0</v>
      </c>
      <c r="I486" s="2" t="s">
        <v>2926</v>
      </c>
      <c r="J486" s="3" t="str">
        <f>IF(I486="Cash",L486,"")</f>
        <v/>
      </c>
      <c r="K486" s="3">
        <f>IF(I486="UPI",L486,"")</f>
        <v>918</v>
      </c>
      <c r="L486" s="3">
        <f>IF(E486&lt;&gt;"",E486-G486-H486,"")</f>
        <v>918</v>
      </c>
    </row>
    <row r="487" spans="2:12">
      <c r="B487" s="2" t="s">
        <v>2251</v>
      </c>
      <c r="C487" s="9">
        <v>45968</v>
      </c>
      <c r="D487" s="4">
        <v>1</v>
      </c>
      <c r="E487" s="3">
        <v>750</v>
      </c>
      <c r="F487" s="7">
        <f t="shared" si="7"/>
        <v>45968</v>
      </c>
      <c r="G487" s="3">
        <f>IF(E487&lt;&gt;"", E487*10%, "")</f>
        <v>75</v>
      </c>
      <c r="H487" s="3">
        <f>IF(E487&lt;&gt;"",ROUND(IF(E487&gt;1500,E487*5%,),0),"")</f>
        <v>0</v>
      </c>
      <c r="I487" s="2" t="s">
        <v>2926</v>
      </c>
      <c r="J487" s="3" t="str">
        <f>IF(I487="Cash",L487,"")</f>
        <v/>
      </c>
      <c r="K487" s="3">
        <f>IF(I487="UPI",L487,"")</f>
        <v>675</v>
      </c>
      <c r="L487" s="3">
        <f>IF(E487&lt;&gt;"",E487-G487-H487,"")</f>
        <v>675</v>
      </c>
    </row>
    <row r="488" spans="2:12">
      <c r="B488" s="2" t="s">
        <v>2252</v>
      </c>
      <c r="C488" s="9">
        <v>45968</v>
      </c>
      <c r="D488" s="4">
        <v>2</v>
      </c>
      <c r="E488" s="3">
        <v>1610</v>
      </c>
      <c r="F488" s="7">
        <f t="shared" si="7"/>
        <v>45968</v>
      </c>
      <c r="G488" s="3">
        <f>IF(E488&lt;&gt;"", E488*10%, "")</f>
        <v>161</v>
      </c>
      <c r="H488" s="3">
        <f>IF(E488&lt;&gt;"",ROUND(IF(E488&gt;1500,E488*5%,),0),"")</f>
        <v>81</v>
      </c>
      <c r="I488" s="2" t="s">
        <v>2926</v>
      </c>
      <c r="J488" s="3" t="str">
        <f>IF(I488="Cash",L488,"")</f>
        <v/>
      </c>
      <c r="K488" s="3">
        <f>IF(I488="UPI",L488,"")</f>
        <v>1368</v>
      </c>
      <c r="L488" s="3">
        <f>IF(E488&lt;&gt;"",E488-G488-H488,"")</f>
        <v>1368</v>
      </c>
    </row>
    <row r="489" spans="2:12">
      <c r="B489" s="2" t="s">
        <v>2253</v>
      </c>
      <c r="C489" s="9">
        <v>45968</v>
      </c>
      <c r="D489" s="4">
        <v>3</v>
      </c>
      <c r="E489" s="3">
        <v>1610</v>
      </c>
      <c r="F489" s="7">
        <f t="shared" si="7"/>
        <v>45968</v>
      </c>
      <c r="G489" s="3">
        <f>IF(E489&lt;&gt;"", E489*10%, "")</f>
        <v>161</v>
      </c>
      <c r="H489" s="3">
        <f>IF(E489&lt;&gt;"",ROUND(IF(E489&gt;1500,E489*5%,),0),"")</f>
        <v>81</v>
      </c>
      <c r="I489" s="2" t="s">
        <v>2926</v>
      </c>
      <c r="J489" s="3" t="str">
        <f>IF(I489="Cash",L489,"")</f>
        <v/>
      </c>
      <c r="K489" s="3">
        <f>IF(I489="UPI",L489,"")</f>
        <v>1368</v>
      </c>
      <c r="L489" s="3">
        <f>IF(E489&lt;&gt;"",E489-G489-H489,"")</f>
        <v>1368</v>
      </c>
    </row>
    <row r="490" spans="2:12">
      <c r="B490" s="2" t="s">
        <v>2254</v>
      </c>
      <c r="C490" s="9">
        <v>45968</v>
      </c>
      <c r="D490" s="4">
        <v>1</v>
      </c>
      <c r="E490" s="3">
        <v>920</v>
      </c>
      <c r="F490" s="7">
        <f t="shared" si="7"/>
        <v>45968</v>
      </c>
      <c r="G490" s="3">
        <f>IF(E490&lt;&gt;"", E490*10%, "")</f>
        <v>92</v>
      </c>
      <c r="H490" s="3">
        <f>IF(E490&lt;&gt;"",ROUND(IF(E490&gt;1500,E490*5%,),0),"")</f>
        <v>0</v>
      </c>
      <c r="I490" s="2" t="s">
        <v>2926</v>
      </c>
      <c r="J490" s="3" t="str">
        <f>IF(I490="Cash",L490,"")</f>
        <v/>
      </c>
      <c r="K490" s="3">
        <f>IF(I490="UPI",L490,"")</f>
        <v>828</v>
      </c>
      <c r="L490" s="3">
        <f>IF(E490&lt;&gt;"",E490-G490-H490,"")</f>
        <v>828</v>
      </c>
    </row>
    <row r="491" spans="2:12">
      <c r="B491" s="2" t="s">
        <v>2255</v>
      </c>
      <c r="C491" s="9">
        <v>45968</v>
      </c>
      <c r="D491" s="4">
        <v>1</v>
      </c>
      <c r="E491" s="3">
        <v>970</v>
      </c>
      <c r="F491" s="7">
        <f t="shared" si="7"/>
        <v>45968</v>
      </c>
      <c r="G491" s="3">
        <f>IF(E491&lt;&gt;"", E491*10%, "")</f>
        <v>97</v>
      </c>
      <c r="H491" s="3">
        <f>IF(E491&lt;&gt;"",ROUND(IF(E491&gt;1500,E491*5%,),0),"")</f>
        <v>0</v>
      </c>
      <c r="I491" s="2" t="s">
        <v>2926</v>
      </c>
      <c r="J491" s="3" t="str">
        <f>IF(I491="Cash",L491,"")</f>
        <v/>
      </c>
      <c r="K491" s="3">
        <f>IF(I491="UPI",L491,"")</f>
        <v>873</v>
      </c>
      <c r="L491" s="3">
        <f>IF(E491&lt;&gt;"",E491-G491-H491,"")</f>
        <v>873</v>
      </c>
    </row>
    <row r="492" spans="2:12">
      <c r="B492" s="2" t="s">
        <v>2256</v>
      </c>
      <c r="C492" s="9">
        <v>45968</v>
      </c>
      <c r="D492" s="4">
        <v>2</v>
      </c>
      <c r="E492" s="3">
        <v>1000</v>
      </c>
      <c r="F492" s="7">
        <f t="shared" si="7"/>
        <v>45968</v>
      </c>
      <c r="G492" s="3">
        <f>IF(E492&lt;&gt;"", E492*10%, "")</f>
        <v>100</v>
      </c>
      <c r="H492" s="3">
        <f>IF(E492&lt;&gt;"",ROUND(IF(E492&gt;1500,E492*5%,),0),"")</f>
        <v>0</v>
      </c>
      <c r="I492" s="2" t="s">
        <v>2926</v>
      </c>
      <c r="J492" s="3" t="str">
        <f>IF(I492="Cash",L492,"")</f>
        <v/>
      </c>
      <c r="K492" s="3">
        <f>IF(I492="UPI",L492,"")</f>
        <v>900</v>
      </c>
      <c r="L492" s="3">
        <f>IF(E492&lt;&gt;"",E492-G492-H492,"")</f>
        <v>900</v>
      </c>
    </row>
    <row r="493" spans="2:12">
      <c r="B493" s="2" t="s">
        <v>2257</v>
      </c>
      <c r="C493" s="9">
        <v>45968</v>
      </c>
      <c r="D493" s="4">
        <v>3</v>
      </c>
      <c r="E493" s="3">
        <v>1260</v>
      </c>
      <c r="F493" s="7">
        <f t="shared" si="7"/>
        <v>45968</v>
      </c>
      <c r="G493" s="3">
        <f>IF(E493&lt;&gt;"", E493*10%, "")</f>
        <v>126</v>
      </c>
      <c r="H493" s="3">
        <f>IF(E493&lt;&gt;"",ROUND(IF(E493&gt;1500,E493*5%,),0),"")</f>
        <v>0</v>
      </c>
      <c r="I493" s="2" t="s">
        <v>2926</v>
      </c>
      <c r="J493" s="3" t="str">
        <f>IF(I493="Cash",L493,"")</f>
        <v/>
      </c>
      <c r="K493" s="3">
        <f>IF(I493="UPI",L493,"")</f>
        <v>1134</v>
      </c>
      <c r="L493" s="3">
        <f>IF(E493&lt;&gt;"",E493-G493-H493,"")</f>
        <v>1134</v>
      </c>
    </row>
    <row r="494" spans="2:12">
      <c r="B494" s="2" t="s">
        <v>2258</v>
      </c>
      <c r="C494" s="9">
        <v>45968</v>
      </c>
      <c r="D494" s="4">
        <v>3</v>
      </c>
      <c r="E494" s="3">
        <v>1720</v>
      </c>
      <c r="F494" s="7">
        <f t="shared" si="7"/>
        <v>45968</v>
      </c>
      <c r="G494" s="3">
        <f>IF(E494&lt;&gt;"", E494*10%, "")</f>
        <v>172</v>
      </c>
      <c r="H494" s="3">
        <f>IF(E494&lt;&gt;"",ROUND(IF(E494&gt;1500,E494*5%,),0),"")</f>
        <v>86</v>
      </c>
      <c r="I494" s="2" t="s">
        <v>2925</v>
      </c>
      <c r="J494" s="3">
        <f>IF(I494="Cash",L494,"")</f>
        <v>1462</v>
      </c>
      <c r="K494" s="3" t="str">
        <f>IF(I494="UPI",L494,"")</f>
        <v/>
      </c>
      <c r="L494" s="3">
        <f>IF(E494&lt;&gt;"",E494-G494-H494,"")</f>
        <v>1462</v>
      </c>
    </row>
    <row r="495" spans="2:12">
      <c r="B495" s="2" t="s">
        <v>2259</v>
      </c>
      <c r="C495" s="9">
        <v>45968</v>
      </c>
      <c r="D495" s="4">
        <v>2</v>
      </c>
      <c r="E495" s="3">
        <v>1550</v>
      </c>
      <c r="F495" s="7">
        <f t="shared" si="7"/>
        <v>45968</v>
      </c>
      <c r="G495" s="3">
        <f>IF(E495&lt;&gt;"", E495*10%, "")</f>
        <v>155</v>
      </c>
      <c r="H495" s="3">
        <f>IF(E495&lt;&gt;"",ROUND(IF(E495&gt;1500,E495*5%,),0),"")</f>
        <v>78</v>
      </c>
      <c r="I495" s="2" t="s">
        <v>2926</v>
      </c>
      <c r="J495" s="3" t="str">
        <f>IF(I495="Cash",L495,"")</f>
        <v/>
      </c>
      <c r="K495" s="3">
        <f>IF(I495="UPI",L495,"")</f>
        <v>1317</v>
      </c>
      <c r="L495" s="3">
        <f>IF(E495&lt;&gt;"",E495-G495-H495,"")</f>
        <v>1317</v>
      </c>
    </row>
    <row r="496" spans="2:12">
      <c r="B496" s="2" t="s">
        <v>2260</v>
      </c>
      <c r="C496" s="9">
        <v>45968</v>
      </c>
      <c r="D496" s="4">
        <v>1</v>
      </c>
      <c r="E496" s="3">
        <v>1020</v>
      </c>
      <c r="F496" s="7">
        <f t="shared" si="7"/>
        <v>45968</v>
      </c>
      <c r="G496" s="3">
        <f>IF(E496&lt;&gt;"", E496*10%, "")</f>
        <v>102</v>
      </c>
      <c r="H496" s="3">
        <f>IF(E496&lt;&gt;"",ROUND(IF(E496&gt;1500,E496*5%,),0),"")</f>
        <v>0</v>
      </c>
      <c r="I496" s="2" t="s">
        <v>2926</v>
      </c>
      <c r="J496" s="3" t="str">
        <f>IF(I496="Cash",L496,"")</f>
        <v/>
      </c>
      <c r="K496" s="3">
        <f>IF(I496="UPI",L496,"")</f>
        <v>918</v>
      </c>
      <c r="L496" s="3">
        <f>IF(E496&lt;&gt;"",E496-G496-H496,"")</f>
        <v>918</v>
      </c>
    </row>
    <row r="497" spans="2:12">
      <c r="B497" s="2" t="s">
        <v>2261</v>
      </c>
      <c r="C497" s="9">
        <v>45968</v>
      </c>
      <c r="D497" s="4">
        <v>3</v>
      </c>
      <c r="E497" s="3">
        <v>2620</v>
      </c>
      <c r="F497" s="7">
        <f t="shared" si="7"/>
        <v>45968</v>
      </c>
      <c r="G497" s="3">
        <f>IF(E497&lt;&gt;"", E497*10%, "")</f>
        <v>262</v>
      </c>
      <c r="H497" s="3">
        <f>IF(E497&lt;&gt;"",ROUND(IF(E497&gt;1500,E497*5%,),0),"")</f>
        <v>131</v>
      </c>
      <c r="I497" s="2" t="s">
        <v>2925</v>
      </c>
      <c r="J497" s="3">
        <f>IF(I497="Cash",L497,"")</f>
        <v>2227</v>
      </c>
      <c r="K497" s="3" t="str">
        <f>IF(I497="UPI",L497,"")</f>
        <v/>
      </c>
      <c r="L497" s="3">
        <f>IF(E497&lt;&gt;"",E497-G497-H497,"")</f>
        <v>2227</v>
      </c>
    </row>
    <row r="498" spans="2:12">
      <c r="B498" s="2" t="s">
        <v>2262</v>
      </c>
      <c r="C498" s="9">
        <v>45968</v>
      </c>
      <c r="D498" s="4">
        <v>4</v>
      </c>
      <c r="E498" s="3">
        <v>2330</v>
      </c>
      <c r="F498" s="7">
        <f t="shared" si="7"/>
        <v>45968</v>
      </c>
      <c r="G498" s="3">
        <f>IF(E498&lt;&gt;"", E498*10%, "")</f>
        <v>233</v>
      </c>
      <c r="H498" s="3">
        <f>IF(E498&lt;&gt;"",ROUND(IF(E498&gt;1500,E498*5%,),0),"")</f>
        <v>117</v>
      </c>
      <c r="I498" s="2" t="s">
        <v>2925</v>
      </c>
      <c r="J498" s="3">
        <f>IF(I498="Cash",L498,"")</f>
        <v>1980</v>
      </c>
      <c r="K498" s="3" t="str">
        <f>IF(I498="UPI",L498,"")</f>
        <v/>
      </c>
      <c r="L498" s="3">
        <f>IF(E498&lt;&gt;"",E498-G498-H498,"")</f>
        <v>1980</v>
      </c>
    </row>
    <row r="499" spans="2:12">
      <c r="B499" s="2" t="s">
        <v>2263</v>
      </c>
      <c r="C499" s="9">
        <v>45968</v>
      </c>
      <c r="D499" s="4">
        <v>3</v>
      </c>
      <c r="E499" s="3">
        <v>1850</v>
      </c>
      <c r="F499" s="7">
        <f t="shared" si="7"/>
        <v>45968</v>
      </c>
      <c r="G499" s="3">
        <f>IF(E499&lt;&gt;"", E499*10%, "")</f>
        <v>185</v>
      </c>
      <c r="H499" s="3">
        <f>IF(E499&lt;&gt;"",ROUND(IF(E499&gt;1500,E499*5%,),0),"")</f>
        <v>93</v>
      </c>
      <c r="I499" s="2" t="s">
        <v>2925</v>
      </c>
      <c r="J499" s="3">
        <f>IF(I499="Cash",L499,"")</f>
        <v>1572</v>
      </c>
      <c r="K499" s="3" t="str">
        <f>IF(I499="UPI",L499,"")</f>
        <v/>
      </c>
      <c r="L499" s="3">
        <f>IF(E499&lt;&gt;"",E499-G499-H499,"")</f>
        <v>1572</v>
      </c>
    </row>
    <row r="500" spans="2:12">
      <c r="B500" s="2" t="s">
        <v>2264</v>
      </c>
      <c r="C500" s="9">
        <v>45969</v>
      </c>
      <c r="D500" s="4">
        <v>2</v>
      </c>
      <c r="E500" s="3">
        <v>770</v>
      </c>
      <c r="F500" s="7">
        <f t="shared" si="7"/>
        <v>45969</v>
      </c>
      <c r="G500" s="3">
        <f>IF(E500&lt;&gt;"", E500*10%, "")</f>
        <v>77</v>
      </c>
      <c r="H500" s="3">
        <f>IF(E500&lt;&gt;"",ROUND(IF(E500&gt;1500,E500*5%,),0),"")</f>
        <v>0</v>
      </c>
      <c r="I500" s="2" t="s">
        <v>2926</v>
      </c>
      <c r="J500" s="3" t="str">
        <f>IF(I500="Cash",L500,"")</f>
        <v/>
      </c>
      <c r="K500" s="3">
        <f>IF(I500="UPI",L500,"")</f>
        <v>693</v>
      </c>
      <c r="L500" s="3">
        <f>IF(E500&lt;&gt;"",E500-G500-H500,"")</f>
        <v>693</v>
      </c>
    </row>
    <row r="501" spans="2:12">
      <c r="B501" s="2" t="s">
        <v>2265</v>
      </c>
      <c r="C501" s="9">
        <v>45969</v>
      </c>
      <c r="D501" s="4">
        <v>2</v>
      </c>
      <c r="E501" s="3">
        <v>600</v>
      </c>
      <c r="F501" s="7">
        <f t="shared" si="7"/>
        <v>45969</v>
      </c>
      <c r="G501" s="3">
        <f>IF(E501&lt;&gt;"", E501*10%, "")</f>
        <v>60</v>
      </c>
      <c r="H501" s="3">
        <f>IF(E501&lt;&gt;"",ROUND(IF(E501&gt;1500,E501*5%,),0),"")</f>
        <v>0</v>
      </c>
      <c r="I501" s="2" t="s">
        <v>2926</v>
      </c>
      <c r="J501" s="3" t="str">
        <f>IF(I501="Cash",L501,"")</f>
        <v/>
      </c>
      <c r="K501" s="3">
        <f>IF(I501="UPI",L501,"")</f>
        <v>540</v>
      </c>
      <c r="L501" s="3">
        <f>IF(E501&lt;&gt;"",E501-G501-H501,"")</f>
        <v>540</v>
      </c>
    </row>
    <row r="502" spans="2:12">
      <c r="B502" s="2" t="s">
        <v>2266</v>
      </c>
      <c r="C502" s="9">
        <v>45969</v>
      </c>
      <c r="D502" s="4">
        <v>2</v>
      </c>
      <c r="E502" s="3">
        <v>1200</v>
      </c>
      <c r="F502" s="7">
        <f t="shared" si="7"/>
        <v>45969</v>
      </c>
      <c r="G502" s="3">
        <f>IF(E502&lt;&gt;"", E502*10%, "")</f>
        <v>120</v>
      </c>
      <c r="H502" s="3">
        <f>IF(E502&lt;&gt;"",ROUND(IF(E502&gt;1500,E502*5%,),0),"")</f>
        <v>0</v>
      </c>
      <c r="I502" s="2" t="s">
        <v>2926</v>
      </c>
      <c r="J502" s="3" t="str">
        <f>IF(I502="Cash",L502,"")</f>
        <v/>
      </c>
      <c r="K502" s="3">
        <f>IF(I502="UPI",L502,"")</f>
        <v>1080</v>
      </c>
      <c r="L502" s="3">
        <f>IF(E502&lt;&gt;"",E502-G502-H502,"")</f>
        <v>1080</v>
      </c>
    </row>
    <row r="503" spans="2:12">
      <c r="B503" s="2" t="s">
        <v>2267</v>
      </c>
      <c r="C503" s="9">
        <v>45969</v>
      </c>
      <c r="D503" s="4">
        <v>4</v>
      </c>
      <c r="E503" s="3">
        <v>1620</v>
      </c>
      <c r="F503" s="7">
        <f t="shared" si="7"/>
        <v>45969</v>
      </c>
      <c r="G503" s="3">
        <f>IF(E503&lt;&gt;"", E503*10%, "")</f>
        <v>162</v>
      </c>
      <c r="H503" s="3">
        <f>IF(E503&lt;&gt;"",ROUND(IF(E503&gt;1500,E503*5%,),0),"")</f>
        <v>81</v>
      </c>
      <c r="I503" s="2" t="s">
        <v>2926</v>
      </c>
      <c r="J503" s="3" t="str">
        <f>IF(I503="Cash",L503,"")</f>
        <v/>
      </c>
      <c r="K503" s="3">
        <f>IF(I503="UPI",L503,"")</f>
        <v>1377</v>
      </c>
      <c r="L503" s="3">
        <f>IF(E503&lt;&gt;"",E503-G503-H503,"")</f>
        <v>1377</v>
      </c>
    </row>
    <row r="504" spans="2:12">
      <c r="B504" s="2" t="s">
        <v>2268</v>
      </c>
      <c r="C504" s="9">
        <v>45969</v>
      </c>
      <c r="D504" s="4">
        <v>4</v>
      </c>
      <c r="E504" s="3">
        <v>1440</v>
      </c>
      <c r="F504" s="7">
        <f t="shared" si="7"/>
        <v>45969</v>
      </c>
      <c r="G504" s="3">
        <f>IF(E504&lt;&gt;"", E504*10%, "")</f>
        <v>144</v>
      </c>
      <c r="H504" s="3">
        <f>IF(E504&lt;&gt;"",ROUND(IF(E504&gt;1500,E504*5%,),0),"")</f>
        <v>0</v>
      </c>
      <c r="I504" s="2" t="s">
        <v>2926</v>
      </c>
      <c r="J504" s="3" t="str">
        <f>IF(I504="Cash",L504,"")</f>
        <v/>
      </c>
      <c r="K504" s="3">
        <f>IF(I504="UPI",L504,"")</f>
        <v>1296</v>
      </c>
      <c r="L504" s="3">
        <f>IF(E504&lt;&gt;"",E504-G504-H504,"")</f>
        <v>1296</v>
      </c>
    </row>
    <row r="505" spans="2:12">
      <c r="B505" s="2" t="s">
        <v>2269</v>
      </c>
      <c r="C505" s="9">
        <v>45969</v>
      </c>
      <c r="D505" s="4">
        <v>1</v>
      </c>
      <c r="E505" s="3">
        <v>950</v>
      </c>
      <c r="F505" s="7">
        <f t="shared" si="7"/>
        <v>45969</v>
      </c>
      <c r="G505" s="3">
        <f>IF(E505&lt;&gt;"", E505*10%, "")</f>
        <v>95</v>
      </c>
      <c r="H505" s="3">
        <f>IF(E505&lt;&gt;"",ROUND(IF(E505&gt;1500,E505*5%,),0),"")</f>
        <v>0</v>
      </c>
      <c r="I505" s="2" t="s">
        <v>2926</v>
      </c>
      <c r="J505" s="3" t="str">
        <f>IF(I505="Cash",L505,"")</f>
        <v/>
      </c>
      <c r="K505" s="3">
        <f>IF(I505="UPI",L505,"")</f>
        <v>855</v>
      </c>
      <c r="L505" s="3">
        <f>IF(E505&lt;&gt;"",E505-G505-H505,"")</f>
        <v>855</v>
      </c>
    </row>
    <row r="506" spans="2:12">
      <c r="B506" s="2" t="s">
        <v>2270</v>
      </c>
      <c r="C506" s="9">
        <v>45969</v>
      </c>
      <c r="D506" s="4">
        <v>3</v>
      </c>
      <c r="E506" s="3">
        <v>1740</v>
      </c>
      <c r="F506" s="7">
        <f t="shared" si="7"/>
        <v>45969</v>
      </c>
      <c r="G506" s="3">
        <f>IF(E506&lt;&gt;"", E506*10%, "")</f>
        <v>174</v>
      </c>
      <c r="H506" s="3">
        <f>IF(E506&lt;&gt;"",ROUND(IF(E506&gt;1500,E506*5%,),0),"")</f>
        <v>87</v>
      </c>
      <c r="I506" s="2" t="s">
        <v>2925</v>
      </c>
      <c r="J506" s="3">
        <f>IF(I506="Cash",L506,"")</f>
        <v>1479</v>
      </c>
      <c r="K506" s="3" t="str">
        <f>IF(I506="UPI",L506,"")</f>
        <v/>
      </c>
      <c r="L506" s="3">
        <f>IF(E506&lt;&gt;"",E506-G506-H506,"")</f>
        <v>1479</v>
      </c>
    </row>
    <row r="507" spans="2:12">
      <c r="B507" s="2" t="s">
        <v>2271</v>
      </c>
      <c r="C507" s="9">
        <v>45969</v>
      </c>
      <c r="D507" s="4">
        <v>1</v>
      </c>
      <c r="E507" s="3">
        <v>1040</v>
      </c>
      <c r="F507" s="7">
        <f t="shared" si="7"/>
        <v>45969</v>
      </c>
      <c r="G507" s="3">
        <f>IF(E507&lt;&gt;"", E507*10%, "")</f>
        <v>104</v>
      </c>
      <c r="H507" s="3">
        <f>IF(E507&lt;&gt;"",ROUND(IF(E507&gt;1500,E507*5%,),0),"")</f>
        <v>0</v>
      </c>
      <c r="I507" s="2" t="s">
        <v>2926</v>
      </c>
      <c r="J507" s="3" t="str">
        <f>IF(I507="Cash",L507,"")</f>
        <v/>
      </c>
      <c r="K507" s="3">
        <f>IF(I507="UPI",L507,"")</f>
        <v>936</v>
      </c>
      <c r="L507" s="3">
        <f>IF(E507&lt;&gt;"",E507-G507-H507,"")</f>
        <v>936</v>
      </c>
    </row>
    <row r="508" spans="2:12">
      <c r="B508" s="2" t="s">
        <v>2272</v>
      </c>
      <c r="C508" s="9">
        <v>45969</v>
      </c>
      <c r="D508" s="4">
        <v>4</v>
      </c>
      <c r="E508" s="3">
        <v>3030</v>
      </c>
      <c r="F508" s="7">
        <f t="shared" si="7"/>
        <v>45969</v>
      </c>
      <c r="G508" s="3">
        <f>IF(E508&lt;&gt;"", E508*10%, "")</f>
        <v>303</v>
      </c>
      <c r="H508" s="3">
        <f>IF(E508&lt;&gt;"",ROUND(IF(E508&gt;1500,E508*5%,),0),"")</f>
        <v>152</v>
      </c>
      <c r="I508" s="2" t="s">
        <v>2928</v>
      </c>
      <c r="J508" s="3">
        <v>500</v>
      </c>
      <c r="K508" s="3">
        <v>2075</v>
      </c>
      <c r="L508" s="3">
        <f>IF(E508&lt;&gt;"",E508-G508-H508,"")</f>
        <v>2575</v>
      </c>
    </row>
    <row r="509" spans="2:12">
      <c r="B509" s="2" t="s">
        <v>2273</v>
      </c>
      <c r="C509" s="9">
        <v>45969</v>
      </c>
      <c r="D509" s="4">
        <v>2</v>
      </c>
      <c r="E509" s="3">
        <v>1100</v>
      </c>
      <c r="F509" s="7">
        <f t="shared" si="7"/>
        <v>45969</v>
      </c>
      <c r="G509" s="3">
        <f>IF(E509&lt;&gt;"", E509*10%, "")</f>
        <v>110</v>
      </c>
      <c r="H509" s="3">
        <f>IF(E509&lt;&gt;"",ROUND(IF(E509&gt;1500,E509*5%,),0),"")</f>
        <v>0</v>
      </c>
      <c r="I509" s="2" t="s">
        <v>2926</v>
      </c>
      <c r="J509" s="3" t="str">
        <f>IF(I509="Cash",L509,"")</f>
        <v/>
      </c>
      <c r="K509" s="3">
        <f>IF(I509="UPI",L509,"")</f>
        <v>990</v>
      </c>
      <c r="L509" s="3">
        <f>IF(E509&lt;&gt;"",E509-G509-H509,"")</f>
        <v>990</v>
      </c>
    </row>
    <row r="510" spans="2:12">
      <c r="B510" s="2" t="s">
        <v>2274</v>
      </c>
      <c r="C510" s="9">
        <v>45971</v>
      </c>
      <c r="D510" s="4">
        <v>4</v>
      </c>
      <c r="E510" s="3">
        <v>2880</v>
      </c>
      <c r="F510" s="7">
        <f t="shared" si="7"/>
        <v>45971</v>
      </c>
      <c r="G510" s="3">
        <f>IF(E510&lt;&gt;"", E510*10%, "")</f>
        <v>288</v>
      </c>
      <c r="H510" s="3">
        <f>IF(E510&lt;&gt;"",ROUND(IF(E510&gt;1500,E510*5%,),0),"")</f>
        <v>144</v>
      </c>
      <c r="I510" s="2" t="s">
        <v>2928</v>
      </c>
      <c r="J510" s="3">
        <v>1000</v>
      </c>
      <c r="K510" s="3">
        <v>1448</v>
      </c>
      <c r="L510" s="3">
        <f>IF(E510&lt;&gt;"",E510-G510-H510,"")</f>
        <v>2448</v>
      </c>
    </row>
    <row r="511" spans="2:12">
      <c r="B511" s="2" t="s">
        <v>2275</v>
      </c>
      <c r="C511" s="9">
        <v>45971</v>
      </c>
      <c r="D511" s="4">
        <v>1</v>
      </c>
      <c r="E511" s="3">
        <v>160</v>
      </c>
      <c r="F511" s="7">
        <f t="shared" si="7"/>
        <v>45971</v>
      </c>
      <c r="G511" s="3">
        <f>IF(E511&lt;&gt;"", E511*10%, "")</f>
        <v>16</v>
      </c>
      <c r="H511" s="3">
        <f>IF(E511&lt;&gt;"",ROUND(IF(E511&gt;1500,E511*5%,),0),"")</f>
        <v>0</v>
      </c>
      <c r="I511" s="2" t="s">
        <v>2926</v>
      </c>
      <c r="J511" s="3" t="str">
        <f>IF(I511="Cash",L511,"")</f>
        <v/>
      </c>
      <c r="K511" s="3">
        <f>IF(I511="UPI",L511,"")</f>
        <v>144</v>
      </c>
      <c r="L511" s="3">
        <f>IF(E511&lt;&gt;"",E511-G511-H511,"")</f>
        <v>144</v>
      </c>
    </row>
    <row r="512" spans="2:12">
      <c r="B512" s="2" t="s">
        <v>2276</v>
      </c>
      <c r="C512" s="9">
        <v>45971</v>
      </c>
      <c r="D512" s="4">
        <v>3</v>
      </c>
      <c r="E512" s="3">
        <v>2010</v>
      </c>
      <c r="F512" s="7">
        <f t="shared" si="7"/>
        <v>45971</v>
      </c>
      <c r="G512" s="3">
        <f>IF(E512&lt;&gt;"", E512*10%, "")</f>
        <v>201</v>
      </c>
      <c r="H512" s="3">
        <f>IF(E512&lt;&gt;"",ROUND(IF(E512&gt;1500,E512*5%,),0),"")</f>
        <v>101</v>
      </c>
      <c r="I512" s="2" t="s">
        <v>2925</v>
      </c>
      <c r="J512" s="3">
        <f>IF(I512="Cash",L512,"")</f>
        <v>1708</v>
      </c>
      <c r="K512" s="3" t="str">
        <f>IF(I512="UPI",L512,"")</f>
        <v/>
      </c>
      <c r="L512" s="3">
        <f>IF(E512&lt;&gt;"",E512-G512-H512,"")</f>
        <v>1708</v>
      </c>
    </row>
    <row r="513" spans="2:12">
      <c r="B513" s="2" t="s">
        <v>2277</v>
      </c>
      <c r="C513" s="9">
        <v>45971</v>
      </c>
      <c r="D513" s="4">
        <v>3</v>
      </c>
      <c r="E513" s="3">
        <v>1100</v>
      </c>
      <c r="F513" s="7">
        <f t="shared" si="7"/>
        <v>45971</v>
      </c>
      <c r="G513" s="3">
        <f>IF(E513&lt;&gt;"", E513*10%, "")</f>
        <v>110</v>
      </c>
      <c r="H513" s="3">
        <f>IF(E513&lt;&gt;"",ROUND(IF(E513&gt;1500,E513*5%,),0),"")</f>
        <v>0</v>
      </c>
      <c r="I513" s="2" t="s">
        <v>2926</v>
      </c>
      <c r="J513" s="3" t="str">
        <f>IF(I513="Cash",L513,"")</f>
        <v/>
      </c>
      <c r="K513" s="3">
        <f>IF(I513="UPI",L513,"")</f>
        <v>990</v>
      </c>
      <c r="L513" s="3">
        <f>IF(E513&lt;&gt;"",E513-G513-H513,"")</f>
        <v>990</v>
      </c>
    </row>
    <row r="514" spans="2:12">
      <c r="B514" s="2" t="s">
        <v>2278</v>
      </c>
      <c r="C514" s="9">
        <v>45971</v>
      </c>
      <c r="D514" s="4">
        <v>3</v>
      </c>
      <c r="E514" s="3">
        <v>1820</v>
      </c>
      <c r="F514" s="7">
        <f t="shared" si="7"/>
        <v>45971</v>
      </c>
      <c r="G514" s="3">
        <f>IF(E514&lt;&gt;"", E514*10%, "")</f>
        <v>182</v>
      </c>
      <c r="H514" s="3">
        <f>IF(E514&lt;&gt;"",ROUND(IF(E514&gt;1500,E514*5%,),0),"")</f>
        <v>91</v>
      </c>
      <c r="I514" s="2" t="s">
        <v>2925</v>
      </c>
      <c r="J514" s="3">
        <f>IF(I514="Cash",L514,"")</f>
        <v>1547</v>
      </c>
      <c r="K514" s="3" t="str">
        <f>IF(I514="UPI",L514,"")</f>
        <v/>
      </c>
      <c r="L514" s="3">
        <f>IF(E514&lt;&gt;"",E514-G514-H514,"")</f>
        <v>1547</v>
      </c>
    </row>
    <row r="515" spans="2:12">
      <c r="B515" s="2" t="s">
        <v>2279</v>
      </c>
      <c r="C515" s="9">
        <v>45971</v>
      </c>
      <c r="D515" s="4">
        <v>4</v>
      </c>
      <c r="E515" s="3">
        <v>2230</v>
      </c>
      <c r="F515" s="7">
        <f t="shared" si="7"/>
        <v>45971</v>
      </c>
      <c r="G515" s="3">
        <f>IF(E515&lt;&gt;"", E515*10%, "")</f>
        <v>223</v>
      </c>
      <c r="H515" s="3">
        <f>IF(E515&lt;&gt;"",ROUND(IF(E515&gt;1500,E515*5%,),0),"")</f>
        <v>112</v>
      </c>
      <c r="I515" s="2" t="s">
        <v>2925</v>
      </c>
      <c r="J515" s="3">
        <f>IF(I515="Cash",L515,"")</f>
        <v>1895</v>
      </c>
      <c r="K515" s="3" t="str">
        <f>IF(I515="UPI",L515,"")</f>
        <v/>
      </c>
      <c r="L515" s="3">
        <f>IF(E515&lt;&gt;"",E515-G515-H515,"")</f>
        <v>1895</v>
      </c>
    </row>
    <row r="516" spans="2:12">
      <c r="B516" s="2" t="s">
        <v>2280</v>
      </c>
      <c r="C516" s="9">
        <v>45971</v>
      </c>
      <c r="D516" s="4">
        <v>4</v>
      </c>
      <c r="E516" s="3">
        <v>2840</v>
      </c>
      <c r="F516" s="7">
        <f t="shared" si="7"/>
        <v>45971</v>
      </c>
      <c r="G516" s="3">
        <f>IF(E516&lt;&gt;"", E516*10%, "")</f>
        <v>284</v>
      </c>
      <c r="H516" s="3">
        <f>IF(E516&lt;&gt;"",ROUND(IF(E516&gt;1500,E516*5%,),0),"")</f>
        <v>142</v>
      </c>
      <c r="I516" s="2" t="s">
        <v>2928</v>
      </c>
      <c r="J516" s="3">
        <v>1000</v>
      </c>
      <c r="K516" s="3">
        <v>1414</v>
      </c>
      <c r="L516" s="3">
        <f>IF(E516&lt;&gt;"",E516-G516-H516,"")</f>
        <v>2414</v>
      </c>
    </row>
    <row r="517" spans="2:12">
      <c r="B517" s="2" t="s">
        <v>2281</v>
      </c>
      <c r="C517" s="9">
        <v>45971</v>
      </c>
      <c r="D517" s="4">
        <v>1</v>
      </c>
      <c r="E517" s="3">
        <v>500</v>
      </c>
      <c r="F517" s="7">
        <f t="shared" ref="F517:F580" si="8">C517</f>
        <v>45971</v>
      </c>
      <c r="G517" s="3">
        <f>IF(E517&lt;&gt;"", E517*10%, "")</f>
        <v>50</v>
      </c>
      <c r="H517" s="3">
        <f>IF(E517&lt;&gt;"",ROUND(IF(E517&gt;1500,E517*5%,),0),"")</f>
        <v>0</v>
      </c>
      <c r="I517" s="2" t="s">
        <v>2926</v>
      </c>
      <c r="J517" s="3" t="str">
        <f>IF(I517="Cash",L517,"")</f>
        <v/>
      </c>
      <c r="K517" s="3">
        <f>IF(I517="UPI",L517,"")</f>
        <v>450</v>
      </c>
      <c r="L517" s="3">
        <f>IF(E517&lt;&gt;"",E517-G517-H517,"")</f>
        <v>450</v>
      </c>
    </row>
    <row r="518" spans="2:12">
      <c r="B518" s="2" t="s">
        <v>2282</v>
      </c>
      <c r="C518" s="9">
        <v>45971</v>
      </c>
      <c r="D518" s="4">
        <v>2</v>
      </c>
      <c r="E518" s="3">
        <v>1630</v>
      </c>
      <c r="F518" s="7">
        <f t="shared" si="8"/>
        <v>45971</v>
      </c>
      <c r="G518" s="3">
        <f>IF(E518&lt;&gt;"", E518*10%, "")</f>
        <v>163</v>
      </c>
      <c r="H518" s="3">
        <f>IF(E518&lt;&gt;"",ROUND(IF(E518&gt;1500,E518*5%,),0),"")</f>
        <v>82</v>
      </c>
      <c r="I518" s="2" t="s">
        <v>2926</v>
      </c>
      <c r="J518" s="3" t="str">
        <f>IF(I518="Cash",L518,"")</f>
        <v/>
      </c>
      <c r="K518" s="3">
        <f>IF(I518="UPI",L518,"")</f>
        <v>1385</v>
      </c>
      <c r="L518" s="3">
        <f>IF(E518&lt;&gt;"",E518-G518-H518,"")</f>
        <v>1385</v>
      </c>
    </row>
    <row r="519" spans="2:12">
      <c r="B519" s="2" t="s">
        <v>2283</v>
      </c>
      <c r="C519" s="9">
        <v>45971</v>
      </c>
      <c r="D519" s="4">
        <v>1</v>
      </c>
      <c r="E519" s="3">
        <v>630</v>
      </c>
      <c r="F519" s="7">
        <f t="shared" si="8"/>
        <v>45971</v>
      </c>
      <c r="G519" s="3">
        <f>IF(E519&lt;&gt;"", E519*10%, "")</f>
        <v>63</v>
      </c>
      <c r="H519" s="3">
        <f>IF(E519&lt;&gt;"",ROUND(IF(E519&gt;1500,E519*5%,),0),"")</f>
        <v>0</v>
      </c>
      <c r="I519" s="2" t="s">
        <v>2926</v>
      </c>
      <c r="J519" s="3" t="str">
        <f>IF(I519="Cash",L519,"")</f>
        <v/>
      </c>
      <c r="K519" s="3">
        <f>IF(I519="UPI",L519,"")</f>
        <v>567</v>
      </c>
      <c r="L519" s="3">
        <f>IF(E519&lt;&gt;"",E519-G519-H519,"")</f>
        <v>567</v>
      </c>
    </row>
    <row r="520" spans="2:12">
      <c r="B520" s="2" t="s">
        <v>2284</v>
      </c>
      <c r="C520" s="9">
        <v>45971</v>
      </c>
      <c r="D520" s="4">
        <v>1</v>
      </c>
      <c r="E520" s="3">
        <v>100</v>
      </c>
      <c r="F520" s="7">
        <f t="shared" si="8"/>
        <v>45971</v>
      </c>
      <c r="G520" s="3">
        <f>IF(E520&lt;&gt;"", E520*10%, "")</f>
        <v>10</v>
      </c>
      <c r="H520" s="3">
        <f>IF(E520&lt;&gt;"",ROUND(IF(E520&gt;1500,E520*5%,),0),"")</f>
        <v>0</v>
      </c>
      <c r="I520" s="2" t="s">
        <v>2926</v>
      </c>
      <c r="J520" s="3" t="str">
        <f>IF(I520="Cash",L520,"")</f>
        <v/>
      </c>
      <c r="K520" s="3">
        <f>IF(I520="UPI",L520,"")</f>
        <v>90</v>
      </c>
      <c r="L520" s="3">
        <f>IF(E520&lt;&gt;"",E520-G520-H520,"")</f>
        <v>90</v>
      </c>
    </row>
    <row r="521" spans="2:12">
      <c r="B521" s="2" t="s">
        <v>2285</v>
      </c>
      <c r="C521" s="9">
        <v>45971</v>
      </c>
      <c r="D521" s="4">
        <v>2</v>
      </c>
      <c r="E521" s="3">
        <v>1590</v>
      </c>
      <c r="F521" s="7">
        <f t="shared" si="8"/>
        <v>45971</v>
      </c>
      <c r="G521" s="3">
        <f>IF(E521&lt;&gt;"", E521*10%, "")</f>
        <v>159</v>
      </c>
      <c r="H521" s="3">
        <f>IF(E521&lt;&gt;"",ROUND(IF(E521&gt;1500,E521*5%,),0),"")</f>
        <v>80</v>
      </c>
      <c r="I521" s="2" t="s">
        <v>2926</v>
      </c>
      <c r="J521" s="3" t="str">
        <f>IF(I521="Cash",L521,"")</f>
        <v/>
      </c>
      <c r="K521" s="3">
        <f>IF(I521="UPI",L521,"")</f>
        <v>1351</v>
      </c>
      <c r="L521" s="3">
        <f>IF(E521&lt;&gt;"",E521-G521-H521,"")</f>
        <v>1351</v>
      </c>
    </row>
    <row r="522" spans="2:12">
      <c r="B522" s="2" t="s">
        <v>2286</v>
      </c>
      <c r="C522" s="9">
        <v>45971</v>
      </c>
      <c r="D522" s="4">
        <v>1</v>
      </c>
      <c r="E522" s="3">
        <v>940</v>
      </c>
      <c r="F522" s="7">
        <f t="shared" si="8"/>
        <v>45971</v>
      </c>
      <c r="G522" s="3">
        <f>IF(E522&lt;&gt;"", E522*10%, "")</f>
        <v>94</v>
      </c>
      <c r="H522" s="3">
        <f>IF(E522&lt;&gt;"",ROUND(IF(E522&gt;1500,E522*5%,),0),"")</f>
        <v>0</v>
      </c>
      <c r="I522" s="2" t="s">
        <v>2926</v>
      </c>
      <c r="J522" s="3" t="str">
        <f>IF(I522="Cash",L522,"")</f>
        <v/>
      </c>
      <c r="K522" s="3">
        <f>IF(I522="UPI",L522,"")</f>
        <v>846</v>
      </c>
      <c r="L522" s="3">
        <f>IF(E522&lt;&gt;"",E522-G522-H522,"")</f>
        <v>846</v>
      </c>
    </row>
    <row r="523" spans="2:12">
      <c r="B523" s="2" t="s">
        <v>2287</v>
      </c>
      <c r="C523" s="9">
        <v>45971</v>
      </c>
      <c r="D523" s="4">
        <v>4</v>
      </c>
      <c r="E523" s="3">
        <v>2670</v>
      </c>
      <c r="F523" s="7">
        <f t="shared" si="8"/>
        <v>45971</v>
      </c>
      <c r="G523" s="3">
        <f>IF(E523&lt;&gt;"", E523*10%, "")</f>
        <v>267</v>
      </c>
      <c r="H523" s="3">
        <f>IF(E523&lt;&gt;"",ROUND(IF(E523&gt;1500,E523*5%,),0),"")</f>
        <v>134</v>
      </c>
      <c r="I523" s="2" t="s">
        <v>2925</v>
      </c>
      <c r="J523" s="3">
        <f>IF(I523="Cash",L523,"")</f>
        <v>2269</v>
      </c>
      <c r="K523" s="3" t="str">
        <f>IF(I523="UPI",L523,"")</f>
        <v/>
      </c>
      <c r="L523" s="3">
        <f>IF(E523&lt;&gt;"",E523-G523-H523,"")</f>
        <v>2269</v>
      </c>
    </row>
    <row r="524" spans="2:12">
      <c r="B524" s="2" t="s">
        <v>2288</v>
      </c>
      <c r="C524" s="9">
        <v>45972</v>
      </c>
      <c r="D524" s="4">
        <v>1</v>
      </c>
      <c r="E524" s="3">
        <v>780</v>
      </c>
      <c r="F524" s="7">
        <f t="shared" si="8"/>
        <v>45972</v>
      </c>
      <c r="G524" s="3">
        <f>IF(E524&lt;&gt;"", E524*10%, "")</f>
        <v>78</v>
      </c>
      <c r="H524" s="3">
        <f>IF(E524&lt;&gt;"",ROUND(IF(E524&gt;1500,E524*5%,),0),"")</f>
        <v>0</v>
      </c>
      <c r="I524" s="2" t="s">
        <v>2926</v>
      </c>
      <c r="J524" s="3" t="str">
        <f>IF(I524="Cash",L524,"")</f>
        <v/>
      </c>
      <c r="K524" s="3">
        <f>IF(I524="UPI",L524,"")</f>
        <v>702</v>
      </c>
      <c r="L524" s="3">
        <f>IF(E524&lt;&gt;"",E524-G524-H524,"")</f>
        <v>702</v>
      </c>
    </row>
    <row r="525" spans="2:12">
      <c r="B525" s="2" t="s">
        <v>2289</v>
      </c>
      <c r="C525" s="9">
        <v>45972</v>
      </c>
      <c r="D525" s="4">
        <v>4</v>
      </c>
      <c r="E525" s="3">
        <v>1810</v>
      </c>
      <c r="F525" s="7">
        <f t="shared" si="8"/>
        <v>45972</v>
      </c>
      <c r="G525" s="3">
        <f>IF(E525&lt;&gt;"", E525*10%, "")</f>
        <v>181</v>
      </c>
      <c r="H525" s="3">
        <f>IF(E525&lt;&gt;"",ROUND(IF(E525&gt;1500,E525*5%,),0),"")</f>
        <v>91</v>
      </c>
      <c r="I525" s="2" t="s">
        <v>2925</v>
      </c>
      <c r="J525" s="3">
        <f>IF(I525="Cash",L525,"")</f>
        <v>1538</v>
      </c>
      <c r="K525" s="3" t="str">
        <f>IF(I525="UPI",L525,"")</f>
        <v/>
      </c>
      <c r="L525" s="3">
        <f>IF(E525&lt;&gt;"",E525-G525-H525,"")</f>
        <v>1538</v>
      </c>
    </row>
    <row r="526" spans="2:12">
      <c r="B526" s="2" t="s">
        <v>2290</v>
      </c>
      <c r="C526" s="9">
        <v>45972</v>
      </c>
      <c r="D526" s="4">
        <v>2</v>
      </c>
      <c r="E526" s="3">
        <v>1740</v>
      </c>
      <c r="F526" s="7">
        <f t="shared" si="8"/>
        <v>45972</v>
      </c>
      <c r="G526" s="3">
        <f>IF(E526&lt;&gt;"", E526*10%, "")</f>
        <v>174</v>
      </c>
      <c r="H526" s="3">
        <f>IF(E526&lt;&gt;"",ROUND(IF(E526&gt;1500,E526*5%,),0),"")</f>
        <v>87</v>
      </c>
      <c r="I526" s="2" t="s">
        <v>2925</v>
      </c>
      <c r="J526" s="3">
        <f>IF(I526="Cash",L526,"")</f>
        <v>1479</v>
      </c>
      <c r="K526" s="3" t="str">
        <f>IF(I526="UPI",L526,"")</f>
        <v/>
      </c>
      <c r="L526" s="3">
        <f>IF(E526&lt;&gt;"",E526-G526-H526,"")</f>
        <v>1479</v>
      </c>
    </row>
    <row r="527" spans="2:12">
      <c r="B527" s="2" t="s">
        <v>2291</v>
      </c>
      <c r="C527" s="9">
        <v>45972</v>
      </c>
      <c r="D527" s="4">
        <v>1</v>
      </c>
      <c r="E527" s="3">
        <v>780</v>
      </c>
      <c r="F527" s="7">
        <f t="shared" si="8"/>
        <v>45972</v>
      </c>
      <c r="G527" s="3">
        <f>IF(E527&lt;&gt;"", E527*10%, "")</f>
        <v>78</v>
      </c>
      <c r="H527" s="3">
        <f>IF(E527&lt;&gt;"",ROUND(IF(E527&gt;1500,E527*5%,),0),"")</f>
        <v>0</v>
      </c>
      <c r="I527" s="2" t="s">
        <v>2926</v>
      </c>
      <c r="J527" s="3" t="str">
        <f>IF(I527="Cash",L527,"")</f>
        <v/>
      </c>
      <c r="K527" s="3">
        <f>IF(I527="UPI",L527,"")</f>
        <v>702</v>
      </c>
      <c r="L527" s="3">
        <f>IF(E527&lt;&gt;"",E527-G527-H527,"")</f>
        <v>702</v>
      </c>
    </row>
    <row r="528" spans="2:12">
      <c r="B528" s="2" t="s">
        <v>2292</v>
      </c>
      <c r="C528" s="9">
        <v>45972</v>
      </c>
      <c r="D528" s="4">
        <v>1</v>
      </c>
      <c r="E528" s="3">
        <v>130</v>
      </c>
      <c r="F528" s="7">
        <f t="shared" si="8"/>
        <v>45972</v>
      </c>
      <c r="G528" s="3">
        <f>IF(E528&lt;&gt;"", E528*10%, "")</f>
        <v>13</v>
      </c>
      <c r="H528" s="3">
        <f>IF(E528&lt;&gt;"",ROUND(IF(E528&gt;1500,E528*5%,),0),"")</f>
        <v>0</v>
      </c>
      <c r="I528" s="2" t="s">
        <v>2926</v>
      </c>
      <c r="J528" s="3" t="str">
        <f>IF(I528="Cash",L528,"")</f>
        <v/>
      </c>
      <c r="K528" s="3">
        <f>IF(I528="UPI",L528,"")</f>
        <v>117</v>
      </c>
      <c r="L528" s="3">
        <f>IF(E528&lt;&gt;"",E528-G528-H528,"")</f>
        <v>117</v>
      </c>
    </row>
    <row r="529" spans="2:12">
      <c r="B529" s="2" t="s">
        <v>2293</v>
      </c>
      <c r="C529" s="9">
        <v>45972</v>
      </c>
      <c r="D529" s="4">
        <v>1</v>
      </c>
      <c r="E529" s="3">
        <v>800</v>
      </c>
      <c r="F529" s="7">
        <f t="shared" si="8"/>
        <v>45972</v>
      </c>
      <c r="G529" s="3">
        <f>IF(E529&lt;&gt;"", E529*10%, "")</f>
        <v>80</v>
      </c>
      <c r="H529" s="3">
        <f>IF(E529&lt;&gt;"",ROUND(IF(E529&gt;1500,E529*5%,),0),"")</f>
        <v>0</v>
      </c>
      <c r="I529" s="2" t="s">
        <v>2926</v>
      </c>
      <c r="J529" s="3" t="str">
        <f>IF(I529="Cash",L529,"")</f>
        <v/>
      </c>
      <c r="K529" s="3">
        <f>IF(I529="UPI",L529,"")</f>
        <v>720</v>
      </c>
      <c r="L529" s="3">
        <f>IF(E529&lt;&gt;"",E529-G529-H529,"")</f>
        <v>720</v>
      </c>
    </row>
    <row r="530" spans="2:12">
      <c r="B530" s="2" t="s">
        <v>2294</v>
      </c>
      <c r="C530" s="9">
        <v>45972</v>
      </c>
      <c r="D530" s="4">
        <v>4</v>
      </c>
      <c r="E530" s="3">
        <v>2460</v>
      </c>
      <c r="F530" s="7">
        <f t="shared" si="8"/>
        <v>45972</v>
      </c>
      <c r="G530" s="3">
        <f>IF(E530&lt;&gt;"", E530*10%, "")</f>
        <v>246</v>
      </c>
      <c r="H530" s="3">
        <f>IF(E530&lt;&gt;"",ROUND(IF(E530&gt;1500,E530*5%,),0),"")</f>
        <v>123</v>
      </c>
      <c r="I530" s="2" t="s">
        <v>2925</v>
      </c>
      <c r="J530" s="3">
        <f>IF(I530="Cash",L530,"")</f>
        <v>2091</v>
      </c>
      <c r="K530" s="3" t="str">
        <f>IF(I530="UPI",L530,"")</f>
        <v/>
      </c>
      <c r="L530" s="3">
        <f>IF(E530&lt;&gt;"",E530-G530-H530,"")</f>
        <v>2091</v>
      </c>
    </row>
    <row r="531" spans="2:12">
      <c r="B531" s="2" t="s">
        <v>2295</v>
      </c>
      <c r="C531" s="9">
        <v>45972</v>
      </c>
      <c r="D531" s="4">
        <v>4</v>
      </c>
      <c r="E531" s="3">
        <v>1950</v>
      </c>
      <c r="F531" s="7">
        <f t="shared" si="8"/>
        <v>45972</v>
      </c>
      <c r="G531" s="3">
        <f>IF(E531&lt;&gt;"", E531*10%, "")</f>
        <v>195</v>
      </c>
      <c r="H531" s="3">
        <f>IF(E531&lt;&gt;"",ROUND(IF(E531&gt;1500,E531*5%,),0),"")</f>
        <v>98</v>
      </c>
      <c r="I531" s="2" t="s">
        <v>2925</v>
      </c>
      <c r="J531" s="3">
        <f>IF(I531="Cash",L531,"")</f>
        <v>1657</v>
      </c>
      <c r="K531" s="3" t="str">
        <f>IF(I531="UPI",L531,"")</f>
        <v/>
      </c>
      <c r="L531" s="3">
        <f>IF(E531&lt;&gt;"",E531-G531-H531,"")</f>
        <v>1657</v>
      </c>
    </row>
    <row r="532" spans="2:12">
      <c r="B532" s="2" t="s">
        <v>2296</v>
      </c>
      <c r="C532" s="9">
        <v>45972</v>
      </c>
      <c r="D532" s="4">
        <v>3</v>
      </c>
      <c r="E532" s="3">
        <v>2270</v>
      </c>
      <c r="F532" s="7">
        <f t="shared" si="8"/>
        <v>45972</v>
      </c>
      <c r="G532" s="3">
        <f>IF(E532&lt;&gt;"", E532*10%, "")</f>
        <v>227</v>
      </c>
      <c r="H532" s="3">
        <f>IF(E532&lt;&gt;"",ROUND(IF(E532&gt;1500,E532*5%,),0),"")</f>
        <v>114</v>
      </c>
      <c r="I532" s="2" t="s">
        <v>2925</v>
      </c>
      <c r="J532" s="3">
        <f>IF(I532="Cash",L532,"")</f>
        <v>1929</v>
      </c>
      <c r="K532" s="3" t="str">
        <f>IF(I532="UPI",L532,"")</f>
        <v/>
      </c>
      <c r="L532" s="3">
        <f>IF(E532&lt;&gt;"",E532-G532-H532,"")</f>
        <v>1929</v>
      </c>
    </row>
    <row r="533" spans="2:12">
      <c r="B533" s="2" t="s">
        <v>2297</v>
      </c>
      <c r="C533" s="9">
        <v>45972</v>
      </c>
      <c r="D533" s="4">
        <v>3</v>
      </c>
      <c r="E533" s="3">
        <v>1160</v>
      </c>
      <c r="F533" s="7">
        <f t="shared" si="8"/>
        <v>45972</v>
      </c>
      <c r="G533" s="3">
        <f>IF(E533&lt;&gt;"", E533*10%, "")</f>
        <v>116</v>
      </c>
      <c r="H533" s="3">
        <f>IF(E533&lt;&gt;"",ROUND(IF(E533&gt;1500,E533*5%,),0),"")</f>
        <v>0</v>
      </c>
      <c r="I533" s="2" t="s">
        <v>2926</v>
      </c>
      <c r="J533" s="3" t="str">
        <f>IF(I533="Cash",L533,"")</f>
        <v/>
      </c>
      <c r="K533" s="3">
        <f>IF(I533="UPI",L533,"")</f>
        <v>1044</v>
      </c>
      <c r="L533" s="3">
        <f>IF(E533&lt;&gt;"",E533-G533-H533,"")</f>
        <v>1044</v>
      </c>
    </row>
    <row r="534" spans="2:12">
      <c r="B534" s="2" t="s">
        <v>2298</v>
      </c>
      <c r="C534" s="9">
        <v>45972</v>
      </c>
      <c r="D534" s="4">
        <v>1</v>
      </c>
      <c r="E534" s="3">
        <v>150</v>
      </c>
      <c r="F534" s="7">
        <f t="shared" si="8"/>
        <v>45972</v>
      </c>
      <c r="G534" s="3">
        <f>IF(E534&lt;&gt;"", E534*10%, "")</f>
        <v>15</v>
      </c>
      <c r="H534" s="3">
        <f>IF(E534&lt;&gt;"",ROUND(IF(E534&gt;1500,E534*5%,),0),"")</f>
        <v>0</v>
      </c>
      <c r="I534" s="2" t="s">
        <v>2926</v>
      </c>
      <c r="J534" s="3" t="str">
        <f>IF(I534="Cash",L534,"")</f>
        <v/>
      </c>
      <c r="K534" s="3">
        <f>IF(I534="UPI",L534,"")</f>
        <v>135</v>
      </c>
      <c r="L534" s="3">
        <f>IF(E534&lt;&gt;"",E534-G534-H534,"")</f>
        <v>135</v>
      </c>
    </row>
    <row r="535" spans="2:12">
      <c r="B535" s="2" t="s">
        <v>2299</v>
      </c>
      <c r="C535" s="9">
        <v>45972</v>
      </c>
      <c r="D535" s="4">
        <v>2</v>
      </c>
      <c r="E535" s="3">
        <v>710</v>
      </c>
      <c r="F535" s="7">
        <f t="shared" si="8"/>
        <v>45972</v>
      </c>
      <c r="G535" s="3">
        <f>IF(E535&lt;&gt;"", E535*10%, "")</f>
        <v>71</v>
      </c>
      <c r="H535" s="3">
        <f>IF(E535&lt;&gt;"",ROUND(IF(E535&gt;1500,E535*5%,),0),"")</f>
        <v>0</v>
      </c>
      <c r="I535" s="2" t="s">
        <v>2926</v>
      </c>
      <c r="J535" s="3" t="str">
        <f>IF(I535="Cash",L535,"")</f>
        <v/>
      </c>
      <c r="K535" s="3">
        <f>IF(I535="UPI",L535,"")</f>
        <v>639</v>
      </c>
      <c r="L535" s="3">
        <f>IF(E535&lt;&gt;"",E535-G535-H535,"")</f>
        <v>639</v>
      </c>
    </row>
    <row r="536" spans="2:12">
      <c r="B536" s="2" t="s">
        <v>2300</v>
      </c>
      <c r="C536" s="9">
        <v>45972</v>
      </c>
      <c r="D536" s="4">
        <v>1</v>
      </c>
      <c r="E536" s="3">
        <v>1000</v>
      </c>
      <c r="F536" s="7">
        <f t="shared" si="8"/>
        <v>45972</v>
      </c>
      <c r="G536" s="3">
        <f>IF(E536&lt;&gt;"", E536*10%, "")</f>
        <v>100</v>
      </c>
      <c r="H536" s="3">
        <f>IF(E536&lt;&gt;"",ROUND(IF(E536&gt;1500,E536*5%,),0),"")</f>
        <v>0</v>
      </c>
      <c r="I536" s="2" t="s">
        <v>2926</v>
      </c>
      <c r="J536" s="3" t="str">
        <f>IF(I536="Cash",L536,"")</f>
        <v/>
      </c>
      <c r="K536" s="3">
        <f>IF(I536="UPI",L536,"")</f>
        <v>900</v>
      </c>
      <c r="L536" s="3">
        <f>IF(E536&lt;&gt;"",E536-G536-H536,"")</f>
        <v>900</v>
      </c>
    </row>
    <row r="537" spans="2:12">
      <c r="B537" s="2" t="s">
        <v>2301</v>
      </c>
      <c r="C537" s="9">
        <v>45972</v>
      </c>
      <c r="D537" s="4">
        <v>4</v>
      </c>
      <c r="E537" s="3">
        <v>2610</v>
      </c>
      <c r="F537" s="7">
        <f t="shared" si="8"/>
        <v>45972</v>
      </c>
      <c r="G537" s="3">
        <f>IF(E537&lt;&gt;"", E537*10%, "")</f>
        <v>261</v>
      </c>
      <c r="H537" s="3">
        <f>IF(E537&lt;&gt;"",ROUND(IF(E537&gt;1500,E537*5%,),0),"")</f>
        <v>131</v>
      </c>
      <c r="I537" s="2" t="s">
        <v>2925</v>
      </c>
      <c r="J537" s="3">
        <f>IF(I537="Cash",L537,"")</f>
        <v>2218</v>
      </c>
      <c r="K537" s="3" t="str">
        <f>IF(I537="UPI",L537,"")</f>
        <v/>
      </c>
      <c r="L537" s="3">
        <f>IF(E537&lt;&gt;"",E537-G537-H537,"")</f>
        <v>2218</v>
      </c>
    </row>
    <row r="538" spans="2:12">
      <c r="B538" s="2" t="s">
        <v>2302</v>
      </c>
      <c r="C538" s="9">
        <v>45972</v>
      </c>
      <c r="D538" s="4">
        <v>3</v>
      </c>
      <c r="E538" s="3">
        <v>2070</v>
      </c>
      <c r="F538" s="7">
        <f t="shared" si="8"/>
        <v>45972</v>
      </c>
      <c r="G538" s="3">
        <f>IF(E538&lt;&gt;"", E538*10%, "")</f>
        <v>207</v>
      </c>
      <c r="H538" s="3">
        <f>IF(E538&lt;&gt;"",ROUND(IF(E538&gt;1500,E538*5%,),0),"")</f>
        <v>104</v>
      </c>
      <c r="I538" s="2" t="s">
        <v>2925</v>
      </c>
      <c r="J538" s="3">
        <f>IF(I538="Cash",L538,"")</f>
        <v>1759</v>
      </c>
      <c r="K538" s="3" t="str">
        <f>IF(I538="UPI",L538,"")</f>
        <v/>
      </c>
      <c r="L538" s="3">
        <f>IF(E538&lt;&gt;"",E538-G538-H538,"")</f>
        <v>1759</v>
      </c>
    </row>
    <row r="539" spans="2:12">
      <c r="B539" s="2" t="s">
        <v>2303</v>
      </c>
      <c r="C539" s="9">
        <v>45972</v>
      </c>
      <c r="D539" s="4">
        <v>3</v>
      </c>
      <c r="E539" s="3">
        <v>2350</v>
      </c>
      <c r="F539" s="7">
        <f t="shared" si="8"/>
        <v>45972</v>
      </c>
      <c r="G539" s="3">
        <f>IF(E539&lt;&gt;"", E539*10%, "")</f>
        <v>235</v>
      </c>
      <c r="H539" s="3">
        <f>IF(E539&lt;&gt;"",ROUND(IF(E539&gt;1500,E539*5%,),0),"")</f>
        <v>118</v>
      </c>
      <c r="I539" s="2" t="s">
        <v>2925</v>
      </c>
      <c r="J539" s="3">
        <f>IF(I539="Cash",L539,"")</f>
        <v>1997</v>
      </c>
      <c r="K539" s="3" t="str">
        <f>IF(I539="UPI",L539,"")</f>
        <v/>
      </c>
      <c r="L539" s="3">
        <f>IF(E539&lt;&gt;"",E539-G539-H539,"")</f>
        <v>1997</v>
      </c>
    </row>
    <row r="540" spans="2:12">
      <c r="B540" s="2" t="s">
        <v>2304</v>
      </c>
      <c r="C540" s="9">
        <v>45972</v>
      </c>
      <c r="D540" s="4">
        <v>1</v>
      </c>
      <c r="E540" s="3">
        <v>870</v>
      </c>
      <c r="F540" s="7">
        <f t="shared" si="8"/>
        <v>45972</v>
      </c>
      <c r="G540" s="3">
        <f>IF(E540&lt;&gt;"", E540*10%, "")</f>
        <v>87</v>
      </c>
      <c r="H540" s="3">
        <f>IF(E540&lt;&gt;"",ROUND(IF(E540&gt;1500,E540*5%,),0),"")</f>
        <v>0</v>
      </c>
      <c r="I540" s="2" t="s">
        <v>2926</v>
      </c>
      <c r="J540" s="3" t="str">
        <f>IF(I540="Cash",L540,"")</f>
        <v/>
      </c>
      <c r="K540" s="3">
        <f>IF(I540="UPI",L540,"")</f>
        <v>783</v>
      </c>
      <c r="L540" s="3">
        <f>IF(E540&lt;&gt;"",E540-G540-H540,"")</f>
        <v>783</v>
      </c>
    </row>
    <row r="541" spans="2:12">
      <c r="B541" s="2" t="s">
        <v>2305</v>
      </c>
      <c r="C541" s="9">
        <v>45972</v>
      </c>
      <c r="D541" s="4">
        <v>4</v>
      </c>
      <c r="E541" s="3">
        <v>3110</v>
      </c>
      <c r="F541" s="7">
        <f t="shared" si="8"/>
        <v>45972</v>
      </c>
      <c r="G541" s="3">
        <f>IF(E541&lt;&gt;"", E541*10%, "")</f>
        <v>311</v>
      </c>
      <c r="H541" s="3">
        <f>IF(E541&lt;&gt;"",ROUND(IF(E541&gt;1500,E541*5%,),0),"")</f>
        <v>156</v>
      </c>
      <c r="I541" s="2" t="s">
        <v>2928</v>
      </c>
      <c r="J541" s="3">
        <v>1500</v>
      </c>
      <c r="K541" s="3">
        <v>1143</v>
      </c>
      <c r="L541" s="3">
        <f>IF(E541&lt;&gt;"",E541-G541-H541,"")</f>
        <v>2643</v>
      </c>
    </row>
    <row r="542" spans="2:12">
      <c r="B542" s="2" t="s">
        <v>2306</v>
      </c>
      <c r="C542" s="9">
        <v>45973</v>
      </c>
      <c r="D542" s="4">
        <v>1</v>
      </c>
      <c r="E542" s="3">
        <v>900</v>
      </c>
      <c r="F542" s="7">
        <f t="shared" si="8"/>
        <v>45973</v>
      </c>
      <c r="G542" s="3">
        <f>IF(E542&lt;&gt;"", E542*10%, "")</f>
        <v>90</v>
      </c>
      <c r="H542" s="3">
        <f>IF(E542&lt;&gt;"",ROUND(IF(E542&gt;1500,E542*5%,),0),"")</f>
        <v>0</v>
      </c>
      <c r="I542" s="2" t="s">
        <v>2926</v>
      </c>
      <c r="J542" s="3" t="str">
        <f>IF(I542="Cash",L542,"")</f>
        <v/>
      </c>
      <c r="K542" s="3">
        <f>IF(I542="UPI",L542,"")</f>
        <v>810</v>
      </c>
      <c r="L542" s="3">
        <f>IF(E542&lt;&gt;"",E542-G542-H542,"")</f>
        <v>810</v>
      </c>
    </row>
    <row r="543" spans="2:12">
      <c r="B543" s="2" t="s">
        <v>2307</v>
      </c>
      <c r="C543" s="9">
        <v>45973</v>
      </c>
      <c r="D543" s="4">
        <v>1</v>
      </c>
      <c r="E543" s="3">
        <v>910</v>
      </c>
      <c r="F543" s="7">
        <f t="shared" si="8"/>
        <v>45973</v>
      </c>
      <c r="G543" s="3">
        <f>IF(E543&lt;&gt;"", E543*10%, "")</f>
        <v>91</v>
      </c>
      <c r="H543" s="3">
        <f>IF(E543&lt;&gt;"",ROUND(IF(E543&gt;1500,E543*5%,),0),"")</f>
        <v>0</v>
      </c>
      <c r="I543" s="2" t="s">
        <v>2926</v>
      </c>
      <c r="J543" s="3" t="str">
        <f>IF(I543="Cash",L543,"")</f>
        <v/>
      </c>
      <c r="K543" s="3">
        <f>IF(I543="UPI",L543,"")</f>
        <v>819</v>
      </c>
      <c r="L543" s="3">
        <f>IF(E543&lt;&gt;"",E543-G543-H543,"")</f>
        <v>819</v>
      </c>
    </row>
    <row r="544" spans="2:12">
      <c r="B544" s="2" t="s">
        <v>2308</v>
      </c>
      <c r="C544" s="9">
        <v>45973</v>
      </c>
      <c r="D544" s="4">
        <v>3</v>
      </c>
      <c r="E544" s="3">
        <v>2730</v>
      </c>
      <c r="F544" s="7">
        <f t="shared" si="8"/>
        <v>45973</v>
      </c>
      <c r="G544" s="3">
        <f>IF(E544&lt;&gt;"", E544*10%, "")</f>
        <v>273</v>
      </c>
      <c r="H544" s="3">
        <f>IF(E544&lt;&gt;"",ROUND(IF(E544&gt;1500,E544*5%,),0),"")</f>
        <v>137</v>
      </c>
      <c r="I544" s="2" t="s">
        <v>2925</v>
      </c>
      <c r="J544" s="3">
        <f>IF(I544="Cash",L544,"")</f>
        <v>2320</v>
      </c>
      <c r="K544" s="3" t="str">
        <f>IF(I544="UPI",L544,"")</f>
        <v/>
      </c>
      <c r="L544" s="3">
        <f>IF(E544&lt;&gt;"",E544-G544-H544,"")</f>
        <v>2320</v>
      </c>
    </row>
    <row r="545" spans="2:12">
      <c r="B545" s="2" t="s">
        <v>2309</v>
      </c>
      <c r="C545" s="9">
        <v>45973</v>
      </c>
      <c r="D545" s="4">
        <v>4</v>
      </c>
      <c r="E545" s="3">
        <v>3340</v>
      </c>
      <c r="F545" s="7">
        <f t="shared" si="8"/>
        <v>45973</v>
      </c>
      <c r="G545" s="3">
        <f>IF(E545&lt;&gt;"", E545*10%, "")</f>
        <v>334</v>
      </c>
      <c r="H545" s="3">
        <f>IF(E545&lt;&gt;"",ROUND(IF(E545&gt;1500,E545*5%,),0),"")</f>
        <v>167</v>
      </c>
      <c r="I545" s="2" t="s">
        <v>2928</v>
      </c>
      <c r="J545" s="3">
        <v>2000</v>
      </c>
      <c r="K545" s="3">
        <v>839</v>
      </c>
      <c r="L545" s="3">
        <f>IF(E545&lt;&gt;"",E545-G545-H545,"")</f>
        <v>2839</v>
      </c>
    </row>
    <row r="546" spans="2:12">
      <c r="B546" s="2" t="s">
        <v>2310</v>
      </c>
      <c r="C546" s="9">
        <v>45973</v>
      </c>
      <c r="D546" s="4">
        <v>1</v>
      </c>
      <c r="E546" s="3">
        <v>700</v>
      </c>
      <c r="F546" s="7">
        <f t="shared" si="8"/>
        <v>45973</v>
      </c>
      <c r="G546" s="3">
        <f>IF(E546&lt;&gt;"", E546*10%, "")</f>
        <v>70</v>
      </c>
      <c r="H546" s="3">
        <f>IF(E546&lt;&gt;"",ROUND(IF(E546&gt;1500,E546*5%,),0),"")</f>
        <v>0</v>
      </c>
      <c r="I546" s="2" t="s">
        <v>2926</v>
      </c>
      <c r="J546" s="3" t="str">
        <f>IF(I546="Cash",L546,"")</f>
        <v/>
      </c>
      <c r="K546" s="3">
        <f>IF(I546="UPI",L546,"")</f>
        <v>630</v>
      </c>
      <c r="L546" s="3">
        <f>IF(E546&lt;&gt;"",E546-G546-H546,"")</f>
        <v>630</v>
      </c>
    </row>
    <row r="547" spans="2:12">
      <c r="B547" s="2" t="s">
        <v>2311</v>
      </c>
      <c r="C547" s="9">
        <v>45973</v>
      </c>
      <c r="D547" s="4">
        <v>2</v>
      </c>
      <c r="E547" s="3">
        <v>1820</v>
      </c>
      <c r="F547" s="7">
        <f t="shared" si="8"/>
        <v>45973</v>
      </c>
      <c r="G547" s="3">
        <f>IF(E547&lt;&gt;"", E547*10%, "")</f>
        <v>182</v>
      </c>
      <c r="H547" s="3">
        <f>IF(E547&lt;&gt;"",ROUND(IF(E547&gt;1500,E547*5%,),0),"")</f>
        <v>91</v>
      </c>
      <c r="I547" s="2" t="s">
        <v>2925</v>
      </c>
      <c r="J547" s="3">
        <f>IF(I547="Cash",L547,"")</f>
        <v>1547</v>
      </c>
      <c r="K547" s="3" t="str">
        <f>IF(I547="UPI",L547,"")</f>
        <v/>
      </c>
      <c r="L547" s="3">
        <f>IF(E547&lt;&gt;"",E547-G547-H547,"")</f>
        <v>1547</v>
      </c>
    </row>
    <row r="548" spans="2:12">
      <c r="B548" s="2" t="s">
        <v>2312</v>
      </c>
      <c r="C548" s="9">
        <v>45973</v>
      </c>
      <c r="D548" s="4">
        <v>3</v>
      </c>
      <c r="E548" s="3">
        <v>1420</v>
      </c>
      <c r="F548" s="7">
        <f t="shared" si="8"/>
        <v>45973</v>
      </c>
      <c r="G548" s="3">
        <f>IF(E548&lt;&gt;"", E548*10%, "")</f>
        <v>142</v>
      </c>
      <c r="H548" s="3">
        <f>IF(E548&lt;&gt;"",ROUND(IF(E548&gt;1500,E548*5%,),0),"")</f>
        <v>0</v>
      </c>
      <c r="I548" s="2" t="s">
        <v>2926</v>
      </c>
      <c r="J548" s="3" t="str">
        <f>IF(I548="Cash",L548,"")</f>
        <v/>
      </c>
      <c r="K548" s="3">
        <f>IF(I548="UPI",L548,"")</f>
        <v>1278</v>
      </c>
      <c r="L548" s="3">
        <f>IF(E548&lt;&gt;"",E548-G548-H548,"")</f>
        <v>1278</v>
      </c>
    </row>
    <row r="549" spans="2:12">
      <c r="B549" s="2" t="s">
        <v>2313</v>
      </c>
      <c r="C549" s="9">
        <v>45973</v>
      </c>
      <c r="D549" s="4">
        <v>3</v>
      </c>
      <c r="E549" s="3">
        <v>1820</v>
      </c>
      <c r="F549" s="7">
        <f t="shared" si="8"/>
        <v>45973</v>
      </c>
      <c r="G549" s="3">
        <f>IF(E549&lt;&gt;"", E549*10%, "")</f>
        <v>182</v>
      </c>
      <c r="H549" s="3">
        <f>IF(E549&lt;&gt;"",ROUND(IF(E549&gt;1500,E549*5%,),0),"")</f>
        <v>91</v>
      </c>
      <c r="I549" s="2" t="s">
        <v>2925</v>
      </c>
      <c r="J549" s="3">
        <f>IF(I549="Cash",L549,"")</f>
        <v>1547</v>
      </c>
      <c r="K549" s="3" t="str">
        <f>IF(I549="UPI",L549,"")</f>
        <v/>
      </c>
      <c r="L549" s="3">
        <f>IF(E549&lt;&gt;"",E549-G549-H549,"")</f>
        <v>1547</v>
      </c>
    </row>
    <row r="550" spans="2:12">
      <c r="B550" s="2" t="s">
        <v>2314</v>
      </c>
      <c r="C550" s="9">
        <v>45973</v>
      </c>
      <c r="D550" s="4">
        <v>3</v>
      </c>
      <c r="E550" s="3">
        <v>2620</v>
      </c>
      <c r="F550" s="7">
        <f t="shared" si="8"/>
        <v>45973</v>
      </c>
      <c r="G550" s="3">
        <f>IF(E550&lt;&gt;"", E550*10%, "")</f>
        <v>262</v>
      </c>
      <c r="H550" s="3">
        <f>IF(E550&lt;&gt;"",ROUND(IF(E550&gt;1500,E550*5%,),0),"")</f>
        <v>131</v>
      </c>
      <c r="I550" s="2" t="s">
        <v>2925</v>
      </c>
      <c r="J550" s="3">
        <f>IF(I550="Cash",L550,"")</f>
        <v>2227</v>
      </c>
      <c r="K550" s="3" t="str">
        <f>IF(I550="UPI",L550,"")</f>
        <v/>
      </c>
      <c r="L550" s="3">
        <f>IF(E550&lt;&gt;"",E550-G550-H550,"")</f>
        <v>2227</v>
      </c>
    </row>
    <row r="551" spans="2:12">
      <c r="B551" s="2" t="s">
        <v>2315</v>
      </c>
      <c r="C551" s="9">
        <v>45973</v>
      </c>
      <c r="D551" s="4">
        <v>3</v>
      </c>
      <c r="E551" s="3">
        <v>2020</v>
      </c>
      <c r="F551" s="7">
        <f t="shared" si="8"/>
        <v>45973</v>
      </c>
      <c r="G551" s="3">
        <f>IF(E551&lt;&gt;"", E551*10%, "")</f>
        <v>202</v>
      </c>
      <c r="H551" s="3">
        <f>IF(E551&lt;&gt;"",ROUND(IF(E551&gt;1500,E551*5%,),0),"")</f>
        <v>101</v>
      </c>
      <c r="I551" s="2" t="s">
        <v>2925</v>
      </c>
      <c r="J551" s="3">
        <f>IF(I551="Cash",L551,"")</f>
        <v>1717</v>
      </c>
      <c r="K551" s="3" t="str">
        <f>IF(I551="UPI",L551,"")</f>
        <v/>
      </c>
      <c r="L551" s="3">
        <f>IF(E551&lt;&gt;"",E551-G551-H551,"")</f>
        <v>1717</v>
      </c>
    </row>
    <row r="552" spans="2:12">
      <c r="B552" s="2" t="s">
        <v>2316</v>
      </c>
      <c r="C552" s="9">
        <v>45973</v>
      </c>
      <c r="D552" s="4">
        <v>2</v>
      </c>
      <c r="E552" s="3">
        <v>1270</v>
      </c>
      <c r="F552" s="7">
        <f t="shared" si="8"/>
        <v>45973</v>
      </c>
      <c r="G552" s="3">
        <f>IF(E552&lt;&gt;"", E552*10%, "")</f>
        <v>127</v>
      </c>
      <c r="H552" s="3">
        <f>IF(E552&lt;&gt;"",ROUND(IF(E552&gt;1500,E552*5%,),0),"")</f>
        <v>0</v>
      </c>
      <c r="I552" s="2" t="s">
        <v>2926</v>
      </c>
      <c r="J552" s="3" t="str">
        <f>IF(I552="Cash",L552,"")</f>
        <v/>
      </c>
      <c r="K552" s="3">
        <f>IF(I552="UPI",L552,"")</f>
        <v>1143</v>
      </c>
      <c r="L552" s="3">
        <f>IF(E552&lt;&gt;"",E552-G552-H552,"")</f>
        <v>1143</v>
      </c>
    </row>
    <row r="553" spans="2:12">
      <c r="B553" s="2" t="s">
        <v>2317</v>
      </c>
      <c r="C553" s="9">
        <v>45973</v>
      </c>
      <c r="D553" s="4">
        <v>4</v>
      </c>
      <c r="E553" s="3">
        <v>3430</v>
      </c>
      <c r="F553" s="7">
        <f t="shared" si="8"/>
        <v>45973</v>
      </c>
      <c r="G553" s="3">
        <f>IF(E553&lt;&gt;"", E553*10%, "")</f>
        <v>343</v>
      </c>
      <c r="H553" s="3">
        <f>IF(E553&lt;&gt;"",ROUND(IF(E553&gt;1500,E553*5%,),0),"")</f>
        <v>172</v>
      </c>
      <c r="I553" s="2" t="s">
        <v>2928</v>
      </c>
      <c r="J553" s="3">
        <v>500</v>
      </c>
      <c r="K553" s="3">
        <v>2415</v>
      </c>
      <c r="L553" s="3">
        <f>IF(E553&lt;&gt;"",E553-G553-H553,"")</f>
        <v>2915</v>
      </c>
    </row>
    <row r="554" spans="2:12">
      <c r="B554" s="2" t="s">
        <v>2318</v>
      </c>
      <c r="C554" s="9">
        <v>45974</v>
      </c>
      <c r="D554" s="4">
        <v>1</v>
      </c>
      <c r="E554" s="3">
        <v>950</v>
      </c>
      <c r="F554" s="7">
        <f t="shared" si="8"/>
        <v>45974</v>
      </c>
      <c r="G554" s="3">
        <f>IF(E554&lt;&gt;"", E554*10%, "")</f>
        <v>95</v>
      </c>
      <c r="H554" s="3">
        <f>IF(E554&lt;&gt;"",ROUND(IF(E554&gt;1500,E554*5%,),0),"")</f>
        <v>0</v>
      </c>
      <c r="I554" s="2" t="s">
        <v>2926</v>
      </c>
      <c r="J554" s="3" t="str">
        <f>IF(I554="Cash",L554,"")</f>
        <v/>
      </c>
      <c r="K554" s="3">
        <f>IF(I554="UPI",L554,"")</f>
        <v>855</v>
      </c>
      <c r="L554" s="3">
        <f>IF(E554&lt;&gt;"",E554-G554-H554,"")</f>
        <v>855</v>
      </c>
    </row>
    <row r="555" spans="2:12">
      <c r="B555" s="2" t="s">
        <v>2319</v>
      </c>
      <c r="C555" s="9">
        <v>45974</v>
      </c>
      <c r="D555" s="4">
        <v>1</v>
      </c>
      <c r="E555" s="3">
        <v>400</v>
      </c>
      <c r="F555" s="7">
        <f t="shared" si="8"/>
        <v>45974</v>
      </c>
      <c r="G555" s="3">
        <f>IF(E555&lt;&gt;"", E555*10%, "")</f>
        <v>40</v>
      </c>
      <c r="H555" s="3">
        <f>IF(E555&lt;&gt;"",ROUND(IF(E555&gt;1500,E555*5%,),0),"")</f>
        <v>0</v>
      </c>
      <c r="I555" s="2" t="s">
        <v>2926</v>
      </c>
      <c r="J555" s="3" t="str">
        <f>IF(I555="Cash",L555,"")</f>
        <v/>
      </c>
      <c r="K555" s="3">
        <f>IF(I555="UPI",L555,"")</f>
        <v>360</v>
      </c>
      <c r="L555" s="3">
        <f>IF(E555&lt;&gt;"",E555-G555-H555,"")</f>
        <v>360</v>
      </c>
    </row>
    <row r="556" spans="2:12">
      <c r="B556" s="2" t="s">
        <v>2320</v>
      </c>
      <c r="C556" s="9">
        <v>45974</v>
      </c>
      <c r="D556" s="4">
        <v>4</v>
      </c>
      <c r="E556" s="3">
        <v>3350</v>
      </c>
      <c r="F556" s="7">
        <f t="shared" si="8"/>
        <v>45974</v>
      </c>
      <c r="G556" s="3">
        <f>IF(E556&lt;&gt;"", E556*10%, "")</f>
        <v>335</v>
      </c>
      <c r="H556" s="3">
        <f>IF(E556&lt;&gt;"",ROUND(IF(E556&gt;1500,E556*5%,),0),"")</f>
        <v>168</v>
      </c>
      <c r="I556" s="2" t="s">
        <v>2928</v>
      </c>
      <c r="J556" s="3">
        <v>2000</v>
      </c>
      <c r="K556" s="3">
        <v>847</v>
      </c>
      <c r="L556" s="3">
        <f>IF(E556&lt;&gt;"",E556-G556-H556,"")</f>
        <v>2847</v>
      </c>
    </row>
    <row r="557" spans="2:12">
      <c r="B557" s="2" t="s">
        <v>2321</v>
      </c>
      <c r="C557" s="9">
        <v>45974</v>
      </c>
      <c r="D557" s="4">
        <v>3</v>
      </c>
      <c r="E557" s="3">
        <v>1990</v>
      </c>
      <c r="F557" s="7">
        <f t="shared" si="8"/>
        <v>45974</v>
      </c>
      <c r="G557" s="3">
        <f>IF(E557&lt;&gt;"", E557*10%, "")</f>
        <v>199</v>
      </c>
      <c r="H557" s="3">
        <f>IF(E557&lt;&gt;"",ROUND(IF(E557&gt;1500,E557*5%,),0),"")</f>
        <v>100</v>
      </c>
      <c r="I557" s="2" t="s">
        <v>2925</v>
      </c>
      <c r="J557" s="3">
        <f>IF(I557="Cash",L557,"")</f>
        <v>1691</v>
      </c>
      <c r="K557" s="3" t="str">
        <f>IF(I557="UPI",L557,"")</f>
        <v/>
      </c>
      <c r="L557" s="3">
        <f>IF(E557&lt;&gt;"",E557-G557-H557,"")</f>
        <v>1691</v>
      </c>
    </row>
    <row r="558" spans="2:12">
      <c r="B558" s="2" t="s">
        <v>2322</v>
      </c>
      <c r="C558" s="9">
        <v>45974</v>
      </c>
      <c r="D558" s="4">
        <v>2</v>
      </c>
      <c r="E558" s="3">
        <v>1600</v>
      </c>
      <c r="F558" s="7">
        <f t="shared" si="8"/>
        <v>45974</v>
      </c>
      <c r="G558" s="3">
        <f>IF(E558&lt;&gt;"", E558*10%, "")</f>
        <v>160</v>
      </c>
      <c r="H558" s="3">
        <f>IF(E558&lt;&gt;"",ROUND(IF(E558&gt;1500,E558*5%,),0),"")</f>
        <v>80</v>
      </c>
      <c r="I558" s="2" t="s">
        <v>2926</v>
      </c>
      <c r="J558" s="3" t="str">
        <f>IF(I558="Cash",L558,"")</f>
        <v/>
      </c>
      <c r="K558" s="3">
        <f>IF(I558="UPI",L558,"")</f>
        <v>1360</v>
      </c>
      <c r="L558" s="3">
        <f>IF(E558&lt;&gt;"",E558-G558-H558,"")</f>
        <v>1360</v>
      </c>
    </row>
    <row r="559" spans="2:12">
      <c r="B559" s="2" t="s">
        <v>2323</v>
      </c>
      <c r="C559" s="9">
        <v>45974</v>
      </c>
      <c r="D559" s="4">
        <v>3</v>
      </c>
      <c r="E559" s="3">
        <v>1050</v>
      </c>
      <c r="F559" s="7">
        <f t="shared" si="8"/>
        <v>45974</v>
      </c>
      <c r="G559" s="3">
        <f>IF(E559&lt;&gt;"", E559*10%, "")</f>
        <v>105</v>
      </c>
      <c r="H559" s="3">
        <f>IF(E559&lt;&gt;"",ROUND(IF(E559&gt;1500,E559*5%,),0),"")</f>
        <v>0</v>
      </c>
      <c r="I559" s="2" t="s">
        <v>2926</v>
      </c>
      <c r="J559" s="3" t="str">
        <f>IF(I559="Cash",L559,"")</f>
        <v/>
      </c>
      <c r="K559" s="3">
        <f>IF(I559="UPI",L559,"")</f>
        <v>945</v>
      </c>
      <c r="L559" s="3">
        <f>IF(E559&lt;&gt;"",E559-G559-H559,"")</f>
        <v>945</v>
      </c>
    </row>
    <row r="560" spans="2:12">
      <c r="B560" s="2" t="s">
        <v>2324</v>
      </c>
      <c r="C560" s="9">
        <v>45974</v>
      </c>
      <c r="D560" s="4">
        <v>2</v>
      </c>
      <c r="E560" s="3">
        <v>740</v>
      </c>
      <c r="F560" s="7">
        <f t="shared" si="8"/>
        <v>45974</v>
      </c>
      <c r="G560" s="3">
        <f>IF(E560&lt;&gt;"", E560*10%, "")</f>
        <v>74</v>
      </c>
      <c r="H560" s="3">
        <f>IF(E560&lt;&gt;"",ROUND(IF(E560&gt;1500,E560*5%,),0),"")</f>
        <v>0</v>
      </c>
      <c r="I560" s="2" t="s">
        <v>2926</v>
      </c>
      <c r="J560" s="3" t="str">
        <f>IF(I560="Cash",L560,"")</f>
        <v/>
      </c>
      <c r="K560" s="3">
        <f>IF(I560="UPI",L560,"")</f>
        <v>666</v>
      </c>
      <c r="L560" s="3">
        <f>IF(E560&lt;&gt;"",E560-G560-H560,"")</f>
        <v>666</v>
      </c>
    </row>
    <row r="561" spans="2:12">
      <c r="B561" s="2" t="s">
        <v>2325</v>
      </c>
      <c r="C561" s="9">
        <v>45974</v>
      </c>
      <c r="D561" s="4">
        <v>1</v>
      </c>
      <c r="E561" s="3">
        <v>740</v>
      </c>
      <c r="F561" s="7">
        <f t="shared" si="8"/>
        <v>45974</v>
      </c>
      <c r="G561" s="3">
        <f>IF(E561&lt;&gt;"", E561*10%, "")</f>
        <v>74</v>
      </c>
      <c r="H561" s="3">
        <f>IF(E561&lt;&gt;"",ROUND(IF(E561&gt;1500,E561*5%,),0),"")</f>
        <v>0</v>
      </c>
      <c r="I561" s="2" t="s">
        <v>2926</v>
      </c>
      <c r="J561" s="3" t="str">
        <f>IF(I561="Cash",L561,"")</f>
        <v/>
      </c>
      <c r="K561" s="3">
        <f>IF(I561="UPI",L561,"")</f>
        <v>666</v>
      </c>
      <c r="L561" s="3">
        <f>IF(E561&lt;&gt;"",E561-G561-H561,"")</f>
        <v>666</v>
      </c>
    </row>
    <row r="562" spans="2:12">
      <c r="B562" s="2" t="s">
        <v>2326</v>
      </c>
      <c r="C562" s="9">
        <v>45974</v>
      </c>
      <c r="D562" s="4">
        <v>2</v>
      </c>
      <c r="E562" s="3">
        <v>1280</v>
      </c>
      <c r="F562" s="7">
        <f t="shared" si="8"/>
        <v>45974</v>
      </c>
      <c r="G562" s="3">
        <f>IF(E562&lt;&gt;"", E562*10%, "")</f>
        <v>128</v>
      </c>
      <c r="H562" s="3">
        <f>IF(E562&lt;&gt;"",ROUND(IF(E562&gt;1500,E562*5%,),0),"")</f>
        <v>0</v>
      </c>
      <c r="I562" s="2" t="s">
        <v>2926</v>
      </c>
      <c r="J562" s="3" t="str">
        <f>IF(I562="Cash",L562,"")</f>
        <v/>
      </c>
      <c r="K562" s="3">
        <f>IF(I562="UPI",L562,"")</f>
        <v>1152</v>
      </c>
      <c r="L562" s="3">
        <f>IF(E562&lt;&gt;"",E562-G562-H562,"")</f>
        <v>1152</v>
      </c>
    </row>
    <row r="563" spans="2:12">
      <c r="B563" s="2" t="s">
        <v>2327</v>
      </c>
      <c r="C563" s="9">
        <v>45974</v>
      </c>
      <c r="D563" s="4">
        <v>1</v>
      </c>
      <c r="E563" s="3">
        <v>820</v>
      </c>
      <c r="F563" s="7">
        <f t="shared" si="8"/>
        <v>45974</v>
      </c>
      <c r="G563" s="3">
        <f>IF(E563&lt;&gt;"", E563*10%, "")</f>
        <v>82</v>
      </c>
      <c r="H563" s="3">
        <f>IF(E563&lt;&gt;"",ROUND(IF(E563&gt;1500,E563*5%,),0),"")</f>
        <v>0</v>
      </c>
      <c r="I563" s="2" t="s">
        <v>2926</v>
      </c>
      <c r="J563" s="3" t="str">
        <f>IF(I563="Cash",L563,"")</f>
        <v/>
      </c>
      <c r="K563" s="3">
        <f>IF(I563="UPI",L563,"")</f>
        <v>738</v>
      </c>
      <c r="L563" s="3">
        <f>IF(E563&lt;&gt;"",E563-G563-H563,"")</f>
        <v>738</v>
      </c>
    </row>
    <row r="564" spans="2:12">
      <c r="B564" s="2" t="s">
        <v>2328</v>
      </c>
      <c r="C564" s="9">
        <v>45974</v>
      </c>
      <c r="D564" s="4">
        <v>3</v>
      </c>
      <c r="E564" s="3">
        <v>2130</v>
      </c>
      <c r="F564" s="7">
        <f t="shared" si="8"/>
        <v>45974</v>
      </c>
      <c r="G564" s="3">
        <f>IF(E564&lt;&gt;"", E564*10%, "")</f>
        <v>213</v>
      </c>
      <c r="H564" s="3">
        <f>IF(E564&lt;&gt;"",ROUND(IF(E564&gt;1500,E564*5%,),0),"")</f>
        <v>107</v>
      </c>
      <c r="I564" s="2" t="s">
        <v>2925</v>
      </c>
      <c r="J564" s="3">
        <f>IF(I564="Cash",L564,"")</f>
        <v>1810</v>
      </c>
      <c r="K564" s="3" t="str">
        <f>IF(I564="UPI",L564,"")</f>
        <v/>
      </c>
      <c r="L564" s="3">
        <f>IF(E564&lt;&gt;"",E564-G564-H564,"")</f>
        <v>1810</v>
      </c>
    </row>
    <row r="565" spans="2:12">
      <c r="B565" s="2" t="s">
        <v>2329</v>
      </c>
      <c r="C565" s="9">
        <v>45974</v>
      </c>
      <c r="D565" s="4">
        <v>4</v>
      </c>
      <c r="E565" s="3">
        <v>1800</v>
      </c>
      <c r="F565" s="7">
        <f t="shared" si="8"/>
        <v>45974</v>
      </c>
      <c r="G565" s="3">
        <f>IF(E565&lt;&gt;"", E565*10%, "")</f>
        <v>180</v>
      </c>
      <c r="H565" s="3">
        <f>IF(E565&lt;&gt;"",ROUND(IF(E565&gt;1500,E565*5%,),0),"")</f>
        <v>90</v>
      </c>
      <c r="I565" s="2" t="s">
        <v>2925</v>
      </c>
      <c r="J565" s="3">
        <f>IF(I565="Cash",L565,"")</f>
        <v>1530</v>
      </c>
      <c r="K565" s="3" t="str">
        <f>IF(I565="UPI",L565,"")</f>
        <v/>
      </c>
      <c r="L565" s="3">
        <f>IF(E565&lt;&gt;"",E565-G565-H565,"")</f>
        <v>1530</v>
      </c>
    </row>
    <row r="566" spans="2:12">
      <c r="B566" s="2" t="s">
        <v>2330</v>
      </c>
      <c r="C566" s="9">
        <v>45974</v>
      </c>
      <c r="D566" s="4">
        <v>1</v>
      </c>
      <c r="E566" s="3">
        <v>700</v>
      </c>
      <c r="F566" s="7">
        <f t="shared" si="8"/>
        <v>45974</v>
      </c>
      <c r="G566" s="3">
        <f>IF(E566&lt;&gt;"", E566*10%, "")</f>
        <v>70</v>
      </c>
      <c r="H566" s="3">
        <f>IF(E566&lt;&gt;"",ROUND(IF(E566&gt;1500,E566*5%,),0),"")</f>
        <v>0</v>
      </c>
      <c r="I566" s="2" t="s">
        <v>2926</v>
      </c>
      <c r="J566" s="3" t="str">
        <f>IF(I566="Cash",L566,"")</f>
        <v/>
      </c>
      <c r="K566" s="3">
        <f>IF(I566="UPI",L566,"")</f>
        <v>630</v>
      </c>
      <c r="L566" s="3">
        <f>IF(E566&lt;&gt;"",E566-G566-H566,"")</f>
        <v>630</v>
      </c>
    </row>
    <row r="567" spans="2:12">
      <c r="B567" s="2" t="s">
        <v>2331</v>
      </c>
      <c r="C567" s="9">
        <v>45974</v>
      </c>
      <c r="D567" s="4">
        <v>2</v>
      </c>
      <c r="E567" s="3">
        <v>1150</v>
      </c>
      <c r="F567" s="7">
        <f t="shared" si="8"/>
        <v>45974</v>
      </c>
      <c r="G567" s="3">
        <f>IF(E567&lt;&gt;"", E567*10%, "")</f>
        <v>115</v>
      </c>
      <c r="H567" s="3">
        <f>IF(E567&lt;&gt;"",ROUND(IF(E567&gt;1500,E567*5%,),0),"")</f>
        <v>0</v>
      </c>
      <c r="I567" s="2" t="s">
        <v>2926</v>
      </c>
      <c r="J567" s="3" t="str">
        <f>IF(I567="Cash",L567,"")</f>
        <v/>
      </c>
      <c r="K567" s="3">
        <f>IF(I567="UPI",L567,"")</f>
        <v>1035</v>
      </c>
      <c r="L567" s="3">
        <f>IF(E567&lt;&gt;"",E567-G567-H567,"")</f>
        <v>1035</v>
      </c>
    </row>
    <row r="568" spans="2:12">
      <c r="B568" s="2" t="s">
        <v>2332</v>
      </c>
      <c r="C568" s="9">
        <v>45974</v>
      </c>
      <c r="D568" s="4">
        <v>2</v>
      </c>
      <c r="E568" s="3">
        <v>1480</v>
      </c>
      <c r="F568" s="7">
        <f t="shared" si="8"/>
        <v>45974</v>
      </c>
      <c r="G568" s="3">
        <f>IF(E568&lt;&gt;"", E568*10%, "")</f>
        <v>148</v>
      </c>
      <c r="H568" s="3">
        <f>IF(E568&lt;&gt;"",ROUND(IF(E568&gt;1500,E568*5%,),0),"")</f>
        <v>0</v>
      </c>
      <c r="I568" s="2" t="s">
        <v>2926</v>
      </c>
      <c r="J568" s="3" t="str">
        <f>IF(I568="Cash",L568,"")</f>
        <v/>
      </c>
      <c r="K568" s="3">
        <f>IF(I568="UPI",L568,"")</f>
        <v>1332</v>
      </c>
      <c r="L568" s="3">
        <f>IF(E568&lt;&gt;"",E568-G568-H568,"")</f>
        <v>1332</v>
      </c>
    </row>
    <row r="569" spans="2:12">
      <c r="B569" s="2" t="s">
        <v>2333</v>
      </c>
      <c r="C569" s="9">
        <v>45975</v>
      </c>
      <c r="D569" s="4">
        <v>1</v>
      </c>
      <c r="E569" s="3">
        <v>420</v>
      </c>
      <c r="F569" s="7">
        <f t="shared" si="8"/>
        <v>45975</v>
      </c>
      <c r="G569" s="3">
        <f>IF(E569&lt;&gt;"", E569*10%, "")</f>
        <v>42</v>
      </c>
      <c r="H569" s="3">
        <f>IF(E569&lt;&gt;"",ROUND(IF(E569&gt;1500,E569*5%,),0),"")</f>
        <v>0</v>
      </c>
      <c r="I569" s="2" t="s">
        <v>2926</v>
      </c>
      <c r="J569" s="3" t="str">
        <f>IF(I569="Cash",L569,"")</f>
        <v/>
      </c>
      <c r="K569" s="3">
        <f>IF(I569="UPI",L569,"")</f>
        <v>378</v>
      </c>
      <c r="L569" s="3">
        <f>IF(E569&lt;&gt;"",E569-G569-H569,"")</f>
        <v>378</v>
      </c>
    </row>
    <row r="570" spans="2:12">
      <c r="B570" s="2" t="s">
        <v>2334</v>
      </c>
      <c r="C570" s="9">
        <v>45975</v>
      </c>
      <c r="D570" s="4">
        <v>3</v>
      </c>
      <c r="E570" s="3">
        <v>1970</v>
      </c>
      <c r="F570" s="7">
        <f t="shared" si="8"/>
        <v>45975</v>
      </c>
      <c r="G570" s="3">
        <f>IF(E570&lt;&gt;"", E570*10%, "")</f>
        <v>197</v>
      </c>
      <c r="H570" s="3">
        <f>IF(E570&lt;&gt;"",ROUND(IF(E570&gt;1500,E570*5%,),0),"")</f>
        <v>99</v>
      </c>
      <c r="I570" s="2" t="s">
        <v>2925</v>
      </c>
      <c r="J570" s="3">
        <f>IF(I570="Cash",L570,"")</f>
        <v>1674</v>
      </c>
      <c r="K570" s="3" t="str">
        <f>IF(I570="UPI",L570,"")</f>
        <v/>
      </c>
      <c r="L570" s="3">
        <f>IF(E570&lt;&gt;"",E570-G570-H570,"")</f>
        <v>1674</v>
      </c>
    </row>
    <row r="571" spans="2:12">
      <c r="B571" s="2" t="s">
        <v>2335</v>
      </c>
      <c r="C571" s="9">
        <v>45975</v>
      </c>
      <c r="D571" s="4">
        <v>3</v>
      </c>
      <c r="E571" s="3">
        <v>2300</v>
      </c>
      <c r="F571" s="7">
        <f t="shared" si="8"/>
        <v>45975</v>
      </c>
      <c r="G571" s="3">
        <f>IF(E571&lt;&gt;"", E571*10%, "")</f>
        <v>230</v>
      </c>
      <c r="H571" s="3">
        <f>IF(E571&lt;&gt;"",ROUND(IF(E571&gt;1500,E571*5%,),0),"")</f>
        <v>115</v>
      </c>
      <c r="I571" s="2" t="s">
        <v>2925</v>
      </c>
      <c r="J571" s="3">
        <f>IF(I571="Cash",L571,"")</f>
        <v>1955</v>
      </c>
      <c r="K571" s="3" t="str">
        <f>IF(I571="UPI",L571,"")</f>
        <v/>
      </c>
      <c r="L571" s="3">
        <f>IF(E571&lt;&gt;"",E571-G571-H571,"")</f>
        <v>1955</v>
      </c>
    </row>
    <row r="572" spans="2:12">
      <c r="B572" s="2" t="s">
        <v>2336</v>
      </c>
      <c r="C572" s="9">
        <v>45975</v>
      </c>
      <c r="D572" s="4">
        <v>2</v>
      </c>
      <c r="E572" s="3">
        <v>1540</v>
      </c>
      <c r="F572" s="7">
        <f t="shared" si="8"/>
        <v>45975</v>
      </c>
      <c r="G572" s="3">
        <f>IF(E572&lt;&gt;"", E572*10%, "")</f>
        <v>154</v>
      </c>
      <c r="H572" s="3">
        <f>IF(E572&lt;&gt;"",ROUND(IF(E572&gt;1500,E572*5%,),0),"")</f>
        <v>77</v>
      </c>
      <c r="I572" s="2" t="s">
        <v>2926</v>
      </c>
      <c r="J572" s="3" t="str">
        <f>IF(I572="Cash",L572,"")</f>
        <v/>
      </c>
      <c r="K572" s="3">
        <f>IF(I572="UPI",L572,"")</f>
        <v>1309</v>
      </c>
      <c r="L572" s="3">
        <f>IF(E572&lt;&gt;"",E572-G572-H572,"")</f>
        <v>1309</v>
      </c>
    </row>
    <row r="573" spans="2:12">
      <c r="B573" s="2" t="s">
        <v>2337</v>
      </c>
      <c r="C573" s="9">
        <v>45975</v>
      </c>
      <c r="D573" s="4">
        <v>2</v>
      </c>
      <c r="E573" s="3">
        <v>1880</v>
      </c>
      <c r="F573" s="7">
        <f t="shared" si="8"/>
        <v>45975</v>
      </c>
      <c r="G573" s="3">
        <f>IF(E573&lt;&gt;"", E573*10%, "")</f>
        <v>188</v>
      </c>
      <c r="H573" s="3">
        <f>IF(E573&lt;&gt;"",ROUND(IF(E573&gt;1500,E573*5%,),0),"")</f>
        <v>94</v>
      </c>
      <c r="I573" s="2" t="s">
        <v>2925</v>
      </c>
      <c r="J573" s="3">
        <f>IF(I573="Cash",L573,"")</f>
        <v>1598</v>
      </c>
      <c r="K573" s="3" t="str">
        <f>IF(I573="UPI",L573,"")</f>
        <v/>
      </c>
      <c r="L573" s="3">
        <f>IF(E573&lt;&gt;"",E573-G573-H573,"")</f>
        <v>1598</v>
      </c>
    </row>
    <row r="574" spans="2:12">
      <c r="B574" s="2" t="s">
        <v>2338</v>
      </c>
      <c r="C574" s="9">
        <v>45975</v>
      </c>
      <c r="D574" s="4">
        <v>3</v>
      </c>
      <c r="E574" s="3">
        <v>2370</v>
      </c>
      <c r="F574" s="7">
        <f t="shared" si="8"/>
        <v>45975</v>
      </c>
      <c r="G574" s="3">
        <f>IF(E574&lt;&gt;"", E574*10%, "")</f>
        <v>237</v>
      </c>
      <c r="H574" s="3">
        <f>IF(E574&lt;&gt;"",ROUND(IF(E574&gt;1500,E574*5%,),0),"")</f>
        <v>119</v>
      </c>
      <c r="I574" s="2" t="s">
        <v>2925</v>
      </c>
      <c r="J574" s="3">
        <f>IF(I574="Cash",L574,"")</f>
        <v>2014</v>
      </c>
      <c r="K574" s="3" t="str">
        <f>IF(I574="UPI",L574,"")</f>
        <v/>
      </c>
      <c r="L574" s="3">
        <f>IF(E574&lt;&gt;"",E574-G574-H574,"")</f>
        <v>2014</v>
      </c>
    </row>
    <row r="575" spans="2:12">
      <c r="B575" s="2" t="s">
        <v>2339</v>
      </c>
      <c r="C575" s="9">
        <v>45975</v>
      </c>
      <c r="D575" s="4">
        <v>1</v>
      </c>
      <c r="E575" s="3">
        <v>720</v>
      </c>
      <c r="F575" s="7">
        <f t="shared" si="8"/>
        <v>45975</v>
      </c>
      <c r="G575" s="3">
        <f>IF(E575&lt;&gt;"", E575*10%, "")</f>
        <v>72</v>
      </c>
      <c r="H575" s="3">
        <f>IF(E575&lt;&gt;"",ROUND(IF(E575&gt;1500,E575*5%,),0),"")</f>
        <v>0</v>
      </c>
      <c r="I575" s="2" t="s">
        <v>2926</v>
      </c>
      <c r="J575" s="3" t="str">
        <f>IF(I575="Cash",L575,"")</f>
        <v/>
      </c>
      <c r="K575" s="3">
        <f>IF(I575="UPI",L575,"")</f>
        <v>648</v>
      </c>
      <c r="L575" s="3">
        <f>IF(E575&lt;&gt;"",E575-G575-H575,"")</f>
        <v>648</v>
      </c>
    </row>
    <row r="576" spans="2:12">
      <c r="B576" s="2" t="s">
        <v>2340</v>
      </c>
      <c r="C576" s="9">
        <v>45975</v>
      </c>
      <c r="D576" s="4">
        <v>3</v>
      </c>
      <c r="E576" s="3">
        <v>1300</v>
      </c>
      <c r="F576" s="7">
        <f t="shared" si="8"/>
        <v>45975</v>
      </c>
      <c r="G576" s="3">
        <f>IF(E576&lt;&gt;"", E576*10%, "")</f>
        <v>130</v>
      </c>
      <c r="H576" s="3">
        <f>IF(E576&lt;&gt;"",ROUND(IF(E576&gt;1500,E576*5%,),0),"")</f>
        <v>0</v>
      </c>
      <c r="I576" s="2" t="s">
        <v>2926</v>
      </c>
      <c r="J576" s="3" t="str">
        <f>IF(I576="Cash",L576,"")</f>
        <v/>
      </c>
      <c r="K576" s="3">
        <f>IF(I576="UPI",L576,"")</f>
        <v>1170</v>
      </c>
      <c r="L576" s="3">
        <f>IF(E576&lt;&gt;"",E576-G576-H576,"")</f>
        <v>1170</v>
      </c>
    </row>
    <row r="577" spans="2:12">
      <c r="B577" s="2" t="s">
        <v>2341</v>
      </c>
      <c r="C577" s="9">
        <v>45975</v>
      </c>
      <c r="D577" s="4">
        <v>2</v>
      </c>
      <c r="E577" s="3">
        <v>1190</v>
      </c>
      <c r="F577" s="7">
        <f t="shared" si="8"/>
        <v>45975</v>
      </c>
      <c r="G577" s="3">
        <f>IF(E577&lt;&gt;"", E577*10%, "")</f>
        <v>119</v>
      </c>
      <c r="H577" s="3">
        <f>IF(E577&lt;&gt;"",ROUND(IF(E577&gt;1500,E577*5%,),0),"")</f>
        <v>0</v>
      </c>
      <c r="I577" s="2" t="s">
        <v>2926</v>
      </c>
      <c r="J577" s="3" t="str">
        <f>IF(I577="Cash",L577,"")</f>
        <v/>
      </c>
      <c r="K577" s="3">
        <f>IF(I577="UPI",L577,"")</f>
        <v>1071</v>
      </c>
      <c r="L577" s="3">
        <f>IF(E577&lt;&gt;"",E577-G577-H577,"")</f>
        <v>1071</v>
      </c>
    </row>
    <row r="578" spans="2:12">
      <c r="B578" s="2" t="s">
        <v>2342</v>
      </c>
      <c r="C578" s="9">
        <v>45975</v>
      </c>
      <c r="D578" s="4">
        <v>3</v>
      </c>
      <c r="E578" s="3">
        <v>1740</v>
      </c>
      <c r="F578" s="7">
        <f t="shared" si="8"/>
        <v>45975</v>
      </c>
      <c r="G578" s="3">
        <f>IF(E578&lt;&gt;"", E578*10%, "")</f>
        <v>174</v>
      </c>
      <c r="H578" s="3">
        <f>IF(E578&lt;&gt;"",ROUND(IF(E578&gt;1500,E578*5%,),0),"")</f>
        <v>87</v>
      </c>
      <c r="I578" s="2" t="s">
        <v>2925</v>
      </c>
      <c r="J578" s="3">
        <f>IF(I578="Cash",L578,"")</f>
        <v>1479</v>
      </c>
      <c r="K578" s="3" t="str">
        <f>IF(I578="UPI",L578,"")</f>
        <v/>
      </c>
      <c r="L578" s="3">
        <f>IF(E578&lt;&gt;"",E578-G578-H578,"")</f>
        <v>1479</v>
      </c>
    </row>
    <row r="579" spans="2:12">
      <c r="B579" s="2" t="s">
        <v>2343</v>
      </c>
      <c r="C579" s="9">
        <v>45975</v>
      </c>
      <c r="D579" s="4">
        <v>3</v>
      </c>
      <c r="E579" s="3">
        <v>1710</v>
      </c>
      <c r="F579" s="7">
        <f t="shared" si="8"/>
        <v>45975</v>
      </c>
      <c r="G579" s="3">
        <f>IF(E579&lt;&gt;"", E579*10%, "")</f>
        <v>171</v>
      </c>
      <c r="H579" s="3">
        <f>IF(E579&lt;&gt;"",ROUND(IF(E579&gt;1500,E579*5%,),0),"")</f>
        <v>86</v>
      </c>
      <c r="I579" s="2" t="s">
        <v>2925</v>
      </c>
      <c r="J579" s="3">
        <f>IF(I579="Cash",L579,"")</f>
        <v>1453</v>
      </c>
      <c r="K579" s="3" t="str">
        <f>IF(I579="UPI",L579,"")</f>
        <v/>
      </c>
      <c r="L579" s="3">
        <f>IF(E579&lt;&gt;"",E579-G579-H579,"")</f>
        <v>1453</v>
      </c>
    </row>
    <row r="580" spans="2:12">
      <c r="B580" s="2" t="s">
        <v>2344</v>
      </c>
      <c r="C580" s="9">
        <v>45975</v>
      </c>
      <c r="D580" s="4">
        <v>3</v>
      </c>
      <c r="E580" s="3">
        <v>1670</v>
      </c>
      <c r="F580" s="7">
        <f t="shared" si="8"/>
        <v>45975</v>
      </c>
      <c r="G580" s="3">
        <f>IF(E580&lt;&gt;"", E580*10%, "")</f>
        <v>167</v>
      </c>
      <c r="H580" s="3">
        <f>IF(E580&lt;&gt;"",ROUND(IF(E580&gt;1500,E580*5%,),0),"")</f>
        <v>84</v>
      </c>
      <c r="I580" s="2" t="s">
        <v>2926</v>
      </c>
      <c r="J580" s="3" t="str">
        <f>IF(I580="Cash",L580,"")</f>
        <v/>
      </c>
      <c r="K580" s="3">
        <f>IF(I580="UPI",L580,"")</f>
        <v>1419</v>
      </c>
      <c r="L580" s="3">
        <f>IF(E580&lt;&gt;"",E580-G580-H580,"")</f>
        <v>1419</v>
      </c>
    </row>
    <row r="581" spans="2:12">
      <c r="B581" s="2" t="s">
        <v>2345</v>
      </c>
      <c r="C581" s="9">
        <v>45975</v>
      </c>
      <c r="D581" s="4">
        <v>4</v>
      </c>
      <c r="E581" s="3">
        <v>3400</v>
      </c>
      <c r="F581" s="7">
        <f t="shared" ref="F581:F644" si="9">C581</f>
        <v>45975</v>
      </c>
      <c r="G581" s="3">
        <f>IF(E581&lt;&gt;"", E581*10%, "")</f>
        <v>340</v>
      </c>
      <c r="H581" s="3">
        <f>IF(E581&lt;&gt;"",ROUND(IF(E581&gt;1500,E581*5%,),0),"")</f>
        <v>170</v>
      </c>
      <c r="I581" s="2" t="s">
        <v>2928</v>
      </c>
      <c r="J581" s="3">
        <v>500</v>
      </c>
      <c r="K581" s="3">
        <v>2390</v>
      </c>
      <c r="L581" s="3">
        <f>IF(E581&lt;&gt;"",E581-G581-H581,"")</f>
        <v>2890</v>
      </c>
    </row>
    <row r="582" spans="2:12">
      <c r="B582" s="2" t="s">
        <v>2346</v>
      </c>
      <c r="C582" s="9">
        <v>45976</v>
      </c>
      <c r="D582" s="4">
        <v>2</v>
      </c>
      <c r="E582" s="3">
        <v>1040</v>
      </c>
      <c r="F582" s="7">
        <f t="shared" si="9"/>
        <v>45976</v>
      </c>
      <c r="G582" s="3">
        <f>IF(E582&lt;&gt;"", E582*10%, "")</f>
        <v>104</v>
      </c>
      <c r="H582" s="3">
        <f>IF(E582&lt;&gt;"",ROUND(IF(E582&gt;1500,E582*5%,),0),"")</f>
        <v>0</v>
      </c>
      <c r="I582" s="2" t="s">
        <v>2926</v>
      </c>
      <c r="J582" s="3" t="str">
        <f>IF(I582="Cash",L582,"")</f>
        <v/>
      </c>
      <c r="K582" s="3">
        <f>IF(I582="UPI",L582,"")</f>
        <v>936</v>
      </c>
      <c r="L582" s="3">
        <f>IF(E582&lt;&gt;"",E582-G582-H582,"")</f>
        <v>936</v>
      </c>
    </row>
    <row r="583" spans="2:12">
      <c r="B583" s="2" t="s">
        <v>2347</v>
      </c>
      <c r="C583" s="9">
        <v>45976</v>
      </c>
      <c r="D583" s="4">
        <v>4</v>
      </c>
      <c r="E583" s="3">
        <v>1590</v>
      </c>
      <c r="F583" s="7">
        <f t="shared" si="9"/>
        <v>45976</v>
      </c>
      <c r="G583" s="3">
        <f>IF(E583&lt;&gt;"", E583*10%, "")</f>
        <v>159</v>
      </c>
      <c r="H583" s="3">
        <f>IF(E583&lt;&gt;"",ROUND(IF(E583&gt;1500,E583*5%,),0),"")</f>
        <v>80</v>
      </c>
      <c r="I583" s="2" t="s">
        <v>2926</v>
      </c>
      <c r="J583" s="3" t="str">
        <f>IF(I583="Cash",L583,"")</f>
        <v/>
      </c>
      <c r="K583" s="3">
        <f>IF(I583="UPI",L583,"")</f>
        <v>1351</v>
      </c>
      <c r="L583" s="3">
        <f>IF(E583&lt;&gt;"",E583-G583-H583,"")</f>
        <v>1351</v>
      </c>
    </row>
    <row r="584" spans="2:12">
      <c r="B584" s="2" t="s">
        <v>2348</v>
      </c>
      <c r="C584" s="9">
        <v>45976</v>
      </c>
      <c r="D584" s="4">
        <v>1</v>
      </c>
      <c r="E584" s="3">
        <v>300</v>
      </c>
      <c r="F584" s="7">
        <f t="shared" si="9"/>
        <v>45976</v>
      </c>
      <c r="G584" s="3">
        <f>IF(E584&lt;&gt;"", E584*10%, "")</f>
        <v>30</v>
      </c>
      <c r="H584" s="3">
        <f>IF(E584&lt;&gt;"",ROUND(IF(E584&gt;1500,E584*5%,),0),"")</f>
        <v>0</v>
      </c>
      <c r="I584" s="2" t="s">
        <v>2926</v>
      </c>
      <c r="J584" s="3" t="str">
        <f>IF(I584="Cash",L584,"")</f>
        <v/>
      </c>
      <c r="K584" s="3">
        <f>IF(I584="UPI",L584,"")</f>
        <v>270</v>
      </c>
      <c r="L584" s="3">
        <f>IF(E584&lt;&gt;"",E584-G584-H584,"")</f>
        <v>270</v>
      </c>
    </row>
    <row r="585" spans="2:12">
      <c r="B585" s="2" t="s">
        <v>2349</v>
      </c>
      <c r="C585" s="9">
        <v>45976</v>
      </c>
      <c r="D585" s="4">
        <v>3</v>
      </c>
      <c r="E585" s="3">
        <v>1700</v>
      </c>
      <c r="F585" s="7">
        <f t="shared" si="9"/>
        <v>45976</v>
      </c>
      <c r="G585" s="3">
        <f>IF(E585&lt;&gt;"", E585*10%, "")</f>
        <v>170</v>
      </c>
      <c r="H585" s="3">
        <f>IF(E585&lt;&gt;"",ROUND(IF(E585&gt;1500,E585*5%,),0),"")</f>
        <v>85</v>
      </c>
      <c r="I585" s="2" t="s">
        <v>2925</v>
      </c>
      <c r="J585" s="3">
        <f>IF(I585="Cash",L585,"")</f>
        <v>1445</v>
      </c>
      <c r="K585" s="3" t="str">
        <f>IF(I585="UPI",L585,"")</f>
        <v/>
      </c>
      <c r="L585" s="3">
        <f>IF(E585&lt;&gt;"",E585-G585-H585,"")</f>
        <v>1445</v>
      </c>
    </row>
    <row r="586" spans="2:12">
      <c r="B586" s="2" t="s">
        <v>2350</v>
      </c>
      <c r="C586" s="9">
        <v>45976</v>
      </c>
      <c r="D586" s="4">
        <v>1</v>
      </c>
      <c r="E586" s="3">
        <v>190</v>
      </c>
      <c r="F586" s="7">
        <f t="shared" si="9"/>
        <v>45976</v>
      </c>
      <c r="G586" s="3">
        <f>IF(E586&lt;&gt;"", E586*10%, "")</f>
        <v>19</v>
      </c>
      <c r="H586" s="3">
        <f>IF(E586&lt;&gt;"",ROUND(IF(E586&gt;1500,E586*5%,),0),"")</f>
        <v>0</v>
      </c>
      <c r="I586" s="2" t="s">
        <v>2926</v>
      </c>
      <c r="J586" s="3" t="str">
        <f>IF(I586="Cash",L586,"")</f>
        <v/>
      </c>
      <c r="K586" s="3">
        <f>IF(I586="UPI",L586,"")</f>
        <v>171</v>
      </c>
      <c r="L586" s="3">
        <f>IF(E586&lt;&gt;"",E586-G586-H586,"")</f>
        <v>171</v>
      </c>
    </row>
    <row r="587" spans="2:12">
      <c r="B587" s="2" t="s">
        <v>2351</v>
      </c>
      <c r="C587" s="9">
        <v>45976</v>
      </c>
      <c r="D587" s="4">
        <v>3</v>
      </c>
      <c r="E587" s="3">
        <v>1550</v>
      </c>
      <c r="F587" s="7">
        <f t="shared" si="9"/>
        <v>45976</v>
      </c>
      <c r="G587" s="3">
        <f>IF(E587&lt;&gt;"", E587*10%, "")</f>
        <v>155</v>
      </c>
      <c r="H587" s="3">
        <f>IF(E587&lt;&gt;"",ROUND(IF(E587&gt;1500,E587*5%,),0),"")</f>
        <v>78</v>
      </c>
      <c r="I587" s="2" t="s">
        <v>2926</v>
      </c>
      <c r="J587" s="3" t="str">
        <f>IF(I587="Cash",L587,"")</f>
        <v/>
      </c>
      <c r="K587" s="3">
        <f>IF(I587="UPI",L587,"")</f>
        <v>1317</v>
      </c>
      <c r="L587" s="3">
        <f>IF(E587&lt;&gt;"",E587-G587-H587,"")</f>
        <v>1317</v>
      </c>
    </row>
    <row r="588" spans="2:12">
      <c r="B588" s="2" t="s">
        <v>2352</v>
      </c>
      <c r="C588" s="9">
        <v>45976</v>
      </c>
      <c r="D588" s="4">
        <v>1</v>
      </c>
      <c r="E588" s="3">
        <v>880</v>
      </c>
      <c r="F588" s="7">
        <f t="shared" si="9"/>
        <v>45976</v>
      </c>
      <c r="G588" s="3">
        <f>IF(E588&lt;&gt;"", E588*10%, "")</f>
        <v>88</v>
      </c>
      <c r="H588" s="3">
        <f>IF(E588&lt;&gt;"",ROUND(IF(E588&gt;1500,E588*5%,),0),"")</f>
        <v>0</v>
      </c>
      <c r="I588" s="2" t="s">
        <v>2926</v>
      </c>
      <c r="J588" s="3" t="str">
        <f>IF(I588="Cash",L588,"")</f>
        <v/>
      </c>
      <c r="K588" s="3">
        <f>IF(I588="UPI",L588,"")</f>
        <v>792</v>
      </c>
      <c r="L588" s="3">
        <f>IF(E588&lt;&gt;"",E588-G588-H588,"")</f>
        <v>792</v>
      </c>
    </row>
    <row r="589" spans="2:12">
      <c r="B589" s="2" t="s">
        <v>2353</v>
      </c>
      <c r="C589" s="9">
        <v>45976</v>
      </c>
      <c r="D589" s="4">
        <v>3</v>
      </c>
      <c r="E589" s="3">
        <v>1230</v>
      </c>
      <c r="F589" s="7">
        <f t="shared" si="9"/>
        <v>45976</v>
      </c>
      <c r="G589" s="3">
        <f>IF(E589&lt;&gt;"", E589*10%, "")</f>
        <v>123</v>
      </c>
      <c r="H589" s="3">
        <f>IF(E589&lt;&gt;"",ROUND(IF(E589&gt;1500,E589*5%,),0),"")</f>
        <v>0</v>
      </c>
      <c r="I589" s="2" t="s">
        <v>2926</v>
      </c>
      <c r="J589" s="3" t="str">
        <f>IF(I589="Cash",L589,"")</f>
        <v/>
      </c>
      <c r="K589" s="3">
        <f>IF(I589="UPI",L589,"")</f>
        <v>1107</v>
      </c>
      <c r="L589" s="3">
        <f>IF(E589&lt;&gt;"",E589-G589-H589,"")</f>
        <v>1107</v>
      </c>
    </row>
    <row r="590" spans="2:12">
      <c r="B590" s="2" t="s">
        <v>2354</v>
      </c>
      <c r="C590" s="9">
        <v>45976</v>
      </c>
      <c r="D590" s="4">
        <v>4</v>
      </c>
      <c r="E590" s="3">
        <v>3310</v>
      </c>
      <c r="F590" s="7">
        <f t="shared" si="9"/>
        <v>45976</v>
      </c>
      <c r="G590" s="3">
        <f>IF(E590&lt;&gt;"", E590*10%, "")</f>
        <v>331</v>
      </c>
      <c r="H590" s="3">
        <f>IF(E590&lt;&gt;"",ROUND(IF(E590&gt;1500,E590*5%,),0),"")</f>
        <v>166</v>
      </c>
      <c r="I590" s="2" t="s">
        <v>2928</v>
      </c>
      <c r="J590" s="3">
        <v>1000</v>
      </c>
      <c r="K590" s="3">
        <v>1813</v>
      </c>
      <c r="L590" s="3">
        <f>IF(E590&lt;&gt;"",E590-G590-H590,"")</f>
        <v>2813</v>
      </c>
    </row>
    <row r="591" spans="2:12">
      <c r="B591" s="2" t="s">
        <v>2355</v>
      </c>
      <c r="C591" s="9">
        <v>45976</v>
      </c>
      <c r="D591" s="4">
        <v>3</v>
      </c>
      <c r="E591" s="3">
        <v>1940</v>
      </c>
      <c r="F591" s="7">
        <f t="shared" si="9"/>
        <v>45976</v>
      </c>
      <c r="G591" s="3">
        <f>IF(E591&lt;&gt;"", E591*10%, "")</f>
        <v>194</v>
      </c>
      <c r="H591" s="3">
        <f>IF(E591&lt;&gt;"",ROUND(IF(E591&gt;1500,E591*5%,),0),"")</f>
        <v>97</v>
      </c>
      <c r="I591" s="2" t="s">
        <v>2925</v>
      </c>
      <c r="J591" s="3">
        <f>IF(I591="Cash",L591,"")</f>
        <v>1649</v>
      </c>
      <c r="K591" s="3" t="str">
        <f>IF(I591="UPI",L591,"")</f>
        <v/>
      </c>
      <c r="L591" s="3">
        <f>IF(E591&lt;&gt;"",E591-G591-H591,"")</f>
        <v>1649</v>
      </c>
    </row>
    <row r="592" spans="2:12">
      <c r="B592" s="2" t="s">
        <v>2356</v>
      </c>
      <c r="C592" s="9">
        <v>45976</v>
      </c>
      <c r="D592" s="4">
        <v>1</v>
      </c>
      <c r="E592" s="3">
        <v>990</v>
      </c>
      <c r="F592" s="7">
        <f t="shared" si="9"/>
        <v>45976</v>
      </c>
      <c r="G592" s="3">
        <f>IF(E592&lt;&gt;"", E592*10%, "")</f>
        <v>99</v>
      </c>
      <c r="H592" s="3">
        <f>IF(E592&lt;&gt;"",ROUND(IF(E592&gt;1500,E592*5%,),0),"")</f>
        <v>0</v>
      </c>
      <c r="I592" s="2" t="s">
        <v>2926</v>
      </c>
      <c r="J592" s="3" t="str">
        <f>IF(I592="Cash",L592,"")</f>
        <v/>
      </c>
      <c r="K592" s="3">
        <f>IF(I592="UPI",L592,"")</f>
        <v>891</v>
      </c>
      <c r="L592" s="3">
        <f>IF(E592&lt;&gt;"",E592-G592-H592,"")</f>
        <v>891</v>
      </c>
    </row>
    <row r="593" spans="2:12">
      <c r="B593" s="2" t="s">
        <v>2357</v>
      </c>
      <c r="C593" s="9">
        <v>45976</v>
      </c>
      <c r="D593" s="4">
        <v>4</v>
      </c>
      <c r="E593" s="3">
        <v>2650</v>
      </c>
      <c r="F593" s="7">
        <f t="shared" si="9"/>
        <v>45976</v>
      </c>
      <c r="G593" s="3">
        <f>IF(E593&lt;&gt;"", E593*10%, "")</f>
        <v>265</v>
      </c>
      <c r="H593" s="3">
        <f>IF(E593&lt;&gt;"",ROUND(IF(E593&gt;1500,E593*5%,),0),"")</f>
        <v>133</v>
      </c>
      <c r="I593" s="2" t="s">
        <v>2925</v>
      </c>
      <c r="J593" s="3">
        <f>IF(I593="Cash",L593,"")</f>
        <v>2252</v>
      </c>
      <c r="K593" s="3" t="str">
        <f>IF(I593="UPI",L593,"")</f>
        <v/>
      </c>
      <c r="L593" s="3">
        <f>IF(E593&lt;&gt;"",E593-G593-H593,"")</f>
        <v>2252</v>
      </c>
    </row>
    <row r="594" spans="2:12">
      <c r="B594" s="2" t="s">
        <v>2358</v>
      </c>
      <c r="C594" s="9">
        <v>45976</v>
      </c>
      <c r="D594" s="4">
        <v>3</v>
      </c>
      <c r="E594" s="3">
        <v>1000</v>
      </c>
      <c r="F594" s="7">
        <f t="shared" si="9"/>
        <v>45976</v>
      </c>
      <c r="G594" s="3">
        <f>IF(E594&lt;&gt;"", E594*10%, "")</f>
        <v>100</v>
      </c>
      <c r="H594" s="3">
        <f>IF(E594&lt;&gt;"",ROUND(IF(E594&gt;1500,E594*5%,),0),"")</f>
        <v>0</v>
      </c>
      <c r="I594" s="2" t="s">
        <v>2926</v>
      </c>
      <c r="J594" s="3" t="str">
        <f>IF(I594="Cash",L594,"")</f>
        <v/>
      </c>
      <c r="K594" s="3">
        <f>IF(I594="UPI",L594,"")</f>
        <v>900</v>
      </c>
      <c r="L594" s="3">
        <f>IF(E594&lt;&gt;"",E594-G594-H594,"")</f>
        <v>900</v>
      </c>
    </row>
    <row r="595" spans="2:12">
      <c r="B595" s="2" t="s">
        <v>2359</v>
      </c>
      <c r="C595" s="9">
        <v>45976</v>
      </c>
      <c r="D595" s="4">
        <v>3</v>
      </c>
      <c r="E595" s="3">
        <v>2320</v>
      </c>
      <c r="F595" s="7">
        <f t="shared" si="9"/>
        <v>45976</v>
      </c>
      <c r="G595" s="3">
        <f>IF(E595&lt;&gt;"", E595*10%, "")</f>
        <v>232</v>
      </c>
      <c r="H595" s="3">
        <f>IF(E595&lt;&gt;"",ROUND(IF(E595&gt;1500,E595*5%,),0),"")</f>
        <v>116</v>
      </c>
      <c r="I595" s="2" t="s">
        <v>2925</v>
      </c>
      <c r="J595" s="3">
        <f>IF(I595="Cash",L595,"")</f>
        <v>1972</v>
      </c>
      <c r="K595" s="3" t="str">
        <f>IF(I595="UPI",L595,"")</f>
        <v/>
      </c>
      <c r="L595" s="3">
        <f>IF(E595&lt;&gt;"",E595-G595-H595,"")</f>
        <v>1972</v>
      </c>
    </row>
    <row r="596" spans="2:12">
      <c r="B596" s="2" t="s">
        <v>2360</v>
      </c>
      <c r="C596" s="9">
        <v>45976</v>
      </c>
      <c r="D596" s="4">
        <v>2</v>
      </c>
      <c r="E596" s="3">
        <v>1370</v>
      </c>
      <c r="F596" s="7">
        <f t="shared" si="9"/>
        <v>45976</v>
      </c>
      <c r="G596" s="3">
        <f>IF(E596&lt;&gt;"", E596*10%, "")</f>
        <v>137</v>
      </c>
      <c r="H596" s="3">
        <f>IF(E596&lt;&gt;"",ROUND(IF(E596&gt;1500,E596*5%,),0),"")</f>
        <v>0</v>
      </c>
      <c r="I596" s="2" t="s">
        <v>2926</v>
      </c>
      <c r="J596" s="3" t="str">
        <f>IF(I596="Cash",L596,"")</f>
        <v/>
      </c>
      <c r="K596" s="3">
        <f>IF(I596="UPI",L596,"")</f>
        <v>1233</v>
      </c>
      <c r="L596" s="3">
        <f>IF(E596&lt;&gt;"",E596-G596-H596,"")</f>
        <v>1233</v>
      </c>
    </row>
    <row r="597" spans="2:12">
      <c r="B597" s="2" t="s">
        <v>2361</v>
      </c>
      <c r="C597" s="9">
        <v>45976</v>
      </c>
      <c r="D597" s="4">
        <v>2</v>
      </c>
      <c r="E597" s="3">
        <v>580</v>
      </c>
      <c r="F597" s="7">
        <f t="shared" si="9"/>
        <v>45976</v>
      </c>
      <c r="G597" s="3">
        <f>IF(E597&lt;&gt;"", E597*10%, "")</f>
        <v>58</v>
      </c>
      <c r="H597" s="3">
        <f>IF(E597&lt;&gt;"",ROUND(IF(E597&gt;1500,E597*5%,),0),"")</f>
        <v>0</v>
      </c>
      <c r="I597" s="2" t="s">
        <v>2926</v>
      </c>
      <c r="J597" s="3" t="str">
        <f>IF(I597="Cash",L597,"")</f>
        <v/>
      </c>
      <c r="K597" s="3">
        <f>IF(I597="UPI",L597,"")</f>
        <v>522</v>
      </c>
      <c r="L597" s="3">
        <f>IF(E597&lt;&gt;"",E597-G597-H597,"")</f>
        <v>522</v>
      </c>
    </row>
    <row r="598" spans="2:12">
      <c r="B598" s="2" t="s">
        <v>2362</v>
      </c>
      <c r="C598" s="9">
        <v>45976</v>
      </c>
      <c r="D598" s="4">
        <v>3</v>
      </c>
      <c r="E598" s="3">
        <v>1620</v>
      </c>
      <c r="F598" s="7">
        <f t="shared" si="9"/>
        <v>45976</v>
      </c>
      <c r="G598" s="3">
        <f>IF(E598&lt;&gt;"", E598*10%, "")</f>
        <v>162</v>
      </c>
      <c r="H598" s="3">
        <f>IF(E598&lt;&gt;"",ROUND(IF(E598&gt;1500,E598*5%,),0),"")</f>
        <v>81</v>
      </c>
      <c r="I598" s="2" t="s">
        <v>2926</v>
      </c>
      <c r="J598" s="3" t="str">
        <f>IF(I598="Cash",L598,"")</f>
        <v/>
      </c>
      <c r="K598" s="3">
        <f>IF(I598="UPI",L598,"")</f>
        <v>1377</v>
      </c>
      <c r="L598" s="3">
        <f>IF(E598&lt;&gt;"",E598-G598-H598,"")</f>
        <v>1377</v>
      </c>
    </row>
    <row r="599" spans="2:12">
      <c r="B599" s="2" t="s">
        <v>2363</v>
      </c>
      <c r="C599" s="9">
        <v>45976</v>
      </c>
      <c r="D599" s="4">
        <v>2</v>
      </c>
      <c r="E599" s="3">
        <v>1090</v>
      </c>
      <c r="F599" s="7">
        <f t="shared" si="9"/>
        <v>45976</v>
      </c>
      <c r="G599" s="3">
        <f>IF(E599&lt;&gt;"", E599*10%, "")</f>
        <v>109</v>
      </c>
      <c r="H599" s="3">
        <f>IF(E599&lt;&gt;"",ROUND(IF(E599&gt;1500,E599*5%,),0),"")</f>
        <v>0</v>
      </c>
      <c r="I599" s="2" t="s">
        <v>2926</v>
      </c>
      <c r="J599" s="3" t="str">
        <f>IF(I599="Cash",L599,"")</f>
        <v/>
      </c>
      <c r="K599" s="3">
        <f>IF(I599="UPI",L599,"")</f>
        <v>981</v>
      </c>
      <c r="L599" s="3">
        <f>IF(E599&lt;&gt;"",E599-G599-H599,"")</f>
        <v>981</v>
      </c>
    </row>
    <row r="600" spans="2:12">
      <c r="B600" s="2" t="s">
        <v>2364</v>
      </c>
      <c r="C600" s="9">
        <v>45978</v>
      </c>
      <c r="D600" s="4">
        <v>3</v>
      </c>
      <c r="E600" s="3">
        <v>1500</v>
      </c>
      <c r="F600" s="7">
        <f t="shared" si="9"/>
        <v>45978</v>
      </c>
      <c r="G600" s="3">
        <f>IF(E600&lt;&gt;"", E600*10%, "")</f>
        <v>150</v>
      </c>
      <c r="H600" s="3">
        <f>IF(E600&lt;&gt;"",ROUND(IF(E600&gt;1500,E600*5%,),0),"")</f>
        <v>0</v>
      </c>
      <c r="I600" s="2" t="s">
        <v>2926</v>
      </c>
      <c r="J600" s="3" t="str">
        <f>IF(I600="Cash",L600,"")</f>
        <v/>
      </c>
      <c r="K600" s="3">
        <f>IF(I600="UPI",L600,"")</f>
        <v>1350</v>
      </c>
      <c r="L600" s="3">
        <f>IF(E600&lt;&gt;"",E600-G600-H600,"")</f>
        <v>1350</v>
      </c>
    </row>
    <row r="601" spans="2:12">
      <c r="B601" s="2" t="s">
        <v>2365</v>
      </c>
      <c r="C601" s="9">
        <v>45978</v>
      </c>
      <c r="D601" s="4">
        <v>3</v>
      </c>
      <c r="E601" s="3">
        <v>1080</v>
      </c>
      <c r="F601" s="7">
        <f t="shared" si="9"/>
        <v>45978</v>
      </c>
      <c r="G601" s="3">
        <f>IF(E601&lt;&gt;"", E601*10%, "")</f>
        <v>108</v>
      </c>
      <c r="H601" s="3">
        <f>IF(E601&lt;&gt;"",ROUND(IF(E601&gt;1500,E601*5%,),0),"")</f>
        <v>0</v>
      </c>
      <c r="I601" s="2" t="s">
        <v>2926</v>
      </c>
      <c r="J601" s="3" t="str">
        <f>IF(I601="Cash",L601,"")</f>
        <v/>
      </c>
      <c r="K601" s="3">
        <f>IF(I601="UPI",L601,"")</f>
        <v>972</v>
      </c>
      <c r="L601" s="3">
        <f>IF(E601&lt;&gt;"",E601-G601-H601,"")</f>
        <v>972</v>
      </c>
    </row>
    <row r="602" spans="2:12">
      <c r="B602" s="2" t="s">
        <v>2366</v>
      </c>
      <c r="C602" s="9">
        <v>45978</v>
      </c>
      <c r="D602" s="4">
        <v>1</v>
      </c>
      <c r="E602" s="3">
        <v>420</v>
      </c>
      <c r="F602" s="7">
        <f t="shared" si="9"/>
        <v>45978</v>
      </c>
      <c r="G602" s="3">
        <f>IF(E602&lt;&gt;"", E602*10%, "")</f>
        <v>42</v>
      </c>
      <c r="H602" s="3">
        <f>IF(E602&lt;&gt;"",ROUND(IF(E602&gt;1500,E602*5%,),0),"")</f>
        <v>0</v>
      </c>
      <c r="I602" s="2" t="s">
        <v>2926</v>
      </c>
      <c r="J602" s="3" t="str">
        <f>IF(I602="Cash",L602,"")</f>
        <v/>
      </c>
      <c r="K602" s="3">
        <f>IF(I602="UPI",L602,"")</f>
        <v>378</v>
      </c>
      <c r="L602" s="3">
        <f>IF(E602&lt;&gt;"",E602-G602-H602,"")</f>
        <v>378</v>
      </c>
    </row>
    <row r="603" spans="2:12">
      <c r="B603" s="2" t="s">
        <v>2367</v>
      </c>
      <c r="C603" s="9">
        <v>45978</v>
      </c>
      <c r="D603" s="4">
        <v>3</v>
      </c>
      <c r="E603" s="3">
        <v>640</v>
      </c>
      <c r="F603" s="7">
        <f t="shared" si="9"/>
        <v>45978</v>
      </c>
      <c r="G603" s="3">
        <f>IF(E603&lt;&gt;"", E603*10%, "")</f>
        <v>64</v>
      </c>
      <c r="H603" s="3">
        <f>IF(E603&lt;&gt;"",ROUND(IF(E603&gt;1500,E603*5%,),0),"")</f>
        <v>0</v>
      </c>
      <c r="I603" s="2" t="s">
        <v>2926</v>
      </c>
      <c r="J603" s="3" t="str">
        <f>IF(I603="Cash",L603,"")</f>
        <v/>
      </c>
      <c r="K603" s="3">
        <f>IF(I603="UPI",L603,"")</f>
        <v>576</v>
      </c>
      <c r="L603" s="3">
        <f>IF(E603&lt;&gt;"",E603-G603-H603,"")</f>
        <v>576</v>
      </c>
    </row>
    <row r="604" spans="2:12">
      <c r="B604" s="2" t="s">
        <v>2368</v>
      </c>
      <c r="C604" s="9">
        <v>45978</v>
      </c>
      <c r="D604" s="4">
        <v>2</v>
      </c>
      <c r="E604" s="3">
        <v>1200</v>
      </c>
      <c r="F604" s="7">
        <f t="shared" si="9"/>
        <v>45978</v>
      </c>
      <c r="G604" s="3">
        <f>IF(E604&lt;&gt;"", E604*10%, "")</f>
        <v>120</v>
      </c>
      <c r="H604" s="3">
        <f>IF(E604&lt;&gt;"",ROUND(IF(E604&gt;1500,E604*5%,),0),"")</f>
        <v>0</v>
      </c>
      <c r="I604" s="2" t="s">
        <v>2926</v>
      </c>
      <c r="J604" s="3" t="str">
        <f>IF(I604="Cash",L604,"")</f>
        <v/>
      </c>
      <c r="K604" s="3">
        <f>IF(I604="UPI",L604,"")</f>
        <v>1080</v>
      </c>
      <c r="L604" s="3">
        <f>IF(E604&lt;&gt;"",E604-G604-H604,"")</f>
        <v>1080</v>
      </c>
    </row>
    <row r="605" spans="2:12">
      <c r="B605" s="2" t="s">
        <v>2369</v>
      </c>
      <c r="C605" s="9">
        <v>45978</v>
      </c>
      <c r="D605" s="4">
        <v>1</v>
      </c>
      <c r="E605" s="3">
        <v>940</v>
      </c>
      <c r="F605" s="7">
        <f t="shared" si="9"/>
        <v>45978</v>
      </c>
      <c r="G605" s="3">
        <f>IF(E605&lt;&gt;"", E605*10%, "")</f>
        <v>94</v>
      </c>
      <c r="H605" s="3">
        <f>IF(E605&lt;&gt;"",ROUND(IF(E605&gt;1500,E605*5%,),0),"")</f>
        <v>0</v>
      </c>
      <c r="I605" s="2" t="s">
        <v>2926</v>
      </c>
      <c r="J605" s="3" t="str">
        <f>IF(I605="Cash",L605,"")</f>
        <v/>
      </c>
      <c r="K605" s="3">
        <f>IF(I605="UPI",L605,"")</f>
        <v>846</v>
      </c>
      <c r="L605" s="3">
        <f>IF(E605&lt;&gt;"",E605-G605-H605,"")</f>
        <v>846</v>
      </c>
    </row>
    <row r="606" spans="2:12">
      <c r="B606" s="2" t="s">
        <v>2370</v>
      </c>
      <c r="C606" s="9">
        <v>45978</v>
      </c>
      <c r="D606" s="4">
        <v>2</v>
      </c>
      <c r="E606" s="3">
        <v>970</v>
      </c>
      <c r="F606" s="7">
        <f t="shared" si="9"/>
        <v>45978</v>
      </c>
      <c r="G606" s="3">
        <f>IF(E606&lt;&gt;"", E606*10%, "")</f>
        <v>97</v>
      </c>
      <c r="H606" s="3">
        <f>IF(E606&lt;&gt;"",ROUND(IF(E606&gt;1500,E606*5%,),0),"")</f>
        <v>0</v>
      </c>
      <c r="I606" s="2" t="s">
        <v>2926</v>
      </c>
      <c r="J606" s="3" t="str">
        <f>IF(I606="Cash",L606,"")</f>
        <v/>
      </c>
      <c r="K606" s="3">
        <f>IF(I606="UPI",L606,"")</f>
        <v>873</v>
      </c>
      <c r="L606" s="3">
        <f>IF(E606&lt;&gt;"",E606-G606-H606,"")</f>
        <v>873</v>
      </c>
    </row>
    <row r="607" spans="2:12">
      <c r="B607" s="2" t="s">
        <v>2371</v>
      </c>
      <c r="C607" s="9">
        <v>45978</v>
      </c>
      <c r="D607" s="4">
        <v>1</v>
      </c>
      <c r="E607" s="3">
        <v>920</v>
      </c>
      <c r="F607" s="7">
        <f t="shared" si="9"/>
        <v>45978</v>
      </c>
      <c r="G607" s="3">
        <f>IF(E607&lt;&gt;"", E607*10%, "")</f>
        <v>92</v>
      </c>
      <c r="H607" s="3">
        <f>IF(E607&lt;&gt;"",ROUND(IF(E607&gt;1500,E607*5%,),0),"")</f>
        <v>0</v>
      </c>
      <c r="I607" s="2" t="s">
        <v>2926</v>
      </c>
      <c r="J607" s="3" t="str">
        <f>IF(I607="Cash",L607,"")</f>
        <v/>
      </c>
      <c r="K607" s="3">
        <f>IF(I607="UPI",L607,"")</f>
        <v>828</v>
      </c>
      <c r="L607" s="3">
        <f>IF(E607&lt;&gt;"",E607-G607-H607,"")</f>
        <v>828</v>
      </c>
    </row>
    <row r="608" spans="2:12">
      <c r="B608" s="2" t="s">
        <v>2372</v>
      </c>
      <c r="C608" s="9">
        <v>45978</v>
      </c>
      <c r="D608" s="4">
        <v>3</v>
      </c>
      <c r="E608" s="3">
        <v>2820</v>
      </c>
      <c r="F608" s="7">
        <f t="shared" si="9"/>
        <v>45978</v>
      </c>
      <c r="G608" s="3">
        <f>IF(E608&lt;&gt;"", E608*10%, "")</f>
        <v>282</v>
      </c>
      <c r="H608" s="3">
        <f>IF(E608&lt;&gt;"",ROUND(IF(E608&gt;1500,E608*5%,),0),"")</f>
        <v>141</v>
      </c>
      <c r="I608" s="2" t="s">
        <v>2928</v>
      </c>
      <c r="J608" s="3">
        <v>700</v>
      </c>
      <c r="K608" s="3">
        <v>1697</v>
      </c>
      <c r="L608" s="3">
        <f>IF(E608&lt;&gt;"",E608-G608-H608,"")</f>
        <v>2397</v>
      </c>
    </row>
    <row r="609" spans="2:12">
      <c r="B609" s="2" t="s">
        <v>2373</v>
      </c>
      <c r="C609" s="9">
        <v>45978</v>
      </c>
      <c r="D609" s="4">
        <v>1</v>
      </c>
      <c r="E609" s="3">
        <v>360</v>
      </c>
      <c r="F609" s="7">
        <f t="shared" si="9"/>
        <v>45978</v>
      </c>
      <c r="G609" s="3">
        <f>IF(E609&lt;&gt;"", E609*10%, "")</f>
        <v>36</v>
      </c>
      <c r="H609" s="3">
        <f>IF(E609&lt;&gt;"",ROUND(IF(E609&gt;1500,E609*5%,),0),"")</f>
        <v>0</v>
      </c>
      <c r="I609" s="2" t="s">
        <v>2926</v>
      </c>
      <c r="J609" s="3" t="str">
        <f>IF(I609="Cash",L609,"")</f>
        <v/>
      </c>
      <c r="K609" s="3">
        <f>IF(I609="UPI",L609,"")</f>
        <v>324</v>
      </c>
      <c r="L609" s="3">
        <f>IF(E609&lt;&gt;"",E609-G609-H609,"")</f>
        <v>324</v>
      </c>
    </row>
    <row r="610" spans="2:12">
      <c r="B610" s="2" t="s">
        <v>2374</v>
      </c>
      <c r="C610" s="9">
        <v>45978</v>
      </c>
      <c r="D610" s="4">
        <v>2</v>
      </c>
      <c r="E610" s="3">
        <v>520</v>
      </c>
      <c r="F610" s="7">
        <f t="shared" si="9"/>
        <v>45978</v>
      </c>
      <c r="G610" s="3">
        <f>IF(E610&lt;&gt;"", E610*10%, "")</f>
        <v>52</v>
      </c>
      <c r="H610" s="3">
        <f>IF(E610&lt;&gt;"",ROUND(IF(E610&gt;1500,E610*5%,),0),"")</f>
        <v>0</v>
      </c>
      <c r="I610" s="2" t="s">
        <v>2926</v>
      </c>
      <c r="J610" s="3" t="str">
        <f>IF(I610="Cash",L610,"")</f>
        <v/>
      </c>
      <c r="K610" s="3">
        <f>IF(I610="UPI",L610,"")</f>
        <v>468</v>
      </c>
      <c r="L610" s="3">
        <f>IF(E610&lt;&gt;"",E610-G610-H610,"")</f>
        <v>468</v>
      </c>
    </row>
    <row r="611" spans="2:12">
      <c r="B611" s="2" t="s">
        <v>2375</v>
      </c>
      <c r="C611" s="9">
        <v>45978</v>
      </c>
      <c r="D611" s="4">
        <v>3</v>
      </c>
      <c r="E611" s="3">
        <v>2190</v>
      </c>
      <c r="F611" s="7">
        <f t="shared" si="9"/>
        <v>45978</v>
      </c>
      <c r="G611" s="3">
        <f>IF(E611&lt;&gt;"", E611*10%, "")</f>
        <v>219</v>
      </c>
      <c r="H611" s="3">
        <f>IF(E611&lt;&gt;"",ROUND(IF(E611&gt;1500,E611*5%,),0),"")</f>
        <v>110</v>
      </c>
      <c r="I611" s="2" t="s">
        <v>2925</v>
      </c>
      <c r="J611" s="3">
        <f>IF(I611="Cash",L611,"")</f>
        <v>1861</v>
      </c>
      <c r="K611" s="3" t="str">
        <f>IF(I611="UPI",L611,"")</f>
        <v/>
      </c>
      <c r="L611" s="3">
        <f>IF(E611&lt;&gt;"",E611-G611-H611,"")</f>
        <v>1861</v>
      </c>
    </row>
    <row r="612" spans="2:12">
      <c r="B612" s="2" t="s">
        <v>2376</v>
      </c>
      <c r="C612" s="9">
        <v>45978</v>
      </c>
      <c r="D612" s="4">
        <v>2</v>
      </c>
      <c r="E612" s="3">
        <v>1490</v>
      </c>
      <c r="F612" s="7">
        <f t="shared" si="9"/>
        <v>45978</v>
      </c>
      <c r="G612" s="3">
        <f>IF(E612&lt;&gt;"", E612*10%, "")</f>
        <v>149</v>
      </c>
      <c r="H612" s="3">
        <f>IF(E612&lt;&gt;"",ROUND(IF(E612&gt;1500,E612*5%,),0),"")</f>
        <v>0</v>
      </c>
      <c r="I612" s="2" t="s">
        <v>2926</v>
      </c>
      <c r="J612" s="3" t="str">
        <f>IF(I612="Cash",L612,"")</f>
        <v/>
      </c>
      <c r="K612" s="3">
        <f>IF(I612="UPI",L612,"")</f>
        <v>1341</v>
      </c>
      <c r="L612" s="3">
        <f>IF(E612&lt;&gt;"",E612-G612-H612,"")</f>
        <v>1341</v>
      </c>
    </row>
    <row r="613" spans="2:12">
      <c r="B613" s="2" t="s">
        <v>2377</v>
      </c>
      <c r="C613" s="9">
        <v>45978</v>
      </c>
      <c r="D613" s="4">
        <v>4</v>
      </c>
      <c r="E613" s="3">
        <v>3270</v>
      </c>
      <c r="F613" s="7">
        <f t="shared" si="9"/>
        <v>45978</v>
      </c>
      <c r="G613" s="3">
        <f>IF(E613&lt;&gt;"", E613*10%, "")</f>
        <v>327</v>
      </c>
      <c r="H613" s="3">
        <f>IF(E613&lt;&gt;"",ROUND(IF(E613&gt;1500,E613*5%,),0),"")</f>
        <v>164</v>
      </c>
      <c r="I613" s="2" t="s">
        <v>2928</v>
      </c>
      <c r="J613" s="3">
        <v>500</v>
      </c>
      <c r="K613" s="3">
        <v>2279</v>
      </c>
      <c r="L613" s="3">
        <f>IF(E613&lt;&gt;"",E613-G613-H613,"")</f>
        <v>2779</v>
      </c>
    </row>
    <row r="614" spans="2:12">
      <c r="B614" s="2" t="s">
        <v>2378</v>
      </c>
      <c r="C614" s="9">
        <v>45978</v>
      </c>
      <c r="D614" s="4">
        <v>2</v>
      </c>
      <c r="E614" s="3">
        <v>1340</v>
      </c>
      <c r="F614" s="7">
        <f t="shared" si="9"/>
        <v>45978</v>
      </c>
      <c r="G614" s="3">
        <f>IF(E614&lt;&gt;"", E614*10%, "")</f>
        <v>134</v>
      </c>
      <c r="H614" s="3">
        <f>IF(E614&lt;&gt;"",ROUND(IF(E614&gt;1500,E614*5%,),0),"")</f>
        <v>0</v>
      </c>
      <c r="I614" s="2" t="s">
        <v>2926</v>
      </c>
      <c r="J614" s="3" t="str">
        <f>IF(I614="Cash",L614,"")</f>
        <v/>
      </c>
      <c r="K614" s="3">
        <f>IF(I614="UPI",L614,"")</f>
        <v>1206</v>
      </c>
      <c r="L614" s="3">
        <f>IF(E614&lt;&gt;"",E614-G614-H614,"")</f>
        <v>1206</v>
      </c>
    </row>
    <row r="615" spans="2:12">
      <c r="B615" s="2" t="s">
        <v>2379</v>
      </c>
      <c r="C615" s="9">
        <v>45978</v>
      </c>
      <c r="D615" s="4">
        <v>2</v>
      </c>
      <c r="E615" s="3">
        <v>1520</v>
      </c>
      <c r="F615" s="7">
        <f t="shared" si="9"/>
        <v>45978</v>
      </c>
      <c r="G615" s="3">
        <f>IF(E615&lt;&gt;"", E615*10%, "")</f>
        <v>152</v>
      </c>
      <c r="H615" s="3">
        <f>IF(E615&lt;&gt;"",ROUND(IF(E615&gt;1500,E615*5%,),0),"")</f>
        <v>76</v>
      </c>
      <c r="I615" s="2" t="s">
        <v>2926</v>
      </c>
      <c r="J615" s="3" t="str">
        <f>IF(I615="Cash",L615,"")</f>
        <v/>
      </c>
      <c r="K615" s="3">
        <f>IF(I615="UPI",L615,"")</f>
        <v>1292</v>
      </c>
      <c r="L615" s="3">
        <f>IF(E615&lt;&gt;"",E615-G615-H615,"")</f>
        <v>1292</v>
      </c>
    </row>
    <row r="616" spans="2:12">
      <c r="B616" s="2" t="s">
        <v>2380</v>
      </c>
      <c r="C616" s="9">
        <v>45978</v>
      </c>
      <c r="D616" s="4">
        <v>3</v>
      </c>
      <c r="E616" s="3">
        <v>1690</v>
      </c>
      <c r="F616" s="7">
        <f t="shared" si="9"/>
        <v>45978</v>
      </c>
      <c r="G616" s="3">
        <f>IF(E616&lt;&gt;"", E616*10%, "")</f>
        <v>169</v>
      </c>
      <c r="H616" s="3">
        <f>IF(E616&lt;&gt;"",ROUND(IF(E616&gt;1500,E616*5%,),0),"")</f>
        <v>85</v>
      </c>
      <c r="I616" s="2" t="s">
        <v>2926</v>
      </c>
      <c r="J616" s="3" t="str">
        <f>IF(I616="Cash",L616,"")</f>
        <v/>
      </c>
      <c r="K616" s="3">
        <f>IF(I616="UPI",L616,"")</f>
        <v>1436</v>
      </c>
      <c r="L616" s="3">
        <f>IF(E616&lt;&gt;"",E616-G616-H616,"")</f>
        <v>1436</v>
      </c>
    </row>
    <row r="617" spans="2:12">
      <c r="B617" s="2" t="s">
        <v>2381</v>
      </c>
      <c r="C617" s="9">
        <v>45978</v>
      </c>
      <c r="D617" s="4">
        <v>2</v>
      </c>
      <c r="E617" s="3">
        <v>860</v>
      </c>
      <c r="F617" s="7">
        <f t="shared" si="9"/>
        <v>45978</v>
      </c>
      <c r="G617" s="3">
        <f>IF(E617&lt;&gt;"", E617*10%, "")</f>
        <v>86</v>
      </c>
      <c r="H617" s="3">
        <f>IF(E617&lt;&gt;"",ROUND(IF(E617&gt;1500,E617*5%,),0),"")</f>
        <v>0</v>
      </c>
      <c r="I617" s="2" t="s">
        <v>2926</v>
      </c>
      <c r="J617" s="3" t="str">
        <f>IF(I617="Cash",L617,"")</f>
        <v/>
      </c>
      <c r="K617" s="3">
        <f>IF(I617="UPI",L617,"")</f>
        <v>774</v>
      </c>
      <c r="L617" s="3">
        <f>IF(E617&lt;&gt;"",E617-G617-H617,"")</f>
        <v>774</v>
      </c>
    </row>
    <row r="618" spans="2:12">
      <c r="B618" s="2" t="s">
        <v>2382</v>
      </c>
      <c r="C618" s="9">
        <v>45979</v>
      </c>
      <c r="D618" s="4">
        <v>2</v>
      </c>
      <c r="E618" s="3">
        <v>1670</v>
      </c>
      <c r="F618" s="7">
        <f t="shared" si="9"/>
        <v>45979</v>
      </c>
      <c r="G618" s="3">
        <f>IF(E618&lt;&gt;"", E618*10%, "")</f>
        <v>167</v>
      </c>
      <c r="H618" s="3">
        <f>IF(E618&lt;&gt;"",ROUND(IF(E618&gt;1500,E618*5%,),0),"")</f>
        <v>84</v>
      </c>
      <c r="I618" s="2" t="s">
        <v>2926</v>
      </c>
      <c r="J618" s="3" t="str">
        <f>IF(I618="Cash",L618,"")</f>
        <v/>
      </c>
      <c r="K618" s="3">
        <f>IF(I618="UPI",L618,"")</f>
        <v>1419</v>
      </c>
      <c r="L618" s="3">
        <f>IF(E618&lt;&gt;"",E618-G618-H618,"")</f>
        <v>1419</v>
      </c>
    </row>
    <row r="619" spans="2:12">
      <c r="B619" s="2" t="s">
        <v>2383</v>
      </c>
      <c r="C619" s="9">
        <v>45979</v>
      </c>
      <c r="D619" s="4">
        <v>1</v>
      </c>
      <c r="E619" s="3">
        <v>800</v>
      </c>
      <c r="F619" s="7">
        <f t="shared" si="9"/>
        <v>45979</v>
      </c>
      <c r="G619" s="3">
        <f>IF(E619&lt;&gt;"", E619*10%, "")</f>
        <v>80</v>
      </c>
      <c r="H619" s="3">
        <f>IF(E619&lt;&gt;"",ROUND(IF(E619&gt;1500,E619*5%,),0),"")</f>
        <v>0</v>
      </c>
      <c r="I619" s="2" t="s">
        <v>2926</v>
      </c>
      <c r="J619" s="3" t="str">
        <f>IF(I619="Cash",L619,"")</f>
        <v/>
      </c>
      <c r="K619" s="3">
        <f>IF(I619="UPI",L619,"")</f>
        <v>720</v>
      </c>
      <c r="L619" s="3">
        <f>IF(E619&lt;&gt;"",E619-G619-H619,"")</f>
        <v>720</v>
      </c>
    </row>
    <row r="620" spans="2:12">
      <c r="B620" s="2" t="s">
        <v>2384</v>
      </c>
      <c r="C620" s="9">
        <v>45979</v>
      </c>
      <c r="D620" s="4">
        <v>2</v>
      </c>
      <c r="E620" s="3">
        <v>990</v>
      </c>
      <c r="F620" s="7">
        <f t="shared" si="9"/>
        <v>45979</v>
      </c>
      <c r="G620" s="3">
        <f>IF(E620&lt;&gt;"", E620*10%, "")</f>
        <v>99</v>
      </c>
      <c r="H620" s="3">
        <f>IF(E620&lt;&gt;"",ROUND(IF(E620&gt;1500,E620*5%,),0),"")</f>
        <v>0</v>
      </c>
      <c r="I620" s="2" t="s">
        <v>2926</v>
      </c>
      <c r="J620" s="3" t="str">
        <f>IF(I620="Cash",L620,"")</f>
        <v/>
      </c>
      <c r="K620" s="3">
        <f>IF(I620="UPI",L620,"")</f>
        <v>891</v>
      </c>
      <c r="L620" s="3">
        <f>IF(E620&lt;&gt;"",E620-G620-H620,"")</f>
        <v>891</v>
      </c>
    </row>
    <row r="621" spans="2:12">
      <c r="B621" s="2" t="s">
        <v>2385</v>
      </c>
      <c r="C621" s="9">
        <v>45979</v>
      </c>
      <c r="D621" s="4">
        <v>1</v>
      </c>
      <c r="E621" s="3">
        <v>590</v>
      </c>
      <c r="F621" s="7">
        <f t="shared" si="9"/>
        <v>45979</v>
      </c>
      <c r="G621" s="3">
        <f>IF(E621&lt;&gt;"", E621*10%, "")</f>
        <v>59</v>
      </c>
      <c r="H621" s="3">
        <f>IF(E621&lt;&gt;"",ROUND(IF(E621&gt;1500,E621*5%,),0),"")</f>
        <v>0</v>
      </c>
      <c r="I621" s="2" t="s">
        <v>2926</v>
      </c>
      <c r="J621" s="3" t="str">
        <f>IF(I621="Cash",L621,"")</f>
        <v/>
      </c>
      <c r="K621" s="3">
        <f>IF(I621="UPI",L621,"")</f>
        <v>531</v>
      </c>
      <c r="L621" s="3">
        <f>IF(E621&lt;&gt;"",E621-G621-H621,"")</f>
        <v>531</v>
      </c>
    </row>
    <row r="622" spans="2:12">
      <c r="B622" s="2" t="s">
        <v>2386</v>
      </c>
      <c r="C622" s="9">
        <v>45979</v>
      </c>
      <c r="D622" s="4">
        <v>3</v>
      </c>
      <c r="E622" s="3">
        <v>1990</v>
      </c>
      <c r="F622" s="7">
        <f t="shared" si="9"/>
        <v>45979</v>
      </c>
      <c r="G622" s="3">
        <f>IF(E622&lt;&gt;"", E622*10%, "")</f>
        <v>199</v>
      </c>
      <c r="H622" s="3">
        <f>IF(E622&lt;&gt;"",ROUND(IF(E622&gt;1500,E622*5%,),0),"")</f>
        <v>100</v>
      </c>
      <c r="I622" s="2" t="s">
        <v>2925</v>
      </c>
      <c r="J622" s="3">
        <f>IF(I622="Cash",L622,"")</f>
        <v>1691</v>
      </c>
      <c r="K622" s="3" t="str">
        <f>IF(I622="UPI",L622,"")</f>
        <v/>
      </c>
      <c r="L622" s="3">
        <f>IF(E622&lt;&gt;"",E622-G622-H622,"")</f>
        <v>1691</v>
      </c>
    </row>
    <row r="623" spans="2:12">
      <c r="B623" s="2" t="s">
        <v>2387</v>
      </c>
      <c r="C623" s="9">
        <v>45979</v>
      </c>
      <c r="D623" s="4">
        <v>3</v>
      </c>
      <c r="E623" s="3">
        <v>2530</v>
      </c>
      <c r="F623" s="7">
        <f t="shared" si="9"/>
        <v>45979</v>
      </c>
      <c r="G623" s="3">
        <f>IF(E623&lt;&gt;"", E623*10%, "")</f>
        <v>253</v>
      </c>
      <c r="H623" s="3">
        <f>IF(E623&lt;&gt;"",ROUND(IF(E623&gt;1500,E623*5%,),0),"")</f>
        <v>127</v>
      </c>
      <c r="I623" s="2" t="s">
        <v>2925</v>
      </c>
      <c r="J623" s="3">
        <f>IF(I623="Cash",L623,"")</f>
        <v>2150</v>
      </c>
      <c r="K623" s="3" t="str">
        <f>IF(I623="UPI",L623,"")</f>
        <v/>
      </c>
      <c r="L623" s="3">
        <f>IF(E623&lt;&gt;"",E623-G623-H623,"")</f>
        <v>2150</v>
      </c>
    </row>
    <row r="624" spans="2:12">
      <c r="B624" s="2" t="s">
        <v>2388</v>
      </c>
      <c r="C624" s="9">
        <v>45979</v>
      </c>
      <c r="D624" s="4">
        <v>4</v>
      </c>
      <c r="E624" s="3">
        <v>1470</v>
      </c>
      <c r="F624" s="7">
        <f t="shared" si="9"/>
        <v>45979</v>
      </c>
      <c r="G624" s="3">
        <f>IF(E624&lt;&gt;"", E624*10%, "")</f>
        <v>147</v>
      </c>
      <c r="H624" s="3">
        <f>IF(E624&lt;&gt;"",ROUND(IF(E624&gt;1500,E624*5%,),0),"")</f>
        <v>0</v>
      </c>
      <c r="I624" s="2" t="s">
        <v>2926</v>
      </c>
      <c r="J624" s="3" t="str">
        <f>IF(I624="Cash",L624,"")</f>
        <v/>
      </c>
      <c r="K624" s="3">
        <f>IF(I624="UPI",L624,"")</f>
        <v>1323</v>
      </c>
      <c r="L624" s="3">
        <f>IF(E624&lt;&gt;"",E624-G624-H624,"")</f>
        <v>1323</v>
      </c>
    </row>
    <row r="625" spans="2:12">
      <c r="B625" s="2" t="s">
        <v>2389</v>
      </c>
      <c r="C625" s="9">
        <v>45979</v>
      </c>
      <c r="D625" s="4">
        <v>2</v>
      </c>
      <c r="E625" s="3">
        <v>1000</v>
      </c>
      <c r="F625" s="7">
        <f t="shared" si="9"/>
        <v>45979</v>
      </c>
      <c r="G625" s="3">
        <f>IF(E625&lt;&gt;"", E625*10%, "")</f>
        <v>100</v>
      </c>
      <c r="H625" s="3">
        <f>IF(E625&lt;&gt;"",ROUND(IF(E625&gt;1500,E625*5%,),0),"")</f>
        <v>0</v>
      </c>
      <c r="I625" s="2" t="s">
        <v>2926</v>
      </c>
      <c r="J625" s="3" t="str">
        <f>IF(I625="Cash",L625,"")</f>
        <v/>
      </c>
      <c r="K625" s="3">
        <f>IF(I625="UPI",L625,"")</f>
        <v>900</v>
      </c>
      <c r="L625" s="3">
        <f>IF(E625&lt;&gt;"",E625-G625-H625,"")</f>
        <v>900</v>
      </c>
    </row>
    <row r="626" spans="2:12">
      <c r="B626" s="2" t="s">
        <v>2390</v>
      </c>
      <c r="C626" s="9">
        <v>45979</v>
      </c>
      <c r="D626" s="4">
        <v>4</v>
      </c>
      <c r="E626" s="3">
        <v>2190</v>
      </c>
      <c r="F626" s="7">
        <f t="shared" si="9"/>
        <v>45979</v>
      </c>
      <c r="G626" s="3">
        <f>IF(E626&lt;&gt;"", E626*10%, "")</f>
        <v>219</v>
      </c>
      <c r="H626" s="3">
        <f>IF(E626&lt;&gt;"",ROUND(IF(E626&gt;1500,E626*5%,),0),"")</f>
        <v>110</v>
      </c>
      <c r="I626" s="2" t="s">
        <v>2925</v>
      </c>
      <c r="J626" s="3">
        <f>IF(I626="Cash",L626,"")</f>
        <v>1861</v>
      </c>
      <c r="K626" s="3" t="str">
        <f>IF(I626="UPI",L626,"")</f>
        <v/>
      </c>
      <c r="L626" s="3">
        <f>IF(E626&lt;&gt;"",E626-G626-H626,"")</f>
        <v>1861</v>
      </c>
    </row>
    <row r="627" spans="2:12">
      <c r="B627" s="2" t="s">
        <v>2391</v>
      </c>
      <c r="C627" s="9">
        <v>45979</v>
      </c>
      <c r="D627" s="4">
        <v>2</v>
      </c>
      <c r="E627" s="3">
        <v>1160</v>
      </c>
      <c r="F627" s="7">
        <f t="shared" si="9"/>
        <v>45979</v>
      </c>
      <c r="G627" s="3">
        <f>IF(E627&lt;&gt;"", E627*10%, "")</f>
        <v>116</v>
      </c>
      <c r="H627" s="3">
        <f>IF(E627&lt;&gt;"",ROUND(IF(E627&gt;1500,E627*5%,),0),"")</f>
        <v>0</v>
      </c>
      <c r="I627" s="2" t="s">
        <v>2926</v>
      </c>
      <c r="J627" s="3" t="str">
        <f>IF(I627="Cash",L627,"")</f>
        <v/>
      </c>
      <c r="K627" s="3">
        <f>IF(I627="UPI",L627,"")</f>
        <v>1044</v>
      </c>
      <c r="L627" s="3">
        <f>IF(E627&lt;&gt;"",E627-G627-H627,"")</f>
        <v>1044</v>
      </c>
    </row>
    <row r="628" spans="2:12">
      <c r="B628" s="2" t="s">
        <v>2392</v>
      </c>
      <c r="C628" s="9">
        <v>45979</v>
      </c>
      <c r="D628" s="4">
        <v>2</v>
      </c>
      <c r="E628" s="3">
        <v>270</v>
      </c>
      <c r="F628" s="7">
        <f t="shared" si="9"/>
        <v>45979</v>
      </c>
      <c r="G628" s="3">
        <f>IF(E628&lt;&gt;"", E628*10%, "")</f>
        <v>27</v>
      </c>
      <c r="H628" s="3">
        <f>IF(E628&lt;&gt;"",ROUND(IF(E628&gt;1500,E628*5%,),0),"")</f>
        <v>0</v>
      </c>
      <c r="I628" s="2" t="s">
        <v>2926</v>
      </c>
      <c r="J628" s="3" t="str">
        <f>IF(I628="Cash",L628,"")</f>
        <v/>
      </c>
      <c r="K628" s="3">
        <f>IF(I628="UPI",L628,"")</f>
        <v>243</v>
      </c>
      <c r="L628" s="3">
        <f>IF(E628&lt;&gt;"",E628-G628-H628,"")</f>
        <v>243</v>
      </c>
    </row>
    <row r="629" spans="2:12">
      <c r="B629" s="2" t="s">
        <v>2393</v>
      </c>
      <c r="C629" s="9">
        <v>45979</v>
      </c>
      <c r="D629" s="4">
        <v>3</v>
      </c>
      <c r="E629" s="3">
        <v>1240</v>
      </c>
      <c r="F629" s="7">
        <f t="shared" si="9"/>
        <v>45979</v>
      </c>
      <c r="G629" s="3">
        <f>IF(E629&lt;&gt;"", E629*10%, "")</f>
        <v>124</v>
      </c>
      <c r="H629" s="3">
        <f>IF(E629&lt;&gt;"",ROUND(IF(E629&gt;1500,E629*5%,),0),"")</f>
        <v>0</v>
      </c>
      <c r="I629" s="2" t="s">
        <v>2926</v>
      </c>
      <c r="J629" s="3" t="str">
        <f>IF(I629="Cash",L629,"")</f>
        <v/>
      </c>
      <c r="K629" s="3">
        <f>IF(I629="UPI",L629,"")</f>
        <v>1116</v>
      </c>
      <c r="L629" s="3">
        <f>IF(E629&lt;&gt;"",E629-G629-H629,"")</f>
        <v>1116</v>
      </c>
    </row>
    <row r="630" spans="2:12">
      <c r="B630" s="2" t="s">
        <v>2394</v>
      </c>
      <c r="C630" s="9">
        <v>45979</v>
      </c>
      <c r="D630" s="4">
        <v>1</v>
      </c>
      <c r="E630" s="3">
        <v>910</v>
      </c>
      <c r="F630" s="7">
        <f t="shared" si="9"/>
        <v>45979</v>
      </c>
      <c r="G630" s="3">
        <f>IF(E630&lt;&gt;"", E630*10%, "")</f>
        <v>91</v>
      </c>
      <c r="H630" s="3">
        <f>IF(E630&lt;&gt;"",ROUND(IF(E630&gt;1500,E630*5%,),0),"")</f>
        <v>0</v>
      </c>
      <c r="I630" s="2" t="s">
        <v>2926</v>
      </c>
      <c r="J630" s="3" t="str">
        <f>IF(I630="Cash",L630,"")</f>
        <v/>
      </c>
      <c r="K630" s="3">
        <f>IF(I630="UPI",L630,"")</f>
        <v>819</v>
      </c>
      <c r="L630" s="3">
        <f>IF(E630&lt;&gt;"",E630-G630-H630,"")</f>
        <v>819</v>
      </c>
    </row>
    <row r="631" spans="2:12">
      <c r="B631" s="2" t="s">
        <v>2395</v>
      </c>
      <c r="C631" s="9">
        <v>45979</v>
      </c>
      <c r="D631" s="4">
        <v>4</v>
      </c>
      <c r="E631" s="3">
        <v>1960</v>
      </c>
      <c r="F631" s="7">
        <f t="shared" si="9"/>
        <v>45979</v>
      </c>
      <c r="G631" s="3">
        <f>IF(E631&lt;&gt;"", E631*10%, "")</f>
        <v>196</v>
      </c>
      <c r="H631" s="3">
        <f>IF(E631&lt;&gt;"",ROUND(IF(E631&gt;1500,E631*5%,),0),"")</f>
        <v>98</v>
      </c>
      <c r="I631" s="2" t="s">
        <v>2925</v>
      </c>
      <c r="J631" s="3">
        <f>IF(I631="Cash",L631,"")</f>
        <v>1666</v>
      </c>
      <c r="K631" s="3" t="str">
        <f>IF(I631="UPI",L631,"")</f>
        <v/>
      </c>
      <c r="L631" s="3">
        <f>IF(E631&lt;&gt;"",E631-G631-H631,"")</f>
        <v>1666</v>
      </c>
    </row>
    <row r="632" spans="2:12">
      <c r="B632" s="2" t="s">
        <v>2396</v>
      </c>
      <c r="C632" s="9">
        <v>45979</v>
      </c>
      <c r="D632" s="4">
        <v>1</v>
      </c>
      <c r="E632" s="3">
        <v>630</v>
      </c>
      <c r="F632" s="7">
        <f t="shared" si="9"/>
        <v>45979</v>
      </c>
      <c r="G632" s="3">
        <f>IF(E632&lt;&gt;"", E632*10%, "")</f>
        <v>63</v>
      </c>
      <c r="H632" s="3">
        <f>IF(E632&lt;&gt;"",ROUND(IF(E632&gt;1500,E632*5%,),0),"")</f>
        <v>0</v>
      </c>
      <c r="I632" s="2" t="s">
        <v>2926</v>
      </c>
      <c r="J632" s="3" t="str">
        <f>IF(I632="Cash",L632,"")</f>
        <v/>
      </c>
      <c r="K632" s="3">
        <f>IF(I632="UPI",L632,"")</f>
        <v>567</v>
      </c>
      <c r="L632" s="3">
        <f>IF(E632&lt;&gt;"",E632-G632-H632,"")</f>
        <v>567</v>
      </c>
    </row>
    <row r="633" spans="2:12">
      <c r="B633" s="2" t="s">
        <v>2397</v>
      </c>
      <c r="C633" s="9">
        <v>45979</v>
      </c>
      <c r="D633" s="4">
        <v>3</v>
      </c>
      <c r="E633" s="3">
        <v>2580</v>
      </c>
      <c r="F633" s="7">
        <f t="shared" si="9"/>
        <v>45979</v>
      </c>
      <c r="G633" s="3">
        <f>IF(E633&lt;&gt;"", E633*10%, "")</f>
        <v>258</v>
      </c>
      <c r="H633" s="3">
        <f>IF(E633&lt;&gt;"",ROUND(IF(E633&gt;1500,E633*5%,),0),"")</f>
        <v>129</v>
      </c>
      <c r="I633" s="2" t="s">
        <v>2925</v>
      </c>
      <c r="J633" s="3">
        <f>IF(I633="Cash",L633,"")</f>
        <v>2193</v>
      </c>
      <c r="K633" s="3" t="str">
        <f>IF(I633="UPI",L633,"")</f>
        <v/>
      </c>
      <c r="L633" s="3">
        <f>IF(E633&lt;&gt;"",E633-G633-H633,"")</f>
        <v>2193</v>
      </c>
    </row>
    <row r="634" spans="2:12">
      <c r="B634" s="2" t="s">
        <v>2398</v>
      </c>
      <c r="C634" s="9">
        <v>45979</v>
      </c>
      <c r="D634" s="4">
        <v>3</v>
      </c>
      <c r="E634" s="3">
        <v>1810</v>
      </c>
      <c r="F634" s="7">
        <f t="shared" si="9"/>
        <v>45979</v>
      </c>
      <c r="G634" s="3">
        <f>IF(E634&lt;&gt;"", E634*10%, "")</f>
        <v>181</v>
      </c>
      <c r="H634" s="3">
        <f>IF(E634&lt;&gt;"",ROUND(IF(E634&gt;1500,E634*5%,),0),"")</f>
        <v>91</v>
      </c>
      <c r="I634" s="2" t="s">
        <v>2925</v>
      </c>
      <c r="J634" s="3">
        <f>IF(I634="Cash",L634,"")</f>
        <v>1538</v>
      </c>
      <c r="K634" s="3" t="str">
        <f>IF(I634="UPI",L634,"")</f>
        <v/>
      </c>
      <c r="L634" s="3">
        <f>IF(E634&lt;&gt;"",E634-G634-H634,"")</f>
        <v>1538</v>
      </c>
    </row>
    <row r="635" spans="2:12">
      <c r="B635" s="2" t="s">
        <v>2399</v>
      </c>
      <c r="C635" s="9">
        <v>45980</v>
      </c>
      <c r="D635" s="4">
        <v>2</v>
      </c>
      <c r="E635" s="3">
        <v>1340</v>
      </c>
      <c r="F635" s="7">
        <f t="shared" si="9"/>
        <v>45980</v>
      </c>
      <c r="G635" s="3">
        <f>IF(E635&lt;&gt;"", E635*10%, "")</f>
        <v>134</v>
      </c>
      <c r="H635" s="3">
        <f>IF(E635&lt;&gt;"",ROUND(IF(E635&gt;1500,E635*5%,),0),"")</f>
        <v>0</v>
      </c>
      <c r="I635" s="2" t="s">
        <v>2926</v>
      </c>
      <c r="J635" s="3" t="str">
        <f>IF(I635="Cash",L635,"")</f>
        <v/>
      </c>
      <c r="K635" s="3">
        <f>IF(I635="UPI",L635,"")</f>
        <v>1206</v>
      </c>
      <c r="L635" s="3">
        <f>IF(E635&lt;&gt;"",E635-G635-H635,"")</f>
        <v>1206</v>
      </c>
    </row>
    <row r="636" spans="2:12">
      <c r="B636" s="2" t="s">
        <v>2400</v>
      </c>
      <c r="C636" s="9">
        <v>45980</v>
      </c>
      <c r="D636" s="4">
        <v>4</v>
      </c>
      <c r="E636" s="3">
        <v>3170</v>
      </c>
      <c r="F636" s="7">
        <f t="shared" si="9"/>
        <v>45980</v>
      </c>
      <c r="G636" s="3">
        <f>IF(E636&lt;&gt;"", E636*10%, "")</f>
        <v>317</v>
      </c>
      <c r="H636" s="3">
        <f>IF(E636&lt;&gt;"",ROUND(IF(E636&gt;1500,E636*5%,),0),"")</f>
        <v>159</v>
      </c>
      <c r="I636" s="2" t="s">
        <v>2928</v>
      </c>
      <c r="J636" s="3">
        <v>500</v>
      </c>
      <c r="K636" s="3">
        <v>2194</v>
      </c>
      <c r="L636" s="3">
        <f>IF(E636&lt;&gt;"",E636-G636-H636,"")</f>
        <v>2694</v>
      </c>
    </row>
    <row r="637" spans="2:12">
      <c r="B637" s="2" t="s">
        <v>2401</v>
      </c>
      <c r="C637" s="9">
        <v>45980</v>
      </c>
      <c r="D637" s="4">
        <v>3</v>
      </c>
      <c r="E637" s="3">
        <v>1750</v>
      </c>
      <c r="F637" s="7">
        <f t="shared" si="9"/>
        <v>45980</v>
      </c>
      <c r="G637" s="3">
        <f>IF(E637&lt;&gt;"", E637*10%, "")</f>
        <v>175</v>
      </c>
      <c r="H637" s="3">
        <f>IF(E637&lt;&gt;"",ROUND(IF(E637&gt;1500,E637*5%,),0),"")</f>
        <v>88</v>
      </c>
      <c r="I637" s="2" t="s">
        <v>2925</v>
      </c>
      <c r="J637" s="3">
        <f>IF(I637="Cash",L637,"")</f>
        <v>1487</v>
      </c>
      <c r="K637" s="3" t="str">
        <f>IF(I637="UPI",L637,"")</f>
        <v/>
      </c>
      <c r="L637" s="3">
        <f>IF(E637&lt;&gt;"",E637-G637-H637,"")</f>
        <v>1487</v>
      </c>
    </row>
    <row r="638" spans="2:12">
      <c r="B638" s="2" t="s">
        <v>2402</v>
      </c>
      <c r="C638" s="9">
        <v>45980</v>
      </c>
      <c r="D638" s="4">
        <v>4</v>
      </c>
      <c r="E638" s="3">
        <v>3790</v>
      </c>
      <c r="F638" s="7">
        <f t="shared" si="9"/>
        <v>45980</v>
      </c>
      <c r="G638" s="3">
        <f>IF(E638&lt;&gt;"", E638*10%, "")</f>
        <v>379</v>
      </c>
      <c r="H638" s="3">
        <f>IF(E638&lt;&gt;"",ROUND(IF(E638&gt;1500,E638*5%,),0),"")</f>
        <v>190</v>
      </c>
      <c r="I638" s="2" t="s">
        <v>2928</v>
      </c>
      <c r="J638" s="3">
        <v>2000</v>
      </c>
      <c r="K638" s="3">
        <v>1221</v>
      </c>
      <c r="L638" s="3">
        <f>IF(E638&lt;&gt;"",E638-G638-H638,"")</f>
        <v>3221</v>
      </c>
    </row>
    <row r="639" spans="2:12">
      <c r="B639" s="2" t="s">
        <v>2403</v>
      </c>
      <c r="C639" s="9">
        <v>45980</v>
      </c>
      <c r="D639" s="4">
        <v>2</v>
      </c>
      <c r="E639" s="3">
        <v>1750</v>
      </c>
      <c r="F639" s="7">
        <f t="shared" si="9"/>
        <v>45980</v>
      </c>
      <c r="G639" s="3">
        <f>IF(E639&lt;&gt;"", E639*10%, "")</f>
        <v>175</v>
      </c>
      <c r="H639" s="3">
        <f>IF(E639&lt;&gt;"",ROUND(IF(E639&gt;1500,E639*5%,),0),"")</f>
        <v>88</v>
      </c>
      <c r="I639" s="2" t="s">
        <v>2925</v>
      </c>
      <c r="J639" s="3">
        <f>IF(I639="Cash",L639,"")</f>
        <v>1487</v>
      </c>
      <c r="K639" s="3" t="str">
        <f>IF(I639="UPI",L639,"")</f>
        <v/>
      </c>
      <c r="L639" s="3">
        <f>IF(E639&lt;&gt;"",E639-G639-H639,"")</f>
        <v>1487</v>
      </c>
    </row>
    <row r="640" spans="2:12">
      <c r="B640" s="2" t="s">
        <v>2404</v>
      </c>
      <c r="C640" s="9">
        <v>45980</v>
      </c>
      <c r="D640" s="4">
        <v>3</v>
      </c>
      <c r="E640" s="3">
        <v>2160</v>
      </c>
      <c r="F640" s="7">
        <f t="shared" si="9"/>
        <v>45980</v>
      </c>
      <c r="G640" s="3">
        <f>IF(E640&lt;&gt;"", E640*10%, "")</f>
        <v>216</v>
      </c>
      <c r="H640" s="3">
        <f>IF(E640&lt;&gt;"",ROUND(IF(E640&gt;1500,E640*5%,),0),"")</f>
        <v>108</v>
      </c>
      <c r="I640" s="2" t="s">
        <v>2925</v>
      </c>
      <c r="J640" s="3">
        <f>IF(I640="Cash",L640,"")</f>
        <v>1836</v>
      </c>
      <c r="K640" s="3" t="str">
        <f>IF(I640="UPI",L640,"")</f>
        <v/>
      </c>
      <c r="L640" s="3">
        <f>IF(E640&lt;&gt;"",E640-G640-H640,"")</f>
        <v>1836</v>
      </c>
    </row>
    <row r="641" spans="2:12">
      <c r="B641" s="2" t="s">
        <v>2405</v>
      </c>
      <c r="C641" s="9">
        <v>45980</v>
      </c>
      <c r="D641" s="4">
        <v>4</v>
      </c>
      <c r="E641" s="3">
        <v>3290</v>
      </c>
      <c r="F641" s="7">
        <f t="shared" si="9"/>
        <v>45980</v>
      </c>
      <c r="G641" s="3">
        <f>IF(E641&lt;&gt;"", E641*10%, "")</f>
        <v>329</v>
      </c>
      <c r="H641" s="3">
        <f>IF(E641&lt;&gt;"",ROUND(IF(E641&gt;1500,E641*5%,),0),"")</f>
        <v>165</v>
      </c>
      <c r="I641" s="2" t="s">
        <v>2928</v>
      </c>
      <c r="J641" s="3">
        <v>700</v>
      </c>
      <c r="K641" s="3">
        <v>2096</v>
      </c>
      <c r="L641" s="3">
        <f>IF(E641&lt;&gt;"",E641-G641-H641,"")</f>
        <v>2796</v>
      </c>
    </row>
    <row r="642" spans="2:12">
      <c r="B642" s="2" t="s">
        <v>2406</v>
      </c>
      <c r="C642" s="9">
        <v>45980</v>
      </c>
      <c r="D642" s="4">
        <v>3</v>
      </c>
      <c r="E642" s="3">
        <v>2110</v>
      </c>
      <c r="F642" s="7">
        <f t="shared" si="9"/>
        <v>45980</v>
      </c>
      <c r="G642" s="3">
        <f>IF(E642&lt;&gt;"", E642*10%, "")</f>
        <v>211</v>
      </c>
      <c r="H642" s="3">
        <f>IF(E642&lt;&gt;"",ROUND(IF(E642&gt;1500,E642*5%,),0),"")</f>
        <v>106</v>
      </c>
      <c r="I642" s="2" t="s">
        <v>2925</v>
      </c>
      <c r="J642" s="3">
        <f>IF(I642="Cash",L642,"")</f>
        <v>1793</v>
      </c>
      <c r="K642" s="3" t="str">
        <f>IF(I642="UPI",L642,"")</f>
        <v/>
      </c>
      <c r="L642" s="3">
        <f>IF(E642&lt;&gt;"",E642-G642-H642,"")</f>
        <v>1793</v>
      </c>
    </row>
    <row r="643" spans="2:12">
      <c r="B643" s="2" t="s">
        <v>2407</v>
      </c>
      <c r="C643" s="9">
        <v>45980</v>
      </c>
      <c r="D643" s="4">
        <v>3</v>
      </c>
      <c r="E643" s="3">
        <v>2230</v>
      </c>
      <c r="F643" s="7">
        <f t="shared" si="9"/>
        <v>45980</v>
      </c>
      <c r="G643" s="3">
        <f>IF(E643&lt;&gt;"", E643*10%, "")</f>
        <v>223</v>
      </c>
      <c r="H643" s="3">
        <f>IF(E643&lt;&gt;"",ROUND(IF(E643&gt;1500,E643*5%,),0),"")</f>
        <v>112</v>
      </c>
      <c r="I643" s="2" t="s">
        <v>2925</v>
      </c>
      <c r="J643" s="3">
        <f>IF(I643="Cash",L643,"")</f>
        <v>1895</v>
      </c>
      <c r="K643" s="3" t="str">
        <f>IF(I643="UPI",L643,"")</f>
        <v/>
      </c>
      <c r="L643" s="3">
        <f>IF(E643&lt;&gt;"",E643-G643-H643,"")</f>
        <v>1895</v>
      </c>
    </row>
    <row r="644" spans="2:12">
      <c r="B644" s="2" t="s">
        <v>2408</v>
      </c>
      <c r="C644" s="9">
        <v>45980</v>
      </c>
      <c r="D644" s="4">
        <v>4</v>
      </c>
      <c r="E644" s="3">
        <v>2710</v>
      </c>
      <c r="F644" s="7">
        <f t="shared" si="9"/>
        <v>45980</v>
      </c>
      <c r="G644" s="3">
        <f>IF(E644&lt;&gt;"", E644*10%, "")</f>
        <v>271</v>
      </c>
      <c r="H644" s="3">
        <f>IF(E644&lt;&gt;"",ROUND(IF(E644&gt;1500,E644*5%,),0),"")</f>
        <v>136</v>
      </c>
      <c r="I644" s="2" t="s">
        <v>2925</v>
      </c>
      <c r="J644" s="3">
        <f>IF(I644="Cash",L644,"")</f>
        <v>2303</v>
      </c>
      <c r="K644" s="3" t="str">
        <f>IF(I644="UPI",L644,"")</f>
        <v/>
      </c>
      <c r="L644" s="3">
        <f>IF(E644&lt;&gt;"",E644-G644-H644,"")</f>
        <v>2303</v>
      </c>
    </row>
    <row r="645" spans="2:12">
      <c r="B645" s="2" t="s">
        <v>2409</v>
      </c>
      <c r="C645" s="9">
        <v>45980</v>
      </c>
      <c r="D645" s="4">
        <v>2</v>
      </c>
      <c r="E645" s="3">
        <v>950</v>
      </c>
      <c r="F645" s="7">
        <f t="shared" ref="F645:F708" si="10">C645</f>
        <v>45980</v>
      </c>
      <c r="G645" s="3">
        <f>IF(E645&lt;&gt;"", E645*10%, "")</f>
        <v>95</v>
      </c>
      <c r="H645" s="3">
        <f>IF(E645&lt;&gt;"",ROUND(IF(E645&gt;1500,E645*5%,),0),"")</f>
        <v>0</v>
      </c>
      <c r="I645" s="2" t="s">
        <v>2926</v>
      </c>
      <c r="J645" s="3" t="str">
        <f>IF(I645="Cash",L645,"")</f>
        <v/>
      </c>
      <c r="K645" s="3">
        <f>IF(I645="UPI",L645,"")</f>
        <v>855</v>
      </c>
      <c r="L645" s="3">
        <f>IF(E645&lt;&gt;"",E645-G645-H645,"")</f>
        <v>855</v>
      </c>
    </row>
    <row r="646" spans="2:12">
      <c r="B646" s="2" t="s">
        <v>2410</v>
      </c>
      <c r="C646" s="9">
        <v>45981</v>
      </c>
      <c r="D646" s="4">
        <v>2</v>
      </c>
      <c r="E646" s="3">
        <v>950</v>
      </c>
      <c r="F646" s="7">
        <f t="shared" si="10"/>
        <v>45981</v>
      </c>
      <c r="G646" s="3">
        <f>IF(E646&lt;&gt;"", E646*10%, "")</f>
        <v>95</v>
      </c>
      <c r="H646" s="3">
        <f>IF(E646&lt;&gt;"",ROUND(IF(E646&gt;1500,E646*5%,),0),"")</f>
        <v>0</v>
      </c>
      <c r="I646" s="2" t="s">
        <v>2926</v>
      </c>
      <c r="J646" s="3" t="str">
        <f>IF(I646="Cash",L646,"")</f>
        <v/>
      </c>
      <c r="K646" s="3">
        <f>IF(I646="UPI",L646,"")</f>
        <v>855</v>
      </c>
      <c r="L646" s="3">
        <f>IF(E646&lt;&gt;"",E646-G646-H646,"")</f>
        <v>855</v>
      </c>
    </row>
    <row r="647" spans="2:12">
      <c r="B647" s="2" t="s">
        <v>2411</v>
      </c>
      <c r="C647" s="9">
        <v>45981</v>
      </c>
      <c r="D647" s="4">
        <v>2</v>
      </c>
      <c r="E647" s="3">
        <v>900</v>
      </c>
      <c r="F647" s="7">
        <f t="shared" si="10"/>
        <v>45981</v>
      </c>
      <c r="G647" s="3">
        <f>IF(E647&lt;&gt;"", E647*10%, "")</f>
        <v>90</v>
      </c>
      <c r="H647" s="3">
        <f>IF(E647&lt;&gt;"",ROUND(IF(E647&gt;1500,E647*5%,),0),"")</f>
        <v>0</v>
      </c>
      <c r="I647" s="2" t="s">
        <v>2926</v>
      </c>
      <c r="J647" s="3" t="str">
        <f>IF(I647="Cash",L647,"")</f>
        <v/>
      </c>
      <c r="K647" s="3">
        <f>IF(I647="UPI",L647,"")</f>
        <v>810</v>
      </c>
      <c r="L647" s="3">
        <f>IF(E647&lt;&gt;"",E647-G647-H647,"")</f>
        <v>810</v>
      </c>
    </row>
    <row r="648" spans="2:12">
      <c r="B648" s="2" t="s">
        <v>2412</v>
      </c>
      <c r="C648" s="9">
        <v>45981</v>
      </c>
      <c r="D648" s="4">
        <v>3</v>
      </c>
      <c r="E648" s="3">
        <v>1360</v>
      </c>
      <c r="F648" s="7">
        <f t="shared" si="10"/>
        <v>45981</v>
      </c>
      <c r="G648" s="3">
        <f>IF(E648&lt;&gt;"", E648*10%, "")</f>
        <v>136</v>
      </c>
      <c r="H648" s="3">
        <f>IF(E648&lt;&gt;"",ROUND(IF(E648&gt;1500,E648*5%,),0),"")</f>
        <v>0</v>
      </c>
      <c r="I648" s="2" t="s">
        <v>2926</v>
      </c>
      <c r="J648" s="3" t="str">
        <f>IF(I648="Cash",L648,"")</f>
        <v/>
      </c>
      <c r="K648" s="3">
        <f>IF(I648="UPI",L648,"")</f>
        <v>1224</v>
      </c>
      <c r="L648" s="3">
        <f>IF(E648&lt;&gt;"",E648-G648-H648,"")</f>
        <v>1224</v>
      </c>
    </row>
    <row r="649" spans="2:12">
      <c r="B649" s="2" t="s">
        <v>2413</v>
      </c>
      <c r="C649" s="9">
        <v>45981</v>
      </c>
      <c r="D649" s="4">
        <v>3</v>
      </c>
      <c r="E649" s="3">
        <v>1380</v>
      </c>
      <c r="F649" s="7">
        <f t="shared" si="10"/>
        <v>45981</v>
      </c>
      <c r="G649" s="3">
        <f>IF(E649&lt;&gt;"", E649*10%, "")</f>
        <v>138</v>
      </c>
      <c r="H649" s="3">
        <f>IF(E649&lt;&gt;"",ROUND(IF(E649&gt;1500,E649*5%,),0),"")</f>
        <v>0</v>
      </c>
      <c r="I649" s="2" t="s">
        <v>2926</v>
      </c>
      <c r="J649" s="3" t="str">
        <f>IF(I649="Cash",L649,"")</f>
        <v/>
      </c>
      <c r="K649" s="3">
        <f>IF(I649="UPI",L649,"")</f>
        <v>1242</v>
      </c>
      <c r="L649" s="3">
        <f>IF(E649&lt;&gt;"",E649-G649-H649,"")</f>
        <v>1242</v>
      </c>
    </row>
    <row r="650" spans="2:12">
      <c r="B650" s="2" t="s">
        <v>2414</v>
      </c>
      <c r="C650" s="9">
        <v>45981</v>
      </c>
      <c r="D650" s="4">
        <v>3</v>
      </c>
      <c r="E650" s="3">
        <v>1680</v>
      </c>
      <c r="F650" s="7">
        <f t="shared" si="10"/>
        <v>45981</v>
      </c>
      <c r="G650" s="3">
        <f>IF(E650&lt;&gt;"", E650*10%, "")</f>
        <v>168</v>
      </c>
      <c r="H650" s="3">
        <f>IF(E650&lt;&gt;"",ROUND(IF(E650&gt;1500,E650*5%,),0),"")</f>
        <v>84</v>
      </c>
      <c r="I650" s="2" t="s">
        <v>2926</v>
      </c>
      <c r="J650" s="3" t="str">
        <f>IF(I650="Cash",L650,"")</f>
        <v/>
      </c>
      <c r="K650" s="3">
        <f>IF(I650="UPI",L650,"")</f>
        <v>1428</v>
      </c>
      <c r="L650" s="3">
        <f>IF(E650&lt;&gt;"",E650-G650-H650,"")</f>
        <v>1428</v>
      </c>
    </row>
    <row r="651" spans="2:12">
      <c r="B651" s="2" t="s">
        <v>2415</v>
      </c>
      <c r="C651" s="9">
        <v>45981</v>
      </c>
      <c r="D651" s="4">
        <v>1</v>
      </c>
      <c r="E651" s="3">
        <v>120</v>
      </c>
      <c r="F651" s="7">
        <f t="shared" si="10"/>
        <v>45981</v>
      </c>
      <c r="G651" s="3">
        <f>IF(E651&lt;&gt;"", E651*10%, "")</f>
        <v>12</v>
      </c>
      <c r="H651" s="3">
        <f>IF(E651&lt;&gt;"",ROUND(IF(E651&gt;1500,E651*5%,),0),"")</f>
        <v>0</v>
      </c>
      <c r="I651" s="2" t="s">
        <v>2926</v>
      </c>
      <c r="J651" s="3" t="str">
        <f>IF(I651="Cash",L651,"")</f>
        <v/>
      </c>
      <c r="K651" s="3">
        <f>IF(I651="UPI",L651,"")</f>
        <v>108</v>
      </c>
      <c r="L651" s="3">
        <f>IF(E651&lt;&gt;"",E651-G651-H651,"")</f>
        <v>108</v>
      </c>
    </row>
    <row r="652" spans="2:12">
      <c r="B652" s="2" t="s">
        <v>2416</v>
      </c>
      <c r="C652" s="9">
        <v>45981</v>
      </c>
      <c r="D652" s="4">
        <v>3</v>
      </c>
      <c r="E652" s="3">
        <v>1760</v>
      </c>
      <c r="F652" s="7">
        <f t="shared" si="10"/>
        <v>45981</v>
      </c>
      <c r="G652" s="3">
        <f>IF(E652&lt;&gt;"", E652*10%, "")</f>
        <v>176</v>
      </c>
      <c r="H652" s="3">
        <f>IF(E652&lt;&gt;"",ROUND(IF(E652&gt;1500,E652*5%,),0),"")</f>
        <v>88</v>
      </c>
      <c r="I652" s="2" t="s">
        <v>2925</v>
      </c>
      <c r="J652" s="3">
        <f>IF(I652="Cash",L652,"")</f>
        <v>1496</v>
      </c>
      <c r="K652" s="3" t="str">
        <f>IF(I652="UPI",L652,"")</f>
        <v/>
      </c>
      <c r="L652" s="3">
        <f>IF(E652&lt;&gt;"",E652-G652-H652,"")</f>
        <v>1496</v>
      </c>
    </row>
    <row r="653" spans="2:12">
      <c r="B653" s="2" t="s">
        <v>2417</v>
      </c>
      <c r="C653" s="9">
        <v>45981</v>
      </c>
      <c r="D653" s="4">
        <v>4</v>
      </c>
      <c r="E653" s="3">
        <v>2010</v>
      </c>
      <c r="F653" s="7">
        <f t="shared" si="10"/>
        <v>45981</v>
      </c>
      <c r="G653" s="3">
        <f>IF(E653&lt;&gt;"", E653*10%, "")</f>
        <v>201</v>
      </c>
      <c r="H653" s="3">
        <f>IF(E653&lt;&gt;"",ROUND(IF(E653&gt;1500,E653*5%,),0),"")</f>
        <v>101</v>
      </c>
      <c r="I653" s="2" t="s">
        <v>2925</v>
      </c>
      <c r="J653" s="3">
        <f>IF(I653="Cash",L653,"")</f>
        <v>1708</v>
      </c>
      <c r="K653" s="3" t="str">
        <f>IF(I653="UPI",L653,"")</f>
        <v/>
      </c>
      <c r="L653" s="3">
        <f>IF(E653&lt;&gt;"",E653-G653-H653,"")</f>
        <v>1708</v>
      </c>
    </row>
    <row r="654" spans="2:12">
      <c r="B654" s="2" t="s">
        <v>2418</v>
      </c>
      <c r="C654" s="9">
        <v>45981</v>
      </c>
      <c r="D654" s="4">
        <v>2</v>
      </c>
      <c r="E654" s="3">
        <v>330</v>
      </c>
      <c r="F654" s="7">
        <f t="shared" si="10"/>
        <v>45981</v>
      </c>
      <c r="G654" s="3">
        <f>IF(E654&lt;&gt;"", E654*10%, "")</f>
        <v>33</v>
      </c>
      <c r="H654" s="3">
        <f>IF(E654&lt;&gt;"",ROUND(IF(E654&gt;1500,E654*5%,),0),"")</f>
        <v>0</v>
      </c>
      <c r="I654" s="2" t="s">
        <v>2926</v>
      </c>
      <c r="J654" s="3" t="str">
        <f>IF(I654="Cash",L654,"")</f>
        <v/>
      </c>
      <c r="K654" s="3">
        <f>IF(I654="UPI",L654,"")</f>
        <v>297</v>
      </c>
      <c r="L654" s="3">
        <f>IF(E654&lt;&gt;"",E654-G654-H654,"")</f>
        <v>297</v>
      </c>
    </row>
    <row r="655" spans="2:12">
      <c r="B655" s="2" t="s">
        <v>2419</v>
      </c>
      <c r="C655" s="9">
        <v>45982</v>
      </c>
      <c r="D655" s="4">
        <v>4</v>
      </c>
      <c r="E655" s="3">
        <v>1870</v>
      </c>
      <c r="F655" s="7">
        <f t="shared" si="10"/>
        <v>45982</v>
      </c>
      <c r="G655" s="3">
        <f>IF(E655&lt;&gt;"", E655*10%, "")</f>
        <v>187</v>
      </c>
      <c r="H655" s="3">
        <f>IF(E655&lt;&gt;"",ROUND(IF(E655&gt;1500,E655*5%,),0),"")</f>
        <v>94</v>
      </c>
      <c r="I655" s="2" t="s">
        <v>2925</v>
      </c>
      <c r="J655" s="3">
        <f>IF(I655="Cash",L655,"")</f>
        <v>1589</v>
      </c>
      <c r="K655" s="3" t="str">
        <f>IF(I655="UPI",L655,"")</f>
        <v/>
      </c>
      <c r="L655" s="3">
        <f>IF(E655&lt;&gt;"",E655-G655-H655,"")</f>
        <v>1589</v>
      </c>
    </row>
    <row r="656" spans="2:12">
      <c r="B656" s="2" t="s">
        <v>2420</v>
      </c>
      <c r="C656" s="9">
        <v>45982</v>
      </c>
      <c r="D656" s="4">
        <v>4</v>
      </c>
      <c r="E656" s="3">
        <v>2540</v>
      </c>
      <c r="F656" s="7">
        <f t="shared" si="10"/>
        <v>45982</v>
      </c>
      <c r="G656" s="3">
        <f>IF(E656&lt;&gt;"", E656*10%, "")</f>
        <v>254</v>
      </c>
      <c r="H656" s="3">
        <f>IF(E656&lt;&gt;"",ROUND(IF(E656&gt;1500,E656*5%,),0),"")</f>
        <v>127</v>
      </c>
      <c r="I656" s="2" t="s">
        <v>2925</v>
      </c>
      <c r="J656" s="3">
        <f>IF(I656="Cash",L656,"")</f>
        <v>2159</v>
      </c>
      <c r="K656" s="3" t="str">
        <f>IF(I656="UPI",L656,"")</f>
        <v/>
      </c>
      <c r="L656" s="3">
        <f>IF(E656&lt;&gt;"",E656-G656-H656,"")</f>
        <v>2159</v>
      </c>
    </row>
    <row r="657" spans="2:12">
      <c r="B657" s="2" t="s">
        <v>2421</v>
      </c>
      <c r="C657" s="9">
        <v>45982</v>
      </c>
      <c r="D657" s="4">
        <v>2</v>
      </c>
      <c r="E657" s="3">
        <v>1020</v>
      </c>
      <c r="F657" s="7">
        <f t="shared" si="10"/>
        <v>45982</v>
      </c>
      <c r="G657" s="3">
        <f>IF(E657&lt;&gt;"", E657*10%, "")</f>
        <v>102</v>
      </c>
      <c r="H657" s="3">
        <f>IF(E657&lt;&gt;"",ROUND(IF(E657&gt;1500,E657*5%,),0),"")</f>
        <v>0</v>
      </c>
      <c r="I657" s="2" t="s">
        <v>2926</v>
      </c>
      <c r="J657" s="3" t="str">
        <f>IF(I657="Cash",L657,"")</f>
        <v/>
      </c>
      <c r="K657" s="3">
        <f>IF(I657="UPI",L657,"")</f>
        <v>918</v>
      </c>
      <c r="L657" s="3">
        <f>IF(E657&lt;&gt;"",E657-G657-H657,"")</f>
        <v>918</v>
      </c>
    </row>
    <row r="658" spans="2:12">
      <c r="B658" s="2" t="s">
        <v>2422</v>
      </c>
      <c r="C658" s="9">
        <v>45982</v>
      </c>
      <c r="D658" s="4">
        <v>2</v>
      </c>
      <c r="E658" s="3">
        <v>1210</v>
      </c>
      <c r="F658" s="7">
        <f t="shared" si="10"/>
        <v>45982</v>
      </c>
      <c r="G658" s="3">
        <f>IF(E658&lt;&gt;"", E658*10%, "")</f>
        <v>121</v>
      </c>
      <c r="H658" s="3">
        <f>IF(E658&lt;&gt;"",ROUND(IF(E658&gt;1500,E658*5%,),0),"")</f>
        <v>0</v>
      </c>
      <c r="I658" s="2" t="s">
        <v>2926</v>
      </c>
      <c r="J658" s="3" t="str">
        <f>IF(I658="Cash",L658,"")</f>
        <v/>
      </c>
      <c r="K658" s="3">
        <f>IF(I658="UPI",L658,"")</f>
        <v>1089</v>
      </c>
      <c r="L658" s="3">
        <f>IF(E658&lt;&gt;"",E658-G658-H658,"")</f>
        <v>1089</v>
      </c>
    </row>
    <row r="659" spans="2:12">
      <c r="B659" s="2" t="s">
        <v>2423</v>
      </c>
      <c r="C659" s="9">
        <v>45982</v>
      </c>
      <c r="D659" s="4">
        <v>1</v>
      </c>
      <c r="E659" s="3">
        <v>450</v>
      </c>
      <c r="F659" s="7">
        <f t="shared" si="10"/>
        <v>45982</v>
      </c>
      <c r="G659" s="3">
        <f>IF(E659&lt;&gt;"", E659*10%, "")</f>
        <v>45</v>
      </c>
      <c r="H659" s="3">
        <f>IF(E659&lt;&gt;"",ROUND(IF(E659&gt;1500,E659*5%,),0),"")</f>
        <v>0</v>
      </c>
      <c r="I659" s="2" t="s">
        <v>2926</v>
      </c>
      <c r="J659" s="3" t="str">
        <f>IF(I659="Cash",L659,"")</f>
        <v/>
      </c>
      <c r="K659" s="3">
        <f>IF(I659="UPI",L659,"")</f>
        <v>405</v>
      </c>
      <c r="L659" s="3">
        <f>IF(E659&lt;&gt;"",E659-G659-H659,"")</f>
        <v>405</v>
      </c>
    </row>
    <row r="660" spans="2:12">
      <c r="B660" s="2" t="s">
        <v>2424</v>
      </c>
      <c r="C660" s="9">
        <v>45982</v>
      </c>
      <c r="D660" s="4">
        <v>1</v>
      </c>
      <c r="E660" s="3">
        <v>800</v>
      </c>
      <c r="F660" s="7">
        <f t="shared" si="10"/>
        <v>45982</v>
      </c>
      <c r="G660" s="3">
        <f>IF(E660&lt;&gt;"", E660*10%, "")</f>
        <v>80</v>
      </c>
      <c r="H660" s="3">
        <f>IF(E660&lt;&gt;"",ROUND(IF(E660&gt;1500,E660*5%,),0),"")</f>
        <v>0</v>
      </c>
      <c r="I660" s="2" t="s">
        <v>2926</v>
      </c>
      <c r="J660" s="3" t="str">
        <f>IF(I660="Cash",L660,"")</f>
        <v/>
      </c>
      <c r="K660" s="3">
        <f>IF(I660="UPI",L660,"")</f>
        <v>720</v>
      </c>
      <c r="L660" s="3">
        <f>IF(E660&lt;&gt;"",E660-G660-H660,"")</f>
        <v>720</v>
      </c>
    </row>
    <row r="661" spans="2:12">
      <c r="B661" s="2" t="s">
        <v>2425</v>
      </c>
      <c r="C661" s="9">
        <v>45982</v>
      </c>
      <c r="D661" s="4">
        <v>3</v>
      </c>
      <c r="E661" s="3">
        <v>1880</v>
      </c>
      <c r="F661" s="7">
        <f t="shared" si="10"/>
        <v>45982</v>
      </c>
      <c r="G661" s="3">
        <f>IF(E661&lt;&gt;"", E661*10%, "")</f>
        <v>188</v>
      </c>
      <c r="H661" s="3">
        <f>IF(E661&lt;&gt;"",ROUND(IF(E661&gt;1500,E661*5%,),0),"")</f>
        <v>94</v>
      </c>
      <c r="I661" s="2" t="s">
        <v>2925</v>
      </c>
      <c r="J661" s="3">
        <f>IF(I661="Cash",L661,"")</f>
        <v>1598</v>
      </c>
      <c r="K661" s="3" t="str">
        <f>IF(I661="UPI",L661,"")</f>
        <v/>
      </c>
      <c r="L661" s="3">
        <f>IF(E661&lt;&gt;"",E661-G661-H661,"")</f>
        <v>1598</v>
      </c>
    </row>
    <row r="662" spans="2:12">
      <c r="B662" s="2" t="s">
        <v>2426</v>
      </c>
      <c r="C662" s="9">
        <v>45982</v>
      </c>
      <c r="D662" s="4">
        <v>3</v>
      </c>
      <c r="E662" s="3">
        <v>1620</v>
      </c>
      <c r="F662" s="7">
        <f t="shared" si="10"/>
        <v>45982</v>
      </c>
      <c r="G662" s="3">
        <f>IF(E662&lt;&gt;"", E662*10%, "")</f>
        <v>162</v>
      </c>
      <c r="H662" s="3">
        <f>IF(E662&lt;&gt;"",ROUND(IF(E662&gt;1500,E662*5%,),0),"")</f>
        <v>81</v>
      </c>
      <c r="I662" s="2" t="s">
        <v>2926</v>
      </c>
      <c r="J662" s="3" t="str">
        <f>IF(I662="Cash",L662,"")</f>
        <v/>
      </c>
      <c r="K662" s="3">
        <f>IF(I662="UPI",L662,"")</f>
        <v>1377</v>
      </c>
      <c r="L662" s="3">
        <f>IF(E662&lt;&gt;"",E662-G662-H662,"")</f>
        <v>1377</v>
      </c>
    </row>
    <row r="663" spans="2:12">
      <c r="B663" s="2" t="s">
        <v>2427</v>
      </c>
      <c r="C663" s="9">
        <v>45982</v>
      </c>
      <c r="D663" s="4">
        <v>1</v>
      </c>
      <c r="E663" s="3">
        <v>620</v>
      </c>
      <c r="F663" s="7">
        <f t="shared" si="10"/>
        <v>45982</v>
      </c>
      <c r="G663" s="3">
        <f>IF(E663&lt;&gt;"", E663*10%, "")</f>
        <v>62</v>
      </c>
      <c r="H663" s="3">
        <f>IF(E663&lt;&gt;"",ROUND(IF(E663&gt;1500,E663*5%,),0),"")</f>
        <v>0</v>
      </c>
      <c r="I663" s="2" t="s">
        <v>2926</v>
      </c>
      <c r="J663" s="3" t="str">
        <f>IF(I663="Cash",L663,"")</f>
        <v/>
      </c>
      <c r="K663" s="3">
        <f>IF(I663="UPI",L663,"")</f>
        <v>558</v>
      </c>
      <c r="L663" s="3">
        <f>IF(E663&lt;&gt;"",E663-G663-H663,"")</f>
        <v>558</v>
      </c>
    </row>
    <row r="664" spans="2:12">
      <c r="B664" s="2" t="s">
        <v>2428</v>
      </c>
      <c r="C664" s="9">
        <v>45982</v>
      </c>
      <c r="D664" s="4">
        <v>2</v>
      </c>
      <c r="E664" s="3">
        <v>870</v>
      </c>
      <c r="F664" s="7">
        <f t="shared" si="10"/>
        <v>45982</v>
      </c>
      <c r="G664" s="3">
        <f>IF(E664&lt;&gt;"", E664*10%, "")</f>
        <v>87</v>
      </c>
      <c r="H664" s="3">
        <f>IF(E664&lt;&gt;"",ROUND(IF(E664&gt;1500,E664*5%,),0),"")</f>
        <v>0</v>
      </c>
      <c r="I664" s="2" t="s">
        <v>2926</v>
      </c>
      <c r="J664" s="3" t="str">
        <f>IF(I664="Cash",L664,"")</f>
        <v/>
      </c>
      <c r="K664" s="3">
        <f>IF(I664="UPI",L664,"")</f>
        <v>783</v>
      </c>
      <c r="L664" s="3">
        <f>IF(E664&lt;&gt;"",E664-G664-H664,"")</f>
        <v>783</v>
      </c>
    </row>
    <row r="665" spans="2:12">
      <c r="B665" s="2" t="s">
        <v>2429</v>
      </c>
      <c r="C665" s="9">
        <v>45982</v>
      </c>
      <c r="D665" s="4">
        <v>2</v>
      </c>
      <c r="E665" s="3">
        <v>1640</v>
      </c>
      <c r="F665" s="7">
        <f t="shared" si="10"/>
        <v>45982</v>
      </c>
      <c r="G665" s="3">
        <f>IF(E665&lt;&gt;"", E665*10%, "")</f>
        <v>164</v>
      </c>
      <c r="H665" s="3">
        <f>IF(E665&lt;&gt;"",ROUND(IF(E665&gt;1500,E665*5%,),0),"")</f>
        <v>82</v>
      </c>
      <c r="I665" s="2" t="s">
        <v>2926</v>
      </c>
      <c r="J665" s="3" t="str">
        <f>IF(I665="Cash",L665,"")</f>
        <v/>
      </c>
      <c r="K665" s="3">
        <f>IF(I665="UPI",L665,"")</f>
        <v>1394</v>
      </c>
      <c r="L665" s="3">
        <f>IF(E665&lt;&gt;"",E665-G665-H665,"")</f>
        <v>1394</v>
      </c>
    </row>
    <row r="666" spans="2:12">
      <c r="B666" s="2" t="s">
        <v>2430</v>
      </c>
      <c r="C666" s="9">
        <v>45982</v>
      </c>
      <c r="D666" s="4">
        <v>4</v>
      </c>
      <c r="E666" s="3">
        <v>1470</v>
      </c>
      <c r="F666" s="7">
        <f t="shared" si="10"/>
        <v>45982</v>
      </c>
      <c r="G666" s="3">
        <f>IF(E666&lt;&gt;"", E666*10%, "")</f>
        <v>147</v>
      </c>
      <c r="H666" s="3">
        <f>IF(E666&lt;&gt;"",ROUND(IF(E666&gt;1500,E666*5%,),0),"")</f>
        <v>0</v>
      </c>
      <c r="I666" s="2" t="s">
        <v>2926</v>
      </c>
      <c r="J666" s="3" t="str">
        <f>IF(I666="Cash",L666,"")</f>
        <v/>
      </c>
      <c r="K666" s="3">
        <f>IF(I666="UPI",L666,"")</f>
        <v>1323</v>
      </c>
      <c r="L666" s="3">
        <f>IF(E666&lt;&gt;"",E666-G666-H666,"")</f>
        <v>1323</v>
      </c>
    </row>
    <row r="667" spans="2:12">
      <c r="B667" s="2" t="s">
        <v>2431</v>
      </c>
      <c r="C667" s="9">
        <v>45982</v>
      </c>
      <c r="D667" s="4">
        <v>4</v>
      </c>
      <c r="E667" s="3">
        <v>2650</v>
      </c>
      <c r="F667" s="7">
        <f t="shared" si="10"/>
        <v>45982</v>
      </c>
      <c r="G667" s="3">
        <f>IF(E667&lt;&gt;"", E667*10%, "")</f>
        <v>265</v>
      </c>
      <c r="H667" s="3">
        <f>IF(E667&lt;&gt;"",ROUND(IF(E667&gt;1500,E667*5%,),0),"")</f>
        <v>133</v>
      </c>
      <c r="I667" s="2" t="s">
        <v>2925</v>
      </c>
      <c r="J667" s="3">
        <f>IF(I667="Cash",L667,"")</f>
        <v>2252</v>
      </c>
      <c r="K667" s="3" t="str">
        <f>IF(I667="UPI",L667,"")</f>
        <v/>
      </c>
      <c r="L667" s="3">
        <f>IF(E667&lt;&gt;"",E667-G667-H667,"")</f>
        <v>2252</v>
      </c>
    </row>
    <row r="668" spans="2:12">
      <c r="B668" s="2" t="s">
        <v>2432</v>
      </c>
      <c r="C668" s="9">
        <v>45982</v>
      </c>
      <c r="D668" s="4">
        <v>2</v>
      </c>
      <c r="E668" s="3">
        <v>1370</v>
      </c>
      <c r="F668" s="7">
        <f t="shared" si="10"/>
        <v>45982</v>
      </c>
      <c r="G668" s="3">
        <f>IF(E668&lt;&gt;"", E668*10%, "")</f>
        <v>137</v>
      </c>
      <c r="H668" s="3">
        <f>IF(E668&lt;&gt;"",ROUND(IF(E668&gt;1500,E668*5%,),0),"")</f>
        <v>0</v>
      </c>
      <c r="I668" s="2" t="s">
        <v>2926</v>
      </c>
      <c r="J668" s="3" t="str">
        <f>IF(I668="Cash",L668,"")</f>
        <v/>
      </c>
      <c r="K668" s="3">
        <f>IF(I668="UPI",L668,"")</f>
        <v>1233</v>
      </c>
      <c r="L668" s="3">
        <f>IF(E668&lt;&gt;"",E668-G668-H668,"")</f>
        <v>1233</v>
      </c>
    </row>
    <row r="669" spans="2:12">
      <c r="B669" s="2" t="s">
        <v>2433</v>
      </c>
      <c r="C669" s="9">
        <v>45982</v>
      </c>
      <c r="D669" s="4">
        <v>2</v>
      </c>
      <c r="E669" s="3">
        <v>300</v>
      </c>
      <c r="F669" s="7">
        <f t="shared" si="10"/>
        <v>45982</v>
      </c>
      <c r="G669" s="3">
        <f>IF(E669&lt;&gt;"", E669*10%, "")</f>
        <v>30</v>
      </c>
      <c r="H669" s="3">
        <f>IF(E669&lt;&gt;"",ROUND(IF(E669&gt;1500,E669*5%,),0),"")</f>
        <v>0</v>
      </c>
      <c r="I669" s="2" t="s">
        <v>2926</v>
      </c>
      <c r="J669" s="3" t="str">
        <f>IF(I669="Cash",L669,"")</f>
        <v/>
      </c>
      <c r="K669" s="3">
        <f>IF(I669="UPI",L669,"")</f>
        <v>270</v>
      </c>
      <c r="L669" s="3">
        <f>IF(E669&lt;&gt;"",E669-G669-H669,"")</f>
        <v>270</v>
      </c>
    </row>
    <row r="670" spans="2:12">
      <c r="B670" s="2" t="s">
        <v>2434</v>
      </c>
      <c r="C670" s="9">
        <v>45982</v>
      </c>
      <c r="D670" s="4">
        <v>1</v>
      </c>
      <c r="E670" s="3">
        <v>770</v>
      </c>
      <c r="F670" s="7">
        <f t="shared" si="10"/>
        <v>45982</v>
      </c>
      <c r="G670" s="3">
        <f>IF(E670&lt;&gt;"", E670*10%, "")</f>
        <v>77</v>
      </c>
      <c r="H670" s="3">
        <f>IF(E670&lt;&gt;"",ROUND(IF(E670&gt;1500,E670*5%,),0),"")</f>
        <v>0</v>
      </c>
      <c r="I670" s="2" t="s">
        <v>2926</v>
      </c>
      <c r="J670" s="3" t="str">
        <f>IF(I670="Cash",L670,"")</f>
        <v/>
      </c>
      <c r="K670" s="3">
        <f>IF(I670="UPI",L670,"")</f>
        <v>693</v>
      </c>
      <c r="L670" s="3">
        <f>IF(E670&lt;&gt;"",E670-G670-H670,"")</f>
        <v>693</v>
      </c>
    </row>
    <row r="671" spans="2:12">
      <c r="B671" s="2" t="s">
        <v>2435</v>
      </c>
      <c r="C671" s="9">
        <v>45983</v>
      </c>
      <c r="D671" s="4">
        <v>4</v>
      </c>
      <c r="E671" s="3">
        <v>2610</v>
      </c>
      <c r="F671" s="7">
        <f t="shared" si="10"/>
        <v>45983</v>
      </c>
      <c r="G671" s="3">
        <f>IF(E671&lt;&gt;"", E671*10%, "")</f>
        <v>261</v>
      </c>
      <c r="H671" s="3">
        <f>IF(E671&lt;&gt;"",ROUND(IF(E671&gt;1500,E671*5%,),0),"")</f>
        <v>131</v>
      </c>
      <c r="I671" s="2" t="s">
        <v>2925</v>
      </c>
      <c r="J671" s="3">
        <f>IF(I671="Cash",L671,"")</f>
        <v>2218</v>
      </c>
      <c r="K671" s="3" t="str">
        <f>IF(I671="UPI",L671,"")</f>
        <v/>
      </c>
      <c r="L671" s="3">
        <f>IF(E671&lt;&gt;"",E671-G671-H671,"")</f>
        <v>2218</v>
      </c>
    </row>
    <row r="672" spans="2:12">
      <c r="B672" s="2" t="s">
        <v>2436</v>
      </c>
      <c r="C672" s="9">
        <v>45983</v>
      </c>
      <c r="D672" s="4">
        <v>3</v>
      </c>
      <c r="E672" s="3">
        <v>1190</v>
      </c>
      <c r="F672" s="7">
        <f t="shared" si="10"/>
        <v>45983</v>
      </c>
      <c r="G672" s="3">
        <f>IF(E672&lt;&gt;"", E672*10%, "")</f>
        <v>119</v>
      </c>
      <c r="H672" s="3">
        <f>IF(E672&lt;&gt;"",ROUND(IF(E672&gt;1500,E672*5%,),0),"")</f>
        <v>0</v>
      </c>
      <c r="I672" s="2" t="s">
        <v>2926</v>
      </c>
      <c r="J672" s="3" t="str">
        <f>IF(I672="Cash",L672,"")</f>
        <v/>
      </c>
      <c r="K672" s="3">
        <f>IF(I672="UPI",L672,"")</f>
        <v>1071</v>
      </c>
      <c r="L672" s="3">
        <f>IF(E672&lt;&gt;"",E672-G672-H672,"")</f>
        <v>1071</v>
      </c>
    </row>
    <row r="673" spans="2:12">
      <c r="B673" s="2" t="s">
        <v>2437</v>
      </c>
      <c r="C673" s="9">
        <v>45983</v>
      </c>
      <c r="D673" s="4">
        <v>2</v>
      </c>
      <c r="E673" s="3">
        <v>1360</v>
      </c>
      <c r="F673" s="7">
        <f t="shared" si="10"/>
        <v>45983</v>
      </c>
      <c r="G673" s="3">
        <f>IF(E673&lt;&gt;"", E673*10%, "")</f>
        <v>136</v>
      </c>
      <c r="H673" s="3">
        <f>IF(E673&lt;&gt;"",ROUND(IF(E673&gt;1500,E673*5%,),0),"")</f>
        <v>0</v>
      </c>
      <c r="I673" s="2" t="s">
        <v>2926</v>
      </c>
      <c r="J673" s="3" t="str">
        <f>IF(I673="Cash",L673,"")</f>
        <v/>
      </c>
      <c r="K673" s="3">
        <f>IF(I673="UPI",L673,"")</f>
        <v>1224</v>
      </c>
      <c r="L673" s="3">
        <f>IF(E673&lt;&gt;"",E673-G673-H673,"")</f>
        <v>1224</v>
      </c>
    </row>
    <row r="674" spans="2:12">
      <c r="B674" s="2" t="s">
        <v>2438</v>
      </c>
      <c r="C674" s="9">
        <v>45983</v>
      </c>
      <c r="D674" s="4">
        <v>3</v>
      </c>
      <c r="E674" s="3">
        <v>1810</v>
      </c>
      <c r="F674" s="7">
        <f t="shared" si="10"/>
        <v>45983</v>
      </c>
      <c r="G674" s="3">
        <f>IF(E674&lt;&gt;"", E674*10%, "")</f>
        <v>181</v>
      </c>
      <c r="H674" s="3">
        <f>IF(E674&lt;&gt;"",ROUND(IF(E674&gt;1500,E674*5%,),0),"")</f>
        <v>91</v>
      </c>
      <c r="I674" s="2" t="s">
        <v>2925</v>
      </c>
      <c r="J674" s="3">
        <f>IF(I674="Cash",L674,"")</f>
        <v>1538</v>
      </c>
      <c r="K674" s="3" t="str">
        <f>IF(I674="UPI",L674,"")</f>
        <v/>
      </c>
      <c r="L674" s="3">
        <f>IF(E674&lt;&gt;"",E674-G674-H674,"")</f>
        <v>1538</v>
      </c>
    </row>
    <row r="675" spans="2:12">
      <c r="B675" s="2" t="s">
        <v>2439</v>
      </c>
      <c r="C675" s="9">
        <v>45983</v>
      </c>
      <c r="D675" s="4">
        <v>3</v>
      </c>
      <c r="E675" s="3">
        <v>1350</v>
      </c>
      <c r="F675" s="7">
        <f t="shared" si="10"/>
        <v>45983</v>
      </c>
      <c r="G675" s="3">
        <f>IF(E675&lt;&gt;"", E675*10%, "")</f>
        <v>135</v>
      </c>
      <c r="H675" s="3">
        <f>IF(E675&lt;&gt;"",ROUND(IF(E675&gt;1500,E675*5%,),0),"")</f>
        <v>0</v>
      </c>
      <c r="I675" s="2" t="s">
        <v>2926</v>
      </c>
      <c r="J675" s="3" t="str">
        <f>IF(I675="Cash",L675,"")</f>
        <v/>
      </c>
      <c r="K675" s="3">
        <f>IF(I675="UPI",L675,"")</f>
        <v>1215</v>
      </c>
      <c r="L675" s="3">
        <f>IF(E675&lt;&gt;"",E675-G675-H675,"")</f>
        <v>1215</v>
      </c>
    </row>
    <row r="676" spans="2:12">
      <c r="B676" s="2" t="s">
        <v>2440</v>
      </c>
      <c r="C676" s="9">
        <v>45983</v>
      </c>
      <c r="D676" s="4">
        <v>1</v>
      </c>
      <c r="E676" s="3">
        <v>120</v>
      </c>
      <c r="F676" s="7">
        <f t="shared" si="10"/>
        <v>45983</v>
      </c>
      <c r="G676" s="3">
        <f>IF(E676&lt;&gt;"", E676*10%, "")</f>
        <v>12</v>
      </c>
      <c r="H676" s="3">
        <f>IF(E676&lt;&gt;"",ROUND(IF(E676&gt;1500,E676*5%,),0),"")</f>
        <v>0</v>
      </c>
      <c r="I676" s="2" t="s">
        <v>2926</v>
      </c>
      <c r="J676" s="3" t="str">
        <f>IF(I676="Cash",L676,"")</f>
        <v/>
      </c>
      <c r="K676" s="3">
        <f>IF(I676="UPI",L676,"")</f>
        <v>108</v>
      </c>
      <c r="L676" s="3">
        <f>IF(E676&lt;&gt;"",E676-G676-H676,"")</f>
        <v>108</v>
      </c>
    </row>
    <row r="677" spans="2:12">
      <c r="B677" s="2" t="s">
        <v>2441</v>
      </c>
      <c r="C677" s="9">
        <v>45983</v>
      </c>
      <c r="D677" s="4">
        <v>2</v>
      </c>
      <c r="E677" s="3">
        <v>1250</v>
      </c>
      <c r="F677" s="7">
        <f t="shared" si="10"/>
        <v>45983</v>
      </c>
      <c r="G677" s="3">
        <f>IF(E677&lt;&gt;"", E677*10%, "")</f>
        <v>125</v>
      </c>
      <c r="H677" s="3">
        <f>IF(E677&lt;&gt;"",ROUND(IF(E677&gt;1500,E677*5%,),0),"")</f>
        <v>0</v>
      </c>
      <c r="I677" s="2" t="s">
        <v>2926</v>
      </c>
      <c r="J677" s="3" t="str">
        <f>IF(I677="Cash",L677,"")</f>
        <v/>
      </c>
      <c r="K677" s="3">
        <f>IF(I677="UPI",L677,"")</f>
        <v>1125</v>
      </c>
      <c r="L677" s="3">
        <f>IF(E677&lt;&gt;"",E677-G677-H677,"")</f>
        <v>1125</v>
      </c>
    </row>
    <row r="678" spans="2:12">
      <c r="B678" s="2" t="s">
        <v>2442</v>
      </c>
      <c r="C678" s="9">
        <v>45983</v>
      </c>
      <c r="D678" s="4">
        <v>4</v>
      </c>
      <c r="E678" s="3">
        <v>2170</v>
      </c>
      <c r="F678" s="7">
        <f t="shared" si="10"/>
        <v>45983</v>
      </c>
      <c r="G678" s="3">
        <f>IF(E678&lt;&gt;"", E678*10%, "")</f>
        <v>217</v>
      </c>
      <c r="H678" s="3">
        <f>IF(E678&lt;&gt;"",ROUND(IF(E678&gt;1500,E678*5%,),0),"")</f>
        <v>109</v>
      </c>
      <c r="I678" s="2" t="s">
        <v>2925</v>
      </c>
      <c r="J678" s="3">
        <f>IF(I678="Cash",L678,"")</f>
        <v>1844</v>
      </c>
      <c r="K678" s="3" t="str">
        <f>IF(I678="UPI",L678,"")</f>
        <v/>
      </c>
      <c r="L678" s="3">
        <f>IF(E678&lt;&gt;"",E678-G678-H678,"")</f>
        <v>1844</v>
      </c>
    </row>
    <row r="679" spans="2:12">
      <c r="B679" s="2" t="s">
        <v>2443</v>
      </c>
      <c r="C679" s="9">
        <v>45983</v>
      </c>
      <c r="D679" s="4">
        <v>2</v>
      </c>
      <c r="E679" s="3">
        <v>1690</v>
      </c>
      <c r="F679" s="7">
        <f t="shared" si="10"/>
        <v>45983</v>
      </c>
      <c r="G679" s="3">
        <f>IF(E679&lt;&gt;"", E679*10%, "")</f>
        <v>169</v>
      </c>
      <c r="H679" s="3">
        <f>IF(E679&lt;&gt;"",ROUND(IF(E679&gt;1500,E679*5%,),0),"")</f>
        <v>85</v>
      </c>
      <c r="I679" s="2" t="s">
        <v>2926</v>
      </c>
      <c r="J679" s="3" t="str">
        <f>IF(I679="Cash",L679,"")</f>
        <v/>
      </c>
      <c r="K679" s="3">
        <f>IF(I679="UPI",L679,"")</f>
        <v>1436</v>
      </c>
      <c r="L679" s="3">
        <f>IF(E679&lt;&gt;"",E679-G679-H679,"")</f>
        <v>1436</v>
      </c>
    </row>
    <row r="680" spans="2:12">
      <c r="B680" s="2" t="s">
        <v>2444</v>
      </c>
      <c r="C680" s="9">
        <v>45983</v>
      </c>
      <c r="D680" s="4">
        <v>4</v>
      </c>
      <c r="E680" s="3">
        <v>3190</v>
      </c>
      <c r="F680" s="7">
        <f t="shared" si="10"/>
        <v>45983</v>
      </c>
      <c r="G680" s="3">
        <f>IF(E680&lt;&gt;"", E680*10%, "")</f>
        <v>319</v>
      </c>
      <c r="H680" s="3">
        <f>IF(E680&lt;&gt;"",ROUND(IF(E680&gt;1500,E680*5%,),0),"")</f>
        <v>160</v>
      </c>
      <c r="I680" s="2" t="s">
        <v>2928</v>
      </c>
      <c r="J680" s="3">
        <v>500</v>
      </c>
      <c r="K680" s="3">
        <v>2211</v>
      </c>
      <c r="L680" s="3">
        <f>IF(E680&lt;&gt;"",E680-G680-H680,"")</f>
        <v>2711</v>
      </c>
    </row>
    <row r="681" spans="2:12">
      <c r="B681" s="2" t="s">
        <v>2445</v>
      </c>
      <c r="C681" s="9">
        <v>45983</v>
      </c>
      <c r="D681" s="4">
        <v>4</v>
      </c>
      <c r="E681" s="3">
        <v>2020</v>
      </c>
      <c r="F681" s="7">
        <f t="shared" si="10"/>
        <v>45983</v>
      </c>
      <c r="G681" s="3">
        <f>IF(E681&lt;&gt;"", E681*10%, "")</f>
        <v>202</v>
      </c>
      <c r="H681" s="3">
        <f>IF(E681&lt;&gt;"",ROUND(IF(E681&gt;1500,E681*5%,),0),"")</f>
        <v>101</v>
      </c>
      <c r="I681" s="2" t="s">
        <v>2925</v>
      </c>
      <c r="J681" s="3">
        <f>IF(I681="Cash",L681,"")</f>
        <v>1717</v>
      </c>
      <c r="K681" s="3" t="str">
        <f>IF(I681="UPI",L681,"")</f>
        <v/>
      </c>
      <c r="L681" s="3">
        <f>IF(E681&lt;&gt;"",E681-G681-H681,"")</f>
        <v>1717</v>
      </c>
    </row>
    <row r="682" spans="2:12">
      <c r="B682" s="2" t="s">
        <v>2446</v>
      </c>
      <c r="C682" s="9">
        <v>45983</v>
      </c>
      <c r="D682" s="4">
        <v>3</v>
      </c>
      <c r="E682" s="3">
        <v>2410</v>
      </c>
      <c r="F682" s="7">
        <f t="shared" si="10"/>
        <v>45983</v>
      </c>
      <c r="G682" s="3">
        <f>IF(E682&lt;&gt;"", E682*10%, "")</f>
        <v>241</v>
      </c>
      <c r="H682" s="3">
        <f>IF(E682&lt;&gt;"",ROUND(IF(E682&gt;1500,E682*5%,),0),"")</f>
        <v>121</v>
      </c>
      <c r="I682" s="2" t="s">
        <v>2925</v>
      </c>
      <c r="J682" s="3">
        <f>IF(I682="Cash",L682,"")</f>
        <v>2048</v>
      </c>
      <c r="K682" s="3" t="str">
        <f>IF(I682="UPI",L682,"")</f>
        <v/>
      </c>
      <c r="L682" s="3">
        <f>IF(E682&lt;&gt;"",E682-G682-H682,"")</f>
        <v>2048</v>
      </c>
    </row>
    <row r="683" spans="2:12">
      <c r="B683" s="2" t="s">
        <v>2447</v>
      </c>
      <c r="C683" s="9">
        <v>45985</v>
      </c>
      <c r="D683" s="4">
        <v>4</v>
      </c>
      <c r="E683" s="3">
        <v>3040</v>
      </c>
      <c r="F683" s="7">
        <f t="shared" si="10"/>
        <v>45985</v>
      </c>
      <c r="G683" s="3">
        <f>IF(E683&lt;&gt;"", E683*10%, "")</f>
        <v>304</v>
      </c>
      <c r="H683" s="3">
        <f>IF(E683&lt;&gt;"",ROUND(IF(E683&gt;1500,E683*5%,),0),"")</f>
        <v>152</v>
      </c>
      <c r="I683" s="2" t="s">
        <v>2928</v>
      </c>
      <c r="J683" s="3">
        <v>700</v>
      </c>
      <c r="K683" s="3">
        <v>1884</v>
      </c>
      <c r="L683" s="3">
        <f>IF(E683&lt;&gt;"",E683-G683-H683,"")</f>
        <v>2584</v>
      </c>
    </row>
    <row r="684" spans="2:12">
      <c r="B684" s="2" t="s">
        <v>2448</v>
      </c>
      <c r="C684" s="9">
        <v>45985</v>
      </c>
      <c r="D684" s="4">
        <v>1</v>
      </c>
      <c r="E684" s="3">
        <v>520</v>
      </c>
      <c r="F684" s="7">
        <f t="shared" si="10"/>
        <v>45985</v>
      </c>
      <c r="G684" s="3">
        <f>IF(E684&lt;&gt;"", E684*10%, "")</f>
        <v>52</v>
      </c>
      <c r="H684" s="3">
        <f>IF(E684&lt;&gt;"",ROUND(IF(E684&gt;1500,E684*5%,),0),"")</f>
        <v>0</v>
      </c>
      <c r="I684" s="2" t="s">
        <v>2926</v>
      </c>
      <c r="J684" s="3" t="str">
        <f>IF(I684="Cash",L684,"")</f>
        <v/>
      </c>
      <c r="K684" s="3">
        <f>IF(I684="UPI",L684,"")</f>
        <v>468</v>
      </c>
      <c r="L684" s="3">
        <f>IF(E684&lt;&gt;"",E684-G684-H684,"")</f>
        <v>468</v>
      </c>
    </row>
    <row r="685" spans="2:12">
      <c r="B685" s="2" t="s">
        <v>2449</v>
      </c>
      <c r="C685" s="9">
        <v>45985</v>
      </c>
      <c r="D685" s="4">
        <v>4</v>
      </c>
      <c r="E685" s="3">
        <v>1820</v>
      </c>
      <c r="F685" s="7">
        <f t="shared" si="10"/>
        <v>45985</v>
      </c>
      <c r="G685" s="3">
        <f>IF(E685&lt;&gt;"", E685*10%, "")</f>
        <v>182</v>
      </c>
      <c r="H685" s="3">
        <f>IF(E685&lt;&gt;"",ROUND(IF(E685&gt;1500,E685*5%,),0),"")</f>
        <v>91</v>
      </c>
      <c r="I685" s="2" t="s">
        <v>2925</v>
      </c>
      <c r="J685" s="3">
        <f>IF(I685="Cash",L685,"")</f>
        <v>1547</v>
      </c>
      <c r="K685" s="3" t="str">
        <f>IF(I685="UPI",L685,"")</f>
        <v/>
      </c>
      <c r="L685" s="3">
        <f>IF(E685&lt;&gt;"",E685-G685-H685,"")</f>
        <v>1547</v>
      </c>
    </row>
    <row r="686" spans="2:12">
      <c r="B686" s="2" t="s">
        <v>2450</v>
      </c>
      <c r="C686" s="9">
        <v>45985</v>
      </c>
      <c r="D686" s="4">
        <v>2</v>
      </c>
      <c r="E686" s="3">
        <v>1630</v>
      </c>
      <c r="F686" s="7">
        <f t="shared" si="10"/>
        <v>45985</v>
      </c>
      <c r="G686" s="3">
        <f>IF(E686&lt;&gt;"", E686*10%, "")</f>
        <v>163</v>
      </c>
      <c r="H686" s="3">
        <f>IF(E686&lt;&gt;"",ROUND(IF(E686&gt;1500,E686*5%,),0),"")</f>
        <v>82</v>
      </c>
      <c r="I686" s="2" t="s">
        <v>2926</v>
      </c>
      <c r="J686" s="3" t="str">
        <f>IF(I686="Cash",L686,"")</f>
        <v/>
      </c>
      <c r="K686" s="3">
        <f>IF(I686="UPI",L686,"")</f>
        <v>1385</v>
      </c>
      <c r="L686" s="3">
        <f>IF(E686&lt;&gt;"",E686-G686-H686,"")</f>
        <v>1385</v>
      </c>
    </row>
    <row r="687" spans="2:12">
      <c r="B687" s="2" t="s">
        <v>2451</v>
      </c>
      <c r="C687" s="9">
        <v>45985</v>
      </c>
      <c r="D687" s="4">
        <v>4</v>
      </c>
      <c r="E687" s="3">
        <v>2310</v>
      </c>
      <c r="F687" s="7">
        <f t="shared" si="10"/>
        <v>45985</v>
      </c>
      <c r="G687" s="3">
        <f>IF(E687&lt;&gt;"", E687*10%, "")</f>
        <v>231</v>
      </c>
      <c r="H687" s="3">
        <f>IF(E687&lt;&gt;"",ROUND(IF(E687&gt;1500,E687*5%,),0),"")</f>
        <v>116</v>
      </c>
      <c r="I687" s="2" t="s">
        <v>2925</v>
      </c>
      <c r="J687" s="3">
        <f>IF(I687="Cash",L687,"")</f>
        <v>1963</v>
      </c>
      <c r="K687" s="3" t="str">
        <f>IF(I687="UPI",L687,"")</f>
        <v/>
      </c>
      <c r="L687" s="3">
        <f>IF(E687&lt;&gt;"",E687-G687-H687,"")</f>
        <v>1963</v>
      </c>
    </row>
    <row r="688" spans="2:12">
      <c r="B688" s="2" t="s">
        <v>2452</v>
      </c>
      <c r="C688" s="9">
        <v>45985</v>
      </c>
      <c r="D688" s="4">
        <v>4</v>
      </c>
      <c r="E688" s="3">
        <v>2610</v>
      </c>
      <c r="F688" s="7">
        <f t="shared" si="10"/>
        <v>45985</v>
      </c>
      <c r="G688" s="3">
        <f>IF(E688&lt;&gt;"", E688*10%, "")</f>
        <v>261</v>
      </c>
      <c r="H688" s="3">
        <f>IF(E688&lt;&gt;"",ROUND(IF(E688&gt;1500,E688*5%,),0),"")</f>
        <v>131</v>
      </c>
      <c r="I688" s="2" t="s">
        <v>2925</v>
      </c>
      <c r="J688" s="3">
        <f>IF(I688="Cash",L688,"")</f>
        <v>2218</v>
      </c>
      <c r="K688" s="3" t="str">
        <f>IF(I688="UPI",L688,"")</f>
        <v/>
      </c>
      <c r="L688" s="3">
        <f>IF(E688&lt;&gt;"",E688-G688-H688,"")</f>
        <v>2218</v>
      </c>
    </row>
    <row r="689" spans="2:12">
      <c r="B689" s="2" t="s">
        <v>2453</v>
      </c>
      <c r="C689" s="9">
        <v>45985</v>
      </c>
      <c r="D689" s="4">
        <v>2</v>
      </c>
      <c r="E689" s="3">
        <v>860</v>
      </c>
      <c r="F689" s="7">
        <f t="shared" si="10"/>
        <v>45985</v>
      </c>
      <c r="G689" s="3">
        <f>IF(E689&lt;&gt;"", E689*10%, "")</f>
        <v>86</v>
      </c>
      <c r="H689" s="3">
        <f>IF(E689&lt;&gt;"",ROUND(IF(E689&gt;1500,E689*5%,),0),"")</f>
        <v>0</v>
      </c>
      <c r="I689" s="2" t="s">
        <v>2926</v>
      </c>
      <c r="J689" s="3" t="str">
        <f>IF(I689="Cash",L689,"")</f>
        <v/>
      </c>
      <c r="K689" s="3">
        <f>IF(I689="UPI",L689,"")</f>
        <v>774</v>
      </c>
      <c r="L689" s="3">
        <f>IF(E689&lt;&gt;"",E689-G689-H689,"")</f>
        <v>774</v>
      </c>
    </row>
    <row r="690" spans="2:12">
      <c r="B690" s="2" t="s">
        <v>2454</v>
      </c>
      <c r="C690" s="9">
        <v>45985</v>
      </c>
      <c r="D690" s="4">
        <v>1</v>
      </c>
      <c r="E690" s="3">
        <v>760</v>
      </c>
      <c r="F690" s="7">
        <f t="shared" si="10"/>
        <v>45985</v>
      </c>
      <c r="G690" s="3">
        <f>IF(E690&lt;&gt;"", E690*10%, "")</f>
        <v>76</v>
      </c>
      <c r="H690" s="3">
        <f>IF(E690&lt;&gt;"",ROUND(IF(E690&gt;1500,E690*5%,),0),"")</f>
        <v>0</v>
      </c>
      <c r="I690" s="2" t="s">
        <v>2926</v>
      </c>
      <c r="J690" s="3" t="str">
        <f>IF(I690="Cash",L690,"")</f>
        <v/>
      </c>
      <c r="K690" s="3">
        <f>IF(I690="UPI",L690,"")</f>
        <v>684</v>
      </c>
      <c r="L690" s="3">
        <f>IF(E690&lt;&gt;"",E690-G690-H690,"")</f>
        <v>684</v>
      </c>
    </row>
    <row r="691" spans="2:12">
      <c r="B691" s="2" t="s">
        <v>2455</v>
      </c>
      <c r="C691" s="9">
        <v>45985</v>
      </c>
      <c r="D691" s="4">
        <v>4</v>
      </c>
      <c r="E691" s="3">
        <v>2360</v>
      </c>
      <c r="F691" s="7">
        <f t="shared" si="10"/>
        <v>45985</v>
      </c>
      <c r="G691" s="3">
        <f>IF(E691&lt;&gt;"", E691*10%, "")</f>
        <v>236</v>
      </c>
      <c r="H691" s="3">
        <f>IF(E691&lt;&gt;"",ROUND(IF(E691&gt;1500,E691*5%,),0),"")</f>
        <v>118</v>
      </c>
      <c r="I691" s="2" t="s">
        <v>2925</v>
      </c>
      <c r="J691" s="3">
        <f>IF(I691="Cash",L691,"")</f>
        <v>2006</v>
      </c>
      <c r="K691" s="3" t="str">
        <f>IF(I691="UPI",L691,"")</f>
        <v/>
      </c>
      <c r="L691" s="3">
        <f>IF(E691&lt;&gt;"",E691-G691-H691,"")</f>
        <v>2006</v>
      </c>
    </row>
    <row r="692" spans="2:12">
      <c r="B692" s="2" t="s">
        <v>2456</v>
      </c>
      <c r="C692" s="9">
        <v>45985</v>
      </c>
      <c r="D692" s="4">
        <v>1</v>
      </c>
      <c r="E692" s="3">
        <v>720</v>
      </c>
      <c r="F692" s="7">
        <f t="shared" si="10"/>
        <v>45985</v>
      </c>
      <c r="G692" s="3">
        <f>IF(E692&lt;&gt;"", E692*10%, "")</f>
        <v>72</v>
      </c>
      <c r="H692" s="3">
        <f>IF(E692&lt;&gt;"",ROUND(IF(E692&gt;1500,E692*5%,),0),"")</f>
        <v>0</v>
      </c>
      <c r="I692" s="2" t="s">
        <v>2926</v>
      </c>
      <c r="J692" s="3" t="str">
        <f>IF(I692="Cash",L692,"")</f>
        <v/>
      </c>
      <c r="K692" s="3">
        <f>IF(I692="UPI",L692,"")</f>
        <v>648</v>
      </c>
      <c r="L692" s="3">
        <f>IF(E692&lt;&gt;"",E692-G692-H692,"")</f>
        <v>648</v>
      </c>
    </row>
    <row r="693" spans="2:12">
      <c r="B693" s="2" t="s">
        <v>2457</v>
      </c>
      <c r="C693" s="9">
        <v>45985</v>
      </c>
      <c r="D693" s="4">
        <v>3</v>
      </c>
      <c r="E693" s="3">
        <v>1390</v>
      </c>
      <c r="F693" s="7">
        <f t="shared" si="10"/>
        <v>45985</v>
      </c>
      <c r="G693" s="3">
        <f>IF(E693&lt;&gt;"", E693*10%, "")</f>
        <v>139</v>
      </c>
      <c r="H693" s="3">
        <f>IF(E693&lt;&gt;"",ROUND(IF(E693&gt;1500,E693*5%,),0),"")</f>
        <v>0</v>
      </c>
      <c r="I693" s="2" t="s">
        <v>2926</v>
      </c>
      <c r="J693" s="3" t="str">
        <f>IF(I693="Cash",L693,"")</f>
        <v/>
      </c>
      <c r="K693" s="3">
        <f>IF(I693="UPI",L693,"")</f>
        <v>1251</v>
      </c>
      <c r="L693" s="3">
        <f>IF(E693&lt;&gt;"",E693-G693-H693,"")</f>
        <v>1251</v>
      </c>
    </row>
    <row r="694" spans="2:12">
      <c r="B694" s="2" t="s">
        <v>2458</v>
      </c>
      <c r="C694" s="9">
        <v>45985</v>
      </c>
      <c r="D694" s="4">
        <v>3</v>
      </c>
      <c r="E694" s="3">
        <v>1380</v>
      </c>
      <c r="F694" s="7">
        <f t="shared" si="10"/>
        <v>45985</v>
      </c>
      <c r="G694" s="3">
        <f>IF(E694&lt;&gt;"", E694*10%, "")</f>
        <v>138</v>
      </c>
      <c r="H694" s="3">
        <f>IF(E694&lt;&gt;"",ROUND(IF(E694&gt;1500,E694*5%,),0),"")</f>
        <v>0</v>
      </c>
      <c r="I694" s="2" t="s">
        <v>2926</v>
      </c>
      <c r="J694" s="3" t="str">
        <f>IF(I694="Cash",L694,"")</f>
        <v/>
      </c>
      <c r="K694" s="3">
        <f>IF(I694="UPI",L694,"")</f>
        <v>1242</v>
      </c>
      <c r="L694" s="3">
        <f>IF(E694&lt;&gt;"",E694-G694-H694,"")</f>
        <v>1242</v>
      </c>
    </row>
    <row r="695" spans="2:12">
      <c r="B695" s="2" t="s">
        <v>2459</v>
      </c>
      <c r="C695" s="9">
        <v>45985</v>
      </c>
      <c r="D695" s="4">
        <v>3</v>
      </c>
      <c r="E695" s="3">
        <v>1630</v>
      </c>
      <c r="F695" s="7">
        <f t="shared" si="10"/>
        <v>45985</v>
      </c>
      <c r="G695" s="3">
        <f>IF(E695&lt;&gt;"", E695*10%, "")</f>
        <v>163</v>
      </c>
      <c r="H695" s="3">
        <f>IF(E695&lt;&gt;"",ROUND(IF(E695&gt;1500,E695*5%,),0),"")</f>
        <v>82</v>
      </c>
      <c r="I695" s="2" t="s">
        <v>2926</v>
      </c>
      <c r="J695" s="3" t="str">
        <f>IF(I695="Cash",L695,"")</f>
        <v/>
      </c>
      <c r="K695" s="3">
        <f>IF(I695="UPI",L695,"")</f>
        <v>1385</v>
      </c>
      <c r="L695" s="3">
        <f>IF(E695&lt;&gt;"",E695-G695-H695,"")</f>
        <v>1385</v>
      </c>
    </row>
    <row r="696" spans="2:12">
      <c r="B696" s="2" t="s">
        <v>2460</v>
      </c>
      <c r="C696" s="9">
        <v>45985</v>
      </c>
      <c r="D696" s="4">
        <v>3</v>
      </c>
      <c r="E696" s="3">
        <v>630</v>
      </c>
      <c r="F696" s="7">
        <f t="shared" si="10"/>
        <v>45985</v>
      </c>
      <c r="G696" s="3">
        <f>IF(E696&lt;&gt;"", E696*10%, "")</f>
        <v>63</v>
      </c>
      <c r="H696" s="3">
        <f>IF(E696&lt;&gt;"",ROUND(IF(E696&gt;1500,E696*5%,),0),"")</f>
        <v>0</v>
      </c>
      <c r="I696" s="2" t="s">
        <v>2926</v>
      </c>
      <c r="J696" s="3" t="str">
        <f>IF(I696="Cash",L696,"")</f>
        <v/>
      </c>
      <c r="K696" s="3">
        <f>IF(I696="UPI",L696,"")</f>
        <v>567</v>
      </c>
      <c r="L696" s="3">
        <f>IF(E696&lt;&gt;"",E696-G696-H696,"")</f>
        <v>567</v>
      </c>
    </row>
    <row r="697" spans="2:12">
      <c r="B697" s="2" t="s">
        <v>2461</v>
      </c>
      <c r="C697" s="9">
        <v>45986</v>
      </c>
      <c r="D697" s="4">
        <v>2</v>
      </c>
      <c r="E697" s="3">
        <v>490</v>
      </c>
      <c r="F697" s="7">
        <f t="shared" si="10"/>
        <v>45986</v>
      </c>
      <c r="G697" s="3">
        <f>IF(E697&lt;&gt;"", E697*10%, "")</f>
        <v>49</v>
      </c>
      <c r="H697" s="3">
        <f>IF(E697&lt;&gt;"",ROUND(IF(E697&gt;1500,E697*5%,),0),"")</f>
        <v>0</v>
      </c>
      <c r="I697" s="2" t="s">
        <v>2926</v>
      </c>
      <c r="J697" s="3" t="str">
        <f>IF(I697="Cash",L697,"")</f>
        <v/>
      </c>
      <c r="K697" s="3">
        <f>IF(I697="UPI",L697,"")</f>
        <v>441</v>
      </c>
      <c r="L697" s="3">
        <f>IF(E697&lt;&gt;"",E697-G697-H697,"")</f>
        <v>441</v>
      </c>
    </row>
    <row r="698" spans="2:12">
      <c r="B698" s="2" t="s">
        <v>2462</v>
      </c>
      <c r="C698" s="9">
        <v>45986</v>
      </c>
      <c r="D698" s="4">
        <v>3</v>
      </c>
      <c r="E698" s="3">
        <v>2260</v>
      </c>
      <c r="F698" s="7">
        <f t="shared" si="10"/>
        <v>45986</v>
      </c>
      <c r="G698" s="3">
        <f>IF(E698&lt;&gt;"", E698*10%, "")</f>
        <v>226</v>
      </c>
      <c r="H698" s="3">
        <f>IF(E698&lt;&gt;"",ROUND(IF(E698&gt;1500,E698*5%,),0),"")</f>
        <v>113</v>
      </c>
      <c r="I698" s="2" t="s">
        <v>2925</v>
      </c>
      <c r="J698" s="3">
        <f>IF(I698="Cash",L698,"")</f>
        <v>1921</v>
      </c>
      <c r="K698" s="3" t="str">
        <f>IF(I698="UPI",L698,"")</f>
        <v/>
      </c>
      <c r="L698" s="3">
        <f>IF(E698&lt;&gt;"",E698-G698-H698,"")</f>
        <v>1921</v>
      </c>
    </row>
    <row r="699" spans="2:12">
      <c r="B699" s="2" t="s">
        <v>2463</v>
      </c>
      <c r="C699" s="9">
        <v>45986</v>
      </c>
      <c r="D699" s="4">
        <v>1</v>
      </c>
      <c r="E699" s="3">
        <v>860</v>
      </c>
      <c r="F699" s="7">
        <f t="shared" si="10"/>
        <v>45986</v>
      </c>
      <c r="G699" s="3">
        <f>IF(E699&lt;&gt;"", E699*10%, "")</f>
        <v>86</v>
      </c>
      <c r="H699" s="3">
        <f>IF(E699&lt;&gt;"",ROUND(IF(E699&gt;1500,E699*5%,),0),"")</f>
        <v>0</v>
      </c>
      <c r="I699" s="2" t="s">
        <v>2926</v>
      </c>
      <c r="J699" s="3" t="str">
        <f>IF(I699="Cash",L699,"")</f>
        <v/>
      </c>
      <c r="K699" s="3">
        <f>IF(I699="UPI",L699,"")</f>
        <v>774</v>
      </c>
      <c r="L699" s="3">
        <f>IF(E699&lt;&gt;"",E699-G699-H699,"")</f>
        <v>774</v>
      </c>
    </row>
    <row r="700" spans="2:12">
      <c r="B700" s="2" t="s">
        <v>2464</v>
      </c>
      <c r="C700" s="9">
        <v>45986</v>
      </c>
      <c r="D700" s="4">
        <v>3</v>
      </c>
      <c r="E700" s="3">
        <v>1620</v>
      </c>
      <c r="F700" s="7">
        <f t="shared" si="10"/>
        <v>45986</v>
      </c>
      <c r="G700" s="3">
        <f>IF(E700&lt;&gt;"", E700*10%, "")</f>
        <v>162</v>
      </c>
      <c r="H700" s="3">
        <f>IF(E700&lt;&gt;"",ROUND(IF(E700&gt;1500,E700*5%,),0),"")</f>
        <v>81</v>
      </c>
      <c r="I700" s="2" t="s">
        <v>2926</v>
      </c>
      <c r="J700" s="3" t="str">
        <f>IF(I700="Cash",L700,"")</f>
        <v/>
      </c>
      <c r="K700" s="3">
        <f>IF(I700="UPI",L700,"")</f>
        <v>1377</v>
      </c>
      <c r="L700" s="3">
        <f>IF(E700&lt;&gt;"",E700-G700-H700,"")</f>
        <v>1377</v>
      </c>
    </row>
    <row r="701" spans="2:12">
      <c r="B701" s="2" t="s">
        <v>2465</v>
      </c>
      <c r="C701" s="9">
        <v>45986</v>
      </c>
      <c r="D701" s="4">
        <v>3</v>
      </c>
      <c r="E701" s="3">
        <v>1130</v>
      </c>
      <c r="F701" s="7">
        <f t="shared" si="10"/>
        <v>45986</v>
      </c>
      <c r="G701" s="3">
        <f>IF(E701&lt;&gt;"", E701*10%, "")</f>
        <v>113</v>
      </c>
      <c r="H701" s="3">
        <f>IF(E701&lt;&gt;"",ROUND(IF(E701&gt;1500,E701*5%,),0),"")</f>
        <v>0</v>
      </c>
      <c r="I701" s="2" t="s">
        <v>2926</v>
      </c>
      <c r="J701" s="3" t="str">
        <f>IF(I701="Cash",L701,"")</f>
        <v/>
      </c>
      <c r="K701" s="3">
        <f>IF(I701="UPI",L701,"")</f>
        <v>1017</v>
      </c>
      <c r="L701" s="3">
        <f>IF(E701&lt;&gt;"",E701-G701-H701,"")</f>
        <v>1017</v>
      </c>
    </row>
    <row r="702" spans="2:12">
      <c r="B702" s="2" t="s">
        <v>2466</v>
      </c>
      <c r="C702" s="9">
        <v>45986</v>
      </c>
      <c r="D702" s="4">
        <v>3</v>
      </c>
      <c r="E702" s="3">
        <v>1480</v>
      </c>
      <c r="F702" s="7">
        <f t="shared" si="10"/>
        <v>45986</v>
      </c>
      <c r="G702" s="3">
        <f>IF(E702&lt;&gt;"", E702*10%, "")</f>
        <v>148</v>
      </c>
      <c r="H702" s="3">
        <f>IF(E702&lt;&gt;"",ROUND(IF(E702&gt;1500,E702*5%,),0),"")</f>
        <v>0</v>
      </c>
      <c r="I702" s="2" t="s">
        <v>2926</v>
      </c>
      <c r="J702" s="3" t="str">
        <f>IF(I702="Cash",L702,"")</f>
        <v/>
      </c>
      <c r="K702" s="3">
        <f>IF(I702="UPI",L702,"")</f>
        <v>1332</v>
      </c>
      <c r="L702" s="3">
        <f>IF(E702&lt;&gt;"",E702-G702-H702,"")</f>
        <v>1332</v>
      </c>
    </row>
    <row r="703" spans="2:12">
      <c r="B703" s="2" t="s">
        <v>2467</v>
      </c>
      <c r="C703" s="9">
        <v>45986</v>
      </c>
      <c r="D703" s="4">
        <v>2</v>
      </c>
      <c r="E703" s="3">
        <v>720</v>
      </c>
      <c r="F703" s="7">
        <f t="shared" si="10"/>
        <v>45986</v>
      </c>
      <c r="G703" s="3">
        <f>IF(E703&lt;&gt;"", E703*10%, "")</f>
        <v>72</v>
      </c>
      <c r="H703" s="3">
        <f>IF(E703&lt;&gt;"",ROUND(IF(E703&gt;1500,E703*5%,),0),"")</f>
        <v>0</v>
      </c>
      <c r="I703" s="2" t="s">
        <v>2926</v>
      </c>
      <c r="J703" s="3" t="str">
        <f>IF(I703="Cash",L703,"")</f>
        <v/>
      </c>
      <c r="K703" s="3">
        <f>IF(I703="UPI",L703,"")</f>
        <v>648</v>
      </c>
      <c r="L703" s="3">
        <f>IF(E703&lt;&gt;"",E703-G703-H703,"")</f>
        <v>648</v>
      </c>
    </row>
    <row r="704" spans="2:12">
      <c r="B704" s="2" t="s">
        <v>2468</v>
      </c>
      <c r="C704" s="9">
        <v>45986</v>
      </c>
      <c r="D704" s="4">
        <v>2</v>
      </c>
      <c r="E704" s="3">
        <v>880</v>
      </c>
      <c r="F704" s="7">
        <f t="shared" si="10"/>
        <v>45986</v>
      </c>
      <c r="G704" s="3">
        <f>IF(E704&lt;&gt;"", E704*10%, "")</f>
        <v>88</v>
      </c>
      <c r="H704" s="3">
        <f>IF(E704&lt;&gt;"",ROUND(IF(E704&gt;1500,E704*5%,),0),"")</f>
        <v>0</v>
      </c>
      <c r="I704" s="2" t="s">
        <v>2926</v>
      </c>
      <c r="J704" s="3" t="str">
        <f>IF(I704="Cash",L704,"")</f>
        <v/>
      </c>
      <c r="K704" s="3">
        <f>IF(I704="UPI",L704,"")</f>
        <v>792</v>
      </c>
      <c r="L704" s="3">
        <f>IF(E704&lt;&gt;"",E704-G704-H704,"")</f>
        <v>792</v>
      </c>
    </row>
    <row r="705" spans="2:12">
      <c r="B705" s="2" t="s">
        <v>2469</v>
      </c>
      <c r="C705" s="9">
        <v>45986</v>
      </c>
      <c r="D705" s="4">
        <v>2</v>
      </c>
      <c r="E705" s="3">
        <v>1150</v>
      </c>
      <c r="F705" s="7">
        <f t="shared" si="10"/>
        <v>45986</v>
      </c>
      <c r="G705" s="3">
        <f>IF(E705&lt;&gt;"", E705*10%, "")</f>
        <v>115</v>
      </c>
      <c r="H705" s="3">
        <f>IF(E705&lt;&gt;"",ROUND(IF(E705&gt;1500,E705*5%,),0),"")</f>
        <v>0</v>
      </c>
      <c r="I705" s="2" t="s">
        <v>2926</v>
      </c>
      <c r="J705" s="3" t="str">
        <f>IF(I705="Cash",L705,"")</f>
        <v/>
      </c>
      <c r="K705" s="3">
        <f>IF(I705="UPI",L705,"")</f>
        <v>1035</v>
      </c>
      <c r="L705" s="3">
        <f>IF(E705&lt;&gt;"",E705-G705-H705,"")</f>
        <v>1035</v>
      </c>
    </row>
    <row r="706" spans="2:12">
      <c r="B706" s="2" t="s">
        <v>2470</v>
      </c>
      <c r="C706" s="9">
        <v>45986</v>
      </c>
      <c r="D706" s="4">
        <v>1</v>
      </c>
      <c r="E706" s="3">
        <v>190</v>
      </c>
      <c r="F706" s="7">
        <f t="shared" si="10"/>
        <v>45986</v>
      </c>
      <c r="G706" s="3">
        <f>IF(E706&lt;&gt;"", E706*10%, "")</f>
        <v>19</v>
      </c>
      <c r="H706" s="3">
        <f>IF(E706&lt;&gt;"",ROUND(IF(E706&gt;1500,E706*5%,),0),"")</f>
        <v>0</v>
      </c>
      <c r="I706" s="2" t="s">
        <v>2926</v>
      </c>
      <c r="J706" s="3" t="str">
        <f>IF(I706="Cash",L706,"")</f>
        <v/>
      </c>
      <c r="K706" s="3">
        <f>IF(I706="UPI",L706,"")</f>
        <v>171</v>
      </c>
      <c r="L706" s="3">
        <f>IF(E706&lt;&gt;"",E706-G706-H706,"")</f>
        <v>171</v>
      </c>
    </row>
    <row r="707" spans="2:12">
      <c r="B707" s="2" t="s">
        <v>2471</v>
      </c>
      <c r="C707" s="9">
        <v>45986</v>
      </c>
      <c r="D707" s="4">
        <v>4</v>
      </c>
      <c r="E707" s="3">
        <v>2220</v>
      </c>
      <c r="F707" s="7">
        <f t="shared" si="10"/>
        <v>45986</v>
      </c>
      <c r="G707" s="3">
        <f>IF(E707&lt;&gt;"", E707*10%, "")</f>
        <v>222</v>
      </c>
      <c r="H707" s="3">
        <f>IF(E707&lt;&gt;"",ROUND(IF(E707&gt;1500,E707*5%,),0),"")</f>
        <v>111</v>
      </c>
      <c r="I707" s="2" t="s">
        <v>2925</v>
      </c>
      <c r="J707" s="3">
        <f>IF(I707="Cash",L707,"")</f>
        <v>1887</v>
      </c>
      <c r="K707" s="3" t="str">
        <f>IF(I707="UPI",L707,"")</f>
        <v/>
      </c>
      <c r="L707" s="3">
        <f>IF(E707&lt;&gt;"",E707-G707-H707,"")</f>
        <v>1887</v>
      </c>
    </row>
    <row r="708" spans="2:12">
      <c r="B708" s="2" t="s">
        <v>2472</v>
      </c>
      <c r="C708" s="9">
        <v>45986</v>
      </c>
      <c r="D708" s="4">
        <v>3</v>
      </c>
      <c r="E708" s="3">
        <v>1450</v>
      </c>
      <c r="F708" s="7">
        <f t="shared" si="10"/>
        <v>45986</v>
      </c>
      <c r="G708" s="3">
        <f>IF(E708&lt;&gt;"", E708*10%, "")</f>
        <v>145</v>
      </c>
      <c r="H708" s="3">
        <f>IF(E708&lt;&gt;"",ROUND(IF(E708&gt;1500,E708*5%,),0),"")</f>
        <v>0</v>
      </c>
      <c r="I708" s="2" t="s">
        <v>2926</v>
      </c>
      <c r="J708" s="3" t="str">
        <f>IF(I708="Cash",L708,"")</f>
        <v/>
      </c>
      <c r="K708" s="3">
        <f>IF(I708="UPI",L708,"")</f>
        <v>1305</v>
      </c>
      <c r="L708" s="3">
        <f>IF(E708&lt;&gt;"",E708-G708-H708,"")</f>
        <v>1305</v>
      </c>
    </row>
    <row r="709" spans="2:12">
      <c r="B709" s="2" t="s">
        <v>2473</v>
      </c>
      <c r="C709" s="9">
        <v>45986</v>
      </c>
      <c r="D709" s="4">
        <v>2</v>
      </c>
      <c r="E709" s="3">
        <v>1090</v>
      </c>
      <c r="F709" s="7">
        <f t="shared" ref="F709:F772" si="11">C709</f>
        <v>45986</v>
      </c>
      <c r="G709" s="3">
        <f>IF(E709&lt;&gt;"", E709*10%, "")</f>
        <v>109</v>
      </c>
      <c r="H709" s="3">
        <f>IF(E709&lt;&gt;"",ROUND(IF(E709&gt;1500,E709*5%,),0),"")</f>
        <v>0</v>
      </c>
      <c r="I709" s="2" t="s">
        <v>2926</v>
      </c>
      <c r="J709" s="3" t="str">
        <f>IF(I709="Cash",L709,"")</f>
        <v/>
      </c>
      <c r="K709" s="3">
        <f>IF(I709="UPI",L709,"")</f>
        <v>981</v>
      </c>
      <c r="L709" s="3">
        <f>IF(E709&lt;&gt;"",E709-G709-H709,"")</f>
        <v>981</v>
      </c>
    </row>
    <row r="710" spans="2:12">
      <c r="B710" s="2" t="s">
        <v>2474</v>
      </c>
      <c r="C710" s="9">
        <v>45987</v>
      </c>
      <c r="D710" s="4">
        <v>2</v>
      </c>
      <c r="E710" s="3">
        <v>1630</v>
      </c>
      <c r="F710" s="7">
        <f t="shared" si="11"/>
        <v>45987</v>
      </c>
      <c r="G710" s="3">
        <f>IF(E710&lt;&gt;"", E710*10%, "")</f>
        <v>163</v>
      </c>
      <c r="H710" s="3">
        <f>IF(E710&lt;&gt;"",ROUND(IF(E710&gt;1500,E710*5%,),0),"")</f>
        <v>82</v>
      </c>
      <c r="I710" s="2" t="s">
        <v>2926</v>
      </c>
      <c r="J710" s="3" t="str">
        <f>IF(I710="Cash",L710,"")</f>
        <v/>
      </c>
      <c r="K710" s="3">
        <f>IF(I710="UPI",L710,"")</f>
        <v>1385</v>
      </c>
      <c r="L710" s="3">
        <f>IF(E710&lt;&gt;"",E710-G710-H710,"")</f>
        <v>1385</v>
      </c>
    </row>
    <row r="711" spans="2:12">
      <c r="B711" s="2" t="s">
        <v>2475</v>
      </c>
      <c r="C711" s="9">
        <v>45987</v>
      </c>
      <c r="D711" s="4">
        <v>2</v>
      </c>
      <c r="E711" s="3">
        <v>890</v>
      </c>
      <c r="F711" s="7">
        <f t="shared" si="11"/>
        <v>45987</v>
      </c>
      <c r="G711" s="3">
        <f>IF(E711&lt;&gt;"", E711*10%, "")</f>
        <v>89</v>
      </c>
      <c r="H711" s="3">
        <f>IF(E711&lt;&gt;"",ROUND(IF(E711&gt;1500,E711*5%,),0),"")</f>
        <v>0</v>
      </c>
      <c r="I711" s="2" t="s">
        <v>2926</v>
      </c>
      <c r="J711" s="3" t="str">
        <f>IF(I711="Cash",L711,"")</f>
        <v/>
      </c>
      <c r="K711" s="3">
        <f>IF(I711="UPI",L711,"")</f>
        <v>801</v>
      </c>
      <c r="L711" s="3">
        <f>IF(E711&lt;&gt;"",E711-G711-H711,"")</f>
        <v>801</v>
      </c>
    </row>
    <row r="712" spans="2:12">
      <c r="B712" s="2" t="s">
        <v>2476</v>
      </c>
      <c r="C712" s="9">
        <v>45987</v>
      </c>
      <c r="D712" s="4">
        <v>4</v>
      </c>
      <c r="E712" s="3">
        <v>1970</v>
      </c>
      <c r="F712" s="7">
        <f t="shared" si="11"/>
        <v>45987</v>
      </c>
      <c r="G712" s="3">
        <f>IF(E712&lt;&gt;"", E712*10%, "")</f>
        <v>197</v>
      </c>
      <c r="H712" s="3">
        <f>IF(E712&lt;&gt;"",ROUND(IF(E712&gt;1500,E712*5%,),0),"")</f>
        <v>99</v>
      </c>
      <c r="I712" s="2" t="s">
        <v>2925</v>
      </c>
      <c r="J712" s="3">
        <f>IF(I712="Cash",L712,"")</f>
        <v>1674</v>
      </c>
      <c r="K712" s="3" t="str">
        <f>IF(I712="UPI",L712,"")</f>
        <v/>
      </c>
      <c r="L712" s="3">
        <f>IF(E712&lt;&gt;"",E712-G712-H712,"")</f>
        <v>1674</v>
      </c>
    </row>
    <row r="713" spans="2:12">
      <c r="B713" s="2" t="s">
        <v>2477</v>
      </c>
      <c r="C713" s="9">
        <v>45987</v>
      </c>
      <c r="D713" s="4">
        <v>2</v>
      </c>
      <c r="E713" s="3">
        <v>1120</v>
      </c>
      <c r="F713" s="7">
        <f t="shared" si="11"/>
        <v>45987</v>
      </c>
      <c r="G713" s="3">
        <f>IF(E713&lt;&gt;"", E713*10%, "")</f>
        <v>112</v>
      </c>
      <c r="H713" s="3">
        <f>IF(E713&lt;&gt;"",ROUND(IF(E713&gt;1500,E713*5%,),0),"")</f>
        <v>0</v>
      </c>
      <c r="I713" s="2" t="s">
        <v>2926</v>
      </c>
      <c r="J713" s="3" t="str">
        <f>IF(I713="Cash",L713,"")</f>
        <v/>
      </c>
      <c r="K713" s="3">
        <f>IF(I713="UPI",L713,"")</f>
        <v>1008</v>
      </c>
      <c r="L713" s="3">
        <f>IF(E713&lt;&gt;"",E713-G713-H713,"")</f>
        <v>1008</v>
      </c>
    </row>
    <row r="714" spans="2:12">
      <c r="B714" s="2" t="s">
        <v>2478</v>
      </c>
      <c r="C714" s="9">
        <v>45987</v>
      </c>
      <c r="D714" s="4">
        <v>1</v>
      </c>
      <c r="E714" s="3">
        <v>720</v>
      </c>
      <c r="F714" s="7">
        <f t="shared" si="11"/>
        <v>45987</v>
      </c>
      <c r="G714" s="3">
        <f>IF(E714&lt;&gt;"", E714*10%, "")</f>
        <v>72</v>
      </c>
      <c r="H714" s="3">
        <f>IF(E714&lt;&gt;"",ROUND(IF(E714&gt;1500,E714*5%,),0),"")</f>
        <v>0</v>
      </c>
      <c r="I714" s="2" t="s">
        <v>2926</v>
      </c>
      <c r="J714" s="3" t="str">
        <f>IF(I714="Cash",L714,"")</f>
        <v/>
      </c>
      <c r="K714" s="3">
        <f>IF(I714="UPI",L714,"")</f>
        <v>648</v>
      </c>
      <c r="L714" s="3">
        <f>IF(E714&lt;&gt;"",E714-G714-H714,"")</f>
        <v>648</v>
      </c>
    </row>
    <row r="715" spans="2:12">
      <c r="B715" s="2" t="s">
        <v>2479</v>
      </c>
      <c r="C715" s="9">
        <v>45987</v>
      </c>
      <c r="D715" s="4">
        <v>3</v>
      </c>
      <c r="E715" s="3">
        <v>2720</v>
      </c>
      <c r="F715" s="7">
        <f t="shared" si="11"/>
        <v>45987</v>
      </c>
      <c r="G715" s="3">
        <f>IF(E715&lt;&gt;"", E715*10%, "")</f>
        <v>272</v>
      </c>
      <c r="H715" s="3">
        <f>IF(E715&lt;&gt;"",ROUND(IF(E715&gt;1500,E715*5%,),0),"")</f>
        <v>136</v>
      </c>
      <c r="I715" s="2" t="s">
        <v>2925</v>
      </c>
      <c r="J715" s="3">
        <f>IF(I715="Cash",L715,"")</f>
        <v>2312</v>
      </c>
      <c r="K715" s="3" t="str">
        <f>IF(I715="UPI",L715,"")</f>
        <v/>
      </c>
      <c r="L715" s="3">
        <f>IF(E715&lt;&gt;"",E715-G715-H715,"")</f>
        <v>2312</v>
      </c>
    </row>
    <row r="716" spans="2:12">
      <c r="B716" s="2" t="s">
        <v>2480</v>
      </c>
      <c r="C716" s="9">
        <v>45987</v>
      </c>
      <c r="D716" s="4">
        <v>1</v>
      </c>
      <c r="E716" s="3">
        <v>610</v>
      </c>
      <c r="F716" s="7">
        <f t="shared" si="11"/>
        <v>45987</v>
      </c>
      <c r="G716" s="3">
        <f>IF(E716&lt;&gt;"", E716*10%, "")</f>
        <v>61</v>
      </c>
      <c r="H716" s="3">
        <f>IF(E716&lt;&gt;"",ROUND(IF(E716&gt;1500,E716*5%,),0),"")</f>
        <v>0</v>
      </c>
      <c r="I716" s="2" t="s">
        <v>2926</v>
      </c>
      <c r="J716" s="3" t="str">
        <f>IF(I716="Cash",L716,"")</f>
        <v/>
      </c>
      <c r="K716" s="3">
        <f>IF(I716="UPI",L716,"")</f>
        <v>549</v>
      </c>
      <c r="L716" s="3">
        <f>IF(E716&lt;&gt;"",E716-G716-H716,"")</f>
        <v>549</v>
      </c>
    </row>
    <row r="717" spans="2:12">
      <c r="B717" s="2" t="s">
        <v>2481</v>
      </c>
      <c r="C717" s="9">
        <v>45987</v>
      </c>
      <c r="D717" s="4">
        <v>2</v>
      </c>
      <c r="E717" s="3">
        <v>1040</v>
      </c>
      <c r="F717" s="7">
        <f t="shared" si="11"/>
        <v>45987</v>
      </c>
      <c r="G717" s="3">
        <f>IF(E717&lt;&gt;"", E717*10%, "")</f>
        <v>104</v>
      </c>
      <c r="H717" s="3">
        <f>IF(E717&lt;&gt;"",ROUND(IF(E717&gt;1500,E717*5%,),0),"")</f>
        <v>0</v>
      </c>
      <c r="I717" s="2" t="s">
        <v>2926</v>
      </c>
      <c r="J717" s="3" t="str">
        <f>IF(I717="Cash",L717,"")</f>
        <v/>
      </c>
      <c r="K717" s="3">
        <f>IF(I717="UPI",L717,"")</f>
        <v>936</v>
      </c>
      <c r="L717" s="3">
        <f>IF(E717&lt;&gt;"",E717-G717-H717,"")</f>
        <v>936</v>
      </c>
    </row>
    <row r="718" spans="2:12">
      <c r="B718" s="2" t="s">
        <v>2482</v>
      </c>
      <c r="C718" s="9">
        <v>45987</v>
      </c>
      <c r="D718" s="4">
        <v>3</v>
      </c>
      <c r="E718" s="3">
        <v>2620</v>
      </c>
      <c r="F718" s="7">
        <f t="shared" si="11"/>
        <v>45987</v>
      </c>
      <c r="G718" s="3">
        <f>IF(E718&lt;&gt;"", E718*10%, "")</f>
        <v>262</v>
      </c>
      <c r="H718" s="3">
        <f>IF(E718&lt;&gt;"",ROUND(IF(E718&gt;1500,E718*5%,),0),"")</f>
        <v>131</v>
      </c>
      <c r="I718" s="2" t="s">
        <v>2925</v>
      </c>
      <c r="J718" s="3">
        <f>IF(I718="Cash",L718,"")</f>
        <v>2227</v>
      </c>
      <c r="K718" s="3" t="str">
        <f>IF(I718="UPI",L718,"")</f>
        <v/>
      </c>
      <c r="L718" s="3">
        <f>IF(E718&lt;&gt;"",E718-G718-H718,"")</f>
        <v>2227</v>
      </c>
    </row>
    <row r="719" spans="2:12">
      <c r="B719" s="2" t="s">
        <v>2483</v>
      </c>
      <c r="C719" s="9">
        <v>45987</v>
      </c>
      <c r="D719" s="4">
        <v>3</v>
      </c>
      <c r="E719" s="3">
        <v>2200</v>
      </c>
      <c r="F719" s="7">
        <f t="shared" si="11"/>
        <v>45987</v>
      </c>
      <c r="G719" s="3">
        <f>IF(E719&lt;&gt;"", E719*10%, "")</f>
        <v>220</v>
      </c>
      <c r="H719" s="3">
        <f>IF(E719&lt;&gt;"",ROUND(IF(E719&gt;1500,E719*5%,),0),"")</f>
        <v>110</v>
      </c>
      <c r="I719" s="2" t="s">
        <v>2925</v>
      </c>
      <c r="J719" s="3">
        <f>IF(I719="Cash",L719,"")</f>
        <v>1870</v>
      </c>
      <c r="K719" s="3" t="str">
        <f>IF(I719="UPI",L719,"")</f>
        <v/>
      </c>
      <c r="L719" s="3">
        <f>IF(E719&lt;&gt;"",E719-G719-H719,"")</f>
        <v>1870</v>
      </c>
    </row>
    <row r="720" spans="2:12">
      <c r="B720" s="2" t="s">
        <v>2484</v>
      </c>
      <c r="C720" s="9">
        <v>45987</v>
      </c>
      <c r="D720" s="4">
        <v>2</v>
      </c>
      <c r="E720" s="3">
        <v>1000</v>
      </c>
      <c r="F720" s="7">
        <f t="shared" si="11"/>
        <v>45987</v>
      </c>
      <c r="G720" s="3">
        <f>IF(E720&lt;&gt;"", E720*10%, "")</f>
        <v>100</v>
      </c>
      <c r="H720" s="3">
        <f>IF(E720&lt;&gt;"",ROUND(IF(E720&gt;1500,E720*5%,),0),"")</f>
        <v>0</v>
      </c>
      <c r="I720" s="2" t="s">
        <v>2926</v>
      </c>
      <c r="J720" s="3" t="str">
        <f>IF(I720="Cash",L720,"")</f>
        <v/>
      </c>
      <c r="K720" s="3">
        <f>IF(I720="UPI",L720,"")</f>
        <v>900</v>
      </c>
      <c r="L720" s="3">
        <f>IF(E720&lt;&gt;"",E720-G720-H720,"")</f>
        <v>900</v>
      </c>
    </row>
    <row r="721" spans="2:12">
      <c r="B721" s="2" t="s">
        <v>2485</v>
      </c>
      <c r="C721" s="9">
        <v>45987</v>
      </c>
      <c r="D721" s="4">
        <v>1</v>
      </c>
      <c r="E721" s="3">
        <v>900</v>
      </c>
      <c r="F721" s="7">
        <f t="shared" si="11"/>
        <v>45987</v>
      </c>
      <c r="G721" s="3">
        <f>IF(E721&lt;&gt;"", E721*10%, "")</f>
        <v>90</v>
      </c>
      <c r="H721" s="3">
        <f>IF(E721&lt;&gt;"",ROUND(IF(E721&gt;1500,E721*5%,),0),"")</f>
        <v>0</v>
      </c>
      <c r="I721" s="2" t="s">
        <v>2926</v>
      </c>
      <c r="J721" s="3" t="str">
        <f>IF(I721="Cash",L721,"")</f>
        <v/>
      </c>
      <c r="K721" s="3">
        <f>IF(I721="UPI",L721,"")</f>
        <v>810</v>
      </c>
      <c r="L721" s="3">
        <f>IF(E721&lt;&gt;"",E721-G721-H721,"")</f>
        <v>810</v>
      </c>
    </row>
    <row r="722" spans="2:12">
      <c r="B722" s="2" t="s">
        <v>2486</v>
      </c>
      <c r="C722" s="9">
        <v>45987</v>
      </c>
      <c r="D722" s="4">
        <v>2</v>
      </c>
      <c r="E722" s="3">
        <v>1650</v>
      </c>
      <c r="F722" s="7">
        <f t="shared" si="11"/>
        <v>45987</v>
      </c>
      <c r="G722" s="3">
        <f>IF(E722&lt;&gt;"", E722*10%, "")</f>
        <v>165</v>
      </c>
      <c r="H722" s="3">
        <f>IF(E722&lt;&gt;"",ROUND(IF(E722&gt;1500,E722*5%,),0),"")</f>
        <v>83</v>
      </c>
      <c r="I722" s="2" t="s">
        <v>2926</v>
      </c>
      <c r="J722" s="3" t="str">
        <f>IF(I722="Cash",L722,"")</f>
        <v/>
      </c>
      <c r="K722" s="3">
        <f>IF(I722="UPI",L722,"")</f>
        <v>1402</v>
      </c>
      <c r="L722" s="3">
        <f>IF(E722&lt;&gt;"",E722-G722-H722,"")</f>
        <v>1402</v>
      </c>
    </row>
    <row r="723" spans="2:12">
      <c r="B723" s="2" t="s">
        <v>2487</v>
      </c>
      <c r="C723" s="9">
        <v>45987</v>
      </c>
      <c r="D723" s="4">
        <v>3</v>
      </c>
      <c r="E723" s="3">
        <v>2610</v>
      </c>
      <c r="F723" s="7">
        <f t="shared" si="11"/>
        <v>45987</v>
      </c>
      <c r="G723" s="3">
        <f>IF(E723&lt;&gt;"", E723*10%, "")</f>
        <v>261</v>
      </c>
      <c r="H723" s="3">
        <f>IF(E723&lt;&gt;"",ROUND(IF(E723&gt;1500,E723*5%,),0),"")</f>
        <v>131</v>
      </c>
      <c r="I723" s="2" t="s">
        <v>2925</v>
      </c>
      <c r="J723" s="3">
        <f>IF(I723="Cash",L723,"")</f>
        <v>2218</v>
      </c>
      <c r="K723" s="3" t="str">
        <f>IF(I723="UPI",L723,"")</f>
        <v/>
      </c>
      <c r="L723" s="3">
        <f>IF(E723&lt;&gt;"",E723-G723-H723,"")</f>
        <v>2218</v>
      </c>
    </row>
    <row r="724" spans="2:12">
      <c r="B724" s="2" t="s">
        <v>2488</v>
      </c>
      <c r="C724" s="9">
        <v>45987</v>
      </c>
      <c r="D724" s="4">
        <v>3</v>
      </c>
      <c r="E724" s="3">
        <v>1890</v>
      </c>
      <c r="F724" s="7">
        <f t="shared" si="11"/>
        <v>45987</v>
      </c>
      <c r="G724" s="3">
        <f>IF(E724&lt;&gt;"", E724*10%, "")</f>
        <v>189</v>
      </c>
      <c r="H724" s="3">
        <f>IF(E724&lt;&gt;"",ROUND(IF(E724&gt;1500,E724*5%,),0),"")</f>
        <v>95</v>
      </c>
      <c r="I724" s="2" t="s">
        <v>2925</v>
      </c>
      <c r="J724" s="3">
        <f>IF(I724="Cash",L724,"")</f>
        <v>1606</v>
      </c>
      <c r="K724" s="3" t="str">
        <f>IF(I724="UPI",L724,"")</f>
        <v/>
      </c>
      <c r="L724" s="3">
        <f>IF(E724&lt;&gt;"",E724-G724-H724,"")</f>
        <v>1606</v>
      </c>
    </row>
    <row r="725" spans="2:12">
      <c r="B725" s="2" t="s">
        <v>2489</v>
      </c>
      <c r="C725" s="9">
        <v>45987</v>
      </c>
      <c r="D725" s="4">
        <v>3</v>
      </c>
      <c r="E725" s="3">
        <v>1680</v>
      </c>
      <c r="F725" s="7">
        <f t="shared" si="11"/>
        <v>45987</v>
      </c>
      <c r="G725" s="3">
        <f>IF(E725&lt;&gt;"", E725*10%, "")</f>
        <v>168</v>
      </c>
      <c r="H725" s="3">
        <f>IF(E725&lt;&gt;"",ROUND(IF(E725&gt;1500,E725*5%,),0),"")</f>
        <v>84</v>
      </c>
      <c r="I725" s="2" t="s">
        <v>2926</v>
      </c>
      <c r="J725" s="3" t="str">
        <f>IF(I725="Cash",L725,"")</f>
        <v/>
      </c>
      <c r="K725" s="3">
        <f>IF(I725="UPI",L725,"")</f>
        <v>1428</v>
      </c>
      <c r="L725" s="3">
        <f>IF(E725&lt;&gt;"",E725-G725-H725,"")</f>
        <v>1428</v>
      </c>
    </row>
    <row r="726" spans="2:12">
      <c r="B726" s="2" t="s">
        <v>2490</v>
      </c>
      <c r="C726" s="9">
        <v>45987</v>
      </c>
      <c r="D726" s="4">
        <v>2</v>
      </c>
      <c r="E726" s="3">
        <v>1230</v>
      </c>
      <c r="F726" s="7">
        <f t="shared" si="11"/>
        <v>45987</v>
      </c>
      <c r="G726" s="3">
        <f>IF(E726&lt;&gt;"", E726*10%, "")</f>
        <v>123</v>
      </c>
      <c r="H726" s="3">
        <f>IF(E726&lt;&gt;"",ROUND(IF(E726&gt;1500,E726*5%,),0),"")</f>
        <v>0</v>
      </c>
      <c r="I726" s="2" t="s">
        <v>2926</v>
      </c>
      <c r="J726" s="3" t="str">
        <f>IF(I726="Cash",L726,"")</f>
        <v/>
      </c>
      <c r="K726" s="3">
        <f>IF(I726="UPI",L726,"")</f>
        <v>1107</v>
      </c>
      <c r="L726" s="3">
        <f>IF(E726&lt;&gt;"",E726-G726-H726,"")</f>
        <v>1107</v>
      </c>
    </row>
    <row r="727" spans="2:12">
      <c r="B727" s="2" t="s">
        <v>2491</v>
      </c>
      <c r="C727" s="9">
        <v>45987</v>
      </c>
      <c r="D727" s="4">
        <v>3</v>
      </c>
      <c r="E727" s="3">
        <v>1600</v>
      </c>
      <c r="F727" s="7">
        <f t="shared" si="11"/>
        <v>45987</v>
      </c>
      <c r="G727" s="3">
        <f>IF(E727&lt;&gt;"", E727*10%, "")</f>
        <v>160</v>
      </c>
      <c r="H727" s="3">
        <f>IF(E727&lt;&gt;"",ROUND(IF(E727&gt;1500,E727*5%,),0),"")</f>
        <v>80</v>
      </c>
      <c r="I727" s="2" t="s">
        <v>2926</v>
      </c>
      <c r="J727" s="3" t="str">
        <f>IF(I727="Cash",L727,"")</f>
        <v/>
      </c>
      <c r="K727" s="3">
        <f>IF(I727="UPI",L727,"")</f>
        <v>1360</v>
      </c>
      <c r="L727" s="3">
        <f>IF(E727&lt;&gt;"",E727-G727-H727,"")</f>
        <v>1360</v>
      </c>
    </row>
    <row r="728" spans="2:12">
      <c r="B728" s="2" t="s">
        <v>2492</v>
      </c>
      <c r="C728" s="9">
        <v>45988</v>
      </c>
      <c r="D728" s="4">
        <v>3</v>
      </c>
      <c r="E728" s="3">
        <v>490</v>
      </c>
      <c r="F728" s="7">
        <f t="shared" si="11"/>
        <v>45988</v>
      </c>
      <c r="G728" s="3">
        <f>IF(E728&lt;&gt;"", E728*10%, "")</f>
        <v>49</v>
      </c>
      <c r="H728" s="3">
        <f>IF(E728&lt;&gt;"",ROUND(IF(E728&gt;1500,E728*5%,),0),"")</f>
        <v>0</v>
      </c>
      <c r="I728" s="2" t="s">
        <v>2926</v>
      </c>
      <c r="J728" s="3" t="str">
        <f>IF(I728="Cash",L728,"")</f>
        <v/>
      </c>
      <c r="K728" s="3">
        <f>IF(I728="UPI",L728,"")</f>
        <v>441</v>
      </c>
      <c r="L728" s="3">
        <f>IF(E728&lt;&gt;"",E728-G728-H728,"")</f>
        <v>441</v>
      </c>
    </row>
    <row r="729" spans="2:12">
      <c r="B729" s="2" t="s">
        <v>2493</v>
      </c>
      <c r="C729" s="9">
        <v>45988</v>
      </c>
      <c r="D729" s="4">
        <v>2</v>
      </c>
      <c r="E729" s="3">
        <v>1330</v>
      </c>
      <c r="F729" s="7">
        <f t="shared" si="11"/>
        <v>45988</v>
      </c>
      <c r="G729" s="3">
        <f>IF(E729&lt;&gt;"", E729*10%, "")</f>
        <v>133</v>
      </c>
      <c r="H729" s="3">
        <f>IF(E729&lt;&gt;"",ROUND(IF(E729&gt;1500,E729*5%,),0),"")</f>
        <v>0</v>
      </c>
      <c r="I729" s="2" t="s">
        <v>2926</v>
      </c>
      <c r="J729" s="3" t="str">
        <f>IF(I729="Cash",L729,"")</f>
        <v/>
      </c>
      <c r="K729" s="3">
        <f>IF(I729="UPI",L729,"")</f>
        <v>1197</v>
      </c>
      <c r="L729" s="3">
        <f>IF(E729&lt;&gt;"",E729-G729-H729,"")</f>
        <v>1197</v>
      </c>
    </row>
    <row r="730" spans="2:12">
      <c r="B730" s="2" t="s">
        <v>2494</v>
      </c>
      <c r="C730" s="9">
        <v>45988</v>
      </c>
      <c r="D730" s="4">
        <v>3</v>
      </c>
      <c r="E730" s="3">
        <v>1920</v>
      </c>
      <c r="F730" s="7">
        <f t="shared" si="11"/>
        <v>45988</v>
      </c>
      <c r="G730" s="3">
        <f>IF(E730&lt;&gt;"", E730*10%, "")</f>
        <v>192</v>
      </c>
      <c r="H730" s="3">
        <f>IF(E730&lt;&gt;"",ROUND(IF(E730&gt;1500,E730*5%,),0),"")</f>
        <v>96</v>
      </c>
      <c r="I730" s="2" t="s">
        <v>2925</v>
      </c>
      <c r="J730" s="3">
        <f>IF(I730="Cash",L730,"")</f>
        <v>1632</v>
      </c>
      <c r="K730" s="3" t="str">
        <f>IF(I730="UPI",L730,"")</f>
        <v/>
      </c>
      <c r="L730" s="3">
        <f>IF(E730&lt;&gt;"",E730-G730-H730,"")</f>
        <v>1632</v>
      </c>
    </row>
    <row r="731" spans="2:12">
      <c r="B731" s="2" t="s">
        <v>2495</v>
      </c>
      <c r="C731" s="9">
        <v>45988</v>
      </c>
      <c r="D731" s="4">
        <v>4</v>
      </c>
      <c r="E731" s="3">
        <v>1460</v>
      </c>
      <c r="F731" s="7">
        <f t="shared" si="11"/>
        <v>45988</v>
      </c>
      <c r="G731" s="3">
        <f>IF(E731&lt;&gt;"", E731*10%, "")</f>
        <v>146</v>
      </c>
      <c r="H731" s="3">
        <f>IF(E731&lt;&gt;"",ROUND(IF(E731&gt;1500,E731*5%,),0),"")</f>
        <v>0</v>
      </c>
      <c r="I731" s="2" t="s">
        <v>2926</v>
      </c>
      <c r="J731" s="3" t="str">
        <f>IF(I731="Cash",L731,"")</f>
        <v/>
      </c>
      <c r="K731" s="3">
        <f>IF(I731="UPI",L731,"")</f>
        <v>1314</v>
      </c>
      <c r="L731" s="3">
        <f>IF(E731&lt;&gt;"",E731-G731-H731,"")</f>
        <v>1314</v>
      </c>
    </row>
    <row r="732" spans="2:12">
      <c r="B732" s="2" t="s">
        <v>2496</v>
      </c>
      <c r="C732" s="9">
        <v>45988</v>
      </c>
      <c r="D732" s="4">
        <v>2</v>
      </c>
      <c r="E732" s="3">
        <v>810</v>
      </c>
      <c r="F732" s="7">
        <f t="shared" si="11"/>
        <v>45988</v>
      </c>
      <c r="G732" s="3">
        <f>IF(E732&lt;&gt;"", E732*10%, "")</f>
        <v>81</v>
      </c>
      <c r="H732" s="3">
        <f>IF(E732&lt;&gt;"",ROUND(IF(E732&gt;1500,E732*5%,),0),"")</f>
        <v>0</v>
      </c>
      <c r="I732" s="2" t="s">
        <v>2926</v>
      </c>
      <c r="J732" s="3" t="str">
        <f>IF(I732="Cash",L732,"")</f>
        <v/>
      </c>
      <c r="K732" s="3">
        <f>IF(I732="UPI",L732,"")</f>
        <v>729</v>
      </c>
      <c r="L732" s="3">
        <f>IF(E732&lt;&gt;"",E732-G732-H732,"")</f>
        <v>729</v>
      </c>
    </row>
    <row r="733" spans="2:12">
      <c r="B733" s="2" t="s">
        <v>2497</v>
      </c>
      <c r="C733" s="9">
        <v>45988</v>
      </c>
      <c r="D733" s="4">
        <v>3</v>
      </c>
      <c r="E733" s="3">
        <v>440</v>
      </c>
      <c r="F733" s="7">
        <f t="shared" si="11"/>
        <v>45988</v>
      </c>
      <c r="G733" s="3">
        <f>IF(E733&lt;&gt;"", E733*10%, "")</f>
        <v>44</v>
      </c>
      <c r="H733" s="3">
        <f>IF(E733&lt;&gt;"",ROUND(IF(E733&gt;1500,E733*5%,),0),"")</f>
        <v>0</v>
      </c>
      <c r="I733" s="2" t="s">
        <v>2926</v>
      </c>
      <c r="J733" s="3" t="str">
        <f>IF(I733="Cash",L733,"")</f>
        <v/>
      </c>
      <c r="K733" s="3">
        <f>IF(I733="UPI",L733,"")</f>
        <v>396</v>
      </c>
      <c r="L733" s="3">
        <f>IF(E733&lt;&gt;"",E733-G733-H733,"")</f>
        <v>396</v>
      </c>
    </row>
    <row r="734" spans="2:12">
      <c r="B734" s="2" t="s">
        <v>2498</v>
      </c>
      <c r="C734" s="9">
        <v>45988</v>
      </c>
      <c r="D734" s="4">
        <v>4</v>
      </c>
      <c r="E734" s="3">
        <v>2800</v>
      </c>
      <c r="F734" s="7">
        <f t="shared" si="11"/>
        <v>45988</v>
      </c>
      <c r="G734" s="3">
        <f>IF(E734&lt;&gt;"", E734*10%, "")</f>
        <v>280</v>
      </c>
      <c r="H734" s="3">
        <f>IF(E734&lt;&gt;"",ROUND(IF(E734&gt;1500,E734*5%,),0),"")</f>
        <v>140</v>
      </c>
      <c r="I734" s="2" t="s">
        <v>2925</v>
      </c>
      <c r="J734" s="3">
        <f>IF(I734="Cash",L734,"")</f>
        <v>2380</v>
      </c>
      <c r="K734" s="3" t="str">
        <f>IF(I734="UPI",L734,"")</f>
        <v/>
      </c>
      <c r="L734" s="3">
        <f>IF(E734&lt;&gt;"",E734-G734-H734,"")</f>
        <v>2380</v>
      </c>
    </row>
    <row r="735" spans="2:12">
      <c r="B735" s="2" t="s">
        <v>2499</v>
      </c>
      <c r="C735" s="9">
        <v>45988</v>
      </c>
      <c r="D735" s="4">
        <v>2</v>
      </c>
      <c r="E735" s="3">
        <v>1720</v>
      </c>
      <c r="F735" s="7">
        <f t="shared" si="11"/>
        <v>45988</v>
      </c>
      <c r="G735" s="3">
        <f>IF(E735&lt;&gt;"", E735*10%, "")</f>
        <v>172</v>
      </c>
      <c r="H735" s="3">
        <f>IF(E735&lt;&gt;"",ROUND(IF(E735&gt;1500,E735*5%,),0),"")</f>
        <v>86</v>
      </c>
      <c r="I735" s="2" t="s">
        <v>2925</v>
      </c>
      <c r="J735" s="3">
        <f>IF(I735="Cash",L735,"")</f>
        <v>1462</v>
      </c>
      <c r="K735" s="3" t="str">
        <f>IF(I735="UPI",L735,"")</f>
        <v/>
      </c>
      <c r="L735" s="3">
        <f>IF(E735&lt;&gt;"",E735-G735-H735,"")</f>
        <v>1462</v>
      </c>
    </row>
    <row r="736" spans="2:12">
      <c r="B736" s="2" t="s">
        <v>2500</v>
      </c>
      <c r="C736" s="9">
        <v>45988</v>
      </c>
      <c r="D736" s="4">
        <v>2</v>
      </c>
      <c r="E736" s="3">
        <v>1130</v>
      </c>
      <c r="F736" s="7">
        <f t="shared" si="11"/>
        <v>45988</v>
      </c>
      <c r="G736" s="3">
        <f>IF(E736&lt;&gt;"", E736*10%, "")</f>
        <v>113</v>
      </c>
      <c r="H736" s="3">
        <f>IF(E736&lt;&gt;"",ROUND(IF(E736&gt;1500,E736*5%,),0),"")</f>
        <v>0</v>
      </c>
      <c r="I736" s="2" t="s">
        <v>2926</v>
      </c>
      <c r="J736" s="3" t="str">
        <f>IF(I736="Cash",L736,"")</f>
        <v/>
      </c>
      <c r="K736" s="3">
        <f>IF(I736="UPI",L736,"")</f>
        <v>1017</v>
      </c>
      <c r="L736" s="3">
        <f>IF(E736&lt;&gt;"",E736-G736-H736,"")</f>
        <v>1017</v>
      </c>
    </row>
    <row r="737" spans="2:12">
      <c r="B737" s="2" t="s">
        <v>2501</v>
      </c>
      <c r="C737" s="9">
        <v>45988</v>
      </c>
      <c r="D737" s="4">
        <v>2</v>
      </c>
      <c r="E737" s="3">
        <v>720</v>
      </c>
      <c r="F737" s="7">
        <f t="shared" si="11"/>
        <v>45988</v>
      </c>
      <c r="G737" s="3">
        <f>IF(E737&lt;&gt;"", E737*10%, "")</f>
        <v>72</v>
      </c>
      <c r="H737" s="3">
        <f>IF(E737&lt;&gt;"",ROUND(IF(E737&gt;1500,E737*5%,),0),"")</f>
        <v>0</v>
      </c>
      <c r="I737" s="2" t="s">
        <v>2926</v>
      </c>
      <c r="J737" s="3" t="str">
        <f>IF(I737="Cash",L737,"")</f>
        <v/>
      </c>
      <c r="K737" s="3">
        <f>IF(I737="UPI",L737,"")</f>
        <v>648</v>
      </c>
      <c r="L737" s="3">
        <f>IF(E737&lt;&gt;"",E737-G737-H737,"")</f>
        <v>648</v>
      </c>
    </row>
    <row r="738" spans="2:12">
      <c r="B738" s="2" t="s">
        <v>2502</v>
      </c>
      <c r="C738" s="9">
        <v>45989</v>
      </c>
      <c r="D738" s="4">
        <v>3</v>
      </c>
      <c r="E738" s="3">
        <v>2040</v>
      </c>
      <c r="F738" s="7">
        <f t="shared" si="11"/>
        <v>45989</v>
      </c>
      <c r="G738" s="3">
        <f>IF(E738&lt;&gt;"", E738*10%, "")</f>
        <v>204</v>
      </c>
      <c r="H738" s="3">
        <f>IF(E738&lt;&gt;"",ROUND(IF(E738&gt;1500,E738*5%,),0),"")</f>
        <v>102</v>
      </c>
      <c r="I738" s="2" t="s">
        <v>2925</v>
      </c>
      <c r="J738" s="3">
        <f>IF(I738="Cash",L738,"")</f>
        <v>1734</v>
      </c>
      <c r="K738" s="3" t="str">
        <f>IF(I738="UPI",L738,"")</f>
        <v/>
      </c>
      <c r="L738" s="3">
        <f>IF(E738&lt;&gt;"",E738-G738-H738,"")</f>
        <v>1734</v>
      </c>
    </row>
    <row r="739" spans="2:12">
      <c r="B739" s="2" t="s">
        <v>2503</v>
      </c>
      <c r="C739" s="9">
        <v>45989</v>
      </c>
      <c r="D739" s="4">
        <v>4</v>
      </c>
      <c r="E739" s="3">
        <v>2780</v>
      </c>
      <c r="F739" s="7">
        <f t="shared" si="11"/>
        <v>45989</v>
      </c>
      <c r="G739" s="3">
        <f>IF(E739&lt;&gt;"", E739*10%, "")</f>
        <v>278</v>
      </c>
      <c r="H739" s="3">
        <f>IF(E739&lt;&gt;"",ROUND(IF(E739&gt;1500,E739*5%,),0),"")</f>
        <v>139</v>
      </c>
      <c r="I739" s="2" t="s">
        <v>2925</v>
      </c>
      <c r="J739" s="3">
        <f>IF(I739="Cash",L739,"")</f>
        <v>2363</v>
      </c>
      <c r="K739" s="3" t="str">
        <f>IF(I739="UPI",L739,"")</f>
        <v/>
      </c>
      <c r="L739" s="3">
        <f>IF(E739&lt;&gt;"",E739-G739-H739,"")</f>
        <v>2363</v>
      </c>
    </row>
    <row r="740" spans="2:12">
      <c r="B740" s="2" t="s">
        <v>2504</v>
      </c>
      <c r="C740" s="9">
        <v>45989</v>
      </c>
      <c r="D740" s="4">
        <v>1</v>
      </c>
      <c r="E740" s="3">
        <v>730</v>
      </c>
      <c r="F740" s="7">
        <f t="shared" si="11"/>
        <v>45989</v>
      </c>
      <c r="G740" s="3">
        <f>IF(E740&lt;&gt;"", E740*10%, "")</f>
        <v>73</v>
      </c>
      <c r="H740" s="3">
        <f>IF(E740&lt;&gt;"",ROUND(IF(E740&gt;1500,E740*5%,),0),"")</f>
        <v>0</v>
      </c>
      <c r="I740" s="2" t="s">
        <v>2926</v>
      </c>
      <c r="J740" s="3" t="str">
        <f>IF(I740="Cash",L740,"")</f>
        <v/>
      </c>
      <c r="K740" s="3">
        <f>IF(I740="UPI",L740,"")</f>
        <v>657</v>
      </c>
      <c r="L740" s="3">
        <f>IF(E740&lt;&gt;"",E740-G740-H740,"")</f>
        <v>657</v>
      </c>
    </row>
    <row r="741" spans="2:12">
      <c r="B741" s="2" t="s">
        <v>2505</v>
      </c>
      <c r="C741" s="9">
        <v>45989</v>
      </c>
      <c r="D741" s="4">
        <v>3</v>
      </c>
      <c r="E741" s="3">
        <v>2590</v>
      </c>
      <c r="F741" s="7">
        <f t="shared" si="11"/>
        <v>45989</v>
      </c>
      <c r="G741" s="3">
        <f>IF(E741&lt;&gt;"", E741*10%, "")</f>
        <v>259</v>
      </c>
      <c r="H741" s="3">
        <f>IF(E741&lt;&gt;"",ROUND(IF(E741&gt;1500,E741*5%,),0),"")</f>
        <v>130</v>
      </c>
      <c r="I741" s="2" t="s">
        <v>2925</v>
      </c>
      <c r="J741" s="3">
        <f>IF(I741="Cash",L741,"")</f>
        <v>2201</v>
      </c>
      <c r="K741" s="3" t="str">
        <f>IF(I741="UPI",L741,"")</f>
        <v/>
      </c>
      <c r="L741" s="3">
        <f>IF(E741&lt;&gt;"",E741-G741-H741,"")</f>
        <v>2201</v>
      </c>
    </row>
    <row r="742" spans="2:12">
      <c r="B742" s="2" t="s">
        <v>2506</v>
      </c>
      <c r="C742" s="9">
        <v>45989</v>
      </c>
      <c r="D742" s="4">
        <v>2</v>
      </c>
      <c r="E742" s="3">
        <v>850</v>
      </c>
      <c r="F742" s="7">
        <f t="shared" si="11"/>
        <v>45989</v>
      </c>
      <c r="G742" s="3">
        <f>IF(E742&lt;&gt;"", E742*10%, "")</f>
        <v>85</v>
      </c>
      <c r="H742" s="3">
        <f>IF(E742&lt;&gt;"",ROUND(IF(E742&gt;1500,E742*5%,),0),"")</f>
        <v>0</v>
      </c>
      <c r="I742" s="2" t="s">
        <v>2926</v>
      </c>
      <c r="J742" s="3" t="str">
        <f>IF(I742="Cash",L742,"")</f>
        <v/>
      </c>
      <c r="K742" s="3">
        <f>IF(I742="UPI",L742,"")</f>
        <v>765</v>
      </c>
      <c r="L742" s="3">
        <f>IF(E742&lt;&gt;"",E742-G742-H742,"")</f>
        <v>765</v>
      </c>
    </row>
    <row r="743" spans="2:12">
      <c r="B743" s="2" t="s">
        <v>2507</v>
      </c>
      <c r="C743" s="9">
        <v>45989</v>
      </c>
      <c r="D743" s="4">
        <v>2</v>
      </c>
      <c r="E743" s="3">
        <v>1430</v>
      </c>
      <c r="F743" s="7">
        <f t="shared" si="11"/>
        <v>45989</v>
      </c>
      <c r="G743" s="3">
        <f>IF(E743&lt;&gt;"", E743*10%, "")</f>
        <v>143</v>
      </c>
      <c r="H743" s="3">
        <f>IF(E743&lt;&gt;"",ROUND(IF(E743&gt;1500,E743*5%,),0),"")</f>
        <v>0</v>
      </c>
      <c r="I743" s="2" t="s">
        <v>2926</v>
      </c>
      <c r="J743" s="3" t="str">
        <f>IF(I743="Cash",L743,"")</f>
        <v/>
      </c>
      <c r="K743" s="3">
        <f>IF(I743="UPI",L743,"")</f>
        <v>1287</v>
      </c>
      <c r="L743" s="3">
        <f>IF(E743&lt;&gt;"",E743-G743-H743,"")</f>
        <v>1287</v>
      </c>
    </row>
    <row r="744" spans="2:12">
      <c r="B744" s="2" t="s">
        <v>2508</v>
      </c>
      <c r="C744" s="9">
        <v>45989</v>
      </c>
      <c r="D744" s="4">
        <v>2</v>
      </c>
      <c r="E744" s="3">
        <v>1630</v>
      </c>
      <c r="F744" s="7">
        <f t="shared" si="11"/>
        <v>45989</v>
      </c>
      <c r="G744" s="3">
        <f>IF(E744&lt;&gt;"", E744*10%, "")</f>
        <v>163</v>
      </c>
      <c r="H744" s="3">
        <f>IF(E744&lt;&gt;"",ROUND(IF(E744&gt;1500,E744*5%,),0),"")</f>
        <v>82</v>
      </c>
      <c r="I744" s="2" t="s">
        <v>2926</v>
      </c>
      <c r="J744" s="3" t="str">
        <f>IF(I744="Cash",L744,"")</f>
        <v/>
      </c>
      <c r="K744" s="3">
        <f>IF(I744="UPI",L744,"")</f>
        <v>1385</v>
      </c>
      <c r="L744" s="3">
        <f>IF(E744&lt;&gt;"",E744-G744-H744,"")</f>
        <v>1385</v>
      </c>
    </row>
    <row r="745" spans="2:12">
      <c r="B745" s="2" t="s">
        <v>2509</v>
      </c>
      <c r="C745" s="9">
        <v>45989</v>
      </c>
      <c r="D745" s="4">
        <v>1</v>
      </c>
      <c r="E745" s="3">
        <v>120</v>
      </c>
      <c r="F745" s="7">
        <f t="shared" si="11"/>
        <v>45989</v>
      </c>
      <c r="G745" s="3">
        <f>IF(E745&lt;&gt;"", E745*10%, "")</f>
        <v>12</v>
      </c>
      <c r="H745" s="3">
        <f>IF(E745&lt;&gt;"",ROUND(IF(E745&gt;1500,E745*5%,),0),"")</f>
        <v>0</v>
      </c>
      <c r="I745" s="2" t="s">
        <v>2926</v>
      </c>
      <c r="J745" s="3" t="str">
        <f>IF(I745="Cash",L745,"")</f>
        <v/>
      </c>
      <c r="K745" s="3">
        <f>IF(I745="UPI",L745,"")</f>
        <v>108</v>
      </c>
      <c r="L745" s="3">
        <f>IF(E745&lt;&gt;"",E745-G745-H745,"")</f>
        <v>108</v>
      </c>
    </row>
    <row r="746" spans="2:12">
      <c r="B746" s="2" t="s">
        <v>2510</v>
      </c>
      <c r="C746" s="9">
        <v>45989</v>
      </c>
      <c r="D746" s="4">
        <v>3</v>
      </c>
      <c r="E746" s="3">
        <v>2100</v>
      </c>
      <c r="F746" s="7">
        <f t="shared" si="11"/>
        <v>45989</v>
      </c>
      <c r="G746" s="3">
        <f>IF(E746&lt;&gt;"", E746*10%, "")</f>
        <v>210</v>
      </c>
      <c r="H746" s="3">
        <f>IF(E746&lt;&gt;"",ROUND(IF(E746&gt;1500,E746*5%,),0),"")</f>
        <v>105</v>
      </c>
      <c r="I746" s="2" t="s">
        <v>2925</v>
      </c>
      <c r="J746" s="3">
        <f>IF(I746="Cash",L746,"")</f>
        <v>1785</v>
      </c>
      <c r="K746" s="3" t="str">
        <f>IF(I746="UPI",L746,"")</f>
        <v/>
      </c>
      <c r="L746" s="3">
        <f>IF(E746&lt;&gt;"",E746-G746-H746,"")</f>
        <v>1785</v>
      </c>
    </row>
    <row r="747" spans="2:12">
      <c r="B747" s="2" t="s">
        <v>2511</v>
      </c>
      <c r="C747" s="9">
        <v>45989</v>
      </c>
      <c r="D747" s="4">
        <v>1</v>
      </c>
      <c r="E747" s="3">
        <v>700</v>
      </c>
      <c r="F747" s="7">
        <f t="shared" si="11"/>
        <v>45989</v>
      </c>
      <c r="G747" s="3">
        <f>IF(E747&lt;&gt;"", E747*10%, "")</f>
        <v>70</v>
      </c>
      <c r="H747" s="3">
        <f>IF(E747&lt;&gt;"",ROUND(IF(E747&gt;1500,E747*5%,),0),"")</f>
        <v>0</v>
      </c>
      <c r="I747" s="2" t="s">
        <v>2926</v>
      </c>
      <c r="J747" s="3" t="str">
        <f>IF(I747="Cash",L747,"")</f>
        <v/>
      </c>
      <c r="K747" s="3">
        <f>IF(I747="UPI",L747,"")</f>
        <v>630</v>
      </c>
      <c r="L747" s="3">
        <f>IF(E747&lt;&gt;"",E747-G747-H747,"")</f>
        <v>630</v>
      </c>
    </row>
    <row r="748" spans="2:12">
      <c r="B748" s="2" t="s">
        <v>2512</v>
      </c>
      <c r="C748" s="9">
        <v>45989</v>
      </c>
      <c r="D748" s="4">
        <v>2</v>
      </c>
      <c r="E748" s="3">
        <v>510</v>
      </c>
      <c r="F748" s="7">
        <f t="shared" si="11"/>
        <v>45989</v>
      </c>
      <c r="G748" s="3">
        <f>IF(E748&lt;&gt;"", E748*10%, "")</f>
        <v>51</v>
      </c>
      <c r="H748" s="3">
        <f>IF(E748&lt;&gt;"",ROUND(IF(E748&gt;1500,E748*5%,),0),"")</f>
        <v>0</v>
      </c>
      <c r="I748" s="2" t="s">
        <v>2926</v>
      </c>
      <c r="J748" s="3" t="str">
        <f>IF(I748="Cash",L748,"")</f>
        <v/>
      </c>
      <c r="K748" s="3">
        <f>IF(I748="UPI",L748,"")</f>
        <v>459</v>
      </c>
      <c r="L748" s="3">
        <f>IF(E748&lt;&gt;"",E748-G748-H748,"")</f>
        <v>459</v>
      </c>
    </row>
    <row r="749" spans="2:12">
      <c r="B749" s="2" t="s">
        <v>2513</v>
      </c>
      <c r="C749" s="9">
        <v>45989</v>
      </c>
      <c r="D749" s="4">
        <v>2</v>
      </c>
      <c r="E749" s="3">
        <v>1650</v>
      </c>
      <c r="F749" s="7">
        <f t="shared" si="11"/>
        <v>45989</v>
      </c>
      <c r="G749" s="3">
        <f>IF(E749&lt;&gt;"", E749*10%, "")</f>
        <v>165</v>
      </c>
      <c r="H749" s="3">
        <f>IF(E749&lt;&gt;"",ROUND(IF(E749&gt;1500,E749*5%,),0),"")</f>
        <v>83</v>
      </c>
      <c r="I749" s="2" t="s">
        <v>2926</v>
      </c>
      <c r="J749" s="3" t="str">
        <f>IF(I749="Cash",L749,"")</f>
        <v/>
      </c>
      <c r="K749" s="3">
        <f>IF(I749="UPI",L749,"")</f>
        <v>1402</v>
      </c>
      <c r="L749" s="3">
        <f>IF(E749&lt;&gt;"",E749-G749-H749,"")</f>
        <v>1402</v>
      </c>
    </row>
    <row r="750" spans="2:12">
      <c r="B750" s="2" t="s">
        <v>2514</v>
      </c>
      <c r="C750" s="9">
        <v>45989</v>
      </c>
      <c r="D750" s="4">
        <v>1</v>
      </c>
      <c r="E750" s="3">
        <v>400</v>
      </c>
      <c r="F750" s="7">
        <f t="shared" si="11"/>
        <v>45989</v>
      </c>
      <c r="G750" s="3">
        <f>IF(E750&lt;&gt;"", E750*10%, "")</f>
        <v>40</v>
      </c>
      <c r="H750" s="3">
        <f>IF(E750&lt;&gt;"",ROUND(IF(E750&gt;1500,E750*5%,),0),"")</f>
        <v>0</v>
      </c>
      <c r="I750" s="2" t="s">
        <v>2926</v>
      </c>
      <c r="J750" s="3" t="str">
        <f>IF(I750="Cash",L750,"")</f>
        <v/>
      </c>
      <c r="K750" s="3">
        <f>IF(I750="UPI",L750,"")</f>
        <v>360</v>
      </c>
      <c r="L750" s="3">
        <f>IF(E750&lt;&gt;"",E750-G750-H750,"")</f>
        <v>360</v>
      </c>
    </row>
    <row r="751" spans="2:12">
      <c r="B751" s="2" t="s">
        <v>2515</v>
      </c>
      <c r="C751" s="9">
        <v>45989</v>
      </c>
      <c r="D751" s="4">
        <v>3</v>
      </c>
      <c r="E751" s="3">
        <v>2220</v>
      </c>
      <c r="F751" s="7">
        <f t="shared" si="11"/>
        <v>45989</v>
      </c>
      <c r="G751" s="3">
        <f>IF(E751&lt;&gt;"", E751*10%, "")</f>
        <v>222</v>
      </c>
      <c r="H751" s="3">
        <f>IF(E751&lt;&gt;"",ROUND(IF(E751&gt;1500,E751*5%,),0),"")</f>
        <v>111</v>
      </c>
      <c r="I751" s="2" t="s">
        <v>2925</v>
      </c>
      <c r="J751" s="3">
        <f>IF(I751="Cash",L751,"")</f>
        <v>1887</v>
      </c>
      <c r="K751" s="3" t="str">
        <f>IF(I751="UPI",L751,"")</f>
        <v/>
      </c>
      <c r="L751" s="3">
        <f>IF(E751&lt;&gt;"",E751-G751-H751,"")</f>
        <v>1887</v>
      </c>
    </row>
    <row r="752" spans="2:12">
      <c r="B752" s="2" t="s">
        <v>2516</v>
      </c>
      <c r="C752" s="9">
        <v>45990</v>
      </c>
      <c r="D752" s="4">
        <v>3</v>
      </c>
      <c r="E752" s="3">
        <v>1380</v>
      </c>
      <c r="F752" s="7">
        <f t="shared" si="11"/>
        <v>45990</v>
      </c>
      <c r="G752" s="3">
        <f>IF(E752&lt;&gt;"", E752*10%, "")</f>
        <v>138</v>
      </c>
      <c r="H752" s="3">
        <f>IF(E752&lt;&gt;"",ROUND(IF(E752&gt;1500,E752*5%,),0),"")</f>
        <v>0</v>
      </c>
      <c r="I752" s="2" t="s">
        <v>2926</v>
      </c>
      <c r="J752" s="3" t="str">
        <f>IF(I752="Cash",L752,"")</f>
        <v/>
      </c>
      <c r="K752" s="3">
        <f>IF(I752="UPI",L752,"")</f>
        <v>1242</v>
      </c>
      <c r="L752" s="3">
        <f>IF(E752&lt;&gt;"",E752-G752-H752,"")</f>
        <v>1242</v>
      </c>
    </row>
    <row r="753" spans="2:12">
      <c r="B753" s="2" t="s">
        <v>2517</v>
      </c>
      <c r="C753" s="9">
        <v>45990</v>
      </c>
      <c r="D753" s="4">
        <v>2</v>
      </c>
      <c r="E753" s="3">
        <v>1600</v>
      </c>
      <c r="F753" s="7">
        <f t="shared" si="11"/>
        <v>45990</v>
      </c>
      <c r="G753" s="3">
        <f>IF(E753&lt;&gt;"", E753*10%, "")</f>
        <v>160</v>
      </c>
      <c r="H753" s="3">
        <f>IF(E753&lt;&gt;"",ROUND(IF(E753&gt;1500,E753*5%,),0),"")</f>
        <v>80</v>
      </c>
      <c r="I753" s="2" t="s">
        <v>2926</v>
      </c>
      <c r="J753" s="3" t="str">
        <f>IF(I753="Cash",L753,"")</f>
        <v/>
      </c>
      <c r="K753" s="3">
        <f>IF(I753="UPI",L753,"")</f>
        <v>1360</v>
      </c>
      <c r="L753" s="3">
        <f>IF(E753&lt;&gt;"",E753-G753-H753,"")</f>
        <v>1360</v>
      </c>
    </row>
    <row r="754" spans="2:12">
      <c r="B754" s="2" t="s">
        <v>2518</v>
      </c>
      <c r="C754" s="9">
        <v>45990</v>
      </c>
      <c r="D754" s="4">
        <v>2</v>
      </c>
      <c r="E754" s="3">
        <v>1040</v>
      </c>
      <c r="F754" s="7">
        <f t="shared" si="11"/>
        <v>45990</v>
      </c>
      <c r="G754" s="3">
        <f>IF(E754&lt;&gt;"", E754*10%, "")</f>
        <v>104</v>
      </c>
      <c r="H754" s="3">
        <f>IF(E754&lt;&gt;"",ROUND(IF(E754&gt;1500,E754*5%,),0),"")</f>
        <v>0</v>
      </c>
      <c r="I754" s="2" t="s">
        <v>2926</v>
      </c>
      <c r="J754" s="3" t="str">
        <f>IF(I754="Cash",L754,"")</f>
        <v/>
      </c>
      <c r="K754" s="3">
        <f>IF(I754="UPI",L754,"")</f>
        <v>936</v>
      </c>
      <c r="L754" s="3">
        <f>IF(E754&lt;&gt;"",E754-G754-H754,"")</f>
        <v>936</v>
      </c>
    </row>
    <row r="755" spans="2:12">
      <c r="B755" s="2" t="s">
        <v>2519</v>
      </c>
      <c r="C755" s="9">
        <v>45990</v>
      </c>
      <c r="D755" s="4">
        <v>3</v>
      </c>
      <c r="E755" s="3">
        <v>2190</v>
      </c>
      <c r="F755" s="7">
        <f t="shared" si="11"/>
        <v>45990</v>
      </c>
      <c r="G755" s="3">
        <f>IF(E755&lt;&gt;"", E755*10%, "")</f>
        <v>219</v>
      </c>
      <c r="H755" s="3">
        <f>IF(E755&lt;&gt;"",ROUND(IF(E755&gt;1500,E755*5%,),0),"")</f>
        <v>110</v>
      </c>
      <c r="I755" s="2" t="s">
        <v>2925</v>
      </c>
      <c r="J755" s="3">
        <f>IF(I755="Cash",L755,"")</f>
        <v>1861</v>
      </c>
      <c r="K755" s="3" t="str">
        <f>IF(I755="UPI",L755,"")</f>
        <v/>
      </c>
      <c r="L755" s="3">
        <f>IF(E755&lt;&gt;"",E755-G755-H755,"")</f>
        <v>1861</v>
      </c>
    </row>
    <row r="756" spans="2:12">
      <c r="B756" s="2" t="s">
        <v>2520</v>
      </c>
      <c r="C756" s="9">
        <v>45990</v>
      </c>
      <c r="D756" s="4">
        <v>4</v>
      </c>
      <c r="E756" s="3">
        <v>3050</v>
      </c>
      <c r="F756" s="7">
        <f t="shared" si="11"/>
        <v>45990</v>
      </c>
      <c r="G756" s="3">
        <f>IF(E756&lt;&gt;"", E756*10%, "")</f>
        <v>305</v>
      </c>
      <c r="H756" s="3">
        <f>IF(E756&lt;&gt;"",ROUND(IF(E756&gt;1500,E756*5%,),0),"")</f>
        <v>153</v>
      </c>
      <c r="I756" s="2" t="s">
        <v>2928</v>
      </c>
      <c r="J756" s="3">
        <v>1000</v>
      </c>
      <c r="K756" s="3">
        <v>1592</v>
      </c>
      <c r="L756" s="3">
        <f>IF(E756&lt;&gt;"",E756-G756-H756,"")</f>
        <v>2592</v>
      </c>
    </row>
    <row r="757" spans="2:12">
      <c r="B757" s="2" t="s">
        <v>2521</v>
      </c>
      <c r="C757" s="9">
        <v>45990</v>
      </c>
      <c r="D757" s="4">
        <v>2</v>
      </c>
      <c r="E757" s="3">
        <v>400</v>
      </c>
      <c r="F757" s="7">
        <f t="shared" si="11"/>
        <v>45990</v>
      </c>
      <c r="G757" s="3">
        <f>IF(E757&lt;&gt;"", E757*10%, "")</f>
        <v>40</v>
      </c>
      <c r="H757" s="3">
        <f>IF(E757&lt;&gt;"",ROUND(IF(E757&gt;1500,E757*5%,),0),"")</f>
        <v>0</v>
      </c>
      <c r="I757" s="2" t="s">
        <v>2926</v>
      </c>
      <c r="J757" s="3" t="str">
        <f>IF(I757="Cash",L757,"")</f>
        <v/>
      </c>
      <c r="K757" s="3">
        <f>IF(I757="UPI",L757,"")</f>
        <v>360</v>
      </c>
      <c r="L757" s="3">
        <f>IF(E757&lt;&gt;"",E757-G757-H757,"")</f>
        <v>360</v>
      </c>
    </row>
    <row r="758" spans="2:12">
      <c r="B758" s="2" t="s">
        <v>2522</v>
      </c>
      <c r="C758" s="9">
        <v>45990</v>
      </c>
      <c r="D758" s="4">
        <v>2</v>
      </c>
      <c r="E758" s="3">
        <v>950</v>
      </c>
      <c r="F758" s="7">
        <f t="shared" si="11"/>
        <v>45990</v>
      </c>
      <c r="G758" s="3">
        <f>IF(E758&lt;&gt;"", E758*10%, "")</f>
        <v>95</v>
      </c>
      <c r="H758" s="3">
        <f>IF(E758&lt;&gt;"",ROUND(IF(E758&gt;1500,E758*5%,),0),"")</f>
        <v>0</v>
      </c>
      <c r="I758" s="2" t="s">
        <v>2926</v>
      </c>
      <c r="J758" s="3" t="str">
        <f>IF(I758="Cash",L758,"")</f>
        <v/>
      </c>
      <c r="K758" s="3">
        <f>IF(I758="UPI",L758,"")</f>
        <v>855</v>
      </c>
      <c r="L758" s="3">
        <f>IF(E758&lt;&gt;"",E758-G758-H758,"")</f>
        <v>855</v>
      </c>
    </row>
    <row r="759" spans="2:12">
      <c r="B759" s="2" t="s">
        <v>2523</v>
      </c>
      <c r="C759" s="9">
        <v>45990</v>
      </c>
      <c r="D759" s="4">
        <v>3</v>
      </c>
      <c r="E759" s="3">
        <v>1370</v>
      </c>
      <c r="F759" s="7">
        <f t="shared" si="11"/>
        <v>45990</v>
      </c>
      <c r="G759" s="3">
        <f>IF(E759&lt;&gt;"", E759*10%, "")</f>
        <v>137</v>
      </c>
      <c r="H759" s="3">
        <f>IF(E759&lt;&gt;"",ROUND(IF(E759&gt;1500,E759*5%,),0),"")</f>
        <v>0</v>
      </c>
      <c r="I759" s="2" t="s">
        <v>2926</v>
      </c>
      <c r="J759" s="3" t="str">
        <f>IF(I759="Cash",L759,"")</f>
        <v/>
      </c>
      <c r="K759" s="3">
        <f>IF(I759="UPI",L759,"")</f>
        <v>1233</v>
      </c>
      <c r="L759" s="3">
        <f>IF(E759&lt;&gt;"",E759-G759-H759,"")</f>
        <v>1233</v>
      </c>
    </row>
    <row r="760" spans="2:12">
      <c r="B760" s="2" t="s">
        <v>2524</v>
      </c>
      <c r="C760" s="9">
        <v>45990</v>
      </c>
      <c r="D760" s="4">
        <v>1</v>
      </c>
      <c r="E760" s="3">
        <v>880</v>
      </c>
      <c r="F760" s="7">
        <f t="shared" si="11"/>
        <v>45990</v>
      </c>
      <c r="G760" s="3">
        <f>IF(E760&lt;&gt;"", E760*10%, "")</f>
        <v>88</v>
      </c>
      <c r="H760" s="3">
        <f>IF(E760&lt;&gt;"",ROUND(IF(E760&gt;1500,E760*5%,),0),"")</f>
        <v>0</v>
      </c>
      <c r="I760" s="2" t="s">
        <v>2926</v>
      </c>
      <c r="J760" s="3" t="str">
        <f>IF(I760="Cash",L760,"")</f>
        <v/>
      </c>
      <c r="K760" s="3">
        <f>IF(I760="UPI",L760,"")</f>
        <v>792</v>
      </c>
      <c r="L760" s="3">
        <f>IF(E760&lt;&gt;"",E760-G760-H760,"")</f>
        <v>792</v>
      </c>
    </row>
    <row r="761" spans="2:12">
      <c r="B761" s="2" t="s">
        <v>2525</v>
      </c>
      <c r="C761" s="9">
        <v>45990</v>
      </c>
      <c r="D761" s="4">
        <v>1</v>
      </c>
      <c r="E761" s="3">
        <v>950</v>
      </c>
      <c r="F761" s="7">
        <f t="shared" si="11"/>
        <v>45990</v>
      </c>
      <c r="G761" s="3">
        <f>IF(E761&lt;&gt;"", E761*10%, "")</f>
        <v>95</v>
      </c>
      <c r="H761" s="3">
        <f>IF(E761&lt;&gt;"",ROUND(IF(E761&gt;1500,E761*5%,),0),"")</f>
        <v>0</v>
      </c>
      <c r="I761" s="2" t="s">
        <v>2926</v>
      </c>
      <c r="J761" s="3" t="str">
        <f>IF(I761="Cash",L761,"")</f>
        <v/>
      </c>
      <c r="K761" s="3">
        <f>IF(I761="UPI",L761,"")</f>
        <v>855</v>
      </c>
      <c r="L761" s="3">
        <f>IF(E761&lt;&gt;"",E761-G761-H761,"")</f>
        <v>855</v>
      </c>
    </row>
    <row r="762" spans="2:12">
      <c r="B762" s="2" t="s">
        <v>2526</v>
      </c>
      <c r="C762" s="9">
        <v>45990</v>
      </c>
      <c r="D762" s="4">
        <v>1</v>
      </c>
      <c r="E762" s="3">
        <v>850</v>
      </c>
      <c r="F762" s="7">
        <f t="shared" si="11"/>
        <v>45990</v>
      </c>
      <c r="G762" s="3">
        <f>IF(E762&lt;&gt;"", E762*10%, "")</f>
        <v>85</v>
      </c>
      <c r="H762" s="3">
        <f>IF(E762&lt;&gt;"",ROUND(IF(E762&gt;1500,E762*5%,),0),"")</f>
        <v>0</v>
      </c>
      <c r="I762" s="2" t="s">
        <v>2926</v>
      </c>
      <c r="J762" s="3" t="str">
        <f>IF(I762="Cash",L762,"")</f>
        <v/>
      </c>
      <c r="K762" s="3">
        <f>IF(I762="UPI",L762,"")</f>
        <v>765</v>
      </c>
      <c r="L762" s="3">
        <f>IF(E762&lt;&gt;"",E762-G762-H762,"")</f>
        <v>765</v>
      </c>
    </row>
    <row r="763" spans="2:12">
      <c r="B763" s="2" t="s">
        <v>2527</v>
      </c>
      <c r="C763" s="9">
        <v>45990</v>
      </c>
      <c r="D763" s="4">
        <v>3</v>
      </c>
      <c r="E763" s="3">
        <v>1350</v>
      </c>
      <c r="F763" s="7">
        <f t="shared" si="11"/>
        <v>45990</v>
      </c>
      <c r="G763" s="3">
        <f>IF(E763&lt;&gt;"", E763*10%, "")</f>
        <v>135</v>
      </c>
      <c r="H763" s="3">
        <f>IF(E763&lt;&gt;"",ROUND(IF(E763&gt;1500,E763*5%,),0),"")</f>
        <v>0</v>
      </c>
      <c r="I763" s="2" t="s">
        <v>2926</v>
      </c>
      <c r="J763" s="3" t="str">
        <f>IF(I763="Cash",L763,"")</f>
        <v/>
      </c>
      <c r="K763" s="3">
        <f>IF(I763="UPI",L763,"")</f>
        <v>1215</v>
      </c>
      <c r="L763" s="3">
        <f>IF(E763&lt;&gt;"",E763-G763-H763,"")</f>
        <v>1215</v>
      </c>
    </row>
    <row r="764" spans="2:12">
      <c r="B764" s="2" t="s">
        <v>2528</v>
      </c>
      <c r="C764" s="9">
        <v>45990</v>
      </c>
      <c r="D764" s="4">
        <v>2</v>
      </c>
      <c r="E764" s="3">
        <v>310</v>
      </c>
      <c r="F764" s="7">
        <f t="shared" si="11"/>
        <v>45990</v>
      </c>
      <c r="G764" s="3">
        <f>IF(E764&lt;&gt;"", E764*10%, "")</f>
        <v>31</v>
      </c>
      <c r="H764" s="3">
        <f>IF(E764&lt;&gt;"",ROUND(IF(E764&gt;1500,E764*5%,),0),"")</f>
        <v>0</v>
      </c>
      <c r="I764" s="2" t="s">
        <v>2926</v>
      </c>
      <c r="J764" s="3" t="str">
        <f>IF(I764="Cash",L764,"")</f>
        <v/>
      </c>
      <c r="K764" s="3">
        <f>IF(I764="UPI",L764,"")</f>
        <v>279</v>
      </c>
      <c r="L764" s="3">
        <f>IF(E764&lt;&gt;"",E764-G764-H764,"")</f>
        <v>279</v>
      </c>
    </row>
    <row r="765" spans="2:12">
      <c r="B765" s="2" t="s">
        <v>2529</v>
      </c>
      <c r="C765" s="9">
        <v>45990</v>
      </c>
      <c r="D765" s="4">
        <v>2</v>
      </c>
      <c r="E765" s="3">
        <v>1440</v>
      </c>
      <c r="F765" s="7">
        <f t="shared" si="11"/>
        <v>45990</v>
      </c>
      <c r="G765" s="3">
        <f>IF(E765&lt;&gt;"", E765*10%, "")</f>
        <v>144</v>
      </c>
      <c r="H765" s="3">
        <f>IF(E765&lt;&gt;"",ROUND(IF(E765&gt;1500,E765*5%,),0),"")</f>
        <v>0</v>
      </c>
      <c r="I765" s="2" t="s">
        <v>2926</v>
      </c>
      <c r="J765" s="3" t="str">
        <f>IF(I765="Cash",L765,"")</f>
        <v/>
      </c>
      <c r="K765" s="3">
        <f>IF(I765="UPI",L765,"")</f>
        <v>1296</v>
      </c>
      <c r="L765" s="3">
        <f>IF(E765&lt;&gt;"",E765-G765-H765,"")</f>
        <v>1296</v>
      </c>
    </row>
    <row r="766" spans="2:12">
      <c r="B766" s="2" t="s">
        <v>2530</v>
      </c>
      <c r="C766" s="9">
        <v>45990</v>
      </c>
      <c r="D766" s="4">
        <v>1</v>
      </c>
      <c r="E766" s="3">
        <v>660</v>
      </c>
      <c r="F766" s="7">
        <f t="shared" si="11"/>
        <v>45990</v>
      </c>
      <c r="G766" s="3">
        <f>IF(E766&lt;&gt;"", E766*10%, "")</f>
        <v>66</v>
      </c>
      <c r="H766" s="3">
        <f>IF(E766&lt;&gt;"",ROUND(IF(E766&gt;1500,E766*5%,),0),"")</f>
        <v>0</v>
      </c>
      <c r="I766" s="2" t="s">
        <v>2926</v>
      </c>
      <c r="J766" s="3" t="str">
        <f>IF(I766="Cash",L766,"")</f>
        <v/>
      </c>
      <c r="K766" s="3">
        <f>IF(I766="UPI",L766,"")</f>
        <v>594</v>
      </c>
      <c r="L766" s="3">
        <f>IF(E766&lt;&gt;"",E766-G766-H766,"")</f>
        <v>594</v>
      </c>
    </row>
    <row r="767" spans="2:12">
      <c r="B767" s="2" t="s">
        <v>2531</v>
      </c>
      <c r="C767" s="9">
        <v>45990</v>
      </c>
      <c r="D767" s="4">
        <v>1</v>
      </c>
      <c r="E767" s="3">
        <v>170</v>
      </c>
      <c r="F767" s="7">
        <f t="shared" si="11"/>
        <v>45990</v>
      </c>
      <c r="G767" s="3">
        <f>IF(E767&lt;&gt;"", E767*10%, "")</f>
        <v>17</v>
      </c>
      <c r="H767" s="3">
        <f>IF(E767&lt;&gt;"",ROUND(IF(E767&gt;1500,E767*5%,),0),"")</f>
        <v>0</v>
      </c>
      <c r="I767" s="2" t="s">
        <v>2926</v>
      </c>
      <c r="J767" s="3" t="str">
        <f>IF(I767="Cash",L767,"")</f>
        <v/>
      </c>
      <c r="K767" s="3">
        <f>IF(I767="UPI",L767,"")</f>
        <v>153</v>
      </c>
      <c r="L767" s="3">
        <f>IF(E767&lt;&gt;"",E767-G767-H767,"")</f>
        <v>153</v>
      </c>
    </row>
    <row r="768" spans="2:12">
      <c r="B768" s="2" t="s">
        <v>2532</v>
      </c>
      <c r="C768" s="9">
        <v>45990</v>
      </c>
      <c r="D768" s="4">
        <v>2</v>
      </c>
      <c r="E768" s="3">
        <v>1700</v>
      </c>
      <c r="F768" s="7">
        <f t="shared" si="11"/>
        <v>45990</v>
      </c>
      <c r="G768" s="3">
        <f>IF(E768&lt;&gt;"", E768*10%, "")</f>
        <v>170</v>
      </c>
      <c r="H768" s="3">
        <f>IF(E768&lt;&gt;"",ROUND(IF(E768&gt;1500,E768*5%,),0),"")</f>
        <v>85</v>
      </c>
      <c r="I768" s="2" t="s">
        <v>2925</v>
      </c>
      <c r="J768" s="3">
        <f>IF(I768="Cash",L768,"")</f>
        <v>1445</v>
      </c>
      <c r="K768" s="3" t="str">
        <f>IF(I768="UPI",L768,"")</f>
        <v/>
      </c>
      <c r="L768" s="3">
        <f>IF(E768&lt;&gt;"",E768-G768-H768,"")</f>
        <v>1445</v>
      </c>
    </row>
    <row r="769" spans="2:12">
      <c r="B769" s="2" t="s">
        <v>2533</v>
      </c>
      <c r="C769" s="9">
        <v>45990</v>
      </c>
      <c r="D769" s="4">
        <v>1</v>
      </c>
      <c r="E769" s="3">
        <v>840</v>
      </c>
      <c r="F769" s="7">
        <f t="shared" si="11"/>
        <v>45990</v>
      </c>
      <c r="G769" s="3">
        <f>IF(E769&lt;&gt;"", E769*10%, "")</f>
        <v>84</v>
      </c>
      <c r="H769" s="3">
        <f>IF(E769&lt;&gt;"",ROUND(IF(E769&gt;1500,E769*5%,),0),"")</f>
        <v>0</v>
      </c>
      <c r="I769" s="2" t="s">
        <v>2926</v>
      </c>
      <c r="J769" s="3" t="str">
        <f>IF(I769="Cash",L769,"")</f>
        <v/>
      </c>
      <c r="K769" s="3">
        <f>IF(I769="UPI",L769,"")</f>
        <v>756</v>
      </c>
      <c r="L769" s="3">
        <f>IF(E769&lt;&gt;"",E769-G769-H769,"")</f>
        <v>756</v>
      </c>
    </row>
    <row r="770" spans="2:12">
      <c r="B770" s="2" t="s">
        <v>2534</v>
      </c>
      <c r="C770" s="9">
        <v>45990</v>
      </c>
      <c r="D770" s="4">
        <v>3</v>
      </c>
      <c r="E770" s="3">
        <v>1650</v>
      </c>
      <c r="F770" s="7">
        <f t="shared" si="11"/>
        <v>45990</v>
      </c>
      <c r="G770" s="3">
        <f>IF(E770&lt;&gt;"", E770*10%, "")</f>
        <v>165</v>
      </c>
      <c r="H770" s="3">
        <f>IF(E770&lt;&gt;"",ROUND(IF(E770&gt;1500,E770*5%,),0),"")</f>
        <v>83</v>
      </c>
      <c r="I770" s="2" t="s">
        <v>2926</v>
      </c>
      <c r="J770" s="3" t="str">
        <f>IF(I770="Cash",L770,"")</f>
        <v/>
      </c>
      <c r="K770" s="3">
        <f>IF(I770="UPI",L770,"")</f>
        <v>1402</v>
      </c>
      <c r="L770" s="3">
        <f>IF(E770&lt;&gt;"",E770-G770-H770,"")</f>
        <v>1402</v>
      </c>
    </row>
    <row r="771" spans="2:12">
      <c r="B771" s="2" t="s">
        <v>2535</v>
      </c>
      <c r="C771" s="9">
        <v>45992</v>
      </c>
      <c r="D771" s="4">
        <v>3</v>
      </c>
      <c r="E771" s="3">
        <v>1570</v>
      </c>
      <c r="F771" s="7">
        <f t="shared" si="11"/>
        <v>45992</v>
      </c>
      <c r="G771" s="3">
        <f>IF(E771&lt;&gt;"", E771*10%, "")</f>
        <v>157</v>
      </c>
      <c r="H771" s="3">
        <f>IF(E771&lt;&gt;"",ROUND(IF(E771&gt;1500,E771*5%,),0),"")</f>
        <v>79</v>
      </c>
      <c r="I771" s="2" t="s">
        <v>2926</v>
      </c>
      <c r="J771" s="3" t="str">
        <f>IF(I771="Cash",L771,"")</f>
        <v/>
      </c>
      <c r="K771" s="3">
        <f>IF(I771="UPI",L771,"")</f>
        <v>1334</v>
      </c>
      <c r="L771" s="3">
        <f>IF(E771&lt;&gt;"",E771-G771-H771,"")</f>
        <v>1334</v>
      </c>
    </row>
    <row r="772" spans="2:12">
      <c r="B772" s="2" t="s">
        <v>2536</v>
      </c>
      <c r="C772" s="9">
        <v>45992</v>
      </c>
      <c r="D772" s="4">
        <v>1</v>
      </c>
      <c r="E772" s="3">
        <v>650</v>
      </c>
      <c r="F772" s="7">
        <f t="shared" si="11"/>
        <v>45992</v>
      </c>
      <c r="G772" s="3">
        <f>IF(E772&lt;&gt;"", E772*10%, "")</f>
        <v>65</v>
      </c>
      <c r="H772" s="3">
        <f>IF(E772&lt;&gt;"",ROUND(IF(E772&gt;1500,E772*5%,),0),"")</f>
        <v>0</v>
      </c>
      <c r="I772" s="2" t="s">
        <v>2926</v>
      </c>
      <c r="J772" s="3" t="str">
        <f>IF(I772="Cash",L772,"")</f>
        <v/>
      </c>
      <c r="K772" s="3">
        <f>IF(I772="UPI",L772,"")</f>
        <v>585</v>
      </c>
      <c r="L772" s="3">
        <f>IF(E772&lt;&gt;"",E772-G772-H772,"")</f>
        <v>585</v>
      </c>
    </row>
    <row r="773" spans="2:12">
      <c r="B773" s="2" t="s">
        <v>2537</v>
      </c>
      <c r="C773" s="9">
        <v>45992</v>
      </c>
      <c r="D773" s="4">
        <v>3</v>
      </c>
      <c r="E773" s="3">
        <v>1730</v>
      </c>
      <c r="F773" s="7">
        <f t="shared" ref="F773:F836" si="12">C773</f>
        <v>45992</v>
      </c>
      <c r="G773" s="3">
        <f>IF(E773&lt;&gt;"", E773*10%, "")</f>
        <v>173</v>
      </c>
      <c r="H773" s="3">
        <f>IF(E773&lt;&gt;"",ROUND(IF(E773&gt;1500,E773*5%,),0),"")</f>
        <v>87</v>
      </c>
      <c r="I773" s="2" t="s">
        <v>2925</v>
      </c>
      <c r="J773" s="3">
        <f>IF(I773="Cash",L773,"")</f>
        <v>1470</v>
      </c>
      <c r="K773" s="3" t="str">
        <f>IF(I773="UPI",L773,"")</f>
        <v/>
      </c>
      <c r="L773" s="3">
        <f>IF(E773&lt;&gt;"",E773-G773-H773,"")</f>
        <v>1470</v>
      </c>
    </row>
    <row r="774" spans="2:12">
      <c r="B774" s="2" t="s">
        <v>2538</v>
      </c>
      <c r="C774" s="9">
        <v>45992</v>
      </c>
      <c r="D774" s="4">
        <v>2</v>
      </c>
      <c r="E774" s="3">
        <v>1870</v>
      </c>
      <c r="F774" s="7">
        <f t="shared" si="12"/>
        <v>45992</v>
      </c>
      <c r="G774" s="3">
        <f>IF(E774&lt;&gt;"", E774*10%, "")</f>
        <v>187</v>
      </c>
      <c r="H774" s="3">
        <f>IF(E774&lt;&gt;"",ROUND(IF(E774&gt;1500,E774*5%,),0),"")</f>
        <v>94</v>
      </c>
      <c r="I774" s="2" t="s">
        <v>2925</v>
      </c>
      <c r="J774" s="3">
        <f>IF(I774="Cash",L774,"")</f>
        <v>1589</v>
      </c>
      <c r="K774" s="3" t="str">
        <f>IF(I774="UPI",L774,"")</f>
        <v/>
      </c>
      <c r="L774" s="3">
        <f>IF(E774&lt;&gt;"",E774-G774-H774,"")</f>
        <v>1589</v>
      </c>
    </row>
    <row r="775" spans="2:12">
      <c r="B775" s="2" t="s">
        <v>2539</v>
      </c>
      <c r="C775" s="9">
        <v>45992</v>
      </c>
      <c r="D775" s="4">
        <v>4</v>
      </c>
      <c r="E775" s="3">
        <v>1940</v>
      </c>
      <c r="F775" s="7">
        <f t="shared" si="12"/>
        <v>45992</v>
      </c>
      <c r="G775" s="3">
        <f>IF(E775&lt;&gt;"", E775*10%, "")</f>
        <v>194</v>
      </c>
      <c r="H775" s="3">
        <f>IF(E775&lt;&gt;"",ROUND(IF(E775&gt;1500,E775*5%,),0),"")</f>
        <v>97</v>
      </c>
      <c r="I775" s="2" t="s">
        <v>2925</v>
      </c>
      <c r="J775" s="3">
        <f>IF(I775="Cash",L775,"")</f>
        <v>1649</v>
      </c>
      <c r="K775" s="3" t="str">
        <f>IF(I775="UPI",L775,"")</f>
        <v/>
      </c>
      <c r="L775" s="3">
        <f>IF(E775&lt;&gt;"",E775-G775-H775,"")</f>
        <v>1649</v>
      </c>
    </row>
    <row r="776" spans="2:12">
      <c r="B776" s="2" t="s">
        <v>2540</v>
      </c>
      <c r="C776" s="9">
        <v>45992</v>
      </c>
      <c r="D776" s="4">
        <v>3</v>
      </c>
      <c r="E776" s="3">
        <v>1390</v>
      </c>
      <c r="F776" s="7">
        <f t="shared" si="12"/>
        <v>45992</v>
      </c>
      <c r="G776" s="3">
        <f>IF(E776&lt;&gt;"", E776*10%, "")</f>
        <v>139</v>
      </c>
      <c r="H776" s="3">
        <f>IF(E776&lt;&gt;"",ROUND(IF(E776&gt;1500,E776*5%,),0),"")</f>
        <v>0</v>
      </c>
      <c r="I776" s="2" t="s">
        <v>2926</v>
      </c>
      <c r="J776" s="3" t="str">
        <f>IF(I776="Cash",L776,"")</f>
        <v/>
      </c>
      <c r="K776" s="3">
        <f>IF(I776="UPI",L776,"")</f>
        <v>1251</v>
      </c>
      <c r="L776" s="3">
        <f>IF(E776&lt;&gt;"",E776-G776-H776,"")</f>
        <v>1251</v>
      </c>
    </row>
    <row r="777" spans="2:12">
      <c r="B777" s="2" t="s">
        <v>2541</v>
      </c>
      <c r="C777" s="9">
        <v>45992</v>
      </c>
      <c r="D777" s="4">
        <v>1</v>
      </c>
      <c r="E777" s="3">
        <v>940</v>
      </c>
      <c r="F777" s="7">
        <f t="shared" si="12"/>
        <v>45992</v>
      </c>
      <c r="G777" s="3">
        <f>IF(E777&lt;&gt;"", E777*10%, "")</f>
        <v>94</v>
      </c>
      <c r="H777" s="3">
        <f>IF(E777&lt;&gt;"",ROUND(IF(E777&gt;1500,E777*5%,),0),"")</f>
        <v>0</v>
      </c>
      <c r="I777" s="2" t="s">
        <v>2926</v>
      </c>
      <c r="J777" s="3" t="str">
        <f>IF(I777="Cash",L777,"")</f>
        <v/>
      </c>
      <c r="K777" s="3">
        <f>IF(I777="UPI",L777,"")</f>
        <v>846</v>
      </c>
      <c r="L777" s="3">
        <f>IF(E777&lt;&gt;"",E777-G777-H777,"")</f>
        <v>846</v>
      </c>
    </row>
    <row r="778" spans="2:12">
      <c r="B778" s="2" t="s">
        <v>2542</v>
      </c>
      <c r="C778" s="9">
        <v>45992</v>
      </c>
      <c r="D778" s="4">
        <v>1</v>
      </c>
      <c r="E778" s="3">
        <v>180</v>
      </c>
      <c r="F778" s="7">
        <f t="shared" si="12"/>
        <v>45992</v>
      </c>
      <c r="G778" s="3">
        <f>IF(E778&lt;&gt;"", E778*10%, "")</f>
        <v>18</v>
      </c>
      <c r="H778" s="3">
        <f>IF(E778&lt;&gt;"",ROUND(IF(E778&gt;1500,E778*5%,),0),"")</f>
        <v>0</v>
      </c>
      <c r="I778" s="2" t="s">
        <v>2926</v>
      </c>
      <c r="J778" s="3" t="str">
        <f>IF(I778="Cash",L778,"")</f>
        <v/>
      </c>
      <c r="K778" s="3">
        <f>IF(I778="UPI",L778,"")</f>
        <v>162</v>
      </c>
      <c r="L778" s="3">
        <f>IF(E778&lt;&gt;"",E778-G778-H778,"")</f>
        <v>162</v>
      </c>
    </row>
    <row r="779" spans="2:12">
      <c r="B779" s="2" t="s">
        <v>2543</v>
      </c>
      <c r="C779" s="9">
        <v>45992</v>
      </c>
      <c r="D779" s="4">
        <v>2</v>
      </c>
      <c r="E779" s="3">
        <v>1140</v>
      </c>
      <c r="F779" s="7">
        <f t="shared" si="12"/>
        <v>45992</v>
      </c>
      <c r="G779" s="3">
        <f>IF(E779&lt;&gt;"", E779*10%, "")</f>
        <v>114</v>
      </c>
      <c r="H779" s="3">
        <f>IF(E779&lt;&gt;"",ROUND(IF(E779&gt;1500,E779*5%,),0),"")</f>
        <v>0</v>
      </c>
      <c r="I779" s="2" t="s">
        <v>2926</v>
      </c>
      <c r="J779" s="3" t="str">
        <f>IF(I779="Cash",L779,"")</f>
        <v/>
      </c>
      <c r="K779" s="3">
        <f>IF(I779="UPI",L779,"")</f>
        <v>1026</v>
      </c>
      <c r="L779" s="3">
        <f>IF(E779&lt;&gt;"",E779-G779-H779,"")</f>
        <v>1026</v>
      </c>
    </row>
    <row r="780" spans="2:12">
      <c r="B780" s="2" t="s">
        <v>2544</v>
      </c>
      <c r="C780" s="9">
        <v>45992</v>
      </c>
      <c r="D780" s="4">
        <v>2</v>
      </c>
      <c r="E780" s="3">
        <v>1960</v>
      </c>
      <c r="F780" s="7">
        <f t="shared" si="12"/>
        <v>45992</v>
      </c>
      <c r="G780" s="3">
        <f>IF(E780&lt;&gt;"", E780*10%, "")</f>
        <v>196</v>
      </c>
      <c r="H780" s="3">
        <f>IF(E780&lt;&gt;"",ROUND(IF(E780&gt;1500,E780*5%,),0),"")</f>
        <v>98</v>
      </c>
      <c r="I780" s="2" t="s">
        <v>2925</v>
      </c>
      <c r="J780" s="3">
        <f>IF(I780="Cash",L780,"")</f>
        <v>1666</v>
      </c>
      <c r="K780" s="3" t="str">
        <f>IF(I780="UPI",L780,"")</f>
        <v/>
      </c>
      <c r="L780" s="3">
        <f>IF(E780&lt;&gt;"",E780-G780-H780,"")</f>
        <v>1666</v>
      </c>
    </row>
    <row r="781" spans="2:12">
      <c r="B781" s="2" t="s">
        <v>2545</v>
      </c>
      <c r="C781" s="9">
        <v>45992</v>
      </c>
      <c r="D781" s="4">
        <v>2</v>
      </c>
      <c r="E781" s="3">
        <v>1690</v>
      </c>
      <c r="F781" s="7">
        <f t="shared" si="12"/>
        <v>45992</v>
      </c>
      <c r="G781" s="3">
        <f>IF(E781&lt;&gt;"", E781*10%, "")</f>
        <v>169</v>
      </c>
      <c r="H781" s="3">
        <f>IF(E781&lt;&gt;"",ROUND(IF(E781&gt;1500,E781*5%,),0),"")</f>
        <v>85</v>
      </c>
      <c r="I781" s="2" t="s">
        <v>2925</v>
      </c>
      <c r="J781" s="3">
        <f>IF(I781="Cash",L781,"")</f>
        <v>1436</v>
      </c>
      <c r="K781" s="3" t="str">
        <f>IF(I781="UPI",L781,"")</f>
        <v/>
      </c>
      <c r="L781" s="3">
        <f>IF(E781&lt;&gt;"",E781-G781-H781,"")</f>
        <v>1436</v>
      </c>
    </row>
    <row r="782" spans="2:12">
      <c r="B782" s="2" t="s">
        <v>2546</v>
      </c>
      <c r="C782" s="9">
        <v>45992</v>
      </c>
      <c r="D782" s="4">
        <v>1</v>
      </c>
      <c r="E782" s="3">
        <v>940</v>
      </c>
      <c r="F782" s="7">
        <f t="shared" si="12"/>
        <v>45992</v>
      </c>
      <c r="G782" s="3">
        <f>IF(E782&lt;&gt;"", E782*10%, "")</f>
        <v>94</v>
      </c>
      <c r="H782" s="3">
        <f>IF(E782&lt;&gt;"",ROUND(IF(E782&gt;1500,E782*5%,),0),"")</f>
        <v>0</v>
      </c>
      <c r="I782" s="2" t="s">
        <v>2926</v>
      </c>
      <c r="J782" s="3" t="str">
        <f>IF(I782="Cash",L782,"")</f>
        <v/>
      </c>
      <c r="K782" s="3">
        <f>IF(I782="UPI",L782,"")</f>
        <v>846</v>
      </c>
      <c r="L782" s="3">
        <f>IF(E782&lt;&gt;"",E782-G782-H782,"")</f>
        <v>846</v>
      </c>
    </row>
    <row r="783" spans="2:12">
      <c r="B783" s="2" t="s">
        <v>2547</v>
      </c>
      <c r="C783" s="9">
        <v>45992</v>
      </c>
      <c r="D783" s="4">
        <v>1</v>
      </c>
      <c r="E783" s="3">
        <v>100</v>
      </c>
      <c r="F783" s="7">
        <f t="shared" si="12"/>
        <v>45992</v>
      </c>
      <c r="G783" s="3">
        <f>IF(E783&lt;&gt;"", E783*10%, "")</f>
        <v>10</v>
      </c>
      <c r="H783" s="3">
        <f>IF(E783&lt;&gt;"",ROUND(IF(E783&gt;1500,E783*5%,),0),"")</f>
        <v>0</v>
      </c>
      <c r="I783" s="2" t="s">
        <v>2926</v>
      </c>
      <c r="J783" s="3" t="str">
        <f>IF(I783="Cash",L783,"")</f>
        <v/>
      </c>
      <c r="K783" s="3">
        <f>IF(I783="UPI",L783,"")</f>
        <v>90</v>
      </c>
      <c r="L783" s="3">
        <f>IF(E783&lt;&gt;"",E783-G783-H783,"")</f>
        <v>90</v>
      </c>
    </row>
    <row r="784" spans="2:12">
      <c r="B784" s="2" t="s">
        <v>2548</v>
      </c>
      <c r="C784" s="9">
        <v>45992</v>
      </c>
      <c r="D784" s="4">
        <v>2</v>
      </c>
      <c r="E784" s="3">
        <v>1840</v>
      </c>
      <c r="F784" s="7">
        <f t="shared" si="12"/>
        <v>45992</v>
      </c>
      <c r="G784" s="3">
        <f>IF(E784&lt;&gt;"", E784*10%, "")</f>
        <v>184</v>
      </c>
      <c r="H784" s="3">
        <f>IF(E784&lt;&gt;"",ROUND(IF(E784&gt;1500,E784*5%,),0),"")</f>
        <v>92</v>
      </c>
      <c r="I784" s="2" t="s">
        <v>2925</v>
      </c>
      <c r="J784" s="3">
        <f>IF(I784="Cash",L784,"")</f>
        <v>1564</v>
      </c>
      <c r="K784" s="3" t="str">
        <f>IF(I784="UPI",L784,"")</f>
        <v/>
      </c>
      <c r="L784" s="3">
        <f>IF(E784&lt;&gt;"",E784-G784-H784,"")</f>
        <v>1564</v>
      </c>
    </row>
    <row r="785" spans="2:12">
      <c r="B785" s="2" t="s">
        <v>2549</v>
      </c>
      <c r="C785" s="9">
        <v>45992</v>
      </c>
      <c r="D785" s="4">
        <v>2</v>
      </c>
      <c r="E785" s="3">
        <v>1590</v>
      </c>
      <c r="F785" s="7">
        <f t="shared" si="12"/>
        <v>45992</v>
      </c>
      <c r="G785" s="3">
        <f>IF(E785&lt;&gt;"", E785*10%, "")</f>
        <v>159</v>
      </c>
      <c r="H785" s="3">
        <f>IF(E785&lt;&gt;"",ROUND(IF(E785&gt;1500,E785*5%,),0),"")</f>
        <v>80</v>
      </c>
      <c r="I785" s="2" t="s">
        <v>2926</v>
      </c>
      <c r="J785" s="3" t="str">
        <f>IF(I785="Cash",L785,"")</f>
        <v/>
      </c>
      <c r="K785" s="3">
        <f>IF(I785="UPI",L785,"")</f>
        <v>1351</v>
      </c>
      <c r="L785" s="3">
        <f>IF(E785&lt;&gt;"",E785-G785-H785,"")</f>
        <v>1351</v>
      </c>
    </row>
    <row r="786" spans="2:12">
      <c r="B786" s="2" t="s">
        <v>2550</v>
      </c>
      <c r="C786" s="9">
        <v>45992</v>
      </c>
      <c r="D786" s="4">
        <v>3</v>
      </c>
      <c r="E786" s="3">
        <v>1130</v>
      </c>
      <c r="F786" s="7">
        <f t="shared" si="12"/>
        <v>45992</v>
      </c>
      <c r="G786" s="3">
        <f>IF(E786&lt;&gt;"", E786*10%, "")</f>
        <v>113</v>
      </c>
      <c r="H786" s="3">
        <f>IF(E786&lt;&gt;"",ROUND(IF(E786&gt;1500,E786*5%,),0),"")</f>
        <v>0</v>
      </c>
      <c r="I786" s="2" t="s">
        <v>2926</v>
      </c>
      <c r="J786" s="3" t="str">
        <f>IF(I786="Cash",L786,"")</f>
        <v/>
      </c>
      <c r="K786" s="3">
        <f>IF(I786="UPI",L786,"")</f>
        <v>1017</v>
      </c>
      <c r="L786" s="3">
        <f>IF(E786&lt;&gt;"",E786-G786-H786,"")</f>
        <v>1017</v>
      </c>
    </row>
    <row r="787" spans="2:12">
      <c r="B787" s="2" t="s">
        <v>2551</v>
      </c>
      <c r="C787" s="9">
        <v>45993</v>
      </c>
      <c r="D787" s="4">
        <v>2</v>
      </c>
      <c r="E787" s="3">
        <v>1380</v>
      </c>
      <c r="F787" s="7">
        <f t="shared" si="12"/>
        <v>45993</v>
      </c>
      <c r="G787" s="3">
        <f>IF(E787&lt;&gt;"", E787*10%, "")</f>
        <v>138</v>
      </c>
      <c r="H787" s="3">
        <f>IF(E787&lt;&gt;"",ROUND(IF(E787&gt;1500,E787*5%,),0),"")</f>
        <v>0</v>
      </c>
      <c r="I787" s="2" t="s">
        <v>2926</v>
      </c>
      <c r="J787" s="3" t="str">
        <f>IF(I787="Cash",L787,"")</f>
        <v/>
      </c>
      <c r="K787" s="3">
        <f>IF(I787="UPI",L787,"")</f>
        <v>1242</v>
      </c>
      <c r="L787" s="3">
        <f>IF(E787&lt;&gt;"",E787-G787-H787,"")</f>
        <v>1242</v>
      </c>
    </row>
    <row r="788" spans="2:12">
      <c r="B788" s="2" t="s">
        <v>2552</v>
      </c>
      <c r="C788" s="9">
        <v>45993</v>
      </c>
      <c r="D788" s="4">
        <v>3</v>
      </c>
      <c r="E788" s="3">
        <v>2800</v>
      </c>
      <c r="F788" s="7">
        <f t="shared" si="12"/>
        <v>45993</v>
      </c>
      <c r="G788" s="3">
        <f>IF(E788&lt;&gt;"", E788*10%, "")</f>
        <v>280</v>
      </c>
      <c r="H788" s="3">
        <f>IF(E788&lt;&gt;"",ROUND(IF(E788&gt;1500,E788*5%,),0),"")</f>
        <v>140</v>
      </c>
      <c r="I788" s="2" t="s">
        <v>2928</v>
      </c>
      <c r="J788" s="3">
        <v>1000</v>
      </c>
      <c r="K788" s="3">
        <v>1380</v>
      </c>
      <c r="L788" s="3">
        <f>IF(E788&lt;&gt;"",E788-G788-H788,"")</f>
        <v>2380</v>
      </c>
    </row>
    <row r="789" spans="2:12">
      <c r="B789" s="2" t="s">
        <v>2553</v>
      </c>
      <c r="C789" s="9">
        <v>45993</v>
      </c>
      <c r="D789" s="4">
        <v>4</v>
      </c>
      <c r="E789" s="3">
        <v>2530</v>
      </c>
      <c r="F789" s="7">
        <f t="shared" si="12"/>
        <v>45993</v>
      </c>
      <c r="G789" s="3">
        <f>IF(E789&lt;&gt;"", E789*10%, "")</f>
        <v>253</v>
      </c>
      <c r="H789" s="3">
        <f>IF(E789&lt;&gt;"",ROUND(IF(E789&gt;1500,E789*5%,),0),"")</f>
        <v>127</v>
      </c>
      <c r="I789" s="2" t="s">
        <v>2925</v>
      </c>
      <c r="J789" s="3">
        <f>IF(I789="Cash",L789,"")</f>
        <v>2150</v>
      </c>
      <c r="K789" s="3" t="str">
        <f>IF(I789="UPI",L789,"")</f>
        <v/>
      </c>
      <c r="L789" s="3">
        <f>IF(E789&lt;&gt;"",E789-G789-H789,"")</f>
        <v>2150</v>
      </c>
    </row>
    <row r="790" spans="2:12">
      <c r="B790" s="2" t="s">
        <v>2554</v>
      </c>
      <c r="C790" s="9">
        <v>45993</v>
      </c>
      <c r="D790" s="4">
        <v>1</v>
      </c>
      <c r="E790" s="3">
        <v>730</v>
      </c>
      <c r="F790" s="7">
        <f t="shared" si="12"/>
        <v>45993</v>
      </c>
      <c r="G790" s="3">
        <f>IF(E790&lt;&gt;"", E790*10%, "")</f>
        <v>73</v>
      </c>
      <c r="H790" s="3">
        <f>IF(E790&lt;&gt;"",ROUND(IF(E790&gt;1500,E790*5%,),0),"")</f>
        <v>0</v>
      </c>
      <c r="I790" s="2" t="s">
        <v>2926</v>
      </c>
      <c r="J790" s="3" t="str">
        <f>IF(I790="Cash",L790,"")</f>
        <v/>
      </c>
      <c r="K790" s="3">
        <f>IF(I790="UPI",L790,"")</f>
        <v>657</v>
      </c>
      <c r="L790" s="3">
        <f>IF(E790&lt;&gt;"",E790-G790-H790,"")</f>
        <v>657</v>
      </c>
    </row>
    <row r="791" spans="2:12">
      <c r="B791" s="2" t="s">
        <v>2555</v>
      </c>
      <c r="C791" s="9">
        <v>45993</v>
      </c>
      <c r="D791" s="4">
        <v>1</v>
      </c>
      <c r="E791" s="3">
        <v>990</v>
      </c>
      <c r="F791" s="7">
        <f t="shared" si="12"/>
        <v>45993</v>
      </c>
      <c r="G791" s="3">
        <f>IF(E791&lt;&gt;"", E791*10%, "")</f>
        <v>99</v>
      </c>
      <c r="H791" s="3">
        <f>IF(E791&lt;&gt;"",ROUND(IF(E791&gt;1500,E791*5%,),0),"")</f>
        <v>0</v>
      </c>
      <c r="I791" s="2" t="s">
        <v>2926</v>
      </c>
      <c r="J791" s="3" t="str">
        <f>IF(I791="Cash",L791,"")</f>
        <v/>
      </c>
      <c r="K791" s="3">
        <f>IF(I791="UPI",L791,"")</f>
        <v>891</v>
      </c>
      <c r="L791" s="3">
        <f>IF(E791&lt;&gt;"",E791-G791-H791,"")</f>
        <v>891</v>
      </c>
    </row>
    <row r="792" spans="2:12">
      <c r="B792" s="2" t="s">
        <v>2556</v>
      </c>
      <c r="C792" s="9">
        <v>45993</v>
      </c>
      <c r="D792" s="4">
        <v>1</v>
      </c>
      <c r="E792" s="3">
        <v>130</v>
      </c>
      <c r="F792" s="7">
        <f t="shared" si="12"/>
        <v>45993</v>
      </c>
      <c r="G792" s="3">
        <f>IF(E792&lt;&gt;"", E792*10%, "")</f>
        <v>13</v>
      </c>
      <c r="H792" s="3">
        <f>IF(E792&lt;&gt;"",ROUND(IF(E792&gt;1500,E792*5%,),0),"")</f>
        <v>0</v>
      </c>
      <c r="I792" s="2" t="s">
        <v>2926</v>
      </c>
      <c r="J792" s="3" t="str">
        <f>IF(I792="Cash",L792,"")</f>
        <v/>
      </c>
      <c r="K792" s="3">
        <f>IF(I792="UPI",L792,"")</f>
        <v>117</v>
      </c>
      <c r="L792" s="3">
        <f>IF(E792&lt;&gt;"",E792-G792-H792,"")</f>
        <v>117</v>
      </c>
    </row>
    <row r="793" spans="2:12">
      <c r="B793" s="2" t="s">
        <v>2557</v>
      </c>
      <c r="C793" s="9">
        <v>45993</v>
      </c>
      <c r="D793" s="4">
        <v>1</v>
      </c>
      <c r="E793" s="3">
        <v>910</v>
      </c>
      <c r="F793" s="7">
        <f t="shared" si="12"/>
        <v>45993</v>
      </c>
      <c r="G793" s="3">
        <f>IF(E793&lt;&gt;"", E793*10%, "")</f>
        <v>91</v>
      </c>
      <c r="H793" s="3">
        <f>IF(E793&lt;&gt;"",ROUND(IF(E793&gt;1500,E793*5%,),0),"")</f>
        <v>0</v>
      </c>
      <c r="I793" s="2" t="s">
        <v>2926</v>
      </c>
      <c r="J793" s="3" t="str">
        <f>IF(I793="Cash",L793,"")</f>
        <v/>
      </c>
      <c r="K793" s="3">
        <f>IF(I793="UPI",L793,"")</f>
        <v>819</v>
      </c>
      <c r="L793" s="3">
        <f>IF(E793&lt;&gt;"",E793-G793-H793,"")</f>
        <v>819</v>
      </c>
    </row>
    <row r="794" spans="2:12">
      <c r="B794" s="2" t="s">
        <v>2558</v>
      </c>
      <c r="C794" s="9">
        <v>45993</v>
      </c>
      <c r="D794" s="4">
        <v>2</v>
      </c>
      <c r="E794" s="3">
        <v>1190</v>
      </c>
      <c r="F794" s="7">
        <f t="shared" si="12"/>
        <v>45993</v>
      </c>
      <c r="G794" s="3">
        <f>IF(E794&lt;&gt;"", E794*10%, "")</f>
        <v>119</v>
      </c>
      <c r="H794" s="3">
        <f>IF(E794&lt;&gt;"",ROUND(IF(E794&gt;1500,E794*5%,),0),"")</f>
        <v>0</v>
      </c>
      <c r="I794" s="2" t="s">
        <v>2926</v>
      </c>
      <c r="J794" s="3" t="str">
        <f>IF(I794="Cash",L794,"")</f>
        <v/>
      </c>
      <c r="K794" s="3">
        <f>IF(I794="UPI",L794,"")</f>
        <v>1071</v>
      </c>
      <c r="L794" s="3">
        <f>IF(E794&lt;&gt;"",E794-G794-H794,"")</f>
        <v>1071</v>
      </c>
    </row>
    <row r="795" spans="2:12">
      <c r="B795" s="2" t="s">
        <v>2559</v>
      </c>
      <c r="C795" s="9">
        <v>45993</v>
      </c>
      <c r="D795" s="4">
        <v>3</v>
      </c>
      <c r="E795" s="3">
        <v>2190</v>
      </c>
      <c r="F795" s="7">
        <f t="shared" si="12"/>
        <v>45993</v>
      </c>
      <c r="G795" s="3">
        <f>IF(E795&lt;&gt;"", E795*10%, "")</f>
        <v>219</v>
      </c>
      <c r="H795" s="3">
        <f>IF(E795&lt;&gt;"",ROUND(IF(E795&gt;1500,E795*5%,),0),"")</f>
        <v>110</v>
      </c>
      <c r="I795" s="2" t="s">
        <v>2925</v>
      </c>
      <c r="J795" s="3">
        <f>IF(I795="Cash",L795,"")</f>
        <v>1861</v>
      </c>
      <c r="K795" s="3" t="str">
        <f>IF(I795="UPI",L795,"")</f>
        <v/>
      </c>
      <c r="L795" s="3">
        <f>IF(E795&lt;&gt;"",E795-G795-H795,"")</f>
        <v>1861</v>
      </c>
    </row>
    <row r="796" spans="2:12">
      <c r="B796" s="2" t="s">
        <v>2560</v>
      </c>
      <c r="C796" s="9">
        <v>45993</v>
      </c>
      <c r="D796" s="4">
        <v>3</v>
      </c>
      <c r="E796" s="3">
        <v>1930</v>
      </c>
      <c r="F796" s="7">
        <f t="shared" si="12"/>
        <v>45993</v>
      </c>
      <c r="G796" s="3">
        <f>IF(E796&lt;&gt;"", E796*10%, "")</f>
        <v>193</v>
      </c>
      <c r="H796" s="3">
        <f>IF(E796&lt;&gt;"",ROUND(IF(E796&gt;1500,E796*5%,),0),"")</f>
        <v>97</v>
      </c>
      <c r="I796" s="2" t="s">
        <v>2925</v>
      </c>
      <c r="J796" s="3">
        <f>IF(I796="Cash",L796,"")</f>
        <v>1640</v>
      </c>
      <c r="K796" s="3" t="str">
        <f>IF(I796="UPI",L796,"")</f>
        <v/>
      </c>
      <c r="L796" s="3">
        <f>IF(E796&lt;&gt;"",E796-G796-H796,"")</f>
        <v>1640</v>
      </c>
    </row>
    <row r="797" spans="2:12">
      <c r="B797" s="2" t="s">
        <v>2561</v>
      </c>
      <c r="C797" s="9">
        <v>45993</v>
      </c>
      <c r="D797" s="4">
        <v>4</v>
      </c>
      <c r="E797" s="3">
        <v>2120</v>
      </c>
      <c r="F797" s="7">
        <f t="shared" si="12"/>
        <v>45993</v>
      </c>
      <c r="G797" s="3">
        <f>IF(E797&lt;&gt;"", E797*10%, "")</f>
        <v>212</v>
      </c>
      <c r="H797" s="3">
        <f>IF(E797&lt;&gt;"",ROUND(IF(E797&gt;1500,E797*5%,),0),"")</f>
        <v>106</v>
      </c>
      <c r="I797" s="2" t="s">
        <v>2925</v>
      </c>
      <c r="J797" s="3">
        <f>IF(I797="Cash",L797,"")</f>
        <v>1802</v>
      </c>
      <c r="K797" s="3" t="str">
        <f>IF(I797="UPI",L797,"")</f>
        <v/>
      </c>
      <c r="L797" s="3">
        <f>IF(E797&lt;&gt;"",E797-G797-H797,"")</f>
        <v>1802</v>
      </c>
    </row>
    <row r="798" spans="2:12">
      <c r="B798" s="2" t="s">
        <v>2562</v>
      </c>
      <c r="C798" s="9">
        <v>45994</v>
      </c>
      <c r="D798" s="4">
        <v>1</v>
      </c>
      <c r="E798" s="3">
        <v>870</v>
      </c>
      <c r="F798" s="7">
        <f t="shared" si="12"/>
        <v>45994</v>
      </c>
      <c r="G798" s="3">
        <f>IF(E798&lt;&gt;"", E798*10%, "")</f>
        <v>87</v>
      </c>
      <c r="H798" s="3">
        <f>IF(E798&lt;&gt;"",ROUND(IF(E798&gt;1500,E798*5%,),0),"")</f>
        <v>0</v>
      </c>
      <c r="I798" s="2" t="s">
        <v>2926</v>
      </c>
      <c r="J798" s="3" t="str">
        <f>IF(I798="Cash",L798,"")</f>
        <v/>
      </c>
      <c r="K798" s="3">
        <f>IF(I798="UPI",L798,"")</f>
        <v>783</v>
      </c>
      <c r="L798" s="3">
        <f>IF(E798&lt;&gt;"",E798-G798-H798,"")</f>
        <v>783</v>
      </c>
    </row>
    <row r="799" spans="2:12">
      <c r="B799" s="2" t="s">
        <v>2563</v>
      </c>
      <c r="C799" s="9">
        <v>45994</v>
      </c>
      <c r="D799" s="4">
        <v>2</v>
      </c>
      <c r="E799" s="3">
        <v>1900</v>
      </c>
      <c r="F799" s="7">
        <f t="shared" si="12"/>
        <v>45994</v>
      </c>
      <c r="G799" s="3">
        <f>IF(E799&lt;&gt;"", E799*10%, "")</f>
        <v>190</v>
      </c>
      <c r="H799" s="3">
        <f>IF(E799&lt;&gt;"",ROUND(IF(E799&gt;1500,E799*5%,),0),"")</f>
        <v>95</v>
      </c>
      <c r="I799" s="2" t="s">
        <v>2925</v>
      </c>
      <c r="J799" s="3">
        <f>IF(I799="Cash",L799,"")</f>
        <v>1615</v>
      </c>
      <c r="K799" s="3" t="str">
        <f>IF(I799="UPI",L799,"")</f>
        <v/>
      </c>
      <c r="L799" s="3">
        <f>IF(E799&lt;&gt;"",E799-G799-H799,"")</f>
        <v>1615</v>
      </c>
    </row>
    <row r="800" spans="2:12">
      <c r="B800" s="2" t="s">
        <v>2564</v>
      </c>
      <c r="C800" s="9">
        <v>45994</v>
      </c>
      <c r="D800" s="4">
        <v>1</v>
      </c>
      <c r="E800" s="3">
        <v>960</v>
      </c>
      <c r="F800" s="7">
        <f t="shared" si="12"/>
        <v>45994</v>
      </c>
      <c r="G800" s="3">
        <f>IF(E800&lt;&gt;"", E800*10%, "")</f>
        <v>96</v>
      </c>
      <c r="H800" s="3">
        <f>IF(E800&lt;&gt;"",ROUND(IF(E800&gt;1500,E800*5%,),0),"")</f>
        <v>0</v>
      </c>
      <c r="I800" s="2" t="s">
        <v>2926</v>
      </c>
      <c r="J800" s="3" t="str">
        <f>IF(I800="Cash",L800,"")</f>
        <v/>
      </c>
      <c r="K800" s="3">
        <f>IF(I800="UPI",L800,"")</f>
        <v>864</v>
      </c>
      <c r="L800" s="3">
        <f>IF(E800&lt;&gt;"",E800-G800-H800,"")</f>
        <v>864</v>
      </c>
    </row>
    <row r="801" spans="2:12">
      <c r="B801" s="2" t="s">
        <v>2565</v>
      </c>
      <c r="C801" s="9">
        <v>45994</v>
      </c>
      <c r="D801" s="4">
        <v>4</v>
      </c>
      <c r="E801" s="3">
        <v>2220</v>
      </c>
      <c r="F801" s="7">
        <f t="shared" si="12"/>
        <v>45994</v>
      </c>
      <c r="G801" s="3">
        <f>IF(E801&lt;&gt;"", E801*10%, "")</f>
        <v>222</v>
      </c>
      <c r="H801" s="3">
        <f>IF(E801&lt;&gt;"",ROUND(IF(E801&gt;1500,E801*5%,),0),"")</f>
        <v>111</v>
      </c>
      <c r="I801" s="2" t="s">
        <v>2925</v>
      </c>
      <c r="J801" s="3">
        <f>IF(I801="Cash",L801,"")</f>
        <v>1887</v>
      </c>
      <c r="K801" s="3" t="str">
        <f>IF(I801="UPI",L801,"")</f>
        <v/>
      </c>
      <c r="L801" s="3">
        <f>IF(E801&lt;&gt;"",E801-G801-H801,"")</f>
        <v>1887</v>
      </c>
    </row>
    <row r="802" spans="2:12">
      <c r="B802" s="2" t="s">
        <v>2566</v>
      </c>
      <c r="C802" s="9">
        <v>45994</v>
      </c>
      <c r="D802" s="4">
        <v>3</v>
      </c>
      <c r="E802" s="3">
        <v>1770</v>
      </c>
      <c r="F802" s="7">
        <f t="shared" si="12"/>
        <v>45994</v>
      </c>
      <c r="G802" s="3">
        <f>IF(E802&lt;&gt;"", E802*10%, "")</f>
        <v>177</v>
      </c>
      <c r="H802" s="3">
        <f>IF(E802&lt;&gt;"",ROUND(IF(E802&gt;1500,E802*5%,),0),"")</f>
        <v>89</v>
      </c>
      <c r="I802" s="2" t="s">
        <v>2925</v>
      </c>
      <c r="J802" s="3">
        <f>IF(I802="Cash",L802,"")</f>
        <v>1504</v>
      </c>
      <c r="K802" s="3" t="str">
        <f>IF(I802="UPI",L802,"")</f>
        <v/>
      </c>
      <c r="L802" s="3">
        <f>IF(E802&lt;&gt;"",E802-G802-H802,"")</f>
        <v>1504</v>
      </c>
    </row>
    <row r="803" spans="2:12">
      <c r="B803" s="2" t="s">
        <v>2567</v>
      </c>
      <c r="C803" s="9">
        <v>45994</v>
      </c>
      <c r="D803" s="4">
        <v>1</v>
      </c>
      <c r="E803" s="3">
        <v>1040</v>
      </c>
      <c r="F803" s="7">
        <f t="shared" si="12"/>
        <v>45994</v>
      </c>
      <c r="G803" s="3">
        <f>IF(E803&lt;&gt;"", E803*10%, "")</f>
        <v>104</v>
      </c>
      <c r="H803" s="3">
        <f>IF(E803&lt;&gt;"",ROUND(IF(E803&gt;1500,E803*5%,),0),"")</f>
        <v>0</v>
      </c>
      <c r="I803" s="2" t="s">
        <v>2926</v>
      </c>
      <c r="J803" s="3" t="str">
        <f>IF(I803="Cash",L803,"")</f>
        <v/>
      </c>
      <c r="K803" s="3">
        <f>IF(I803="UPI",L803,"")</f>
        <v>936</v>
      </c>
      <c r="L803" s="3">
        <f>IF(E803&lt;&gt;"",E803-G803-H803,"")</f>
        <v>936</v>
      </c>
    </row>
    <row r="804" spans="2:12">
      <c r="B804" s="2" t="s">
        <v>2568</v>
      </c>
      <c r="C804" s="9">
        <v>45994</v>
      </c>
      <c r="D804" s="4">
        <v>2</v>
      </c>
      <c r="E804" s="3">
        <v>1430</v>
      </c>
      <c r="F804" s="7">
        <f t="shared" si="12"/>
        <v>45994</v>
      </c>
      <c r="G804" s="3">
        <f>IF(E804&lt;&gt;"", E804*10%, "")</f>
        <v>143</v>
      </c>
      <c r="H804" s="3">
        <f>IF(E804&lt;&gt;"",ROUND(IF(E804&gt;1500,E804*5%,),0),"")</f>
        <v>0</v>
      </c>
      <c r="I804" s="2" t="s">
        <v>2926</v>
      </c>
      <c r="J804" s="3" t="str">
        <f>IF(I804="Cash",L804,"")</f>
        <v/>
      </c>
      <c r="K804" s="3">
        <f>IF(I804="UPI",L804,"")</f>
        <v>1287</v>
      </c>
      <c r="L804" s="3">
        <f>IF(E804&lt;&gt;"",E804-G804-H804,"")</f>
        <v>1287</v>
      </c>
    </row>
    <row r="805" spans="2:12">
      <c r="B805" s="2" t="s">
        <v>2569</v>
      </c>
      <c r="C805" s="9">
        <v>45994</v>
      </c>
      <c r="D805" s="4">
        <v>2</v>
      </c>
      <c r="E805" s="3">
        <v>1020</v>
      </c>
      <c r="F805" s="7">
        <f t="shared" si="12"/>
        <v>45994</v>
      </c>
      <c r="G805" s="3">
        <f>IF(E805&lt;&gt;"", E805*10%, "")</f>
        <v>102</v>
      </c>
      <c r="H805" s="3">
        <f>IF(E805&lt;&gt;"",ROUND(IF(E805&gt;1500,E805*5%,),0),"")</f>
        <v>0</v>
      </c>
      <c r="I805" s="2" t="s">
        <v>2926</v>
      </c>
      <c r="J805" s="3" t="str">
        <f>IF(I805="Cash",L805,"")</f>
        <v/>
      </c>
      <c r="K805" s="3">
        <f>IF(I805="UPI",L805,"")</f>
        <v>918</v>
      </c>
      <c r="L805" s="3">
        <f>IF(E805&lt;&gt;"",E805-G805-H805,"")</f>
        <v>918</v>
      </c>
    </row>
    <row r="806" spans="2:12">
      <c r="B806" s="2" t="s">
        <v>2570</v>
      </c>
      <c r="C806" s="9">
        <v>45994</v>
      </c>
      <c r="D806" s="4">
        <v>3</v>
      </c>
      <c r="E806" s="3">
        <v>2390</v>
      </c>
      <c r="F806" s="7">
        <f t="shared" si="12"/>
        <v>45994</v>
      </c>
      <c r="G806" s="3">
        <f>IF(E806&lt;&gt;"", E806*10%, "")</f>
        <v>239</v>
      </c>
      <c r="H806" s="3">
        <f>IF(E806&lt;&gt;"",ROUND(IF(E806&gt;1500,E806*5%,),0),"")</f>
        <v>120</v>
      </c>
      <c r="I806" s="2" t="s">
        <v>2925</v>
      </c>
      <c r="J806" s="3">
        <f>IF(I806="Cash",L806,"")</f>
        <v>2031</v>
      </c>
      <c r="K806" s="3" t="str">
        <f>IF(I806="UPI",L806,"")</f>
        <v/>
      </c>
      <c r="L806" s="3">
        <f>IF(E806&lt;&gt;"",E806-G806-H806,"")</f>
        <v>2031</v>
      </c>
    </row>
    <row r="807" spans="2:12">
      <c r="B807" s="2" t="s">
        <v>2571</v>
      </c>
      <c r="C807" s="9">
        <v>45994</v>
      </c>
      <c r="D807" s="4">
        <v>1</v>
      </c>
      <c r="E807" s="3">
        <v>480</v>
      </c>
      <c r="F807" s="7">
        <f t="shared" si="12"/>
        <v>45994</v>
      </c>
      <c r="G807" s="3">
        <f>IF(E807&lt;&gt;"", E807*10%, "")</f>
        <v>48</v>
      </c>
      <c r="H807" s="3">
        <f>IF(E807&lt;&gt;"",ROUND(IF(E807&gt;1500,E807*5%,),0),"")</f>
        <v>0</v>
      </c>
      <c r="I807" s="2" t="s">
        <v>2926</v>
      </c>
      <c r="J807" s="3" t="str">
        <f>IF(I807="Cash",L807,"")</f>
        <v/>
      </c>
      <c r="K807" s="3">
        <f>IF(I807="UPI",L807,"")</f>
        <v>432</v>
      </c>
      <c r="L807" s="3">
        <f>IF(E807&lt;&gt;"",E807-G807-H807,"")</f>
        <v>432</v>
      </c>
    </row>
    <row r="808" spans="2:12">
      <c r="B808" s="2" t="s">
        <v>2572</v>
      </c>
      <c r="C808" s="9">
        <v>45994</v>
      </c>
      <c r="D808" s="4">
        <v>3</v>
      </c>
      <c r="E808" s="3">
        <v>2240</v>
      </c>
      <c r="F808" s="7">
        <f t="shared" si="12"/>
        <v>45994</v>
      </c>
      <c r="G808" s="3">
        <f>IF(E808&lt;&gt;"", E808*10%, "")</f>
        <v>224</v>
      </c>
      <c r="H808" s="3">
        <f>IF(E808&lt;&gt;"",ROUND(IF(E808&gt;1500,E808*5%,),0),"")</f>
        <v>112</v>
      </c>
      <c r="I808" s="2" t="s">
        <v>2925</v>
      </c>
      <c r="J808" s="3">
        <f>IF(I808="Cash",L808,"")</f>
        <v>1904</v>
      </c>
      <c r="K808" s="3" t="str">
        <f>IF(I808="UPI",L808,"")</f>
        <v/>
      </c>
      <c r="L808" s="3">
        <f>IF(E808&lt;&gt;"",E808-G808-H808,"")</f>
        <v>1904</v>
      </c>
    </row>
    <row r="809" spans="2:12">
      <c r="B809" s="2" t="s">
        <v>2573</v>
      </c>
      <c r="C809" s="9">
        <v>45994</v>
      </c>
      <c r="D809" s="4">
        <v>2</v>
      </c>
      <c r="E809" s="3">
        <v>870</v>
      </c>
      <c r="F809" s="7">
        <f t="shared" si="12"/>
        <v>45994</v>
      </c>
      <c r="G809" s="3">
        <f>IF(E809&lt;&gt;"", E809*10%, "")</f>
        <v>87</v>
      </c>
      <c r="H809" s="3">
        <f>IF(E809&lt;&gt;"",ROUND(IF(E809&gt;1500,E809*5%,),0),"")</f>
        <v>0</v>
      </c>
      <c r="I809" s="2" t="s">
        <v>2926</v>
      </c>
      <c r="J809" s="3" t="str">
        <f>IF(I809="Cash",L809,"")</f>
        <v/>
      </c>
      <c r="K809" s="3">
        <f>IF(I809="UPI",L809,"")</f>
        <v>783</v>
      </c>
      <c r="L809" s="3">
        <f>IF(E809&lt;&gt;"",E809-G809-H809,"")</f>
        <v>783</v>
      </c>
    </row>
    <row r="810" spans="2:12">
      <c r="B810" s="2" t="s">
        <v>2574</v>
      </c>
      <c r="C810" s="9">
        <v>45995</v>
      </c>
      <c r="D810" s="4">
        <v>4</v>
      </c>
      <c r="E810" s="3">
        <v>2050</v>
      </c>
      <c r="F810" s="7">
        <f t="shared" si="12"/>
        <v>45995</v>
      </c>
      <c r="G810" s="3">
        <f>IF(E810&lt;&gt;"", E810*10%, "")</f>
        <v>205</v>
      </c>
      <c r="H810" s="3">
        <f>IF(E810&lt;&gt;"",ROUND(IF(E810&gt;1500,E810*5%,),0),"")</f>
        <v>103</v>
      </c>
      <c r="I810" s="2" t="s">
        <v>2925</v>
      </c>
      <c r="J810" s="3">
        <f>IF(I810="Cash",L810,"")</f>
        <v>1742</v>
      </c>
      <c r="K810" s="3" t="str">
        <f>IF(I810="UPI",L810,"")</f>
        <v/>
      </c>
      <c r="L810" s="3">
        <f>IF(E810&lt;&gt;"",E810-G810-H810,"")</f>
        <v>1742</v>
      </c>
    </row>
    <row r="811" spans="2:12">
      <c r="B811" s="2" t="s">
        <v>2575</v>
      </c>
      <c r="C811" s="9">
        <v>45995</v>
      </c>
      <c r="D811" s="4">
        <v>3</v>
      </c>
      <c r="E811" s="3">
        <v>1690</v>
      </c>
      <c r="F811" s="7">
        <f t="shared" si="12"/>
        <v>45995</v>
      </c>
      <c r="G811" s="3">
        <f>IF(E811&lt;&gt;"", E811*10%, "")</f>
        <v>169</v>
      </c>
      <c r="H811" s="3">
        <f>IF(E811&lt;&gt;"",ROUND(IF(E811&gt;1500,E811*5%,),0),"")</f>
        <v>85</v>
      </c>
      <c r="I811" s="2" t="s">
        <v>2925</v>
      </c>
      <c r="J811" s="3">
        <f>IF(I811="Cash",L811,"")</f>
        <v>1436</v>
      </c>
      <c r="K811" s="3" t="str">
        <f>IF(I811="UPI",L811,"")</f>
        <v/>
      </c>
      <c r="L811" s="3">
        <f>IF(E811&lt;&gt;"",E811-G811-H811,"")</f>
        <v>1436</v>
      </c>
    </row>
    <row r="812" spans="2:12">
      <c r="B812" s="2" t="s">
        <v>2576</v>
      </c>
      <c r="C812" s="9">
        <v>45995</v>
      </c>
      <c r="D812" s="4">
        <v>3</v>
      </c>
      <c r="E812" s="3">
        <v>1230</v>
      </c>
      <c r="F812" s="7">
        <f t="shared" si="12"/>
        <v>45995</v>
      </c>
      <c r="G812" s="3">
        <f>IF(E812&lt;&gt;"", E812*10%, "")</f>
        <v>123</v>
      </c>
      <c r="H812" s="3">
        <f>IF(E812&lt;&gt;"",ROUND(IF(E812&gt;1500,E812*5%,),0),"")</f>
        <v>0</v>
      </c>
      <c r="I812" s="2" t="s">
        <v>2926</v>
      </c>
      <c r="J812" s="3" t="str">
        <f>IF(I812="Cash",L812,"")</f>
        <v/>
      </c>
      <c r="K812" s="3">
        <f>IF(I812="UPI",L812,"")</f>
        <v>1107</v>
      </c>
      <c r="L812" s="3">
        <f>IF(E812&lt;&gt;"",E812-G812-H812,"")</f>
        <v>1107</v>
      </c>
    </row>
    <row r="813" spans="2:12">
      <c r="B813" s="2" t="s">
        <v>2577</v>
      </c>
      <c r="C813" s="9">
        <v>45995</v>
      </c>
      <c r="D813" s="4">
        <v>1</v>
      </c>
      <c r="E813" s="3">
        <v>850</v>
      </c>
      <c r="F813" s="7">
        <f t="shared" si="12"/>
        <v>45995</v>
      </c>
      <c r="G813" s="3">
        <f>IF(E813&lt;&gt;"", E813*10%, "")</f>
        <v>85</v>
      </c>
      <c r="H813" s="3">
        <f>IF(E813&lt;&gt;"",ROUND(IF(E813&gt;1500,E813*5%,),0),"")</f>
        <v>0</v>
      </c>
      <c r="I813" s="2" t="s">
        <v>2926</v>
      </c>
      <c r="J813" s="3" t="str">
        <f>IF(I813="Cash",L813,"")</f>
        <v/>
      </c>
      <c r="K813" s="3">
        <f>IF(I813="UPI",L813,"")</f>
        <v>765</v>
      </c>
      <c r="L813" s="3">
        <f>IF(E813&lt;&gt;"",E813-G813-H813,"")</f>
        <v>765</v>
      </c>
    </row>
    <row r="814" spans="2:12">
      <c r="B814" s="2" t="s">
        <v>2578</v>
      </c>
      <c r="C814" s="9">
        <v>45995</v>
      </c>
      <c r="D814" s="4">
        <v>4</v>
      </c>
      <c r="E814" s="3">
        <v>2670</v>
      </c>
      <c r="F814" s="7">
        <f t="shared" si="12"/>
        <v>45995</v>
      </c>
      <c r="G814" s="3">
        <f>IF(E814&lt;&gt;"", E814*10%, "")</f>
        <v>267</v>
      </c>
      <c r="H814" s="3">
        <f>IF(E814&lt;&gt;"",ROUND(IF(E814&gt;1500,E814*5%,),0),"")</f>
        <v>134</v>
      </c>
      <c r="I814" s="2" t="s">
        <v>2925</v>
      </c>
      <c r="J814" s="3">
        <f>IF(I814="Cash",L814,"")</f>
        <v>2269</v>
      </c>
      <c r="K814" s="3" t="str">
        <f>IF(I814="UPI",L814,"")</f>
        <v/>
      </c>
      <c r="L814" s="3">
        <f>IF(E814&lt;&gt;"",E814-G814-H814,"")</f>
        <v>2269</v>
      </c>
    </row>
    <row r="815" spans="2:12">
      <c r="B815" s="2" t="s">
        <v>2579</v>
      </c>
      <c r="C815" s="9">
        <v>45995</v>
      </c>
      <c r="D815" s="4">
        <v>4</v>
      </c>
      <c r="E815" s="3">
        <v>1880</v>
      </c>
      <c r="F815" s="7">
        <f t="shared" si="12"/>
        <v>45995</v>
      </c>
      <c r="G815" s="3">
        <f>IF(E815&lt;&gt;"", E815*10%, "")</f>
        <v>188</v>
      </c>
      <c r="H815" s="3">
        <f>IF(E815&lt;&gt;"",ROUND(IF(E815&gt;1500,E815*5%,),0),"")</f>
        <v>94</v>
      </c>
      <c r="I815" s="2" t="s">
        <v>2925</v>
      </c>
      <c r="J815" s="3">
        <f>IF(I815="Cash",L815,"")</f>
        <v>1598</v>
      </c>
      <c r="K815" s="3" t="str">
        <f>IF(I815="UPI",L815,"")</f>
        <v/>
      </c>
      <c r="L815" s="3">
        <f>IF(E815&lt;&gt;"",E815-G815-H815,"")</f>
        <v>1598</v>
      </c>
    </row>
    <row r="816" spans="2:12">
      <c r="B816" s="2" t="s">
        <v>2580</v>
      </c>
      <c r="C816" s="9">
        <v>45995</v>
      </c>
      <c r="D816" s="4">
        <v>2</v>
      </c>
      <c r="E816" s="3">
        <v>830</v>
      </c>
      <c r="F816" s="7">
        <f t="shared" si="12"/>
        <v>45995</v>
      </c>
      <c r="G816" s="3">
        <f>IF(E816&lt;&gt;"", E816*10%, "")</f>
        <v>83</v>
      </c>
      <c r="H816" s="3">
        <f>IF(E816&lt;&gt;"",ROUND(IF(E816&gt;1500,E816*5%,),0),"")</f>
        <v>0</v>
      </c>
      <c r="I816" s="2" t="s">
        <v>2926</v>
      </c>
      <c r="J816" s="3" t="str">
        <f>IF(I816="Cash",L816,"")</f>
        <v/>
      </c>
      <c r="K816" s="3">
        <f>IF(I816="UPI",L816,"")</f>
        <v>747</v>
      </c>
      <c r="L816" s="3">
        <f>IF(E816&lt;&gt;"",E816-G816-H816,"")</f>
        <v>747</v>
      </c>
    </row>
    <row r="817" spans="2:12">
      <c r="B817" s="2" t="s">
        <v>2581</v>
      </c>
      <c r="C817" s="9">
        <v>45995</v>
      </c>
      <c r="D817" s="4">
        <v>1</v>
      </c>
      <c r="E817" s="3">
        <v>320</v>
      </c>
      <c r="F817" s="7">
        <f t="shared" si="12"/>
        <v>45995</v>
      </c>
      <c r="G817" s="3">
        <f>IF(E817&lt;&gt;"", E817*10%, "")</f>
        <v>32</v>
      </c>
      <c r="H817" s="3">
        <f>IF(E817&lt;&gt;"",ROUND(IF(E817&gt;1500,E817*5%,),0),"")</f>
        <v>0</v>
      </c>
      <c r="I817" s="2" t="s">
        <v>2926</v>
      </c>
      <c r="J817" s="3" t="str">
        <f>IF(I817="Cash",L817,"")</f>
        <v/>
      </c>
      <c r="K817" s="3">
        <f>IF(I817="UPI",L817,"")</f>
        <v>288</v>
      </c>
      <c r="L817" s="3">
        <f>IF(E817&lt;&gt;"",E817-G817-H817,"")</f>
        <v>288</v>
      </c>
    </row>
    <row r="818" spans="2:12">
      <c r="B818" s="2" t="s">
        <v>2582</v>
      </c>
      <c r="C818" s="9">
        <v>45995</v>
      </c>
      <c r="D818" s="4">
        <v>4</v>
      </c>
      <c r="E818" s="3">
        <v>3420</v>
      </c>
      <c r="F818" s="7">
        <f t="shared" si="12"/>
        <v>45995</v>
      </c>
      <c r="G818" s="3">
        <f>IF(E818&lt;&gt;"", E818*10%, "")</f>
        <v>342</v>
      </c>
      <c r="H818" s="3">
        <f>IF(E818&lt;&gt;"",ROUND(IF(E818&gt;1500,E818*5%,),0),"")</f>
        <v>171</v>
      </c>
      <c r="I818" s="2" t="s">
        <v>2928</v>
      </c>
      <c r="J818" s="3">
        <v>1000</v>
      </c>
      <c r="K818" s="3">
        <v>1907</v>
      </c>
      <c r="L818" s="3">
        <f>IF(E818&lt;&gt;"",E818-G818-H818,"")</f>
        <v>2907</v>
      </c>
    </row>
    <row r="819" spans="2:12">
      <c r="B819" s="2" t="s">
        <v>2583</v>
      </c>
      <c r="C819" s="9">
        <v>45995</v>
      </c>
      <c r="D819" s="4">
        <v>2</v>
      </c>
      <c r="E819" s="3">
        <v>1060</v>
      </c>
      <c r="F819" s="7">
        <f t="shared" si="12"/>
        <v>45995</v>
      </c>
      <c r="G819" s="3">
        <f>IF(E819&lt;&gt;"", E819*10%, "")</f>
        <v>106</v>
      </c>
      <c r="H819" s="3">
        <f>IF(E819&lt;&gt;"",ROUND(IF(E819&gt;1500,E819*5%,),0),"")</f>
        <v>0</v>
      </c>
      <c r="I819" s="2" t="s">
        <v>2926</v>
      </c>
      <c r="J819" s="3" t="str">
        <f>IF(I819="Cash",L819,"")</f>
        <v/>
      </c>
      <c r="K819" s="3">
        <f>IF(I819="UPI",L819,"")</f>
        <v>954</v>
      </c>
      <c r="L819" s="3">
        <f>IF(E819&lt;&gt;"",E819-G819-H819,"")</f>
        <v>954</v>
      </c>
    </row>
    <row r="820" spans="2:12">
      <c r="B820" s="2" t="s">
        <v>2584</v>
      </c>
      <c r="C820" s="9">
        <v>45995</v>
      </c>
      <c r="D820" s="4">
        <v>1</v>
      </c>
      <c r="E820" s="3">
        <v>110</v>
      </c>
      <c r="F820" s="7">
        <f t="shared" si="12"/>
        <v>45995</v>
      </c>
      <c r="G820" s="3">
        <f>IF(E820&lt;&gt;"", E820*10%, "")</f>
        <v>11</v>
      </c>
      <c r="H820" s="3">
        <f>IF(E820&lt;&gt;"",ROUND(IF(E820&gt;1500,E820*5%,),0),"")</f>
        <v>0</v>
      </c>
      <c r="I820" s="2" t="s">
        <v>2926</v>
      </c>
      <c r="J820" s="3" t="str">
        <f>IF(I820="Cash",L820,"")</f>
        <v/>
      </c>
      <c r="K820" s="3">
        <f>IF(I820="UPI",L820,"")</f>
        <v>99</v>
      </c>
      <c r="L820" s="3">
        <f>IF(E820&lt;&gt;"",E820-G820-H820,"")</f>
        <v>99</v>
      </c>
    </row>
    <row r="821" spans="2:12">
      <c r="B821" s="2" t="s">
        <v>2585</v>
      </c>
      <c r="C821" s="9">
        <v>45995</v>
      </c>
      <c r="D821" s="4">
        <v>3</v>
      </c>
      <c r="E821" s="3">
        <v>860</v>
      </c>
      <c r="F821" s="7">
        <f t="shared" si="12"/>
        <v>45995</v>
      </c>
      <c r="G821" s="3">
        <f>IF(E821&lt;&gt;"", E821*10%, "")</f>
        <v>86</v>
      </c>
      <c r="H821" s="3">
        <f>IF(E821&lt;&gt;"",ROUND(IF(E821&gt;1500,E821*5%,),0),"")</f>
        <v>0</v>
      </c>
      <c r="I821" s="2" t="s">
        <v>2926</v>
      </c>
      <c r="J821" s="3" t="str">
        <f>IF(I821="Cash",L821,"")</f>
        <v/>
      </c>
      <c r="K821" s="3">
        <f>IF(I821="UPI",L821,"")</f>
        <v>774</v>
      </c>
      <c r="L821" s="3">
        <f>IF(E821&lt;&gt;"",E821-G821-H821,"")</f>
        <v>774</v>
      </c>
    </row>
    <row r="822" spans="2:12">
      <c r="B822" s="2" t="s">
        <v>2586</v>
      </c>
      <c r="C822" s="9">
        <v>45996</v>
      </c>
      <c r="D822" s="4">
        <v>1</v>
      </c>
      <c r="E822" s="3">
        <v>890</v>
      </c>
      <c r="F822" s="7">
        <f t="shared" si="12"/>
        <v>45996</v>
      </c>
      <c r="G822" s="3">
        <f>IF(E822&lt;&gt;"", E822*10%, "")</f>
        <v>89</v>
      </c>
      <c r="H822" s="3">
        <f>IF(E822&lt;&gt;"",ROUND(IF(E822&gt;1500,E822*5%,),0),"")</f>
        <v>0</v>
      </c>
      <c r="I822" s="2" t="s">
        <v>2926</v>
      </c>
      <c r="J822" s="3" t="str">
        <f>IF(I822="Cash",L822,"")</f>
        <v/>
      </c>
      <c r="K822" s="3">
        <f>IF(I822="UPI",L822,"")</f>
        <v>801</v>
      </c>
      <c r="L822" s="3">
        <f>IF(E822&lt;&gt;"",E822-G822-H822,"")</f>
        <v>801</v>
      </c>
    </row>
    <row r="823" spans="2:12">
      <c r="B823" s="2" t="s">
        <v>2587</v>
      </c>
      <c r="C823" s="9">
        <v>45996</v>
      </c>
      <c r="D823" s="4">
        <v>2</v>
      </c>
      <c r="E823" s="3">
        <v>230</v>
      </c>
      <c r="F823" s="7">
        <f t="shared" si="12"/>
        <v>45996</v>
      </c>
      <c r="G823" s="3">
        <f>IF(E823&lt;&gt;"", E823*10%, "")</f>
        <v>23</v>
      </c>
      <c r="H823" s="3">
        <f>IF(E823&lt;&gt;"",ROUND(IF(E823&gt;1500,E823*5%,),0),"")</f>
        <v>0</v>
      </c>
      <c r="I823" s="2" t="s">
        <v>2926</v>
      </c>
      <c r="J823" s="3" t="str">
        <f>IF(I823="Cash",L823,"")</f>
        <v/>
      </c>
      <c r="K823" s="3">
        <f>IF(I823="UPI",L823,"")</f>
        <v>207</v>
      </c>
      <c r="L823" s="3">
        <f>IF(E823&lt;&gt;"",E823-G823-H823,"")</f>
        <v>207</v>
      </c>
    </row>
    <row r="824" spans="2:12">
      <c r="B824" s="2" t="s">
        <v>2588</v>
      </c>
      <c r="C824" s="9">
        <v>45996</v>
      </c>
      <c r="D824" s="4">
        <v>4</v>
      </c>
      <c r="E824" s="3">
        <v>2560</v>
      </c>
      <c r="F824" s="7">
        <f t="shared" si="12"/>
        <v>45996</v>
      </c>
      <c r="G824" s="3">
        <f>IF(E824&lt;&gt;"", E824*10%, "")</f>
        <v>256</v>
      </c>
      <c r="H824" s="3">
        <f>IF(E824&lt;&gt;"",ROUND(IF(E824&gt;1500,E824*5%,),0),"")</f>
        <v>128</v>
      </c>
      <c r="I824" s="2" t="s">
        <v>2925</v>
      </c>
      <c r="J824" s="3">
        <f>IF(I824="Cash",L824,"")</f>
        <v>2176</v>
      </c>
      <c r="K824" s="3" t="str">
        <f>IF(I824="UPI",L824,"")</f>
        <v/>
      </c>
      <c r="L824" s="3">
        <f>IF(E824&lt;&gt;"",E824-G824-H824,"")</f>
        <v>2176</v>
      </c>
    </row>
    <row r="825" spans="2:12">
      <c r="B825" s="2" t="s">
        <v>2589</v>
      </c>
      <c r="C825" s="9">
        <v>45996</v>
      </c>
      <c r="D825" s="4">
        <v>4</v>
      </c>
      <c r="E825" s="3">
        <v>2110</v>
      </c>
      <c r="F825" s="7">
        <f t="shared" si="12"/>
        <v>45996</v>
      </c>
      <c r="G825" s="3">
        <f>IF(E825&lt;&gt;"", E825*10%, "")</f>
        <v>211</v>
      </c>
      <c r="H825" s="3">
        <f>IF(E825&lt;&gt;"",ROUND(IF(E825&gt;1500,E825*5%,),0),"")</f>
        <v>106</v>
      </c>
      <c r="I825" s="2" t="s">
        <v>2925</v>
      </c>
      <c r="J825" s="3">
        <f>IF(I825="Cash",L825,"")</f>
        <v>1793</v>
      </c>
      <c r="K825" s="3" t="str">
        <f>IF(I825="UPI",L825,"")</f>
        <v/>
      </c>
      <c r="L825" s="3">
        <f>IF(E825&lt;&gt;"",E825-G825-H825,"")</f>
        <v>1793</v>
      </c>
    </row>
    <row r="826" spans="2:12">
      <c r="B826" s="2" t="s">
        <v>2590</v>
      </c>
      <c r="C826" s="9">
        <v>45996</v>
      </c>
      <c r="D826" s="4">
        <v>4</v>
      </c>
      <c r="E826" s="3">
        <v>2850</v>
      </c>
      <c r="F826" s="7">
        <f t="shared" si="12"/>
        <v>45996</v>
      </c>
      <c r="G826" s="3">
        <f>IF(E826&lt;&gt;"", E826*10%, "")</f>
        <v>285</v>
      </c>
      <c r="H826" s="3">
        <f>IF(E826&lt;&gt;"",ROUND(IF(E826&gt;1500,E826*5%,),0),"")</f>
        <v>143</v>
      </c>
      <c r="I826" s="2" t="s">
        <v>2928</v>
      </c>
      <c r="J826" s="3">
        <v>1700</v>
      </c>
      <c r="K826" s="3">
        <v>722</v>
      </c>
      <c r="L826" s="3">
        <f>IF(E826&lt;&gt;"",E826-G826-H826,"")</f>
        <v>2422</v>
      </c>
    </row>
    <row r="827" spans="2:12">
      <c r="B827" s="2" t="s">
        <v>2591</v>
      </c>
      <c r="C827" s="9">
        <v>45996</v>
      </c>
      <c r="D827" s="4">
        <v>1</v>
      </c>
      <c r="E827" s="3">
        <v>780</v>
      </c>
      <c r="F827" s="7">
        <f t="shared" si="12"/>
        <v>45996</v>
      </c>
      <c r="G827" s="3">
        <f>IF(E827&lt;&gt;"", E827*10%, "")</f>
        <v>78</v>
      </c>
      <c r="H827" s="3">
        <f>IF(E827&lt;&gt;"",ROUND(IF(E827&gt;1500,E827*5%,),0),"")</f>
        <v>0</v>
      </c>
      <c r="I827" s="2" t="s">
        <v>2926</v>
      </c>
      <c r="J827" s="3" t="str">
        <f>IF(I827="Cash",L827,"")</f>
        <v/>
      </c>
      <c r="K827" s="3">
        <f>IF(I827="UPI",L827,"")</f>
        <v>702</v>
      </c>
      <c r="L827" s="3">
        <f>IF(E827&lt;&gt;"",E827-G827-H827,"")</f>
        <v>702</v>
      </c>
    </row>
    <row r="828" spans="2:12">
      <c r="B828" s="2" t="s">
        <v>2592</v>
      </c>
      <c r="C828" s="9">
        <v>45996</v>
      </c>
      <c r="D828" s="4">
        <v>4</v>
      </c>
      <c r="E828" s="3">
        <v>1870</v>
      </c>
      <c r="F828" s="7">
        <f t="shared" si="12"/>
        <v>45996</v>
      </c>
      <c r="G828" s="3">
        <f>IF(E828&lt;&gt;"", E828*10%, "")</f>
        <v>187</v>
      </c>
      <c r="H828" s="3">
        <f>IF(E828&lt;&gt;"",ROUND(IF(E828&gt;1500,E828*5%,),0),"")</f>
        <v>94</v>
      </c>
      <c r="I828" s="2" t="s">
        <v>2925</v>
      </c>
      <c r="J828" s="3">
        <f>IF(I828="Cash",L828,"")</f>
        <v>1589</v>
      </c>
      <c r="K828" s="3" t="str">
        <f>IF(I828="UPI",L828,"")</f>
        <v/>
      </c>
      <c r="L828" s="3">
        <f>IF(E828&lt;&gt;"",E828-G828-H828,"")</f>
        <v>1589</v>
      </c>
    </row>
    <row r="829" spans="2:12">
      <c r="B829" s="2" t="s">
        <v>2593</v>
      </c>
      <c r="C829" s="9">
        <v>45996</v>
      </c>
      <c r="D829" s="4">
        <v>3</v>
      </c>
      <c r="E829" s="3">
        <v>1490</v>
      </c>
      <c r="F829" s="7">
        <f t="shared" si="12"/>
        <v>45996</v>
      </c>
      <c r="G829" s="3">
        <f>IF(E829&lt;&gt;"", E829*10%, "")</f>
        <v>149</v>
      </c>
      <c r="H829" s="3">
        <f>IF(E829&lt;&gt;"",ROUND(IF(E829&gt;1500,E829*5%,),0),"")</f>
        <v>0</v>
      </c>
      <c r="I829" s="2" t="s">
        <v>2926</v>
      </c>
      <c r="J829" s="3" t="str">
        <f>IF(I829="Cash",L829,"")</f>
        <v/>
      </c>
      <c r="K829" s="3">
        <f>IF(I829="UPI",L829,"")</f>
        <v>1341</v>
      </c>
      <c r="L829" s="3">
        <f>IF(E829&lt;&gt;"",E829-G829-H829,"")</f>
        <v>1341</v>
      </c>
    </row>
    <row r="830" spans="2:12">
      <c r="B830" s="2" t="s">
        <v>2594</v>
      </c>
      <c r="C830" s="9">
        <v>45996</v>
      </c>
      <c r="D830" s="4">
        <v>3</v>
      </c>
      <c r="E830" s="3">
        <v>1890</v>
      </c>
      <c r="F830" s="7">
        <f t="shared" si="12"/>
        <v>45996</v>
      </c>
      <c r="G830" s="3">
        <f>IF(E830&lt;&gt;"", E830*10%, "")</f>
        <v>189</v>
      </c>
      <c r="H830" s="3">
        <f>IF(E830&lt;&gt;"",ROUND(IF(E830&gt;1500,E830*5%,),0),"")</f>
        <v>95</v>
      </c>
      <c r="I830" s="2" t="s">
        <v>2925</v>
      </c>
      <c r="J830" s="3">
        <f>IF(I830="Cash",L830,"")</f>
        <v>1606</v>
      </c>
      <c r="K830" s="3" t="str">
        <f>IF(I830="UPI",L830,"")</f>
        <v/>
      </c>
      <c r="L830" s="3">
        <f>IF(E830&lt;&gt;"",E830-G830-H830,"")</f>
        <v>1606</v>
      </c>
    </row>
    <row r="831" spans="2:12">
      <c r="B831" s="2" t="s">
        <v>2595</v>
      </c>
      <c r="C831" s="9">
        <v>45996</v>
      </c>
      <c r="D831" s="4">
        <v>3</v>
      </c>
      <c r="E831" s="3">
        <v>2120</v>
      </c>
      <c r="F831" s="7">
        <f t="shared" si="12"/>
        <v>45996</v>
      </c>
      <c r="G831" s="3">
        <f>IF(E831&lt;&gt;"", E831*10%, "")</f>
        <v>212</v>
      </c>
      <c r="H831" s="3">
        <f>IF(E831&lt;&gt;"",ROUND(IF(E831&gt;1500,E831*5%,),0),"")</f>
        <v>106</v>
      </c>
      <c r="I831" s="2" t="s">
        <v>2925</v>
      </c>
      <c r="J831" s="3">
        <f>IF(I831="Cash",L831,"")</f>
        <v>1802</v>
      </c>
      <c r="K831" s="3" t="str">
        <f>IF(I831="UPI",L831,"")</f>
        <v/>
      </c>
      <c r="L831" s="3">
        <f>IF(E831&lt;&gt;"",E831-G831-H831,"")</f>
        <v>1802</v>
      </c>
    </row>
    <row r="832" spans="2:12">
      <c r="B832" s="2" t="s">
        <v>2596</v>
      </c>
      <c r="C832" s="9">
        <v>45996</v>
      </c>
      <c r="D832" s="4">
        <v>2</v>
      </c>
      <c r="E832" s="3">
        <v>420</v>
      </c>
      <c r="F832" s="7">
        <f t="shared" si="12"/>
        <v>45996</v>
      </c>
      <c r="G832" s="3">
        <f>IF(E832&lt;&gt;"", E832*10%, "")</f>
        <v>42</v>
      </c>
      <c r="H832" s="3">
        <f>IF(E832&lt;&gt;"",ROUND(IF(E832&gt;1500,E832*5%,),0),"")</f>
        <v>0</v>
      </c>
      <c r="I832" s="2" t="s">
        <v>2926</v>
      </c>
      <c r="J832" s="3" t="str">
        <f>IF(I832="Cash",L832,"")</f>
        <v/>
      </c>
      <c r="K832" s="3">
        <f>IF(I832="UPI",L832,"")</f>
        <v>378</v>
      </c>
      <c r="L832" s="3">
        <f>IF(E832&lt;&gt;"",E832-G832-H832,"")</f>
        <v>378</v>
      </c>
    </row>
    <row r="833" spans="2:12">
      <c r="B833" s="2" t="s">
        <v>2597</v>
      </c>
      <c r="C833" s="9">
        <v>45996</v>
      </c>
      <c r="D833" s="4">
        <v>1</v>
      </c>
      <c r="E833" s="3">
        <v>860</v>
      </c>
      <c r="F833" s="7">
        <f t="shared" si="12"/>
        <v>45996</v>
      </c>
      <c r="G833" s="3">
        <f>IF(E833&lt;&gt;"", E833*10%, "")</f>
        <v>86</v>
      </c>
      <c r="H833" s="3">
        <f>IF(E833&lt;&gt;"",ROUND(IF(E833&gt;1500,E833*5%,),0),"")</f>
        <v>0</v>
      </c>
      <c r="I833" s="2" t="s">
        <v>2926</v>
      </c>
      <c r="J833" s="3" t="str">
        <f>IF(I833="Cash",L833,"")</f>
        <v/>
      </c>
      <c r="K833" s="3">
        <f>IF(I833="UPI",L833,"")</f>
        <v>774</v>
      </c>
      <c r="L833" s="3">
        <f>IF(E833&lt;&gt;"",E833-G833-H833,"")</f>
        <v>774</v>
      </c>
    </row>
    <row r="834" spans="2:12">
      <c r="B834" s="2" t="s">
        <v>2598</v>
      </c>
      <c r="C834" s="9">
        <v>45996</v>
      </c>
      <c r="D834" s="4">
        <v>4</v>
      </c>
      <c r="E834" s="3">
        <v>1910</v>
      </c>
      <c r="F834" s="7">
        <f t="shared" si="12"/>
        <v>45996</v>
      </c>
      <c r="G834" s="3">
        <f>IF(E834&lt;&gt;"", E834*10%, "")</f>
        <v>191</v>
      </c>
      <c r="H834" s="3">
        <f>IF(E834&lt;&gt;"",ROUND(IF(E834&gt;1500,E834*5%,),0),"")</f>
        <v>96</v>
      </c>
      <c r="I834" s="2" t="s">
        <v>2925</v>
      </c>
      <c r="J834" s="3">
        <f>IF(I834="Cash",L834,"")</f>
        <v>1623</v>
      </c>
      <c r="K834" s="3" t="str">
        <f>IF(I834="UPI",L834,"")</f>
        <v/>
      </c>
      <c r="L834" s="3">
        <f>IF(E834&lt;&gt;"",E834-G834-H834,"")</f>
        <v>1623</v>
      </c>
    </row>
    <row r="835" spans="2:12">
      <c r="B835" s="2" t="s">
        <v>2599</v>
      </c>
      <c r="C835" s="9">
        <v>45997</v>
      </c>
      <c r="D835" s="4">
        <v>2</v>
      </c>
      <c r="E835" s="3">
        <v>1780</v>
      </c>
      <c r="F835" s="7">
        <f t="shared" si="12"/>
        <v>45997</v>
      </c>
      <c r="G835" s="3">
        <f>IF(E835&lt;&gt;"", E835*10%, "")</f>
        <v>178</v>
      </c>
      <c r="H835" s="3">
        <f>IF(E835&lt;&gt;"",ROUND(IF(E835&gt;1500,E835*5%,),0),"")</f>
        <v>89</v>
      </c>
      <c r="I835" s="2" t="s">
        <v>2925</v>
      </c>
      <c r="J835" s="3">
        <f>IF(I835="Cash",L835,"")</f>
        <v>1513</v>
      </c>
      <c r="K835" s="3" t="str">
        <f>IF(I835="UPI",L835,"")</f>
        <v/>
      </c>
      <c r="L835" s="3">
        <f>IF(E835&lt;&gt;"",E835-G835-H835,"")</f>
        <v>1513</v>
      </c>
    </row>
    <row r="836" spans="2:12">
      <c r="B836" s="2" t="s">
        <v>2600</v>
      </c>
      <c r="C836" s="9">
        <v>45997</v>
      </c>
      <c r="D836" s="4">
        <v>1</v>
      </c>
      <c r="E836" s="3">
        <v>930</v>
      </c>
      <c r="F836" s="7">
        <f t="shared" si="12"/>
        <v>45997</v>
      </c>
      <c r="G836" s="3">
        <f>IF(E836&lt;&gt;"", E836*10%, "")</f>
        <v>93</v>
      </c>
      <c r="H836" s="3">
        <f>IF(E836&lt;&gt;"",ROUND(IF(E836&gt;1500,E836*5%,),0),"")</f>
        <v>0</v>
      </c>
      <c r="I836" s="2" t="s">
        <v>2926</v>
      </c>
      <c r="J836" s="3" t="str">
        <f>IF(I836="Cash",L836,"")</f>
        <v/>
      </c>
      <c r="K836" s="3">
        <f>IF(I836="UPI",L836,"")</f>
        <v>837</v>
      </c>
      <c r="L836" s="3">
        <f>IF(E836&lt;&gt;"",E836-G836-H836,"")</f>
        <v>837</v>
      </c>
    </row>
    <row r="837" spans="2:12">
      <c r="B837" s="2" t="s">
        <v>2601</v>
      </c>
      <c r="C837" s="9">
        <v>45997</v>
      </c>
      <c r="D837" s="4">
        <v>4</v>
      </c>
      <c r="E837" s="3">
        <v>1720</v>
      </c>
      <c r="F837" s="7">
        <f t="shared" ref="F837:F900" si="13">C837</f>
        <v>45997</v>
      </c>
      <c r="G837" s="3">
        <f>IF(E837&lt;&gt;"", E837*10%, "")</f>
        <v>172</v>
      </c>
      <c r="H837" s="3">
        <f>IF(E837&lt;&gt;"",ROUND(IF(E837&gt;1500,E837*5%,),0),"")</f>
        <v>86</v>
      </c>
      <c r="I837" s="2" t="s">
        <v>2925</v>
      </c>
      <c r="J837" s="3">
        <f>IF(I837="Cash",L837,"")</f>
        <v>1462</v>
      </c>
      <c r="K837" s="3" t="str">
        <f>IF(I837="UPI",L837,"")</f>
        <v/>
      </c>
      <c r="L837" s="3">
        <f>IF(E837&lt;&gt;"",E837-G837-H837,"")</f>
        <v>1462</v>
      </c>
    </row>
    <row r="838" spans="2:12">
      <c r="B838" s="2" t="s">
        <v>2602</v>
      </c>
      <c r="C838" s="9">
        <v>45997</v>
      </c>
      <c r="D838" s="4">
        <v>1</v>
      </c>
      <c r="E838" s="3">
        <v>740</v>
      </c>
      <c r="F838" s="7">
        <f t="shared" si="13"/>
        <v>45997</v>
      </c>
      <c r="G838" s="3">
        <f>IF(E838&lt;&gt;"", E838*10%, "")</f>
        <v>74</v>
      </c>
      <c r="H838" s="3">
        <f>IF(E838&lt;&gt;"",ROUND(IF(E838&gt;1500,E838*5%,),0),"")</f>
        <v>0</v>
      </c>
      <c r="I838" s="2" t="s">
        <v>2926</v>
      </c>
      <c r="J838" s="3" t="str">
        <f>IF(I838="Cash",L838,"")</f>
        <v/>
      </c>
      <c r="K838" s="3">
        <f>IF(I838="UPI",L838,"")</f>
        <v>666</v>
      </c>
      <c r="L838" s="3">
        <f>IF(E838&lt;&gt;"",E838-G838-H838,"")</f>
        <v>666</v>
      </c>
    </row>
    <row r="839" spans="2:12">
      <c r="B839" s="2" t="s">
        <v>2603</v>
      </c>
      <c r="C839" s="9">
        <v>45997</v>
      </c>
      <c r="D839" s="4">
        <v>2</v>
      </c>
      <c r="E839" s="3">
        <v>1280</v>
      </c>
      <c r="F839" s="7">
        <f t="shared" si="13"/>
        <v>45997</v>
      </c>
      <c r="G839" s="3">
        <f>IF(E839&lt;&gt;"", E839*10%, "")</f>
        <v>128</v>
      </c>
      <c r="H839" s="3">
        <f>IF(E839&lt;&gt;"",ROUND(IF(E839&gt;1500,E839*5%,),0),"")</f>
        <v>0</v>
      </c>
      <c r="I839" s="2" t="s">
        <v>2926</v>
      </c>
      <c r="J839" s="3" t="str">
        <f>IF(I839="Cash",L839,"")</f>
        <v/>
      </c>
      <c r="K839" s="3">
        <f>IF(I839="UPI",L839,"")</f>
        <v>1152</v>
      </c>
      <c r="L839" s="3">
        <f>IF(E839&lt;&gt;"",E839-G839-H839,"")</f>
        <v>1152</v>
      </c>
    </row>
    <row r="840" spans="2:12">
      <c r="B840" s="2" t="s">
        <v>2604</v>
      </c>
      <c r="C840" s="9">
        <v>45997</v>
      </c>
      <c r="D840" s="4">
        <v>3</v>
      </c>
      <c r="E840" s="3">
        <v>2100</v>
      </c>
      <c r="F840" s="7">
        <f t="shared" si="13"/>
        <v>45997</v>
      </c>
      <c r="G840" s="3">
        <f>IF(E840&lt;&gt;"", E840*10%, "")</f>
        <v>210</v>
      </c>
      <c r="H840" s="3">
        <f>IF(E840&lt;&gt;"",ROUND(IF(E840&gt;1500,E840*5%,),0),"")</f>
        <v>105</v>
      </c>
      <c r="I840" s="2" t="s">
        <v>2925</v>
      </c>
      <c r="J840" s="3">
        <f>IF(I840="Cash",L840,"")</f>
        <v>1785</v>
      </c>
      <c r="K840" s="3" t="str">
        <f>IF(I840="UPI",L840,"")</f>
        <v/>
      </c>
      <c r="L840" s="3">
        <f>IF(E840&lt;&gt;"",E840-G840-H840,"")</f>
        <v>1785</v>
      </c>
    </row>
    <row r="841" spans="2:12">
      <c r="B841" s="2" t="s">
        <v>2605</v>
      </c>
      <c r="C841" s="9">
        <v>45997</v>
      </c>
      <c r="D841" s="4">
        <v>2</v>
      </c>
      <c r="E841" s="3">
        <v>1660</v>
      </c>
      <c r="F841" s="7">
        <f t="shared" si="13"/>
        <v>45997</v>
      </c>
      <c r="G841" s="3">
        <f>IF(E841&lt;&gt;"", E841*10%, "")</f>
        <v>166</v>
      </c>
      <c r="H841" s="3">
        <f>IF(E841&lt;&gt;"",ROUND(IF(E841&gt;1500,E841*5%,),0),"")</f>
        <v>83</v>
      </c>
      <c r="I841" s="2" t="s">
        <v>2926</v>
      </c>
      <c r="J841" s="3" t="str">
        <f>IF(I841="Cash",L841,"")</f>
        <v/>
      </c>
      <c r="K841" s="3">
        <f>IF(I841="UPI",L841,"")</f>
        <v>1411</v>
      </c>
      <c r="L841" s="3">
        <f>IF(E841&lt;&gt;"",E841-G841-H841,"")</f>
        <v>1411</v>
      </c>
    </row>
    <row r="842" spans="2:12">
      <c r="B842" s="2" t="s">
        <v>2606</v>
      </c>
      <c r="C842" s="9">
        <v>45997</v>
      </c>
      <c r="D842" s="4">
        <v>3</v>
      </c>
      <c r="E842" s="3">
        <v>1060</v>
      </c>
      <c r="F842" s="7">
        <f t="shared" si="13"/>
        <v>45997</v>
      </c>
      <c r="G842" s="3">
        <f>IF(E842&lt;&gt;"", E842*10%, "")</f>
        <v>106</v>
      </c>
      <c r="H842" s="3">
        <f>IF(E842&lt;&gt;"",ROUND(IF(E842&gt;1500,E842*5%,),0),"")</f>
        <v>0</v>
      </c>
      <c r="I842" s="2" t="s">
        <v>2926</v>
      </c>
      <c r="J842" s="3" t="str">
        <f>IF(I842="Cash",L842,"")</f>
        <v/>
      </c>
      <c r="K842" s="3">
        <f>IF(I842="UPI",L842,"")</f>
        <v>954</v>
      </c>
      <c r="L842" s="3">
        <f>IF(E842&lt;&gt;"",E842-G842-H842,"")</f>
        <v>954</v>
      </c>
    </row>
    <row r="843" spans="2:12">
      <c r="B843" s="2" t="s">
        <v>2607</v>
      </c>
      <c r="C843" s="9">
        <v>45997</v>
      </c>
      <c r="D843" s="4">
        <v>2</v>
      </c>
      <c r="E843" s="3">
        <v>790</v>
      </c>
      <c r="F843" s="7">
        <f t="shared" si="13"/>
        <v>45997</v>
      </c>
      <c r="G843" s="3">
        <f>IF(E843&lt;&gt;"", E843*10%, "")</f>
        <v>79</v>
      </c>
      <c r="H843" s="3">
        <f>IF(E843&lt;&gt;"",ROUND(IF(E843&gt;1500,E843*5%,),0),"")</f>
        <v>0</v>
      </c>
      <c r="I843" s="2" t="s">
        <v>2926</v>
      </c>
      <c r="J843" s="3" t="str">
        <f>IF(I843="Cash",L843,"")</f>
        <v/>
      </c>
      <c r="K843" s="3">
        <f>IF(I843="UPI",L843,"")</f>
        <v>711</v>
      </c>
      <c r="L843" s="3">
        <f>IF(E843&lt;&gt;"",E843-G843-H843,"")</f>
        <v>711</v>
      </c>
    </row>
    <row r="844" spans="2:12">
      <c r="B844" s="2" t="s">
        <v>2608</v>
      </c>
      <c r="C844" s="9">
        <v>45997</v>
      </c>
      <c r="D844" s="4">
        <v>2</v>
      </c>
      <c r="E844" s="3">
        <v>1030</v>
      </c>
      <c r="F844" s="7">
        <f t="shared" si="13"/>
        <v>45997</v>
      </c>
      <c r="G844" s="3">
        <f>IF(E844&lt;&gt;"", E844*10%, "")</f>
        <v>103</v>
      </c>
      <c r="H844" s="3">
        <f>IF(E844&lt;&gt;"",ROUND(IF(E844&gt;1500,E844*5%,),0),"")</f>
        <v>0</v>
      </c>
      <c r="I844" s="2" t="s">
        <v>2926</v>
      </c>
      <c r="J844" s="3" t="str">
        <f>IF(I844="Cash",L844,"")</f>
        <v/>
      </c>
      <c r="K844" s="3">
        <f>IF(I844="UPI",L844,"")</f>
        <v>927</v>
      </c>
      <c r="L844" s="3">
        <f>IF(E844&lt;&gt;"",E844-G844-H844,"")</f>
        <v>927</v>
      </c>
    </row>
    <row r="845" spans="2:12">
      <c r="B845" s="2" t="s">
        <v>2609</v>
      </c>
      <c r="C845" s="9">
        <v>45997</v>
      </c>
      <c r="D845" s="4">
        <v>1</v>
      </c>
      <c r="E845" s="3">
        <v>170</v>
      </c>
      <c r="F845" s="7">
        <f t="shared" si="13"/>
        <v>45997</v>
      </c>
      <c r="G845" s="3">
        <f>IF(E845&lt;&gt;"", E845*10%, "")</f>
        <v>17</v>
      </c>
      <c r="H845" s="3">
        <f>IF(E845&lt;&gt;"",ROUND(IF(E845&gt;1500,E845*5%,),0),"")</f>
        <v>0</v>
      </c>
      <c r="I845" s="2" t="s">
        <v>2926</v>
      </c>
      <c r="J845" s="3" t="str">
        <f>IF(I845="Cash",L845,"")</f>
        <v/>
      </c>
      <c r="K845" s="3">
        <f>IF(I845="UPI",L845,"")</f>
        <v>153</v>
      </c>
      <c r="L845" s="3">
        <f>IF(E845&lt;&gt;"",E845-G845-H845,"")</f>
        <v>153</v>
      </c>
    </row>
    <row r="846" spans="2:12">
      <c r="B846" s="2" t="s">
        <v>2610</v>
      </c>
      <c r="C846" s="9">
        <v>45997</v>
      </c>
      <c r="D846" s="4">
        <v>2</v>
      </c>
      <c r="E846" s="3">
        <v>880</v>
      </c>
      <c r="F846" s="7">
        <f t="shared" si="13"/>
        <v>45997</v>
      </c>
      <c r="G846" s="3">
        <f>IF(E846&lt;&gt;"", E846*10%, "")</f>
        <v>88</v>
      </c>
      <c r="H846" s="3">
        <f>IF(E846&lt;&gt;"",ROUND(IF(E846&gt;1500,E846*5%,),0),"")</f>
        <v>0</v>
      </c>
      <c r="I846" s="2" t="s">
        <v>2926</v>
      </c>
      <c r="J846" s="3" t="str">
        <f>IF(I846="Cash",L846,"")</f>
        <v/>
      </c>
      <c r="K846" s="3">
        <f>IF(I846="UPI",L846,"")</f>
        <v>792</v>
      </c>
      <c r="L846" s="3">
        <f>IF(E846&lt;&gt;"",E846-G846-H846,"")</f>
        <v>792</v>
      </c>
    </row>
    <row r="847" spans="2:12">
      <c r="B847" s="2" t="s">
        <v>2611</v>
      </c>
      <c r="C847" s="9">
        <v>45997</v>
      </c>
      <c r="D847" s="4">
        <v>3</v>
      </c>
      <c r="E847" s="3">
        <v>1650</v>
      </c>
      <c r="F847" s="7">
        <f t="shared" si="13"/>
        <v>45997</v>
      </c>
      <c r="G847" s="3">
        <f>IF(E847&lt;&gt;"", E847*10%, "")</f>
        <v>165</v>
      </c>
      <c r="H847" s="3">
        <f>IF(E847&lt;&gt;"",ROUND(IF(E847&gt;1500,E847*5%,),0),"")</f>
        <v>83</v>
      </c>
      <c r="I847" s="2" t="s">
        <v>2926</v>
      </c>
      <c r="J847" s="3" t="str">
        <f>IF(I847="Cash",L847,"")</f>
        <v/>
      </c>
      <c r="K847" s="3">
        <f>IF(I847="UPI",L847,"")</f>
        <v>1402</v>
      </c>
      <c r="L847" s="3">
        <f>IF(E847&lt;&gt;"",E847-G847-H847,"")</f>
        <v>1402</v>
      </c>
    </row>
    <row r="848" spans="2:12">
      <c r="B848" s="2" t="s">
        <v>2612</v>
      </c>
      <c r="C848" s="9">
        <v>45997</v>
      </c>
      <c r="D848" s="4">
        <v>3</v>
      </c>
      <c r="E848" s="3">
        <v>2520</v>
      </c>
      <c r="F848" s="7">
        <f t="shared" si="13"/>
        <v>45997</v>
      </c>
      <c r="G848" s="3">
        <f>IF(E848&lt;&gt;"", E848*10%, "")</f>
        <v>252</v>
      </c>
      <c r="H848" s="3">
        <f>IF(E848&lt;&gt;"",ROUND(IF(E848&gt;1500,E848*5%,),0),"")</f>
        <v>126</v>
      </c>
      <c r="I848" s="2" t="s">
        <v>2925</v>
      </c>
      <c r="J848" s="3">
        <f>IF(I848="Cash",L848,"")</f>
        <v>2142</v>
      </c>
      <c r="K848" s="3" t="str">
        <f>IF(I848="UPI",L848,"")</f>
        <v/>
      </c>
      <c r="L848" s="3">
        <f>IF(E848&lt;&gt;"",E848-G848-H848,"")</f>
        <v>2142</v>
      </c>
    </row>
    <row r="849" spans="2:12">
      <c r="B849" s="2" t="s">
        <v>2613</v>
      </c>
      <c r="C849" s="9">
        <v>45997</v>
      </c>
      <c r="D849" s="4">
        <v>2</v>
      </c>
      <c r="E849" s="3">
        <v>1560</v>
      </c>
      <c r="F849" s="7">
        <f t="shared" si="13"/>
        <v>45997</v>
      </c>
      <c r="G849" s="3">
        <f>IF(E849&lt;&gt;"", E849*10%, "")</f>
        <v>156</v>
      </c>
      <c r="H849" s="3">
        <f>IF(E849&lt;&gt;"",ROUND(IF(E849&gt;1500,E849*5%,),0),"")</f>
        <v>78</v>
      </c>
      <c r="I849" s="2" t="s">
        <v>2926</v>
      </c>
      <c r="J849" s="3" t="str">
        <f>IF(I849="Cash",L849,"")</f>
        <v/>
      </c>
      <c r="K849" s="3">
        <f>IF(I849="UPI",L849,"")</f>
        <v>1326</v>
      </c>
      <c r="L849" s="3">
        <f>IF(E849&lt;&gt;"",E849-G849-H849,"")</f>
        <v>1326</v>
      </c>
    </row>
    <row r="850" spans="2:12">
      <c r="B850" s="2" t="s">
        <v>2614</v>
      </c>
      <c r="C850" s="9">
        <v>45997</v>
      </c>
      <c r="D850" s="4">
        <v>1</v>
      </c>
      <c r="E850" s="3">
        <v>650</v>
      </c>
      <c r="F850" s="7">
        <f t="shared" si="13"/>
        <v>45997</v>
      </c>
      <c r="G850" s="3">
        <f>IF(E850&lt;&gt;"", E850*10%, "")</f>
        <v>65</v>
      </c>
      <c r="H850" s="3">
        <f>IF(E850&lt;&gt;"",ROUND(IF(E850&gt;1500,E850*5%,),0),"")</f>
        <v>0</v>
      </c>
      <c r="I850" s="2" t="s">
        <v>2926</v>
      </c>
      <c r="J850" s="3" t="str">
        <f>IF(I850="Cash",L850,"")</f>
        <v/>
      </c>
      <c r="K850" s="3">
        <f>IF(I850="UPI",L850,"")</f>
        <v>585</v>
      </c>
      <c r="L850" s="3">
        <f>IF(E850&lt;&gt;"",E850-G850-H850,"")</f>
        <v>585</v>
      </c>
    </row>
    <row r="851" spans="2:12">
      <c r="B851" s="2" t="s">
        <v>2615</v>
      </c>
      <c r="C851" s="9">
        <v>45997</v>
      </c>
      <c r="D851" s="4">
        <v>1</v>
      </c>
      <c r="E851" s="3">
        <v>360</v>
      </c>
      <c r="F851" s="7">
        <f t="shared" si="13"/>
        <v>45997</v>
      </c>
      <c r="G851" s="3">
        <f>IF(E851&lt;&gt;"", E851*10%, "")</f>
        <v>36</v>
      </c>
      <c r="H851" s="3">
        <f>IF(E851&lt;&gt;"",ROUND(IF(E851&gt;1500,E851*5%,),0),"")</f>
        <v>0</v>
      </c>
      <c r="I851" s="2" t="s">
        <v>2926</v>
      </c>
      <c r="J851" s="3" t="str">
        <f>IF(I851="Cash",L851,"")</f>
        <v/>
      </c>
      <c r="K851" s="3">
        <f>IF(I851="UPI",L851,"")</f>
        <v>324</v>
      </c>
      <c r="L851" s="3">
        <f>IF(E851&lt;&gt;"",E851-G851-H851,"")</f>
        <v>324</v>
      </c>
    </row>
    <row r="852" spans="2:12">
      <c r="B852" s="2" t="s">
        <v>2616</v>
      </c>
      <c r="C852" s="9">
        <v>45997</v>
      </c>
      <c r="D852" s="4">
        <v>2</v>
      </c>
      <c r="E852" s="3">
        <v>1340</v>
      </c>
      <c r="F852" s="7">
        <f t="shared" si="13"/>
        <v>45997</v>
      </c>
      <c r="G852" s="3">
        <f>IF(E852&lt;&gt;"", E852*10%, "")</f>
        <v>134</v>
      </c>
      <c r="H852" s="3">
        <f>IF(E852&lt;&gt;"",ROUND(IF(E852&gt;1500,E852*5%,),0),"")</f>
        <v>0</v>
      </c>
      <c r="I852" s="2" t="s">
        <v>2926</v>
      </c>
      <c r="J852" s="3" t="str">
        <f>IF(I852="Cash",L852,"")</f>
        <v/>
      </c>
      <c r="K852" s="3">
        <f>IF(I852="UPI",L852,"")</f>
        <v>1206</v>
      </c>
      <c r="L852" s="3">
        <f>IF(E852&lt;&gt;"",E852-G852-H852,"")</f>
        <v>1206</v>
      </c>
    </row>
    <row r="853" spans="2:12">
      <c r="B853" s="2" t="s">
        <v>2617</v>
      </c>
      <c r="C853" s="9">
        <v>45997</v>
      </c>
      <c r="D853" s="4">
        <v>1</v>
      </c>
      <c r="E853" s="3">
        <v>930</v>
      </c>
      <c r="F853" s="7">
        <f t="shared" si="13"/>
        <v>45997</v>
      </c>
      <c r="G853" s="3">
        <f>IF(E853&lt;&gt;"", E853*10%, "")</f>
        <v>93</v>
      </c>
      <c r="H853" s="3">
        <f>IF(E853&lt;&gt;"",ROUND(IF(E853&gt;1500,E853*5%,),0),"")</f>
        <v>0</v>
      </c>
      <c r="I853" s="2" t="s">
        <v>2926</v>
      </c>
      <c r="J853" s="3" t="str">
        <f>IF(I853="Cash",L853,"")</f>
        <v/>
      </c>
      <c r="K853" s="3">
        <f>IF(I853="UPI",L853,"")</f>
        <v>837</v>
      </c>
      <c r="L853" s="3">
        <f>IF(E853&lt;&gt;"",E853-G853-H853,"")</f>
        <v>837</v>
      </c>
    </row>
    <row r="854" spans="2:12">
      <c r="B854" s="2" t="s">
        <v>2618</v>
      </c>
      <c r="C854" s="9">
        <v>45997</v>
      </c>
      <c r="D854" s="4">
        <v>4</v>
      </c>
      <c r="E854" s="3">
        <v>2930</v>
      </c>
      <c r="F854" s="7">
        <f t="shared" si="13"/>
        <v>45997</v>
      </c>
      <c r="G854" s="3">
        <f>IF(E854&lt;&gt;"", E854*10%, "")</f>
        <v>293</v>
      </c>
      <c r="H854" s="3">
        <f>IF(E854&lt;&gt;"",ROUND(IF(E854&gt;1500,E854*5%,),0),"")</f>
        <v>147</v>
      </c>
      <c r="I854" s="2" t="s">
        <v>2928</v>
      </c>
      <c r="J854" s="3">
        <v>1500</v>
      </c>
      <c r="K854" s="3">
        <v>990</v>
      </c>
      <c r="L854" s="3">
        <f>IF(E854&lt;&gt;"",E854-G854-H854,"")</f>
        <v>2490</v>
      </c>
    </row>
    <row r="855" spans="2:12">
      <c r="B855" s="2" t="s">
        <v>2619</v>
      </c>
      <c r="C855" s="9">
        <v>45999</v>
      </c>
      <c r="D855" s="4">
        <v>3</v>
      </c>
      <c r="E855" s="3">
        <v>1460</v>
      </c>
      <c r="F855" s="7">
        <f t="shared" si="13"/>
        <v>45999</v>
      </c>
      <c r="G855" s="3">
        <f>IF(E855&lt;&gt;"", E855*10%, "")</f>
        <v>146</v>
      </c>
      <c r="H855" s="3">
        <f>IF(E855&lt;&gt;"",ROUND(IF(E855&gt;1500,E855*5%,),0),"")</f>
        <v>0</v>
      </c>
      <c r="I855" s="2" t="s">
        <v>2926</v>
      </c>
      <c r="J855" s="3" t="str">
        <f>IF(I855="Cash",L855,"")</f>
        <v/>
      </c>
      <c r="K855" s="3">
        <f>IF(I855="UPI",L855,"")</f>
        <v>1314</v>
      </c>
      <c r="L855" s="3">
        <f>IF(E855&lt;&gt;"",E855-G855-H855,"")</f>
        <v>1314</v>
      </c>
    </row>
    <row r="856" spans="2:12">
      <c r="B856" s="2" t="s">
        <v>2620</v>
      </c>
      <c r="C856" s="9">
        <v>45999</v>
      </c>
      <c r="D856" s="4">
        <v>1</v>
      </c>
      <c r="E856" s="3">
        <v>800</v>
      </c>
      <c r="F856" s="7">
        <f t="shared" si="13"/>
        <v>45999</v>
      </c>
      <c r="G856" s="3">
        <f>IF(E856&lt;&gt;"", E856*10%, "")</f>
        <v>80</v>
      </c>
      <c r="H856" s="3">
        <f>IF(E856&lt;&gt;"",ROUND(IF(E856&gt;1500,E856*5%,),0),"")</f>
        <v>0</v>
      </c>
      <c r="I856" s="2" t="s">
        <v>2926</v>
      </c>
      <c r="J856" s="3" t="str">
        <f>IF(I856="Cash",L856,"")</f>
        <v/>
      </c>
      <c r="K856" s="3">
        <f>IF(I856="UPI",L856,"")</f>
        <v>720</v>
      </c>
      <c r="L856" s="3">
        <f>IF(E856&lt;&gt;"",E856-G856-H856,"")</f>
        <v>720</v>
      </c>
    </row>
    <row r="857" spans="2:12">
      <c r="B857" s="2" t="s">
        <v>2621</v>
      </c>
      <c r="C857" s="9">
        <v>45999</v>
      </c>
      <c r="D857" s="4">
        <v>3</v>
      </c>
      <c r="E857" s="3">
        <v>2270</v>
      </c>
      <c r="F857" s="7">
        <f t="shared" si="13"/>
        <v>45999</v>
      </c>
      <c r="G857" s="3">
        <f>IF(E857&lt;&gt;"", E857*10%, "")</f>
        <v>227</v>
      </c>
      <c r="H857" s="3">
        <f>IF(E857&lt;&gt;"",ROUND(IF(E857&gt;1500,E857*5%,),0),"")</f>
        <v>114</v>
      </c>
      <c r="I857" s="2" t="s">
        <v>2925</v>
      </c>
      <c r="J857" s="3">
        <f>IF(I857="Cash",L857,"")</f>
        <v>1929</v>
      </c>
      <c r="K857" s="3" t="str">
        <f>IF(I857="UPI",L857,"")</f>
        <v/>
      </c>
      <c r="L857" s="3">
        <f>IF(E857&lt;&gt;"",E857-G857-H857,"")</f>
        <v>1929</v>
      </c>
    </row>
    <row r="858" spans="2:12">
      <c r="B858" s="2" t="s">
        <v>2622</v>
      </c>
      <c r="C858" s="9">
        <v>45999</v>
      </c>
      <c r="D858" s="4">
        <v>1</v>
      </c>
      <c r="E858" s="3">
        <v>480</v>
      </c>
      <c r="F858" s="7">
        <f t="shared" si="13"/>
        <v>45999</v>
      </c>
      <c r="G858" s="3">
        <f>IF(E858&lt;&gt;"", E858*10%, "")</f>
        <v>48</v>
      </c>
      <c r="H858" s="3">
        <f>IF(E858&lt;&gt;"",ROUND(IF(E858&gt;1500,E858*5%,),0),"")</f>
        <v>0</v>
      </c>
      <c r="I858" s="2" t="s">
        <v>2926</v>
      </c>
      <c r="J858" s="3" t="str">
        <f>IF(I858="Cash",L858,"")</f>
        <v/>
      </c>
      <c r="K858" s="3">
        <f>IF(I858="UPI",L858,"")</f>
        <v>432</v>
      </c>
      <c r="L858" s="3">
        <f>IF(E858&lt;&gt;"",E858-G858-H858,"")</f>
        <v>432</v>
      </c>
    </row>
    <row r="859" spans="2:12">
      <c r="B859" s="2" t="s">
        <v>2623</v>
      </c>
      <c r="C859" s="9">
        <v>45999</v>
      </c>
      <c r="D859" s="4">
        <v>4</v>
      </c>
      <c r="E859" s="3">
        <v>3260</v>
      </c>
      <c r="F859" s="7">
        <f t="shared" si="13"/>
        <v>45999</v>
      </c>
      <c r="G859" s="3">
        <f>IF(E859&lt;&gt;"", E859*10%, "")</f>
        <v>326</v>
      </c>
      <c r="H859" s="3">
        <f>IF(E859&lt;&gt;"",ROUND(IF(E859&gt;1500,E859*5%,),0),"")</f>
        <v>163</v>
      </c>
      <c r="I859" s="2" t="s">
        <v>2928</v>
      </c>
      <c r="J859" s="3">
        <v>1600</v>
      </c>
      <c r="K859" s="3">
        <v>1171</v>
      </c>
      <c r="L859" s="3">
        <f>IF(E859&lt;&gt;"",E859-G859-H859,"")</f>
        <v>2771</v>
      </c>
    </row>
    <row r="860" spans="2:12">
      <c r="B860" s="2" t="s">
        <v>2624</v>
      </c>
      <c r="C860" s="9">
        <v>45999</v>
      </c>
      <c r="D860" s="4">
        <v>2</v>
      </c>
      <c r="E860" s="3">
        <v>1070</v>
      </c>
      <c r="F860" s="7">
        <f t="shared" si="13"/>
        <v>45999</v>
      </c>
      <c r="G860" s="3">
        <f>IF(E860&lt;&gt;"", E860*10%, "")</f>
        <v>107</v>
      </c>
      <c r="H860" s="3">
        <f>IF(E860&lt;&gt;"",ROUND(IF(E860&gt;1500,E860*5%,),0),"")</f>
        <v>0</v>
      </c>
      <c r="I860" s="2" t="s">
        <v>2926</v>
      </c>
      <c r="J860" s="3" t="str">
        <f>IF(I860="Cash",L860,"")</f>
        <v/>
      </c>
      <c r="K860" s="3">
        <f>IF(I860="UPI",L860,"")</f>
        <v>963</v>
      </c>
      <c r="L860" s="3">
        <f>IF(E860&lt;&gt;"",E860-G860-H860,"")</f>
        <v>963</v>
      </c>
    </row>
    <row r="861" spans="2:12">
      <c r="B861" s="2" t="s">
        <v>2625</v>
      </c>
      <c r="C861" s="9">
        <v>45999</v>
      </c>
      <c r="D861" s="4">
        <v>3</v>
      </c>
      <c r="E861" s="3">
        <v>2200</v>
      </c>
      <c r="F861" s="7">
        <f t="shared" si="13"/>
        <v>45999</v>
      </c>
      <c r="G861" s="3">
        <f>IF(E861&lt;&gt;"", E861*10%, "")</f>
        <v>220</v>
      </c>
      <c r="H861" s="3">
        <f>IF(E861&lt;&gt;"",ROUND(IF(E861&gt;1500,E861*5%,),0),"")</f>
        <v>110</v>
      </c>
      <c r="I861" s="2" t="s">
        <v>2925</v>
      </c>
      <c r="J861" s="3">
        <f>IF(I861="Cash",L861,"")</f>
        <v>1870</v>
      </c>
      <c r="K861" s="3" t="str">
        <f>IF(I861="UPI",L861,"")</f>
        <v/>
      </c>
      <c r="L861" s="3">
        <f>IF(E861&lt;&gt;"",E861-G861-H861,"")</f>
        <v>1870</v>
      </c>
    </row>
    <row r="862" spans="2:12">
      <c r="B862" s="2" t="s">
        <v>2626</v>
      </c>
      <c r="C862" s="9">
        <v>45999</v>
      </c>
      <c r="D862" s="4">
        <v>3</v>
      </c>
      <c r="E862" s="3">
        <v>1950</v>
      </c>
      <c r="F862" s="7">
        <f t="shared" si="13"/>
        <v>45999</v>
      </c>
      <c r="G862" s="3">
        <f>IF(E862&lt;&gt;"", E862*10%, "")</f>
        <v>195</v>
      </c>
      <c r="H862" s="3">
        <f>IF(E862&lt;&gt;"",ROUND(IF(E862&gt;1500,E862*5%,),0),"")</f>
        <v>98</v>
      </c>
      <c r="I862" s="2" t="s">
        <v>2925</v>
      </c>
      <c r="J862" s="3">
        <f>IF(I862="Cash",L862,"")</f>
        <v>1657</v>
      </c>
      <c r="K862" s="3" t="str">
        <f>IF(I862="UPI",L862,"")</f>
        <v/>
      </c>
      <c r="L862" s="3">
        <f>IF(E862&lt;&gt;"",E862-G862-H862,"")</f>
        <v>1657</v>
      </c>
    </row>
    <row r="863" spans="2:12">
      <c r="B863" s="2" t="s">
        <v>2627</v>
      </c>
      <c r="C863" s="9">
        <v>45999</v>
      </c>
      <c r="D863" s="4">
        <v>2</v>
      </c>
      <c r="E863" s="3">
        <v>1660</v>
      </c>
      <c r="F863" s="7">
        <f t="shared" si="13"/>
        <v>45999</v>
      </c>
      <c r="G863" s="3">
        <f>IF(E863&lt;&gt;"", E863*10%, "")</f>
        <v>166</v>
      </c>
      <c r="H863" s="3">
        <f>IF(E863&lt;&gt;"",ROUND(IF(E863&gt;1500,E863*5%,),0),"")</f>
        <v>83</v>
      </c>
      <c r="I863" s="2" t="s">
        <v>2926</v>
      </c>
      <c r="J863" s="3" t="str">
        <f>IF(I863="Cash",L863,"")</f>
        <v/>
      </c>
      <c r="K863" s="3">
        <f>IF(I863="UPI",L863,"")</f>
        <v>1411</v>
      </c>
      <c r="L863" s="3">
        <f>IF(E863&lt;&gt;"",E863-G863-H863,"")</f>
        <v>1411</v>
      </c>
    </row>
    <row r="864" spans="2:12">
      <c r="B864" s="2" t="s">
        <v>2628</v>
      </c>
      <c r="C864" s="9">
        <v>45999</v>
      </c>
      <c r="D864" s="4">
        <v>2</v>
      </c>
      <c r="E864" s="3">
        <v>1360</v>
      </c>
      <c r="F864" s="7">
        <f t="shared" si="13"/>
        <v>45999</v>
      </c>
      <c r="G864" s="3">
        <f>IF(E864&lt;&gt;"", E864*10%, "")</f>
        <v>136</v>
      </c>
      <c r="H864" s="3">
        <f>IF(E864&lt;&gt;"",ROUND(IF(E864&gt;1500,E864*5%,),0),"")</f>
        <v>0</v>
      </c>
      <c r="I864" s="2" t="s">
        <v>2926</v>
      </c>
      <c r="J864" s="3" t="str">
        <f>IF(I864="Cash",L864,"")</f>
        <v/>
      </c>
      <c r="K864" s="3">
        <f>IF(I864="UPI",L864,"")</f>
        <v>1224</v>
      </c>
      <c r="L864" s="3">
        <f>IF(E864&lt;&gt;"",E864-G864-H864,"")</f>
        <v>1224</v>
      </c>
    </row>
    <row r="865" spans="2:12">
      <c r="B865" s="2" t="s">
        <v>2629</v>
      </c>
      <c r="C865" s="9">
        <v>45999</v>
      </c>
      <c r="D865" s="4">
        <v>1</v>
      </c>
      <c r="E865" s="3">
        <v>960</v>
      </c>
      <c r="F865" s="7">
        <f t="shared" si="13"/>
        <v>45999</v>
      </c>
      <c r="G865" s="3">
        <f>IF(E865&lt;&gt;"", E865*10%, "")</f>
        <v>96</v>
      </c>
      <c r="H865" s="3">
        <f>IF(E865&lt;&gt;"",ROUND(IF(E865&gt;1500,E865*5%,),0),"")</f>
        <v>0</v>
      </c>
      <c r="I865" s="2" t="s">
        <v>2926</v>
      </c>
      <c r="J865" s="3" t="str">
        <f>IF(I865="Cash",L865,"")</f>
        <v/>
      </c>
      <c r="K865" s="3">
        <f>IF(I865="UPI",L865,"")</f>
        <v>864</v>
      </c>
      <c r="L865" s="3">
        <f>IF(E865&lt;&gt;"",E865-G865-H865,"")</f>
        <v>864</v>
      </c>
    </row>
    <row r="866" spans="2:12">
      <c r="B866" s="2" t="s">
        <v>2630</v>
      </c>
      <c r="C866" s="9">
        <v>45999</v>
      </c>
      <c r="D866" s="4">
        <v>3</v>
      </c>
      <c r="E866" s="3">
        <v>970</v>
      </c>
      <c r="F866" s="7">
        <f t="shared" si="13"/>
        <v>45999</v>
      </c>
      <c r="G866" s="3">
        <f>IF(E866&lt;&gt;"", E866*10%, "")</f>
        <v>97</v>
      </c>
      <c r="H866" s="3">
        <f>IF(E866&lt;&gt;"",ROUND(IF(E866&gt;1500,E866*5%,),0),"")</f>
        <v>0</v>
      </c>
      <c r="I866" s="2" t="s">
        <v>2926</v>
      </c>
      <c r="J866" s="3" t="str">
        <f>IF(I866="Cash",L866,"")</f>
        <v/>
      </c>
      <c r="K866" s="3">
        <f>IF(I866="UPI",L866,"")</f>
        <v>873</v>
      </c>
      <c r="L866" s="3">
        <f>IF(E866&lt;&gt;"",E866-G866-H866,"")</f>
        <v>873</v>
      </c>
    </row>
    <row r="867" spans="2:12">
      <c r="B867" s="2" t="s">
        <v>2631</v>
      </c>
      <c r="C867" s="9">
        <v>45999</v>
      </c>
      <c r="D867" s="4">
        <v>3</v>
      </c>
      <c r="E867" s="3">
        <v>2620</v>
      </c>
      <c r="F867" s="7">
        <f t="shared" si="13"/>
        <v>45999</v>
      </c>
      <c r="G867" s="3">
        <f>IF(E867&lt;&gt;"", E867*10%, "")</f>
        <v>262</v>
      </c>
      <c r="H867" s="3">
        <f>IF(E867&lt;&gt;"",ROUND(IF(E867&gt;1500,E867*5%,),0),"")</f>
        <v>131</v>
      </c>
      <c r="I867" s="2" t="s">
        <v>2925</v>
      </c>
      <c r="J867" s="3">
        <f>IF(I867="Cash",L867,"")</f>
        <v>2227</v>
      </c>
      <c r="K867" s="3" t="str">
        <f>IF(I867="UPI",L867,"")</f>
        <v/>
      </c>
      <c r="L867" s="3">
        <f>IF(E867&lt;&gt;"",E867-G867-H867,"")</f>
        <v>2227</v>
      </c>
    </row>
    <row r="868" spans="2:12">
      <c r="B868" s="2" t="s">
        <v>2632</v>
      </c>
      <c r="C868" s="9">
        <v>46000</v>
      </c>
      <c r="D868" s="4">
        <v>1</v>
      </c>
      <c r="E868" s="3">
        <v>1070</v>
      </c>
      <c r="F868" s="7">
        <f t="shared" si="13"/>
        <v>46000</v>
      </c>
      <c r="G868" s="3">
        <f>IF(E868&lt;&gt;"", E868*10%, "")</f>
        <v>107</v>
      </c>
      <c r="H868" s="3">
        <f>IF(E868&lt;&gt;"",ROUND(IF(E868&gt;1500,E868*5%,),0),"")</f>
        <v>0</v>
      </c>
      <c r="I868" s="2" t="s">
        <v>2926</v>
      </c>
      <c r="J868" s="3" t="str">
        <f>IF(I868="Cash",L868,"")</f>
        <v/>
      </c>
      <c r="K868" s="3">
        <f>IF(I868="UPI",L868,"")</f>
        <v>963</v>
      </c>
      <c r="L868" s="3">
        <f>IF(E868&lt;&gt;"",E868-G868-H868,"")</f>
        <v>963</v>
      </c>
    </row>
    <row r="869" spans="2:12">
      <c r="B869" s="2" t="s">
        <v>2633</v>
      </c>
      <c r="C869" s="9">
        <v>46000</v>
      </c>
      <c r="D869" s="4">
        <v>2</v>
      </c>
      <c r="E869" s="3">
        <v>1560</v>
      </c>
      <c r="F869" s="7">
        <f t="shared" si="13"/>
        <v>46000</v>
      </c>
      <c r="G869" s="3">
        <f>IF(E869&lt;&gt;"", E869*10%, "")</f>
        <v>156</v>
      </c>
      <c r="H869" s="3">
        <f>IF(E869&lt;&gt;"",ROUND(IF(E869&gt;1500,E869*5%,),0),"")</f>
        <v>78</v>
      </c>
      <c r="I869" s="2" t="s">
        <v>2926</v>
      </c>
      <c r="J869" s="3" t="str">
        <f>IF(I869="Cash",L869,"")</f>
        <v/>
      </c>
      <c r="K869" s="3">
        <f>IF(I869="UPI",L869,"")</f>
        <v>1326</v>
      </c>
      <c r="L869" s="3">
        <f>IF(E869&lt;&gt;"",E869-G869-H869,"")</f>
        <v>1326</v>
      </c>
    </row>
    <row r="870" spans="2:12">
      <c r="B870" s="2" t="s">
        <v>2634</v>
      </c>
      <c r="C870" s="9">
        <v>46000</v>
      </c>
      <c r="D870" s="4">
        <v>4</v>
      </c>
      <c r="E870" s="3">
        <v>2900</v>
      </c>
      <c r="F870" s="7">
        <f t="shared" si="13"/>
        <v>46000</v>
      </c>
      <c r="G870" s="3">
        <f>IF(E870&lt;&gt;"", E870*10%, "")</f>
        <v>290</v>
      </c>
      <c r="H870" s="3">
        <f>IF(E870&lt;&gt;"",ROUND(IF(E870&gt;1500,E870*5%,),0),"")</f>
        <v>145</v>
      </c>
      <c r="I870" s="2" t="s">
        <v>2928</v>
      </c>
      <c r="J870" s="3">
        <v>600</v>
      </c>
      <c r="K870" s="3">
        <v>1865</v>
      </c>
      <c r="L870" s="3">
        <f>IF(E870&lt;&gt;"",E870-G870-H870,"")</f>
        <v>2465</v>
      </c>
    </row>
    <row r="871" spans="2:12">
      <c r="B871" s="2" t="s">
        <v>2635</v>
      </c>
      <c r="C871" s="9">
        <v>46000</v>
      </c>
      <c r="D871" s="4">
        <v>4</v>
      </c>
      <c r="E871" s="3">
        <v>3200</v>
      </c>
      <c r="F871" s="7">
        <f t="shared" si="13"/>
        <v>46000</v>
      </c>
      <c r="G871" s="3">
        <f>IF(E871&lt;&gt;"", E871*10%, "")</f>
        <v>320</v>
      </c>
      <c r="H871" s="3">
        <f>IF(E871&lt;&gt;"",ROUND(IF(E871&gt;1500,E871*5%,),0),"")</f>
        <v>160</v>
      </c>
      <c r="I871" s="2" t="s">
        <v>2928</v>
      </c>
      <c r="J871" s="3">
        <v>1700</v>
      </c>
      <c r="K871" s="3">
        <v>1020</v>
      </c>
      <c r="L871" s="3">
        <f>IF(E871&lt;&gt;"",E871-G871-H871,"")</f>
        <v>2720</v>
      </c>
    </row>
    <row r="872" spans="2:12">
      <c r="B872" s="2" t="s">
        <v>2636</v>
      </c>
      <c r="C872" s="9">
        <v>46000</v>
      </c>
      <c r="D872" s="4">
        <v>2</v>
      </c>
      <c r="E872" s="3">
        <v>1520</v>
      </c>
      <c r="F872" s="7">
        <f t="shared" si="13"/>
        <v>46000</v>
      </c>
      <c r="G872" s="3">
        <f>IF(E872&lt;&gt;"", E872*10%, "")</f>
        <v>152</v>
      </c>
      <c r="H872" s="3">
        <f>IF(E872&lt;&gt;"",ROUND(IF(E872&gt;1500,E872*5%,),0),"")</f>
        <v>76</v>
      </c>
      <c r="I872" s="2" t="s">
        <v>2926</v>
      </c>
      <c r="J872" s="3" t="str">
        <f>IF(I872="Cash",L872,"")</f>
        <v/>
      </c>
      <c r="K872" s="3">
        <f>IF(I872="UPI",L872,"")</f>
        <v>1292</v>
      </c>
      <c r="L872" s="3">
        <f>IF(E872&lt;&gt;"",E872-G872-H872,"")</f>
        <v>1292</v>
      </c>
    </row>
    <row r="873" spans="2:12">
      <c r="B873" s="2" t="s">
        <v>2637</v>
      </c>
      <c r="C873" s="9">
        <v>46000</v>
      </c>
      <c r="D873" s="4">
        <v>4</v>
      </c>
      <c r="E873" s="3">
        <v>1340</v>
      </c>
      <c r="F873" s="7">
        <f t="shared" si="13"/>
        <v>46000</v>
      </c>
      <c r="G873" s="3">
        <f>IF(E873&lt;&gt;"", E873*10%, "")</f>
        <v>134</v>
      </c>
      <c r="H873" s="3">
        <f>IF(E873&lt;&gt;"",ROUND(IF(E873&gt;1500,E873*5%,),0),"")</f>
        <v>0</v>
      </c>
      <c r="I873" s="2" t="s">
        <v>2926</v>
      </c>
      <c r="J873" s="3" t="str">
        <f>IF(I873="Cash",L873,"")</f>
        <v/>
      </c>
      <c r="K873" s="3">
        <f>IF(I873="UPI",L873,"")</f>
        <v>1206</v>
      </c>
      <c r="L873" s="3">
        <f>IF(E873&lt;&gt;"",E873-G873-H873,"")</f>
        <v>1206</v>
      </c>
    </row>
    <row r="874" spans="2:12">
      <c r="B874" s="2" t="s">
        <v>2638</v>
      </c>
      <c r="C874" s="9">
        <v>46000</v>
      </c>
      <c r="D874" s="4">
        <v>2</v>
      </c>
      <c r="E874" s="3">
        <v>630</v>
      </c>
      <c r="F874" s="7">
        <f t="shared" si="13"/>
        <v>46000</v>
      </c>
      <c r="G874" s="3">
        <f>IF(E874&lt;&gt;"", E874*10%, "")</f>
        <v>63</v>
      </c>
      <c r="H874" s="3">
        <f>IF(E874&lt;&gt;"",ROUND(IF(E874&gt;1500,E874*5%,),0),"")</f>
        <v>0</v>
      </c>
      <c r="I874" s="2" t="s">
        <v>2926</v>
      </c>
      <c r="J874" s="3" t="str">
        <f>IF(I874="Cash",L874,"")</f>
        <v/>
      </c>
      <c r="K874" s="3">
        <f>IF(I874="UPI",L874,"")</f>
        <v>567</v>
      </c>
      <c r="L874" s="3">
        <f>IF(E874&lt;&gt;"",E874-G874-H874,"")</f>
        <v>567</v>
      </c>
    </row>
    <row r="875" spans="2:12">
      <c r="B875" s="2" t="s">
        <v>2639</v>
      </c>
      <c r="C875" s="9">
        <v>46000</v>
      </c>
      <c r="D875" s="4">
        <v>1</v>
      </c>
      <c r="E875" s="3">
        <v>640</v>
      </c>
      <c r="F875" s="7">
        <f t="shared" si="13"/>
        <v>46000</v>
      </c>
      <c r="G875" s="3">
        <f>IF(E875&lt;&gt;"", E875*10%, "")</f>
        <v>64</v>
      </c>
      <c r="H875" s="3">
        <f>IF(E875&lt;&gt;"",ROUND(IF(E875&gt;1500,E875*5%,),0),"")</f>
        <v>0</v>
      </c>
      <c r="I875" s="2" t="s">
        <v>2926</v>
      </c>
      <c r="J875" s="3" t="str">
        <f>IF(I875="Cash",L875,"")</f>
        <v/>
      </c>
      <c r="K875" s="3">
        <f>IF(I875="UPI",L875,"")</f>
        <v>576</v>
      </c>
      <c r="L875" s="3">
        <f>IF(E875&lt;&gt;"",E875-G875-H875,"")</f>
        <v>576</v>
      </c>
    </row>
    <row r="876" spans="2:12">
      <c r="B876" s="2" t="s">
        <v>2640</v>
      </c>
      <c r="C876" s="9">
        <v>46000</v>
      </c>
      <c r="D876" s="4">
        <v>1</v>
      </c>
      <c r="E876" s="3">
        <v>260</v>
      </c>
      <c r="F876" s="7">
        <f t="shared" si="13"/>
        <v>46000</v>
      </c>
      <c r="G876" s="3">
        <f>IF(E876&lt;&gt;"", E876*10%, "")</f>
        <v>26</v>
      </c>
      <c r="H876" s="3">
        <f>IF(E876&lt;&gt;"",ROUND(IF(E876&gt;1500,E876*5%,),0),"")</f>
        <v>0</v>
      </c>
      <c r="I876" s="2" t="s">
        <v>2926</v>
      </c>
      <c r="J876" s="3" t="str">
        <f>IF(I876="Cash",L876,"")</f>
        <v/>
      </c>
      <c r="K876" s="3">
        <f>IF(I876="UPI",L876,"")</f>
        <v>234</v>
      </c>
      <c r="L876" s="3">
        <f>IF(E876&lt;&gt;"",E876-G876-H876,"")</f>
        <v>234</v>
      </c>
    </row>
    <row r="877" spans="2:12">
      <c r="B877" s="2" t="s">
        <v>2641</v>
      </c>
      <c r="C877" s="9">
        <v>46000</v>
      </c>
      <c r="D877" s="4">
        <v>4</v>
      </c>
      <c r="E877" s="3">
        <v>2900</v>
      </c>
      <c r="F877" s="7">
        <f t="shared" si="13"/>
        <v>46000</v>
      </c>
      <c r="G877" s="3">
        <f>IF(E877&lt;&gt;"", E877*10%, "")</f>
        <v>290</v>
      </c>
      <c r="H877" s="3">
        <f>IF(E877&lt;&gt;"",ROUND(IF(E877&gt;1500,E877*5%,),0),"")</f>
        <v>145</v>
      </c>
      <c r="I877" s="2" t="s">
        <v>2928</v>
      </c>
      <c r="J877" s="3">
        <v>1100</v>
      </c>
      <c r="K877" s="3">
        <v>1365</v>
      </c>
      <c r="L877" s="3">
        <f>IF(E877&lt;&gt;"",E877-G877-H877,"")</f>
        <v>2465</v>
      </c>
    </row>
    <row r="878" spans="2:12">
      <c r="B878" s="2" t="s">
        <v>2642</v>
      </c>
      <c r="C878" s="9">
        <v>46000</v>
      </c>
      <c r="D878" s="4">
        <v>4</v>
      </c>
      <c r="E878" s="3">
        <v>3440</v>
      </c>
      <c r="F878" s="7">
        <f t="shared" si="13"/>
        <v>46000</v>
      </c>
      <c r="G878" s="3">
        <f>IF(E878&lt;&gt;"", E878*10%, "")</f>
        <v>344</v>
      </c>
      <c r="H878" s="3">
        <f>IF(E878&lt;&gt;"",ROUND(IF(E878&gt;1500,E878*5%,),0),"")</f>
        <v>172</v>
      </c>
      <c r="I878" s="2" t="s">
        <v>2928</v>
      </c>
      <c r="J878" s="3">
        <v>2000</v>
      </c>
      <c r="K878" s="3">
        <v>924</v>
      </c>
      <c r="L878" s="3">
        <f>IF(E878&lt;&gt;"",E878-G878-H878,"")</f>
        <v>2924</v>
      </c>
    </row>
    <row r="879" spans="2:12">
      <c r="B879" s="2" t="s">
        <v>2643</v>
      </c>
      <c r="C879" s="9">
        <v>46001</v>
      </c>
      <c r="D879" s="4">
        <v>1</v>
      </c>
      <c r="E879" s="3">
        <v>720</v>
      </c>
      <c r="F879" s="7">
        <f t="shared" si="13"/>
        <v>46001</v>
      </c>
      <c r="G879" s="3">
        <f>IF(E879&lt;&gt;"", E879*10%, "")</f>
        <v>72</v>
      </c>
      <c r="H879" s="3">
        <f>IF(E879&lt;&gt;"",ROUND(IF(E879&gt;1500,E879*5%,),0),"")</f>
        <v>0</v>
      </c>
      <c r="I879" s="2" t="s">
        <v>2926</v>
      </c>
      <c r="J879" s="3" t="str">
        <f>IF(I879="Cash",L879,"")</f>
        <v/>
      </c>
      <c r="K879" s="3">
        <f>IF(I879="UPI",L879,"")</f>
        <v>648</v>
      </c>
      <c r="L879" s="3">
        <f>IF(E879&lt;&gt;"",E879-G879-H879,"")</f>
        <v>648</v>
      </c>
    </row>
    <row r="880" spans="2:12">
      <c r="B880" s="2" t="s">
        <v>2644</v>
      </c>
      <c r="C880" s="9">
        <v>46001</v>
      </c>
      <c r="D880" s="4">
        <v>2</v>
      </c>
      <c r="E880" s="3">
        <v>1620</v>
      </c>
      <c r="F880" s="7">
        <f t="shared" si="13"/>
        <v>46001</v>
      </c>
      <c r="G880" s="3">
        <f>IF(E880&lt;&gt;"", E880*10%, "")</f>
        <v>162</v>
      </c>
      <c r="H880" s="3">
        <f>IF(E880&lt;&gt;"",ROUND(IF(E880&gt;1500,E880*5%,),0),"")</f>
        <v>81</v>
      </c>
      <c r="I880" s="2" t="s">
        <v>2926</v>
      </c>
      <c r="J880" s="3" t="str">
        <f>IF(I880="Cash",L880,"")</f>
        <v/>
      </c>
      <c r="K880" s="3">
        <f>IF(I880="UPI",L880,"")</f>
        <v>1377</v>
      </c>
      <c r="L880" s="3">
        <f>IF(E880&lt;&gt;"",E880-G880-H880,"")</f>
        <v>1377</v>
      </c>
    </row>
    <row r="881" spans="2:12">
      <c r="B881" s="2" t="s">
        <v>2645</v>
      </c>
      <c r="C881" s="9">
        <v>46001</v>
      </c>
      <c r="D881" s="4">
        <v>1</v>
      </c>
      <c r="E881" s="3">
        <v>950</v>
      </c>
      <c r="F881" s="7">
        <f t="shared" si="13"/>
        <v>46001</v>
      </c>
      <c r="G881" s="3">
        <f>IF(E881&lt;&gt;"", E881*10%, "")</f>
        <v>95</v>
      </c>
      <c r="H881" s="3">
        <f>IF(E881&lt;&gt;"",ROUND(IF(E881&gt;1500,E881*5%,),0),"")</f>
        <v>0</v>
      </c>
      <c r="I881" s="2" t="s">
        <v>2926</v>
      </c>
      <c r="J881" s="3" t="str">
        <f>IF(I881="Cash",L881,"")</f>
        <v/>
      </c>
      <c r="K881" s="3">
        <f>IF(I881="UPI",L881,"")</f>
        <v>855</v>
      </c>
      <c r="L881" s="3">
        <f>IF(E881&lt;&gt;"",E881-G881-H881,"")</f>
        <v>855</v>
      </c>
    </row>
    <row r="882" spans="2:12">
      <c r="B882" s="2" t="s">
        <v>2646</v>
      </c>
      <c r="C882" s="9">
        <v>46001</v>
      </c>
      <c r="D882" s="4">
        <v>1</v>
      </c>
      <c r="E882" s="3">
        <v>1040</v>
      </c>
      <c r="F882" s="7">
        <f t="shared" si="13"/>
        <v>46001</v>
      </c>
      <c r="G882" s="3">
        <f>IF(E882&lt;&gt;"", E882*10%, "")</f>
        <v>104</v>
      </c>
      <c r="H882" s="3">
        <f>IF(E882&lt;&gt;"",ROUND(IF(E882&gt;1500,E882*5%,),0),"")</f>
        <v>0</v>
      </c>
      <c r="I882" s="2" t="s">
        <v>2926</v>
      </c>
      <c r="J882" s="3" t="str">
        <f>IF(I882="Cash",L882,"")</f>
        <v/>
      </c>
      <c r="K882" s="3">
        <f>IF(I882="UPI",L882,"")</f>
        <v>936</v>
      </c>
      <c r="L882" s="3">
        <f>IF(E882&lt;&gt;"",E882-G882-H882,"")</f>
        <v>936</v>
      </c>
    </row>
    <row r="883" spans="2:12">
      <c r="B883" s="2" t="s">
        <v>2647</v>
      </c>
      <c r="C883" s="9">
        <v>46001</v>
      </c>
      <c r="D883" s="4">
        <v>3</v>
      </c>
      <c r="E883" s="3">
        <v>2040</v>
      </c>
      <c r="F883" s="7">
        <f t="shared" si="13"/>
        <v>46001</v>
      </c>
      <c r="G883" s="3">
        <f>IF(E883&lt;&gt;"", E883*10%, "")</f>
        <v>204</v>
      </c>
      <c r="H883" s="3">
        <f>IF(E883&lt;&gt;"",ROUND(IF(E883&gt;1500,E883*5%,),0),"")</f>
        <v>102</v>
      </c>
      <c r="I883" s="2" t="s">
        <v>2925</v>
      </c>
      <c r="J883" s="3">
        <f>IF(I883="Cash",L883,"")</f>
        <v>1734</v>
      </c>
      <c r="K883" s="3" t="str">
        <f>IF(I883="UPI",L883,"")</f>
        <v/>
      </c>
      <c r="L883" s="3">
        <f>IF(E883&lt;&gt;"",E883-G883-H883,"")</f>
        <v>1734</v>
      </c>
    </row>
    <row r="884" spans="2:12">
      <c r="B884" s="2" t="s">
        <v>2648</v>
      </c>
      <c r="C884" s="9">
        <v>46001</v>
      </c>
      <c r="D884" s="4">
        <v>3</v>
      </c>
      <c r="E884" s="3">
        <v>2430</v>
      </c>
      <c r="F884" s="7">
        <f t="shared" si="13"/>
        <v>46001</v>
      </c>
      <c r="G884" s="3">
        <f>IF(E884&lt;&gt;"", E884*10%, "")</f>
        <v>243</v>
      </c>
      <c r="H884" s="3">
        <f>IF(E884&lt;&gt;"",ROUND(IF(E884&gt;1500,E884*5%,),0),"")</f>
        <v>122</v>
      </c>
      <c r="I884" s="2" t="s">
        <v>2925</v>
      </c>
      <c r="J884" s="3">
        <f>IF(I884="Cash",L884,"")</f>
        <v>2065</v>
      </c>
      <c r="K884" s="3" t="str">
        <f>IF(I884="UPI",L884,"")</f>
        <v/>
      </c>
      <c r="L884" s="3">
        <f>IF(E884&lt;&gt;"",E884-G884-H884,"")</f>
        <v>2065</v>
      </c>
    </row>
    <row r="885" spans="2:12">
      <c r="B885" s="2" t="s">
        <v>2649</v>
      </c>
      <c r="C885" s="9">
        <v>46001</v>
      </c>
      <c r="D885" s="4">
        <v>2</v>
      </c>
      <c r="E885" s="3">
        <v>1480</v>
      </c>
      <c r="F885" s="7">
        <f t="shared" si="13"/>
        <v>46001</v>
      </c>
      <c r="G885" s="3">
        <f>IF(E885&lt;&gt;"", E885*10%, "")</f>
        <v>148</v>
      </c>
      <c r="H885" s="3">
        <f>IF(E885&lt;&gt;"",ROUND(IF(E885&gt;1500,E885*5%,),0),"")</f>
        <v>0</v>
      </c>
      <c r="I885" s="2" t="s">
        <v>2926</v>
      </c>
      <c r="J885" s="3" t="str">
        <f>IF(I885="Cash",L885,"")</f>
        <v/>
      </c>
      <c r="K885" s="3">
        <f>IF(I885="UPI",L885,"")</f>
        <v>1332</v>
      </c>
      <c r="L885" s="3">
        <f>IF(E885&lt;&gt;"",E885-G885-H885,"")</f>
        <v>1332</v>
      </c>
    </row>
    <row r="886" spans="2:12">
      <c r="B886" s="2" t="s">
        <v>2650</v>
      </c>
      <c r="C886" s="9">
        <v>46001</v>
      </c>
      <c r="D886" s="4">
        <v>1</v>
      </c>
      <c r="E886" s="3">
        <v>680</v>
      </c>
      <c r="F886" s="7">
        <f t="shared" si="13"/>
        <v>46001</v>
      </c>
      <c r="G886" s="3">
        <f>IF(E886&lt;&gt;"", E886*10%, "")</f>
        <v>68</v>
      </c>
      <c r="H886" s="3">
        <f>IF(E886&lt;&gt;"",ROUND(IF(E886&gt;1500,E886*5%,),0),"")</f>
        <v>0</v>
      </c>
      <c r="I886" s="2" t="s">
        <v>2926</v>
      </c>
      <c r="J886" s="3" t="str">
        <f>IF(I886="Cash",L886,"")</f>
        <v/>
      </c>
      <c r="K886" s="3">
        <f>IF(I886="UPI",L886,"")</f>
        <v>612</v>
      </c>
      <c r="L886" s="3">
        <f>IF(E886&lt;&gt;"",E886-G886-H886,"")</f>
        <v>612</v>
      </c>
    </row>
    <row r="887" spans="2:12">
      <c r="B887" s="2" t="s">
        <v>2651</v>
      </c>
      <c r="C887" s="9">
        <v>46001</v>
      </c>
      <c r="D887" s="4">
        <v>2</v>
      </c>
      <c r="E887" s="3">
        <v>1280</v>
      </c>
      <c r="F887" s="7">
        <f t="shared" si="13"/>
        <v>46001</v>
      </c>
      <c r="G887" s="3">
        <f>IF(E887&lt;&gt;"", E887*10%, "")</f>
        <v>128</v>
      </c>
      <c r="H887" s="3">
        <f>IF(E887&lt;&gt;"",ROUND(IF(E887&gt;1500,E887*5%,),0),"")</f>
        <v>0</v>
      </c>
      <c r="I887" s="2" t="s">
        <v>2926</v>
      </c>
      <c r="J887" s="3" t="str">
        <f>IF(I887="Cash",L887,"")</f>
        <v/>
      </c>
      <c r="K887" s="3">
        <f>IF(I887="UPI",L887,"")</f>
        <v>1152</v>
      </c>
      <c r="L887" s="3">
        <f>IF(E887&lt;&gt;"",E887-G887-H887,"")</f>
        <v>1152</v>
      </c>
    </row>
    <row r="888" spans="2:12">
      <c r="B888" s="2" t="s">
        <v>2652</v>
      </c>
      <c r="C888" s="9">
        <v>46001</v>
      </c>
      <c r="D888" s="4">
        <v>3</v>
      </c>
      <c r="E888" s="3">
        <v>2700</v>
      </c>
      <c r="F888" s="7">
        <f t="shared" si="13"/>
        <v>46001</v>
      </c>
      <c r="G888" s="3">
        <f>IF(E888&lt;&gt;"", E888*10%, "")</f>
        <v>270</v>
      </c>
      <c r="H888" s="3">
        <f>IF(E888&lt;&gt;"",ROUND(IF(E888&gt;1500,E888*5%,),0),"")</f>
        <v>135</v>
      </c>
      <c r="I888" s="2" t="s">
        <v>2925</v>
      </c>
      <c r="J888" s="3">
        <f>IF(I888="Cash",L888,"")</f>
        <v>2295</v>
      </c>
      <c r="K888" s="3" t="str">
        <f>IF(I888="UPI",L888,"")</f>
        <v/>
      </c>
      <c r="L888" s="3">
        <f>IF(E888&lt;&gt;"",E888-G888-H888,"")</f>
        <v>2295</v>
      </c>
    </row>
    <row r="889" spans="2:12">
      <c r="B889" s="2" t="s">
        <v>2653</v>
      </c>
      <c r="C889" s="9">
        <v>46001</v>
      </c>
      <c r="D889" s="4">
        <v>1</v>
      </c>
      <c r="E889" s="3">
        <v>780</v>
      </c>
      <c r="F889" s="7">
        <f t="shared" si="13"/>
        <v>46001</v>
      </c>
      <c r="G889" s="3">
        <f>IF(E889&lt;&gt;"", E889*10%, "")</f>
        <v>78</v>
      </c>
      <c r="H889" s="3">
        <f>IF(E889&lt;&gt;"",ROUND(IF(E889&gt;1500,E889*5%,),0),"")</f>
        <v>0</v>
      </c>
      <c r="I889" s="2" t="s">
        <v>2926</v>
      </c>
      <c r="J889" s="3" t="str">
        <f>IF(I889="Cash",L889,"")</f>
        <v/>
      </c>
      <c r="K889" s="3">
        <f>IF(I889="UPI",L889,"")</f>
        <v>702</v>
      </c>
      <c r="L889" s="3">
        <f>IF(E889&lt;&gt;"",E889-G889-H889,"")</f>
        <v>702</v>
      </c>
    </row>
    <row r="890" spans="2:12">
      <c r="B890" s="2" t="s">
        <v>2654</v>
      </c>
      <c r="C890" s="9">
        <v>46001</v>
      </c>
      <c r="D890" s="4">
        <v>3</v>
      </c>
      <c r="E890" s="3">
        <v>2030</v>
      </c>
      <c r="F890" s="7">
        <f t="shared" si="13"/>
        <v>46001</v>
      </c>
      <c r="G890" s="3">
        <f>IF(E890&lt;&gt;"", E890*10%, "")</f>
        <v>203</v>
      </c>
      <c r="H890" s="3">
        <f>IF(E890&lt;&gt;"",ROUND(IF(E890&gt;1500,E890*5%,),0),"")</f>
        <v>102</v>
      </c>
      <c r="I890" s="2" t="s">
        <v>2925</v>
      </c>
      <c r="J890" s="3">
        <f>IF(I890="Cash",L890,"")</f>
        <v>1725</v>
      </c>
      <c r="K890" s="3" t="str">
        <f>IF(I890="UPI",L890,"")</f>
        <v/>
      </c>
      <c r="L890" s="3">
        <f>IF(E890&lt;&gt;"",E890-G890-H890,"")</f>
        <v>1725</v>
      </c>
    </row>
    <row r="891" spans="2:12">
      <c r="B891" s="2" t="s">
        <v>2655</v>
      </c>
      <c r="C891" s="9">
        <v>46001</v>
      </c>
      <c r="D891" s="4">
        <v>4</v>
      </c>
      <c r="E891" s="3">
        <v>3650</v>
      </c>
      <c r="F891" s="7">
        <f t="shared" si="13"/>
        <v>46001</v>
      </c>
      <c r="G891" s="3">
        <f>IF(E891&lt;&gt;"", E891*10%, "")</f>
        <v>365</v>
      </c>
      <c r="H891" s="3">
        <f>IF(E891&lt;&gt;"",ROUND(IF(E891&gt;1500,E891*5%,),0),"")</f>
        <v>183</v>
      </c>
      <c r="I891" s="2" t="s">
        <v>2928</v>
      </c>
      <c r="J891" s="3">
        <v>2000</v>
      </c>
      <c r="K891" s="3">
        <v>1102</v>
      </c>
      <c r="L891" s="3">
        <f>IF(E891&lt;&gt;"",E891-G891-H891,"")</f>
        <v>3102</v>
      </c>
    </row>
    <row r="892" spans="2:12">
      <c r="B892" s="2" t="s">
        <v>2656</v>
      </c>
      <c r="C892" s="9">
        <v>46002</v>
      </c>
      <c r="D892" s="4">
        <v>1</v>
      </c>
      <c r="E892" s="3">
        <v>100</v>
      </c>
      <c r="F892" s="7">
        <f t="shared" si="13"/>
        <v>46002</v>
      </c>
      <c r="G892" s="3">
        <f>IF(E892&lt;&gt;"", E892*10%, "")</f>
        <v>10</v>
      </c>
      <c r="H892" s="3">
        <f>IF(E892&lt;&gt;"",ROUND(IF(E892&gt;1500,E892*5%,),0),"")</f>
        <v>0</v>
      </c>
      <c r="I892" s="2" t="s">
        <v>2926</v>
      </c>
      <c r="J892" s="3" t="str">
        <f>IF(I892="Cash",L892,"")</f>
        <v/>
      </c>
      <c r="K892" s="3">
        <f>IF(I892="UPI",L892,"")</f>
        <v>90</v>
      </c>
      <c r="L892" s="3">
        <f>IF(E892&lt;&gt;"",E892-G892-H892,"")</f>
        <v>90</v>
      </c>
    </row>
    <row r="893" spans="2:12">
      <c r="B893" s="2" t="s">
        <v>2657</v>
      </c>
      <c r="C893" s="9">
        <v>46002</v>
      </c>
      <c r="D893" s="4">
        <v>1</v>
      </c>
      <c r="E893" s="3">
        <v>660</v>
      </c>
      <c r="F893" s="7">
        <f t="shared" si="13"/>
        <v>46002</v>
      </c>
      <c r="G893" s="3">
        <f>IF(E893&lt;&gt;"", E893*10%, "")</f>
        <v>66</v>
      </c>
      <c r="H893" s="3">
        <f>IF(E893&lt;&gt;"",ROUND(IF(E893&gt;1500,E893*5%,),0),"")</f>
        <v>0</v>
      </c>
      <c r="I893" s="2" t="s">
        <v>2926</v>
      </c>
      <c r="J893" s="3" t="str">
        <f>IF(I893="Cash",L893,"")</f>
        <v/>
      </c>
      <c r="K893" s="3">
        <f>IF(I893="UPI",L893,"")</f>
        <v>594</v>
      </c>
      <c r="L893" s="3">
        <f>IF(E893&lt;&gt;"",E893-G893-H893,"")</f>
        <v>594</v>
      </c>
    </row>
    <row r="894" spans="2:12">
      <c r="B894" s="2" t="s">
        <v>2658</v>
      </c>
      <c r="C894" s="9">
        <v>46002</v>
      </c>
      <c r="D894" s="4">
        <v>2</v>
      </c>
      <c r="E894" s="3">
        <v>610</v>
      </c>
      <c r="F894" s="7">
        <f t="shared" si="13"/>
        <v>46002</v>
      </c>
      <c r="G894" s="3">
        <f>IF(E894&lt;&gt;"", E894*10%, "")</f>
        <v>61</v>
      </c>
      <c r="H894" s="3">
        <f>IF(E894&lt;&gt;"",ROUND(IF(E894&gt;1500,E894*5%,),0),"")</f>
        <v>0</v>
      </c>
      <c r="I894" s="2" t="s">
        <v>2926</v>
      </c>
      <c r="J894" s="3" t="str">
        <f>IF(I894="Cash",L894,"")</f>
        <v/>
      </c>
      <c r="K894" s="3">
        <f>IF(I894="UPI",L894,"")</f>
        <v>549</v>
      </c>
      <c r="L894" s="3">
        <f>IF(E894&lt;&gt;"",E894-G894-H894,"")</f>
        <v>549</v>
      </c>
    </row>
    <row r="895" spans="2:12">
      <c r="B895" s="2" t="s">
        <v>2659</v>
      </c>
      <c r="C895" s="9">
        <v>46002</v>
      </c>
      <c r="D895" s="4">
        <v>1</v>
      </c>
      <c r="E895" s="3">
        <v>720</v>
      </c>
      <c r="F895" s="7">
        <f t="shared" si="13"/>
        <v>46002</v>
      </c>
      <c r="G895" s="3">
        <f>IF(E895&lt;&gt;"", E895*10%, "")</f>
        <v>72</v>
      </c>
      <c r="H895" s="3">
        <f>IF(E895&lt;&gt;"",ROUND(IF(E895&gt;1500,E895*5%,),0),"")</f>
        <v>0</v>
      </c>
      <c r="I895" s="2" t="s">
        <v>2926</v>
      </c>
      <c r="J895" s="3" t="str">
        <f>IF(I895="Cash",L895,"")</f>
        <v/>
      </c>
      <c r="K895" s="3">
        <f>IF(I895="UPI",L895,"")</f>
        <v>648</v>
      </c>
      <c r="L895" s="3">
        <f>IF(E895&lt;&gt;"",E895-G895-H895,"")</f>
        <v>648</v>
      </c>
    </row>
    <row r="896" spans="2:12">
      <c r="B896" s="2" t="s">
        <v>2660</v>
      </c>
      <c r="C896" s="9">
        <v>46002</v>
      </c>
      <c r="D896" s="4">
        <v>2</v>
      </c>
      <c r="E896" s="3">
        <v>1430</v>
      </c>
      <c r="F896" s="7">
        <f t="shared" si="13"/>
        <v>46002</v>
      </c>
      <c r="G896" s="3">
        <f>IF(E896&lt;&gt;"", E896*10%, "")</f>
        <v>143</v>
      </c>
      <c r="H896" s="3">
        <f>IF(E896&lt;&gt;"",ROUND(IF(E896&gt;1500,E896*5%,),0),"")</f>
        <v>0</v>
      </c>
      <c r="I896" s="2" t="s">
        <v>2926</v>
      </c>
      <c r="J896" s="3" t="str">
        <f>IF(I896="Cash",L896,"")</f>
        <v/>
      </c>
      <c r="K896" s="3">
        <f>IF(I896="UPI",L896,"")</f>
        <v>1287</v>
      </c>
      <c r="L896" s="3">
        <f>IF(E896&lt;&gt;"",E896-G896-H896,"")</f>
        <v>1287</v>
      </c>
    </row>
    <row r="897" spans="2:12">
      <c r="B897" s="2" t="s">
        <v>2661</v>
      </c>
      <c r="C897" s="9">
        <v>46002</v>
      </c>
      <c r="D897" s="4">
        <v>4</v>
      </c>
      <c r="E897" s="3">
        <v>2800</v>
      </c>
      <c r="F897" s="7">
        <f t="shared" si="13"/>
        <v>46002</v>
      </c>
      <c r="G897" s="3">
        <f>IF(E897&lt;&gt;"", E897*10%, "")</f>
        <v>280</v>
      </c>
      <c r="H897" s="3">
        <f>IF(E897&lt;&gt;"",ROUND(IF(E897&gt;1500,E897*5%,),0),"")</f>
        <v>140</v>
      </c>
      <c r="I897" s="2" t="s">
        <v>2925</v>
      </c>
      <c r="J897" s="3">
        <f>IF(I897="Cash",L897,"")</f>
        <v>2380</v>
      </c>
      <c r="K897" s="3" t="str">
        <f>IF(I897="UPI",L897,"")</f>
        <v/>
      </c>
      <c r="L897" s="3">
        <f>IF(E897&lt;&gt;"",E897-G897-H897,"")</f>
        <v>2380</v>
      </c>
    </row>
    <row r="898" spans="2:12">
      <c r="B898" s="2" t="s">
        <v>2662</v>
      </c>
      <c r="C898" s="9">
        <v>46002</v>
      </c>
      <c r="D898" s="4">
        <v>4</v>
      </c>
      <c r="E898" s="3">
        <v>1900</v>
      </c>
      <c r="F898" s="7">
        <f t="shared" si="13"/>
        <v>46002</v>
      </c>
      <c r="G898" s="3">
        <f>IF(E898&lt;&gt;"", E898*10%, "")</f>
        <v>190</v>
      </c>
      <c r="H898" s="3">
        <f>IF(E898&lt;&gt;"",ROUND(IF(E898&gt;1500,E898*5%,),0),"")</f>
        <v>95</v>
      </c>
      <c r="I898" s="2" t="s">
        <v>2925</v>
      </c>
      <c r="J898" s="3">
        <f>IF(I898="Cash",L898,"")</f>
        <v>1615</v>
      </c>
      <c r="K898" s="3" t="str">
        <f>IF(I898="UPI",L898,"")</f>
        <v/>
      </c>
      <c r="L898" s="3">
        <f>IF(E898&lt;&gt;"",E898-G898-H898,"")</f>
        <v>1615</v>
      </c>
    </row>
    <row r="899" spans="2:12">
      <c r="B899" s="2" t="s">
        <v>2663</v>
      </c>
      <c r="C899" s="9">
        <v>46002</v>
      </c>
      <c r="D899" s="4">
        <v>2</v>
      </c>
      <c r="E899" s="3">
        <v>1850</v>
      </c>
      <c r="F899" s="7">
        <f t="shared" si="13"/>
        <v>46002</v>
      </c>
      <c r="G899" s="3">
        <f>IF(E899&lt;&gt;"", E899*10%, "")</f>
        <v>185</v>
      </c>
      <c r="H899" s="3">
        <f>IF(E899&lt;&gt;"",ROUND(IF(E899&gt;1500,E899*5%,),0),"")</f>
        <v>93</v>
      </c>
      <c r="I899" s="2" t="s">
        <v>2925</v>
      </c>
      <c r="J899" s="3">
        <f>IF(I899="Cash",L899,"")</f>
        <v>1572</v>
      </c>
      <c r="K899" s="3" t="str">
        <f>IF(I899="UPI",L899,"")</f>
        <v/>
      </c>
      <c r="L899" s="3">
        <f>IF(E899&lt;&gt;"",E899-G899-H899,"")</f>
        <v>1572</v>
      </c>
    </row>
    <row r="900" spans="2:12">
      <c r="B900" s="2" t="s">
        <v>2664</v>
      </c>
      <c r="C900" s="9">
        <v>46002</v>
      </c>
      <c r="D900" s="4">
        <v>4</v>
      </c>
      <c r="E900" s="3">
        <v>2260</v>
      </c>
      <c r="F900" s="7">
        <f t="shared" si="13"/>
        <v>46002</v>
      </c>
      <c r="G900" s="3">
        <f>IF(E900&lt;&gt;"", E900*10%, "")</f>
        <v>226</v>
      </c>
      <c r="H900" s="3">
        <f>IF(E900&lt;&gt;"",ROUND(IF(E900&gt;1500,E900*5%,),0),"")</f>
        <v>113</v>
      </c>
      <c r="I900" s="2" t="s">
        <v>2925</v>
      </c>
      <c r="J900" s="3">
        <f>IF(I900="Cash",L900,"")</f>
        <v>1921</v>
      </c>
      <c r="K900" s="3" t="str">
        <f>IF(I900="UPI",L900,"")</f>
        <v/>
      </c>
      <c r="L900" s="3">
        <f>IF(E900&lt;&gt;"",E900-G900-H900,"")</f>
        <v>1921</v>
      </c>
    </row>
    <row r="901" spans="2:12">
      <c r="B901" s="2" t="s">
        <v>2665</v>
      </c>
      <c r="C901" s="9">
        <v>46002</v>
      </c>
      <c r="D901" s="4">
        <v>1</v>
      </c>
      <c r="E901" s="3">
        <v>630</v>
      </c>
      <c r="F901" s="7">
        <f t="shared" ref="F901:F964" si="14">C901</f>
        <v>46002</v>
      </c>
      <c r="G901" s="3">
        <f>IF(E901&lt;&gt;"", E901*10%, "")</f>
        <v>63</v>
      </c>
      <c r="H901" s="3">
        <f>IF(E901&lt;&gt;"",ROUND(IF(E901&gt;1500,E901*5%,),0),"")</f>
        <v>0</v>
      </c>
      <c r="I901" s="2" t="s">
        <v>2926</v>
      </c>
      <c r="J901" s="3" t="str">
        <f>IF(I901="Cash",L901,"")</f>
        <v/>
      </c>
      <c r="K901" s="3">
        <f>IF(I901="UPI",L901,"")</f>
        <v>567</v>
      </c>
      <c r="L901" s="3">
        <f>IF(E901&lt;&gt;"",E901-G901-H901,"")</f>
        <v>567</v>
      </c>
    </row>
    <row r="902" spans="2:12">
      <c r="B902" s="2" t="s">
        <v>2666</v>
      </c>
      <c r="C902" s="9">
        <v>46002</v>
      </c>
      <c r="D902" s="4">
        <v>1</v>
      </c>
      <c r="E902" s="3">
        <v>740</v>
      </c>
      <c r="F902" s="7">
        <f t="shared" si="14"/>
        <v>46002</v>
      </c>
      <c r="G902" s="3">
        <f>IF(E902&lt;&gt;"", E902*10%, "")</f>
        <v>74</v>
      </c>
      <c r="H902" s="3">
        <f>IF(E902&lt;&gt;"",ROUND(IF(E902&gt;1500,E902*5%,),0),"")</f>
        <v>0</v>
      </c>
      <c r="I902" s="2" t="s">
        <v>2926</v>
      </c>
      <c r="J902" s="3" t="str">
        <f>IF(I902="Cash",L902,"")</f>
        <v/>
      </c>
      <c r="K902" s="3">
        <f>IF(I902="UPI",L902,"")</f>
        <v>666</v>
      </c>
      <c r="L902" s="3">
        <f>IF(E902&lt;&gt;"",E902-G902-H902,"")</f>
        <v>666</v>
      </c>
    </row>
    <row r="903" spans="2:12">
      <c r="B903" s="2" t="s">
        <v>2667</v>
      </c>
      <c r="C903" s="9">
        <v>46002</v>
      </c>
      <c r="D903" s="4">
        <v>1</v>
      </c>
      <c r="E903" s="3">
        <v>800</v>
      </c>
      <c r="F903" s="7">
        <f t="shared" si="14"/>
        <v>46002</v>
      </c>
      <c r="G903" s="3">
        <f>IF(E903&lt;&gt;"", E903*10%, "")</f>
        <v>80</v>
      </c>
      <c r="H903" s="3">
        <f>IF(E903&lt;&gt;"",ROUND(IF(E903&gt;1500,E903*5%,),0),"")</f>
        <v>0</v>
      </c>
      <c r="I903" s="2" t="s">
        <v>2926</v>
      </c>
      <c r="J903" s="3" t="str">
        <f>IF(I903="Cash",L903,"")</f>
        <v/>
      </c>
      <c r="K903" s="3">
        <f>IF(I903="UPI",L903,"")</f>
        <v>720</v>
      </c>
      <c r="L903" s="3">
        <f>IF(E903&lt;&gt;"",E903-G903-H903,"")</f>
        <v>720</v>
      </c>
    </row>
    <row r="904" spans="2:12">
      <c r="B904" s="2" t="s">
        <v>2668</v>
      </c>
      <c r="C904" s="9">
        <v>46002</v>
      </c>
      <c r="D904" s="4">
        <v>2</v>
      </c>
      <c r="E904" s="3">
        <v>460</v>
      </c>
      <c r="F904" s="7">
        <f t="shared" si="14"/>
        <v>46002</v>
      </c>
      <c r="G904" s="3">
        <f>IF(E904&lt;&gt;"", E904*10%, "")</f>
        <v>46</v>
      </c>
      <c r="H904" s="3">
        <f>IF(E904&lt;&gt;"",ROUND(IF(E904&gt;1500,E904*5%,),0),"")</f>
        <v>0</v>
      </c>
      <c r="I904" s="2" t="s">
        <v>2926</v>
      </c>
      <c r="J904" s="3" t="str">
        <f>IF(I904="Cash",L904,"")</f>
        <v/>
      </c>
      <c r="K904" s="3">
        <f>IF(I904="UPI",L904,"")</f>
        <v>414</v>
      </c>
      <c r="L904" s="3">
        <f>IF(E904&lt;&gt;"",E904-G904-H904,"")</f>
        <v>414</v>
      </c>
    </row>
    <row r="905" spans="2:12">
      <c r="B905" s="2" t="s">
        <v>2669</v>
      </c>
      <c r="C905" s="9">
        <v>46002</v>
      </c>
      <c r="D905" s="4">
        <v>1</v>
      </c>
      <c r="E905" s="3">
        <v>860</v>
      </c>
      <c r="F905" s="7">
        <f t="shared" si="14"/>
        <v>46002</v>
      </c>
      <c r="G905" s="3">
        <f>IF(E905&lt;&gt;"", E905*10%, "")</f>
        <v>86</v>
      </c>
      <c r="H905" s="3">
        <f>IF(E905&lt;&gt;"",ROUND(IF(E905&gt;1500,E905*5%,),0),"")</f>
        <v>0</v>
      </c>
      <c r="I905" s="2" t="s">
        <v>2926</v>
      </c>
      <c r="J905" s="3" t="str">
        <f>IF(I905="Cash",L905,"")</f>
        <v/>
      </c>
      <c r="K905" s="3">
        <f>IF(I905="UPI",L905,"")</f>
        <v>774</v>
      </c>
      <c r="L905" s="3">
        <f>IF(E905&lt;&gt;"",E905-G905-H905,"")</f>
        <v>774</v>
      </c>
    </row>
    <row r="906" spans="2:12">
      <c r="B906" s="2" t="s">
        <v>2670</v>
      </c>
      <c r="C906" s="9">
        <v>46002</v>
      </c>
      <c r="D906" s="4">
        <v>2</v>
      </c>
      <c r="E906" s="3">
        <v>1250</v>
      </c>
      <c r="F906" s="7">
        <f t="shared" si="14"/>
        <v>46002</v>
      </c>
      <c r="G906" s="3">
        <f>IF(E906&lt;&gt;"", E906*10%, "")</f>
        <v>125</v>
      </c>
      <c r="H906" s="3">
        <f>IF(E906&lt;&gt;"",ROUND(IF(E906&gt;1500,E906*5%,),0),"")</f>
        <v>0</v>
      </c>
      <c r="I906" s="2" t="s">
        <v>2926</v>
      </c>
      <c r="J906" s="3" t="str">
        <f>IF(I906="Cash",L906,"")</f>
        <v/>
      </c>
      <c r="K906" s="3">
        <f>IF(I906="UPI",L906,"")</f>
        <v>1125</v>
      </c>
      <c r="L906" s="3">
        <f>IF(E906&lt;&gt;"",E906-G906-H906,"")</f>
        <v>1125</v>
      </c>
    </row>
    <row r="907" spans="2:12">
      <c r="B907" s="2" t="s">
        <v>2671</v>
      </c>
      <c r="C907" s="9">
        <v>46003</v>
      </c>
      <c r="D907" s="4">
        <v>2</v>
      </c>
      <c r="E907" s="3">
        <v>1060</v>
      </c>
      <c r="F907" s="7">
        <f t="shared" si="14"/>
        <v>46003</v>
      </c>
      <c r="G907" s="3">
        <f>IF(E907&lt;&gt;"", E907*10%, "")</f>
        <v>106</v>
      </c>
      <c r="H907" s="3">
        <f>IF(E907&lt;&gt;"",ROUND(IF(E907&gt;1500,E907*5%,),0),"")</f>
        <v>0</v>
      </c>
      <c r="I907" s="2" t="s">
        <v>2926</v>
      </c>
      <c r="J907" s="3" t="str">
        <f>IF(I907="Cash",L907,"")</f>
        <v/>
      </c>
      <c r="K907" s="3">
        <f>IF(I907="UPI",L907,"")</f>
        <v>954</v>
      </c>
      <c r="L907" s="3">
        <f>IF(E907&lt;&gt;"",E907-G907-H907,"")</f>
        <v>954</v>
      </c>
    </row>
    <row r="908" spans="2:12">
      <c r="B908" s="2" t="s">
        <v>2672</v>
      </c>
      <c r="C908" s="9">
        <v>46003</v>
      </c>
      <c r="D908" s="4">
        <v>1</v>
      </c>
      <c r="E908" s="3">
        <v>170</v>
      </c>
      <c r="F908" s="7">
        <f t="shared" si="14"/>
        <v>46003</v>
      </c>
      <c r="G908" s="3">
        <f>IF(E908&lt;&gt;"", E908*10%, "")</f>
        <v>17</v>
      </c>
      <c r="H908" s="3">
        <f>IF(E908&lt;&gt;"",ROUND(IF(E908&gt;1500,E908*5%,),0),"")</f>
        <v>0</v>
      </c>
      <c r="I908" s="2" t="s">
        <v>2926</v>
      </c>
      <c r="J908" s="3" t="str">
        <f>IF(I908="Cash",L908,"")</f>
        <v/>
      </c>
      <c r="K908" s="3">
        <f>IF(I908="UPI",L908,"")</f>
        <v>153</v>
      </c>
      <c r="L908" s="3">
        <f>IF(E908&lt;&gt;"",E908-G908-H908,"")</f>
        <v>153</v>
      </c>
    </row>
    <row r="909" spans="2:12">
      <c r="B909" s="2" t="s">
        <v>2673</v>
      </c>
      <c r="C909" s="9">
        <v>46003</v>
      </c>
      <c r="D909" s="4">
        <v>4</v>
      </c>
      <c r="E909" s="3">
        <v>3140</v>
      </c>
      <c r="F909" s="7">
        <f t="shared" si="14"/>
        <v>46003</v>
      </c>
      <c r="G909" s="3">
        <f>IF(E909&lt;&gt;"", E909*10%, "")</f>
        <v>314</v>
      </c>
      <c r="H909" s="3">
        <f>IF(E909&lt;&gt;"",ROUND(IF(E909&gt;1500,E909*5%,),0),"")</f>
        <v>157</v>
      </c>
      <c r="I909" s="2" t="s">
        <v>2928</v>
      </c>
      <c r="J909" s="3">
        <v>1500</v>
      </c>
      <c r="K909" s="3">
        <v>1169</v>
      </c>
      <c r="L909" s="3">
        <f>IF(E909&lt;&gt;"",E909-G909-H909,"")</f>
        <v>2669</v>
      </c>
    </row>
    <row r="910" spans="2:12">
      <c r="B910" s="2" t="s">
        <v>2674</v>
      </c>
      <c r="C910" s="9">
        <v>46003</v>
      </c>
      <c r="D910" s="4">
        <v>4</v>
      </c>
      <c r="E910" s="3">
        <v>3090</v>
      </c>
      <c r="F910" s="7">
        <f t="shared" si="14"/>
        <v>46003</v>
      </c>
      <c r="G910" s="3">
        <f>IF(E910&lt;&gt;"", E910*10%, "")</f>
        <v>309</v>
      </c>
      <c r="H910" s="3">
        <f>IF(E910&lt;&gt;"",ROUND(IF(E910&gt;1500,E910*5%,),0),"")</f>
        <v>155</v>
      </c>
      <c r="I910" s="2" t="s">
        <v>2928</v>
      </c>
      <c r="J910" s="3">
        <v>1550</v>
      </c>
      <c r="K910" s="3">
        <v>1076</v>
      </c>
      <c r="L910" s="3">
        <f>IF(E910&lt;&gt;"",E910-G910-H910,"")</f>
        <v>2626</v>
      </c>
    </row>
    <row r="911" spans="2:12">
      <c r="B911" s="2" t="s">
        <v>2675</v>
      </c>
      <c r="C911" s="9">
        <v>46003</v>
      </c>
      <c r="D911" s="4">
        <v>4</v>
      </c>
      <c r="E911" s="3">
        <v>2070</v>
      </c>
      <c r="F911" s="7">
        <f t="shared" si="14"/>
        <v>46003</v>
      </c>
      <c r="G911" s="3">
        <f>IF(E911&lt;&gt;"", E911*10%, "")</f>
        <v>207</v>
      </c>
      <c r="H911" s="3">
        <f>IF(E911&lt;&gt;"",ROUND(IF(E911&gt;1500,E911*5%,),0),"")</f>
        <v>104</v>
      </c>
      <c r="I911" s="2" t="s">
        <v>2925</v>
      </c>
      <c r="J911" s="3">
        <f>IF(I911="Cash",L911,"")</f>
        <v>1759</v>
      </c>
      <c r="K911" s="3" t="str">
        <f>IF(I911="UPI",L911,"")</f>
        <v/>
      </c>
      <c r="L911" s="3">
        <f>IF(E911&lt;&gt;"",E911-G911-H911,"")</f>
        <v>1759</v>
      </c>
    </row>
    <row r="912" spans="2:12">
      <c r="B912" s="2" t="s">
        <v>2676</v>
      </c>
      <c r="C912" s="9">
        <v>46003</v>
      </c>
      <c r="D912" s="4">
        <v>1</v>
      </c>
      <c r="E912" s="3">
        <v>660</v>
      </c>
      <c r="F912" s="7">
        <f t="shared" si="14"/>
        <v>46003</v>
      </c>
      <c r="G912" s="3">
        <f>IF(E912&lt;&gt;"", E912*10%, "")</f>
        <v>66</v>
      </c>
      <c r="H912" s="3">
        <f>IF(E912&lt;&gt;"",ROUND(IF(E912&gt;1500,E912*5%,),0),"")</f>
        <v>0</v>
      </c>
      <c r="I912" s="2" t="s">
        <v>2926</v>
      </c>
      <c r="J912" s="3" t="str">
        <f>IF(I912="Cash",L912,"")</f>
        <v/>
      </c>
      <c r="K912" s="3">
        <f>IF(I912="UPI",L912,"")</f>
        <v>594</v>
      </c>
      <c r="L912" s="3">
        <f>IF(E912&lt;&gt;"",E912-G912-H912,"")</f>
        <v>594</v>
      </c>
    </row>
    <row r="913" spans="2:12">
      <c r="B913" s="2" t="s">
        <v>2677</v>
      </c>
      <c r="C913" s="9">
        <v>46003</v>
      </c>
      <c r="D913" s="4">
        <v>2</v>
      </c>
      <c r="E913" s="3">
        <v>1310</v>
      </c>
      <c r="F913" s="7">
        <f t="shared" si="14"/>
        <v>46003</v>
      </c>
      <c r="G913" s="3">
        <f>IF(E913&lt;&gt;"", E913*10%, "")</f>
        <v>131</v>
      </c>
      <c r="H913" s="3">
        <f>IF(E913&lt;&gt;"",ROUND(IF(E913&gt;1500,E913*5%,),0),"")</f>
        <v>0</v>
      </c>
      <c r="I913" s="2" t="s">
        <v>2926</v>
      </c>
      <c r="J913" s="3" t="str">
        <f>IF(I913="Cash",L913,"")</f>
        <v/>
      </c>
      <c r="K913" s="3">
        <f>IF(I913="UPI",L913,"")</f>
        <v>1179</v>
      </c>
      <c r="L913" s="3">
        <f>IF(E913&lt;&gt;"",E913-G913-H913,"")</f>
        <v>1179</v>
      </c>
    </row>
    <row r="914" spans="2:12">
      <c r="B914" s="2" t="s">
        <v>2678</v>
      </c>
      <c r="C914" s="9">
        <v>46003</v>
      </c>
      <c r="D914" s="4">
        <v>2</v>
      </c>
      <c r="E914" s="3">
        <v>1470</v>
      </c>
      <c r="F914" s="7">
        <f t="shared" si="14"/>
        <v>46003</v>
      </c>
      <c r="G914" s="3">
        <f>IF(E914&lt;&gt;"", E914*10%, "")</f>
        <v>147</v>
      </c>
      <c r="H914" s="3">
        <f>IF(E914&lt;&gt;"",ROUND(IF(E914&gt;1500,E914*5%,),0),"")</f>
        <v>0</v>
      </c>
      <c r="I914" s="2" t="s">
        <v>2926</v>
      </c>
      <c r="J914" s="3" t="str">
        <f>IF(I914="Cash",L914,"")</f>
        <v/>
      </c>
      <c r="K914" s="3">
        <f>IF(I914="UPI",L914,"")</f>
        <v>1323</v>
      </c>
      <c r="L914" s="3">
        <f>IF(E914&lt;&gt;"",E914-G914-H914,"")</f>
        <v>1323</v>
      </c>
    </row>
    <row r="915" spans="2:12">
      <c r="B915" s="2" t="s">
        <v>2679</v>
      </c>
      <c r="C915" s="9">
        <v>46003</v>
      </c>
      <c r="D915" s="4">
        <v>4</v>
      </c>
      <c r="E915" s="3">
        <v>3140</v>
      </c>
      <c r="F915" s="7">
        <f t="shared" si="14"/>
        <v>46003</v>
      </c>
      <c r="G915" s="3">
        <f>IF(E915&lt;&gt;"", E915*10%, "")</f>
        <v>314</v>
      </c>
      <c r="H915" s="3">
        <f>IF(E915&lt;&gt;"",ROUND(IF(E915&gt;1500,E915*5%,),0),"")</f>
        <v>157</v>
      </c>
      <c r="I915" s="2" t="s">
        <v>2928</v>
      </c>
      <c r="J915" s="3">
        <v>500</v>
      </c>
      <c r="K915" s="3">
        <v>2169</v>
      </c>
      <c r="L915" s="3">
        <f>IF(E915&lt;&gt;"",E915-G915-H915,"")</f>
        <v>2669</v>
      </c>
    </row>
    <row r="916" spans="2:12">
      <c r="B916" s="2" t="s">
        <v>2680</v>
      </c>
      <c r="C916" s="9">
        <v>46003</v>
      </c>
      <c r="D916" s="4">
        <v>2</v>
      </c>
      <c r="E916" s="3">
        <v>1040</v>
      </c>
      <c r="F916" s="7">
        <f t="shared" si="14"/>
        <v>46003</v>
      </c>
      <c r="G916" s="3">
        <f>IF(E916&lt;&gt;"", E916*10%, "")</f>
        <v>104</v>
      </c>
      <c r="H916" s="3">
        <f>IF(E916&lt;&gt;"",ROUND(IF(E916&gt;1500,E916*5%,),0),"")</f>
        <v>0</v>
      </c>
      <c r="I916" s="2" t="s">
        <v>2926</v>
      </c>
      <c r="J916" s="3" t="str">
        <f>IF(I916="Cash",L916,"")</f>
        <v/>
      </c>
      <c r="K916" s="3">
        <f>IF(I916="UPI",L916,"")</f>
        <v>936</v>
      </c>
      <c r="L916" s="3">
        <f>IF(E916&lt;&gt;"",E916-G916-H916,"")</f>
        <v>936</v>
      </c>
    </row>
    <row r="917" spans="2:12">
      <c r="B917" s="2" t="s">
        <v>2681</v>
      </c>
      <c r="C917" s="9">
        <v>46003</v>
      </c>
      <c r="D917" s="4">
        <v>3</v>
      </c>
      <c r="E917" s="3">
        <v>2140</v>
      </c>
      <c r="F917" s="7">
        <f t="shared" si="14"/>
        <v>46003</v>
      </c>
      <c r="G917" s="3">
        <f>IF(E917&lt;&gt;"", E917*10%, "")</f>
        <v>214</v>
      </c>
      <c r="H917" s="3">
        <f>IF(E917&lt;&gt;"",ROUND(IF(E917&gt;1500,E917*5%,),0),"")</f>
        <v>107</v>
      </c>
      <c r="I917" s="2" t="s">
        <v>2925</v>
      </c>
      <c r="J917" s="3">
        <f>IF(I917="Cash",L917,"")</f>
        <v>1819</v>
      </c>
      <c r="K917" s="3" t="str">
        <f>IF(I917="UPI",L917,"")</f>
        <v/>
      </c>
      <c r="L917" s="3">
        <f>IF(E917&lt;&gt;"",E917-G917-H917,"")</f>
        <v>1819</v>
      </c>
    </row>
    <row r="918" spans="2:12">
      <c r="B918" s="2" t="s">
        <v>2682</v>
      </c>
      <c r="C918" s="9">
        <v>46003</v>
      </c>
      <c r="D918" s="4">
        <v>2</v>
      </c>
      <c r="E918" s="3">
        <v>1280</v>
      </c>
      <c r="F918" s="7">
        <f t="shared" si="14"/>
        <v>46003</v>
      </c>
      <c r="G918" s="3">
        <f>IF(E918&lt;&gt;"", E918*10%, "")</f>
        <v>128</v>
      </c>
      <c r="H918" s="3">
        <f>IF(E918&lt;&gt;"",ROUND(IF(E918&gt;1500,E918*5%,),0),"")</f>
        <v>0</v>
      </c>
      <c r="I918" s="2" t="s">
        <v>2926</v>
      </c>
      <c r="J918" s="3" t="str">
        <f>IF(I918="Cash",L918,"")</f>
        <v/>
      </c>
      <c r="K918" s="3">
        <f>IF(I918="UPI",L918,"")</f>
        <v>1152</v>
      </c>
      <c r="L918" s="3">
        <f>IF(E918&lt;&gt;"",E918-G918-H918,"")</f>
        <v>1152</v>
      </c>
    </row>
    <row r="919" spans="2:12">
      <c r="B919" s="2" t="s">
        <v>2683</v>
      </c>
      <c r="C919" s="9">
        <v>46004</v>
      </c>
      <c r="D919" s="4">
        <v>3</v>
      </c>
      <c r="E919" s="3">
        <v>1440</v>
      </c>
      <c r="F919" s="7">
        <f t="shared" si="14"/>
        <v>46004</v>
      </c>
      <c r="G919" s="3">
        <f>IF(E919&lt;&gt;"", E919*10%, "")</f>
        <v>144</v>
      </c>
      <c r="H919" s="3">
        <f>IF(E919&lt;&gt;"",ROUND(IF(E919&gt;1500,E919*5%,),0),"")</f>
        <v>0</v>
      </c>
      <c r="I919" s="2" t="s">
        <v>2926</v>
      </c>
      <c r="J919" s="3" t="str">
        <f>IF(I919="Cash",L919,"")</f>
        <v/>
      </c>
      <c r="K919" s="3">
        <f>IF(I919="UPI",L919,"")</f>
        <v>1296</v>
      </c>
      <c r="L919" s="3">
        <f>IF(E919&lt;&gt;"",E919-G919-H919,"")</f>
        <v>1296</v>
      </c>
    </row>
    <row r="920" spans="2:12">
      <c r="B920" s="2" t="s">
        <v>2684</v>
      </c>
      <c r="C920" s="9">
        <v>46004</v>
      </c>
      <c r="D920" s="4">
        <v>1</v>
      </c>
      <c r="E920" s="3">
        <v>100</v>
      </c>
      <c r="F920" s="7">
        <f t="shared" si="14"/>
        <v>46004</v>
      </c>
      <c r="G920" s="3">
        <f>IF(E920&lt;&gt;"", E920*10%, "")</f>
        <v>10</v>
      </c>
      <c r="H920" s="3">
        <f>IF(E920&lt;&gt;"",ROUND(IF(E920&gt;1500,E920*5%,),0),"")</f>
        <v>0</v>
      </c>
      <c r="I920" s="2" t="s">
        <v>2926</v>
      </c>
      <c r="J920" s="3" t="str">
        <f>IF(I920="Cash",L920,"")</f>
        <v/>
      </c>
      <c r="K920" s="3">
        <f>IF(I920="UPI",L920,"")</f>
        <v>90</v>
      </c>
      <c r="L920" s="3">
        <f>IF(E920&lt;&gt;"",E920-G920-H920,"")</f>
        <v>90</v>
      </c>
    </row>
    <row r="921" spans="2:12">
      <c r="B921" s="2" t="s">
        <v>2685</v>
      </c>
      <c r="C921" s="9">
        <v>46004</v>
      </c>
      <c r="D921" s="4">
        <v>4</v>
      </c>
      <c r="E921" s="3">
        <v>2270</v>
      </c>
      <c r="F921" s="7">
        <f t="shared" si="14"/>
        <v>46004</v>
      </c>
      <c r="G921" s="3">
        <f>IF(E921&lt;&gt;"", E921*10%, "")</f>
        <v>227</v>
      </c>
      <c r="H921" s="3">
        <f>IF(E921&lt;&gt;"",ROUND(IF(E921&gt;1500,E921*5%,),0),"")</f>
        <v>114</v>
      </c>
      <c r="I921" s="2" t="s">
        <v>2925</v>
      </c>
      <c r="J921" s="3">
        <f>IF(I921="Cash",L921,"")</f>
        <v>1929</v>
      </c>
      <c r="K921" s="3" t="str">
        <f>IF(I921="UPI",L921,"")</f>
        <v/>
      </c>
      <c r="L921" s="3">
        <f>IF(E921&lt;&gt;"",E921-G921-H921,"")</f>
        <v>1929</v>
      </c>
    </row>
    <row r="922" spans="2:12">
      <c r="B922" s="2" t="s">
        <v>2686</v>
      </c>
      <c r="C922" s="9">
        <v>46004</v>
      </c>
      <c r="D922" s="4">
        <v>2</v>
      </c>
      <c r="E922" s="3">
        <v>1070</v>
      </c>
      <c r="F922" s="7">
        <f t="shared" si="14"/>
        <v>46004</v>
      </c>
      <c r="G922" s="3">
        <f>IF(E922&lt;&gt;"", E922*10%, "")</f>
        <v>107</v>
      </c>
      <c r="H922" s="3">
        <f>IF(E922&lt;&gt;"",ROUND(IF(E922&gt;1500,E922*5%,),0),"")</f>
        <v>0</v>
      </c>
      <c r="I922" s="2" t="s">
        <v>2926</v>
      </c>
      <c r="J922" s="3" t="str">
        <f>IF(I922="Cash",L922,"")</f>
        <v/>
      </c>
      <c r="K922" s="3">
        <f>IF(I922="UPI",L922,"")</f>
        <v>963</v>
      </c>
      <c r="L922" s="3">
        <f>IF(E922&lt;&gt;"",E922-G922-H922,"")</f>
        <v>963</v>
      </c>
    </row>
    <row r="923" spans="2:12">
      <c r="B923" s="2" t="s">
        <v>2687</v>
      </c>
      <c r="C923" s="9">
        <v>46004</v>
      </c>
      <c r="D923" s="4">
        <v>3</v>
      </c>
      <c r="E923" s="3">
        <v>2810</v>
      </c>
      <c r="F923" s="7">
        <f t="shared" si="14"/>
        <v>46004</v>
      </c>
      <c r="G923" s="3">
        <f>IF(E923&lt;&gt;"", E923*10%, "")</f>
        <v>281</v>
      </c>
      <c r="H923" s="3">
        <f>IF(E923&lt;&gt;"",ROUND(IF(E923&gt;1500,E923*5%,),0),"")</f>
        <v>141</v>
      </c>
      <c r="I923" s="2" t="s">
        <v>2928</v>
      </c>
      <c r="J923" s="3">
        <v>600</v>
      </c>
      <c r="K923" s="3">
        <v>1788</v>
      </c>
      <c r="L923" s="3">
        <f>IF(E923&lt;&gt;"",E923-G923-H923,"")</f>
        <v>2388</v>
      </c>
    </row>
    <row r="924" spans="2:12">
      <c r="B924" s="2" t="s">
        <v>2688</v>
      </c>
      <c r="C924" s="9">
        <v>46004</v>
      </c>
      <c r="D924" s="4">
        <v>2</v>
      </c>
      <c r="E924" s="3">
        <v>1840</v>
      </c>
      <c r="F924" s="7">
        <f t="shared" si="14"/>
        <v>46004</v>
      </c>
      <c r="G924" s="3">
        <f>IF(E924&lt;&gt;"", E924*10%, "")</f>
        <v>184</v>
      </c>
      <c r="H924" s="3">
        <f>IF(E924&lt;&gt;"",ROUND(IF(E924&gt;1500,E924*5%,),0),"")</f>
        <v>92</v>
      </c>
      <c r="I924" s="2" t="s">
        <v>2925</v>
      </c>
      <c r="J924" s="3">
        <f>IF(I924="Cash",L924,"")</f>
        <v>1564</v>
      </c>
      <c r="K924" s="3" t="str">
        <f>IF(I924="UPI",L924,"")</f>
        <v/>
      </c>
      <c r="L924" s="3">
        <f>IF(E924&lt;&gt;"",E924-G924-H924,"")</f>
        <v>1564</v>
      </c>
    </row>
    <row r="925" spans="2:12">
      <c r="B925" s="2" t="s">
        <v>2689</v>
      </c>
      <c r="C925" s="9">
        <v>46004</v>
      </c>
      <c r="D925" s="4">
        <v>1</v>
      </c>
      <c r="E925" s="3">
        <v>130</v>
      </c>
      <c r="F925" s="7">
        <f t="shared" si="14"/>
        <v>46004</v>
      </c>
      <c r="G925" s="3">
        <f>IF(E925&lt;&gt;"", E925*10%, "")</f>
        <v>13</v>
      </c>
      <c r="H925" s="3">
        <f>IF(E925&lt;&gt;"",ROUND(IF(E925&gt;1500,E925*5%,),0),"")</f>
        <v>0</v>
      </c>
      <c r="I925" s="2" t="s">
        <v>2926</v>
      </c>
      <c r="J925" s="3" t="str">
        <f>IF(I925="Cash",L925,"")</f>
        <v/>
      </c>
      <c r="K925" s="3">
        <f>IF(I925="UPI",L925,"")</f>
        <v>117</v>
      </c>
      <c r="L925" s="3">
        <f>IF(E925&lt;&gt;"",E925-G925-H925,"")</f>
        <v>117</v>
      </c>
    </row>
    <row r="926" spans="2:12">
      <c r="B926" s="2" t="s">
        <v>2690</v>
      </c>
      <c r="C926" s="9">
        <v>46004</v>
      </c>
      <c r="D926" s="4">
        <v>1</v>
      </c>
      <c r="E926" s="3">
        <v>100</v>
      </c>
      <c r="F926" s="7">
        <f t="shared" si="14"/>
        <v>46004</v>
      </c>
      <c r="G926" s="3">
        <f>IF(E926&lt;&gt;"", E926*10%, "")</f>
        <v>10</v>
      </c>
      <c r="H926" s="3">
        <f>IF(E926&lt;&gt;"",ROUND(IF(E926&gt;1500,E926*5%,),0),"")</f>
        <v>0</v>
      </c>
      <c r="I926" s="2" t="s">
        <v>2926</v>
      </c>
      <c r="J926" s="3" t="str">
        <f>IF(I926="Cash",L926,"")</f>
        <v/>
      </c>
      <c r="K926" s="3">
        <f>IF(I926="UPI",L926,"")</f>
        <v>90</v>
      </c>
      <c r="L926" s="3">
        <f>IF(E926&lt;&gt;"",E926-G926-H926,"")</f>
        <v>90</v>
      </c>
    </row>
    <row r="927" spans="2:12">
      <c r="B927" s="2" t="s">
        <v>2691</v>
      </c>
      <c r="C927" s="9">
        <v>46004</v>
      </c>
      <c r="D927" s="4">
        <v>1</v>
      </c>
      <c r="E927" s="3">
        <v>660</v>
      </c>
      <c r="F927" s="7">
        <f t="shared" si="14"/>
        <v>46004</v>
      </c>
      <c r="G927" s="3">
        <f>IF(E927&lt;&gt;"", E927*10%, "")</f>
        <v>66</v>
      </c>
      <c r="H927" s="3">
        <f>IF(E927&lt;&gt;"",ROUND(IF(E927&gt;1500,E927*5%,),0),"")</f>
        <v>0</v>
      </c>
      <c r="I927" s="2" t="s">
        <v>2926</v>
      </c>
      <c r="J927" s="3" t="str">
        <f>IF(I927="Cash",L927,"")</f>
        <v/>
      </c>
      <c r="K927" s="3">
        <f>IF(I927="UPI",L927,"")</f>
        <v>594</v>
      </c>
      <c r="L927" s="3">
        <f>IF(E927&lt;&gt;"",E927-G927-H927,"")</f>
        <v>594</v>
      </c>
    </row>
    <row r="928" spans="2:12">
      <c r="B928" s="2" t="s">
        <v>2692</v>
      </c>
      <c r="C928" s="9">
        <v>46004</v>
      </c>
      <c r="D928" s="4">
        <v>4</v>
      </c>
      <c r="E928" s="3">
        <v>2460</v>
      </c>
      <c r="F928" s="7">
        <f t="shared" si="14"/>
        <v>46004</v>
      </c>
      <c r="G928" s="3">
        <f>IF(E928&lt;&gt;"", E928*10%, "")</f>
        <v>246</v>
      </c>
      <c r="H928" s="3">
        <f>IF(E928&lt;&gt;"",ROUND(IF(E928&gt;1500,E928*5%,),0),"")</f>
        <v>123</v>
      </c>
      <c r="I928" s="2" t="s">
        <v>2925</v>
      </c>
      <c r="J928" s="3">
        <f>IF(I928="Cash",L928,"")</f>
        <v>2091</v>
      </c>
      <c r="K928" s="3" t="str">
        <f>IF(I928="UPI",L928,"")</f>
        <v/>
      </c>
      <c r="L928" s="3">
        <f>IF(E928&lt;&gt;"",E928-G928-H928,"")</f>
        <v>2091</v>
      </c>
    </row>
    <row r="929" spans="2:12">
      <c r="B929" s="2" t="s">
        <v>2693</v>
      </c>
      <c r="C929" s="9">
        <v>46004</v>
      </c>
      <c r="D929" s="4">
        <v>1</v>
      </c>
      <c r="E929" s="3">
        <v>870</v>
      </c>
      <c r="F929" s="7">
        <f t="shared" si="14"/>
        <v>46004</v>
      </c>
      <c r="G929" s="3">
        <f>IF(E929&lt;&gt;"", E929*10%, "")</f>
        <v>87</v>
      </c>
      <c r="H929" s="3">
        <f>IF(E929&lt;&gt;"",ROUND(IF(E929&gt;1500,E929*5%,),0),"")</f>
        <v>0</v>
      </c>
      <c r="I929" s="2" t="s">
        <v>2926</v>
      </c>
      <c r="J929" s="3" t="str">
        <f>IF(I929="Cash",L929,"")</f>
        <v/>
      </c>
      <c r="K929" s="3">
        <f>IF(I929="UPI",L929,"")</f>
        <v>783</v>
      </c>
      <c r="L929" s="3">
        <f>IF(E929&lt;&gt;"",E929-G929-H929,"")</f>
        <v>783</v>
      </c>
    </row>
    <row r="930" spans="2:12">
      <c r="B930" s="2" t="s">
        <v>2694</v>
      </c>
      <c r="C930" s="9">
        <v>46004</v>
      </c>
      <c r="D930" s="4">
        <v>1</v>
      </c>
      <c r="E930" s="3">
        <v>880</v>
      </c>
      <c r="F930" s="7">
        <f t="shared" si="14"/>
        <v>46004</v>
      </c>
      <c r="G930" s="3">
        <f>IF(E930&lt;&gt;"", E930*10%, "")</f>
        <v>88</v>
      </c>
      <c r="H930" s="3">
        <f>IF(E930&lt;&gt;"",ROUND(IF(E930&gt;1500,E930*5%,),0),"")</f>
        <v>0</v>
      </c>
      <c r="I930" s="2" t="s">
        <v>2926</v>
      </c>
      <c r="J930" s="3" t="str">
        <f>IF(I930="Cash",L930,"")</f>
        <v/>
      </c>
      <c r="K930" s="3">
        <f>IF(I930="UPI",L930,"")</f>
        <v>792</v>
      </c>
      <c r="L930" s="3">
        <f>IF(E930&lt;&gt;"",E930-G930-H930,"")</f>
        <v>792</v>
      </c>
    </row>
    <row r="931" spans="2:12">
      <c r="B931" s="2" t="s">
        <v>2695</v>
      </c>
      <c r="C931" s="9">
        <v>46004</v>
      </c>
      <c r="D931" s="4">
        <v>4</v>
      </c>
      <c r="E931" s="3">
        <v>2530</v>
      </c>
      <c r="F931" s="7">
        <f t="shared" si="14"/>
        <v>46004</v>
      </c>
      <c r="G931" s="3">
        <f>IF(E931&lt;&gt;"", E931*10%, "")</f>
        <v>253</v>
      </c>
      <c r="H931" s="3">
        <f>IF(E931&lt;&gt;"",ROUND(IF(E931&gt;1500,E931*5%,),0),"")</f>
        <v>127</v>
      </c>
      <c r="I931" s="2" t="s">
        <v>2925</v>
      </c>
      <c r="J931" s="3">
        <f>IF(I931="Cash",L931,"")</f>
        <v>2150</v>
      </c>
      <c r="K931" s="3" t="str">
        <f>IF(I931="UPI",L931,"")</f>
        <v/>
      </c>
      <c r="L931" s="3">
        <f>IF(E931&lt;&gt;"",E931-G931-H931,"")</f>
        <v>2150</v>
      </c>
    </row>
    <row r="932" spans="2:12">
      <c r="B932" s="2" t="s">
        <v>2696</v>
      </c>
      <c r="C932" s="9">
        <v>46006</v>
      </c>
      <c r="D932" s="4">
        <v>2</v>
      </c>
      <c r="E932" s="3">
        <v>1670</v>
      </c>
      <c r="F932" s="7">
        <f t="shared" si="14"/>
        <v>46006</v>
      </c>
      <c r="G932" s="3">
        <f>IF(E932&lt;&gt;"", E932*10%, "")</f>
        <v>167</v>
      </c>
      <c r="H932" s="3">
        <f>IF(E932&lt;&gt;"",ROUND(IF(E932&gt;1500,E932*5%,),0),"")</f>
        <v>84</v>
      </c>
      <c r="I932" s="2" t="s">
        <v>2926</v>
      </c>
      <c r="J932" s="3" t="str">
        <f>IF(I932="Cash",L932,"")</f>
        <v/>
      </c>
      <c r="K932" s="3">
        <f>IF(I932="UPI",L932,"")</f>
        <v>1419</v>
      </c>
      <c r="L932" s="3">
        <f>IF(E932&lt;&gt;"",E932-G932-H932,"")</f>
        <v>1419</v>
      </c>
    </row>
    <row r="933" spans="2:12">
      <c r="B933" s="2" t="s">
        <v>2697</v>
      </c>
      <c r="C933" s="9">
        <v>46006</v>
      </c>
      <c r="D933" s="4">
        <v>3</v>
      </c>
      <c r="E933" s="3">
        <v>1640</v>
      </c>
      <c r="F933" s="7">
        <f t="shared" si="14"/>
        <v>46006</v>
      </c>
      <c r="G933" s="3">
        <f>IF(E933&lt;&gt;"", E933*10%, "")</f>
        <v>164</v>
      </c>
      <c r="H933" s="3">
        <f>IF(E933&lt;&gt;"",ROUND(IF(E933&gt;1500,E933*5%,),0),"")</f>
        <v>82</v>
      </c>
      <c r="I933" s="2" t="s">
        <v>2926</v>
      </c>
      <c r="J933" s="3" t="str">
        <f>IF(I933="Cash",L933,"")</f>
        <v/>
      </c>
      <c r="K933" s="3">
        <f>IF(I933="UPI",L933,"")</f>
        <v>1394</v>
      </c>
      <c r="L933" s="3">
        <f>IF(E933&lt;&gt;"",E933-G933-H933,"")</f>
        <v>1394</v>
      </c>
    </row>
    <row r="934" spans="2:12">
      <c r="B934" s="2" t="s">
        <v>2698</v>
      </c>
      <c r="C934" s="9">
        <v>46006</v>
      </c>
      <c r="D934" s="4">
        <v>2</v>
      </c>
      <c r="E934" s="3">
        <v>1600</v>
      </c>
      <c r="F934" s="7">
        <f t="shared" si="14"/>
        <v>46006</v>
      </c>
      <c r="G934" s="3">
        <f>IF(E934&lt;&gt;"", E934*10%, "")</f>
        <v>160</v>
      </c>
      <c r="H934" s="3">
        <f>IF(E934&lt;&gt;"",ROUND(IF(E934&gt;1500,E934*5%,),0),"")</f>
        <v>80</v>
      </c>
      <c r="I934" s="2" t="s">
        <v>2926</v>
      </c>
      <c r="J934" s="3" t="str">
        <f>IF(I934="Cash",L934,"")</f>
        <v/>
      </c>
      <c r="K934" s="3">
        <f>IF(I934="UPI",L934,"")</f>
        <v>1360</v>
      </c>
      <c r="L934" s="3">
        <f>IF(E934&lt;&gt;"",E934-G934-H934,"")</f>
        <v>1360</v>
      </c>
    </row>
    <row r="935" spans="2:12">
      <c r="B935" s="2" t="s">
        <v>2699</v>
      </c>
      <c r="C935" s="9">
        <v>46006</v>
      </c>
      <c r="D935" s="4">
        <v>2</v>
      </c>
      <c r="E935" s="3">
        <v>1600</v>
      </c>
      <c r="F935" s="7">
        <f t="shared" si="14"/>
        <v>46006</v>
      </c>
      <c r="G935" s="3">
        <f>IF(E935&lt;&gt;"", E935*10%, "")</f>
        <v>160</v>
      </c>
      <c r="H935" s="3">
        <f>IF(E935&lt;&gt;"",ROUND(IF(E935&gt;1500,E935*5%,),0),"")</f>
        <v>80</v>
      </c>
      <c r="I935" s="2" t="s">
        <v>2926</v>
      </c>
      <c r="J935" s="3" t="str">
        <f>IF(I935="Cash",L935,"")</f>
        <v/>
      </c>
      <c r="K935" s="3">
        <f>IF(I935="UPI",L935,"")</f>
        <v>1360</v>
      </c>
      <c r="L935" s="3">
        <f>IF(E935&lt;&gt;"",E935-G935-H935,"")</f>
        <v>1360</v>
      </c>
    </row>
    <row r="936" spans="2:12">
      <c r="B936" s="2" t="s">
        <v>2700</v>
      </c>
      <c r="C936" s="9">
        <v>46006</v>
      </c>
      <c r="D936" s="4">
        <v>4</v>
      </c>
      <c r="E936" s="3">
        <v>3250</v>
      </c>
      <c r="F936" s="7">
        <f t="shared" si="14"/>
        <v>46006</v>
      </c>
      <c r="G936" s="3">
        <f>IF(E936&lt;&gt;"", E936*10%, "")</f>
        <v>325</v>
      </c>
      <c r="H936" s="3">
        <f>IF(E936&lt;&gt;"",ROUND(IF(E936&gt;1500,E936*5%,),0),"")</f>
        <v>163</v>
      </c>
      <c r="I936" s="2" t="s">
        <v>2928</v>
      </c>
      <c r="J936" s="3">
        <v>1200</v>
      </c>
      <c r="K936" s="3">
        <v>1562</v>
      </c>
      <c r="L936" s="3">
        <f>IF(E936&lt;&gt;"",E936-G936-H936,"")</f>
        <v>2762</v>
      </c>
    </row>
    <row r="937" spans="2:12">
      <c r="B937" s="2" t="s">
        <v>2701</v>
      </c>
      <c r="C937" s="9">
        <v>46006</v>
      </c>
      <c r="D937" s="4">
        <v>4</v>
      </c>
      <c r="E937" s="3">
        <v>1490</v>
      </c>
      <c r="F937" s="7">
        <f t="shared" si="14"/>
        <v>46006</v>
      </c>
      <c r="G937" s="3">
        <f>IF(E937&lt;&gt;"", E937*10%, "")</f>
        <v>149</v>
      </c>
      <c r="H937" s="3">
        <f>IF(E937&lt;&gt;"",ROUND(IF(E937&gt;1500,E937*5%,),0),"")</f>
        <v>0</v>
      </c>
      <c r="I937" s="2" t="s">
        <v>2926</v>
      </c>
      <c r="J937" s="3" t="str">
        <f>IF(I937="Cash",L937,"")</f>
        <v/>
      </c>
      <c r="K937" s="3">
        <f>IF(I937="UPI",L937,"")</f>
        <v>1341</v>
      </c>
      <c r="L937" s="3">
        <f>IF(E937&lt;&gt;"",E937-G937-H937,"")</f>
        <v>1341</v>
      </c>
    </row>
    <row r="938" spans="2:12">
      <c r="B938" s="2" t="s">
        <v>2702</v>
      </c>
      <c r="C938" s="9">
        <v>46006</v>
      </c>
      <c r="D938" s="4">
        <v>2</v>
      </c>
      <c r="E938" s="3">
        <v>1530</v>
      </c>
      <c r="F938" s="7">
        <f t="shared" si="14"/>
        <v>46006</v>
      </c>
      <c r="G938" s="3">
        <f>IF(E938&lt;&gt;"", E938*10%, "")</f>
        <v>153</v>
      </c>
      <c r="H938" s="3">
        <f>IF(E938&lt;&gt;"",ROUND(IF(E938&gt;1500,E938*5%,),0),"")</f>
        <v>77</v>
      </c>
      <c r="I938" s="2" t="s">
        <v>2926</v>
      </c>
      <c r="J938" s="3" t="str">
        <f>IF(I938="Cash",L938,"")</f>
        <v/>
      </c>
      <c r="K938" s="3">
        <f>IF(I938="UPI",L938,"")</f>
        <v>1300</v>
      </c>
      <c r="L938" s="3">
        <f>IF(E938&lt;&gt;"",E938-G938-H938,"")</f>
        <v>1300</v>
      </c>
    </row>
    <row r="939" spans="2:12">
      <c r="B939" s="2" t="s">
        <v>2703</v>
      </c>
      <c r="C939" s="9">
        <v>46006</v>
      </c>
      <c r="D939" s="4">
        <v>4</v>
      </c>
      <c r="E939" s="3">
        <v>2450</v>
      </c>
      <c r="F939" s="7">
        <f t="shared" si="14"/>
        <v>46006</v>
      </c>
      <c r="G939" s="3">
        <f>IF(E939&lt;&gt;"", E939*10%, "")</f>
        <v>245</v>
      </c>
      <c r="H939" s="3">
        <f>IF(E939&lt;&gt;"",ROUND(IF(E939&gt;1500,E939*5%,),0),"")</f>
        <v>123</v>
      </c>
      <c r="I939" s="2" t="s">
        <v>2925</v>
      </c>
      <c r="J939" s="3">
        <f>IF(I939="Cash",L939,"")</f>
        <v>2082</v>
      </c>
      <c r="K939" s="3" t="str">
        <f>IF(I939="UPI",L939,"")</f>
        <v/>
      </c>
      <c r="L939" s="3">
        <f>IF(E939&lt;&gt;"",E939-G939-H939,"")</f>
        <v>2082</v>
      </c>
    </row>
    <row r="940" spans="2:12">
      <c r="B940" s="2" t="s">
        <v>2704</v>
      </c>
      <c r="C940" s="9">
        <v>46006</v>
      </c>
      <c r="D940" s="4">
        <v>2</v>
      </c>
      <c r="E940" s="3">
        <v>1700</v>
      </c>
      <c r="F940" s="7">
        <f t="shared" si="14"/>
        <v>46006</v>
      </c>
      <c r="G940" s="3">
        <f>IF(E940&lt;&gt;"", E940*10%, "")</f>
        <v>170</v>
      </c>
      <c r="H940" s="3">
        <f>IF(E940&lt;&gt;"",ROUND(IF(E940&gt;1500,E940*5%,),0),"")</f>
        <v>85</v>
      </c>
      <c r="I940" s="2" t="s">
        <v>2925</v>
      </c>
      <c r="J940" s="3">
        <f>IF(I940="Cash",L940,"")</f>
        <v>1445</v>
      </c>
      <c r="K940" s="3" t="str">
        <f>IF(I940="UPI",L940,"")</f>
        <v/>
      </c>
      <c r="L940" s="3">
        <f>IF(E940&lt;&gt;"",E940-G940-H940,"")</f>
        <v>1445</v>
      </c>
    </row>
    <row r="941" spans="2:12">
      <c r="B941" s="2" t="s">
        <v>2705</v>
      </c>
      <c r="C941" s="9">
        <v>46006</v>
      </c>
      <c r="D941" s="4">
        <v>1</v>
      </c>
      <c r="E941" s="3">
        <v>600</v>
      </c>
      <c r="F941" s="7">
        <f t="shared" si="14"/>
        <v>46006</v>
      </c>
      <c r="G941" s="3">
        <f>IF(E941&lt;&gt;"", E941*10%, "")</f>
        <v>60</v>
      </c>
      <c r="H941" s="3">
        <f>IF(E941&lt;&gt;"",ROUND(IF(E941&gt;1500,E941*5%,),0),"")</f>
        <v>0</v>
      </c>
      <c r="I941" s="2" t="s">
        <v>2926</v>
      </c>
      <c r="J941" s="3" t="str">
        <f>IF(I941="Cash",L941,"")</f>
        <v/>
      </c>
      <c r="K941" s="3">
        <f>IF(I941="UPI",L941,"")</f>
        <v>540</v>
      </c>
      <c r="L941" s="3">
        <f>IF(E941&lt;&gt;"",E941-G941-H941,"")</f>
        <v>540</v>
      </c>
    </row>
    <row r="942" spans="2:12">
      <c r="B942" s="2" t="s">
        <v>2706</v>
      </c>
      <c r="C942" s="9">
        <v>46006</v>
      </c>
      <c r="D942" s="4">
        <v>1</v>
      </c>
      <c r="E942" s="3">
        <v>370</v>
      </c>
      <c r="F942" s="7">
        <f t="shared" si="14"/>
        <v>46006</v>
      </c>
      <c r="G942" s="3">
        <f>IF(E942&lt;&gt;"", E942*10%, "")</f>
        <v>37</v>
      </c>
      <c r="H942" s="3">
        <f>IF(E942&lt;&gt;"",ROUND(IF(E942&gt;1500,E942*5%,),0),"")</f>
        <v>0</v>
      </c>
      <c r="I942" s="2" t="s">
        <v>2926</v>
      </c>
      <c r="J942" s="3" t="str">
        <f>IF(I942="Cash",L942,"")</f>
        <v/>
      </c>
      <c r="K942" s="3">
        <f>IF(I942="UPI",L942,"")</f>
        <v>333</v>
      </c>
      <c r="L942" s="3">
        <f>IF(E942&lt;&gt;"",E942-G942-H942,"")</f>
        <v>333</v>
      </c>
    </row>
    <row r="943" spans="2:12">
      <c r="B943" s="2" t="s">
        <v>2707</v>
      </c>
      <c r="C943" s="9">
        <v>46006</v>
      </c>
      <c r="D943" s="4">
        <v>1</v>
      </c>
      <c r="E943" s="3">
        <v>340</v>
      </c>
      <c r="F943" s="7">
        <f t="shared" si="14"/>
        <v>46006</v>
      </c>
      <c r="G943" s="3">
        <f>IF(E943&lt;&gt;"", E943*10%, "")</f>
        <v>34</v>
      </c>
      <c r="H943" s="3">
        <f>IF(E943&lt;&gt;"",ROUND(IF(E943&gt;1500,E943*5%,),0),"")</f>
        <v>0</v>
      </c>
      <c r="I943" s="2" t="s">
        <v>2926</v>
      </c>
      <c r="J943" s="3" t="str">
        <f>IF(I943="Cash",L943,"")</f>
        <v/>
      </c>
      <c r="K943" s="3">
        <f>IF(I943="UPI",L943,"")</f>
        <v>306</v>
      </c>
      <c r="L943" s="3">
        <f>IF(E943&lt;&gt;"",E943-G943-H943,"")</f>
        <v>306</v>
      </c>
    </row>
    <row r="944" spans="2:12">
      <c r="B944" s="2" t="s">
        <v>2708</v>
      </c>
      <c r="C944" s="9">
        <v>46006</v>
      </c>
      <c r="D944" s="4">
        <v>1</v>
      </c>
      <c r="E944" s="3">
        <v>450</v>
      </c>
      <c r="F944" s="7">
        <f t="shared" si="14"/>
        <v>46006</v>
      </c>
      <c r="G944" s="3">
        <f>IF(E944&lt;&gt;"", E944*10%, "")</f>
        <v>45</v>
      </c>
      <c r="H944" s="3">
        <f>IF(E944&lt;&gt;"",ROUND(IF(E944&gt;1500,E944*5%,),0),"")</f>
        <v>0</v>
      </c>
      <c r="I944" s="2" t="s">
        <v>2926</v>
      </c>
      <c r="J944" s="3" t="str">
        <f>IF(I944="Cash",L944,"")</f>
        <v/>
      </c>
      <c r="K944" s="3">
        <f>IF(I944="UPI",L944,"")</f>
        <v>405</v>
      </c>
      <c r="L944" s="3">
        <f>IF(E944&lt;&gt;"",E944-G944-H944,"")</f>
        <v>405</v>
      </c>
    </row>
    <row r="945" spans="2:12">
      <c r="B945" s="2" t="s">
        <v>2709</v>
      </c>
      <c r="C945" s="9">
        <v>46007</v>
      </c>
      <c r="D945" s="4">
        <v>2</v>
      </c>
      <c r="E945" s="3">
        <v>1590</v>
      </c>
      <c r="F945" s="7">
        <f t="shared" si="14"/>
        <v>46007</v>
      </c>
      <c r="G945" s="3">
        <f>IF(E945&lt;&gt;"", E945*10%, "")</f>
        <v>159</v>
      </c>
      <c r="H945" s="3">
        <f>IF(E945&lt;&gt;"",ROUND(IF(E945&gt;1500,E945*5%,),0),"")</f>
        <v>80</v>
      </c>
      <c r="I945" s="2" t="s">
        <v>2926</v>
      </c>
      <c r="J945" s="3" t="str">
        <f>IF(I945="Cash",L945,"")</f>
        <v/>
      </c>
      <c r="K945" s="3">
        <f>IF(I945="UPI",L945,"")</f>
        <v>1351</v>
      </c>
      <c r="L945" s="3">
        <f>IF(E945&lt;&gt;"",E945-G945-H945,"")</f>
        <v>1351</v>
      </c>
    </row>
    <row r="946" spans="2:12">
      <c r="B946" s="2" t="s">
        <v>2710</v>
      </c>
      <c r="C946" s="9">
        <v>46007</v>
      </c>
      <c r="D946" s="4">
        <v>3</v>
      </c>
      <c r="E946" s="3">
        <v>1800</v>
      </c>
      <c r="F946" s="7">
        <f t="shared" si="14"/>
        <v>46007</v>
      </c>
      <c r="G946" s="3">
        <f>IF(E946&lt;&gt;"", E946*10%, "")</f>
        <v>180</v>
      </c>
      <c r="H946" s="3">
        <f>IF(E946&lt;&gt;"",ROUND(IF(E946&gt;1500,E946*5%,),0),"")</f>
        <v>90</v>
      </c>
      <c r="I946" s="2" t="s">
        <v>2925</v>
      </c>
      <c r="J946" s="3">
        <f>IF(I946="Cash",L946,"")</f>
        <v>1530</v>
      </c>
      <c r="K946" s="3" t="str">
        <f>IF(I946="UPI",L946,"")</f>
        <v/>
      </c>
      <c r="L946" s="3">
        <f>IF(E946&lt;&gt;"",E946-G946-H946,"")</f>
        <v>1530</v>
      </c>
    </row>
    <row r="947" spans="2:12">
      <c r="B947" s="2" t="s">
        <v>2711</v>
      </c>
      <c r="C947" s="9">
        <v>46007</v>
      </c>
      <c r="D947" s="4">
        <v>4</v>
      </c>
      <c r="E947" s="3">
        <v>1960</v>
      </c>
      <c r="F947" s="7">
        <f t="shared" si="14"/>
        <v>46007</v>
      </c>
      <c r="G947" s="3">
        <f>IF(E947&lt;&gt;"", E947*10%, "")</f>
        <v>196</v>
      </c>
      <c r="H947" s="3">
        <f>IF(E947&lt;&gt;"",ROUND(IF(E947&gt;1500,E947*5%,),0),"")</f>
        <v>98</v>
      </c>
      <c r="I947" s="2" t="s">
        <v>2925</v>
      </c>
      <c r="J947" s="3">
        <f>IF(I947="Cash",L947,"")</f>
        <v>1666</v>
      </c>
      <c r="K947" s="3" t="str">
        <f>IF(I947="UPI",L947,"")</f>
        <v/>
      </c>
      <c r="L947" s="3">
        <f>IF(E947&lt;&gt;"",E947-G947-H947,"")</f>
        <v>1666</v>
      </c>
    </row>
    <row r="948" spans="2:12">
      <c r="B948" s="2" t="s">
        <v>2712</v>
      </c>
      <c r="C948" s="9">
        <v>46007</v>
      </c>
      <c r="D948" s="4">
        <v>3</v>
      </c>
      <c r="E948" s="3">
        <v>2450</v>
      </c>
      <c r="F948" s="7">
        <f t="shared" si="14"/>
        <v>46007</v>
      </c>
      <c r="G948" s="3">
        <f>IF(E948&lt;&gt;"", E948*10%, "")</f>
        <v>245</v>
      </c>
      <c r="H948" s="3">
        <f>IF(E948&lt;&gt;"",ROUND(IF(E948&gt;1500,E948*5%,),0),"")</f>
        <v>123</v>
      </c>
      <c r="I948" s="2" t="s">
        <v>2925</v>
      </c>
      <c r="J948" s="3">
        <f>IF(I948="Cash",L948,"")</f>
        <v>2082</v>
      </c>
      <c r="K948" s="3" t="str">
        <f>IF(I948="UPI",L948,"")</f>
        <v/>
      </c>
      <c r="L948" s="3">
        <f>IF(E948&lt;&gt;"",E948-G948-H948,"")</f>
        <v>2082</v>
      </c>
    </row>
    <row r="949" spans="2:12">
      <c r="B949" s="2" t="s">
        <v>2713</v>
      </c>
      <c r="C949" s="9">
        <v>46007</v>
      </c>
      <c r="D949" s="4">
        <v>4</v>
      </c>
      <c r="E949" s="3">
        <v>3250</v>
      </c>
      <c r="F949" s="7">
        <f t="shared" si="14"/>
        <v>46007</v>
      </c>
      <c r="G949" s="3">
        <f>IF(E949&lt;&gt;"", E949*10%, "")</f>
        <v>325</v>
      </c>
      <c r="H949" s="3">
        <f>IF(E949&lt;&gt;"",ROUND(IF(E949&gt;1500,E949*5%,),0),"")</f>
        <v>163</v>
      </c>
      <c r="I949" s="2" t="s">
        <v>2928</v>
      </c>
      <c r="J949" s="3">
        <v>1500</v>
      </c>
      <c r="K949" s="3">
        <v>1262</v>
      </c>
      <c r="L949" s="3">
        <f>IF(E949&lt;&gt;"",E949-G949-H949,"")</f>
        <v>2762</v>
      </c>
    </row>
    <row r="950" spans="2:12">
      <c r="B950" s="2" t="s">
        <v>2714</v>
      </c>
      <c r="C950" s="9">
        <v>46007</v>
      </c>
      <c r="D950" s="4">
        <v>1</v>
      </c>
      <c r="E950" s="3">
        <v>280</v>
      </c>
      <c r="F950" s="7">
        <f t="shared" si="14"/>
        <v>46007</v>
      </c>
      <c r="G950" s="3">
        <f>IF(E950&lt;&gt;"", E950*10%, "")</f>
        <v>28</v>
      </c>
      <c r="H950" s="3">
        <f>IF(E950&lt;&gt;"",ROUND(IF(E950&gt;1500,E950*5%,),0),"")</f>
        <v>0</v>
      </c>
      <c r="I950" s="2" t="s">
        <v>2926</v>
      </c>
      <c r="J950" s="3" t="str">
        <f>IF(I950="Cash",L950,"")</f>
        <v/>
      </c>
      <c r="K950" s="3">
        <f>IF(I950="UPI",L950,"")</f>
        <v>252</v>
      </c>
      <c r="L950" s="3">
        <f>IF(E950&lt;&gt;"",E950-G950-H950,"")</f>
        <v>252</v>
      </c>
    </row>
    <row r="951" spans="2:12">
      <c r="B951" s="2" t="s">
        <v>2715</v>
      </c>
      <c r="C951" s="9">
        <v>46007</v>
      </c>
      <c r="D951" s="4">
        <v>3</v>
      </c>
      <c r="E951" s="3">
        <v>2570</v>
      </c>
      <c r="F951" s="7">
        <f t="shared" si="14"/>
        <v>46007</v>
      </c>
      <c r="G951" s="3">
        <f>IF(E951&lt;&gt;"", E951*10%, "")</f>
        <v>257</v>
      </c>
      <c r="H951" s="3">
        <f>IF(E951&lt;&gt;"",ROUND(IF(E951&gt;1500,E951*5%,),0),"")</f>
        <v>129</v>
      </c>
      <c r="I951" s="2" t="s">
        <v>2925</v>
      </c>
      <c r="J951" s="3">
        <f>IF(I951="Cash",L951,"")</f>
        <v>2184</v>
      </c>
      <c r="K951" s="3" t="str">
        <f>IF(I951="UPI",L951,"")</f>
        <v/>
      </c>
      <c r="L951" s="3">
        <f>IF(E951&lt;&gt;"",E951-G951-H951,"")</f>
        <v>2184</v>
      </c>
    </row>
    <row r="952" spans="2:12">
      <c r="B952" s="2" t="s">
        <v>2716</v>
      </c>
      <c r="C952" s="9">
        <v>46007</v>
      </c>
      <c r="D952" s="4">
        <v>4</v>
      </c>
      <c r="E952" s="3">
        <v>2460</v>
      </c>
      <c r="F952" s="7">
        <f t="shared" si="14"/>
        <v>46007</v>
      </c>
      <c r="G952" s="3">
        <f>IF(E952&lt;&gt;"", E952*10%, "")</f>
        <v>246</v>
      </c>
      <c r="H952" s="3">
        <f>IF(E952&lt;&gt;"",ROUND(IF(E952&gt;1500,E952*5%,),0),"")</f>
        <v>123</v>
      </c>
      <c r="I952" s="2" t="s">
        <v>2925</v>
      </c>
      <c r="J952" s="3">
        <f>IF(I952="Cash",L952,"")</f>
        <v>2091</v>
      </c>
      <c r="K952" s="3" t="str">
        <f>IF(I952="UPI",L952,"")</f>
        <v/>
      </c>
      <c r="L952" s="3">
        <f>IF(E952&lt;&gt;"",E952-G952-H952,"")</f>
        <v>2091</v>
      </c>
    </row>
    <row r="953" spans="2:12">
      <c r="B953" s="2" t="s">
        <v>2717</v>
      </c>
      <c r="C953" s="9">
        <v>46007</v>
      </c>
      <c r="D953" s="4">
        <v>2</v>
      </c>
      <c r="E953" s="3">
        <v>1010</v>
      </c>
      <c r="F953" s="7">
        <f t="shared" si="14"/>
        <v>46007</v>
      </c>
      <c r="G953" s="3">
        <f>IF(E953&lt;&gt;"", E953*10%, "")</f>
        <v>101</v>
      </c>
      <c r="H953" s="3">
        <f>IF(E953&lt;&gt;"",ROUND(IF(E953&gt;1500,E953*5%,),0),"")</f>
        <v>0</v>
      </c>
      <c r="I953" s="2" t="s">
        <v>2926</v>
      </c>
      <c r="J953" s="3" t="str">
        <f>IF(I953="Cash",L953,"")</f>
        <v/>
      </c>
      <c r="K953" s="3">
        <f>IF(I953="UPI",L953,"")</f>
        <v>909</v>
      </c>
      <c r="L953" s="3">
        <f>IF(E953&lt;&gt;"",E953-G953-H953,"")</f>
        <v>909</v>
      </c>
    </row>
    <row r="954" spans="2:12">
      <c r="B954" s="2" t="s">
        <v>2718</v>
      </c>
      <c r="C954" s="9">
        <v>46007</v>
      </c>
      <c r="D954" s="4">
        <v>4</v>
      </c>
      <c r="E954" s="3">
        <v>2680</v>
      </c>
      <c r="F954" s="7">
        <f t="shared" si="14"/>
        <v>46007</v>
      </c>
      <c r="G954" s="3">
        <f>IF(E954&lt;&gt;"", E954*10%, "")</f>
        <v>268</v>
      </c>
      <c r="H954" s="3">
        <f>IF(E954&lt;&gt;"",ROUND(IF(E954&gt;1500,E954*5%,),0),"")</f>
        <v>134</v>
      </c>
      <c r="I954" s="2" t="s">
        <v>2925</v>
      </c>
      <c r="J954" s="3">
        <f>IF(I954="Cash",L954,"")</f>
        <v>2278</v>
      </c>
      <c r="K954" s="3" t="str">
        <f>IF(I954="UPI",L954,"")</f>
        <v/>
      </c>
      <c r="L954" s="3">
        <f>IF(E954&lt;&gt;"",E954-G954-H954,"")</f>
        <v>2278</v>
      </c>
    </row>
    <row r="955" spans="2:12">
      <c r="B955" s="2" t="s">
        <v>2719</v>
      </c>
      <c r="C955" s="9">
        <v>46007</v>
      </c>
      <c r="D955" s="4">
        <v>4</v>
      </c>
      <c r="E955" s="3">
        <v>2730</v>
      </c>
      <c r="F955" s="7">
        <f t="shared" si="14"/>
        <v>46007</v>
      </c>
      <c r="G955" s="3">
        <f>IF(E955&lt;&gt;"", E955*10%, "")</f>
        <v>273</v>
      </c>
      <c r="H955" s="3">
        <f>IF(E955&lt;&gt;"",ROUND(IF(E955&gt;1500,E955*5%,),0),"")</f>
        <v>137</v>
      </c>
      <c r="I955" s="2" t="s">
        <v>2925</v>
      </c>
      <c r="J955" s="3">
        <f>IF(I955="Cash",L955,"")</f>
        <v>2320</v>
      </c>
      <c r="K955" s="3" t="str">
        <f>IF(I955="UPI",L955,"")</f>
        <v/>
      </c>
      <c r="L955" s="3">
        <f>IF(E955&lt;&gt;"",E955-G955-H955,"")</f>
        <v>2320</v>
      </c>
    </row>
    <row r="956" spans="2:12">
      <c r="B956" s="2" t="s">
        <v>2720</v>
      </c>
      <c r="C956" s="9">
        <v>46007</v>
      </c>
      <c r="D956" s="4">
        <v>3</v>
      </c>
      <c r="E956" s="3">
        <v>2520</v>
      </c>
      <c r="F956" s="7">
        <f t="shared" si="14"/>
        <v>46007</v>
      </c>
      <c r="G956" s="3">
        <f>IF(E956&lt;&gt;"", E956*10%, "")</f>
        <v>252</v>
      </c>
      <c r="H956" s="3">
        <f>IF(E956&lt;&gt;"",ROUND(IF(E956&gt;1500,E956*5%,),0),"")</f>
        <v>126</v>
      </c>
      <c r="I956" s="2" t="s">
        <v>2925</v>
      </c>
      <c r="J956" s="3">
        <f>IF(I956="Cash",L956,"")</f>
        <v>2142</v>
      </c>
      <c r="K956" s="3" t="str">
        <f>IF(I956="UPI",L956,"")</f>
        <v/>
      </c>
      <c r="L956" s="3">
        <f>IF(E956&lt;&gt;"",E956-G956-H956,"")</f>
        <v>2142</v>
      </c>
    </row>
    <row r="957" spans="2:12">
      <c r="B957" s="2" t="s">
        <v>2721</v>
      </c>
      <c r="C957" s="9">
        <v>46007</v>
      </c>
      <c r="D957" s="4">
        <v>1</v>
      </c>
      <c r="E957" s="3">
        <v>850</v>
      </c>
      <c r="F957" s="7">
        <f t="shared" si="14"/>
        <v>46007</v>
      </c>
      <c r="G957" s="3">
        <f>IF(E957&lt;&gt;"", E957*10%, "")</f>
        <v>85</v>
      </c>
      <c r="H957" s="3">
        <f>IF(E957&lt;&gt;"",ROUND(IF(E957&gt;1500,E957*5%,),0),"")</f>
        <v>0</v>
      </c>
      <c r="I957" s="2" t="s">
        <v>2926</v>
      </c>
      <c r="J957" s="3" t="str">
        <f>IF(I957="Cash",L957,"")</f>
        <v/>
      </c>
      <c r="K957" s="3">
        <f>IF(I957="UPI",L957,"")</f>
        <v>765</v>
      </c>
      <c r="L957" s="3">
        <f>IF(E957&lt;&gt;"",E957-G957-H957,"")</f>
        <v>765</v>
      </c>
    </row>
    <row r="958" spans="2:12">
      <c r="B958" s="2" t="s">
        <v>2722</v>
      </c>
      <c r="C958" s="9">
        <v>46007</v>
      </c>
      <c r="D958" s="4">
        <v>2</v>
      </c>
      <c r="E958" s="3">
        <v>1440</v>
      </c>
      <c r="F958" s="7">
        <f t="shared" si="14"/>
        <v>46007</v>
      </c>
      <c r="G958" s="3">
        <f>IF(E958&lt;&gt;"", E958*10%, "")</f>
        <v>144</v>
      </c>
      <c r="H958" s="3">
        <f>IF(E958&lt;&gt;"",ROUND(IF(E958&gt;1500,E958*5%,),0),"")</f>
        <v>0</v>
      </c>
      <c r="I958" s="2" t="s">
        <v>2926</v>
      </c>
      <c r="J958" s="3" t="str">
        <f>IF(I958="Cash",L958,"")</f>
        <v/>
      </c>
      <c r="K958" s="3">
        <f>IF(I958="UPI",L958,"")</f>
        <v>1296</v>
      </c>
      <c r="L958" s="3">
        <f>IF(E958&lt;&gt;"",E958-G958-H958,"")</f>
        <v>1296</v>
      </c>
    </row>
    <row r="959" spans="2:12">
      <c r="B959" s="2" t="s">
        <v>2723</v>
      </c>
      <c r="C959" s="9">
        <v>46007</v>
      </c>
      <c r="D959" s="4">
        <v>2</v>
      </c>
      <c r="E959" s="3">
        <v>1130</v>
      </c>
      <c r="F959" s="7">
        <f t="shared" si="14"/>
        <v>46007</v>
      </c>
      <c r="G959" s="3">
        <f>IF(E959&lt;&gt;"", E959*10%, "")</f>
        <v>113</v>
      </c>
      <c r="H959" s="3">
        <f>IF(E959&lt;&gt;"",ROUND(IF(E959&gt;1500,E959*5%,),0),"")</f>
        <v>0</v>
      </c>
      <c r="I959" s="2" t="s">
        <v>2926</v>
      </c>
      <c r="J959" s="3" t="str">
        <f>IF(I959="Cash",L959,"")</f>
        <v/>
      </c>
      <c r="K959" s="3">
        <f>IF(I959="UPI",L959,"")</f>
        <v>1017</v>
      </c>
      <c r="L959" s="3">
        <f>IF(E959&lt;&gt;"",E959-G959-H959,"")</f>
        <v>1017</v>
      </c>
    </row>
    <row r="960" spans="2:12">
      <c r="B960" s="2" t="s">
        <v>2724</v>
      </c>
      <c r="C960" s="9">
        <v>46008</v>
      </c>
      <c r="D960" s="4">
        <v>1</v>
      </c>
      <c r="E960" s="3">
        <v>780</v>
      </c>
      <c r="F960" s="7">
        <f t="shared" si="14"/>
        <v>46008</v>
      </c>
      <c r="G960" s="3">
        <f>IF(E960&lt;&gt;"", E960*10%, "")</f>
        <v>78</v>
      </c>
      <c r="H960" s="3">
        <f>IF(E960&lt;&gt;"",ROUND(IF(E960&gt;1500,E960*5%,),0),"")</f>
        <v>0</v>
      </c>
      <c r="I960" s="2" t="s">
        <v>2926</v>
      </c>
      <c r="J960" s="3" t="str">
        <f>IF(I960="Cash",L960,"")</f>
        <v/>
      </c>
      <c r="K960" s="3">
        <f>IF(I960="UPI",L960,"")</f>
        <v>702</v>
      </c>
      <c r="L960" s="3">
        <f>IF(E960&lt;&gt;"",E960-G960-H960,"")</f>
        <v>702</v>
      </c>
    </row>
    <row r="961" spans="2:12">
      <c r="B961" s="2" t="s">
        <v>2725</v>
      </c>
      <c r="C961" s="9">
        <v>46008</v>
      </c>
      <c r="D961" s="4">
        <v>1</v>
      </c>
      <c r="E961" s="3">
        <v>790</v>
      </c>
      <c r="F961" s="7">
        <f t="shared" si="14"/>
        <v>46008</v>
      </c>
      <c r="G961" s="3">
        <f>IF(E961&lt;&gt;"", E961*10%, "")</f>
        <v>79</v>
      </c>
      <c r="H961" s="3">
        <f>IF(E961&lt;&gt;"",ROUND(IF(E961&gt;1500,E961*5%,),0),"")</f>
        <v>0</v>
      </c>
      <c r="I961" s="2" t="s">
        <v>2926</v>
      </c>
      <c r="J961" s="3" t="str">
        <f>IF(I961="Cash",L961,"")</f>
        <v/>
      </c>
      <c r="K961" s="3">
        <f>IF(I961="UPI",L961,"")</f>
        <v>711</v>
      </c>
      <c r="L961" s="3">
        <f>IF(E961&lt;&gt;"",E961-G961-H961,"")</f>
        <v>711</v>
      </c>
    </row>
    <row r="962" spans="2:12">
      <c r="B962" s="2" t="s">
        <v>2726</v>
      </c>
      <c r="C962" s="9">
        <v>46008</v>
      </c>
      <c r="D962" s="4">
        <v>4</v>
      </c>
      <c r="E962" s="3">
        <v>3390</v>
      </c>
      <c r="F962" s="7">
        <f t="shared" si="14"/>
        <v>46008</v>
      </c>
      <c r="G962" s="3">
        <f>IF(E962&lt;&gt;"", E962*10%, "")</f>
        <v>339</v>
      </c>
      <c r="H962" s="3">
        <f>IF(E962&lt;&gt;"",ROUND(IF(E962&gt;1500,E962*5%,),0),"")</f>
        <v>170</v>
      </c>
      <c r="I962" s="2" t="s">
        <v>2928</v>
      </c>
      <c r="J962" s="3">
        <v>2000</v>
      </c>
      <c r="K962" s="3">
        <v>881</v>
      </c>
      <c r="L962" s="3">
        <f>IF(E962&lt;&gt;"",E962-G962-H962,"")</f>
        <v>2881</v>
      </c>
    </row>
    <row r="963" spans="2:12">
      <c r="B963" s="2" t="s">
        <v>2727</v>
      </c>
      <c r="C963" s="9">
        <v>46008</v>
      </c>
      <c r="D963" s="4">
        <v>4</v>
      </c>
      <c r="E963" s="3">
        <v>2070</v>
      </c>
      <c r="F963" s="7">
        <f t="shared" si="14"/>
        <v>46008</v>
      </c>
      <c r="G963" s="3">
        <f>IF(E963&lt;&gt;"", E963*10%, "")</f>
        <v>207</v>
      </c>
      <c r="H963" s="3">
        <f>IF(E963&lt;&gt;"",ROUND(IF(E963&gt;1500,E963*5%,),0),"")</f>
        <v>104</v>
      </c>
      <c r="I963" s="2" t="s">
        <v>2925</v>
      </c>
      <c r="J963" s="3">
        <f>IF(I963="Cash",L963,"")</f>
        <v>1759</v>
      </c>
      <c r="K963" s="3" t="str">
        <f>IF(I963="UPI",L963,"")</f>
        <v/>
      </c>
      <c r="L963" s="3">
        <f>IF(E963&lt;&gt;"",E963-G963-H963,"")</f>
        <v>1759</v>
      </c>
    </row>
    <row r="964" spans="2:12">
      <c r="B964" s="2" t="s">
        <v>2728</v>
      </c>
      <c r="C964" s="9">
        <v>46008</v>
      </c>
      <c r="D964" s="4">
        <v>2</v>
      </c>
      <c r="E964" s="3">
        <v>1590</v>
      </c>
      <c r="F964" s="7">
        <f t="shared" si="14"/>
        <v>46008</v>
      </c>
      <c r="G964" s="3">
        <f>IF(E964&lt;&gt;"", E964*10%, "")</f>
        <v>159</v>
      </c>
      <c r="H964" s="3">
        <f>IF(E964&lt;&gt;"",ROUND(IF(E964&gt;1500,E964*5%,),0),"")</f>
        <v>80</v>
      </c>
      <c r="I964" s="2" t="s">
        <v>2926</v>
      </c>
      <c r="J964" s="3" t="str">
        <f>IF(I964="Cash",L964,"")</f>
        <v/>
      </c>
      <c r="K964" s="3">
        <f>IF(I964="UPI",L964,"")</f>
        <v>1351</v>
      </c>
      <c r="L964" s="3">
        <f>IF(E964&lt;&gt;"",E964-G964-H964,"")</f>
        <v>1351</v>
      </c>
    </row>
    <row r="965" spans="2:12">
      <c r="B965" s="2" t="s">
        <v>2729</v>
      </c>
      <c r="C965" s="9">
        <v>46008</v>
      </c>
      <c r="D965" s="4">
        <v>3</v>
      </c>
      <c r="E965" s="3">
        <v>1130</v>
      </c>
      <c r="F965" s="7">
        <f t="shared" ref="F965:F1028" si="15">C965</f>
        <v>46008</v>
      </c>
      <c r="G965" s="3">
        <f>IF(E965&lt;&gt;"", E965*10%, "")</f>
        <v>113</v>
      </c>
      <c r="H965" s="3">
        <f>IF(E965&lt;&gt;"",ROUND(IF(E965&gt;1500,E965*5%,),0),"")</f>
        <v>0</v>
      </c>
      <c r="I965" s="2" t="s">
        <v>2926</v>
      </c>
      <c r="J965" s="3" t="str">
        <f>IF(I965="Cash",L965,"")</f>
        <v/>
      </c>
      <c r="K965" s="3">
        <f>IF(I965="UPI",L965,"")</f>
        <v>1017</v>
      </c>
      <c r="L965" s="3">
        <f>IF(E965&lt;&gt;"",E965-G965-H965,"")</f>
        <v>1017</v>
      </c>
    </row>
    <row r="966" spans="2:12">
      <c r="B966" s="2" t="s">
        <v>2730</v>
      </c>
      <c r="C966" s="9">
        <v>46008</v>
      </c>
      <c r="D966" s="4">
        <v>4</v>
      </c>
      <c r="E966" s="3">
        <v>2030</v>
      </c>
      <c r="F966" s="7">
        <f t="shared" si="15"/>
        <v>46008</v>
      </c>
      <c r="G966" s="3">
        <f>IF(E966&lt;&gt;"", E966*10%, "")</f>
        <v>203</v>
      </c>
      <c r="H966" s="3">
        <f>IF(E966&lt;&gt;"",ROUND(IF(E966&gt;1500,E966*5%,),0),"")</f>
        <v>102</v>
      </c>
      <c r="I966" s="2" t="s">
        <v>2925</v>
      </c>
      <c r="J966" s="3">
        <f>IF(I966="Cash",L966,"")</f>
        <v>1725</v>
      </c>
      <c r="K966" s="3" t="str">
        <f>IF(I966="UPI",L966,"")</f>
        <v/>
      </c>
      <c r="L966" s="3">
        <f>IF(E966&lt;&gt;"",E966-G966-H966,"")</f>
        <v>1725</v>
      </c>
    </row>
    <row r="967" spans="2:12">
      <c r="B967" s="2" t="s">
        <v>2731</v>
      </c>
      <c r="C967" s="9">
        <v>46008</v>
      </c>
      <c r="D967" s="4">
        <v>4</v>
      </c>
      <c r="E967" s="3">
        <v>2130</v>
      </c>
      <c r="F967" s="7">
        <f t="shared" si="15"/>
        <v>46008</v>
      </c>
      <c r="G967" s="3">
        <f>IF(E967&lt;&gt;"", E967*10%, "")</f>
        <v>213</v>
      </c>
      <c r="H967" s="3">
        <f>IF(E967&lt;&gt;"",ROUND(IF(E967&gt;1500,E967*5%,),0),"")</f>
        <v>107</v>
      </c>
      <c r="I967" s="2" t="s">
        <v>2925</v>
      </c>
      <c r="J967" s="3">
        <f>IF(I967="Cash",L967,"")</f>
        <v>1810</v>
      </c>
      <c r="K967" s="3" t="str">
        <f>IF(I967="UPI",L967,"")</f>
        <v/>
      </c>
      <c r="L967" s="3">
        <f>IF(E967&lt;&gt;"",E967-G967-H967,"")</f>
        <v>1810</v>
      </c>
    </row>
    <row r="968" spans="2:12">
      <c r="B968" s="2" t="s">
        <v>2732</v>
      </c>
      <c r="C968" s="9">
        <v>46008</v>
      </c>
      <c r="D968" s="4">
        <v>1</v>
      </c>
      <c r="E968" s="3">
        <v>810</v>
      </c>
      <c r="F968" s="7">
        <f t="shared" si="15"/>
        <v>46008</v>
      </c>
      <c r="G968" s="3">
        <f>IF(E968&lt;&gt;"", E968*10%, "")</f>
        <v>81</v>
      </c>
      <c r="H968" s="3">
        <f>IF(E968&lt;&gt;"",ROUND(IF(E968&gt;1500,E968*5%,),0),"")</f>
        <v>0</v>
      </c>
      <c r="I968" s="2" t="s">
        <v>2926</v>
      </c>
      <c r="J968" s="3" t="str">
        <f>IF(I968="Cash",L968,"")</f>
        <v/>
      </c>
      <c r="K968" s="3">
        <f>IF(I968="UPI",L968,"")</f>
        <v>729</v>
      </c>
      <c r="L968" s="3">
        <f>IF(E968&lt;&gt;"",E968-G968-H968,"")</f>
        <v>729</v>
      </c>
    </row>
    <row r="969" spans="2:12">
      <c r="B969" s="2" t="s">
        <v>2733</v>
      </c>
      <c r="C969" s="9">
        <v>46008</v>
      </c>
      <c r="D969" s="4">
        <v>2</v>
      </c>
      <c r="E969" s="3">
        <v>1510</v>
      </c>
      <c r="F969" s="7">
        <f t="shared" si="15"/>
        <v>46008</v>
      </c>
      <c r="G969" s="3">
        <f>IF(E969&lt;&gt;"", E969*10%, "")</f>
        <v>151</v>
      </c>
      <c r="H969" s="3">
        <f>IF(E969&lt;&gt;"",ROUND(IF(E969&gt;1500,E969*5%,),0),"")</f>
        <v>76</v>
      </c>
      <c r="I969" s="2" t="s">
        <v>2926</v>
      </c>
      <c r="J969" s="3" t="str">
        <f>IF(I969="Cash",L969,"")</f>
        <v/>
      </c>
      <c r="K969" s="3">
        <f>IF(I969="UPI",L969,"")</f>
        <v>1283</v>
      </c>
      <c r="L969" s="3">
        <f>IF(E969&lt;&gt;"",E969-G969-H969,"")</f>
        <v>1283</v>
      </c>
    </row>
    <row r="970" spans="2:12">
      <c r="B970" s="2" t="s">
        <v>2734</v>
      </c>
      <c r="C970" s="9">
        <v>46008</v>
      </c>
      <c r="D970" s="4">
        <v>3</v>
      </c>
      <c r="E970" s="3">
        <v>1930</v>
      </c>
      <c r="F970" s="7">
        <f t="shared" si="15"/>
        <v>46008</v>
      </c>
      <c r="G970" s="3">
        <f>IF(E970&lt;&gt;"", E970*10%, "")</f>
        <v>193</v>
      </c>
      <c r="H970" s="3">
        <f>IF(E970&lt;&gt;"",ROUND(IF(E970&gt;1500,E970*5%,),0),"")</f>
        <v>97</v>
      </c>
      <c r="I970" s="2" t="s">
        <v>2925</v>
      </c>
      <c r="J970" s="3">
        <f>IF(I970="Cash",L970,"")</f>
        <v>1640</v>
      </c>
      <c r="K970" s="3" t="str">
        <f>IF(I970="UPI",L970,"")</f>
        <v/>
      </c>
      <c r="L970" s="3">
        <f>IF(E970&lt;&gt;"",E970-G970-H970,"")</f>
        <v>1640</v>
      </c>
    </row>
    <row r="971" spans="2:12">
      <c r="B971" s="2" t="s">
        <v>2735</v>
      </c>
      <c r="C971" s="9">
        <v>46009</v>
      </c>
      <c r="D971" s="4">
        <v>1</v>
      </c>
      <c r="E971" s="3">
        <v>670</v>
      </c>
      <c r="F971" s="7">
        <f t="shared" si="15"/>
        <v>46009</v>
      </c>
      <c r="G971" s="3">
        <f>IF(E971&lt;&gt;"", E971*10%, "")</f>
        <v>67</v>
      </c>
      <c r="H971" s="3">
        <f>IF(E971&lt;&gt;"",ROUND(IF(E971&gt;1500,E971*5%,),0),"")</f>
        <v>0</v>
      </c>
      <c r="I971" s="2" t="s">
        <v>2926</v>
      </c>
      <c r="J971" s="3" t="str">
        <f>IF(I971="Cash",L971,"")</f>
        <v/>
      </c>
      <c r="K971" s="3">
        <f>IF(I971="UPI",L971,"")</f>
        <v>603</v>
      </c>
      <c r="L971" s="3">
        <f>IF(E971&lt;&gt;"",E971-G971-H971,"")</f>
        <v>603</v>
      </c>
    </row>
    <row r="972" spans="2:12">
      <c r="B972" s="2" t="s">
        <v>2736</v>
      </c>
      <c r="C972" s="9">
        <v>46009</v>
      </c>
      <c r="D972" s="4">
        <v>2</v>
      </c>
      <c r="E972" s="3">
        <v>1290</v>
      </c>
      <c r="F972" s="7">
        <f t="shared" si="15"/>
        <v>46009</v>
      </c>
      <c r="G972" s="3">
        <f>IF(E972&lt;&gt;"", E972*10%, "")</f>
        <v>129</v>
      </c>
      <c r="H972" s="3">
        <f>IF(E972&lt;&gt;"",ROUND(IF(E972&gt;1500,E972*5%,),0),"")</f>
        <v>0</v>
      </c>
      <c r="I972" s="2" t="s">
        <v>2926</v>
      </c>
      <c r="J972" s="3" t="str">
        <f>IF(I972="Cash",L972,"")</f>
        <v/>
      </c>
      <c r="K972" s="3">
        <f>IF(I972="UPI",L972,"")</f>
        <v>1161</v>
      </c>
      <c r="L972" s="3">
        <f>IF(E972&lt;&gt;"",E972-G972-H972,"")</f>
        <v>1161</v>
      </c>
    </row>
    <row r="973" spans="2:12">
      <c r="B973" s="2" t="s">
        <v>2737</v>
      </c>
      <c r="C973" s="9">
        <v>46009</v>
      </c>
      <c r="D973" s="4">
        <v>1</v>
      </c>
      <c r="E973" s="3">
        <v>820</v>
      </c>
      <c r="F973" s="7">
        <f t="shared" si="15"/>
        <v>46009</v>
      </c>
      <c r="G973" s="3">
        <f>IF(E973&lt;&gt;"", E973*10%, "")</f>
        <v>82</v>
      </c>
      <c r="H973" s="3">
        <f>IF(E973&lt;&gt;"",ROUND(IF(E973&gt;1500,E973*5%,),0),"")</f>
        <v>0</v>
      </c>
      <c r="I973" s="2" t="s">
        <v>2926</v>
      </c>
      <c r="J973" s="3" t="str">
        <f>IF(I973="Cash",L973,"")</f>
        <v/>
      </c>
      <c r="K973" s="3">
        <f>IF(I973="UPI",L973,"")</f>
        <v>738</v>
      </c>
      <c r="L973" s="3">
        <f>IF(E973&lt;&gt;"",E973-G973-H973,"")</f>
        <v>738</v>
      </c>
    </row>
    <row r="974" spans="2:12">
      <c r="B974" s="2" t="s">
        <v>2738</v>
      </c>
      <c r="C974" s="9">
        <v>46009</v>
      </c>
      <c r="D974" s="4">
        <v>1</v>
      </c>
      <c r="E974" s="3">
        <v>170</v>
      </c>
      <c r="F974" s="7">
        <f t="shared" si="15"/>
        <v>46009</v>
      </c>
      <c r="G974" s="3">
        <f>IF(E974&lt;&gt;"", E974*10%, "")</f>
        <v>17</v>
      </c>
      <c r="H974" s="3">
        <f>IF(E974&lt;&gt;"",ROUND(IF(E974&gt;1500,E974*5%,),0),"")</f>
        <v>0</v>
      </c>
      <c r="I974" s="2" t="s">
        <v>2926</v>
      </c>
      <c r="J974" s="3" t="str">
        <f>IF(I974="Cash",L974,"")</f>
        <v/>
      </c>
      <c r="K974" s="3">
        <f>IF(I974="UPI",L974,"")</f>
        <v>153</v>
      </c>
      <c r="L974" s="3">
        <f>IF(E974&lt;&gt;"",E974-G974-H974,"")</f>
        <v>153</v>
      </c>
    </row>
    <row r="975" spans="2:12">
      <c r="B975" s="2" t="s">
        <v>2739</v>
      </c>
      <c r="C975" s="9">
        <v>46009</v>
      </c>
      <c r="D975" s="4">
        <v>2</v>
      </c>
      <c r="E975" s="3">
        <v>1580</v>
      </c>
      <c r="F975" s="7">
        <f t="shared" si="15"/>
        <v>46009</v>
      </c>
      <c r="G975" s="3">
        <f>IF(E975&lt;&gt;"", E975*10%, "")</f>
        <v>158</v>
      </c>
      <c r="H975" s="3">
        <f>IF(E975&lt;&gt;"",ROUND(IF(E975&gt;1500,E975*5%,),0),"")</f>
        <v>79</v>
      </c>
      <c r="I975" s="2" t="s">
        <v>2926</v>
      </c>
      <c r="J975" s="3" t="str">
        <f>IF(I975="Cash",L975,"")</f>
        <v/>
      </c>
      <c r="K975" s="3">
        <f>IF(I975="UPI",L975,"")</f>
        <v>1343</v>
      </c>
      <c r="L975" s="3">
        <f>IF(E975&lt;&gt;"",E975-G975-H975,"")</f>
        <v>1343</v>
      </c>
    </row>
    <row r="976" spans="2:12">
      <c r="B976" s="2" t="s">
        <v>2740</v>
      </c>
      <c r="C976" s="9">
        <v>46009</v>
      </c>
      <c r="D976" s="4">
        <v>4</v>
      </c>
      <c r="E976" s="3">
        <v>2540</v>
      </c>
      <c r="F976" s="7">
        <f t="shared" si="15"/>
        <v>46009</v>
      </c>
      <c r="G976" s="3">
        <f>IF(E976&lt;&gt;"", E976*10%, "")</f>
        <v>254</v>
      </c>
      <c r="H976" s="3">
        <f>IF(E976&lt;&gt;"",ROUND(IF(E976&gt;1500,E976*5%,),0),"")</f>
        <v>127</v>
      </c>
      <c r="I976" s="2" t="s">
        <v>2925</v>
      </c>
      <c r="J976" s="3">
        <f>IF(I976="Cash",L976,"")</f>
        <v>2159</v>
      </c>
      <c r="K976" s="3" t="str">
        <f>IF(I976="UPI",L976,"")</f>
        <v/>
      </c>
      <c r="L976" s="3">
        <f>IF(E976&lt;&gt;"",E976-G976-H976,"")</f>
        <v>2159</v>
      </c>
    </row>
    <row r="977" spans="2:12">
      <c r="B977" s="2" t="s">
        <v>2741</v>
      </c>
      <c r="C977" s="9">
        <v>46009</v>
      </c>
      <c r="D977" s="4">
        <v>2</v>
      </c>
      <c r="E977" s="3">
        <v>1100</v>
      </c>
      <c r="F977" s="7">
        <f t="shared" si="15"/>
        <v>46009</v>
      </c>
      <c r="G977" s="3">
        <f>IF(E977&lt;&gt;"", E977*10%, "")</f>
        <v>110</v>
      </c>
      <c r="H977" s="3">
        <f>IF(E977&lt;&gt;"",ROUND(IF(E977&gt;1500,E977*5%,),0),"")</f>
        <v>0</v>
      </c>
      <c r="I977" s="2" t="s">
        <v>2926</v>
      </c>
      <c r="J977" s="3" t="str">
        <f>IF(I977="Cash",L977,"")</f>
        <v/>
      </c>
      <c r="K977" s="3">
        <f>IF(I977="UPI",L977,"")</f>
        <v>990</v>
      </c>
      <c r="L977" s="3">
        <f>IF(E977&lt;&gt;"",E977-G977-H977,"")</f>
        <v>990</v>
      </c>
    </row>
    <row r="978" spans="2:12">
      <c r="B978" s="2" t="s">
        <v>2742</v>
      </c>
      <c r="C978" s="9">
        <v>46009</v>
      </c>
      <c r="D978" s="4">
        <v>4</v>
      </c>
      <c r="E978" s="3">
        <v>1850</v>
      </c>
      <c r="F978" s="7">
        <f t="shared" si="15"/>
        <v>46009</v>
      </c>
      <c r="G978" s="3">
        <f>IF(E978&lt;&gt;"", E978*10%, "")</f>
        <v>185</v>
      </c>
      <c r="H978" s="3">
        <f>IF(E978&lt;&gt;"",ROUND(IF(E978&gt;1500,E978*5%,),0),"")</f>
        <v>93</v>
      </c>
      <c r="I978" s="2" t="s">
        <v>2925</v>
      </c>
      <c r="J978" s="3">
        <f>IF(I978="Cash",L978,"")</f>
        <v>1572</v>
      </c>
      <c r="K978" s="3" t="str">
        <f>IF(I978="UPI",L978,"")</f>
        <v/>
      </c>
      <c r="L978" s="3">
        <f>IF(E978&lt;&gt;"",E978-G978-H978,"")</f>
        <v>1572</v>
      </c>
    </row>
    <row r="979" spans="2:12">
      <c r="B979" s="2" t="s">
        <v>2743</v>
      </c>
      <c r="C979" s="9">
        <v>46009</v>
      </c>
      <c r="D979" s="4">
        <v>1</v>
      </c>
      <c r="E979" s="3">
        <v>850</v>
      </c>
      <c r="F979" s="7">
        <f t="shared" si="15"/>
        <v>46009</v>
      </c>
      <c r="G979" s="3">
        <f>IF(E979&lt;&gt;"", E979*10%, "")</f>
        <v>85</v>
      </c>
      <c r="H979" s="3">
        <f>IF(E979&lt;&gt;"",ROUND(IF(E979&gt;1500,E979*5%,),0),"")</f>
        <v>0</v>
      </c>
      <c r="I979" s="2" t="s">
        <v>2926</v>
      </c>
      <c r="J979" s="3" t="str">
        <f>IF(I979="Cash",L979,"")</f>
        <v/>
      </c>
      <c r="K979" s="3">
        <f>IF(I979="UPI",L979,"")</f>
        <v>765</v>
      </c>
      <c r="L979" s="3">
        <f>IF(E979&lt;&gt;"",E979-G979-H979,"")</f>
        <v>765</v>
      </c>
    </row>
    <row r="980" spans="2:12">
      <c r="B980" s="2" t="s">
        <v>2744</v>
      </c>
      <c r="C980" s="9">
        <v>46009</v>
      </c>
      <c r="D980" s="4">
        <v>3</v>
      </c>
      <c r="E980" s="3">
        <v>1130</v>
      </c>
      <c r="F980" s="7">
        <f t="shared" si="15"/>
        <v>46009</v>
      </c>
      <c r="G980" s="3">
        <f>IF(E980&lt;&gt;"", E980*10%, "")</f>
        <v>113</v>
      </c>
      <c r="H980" s="3">
        <f>IF(E980&lt;&gt;"",ROUND(IF(E980&gt;1500,E980*5%,),0),"")</f>
        <v>0</v>
      </c>
      <c r="I980" s="2" t="s">
        <v>2926</v>
      </c>
      <c r="J980" s="3" t="str">
        <f>IF(I980="Cash",L980,"")</f>
        <v/>
      </c>
      <c r="K980" s="3">
        <f>IF(I980="UPI",L980,"")</f>
        <v>1017</v>
      </c>
      <c r="L980" s="3">
        <f>IF(E980&lt;&gt;"",E980-G980-H980,"")</f>
        <v>1017</v>
      </c>
    </row>
    <row r="981" spans="2:12">
      <c r="B981" s="2" t="s">
        <v>2745</v>
      </c>
      <c r="C981" s="9">
        <v>46009</v>
      </c>
      <c r="D981" s="4">
        <v>3</v>
      </c>
      <c r="E981" s="3">
        <v>2040</v>
      </c>
      <c r="F981" s="7">
        <f t="shared" si="15"/>
        <v>46009</v>
      </c>
      <c r="G981" s="3">
        <f>IF(E981&lt;&gt;"", E981*10%, "")</f>
        <v>204</v>
      </c>
      <c r="H981" s="3">
        <f>IF(E981&lt;&gt;"",ROUND(IF(E981&gt;1500,E981*5%,),0),"")</f>
        <v>102</v>
      </c>
      <c r="I981" s="2" t="s">
        <v>2925</v>
      </c>
      <c r="J981" s="3">
        <f>IF(I981="Cash",L981,"")</f>
        <v>1734</v>
      </c>
      <c r="K981" s="3" t="str">
        <f>IF(I981="UPI",L981,"")</f>
        <v/>
      </c>
      <c r="L981" s="3">
        <f>IF(E981&lt;&gt;"",E981-G981-H981,"")</f>
        <v>1734</v>
      </c>
    </row>
    <row r="982" spans="2:12">
      <c r="B982" s="2" t="s">
        <v>2746</v>
      </c>
      <c r="C982" s="9">
        <v>46009</v>
      </c>
      <c r="D982" s="4">
        <v>2</v>
      </c>
      <c r="E982" s="3">
        <v>970</v>
      </c>
      <c r="F982" s="7">
        <f t="shared" si="15"/>
        <v>46009</v>
      </c>
      <c r="G982" s="3">
        <f>IF(E982&lt;&gt;"", E982*10%, "")</f>
        <v>97</v>
      </c>
      <c r="H982" s="3">
        <f>IF(E982&lt;&gt;"",ROUND(IF(E982&gt;1500,E982*5%,),0),"")</f>
        <v>0</v>
      </c>
      <c r="I982" s="2" t="s">
        <v>2926</v>
      </c>
      <c r="J982" s="3" t="str">
        <f>IF(I982="Cash",L982,"")</f>
        <v/>
      </c>
      <c r="K982" s="3">
        <f>IF(I982="UPI",L982,"")</f>
        <v>873</v>
      </c>
      <c r="L982" s="3">
        <f>IF(E982&lt;&gt;"",E982-G982-H982,"")</f>
        <v>873</v>
      </c>
    </row>
    <row r="983" spans="2:12">
      <c r="B983" s="2" t="s">
        <v>2747</v>
      </c>
      <c r="C983" s="9">
        <v>46009</v>
      </c>
      <c r="D983" s="4">
        <v>3</v>
      </c>
      <c r="E983" s="3">
        <v>400</v>
      </c>
      <c r="F983" s="7">
        <f t="shared" si="15"/>
        <v>46009</v>
      </c>
      <c r="G983" s="3">
        <f>IF(E983&lt;&gt;"", E983*10%, "")</f>
        <v>40</v>
      </c>
      <c r="H983" s="3">
        <f>IF(E983&lt;&gt;"",ROUND(IF(E983&gt;1500,E983*5%,),0),"")</f>
        <v>0</v>
      </c>
      <c r="I983" s="2" t="s">
        <v>2926</v>
      </c>
      <c r="J983" s="3" t="str">
        <f>IF(I983="Cash",L983,"")</f>
        <v/>
      </c>
      <c r="K983" s="3">
        <f>IF(I983="UPI",L983,"")</f>
        <v>360</v>
      </c>
      <c r="L983" s="3">
        <f>IF(E983&lt;&gt;"",E983-G983-H983,"")</f>
        <v>360</v>
      </c>
    </row>
    <row r="984" spans="2:12">
      <c r="B984" s="2" t="s">
        <v>2748</v>
      </c>
      <c r="C984" s="9">
        <v>46009</v>
      </c>
      <c r="D984" s="4">
        <v>3</v>
      </c>
      <c r="E984" s="3">
        <v>1780</v>
      </c>
      <c r="F984" s="7">
        <f t="shared" si="15"/>
        <v>46009</v>
      </c>
      <c r="G984" s="3">
        <f>IF(E984&lt;&gt;"", E984*10%, "")</f>
        <v>178</v>
      </c>
      <c r="H984" s="3">
        <f>IF(E984&lt;&gt;"",ROUND(IF(E984&gt;1500,E984*5%,),0),"")</f>
        <v>89</v>
      </c>
      <c r="I984" s="2" t="s">
        <v>2925</v>
      </c>
      <c r="J984" s="3">
        <f>IF(I984="Cash",L984,"")</f>
        <v>1513</v>
      </c>
      <c r="K984" s="3" t="str">
        <f>IF(I984="UPI",L984,"")</f>
        <v/>
      </c>
      <c r="L984" s="3">
        <f>IF(E984&lt;&gt;"",E984-G984-H984,"")</f>
        <v>1513</v>
      </c>
    </row>
    <row r="985" spans="2:12">
      <c r="B985" s="2" t="s">
        <v>2749</v>
      </c>
      <c r="C985" s="9">
        <v>46010</v>
      </c>
      <c r="D985" s="4">
        <v>2</v>
      </c>
      <c r="E985" s="3">
        <v>320</v>
      </c>
      <c r="F985" s="7">
        <f t="shared" si="15"/>
        <v>46010</v>
      </c>
      <c r="G985" s="3">
        <f>IF(E985&lt;&gt;"", E985*10%, "")</f>
        <v>32</v>
      </c>
      <c r="H985" s="3">
        <f>IF(E985&lt;&gt;"",ROUND(IF(E985&gt;1500,E985*5%,),0),"")</f>
        <v>0</v>
      </c>
      <c r="I985" s="2" t="s">
        <v>2926</v>
      </c>
      <c r="J985" s="3" t="str">
        <f>IF(I985="Cash",L985,"")</f>
        <v/>
      </c>
      <c r="K985" s="3">
        <f>IF(I985="UPI",L985,"")</f>
        <v>288</v>
      </c>
      <c r="L985" s="3">
        <f>IF(E985&lt;&gt;"",E985-G985-H985,"")</f>
        <v>288</v>
      </c>
    </row>
    <row r="986" spans="2:12">
      <c r="B986" s="2" t="s">
        <v>2750</v>
      </c>
      <c r="C986" s="9">
        <v>46010</v>
      </c>
      <c r="D986" s="4">
        <v>4</v>
      </c>
      <c r="E986" s="3">
        <v>2070</v>
      </c>
      <c r="F986" s="7">
        <f t="shared" si="15"/>
        <v>46010</v>
      </c>
      <c r="G986" s="3">
        <f>IF(E986&lt;&gt;"", E986*10%, "")</f>
        <v>207</v>
      </c>
      <c r="H986" s="3">
        <f>IF(E986&lt;&gt;"",ROUND(IF(E986&gt;1500,E986*5%,),0),"")</f>
        <v>104</v>
      </c>
      <c r="I986" s="2" t="s">
        <v>2925</v>
      </c>
      <c r="J986" s="3">
        <f>IF(I986="Cash",L986,"")</f>
        <v>1759</v>
      </c>
      <c r="K986" s="3" t="str">
        <f>IF(I986="UPI",L986,"")</f>
        <v/>
      </c>
      <c r="L986" s="3">
        <f>IF(E986&lt;&gt;"",E986-G986-H986,"")</f>
        <v>1759</v>
      </c>
    </row>
    <row r="987" spans="2:12">
      <c r="B987" s="2" t="s">
        <v>2751</v>
      </c>
      <c r="C987" s="9">
        <v>46010</v>
      </c>
      <c r="D987" s="4">
        <v>2</v>
      </c>
      <c r="E987" s="3">
        <v>260</v>
      </c>
      <c r="F987" s="7">
        <f t="shared" si="15"/>
        <v>46010</v>
      </c>
      <c r="G987" s="3">
        <f>IF(E987&lt;&gt;"", E987*10%, "")</f>
        <v>26</v>
      </c>
      <c r="H987" s="3">
        <f>IF(E987&lt;&gt;"",ROUND(IF(E987&gt;1500,E987*5%,),0),"")</f>
        <v>0</v>
      </c>
      <c r="I987" s="2" t="s">
        <v>2926</v>
      </c>
      <c r="J987" s="3" t="str">
        <f>IF(I987="Cash",L987,"")</f>
        <v/>
      </c>
      <c r="K987" s="3">
        <f>IF(I987="UPI",L987,"")</f>
        <v>234</v>
      </c>
      <c r="L987" s="3">
        <f>IF(E987&lt;&gt;"",E987-G987-H987,"")</f>
        <v>234</v>
      </c>
    </row>
    <row r="988" spans="2:12">
      <c r="B988" s="2" t="s">
        <v>2752</v>
      </c>
      <c r="C988" s="9">
        <v>46010</v>
      </c>
      <c r="D988" s="4">
        <v>2</v>
      </c>
      <c r="E988" s="3">
        <v>930</v>
      </c>
      <c r="F988" s="7">
        <f t="shared" si="15"/>
        <v>46010</v>
      </c>
      <c r="G988" s="3">
        <f>IF(E988&lt;&gt;"", E988*10%, "")</f>
        <v>93</v>
      </c>
      <c r="H988" s="3">
        <f>IF(E988&lt;&gt;"",ROUND(IF(E988&gt;1500,E988*5%,),0),"")</f>
        <v>0</v>
      </c>
      <c r="I988" s="2" t="s">
        <v>2926</v>
      </c>
      <c r="J988" s="3" t="str">
        <f>IF(I988="Cash",L988,"")</f>
        <v/>
      </c>
      <c r="K988" s="3">
        <f>IF(I988="UPI",L988,"")</f>
        <v>837</v>
      </c>
      <c r="L988" s="3">
        <f>IF(E988&lt;&gt;"",E988-G988-H988,"")</f>
        <v>837</v>
      </c>
    </row>
    <row r="989" spans="2:12">
      <c r="B989" s="2" t="s">
        <v>2753</v>
      </c>
      <c r="C989" s="9">
        <v>46010</v>
      </c>
      <c r="D989" s="4">
        <v>2</v>
      </c>
      <c r="E989" s="3">
        <v>1670</v>
      </c>
      <c r="F989" s="7">
        <f t="shared" si="15"/>
        <v>46010</v>
      </c>
      <c r="G989" s="3">
        <f>IF(E989&lt;&gt;"", E989*10%, "")</f>
        <v>167</v>
      </c>
      <c r="H989" s="3">
        <f>IF(E989&lt;&gt;"",ROUND(IF(E989&gt;1500,E989*5%,),0),"")</f>
        <v>84</v>
      </c>
      <c r="I989" s="2" t="s">
        <v>2926</v>
      </c>
      <c r="J989" s="3" t="str">
        <f>IF(I989="Cash",L989,"")</f>
        <v/>
      </c>
      <c r="K989" s="3">
        <f>IF(I989="UPI",L989,"")</f>
        <v>1419</v>
      </c>
      <c r="L989" s="3">
        <f>IF(E989&lt;&gt;"",E989-G989-H989,"")</f>
        <v>1419</v>
      </c>
    </row>
    <row r="990" spans="2:12">
      <c r="B990" s="2" t="s">
        <v>2754</v>
      </c>
      <c r="C990" s="9">
        <v>46010</v>
      </c>
      <c r="D990" s="4">
        <v>1</v>
      </c>
      <c r="E990" s="3">
        <v>1020</v>
      </c>
      <c r="F990" s="7">
        <f t="shared" si="15"/>
        <v>46010</v>
      </c>
      <c r="G990" s="3">
        <f>IF(E990&lt;&gt;"", E990*10%, "")</f>
        <v>102</v>
      </c>
      <c r="H990" s="3">
        <f>IF(E990&lt;&gt;"",ROUND(IF(E990&gt;1500,E990*5%,),0),"")</f>
        <v>0</v>
      </c>
      <c r="I990" s="2" t="s">
        <v>2926</v>
      </c>
      <c r="J990" s="3" t="str">
        <f>IF(I990="Cash",L990,"")</f>
        <v/>
      </c>
      <c r="K990" s="3">
        <f>IF(I990="UPI",L990,"")</f>
        <v>918</v>
      </c>
      <c r="L990" s="3">
        <f>IF(E990&lt;&gt;"",E990-G990-H990,"")</f>
        <v>918</v>
      </c>
    </row>
    <row r="991" spans="2:12">
      <c r="B991" s="2" t="s">
        <v>2755</v>
      </c>
      <c r="C991" s="9">
        <v>46010</v>
      </c>
      <c r="D991" s="4">
        <v>4</v>
      </c>
      <c r="E991" s="3">
        <v>2280</v>
      </c>
      <c r="F991" s="7">
        <f t="shared" si="15"/>
        <v>46010</v>
      </c>
      <c r="G991" s="3">
        <f>IF(E991&lt;&gt;"", E991*10%, "")</f>
        <v>228</v>
      </c>
      <c r="H991" s="3">
        <f>IF(E991&lt;&gt;"",ROUND(IF(E991&gt;1500,E991*5%,),0),"")</f>
        <v>114</v>
      </c>
      <c r="I991" s="2" t="s">
        <v>2925</v>
      </c>
      <c r="J991" s="3">
        <f>IF(I991="Cash",L991,"")</f>
        <v>1938</v>
      </c>
      <c r="K991" s="3" t="str">
        <f>IF(I991="UPI",L991,"")</f>
        <v/>
      </c>
      <c r="L991" s="3">
        <f>IF(E991&lt;&gt;"",E991-G991-H991,"")</f>
        <v>1938</v>
      </c>
    </row>
    <row r="992" spans="2:12">
      <c r="B992" s="2" t="s">
        <v>2756</v>
      </c>
      <c r="C992" s="9">
        <v>46010</v>
      </c>
      <c r="D992" s="4">
        <v>4</v>
      </c>
      <c r="E992" s="3">
        <v>2610</v>
      </c>
      <c r="F992" s="7">
        <f t="shared" si="15"/>
        <v>46010</v>
      </c>
      <c r="G992" s="3">
        <f>IF(E992&lt;&gt;"", E992*10%, "")</f>
        <v>261</v>
      </c>
      <c r="H992" s="3">
        <f>IF(E992&lt;&gt;"",ROUND(IF(E992&gt;1500,E992*5%,),0),"")</f>
        <v>131</v>
      </c>
      <c r="I992" s="2" t="s">
        <v>2925</v>
      </c>
      <c r="J992" s="3">
        <f>IF(I992="Cash",L992,"")</f>
        <v>2218</v>
      </c>
      <c r="K992" s="3" t="str">
        <f>IF(I992="UPI",L992,"")</f>
        <v/>
      </c>
      <c r="L992" s="3">
        <f>IF(E992&lt;&gt;"",E992-G992-H992,"")</f>
        <v>2218</v>
      </c>
    </row>
    <row r="993" spans="2:12">
      <c r="B993" s="2" t="s">
        <v>2757</v>
      </c>
      <c r="C993" s="9">
        <v>46010</v>
      </c>
      <c r="D993" s="4">
        <v>2</v>
      </c>
      <c r="E993" s="3">
        <v>310</v>
      </c>
      <c r="F993" s="7">
        <f t="shared" si="15"/>
        <v>46010</v>
      </c>
      <c r="G993" s="3">
        <f>IF(E993&lt;&gt;"", E993*10%, "")</f>
        <v>31</v>
      </c>
      <c r="H993" s="3">
        <f>IF(E993&lt;&gt;"",ROUND(IF(E993&gt;1500,E993*5%,),0),"")</f>
        <v>0</v>
      </c>
      <c r="I993" s="2" t="s">
        <v>2926</v>
      </c>
      <c r="J993" s="3" t="str">
        <f>IF(I993="Cash",L993,"")</f>
        <v/>
      </c>
      <c r="K993" s="3">
        <f>IF(I993="UPI",L993,"")</f>
        <v>279</v>
      </c>
      <c r="L993" s="3">
        <f>IF(E993&lt;&gt;"",E993-G993-H993,"")</f>
        <v>279</v>
      </c>
    </row>
    <row r="994" spans="2:12">
      <c r="B994" s="2" t="s">
        <v>2758</v>
      </c>
      <c r="C994" s="9">
        <v>46010</v>
      </c>
      <c r="D994" s="4">
        <v>2</v>
      </c>
      <c r="E994" s="3">
        <v>1770</v>
      </c>
      <c r="F994" s="7">
        <f t="shared" si="15"/>
        <v>46010</v>
      </c>
      <c r="G994" s="3">
        <f>IF(E994&lt;&gt;"", E994*10%, "")</f>
        <v>177</v>
      </c>
      <c r="H994" s="3">
        <f>IF(E994&lt;&gt;"",ROUND(IF(E994&gt;1500,E994*5%,),0),"")</f>
        <v>89</v>
      </c>
      <c r="I994" s="2" t="s">
        <v>2925</v>
      </c>
      <c r="J994" s="3">
        <f>IF(I994="Cash",L994,"")</f>
        <v>1504</v>
      </c>
      <c r="K994" s="3" t="str">
        <f>IF(I994="UPI",L994,"")</f>
        <v/>
      </c>
      <c r="L994" s="3">
        <f>IF(E994&lt;&gt;"",E994-G994-H994,"")</f>
        <v>1504</v>
      </c>
    </row>
    <row r="995" spans="2:12">
      <c r="B995" s="2" t="s">
        <v>2759</v>
      </c>
      <c r="C995" s="9">
        <v>46010</v>
      </c>
      <c r="D995" s="4">
        <v>3</v>
      </c>
      <c r="E995" s="3">
        <v>2710</v>
      </c>
      <c r="F995" s="7">
        <f t="shared" si="15"/>
        <v>46010</v>
      </c>
      <c r="G995" s="3">
        <f>IF(E995&lt;&gt;"", E995*10%, "")</f>
        <v>271</v>
      </c>
      <c r="H995" s="3">
        <f>IF(E995&lt;&gt;"",ROUND(IF(E995&gt;1500,E995*5%,),0),"")</f>
        <v>136</v>
      </c>
      <c r="I995" s="2" t="s">
        <v>2925</v>
      </c>
      <c r="J995" s="3">
        <f>IF(I995="Cash",L995,"")</f>
        <v>2303</v>
      </c>
      <c r="K995" s="3" t="str">
        <f>IF(I995="UPI",L995,"")</f>
        <v/>
      </c>
      <c r="L995" s="3">
        <f>IF(E995&lt;&gt;"",E995-G995-H995,"")</f>
        <v>2303</v>
      </c>
    </row>
    <row r="996" spans="2:12">
      <c r="B996" s="2" t="s">
        <v>2760</v>
      </c>
      <c r="C996" s="9">
        <v>46011</v>
      </c>
      <c r="D996" s="4">
        <v>3</v>
      </c>
      <c r="E996" s="3">
        <v>1640</v>
      </c>
      <c r="F996" s="7">
        <f t="shared" si="15"/>
        <v>46011</v>
      </c>
      <c r="G996" s="3">
        <f>IF(E996&lt;&gt;"", E996*10%, "")</f>
        <v>164</v>
      </c>
      <c r="H996" s="3">
        <f>IF(E996&lt;&gt;"",ROUND(IF(E996&gt;1500,E996*5%,),0),"")</f>
        <v>82</v>
      </c>
      <c r="I996" s="2" t="s">
        <v>2926</v>
      </c>
      <c r="J996" s="3" t="str">
        <f>IF(I996="Cash",L996,"")</f>
        <v/>
      </c>
      <c r="K996" s="3">
        <f>IF(I996="UPI",L996,"")</f>
        <v>1394</v>
      </c>
      <c r="L996" s="3">
        <f>IF(E996&lt;&gt;"",E996-G996-H996,"")</f>
        <v>1394</v>
      </c>
    </row>
    <row r="997" spans="2:12">
      <c r="B997" s="2" t="s">
        <v>2761</v>
      </c>
      <c r="C997" s="9">
        <v>46011</v>
      </c>
      <c r="D997" s="4">
        <v>3</v>
      </c>
      <c r="E997" s="3">
        <v>2140</v>
      </c>
      <c r="F997" s="7">
        <f t="shared" si="15"/>
        <v>46011</v>
      </c>
      <c r="G997" s="3">
        <f>IF(E997&lt;&gt;"", E997*10%, "")</f>
        <v>214</v>
      </c>
      <c r="H997" s="3">
        <f>IF(E997&lt;&gt;"",ROUND(IF(E997&gt;1500,E997*5%,),0),"")</f>
        <v>107</v>
      </c>
      <c r="I997" s="2" t="s">
        <v>2925</v>
      </c>
      <c r="J997" s="3">
        <f>IF(I997="Cash",L997,"")</f>
        <v>1819</v>
      </c>
      <c r="K997" s="3" t="str">
        <f>IF(I997="UPI",L997,"")</f>
        <v/>
      </c>
      <c r="L997" s="3">
        <f>IF(E997&lt;&gt;"",E997-G997-H997,"")</f>
        <v>1819</v>
      </c>
    </row>
    <row r="998" spans="2:12">
      <c r="B998" s="2" t="s">
        <v>2762</v>
      </c>
      <c r="C998" s="9">
        <v>46011</v>
      </c>
      <c r="D998" s="4">
        <v>1</v>
      </c>
      <c r="E998" s="3">
        <v>800</v>
      </c>
      <c r="F998" s="7">
        <f t="shared" si="15"/>
        <v>46011</v>
      </c>
      <c r="G998" s="3">
        <f>IF(E998&lt;&gt;"", E998*10%, "")</f>
        <v>80</v>
      </c>
      <c r="H998" s="3">
        <f>IF(E998&lt;&gt;"",ROUND(IF(E998&gt;1500,E998*5%,),0),"")</f>
        <v>0</v>
      </c>
      <c r="I998" s="2" t="s">
        <v>2926</v>
      </c>
      <c r="J998" s="3" t="str">
        <f>IF(I998="Cash",L998,"")</f>
        <v/>
      </c>
      <c r="K998" s="3">
        <f>IF(I998="UPI",L998,"")</f>
        <v>720</v>
      </c>
      <c r="L998" s="3">
        <f>IF(E998&lt;&gt;"",E998-G998-H998,"")</f>
        <v>720</v>
      </c>
    </row>
    <row r="999" spans="2:12">
      <c r="B999" s="2" t="s">
        <v>2763</v>
      </c>
      <c r="C999" s="9">
        <v>46011</v>
      </c>
      <c r="D999" s="4">
        <v>4</v>
      </c>
      <c r="E999" s="3">
        <v>3510</v>
      </c>
      <c r="F999" s="7">
        <f t="shared" si="15"/>
        <v>46011</v>
      </c>
      <c r="G999" s="3">
        <f>IF(E999&lt;&gt;"", E999*10%, "")</f>
        <v>351</v>
      </c>
      <c r="H999" s="3">
        <f>IF(E999&lt;&gt;"",ROUND(IF(E999&gt;1500,E999*5%,),0),"")</f>
        <v>176</v>
      </c>
      <c r="I999" s="2" t="s">
        <v>2928</v>
      </c>
      <c r="J999" s="3">
        <v>1500</v>
      </c>
      <c r="K999" s="3">
        <v>1483</v>
      </c>
      <c r="L999" s="3">
        <f>IF(E999&lt;&gt;"",E999-G999-H999,"")</f>
        <v>2983</v>
      </c>
    </row>
    <row r="1000" spans="2:12">
      <c r="B1000" s="2" t="s">
        <v>2764</v>
      </c>
      <c r="C1000" s="9">
        <v>46011</v>
      </c>
      <c r="D1000" s="4">
        <v>1</v>
      </c>
      <c r="E1000" s="3">
        <v>700</v>
      </c>
      <c r="F1000" s="7">
        <f t="shared" si="15"/>
        <v>46011</v>
      </c>
      <c r="G1000" s="3">
        <f>IF(E1000&lt;&gt;"", E1000*10%, "")</f>
        <v>70</v>
      </c>
      <c r="H1000" s="3">
        <f>IF(E1000&lt;&gt;"",ROUND(IF(E1000&gt;1500,E1000*5%,),0),"")</f>
        <v>0</v>
      </c>
      <c r="I1000" s="2" t="s">
        <v>2926</v>
      </c>
      <c r="J1000" s="3" t="str">
        <f>IF(I1000="Cash",L1000,"")</f>
        <v/>
      </c>
      <c r="K1000" s="3">
        <f>IF(I1000="UPI",L1000,"")</f>
        <v>630</v>
      </c>
      <c r="L1000" s="3">
        <f>IF(E1000&lt;&gt;"",E1000-G1000-H1000,"")</f>
        <v>630</v>
      </c>
    </row>
    <row r="1001" spans="2:12">
      <c r="B1001" s="2" t="s">
        <v>2765</v>
      </c>
      <c r="C1001" s="9">
        <v>46011</v>
      </c>
      <c r="D1001" s="4">
        <v>1</v>
      </c>
      <c r="E1001" s="3">
        <v>130</v>
      </c>
      <c r="F1001" s="7">
        <f t="shared" si="15"/>
        <v>46011</v>
      </c>
      <c r="G1001" s="3">
        <f>IF(E1001&lt;&gt;"", E1001*10%, "")</f>
        <v>13</v>
      </c>
      <c r="H1001" s="3">
        <f>IF(E1001&lt;&gt;"",ROUND(IF(E1001&gt;1500,E1001*5%,),0),"")</f>
        <v>0</v>
      </c>
      <c r="I1001" s="2" t="s">
        <v>2926</v>
      </c>
      <c r="J1001" s="3" t="str">
        <f>IF(I1001="Cash",L1001,"")</f>
        <v/>
      </c>
      <c r="K1001" s="3">
        <f>IF(I1001="UPI",L1001,"")</f>
        <v>117</v>
      </c>
      <c r="L1001" s="3">
        <f>IF(E1001&lt;&gt;"",E1001-G1001-H1001,"")</f>
        <v>117</v>
      </c>
    </row>
    <row r="1002" spans="2:12">
      <c r="B1002" s="2" t="s">
        <v>2766</v>
      </c>
      <c r="C1002" s="9">
        <v>46011</v>
      </c>
      <c r="D1002" s="4">
        <v>2</v>
      </c>
      <c r="E1002" s="3">
        <v>1490</v>
      </c>
      <c r="F1002" s="7">
        <f t="shared" si="15"/>
        <v>46011</v>
      </c>
      <c r="G1002" s="3">
        <f>IF(E1002&lt;&gt;"", E1002*10%, "")</f>
        <v>149</v>
      </c>
      <c r="H1002" s="3">
        <f>IF(E1002&lt;&gt;"",ROUND(IF(E1002&gt;1500,E1002*5%,),0),"")</f>
        <v>0</v>
      </c>
      <c r="I1002" s="2" t="s">
        <v>2926</v>
      </c>
      <c r="J1002" s="3" t="str">
        <f>IF(I1002="Cash",L1002,"")</f>
        <v/>
      </c>
      <c r="K1002" s="3">
        <f>IF(I1002="UPI",L1002,"")</f>
        <v>1341</v>
      </c>
      <c r="L1002" s="3">
        <f>IF(E1002&lt;&gt;"",E1002-G1002-H1002,"")</f>
        <v>1341</v>
      </c>
    </row>
    <row r="1003" spans="2:12">
      <c r="B1003" s="2" t="s">
        <v>2767</v>
      </c>
      <c r="C1003" s="9">
        <v>46011</v>
      </c>
      <c r="D1003" s="4">
        <v>2</v>
      </c>
      <c r="E1003" s="3">
        <v>1870</v>
      </c>
      <c r="F1003" s="7">
        <f t="shared" si="15"/>
        <v>46011</v>
      </c>
      <c r="G1003" s="3">
        <f>IF(E1003&lt;&gt;"", E1003*10%, "")</f>
        <v>187</v>
      </c>
      <c r="H1003" s="3">
        <f>IF(E1003&lt;&gt;"",ROUND(IF(E1003&gt;1500,E1003*5%,),0),"")</f>
        <v>94</v>
      </c>
      <c r="I1003" s="2" t="s">
        <v>2925</v>
      </c>
      <c r="J1003" s="3">
        <f>IF(I1003="Cash",L1003,"")</f>
        <v>1589</v>
      </c>
      <c r="K1003" s="3" t="str">
        <f>IF(I1003="UPI",L1003,"")</f>
        <v/>
      </c>
      <c r="L1003" s="3">
        <f>IF(E1003&lt;&gt;"",E1003-G1003-H1003,"")</f>
        <v>1589</v>
      </c>
    </row>
    <row r="1004" spans="2:12">
      <c r="B1004" s="2" t="s">
        <v>2768</v>
      </c>
      <c r="C1004" s="9">
        <v>46011</v>
      </c>
      <c r="D1004" s="4">
        <v>1</v>
      </c>
      <c r="E1004" s="3">
        <v>880</v>
      </c>
      <c r="F1004" s="7">
        <f t="shared" si="15"/>
        <v>46011</v>
      </c>
      <c r="G1004" s="3">
        <f>IF(E1004&lt;&gt;"", E1004*10%, "")</f>
        <v>88</v>
      </c>
      <c r="H1004" s="3">
        <f>IF(E1004&lt;&gt;"",ROUND(IF(E1004&gt;1500,E1004*5%,),0),"")</f>
        <v>0</v>
      </c>
      <c r="I1004" s="2" t="s">
        <v>2926</v>
      </c>
      <c r="J1004" s="3" t="str">
        <f>IF(I1004="Cash",L1004,"")</f>
        <v/>
      </c>
      <c r="K1004" s="3">
        <f>IF(I1004="UPI",L1004,"")</f>
        <v>792</v>
      </c>
      <c r="L1004" s="3">
        <f>IF(E1004&lt;&gt;"",E1004-G1004-H1004,"")</f>
        <v>792</v>
      </c>
    </row>
    <row r="1005" spans="2:12">
      <c r="B1005" s="2" t="s">
        <v>2769</v>
      </c>
      <c r="C1005" s="9">
        <v>46011</v>
      </c>
      <c r="D1005" s="4">
        <v>1</v>
      </c>
      <c r="E1005" s="3">
        <v>830</v>
      </c>
      <c r="F1005" s="7">
        <f t="shared" si="15"/>
        <v>46011</v>
      </c>
      <c r="G1005" s="3">
        <f>IF(E1005&lt;&gt;"", E1005*10%, "")</f>
        <v>83</v>
      </c>
      <c r="H1005" s="3">
        <f>IF(E1005&lt;&gt;"",ROUND(IF(E1005&gt;1500,E1005*5%,),0),"")</f>
        <v>0</v>
      </c>
      <c r="I1005" s="2" t="s">
        <v>2926</v>
      </c>
      <c r="J1005" s="3" t="str">
        <f>IF(I1005="Cash",L1005,"")</f>
        <v/>
      </c>
      <c r="K1005" s="3">
        <f>IF(I1005="UPI",L1005,"")</f>
        <v>747</v>
      </c>
      <c r="L1005" s="3">
        <f>IF(E1005&lt;&gt;"",E1005-G1005-H1005,"")</f>
        <v>747</v>
      </c>
    </row>
    <row r="1006" spans="2:12">
      <c r="B1006" s="2" t="s">
        <v>2770</v>
      </c>
      <c r="C1006" s="9">
        <v>46011</v>
      </c>
      <c r="D1006" s="4">
        <v>1</v>
      </c>
      <c r="E1006" s="3">
        <v>960</v>
      </c>
      <c r="F1006" s="7">
        <f t="shared" si="15"/>
        <v>46011</v>
      </c>
      <c r="G1006" s="3">
        <f>IF(E1006&lt;&gt;"", E1006*10%, "")</f>
        <v>96</v>
      </c>
      <c r="H1006" s="3">
        <f>IF(E1006&lt;&gt;"",ROUND(IF(E1006&gt;1500,E1006*5%,),0),"")</f>
        <v>0</v>
      </c>
      <c r="I1006" s="2" t="s">
        <v>2926</v>
      </c>
      <c r="J1006" s="3" t="str">
        <f>IF(I1006="Cash",L1006,"")</f>
        <v/>
      </c>
      <c r="K1006" s="3">
        <f>IF(I1006="UPI",L1006,"")</f>
        <v>864</v>
      </c>
      <c r="L1006" s="3">
        <f>IF(E1006&lt;&gt;"",E1006-G1006-H1006,"")</f>
        <v>864</v>
      </c>
    </row>
    <row r="1007" spans="2:12">
      <c r="B1007" s="2" t="s">
        <v>2771</v>
      </c>
      <c r="C1007" s="9">
        <v>46011</v>
      </c>
      <c r="D1007" s="4">
        <v>2</v>
      </c>
      <c r="E1007" s="3">
        <v>850</v>
      </c>
      <c r="F1007" s="7">
        <f t="shared" si="15"/>
        <v>46011</v>
      </c>
      <c r="G1007" s="3">
        <f>IF(E1007&lt;&gt;"", E1007*10%, "")</f>
        <v>85</v>
      </c>
      <c r="H1007" s="3">
        <f>IF(E1007&lt;&gt;"",ROUND(IF(E1007&gt;1500,E1007*5%,),0),"")</f>
        <v>0</v>
      </c>
      <c r="I1007" s="2" t="s">
        <v>2926</v>
      </c>
      <c r="J1007" s="3" t="str">
        <f>IF(I1007="Cash",L1007,"")</f>
        <v/>
      </c>
      <c r="K1007" s="3">
        <f>IF(I1007="UPI",L1007,"")</f>
        <v>765</v>
      </c>
      <c r="L1007" s="3">
        <f>IF(E1007&lt;&gt;"",E1007-G1007-H1007,"")</f>
        <v>765</v>
      </c>
    </row>
    <row r="1008" spans="2:12">
      <c r="B1008" s="2" t="s">
        <v>2772</v>
      </c>
      <c r="C1008" s="9">
        <v>46011</v>
      </c>
      <c r="D1008" s="4">
        <v>4</v>
      </c>
      <c r="E1008" s="3">
        <v>1730</v>
      </c>
      <c r="F1008" s="7">
        <f t="shared" si="15"/>
        <v>46011</v>
      </c>
      <c r="G1008" s="3">
        <f>IF(E1008&lt;&gt;"", E1008*10%, "")</f>
        <v>173</v>
      </c>
      <c r="H1008" s="3">
        <f>IF(E1008&lt;&gt;"",ROUND(IF(E1008&gt;1500,E1008*5%,),0),"")</f>
        <v>87</v>
      </c>
      <c r="I1008" s="2" t="s">
        <v>2925</v>
      </c>
      <c r="J1008" s="3">
        <f>IF(I1008="Cash",L1008,"")</f>
        <v>1470</v>
      </c>
      <c r="K1008" s="3" t="str">
        <f>IF(I1008="UPI",L1008,"")</f>
        <v/>
      </c>
      <c r="L1008" s="3">
        <f>IF(E1008&lt;&gt;"",E1008-G1008-H1008,"")</f>
        <v>1470</v>
      </c>
    </row>
    <row r="1009" spans="2:12">
      <c r="B1009" s="2" t="s">
        <v>2773</v>
      </c>
      <c r="C1009" s="9">
        <v>46013</v>
      </c>
      <c r="D1009" s="4">
        <v>4</v>
      </c>
      <c r="E1009" s="3">
        <v>2520</v>
      </c>
      <c r="F1009" s="7">
        <f t="shared" si="15"/>
        <v>46013</v>
      </c>
      <c r="G1009" s="3">
        <f>IF(E1009&lt;&gt;"", E1009*10%, "")</f>
        <v>252</v>
      </c>
      <c r="H1009" s="3">
        <f>IF(E1009&lt;&gt;"",ROUND(IF(E1009&gt;1500,E1009*5%,),0),"")</f>
        <v>126</v>
      </c>
      <c r="I1009" s="2" t="s">
        <v>2925</v>
      </c>
      <c r="J1009" s="3">
        <f>IF(I1009="Cash",L1009,"")</f>
        <v>2142</v>
      </c>
      <c r="K1009" s="3" t="str">
        <f>IF(I1009="UPI",L1009,"")</f>
        <v/>
      </c>
      <c r="L1009" s="3">
        <f>IF(E1009&lt;&gt;"",E1009-G1009-H1009,"")</f>
        <v>2142</v>
      </c>
    </row>
    <row r="1010" spans="2:12">
      <c r="B1010" s="2" t="s">
        <v>2774</v>
      </c>
      <c r="C1010" s="9">
        <v>46013</v>
      </c>
      <c r="D1010" s="4">
        <v>2</v>
      </c>
      <c r="E1010" s="3">
        <v>1010</v>
      </c>
      <c r="F1010" s="7">
        <f t="shared" si="15"/>
        <v>46013</v>
      </c>
      <c r="G1010" s="3">
        <f>IF(E1010&lt;&gt;"", E1010*10%, "")</f>
        <v>101</v>
      </c>
      <c r="H1010" s="3">
        <f>IF(E1010&lt;&gt;"",ROUND(IF(E1010&gt;1500,E1010*5%,),0),"")</f>
        <v>0</v>
      </c>
      <c r="I1010" s="2" t="s">
        <v>2926</v>
      </c>
      <c r="J1010" s="3" t="str">
        <f>IF(I1010="Cash",L1010,"")</f>
        <v/>
      </c>
      <c r="K1010" s="3">
        <f>IF(I1010="UPI",L1010,"")</f>
        <v>909</v>
      </c>
      <c r="L1010" s="3">
        <f>IF(E1010&lt;&gt;"",E1010-G1010-H1010,"")</f>
        <v>909</v>
      </c>
    </row>
    <row r="1011" spans="2:12">
      <c r="B1011" s="2" t="s">
        <v>2775</v>
      </c>
      <c r="C1011" s="9">
        <v>46013</v>
      </c>
      <c r="D1011" s="4">
        <v>3</v>
      </c>
      <c r="E1011" s="3">
        <v>2520</v>
      </c>
      <c r="F1011" s="7">
        <f t="shared" si="15"/>
        <v>46013</v>
      </c>
      <c r="G1011" s="3">
        <f>IF(E1011&lt;&gt;"", E1011*10%, "")</f>
        <v>252</v>
      </c>
      <c r="H1011" s="3">
        <f>IF(E1011&lt;&gt;"",ROUND(IF(E1011&gt;1500,E1011*5%,),0),"")</f>
        <v>126</v>
      </c>
      <c r="I1011" s="2" t="s">
        <v>2925</v>
      </c>
      <c r="J1011" s="3">
        <f>IF(I1011="Cash",L1011,"")</f>
        <v>2142</v>
      </c>
      <c r="K1011" s="3" t="str">
        <f>IF(I1011="UPI",L1011,"")</f>
        <v/>
      </c>
      <c r="L1011" s="3">
        <f>IF(E1011&lt;&gt;"",E1011-G1011-H1011,"")</f>
        <v>2142</v>
      </c>
    </row>
    <row r="1012" spans="2:12">
      <c r="B1012" s="2" t="s">
        <v>2776</v>
      </c>
      <c r="C1012" s="9">
        <v>46013</v>
      </c>
      <c r="D1012" s="4">
        <v>4</v>
      </c>
      <c r="E1012" s="3">
        <v>2730</v>
      </c>
      <c r="F1012" s="7">
        <f t="shared" si="15"/>
        <v>46013</v>
      </c>
      <c r="G1012" s="3">
        <f>IF(E1012&lt;&gt;"", E1012*10%, "")</f>
        <v>273</v>
      </c>
      <c r="H1012" s="3">
        <f>IF(E1012&lt;&gt;"",ROUND(IF(E1012&gt;1500,E1012*5%,),0),"")</f>
        <v>137</v>
      </c>
      <c r="I1012" s="2" t="s">
        <v>2925</v>
      </c>
      <c r="J1012" s="3">
        <f>IF(I1012="Cash",L1012,"")</f>
        <v>2320</v>
      </c>
      <c r="K1012" s="3" t="str">
        <f>IF(I1012="UPI",L1012,"")</f>
        <v/>
      </c>
      <c r="L1012" s="3">
        <f>IF(E1012&lt;&gt;"",E1012-G1012-H1012,"")</f>
        <v>2320</v>
      </c>
    </row>
    <row r="1013" spans="2:12">
      <c r="B1013" s="2" t="s">
        <v>2777</v>
      </c>
      <c r="C1013" s="9">
        <v>46013</v>
      </c>
      <c r="D1013" s="4">
        <v>1</v>
      </c>
      <c r="E1013" s="3">
        <v>830</v>
      </c>
      <c r="F1013" s="7">
        <f t="shared" si="15"/>
        <v>46013</v>
      </c>
      <c r="G1013" s="3">
        <f>IF(E1013&lt;&gt;"", E1013*10%, "")</f>
        <v>83</v>
      </c>
      <c r="H1013" s="3">
        <f>IF(E1013&lt;&gt;"",ROUND(IF(E1013&gt;1500,E1013*5%,),0),"")</f>
        <v>0</v>
      </c>
      <c r="I1013" s="2" t="s">
        <v>2926</v>
      </c>
      <c r="J1013" s="3" t="str">
        <f>IF(I1013="Cash",L1013,"")</f>
        <v/>
      </c>
      <c r="K1013" s="3">
        <f>IF(I1013="UPI",L1013,"")</f>
        <v>747</v>
      </c>
      <c r="L1013" s="3">
        <f>IF(E1013&lt;&gt;"",E1013-G1013-H1013,"")</f>
        <v>747</v>
      </c>
    </row>
    <row r="1014" spans="2:12">
      <c r="B1014" s="2" t="s">
        <v>2778</v>
      </c>
      <c r="C1014" s="9">
        <v>46013</v>
      </c>
      <c r="D1014" s="4">
        <v>2</v>
      </c>
      <c r="E1014" s="3">
        <v>1410</v>
      </c>
      <c r="F1014" s="7">
        <f t="shared" si="15"/>
        <v>46013</v>
      </c>
      <c r="G1014" s="3">
        <f>IF(E1014&lt;&gt;"", E1014*10%, "")</f>
        <v>141</v>
      </c>
      <c r="H1014" s="3">
        <f>IF(E1014&lt;&gt;"",ROUND(IF(E1014&gt;1500,E1014*5%,),0),"")</f>
        <v>0</v>
      </c>
      <c r="I1014" s="2" t="s">
        <v>2926</v>
      </c>
      <c r="J1014" s="3" t="str">
        <f>IF(I1014="Cash",L1014,"")</f>
        <v/>
      </c>
      <c r="K1014" s="3">
        <f>IF(I1014="UPI",L1014,"")</f>
        <v>1269</v>
      </c>
      <c r="L1014" s="3">
        <f>IF(E1014&lt;&gt;"",E1014-G1014-H1014,"")</f>
        <v>1269</v>
      </c>
    </row>
    <row r="1015" spans="2:12">
      <c r="B1015" s="2" t="s">
        <v>2779</v>
      </c>
      <c r="C1015" s="9">
        <v>46013</v>
      </c>
      <c r="D1015" s="4">
        <v>3</v>
      </c>
      <c r="E1015" s="3">
        <v>2060</v>
      </c>
      <c r="F1015" s="7">
        <f t="shared" si="15"/>
        <v>46013</v>
      </c>
      <c r="G1015" s="3">
        <f>IF(E1015&lt;&gt;"", E1015*10%, "")</f>
        <v>206</v>
      </c>
      <c r="H1015" s="3">
        <f>IF(E1015&lt;&gt;"",ROUND(IF(E1015&gt;1500,E1015*5%,),0),"")</f>
        <v>103</v>
      </c>
      <c r="I1015" s="2" t="s">
        <v>2925</v>
      </c>
      <c r="J1015" s="3">
        <f>IF(I1015="Cash",L1015,"")</f>
        <v>1751</v>
      </c>
      <c r="K1015" s="3" t="str">
        <f>IF(I1015="UPI",L1015,"")</f>
        <v/>
      </c>
      <c r="L1015" s="3">
        <f>IF(E1015&lt;&gt;"",E1015-G1015-H1015,"")</f>
        <v>1751</v>
      </c>
    </row>
    <row r="1016" spans="2:12">
      <c r="B1016" s="2" t="s">
        <v>2780</v>
      </c>
      <c r="C1016" s="9">
        <v>46013</v>
      </c>
      <c r="D1016" s="4">
        <v>2</v>
      </c>
      <c r="E1016" s="3">
        <v>1460</v>
      </c>
      <c r="F1016" s="7">
        <f t="shared" si="15"/>
        <v>46013</v>
      </c>
      <c r="G1016" s="3">
        <f>IF(E1016&lt;&gt;"", E1016*10%, "")</f>
        <v>146</v>
      </c>
      <c r="H1016" s="3">
        <f>IF(E1016&lt;&gt;"",ROUND(IF(E1016&gt;1500,E1016*5%,),0),"")</f>
        <v>0</v>
      </c>
      <c r="I1016" s="2" t="s">
        <v>2926</v>
      </c>
      <c r="J1016" s="3" t="str">
        <f>IF(I1016="Cash",L1016,"")</f>
        <v/>
      </c>
      <c r="K1016" s="3">
        <f>IF(I1016="UPI",L1016,"")</f>
        <v>1314</v>
      </c>
      <c r="L1016" s="3">
        <f>IF(E1016&lt;&gt;"",E1016-G1016-H1016,"")</f>
        <v>1314</v>
      </c>
    </row>
    <row r="1017" spans="2:12">
      <c r="B1017" s="2" t="s">
        <v>2781</v>
      </c>
      <c r="C1017" s="9">
        <v>46013</v>
      </c>
      <c r="D1017" s="4">
        <v>4</v>
      </c>
      <c r="E1017" s="3">
        <v>3260</v>
      </c>
      <c r="F1017" s="7">
        <f t="shared" si="15"/>
        <v>46013</v>
      </c>
      <c r="G1017" s="3">
        <f>IF(E1017&lt;&gt;"", E1017*10%, "")</f>
        <v>326</v>
      </c>
      <c r="H1017" s="3">
        <f>IF(E1017&lt;&gt;"",ROUND(IF(E1017&gt;1500,E1017*5%,),0),"")</f>
        <v>163</v>
      </c>
      <c r="I1017" s="2" t="s">
        <v>2928</v>
      </c>
      <c r="J1017" s="3">
        <v>1600</v>
      </c>
      <c r="K1017" s="3">
        <v>1171</v>
      </c>
      <c r="L1017" s="3">
        <f>IF(E1017&lt;&gt;"",E1017-G1017-H1017,"")</f>
        <v>2771</v>
      </c>
    </row>
    <row r="1018" spans="2:12">
      <c r="B1018" s="2" t="s">
        <v>2782</v>
      </c>
      <c r="C1018" s="9">
        <v>46013</v>
      </c>
      <c r="D1018" s="4">
        <v>1</v>
      </c>
      <c r="E1018" s="3">
        <v>790</v>
      </c>
      <c r="F1018" s="7">
        <f t="shared" si="15"/>
        <v>46013</v>
      </c>
      <c r="G1018" s="3">
        <f>IF(E1018&lt;&gt;"", E1018*10%, "")</f>
        <v>79</v>
      </c>
      <c r="H1018" s="3">
        <f>IF(E1018&lt;&gt;"",ROUND(IF(E1018&gt;1500,E1018*5%,),0),"")</f>
        <v>0</v>
      </c>
      <c r="I1018" s="2" t="s">
        <v>2926</v>
      </c>
      <c r="J1018" s="3" t="str">
        <f>IF(I1018="Cash",L1018,"")</f>
        <v/>
      </c>
      <c r="K1018" s="3">
        <f>IF(I1018="UPI",L1018,"")</f>
        <v>711</v>
      </c>
      <c r="L1018" s="3">
        <f>IF(E1018&lt;&gt;"",E1018-G1018-H1018,"")</f>
        <v>711</v>
      </c>
    </row>
    <row r="1019" spans="2:12">
      <c r="B1019" s="2" t="s">
        <v>2783</v>
      </c>
      <c r="C1019" s="9">
        <v>46013</v>
      </c>
      <c r="D1019" s="4">
        <v>3</v>
      </c>
      <c r="E1019" s="3">
        <v>1140</v>
      </c>
      <c r="F1019" s="7">
        <f t="shared" si="15"/>
        <v>46013</v>
      </c>
      <c r="G1019" s="3">
        <f>IF(E1019&lt;&gt;"", E1019*10%, "")</f>
        <v>114</v>
      </c>
      <c r="H1019" s="3">
        <f>IF(E1019&lt;&gt;"",ROUND(IF(E1019&gt;1500,E1019*5%,),0),"")</f>
        <v>0</v>
      </c>
      <c r="I1019" s="2" t="s">
        <v>2926</v>
      </c>
      <c r="J1019" s="3" t="str">
        <f>IF(I1019="Cash",L1019,"")</f>
        <v/>
      </c>
      <c r="K1019" s="3">
        <f>IF(I1019="UPI",L1019,"")</f>
        <v>1026</v>
      </c>
      <c r="L1019" s="3">
        <f>IF(E1019&lt;&gt;"",E1019-G1019-H1019,"")</f>
        <v>1026</v>
      </c>
    </row>
    <row r="1020" spans="2:12">
      <c r="B1020" s="2" t="s">
        <v>2784</v>
      </c>
      <c r="C1020" s="9">
        <v>46014</v>
      </c>
      <c r="D1020" s="4">
        <v>4</v>
      </c>
      <c r="E1020" s="3">
        <v>2500</v>
      </c>
      <c r="F1020" s="7">
        <f t="shared" si="15"/>
        <v>46014</v>
      </c>
      <c r="G1020" s="3">
        <f>IF(E1020&lt;&gt;"", E1020*10%, "")</f>
        <v>250</v>
      </c>
      <c r="H1020" s="3">
        <f>IF(E1020&lt;&gt;"",ROUND(IF(E1020&gt;1500,E1020*5%,),0),"")</f>
        <v>125</v>
      </c>
      <c r="I1020" s="2" t="s">
        <v>2925</v>
      </c>
      <c r="J1020" s="3">
        <f>IF(I1020="Cash",L1020,"")</f>
        <v>2125</v>
      </c>
      <c r="K1020" s="3" t="str">
        <f>IF(I1020="UPI",L1020,"")</f>
        <v/>
      </c>
      <c r="L1020" s="3">
        <f>IF(E1020&lt;&gt;"",E1020-G1020-H1020,"")</f>
        <v>2125</v>
      </c>
    </row>
    <row r="1021" spans="2:12">
      <c r="B1021" s="2" t="s">
        <v>2785</v>
      </c>
      <c r="C1021" s="9">
        <v>46014</v>
      </c>
      <c r="D1021" s="4">
        <v>1</v>
      </c>
      <c r="E1021" s="3">
        <v>670</v>
      </c>
      <c r="F1021" s="7">
        <f t="shared" si="15"/>
        <v>46014</v>
      </c>
      <c r="G1021" s="3">
        <f>IF(E1021&lt;&gt;"", E1021*10%, "")</f>
        <v>67</v>
      </c>
      <c r="H1021" s="3">
        <f>IF(E1021&lt;&gt;"",ROUND(IF(E1021&gt;1500,E1021*5%,),0),"")</f>
        <v>0</v>
      </c>
      <c r="I1021" s="2" t="s">
        <v>2926</v>
      </c>
      <c r="J1021" s="3" t="str">
        <f>IF(I1021="Cash",L1021,"")</f>
        <v/>
      </c>
      <c r="K1021" s="3">
        <f>IF(I1021="UPI",L1021,"")</f>
        <v>603</v>
      </c>
      <c r="L1021" s="3">
        <f>IF(E1021&lt;&gt;"",E1021-G1021-H1021,"")</f>
        <v>603</v>
      </c>
    </row>
    <row r="1022" spans="2:12">
      <c r="B1022" s="2" t="s">
        <v>2786</v>
      </c>
      <c r="C1022" s="9">
        <v>46014</v>
      </c>
      <c r="D1022" s="4">
        <v>4</v>
      </c>
      <c r="E1022" s="3">
        <v>3170</v>
      </c>
      <c r="F1022" s="7">
        <f t="shared" si="15"/>
        <v>46014</v>
      </c>
      <c r="G1022" s="3">
        <f>IF(E1022&lt;&gt;"", E1022*10%, "")</f>
        <v>317</v>
      </c>
      <c r="H1022" s="3">
        <f>IF(E1022&lt;&gt;"",ROUND(IF(E1022&gt;1500,E1022*5%,),0),"")</f>
        <v>159</v>
      </c>
      <c r="I1022" s="2" t="s">
        <v>2928</v>
      </c>
      <c r="J1022" s="3">
        <v>1400</v>
      </c>
      <c r="K1022" s="3">
        <v>1294</v>
      </c>
      <c r="L1022" s="3">
        <f>IF(E1022&lt;&gt;"",E1022-G1022-H1022,"")</f>
        <v>2694</v>
      </c>
    </row>
    <row r="1023" spans="2:12">
      <c r="B1023" s="2" t="s">
        <v>2787</v>
      </c>
      <c r="C1023" s="9">
        <v>46014</v>
      </c>
      <c r="D1023" s="4">
        <v>2</v>
      </c>
      <c r="E1023" s="3">
        <v>380</v>
      </c>
      <c r="F1023" s="7">
        <f t="shared" si="15"/>
        <v>46014</v>
      </c>
      <c r="G1023" s="3">
        <f>IF(E1023&lt;&gt;"", E1023*10%, "")</f>
        <v>38</v>
      </c>
      <c r="H1023" s="3">
        <f>IF(E1023&lt;&gt;"",ROUND(IF(E1023&gt;1500,E1023*5%,),0),"")</f>
        <v>0</v>
      </c>
      <c r="I1023" s="2" t="s">
        <v>2926</v>
      </c>
      <c r="J1023" s="3" t="str">
        <f>IF(I1023="Cash",L1023,"")</f>
        <v/>
      </c>
      <c r="K1023" s="3">
        <f>IF(I1023="UPI",L1023,"")</f>
        <v>342</v>
      </c>
      <c r="L1023" s="3">
        <f>IF(E1023&lt;&gt;"",E1023-G1023-H1023,"")</f>
        <v>342</v>
      </c>
    </row>
    <row r="1024" spans="2:12">
      <c r="B1024" s="2" t="s">
        <v>2788</v>
      </c>
      <c r="C1024" s="9">
        <v>46014</v>
      </c>
      <c r="D1024" s="4">
        <v>3</v>
      </c>
      <c r="E1024" s="3">
        <v>2230</v>
      </c>
      <c r="F1024" s="7">
        <f t="shared" si="15"/>
        <v>46014</v>
      </c>
      <c r="G1024" s="3">
        <f>IF(E1024&lt;&gt;"", E1024*10%, "")</f>
        <v>223</v>
      </c>
      <c r="H1024" s="3">
        <f>IF(E1024&lt;&gt;"",ROUND(IF(E1024&gt;1500,E1024*5%,),0),"")</f>
        <v>112</v>
      </c>
      <c r="I1024" s="2" t="s">
        <v>2925</v>
      </c>
      <c r="J1024" s="3">
        <f>IF(I1024="Cash",L1024,"")</f>
        <v>1895</v>
      </c>
      <c r="K1024" s="3" t="str">
        <f>IF(I1024="UPI",L1024,"")</f>
        <v/>
      </c>
      <c r="L1024" s="3">
        <f>IF(E1024&lt;&gt;"",E1024-G1024-H1024,"")</f>
        <v>1895</v>
      </c>
    </row>
    <row r="1025" spans="2:12">
      <c r="B1025" s="2" t="s">
        <v>2789</v>
      </c>
      <c r="C1025" s="9">
        <v>46014</v>
      </c>
      <c r="D1025" s="4">
        <v>1</v>
      </c>
      <c r="E1025" s="3">
        <v>750</v>
      </c>
      <c r="F1025" s="7">
        <f t="shared" si="15"/>
        <v>46014</v>
      </c>
      <c r="G1025" s="3">
        <f>IF(E1025&lt;&gt;"", E1025*10%, "")</f>
        <v>75</v>
      </c>
      <c r="H1025" s="3">
        <f>IF(E1025&lt;&gt;"",ROUND(IF(E1025&gt;1500,E1025*5%,),0),"")</f>
        <v>0</v>
      </c>
      <c r="I1025" s="2" t="s">
        <v>2926</v>
      </c>
      <c r="J1025" s="3" t="str">
        <f>IF(I1025="Cash",L1025,"")</f>
        <v/>
      </c>
      <c r="K1025" s="3">
        <f>IF(I1025="UPI",L1025,"")</f>
        <v>675</v>
      </c>
      <c r="L1025" s="3">
        <f>IF(E1025&lt;&gt;"",E1025-G1025-H1025,"")</f>
        <v>675</v>
      </c>
    </row>
    <row r="1026" spans="2:12">
      <c r="B1026" s="2" t="s">
        <v>2790</v>
      </c>
      <c r="C1026" s="9">
        <v>46014</v>
      </c>
      <c r="D1026" s="4">
        <v>1</v>
      </c>
      <c r="E1026" s="3">
        <v>880</v>
      </c>
      <c r="F1026" s="7">
        <f t="shared" si="15"/>
        <v>46014</v>
      </c>
      <c r="G1026" s="3">
        <f>IF(E1026&lt;&gt;"", E1026*10%, "")</f>
        <v>88</v>
      </c>
      <c r="H1026" s="3">
        <f>IF(E1026&lt;&gt;"",ROUND(IF(E1026&gt;1500,E1026*5%,),0),"")</f>
        <v>0</v>
      </c>
      <c r="I1026" s="2" t="s">
        <v>2926</v>
      </c>
      <c r="J1026" s="3" t="str">
        <f>IF(I1026="Cash",L1026,"")</f>
        <v/>
      </c>
      <c r="K1026" s="3">
        <f>IF(I1026="UPI",L1026,"")</f>
        <v>792</v>
      </c>
      <c r="L1026" s="3">
        <f>IF(E1026&lt;&gt;"",E1026-G1026-H1026,"")</f>
        <v>792</v>
      </c>
    </row>
    <row r="1027" spans="2:12">
      <c r="B1027" s="2" t="s">
        <v>2791</v>
      </c>
      <c r="C1027" s="9">
        <v>46014</v>
      </c>
      <c r="D1027" s="4">
        <v>2</v>
      </c>
      <c r="E1027" s="3">
        <v>1520</v>
      </c>
      <c r="F1027" s="7">
        <f t="shared" si="15"/>
        <v>46014</v>
      </c>
      <c r="G1027" s="3">
        <f>IF(E1027&lt;&gt;"", E1027*10%, "")</f>
        <v>152</v>
      </c>
      <c r="H1027" s="3">
        <f>IF(E1027&lt;&gt;"",ROUND(IF(E1027&gt;1500,E1027*5%,),0),"")</f>
        <v>76</v>
      </c>
      <c r="I1027" s="2" t="s">
        <v>2926</v>
      </c>
      <c r="J1027" s="3" t="str">
        <f>IF(I1027="Cash",L1027,"")</f>
        <v/>
      </c>
      <c r="K1027" s="3">
        <f>IF(I1027="UPI",L1027,"")</f>
        <v>1292</v>
      </c>
      <c r="L1027" s="3">
        <f>IF(E1027&lt;&gt;"",E1027-G1027-H1027,"")</f>
        <v>1292</v>
      </c>
    </row>
    <row r="1028" spans="2:12">
      <c r="B1028" s="2" t="s">
        <v>2792</v>
      </c>
      <c r="C1028" s="9">
        <v>46014</v>
      </c>
      <c r="D1028" s="4">
        <v>3</v>
      </c>
      <c r="E1028" s="3">
        <v>2310</v>
      </c>
      <c r="F1028" s="7">
        <f t="shared" si="15"/>
        <v>46014</v>
      </c>
      <c r="G1028" s="3">
        <f>IF(E1028&lt;&gt;"", E1028*10%, "")</f>
        <v>231</v>
      </c>
      <c r="H1028" s="3">
        <f>IF(E1028&lt;&gt;"",ROUND(IF(E1028&gt;1500,E1028*5%,),0),"")</f>
        <v>116</v>
      </c>
      <c r="I1028" s="2" t="s">
        <v>2925</v>
      </c>
      <c r="J1028" s="3">
        <f>IF(I1028="Cash",L1028,"")</f>
        <v>1963</v>
      </c>
      <c r="K1028" s="3" t="str">
        <f>IF(I1028="UPI",L1028,"")</f>
        <v/>
      </c>
      <c r="L1028" s="3">
        <f>IF(E1028&lt;&gt;"",E1028-G1028-H1028,"")</f>
        <v>1963</v>
      </c>
    </row>
    <row r="1029" spans="2:12">
      <c r="B1029" s="2" t="s">
        <v>2793</v>
      </c>
      <c r="C1029" s="9">
        <v>46014</v>
      </c>
      <c r="D1029" s="4">
        <v>3</v>
      </c>
      <c r="E1029" s="3">
        <v>1860</v>
      </c>
      <c r="F1029" s="7">
        <f t="shared" ref="F1029:F1092" si="16">C1029</f>
        <v>46014</v>
      </c>
      <c r="G1029" s="3">
        <f>IF(E1029&lt;&gt;"", E1029*10%, "")</f>
        <v>186</v>
      </c>
      <c r="H1029" s="3">
        <f>IF(E1029&lt;&gt;"",ROUND(IF(E1029&gt;1500,E1029*5%,),0),"")</f>
        <v>93</v>
      </c>
      <c r="I1029" s="2" t="s">
        <v>2925</v>
      </c>
      <c r="J1029" s="3">
        <f>IF(I1029="Cash",L1029,"")</f>
        <v>1581</v>
      </c>
      <c r="K1029" s="3" t="str">
        <f>IF(I1029="UPI",L1029,"")</f>
        <v/>
      </c>
      <c r="L1029" s="3">
        <f>IF(E1029&lt;&gt;"",E1029-G1029-H1029,"")</f>
        <v>1581</v>
      </c>
    </row>
    <row r="1030" spans="2:12">
      <c r="B1030" s="2" t="s">
        <v>2794</v>
      </c>
      <c r="C1030" s="9">
        <v>46014</v>
      </c>
      <c r="D1030" s="4">
        <v>2</v>
      </c>
      <c r="E1030" s="3">
        <v>1370</v>
      </c>
      <c r="F1030" s="7">
        <f t="shared" si="16"/>
        <v>46014</v>
      </c>
      <c r="G1030" s="3">
        <f>IF(E1030&lt;&gt;"", E1030*10%, "")</f>
        <v>137</v>
      </c>
      <c r="H1030" s="3">
        <f>IF(E1030&lt;&gt;"",ROUND(IF(E1030&gt;1500,E1030*5%,),0),"")</f>
        <v>0</v>
      </c>
      <c r="I1030" s="2" t="s">
        <v>2926</v>
      </c>
      <c r="J1030" s="3" t="str">
        <f>IF(I1030="Cash",L1030,"")</f>
        <v/>
      </c>
      <c r="K1030" s="3">
        <f>IF(I1030="UPI",L1030,"")</f>
        <v>1233</v>
      </c>
      <c r="L1030" s="3">
        <f>IF(E1030&lt;&gt;"",E1030-G1030-H1030,"")</f>
        <v>1233</v>
      </c>
    </row>
    <row r="1031" spans="2:12">
      <c r="B1031" s="2" t="s">
        <v>2795</v>
      </c>
      <c r="C1031" s="9">
        <v>46014</v>
      </c>
      <c r="D1031" s="4">
        <v>2</v>
      </c>
      <c r="E1031" s="3">
        <v>1340</v>
      </c>
      <c r="F1031" s="7">
        <f t="shared" si="16"/>
        <v>46014</v>
      </c>
      <c r="G1031" s="3">
        <f>IF(E1031&lt;&gt;"", E1031*10%, "")</f>
        <v>134</v>
      </c>
      <c r="H1031" s="3">
        <f>IF(E1031&lt;&gt;"",ROUND(IF(E1031&gt;1500,E1031*5%,),0),"")</f>
        <v>0</v>
      </c>
      <c r="I1031" s="2" t="s">
        <v>2926</v>
      </c>
      <c r="J1031" s="3" t="str">
        <f>IF(I1031="Cash",L1031,"")</f>
        <v/>
      </c>
      <c r="K1031" s="3">
        <f>IF(I1031="UPI",L1031,"")</f>
        <v>1206</v>
      </c>
      <c r="L1031" s="3">
        <f>IF(E1031&lt;&gt;"",E1031-G1031-H1031,"")</f>
        <v>1206</v>
      </c>
    </row>
    <row r="1032" spans="2:12">
      <c r="B1032" s="2" t="s">
        <v>2796</v>
      </c>
      <c r="C1032" s="9">
        <v>46014</v>
      </c>
      <c r="D1032" s="4">
        <v>1</v>
      </c>
      <c r="E1032" s="3">
        <v>800</v>
      </c>
      <c r="F1032" s="7">
        <f t="shared" si="16"/>
        <v>46014</v>
      </c>
      <c r="G1032" s="3">
        <f>IF(E1032&lt;&gt;"", E1032*10%, "")</f>
        <v>80</v>
      </c>
      <c r="H1032" s="3">
        <f>IF(E1032&lt;&gt;"",ROUND(IF(E1032&gt;1500,E1032*5%,),0),"")</f>
        <v>0</v>
      </c>
      <c r="I1032" s="2" t="s">
        <v>2926</v>
      </c>
      <c r="J1032" s="3" t="str">
        <f>IF(I1032="Cash",L1032,"")</f>
        <v/>
      </c>
      <c r="K1032" s="3">
        <f>IF(I1032="UPI",L1032,"")</f>
        <v>720</v>
      </c>
      <c r="L1032" s="3">
        <f>IF(E1032&lt;&gt;"",E1032-G1032-H1032,"")</f>
        <v>720</v>
      </c>
    </row>
    <row r="1033" spans="2:12">
      <c r="B1033" s="2" t="s">
        <v>2797</v>
      </c>
      <c r="C1033" s="9">
        <v>46014</v>
      </c>
      <c r="D1033" s="4">
        <v>1</v>
      </c>
      <c r="E1033" s="3">
        <v>940</v>
      </c>
      <c r="F1033" s="7">
        <f t="shared" si="16"/>
        <v>46014</v>
      </c>
      <c r="G1033" s="3">
        <f>IF(E1033&lt;&gt;"", E1033*10%, "")</f>
        <v>94</v>
      </c>
      <c r="H1033" s="3">
        <f>IF(E1033&lt;&gt;"",ROUND(IF(E1033&gt;1500,E1033*5%,),0),"")</f>
        <v>0</v>
      </c>
      <c r="I1033" s="2" t="s">
        <v>2926</v>
      </c>
      <c r="J1033" s="3" t="str">
        <f>IF(I1033="Cash",L1033,"")</f>
        <v/>
      </c>
      <c r="K1033" s="3">
        <f>IF(I1033="UPI",L1033,"")</f>
        <v>846</v>
      </c>
      <c r="L1033" s="3">
        <f>IF(E1033&lt;&gt;"",E1033-G1033-H1033,"")</f>
        <v>846</v>
      </c>
    </row>
    <row r="1034" spans="2:12">
      <c r="B1034" s="2" t="s">
        <v>2798</v>
      </c>
      <c r="C1034" s="9">
        <v>46014</v>
      </c>
      <c r="D1034" s="4">
        <v>2</v>
      </c>
      <c r="E1034" s="3">
        <v>780</v>
      </c>
      <c r="F1034" s="7">
        <f t="shared" si="16"/>
        <v>46014</v>
      </c>
      <c r="G1034" s="3">
        <f>IF(E1034&lt;&gt;"", E1034*10%, "")</f>
        <v>78</v>
      </c>
      <c r="H1034" s="3">
        <f>IF(E1034&lt;&gt;"",ROUND(IF(E1034&gt;1500,E1034*5%,),0),"")</f>
        <v>0</v>
      </c>
      <c r="I1034" s="2" t="s">
        <v>2926</v>
      </c>
      <c r="J1034" s="3" t="str">
        <f>IF(I1034="Cash",L1034,"")</f>
        <v/>
      </c>
      <c r="K1034" s="3">
        <f>IF(I1034="UPI",L1034,"")</f>
        <v>702</v>
      </c>
      <c r="L1034" s="3">
        <f>IF(E1034&lt;&gt;"",E1034-G1034-H1034,"")</f>
        <v>702</v>
      </c>
    </row>
    <row r="1035" spans="2:12">
      <c r="B1035" s="2" t="s">
        <v>2799</v>
      </c>
      <c r="C1035" s="9">
        <v>46014</v>
      </c>
      <c r="D1035" s="4">
        <v>1</v>
      </c>
      <c r="E1035" s="3">
        <v>760</v>
      </c>
      <c r="F1035" s="7">
        <f t="shared" si="16"/>
        <v>46014</v>
      </c>
      <c r="G1035" s="3">
        <f>IF(E1035&lt;&gt;"", E1035*10%, "")</f>
        <v>76</v>
      </c>
      <c r="H1035" s="3">
        <f>IF(E1035&lt;&gt;"",ROUND(IF(E1035&gt;1500,E1035*5%,),0),"")</f>
        <v>0</v>
      </c>
      <c r="I1035" s="2" t="s">
        <v>2926</v>
      </c>
      <c r="J1035" s="3" t="str">
        <f>IF(I1035="Cash",L1035,"")</f>
        <v/>
      </c>
      <c r="K1035" s="3">
        <f>IF(I1035="UPI",L1035,"")</f>
        <v>684</v>
      </c>
      <c r="L1035" s="3">
        <f>IF(E1035&lt;&gt;"",E1035-G1035-H1035,"")</f>
        <v>684</v>
      </c>
    </row>
    <row r="1036" spans="2:12">
      <c r="B1036" s="2" t="s">
        <v>2800</v>
      </c>
      <c r="C1036" s="9">
        <v>46014</v>
      </c>
      <c r="D1036" s="4">
        <v>2</v>
      </c>
      <c r="E1036" s="3">
        <v>1250</v>
      </c>
      <c r="F1036" s="7">
        <f t="shared" si="16"/>
        <v>46014</v>
      </c>
      <c r="G1036" s="3">
        <f>IF(E1036&lt;&gt;"", E1036*10%, "")</f>
        <v>125</v>
      </c>
      <c r="H1036" s="3">
        <f>IF(E1036&lt;&gt;"",ROUND(IF(E1036&gt;1500,E1036*5%,),0),"")</f>
        <v>0</v>
      </c>
      <c r="I1036" s="2" t="s">
        <v>2926</v>
      </c>
      <c r="J1036" s="3" t="str">
        <f>IF(I1036="Cash",L1036,"")</f>
        <v/>
      </c>
      <c r="K1036" s="3">
        <f>IF(I1036="UPI",L1036,"")</f>
        <v>1125</v>
      </c>
      <c r="L1036" s="3">
        <f>IF(E1036&lt;&gt;"",E1036-G1036-H1036,"")</f>
        <v>1125</v>
      </c>
    </row>
    <row r="1037" spans="2:12">
      <c r="B1037" s="2" t="s">
        <v>2801</v>
      </c>
      <c r="C1037" s="9">
        <v>46014</v>
      </c>
      <c r="D1037" s="4">
        <v>4</v>
      </c>
      <c r="E1037" s="3">
        <v>2480</v>
      </c>
      <c r="F1037" s="7">
        <f t="shared" si="16"/>
        <v>46014</v>
      </c>
      <c r="G1037" s="3">
        <f>IF(E1037&lt;&gt;"", E1037*10%, "")</f>
        <v>248</v>
      </c>
      <c r="H1037" s="3">
        <f>IF(E1037&lt;&gt;"",ROUND(IF(E1037&gt;1500,E1037*5%,),0),"")</f>
        <v>124</v>
      </c>
      <c r="I1037" s="2" t="s">
        <v>2925</v>
      </c>
      <c r="J1037" s="3">
        <f>IF(I1037="Cash",L1037,"")</f>
        <v>2108</v>
      </c>
      <c r="K1037" s="3" t="str">
        <f>IF(I1037="UPI",L1037,"")</f>
        <v/>
      </c>
      <c r="L1037" s="3">
        <f>IF(E1037&lt;&gt;"",E1037-G1037-H1037,"")</f>
        <v>2108</v>
      </c>
    </row>
    <row r="1038" spans="2:12">
      <c r="B1038" s="2" t="s">
        <v>2802</v>
      </c>
      <c r="C1038" s="9">
        <v>46014</v>
      </c>
      <c r="D1038" s="4">
        <v>3</v>
      </c>
      <c r="E1038" s="3">
        <v>900</v>
      </c>
      <c r="F1038" s="7">
        <f t="shared" si="16"/>
        <v>46014</v>
      </c>
      <c r="G1038" s="3">
        <f>IF(E1038&lt;&gt;"", E1038*10%, "")</f>
        <v>90</v>
      </c>
      <c r="H1038" s="3">
        <f>IF(E1038&lt;&gt;"",ROUND(IF(E1038&gt;1500,E1038*5%,),0),"")</f>
        <v>0</v>
      </c>
      <c r="I1038" s="2" t="s">
        <v>2926</v>
      </c>
      <c r="J1038" s="3" t="str">
        <f>IF(I1038="Cash",L1038,"")</f>
        <v/>
      </c>
      <c r="K1038" s="3">
        <f>IF(I1038="UPI",L1038,"")</f>
        <v>810</v>
      </c>
      <c r="L1038" s="3">
        <f>IF(E1038&lt;&gt;"",E1038-G1038-H1038,"")</f>
        <v>810</v>
      </c>
    </row>
    <row r="1039" spans="2:12">
      <c r="B1039" s="2" t="s">
        <v>2803</v>
      </c>
      <c r="C1039" s="9">
        <v>46015</v>
      </c>
      <c r="D1039" s="4">
        <v>3</v>
      </c>
      <c r="E1039" s="3">
        <v>2150</v>
      </c>
      <c r="F1039" s="7">
        <f t="shared" si="16"/>
        <v>46015</v>
      </c>
      <c r="G1039" s="3">
        <f>IF(E1039&lt;&gt;"", E1039*10%, "")</f>
        <v>215</v>
      </c>
      <c r="H1039" s="3">
        <f>IF(E1039&lt;&gt;"",ROUND(IF(E1039&gt;1500,E1039*5%,),0),"")</f>
        <v>108</v>
      </c>
      <c r="I1039" s="2" t="s">
        <v>2925</v>
      </c>
      <c r="J1039" s="3">
        <f>IF(I1039="Cash",L1039,"")</f>
        <v>1827</v>
      </c>
      <c r="K1039" s="3" t="str">
        <f>IF(I1039="UPI",L1039,"")</f>
        <v/>
      </c>
      <c r="L1039" s="3">
        <f>IF(E1039&lt;&gt;"",E1039-G1039-H1039,"")</f>
        <v>1827</v>
      </c>
    </row>
    <row r="1040" spans="2:12">
      <c r="B1040" s="2" t="s">
        <v>2804</v>
      </c>
      <c r="C1040" s="9">
        <v>46015</v>
      </c>
      <c r="D1040" s="4">
        <v>1</v>
      </c>
      <c r="E1040" s="3">
        <v>450</v>
      </c>
      <c r="F1040" s="7">
        <f t="shared" si="16"/>
        <v>46015</v>
      </c>
      <c r="G1040" s="3">
        <f>IF(E1040&lt;&gt;"", E1040*10%, "")</f>
        <v>45</v>
      </c>
      <c r="H1040" s="3">
        <f>IF(E1040&lt;&gt;"",ROUND(IF(E1040&gt;1500,E1040*5%,),0),"")</f>
        <v>0</v>
      </c>
      <c r="I1040" s="2" t="s">
        <v>2926</v>
      </c>
      <c r="J1040" s="3" t="str">
        <f>IF(I1040="Cash",L1040,"")</f>
        <v/>
      </c>
      <c r="K1040" s="3">
        <f>IF(I1040="UPI",L1040,"")</f>
        <v>405</v>
      </c>
      <c r="L1040" s="3">
        <f>IF(E1040&lt;&gt;"",E1040-G1040-H1040,"")</f>
        <v>405</v>
      </c>
    </row>
    <row r="1041" spans="2:12">
      <c r="B1041" s="2" t="s">
        <v>2805</v>
      </c>
      <c r="C1041" s="9">
        <v>46015</v>
      </c>
      <c r="D1041" s="4">
        <v>4</v>
      </c>
      <c r="E1041" s="3">
        <v>2320</v>
      </c>
      <c r="F1041" s="7">
        <f t="shared" si="16"/>
        <v>46015</v>
      </c>
      <c r="G1041" s="3">
        <f>IF(E1041&lt;&gt;"", E1041*10%, "")</f>
        <v>232</v>
      </c>
      <c r="H1041" s="3">
        <f>IF(E1041&lt;&gt;"",ROUND(IF(E1041&gt;1500,E1041*5%,),0),"")</f>
        <v>116</v>
      </c>
      <c r="I1041" s="2" t="s">
        <v>2925</v>
      </c>
      <c r="J1041" s="3">
        <f>IF(I1041="Cash",L1041,"")</f>
        <v>1972</v>
      </c>
      <c r="K1041" s="3" t="str">
        <f>IF(I1041="UPI",L1041,"")</f>
        <v/>
      </c>
      <c r="L1041" s="3">
        <f>IF(E1041&lt;&gt;"",E1041-G1041-H1041,"")</f>
        <v>1972</v>
      </c>
    </row>
    <row r="1042" spans="2:12">
      <c r="B1042" s="2" t="s">
        <v>2806</v>
      </c>
      <c r="C1042" s="9">
        <v>46015</v>
      </c>
      <c r="D1042" s="4">
        <v>2</v>
      </c>
      <c r="E1042" s="3">
        <v>1640</v>
      </c>
      <c r="F1042" s="7">
        <f t="shared" si="16"/>
        <v>46015</v>
      </c>
      <c r="G1042" s="3">
        <f>IF(E1042&lt;&gt;"", E1042*10%, "")</f>
        <v>164</v>
      </c>
      <c r="H1042" s="3">
        <f>IF(E1042&lt;&gt;"",ROUND(IF(E1042&gt;1500,E1042*5%,),0),"")</f>
        <v>82</v>
      </c>
      <c r="I1042" s="2" t="s">
        <v>2926</v>
      </c>
      <c r="J1042" s="3" t="str">
        <f>IF(I1042="Cash",L1042,"")</f>
        <v/>
      </c>
      <c r="K1042" s="3">
        <f>IF(I1042="UPI",L1042,"")</f>
        <v>1394</v>
      </c>
      <c r="L1042" s="3">
        <f>IF(E1042&lt;&gt;"",E1042-G1042-H1042,"")</f>
        <v>1394</v>
      </c>
    </row>
    <row r="1043" spans="2:12">
      <c r="B1043" s="2" t="s">
        <v>2807</v>
      </c>
      <c r="C1043" s="9">
        <v>46015</v>
      </c>
      <c r="D1043" s="4">
        <v>4</v>
      </c>
      <c r="E1043" s="3">
        <v>2740</v>
      </c>
      <c r="F1043" s="7">
        <f t="shared" si="16"/>
        <v>46015</v>
      </c>
      <c r="G1043" s="3">
        <f>IF(E1043&lt;&gt;"", E1043*10%, "")</f>
        <v>274</v>
      </c>
      <c r="H1043" s="3">
        <f>IF(E1043&lt;&gt;"",ROUND(IF(E1043&gt;1500,E1043*5%,),0),"")</f>
        <v>137</v>
      </c>
      <c r="I1043" s="2" t="s">
        <v>2925</v>
      </c>
      <c r="J1043" s="3">
        <f>IF(I1043="Cash",L1043,"")</f>
        <v>2329</v>
      </c>
      <c r="K1043" s="3" t="str">
        <f>IF(I1043="UPI",L1043,"")</f>
        <v/>
      </c>
      <c r="L1043" s="3">
        <f>IF(E1043&lt;&gt;"",E1043-G1043-H1043,"")</f>
        <v>2329</v>
      </c>
    </row>
    <row r="1044" spans="2:12">
      <c r="B1044" s="2" t="s">
        <v>2808</v>
      </c>
      <c r="C1044" s="9">
        <v>46015</v>
      </c>
      <c r="D1044" s="4">
        <v>3</v>
      </c>
      <c r="E1044" s="3">
        <v>2680</v>
      </c>
      <c r="F1044" s="7">
        <f t="shared" si="16"/>
        <v>46015</v>
      </c>
      <c r="G1044" s="3">
        <f>IF(E1044&lt;&gt;"", E1044*10%, "")</f>
        <v>268</v>
      </c>
      <c r="H1044" s="3">
        <f>IF(E1044&lt;&gt;"",ROUND(IF(E1044&gt;1500,E1044*5%,),0),"")</f>
        <v>134</v>
      </c>
      <c r="I1044" s="2" t="s">
        <v>2925</v>
      </c>
      <c r="J1044" s="3">
        <f>IF(I1044="Cash",L1044,"")</f>
        <v>2278</v>
      </c>
      <c r="K1044" s="3" t="str">
        <f>IF(I1044="UPI",L1044,"")</f>
        <v/>
      </c>
      <c r="L1044" s="3">
        <f>IF(E1044&lt;&gt;"",E1044-G1044-H1044,"")</f>
        <v>2278</v>
      </c>
    </row>
    <row r="1045" spans="2:12">
      <c r="B1045" s="2" t="s">
        <v>2809</v>
      </c>
      <c r="C1045" s="9">
        <v>46015</v>
      </c>
      <c r="D1045" s="4">
        <v>2</v>
      </c>
      <c r="E1045" s="3">
        <v>550</v>
      </c>
      <c r="F1045" s="7">
        <f t="shared" si="16"/>
        <v>46015</v>
      </c>
      <c r="G1045" s="3">
        <f>IF(E1045&lt;&gt;"", E1045*10%, "")</f>
        <v>55</v>
      </c>
      <c r="H1045" s="3">
        <f>IF(E1045&lt;&gt;"",ROUND(IF(E1045&gt;1500,E1045*5%,),0),"")</f>
        <v>0</v>
      </c>
      <c r="I1045" s="2" t="s">
        <v>2926</v>
      </c>
      <c r="J1045" s="3" t="str">
        <f>IF(I1045="Cash",L1045,"")</f>
        <v/>
      </c>
      <c r="K1045" s="3">
        <f>IF(I1045="UPI",L1045,"")</f>
        <v>495</v>
      </c>
      <c r="L1045" s="3">
        <f>IF(E1045&lt;&gt;"",E1045-G1045-H1045,"")</f>
        <v>495</v>
      </c>
    </row>
    <row r="1046" spans="2:12">
      <c r="B1046" s="2" t="s">
        <v>2810</v>
      </c>
      <c r="C1046" s="9">
        <v>46015</v>
      </c>
      <c r="D1046" s="4">
        <v>1</v>
      </c>
      <c r="E1046" s="3">
        <v>1040</v>
      </c>
      <c r="F1046" s="7">
        <f t="shared" si="16"/>
        <v>46015</v>
      </c>
      <c r="G1046" s="3">
        <f>IF(E1046&lt;&gt;"", E1046*10%, "")</f>
        <v>104</v>
      </c>
      <c r="H1046" s="3">
        <f>IF(E1046&lt;&gt;"",ROUND(IF(E1046&gt;1500,E1046*5%,),0),"")</f>
        <v>0</v>
      </c>
      <c r="I1046" s="2" t="s">
        <v>2926</v>
      </c>
      <c r="J1046" s="3" t="str">
        <f>IF(I1046="Cash",L1046,"")</f>
        <v/>
      </c>
      <c r="K1046" s="3">
        <f>IF(I1046="UPI",L1046,"")</f>
        <v>936</v>
      </c>
      <c r="L1046" s="3">
        <f>IF(E1046&lt;&gt;"",E1046-G1046-H1046,"")</f>
        <v>936</v>
      </c>
    </row>
    <row r="1047" spans="2:12">
      <c r="B1047" s="2" t="s">
        <v>2811</v>
      </c>
      <c r="C1047" s="9">
        <v>46015</v>
      </c>
      <c r="D1047" s="4">
        <v>1</v>
      </c>
      <c r="E1047" s="3">
        <v>830</v>
      </c>
      <c r="F1047" s="7">
        <f t="shared" si="16"/>
        <v>46015</v>
      </c>
      <c r="G1047" s="3">
        <f>IF(E1047&lt;&gt;"", E1047*10%, "")</f>
        <v>83</v>
      </c>
      <c r="H1047" s="3">
        <f>IF(E1047&lt;&gt;"",ROUND(IF(E1047&gt;1500,E1047*5%,),0),"")</f>
        <v>0</v>
      </c>
      <c r="I1047" s="2" t="s">
        <v>2926</v>
      </c>
      <c r="J1047" s="3" t="str">
        <f>IF(I1047="Cash",L1047,"")</f>
        <v/>
      </c>
      <c r="K1047" s="3">
        <f>IF(I1047="UPI",L1047,"")</f>
        <v>747</v>
      </c>
      <c r="L1047" s="3">
        <f>IF(E1047&lt;&gt;"",E1047-G1047-H1047,"")</f>
        <v>747</v>
      </c>
    </row>
    <row r="1048" spans="2:12">
      <c r="B1048" s="2" t="s">
        <v>2812</v>
      </c>
      <c r="C1048" s="9">
        <v>46015</v>
      </c>
      <c r="D1048" s="4">
        <v>2</v>
      </c>
      <c r="E1048" s="3">
        <v>400</v>
      </c>
      <c r="F1048" s="7">
        <f t="shared" si="16"/>
        <v>46015</v>
      </c>
      <c r="G1048" s="3">
        <f>IF(E1048&lt;&gt;"", E1048*10%, "")</f>
        <v>40</v>
      </c>
      <c r="H1048" s="3">
        <f>IF(E1048&lt;&gt;"",ROUND(IF(E1048&gt;1500,E1048*5%,),0),"")</f>
        <v>0</v>
      </c>
      <c r="I1048" s="2" t="s">
        <v>2926</v>
      </c>
      <c r="J1048" s="3" t="str">
        <f>IF(I1048="Cash",L1048,"")</f>
        <v/>
      </c>
      <c r="K1048" s="3">
        <f>IF(I1048="UPI",L1048,"")</f>
        <v>360</v>
      </c>
      <c r="L1048" s="3">
        <f>IF(E1048&lt;&gt;"",E1048-G1048-H1048,"")</f>
        <v>360</v>
      </c>
    </row>
    <row r="1049" spans="2:12">
      <c r="B1049" s="2" t="s">
        <v>2813</v>
      </c>
      <c r="C1049" s="9">
        <v>46015</v>
      </c>
      <c r="D1049" s="4">
        <v>4</v>
      </c>
      <c r="E1049" s="3">
        <v>2890</v>
      </c>
      <c r="F1049" s="7">
        <f t="shared" si="16"/>
        <v>46015</v>
      </c>
      <c r="G1049" s="3">
        <f>IF(E1049&lt;&gt;"", E1049*10%, "")</f>
        <v>289</v>
      </c>
      <c r="H1049" s="3">
        <f>IF(E1049&lt;&gt;"",ROUND(IF(E1049&gt;1500,E1049*5%,),0),"")</f>
        <v>145</v>
      </c>
      <c r="I1049" s="2" t="s">
        <v>2928</v>
      </c>
      <c r="J1049" s="3">
        <v>1400</v>
      </c>
      <c r="K1049" s="3">
        <v>1056</v>
      </c>
      <c r="L1049" s="3">
        <f>IF(E1049&lt;&gt;"",E1049-G1049-H1049,"")</f>
        <v>2456</v>
      </c>
    </row>
    <row r="1050" spans="2:12">
      <c r="B1050" s="2" t="s">
        <v>2814</v>
      </c>
      <c r="C1050" s="9">
        <v>46015</v>
      </c>
      <c r="D1050" s="4">
        <v>4</v>
      </c>
      <c r="E1050" s="3">
        <v>1910</v>
      </c>
      <c r="F1050" s="7">
        <f t="shared" si="16"/>
        <v>46015</v>
      </c>
      <c r="G1050" s="3">
        <f>IF(E1050&lt;&gt;"", E1050*10%, "")</f>
        <v>191</v>
      </c>
      <c r="H1050" s="3">
        <f>IF(E1050&lt;&gt;"",ROUND(IF(E1050&gt;1500,E1050*5%,),0),"")</f>
        <v>96</v>
      </c>
      <c r="I1050" s="2" t="s">
        <v>2925</v>
      </c>
      <c r="J1050" s="3">
        <f>IF(I1050="Cash",L1050,"")</f>
        <v>1623</v>
      </c>
      <c r="K1050" s="3" t="str">
        <f>IF(I1050="UPI",L1050,"")</f>
        <v/>
      </c>
      <c r="L1050" s="3">
        <f>IF(E1050&lt;&gt;"",E1050-G1050-H1050,"")</f>
        <v>1623</v>
      </c>
    </row>
    <row r="1051" spans="2:12">
      <c r="B1051" s="2" t="s">
        <v>2815</v>
      </c>
      <c r="C1051" s="9">
        <v>46015</v>
      </c>
      <c r="D1051" s="4">
        <v>1</v>
      </c>
      <c r="E1051" s="3">
        <v>780</v>
      </c>
      <c r="F1051" s="7">
        <f t="shared" si="16"/>
        <v>46015</v>
      </c>
      <c r="G1051" s="3">
        <f>IF(E1051&lt;&gt;"", E1051*10%, "")</f>
        <v>78</v>
      </c>
      <c r="H1051" s="3">
        <f>IF(E1051&lt;&gt;"",ROUND(IF(E1051&gt;1500,E1051*5%,),0),"")</f>
        <v>0</v>
      </c>
      <c r="I1051" s="2" t="s">
        <v>2926</v>
      </c>
      <c r="J1051" s="3" t="str">
        <f>IF(I1051="Cash",L1051,"")</f>
        <v/>
      </c>
      <c r="K1051" s="3">
        <f>IF(I1051="UPI",L1051,"")</f>
        <v>702</v>
      </c>
      <c r="L1051" s="3">
        <f>IF(E1051&lt;&gt;"",E1051-G1051-H1051,"")</f>
        <v>702</v>
      </c>
    </row>
    <row r="1052" spans="2:12">
      <c r="B1052" s="2" t="s">
        <v>2816</v>
      </c>
      <c r="C1052" s="9">
        <v>46015</v>
      </c>
      <c r="D1052" s="4">
        <v>3</v>
      </c>
      <c r="E1052" s="3">
        <v>2480</v>
      </c>
      <c r="F1052" s="7">
        <f t="shared" si="16"/>
        <v>46015</v>
      </c>
      <c r="G1052" s="3">
        <f>IF(E1052&lt;&gt;"", E1052*10%, "")</f>
        <v>248</v>
      </c>
      <c r="H1052" s="3">
        <f>IF(E1052&lt;&gt;"",ROUND(IF(E1052&gt;1500,E1052*5%,),0),"")</f>
        <v>124</v>
      </c>
      <c r="I1052" s="2" t="s">
        <v>2925</v>
      </c>
      <c r="J1052" s="3">
        <f>IF(I1052="Cash",L1052,"")</f>
        <v>2108</v>
      </c>
      <c r="K1052" s="3" t="str">
        <f>IF(I1052="UPI",L1052,"")</f>
        <v/>
      </c>
      <c r="L1052" s="3">
        <f>IF(E1052&lt;&gt;"",E1052-G1052-H1052,"")</f>
        <v>2108</v>
      </c>
    </row>
    <row r="1053" spans="2:12">
      <c r="B1053" s="2" t="s">
        <v>2817</v>
      </c>
      <c r="C1053" s="9">
        <v>46016</v>
      </c>
      <c r="D1053" s="4">
        <v>3</v>
      </c>
      <c r="E1053" s="3">
        <v>1220</v>
      </c>
      <c r="F1053" s="7">
        <f t="shared" si="16"/>
        <v>46016</v>
      </c>
      <c r="G1053" s="3">
        <f>IF(E1053&lt;&gt;"", E1053*10%, "")</f>
        <v>122</v>
      </c>
      <c r="H1053" s="3">
        <f>IF(E1053&lt;&gt;"",ROUND(IF(E1053&gt;1500,E1053*5%,),0),"")</f>
        <v>0</v>
      </c>
      <c r="I1053" s="2" t="s">
        <v>2926</v>
      </c>
      <c r="J1053" s="3" t="str">
        <f>IF(I1053="Cash",L1053,"")</f>
        <v/>
      </c>
      <c r="K1053" s="3">
        <f>IF(I1053="UPI",L1053,"")</f>
        <v>1098</v>
      </c>
      <c r="L1053" s="3">
        <f>IF(E1053&lt;&gt;"",E1053-G1053-H1053,"")</f>
        <v>1098</v>
      </c>
    </row>
    <row r="1054" spans="2:12">
      <c r="B1054" s="2" t="s">
        <v>2818</v>
      </c>
      <c r="C1054" s="9">
        <v>46016</v>
      </c>
      <c r="D1054" s="4">
        <v>3</v>
      </c>
      <c r="E1054" s="3">
        <v>2730</v>
      </c>
      <c r="F1054" s="7">
        <f t="shared" si="16"/>
        <v>46016</v>
      </c>
      <c r="G1054" s="3">
        <f>IF(E1054&lt;&gt;"", E1054*10%, "")</f>
        <v>273</v>
      </c>
      <c r="H1054" s="3">
        <f>IF(E1054&lt;&gt;"",ROUND(IF(E1054&gt;1500,E1054*5%,),0),"")</f>
        <v>137</v>
      </c>
      <c r="I1054" s="2" t="s">
        <v>2925</v>
      </c>
      <c r="J1054" s="3">
        <f>IF(I1054="Cash",L1054,"")</f>
        <v>2320</v>
      </c>
      <c r="K1054" s="3" t="str">
        <f>IF(I1054="UPI",L1054,"")</f>
        <v/>
      </c>
      <c r="L1054" s="3">
        <f>IF(E1054&lt;&gt;"",E1054-G1054-H1054,"")</f>
        <v>2320</v>
      </c>
    </row>
    <row r="1055" spans="2:12">
      <c r="B1055" s="2" t="s">
        <v>2819</v>
      </c>
      <c r="C1055" s="9">
        <v>46016</v>
      </c>
      <c r="D1055" s="4">
        <v>2</v>
      </c>
      <c r="E1055" s="3">
        <v>1730</v>
      </c>
      <c r="F1055" s="7">
        <f t="shared" si="16"/>
        <v>46016</v>
      </c>
      <c r="G1055" s="3">
        <f>IF(E1055&lt;&gt;"", E1055*10%, "")</f>
        <v>173</v>
      </c>
      <c r="H1055" s="3">
        <f>IF(E1055&lt;&gt;"",ROUND(IF(E1055&gt;1500,E1055*5%,),0),"")</f>
        <v>87</v>
      </c>
      <c r="I1055" s="2" t="s">
        <v>2925</v>
      </c>
      <c r="J1055" s="3">
        <f>IF(I1055="Cash",L1055,"")</f>
        <v>1470</v>
      </c>
      <c r="K1055" s="3" t="str">
        <f>IF(I1055="UPI",L1055,"")</f>
        <v/>
      </c>
      <c r="L1055" s="3">
        <f>IF(E1055&lt;&gt;"",E1055-G1055-H1055,"")</f>
        <v>1470</v>
      </c>
    </row>
    <row r="1056" spans="2:12">
      <c r="B1056" s="2" t="s">
        <v>2820</v>
      </c>
      <c r="C1056" s="9">
        <v>46016</v>
      </c>
      <c r="D1056" s="4">
        <v>2</v>
      </c>
      <c r="E1056" s="3">
        <v>580</v>
      </c>
      <c r="F1056" s="7">
        <f t="shared" si="16"/>
        <v>46016</v>
      </c>
      <c r="G1056" s="3">
        <f>IF(E1056&lt;&gt;"", E1056*10%, "")</f>
        <v>58</v>
      </c>
      <c r="H1056" s="3">
        <f>IF(E1056&lt;&gt;"",ROUND(IF(E1056&gt;1500,E1056*5%,),0),"")</f>
        <v>0</v>
      </c>
      <c r="I1056" s="2" t="s">
        <v>2926</v>
      </c>
      <c r="J1056" s="3" t="str">
        <f>IF(I1056="Cash",L1056,"")</f>
        <v/>
      </c>
      <c r="K1056" s="3">
        <f>IF(I1056="UPI",L1056,"")</f>
        <v>522</v>
      </c>
      <c r="L1056" s="3">
        <f>IF(E1056&lt;&gt;"",E1056-G1056-H1056,"")</f>
        <v>522</v>
      </c>
    </row>
    <row r="1057" spans="2:12">
      <c r="B1057" s="2" t="s">
        <v>2821</v>
      </c>
      <c r="C1057" s="9">
        <v>46016</v>
      </c>
      <c r="D1057" s="4">
        <v>1</v>
      </c>
      <c r="E1057" s="3">
        <v>730</v>
      </c>
      <c r="F1057" s="7">
        <f t="shared" si="16"/>
        <v>46016</v>
      </c>
      <c r="G1057" s="3">
        <f>IF(E1057&lt;&gt;"", E1057*10%, "")</f>
        <v>73</v>
      </c>
      <c r="H1057" s="3">
        <f>IF(E1057&lt;&gt;"",ROUND(IF(E1057&gt;1500,E1057*5%,),0),"")</f>
        <v>0</v>
      </c>
      <c r="I1057" s="2" t="s">
        <v>2926</v>
      </c>
      <c r="J1057" s="3" t="str">
        <f>IF(I1057="Cash",L1057,"")</f>
        <v/>
      </c>
      <c r="K1057" s="3">
        <f>IF(I1057="UPI",L1057,"")</f>
        <v>657</v>
      </c>
      <c r="L1057" s="3">
        <f>IF(E1057&lt;&gt;"",E1057-G1057-H1057,"")</f>
        <v>657</v>
      </c>
    </row>
    <row r="1058" spans="2:12">
      <c r="B1058" s="2" t="s">
        <v>2822</v>
      </c>
      <c r="C1058" s="9">
        <v>46016</v>
      </c>
      <c r="D1058" s="4">
        <v>3</v>
      </c>
      <c r="E1058" s="3">
        <v>2610</v>
      </c>
      <c r="F1058" s="7">
        <f t="shared" si="16"/>
        <v>46016</v>
      </c>
      <c r="G1058" s="3">
        <f>IF(E1058&lt;&gt;"", E1058*10%, "")</f>
        <v>261</v>
      </c>
      <c r="H1058" s="3">
        <f>IF(E1058&lt;&gt;"",ROUND(IF(E1058&gt;1500,E1058*5%,),0),"")</f>
        <v>131</v>
      </c>
      <c r="I1058" s="2" t="s">
        <v>2925</v>
      </c>
      <c r="J1058" s="3">
        <f>IF(I1058="Cash",L1058,"")</f>
        <v>2218</v>
      </c>
      <c r="K1058" s="3" t="str">
        <f>IF(I1058="UPI",L1058,"")</f>
        <v/>
      </c>
      <c r="L1058" s="3">
        <f>IF(E1058&lt;&gt;"",E1058-G1058-H1058,"")</f>
        <v>2218</v>
      </c>
    </row>
    <row r="1059" spans="2:12">
      <c r="B1059" s="2" t="s">
        <v>2823</v>
      </c>
      <c r="C1059" s="9">
        <v>46016</v>
      </c>
      <c r="D1059" s="4">
        <v>3</v>
      </c>
      <c r="E1059" s="3">
        <v>2550</v>
      </c>
      <c r="F1059" s="7">
        <f t="shared" si="16"/>
        <v>46016</v>
      </c>
      <c r="G1059" s="3">
        <f>IF(E1059&lt;&gt;"", E1059*10%, "")</f>
        <v>255</v>
      </c>
      <c r="H1059" s="3">
        <f>IF(E1059&lt;&gt;"",ROUND(IF(E1059&gt;1500,E1059*5%,),0),"")</f>
        <v>128</v>
      </c>
      <c r="I1059" s="2" t="s">
        <v>2925</v>
      </c>
      <c r="J1059" s="3">
        <f>IF(I1059="Cash",L1059,"")</f>
        <v>2167</v>
      </c>
      <c r="K1059" s="3" t="str">
        <f>IF(I1059="UPI",L1059,"")</f>
        <v/>
      </c>
      <c r="L1059" s="3">
        <f>IF(E1059&lt;&gt;"",E1059-G1059-H1059,"")</f>
        <v>2167</v>
      </c>
    </row>
    <row r="1060" spans="2:12">
      <c r="B1060" s="2" t="s">
        <v>2824</v>
      </c>
      <c r="C1060" s="9">
        <v>46016</v>
      </c>
      <c r="D1060" s="4">
        <v>3</v>
      </c>
      <c r="E1060" s="3">
        <v>2130</v>
      </c>
      <c r="F1060" s="7">
        <f t="shared" si="16"/>
        <v>46016</v>
      </c>
      <c r="G1060" s="3">
        <f>IF(E1060&lt;&gt;"", E1060*10%, "")</f>
        <v>213</v>
      </c>
      <c r="H1060" s="3">
        <f>IF(E1060&lt;&gt;"",ROUND(IF(E1060&gt;1500,E1060*5%,),0),"")</f>
        <v>107</v>
      </c>
      <c r="I1060" s="2" t="s">
        <v>2925</v>
      </c>
      <c r="J1060" s="3">
        <f>IF(I1060="Cash",L1060,"")</f>
        <v>1810</v>
      </c>
      <c r="K1060" s="3" t="str">
        <f>IF(I1060="UPI",L1060,"")</f>
        <v/>
      </c>
      <c r="L1060" s="3">
        <f>IF(E1060&lt;&gt;"",E1060-G1060-H1060,"")</f>
        <v>1810</v>
      </c>
    </row>
    <row r="1061" spans="2:12">
      <c r="B1061" s="2" t="s">
        <v>2825</v>
      </c>
      <c r="C1061" s="9">
        <v>46016</v>
      </c>
      <c r="D1061" s="4">
        <v>3</v>
      </c>
      <c r="E1061" s="3">
        <v>1670</v>
      </c>
      <c r="F1061" s="7">
        <f t="shared" si="16"/>
        <v>46016</v>
      </c>
      <c r="G1061" s="3">
        <f>IF(E1061&lt;&gt;"", E1061*10%, "")</f>
        <v>167</v>
      </c>
      <c r="H1061" s="3">
        <f>IF(E1061&lt;&gt;"",ROUND(IF(E1061&gt;1500,E1061*5%,),0),"")</f>
        <v>84</v>
      </c>
      <c r="I1061" s="2" t="s">
        <v>2926</v>
      </c>
      <c r="J1061" s="3" t="str">
        <f>IF(I1061="Cash",L1061,"")</f>
        <v/>
      </c>
      <c r="K1061" s="3">
        <f>IF(I1061="UPI",L1061,"")</f>
        <v>1419</v>
      </c>
      <c r="L1061" s="3">
        <f>IF(E1061&lt;&gt;"",E1061-G1061-H1061,"")</f>
        <v>1419</v>
      </c>
    </row>
    <row r="1062" spans="2:12">
      <c r="B1062" s="2" t="s">
        <v>2826</v>
      </c>
      <c r="C1062" s="9">
        <v>46016</v>
      </c>
      <c r="D1062" s="4">
        <v>2</v>
      </c>
      <c r="E1062" s="3">
        <v>950</v>
      </c>
      <c r="F1062" s="7">
        <f t="shared" si="16"/>
        <v>46016</v>
      </c>
      <c r="G1062" s="3">
        <f>IF(E1062&lt;&gt;"", E1062*10%, "")</f>
        <v>95</v>
      </c>
      <c r="H1062" s="3">
        <f>IF(E1062&lt;&gt;"",ROUND(IF(E1062&gt;1500,E1062*5%,),0),"")</f>
        <v>0</v>
      </c>
      <c r="I1062" s="2" t="s">
        <v>2926</v>
      </c>
      <c r="J1062" s="3" t="str">
        <f>IF(I1062="Cash",L1062,"")</f>
        <v/>
      </c>
      <c r="K1062" s="3">
        <f>IF(I1062="UPI",L1062,"")</f>
        <v>855</v>
      </c>
      <c r="L1062" s="3">
        <f>IF(E1062&lt;&gt;"",E1062-G1062-H1062,"")</f>
        <v>855</v>
      </c>
    </row>
    <row r="1063" spans="2:12">
      <c r="B1063" s="2" t="s">
        <v>2827</v>
      </c>
      <c r="C1063" s="9">
        <v>46016</v>
      </c>
      <c r="D1063" s="4">
        <v>2</v>
      </c>
      <c r="E1063" s="3">
        <v>1180</v>
      </c>
      <c r="F1063" s="7">
        <f t="shared" si="16"/>
        <v>46016</v>
      </c>
      <c r="G1063" s="3">
        <f>IF(E1063&lt;&gt;"", E1063*10%, "")</f>
        <v>118</v>
      </c>
      <c r="H1063" s="3">
        <f>IF(E1063&lt;&gt;"",ROUND(IF(E1063&gt;1500,E1063*5%,),0),"")</f>
        <v>0</v>
      </c>
      <c r="I1063" s="2" t="s">
        <v>2926</v>
      </c>
      <c r="J1063" s="3" t="str">
        <f>IF(I1063="Cash",L1063,"")</f>
        <v/>
      </c>
      <c r="K1063" s="3">
        <f>IF(I1063="UPI",L1063,"")</f>
        <v>1062</v>
      </c>
      <c r="L1063" s="3">
        <f>IF(E1063&lt;&gt;"",E1063-G1063-H1063,"")</f>
        <v>1062</v>
      </c>
    </row>
    <row r="1064" spans="2:12">
      <c r="B1064" s="2" t="s">
        <v>2828</v>
      </c>
      <c r="C1064" s="9">
        <v>46016</v>
      </c>
      <c r="D1064" s="4">
        <v>2</v>
      </c>
      <c r="E1064" s="3">
        <v>1120</v>
      </c>
      <c r="F1064" s="7">
        <f t="shared" si="16"/>
        <v>46016</v>
      </c>
      <c r="G1064" s="3">
        <f>IF(E1064&lt;&gt;"", E1064*10%, "")</f>
        <v>112</v>
      </c>
      <c r="H1064" s="3">
        <f>IF(E1064&lt;&gt;"",ROUND(IF(E1064&gt;1500,E1064*5%,),0),"")</f>
        <v>0</v>
      </c>
      <c r="I1064" s="2" t="s">
        <v>2926</v>
      </c>
      <c r="J1064" s="3" t="str">
        <f>IF(I1064="Cash",L1064,"")</f>
        <v/>
      </c>
      <c r="K1064" s="3">
        <f>IF(I1064="UPI",L1064,"")</f>
        <v>1008</v>
      </c>
      <c r="L1064" s="3">
        <f>IF(E1064&lt;&gt;"",E1064-G1064-H1064,"")</f>
        <v>1008</v>
      </c>
    </row>
    <row r="1065" spans="2:12">
      <c r="B1065" s="2" t="s">
        <v>2829</v>
      </c>
      <c r="C1065" s="9">
        <v>46016</v>
      </c>
      <c r="D1065" s="4">
        <v>1</v>
      </c>
      <c r="E1065" s="3">
        <v>610</v>
      </c>
      <c r="F1065" s="7">
        <f t="shared" si="16"/>
        <v>46016</v>
      </c>
      <c r="G1065" s="3">
        <f>IF(E1065&lt;&gt;"", E1065*10%, "")</f>
        <v>61</v>
      </c>
      <c r="H1065" s="3">
        <f>IF(E1065&lt;&gt;"",ROUND(IF(E1065&gt;1500,E1065*5%,),0),"")</f>
        <v>0</v>
      </c>
      <c r="I1065" s="2" t="s">
        <v>2926</v>
      </c>
      <c r="J1065" s="3" t="str">
        <f>IF(I1065="Cash",L1065,"")</f>
        <v/>
      </c>
      <c r="K1065" s="3">
        <f>IF(I1065="UPI",L1065,"")</f>
        <v>549</v>
      </c>
      <c r="L1065" s="3">
        <f>IF(E1065&lt;&gt;"",E1065-G1065-H1065,"")</f>
        <v>549</v>
      </c>
    </row>
    <row r="1066" spans="2:12">
      <c r="B1066" s="2" t="s">
        <v>2830</v>
      </c>
      <c r="C1066" s="9">
        <v>46016</v>
      </c>
      <c r="D1066" s="4">
        <v>3</v>
      </c>
      <c r="E1066" s="3">
        <v>1510</v>
      </c>
      <c r="F1066" s="7">
        <f t="shared" si="16"/>
        <v>46016</v>
      </c>
      <c r="G1066" s="3">
        <f>IF(E1066&lt;&gt;"", E1066*10%, "")</f>
        <v>151</v>
      </c>
      <c r="H1066" s="3">
        <f>IF(E1066&lt;&gt;"",ROUND(IF(E1066&gt;1500,E1066*5%,),0),"")</f>
        <v>76</v>
      </c>
      <c r="I1066" s="2" t="s">
        <v>2926</v>
      </c>
      <c r="J1066" s="3" t="str">
        <f>IF(I1066="Cash",L1066,"")</f>
        <v/>
      </c>
      <c r="K1066" s="3">
        <f>IF(I1066="UPI",L1066,"")</f>
        <v>1283</v>
      </c>
      <c r="L1066" s="3">
        <f>IF(E1066&lt;&gt;"",E1066-G1066-H1066,"")</f>
        <v>1283</v>
      </c>
    </row>
    <row r="1067" spans="2:12">
      <c r="B1067" s="2" t="s">
        <v>2831</v>
      </c>
      <c r="C1067" s="9">
        <v>46016</v>
      </c>
      <c r="D1067" s="4">
        <v>4</v>
      </c>
      <c r="E1067" s="3">
        <v>2280</v>
      </c>
      <c r="F1067" s="7">
        <f t="shared" si="16"/>
        <v>46016</v>
      </c>
      <c r="G1067" s="3">
        <f>IF(E1067&lt;&gt;"", E1067*10%, "")</f>
        <v>228</v>
      </c>
      <c r="H1067" s="3">
        <f>IF(E1067&lt;&gt;"",ROUND(IF(E1067&gt;1500,E1067*5%,),0),"")</f>
        <v>114</v>
      </c>
      <c r="I1067" s="2" t="s">
        <v>2925</v>
      </c>
      <c r="J1067" s="3">
        <f>IF(I1067="Cash",L1067,"")</f>
        <v>1938</v>
      </c>
      <c r="K1067" s="3" t="str">
        <f>IF(I1067="UPI",L1067,"")</f>
        <v/>
      </c>
      <c r="L1067" s="3">
        <f>IF(E1067&lt;&gt;"",E1067-G1067-H1067,"")</f>
        <v>1938</v>
      </c>
    </row>
    <row r="1068" spans="2:12">
      <c r="B1068" s="2" t="s">
        <v>2832</v>
      </c>
      <c r="C1068" s="9">
        <v>46017</v>
      </c>
      <c r="D1068" s="4">
        <v>4</v>
      </c>
      <c r="E1068" s="3">
        <v>1270</v>
      </c>
      <c r="F1068" s="7">
        <f t="shared" si="16"/>
        <v>46017</v>
      </c>
      <c r="G1068" s="3">
        <f>IF(E1068&lt;&gt;"", E1068*10%, "")</f>
        <v>127</v>
      </c>
      <c r="H1068" s="3">
        <f>IF(E1068&lt;&gt;"",ROUND(IF(E1068&gt;1500,E1068*5%,),0),"")</f>
        <v>0</v>
      </c>
      <c r="I1068" s="2" t="s">
        <v>2926</v>
      </c>
      <c r="J1068" s="3" t="str">
        <f>IF(I1068="Cash",L1068,"")</f>
        <v/>
      </c>
      <c r="K1068" s="3">
        <f>IF(I1068="UPI",L1068,"")</f>
        <v>1143</v>
      </c>
      <c r="L1068" s="3">
        <f>IF(E1068&lt;&gt;"",E1068-G1068-H1068,"")</f>
        <v>1143</v>
      </c>
    </row>
    <row r="1069" spans="2:12">
      <c r="B1069" s="2" t="s">
        <v>2833</v>
      </c>
      <c r="C1069" s="9">
        <v>46017</v>
      </c>
      <c r="D1069" s="4">
        <v>2</v>
      </c>
      <c r="E1069" s="3">
        <v>1100</v>
      </c>
      <c r="F1069" s="7">
        <f t="shared" si="16"/>
        <v>46017</v>
      </c>
      <c r="G1069" s="3">
        <f>IF(E1069&lt;&gt;"", E1069*10%, "")</f>
        <v>110</v>
      </c>
      <c r="H1069" s="3">
        <f>IF(E1069&lt;&gt;"",ROUND(IF(E1069&gt;1500,E1069*5%,),0),"")</f>
        <v>0</v>
      </c>
      <c r="I1069" s="2" t="s">
        <v>2926</v>
      </c>
      <c r="J1069" s="3" t="str">
        <f>IF(I1069="Cash",L1069,"")</f>
        <v/>
      </c>
      <c r="K1069" s="3">
        <f>IF(I1069="UPI",L1069,"")</f>
        <v>990</v>
      </c>
      <c r="L1069" s="3">
        <f>IF(E1069&lt;&gt;"",E1069-G1069-H1069,"")</f>
        <v>990</v>
      </c>
    </row>
    <row r="1070" spans="2:12">
      <c r="B1070" s="2" t="s">
        <v>2834</v>
      </c>
      <c r="C1070" s="9">
        <v>46017</v>
      </c>
      <c r="D1070" s="4">
        <v>1</v>
      </c>
      <c r="E1070" s="3">
        <v>630</v>
      </c>
      <c r="F1070" s="7">
        <f t="shared" si="16"/>
        <v>46017</v>
      </c>
      <c r="G1070" s="3">
        <f>IF(E1070&lt;&gt;"", E1070*10%, "")</f>
        <v>63</v>
      </c>
      <c r="H1070" s="3">
        <f>IF(E1070&lt;&gt;"",ROUND(IF(E1070&gt;1500,E1070*5%,),0),"")</f>
        <v>0</v>
      </c>
      <c r="I1070" s="2" t="s">
        <v>2926</v>
      </c>
      <c r="J1070" s="3" t="str">
        <f>IF(I1070="Cash",L1070,"")</f>
        <v/>
      </c>
      <c r="K1070" s="3">
        <f>IF(I1070="UPI",L1070,"")</f>
        <v>567</v>
      </c>
      <c r="L1070" s="3">
        <f>IF(E1070&lt;&gt;"",E1070-G1070-H1070,"")</f>
        <v>567</v>
      </c>
    </row>
    <row r="1071" spans="2:12">
      <c r="B1071" s="2" t="s">
        <v>2835</v>
      </c>
      <c r="C1071" s="9">
        <v>46017</v>
      </c>
      <c r="D1071" s="4">
        <v>4</v>
      </c>
      <c r="E1071" s="3">
        <v>2700</v>
      </c>
      <c r="F1071" s="7">
        <f t="shared" si="16"/>
        <v>46017</v>
      </c>
      <c r="G1071" s="3">
        <f>IF(E1071&lt;&gt;"", E1071*10%, "")</f>
        <v>270</v>
      </c>
      <c r="H1071" s="3">
        <f>IF(E1071&lt;&gt;"",ROUND(IF(E1071&gt;1500,E1071*5%,),0),"")</f>
        <v>135</v>
      </c>
      <c r="I1071" s="2" t="s">
        <v>2925</v>
      </c>
      <c r="J1071" s="3">
        <f>IF(I1071="Cash",L1071,"")</f>
        <v>2295</v>
      </c>
      <c r="K1071" s="3" t="str">
        <f>IF(I1071="UPI",L1071,"")</f>
        <v/>
      </c>
      <c r="L1071" s="3">
        <f>IF(E1071&lt;&gt;"",E1071-G1071-H1071,"")</f>
        <v>2295</v>
      </c>
    </row>
    <row r="1072" spans="2:12">
      <c r="B1072" s="2" t="s">
        <v>2836</v>
      </c>
      <c r="C1072" s="9">
        <v>46017</v>
      </c>
      <c r="D1072" s="4">
        <v>2</v>
      </c>
      <c r="E1072" s="3">
        <v>1270</v>
      </c>
      <c r="F1072" s="7">
        <f t="shared" si="16"/>
        <v>46017</v>
      </c>
      <c r="G1072" s="3">
        <f>IF(E1072&lt;&gt;"", E1072*10%, "")</f>
        <v>127</v>
      </c>
      <c r="H1072" s="3">
        <f>IF(E1072&lt;&gt;"",ROUND(IF(E1072&gt;1500,E1072*5%,),0),"")</f>
        <v>0</v>
      </c>
      <c r="I1072" s="2" t="s">
        <v>2926</v>
      </c>
      <c r="J1072" s="3" t="str">
        <f>IF(I1072="Cash",L1072,"")</f>
        <v/>
      </c>
      <c r="K1072" s="3">
        <f>IF(I1072="UPI",L1072,"")</f>
        <v>1143</v>
      </c>
      <c r="L1072" s="3">
        <f>IF(E1072&lt;&gt;"",E1072-G1072-H1072,"")</f>
        <v>1143</v>
      </c>
    </row>
    <row r="1073" spans="2:12">
      <c r="B1073" s="2" t="s">
        <v>2837</v>
      </c>
      <c r="C1073" s="9">
        <v>46017</v>
      </c>
      <c r="D1073" s="4">
        <v>2</v>
      </c>
      <c r="E1073" s="3">
        <v>1130</v>
      </c>
      <c r="F1073" s="7">
        <f t="shared" si="16"/>
        <v>46017</v>
      </c>
      <c r="G1073" s="3">
        <f>IF(E1073&lt;&gt;"", E1073*10%, "")</f>
        <v>113</v>
      </c>
      <c r="H1073" s="3">
        <f>IF(E1073&lt;&gt;"",ROUND(IF(E1073&gt;1500,E1073*5%,),0),"")</f>
        <v>0</v>
      </c>
      <c r="I1073" s="2" t="s">
        <v>2926</v>
      </c>
      <c r="J1073" s="3" t="str">
        <f>IF(I1073="Cash",L1073,"")</f>
        <v/>
      </c>
      <c r="K1073" s="3">
        <f>IF(I1073="UPI",L1073,"")</f>
        <v>1017</v>
      </c>
      <c r="L1073" s="3">
        <f>IF(E1073&lt;&gt;"",E1073-G1073-H1073,"")</f>
        <v>1017</v>
      </c>
    </row>
    <row r="1074" spans="2:12">
      <c r="B1074" s="2" t="s">
        <v>2838</v>
      </c>
      <c r="C1074" s="9">
        <v>46017</v>
      </c>
      <c r="D1074" s="4">
        <v>2</v>
      </c>
      <c r="E1074" s="3">
        <v>1410</v>
      </c>
      <c r="F1074" s="7">
        <f t="shared" si="16"/>
        <v>46017</v>
      </c>
      <c r="G1074" s="3">
        <f>IF(E1074&lt;&gt;"", E1074*10%, "")</f>
        <v>141</v>
      </c>
      <c r="H1074" s="3">
        <f>IF(E1074&lt;&gt;"",ROUND(IF(E1074&gt;1500,E1074*5%,),0),"")</f>
        <v>0</v>
      </c>
      <c r="I1074" s="2" t="s">
        <v>2926</v>
      </c>
      <c r="J1074" s="3" t="str">
        <f>IF(I1074="Cash",L1074,"")</f>
        <v/>
      </c>
      <c r="K1074" s="3">
        <f>IF(I1074="UPI",L1074,"")</f>
        <v>1269</v>
      </c>
      <c r="L1074" s="3">
        <f>IF(E1074&lt;&gt;"",E1074-G1074-H1074,"")</f>
        <v>1269</v>
      </c>
    </row>
    <row r="1075" spans="2:12">
      <c r="B1075" s="2" t="s">
        <v>2839</v>
      </c>
      <c r="C1075" s="9">
        <v>46017</v>
      </c>
      <c r="D1075" s="4">
        <v>4</v>
      </c>
      <c r="E1075" s="3">
        <v>1980</v>
      </c>
      <c r="F1075" s="7">
        <f t="shared" si="16"/>
        <v>46017</v>
      </c>
      <c r="G1075" s="3">
        <f>IF(E1075&lt;&gt;"", E1075*10%, "")</f>
        <v>198</v>
      </c>
      <c r="H1075" s="3">
        <f>IF(E1075&lt;&gt;"",ROUND(IF(E1075&gt;1500,E1075*5%,),0),"")</f>
        <v>99</v>
      </c>
      <c r="I1075" s="2" t="s">
        <v>2925</v>
      </c>
      <c r="J1075" s="3">
        <f>IF(I1075="Cash",L1075,"")</f>
        <v>1683</v>
      </c>
      <c r="K1075" s="3" t="str">
        <f>IF(I1075="UPI",L1075,"")</f>
        <v/>
      </c>
      <c r="L1075" s="3">
        <f>IF(E1075&lt;&gt;"",E1075-G1075-H1075,"")</f>
        <v>1683</v>
      </c>
    </row>
    <row r="1076" spans="2:12">
      <c r="B1076" s="2" t="s">
        <v>2840</v>
      </c>
      <c r="C1076" s="9">
        <v>46017</v>
      </c>
      <c r="D1076" s="4">
        <v>3</v>
      </c>
      <c r="E1076" s="3">
        <v>1190</v>
      </c>
      <c r="F1076" s="7">
        <f t="shared" si="16"/>
        <v>46017</v>
      </c>
      <c r="G1076" s="3">
        <f>IF(E1076&lt;&gt;"", E1076*10%, "")</f>
        <v>119</v>
      </c>
      <c r="H1076" s="3">
        <f>IF(E1076&lt;&gt;"",ROUND(IF(E1076&gt;1500,E1076*5%,),0),"")</f>
        <v>0</v>
      </c>
      <c r="I1076" s="2" t="s">
        <v>2926</v>
      </c>
      <c r="J1076" s="3" t="str">
        <f>IF(I1076="Cash",L1076,"")</f>
        <v/>
      </c>
      <c r="K1076" s="3">
        <f>IF(I1076="UPI",L1076,"")</f>
        <v>1071</v>
      </c>
      <c r="L1076" s="3">
        <f>IF(E1076&lt;&gt;"",E1076-G1076-H1076,"")</f>
        <v>1071</v>
      </c>
    </row>
    <row r="1077" spans="2:12">
      <c r="B1077" s="2" t="s">
        <v>2841</v>
      </c>
      <c r="C1077" s="9">
        <v>46017</v>
      </c>
      <c r="D1077" s="4">
        <v>1</v>
      </c>
      <c r="E1077" s="3">
        <v>1000</v>
      </c>
      <c r="F1077" s="7">
        <f t="shared" si="16"/>
        <v>46017</v>
      </c>
      <c r="G1077" s="3">
        <f>IF(E1077&lt;&gt;"", E1077*10%, "")</f>
        <v>100</v>
      </c>
      <c r="H1077" s="3">
        <f>IF(E1077&lt;&gt;"",ROUND(IF(E1077&gt;1500,E1077*5%,),0),"")</f>
        <v>0</v>
      </c>
      <c r="I1077" s="2" t="s">
        <v>2926</v>
      </c>
      <c r="J1077" s="3" t="str">
        <f>IF(I1077="Cash",L1077,"")</f>
        <v/>
      </c>
      <c r="K1077" s="3">
        <f>IF(I1077="UPI",L1077,"")</f>
        <v>900</v>
      </c>
      <c r="L1077" s="3">
        <f>IF(E1077&lt;&gt;"",E1077-G1077-H1077,"")</f>
        <v>900</v>
      </c>
    </row>
    <row r="1078" spans="2:12">
      <c r="B1078" s="2" t="s">
        <v>2842</v>
      </c>
      <c r="C1078" s="9">
        <v>46017</v>
      </c>
      <c r="D1078" s="4">
        <v>2</v>
      </c>
      <c r="E1078" s="3">
        <v>1510</v>
      </c>
      <c r="F1078" s="7">
        <f t="shared" si="16"/>
        <v>46017</v>
      </c>
      <c r="G1078" s="3">
        <f>IF(E1078&lt;&gt;"", E1078*10%, "")</f>
        <v>151</v>
      </c>
      <c r="H1078" s="3">
        <f>IF(E1078&lt;&gt;"",ROUND(IF(E1078&gt;1500,E1078*5%,),0),"")</f>
        <v>76</v>
      </c>
      <c r="I1078" s="2" t="s">
        <v>2926</v>
      </c>
      <c r="J1078" s="3" t="str">
        <f>IF(I1078="Cash",L1078,"")</f>
        <v/>
      </c>
      <c r="K1078" s="3">
        <f>IF(I1078="UPI",L1078,"")</f>
        <v>1283</v>
      </c>
      <c r="L1078" s="3">
        <f>IF(E1078&lt;&gt;"",E1078-G1078-H1078,"")</f>
        <v>1283</v>
      </c>
    </row>
    <row r="1079" spans="2:12">
      <c r="B1079" s="2" t="s">
        <v>2843</v>
      </c>
      <c r="C1079" s="9">
        <v>46017</v>
      </c>
      <c r="D1079" s="4">
        <v>3</v>
      </c>
      <c r="E1079" s="3">
        <v>2830</v>
      </c>
      <c r="F1079" s="7">
        <f t="shared" si="16"/>
        <v>46017</v>
      </c>
      <c r="G1079" s="3">
        <f>IF(E1079&lt;&gt;"", E1079*10%, "")</f>
        <v>283</v>
      </c>
      <c r="H1079" s="3">
        <f>IF(E1079&lt;&gt;"",ROUND(IF(E1079&gt;1500,E1079*5%,),0),"")</f>
        <v>142</v>
      </c>
      <c r="I1079" s="2" t="s">
        <v>2928</v>
      </c>
      <c r="J1079" s="3">
        <v>1200</v>
      </c>
      <c r="K1079" s="3">
        <v>1205</v>
      </c>
      <c r="L1079" s="3">
        <f>IF(E1079&lt;&gt;"",E1079-G1079-H1079,"")</f>
        <v>2405</v>
      </c>
    </row>
    <row r="1080" spans="2:12">
      <c r="B1080" s="2" t="s">
        <v>2844</v>
      </c>
      <c r="C1080" s="9">
        <v>46017</v>
      </c>
      <c r="D1080" s="4">
        <v>1</v>
      </c>
      <c r="E1080" s="3">
        <v>130</v>
      </c>
      <c r="F1080" s="7">
        <f t="shared" si="16"/>
        <v>46017</v>
      </c>
      <c r="G1080" s="3">
        <f>IF(E1080&lt;&gt;"", E1080*10%, "")</f>
        <v>13</v>
      </c>
      <c r="H1080" s="3">
        <f>IF(E1080&lt;&gt;"",ROUND(IF(E1080&gt;1500,E1080*5%,),0),"")</f>
        <v>0</v>
      </c>
      <c r="I1080" s="2" t="s">
        <v>2926</v>
      </c>
      <c r="J1080" s="3" t="str">
        <f>IF(I1080="Cash",L1080,"")</f>
        <v/>
      </c>
      <c r="K1080" s="3">
        <f>IF(I1080="UPI",L1080,"")</f>
        <v>117</v>
      </c>
      <c r="L1080" s="3">
        <f>IF(E1080&lt;&gt;"",E1080-G1080-H1080,"")</f>
        <v>117</v>
      </c>
    </row>
    <row r="1081" spans="2:12">
      <c r="B1081" s="2" t="s">
        <v>2845</v>
      </c>
      <c r="C1081" s="9">
        <v>46017</v>
      </c>
      <c r="D1081" s="4">
        <v>2</v>
      </c>
      <c r="E1081" s="3">
        <v>830</v>
      </c>
      <c r="F1081" s="7">
        <f t="shared" si="16"/>
        <v>46017</v>
      </c>
      <c r="G1081" s="3">
        <f>IF(E1081&lt;&gt;"", E1081*10%, "")</f>
        <v>83</v>
      </c>
      <c r="H1081" s="3">
        <f>IF(E1081&lt;&gt;"",ROUND(IF(E1081&gt;1500,E1081*5%,),0),"")</f>
        <v>0</v>
      </c>
      <c r="I1081" s="2" t="s">
        <v>2926</v>
      </c>
      <c r="J1081" s="3" t="str">
        <f>IF(I1081="Cash",L1081,"")</f>
        <v/>
      </c>
      <c r="K1081" s="3">
        <f>IF(I1081="UPI",L1081,"")</f>
        <v>747</v>
      </c>
      <c r="L1081" s="3">
        <f>IF(E1081&lt;&gt;"",E1081-G1081-H1081,"")</f>
        <v>747</v>
      </c>
    </row>
    <row r="1082" spans="2:12">
      <c r="B1082" s="2" t="s">
        <v>2846</v>
      </c>
      <c r="C1082" s="9">
        <v>46017</v>
      </c>
      <c r="D1082" s="4">
        <v>3</v>
      </c>
      <c r="E1082" s="3">
        <v>2580</v>
      </c>
      <c r="F1082" s="7">
        <f t="shared" si="16"/>
        <v>46017</v>
      </c>
      <c r="G1082" s="3">
        <f>IF(E1082&lt;&gt;"", E1082*10%, "")</f>
        <v>258</v>
      </c>
      <c r="H1082" s="3">
        <f>IF(E1082&lt;&gt;"",ROUND(IF(E1082&gt;1500,E1082*5%,),0),"")</f>
        <v>129</v>
      </c>
      <c r="I1082" s="2" t="s">
        <v>2925</v>
      </c>
      <c r="J1082" s="3">
        <f>IF(I1082="Cash",L1082,"")</f>
        <v>2193</v>
      </c>
      <c r="K1082" s="3" t="str">
        <f>IF(I1082="UPI",L1082,"")</f>
        <v/>
      </c>
      <c r="L1082" s="3">
        <f>IF(E1082&lt;&gt;"",E1082-G1082-H1082,"")</f>
        <v>2193</v>
      </c>
    </row>
    <row r="1083" spans="2:12">
      <c r="B1083" s="2" t="s">
        <v>2847</v>
      </c>
      <c r="C1083" s="9">
        <v>46017</v>
      </c>
      <c r="D1083" s="4">
        <v>2</v>
      </c>
      <c r="E1083" s="3">
        <v>900</v>
      </c>
      <c r="F1083" s="7">
        <f t="shared" si="16"/>
        <v>46017</v>
      </c>
      <c r="G1083" s="3">
        <f>IF(E1083&lt;&gt;"", E1083*10%, "")</f>
        <v>90</v>
      </c>
      <c r="H1083" s="3">
        <f>IF(E1083&lt;&gt;"",ROUND(IF(E1083&gt;1500,E1083*5%,),0),"")</f>
        <v>0</v>
      </c>
      <c r="I1083" s="2" t="s">
        <v>2926</v>
      </c>
      <c r="J1083" s="3" t="str">
        <f>IF(I1083="Cash",L1083,"")</f>
        <v/>
      </c>
      <c r="K1083" s="3">
        <f>IF(I1083="UPI",L1083,"")</f>
        <v>810</v>
      </c>
      <c r="L1083" s="3">
        <f>IF(E1083&lt;&gt;"",E1083-G1083-H1083,"")</f>
        <v>810</v>
      </c>
    </row>
    <row r="1084" spans="2:12">
      <c r="B1084" s="2" t="s">
        <v>2848</v>
      </c>
      <c r="C1084" s="9">
        <v>46017</v>
      </c>
      <c r="D1084" s="4">
        <v>4</v>
      </c>
      <c r="E1084" s="3">
        <v>3040</v>
      </c>
      <c r="F1084" s="7">
        <f t="shared" si="16"/>
        <v>46017</v>
      </c>
      <c r="G1084" s="3">
        <f>IF(E1084&lt;&gt;"", E1084*10%, "")</f>
        <v>304</v>
      </c>
      <c r="H1084" s="3">
        <f>IF(E1084&lt;&gt;"",ROUND(IF(E1084&gt;1500,E1084*5%,),0),"")</f>
        <v>152</v>
      </c>
      <c r="I1084" s="2" t="s">
        <v>2928</v>
      </c>
      <c r="J1084" s="3">
        <v>1100</v>
      </c>
      <c r="K1084" s="3">
        <v>1484</v>
      </c>
      <c r="L1084" s="3">
        <f>IF(E1084&lt;&gt;"",E1084-G1084-H1084,"")</f>
        <v>2584</v>
      </c>
    </row>
    <row r="1085" spans="2:12">
      <c r="B1085" s="2" t="s">
        <v>2849</v>
      </c>
      <c r="C1085" s="9">
        <v>46018</v>
      </c>
      <c r="D1085" s="4">
        <v>1</v>
      </c>
      <c r="E1085" s="3">
        <v>700</v>
      </c>
      <c r="F1085" s="7">
        <f t="shared" si="16"/>
        <v>46018</v>
      </c>
      <c r="G1085" s="3">
        <f>IF(E1085&lt;&gt;"", E1085*10%, "")</f>
        <v>70</v>
      </c>
      <c r="H1085" s="3">
        <f>IF(E1085&lt;&gt;"",ROUND(IF(E1085&gt;1500,E1085*5%,),0),"")</f>
        <v>0</v>
      </c>
      <c r="I1085" s="2" t="s">
        <v>2926</v>
      </c>
      <c r="J1085" s="3" t="str">
        <f>IF(I1085="Cash",L1085,"")</f>
        <v/>
      </c>
      <c r="K1085" s="3">
        <f>IF(I1085="UPI",L1085,"")</f>
        <v>630</v>
      </c>
      <c r="L1085" s="3">
        <f>IF(E1085&lt;&gt;"",E1085-G1085-H1085,"")</f>
        <v>630</v>
      </c>
    </row>
    <row r="1086" spans="2:12">
      <c r="B1086" s="2" t="s">
        <v>2850</v>
      </c>
      <c r="C1086" s="9">
        <v>46018</v>
      </c>
      <c r="D1086" s="4">
        <v>1</v>
      </c>
      <c r="E1086" s="3">
        <v>100</v>
      </c>
      <c r="F1086" s="7">
        <f t="shared" si="16"/>
        <v>46018</v>
      </c>
      <c r="G1086" s="3">
        <f>IF(E1086&lt;&gt;"", E1086*10%, "")</f>
        <v>10</v>
      </c>
      <c r="H1086" s="3">
        <f>IF(E1086&lt;&gt;"",ROUND(IF(E1086&gt;1500,E1086*5%,),0),"")</f>
        <v>0</v>
      </c>
      <c r="I1086" s="2" t="s">
        <v>2926</v>
      </c>
      <c r="J1086" s="3" t="str">
        <f>IF(I1086="Cash",L1086,"")</f>
        <v/>
      </c>
      <c r="K1086" s="3">
        <f>IF(I1086="UPI",L1086,"")</f>
        <v>90</v>
      </c>
      <c r="L1086" s="3">
        <f>IF(E1086&lt;&gt;"",E1086-G1086-H1086,"")</f>
        <v>90</v>
      </c>
    </row>
    <row r="1087" spans="2:12">
      <c r="B1087" s="2" t="s">
        <v>2851</v>
      </c>
      <c r="C1087" s="9">
        <v>46018</v>
      </c>
      <c r="D1087" s="4">
        <v>1</v>
      </c>
      <c r="E1087" s="3">
        <v>440</v>
      </c>
      <c r="F1087" s="7">
        <f t="shared" si="16"/>
        <v>46018</v>
      </c>
      <c r="G1087" s="3">
        <f>IF(E1087&lt;&gt;"", E1087*10%, "")</f>
        <v>44</v>
      </c>
      <c r="H1087" s="3">
        <f>IF(E1087&lt;&gt;"",ROUND(IF(E1087&gt;1500,E1087*5%,),0),"")</f>
        <v>0</v>
      </c>
      <c r="I1087" s="2" t="s">
        <v>2926</v>
      </c>
      <c r="J1087" s="3" t="str">
        <f>IF(I1087="Cash",L1087,"")</f>
        <v/>
      </c>
      <c r="K1087" s="3">
        <f>IF(I1087="UPI",L1087,"")</f>
        <v>396</v>
      </c>
      <c r="L1087" s="3">
        <f>IF(E1087&lt;&gt;"",E1087-G1087-H1087,"")</f>
        <v>396</v>
      </c>
    </row>
    <row r="1088" spans="2:12">
      <c r="B1088" s="2" t="s">
        <v>2852</v>
      </c>
      <c r="C1088" s="9">
        <v>46018</v>
      </c>
      <c r="D1088" s="4">
        <v>3</v>
      </c>
      <c r="E1088" s="3">
        <v>2570</v>
      </c>
      <c r="F1088" s="7">
        <f t="shared" si="16"/>
        <v>46018</v>
      </c>
      <c r="G1088" s="3">
        <f>IF(E1088&lt;&gt;"", E1088*10%, "")</f>
        <v>257</v>
      </c>
      <c r="H1088" s="3">
        <f>IF(E1088&lt;&gt;"",ROUND(IF(E1088&gt;1500,E1088*5%,),0),"")</f>
        <v>129</v>
      </c>
      <c r="I1088" s="2" t="s">
        <v>2925</v>
      </c>
      <c r="J1088" s="3">
        <f>IF(I1088="Cash",L1088,"")</f>
        <v>2184</v>
      </c>
      <c r="K1088" s="3" t="str">
        <f>IF(I1088="UPI",L1088,"")</f>
        <v/>
      </c>
      <c r="L1088" s="3">
        <f>IF(E1088&lt;&gt;"",E1088-G1088-H1088,"")</f>
        <v>2184</v>
      </c>
    </row>
    <row r="1089" spans="2:12">
      <c r="B1089" s="2" t="s">
        <v>2853</v>
      </c>
      <c r="C1089" s="9">
        <v>46018</v>
      </c>
      <c r="D1089" s="4">
        <v>2</v>
      </c>
      <c r="E1089" s="3">
        <v>1940</v>
      </c>
      <c r="F1089" s="7">
        <f t="shared" si="16"/>
        <v>46018</v>
      </c>
      <c r="G1089" s="3">
        <f>IF(E1089&lt;&gt;"", E1089*10%, "")</f>
        <v>194</v>
      </c>
      <c r="H1089" s="3">
        <f>IF(E1089&lt;&gt;"",ROUND(IF(E1089&gt;1500,E1089*5%,),0),"")</f>
        <v>97</v>
      </c>
      <c r="I1089" s="2" t="s">
        <v>2925</v>
      </c>
      <c r="J1089" s="3">
        <f>IF(I1089="Cash",L1089,"")</f>
        <v>1649</v>
      </c>
      <c r="K1089" s="3" t="str">
        <f>IF(I1089="UPI",L1089,"")</f>
        <v/>
      </c>
      <c r="L1089" s="3">
        <f>IF(E1089&lt;&gt;"",E1089-G1089-H1089,"")</f>
        <v>1649</v>
      </c>
    </row>
    <row r="1090" spans="2:12">
      <c r="B1090" s="2" t="s">
        <v>2854</v>
      </c>
      <c r="C1090" s="9">
        <v>46018</v>
      </c>
      <c r="D1090" s="4">
        <v>4</v>
      </c>
      <c r="E1090" s="3">
        <v>1900</v>
      </c>
      <c r="F1090" s="7">
        <f t="shared" si="16"/>
        <v>46018</v>
      </c>
      <c r="G1090" s="3">
        <f>IF(E1090&lt;&gt;"", E1090*10%, "")</f>
        <v>190</v>
      </c>
      <c r="H1090" s="3">
        <f>IF(E1090&lt;&gt;"",ROUND(IF(E1090&gt;1500,E1090*5%,),0),"")</f>
        <v>95</v>
      </c>
      <c r="I1090" s="2" t="s">
        <v>2925</v>
      </c>
      <c r="J1090" s="3">
        <f>IF(I1090="Cash",L1090,"")</f>
        <v>1615</v>
      </c>
      <c r="K1090" s="3" t="str">
        <f>IF(I1090="UPI",L1090,"")</f>
        <v/>
      </c>
      <c r="L1090" s="3">
        <f>IF(E1090&lt;&gt;"",E1090-G1090-H1090,"")</f>
        <v>1615</v>
      </c>
    </row>
    <row r="1091" spans="2:12">
      <c r="B1091" s="2" t="s">
        <v>2855</v>
      </c>
      <c r="C1091" s="9">
        <v>46018</v>
      </c>
      <c r="D1091" s="4">
        <v>1</v>
      </c>
      <c r="E1091" s="3">
        <v>290</v>
      </c>
      <c r="F1091" s="7">
        <f t="shared" si="16"/>
        <v>46018</v>
      </c>
      <c r="G1091" s="3">
        <f>IF(E1091&lt;&gt;"", E1091*10%, "")</f>
        <v>29</v>
      </c>
      <c r="H1091" s="3">
        <f>IF(E1091&lt;&gt;"",ROUND(IF(E1091&gt;1500,E1091*5%,),0),"")</f>
        <v>0</v>
      </c>
      <c r="I1091" s="2" t="s">
        <v>2926</v>
      </c>
      <c r="J1091" s="3" t="str">
        <f>IF(I1091="Cash",L1091,"")</f>
        <v/>
      </c>
      <c r="K1091" s="3">
        <f>IF(I1091="UPI",L1091,"")</f>
        <v>261</v>
      </c>
      <c r="L1091" s="3">
        <f>IF(E1091&lt;&gt;"",E1091-G1091-H1091,"")</f>
        <v>261</v>
      </c>
    </row>
    <row r="1092" spans="2:12">
      <c r="B1092" s="2" t="s">
        <v>2856</v>
      </c>
      <c r="C1092" s="9">
        <v>46018</v>
      </c>
      <c r="D1092" s="4">
        <v>3</v>
      </c>
      <c r="E1092" s="3">
        <v>1120</v>
      </c>
      <c r="F1092" s="7">
        <f t="shared" si="16"/>
        <v>46018</v>
      </c>
      <c r="G1092" s="3">
        <f>IF(E1092&lt;&gt;"", E1092*10%, "")</f>
        <v>112</v>
      </c>
      <c r="H1092" s="3">
        <f>IF(E1092&lt;&gt;"",ROUND(IF(E1092&gt;1500,E1092*5%,),0),"")</f>
        <v>0</v>
      </c>
      <c r="I1092" s="2" t="s">
        <v>2926</v>
      </c>
      <c r="J1092" s="3" t="str">
        <f>IF(I1092="Cash",L1092,"")</f>
        <v/>
      </c>
      <c r="K1092" s="3">
        <f>IF(I1092="UPI",L1092,"")</f>
        <v>1008</v>
      </c>
      <c r="L1092" s="3">
        <f>IF(E1092&lt;&gt;"",E1092-G1092-H1092,"")</f>
        <v>1008</v>
      </c>
    </row>
    <row r="1093" spans="2:12">
      <c r="B1093" s="2" t="s">
        <v>2857</v>
      </c>
      <c r="C1093" s="9">
        <v>46018</v>
      </c>
      <c r="D1093" s="4">
        <v>4</v>
      </c>
      <c r="E1093" s="3">
        <v>1760</v>
      </c>
      <c r="F1093" s="7">
        <f t="shared" ref="F1093:F1153" si="17">C1093</f>
        <v>46018</v>
      </c>
      <c r="G1093" s="3">
        <f>IF(E1093&lt;&gt;"", E1093*10%, "")</f>
        <v>176</v>
      </c>
      <c r="H1093" s="3">
        <f>IF(E1093&lt;&gt;"",ROUND(IF(E1093&gt;1500,E1093*5%,),0),"")</f>
        <v>88</v>
      </c>
      <c r="I1093" s="2" t="s">
        <v>2925</v>
      </c>
      <c r="J1093" s="3">
        <f>IF(I1093="Cash",L1093,"")</f>
        <v>1496</v>
      </c>
      <c r="K1093" s="3" t="str">
        <f>IF(I1093="UPI",L1093,"")</f>
        <v/>
      </c>
      <c r="L1093" s="3">
        <f>IF(E1093&lt;&gt;"",E1093-G1093-H1093,"")</f>
        <v>1496</v>
      </c>
    </row>
    <row r="1094" spans="2:12">
      <c r="B1094" s="2" t="s">
        <v>2858</v>
      </c>
      <c r="C1094" s="9">
        <v>46018</v>
      </c>
      <c r="D1094" s="4">
        <v>1</v>
      </c>
      <c r="E1094" s="3">
        <v>920</v>
      </c>
      <c r="F1094" s="7">
        <f t="shared" si="17"/>
        <v>46018</v>
      </c>
      <c r="G1094" s="3">
        <f>IF(E1094&lt;&gt;"", E1094*10%, "")</f>
        <v>92</v>
      </c>
      <c r="H1094" s="3">
        <f>IF(E1094&lt;&gt;"",ROUND(IF(E1094&gt;1500,E1094*5%,),0),"")</f>
        <v>0</v>
      </c>
      <c r="I1094" s="2" t="s">
        <v>2926</v>
      </c>
      <c r="J1094" s="3" t="str">
        <f>IF(I1094="Cash",L1094,"")</f>
        <v/>
      </c>
      <c r="K1094" s="3">
        <f>IF(I1094="UPI",L1094,"")</f>
        <v>828</v>
      </c>
      <c r="L1094" s="3">
        <f>IF(E1094&lt;&gt;"",E1094-G1094-H1094,"")</f>
        <v>828</v>
      </c>
    </row>
    <row r="1095" spans="2:12">
      <c r="B1095" s="2" t="s">
        <v>2859</v>
      </c>
      <c r="C1095" s="9">
        <v>46018</v>
      </c>
      <c r="D1095" s="4">
        <v>2</v>
      </c>
      <c r="E1095" s="3">
        <v>1710</v>
      </c>
      <c r="F1095" s="7">
        <f t="shared" si="17"/>
        <v>46018</v>
      </c>
      <c r="G1095" s="3">
        <f>IF(E1095&lt;&gt;"", E1095*10%, "")</f>
        <v>171</v>
      </c>
      <c r="H1095" s="3">
        <f>IF(E1095&lt;&gt;"",ROUND(IF(E1095&gt;1500,E1095*5%,),0),"")</f>
        <v>86</v>
      </c>
      <c r="I1095" s="2" t="s">
        <v>2925</v>
      </c>
      <c r="J1095" s="3">
        <f>IF(I1095="Cash",L1095,"")</f>
        <v>1453</v>
      </c>
      <c r="K1095" s="3" t="str">
        <f>IF(I1095="UPI",L1095,"")</f>
        <v/>
      </c>
      <c r="L1095" s="3">
        <f>IF(E1095&lt;&gt;"",E1095-G1095-H1095,"")</f>
        <v>1453</v>
      </c>
    </row>
    <row r="1096" spans="2:12">
      <c r="B1096" s="2" t="s">
        <v>2860</v>
      </c>
      <c r="C1096" s="9">
        <v>46018</v>
      </c>
      <c r="D1096" s="4">
        <v>1</v>
      </c>
      <c r="E1096" s="3">
        <v>860</v>
      </c>
      <c r="F1096" s="7">
        <f t="shared" si="17"/>
        <v>46018</v>
      </c>
      <c r="G1096" s="3">
        <f>IF(E1096&lt;&gt;"", E1096*10%, "")</f>
        <v>86</v>
      </c>
      <c r="H1096" s="3">
        <f>IF(E1096&lt;&gt;"",ROUND(IF(E1096&gt;1500,E1096*5%,),0),"")</f>
        <v>0</v>
      </c>
      <c r="I1096" s="2" t="s">
        <v>2926</v>
      </c>
      <c r="J1096" s="3" t="str">
        <f>IF(I1096="Cash",L1096,"")</f>
        <v/>
      </c>
      <c r="K1096" s="3">
        <f>IF(I1096="UPI",L1096,"")</f>
        <v>774</v>
      </c>
      <c r="L1096" s="3">
        <f>IF(E1096&lt;&gt;"",E1096-G1096-H1096,"")</f>
        <v>774</v>
      </c>
    </row>
    <row r="1097" spans="2:12">
      <c r="B1097" s="2" t="s">
        <v>2861</v>
      </c>
      <c r="C1097" s="9">
        <v>46018</v>
      </c>
      <c r="D1097" s="4">
        <v>3</v>
      </c>
      <c r="E1097" s="3">
        <v>2290</v>
      </c>
      <c r="F1097" s="7">
        <f t="shared" si="17"/>
        <v>46018</v>
      </c>
      <c r="G1097" s="3">
        <f>IF(E1097&lt;&gt;"", E1097*10%, "")</f>
        <v>229</v>
      </c>
      <c r="H1097" s="3">
        <f>IF(E1097&lt;&gt;"",ROUND(IF(E1097&gt;1500,E1097*5%,),0),"")</f>
        <v>115</v>
      </c>
      <c r="I1097" s="2" t="s">
        <v>2925</v>
      </c>
      <c r="J1097" s="3">
        <f>IF(I1097="Cash",L1097,"")</f>
        <v>1946</v>
      </c>
      <c r="K1097" s="3" t="str">
        <f>IF(I1097="UPI",L1097,"")</f>
        <v/>
      </c>
      <c r="L1097" s="3">
        <f>IF(E1097&lt;&gt;"",E1097-G1097-H1097,"")</f>
        <v>1946</v>
      </c>
    </row>
    <row r="1098" spans="2:12">
      <c r="B1098" s="2" t="s">
        <v>2862</v>
      </c>
      <c r="C1098" s="9">
        <v>46018</v>
      </c>
      <c r="D1098" s="4">
        <v>1</v>
      </c>
      <c r="E1098" s="3">
        <v>750</v>
      </c>
      <c r="F1098" s="7">
        <f t="shared" si="17"/>
        <v>46018</v>
      </c>
      <c r="G1098" s="3">
        <f>IF(E1098&lt;&gt;"", E1098*10%, "")</f>
        <v>75</v>
      </c>
      <c r="H1098" s="3">
        <f>IF(E1098&lt;&gt;"",ROUND(IF(E1098&gt;1500,E1098*5%,),0),"")</f>
        <v>0</v>
      </c>
      <c r="I1098" s="2" t="s">
        <v>2926</v>
      </c>
      <c r="J1098" s="3" t="str">
        <f>IF(I1098="Cash",L1098,"")</f>
        <v/>
      </c>
      <c r="K1098" s="3">
        <f>IF(I1098="UPI",L1098,"")</f>
        <v>675</v>
      </c>
      <c r="L1098" s="3">
        <f>IF(E1098&lt;&gt;"",E1098-G1098-H1098,"")</f>
        <v>675</v>
      </c>
    </row>
    <row r="1099" spans="2:12">
      <c r="B1099" s="2" t="s">
        <v>2863</v>
      </c>
      <c r="C1099" s="9">
        <v>46018</v>
      </c>
      <c r="D1099" s="4">
        <v>4</v>
      </c>
      <c r="E1099" s="3">
        <v>2730</v>
      </c>
      <c r="F1099" s="7">
        <f t="shared" si="17"/>
        <v>46018</v>
      </c>
      <c r="G1099" s="3">
        <f>IF(E1099&lt;&gt;"", E1099*10%, "")</f>
        <v>273</v>
      </c>
      <c r="H1099" s="3">
        <f>IF(E1099&lt;&gt;"",ROUND(IF(E1099&gt;1500,E1099*5%,),0),"")</f>
        <v>137</v>
      </c>
      <c r="I1099" s="2" t="s">
        <v>2925</v>
      </c>
      <c r="J1099" s="3">
        <f>IF(I1099="Cash",L1099,"")</f>
        <v>2320</v>
      </c>
      <c r="K1099" s="3" t="str">
        <f>IF(I1099="UPI",L1099,"")</f>
        <v/>
      </c>
      <c r="L1099" s="3">
        <f>IF(E1099&lt;&gt;"",E1099-G1099-H1099,"")</f>
        <v>2320</v>
      </c>
    </row>
    <row r="1100" spans="2:12">
      <c r="B1100" s="2" t="s">
        <v>2864</v>
      </c>
      <c r="C1100" s="9">
        <v>46018</v>
      </c>
      <c r="D1100" s="4">
        <v>4</v>
      </c>
      <c r="E1100" s="3">
        <v>2860</v>
      </c>
      <c r="F1100" s="7">
        <f t="shared" si="17"/>
        <v>46018</v>
      </c>
      <c r="G1100" s="3">
        <f>IF(E1100&lt;&gt;"", E1100*10%, "")</f>
        <v>286</v>
      </c>
      <c r="H1100" s="3">
        <f>IF(E1100&lt;&gt;"",ROUND(IF(E1100&gt;1500,E1100*5%,),0),"")</f>
        <v>143</v>
      </c>
      <c r="I1100" s="2" t="s">
        <v>2928</v>
      </c>
      <c r="J1100" s="3">
        <v>1000</v>
      </c>
      <c r="K1100" s="3">
        <v>1431</v>
      </c>
      <c r="L1100" s="3">
        <f>IF(E1100&lt;&gt;"",E1100-G1100-H1100,"")</f>
        <v>2431</v>
      </c>
    </row>
    <row r="1101" spans="2:12">
      <c r="B1101" s="2" t="s">
        <v>2865</v>
      </c>
      <c r="C1101" s="9">
        <v>46020</v>
      </c>
      <c r="D1101" s="4">
        <v>4</v>
      </c>
      <c r="E1101" s="3">
        <v>2430</v>
      </c>
      <c r="F1101" s="7">
        <f t="shared" si="17"/>
        <v>46020</v>
      </c>
      <c r="G1101" s="3">
        <f>IF(E1101&lt;&gt;"", E1101*10%, "")</f>
        <v>243</v>
      </c>
      <c r="H1101" s="3">
        <f>IF(E1101&lt;&gt;"",ROUND(IF(E1101&gt;1500,E1101*5%,),0),"")</f>
        <v>122</v>
      </c>
      <c r="I1101" s="2" t="s">
        <v>2925</v>
      </c>
      <c r="J1101" s="3">
        <f>IF(I1101="Cash",L1101,"")</f>
        <v>2065</v>
      </c>
      <c r="K1101" s="3" t="str">
        <f>IF(I1101="UPI",L1101,"")</f>
        <v/>
      </c>
      <c r="L1101" s="3">
        <f>IF(E1101&lt;&gt;"",E1101-G1101-H1101,"")</f>
        <v>2065</v>
      </c>
    </row>
    <row r="1102" spans="2:12">
      <c r="B1102" s="2" t="s">
        <v>2866</v>
      </c>
      <c r="C1102" s="9">
        <v>46020</v>
      </c>
      <c r="D1102" s="4">
        <v>1</v>
      </c>
      <c r="E1102" s="3">
        <v>270</v>
      </c>
      <c r="F1102" s="7">
        <f t="shared" si="17"/>
        <v>46020</v>
      </c>
      <c r="G1102" s="3">
        <f>IF(E1102&lt;&gt;"", E1102*10%, "")</f>
        <v>27</v>
      </c>
      <c r="H1102" s="3">
        <f>IF(E1102&lt;&gt;"",ROUND(IF(E1102&gt;1500,E1102*5%,),0),"")</f>
        <v>0</v>
      </c>
      <c r="I1102" s="2" t="s">
        <v>2926</v>
      </c>
      <c r="J1102" s="3" t="str">
        <f>IF(I1102="Cash",L1102,"")</f>
        <v/>
      </c>
      <c r="K1102" s="3">
        <f>IF(I1102="UPI",L1102,"")</f>
        <v>243</v>
      </c>
      <c r="L1102" s="3">
        <f>IF(E1102&lt;&gt;"",E1102-G1102-H1102,"")</f>
        <v>243</v>
      </c>
    </row>
    <row r="1103" spans="2:12">
      <c r="B1103" s="2" t="s">
        <v>2867</v>
      </c>
      <c r="C1103" s="9">
        <v>46020</v>
      </c>
      <c r="D1103" s="4">
        <v>2</v>
      </c>
      <c r="E1103" s="3">
        <v>1170</v>
      </c>
      <c r="F1103" s="7">
        <f t="shared" si="17"/>
        <v>46020</v>
      </c>
      <c r="G1103" s="3">
        <f>IF(E1103&lt;&gt;"", E1103*10%, "")</f>
        <v>117</v>
      </c>
      <c r="H1103" s="3">
        <f>IF(E1103&lt;&gt;"",ROUND(IF(E1103&gt;1500,E1103*5%,),0),"")</f>
        <v>0</v>
      </c>
      <c r="I1103" s="2" t="s">
        <v>2926</v>
      </c>
      <c r="J1103" s="3" t="str">
        <f>IF(I1103="Cash",L1103,"")</f>
        <v/>
      </c>
      <c r="K1103" s="3">
        <f>IF(I1103="UPI",L1103,"")</f>
        <v>1053</v>
      </c>
      <c r="L1103" s="3">
        <f>IF(E1103&lt;&gt;"",E1103-G1103-H1103,"")</f>
        <v>1053</v>
      </c>
    </row>
    <row r="1104" spans="2:12">
      <c r="B1104" s="2" t="s">
        <v>2868</v>
      </c>
      <c r="C1104" s="9">
        <v>46020</v>
      </c>
      <c r="D1104" s="4">
        <v>4</v>
      </c>
      <c r="E1104" s="3">
        <v>1740</v>
      </c>
      <c r="F1104" s="7">
        <f t="shared" si="17"/>
        <v>46020</v>
      </c>
      <c r="G1104" s="3">
        <f>IF(E1104&lt;&gt;"", E1104*10%, "")</f>
        <v>174</v>
      </c>
      <c r="H1104" s="3">
        <f>IF(E1104&lt;&gt;"",ROUND(IF(E1104&gt;1500,E1104*5%,),0),"")</f>
        <v>87</v>
      </c>
      <c r="I1104" s="2" t="s">
        <v>2925</v>
      </c>
      <c r="J1104" s="3">
        <f>IF(I1104="Cash",L1104,"")</f>
        <v>1479</v>
      </c>
      <c r="K1104" s="3" t="str">
        <f>IF(I1104="UPI",L1104,"")</f>
        <v/>
      </c>
      <c r="L1104" s="3">
        <f>IF(E1104&lt;&gt;"",E1104-G1104-H1104,"")</f>
        <v>1479</v>
      </c>
    </row>
    <row r="1105" spans="2:12">
      <c r="B1105" s="2" t="s">
        <v>2869</v>
      </c>
      <c r="C1105" s="9">
        <v>46020</v>
      </c>
      <c r="D1105" s="4">
        <v>1</v>
      </c>
      <c r="E1105" s="3">
        <v>700</v>
      </c>
      <c r="F1105" s="7">
        <f t="shared" si="17"/>
        <v>46020</v>
      </c>
      <c r="G1105" s="3">
        <f>IF(E1105&lt;&gt;"", E1105*10%, "")</f>
        <v>70</v>
      </c>
      <c r="H1105" s="3">
        <f>IF(E1105&lt;&gt;"",ROUND(IF(E1105&gt;1500,E1105*5%,),0),"")</f>
        <v>0</v>
      </c>
      <c r="I1105" s="2" t="s">
        <v>2926</v>
      </c>
      <c r="J1105" s="3" t="str">
        <f>IF(I1105="Cash",L1105,"")</f>
        <v/>
      </c>
      <c r="K1105" s="3">
        <f>IF(I1105="UPI",L1105,"")</f>
        <v>630</v>
      </c>
      <c r="L1105" s="3">
        <f>IF(E1105&lt;&gt;"",E1105-G1105-H1105,"")</f>
        <v>630</v>
      </c>
    </row>
    <row r="1106" spans="2:12">
      <c r="B1106" s="2" t="s">
        <v>2870</v>
      </c>
      <c r="C1106" s="9">
        <v>46020</v>
      </c>
      <c r="D1106" s="4">
        <v>2</v>
      </c>
      <c r="E1106" s="3">
        <v>1020</v>
      </c>
      <c r="F1106" s="7">
        <f t="shared" si="17"/>
        <v>46020</v>
      </c>
      <c r="G1106" s="3">
        <f>IF(E1106&lt;&gt;"", E1106*10%, "")</f>
        <v>102</v>
      </c>
      <c r="H1106" s="3">
        <f>IF(E1106&lt;&gt;"",ROUND(IF(E1106&gt;1500,E1106*5%,),0),"")</f>
        <v>0</v>
      </c>
      <c r="I1106" s="2" t="s">
        <v>2926</v>
      </c>
      <c r="J1106" s="3" t="str">
        <f>IF(I1106="Cash",L1106,"")</f>
        <v/>
      </c>
      <c r="K1106" s="3">
        <f>IF(I1106="UPI",L1106,"")</f>
        <v>918</v>
      </c>
      <c r="L1106" s="3">
        <f>IF(E1106&lt;&gt;"",E1106-G1106-H1106,"")</f>
        <v>918</v>
      </c>
    </row>
    <row r="1107" spans="2:12">
      <c r="B1107" s="2" t="s">
        <v>2871</v>
      </c>
      <c r="C1107" s="9">
        <v>46020</v>
      </c>
      <c r="D1107" s="4">
        <v>3</v>
      </c>
      <c r="E1107" s="3">
        <v>2310</v>
      </c>
      <c r="F1107" s="7">
        <f t="shared" si="17"/>
        <v>46020</v>
      </c>
      <c r="G1107" s="3">
        <f>IF(E1107&lt;&gt;"", E1107*10%, "")</f>
        <v>231</v>
      </c>
      <c r="H1107" s="3">
        <f>IF(E1107&lt;&gt;"",ROUND(IF(E1107&gt;1500,E1107*5%,),0),"")</f>
        <v>116</v>
      </c>
      <c r="I1107" s="2" t="s">
        <v>2925</v>
      </c>
      <c r="J1107" s="3">
        <f>IF(I1107="Cash",L1107,"")</f>
        <v>1963</v>
      </c>
      <c r="K1107" s="3" t="str">
        <f>IF(I1107="UPI",L1107,"")</f>
        <v/>
      </c>
      <c r="L1107" s="3">
        <f>IF(E1107&lt;&gt;"",E1107-G1107-H1107,"")</f>
        <v>1963</v>
      </c>
    </row>
    <row r="1108" spans="2:12">
      <c r="B1108" s="2" t="s">
        <v>2872</v>
      </c>
      <c r="C1108" s="9">
        <v>46020</v>
      </c>
      <c r="D1108" s="4">
        <v>1</v>
      </c>
      <c r="E1108" s="3">
        <v>160</v>
      </c>
      <c r="F1108" s="7">
        <f t="shared" si="17"/>
        <v>46020</v>
      </c>
      <c r="G1108" s="3">
        <f>IF(E1108&lt;&gt;"", E1108*10%, "")</f>
        <v>16</v>
      </c>
      <c r="H1108" s="3">
        <f>IF(E1108&lt;&gt;"",ROUND(IF(E1108&gt;1500,E1108*5%,),0),"")</f>
        <v>0</v>
      </c>
      <c r="I1108" s="2" t="s">
        <v>2926</v>
      </c>
      <c r="J1108" s="3" t="str">
        <f>IF(I1108="Cash",L1108,"")</f>
        <v/>
      </c>
      <c r="K1108" s="3">
        <f>IF(I1108="UPI",L1108,"")</f>
        <v>144</v>
      </c>
      <c r="L1108" s="3">
        <f>IF(E1108&lt;&gt;"",E1108-G1108-H1108,"")</f>
        <v>144</v>
      </c>
    </row>
    <row r="1109" spans="2:12">
      <c r="B1109" s="2" t="s">
        <v>2873</v>
      </c>
      <c r="C1109" s="9">
        <v>46020</v>
      </c>
      <c r="D1109" s="4">
        <v>1</v>
      </c>
      <c r="E1109" s="3">
        <v>260</v>
      </c>
      <c r="F1109" s="7">
        <f t="shared" si="17"/>
        <v>46020</v>
      </c>
      <c r="G1109" s="3">
        <f>IF(E1109&lt;&gt;"", E1109*10%, "")</f>
        <v>26</v>
      </c>
      <c r="H1109" s="3">
        <f>IF(E1109&lt;&gt;"",ROUND(IF(E1109&gt;1500,E1109*5%,),0),"")</f>
        <v>0</v>
      </c>
      <c r="I1109" s="2" t="s">
        <v>2926</v>
      </c>
      <c r="J1109" s="3" t="str">
        <f>IF(I1109="Cash",L1109,"")</f>
        <v/>
      </c>
      <c r="K1109" s="3">
        <f>IF(I1109="UPI",L1109,"")</f>
        <v>234</v>
      </c>
      <c r="L1109" s="3">
        <f>IF(E1109&lt;&gt;"",E1109-G1109-H1109,"")</f>
        <v>234</v>
      </c>
    </row>
    <row r="1110" spans="2:12">
      <c r="B1110" s="2" t="s">
        <v>2874</v>
      </c>
      <c r="C1110" s="9">
        <v>46020</v>
      </c>
      <c r="D1110" s="4">
        <v>3</v>
      </c>
      <c r="E1110" s="3">
        <v>1770</v>
      </c>
      <c r="F1110" s="7">
        <f t="shared" si="17"/>
        <v>46020</v>
      </c>
      <c r="G1110" s="3">
        <f>IF(E1110&lt;&gt;"", E1110*10%, "")</f>
        <v>177</v>
      </c>
      <c r="H1110" s="3">
        <f>IF(E1110&lt;&gt;"",ROUND(IF(E1110&gt;1500,E1110*5%,),0),"")</f>
        <v>89</v>
      </c>
      <c r="I1110" s="2" t="s">
        <v>2925</v>
      </c>
      <c r="J1110" s="3">
        <f>IF(I1110="Cash",L1110,"")</f>
        <v>1504</v>
      </c>
      <c r="K1110" s="3" t="str">
        <f>IF(I1110="UPI",L1110,"")</f>
        <v/>
      </c>
      <c r="L1110" s="3">
        <f>IF(E1110&lt;&gt;"",E1110-G1110-H1110,"")</f>
        <v>1504</v>
      </c>
    </row>
    <row r="1111" spans="2:12">
      <c r="B1111" s="2" t="s">
        <v>2875</v>
      </c>
      <c r="C1111" s="9">
        <v>46020</v>
      </c>
      <c r="D1111" s="4">
        <v>3</v>
      </c>
      <c r="E1111" s="3">
        <v>1360</v>
      </c>
      <c r="F1111" s="7">
        <f t="shared" si="17"/>
        <v>46020</v>
      </c>
      <c r="G1111" s="3">
        <f>IF(E1111&lt;&gt;"", E1111*10%, "")</f>
        <v>136</v>
      </c>
      <c r="H1111" s="3">
        <f>IF(E1111&lt;&gt;"",ROUND(IF(E1111&gt;1500,E1111*5%,),0),"")</f>
        <v>0</v>
      </c>
      <c r="I1111" s="2" t="s">
        <v>2926</v>
      </c>
      <c r="J1111" s="3" t="str">
        <f>IF(I1111="Cash",L1111,"")</f>
        <v/>
      </c>
      <c r="K1111" s="3">
        <f>IF(I1111="UPI",L1111,"")</f>
        <v>1224</v>
      </c>
      <c r="L1111" s="3">
        <f>IF(E1111&lt;&gt;"",E1111-G1111-H1111,"")</f>
        <v>1224</v>
      </c>
    </row>
    <row r="1112" spans="2:12">
      <c r="B1112" s="2" t="s">
        <v>2876</v>
      </c>
      <c r="C1112" s="9">
        <v>46020</v>
      </c>
      <c r="D1112" s="4">
        <v>4</v>
      </c>
      <c r="E1112" s="3">
        <v>3210</v>
      </c>
      <c r="F1112" s="7">
        <f t="shared" si="17"/>
        <v>46020</v>
      </c>
      <c r="G1112" s="3">
        <f>IF(E1112&lt;&gt;"", E1112*10%, "")</f>
        <v>321</v>
      </c>
      <c r="H1112" s="3">
        <f>IF(E1112&lt;&gt;"",ROUND(IF(E1112&gt;1500,E1112*5%,),0),"")</f>
        <v>161</v>
      </c>
      <c r="I1112" s="2" t="s">
        <v>2928</v>
      </c>
      <c r="J1112" s="3">
        <v>500</v>
      </c>
      <c r="K1112" s="3">
        <v>2228</v>
      </c>
      <c r="L1112" s="3">
        <f>IF(E1112&lt;&gt;"",E1112-G1112-H1112,"")</f>
        <v>2728</v>
      </c>
    </row>
    <row r="1113" spans="2:12">
      <c r="B1113" s="2" t="s">
        <v>2877</v>
      </c>
      <c r="C1113" s="9">
        <v>46020</v>
      </c>
      <c r="D1113" s="4">
        <v>1</v>
      </c>
      <c r="E1113" s="3">
        <v>940</v>
      </c>
      <c r="F1113" s="7">
        <f t="shared" si="17"/>
        <v>46020</v>
      </c>
      <c r="G1113" s="3">
        <f>IF(E1113&lt;&gt;"", E1113*10%, "")</f>
        <v>94</v>
      </c>
      <c r="H1113" s="3">
        <f>IF(E1113&lt;&gt;"",ROUND(IF(E1113&gt;1500,E1113*5%,),0),"")</f>
        <v>0</v>
      </c>
      <c r="I1113" s="2" t="s">
        <v>2926</v>
      </c>
      <c r="J1113" s="3" t="str">
        <f>IF(I1113="Cash",L1113,"")</f>
        <v/>
      </c>
      <c r="K1113" s="3">
        <f>IF(I1113="UPI",L1113,"")</f>
        <v>846</v>
      </c>
      <c r="L1113" s="3">
        <f>IF(E1113&lt;&gt;"",E1113-G1113-H1113,"")</f>
        <v>846</v>
      </c>
    </row>
    <row r="1114" spans="2:12">
      <c r="B1114" s="2" t="s">
        <v>2878</v>
      </c>
      <c r="C1114" s="9">
        <v>46020</v>
      </c>
      <c r="D1114" s="4">
        <v>1</v>
      </c>
      <c r="E1114" s="3">
        <v>870</v>
      </c>
      <c r="F1114" s="7">
        <f t="shared" si="17"/>
        <v>46020</v>
      </c>
      <c r="G1114" s="3">
        <f>IF(E1114&lt;&gt;"", E1114*10%, "")</f>
        <v>87</v>
      </c>
      <c r="H1114" s="3">
        <f>IF(E1114&lt;&gt;"",ROUND(IF(E1114&gt;1500,E1114*5%,),0),"")</f>
        <v>0</v>
      </c>
      <c r="I1114" s="2" t="s">
        <v>2926</v>
      </c>
      <c r="J1114" s="3" t="str">
        <f>IF(I1114="Cash",L1114,"")</f>
        <v/>
      </c>
      <c r="K1114" s="3">
        <f>IF(I1114="UPI",L1114,"")</f>
        <v>783</v>
      </c>
      <c r="L1114" s="3">
        <f>IF(E1114&lt;&gt;"",E1114-G1114-H1114,"")</f>
        <v>783</v>
      </c>
    </row>
    <row r="1115" spans="2:12">
      <c r="B1115" s="2" t="s">
        <v>2879</v>
      </c>
      <c r="C1115" s="9">
        <v>46020</v>
      </c>
      <c r="D1115" s="4">
        <v>1</v>
      </c>
      <c r="E1115" s="3">
        <v>160</v>
      </c>
      <c r="F1115" s="7">
        <f t="shared" si="17"/>
        <v>46020</v>
      </c>
      <c r="G1115" s="3">
        <f>IF(E1115&lt;&gt;"", E1115*10%, "")</f>
        <v>16</v>
      </c>
      <c r="H1115" s="3">
        <f>IF(E1115&lt;&gt;"",ROUND(IF(E1115&gt;1500,E1115*5%,),0),"")</f>
        <v>0</v>
      </c>
      <c r="I1115" s="2" t="s">
        <v>2926</v>
      </c>
      <c r="J1115" s="3" t="str">
        <f>IF(I1115="Cash",L1115,"")</f>
        <v/>
      </c>
      <c r="K1115" s="3">
        <f>IF(I1115="UPI",L1115,"")</f>
        <v>144</v>
      </c>
      <c r="L1115" s="3">
        <f>IF(E1115&lt;&gt;"",E1115-G1115-H1115,"")</f>
        <v>144</v>
      </c>
    </row>
    <row r="1116" spans="2:12">
      <c r="B1116" s="2" t="s">
        <v>2880</v>
      </c>
      <c r="C1116" s="9">
        <v>46020</v>
      </c>
      <c r="D1116" s="4">
        <v>2</v>
      </c>
      <c r="E1116" s="3">
        <v>720</v>
      </c>
      <c r="F1116" s="7">
        <f t="shared" si="17"/>
        <v>46020</v>
      </c>
      <c r="G1116" s="3">
        <f>IF(E1116&lt;&gt;"", E1116*10%, "")</f>
        <v>72</v>
      </c>
      <c r="H1116" s="3">
        <f>IF(E1116&lt;&gt;"",ROUND(IF(E1116&gt;1500,E1116*5%,),0),"")</f>
        <v>0</v>
      </c>
      <c r="I1116" s="2" t="s">
        <v>2926</v>
      </c>
      <c r="J1116" s="3" t="str">
        <f>IF(I1116="Cash",L1116,"")</f>
        <v/>
      </c>
      <c r="K1116" s="3">
        <f>IF(I1116="UPI",L1116,"")</f>
        <v>648</v>
      </c>
      <c r="L1116" s="3">
        <f>IF(E1116&lt;&gt;"",E1116-G1116-H1116,"")</f>
        <v>648</v>
      </c>
    </row>
    <row r="1117" spans="2:12">
      <c r="B1117" s="2" t="s">
        <v>2881</v>
      </c>
      <c r="C1117" s="9">
        <v>46020</v>
      </c>
      <c r="D1117" s="4">
        <v>3</v>
      </c>
      <c r="E1117" s="3">
        <v>2610</v>
      </c>
      <c r="F1117" s="7">
        <f t="shared" si="17"/>
        <v>46020</v>
      </c>
      <c r="G1117" s="3">
        <f>IF(E1117&lt;&gt;"", E1117*10%, "")</f>
        <v>261</v>
      </c>
      <c r="H1117" s="3">
        <f>IF(E1117&lt;&gt;"",ROUND(IF(E1117&gt;1500,E1117*5%,),0),"")</f>
        <v>131</v>
      </c>
      <c r="I1117" s="2" t="s">
        <v>2925</v>
      </c>
      <c r="J1117" s="3">
        <f>IF(I1117="Cash",L1117,"")</f>
        <v>2218</v>
      </c>
      <c r="K1117" s="3" t="str">
        <f>IF(I1117="UPI",L1117,"")</f>
        <v/>
      </c>
      <c r="L1117" s="3">
        <f>IF(E1117&lt;&gt;"",E1117-G1117-H1117,"")</f>
        <v>2218</v>
      </c>
    </row>
    <row r="1118" spans="2:12">
      <c r="B1118" s="2" t="s">
        <v>2882</v>
      </c>
      <c r="C1118" s="9">
        <v>46020</v>
      </c>
      <c r="D1118" s="4">
        <v>1</v>
      </c>
      <c r="E1118" s="3">
        <v>850</v>
      </c>
      <c r="F1118" s="7">
        <f t="shared" si="17"/>
        <v>46020</v>
      </c>
      <c r="G1118" s="3">
        <f>IF(E1118&lt;&gt;"", E1118*10%, "")</f>
        <v>85</v>
      </c>
      <c r="H1118" s="3">
        <f>IF(E1118&lt;&gt;"",ROUND(IF(E1118&gt;1500,E1118*5%,),0),"")</f>
        <v>0</v>
      </c>
      <c r="I1118" s="2" t="s">
        <v>2926</v>
      </c>
      <c r="J1118" s="3" t="str">
        <f>IF(I1118="Cash",L1118,"")</f>
        <v/>
      </c>
      <c r="K1118" s="3">
        <f>IF(I1118="UPI",L1118,"")</f>
        <v>765</v>
      </c>
      <c r="L1118" s="3">
        <f>IF(E1118&lt;&gt;"",E1118-G1118-H1118,"")</f>
        <v>765</v>
      </c>
    </row>
    <row r="1119" spans="2:12">
      <c r="B1119" s="2" t="s">
        <v>2883</v>
      </c>
      <c r="C1119" s="9">
        <v>46020</v>
      </c>
      <c r="D1119" s="4">
        <v>2</v>
      </c>
      <c r="E1119" s="3">
        <v>980</v>
      </c>
      <c r="F1119" s="7">
        <f t="shared" si="17"/>
        <v>46020</v>
      </c>
      <c r="G1119" s="3">
        <f>IF(E1119&lt;&gt;"", E1119*10%, "")</f>
        <v>98</v>
      </c>
      <c r="H1119" s="3">
        <f>IF(E1119&lt;&gt;"",ROUND(IF(E1119&gt;1500,E1119*5%,),0),"")</f>
        <v>0</v>
      </c>
      <c r="I1119" s="2" t="s">
        <v>2926</v>
      </c>
      <c r="J1119" s="3" t="str">
        <f>IF(I1119="Cash",L1119,"")</f>
        <v/>
      </c>
      <c r="K1119" s="3">
        <f>IF(I1119="UPI",L1119,"")</f>
        <v>882</v>
      </c>
      <c r="L1119" s="3">
        <f>IF(E1119&lt;&gt;"",E1119-G1119-H1119,"")</f>
        <v>882</v>
      </c>
    </row>
    <row r="1120" spans="2:12">
      <c r="B1120" s="2" t="s">
        <v>2884</v>
      </c>
      <c r="C1120" s="9">
        <v>46020</v>
      </c>
      <c r="D1120" s="4">
        <v>4</v>
      </c>
      <c r="E1120" s="3">
        <v>1800</v>
      </c>
      <c r="F1120" s="7">
        <f t="shared" si="17"/>
        <v>46020</v>
      </c>
      <c r="G1120" s="3">
        <f>IF(E1120&lt;&gt;"", E1120*10%, "")</f>
        <v>180</v>
      </c>
      <c r="H1120" s="3">
        <f>IF(E1120&lt;&gt;"",ROUND(IF(E1120&gt;1500,E1120*5%,),0),"")</f>
        <v>90</v>
      </c>
      <c r="I1120" s="2" t="s">
        <v>2925</v>
      </c>
      <c r="J1120" s="3">
        <f>IF(I1120="Cash",L1120,"")</f>
        <v>1530</v>
      </c>
      <c r="K1120" s="3" t="str">
        <f>IF(I1120="UPI",L1120,"")</f>
        <v/>
      </c>
      <c r="L1120" s="3">
        <f>IF(E1120&lt;&gt;"",E1120-G1120-H1120,"")</f>
        <v>1530</v>
      </c>
    </row>
    <row r="1121" spans="2:12">
      <c r="B1121" s="2" t="s">
        <v>2885</v>
      </c>
      <c r="C1121" s="9">
        <v>46021</v>
      </c>
      <c r="D1121" s="4">
        <v>2</v>
      </c>
      <c r="E1121" s="3">
        <v>1150</v>
      </c>
      <c r="F1121" s="7">
        <f t="shared" si="17"/>
        <v>46021</v>
      </c>
      <c r="G1121" s="3">
        <f>IF(E1121&lt;&gt;"", E1121*10%, "")</f>
        <v>115</v>
      </c>
      <c r="H1121" s="3">
        <f>IF(E1121&lt;&gt;"",ROUND(IF(E1121&gt;1500,E1121*5%,),0),"")</f>
        <v>0</v>
      </c>
      <c r="I1121" s="2" t="s">
        <v>2926</v>
      </c>
      <c r="J1121" s="3" t="str">
        <f>IF(I1121="Cash",L1121,"")</f>
        <v/>
      </c>
      <c r="K1121" s="3">
        <f>IF(I1121="UPI",L1121,"")</f>
        <v>1035</v>
      </c>
      <c r="L1121" s="3">
        <f>IF(E1121&lt;&gt;"",E1121-G1121-H1121,"")</f>
        <v>1035</v>
      </c>
    </row>
    <row r="1122" spans="2:12">
      <c r="B1122" s="2" t="s">
        <v>2886</v>
      </c>
      <c r="C1122" s="9">
        <v>46021</v>
      </c>
      <c r="D1122" s="4">
        <v>1</v>
      </c>
      <c r="E1122" s="3">
        <v>880</v>
      </c>
      <c r="F1122" s="7">
        <f t="shared" si="17"/>
        <v>46021</v>
      </c>
      <c r="G1122" s="3">
        <f>IF(E1122&lt;&gt;"", E1122*10%, "")</f>
        <v>88</v>
      </c>
      <c r="H1122" s="3">
        <f>IF(E1122&lt;&gt;"",ROUND(IF(E1122&gt;1500,E1122*5%,),0),"")</f>
        <v>0</v>
      </c>
      <c r="I1122" s="2" t="s">
        <v>2926</v>
      </c>
      <c r="J1122" s="3" t="str">
        <f>IF(I1122="Cash",L1122,"")</f>
        <v/>
      </c>
      <c r="K1122" s="3">
        <f>IF(I1122="UPI",L1122,"")</f>
        <v>792</v>
      </c>
      <c r="L1122" s="3">
        <f>IF(E1122&lt;&gt;"",E1122-G1122-H1122,"")</f>
        <v>792</v>
      </c>
    </row>
    <row r="1123" spans="2:12">
      <c r="B1123" s="2" t="s">
        <v>2887</v>
      </c>
      <c r="C1123" s="9">
        <v>46021</v>
      </c>
      <c r="D1123" s="4">
        <v>1</v>
      </c>
      <c r="E1123" s="3">
        <v>930</v>
      </c>
      <c r="F1123" s="7">
        <f t="shared" si="17"/>
        <v>46021</v>
      </c>
      <c r="G1123" s="3">
        <f>IF(E1123&lt;&gt;"", E1123*10%, "")</f>
        <v>93</v>
      </c>
      <c r="H1123" s="3">
        <f>IF(E1123&lt;&gt;"",ROUND(IF(E1123&gt;1500,E1123*5%,),0),"")</f>
        <v>0</v>
      </c>
      <c r="I1123" s="2" t="s">
        <v>2926</v>
      </c>
      <c r="J1123" s="3" t="str">
        <f>IF(I1123="Cash",L1123,"")</f>
        <v/>
      </c>
      <c r="K1123" s="3">
        <f>IF(I1123="UPI",L1123,"")</f>
        <v>837</v>
      </c>
      <c r="L1123" s="3">
        <f>IF(E1123&lt;&gt;"",E1123-G1123-H1123,"")</f>
        <v>837</v>
      </c>
    </row>
    <row r="1124" spans="2:12">
      <c r="B1124" s="2" t="s">
        <v>2888</v>
      </c>
      <c r="C1124" s="9">
        <v>46021</v>
      </c>
      <c r="D1124" s="4">
        <v>4</v>
      </c>
      <c r="E1124" s="3">
        <v>2540</v>
      </c>
      <c r="F1124" s="7">
        <f t="shared" si="17"/>
        <v>46021</v>
      </c>
      <c r="G1124" s="3">
        <f>IF(E1124&lt;&gt;"", E1124*10%, "")</f>
        <v>254</v>
      </c>
      <c r="H1124" s="3">
        <f>IF(E1124&lt;&gt;"",ROUND(IF(E1124&gt;1500,E1124*5%,),0),"")</f>
        <v>127</v>
      </c>
      <c r="I1124" s="2" t="s">
        <v>2925</v>
      </c>
      <c r="J1124" s="3">
        <f>IF(I1124="Cash",L1124,"")</f>
        <v>2159</v>
      </c>
      <c r="K1124" s="3" t="str">
        <f>IF(I1124="UPI",L1124,"")</f>
        <v/>
      </c>
      <c r="L1124" s="3">
        <f>IF(E1124&lt;&gt;"",E1124-G1124-H1124,"")</f>
        <v>2159</v>
      </c>
    </row>
    <row r="1125" spans="2:12">
      <c r="B1125" s="2" t="s">
        <v>2889</v>
      </c>
      <c r="C1125" s="9">
        <v>46021</v>
      </c>
      <c r="D1125" s="4">
        <v>2</v>
      </c>
      <c r="E1125" s="3">
        <v>1460</v>
      </c>
      <c r="F1125" s="7">
        <f t="shared" si="17"/>
        <v>46021</v>
      </c>
      <c r="G1125" s="3">
        <f>IF(E1125&lt;&gt;"", E1125*10%, "")</f>
        <v>146</v>
      </c>
      <c r="H1125" s="3">
        <f>IF(E1125&lt;&gt;"",ROUND(IF(E1125&gt;1500,E1125*5%,),0),"")</f>
        <v>0</v>
      </c>
      <c r="I1125" s="2" t="s">
        <v>2926</v>
      </c>
      <c r="J1125" s="3" t="str">
        <f>IF(I1125="Cash",L1125,"")</f>
        <v/>
      </c>
      <c r="K1125" s="3">
        <f>IF(I1125="UPI",L1125,"")</f>
        <v>1314</v>
      </c>
      <c r="L1125" s="3">
        <f>IF(E1125&lt;&gt;"",E1125-G1125-H1125,"")</f>
        <v>1314</v>
      </c>
    </row>
    <row r="1126" spans="2:12">
      <c r="B1126" s="2" t="s">
        <v>2890</v>
      </c>
      <c r="C1126" s="9">
        <v>46021</v>
      </c>
      <c r="D1126" s="4">
        <v>2</v>
      </c>
      <c r="E1126" s="3">
        <v>1640</v>
      </c>
      <c r="F1126" s="7">
        <f t="shared" si="17"/>
        <v>46021</v>
      </c>
      <c r="G1126" s="3">
        <f>IF(E1126&lt;&gt;"", E1126*10%, "")</f>
        <v>164</v>
      </c>
      <c r="H1126" s="3">
        <f>IF(E1126&lt;&gt;"",ROUND(IF(E1126&gt;1500,E1126*5%,),0),"")</f>
        <v>82</v>
      </c>
      <c r="I1126" s="2" t="s">
        <v>2926</v>
      </c>
      <c r="J1126" s="3" t="str">
        <f>IF(I1126="Cash",L1126,"")</f>
        <v/>
      </c>
      <c r="K1126" s="3">
        <f>IF(I1126="UPI",L1126,"")</f>
        <v>1394</v>
      </c>
      <c r="L1126" s="3">
        <f>IF(E1126&lt;&gt;"",E1126-G1126-H1126,"")</f>
        <v>1394</v>
      </c>
    </row>
    <row r="1127" spans="2:12">
      <c r="B1127" s="2" t="s">
        <v>2891</v>
      </c>
      <c r="C1127" s="9">
        <v>46021</v>
      </c>
      <c r="D1127" s="4">
        <v>4</v>
      </c>
      <c r="E1127" s="3">
        <v>2220</v>
      </c>
      <c r="F1127" s="7">
        <f t="shared" si="17"/>
        <v>46021</v>
      </c>
      <c r="G1127" s="3">
        <f>IF(E1127&lt;&gt;"", E1127*10%, "")</f>
        <v>222</v>
      </c>
      <c r="H1127" s="3">
        <f>IF(E1127&lt;&gt;"",ROUND(IF(E1127&gt;1500,E1127*5%,),0),"")</f>
        <v>111</v>
      </c>
      <c r="I1127" s="2" t="s">
        <v>2925</v>
      </c>
      <c r="J1127" s="3">
        <f>IF(I1127="Cash",L1127,"")</f>
        <v>1887</v>
      </c>
      <c r="K1127" s="3" t="str">
        <f>IF(I1127="UPI",L1127,"")</f>
        <v/>
      </c>
      <c r="L1127" s="3">
        <f>IF(E1127&lt;&gt;"",E1127-G1127-H1127,"")</f>
        <v>1887</v>
      </c>
    </row>
    <row r="1128" spans="2:12">
      <c r="B1128" s="2" t="s">
        <v>2892</v>
      </c>
      <c r="C1128" s="9">
        <v>46021</v>
      </c>
      <c r="D1128" s="4">
        <v>1</v>
      </c>
      <c r="E1128" s="3">
        <v>870</v>
      </c>
      <c r="F1128" s="7">
        <f t="shared" si="17"/>
        <v>46021</v>
      </c>
      <c r="G1128" s="3">
        <f>IF(E1128&lt;&gt;"", E1128*10%, "")</f>
        <v>87</v>
      </c>
      <c r="H1128" s="3">
        <f>IF(E1128&lt;&gt;"",ROUND(IF(E1128&gt;1500,E1128*5%,),0),"")</f>
        <v>0</v>
      </c>
      <c r="I1128" s="2" t="s">
        <v>2926</v>
      </c>
      <c r="J1128" s="3" t="str">
        <f>IF(I1128="Cash",L1128,"")</f>
        <v/>
      </c>
      <c r="K1128" s="3">
        <f>IF(I1128="UPI",L1128,"")</f>
        <v>783</v>
      </c>
      <c r="L1128" s="3">
        <f>IF(E1128&lt;&gt;"",E1128-G1128-H1128,"")</f>
        <v>783</v>
      </c>
    </row>
    <row r="1129" spans="2:12">
      <c r="B1129" s="2" t="s">
        <v>2893</v>
      </c>
      <c r="C1129" s="9">
        <v>46021</v>
      </c>
      <c r="D1129" s="4">
        <v>1</v>
      </c>
      <c r="E1129" s="3">
        <v>470</v>
      </c>
      <c r="F1129" s="7">
        <f t="shared" si="17"/>
        <v>46021</v>
      </c>
      <c r="G1129" s="3">
        <f>IF(E1129&lt;&gt;"", E1129*10%, "")</f>
        <v>47</v>
      </c>
      <c r="H1129" s="3">
        <f>IF(E1129&lt;&gt;"",ROUND(IF(E1129&gt;1500,E1129*5%,),0),"")</f>
        <v>0</v>
      </c>
      <c r="I1129" s="2" t="s">
        <v>2926</v>
      </c>
      <c r="J1129" s="3" t="str">
        <f>IF(I1129="Cash",L1129,"")</f>
        <v/>
      </c>
      <c r="K1129" s="3">
        <f>IF(I1129="UPI",L1129,"")</f>
        <v>423</v>
      </c>
      <c r="L1129" s="3">
        <f>IF(E1129&lt;&gt;"",E1129-G1129-H1129,"")</f>
        <v>423</v>
      </c>
    </row>
    <row r="1130" spans="2:12">
      <c r="B1130" s="2" t="s">
        <v>2894</v>
      </c>
      <c r="C1130" s="9">
        <v>46021</v>
      </c>
      <c r="D1130" s="4">
        <v>1</v>
      </c>
      <c r="E1130" s="3">
        <v>720</v>
      </c>
      <c r="F1130" s="7">
        <f t="shared" si="17"/>
        <v>46021</v>
      </c>
      <c r="G1130" s="3">
        <f>IF(E1130&lt;&gt;"", E1130*10%, "")</f>
        <v>72</v>
      </c>
      <c r="H1130" s="3">
        <f>IF(E1130&lt;&gt;"",ROUND(IF(E1130&gt;1500,E1130*5%,),0),"")</f>
        <v>0</v>
      </c>
      <c r="I1130" s="2" t="s">
        <v>2926</v>
      </c>
      <c r="J1130" s="3" t="str">
        <f>IF(I1130="Cash",L1130,"")</f>
        <v/>
      </c>
      <c r="K1130" s="3">
        <f>IF(I1130="UPI",L1130,"")</f>
        <v>648</v>
      </c>
      <c r="L1130" s="3">
        <f>IF(E1130&lt;&gt;"",E1130-G1130-H1130,"")</f>
        <v>648</v>
      </c>
    </row>
    <row r="1131" spans="2:12">
      <c r="B1131" s="2" t="s">
        <v>2895</v>
      </c>
      <c r="C1131" s="9">
        <v>46021</v>
      </c>
      <c r="D1131" s="4">
        <v>1</v>
      </c>
      <c r="E1131" s="3">
        <v>750</v>
      </c>
      <c r="F1131" s="7">
        <f t="shared" si="17"/>
        <v>46021</v>
      </c>
      <c r="G1131" s="3">
        <f>IF(E1131&lt;&gt;"", E1131*10%, "")</f>
        <v>75</v>
      </c>
      <c r="H1131" s="3">
        <f>IF(E1131&lt;&gt;"",ROUND(IF(E1131&gt;1500,E1131*5%,),0),"")</f>
        <v>0</v>
      </c>
      <c r="I1131" s="2" t="s">
        <v>2926</v>
      </c>
      <c r="J1131" s="3" t="str">
        <f>IF(I1131="Cash",L1131,"")</f>
        <v/>
      </c>
      <c r="K1131" s="3">
        <f>IF(I1131="UPI",L1131,"")</f>
        <v>675</v>
      </c>
      <c r="L1131" s="3">
        <f>IF(E1131&lt;&gt;"",E1131-G1131-H1131,"")</f>
        <v>675</v>
      </c>
    </row>
    <row r="1132" spans="2:12">
      <c r="B1132" s="2" t="s">
        <v>2896</v>
      </c>
      <c r="C1132" s="9">
        <v>46021</v>
      </c>
      <c r="D1132" s="4">
        <v>2</v>
      </c>
      <c r="E1132" s="3">
        <v>1630</v>
      </c>
      <c r="F1132" s="7">
        <f t="shared" si="17"/>
        <v>46021</v>
      </c>
      <c r="G1132" s="3">
        <f>IF(E1132&lt;&gt;"", E1132*10%, "")</f>
        <v>163</v>
      </c>
      <c r="H1132" s="3">
        <f>IF(E1132&lt;&gt;"",ROUND(IF(E1132&gt;1500,E1132*5%,),0),"")</f>
        <v>82</v>
      </c>
      <c r="I1132" s="2" t="s">
        <v>2926</v>
      </c>
      <c r="J1132" s="3" t="str">
        <f>IF(I1132="Cash",L1132,"")</f>
        <v/>
      </c>
      <c r="K1132" s="3">
        <f>IF(I1132="UPI",L1132,"")</f>
        <v>1385</v>
      </c>
      <c r="L1132" s="3">
        <f>IF(E1132&lt;&gt;"",E1132-G1132-H1132,"")</f>
        <v>1385</v>
      </c>
    </row>
    <row r="1133" spans="2:12">
      <c r="B1133" s="2" t="s">
        <v>2897</v>
      </c>
      <c r="C1133" s="9">
        <v>46021</v>
      </c>
      <c r="D1133" s="4">
        <v>1</v>
      </c>
      <c r="E1133" s="3">
        <v>730</v>
      </c>
      <c r="F1133" s="7">
        <f t="shared" si="17"/>
        <v>46021</v>
      </c>
      <c r="G1133" s="3">
        <f>IF(E1133&lt;&gt;"", E1133*10%, "")</f>
        <v>73</v>
      </c>
      <c r="H1133" s="3">
        <f>IF(E1133&lt;&gt;"",ROUND(IF(E1133&gt;1500,E1133*5%,),0),"")</f>
        <v>0</v>
      </c>
      <c r="I1133" s="2" t="s">
        <v>2926</v>
      </c>
      <c r="J1133" s="3" t="str">
        <f>IF(I1133="Cash",L1133,"")</f>
        <v/>
      </c>
      <c r="K1133" s="3">
        <f>IF(I1133="UPI",L1133,"")</f>
        <v>657</v>
      </c>
      <c r="L1133" s="3">
        <f>IF(E1133&lt;&gt;"",E1133-G1133-H1133,"")</f>
        <v>657</v>
      </c>
    </row>
    <row r="1134" spans="2:12">
      <c r="B1134" s="2" t="s">
        <v>2898</v>
      </c>
      <c r="C1134" s="9">
        <v>46021</v>
      </c>
      <c r="D1134" s="4">
        <v>2</v>
      </c>
      <c r="E1134" s="3">
        <v>990</v>
      </c>
      <c r="F1134" s="7">
        <f t="shared" si="17"/>
        <v>46021</v>
      </c>
      <c r="G1134" s="3">
        <f>IF(E1134&lt;&gt;"", E1134*10%, "")</f>
        <v>99</v>
      </c>
      <c r="H1134" s="3">
        <f>IF(E1134&lt;&gt;"",ROUND(IF(E1134&gt;1500,E1134*5%,),0),"")</f>
        <v>0</v>
      </c>
      <c r="I1134" s="2" t="s">
        <v>2926</v>
      </c>
      <c r="J1134" s="3" t="str">
        <f>IF(I1134="Cash",L1134,"")</f>
        <v/>
      </c>
      <c r="K1134" s="3">
        <f>IF(I1134="UPI",L1134,"")</f>
        <v>891</v>
      </c>
      <c r="L1134" s="3">
        <f>IF(E1134&lt;&gt;"",E1134-G1134-H1134,"")</f>
        <v>891</v>
      </c>
    </row>
    <row r="1135" spans="2:12">
      <c r="B1135" s="2" t="s">
        <v>2899</v>
      </c>
      <c r="C1135" s="9">
        <v>46021</v>
      </c>
      <c r="D1135" s="4">
        <v>2</v>
      </c>
      <c r="E1135" s="3">
        <v>1790</v>
      </c>
      <c r="F1135" s="7">
        <f t="shared" si="17"/>
        <v>46021</v>
      </c>
      <c r="G1135" s="3">
        <f>IF(E1135&lt;&gt;"", E1135*10%, "")</f>
        <v>179</v>
      </c>
      <c r="H1135" s="3">
        <f>IF(E1135&lt;&gt;"",ROUND(IF(E1135&gt;1500,E1135*5%,),0),"")</f>
        <v>90</v>
      </c>
      <c r="I1135" s="2" t="s">
        <v>2925</v>
      </c>
      <c r="J1135" s="3">
        <f>IF(I1135="Cash",L1135,"")</f>
        <v>1521</v>
      </c>
      <c r="K1135" s="3" t="str">
        <f>IF(I1135="UPI",L1135,"")</f>
        <v/>
      </c>
      <c r="L1135" s="3">
        <f>IF(E1135&lt;&gt;"",E1135-G1135-H1135,"")</f>
        <v>1521</v>
      </c>
    </row>
    <row r="1136" spans="2:12">
      <c r="B1136" s="2" t="s">
        <v>2900</v>
      </c>
      <c r="C1136" s="9">
        <v>46021</v>
      </c>
      <c r="D1136" s="4">
        <v>2</v>
      </c>
      <c r="E1136" s="3">
        <v>1180</v>
      </c>
      <c r="F1136" s="7">
        <f t="shared" si="17"/>
        <v>46021</v>
      </c>
      <c r="G1136" s="3">
        <f>IF(E1136&lt;&gt;"", E1136*10%, "")</f>
        <v>118</v>
      </c>
      <c r="H1136" s="3">
        <f>IF(E1136&lt;&gt;"",ROUND(IF(E1136&gt;1500,E1136*5%,),0),"")</f>
        <v>0</v>
      </c>
      <c r="I1136" s="2" t="s">
        <v>2926</v>
      </c>
      <c r="J1136" s="3" t="str">
        <f>IF(I1136="Cash",L1136,"")</f>
        <v/>
      </c>
      <c r="K1136" s="3">
        <f>IF(I1136="UPI",L1136,"")</f>
        <v>1062</v>
      </c>
      <c r="L1136" s="3">
        <f>IF(E1136&lt;&gt;"",E1136-G1136-H1136,"")</f>
        <v>1062</v>
      </c>
    </row>
    <row r="1137" spans="2:12">
      <c r="B1137" s="2" t="s">
        <v>2901</v>
      </c>
      <c r="C1137" s="9">
        <v>46021</v>
      </c>
      <c r="D1137" s="4">
        <v>4</v>
      </c>
      <c r="E1137" s="3">
        <v>2220</v>
      </c>
      <c r="F1137" s="7">
        <f t="shared" si="17"/>
        <v>46021</v>
      </c>
      <c r="G1137" s="3">
        <f>IF(E1137&lt;&gt;"", E1137*10%, "")</f>
        <v>222</v>
      </c>
      <c r="H1137" s="3">
        <f>IF(E1137&lt;&gt;"",ROUND(IF(E1137&gt;1500,E1137*5%,),0),"")</f>
        <v>111</v>
      </c>
      <c r="I1137" s="2" t="s">
        <v>2925</v>
      </c>
      <c r="J1137" s="3">
        <f>IF(I1137="Cash",L1137,"")</f>
        <v>1887</v>
      </c>
      <c r="K1137" s="3" t="str">
        <f>IF(I1137="UPI",L1137,"")</f>
        <v/>
      </c>
      <c r="L1137" s="3">
        <f>IF(E1137&lt;&gt;"",E1137-G1137-H1137,"")</f>
        <v>1887</v>
      </c>
    </row>
    <row r="1138" spans="2:12">
      <c r="B1138" s="2" t="s">
        <v>2902</v>
      </c>
      <c r="C1138" s="9">
        <v>46021</v>
      </c>
      <c r="D1138" s="4">
        <v>4</v>
      </c>
      <c r="E1138" s="3">
        <v>2550</v>
      </c>
      <c r="F1138" s="7">
        <f t="shared" si="17"/>
        <v>46021</v>
      </c>
      <c r="G1138" s="3">
        <f>IF(E1138&lt;&gt;"", E1138*10%, "")</f>
        <v>255</v>
      </c>
      <c r="H1138" s="3">
        <f>IF(E1138&lt;&gt;"",ROUND(IF(E1138&gt;1500,E1138*5%,),0),"")</f>
        <v>128</v>
      </c>
      <c r="I1138" s="2" t="s">
        <v>2925</v>
      </c>
      <c r="J1138" s="3">
        <f>IF(I1138="Cash",L1138,"")</f>
        <v>2167</v>
      </c>
      <c r="K1138" s="3" t="str">
        <f>IF(I1138="UPI",L1138,"")</f>
        <v/>
      </c>
      <c r="L1138" s="3">
        <f>IF(E1138&lt;&gt;"",E1138-G1138-H1138,"")</f>
        <v>2167</v>
      </c>
    </row>
    <row r="1139" spans="2:12">
      <c r="B1139" s="2" t="s">
        <v>2903</v>
      </c>
      <c r="C1139" s="9">
        <v>46021</v>
      </c>
      <c r="D1139" s="4">
        <v>4</v>
      </c>
      <c r="E1139" s="3">
        <v>2690</v>
      </c>
      <c r="F1139" s="7">
        <f t="shared" si="17"/>
        <v>46021</v>
      </c>
      <c r="G1139" s="3">
        <f>IF(E1139&lt;&gt;"", E1139*10%, "")</f>
        <v>269</v>
      </c>
      <c r="H1139" s="3">
        <f>IF(E1139&lt;&gt;"",ROUND(IF(E1139&gt;1500,E1139*5%,),0),"")</f>
        <v>135</v>
      </c>
      <c r="I1139" s="2" t="s">
        <v>2925</v>
      </c>
      <c r="J1139" s="3">
        <f>IF(I1139="Cash",L1139,"")</f>
        <v>2286</v>
      </c>
      <c r="K1139" s="3" t="str">
        <f>IF(I1139="UPI",L1139,"")</f>
        <v/>
      </c>
      <c r="L1139" s="3">
        <f>IF(E1139&lt;&gt;"",E1139-G1139-H1139,"")</f>
        <v>2286</v>
      </c>
    </row>
    <row r="1140" spans="2:12">
      <c r="B1140" s="2" t="s">
        <v>2904</v>
      </c>
      <c r="C1140" s="9">
        <v>46022</v>
      </c>
      <c r="D1140" s="4">
        <v>3</v>
      </c>
      <c r="E1140" s="3">
        <v>1580</v>
      </c>
      <c r="F1140" s="7">
        <f t="shared" si="17"/>
        <v>46022</v>
      </c>
      <c r="G1140" s="3">
        <f>IF(E1140&lt;&gt;"", E1140*10%, "")</f>
        <v>158</v>
      </c>
      <c r="H1140" s="3">
        <f>IF(E1140&lt;&gt;"",ROUND(IF(E1140&gt;1500,E1140*5%,),0),"")</f>
        <v>79</v>
      </c>
      <c r="I1140" s="2" t="s">
        <v>2926</v>
      </c>
      <c r="J1140" s="3" t="str">
        <f>IF(I1140="Cash",L1140,"")</f>
        <v/>
      </c>
      <c r="K1140" s="3">
        <f>IF(I1140="UPI",L1140,"")</f>
        <v>1343</v>
      </c>
      <c r="L1140" s="3">
        <f>IF(E1140&lt;&gt;"",E1140-G1140-H1140,"")</f>
        <v>1343</v>
      </c>
    </row>
    <row r="1141" spans="2:12">
      <c r="B1141" s="2" t="s">
        <v>2905</v>
      </c>
      <c r="C1141" s="9">
        <v>46022</v>
      </c>
      <c r="D1141" s="4">
        <v>3</v>
      </c>
      <c r="E1141" s="3">
        <v>1980</v>
      </c>
      <c r="F1141" s="7">
        <f t="shared" si="17"/>
        <v>46022</v>
      </c>
      <c r="G1141" s="3">
        <f>IF(E1141&lt;&gt;"", E1141*10%, "")</f>
        <v>198</v>
      </c>
      <c r="H1141" s="3">
        <f>IF(E1141&lt;&gt;"",ROUND(IF(E1141&gt;1500,E1141*5%,),0),"")</f>
        <v>99</v>
      </c>
      <c r="I1141" s="2" t="s">
        <v>2925</v>
      </c>
      <c r="J1141" s="3">
        <f>IF(I1141="Cash",L1141,"")</f>
        <v>1683</v>
      </c>
      <c r="K1141" s="3" t="str">
        <f>IF(I1141="UPI",L1141,"")</f>
        <v/>
      </c>
      <c r="L1141" s="3">
        <f>IF(E1141&lt;&gt;"",E1141-G1141-H1141,"")</f>
        <v>1683</v>
      </c>
    </row>
    <row r="1142" spans="2:12">
      <c r="B1142" s="2" t="s">
        <v>2906</v>
      </c>
      <c r="C1142" s="9">
        <v>46022</v>
      </c>
      <c r="D1142" s="4">
        <v>1</v>
      </c>
      <c r="E1142" s="3">
        <v>890</v>
      </c>
      <c r="F1142" s="7">
        <f t="shared" si="17"/>
        <v>46022</v>
      </c>
      <c r="G1142" s="3">
        <f>IF(E1142&lt;&gt;"", E1142*10%, "")</f>
        <v>89</v>
      </c>
      <c r="H1142" s="3">
        <f>IF(E1142&lt;&gt;"",ROUND(IF(E1142&gt;1500,E1142*5%,),0),"")</f>
        <v>0</v>
      </c>
      <c r="I1142" s="2" t="s">
        <v>2926</v>
      </c>
      <c r="J1142" s="3" t="str">
        <f>IF(I1142="Cash",L1142,"")</f>
        <v/>
      </c>
      <c r="K1142" s="3">
        <f>IF(I1142="UPI",L1142,"")</f>
        <v>801</v>
      </c>
      <c r="L1142" s="3">
        <f>IF(E1142&lt;&gt;"",E1142-G1142-H1142,"")</f>
        <v>801</v>
      </c>
    </row>
    <row r="1143" spans="2:12">
      <c r="B1143" s="2" t="s">
        <v>2907</v>
      </c>
      <c r="C1143" s="9">
        <v>46022</v>
      </c>
      <c r="D1143" s="4">
        <v>2</v>
      </c>
      <c r="E1143" s="3">
        <v>1110</v>
      </c>
      <c r="F1143" s="7">
        <f t="shared" si="17"/>
        <v>46022</v>
      </c>
      <c r="G1143" s="3">
        <f>IF(E1143&lt;&gt;"", E1143*10%, "")</f>
        <v>111</v>
      </c>
      <c r="H1143" s="3">
        <f>IF(E1143&lt;&gt;"",ROUND(IF(E1143&gt;1500,E1143*5%,),0),"")</f>
        <v>0</v>
      </c>
      <c r="I1143" s="2" t="s">
        <v>2926</v>
      </c>
      <c r="J1143" s="3" t="str">
        <f>IF(I1143="Cash",L1143,"")</f>
        <v/>
      </c>
      <c r="K1143" s="3">
        <f>IF(I1143="UPI",L1143,"")</f>
        <v>999</v>
      </c>
      <c r="L1143" s="3">
        <f>IF(E1143&lt;&gt;"",E1143-G1143-H1143,"")</f>
        <v>999</v>
      </c>
    </row>
    <row r="1144" spans="2:12">
      <c r="B1144" s="2" t="s">
        <v>2908</v>
      </c>
      <c r="C1144" s="9">
        <v>46022</v>
      </c>
      <c r="D1144" s="4">
        <v>2</v>
      </c>
      <c r="E1144" s="3">
        <v>1770</v>
      </c>
      <c r="F1144" s="7">
        <f t="shared" si="17"/>
        <v>46022</v>
      </c>
      <c r="G1144" s="3">
        <f>IF(E1144&lt;&gt;"", E1144*10%, "")</f>
        <v>177</v>
      </c>
      <c r="H1144" s="3">
        <f>IF(E1144&lt;&gt;"",ROUND(IF(E1144&gt;1500,E1144*5%,),0),"")</f>
        <v>89</v>
      </c>
      <c r="I1144" s="2" t="s">
        <v>2925</v>
      </c>
      <c r="J1144" s="3">
        <f>IF(I1144="Cash",L1144,"")</f>
        <v>1504</v>
      </c>
      <c r="K1144" s="3" t="str">
        <f>IF(I1144="UPI",L1144,"")</f>
        <v/>
      </c>
      <c r="L1144" s="3">
        <f>IF(E1144&lt;&gt;"",E1144-G1144-H1144,"")</f>
        <v>1504</v>
      </c>
    </row>
    <row r="1145" spans="2:12">
      <c r="B1145" s="2" t="s">
        <v>2909</v>
      </c>
      <c r="C1145" s="9">
        <v>46022</v>
      </c>
      <c r="D1145" s="4">
        <v>3</v>
      </c>
      <c r="E1145" s="3">
        <v>2620</v>
      </c>
      <c r="F1145" s="7">
        <f t="shared" si="17"/>
        <v>46022</v>
      </c>
      <c r="G1145" s="3">
        <f>IF(E1145&lt;&gt;"", E1145*10%, "")</f>
        <v>262</v>
      </c>
      <c r="H1145" s="3">
        <f>IF(E1145&lt;&gt;"",ROUND(IF(E1145&gt;1500,E1145*5%,),0),"")</f>
        <v>131</v>
      </c>
      <c r="I1145" s="2" t="s">
        <v>2925</v>
      </c>
      <c r="J1145" s="3">
        <f>IF(I1145="Cash",L1145,"")</f>
        <v>2227</v>
      </c>
      <c r="K1145" s="3" t="str">
        <f>IF(I1145="UPI",L1145,"")</f>
        <v/>
      </c>
      <c r="L1145" s="3">
        <f>IF(E1145&lt;&gt;"",E1145-G1145-H1145,"")</f>
        <v>2227</v>
      </c>
    </row>
    <row r="1146" spans="2:12">
      <c r="B1146" s="2" t="s">
        <v>2910</v>
      </c>
      <c r="C1146" s="9">
        <v>46022</v>
      </c>
      <c r="D1146" s="4">
        <v>1</v>
      </c>
      <c r="E1146" s="3">
        <v>950</v>
      </c>
      <c r="F1146" s="7">
        <f t="shared" si="17"/>
        <v>46022</v>
      </c>
      <c r="G1146" s="3">
        <f>IF(E1146&lt;&gt;"", E1146*10%, "")</f>
        <v>95</v>
      </c>
      <c r="H1146" s="3">
        <f>IF(E1146&lt;&gt;"",ROUND(IF(E1146&gt;1500,E1146*5%,),0),"")</f>
        <v>0</v>
      </c>
      <c r="I1146" s="2" t="s">
        <v>2926</v>
      </c>
      <c r="J1146" s="3" t="str">
        <f>IF(I1146="Cash",L1146,"")</f>
        <v/>
      </c>
      <c r="K1146" s="3">
        <f>IF(I1146="UPI",L1146,"")</f>
        <v>855</v>
      </c>
      <c r="L1146" s="3">
        <f>IF(E1146&lt;&gt;"",E1146-G1146-H1146,"")</f>
        <v>855</v>
      </c>
    </row>
    <row r="1147" spans="2:12">
      <c r="B1147" s="2" t="s">
        <v>2911</v>
      </c>
      <c r="C1147" s="9">
        <v>46022</v>
      </c>
      <c r="D1147" s="4">
        <v>4</v>
      </c>
      <c r="E1147" s="3">
        <v>2420</v>
      </c>
      <c r="F1147" s="7">
        <f t="shared" si="17"/>
        <v>46022</v>
      </c>
      <c r="G1147" s="3">
        <f>IF(E1147&lt;&gt;"", E1147*10%, "")</f>
        <v>242</v>
      </c>
      <c r="H1147" s="3">
        <f>IF(E1147&lt;&gt;"",ROUND(IF(E1147&gt;1500,E1147*5%,),0),"")</f>
        <v>121</v>
      </c>
      <c r="I1147" s="2" t="s">
        <v>2925</v>
      </c>
      <c r="J1147" s="3">
        <f>IF(I1147="Cash",L1147,"")</f>
        <v>2057</v>
      </c>
      <c r="K1147" s="3" t="str">
        <f>IF(I1147="UPI",L1147,"")</f>
        <v/>
      </c>
      <c r="L1147" s="3">
        <f>IF(E1147&lt;&gt;"",E1147-G1147-H1147,"")</f>
        <v>2057</v>
      </c>
    </row>
    <row r="1148" spans="2:12">
      <c r="B1148" s="2" t="s">
        <v>2912</v>
      </c>
      <c r="C1148" s="9">
        <v>46022</v>
      </c>
      <c r="D1148" s="4">
        <v>3</v>
      </c>
      <c r="E1148" s="3">
        <v>1910</v>
      </c>
      <c r="F1148" s="7">
        <f t="shared" si="17"/>
        <v>46022</v>
      </c>
      <c r="G1148" s="3">
        <f>IF(E1148&lt;&gt;"", E1148*10%, "")</f>
        <v>191</v>
      </c>
      <c r="H1148" s="3">
        <f>IF(E1148&lt;&gt;"",ROUND(IF(E1148&gt;1500,E1148*5%,),0),"")</f>
        <v>96</v>
      </c>
      <c r="I1148" s="2" t="s">
        <v>2925</v>
      </c>
      <c r="J1148" s="3">
        <f>IF(I1148="Cash",L1148,"")</f>
        <v>1623</v>
      </c>
      <c r="K1148" s="3" t="str">
        <f>IF(I1148="UPI",L1148,"")</f>
        <v/>
      </c>
      <c r="L1148" s="3">
        <f>IF(E1148&lt;&gt;"",E1148-G1148-H1148,"")</f>
        <v>1623</v>
      </c>
    </row>
    <row r="1149" spans="2:12">
      <c r="B1149" s="2" t="s">
        <v>2913</v>
      </c>
      <c r="C1149" s="9">
        <v>46022</v>
      </c>
      <c r="D1149" s="4">
        <v>3</v>
      </c>
      <c r="E1149" s="3">
        <v>1990</v>
      </c>
      <c r="F1149" s="7">
        <f t="shared" si="17"/>
        <v>46022</v>
      </c>
      <c r="G1149" s="3">
        <f>IF(E1149&lt;&gt;"", E1149*10%, "")</f>
        <v>199</v>
      </c>
      <c r="H1149" s="3">
        <f>IF(E1149&lt;&gt;"",ROUND(IF(E1149&gt;1500,E1149*5%,),0),"")</f>
        <v>100</v>
      </c>
      <c r="I1149" s="2" t="s">
        <v>2925</v>
      </c>
      <c r="J1149" s="3">
        <f>IF(I1149="Cash",L1149,"")</f>
        <v>1691</v>
      </c>
      <c r="K1149" s="3" t="str">
        <f>IF(I1149="UPI",L1149,"")</f>
        <v/>
      </c>
      <c r="L1149" s="3">
        <f>IF(E1149&lt;&gt;"",E1149-G1149-H1149,"")</f>
        <v>1691</v>
      </c>
    </row>
    <row r="1150" spans="2:12">
      <c r="B1150" s="2" t="s">
        <v>2914</v>
      </c>
      <c r="C1150" s="9">
        <v>46022</v>
      </c>
      <c r="D1150" s="4">
        <v>1</v>
      </c>
      <c r="E1150" s="3">
        <v>860</v>
      </c>
      <c r="F1150" s="7">
        <f t="shared" si="17"/>
        <v>46022</v>
      </c>
      <c r="G1150" s="3">
        <f>IF(E1150&lt;&gt;"", E1150*10%, "")</f>
        <v>86</v>
      </c>
      <c r="H1150" s="3">
        <f>IF(E1150&lt;&gt;"",ROUND(IF(E1150&gt;1500,E1150*5%,),0),"")</f>
        <v>0</v>
      </c>
      <c r="I1150" s="2" t="s">
        <v>2926</v>
      </c>
      <c r="J1150" s="3" t="str">
        <f>IF(I1150="Cash",L1150,"")</f>
        <v/>
      </c>
      <c r="K1150" s="3">
        <f>IF(I1150="UPI",L1150,"")</f>
        <v>774</v>
      </c>
      <c r="L1150" s="3">
        <f>IF(E1150&lt;&gt;"",E1150-G1150-H1150,"")</f>
        <v>774</v>
      </c>
    </row>
    <row r="1151" spans="2:12">
      <c r="B1151" s="2" t="s">
        <v>2915</v>
      </c>
      <c r="C1151" s="9">
        <v>46022</v>
      </c>
      <c r="D1151" s="4">
        <v>3</v>
      </c>
      <c r="E1151" s="3">
        <v>2150</v>
      </c>
      <c r="F1151" s="7">
        <f t="shared" si="17"/>
        <v>46022</v>
      </c>
      <c r="G1151" s="3">
        <f>IF(E1151&lt;&gt;"", E1151*10%, "")</f>
        <v>215</v>
      </c>
      <c r="H1151" s="3">
        <f>IF(E1151&lt;&gt;"",ROUND(IF(E1151&gt;1500,E1151*5%,),0),"")</f>
        <v>108</v>
      </c>
      <c r="I1151" s="2" t="s">
        <v>2925</v>
      </c>
      <c r="J1151" s="3">
        <f>IF(I1151="Cash",L1151,"")</f>
        <v>1827</v>
      </c>
      <c r="K1151" s="3" t="str">
        <f>IF(I1151="UPI",L1151,"")</f>
        <v/>
      </c>
      <c r="L1151" s="3">
        <f>IF(E1151&lt;&gt;"",E1151-G1151-H1151,"")</f>
        <v>1827</v>
      </c>
    </row>
    <row r="1152" spans="2:12">
      <c r="B1152" s="2" t="s">
        <v>2916</v>
      </c>
      <c r="C1152" s="9">
        <v>46022</v>
      </c>
      <c r="D1152" s="4">
        <v>4</v>
      </c>
      <c r="E1152" s="3">
        <v>2350</v>
      </c>
      <c r="F1152" s="7">
        <f t="shared" si="17"/>
        <v>46022</v>
      </c>
      <c r="G1152" s="3">
        <f>IF(E1152&lt;&gt;"", E1152*10%, "")</f>
        <v>235</v>
      </c>
      <c r="H1152" s="3">
        <f>IF(E1152&lt;&gt;"",ROUND(IF(E1152&gt;1500,E1152*5%,),0),"")</f>
        <v>118</v>
      </c>
      <c r="I1152" s="2" t="s">
        <v>2925</v>
      </c>
      <c r="J1152" s="3">
        <f>IF(I1152="Cash",L1152,"")</f>
        <v>1997</v>
      </c>
      <c r="K1152" s="3" t="str">
        <f>IF(I1152="UPI",L1152,"")</f>
        <v/>
      </c>
      <c r="L1152" s="3">
        <f>IF(E1152&lt;&gt;"",E1152-G1152-H1152,"")</f>
        <v>1997</v>
      </c>
    </row>
    <row r="1153" spans="2:12">
      <c r="B1153" s="2" t="s">
        <v>2917</v>
      </c>
      <c r="C1153" s="9">
        <v>46022</v>
      </c>
      <c r="D1153" s="4">
        <v>1</v>
      </c>
      <c r="E1153" s="3">
        <v>890</v>
      </c>
      <c r="F1153" s="7">
        <f t="shared" si="17"/>
        <v>46022</v>
      </c>
      <c r="G1153" s="3">
        <f>IF(E1153&lt;&gt;"", E1153*10%, "")</f>
        <v>89</v>
      </c>
      <c r="H1153" s="3">
        <f>IF(E1153&lt;&gt;"",ROUND(IF(E1153&gt;1500,E1153*5%,),0),"")</f>
        <v>0</v>
      </c>
      <c r="I1153" s="2" t="s">
        <v>2925</v>
      </c>
      <c r="J1153" s="3">
        <f>IF(I1153="Cash",L1153,"")</f>
        <v>801</v>
      </c>
      <c r="K1153" s="3" t="str">
        <f>IF(I1153="UPI",L1153,"")</f>
        <v/>
      </c>
      <c r="L1153" s="3">
        <f>IF(E1153&lt;&gt;"",E1153-G1153-H1153,"")</f>
        <v>801</v>
      </c>
    </row>
    <row r="1154" spans="2:12" ht="15">
      <c r="B1154"/>
      <c r="C1154"/>
      <c r="D1154"/>
      <c r="E1154"/>
      <c r="F1154" s="3"/>
      <c r="G1154" s="3" t="str">
        <f>IF(E1154&lt;&gt;"", E1154*10%, "")</f>
        <v/>
      </c>
      <c r="H1154" s="3" t="str">
        <f>IF(E1154&lt;&gt;"",ROUND(IF(E1154&gt;1500,E1154*5%,),0),"")</f>
        <v/>
      </c>
      <c r="J1154" s="3" t="str">
        <f t="shared" ref="J1154:J1155" si="18">IF(I1154="Cash",L1154,"")</f>
        <v/>
      </c>
      <c r="K1154" s="3" t="str">
        <f>IF(I1154="UPI",L1154,"")</f>
        <v/>
      </c>
      <c r="L1154" s="3" t="str">
        <f>IF(E1154&lt;&gt;"",E1154-G1154-H1154,"")</f>
        <v/>
      </c>
    </row>
    <row r="1155" spans="2:12" ht="15">
      <c r="B1155"/>
      <c r="C1155"/>
      <c r="D1155"/>
      <c r="E1155"/>
      <c r="F1155" s="3"/>
      <c r="G1155" s="3" t="str">
        <f>IF(E1155&lt;&gt;"", E1155*10%, "")</f>
        <v/>
      </c>
      <c r="H1155" s="3" t="str">
        <f>IF(E1155&lt;&gt;"",ROUND(IF(E1155&gt;1500,E1155*5%,),0),"")</f>
        <v/>
      </c>
      <c r="J1155" s="3" t="str">
        <f t="shared" si="18"/>
        <v/>
      </c>
      <c r="K1155" s="3" t="str">
        <f>IF(I1155="UPI",L1155,"")</f>
        <v/>
      </c>
      <c r="L1155" s="3" t="str">
        <f>IF(E1155&lt;&gt;"",E1155-G1155-H1155,"")</f>
        <v/>
      </c>
    </row>
    <row r="1156" spans="2:12" ht="15">
      <c r="B1156"/>
      <c r="C1156"/>
      <c r="D1156"/>
      <c r="E1156"/>
      <c r="F1156" s="3"/>
      <c r="G1156" s="3" t="str">
        <f>IF(E1156&lt;&gt;"", E1156*10%, "")</f>
        <v/>
      </c>
      <c r="H1156" s="3" t="str">
        <f>IF(E1156&lt;&gt;"",ROUND(IF(E1156&gt;1500,E1156*5%,),0),"")</f>
        <v/>
      </c>
      <c r="J1156" s="3" t="str">
        <f>IF(I1156="Cash",L1156,"")</f>
        <v/>
      </c>
      <c r="K1156" s="3" t="str">
        <f>IF(I1156="UPI",L1156,"")</f>
        <v/>
      </c>
      <c r="L1156" s="3" t="str">
        <f>IF(E1156&lt;&gt;"",E1156-G1156-H1156,"")</f>
        <v/>
      </c>
    </row>
    <row r="1157" spans="2:12">
      <c r="F1157" s="3"/>
      <c r="G1157" s="3"/>
      <c r="H1157" s="3"/>
      <c r="J1157" s="3" t="str">
        <f>IF(I1157="Cash",L1157,"")</f>
        <v/>
      </c>
      <c r="K1157" s="3" t="str">
        <f>IF(I1157="UPI",L1157,"")</f>
        <v/>
      </c>
      <c r="L1157" s="3"/>
    </row>
    <row r="1158" spans="2:12">
      <c r="F1158" s="3"/>
      <c r="G1158" s="3" t="str">
        <f>IF(E1157&lt;&gt;"", E1157*10%, "")</f>
        <v/>
      </c>
      <c r="H1158" s="3" t="str">
        <f>IF(E1157&lt;&gt;"",ROUND(IF(E1157&gt;1500,E1157*5%,),0),"")</f>
        <v/>
      </c>
      <c r="J1158" s="3" t="str">
        <f>IF(I1158="Cash",L1158,"")</f>
        <v/>
      </c>
      <c r="K1158" s="3" t="str">
        <f>IF(I1158="UPI",L1158,"")</f>
        <v/>
      </c>
      <c r="L1158" s="3" t="str">
        <f>IF(E1157&lt;&gt;"",E1157-G1158-H1158,"")</f>
        <v/>
      </c>
    </row>
    <row r="1159" spans="2:12">
      <c r="F1159" s="3"/>
      <c r="G1159" s="3" t="str">
        <f>IF(E1158&lt;&gt;"", E1158*10%, "")</f>
        <v/>
      </c>
      <c r="H1159" s="3" t="str">
        <f>IF(E1158&lt;&gt;"",ROUND(IF(E1158&gt;1500,E1158*5%,),0),"")</f>
        <v/>
      </c>
      <c r="J1159" s="3" t="str">
        <f>IF(I1159="Cash",L1159,"")</f>
        <v/>
      </c>
      <c r="K1159" s="3" t="str">
        <f>IF(I1159="UPI",L1159,"")</f>
        <v/>
      </c>
      <c r="L1159" s="3" t="str">
        <f>IF(E1158&lt;&gt;"",E1158-G1159-H1159,"")</f>
        <v/>
      </c>
    </row>
    <row r="1160" spans="2:12">
      <c r="F1160" s="3"/>
      <c r="G1160" s="3" t="str">
        <f>IF(E1159&lt;&gt;"", E1159*10%, "")</f>
        <v/>
      </c>
      <c r="H1160" s="3" t="str">
        <f>IF(E1159&lt;&gt;"",ROUND(IF(E1159&gt;1500,E1159*5%,),0),"")</f>
        <v/>
      </c>
      <c r="J1160" s="3" t="str">
        <f>IF(I1160="Cash",L1160,"")</f>
        <v/>
      </c>
      <c r="K1160" s="3" t="str">
        <f>IF(I1160="UPI",L1160,"")</f>
        <v/>
      </c>
      <c r="L1160" s="3" t="str">
        <f>IF(E1159&lt;&gt;"",E1159-G1160-H1160,"")</f>
        <v/>
      </c>
    </row>
    <row r="1161" spans="2:12">
      <c r="F1161" s="3"/>
      <c r="G1161" s="3" t="str">
        <f>IF(E1160&lt;&gt;"", E1160*10%, "")</f>
        <v/>
      </c>
      <c r="H1161" s="3" t="str">
        <f>IF(E1160&lt;&gt;"",ROUND(IF(E1160&gt;1500,E1160*5%,),0),"")</f>
        <v/>
      </c>
      <c r="J1161" s="3" t="str">
        <f>IF(I1161="Cash",L1161,"")</f>
        <v/>
      </c>
      <c r="K1161" s="3" t="str">
        <f>IF(I1161="UPI",L1161,"")</f>
        <v/>
      </c>
      <c r="L1161" s="3" t="str">
        <f>IF(E1160&lt;&gt;"",E1160-G1161-H1161,"")</f>
        <v/>
      </c>
    </row>
    <row r="1162" spans="2:12">
      <c r="F1162" s="3"/>
      <c r="G1162" s="3" t="str">
        <f>IF(E1161&lt;&gt;"", E1161*10%, "")</f>
        <v/>
      </c>
      <c r="H1162" s="3" t="str">
        <f>IF(E1161&lt;&gt;"",ROUND(IF(E1161&gt;1500,E1161*5%,),0),"")</f>
        <v/>
      </c>
      <c r="J1162" s="3" t="str">
        <f>IF(I1162="Cash",L1162,"")</f>
        <v/>
      </c>
      <c r="K1162" s="3" t="str">
        <f>IF(I1162="UPI",L1162,"")</f>
        <v/>
      </c>
      <c r="L1162" s="3" t="str">
        <f>IF(E1161&lt;&gt;"",E1161-G1162-H1162,"")</f>
        <v/>
      </c>
    </row>
    <row r="1163" spans="2:12">
      <c r="F1163" s="3"/>
      <c r="G1163" s="3" t="str">
        <f>IF(E1162&lt;&gt;"", E1162*10%, "")</f>
        <v/>
      </c>
      <c r="H1163" s="3" t="str">
        <f>IF(E1162&lt;&gt;"",ROUND(IF(E1162&gt;1500,E1162*5%,),0),"")</f>
        <v/>
      </c>
      <c r="J1163" s="3" t="str">
        <f>IF(I1163="Cash",L1163,"")</f>
        <v/>
      </c>
      <c r="K1163" s="3" t="str">
        <f>IF(I1163="UPI",L1163,"")</f>
        <v/>
      </c>
      <c r="L1163" s="3" t="str">
        <f>IF(E1162&lt;&gt;"",E1162-G1163-H1163,"")</f>
        <v/>
      </c>
    </row>
    <row r="1164" spans="2:12">
      <c r="F1164" s="3"/>
      <c r="G1164" s="3" t="str">
        <f>IF(E1163&lt;&gt;"", E1163*10%, "")</f>
        <v/>
      </c>
      <c r="H1164" s="3" t="str">
        <f>IF(E1163&lt;&gt;"",ROUND(IF(E1163&gt;1500,E1163*5%,),0),"")</f>
        <v/>
      </c>
      <c r="J1164" s="3" t="str">
        <f>IF(I1164="Cash",L1164,"")</f>
        <v/>
      </c>
      <c r="K1164" s="3" t="str">
        <f>IF(I1164="UPI",L1164,"")</f>
        <v/>
      </c>
      <c r="L1164" s="3" t="str">
        <f>IF(E1163&lt;&gt;"",E1163-G1164-H1164,"")</f>
        <v/>
      </c>
    </row>
    <row r="1165" spans="2:12">
      <c r="F1165" s="3"/>
      <c r="G1165" s="3" t="str">
        <f>IF(E1164&lt;&gt;"", E1164*10%, "")</f>
        <v/>
      </c>
      <c r="H1165" s="3" t="str">
        <f>IF(E1164&lt;&gt;"",ROUND(IF(E1164&gt;1500,E1164*5%,),0),"")</f>
        <v/>
      </c>
      <c r="J1165" s="3" t="str">
        <f>IF(I1165="Cash",L1165,"")</f>
        <v/>
      </c>
      <c r="K1165" s="3" t="str">
        <f>IF(I1165="UPI",L1165,"")</f>
        <v/>
      </c>
      <c r="L1165" s="3" t="str">
        <f>IF(E1164&lt;&gt;"",E1164-G1165-H1165,"")</f>
        <v/>
      </c>
    </row>
    <row r="1166" spans="2:12">
      <c r="F1166" s="3"/>
      <c r="G1166" s="3" t="str">
        <f>IF(E1165&lt;&gt;"", E1165*10%, "")</f>
        <v/>
      </c>
      <c r="H1166" s="3" t="str">
        <f>IF(E1165&lt;&gt;"",ROUND(IF(E1165&gt;1500,E1165*5%,),0),"")</f>
        <v/>
      </c>
      <c r="J1166" s="3" t="str">
        <f>IF(I1166="Cash",L1166,"")</f>
        <v/>
      </c>
      <c r="K1166" s="3" t="str">
        <f>IF(I1166="UPI",L1166,"")</f>
        <v/>
      </c>
      <c r="L1166" s="3" t="str">
        <f>IF(E1165&lt;&gt;"",E1165-G1166-H1166,"")</f>
        <v/>
      </c>
    </row>
    <row r="1167" spans="2:12">
      <c r="F1167" s="3"/>
      <c r="G1167" s="3" t="str">
        <f>IF(E1166&lt;&gt;"", E1166*10%, "")</f>
        <v/>
      </c>
      <c r="H1167" s="3" t="str">
        <f>IF(E1166&lt;&gt;"",ROUND(IF(E1166&gt;1500,E1166*5%,),0),"")</f>
        <v/>
      </c>
      <c r="J1167" s="3" t="str">
        <f>IF(I1167="Cash",L1167,"")</f>
        <v/>
      </c>
      <c r="K1167" s="3" t="str">
        <f>IF(I1167="UPI",L1167,"")</f>
        <v/>
      </c>
      <c r="L1167" s="3" t="str">
        <f>IF(E1166&lt;&gt;"",E1166-G1167-H1167,"")</f>
        <v/>
      </c>
    </row>
    <row r="1168" spans="2:12">
      <c r="F1168" s="3"/>
      <c r="G1168" s="3" t="str">
        <f>IF(E1167&lt;&gt;"", E1167*10%, "")</f>
        <v/>
      </c>
      <c r="H1168" s="3" t="str">
        <f>IF(E1167&lt;&gt;"",ROUND(IF(E1167&gt;1500,E1167*5%,),0),"")</f>
        <v/>
      </c>
      <c r="J1168" s="3" t="str">
        <f>IF(I1168="Cash",L1168,"")</f>
        <v/>
      </c>
      <c r="K1168" s="3" t="str">
        <f>IF(I1168="UPI",L1168,"")</f>
        <v/>
      </c>
      <c r="L1168" s="3" t="str">
        <f>IF(E1167&lt;&gt;"",E1167-G1168-H1168,"")</f>
        <v/>
      </c>
    </row>
    <row r="1169" spans="6:12">
      <c r="F1169" s="3"/>
      <c r="G1169" s="3" t="str">
        <f>IF(E1168&lt;&gt;"", E1168*10%, "")</f>
        <v/>
      </c>
      <c r="H1169" s="3" t="str">
        <f>IF(E1168&lt;&gt;"",ROUND(IF(E1168&gt;1500,E1168*5%,),0),"")</f>
        <v/>
      </c>
      <c r="J1169" s="3" t="str">
        <f>IF(I1169="Cash",L1169,"")</f>
        <v/>
      </c>
      <c r="K1169" s="3" t="str">
        <f>IF(I1169="UPI",L1169,"")</f>
        <v/>
      </c>
      <c r="L1169" s="3" t="str">
        <f>IF(E1168&lt;&gt;"",E1168-G1169-H1169,"")</f>
        <v/>
      </c>
    </row>
    <row r="1170" spans="6:12">
      <c r="F1170" s="3"/>
      <c r="G1170" s="3" t="str">
        <f>IF(E1169&lt;&gt;"", E1169*10%, "")</f>
        <v/>
      </c>
      <c r="H1170" s="3" t="str">
        <f>IF(E1169&lt;&gt;"",ROUND(IF(E1169&gt;1500,E1169*5%,),0),"")</f>
        <v/>
      </c>
      <c r="J1170" s="3" t="str">
        <f>IF(I1170="Cash",L1170,"")</f>
        <v/>
      </c>
      <c r="K1170" s="3" t="str">
        <f>IF(I1170="UPI",L1170,"")</f>
        <v/>
      </c>
      <c r="L1170" s="3" t="str">
        <f>IF(E1169&lt;&gt;"",E1169-G1170-H1170,"")</f>
        <v/>
      </c>
    </row>
    <row r="1171" spans="6:12">
      <c r="F1171" s="3"/>
      <c r="G1171" s="3" t="str">
        <f>IF(E1170&lt;&gt;"", E1170*10%, "")</f>
        <v/>
      </c>
      <c r="H1171" s="3" t="str">
        <f>IF(E1170&lt;&gt;"",ROUND(IF(E1170&gt;1500,E1170*5%,),0),"")</f>
        <v/>
      </c>
      <c r="J1171" s="3" t="str">
        <f>IF(I1171="Cash",L1171,"")</f>
        <v/>
      </c>
      <c r="K1171" s="3" t="str">
        <f>IF(I1171="UPI",L1171,"")</f>
        <v/>
      </c>
      <c r="L1171" s="3" t="str">
        <f>IF(E1170&lt;&gt;"",E1170-G1171-H1171,"")</f>
        <v/>
      </c>
    </row>
    <row r="1172" spans="6:12">
      <c r="F1172" s="3"/>
      <c r="G1172" s="3" t="str">
        <f>IF(E1171&lt;&gt;"", E1171*10%, "")</f>
        <v/>
      </c>
      <c r="H1172" s="3" t="str">
        <f>IF(E1171&lt;&gt;"",ROUND(IF(E1171&gt;1500,E1171*5%,),0),"")</f>
        <v/>
      </c>
      <c r="J1172" s="3" t="str">
        <f>IF(I1172="Cash",L1172,"")</f>
        <v/>
      </c>
      <c r="K1172" s="3" t="str">
        <f>IF(I1172="UPI",L1172,"")</f>
        <v/>
      </c>
      <c r="L1172" s="3" t="str">
        <f>IF(E1171&lt;&gt;"",E1171-G1172-H1172,"")</f>
        <v/>
      </c>
    </row>
    <row r="1173" spans="6:12">
      <c r="F1173" s="3"/>
      <c r="G1173" s="3" t="str">
        <f>IF(E1172&lt;&gt;"", E1172*10%, "")</f>
        <v/>
      </c>
      <c r="H1173" s="3" t="str">
        <f>IF(E1172&lt;&gt;"",ROUND(IF(E1172&gt;1500,E1172*5%,),0),"")</f>
        <v/>
      </c>
      <c r="J1173" s="3" t="str">
        <f>IF(I1173="Cash",L1173,"")</f>
        <v/>
      </c>
      <c r="K1173" s="3" t="str">
        <f>IF(I1173="UPI",L1173,"")</f>
        <v/>
      </c>
      <c r="L1173" s="3" t="str">
        <f>IF(E1172&lt;&gt;"",E1172-G1173-H1173,"")</f>
        <v/>
      </c>
    </row>
    <row r="1174" spans="6:12">
      <c r="F1174" s="3"/>
      <c r="G1174" s="3" t="str">
        <f>IF(E1173&lt;&gt;"", E1173*10%, "")</f>
        <v/>
      </c>
      <c r="H1174" s="3" t="str">
        <f>IF(E1173&lt;&gt;"",ROUND(IF(E1173&gt;1500,E1173*5%,),0),"")</f>
        <v/>
      </c>
      <c r="J1174" s="3" t="str">
        <f>IF(I1174="Cash",L1174,"")</f>
        <v/>
      </c>
      <c r="K1174" s="3" t="str">
        <f>IF(I1174="UPI",L1174,"")</f>
        <v/>
      </c>
      <c r="L1174" s="3" t="str">
        <f>IF(E1173&lt;&gt;"",E1173-G1174-H1174,"")</f>
        <v/>
      </c>
    </row>
    <row r="1175" spans="6:12">
      <c r="F1175" s="3"/>
      <c r="G1175" s="3" t="str">
        <f>IF(E1174&lt;&gt;"", E1174*10%, "")</f>
        <v/>
      </c>
      <c r="H1175" s="3" t="str">
        <f>IF(E1174&lt;&gt;"",ROUND(IF(E1174&gt;1500,E1174*5%,),0),"")</f>
        <v/>
      </c>
      <c r="J1175" s="3" t="str">
        <f>IF(I1175="Cash",L1175,"")</f>
        <v/>
      </c>
      <c r="K1175" s="3" t="str">
        <f>IF(I1175="UPI",L1175,"")</f>
        <v/>
      </c>
      <c r="L1175" s="3" t="str">
        <f>IF(E1174&lt;&gt;"",E1174-G1175-H1175,"")</f>
        <v/>
      </c>
    </row>
    <row r="1176" spans="6:12">
      <c r="F1176" s="3"/>
      <c r="G1176" s="3" t="str">
        <f>IF(E1175&lt;&gt;"", E1175*10%, "")</f>
        <v/>
      </c>
      <c r="H1176" s="3" t="str">
        <f>IF(E1175&lt;&gt;"",ROUND(IF(E1175&gt;1500,E1175*5%,),0),"")</f>
        <v/>
      </c>
      <c r="J1176" s="3" t="str">
        <f>IF(I1176="Cash",L1176,"")</f>
        <v/>
      </c>
      <c r="K1176" s="3" t="str">
        <f>IF(I1176="UPI",L1176,"")</f>
        <v/>
      </c>
      <c r="L1176" s="3" t="str">
        <f>IF(E1175&lt;&gt;"",E1175-G1176-H1176,"")</f>
        <v/>
      </c>
    </row>
    <row r="1177" spans="6:12">
      <c r="F1177" s="3"/>
      <c r="G1177" s="3" t="str">
        <f>IF(E1176&lt;&gt;"", E1176*10%, "")</f>
        <v/>
      </c>
      <c r="H1177" s="3" t="str">
        <f>IF(E1176&lt;&gt;"",ROUND(IF(E1176&gt;1500,E1176*5%,),0),"")</f>
        <v/>
      </c>
      <c r="J1177" s="3" t="str">
        <f>IF(I1177="Cash",L1177,"")</f>
        <v/>
      </c>
      <c r="K1177" s="3" t="str">
        <f>IF(I1177="UPI",L1177,"")</f>
        <v/>
      </c>
      <c r="L1177" s="3" t="str">
        <f>IF(E1176&lt;&gt;"",E1176-G1177-H1177,"")</f>
        <v/>
      </c>
    </row>
    <row r="1178" spans="6:12">
      <c r="F1178" s="3"/>
      <c r="G1178" s="3" t="str">
        <f>IF(E1177&lt;&gt;"", E1177*10%, "")</f>
        <v/>
      </c>
      <c r="H1178" s="3" t="str">
        <f>IF(E1177&lt;&gt;"",ROUND(IF(E1177&gt;1500,E1177*5%,),0),"")</f>
        <v/>
      </c>
      <c r="J1178" s="3" t="str">
        <f>IF(I1178="Cash",L1178,"")</f>
        <v/>
      </c>
      <c r="K1178" s="3" t="str">
        <f>IF(I1178="UPI",L1178,"")</f>
        <v/>
      </c>
      <c r="L1178" s="3" t="str">
        <f>IF(E1177&lt;&gt;"",E1177-G1178-H1178,"")</f>
        <v/>
      </c>
    </row>
    <row r="1179" spans="6:12">
      <c r="F1179" s="3"/>
      <c r="G1179" s="3" t="str">
        <f>IF(E1178&lt;&gt;"", E1178*10%, "")</f>
        <v/>
      </c>
      <c r="H1179" s="3" t="str">
        <f>IF(E1178&lt;&gt;"",ROUND(IF(E1178&gt;1500,E1178*5%,),0),"")</f>
        <v/>
      </c>
      <c r="J1179" s="3" t="str">
        <f>IF(I1179="Cash",L1179,"")</f>
        <v/>
      </c>
      <c r="K1179" s="3" t="str">
        <f>IF(I1179="UPI",L1179,"")</f>
        <v/>
      </c>
      <c r="L1179" s="3" t="str">
        <f>IF(E1178&lt;&gt;"",E1178-G1179-H1179,"")</f>
        <v/>
      </c>
    </row>
    <row r="1180" spans="6:12">
      <c r="F1180" s="3"/>
      <c r="G1180" s="3" t="str">
        <f>IF(E1179&lt;&gt;"", E1179*10%, "")</f>
        <v/>
      </c>
      <c r="H1180" s="3" t="str">
        <f>IF(E1179&lt;&gt;"",ROUND(IF(E1179&gt;1500,E1179*5%,),0),"")</f>
        <v/>
      </c>
      <c r="J1180" s="3" t="str">
        <f>IF(I1180="Cash",L1180,"")</f>
        <v/>
      </c>
      <c r="K1180" s="3" t="str">
        <f>IF(I1180="UPI",L1180,"")</f>
        <v/>
      </c>
      <c r="L1180" s="3" t="str">
        <f>IF(E1179&lt;&gt;"",E1179-G1180-H1180,"")</f>
        <v/>
      </c>
    </row>
    <row r="1181" spans="6:12">
      <c r="F1181" s="3"/>
      <c r="G1181" s="3" t="str">
        <f>IF(E1180&lt;&gt;"", E1180*10%, "")</f>
        <v/>
      </c>
      <c r="H1181" s="3" t="str">
        <f>IF(E1180&lt;&gt;"",ROUND(IF(E1180&gt;1500,E1180*5%,),0),"")</f>
        <v/>
      </c>
      <c r="J1181" s="3" t="str">
        <f>IF(I1181="Cash",L1181,"")</f>
        <v/>
      </c>
      <c r="K1181" s="3" t="str">
        <f>IF(I1181="UPI",L1181,"")</f>
        <v/>
      </c>
      <c r="L1181" s="3" t="str">
        <f>IF(E1180&lt;&gt;"",E1180-G1181-H1181,"")</f>
        <v/>
      </c>
    </row>
    <row r="1182" spans="6:12">
      <c r="F1182" s="3"/>
      <c r="G1182" s="3" t="str">
        <f>IF(E1181&lt;&gt;"", E1181*10%, "")</f>
        <v/>
      </c>
      <c r="H1182" s="3" t="str">
        <f>IF(E1181&lt;&gt;"",ROUND(IF(E1181&gt;1500,E1181*5%,),0),"")</f>
        <v/>
      </c>
      <c r="J1182" s="3" t="str">
        <f>IF(I1182="Cash",L1182,"")</f>
        <v/>
      </c>
      <c r="K1182" s="3" t="str">
        <f>IF(I1182="UPI",L1182,"")</f>
        <v/>
      </c>
      <c r="L1182" s="3" t="str">
        <f>IF(E1181&lt;&gt;"",E1181-G1182-H1182,"")</f>
        <v/>
      </c>
    </row>
    <row r="1183" spans="6:12">
      <c r="F1183" s="3"/>
      <c r="G1183" s="3" t="str">
        <f>IF(E1182&lt;&gt;"", E1182*10%, "")</f>
        <v/>
      </c>
      <c r="H1183" s="3" t="str">
        <f>IF(E1182&lt;&gt;"",ROUND(IF(E1182&gt;1500,E1182*5%,),0),"")</f>
        <v/>
      </c>
      <c r="J1183" s="3" t="str">
        <f>IF(I1183="Cash",L1183,"")</f>
        <v/>
      </c>
      <c r="K1183" s="3" t="str">
        <f>IF(I1183="UPI",L1183,"")</f>
        <v/>
      </c>
      <c r="L1183" s="3" t="str">
        <f>IF(E1182&lt;&gt;"",E1182-G1183-H1183,"")</f>
        <v/>
      </c>
    </row>
    <row r="1184" spans="6:12">
      <c r="F1184" s="3"/>
      <c r="G1184" s="3" t="str">
        <f>IF(E1183&lt;&gt;"", E1183*10%, "")</f>
        <v/>
      </c>
      <c r="H1184" s="3" t="str">
        <f>IF(E1183&lt;&gt;"",ROUND(IF(E1183&gt;1500,E1183*5%,),0),"")</f>
        <v/>
      </c>
      <c r="J1184" s="3" t="str">
        <f>IF(I1184="Cash",L1184,"")</f>
        <v/>
      </c>
      <c r="K1184" s="3" t="str">
        <f>IF(I1184="UPI",L1184,"")</f>
        <v/>
      </c>
      <c r="L1184" s="3" t="str">
        <f>IF(E1183&lt;&gt;"",E1183-G1184-H1184,"")</f>
        <v/>
      </c>
    </row>
    <row r="1185" spans="6:12">
      <c r="F1185" s="3"/>
      <c r="G1185" s="3" t="str">
        <f>IF(E1184&lt;&gt;"", E1184*10%, "")</f>
        <v/>
      </c>
      <c r="H1185" s="3" t="str">
        <f>IF(E1184&lt;&gt;"",ROUND(IF(E1184&gt;1500,E1184*5%,),0),"")</f>
        <v/>
      </c>
      <c r="J1185" s="3" t="str">
        <f>IF(I1185="Cash",L1185,"")</f>
        <v/>
      </c>
      <c r="K1185" s="3" t="str">
        <f>IF(I1185="UPI",L1185,"")</f>
        <v/>
      </c>
      <c r="L1185" s="3" t="str">
        <f>IF(E1184&lt;&gt;"",E1184-G1185-H1185,"")</f>
        <v/>
      </c>
    </row>
    <row r="1186" spans="6:12">
      <c r="F1186" s="3"/>
      <c r="G1186" s="3" t="str">
        <f>IF(E1185&lt;&gt;"", E1185*10%, "")</f>
        <v/>
      </c>
      <c r="H1186" s="3" t="str">
        <f>IF(E1185&lt;&gt;"",ROUND(IF(E1185&gt;1500,E1185*5%,),0),"")</f>
        <v/>
      </c>
      <c r="J1186" s="3" t="str">
        <f>IF(I1186="Cash",L1186,"")</f>
        <v/>
      </c>
      <c r="K1186" s="3" t="str">
        <f>IF(I1186="UPI",L1186,"")</f>
        <v/>
      </c>
      <c r="L1186" s="3" t="str">
        <f>IF(E1185&lt;&gt;"",E1185-G1186-H1186,"")</f>
        <v/>
      </c>
    </row>
    <row r="1187" spans="6:12">
      <c r="F1187" s="3"/>
      <c r="G1187" s="3" t="str">
        <f>IF(E1186&lt;&gt;"", E1186*10%, "")</f>
        <v/>
      </c>
      <c r="H1187" s="3" t="str">
        <f>IF(E1186&lt;&gt;"",ROUND(IF(E1186&gt;1500,E1186*5%,),0),"")</f>
        <v/>
      </c>
      <c r="J1187" s="3" t="str">
        <f>IF(I1187="Cash",L1187,"")</f>
        <v/>
      </c>
      <c r="K1187" s="3" t="str">
        <f>IF(I1187="UPI",L1187,"")</f>
        <v/>
      </c>
      <c r="L1187" s="3" t="str">
        <f>IF(E1186&lt;&gt;"",E1186-G1187-H1187,"")</f>
        <v/>
      </c>
    </row>
    <row r="1188" spans="6:12">
      <c r="F1188" s="3"/>
      <c r="G1188" s="3" t="str">
        <f>IF(E1187&lt;&gt;"", E1187*10%, "")</f>
        <v/>
      </c>
      <c r="H1188" s="3" t="str">
        <f>IF(E1187&lt;&gt;"",ROUND(IF(E1187&gt;1500,E1187*5%,),0),"")</f>
        <v/>
      </c>
      <c r="J1188" s="3" t="str">
        <f>IF(I1188="Cash",L1188,"")</f>
        <v/>
      </c>
      <c r="K1188" s="3" t="str">
        <f>IF(I1188="UPI",L1188,"")</f>
        <v/>
      </c>
      <c r="L1188" s="3" t="str">
        <f>IF(E1187&lt;&gt;"",E1187-G1188-H1188,"")</f>
        <v/>
      </c>
    </row>
    <row r="1189" spans="6:12">
      <c r="F1189" s="3"/>
      <c r="G1189" s="3" t="str">
        <f>IF(E1188&lt;&gt;"", E1188*10%, "")</f>
        <v/>
      </c>
      <c r="H1189" s="3" t="str">
        <f>IF(E1188&lt;&gt;"",ROUND(IF(E1188&gt;1500,E1188*5%,),0),"")</f>
        <v/>
      </c>
      <c r="J1189" s="3" t="str">
        <f>IF(I1189="Cash",L1189,"")</f>
        <v/>
      </c>
      <c r="K1189" s="3" t="str">
        <f>IF(I1189="UPI",L1189,"")</f>
        <v/>
      </c>
      <c r="L1189" s="3" t="str">
        <f>IF(E1188&lt;&gt;"",E1188-G1189-H1189,"")</f>
        <v/>
      </c>
    </row>
    <row r="1190" spans="6:12">
      <c r="F1190" s="3"/>
      <c r="G1190" s="3" t="str">
        <f>IF(E1189&lt;&gt;"", E1189*10%, "")</f>
        <v/>
      </c>
      <c r="H1190" s="3" t="str">
        <f>IF(E1189&lt;&gt;"",ROUND(IF(E1189&gt;1500,E1189*5%,),0),"")</f>
        <v/>
      </c>
      <c r="J1190" s="3" t="str">
        <f>IF(I1190="Cash",L1190,"")</f>
        <v/>
      </c>
      <c r="K1190" s="3" t="str">
        <f>IF(I1190="UPI",L1190,"")</f>
        <v/>
      </c>
      <c r="L1190" s="3" t="str">
        <f>IF(E1189&lt;&gt;"",E1189-G1190-H1190,"")</f>
        <v/>
      </c>
    </row>
    <row r="1191" spans="6:12">
      <c r="F1191" s="3"/>
      <c r="G1191" s="3" t="str">
        <f>IF(E1190&lt;&gt;"", E1190*10%, "")</f>
        <v/>
      </c>
      <c r="H1191" s="3" t="str">
        <f>IF(E1190&lt;&gt;"",ROUND(IF(E1190&gt;1500,E1190*5%,),0),"")</f>
        <v/>
      </c>
      <c r="J1191" s="3" t="str">
        <f>IF(I1191="Cash",L1191,"")</f>
        <v/>
      </c>
      <c r="K1191" s="3" t="str">
        <f>IF(I1191="UPI",L1191,"")</f>
        <v/>
      </c>
      <c r="L1191" s="3" t="str">
        <f>IF(E1190&lt;&gt;"",E1190-G1191-H1191,"")</f>
        <v/>
      </c>
    </row>
    <row r="1192" spans="6:12">
      <c r="F1192" s="3"/>
      <c r="G1192" s="3" t="str">
        <f>IF(E1191&lt;&gt;"", E1191*10%, "")</f>
        <v/>
      </c>
      <c r="H1192" s="3" t="str">
        <f>IF(E1191&lt;&gt;"",ROUND(IF(E1191&gt;1500,E1191*5%,),0),"")</f>
        <v/>
      </c>
      <c r="J1192" s="3" t="str">
        <f>IF(I1192="Cash",L1192,"")</f>
        <v/>
      </c>
      <c r="K1192" s="3" t="str">
        <f>IF(I1192="UPI",L1192,"")</f>
        <v/>
      </c>
      <c r="L1192" s="3" t="str">
        <f>IF(E1191&lt;&gt;"",E1191-G1192-H1192,"")</f>
        <v/>
      </c>
    </row>
    <row r="1193" spans="6:12">
      <c r="F1193" s="3"/>
      <c r="G1193" s="3" t="str">
        <f>IF(E1192&lt;&gt;"", E1192*10%, "")</f>
        <v/>
      </c>
      <c r="H1193" s="3" t="str">
        <f>IF(E1192&lt;&gt;"",ROUND(IF(E1192&gt;1500,E1192*5%,),0),"")</f>
        <v/>
      </c>
      <c r="J1193" s="3" t="str">
        <f>IF(I1193="Cash",L1193,"")</f>
        <v/>
      </c>
      <c r="K1193" s="3" t="str">
        <f>IF(I1193="UPI",L1193,"")</f>
        <v/>
      </c>
      <c r="L1193" s="3" t="str">
        <f>IF(E1192&lt;&gt;"",E1192-G1193-H1193,"")</f>
        <v/>
      </c>
    </row>
    <row r="1194" spans="6:12">
      <c r="F1194" s="3"/>
      <c r="G1194" s="3" t="str">
        <f>IF(E1193&lt;&gt;"", E1193*10%, "")</f>
        <v/>
      </c>
      <c r="H1194" s="3" t="str">
        <f>IF(E1193&lt;&gt;"",ROUND(IF(E1193&gt;1500,E1193*5%,),0),"")</f>
        <v/>
      </c>
      <c r="J1194" s="3" t="str">
        <f>IF(I1194="Cash",L1194,"")</f>
        <v/>
      </c>
      <c r="K1194" s="3" t="str">
        <f>IF(I1194="UPI",L1194,"")</f>
        <v/>
      </c>
      <c r="L1194" s="3" t="str">
        <f>IF(E1193&lt;&gt;"",E1193-G1194-H1194,"")</f>
        <v/>
      </c>
    </row>
    <row r="1195" spans="6:12">
      <c r="F1195" s="3"/>
      <c r="G1195" s="3" t="str">
        <f>IF(E1194&lt;&gt;"", E1194*10%, "")</f>
        <v/>
      </c>
      <c r="H1195" s="3" t="str">
        <f>IF(E1194&lt;&gt;"",ROUND(IF(E1194&gt;1500,E1194*5%,),0),"")</f>
        <v/>
      </c>
      <c r="J1195" s="3" t="str">
        <f>IF(I1195="Cash",L1195,"")</f>
        <v/>
      </c>
      <c r="K1195" s="3" t="str">
        <f>IF(I1195="UPI",L1195,"")</f>
        <v/>
      </c>
      <c r="L1195" s="3" t="str">
        <f>IF(E1194&lt;&gt;"",E1194-G1195-H1195,"")</f>
        <v/>
      </c>
    </row>
    <row r="1196" spans="6:12">
      <c r="F1196" s="3"/>
      <c r="G1196" s="3" t="str">
        <f>IF(E1195&lt;&gt;"", E1195*10%, "")</f>
        <v/>
      </c>
      <c r="H1196" s="3" t="str">
        <f>IF(E1195&lt;&gt;"",ROUND(IF(E1195&gt;1500,E1195*5%,),0),"")</f>
        <v/>
      </c>
      <c r="J1196" s="3" t="str">
        <f>IF(I1196="Cash",L1196,"")</f>
        <v/>
      </c>
      <c r="K1196" s="3" t="str">
        <f>IF(I1196="UPI",L1196,"")</f>
        <v/>
      </c>
      <c r="L1196" s="3" t="str">
        <f>IF(E1195&lt;&gt;"",E1195-G1196-H1196,"")</f>
        <v/>
      </c>
    </row>
    <row r="1197" spans="6:12">
      <c r="F1197" s="3"/>
      <c r="G1197" s="3" t="str">
        <f>IF(E1196&lt;&gt;"", E1196*10%, "")</f>
        <v/>
      </c>
      <c r="H1197" s="3" t="str">
        <f>IF(E1196&lt;&gt;"",ROUND(IF(E1196&gt;1500,E1196*5%,),0),"")</f>
        <v/>
      </c>
      <c r="J1197" s="3" t="str">
        <f>IF(I1197="Cash",L1197,"")</f>
        <v/>
      </c>
      <c r="K1197" s="3" t="str">
        <f>IF(I1197="UPI",L1197,"")</f>
        <v/>
      </c>
      <c r="L1197" s="3" t="str">
        <f>IF(E1196&lt;&gt;"",E1196-G1197-H1197,"")</f>
        <v/>
      </c>
    </row>
    <row r="1198" spans="6:12">
      <c r="F1198" s="3"/>
      <c r="G1198" s="3" t="str">
        <f>IF(E1197&lt;&gt;"", E1197*10%, "")</f>
        <v/>
      </c>
      <c r="H1198" s="3" t="str">
        <f>IF(E1197&lt;&gt;"",ROUND(IF(E1197&gt;1500,E1197*5%,),0),"")</f>
        <v/>
      </c>
      <c r="J1198" s="3" t="str">
        <f>IF(I1198="Cash",L1198,"")</f>
        <v/>
      </c>
      <c r="K1198" s="3" t="str">
        <f>IF(I1198="UPI",L1198,"")</f>
        <v/>
      </c>
      <c r="L1198" s="3" t="str">
        <f>IF(E1197&lt;&gt;"",E1197-G1198-H1198,"")</f>
        <v/>
      </c>
    </row>
    <row r="1199" spans="6:12">
      <c r="F1199" s="3"/>
      <c r="G1199" s="3" t="str">
        <f>IF(E1198&lt;&gt;"", E1198*10%, "")</f>
        <v/>
      </c>
      <c r="H1199" s="3" t="str">
        <f>IF(E1198&lt;&gt;"",ROUND(IF(E1198&gt;1500,E1198*5%,),0),"")</f>
        <v/>
      </c>
      <c r="J1199" s="3" t="str">
        <f>IF(I1199="Cash",L1199,"")</f>
        <v/>
      </c>
      <c r="K1199" s="3" t="str">
        <f>IF(I1199="UPI",L1199,"")</f>
        <v/>
      </c>
      <c r="L1199" s="3" t="str">
        <f>IF(E1198&lt;&gt;"",E1198-G1199-H1199,"")</f>
        <v/>
      </c>
    </row>
    <row r="1200" spans="6:12">
      <c r="F1200" s="3"/>
      <c r="G1200" s="3" t="str">
        <f>IF(E1199&lt;&gt;"", E1199*10%, "")</f>
        <v/>
      </c>
      <c r="H1200" s="3" t="str">
        <f>IF(E1199&lt;&gt;"",ROUND(IF(E1199&gt;1500,E1199*5%,),0),"")</f>
        <v/>
      </c>
      <c r="J1200" s="3" t="str">
        <f>IF(I1200="Cash",L1200,"")</f>
        <v/>
      </c>
      <c r="K1200" s="3" t="str">
        <f>IF(I1200="UPI",L1200,"")</f>
        <v/>
      </c>
      <c r="L1200" s="3" t="str">
        <f>IF(E1199&lt;&gt;"",E1199-G1200-H1200,"")</f>
        <v/>
      </c>
    </row>
    <row r="1201" spans="6:12">
      <c r="F1201" s="3"/>
      <c r="G1201" s="3" t="str">
        <f>IF(E1200&lt;&gt;"", E1200*10%, "")</f>
        <v/>
      </c>
      <c r="H1201" s="3" t="str">
        <f>IF(E1200&lt;&gt;"",ROUND(IF(E1200&gt;1500,E1200*5%,),0),"")</f>
        <v/>
      </c>
      <c r="J1201" s="3" t="str">
        <f>IF(I1201="Cash",L1201,"")</f>
        <v/>
      </c>
      <c r="K1201" s="3" t="str">
        <f>IF(I1201="UPI",L1201,"")</f>
        <v/>
      </c>
      <c r="L1201" s="3" t="str">
        <f>IF(E1200&lt;&gt;"",E1200-G1201-H1201,"")</f>
        <v/>
      </c>
    </row>
  </sheetData>
  <mergeCells count="1">
    <mergeCell ref="C1:G1"/>
  </mergeCells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E6B68F-77BA-4342-946B-7092A81D8C53}">
          <x14:formula1>
            <xm:f>Helper!$B$4:$B$6</xm:f>
          </x14:formula1>
          <xm:sqref>I4:I1201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BE7C-43B1-4FAB-B173-96AC6A71397D}">
  <dimension ref="A1:L44"/>
  <sheetViews>
    <sheetView workbookViewId="0">
      <selection activeCell="C1" sqref="C1:K1"/>
    </sheetView>
  </sheetViews>
  <sheetFormatPr defaultRowHeight="15" customHeight="1"/>
  <cols>
    <col min="1" max="1" width="4.42578125" style="2" customWidth="1"/>
    <col min="2" max="2" width="11.28515625" style="2" bestFit="1" customWidth="1"/>
    <col min="3" max="3" width="12.28515625" style="2" customWidth="1"/>
    <col min="4" max="4" width="10.5703125" style="2" bestFit="1" customWidth="1"/>
    <col min="5" max="5" width="17.85546875" style="2" bestFit="1" customWidth="1"/>
    <col min="6" max="6" width="6.7109375" style="2" bestFit="1" customWidth="1"/>
    <col min="7" max="7" width="10.42578125" style="2" bestFit="1" customWidth="1"/>
    <col min="8" max="8" width="11" style="2" bestFit="1" customWidth="1"/>
    <col min="9" max="9" width="15.42578125" style="2" bestFit="1" customWidth="1"/>
    <col min="10" max="11" width="9.140625" style="2"/>
    <col min="12" max="12" width="4.85546875" style="2" customWidth="1"/>
    <col min="13" max="16384" width="9.140625" style="2"/>
  </cols>
  <sheetData>
    <row r="1" spans="1:12" ht="82.5" customHeight="1">
      <c r="A1" s="14"/>
      <c r="B1" s="15"/>
      <c r="C1" s="46" t="s">
        <v>2929</v>
      </c>
      <c r="D1" s="46"/>
      <c r="E1" s="46"/>
      <c r="F1" s="46"/>
      <c r="G1" s="46"/>
      <c r="H1" s="46"/>
      <c r="I1" s="46"/>
      <c r="J1" s="46"/>
      <c r="K1" s="46"/>
      <c r="L1" s="32"/>
    </row>
    <row r="3" spans="1:12">
      <c r="B3" s="33" t="s">
        <v>2930</v>
      </c>
      <c r="C3" s="33" t="s">
        <v>2921</v>
      </c>
      <c r="D3" s="33" t="s">
        <v>2931</v>
      </c>
      <c r="E3" s="33" t="s">
        <v>1</v>
      </c>
      <c r="F3" s="33" t="s">
        <v>1766</v>
      </c>
      <c r="G3" s="33" t="s">
        <v>2932</v>
      </c>
      <c r="H3" s="33" t="s">
        <v>2933</v>
      </c>
      <c r="I3" s="33" t="s">
        <v>2934</v>
      </c>
    </row>
    <row r="4" spans="1:12" ht="14.25">
      <c r="B4" s="11" t="s">
        <v>2935</v>
      </c>
      <c r="C4" s="12">
        <v>45983</v>
      </c>
      <c r="D4" s="11" t="s">
        <v>2402</v>
      </c>
      <c r="E4" s="11" t="s">
        <v>846</v>
      </c>
      <c r="F4" s="13">
        <v>1</v>
      </c>
      <c r="G4" s="11" t="s">
        <v>2936</v>
      </c>
      <c r="H4" s="3" cm="1">
        <f t="array" ref="H4">INDEX(
  _xlfn._xlws.FILTER(
    Sales_Entry[Price],
    (Sales_Entry[Bill_No]=D4)*
    (Sales_Entry[Product_Code]=E4)
  ),
  1
)</f>
        <v>1080</v>
      </c>
      <c r="I4" s="3">
        <f>F4*H4</f>
        <v>1080</v>
      </c>
    </row>
    <row r="5" spans="1:12" ht="14.25">
      <c r="B5" s="11" t="s">
        <v>2937</v>
      </c>
      <c r="C5" s="12">
        <v>45992</v>
      </c>
      <c r="D5" s="11" t="s">
        <v>2459</v>
      </c>
      <c r="E5" s="11" t="s">
        <v>1549</v>
      </c>
      <c r="F5" s="13">
        <v>1</v>
      </c>
      <c r="G5" s="11" t="s">
        <v>2936</v>
      </c>
      <c r="H5" s="3" cm="1">
        <f t="array" ref="H5">INDEX(
  _xlfn._xlws.FILTER(
    Sales_Entry[Price],
    (Sales_Entry[Bill_No]=D5)*
    (Sales_Entry[Product_Code]=E5)
  ),
  1
)</f>
        <v>130</v>
      </c>
      <c r="I5" s="3">
        <f t="shared" ref="I5:I43" si="0">F5*H5</f>
        <v>130</v>
      </c>
    </row>
    <row r="6" spans="1:12" ht="14.25">
      <c r="B6" s="11" t="s">
        <v>2938</v>
      </c>
      <c r="C6" s="12">
        <v>45957</v>
      </c>
      <c r="D6" s="11" t="s">
        <v>2072</v>
      </c>
      <c r="E6" s="11" t="s">
        <v>50</v>
      </c>
      <c r="F6" s="13">
        <v>1</v>
      </c>
      <c r="G6" s="11" t="s">
        <v>2936</v>
      </c>
      <c r="H6" s="3" cm="1">
        <f t="array" ref="H6">INDEX(
  _xlfn._xlws.FILTER(
    Sales_Entry[Price],
    (Sales_Entry[Bill_No]=D6)*
    (Sales_Entry[Product_Code]=E6)
  ),
  1
)</f>
        <v>720</v>
      </c>
      <c r="I6" s="3">
        <f t="shared" si="0"/>
        <v>720</v>
      </c>
    </row>
    <row r="7" spans="1:12" ht="14.25">
      <c r="B7" s="11" t="s">
        <v>2939</v>
      </c>
      <c r="C7" s="12">
        <v>45990</v>
      </c>
      <c r="D7" s="11" t="s">
        <v>2452</v>
      </c>
      <c r="E7" s="11" t="s">
        <v>699</v>
      </c>
      <c r="F7" s="13">
        <v>1</v>
      </c>
      <c r="G7" s="11" t="s">
        <v>2940</v>
      </c>
      <c r="H7" s="3" cm="1">
        <f t="array" ref="H7">INDEX(
  _xlfn._xlws.FILTER(
    Sales_Entry[Price],
    (Sales_Entry[Bill_No]=D7)*
    (Sales_Entry[Product_Code]=E7)
  ),
  1
)</f>
        <v>560</v>
      </c>
      <c r="I7" s="3">
        <f t="shared" si="0"/>
        <v>560</v>
      </c>
    </row>
    <row r="8" spans="1:12" ht="14.25">
      <c r="B8" s="11" t="s">
        <v>2941</v>
      </c>
      <c r="C8" s="12">
        <v>45946</v>
      </c>
      <c r="D8" s="11" t="s">
        <v>1928</v>
      </c>
      <c r="E8" s="11" t="s">
        <v>869</v>
      </c>
      <c r="F8" s="13">
        <v>1</v>
      </c>
      <c r="G8" s="11" t="s">
        <v>2936</v>
      </c>
      <c r="H8" s="3" cm="1">
        <f t="array" ref="H8">INDEX(
  _xlfn._xlws.FILTER(
    Sales_Entry[Price],
    (Sales_Entry[Bill_No]=D8)*
    (Sales_Entry[Product_Code]=E8)
  ),
  1
)</f>
        <v>820</v>
      </c>
      <c r="I8" s="3">
        <f t="shared" si="0"/>
        <v>820</v>
      </c>
    </row>
    <row r="9" spans="1:12" ht="14.25">
      <c r="B9" s="11" t="s">
        <v>2942</v>
      </c>
      <c r="C9" s="12">
        <v>45950</v>
      </c>
      <c r="D9" s="11" t="s">
        <v>1936</v>
      </c>
      <c r="E9" s="11" t="s">
        <v>189</v>
      </c>
      <c r="F9" s="13">
        <v>1</v>
      </c>
      <c r="G9" s="11" t="s">
        <v>2936</v>
      </c>
      <c r="H9" s="3" cm="1">
        <f t="array" ref="H9">INDEX(
  _xlfn._xlws.FILTER(
    Sales_Entry[Price],
    (Sales_Entry[Bill_No]=D9)*
    (Sales_Entry[Product_Code]=E9)
  ),
  1
)</f>
        <v>780</v>
      </c>
      <c r="I9" s="3">
        <f t="shared" si="0"/>
        <v>780</v>
      </c>
    </row>
    <row r="10" spans="1:12" ht="14.25">
      <c r="B10" s="11" t="s">
        <v>2943</v>
      </c>
      <c r="C10" s="12">
        <v>46005</v>
      </c>
      <c r="D10" s="11" t="s">
        <v>2688</v>
      </c>
      <c r="E10" s="11" t="s">
        <v>1074</v>
      </c>
      <c r="F10" s="13">
        <v>1</v>
      </c>
      <c r="G10" s="11" t="s">
        <v>2936</v>
      </c>
      <c r="H10" s="3" cm="1">
        <f t="array" ref="H10">INDEX(
  _xlfn._xlws.FILTER(
    Sales_Entry[Price],
    (Sales_Entry[Bill_No]=D10)*
    (Sales_Entry[Product_Code]=E10)
  ),
  1
)</f>
        <v>940</v>
      </c>
      <c r="I10" s="3">
        <f t="shared" si="0"/>
        <v>940</v>
      </c>
    </row>
    <row r="11" spans="1:12" ht="14.25">
      <c r="B11" s="11" t="s">
        <v>2944</v>
      </c>
      <c r="C11" s="12">
        <v>46019</v>
      </c>
      <c r="D11" s="11" t="s">
        <v>2774</v>
      </c>
      <c r="E11" s="11" t="s">
        <v>1059</v>
      </c>
      <c r="F11" s="13">
        <v>1</v>
      </c>
      <c r="G11" s="11" t="s">
        <v>2936</v>
      </c>
      <c r="H11" s="3" cm="1">
        <f t="array" ref="H11">INDEX(
  _xlfn._xlws.FILTER(
    Sales_Entry[Price],
    (Sales_Entry[Bill_No]=D11)*
    (Sales_Entry[Product_Code]=E11)
  ),
  1
)</f>
        <v>900</v>
      </c>
      <c r="I11" s="3">
        <f t="shared" si="0"/>
        <v>900</v>
      </c>
    </row>
    <row r="12" spans="1:12" ht="14.25">
      <c r="B12" s="11" t="s">
        <v>2945</v>
      </c>
      <c r="C12" s="12">
        <v>46014</v>
      </c>
      <c r="D12" s="11" t="s">
        <v>2749</v>
      </c>
      <c r="E12" s="11" t="s">
        <v>1519</v>
      </c>
      <c r="F12" s="13">
        <v>1</v>
      </c>
      <c r="G12" s="11" t="s">
        <v>2936</v>
      </c>
      <c r="H12" s="3" cm="1">
        <f t="array" ref="H12">INDEX(
  _xlfn._xlws.FILTER(
    Sales_Entry[Price],
    (Sales_Entry[Bill_No]=D12)*
    (Sales_Entry[Product_Code]=E12)
  ),
  1
)</f>
        <v>190</v>
      </c>
      <c r="I12" s="3">
        <f t="shared" si="0"/>
        <v>190</v>
      </c>
    </row>
    <row r="13" spans="1:12" ht="14.25">
      <c r="B13" s="11" t="s">
        <v>2946</v>
      </c>
      <c r="C13" s="12">
        <v>46025</v>
      </c>
      <c r="D13" s="11" t="s">
        <v>2873</v>
      </c>
      <c r="E13" s="11" t="s">
        <v>504</v>
      </c>
      <c r="F13" s="13">
        <v>1</v>
      </c>
      <c r="G13" s="11" t="s">
        <v>2936</v>
      </c>
      <c r="H13" s="3" cm="1">
        <f t="array" ref="H13">INDEX(
  _xlfn._xlws.FILTER(
    Sales_Entry[Price],
    (Sales_Entry[Bill_No]=D13)*
    (Sales_Entry[Product_Code]=E13)
  ),
  1
)</f>
        <v>260</v>
      </c>
      <c r="I13" s="3">
        <f t="shared" si="0"/>
        <v>260</v>
      </c>
    </row>
    <row r="14" spans="1:12" ht="14.25">
      <c r="B14" s="11" t="s">
        <v>2947</v>
      </c>
      <c r="C14" s="12">
        <v>46016</v>
      </c>
      <c r="D14" s="11" t="s">
        <v>2810</v>
      </c>
      <c r="E14" s="11" t="s">
        <v>1086</v>
      </c>
      <c r="F14" s="13">
        <v>1</v>
      </c>
      <c r="G14" s="11" t="s">
        <v>2936</v>
      </c>
      <c r="H14" s="3" cm="1">
        <f t="array" ref="H14">INDEX(
  _xlfn._xlws.FILTER(
    Sales_Entry[Price],
    (Sales_Entry[Bill_No]=D14)*
    (Sales_Entry[Product_Code]=E14)
  ),
  1
)</f>
        <v>1040</v>
      </c>
      <c r="I14" s="3">
        <f t="shared" si="0"/>
        <v>1040</v>
      </c>
    </row>
    <row r="15" spans="1:12" ht="14.25">
      <c r="B15" s="11" t="s">
        <v>2948</v>
      </c>
      <c r="C15" s="12">
        <v>45979</v>
      </c>
      <c r="D15" s="11" t="s">
        <v>2334</v>
      </c>
      <c r="E15" s="11" t="s">
        <v>1136</v>
      </c>
      <c r="F15" s="13">
        <v>1</v>
      </c>
      <c r="G15" s="11" t="s">
        <v>2936</v>
      </c>
      <c r="H15" s="3" cm="1">
        <f t="array" ref="H15">INDEX(
  _xlfn._xlws.FILTER(
    Sales_Entry[Price],
    (Sales_Entry[Bill_No]=D15)*
    (Sales_Entry[Product_Code]=E15)
  ),
  1
)</f>
        <v>830</v>
      </c>
      <c r="I15" s="3">
        <f t="shared" si="0"/>
        <v>830</v>
      </c>
    </row>
    <row r="16" spans="1:12" ht="14.25">
      <c r="B16" s="11" t="s">
        <v>2949</v>
      </c>
      <c r="C16" s="12">
        <v>46022</v>
      </c>
      <c r="D16" s="11" t="s">
        <v>2894</v>
      </c>
      <c r="E16" s="11" t="s">
        <v>203</v>
      </c>
      <c r="F16" s="13">
        <v>1</v>
      </c>
      <c r="G16" s="11" t="s">
        <v>2936</v>
      </c>
      <c r="H16" s="3" cm="1">
        <f t="array" ref="H16">INDEX(
  _xlfn._xlws.FILTER(
    Sales_Entry[Price],
    (Sales_Entry[Bill_No]=D16)*
    (Sales_Entry[Product_Code]=E16)
  ),
  1
)</f>
        <v>720</v>
      </c>
      <c r="I16" s="3">
        <f t="shared" si="0"/>
        <v>720</v>
      </c>
    </row>
    <row r="17" spans="2:9" ht="14.25">
      <c r="B17" s="11" t="s">
        <v>2950</v>
      </c>
      <c r="C17" s="12">
        <v>45982</v>
      </c>
      <c r="D17" s="11" t="s">
        <v>2388</v>
      </c>
      <c r="E17" s="11" t="s">
        <v>188</v>
      </c>
      <c r="F17" s="13">
        <v>1</v>
      </c>
      <c r="G17" s="11" t="s">
        <v>2936</v>
      </c>
      <c r="H17" s="3" cm="1">
        <f t="array" ref="H17">INDEX(
  _xlfn._xlws.FILTER(
    Sales_Entry[Price],
    (Sales_Entry[Bill_No]=D17)*
    (Sales_Entry[Product_Code]=E17)
  ),
  1
)</f>
        <v>800</v>
      </c>
      <c r="I17" s="3">
        <f t="shared" si="0"/>
        <v>800</v>
      </c>
    </row>
    <row r="18" spans="2:9" ht="14.25">
      <c r="B18" s="11" t="s">
        <v>2951</v>
      </c>
      <c r="C18" s="12">
        <v>45948</v>
      </c>
      <c r="D18" s="11" t="s">
        <v>1919</v>
      </c>
      <c r="E18" s="11" t="s">
        <v>643</v>
      </c>
      <c r="F18" s="13">
        <v>1</v>
      </c>
      <c r="G18" s="11" t="s">
        <v>2936</v>
      </c>
      <c r="H18" s="3" cm="1">
        <f t="array" ref="H18">INDEX(
  _xlfn._xlws.FILTER(
    Sales_Entry[Price],
    (Sales_Entry[Bill_No]=D18)*
    (Sales_Entry[Product_Code]=E18)
  ),
  1
)</f>
        <v>700</v>
      </c>
      <c r="I18" s="3">
        <f t="shared" si="0"/>
        <v>700</v>
      </c>
    </row>
    <row r="19" spans="2:9" ht="14.25">
      <c r="B19" s="11" t="s">
        <v>2952</v>
      </c>
      <c r="C19" s="12">
        <v>45972</v>
      </c>
      <c r="D19" s="11" t="s">
        <v>2230</v>
      </c>
      <c r="E19" s="11" t="s">
        <v>527</v>
      </c>
      <c r="F19" s="13">
        <v>1</v>
      </c>
      <c r="G19" s="11" t="s">
        <v>2936</v>
      </c>
      <c r="H19" s="3" cm="1">
        <f t="array" ref="H19">INDEX(
  _xlfn._xlws.FILTER(
    Sales_Entry[Price],
    (Sales_Entry[Bill_No]=D19)*
    (Sales_Entry[Product_Code]=E19)
  ),
  1
)</f>
        <v>470</v>
      </c>
      <c r="I19" s="3">
        <f t="shared" si="0"/>
        <v>470</v>
      </c>
    </row>
    <row r="20" spans="2:9" ht="14.25">
      <c r="B20" s="11" t="s">
        <v>2953</v>
      </c>
      <c r="C20" s="12">
        <v>45957</v>
      </c>
      <c r="D20" s="11" t="s">
        <v>2040</v>
      </c>
      <c r="E20" s="11" t="s">
        <v>444</v>
      </c>
      <c r="F20" s="13">
        <v>1</v>
      </c>
      <c r="G20" s="11" t="s">
        <v>2936</v>
      </c>
      <c r="H20" s="3" cm="1">
        <f t="array" ref="H20">INDEX(
  _xlfn._xlws.FILTER(
    Sales_Entry[Price],
    (Sales_Entry[Bill_No]=D20)*
    (Sales_Entry[Product_Code]=E20)
  ),
  1
)</f>
        <v>250</v>
      </c>
      <c r="I20" s="3">
        <f t="shared" si="0"/>
        <v>250</v>
      </c>
    </row>
    <row r="21" spans="2:9" ht="14.25">
      <c r="B21" s="11" t="s">
        <v>2954</v>
      </c>
      <c r="C21" s="12">
        <v>45979</v>
      </c>
      <c r="D21" s="11" t="s">
        <v>2299</v>
      </c>
      <c r="E21" s="11" t="s">
        <v>673</v>
      </c>
      <c r="F21" s="13">
        <v>1</v>
      </c>
      <c r="G21" s="11" t="s">
        <v>2936</v>
      </c>
      <c r="H21" s="3" cm="1">
        <f t="array" ref="H21">INDEX(
  _xlfn._xlws.FILTER(
    Sales_Entry[Price],
    (Sales_Entry[Bill_No]=D21)*
    (Sales_Entry[Product_Code]=E21)
  ),
  1
)</f>
        <v>380</v>
      </c>
      <c r="I21" s="3">
        <f t="shared" si="0"/>
        <v>380</v>
      </c>
    </row>
    <row r="22" spans="2:9" ht="14.25">
      <c r="B22" s="11" t="s">
        <v>2955</v>
      </c>
      <c r="C22" s="12">
        <v>45948</v>
      </c>
      <c r="D22" s="11" t="s">
        <v>1953</v>
      </c>
      <c r="E22" s="11" t="s">
        <v>1046</v>
      </c>
      <c r="F22" s="13">
        <v>1</v>
      </c>
      <c r="G22" s="11" t="s">
        <v>2936</v>
      </c>
      <c r="H22" s="3" cm="1">
        <f t="array" ref="H22">INDEX(
  _xlfn._xlws.FILTER(
    Sales_Entry[Price],
    (Sales_Entry[Bill_No]=D22)*
    (Sales_Entry[Product_Code]=E22)
  ),
  1
)</f>
        <v>850</v>
      </c>
      <c r="I22" s="3">
        <f t="shared" si="0"/>
        <v>850</v>
      </c>
    </row>
    <row r="23" spans="2:9" ht="14.25">
      <c r="B23" s="11" t="s">
        <v>2956</v>
      </c>
      <c r="C23" s="12">
        <v>46009</v>
      </c>
      <c r="D23" s="11" t="s">
        <v>2688</v>
      </c>
      <c r="E23" s="11" t="s">
        <v>1247</v>
      </c>
      <c r="F23" s="13">
        <v>1</v>
      </c>
      <c r="G23" s="11" t="s">
        <v>2936</v>
      </c>
      <c r="H23" s="3" cm="1">
        <f t="array" ref="H23">INDEX(
  _xlfn._xlws.FILTER(
    Sales_Entry[Price],
    (Sales_Entry[Bill_No]=D23)*
    (Sales_Entry[Product_Code]=E23)
  ),
  1
)</f>
        <v>900</v>
      </c>
      <c r="I23" s="3">
        <f t="shared" si="0"/>
        <v>900</v>
      </c>
    </row>
    <row r="24" spans="2:9" ht="14.25">
      <c r="B24" s="11" t="s">
        <v>2957</v>
      </c>
      <c r="C24" s="12">
        <v>46003</v>
      </c>
      <c r="D24" s="11" t="s">
        <v>2651</v>
      </c>
      <c r="E24" s="11" t="s">
        <v>247</v>
      </c>
      <c r="F24" s="13">
        <v>1</v>
      </c>
      <c r="G24" s="11" t="s">
        <v>2936</v>
      </c>
      <c r="H24" s="3" cm="1">
        <f t="array" ref="H24">INDEX(
  _xlfn._xlws.FILTER(
    Sales_Entry[Price],
    (Sales_Entry[Bill_No]=D24)*
    (Sales_Entry[Product_Code]=E24)
  ),
  1
)</f>
        <v>750</v>
      </c>
      <c r="I24" s="3">
        <f t="shared" si="0"/>
        <v>750</v>
      </c>
    </row>
    <row r="25" spans="2:9" ht="14.25">
      <c r="B25" s="11" t="s">
        <v>2958</v>
      </c>
      <c r="C25" s="12">
        <v>46009</v>
      </c>
      <c r="D25" s="11" t="s">
        <v>2679</v>
      </c>
      <c r="E25" s="11" t="s">
        <v>1118</v>
      </c>
      <c r="F25" s="13">
        <v>1</v>
      </c>
      <c r="G25" s="11" t="s">
        <v>2940</v>
      </c>
      <c r="H25" s="3" cm="1">
        <f t="array" ref="H25">INDEX(
  _xlfn._xlws.FILTER(
    Sales_Entry[Price],
    (Sales_Entry[Bill_No]=D25)*
    (Sales_Entry[Product_Code]=E25)
  ),
  1
)</f>
        <v>880</v>
      </c>
      <c r="I25" s="3">
        <f t="shared" si="0"/>
        <v>880</v>
      </c>
    </row>
    <row r="26" spans="2:9" ht="14.25">
      <c r="B26" s="11" t="s">
        <v>2959</v>
      </c>
      <c r="C26" s="12">
        <v>45947</v>
      </c>
      <c r="D26" s="11" t="s">
        <v>1970</v>
      </c>
      <c r="E26" s="11" t="s">
        <v>1291</v>
      </c>
      <c r="F26" s="13">
        <v>1</v>
      </c>
      <c r="G26" s="11" t="s">
        <v>2936</v>
      </c>
      <c r="H26" s="3" cm="1">
        <f t="array" ref="H26">INDEX(
  _xlfn._xlws.FILTER(
    Sales_Entry[Price],
    (Sales_Entry[Bill_No]=D26)*
    (Sales_Entry[Product_Code]=E26)
  ),
  1
)</f>
        <v>840</v>
      </c>
      <c r="I26" s="3">
        <f t="shared" si="0"/>
        <v>840</v>
      </c>
    </row>
    <row r="27" spans="2:9" ht="14.25">
      <c r="B27" s="11" t="s">
        <v>2960</v>
      </c>
      <c r="C27" s="12">
        <v>46023</v>
      </c>
      <c r="D27" s="11" t="s">
        <v>2906</v>
      </c>
      <c r="E27" s="11" t="s">
        <v>1447</v>
      </c>
      <c r="F27" s="13">
        <v>1</v>
      </c>
      <c r="G27" s="11" t="s">
        <v>2936</v>
      </c>
      <c r="H27" s="3" cm="1">
        <f t="array" ref="H27">INDEX(
  _xlfn._xlws.FILTER(
    Sales_Entry[Price],
    (Sales_Entry[Bill_No]=D27)*
    (Sales_Entry[Product_Code]=E27)
  ),
  1
)</f>
        <v>890</v>
      </c>
      <c r="I27" s="3">
        <f t="shared" si="0"/>
        <v>890</v>
      </c>
    </row>
    <row r="28" spans="2:9" ht="14.25">
      <c r="B28" s="11" t="s">
        <v>2961</v>
      </c>
      <c r="C28" s="12">
        <v>45988</v>
      </c>
      <c r="D28" s="11" t="s">
        <v>2431</v>
      </c>
      <c r="E28" s="11" t="s">
        <v>270</v>
      </c>
      <c r="F28" s="13">
        <v>1</v>
      </c>
      <c r="G28" s="11" t="s">
        <v>2936</v>
      </c>
      <c r="H28" s="3" cm="1">
        <f t="array" ref="H28">INDEX(
  _xlfn._xlws.FILTER(
    Sales_Entry[Price],
    (Sales_Entry[Bill_No]=D28)*
    (Sales_Entry[Product_Code]=E28)
  ),
  1
)</f>
        <v>800</v>
      </c>
      <c r="I28" s="3">
        <f t="shared" si="0"/>
        <v>800</v>
      </c>
    </row>
    <row r="29" spans="2:9" ht="14.25">
      <c r="B29" s="11" t="s">
        <v>2962</v>
      </c>
      <c r="C29" s="12">
        <v>46006</v>
      </c>
      <c r="D29" s="11" t="s">
        <v>2686</v>
      </c>
      <c r="E29" s="11" t="s">
        <v>1566</v>
      </c>
      <c r="F29" s="13">
        <v>1</v>
      </c>
      <c r="G29" s="11" t="s">
        <v>2940</v>
      </c>
      <c r="H29" s="3" cm="1">
        <f t="array" ref="H29">INDEX(
  _xlfn._xlws.FILTER(
    Sales_Entry[Price],
    (Sales_Entry[Bill_No]=D29)*
    (Sales_Entry[Product_Code]=E29)
  ),
  1
)</f>
        <v>190</v>
      </c>
      <c r="I29" s="3">
        <f t="shared" si="0"/>
        <v>190</v>
      </c>
    </row>
    <row r="30" spans="2:9" ht="14.25">
      <c r="B30" s="11" t="s">
        <v>2963</v>
      </c>
      <c r="C30" s="12">
        <v>45972</v>
      </c>
      <c r="D30" s="11" t="s">
        <v>2208</v>
      </c>
      <c r="E30" s="11" t="s">
        <v>1660</v>
      </c>
      <c r="F30" s="13">
        <v>1</v>
      </c>
      <c r="G30" s="11" t="s">
        <v>2936</v>
      </c>
      <c r="H30" s="3" cm="1">
        <f t="array" ref="H30">INDEX(
  _xlfn._xlws.FILTER(
    Sales_Entry[Price],
    (Sales_Entry[Bill_No]=D30)*
    (Sales_Entry[Product_Code]=E30)
  ),
  1
)</f>
        <v>140</v>
      </c>
      <c r="I30" s="3">
        <f t="shared" si="0"/>
        <v>140</v>
      </c>
    </row>
    <row r="31" spans="2:9" ht="14.25">
      <c r="B31" s="11" t="s">
        <v>2964</v>
      </c>
      <c r="C31" s="12">
        <v>45989</v>
      </c>
      <c r="D31" s="11" t="s">
        <v>2472</v>
      </c>
      <c r="E31" s="11" t="s">
        <v>1086</v>
      </c>
      <c r="F31" s="13">
        <v>1</v>
      </c>
      <c r="G31" s="11" t="s">
        <v>2936</v>
      </c>
      <c r="H31" s="3" cm="1">
        <f t="array" ref="H31">INDEX(
  _xlfn._xlws.FILTER(
    Sales_Entry[Price],
    (Sales_Entry[Bill_No]=D31)*
    (Sales_Entry[Product_Code]=E31)
  ),
  1
)</f>
        <v>1040</v>
      </c>
      <c r="I31" s="3">
        <f t="shared" si="0"/>
        <v>1040</v>
      </c>
    </row>
    <row r="32" spans="2:9" ht="14.25">
      <c r="B32" s="11" t="s">
        <v>2965</v>
      </c>
      <c r="C32" s="12">
        <v>45993</v>
      </c>
      <c r="D32" s="11" t="s">
        <v>2549</v>
      </c>
      <c r="E32" s="11" t="s">
        <v>394</v>
      </c>
      <c r="F32" s="13">
        <v>1</v>
      </c>
      <c r="G32" s="11" t="s">
        <v>2936</v>
      </c>
      <c r="H32" s="3" cm="1">
        <f t="array" ref="H32">INDEX(
  _xlfn._xlws.FILTER(
    Sales_Entry[Price],
    (Sales_Entry[Bill_No]=D32)*
    (Sales_Entry[Product_Code]=E32)
  ),
  1
)</f>
        <v>720</v>
      </c>
      <c r="I32" s="3">
        <f t="shared" si="0"/>
        <v>720</v>
      </c>
    </row>
    <row r="33" spans="2:9" ht="14.25">
      <c r="B33" s="11" t="s">
        <v>2966</v>
      </c>
      <c r="C33" s="12">
        <v>45982</v>
      </c>
      <c r="D33" s="11" t="s">
        <v>2336</v>
      </c>
      <c r="E33" s="11" t="s">
        <v>311</v>
      </c>
      <c r="F33" s="13">
        <v>1</v>
      </c>
      <c r="G33" s="11" t="s">
        <v>2940</v>
      </c>
      <c r="H33" s="3" cm="1">
        <f t="array" ref="H33">INDEX(
  _xlfn._xlws.FILTER(
    Sales_Entry[Price],
    (Sales_Entry[Bill_No]=D33)*
    (Sales_Entry[Product_Code]=E33)
  ),
  1
)</f>
        <v>730</v>
      </c>
      <c r="I33" s="3">
        <f t="shared" si="0"/>
        <v>730</v>
      </c>
    </row>
    <row r="34" spans="2:9" ht="14.25">
      <c r="B34" s="26" t="s">
        <v>2967</v>
      </c>
      <c r="C34" s="27">
        <v>45967</v>
      </c>
      <c r="D34" s="26" t="s">
        <v>2207</v>
      </c>
      <c r="E34" s="26" t="s">
        <v>725</v>
      </c>
      <c r="F34" s="29">
        <v>1</v>
      </c>
      <c r="G34" s="26" t="s">
        <v>2936</v>
      </c>
      <c r="H34" s="3" cm="1">
        <f t="array" ref="H34">INDEX(
  _xlfn._xlws.FILTER(
    Sales_Entry[Price],
    (Sales_Entry[Bill_No]=D34)*
    (Sales_Entry[Product_Code]=E34)
  ),
  1
)</f>
        <v>620</v>
      </c>
      <c r="I34" s="3">
        <f t="shared" si="0"/>
        <v>620</v>
      </c>
    </row>
    <row r="35" spans="2:9" ht="14.25">
      <c r="B35" s="26" t="s">
        <v>2968</v>
      </c>
      <c r="C35" s="27">
        <v>45955</v>
      </c>
      <c r="D35" s="26" t="s">
        <v>2000</v>
      </c>
      <c r="E35" s="26" t="s">
        <v>243</v>
      </c>
      <c r="F35" s="29">
        <v>1</v>
      </c>
      <c r="G35" s="26" t="s">
        <v>2936</v>
      </c>
      <c r="H35" s="3" cm="1">
        <f t="array" ref="H35">INDEX(
  _xlfn._xlws.FILTER(
    Sales_Entry[Price],
    (Sales_Entry[Bill_No]=D35)*
    (Sales_Entry[Product_Code]=E35)
  ),
  1
)</f>
        <v>840</v>
      </c>
      <c r="I35" s="3">
        <f t="shared" si="0"/>
        <v>840</v>
      </c>
    </row>
    <row r="36" spans="2:9" ht="14.25">
      <c r="B36" s="26" t="s">
        <v>2969</v>
      </c>
      <c r="C36" s="27">
        <v>45994</v>
      </c>
      <c r="D36" s="26" t="s">
        <v>2552</v>
      </c>
      <c r="E36" s="26" t="s">
        <v>937</v>
      </c>
      <c r="F36" s="29">
        <v>1</v>
      </c>
      <c r="G36" s="26" t="s">
        <v>2936</v>
      </c>
      <c r="H36" s="3" cm="1">
        <f t="array" ref="H36">INDEX(
  _xlfn._xlws.FILTER(
    Sales_Entry[Price],
    (Sales_Entry[Bill_No]=D36)*
    (Sales_Entry[Product_Code]=E36)
  ),
  1
)</f>
        <v>950</v>
      </c>
      <c r="I36" s="3">
        <f t="shared" si="0"/>
        <v>950</v>
      </c>
    </row>
    <row r="37" spans="2:9" ht="14.25">
      <c r="B37" s="26" t="s">
        <v>2970</v>
      </c>
      <c r="C37" s="27">
        <v>45992</v>
      </c>
      <c r="D37" s="26" t="s">
        <v>2492</v>
      </c>
      <c r="E37" s="26" t="s">
        <v>1709</v>
      </c>
      <c r="F37" s="29">
        <v>1</v>
      </c>
      <c r="G37" s="26" t="s">
        <v>2936</v>
      </c>
      <c r="H37" s="3" cm="1">
        <f t="array" ref="H37">INDEX(
  _xlfn._xlws.FILTER(
    Sales_Entry[Price],
    (Sales_Entry[Bill_No]=D37)*
    (Sales_Entry[Product_Code]=E37)
  ),
  1
)</f>
        <v>140</v>
      </c>
      <c r="I37" s="3">
        <f t="shared" si="0"/>
        <v>140</v>
      </c>
    </row>
    <row r="38" spans="2:9" ht="14.25">
      <c r="B38" s="26" t="s">
        <v>2971</v>
      </c>
      <c r="C38" s="27">
        <v>45943</v>
      </c>
      <c r="D38" s="26" t="s">
        <v>1899</v>
      </c>
      <c r="E38" s="26" t="s">
        <v>806</v>
      </c>
      <c r="F38" s="29">
        <v>1</v>
      </c>
      <c r="G38" s="26" t="s">
        <v>2936</v>
      </c>
      <c r="H38" s="3" cm="1">
        <f t="array" ref="H38">INDEX(
  _xlfn._xlws.FILTER(
    Sales_Entry[Price],
    (Sales_Entry[Bill_No]=D38)*
    (Sales_Entry[Product_Code]=E38)
  ),
  1
)</f>
        <v>500</v>
      </c>
      <c r="I38" s="3">
        <f t="shared" si="0"/>
        <v>500</v>
      </c>
    </row>
    <row r="39" spans="2:9" ht="14.25">
      <c r="B39" s="26" t="s">
        <v>2972</v>
      </c>
      <c r="C39" s="27">
        <v>46015</v>
      </c>
      <c r="D39" s="26" t="s">
        <v>2766</v>
      </c>
      <c r="E39" s="26" t="s">
        <v>296</v>
      </c>
      <c r="F39" s="29">
        <v>1</v>
      </c>
      <c r="G39" s="26" t="s">
        <v>2936</v>
      </c>
      <c r="H39" s="3" cm="1">
        <f t="array" ref="H39">INDEX(
  _xlfn._xlws.FILTER(
    Sales_Entry[Price],
    (Sales_Entry[Bill_No]=D39)*
    (Sales_Entry[Product_Code]=E39)
  ),
  1
)</f>
        <v>860</v>
      </c>
      <c r="I39" s="3">
        <f t="shared" si="0"/>
        <v>860</v>
      </c>
    </row>
    <row r="40" spans="2:9" ht="14.25">
      <c r="B40" s="26" t="s">
        <v>2973</v>
      </c>
      <c r="C40" s="27">
        <v>45971</v>
      </c>
      <c r="D40" s="26" t="s">
        <v>2202</v>
      </c>
      <c r="E40" s="26" t="s">
        <v>1197</v>
      </c>
      <c r="F40" s="29">
        <v>1</v>
      </c>
      <c r="G40" s="26" t="s">
        <v>2936</v>
      </c>
      <c r="H40" s="3" cm="1">
        <f t="array" ref="H40">INDEX(
  _xlfn._xlws.FILTER(
    Sales_Entry[Price],
    (Sales_Entry[Bill_No]=D40)*
    (Sales_Entry[Product_Code]=E40)
  ),
  1
)</f>
        <v>940</v>
      </c>
      <c r="I40" s="3">
        <f t="shared" si="0"/>
        <v>940</v>
      </c>
    </row>
    <row r="41" spans="2:9" ht="14.25">
      <c r="B41" s="26" t="s">
        <v>2974</v>
      </c>
      <c r="C41" s="27">
        <v>45959</v>
      </c>
      <c r="D41" s="26" t="s">
        <v>2039</v>
      </c>
      <c r="E41" s="26" t="s">
        <v>1603</v>
      </c>
      <c r="F41" s="29">
        <v>1</v>
      </c>
      <c r="G41" s="26" t="s">
        <v>2936</v>
      </c>
      <c r="H41" s="3" cm="1">
        <f t="array" ref="H41">INDEX(
  _xlfn._xlws.FILTER(
    Sales_Entry[Price],
    (Sales_Entry[Bill_No]=D41)*
    (Sales_Entry[Product_Code]=E41)
  ),
  1
)</f>
        <v>130</v>
      </c>
      <c r="I41" s="3">
        <f t="shared" si="0"/>
        <v>130</v>
      </c>
    </row>
    <row r="42" spans="2:9" ht="14.25">
      <c r="B42" s="26" t="s">
        <v>2975</v>
      </c>
      <c r="C42" s="27">
        <v>46002</v>
      </c>
      <c r="D42" s="26" t="s">
        <v>2621</v>
      </c>
      <c r="E42" s="26" t="s">
        <v>682</v>
      </c>
      <c r="F42" s="29">
        <v>1</v>
      </c>
      <c r="G42" s="26" t="s">
        <v>2936</v>
      </c>
      <c r="H42" s="3" cm="1">
        <f t="array" ref="H42">INDEX(
  _xlfn._xlws.FILTER(
    Sales_Entry[Price],
    (Sales_Entry[Bill_No]=D42)*
    (Sales_Entry[Product_Code]=E42)
  ),
  1
)</f>
        <v>620</v>
      </c>
      <c r="I42" s="3">
        <f t="shared" si="0"/>
        <v>620</v>
      </c>
    </row>
    <row r="43" spans="2:9" ht="14.25">
      <c r="B43" s="22" t="s">
        <v>2976</v>
      </c>
      <c r="C43" s="23">
        <v>46009</v>
      </c>
      <c r="D43" s="22" t="s">
        <v>2655</v>
      </c>
      <c r="E43" s="28" t="s">
        <v>299</v>
      </c>
      <c r="F43" s="25">
        <v>1</v>
      </c>
      <c r="G43" s="22" t="s">
        <v>2936</v>
      </c>
      <c r="H43" s="3" cm="1">
        <f t="array" ref="H43">INDEX(
  _xlfn._xlws.FILTER(
    Sales_Entry[Price],
    (Sales_Entry[Bill_No]=D43)*
    (Sales_Entry[Product_Code]=E43)
  ),
  1
)</f>
        <v>860</v>
      </c>
      <c r="I43" s="3">
        <f t="shared" si="0"/>
        <v>860</v>
      </c>
    </row>
    <row r="44" spans="2:9" ht="14.25">
      <c r="B44" s="22" t="s">
        <v>2977</v>
      </c>
      <c r="C44" s="23">
        <v>46024</v>
      </c>
      <c r="D44" s="22" t="s">
        <v>1769</v>
      </c>
      <c r="E44" s="24" t="s">
        <v>384</v>
      </c>
      <c r="F44" s="25">
        <v>1</v>
      </c>
      <c r="G44" s="22" t="s">
        <v>2940</v>
      </c>
      <c r="H44" s="3" cm="1">
        <f t="array" ref="H44">INDEX(
  _xlfn._xlws.FILTER(
    Sales_Entry[Price],
    (Sales_Entry[Bill_No]=D44)*
    (Sales_Entry[Product_Code]=E44)
  ),
  1
)</f>
        <v>660</v>
      </c>
      <c r="I44" s="3">
        <f>F44*H44</f>
        <v>660</v>
      </c>
    </row>
  </sheetData>
  <mergeCells count="1">
    <mergeCell ref="C1:K1"/>
  </mergeCells>
  <dataValidations count="1">
    <dataValidation type="date" allowBlank="1" showInputMessage="1" showErrorMessage="1" sqref="C4:C1048576" xr:uid="{45312818-06E8-4820-8501-9D00C6328BD1}">
      <formula1>45931</formula1>
      <formula2>46661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8BB5AE-3618-4E5F-B4DD-8A64604F7DC9}">
          <x14:formula1>
            <xm:f>Sales_Entry!$D$4:$D$2778</xm:f>
          </x14:formula1>
          <xm:sqref>E4:E1048576</xm:sqref>
        </x14:dataValidation>
        <x14:dataValidation type="list" allowBlank="1" showInputMessage="1" showErrorMessage="1" xr:uid="{173ECEA9-E2C7-4C03-87A2-CF97272A09F2}">
          <x14:formula1>
            <xm:f>Helper!$D$4:$D$5</xm:f>
          </x14:formula1>
          <xm:sqref>G4:G44</xm:sqref>
        </x14:dataValidation>
        <x14:dataValidation type="list" allowBlank="1" showInputMessage="1" showErrorMessage="1" xr:uid="{9356D2A5-892B-4EF9-A336-0565208B5AF8}">
          <x14:formula1>
            <xm:f>Bill_Summary!$B$1154:$B$11530</xm:f>
          </x14:formula1>
          <xm:sqref>D4:D1048576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CD65-AB90-41CE-AC70-407E8C037F8A}">
  <dimension ref="A1:J18"/>
  <sheetViews>
    <sheetView showGridLines="0" tabSelected="1" workbookViewId="0">
      <selection activeCell="I1" sqref="I1:I1048576"/>
    </sheetView>
  </sheetViews>
  <sheetFormatPr defaultRowHeight="14.25"/>
  <cols>
    <col min="1" max="1" width="4.42578125" style="2" customWidth="1"/>
    <col min="2" max="2" width="15.5703125" style="2" bestFit="1" customWidth="1"/>
    <col min="3" max="3" width="12.140625" style="2" bestFit="1" customWidth="1"/>
    <col min="4" max="4" width="15.85546875" style="2" bestFit="1" customWidth="1"/>
    <col min="5" max="5" width="36.5703125" style="2" bestFit="1" customWidth="1"/>
    <col min="6" max="6" width="13.140625" style="2" bestFit="1" customWidth="1"/>
    <col min="7" max="7" width="13.42578125" style="2" bestFit="1" customWidth="1"/>
    <col min="8" max="8" width="12" style="2" bestFit="1" customWidth="1"/>
    <col min="9" max="9" width="9.140625" style="2"/>
    <col min="10" max="10" width="4.85546875" style="2" customWidth="1"/>
    <col min="11" max="16384" width="9.140625" style="2"/>
  </cols>
  <sheetData>
    <row r="1" spans="1:10" ht="82.5" customHeight="1">
      <c r="A1" s="14"/>
      <c r="B1" s="15"/>
      <c r="C1" s="47" t="s">
        <v>2978</v>
      </c>
      <c r="D1" s="47"/>
      <c r="E1" s="47"/>
      <c r="F1" s="47"/>
      <c r="G1" s="47"/>
      <c r="H1" s="47"/>
      <c r="I1" s="15"/>
      <c r="J1" s="14"/>
    </row>
    <row r="3" spans="1:10" ht="15">
      <c r="B3" s="39" t="s">
        <v>2921</v>
      </c>
      <c r="C3" s="40">
        <v>45931</v>
      </c>
      <c r="E3" s="5"/>
    </row>
    <row r="4" spans="1:10">
      <c r="B4" s="39" t="s">
        <v>2979</v>
      </c>
      <c r="C4" s="41" cm="1">
        <f t="array" ref="C4">SUM(--(FREQUENCY(IF((INT(Sales_Entry[Bill_Date])=INT(C3))*(Sales_Entry[Bill_No]&lt;&gt;""),MATCH(Sales_Entry[Bill_No], Sales_Entry[Bill_No], 0)),
ROW(Sales_Entry[Bill_No])-ROW(Sales_Entry[[#Headers],[Bill_No]]))&gt;0))</f>
        <v>17</v>
      </c>
    </row>
    <row r="5" spans="1:10" ht="15">
      <c r="B5" s="39" t="s">
        <v>2980</v>
      </c>
      <c r="C5" s="42" cm="1">
        <f t="array" ref="C5">SUM(IF(INT(Sales_Entry[Bill_Date])=INT(C3),Sales_Entry[Qty],0))</f>
        <v>44</v>
      </c>
    </row>
    <row r="6" spans="1:10">
      <c r="B6" s="39" t="s">
        <v>2981</v>
      </c>
      <c r="C6" s="43">
        <f>SUMIFS(Save[Net_Amt],Save[Date], C3)</f>
        <v>24647</v>
      </c>
      <c r="E6" s="3"/>
    </row>
    <row r="7" spans="1:10">
      <c r="B7" s="39" t="s">
        <v>2982</v>
      </c>
      <c r="C7" s="43" cm="1">
        <f t="array" ref="C7">SUMIFS(Save[Net_Amt],Save[Date], C3)-SUMPRODUCT((Sales_Entry[Bill_Date]=C3) *Sales_Entry[Qty]*_xlfn.XLOOKUP(Sales_Entry[Product_Code],Master[Product_Code],Master[Buying_Price]))</f>
        <v>4147</v>
      </c>
      <c r="E7" s="37"/>
      <c r="G7" s="3"/>
    </row>
    <row r="8" spans="1:10">
      <c r="B8" s="39" t="s">
        <v>2983</v>
      </c>
      <c r="C8" s="41">
        <f>COUNTIFS(Save[Date], C3,Save[Cash], "&gt;1")</f>
        <v>9</v>
      </c>
      <c r="E8" s="5"/>
    </row>
    <row r="9" spans="1:10" ht="15">
      <c r="B9" s="39" t="s">
        <v>2984</v>
      </c>
      <c r="C9" s="44">
        <f>SUMIFS(Save[Cash],Save[Date], C3)</f>
        <v>13115</v>
      </c>
      <c r="E9" s="38"/>
    </row>
    <row r="10" spans="1:10" ht="15">
      <c r="B10" s="39" t="s">
        <v>2985</v>
      </c>
      <c r="C10" s="45">
        <f>COUNTIFS(Save[Date], C3,Save[UPI], "&gt;1")</f>
        <v>11</v>
      </c>
      <c r="E10" s="5"/>
    </row>
    <row r="11" spans="1:10" ht="15">
      <c r="B11" s="39" t="s">
        <v>2986</v>
      </c>
      <c r="C11" s="44">
        <f>SUMIFS(Save[UPI],Save[Date], C3)</f>
        <v>11532</v>
      </c>
    </row>
    <row r="13" spans="1:10">
      <c r="G13" s="5"/>
    </row>
    <row r="15" spans="1:10">
      <c r="E15" s="5"/>
    </row>
    <row r="16" spans="1:10">
      <c r="E16" s="5"/>
    </row>
    <row r="17" spans="5:5">
      <c r="E17" s="5"/>
    </row>
    <row r="18" spans="5:5">
      <c r="E18" s="5"/>
    </row>
  </sheetData>
  <mergeCells count="1">
    <mergeCell ref="C1:H1"/>
  </mergeCells>
  <dataValidations count="2">
    <dataValidation type="date" operator="greaterThan" allowBlank="1" showInputMessage="1" showErrorMessage="1" sqref="C3" xr:uid="{A55CDA66-1272-40B4-BB6F-7E66E6A6327A}">
      <formula1>45667</formula1>
    </dataValidation>
    <dataValidation type="date" allowBlank="1" showInputMessage="1" showErrorMessage="1" sqref="B9:B13" xr:uid="{454102C3-7B7B-4BF2-99E5-485795258A51}">
      <formula1>45667</formula1>
      <formula2>46397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439A-6D02-4B67-8EF1-067281DC97D5}">
  <dimension ref="A1:G7"/>
  <sheetViews>
    <sheetView workbookViewId="0">
      <selection activeCell="J14" sqref="J14"/>
    </sheetView>
  </sheetViews>
  <sheetFormatPr defaultRowHeight="14.25"/>
  <cols>
    <col min="1" max="1" width="9.140625" style="2"/>
    <col min="2" max="2" width="17.140625" style="2" bestFit="1" customWidth="1"/>
    <col min="3" max="3" width="9.140625" style="2"/>
    <col min="4" max="4" width="10.42578125" style="2" bestFit="1" customWidth="1"/>
    <col min="5" max="5" width="9.140625" style="2"/>
    <col min="6" max="6" width="36.5703125" style="2" bestFit="1" customWidth="1"/>
    <col min="7" max="16384" width="9.140625" style="2"/>
  </cols>
  <sheetData>
    <row r="1" spans="1:7">
      <c r="A1" s="14"/>
    </row>
    <row r="3" spans="1:7" ht="15">
      <c r="B3" s="33" t="s">
        <v>2987</v>
      </c>
      <c r="D3" s="33" t="s">
        <v>2932</v>
      </c>
      <c r="F3"/>
      <c r="G3"/>
    </row>
    <row r="4" spans="1:7">
      <c r="B4" s="2" t="s">
        <v>2925</v>
      </c>
      <c r="D4" s="2" t="s">
        <v>2936</v>
      </c>
      <c r="F4" s="5"/>
    </row>
    <row r="5" spans="1:7">
      <c r="B5" s="2" t="s">
        <v>2926</v>
      </c>
      <c r="D5" s="2" t="s">
        <v>2940</v>
      </c>
      <c r="F5" s="5"/>
      <c r="G5" s="5"/>
    </row>
    <row r="6" spans="1:7">
      <c r="B6" s="2" t="s">
        <v>2928</v>
      </c>
      <c r="F6" s="5"/>
    </row>
    <row r="7" spans="1:7">
      <c r="F7" s="5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KARTIK KN</cp:lastModifiedBy>
  <cp:revision/>
  <dcterms:created xsi:type="dcterms:W3CDTF">2025-12-26T15:27:52Z</dcterms:created>
  <dcterms:modified xsi:type="dcterms:W3CDTF">2026-01-04T07:51:24Z</dcterms:modified>
  <cp:category/>
  <cp:contentStatus/>
</cp:coreProperties>
</file>